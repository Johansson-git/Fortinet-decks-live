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8.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5.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atalogue" sheetId="2" state="visible" r:id="rId4"/>
    <sheet name="Subpatterns" sheetId="3" state="visible" r:id="rId5"/>
    <sheet name="Rule-Event map" sheetId="4" state="visible" r:id="rId6"/>
    <sheet name="Rule-Row map" sheetId="5" state="visible" r:id="rId7"/>
    <sheet name="Rule-DS map" sheetId="6" state="visible" r:id="rId8"/>
    <sheet name="Data sources" sheetId="7" state="visible" r:id="rId9"/>
    <sheet name="Log channels" sheetId="8" state="visible" r:id="rId10"/>
    <sheet name="Coverage - 57 ITDR" sheetId="9" state="visible" r:id="rId11"/>
    <sheet name="Coverage - sizing rows" sheetId="10" state="visible" r:id="rId12"/>
    <sheet name="Gaps" sheetId="11" state="visible" r:id="rId13"/>
    <sheet name="All rules (3857)" sheetId="12" state="visible" r:id="rId14"/>
  </sheets>
  <definedNames>
    <definedName function="false" hidden="true" localSheetId="9" name="_xlnm._FilterDatabase" vbProcedure="false">'Coverage - sizing rows'!$A$1:$K$25</definedName>
    <definedName function="false" hidden="true" localSheetId="6" name="_xlnm._FilterDatabase" vbProcedure="false">'Data sources'!$A$1:$H$102</definedName>
    <definedName function="false" hidden="true" localSheetId="7" name="_xlnm._FilterDatabase" vbProcedure="false">'Log channels'!$A$1:$K$650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<sst xmlns="http://schemas.openxmlformats.org/spreadsheetml/2006/main" count="92007" uniqueCount="17436">
  <si>
    <t xml:space="preserve">FortiSIEM 7.6.0 rule catalogue: identity, AD, Kerberos, AD CS, credential access, lateral movement, privilege change</t>
  </si>
  <si>
    <t xml:space="preserve">Source</t>
  </si>
  <si>
    <t xml:space="preserve">Rule pages: https://filestore.fortinet.com/docs.fortinet.com/fsiem/Public_Resource_Access/7_6_0/rules/rule_descriptions.htm (index) plus one page per rule. All 3,857 rule pages fetched on 2026-10-05, single-threaded at about 4 requests/s, cached locally, 0 failures, 0 parse errors.</t>
  </si>
  <si>
    <t xml:space="preserve">Rule lists: 760-new-itdr-rules.pdf (57), 760-existing-rules-added-to-itdr.pdf (244), 760-new-rules.pdf (1,041), linked from "What's New in 7.6.0". All 301 ITDR names matched a rule page.</t>
  </si>
  <si>
    <t xml:space="preserve">Sizing compared: ITDR log sizing dashboard (claude.ai/artifact/QdAN6guArhemD2qmo1HAVr) and worst-case calculator (claude.ai/artifact/HKjRytjases9eu6exWE6Th), both read on 2026-10-05.</t>
  </si>
  <si>
    <t xml:space="preserve">Sheets</t>
  </si>
  <si>
    <t xml:space="preserve">Catalogue: 999 in-scope rules, one row each. Sorted new ITDR, then re-tagged ITDR, then identity-core, then tactic-only.</t>
  </si>
  <si>
    <t xml:space="preserve">Subpatterns: one row per subpattern with its full query, event types, filters, group-by, aggregate.</t>
  </si>
  <si>
    <t xml:space="preserve">Rule-Event map / Rule-DS map / Rule-Row map: long-format helpers the summary formulas count from. Rule-Row map holds one row per distinct rule and sizing row, so sizing-row counts are distinct rules.</t>
  </si>
  <si>
    <t xml:space="preserve">Data sources: rules and event types per FortiSIEM data source (counts are live COUNTIFS formulas).</t>
  </si>
  <si>
    <t xml:space="preserve">Log channels: rules per log channel and event ID, mapped to your sizing rows.</t>
  </si>
  <si>
    <t xml:space="preserve">Coverage - 57 ITDR: each new ITDR rule, what your dashboard assumed, what the rule actually reads, and a verdict.</t>
  </si>
  <si>
    <t xml:space="preserve">Coverage - sizing rows: each sizing row, which rules actually read it, and what to change.</t>
  </si>
  <si>
    <t xml:space="preserve">Gaps: sources the rules need that the sizing does not carry, or carries with the wrong IDs.</t>
  </si>
  <si>
    <t xml:space="preserve">All rules (3857): the full index with scope flags, for filtering outside this scope.</t>
  </si>
  <si>
    <t xml:space="preserve">Scope (step 3)</t>
  </si>
  <si>
    <t xml:space="preserve">A rule is in scope if any of these match: Entra ID (data source, MS-Entra-/MS_GRAPH_Risky/O365 EntraID event types, or name); Active Directory (AD event IDs 4720-4767, 4662, 5136-5141, trusts, or AD terms in name/description); any Win-Security-* event type or Windows Security Log data source; Kerberos (4768-4773 or Kerberos terms); AD CS (4868-4900, PKI/certificate/ESC terms); MITRE tactic Lateral Movement, Privilege Escalation or Credential Access; privilege/account change (account and group management IDs, T1098/T1136/T1484/T1531/T1556/T1548/T1078.002/.004, role/group-add terms); identity event-type groups; or the rule is on either Fortinet ITDR list.</t>
  </si>
  <si>
    <t xml:space="preserve">Scope class "Identity-core" means an identity criterion matched. "Tactic match only" (283 rules) means only a MITRE tactic matched, mostly FortiGate/FortiClient AV signature rules tagged Credential Access. Filter them out if you want identity sources only.</t>
  </si>
  <si>
    <t xml:space="preserve">Scope tags are keyword and event-ID heuristics. Event types, filters, group-by and windows are parsed verbatim from the rule pages.</t>
  </si>
  <si>
    <t xml:space="preserve">Reading the event-type columns</t>
  </si>
  <si>
    <t xml:space="preserve">Event types inside one subpattern are alternatives (an IN list): any one source satisfies that subpattern. Multiple subpatterns combine by the trigger expression (AND, OR, FOLLOWED_BY).</t>
  </si>
  <si>
    <t xml:space="preserve">Prefixes REGEXP:/CONTAIN: mark pattern matches. Group@PH_SYS_EVENT_* are FortiSIEM event-type groups; their members are not published on the rule pages, so they are listed but not resolved.</t>
  </si>
  <si>
    <t xml:space="preserve">"Log channel : event key" and "Sizing row" are derived by mapping event-type names to channels (e.g. Win-Security-4769-success -&gt; Security 4769 -&gt; row a2). Rows ei, ea ... w4 are the row IDs used in your dashboard and calculator.</t>
  </si>
  <si>
    <t xml:space="preserve">Verified in a 7.6.0 system</t>
  </si>
  <si>
    <t xml:space="preserve">Member Of checks on Win-Security-4740, 4767, 4771, MS-Entra-SignInLogs-Logon-success and -Logon-failure, and MS-Entra-NonInteractiveUserSignInLogs-failure and -Logon-failure, plus the Device and Domain Logon Failure and Success groups. Results: Windows logon groups contain no Entra or Office 365 types; Entra sign-ins (including non-interactive failures) are in the Application Logon groups; 4771 is only in Domain Logon Failure; 4740 is in both Device and Domain Account Locked; 4767 is in the Account Unlocked groups, which no rule reads.</t>
  </si>
  <si>
    <t xml:space="preserve">Data-source labels</t>
  </si>
  <si>
    <t xml:space="preserve">Fortinet's rule pages label 960 Windows Sigma rules as "CyberArk Enterprise Password Vault via Syslog". Their event types are Windows (mostly Sysmon and PowerShell), so this workbook reassigns them to the data source their event types come from and marks each corrected cell. None of them is on either ITDR list. Only 11 rules really read CyberArk events.</t>
  </si>
  <si>
    <t xml:space="preserve">Sudden User Location Change reads an internal identity-engine event. Its inputs are defined in /opt/phoenix/config/identityDef.xml, not in the rule, so they are noted in its data-source cell rather than counted as event types.</t>
  </si>
  <si>
    <t xml:space="preserve">Limits</t>
  </si>
  <si>
    <t xml:space="preserve">This reflects the public rule documentation for 7.6.0 as published on 2026-10-05. Content updates after that date may change rules. Event-type groups and the Event Hub parser routing (MicrosoftAzureEntraParser vs AzureEventHubParser) are not visible in the docs and should be checked in a live 7.6.0 system under Resources &gt; Event Types and on a sample of ingested events.</t>
  </si>
  <si>
    <t xml:space="preserve">Rule ID</t>
  </si>
  <si>
    <t xml:space="preserve">Rule name</t>
  </si>
  <si>
    <t xml:space="preserve">ITDR status</t>
  </si>
  <si>
    <t xml:space="preserve">Scope class</t>
  </si>
  <si>
    <t xml:space="preserve">Scope tags</t>
  </si>
  <si>
    <t xml:space="preserve">Default status</t>
  </si>
  <si>
    <t xml:space="preserve">Severity</t>
  </si>
  <si>
    <t xml:space="preserve">Severity label</t>
  </si>
  <si>
    <t xml:space="preserve">Category</t>
  </si>
  <si>
    <t xml:space="preserve">Detection technology</t>
  </si>
  <si>
    <t xml:space="preserve">Rule mode</t>
  </si>
  <si>
    <t xml:space="preserve">MITRE tactics</t>
  </si>
  <si>
    <t xml:space="preserve">MITRE techniques</t>
  </si>
  <si>
    <t xml:space="preserve">FortiSIEM data source(s)</t>
  </si>
  <si>
    <t xml:space="preserve">Event types (all subpatterns)</t>
  </si>
  <si>
    <t xml:space="preserve">Excluded event types</t>
  </si>
  <si>
    <t xml:space="preserve"># subpatterns</t>
  </si>
  <si>
    <t xml:space="preserve">Subpattern logic</t>
  </si>
  <si>
    <t xml:space="preserve">Filters (non-eventType conditions)</t>
  </si>
  <si>
    <t xml:space="preserve">Group-by attributes</t>
  </si>
  <si>
    <t xml:space="preserve">Aggregate constraint(s)</t>
  </si>
  <si>
    <t xml:space="preserve">Time window (s)</t>
  </si>
  <si>
    <t xml:space="preserve">Global constraint</t>
  </si>
  <si>
    <t xml:space="preserve">Log channel : event key (derived)</t>
  </si>
  <si>
    <t xml:space="preserve">Sizing row(s) that carry it (derived)</t>
  </si>
  <si>
    <t xml:space="preserve">Description</t>
  </si>
  <si>
    <t xml:space="preserve">Rule page</t>
  </si>
  <si>
    <t xml:space="preserve">PH_Rule_Azure_Entra_ID_Conditional_Access_Disabled</t>
  </si>
  <si>
    <t xml:space="preserve">Azure Entra ID: Conditional Access Disabled</t>
  </si>
  <si>
    <t xml:space="preserve">New ITDR (7.6.0)</t>
  </si>
  <si>
    <t xml:space="preserve">Identity-core</t>
  </si>
  <si>
    <t xml:space="preserve">Entra ID, Privilege/account change</t>
  </si>
  <si>
    <t xml:space="preserve">Enabled</t>
  </si>
  <si>
    <t xml:space="preserve">High</t>
  </si>
  <si>
    <t xml:space="preserve">Security</t>
  </si>
  <si>
    <t xml:space="preserve">Correlation</t>
  </si>
  <si>
    <t xml:space="preserve">Streaming</t>
  </si>
  <si>
    <t xml:space="preserve">Defense Evasion</t>
  </si>
  <si>
    <t xml:space="preserve">T1556.001</t>
  </si>
  <si>
    <t xml:space="preserve">Microsoft Entra Activity Logs via Azure Event Hub</t>
  </si>
  <si>
    <t xml:space="preserve">MS-Entra-AuditLogs-Policy-Update_policy-success</t>
  </si>
  <si>
    <t xml:space="preserve">Filter</t>
  </si>
  <si>
    <t xml:space="preserve">opName REGEXP ".*(?:Delete conditional access policy|Update conditional access policy).*"</t>
  </si>
  <si>
    <t xml:space="preserve">user,opName</t>
  </si>
  <si>
    <t xml:space="preserve">COUNT(*) &gt;= 1</t>
  </si>
  <si>
    <t xml:space="preserve">Entra Event Hub: AuditLogs</t>
  </si>
  <si>
    <t xml:space="preserve">ea</t>
  </si>
  <si>
    <t xml:space="preserve">Detects when a Conditional Access policy is disabled, modified, or deleted. An adversary may modify or remove Conditional Access policies to weaken authentication requirements and bypass security controls.</t>
  </si>
  <si>
    <t xml:space="preserve">https://filestore.fortinet.com/docs.fortinet.com/fsiem/Public_Resource_Access/7_6_0/rules/PH_RULE_Azure_Entra_ID_Conditional_Access_Disabled.htm</t>
  </si>
  <si>
    <t xml:space="preserve">PH_Rule_Azure_Entra_ID_Domain_Authentication_Changed</t>
  </si>
  <si>
    <t xml:space="preserve">Azure Entra ID: Domain Authentication Changed</t>
  </si>
  <si>
    <t xml:space="preserve">T1484.002</t>
  </si>
  <si>
    <t xml:space="preserve">MS-Entra-AuditLogs-DirectoryMgmt-Set_domain_authentication-success</t>
  </si>
  <si>
    <t xml:space="preserve">—</t>
  </si>
  <si>
    <t xml:space="preserve">user,opName,targetDomain</t>
  </si>
  <si>
    <t xml:space="preserve">Detects when domain authentication settings are modified in Microsoft Entra ID, including switching a domain between managed and federated authentication. An adversary may change domain authentication to redirect authentication to an attacker-controlled identity provider, allowing them to sign in as any user in that domain using forged tokens. This is a known technique for tenant backdooring and persistence. Legitimate administrative activity, approved change windows, service accounts, and known admin tools can also trigger this rule; tune known administrative activity before enabling in production.</t>
  </si>
  <si>
    <t xml:space="preserve">https://filestore.fortinet.com/docs.fortinet.com/fsiem/Public_Resource_Access/7_6_0/rules/PH_RULE_Azure_Entra_ID_Domain_Authentication_Changed.htm</t>
  </si>
  <si>
    <t xml:space="preserve">PH_Rule_Azure_Entra_ID_External_User_Added_To_Privileged_Group</t>
  </si>
  <si>
    <t xml:space="preserve">Azure Entra ID: External User Added To Privileged Group</t>
  </si>
  <si>
    <t xml:space="preserve">Medium</t>
  </si>
  <si>
    <t xml:space="preserve">Persistence</t>
  </si>
  <si>
    <t xml:space="preserve">T1098.007</t>
  </si>
  <si>
    <t xml:space="preserve">MS-Entra-AuditLogs-GroupMgmt-Add_member_to_group-success</t>
  </si>
  <si>
    <t xml:space="preserve">targetUser CONTAIN "#EXT#" AND groupName CONTAIN "Admin"</t>
  </si>
  <si>
    <t xml:space="preserve">user,targetUser,opName,groupName</t>
  </si>
  <si>
    <t xml:space="preserve">Detects when a guest or external user is added to a group that contains the string "Admin" in Microsoft Entra ID. While adding external users to groups is a routine collaboration activity, adding a guest to a privileged or sensitive group may indicate persistence, privilege escalation, or an attempt to bypass tenant controls by using an outside account. Legitimate B2B collaboration, approved partner onboarding, and known administrative tools can also trigger this rule; tune known administrative activity and approved guest onboarding workflows before enabling in production.</t>
  </si>
  <si>
    <t xml:space="preserve">https://filestore.fortinet.com/docs.fortinet.com/fsiem/Public_Resource_Access/7_6_0/rules/PH_RULE_Azure_Entra_ID_External_User_Added_To_Privileged_Group.htm</t>
  </si>
  <si>
    <t xml:space="preserve">PH_Rule_Azure_Entra_ID_MFA_Bypass</t>
  </si>
  <si>
    <t xml:space="preserve">Azure Entra ID: MFA Bypass Or Satisfied By Claim</t>
  </si>
  <si>
    <t xml:space="preserve">Entra ID, Credential Access, Privilege/account change</t>
  </si>
  <si>
    <t xml:space="preserve">Credential Access</t>
  </si>
  <si>
    <t xml:space="preserve">MS-Entra-SignInLogs-Logon-success</t>
  </si>
  <si>
    <t xml:space="preserve">statusDetailedReason REGEXP ".*(?:bypassed|satisfied by claim|not required).*"</t>
  </si>
  <si>
    <t xml:space="preserve">user,srcIpAddr,appName,policyStatus</t>
  </si>
  <si>
    <t xml:space="preserve">Entra Event Hub: SignInLogs (interactive)</t>
  </si>
  <si>
    <t xml:space="preserve">ei</t>
  </si>
  <si>
    <t xml:space="preserve">Detects sign-in events where MFA was bypassed or satisfied by an unexpected claim. Adversaries may modify authentication processes to bypass MFA requirements, allowing unauthorized access without the second factor.</t>
  </si>
  <si>
    <t xml:space="preserve">https://filestore.fortinet.com/docs.fortinet.com/fsiem/Public_Resource_Access/7_6_0/rules/PH_RULE_Azure_Entra_ID_MFA_Bypass.htm</t>
  </si>
  <si>
    <t xml:space="preserve">PH_Rule_Azure_Entra_ID_New_Federation_Domain_Added</t>
  </si>
  <si>
    <t xml:space="preserve">Azure Entra ID: New Federation Domain Added</t>
  </si>
  <si>
    <t xml:space="preserve">Entra ID, Active Directory, Privilege/account change</t>
  </si>
  <si>
    <t xml:space="preserve">MS-Entra-AuditLogs-DirectoryMgmt-Set_federation_settings_on_domain-success</t>
  </si>
  <si>
    <t xml:space="preserve">Detects when federation settings are configured on a domain in Microsoft Entra ID. Adversaries may add or modify federation settings to establish an attacker-controlled identity provider for a legitimate domain, allowing them to sign in as any user in the tenant using forged tokens. This is a known technique for persistence and privilege escalation (e.g., Azure AD backdoor federation). Legitimate administrative activity, approved change windows, service accounts, and known admin tools can also trigger this rule; tune known administrative activity before enabling in production.</t>
  </si>
  <si>
    <t xml:space="preserve">https://filestore.fortinet.com/docs.fortinet.com/fsiem/Public_Resource_Access/7_6_0/rules/PH_RULE_Azure_Entra_ID_New_Federation_Domain_Added.htm</t>
  </si>
  <si>
    <t xml:space="preserve">PH_Rule_Azure_Entra_ID_OAuth_Secret_Added</t>
  </si>
  <si>
    <t xml:space="preserve">Azure Entra ID: OAuth Secret Added</t>
  </si>
  <si>
    <t xml:space="preserve">T1098.001</t>
  </si>
  <si>
    <t xml:space="preserve">MS-Entra-AuditLogs-ApplicationMgmt-Add_service_principal_credentials-success
MS-Entra-AuditLogs-ApplicationMgmt-Update_application_Certificates_and_secrets_Mgmt-success</t>
  </si>
  <si>
    <t xml:space="preserve">user,targetUser,opName</t>
  </si>
  <si>
    <t xml:space="preserve">Detects when a credential or secret is added to an OAuth application or service principal. An adversary may add credentials to an application or service principal to establish persistence and access resources using the application's permissions.</t>
  </si>
  <si>
    <t xml:space="preserve">https://filestore.fortinet.com/docs.fortinet.com/fsiem/Public_Resource_Access/7_6_0/rules/PH_RULE_Azure_Entra_ID_OAuth_Secret_Added.htm</t>
  </si>
  <si>
    <t xml:space="preserve">PH_Rule_Azure_Entra_ID_User_Added_To_Application_Admin</t>
  </si>
  <si>
    <t xml:space="preserve">Azure Entra ID: User Added To Application Admin</t>
  </si>
  <si>
    <t xml:space="preserve">T1098.003</t>
  </si>
  <si>
    <t xml:space="preserve">MS-Entra-AuditLogs-RoleMgmt-Add_member_to_role-success</t>
  </si>
  <si>
    <t xml:space="preserve">role = "Application Administrator"</t>
  </si>
  <si>
    <t xml:space="preserve">user,opName,role,targetUser</t>
  </si>
  <si>
    <t xml:space="preserve">Detects when a user is added to the Application Administrator privileged role in Microsoft Entra ID. An adversary with sufficient privileges may add an account to this role to establish persistence, manage application registrations and service principals, or grant themselves credentials on applications that have sensitive Microsoft Graph permissions. Legitimate administrative activity, approved change windows, service accounts, and known admin tools can also trigger this rule; tune known administrative activity before enabling in production.</t>
  </si>
  <si>
    <t xml:space="preserve">https://filestore.fortinet.com/docs.fortinet.com/fsiem/Public_Resource_Access/7_6_0/rules/PH_RULE_Azure_Entra_ID_User_Added_To_Application_Admin.htm</t>
  </si>
  <si>
    <t xml:space="preserve">PH_Rule_Azure_Entra_ID_User_Added_To_Exchange_Admin</t>
  </si>
  <si>
    <t xml:space="preserve">Azure Entra ID: User Added To Exchange Admin</t>
  </si>
  <si>
    <t xml:space="preserve">role = "Exchange Administrator"</t>
  </si>
  <si>
    <t xml:space="preserve">Detects when a user is added to the Exchange Administrator role in Microsoft Entra ID. This role can manage all aspects of Exchange Online, including mailboxes, mail flow rules, and transport configuration. An adversary with this role can access email content, create inbox rules for persistence, modify mail flow to intercept or exfiltrate messages, or grant themselves Full Access to any mailbox. Legitimate administrative activity, approved change windows, service accounts, and known admin tools can also trigger this rule; tune known administrative activity before enabling in production.</t>
  </si>
  <si>
    <t xml:space="preserve">https://filestore.fortinet.com/docs.fortinet.com/fsiem/Public_Resource_Access/7_6_0/rules/PH_RULE_Azure_Entra_ID_User_Added_To_Exchange_Admin.htm</t>
  </si>
  <si>
    <t xml:space="preserve">PH_Rule_Azure_Entra_ID_User_Added_To_Global_Admin</t>
  </si>
  <si>
    <t xml:space="preserve">Azure Entra ID: User Added To Global Admin</t>
  </si>
  <si>
    <t xml:space="preserve">role = "Global Administrator"</t>
  </si>
  <si>
    <t xml:space="preserve">Detects when a user is added to the Global Administrator role in Microsoft Entra ID. This is the most powerful role in Entra ID, providing full access to all administrative features across Microsoft 365 and Azure services. An adversary with this role can perform any administrative action, including managing security controls, accessing all data, creating new admin accounts, and resetting user credentials. Legitimate administrative activity, approved change windows, service accounts, and known admin tools can also trigger this rule; tune known administrative activity before enabling in production.</t>
  </si>
  <si>
    <t xml:space="preserve">https://filestore.fortinet.com/docs.fortinet.com/fsiem/Public_Resource_Access/7_6_0/rules/PH_RULE_Azure_Entra_ID_User_Added_To_Global_Admin.htm</t>
  </si>
  <si>
    <t xml:space="preserve">PH_Rule_Azure_Entra_ID_User_Added_To_Privileged_Role_Admin</t>
  </si>
  <si>
    <t xml:space="preserve">Azure Entra ID: User Added To Privileged Role Admin</t>
  </si>
  <si>
    <t xml:space="preserve">role = "Privileged Role Administrator"</t>
  </si>
  <si>
    <t xml:space="preserve">Detects when a user is added to the Privileged Administrator role in Microsoft Entra ID. This role can manage all role assignments in Entra ID, including Global Administrator, and is among the most sensitive privileged roles in the tenant. An adversary with control of this role can escalate themselves or others to any privileged role. Legitimate administrative activity, approved change windows, service accounts, and known admin tools can also trigger this rule; tune known administrative activity before enabling in production.</t>
  </si>
  <si>
    <t xml:space="preserve">https://filestore.fortinet.com/docs.fortinet.com/fsiem/Public_Resource_Access/7_6_0/rules/PH_RULE_Azure_Entra_ID_User_Added_To_Privileged_Role_Admin.htm</t>
  </si>
  <si>
    <t xml:space="preserve">PH_Rule_Azure_Entra_ID_User_Added_To_Security_Admin</t>
  </si>
  <si>
    <t xml:space="preserve">Azure Entra ID: User Added To Security Admin</t>
  </si>
  <si>
    <t xml:space="preserve">role = "Security Administrator"</t>
  </si>
  <si>
    <t xml:space="preserve">Detects when a user is added to the Security Administrator role in Microsoft Entra ID. This role can read all security-related information, manage security configuration, and grant administrative access to other security tools. An adversary with this role can tamper with security controls, alter alerts, or disable security monitoring. Legitimate administrative activity, approved change windows, service accounts, and known admin tools can also trigger this rule; tune known administrative activity before enabling in production.</t>
  </si>
  <si>
    <t xml:space="preserve">https://filestore.fortinet.com/docs.fortinet.com/fsiem/Public_Resource_Access/7_6_0/rules/PH_RULE_Azure_Entra_ID_User_Added_To_Security_Admin.htm</t>
  </si>
  <si>
    <t xml:space="preserve">PH_Rule_Linux_etc_shadow_access</t>
  </si>
  <si>
    <t xml:space="preserve">Linux: /etc/shadow Access</t>
  </si>
  <si>
    <t xml:space="preserve">T1003.008</t>
  </si>
  <si>
    <t xml:space="preserve">Linux Process Monitoring via Linux Collector</t>
  </si>
  <si>
    <t xml:space="preserve">LINUX_Auditd_PATH
LINUX_Auditd_SYSCALL
LINUX_PROCESS_EXEC</t>
  </si>
  <si>
    <t xml:space="preserve">(osObjName="/etc/shadow" OR command REGEXP ".*(?:/etc/shadow|unshadow).*")</t>
  </si>
  <si>
    <t xml:space="preserve">hostName,user,procName,command,osObjName</t>
  </si>
  <si>
    <t xml:space="preserve">Linux Collector: LINUX_Auditd_PATH
Linux Collector: LINUX_Auditd_SYSCALL
Linux Collector: LINUX_PROCESS_EXEC</t>
  </si>
  <si>
    <t xml:space="preserve">Detects reads or copies of /etc/shadow. The /etc/shadow file stores hashed passwords and is only readable by root. Access by unauthorized users or tools like unshadow may indicate credential dumping activity.</t>
  </si>
  <si>
    <t xml:space="preserve">https://filestore.fortinet.com/docs.fortinet.com/fsiem/Public_Resource_Access/7_6_0/rules/PH_RULE_Linux_etc_shadow_access.htm</t>
  </si>
  <si>
    <t xml:space="preserve">PH_Rule_Linux_Root_Equivalent_Account_Command</t>
  </si>
  <si>
    <t xml:space="preserve">Linux: Attempt to Create or Modify a Root-Equivalent Account</t>
  </si>
  <si>
    <t xml:space="preserve">Privilege/account change</t>
  </si>
  <si>
    <t xml:space="preserve">Event-Based</t>
  </si>
  <si>
    <t xml:space="preserve">T1136.001</t>
  </si>
  <si>
    <t xml:space="preserve">LINUX_Auditd_SYSCALL
LINUX_PROCESS_EXEC</t>
  </si>
  <si>
    <t xml:space="preserve">procName REGEXP "(?i).*(useradd|usermod)$" AND command REGEXP "(?i)\s*(?:-u\s*0|--uid(?:\s+|=)\s*0).*"</t>
  </si>
  <si>
    <t xml:space="preserve">hostName,user,procName,command</t>
  </si>
  <si>
    <t xml:space="preserve">Linux Collector: LINUX_PROCESS_EXEC
Linux Collector: LINUX_Auditd_SYSCALL</t>
  </si>
  <si>
    <t xml:space="preserve">Detects execution of useradd or usermod with an option assigning UID 0 to an account. A newly created UID 0 account has root-equivalent privileges, while assigning UID 0 to an existing account can provide persistent privileged access. This rule detects the command attempt and does not necessarily confirm that the account change succeeded. Validate the process exit status and resulting account state in /etc/passwd. Legitimate UID 0 account creation or modification is rare and should be investigated.</t>
  </si>
  <si>
    <t xml:space="preserve">https://filestore.fortinet.com/docs.fortinet.com/fsiem/Public_Resource_Access/7_6_0/rules/PH_RULE_Linux_Root_Equivalent_Account_Command.htm</t>
  </si>
  <si>
    <t xml:space="preserve">PH_Rule_Linux_PAM_Configuration_Modified</t>
  </si>
  <si>
    <t xml:space="preserve">Linux: PAM Configuration Modified</t>
  </si>
  <si>
    <t xml:space="preserve">T1556.003</t>
  </si>
  <si>
    <t xml:space="preserve">Linux File Monitoring via Linux Collector</t>
  </si>
  <si>
    <t xml:space="preserve">FSM_LINUX_FILE_MODIFY</t>
  </si>
  <si>
    <t xml:space="preserve">targetOsObjName REGEXP "^/etc/pam\.conf$|^/etc/pam\.d/.*"</t>
  </si>
  <si>
    <t xml:space="preserve">hostName,user,targetOsObjName</t>
  </si>
  <si>
    <t xml:space="preserve">Linux Collector: FSM_LINUX_FILE_MODIFY</t>
  </si>
  <si>
    <t xml:space="preserve">Detects modifications to Linux PAM configuration files under /etc/pam.d/ or to /etc/pam.conf. Adversaries may alter PAM configuration to bypass authentication, capture credentials, execute unauthorized programs during authentication, weaken password controls, or establish persistent access. Legitimate package upgrades, configuration-management systems, and approved authentication-policy changes may also modify these files. Tune approved administrative tools, automation accounts, package managers, and maintenance windows before enabling in production.</t>
  </si>
  <si>
    <t xml:space="preserve">https://filestore.fortinet.com/docs.fortinet.com/fsiem/Public_Resource_Access/7_6_0/rules/PH_RULE_Linux_PAM_Configuration_Modified.htm</t>
  </si>
  <si>
    <t xml:space="preserve">PH_Rule_Win_Account_Created_Added_To_Privileged_Group</t>
  </si>
  <si>
    <t xml:space="preserve">Windows: Account Created Then Added To Privileged Group</t>
  </si>
  <si>
    <t xml:space="preserve">Active Directory, Windows Security log, Privilege/account change</t>
  </si>
  <si>
    <t xml:space="preserve">T1136.001, T1136.002, T1098.007</t>
  </si>
  <si>
    <t xml:space="preserve">Microsoft Windows Security Log via OMI or Windows Collector</t>
  </si>
  <si>
    <t xml:space="preserve">Win-Security-4720
Win-Security-4728
Win-Security-4732
Win-Security-4756</t>
  </si>
  <si>
    <t xml:space="preserve">AccountCreated AND AddedToPrivilegedGroup</t>
  </si>
  <si>
    <t xml:space="preserve">[AccountCreated] targetUser IS NOT NULL AND targetUserSID IS NOT NULL
[AddedToPrivilegedGroup] targetUser IS NOT NULL AND targetUserSID IS NOT NULL AND groupID REGEXP "(?i)^(?:S-1-5-32-(?:544|548|549|550|551|552|555|556|557|569|573|574|578|580)|S-1-5-21-[0-9]+-[0-9]+-[0-9]+-(?:512|518|519|520|526|527))$"</t>
  </si>
  <si>
    <t xml:space="preserve">[AccountCreated] hostName,user,securityId,targetUser,targetUserSID
[AddedToPrivilegedGroup] hostName,user,securityId,targetUser,targetUserSID,targetUserGrp,groupID</t>
  </si>
  <si>
    <t xml:space="preserve">[AccountCreated] COUNT(*) &gt;= 1
[AddedToPrivilegedGroup] COUNT(*) &gt;= 1</t>
  </si>
  <si>
    <t xml:space="preserve">AccountCreated.hostName = AddedToPrivilegedGroup.hostName AND AccountCreated.targetUserSID = AddedToPrivilegedGroup.targetUserSID</t>
  </si>
  <si>
    <t xml:space="preserve">Windows Security log: Security 4720
Windows Security log: Security 4728
Windows Security log: Security 4732
Windows Security log: Security 4756</t>
  </si>
  <si>
    <t xml:space="preserve">a4</t>
  </si>
  <si>
    <t xml:space="preserve">Detects a newly created local or domain user account that is subsequently added to a commonly privileged Windows or Active Directory security group. Monitored groups include Administrators, Domain Admins, Enterprise Admins, Schema Admins, Group Policy Creator Owners, Key Admins, Enterprise Key Admins, Account Operators, Server Operators, Print Operators, Backup Operators, Replicator, Remote Desktop Users, Network Configuration Operators, Incoming Forest Trust Builders, Cryptographic Operators, Event Log Readers, Certificate Service DCOM Access, Hyper-V Administrators, and Remote Management Users. Adversaries may create an account and grant it elevated, administrative, remote-access, or security-sensitive group membership to establish persistence or gain privileged access. Legitimate provisioning workflows may also trigger this rule; tune approved identity-management systems, service accounts, automation accounts, administrative tools, and change windows before enabling in production.</t>
  </si>
  <si>
    <t xml:space="preserve">https://filestore.fortinet.com/docs.fortinet.com/fsiem/Public_Resource_Access/7_6_0/rules/PH_RULE_Win_Account_Created_Added_To_Privileged_Group.htm</t>
  </si>
  <si>
    <t xml:space="preserve">PH_Rule_Win_ADCS_ESC10_Certificate_Mapping_Config_Command</t>
  </si>
  <si>
    <t xml:space="preserve">Windows: AD CS ESC10 Certificate Mapping Configuration Changed via Command</t>
  </si>
  <si>
    <t xml:space="preserve">Active Directory, Windows Security log, AD CS</t>
  </si>
  <si>
    <t xml:space="preserve">T1553.004</t>
  </si>
  <si>
    <t xml:space="preserve">Microsoft Windows Powershell Operational Logs via Windows Collector
Microsoft Windows Security Log via OMI or Windows Collector
Microsoft Windows Sysmon via Windows Collector</t>
  </si>
  <si>
    <t xml:space="preserve">Win-PowerShell-4104
Win-Security-4688
Win-Sysmon-1-Create-Process</t>
  </si>
  <si>
    <t xml:space="preserve">command REGEXP "(?i).*(?:reg(?:\.exe)?\s+(?:add|delete)|Set-ItemProperty|New-ItemProperty|Remove-ItemProperty).*?(?:StrongCertificateBindingEnforcement|CertificateMappingMethods).*"</t>
  </si>
  <si>
    <t xml:space="preserve">Windows Security log: Security 4688
Sysmon: Sysmon 1
PowerShell Operational: PowerShell 4104</t>
  </si>
  <si>
    <t xml:space="preserve">s1, s4</t>
  </si>
  <si>
    <t xml:space="preserve">Detects command-line or PowerShell activity that modifies Windows certificate mapping configuration associated with ESC10, including StrongCertificateBindingEnforcement or CertificateMappingMethods. Weakening these settings may permit certificates to authenticate through weak account mappings. The resulting registry value must be reviewed to determine whether security was weakened.</t>
  </si>
  <si>
    <t xml:space="preserve">https://filestore.fortinet.com/docs.fortinet.com/fsiem/Public_Resource_Access/7_6_0/rules/PH_RULE_Win_ADCS_ESC10_Certificate_Mapping_Config_Command.htm</t>
  </si>
  <si>
    <t xml:space="preserve">PH_Rule_Win_ADCS_ESC13_OID_Group_Link_Modified</t>
  </si>
  <si>
    <t xml:space="preserve">Windows: AD CS ESC13 OID Group Link Modified</t>
  </si>
  <si>
    <t xml:space="preserve">Active Directory, Windows Security log, AD CS, Credential Access</t>
  </si>
  <si>
    <t xml:space="preserve">T1606.002</t>
  </si>
  <si>
    <t xml:space="preserve">Win-Security-5136</t>
  </si>
  <si>
    <t xml:space="preserve">propName="msDS-OIDToGroupLink"</t>
  </si>
  <si>
    <t xml:space="preserve">hostName,user,osObjName,osObjType,propName,propValue</t>
  </si>
  <si>
    <t xml:space="preserve">Windows Security log: Security 5136</t>
  </si>
  <si>
    <t xml:space="preserve">a6</t>
  </si>
  <si>
    <t xml:space="preserve">Detects modification of the msDS-OIDToGroupLink attribute on an Active Directory issuance-policy OID object. This link can associate a certificate issuance policy with an Active Directory group and may enable ESC13-style privilege escalation when an attacker can enroll for a certificate containing the linked issuance policy.</t>
  </si>
  <si>
    <t xml:space="preserve">https://filestore.fortinet.com/docs.fortinet.com/fsiem/Public_Resource_Access/7_6_0/rules/PH_RULE_Win_ADCS_ESC13_OID_Group_Link_Modified.htm</t>
  </si>
  <si>
    <t xml:space="preserve">PH_Rule_Win_ADCS_ESC14_Explicit_Certificate_Mapping_Modified</t>
  </si>
  <si>
    <t xml:space="preserve">Windows: AD CS ESC14 Explicit Certificate Mapping Modified</t>
  </si>
  <si>
    <t xml:space="preserve">propName="altSecurityIdentities"</t>
  </si>
  <si>
    <t xml:space="preserve">Detects modification of the altSecurityIdentities attribute on an Active Directory account. This attribute defines explicit certificate-to-account mappings and may be abused in ESC14 to map an attacker-controlled certificate to another user or computer. Legitimate certificate mapping administration may also trigger this rule.</t>
  </si>
  <si>
    <t xml:space="preserve">https://filestore.fortinet.com/docs.fortinet.com/fsiem/Public_Resource_Access/7_6_0/rules/PH_RULE_Win_ADCS_ESC14_Explicit_Certificate_Mapping_Modified.htm</t>
  </si>
  <si>
    <t xml:space="preserve">PH_Rule_Win_ADCS_ESC16_SID_Extension_Disabled_Command</t>
  </si>
  <si>
    <t xml:space="preserve">Windows: AD CS ESC16 SID Security Extension Disabled via Command</t>
  </si>
  <si>
    <t xml:space="preserve">command REGEXP "(?i).*(?:certutil(?:\.exe)?.*-setreg.*DisableExtensionList|Set-ItemProperty.*DisableExtensionList).*1\.3\.6\.1\.4\.1\.311\.25\.2.*"</t>
  </si>
  <si>
    <t xml:space="preserve">Detects certutil or PowerShell command activity that adds the szOID_NTDS_CA_SECURITY_EXT OID to the certification authority DisableExtensionList. Disabling this extension prevents newly issued certificates from containing the Active Directory SID security extension and may enable ESC16-style certificate mapping abuse.</t>
  </si>
  <si>
    <t xml:space="preserve">https://filestore.fortinet.com/docs.fortinet.com/fsiem/Public_Resource_Access/7_6_0/rules/PH_RULE_Win_ADCS_ESC16_SID_Extension_Disabled_Command.htm</t>
  </si>
  <si>
    <t xml:space="preserve">PH_Rule_Win_ADCS_ESC2_Any_Purpose_EKU_Added</t>
  </si>
  <si>
    <t xml:space="preserve">Windows: AD CS ESC2 Any Purpose EKU Added to Certificate Template</t>
  </si>
  <si>
    <t xml:space="preserve">osObjType="pKICertificateTemplate" AND propName="pKIExtendedKeyUsage" AND propValue REGEXP "(?i).*(?:Any Purpose|2\.5\.29\.37\.0).*"</t>
  </si>
  <si>
    <t xml:space="preserve">hostName,user,osObjName,propName,propValue</t>
  </si>
  <si>
    <t xml:space="preserve">Detects modification of an AD CS certificate template to include the Any Purpose extended key usage OID. This configuration is associated with ESC2 because certificates issued from the template may be usable for authentication or other unintended purposes. Additional review of enrollment permissions and template settings is required to confirm exploitability.</t>
  </si>
  <si>
    <t xml:space="preserve">https://filestore.fortinet.com/docs.fortinet.com/fsiem/Public_Resource_Access/7_6_0/rules/PH_RULE_Win_ADCS_ESC2_Any_Purpose_EKU_Added.htm</t>
  </si>
  <si>
    <t xml:space="preserve">PH_Rule_Win_ADCS_ESC3_Enrollment_Agent_EKU_Added</t>
  </si>
  <si>
    <t xml:space="preserve">Windows: AD CS ESC3 Enrollment Agent EKU Added to Certificate Template</t>
  </si>
  <si>
    <t xml:space="preserve">osObjType="pKICertificateTemplate" AND propName="pKIExtendedKeyUsage" AND propValue REGEXP "(?i).*(?:Certificate Request Agent|1\.3\.6\.1\.4\.1\.311\.20\.2\.1).*"</t>
  </si>
  <si>
    <t xml:space="preserve">Detects modification of an AD CS certificate template to include the Certificate Request Agent extended key usage. This EKU permits an issued certificate to sign certificate requests on behalf of other users and is associated with ESC3. Additional review of enrollment-agent restrictions, issuance requirements, and enrollment permissions is required to confirm exploitability.</t>
  </si>
  <si>
    <t xml:space="preserve">https://filestore.fortinet.com/docs.fortinet.com/fsiem/Public_Resource_Access/7_6_0/rules/PH_RULE_Win_ADCS_ESC3_Enrollment_Agent_EKU_Added.htm</t>
  </si>
  <si>
    <t xml:space="preserve">PH_Rule_Win_ADCS_ESC5_PKI_Object_ACL_Modified</t>
  </si>
  <si>
    <t xml:space="preserve">Windows: AD CS ESC5 PKI Object ACL Modified</t>
  </si>
  <si>
    <t xml:space="preserve">propName="nTSecurityDescriptor" AND osObjName REGEXP "(?i).*(?:CN=Public Key Services|CN=Enrollment Services|CN=Certificate Templates|CN=Certification Authorities|CN=AIA|CN=CDP).*"</t>
  </si>
  <si>
    <t xml:space="preserve">hostName,user,osObjName,osObjType,propName</t>
  </si>
  <si>
    <t xml:space="preserve">Detects modification of the security descriptor on an Active Directory PKI object beneath the Public Key Services configuration container. Unauthorized control of PKI objects may enable ESC5-style abuse, including modification of certificate templates, certification authorities, enrollment services, or other certificate infrastructure configuration.</t>
  </si>
  <si>
    <t xml:space="preserve">https://filestore.fortinet.com/docs.fortinet.com/fsiem/Public_Resource_Access/7_6_0/rules/PH_RULE_Win_ADCS_ESC5_PKI_Object_ACL_Modified.htm</t>
  </si>
  <si>
    <t xml:space="preserve">PH_Rule_Win_ADCS_ESC7_CA_Security_Permissions_Changed</t>
  </si>
  <si>
    <t xml:space="preserve">Windows: AD CS ESC7 CA Security Permissions Changed</t>
  </si>
  <si>
    <t xml:space="preserve">Win-Security-4882</t>
  </si>
  <si>
    <t xml:space="preserve">hostName,user</t>
  </si>
  <si>
    <t xml:space="preserve">Windows Security log: Security 4882</t>
  </si>
  <si>
    <t xml:space="preserve">ca</t>
  </si>
  <si>
    <t xml:space="preserve">Detects a change to Certification Authority security permissions. Such changes may grant or alter CA administration rights such as Manage CA or Manage Certificates and may enable ESC7-style privilege escalation. Legitimate PKI administration may also generate this event, and the resulting access control changes should be reviewed.</t>
  </si>
  <si>
    <t xml:space="preserve">https://filestore.fortinet.com/docs.fortinet.com/fsiem/Public_Resource_Access/7_6_0/rules/PH_RULE_Win_ADCS_ESC7_CA_Security_Permissions_Changed.htm</t>
  </si>
  <si>
    <t xml:space="preserve">PH_Rule_Win_ADCS_Web_Enrollment_Certificate_Request</t>
  </si>
  <si>
    <t xml:space="preserve">Windows: AD CS Web Enrollment Certificate Request</t>
  </si>
  <si>
    <t xml:space="preserve">Active Directory, AD CS, Credential Access</t>
  </si>
  <si>
    <t xml:space="preserve">Microsoft IIS via Windows Collector</t>
  </si>
  <si>
    <t xml:space="preserve">IIS-Web-Bad-Request
IIS-Web-Client-Access-Denied
IIS-Web-Client-Error
IIS-Web-Forbidden-Access-Denied
IIS-Web-Request-Redirect
IIS-Web-Request-Success
IIS-Web-Server-Error</t>
  </si>
  <si>
    <t xml:space="preserve">httpMethod IN ("POST","post") AND uriStem REGEXP "(?i)^.*/certsrv/(?:certfnsh\.asp|certnew\.cer)$"</t>
  </si>
  <si>
    <t xml:space="preserve">reptDevName,srcIpAddr,user,httpMethod,uriStem</t>
  </si>
  <si>
    <t xml:space="preserve">IIS log: IIS web request</t>
  </si>
  <si>
    <t xml:space="preserve">Detects access to Active Directory Certificate Services Web Enrollment certificate-request submission endpoints. Web enrollment may be used legitimately, but unexpected requests from servers, network appliances, unmanaged systems, or other unusual sources should be investigated for possible NTLM relay or unauthorized certificate enrollment.</t>
  </si>
  <si>
    <t xml:space="preserve">https://filestore.fortinet.com/docs.fortinet.com/fsiem/Public_Resource_Access/7_6_0/rules/PH_RULE_Win_ADCS_Web_Enrollment_Certificate_Request.htm</t>
  </si>
  <si>
    <t xml:space="preserve">PH_Rule_Win_AdminSDHolder_Modified</t>
  </si>
  <si>
    <t xml:space="preserve">Windows: AdminSDHolder Modified</t>
  </si>
  <si>
    <t xml:space="preserve">osObjName REGEXP ".*AdminSDHolder.*"</t>
  </si>
  <si>
    <t xml:space="preserve">Detects changes to the AdminSDHolder object in Active Directory. The AdminSDHolder object is a template for permissions on protected accounts (Domain Admins, Enterprise Admins, etc). An adversary may modify AdminSDHolder to establish persistence by granting privileges to non-privileged accounts.</t>
  </si>
  <si>
    <t xml:space="preserve">https://filestore.fortinet.com/docs.fortinet.com/fsiem/Public_Resource_Access/7_6_0/rules/PH_RULE_Win_AdminSDHolder_Modified.htm</t>
  </si>
  <si>
    <t xml:space="preserve">PH_Rule_Win_Auth_Package_Modified</t>
  </si>
  <si>
    <t xml:space="preserve">Windows: Authentication Package Modified</t>
  </si>
  <si>
    <t xml:space="preserve">Windows Security log</t>
  </si>
  <si>
    <t xml:space="preserve">T1547.002</t>
  </si>
  <si>
    <t xml:space="preserve">command REGEXP ".*(?:Security Packages|Authentication Packages).*"</t>
  </si>
  <si>
    <t xml:space="preserve">Detects command lines or script blocks that modify LSASS authentication packages by writing to the Security Packages or Authentication Packages registry values. An adversary may register a malicious authentication package to load code into LSASS at boot, enabling credential theft and persistence.</t>
  </si>
  <si>
    <t xml:space="preserve">https://filestore.fortinet.com/docs.fortinet.com/fsiem/Public_Resource_Access/7_6_0/rules/PH_RULE_Win_Auth_Package_Modified.htm</t>
  </si>
  <si>
    <t xml:space="preserve">PH_Rule_Win_BloodHound_SharpHound_Execution</t>
  </si>
  <si>
    <t xml:space="preserve">Windows: BloodHound or SharpHound Execution</t>
  </si>
  <si>
    <t xml:space="preserve">Active Directory, Windows Security log</t>
  </si>
  <si>
    <t xml:space="preserve">Discovery</t>
  </si>
  <si>
    <t xml:space="preserve">T1087.002</t>
  </si>
  <si>
    <t xml:space="preserve">(procName REGEXP "(?i).*(?:SharpHound|BloodHound)(?:\.exe|\.ps1)?$" OR command REGEXP "(?i).*(?:SharpHound|BloodHound|Invoke-BloodHound|--?CollectionMethods?).*")</t>
  </si>
  <si>
    <t xml:space="preserve">Detects process names, command lines, or PowerShell script content containing explicit BloodHound or SharpHound collection-tool indicators. These tools collect Active Directory relationship, account, group, session, permission, and trust information for attack-path analysis. Authorized penetration testing and identity-security assessment activity may also trigger this rule.</t>
  </si>
  <si>
    <t xml:space="preserve">https://filestore.fortinet.com/docs.fortinet.com/fsiem/Public_Resource_Access/7_6_0/rules/PH_RULE_Win_BloodHound_SharpHound_Execution.htm</t>
  </si>
  <si>
    <t xml:space="preserve">PH_Rule_Win_CA_Configuration_Changed</t>
  </si>
  <si>
    <t xml:space="preserve">Windows: CA Configuration Changed</t>
  </si>
  <si>
    <t xml:space="preserve">Resource Development</t>
  </si>
  <si>
    <t xml:space="preserve">T1587.003</t>
  </si>
  <si>
    <t xml:space="preserve">Win-Security-4890
Win-Security-4891
Win-Security-4892
Win-Security-4893
Win-Security-4894</t>
  </si>
  <si>
    <t xml:space="preserve">Windows Security log: Security 4890
Windows Security log: Security 4891
Windows Security log: Security 4892
Windows Security log: Security 4893
Windows Security log: Security 4894</t>
  </si>
  <si>
    <t xml:space="preserve">Detects changes to Active Directory Certificate Services certificate authority configuration, including certificate manager settings, configuration entries, CA properties, and key archival or import operations. Such changes may indicate PKI tampering, unauthorized CA reconfiguration, or preparation for certificate-based privilege escalation. Legitimate PKI administration, scheduled CA maintenance, and approved change-window activity may also generate these events.</t>
  </si>
  <si>
    <t xml:space="preserve">https://filestore.fortinet.com/docs.fortinet.com/fsiem/Public_Resource_Access/7_6_0/rules/PH_RULE_Win_CA_Configuration_Changed.htm</t>
  </si>
  <si>
    <t xml:space="preserve">PH_Rule_Win_Certificate_Template_Modified</t>
  </si>
  <si>
    <t xml:space="preserve">Windows: Certificate Template Modified</t>
  </si>
  <si>
    <t xml:space="preserve">osObjType = "pKICertificateTemplate"</t>
  </si>
  <si>
    <t xml:space="preserve">hostName,user,osObjName,propName</t>
  </si>
  <si>
    <t xml:space="preserve">Detects modification of an Active Directory Certificate Services certificate template. Certificate template changes can alter enrollment permissions, authentication capabilities, subject-name handling, issuance requirements, or other security-sensitive properties. Legitimate PKI administration may also trigger this rule.</t>
  </si>
  <si>
    <t xml:space="preserve">https://filestore.fortinet.com/docs.fortinet.com/fsiem/Public_Resource_Access/7_6_0/rules/PH_RULE_Win_Certificate_Template_Modified.htm</t>
  </si>
  <si>
    <t xml:space="preserve">PH_Rule_Win_Certipy_Credential_Abuse</t>
  </si>
  <si>
    <t xml:space="preserve">Windows: Certipy Credential Abuse</t>
  </si>
  <si>
    <t xml:space="preserve">command REGEXP ".*certipy.*"</t>
  </si>
  <si>
    <t xml:space="preserve">Detects command lines or process names associated with Certipy credential abuse. Certipy is a Python tool for enumerating and abusing Active Directory Certificate Services (AD CS), enabling attacks such as certificate template exploitation, ESC1-ESC8 abuse, and forged certificate-based authentication to escalate privileges and impersonate users.</t>
  </si>
  <si>
    <t xml:space="preserve">https://filestore.fortinet.com/docs.fortinet.com/fsiem/Public_Resource_Access/7_6_0/rules/PH_RULE_Win_Certipy_Credential_Abuse.htm</t>
  </si>
  <si>
    <t xml:space="preserve">PH_Rule_Win_Comsvcs_MiniDump_LSASS</t>
  </si>
  <si>
    <t xml:space="preserve">Windows: comsvcs.dll MiniDump LSASS</t>
  </si>
  <si>
    <t xml:space="preserve">Windows Security log, Credential Access</t>
  </si>
  <si>
    <t xml:space="preserve">T1003.001</t>
  </si>
  <si>
    <t xml:space="preserve">Microsoft Windows Security Log via OMI or Windows Collector
Microsoft Windows Sysmon via Windows Collector</t>
  </si>
  <si>
    <t xml:space="preserve">Win-Security-4688
Win-Sysmon-1-Create-Process</t>
  </si>
  <si>
    <t xml:space="preserve">procName REGEXP ".*rundll32.exe$" AND command REGEXP ".*comsvcs.dll.*MiniDump.*lsass.*"</t>
  </si>
  <si>
    <t xml:space="preserve">Windows Security log: Security 4688
Sysmon: Sysmon 1</t>
  </si>
  <si>
    <t xml:space="preserve">s1</t>
  </si>
  <si>
    <t xml:space="preserve">Detects rundll32 loading comsvcs.dll to invoke MiniDump against LSASS. This technique abuses the built-in Windows comsvcs.dll MiniDump export to dump LSASS process memory without dropping procdump, evading simple tool-name-based detections and enabling credential theft.</t>
  </si>
  <si>
    <t xml:space="preserve">https://filestore.fortinet.com/docs.fortinet.com/fsiem/Public_Resource_Access/7_6_0/rules/PH_RULE_Win_Comsvcs_MiniDump_LSASS.htm</t>
  </si>
  <si>
    <t xml:space="preserve">PH_Rule_Win_Domain_Trust_Modified</t>
  </si>
  <si>
    <t xml:space="preserve">Windows: Domain Trust Modified</t>
  </si>
  <si>
    <t xml:space="preserve">T1482</t>
  </si>
  <si>
    <t xml:space="preserve">Win-Security-4706
Win-Security-4707
Win-Security-4716
Win-Security-5136</t>
  </si>
  <si>
    <t xml:space="preserve">((osObjType REGEXP ".*trustedDomain.*"))</t>
  </si>
  <si>
    <t xml:space="preserve">hostName,user,osObjName,osObjType</t>
  </si>
  <si>
    <t xml:space="preserve">Windows Security log: Security 4706
Windows Security log: Security 4707
Windows Security log: Security 4716
Windows Security log: Security 5136</t>
  </si>
  <si>
    <t xml:space="preserve">Detects domain trust object creation or modification. An adversary may create or modify domain trusts to enable lateral movement across domains or facilitate credential theft and discovery.</t>
  </si>
  <si>
    <t xml:space="preserve">https://filestore.fortinet.com/docs.fortinet.com/fsiem/Public_Resource_Access/7_6_0/rules/PH_RULE_Win_Domain_Trust_Modified.htm</t>
  </si>
  <si>
    <t xml:space="preserve">PH_Rule_Win_ESC1_Relevant_Template_Attribute_Modified</t>
  </si>
  <si>
    <t xml:space="preserve">Windows: ESC1-Relevant Certificate Template Attribute Modified</t>
  </si>
  <si>
    <t xml:space="preserve">osObjType = "pKICertificateTemplate" AND propName REGEXP "(?i)^(?:msPKI-Certificate-Name-Flag|pKIExtendedKeyUsage)$"</t>
  </si>
  <si>
    <t xml:space="preserve">Detects modification of certificate template attributes associated with ESC1 exposure, including subject-name handling and extended key usage. This event does not by itself prove that the template is exploitable; the resulting template configuration, enrollment permissions, issuance requirements, and authentication-capable EKUs should be reviewed.</t>
  </si>
  <si>
    <t xml:space="preserve">https://filestore.fortinet.com/docs.fortinet.com/fsiem/Public_Resource_Access/7_6_0/rules/PH_RULE_Win_ESC1_Relevant_Template_Attribute_Modified.htm</t>
  </si>
  <si>
    <t xml:space="preserve">PH_Rule_Win_ESC4_Certificate_Template_ACL_Modified</t>
  </si>
  <si>
    <t xml:space="preserve">Windows: ESC4 Certificate Template ACL Modified</t>
  </si>
  <si>
    <t xml:space="preserve">osObjType = "pKICertificateTemplate" AND propName REGEXP "(?i)^nTSecurityDescriptor$"</t>
  </si>
  <si>
    <t xml:space="preserve">Detects modification of the security descriptor on an Active Directory Certificate Services certificate template. An unauthorized principal with template write permissions may alter security-sensitive template settings or enrollment permissions, creating an ESC4 abuse path. Review the resulting access control entries and the account that performed the change.</t>
  </si>
  <si>
    <t xml:space="preserve">https://filestore.fortinet.com/docs.fortinet.com/fsiem/Public_Resource_Access/7_6_0/rules/PH_RULE_Win_ESC4_Certificate_Template_ACL_Modified.htm</t>
  </si>
  <si>
    <t xml:space="preserve">PH_Rule_Win_ESC6_EDITF_ATTRIBUTESUBJECTALTNAME2_Enabled</t>
  </si>
  <si>
    <t xml:space="preserve">Windows: ESC6 EDITF-ATTRIBUTESUBJECTALTNAME2 Enabled with Certutil</t>
  </si>
  <si>
    <t xml:space="preserve">Windows Security log, AD CS, Credential Access</t>
  </si>
  <si>
    <t xml:space="preserve">command REGEXP "(?i).*certutil(?:\.exe)?.*-setreg.*policy\\EditFlags.*\+EDITF_ATTRIBUTESUBJECTALTNAME2.*"</t>
  </si>
  <si>
    <t xml:space="preserve">Detects a certutil command that enables the EDITF_ATTRIBUTESUBJECTALTNAME2 certification authority policy flag. This setting permits certificate requesters to provide subject alternative names and can create an ESC6 abuse path when authentication-capable certificate templates are available. Emergency or approved PKI configuration changes may also trigger this rule.</t>
  </si>
  <si>
    <t xml:space="preserve">https://filestore.fortinet.com/docs.fortinet.com/fsiem/Public_Resource_Access/7_6_0/rules/PH_RULE_Win_ESC6_EDITF_ATTRIBUTESUBJECTALTNAME2_Enabled.htm</t>
  </si>
  <si>
    <t xml:space="preserve">PH_Rule_Win_Kerberoasting_Multiple_SPNs</t>
  </si>
  <si>
    <t xml:space="preserve">Windows: Kerberoasting Multiple SPNs</t>
  </si>
  <si>
    <t xml:space="preserve">Active Directory, Windows Security log, Kerberos, Credential Access</t>
  </si>
  <si>
    <t xml:space="preserve">T1558.003</t>
  </si>
  <si>
    <t xml:space="preserve">Win-Security-4769-success</t>
  </si>
  <si>
    <t xml:space="preserve">serviceName IS NOT NULL AND serviceName != "krbtgt"</t>
  </si>
  <si>
    <t xml:space="preserve">user,srcIpAddr</t>
  </si>
  <si>
    <t xml:space="preserve">COUNT(DISTINCT serviceName) &gt;= 10</t>
  </si>
  <si>
    <t xml:space="preserve">Windows Security log: Security 4769</t>
  </si>
  <si>
    <t xml:space="preserve">a2</t>
  </si>
  <si>
    <t xml:space="preserve">Detects a single account requesting successful Kerberos service tickets for many distinct service names within a short period. This behavior may indicate Kerberoasting, in which an adversary obtains service-ticket material for offline password cracking, but it may also result from legitimate automated or service-discovery activity. Events are aggregated by user and source IP rather than domain controller hostname so that a single burst distributed across multiple domain controllers is not split into separate groups.</t>
  </si>
  <si>
    <t xml:space="preserve">https://filestore.fortinet.com/docs.fortinet.com/fsiem/Public_Resource_Access/7_6_0/rules/PH_RULE_Win_Kerberoasting_Multiple_SPNs.htm</t>
  </si>
  <si>
    <t xml:space="preserve">PH_Rule_Win_KRBTGT_Password_Reset</t>
  </si>
  <si>
    <t xml:space="preserve">Windows: KRBTGT Password Reset</t>
  </si>
  <si>
    <t xml:space="preserve">Active Directory, Windows Security log, Kerberos, Credential Access, Privilege/account change</t>
  </si>
  <si>
    <t xml:space="preserve">T1558.001</t>
  </si>
  <si>
    <t xml:space="preserve">Win-Security-4724</t>
  </si>
  <si>
    <t xml:space="preserve">targetUser="krbtgt"</t>
  </si>
  <si>
    <t xml:space="preserve">hostName,user,targetUser</t>
  </si>
  <si>
    <t xml:space="preserve">Windows Security log: Security 4724</t>
  </si>
  <si>
    <t xml:space="preserve">Detects a password reset of the Active Directory krbtgt account. The krbtgt account is used by the Key Distribution Center (KDC) to sign and encrypt Kerberos tickets. Password resets of this account are rare and typically occur during incident response to invalidate forged Golden Tickets or as part of a planned security rotation. Unexpected resets should be investigated because they may indicate unauthorized administrative activity.</t>
  </si>
  <si>
    <t xml:space="preserve">https://filestore.fortinet.com/docs.fortinet.com/fsiem/Public_Resource_Access/7_6_0/rules/PH_RULE_Win_KRBTGT_Password_Reset.htm</t>
  </si>
  <si>
    <t xml:space="preserve">PH_Rule_Win_LaZagne_Credential_Dumping</t>
  </si>
  <si>
    <t xml:space="preserve">Windows: LaZagne Credential Dumping via Process or PowerShell</t>
  </si>
  <si>
    <t xml:space="preserve">T1555.005</t>
  </si>
  <si>
    <t xml:space="preserve">(command REGEXP ".*lazagne.*" OR procName REGEXP ".*lazagne.*")</t>
  </si>
  <si>
    <t xml:space="preserve">Detects command lines or process names associated with LaZagne credential dumping. LaZagne is an open-source tool that extracts passwords from many installed applications and the operating system credential stores.</t>
  </si>
  <si>
    <t xml:space="preserve">https://filestore.fortinet.com/docs.fortinet.com/fsiem/Public_Resource_Access/7_6_0/rules/PH_RULE_Win_LaZagne_Credential_Dumping.htm</t>
  </si>
  <si>
    <t xml:space="preserve">PH_Rule_Win_LSASS_Access_By_Suspicious_Process</t>
  </si>
  <si>
    <t xml:space="preserve">Windows: LSASS Access by Suspicious Process</t>
  </si>
  <si>
    <t xml:space="preserve">Microsoft Windows Sysmon via Windows Collector</t>
  </si>
  <si>
    <t xml:space="preserve">Win-Sysmon-10-ProcessAccess</t>
  </si>
  <si>
    <t xml:space="preserve">targetProcName REGEXP "(?i)^.*lsass\.exe$" AND procName REGEXP "(?i)^.*(?:procdump|procdump64|mimikatz|mimikatz64|rundll32|nanodump|dumpert|createdump|sqldumper)(?:\.exe)?$"</t>
  </si>
  <si>
    <t xml:space="preserve">hostName,user,procName,targetProcName</t>
  </si>
  <si>
    <t xml:space="preserve">Sysmon: Sysmon 10</t>
  </si>
  <si>
    <t xml:space="preserve">s2</t>
  </si>
  <si>
    <t xml:space="preserve">Detects selected processes associated with credential dumping or LSASS memory acquisition opening the LSASS process. Such access may indicate an attempt to read or dump credentials from LSASS memory. Legitimate debugging, diagnostic, security, or incident-response activity may also trigger this rule.</t>
  </si>
  <si>
    <t xml:space="preserve">https://filestore.fortinet.com/docs.fortinet.com/fsiem/Public_Resource_Access/7_6_0/rules/PH_RULE_Win_LSASS_Access_By_Suspicious_Process.htm</t>
  </si>
  <si>
    <t xml:space="preserve">PH_Rule_Win_Mass_Group_Membership_Changes</t>
  </si>
  <si>
    <t xml:space="preserve">Windows: Mass Group Membership Changes</t>
  </si>
  <si>
    <t xml:space="preserve">Win-Security-4728
Win-Security-4729
Win-Security-4732
Win-Security-4733
Win-Security-4756
Win-Security-4757</t>
  </si>
  <si>
    <t xml:space="preserve">hostName,user,securityId</t>
  </si>
  <si>
    <t xml:space="preserve">COUNT(DISTINCT targetUserSID) &gt;= 10</t>
  </si>
  <si>
    <t xml:space="preserve">Windows Security log: Security 4728
Windows Security log: Security 4729
Windows Security log: Security 4732
Windows Security log: Security 4733
Windows Security log: Security 4756
Windows Security log: Security 4757</t>
  </si>
  <si>
    <t xml:space="preserve">Detects a single actor making many group membership changes within a short window. Bulk group membership changes by one actor may indicate an adversary granting privileges to many accounts at once, escalating rights for persistence, or reshuffling group memberships to evade monitoring. Legitimate access-review campaigns, group reorganizations, and migration tools can also generate bursts of group membership changes; tune known admin tools, scanners, service accounts, and approved change windows before enabling in production.</t>
  </si>
  <si>
    <t xml:space="preserve">https://filestore.fortinet.com/docs.fortinet.com/fsiem/Public_Resource_Access/7_6_0/rules/PH_RULE_Win_Mass_Group_Membership_Changes.htm</t>
  </si>
  <si>
    <t xml:space="preserve">PH_Rule_Win_Mass_User_Creation_By_One_Actor</t>
  </si>
  <si>
    <t xml:space="preserve">Windows: Mass User Creation By One Actor</t>
  </si>
  <si>
    <t xml:space="preserve">Win-Security-4720</t>
  </si>
  <si>
    <t xml:space="preserve">Windows Security log: Security 4720</t>
  </si>
  <si>
    <t xml:space="preserve">Detects a single actor creating many user accounts within a short window. A spike in account creation by one actor may indicate an adversary establishing persistence accounts, sometimes in bulk, or abusing an automated provisioning process. Legitimate account provisioning tools and joiner workflows can also generate bursts of account creation; tune known admin tools, scanners, service accounts, and approved change windows before enabling in production.</t>
  </si>
  <si>
    <t xml:space="preserve">https://filestore.fortinet.com/docs.fortinet.com/fsiem/Public_Resource_Access/7_6_0/rules/PH_RULE_Win_Mass_User_Creation_By_One_Actor.htm</t>
  </si>
  <si>
    <t xml:space="preserve">PH_Rule_Win_Mass_User_Disable_By_One_Actor</t>
  </si>
  <si>
    <t xml:space="preserve">Windows: Mass User Disable By One Actor</t>
  </si>
  <si>
    <t xml:space="preserve">Win-Security-4725</t>
  </si>
  <si>
    <t xml:space="preserve">Windows Security log: Security 4725</t>
  </si>
  <si>
    <t xml:space="preserve">Detects a single actor disabling many user accounts within a short window. Bulk disabling of accounts by one actor may indicate an adversary attempting to disrupt business, hold credentials hostage, or prepare the environment for further actions such as ransomware deployment. Legitimate deprovisioning workflows and joiner-leaver automation can also generate bursts of account disabling; tune known admin tools, scanners, service accounts, and approved change windows before enabling in production.</t>
  </si>
  <si>
    <t xml:space="preserve">https://filestore.fortinet.com/docs.fortinet.com/fsiem/Public_Resource_Access/7_6_0/rules/PH_RULE_Win_Mass_User_Disable_By_One_Actor.htm</t>
  </si>
  <si>
    <t xml:space="preserve">PH_Rule_Win_Mimikatz_Command</t>
  </si>
  <si>
    <t xml:space="preserve">Windows: Mimikatz Command</t>
  </si>
  <si>
    <t xml:space="preserve">Windows Security log, Kerberos, Credential Access</t>
  </si>
  <si>
    <t xml:space="preserve">command REGEXP ".*(?:mimikatz|sekurlsa|lsadump|kerberos::|privilege::debug).*"</t>
  </si>
  <si>
    <t xml:space="preserve">Detects common Mimikatz command strings in process creation and PowerShell script block events. Mimikatz is a credential-dumping tool that extracts credentials, NTLM hashes, Kerberos tickets, and PINs from memory; matched command tokens (mimikatz, sekurlsa, lsadump, kerberos::, privilege::debug) indicate abuse attempts.</t>
  </si>
  <si>
    <t xml:space="preserve">https://filestore.fortinet.com/docs.fortinet.com/fsiem/Public_Resource_Access/7_6_0/rules/PH_RULE_Win_Mimikatz_Command.htm</t>
  </si>
  <si>
    <t xml:space="preserve">PH_Rule_Win_Nanodump_LSASS_Dumping</t>
  </si>
  <si>
    <t xml:space="preserve">Windows: Nanodump LSASS Dumping</t>
  </si>
  <si>
    <t xml:space="preserve">command REGEXP ".*nanodump.*"</t>
  </si>
  <si>
    <t xml:space="preserve">Detects command lines or process names associated with Nanodump LSASS dumping. Nanodump is an open-source tool that dumps credentials from the Local Security Authority Subsystem Service (LSASS) process memory, enabling extraction of NTLM hashes and Kerberos tickets for credential theft and lateral movement.</t>
  </si>
  <si>
    <t xml:space="preserve">https://filestore.fortinet.com/docs.fortinet.com/fsiem/Public_Resource_Access/7_6_0/rules/PH_RULE_Win_Nanodump_LSASS_Dumping.htm</t>
  </si>
  <si>
    <t xml:space="preserve">PH_Rule_Win_Procdump_LSASS_Dump</t>
  </si>
  <si>
    <t xml:space="preserve">Windows: Procdump LSASS Dump</t>
  </si>
  <si>
    <t xml:space="preserve">procName REGEXP ".*procdump.*" AND command REGEXP ".*lsass.*"</t>
  </si>
  <si>
    <t xml:space="preserve">Detects ProcDump targeting the LSASS process. ProcDump (Sysinternals) is commonly abused by adversaries to create a minidump of LSASS memory, enabling extraction of credentials, NTLM hashes, and Kerberos tickets for credential theft and lateral movement.</t>
  </si>
  <si>
    <t xml:space="preserve">https://filestore.fortinet.com/docs.fortinet.com/fsiem/Public_Resource_Access/7_6_0/rules/PH_RULE_Win_Procdump_LSASS_Dump.htm</t>
  </si>
  <si>
    <t xml:space="preserve">PH_Rule_Win_PsExec_Service_Creation</t>
  </si>
  <si>
    <t xml:space="preserve">Windows: PsExec Service Creation</t>
  </si>
  <si>
    <t xml:space="preserve">Execution</t>
  </si>
  <si>
    <t xml:space="preserve">T1569.002</t>
  </si>
  <si>
    <t xml:space="preserve">Microsoft Windows System Log via OMI or Windows Collector</t>
  </si>
  <si>
    <t xml:space="preserve">Win-System-Service-Control-Manager-7045</t>
  </si>
  <si>
    <t xml:space="preserve">(serviceName REGEXP "(?i)^(?:PSEXESVC|PAExec.*|RemComSvc.*)$" OR serviceFileName REGEXP "(?i).*[\\/](?:PSEXESVC|PAExec[^\\/]*|RemComSvc[^\\/]*)\.exe(?:\s.*)?$")</t>
  </si>
  <si>
    <t xml:space="preserve">hostName,user,serviceName,serviceFileName</t>
  </si>
  <si>
    <t xml:space="preserve">Windows System log: System 7045</t>
  </si>
  <si>
    <t xml:space="preserve">Detects PsExec-style service installation. Adversaries use PsExec and similar tools (PAExec, RemCom) to execute commands remotely by installing and starting a temporary service, enabling lateral movement across hosts.</t>
  </si>
  <si>
    <t xml:space="preserve">https://filestore.fortinet.com/docs.fortinet.com/fsiem/Public_Resource_Access/7_6_0/rules/PH_RULE_Win_PsExec_Service_Creation.htm</t>
  </si>
  <si>
    <t xml:space="preserve">PH_Rule_Win_Pypykatz_Credential_Dumping</t>
  </si>
  <si>
    <t xml:space="preserve">Windows: Pypykatz Credential Dumping via Process or PowerShell</t>
  </si>
  <si>
    <t xml:space="preserve">(command REGEXP ".*pypykatz.*" OR procName REGEXP ".*pypykatz.*")</t>
  </si>
  <si>
    <t xml:space="preserve">Detects command lines or process names associated with Pypykatz credential dumping. Pypykatz is a Python implementation of Mimikatz that extracts credentials from LSASS memory and other credential stores.</t>
  </si>
  <si>
    <t xml:space="preserve">https://filestore.fortinet.com/docs.fortinet.com/fsiem/Public_Resource_Access/7_6_0/rules/PH_RULE_Win_Pypykatz_Credential_Dumping.htm</t>
  </si>
  <si>
    <t xml:space="preserve">PH_Rule_Win_RBCD_Attribute_Modified</t>
  </si>
  <si>
    <t xml:space="preserve">Windows: RBCD Attribute Modified</t>
  </si>
  <si>
    <t xml:space="preserve">propName="msDS-AllowedToActOnBehalfOfOtherIdentity"</t>
  </si>
  <si>
    <t xml:space="preserve">Detects modification of the msDS-AllowedToActOnBehalfOfOtherIdentity attribute, which configures resource-based constrained delegation (RBCD). An adversary may set RBCD on a target computer to allow a compromised account to impersonate any user to that system.</t>
  </si>
  <si>
    <t xml:space="preserve">https://filestore.fortinet.com/docs.fortinet.com/fsiem/Public_Resource_Access/7_6_0/rules/PH_RULE_Win_RBCD_Attribute_Modified.htm</t>
  </si>
  <si>
    <t xml:space="preserve">PH_Rule_Win_Rubeus_Kerberos_Abuse</t>
  </si>
  <si>
    <t xml:space="preserve">Windows: Rubeus Kerberos Abuse</t>
  </si>
  <si>
    <t xml:space="preserve">command REGEXP ".*Rubeus.*"</t>
  </si>
  <si>
    <t xml:space="preserve">Detects command lines or process names associated with Rubeus Kerberos abuse. Rubeus is a toolkit for Kerberos interaction and abuse, enabling attacks such as Kerberoasting, AS-REP roasting, ticket forging (golden/silver tickets), pass-the-ticket, and credential harvesting from memory.</t>
  </si>
  <si>
    <t xml:space="preserve">https://filestore.fortinet.com/docs.fortinet.com/fsiem/Public_Resource_Access/7_6_0/rules/PH_RULE_Win_Rubeus_Kerberos_Abuse.htm</t>
  </si>
  <si>
    <t xml:space="preserve">PH_Rule_Win_SafetyKatz_Credential_Dumping</t>
  </si>
  <si>
    <t xml:space="preserve">Windows: SafetyKatz Credential Dumping</t>
  </si>
  <si>
    <t xml:space="preserve">command REGEXP ".*SafetyKatz.*"</t>
  </si>
  <si>
    <t xml:space="preserve">Detects command lines or process names associated with SafetyKatz credential dumping. SafetyKatz is a combination of a modified version of the Mimikatz project and a .NET PE Loader that dumps credentials from memory.</t>
  </si>
  <si>
    <t xml:space="preserve">https://filestore.fortinet.com/docs.fortinet.com/fsiem/Public_Resource_Access/7_6_0/rules/PH_RULE_Win_SafetyKatz_Credential_Dumping.htm</t>
  </si>
  <si>
    <t xml:space="preserve">PH_Rule_Win_Schema_Modification</t>
  </si>
  <si>
    <t xml:space="preserve">Windows: Schema Modification</t>
  </si>
  <si>
    <t xml:space="preserve">osObjName REGEXP ".*CN=Schema,CN=Configuration.*"</t>
  </si>
  <si>
    <t xml:space="preserve">Detects Active Directory schema changes. The schema defines all object classes and attributes that can be stored in the directory. An adversary may modify the schema to establish persistence or introduce backdoor objects into the directory.</t>
  </si>
  <si>
    <t xml:space="preserve">https://filestore.fortinet.com/docs.fortinet.com/fsiem/Public_Resource_Access/7_6_0/rules/PH_RULE_Win_Schema_Modification.htm</t>
  </si>
  <si>
    <t xml:space="preserve">PH_Rule_Win_Secretsdump_Execution</t>
  </si>
  <si>
    <t xml:space="preserve">Windows: Secretsdump Execution via Process or PowerShell</t>
  </si>
  <si>
    <t xml:space="preserve">Active Directory, Windows Security log, Credential Access</t>
  </si>
  <si>
    <t xml:space="preserve">T1003.003</t>
  </si>
  <si>
    <t xml:space="preserve">(command REGEXP ".*secretsdump.*" OR procName REGEXP ".*secretsdump.*")</t>
  </si>
  <si>
    <t xml:space="preserve">Detects command lines or process names associated with Impacket's secretsdump.py. This tool remotely dumps NTDS.dit and LSA secrets, often used after compromising credentials to extract password hashes from a domain controller.</t>
  </si>
  <si>
    <t xml:space="preserve">https://filestore.fortinet.com/docs.fortinet.com/fsiem/Public_Resource_Access/7_6_0/rules/PH_RULE_Win_Secretsdump_Execution.htm</t>
  </si>
  <si>
    <t xml:space="preserve">PH_Rule_Win_Sensitive_Registry_Hive_Save</t>
  </si>
  <si>
    <t xml:space="preserve">Windows: Sensitive Registry Hive Save</t>
  </si>
  <si>
    <t xml:space="preserve">T1003.002</t>
  </si>
  <si>
    <t xml:space="preserve">command REGEXP "(?i).*reg(?:\.exe)?\s+save\s+.?(?:HKLM|HKEY_LOCAL_MACHINE)\\(?:SAM|SYSTEM|SECURITY).*"</t>
  </si>
  <si>
    <t xml:space="preserve">Detects use of the reg save command to export the SAM, SYSTEM, or SECURITY registry hives from HKEY_LOCAL_MACHINE. Adversaries may copy these hives for offline credential extraction, including recovery of local account password hashes and LSA secrets. Legitimate backup, forensic, or incident-response activity may also trigger this rule.</t>
  </si>
  <si>
    <t xml:space="preserve">https://filestore.fortinet.com/docs.fortinet.com/fsiem/Public_Resource_Access/7_6_0/rules/PH_RULE_Win_Sensitive_Registry_Hive_Save.htm</t>
  </si>
  <si>
    <t xml:space="preserve">PH_Rule_Win_Shadow_Credentials_KeyCredentialLink_Modified</t>
  </si>
  <si>
    <t xml:space="preserve">Windows: Shadow Credentials KeyCredentialLink Modified</t>
  </si>
  <si>
    <t xml:space="preserve">propName = "msDS-KeyCredentialLink"</t>
  </si>
  <si>
    <t xml:space="preserve">Detects modification of the msDS-KeyCredentialLink attribute on a directory service object. An adversary may write a KeyCredentialLink to a target account to establish shadow credentials, enabling authentication as that account via Windows Hello for Business or PKINIT without changing its password. Legitimate Windows Hello for Business enrollment, device registration, and approved identity-management tooling may also generate this event.</t>
  </si>
  <si>
    <t xml:space="preserve">https://filestore.fortinet.com/docs.fortinet.com/fsiem/Public_Resource_Access/7_6_0/rules/PH_RULE_Win_Shadow_Credentials_KeyCredentialLink_Modified.htm</t>
  </si>
  <si>
    <t xml:space="preserve">PH_Rule_Win_SSP_Registration</t>
  </si>
  <si>
    <t xml:space="preserve">Windows: SSP Registration</t>
  </si>
  <si>
    <t xml:space="preserve">T1547.005</t>
  </si>
  <si>
    <t xml:space="preserve">command REGEXP ".*(?:Security Packages|SSP).*"</t>
  </si>
  <si>
    <t xml:space="preserve">Detects command lines or script blocks that register a Security Support Provider (SSP) by writing to the Security Packages registry value or referencing an SSP DLL. An adversary may register a malicious SSP to load code into the LSASS process at boot, capturing plaintext and encrypted credentials from logged-on users.</t>
  </si>
  <si>
    <t xml:space="preserve">https://filestore.fortinet.com/docs.fortinet.com/fsiem/Public_Resource_Access/7_6_0/rules/PH_RULE_Win_SSP_Registration.htm</t>
  </si>
  <si>
    <t xml:space="preserve">PH_Rule_Win_Suspicious_LSASS_Process_Access</t>
  </si>
  <si>
    <t xml:space="preserve">Windows: Suspicious LSASS Process Access</t>
  </si>
  <si>
    <t xml:space="preserve">LSASS_ACCESS</t>
  </si>
  <si>
    <t xml:space="preserve">targetProcName REGEXP "(?i)^.*lsass\.exe$" AND accessKeyId REGEXP "(?i)^0x0*(?:10|40|50|410|1010|1410|1f0fff|1fffff)$"</t>
  </si>
  <si>
    <t xml:space="preserve">hostName,user,procName,parentProcName,targetProcName</t>
  </si>
  <si>
    <t xml:space="preserve">Detects processes accessing LSASS with permissions commonly associated with credential dumping, memory reading, or process-handle duplication. Adversaries may access LSASS memory directly or obtain a reusable LSASS process handle to extract credentials. Legitimate security, diagnostic, backup, crash-dump, and administrative tools may also access LSASS. Tune approved security products, administrative tools, service accounts, executable paths, publishers, hashes, and maintenance activity before enabling in production.</t>
  </si>
  <si>
    <t xml:space="preserve">https://filestore.fortinet.com/docs.fortinet.com/fsiem/Public_Resource_Access/7_6_0/rules/PH_RULE_Win_Suspicious_LSASS_Process_Access.htm</t>
  </si>
  <si>
    <t xml:space="preserve">PH_Rule_Win_Token_Impersonation_Tool</t>
  </si>
  <si>
    <t xml:space="preserve">Windows: Token Impersonation Tool</t>
  </si>
  <si>
    <t xml:space="preserve">Windows Security log, Privilege Escalation</t>
  </si>
  <si>
    <t xml:space="preserve">Privilege Escalation</t>
  </si>
  <si>
    <t xml:space="preserve">T1134.001</t>
  </si>
  <si>
    <t xml:space="preserve">(procName REGEXP "(?i).*(?:incognito|JuicyPotato|RoguePotato|PrintSpoofer|GodPotato).*" OR command REGEXP "(?i).*(?:incognito|JuicyPotato|RoguePotato|PrintSpoofer|GodPotato).*")</t>
  </si>
  <si>
    <t xml:space="preserve">Detects execution of token impersonation and privilege escalation tools such as incognito, JuicyPotato, RoguePotato, PrintSpoofer, and GodPotato. These tools abuse Windows access token manipulation and local NTLM relay abuse to escalate privileges and impersonate SYSTEM or other accounts.</t>
  </si>
  <si>
    <t xml:space="preserve">https://filestore.fortinet.com/docs.fortinet.com/fsiem/Public_Resource_Access/7_6_0/rules/PH_RULE_Win_Token_Impersonation_Tool.htm</t>
  </si>
  <si>
    <t xml:space="preserve">PH_Rule_Access_51A</t>
  </si>
  <si>
    <t xml:space="preserve">Account Locked: Domain</t>
  </si>
  <si>
    <t xml:space="preserve">Existing, re-tagged ITDR</t>
  </si>
  <si>
    <t xml:space="preserve">Credential Access, Identity event group</t>
  </si>
  <si>
    <t xml:space="preserve">Disabled</t>
  </si>
  <si>
    <t xml:space="preserve">T1110.001</t>
  </si>
  <si>
    <t xml:space="preserve">Microsoft Windows via OMI or Windows Collector</t>
  </si>
  <si>
    <t xml:space="preserve">Group@PH_SYS_EVENT_DomainAccountLocked</t>
  </si>
  <si>
    <t xml:space="preserve">DomainAcctLockout</t>
  </si>
  <si>
    <t xml:space="preserve">reptDevName,reptDevIpAddr, user</t>
  </si>
  <si>
    <t xml:space="preserve">COUNT (*) &gt;= 1</t>
  </si>
  <si>
    <t xml:space="preserve">Event-type group (membership not published): Group@PH_SYS_EVENT_DomainAccountLocked</t>
  </si>
  <si>
    <t xml:space="preserve">Detects account lockout caused by excessive logon failures</t>
  </si>
  <si>
    <t xml:space="preserve">https://filestore.fortinet.com/docs.fortinet.com/fsiem/Public_Resource_Access/7_6_0/rules/PH_RULE_ACCOUNT_LOCKOUT_DOMAIN.htm</t>
  </si>
  <si>
    <t xml:space="preserve">PH_Rule_Access_51D</t>
  </si>
  <si>
    <t xml:space="preserve">Account Locked: FortiSIEM</t>
  </si>
  <si>
    <t xml:space="preserve">FortiSIEM via Syslog</t>
  </si>
  <si>
    <t xml:space="preserve">PH_AUDIT_ACCOUNT_LOCKED</t>
  </si>
  <si>
    <t xml:space="preserve">AOLockout</t>
  </si>
  <si>
    <t xml:space="preserve">srcIpAddr, srcGeoCountry, targetUser, reptDevName</t>
  </si>
  <si>
    <t xml:space="preserve">Other: PH_AUDIT_ACCOUNT_LOCKED</t>
  </si>
  <si>
    <t xml:space="preserve">Detects system (FortiSIEM) account lockout caused by excessive logon failures</t>
  </si>
  <si>
    <t xml:space="preserve">https://filestore.fortinet.com/docs.fortinet.com/fsiem/Public_Resource_Access/7_6_0/rules/PH_RULE_ACCOUNT_LOCKOUT_SYSTEM.htm</t>
  </si>
  <si>
    <t xml:space="preserve">PH_Rule_Access_51B</t>
  </si>
  <si>
    <t xml:space="preserve">Account Locked: Network Device</t>
  </si>
  <si>
    <t xml:space="preserve">FortiDeceptor via Syslog
FortiSwitch via Syslog
FortiProxy via Syslog
FortiGate via Syslog
Cisco IOS via Syslog
Cisco ASA via Syslog</t>
  </si>
  <si>
    <t xml:space="preserve">Group@PH_SYS_EVENT_HostAccountLocked</t>
  </si>
  <si>
    <t xml:space="preserve">NetDevAcctLockout</t>
  </si>
  <si>
    <t xml:space="preserve">reptDevIpAddr IN (Group@PH_SYS_DEVICE_Network)</t>
  </si>
  <si>
    <t xml:space="preserve">srcIpAddr, srcGeoCountry, reptDevName, reptDevIpAddr, user</t>
  </si>
  <si>
    <t xml:space="preserve">Event-type group (membership not published): Group@PH_SYS_EVENT_HostAccountLocked</t>
  </si>
  <si>
    <t xml:space="preserve">https://filestore.fortinet.com/docs.fortinet.com/fsiem/Public_Resource_Access/7_6_0/rules/PH_RULE_ACCOUNT_LOCKOUT_NET_DEV.htm</t>
  </si>
  <si>
    <t xml:space="preserve">PH_Rule_Access_51C</t>
  </si>
  <si>
    <t xml:space="preserve">Account Locked: Server</t>
  </si>
  <si>
    <t xml:space="preserve">Microsoft Windows via OMI or Windows Collector
Linux via Syslog</t>
  </si>
  <si>
    <t xml:space="preserve">ServerAcctLockout</t>
  </si>
  <si>
    <t xml:space="preserve">reptDevIpAddr IN (Group@PH_SYS_DEVICE_Server)</t>
  </si>
  <si>
    <t xml:space="preserve">https://filestore.fortinet.com/docs.fortinet.com/fsiem/Public_Resource_Access/7_6_0/rules/PH_RULE_ACCOUNT_LOCKOUT_SERVER.htm</t>
  </si>
  <si>
    <t xml:space="preserve">PH_Rule_ES_IMPORT_AWS_1</t>
  </si>
  <si>
    <t xml:space="preserve">AWS IAM Brute Force of Assume Role Policy</t>
  </si>
  <si>
    <t xml:space="preserve">AWS CloudTrail via AWS_CLOUDTRAIL</t>
  </si>
  <si>
    <t xml:space="preserve">CONTAIN:AWS-CloudTrail-IAM-UpdateAssumeRolePolicy</t>
  </si>
  <si>
    <t xml:space="preserve">errorString = "MalformedPolicyDocumentException"</t>
  </si>
  <si>
    <t xml:space="preserve">accountId,user</t>
  </si>
  <si>
    <t xml:space="preserve">COUNT(*) &gt;= 5</t>
  </si>
  <si>
    <t xml:space="preserve">Other: AWS-CloudTrail-IAM-UpdateAssumeRolePolicy</t>
  </si>
  <si>
    <t xml:space="preserve">Identifies a high number of failed attempts to assume an AWS Identity and Access Management (IAM) role. IAM roles are used to delegate access to users or services. An adversary may attempt to enumerate IAM roles in order to determine if a role exists before attempting to assume or hijack the discovered role.</t>
  </si>
  <si>
    <t xml:space="preserve">https://filestore.fortinet.com/docs.fortinet.com/fsiem/Public_Resource_Access/7_6_0/rules/PH_RULE_AWS_IAM_Brute_Force_of_Assume_Role_Policy.htm</t>
  </si>
  <si>
    <t xml:space="preserve">PH_Rule_ES_IMPORT_AWS_21</t>
  </si>
  <si>
    <t xml:space="preserve">AWS IAM MFA Device Deactivated</t>
  </si>
  <si>
    <t xml:space="preserve">Impact</t>
  </si>
  <si>
    <t xml:space="preserve">T1531</t>
  </si>
  <si>
    <t xml:space="preserve">CONTAIN:AWS-CloudTrail-IAM-DeactivateMFADevice</t>
  </si>
  <si>
    <t xml:space="preserve">Other: AWS-CloudTrail-IAM-DeactivateMFADevice</t>
  </si>
  <si>
    <t xml:space="preserve">Identifies the deactivation of a specified multi-factor authentication (MFA) device and removes it from association with the user name for which it was originally enabled. In AWS Identity and Access Management (IAM), a device must be deactivated before it can be deleted.</t>
  </si>
  <si>
    <t xml:space="preserve">https://filestore.fortinet.com/docs.fortinet.com/fsiem/Public_Resource_Access/7_6_0/rules/PH_RULE_AWS_IAM_Deactivation_of_MFA_Device.htm</t>
  </si>
  <si>
    <t xml:space="preserve">PH_Rule_ES_IMPORT_AWS_26</t>
  </si>
  <si>
    <t xml:space="preserve">AWS IAM Password Recovery Requested</t>
  </si>
  <si>
    <t xml:space="preserve">Initial Access</t>
  </si>
  <si>
    <t xml:space="preserve">T1078.004</t>
  </si>
  <si>
    <t xml:space="preserve">CONTAIN:AWS-CloudTrail-SIGNIN-PasswordRecoveryRequested</t>
  </si>
  <si>
    <t xml:space="preserve">Other: AWS-CloudTrail-SIGNIN-PasswordRecoveryRequested</t>
  </si>
  <si>
    <t xml:space="preserve">Detects AWS IAM password recovery requests. An adversary may attempt to gain unauthorized AWS access by abusing password recovery mechanisms.</t>
  </si>
  <si>
    <t xml:space="preserve">https://filestore.fortinet.com/docs.fortinet.com/fsiem/Public_Resource_Access/7_6_0/rules/PH_RULE_AWS_IAM_Password_Recovery_Requested.htm</t>
  </si>
  <si>
    <t xml:space="preserve">PH_Rule_ES_IMPORT_AWS_3</t>
  </si>
  <si>
    <t xml:space="preserve">AWS Management Console Brute Force of Root User Identity</t>
  </si>
  <si>
    <t xml:space="preserve">CONTAIN:AWS-CloudTrail-SIGNIN-ConsoleLogin</t>
  </si>
  <si>
    <t xml:space="preserve">identityType = "Root" AND status = "failed"</t>
  </si>
  <si>
    <t xml:space="preserve">accountId,accountName,user</t>
  </si>
  <si>
    <t xml:space="preserve">Other: AWS-CloudTrail-SIGNIN-ConsoleLogin</t>
  </si>
  <si>
    <t xml:space="preserve">Identifies a high number of failed authentication attempts to the AWS management console for the Root user identity. An adversary may attempt to brute force the password for the Root user identity, as it has complete access to all services and resources for the AWS account.</t>
  </si>
  <si>
    <t xml:space="preserve">https://filestore.fortinet.com/docs.fortinet.com/fsiem/Public_Resource_Access/7_6_0/rules/PH_RULE_AWS_Management_Console_Brute_Force_of_Root_User_Identity.htm</t>
  </si>
  <si>
    <t xml:space="preserve">PH_Rule_ES_IMPORT_AWS_30</t>
  </si>
  <si>
    <t xml:space="preserve">AWS Root Login Without MFA</t>
  </si>
  <si>
    <t xml:space="preserve">AWS-CloudTrail-SIGNIN-ConsoleLogin-Success</t>
  </si>
  <si>
    <t xml:space="preserve">identityType = "Root" AND mfaAuthenticated != "Yes"</t>
  </si>
  <si>
    <t xml:space="preserve">accountId,accountName,user,srcIpAddr</t>
  </si>
  <si>
    <t xml:space="preserve">Other: AWS-CloudTrail-SIGNIN-ConsoleLogin-Success</t>
  </si>
  <si>
    <t xml:space="preserve">Identifies attempts to login to AWS as the root user without using multi-factor authentication (MFA). Amazon AWS best practices indicate that the root user should be protected by MFA.</t>
  </si>
  <si>
    <t xml:space="preserve">https://filestore.fortinet.com/docs.fortinet.com/fsiem/Public_Resource_Access/7_6_0/rules/PH_RULE_AWS_Root_Login_Without_MFA.htm</t>
  </si>
  <si>
    <t xml:space="preserve">PH_Rule_AWSSecHub_7</t>
  </si>
  <si>
    <t xml:space="preserve">AWS SecHub: Tactics: Credential Access Detected</t>
  </si>
  <si>
    <t xml:space="preserve">AWS Security Hub via AWS_HUB_SDK</t>
  </si>
  <si>
    <t xml:space="preserve">AWS-Hub-TTPs-Credential_Access</t>
  </si>
  <si>
    <t xml:space="preserve">AWSDetect</t>
  </si>
  <si>
    <t xml:space="preserve">ec2InstanceId,awsRegion</t>
  </si>
  <si>
    <t xml:space="preserve">Other: AWS-Hub-TTPs-Credential_Access</t>
  </si>
  <si>
    <t xml:space="preserve">AWS Security Hub detected Credential Access tactics. Adversary is trying to steal account names and passwords.</t>
  </si>
  <si>
    <t xml:space="preserve">https://filestore.fortinet.com/docs.fortinet.com/fsiem/Public_Resource_Access/7_6_0/rules/PH_RULE_AWS_SECHUB_TTP_CREDENTIAL_ACCESS.htm</t>
  </si>
  <si>
    <t xml:space="preserve">PH_Rule_AWSSecHub_5</t>
  </si>
  <si>
    <t xml:space="preserve">AWS SecHub: Tactics: Privilege Escalation Detected</t>
  </si>
  <si>
    <t xml:space="preserve">Privilege Escalation, Privilege/account change</t>
  </si>
  <si>
    <t xml:space="preserve">T1548.002</t>
  </si>
  <si>
    <t xml:space="preserve">AWS-Hub-TTPs-Privilege_Escalation</t>
  </si>
  <si>
    <t xml:space="preserve">Other: AWS-Hub-TTPs-Privilege_Escalation</t>
  </si>
  <si>
    <t xml:space="preserve">AWS Security Hub detected Privilege Escalation tactics. Adversary is trying to gain privileges.</t>
  </si>
  <si>
    <t xml:space="preserve">https://filestore.fortinet.com/docs.fortinet.com/fsiem/Public_Resource_Access/7_6_0/rules/PH_RULE_AWS_SECHUB_TTP_PRIV_ESCALATION.htm</t>
  </si>
  <si>
    <t xml:space="preserve">PH_Rule_ES_IMPORT_AWS_4</t>
  </si>
  <si>
    <t xml:space="preserve">AWS Secret Accessed in Secrets Manager</t>
  </si>
  <si>
    <t xml:space="preserve">T1528</t>
  </si>
  <si>
    <t xml:space="preserve">CONTAIN:AWS-CloudTrail-SECRETSMANAGER-GetSecretValue</t>
  </si>
  <si>
    <t xml:space="preserve">identityType != "AWSService" AND status = "success"</t>
  </si>
  <si>
    <t xml:space="preserve">Other: AWS-CloudTrail-SECRETSMANAGER-GetSecretValue</t>
  </si>
  <si>
    <t xml:space="preserve">A user that is not an AWS service accessed a secret stored in AWS Secret Manager.</t>
  </si>
  <si>
    <t xml:space="preserve">https://filestore.fortinet.com/docs.fortinet.com/fsiem/Public_Resource_Access/7_6_0/rules/PH_RULE_AWS_Access_Secret_in_Secrets_Manager.htm</t>
  </si>
  <si>
    <t xml:space="preserve">PH_Rule_ES_IMPORT_AZURE_17</t>
  </si>
  <si>
    <t xml:space="preserve">Azure Global Administrator Role Added to PIM User</t>
  </si>
  <si>
    <t xml:space="preserve">Microsoft Azure Event Hub via AZURE_PYTHON_SDK</t>
  </si>
  <si>
    <t xml:space="preserve">MS_EvtHub_add_eligible_member_to_role_in_pim_completed_permanent
MS_EvtHub_add_member_to_role_in_pim_completed_timebound</t>
  </si>
  <si>
    <t xml:space="preserve">azureEventCategory = "RoleManagement" AND srcName = "Global Administrator"</t>
  </si>
  <si>
    <t xml:space="preserve">azureEventCategory,srcName,user</t>
  </si>
  <si>
    <t xml:space="preserve">Other: MS_EvtHub_add_member_to_role_in_pim_completed_timebound
Other: MS_EvtHub_add_eligible_member_to_role_in_pim_completed_permanent</t>
  </si>
  <si>
    <t xml:space="preserve">Identifies an Azure Active Directory (AD) Global Administrator role addition to a Privileged Identity Management (PIM) user account. PIM is a service that enables you to manage, control, and monitor access to important resources in an organization. Users who are assigned to the Global administrator role can read and modify any administrative setting in your Azure AD organization.</t>
  </si>
  <si>
    <t xml:space="preserve">https://filestore.fortinet.com/docs.fortinet.com/fsiem/Public_Resource_Access/7_6_0/rules/PH_RULE_Azure_Global_Administrator_Role_Addition_to_PIM_User.htm</t>
  </si>
  <si>
    <t xml:space="preserve">PH_Rule_Access_75</t>
  </si>
  <si>
    <t xml:space="preserve">Brute Force App Login Success</t>
  </si>
  <si>
    <t xml:space="preserve">Microsoft Windows via OMI or Windows Collector
Hillstone Firewall via Syslog
Palo Alto PAN-OS via Syslog
Sophos Firewall via Syslog
Juniper SSLVPN via Syslog
Juniper JunOS via Syslog
Microsoft IIS via Syslog
Pulse Secure via Syslog
WatchGuard via Syslog
FortiProxy via Syslog
FortiGate via Syslog
Cisco ASA via Syslog
SonicOS via Syslog
Apache via Syslog
JBOSS via Syslog
F5 via Syslog</t>
  </si>
  <si>
    <t xml:space="preserve">Group@PH_SYS_EVENT_AppLogonFailure
Group@PH_SYS_EVENT_AppLogonSuccess
Group@PH_SYS_EVENT_DBLogonFailure
Group@PH_SYS_EVENT_DBLogonSuccess
Group@PH_SYS_EVENT_MultipleAppLogonFailure
Group@PH_SYS_EVENT_MultipleDBLogonFailure
Group@PH_SYS_EVENT_MultipleVPNLogonFailure
Group@PH_SYS_EVENT_MultipleWebLogonFailure
Group@PH_SYS_EVENT_VPNLogonFailure
Group@PH_SYS_EVENT_VPNLogonSuccess
Group@PH_SYS_EVENT_WebLogonFailure
Group@PH_SYS_EVENT_WebLogonSuccess</t>
  </si>
  <si>
    <t xml:space="preserve">FailedLogin OR FailedLogin2 FOLLOWED_BY SuccessLogin</t>
  </si>
  <si>
    <t xml:space="preserve">[FailedLogin] user IS NOT NULL
[FailedLogin2] user IS NOT NULL
[SuccessLogin] user IS NOT NULL</t>
  </si>
  <si>
    <t xml:space="preserve">[FailedLogin] srcIpAddr, srcGeoCountry, reptDevIpAddr, user
[FailedLogin2] srcIpAddr, srcGeoCountry, reptDevIpAddr, user
[SuccessLogin] srcIpAddr, srcGeoCountry, reptDevName, reptDevIpAddr, user</t>
  </si>
  <si>
    <t xml:space="preserve">[FailedLogin] COUNT(*) &gt;= 5
[FailedLogin2] COUNT(*) &gt;= 1
[SuccessLogin] COUNT (*) &gt;= 1</t>
  </si>
  <si>
    <t xml:space="preserve">FailedLogin.reptDevIpAddr = SuccessLogin.reptDevIpAddr AND FailedLogin.srcIpAddr = SuccessLogin.srcIpAddr AND FailedLogin.user = SuccessLogin.user OR FailedLogin2.reptDevIpAddr = SuccessLogin.reptDevIpAddr AND FailedLogin2.srcIpAddr = SuccessLogin.srcIpAddr AND FailedLogin2.user = SuccessLogin.user</t>
  </si>
  <si>
    <t xml:space="preserve">Event-type group (membership not published): Group@PH_SYS_EVENT_VPNLogonFailure
Event-type group (membership not published): Group@PH_SYS_EVENT_DBLogonFailure
Event-type group (membership not published): Group@PH_SYS_EVENT_WebLogonFailure
Event-type group (membership not published): Group@PH_SYS_EVENT_AppLogonFailure
Event-type group (membership not published): Group@PH_SYS_EVENT_MultipleVPNLogonFailure
Event-type group (membership not published): Group@PH_SYS_EVENT_MultipleDBLogonFailure
Event-type group (membership not published): Group@PH_SYS_EVENT_MultipleWebLogonFailure
Event-type group (membership not published): Group@PH_SYS_EVENT_MultipleAppLogonFailure
Event-type group (membership not published): Group@PH_SYS_EVENT_VPNLogonSuccess
Event-type group (membership not published): Group@PH_SYS_EVENT_DBLogonSuccess
Event-type group (membership not published): Group@PH_SYS_EVENT_WebLogonSuccess
Event-type group (membership not published): Group@PH_SYS_EVENT_AppLogonSuccess</t>
  </si>
  <si>
    <t xml:space="preserve">Detects an unusual condition where a source has authentication failures followed by a successful authentication at the same app within 15 minutes</t>
  </si>
  <si>
    <t xml:space="preserve">https://filestore.fortinet.com/docs.fortinet.com/fsiem/Public_Resource_Access/7_6_0/rules/PH_RULE_BRUTEFORCE_APP_LOGON_SUCCESS.htm</t>
  </si>
  <si>
    <t xml:space="preserve">PH_Rule_Access_70</t>
  </si>
  <si>
    <t xml:space="preserve">Brute Force Host Login Success</t>
  </si>
  <si>
    <t xml:space="preserve">Microsoft Windows via OMI or Windows Collector
Office 365 via Management Activity API
AWS CloudTrail via AWS_CLOUDTRAIL
Hillstone Firewall via Syslog
Sophos Firewall via Syslog
Juniper JunOS via Syslog
Pulse Secure via Syslog
Juniper SRX via Syslog
HP Procurve via Syslog
Juniper SSG via Syslog
WatchGuard via Syslog
VMware NSX via Syslog
FortiProxy via Syslog
FortiGate via Syslog
Cisco IOS via Syslog
Cisco ASA via Syslog
NetScaler via Syslog
FortiSIEM via Syslog
Riverbed via Syslog
BlueCoat via Syslog
FortiWeb via Syslog
IBM AIX via Syslog
SonicOS via Syslog
Linux via Syslog</t>
  </si>
  <si>
    <t xml:space="preserve">Group@PH_SYS_EVENT_DomainLogonFailure
Group@PH_SYS_EVENT_DomainLogonSuccess
Group@PH_SYS_EVENT_HostLogonFailure
Group@PH_SYS_EVENT_HostLogonSuccess
Group@PH_SYS_EVENT_MultipleDomainLogonFailure
Group@PH_SYS_EVENT_MultipleHostLogonFailure
Group@PH_SYS_EVENT_VMware_LogonFailure
Group@PH_SYS_EVENT_VMware_LogonSuccess</t>
  </si>
  <si>
    <t xml:space="preserve">Event-type group (membership not published): Group@PH_SYS_EVENT_HostLogonFailure
Event-type group (membership not published): Group@PH_SYS_EVENT_VMware_LogonFailure
Event-type group (membership not published): Group@PH_SYS_EVENT_DomainLogonFailure
Event-type group (membership not published): Group@PH_SYS_EVENT_MultipleHostLogonFailure
Event-type group (membership not published): Group@PH_SYS_EVENT_MultipleDomainLogonFailure
Event-type group (membership not published): Group@PH_SYS_EVENT_HostLogonSuccess
Event-type group (membership not published): Group@PH_SYS_EVENT_VMware_LogonSuccess
Event-type group (membership not published): Group@PH_SYS_EVENT_DomainLogonSuccess</t>
  </si>
  <si>
    <t xml:space="preserve">Detects an unusual condition where a source has authentication failures followed by a successful authentication at the same host within 15 minutes</t>
  </si>
  <si>
    <t xml:space="preserve">https://filestore.fortinet.com/docs.fortinet.com/fsiem/Public_Resource_Access/7_6_0/rules/PH_RULE_BRUTEFORCE_LOGON_SUCCESS.htm</t>
  </si>
  <si>
    <t xml:space="preserve">PH_Rule_Access_63</t>
  </si>
  <si>
    <t xml:space="preserve">Concurrent Failed Authentications To Same Account From Multiple Countries</t>
  </si>
  <si>
    <t xml:space="preserve">Group@PH_SYS_EVENT_DomainLogonFailure
Group@PH_SYS_EVENT_HostLogonFailure</t>
  </si>
  <si>
    <t xml:space="preserve">MultiCountryLogon</t>
  </si>
  <si>
    <t xml:space="preserve">user IS NOT NULL AND srcGeoCountry IS NOT NULL</t>
  </si>
  <si>
    <t xml:space="preserve">reptDevName,reptDevIpAddr,user</t>
  </si>
  <si>
    <t xml:space="preserve">COUNT (DISTINCT srcGeoCountry) &gt;= 2</t>
  </si>
  <si>
    <t xml:space="preserve">Event-type group (membership not published): Group@PH_SYS_EVENT_HostLogonFailure
Event-type group (membership not published): Group@PH_SYS_EVENT_DomainLogonFailure</t>
  </si>
  <si>
    <t xml:space="preserve">Detects simultaneous failed authentications to the same system and the same account from different countries. This may indicate stolen credentials unless it is an administrative account and is supposed to be accessed by administrators from multiple countries.</t>
  </si>
  <si>
    <t xml:space="preserve">https://filestore.fortinet.com/docs.fortinet.com/fsiem/Public_Resource_Access/7_6_0/rules/PH_RULE_CONCURRENT_FAILED_AUTH_MULTI_COUNTRY.htm</t>
  </si>
  <si>
    <t xml:space="preserve">PH_Rule_Access_61</t>
  </si>
  <si>
    <t xml:space="preserve">Concurrent Successful Authentications To Same Account From Multiple Countries</t>
  </si>
  <si>
    <t xml:space="preserve">Group@PH_SYS_EVENT_DomainLogonSuccess
Group@PH_SYS_EVENT_HostLogonSuccess</t>
  </si>
  <si>
    <t xml:space="preserve">Event-type group (membership not published): Group@PH_SYS_EVENT_HostLogonSuccess
Event-type group (membership not published): Group@PH_SYS_EVENT_DomainLogonSuccess</t>
  </si>
  <si>
    <t xml:space="preserve">Detects simultaneous successful server/network device/domain authentications to the same system and the same account from different countries. This may indicate stolen credentials unless it is an administrative account and is supposed to be accessed by administrators from multiple countries.</t>
  </si>
  <si>
    <t xml:space="preserve">https://filestore.fortinet.com/docs.fortinet.com/fsiem/Public_Resource_Access/7_6_0/rules/PH_RULE_CONCURRENT_SUCCESS_AUTH_MULTI_COUNTRY.htm</t>
  </si>
  <si>
    <t xml:space="preserve">PH_Rule_Access_65</t>
  </si>
  <si>
    <t xml:space="preserve">Concurrent Successful VPN Authentications To Same Account From Different Countries</t>
  </si>
  <si>
    <t xml:space="preserve">Microsoft Windows via OMI or Windows Collector
Hillstone Firewall via Syslog
Palo Alto PAN-OS via Syslog
Sophos Firewall via Syslog
Juniper SSLVPN via Syslog
Juniper JunOS via Syslog
Pulse Secure via Syslog
WatchGuard via Syslog
FortiProxy via Syslog
FortiGate via Syslog
Cisco ASA via Syslog
SonicOS via Syslog</t>
  </si>
  <si>
    <t xml:space="preserve">Group@PH_SYS_EVENT_VPNLogonSuccess</t>
  </si>
  <si>
    <t xml:space="preserve">VPNLogonDistinctCity</t>
  </si>
  <si>
    <t xml:space="preserve">user IS NOT NULL AND user != "N/A" AND srcGeoCountry IS NOT NULL AND srcGeoCountry != "N/A"</t>
  </si>
  <si>
    <t xml:space="preserve">user</t>
  </si>
  <si>
    <t xml:space="preserve">COUNT(DISTINCT srcGeoCountry) &gt;= 2</t>
  </si>
  <si>
    <t xml:space="preserve">Event-type group (membership not published): Group@PH_SYS_EVENT_VPNLogonSuccess</t>
  </si>
  <si>
    <t xml:space="preserve">Detects simultaneous successful VPN authentications to the same account within a short period of time from different countries. This may indicate a stolen credential.</t>
  </si>
  <si>
    <t xml:space="preserve">https://filestore.fortinet.com/docs.fortinet.com/fsiem/Public_Resource_Access/7_6_0/rules/PH_RULE_CONCURRENT_VPN_AUTH_MULTI_COUNTRY.htm</t>
  </si>
  <si>
    <t xml:space="preserve">PH_Rule_Exploits_CS_1C</t>
  </si>
  <si>
    <t xml:space="preserve">Crowdstrike: Authentication Bypass</t>
  </si>
  <si>
    <t xml:space="preserve">Crowdstrike via FALCON_STREAMING_API or FALCON_DATA_REPLICATOR</t>
  </si>
  <si>
    <t xml:space="preserve">Crowdstrike-Falcon-EppDetectionSummaryEvent-authentication-bypass
Crowdstrike-Falcon-EppDetectionSummaryEvent-authentication-bypass-block</t>
  </si>
  <si>
    <t xml:space="preserve">CSDetect</t>
  </si>
  <si>
    <t xml:space="preserve">hostName,attackTactic,attackTechnique,command,subtype</t>
  </si>
  <si>
    <t xml:space="preserve">Other: Crowdstrike-Falcon-EppDetectionSummaryEvent-authentication-bypass
Other: Crowdstrike-Falcon-EppDetectionSummaryEvent-authentication-bypass-block</t>
  </si>
  <si>
    <t xml:space="preserve">Crowdstrike agent detected and blocked authentication bypass attempt</t>
  </si>
  <si>
    <t xml:space="preserve">https://filestore.fortinet.com/docs.fortinet.com/fsiem/Public_Resource_Access/7_6_0/rules/PH_RULE_CS_AUTH_BYPASS.htm</t>
  </si>
  <si>
    <t xml:space="preserve">PH_Rule_Exploits_CS_4</t>
  </si>
  <si>
    <t xml:space="preserve">Crowdstrike: Credential Theft Detected</t>
  </si>
  <si>
    <t xml:space="preserve">Crowdstrike-Falcon-EppDetectionSummaryEvent-credential-theft
Crowdstrike-Falcon-EppDetectionSummaryEvent-credential-theft-allow
Crowdstrike-Falcon-EppDetectionSummaryEvent-credential-theft-block</t>
  </si>
  <si>
    <t xml:space="preserve">Other: Crowdstrike-Falcon-EppDetectionSummaryEvent-credential-theft
Other: Crowdstrike-Falcon-EppDetectionSummaryEvent-credential-theft-block
Other: Crowdstrike-Falcon-EppDetectionSummaryEvent-credential-theft-allow</t>
  </si>
  <si>
    <t xml:space="preserve">Crowdstrike agent detected credential theft</t>
  </si>
  <si>
    <t xml:space="preserve">https://filestore.fortinet.com/docs.fortinet.com/fsiem/Public_Resource_Access/7_6_0/rules/PH_RULE_CS_CRED_THEFT.htm</t>
  </si>
  <si>
    <t xml:space="preserve">PH_Rule_Exploits_CS_14</t>
  </si>
  <si>
    <t xml:space="preserve">Crowdstrike: Privilege Escalation</t>
  </si>
  <si>
    <t xml:space="preserve">T1548.004</t>
  </si>
  <si>
    <t xml:space="preserve">Crowdstrike-Falcon-EppDetectionSummaryEvent-privilege-escalation
Crowdstrike-Falcon-EppDetectionSummaryEvent-privilege-escalation-allow
Crowdstrike-Falcon-EppDetectionSummaryEvent-privilege-escalation-block</t>
  </si>
  <si>
    <t xml:space="preserve">Other: Crowdstrike-Falcon-EppDetectionSummaryEvent-privilege-escalation
Other: Crowdstrike-Falcon-EppDetectionSummaryEvent-privilege-escalation-allow
Other: Crowdstrike-Falcon-EppDetectionSummaryEvent-privilege-escalation-block</t>
  </si>
  <si>
    <t xml:space="preserve">Crowdstrike agent detected privilege escalation on a host</t>
  </si>
  <si>
    <t xml:space="preserve">https://filestore.fortinet.com/docs.fortinet.com/fsiem/Public_Resource_Access/7_6_0/rules/PH_RULE_CS_PRIV_ESCALATION.htm</t>
  </si>
  <si>
    <t xml:space="preserve">PH_Rule_CyberArk_11</t>
  </si>
  <si>
    <t xml:space="preserve">CyberArk Vault Blocked Operations</t>
  </si>
  <si>
    <t xml:space="preserve">CyberArk Enterprise Password Vault via Syslog</t>
  </si>
  <si>
    <t xml:space="preserve">CyberArk-Vault-403
CyberArk-Vault-408
CyberArk-Vault-409</t>
  </si>
  <si>
    <t xml:space="preserve">Failure</t>
  </si>
  <si>
    <t xml:space="preserve">srcIpAddr, srcGeoCountry, user, cyberArkSafe, fileName, reptDevName</t>
  </si>
  <si>
    <t xml:space="preserve">COUNT (*) &gt;= 2</t>
  </si>
  <si>
    <t xml:space="preserve">Other: CyberArk-Vault-403
Other: CyberArk-Vault-408
Other: CyberArk-Vault-409</t>
  </si>
  <si>
    <t xml:space="preserve">Detects CyberArk Vault blocked operations</t>
  </si>
  <si>
    <t xml:space="preserve">https://filestore.fortinet.com/docs.fortinet.com/fsiem/Public_Resource_Access/7_6_0/rules/PH_RULE_CYBERARK_BLOCKED_OPERATION.htm</t>
  </si>
  <si>
    <t xml:space="preserve">PH_Rule_CyberArk_2</t>
  </si>
  <si>
    <t xml:space="preserve">CyberArk Vault Excessive Failed PSM Connections</t>
  </si>
  <si>
    <t xml:space="preserve">CyberArk-Vault-301
CyberArk-Vault-379</t>
  </si>
  <si>
    <t xml:space="preserve">COUNT (*) &gt;= 3</t>
  </si>
  <si>
    <t xml:space="preserve">Other: CyberArk-Vault-301
Other: CyberArk-Vault-379</t>
  </si>
  <si>
    <t xml:space="preserve">Detects excessive failed connections to CyberArk Vault via Privileged Session Manager</t>
  </si>
  <si>
    <t xml:space="preserve">https://filestore.fortinet.com/docs.fortinet.com/fsiem/Public_Resource_Access/7_6_0/rules/PH_RULE_CYBERARK_EXCESS_PSM_CONN_FAILURE.htm</t>
  </si>
  <si>
    <t xml:space="preserve">PH_Rule_CyberArk_6</t>
  </si>
  <si>
    <t xml:space="preserve">CyberArk Vault Excessive Impersonations</t>
  </si>
  <si>
    <t xml:space="preserve">CyberArk-Vault-15
CyberArk-Vault-18</t>
  </si>
  <si>
    <t xml:space="preserve">srcIpAddr, srcGeoCountry, user, reptDevName</t>
  </si>
  <si>
    <t xml:space="preserve">Other: CyberArk-Vault-15
Other: CyberArk-Vault-18</t>
  </si>
  <si>
    <t xml:space="preserve">Detects excessive CyberArk Privileged Session Manager Session Monitoring Failures</t>
  </si>
  <si>
    <t xml:space="preserve">https://filestore.fortinet.com/docs.fortinet.com/fsiem/Public_Resource_Access/7_6_0/rules/PH_RULE_CYBERARK_EXCESS_PSM_IMPERSONATIONS.htm</t>
  </si>
  <si>
    <t xml:space="preserve">PH_Rule_CyberArk_1</t>
  </si>
  <si>
    <t xml:space="preserve">CyberArk Vault Excessive Password Release Failure</t>
  </si>
  <si>
    <t xml:space="preserve">Entra ID, Credential Access</t>
  </si>
  <si>
    <t xml:space="preserve">CyberArk-Vault-137</t>
  </si>
  <si>
    <t xml:space="preserve">Other: CyberArk-Vault-137</t>
  </si>
  <si>
    <t xml:space="preserve">Detects excessive password release failures from CyberArk Vault Central Policy Manager</t>
  </si>
  <si>
    <t xml:space="preserve">https://filestore.fortinet.com/docs.fortinet.com/fsiem/Public_Resource_Access/7_6_0/rules/PH_RULE_CYBERARK_EXCESS_PWD_RELEASE_FAILURE.htm</t>
  </si>
  <si>
    <t xml:space="preserve">PH_Rule_CyberArk_3</t>
  </si>
  <si>
    <t xml:space="preserve">CyberArk Vault Excessive PSM Keystroke Logging Failure</t>
  </si>
  <si>
    <t xml:space="preserve">CyberArk-Vault-362
CyberArk-Vault-413</t>
  </si>
  <si>
    <t xml:space="preserve">Other: CyberArk-Vault-362
Other: CyberArk-Vault-413</t>
  </si>
  <si>
    <t xml:space="preserve">Detects CyberArk vault keystroke logging and audit failures via Privileged Session Manager</t>
  </si>
  <si>
    <t xml:space="preserve">https://filestore.fortinet.com/docs.fortinet.com/fsiem/Public_Resource_Access/7_6_0/rules/PH_RULE_CYBERARK_EXCESS_PSM_LOGGING_FAILURE.htm</t>
  </si>
  <si>
    <t xml:space="preserve">PH_Rule_CyberArk_4</t>
  </si>
  <si>
    <t xml:space="preserve">CyberArk Vault Excessive PSM Session Monitoring Failure</t>
  </si>
  <si>
    <t xml:space="preserve">CyberArk-Vault-375</t>
  </si>
  <si>
    <t xml:space="preserve">Other: CyberArk-Vault-375</t>
  </si>
  <si>
    <t xml:space="preserve">https://filestore.fortinet.com/docs.fortinet.com/fsiem/Public_Resource_Access/7_6_0/rules/PH_RULE_CYBERARK_EXCESS_PSM_MONITOR_FAILURE.htm</t>
  </si>
  <si>
    <t xml:space="preserve">PH_Rule_CyberArk_10</t>
  </si>
  <si>
    <t xml:space="preserve">CyberArk Vault File Operation Failure</t>
  </si>
  <si>
    <t xml:space="preserve">CyberArk-Vault-204
CyberArk-Vault-205</t>
  </si>
  <si>
    <t xml:space="preserve">Other: CyberArk-Vault-204
Other: CyberArk-Vault-205</t>
  </si>
  <si>
    <t xml:space="preserve">Detects CyberArk Vault file operation failures</t>
  </si>
  <si>
    <t xml:space="preserve">https://filestore.fortinet.com/docs.fortinet.com/fsiem/Public_Resource_Access/7_6_0/rules/PH_RULE_CYBERARK_FILE_OPERATION_FAILURE.htm</t>
  </si>
  <si>
    <t xml:space="preserve">PH_Rule_CyberArk_9</t>
  </si>
  <si>
    <t xml:space="preserve">CyberArk Vault Object Content Validation Failure</t>
  </si>
  <si>
    <t xml:space="preserve">CyberArk-Vault-366</t>
  </si>
  <si>
    <t xml:space="preserve">Other: CyberArk-Vault-366</t>
  </si>
  <si>
    <t xml:space="preserve">Detects CyberArk Vault Object Content Validation Failures</t>
  </si>
  <si>
    <t xml:space="preserve">https://filestore.fortinet.com/docs.fortinet.com/fsiem/Public_Resource_Access/7_6_0/rules/PH_RULE_CYBERARK_OBJECT_VALIDATION_FAILURE.htm</t>
  </si>
  <si>
    <t xml:space="preserve">PH_Rule_CyberArk_5</t>
  </si>
  <si>
    <t xml:space="preserve">CyberArk Vault Unauthorized User Stations</t>
  </si>
  <si>
    <t xml:space="preserve">CyberArk-Vault-10
CyberArk-Vault-5</t>
  </si>
  <si>
    <t xml:space="preserve">Other: CyberArk-Vault-5
Other: CyberArk-Vault-10</t>
  </si>
  <si>
    <t xml:space="preserve">Detects excessive unauthorized CyberArk user Stations</t>
  </si>
  <si>
    <t xml:space="preserve">https://filestore.fortinet.com/docs.fortinet.com/fsiem/Public_Resource_Access/7_6_0/rules/PH_RULE_CYBERARK_EXCESS_UNAUTH_USER.htm</t>
  </si>
  <si>
    <t xml:space="preserve">PH_RULE_FML_Workspace_Sec_AdminUserAdded</t>
  </si>
  <si>
    <t xml:space="preserve">FortiMail Workspace: Admin User Added</t>
  </si>
  <si>
    <t xml:space="preserve">FortiMail Workspace Audit logs via Syslog or HTTPS_ADVANCED</t>
  </si>
  <si>
    <t xml:space="preserve">FortiMail-Workspace-Audit-send-user-invitation</t>
  </si>
  <si>
    <t xml:space="preserve">admin_added</t>
  </si>
  <si>
    <t xml:space="preserve">user,targetUser,role</t>
  </si>
  <si>
    <t xml:space="preserve">COUNT(*)&gt;=1</t>
  </si>
  <si>
    <t xml:space="preserve">Other: FortiMail-Workspace-Audit-send-user-invitation</t>
  </si>
  <si>
    <t xml:space="preserve">FortiMail Workspace reported that an admin user was added and invitation was sent.</t>
  </si>
  <si>
    <t xml:space="preserve">https://filestore.fortinet.com/docs.fortinet.com/fsiem/Public_Resource_Access/7_6_0/rules/PH_RULE_FML_Workspace_Sec_AdminUserAdded.htm</t>
  </si>
  <si>
    <t xml:space="preserve">PH_Rule_TH_Linux_35</t>
  </si>
  <si>
    <t xml:space="preserve">Linux Buffer overflow</t>
  </si>
  <si>
    <t xml:space="preserve">T1547.009</t>
  </si>
  <si>
    <t xml:space="preserve">Linux via Syslog</t>
  </si>
  <si>
    <t xml:space="preserve">CONTAIN:Generic_Unix_</t>
  </si>
  <si>
    <t xml:space="preserve">Download</t>
  </si>
  <si>
    <t xml:space="preserve">(rawEventMsg CONTAIN "attempt to execute code on stack by" OR rawEventMsg REGEXP ".*FTP LOGIN FROM .* 0bin0sh" OR rawEventMsg REGEXP ".*rpc.statd\[\d+\]: gethostbyname error for" OR rawEventMsg CONTAIN "AAAAAAAAAAAAAAAAAAAAAAAAAAAAAAAAAAAAAAA") AND phEventCategory = 0</t>
  </si>
  <si>
    <t xml:space="preserve">reptDevName</t>
  </si>
  <si>
    <t xml:space="preserve">Other: Generic_Unix_</t>
  </si>
  <si>
    <t xml:space="preserve">Detects buffer overflow in linux syslog</t>
  </si>
  <si>
    <t xml:space="preserve">https://filestore.fortinet.com/docs.fortinet.com/fsiem/Public_Resource_Access/7_6_0/rules/PH_RULE_LINUX_BUFFER_OVERFLOW.htm</t>
  </si>
  <si>
    <t xml:space="preserve">PH_Rule_TH_EQLLIB_LINUX_8</t>
  </si>
  <si>
    <t xml:space="preserve">Linux: Discovery of Domain Groups</t>
  </si>
  <si>
    <t xml:space="preserve">Active Directory</t>
  </si>
  <si>
    <t xml:space="preserve">T1069.002</t>
  </si>
  <si>
    <t xml:space="preserve">LINUX_PROCESS_EXEC</t>
  </si>
  <si>
    <t xml:space="preserve">(procName IN ("dscacheutil","ldapsearch") OR procName = "dscl" AND swParam CONTAIN "-list")</t>
  </si>
  <si>
    <t xml:space="preserve">hostName,procName,swParam</t>
  </si>
  <si>
    <t xml:space="preserve">Linux Collector: LINUX_PROCESS_EXEC</t>
  </si>
  <si>
    <t xml:space="preserve">Detects attempts to use known commands for discovery of local groups</t>
  </si>
  <si>
    <t xml:space="preserve">https://filestore.fortinet.com/docs.fortinet.com/fsiem/Public_Resource_Access/7_6_0/rules/PH_RULE_Linux_Discovery_of_Domain_Groups.htm</t>
  </si>
  <si>
    <t xml:space="preserve">PH_Rule_TH_EQLLIB_LINUX_1</t>
  </si>
  <si>
    <t xml:space="preserve">Linux: Searching for Passwords in Files</t>
  </si>
  <si>
    <t xml:space="preserve">T1552.001</t>
  </si>
  <si>
    <t xml:space="preserve">procName IN ("cat","grep") AND swParam REGEXP ".*\.bash_history.*|.*passwd.*|.*password.*"</t>
  </si>
  <si>
    <t xml:space="preserve">Detects attempt to search local file systems and remote file shares for files containing passwords.</t>
  </si>
  <si>
    <t xml:space="preserve">https://filestore.fortinet.com/docs.fortinet.com/fsiem/Public_Resource_Access/7_6_0/rules/PH_RULE_Linux_Searching_for_Passwords_in_Files.htm</t>
  </si>
  <si>
    <t xml:space="preserve">PH_Rule_TH_Linux_29</t>
  </si>
  <si>
    <t xml:space="preserve">Linux: Setgid Bit Set via chmod</t>
  </si>
  <si>
    <t xml:space="preserve">T1548.001</t>
  </si>
  <si>
    <t xml:space="preserve">procName ="chmod" AND user != "root" AND (swParam CONTAIN "g+s" OR swParam REGEXP (".*2[0-9]{3}.*"))</t>
  </si>
  <si>
    <t xml:space="preserve">hostName, user, procName</t>
  </si>
  <si>
    <t xml:space="preserve">Detects setgid bit to a file or directory - this allows adversary to do operations on the file with the privileges of the owning group. An adversary can take advantage of this to either do a shell escape or exploit a vulnerability in an application with the setgid bit to get code running in a different user context. Additionally, adversaries can use this mechanism on their own malware to make sure they're able to execute in elevated contexts in the future. This requires process monitoring via FortiSOC Linux Collector.</t>
  </si>
  <si>
    <t xml:space="preserve">https://filestore.fortinet.com/docs.fortinet.com/fsiem/Public_Resource_Access/7_6_0/rules/PH_RULE_TH_Linux_Setgid_Via_Chmod.htm</t>
  </si>
  <si>
    <t xml:space="preserve">PH_Rule_TH_Linux_30</t>
  </si>
  <si>
    <t xml:space="preserve">Linux: Setuid Bit Set via chmod</t>
  </si>
  <si>
    <t xml:space="preserve">procName ="chmod" AND user != "root" AND (swParam CONTAIN "u+s" OR swParam REGEXP (".*4[0-9]{3}.*"))</t>
  </si>
  <si>
    <t xml:space="preserve">Detects setuid bit to a file or directory - this allows adversary to do operations on the file with the privileges of the owning user. An adversary can take advantage of this to either do a shell escape or exploit a vulnerability in an application with the setuid bit to get code running in a different user context. Additionally, adversaries can use this mechanism on their own malware to make sure they're able to execute in elevated contexts in the future. This requires process monitoring via FortiSOC Linux Collector.</t>
  </si>
  <si>
    <t xml:space="preserve">https://filestore.fortinet.com/docs.fortinet.com/fsiem/Public_Resource_Access/7_6_0/rules/PH_RULE_TH_Linux_Setuid_Via_Chmod.htm</t>
  </si>
  <si>
    <t xml:space="preserve">PH_Rule_TH_EQLLIB_LINUX_12</t>
  </si>
  <si>
    <t xml:space="preserve">Linux: Trap Signals Usage</t>
  </si>
  <si>
    <t xml:space="preserve">T1546.005</t>
  </si>
  <si>
    <t xml:space="preserve">procName = "trap" AND swParam CONTAIN " signals"</t>
  </si>
  <si>
    <t xml:space="preserve">Detects attempts to run the trap command that allows programs and shells to specify commands that will be executed upon receiving interrupt signals.</t>
  </si>
  <si>
    <t xml:space="preserve">https://filestore.fortinet.com/docs.fortinet.com/fsiem/Public_Resource_Access/7_6_0/rules/PH_RULE_Linux_Trap_Signals_Usage.htm</t>
  </si>
  <si>
    <t xml:space="preserve">PH_Rule_Access_2</t>
  </si>
  <si>
    <t xml:space="preserve">Multiple Login Failures: Net Device</t>
  </si>
  <si>
    <t xml:space="preserve">Hillstone Firewall via Syslog
Sophos Firewall via Syslog
Juniper JunOS via Syslog
Pulse Secure via Syslog
Juniper SRX via Syslog
HP Procurve via Syslog
Juniper SSG via Syslog
WatchGuard via Syslog
FortiProxy via Syslog
FortiGate via Syslog
Cisco IOS via Syslog
Cisco ASA via Syslog
NetScaler via Syslog
Riverbed via Syslog
SonicOS via Syslog</t>
  </si>
  <si>
    <t xml:space="preserve">Group@PH_SYS_EVENT_HostLogonFailure
Group@PH_SYS_EVENT_MultipleHostLogonFailure</t>
  </si>
  <si>
    <t xml:space="preserve">ExcessNetLoginFailure OR ExcessNetLoginFailure2</t>
  </si>
  <si>
    <t xml:space="preserve">[ExcessNetLoginFailure] reptDevIpAddr IN (Group@PH_SYS_DEVICE_Network) AND srcIpAddr IS NOT NULL
[ExcessNetLoginFailure2] reptDevIpAddr IN (Group@PH_SYS_DEVICE_Network) AND srcIpAddr IS NOT NULL</t>
  </si>
  <si>
    <t xml:space="preserve">[ExcessNetLoginFailure] srcIpAddr, srcGeoCountry, reptDevName, reptDevIpAddr, user
[ExcessNetLoginFailure2] srcIpAddr, srcGeoCountry, reptDevName, reptDevIpAddr, user</t>
  </si>
  <si>
    <t xml:space="preserve">[ExcessNetLoginFailure] COUNT (*) &gt;= 5
[ExcessNetLoginFailure2] COUNT (*) &gt;= 1</t>
  </si>
  <si>
    <t xml:space="preserve">ExcessNetLoginFailure.srcIpAddr = ExcessNetLoginFailure2.srcIpAddr AND ExcessNetLoginFailure.reptDevIpAddr = ExcessNetLoginFailure2.reptDevIpAddr AND ExcessNetLoginFailure.user = ExcessNetLoginFailure2.user</t>
  </si>
  <si>
    <t xml:space="preserve">Event-type group (membership not published): Group@PH_SYS_EVENT_HostLogonFailure
Event-type group (membership not published): Group@PH_SYS_EVENT_MultipleHostLogonFailure</t>
  </si>
  <si>
    <t xml:space="preserve">Detects excessive logon failures at a network device - 5 consecutive failures in a 10 minute period. This rule triggers for network devices that report a source IP address.</t>
  </si>
  <si>
    <t xml:space="preserve">https://filestore.fortinet.com/docs.fortinet.com/fsiem/Public_Resource_Access/7_6_0/rules/PH_RULE_EXCESS_FAILED_LOGON_2_NET_DEV.htm</t>
  </si>
  <si>
    <t xml:space="preserve">PH_Rule_Access_1</t>
  </si>
  <si>
    <t xml:space="preserve">Multiple Login Failures: Net Device: No Source IP</t>
  </si>
  <si>
    <t xml:space="preserve">Network devices via Syslog
FortiGate via Syslog</t>
  </si>
  <si>
    <t xml:space="preserve">[ExcessNetLoginFailure] reptDevIpAddr IN (Group@PH_SYS_DEVICE_Network) AND srcIpAddr IS NULL
[ExcessNetLoginFailure2] reptDevIpAddr IN (Group@PH_SYS_DEVICE_Network) AND srcIpAddr IS NULL</t>
  </si>
  <si>
    <t xml:space="preserve">[ExcessNetLoginFailure] reptDevName,reptDevIpAddr, user
[ExcessNetLoginFailure2] reptDevName,reptDevIpAddr, user</t>
  </si>
  <si>
    <t xml:space="preserve">ExcessNetLoginFailure.reptDevIpAddr = ExcessNetLoginFailure2.reptDevIpAddr AND ExcessNetLoginFailure.user = ExcessNetLoginFailure2.user</t>
  </si>
  <si>
    <t xml:space="preserve">Detects multiple logon failures at a network device - 5 consecutive failures in a 10 minute period. This rule triggers for network devices that do not report a source IP address.</t>
  </si>
  <si>
    <t xml:space="preserve">https://filestore.fortinet.com/docs.fortinet.com/fsiem/Public_Resource_Access/7_6_0/rules/PH_RULE_EXCESS_FAILED_LOGON_NET_DEV.htm</t>
  </si>
  <si>
    <t xml:space="preserve">PH_Rule_Access_15B</t>
  </si>
  <si>
    <t xml:space="preserve">Multiple Logon Failures: Database</t>
  </si>
  <si>
    <t xml:space="preserve">Oracle Database Server via JDBC
Microsoft SQL Server via JDBC
IBM DB2 via JDBC</t>
  </si>
  <si>
    <t xml:space="preserve">Group@PH_SYS_EVENT_DBLogonFailure</t>
  </si>
  <si>
    <t xml:space="preserve">ExcessDBLoginFailure1 OR ExcessDBLoginFailure2</t>
  </si>
  <si>
    <t xml:space="preserve">[ExcessDBLoginFailure1] —
[ExcessDBLoginFailure2] —</t>
  </si>
  <si>
    <t xml:space="preserve">[ExcessDBLoginFailure1] srcIpAddr, srcGeoCountry, reptDevName, reptDevIpAddr, user
[ExcessDBLoginFailure2] srcName, reptDevName, reptDevIpAddr, user</t>
  </si>
  <si>
    <t xml:space="preserve">[ExcessDBLoginFailure1] COUNT (*) &gt;= 5
[ExcessDBLoginFailure2] COUNT (*) &gt;= 5</t>
  </si>
  <si>
    <t xml:space="preserve">ExcessDBLoginFailure1.reptDevIpAddr = ExcessDBLoginFailure2.reptDevIpAddr AND ExcessDBLoginFailure1.user = ExcessDBLoginFailure2.user</t>
  </si>
  <si>
    <t xml:space="preserve">Event-type group (membership not published): Group@PH_SYS_EVENT_DBLogonFailure</t>
  </si>
  <si>
    <t xml:space="preserve">Detects excessive database logon failures - 5 consecutive failures in a 10 minute period</t>
  </si>
  <si>
    <t xml:space="preserve">https://filestore.fortinet.com/docs.fortinet.com/fsiem/Public_Resource_Access/7_6_0/rules/PH_RULE_EXCESS_FAILED_LOGON_DB.htm</t>
  </si>
  <si>
    <t xml:space="preserve">PH_Rule_Access_20</t>
  </si>
  <si>
    <t xml:space="preserve">Multiple Logon Failures: Domain</t>
  </si>
  <si>
    <t xml:space="preserve">Low</t>
  </si>
  <si>
    <t xml:space="preserve">Group@PH_SYS_EVENT_DomainLogonFailure</t>
  </si>
  <si>
    <t xml:space="preserve">ExcessDomainLoginFailure</t>
  </si>
  <si>
    <t xml:space="preserve">reptVendor = "Microsoft" AND user NOT CONTAIN "$"</t>
  </si>
  <si>
    <t xml:space="preserve">srcIpAddr, srcGeoCountry, reptDevName, reptDevIpAddr, user, domain</t>
  </si>
  <si>
    <t xml:space="preserve">COUNT (*) &gt;= 5</t>
  </si>
  <si>
    <t xml:space="preserve">Event-type group (membership not published): Group@PH_SYS_EVENT_DomainLogonFailure</t>
  </si>
  <si>
    <t xml:space="preserve">Detects multiple Windows domain logon failures - 5 consecutive failures in a 10 minute period</t>
  </si>
  <si>
    <t xml:space="preserve">https://filestore.fortinet.com/docs.fortinet.com/fsiem/Public_Resource_Access/7_6_0/rules/PH_RULE_EXCESS_FAILED_LOGON_DOMAIN.htm</t>
  </si>
  <si>
    <t xml:space="preserve">PH_Rule_Access_15C</t>
  </si>
  <si>
    <t xml:space="preserve">Multiple Logon Failures: Misc App</t>
  </si>
  <si>
    <t xml:space="preserve">Group@PH_SYS_EVENT_AppLogonFailure</t>
  </si>
  <si>
    <t xml:space="preserve">Group@PH_SYS_EVENT_AAALogonFailure</t>
  </si>
  <si>
    <t xml:space="preserve">ExcessMiscAppLoginFailure1 OR ExcessMiscAppLoginFailure2</t>
  </si>
  <si>
    <t xml:space="preserve">[ExcessMiscAppLoginFailure1] srcIpAddr IS NOT NULL
[ExcessMiscAppLoginFailure2] srcIpAddr IS NULL</t>
  </si>
  <si>
    <t xml:space="preserve">[ExcessMiscAppLoginFailure1] srcIpAddr, srcGeoCountry, reptDevName, reptDevIpAddr, user
[ExcessMiscAppLoginFailure2] reptDevName, reptDevIpAddr, user</t>
  </si>
  <si>
    <t xml:space="preserve">[ExcessMiscAppLoginFailure1] COUNT (*) &gt;= 5
[ExcessMiscAppLoginFailure2] COUNT (*) &gt;= 5</t>
  </si>
  <si>
    <t xml:space="preserve">Event-type group (membership not published): Group@PH_SYS_EVENT_AppLogonFailure</t>
  </si>
  <si>
    <t xml:space="preserve">Detects excessive application logon failures - 5 consecutive failures in a 10 minute period. Application logsons include the one that may require authentication for accessing the authentication, such as HTTP, SNMP, FTP, POP3, IMAP etc.</t>
  </si>
  <si>
    <t xml:space="preserve">https://filestore.fortinet.com/docs.fortinet.com/fsiem/Public_Resource_Access/7_6_0/rules/PH_RULE_EXCESS_FAILED_LOGON_APPL.htm</t>
  </si>
  <si>
    <t xml:space="preserve">PH_Rule_Access_55</t>
  </si>
  <si>
    <t xml:space="preserve">Multiple Logon Failures: Same Src and Dest and Multiple Accounts</t>
  </si>
  <si>
    <t xml:space="preserve">Group@PH_SYS_EVENT_HostLogonFailure</t>
  </si>
  <si>
    <t xml:space="preserve">PasswordScan_SameDest_ManyAcct</t>
  </si>
  <si>
    <t xml:space="preserve">srcIpAddr, srcGeoCountry, destIpAddr, destGeoCountry, destName</t>
  </si>
  <si>
    <t xml:space="preserve">COUNT (DISTINCT user) &gt;= 3</t>
  </si>
  <si>
    <t xml:space="preserve">Event-type group (membership not published): Group@PH_SYS_EVENT_HostLogonFailure</t>
  </si>
  <si>
    <t xml:space="preserve">Detects same source having excessive login failures at the same destination host but multiple distinct accounts are used during the logon failure</t>
  </si>
  <si>
    <t xml:space="preserve">https://filestore.fortinet.com/docs.fortinet.com/fsiem/Public_Resource_Access/7_6_0/rules/PH_RULE_FAILED_LOGON_MULTIPLE_ACCOUNTS.htm</t>
  </si>
  <si>
    <t xml:space="preserve">PH_Rule_Access_54</t>
  </si>
  <si>
    <t xml:space="preserve">Multiple Logon Failures: Same Src and Multiple Dest</t>
  </si>
  <si>
    <t xml:space="preserve">PasswordScan_ManyDest</t>
  </si>
  <si>
    <t xml:space="preserve">srcIpAddr, srcGeoCountry</t>
  </si>
  <si>
    <t xml:space="preserve">COUNT (DISTINCT destIpAddr) &gt;= 10</t>
  </si>
  <si>
    <t xml:space="preserve">Detects the same source having excessive logon failures at more than 10 distinct hosts</t>
  </si>
  <si>
    <t xml:space="preserve">https://filestore.fortinet.com/docs.fortinet.com/fsiem/Public_Resource_Access/7_6_0/rules/PH_RULE_FAILED_LOGON_MULTIPLE_HOSTS.htm</t>
  </si>
  <si>
    <t xml:space="preserve">PH_Rule_Access_5</t>
  </si>
  <si>
    <t xml:space="preserve">Multiple Logon Failures: Server</t>
  </si>
  <si>
    <t xml:space="preserve">Microsoft Windows via OMI or Windows Collector
VMware NSX via Syslog
FortiSIEM via Syslog
IBM AIX via Syslog
Linux via Syslog</t>
  </si>
  <si>
    <t xml:space="preserve">ExcessServerLoginFailure OR ExcessServerLoginFailure2</t>
  </si>
  <si>
    <t xml:space="preserve">[ExcessServerLoginFailure] reptDevIpAddr IN (Group@PH_SYS_DEVICE_Server) AND user NOT CONTAIN "$"
[ExcessServerLoginFailure2] reptDevIpAddr IN (Group@PH_SYS_DEVICE_Server) AND user NOT CONTAIN "$"</t>
  </si>
  <si>
    <t xml:space="preserve">[ExcessServerLoginFailure] srcIpAddr, srcGeoCountry, reptDevName, reptDevIpAddr, user
[ExcessServerLoginFailure2] srcIpAddr, srcGeoCountry, reptDevName, reptDevIpAddr, user</t>
  </si>
  <si>
    <t xml:space="preserve">[ExcessServerLoginFailure] COUNT (*) &gt;= 5
[ExcessServerLoginFailure2] COUNT (*) &gt;= 1</t>
  </si>
  <si>
    <t xml:space="preserve">ExcessServerLoginFailure.srcIpAddr = ExcessServerLoginFailure2.srcIpAddr AND ExcessServerLoginFailure.reptDevIpAddr = ExcessServerLoginFailure2.reptDevIpAddr AND ExcessServerLoginFailure.user = ExcessServerLoginFailure2.user</t>
  </si>
  <si>
    <t xml:space="preserve">Detects excessive logon failures at a server - 5 consecutive failures in a 10 minute period</t>
  </si>
  <si>
    <t xml:space="preserve">https://filestore.fortinet.com/docs.fortinet.com/fsiem/Public_Resource_Access/7_6_0/rules/PH_RULE_EXCESS_FAILED_LOGON_SERVER.htm</t>
  </si>
  <si>
    <t xml:space="preserve">PH_Rule_Access_25</t>
  </si>
  <si>
    <t xml:space="preserve">Multiple Logon Failures: VPN</t>
  </si>
  <si>
    <t xml:space="preserve">Group@PH_SYS_EVENT_VPNLogonFailure</t>
  </si>
  <si>
    <t xml:space="preserve">ExcessVPNLoginFailure</t>
  </si>
  <si>
    <t xml:space="preserve">Event-type group (membership not published): Group@PH_SYS_EVENT_VPNLogonFailure</t>
  </si>
  <si>
    <t xml:space="preserve">Detects multiple VPN logon failures - 5 consecutive failures in a 10 minute period</t>
  </si>
  <si>
    <t xml:space="preserve">https://filestore.fortinet.com/docs.fortinet.com/fsiem/Public_Resource_Access/7_6_0/rules/PH_RULE_EXCESS_FAILED_LOGON_VPN.htm</t>
  </si>
  <si>
    <t xml:space="preserve">PH_Rule_Access_15A</t>
  </si>
  <si>
    <t xml:space="preserve">Multiple Logon Failures: Web Server</t>
  </si>
  <si>
    <t xml:space="preserve">Group@PH_SYS_EVENT_WebLogonFailure</t>
  </si>
  <si>
    <t xml:space="preserve">ExcessWebLoginFailure</t>
  </si>
  <si>
    <t xml:space="preserve">srcIpAddr NOT IN (Group@PH_SYS_APP_ACCELOPS,Group@PH_SYS_DEVICE_FSM)</t>
  </si>
  <si>
    <t xml:space="preserve">Event-type group (membership not published): Group@PH_SYS_EVENT_WebLogonFailure</t>
  </si>
  <si>
    <t xml:space="preserve">Detects excessive Web Server logon failures - 5 consecutive failures in a 15 minute period.</t>
  </si>
  <si>
    <t xml:space="preserve">https://filestore.fortinet.com/docs.fortinet.com/fsiem/Public_Resource_Access/7_6_0/rules/PH_RULE_EXCESS_FAILED_LOGON_WEB.htm</t>
  </si>
  <si>
    <t xml:space="preserve">PH_Rule_Access_30</t>
  </si>
  <si>
    <t xml:space="preserve">Multiple Logon Failures: WLAN</t>
  </si>
  <si>
    <t xml:space="preserve">Motorola WiNG WLAN AP via Syslog
Motorola AirDefense via Syslog
Sophos Firewall via Syslog
WatchGuard via Syslog
Cisco WLAN via Syslog
Aruba WLC via Syslog</t>
  </si>
  <si>
    <t xml:space="preserve">Group@PH_SYS_EVENT_WirelessLogonFailure</t>
  </si>
  <si>
    <t xml:space="preserve">ExcessWLANLoginFailure</t>
  </si>
  <si>
    <t xml:space="preserve">srcMACAddr,reptDevName, reptDevIpAddr,user,eventType</t>
  </si>
  <si>
    <t xml:space="preserve">Event-type group (membership not published): Group@PH_SYS_EVENT_WirelessLogonFailure</t>
  </si>
  <si>
    <t xml:space="preserve">Detects multiple Wireless logon failures - 5 consecutive failures in a 10 minute period</t>
  </si>
  <si>
    <t xml:space="preserve">https://filestore.fortinet.com/docs.fortinet.com/fsiem/Public_Resource_Access/7_6_0/rules/PH_RULE_EXCESS_FAILED_LOGON_WIRELESS.htm</t>
  </si>
  <si>
    <t xml:space="preserve">PH_Rule_Access_10</t>
  </si>
  <si>
    <t xml:space="preserve">Multiple Privileged Logon Failures: Server</t>
  </si>
  <si>
    <t xml:space="preserve">Group@PH_SYS_EVENT_HostPrivLogonFailure
PH_RULE_EXCESS_FAILED_LOGON_DOMAIN
PH_RULE_EXCESS_FAILED_LOGON_SERVER</t>
  </si>
  <si>
    <t xml:space="preserve">ExcessPrivLoginFailure</t>
  </si>
  <si>
    <t xml:space="preserve">((user CONTAIN "Admin")) AND reptDevIpAddr IN (Group@PH_SYS_DEVICE_Server)</t>
  </si>
  <si>
    <t xml:space="preserve">reptDevName, reptDevIpAddr, user</t>
  </si>
  <si>
    <t xml:space="preserve">Event-type group (membership not published): Group@PH_SYS_EVENT_HostPrivLogonFailure
Other: PH_RULE_EXCESS_FAILED_LOGON_SERVER
Other: PH_RULE_EXCESS_FAILED_LOGON_DOMAIN</t>
  </si>
  <si>
    <t xml:space="preserve">Detects excessive privileged logon failures at a server - 3 consecutive failures in a 10 minute period</t>
  </si>
  <si>
    <t xml:space="preserve">https://filestore.fortinet.com/docs.fortinet.com/fsiem/Public_Resource_Access/7_6_0/rules/PH_RULE_EXCESS_FAILED_PRIV_LOGON_SERVER.htm</t>
  </si>
  <si>
    <t xml:space="preserve">PH_RULE_OracleOci_UserAddedToGroup</t>
  </si>
  <si>
    <t xml:space="preserve">OCI: User Added to a Group</t>
  </si>
  <si>
    <t xml:space="preserve">Oracle OCI via OCI_Streaming_SDK</t>
  </si>
  <si>
    <t xml:space="preserve">Oracle-OCI-identitycontrolplane-addusertogroup</t>
  </si>
  <si>
    <t xml:space="preserve">group_member_add</t>
  </si>
  <si>
    <t xml:space="preserve">targetUserId,user,groupID</t>
  </si>
  <si>
    <t xml:space="preserve">Other: Oracle-OCI-identitycontrolplane-addusertogroup</t>
  </si>
  <si>
    <t xml:space="preserve">Oracle OCI user was added to a group</t>
  </si>
  <si>
    <t xml:space="preserve">https://filestore.fortinet.com/docs.fortinet.com/fsiem/Public_Resource_Access/7_6_0/rules/PH_RULE_OracleOci_UserAddedToGroup.htm</t>
  </si>
  <si>
    <t xml:space="preserve">PH_RULE_OracleOci_UserDisabledMFA</t>
  </si>
  <si>
    <t xml:space="preserve">OCI: User Disabled MFA</t>
  </si>
  <si>
    <t xml:space="preserve">Oracle-OCI-identitycontrolplane-deletemfatotpdevice</t>
  </si>
  <si>
    <t xml:space="preserve">disabled_mfa</t>
  </si>
  <si>
    <t xml:space="preserve">user, srcIpAddr, srcGeoCountry</t>
  </si>
  <si>
    <t xml:space="preserve">Other: Oracle-OCI-identitycontrolplane-deletemfatotpdevice</t>
  </si>
  <si>
    <t xml:space="preserve">Oracle OCI User Disabled MFA for a device.</t>
  </si>
  <si>
    <t xml:space="preserve">https://filestore.fortinet.com/docs.fortinet.com/fsiem/Public_Resource_Access/7_6_0/rules/PH_RULE_OracleOci_UserDisabledMFA.htm</t>
  </si>
  <si>
    <t xml:space="preserve">PH_RULE_O365_BruteForceAttemptSameSource</t>
  </si>
  <si>
    <t xml:space="preserve">Office365: Brute Force Login Attempts - Same Source</t>
  </si>
  <si>
    <t xml:space="preserve">T1110.003</t>
  </si>
  <si>
    <t xml:space="preserve">Microsoft Office 365 via Management Activity API</t>
  </si>
  <si>
    <t xml:space="preserve">MS_OFFICE365_EntraID_StsLogon_UserLoginFailed
MS_OFFICE365_EntraID_UserLoginFailed</t>
  </si>
  <si>
    <t xml:space="preserve">brute_force</t>
  </si>
  <si>
    <t xml:space="preserve">Office 365 Mgmt Activity API: O365</t>
  </si>
  <si>
    <t xml:space="preserve">Office365 has reported more than 5 login failure attempts from the same source IP in a 15 minute period.</t>
  </si>
  <si>
    <t xml:space="preserve">https://filestore.fortinet.com/docs.fortinet.com/fsiem/Public_Resource_Access/7_6_0/rules/PH_RULE_O365_BruteForceAttemptSameSource.htm</t>
  </si>
  <si>
    <t xml:space="preserve">PH_RULE_O365_BruteForceAttemptSameUser</t>
  </si>
  <si>
    <t xml:space="preserve">Office365: Brute Force Login Attempts - Same User</t>
  </si>
  <si>
    <t xml:space="preserve">COUNT(*) &gt;= 5 AND COUNT(DISTINCT srcIpAddr) &gt;= 2</t>
  </si>
  <si>
    <t xml:space="preserve">Office365 has reported more than 5 login failure attempts to the same user from at least 2 distinct sources in a 15 minute period.</t>
  </si>
  <si>
    <t xml:space="preserve">https://filestore.fortinet.com/docs.fortinet.com/fsiem/Public_Resource_Access/7_6_0/rules/PH_RULE_O365_BruteForceAttemptSameUser.htm</t>
  </si>
  <si>
    <t xml:space="preserve">PH_RULE_O365_BruteForceLogonSuccess</t>
  </si>
  <si>
    <t xml:space="preserve">Office365: Brute Force Logon Success</t>
  </si>
  <si>
    <t xml:space="preserve">MS_OFFICE365_o365_brute_force</t>
  </si>
  <si>
    <t xml:space="preserve">Office365 Analytics Reported Brute Force Logon Attempts, including attempts that were seen as successful from the same source during the same period.</t>
  </si>
  <si>
    <t xml:space="preserve">https://filestore.fortinet.com/docs.fortinet.com/fsiem/Public_Resource_Access/7_6_0/rules/PH_RULE_O365_BruteForceLogonSuccess.htm</t>
  </si>
  <si>
    <t xml:space="preserve">PH_RULE_O365_AddMemberToRole</t>
  </si>
  <si>
    <t xml:space="preserve">Office365: User added to Admin Role</t>
  </si>
  <si>
    <t xml:space="preserve">MS_OFFICE365_EntraID_Add_member_to_role</t>
  </si>
  <si>
    <t xml:space="preserve">admin_role</t>
  </si>
  <si>
    <t xml:space="preserve">(role CONTAIN "Admin" OR permissionRoleName CONTAIN "Admin")</t>
  </si>
  <si>
    <t xml:space="preserve">user,role</t>
  </si>
  <si>
    <t xml:space="preserve">This rule triggers when a user is added to a privileged role in Microsoft Entra ID</t>
  </si>
  <si>
    <t xml:space="preserve">https://filestore.fortinet.com/docs.fortinet.com/fsiem/Public_Resource_Access/7_6_0/rules/PH_RULE_O365_AddMemberToRole.htm</t>
  </si>
  <si>
    <t xml:space="preserve">PH_Rule_TH_EQLLIB_LINUX_11</t>
  </si>
  <si>
    <t xml:space="preserve">Password Policy Enumeration</t>
  </si>
  <si>
    <t xml:space="preserve">T1201</t>
  </si>
  <si>
    <t xml:space="preserve">(procName = "chage" AND swParam CONTAIN " -l " OR procName = "cat" AND swParam REGEXP ".*/etc/pam\.d/common-password.*")</t>
  </si>
  <si>
    <t xml:space="preserve">Detects enumeration of local or global password policies using built-in commands.</t>
  </si>
  <si>
    <t xml:space="preserve">https://filestore.fortinet.com/docs.fortinet.com/fsiem/Public_Resource_Access/7_6_0/rules/PH_RULE_Password_Policy_Enumeration.htm</t>
  </si>
  <si>
    <t xml:space="preserve">PH_Rule_ES_IMPORT_AZURE_11</t>
  </si>
  <si>
    <t xml:space="preserve">Possible Consent Grant Attack via Azure-Registered Application</t>
  </si>
  <si>
    <t xml:space="preserve">Credential Access, Privilege/account change</t>
  </si>
  <si>
    <t xml:space="preserve">MS_EvtHub_consent_to_application</t>
  </si>
  <si>
    <t xml:space="preserve">Other: MS_EvtHub_consent_to_application</t>
  </si>
  <si>
    <t xml:space="preserve">Identifies when a user grants permissions to an Azure-registered application or when an administrator grants tenant-wide permissions to an application. An adversary may create an Azure-registered application that requests access to data such as contact information, email, or documents.</t>
  </si>
  <si>
    <t xml:space="preserve">https://filestore.fortinet.com/docs.fortinet.com/fsiem/Public_Resource_Access/7_6_0/rules/PH_RULE_Possible_Consent_Grant_Attack_via_Azure_Registered_Application.htm</t>
  </si>
  <si>
    <t xml:space="preserve">PH_Rule_IPS_ADV_6</t>
  </si>
  <si>
    <t xml:space="preserve">Privilege Escalation Exploits</t>
  </si>
  <si>
    <t xml:space="preserve">Privilege Escalation, Privilege/account change, Identity event group</t>
  </si>
  <si>
    <t xml:space="preserve">Checkpoint IPS-1 via LEA/Syslog
Palo Alto PAN-OS via Syslog
FortiProxy via Syslog
FortiGate via Syslog</t>
  </si>
  <si>
    <t xml:space="preserve">Group@PH_SYS_EVENT_PrivEscalationExploit</t>
  </si>
  <si>
    <t xml:space="preserve">IPS</t>
  </si>
  <si>
    <t xml:space="preserve">reptDevIpAddr IN (Group@PH_SYS_DEVICE_NETWORK_IPS)</t>
  </si>
  <si>
    <t xml:space="preserve">srcIpAddr, srcGeoCountry, destIpAddr, destGeoCountry, eventType, ipsSignatureId</t>
  </si>
  <si>
    <t xml:space="preserve">Event-type group (membership not published): Group@PH_SYS_EVENT_PrivEscalationExploit</t>
  </si>
  <si>
    <t xml:space="preserve">Detects privilege escalation attempts</t>
  </si>
  <si>
    <t xml:space="preserve">https://filestore.fortinet.com/docs.fortinet.com/fsiem/Public_Resource_Access/7_6_0/rules/PH_RULE_PRIV_ESCALATE_ATTACK.htm</t>
  </si>
  <si>
    <t xml:space="preserve">PH_Rule_Access_3</t>
  </si>
  <si>
    <t xml:space="preserve">Repeated Multiple Login Failures: Net Device</t>
  </si>
  <si>
    <t xml:space="preserve">Hillstone Firewall via Syslog
Sophos Firewall via Syslog
Juniper JunOS via Syslog
Pulse Secure via Syslog
Juniper SRX via Syslog
HP Procurve via Syslog
Juniper SSG via Syslog
WatchGuard via Syslog
FortiProxy via Syslog
FortiGate via Syslog
Cisco IOS via Syslog
Cisco ASA via Syslog
NetScaler via Syslog
Riverbed via Syslog
BlueCoat via Syslog
FortiWeb via Syslog
SonicOS via Syslog</t>
  </si>
  <si>
    <t xml:space="preserve">PH_RULE_EXCESS_FAILED_LOGON_2_NET_DEV</t>
  </si>
  <si>
    <t xml:space="preserve">RepeatExcessNetLoginFailure</t>
  </si>
  <si>
    <t xml:space="preserve">srcIpAddr, srcGeoCountry, eventType, destName, destIpAddr, destGeoCountry</t>
  </si>
  <si>
    <t xml:space="preserve">Other: PH_RULE_EXCESS_FAILED_LOGON_2_NET_DEV</t>
  </si>
  <si>
    <t xml:space="preserve">Detects repeating occurrences of multiple logon failures at a network device</t>
  </si>
  <si>
    <t xml:space="preserve">https://filestore.fortinet.com/docs.fortinet.com/fsiem/Public_Resource_Access/7_6_0/rules/PH_RULE_REPEAT_EXCESS_FAILED_LOGON_2_NET_DEV.htm</t>
  </si>
  <si>
    <t xml:space="preserve">PH_Rule_Access_16B</t>
  </si>
  <si>
    <t xml:space="preserve">Repeated Multiple Logon Failures: Database</t>
  </si>
  <si>
    <t xml:space="preserve">PH_RULE_EXCESS_FAILED_LOGON_DB</t>
  </si>
  <si>
    <t xml:space="preserve">DBLoginFailure_1 OR DBLoginFailure_2</t>
  </si>
  <si>
    <t xml:space="preserve">[DBLoginFailure_1] —
[DBLoginFailure_2] —</t>
  </si>
  <si>
    <t xml:space="preserve">[DBLoginFailure_1] srcIpAddr, srcGeoCountry, destName, destIpAddr, destGeoCountry
[DBLoginFailure_2] srcName, destIpAddr, destGeoCountry</t>
  </si>
  <si>
    <t xml:space="preserve">[DBLoginFailure_1] COUNT (*) &gt;= 3
[DBLoginFailure_2] COUNT (*) &gt;= 3</t>
  </si>
  <si>
    <t xml:space="preserve">DBLoginFailure_1.destIpAddr = DBLoginFailure_2.destIpAddr</t>
  </si>
  <si>
    <t xml:space="preserve">Other: PH_RULE_EXCESS_FAILED_LOGON_DB</t>
  </si>
  <si>
    <t xml:space="preserve">Detects repeating occurrences of multiple database logon failures</t>
  </si>
  <si>
    <t xml:space="preserve">https://filestore.fortinet.com/docs.fortinet.com/fsiem/Public_Resource_Access/7_6_0/rules/PH_RULE_REPEAT_EXCESS_FAILED_LOGON_DB.htm</t>
  </si>
  <si>
    <t xml:space="preserve">PH_Rule_Access_21</t>
  </si>
  <si>
    <t xml:space="preserve">Repeated Multiple Logon Failures: Domain</t>
  </si>
  <si>
    <t xml:space="preserve">PH_RULE_EXCESS_FAILED_LOGON_DOMAIN</t>
  </si>
  <si>
    <t xml:space="preserve">RepeatExcessDomainLoginFailure</t>
  </si>
  <si>
    <t xml:space="preserve">Other: PH_RULE_EXCESS_FAILED_LOGON_DOMAIN</t>
  </si>
  <si>
    <t xml:space="preserve">Detects repeating occurrences of multiple domain logon failures</t>
  </si>
  <si>
    <t xml:space="preserve">https://filestore.fortinet.com/docs.fortinet.com/fsiem/Public_Resource_Access/7_6_0/rules/PH_RULE_REPEAT_EXCESS_FAILED_LOGON_DOMAIN.htm</t>
  </si>
  <si>
    <t xml:space="preserve">PH_Rule_Access_16C</t>
  </si>
  <si>
    <t xml:space="preserve">Repeated Multiple Logon Failures: Misc App</t>
  </si>
  <si>
    <t xml:space="preserve">Oracle Database Server via JDBC
Microsoft SQL Server via JDBC
Microsoft IIS via Syslog
FortiWeb via Syslog
Apache via Syslog
JBOSS via Syslog
F5 via Syslog
IBM DB2 via JDBC</t>
  </si>
  <si>
    <t xml:space="preserve">PH_RULE_EXCESS_FAILED_LOGON_APPL</t>
  </si>
  <si>
    <t xml:space="preserve">RepeatExcessMiscAppLoginFailure1 OR RepeatExcessMiscAppLoginFailure2</t>
  </si>
  <si>
    <t xml:space="preserve">[RepeatExcessMiscAppLoginFailure1] srcIpAddr IS NOT NULL
[RepeatExcessMiscAppLoginFailure2] srcIpAddr IS NULL</t>
  </si>
  <si>
    <t xml:space="preserve">[RepeatExcessMiscAppLoginFailure1] srcIpAddr, srcGeoCountry, destName, destIpAddr, destGeoCountry
[RepeatExcessMiscAppLoginFailure2] destName, destIpAddr, destGeoCountry</t>
  </si>
  <si>
    <t xml:space="preserve">[RepeatExcessMiscAppLoginFailure1] COUNT (*) &gt;= 3
[RepeatExcessMiscAppLoginFailure2] COUNT (*) &gt;= 3</t>
  </si>
  <si>
    <t xml:space="preserve">Other: PH_RULE_EXCESS_FAILED_LOGON_APPL</t>
  </si>
  <si>
    <t xml:space="preserve">Detects repeating occurrences of multiple application logon failures. Application logsons include the one that may require authentication for accessing the authentication, such as HTTP, SNMP, FTP, POP3, IMAP etc.</t>
  </si>
  <si>
    <t xml:space="preserve">https://filestore.fortinet.com/docs.fortinet.com/fsiem/Public_Resource_Access/7_6_0/rules/PH_RULE_REPEAT_EXCESS_FAILED_LOGON_APPL.htm</t>
  </si>
  <si>
    <t xml:space="preserve">PH_Rule_Access_6</t>
  </si>
  <si>
    <t xml:space="preserve">Repeated Multiple Logon Failures: Server</t>
  </si>
  <si>
    <t xml:space="preserve">PH_RULE_EXCESS_FAILED_LOGON_SERVER</t>
  </si>
  <si>
    <t xml:space="preserve">RepeatExcessServerLoginFailure</t>
  </si>
  <si>
    <t xml:space="preserve">srcIpAddr, srcGeoCountry, destName, destIpAddr, destGeoCountry</t>
  </si>
  <si>
    <t xml:space="preserve">Other: PH_RULE_EXCESS_FAILED_LOGON_SERVER</t>
  </si>
  <si>
    <t xml:space="preserve">Detects repeating occurrences of multiple logon failures at a server from the same user.</t>
  </si>
  <si>
    <t xml:space="preserve">https://filestore.fortinet.com/docs.fortinet.com/fsiem/Public_Resource_Access/7_6_0/rules/PH_RULE_REPEAT_EXCESS_FAILED_LOGON_SERVER.htm</t>
  </si>
  <si>
    <t xml:space="preserve">PH_Rule_Access_26</t>
  </si>
  <si>
    <t xml:space="preserve">Repeated Multiple Logon Failures: VPN</t>
  </si>
  <si>
    <t xml:space="preserve">Hillstone Firewall via Syslog
Sophos Firewall via Syslog
Juniper JunOS via Syslog
Pulse Secure via Syslog
Juniper SRX via Syslog
Juniper SSG via Syslog
WatchGuard via Syslog
FortiProxy via Syslog
FortiGate via Syslog
Cisco IOS via Syslog
Cisco ASA via Syslog
SonicOS via Syslog</t>
  </si>
  <si>
    <t xml:space="preserve">PH_RULE_EXCESS_FAILED_LOGON_VPN</t>
  </si>
  <si>
    <t xml:space="preserve">RepeatExcessVPNLoginFailure</t>
  </si>
  <si>
    <t xml:space="preserve">Other: PH_RULE_EXCESS_FAILED_LOGON_VPN</t>
  </si>
  <si>
    <t xml:space="preserve">Detects repeating occurrences of excessive VPN logon failures</t>
  </si>
  <si>
    <t xml:space="preserve">https://filestore.fortinet.com/docs.fortinet.com/fsiem/Public_Resource_Access/7_6_0/rules/PH_RULE_REPEAT_EXCESS_FAILED_LOGON_VPN.htm</t>
  </si>
  <si>
    <t xml:space="preserve">PH_Rule_Access_16A</t>
  </si>
  <si>
    <t xml:space="preserve">Repeated Multiple Logon Failures: Web Server</t>
  </si>
  <si>
    <t xml:space="preserve">Detects repeating occurrences of multiple Web Server logon failures</t>
  </si>
  <si>
    <t xml:space="preserve">https://filestore.fortinet.com/docs.fortinet.com/fsiem/Public_Resource_Access/7_6_0/rules/PH_RULE_REPEAT_EXCESS_FAILED_LOGON_WEB.htm</t>
  </si>
  <si>
    <t xml:space="preserve">PH_Rule_Access_31</t>
  </si>
  <si>
    <t xml:space="preserve">Repeated Multiple Logon Failures: WLAN</t>
  </si>
  <si>
    <t xml:space="preserve">PH_RULE_EXCESS_FAILED_LOGON_WIRELESS</t>
  </si>
  <si>
    <t xml:space="preserve">RepeatExcessWLANLoginFailure</t>
  </si>
  <si>
    <t xml:space="preserve">srcMACAddr, user, destName, destIpAddr, destGeoCountry</t>
  </si>
  <si>
    <t xml:space="preserve">Other: PH_RULE_EXCESS_FAILED_LOGON_WIRELESS</t>
  </si>
  <si>
    <t xml:space="preserve">Detects repeating occurrences of excessive wireless LAN logon failures</t>
  </si>
  <si>
    <t xml:space="preserve">https://filestore.fortinet.com/docs.fortinet.com/fsiem/Public_Resource_Access/7_6_0/rules/PH_RULE_REPEAT_EXCESS_FAILED_LOGON_WIRELESS.htm</t>
  </si>
  <si>
    <t xml:space="preserve">PH_Rule_IPS_ADV_10</t>
  </si>
  <si>
    <t xml:space="preserve">Session Hijacking Exploit</t>
  </si>
  <si>
    <t xml:space="preserve">T1557.002</t>
  </si>
  <si>
    <t xml:space="preserve">Group@PH_SYS_EVENT_SessionHijackExploit</t>
  </si>
  <si>
    <t xml:space="preserve">Event-type group (membership not published): Group@PH_SYS_EVENT_SessionHijackExploit</t>
  </si>
  <si>
    <t xml:space="preserve">Detects seesion hijacking exploits</t>
  </si>
  <si>
    <t xml:space="preserve">https://filestore.fortinet.com/docs.fortinet.com/fsiem/Public_Resource_Access/7_6_0/rules/PH_RULE_SESSION_HIJACK_ATTACK.htm</t>
  </si>
  <si>
    <t xml:space="preserve">PH_Rule_Access_71</t>
  </si>
  <si>
    <t xml:space="preserve">Sudden User Location Change</t>
  </si>
  <si>
    <t xml:space="preserve">Profiling</t>
  </si>
  <si>
    <t xml:space="preserve">Microsoft Windows via OMI or Windows Collector
Office 365 via Management Activity API
AWS CloudTrail via AWS_CLOUDTRAIL
Hillstone Firewall via Syslog
Sophos Firewall via Syslog
Juniper JunOS via Syslog
Pulse Secure via Syslog
Juniper SRX via Syslog
HP Procurve via Syslog
Juniper SSG via Syslog
WatchGuard via Syslog
VMware NSX via Syslog
FortiProxy via Syslog
FortiGate via Syslog
Cisco IOS via Syslog
Cisco ASA via Syslog
NetScaler via Syslog
FortiSIEM via Syslog
Riverbed via Syslog
BlueCoat via Syslog
FortiWeb via Syslog
IBM AIX via Syslog
SonicOS via Syslog
Linux via Syslog
[Fires on an internal identity-engine event. Inputs are the successful-logon events in /opt/phoenix/config/identityDef.xml, incl. MS-Entra-SignInLogs-Logon-success, Office 365 logins, VPN tunnel-up and AWS console login. The docs label omits Entra. Needs public source IPs to geolocate.]</t>
  </si>
  <si>
    <t xml:space="preserve">PH_USER_MON_SUDDEN_LOC_CHANGE</t>
  </si>
  <si>
    <t xml:space="preserve">Change</t>
  </si>
  <si>
    <t xml:space="preserve">user,srcIpAddr,srcGeoCity,srcGeoState,srcGeoCountry,srcGeoLongitude,srcGeoLatitude,destIpAddr,destGeoCity,destGeoState,destGeoCountry,destGeoLongitude,destGeoLatitude</t>
  </si>
  <si>
    <t xml:space="preserve">COUNT(*) &gt;= 1 AND AVG(durationMSec) &gt; 0 AND AVG(distanceKm) &gt; 0</t>
  </si>
  <si>
    <t xml:space="preserve">Identity engine (identityDef.xml): PH_USER_MON_SUDDEN_LOC_CHANGE</t>
  </si>
  <si>
    <t xml:space="preserve">Detects location change for a user unfeasible in the period of time. This may indicate a stolen credential.</t>
  </si>
  <si>
    <t xml:space="preserve">https://filestore.fortinet.com/docs.fortinet.com/fsiem/Public_Resource_Access/7_6_0/rules/PH_RULE_USER_MON_SUDDEN_LOC_CHANGE.htm</t>
  </si>
  <si>
    <t xml:space="preserve">PH_Rule_Access_56</t>
  </si>
  <si>
    <t xml:space="preserve">Suspicious Logon Failure without following successful login</t>
  </si>
  <si>
    <t xml:space="preserve">Group@PH_SYS_EVENT_AppLogonSuccess
Group@PH_SYS_EVENT_DomainLogonSuccess
Group@PH_SYS_EVENT_HostLogonSuccess
Group@PH_SYS_EVENT_HostPrivLogonSuccess
Group@PH_SYS_EVENT_VPNLogonSuccess
Group@PH_SYS_EVENT_WirelessLogonSuccess
PH_RULE_EXCESS_FAILED_LOGON_APPL
PH_RULE_EXCESS_FAILED_LOGON_DB
PH_RULE_EXCESS_FAILED_LOGON_DOMAIN
PH_RULE_EXCESS_FAILED_LOGON_NET_DEV
PH_RULE_EXCESS_FAILED_LOGON_SERVER
PH_RULE_EXCESS_FAILED_LOGON_VPN
PH_RULE_EXCESS_FAILED_LOGON_WIRELESS
PH_RULE_EXCESS_FAILED_PRIV_LOGON_SERVER
PH_RULE_REPEAT_EXCESS_FAILED_LOGON_WEB</t>
  </si>
  <si>
    <t xml:space="preserve">FailedLogin NOT_FOLLOWED_BY SuccessLogin</t>
  </si>
  <si>
    <t xml:space="preserve">[FailedLogin] —
[SuccessLogin] —</t>
  </si>
  <si>
    <t xml:space="preserve">[FailedLogin] srcIpAddr, srcGeoCountry, destIpAddr, destGeoCountry, destName, user
[SuccessLogin] srcIpAddr, srcGeoCountry, reptDevName, reptDevIpAddr, user</t>
  </si>
  <si>
    <t xml:space="preserve">[FailedLogin] COUNT (*) &gt;= 1
[SuccessLogin] COUNT (*) &gt;= 1</t>
  </si>
  <si>
    <t xml:space="preserve">FailedLogin.destIpAddr = SuccessLogin.reptDevIpAddr AND FailedLogin.srcIpAddr = SuccessLogin.srcIpAddr, FailedLogin.user = SuccessLogin.user</t>
  </si>
  <si>
    <t xml:space="preserve">Other: PH_RULE_EXCESS_FAILED_LOGON_NET_DEV
Other: PH_RULE_EXCESS_FAILED_LOGON_SERVER
Other: PH_RULE_EXCESS_FAILED_PRIV_LOGON_SERVER
Other: PH_RULE_EXCESS_FAILED_LOGON_DB
Other: PH_RULE_REPEAT_EXCESS_FAILED_LOGON_WEB
Other: PH_RULE_EXCESS_FAILED_LOGON_APPL
Other: PH_RULE_EXCESS_FAILED_LOGON_DOMAIN
Other: PH_RULE_EXCESS_FAILED_LOGON_VPN
Other: PH_RULE_EXCESS_FAILED_LOGON_WIRELESS
Event-type group (membership not published): Group@PH_SYS_EVENT_HostLogonSuccess
Event-type group (membership not published): Group@PH_SYS_EVENT_HostPrivLogonSuccess
Event-type group (membership not published): Group@PH_SYS_EVENT_DomainLogonSuccess
Event-type group (membership not published): Group@PH_SYS_EVENT_VPNLogonSuccess
Event-type group (membership not published): Group@PH_SYS_EVENT_WirelessLogonSuccess
Event-type group (membership not published): Group@PH_SYS_EVENT_AppLogonSuccess</t>
  </si>
  <si>
    <t xml:space="preserve">Detects an unusual condition where a source has authentication failures at a host but that is not followed by a successful authentication at the same host within 2 hours</t>
  </si>
  <si>
    <t xml:space="preserve">https://filestore.fortinet.com/docs.fortinet.com/fsiem/Public_Resource_Access/7_6_0/rules/PH_RULE_SUSPICIOUS_FAILED_LOGON_NO_SUCCESS.htm</t>
  </si>
  <si>
    <t xml:space="preserve">PH_Rule_ES_IMPORT_AZURE_20</t>
  </si>
  <si>
    <t xml:space="preserve">User Added as Owner for Azure Application</t>
  </si>
  <si>
    <t xml:space="preserve">MS_EvtHub_add_owner_to_application</t>
  </si>
  <si>
    <t xml:space="preserve">Other: MS_EvtHub_add_owner_to_application</t>
  </si>
  <si>
    <t xml:space="preserve">Identifies when a user is added as an owner for an Azure application. An adversary may add a user account as an owner for an Azure application in order to grant additional permissions and modify the application's configuration using another account.</t>
  </si>
  <si>
    <t xml:space="preserve">https://filestore.fortinet.com/docs.fortinet.com/fsiem/Public_Resource_Access/7_6_0/rules/PH_RULE_User_Added_as_Owner_for_Azure_Application.htm</t>
  </si>
  <si>
    <t xml:space="preserve">PH_Rule_ES_IMPORT_AZURE_21</t>
  </si>
  <si>
    <t xml:space="preserve">User Added as Owner for Azure Service Principal</t>
  </si>
  <si>
    <t xml:space="preserve">MS_EvtHub_add_owner_to_service_principal</t>
  </si>
  <si>
    <t xml:space="preserve">Other: MS_EvtHub_add_owner_to_service_principal</t>
  </si>
  <si>
    <t xml:space="preserve">Identifies when a user is added as an owner for an Azure service principal. The service principal object defines what the application can do in the specific tenant, who can access the application, and what resources the app can access. A service principal object is created when an application is given permission to access resources in a tenant. An adversary may add a user account as an owner for a service principal and use that account in order to define what an application can do in the Azure AD tenant.</t>
  </si>
  <si>
    <t xml:space="preserve">https://filestore.fortinet.com/docs.fortinet.com/fsiem/Public_Resource_Access/7_6_0/rules/PH_RULE_User_Added_as_Owner_for_Azure_Service_Principal.htm</t>
  </si>
  <si>
    <t xml:space="preserve">PH_RULE_VEEAM_MFA_BRUTE_FORCE</t>
  </si>
  <si>
    <t xml:space="preserve">Veeam: Brute Force MFA Logon Attempts Detected</t>
  </si>
  <si>
    <t xml:space="preserve">Veeam Backup and Replication</t>
  </si>
  <si>
    <t xml:space="preserve">VEEAM-Backup-40206-MfaUserLocked</t>
  </si>
  <si>
    <t xml:space="preserve">VeeamDetect</t>
  </si>
  <si>
    <t xml:space="preserve">Other: VEEAM-Backup-40206-MfaUserLocked</t>
  </si>
  <si>
    <t xml:space="preserve">Triggers when a user account exceeds the threshold for failed MFA authentication attempts</t>
  </si>
  <si>
    <t xml:space="preserve">https://filestore.fortinet.com/docs.fortinet.com/fsiem/Public_Resource_Access/7_6_0/rules/PH_RULE_VEEAM_MFA_BRUTE_FORCE.htm</t>
  </si>
  <si>
    <t xml:space="preserve">PH_RULE_VEEAM_MFA_USER_DISABLED</t>
  </si>
  <si>
    <t xml:space="preserve">Veeam: MFA for Specific User Disabled</t>
  </si>
  <si>
    <t xml:space="preserve">VEEAM-Backup-40204-UserMfaDisabled</t>
  </si>
  <si>
    <t xml:space="preserve">Other: VEEAM-Backup-40204-UserMfaDisabled</t>
  </si>
  <si>
    <t xml:space="preserve">Detects the targeted disablement of multi-factor authentication for a specific user account</t>
  </si>
  <si>
    <t xml:space="preserve">https://filestore.fortinet.com/docs.fortinet.com/fsiem/Public_Resource_Access/7_6_0/rules/PH_RULE_VEEAM_MFA_USER_DISABLED.htm</t>
  </si>
  <si>
    <t xml:space="preserve">PH_Rule_OSQ_WIN_3</t>
  </si>
  <si>
    <t xml:space="preserve">Windows Debugger registry key for common Windows accessibility tools</t>
  </si>
  <si>
    <t xml:space="preserve">T1574.002</t>
  </si>
  <si>
    <t xml:space="preserve">Microsoft Windows osquery via Windows Collector</t>
  </si>
  <si>
    <t xml:space="preserve">PH_OSQUERY_WIN_DEBUGGER_REGKEY</t>
  </si>
  <si>
    <t xml:space="preserve">totalNum &gt;= 1</t>
  </si>
  <si>
    <t xml:space="preserve">reptDevName,regKeyPath,regValueName,newRegValue</t>
  </si>
  <si>
    <t xml:space="preserve">Other: PH_OSQUERY_WIN_DEBUGGER_REGKEY</t>
  </si>
  <si>
    <t xml:space="preserve">Detects the presence of the 'Debugger' registry key for common Windows accessibility tools. This Accessibility Tool Backdoor allows a user to assign a program of their choice (e.g. Notepad2.exe) to be the debugger to another program (e.g. Notepad.exe), so that the debugger program Notepad2.exe is automatically started when the program Notepad.exe is launched.</t>
  </si>
  <si>
    <t xml:space="preserve">https://filestore.fortinet.com/docs.fortinet.com/fsiem/Public_Resource_Access/7_6_0/rules/PH_RULE_Win_Accessibility_Backdoor.htm</t>
  </si>
  <si>
    <t xml:space="preserve">PH_Rule_SIGMA_1853</t>
  </si>
  <si>
    <t xml:space="preserve">Windows: A Member Was Added to a Security-Enabled Global Group</t>
  </si>
  <si>
    <t xml:space="preserve">Win-Security-4728
Win-Security-632</t>
  </si>
  <si>
    <t xml:space="preserve">hostName</t>
  </si>
  <si>
    <t xml:space="preserve">Windows Security log: Security 4728
Other Windows log: Security</t>
  </si>
  <si>
    <t xml:space="preserve">Detects activity when a member is added to a security-enabled global group. This rule is adapted from https://github.com/SigmaHQ/sigma/blob/master/rules/windows/builtin/security/account_management/win_security_member_added_security_enabled_global_group.yml</t>
  </si>
  <si>
    <t xml:space="preserve">https://filestore.fortinet.com/docs.fortinet.com/fsiem/Public_Resource_Access/7_6_0/rules/PH_RULE_A_Member_Was_Added_to_a_Security_Enabled_Global_Group.htm</t>
  </si>
  <si>
    <t xml:space="preserve">PH_Rule_SIGMA_2571</t>
  </si>
  <si>
    <t xml:space="preserve">Windows: Active Directory Database Snapshot Via ADExplorer</t>
  </si>
  <si>
    <t xml:space="preserve">Active Directory, Credential Access</t>
  </si>
  <si>
    <t xml:space="preserve">Win-Sysmon-1-Create-Process</t>
  </si>
  <si>
    <t xml:space="preserve">(procName REGEXP "\\ADExp\.exe$|\\ADExplorer64\.exe$|\\ADExplorer64a\.exe$|\\ADExplorer\.exe$" OR srcFileName="AdExp" OR description="Active Directory Editor" OR product="Sysinternals ADExplorer") AND command REGEXP "snapshot"</t>
  </si>
  <si>
    <t xml:space="preserve">command,description,hostName,procName,product,srcFileName</t>
  </si>
  <si>
    <t xml:space="preserve">Sysmon: Sysmon 1</t>
  </si>
  <si>
    <t xml:space="preserve">Detects the execution of Sysinternals ADExplorer with the "-snapshot" flag in order to save a local copy of the active directory database. This can be used by attackers to extract data for Bloodhound, usernames for password spraying or use the meta data for social engineering. The snapshot doesn't contain password hashes but there have been cases, where administrators put passwords in the comment field.. This rule is adapted from https://github.com/SigmaHQ/sigma/blob/master/rules/windows/process_creation/proc_creation_win_sysinternals_adexplorer_execution.yml</t>
  </si>
  <si>
    <t xml:space="preserve">https://filestore.fortinet.com/docs.fortinet.com/fsiem/Public_Resource_Access/7_6_0/rules/PH_RULE_Active_Directory_Database_Snapshot_Via_ADExplorer.htm</t>
  </si>
  <si>
    <t xml:space="preserve">PH_Rule_SIGMA_5</t>
  </si>
  <si>
    <t xml:space="preserve">Windows: Active Directory Replication from Non Machine Account</t>
  </si>
  <si>
    <t xml:space="preserve">T1003.006</t>
  </si>
  <si>
    <t xml:space="preserve">Win-Security-4662</t>
  </si>
  <si>
    <t xml:space="preserve">(fileAccess="0x100" AND propName REGEXP ".*1131f6aa-9c07-11d1-f79f-00c04fc2dcd2.*|.*1131f6ad-9c07-11d1-f79f-00c04fc2dcd2.*|.*89e95b76-444d-4c62-991a-0facbeda640c.*") AND (user NOT REGEXP "\$$" AND user NOT REGEXP "^MSOL_")</t>
  </si>
  <si>
    <t xml:space="preserve">fileAccess,hostName,propName,user</t>
  </si>
  <si>
    <t xml:space="preserve">Windows Security log: Security 4662</t>
  </si>
  <si>
    <t xml:space="preserve">a5</t>
  </si>
  <si>
    <t xml:space="preserve">Detects potential abuse of Active Directory Replication Service (ADRS) from a non-machine account to request credentials. This rule is adapted from https://github.com/SigmaHQ/sigma/blob/master/rules/windows/builtin/security/win_security_ad_replication_non_machine_account.yml</t>
  </si>
  <si>
    <t xml:space="preserve">https://filestore.fortinet.com/docs.fortinet.com/fsiem/Public_Resource_Access/7_6_0/rules/PH_RULE_Active_Directory_Replication_from_Non_Machine_Account.htm</t>
  </si>
  <si>
    <t xml:space="preserve">PH_Rule_SIGMA_243</t>
  </si>
  <si>
    <t xml:space="preserve">Windows: Active Directory User Backdoors</t>
  </si>
  <si>
    <t xml:space="preserve">Win-Security-4738
Win-Security-5136</t>
  </si>
  <si>
    <t xml:space="preserve">(((allowedToDelegateTo IS NOT NULL AND allowedToDelegateTo != "-")) OR (((propName="msDS-AllowedToDelegateTo" OR (osObjType="user" AND propName="servicePrincipalName") OR propName="msDS-AllowedToActOnBehalfOfOtherIdentity")) AND propValue != "-"))</t>
  </si>
  <si>
    <t xml:space="preserve">hostName,user,targetUser,osObjType,propName</t>
  </si>
  <si>
    <t xml:space="preserve">Windows Security log: Security 4738
Windows Security log: Security 5136</t>
  </si>
  <si>
    <t xml:space="preserve">a4, a6</t>
  </si>
  <si>
    <t xml:space="preserve">Detects scenarios where one can control another users or computers account without having to use their credentials. This rule is adapted from https://github.com/SigmaHQ/sigma/blob/master/rules/windows/builtin/security/win_security_alert_ad_user_backdoors.yml. This rule triggers on modification of the attributes AllowedToDelegateTo,msDS-AllowedToDelegateTo,msDS-AllowedToActOnBehalfOfOtherIdentity, and servicePrincipalName (if object is user). These attributes can allow impersonation which may allow backdoor activity.</t>
  </si>
  <si>
    <t xml:space="preserve">https://filestore.fortinet.com/docs.fortinet.com/fsiem/Public_Resource_Access/7_6_0/rules/PH_RULE_Active_Directory_User_Backdoors.htm</t>
  </si>
  <si>
    <t xml:space="preserve">PH_Rule_SIGMA_1837</t>
  </si>
  <si>
    <t xml:space="preserve">Windows: Add or Remove Computer from DC</t>
  </si>
  <si>
    <t xml:space="preserve">Win-Security-4741
Win-Security-4743</t>
  </si>
  <si>
    <t xml:space="preserve">Windows Security log: Security 4741
Windows Security log: Security 4743</t>
  </si>
  <si>
    <t xml:space="preserve">Detects the creation or removal of a computer. Can be used to detect attacks such as DCShadow via the creation of a new SPN. This rule is adapted from https://github.com/SigmaHQ/sigma/blob/master/rules/windows/builtin/security/win_security_add_remove_computer.yml</t>
  </si>
  <si>
    <t xml:space="preserve">https://filestore.fortinet.com/docs.fortinet.com/fsiem/Public_Resource_Access/7_6_0/rules/PH_RULE_Add_or_Remove_Computer_from_DC.htm</t>
  </si>
  <si>
    <t xml:space="preserve">PH_Rule_SIGMA_2540</t>
  </si>
  <si>
    <t xml:space="preserve">Windows: Add User to Local Administrators Group</t>
  </si>
  <si>
    <t xml:space="preserve">((command REGEXP ".*localgroup .*" AND command REGEXP ".* /add.*") OR (command REGEXP ".*Add-LocalGroupMember .*" AND command REGEXP ".* -Group .*")) AND command REGEXP ".* administrateur.*|.* administrators .*"</t>
  </si>
  <si>
    <t xml:space="preserve">command,hostName</t>
  </si>
  <si>
    <t xml:space="preserve">Detects suspicious command line that adds an account to the local administrators/administrateurs group. This rule is adapted from https://github.com/SigmaHQ/sigma/blob/master/rules/windows/process_creation/proc_creation_win_susp_add_user_local_admin_group.yml</t>
  </si>
  <si>
    <t xml:space="preserve">https://filestore.fortinet.com/docs.fortinet.com/fsiem/Public_Resource_Access/7_6_0/rules/PH_RULE_Add_User_to_Local_Administrators_Group.htm</t>
  </si>
  <si>
    <t xml:space="preserve">PH_Rule_SIGMA_294</t>
  </si>
  <si>
    <t xml:space="preserve">Windows: Addition of SID History to Active Directory Object</t>
  </si>
  <si>
    <t xml:space="preserve">Active Directory, Windows Security log, Privilege Escalation, Privilege/account change</t>
  </si>
  <si>
    <t xml:space="preserve">T1134.005</t>
  </si>
  <si>
    <t xml:space="preserve">Win-Security-4738
Win-Security-4765
Win-Security-4766</t>
  </si>
  <si>
    <t xml:space="preserve">(((sidHistory NOT IN ("%%1793","-"))) AND (sidHistory IS NOT NULL))</t>
  </si>
  <si>
    <t xml:space="preserve">sidHistory,hostName</t>
  </si>
  <si>
    <t xml:space="preserve">Windows Security log: Security 4765
Windows Security log: Security 4766
Windows Security log: Security 4738</t>
  </si>
  <si>
    <t xml:space="preserve">An attacker can use the SID history attribute to gain additional privileges. This rule is adapted from https://github.com/SigmaHQ/sigma/blob/master/rules/windows/builtin/security/win_security_susp_add_sid_history.yml</t>
  </si>
  <si>
    <t xml:space="preserve">https://filestore.fortinet.com/docs.fortinet.com/fsiem/Public_Resource_Access/7_6_0/rules/PH_RULE_Addition_of_SID_History_to_Active_Directory_Object.htm</t>
  </si>
  <si>
    <t xml:space="preserve">PH_Rule_SIGMA_1281</t>
  </si>
  <si>
    <t xml:space="preserve">Windows: Automated Collection Command Prompt</t>
  </si>
  <si>
    <t xml:space="preserve">command REGEXP ".*\.doc.*|.*\.docx.*|.*\.pdf.*|.*\.ppt.*|.*\.pptx.*|.*\.rtf.*|.*\.txt.*|.*\.xls.*|.*\.xlsx.*" AND ((command REGEXP ".*dir .*" AND command REGEXP ".* /b .*" AND command REGEXP ".* /s .*") OR (srcFileName="FINDSTR.EXE" AND command REGEXP ".* /e .*|.* /si .*"))</t>
  </si>
  <si>
    <t xml:space="preserve">command,hostName,srcFileName</t>
  </si>
  <si>
    <t xml:space="preserve">Detects automated techniques for collecting internal data using FINDSTR.exe. Findstr is a very powerful command line tool that makes it easy to search through files and folders based on criteria missing in the standard File Explorer search. This rule is adapted from https://github.com/SigmaHQ/sigma/blob/master/rules/windows/process_creation/proc_creation_win_susp_automated_collection.yml</t>
  </si>
  <si>
    <t xml:space="preserve">https://filestore.fortinet.com/docs.fortinet.com/fsiem/Public_Resource_Access/7_6_0/rules/PH_RULE_Automated_Collection_Command_Prompt.htm</t>
  </si>
  <si>
    <t xml:space="preserve">PH_Rule_SIGMA_1949</t>
  </si>
  <si>
    <t xml:space="preserve">Windows: BloodHound Collection Files</t>
  </si>
  <si>
    <t xml:space="preserve">Win-Sysmon-11-FileCreate</t>
  </si>
  <si>
    <t xml:space="preserve">fileName REGEXP "BloodHound\.zip$|_computers\.json$|_containers\.json$|_gpos\.json$|_groups\.json$|_ous\.json$|_users\.json$" AND (procName NOT REGEXP "\\svchost\.exe$" OR fileName NOT REGEXP "^C:\\Program Files\\WindowsApps\\Microsoft\." OR fileName NOT REGEXP "\\pocket_containers\.json$")</t>
  </si>
  <si>
    <t xml:space="preserve">fileName,hostName,procName</t>
  </si>
  <si>
    <t xml:space="preserve">Sysmon: Sysmon 11</t>
  </si>
  <si>
    <t xml:space="preserve">Detects default file names outputted by the BloodHound collection tool SharpHound. This rule is adapted from https://github.com/SigmaHQ/sigma/blob/master/rules/windows/file/file_event/file_event_win_bloodhound_collection.yml</t>
  </si>
  <si>
    <t xml:space="preserve">https://filestore.fortinet.com/docs.fortinet.com/fsiem/Public_Resource_Access/7_6_0/rules/PH_RULE_BloodHound_Collection_Files.htm</t>
  </si>
  <si>
    <t xml:space="preserve">PH_Rule_SIGMA_620</t>
  </si>
  <si>
    <t xml:space="preserve">Windows: Bypass UAC via Fodhelper.exe</t>
  </si>
  <si>
    <t xml:space="preserve">parentProcName REGEXP "\\fodhelper\.exe$"</t>
  </si>
  <si>
    <t xml:space="preserve">hostName,parentProcName</t>
  </si>
  <si>
    <t xml:space="preserve">Detects use of Fodhelper.exe to bypass User Account Control. Fodhelper is a trusted binary in Windows operating systems, to manage features in Windows settings. If the attackers have limited shell or normal user access to the victim system, they can make use of fodhelper.exe to bypass the User Access Control and execute privileged processes. This rule is adapted from https://github.com/SigmaHQ/sigma/blob/master/rules/windows/process_creation/proc_creation_win_uac_bypass_fodhelper.yml</t>
  </si>
  <si>
    <t xml:space="preserve">https://filestore.fortinet.com/docs.fortinet.com/fsiem/Public_Resource_Access/7_6_0/rules/PH_RULE_Bypass_UAC_via_Fodhelper_exe.htm</t>
  </si>
  <si>
    <t xml:space="preserve">PH_Rule_SIGMA_2356</t>
  </si>
  <si>
    <t xml:space="preserve">Windows: Computer Password Change Via Ksetup.EXE</t>
  </si>
  <si>
    <t xml:space="preserve">Active Directory, Privilege/account change</t>
  </si>
  <si>
    <t xml:space="preserve">(procName REGEXP "\\ksetup\.exe$" OR srcFileName="ksetup.exe") AND command REGEXP ".* /setcomputerpassword .*"</t>
  </si>
  <si>
    <t xml:space="preserve">command,hostName,procName,srcFileName</t>
  </si>
  <si>
    <t xml:space="preserve">Detects password change for the computer's domain account or host principal via "ksetup.exe". This rule is adapted from https://github.com/SigmaHQ/sigma/blob/master/rules/windows/process_creation/proc_creation_win_ksetup_password_change_computer.yml</t>
  </si>
  <si>
    <t xml:space="preserve">https://filestore.fortinet.com/docs.fortinet.com/fsiem/Public_Resource_Access/7_6_0/rules/PH_RULE_Computer_Password_Change_Via_Ksetup_EXE.htm</t>
  </si>
  <si>
    <t xml:space="preserve">PH_Rule_SIGMA_393</t>
  </si>
  <si>
    <t xml:space="preserve">Windows: Copying Sensitive Files with Credential Data</t>
  </si>
  <si>
    <t xml:space="preserve">(((procName REGEXP "\\esentutl\.exe$" OR srcFileName="\\esentutl.exe") AND (command REGEXP "vss" OR command REGEXP " -m " OR command REGEXP " /m " OR command REGEXP " -y " OR command REGEXP " /y ")) OR command REGEXP "\\config\\RegBack\\sam|\\config\\RegBack\\security|\\config\\RegBack\\system|\\config\\sam|\\config\\security|\\config\\system |\\repair\\sam|\\repair\\security|\\repair\\system|\\windows\\ntds\\ntds\.dit")</t>
  </si>
  <si>
    <t xml:space="preserve">Files with well-known filenames (sensitive files with credential data) copying. This rule is adapted from https://github.com/SigmaHQ/sigma/blob/master/rules/windows/process_creation/proc_creation_win_esentutl_sensitive_file_copy.yml</t>
  </si>
  <si>
    <t xml:space="preserve">https://filestore.fortinet.com/docs.fortinet.com/fsiem/Public_Resource_Access/7_6_0/rules/PH_RULE_Copying_Sensitive_Files_with_Credential_Data.htm</t>
  </si>
  <si>
    <t xml:space="preserve">PH_Rule_SIGMA_1463</t>
  </si>
  <si>
    <t xml:space="preserve">Windows: CreateDump Process Dump</t>
  </si>
  <si>
    <t xml:space="preserve">(procName REGEXP "\\createdump\.exe$" OR srcFileName="FX_VER_INTERNALNAME_STR") AND command REGEXP ".* --full .*|.* --name .*|.* -f .*|.* -u .*|.*\.dmp .*"</t>
  </si>
  <si>
    <t xml:space="preserve">Detects uses of the createdump.exe LOLBIN utility to dump process memory. Crashdump.exe is Microsoft .NET Runtime Crash Dump Generator. LOLBin refers to executables that are a part of the operating system (OS) and can be exploited to support an attack. This rule is adapted from https://github.com/SigmaHQ/sigma/blob/master/rules/windows/process_creation/proc_creation_win_createdump_lolbin_execution.yml</t>
  </si>
  <si>
    <t xml:space="preserve">https://filestore.fortinet.com/docs.fortinet.com/fsiem/Public_Resource_Access/7_6_0/rules/PH_RULE_CreateDump_Process_Dump.htm</t>
  </si>
  <si>
    <t xml:space="preserve">PH_Rule_SIGMA_318</t>
  </si>
  <si>
    <t xml:space="preserve">Windows: Cred Dump Tools Dropped Files</t>
  </si>
  <si>
    <t xml:space="preserve">T1003.005</t>
  </si>
  <si>
    <t xml:space="preserve">(fileName REGEXP "\\fgdump-log|\\kirbi|\\pwdump|\\pwhashes|\\wce_ccache|\\wce_krbtkts" OR fileName REGEXP "\\DumpExt\.dll$|\\DumpSvc\.exe$|\\Dumpy\.exe$|\\NTDS\.out$|\\SAM\.out$|\\SECURITY\.out$|\\SYSTEM\.out$|\\cachedump64\.exe$|\\cachedump\.exe$|\\fgexec\.exe$|\\lsremora64\.dll$|\\lsremora\.dll$|\\procdump64\.exe$|\\procdump64a\.exe$|\\procdump\.exe$|\\pstgdump\.exe$|\\pwdump\.exe$|\\servpw64\.exe$|\\servpw\.exe$|\\test\.pwd$|\\wceaux\.dll$")</t>
  </si>
  <si>
    <t xml:space="preserve">fileName,hostName</t>
  </si>
  <si>
    <t xml:space="preserve">Files with well-known filenames (parts of credential dump software or files produced by them) creation. This rule is adapted from https://github.com/SigmaHQ/sigma/blob/master/rules/windows/file/file_event/file_event_win_cred_dump_tools_dropped_files.yml</t>
  </si>
  <si>
    <t xml:space="preserve">https://filestore.fortinet.com/docs.fortinet.com/fsiem/Public_Resource_Access/7_6_0/rules/PH_RULE_Cred_Dump_Tools_Dropped_Files.htm</t>
  </si>
  <si>
    <t xml:space="preserve">PH_Rule_SIGMA_1199</t>
  </si>
  <si>
    <t xml:space="preserve">Windows: Credential Dumping Tools Service Execution - Security</t>
  </si>
  <si>
    <t xml:space="preserve">Win-Security-4697</t>
  </si>
  <si>
    <t xml:space="preserve">serviceFileName REGEXP ".*cachedump.*|.*dumpsvc.*|.*fgexec.*|.*gsecdump.*|.*mimidrv.*|.*pwdump.*|.*servpw.*"</t>
  </si>
  <si>
    <t xml:space="preserve">hostName,serviceFileName</t>
  </si>
  <si>
    <t xml:space="preserve">Windows Security log: Security 4697</t>
  </si>
  <si>
    <t xml:space="preserve">Detects well-known credential dumping tools execution via service execution events. This rule is adapted from https://github.com/SigmaHQ/sigma/blob/master/rules/windows/builtin/security/win_security_mal_creddumper.yml</t>
  </si>
  <si>
    <t xml:space="preserve">https://filestore.fortinet.com/docs.fortinet.com/fsiem/Public_Resource_Access/7_6_0/rules/PH_RULE_Credential_Dumping_Tools_Service_Execution_SECURITY_LOG.htm</t>
  </si>
  <si>
    <t xml:space="preserve">PH_Rule_SIGMA_1867</t>
  </si>
  <si>
    <t xml:space="preserve">Windows: Credential Dumping Tools Service Execution - System</t>
  </si>
  <si>
    <t xml:space="preserve">Detects well-known credential dumping tools execution via service execution events. This rule is adapted from https://github.com/SigmaHQ/sigma/blob/master/rules/windows/builtin/system/service_control_manager/win_system_mal_creddumper.yml</t>
  </si>
  <si>
    <t xml:space="preserve">https://filestore.fortinet.com/docs.fortinet.com/fsiem/Public_Resource_Access/7_6_0/rules/PH_RULE_Credential_Dumping_Tools_Service_Execution_System.htm</t>
  </si>
  <si>
    <t xml:space="preserve">PH_Rule_SIGMA_1265</t>
  </si>
  <si>
    <t xml:space="preserve">Windows: CredUI.DLL Loaded By Uncommon Process</t>
  </si>
  <si>
    <t xml:space="preserve">Collection</t>
  </si>
  <si>
    <t xml:space="preserve">T1056.002</t>
  </si>
  <si>
    <t xml:space="preserve">Win-Sysmon-7-Image-Loaded</t>
  </si>
  <si>
    <t xml:space="preserve">(loadedProcName REGEXP "\\credui\.dll$|\\wincredui\.dll$" OR srcFileName IN ("credui.dll","wincredui.dll")) AND procName NOT REGEXP "^C:\\Program Files \(x86\)\\|^C:\\Program Files\\|^C:\\Windows\\SysWOW64\\|^C:\\Windows\\System32\\|^C:\\Windows\\SystemApps\\" AND procName NOT IN ("C:\\Windows\\ImmersiveControlPanel\\SystemSettings.exe","C:\\Windows\\explorer.exe","C:\\Windows\\regedit.exe") AND procName NOT REGEXP "\\opera_autoupdate\.exe$" AND procName NOT REGEXP "\\procexp64\.exe$|\\procexp\.exe$" AND (procName NOT REGEXP "^C:\\Users\\" OR procName NOT REGEXP "\\AppData\\Local\\Microsoft\\Teams\\" OR procName NOT REGEXP "\\Teams\.exe$") AND (procName NOT REGEXP "^C:\\Users\\" OR procName NOT REGEXP "\\AppData\\Local\\Microsoft\\OneDrive\\")</t>
  </si>
  <si>
    <t xml:space="preserve">hostName,loadedProcName,procName,srcFileName</t>
  </si>
  <si>
    <t xml:space="preserve">Sysmon: Sysmon 7</t>
  </si>
  <si>
    <t xml:space="preserve">Detects loading of "credui.dll" and related DLLs by an uncommon process. Attackers might leverage this DLL for potential use of "CredUIPromptForCredentials" or "CredUnPackAuthenticationBufferW".. This rule is adapted from https://github.com/SigmaHQ/sigma/blob/master/rules/windows/image_load/image_load_dll_credui_uncommon_process_load.yml</t>
  </si>
  <si>
    <t xml:space="preserve">https://filestore.fortinet.com/docs.fortinet.com/fsiem/Public_Resource_Access/7_6_0/rules/PH_RULE_UIPromptForCredentials_DLLs.htm</t>
  </si>
  <si>
    <t xml:space="preserve">PH_Rule_SIGMA_671</t>
  </si>
  <si>
    <t xml:space="preserve">Windows: DLL Load via LSASS</t>
  </si>
  <si>
    <t xml:space="preserve">T1547.008</t>
  </si>
  <si>
    <t xml:space="preserve">REGEXP:Win-Sysmon-12-Registry-.*|Win-Sysmon-13-Registry-.*|Win-Sysmon-14-Registry-.*</t>
  </si>
  <si>
    <t xml:space="preserve">regKeyPath REGEXP ".*\\CurrentControlSet\\Services\\NTDS\\DirectoryServiceExtPt.*|.*\\CurrentControlSet\\Services\\NTDS\\LsaDbExtPt.*" AND ((procName!="C:\\Windows\\system32\\lsass.exe" OR details NOT IN ("%%systemroot%%\\system32\\lsadb.dll","%%systemroot%%\\system32\\ntdsa.dll")))</t>
  </si>
  <si>
    <t xml:space="preserve">details,hostName,procName,regKeyPath</t>
  </si>
  <si>
    <t xml:space="preserve">Sysmon: Sysmon 12</t>
  </si>
  <si>
    <t xml:space="preserve">s3</t>
  </si>
  <si>
    <t xml:space="preserve">Detects a method to load DLL via LSASS process using an undocumented Registry key. This rule is adapted from https://github.com/SigmaHQ/sigma/blob/master/rules/windows/registry/registry_event/registry_event_susp_lsass_dll_load.yml</t>
  </si>
  <si>
    <t xml:space="preserve">https://filestore.fortinet.com/docs.fortinet.com/fsiem/Public_Resource_Access/7_6_0/rules/PH_RULE_DLL_Load_via_LSASS.htm</t>
  </si>
  <si>
    <t xml:space="preserve">PH_Rule_SIGMA_618</t>
  </si>
  <si>
    <t xml:space="preserve">Windows: Domain Trust Discovery Via Dsquery</t>
  </si>
  <si>
    <t xml:space="preserve">(procName REGEXP "\\dsquery\.exe$" OR srcFileName="dsquery.exe") AND command REGEXP ".*trustedDomain.*"</t>
  </si>
  <si>
    <t xml:space="preserve">Detects execution of "dsquery.exe" for domain trust discovery. This rule is adapted from https://github.com/SigmaHQ/sigma/blob/master/rules/windows/process_creation/proc_creation_win_dsquery_domain_trust_discovery.yml</t>
  </si>
  <si>
    <t xml:space="preserve">https://filestore.fortinet.com/docs.fortinet.com/fsiem/Public_Resource_Access/7_6_0/rules/PH_RULE_Domain_Trust_Discovery.htm</t>
  </si>
  <si>
    <t xml:space="preserve">PH_Rule_SIGMA_246</t>
  </si>
  <si>
    <t xml:space="preserve">Windows: DPAPI Domain Backup Key Extraction</t>
  </si>
  <si>
    <t xml:space="preserve">T1003.004</t>
  </si>
  <si>
    <t xml:space="preserve">osObjType="SecretObject" AND fileAccess="0x2" AND osObjName REGEXP ".*BCKUPKEY.*"</t>
  </si>
  <si>
    <t xml:space="preserve">fileAccess,hostName,osObjName,osObjType</t>
  </si>
  <si>
    <t xml:space="preserve">Detects tools extracting LSA secret DPAPI domain backup key from Domain Controllers. This rule is adapted from https://github.com/SigmaHQ/sigma/blob/master/rules/windows/builtin/security/win_security_dpapi_domain_backupkey_extraction.yml</t>
  </si>
  <si>
    <t xml:space="preserve">https://filestore.fortinet.com/docs.fortinet.com/fsiem/Public_Resource_Access/7_6_0/rules/PH_RULE_DPAPI_Domain_Backup_Key_Extraction.htm</t>
  </si>
  <si>
    <t xml:space="preserve">PH_Rule_SIGMA_247</t>
  </si>
  <si>
    <t xml:space="preserve">Windows: DPAPI Domain Master Key Backup Attempt</t>
  </si>
  <si>
    <t xml:space="preserve">Win-Security-4692</t>
  </si>
  <si>
    <t xml:space="preserve">Windows Security log: Security 4692</t>
  </si>
  <si>
    <t xml:space="preserve">Detects anyone attempting a backup for the DPAPI Master Key. This events gets generated at the source and not the Domain Controller. This rule is adapted from https://github.com/SigmaHQ/sigma/blob/master/rules/windows/builtin/security/win_security_dpapi_domain_masterkey_backup_attempt.yml</t>
  </si>
  <si>
    <t xml:space="preserve">https://filestore.fortinet.com/docs.fortinet.com/fsiem/Public_Resource_Access/7_6_0/rules/PH_RULE_DPAPI_Domain_Master_Key_Backup_Attempt.htm</t>
  </si>
  <si>
    <t xml:space="preserve">PH_Rule_SIGMA_1305</t>
  </si>
  <si>
    <t xml:space="preserve">Windows: Dropping Of Password Filter DLL</t>
  </si>
  <si>
    <t xml:space="preserve">T1556.002</t>
  </si>
  <si>
    <t xml:space="preserve">command REGEXP ".*HKLM\\SYSTEM\\CurrentControlSet\\Control\\Lsa.*" AND command REGEXP ".*scecli\\0.*" AND command REGEXP ".*reg add.*"</t>
  </si>
  <si>
    <t xml:space="preserve">Detects dropping of dll files in system32 that may be used to retrieve user credentials from Local Security Authority Subsystem Service (LSASS.exe), which manages system-level authentication. This rule is adapted from https://github.com/SigmaHQ/sigma/blob/master/rules/windows/process_creation/proc_creation_win_reg_credential_access_via_password_filter.yml</t>
  </si>
  <si>
    <t xml:space="preserve">https://filestore.fortinet.com/docs.fortinet.com/fsiem/Public_Resource_Access/7_6_0/rules/PH_RULE_Dropping_Of_Password_Filter_DLL.htm</t>
  </si>
  <si>
    <t xml:space="preserve">PH_Rule_SIGMA_1787</t>
  </si>
  <si>
    <t xml:space="preserve">Windows: Dump Ntds.dit To Suspicious Location</t>
  </si>
  <si>
    <t xml:space="preserve">Microsoft Windows Print Service log via Windows Collector</t>
  </si>
  <si>
    <t xml:space="preserve">Win-PrintService-Remove-Printer-Failed</t>
  </si>
  <si>
    <t xml:space="preserve">lineContent REGEXP ".*ntds\.dit.*" AND lineContent REGEXP ".*C:\\ntds\.dit.*|.*\\Appdata\\.*|.*\\Desktop\\.*|.*\\Downloads\\.*|.*\\Perflogs\\.*|.*\\Temp\\.*|.*\\Users\\Public\\.*"</t>
  </si>
  <si>
    <t xml:space="preserve">hostName,lineContent</t>
  </si>
  <si>
    <t xml:space="preserve">Other Windows log: PrintService</t>
  </si>
  <si>
    <t xml:space="preserve">Detects potential abuse of ntdsutil to dump ntds.dit database to a suspicious location. This rule is adapted from https://github.com/SigmaHQ/sigma/blob/master/rules/windows/builtin/application/esent/win_esent_ntdsutil_abuse_susp_location.yml</t>
  </si>
  <si>
    <t xml:space="preserve">https://filestore.fortinet.com/docs.fortinet.com/fsiem/Public_Resource_Access/7_6_0/rules/PH_RULE_Dump_Ntds_dit_To_Suspicious_Location.htm</t>
  </si>
  <si>
    <t xml:space="preserve">PH_Rule_SIGMA_416</t>
  </si>
  <si>
    <t xml:space="preserve">Windows: Dumping of Sensitive Hives Via Reg.EXE</t>
  </si>
  <si>
    <t xml:space="preserve">(procName REGEXP ".*\\reg\.exe" OR srcFileName="reg.exe") AND command REGEXP ".*export.*|.*e.port.*|.*save.*|.*.ave.*" AND command REGEXP ".*hkey_local_machine.*|.*hkey_loca._machine.*|.*hkey_.ocal_machine.*|.*hkey_.oca._machine.*|.*hklm.*|.*hk.m.*" AND command REGEXP ".*\\sam.*|.*\\security.*|.*\\system.*|.*\\sy.tem.*|.*\\.am.*|.*\\.ecurity.*|.*\\.ystem.*|.*\\.y.tem.*"</t>
  </si>
  <si>
    <t xml:space="preserve">Detects the usage of reg.exe to dump sensitive registry hives, including SAM, SYSTEM and SECURITY. This rule is adapted from https://github.com/SigmaHQ/sigma/blob/master/rules/windows/process_creation/proc_creation_win_reg_dumping_sensitive_hives.yml</t>
  </si>
  <si>
    <t xml:space="preserve">https://filestore.fortinet.com/docs.fortinet.com/fsiem/Public_Resource_Access/7_6_0/rules/PH_RULE_Grabbing_Sensitive_Hives_via_Reg_Utility.htm</t>
  </si>
  <si>
    <t xml:space="preserve">PH_Rule_SIGMA_1401</t>
  </si>
  <si>
    <t xml:space="preserve">Windows: Dumping Process via Sqldumper.exe</t>
  </si>
  <si>
    <t xml:space="preserve">procName REGEXP "\\sqldumper\.exe$" AND command REGEXP ".*0x01100:40.*|.*0x0110.*"</t>
  </si>
  <si>
    <t xml:space="preserve">command,hostName,procName</t>
  </si>
  <si>
    <t xml:space="preserve">Detects process dump via legitimate sqldumper.exe binary. The Sqldumper.exe utility, included with Microsoft SQL Server, generates memory dumps of SQL Server and of related processes for debugging purposes. This rule is adapted from https://github.com/SigmaHQ/sigma/blob/master/rules/windows/process_creation/proc_creation_win_lolbin_susp_sqldumper_activity.yml</t>
  </si>
  <si>
    <t xml:space="preserve">https://filestore.fortinet.com/docs.fortinet.com/fsiem/Public_Resource_Access/7_6_0/rules/PH_RULE_Dumping_Process_via_Sqldumper_exe.htm</t>
  </si>
  <si>
    <t xml:space="preserve">PH_Rule_SIGMA_1464</t>
  </si>
  <si>
    <t xml:space="preserve">Windows: DumpMinitool Execution</t>
  </si>
  <si>
    <t xml:space="preserve">(procName REGEXP "\\DumpMinitool\.arm64\.exe$|\\DumpMinitool\.exe$|\\DumpMinitool\.x86\.exe$" OR srcFileName IN ("DumpMinitool.arm64.exe","DumpMinitool.exe","DumpMinitool.x86.exe")) AND command REGEXP ".* Full.*|.* Mini.*|.* WithHeap.*"</t>
  </si>
  <si>
    <t xml:space="preserve">Detects the use of "DumpMinitool.exe", a tool that allows the dump of process memory via the use of the "MiniDumpWriteDump". This rule is adapted from https://github.com/SigmaHQ/sigma/blob/master/rules/windows/process_creation/proc_creation_win_dumpminitool_execution.yml</t>
  </si>
  <si>
    <t xml:space="preserve">https://filestore.fortinet.com/docs.fortinet.com/fsiem/Public_Resource_Access/7_6_0/rules/PH_RULE_DumpMinitool_Usage.htm</t>
  </si>
  <si>
    <t xml:space="preserve">PH_Rule_SIGMA_2487</t>
  </si>
  <si>
    <t xml:space="preserve">Windows: Enumeration for 3rd Party Creds From CLI</t>
  </si>
  <si>
    <t xml:space="preserve">T1552.002</t>
  </si>
  <si>
    <t xml:space="preserve">command REGEXP "\\Software\\Aerofox\\FoxmailPreview|\\Software\\Aerofox\\Foxmail\\V3\.1|\\Software\\DownloadManager\\Passwords|\\Software\\FTPWare\\COREFTP\\Sites|\\Software\\IncrediMail\\Identities|\\Software\\Martin Prikryl\\WinSCP 2\\Sessions|\\Software\\Mobatek\\MobaXterm\\|\\Software\\ORL\\WinVNC3\\Password|\\Software\\OpenSSH\\Agent\\Keys|\\Software\\OpenVPN-GUI\\configs|\\Software\\Qualcomm\\Eudora\\CommandLine|\\Software\\RealVNC\\WinVNC4|\\Software\\RimArts\\B2\\Settings|\\Software\\SimonTatham\\PuTTY\\Sessions|\\Software\\SimonTatham\\PuTTY\\SshHostKeys\\|\\Software\\Sota\\FFFTP|\\Software\\TightVNC\\Server|\\Software\\WOW6432Node\\Radmin\\v3\.0\\Server\\Parameters\\Radmin" AND (procName NOT REGEXP "reg\.exe$" OR command NOT REGEXP "export|save")</t>
  </si>
  <si>
    <t xml:space="preserve">Detects processes that query known 3rd party registry keys that holds credentials via commandline. This rule is adapted from https://github.com/SigmaHQ/sigma/blob/master/rules/windows/process_creation/proc_creation_win_registry_enumeration_for_credentials_cli.yml</t>
  </si>
  <si>
    <t xml:space="preserve">https://filestore.fortinet.com/docs.fortinet.com/fsiem/Public_Resource_Access/7_6_0/rules/PH_RULE_Enumeration_for_3rd_Party_Creds_From_CLI.htm</t>
  </si>
  <si>
    <t xml:space="preserve">PH_Rule_SIGMA_1317</t>
  </si>
  <si>
    <t xml:space="preserve">Windows: Enumeration for Credentials in Registry</t>
  </si>
  <si>
    <t xml:space="preserve">(procName REGEXP "\\reg\.exe$" AND command REGEXP ".* query .*" AND command REGEXP ".*/t .*" AND command REGEXP ".*REG_SZ.*" AND command REGEXP ".*/s.*") AND ((command REGEXP ".*/f .*" AND command REGEXP ".*HKLM.*") OR (command REGEXP ".*/f .*" AND command REGEXP ".*HKCU.*") OR command REGEXP ".*HKCU\\Software\\SimonTatham\\PuTTY\\Sessions.*")</t>
  </si>
  <si>
    <t xml:space="preserve">Detects attempts to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 This rule is adapted from https://github.com/SigmaHQ/sigma/blob/master/rules/windows/process_creation/proc_creation_win_reg_enumeration_for_credentials_in_registry.yml</t>
  </si>
  <si>
    <t xml:space="preserve">https://filestore.fortinet.com/docs.fortinet.com/fsiem/Public_Resource_Access/7_6_0/rules/PH_RULE_Enumeration_for_Credentials_in_Registry.htm</t>
  </si>
  <si>
    <t xml:space="preserve">PH_Rule_SIGMA_1560</t>
  </si>
  <si>
    <t xml:space="preserve">Windows: Esentutl Gather Credentials</t>
  </si>
  <si>
    <t xml:space="preserve">command REGEXP ".*esentutl.*" AND command REGEXP ".* /p.*"</t>
  </si>
  <si>
    <t xml:space="preserve">Conti recommendation to its affiliates to use esentutl to access NTDS dumped file. The esentutl is a command-line tool that provides database utilities for the Windows Extensible Storage Engine. NTDS.dit file is a database that stores the Active Directory data (including users, groups, security descriptors and password hashes). Trickbot also uses this utilities to get MSEdge info via its module pwgrab. This rule is adapted from https://github.com/SigmaHQ/sigma/blob/master/rules/windows/process_creation/proc_creation_win_esentutl_params.yml</t>
  </si>
  <si>
    <t xml:space="preserve">https://filestore.fortinet.com/docs.fortinet.com/fsiem/Public_Resource_Access/7_6_0/rules/PH_RULE_Esentutl_Gather_Credentials.htm</t>
  </si>
  <si>
    <t xml:space="preserve">PH_Rule_SIGMA_1318</t>
  </si>
  <si>
    <t xml:space="preserve">Windows: Esentutl Steals Browser Information</t>
  </si>
  <si>
    <t xml:space="preserve">T1005</t>
  </si>
  <si>
    <t xml:space="preserve">(procName REGEXP "\\esentutl\.exe$" OR srcFileName="esentutl.exe") AND command REGEXP ".*-r.*|.*/r.*" AND command REGEXP ".*\\Windows\\WebCache.*"</t>
  </si>
  <si>
    <t xml:space="preserve">One way Qbot steals sensitive information is by extracting browser data from Internet Explorer and Microsoft Edge by using the built-in utility esentutl.exe. This rule is adapted from https://github.com/SigmaHQ/sigma/blob/master/rules/windows/process_creation/proc_creation_win_esentutl_webcache.yml</t>
  </si>
  <si>
    <t xml:space="preserve">https://filestore.fortinet.com/docs.fortinet.com/fsiem/Public_Resource_Access/7_6_0/rules/PH_RULE_Esentutl_Steals_Browser_Information.htm</t>
  </si>
  <si>
    <t xml:space="preserve">PH_Rule_SIGMA_801</t>
  </si>
  <si>
    <t xml:space="preserve">Windows: Esentutl Volume Shadow Copy Service Keys</t>
  </si>
  <si>
    <t xml:space="preserve">(regKeyPath REGEXP ".*System\\CurrentControlSet\\Services\\VSS.*" AND procName REGEXP "esentutl\.exe$") AND (regKeyPath NOT REGEXP ".*System\\CurrentControlSet\\Services\\VSS\\Start.*")</t>
  </si>
  <si>
    <t xml:space="preserve">hostName,procName,regKeyPath</t>
  </si>
  <si>
    <t xml:space="preserve">Detects the volume shadow copy service initialization and processing via esentutl. Microsoft ESENTUTL utility (Esentutl.exe) is a command-line utility for database maintenance and recovery operations for Windows Extensible Storage Engine. Registry keys such as HKLM\\System\\CurrentControlSet\\Services\\VSS\\Diag\\VolSnap\\Volume are captured. This rule is adapted from https://github.com/SigmaHQ/sigma/blob/master/rules/windows/registry/registry_event/registry_event_esentutl_volume_shadow_copy_service_keys.yml</t>
  </si>
  <si>
    <t xml:space="preserve">https://filestore.fortinet.com/docs.fortinet.com/fsiem/Public_Resource_Access/7_6_0/rules/PH_RULE_Esentutl_Volume_Shadow_Copy_Service_Keys.htm</t>
  </si>
  <si>
    <t xml:space="preserve">PH_Rule_SIGMA_313</t>
  </si>
  <si>
    <t xml:space="preserve">Windows: Failed to execute Privileged Service LsaRegisterLogonProcess</t>
  </si>
  <si>
    <t xml:space="preserve">Win-Security-4673</t>
  </si>
  <si>
    <t xml:space="preserve">serviceName="LsaRegisterLogonProcess()" AND type="Audit Failure"</t>
  </si>
  <si>
    <t xml:space="preserve">hostName,msg,serviceName</t>
  </si>
  <si>
    <t xml:space="preserve">Windows Security log: Security 4673</t>
  </si>
  <si>
    <t xml:space="preserve">a3</t>
  </si>
  <si>
    <t xml:space="preserve">Detects failure to execute Privileged Service LsaRegisterLogonProcess, which verifies that the application making the function call is a logon process, by checking that it has the SeTcbPrivilege privilege set. It is possible that Rubeus, a toolkit for Kerberos interaction and abuses, is trying to get a handle to LSA. This rule is adapted from https://github.com/SigmaHQ/sigma/blob/master/rules/windows/builtin/security/win_security_user_couldnt_call_priv_service_lsaregisterlogonprocess.yml</t>
  </si>
  <si>
    <t xml:space="preserve">https://filestore.fortinet.com/docs.fortinet.com/fsiem/Public_Resource_Access/7_6_0/rules/PH_RULE_User_Couldnt_Call_a_Privileged_Service_LsaRegisterLogonProcess.htm</t>
  </si>
  <si>
    <t xml:space="preserve">PH_Rule_SIGMA_1324</t>
  </si>
  <si>
    <t xml:space="preserve">Windows: Findstr GPP Passwords</t>
  </si>
  <si>
    <t xml:space="preserve">T1552.006</t>
  </si>
  <si>
    <t xml:space="preserve">(procName REGEXP "\\find\.exe$|\\findstr\.exe$" OR srcFileName IN ("FIND.EXE","FINDSTR.EXE")) AND command REGEXP "cpassword" AND command REGEXP "\\sysvol\\" AND command REGEXP "\.xml"</t>
  </si>
  <si>
    <t xml:space="preserve">Look for the encrypted cpassword value within Group Policy Preference files on the Domain Controller. This value can be decrypted with gpp-decrypt.. This rule is adapted from https://github.com/SigmaHQ/sigma/blob/master/rules/windows/process_creation/proc_creation_win_findstr_gpp_passwords.yml</t>
  </si>
  <si>
    <t xml:space="preserve">https://filestore.fortinet.com/docs.fortinet.com/fsiem/Public_Resource_Access/7_6_0/rules/PH_RULE_Findstr_GPP_Passwords.htm</t>
  </si>
  <si>
    <t xml:space="preserve">PH_Rule_SIGMA_417</t>
  </si>
  <si>
    <t xml:space="preserve">Windows: HackTool - Bloodhound/Sharphound Execution</t>
  </si>
  <si>
    <t xml:space="preserve">((product REGEXP ".*SharpHound.*" OR description REGEXP ".*SharpHound.*" OR company REGEXP ".*SpecterOps.*|.*evil corp.*" OR procName REGEXP ".*\\Bloodhound\.exe.*|.*\\SharpHound\.exe.*") OR command REGEXP ".* --CollectionMethods Session .*|.* --Loop --Loopduration .*|.* --PortScanTimeout .*|.* -CollectionMethod All .*|.*Get-BloodHoundData.*|.*Invoke-Bloodhound.*|.*\.exe -c All -d .*" OR (command REGEXP ".* -JsonFolder .*" AND command REGEXP ".* -ZipFileName .*") OR (command REGEXP ".* DCOnly .*" AND command REGEXP ".* --NoSaveCache .*"))</t>
  </si>
  <si>
    <t xml:space="preserve">command,company,description,hostName,procName,product</t>
  </si>
  <si>
    <t xml:space="preserve">Detects command line parameters used by Bloodhound and Sharphound hack tools. This rule is adapted from https://github.com/SigmaHQ/sigma/blob/master/rules/windows/process_creation/proc_creation_win_hktl_bloodhound_sharphound.yml</t>
  </si>
  <si>
    <t xml:space="preserve">https://filestore.fortinet.com/docs.fortinet.com/fsiem/Public_Resource_Access/7_6_0/rules/PH_RULE_Bloodhound_and_Sharphound_Hack_Tool.htm</t>
  </si>
  <si>
    <t xml:space="preserve">PH_Rule_SIGMA_1302</t>
  </si>
  <si>
    <t xml:space="preserve">Windows: HackTool - CrackMapExec Process Patterns</t>
  </si>
  <si>
    <t xml:space="preserve">((command REGEXP "tasklist /fi " AND command REGEXP "Imagename eq lsass\.exe" AND command REGEXP "cmd /c |cmd /k |cmd /r |cmd\.exe /c |cmd\.exe /k |cmd\.exe /r " AND (user REGEXP "AUTHORI|AUTORI" OR domain REGEXP "AUTHORI|AUTORI")) OR (command REGEXP "do rundll32\.exe C:\\windows\\System32\\comsvcs\.dll, MiniDump" AND command REGEXP "\\Windows\\Temp\\" AND command REGEXP " full" AND command REGEXP "%%B") OR (command REGEXP "tasklist /v /fo csv" AND command REGEXP "findstr /i \"lsass\""))</t>
  </si>
  <si>
    <t xml:space="preserve">command,hostName,user</t>
  </si>
  <si>
    <t xml:space="preserve">Detects suspicious process patterns found in logs when CrackMapExec is used. This rule is adapted from https://github.com/SigmaHQ/sigma/blob/master/rules/windows/process_creation/proc_creation_win_hktl_crackmapexec_patterns.yml</t>
  </si>
  <si>
    <t xml:space="preserve">https://filestore.fortinet.com/docs.fortinet.com/fsiem/Public_Resource_Access/7_6_0/rules/PH_RULE_CrackMapExec_Process_Patterns.htm</t>
  </si>
  <si>
    <t xml:space="preserve">PH_Rule_SIGMA_422</t>
  </si>
  <si>
    <t xml:space="preserve">Windows: HackTool - CreateMiniDump Execution</t>
  </si>
  <si>
    <t xml:space="preserve">(procName REGEXP "\\CreateMiniDump\.exe$" OR hashIMP="4a07f944a83e8a7c2525efa35dd30e2f")</t>
  </si>
  <si>
    <t xml:space="preserve">hashIMP,hostName,procName</t>
  </si>
  <si>
    <t xml:space="preserve">Detects the use of CreateMiniDump hack tool used to dump the LSASS process memory for credential extraction on the attacker's machine. This rule is adapted from https://github.com/SigmaHQ/sigma/blob/master/rules/windows/process_creation/proc_creation_win_hktl_createminidump.yml</t>
  </si>
  <si>
    <t xml:space="preserve">https://filestore.fortinet.com/docs.fortinet.com/fsiem/Public_Resource_Access/7_6_0/rules/PH_RULE_CreateMiniDump_Hacktool.htm</t>
  </si>
  <si>
    <t xml:space="preserve">PH_Rule_SIGMA_1956</t>
  </si>
  <si>
    <t xml:space="preserve">Windows: HackTool - Dumpert Process Dumper Default File</t>
  </si>
  <si>
    <t xml:space="preserve">fileName REGEXP "dumpert\.dmp$"</t>
  </si>
  <si>
    <t xml:space="preserve">Detects the creation of the default dump file used by Outflank Dumpert tool to dump the process memory of Local Security Authority Subsystem Service (LSASS.exe), which manages system-level authentication. This rule is adapted from https://github.com/SigmaHQ/sigma/blob/master/rules/windows/file/file_event/file_event_win_hktl_dumpert.yml</t>
  </si>
  <si>
    <t xml:space="preserve">https://filestore.fortinet.com/docs.fortinet.com/fsiem/Public_Resource_Access/7_6_0/rules/PH_RULE_HackTool_Dumpert_Process_Dumper_Default_File.htm</t>
  </si>
  <si>
    <t xml:space="preserve">PH_Rule_SIGMA_1330</t>
  </si>
  <si>
    <t xml:space="preserve">Windows: HackTool - Dumpert Process Dumper Execution</t>
  </si>
  <si>
    <t xml:space="preserve">(hashMD5="09D278F9DE118EF09163C6140255C690" OR command REGEXP "Dumpert\.dll")</t>
  </si>
  <si>
    <t xml:space="preserve">command,hashMD5,hostName</t>
  </si>
  <si>
    <t xml:space="preserve">Detects the use of Dumpert process dumper, which dumps the lsass.exe process memory. This rule is adapted from https://github.com/SigmaHQ/sigma/blob/master/rules/windows/process_creation/proc_creation_win_hktl_dumpert.yml</t>
  </si>
  <si>
    <t xml:space="preserve">https://filestore.fortinet.com/docs.fortinet.com/fsiem/Public_Resource_Access/7_6_0/rules/PH_RULE_Dumpert_Process_Dumper.htm</t>
  </si>
  <si>
    <t xml:space="preserve">PH_Rule_SIGMA_2325</t>
  </si>
  <si>
    <t xml:space="preserve">Windows: HackTool - HandleKatz LSASS Dumper Execution</t>
  </si>
  <si>
    <t xml:space="preserve">((procName REGEXP "\\loader\.exe$" AND command REGEXP "--pid:") OR hashIMP IN ("0E2216679CA6E1094D63322E3412D650","38D9E015591BBFD4929E0D0F47FA0055") OR (command REGEXP "--pid:" AND command REGEXP "--outfile:" AND command REGEXP "\.dmp|\.obf|dump|lsass"))</t>
  </si>
  <si>
    <t xml:space="preserve">command,hashIMP,hostName,procName</t>
  </si>
  <si>
    <t xml:space="preserve">Detects the use of HandleKatz, a tool that demonstrates the usage of cloned handles to Lsass in order to create an obfuscated memory dump of the same. This rule is adapted from https://github.com/SigmaHQ/sigma/blob/master/rules/windows/process_creation/proc_creation_win_hktl_handlekatz.yml</t>
  </si>
  <si>
    <t xml:space="preserve">https://filestore.fortinet.com/docs.fortinet.com/fsiem/Public_Resource_Access/7_6_0/rules/PH_RULE_HackTool_HandleKatz_LSASS_Dumper_Execution.htm</t>
  </si>
  <si>
    <t xml:space="preserve">PH_Rule_SIGMA_2328</t>
  </si>
  <si>
    <t xml:space="preserve">Windows: HackTool - Inveigh Execution</t>
  </si>
  <si>
    <t xml:space="preserve">(procName REGEXP "\\Inveigh\.exe$" OR srcFileName IN ("\\Inveigh.dll","\\Inveigh.exe") OR description="Inveigh" OR command REGEXP ".* -ReplyToDomains .*|.* -ReplyToIPs .*|.* -ReplyToMACs .*|.* -SnifferIP.*|.* -SpooferIP.*")</t>
  </si>
  <si>
    <t xml:space="preserve">command,description,hostName,procName,srcFileName</t>
  </si>
  <si>
    <t xml:space="preserve">Detects the use of Inveigh a cross-platform .NET IPv4/IPv6 machine-in-the-middle (MITM) tool. In an MITM attack, the adversary positions himself in a conversation between a user and an application, either to eavesdrop or to impersonate one of the parties, making it appear as if a normal exchange of information is underway. The goal of an attack is to steal personal information, such as login credentials, account details and credit card numbers. This rule is adapted from https://github.com/SigmaHQ/sigma/blob/master/rules/windows/process_creation/proc_creation_win_hktl_inveigh.yml</t>
  </si>
  <si>
    <t xml:space="preserve">https://filestore.fortinet.com/docs.fortinet.com/fsiem/Public_Resource_Access/7_6_0/rules/PH_RULE_HackTool_Inveigh_Execution.htm</t>
  </si>
  <si>
    <t xml:space="preserve">PH_Rule_SIGMA_1332</t>
  </si>
  <si>
    <t xml:space="preserve">Windows: HackTool - KrbRelay Execution</t>
  </si>
  <si>
    <t xml:space="preserve">Active Directory, Kerberos, Credential Access</t>
  </si>
  <si>
    <t xml:space="preserve">((procName REGEXP "\\KrbRelay\.exe$" OR srcFileName="KrbRelay.exe") OR (command REGEXP ".* -spn .*" AND command REGEXP ".* -clsid .*" AND command REGEXP ".* -rbcd .*") OR (command REGEXP ".*shadowcred.*" AND command REGEXP ".*clsid.*" AND command REGEXP ".*spn.*") OR (command REGEXP ".*spn .*" AND command REGEXP ".*session .*" AND command REGEXP ".*clsid .*"))</t>
  </si>
  <si>
    <t xml:space="preserve">Detects the use of KrbRelay, a Kerberos relaying tool. KrbRelay is a tool for forced authentication issue in Windows that can be used by a low-privileged domain user to take over a Windows computer, potentially becoming a local or domain admin. This rule is adapted from https://github.com/SigmaHQ/sigma/blob/master/rules/windows/process_creation/proc_creation_win_hktl_krbrelay.yml</t>
  </si>
  <si>
    <t xml:space="preserve">https://filestore.fortinet.com/docs.fortinet.com/fsiem/Public_Resource_Access/7_6_0/rules/PH_RULE_KrbRelay_Hack_Tool.htm</t>
  </si>
  <si>
    <t xml:space="preserve">PH_Rule_SIGMA_1333</t>
  </si>
  <si>
    <t xml:space="preserve">Windows: HackTool - KrbRelayUp Execution</t>
  </si>
  <si>
    <t xml:space="preserve">((procName REGEXP "\\KrbRelayUp\.exe$" OR srcFileName="KrbRelayUp.exe") OR (command REGEXP ".* relay .*" AND command REGEXP ".* -Domain .*" AND command REGEXP ".* -ComputerName .*") OR (command REGEXP ".* krbscm .*" AND command REGEXP ".* -sc .*") OR (command REGEXP ".* spawn .*" AND command REGEXP ".* -d .*" AND command REGEXP ".* -cn .*" AND command REGEXP ".* -cp .*"))</t>
  </si>
  <si>
    <t xml:space="preserve">Detects KrbRelayUp used to perform a universal no-fix local privilege escalation in windows domain environments where LDAP signing is not enforced. KrbRelayUp is a wrapper that can streamline the use of some features in hacking tools like Rubeus, KrbRelay, SCMUACBypass, PowerMad/SharpMad, Whisker, and ADCSPwn tools in attacks. This rule is adapted from https://github.com/SigmaHQ/sigma/blob/master/rules/windows/process_creation/proc_creation_win_hktl_krbrelayup.yml</t>
  </si>
  <si>
    <t xml:space="preserve">https://filestore.fortinet.com/docs.fortinet.com/fsiem/Public_Resource_Access/7_6_0/rules/PH_RULE_KrbRelayUp_Hack_Tool.htm</t>
  </si>
  <si>
    <t xml:space="preserve">PH_Rule_SIGMA_457</t>
  </si>
  <si>
    <t xml:space="preserve">Windows: HackTool - Mimikatz Execution</t>
  </si>
  <si>
    <t xml:space="preserve">(command REGEXP ".*DumpCreds.*|.*mimikatz.*" OR command REGEXP ".*::aadcookie.*|.*::detours.*|.*::memssp.*|.*::mflt.*|.*::mstsc.*|.*::multirdp.*|.*::ncroutemon.*|.*::ngcsign.*|.*::preshutdown.*|.*::printnightmare.*|.*::skeleton.*" OR command REGEXP ".*crypto::.*|.*dpapi::.*|.*kerberos::.*|.*lsadump::.*|.*privilege::.*|.*process::.*|.*rpc::.*|.*sekurlsa::.*|.*token::.*|.*vault::.*")</t>
  </si>
  <si>
    <t xml:space="preserve">Detection well-known mimikatz command line arguments. Mimikatz is a open source malware program that is commonly used by hackers and security professionals to extract sensitive information, such as passwords and credentials, from a system's memory. This rule is adapted from https://github.com/SigmaHQ/sigma/blob/master/rules/windows/process_creation/proc_creation_win_hktl_mimikatz_command_line.yml</t>
  </si>
  <si>
    <t xml:space="preserve">https://filestore.fortinet.com/docs.fortinet.com/fsiem/Public_Resource_Access/7_6_0/rules/PH_RULE_Mimikatz_Command_Line.htm</t>
  </si>
  <si>
    <t xml:space="preserve">PH_Rule_SIGMA_2332</t>
  </si>
  <si>
    <t xml:space="preserve">Windows: HackTool - Quarks PwDump Execution</t>
  </si>
  <si>
    <t xml:space="preserve">(procName REGEXP "\\QuarksPwDump\.exe$" OR command IN (" --dump-bitlocker"," --dump-hash-domain "," --dump-hash-domain-cached"," --dump-hash-local"," -dhd "," -dhdc"," -dhl","--ntds-file"))</t>
  </si>
  <si>
    <t xml:space="preserve">Detects usage of the Quarks PwDump tool via commandline arguments. Quarks PwDump is a native Win32 tool to extract credentials from Windows operating systems. This rule is adapted from https://github.com/SigmaHQ/sigma/blob/master/rules/windows/process_creation/proc_creation_win_hktl_quarks_pwdump.yml</t>
  </si>
  <si>
    <t xml:space="preserve">https://filestore.fortinet.com/docs.fortinet.com/fsiem/Public_Resource_Access/7_6_0/rules/PH_RULE_HackTool_Quarks_PwDump_Execution.htm</t>
  </si>
  <si>
    <t xml:space="preserve">PH_Rule_SIGMA_419</t>
  </si>
  <si>
    <t xml:space="preserve">Windows: HackTool - Rubeus Execution</t>
  </si>
  <si>
    <t xml:space="preserve">Kerberos, Credential Access</t>
  </si>
  <si>
    <t xml:space="preserve">(procName REGEXP "\\Rubeus\.exe$" OR srcFileName="Rubeus.exe" OR description="Rubeus" OR command REGEXP ".*/impersonateuser:.*|.*asktgt /user:.*|.*asreproast .*|.*createnetonly /program:.*|.*dump /luid:0x.*|.*dump /service:krbtgt .*|.*golden /aes256:.*|.*harvest /interval:.*|.*hash /password:.*|.*kerberoast .*|.*ptt /ticket:.*|.*renew /ticket:.*|.*s4u /ticket:.*|.*s4u /user:.*|.*silver /user:.*")</t>
  </si>
  <si>
    <t xml:space="preserve">Detects the execution of the hacking tool Rubeus via PE information of command line parameters. Rubeus is a toolkit for Kerberos interaction and abuses. This rule is adapted from https://github.com/SigmaHQ/sigma/blob/master/rules/windows/process_creation/proc_creation_win_hktl_rubeus.yml</t>
  </si>
  <si>
    <t xml:space="preserve">https://filestore.fortinet.com/docs.fortinet.com/fsiem/Public_Resource_Access/7_6_0/rules/PH_RULE_Rubeus_Hack_Tool.htm</t>
  </si>
  <si>
    <t xml:space="preserve">PH_Rule_SIGMA_2333</t>
  </si>
  <si>
    <t xml:space="preserve">Windows: HackTool - SafetyKatz Execution</t>
  </si>
  <si>
    <t xml:space="preserve">(procName REGEXP "\\SafetyKatz\.exe$" OR srcFileName="SafetyKatz.exe" OR description="SafetyKatz")</t>
  </si>
  <si>
    <t xml:space="preserve">description,hostName,procName,srcFileName</t>
  </si>
  <si>
    <t xml:space="preserve">Detects the execution of the hacktool SafetyKatz via PE information and default Image name. SafetyKatz is a combination of modified version of Mimikatz project and .NET PE Loader. This rule is adapted from https://github.com/SigmaHQ/sigma/blob/master/rules/windows/process_creation/proc_creation_win_hktl_safetykatz.yml</t>
  </si>
  <si>
    <t xml:space="preserve">https://filestore.fortinet.com/docs.fortinet.com/fsiem/Public_Resource_Access/7_6_0/rules/PH_RULE_HackTool_SafetyKatz_Execution.htm</t>
  </si>
  <si>
    <t xml:space="preserve">PH_Rule_SIGMA_203</t>
  </si>
  <si>
    <t xml:space="preserve">Windows: HackTool - Windows Credential Editor WCE Execution</t>
  </si>
  <si>
    <t xml:space="preserve">( shortProcName IN ("WCE64.exe", "WCE.exe") OR hashIMP IN ("136F0A8572C058A96436C82E541E4C41","589657C64DDE88533186C39F82FA1F50","6BFE09EFCB4FFDE061EBDBAFC4DB84CF","7D490037BF450877E6D0287BDCFF8D2E","8AB93B061287C79F3088C5BC7E7D97ED","A53A02B997935FD8EEDCB5F7ABAB9B9F","BA434A7A729EEC20E136CA4C32D6C740","BD1D1547DA13C0FCB6C15E86217D5EB8","E96A73C7BF33A464C510EDE582318BF2") )</t>
  </si>
  <si>
    <t xml:space="preserve">hashIMP,hostName,shortProcName</t>
  </si>
  <si>
    <t xml:space="preserve">Detects the use of Windows Credential Editor (WCE), a popular post-exploitation tool used to extract plaintext passwords, hash, PIN code and Kerberos tickets from memory. It is often used by threat actors for credential dumping and lateral movement within compromised networks. . This rule is adapted from https://github.com/SigmaHQ/sigma/blob/master/rules/windows/process_creation/proc_creation_win_hktl_wce.yml</t>
  </si>
  <si>
    <t xml:space="preserve">https://filestore.fortinet.com/docs.fortinet.com/fsiem/Public_Resource_Access/7_6_0/rules/PH_RULE_Windows_Credential_Editor.htm</t>
  </si>
  <si>
    <t xml:space="preserve">PH_Rule_SIGMA_2253</t>
  </si>
  <si>
    <t xml:space="preserve">Windows: HandleKatz Duplicating LSASS Handle</t>
  </si>
  <si>
    <t xml:space="preserve">T1106</t>
  </si>
  <si>
    <t xml:space="preserve">targetProcName REGEXP "\\lsass\.exe$" AND accessKeyId="0x1440" AND procPath REGEXP "^C:\\Windows\\System32\\ntdll\.dll\+" AND procPath REGEXP ".*\|UNKNOWN\(.*" AND procPath REGEXP "\)$"</t>
  </si>
  <si>
    <t xml:space="preserve">accessKeyId,hostName,procPath,targetProcName</t>
  </si>
  <si>
    <t xml:space="preserve">Detects HandleKatz opening LSASS to duplicate its handle to later dump the memory without opening any new handles. This rule is adapted from https://github.com/SigmaHQ/sigma/blob/master/rules/windows/process_access/proc_access_win_hktl_handlekatz_lsass_access.yml</t>
  </si>
  <si>
    <t xml:space="preserve">https://filestore.fortinet.com/docs.fortinet.com/fsiem/Public_Resource_Access/7_6_0/rules/PH_RULE_HandleKatz_Duplicating_LSASS_Handle.htm</t>
  </si>
  <si>
    <t xml:space="preserve">PH_Rule_SIGMA_470</t>
  </si>
  <si>
    <t xml:space="preserve">Windows: Harvesting Of Wifi Credentials Via Netsh.EXE</t>
  </si>
  <si>
    <t xml:space="preserve">T1040</t>
  </si>
  <si>
    <t xml:space="preserve">(procName REGEXP "\\netsh\.exe$" OR srcFileName="netsh.exe") AND (command REGEXP ".*wlan.*" AND command REGEXP ".* s.*" AND command REGEXP ".* p.*" AND command REGEXP ".* k.*" AND command REGEXP ".*=clear.*")</t>
  </si>
  <si>
    <t xml:space="preserve">Detect the harvesting of wifi credentials using netsh.exe. Netsh.exe is a command-line scripting utility that allows you to display or modify the network configuration on Windows hosts. This rule is adapted from https://github.com/SigmaHQ/sigma/blob/master/rules/windows/process_creation/proc_creation_win_netsh_wifi_credential_harvesting.yml</t>
  </si>
  <si>
    <t xml:space="preserve">https://filestore.fortinet.com/docs.fortinet.com/fsiem/Public_Resource_Access/7_6_0/rules/PH_RULE_Harvesting_of_Wifi_Credentials_Using_netsh_exe.htm</t>
  </si>
  <si>
    <t xml:space="preserve">PH_Rule_SIGMA_327</t>
  </si>
  <si>
    <t xml:space="preserve">Windows: Hijack Legit RDP Session to Move Laterally</t>
  </si>
  <si>
    <t xml:space="preserve">procName REGEXP "\\mstsc\.exe$" AND fileName REGEXP ".*\\Microsoft\\Windows\\Start Menu\\Programs\\Startup\\.*"</t>
  </si>
  <si>
    <t xml:space="preserve">Detects the usage of tsclient share to place a backdoor on the RDP source machine's startup folder. Terminal Server Client (tsclient) is a discontinued frontend for remote desktop tools, which allow remotely controlling one computer from another. This rule is adapted from https://github.com/SigmaHQ/sigma/blob/master/rules/windows/file/file_event/file_event_win_tsclient_filewrite_startup.yml</t>
  </si>
  <si>
    <t xml:space="preserve">https://filestore.fortinet.com/docs.fortinet.com/fsiem/Public_Resource_Access/7_6_0/rules/PH_RULE_Hijack_Legit_RDP_Session_to_Move_Laterally.htm</t>
  </si>
  <si>
    <t xml:space="preserve">PH_Rule_SIGMA_1331</t>
  </si>
  <si>
    <t xml:space="preserve">Windows: Hydra Password Guessing Hack Tool</t>
  </si>
  <si>
    <t xml:space="preserve">command REGEXP ".*-u .*" AND command REGEXP ".*-p .*" AND command REGEXP ".*\^PASS\^.*|.*\^USER\^.*"</t>
  </si>
  <si>
    <t xml:space="preserve">Detects command line parameters used by Hydra password guessing hack tool. This rule is adapted from https://github.com/SigmaHQ/sigma/blob/master/rules/windows/process_creation/proc_creation_win_hktl_hydra.yml</t>
  </si>
  <si>
    <t xml:space="preserve">https://filestore.fortinet.com/docs.fortinet.com/fsiem/Public_Resource_Access/7_6_0/rules/PH_RULE_Hydra_Password_Guessing_Hack_Tool.htm</t>
  </si>
  <si>
    <t xml:space="preserve">PH_Rule_SIGMA_431</t>
  </si>
  <si>
    <t xml:space="preserve">Windows: Interactive AT Job</t>
  </si>
  <si>
    <t xml:space="preserve">T1053.002</t>
  </si>
  <si>
    <t xml:space="preserve">procName REGEXP "\\at\.exe$" AND command REGEXP ".*interactive.*"</t>
  </si>
  <si>
    <t xml:space="preserve">Detects an interactive AT job, which may be used as a form of privilege escalation. This rule is adapted from https://github.com/SigmaHQ/sigma/blob/master/rules/windows/process_creation/proc_creation_win_at_interactive_execution.yml</t>
  </si>
  <si>
    <t xml:space="preserve">https://filestore.fortinet.com/docs.fortinet.com/fsiem/Public_Resource_Access/7_6_0/rules/PH_RULE_Interactive_AT_Job.htm</t>
  </si>
  <si>
    <t xml:space="preserve">PH_Rule_SIGMA_569</t>
  </si>
  <si>
    <t xml:space="preserve">Windows: Invocation of Active Directory Diagnostic Tool ntdsutil.exe</t>
  </si>
  <si>
    <t xml:space="preserve">procName REGEXP "\\ntdsutil\.exe$"</t>
  </si>
  <si>
    <t xml:space="preserve">hostName,procName</t>
  </si>
  <si>
    <t xml:space="preserve">Detects execution of ntdsutil.exe, which can be used for various attacks against the NTDS database (NTDS.DIT), that stores the Active Directory data, including users, groups, security descriptors and password hashes. Regular ntdsutil.exe use cases includes performing AD database maintenance. Regular NTDS maintenance activities can lead to false positives. This rule is adapted from https://github.com/SigmaHQ/sigma/blob/master/rules/windows/process_creation/proc_creation_win_ntdsutil_usage.yml</t>
  </si>
  <si>
    <t xml:space="preserve">https://filestore.fortinet.com/docs.fortinet.com/fsiem/Public_Resource_Access/7_6_0/rules/PH_RULE_Invocation_of_Active_Directory_Diagnostic_Tool_ntdsutil_exe.htm</t>
  </si>
  <si>
    <t xml:space="preserve">PH_Rule_SIGMA_78</t>
  </si>
  <si>
    <t xml:space="preserve">Windows: Kerberos Manipulation</t>
  </si>
  <si>
    <t xml:space="preserve">T1212</t>
  </si>
  <si>
    <t xml:space="preserve">Win-Security-4768-failure
Win-Security-4768-success
Win-Security-4769-failure
Win-Security-4769-success
Win-Security-4771
Win-Security-675</t>
  </si>
  <si>
    <t xml:space="preserve">status IN ("0x10","0x11","0x13","0x14","0x1A","0x1F","0x21","0x22","0x23","0x24","0x26","0x27","0x28","0x29","0x2C","0x2D","0x2E","0x2F","0x31","0x32","0x3E","0x3F","0x40","0x41","0x43","0x44","0x9","0xA","0xB","0xF")</t>
  </si>
  <si>
    <t xml:space="preserve">hostName,status</t>
  </si>
  <si>
    <t xml:space="preserve">Windows Security log: Security 4768
Windows Security log: Security 4769
Windows Security log: Security 4771
Other Windows log: Security</t>
  </si>
  <si>
    <t xml:space="preserve">Detects rare Kerberos Failure Codes caused by manipulations of Kerberos messages. This rule is adapted from https://github.com/SigmaHQ/sigma/blob/master/rules/windows/builtin/security/win_security_susp_kerberos_manipulation.yml</t>
  </si>
  <si>
    <t xml:space="preserve">https://filestore.fortinet.com/docs.fortinet.com/fsiem/Public_Resource_Access/7_6_0/rules/PH_RULE_Kerberos_Manipulation.htm</t>
  </si>
  <si>
    <t xml:space="preserve">PH_Rule_SIGMA_2610</t>
  </si>
  <si>
    <t xml:space="preserve">Windows: Local Groups Reconnaissance Via Wmic.EXE</t>
  </si>
  <si>
    <t xml:space="preserve">T1069.001</t>
  </si>
  <si>
    <t xml:space="preserve">(procName REGEXP "\\wmic\.exe$" OR srcFileName="wmic.exe") AND command REGEXP ".* group.*"</t>
  </si>
  <si>
    <t xml:space="preserve">Detects the execution of "wmic" with the "group" flag. 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This rule is adapted from https://github.com/SigmaHQ/sigma/blob/master/rules/windows/process_creation/proc_creation_win_wmic_recon_group.yml</t>
  </si>
  <si>
    <t xml:space="preserve">https://filestore.fortinet.com/docs.fortinet.com/fsiem/Public_Resource_Access/7_6_0/rules/PH_RULE_Local_Groups_Reconnaissance_Via_Wmic_EXE.htm</t>
  </si>
  <si>
    <t xml:space="preserve">PH_Rule_SIGMA_2357</t>
  </si>
  <si>
    <t xml:space="preserve">Windows: Logged-On User Password Change Via Ksetup.EXE</t>
  </si>
  <si>
    <t xml:space="preserve">(procName REGEXP "\\ksetup\.exe$" OR srcFileName="ksetup.exe") AND command REGEXP ".* /ChangePassword .*"</t>
  </si>
  <si>
    <t xml:space="preserve">Detects password change for the logged-on user's via "ksetup.exe". This rule is adapted from https://github.com/SigmaHQ/sigma/blob/master/rules/windows/process_creation/proc_creation_win_ksetup_password_change_user.yml</t>
  </si>
  <si>
    <t xml:space="preserve">https://filestore.fortinet.com/docs.fortinet.com/fsiem/Public_Resource_Access/7_6_0/rules/PH_RULE_Logged_On_User_Password_Change_Via_Ksetup_EXE.htm</t>
  </si>
  <si>
    <t xml:space="preserve">PH_Rule_SIGMA_262</t>
  </si>
  <si>
    <t xml:space="preserve">Windows: LSASS Access From Non System Account</t>
  </si>
  <si>
    <t xml:space="preserve">Win-Security-4656
Win-Security-4663</t>
  </si>
  <si>
    <t xml:space="preserve">fileAccess IN ("0x100000","0x1010","0x1400","0x1410","0x1418","0x1438","0x143a","0x1f0fff","0x1f1fff","0x1f2fff","0x1f3fff","0x40","143a","1f0fff","1f1fff","1f2fff","1f3fff") AND osObjType="Process" AND osObjName REGEXP "\\lsass\.exe$" AND user NOT REGEXP "\$$" AND procName NOT REGEXP ":\\Program Files \(x86\)\\|:\\Program Files\\" AND (procName!="C:\\Windows\\System32\\wbem\\WmiPrvSE.exe" OR fileAccess!="0x1410") AND procName NOT REGEXP "\\SteamLibrary\\steamapps\\"</t>
  </si>
  <si>
    <t xml:space="preserve">fileAccess,hostName,osObjName,osObjType,procName,user</t>
  </si>
  <si>
    <t xml:space="preserve">Windows Security log: Security 4656
Windows Security log: Security 4663</t>
  </si>
  <si>
    <t xml:space="preserve">Detects potential mimikatz-like tools accessing LSASS from non system account. This rule is adapted from https://github.com/SigmaHQ/sigma/blob/master/rules/windows/builtin/security/win_security_lsass_access_non_system_account.yml</t>
  </si>
  <si>
    <t xml:space="preserve">https://filestore.fortinet.com/docs.fortinet.com/fsiem/Public_Resource_Access/7_6_0/rules/PH_RULE_LSASS_Access_from_Non_System_Account.htm</t>
  </si>
  <si>
    <t xml:space="preserve">PH_Rule_SIGMA_1080</t>
  </si>
  <si>
    <t xml:space="preserve">Windows: LSASS Access from White-Listed Processes</t>
  </si>
  <si>
    <t xml:space="preserve">targetProcName REGEXP "\\lsass\.exe$" AND procName REGEXP "\\ProcessDump\.exe$|\\TrolleyExpress\.exe$|\\dump64\.exe$" AND accessKeyId REGEXP "0x14C2$|10$|18$|1A$|30$|38$|3A$|50$|58$|5A$|70$|78$|7A$|90$|98$|9A$|B0$|B8$|BA$|D0$|D8$|DA$|F0$|F8$|FA$|FF$"</t>
  </si>
  <si>
    <t xml:space="preserve">accessKeyId,hostName,procName,targetProcName</t>
  </si>
  <si>
    <t xml:space="preserve">Detects a possible process memory dump that uses the white-listed filename like TrolleyExpress.exe as a way to dump the lsass process memory without Microsoft Defender interference. TrolleyExpress.exe is known as Citrix ICA Client. This rule is adapted from https://github.com/SigmaHQ/sigma/blob/master/rules/windows/process_access/proc_access_win_lsass_whitelisted_process_names.yml</t>
  </si>
  <si>
    <t xml:space="preserve">https://filestore.fortinet.com/docs.fortinet.com/fsiem/Public_Resource_Access/7_6_0/rules/PH_RULE_LSASS_Access_from_White_Listed_Processes.htm</t>
  </si>
  <si>
    <t xml:space="preserve">PH_Rule_SIGMA_1081</t>
  </si>
  <si>
    <t xml:space="preserve">Windows: LSASS Memory Access by Tool Named Dump</t>
  </si>
  <si>
    <t xml:space="preserve">targetProcName REGEXP "\\lsass\.exe$" AND procName REGEXP ".*dump.*" AND accessKeyId REGEXP "0x14C2$|10$|18$|1A$|30$|38$|3A$|50$|58$|5A$|70$|78$|7A$|90$|98$|9A$|B0$|B8$|BA$|D0$|D8$|DA$|F0$|F8$|FA$|FF$"</t>
  </si>
  <si>
    <t xml:space="preserve">Detects a possible process memory dump if the process name contains the word dump. Rarely programs that contain the word dump in their name and access lsass can produce false positives. This rule is adapted from https://github.com/SigmaHQ/sigma/blob/master/rules/windows/process_access/proc_access_win_lsass_dump_keyword_image.yml</t>
  </si>
  <si>
    <t xml:space="preserve">https://filestore.fortinet.com/docs.fortinet.com/fsiem/Public_Resource_Access/7_6_0/rules/PH_RULE_LSASS_Memory_Access_by_Tool_Named_Dump.htm</t>
  </si>
  <si>
    <t xml:space="preserve">PH_Rule_SIGMA_1079</t>
  </si>
  <si>
    <t xml:space="preserve">Windows: Lsass Memory Dump via Comsvcs DLL</t>
  </si>
  <si>
    <t xml:space="preserve">targetProcName REGEXP "\\lsass\.exe$" AND procName REGEXP "\\rundll32\.exe$" AND procPath REGEXP "comsvcs\.dll"</t>
  </si>
  <si>
    <t xml:space="preserve">hostName,procName,procPath,targetProcName</t>
  </si>
  <si>
    <t xml:space="preserve">Detects adversaries leveraging the MiniDump export function from comsvcs.dll via rundll32 to perform a memory dump from lsass.. This rule is adapted from https://github.com/SigmaHQ/sigma/blob/master/rules/windows/process_access/proc_access_win_lsass_dump_comsvcs_dll.yml</t>
  </si>
  <si>
    <t xml:space="preserve">https://filestore.fortinet.com/docs.fortinet.com/fsiem/Public_Resource_Access/7_6_0/rules/PH_RULE_Lsass_Memory_Dump_via_Comsvcs_DLL.htm</t>
  </si>
  <si>
    <t xml:space="preserve">PH_Rule_SIGMA_1967</t>
  </si>
  <si>
    <t xml:space="preserve">Windows: LSASS Process Dump Artefact In CrashDumps Folder</t>
  </si>
  <si>
    <t xml:space="preserve">fileName REGEXP "^C:\\Windows\\System32\\config\\systemprofile\\AppData\\Local\\CrashDumps\\" AND fileName REGEXP ".*lsass\.exe\..*" AND fileName REGEXP "\.dmp$"</t>
  </si>
  <si>
    <t xml:space="preserve">Detects the presence of an LSASS dump file in the "CrashDumps" folder. This could be a sign of LSASS credential dumping. Techniques such as the LSASS Shtinkering have been seen abusing the Windows Error Reporting to dump said process. This rule is adapted from https://github.com/SigmaHQ/sigma/blob/master/rules/windows/file/file_event/file_event_win_lsass_shtinkering.yml</t>
  </si>
  <si>
    <t xml:space="preserve">https://filestore.fortinet.com/docs.fortinet.com/fsiem/Public_Resource_Access/7_6_0/rules/PH_RULE_LSASS_Process_Dump_Artefact_In_CrashDumps_Folder.htm</t>
  </si>
  <si>
    <t xml:space="preserve">PH_Rule_SIGMA_899</t>
  </si>
  <si>
    <t xml:space="preserve">Windows: LSASS Process Memory Dump Files</t>
  </si>
  <si>
    <t xml:space="preserve">(fileName REGEXP "\\Andrew\.dmp$|\\Coredump\.dmp$|\\lsass\.dmp$|\\lsass\.rar$|\\lsass\.zip$|\\NotLSASS\.zip$|\\PPLBlade\.dmp$|\\rustive\.dmp$" OR fileName REGEXP ".*\\lsass_2.*|.*\\lsassdmp.*|.*\\lsassdump.*" OR (fileName REGEXP ".*\\lsass.*" AND fileName REGEXP ".*\.dmp.*") OR (fileName REGEXP ".*SQLDmpr.*" AND fileName REGEXP "\.mdmp$") OR (fileName REGEXP ".*\\nanodump.*|.*\\proc_.*" AND fileName REGEXP "\.dmp$"))</t>
  </si>
  <si>
    <t xml:space="preserve">Detects file names used by different memory dumping tools to create a memory dump of the Local Security Authority Subsystem Service (LSASS.exe) process memory, which contains user credentials. This rule is adapted from https://github.com/SigmaHQ/sigma/blob/master/rules/windows/file/file_event/file_event_win_lsass_default_dump_file_names.yml</t>
  </si>
  <si>
    <t xml:space="preserve">https://filestore.fortinet.com/docs.fortinet.com/fsiem/Public_Resource_Access/7_6_0/rules/PH_RULE_LSASS_Process_Memory_Dump_Files.htm</t>
  </si>
  <si>
    <t xml:space="preserve">PH_Rule_SIGMA_2309</t>
  </si>
  <si>
    <t xml:space="preserve">Windows: LSASS Process Reconnaissance Via Findstr.EXE</t>
  </si>
  <si>
    <t xml:space="preserve">(((procName REGEXP "\\find\.exe$|\\findstr\.exe$" OR srcFileName IN ("FIND.EXE","FINDSTR.EXE")) AND command REGEXP "lsass") OR command REGEXP " -i \"lsass" OR command REGEXP " /i \"lsass" OR command REGEXP " -i lsass\.exe" OR command REGEXP " /i lsass\.exe" OR command REGEXP "findstr \"lsass" OR command REGEXP "findstr lsass" OR command REGEXP "findstr\.exe \"lsass" OR command REGEXP "findstr\.exe lsass")</t>
  </si>
  <si>
    <t xml:space="preserve">Detects findstring commands that include the keyword lsass, which indicates recon actviity for the LSASS process PID. This rule is adapted from https://github.com/SigmaHQ/sigma/blob/master/rules/windows/process_creation/proc_creation_win_findstr_lsass.yml</t>
  </si>
  <si>
    <t xml:space="preserve">https://filestore.fortinet.com/docs.fortinet.com/fsiem/Public_Resource_Access/7_6_0/rules/PH_RULE_Findstr_LSASS.htm</t>
  </si>
  <si>
    <t xml:space="preserve">PH_Rule_SIGMA_2350</t>
  </si>
  <si>
    <t xml:space="preserve">Windows: Microsoft IIS Service Account Password Dumped</t>
  </si>
  <si>
    <t xml:space="preserve">(procName REGEXP "\\appcmd\.exe$" OR srcFileName="appcmd.exe") AND command REGEXP "list " AND (command REGEXP " -config| -xml| /config| /xml" OR (command REGEXP " -@t| -show| -text| /@t| /show| /text" AND command REGEXP ":\*|password"))</t>
  </si>
  <si>
    <t xml:space="preserve">Detects the Internet Information Services (IIS) command-line tool, AppCmd, being used to list passwords. This rule is adapted from https://github.com/SigmaHQ/sigma/blob/master/rules/windows/process_creation/proc_creation_win_iis_appcmd_service_account_password_dumped.yml</t>
  </si>
  <si>
    <t xml:space="preserve">https://filestore.fortinet.com/docs.fortinet.com/fsiem/Public_Resource_Access/7_6_0/rules/PH_RULE_Microsoft_IIS_Service_Account_Password_Dumped.htm</t>
  </si>
  <si>
    <t xml:space="preserve">PH_Rule_SIGMA_244</t>
  </si>
  <si>
    <t xml:space="preserve">Windows: Mimikatz DC Sync</t>
  </si>
  <si>
    <t xml:space="preserve">(propName REGEXP ".*1131f6aa-9c07-11d1-f79f-00c04fc2dcd2.*|.*1131f6ad-9c07-11d1-f79f-00c04fc2dcd2.*|.*89e95b76-444d-4c62-991a-0facbeda640c.*|.*9923a32a-3607-11d2-b9be-0000f87a36b2.*|.*Replicating Directory Changes All.*" AND fileAccess="0x100") AND ((domain!="Window Manager") AND (user NOT REGEXP "^MSOL_|^NT AUT") AND (user NOT REGEXP "\$$"))</t>
  </si>
  <si>
    <t xml:space="preserve">domain,fileAccess,hostName,propName,user</t>
  </si>
  <si>
    <t xml:space="preserve">Detects Mimikatz DC sync security events. Mimikatz is a open source malware program that is commonly used by hackers and security professionals to extract sensitive information, such as passwords and credentials, from a system's memory. Mimkatz “DCSync” feature effectively “impersonates” a Domain Controller and requests account password data from the targeted Domain Controller. This rule is adapted from https://github.com/SigmaHQ/sigma/blob/master/rules/windows/builtin/security/win_security_dcsync.yml</t>
  </si>
  <si>
    <t xml:space="preserve">https://filestore.fortinet.com/docs.fortinet.com/fsiem/Public_Resource_Access/7_6_0/rules/PH_RULE_Mimikatz_DC_Sync.htm</t>
  </si>
  <si>
    <t xml:space="preserve">PH_Rule_SIGMA_903</t>
  </si>
  <si>
    <t xml:space="preserve">Windows: Mimikatz Kirbi File Creation</t>
  </si>
  <si>
    <t xml:space="preserve">fileName REGEXP "\.kirbi$|mimilsa\.log$"</t>
  </si>
  <si>
    <t xml:space="preserve">Detects the creation of files created by mimikatz such as ".kirbi", "mimilsa.log", etc. Mimikatz is a open source malware program that is commonly used by hackers and security professionals to extract sensitive information, such as passwords and credentials, from a system's memory. This rule is adapted from https://github.com/SigmaHQ/sigma/blob/master/rules/windows/file/file_event/file_event_win_hktl_mimikatz_files.yml</t>
  </si>
  <si>
    <t xml:space="preserve">https://filestore.fortinet.com/docs.fortinet.com/fsiem/Public_Resource_Access/7_6_0/rules/PH_RULE_Mimikatz_Kirbi_File_Creation.htm</t>
  </si>
  <si>
    <t xml:space="preserve">PH_Rule_SIGMA_1795</t>
  </si>
  <si>
    <t xml:space="preserve">Windows: MSSQL Add Account To Sysadmin Role</t>
  </si>
  <si>
    <t xml:space="preserve">Microsoft Windows Application Log via OMI or Windows Collector</t>
  </si>
  <si>
    <t xml:space="preserve">Win-App-MSSQLSERVER-33205</t>
  </si>
  <si>
    <t xml:space="preserve">lineContent REGEXP "object_name:sysadmin" AND lineContent REGEXP "statement:alter server role \[sysadmin\] add member "</t>
  </si>
  <si>
    <t xml:space="preserve">Other Windows log: App</t>
  </si>
  <si>
    <t xml:space="preserve">Detects when an attacker tries to backdoor the MSSQL server by adding a backdoor account to the sysadmin fixed server role. This rule is adapted from https://github.com/SigmaHQ/sigma/blob/master/rules/windows/builtin/application/mssqlserver/win_mssql_add_sysadmin_account.yml</t>
  </si>
  <si>
    <t xml:space="preserve">https://filestore.fortinet.com/docs.fortinet.com/fsiem/Public_Resource_Access/7_6_0/rules/PH_RULE_MSSQL_Add_Account_To_Sysadmin_Role.htm</t>
  </si>
  <si>
    <t xml:space="preserve">PH_Rule_SIGMA_2291</t>
  </si>
  <si>
    <t xml:space="preserve">Windows: New Generic Credentials Added Via Cmdkey.EXE</t>
  </si>
  <si>
    <t xml:space="preserve">(procName REGEXP "\\cmdkey\.exe$" OR srcFileName="cmdkey.exe") AND (command REGEXP " -g" OR command REGEXP " /g") AND (command REGEXP " -u" OR command REGEXP " /u") AND (command REGEXP " -p" OR command REGEXP " /p")</t>
  </si>
  <si>
    <t xml:space="preserve">Detects usage of "cmdkey.exe" to add generic credentials. As an example, this can be used before connecting to an RDP session via command line interface. . This rule is adapted from https://github.com/SigmaHQ/sigma/blob/master/rules/windows/process_creation/proc_creation_win_cmdkey_adding_generic_creds.yml</t>
  </si>
  <si>
    <t xml:space="preserve">https://filestore.fortinet.com/docs.fortinet.com/fsiem/Public_Resource_Access/7_6_0/rules/PH_RULE_New_Generic_Credentials_Added_Via_Cmdkey_EXE.htm</t>
  </si>
  <si>
    <t xml:space="preserve">PH_Rule_SIGMA_467</t>
  </si>
  <si>
    <t xml:space="preserve">Windows: New Network Trace Capture Started Via Netsh.EXE</t>
  </si>
  <si>
    <t xml:space="preserve">(procName REGEXP "\\netsh\.exe$" OR srcFileName="netsh.exe") AND (command REGEXP ".*trace.*" AND command REGEXP ".*start.*")</t>
  </si>
  <si>
    <t xml:space="preserve">Detects the execution of netsh.exe with the "trace" flag in order to start a network capture. Netsh.exe is a command-line scripting utility that allows you to display or modify the network configuration on Windows hosts. This rule is adapted from https://github.com/SigmaHQ/sigma/blob/master/rules/windows/process_creation/proc_creation_win_netsh_packet_capture.yml</t>
  </si>
  <si>
    <t xml:space="preserve">https://filestore.fortinet.com/docs.fortinet.com/fsiem/Public_Resource_Access/7_6_0/rules/PH_RULE_Capture_a_Network_Trace_with_netsh_exe.htm</t>
  </si>
  <si>
    <t xml:space="preserve">PH_Rule_SIGMA_48</t>
  </si>
  <si>
    <t xml:space="preserve">Windows: NewCredentials Logon via Secondary Logon Service</t>
  </si>
  <si>
    <t xml:space="preserve">Windows Security log, Kerberos</t>
  </si>
  <si>
    <t xml:space="preserve">T1550.002</t>
  </si>
  <si>
    <t xml:space="preserve">Win-Security-4624</t>
  </si>
  <si>
    <t xml:space="preserve">winLogonType=9 AND winLogonProc="seclogo" AND authenMethod="Negotiate"</t>
  </si>
  <si>
    <t xml:space="preserve">authenMethod,hostName,winLogonProc,winLogonType</t>
  </si>
  <si>
    <t xml:space="preserve">Windows Security log: Security 4624</t>
  </si>
  <si>
    <t xml:space="preserve">a1</t>
  </si>
  <si>
    <t xml:space="preserve">Detects a successful Windows logon (Event ID 4624) using Logon Type 9 (NewCredentials) initiated by the Secondary Logon service (seclogo). This behavior indicates a process was started with alternate credentials for outbound authentication and may be associated with administrative activity or credential abuse techniques such as Overpass-the-Hash.</t>
  </si>
  <si>
    <t xml:space="preserve">https://filestore.fortinet.com/docs.fortinet.com/fsiem/Public_Resource_Access/7_6_0/rules/PH_RULE_Successful_Overpass_the_Hash_Attempt.htm</t>
  </si>
  <si>
    <t xml:space="preserve">PH_Rule_SIGMA_896</t>
  </si>
  <si>
    <t xml:space="preserve">Windows: NPPSpy Hacktool Usage</t>
  </si>
  <si>
    <t xml:space="preserve">fileName REGEXP "\\NPPSpy\.dll$|\\NPPSpy\.txt$"</t>
  </si>
  <si>
    <t xml:space="preserve">Detects the use of NPPSpy hacktool that stores cleartext passwords of users that logged in to a local file. This rule is adapted from https://github.com/SigmaHQ/sigma/blob/master/rules/windows/file/file_event/file_event_win_hktl_nppspy.yml</t>
  </si>
  <si>
    <t xml:space="preserve">https://filestore.fortinet.com/docs.fortinet.com/fsiem/Public_Resource_Access/7_6_0/rules/PH_RULE_NPPSpy_Hacktool_Usage.htm</t>
  </si>
  <si>
    <t xml:space="preserve">PH_Rule_SIGMA_908</t>
  </si>
  <si>
    <t xml:space="preserve">Windows: NTDS.DIT Created</t>
  </si>
  <si>
    <t xml:space="preserve">fileName REGEXP "ntds\.dit$"</t>
  </si>
  <si>
    <t xml:space="preserve">Detects creation of a file named "ntds.dit" (Active Directory Database). NTDS.dit file is a database that stores the Active Directory data (including users, groups, security descriptors and password hashes). This rule is adapted from https://github.com/SigmaHQ/sigma/blob/master/rules/windows/file/file_event/file_event_win_ntds_dit_creation.yml</t>
  </si>
  <si>
    <t xml:space="preserve">https://filestore.fortinet.com/docs.fortinet.com/fsiem/Public_Resource_Access/7_6_0/rules/PH_RULE_Suspicious_NTDS_DIT_Creation.htm</t>
  </si>
  <si>
    <t xml:space="preserve">PH_Rule_SIGMA_1972</t>
  </si>
  <si>
    <t xml:space="preserve">Windows: NTDS.DIT Creation By Uncommon Parent Process</t>
  </si>
  <si>
    <t xml:space="preserve">fileName REGEXP "\\ntds\.dit$" AND (parentProcName REGEXP "\\cscript\.exe$|\\httpd\.exe$|\\nginx\.exe$|\\php-cgi\.exe$|\\powershell\.exe$|\\pwsh\.exe$|\\w3wp\.exe$|\\wscript\.exe$" OR parentProcName REGEXP ".*\\AppData\\.*|.*\\PerfLogs\\.*|.*\\Public\\.*|.*\\Temp\\.*|.*\\apache.*|.*\\tomcat.*")</t>
  </si>
  <si>
    <t xml:space="preserve">fileName,hostName,parentProcName</t>
  </si>
  <si>
    <t xml:space="preserve">Detects creation of a file named "ntds.dit" by an uncommon parent process or directory. NTDS.dit file is a database that stores the Active Directory data (including users, groups, security descriptors and password hashes). This rule is adapted from https://github.com/SigmaHQ/sigma/blob/master/rules/windows/file/file_event/file_event_win_ntds_dit_uncommon_parent_process.yml</t>
  </si>
  <si>
    <t xml:space="preserve">https://filestore.fortinet.com/docs.fortinet.com/fsiem/Public_Resource_Access/7_6_0/rules/PH_RULE_NTDS_DIT_Creation_By_Uncommon_Parent_Process.htm</t>
  </si>
  <si>
    <t xml:space="preserve">PH_Rule_SIGMA_1973</t>
  </si>
  <si>
    <t xml:space="preserve">Windows: NTDS.DIT Creation By Uncommon Process</t>
  </si>
  <si>
    <t xml:space="preserve">fileName REGEXP "\\ntds\.dit$" AND (procName REGEXP "\\cmd\.exe$|\\cscript\.exe$|\\mshta\.exe$|\\powershell\.exe$|\\pwsh\.exe$|\\regsvr32\.exe$|\\rundll32\.exe$|\\wscript\.exe$|\\wsl\.exe$|\\wt\.exe$" OR procName REGEXP ".*\\AppData\\.*|.*\\PerfLogs\\.*|.*\\Public\\.*|.*\\Temp\\.*")</t>
  </si>
  <si>
    <t xml:space="preserve">Detects creation of a file named "ntds.dit" by an uncommon process or a process located in a suspicious directory. NTDS.dit file is a database that stores the Active Directory data (including users, groups, security descriptors and password hashes). This rule is adapted from https://github.com/SigmaHQ/sigma/blob/master/rules/windows/file/file_event/file_event_win_ntds_dit_uncommon_process.yml</t>
  </si>
  <si>
    <t xml:space="preserve">https://filestore.fortinet.com/docs.fortinet.com/fsiem/Public_Resource_Access/7_6_0/rules/PH_RULE_NTDS_DIT_Creation_By_Uncommon_Process.htm</t>
  </si>
  <si>
    <t xml:space="preserve">PH_Rule_SIGMA_1786</t>
  </si>
  <si>
    <t xml:space="preserve">Windows: Ntdsutil Abuse</t>
  </si>
  <si>
    <t xml:space="preserve">Win-PrintService-Publish-Printer-Failed
Win-PrintService-Remove-Printer-Failed
Win-PrintService-Setup-Succeeded</t>
  </si>
  <si>
    <t xml:space="preserve">lineContent REGEXP ".*ntds\.dit.*"</t>
  </si>
  <si>
    <t xml:space="preserve">Detects potential abuse of ntdsutil to dump ntds.dit database. This rule is adapted from https://github.com/SigmaHQ/sigma/blob/master/rules/windows/builtin/application/esent/win_esent_ntdsutil_abuse.yml</t>
  </si>
  <si>
    <t xml:space="preserve">https://filestore.fortinet.com/docs.fortinet.com/fsiem/Public_Resource_Access/7_6_0/rules/PH_RULE_Ntdsutil_Abuse.htm</t>
  </si>
  <si>
    <t xml:space="preserve">PH_Rule_SIGMA_72</t>
  </si>
  <si>
    <t xml:space="preserve">Windows: Password Change on Directory Service Restore Mode DSRM Account</t>
  </si>
  <si>
    <t xml:space="preserve">Win-Security-4794</t>
  </si>
  <si>
    <t xml:space="preserve">Windows Security log: Security 4794</t>
  </si>
  <si>
    <t xml:space="preserve">The Directory Service Restore Mode (DSRM) account is a local administrator account on Domain Controllers. Attackers may change the password to gain persistence. This rule is adapted from https://github.com/SigmaHQ/sigma/blob/master/rules/windows/builtin/security/win_security_susp_dsrm_password_change.yml</t>
  </si>
  <si>
    <t xml:space="preserve">https://filestore.fortinet.com/docs.fortinet.com/fsiem/Public_Resource_Access/7_6_0/rules/PH_RULE_Password_Change_on_Directory_Service_Restore_Mode_DSRM_Account.htm</t>
  </si>
  <si>
    <t xml:space="preserve">PH_Rule_SIGMA_1335</t>
  </si>
  <si>
    <t xml:space="preserve">Windows: Password Cracking with Hashcat</t>
  </si>
  <si>
    <t xml:space="preserve">T1110.002</t>
  </si>
  <si>
    <t xml:space="preserve">(procName REGEXP "\\hashcat\.exe$" OR (command REGEXP ".*-a .*" AND command REGEXP ".*-m 1000 .*" AND command REGEXP ".*-r .*"))</t>
  </si>
  <si>
    <t xml:space="preserve">Detectsexecution of Hashcat.exe with provided SAM file from Windows registry and Password list to crack against. Hashcat is a popular and effective password cracker. This rule is adapted from https://github.com/SigmaHQ/sigma/blob/master/rules/windows/process_creation/proc_creation_win_hktl_hashcat.yml</t>
  </si>
  <si>
    <t xml:space="preserve">https://filestore.fortinet.com/docs.fortinet.com/fsiem/Public_Resource_Access/7_6_0/rules/PH_RULE_Password_Cracking_with_Hashcat.htm</t>
  </si>
  <si>
    <t xml:space="preserve">PH_Rule_SIGMA_81</t>
  </si>
  <si>
    <t xml:space="preserve">Windows: Password Dumper Activity on LSASS</t>
  </si>
  <si>
    <t xml:space="preserve">Win-Security-4656</t>
  </si>
  <si>
    <t xml:space="preserve">procName REGEXP "\\lsass\.exe$" AND fileAccess="0x705" AND osObjType="SAM_DOMAIN"</t>
  </si>
  <si>
    <t xml:space="preserve">fileAccess,hostName,osObjType,procName</t>
  </si>
  <si>
    <t xml:space="preserve">Windows Security log: Security 4656</t>
  </si>
  <si>
    <t xml:space="preserve">Detects process handle on Local Security Authority Subsystem Service (LSASS.exe) with certain access mask and object type SAM_DOMAIN. LSASS.exe manages system-level authentication and this could indicate password dumping activity. This rule is adapted from https://github.com/SigmaHQ/sigma/blob/master/rules/windows/builtin/security/win_security_susp_lsass_dump.yml</t>
  </si>
  <si>
    <t xml:space="preserve">https://filestore.fortinet.com/docs.fortinet.com/fsiem/Public_Resource_Access/7_6_0/rules/PH_RULE_Password_Dumper_Activity_on_LSASS.htm</t>
  </si>
  <si>
    <t xml:space="preserve">PH_Rule_SIGMA_2310</t>
  </si>
  <si>
    <t xml:space="preserve">Windows: Permission Misconfiguration Reconnaissance Via Findstr.EXE</t>
  </si>
  <si>
    <t xml:space="preserve">(((procName REGEXP "\\find\.exe$|\\findstr\.exe$" OR srcFileName IN ("FIND.EXE","FINDSTR.EXE")) AND command REGEXP "'BUILTIN\\'|'Everyone'|\"BUILTIN\\\"|\"Everyone\"") OR (command REGEXP "icacls " AND command REGEXP "findstr " AND command REGEXP "Everyone"))</t>
  </si>
  <si>
    <t xml:space="preserve">Detects usage of findstr with the "EVERYONE" or "BUILTIN" keywords. This was seen being used in combination with "icacls" and other utilities to spot misconfigured files or folders permissions. . This rule is adapted from https://github.com/SigmaHQ/sigma/blob/master/rules/windows/process_creation/proc_creation_win_findstr_recon_everyone.yml</t>
  </si>
  <si>
    <t xml:space="preserve">https://filestore.fortinet.com/docs.fortinet.com/fsiem/Public_Resource_Access/7_6_0/rules/PH_RULE_Permission_Misconfiguration_Reconnaissance_Via_Findstr_EXE.htm</t>
  </si>
  <si>
    <t xml:space="preserve">PH_Rule_SIGMA_1192</t>
  </si>
  <si>
    <t xml:space="preserve">Windows: PetitPotam Suspicious Kerberos TGT Request</t>
  </si>
  <si>
    <t xml:space="preserve">T1187</t>
  </si>
  <si>
    <t xml:space="preserve">Win-Security-4768-failure
Win-Security-4768-success</t>
  </si>
  <si>
    <t xml:space="preserve">srcIpAddr != ::1 AND certThumbprint IS NOT NULL AND user REGEXP ".*\$" AND certThumbprint CONTAIN "*"</t>
  </si>
  <si>
    <t xml:space="preserve">certThumbprint, hostName, srcIpAddr, srcGeoCountry, user</t>
  </si>
  <si>
    <t xml:space="preserve">Windows Security log: Security 4768</t>
  </si>
  <si>
    <t xml:space="preserve">Detect suspicious Kerberos TGT requests. Once an attacer obtains a computer certificate by abusing Active Directory Certificate Services in combination with PetitPotam, the next step would be to leverage the certificate for malicious purposes. One way of doing this is to request a Kerberos Ticket Granting Ticket using a tool like Rubeus. This request will generate a 4768 event with some unusual fields depending on the environment. This analytic will require tuning, we recommend filtering Account_Name to the Domain Controller computer accounts. This rule is adapted from https://github.com/SigmaHQ/sigma/blob/master/rules/windows/builtin/security/win_security_petitpotam_susp_tgt_request.yml</t>
  </si>
  <si>
    <t xml:space="preserve">https://filestore.fortinet.com/docs.fortinet.com/fsiem/Public_Resource_Access/7_6_0/rules/PH_RULE_PetitPotam_Suspicious_Kerberos_TGT_Request.htm</t>
  </si>
  <si>
    <t xml:space="preserve">PH_Rule_SIGMA_279</t>
  </si>
  <si>
    <t xml:space="preserve">Windows: Possible DC Shadow Attack</t>
  </si>
  <si>
    <t xml:space="preserve">T1207</t>
  </si>
  <si>
    <t xml:space="preserve">Win-Security-4742
Win-Security-5136</t>
  </si>
  <si>
    <t xml:space="preserve">(principal REGEXP ".*GC/.*") OR (propName="servicePrincipalName" AND propValue REGEXP "^GC/")</t>
  </si>
  <si>
    <t xml:space="preserve">hostName,principal,propName,propValue</t>
  </si>
  <si>
    <t xml:space="preserve">Windows Security log: Security 4742
Windows Security log: Security 5136</t>
  </si>
  <si>
    <t xml:space="preserve">Detects DCShadow via create new SPN. This rule is adapted from https://github.com/SigmaHQ/sigma/blob/master/rules/windows/builtin/security/win_security_possible_dc_shadow.yml</t>
  </si>
  <si>
    <t xml:space="preserve">https://filestore.fortinet.com/docs.fortinet.com/fsiem/Public_Resource_Access/7_6_0/rules/PH_RULE_Possible_DC_Shadow.htm</t>
  </si>
  <si>
    <t xml:space="preserve">PH_Rule_SIGMA_251</t>
  </si>
  <si>
    <t xml:space="preserve">Windows: Possible Impacket SecretDump Remote Activity</t>
  </si>
  <si>
    <t xml:space="preserve">Win-Security-5145</t>
  </si>
  <si>
    <t xml:space="preserve">fileName="\\\\*\\ADMIN$" AND targetName REGEXP ".*SYSTEM32\\.*" AND targetName REGEXP ".*\.tmp.*"</t>
  </si>
  <si>
    <t xml:space="preserve">fileName,hostName,targetName</t>
  </si>
  <si>
    <t xml:space="preserve">Windows Security log: Security 5145</t>
  </si>
  <si>
    <t xml:space="preserve">Detect AD credential dumping using impacket secretdump HKTL. ​Impacket's secretsdump (Python based) can be used to dump SAM and LSA secrets, either remotely, or from local files. This rule is adapted from https://github.com/SigmaHQ/sigma/blob/master/rules/windows/builtin/security/win_security_impacket_secretdump.yml</t>
  </si>
  <si>
    <t xml:space="preserve">https://filestore.fortinet.com/docs.fortinet.com/fsiem/Public_Resource_Access/7_6_0/rules/PH_RULE_Possible_Impacket_SecretDump_Remote_Activity.htm</t>
  </si>
  <si>
    <t xml:space="preserve">PH_Rule_SIGMA_1191</t>
  </si>
  <si>
    <t xml:space="preserve">Windows: Possible PetitPotam Coerce Authentication Attempt</t>
  </si>
  <si>
    <t xml:space="preserve">fileName REGEXP "^\\\\" AND fileName REGEXP "\\IPC\$$" AND targetName="lsarpc" AND user="ANONYMOUS LOGON"</t>
  </si>
  <si>
    <t xml:space="preserve">fileName,hostName,targetName,user</t>
  </si>
  <si>
    <t xml:space="preserve">Detect PetitPotam coerced authentication activity.. This rule is adapted from https://github.com/SigmaHQ/sigma/blob/master/rules/windows/builtin/security/win_security_petitpotam_network_share.yml</t>
  </si>
  <si>
    <t xml:space="preserve">https://filestore.fortinet.com/docs.fortinet.com/fsiem/Public_Resource_Access/7_6_0/rules/PH_RULE_Possible_PetitPotam_Coerce_Authentication_Attempt.htm</t>
  </si>
  <si>
    <t xml:space="preserve">PH_Rule_SIGMA_1844</t>
  </si>
  <si>
    <t xml:space="preserve">Windows: Possible Shadow Credentials Added</t>
  </si>
  <si>
    <t xml:space="preserve">propName="msDS-KeyCredentialLink"</t>
  </si>
  <si>
    <t xml:space="preserve">hostName,propName</t>
  </si>
  <si>
    <t xml:space="preserve">Detects possible addition of shadow credentials to an active directory object. This rule is adapted from https://github.com/SigmaHQ/sigma/blob/master/rules/windows/builtin/security/win_security_susp_possible_shadow_credentials_added.yml</t>
  </si>
  <si>
    <t xml:space="preserve">https://filestore.fortinet.com/docs.fortinet.com/fsiem/Public_Resource_Access/7_6_0/rules/PH_RULE_Possible_Shadow_Credentials_Added.htm</t>
  </si>
  <si>
    <t xml:space="preserve">PH_Rule_SIGMA_1162</t>
  </si>
  <si>
    <t xml:space="preserve">Windows: Potential Active Directory Reconnaissance/Enumeration Via LDAP</t>
  </si>
  <si>
    <t xml:space="preserve">REGEXP:Win-.*-30[^\d]*</t>
  </si>
  <si>
    <t xml:space="preserve">(queryFilter REGEXP "Domain Admins|\(groupType:1\.2\.840\.113556\.1\.4\.803:=2147483648\)|\(groupType:1\.2\.840\.113556\.1\.4\.803:=2147483650\)|\(groupType:1\.2\.840\.113556\.1\.4\.803:=2147483652\)|\(groupType:1\.2\.840\.113556\.1\.4\.803:=2147483656\)|\(objectCategory=domain\)|\(objectCategory=groupPolicyContainer\)|\(objectCategory=group\)|\(objectCategory=nTDSDSA\)|\(objectCategory=organizationalUnit\)|\(objectCategory=person\)|\(objectCategory=server\)|\(objectCategory=user\)|\(objectClass=computer\)|\(objectClass=group\)|\(objectClass=server\)|\(objectClass=trustedDomain\)|\(objectClass=user\)|\(primaryGroupID=512\)|\(primaryGroupID=515\)|\(primaryGroupID=516\)|\(primaryGroupID=521\)|\(sAMAccountType=268435456\)|\(sAMAccountType=268435457\)|\(sAMAccountType=536870912\)|\(sAMAccountType=536870913\)|\(sAMAccountType=805306368\)|\(sAMAccountType=805306369\)|\(schemaIDGUID=\*\)|admincount=1|objectGUID=\*" AND (queryFilter NOT REGEXP "\(domainSid=.*\)|\(objectSid=.*\)")) OR (queryFilter REGEXP "\!\(UserAccountControl:1\.2\.840\.113556\.1\.4\.803:=2\)|\!\(userAccountControl:1\.2\.840\.113556\.1\.4\.803:=1048574\)|\(accountExpires=0\)|\(accountExpires=9223372036854775807\)|\(adminCount=1\)|\(userAccountControl:1\.2\.840\.113556\.1\.4\.803:=2097152\)|\(userAccountControl:1\.2\.840\.113556\.1\.4\.803:=4194304\)|\(userAccountControl:1\.2\.840\.113556\.1\.4\.803:=524288\)|\(userAccountControl:1\.2\.840\.113556\.1\.4\.803:=544\)|\(userAccountControl:1\.2\.840\.113556\.1\.4\.803:=65536\)|\(userAccountControl:1\.2\.840\.113556\.1\.4\.803:=8192\)|ms-MCS-AdmPwd|msDS-AllowedToActOnBehalfOfOtherIdentity|msDS-AllowedToDelegateTo|msDS-GroupManagedServiceAccount") OR (queryFilter="(objectclass=*)" AND resourceName REGEXP "CN=Domain Admins|CN=Enterprise Admins|CN=Group Policy Creator Owners")</t>
  </si>
  <si>
    <t xml:space="preserve">hostName,queryFilter,resourceName</t>
  </si>
  <si>
    <t xml:space="preserve">Other Windows log: .*</t>
  </si>
  <si>
    <t xml:space="preserve">Detects potential Active Directory enumeration via LDAP. This rule is adapted from https://github.com/SigmaHQ/sigma/blob/master/rules/windows/builtin/ldap/win_ldap_recon.yml</t>
  </si>
  <si>
    <t xml:space="preserve">https://filestore.fortinet.com/docs.fortinet.com/fsiem/Public_Resource_Access/7_6_0/rules/PH_RULE_LDAP_Reconnaissance_Active_Directory_Enumeration.htm</t>
  </si>
  <si>
    <t xml:space="preserve">PH_Rule_SIGMA_6</t>
  </si>
  <si>
    <t xml:space="preserve">Windows: Potential AD User Enumeration From Non-Machine Account</t>
  </si>
  <si>
    <t xml:space="preserve">osObjType REGEXP "bf967aba-0de6-11d0-a285-00aa003049e2" AND fileAccess REGEXP "1\?$|3\?$|4\?$|7\?$|9\?$|B\?$|D\?$|F\?$" AND user NOT REGEXP "\$$|^MSOL_"</t>
  </si>
  <si>
    <t xml:space="preserve">fileAccess,hostName,osObjType,user</t>
  </si>
  <si>
    <t xml:space="preserve">Detects read access to a domain user from a non-machine account. This rule is adapted from https://github.com/SigmaHQ/sigma/blob/master/rules/windows/builtin/security/win_security_ad_user_enumeration.yml</t>
  </si>
  <si>
    <t xml:space="preserve">https://filestore.fortinet.com/docs.fortinet.com/fsiem/Public_Resource_Access/7_6_0/rules/PH_RULE_AD_User_Enumeration.htm</t>
  </si>
  <si>
    <t xml:space="preserve">PH_Rule_SIGMA_2545</t>
  </si>
  <si>
    <t xml:space="preserve">Windows: Potential Browser Data Stealing</t>
  </si>
  <si>
    <t xml:space="preserve">T1555.003</t>
  </si>
  <si>
    <t xml:space="preserve">(command REGEXP " cp | mi | mv |copy |copy-item|cpi |move |move-item" OR procName REGEXP "\\esentutl\.exe$|\\robocopy\.exe$|\\xcopy\.exe$" OR srcFileName IN ("XCOPY.EXE","esentutl.exe","robocopy.exe")) AND command REGEXP "\\Amigo\\User Data|\\BraveSoftware\\Brave-Browser\\User Data|\\CentBrowser\\User Data|\\Chromium\\User Data|\\CocCoc\\Browser\\User Data|\\Comodo\\Dragon\\User Data|\\Elements Browser\\User Data|\\Epic Privacy Browser\\User Data|\\Google\\Chrome Beta\\User Data|\\Google\\Chrome SxS\\User Data|\\Google\\Chrome\\User Data\\|\\Kometa\\User Data|\\Maxthon5\\Users|\\Microsoft\\Edge\\User Data|\\Mozilla\\Firefox\\Profiles|\\Nichrome\\User Data|\\Opera Software\\Opera GX Stable\\|\\Opera Software\\Opera Neon\\User Data|\\Opera Software\\Opera Stable\\|\\Orbitum\\User Data|\\QIP Surf\\User Data|\\Sputnik\\User Data|\\Torch\\User Data|\\Vivaldi\\User Data|\\uCozMedia\\Uran\\User Data"</t>
  </si>
  <si>
    <t xml:space="preserve">Adversaries may acquire credentials from web browsers by reading files specific to the target browser. Web browsers commonly save credentials such as website usernames and passwords so that they do not need to be entered manually in the future. Web browsers typically store the credentials in an encrypted format within a credential store. . This rule is adapted from https://github.com/SigmaHQ/sigma/blob/master/rules/windows/process_creation/proc_creation_win_susp_copy_browser_data.yml</t>
  </si>
  <si>
    <t xml:space="preserve">https://filestore.fortinet.com/docs.fortinet.com/fsiem/Public_Resource_Access/7_6_0/rules/PH_RULE_Potential_Browser_Data_Stealing.htm</t>
  </si>
  <si>
    <t xml:space="preserve">PH_Rule_SIGMA_381</t>
  </si>
  <si>
    <t xml:space="preserve">Windows: Potential Credential Dumping Activity Via LSASS</t>
  </si>
  <si>
    <t xml:space="preserve">targetProcName REGEXP "\\lsass\.exe$" AND accessKeyId REGEXP "0x1038|0x1438|0x143a|0x1fffff" AND procPath REGEXP "dbgcore\.dll|dbghelp\.dll|kernel32\.dll|kernelbase\.dll|ntdll\.dll" AND user NOT REGEXP "AUTHORI|AUTORI" AND (procPath NOT REGEXP ":\\Windows\\Temp\\asgard2-agent\\" OR procPath NOT REGEXP "\\thor\\thor64\.exe\+" OR procPath NOT REGEXP "\|UNKNOWN\(" OR accessKeyId!="0x103800") AND procName NOT REGEXP ":\\Windows\\Sysmon64\.exe$"</t>
  </si>
  <si>
    <t xml:space="preserve">accessKeyId,hostName,procName,procPath,targetProcName,user</t>
  </si>
  <si>
    <t xml:space="preserve">Detects process access requests to the LSASS process with specific call trace calls and access masks. This behaviour is expressed by many credential dumping tools such as Mimikatz, NanoDump, Invoke-Mimikatz, Procdump and even the Taskmgr dumping feature. . This rule is adapted from https://github.com/SigmaHQ/sigma/blob/master/rules/windows/process_access/proc_access_win_lsass_memdump.yml</t>
  </si>
  <si>
    <t xml:space="preserve">https://filestore.fortinet.com/docs.fortinet.com/fsiem/Public_Resource_Access/7_6_0/rules/PH_RULE_LSASS_Memory_Dump.htm</t>
  </si>
  <si>
    <t xml:space="preserve">PH_Rule_SIGMA_2595</t>
  </si>
  <si>
    <t xml:space="preserve">Windows: Potential Credential Dumping Via WER</t>
  </si>
  <si>
    <t xml:space="preserve">(procName REGEXP "\\Werfault\.exe$" OR srcFileName="WerFault.exe") AND userGrp REGEXP "AUTHORI|AUTORI" AND (user REGEXP "AUTHORI|AUTORI" OR domain REGEXP "AUTHORI|AUTORI") AND command REGEXP " -u -p " AND command REGEXP " -ip " AND command REGEXP " -s " AND parentProcName!="C:\\Windows\\System32\\lsass.exe"</t>
  </si>
  <si>
    <t xml:space="preserve">command,hostName,parentProcName,procName,srcFileName,user,userGrp</t>
  </si>
  <si>
    <t xml:space="preserve">Detects potential credential dumping via Windows Error Reporting LSASS Shtinkering technique which uses the Windows Error Reporting to dump lsass. This rule is adapted from https://github.com/SigmaHQ/sigma/blob/master/rules/windows/process_creation/proc_creation_win_werfault_lsass_shtinkering.yml</t>
  </si>
  <si>
    <t xml:space="preserve">https://filestore.fortinet.com/docs.fortinet.com/fsiem/Public_Resource_Access/7_6_0/rules/PH_RULE_Potential_Credential_Dumping_Via_WER.htm</t>
  </si>
  <si>
    <t xml:space="preserve">PH_Rule_SIGMA_1606</t>
  </si>
  <si>
    <t xml:space="preserve">Windows: Potential LSASS Process Dump Via Procdump</t>
  </si>
  <si>
    <t xml:space="preserve">(command REGEXP " -ma " OR command REGEXP " /ma " OR command REGEXP " -mm " OR command REGEXP " /mm " OR command REGEXP " -mp " OR command REGEXP " /mp ") AND command REGEXP " keyiso| ls| samss"</t>
  </si>
  <si>
    <t xml:space="preserve">Detects potential credential harvesting attempts through LSASS memory dumps using ProcDump. This rule identifies suspicious command-line patterns that combine memory dump flags (-ma, -mm, -mp) with LSASS-related process markers. LSASS (Local Security Authority Subsystem Service) contains sensitive authentication data including plaintext passwords, NTLM hashes, and Kerberos tickets in memory. Attackers commonly dump LSASS memory to extract credentials for lateral movement and privilege escalation. . This rule is adapted from https://github.com/SigmaHQ/sigma/blob/master/rules/windows/process_creation/proc_creation_win_sysinternals_procdump_lsass.yml</t>
  </si>
  <si>
    <t xml:space="preserve">https://filestore.fortinet.com/docs.fortinet.com/fsiem/Public_Resource_Access/7_6_0/rules/PH_RULE_Suspicious_Use_of_Procdump_on_LSASS.htm</t>
  </si>
  <si>
    <t xml:space="preserve">PH_Rule_SIGMA_471</t>
  </si>
  <si>
    <t xml:space="preserve">Windows: Potential Network Sniffing Activity Using Network Tools</t>
  </si>
  <si>
    <t xml:space="preserve">((procName REGEXP "\\tshark\.exe$" AND command REGEXP ".*-i.*") OR procName REGEXP "\\windump\.exe$")</t>
  </si>
  <si>
    <t xml:space="preserve">Detects potential network sniffing via use of network tools such as "tshark", "windump".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 This rule is adapted from https://github.com/SigmaHQ/sigma/blob/master/rules/windows/process_creation/proc_creation_win_susp_network_sniffing.yml</t>
  </si>
  <si>
    <t xml:space="preserve">https://filestore.fortinet.com/docs.fortinet.com/fsiem/Public_Resource_Access/7_6_0/rules/PH_RULE_Network_Sniffing.htm</t>
  </si>
  <si>
    <t xml:space="preserve">PH_RULE_Win_PassTheHash</t>
  </si>
  <si>
    <t xml:space="preserve">Windows: Potential Pass the Hash Attack</t>
  </si>
  <si>
    <t xml:space="preserve">sus_newcreds_logon AND pth</t>
  </si>
  <si>
    <t xml:space="preserve">[sus_newcreds_logon] winLogonType=9 AND winLogonProc="seclogo" AND targetUserSID REGEXP "S-1-12-1-.*|S-1-5-21-.*"
[pth] winLogonType=3 AND winLogonProc="NtLmSsp"</t>
  </si>
  <si>
    <t xml:space="preserve">[sus_newcreds_logon] reptDevName,reptDevIpAddr,user
[pth] srcIpAddr,hostName,user</t>
  </si>
  <si>
    <t xml:space="preserve">[sus_newcreds_logon] COUNT(*)&gt;=1
[pth] COUNT(*)&gt;=1</t>
  </si>
  <si>
    <t xml:space="preserve">sus_newcreds_logon.reptDevIpAddr=pth.srcIpAddr AND sus_newcreds_logon.user=pth.user</t>
  </si>
  <si>
    <t xml:space="preserve">This rule detects a sequence of Windows authentication events indicative of potential Pass-the-Hash activity. It identifies a NewCredentials logon (Event ID 4624, Logon Type 9 using seclogo), which may indicate alternate credential staging, followed by a network logon (Event ID 4624, Logon Type 3 using NTLM via NtLmSsp) within a short time window, from this host to another host. This pattern is commonly associated with lateral movement techniques where stolen credential material (such as NTLM hashes) is reused to authenticate to remote systems without the original password.</t>
  </si>
  <si>
    <t xml:space="preserve">https://filestore.fortinet.com/docs.fortinet.com/fsiem/Public_Resource_Access/7_6_0/rules/PH_RULE_Win_PassTheHash.htm</t>
  </si>
  <si>
    <t xml:space="preserve">PH_Rule_SIGMA_2307</t>
  </si>
  <si>
    <t xml:space="preserve">Windows: Potential Password Spraying Attempt Using Dsacls.EXE</t>
  </si>
  <si>
    <t xml:space="preserve">(procName REGEXP "\\dsacls\.exe$" OR srcFileName="DSACLS.EXE") AND (command REGEXP ".*/user:.*" AND command REGEXP ".*/passwd:.*")</t>
  </si>
  <si>
    <t xml:space="preserve">Detects possible password spraying attempts using Dsacls. This rule is adapted from https://github.com/SigmaHQ/sigma/blob/master/rules/windows/process_creation/proc_creation_win_dsacls_password_spray.yml</t>
  </si>
  <si>
    <t xml:space="preserve">https://filestore.fortinet.com/docs.fortinet.com/fsiem/Public_Resource_Access/7_6_0/rules/PH_RULE_Potential_Password_Spraying_Attempt_Using_Dsacls_EXE.htm</t>
  </si>
  <si>
    <t xml:space="preserve">PH_Rule_SIGMA_389</t>
  </si>
  <si>
    <t xml:space="preserve">Windows: Potential Reconnaissance For Cached Credentials Via Cmdkey.EXE</t>
  </si>
  <si>
    <t xml:space="preserve">(procName REGEXP "\\cmdkey\.exe$" OR srcFileName="cmdkey.exe") AND command REGEXP ".* -l.*|.* /l.*"</t>
  </si>
  <si>
    <t xml:space="preserve">Detects usage of built-in Windows utility cmdkey to list cached credentials on the system. The Windows Cmdkey command creates, lists and deletes stored user names and passwords form a computer. The primary purpose is to help administrators troubleshooting access issues. This rule is adapted from https://github.com/SigmaHQ/sigma/blob/master/rules/windows/process_creation/proc_creation_win_cmdkey_recon.yml</t>
  </si>
  <si>
    <t xml:space="preserve">https://filestore.fortinet.com/docs.fortinet.com/fsiem/Public_Resource_Access/7_6_0/rules/PH_RULE_Cmdkey_Cached_Credentials_Recon.htm</t>
  </si>
  <si>
    <t xml:space="preserve">PH_Rule_SIGMA_842</t>
  </si>
  <si>
    <t xml:space="preserve">Windows: Potential SAM Database Dump</t>
  </si>
  <si>
    <t xml:space="preserve">(fileName REGEXP ":\\sam$|\\AppData\\Local\\sam$|\\AppData\\Roaming\\sam$|\\Documents\\SAM\.export$|\\Intel\\sam$|\\Perflogs\\sam$|\\ProgramData\\sam$|\\Temp\\sam$|\\Users\\Public\\sam$|\\sam\.hive$|\\sam\.sav$|_ShadowSteal\.zip$" OR fileName REGEXP ".*\\hive_sam_.*|.*\\sam\.backup.*|.*\\sam\.bck.*|.*\\sam\.export.*|.*\\sam\.save.*|.*\\sam_backup.*|.*\\~reg_sam\.save.*")</t>
  </si>
  <si>
    <t xml:space="preserve">Detects the creation of files that look like exports of the local SAM (Security Account Manager). The Security Accounts Manager (SAM) is a database file in the Microsoft Windows operating system (OS) that contains usernames and passwords.This rule is adapted from https://github.com/SigmaHQ/sigma/blob/master/rules/windows/file/file_event/file_event_win_sam_dump.yml</t>
  </si>
  <si>
    <t xml:space="preserve">https://filestore.fortinet.com/docs.fortinet.com/fsiem/Public_Resource_Access/7_6_0/rules/PH_RULE_SAM_Dump_File_Creation.htm</t>
  </si>
  <si>
    <t xml:space="preserve">PH_Rule_SIGMA_519</t>
  </si>
  <si>
    <t xml:space="preserve">Windows: Potential SPN Enumeration Via Setspn.EXE</t>
  </si>
  <si>
    <t xml:space="preserve">(procName REGEXP "\\setspn\.exe$" OR srcFileName="setspn.exe" OR (description REGEXP "Query or reset the computer" AND description REGEXP "SPN attribute")) AND command REGEXP " -q | /q "</t>
  </si>
  <si>
    <t xml:space="preserve">Detects service principal name (SPN) enumeration used for Kerberoasting. This rule is adapted from https://github.com/SigmaHQ/sigma/blob/master/rules/windows/process_creation/proc_creation_win_setspn_spn_enumeration.yml</t>
  </si>
  <si>
    <t xml:space="preserve">https://filestore.fortinet.com/docs.fortinet.com/fsiem/Public_Resource_Access/7_6_0/rules/PH_RULE_Possible_SPN_Enumeration.htm</t>
  </si>
  <si>
    <t xml:space="preserve">PH_Rule_SIGMA_82</t>
  </si>
  <si>
    <t xml:space="preserve">Windows: Potentially Suspicious AccessMask Requested From LSASS</t>
  </si>
  <si>
    <t xml:space="preserve">((osObjName REGEXP "\\lsass\.exe$" AND fileAccess REGEXP "0x100000|0x1010|0x1400|0x1410|0x1418|0x1438|0x143a|0x1f0fff|0x1f1fff|0x1f2fff|0x1f3fff|0x40") OR (osObjName REGEXP "\\lsass\.exe$" AND osObjAccessType REGEXP "4416|4484")) AND (procName NOT REGEXP "RtkAudUService64$|\\GamingServices\.exe$|\\MRT\.exe$|\\MicrosoftEdgeUpdate\.exe$|\\MsMpEng\.exe$|\\VsTskMgr\.exe$|\\csrss\.exe$|\\lsm\.exe$|\\minionhost\.exe$|\\perfmon\.exe$|\\procexp64\.exe$|\\procexp\.exe$|\\svchost\.exe$|\\taskmgr\.exe$|\\thor64\.exe$|\\thor\.exe$|\\vmtoolsd\.exe$|\\wininit\.exe$|\\wmiprvse\.exe$" OR procName NOT REGEXP ":\\Program Files \(x86\)\\|:\\Program Files\\|:\\ProgramData\\Microsoft\\Windows Defender\\Platform\\|:\\Windows\\SysNative\\|:\\Windows\\SysWow64\\|:\\Windows\\System32\\|:\\Windows\\Temp\\asgard2-agent\\") AND procName NOT REGEXP ":\\Program Files" AND procName NOT REGEXP ":\\Windows\\CCM\\CcmExec\.exe$|:\\Windows\\System32\\msiexec\.exe$|:\\Windows\\System32\\taskhostw\.exe$" AND (procName NOT REGEXP ":\\Windows\\Sysmon64\.exe$" OR osObjAccessType NOT REGEXP "%%4484") AND (procName NOT REGEXP ":\\Windows\\Temp\\asgard2-agent-sc\\aurora\\" OR procName NOT REGEXP "\\aurora-agent-64\.exe$" OR osObjAccessType NOT REGEXP "%%4484") AND (procName NOT REGEXP "\\x64\\SCENARIOENGINE\.EXE$" OR osObjAccessType NOT REGEXP "%%4484") AND (procName NOT REGEXP ":\\Users\\" OR procName NOT REGEXP "\\AppData\\Local\\Temp\\is-" OR procName NOT REGEXP "\\avira_system_speedup\.tmp$" OR osObjAccessType NOT REGEXP "%%4484") AND (procName NOT REGEXP ":\\Windows\\Temp\\" OR procName NOT REGEXP "\\avira_speedup_setup_update\.tmp$" OR osObjAccessType NOT REGEXP "%%4484") AND (procName NOT REGEXP ":\\Windows\\System32\\snmp\.exe$" OR osObjAccessType NOT REGEXP "%%4484") AND (procName NOT REGEXP ":\\Windows\\SystemTemp\\" OR procName NOT REGEXP "\\GoogleUpdate\.exe$" OR osObjAccessType NOT REGEXP "%%4484") AND (procName NOT REGEXP "\\procmon64\.exe$|\\procmon\.exe$" OR osObjAccessType NOT REGEXP "%%4484")</t>
  </si>
  <si>
    <t xml:space="preserve">fileAccess,osObjAccessType,hostName,osObjName,procName</t>
  </si>
  <si>
    <t xml:space="preserve">Detects process handle on LSASS process with certain access mask. This rule is adapted from https://github.com/SigmaHQ/sigma/blob/master/rules/windows/builtin/security/win_security_susp_lsass_dump_generic.yml</t>
  </si>
  <si>
    <t xml:space="preserve">https://filestore.fortinet.com/docs.fortinet.com/fsiem/Public_Resource_Access/7_6_0/rules/PH_RULE_Generic_Password_Dumper_Activity_on_LSASS.htm</t>
  </si>
  <si>
    <t xml:space="preserve">PH_Rule_SIGMA_2562</t>
  </si>
  <si>
    <t xml:space="preserve">Windows: Potentially Suspicious JWT Token Search Via CLI</t>
  </si>
  <si>
    <t xml:space="preserve">command REGEXP "find |find\.exe|findstr|select-string |strings" AND command REGEXP " 'eyJ0eX'| 'eyJhbG'| \"eyJ0eX\"| \"eyJhbG\"| eyJ0eX| eyJhbG|eyJ0eXAiOi|eyJhbGciOi"</t>
  </si>
  <si>
    <t xml:space="preserve">Detects potentially suspicious search for JWT tokens via CLI by looking for the string "eyJ0eX" or "eyJhbG". JWT tokens are often used for access-tokens across various applications and services like Microsoft 365, Azure, AWS, Google Cloud, and others. Threat actors may search for these tokens to steal them for lateral movement or privilege escalation. . This rule is adapted from https://github.com/SigmaHQ/sigma/blob/master/rules/windows/process_creation/proc_creation_win_susp_jwt_token_search.yml</t>
  </si>
  <si>
    <t xml:space="preserve">https://filestore.fortinet.com/docs.fortinet.com/fsiem/Public_Resource_Access/7_6_0/rules/PH_RULE_Suspicious_Office_Token_Search_Via_CLI.htm</t>
  </si>
  <si>
    <t xml:space="preserve">PH_Rule_SIGMA_2015</t>
  </si>
  <si>
    <t xml:space="preserve">Windows: Potentially Suspicious Volume Shadow Copy Vsstrace.dll Load</t>
  </si>
  <si>
    <t xml:space="preserve">T1490</t>
  </si>
  <si>
    <t xml:space="preserve">loadedProcName REGEXP "\\vsstrace\.dll$" AND procName NOT IN ("C:\\Windows\\ImmersiveControlPanel\\SystemSettings.exe","C:\\Windows\\explorer.exe") AND procName NOT REGEXP "^C:\\ProgramData\\Package Cache\\\{|^C:\\Windows\\SysWOW64\\|^C:\\Windows\\System32\\|^C:\\Windows\\Temp\\\{|^C:\\Windows\\WinSxS\\" AND procName NOT REGEXP "^C:\\Program Files \(x86\)\\|^C:\\Program Files\\" AND procName IS NOT NULL AND procName NOT REGEXP "^C:\\\$WinREAgent\\Scratch\\" AND (procName NOT REGEXP "\\temp\\is-" OR procName NOT REGEXP "\\avira_system_speedup\.tmp")</t>
  </si>
  <si>
    <t xml:space="preserve">hostName,loadedProcName,procName</t>
  </si>
  <si>
    <t xml:space="preserve">Detects the image load of VSS DLL by uncommon executables. This rule is adapted from https://github.com/SigmaHQ/sigma/blob/master/rules/windows/image_load/image_load_dll_vsstrace_susp_load.yml</t>
  </si>
  <si>
    <t xml:space="preserve">https://filestore.fortinet.com/docs.fortinet.com/fsiem/Public_Resource_Access/7_6_0/rules/PH_RULE_Suspicious_Volume_Shadow_Copy_Vsstrace_dll_Load.htm</t>
  </si>
  <si>
    <t xml:space="preserve">PH_Rule_SIGMA_1599</t>
  </si>
  <si>
    <t xml:space="preserve">Windows: PowerShell Get-Process LSASS</t>
  </si>
  <si>
    <t xml:space="preserve">T1552.004</t>
  </si>
  <si>
    <t xml:space="preserve">command REGEXP ".*Get-Process lsas.*|.*gps lsas.*|.*ps lsas.*"</t>
  </si>
  <si>
    <t xml:space="preserve">Detects a "Get-Process" cmdlet and it's aliases on lsass process, which is in almost all cases a sign of malicious activity. Local Security Authority Subsystem Service (LSASS.exe) manages system-level authentication. This rule is adapted from https://github.com/SigmaHQ/sigma/blob/master/rules/windows/process_creation/proc_creation_win_powershell_getprocess_lsass.yml</t>
  </si>
  <si>
    <t xml:space="preserve">https://filestore.fortinet.com/docs.fortinet.com/fsiem/Public_Resource_Access/7_6_0/rules/PH_RULE_PowerShell_Get_Process_LSASS.htm</t>
  </si>
  <si>
    <t xml:space="preserve">PH_Rule_SIGMA_1601</t>
  </si>
  <si>
    <t xml:space="preserve">Windows: PowerShell SAM Copy</t>
  </si>
  <si>
    <t xml:space="preserve">command REGEXP ".*\\HarddiskVolumeShadowCopy.*" AND command REGEXP ".*System32\\config\\sam.*" AND command REGEXP ".*Copy-Item.*|.*\.File\]::Copy\(.*|.*copy \$_\..*|.*cp \$_\..*|.*cpi \$_\..*"</t>
  </si>
  <si>
    <t xml:space="preserve">Detects suspicious PowerShell scripts accessing Security Account Manager (SAM) registry hives. SAM contains user password hashes. This rule is adapted from https://github.com/SigmaHQ/sigma/blob/master/rules/windows/process_creation/proc_creation_win_powershell_sam_access.yml</t>
  </si>
  <si>
    <t xml:space="preserve">https://filestore.fortinet.com/docs.fortinet.com/fsiem/Public_Resource_Access/7_6_0/rules/PH_RULE_PowerShell_SAM_Copy.htm</t>
  </si>
  <si>
    <t xml:space="preserve">PH_Rule_SIGMA_2</t>
  </si>
  <si>
    <t xml:space="preserve">Windows: Powerview Add-DomainObjectAcl DCSync AD Extend Right</t>
  </si>
  <si>
    <t xml:space="preserve">(propName="ntSecurityDescriptor" AND propValue REGEXP ".*1131f6aa-9c07-11d1-f79f-00c04fc2dcd2.*|.*1131f6ad-9c07-11d1-f79f-00c04fc2dcd2.*|.*89e95b76-444d-4c62-991a-0facbeda640c.*") AND ((osObjType NOT IN ("dnsNode","dnsZone","dnsZoneScope")))</t>
  </si>
  <si>
    <t xml:space="preserve">hostName,osObjType,propName,propValue</t>
  </si>
  <si>
    <t xml:space="preserve">Backdooring domain object to grant the rights associated with DCSync to a regular user or machine account using Powerview\Add-DomainObjectAcl DCSync Extended Right cmdlet, will allow to re-obtain the pwd hashes of any user/computer. This rule is adapted from https://github.com/SigmaHQ/sigma/blob/master/rules/windows/builtin/security/win_security_account_backdoor_dcsync_rights.yml</t>
  </si>
  <si>
    <t xml:space="preserve">https://filestore.fortinet.com/docs.fortinet.com/fsiem/Public_Resource_Access/7_6_0/rules/PH_RULE_Powerview_Add_DomainObjectAcl_DCSync_AD_Extend_Right.htm</t>
  </si>
  <si>
    <t xml:space="preserve">PH_Rule_SIGMA_1311</t>
  </si>
  <si>
    <t xml:space="preserve">Windows: Private Keys Reconnaissance Via CommandLine Tools</t>
  </si>
  <si>
    <t xml:space="preserve">command REGEXP ".*\.asc.*|.*\.cer.*|.*\.gpg.*|.*\.key.*|.*\.p12.*|.*\.p7b.*|.*\.pem.*|.*\.pfx.*|.*\.pgp.*|.*\.ppk.*" AND (((procName REGEXP "\\cmd\.exe$" OR srcFileName="Cmd.Exe") AND command REGEXP ".*dir .*") OR ((procName REGEXP "\\powershell\.exe$|\\pwsh\.exe$" OR srcFileName IN ("PowerShell.EXE","pwsh.dll")) AND command REGEXP ".*Get-ChildItem .*") OR procName REGEXP "\\findstr\.exe$" OR srcFileName="FINDSTR.EXE")</t>
  </si>
  <si>
    <t xml:space="preserve">Detects attempts to search for private key certificate files on compromised systems for insecurely stored credential. This rule is adapted from https://github.com/SigmaHQ/sigma/blob/master/rules/windows/process_creation/proc_creation_win_susp_private_keys_recon.yml</t>
  </si>
  <si>
    <t xml:space="preserve">https://filestore.fortinet.com/docs.fortinet.com/fsiem/Public_Resource_Access/7_6_0/rules/PH_RULE_Discover_Private_Keys.htm</t>
  </si>
  <si>
    <t xml:space="preserve">PH_Rule_SIGMA_1467</t>
  </si>
  <si>
    <t xml:space="preserve">Windows: Procdump Evasion</t>
  </si>
  <si>
    <t xml:space="preserve">(command REGEXP ".*copy procdump.*|.*move procdump.*" OR (command REGEXP ".*copy .*" AND command REGEXP ".*\.dmp .*" AND command REGEXP ".*2\.dmp.*|.*lsass.*|.*out\.dmp.*") OR command REGEXP ".*copy lsass\.exe_.*|.*move lsass\.exe_.*")</t>
  </si>
  <si>
    <t xml:space="preserve">Detects uses of the SysInternals ProcDump utility in which ProcDump or its output get renamed, or a dump file is moved or copied to a different name. his approach can be used to dump the lsass.exe process, which contains the credentials, and then give this dump to mimikatz to extract Windows plaintexts passwords, hashes, PIN code and kerberos tickets from memory. This rule is adapted from https://github.com/SigmaHQ/sigma/blob/master/rules/windows/process_creation/proc_creation_win_sysinternals_procdump_evasion.yml</t>
  </si>
  <si>
    <t xml:space="preserve">https://filestore.fortinet.com/docs.fortinet.com/fsiem/Public_Resource_Access/7_6_0/rules/PH_RULE_Procdump_Evasion.htm</t>
  </si>
  <si>
    <t xml:space="preserve">PH_Rule_SIGMA_1466</t>
  </si>
  <si>
    <t xml:space="preserve">Windows: Procdump Execution</t>
  </si>
  <si>
    <t xml:space="preserve">procName REGEXP "\\procdump64\.exe$|\\procdump\.exe$"</t>
  </si>
  <si>
    <t xml:space="preserve">Detects usage of the SysInternals Procdump utility. This approach can be used to dump the lsass.exe process, which contains the credentials, and then give this dump to mimikatz to extract Windows plaintexts passwords, hashes, PIN code and kerberos tickets from memory. This rule is adapted from https://github.com/SigmaHQ/sigma/blob/master/rules/windows/process_creation/proc_creation_win_sysinternals_procdump.yml</t>
  </si>
  <si>
    <t xml:space="preserve">https://filestore.fortinet.com/docs.fortinet.com/fsiem/Public_Resource_Access/7_6_0/rules/PH_RULE_Procdump_Usage.htm</t>
  </si>
  <si>
    <t xml:space="preserve">PH_Rule_SIGMA_1672</t>
  </si>
  <si>
    <t xml:space="preserve">Windows: Process Access via TrolleyExpress Exclusion</t>
  </si>
  <si>
    <t xml:space="preserve">T1218.011</t>
  </si>
  <si>
    <t xml:space="preserve">(command REGEXP ".*\\TrolleyExpress 7.*|.*\\TrolleyExpress 8.*|.*\\TrolleyExpress 9.*|.*\\TrolleyExpress\.exe -ma .*|.*\\TrolleyExpress\.exe 7.*|.*\\TrolleyExpress\.exe 8.*|.*\\TrolleyExpress\.exe 9.*" OR (procName REGEXP "\\TrolleyExpress\.exe$" AND ((srcFileName NOT REGEXP ".*CtxInstall.*") AND (srcFileName IS NOT NULL))))</t>
  </si>
  <si>
    <t xml:space="preserve">Detects a possible process memory dump that uses the white-listed Citrix TrolleyExpress.exe filename as a way to dump the lsass process memory. This rule is adapted from https://github.com/SigmaHQ/sigma/blob/master/rules/windows/process_creation/proc_creation_win_citrix_trolleyexpress_procdump.yml</t>
  </si>
  <si>
    <t xml:space="preserve">https://filestore.fortinet.com/docs.fortinet.com/fsiem/Public_Resource_Access/7_6_0/rules/PH_RULE_Process_Access_via_TrolleyExpress_Exclusion.htm</t>
  </si>
  <si>
    <t xml:space="preserve">PH_Rule_SIGMA_531</t>
  </si>
  <si>
    <t xml:space="preserve">Windows: Process Dumping Via Comsvcs.DLL</t>
  </si>
  <si>
    <t xml:space="preserve">(((procName REGEXP "\\rundll32\.exe$" OR srcFileName="RUNDLL32.EXE" OR command REGEXP ".*rundll32.*") AND (command REGEXP ".*comsvcs.*" AND command REGEXP ".*full.*" AND command REGEXP ".*#24.*|.*#\+24.*|.*#65560.*|.*24 .*|.*MiniDump.*")) OR command REGEXP ".*#-4294967272.*")</t>
  </si>
  <si>
    <t xml:space="preserve">Detects a process memory dump via "comsvcs.dll" using rundll32, covering multiple different techniques (ordinal, minidump function, etc.). This rule is adapted from https://github.com/SigmaHQ/sigma/blob/master/rules/windows/process_creation/proc_creation_win_rundll32_process_dump_via_comsvcs.yml</t>
  </si>
  <si>
    <t xml:space="preserve">https://filestore.fortinet.com/docs.fortinet.com/fsiem/Public_Resource_Access/7_6_0/rules/PH_RULE_Process_Dump_via_Comsvcs_DLL.htm</t>
  </si>
  <si>
    <t xml:space="preserve">PH_Rule_SIGMA_1998</t>
  </si>
  <si>
    <t xml:space="preserve">Windows: Process Explorer Driver Creation By Non-Sysinternals Binary</t>
  </si>
  <si>
    <t xml:space="preserve">T1068</t>
  </si>
  <si>
    <t xml:space="preserve">(fileName REGEXP ".*\\PROCEXP.*" AND fileName REGEXP "\.sys$") AND ((procName NOT REGEXP "\\procexp64\.exe$|\\procexp\.exe$"))</t>
  </si>
  <si>
    <t xml:space="preserve">Detects creation of the Process Explorer drivers by processes other than Process Explorer (procexp) itself. Hack tools or malware may use the Process Explorer driver to elevate privileges, drops it to disk for a few moments, runs a service using that driver and removes it afterwards. This rule is adapted from https://github.com/SigmaHQ/sigma/blob/master/rules/windows/file/file_event/file_event_win_sysinternals_procexp_driver_susp_creation.yml</t>
  </si>
  <si>
    <t xml:space="preserve">https://filestore.fortinet.com/docs.fortinet.com/fsiem/Public_Resource_Access/7_6_0/rules/PH_RULE_Process_Explorer_Driver_Creation_By_Non_Sysinternals_Binary.htm</t>
  </si>
  <si>
    <t xml:space="preserve">PH_Rule_SIGMA_2365</t>
  </si>
  <si>
    <t xml:space="preserve">Windows: Process Memory Dump Via Dotnet-Dump</t>
  </si>
  <si>
    <t xml:space="preserve">(procName REGEXP "\\dotnet-dump\.exe$" OR srcFileName="dotnet-dump.dll") AND command REGEXP ".*collect.*"</t>
  </si>
  <si>
    <t xml:space="preserve">Detects the execution of "dotnet-dump" with the "collect" flag. The execution could indicate potential process dumping of critical processes such as LSASS.. This rule is adapted from https://github.com/SigmaHQ/sigma/blob/master/rules/windows/process_creation/proc_creation_win_dotnetdump_memory_dump.yml</t>
  </si>
  <si>
    <t xml:space="preserve">https://filestore.fortinet.com/docs.fortinet.com/fsiem/Public_Resource_Access/7_6_0/rules/PH_RULE_Process_Memory_Dump_Via_Dotnet_Dump.htm</t>
  </si>
  <si>
    <t xml:space="preserve">PH_Rule_SIGMA_1465</t>
  </si>
  <si>
    <t xml:space="preserve">Windows: Process Memory Dump via RdrLeakDiag.EXE</t>
  </si>
  <si>
    <t xml:space="preserve">command REGEXP ".*[-/–—―]memdmp.*|.*fullmemdmp.*" AND ((command REGEXP ".* [-/–—―]o .*" AND command REGEXP ".* [-/–—―]p .*") OR (procName REGEXP ".*\\rdrleakdiag\.exe" OR srcFileName="RdrLeakDiag.exe"))</t>
  </si>
  <si>
    <t xml:space="preserve">Detects the use of the Microsoft Windows Resource Leak Diagnostic tool rdrleakdiag.exe to dump process memory. his approach can be used to dump the lsass.exe process, which contains the credentials, and then give this dump to mimikatz to extract Windows plaintexts passwords, hashes, PIN code and kerberos tickets from memory. This rule is adapted from https://github.com/SigmaHQ/sigma/blob/master/rules/windows/process_creation/proc_creation_win_rdrleakdiag_process_dumping.yml</t>
  </si>
  <si>
    <t xml:space="preserve">https://filestore.fortinet.com/docs.fortinet.com/fsiem/Public_Resource_Access/7_6_0/rules/PH_RULE_RdrLeakDiag_Process_Dump.htm</t>
  </si>
  <si>
    <t xml:space="preserve">PH_Rule_SIGMA_1999</t>
  </si>
  <si>
    <t xml:space="preserve">Windows: Process Monitor Driver Creation By Non-Sysinternals Binary</t>
  </si>
  <si>
    <t xml:space="preserve">(fileName REGEXP ".*\\procmon.*" AND fileName REGEXP "\.sys$") AND ((procName NOT REGEXP "\\procmon64\.exe$|\\procmon\.exe$"))</t>
  </si>
  <si>
    <t xml:space="preserve">Detects creation of the Process Monitor driver by processes other than Process Monitor (procmon) itself. This rule is adapted from https://github.com/SigmaHQ/sigma/blob/master/rules/windows/file/file_event/file_event_win_sysinternals_procmon_driver_susp_creation.yml</t>
  </si>
  <si>
    <t xml:space="preserve">https://filestore.fortinet.com/docs.fortinet.com/fsiem/Public_Resource_Access/7_6_0/rules/PH_RULE_Process_Monitor_Driver_Creation_By_Non_Sysinternals_Binary.htm</t>
  </si>
  <si>
    <t xml:space="preserve">PH_Rule_SIGMA_548</t>
  </si>
  <si>
    <t xml:space="preserve">Windows: PUA - DIT Snapshot Viewer</t>
  </si>
  <si>
    <t xml:space="preserve">(procName REGEXP "\\ditsnap\.exe$" OR command REGEXP ".*ditsnap\.exe.*")</t>
  </si>
  <si>
    <t xml:space="preserve">Detects the use of Ditsnap tool, an inspection tool for Active Directory database, ntds.dit. This rule is adapted from https://github.com/SigmaHQ/sigma/blob/master/rules/windows/process_creation/proc_creation_win_pua_ditsnap.yml</t>
  </si>
  <si>
    <t xml:space="preserve">https://filestore.fortinet.com/docs.fortinet.com/fsiem/Public_Resource_Access/7_6_0/rules/PH_RULE_DIT_Snapshot_Viewer_Use.htm</t>
  </si>
  <si>
    <t xml:space="preserve">PH_Rule_SIGMA_2474</t>
  </si>
  <si>
    <t xml:space="preserve">Windows: PUA - WebBrowserPassView Execution</t>
  </si>
  <si>
    <t xml:space="preserve">(description="Web Browser Password Viewer" OR procName REGEXP "\\WebBrowserPassView\.exe$")</t>
  </si>
  <si>
    <t xml:space="preserve">description,hostName,procName</t>
  </si>
  <si>
    <t xml:space="preserve">Detects the execution of WebBrowserPassView.exe, a password recovery tool that reveals the passwords stored by the following Web browsers, Internet Explorer (Version 4.0 - 11.0), Mozilla Firefox (All Versions), Google Chrome, Safari, and Opera. This rule is adapted from https://github.com/SigmaHQ/sigma/blob/master/rules/windows/process_creation/proc_creation_win_pua_webbrowserpassview.yml</t>
  </si>
  <si>
    <t xml:space="preserve">https://filestore.fortinet.com/docs.fortinet.com/fsiem/Public_Resource_Access/7_6_0/rules/PH_RULE_PUA_WebBrowserPassView_Execution.htm</t>
  </si>
  <si>
    <t xml:space="preserve">PH_Rule_SIGMA_322</t>
  </si>
  <si>
    <t xml:space="preserve">Windows: QuarksPwDump Dump File</t>
  </si>
  <si>
    <t xml:space="preserve">fileName REGEXP ".*\\AppData\\Local\\Temp\\SAM-.*" AND fileName REGEXP ".*\.dmp.*"</t>
  </si>
  <si>
    <t xml:space="preserve">Detects a dump file written by Quarks PwDump password dumper. It can dump various types of Windows credentials: local account, domain accounts, cached domain credentials and bitlocker. This rule is adapted from https://github.com/SigmaHQ/sigma/blob/master/rules/windows/file/file_event/file_event_win_hktl_quarkspw_filedump.yml</t>
  </si>
  <si>
    <t xml:space="preserve">https://filestore.fortinet.com/docs.fortinet.com/fsiem/Public_Resource_Access/7_6_0/rules/PH_RULE_QuarksPwDump_Dump_File.htm</t>
  </si>
  <si>
    <t xml:space="preserve">PH_Rule_SIGMA_287</t>
  </si>
  <si>
    <t xml:space="preserve">Windows: Register new Logon Process by Rubeus</t>
  </si>
  <si>
    <t xml:space="preserve">Win-Security-4611</t>
  </si>
  <si>
    <t xml:space="preserve">winLogonProc="User32LogonProcesss"</t>
  </si>
  <si>
    <t xml:space="preserve">hostName,winLogonProc</t>
  </si>
  <si>
    <t xml:space="preserve">Windows Security log: Security 4611</t>
  </si>
  <si>
    <t xml:space="preserve">Detects potential use of Rubeus via registered new trusted logon process. Rubeus is a toolkit for Kerberos interaction and abuses. This rule is adapted from https://github.com/SigmaHQ/sigma/blob/master/rules/windows/builtin/security/win_security_register_new_logon_process_by_rubeus.yml</t>
  </si>
  <si>
    <t xml:space="preserve">https://filestore.fortinet.com/docs.fortinet.com/fsiem/Public_Resource_Access/7_6_0/rules/PH_RULE_Register_new_Logon_Process_by_Rubeus.htm</t>
  </si>
  <si>
    <t xml:space="preserve">PH_Rule_SIGMA_1473</t>
  </si>
  <si>
    <t xml:space="preserve">Windows: Registry Parse with Pypykatz</t>
  </si>
  <si>
    <t xml:space="preserve">procName REGEXP "\\pypykatz\.exe$|\\python\.exe$" AND command REGEXP ".*live.*" AND command REGEXP ".*registry.*"</t>
  </si>
  <si>
    <t xml:space="preserve">Detects the usage of "pypykatz" to obtain stored credentials. Adversaries may attempt to extract credential material from the Security Account Manager (SAM) database through Windows registry where the SAM database is stored. This rule is adapted from https://github.com/SigmaHQ/sigma/blob/master/rules/windows/process_creation/proc_creation_win_hktl_pypykatz.yml</t>
  </si>
  <si>
    <t xml:space="preserve">https://filestore.fortinet.com/docs.fortinet.com/fsiem/Public_Resource_Access/7_6_0/rules/PH_RULE_Registry_Parse_with_Pypykatz.htm</t>
  </si>
  <si>
    <t xml:space="preserve">PH_Rule_SIGMA_2492</t>
  </si>
  <si>
    <t xml:space="preserve">Windows: Remote Access Tool - AnyDesk Piped Password Via CLI</t>
  </si>
  <si>
    <t xml:space="preserve">Command And Control</t>
  </si>
  <si>
    <t xml:space="preserve">T1219</t>
  </si>
  <si>
    <t xml:space="preserve">command REGEXP ".*/c .*" AND command REGEXP ".*echo .*" AND command REGEXP ".*\.exe --set-password.*"</t>
  </si>
  <si>
    <t xml:space="preserve">Detects piping the password to an anydesk instance via CMD and the '--set-password' flag. This rule is adapted from https://github.com/SigmaHQ/sigma/blob/master/rules/windows/process_creation/proc_creation_win_remote_access_tools_anydesk_piped_password_via_cli.yml</t>
  </si>
  <si>
    <t xml:space="preserve">https://filestore.fortinet.com/docs.fortinet.com/fsiem/Public_Resource_Access/7_6_0/rules/PH_RULE_Remote_Access_Tool_AnyDesk_Piped_Password_Via_CLI.htm</t>
  </si>
  <si>
    <t xml:space="preserve">PH_Rule_SIGMA_383</t>
  </si>
  <si>
    <t xml:space="preserve">Windows: Remote LSASS Process Access Through Windows Remote Management</t>
  </si>
  <si>
    <t xml:space="preserve">T1059.001</t>
  </si>
  <si>
    <t xml:space="preserve">targetProcName REGEXP "\\lsass\.exe$" AND procName REGEXP ":\\Windows\\system32\\wsmprovhost\.exe$" AND accessKeyId!="0x80000000"</t>
  </si>
  <si>
    <t xml:space="preserve">Detects remote access to the LSASS process via WinRM. This could be a sign of credential dumping from tools like mimikatz.. This rule is adapted from https://github.com/SigmaHQ/sigma/blob/master/rules/windows/process_access/proc_access_win_lsass_remote_access_trough_winrm.yml</t>
  </si>
  <si>
    <t xml:space="preserve">https://filestore.fortinet.com/docs.fortinet.com/fsiem/Public_Resource_Access/7_6_0/rules/PH_RULE_Mimikatz_through_Windows_Remote_Management.htm</t>
  </si>
  <si>
    <t xml:space="preserve">PH_Rule_SIGMA_2495</t>
  </si>
  <si>
    <t xml:space="preserve">Windows: Renamed AdFind Execution</t>
  </si>
  <si>
    <t xml:space="preserve">(command REGEXP " dclist | oudmp |-sc u:|-subnets -f|adinfo|computer_pwdnotreqd|computers_active|computers_pwdnotreqd|dcmodes|domainlist|domainncs|dompol|fspdmp|gpodmp|name=\"Domain Admins\"|objectcategory=|subnetdmp|trustdmp|users_noexpire" OR hashIMP IN ("12CE1C0F3F5837ECC18A3782408FA975","21AA085D54992511B9F115355E468782","49B639B4ACBECC49D72A01F357AA4930","4FBF3F084FBBB2470B80B2013134DF35","53E117A96057EAF19C41380D0E87F1C2","680DAD9E300346E05A85023965867201","BCA5675746D13A1F246E2DA3C2217492","D144DE8117DF2BECEABA2201AD304764") OR srcFileName="AdFind.exe") AND procName NOT REGEXP "\\AdFind\.exe$"</t>
  </si>
  <si>
    <t xml:space="preserve">command,hashIMP,hostName,procName,srcFileName</t>
  </si>
  <si>
    <t xml:space="preserve">Detects the use of a renamed Adfind.exe. AdFind continues to be seen across majority of breaches. It is used to domain trust discovery to plan out subsequent steps in the attack chain.. This rule is adapted from https://github.com/SigmaHQ/sigma/blob/master/rules/windows/process_creation/proc_creation_win_renamed_adfind.yml</t>
  </si>
  <si>
    <t xml:space="preserve">https://filestore.fortinet.com/docs.fortinet.com/fsiem/Public_Resource_Access/7_6_0/rules/PH_RULE_Renamed_AdFind_Execution.htm</t>
  </si>
  <si>
    <t xml:space="preserve">PH_Rule_SIGMA_1491</t>
  </si>
  <si>
    <t xml:space="preserve">Windows: Renamed BrowserCore.EXE Execution</t>
  </si>
  <si>
    <t xml:space="preserve">srcFileName="BrowserCore.exe" AND ((procName NOT REGEXP "\\BrowserCore\.exe$"))</t>
  </si>
  <si>
    <t xml:space="preserve">hostName,procName,srcFileName</t>
  </si>
  <si>
    <t xml:space="preserve">Detects process creation with a renamed BrowserCore.exe (used to extract Azure tokens). a core component of Windows 10 and it serves as a browser add-on that allows Microsoft users to connect via Azure and Microsoft websites. This rule is adapted from https://github.com/SigmaHQ/sigma/blob/master/rules/windows/process_creation/proc_creation_win_renamed_browsercore.yml</t>
  </si>
  <si>
    <t xml:space="preserve">https://filestore.fortinet.com/docs.fortinet.com/fsiem/Public_Resource_Access/7_6_0/rules/PH_RULE_Process_Creation_with_Renamed_BrowserCore_exe.htm</t>
  </si>
  <si>
    <t xml:space="preserve">PH_Rule_SIGMA_2497</t>
  </si>
  <si>
    <t xml:space="preserve">Windows: Renamed CreateDump Utility Execution</t>
  </si>
  <si>
    <t xml:space="preserve">(srcFileName="FX_VER_INTERNALNAME_STR" OR (command REGEXP ".* -u .*" AND command REGEXP ".* -f .*" AND command REGEXP ".*\.dmp.*") OR (command REGEXP ".* --full .*" AND command REGEXP ".* --name .*" AND command REGEXP ".*\.dmp.*")) AND (procName NOT REGEXP "\\createdump\.exe$")</t>
  </si>
  <si>
    <t xml:space="preserve">Detects uses of a renamed legitimate createdump.exe LOLBIN utility to dump process memory. Living off the Land Binaries (LOLBin) refers to executables that are a part of the operating system (OS) and can be exploited to support an attack. This rule is adapted from https://github.com/SigmaHQ/sigma/blob/master/rules/windows/process_creation/proc_creation_win_renamed_createdump.yml</t>
  </si>
  <si>
    <t xml:space="preserve">https://filestore.fortinet.com/docs.fortinet.com/fsiem/Public_Resource_Access/7_6_0/rules/PH_RULE_Renamed_CreateDump_Utility_Execution.htm</t>
  </si>
  <si>
    <t xml:space="preserve">PH_Rule_SIGMA_504</t>
  </si>
  <si>
    <t xml:space="preserve">Windows: Renamed ProcDump Execution</t>
  </si>
  <si>
    <t xml:space="preserve">T1036.003</t>
  </si>
  <si>
    <t xml:space="preserve">(srcFileName="procdump" OR ((command REGEXP ".* [-/–—―]ma .*" OR command REGEXP ".* [-/–—―]mp .*") AND command REGEXP ".* [-/–—―]accepteula .*")) AND (procName NOT REGEXP "\\procdump64\.exe$|\\procdump\.exe$")</t>
  </si>
  <si>
    <t xml:space="preserve">Detects the execution of a renamed ProcDump executable often used by attackers or malware. This rule is adapted from https://github.com/SigmaHQ/sigma/blob/master/rules/windows/process_creation/proc_creation_win_renamed_sysinternals_procdump.yml</t>
  </si>
  <si>
    <t xml:space="preserve">https://filestore.fortinet.com/docs.fortinet.com/fsiem/Public_Resource_Access/7_6_0/rules/PH_RULE_Renamed_ProcDump.htm</t>
  </si>
  <si>
    <t xml:space="preserve">PH_Rule_SIGMA_1959</t>
  </si>
  <si>
    <t xml:space="preserve">Windows: SafetyKatz Default Dump Filename</t>
  </si>
  <si>
    <t xml:space="preserve">fileName REGEXP "\\Temp\\debug\.bin$"</t>
  </si>
  <si>
    <t xml:space="preserve">Detects default lsass dump filename from SafetyKatz. SafetyKatz is a combination of modified version of Mimikatz project and .NET PE Loader. This rule is adapted from https://github.com/SigmaHQ/sigma/blob/master/rules/windows/file/file_event/file_event_win_hktl_safetykatz.yml</t>
  </si>
  <si>
    <t xml:space="preserve">https://filestore.fortinet.com/docs.fortinet.com/fsiem/Public_Resource_Access/7_6_0/rules/PH_RULE_SafetyKatz_Default_Dump_Filename.htm</t>
  </si>
  <si>
    <t xml:space="preserve">PH_Rule_SIGMA_290</t>
  </si>
  <si>
    <t xml:space="preserve">Windows: SAM Registry Hive Handle Request</t>
  </si>
  <si>
    <t xml:space="preserve">T1012, T1552.002</t>
  </si>
  <si>
    <t xml:space="preserve">osObjType="Key" AND osObjName REGEXP "\\SAM$"</t>
  </si>
  <si>
    <t xml:space="preserve">hostName,osObjName,osObjType</t>
  </si>
  <si>
    <t xml:space="preserve">Detects handles requested to SAM registry hive. The Security Accounts Manager (SAM) is a database file in the Microsoft Windows operating system (OS) that contains usernames and passwords. This rule is adapted from https://github.com/SigmaHQ/sigma/blob/master/rules/windows/builtin/security/win_security_sam_registry_hive_handle_request.yml</t>
  </si>
  <si>
    <t xml:space="preserve">https://filestore.fortinet.com/docs.fortinet.com/fsiem/Public_Resource_Access/7_6_0/rules/PH_RULE_SAM_Registry_Hive_Handle_Request.htm</t>
  </si>
  <si>
    <t xml:space="preserve">PH_Rule_SIGMA_665</t>
  </si>
  <si>
    <t xml:space="preserve">Windows: Security Support Provider SSP Added to LSA Configuration</t>
  </si>
  <si>
    <t xml:space="preserve">regKeyPath REGEXP "\\Control\\Lsa\\OSConfig\\Security Packages$|\\Control\\Lsa\\Security Packages$" AND procName NOT IN ("C:\\Windows\\system32\\msiexec.exe","C:\\Windows\\syswow64\\MsiExec.exe") AND procName IS NOT NULL</t>
  </si>
  <si>
    <t xml:space="preserve">Detects the addition of a SSP to the registry. Upon a reboot or API call, SSP DLLs gain access to encrypted and plaintext passwords stored in Windows. . This rule is adapted from https://github.com/SigmaHQ/sigma/blob/master/rules/windows/registry/registry_event/registry_event_ssp_added_lsa_config.yml</t>
  </si>
  <si>
    <t xml:space="preserve">https://filestore.fortinet.com/docs.fortinet.com/fsiem/Public_Resource_Access/7_6_0/rules/PH_RULE_Security_Support_Provider_SSP_Added_to_LSA_Configuration.htm</t>
  </si>
  <si>
    <t xml:space="preserve">PH_Rule_SIGMA_1423</t>
  </si>
  <si>
    <t xml:space="preserve">Windows: Sensitive File Access Via Volume Shadow Copy Backup</t>
  </si>
  <si>
    <t xml:space="preserve">command REGEXP "\\\\\?\\GLOBALROOT\\Device\\HarddiskVolumeShadowCopy" AND command REGEXP "\\NTDS\.dit|\\SECURITY|\\SYSTEM"</t>
  </si>
  <si>
    <t xml:space="preserve">Detects a command that accesses the VolumeShadowCopy in order to extract sensitive files such as the Security or SAM registry hives or the AD database (ntds.dit) . This rule is adapted from https://github.com/SigmaHQ/sigma/blob/master/rules/windows/process_creation/proc_creation_win_susp_sensitive_file_access_shadowcopy.yml</t>
  </si>
  <si>
    <t xml:space="preserve">https://filestore.fortinet.com/docs.fortinet.com/fsiem/Public_Resource_Access/7_6_0/rules/PH_RULE_Sensitive_Registry_Access_via_Volume_Shadow_Copy.htm</t>
  </si>
  <si>
    <t xml:space="preserve">PH_Rule_SIGMA_511</t>
  </si>
  <si>
    <t xml:space="preserve">Windows: Shadow Copies Creation Using Operating Systems Utilities</t>
  </si>
  <si>
    <t xml:space="preserve">(procName REGEXP "\\powershell\.exe$|\\pwsh\.exe$|\\vssadmin\.exe$|\\wmic\.exe$" OR srcFileName IN ("PowerShell.EXE","VSSADMIN.EXE","pwsh.dll","wmic.exe")) AND (command REGEXP ".*shadow.*" AND command REGEXP ".*create.*")</t>
  </si>
  <si>
    <t xml:space="preserve">Shadow Copies creation using operating systems utilities, possible credential access. This rule is adapted from https://github.com/SigmaHQ/sigma/blob/master/rules/windows/process_creation/proc_creation_win_susp_shadow_copies_creation.yml</t>
  </si>
  <si>
    <t xml:space="preserve">https://filestore.fortinet.com/docs.fortinet.com/fsiem/Public_Resource_Access/7_6_0/rules/PH_RULE_Shadow_Copies_Creation_Using_Operating_Systems_Utilities.htm</t>
  </si>
  <si>
    <t xml:space="preserve">PH_Rule_SIGMA_812</t>
  </si>
  <si>
    <t xml:space="preserve">Windows: SilentProcessExit Monitor Registration for LSASS</t>
  </si>
  <si>
    <t xml:space="preserve">T1003.007</t>
  </si>
  <si>
    <t xml:space="preserve">regKeyPath REGEXP ".*Microsoft\\Windows NT\\CurrentVersion\\SilentProcessExit\\lsass\.exe.*"</t>
  </si>
  <si>
    <t xml:space="preserve">hostName,regKeyPath</t>
  </si>
  <si>
    <t xml:space="preserve">Detects changes to the Registry in which a monitor program gets registered to dump process memory of the lsass.exe process memory. Local Security Authority Subsystem Service (LSASS.exe) manages system-level authentication. This rule is adapted from https://github.com/SigmaHQ/sigma/blob/master/rules/windows/registry/registry_event/registry_event_silentprocessexit_lsass.yml</t>
  </si>
  <si>
    <t xml:space="preserve">https://filestore.fortinet.com/docs.fortinet.com/fsiem/Public_Resource_Access/7_6_0/rules/PH_RULE_SilentProcessExit_Monitor_Registrytion_for_LSASS.htm</t>
  </si>
  <si>
    <t xml:space="preserve">PH_Rule_SIGMA_2536</t>
  </si>
  <si>
    <t xml:space="preserve">Windows: SQLite Chromium Profile Data DB Access</t>
  </si>
  <si>
    <t xml:space="preserve">(product="SQLite" OR procName REGEXP "\\sqlite3\.exe$|\\sqlite\.exe$") AND command REGEXP ".*\\ChromiumViewer\\.*|.*\\Opera Software\\.*|.*\\User Data\\.*" AND command REGEXP ".*Bookmarks.*|.*Cookies.*|.*History.*|.*Login Data.*|.*Web Data.*"</t>
  </si>
  <si>
    <t xml:space="preserve">command,hostName,procName,product</t>
  </si>
  <si>
    <t xml:space="preserve">Detect usage of the "sqlite" binary to query databases in Chromium-based browsers for potential data stealing. This rule is adapted from https://github.com/SigmaHQ/sigma/blob/master/rules/windows/process_creation/proc_creation_win_sqlite_chromium_profile_data.yml</t>
  </si>
  <si>
    <t xml:space="preserve">https://filestore.fortinet.com/docs.fortinet.com/fsiem/Public_Resource_Access/7_6_0/rules/PH_RULE_SQLite_Chromium_Profile_Data_DB_Access.htm</t>
  </si>
  <si>
    <t xml:space="preserve">PH_Rule_SIGMA_1520</t>
  </si>
  <si>
    <t xml:space="preserve">Windows: SQLite Firefox Profile Data DB Access</t>
  </si>
  <si>
    <t xml:space="preserve">T1539</t>
  </si>
  <si>
    <t xml:space="preserve">(product="SQLite" OR procName REGEXP "\\sqlite3\.exe$|\\sqlite\.exe$") AND command REGEXP ".*cookies\.sqlite.*|.*places\.sqlite.*"</t>
  </si>
  <si>
    <t xml:space="preserve">Detect usage of the "sqlite" binary to query databases in Firefox and other Gecko-based browsers for potential data stealing. This rule is adapted from https://github.com/SigmaHQ/sigma/blob/master/rules/windows/process_creation/proc_creation_win_sqlite_firefox_gecko_profile_data.yml</t>
  </si>
  <si>
    <t xml:space="preserve">https://filestore.fortinet.com/docs.fortinet.com/fsiem/Public_Resource_Access/7_6_0/rules/PH_RULE_SQLite_Firefox_Cookie_DB_Access.htm</t>
  </si>
  <si>
    <t xml:space="preserve">PH_Rule_SIGMA_2572</t>
  </si>
  <si>
    <t xml:space="preserve">Windows: Suspicious Active Directory Database Snapshot Via ADExplorer</t>
  </si>
  <si>
    <t xml:space="preserve">(procName REGEXP "\\ADExp\.exe$|\\ADExplorer64\.exe$|\\ADExplorer64a\.exe$|\\ADExplorer\.exe$" OR srcFileName="AdExp" OR description="Active Directory Editor" OR product="Sysinternals ADExplorer") AND command REGEXP "snapshot" AND command REGEXP "\\AppData\\|\\Downloads\\|\\Users\\Public\\|\\Windows\\Temp\\"</t>
  </si>
  <si>
    <t xml:space="preserve">Detects the execution of Sysinternals ADExplorer with the "-snapshot" flag in order to save a local copy of the active directory database to a suspicious directory. This can be used by attackers to extract data for Bloodhound, usernames for password spraying or use the meta data for social engineering. The snapshot doesn't contain password hashes but there have been cases, where administrators put passwords in the comment field.. This rule is adapted from https://github.com/SigmaHQ/sigma/blob/master/rules/windows/process_creation/proc_creation_win_sysinternals_adexplorer_susp_execution.yml</t>
  </si>
  <si>
    <t xml:space="preserve">https://filestore.fortinet.com/docs.fortinet.com/fsiem/Public_Resource_Access/7_6_0/rules/PH_RULE_Suspicious_Active_Directory_Database_Snapshot_Via_ADExplorer.htm</t>
  </si>
  <si>
    <t xml:space="preserve">PH_Rule_SIGMA_1527</t>
  </si>
  <si>
    <t xml:space="preserve">Windows: Suspicious Add User to Remote Desktop Users Group</t>
  </si>
  <si>
    <t xml:space="preserve">((command REGEXP ".*localgroup .*" AND command REGEXP ".* /add.*") OR (command REGEXP ".*Add-LocalGroupMember .*" AND command REGEXP ".* -Group .*")) AND command REGEXP ".*Remote Desktop Users.*|.*Usuarios de escritorio remoto.*|.*Utilisateurs du Bureau . distance.*"</t>
  </si>
  <si>
    <t xml:space="preserve">Detects suspicious command line in which a user gets added to the local Remote Desktop Users group. This rule is adapted from https://github.com/SigmaHQ/sigma/blob/master/rules/windows/process_creation/proc_creation_win_susp_add_user_remote_desktop_group.yml</t>
  </si>
  <si>
    <t xml:space="preserve">https://filestore.fortinet.com/docs.fortinet.com/fsiem/Public_Resource_Access/7_6_0/rules/PH_RULE_Suspicious_Add_User_to_Remote_Desktop_Users_Group.htm</t>
  </si>
  <si>
    <t xml:space="preserve">PH_Rule_SIGMA_2582</t>
  </si>
  <si>
    <t xml:space="preserve">Windows: Suspicious Command With Teams Objects Paths</t>
  </si>
  <si>
    <t xml:space="preserve">command REGEXP ".*\\Microsoft\\Teams\\Cookies.*|.*\\Microsoft\\Teams\\Local Storage\\leveldb.*" AND (procName NOT REGEXP "\\Microsoft\\Teams\\current\\Teams\.exe$")</t>
  </si>
  <si>
    <t xml:space="preserve">Detects an access to authentication tokens and accounts of Microsoft Teams desktop application. There is a security vulnerability that Microsoft Teams stores user authentication tokens as cleartext in Windows, Linux, Mac. This rule is adapted from https://github.com/SigmaHQ/sigma/blob/master/rules/windows/process_creation/proc_creation_win_teams_suspicious_command_line_cred_access.yml</t>
  </si>
  <si>
    <t xml:space="preserve">https://filestore.fortinet.com/docs.fortinet.com/fsiem/Public_Resource_Access/7_6_0/rules/PH_RULE_Suspicious_Command_With_Teams_Objects_Paths.htm</t>
  </si>
  <si>
    <t xml:space="preserve">PH_Rule_SIGMA_88</t>
  </si>
  <si>
    <t xml:space="preserve">Windows: Suspicious Kerberos RC4 Ticket Encryption</t>
  </si>
  <si>
    <t xml:space="preserve">Win-Security-4769-failure
Win-Security-4769-success</t>
  </si>
  <si>
    <t xml:space="preserve">(kerbTicketOption="0x40810000" AND encryptAlgo="0x17") AND (serviceName NOT REGEXP "\$$")</t>
  </si>
  <si>
    <t xml:space="preserve">encryptAlgo,hostName,kerbTicketOption,serviceName</t>
  </si>
  <si>
    <t xml:space="preserve">Detects service ticket requests using RC4 encryption type. RC4 is a common and early stream cipher and widely used, but RC4 is considered to pose many security risks. RC4 usage should be rare on a modern network since Windows Vista &amp; Windows Sever 2008 and newer support AES Kerberos encryption. This activity may indicate Kerberoasting activity, which is a post-exploitation attack technique that attempts to obtain a password hash of an Active Directory account that has a Service Principal Name (“SPN”). This rule is adapted from https://github.com/SigmaHQ/sigma/blob/master/rules/windows/builtin/security/win_security_susp_rc4_kerberos.yml</t>
  </si>
  <si>
    <t xml:space="preserve">https://filestore.fortinet.com/docs.fortinet.com/fsiem/Public_Resource_Access/7_6_0/rules/PH_RULE_Suspicious_Kerberos_RC4_Ticket_Encryption.htm</t>
  </si>
  <si>
    <t xml:space="preserve">PH_Rule_SIGMA_1631</t>
  </si>
  <si>
    <t xml:space="preserve">Windows: Suspicious Key Manager Access</t>
  </si>
  <si>
    <t xml:space="preserve">T1555.004</t>
  </si>
  <si>
    <t xml:space="preserve">(procName REGEXP "\\rundll32\.exe$" OR srcFileName="RUNDLL32.EXE") AND (command REGEXP ".*keymgr.*" AND command REGEXP ".*KRShowKeyMgr.*")</t>
  </si>
  <si>
    <t xml:space="preserve">Detects the invocation of the Stored User Names and Passwords dialogue via Windows Key Manager or Credential Manager. Windows Credentials Manager stores your usernames and passwords, as well as other login details. This rule is adapted from https://github.com/SigmaHQ/sigma/blob/master/rules/windows/process_creation/proc_creation_win_rundll32_keymgr.yml</t>
  </si>
  <si>
    <t xml:space="preserve">https://filestore.fortinet.com/docs.fortinet.com/fsiem/Public_Resource_Access/7_6_0/rules/PH_RULE_Suspicious_Key_Manager_Access.htm</t>
  </si>
  <si>
    <t xml:space="preserve">PH_Rule_SIGMA_2256</t>
  </si>
  <si>
    <t xml:space="preserve">Windows: Suspicious LSASS Access Via MalSecLogon</t>
  </si>
  <si>
    <t xml:space="preserve">targetProcName REGEXP "\\lsass\.exe$" AND procName REGEXP "\\svchost\.exe$" AND accessKeyId="0x14c0" AND procPath REGEXP ".*seclogon\.dll.*"</t>
  </si>
  <si>
    <t xml:space="preserve">accessKeyId,hostName,procName,procPath,targetProcName</t>
  </si>
  <si>
    <t xml:space="preserve">Detects suspicious access to Lsass handle via a call trace to seclogon.dll. The process known as Secondary Logon Service DLL, distributed by Microsoft, allows a user to start a command or application with a different account's credentials, such as an administrator working on another user's computer, only using their administrative account to run certain commands or applications. This rule is adapted from https://github.com/SigmaHQ/sigma/blob/master/rules/windows/process_access/proc_access_win_lsass_seclogon_access.yml</t>
  </si>
  <si>
    <t xml:space="preserve">https://filestore.fortinet.com/docs.fortinet.com/fsiem/Public_Resource_Access/7_6_0/rules/PH_RULE_Suspicious_LSASS_Access_Via_MalSecLogon.htm</t>
  </si>
  <si>
    <t xml:space="preserve">PH_Rule_SIGMA_1575</t>
  </si>
  <si>
    <t xml:space="preserve">Windows: Suspicious LSASS Process Clone</t>
  </si>
  <si>
    <t xml:space="preserve">procName REGEXP "\\Windows\\System32\\lsass\.exe$" AND parentProcName REGEXP "\\Windows\\System32\\lsass\.exe$"</t>
  </si>
  <si>
    <t xml:space="preserve">hostName,parentProcName,procName</t>
  </si>
  <si>
    <t xml:space="preserve">Detects a suspicious LSASS process process clone that could be a sign of process dumping activity. Local Security Authority Subsystem Service (LSASS.exe), which manages system-level authentication. This rule is adapted from https://github.com/SigmaHQ/sigma/blob/master/rules/windows/process_creation/proc_creation_win_lsass_process_clone.yml</t>
  </si>
  <si>
    <t xml:space="preserve">https://filestore.fortinet.com/docs.fortinet.com/fsiem/Public_Resource_Access/7_6_0/rules/PH_RULE_Suspicious_LSASS_Process_Clone.htm</t>
  </si>
  <si>
    <t xml:space="preserve">PH_Rule_SIGMA_2397</t>
  </si>
  <si>
    <t xml:space="preserve">Windows: Suspicious Manipulation Of Default Accounts Via Net.EXE</t>
  </si>
  <si>
    <t xml:space="preserve">T1560.001</t>
  </si>
  <si>
    <t xml:space="preserve">((procName REGEXP ".*\\net1\.exe|.*\\net\.exe" OR srcFileName IN ("net.exe","net1.exe")) AND command REGEXP ".* user .*" AND command REGEXP ".* 'Administrador' .*|.* 'Administrateur' .*|.* 'Administrator' .*|.* 'DefaultAccount' .*|.* 'Rendszergazda' .*|.* 'guest' .*|.* Administrador .*|.* Administrateur .*|.* Administrator .*|.* DefaultAccount .*|.* Rendszergazda .*|.* \"Administrador\" .*|.* \"Administrateur\" .*|.* \"Administrator\" .*|.* \"DefaultAccount\" .*|.* \"guest\" .*|.* guest .*") AND (command NOT REGEXP ".*guest.*" OR command NOT REGEXP ".*/active no.*")</t>
  </si>
  <si>
    <t xml:space="preserve">Detects suspicious manipulations of default accounts such as 'administrator' and 'guest'. For example 'enable' or 'disable' accounts or change the password...etc. This rule is adapted from https://github.com/SigmaHQ/sigma/blob/master/rules/windows/process_creation/proc_creation_win_net_user_default_accounts_manipulation.yml</t>
  </si>
  <si>
    <t xml:space="preserve">https://filestore.fortinet.com/docs.fortinet.com/fsiem/Public_Resource_Access/7_6_0/rules/PH_RULE_Suspicious_Manipulation_Of_Default_Accounts_Via_Net_EXE.htm</t>
  </si>
  <si>
    <t xml:space="preserve">PH_Rule_SIGMA_834</t>
  </si>
  <si>
    <t xml:space="preserve">Windows: Suspicious NTDS Exfil Filename Patterns</t>
  </si>
  <si>
    <t xml:space="preserve">fileName REGEXP "\.ntds\.cleartext$|\\All\.cab$"</t>
  </si>
  <si>
    <t xml:space="preserve">Detects creation of files with specific name patterns seen used in various tools that export the NTDS.DIT for exfiltration. NTDS.dit file is a database that stores the Active Directory data (including users, groups, security descriptors and password hashes). This rule is adapted from https://github.com/SigmaHQ/sigma/blob/master/rules/windows/file/file_event/file_event_win_ntds_exfil_tools.yml</t>
  </si>
  <si>
    <t xml:space="preserve">https://filestore.fortinet.com/docs.fortinet.com/fsiem/Public_Resource_Access/7_6_0/rules/PH_RULE_Suspicious_NTDS_Exfil_Filename_Patterns.htm</t>
  </si>
  <si>
    <t xml:space="preserve">PH_Rule_SIGMA_1590</t>
  </si>
  <si>
    <t xml:space="preserve">Windows: Suspicious NTLM Authentication on the Printer Spooler Service</t>
  </si>
  <si>
    <t xml:space="preserve">(procName REGEXP "\\rundll32\.exe$" OR srcFileName="RUNDLL32.EXE") AND (command REGEXP ".*C:\\windows\\system32\\davclnt\.dll,DavSetCookie.*" AND command REGEXP ".*http.*" AND command REGEXP ".*/print/pipe/.*|.*spoolss.*|.*srvsvc.*")</t>
  </si>
  <si>
    <t xml:space="preserve">Detects a privilege elevation attempt by coercing NTLM authentication on the Printer Spooler service. An adversary may use this primitive in combination with other techniques to elevate privileges on a compromised system. This rule is adapted from https://github.com/SigmaHQ/sigma/blob/master/rules/windows/process_creation/proc_creation_win_rundll32_ntlmrelay.yml</t>
  </si>
  <si>
    <t xml:space="preserve">https://filestore.fortinet.com/docs.fortinet.com/fsiem/Public_Resource_Access/7_6_0/rules/PH_RULE_Suspicious_WebDav_Client_Execution_SYSMON.htm</t>
  </si>
  <si>
    <t xml:space="preserve">PH_Rule_SIGMA_1589</t>
  </si>
  <si>
    <t xml:space="preserve">Windows: Suspicious Process Patterns NTDS.DIT Exfil</t>
  </si>
  <si>
    <t xml:space="preserve">(((procName REGEXP "\\NTDSDumpEx\.exe$|\\NTDSDump\.exe$" OR (command REGEXP ".*ntds\.dit.*" AND command REGEXP ".*system\.hiv.*") OR command REGEXP ".*NTDSgrab\.ps1.*") OR (command REGEXP ".*ac i ntds.*" AND command REGEXP ".*create full.*") OR (command REGEXP ".*/c copy .*" AND command REGEXP ".*\\windows\\ntds\\ntds\.dit.*") OR (command REGEXP ".*activate instance ntds.*" AND command REGEXP ".*create full.*") OR (command REGEXP ".*powershell.*" AND command REGEXP ".*ntds\.dit.*")) OR (command REGEXP ".*ntds\.dit.*" AND (parentProcName REGEXP ".*\\AppData\\.*|.*\\PerfLogs\\.*|.*\\Public\\.*|.*\\Temp\\.*|.*\\apache.*|.*\\tomcat.*" OR procName REGEXP ".*\\AppData\\.*|.*\\PerfLogs\\.*|.*\\Public\\.*|.*\\Temp\\.*|.*\\apache.*|.*\\tomcat.*")))</t>
  </si>
  <si>
    <t xml:space="preserve">command,hostName,parentProcName,procName</t>
  </si>
  <si>
    <t xml:space="preserve">Detects suspicious process patterns used in NTDS.DIT exfiltration. NTDS.dit file is a database that stores the Active Directory data (including users, groups, security descriptors and password hashes). This rule is adapted from https://github.com/SigmaHQ/sigma/blob/master/rules/windows/process_creation/proc_creation_win_susp_ntds.yml</t>
  </si>
  <si>
    <t xml:space="preserve">https://filestore.fortinet.com/docs.fortinet.com/fsiem/Public_Resource_Access/7_6_0/rules/PH_RULE_Suspicious_Process_Patterns_NTDS_DIT_Exfil.htm</t>
  </si>
  <si>
    <t xml:space="preserve">PH_Rule_SIGMA_1103</t>
  </si>
  <si>
    <t xml:space="preserve">Windows: Suspicious Rejected SMB Guest Logon From IP</t>
  </si>
  <si>
    <t xml:space="preserve">REGEXP:Win-.*-31017[^\d]*</t>
  </si>
  <si>
    <t xml:space="preserve">user IS NULL AND serverName REGEXP "^\\1"</t>
  </si>
  <si>
    <t xml:space="preserve">hostName,serverName,user</t>
  </si>
  <si>
    <t xml:space="preserve">Detects PrintNightmare (CVE-2021-1675) Remote Code Execution attempt in Windows Spooler Service. This rule is adapted from https://github.com/SigmaHQ/sigma/blob/master/rules/windows/builtin/smbclient/security/win_smbclient_security_susp_failed_guest_logon.yml</t>
  </si>
  <si>
    <t xml:space="preserve">https://filestore.fortinet.com/docs.fortinet.com/fsiem/Public_Resource_Access/7_6_0/rules/PH_RULE_Suspicious_Rejected_SMB_Guest_Logon_From_IP.htm</t>
  </si>
  <si>
    <t xml:space="preserve">PH_Rule_SIGMA_2011</t>
  </si>
  <si>
    <t xml:space="preserve">Windows: Suspicious Renamed Comsvcs DLL Loaded By Rundll32</t>
  </si>
  <si>
    <t xml:space="preserve">(procName REGEXP "\\rundll32\.exe$" AND hashIMP IN ("281D618F4E6271E527E6386EA6F748DE","407CA0F7B523319D758A40D7C0193699","5E0DBDEC1FCE52DAAE251A110B4F309D","EADBCCBB324829ACB5F2BBE87E5549A8","EED93054CB555F3DE70EAA9787F32EBB")) AND (loadedProcName NOT REGEXP "\\comsvcs\.dll$")</t>
  </si>
  <si>
    <t xml:space="preserve">hashIMP,hostName,loadedProcName,procName</t>
  </si>
  <si>
    <t xml:space="preserve">Detects rundll32 loading a renamed comsvcs.dll to dump process memory. This rule is adapted from https://github.com/SigmaHQ/sigma/blob/master/rules/windows/image_load/image_load_dll_comsvcs_load_renamed_version_by_rundll32.yml</t>
  </si>
  <si>
    <t xml:space="preserve">https://filestore.fortinet.com/docs.fortinet.com/fsiem/Public_Resource_Access/7_6_0/rules/PH_RULE_Suspicious_Renamed_Comsvcs_DLL_Loaded_By_Rundll32.htm</t>
  </si>
  <si>
    <t xml:space="preserve">PH_Rule_SIGMA_604</t>
  </si>
  <si>
    <t xml:space="preserve">Windows: Suspicious SYSVOL Domain Group Policy Access</t>
  </si>
  <si>
    <t xml:space="preserve">command REGEXP ".*\\SYSVOL\\.*" AND command REGEXP ".*\\policies\\.*"</t>
  </si>
  <si>
    <t xml:space="preserve">Detects access to Domain Group Policies stored in SYSVOL. This rule is adapted from https://github.com/SigmaHQ/sigma/blob/master/rules/windows/process_creation/proc_creation_win_susp_sysvol_access.yml</t>
  </si>
  <si>
    <t xml:space="preserve">https://filestore.fortinet.com/docs.fortinet.com/fsiem/Public_Resource_Access/7_6_0/rules/PH_RULE_Suspicious_SYSVOL_Domain_Group_Policy_Access.htm</t>
  </si>
  <si>
    <t xml:space="preserve">PH_Rule_SIGMA_1848</t>
  </si>
  <si>
    <t xml:space="preserve">Windows: Suspicious Teams Application Related ObjectAcess Event</t>
  </si>
  <si>
    <t xml:space="preserve">Win-Security-4663</t>
  </si>
  <si>
    <t xml:space="preserve">(osObjName REGEXP ".*\\Microsoft\\Teams\\Cookies.*|.*\\Microsoft\\Teams\\Local Storage\\leveldb.*") AND (procName NOT REGEXP ".*\\Microsoft\\Teams\\current\\Teams\.exe.*")</t>
  </si>
  <si>
    <t xml:space="preserve">hostName,osObjName,procName</t>
  </si>
  <si>
    <t xml:space="preserve">Windows Security log: Security 4663</t>
  </si>
  <si>
    <t xml:space="preserve">Detects an access to authentication tokens and accounts of Microsoft Teams desktop application. There is a security vulnerability that Microsoft Teams stores user authentication tokens as cleartext in Windows, Linux, Mac. This rule is adapted from https://github.com/SigmaHQ/sigma/blob/master/rules/windows/builtin/security/win_security_teams_suspicious_objectaccess.yml</t>
  </si>
  <si>
    <t xml:space="preserve">https://filestore.fortinet.com/docs.fortinet.com/fsiem/Public_Resource_Access/7_6_0/rules/PH_RULE_Suspicious_Teams_Application_Related_ObjectAcess_Event.htm</t>
  </si>
  <si>
    <t xml:space="preserve">PH_Rule_SIGMA_2012</t>
  </si>
  <si>
    <t xml:space="preserve">Windows: Suspicious Unsigned Dbghelp/Dbgcore DLL Loaded</t>
  </si>
  <si>
    <t xml:space="preserve">loadedProcName REGEXP "\\dbgcore\.dll$|\\dbghelp\.dll$" AND authResult="false"</t>
  </si>
  <si>
    <t xml:space="preserve">authResult,hostName,loadedProcName</t>
  </si>
  <si>
    <t xml:space="preserve">Detects the load of dbghelp/dbgcore DLL (used to make memory dumps) by suspicious processes. Tools like ProcessHacker and some attacker tradecract use MiniDumpWriteDump API found in dbghelp.dll or dbgcore.dll. As an example, SilentTrynity C2 Framework has a module that leverages this API to dump the contents of Lsass.exe and transfer it over the network back to the attacker's machine. This rule is adapted from https://github.com/SigmaHQ/sigma/blob/master/rules/windows/image_load/image_load_dll_dbghelp_dbgcore_unsigned_load.yml</t>
  </si>
  <si>
    <t xml:space="preserve">https://filestore.fortinet.com/docs.fortinet.com/fsiem/Public_Resource_Access/7_6_0/rules/PH_RULE_Suspicious_Unsigned_Dbghelp_Dbgcore_DLL_Loaded.htm</t>
  </si>
  <si>
    <t xml:space="preserve">PH_Rule_SIGMA_2406</t>
  </si>
  <si>
    <t xml:space="preserve">Windows: Suspicious Usage Of Active Directory Diagnostic Tool ntdsutil.exe</t>
  </si>
  <si>
    <t xml:space="preserve">(procName REGEXP "\\ntdsutil\.exe$" OR srcFileName="ntdsutil.exe") AND ((command REGEXP ".*snapshot.*" AND command REGEXP ".*mount .*") OR (command REGEXP ".*ac.*" AND command REGEXP ".* i.*" AND command REGEXP ".* ntds.*"))</t>
  </si>
  <si>
    <t xml:space="preserve">Detects execution of ntdsutil.exe to perform different actions such as restoring snapshots. The primary purpose of ntdsutil.exe is to perform Active Directory Database maintenance. This rule is adapted from https://github.com/SigmaHQ/sigma/blob/master/rules/windows/process_creation/proc_creation_win_ntdsutil_susp_usage.yml</t>
  </si>
  <si>
    <t xml:space="preserve">https://filestore.fortinet.com/docs.fortinet.com/fsiem/Public_Resource_Access/7_6_0/rules/PH_RULE_Suspicious_Usage_Of_Active_Directory_Diagnostic_Tool_ntdsutil_exe_.htm</t>
  </si>
  <si>
    <t xml:space="preserve">PH_Rule_SIGMA_1262</t>
  </si>
  <si>
    <t xml:space="preserve">Windows: Suspicious Volume Shadow Copy VSS-PS.dll Load</t>
  </si>
  <si>
    <t xml:space="preserve">loadedProcName REGEXP "\\vss_ps\.dll$" AND (procName NOT REGEXP "^C:\\Windows\\" OR procName NOT REGEXP "\\System32\\SystemPropertiesAdvanced\.exe$|\\WmiPrvSE\.exe$|\\clussvc\.exe$|\\dismhost\.exe$|\\dllhost\.exe$|\\inetsrv\\appcmd\.exe$|\\inetsrv\\iissetup\.exe$|\\msiexec\.exe$|\\rundll32\.exe$|\\searchindexer\.exe$|\\srtasks\.exe$|\\svchost\.exe$|\\taskhostw\.exe$|\\thor64\.exe$|\\thor\.exe$|\\tiworker\.exe$|\\vssadmin\.exe$|\\vssvc\.exe$|\\wsmprovhost\.exe$") AND (command NOT REGEXP "^C:\\\$WinREAgent\\Scratch\\" OR command NOT REGEXP "\\dismhost\.exe \{") AND procName IS NOT NULL AND procName NOT REGEXP "^C:\\Program Files \(x86\)\\|^C:\\Program Files\\"</t>
  </si>
  <si>
    <t xml:space="preserve">command,hostName,loadedProcName,procName</t>
  </si>
  <si>
    <t xml:space="preserve">Detects the image load of vss_ps.dll by uncommon executables. This DLL is used by the Volume Shadow Copy Service (VSS) to manage shadow copies of files and volumes. It is often abused by attackers to delete or manipulate shadow copies, which can hinder forensic investigations and data recovery efforts. The fact that it is loaded by processes that are not typically associated with VSS operations can indicate suspicious activity. . This rule is adapted from https://github.com/SigmaHQ/sigma/blob/master/rules/windows/image_load/image_load_dll_vss_ps_susp_load.yml</t>
  </si>
  <si>
    <t xml:space="preserve">https://filestore.fortinet.com/docs.fortinet.com/fsiem/Public_Resource_Access/7_6_0/rules/PH_RULE_Image_Load_of_VSS_PS_dll_by_Uncommon_Executable.htm</t>
  </si>
  <si>
    <t xml:space="preserve">PH_Rule_SIGMA_2014</t>
  </si>
  <si>
    <t xml:space="preserve">Windows: Suspicious Volume Shadow Copy Vssapi.dll Load</t>
  </si>
  <si>
    <t xml:space="preserve">loadedProcName REGEXP "\\vssapi\.dll$" AND procName NOT IN ("C:\\Windows\\ImmersiveControlPanel\\SystemSettings.exe","C:\\Windows\\explorer.exe") AND procName NOT REGEXP "^C:\\Windows\\SysWOW64\\|^C:\\Windows\\System32\\|^C:\\Windows\\Temp\\\{|^C:\\Windows\\WinSxS\\" AND procName NOT REGEXP "^C:\\Program Files \(x86\)\\|^C:\\Program Files\\" AND procName IS NOT NULL AND procName NOT REGEXP "^C:\\ProgramData\\Package Cache\\" AND (procName NOT REGEXP "\\temp\\is-" OR procName NOT REGEXP "\\avira_system_speedup\.tmp")</t>
  </si>
  <si>
    <t xml:space="preserve">Detects the image load of VSS DLL by uncommon executables. This rule is adapted from https://github.com/SigmaHQ/sigma/blob/master/rules/windows/image_load/image_load_dll_vssapi_susp_load.yml</t>
  </si>
  <si>
    <t xml:space="preserve">https://filestore.fortinet.com/docs.fortinet.com/fsiem/Public_Resource_Access/7_6_0/rules/PH_RULE_Suspicious_Volume_Shadow_Copy_Vssapi_dll_Load.htm</t>
  </si>
  <si>
    <t xml:space="preserve">PH_Rule_SIGMA_1263</t>
  </si>
  <si>
    <t xml:space="preserve">Windows: Time Travel Debugging Utility Usage: Sysmon V1</t>
  </si>
  <si>
    <t xml:space="preserve">loadedProcName REGEXP "\\ttdloader\.dll$|\\ttdrecord\.dll$|\\ttdwriter\.dll$"</t>
  </si>
  <si>
    <t xml:space="preserve">hostName,loadedProcName</t>
  </si>
  <si>
    <t xml:space="preserve">Detects usage of Time Travel Debugging Utility. Time Travel Debugging is a tool that allows you to capture a trace of your process as it executes and then replay it later both forwards and backwards. Adversaries can execute malicious processes and dump processes, such as lsass.exe, via tttracer.exe. This rule is adapted from https://github.com/SigmaHQ/sigma/blob/master/rules/windows/image_load/image_load_dll_tttracer_module_load.yml</t>
  </si>
  <si>
    <t xml:space="preserve">https://filestore.fortinet.com/docs.fortinet.com/fsiem/Public_Resource_Access/7_6_0/rules/PH_RULE_Time_Travel_Debugging_Utility_Usage_SYSMON_V1.htm</t>
  </si>
  <si>
    <t xml:space="preserve">PH_Rule_SIGMA_1406</t>
  </si>
  <si>
    <t xml:space="preserve">Windows: Time Travel Debugging Utility Usage: Sysmon V2</t>
  </si>
  <si>
    <t xml:space="preserve">parentProcName REGEXP "\\tttracer\.exe$"</t>
  </si>
  <si>
    <t xml:space="preserve">Detects usage of Time Travel Debugging Utility. Time Travel Debugging is a tool that allows you to capture a trace of your process as it executes and then replay it later both forwards and backwards. Adversaries can execute dump processes, such as lsass.exe, via tttracer.exe. This rule is adapted from https://github.com/SigmaHQ/sigma/blob/master/rules/windows/process_creation/proc_creation_win_lolbin_tttracer_mod_load.yml</t>
  </si>
  <si>
    <t xml:space="preserve">https://filestore.fortinet.com/docs.fortinet.com/fsiem/Public_Resource_Access/7_6_0/rules/PH_RULE_Time_Travel_Debugging_Utility_Usage_SYSMON_V2.htm</t>
  </si>
  <si>
    <t xml:space="preserve">PH_Rule_SIGMA_311</t>
  </si>
  <si>
    <t xml:space="preserve">Windows: Transferring Files with Credential Data via Network Shares</t>
  </si>
  <si>
    <t xml:space="preserve">T1003.001, T1003.002, T1003.003</t>
  </si>
  <si>
    <t xml:space="preserve">(targetName REGEXP "\\hiberfil|\\lsass|\\mimidrv|\\sqldmpr|\\windows\\minidump\\" OR targetName IN ("Windows\\NTDS\\ntds.dit","Windows\\System32\\config\\SAM","Windows\\System32\\config\\SECURITY","Windows\\System32\\config\\SYSTEM"))</t>
  </si>
  <si>
    <t xml:space="preserve">hostName,targetName</t>
  </si>
  <si>
    <t xml:space="preserve">Transferring files with well-known filenames (sensitive files with credential data) using network shares. This rule is adapted from https://github.com/SigmaHQ/sigma/blob/master/rules/windows/builtin/security/win_security_transf_files_with_cred_data_via_network_shares.yml</t>
  </si>
  <si>
    <t xml:space="preserve">https://filestore.fortinet.com/docs.fortinet.com/fsiem/Public_Resource_Access/7_6_0/rules/PH_RULE_Transfering_Files_with_Credential_Data_via_Network_Shares.htm</t>
  </si>
  <si>
    <t xml:space="preserve">PH_Rule_SIGMA_895</t>
  </si>
  <si>
    <t xml:space="preserve">Windows: Typical HiveNightmare SAM File Export</t>
  </si>
  <si>
    <t xml:space="preserve">(fileName REGEXP ".*\\SAM-2021-.*|.*\\SAM-2022-.*|.*\\SAM-2023-.*|.*\\SAM-haxx.*|.*\\Sam\.save.*|.*\\hive_sam_.*" OR fileName="C:\\windows\\temp\\sam")</t>
  </si>
  <si>
    <t xml:space="preserve">Detects files written by the different tools that exploit HiveNightmare. “HiveNightmare” tracked as CVE-2021-36934 (https://cve.MITRE.org/cgi-bin/cvename.cgi?name=CVE-2021-36934), is an access control list (ACL) flaw. Upon exploitation, non-privileged users may potentially gain access to execute arbitrary code or read sensitive data. Specifically, attackers may leverage this vulnerability to extract registry hive data, including hashed passwords, which can in turn be used to further elevate privilege.This rule is adapted from https://github.com/SigmaHQ/sigma/blob/master/rules/windows/file/file_event/file_event_win_hktl_hivenightmare_file_exports.yml</t>
  </si>
  <si>
    <t xml:space="preserve">https://filestore.fortinet.com/docs.fortinet.com/fsiem/Public_Resource_Access/7_6_0/rules/PH_RULE_Typical_HiveNightmare_SAM_File_Export.htm</t>
  </si>
  <si>
    <t xml:space="preserve">PH_Rule_SIGMA_344</t>
  </si>
  <si>
    <t xml:space="preserve">Windows: Unsigned Image Loaded Into LSASS Process</t>
  </si>
  <si>
    <t xml:space="preserve">procName REGEXP "\\lsass\.exe$" AND authResult="false"</t>
  </si>
  <si>
    <t xml:space="preserve">authResult,hostName,procName</t>
  </si>
  <si>
    <t xml:space="preserve">Detects loading unsigned image (DLL, EXE) into Local Security Authority Subsystem Service (LSASS.exe) process, which manages system-level authentication. This rule is adapted from https://github.com/SigmaHQ/sigma/blob/master/rules/windows/image_load/image_load_lsass_unsigned_image_load.yml</t>
  </si>
  <si>
    <t xml:space="preserve">https://filestore.fortinet.com/docs.fortinet.com/fsiem/Public_Resource_Access/7_6_0/rules/PH_RULE_Unsigned_Image_Loaded_Into_LSASS_Process.htm</t>
  </si>
  <si>
    <t xml:space="preserve">PH_Rule_SIGMA_1355</t>
  </si>
  <si>
    <t xml:space="preserve">Windows: Use of Adplus.exe</t>
  </si>
  <si>
    <t xml:space="preserve">(procName REGEXP "\\adplus\.exe$" OR srcFileName="Adplus.exe") AND command REGEXP ".* -c .*|.* -hang .*|.* -p .*|.* -pmn .*|.* -pn .*|.* -po .*|.* -sc .*"</t>
  </si>
  <si>
    <t xml:space="preserve">Detects the execution of AdPlus.exe binary that is part of the Windows SDK and can be used as a Living-off-the-Land Binaries (LOLBIN) to dump process memory and execute arbitrary commands. LOLBin refers to executables that are a part of the operating system (OS) and can be exploited to support an attack. ADPlus, console-based Visual Basic script, automates the Microsoft debugger to produce and collect memory dumps and log files containing debug information for one or more processes. This rule is adapted from https://github.com/SigmaHQ/sigma/blob/master/rules/windows/process_creation/proc_creation_win_adplus_memory_dump.yml</t>
  </si>
  <si>
    <t xml:space="preserve">https://filestore.fortinet.com/docs.fortinet.com/fsiem/Public_Resource_Access/7_6_0/rules/PH_RULE_Use_of_Adplus_exe.htm</t>
  </si>
  <si>
    <t xml:space="preserve">PH_Rule_SIGMA_1388</t>
  </si>
  <si>
    <t xml:space="preserve">Windows: Use of PktMon.exe</t>
  </si>
  <si>
    <t xml:space="preserve">(procName REGEXP "\\pktmon\.exe$" OR srcFileName="PktMon.exe")</t>
  </si>
  <si>
    <t xml:space="preserve">Detects tools to Capture Network Packets on the windows 10 with October 2018 Update or later. This rule is adapted from https://github.com/SigmaHQ/sigma/blob/master/rules/windows/process_creation/proc_creation_win_pktmon_execution.yml</t>
  </si>
  <si>
    <t xml:space="preserve">https://filestore.fortinet.com/docs.fortinet.com/fsiem/Public_Resource_Access/7_6_0/rules/PH_RULE_Use_of_PktMon_exe.htm</t>
  </si>
  <si>
    <t xml:space="preserve">PH_Rule_SIGMA_707</t>
  </si>
  <si>
    <t xml:space="preserve">Windows: User Added to Local Administrators</t>
  </si>
  <si>
    <t xml:space="preserve">Win-Security-4732</t>
  </si>
  <si>
    <t xml:space="preserve">( groupID = "S-1-5-32-544" OR targetUserGrp REGEXP "^Administr" ) AND user NOT REGEXP "\$$"</t>
  </si>
  <si>
    <t xml:space="preserve">groupID,hostName,user</t>
  </si>
  <si>
    <t xml:space="preserve">Windows Security log: Security 4732</t>
  </si>
  <si>
    <t xml:space="preserve">This rule triggers on user accounts that are added to the local Administrators group, which could be legitimate activity or a sign of privilege escalation activity. This rule is adapted from https://github.com/SigmaHQ/sigma/blob/master/rules/windows/builtin/security/win_security_user_added_to_local_administrators.yml</t>
  </si>
  <si>
    <t xml:space="preserve">https://filestore.fortinet.com/docs.fortinet.com/fsiem/Public_Resource_Access/7_6_0/rules/PH_RULE_User_Added_to_Local_Administrators.htm</t>
  </si>
  <si>
    <t xml:space="preserve">PH_Rule_SIGMA_1519</t>
  </si>
  <si>
    <t xml:space="preserve">Windows: VeeamBackup Database Credentials Dump</t>
  </si>
  <si>
    <t xml:space="preserve">procName REGEXP "\\sqlcmd\.exe$" AND command REGEXP ".*SELECT.*" AND command REGEXP ".*TOP.*" AND command REGEXP ".*\[VeeamBackup\]\.\[dbo\]\.\[Credentials\].*"</t>
  </si>
  <si>
    <t xml:space="preserve">Detects dump of credentials in VeeamBackup dbo. Backup may contain user credenyials. This rule is adapted from https://github.com/SigmaHQ/sigma/blob/master/rules/windows/process_creation/proc_creation_win_sqlcmd_veeam_dump.yml</t>
  </si>
  <si>
    <t xml:space="preserve">https://filestore.fortinet.com/docs.fortinet.com/fsiem/Public_Resource_Access/7_6_0/rules/PH_RULE_VeeamBackup_Database_Credentials_Dump.htm</t>
  </si>
  <si>
    <t xml:space="preserve">PH_Rule_SIGMA_1158</t>
  </si>
  <si>
    <t xml:space="preserve">Windows: Volume Shadow Copy Mount</t>
  </si>
  <si>
    <t xml:space="preserve">Win-System-Microsoft-Windows-Ntfs-98</t>
  </si>
  <si>
    <t xml:space="preserve">hostName REGEXP ".*HarddiskVolumeShadowCopy.*"</t>
  </si>
  <si>
    <t xml:space="preserve">Other Windows log: System</t>
  </si>
  <si>
    <t xml:space="preserve">Detects volume shadow copy mount via windows event log. It is possible to dump all user hashes from the Domain Controller by creating a shadow copy of the C drive using vssadmin. This rule is adapted from https://github.com/SigmaHQ/sigma/blob/master/rules/windows/builtin/system/microsoft_windows_ntfs/win_system_volume_shadow_copy_mount.yml</t>
  </si>
  <si>
    <t xml:space="preserve">https://filestore.fortinet.com/docs.fortinet.com/fsiem/Public_Resource_Access/7_6_0/rules/PH_RULE_Volume_Shadow_Copy_Mount.htm</t>
  </si>
  <si>
    <t xml:space="preserve">PH_Rule_SIGMA_510</t>
  </si>
  <si>
    <t xml:space="preserve">Windows: VolumeShadowCopy Symlink Creation Via Mklink</t>
  </si>
  <si>
    <t xml:space="preserve">command REGEXP ".*mklink.*" AND command REGEXP ".*HarddiskVolumeShadowCopy.*"</t>
  </si>
  <si>
    <t xml:space="preserve">Detects shadow copy storage symbolic link creation using operating systems utilities. It is possible to dump all user hashes from the Domain Controller by creating a shadow copy of the C drive using tools like vssadmin. This rule is adapted from https://github.com/SigmaHQ/sigma/blob/master/rules/windows/process_creation/proc_creation_win_cmd_mklink_shadow_copies_access_symlink.yml</t>
  </si>
  <si>
    <t xml:space="preserve">https://filestore.fortinet.com/docs.fortinet.com/fsiem/Public_Resource_Access/7_6_0/rules/PH_RULE_Shadow_Copies_Access_via_Symlink.htm</t>
  </si>
  <si>
    <t xml:space="preserve">PH_Rule_SIGMA_1223</t>
  </si>
  <si>
    <t xml:space="preserve">Windows: VSSAudit Security Event Source Registration</t>
  </si>
  <si>
    <t xml:space="preserve">Win-Security-4904
Win-Security-4905</t>
  </si>
  <si>
    <t xml:space="preserve">resourceName="VSSAudit"</t>
  </si>
  <si>
    <t xml:space="preserve">hostName,resourceName</t>
  </si>
  <si>
    <t xml:space="preserve">Windows Security log: Security 4904
Windows Security log: Security 4905</t>
  </si>
  <si>
    <t xml:space="preserve">Detects the registration of the security event source VSSAudit. It would usually trigger when volume shadow copy operations happen. It is possible to dump all user hashes from the Domain Controller by creating a shadow copy of the C drive. This rule is adapted from https://github.com/SigmaHQ/sigma/blob/master/rules/windows/builtin/security/win_security_vssaudit_secevent_source_registration.yml</t>
  </si>
  <si>
    <t xml:space="preserve">https://filestore.fortinet.com/docs.fortinet.com/fsiem/Public_Resource_Access/7_6_0/rules/PH_RULE_VSSAudit_Security_Event_Source_Registration.htm</t>
  </si>
  <si>
    <t xml:space="preserve">PH_Rule_SIGMA_272</t>
  </si>
  <si>
    <t xml:space="preserve">Windows: WCE wceaux.dll Access</t>
  </si>
  <si>
    <t xml:space="preserve">Windows Security log, Lateral Movement</t>
  </si>
  <si>
    <t xml:space="preserve">Lateral Movement</t>
  </si>
  <si>
    <t xml:space="preserve">osObjName REGEXP "\\wceaux\.dll$"</t>
  </si>
  <si>
    <t xml:space="preserve">hostName,osObjName</t>
  </si>
  <si>
    <t xml:space="preserve">Detects wceaux.dll access while WCE pass-the-hash remote command execution on source host. This rule is adapted from https://github.com/SigmaHQ/sigma/blob/master/rules/windows/builtin/security/win_security_mal_wceaux_dll.yml</t>
  </si>
  <si>
    <t xml:space="preserve">https://filestore.fortinet.com/docs.fortinet.com/fsiem/Public_Resource_Access/7_6_0/rules/PH_RULE_WCE_wceaux_dll_Access.htm</t>
  </si>
  <si>
    <t xml:space="preserve">PH_Rule_SIGMA_2570</t>
  </si>
  <si>
    <t xml:space="preserve">Windows: Weak or Abused Passwords In CLI</t>
  </si>
  <si>
    <t xml:space="preserve">command REGEXP "123123qwE|123456789|Asd123\.aaaa|Decryptme|P@ssw0rd\!|Pass8080|password123|test@202"</t>
  </si>
  <si>
    <t xml:space="preserve">Detects weak passwords or often abused passwords (seen used by threat actors) via the CLI. An example would be a threat actor creating a new user via the net command and providing the password inline . This rule is adapted from https://github.com/SigmaHQ/sigma/blob/master/rules/windows/process_creation/proc_creation_win_susp_weak_or_abused_passwords.yml</t>
  </si>
  <si>
    <t xml:space="preserve">https://filestore.fortinet.com/docs.fortinet.com/fsiem/Public_Resource_Access/7_6_0/rules/PH_RULE_Weak_or_Abused_Passwords_In_CLI.htm</t>
  </si>
  <si>
    <t xml:space="preserve">PH_Rule_SIGMA_2255</t>
  </si>
  <si>
    <t xml:space="preserve">Windows: WerFault Accessing LSASS</t>
  </si>
  <si>
    <t xml:space="preserve">procName REGEXP "\\WerFault\.exe$" AND targetProcName REGEXP "\\lsass\.exe$" AND accessKeyId="0x1FFFFF"</t>
  </si>
  <si>
    <t xml:space="preserve">Detects process LSASS memory dump using Mimikatz, NanoDump, Invoke-Mimikatz, Procdump or Taskmgr based on the CallTrace pointing to ntdll.dll, dbghelp.dll or dbgcore.dll for win10, server2016 and up. Mimikatz is a open source malware program that is commonly used by hackers and security professionals to extract sensitive information, such as passwords and credentials, from a system's memory. This rule is adapted from https://github.com/SigmaHQ/sigma/blob/master/rules/windows/process_access/proc_access_win_lsass_werfault.yml</t>
  </si>
  <si>
    <t xml:space="preserve">https://filestore.fortinet.com/docs.fortinet.com/fsiem/Public_Resource_Access/7_6_0/rules/PH_RULE_WerFault_Accassing_LSASS.htm</t>
  </si>
  <si>
    <t xml:space="preserve">PH_Rule_SIGMA_1968</t>
  </si>
  <si>
    <t xml:space="preserve">Windows: WerFault LSASS Process Memory Dump</t>
  </si>
  <si>
    <t xml:space="preserve">procName="C:\\WINDOWS\\system32\\WerFault.exe" AND fileName REGEXP ".*\\lsass.*|.*lsass\.exe.*"</t>
  </si>
  <si>
    <t xml:space="preserve">Detects WerFault creating a dump file with a name that indicates that the dump file could be an LSASS process memory, which contains user credentials. This rule is adapted from https://github.com/SigmaHQ/sigma/blob/master/rules/windows/file/file_event/file_event_win_lsass_werfault_dump.yml</t>
  </si>
  <si>
    <t xml:space="preserve">https://filestore.fortinet.com/docs.fortinet.com/fsiem/Public_Resource_Access/7_6_0/rules/PH_RULE_WerFault_LSASS_Process_Memory_Dump.htm</t>
  </si>
  <si>
    <t xml:space="preserve">PH_Rule_SIGMA_652</t>
  </si>
  <si>
    <t xml:space="preserve">Windows: Windows Credential Editor Install Via Registry</t>
  </si>
  <si>
    <t xml:space="preserve">regKeyPath REGEXP ".*Services\\WCESERVICE\\Start.*"</t>
  </si>
  <si>
    <t xml:space="preserve">Detects the use of Windows Credential Editor (WCE). WCE is a security tool to list logon sessions and add, change, list and delete associated credentials (e.g. NTLM hashes, plaintext passwords and Kerberos tickets). It is widely used by security professionals to assess the security of Windows networks via Penetration Testing. This rule is adapted from https://github.com/SigmaHQ/sigma/blob/master/rules/windows/registry/registry_event/registry_event_hack_wce_reg.yml</t>
  </si>
  <si>
    <t xml:space="preserve">https://filestore.fortinet.com/docs.fortinet.com/fsiem/Public_Resource_Access/7_6_0/rules/PH_RULE_Windows_Credential_Editor_Install_Registry.htm</t>
  </si>
  <si>
    <t xml:space="preserve">PH_Rule_SIGMA_1678</t>
  </si>
  <si>
    <t xml:space="preserve">Windows: Windows Credential Manager Access via VaultCmd</t>
  </si>
  <si>
    <t xml:space="preserve">(procName REGEXP "\\VaultCmd\.exe$" OR srcFileName="VAULTCMD.EXE") AND command REGEXP ".*/listcreds:.*"</t>
  </si>
  <si>
    <t xml:space="preserve">List credentials currently stored in Windows Credential Manager via the native Windows utility vaultcmd.exe. Windows Credentials Manager stores your usernames and passwords, as well as other login details. This rule is adapted from https://github.com/SigmaHQ/sigma/blob/master/rules/windows/process_creation/proc_creation_win_vaultcmd_list_creds.yml</t>
  </si>
  <si>
    <t xml:space="preserve">https://filestore.fortinet.com/docs.fortinet.com/fsiem/Public_Resource_Access/7_6_0/rules/PH_RULE_Windows_Credential_Manager_Access_via_VaultCmd.htm</t>
  </si>
  <si>
    <t xml:space="preserve">PH_Rule_SIGMA_164</t>
  </si>
  <si>
    <t xml:space="preserve">Windows: Windows Pcap Drivers</t>
  </si>
  <si>
    <t xml:space="preserve">serviceFileName REGEXP ".*USBPcap.*|.*ndiscap.*|.*nm3.*|.*nmnt.*|.*npcap.*|.*npf.*|.*pcap.*|.*pktmon.*|.*windivert.*"</t>
  </si>
  <si>
    <t xml:space="preserve">Detects Windows Pcap driver installation based on a list of associated .sys files. This driver enables you to capture network traffic which can contain (hashed) credentials. This rule is adapted from https://github.com/SigmaHQ/sigma/blob/master/rules/windows/builtin/security/win_security_pcap_drivers.yml</t>
  </si>
  <si>
    <t xml:space="preserve">https://filestore.fortinet.com/docs.fortinet.com/fsiem/Public_Resource_Access/7_6_0/rules/PH_RULE_Windows_Pcap_Drivers.htm</t>
  </si>
  <si>
    <t xml:space="preserve">PH_Rule_SIGMA_1738</t>
  </si>
  <si>
    <t xml:space="preserve">Windows: XORDump Use</t>
  </si>
  <si>
    <t xml:space="preserve">(procName REGEXP "\\xordump\.exe$" OR command REGEXP ".* -m comsvcs .*|.* -m dbgcore .*|.* -m dbghelp .*|.* -process lsass\.exe .*")</t>
  </si>
  <si>
    <t xml:space="preserve">Detects suspicious use of XORDump.exe process memory dumping utility to collect a dump of the lsass.exe. Local Security Authority Subsystem Service (LSASS.exe), which manages system-level authentication. This rule is adapted from https://github.com/SigmaHQ/sigma/blob/master/rules/windows/process_creation/proc_creation_win_hktl_xordump.yml</t>
  </si>
  <si>
    <t xml:space="preserve">https://filestore.fortinet.com/docs.fortinet.com/fsiem/Public_Resource_Access/7_6_0/rules/PH_RULE_XORDump_Use.htm</t>
  </si>
  <si>
    <t xml:space="preserve">PH_Rule_IPS_ADV_12</t>
  </si>
  <si>
    <t xml:space="preserve">Wireless MITM attack detected by Network IPS</t>
  </si>
  <si>
    <t xml:space="preserve">Group@PH_SYS_EVENT_WirelessMITM</t>
  </si>
  <si>
    <t xml:space="preserve">srcMACAddr</t>
  </si>
  <si>
    <t xml:space="preserve">Event-type group (membership not published): Group@PH_SYS_EVENT_WirelessMITM</t>
  </si>
  <si>
    <t xml:space="preserve">Detects traffic that indicates a man in the middle attack</t>
  </si>
  <si>
    <t xml:space="preserve">https://filestore.fortinet.com/docs.fortinet.com/fsiem/Public_Resource_Access/7_6_0/rules/PH_RULE_WIRELESS_MITM_ATTACK.htm</t>
  </si>
  <si>
    <t xml:space="preserve">PH_RULE_ArubaOS_CX_MultipleUsersDeleted</t>
  </si>
  <si>
    <t xml:space="preserve">ArubaOS-CX: Multiple Users Deleted</t>
  </si>
  <si>
    <t xml:space="preserve">Existing</t>
  </si>
  <si>
    <t xml:space="preserve">Aruba CX Switches via Syslog</t>
  </si>
  <si>
    <t xml:space="preserve">ArubaCx-UserDeleted</t>
  </si>
  <si>
    <t xml:space="preserve">users_deleted</t>
  </si>
  <si>
    <t xml:space="preserve">COUNT(*) &gt;= 2</t>
  </si>
  <si>
    <t xml:space="preserve">Other: ArubaCx-UserDeleted</t>
  </si>
  <si>
    <t xml:space="preserve">Aruba OS CX Switch Platform Reported that an Admin deleted more than two users from the switch in a 15 minute interval.</t>
  </si>
  <si>
    <t xml:space="preserve">https://filestore.fortinet.com/docs.fortinet.com/fsiem/Public_Resource_Access/7_6_0/rules/PH_RULE_ArubaOS_CX_MultipleUsersDeleted.htm</t>
  </si>
  <si>
    <t xml:space="preserve">PH_RULE_ArubaOS_CX_UserAdded</t>
  </si>
  <si>
    <t xml:space="preserve">ArubaOS-CX: User Added</t>
  </si>
  <si>
    <t xml:space="preserve">ArubaCx-UserAdded</t>
  </si>
  <si>
    <t xml:space="preserve">add_user</t>
  </si>
  <si>
    <t xml:space="preserve">role,targetUser,user</t>
  </si>
  <si>
    <t xml:space="preserve">Other: ArubaCx-UserAdded</t>
  </si>
  <si>
    <t xml:space="preserve">Aruba OS CX Switch Platform: User Added</t>
  </si>
  <si>
    <t xml:space="preserve">https://filestore.fortinet.com/docs.fortinet.com/fsiem/Public_Resource_Access/7_6_0/rules/PH_RULE_ArubaOS_CX_UserAdded.htm</t>
  </si>
  <si>
    <t xml:space="preserve">PH_RULE_ArubaOS_CX_UserDeleted</t>
  </si>
  <si>
    <t xml:space="preserve">ArubaOS-CX: User Deleted</t>
  </si>
  <si>
    <t xml:space="preserve">user_deleted</t>
  </si>
  <si>
    <t xml:space="preserve">targetUser,user</t>
  </si>
  <si>
    <t xml:space="preserve">Aruba OS CX Switch Platform User Deleted</t>
  </si>
  <si>
    <t xml:space="preserve">https://filestore.fortinet.com/docs.fortinet.com/fsiem/Public_Resource_Access/7_6_0/rules/PH_RULE_ArubaOS_CX_UserDeleted.htm</t>
  </si>
  <si>
    <t xml:space="preserve">PH_Rule_Scheduled_3</t>
  </si>
  <si>
    <t xml:space="preserve">Attack Kill Chain Completion</t>
  </si>
  <si>
    <t xml:space="preserve">Scheduled Query</t>
  </si>
  <si>
    <t xml:space="preserve">Scheduled</t>
  </si>
  <si>
    <t xml:space="preserve">Suspicious Activity</t>
  </si>
  <si>
    <t xml:space="preserve">Windows Security Log via OMI or Windows Collector</t>
  </si>
  <si>
    <t xml:space="preserve">Execution FOLLOWED_BY FollowOn</t>
  </si>
  <si>
    <t xml:space="preserve">[Execution] phEventCategory IN (1,100) AND attackTactic = "Execution"
[FollowOn] phEventCategory IN (1,100) AND attackTactic IN ("Persistence","Credential Access","Lateral Movement")</t>
  </si>
  <si>
    <t xml:space="preserve">[Execution] hostName
[FollowOn] hostName</t>
  </si>
  <si>
    <t xml:space="preserve">[Execution] 
[FollowOn] </t>
  </si>
  <si>
    <t xml:space="preserve">Execution.hostName = FollowOn.hostName</t>
  </si>
  <si>
    <t xml:space="preserve">Detects that incidents triggered on a host with several Attack Tactics following the Kill Chain: Execution followed by either Persistence, Credential Access, or Lateral Movement</t>
  </si>
  <si>
    <t xml:space="preserve">https://filestore.fortinet.com/docs.fortinet.com/fsiem/Public_Resource_Access/7_6_0/rules/PH_RULE_SCH_ATTACK_CHAIN.htm</t>
  </si>
  <si>
    <t xml:space="preserve">PH_Rule_ES_IMPORT_AWS_27</t>
  </si>
  <si>
    <t xml:space="preserve">AWS EC2 Network Access Control List Created</t>
  </si>
  <si>
    <t xml:space="preserve">AWS-CloudTrail-EC2-CreateNetworkAcl
AWS-CloudTrail-EC2-CreateNetworkAclEntry</t>
  </si>
  <si>
    <t xml:space="preserve">Other: AWS-CloudTrail-EC2-CreateNetworkAcl
Other: AWS-CloudTrail-EC2-CreateNetworkAclEntry</t>
  </si>
  <si>
    <t xml:space="preserve">Identifies the creation of an AWS Elastic Compute Cloud (EC2) network access control list (ACL) or an entry in a network ACL with a specified rule number.</t>
  </si>
  <si>
    <t xml:space="preserve">https://filestore.fortinet.com/docs.fortinet.com/fsiem/Public_Resource_Access/7_6_0/rules/PH_RULE_AWS_EC2_Network_Access_Control_List_Creation.htm</t>
  </si>
  <si>
    <t xml:space="preserve">PH_Rule_ES_IMPORT_AWS_31</t>
  </si>
  <si>
    <t xml:space="preserve">AWS IAM Assume Role Policy Update</t>
  </si>
  <si>
    <t xml:space="preserve">Identifies attempts to modify an AWS IAM Assume Role Policy. An adversary may attempt to modify the AssumeRolePolicy of a misconfigured role in order to gain the privileges of that role.</t>
  </si>
  <si>
    <t xml:space="preserve">https://filestore.fortinet.com/docs.fortinet.com/fsiem/Public_Resource_Access/7_6_0/rules/PH_RULE_AWS_IAM_Assume_Role_Policy_Update.htm</t>
  </si>
  <si>
    <t xml:space="preserve">PH_Rule_ES_IMPORT_AWS_28</t>
  </si>
  <si>
    <t xml:space="preserve">AWS IAM Group Created</t>
  </si>
  <si>
    <t xml:space="preserve">CONTAIN:AWS-CloudTrail-IAM-CreateGroup</t>
  </si>
  <si>
    <t xml:space="preserve">Other: AWS-CloudTrail-IAM-CreateGroup</t>
  </si>
  <si>
    <t xml:space="preserve">Identifies the creation of a group in AWS Identity and Access Management (IAM). Groups specify permissions for multiple users. Any user in a group automatically has the permissions that are assigned to the group.</t>
  </si>
  <si>
    <t xml:space="preserve">https://filestore.fortinet.com/docs.fortinet.com/fsiem/Public_Resource_Access/7_6_0/rules/PH_RULE_AWS_IAM_Group_Creation.htm</t>
  </si>
  <si>
    <t xml:space="preserve">PH_Rule_ES_IMPORT_AWS_22</t>
  </si>
  <si>
    <t xml:space="preserve">AWS IAM Group Deleted</t>
  </si>
  <si>
    <t xml:space="preserve">CONTAIN:AWS-CloudTrail-IAM-DeleteGroup</t>
  </si>
  <si>
    <t xml:space="preserve">Other: AWS-CloudTrail-IAM-DeleteGroup</t>
  </si>
  <si>
    <t xml:space="preserve">Identifies the deletion of a specified AWS Identity and Access Management (IAM) resource group. Deleting a resource group does not delete resources that are members of the group; it only deletes the group structure.</t>
  </si>
  <si>
    <t xml:space="preserve">https://filestore.fortinet.com/docs.fortinet.com/fsiem/Public_Resource_Access/7_6_0/rules/PH_RULE_AWS_IAM_Group_Deletion.htm</t>
  </si>
  <si>
    <t xml:space="preserve">PH_Rule_ES_IMPORT_AWS_2</t>
  </si>
  <si>
    <t xml:space="preserve">AWS IAM User Added to Group</t>
  </si>
  <si>
    <t xml:space="preserve">CONTAIN:AWS-CloudTrail-IAM-AddUserToGroup</t>
  </si>
  <si>
    <t xml:space="preserve">accountId,user,targetUser,targetUserGrp</t>
  </si>
  <si>
    <t xml:space="preserve">Other: AWS-CloudTrail-IAM-AddUserToGroup</t>
  </si>
  <si>
    <t xml:space="preserve">Identifies the addition of a user to a specified group in AWS Identity and Access Management (IAM).</t>
  </si>
  <si>
    <t xml:space="preserve">https://filestore.fortinet.com/docs.fortinet.com/fsiem/Public_Resource_Access/7_6_0/rules/PH_RULE_AWS_IAM_User_Addition_to_Group.htm</t>
  </si>
  <si>
    <t xml:space="preserve">PH_Rule_ES_IMPORT_AWS_25</t>
  </si>
  <si>
    <t xml:space="preserve">AWS Management Console Root Login</t>
  </si>
  <si>
    <t xml:space="preserve">identityType = "Root"</t>
  </si>
  <si>
    <t xml:space="preserve">Identifies a successful login to the AWS Management Console by the Root user.</t>
  </si>
  <si>
    <t xml:space="preserve">https://filestore.fortinet.com/docs.fortinet.com/fsiem/Public_Resource_Access/7_6_0/rules/PH_RULE_AWS_Management_Console_Root_Login.htm</t>
  </si>
  <si>
    <t xml:space="preserve">PH_Rule_ES_IMPORT_AZURE_13</t>
  </si>
  <si>
    <t xml:space="preserve">Azure Automation Account Created</t>
  </si>
  <si>
    <t xml:space="preserve">MS_EvtHub_automation_automationaccounts_write</t>
  </si>
  <si>
    <t xml:space="preserve">user,targetUser</t>
  </si>
  <si>
    <t xml:space="preserve">Other: MS_EvtHub_automation_automationaccounts_write</t>
  </si>
  <si>
    <t xml:space="preserve">Identifies when an Azure Automation account is created. Azure Automation accounts can be used to automate management tasks and orchestrate actions across systems. An adversary may create an Automation account in order to maintain persistence in their target's environment.</t>
  </si>
  <si>
    <t xml:space="preserve">https://filestore.fortinet.com/docs.fortinet.com/fsiem/Public_Resource_Access/7_6_0/rules/PH_RULE_Azure_Automation_Account_Created.htm</t>
  </si>
  <si>
    <t xml:space="preserve">PH_Rule_ES_IMPORT_AZURE_16</t>
  </si>
  <si>
    <t xml:space="preserve">Azure Conditional Access Policy Modified</t>
  </si>
  <si>
    <t xml:space="preserve">MS_EvtHub_update_policy</t>
  </si>
  <si>
    <t xml:space="preserve">Other: MS_EvtHub_update_policy</t>
  </si>
  <si>
    <t xml:space="preserve">Identifies when an Azure Conditional Access policy is modified. Azure Conditional Access policies control access to resources via if-then statements. For example, if a user wants to access a resource, then they must complete an action such as using multi-factor authentication to access it. An adversary may modify a Conditional Access policy in order to weaken their target's security controls.</t>
  </si>
  <si>
    <t xml:space="preserve">https://filestore.fortinet.com/docs.fortinet.com/fsiem/Public_Resource_Access/7_6_0/rules/PH_RULE_Azure_Conditional_Access_Policy_Modified.htm</t>
  </si>
  <si>
    <t xml:space="preserve">PH_Rule_ES_IMPORT_AZURE_0</t>
  </si>
  <si>
    <t xml:space="preserve">Azure Event Hub Authorization Rule Created or Updated</t>
  </si>
  <si>
    <t xml:space="preserve">MS_EvtHub_eventhub_namespaces_authorizationrules_write</t>
  </si>
  <si>
    <t xml:space="preserve">Other: MS_EvtHub_eventhub_namespaces_authorizationrules_write</t>
  </si>
  <si>
    <t xml:space="preserve">Identifies Event Hub Authorization Rule creation or update in Azure. An authorization rule is associated with specific rights, and carries a pair of cryptographic keys. When you create an Event Hubs namespace, a policy rule named RootManageSharedAccessKey is created for the namespace. This has manage permissions for the entire namespace and it's recommended that you treat this rule like an administrative root account and don't use it in your application.</t>
  </si>
  <si>
    <t xml:space="preserve">https://filestore.fortinet.com/docs.fortinet.com/fsiem/Public_Resource_Access/7_6_0/rules/PH_RULE_Azure_Event_Hub_Authorization_Rule_Created_or_Updated.htm</t>
  </si>
  <si>
    <t xml:space="preserve">PH_Rule_ES_IMPORT_AZURE_12</t>
  </si>
  <si>
    <t xml:space="preserve">Azure External Guest User Invitation</t>
  </si>
  <si>
    <t xml:space="preserve">MS_EvtHub_invite_external_user</t>
  </si>
  <si>
    <t xml:space="preserve">srcName = "guest"</t>
  </si>
  <si>
    <t xml:space="preserve">srcName,user</t>
  </si>
  <si>
    <t xml:space="preserve">Other: MS_EvtHub_invite_external_user</t>
  </si>
  <si>
    <t xml:space="preserve">Identifies an invitation to an external user in Azure Active Directory (AD). Azure AD is extended to include collaboration, allowing you to invite people from outside your organization to be guest users in your cloud account. Unless there is a business need to provision guest access, it is best practice avoid creating guest users. Guest users could potentially be overlooked indefinitely leading to a potential vulnerability.</t>
  </si>
  <si>
    <t xml:space="preserve">https://filestore.fortinet.com/docs.fortinet.com/fsiem/Public_Resource_Access/7_6_0/rules/PH_RULE_Azure_External_Guest_User_Invitation.htm</t>
  </si>
  <si>
    <t xml:space="preserve">PH_Rule_ES_IMPORT_AZURE_18</t>
  </si>
  <si>
    <t xml:space="preserve">Azure Privilege Identity Management Role Modified</t>
  </si>
  <si>
    <t xml:space="preserve">MS_EvtHub_update_role_setting_in_pim</t>
  </si>
  <si>
    <t xml:space="preserve">Other: MS_EvtHub_update_role_setting_in_pim</t>
  </si>
  <si>
    <t xml:space="preserve">Azure Active Directory (AD) Privileged Identity Management (PIM) is a service that enables you to manage, control, and monitor access to important resources in an organization. PIM can be used to manage the built-in Azure resource roles such as Global Administrator and Application Administrator. An adversary may add a user to a PIM role in order to maintain persistence in their target's environment or modify a PIM role to weaken their target's security controls.</t>
  </si>
  <si>
    <t xml:space="preserve">https://filestore.fortinet.com/docs.fortinet.com/fsiem/Public_Resource_Access/7_6_0/rules/PH_RULE_Azure_Privilege_Identity_Management_Role_Modified.htm</t>
  </si>
  <si>
    <t xml:space="preserve">PH_Rule_Access_64</t>
  </si>
  <si>
    <t xml:space="preserve">Concurrent Failed Authentications To Same Account From Multiple Cities of the same Country</t>
  </si>
  <si>
    <t xml:space="preserve">MultiCityLogon</t>
  </si>
  <si>
    <t xml:space="preserve">user IS NOT NULL AND srcGeoCity IS NOT NULL</t>
  </si>
  <si>
    <t xml:space="preserve">reptDevName,reptDevIpAddr,user,srcGeoCountry</t>
  </si>
  <si>
    <t xml:space="preserve">COUNT (DISTINCT srcGeoCity) &gt;= 2</t>
  </si>
  <si>
    <t xml:space="preserve">Detects simultaneous failed authentications to the same system and the same account from different cities. This may indicate stolen credentials unless it is an administrative account and is supposed to be accessed by administrators from multiple cities.</t>
  </si>
  <si>
    <t xml:space="preserve">https://filestore.fortinet.com/docs.fortinet.com/fsiem/Public_Resource_Access/7_6_0/rules/PH_RULE_CONCURRENT_FAILED_AUTH_MULTI_CITY.htm</t>
  </si>
  <si>
    <t xml:space="preserve">PH_Rule_Access_62</t>
  </si>
  <si>
    <t xml:space="preserve">Concurrent Successful Authentications To Same Account From Multiple Cities of the same Country</t>
  </si>
  <si>
    <t xml:space="preserve">COUNT(DISTINCT srcGeoCity) &gt;= 2</t>
  </si>
  <si>
    <t xml:space="preserve">Detects simultaneous successful server/network device/domain authentications to the same system and the same account from different cities. This may indicate stolen credentials unless it is an administrative account and is supposed to be accessed by administrators from multiple cities.</t>
  </si>
  <si>
    <t xml:space="preserve">https://filestore.fortinet.com/docs.fortinet.com/fsiem/Public_Resource_Access/7_6_0/rules/PH_RULE_CONCURRENT_SUCCESS_AUTH_MULTI_CITY.htm</t>
  </si>
  <si>
    <t xml:space="preserve">PH_RULE_Crowd_CorrRuleDetectionSummEvent</t>
  </si>
  <si>
    <t xml:space="preserve">Crowdstrike: Correlation Rule Detection Summary Event Triggered</t>
  </si>
  <si>
    <t xml:space="preserve">New in 7.6.0 (not ITDR)</t>
  </si>
  <si>
    <t xml:space="preserve">Crowdstrike via FALCON_STREAMING_API</t>
  </si>
  <si>
    <t xml:space="preserve">Crowdstrike-Falcon-CorrelationRuleDetectionSummaryEvent</t>
  </si>
  <si>
    <t xml:space="preserve">detection</t>
  </si>
  <si>
    <t xml:space="preserve">compRuleName,hostNameList,userList,srcIpAddrList,destIpAddrList,srcNameList,destNameList,infoURL</t>
  </si>
  <si>
    <t xml:space="preserve">Other: Crowdstrike-Falcon-CorrelationRuleDetectionSummaryEvent</t>
  </si>
  <si>
    <t xml:space="preserve">This rule triggers when a Crowdstrike Correlation rule detection summary event is received. It aggregates by the Crowdstrike rule name, and several indicator lists such as source ip list, dest ip list, hostnames that were aggregated in the correlation.</t>
  </si>
  <si>
    <t xml:space="preserve">https://filestore.fortinet.com/docs.fortinet.com/fsiem/Public_Resource_Access/7_6_0/rules/PH_RULE_Crowd_CorrRuleDetectionSummEvent.htm</t>
  </si>
  <si>
    <t xml:space="preserve">PH_RULE_Crowd_FCS_DetectionSummaryEvent</t>
  </si>
  <si>
    <t xml:space="preserve">Crowdstrike: FCS Cloud Detection Summary Event Triggered</t>
  </si>
  <si>
    <t xml:space="preserve">Crowdstrike-Falcon-FcsIoaDetectionSummaryEvent</t>
  </si>
  <si>
    <t xml:space="preserve">detection,user,srcIpAddr,infoURL</t>
  </si>
  <si>
    <t xml:space="preserve">Other: Crowdstrike-Falcon-FcsIoaDetectionSummaryEvent</t>
  </si>
  <si>
    <t xml:space="preserve">This rule triggers when a Crowdstrike FCS (Falcon Cloud Security) Detection Summary Event is received. It aggregates by the detection name, user, and source indicators.</t>
  </si>
  <si>
    <t xml:space="preserve">https://filestore.fortinet.com/docs.fortinet.com/fsiem/Public_Resource_Access/7_6_0/rules/PH_RULE_Crowd_FCS_DetectionSummaryEvent.htm</t>
  </si>
  <si>
    <t xml:space="preserve">PH_RULE_Crowd_IdentityProtectionEvent</t>
  </si>
  <si>
    <t xml:space="preserve">Crowdstrike: Identity Protection Event Triggered</t>
  </si>
  <si>
    <t xml:space="preserve">Crowdstrike-Falcon-IdentityProtectionEvent</t>
  </si>
  <si>
    <t xml:space="preserve">detection,user,hostName,infoURL</t>
  </si>
  <si>
    <t xml:space="preserve">Other: Crowdstrike-Falcon-IdentityProtectionEvent</t>
  </si>
  <si>
    <t xml:space="preserve">This rule triggers when a Crowdstrike identity protection event is received. It aggregates by the Crowdstrike incidentType (detection), user, and hostName</t>
  </si>
  <si>
    <t xml:space="preserve">https://filestore.fortinet.com/docs.fortinet.com/fsiem/Public_Resource_Access/7_6_0/rules/PH_RULE_Crowd_IdentityProtectionEvent.htm</t>
  </si>
  <si>
    <t xml:space="preserve">PH_RULE_Crowd_IDP_Detections_Trigger</t>
  </si>
  <si>
    <t xml:space="preserve">Crowdstrike: IDP Detection Summary Event Triggered</t>
  </si>
  <si>
    <t xml:space="preserve">Crowdstrike-Falcon-IdpDetectionSummaryEvent</t>
  </si>
  <si>
    <t xml:space="preserve">detection,user,hostName,srcIpAddr,infoURL</t>
  </si>
  <si>
    <t xml:space="preserve">Other: Crowdstrike-Falcon-IdpDetectionSummaryEvent</t>
  </si>
  <si>
    <t xml:space="preserve">This rule triggers when a Crowdstrike IDP (Identity Protection) Detection Summary Event is received. It aggregates by the detection name, user, host, and source indicators.</t>
  </si>
  <si>
    <t xml:space="preserve">https://filestore.fortinet.com/docs.fortinet.com/fsiem/Public_Resource_Access/7_6_0/rules/PH_RULE_Crowd_IDP_Detections_Trigger.htm</t>
  </si>
  <si>
    <t xml:space="preserve">PH_Rule_Change_19</t>
  </si>
  <si>
    <t xml:space="preserve">Database user or group changes</t>
  </si>
  <si>
    <t xml:space="preserve">CONTAIN:user
Group@PH_SYS_EVENT_DatabaseChange</t>
  </si>
  <si>
    <t xml:space="preserve">DBUser</t>
  </si>
  <si>
    <t xml:space="preserve">reptDevName,reptDevIpAddr,user,eventType</t>
  </si>
  <si>
    <t xml:space="preserve">Event-type group (membership not published): Group@PH_SYS_EVENT_DatabaseChange
Other: user</t>
  </si>
  <si>
    <t xml:space="preserve">Detects database user or group changes</t>
  </si>
  <si>
    <t xml:space="preserve">https://filestore.fortinet.com/docs.fortinet.com/fsiem/Public_Resource_Access/7_6_0/rules/PH_RULE_CHANGE_DB_USER.htm</t>
  </si>
  <si>
    <t xml:space="preserve">PH_Rule_Access_52</t>
  </si>
  <si>
    <t xml:space="preserve">Disabled Windows Account Logon Attempts</t>
  </si>
  <si>
    <t xml:space="preserve">Win-Security-4625
Win-Security-531</t>
  </si>
  <si>
    <t xml:space="preserve">DisabledAcctLogin</t>
  </si>
  <si>
    <t xml:space="preserve">( winLogonFailCode2 CONTAIN "0xC0000072" )</t>
  </si>
  <si>
    <t xml:space="preserve">Other Windows log: Security
Windows Security log: Security 4625</t>
  </si>
  <si>
    <t xml:space="preserve">Detects logon attempts to disabled accounts</t>
  </si>
  <si>
    <t xml:space="preserve">https://filestore.fortinet.com/docs.fortinet.com/fsiem/Public_Resource_Access/7_6_0/rules/PH_RULE_DISABLED_ACCOUNT_ACCESS.htm</t>
  </si>
  <si>
    <t xml:space="preserve">PH_Rule_Avail_65</t>
  </si>
  <si>
    <t xml:space="preserve">Excessive Destination Windows DC Replication Failure</t>
  </si>
  <si>
    <t xml:space="preserve">Availability</t>
  </si>
  <si>
    <t xml:space="preserve">Domain Controller</t>
  </si>
  <si>
    <t xml:space="preserve">PH_DEV_MON_DST_AD_REPL_STAT</t>
  </si>
  <si>
    <t xml:space="preserve">Down</t>
  </si>
  <si>
    <t xml:space="preserve">destName,hostName</t>
  </si>
  <si>
    <t xml:space="preserve">COUNT(*) &gt;= 1 AND AVG(failurePct) &gt; 30</t>
  </si>
  <si>
    <t xml:space="preserve">Other: PH_DEV_MON_DST_AD_REPL_STAT</t>
  </si>
  <si>
    <t xml:space="preserve">Detects that a specific Domain Controller is failing to replicate to a destination Windows Domain Controller</t>
  </si>
  <si>
    <t xml:space="preserve">https://filestore.fortinet.com/docs.fortinet.com/fsiem/Public_Resource_Access/7_6_0/rules/PH_RULE_DEST_DC_REPL_FAILURE.htm</t>
  </si>
  <si>
    <t xml:space="preserve">PH_RULE_RANSOMWARE_DETECTED</t>
  </si>
  <si>
    <t xml:space="preserve">Excessive file changes on a host: Potential Ransomware</t>
  </si>
  <si>
    <t xml:space="preserve">T1486</t>
  </si>
  <si>
    <t xml:space="preserve">FINS-Windows-file-read
FINS-Windows-file-renamed
FINS-Windows-file-written
Win-Security-4656</t>
  </si>
  <si>
    <t xml:space="preserve">(((fileName NOT CONTAIN ".exe" AND fileName NOT CONTAIN ".dll" AND fileName NOT CONTAIN ".cdf-ms" AND filePath NOT REGEXP "^(?i:c:\\\$extend\\\$deleted)")) OR ((osObjName NOT CONTAIN ".exe" AND osObjName NOT CONTAIN ".dll" AND osObjName NOT CONTAIN ".cdf-ms" AND osObjName NOT REGEXP "^(?i:C:\\Windows)" AND osObjName NOT REGEXP "^(?i:c:\\\$extend\\\$deleted)"))) AND (shortProcName NOT IN ("vcpkg.exe","7z.exe", "7za", "7za.exe", "7zfm.exe", "7zg.exe", "bunzip", "bunzip2", "bzip", "bzip2", "gunzip", "gzip", "peazip.exe", "rar.exe", "tar", "tar.exe", "winrar.exe", "winzip.exe", "zip.exe", "sihost.exe", "photosapp.exe", "vcpkgsrv.exe", "cl.exe", "cppwinrt.exe", "cmake.exe", "perl.exe", "code.exe", "rg.exe"))</t>
  </si>
  <si>
    <t xml:space="preserve">hostName,reptDevIpAddr,shortProcName</t>
  </si>
  <si>
    <t xml:space="preserve">COUNT(DISTINCT fileName) &gt;= 1000 OR COUNT(DISTINCT osObjName) &gt;= 1000</t>
  </si>
  <si>
    <t xml:space="preserve">Other: FINS-Windows-file-written
Other: FINS-Windows-file-read
Other: FINS-Windows-file-renamed
Windows Security log: Security 4656</t>
  </si>
  <si>
    <t xml:space="preserve">Identifies excessive non-executable file changes by the same process on a Windows host. Requires Windows Security logs or Windows Collector to be running on the host.</t>
  </si>
  <si>
    <t xml:space="preserve">https://filestore.fortinet.com/docs.fortinet.com/fsiem/Public_Resource_Access/7_6_0/rules/PH_RULE_RANSOMWARE_DETECTED.htm</t>
  </si>
  <si>
    <t xml:space="preserve">PH_Rule_Avail_64</t>
  </si>
  <si>
    <t xml:space="preserve">Excessive Source Windows DC Replication Failure</t>
  </si>
  <si>
    <t xml:space="preserve">PH_DEV_MON_SRC_AD_REPL_STAT</t>
  </si>
  <si>
    <t xml:space="preserve">srcName,hostName</t>
  </si>
  <si>
    <t xml:space="preserve">Other: PH_DEV_MON_SRC_AD_REPL_STAT</t>
  </si>
  <si>
    <t xml:space="preserve">https://filestore.fortinet.com/docs.fortinet.com/fsiem/Public_Resource_Access/7_6_0/rules/PH_RULE_SRC_DC_REPL_FAILURE.htm</t>
  </si>
  <si>
    <t xml:space="preserve">PH_Rule_Access_60</t>
  </si>
  <si>
    <t xml:space="preserve">Failed Account Activity On Prior Disabled Account</t>
  </si>
  <si>
    <t xml:space="preserve">Active Directory, Windows Security log, Credential Access, Privilege/account change, Identity event group</t>
  </si>
  <si>
    <t xml:space="preserve">Group@PH_SYS_EVENT_DomainLogonFailure
Group@PH_SYS_EVENT_HostLogonFailure
Win-Security-4725
Win-Security-629</t>
  </si>
  <si>
    <t xml:space="preserve">AcctDisabled FOLLOWED_BY FailedLogin</t>
  </si>
  <si>
    <t xml:space="preserve">[AcctDisabled] —
[FailedLogin] —</t>
  </si>
  <si>
    <t xml:space="preserve">[AcctDisabled] reptDevName,reptDevIpAddr,targetUser,computer
[FailedLogin] reptDevIpAddr,user,computer</t>
  </si>
  <si>
    <t xml:space="preserve">[AcctDisabled] COUNT (*) &gt;= 1
[FailedLogin] COUNT (*) &gt;= 1</t>
  </si>
  <si>
    <t xml:space="preserve">AcctDisabled.reptDevIpAddr = FailedLogin.reptDevIpAddr AND AcctDisabled.targetUser = FailedLogin.user</t>
  </si>
  <si>
    <t xml:space="preserve">Other Windows log: Security
Windows Security log: Security 4725
Event-type group (membership not published): Group@PH_SYS_EVENT_HostLogonFailure
Event-type group (membership not published): Group@PH_SYS_EVENT_DomainLogonFailure</t>
  </si>
  <si>
    <t xml:space="preserve">Detects failed account activity to a recently disabled account</t>
  </si>
  <si>
    <t xml:space="preserve">https://filestore.fortinet.com/docs.fortinet.com/fsiem/Public_Resource_Access/7_6_0/rules/PH_RULE_FAILED_ACTIVITY_ON_DISABLED_ACCT.htm</t>
  </si>
  <si>
    <t xml:space="preserve">PH_Rule_Avail_63</t>
  </si>
  <si>
    <t xml:space="preserve">Failed Windows DC Diagnostic Test</t>
  </si>
  <si>
    <t xml:space="preserve">PH_DEV_MON_DCDIAG</t>
  </si>
  <si>
    <t xml:space="preserve">testResult = "failed"</t>
  </si>
  <si>
    <t xml:space="preserve">hostName,testName</t>
  </si>
  <si>
    <t xml:space="preserve">Other: PH_DEV_MON_DCDIAG</t>
  </si>
  <si>
    <t xml:space="preserve">Detects that a specific Windows Domain Controller Diagnostic test failed</t>
  </si>
  <si>
    <t xml:space="preserve">https://filestore.fortinet.com/docs.fortinet.com/fsiem/Public_Resource_Access/7_6_0/rules/PH_RULE_DC_DIAG_FAILURE.htm</t>
  </si>
  <si>
    <t xml:space="preserve">PH_Rule_Change_16</t>
  </si>
  <si>
    <t xml:space="preserve">FIM: Audited file or directory ownership or permission changed</t>
  </si>
  <si>
    <t xml:space="preserve">T1222.002, T1565.001</t>
  </si>
  <si>
    <t xml:space="preserve">Any Device Agentless FIM via SSH</t>
  </si>
  <si>
    <t xml:space="preserve">PH_DEV_MON_CUST_FILE_CHANGE_ATTRIB</t>
  </si>
  <si>
    <t xml:space="preserve">FileChange</t>
  </si>
  <si>
    <t xml:space="preserve">hostName,fileName,user,userGrp,fileAccess,preUser,preUserGrp,preFileAccess</t>
  </si>
  <si>
    <t xml:space="preserve">Other: PH_DEV_MON_CUST_FILE_CHANGE_ATTRIB</t>
  </si>
  <si>
    <t xml:space="preserve">FortiSIEM agentless file monitoring detected that a file or a directory ownership or permission changed</t>
  </si>
  <si>
    <t xml:space="preserve">https://filestore.fortinet.com/docs.fortinet.com/fsiem/Public_Resource_Access/7_6_0/rules/PH_RULE_CUST_FILE_PERM_OWN_CHANGE.htm</t>
  </si>
  <si>
    <t xml:space="preserve">PH_RULE_FGT_Admin_User_Added</t>
  </si>
  <si>
    <t xml:space="preserve">FortiGate: Admin User Added</t>
  </si>
  <si>
    <t xml:space="preserve">FortiGate via Syslog</t>
  </si>
  <si>
    <t xml:space="preserve">FortiGate-event-admin-add</t>
  </si>
  <si>
    <t xml:space="preserve">user_add</t>
  </si>
  <si>
    <t xml:space="preserve">srcIpAddr, srcGeoCountry, destName, user, targetUser</t>
  </si>
  <si>
    <t xml:space="preserve">Other: FortiGate-event-admin-add</t>
  </si>
  <si>
    <t xml:space="preserve">FortiOS Admin has created a new admin user account. This triggers due to account creations under System Administrators tab.</t>
  </si>
  <si>
    <t xml:space="preserve">https://filestore.fortinet.com/docs.fortinet.com/fsiem/Public_Resource_Access/7_6_0/rules/PH_RULE_FGT_Admin_User_Added.htm</t>
  </si>
  <si>
    <t xml:space="preserve">PH_RULE_FGT_Admin_User_Added_Console</t>
  </si>
  <si>
    <t xml:space="preserve">FortiGate: Admin User Added via Console</t>
  </si>
  <si>
    <t xml:space="preserve">srcIpAddr IS NULL AND loginType="console"</t>
  </si>
  <si>
    <t xml:space="preserve">user, targetUser, reptDevIpAddr</t>
  </si>
  <si>
    <t xml:space="preserve">FortiOS Admin has created a new admin user account via console. This triggers due to account creations via console session</t>
  </si>
  <si>
    <t xml:space="preserve">https://filestore.fortinet.com/docs.fortinet.com/fsiem/Public_Resource_Access/7_6_0/rules/PH_RULE_FGT_Admin_User_Added_Console.htm</t>
  </si>
  <si>
    <t xml:space="preserve">PH_RULE_FGT_Admin_User_Deleted</t>
  </si>
  <si>
    <t xml:space="preserve">FortiGate: Admin User Deleted</t>
  </si>
  <si>
    <t xml:space="preserve">FortiGate-event-admin-delete</t>
  </si>
  <si>
    <t xml:space="preserve">user_delete</t>
  </si>
  <si>
    <t xml:space="preserve">Other: FortiGate-event-admin-delete</t>
  </si>
  <si>
    <t xml:space="preserve">FortiOS Admin has deleted an admin user account. This triggers due to account deletions under System Administrators tab.</t>
  </si>
  <si>
    <t xml:space="preserve">https://filestore.fortinet.com/docs.fortinet.com/fsiem/Public_Resource_Access/7_6_0/rules/PH_RULE_FGT_Admin_User_Deleted.htm</t>
  </si>
  <si>
    <t xml:space="preserve">PH_RULE_FGT_Admin_User_Deleted_Console</t>
  </si>
  <si>
    <t xml:space="preserve">FortiGate: Admin User Deleted via Console</t>
  </si>
  <si>
    <t xml:space="preserve">user, targetUser,reptDevIpAddr</t>
  </si>
  <si>
    <t xml:space="preserve">FortiOS Admin has deleted an admin user account via console. This triggers due to account deletions via console session</t>
  </si>
  <si>
    <t xml:space="preserve">https://filestore.fortinet.com/docs.fortinet.com/fsiem/Public_Resource_Access/7_6_0/rules/PH_RULE_FGT_Admin_User_Deleted_Console.htm</t>
  </si>
  <si>
    <t xml:space="preserve">PH_Rule_Change_13</t>
  </si>
  <si>
    <t xml:space="preserve">FortiSIEM User Created</t>
  </si>
  <si>
    <t xml:space="preserve">FortiSIEM Self Monitoring</t>
  </si>
  <si>
    <t xml:space="preserve">PH_AUDIT_USER_ADDED</t>
  </si>
  <si>
    <t xml:space="preserve">Created</t>
  </si>
  <si>
    <t xml:space="preserve">user,domain,targetUser,targetDomain,reptDevName</t>
  </si>
  <si>
    <t xml:space="preserve">COUNT (*)&gt;= 1</t>
  </si>
  <si>
    <t xml:space="preserve">Other: PH_AUDIT_USER_ADDED</t>
  </si>
  <si>
    <t xml:space="preserve">A FortiSIEM user is created</t>
  </si>
  <si>
    <t xml:space="preserve">https://filestore.fortinet.com/docs.fortinet.com/fsiem/Public_Resource_Access/7_6_0/rules/PH_RULE_SYS_USER_CREATED.htm</t>
  </si>
  <si>
    <t xml:space="preserve">PH_RULE_GCP_AUDIT_IAM_CUSTOM_ROLE_CREATED</t>
  </si>
  <si>
    <t xml:space="preserve">GCP: IAM Custom Role Created</t>
  </si>
  <si>
    <t xml:space="preserve">Google GCP via GOOGLE_Pub_Sub</t>
  </si>
  <si>
    <t xml:space="preserve">GCP_Audit_activity_CreateRole</t>
  </si>
  <si>
    <t xml:space="preserve">role</t>
  </si>
  <si>
    <t xml:space="preserve">emailId,role</t>
  </si>
  <si>
    <t xml:space="preserve">Other: GCP_Audit_activity_CreateRole</t>
  </si>
  <si>
    <t xml:space="preserve">Google Cloud Platform: A Custom IAM Role was created</t>
  </si>
  <si>
    <t xml:space="preserve">https://filestore.fortinet.com/docs.fortinet.com/fsiem/Public_Resource_Access/7_6_0/rules/PH_RULE_GCP_AUDIT_IAM_CUSTOM_ROLE_CREATED.htm</t>
  </si>
  <si>
    <t xml:space="preserve">PH_RULE_GCP_AUDIT_IAM_CUSTOM_ROLE_DELETED</t>
  </si>
  <si>
    <t xml:space="preserve">GCP: IAM Custom Role Deleted</t>
  </si>
  <si>
    <t xml:space="preserve">GCP_Audit_activity_DeleteRole</t>
  </si>
  <si>
    <t xml:space="preserve">Other: GCP_Audit_activity_DeleteRole</t>
  </si>
  <si>
    <t xml:space="preserve">Google Cloud Platform: A Custom IAM Role was deleted</t>
  </si>
  <si>
    <t xml:space="preserve">https://filestore.fortinet.com/docs.fortinet.com/fsiem/Public_Resource_Access/7_6_0/rules/PH_RULE_GCP_AUDIT_IAM_CUSTOM_ROLE_DELETED.htm</t>
  </si>
  <si>
    <t xml:space="preserve">PH_RULE_GCP_AUDIT_IAM_ROLE_ASSIGNED</t>
  </si>
  <si>
    <t xml:space="preserve">GCP: IAM Member assigned role of type admin or owner</t>
  </si>
  <si>
    <t xml:space="preserve">GCP_Audit_activity_SetIamPolicy_ADD</t>
  </si>
  <si>
    <t xml:space="preserve">role_change</t>
  </si>
  <si>
    <t xml:space="preserve">( role CONTAIN "Admin" OR role = "roles/owner" )</t>
  </si>
  <si>
    <t xml:space="preserve">targetUser,role,emailId</t>
  </si>
  <si>
    <t xml:space="preserve">Other: GCP_Audit_activity_SetIamPolicy_ADD</t>
  </si>
  <si>
    <t xml:space="preserve">Google Cloud Platform: A member is assigned the Admin role. This can be in addition to or in replacement of existing roles.</t>
  </si>
  <si>
    <t xml:space="preserve">https://filestore.fortinet.com/docs.fortinet.com/fsiem/Public_Resource_Access/7_6_0/rules/PH_RULE_GCP_AUDIT_IAM_ROLE_ASSIGNED.htm</t>
  </si>
  <si>
    <t xml:space="preserve">PH_RULE_GCP_AUDIT_SERVICE_ACCOUNT_KEY_CREATE</t>
  </si>
  <si>
    <t xml:space="preserve">GCP: Service Account Access Key Created</t>
  </si>
  <si>
    <t xml:space="preserve">GCP_Audit_activity_CreateServiceAccountKey</t>
  </si>
  <si>
    <t xml:space="preserve">key_create</t>
  </si>
  <si>
    <t xml:space="preserve">targetUser,emailId</t>
  </si>
  <si>
    <t xml:space="preserve">Other: GCP_Audit_activity_CreateServiceAccountKey</t>
  </si>
  <si>
    <t xml:space="preserve">Google Cloud Platform: A Service Account Access Key was created. These are used to programmatically authenticate using this service accounts permissions.</t>
  </si>
  <si>
    <t xml:space="preserve">https://filestore.fortinet.com/docs.fortinet.com/fsiem/Public_Resource_Access/7_6_0/rules/PH_RULE_GCP_AUDIT_SERVICE_ACCOUNT_KEY_CREATE.htm</t>
  </si>
  <si>
    <t xml:space="preserve">PH_RULE_GCP_AUDIT_SERVICE_ACCOUNT_KEY_DELETE</t>
  </si>
  <si>
    <t xml:space="preserve">GCP: Service Account Access Key Deleted</t>
  </si>
  <si>
    <t xml:space="preserve">GCP_Audit_activity_DeleteServiceAccountKey</t>
  </si>
  <si>
    <t xml:space="preserve">key_delete</t>
  </si>
  <si>
    <t xml:space="preserve">emailId,targetUser</t>
  </si>
  <si>
    <t xml:space="preserve">Other: GCP_Audit_activity_DeleteServiceAccountKey</t>
  </si>
  <si>
    <t xml:space="preserve">Google Cloud Platform: A Service Account Access Key was Deleted. These are used to programmatically authenticate using this service accounts permissions.</t>
  </si>
  <si>
    <t xml:space="preserve">https://filestore.fortinet.com/docs.fortinet.com/fsiem/Public_Resource_Access/7_6_0/rules/PH_RULE_GCP_AUDIT_SERVICE_ACCOUNT_KEY_DELETE.htm</t>
  </si>
  <si>
    <t xml:space="preserve">PH_RULE_GCP_AUDIT_SERVICE_ACCOUNT_CREATED</t>
  </si>
  <si>
    <t xml:space="preserve">GCP: Service Account Created</t>
  </si>
  <si>
    <t xml:space="preserve">T1136.003</t>
  </si>
  <si>
    <t xml:space="preserve">GCP_Audit_activity_CreateServiceAccount</t>
  </si>
  <si>
    <t xml:space="preserve">create_account</t>
  </si>
  <si>
    <t xml:space="preserve">Other: GCP_Audit_activity_CreateServiceAccount</t>
  </si>
  <si>
    <t xml:space="preserve">Google Cloud Platform: A Service Account was Created</t>
  </si>
  <si>
    <t xml:space="preserve">https://filestore.fortinet.com/docs.fortinet.com/fsiem/Public_Resource_Access/7_6_0/rules/PH_RULE_GCP_AUDIT_SERVICE_ACCOUNT_CREATED.htm</t>
  </si>
  <si>
    <t xml:space="preserve">PH_RULE_GCP_AUDIT_SERVICE_ACCOUNT_DELETED</t>
  </si>
  <si>
    <t xml:space="preserve">GCP: Service Account Deleted</t>
  </si>
  <si>
    <t xml:space="preserve">GCP_Audit_activity_DeleteServiceAccount</t>
  </si>
  <si>
    <t xml:space="preserve">delete_account</t>
  </si>
  <si>
    <t xml:space="preserve">Other: GCP_Audit_activity_DeleteServiceAccount</t>
  </si>
  <si>
    <t xml:space="preserve">Google Cloud Platform: A Service Account was Deleted</t>
  </si>
  <si>
    <t xml:space="preserve">https://filestore.fortinet.com/docs.fortinet.com/fsiem/Public_Resource_Access/7_6_0/rules/PH_RULE_GCP_AUDIT_SERVICE_ACCOUNT_DELETED.htm</t>
  </si>
  <si>
    <t xml:space="preserve">PH_RULE_GCP_AUDIT_SERVICE_ACCOUNT_DISABLED</t>
  </si>
  <si>
    <t xml:space="preserve">GCP: Service Account Disabled</t>
  </si>
  <si>
    <t xml:space="preserve">GCP_Audit_activity_DisableServiceAccount</t>
  </si>
  <si>
    <t xml:space="preserve">disable_account</t>
  </si>
  <si>
    <t xml:space="preserve">Other: GCP_Audit_activity_DisableServiceAccount</t>
  </si>
  <si>
    <t xml:space="preserve">Google Cloud Platform: A Service Account was Disabled</t>
  </si>
  <si>
    <t xml:space="preserve">https://filestore.fortinet.com/docs.fortinet.com/fsiem/Public_Resource_Access/7_6_0/rules/PH_RULE_GCP_AUDIT_SERVICE_ACCOUNT_DISABLED.htm</t>
  </si>
  <si>
    <t xml:space="preserve">PH_RULE_Google_Workspace_API_AccessPermit</t>
  </si>
  <si>
    <t xml:space="preserve">Google Workspace: API Access Permitted for OAUTH Client</t>
  </si>
  <si>
    <t xml:space="preserve">Google Workspace via GOOGLE_APPS_ADMIN_SDK</t>
  </si>
  <si>
    <t xml:space="preserve">Google_Apps_DOMAIN_SETTINGS_AUTHORIZE_API_CLIENT_ACCESS</t>
  </si>
  <si>
    <t xml:space="preserve">api_access_allowed</t>
  </si>
  <si>
    <t xml:space="preserve">user,clientName</t>
  </si>
  <si>
    <t xml:space="preserve">Other: Google_Apps_DOMAIN_SETTINGS_AUTHORIZE_API_CLIENT_ACCESS</t>
  </si>
  <si>
    <t xml:space="preserve">Google Workspace: API Access Permitted for OAUTH Client.</t>
  </si>
  <si>
    <t xml:space="preserve">https://filestore.fortinet.com/docs.fortinet.com/fsiem/Public_Resource_Access/7_6_0/rules/PH_RULE_Google_Workspace_API_AccessPermit.htm</t>
  </si>
  <si>
    <t xml:space="preserve">PH_RULE_Google_Workspace_RoleAssigned</t>
  </si>
  <si>
    <t xml:space="preserve">Google Workspace: Role Assigned to User</t>
  </si>
  <si>
    <t xml:space="preserve">Google_Apps_DELEGATED_ADMIN_SETTINGS_ASSIGN_ROLE</t>
  </si>
  <si>
    <t xml:space="preserve">role_assigned</t>
  </si>
  <si>
    <t xml:space="preserve">Other: Google_Apps_DELEGATED_ADMIN_SETTINGS_ASSIGN_ROLE</t>
  </si>
  <si>
    <t xml:space="preserve">Google Workspace: Role Assigned to User.</t>
  </si>
  <si>
    <t xml:space="preserve">https://filestore.fortinet.com/docs.fortinet.com/fsiem/Public_Resource_Access/7_6_0/rules/PH_RULE_Google_Workspace_RoleAssigned.htm</t>
  </si>
  <si>
    <t xml:space="preserve">PH_RULE_Google_Workspace_RoleCreated</t>
  </si>
  <si>
    <t xml:space="preserve">Google Workspace: Role Created by User</t>
  </si>
  <si>
    <t xml:space="preserve">Google_Apps_DELEGATED_ADMIN_SETTINGS_CREATE_ROLE</t>
  </si>
  <si>
    <t xml:space="preserve">role_create</t>
  </si>
  <si>
    <t xml:space="preserve">role,user</t>
  </si>
  <si>
    <t xml:space="preserve">Other: Google_Apps_DELEGATED_ADMIN_SETTINGS_CREATE_ROLE</t>
  </si>
  <si>
    <t xml:space="preserve">Google Workspace: Role Created by Admin User</t>
  </si>
  <si>
    <t xml:space="preserve">https://filestore.fortinet.com/docs.fortinet.com/fsiem/Public_Resource_Access/7_6_0/rules/PH_RULE_Google_Workspace_RoleCreated.htm</t>
  </si>
  <si>
    <t xml:space="preserve">PH_RULE_Google_Workspace_RoleModified</t>
  </si>
  <si>
    <t xml:space="preserve">Google Workspace: Role Modified by User</t>
  </si>
  <si>
    <t xml:space="preserve">Google_Apps_DELEGATED_ADMIN_SETTINGS_ADD_PRIVILEGE</t>
  </si>
  <si>
    <t xml:space="preserve">role_modify</t>
  </si>
  <si>
    <t xml:space="preserve">Other: Google_Apps_DELEGATED_ADMIN_SETTINGS_ADD_PRIVILEGE</t>
  </si>
  <si>
    <t xml:space="preserve">Google Workspace: Role Modified by Admin User</t>
  </si>
  <si>
    <t xml:space="preserve">https://filestore.fortinet.com/docs.fortinet.com/fsiem/Public_Resource_Access/7_6_0/rules/PH_RULE_Google_Workspace_RoleModified.htm</t>
  </si>
  <si>
    <t xml:space="preserve">PH_Rule_TH_2</t>
  </si>
  <si>
    <t xml:space="preserve">Group Policy Object Created</t>
  </si>
  <si>
    <t xml:space="preserve">T1484.001</t>
  </si>
  <si>
    <t xml:space="preserve">Win-Security-5137</t>
  </si>
  <si>
    <t xml:space="preserve">hostName,user,domain,osObjName</t>
  </si>
  <si>
    <t xml:space="preserve">Windows Security log: Security 5137</t>
  </si>
  <si>
    <t xml:space="preserve">Detects Group Policy Object creation</t>
  </si>
  <si>
    <t xml:space="preserve">https://filestore.fortinet.com/docs.fortinet.com/fsiem/Public_Resource_Access/7_6_0/rules/PH_RULE_GPO_Created.htm</t>
  </si>
  <si>
    <t xml:space="preserve">PH_Rule_TH_1</t>
  </si>
  <si>
    <t xml:space="preserve">Group Policy Object Modified</t>
  </si>
  <si>
    <t xml:space="preserve">hostName,user,domain,osObjName,propName,propValue</t>
  </si>
  <si>
    <t xml:space="preserve">Detects Group Policy Object modification</t>
  </si>
  <si>
    <t xml:space="preserve">https://filestore.fortinet.com/docs.fortinet.com/fsiem/Public_Resource_Access/7_6_0/rules/PH_RULE_GPO_Modification.htm</t>
  </si>
  <si>
    <t xml:space="preserve">PH_RULE_ICS_Data_from_Information_Repositories</t>
  </si>
  <si>
    <t xml:space="preserve">ICS Alert: Data from Information Repositories</t>
  </si>
  <si>
    <t xml:space="preserve">Collection ICS</t>
  </si>
  <si>
    <t xml:space="preserve">Dragos Platform via Syslog and Nozomi SCADA Guardian/CMC via NOZOMI_API</t>
  </si>
  <si>
    <t xml:space="preserve">CONTAIN:Dragos-
CONTAIN:FortiDeceptor-
CONTAIN:Nozomi-</t>
  </si>
  <si>
    <t xml:space="preserve">mitre_ics_event</t>
  </si>
  <si>
    <t xml:space="preserve">attackTechniqueId REGEXP "^(T\d+,)*T0811(,T\d+)*$"</t>
  </si>
  <si>
    <t xml:space="preserve">srcIpAddr, srcGeoCountry, destIpAddr, destGeoCountry, eventType</t>
  </si>
  <si>
    <t xml:space="preserve">Other: FortiDeceptor-
Other: Dragos-
Other: Nozomi-</t>
  </si>
  <si>
    <t xml:space="preserve">An ICS monitoring system has detected an event containing MITRE ICS Technique ID T0811 - Data from Information Repositories. This data can include sensitive data such as specifications, schematics, or diagrams of control system layouts, devices, and processes.</t>
  </si>
  <si>
    <t xml:space="preserve">https://filestore.fortinet.com/docs.fortinet.com/fsiem/Public_Resource_Access/7_6_0/rules/PH_RULE_ICS_Data_from_Information_Repositories.htm</t>
  </si>
  <si>
    <t xml:space="preserve">PH_RULE_ICS_Screen_Capture</t>
  </si>
  <si>
    <t xml:space="preserve">ICS Alert: Screen Capture</t>
  </si>
  <si>
    <t xml:space="preserve">attackTechniqueId REGEXP "^(T\d+,)*T0852(,T\d+)*$"</t>
  </si>
  <si>
    <t xml:space="preserve">An ICS monitoring system has detected an event containing MITRE ICS Technique ID T0852 - Screen Capture. Adversaries may attempt to perform screen capture of devices in the control system environment. These device displays may reveal information regarding the ICS process, layout, control, and related schematics.</t>
  </si>
  <si>
    <t xml:space="preserve">https://filestore.fortinet.com/docs.fortinet.com/fsiem/Public_Resource_Access/7_6_0/rules/PH_RULE_ICS_Screen_Capture.htm</t>
  </si>
  <si>
    <t xml:space="preserve">PH_Rule_TH_EQLLIB_LINUX_10</t>
  </si>
  <si>
    <t xml:space="preserve">Linux Account Discovery via Built-In Tools</t>
  </si>
  <si>
    <t xml:space="preserve">T1087.001</t>
  </si>
  <si>
    <t xml:space="preserve">((procName = "net.exe" AND swParam REGEXP ".* user.*|.*group .*|.*localgroup .*") OR procName = "groups" OR (procName = "dscl" AND swParam CONTAIN "list /groups") OR (procName = "dscacheutil" AND swParam CONTAIN "group") OR swParam REGEXP ".*/etc/master\.passwd.*|.*/etc/passwd.*")</t>
  </si>
  <si>
    <t xml:space="preserve">Detects use of built-in applications to get a listing of local system or domain accounts</t>
  </si>
  <si>
    <t xml:space="preserve">https://filestore.fortinet.com/docs.fortinet.com/fsiem/Public_Resource_Access/7_6_0/rules/PH_RULE_Linux_Account_Discovery_via_Built_In_Tools.htm</t>
  </si>
  <si>
    <t xml:space="preserve">PH_Rule_UserAcct_56</t>
  </si>
  <si>
    <t xml:space="preserve">Linux Account Unlocked</t>
  </si>
  <si>
    <t xml:space="preserve">Generic_Unix_User_Account_Unlocked</t>
  </si>
  <si>
    <t xml:space="preserve">UserFilter</t>
  </si>
  <si>
    <t xml:space="preserve">reptDevName,user</t>
  </si>
  <si>
    <t xml:space="preserve">Other: Generic_Unix_User_Account_Unlocked</t>
  </si>
  <si>
    <t xml:space="preserve">Detects Linux user account unlocked</t>
  </si>
  <si>
    <t xml:space="preserve">https://filestore.fortinet.com/docs.fortinet.com/fsiem/Public_Resource_Access/7_6_0/rules/PH_RULE_LINUX_USER_UNLOCKED.htm</t>
  </si>
  <si>
    <t xml:space="preserve">PH_Rule_Change_25</t>
  </si>
  <si>
    <t xml:space="preserve">Linux Collector FIM: Directory Ownership or Permission Changed</t>
  </si>
  <si>
    <t xml:space="preserve">Linux FIM via Linux Collector</t>
  </si>
  <si>
    <t xml:space="preserve">FSM_LINUX_FILE_ATTRIB_CHANGE</t>
  </si>
  <si>
    <t xml:space="preserve">targetOsObjType = "Directory"</t>
  </si>
  <si>
    <t xml:space="preserve">hostName,targetOsObjName,user,fileOwner,userGrp,userPerm,groupPerm,otherPerm</t>
  </si>
  <si>
    <t xml:space="preserve">Linux Collector: FSM_LINUX_FILE_ATTRIB_CHANGE</t>
  </si>
  <si>
    <t xml:space="preserve">FortiSOC Linux Collector FIM detected that a directory ownership or permission changed</t>
  </si>
  <si>
    <t xml:space="preserve">https://filestore.fortinet.com/docs.fortinet.com/fsiem/Public_Resource_Access/7_6_0/rules/PH_RULE_LINUX_AGENT_DIR_PERM_OWN_CHANGE.htm</t>
  </si>
  <si>
    <t xml:space="preserve">PH_Rule_Change_24</t>
  </si>
  <si>
    <t xml:space="preserve">Linux Collector FIM: File Ownership or Permission Changed</t>
  </si>
  <si>
    <t xml:space="preserve">targetOsObjType = "File"</t>
  </si>
  <si>
    <t xml:space="preserve">FortiSOC Linux Collector FIM detected that a file ownership or permission changed</t>
  </si>
  <si>
    <t xml:space="preserve">https://filestore.fortinet.com/docs.fortinet.com/fsiem/Public_Resource_Access/7_6_0/rules/PH_RULE_FILE_PERM_OWN_CHANGE.htm</t>
  </si>
  <si>
    <t xml:space="preserve">PH_Rule_UserAcct_55</t>
  </si>
  <si>
    <t xml:space="preserve">Linux User Account Properties Changed</t>
  </si>
  <si>
    <t xml:space="preserve">CONTAIN:Generic_Unix_User_Change</t>
  </si>
  <si>
    <t xml:space="preserve">Generic_Unix_User_Change_Name</t>
  </si>
  <si>
    <t xml:space="preserve">Other: Generic_Unix_User_Change</t>
  </si>
  <si>
    <t xml:space="preserve">Detects Linux user account properties changed on a server. This includes home, shell, UID, GID and password expiry</t>
  </si>
  <si>
    <t xml:space="preserve">https://filestore.fortinet.com/docs.fortinet.com/fsiem/Public_Resource_Access/7_6_0/rules/PH_RULE_LINUX_USER_PROP_CHANGED.htm</t>
  </si>
  <si>
    <t xml:space="preserve">PH_Rule_UserAcct_57</t>
  </si>
  <si>
    <t xml:space="preserve">Linux User Added to Administrative Groups</t>
  </si>
  <si>
    <t xml:space="preserve">Generic_Unix_User_Add_Group</t>
  </si>
  <si>
    <t xml:space="preserve">targetUserGrp IN ("root", "sudo")</t>
  </si>
  <si>
    <t xml:space="preserve">reptDevName,user,targetUserGrp</t>
  </si>
  <si>
    <t xml:space="preserve">Other: Generic_Unix_User_Add_Group</t>
  </si>
  <si>
    <t xml:space="preserve">Detects Linux user added to Administrative Groups</t>
  </si>
  <si>
    <t xml:space="preserve">https://filestore.fortinet.com/docs.fortinet.com/fsiem/Public_Resource_Access/7_6_0/rules/PH_RULE_LINUX_USER_ADDED_TO_ADMIN_GROUP.htm</t>
  </si>
  <si>
    <t xml:space="preserve">PH_Rule_UserAcct_58</t>
  </si>
  <si>
    <t xml:space="preserve">Linux User Added to Groups</t>
  </si>
  <si>
    <t xml:space="preserve">targetUserGrp NOT IN ("root", "sudo")</t>
  </si>
  <si>
    <t xml:space="preserve">Detects Linux user added to Groups</t>
  </si>
  <si>
    <t xml:space="preserve">https://filestore.fortinet.com/docs.fortinet.com/fsiem/Public_Resource_Access/7_6_0/rules/PH_RULE_LINUX_USER_ADDED_TO_GROUP.htm</t>
  </si>
  <si>
    <t xml:space="preserve">PH_Rule_UserAcct_51</t>
  </si>
  <si>
    <t xml:space="preserve">Linux User Created</t>
  </si>
  <si>
    <t xml:space="preserve">Generic_Unix_User_Add</t>
  </si>
  <si>
    <t xml:space="preserve">Other: Generic_Unix_User_Add</t>
  </si>
  <si>
    <t xml:space="preserve">Detects Linux user account being created on a server</t>
  </si>
  <si>
    <t xml:space="preserve">https://filestore.fortinet.com/docs.fortinet.com/fsiem/Public_Resource_Access/7_6_0/rules/PH_RULE_LINUX_USER_CREATED.htm</t>
  </si>
  <si>
    <t xml:space="preserve">PH_Rule_UserAcct_52</t>
  </si>
  <si>
    <t xml:space="preserve">Linux User Deleted</t>
  </si>
  <si>
    <t xml:space="preserve">Generic_Unix_User_Del</t>
  </si>
  <si>
    <t xml:space="preserve">Other: Generic_Unix_User_Del</t>
  </si>
  <si>
    <t xml:space="preserve">Detects Linux user account being deleted on a server</t>
  </si>
  <si>
    <t xml:space="preserve">https://filestore.fortinet.com/docs.fortinet.com/fsiem/Public_Resource_Access/7_6_0/rules/PH_RULE_LINUX_USER_DELETED.htm</t>
  </si>
  <si>
    <t xml:space="preserve">PH_Rule_UserAcct_59</t>
  </si>
  <si>
    <t xml:space="preserve">Linux User Deleted from Admin Groups</t>
  </si>
  <si>
    <t xml:space="preserve">CONTAIN:Generic_Unix_User_Del_Group</t>
  </si>
  <si>
    <t xml:space="preserve">Other: Generic_Unix_User_Del_Group</t>
  </si>
  <si>
    <t xml:space="preserve">Detects Linux user deleted from Administrative Groups</t>
  </si>
  <si>
    <t xml:space="preserve">https://filestore.fortinet.com/docs.fortinet.com/fsiem/Public_Resource_Access/7_6_0/rules/PH_RULE_LINUX_USER_DELETED_FROM_ADMIN_GROUP.htm</t>
  </si>
  <si>
    <t xml:space="preserve">PH_Rule_UserAcct_60</t>
  </si>
  <si>
    <t xml:space="preserve">Linux User Deleted from Groups</t>
  </si>
  <si>
    <t xml:space="preserve">Generic_Unix_User_Del_Group</t>
  </si>
  <si>
    <t xml:space="preserve">Detects Linux user deleted from Groups</t>
  </si>
  <si>
    <t xml:space="preserve">https://filestore.fortinet.com/docs.fortinet.com/fsiem/Public_Resource_Access/7_6_0/rules/PH_RULE_LINUX_USER_DELETED_FROM_GROUP.htm</t>
  </si>
  <si>
    <t xml:space="preserve">PH_Rule_UserAcct_54</t>
  </si>
  <si>
    <t xml:space="preserve">Linux User Name Changed</t>
  </si>
  <si>
    <t xml:space="preserve">reptDevName,user,targetUser</t>
  </si>
  <si>
    <t xml:space="preserve">Other: Generic_Unix_User_Change_Name</t>
  </si>
  <si>
    <t xml:space="preserve">Detects Linux user account name changed on a server</t>
  </si>
  <si>
    <t xml:space="preserve">https://filestore.fortinet.com/docs.fortinet.com/fsiem/Public_Resource_Access/7_6_0/rules/PH_RULE_LINUX_USER_NAME_CHANGED.htm</t>
  </si>
  <si>
    <t xml:space="preserve">PH_Rule_UserAcct_53</t>
  </si>
  <si>
    <t xml:space="preserve">Linux User Password Changed</t>
  </si>
  <si>
    <t xml:space="preserve">Generic_Unix_User_Password_Change</t>
  </si>
  <si>
    <t xml:space="preserve">Other: Generic_Unix_User_Password_Change</t>
  </si>
  <si>
    <t xml:space="preserve">Detects Linux user password changed on a server</t>
  </si>
  <si>
    <t xml:space="preserve">https://filestore.fortinet.com/docs.fortinet.com/fsiem/Public_Resource_Access/7_6_0/rules/PH_RULE_LINUX_USER_PWD_CHANGED.htm</t>
  </si>
  <si>
    <t xml:space="preserve">PH_Rule_TH_EQLLIB_LINUX_0</t>
  </si>
  <si>
    <t xml:space="preserve">Linux: Creation of an Archive with Common Archivers</t>
  </si>
  <si>
    <t xml:space="preserve">Entra ID</t>
  </si>
  <si>
    <t xml:space="preserve">T1074.001</t>
  </si>
  <si>
    <t xml:space="preserve">LINUX_PROCESS_EXEC
REGEXP:FSM_LINUX_FILE_.*</t>
  </si>
  <si>
    <t xml:space="preserve">(procName IN ("gzip","hdiutil","tar","zip")) OR (targetOsObjName REGEXP ".*\.gz|.*\.gzip|.*\.tar|.*\.zip")</t>
  </si>
  <si>
    <t xml:space="preserve">hostName,procName,targetOsObjName</t>
  </si>
  <si>
    <t xml:space="preserve">Linux Collector: LINUX_PROCESS_EXEC
Linux Collector: FSM_LINUX_FILE_.*</t>
  </si>
  <si>
    <t xml:space="preserve">Detects attempt to collect and stage data in a central location or directory in preparation of exfiltration</t>
  </si>
  <si>
    <t xml:space="preserve">https://filestore.fortinet.com/docs.fortinet.com/fsiem/Public_Resource_Access/7_6_0/rules/PH_RULE_Linux_Creation_of_an_Archive_with_Common_Archivers.htm</t>
  </si>
  <si>
    <t xml:space="preserve">PH_Rule_TH_Linux_31</t>
  </si>
  <si>
    <t xml:space="preserve">Linux: Sudoers File Modification</t>
  </si>
  <si>
    <t xml:space="preserve">T1548.003</t>
  </si>
  <si>
    <t xml:space="preserve">targetOsObjType = "File" AND targetOsObjName = "/etc/sudoers"</t>
  </si>
  <si>
    <t xml:space="preserve">hostName, user, targetOsObjType, targetOsObjName</t>
  </si>
  <si>
    <t xml:space="preserve">Detects changes to Sudoers file. A sudoers file specifies the commands that users or groups can run and from which terminals. Adversaries can take advantage of these configurations to execute commands as other users or spawn processes with higher privileges. This requires process monitoring via FortiSOC Linux Collector.</t>
  </si>
  <si>
    <t xml:space="preserve">https://filestore.fortinet.com/docs.fortinet.com/fsiem/Public_Resource_Access/7_6_0/rules/PH_RULE_TH_Linux_sudoers_mod.htm</t>
  </si>
  <si>
    <t xml:space="preserve">PH_Rule_Access_53</t>
  </si>
  <si>
    <t xml:space="preserve">Logon Time Restriction Violation</t>
  </si>
  <si>
    <t xml:space="preserve">Win-Security-4625
Win-Security-530</t>
  </si>
  <si>
    <t xml:space="preserve">LoginTimeViolation</t>
  </si>
  <si>
    <t xml:space="preserve">(subStatus = "0xc000006f")</t>
  </si>
  <si>
    <t xml:space="preserve">Windows Security log: Security 4625
Other Windows log: Security</t>
  </si>
  <si>
    <t xml:space="preserve">Detects logon attempts at times which are not permitted by policy</t>
  </si>
  <si>
    <t xml:space="preserve">https://filestore.fortinet.com/docs.fortinet.com/fsiem/Public_Resource_Access/7_6_0/rules/PH_RULE_LOGON_TIME_VIOLATION.htm</t>
  </si>
  <si>
    <t xml:space="preserve">PH_Rule_Trap_15</t>
  </si>
  <si>
    <t xml:space="preserve">Meraki New Splash User</t>
  </si>
  <si>
    <t xml:space="preserve">Cisco Meraki via SNMP trap</t>
  </si>
  <si>
    <t xml:space="preserve">Cisco-Meraki-newSplashSignup</t>
  </si>
  <si>
    <t xml:space="preserve">NewUser</t>
  </si>
  <si>
    <t xml:space="preserve">reptDevIpAddr,user,wlanSsid,senderMailAddr</t>
  </si>
  <si>
    <t xml:space="preserve">Other: Cisco-Meraki-newSplashSignup</t>
  </si>
  <si>
    <t xml:space="preserve">Meraki detects a new splash user registers to an SSID</t>
  </si>
  <si>
    <t xml:space="preserve">https://filestore.fortinet.com/docs.fortinet.com/fsiem/Public_Resource_Access/7_6_0/rules/PH_RULE_MERAKI_NEW_SPLASH_USER.htm</t>
  </si>
  <si>
    <t xml:space="preserve">PH_RULE_MS_Entra_IdentityProtectRiskyUser</t>
  </si>
  <si>
    <t xml:space="preserve">Microsoft Entra: Identity Protection Risky User Identified</t>
  </si>
  <si>
    <t xml:space="preserve">T1586.002</t>
  </si>
  <si>
    <t xml:space="preserve">Microsoft Entra Identity Protection via HTTPS_ADVANCED (Graph API)</t>
  </si>
  <si>
    <t xml:space="preserve">MS_GRAPH_RiskyUserStatus_atRisk
MS_GRAPH_RiskyUserStatus_confirmedCompromised</t>
  </si>
  <si>
    <t xml:space="preserve">identity_risk</t>
  </si>
  <si>
    <t xml:space="preserve">status IN ("atRisk","confirmedCompromised") AND threatLevel != "low"</t>
  </si>
  <si>
    <t xml:space="preserve">user,status,threatLevel</t>
  </si>
  <si>
    <t xml:space="preserve">Entra Graph poller: RiskyUserStatus</t>
  </si>
  <si>
    <t xml:space="preserve">pr</t>
  </si>
  <si>
    <t xml:space="preserve">Microsoft Entra Identity Protection identifies users detected as risky. User risk represents the probability that a given identity or account is compromised. These risks are calculated offline using Microsoft's internal and external threat intelligence sources, including security researchers, law enforcement professionals, security teams at Microsoft, and other trusted sources. This rule triggers if the riskState for the given user is atRisk or confirmedCompromised, and the riskLevel is anything other than low.</t>
  </si>
  <si>
    <t xml:space="preserve">https://filestore.fortinet.com/docs.fortinet.com/fsiem/Public_Resource_Access/7_6_0/rules/PH_RULE_MS_Entra_IdentityProtectRiskyUser.htm</t>
  </si>
  <si>
    <t xml:space="preserve">PH_Rule_ES_IMPORT_AZURE_19</t>
  </si>
  <si>
    <t xml:space="preserve">Multi-Factor Authentication Disabled for an Azure User</t>
  </si>
  <si>
    <t xml:space="preserve">T1531, T1562.001</t>
  </si>
  <si>
    <t xml:space="preserve">MS_EvtHub_disable_strong_authentication</t>
  </si>
  <si>
    <t xml:space="preserve">Other: MS_EvtHub_disable_strong_authentication</t>
  </si>
  <si>
    <t xml:space="preserve">Identifies when multi-factor authentication (MFA) is disabled for an Azure user account. An adversary may disable MFA for a user account in order to weaken the authentication requirements for the account.</t>
  </si>
  <si>
    <t xml:space="preserve">https://filestore.fortinet.com/docs.fortinet.com/fsiem/Public_Resource_Access/7_6_0/rules/PH_RULE_Multi_Factor_Authentication_Disabled_for_an_Azure_User.htm</t>
  </si>
  <si>
    <t xml:space="preserve">PH_Rule_PolicyViolation_12</t>
  </si>
  <si>
    <t xml:space="preserve">Multiple Windows Accounts Disabled by Administrator</t>
  </si>
  <si>
    <t xml:space="preserve">Win-Security-4725
Win-Security-629</t>
  </si>
  <si>
    <t xml:space="preserve">AcctDisabled</t>
  </si>
  <si>
    <t xml:space="preserve">COUNT(DISTINCT targetUser) &gt;= 3</t>
  </si>
  <si>
    <t xml:space="preserve">Other Windows log: Security
Windows Security log: Security 4725</t>
  </si>
  <si>
    <t xml:space="preserve">Detects that multiple (more than 3) accounts were disabled by administrator in a short period of time</t>
  </si>
  <si>
    <t xml:space="preserve">https://filestore.fortinet.com/docs.fortinet.com/fsiem/Public_Resource_Access/7_6_0/rules/PH_RULE_MULTI_ACCOUNT_DISABLED.htm</t>
  </si>
  <si>
    <t xml:space="preserve">PH_RULE_OracleOci_CustSecretKeyCreated</t>
  </si>
  <si>
    <t xml:space="preserve">OCI: Customer Secret Key Created</t>
  </si>
  <si>
    <t xml:space="preserve">Oracle-OCI-identitycontrolplane-createcustomersecretkey</t>
  </si>
  <si>
    <t xml:space="preserve">key_created</t>
  </si>
  <si>
    <t xml:space="preserve">targetUserId, user, srcIpAddr, srcGeoCountry</t>
  </si>
  <si>
    <t xml:space="preserve">Other: Oracle-OCI-identitycontrolplane-createcustomersecretkey</t>
  </si>
  <si>
    <t xml:space="preserve">Oracle OCI customer secret key was created. Admin users can create keys for other users, and some users are allowed to create keys for themselves. So the user and target user id may not always refer to the same account.</t>
  </si>
  <si>
    <t xml:space="preserve">https://filestore.fortinet.com/docs.fortinet.com/fsiem/Public_Resource_Access/7_6_0/rules/PH_RULE_OracleOci_CustSecretKeyCreated.htm</t>
  </si>
  <si>
    <t xml:space="preserve">PH_RULE_OracleOci_GroupCreated</t>
  </si>
  <si>
    <t xml:space="preserve">OCI: Group Created</t>
  </si>
  <si>
    <t xml:space="preserve">Oracle-OCI-identitycontrolplane-creategroup</t>
  </si>
  <si>
    <t xml:space="preserve">group_created</t>
  </si>
  <si>
    <t xml:space="preserve">compartmentName,groupName,user</t>
  </si>
  <si>
    <t xml:space="preserve">Other: Oracle-OCI-identitycontrolplane-creategroup</t>
  </si>
  <si>
    <t xml:space="preserve">Oracle OCI group was created</t>
  </si>
  <si>
    <t xml:space="preserve">https://filestore.fortinet.com/docs.fortinet.com/fsiem/Public_Resource_Access/7_6_0/rules/PH_RULE_OracleOci_GroupCreated.htm</t>
  </si>
  <si>
    <t xml:space="preserve">PH_RULE_OracleOci_UserApiKeyUploaded</t>
  </si>
  <si>
    <t xml:space="preserve">OCI: User API Key Created and Uploaded</t>
  </si>
  <si>
    <t xml:space="preserve">Oracle-OCI-identitycontrolplane-uploadapikey</t>
  </si>
  <si>
    <t xml:space="preserve">api_key_create_upload</t>
  </si>
  <si>
    <t xml:space="preserve">Other: Oracle-OCI-identitycontrolplane-uploadapikey</t>
  </si>
  <si>
    <t xml:space="preserve">Oracle OCI API key was created. Admin users can create keys, tokens, and credentials for other users, and some users are allowed to create these themselves. So the user and target user id may not always refer to the same account. API keys can be manually uploaded by users, or dynamically generated, but the event is the same.</t>
  </si>
  <si>
    <t xml:space="preserve">https://filestore.fortinet.com/docs.fortinet.com/fsiem/Public_Resource_Access/7_6_0/rules/PH_RULE_OracleOci_UserApiKeyUploaded.htm</t>
  </si>
  <si>
    <t xml:space="preserve">PH_RULE_OracleOci_UserAuthTokenCreated</t>
  </si>
  <si>
    <t xml:space="preserve">OCI: User Auth Token Created</t>
  </si>
  <si>
    <t xml:space="preserve">Oracle-OCI-identitycontrolplane-createauthtoken</t>
  </si>
  <si>
    <t xml:space="preserve">auth_token_create</t>
  </si>
  <si>
    <t xml:space="preserve">Other: Oracle-OCI-identitycontrolplane-createauthtoken</t>
  </si>
  <si>
    <t xml:space="preserve">Oracle OCI Auth token was created. Admin users can create keys, tokens, and credentials for other users, and some users are allowed to create these themselves. So the user and target user id may not always refer to the same account.</t>
  </si>
  <si>
    <t xml:space="preserve">https://filestore.fortinet.com/docs.fortinet.com/fsiem/Public_Resource_Access/7_6_0/rules/PH_RULE_OracleOci_UserAuthTokenCreated.htm</t>
  </si>
  <si>
    <t xml:space="preserve">PH_RULE_OracleOci_UserCreated</t>
  </si>
  <si>
    <t xml:space="preserve">OCI: User Created</t>
  </si>
  <si>
    <t xml:space="preserve">Oracle-OCI-identitycontrolplane-createidpuser
Oracle-OCI-identitycontrolplane-createuser</t>
  </si>
  <si>
    <t xml:space="preserve">user_created</t>
  </si>
  <si>
    <t xml:space="preserve">targetUser, user, srcIpAddr, srcGeoCountry</t>
  </si>
  <si>
    <t xml:space="preserve">Other: Oracle-OCI-identitycontrolplane-createuser
Other: Oracle-OCI-identitycontrolplane-createidpuser</t>
  </si>
  <si>
    <t xml:space="preserve">Oracle OCI user was created</t>
  </si>
  <si>
    <t xml:space="preserve">https://filestore.fortinet.com/docs.fortinet.com/fsiem/Public_Resource_Access/7_6_0/rules/PH_RULE_OracleOci_UserCreated.htm</t>
  </si>
  <si>
    <t xml:space="preserve">PH_RULE_OracleOci_UserDeleted</t>
  </si>
  <si>
    <t xml:space="preserve">OCI: User Deleted</t>
  </si>
  <si>
    <t xml:space="preserve">Oracle-OCI-identitycontrolplane-deleteidpuser
Oracle-OCI-identitycontrolplane-deleteuser</t>
  </si>
  <si>
    <t xml:space="preserve">srcIpAddr, srcGeoCountry, user, targetUser</t>
  </si>
  <si>
    <t xml:space="preserve">Other: Oracle-OCI-identitycontrolplane-deleteuser
Other: Oracle-OCI-identitycontrolplane-deleteidpuser</t>
  </si>
  <si>
    <t xml:space="preserve">Oracle OCI user was deleted</t>
  </si>
  <si>
    <t xml:space="preserve">https://filestore.fortinet.com/docs.fortinet.com/fsiem/Public_Resource_Access/7_6_0/rules/PH_RULE_OracleOci_UserDeleted.htm</t>
  </si>
  <si>
    <t xml:space="preserve">PH_RULE_OracleOci_UserOAuthClientCredCreated</t>
  </si>
  <si>
    <t xml:space="preserve">OCI: User OAuth Client Credential Created</t>
  </si>
  <si>
    <t xml:space="preserve">Oracle-OCI-identitycontrolplane-createoauthclientcredential</t>
  </si>
  <si>
    <t xml:space="preserve">client_cred_create</t>
  </si>
  <si>
    <t xml:space="preserve">srcIpAddr, srcGeoCountry, user, targetUserId</t>
  </si>
  <si>
    <t xml:space="preserve">Other: Oracle-OCI-identitycontrolplane-createoauthclientcredential</t>
  </si>
  <si>
    <t xml:space="preserve">Oracle OCI OAuth client credential was created. Admin users can create keys, tokens, and credentials for other users, and some users are allowed to create these themselves. So the user and target user id may not always refer to the same account.</t>
  </si>
  <si>
    <t xml:space="preserve">https://filestore.fortinet.com/docs.fortinet.com/fsiem/Public_Resource_Access/7_6_0/rules/PH_RULE_OracleOci_UserOAuthClientCredCreated.htm</t>
  </si>
  <si>
    <t xml:space="preserve">PH_RULE_O365_AdminUserMailForwardRuleCreated</t>
  </si>
  <si>
    <t xml:space="preserve">Office365: Admin or Delegated User Created Mailbox Forwarding Rule for another User</t>
  </si>
  <si>
    <t xml:space="preserve">T1114.003</t>
  </si>
  <si>
    <t xml:space="preserve">MS_OFFICE365_Exchange_New-InboxRule
MS_OFFICE365_Exchange_Set-Mailbox</t>
  </si>
  <si>
    <t xml:space="preserve">o365_forwards</t>
  </si>
  <si>
    <t xml:space="preserve">action = "on_behalf_of" AND ( options CONTAIN "ForwardAsAttachmentTo" OR options CONTAIN "ForwardTo" OR options CONTAIN "RedirectTo" OR options CONTAIN "SendTextMessageNotificationTo" )</t>
  </si>
  <si>
    <t xml:space="preserve">compRuleName, user, targetUser, srcIpAddr, srcGeoCountry, receiverMailAddr</t>
  </si>
  <si>
    <t xml:space="preserve">A Mail Inbox Rule was created by an admin or delegated user that forwards mail from a target users mailbox.</t>
  </si>
  <si>
    <t xml:space="preserve">https://filestore.fortinet.com/docs.fortinet.com/fsiem/Public_Resource_Access/7_6_0/rules/PH_RULE_O365_AdminUserMailForwardRuleCreated.htm</t>
  </si>
  <si>
    <t xml:space="preserve">PH_RULE_O365_StrongAuthDisabled</t>
  </si>
  <si>
    <t xml:space="preserve">Office365: Strong Authentication Disabled for a User</t>
  </si>
  <si>
    <t xml:space="preserve">MS_OFFICE365_EntraID_Disable_Strong_Authentication</t>
  </si>
  <si>
    <t xml:space="preserve">strong_auth_disabled</t>
  </si>
  <si>
    <t xml:space="preserve">Office365: Strong Authentication was disabled for a user. This is more commonly known as 2Factor Authentication, which can comprise several methods.</t>
  </si>
  <si>
    <t xml:space="preserve">https://filestore.fortinet.com/docs.fortinet.com/fsiem/Public_Resource_Access/7_6_0/rules/PH_RULE_O365_StrongAuthDisabled.htm</t>
  </si>
  <si>
    <t xml:space="preserve">PH_RULE_ActiveDirectory_PrivEscalExploit_Host</t>
  </si>
  <si>
    <t xml:space="preserve">Outbreak: Active Directory Privilege Escalation Exploit Detected on Host</t>
  </si>
  <si>
    <t xml:space="preserve">T1584.001</t>
  </si>
  <si>
    <t xml:space="preserve">FortiClient via Syslog</t>
  </si>
  <si>
    <t xml:space="preserve">Group@PH_SYS_EVENT_FortiClient_AV_Detected</t>
  </si>
  <si>
    <t xml:space="preserve">ad_priv_escalation</t>
  </si>
  <si>
    <t xml:space="preserve">ipsSignatureId IN (69583,69598)</t>
  </si>
  <si>
    <t xml:space="preserve">hostIpAddr</t>
  </si>
  <si>
    <t xml:space="preserve">Event-type group (membership not published): Group@PH_SYS_EVENT_FortiClient_AV_Detected</t>
  </si>
  <si>
    <t xml:space="preserve">A Fortinet product has detected an exploit related to CVE-2021-42287 or CVE-2021-42278 on a host</t>
  </si>
  <si>
    <t xml:space="preserve">https://filestore.fortinet.com/docs.fortinet.com/fsiem/Public_Resource_Access/7_6_0/rules/PH_RULE_ActiveDirectory_PrivEscalExploit_Host.htm</t>
  </si>
  <si>
    <t xml:space="preserve">PH_RULE_ActiveDirectory_PrivEscalExploit_Network</t>
  </si>
  <si>
    <t xml:space="preserve">Outbreak: Active Directory Privilege Escalation Exploit Detected on Network</t>
  </si>
  <si>
    <t xml:space="preserve">FortiProxy via Syslog
FortiGate via Syslog</t>
  </si>
  <si>
    <t xml:space="preserve">FortiGate-ips-signature-51057
FortiProxy-ips-signature-51057</t>
  </si>
  <si>
    <t xml:space="preserve">srcIpAddr, srcGeoCountry, destIpAddr, destGeoCountry</t>
  </si>
  <si>
    <t xml:space="preserve">Other: FortiGate-ips-signature-51057
Other: FortiProxy-ips-signature-51057</t>
  </si>
  <si>
    <t xml:space="preserve">A Fortinet product has detected an exploit related to CVE-2021-42287 or CVE-2021-42278 on network</t>
  </si>
  <si>
    <t xml:space="preserve">https://filestore.fortinet.com/docs.fortinet.com/fsiem/Public_Resource_Access/7_6_0/rules/PH_RULE_ActiveDirectory_PrivEscalExploit_Network.htm</t>
  </si>
  <si>
    <t xml:space="preserve">PH_Rule_Access_68</t>
  </si>
  <si>
    <t xml:space="preserve">Privileged Command Execution Failure</t>
  </si>
  <si>
    <t xml:space="preserve">FortiProxy via Syslog
FortiGate via Syslog
Linux via Syslog</t>
  </si>
  <si>
    <t xml:space="preserve">Group@PH_SYS_EVENT_HostPrivExecFailure</t>
  </si>
  <si>
    <t xml:space="preserve">PrivExecFailure</t>
  </si>
  <si>
    <t xml:space="preserve">Event-type group (membership not published): Group@PH_SYS_EVENT_HostPrivExecFailure</t>
  </si>
  <si>
    <t xml:space="preserve">Detects excessive privileged command execution (e.g. sudo exec) failure at a server</t>
  </si>
  <si>
    <t xml:space="preserve">https://filestore.fortinet.com/docs.fortinet.com/fsiem/Public_Resource_Access/7_6_0/rules/PH_RULE_FAILED_PRIV_EXEC.htm</t>
  </si>
  <si>
    <t xml:space="preserve">PH_RULE_RANSOMWARE_OUTBREAK_DETECTED</t>
  </si>
  <si>
    <t xml:space="preserve">Ransomware outbreak detected</t>
  </si>
  <si>
    <t xml:space="preserve">procName</t>
  </si>
  <si>
    <t xml:space="preserve">COUNT(DISTINCT hostName) &gt;= 10</t>
  </si>
  <si>
    <t xml:space="preserve">Other: PH_RULE_RANSOMWARE_DETECTED</t>
  </si>
  <si>
    <t xml:space="preserve">Identifies ransomware detected on more than 10 hosts in a 30 minute window.</t>
  </si>
  <si>
    <t xml:space="preserve">https://filestore.fortinet.com/docs.fortinet.com/fsiem/Public_Resource_Access/7_6_0/rules/PH_RULE_RANSOMWARE_OUTBREAK_DETECTED.htm</t>
  </si>
  <si>
    <t xml:space="preserve">PH_RULE_Cert_Mon_SelfSigned_Win_CertAdded</t>
  </si>
  <si>
    <t xml:space="preserve">Self-signed Windows Certificate Added</t>
  </si>
  <si>
    <t xml:space="preserve">AD CS</t>
  </si>
  <si>
    <t xml:space="preserve">Microsoft Windows Certificate Monitoring via Windows Collector</t>
  </si>
  <si>
    <t xml:space="preserve">AO-WUA-Certificate-Added</t>
  </si>
  <si>
    <t xml:space="preserve">CertAdded</t>
  </si>
  <si>
    <t xml:space="preserve">isSelfSigned = 1 AND isCertAuthority = 0</t>
  </si>
  <si>
    <t xml:space="preserve">hostName,certInfo,issuedTo,issuer</t>
  </si>
  <si>
    <t xml:space="preserve">Other: AO-WUA-Certificate-Added</t>
  </si>
  <si>
    <t xml:space="preserve">Detects a self-signed certificate being added to a Windows host. Certificates that are signed by Certificate Authorities are excluded from this rule.</t>
  </si>
  <si>
    <t xml:space="preserve">https://filestore.fortinet.com/docs.fortinet.com/fsiem/Public_Resource_Access/7_6_0/rules/PH_RULE_Cert_Mon_SelfSigned_Win_CertAdded.htm</t>
  </si>
  <si>
    <t xml:space="preserve">PH_Rule_Access_59</t>
  </si>
  <si>
    <t xml:space="preserve">Successful Account Activity On a Prior Disabled Account</t>
  </si>
  <si>
    <t xml:space="preserve">Group@PH_SYS_EVENT_DomainLogonSuccess
Group@PH_SYS_EVENT_HostLogonSuccess
Win-Security-4725
Win-Security-629</t>
  </si>
  <si>
    <t xml:space="preserve">AcctDisabled FOLLOWED_BY SuccessLogin</t>
  </si>
  <si>
    <t xml:space="preserve">[AcctDisabled] —
[SuccessLogin] —</t>
  </si>
  <si>
    <t xml:space="preserve">[AcctDisabled] reptDevName,reptDevIpAddr,targetUser
[SuccessLogin] srcIpAddr, srcGeoCountry, computer, reptDevIpAddr, user</t>
  </si>
  <si>
    <t xml:space="preserve">[AcctDisabled] COUNT (*) &gt;= 1
[SuccessLogin] COUNT (*) &gt;= 1</t>
  </si>
  <si>
    <t xml:space="preserve">AcctDisabled.reptDevIpAddr = SuccessLogin.reptDevIpAddr AND AcctDisabled.targetUser = SuccessLogin.user</t>
  </si>
  <si>
    <t xml:space="preserve">Other Windows log: Security
Windows Security log: Security 4725
Event-type group (membership not published): Group@PH_SYS_EVENT_HostLogonSuccess
Event-type group (membership not published): Group@PH_SYS_EVENT_DomainLogonSuccess</t>
  </si>
  <si>
    <t xml:space="preserve">Detects successful account activity to a recently disabled account</t>
  </si>
  <si>
    <t xml:space="preserve">https://filestore.fortinet.com/docs.fortinet.com/fsiem/Public_Resource_Access/7_6_0/rules/PH_RULE_SUCCESS_ACTIVITY_ON_DISABLED_ACCT.htm</t>
  </si>
  <si>
    <t xml:space="preserve">PH_RULE_DORMANT_USER_LOGON</t>
  </si>
  <si>
    <t xml:space="preserve">Successful Windows Dormant Account Logon</t>
  </si>
  <si>
    <t xml:space="preserve">Active Directory, Credential Access, Identity event group</t>
  </si>
  <si>
    <t xml:space="preserve">Microsoft Windows via Active Directory Discovery</t>
  </si>
  <si>
    <t xml:space="preserve">LogonSuccess</t>
  </si>
  <si>
    <t xml:space="preserve">user IN (Group@PH_DYNLIST_DORMANT_USERS)</t>
  </si>
  <si>
    <t xml:space="preserve">A Windows user that is a member of the Dormant Users watchlist, has logged on after a period of inactivity. The rule "Windows Dormant Account Detected" triggers during LDAP discovery, and any user who has not logged in within 30 days minimum is added to the watchlist. You can optionally tune that rule to be a longer period.</t>
  </si>
  <si>
    <t xml:space="preserve">https://filestore.fortinet.com/docs.fortinet.com/fsiem/Public_Resource_Access/7_6_0/rules/PH_RULE_DORMANT_USER_LOGON.htm</t>
  </si>
  <si>
    <t xml:space="preserve">PH_Rule_Stat_24</t>
  </si>
  <si>
    <t xml:space="preserve">Sudden Increase in Failed Logons To A Host</t>
  </si>
  <si>
    <t xml:space="preserve">Identity event group</t>
  </si>
  <si>
    <t xml:space="preserve">T1078.003</t>
  </si>
  <si>
    <t xml:space="preserve">Login Data</t>
  </si>
  <si>
    <t xml:space="preserve">Logon</t>
  </si>
  <si>
    <t xml:space="preserve">reptDevName,reptDevIpAddr</t>
  </si>
  <si>
    <t xml:space="preserve">COUNT(*) &gt;= 10 AND COUNT(*) &gt;= 1.50 * STAT_AVG(COUNT(*):122)</t>
  </si>
  <si>
    <t xml:space="preserve">Detects a sudden 50% increase of failed logons to a specific host over a 30 minute window</t>
  </si>
  <si>
    <t xml:space="preserve">https://filestore.fortinet.com/docs.fortinet.com/fsiem/Public_Resource_Access/7_6_0/rules/PH_RULE_ANOMALY_FAILED_LOGON.htm</t>
  </si>
  <si>
    <t xml:space="preserve">PH_Rule_Stat_23</t>
  </si>
  <si>
    <t xml:space="preserve">Sudden Increase in Successful Logons To A Host</t>
  </si>
  <si>
    <t xml:space="preserve">Group@PH_SYS_EVENT_HostLogonSuccess</t>
  </si>
  <si>
    <t xml:space="preserve">COUNT(*) &gt;= 20 AND COUNT(*) &gt;= 1.50 * STAT_AVG(COUNT(*):115)</t>
  </si>
  <si>
    <t xml:space="preserve">Event-type group (membership not published): Group@PH_SYS_EVENT_HostLogonSuccess</t>
  </si>
  <si>
    <t xml:space="preserve">Detects a sudden 50% increase of successful logons to a host over a 30 minute window</t>
  </si>
  <si>
    <t xml:space="preserve">https://filestore.fortinet.com/docs.fortinet.com/fsiem/Public_Resource_Access/7_6_0/rules/PH_RULE_ANOMALY_SUCCESSFUL_LOGON.htm</t>
  </si>
  <si>
    <t xml:space="preserve">PH_Rule_Access_67</t>
  </si>
  <si>
    <t xml:space="preserve">Transient Windows Account Usage</t>
  </si>
  <si>
    <t xml:space="preserve">Windows Security log, Identity event group</t>
  </si>
  <si>
    <t xml:space="preserve">Group@PH_SYS_EVENT_AccountCreated
Group@PH_SYS_EVENT_AccountDeleted
Group@PH_SYS_EVENT_DomainLogonSuccess
Group@PH_SYS_EVENT_HostLogonSuccess</t>
  </si>
  <si>
    <t xml:space="preserve">AccountCreated FOLLOWED_BY LogonSuccess FOLLOWED_BY AccountDeleted</t>
  </si>
  <si>
    <t xml:space="preserve">[AccountCreated] —
[LogonSuccess] —
[AccountDeleted] —</t>
  </si>
  <si>
    <t xml:space="preserve">[AccountCreated] targetUser,reptDevName
[LogonSuccess] user,reptDevName
[AccountDeleted] targetUser,reptDevName</t>
  </si>
  <si>
    <t xml:space="preserve">[AccountCreated] COUNT(*) &gt;= 1
[LogonSuccess] COUNT(*) &gt;= 1
[AccountDeleted] COUNT(*) &gt;= 1</t>
  </si>
  <si>
    <t xml:space="preserve">AccountCreated.targetUser = LogonSuccess.user AND LogonSuccess.user = AccountDeleted.targetUser AND LogonSuccess.reptDevName = AccountDeleted.reptDevName</t>
  </si>
  <si>
    <t xml:space="preserve">Event-type group (membership not published): Group@PH_SYS_EVENT_AccountCreated
Event-type group (membership not published): Group@PH_SYS_EVENT_HostLogonSuccess
Event-type group (membership not published): Group@PH_SYS_EVENT_DomainLogonSuccess
Event-type group (membership not published): Group@PH_SYS_EVENT_AccountDeleted</t>
  </si>
  <si>
    <t xml:space="preserve">Detects that an account was created, used and then deleted within a short period of time. This is highly unusual activity and must be thoroughly investigated.</t>
  </si>
  <si>
    <t xml:space="preserve">https://filestore.fortinet.com/docs.fortinet.com/fsiem/Public_Resource_Access/7_6_0/rules/PH_RULE_TRANSIENT_ACCT_USAGE.htm</t>
  </si>
  <si>
    <t xml:space="preserve">PH_Rule_Scheduled_2</t>
  </si>
  <si>
    <t xml:space="preserve">Transient Windows Account Usage - Scheduled</t>
  </si>
  <si>
    <t xml:space="preserve">Windows Security log, Privilege/account change, Identity event group</t>
  </si>
  <si>
    <t xml:space="preserve">[AccountCreated] 
[LogonSuccess] 
[AccountDeleted] </t>
  </si>
  <si>
    <t xml:space="preserve">AccountCreated.targetUser = LogonSuccess.user AND LogonSuccess.user = AccountDeleted.targetUser AND AccountCreated.reptDevName = AccountDeleted.reptDevName</t>
  </si>
  <si>
    <t xml:space="preserve">Detects that an account was created, logged in to, and then deleted within a short period of time. This is highly unusual activity and must be thoroughly investigated</t>
  </si>
  <si>
    <t xml:space="preserve">https://filestore.fortinet.com/docs.fortinet.com/fsiem/Public_Resource_Access/7_6_0/rules/PH_RULE_SCH_TRANSIENT_ACCT_USAGE.htm</t>
  </si>
  <si>
    <t xml:space="preserve">PH_Rule_LT_3</t>
  </si>
  <si>
    <t xml:space="preserve">Uncommon AWS Console Login</t>
  </si>
  <si>
    <t xml:space="preserve">Correlation Using Lookup Table</t>
  </si>
  <si>
    <t xml:space="preserve">LookupTableHas(AWSLoginCountry_3,phCustId,user,srcGeoCountry) = 0</t>
  </si>
  <si>
    <t xml:space="preserve">hostName,user,srcGeoCountry</t>
  </si>
  <si>
    <t xml:space="preserve">Detects uncommon AWS console logins that have not been seen in the AWSLoginCountry lookup table. By default, the lookup table captures results for 1 day.</t>
  </si>
  <si>
    <t xml:space="preserve">https://filestore.fortinet.com/docs.fortinet.com/fsiem/Public_Resource_Access/7_6_0/rules/PH_RULE_AWS_UNCOMMON_LOGIN.htm</t>
  </si>
  <si>
    <t xml:space="preserve">PH_Rule_LT_5</t>
  </si>
  <si>
    <t xml:space="preserve">Uncommon Azure Portal Login</t>
  </si>
  <si>
    <t xml:space="preserve">MS_OFFICE365_EntraID_StsLogon_UserLoggedIn
MS_OFFICE365_EntraID_UserLoggedIn
MS_OFFICE365_UserLoggedIn_Succeeded</t>
  </si>
  <si>
    <t xml:space="preserve">LookupTableHas(AzurePortalLoginCountry_3,phCustId,user,srcGeoCountry) = 0</t>
  </si>
  <si>
    <t xml:space="preserve">user,srcGeoCountry</t>
  </si>
  <si>
    <t xml:space="preserve">Detects uncommon Azure portal logins that have not been seen in the AzurePortalLoginCountry lookup table. By default, the lookup table captures results for 1 day.</t>
  </si>
  <si>
    <t xml:space="preserve">https://filestore.fortinet.com/docs.fortinet.com/fsiem/Public_Resource_Access/7_6_0/rules/PH_RULE_AZURE_PORTAL_UNCOMMON_LOGIN.htm</t>
  </si>
  <si>
    <t xml:space="preserve">PH_Rule_LT_6</t>
  </si>
  <si>
    <t xml:space="preserve">Uncommon GSuite Login</t>
  </si>
  <si>
    <t xml:space="preserve">Google_Apps_login_login_success</t>
  </si>
  <si>
    <t xml:space="preserve">LookupTableHas(GSuiteLoginCountry_3,phCustId,user,srcGeoCountry) = 0</t>
  </si>
  <si>
    <t xml:space="preserve">Other: Google_Apps_login_login_success</t>
  </si>
  <si>
    <t xml:space="preserve">Detects uncommon Gsuite logins that have not been seen in the GSuiteLoginCountry lookup table. By default, the lookup table captures results for 1 day.</t>
  </si>
  <si>
    <t xml:space="preserve">https://filestore.fortinet.com/docs.fortinet.com/fsiem/Public_Resource_Access/7_6_0/rules/PH_RULE_GSUITE_UNCOMMON_LOGIN.htm</t>
  </si>
  <si>
    <t xml:space="preserve">PH_Rule_LT_9</t>
  </si>
  <si>
    <t xml:space="preserve">Uncommon Linux SSH Login</t>
  </si>
  <si>
    <t xml:space="preserve">T1078.002</t>
  </si>
  <si>
    <t xml:space="preserve">Generic_Unix_Successful_SSH_Login</t>
  </si>
  <si>
    <t xml:space="preserve">LookupTableHas(LinuxSSHLogin_3,phCustId,reptDevName,user) = 0</t>
  </si>
  <si>
    <t xml:space="preserve">Other: Generic_Unix_Successful_SSH_Login</t>
  </si>
  <si>
    <t xml:space="preserve">Detects uncommon server logins that have not been seen in the LinuxSSHLogin lookup table. By default, the lookup table captures results for 1 day. This means that either user never logs in to the host.</t>
  </si>
  <si>
    <t xml:space="preserve">https://filestore.fortinet.com/docs.fortinet.com/fsiem/Public_Resource_Access/7_6_0/rules/PH_RULE_LINUX_UNCOMMON_SSH.htm</t>
  </si>
  <si>
    <t xml:space="preserve">PH_Rule_LT_4</t>
  </si>
  <si>
    <t xml:space="preserve">Uncommon Office365 Mail Login</t>
  </si>
  <si>
    <t xml:space="preserve">LookupTableHas(O365MailLoginCountry_3,phCustId,user,srcGeoCountry) = 0</t>
  </si>
  <si>
    <t xml:space="preserve">Detects uncommon Office365 mail logins from users that have not been seen in the O365MailLoginCountry lookup table. By default, the lookup table captures results for 1 day.</t>
  </si>
  <si>
    <t xml:space="preserve">https://filestore.fortinet.com/docs.fortinet.com/fsiem/Public_Resource_Access/7_6_0/rules/PH_RULE_O365_MAIL_UNCOMMON_LOGIN.htm</t>
  </si>
  <si>
    <t xml:space="preserve">PH_Rule_LT_7</t>
  </si>
  <si>
    <t xml:space="preserve">Uncommon VPN Login</t>
  </si>
  <si>
    <t xml:space="preserve">LookupTableHas(VPNLoginCountry_3,phCustId,user,srcGeoCountry) = 0</t>
  </si>
  <si>
    <t xml:space="preserve">Detects uncommon VPN logins that have not been seen in the VPNLoginCountry lookup table. By default, the lookup table captures results for 1 day.</t>
  </si>
  <si>
    <t xml:space="preserve">https://filestore.fortinet.com/docs.fortinet.com/fsiem/Public_Resource_Access/7_6_0/rules/PH_RULE_VPN_UNCOMMON_LOGIN.htm</t>
  </si>
  <si>
    <t xml:space="preserve">PH_Rule_LT_8</t>
  </si>
  <si>
    <t xml:space="preserve">Uncommon Windows Server Login</t>
  </si>
  <si>
    <t xml:space="preserve">Windows Security log, Privilege/account change</t>
  </si>
  <si>
    <t xml:space="preserve">winLogonType = 10 AND LookupTableHas(WinRDPLogin_3,phCustId,reptDevName,user) = 0</t>
  </si>
  <si>
    <t xml:space="preserve">Detects uncommon Windows server logins that have not been seen in the ServerLogin lookup table. By default, the lookup table captures results for 1 day.</t>
  </si>
  <si>
    <t xml:space="preserve">https://filestore.fortinet.com/docs.fortinet.com/fsiem/Public_Resource_Access/7_6_0/rules/PH_RULE_WINDOWS_UNCOMMON_RDP.htm</t>
  </si>
  <si>
    <t xml:space="preserve">PH_Rule_Change_3F</t>
  </si>
  <si>
    <t xml:space="preserve">User added to Administrator Group</t>
  </si>
  <si>
    <t xml:space="preserve">Group@PH_SYS_EVENT_GroupMemberAdded</t>
  </si>
  <si>
    <t xml:space="preserve">DCUserGrpChange</t>
  </si>
  <si>
    <t xml:space="preserve">reptDevIpAddr IN (Group@PH_SYS_DEVICE_WINDOWS_SERVER) AND targetUserGrp = "Administrators"</t>
  </si>
  <si>
    <t xml:space="preserve">reptDevName,user,domain,securityId,targetUser,targetDomain</t>
  </si>
  <si>
    <t xml:space="preserve">Event-type group (membership not published): Group@PH_SYS_EVENT_GroupMemberAdded</t>
  </si>
  <si>
    <t xml:space="preserve">Detects users added to administrator group</t>
  </si>
  <si>
    <t xml:space="preserve">https://filestore.fortinet.com/docs.fortinet.com/fsiem/Public_Resource_Access/7_6_0/rules/PH_RULE_ADD_WIN_ADMINISTRATOR.htm</t>
  </si>
  <si>
    <t xml:space="preserve">PH_Rule_Change_3H</t>
  </si>
  <si>
    <t xml:space="preserve">User added to Backup Operator Group</t>
  </si>
  <si>
    <t xml:space="preserve">reptDevIpAddr IN (Group@PH_SYS_DEVICE_WINDOWS_SERVER) AND targetUserGrp = "Backup Operators"</t>
  </si>
  <si>
    <t xml:space="preserve">reptDevName, user,domain,securityId,targetUser,targetDomain</t>
  </si>
  <si>
    <t xml:space="preserve">Detects users added to backup operator group</t>
  </si>
  <si>
    <t xml:space="preserve">https://filestore.fortinet.com/docs.fortinet.com/fsiem/Public_Resource_Access/7_6_0/rules/PH_RULE_ADD_BACKUP_OPERATOR.htm</t>
  </si>
  <si>
    <t xml:space="preserve">PH_Rule_Change_3J</t>
  </si>
  <si>
    <t xml:space="preserve">User added to DNS Admin Group</t>
  </si>
  <si>
    <t xml:space="preserve">reptVendor = "Microsoft" AND targetUserGrp = "DnsAdmins"</t>
  </si>
  <si>
    <t xml:space="preserve">Detects users added to DNS Admin group</t>
  </si>
  <si>
    <t xml:space="preserve">https://filestore.fortinet.com/docs.fortinet.com/fsiem/Public_Resource_Access/7_6_0/rules/PH_RULE_ADD_DNS_ADMIN.htm</t>
  </si>
  <si>
    <t xml:space="preserve">PH_Rule_Change_3B</t>
  </si>
  <si>
    <t xml:space="preserve">User added to Domain Admin Group</t>
  </si>
  <si>
    <t xml:space="preserve">Active Directory, Windows Security log, Privilege/account change, Identity event group</t>
  </si>
  <si>
    <t xml:space="preserve">reptVendor = "Microsoft" AND targetUserGrp = "Domain Admins"</t>
  </si>
  <si>
    <t xml:space="preserve">reptDevName,user,computer,domain,targetUser,targetUserGrp,targetDomain</t>
  </si>
  <si>
    <t xml:space="preserve">Detects users added to domain admin group</t>
  </si>
  <si>
    <t xml:space="preserve">https://filestore.fortinet.com/docs.fortinet.com/fsiem/Public_Resource_Access/7_6_0/rules/PH_RULE_ADD_DOMAIN_ADMIN.htm</t>
  </si>
  <si>
    <t xml:space="preserve">PH_Rule_Change_3D</t>
  </si>
  <si>
    <t xml:space="preserve">User added to Remote Desktop User Group</t>
  </si>
  <si>
    <t xml:space="preserve">reptDevIpAddr IN (Group@PH_SYS_DEVICE_WINDOWS_SERVER) AND targetUserGrp = "Remote Desktop Users"</t>
  </si>
  <si>
    <t xml:space="preserve">Detects users added to remote desktop user group</t>
  </si>
  <si>
    <t xml:space="preserve">https://filestore.fortinet.com/docs.fortinet.com/fsiem/Public_Resource_Access/7_6_0/rules/PH_RULE_ADD_REMOTE_DESKTOP_USER.htm</t>
  </si>
  <si>
    <t xml:space="preserve">PH_Rule_Change_3G</t>
  </si>
  <si>
    <t xml:space="preserve">User deleted from Administrator Group</t>
  </si>
  <si>
    <t xml:space="preserve">Group@PH_SYS_EVENT_GroupMemberRemoved</t>
  </si>
  <si>
    <t xml:space="preserve">reptDevIpAddr IN (Group@PH_SYS_DEVICE_WINDOWS_SERVER) AND targetUserGrp = "Administrator"</t>
  </si>
  <si>
    <t xml:space="preserve">Event-type group (membership not published): Group@PH_SYS_EVENT_GroupMemberRemoved</t>
  </si>
  <si>
    <t xml:space="preserve">Detects users deleted from administrator group</t>
  </si>
  <si>
    <t xml:space="preserve">https://filestore.fortinet.com/docs.fortinet.com/fsiem/Public_Resource_Access/7_6_0/rules/PH_RULE_DELETE_WIN_ADMINISTRATOR.htm</t>
  </si>
  <si>
    <t xml:space="preserve">PH_Rule_Change_3I</t>
  </si>
  <si>
    <t xml:space="preserve">User deleted from Backup Operator Group</t>
  </si>
  <si>
    <t xml:space="preserve">Detects users deleted from backup operator group</t>
  </si>
  <si>
    <t xml:space="preserve">https://filestore.fortinet.com/docs.fortinet.com/fsiem/Public_Resource_Access/7_6_0/rules/PH_RULE_DELETE_BACKUP_OPERATOR.htm</t>
  </si>
  <si>
    <t xml:space="preserve">PH_Rule_Change_3K</t>
  </si>
  <si>
    <t xml:space="preserve">User deleted from DNS Admins Group</t>
  </si>
  <si>
    <t xml:space="preserve">https://filestore.fortinet.com/docs.fortinet.com/fsiem/Public_Resource_Access/7_6_0/rules/PH_RULE_DELETE_DNS_ADMIN.htm</t>
  </si>
  <si>
    <t xml:space="preserve">PH_Rule_Change_3C</t>
  </si>
  <si>
    <t xml:space="preserve">User deleted from Domain Admin Group</t>
  </si>
  <si>
    <t xml:space="preserve">Detects users deleted from domain admin group</t>
  </si>
  <si>
    <t xml:space="preserve">https://filestore.fortinet.com/docs.fortinet.com/fsiem/Public_Resource_Access/7_6_0/rules/PH_RULE_DELETE_DOMAIN_ADMIN.htm</t>
  </si>
  <si>
    <t xml:space="preserve">PH_Rule_Change_3E</t>
  </si>
  <si>
    <t xml:space="preserve">User deleted from Remote Desktop User Group</t>
  </si>
  <si>
    <t xml:space="preserve">Detects users deleted from remote desktop user group</t>
  </si>
  <si>
    <t xml:space="preserve">https://filestore.fortinet.com/docs.fortinet.com/fsiem/Public_Resource_Access/7_6_0/rules/PH_RULE_DELETE_REMOTE_DESKTOP_USER.htm</t>
  </si>
  <si>
    <t xml:space="preserve">PH_Rule_UserAcct_4</t>
  </si>
  <si>
    <t xml:space="preserve">Windows Account Unlocked</t>
  </si>
  <si>
    <t xml:space="preserve">Win-Security-4767</t>
  </si>
  <si>
    <t xml:space="preserve">reptDevName,user,targetUser,domain</t>
  </si>
  <si>
    <t xml:space="preserve">Windows Security log: Security 4767</t>
  </si>
  <si>
    <t xml:space="preserve">Detects Windows user account unlocked</t>
  </si>
  <si>
    <t xml:space="preserve">https://filestore.fortinet.com/docs.fortinet.com/fsiem/Public_Resource_Access/7_6_0/rules/PH_RULE_WIN_USER_UNLOCKED.htm</t>
  </si>
  <si>
    <t xml:space="preserve">PH_Rule_PolicyViolation_11</t>
  </si>
  <si>
    <t xml:space="preserve">Windows Audit Policy Changed</t>
  </si>
  <si>
    <t xml:space="preserve">T1562.003</t>
  </si>
  <si>
    <t xml:space="preserve">Win-Security-4719
Win-Security-612</t>
  </si>
  <si>
    <t xml:space="preserve">AuditDisabled</t>
  </si>
  <si>
    <t xml:space="preserve">user != "SYSTEM" AND user NOT CONTAIN "$"</t>
  </si>
  <si>
    <t xml:space="preserve">Windows Security log: Security 4719
Other Windows log: Security</t>
  </si>
  <si>
    <t xml:space="preserve">Detects that a user changed Windows audit policy</t>
  </si>
  <si>
    <t xml:space="preserve">https://filestore.fortinet.com/docs.fortinet.com/fsiem/Public_Resource_Access/7_6_0/rules/PH_RULE_AUDIT_DISABLED.htm</t>
  </si>
  <si>
    <t xml:space="preserve">PH_Rule_Avail_59</t>
  </si>
  <si>
    <t xml:space="preserve">Windows Cluster Service Membership Error</t>
  </si>
  <si>
    <t xml:space="preserve">Windows Cluster Service</t>
  </si>
  <si>
    <t xml:space="preserve">Group@PH_SYS_EVENT_WinClusterMembershipErr</t>
  </si>
  <si>
    <t xml:space="preserve">ServerDown</t>
  </si>
  <si>
    <t xml:space="preserve">Event-type group (membership not published): Group@PH_SYS_EVENT_WinClusterMembershipErr</t>
  </si>
  <si>
    <t xml:space="preserve">Detects Windows Cluster Service Membership Error</t>
  </si>
  <si>
    <t xml:space="preserve">https://filestore.fortinet.com/docs.fortinet.com/fsiem/Public_Resource_Access/7_6_0/rules/PH_RULE_WINDOWS_CLUSTER_MEMBERSHIP_ERROR.htm</t>
  </si>
  <si>
    <t xml:space="preserve">PH_Rule_Avail_58</t>
  </si>
  <si>
    <t xml:space="preserve">Windows Cluster Service Quorum Error</t>
  </si>
  <si>
    <t xml:space="preserve">Group@PH_SYS_EVENT_WinClusterQuorumErr</t>
  </si>
  <si>
    <t xml:space="preserve">Event-type group (membership not published): Group@PH_SYS_EVENT_WinClusterQuorumErr</t>
  </si>
  <si>
    <t xml:space="preserve">Detects Windows Cluster Service Quorum Error</t>
  </si>
  <si>
    <t xml:space="preserve">https://filestore.fortinet.com/docs.fortinet.com/fsiem/Public_Resource_Access/7_6_0/rules/PH_RULE_WINDOWS_CLUSTER_QUORUM_ERROR.htm</t>
  </si>
  <si>
    <t xml:space="preserve">PH_Rule_Avail_57</t>
  </si>
  <si>
    <t xml:space="preserve">Windows Cluster Service Startup Error</t>
  </si>
  <si>
    <t xml:space="preserve">Group@PH_SYS_EVENT_WinClusterStartupErr</t>
  </si>
  <si>
    <t xml:space="preserve">Event-type group (membership not published): Group@PH_SYS_EVENT_WinClusterStartupErr</t>
  </si>
  <si>
    <t xml:space="preserve">Detects Windows Cluster Service Startup Error</t>
  </si>
  <si>
    <t xml:space="preserve">https://filestore.fortinet.com/docs.fortinet.com/fsiem/Public_Resource_Access/7_6_0/rules/PH_RULE_WINDOWS_CLUSTER_STARTUP_ERROR.htm</t>
  </si>
  <si>
    <t xml:space="preserve">PH_Rule_Change_29</t>
  </si>
  <si>
    <t xml:space="preserve">Windows Collector FIM: File Permission Changed</t>
  </si>
  <si>
    <t xml:space="preserve">T1222.001, T1565.001</t>
  </si>
  <si>
    <t xml:space="preserve">Microsoft Windows FIM via Windows Collector</t>
  </si>
  <si>
    <t xml:space="preserve">AO-WUA-FileMon-PermissionChange</t>
  </si>
  <si>
    <t xml:space="preserve">File</t>
  </si>
  <si>
    <t xml:space="preserve">reptDevName,fileName,user,fileOwner</t>
  </si>
  <si>
    <t xml:space="preserve">Other: AO-WUA-FileMon-PermissionChange</t>
  </si>
  <si>
    <t xml:space="preserve">FortiSOC Windows Collector FIM detected that a file permission changed</t>
  </si>
  <si>
    <t xml:space="preserve">https://filestore.fortinet.com/docs.fortinet.com/fsiem/Public_Resource_Access/7_6_0/rules/PH_RULE_WIN_AGENT_FILE_PERM_CHANGE.htm</t>
  </si>
  <si>
    <t xml:space="preserve">PH_Rule_Access_66</t>
  </si>
  <si>
    <t xml:space="preserve">Windows Dormant Account Detected</t>
  </si>
  <si>
    <t xml:space="preserve">PH_DISCOV_ADS_DORMANT_ACCT</t>
  </si>
  <si>
    <t xml:space="preserve">DormantUser</t>
  </si>
  <si>
    <t xml:space="preserve">phEventCategory = 3</t>
  </si>
  <si>
    <t xml:space="preserve">hostName,hostIpAddr,user,userFullName</t>
  </si>
  <si>
    <t xml:space="preserve">Other: PH_DISCOV_ADS_DORMANT_ACCT</t>
  </si>
  <si>
    <t xml:space="preserve">During LDAP discovery, the "lastLogonTimestamp" user attribute is inspected for each user. This event fires when an account has been dormant for more than 30 days. This user is added to the Dormant Users watchlist.</t>
  </si>
  <si>
    <t xml:space="preserve">https://filestore.fortinet.com/docs.fortinet.com/fsiem/Public_Resource_Access/7_6_0/rules/PH_RULE_DORMANT_USER_DETECTED.htm</t>
  </si>
  <si>
    <t xml:space="preserve">PH_Rule_Change_9</t>
  </si>
  <si>
    <t xml:space="preserve">Windows failed file access</t>
  </si>
  <si>
    <t xml:space="preserve">T1005, T1565.001</t>
  </si>
  <si>
    <t xml:space="preserve">Group@PH_SYS_EVENT_FileChange</t>
  </si>
  <si>
    <t xml:space="preserve">FileAccessFailure</t>
  </si>
  <si>
    <t xml:space="preserve">reptDevIpAddr IN (Group@PH_SYS_DEVICE_WINDOWS_SERVER) AND eventAction = 1 AND user NOT CONTAIN "$"</t>
  </si>
  <si>
    <t xml:space="preserve">user,domain,osObjName,reptDevIpAddr,reptDevName</t>
  </si>
  <si>
    <t xml:space="preserve">Event-type group (membership not published): Group@PH_SYS_EVENT_FileChange</t>
  </si>
  <si>
    <t xml:space="preserve">Detects that a user failed to modify either the content or the attributes of a file or directory</t>
  </si>
  <si>
    <t xml:space="preserve">https://filestore.fortinet.com/docs.fortinet.com/fsiem/Public_Resource_Access/7_6_0/rules/PH_RULE_WINDOWS_FAILED_FILE_ACCESS.htm</t>
  </si>
  <si>
    <t xml:space="preserve">PH_Rule_UserAcct_11</t>
  </si>
  <si>
    <t xml:space="preserve">Windows Groups Changed</t>
  </si>
  <si>
    <t xml:space="preserve">CONTAIN:Win-Security
Group@PH_SYS_EVENT_GroupChanged</t>
  </si>
  <si>
    <t xml:space="preserve">reptDevName,user,domain,targetUserGrp,targetDomain</t>
  </si>
  <si>
    <t xml:space="preserve">Other Windows log: Security
Event-type group (membership not published): Group@PH_SYS_EVENT_GroupChanged</t>
  </si>
  <si>
    <t xml:space="preserve">Detects Security or Distribution Groups Changed</t>
  </si>
  <si>
    <t xml:space="preserve">https://filestore.fortinet.com/docs.fortinet.com/fsiem/Public_Resource_Access/7_6_0/rules/PH_RULE_WIN_GROUP_CHANGED.htm</t>
  </si>
  <si>
    <t xml:space="preserve">PH_Rule_UserAcct_9</t>
  </si>
  <si>
    <t xml:space="preserve">Windows Groups Created</t>
  </si>
  <si>
    <t xml:space="preserve">CONTAIN:Win-Security
Group@PH_SYS_EVENT_GroupCreated</t>
  </si>
  <si>
    <t xml:space="preserve">Other Windows log: Security
Event-type group (membership not published): Group@PH_SYS_EVENT_GroupCreated</t>
  </si>
  <si>
    <t xml:space="preserve">Detects Security or Distribution Groups Created</t>
  </si>
  <si>
    <t xml:space="preserve">https://filestore.fortinet.com/docs.fortinet.com/fsiem/Public_Resource_Access/7_6_0/rules/PH_RULE_WIN_GROUP_CREATED.htm</t>
  </si>
  <si>
    <t xml:space="preserve">PH_Rule_UserAcct_10</t>
  </si>
  <si>
    <t xml:space="preserve">Windows Groups Deleted</t>
  </si>
  <si>
    <t xml:space="preserve">CONTAIN:Win-Security
Group@PH_SYS_EVENT_GroupDeleted</t>
  </si>
  <si>
    <t xml:space="preserve">Other Windows log: Security
Event-type group (membership not published): Group@PH_SYS_EVENT_GroupDeleted</t>
  </si>
  <si>
    <t xml:space="preserve">Detects Security or Distribution Groups Deleted</t>
  </si>
  <si>
    <t xml:space="preserve">https://filestore.fortinet.com/docs.fortinet.com/fsiem/Public_Resource_Access/7_6_0/rules/PH_RULE_WIN_GROUP_DELETED.htm</t>
  </si>
  <si>
    <t xml:space="preserve">PH_RULE_WIN_SEC_LOG_SVC_SHUTDOWN</t>
  </si>
  <si>
    <t xml:space="preserve">Windows Logging Service Shutdown</t>
  </si>
  <si>
    <t xml:space="preserve">T1562.002</t>
  </si>
  <si>
    <t xml:space="preserve">Win-Security-1100</t>
  </si>
  <si>
    <t xml:space="preserve">Audit</t>
  </si>
  <si>
    <t xml:space="preserve">reptDevName,user,domain</t>
  </si>
  <si>
    <t xml:space="preserve">Windows Security log: Security 1100</t>
  </si>
  <si>
    <t xml:space="preserve">Detects that the windows logging service was shutdown</t>
  </si>
  <si>
    <t xml:space="preserve">https://filestore.fortinet.com/docs.fortinet.com/fsiem/Public_Resource_Access/7_6_0/rules/PH_RULE_WIN_SEC_LOG_SVC_SHUTDOWN.htm</t>
  </si>
  <si>
    <t xml:space="preserve">PH_RULE_WIN_SEC_LOG_SVC_SHUTDOWN_NO_RESTART</t>
  </si>
  <si>
    <t xml:space="preserve">Windows Logging Service Shutdown Without Restart</t>
  </si>
  <si>
    <t xml:space="preserve">Win-Security-1100
Win-System-EventLog-6005
Win-System-User32-1074</t>
  </si>
  <si>
    <t xml:space="preserve">shutdown NOT_FOLLOWED_BY restart</t>
  </si>
  <si>
    <t xml:space="preserve">[shutdown] —
[restart] —</t>
  </si>
  <si>
    <t xml:space="preserve">[shutdown] reptDevName,user
[restart] reptDevName,user</t>
  </si>
  <si>
    <t xml:space="preserve">[shutdown] COUNT(*) &gt;= 1
[restart] COUNT(*) &gt;= 1</t>
  </si>
  <si>
    <t xml:space="preserve">shutdown.reptDevName=restart.reptDevName</t>
  </si>
  <si>
    <t xml:space="preserve">Windows Security log: Security 1100
Windows System log: System 6005
Windows System log: System 1074</t>
  </si>
  <si>
    <t xml:space="preserve">Detects that the windows logging service was shutdown and did not restart within 15 minutes, indicating it may have been intentionally disabled</t>
  </si>
  <si>
    <t xml:space="preserve">https://filestore.fortinet.com/docs.fortinet.com/fsiem/Public_Resource_Access/7_6_0/rules/PH_RULE_WIN_SEC_LOG_SVC_SHUTDOWN_NO_RESTART.htm</t>
  </si>
  <si>
    <t xml:space="preserve">PH_Rule_PolicyViolation_10</t>
  </si>
  <si>
    <t xml:space="preserve">Windows Security Log Cleared</t>
  </si>
  <si>
    <t xml:space="preserve">T1070.001</t>
  </si>
  <si>
    <t xml:space="preserve">Win-Security-1102
Win-Security-517</t>
  </si>
  <si>
    <t xml:space="preserve">AuditLogCleared</t>
  </si>
  <si>
    <t xml:space="preserve">Other Windows log: Security
Windows Security log: Security 1102</t>
  </si>
  <si>
    <t xml:space="preserve">Detects that a user cleared the windows security log</t>
  </si>
  <si>
    <t xml:space="preserve">https://filestore.fortinet.com/docs.fortinet.com/fsiem/Public_Resource_Access/7_6_0/rules/PH_RULE_WIN_SEC_LOG_CLEARED.htm</t>
  </si>
  <si>
    <t xml:space="preserve">PH_RULE_WIN_SEC_LOG_FULL</t>
  </si>
  <si>
    <t xml:space="preserve">Windows Security Log is Full</t>
  </si>
  <si>
    <t xml:space="preserve">Win-Security-1104</t>
  </si>
  <si>
    <t xml:space="preserve">reptDevName,domain</t>
  </si>
  <si>
    <t xml:space="preserve">Windows Security log: Security 1104</t>
  </si>
  <si>
    <t xml:space="preserve">Detects that the windows security log buffer is full</t>
  </si>
  <si>
    <t xml:space="preserve">https://filestore.fortinet.com/docs.fortinet.com/fsiem/Public_Resource_Access/7_6_0/rules/PH_RULE_WIN_SEC_LOG_FULL.htm</t>
  </si>
  <si>
    <t xml:space="preserve">PH_Rule_Change_10</t>
  </si>
  <si>
    <t xml:space="preserve">Windows successful file access</t>
  </si>
  <si>
    <t xml:space="preserve">FileAccessSuccess</t>
  </si>
  <si>
    <t xml:space="preserve">reptDevIpAddr IN (Group@PH_SYS_DEVICE_WINDOWS_SERVER) AND eventAction = 0 AND user NOT CONTAIN "$"</t>
  </si>
  <si>
    <t xml:space="preserve">Detects that a user successfully modified either the content or the attributes of a file or directory</t>
  </si>
  <si>
    <t xml:space="preserve">https://filestore.fortinet.com/docs.fortinet.com/fsiem/Public_Resource_Access/7_6_0/rules/PH_RULE_WINDOWS_SUCCESS_FILE_ACCESS.htm</t>
  </si>
  <si>
    <t xml:space="preserve">PH_Rule_UserAcct_6</t>
  </si>
  <si>
    <t xml:space="preserve">Windows User Account Disabled</t>
  </si>
  <si>
    <t xml:space="preserve">Detects Windows user account disabled on a server</t>
  </si>
  <si>
    <t xml:space="preserve">https://filestore.fortinet.com/docs.fortinet.com/fsiem/Public_Resource_Access/7_6_0/rules/PH_RULE_WIN_USER_DISABLED.htm</t>
  </si>
  <si>
    <t xml:space="preserve">PH_Rule_UserAcct_5</t>
  </si>
  <si>
    <t xml:space="preserve">Windows User Account Enabled</t>
  </si>
  <si>
    <t xml:space="preserve">Win-Security-4722</t>
  </si>
  <si>
    <t xml:space="preserve">Windows Security log: Security 4722</t>
  </si>
  <si>
    <t xml:space="preserve">Detects Windows user account enabled on a server</t>
  </si>
  <si>
    <t xml:space="preserve">https://filestore.fortinet.com/docs.fortinet.com/fsiem/Public_Resource_Access/7_6_0/rules/PH_RULE_WIN_USER_ENABLED.htm</t>
  </si>
  <si>
    <t xml:space="preserve">PH_Rule_UserAcct_3B</t>
  </si>
  <si>
    <t xml:space="preserve">Windows User Account Name Changed</t>
  </si>
  <si>
    <t xml:space="preserve">Win-Security-4781</t>
  </si>
  <si>
    <t xml:space="preserve">Windows Security log: Security 4781</t>
  </si>
  <si>
    <t xml:space="preserve">Detects Windows user account name changed on a server</t>
  </si>
  <si>
    <t xml:space="preserve">https://filestore.fortinet.com/docs.fortinet.com/fsiem/Public_Resource_Access/7_6_0/rules/PH_RULE_WIN_USER_NAME_CHANGED.htm</t>
  </si>
  <si>
    <t xml:space="preserve">PH_Rule_UserAcct_3C</t>
  </si>
  <si>
    <t xml:space="preserve">Windows User Account Properties Changed</t>
  </si>
  <si>
    <t xml:space="preserve">Win-Security-4738</t>
  </si>
  <si>
    <t xml:space="preserve">Windows Security log: Security 4738</t>
  </si>
  <si>
    <t xml:space="preserve">Detects Windows user account properties changed on a server</t>
  </si>
  <si>
    <t xml:space="preserve">https://filestore.fortinet.com/docs.fortinet.com/fsiem/Public_Resource_Access/7_6_0/rules/PH_RULE_WIN_USER_PROP_CHANGED.htm</t>
  </si>
  <si>
    <t xml:space="preserve">PH_Rule_UserAcct_7</t>
  </si>
  <si>
    <t xml:space="preserve">Windows User Added to Groups</t>
  </si>
  <si>
    <t xml:space="preserve">CONTAIN:Win-Security
Group@PH_SYS_EVENT_GroupMemberAdded</t>
  </si>
  <si>
    <t xml:space="preserve">reptDevName,user,targetUser,targetUserGrp,domain</t>
  </si>
  <si>
    <t xml:space="preserve">Other Windows log: Security
Event-type group (membership not published): Group@PH_SYS_EVENT_GroupMemberAdded</t>
  </si>
  <si>
    <t xml:space="preserve">Detects Windows user added to Security or Distribution Groups</t>
  </si>
  <si>
    <t xml:space="preserve">https://filestore.fortinet.com/docs.fortinet.com/fsiem/Public_Resource_Access/7_6_0/rules/PH_RULE_WIN_USER_ADDED_TO_GROUP.htm</t>
  </si>
  <si>
    <t xml:space="preserve">PH_Rule_UserAcct_1</t>
  </si>
  <si>
    <t xml:space="preserve">Windows User Created</t>
  </si>
  <si>
    <t xml:space="preserve">Detects Windows user account being created on a server</t>
  </si>
  <si>
    <t xml:space="preserve">https://filestore.fortinet.com/docs.fortinet.com/fsiem/Public_Resource_Access/7_6_0/rules/PH_RULE_WIN_USER_CREATED.htm</t>
  </si>
  <si>
    <t xml:space="preserve">PH_Rule_UserAcct_2</t>
  </si>
  <si>
    <t xml:space="preserve">Windows User Deleted</t>
  </si>
  <si>
    <t xml:space="preserve">Win-Security-4726</t>
  </si>
  <si>
    <t xml:space="preserve">Windows Security log: Security 4726</t>
  </si>
  <si>
    <t xml:space="preserve">Detects Windows user account being deleted on a server</t>
  </si>
  <si>
    <t xml:space="preserve">https://filestore.fortinet.com/docs.fortinet.com/fsiem/Public_Resource_Access/7_6_0/rules/PH_RULE_WIN_USER_DELETED.htm</t>
  </si>
  <si>
    <t xml:space="preserve">PH_Rule_Change_3</t>
  </si>
  <si>
    <t xml:space="preserve">Windows User or Group Modification</t>
  </si>
  <si>
    <t xml:space="preserve">Group@PH_SYS_EVENT_AccountChanged</t>
  </si>
  <si>
    <t xml:space="preserve">reptVendor = "Microsoft"</t>
  </si>
  <si>
    <t xml:space="preserve">reptDevName,user,computer,domain,targetUser,targetDomain</t>
  </si>
  <si>
    <t xml:space="preserve">Event-type group (membership not published): Group@PH_SYS_EVENT_AccountChanged</t>
  </si>
  <si>
    <t xml:space="preserve">Detects user/group configuration in a domain controller. This rule would trigger on all changes made by any person. To prevent false positives, a restriction on the user attribute should be made by excluding the domain administrators.</t>
  </si>
  <si>
    <t xml:space="preserve">https://filestore.fortinet.com/docs.fortinet.com/fsiem/Public_Resource_Access/7_6_0/rules/PH_RULE_CHANGE_DC_USER_GRP.htm</t>
  </si>
  <si>
    <t xml:space="preserve">PH_Rule_UserAcct_3</t>
  </si>
  <si>
    <t xml:space="preserve">Windows User Password Changed</t>
  </si>
  <si>
    <t xml:space="preserve">Win-Security-4723
Win-Security-4724</t>
  </si>
  <si>
    <t xml:space="preserve">Windows Security log: Security 4723
Windows Security log: Security 4724</t>
  </si>
  <si>
    <t xml:space="preserve">Detects Windows user password changed on a server</t>
  </si>
  <si>
    <t xml:space="preserve">https://filestore.fortinet.com/docs.fortinet.com/fsiem/Public_Resource_Access/7_6_0/rules/PH_RULE_WIN_USER_PWD_CHANGED.htm</t>
  </si>
  <si>
    <t xml:space="preserve">PH_Rule_UserAcct_8</t>
  </si>
  <si>
    <t xml:space="preserve">Windows User Removed from Groups</t>
  </si>
  <si>
    <t xml:space="preserve">CONTAIN:Win-Security
Group@PH_SYS_EVENT_GroupMemberRemoved</t>
  </si>
  <si>
    <t xml:space="preserve">Other Windows log: Security
Event-type group (membership not published): Group@PH_SYS_EVENT_GroupMemberRemoved</t>
  </si>
  <si>
    <t xml:space="preserve">Detects Windows user removed from Security or Distribution Groups</t>
  </si>
  <si>
    <t xml:space="preserve">https://filestore.fortinet.com/docs.fortinet.com/fsiem/Public_Resource_Access/7_6_0/rules/PH_RULE_WIN_USER_REMOVED_GROUP.htm</t>
  </si>
  <si>
    <t xml:space="preserve">PH_Rule_SIGMA_1854</t>
  </si>
  <si>
    <t xml:space="preserve">Windows: A Member Was Removed From a Security-Enabled Global Group</t>
  </si>
  <si>
    <t xml:space="preserve">Win-Security-4729
Win-Security-633</t>
  </si>
  <si>
    <t xml:space="preserve">Windows Security log: Security 4729
Other Windows log: Security</t>
  </si>
  <si>
    <t xml:space="preserve">Detects activity when a member is removed from a security-enabled global group. This rule is adapted from https://github.com/SigmaHQ/sigma/blob/master/rules/windows/builtin/security/account_management/win_security_member_removed_security_enabled_global_group.yml</t>
  </si>
  <si>
    <t xml:space="preserve">https://filestore.fortinet.com/docs.fortinet.com/fsiem/Public_Resource_Access/7_6_0/rules/PH_RULE_A_Member_Was_Removed_From_a_Security_Enabled_Global_Group.htm</t>
  </si>
  <si>
    <t xml:space="preserve">PH_Rule_SIGMA_1118</t>
  </si>
  <si>
    <t xml:space="preserve">Windows: A Rule Has Been Deleted From The Windows Firewall Exception List</t>
  </si>
  <si>
    <t xml:space="preserve">Win-Firewall-AS-2006
Win-Firewall-AS-2052</t>
  </si>
  <si>
    <t xml:space="preserve">appName NOT REGEXP "^C:\\Program Files \(x86\)\\|^C:\\Program Files\\|^C:\\Windows\\WinSxS\\" AND appName!="C:\\Windows\\System32\\svchost.exe" AND appName IS NOT NULL AND appName!="" AND (appName NOT REGEXP "^C:\\ProgramData\\Microsoft\\Windows Defender\\Platform\\" OR appName NOT REGEXP "\\MsMpEng\.exe$")</t>
  </si>
  <si>
    <t xml:space="preserve">appName,hostName</t>
  </si>
  <si>
    <t xml:space="preserve">Other Windows log: Firewall</t>
  </si>
  <si>
    <t xml:space="preserve">Detects when a single rules or all of the rules have been deleted from the Windows Defender Firewall. This rule is adapted from https://github.com/SigmaHQ/sigma/blob/master/rules/windows/builtin/firewall_as/win_firewall_as_delete_rule.yml</t>
  </si>
  <si>
    <t xml:space="preserve">https://filestore.fortinet.com/docs.fortinet.com/fsiem/Public_Resource_Access/7_6_0/rules/PH_RULE_Delete_Rule_in_Windows_Firewall_with_Advanced_Security.htm</t>
  </si>
  <si>
    <t xml:space="preserve">PH_Rule_SIGMA_1855</t>
  </si>
  <si>
    <t xml:space="preserve">Windows: A Security-Enabled Global Group Was Deleted</t>
  </si>
  <si>
    <t xml:space="preserve">Win-Security-4730
Win-Security-634</t>
  </si>
  <si>
    <t xml:space="preserve">Windows Security log: Security 4730
Other Windows log: Security</t>
  </si>
  <si>
    <t xml:space="preserve">Detects activity when a security-enabled global group is deleted. This rule is adapted from https://github.com/SigmaHQ/sigma/blob/master/rules/windows/builtin/security/account_management/win_security_security_enabled_global_group_deleted.yml</t>
  </si>
  <si>
    <t xml:space="preserve">https://filestore.fortinet.com/docs.fortinet.com/fsiem/Public_Resource_Access/7_6_0/rules/PH_RULE_A_Security_Enabled_Global_Group_Was_Deleted.htm</t>
  </si>
  <si>
    <t xml:space="preserve">PH_Rule_SIGMA_2420</t>
  </si>
  <si>
    <t xml:space="preserve">Windows: AADInternals PowerShell Cmdlets Execution - ProccessCreation</t>
  </si>
  <si>
    <t xml:space="preserve">Entra ID, Active Directory</t>
  </si>
  <si>
    <t xml:space="preserve">(procName REGEXP "\\powershell\.exe$|\\powershell_ise\.exe$|\\pwsh\.exe$" OR srcFileName IN ("PowerShell.Exe","pwsh.dll")) AND command REGEXP "Add-AADInt|ConvertTo-AADInt|Disable-AADInt|Enable-AADInt|Export-AADInt|Find-AADInt|Get-AADInt|Grant-AADInt|Initialize-AADInt|Install-AADInt|Invoke-AADInt|Join-AADInt|New-AADInt|Open-AADInt|Read-AADInt|Register-AADInt|Remove-AADInt|Reset-AADInt|Resolve-AADInt|Restore-AADInt|Save-AADInt|Search-AADInt|Send-AADInt|Set-AADInt|Start-AADInt|Unprotect-AADInt|Update-AADInt"</t>
  </si>
  <si>
    <t xml:space="preserve">Detects ADDInternals Cmdlet execution. A tool for administering Azure AD and Office 365. Which can be abused by threat actors to attack Azure AD or Office 365.. This rule is adapted from https://github.com/SigmaHQ/sigma/blob/master/rules/windows/process_creation/proc_creation_win_powershell_aadinternals_cmdlets_execution.yml</t>
  </si>
  <si>
    <t xml:space="preserve">https://filestore.fortinet.com/docs.fortinet.com/fsiem/Public_Resource_Access/7_6_0/rules/PH_RULE_AADInternals_PowerShell_Cmdlets_Execution_ProccessCreation.htm</t>
  </si>
  <si>
    <t xml:space="preserve">PH_Rule_windows_SIGMA_3123</t>
  </si>
  <si>
    <t xml:space="preserve">Windows: AADInternals PowerShell Cmdlets Execution - PsScript</t>
  </si>
  <si>
    <t xml:space="preserve">Microsoft Windows Powershell Operational Logs via Windows Collector
[Corrected: Fortinet docs label this rule "CyberArk Enterprise Password Vault via Syslog"; source derived from its event types]</t>
  </si>
  <si>
    <t xml:space="preserve">Win-PowerShell-4104</t>
  </si>
  <si>
    <t xml:space="preserve">script REGEXP "Add-AADInt|ConvertTo-AADInt|Disable-AADInt|Enable-AADInt|Export-AADInt|Find-AADInt|Get-AADInt|Grant-AADInt|Initialize-AADInt|Install-AADInt|Invoke-AADInt|Join-AADInt|New-AADInt|Open-AADInt|Read-AADInt|Register-AADInt|Remove-AADInt|Reset-AADInt|Resolve-AADInt|Restore-AADInt|Save-AADInt|Search-AADInt|Send-AADInt|Set-AADInt|Start-AADInt|Unprotect-AADInt|Update-AADInt"</t>
  </si>
  <si>
    <t xml:space="preserve">hostName,script,user</t>
  </si>
  <si>
    <t xml:space="preserve">PowerShell Operational: PowerShell 4104</t>
  </si>
  <si>
    <t xml:space="preserve">s4</t>
  </si>
  <si>
    <t xml:space="preserve">Detects ADDInternals Cmdlet execution. A tool for administering Azure AD and Office 365. Which can be abused by threat actors to attack Azure AD or Office 365.. This rule is adapted from https://github.com/SigmaHQ/sigma/blob/master/rules/windows/powershell/powershell_script/posh_ps_aadinternals_cmdlets_execution.yml</t>
  </si>
  <si>
    <t xml:space="preserve">https://filestore.fortinet.com/docs.fortinet.com/fsiem/Public_Resource_Access/7_6_0/rules/PH_RULE_AADInternals_PowerShell_Cmdlets_Execution_PsScript.htm</t>
  </si>
  <si>
    <t xml:space="preserve">PH_Rule_SIGMA_8</t>
  </si>
  <si>
    <t xml:space="preserve">Windows: Access to ADMIN Share</t>
  </si>
  <si>
    <t xml:space="preserve">T1021.002</t>
  </si>
  <si>
    <t xml:space="preserve">Win-Security-5140</t>
  </si>
  <si>
    <t xml:space="preserve">(fileName="Admin$") AND (user NOT REGEXP "\$$")</t>
  </si>
  <si>
    <t xml:space="preserve">fileName,hostName,user</t>
  </si>
  <si>
    <t xml:space="preserve">Windows Security log: Security 5140</t>
  </si>
  <si>
    <t xml:space="preserve">Detects access to ADMIN share. This rule is adapted from https://github.com/SigmaHQ/sigma/blob/master/rules/windows/builtin/security/win_security_admin_share_access.yml</t>
  </si>
  <si>
    <t xml:space="preserve">https://filestore.fortinet.com/docs.fortinet.com/fsiem/Public_Resource_Access/7_6_0/rules/PH_RULE_Access_to_ADMIN_Share.htm</t>
  </si>
  <si>
    <t xml:space="preserve">PH_Rule_SIGMA_74</t>
  </si>
  <si>
    <t xml:space="preserve">Windows: Account Tampering - Suspicious Failed Logon Reasons</t>
  </si>
  <si>
    <t xml:space="preserve">Win-Security-4625
Win-Security-4776-failure
Win-Security-4776-success</t>
  </si>
  <si>
    <t xml:space="preserve">(winLogonFailCode2 IN ("0xC000006F","0xC0000070","0xC0000072","0xC000015B","0xC000018C","0xC0000413") OR subStatus IN ("0xC000006F","0xC0000070","0xC0000072","0xC000015B","0xC000018C","0xC0000413")) AND targetUserSID!="S-1-0-0"</t>
  </si>
  <si>
    <t xml:space="preserve">hostName,targetUserSID,subStatus,winLogonFailCode2</t>
  </si>
  <si>
    <t xml:space="preserve">Windows Security log: Security 4625
Windows Security log: Security 4776</t>
  </si>
  <si>
    <t xml:space="preserve">This method uses uncommon error codes on failed logons to determine suspicious activity and tampering with accounts that have been disabled or somehow restricted.. This rule is adapted from https://github.com/SigmaHQ/sigma/blob/master/rules/windows/builtin/security/win_security_susp_failed_logon_reasons.yml</t>
  </si>
  <si>
    <t xml:space="preserve">https://filestore.fortinet.com/docs.fortinet.com/fsiem/Public_Resource_Access/7_6_0/rules/PH_RULE_Account_Tampering_Suspicious_Failed_Logon_Reasons.htm</t>
  </si>
  <si>
    <t xml:space="preserve">PH_Rule_windows_SIGMA_2854</t>
  </si>
  <si>
    <t xml:space="preserve">Windows: Active Directory Certificate Services Denied Certificate Enrollment Request</t>
  </si>
  <si>
    <t xml:space="preserve">Active Directory, AD CS</t>
  </si>
  <si>
    <t xml:space="preserve">Microsoft Windows System Log via OMI or Windows Collector
[Corrected: Fortinet docs label this rule "CyberArk Enterprise Password Vault via Syslog"; source derived from its event types]</t>
  </si>
  <si>
    <t xml:space="preserve">Win-System-Microsoft-Windows-CertificationAuthority-53</t>
  </si>
  <si>
    <t xml:space="preserve">Detects denied requests by Active Directory Certificate Services. Example of these requests denial include issues with permissions on the certificate template or invalid signatures. . This rule is adapted from https://github.com/SigmaHQ/sigma/blob/master/rules/windows/builtin/system/microsoft_windows_certification_authority/win_system_adcs_enrollment_request_denied.yml</t>
  </si>
  <si>
    <t xml:space="preserve">https://filestore.fortinet.com/docs.fortinet.com/fsiem/Public_Resource_Access/7_6_0/rules/PH_RULE_Active_Directory_Certificate_Services_Denied_Certificate_Enrollment_Request.htm</t>
  </si>
  <si>
    <t xml:space="preserve">PH_Rule_windows_SIGMA_3161</t>
  </si>
  <si>
    <t xml:space="preserve">Windows: Active Directory Computers Enumeration With Get-AdComputer</t>
  </si>
  <si>
    <t xml:space="preserve">script REGEXP "Get-AdComputer " AND script REGEXP "-Filter |-LDAPFilter |-Properties "</t>
  </si>
  <si>
    <t xml:space="preserve">Detects usage of the "Get-AdComputer" to enumerate Computers or properties within Active Directory.. This rule is adapted from https://github.com/SigmaHQ/sigma/blob/master/rules/windows/powershell/powershell_script/posh_ps_get_adcomputer.yml</t>
  </si>
  <si>
    <t xml:space="preserve">https://filestore.fortinet.com/docs.fortinet.com/fsiem/Public_Resource_Access/7_6_0/rules/PH_RULE_Active_Directory_Computers_Enumeration_With_Get_AdComputer.htm</t>
  </si>
  <si>
    <t xml:space="preserve">PH_Rule_windows_SIGMA_3162</t>
  </si>
  <si>
    <t xml:space="preserve">Windows: Active Directory Group Enumeration With Get-AdGroup</t>
  </si>
  <si>
    <t xml:space="preserve">script REGEXP "Get-AdGroup " AND script REGEXP "-Filter"</t>
  </si>
  <si>
    <t xml:space="preserve">Detects usage of the "Get-AdGroup" cmdlet to enumerate Groups within Active Directory. This rule is adapted from https://github.com/SigmaHQ/sigma/blob/master/rules/windows/powershell/powershell_script/posh_ps_get_adgroup.yml</t>
  </si>
  <si>
    <t xml:space="preserve">https://filestore.fortinet.com/docs.fortinet.com/fsiem/Public_Resource_Access/7_6_0/rules/PH_RULE_Active_Directory_Group_Enumeration_With_Get_AdGroup.htm</t>
  </si>
  <si>
    <t xml:space="preserve">PH_Rule_SIGMA_2293</t>
  </si>
  <si>
    <t xml:space="preserve">Windows: Active Directory Structure Export Via Csvde.EXE</t>
  </si>
  <si>
    <t xml:space="preserve">((procName REGEXP "\\csvde\.exe$" OR srcFileName="csvde.exe") AND command REGEXP ".* -f.*") AND ((command NOT REGEXP ".* -i.*"))</t>
  </si>
  <si>
    <t xml:space="preserve">Detects the execution of "csvde.exe" in order to export organizational Active Directory structure. This rule is adapted from https://github.com/SigmaHQ/sigma/blob/master/rules/windows/process_creation/proc_creation_win_csvde_export.yml</t>
  </si>
  <si>
    <t xml:space="preserve">https://filestore.fortinet.com/docs.fortinet.com/fsiem/Public_Resource_Access/7_6_0/rules/PH_RULE_Active_Directory_Structure_Export_Via_Csvde_EXE.htm</t>
  </si>
  <si>
    <t xml:space="preserve">PH_Rule_SIGMA_2358</t>
  </si>
  <si>
    <t xml:space="preserve">Windows: Active Directory Structure Export Via Ldifde.EXE</t>
  </si>
  <si>
    <t xml:space="preserve">((procName REGEXP "\\ldifde\.exe$" OR srcFileName="ldifde.exe") AND command REGEXP ".*-f.*") AND ((command NOT REGEXP ".* -i.*"))</t>
  </si>
  <si>
    <t xml:space="preserve">Detects the execution of "ldifde.exe" in order to export organizational Active Directory structure. This rule is adapted from https://github.com/SigmaHQ/sigma/blob/master/rules/windows/process_creation/proc_creation_win_ldifde_export.yml</t>
  </si>
  <si>
    <t xml:space="preserve">https://filestore.fortinet.com/docs.fortinet.com/fsiem/Public_Resource_Access/7_6_0/rules/PH_RULE_Active_Directory_Structure_Export_Via_Ldifde_EXE.htm</t>
  </si>
  <si>
    <t xml:space="preserve">PH_Rule_windows_SIGMA_3113</t>
  </si>
  <si>
    <t xml:space="preserve">Windows: AD Groups Or Users Enumeration Using PowerShell - PoshModule</t>
  </si>
  <si>
    <t xml:space="preserve">Win-PowerShell-4103</t>
  </si>
  <si>
    <t xml:space="preserve">(lineContent REGEXP "get-ADPrincipalGroupMembership" OR requestContext REGEXP "get-ADPrincipalGroupMembership" OR (lineContent REGEXP "get-aduser" AND lineContent REGEXP "-f " AND lineContent REGEXP "-pr " AND lineContent REGEXP "DoesNotRequirePreAuth") OR (requestContext REGEXP "get-aduser" AND requestContext REGEXP "-f " AND requestContext REGEXP "-pr " AND requestContext REGEXP "DoesNotRequirePreAuth"))</t>
  </si>
  <si>
    <t xml:space="preserve">hostName,user,appName</t>
  </si>
  <si>
    <t xml:space="preserve">PowerShell Operational: Win-PowerShell-4103</t>
  </si>
  <si>
    <t xml:space="preserve">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 This rule is adapted from https://github.com/SigmaHQ/sigma/blob/master/rules/windows/powershell/powershell_module/posh_pm_susp_ad_group_reco.yml</t>
  </si>
  <si>
    <t xml:space="preserve">https://filestore.fortinet.com/docs.fortinet.com/fsiem/Public_Resource_Access/7_6_0/rules/PH_RULE_AD_Groups_Or_Users_Enumeration_Using_PowerShell_PoshModule.htm</t>
  </si>
  <si>
    <t xml:space="preserve">PH_Rule_windows_SIGMA_3221</t>
  </si>
  <si>
    <t xml:space="preserve">Windows: AD Groups Or Users Enumeration Using PowerShell - ScriptBlock</t>
  </si>
  <si>
    <t xml:space="preserve">(script REGEXP "get-ADPrincipalGroupMembership" OR (script REGEXP "get-aduser" AND script REGEXP "-f " AND script REGEXP "-pr " AND script REGEXP "DoesNotRequirePreAuth"))</t>
  </si>
  <si>
    <t xml:space="preserve">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 This rule is adapted from https://github.com/SigmaHQ/sigma/blob/master/rules/windows/powershell/powershell_script/posh_ps_susp_ad_group_reco.yml</t>
  </si>
  <si>
    <t xml:space="preserve">https://filestore.fortinet.com/docs.fortinet.com/fsiem/Public_Resource_Access/7_6_0/rules/PH_RULE_AD_Groups_Or_Users_Enumeration_Using_PowerShell_ScriptBlock.htm</t>
  </si>
  <si>
    <t xml:space="preserve">PH_Rule_SIGMA_4</t>
  </si>
  <si>
    <t xml:space="preserve">Windows: AD Object WriteDAC Access</t>
  </si>
  <si>
    <t xml:space="preserve">T1222.001</t>
  </si>
  <si>
    <t xml:space="preserve">serverName="DS" AND fileAccess="0x40000" AND osObjType IN ("19195a5b-6da0-11d0-afd3-00c04fd930c9","domainDNS")</t>
  </si>
  <si>
    <t xml:space="preserve">fileAccess,hostName,osObjType,serverName</t>
  </si>
  <si>
    <t xml:space="preserve">Detects WRITE_DAC access to a domain object. This rule is adapted from https://github.com/SigmaHQ/sigma/blob/master/rules/windows/builtin/security/win_security_ad_object_writedac_access.yml</t>
  </si>
  <si>
    <t xml:space="preserve">https://filestore.fortinet.com/docs.fortinet.com/fsiem/Public_Resource_Access/7_6_0/rules/PH_RULE_AD_Object_WriteDAC_Access.htm</t>
  </si>
  <si>
    <t xml:space="preserve">PH_Rule_SIGMA_3</t>
  </si>
  <si>
    <t xml:space="preserve">Windows: AD Privileged Users or Groups Reconnaissance</t>
  </si>
  <si>
    <t xml:space="preserve">Win-Security-4661</t>
  </si>
  <si>
    <t xml:space="preserve">((osObjType IN ("SAM_GROUP","SAM_USER")) AND (osObjName REGEXP ".*-500|.*-502|.*-505|.*-512|.*-519|.*-520|.*-544|.*-551|.*-555" OR osObjName REGEXP ".*admin.*")) AND (user NOT REGEXP ".*\$")</t>
  </si>
  <si>
    <t xml:space="preserve">hostName,osObjName,osObjType,user</t>
  </si>
  <si>
    <t xml:space="preserve">Windows Security log: Security 4661</t>
  </si>
  <si>
    <t xml:space="preserve">Detect priv users or groups recon based on 4661 eventid and known privileged users or groups SIDs. This rule is adapted from https://github.com/SigmaHQ/sigma/blob/master/rules/windows/builtin/security/win_security_account_discovery.yml</t>
  </si>
  <si>
    <t xml:space="preserve">https://filestore.fortinet.com/docs.fortinet.com/fsiem/Public_Resource_Access/7_6_0/rules/PH_RULE_AD_Privileged_Users_or_Groups_Reconnaissance.htm</t>
  </si>
  <si>
    <t xml:space="preserve">PH_Rule_SIGMA_1165</t>
  </si>
  <si>
    <t xml:space="preserve">Windows: ADCS Certificate Template Configuration Vulnerability</t>
  </si>
  <si>
    <t xml:space="preserve">Windows Security log, AD CS</t>
  </si>
  <si>
    <t xml:space="preserve">Win-Security-4898
Win-Security-4899</t>
  </si>
  <si>
    <t xml:space="preserve">(templateContent REGEXP ".*CT_FLAG_ENROLLEE_SUPPLIES_SUBJECT.*") OR (newTemplateContent REGEXP ".*CT_FLAG_ENROLLEE_SUPPLIES_SUBJECT.*")</t>
  </si>
  <si>
    <t xml:space="preserve">hostName,newTemplateContent,templateContent</t>
  </si>
  <si>
    <t xml:space="preserve">Windows Security log: Security 4898
Windows Security log: Security 4899</t>
  </si>
  <si>
    <t xml:space="preserve">Detects certificate creation with template allowing risk permission subject. This rule is adapted from https://github.com/SigmaHQ/sigma/blob/master/rules/windows/builtin/security/win_security_adcs_certificate_template_configuration_vulnerability.yml</t>
  </si>
  <si>
    <t xml:space="preserve">https://filestore.fortinet.com/docs.fortinet.com/fsiem/Public_Resource_Access/7_6_0/rules/PH_RULE_ADCS_Certificate_Template_Configuration_Vulnerability.htm</t>
  </si>
  <si>
    <t xml:space="preserve">PH_Rule_SIGMA_1166</t>
  </si>
  <si>
    <t xml:space="preserve">Windows: ADCS Certificate Template Configuration Vulnerability with Risky EKU</t>
  </si>
  <si>
    <t xml:space="preserve">(templateContent REGEXP ".*1\.3\.6\.1\.4\.1\.311\.20\.2\.2.*|.*1\.3\.6\.1\.5\.2\.3\.4.*|.*1\.3\.6\.1\.5\.5\.7\.3\.2.*|.*2\.5\.29\.37\.0.*" AND templateContent REGEXP ".*CT_FLAG_ENROLLEE_SUPPLIES_SUBJECT.*") OR (newTemplateContent REGEXP ".*1\.3\.6\.1\.4\.1\.311\.20\.2\.2.*|.*1\.3\.6\.1\.5\.2\.3\.4.*|.*1\.3\.6\.1\.5\.5\.7\.3\.2.*|.*2\.5\.29\.37\.0.*" AND newTemplateContent REGEXP ".*CT_FLAG_ENROLLEE_SUPPLIES_SUBJECT.*")</t>
  </si>
  <si>
    <t xml:space="preserve">Detects certificate creation with template allowing risk permission subject and risky EKU. This rule is adapted from https://github.com/SigmaHQ/sigma/blob/master/rules/windows/builtin/security/win_security_adcs_certificate_template_configuration_vulnerability_eku.yml</t>
  </si>
  <si>
    <t xml:space="preserve">https://filestore.fortinet.com/docs.fortinet.com/fsiem/Public_Resource_Access/7_6_0/rules/PH_RULE_ADCS_Certificate_Template_Configuration_Vulnerability_with_Risky_EKU.htm</t>
  </si>
  <si>
    <t xml:space="preserve">PH_Rule_SIGMA_293</t>
  </si>
  <si>
    <t xml:space="preserve">Windows: Addition of Domain Trusts</t>
  </si>
  <si>
    <t xml:space="preserve">T1199</t>
  </si>
  <si>
    <t xml:space="preserve">Win-Security-4706</t>
  </si>
  <si>
    <t xml:space="preserve">Windows Security log: Security 4706</t>
  </si>
  <si>
    <t xml:space="preserve">Addition of domains is seldom and should be verified for legitimacy. This rule is adapted from https://github.com/SigmaHQ/sigma/blob/master/rules/windows/builtin/security/win_security_susp_add_domain_trust.yml</t>
  </si>
  <si>
    <t xml:space="preserve">https://filestore.fortinet.com/docs.fortinet.com/fsiem/Public_Resource_Access/7_6_0/rules/PH_RULE_Addition_of_Domain_Trusts.htm</t>
  </si>
  <si>
    <t xml:space="preserve">PH_Rule_windows_SIGMA_2981</t>
  </si>
  <si>
    <t xml:space="preserve">Windows: ADExplorer Writing Complete AD Snapshot Into .dat File</t>
  </si>
  <si>
    <t xml:space="preserve">Microsoft Windows Sysmon via Windows Collector
[Corrected: Fortinet docs label this rule "CyberArk Enterprise Password Vault via Syslog"; source derived from its event types]</t>
  </si>
  <si>
    <t xml:space="preserve">procName REGEXP "\\ADExp\.exe$|\\ADExplorer64\.exe$|\\ADExplorer64a\.exe$|\\ADExplorer\.exe$" AND fileName REGEXP "\.dat$"</t>
  </si>
  <si>
    <t xml:space="preserve">Detects the dual use tool ADExplorer writing a complete AD snapshot into a .dat file. This can be used by attackers to extract data for Bloodhound, usernames for password spraying or use the meta data for social engineering. The snapshot doesn't contain password hashes but there have been cases, where administrators put passwords in the comment field.. This rule is adapted from https://github.com/SigmaHQ/sigma/blob/master/rules/windows/file/file_event/file_event_win_sysinternals_adexplorer_dump_written.yml</t>
  </si>
  <si>
    <t xml:space="preserve">https://filestore.fortinet.com/docs.fortinet.com/fsiem/Public_Resource_Access/7_6_0/rules/PH_RULE_ADExplorer_Writing_Complete_AD_Snapshot_Into_dat_File.htm</t>
  </si>
  <si>
    <t xml:space="preserve">PH_Rule_windows_SIGMA_3060</t>
  </si>
  <si>
    <t xml:space="preserve">Windows: ADFS Database Named Pipe Connection By Uncommon Tool</t>
  </si>
  <si>
    <t xml:space="preserve">Win-Sysmon-17-Pipe-Created</t>
  </si>
  <si>
    <t xml:space="preserve">vpnTunnelName="\\MICROSOFT##WID\\tsql\\query" AND procName NOT REGEXP ":\\Windows\\SysWOW64\\mmc\.exe$|:\\Windows\\SysWOW64\\wsmprovhost\.exe$|:\\Windows\\System32\\mmc\.exe$|:\\Windows\\System32\\wsmprovhost\.exe$|:\\Windows\\WID\\Binn\\sqlwriter\.exe$|:\\Windows\\system32\\svchost\.exe$|\\AzureADConnect\.exe$|\\Microsoft\.IdentityServer\.ServiceHost\.exe$|\\Microsoft\.Identity\.Health\.Adfs\.PshSurrogate\.exe$|\\Microsoft\.Tri\.Sensor\.exe$|\\sqlservr\.exe$|\\tssdis\.exe$"</t>
  </si>
  <si>
    <t xml:space="preserve">hostName,procName,vpnTunnelName</t>
  </si>
  <si>
    <t xml:space="preserve">Sysmon: Sysmon 17</t>
  </si>
  <si>
    <t xml:space="preserve">Detects suspicious local connections via a named pipe to the AD FS configuration database (Windows Internal Database). Used to access information such as the AD FS configuration settings which contains sensitive information used to sign SAML tokens. . This rule is adapted from https://github.com/SigmaHQ/sigma/blob/master/rules/windows/pipe_created/pipe_created_adfs_namedpipe_connection_uncommon_tool.yml</t>
  </si>
  <si>
    <t xml:space="preserve">https://filestore.fortinet.com/docs.fortinet.com/fsiem/Public_Resource_Access/7_6_0/rules/PH_RULE_ADFS_Database_Named_Pipe_Connection_By_Uncommon_Tool.htm</t>
  </si>
  <si>
    <t xml:space="preserve">PH_Rule_SIGMA_7</t>
  </si>
  <si>
    <t xml:space="preserve">Windows: Admin User Remote Logon</t>
  </si>
  <si>
    <t xml:space="preserve">winLogonType = 10 AND authenMethod = "Negotiate" AND user REGEXP "^Admin"</t>
  </si>
  <si>
    <t xml:space="preserve">authenMethod,hostName,user,winLogonType</t>
  </si>
  <si>
    <t xml:space="preserve">Detect remote login by Administrator user (depending on internal pattern).. This rule is adapted from https://github.com/SigmaHQ/sigma/blob/master/rules/windows/builtin/security/account_management/win_security_admin_rdp_login.yml</t>
  </si>
  <si>
    <t xml:space="preserve">https://filestore.fortinet.com/docs.fortinet.com/fsiem/Public_Resource_Access/7_6_0/rules/PH_RULE_Admin_User_Remote_Logon.htm</t>
  </si>
  <si>
    <t xml:space="preserve">PH_Rule_windows_SIGMA_2944</t>
  </si>
  <si>
    <t xml:space="preserve">Windows: ADSI-Cache File Creation By Uncommon Tool</t>
  </si>
  <si>
    <t xml:space="preserve">T1001.003</t>
  </si>
  <si>
    <t xml:space="preserve">fileName REGEXP "\\Local\\Microsoft\\Windows\\SchCache\\" AND fileName REGEXP "\.sch$" AND procName NOT REGEXP ":\\Program Files\\Cylance\\Desktop\\CylanceSvc\.exe$|:\\Windows\\CCM\\CcmExec\.exe$|:\\Windows\\System32\\wbem\\WmiPrvSE\.exe$|:\\Windows\\system32\\dsac\.exe$|:\\Windows\\system32\\efsui\.exe$|:\\windows\\system32\\WindowsPowerShell\\v1\.0\\powershell\.exe$|:\\windows\\system32\\dllhost\.exe$|:\\windows\\system32\\mmc\.exe$|:\\windows\\system32\\svchost\.exe$" AND procName NOT REGEXP ":\\Program Files\\SentinelOne\\Sentinel Agent|:\\Windows\\ccmsetup\\autoupgrade\\ccmsetup" AND (procName NOT REGEXP ":\\Program Files\\" OR procName NOT REGEXP "\\Microsoft Office" OR procName NOT REGEXP "\\OUTLOOK\.EXE$") AND procName NOT REGEXP ":\\Program Files\\Citrix\\Receiver StoreFront\\Services\\DefaultDomainServices\\Citrix\.DeliveryServices\.DomainServices\.ServiceHost\.exe$|\\LANDesk\\LDCLient\\ldapwhoami\.exe$"</t>
  </si>
  <si>
    <t xml:space="preserve">Detects the creation of an "Active Directory Schema Cache File" (.sch) file by an uncommon tool.. This rule is adapted from https://github.com/SigmaHQ/sigma/blob/master/rules/windows/file/file_event/file_event_win_adsi_cache_creation_by_uncommon_tool.yml</t>
  </si>
  <si>
    <t xml:space="preserve">https://filestore.fortinet.com/docs.fortinet.com/fsiem/Public_Resource_Access/7_6_0/rules/PH_RULE_ADSI_Cache_File_Creation_By_Uncommon_Tool.htm</t>
  </si>
  <si>
    <t xml:space="preserve">PH_Rule_SIGMA_1825</t>
  </si>
  <si>
    <t xml:space="preserve">Windows: All Rules Have Been Deleted From The Windows Firewall Configuration</t>
  </si>
  <si>
    <t xml:space="preserve">Win-Firewall-AS-2033
Win-Firewall-AS-2059</t>
  </si>
  <si>
    <t xml:space="preserve">appName NOT REGEXP ":\\Windows\\System32\\svchost\.exe$" AND (appName NOT REGEXP ":\\ProgramData\\Microsoft\\Windows Defender\\Platform\\" OR appName NOT REGEXP "\\MsMpEng\.exe")</t>
  </si>
  <si>
    <t xml:space="preserve">Detects when a all the rules have been deleted from the Windows Defender Firewall configuration. This rule is adapted from https://github.com/SigmaHQ/sigma/blob/master/rules/windows/builtin/firewall_as/win_firewall_as_delete_all_rules.yml</t>
  </si>
  <si>
    <t xml:space="preserve">https://filestore.fortinet.com/docs.fortinet.com/fsiem/Public_Resource_Access/7_6_0/rules/PH_RULE_All_Rules_Have_Been_Deleted_From_The_Windows_Firewall_Configuration.htm</t>
  </si>
  <si>
    <t xml:space="preserve">PH_Rule_SIGMA_1750</t>
  </si>
  <si>
    <t xml:space="preserve">Windows: Always Install Elevated MSI Spawned Cmd And Powershell</t>
  </si>
  <si>
    <t xml:space="preserve">(procName REGEXP "\\cmd\.exe$|\\powershell\.exe$|\\pwsh\.exe$" OR srcFileName IN ("Cmd.Exe","PowerShell.EXE","pwsh.dll")) AND (parentProcName REGEXP ".*\\Windows\\Installer\\.*" AND parentProcName REGEXP ".*msi.*" AND parentProcName REGEXP "tmp$")</t>
  </si>
  <si>
    <t xml:space="preserve">hostName,parentProcName,procName,srcFileName</t>
  </si>
  <si>
    <t xml:space="preserve">Detects Windows Installer service (msiexec.exe) spawning "cmd" or "powershell". This rule is adapted from https://github.com/SigmaHQ/sigma/blob/master/rules/windows/process_creation/proc_creation_win_susp_elavated_msi_spawned_shell.yml</t>
  </si>
  <si>
    <t xml:space="preserve">https://filestore.fortinet.com/docs.fortinet.com/fsiem/Public_Resource_Access/7_6_0/rules/PH_RULE_Always_Install_Elevated_MSI_Spawned_Cmd_And_Powershell.htm</t>
  </si>
  <si>
    <t xml:space="preserve">PH_Rule_SIGMA_2541</t>
  </si>
  <si>
    <t xml:space="preserve">Windows: Always Install Elevated Windows Installer</t>
  </si>
  <si>
    <t xml:space="preserve">((procName REGEXP "\\Windows\\Installer\\" AND procName REGEXP "msi" AND procName REGEXP "tmp$") OR (procName REGEXP "\\msiexec\.exe$" AND integrityLevel IN ("S-1-16-16384","System"))) AND (user REGEXP "AUTHORI|AUTORI" OR domain REGEXP "AUTHORI|AUTORI") AND parentProcName!="C:\\Windows\\System32\\services.exe" AND command NOT REGEXP "\\system32\\msiexec\.exe /V$" AND parentCommand NOT REGEXP "\\system32\\msiexec\.exe /V$" AND parentProcName NOT REGEXP "^C:\\ProgramData\\Sophos\\" AND parentProcName NOT REGEXP "^C:\\ProgramData\\Avira\\" AND parentProcName NOT REGEXP "^C:\\Program Files \(x86\)\\Avast Software\\|^C:\\Program Files\\Avast Software\\" AND parentProcName NOT REGEXP "^C:\\Program Files \(x86\)\\Google\\Update\\|^C:\\Program Files\\Google\\Update\\"</t>
  </si>
  <si>
    <t xml:space="preserve">command,hostName,integrityLevel,parentCommand,parentProcName,procName,user</t>
  </si>
  <si>
    <t xml:space="preserve">Detects Windows Installer service (msiexec.exe) trying to install MSI packages with SYSTEM privilege. This rule is adapted from https://github.com/SigmaHQ/sigma/blob/master/rules/windows/process_creation/proc_creation_win_susp_always_install_elevated_windows_installer.yml</t>
  </si>
  <si>
    <t xml:space="preserve">https://filestore.fortinet.com/docs.fortinet.com/fsiem/Public_Resource_Access/7_6_0/rules/PH_RULE_Always_Install_Elevated_Windows_Installer.htm</t>
  </si>
  <si>
    <t xml:space="preserve">PH_Rule_SIGMA_1228</t>
  </si>
  <si>
    <t xml:space="preserve">Windows: Application Uninstalled</t>
  </si>
  <si>
    <t xml:space="preserve">T1489</t>
  </si>
  <si>
    <t xml:space="preserve">Win-App-MsiInstaller-1034
Win-App-MsiInstaller-11724</t>
  </si>
  <si>
    <t xml:space="preserve">An application has been removed. Check if it is critical. This rule is adapted from https://github.com/SigmaHQ/sigma/blob/master/rules/windows/builtin/application/msiinstaller/win_builtin_remove_application.yml</t>
  </si>
  <si>
    <t xml:space="preserve">https://filestore.fortinet.com/docs.fortinet.com/fsiem/Public_Resource_Access/7_6_0/rules/PH_RULE_An_Application_Is_Uninstall.htm</t>
  </si>
  <si>
    <t xml:space="preserve">PH_Rule_SIGMA_1229</t>
  </si>
  <si>
    <t xml:space="preserve">Windows: Atera Agent Installation</t>
  </si>
  <si>
    <t xml:space="preserve">Win-App-MsiInstaller-1033</t>
  </si>
  <si>
    <t xml:space="preserve">msg REGEXP ".*AteraAgent.*"</t>
  </si>
  <si>
    <t xml:space="preserve">hostName,msg</t>
  </si>
  <si>
    <t xml:space="preserve">Detects successful installation of Atera Remote Monitoring &amp; Management (RMM) agent as recently found to be used by Conti operators. This rule is adapted from https://github.com/SigmaHQ/sigma/blob/master/rules/windows/builtin/application/msiinstaller/win_software_atera_rmm_agent_install.yml</t>
  </si>
  <si>
    <t xml:space="preserve">https://filestore.fortinet.com/docs.fortinet.com/fsiem/Public_Resource_Access/7_6_0/rules/PH_RULE_Atera_Agent_Installation.htm</t>
  </si>
  <si>
    <t xml:space="preserve">PH_Rule_windows_SIGMA_3392</t>
  </si>
  <si>
    <t xml:space="preserve">Windows: Attempts of Kerberos Coercion Via DNS SPN Spoofing</t>
  </si>
  <si>
    <t xml:space="preserve">Active Directory, Kerberos</t>
  </si>
  <si>
    <t xml:space="preserve">T1557.001</t>
  </si>
  <si>
    <t xml:space="preserve">command REGEXP "UWhRCA" AND command REGEXP "BAAAA"</t>
  </si>
  <si>
    <t xml:space="preserve">Detects the presence of "UWhRC....AAYBAAAA" pattern in command line. The pattern "1UWhRCAAAAA..BAAAA" is a base64-encoded signature that corresponds to a marshaled CREDENTIAL_TARGET_INFORMATION structure. Attackers can use this technique to coerce authentication from victim systems to attacker-controlled hosts. It is one of the strong indicators of a Kerberos coercion attack, where adversaries manipulate DNS records to spoof Service Principal Names (SPNs) and redirect authentication requests like in CVE-2025-33073. If you see this pattern in the command line, it is likely an attempt to add spoofed Service Principal Names (SPNs) to DNS records, or checking for the presence of such records through the `nslookup` command. . This rule is adapted from https://github.com/SigmaHQ/sigma/blob/master/rules/windows/process_creation/proc_creation_win_kerberos_coercion_via_dns_spn_spoofing.yml</t>
  </si>
  <si>
    <t xml:space="preserve">https://filestore.fortinet.com/docs.fortinet.com/fsiem/Public_Resource_Access/7_6_0/rules/PH_RULE_Attempts_of_Kerberos_Coercion_Via_DNS_SPN_Spoofing.htm</t>
  </si>
  <si>
    <t xml:space="preserve">PH_Rule_SIGMA_1163</t>
  </si>
  <si>
    <t xml:space="preserve">Windows: Azure AD Health Monitoring Agent Registry Keys Access</t>
  </si>
  <si>
    <t xml:space="preserve">Entra ID, Active Directory, Windows Security log</t>
  </si>
  <si>
    <t xml:space="preserve">T1012</t>
  </si>
  <si>
    <t xml:space="preserve">(osObjType="Key" AND osObjName="\\REGISTRY\\MACHINE\\SOFTWARE\\Microsoft\\Microsoft Online\\Reporting\\MonitoringAgent") AND (procName NOT REGEXP ".*Microsoft\.Identity\.Health\.Adfs\.DiagnosticsAgent\.exe.*|.*Microsoft\.Identity\.Health\.Adfs\.InsightsService\.exe.*|.*Microsoft\.Identity\.Health\.Adfs\.MonitoringAgent\.Startup\.exe.*|.*Microsoft\.Identity\.Health\.Adfs\.PshSurrogate\.exe.*|.*Microsoft\.Identity\.Health\.Common\.Clients\.ResourceMonitor\.exe.*")</t>
  </si>
  <si>
    <t xml:space="preserve">hostName,osObjName,osObjType,procName</t>
  </si>
  <si>
    <t xml:space="preserve">This detection uses Windows security events to detect suspicious access attempts to the registry key of Azure AD Health monitoring agent. This detection requires an access control entry (ACE) on the system access control list (SACL) of the following securable object HKLM\SOFTWARE\Microsoft\Microsoft Online\Reporting\MonitoringAgent. This rule is adapted from https://github.com/SigmaHQ/sigma/blob/master/rules/windows/builtin/security/win_security_aadhealth_mon_agent_regkey_access.yml</t>
  </si>
  <si>
    <t xml:space="preserve">https://filestore.fortinet.com/docs.fortinet.com/fsiem/Public_Resource_Access/7_6_0/rules/PH_RULE_Azure_AD_Health_Monitoring_Agent_Registry_Keys_Access.htm</t>
  </si>
  <si>
    <t xml:space="preserve">PH_Rule_SIGMA_1164</t>
  </si>
  <si>
    <t xml:space="preserve">Windows: Azure AD Health Service Agents Registry Keys Access</t>
  </si>
  <si>
    <t xml:space="preserve">(osObjType="Key" AND osObjName="\\REGISTRY\\MACHINE\\SOFTWARE\\Microsoft\\ADHealthAgent") AND (procName NOT REGEXP ".*Microsoft\.Identity\.Health\.Adfs\.DiagnosticsAgent\.exe.*|.*Microsoft\.Identity\.Health\.Adfs\.InsightsService\.exe.*|.*Microsoft\.Identity\.Health\.Adfs\.MonitoringAgent\.Startup\.exe.*|.*Microsoft\.Identity\.Health\.Adfs\.PshSurrogate\.exe.*|.*Microsoft\.Identity\.Health\.Common\.Clients\.ResourceMonitor\.exe.*")</t>
  </si>
  <si>
    <t xml:space="preserve">This detection uses Windows security events to detect suspicious access attempts to the registry key values and sub-keys of Azure AD Health service agents (e.g AD FS). Information from AD Health service agents can be used to potentially abuse some of the features provided by those services in the cloud (e.g. Federation). This detection requires an access control entry (ACE) on the system access control list (SACL) of the following securable object: HKLM:\SOFTWARE\Microsoft\ADHealthAgent. Make sure you set the SACL to propagate to its sub-keys. This rule is adapted from https://github.com/SigmaHQ/sigma/blob/master/rules/windows/builtin/security/win_security_aadhealth_svc_agent_regkey_access.yml</t>
  </si>
  <si>
    <t xml:space="preserve">https://filestore.fortinet.com/docs.fortinet.com/fsiem/Public_Resource_Access/7_6_0/rules/PH_RULE_Azure_AD_Health_Service_Agents_Registry_Keys_Access.htm</t>
  </si>
  <si>
    <t xml:space="preserve">PH_Rule_SIGMA_1813</t>
  </si>
  <si>
    <t xml:space="preserve">Windows: BITS Transfer Job Download From Direct IP</t>
  </si>
  <si>
    <t xml:space="preserve">T1197</t>
  </si>
  <si>
    <t xml:space="preserve">Win-App-Microsoft-Windows-Bits-Client-16403</t>
  </si>
  <si>
    <t xml:space="preserve">targetName REGEXP "http://1|http://2|http://3|http://4|http://5|http://6|http://7|http://8|http://9|https://1|https://2|https://3|https://4|https://5|https://6|https://7|https://8|https://9" AND targetName NOT REGEXP "://10\.|://127\.|://169\.254\.|://172\.16\.|://172\.17\.|://172\.18\.|://172\.19\.|://172\.20\.|://172\.21\.|://172\.22\.|://172\.23\.|://172\.24\.|://172\.25\.|://172\.26\.|://172\.27\.|://172\.28\.|://172\.29\.|://172\.30\.|://172\.31\.|://192\.168\." AND targetName NOT REGEXP "http://7-|https://7-"</t>
  </si>
  <si>
    <t xml:space="preserve">Detects a BITS transfer job downloading file(s) from a direct IP address.. This rule is adapted from https://github.com/SigmaHQ/sigma/blob/master/rules/windows/builtin/bits_client/win_bits_client_new_transfer_via_ip_address.yml</t>
  </si>
  <si>
    <t xml:space="preserve">https://filestore.fortinet.com/docs.fortinet.com/fsiem/Public_Resource_Access/7_6_0/rules/PH_RULE_BITS_Transfer_Job_Download_From_Direct_IP.htm</t>
  </si>
  <si>
    <t xml:space="preserve">PH_Rule_SIGMA_1112</t>
  </si>
  <si>
    <t xml:space="preserve">Windows: BITS Transfer Job Download From File Sharing Domains</t>
  </si>
  <si>
    <t xml:space="preserve">targetName REGEXP "\.githubusercontent\.com|anonfiles\.com|cdn\.discordapp\.com|ddns\.net|dl\.dropboxusercontent\.com|ghostbin\.co|github\.com|glitch\.me|gofile\.io|hastebin\.com|mediafire\.com|mega\.nz|onrender\.com|pages\.dev|paste\.ee|pastebin\.com|pastebin\.pl|pastetext\.net|pixeldrain\.com|privatlab\.com|privatlab\.net|send\.exploit\.in|sendspace\.com|storage\.googleapis\.com|storjshare\.io|supabase\.co|temp\.sh|transfer\.sh|trycloudflare\.com|ufile\.io|w3spaces\.com|workers\.dev"</t>
  </si>
  <si>
    <t xml:space="preserve">Detects BITS transfer job downloading files from a file sharing domain.. This rule is adapted from https://github.com/SigmaHQ/sigma/blob/master/rules/windows/builtin/bits_client/win_bits_client_new_transfer_via_file_sharing_domains.yml</t>
  </si>
  <si>
    <t xml:space="preserve">https://filestore.fortinet.com/docs.fortinet.com/fsiem/Public_Resource_Access/7_6_0/rules/PH_RULE_Suspicious_Download_with_BITS_from_Suspicious_TLD.htm</t>
  </si>
  <si>
    <t xml:space="preserve">PH_Rule_SIGMA_1812</t>
  </si>
  <si>
    <t xml:space="preserve">Windows: BITS Transfer Job Downloading File Potential Suspicious Extension</t>
  </si>
  <si>
    <t xml:space="preserve">filePath REGEXP "\.bat$|\.dll$|\.exe$|\.hta$|\.ps1$|\.psd1$|\.sh$|\.vbe$|\.vbs$" AND (filePath NOT REGEXP "\\AppData\\" OR targetName NOT REGEXP "\.com")</t>
  </si>
  <si>
    <t xml:space="preserve">filePath,hostName,targetName</t>
  </si>
  <si>
    <t xml:space="preserve">Detects new BITS transfer job saving local files with potential suspicious extensions. This rule is adapted from https://github.com/SigmaHQ/sigma/blob/master/rules/windows/builtin/bits_client/win_bits_client_new_transfer_saving_susp_extensions.yml</t>
  </si>
  <si>
    <t xml:space="preserve">https://filestore.fortinet.com/docs.fortinet.com/fsiem/Public_Resource_Access/7_6_0/rules/PH_RULE_BITS_Transfer_Job_Downloading_File_Potential_Suspicious_Extension.htm</t>
  </si>
  <si>
    <t xml:space="preserve">PH_Rule_windows_SIGMA_3646</t>
  </si>
  <si>
    <t xml:space="preserve">Windows: Bypass UAC Using DelegateExecute</t>
  </si>
  <si>
    <t xml:space="preserve">REGEXP:Win-Sysmon-13-Registry-Set.*</t>
  </si>
  <si>
    <t xml:space="preserve">regKeyPath REGEXP "\\open\\command\\DelegateExecute$" AND details="(Empty)"</t>
  </si>
  <si>
    <t xml:space="preserve">details,hostName,regKeyPath</t>
  </si>
  <si>
    <t xml:space="preserve">Sysmon: Sysmon 13</t>
  </si>
  <si>
    <t xml:space="preserve">Bypasses User Account Control using a fileless method. This rule is adapted from https://github.com/SigmaHQ/sigma/blob/master/rules/windows/registry/registry_set/registry_set_bypass_uac_using_delegateexecute.yml</t>
  </si>
  <si>
    <t xml:space="preserve">https://filestore.fortinet.com/docs.fortinet.com/fsiem/Public_Resource_Access/7_6_0/rules/PH_RULE_Bypass_UAC_Using_DelegateExecute.htm</t>
  </si>
  <si>
    <t xml:space="preserve">PH_Rule_windows_SIGMA_3648</t>
  </si>
  <si>
    <t xml:space="preserve">Windows: Bypass UAC Using SilentCleanup Task</t>
  </si>
  <si>
    <t xml:space="preserve">regKeyPath REGEXP "\\Environment\\windir$" AND details!="%SystemRoot%"</t>
  </si>
  <si>
    <t xml:space="preserve">Detects the setting of the environement variable "windir" to a non default value. Attackers often abuse this variable in order to trigger a UAC bypass via the "SilentCleanup" task. The SilentCleanup task located in %windir%\system32\cleanmgr.exe is an auto-elevated task that can be abused to elevate any file with administrator privileges without prompting UAC. . This rule is adapted from https://github.com/SigmaHQ/sigma/blob/master/rules/windows/registry/registry_set/registry_set_bypass_uac_using_silentcleanup_task.yml</t>
  </si>
  <si>
    <t xml:space="preserve">https://filestore.fortinet.com/docs.fortinet.com/fsiem/Public_Resource_Access/7_6_0/rules/PH_RULE_Bypass_UAC_Using_SilentCleanup_Task.htm</t>
  </si>
  <si>
    <t xml:space="preserve">PH_Rule_SIGMA_619</t>
  </si>
  <si>
    <t xml:space="preserve">Windows: Bypass UAC via CMSTP</t>
  </si>
  <si>
    <t xml:space="preserve">(procName REGEXP "\\cmstp\.exe$" OR srcFileName="CMSTP.EXE") AND command REGEXP ".*-au.*|.*-ni.*|.*-s.*|.*/au.*|.*/ni.*|.*/s.*"</t>
  </si>
  <si>
    <t xml:space="preserve">Detect commandline usage of Microsoft Connection Manager Profile Installer (cmstp.exe) to install specially formatted local .INF files. This rule is adapted from https://github.com/SigmaHQ/sigma/blob/master/rules/windows/process_creation/proc_creation_win_uac_bypass_cmstp.yml</t>
  </si>
  <si>
    <t xml:space="preserve">https://filestore.fortinet.com/docs.fortinet.com/fsiem/Public_Resource_Access/7_6_0/rules/PH_RULE_Bypass_UAC_via_CMSTP.htm</t>
  </si>
  <si>
    <t xml:space="preserve">PH_Rule_SIGMA_621</t>
  </si>
  <si>
    <t xml:space="preserve">Windows: Bypass UAC via WSReset.exe</t>
  </si>
  <si>
    <t xml:space="preserve">parentProcName REGEXP "\\wsreset\.exe$" AND (procName NOT REGEXP "\\conhost\.exe$" AND srcFileName!="CONHOST.EXE")</t>
  </si>
  <si>
    <t xml:space="preserve">Detects use of WSReset.exe to bypass User Account Control (UAC). Adversaries use this technique to execute privileged processes. This rule is adapted from https://github.com/SigmaHQ/sigma/blob/master/rules/windows/process_creation/proc_creation_win_uac_bypass_wsreset.yml</t>
  </si>
  <si>
    <t xml:space="preserve">https://filestore.fortinet.com/docs.fortinet.com/fsiem/Public_Resource_Access/7_6_0/rules/PH_RULE_Bypass_UAC_via_WSReset_exe.htm</t>
  </si>
  <si>
    <t xml:space="preserve">PH_Rule_SIGMA_2277</t>
  </si>
  <si>
    <t xml:space="preserve">Windows: Certificate Exported Via Certutil.EXE</t>
  </si>
  <si>
    <t xml:space="preserve">(procName REGEXP "\\certutil\.exe$" OR srcFileName="CertUtil.exe") AND command REGEXP ".*-exportPFX .*|.*/exportPFX .*"</t>
  </si>
  <si>
    <t xml:space="preserve">Detects the execution of the certutil with the "exportPFX" flag which allows the utility to export certificates. This rule is adapted from https://github.com/SigmaHQ/sigma/blob/master/rules/windows/process_creation/proc_creation_win_certutil_export_pfx.yml</t>
  </si>
  <si>
    <t xml:space="preserve">https://filestore.fortinet.com/docs.fortinet.com/fsiem/Public_Resource_Access/7_6_0/rules/PH_RULE_Certificate_Exported_Via_Certutil_EXE.htm</t>
  </si>
  <si>
    <t xml:space="preserve">PH_Rule_windows_SIGMA_2855</t>
  </si>
  <si>
    <t xml:space="preserve">Windows: Certificate Use With No Strong Mapping</t>
  </si>
  <si>
    <t xml:space="preserve">Kerberos</t>
  </si>
  <si>
    <t xml:space="preserve">Win-System-Microsoft-Windows-Kerberos-Key-Distribution-Center-39
Win-System-Microsoft-Windows-Kerberos-Key-Distribution-Center-41</t>
  </si>
  <si>
    <t xml:space="preserve">Detects a user certificate that was valid but could not be mapped to a user in a strong way (such as via explicit mapping, key trust mapping, or a SID) This could be a sign of exploitation of the elevation of privilege vulnerabilities (CVE-2022-34691, CVE-2022-26931, CVE-2022-26923) that can occur when the KDC allows certificate spoofing by not requiring a strong mapping. Events where the AccountName and CN of the Subject do not match, or where the CN ends in a dollar sign indicating a machine, may indicate certificate spoofing. . This rule is adapted from https://github.com/SigmaHQ/sigma/blob/master/rules/windows/builtin/system/microsoft_windows_kerberos_key_distribution_center/win_system_kdcsvc_cert_use_no_strong_mapping.yml</t>
  </si>
  <si>
    <t xml:space="preserve">https://filestore.fortinet.com/docs.fortinet.com/fsiem/Public_Resource_Access/7_6_0/rules/PH_RULE_Certificate_Use_With_No_Strong_Mapping.htm</t>
  </si>
  <si>
    <t xml:space="preserve">PH_Rule_SIGMA_390</t>
  </si>
  <si>
    <t xml:space="preserve">Windows: CMSTP UAC Bypass via COM Object Access</t>
  </si>
  <si>
    <t xml:space="preserve">parentProcName REGEXP "\\DllHost\.exe$" AND parentCommand REGEXP " /Processid:\{3E000D72-A845-4CD9-BD83-80C07C3B881F\}| /Processid:\{3E5FC7F9-9A51-4367-9063-A120244FBEC7\}| /Processid:\{BD54C901-076B-434E-B6C7-17C531F4AB41\}| /Processid:\{D2E7041B-2927-42FB-8E9F-7CE93B6DC937\}| /Processid:\{E9495B87-D950-4AB5-87A5-FF6D70BF3E90\}" AND integrityLevel IN ("High","S-1-16-12288","S-1-16-16384","System")</t>
  </si>
  <si>
    <t xml:space="preserve">hostName,integrityLevel,parentCommand,parentProcName</t>
  </si>
  <si>
    <t xml:space="preserve">Detects UAC Bypass Attempt Using Microsoft Connection Manager Profile Installer Autoelevate-capable COM Objects (e.g. UACMe ID of 41, 43, 58 or 65). This rule is adapted from https://github.com/SigmaHQ/sigma/blob/master/rules/windows/process_creation/proc_creation_win_uac_bypass_cmstp_com_object_access.yml</t>
  </si>
  <si>
    <t xml:space="preserve">https://filestore.fortinet.com/docs.fortinet.com/fsiem/Public_Resource_Access/7_6_0/rules/PH_RULE_CMSTP_UAC_Bypass_via_COM_Object_Access.htm</t>
  </si>
  <si>
    <t xml:space="preserve">PH_Rule_SIGMA_1198</t>
  </si>
  <si>
    <t xml:space="preserve">Windows: Cobalt Strike Service Installations: Security Log</t>
  </si>
  <si>
    <t xml:space="preserve">((serviceFileName REGEXP ".*ADMIN\$.*" AND serviceFileName REGEXP ".*\.exe.*") OR (serviceFileName REGEXP ".*%COMSPEC%.*" AND serviceFileName REGEXP ".*start.*" AND serviceFileName REGEXP ".*powershell.*") OR serviceFileName REGEXP ".*powershell -nop -w hidden -encodedcommand.*" OR serviceFileName REGEXP ".*JRVggKE5ldy1PYmplY3QgTmV0LldlYmNsaWVudCkuRG93bmxvYWRTdHJpbmcoJ2h0dHA6Ly8xMjcuMC4wLjE6.*|.*SUVYIChOZXctT2JqZWN0IE5ldC5XZWJjbGllbnQpLkRvd25sb2FkU3RyaW5nKCdodHRwOi8vMTI3LjAuMC4xO.*|.*lFWCAoTmV3LU9iamVjdCBOZXQuV2ViY2xpZW50KS5Eb3dubG9hZFN0cmluZygnaHR0cDovLzEyNy4wLjAuMT.*")</t>
  </si>
  <si>
    <t xml:space="preserve">Detects known malicious service installs that appear in cases in which a Cobalt Strike beacon elevates privileges or lateral movement. Cobalt Strike (https://www.cobaltstrike.com/) is an adversary simulation tool with a post-exploitation agent and covert channels to emulate a quiet long-term embedded actor in your network. It uses Process injection, a defense evasion technique that runs custom code within the address space of another process, thereby avoiding detection This rule is adapted from https://github.com/SigmaHQ/sigma/blob/master/rules/windows/builtin/security/win_security_cobaltstrike_service_installs.yml</t>
  </si>
  <si>
    <t xml:space="preserve">https://filestore.fortinet.com/docs.fortinet.com/fsiem/Public_Resource_Access/7_6_0/rules/PH_RULE_CobaltStrike_Service_Installations_SECURITY_LOG.htm</t>
  </si>
  <si>
    <t xml:space="preserve">PH_Rule_SIGMA_2048</t>
  </si>
  <si>
    <t xml:space="preserve">Windows: Connection Initiated Via Certutil.EXE</t>
  </si>
  <si>
    <t xml:space="preserve">T1105</t>
  </si>
  <si>
    <t xml:space="preserve">REGEXP:Win-Sysmon-3-Network-Connect.*</t>
  </si>
  <si>
    <t xml:space="preserve">procName REGEXP "\\certutil\.exe$" AND initiated="true" AND destIpPort IN (135,443,445,80)</t>
  </si>
  <si>
    <t xml:space="preserve">destIpPort,hostName,initiated,procName</t>
  </si>
  <si>
    <t xml:space="preserve">Sysmon: Sysmon 3</t>
  </si>
  <si>
    <t xml:space="preserve">Detects a network connection initiated by the certutil.exe tool. Attackers can abuse the utility in order to download malware or additional payloads. This rule is adapted from https://github.com/SigmaHQ/sigma/blob/master/rules/windows/network_connection/net_connection_win_certutil_initiated_connection.yml</t>
  </si>
  <si>
    <t xml:space="preserve">https://filestore.fortinet.com/docs.fortinet.com/fsiem/Public_Resource_Access/7_6_0/rules/PH_RULE_Connection_Initiated_Via_Certutil_EXE.htm</t>
  </si>
  <si>
    <t xml:space="preserve">PH_RULE_PolicyViolation_CrashOnAuditFail_Continue</t>
  </si>
  <si>
    <t xml:space="preserve">Windows: CrashOnAuditFail Value is set to Continue</t>
  </si>
  <si>
    <t xml:space="preserve">Win-Security-4906</t>
  </si>
  <si>
    <t xml:space="preserve">newValue = 0</t>
  </si>
  <si>
    <t xml:space="preserve">Windows Security log: Security 4906</t>
  </si>
  <si>
    <t xml:space="preserve">Detects a Windows host policy on Audit Failure is set to continue. This means that if the system fails to write to Security Log, then the host ignores the issue and keeps running. This is set in CrashOnAuditFail registry value in HKLM\SYSTEM\CurrentControlSet\Control\LSA: 0: continue, 1: halt, 2: halted</t>
  </si>
  <si>
    <t xml:space="preserve">https://filestore.fortinet.com/docs.fortinet.com/fsiem/Public_Resource_Access/7_6_0/rules/PH_RULE_PolicyViolation_CrashOnAuditFail_Continue.htm</t>
  </si>
  <si>
    <t xml:space="preserve">PH_RULE_PolicyViolation_CrashOnAuditFail_Halt</t>
  </si>
  <si>
    <t xml:space="preserve">Windows: CrashOnAuditFail Value is set to Halt</t>
  </si>
  <si>
    <t xml:space="preserve">newValue = 1</t>
  </si>
  <si>
    <t xml:space="preserve">Detects a Windows host policy on Security Log Audit Failure is set to halt. This means that if the system fails to write an audit log, then the host halts. This is set in CrashOnAuditFail registry value in HKLM\SYSTEM\CurrentControlSet\Control\LSA: 0: continue, 1: halt, 2: halted.</t>
  </si>
  <si>
    <t xml:space="preserve">https://filestore.fortinet.com/docs.fortinet.com/fsiem/Public_Resource_Access/7_6_0/rules/PH_RULE_PolicyViolation_CrashOnAuditFail_Halt.htm</t>
  </si>
  <si>
    <t xml:space="preserve">PH_Rule_windows_SIGMA_3144</t>
  </si>
  <si>
    <t xml:space="preserve">Windows: Create Volume Shadow Copy with Powershell</t>
  </si>
  <si>
    <t xml:space="preserve">script REGEXP "Win32_ShadowCopy" AND script REGEXP "\)\.Create\(" AND script REGEXP "ClientAccessible"</t>
  </si>
  <si>
    <t xml:space="preserve">Adversaries may attempt to access or create a copy of the Active Directory domain database in order to steal credential information. This rule is adapted from https://github.com/SigmaHQ/sigma/blob/master/rules/windows/powershell/powershell_script/posh_ps_create_volume_shadow_copy.yml</t>
  </si>
  <si>
    <t xml:space="preserve">https://filestore.fortinet.com/docs.fortinet.com/fsiem/Public_Resource_Access/7_6_0/rules/PH_RULE_Create_Volume_Shadow_Copy_with_Powershell.htm</t>
  </si>
  <si>
    <t xml:space="preserve">PH_Rule_SIGMA_794</t>
  </si>
  <si>
    <t xml:space="preserve">Windows: Creation of a Local Hidden User Account by Registry</t>
  </si>
  <si>
    <t xml:space="preserve">regKeyPath REGEXP ".*\\SAM\\SAM\\Domains\\Account\\Users\\Names\\.*" AND regKeyPath REGEXP "\$\\\(Default\)$" AND procName REGEXP "\\lsass\.exe$"</t>
  </si>
  <si>
    <t xml:space="preserve">Sysmon registry detection of a local hidden user account. This rule is adapted from https://github.com/SigmaHQ/sigma/blob/master/rules/windows/registry/registry_event/registry_event_add_local_hidden_user.yml</t>
  </si>
  <si>
    <t xml:space="preserve">https://filestore.fortinet.com/docs.fortinet.com/fsiem/Public_Resource_Access/7_6_0/rules/PH_RULE_Creation_of_a_Local_Hidden_User_Account_by_Registry.htm</t>
  </si>
  <si>
    <t xml:space="preserve">PH_Rule_SIGMA_1169</t>
  </si>
  <si>
    <t xml:space="preserve">Windows: DCERPC SMB Spoolss Named Pipe</t>
  </si>
  <si>
    <t xml:space="preserve">fileName="\\\\*\\IPC$" AND targetName="spoolss"</t>
  </si>
  <si>
    <t xml:space="preserve">Detects the use of the spoolss named pipe over SMB. This can be used to trigger the authentication via NTLM of any machine that has the spoolservice enabled. This rule is adapted from https://github.com/SigmaHQ/sigma/blob/master/rules/windows/builtin/security/win_security_dce_rpc_smb_spoolss_named_pipe.yml</t>
  </si>
  <si>
    <t xml:space="preserve">https://filestore.fortinet.com/docs.fortinet.com/fsiem/Public_Resource_Access/7_6_0/rules/PH_RULE_DCERPC_SMB_Spoolss_Named_Pipe.htm</t>
  </si>
  <si>
    <t xml:space="preserve">PH_Rule_SIGMA_1170</t>
  </si>
  <si>
    <t xml:space="preserve">Windows: DCOM Internet Explorer.Application Iertutil DLL Hijack: Security Log</t>
  </si>
  <si>
    <t xml:space="preserve">T1021.003</t>
  </si>
  <si>
    <t xml:space="preserve">(targetName REGEXP "\\Internet Explorer\\iertutil\.dll$") AND (user NOT REGEXP "\$$")</t>
  </si>
  <si>
    <t xml:space="preserve">hostName,targetName,user</t>
  </si>
  <si>
    <t xml:space="preserve">Detects a threat actor creating a file named `iertutil.dll` in the `C:\Program Files\Internet Explorer\` directory over the network for a DCOM InternetExplorer DLL Hijack scenario. This rule is adapted from https://github.com/SigmaHQ/sigma/blob/master/rules/windows/builtin/security/win_security_dcom_iertutil_dll_hijack.yml</t>
  </si>
  <si>
    <t xml:space="preserve">https://filestore.fortinet.com/docs.fortinet.com/fsiem/Public_Resource_Access/7_6_0/rules/PH_RULE_DCOM_InternetExplorer_Application_Iertutil_DLL_Hijack_SECURITY_LOG.htm</t>
  </si>
  <si>
    <t xml:space="preserve">PH_Rule_SIGMA_278</t>
  </si>
  <si>
    <t xml:space="preserve">Windows: Denied Access To Remote Desktop</t>
  </si>
  <si>
    <t xml:space="preserve">T1021.001</t>
  </si>
  <si>
    <t xml:space="preserve">Win-Security-4825</t>
  </si>
  <si>
    <t xml:space="preserve">srcIpAddr, srcGeoCountry, hostName, domain, user</t>
  </si>
  <si>
    <t xml:space="preserve">Windows Security log: Security 4825</t>
  </si>
  <si>
    <t xml:space="preserve">This event is generated when an authenticated user who is not allowed to log on remotely attempts to connect to this computer through Remote Desktop. Often, this event can be generated by attackers when searching for available windows servers in the network. This rule is adapted from https://github.com/SigmaHQ/sigma/blob/master/rules/windows/builtin/security/win_security_not_allowed_rdp_access.yml</t>
  </si>
  <si>
    <t xml:space="preserve">https://filestore.fortinet.com/docs.fortinet.com/fsiem/Public_Resource_Access/7_6_0/rules/PH_RULE_Denied_Access_To_Remote_Desktop.htm</t>
  </si>
  <si>
    <t xml:space="preserve">PH_Rule_SIGMA_1839</t>
  </si>
  <si>
    <t xml:space="preserve">Windows: Device Installation Blocked</t>
  </si>
  <si>
    <t xml:space="preserve">Win-Security-6423</t>
  </si>
  <si>
    <t xml:space="preserve">Windows Security log: Security 6423</t>
  </si>
  <si>
    <t xml:space="preserve">Detects an installation of a device that is forbidden by the system policy. This rule is adapted from https://github.com/SigmaHQ/sigma/blob/master/rules/windows/builtin/security/win_security_device_installation_blocked.yml</t>
  </si>
  <si>
    <t xml:space="preserve">https://filestore.fortinet.com/docs.fortinet.com/fsiem/Public_Resource_Access/7_6_0/rules/PH_RULE_Device_Installation_Blocked.htm</t>
  </si>
  <si>
    <t xml:space="preserve">PH_Rule_SIGMA_1852</t>
  </si>
  <si>
    <t xml:space="preserve">Windows: DiagTrackEoP Default Login Username</t>
  </si>
  <si>
    <t xml:space="preserve">winLogonType=9 AND user="thisisnotvaliduser"</t>
  </si>
  <si>
    <t xml:space="preserve">hostName,user,winLogonType</t>
  </si>
  <si>
    <t xml:space="preserve">Detects the default "UserName" used by the DiagTrackEoP POC. This rule is adapted from https://github.com/SigmaHQ/sigma/blob/master/rules/windows/builtin/security/account_management/win_security_diagtrack_eop_default_login_username.yml</t>
  </si>
  <si>
    <t xml:space="preserve">https://filestore.fortinet.com/docs.fortinet.com/fsiem/Public_Resource_Access/7_6_0/rules/PH_RULE_DiagTrackEoP_Default_Login_Username.htm</t>
  </si>
  <si>
    <t xml:space="preserve">PH_Rule_windows_SIGMA_3690</t>
  </si>
  <si>
    <t xml:space="preserve">Windows: Directory Service Restore Mode DSRM Registry Value Tampering</t>
  </si>
  <si>
    <t xml:space="preserve">regKeyPath REGEXP "\\Control\\Lsa\\DsrmAdminLogonBehavior$" AND details!="DWORD (0x00000000)"</t>
  </si>
  <si>
    <t xml:space="preserve">Detects changes to "DsrmAdminLogonBehavior" registry value. During a Domain Controller (DC) promotion, administrators create a Directory Services Restore Mode (DSRM) local administrator account with a password that rarely changes. The DSRM account is an “Administrator” account that logs in with the DSRM mode when the server is booting up to restore AD backups or recover the server from a failure. Attackers could abuse DSRM account to maintain their persistence and access to the organization's Active Directory. If the "DsrmAdminLogonBehavior" value is set to "0", the administrator account can only be used if the DC starts in DSRM. If the "DsrmAdminLogonBehavior" value is set to "1", the administrator account can only be used if the local AD DS service is stopped. If the "DsrmAdminLogonBehavior" value is set to "2", the administrator account can always be used. . This rule is adapted from https://github.com/SigmaHQ/sigma/blob/master/rules/windows/registry/registry_set/registry_set_dsrm_tampering.yml</t>
  </si>
  <si>
    <t xml:space="preserve">https://filestore.fortinet.com/docs.fortinet.com/fsiem/Public_Resource_Access/7_6_0/rules/PH_RULE_Directory_Service_Restore_Mode_DSRM_Registry_Value_Tampering.htm</t>
  </si>
  <si>
    <t xml:space="preserve">PH_Rule_windows_SIGMA_3146</t>
  </si>
  <si>
    <t xml:space="preserve">Windows: DirectorySearcher Powershell Exploitation</t>
  </si>
  <si>
    <t xml:space="preserve">T1018</t>
  </si>
  <si>
    <t xml:space="preserve">script REGEXP "New-Object " AND script REGEXP "System\.DirectoryServices\.DirectorySearcher" AND script REGEXP "\.PropertiesToLoad\.Add" AND script REGEXP "\.findall\(\)" AND script REGEXP "Properties\.name"</t>
  </si>
  <si>
    <t xml:space="preserve">Enumerates Active Directory to determine computers that are joined to the domain. This rule is adapted from https://github.com/SigmaHQ/sigma/blob/master/rules/windows/powershell/powershell_script/posh_ps_directorysearcher.yml</t>
  </si>
  <si>
    <t xml:space="preserve">https://filestore.fortinet.com/docs.fortinet.com/fsiem/Public_Resource_Access/7_6_0/rules/PH_RULE_DirectorySearcher_Powershell_Exploitation.htm</t>
  </si>
  <si>
    <t xml:space="preserve">PH_Rule_windows_SIGMA_3191</t>
  </si>
  <si>
    <t xml:space="preserve">Windows: DMSA Link Attributes Modified</t>
  </si>
  <si>
    <t xml:space="preserve">script REGEXP "\.Put\(\"msDS-ManagedAccountPrecededByLink" AND script REGEXP "CN="</t>
  </si>
  <si>
    <t xml:space="preserve">hostName,script</t>
  </si>
  <si>
    <t xml:space="preserve">Detects modification of dMSA link attributes (msDS-ManagedAccountPrecededByLink) via PowerShell scripts. This command line pattern could be an indicator an attempt to exploit the BadSuccessor privilege escalation vulnerability in Windows Server 2025. . This rule is adapted from https://github.com/SigmaHQ/sigma/blob/master/rules/windows/powershell/powershell_script/posh_ps_modification_of_dmsa_link_attribute.yml</t>
  </si>
  <si>
    <t xml:space="preserve">https://filestore.fortinet.com/docs.fortinet.com/fsiem/Public_Resource_Access/7_6_0/rules/PH_RULE_DMSA_Link_Attributes_Modified.htm</t>
  </si>
  <si>
    <t xml:space="preserve">PH_Rule_windows_SIGMA_3143</t>
  </si>
  <si>
    <t xml:space="preserve">Windows: DMSA Service Account Created in Specific OUs - PowerShell</t>
  </si>
  <si>
    <t xml:space="preserve">script REGEXP "New-ADServiceAccount" AND script REGEXP "-CreateDelegatedServiceAccount" AND script REGEXP "-path"</t>
  </si>
  <si>
    <t xml:space="preserve">Detects the creation of a dMSA service account using the New-ADServiceAccount cmdlet in certain OUs. The fact that the cmdlet is used to create a dMSASvc account in a specific OU is highly suspicious. It is a pattern trying to exploit the BadSuccessor privilege escalation vulnerability in Windows Server 2025. On top of that, if the user that is creating the dMSASvc account is not a legitimate administrator or does not have the necessary permissions, it is a strong signal of an attempted or successful abuse of the BaDSuccessor vulnerability for privilege escalation within the Windows Server 2025 Active Directory environment. . This rule is adapted from https://github.com/SigmaHQ/sigma/blob/master/rules/windows/powershell/powershell_script/posh_ps_create_new_dmsasvc_account.yml</t>
  </si>
  <si>
    <t xml:space="preserve">https://filestore.fortinet.com/docs.fortinet.com/fsiem/Public_Resource_Access/7_6_0/rules/PH_RULE_DMSA_Service_Account_Created_in_Specific_OUs_PowerShell.htm</t>
  </si>
  <si>
    <t xml:space="preserve">PH_Rule_windows_SIGMA_2911</t>
  </si>
  <si>
    <t xml:space="preserve">Windows: DNS Server Discovery Via LDAP Query</t>
  </si>
  <si>
    <t xml:space="preserve">Win-Sysmon-22-DNS-Query</t>
  </si>
  <si>
    <t xml:space="preserve">queryId REGEXP "^_ldap\." AND procName NOT REGEXP ":\\Program Files \(x86\)\\|:\\Program Files\\|:\\Windows\\" AND (procName NOT REGEXP ":\\ProgramData\\Microsoft\\Windows Defender\\Platform\\" OR procName NOT REGEXP "\\MsMpEng\.exe$") AND procName!="&lt;unknown process&gt;" AND procName IS NOT NULL AND procName NOT REGEXP "^C:\\WindowsAzure\\GuestAgent" AND procName NOT REGEXP "\\chrome\.exe$|\\firefox\.exe$|\\opera\.exe$"</t>
  </si>
  <si>
    <t xml:space="preserve">hostName,procName,queryId</t>
  </si>
  <si>
    <t xml:space="preserve">Sysmon: Sysmon 22</t>
  </si>
  <si>
    <t xml:space="preserve">Detects DNS server discovery via LDAP query requests from uncommon applications. This rule is adapted from https://github.com/SigmaHQ/sigma/blob/master/rules/windows/dns_query/dns_query_win_dns_server_discovery_via_ldap_query.yml</t>
  </si>
  <si>
    <t xml:space="preserve">https://filestore.fortinet.com/docs.fortinet.com/fsiem/Public_Resource_Access/7_6_0/rules/PH_RULE_DNS_Server_Discovery_Via_LDAP_Query.htm</t>
  </si>
  <si>
    <t xml:space="preserve">PH_Rule_windows_SIGMA_3435</t>
  </si>
  <si>
    <t xml:space="preserve">Windows: DSInternals Suspicious PowerShell Cmdlets</t>
  </si>
  <si>
    <t xml:space="preserve">command REGEXP "Add-ADDBSidHistory|Add-ADNgcKey|Add-ADReplNgcKey|ConvertFrom-ADManagedPasswordBlob|ConvertFrom-GPPrefPassword|ConvertFrom-ManagedPasswordBlob|ConvertFrom-UnattendXmlPassword|ConvertFrom-UnicodePassword|ConvertTo-AADHash|ConvertTo-GPPrefPassword|ConvertTo-KerberosKey|ConvertTo-LMHash|ConvertTo-MsoPasswordHash|ConvertTo-NTHash|ConvertTo-OrgIdHash|ConvertTo-UnicodePassword|Disable-ADDBAccount|Enable-ADDBAccount|Get-ADDBAccount|Get-ADDBBackupKey|Get-ADDBDomainController|Get-ADDBGroupManagedServiceAccount|Get-ADDBKdsRootKey|Get-ADDBSchemaAttribute|Get-ADDBServiceAccount|Get-ADDefaultPasswordPolicy|Get-ADKeyCredential|Get-ADPasswordPolicy|Get-ADReplAccount|Get-ADReplBackupKey|Get-ADReplicationAccount|Get-ADSIAccount|Get-AzureADUserEx|Get-BootKey|Get-KeyCredential|Get-LsaBackupKey|Get-LsaPolicy|Get-SamPasswordPolicy|Get-SysKey|Get-SystemKey|New-ADDBRestoreFromMediaScript|New-ADKeyCredential|New-ADNgcKey|New-NTHashSet|Remove-ADDBObject|Save-DPAPIBlob|Set-ADAccountPasswordHash|Set-ADDBAccountPassword|Set-ADDBBootKey|Set-ADDBDomainController|Set-ADDBPrimaryGroup|Set-ADDBSysKey|Set-AzureADUserEx|Set-LsaPolicy|Set-SamAccountPasswordHash|Set-WinUserPasswordHash|Test-ADDBPasswordQuality|Test-ADPasswordQuality|Test-ADReplPasswordQuality|Test-PasswordQuality|Unlock-ADDBAccount|Write-ADNgcKey|Write-ADReplNgcKey"</t>
  </si>
  <si>
    <t xml:space="preserve">Detects execution and usage of the DSInternals PowerShell module. Which can be used to perform what might be considered as suspicious activity such as dumping DPAPI backup keys or manipulating NTDS.DIT files. The DSInternals PowerShell Module exposes several internal features of Active Directory and Azure Active Directory. These include FIDO2 and NGC key auditing, offline ntds.dit file manipulation, password auditing, DC recovery from IFM backups and password hash calculation. . This rule is adapted from https://github.com/SigmaHQ/sigma/blob/master/rules/windows/process_creation/proc_creation_win_powershell_dsinternals_cmdlets.yml</t>
  </si>
  <si>
    <t xml:space="preserve">https://filestore.fortinet.com/docs.fortinet.com/fsiem/Public_Resource_Access/7_6_0/rules/PH_RULE_DSInternals_Suspicious_PowerShell_Cmdlets.htm</t>
  </si>
  <si>
    <t xml:space="preserve">PH_Rule_windows_SIGMA_3152</t>
  </si>
  <si>
    <t xml:space="preserve">Windows: DSInternals Suspicious PowerShell Cmdlets - ScriptBlock</t>
  </si>
  <si>
    <t xml:space="preserve">script REGEXP "Add-ADDBSidHistory|Add-ADNgcKey|Add-ADReplNgcKey|ConvertFrom-ADManagedPasswordBlob|ConvertFrom-GPPrefPassword|ConvertFrom-ManagedPasswordBlob|ConvertFrom-UnattendXmlPassword|ConvertFrom-UnicodePassword|ConvertTo-AADHash|ConvertTo-GPPrefPassword|ConvertTo-KerberosKey|ConvertTo-LMHash|ConvertTo-MsoPasswordHash|ConvertTo-NTHash|ConvertTo-OrgIdHash|ConvertTo-UnicodePassword|Disable-ADDBAccount|Enable-ADDBAccount|Get-ADDBAccount|Get-ADDBBackupKey|Get-ADDBDomainController|Get-ADDBGroupManagedServiceAccount|Get-ADDBKdsRootKey|Get-ADDBSchemaAttribute|Get-ADDBServiceAccount|Get-ADDefaultPasswordPolicy|Get-ADKeyCredential|Get-ADPasswordPolicy|Get-ADReplAccount|Get-ADReplBackupKey|Get-ADReplicationAccount|Get-ADSIAccount|Get-AzureADUserEx|Get-BootKey|Get-KeyCredential|Get-LsaBackupKey|Get-LsaPolicy|Get-SamPasswordPolicy|Get-SysKey|Get-SystemKey|New-ADDBRestoreFromMediaScript|New-ADKeyCredential|New-ADNgcKey|New-NTHashSet|Remove-ADDBObject|Save-DPAPIBlob|Set-ADAccountPasswordHash|Set-ADDBAccountPassword|Set-ADDBBootKey|Set-ADDBDomainController|Set-ADDBPrimaryGroup|Set-ADDBSysKey|Set-AzureADUserEx|Set-LsaPolicy|Set-SamAccountPasswordHash|Set-WinUserPasswordHash|Test-ADDBPasswordQuality|Test-ADPasswordQuality|Test-ADReplPasswordQuality|Test-PasswordQuality|Unlock-ADDBAccount|Write-ADNgcKey|Write-ADReplNgcKey"</t>
  </si>
  <si>
    <t xml:space="preserve">Detects execution and usage of the DSInternals PowerShell module. Which can be used to perform what might be considered as suspicious activity such as dumping DPAPI backup keys or manipulating NTDS.DIT files. The DSInternals PowerShell Module exposes several internal features of Active Directory and Azure Active Directory. These include FIDO2 and NGC key auditing, offline ntds.dit file manipulation, password auditing, DC recovery from IFM backups and password hash calculation. . This rule is adapted from https://github.com/SigmaHQ/sigma/blob/master/rules/windows/powershell/powershell_script/posh_ps_dsinternals_cmdlets.yml</t>
  </si>
  <si>
    <t xml:space="preserve">https://filestore.fortinet.com/docs.fortinet.com/fsiem/Public_Resource_Access/7_6_0/rules/PH_RULE_DSInternals_Suspicious_PowerShell_Cmdlets_ScriptBlock.htm</t>
  </si>
  <si>
    <t xml:space="preserve">PH_Rule_SIGMA_576</t>
  </si>
  <si>
    <t xml:space="preserve">Windows: Empire PowerShell UAC Bypass</t>
  </si>
  <si>
    <t xml:space="preserve">command REGEXP ".* -NoP -NonI -c \$x=\$\(\(gp HKCU:Software\\Microsoft\\Windows Update\)\.Update\);.*|.* -NoP -NonI -w Hidden -c \$x=\$\(\(gp HKCU:Software\\Microsoft\\Windows Update\)\.Update\).*"</t>
  </si>
  <si>
    <t xml:space="preserve">Detects some Empire PowerShell UAC bypass methods. This rule is adapted from https://github.com/SigmaHQ/sigma/blob/master/rules/windows/process_creation/proc_creation_win_hktl_empire_powershell_uac_bypass.yml</t>
  </si>
  <si>
    <t xml:space="preserve">https://filestore.fortinet.com/docs.fortinet.com/fsiem/Public_Resource_Access/7_6_0/rules/PH_RULE_Empire_PowerShell_UAC_Bypass.htm</t>
  </si>
  <si>
    <t xml:space="preserve">PH_Rule_windows_SIGMA_3802</t>
  </si>
  <si>
    <t xml:space="preserve">Windows: Enable LM Hash Storage</t>
  </si>
  <si>
    <t xml:space="preserve">T1112</t>
  </si>
  <si>
    <t xml:space="preserve">regKeyPath REGEXP "System\\CurrentControlSet\\Control\\Lsa\\NoLMHash$" AND details="DWORD (0x00000000)"</t>
  </si>
  <si>
    <t xml:space="preserve">Detects changes to the "NoLMHash" registry value in order to allow Windows to store LM Hashes. By setting this registry value to "0" (DWORD), Windows will be allowed to store a LAN manager hash of your password in Active Directory and local SAM databases. . This rule is adapted from https://github.com/SigmaHQ/sigma/blob/master/rules/windows/registry/registry_set/registry_set_system_lsa_nolmhash.yml</t>
  </si>
  <si>
    <t xml:space="preserve">https://filestore.fortinet.com/docs.fortinet.com/fsiem/Public_Resource_Access/7_6_0/rules/PH_RULE_Enable_LM_Hash_Storage.htm</t>
  </si>
  <si>
    <t xml:space="preserve">PH_Rule_windows_SIGMA_3465</t>
  </si>
  <si>
    <t xml:space="preserve">Windows: Enable LM Hash Storage - ProcCreation</t>
  </si>
  <si>
    <t xml:space="preserve">command REGEXP "\\System\\CurrentControlSet\\Control\\Lsa" AND command REGEXP "NoLMHash" AND command REGEXP " 0"</t>
  </si>
  <si>
    <t xml:space="preserve">Detects changes to the "NoLMHash" registry value in order to allow Windows to store LM Hashes. By setting this registry value to "0" (DWORD), Windows will be allowed to store a LAN manager hash of your password in Active Directory and local SAM databases. . This rule is adapted from https://github.com/SigmaHQ/sigma/blob/master/rules/windows/process_creation/proc_creation_win_reg_nolmhash.yml</t>
  </si>
  <si>
    <t xml:space="preserve">https://filestore.fortinet.com/docs.fortinet.com/fsiem/Public_Resource_Access/7_6_0/rules/PH_RULE_Enable_LM_Hash_Storage_ProcCreation.htm</t>
  </si>
  <si>
    <t xml:space="preserve">PH_Rule_SIGMA_9</t>
  </si>
  <si>
    <t xml:space="preserve">Windows: Enabled User Right in AD to Control User Objects</t>
  </si>
  <si>
    <t xml:space="preserve">Win-Security-4704</t>
  </si>
  <si>
    <t xml:space="preserve">privName REGEXP ".*SeEnableDelegationPrivilege.*"</t>
  </si>
  <si>
    <t xml:space="preserve">hostName,privName</t>
  </si>
  <si>
    <t xml:space="preserve">Windows Security log: Security 4704</t>
  </si>
  <si>
    <t xml:space="preserve">Detects scenario where if a user is assigned the SeEnableDelegationPrivilege right in Active Directory it would allow control of other AD user objects. This rule is adapted from https://github.com/SigmaHQ/sigma/blob/master/rules/windows/builtin/security/win_security_alert_active_directory_user_control.yml</t>
  </si>
  <si>
    <t xml:space="preserve">https://filestore.fortinet.com/docs.fortinet.com/fsiem/Public_Resource_Access/7_6_0/rules/PH_RULE_Enabled_User_Right_in_AD_to_Control_User_Objects.htm</t>
  </si>
  <si>
    <t xml:space="preserve">PH_Rule_windows_SIGMA_2825</t>
  </si>
  <si>
    <t xml:space="preserve">Windows: ETW Logging Disabled In .NET Processes - Registry</t>
  </si>
  <si>
    <t xml:space="preserve">Microsoft Windows Security Log via OMI or Windows Collector
[Corrected: Fortinet docs label this rule "CyberArk Enterprise Password Vault via Syslog"; source derived from its event types]</t>
  </si>
  <si>
    <t xml:space="preserve">Win-Security-4657</t>
  </si>
  <si>
    <t xml:space="preserve">(osObjName REGEXP ".*\\SOFTWARE\\Microsoft\\\.NETFramework$" AND osObjValue="ETWEnabled" AND newObjValue="0") OR (osObjName CONTAIN "\\Environment" AND osObjValue IN ("COMPlus_ETWEnabled","COMPlus_ETWFlags") AND newObjValue="0")</t>
  </si>
  <si>
    <t xml:space="preserve">hostName,newObjValue,osObjName,osObjValue</t>
  </si>
  <si>
    <t xml:space="preserve">Windows Security log: Security 4657</t>
  </si>
  <si>
    <t xml:space="preserve">Potential adversaries stopping ETW providers recording loaded .NET assemblies.. This rule is adapted from https://github.com/SigmaHQ/sigma/blob/master/rules/windows/builtin/security/win_security_dot_net_etw_tamper.yml</t>
  </si>
  <si>
    <t xml:space="preserve">https://filestore.fortinet.com/docs.fortinet.com/fsiem/Public_Resource_Access/7_6_0/rules/PH_RULE_ETW_Logging_Disabled_In_NET_Processes_Registry.htm</t>
  </si>
  <si>
    <t xml:space="preserve">PH_Rule_SIGMA_1562</t>
  </si>
  <si>
    <t xml:space="preserve">Windows: Explorer NOUACCHECK Flag</t>
  </si>
  <si>
    <t xml:space="preserve">(procName REGEXP "\\explorer\.exe$" AND command REGEXP ".*/NOUACCHECK.*") AND ((parentCommand!="C:\\Windows\\system32\\svchost.exe -k netsvcs -p -s Schedule" AND parentProcName!="C:\\Windows\\System32\\svchost.exe"))</t>
  </si>
  <si>
    <t xml:space="preserve">command,hostName,parentCommand,parentProcName,procName</t>
  </si>
  <si>
    <t xml:space="preserve">Detects suspicious starts of explorer.exe that use the /NOUACCHECK flag that allows to run all sub processes of that newly started explorer.exe without any UAC checks. This rule is adapted from https://github.com/SigmaHQ/sigma/blob/master/rules/windows/process_creation/proc_creation_win_explorer_nouaccheck.yml</t>
  </si>
  <si>
    <t xml:space="preserve">https://filestore.fortinet.com/docs.fortinet.com/fsiem/Public_Resource_Access/7_6_0/rules/PH_RULE_Explorer_NOUACCHECK_Flag.htm</t>
  </si>
  <si>
    <t xml:space="preserve">PH_Rule_SIGMA_249</t>
  </si>
  <si>
    <t xml:space="preserve">Windows: External Disk Drive Or USB Storage Device Was Recognized By The System</t>
  </si>
  <si>
    <t xml:space="preserve">T1091, T1200</t>
  </si>
  <si>
    <t xml:space="preserve">Win-Security-6416</t>
  </si>
  <si>
    <t xml:space="preserve">(deviceType="DiskDrive" OR description="USB Mass Storage Device")</t>
  </si>
  <si>
    <t xml:space="preserve">description,deviceType,hostName</t>
  </si>
  <si>
    <t xml:space="preserve">Windows Security log: Security 6416</t>
  </si>
  <si>
    <t xml:space="preserve">Detects external disk drives or plugged-in USB devices.. This rule is adapted from https://github.com/SigmaHQ/sigma/blob/master/rules/windows/builtin/security/win_security_external_device.yml</t>
  </si>
  <si>
    <t xml:space="preserve">https://filestore.fortinet.com/docs.fortinet.com/fsiem/Public_Resource_Access/7_6_0/rules/PH_RULE_External_Disk_Drive_or_USB_Storage_Device.htm</t>
  </si>
  <si>
    <t xml:space="preserve">PH_Rule_SIGMA_1856</t>
  </si>
  <si>
    <t xml:space="preserve">Windows: External Remote RDP Logon from Public IP</t>
  </si>
  <si>
    <t xml:space="preserve">T1133</t>
  </si>
  <si>
    <t xml:space="preserve">winLogonType=10 AND srcIpAddr NOT IN (Group@PH_SYS_NETWORK_ENTERPRISE_INTERNAL_NET)</t>
  </si>
  <si>
    <t xml:space="preserve">hostName, srcIpAddr, srcGeoCountry, winLogonType</t>
  </si>
  <si>
    <t xml:space="preserve">Detects successful logon from public IP address via RDP. This can indicate a publicly-exposed RDP port. This rule is adapted from https://github.com/SigmaHQ/sigma/blob/master/rules/windows/builtin/security/account_management/win_security_successful_external_remote_rdp_login.yml</t>
  </si>
  <si>
    <t xml:space="preserve">https://filestore.fortinet.com/docs.fortinet.com/fsiem/Public_Resource_Access/7_6_0/rules/PH_RULE_External_Remote_RDP_Logon_from_Public_IP.htm</t>
  </si>
  <si>
    <t xml:space="preserve">PH_Rule_SIGMA_1857</t>
  </si>
  <si>
    <t xml:space="preserve">Windows: External Remote SMB Logon from Public IP</t>
  </si>
  <si>
    <t xml:space="preserve">winLogonType=3 AND srcIpAddr NOT IN (Group@PH_SYS_NETWORK_ENTERPRISE_INTERNAL_NET)</t>
  </si>
  <si>
    <t xml:space="preserve">Detects successful logon from public IP address via SMB. This can indicate a publicly-exposed SMB port. This rule is adapted from https://github.com/SigmaHQ/sigma/blob/master/rules/windows/builtin/security/account_management/win_security_successful_external_remote_smb_login.yml</t>
  </si>
  <si>
    <t xml:space="preserve">https://filestore.fortinet.com/docs.fortinet.com/fsiem/Public_Resource_Access/7_6_0/rules/PH_RULE_External_Remote_SMB_Logon_from_Public_IP.htm</t>
  </si>
  <si>
    <t xml:space="preserve">PH_Rule_windows_SIGMA_2821</t>
  </si>
  <si>
    <t xml:space="preserve">Windows: Failed Code Integrity Checks</t>
  </si>
  <si>
    <t xml:space="preserve">T1027.001</t>
  </si>
  <si>
    <t xml:space="preserve">Win-Security-5038
Win-Security-6281</t>
  </si>
  <si>
    <t xml:space="preserve">paraName NOT REGEXP "\\CSFalconServiceUninstallTool_|\\Program Files\\CrowdStrike\\|\\System32\\drivers\\CrowdStrike\\|\\Windows\\System32\\ScriptControl64_" AND paraName NOT REGEXP "\\Program Files\\Sophos\\"</t>
  </si>
  <si>
    <t xml:space="preserve">hostName,paraName</t>
  </si>
  <si>
    <t xml:space="preserve">Windows Security log: Security 5038
Windows Security log: Security 6281</t>
  </si>
  <si>
    <t xml:space="preserve">Detects code integrity failures such as missing page hashes or corrupted drivers due unauthorized modification. This could be a sign of tampered binaries. . This rule is adapted from https://github.com/SigmaHQ/sigma/blob/master/rules/windows/builtin/security/win_security_codeintegrity_check_failure.yml</t>
  </si>
  <si>
    <t xml:space="preserve">https://filestore.fortinet.com/docs.fortinet.com/fsiem/Public_Resource_Access/7_6_0/rules/PH_RULE_Failed_Code_Integrity_Checks.htm</t>
  </si>
  <si>
    <t xml:space="preserve">PH_Rule_SIGMA_296</t>
  </si>
  <si>
    <t xml:space="preserve">Windows: Failed Logon From Public IP</t>
  </si>
  <si>
    <t xml:space="preserve">T1190</t>
  </si>
  <si>
    <t xml:space="preserve">Win-Security-4625</t>
  </si>
  <si>
    <t xml:space="preserve">srcIpAddr NOT IN (Group@PH_SYS_NETWORK_ENTERPRISE_INTERNAL_NET)</t>
  </si>
  <si>
    <t xml:space="preserve">hostName, srcIpAddr, srcGeoCountry</t>
  </si>
  <si>
    <t xml:space="preserve">Windows Security log: Security 4625</t>
  </si>
  <si>
    <t xml:space="preserve">A login from a public IP can indicate a misconfigured firewall or network boundary. This rule is adapted from https://github.com/SigmaHQ/sigma/blob/master/rules/windows/builtin/security/account_management/win_security_susp_failed_logon_source.yml</t>
  </si>
  <si>
    <t xml:space="preserve">https://filestore.fortinet.com/docs.fortinet.com/fsiem/Public_Resource_Access/7_6_0/rules/PH_RULE_Failed_Logon_From_Public_IP.htm</t>
  </si>
  <si>
    <t xml:space="preserve">PH_Rule_windows_SIGMA_2838</t>
  </si>
  <si>
    <t xml:space="preserve">Windows: File Access Of Signal Desktop Sensitive Data</t>
  </si>
  <si>
    <t xml:space="preserve">osObjType="File" AND osObjName REGEXP "\\AppData\\Roaming\\Signal\\" AND osObjName REGEXP "\\config\.json$|\\db\.sqlite$" AND procName NOT REGEXP "\\signal-portable\.exe$|\\signal\.exe$"</t>
  </si>
  <si>
    <t xml:space="preserve">Detects access to Signal Desktop's sensitive data files: db.sqlite and config.json. The db.sqlite file in Signal Desktop stores all locally saved messages in an encrypted SQLite database, while the config.json contains the decryption key needed to access that data. Since the key is stored in plain text, a threat actor who gains access to both files can decrypt and read sensitive messages without needing the users credentials. Currently the rule only covers the default Signal installation path in AppData\Roaming. Signal Portable installations may use different paths based on user configuration. Additional paths can be added to the selection as needed. . This rule is adapted from https://github.com/SigmaHQ/sigma/blob/master/rules/windows/builtin/security/win_security_signal_sensitive_config_access.yml</t>
  </si>
  <si>
    <t xml:space="preserve">https://filestore.fortinet.com/docs.fortinet.com/fsiem/Public_Resource_Access/7_6_0/rules/PH_RULE_File_Access_Of_Signal_Desktop_Sensitive_Data.htm</t>
  </si>
  <si>
    <t xml:space="preserve">PH_Rule_SIGMA_2273</t>
  </si>
  <si>
    <t xml:space="preserve">Windows: File Decoded From Base64/Hex Via Certutil.EXE</t>
  </si>
  <si>
    <t xml:space="preserve">(procName REGEXP "\\certutil\.exe$" OR srcFileName="CertUtil.exe") AND command REGEXP ".*-decode .*|.*-decodehex .*|.*/decode .*|.*/decodehex .*"</t>
  </si>
  <si>
    <t xml:space="preserve">Detects the execution of certutil with either the "decode" or "decodehex" flags to decode base64 or hex encoded files. This can be abused by attackers to decode an encoded payload before execution. This rule is adapted from https://github.com/SigmaHQ/sigma/blob/master/rules/windows/process_creation/proc_creation_win_certutil_decode.yml</t>
  </si>
  <si>
    <t xml:space="preserve">https://filestore.fortinet.com/docs.fortinet.com/fsiem/Public_Resource_Access/7_6_0/rules/PH_RULE_File_Decoded_From_Base64_Hex_Via_Certutil_EXE.htm</t>
  </si>
  <si>
    <t xml:space="preserve">PH_Rule_SIGMA_525</t>
  </si>
  <si>
    <t xml:space="preserve">Windows: File Encoded To Base64 Via Certutil.EXE</t>
  </si>
  <si>
    <t xml:space="preserve">(procName REGEXP "\\certutil\.exe$" OR srcFileName="CertUtil.exe") AND command REGEXP ".*-encode.*|.*/encode.*"</t>
  </si>
  <si>
    <t xml:space="preserve">Detects the execution of certutil with the "encode" flag to encode a file to base64. This can be abused by threat actors and attackers for data exfiltration. This rule is adapted from https://github.com/SigmaHQ/sigma/blob/master/rules/windows/process_creation/proc_creation_win_certutil_encode.yml</t>
  </si>
  <si>
    <t xml:space="preserve">https://filestore.fortinet.com/docs.fortinet.com/fsiem/Public_Resource_Access/7_6_0/rules/PH_RULE_Certutil_Encode.htm</t>
  </si>
  <si>
    <t xml:space="preserve">PH_Rule_windows_SIGMA_3319</t>
  </si>
  <si>
    <t xml:space="preserve">Windows: File In Suspicious Location Encoded To Base64 Via Certutil.EXE</t>
  </si>
  <si>
    <t xml:space="preserve">(procName REGEXP "\\certutil\.exe$" OR srcFileName="CertUtil.exe") AND (command REGEXP "-encode" OR command REGEXP "/encode") AND command REGEXP "\$Recycle\.Bin|\\AppData\\Roaming\\|\\Desktop\\|\\Local\\Temp\\|\\PerfLogs\\|\\Users\\Public\\|\\Windows\\Temp\\"</t>
  </si>
  <si>
    <t xml:space="preserve">Detects the execution of certutil with the "encode" flag to encode a file to base64 where the files are located in potentially suspicious locations. This rule is adapted from https://github.com/SigmaHQ/sigma/blob/master/rules/windows/process_creation/proc_creation_win_certutil_encode_susp_location.yml</t>
  </si>
  <si>
    <t xml:space="preserve">https://filestore.fortinet.com/docs.fortinet.com/fsiem/Public_Resource_Access/7_6_0/rules/PH_RULE_File_In_Suspicious_Location_Encoded_To_Base64_Via_Certutil_EXE.htm</t>
  </si>
  <si>
    <t xml:space="preserve">PH_Rule_windows_SIGMA_3582</t>
  </si>
  <si>
    <t xml:space="preserve">Windows: File Recovery From Backup Via Wbadmin.EXE</t>
  </si>
  <si>
    <t xml:space="preserve">(procName REGEXP "\\wbadmin\.exe$" OR srcFileName="WBADMIN.EXE") AND command REGEXP " recovery" AND command REGEXP "recoveryTarget" AND command REGEXP "itemtype:File"</t>
  </si>
  <si>
    <t xml:space="preserve">Detects the recovery of files from backups via "wbadmin.exe". Attackers can restore sensitive files such as NTDS.DIT or Registry Hives from backups in order to potentially extract credentials. . This rule is adapted from https://github.com/SigmaHQ/sigma/blob/master/rules/windows/process_creation/proc_creation_win_wbadmin_restore_file.yml</t>
  </si>
  <si>
    <t xml:space="preserve">https://filestore.fortinet.com/docs.fortinet.com/fsiem/Public_Resource_Access/7_6_0/rules/PH_RULE_File_Recovery_From_Backup_Via_Wbadmin_EXE.htm</t>
  </si>
  <si>
    <t xml:space="preserve">PH_Rule_SIGMA_261</t>
  </si>
  <si>
    <t xml:space="preserve">Windows: First Time Seen Remote Named Pipe</t>
  </si>
  <si>
    <t xml:space="preserve">(fileName="\\\\*\\IPC$") AND (targetName NOT IN ("HydraLsPipe","LSM_API_service","MsFteWds","TermSrv_API_service","atsvc","browser","eventlog","lsarpc","lsass","netdfs","netlogon","ntsvcs","protected_storage","samr","spoolss","sql\\query","srvsvc","svcctl","winreg","wkssvc"))</t>
  </si>
  <si>
    <t xml:space="preserve">This detection excludes known named pipes accessible remotely and notify on newly observed ones, may help to detect lateral movement and remote exec using named pipes. This rule is adapted from https://github.com/SigmaHQ/sigma/blob/master/rules/windows/builtin/security/win_security_lm_namedpipe.yml</t>
  </si>
  <si>
    <t xml:space="preserve">https://filestore.fortinet.com/docs.fortinet.com/fsiem/Public_Resource_Access/7_6_0/rules/PH_RULE_First_Time_Seen_Remote_Named_Pipe.htm</t>
  </si>
  <si>
    <t xml:space="preserve">PH_Rule_windows_SIGMA_3132</t>
  </si>
  <si>
    <t xml:space="preserve">Windows: Get-ADUser Enumeration Using UserAccountControl Flags</t>
  </si>
  <si>
    <t xml:space="preserve">T1033</t>
  </si>
  <si>
    <t xml:space="preserve">script REGEXP "Get-ADUser" AND script REGEXP "-Filter" AND script REGEXP "useraccountcontrol" AND script REGEXP "-band" AND script REGEXP "4194304"</t>
  </si>
  <si>
    <t xml:space="preserve">Detects AS-REP roasting is an attack that is often-overlooked. It is not very common as you have to explicitly set accounts that do not require pre-authentication.. This rule is adapted from https://github.com/SigmaHQ/sigma/blob/master/rules/windows/powershell/powershell_script/posh_ps_as_rep_roasting.yml</t>
  </si>
  <si>
    <t xml:space="preserve">https://filestore.fortinet.com/docs.fortinet.com/fsiem/Public_Resource_Access/7_6_0/rules/PH_RULE_Get_ADUser_Enumeration_Using_UserAccountControl_Flags.htm</t>
  </si>
  <si>
    <t xml:space="preserve">PH_Rule_SIGMA_1569</t>
  </si>
  <si>
    <t xml:space="preserve">Windows: Gpresult Display Group Policy Information</t>
  </si>
  <si>
    <t xml:space="preserve">procName REGEXP "\\gpresult\.exe$" AND command REGEXP ".*/v.*|.*/z.*"</t>
  </si>
  <si>
    <t xml:space="preserve">Detects cases in which a user uses the built-in Windows utility gpresult to display the Resultant Set of Policy (RSoP) information. This rule is adapted from https://github.com/SigmaHQ/sigma/blob/master/rules/windows/process_creation/proc_creation_win_gpresult_execution.yml</t>
  </si>
  <si>
    <t xml:space="preserve">https://filestore.fortinet.com/docs.fortinet.com/fsiem/Public_Resource_Access/7_6_0/rules/PH_RULE_Gpresult_Display_Group_Policy_Information.htm</t>
  </si>
  <si>
    <t xml:space="preserve">PH_Rule_SIGMA_1376</t>
  </si>
  <si>
    <t xml:space="preserve">Windows: Gpscript Execution</t>
  </si>
  <si>
    <t xml:space="preserve">(procName REGEXP "\\gpscript\.exe$" OR srcFileName="GPSCRIPT.EXE") AND command REGEXP " /logon| /startup" AND parentCommand!="C:\\windows\\system32\\svchost.exe -k netsvcs -p -s gpsvc"</t>
  </si>
  <si>
    <t xml:space="preserve">command,hostName,parentCommand,procName,srcFileName</t>
  </si>
  <si>
    <t xml:space="preserve">Detects the execution of the LOLBIN gpscript, which executes logon or startup scripts configured in Group Policy. This rule is adapted from https://github.com/SigmaHQ/sigma/blob/master/rules/windows/process_creation/proc_creation_win_lolbin_gpscript.yml</t>
  </si>
  <si>
    <t xml:space="preserve">https://filestore.fortinet.com/docs.fortinet.com/fsiem/Public_Resource_Access/7_6_0/rules/PH_RULE_Gpscript_Execution.htm</t>
  </si>
  <si>
    <t xml:space="preserve">PH_Rule_SIGMA_2598</t>
  </si>
  <si>
    <t xml:space="preserve">Windows: Group Membership Reconnaissance Via Whoami.EXE</t>
  </si>
  <si>
    <t xml:space="preserve">(procName REGEXP "\\whoami\.exe$" OR srcFileName="whoami.exe") AND command REGEXP ".* -groups.*|.* /groups.*"</t>
  </si>
  <si>
    <t xml:space="preserve">Detects the execution of whoami.exe with the /group command line flag to show group membership for the current user, account type, security identifiers (SID), and attributes. This rule is adapted from https://github.com/SigmaHQ/sigma/blob/master/rules/windows/process_creation/proc_creation_win_whoami_groups_discovery.yml</t>
  </si>
  <si>
    <t xml:space="preserve">https://filestore.fortinet.com/docs.fortinet.com/fsiem/Public_Resource_Access/7_6_0/rules/PH_RULE_Group_Membership_Reconnaissance_Via_Whoami_EXE.htm</t>
  </si>
  <si>
    <t xml:space="preserve">PH_Rule_windows_SIGMA_2840</t>
  </si>
  <si>
    <t xml:space="preserve">Windows: Group Policy Abuse for Privilege Addition</t>
  </si>
  <si>
    <t xml:space="preserve">propName="gPCMachineExtensionNames" AND propValue REGEXP "803E14A0-B4FB-11D0-A0D0-00A0C90F574B|827D319E-6EAC-11D2-A4EA-00C04F79F83A"</t>
  </si>
  <si>
    <t xml:space="preserve">hostName,propName,propValue</t>
  </si>
  <si>
    <t xml:space="preserve">Detects the first occurrence of a modification to Group Policy Object Attributes to add privileges to user accounts or use them to add users as local admins. . This rule is adapted from https://github.com/SigmaHQ/sigma/blob/master/rules/windows/builtin/security/win_security_susp_group_policy_abuse_privilege_addition.yml</t>
  </si>
  <si>
    <t xml:space="preserve">https://filestore.fortinet.com/docs.fortinet.com/fsiem/Public_Resource_Access/7_6_0/rules/PH_RULE_Group_Policy_Abuse_for_Privilege_Addition.htm</t>
  </si>
  <si>
    <t xml:space="preserve">PH_Rule_SIGMA_1328</t>
  </si>
  <si>
    <t xml:space="preserve">Windows: HackTool - ADCSPwn Execution</t>
  </si>
  <si>
    <t xml:space="preserve">command REGEXP ".* --adcs .*" AND command REGEXP ".* --port .*"</t>
  </si>
  <si>
    <t xml:space="preserve">Detects command line parameters used by ADCSPwn, a tool to escalate privileges in an active directory network by coercing authenticate from machine accounts and relaying to the certificate service. This rule is adapted from https://github.com/SigmaHQ/sigma/blob/master/rules/windows/process_creation/proc_creation_win_hktl_adcspwn.yml</t>
  </si>
  <si>
    <t xml:space="preserve">https://filestore.fortinet.com/docs.fortinet.com/fsiem/Public_Resource_Access/7_6_0/rules/PH_RULE_ADCSPwn_Hack_Tool.htm</t>
  </si>
  <si>
    <t xml:space="preserve">PH_Rule_SIGMA_2318</t>
  </si>
  <si>
    <t xml:space="preserve">Windows: HackTool - Certify Execution</t>
  </si>
  <si>
    <t xml:space="preserve">((procName REGEXP "\\Certify\.exe$" OR srcFileName="Certify.exe" OR description REGEXP ".*Certify.*") OR (command REGEXP ".*\.exe cas .*|.*\.exe download .*|.*\.exe find .*|.*\.exe pkiobjects .*|.*\.exe request .*" AND command REGEXP ".* /altname:.*|.* /ca:.*|.* /domain:.*|.* /path:.*|.* /template:.*|.* /vulnerable.*"))</t>
  </si>
  <si>
    <t xml:space="preserve">Detects Certify a tool for Active Directory certificate abuse based on PE metadata characteristics and common command line arguments. This rule is adapted from https://github.com/SigmaHQ/sigma/blob/master/rules/windows/process_creation/proc_creation_win_hktl_certify.yml</t>
  </si>
  <si>
    <t xml:space="preserve">https://filestore.fortinet.com/docs.fortinet.com/fsiem/Public_Resource_Access/7_6_0/rules/PH_RULE_HackTool_Certify_Execution.htm</t>
  </si>
  <si>
    <t xml:space="preserve">PH_Rule_SIGMA_2319</t>
  </si>
  <si>
    <t xml:space="preserve">Windows: HackTool - Certipy Execution</t>
  </si>
  <si>
    <t xml:space="preserve">(procName REGEXP "\\Certipy\.exe$" OR srcFileName="Certipy.exe" OR description REGEXP "Certipy" OR (command REGEXP " account | auth | cert | find | forge | ptt | relay | req | shadow | template " AND command REGEXP " -bloodhound| -ca-pfx | -dc-ip | -kirbi| -old-bloodhound| -pfx | -target| -template| -username | -vulnerable|auth -pfx|shadow auto|shadow list"))</t>
  </si>
  <si>
    <t xml:space="preserve">Detects Certipy execution, a tool for Active Directory Certificate Services enumeration and abuse based on PE metadata characteristics and common command line arguments. . This rule is adapted from https://github.com/SigmaHQ/sigma/blob/master/rules/windows/process_creation/proc_creation_win_hktl_certipy.yml</t>
  </si>
  <si>
    <t xml:space="preserve">https://filestore.fortinet.com/docs.fortinet.com/fsiem/Public_Resource_Access/7_6_0/rules/PH_RULE_HackTool_Certipy_Execution.htm</t>
  </si>
  <si>
    <t xml:space="preserve">PH_Rule_windows_SIGMA_2826</t>
  </si>
  <si>
    <t xml:space="preserve">Windows: HackTool - EDRSilencer Execution - Filter Added</t>
  </si>
  <si>
    <t xml:space="preserve">Win-Security-5441
Win-Security-5447</t>
  </si>
  <si>
    <t xml:space="preserve">filter REGEXP "Custom Outbound Filter"</t>
  </si>
  <si>
    <t xml:space="preserve">filter,hostName</t>
  </si>
  <si>
    <t xml:space="preserve">Windows Security log: Security 5441
Windows Security log: Security 5447</t>
  </si>
  <si>
    <t xml:space="preserve">Detects execution of EDRSilencer, a tool that abuses the Windows Filtering Platform (WFP) to block the outbound traffic of running EDR agents based on specific hardcoded filter names. . This rule is adapted from https://github.com/SigmaHQ/sigma/blob/master/rules/windows/builtin/security/win_security_hktl_edr_silencer.yml</t>
  </si>
  <si>
    <t xml:space="preserve">https://filestore.fortinet.com/docs.fortinet.com/fsiem/Public_Resource_Access/7_6_0/rules/PH_RULE_HackTool_EDRSilencer_Execution_Filter_Added.htm</t>
  </si>
  <si>
    <t xml:space="preserve">PH_Rule_windows_SIGMA_3376</t>
  </si>
  <si>
    <t xml:space="preserve">Windows: HackTool - NetExec Execution</t>
  </si>
  <si>
    <t xml:space="preserve">procName REGEXP "\\nxc\.exe$" AND command REGEXP " ftp | ldap | mssql | nfs | rdp | smb | ssh | vnc | winrm | wmi "</t>
  </si>
  <si>
    <t xml:space="preserve">Detects execution of the hacktool NetExec. NetExec (formerly CrackMapExec) is a widely used post-exploitation tool designed for Active Directory penetration testing and network enumeration In enterprise environments, the use of NetExec is considered suspicious or potentially malicious because it enables attackers to enumerate hosts, exploit network services, and move laterally across systems. Threat actors and red teams commonly use NetExec to identify vulnerable systems, harvest credentials, and execute commands remotely. . This rule is adapted from https://github.com/SigmaHQ/sigma/blob/master/rules/windows/process_creation/proc_creation_win_hktl_netexec.yml</t>
  </si>
  <si>
    <t xml:space="preserve">https://filestore.fortinet.com/docs.fortinet.com/fsiem/Public_Resource_Access/7_6_0/rules/PH_RULE_HackTool_NetExec_Execution.htm</t>
  </si>
  <si>
    <t xml:space="preserve">PH_Rule_windows_SIGMA_2957</t>
  </si>
  <si>
    <t xml:space="preserve">Windows: HackTool - NetExec File Indicators</t>
  </si>
  <si>
    <t xml:space="preserve">T1059.005</t>
  </si>
  <si>
    <t xml:space="preserve">(procName REGEXP "\\nxc-windows-latest\\" OR (fileName REGEXP "\\Temp\\_MEI" AND fileName REGEXP "\\nxc\\data\\"))</t>
  </si>
  <si>
    <t xml:space="preserve">Detects file creation events indicating NetExec (nxc.exe) execution on the local machine. NetExec is a PyInstaller-bundled binary that extracts its embedded data files to a "_MEI&lt;random&gt;" directory under the Temp folder upon execution. Files dropped under the "\nxc\" sub-directory of that extraction path are unique to NetExec and serve as reliable on-disk indicators of execution. NetExec (formerly CrackMapExec) is a widely used post-exploitation and lateral movement tool used for Active Directory enumeration, credential harvesting, and remote code execution. . This rule is adapted from https://github.com/SigmaHQ/sigma/blob/master/rules/windows/file/file_event/file_event_win_hktl_netexec_file_indicators.yml</t>
  </si>
  <si>
    <t xml:space="preserve">https://filestore.fortinet.com/docs.fortinet.com/fsiem/Public_Resource_Access/7_6_0/rules/PH_RULE_HackTool_NetExec_File_Indicators.htm</t>
  </si>
  <si>
    <t xml:space="preserve">PH_Rule_windows_SIGMA_2827</t>
  </si>
  <si>
    <t xml:space="preserve">Windows: HackTool - NoFilter Execution</t>
  </si>
  <si>
    <t xml:space="preserve">Win-Security-5447
Win-Security-5449</t>
  </si>
  <si>
    <t xml:space="preserve">(filter REGEXP "RonPolicy") OR (providerName REGEXP "RonPolicy")</t>
  </si>
  <si>
    <t xml:space="preserve">filter,hostName,providerName</t>
  </si>
  <si>
    <t xml:space="preserve">Windows Security log: Security 5447
Windows Security log: Security 5449</t>
  </si>
  <si>
    <t xml:space="preserve">Detects execution of NoFilter, a tool for abusing the Windows Filtering Platform for privilege escalation via hardcoded policy name indicators . This rule is adapted from https://github.com/SigmaHQ/sigma/blob/master/rules/windows/builtin/security/win_security_hktl_nofilter.yml</t>
  </si>
  <si>
    <t xml:space="preserve">https://filestore.fortinet.com/docs.fortinet.com/fsiem/Public_Resource_Access/7_6_0/rules/PH_RULE_HackTool_NoFilter_Execution.htm</t>
  </si>
  <si>
    <t xml:space="preserve">PH_Rule_windows_SIGMA_3374</t>
  </si>
  <si>
    <t xml:space="preserve">Windows: HackTool - RemoteKrbRelay Execution</t>
  </si>
  <si>
    <t xml:space="preserve">(procName REGEXP "\\RemoteKrbRelay\.exe$" OR srcFileName="RemoteKrbRelay.exe" OR (command REGEXP " -clsid " AND command REGEXP " -target " AND command REGEXP " -victim ") OR (command REGEXP "-rbcd " AND command REGEXP "--computername |-cn ") OR (command REGEXP "-chp " AND command REGEXP "-chpPass " AND command REGEXP "-chpUser ") OR (command REGEXP "-addgroupmember " AND command REGEXP "-group " AND command REGEXP "-groupuser ") OR (command REGEXP "-smb " AND command REGEXP "--smbkeyword " AND command REGEXP "interactive|secrets|service-add"))</t>
  </si>
  <si>
    <t xml:space="preserve">Detects the use of RemoteKrbRelay, a Kerberos relaying tool via CommandLine flags and PE metadata. . This rule is adapted from https://github.com/SigmaHQ/sigma/blob/master/rules/windows/process_creation/proc_creation_win_hktl_krbrelay_remote.yml</t>
  </si>
  <si>
    <t xml:space="preserve">https://filestore.fortinet.com/docs.fortinet.com/fsiem/Public_Resource_Access/7_6_0/rules/PH_RULE_HackTool_RemoteKrbRelay_Execution.htm</t>
  </si>
  <si>
    <t xml:space="preserve">PH_Rule_windows_SIGMA_3166</t>
  </si>
  <si>
    <t xml:space="preserve">Windows: HackTool - Rubeus Execution - ScriptBlock</t>
  </si>
  <si>
    <t xml:space="preserve">script REGEXP "/impersonateuser:|asktgt /user:|asreproast |createnetonly /program:|dump /luid:0x|dump /service:krbtgt |golden /aes256:|harvest /interval:|hash /password:|kerberoast |ptt /ticket:|renew /ticket:|s4u /ticket:|s4u /user:|silver /user:"</t>
  </si>
  <si>
    <t xml:space="preserve">Detects the execution of the hacktool Rubeus using specific command line flags. This rule is adapted from https://github.com/SigmaHQ/sigma/blob/master/rules/windows/powershell/powershell_script/posh_ps_hktl_rubeus.yml</t>
  </si>
  <si>
    <t xml:space="preserve">https://filestore.fortinet.com/docs.fortinet.com/fsiem/Public_Resource_Access/7_6_0/rules/PH_RULE_HackTool_Rubeus_Execution_ScriptBlock.htm</t>
  </si>
  <si>
    <t xml:space="preserve">PH_Rule_SIGMA_2337</t>
  </si>
  <si>
    <t xml:space="preserve">Windows: HackTool - SharpLDAPmonitor Execution</t>
  </si>
  <si>
    <t xml:space="preserve">((procName REGEXP "\\SharpLDAPmonitor\.exe$" OR srcFileName="SharpLDAPmonitor.exe") OR (command REGEXP ".*/user:.*" AND command REGEXP ".*/pass:.*" AND command REGEXP ".*/dcip:.*"))</t>
  </si>
  <si>
    <t xml:space="preserve">Detects execution of the SharpLDAPmonitor. Which can monitor the creation, deletion and changes to LDAP objects. This rule is adapted from https://github.com/SigmaHQ/sigma/blob/master/rules/windows/process_creation/proc_creation_win_hktl_sharp_ldap_monitor.yml</t>
  </si>
  <si>
    <t xml:space="preserve">https://filestore.fortinet.com/docs.fortinet.com/fsiem/Public_Resource_Access/7_6_0/rules/PH_RULE_HackTool_SharpLDAPmonitor_Execution.htm</t>
  </si>
  <si>
    <t xml:space="preserve">PH_Rule_SIGMA_2340</t>
  </si>
  <si>
    <t xml:space="preserve">Windows: HackTool - SharpLdapWhoami Execution</t>
  </si>
  <si>
    <t xml:space="preserve">(procName REGEXP "\\SharpLdapWhoami\.exe$" OR srcFileName REGEXP ".*SharpLdapWhoami.*" OR product="SharpLdapWhoami" OR command REGEXP " /m:kerb$| /m:nego$| /m:ntlm$| /method:kerb$| /method:nego$| /method:ntlm$")</t>
  </si>
  <si>
    <t xml:space="preserve">command,hostName,procName,product,srcFileName</t>
  </si>
  <si>
    <t xml:space="preserve">Detects SharpLdapWhoami, a whoami alternative that queries the LDAP service on a domain controller. This rule is adapted from https://github.com/SigmaHQ/sigma/blob/master/rules/windows/process_creation/proc_creation_win_hktl_sharpldapwhoami.yml</t>
  </si>
  <si>
    <t xml:space="preserve">https://filestore.fortinet.com/docs.fortinet.com/fsiem/Public_Resource_Access/7_6_0/rules/PH_RULE_HackTool_SharpLdapWhoami_Execution.htm</t>
  </si>
  <si>
    <t xml:space="preserve">PH_Rule_windows_SIGMA_3382</t>
  </si>
  <si>
    <t xml:space="preserve">Windows: HackTool - SOAPHound Execution</t>
  </si>
  <si>
    <t xml:space="preserve">command REGEXP " --bhdump | --buildcache | --certdump | --dnsdump " AND command REGEXP " --cachefilename | --outputdirectory| -c | -o "</t>
  </si>
  <si>
    <t xml:space="preserve">Detects the execution of SOAPHound, a .NET tool for collecting Active Directory data, using specific command-line arguments that may indicate an attempt to extract sensitive AD information. . This rule is adapted from https://github.com/SigmaHQ/sigma/blob/master/rules/windows/process_creation/proc_creation_win_hktl_soaphound_execution.yml</t>
  </si>
  <si>
    <t xml:space="preserve">https://filestore.fortinet.com/docs.fortinet.com/fsiem/Public_Resource_Access/7_6_0/rules/PH_RULE_HackTool_SOAPHound_Execution.htm</t>
  </si>
  <si>
    <t xml:space="preserve">PH_Rule_SIGMA_2345</t>
  </si>
  <si>
    <t xml:space="preserve">Windows: HackTool - TruffleSnout Execution</t>
  </si>
  <si>
    <t xml:space="preserve">(srcFileName="TruffleSnout.exe" OR procName REGEXP "\\TruffleSnout\.exe$")</t>
  </si>
  <si>
    <t xml:space="preserve">Detects the use of TruffleSnout.exe an iterative AD discovery toolkit for offensive operators, situational awareness and targeted low noise enumeration. This rule is adapted from https://github.com/SigmaHQ/sigma/blob/master/rules/windows/process_creation/proc_creation_win_hktl_trufflesnout.yml</t>
  </si>
  <si>
    <t xml:space="preserve">https://filestore.fortinet.com/docs.fortinet.com/fsiem/Public_Resource_Access/7_6_0/rules/PH_RULE_HackTool_TruffleSnout_Execution.htm</t>
  </si>
  <si>
    <t xml:space="preserve">PH_Rule_SIGMA_1339</t>
  </si>
  <si>
    <t xml:space="preserve">Windows: HackTool - UACMe Akagi Execution</t>
  </si>
  <si>
    <t xml:space="preserve">( product = "UACMe" OR company IN ("APT 92","CD Project Rekt","Hazardous Environments","REvol Corp","UG North") OR description IN ("Pentesting utility","UACMe main module") OR srcFileName IN ("Akagi.exe","Akagi64.exe") OR procName REGEXP "\\Akagi64\.exe$|\\Akagi\.exe$" OR hashIMP IN ("14C4E4C72BA075E9069EE67F39188AD8","3C782813D4AFCE07BBFC5A9772ACDBDC","3DE09703C8E79ED2CA3F01074719906B","41923EA1F824FE63EA5BEB84DB7A3E74","5834ED4291BDEB928270428EBBAF7604","5A8A8A43F25485E7EE1B201EDCBC7A38","6F33F4A5FC42B8CEC7314947BD13F30F","767637C23BB42CD5D7397CF58B0BE688","7D010C6BB6A3726F327F7E239166D127","89159BA4DD04E4CE5559F132A9964EB3","DC7D30B90B2D8ABF664FBED2B1B59894") )</t>
  </si>
  <si>
    <t xml:space="preserve">company,description,hashIMP,hostName,procName,product,srcFileName</t>
  </si>
  <si>
    <t xml:space="preserve">Detects the execution of UACMe, a tool used for UAC bypasses, via default PE metadata. This rule is adapted from https://github.com/SigmaHQ/sigma/blob/master/rules/windows/process_creation/proc_creation_win_hktl_uacme.yml</t>
  </si>
  <si>
    <t xml:space="preserve">https://filestore.fortinet.com/docs.fortinet.com/fsiem/Public_Resource_Access/7_6_0/rules/PH_RULE_UAC_Bypass_Tool_UACMe_Akagi.htm</t>
  </si>
  <si>
    <t xml:space="preserve">PH_Rule_windows_SIGMA_3383</t>
  </si>
  <si>
    <t xml:space="preserve">Windows: HackTool - WinPwn Execution</t>
  </si>
  <si>
    <t xml:space="preserve">command REGEXP "Offline_Winpwn|WinPwn |WinPwn\.exe|WinPwn\.ps1"</t>
  </si>
  <si>
    <t xml:space="preserve">Detects commandline keywords indicative of potential usge of the tool WinPwn. A tool for Windows and Active Directory reconnaissance and exploitation. . This rule is adapted from https://github.com/SigmaHQ/sigma/blob/master/rules/windows/process_creation/proc_creation_win_hktl_winpwn.yml</t>
  </si>
  <si>
    <t xml:space="preserve">https://filestore.fortinet.com/docs.fortinet.com/fsiem/Public_Resource_Access/7_6_0/rules/PH_RULE_HackTool_WinPwn_Execution.htm</t>
  </si>
  <si>
    <t xml:space="preserve">PH_Rule_windows_SIGMA_3167</t>
  </si>
  <si>
    <t xml:space="preserve">Windows: HackTool - WinPwn Execution - ScriptBlock</t>
  </si>
  <si>
    <t xml:space="preserve">script REGEXP "Offline_Winpwn|WinPwn |WinPwn\.exe|WinPwn\.ps1"</t>
  </si>
  <si>
    <t xml:space="preserve">Detects scriptblock text keywords indicative of potential usge of the tool WinPwn. A tool for Windows and Active Directory reconnaissance and exploitation. . This rule is adapted from https://github.com/SigmaHQ/sigma/blob/master/rules/windows/powershell/powershell_script/posh_ps_hktl_winpwn.yml</t>
  </si>
  <si>
    <t xml:space="preserve">https://filestore.fortinet.com/docs.fortinet.com/fsiem/Public_Resource_Access/7_6_0/rules/PH_RULE_HackTool_WinPwn_Execution_ScriptBlock.htm</t>
  </si>
  <si>
    <t xml:space="preserve">PH_Rule_SIGMA_13</t>
  </si>
  <si>
    <t xml:space="preserve">Windows: Hacktool Ruler</t>
  </si>
  <si>
    <t xml:space="preserve">Win-Security-4624
Win-Security-4625
Win-Security-4776-failure
Win-Security-4776-success</t>
  </si>
  <si>
    <t xml:space="preserve">(srcName="RULER") OR (srcName="RULER")</t>
  </si>
  <si>
    <t xml:space="preserve">Windows Security log: Security 4776
Windows Security log: Security 4624
Windows Security log: Security 4625</t>
  </si>
  <si>
    <t xml:space="preserve">This events that are generated when using the hacktool Ruler by Sensepost. This rule is adapted from https://github.com/SigmaHQ/sigma/blob/master/rules/windows/builtin/security/win_security_alert_ruler.yml</t>
  </si>
  <si>
    <t xml:space="preserve">https://filestore.fortinet.com/docs.fortinet.com/fsiem/Public_Resource_Access/7_6_0/rules/PH_RULE_Hacktool_Ruler.htm</t>
  </si>
  <si>
    <t xml:space="preserve">PH_Rule_SIGMA_1174</t>
  </si>
  <si>
    <t xml:space="preserve">Windows: Hidden Local User Creation</t>
  </si>
  <si>
    <t xml:space="preserve">user REGEXP "\$$" AND user!="HomeGroupUser$"</t>
  </si>
  <si>
    <t xml:space="preserve">Detects the creation of a local hidden user account which should not happen for event ID 4720.. This rule is adapted from https://github.com/SigmaHQ/sigma/blob/master/rules/windows/builtin/security/win_security_hidden_user_creation.yml</t>
  </si>
  <si>
    <t xml:space="preserve">https://filestore.fortinet.com/docs.fortinet.com/fsiem/Public_Resource_Access/7_6_0/rules/PH_RULE_Hidden_Local_User_Creation.htm</t>
  </si>
  <si>
    <t xml:space="preserve">PH_Rule_windows_SIGMA_3379</t>
  </si>
  <si>
    <t xml:space="preserve">Windows: HKTL - SharpSuccessor Privilege Escalation Tool Execution</t>
  </si>
  <si>
    <t xml:space="preserve">Active Directory, Privilege Escalation</t>
  </si>
  <si>
    <t xml:space="preserve">(procName REGEXP "\\SharpSuccessor\.exe$" OR srcFileName="SharpSuccessor.exe" OR command REGEXP "SharpSuccessor" OR (command REGEXP " add " AND command REGEXP " /impersonate" AND command REGEXP " /path" AND command REGEXP " /account" AND command REGEXP " /name"))</t>
  </si>
  <si>
    <t xml:space="preserve">Detects the execution of SharpSuccessor, a tool used to exploit the BadSuccessor attack for privilege escalation in WinServer 2025 Active Directory environments. Successful usage of this tool can let the attackers gain the domain admin privileges by exploiting the BadSuccessor vulnerability. . This rule is adapted from https://github.com/SigmaHQ/sigma/blob/master/rules/windows/process_creation/proc_creation_win_hktl_sharpsuccessor_execution.yml</t>
  </si>
  <si>
    <t xml:space="preserve">https://filestore.fortinet.com/docs.fortinet.com/fsiem/Public_Resource_Access/7_6_0/rules/PH_RULE_HKTL_SharpSuccessor_Privilege_Escalation_Tool_Execution.htm</t>
  </si>
  <si>
    <t xml:space="preserve">PH_Rule_SIGMA_1175</t>
  </si>
  <si>
    <t xml:space="preserve">Windows: HybridConnectionManager Service Installation</t>
  </si>
  <si>
    <t xml:space="preserve">T1554</t>
  </si>
  <si>
    <t xml:space="preserve">serviceName="HybridConnectionManager" AND serviceFileName REGEXP ".*HybridConnectionManager.*"</t>
  </si>
  <si>
    <t xml:space="preserve">hostName,serviceFileName,serviceName</t>
  </si>
  <si>
    <t xml:space="preserve">Rule to detect the Hybrid Connection Manager service installation. This rule is adapted from https://github.com/SigmaHQ/sigma/blob/master/rules/windows/builtin/security/win_security_hybridconnectionmgr_svc_installation.yml</t>
  </si>
  <si>
    <t xml:space="preserve">https://filestore.fortinet.com/docs.fortinet.com/fsiem/Public_Resource_Access/7_6_0/rules/PH_RULE_HybridConnectionManager_Service_Installation_SECURITY_LOG.htm</t>
  </si>
  <si>
    <t xml:space="preserve">PH_Rule_SIGMA_1176</t>
  </si>
  <si>
    <t xml:space="preserve">Windows: Impacket PsExec Execution</t>
  </si>
  <si>
    <t xml:space="preserve">fileName="\\\\*\\IPC$" AND targetName REGEXP ".*RemCom_stderr.*|.*RemCom_stdin.*|.*RemCom_stdout.*"</t>
  </si>
  <si>
    <t xml:space="preserve">Detects execution of Impacket's psexec.py, which is a python version of Microsoft's psexec. The psexec.py script is one of many examples of powerful penetration testing scripts that enables you to execute remote commands on another machine. This rule is adapted from https://github.com/SigmaHQ/sigma/blob/master/rules/windows/builtin/security/win_security_impacket_psexec.yml</t>
  </si>
  <si>
    <t xml:space="preserve">https://filestore.fortinet.com/docs.fortinet.com/fsiem/Public_Resource_Access/7_6_0/rules/PH_RULE_Impacket_PsExec_Execution.htm</t>
  </si>
  <si>
    <t xml:space="preserve">PH_Rule_SIGMA_2359</t>
  </si>
  <si>
    <t xml:space="preserve">Windows: Import LDAP Data Interchange Format File Via Ldifde.EXE</t>
  </si>
  <si>
    <t xml:space="preserve">(procName REGEXP "\\ldifde\.exe$" OR srcFileName="ldifde.exe") AND (command REGEXP ".*-i.*" AND command REGEXP ".*-f.*")</t>
  </si>
  <si>
    <t xml:space="preserve">Detects the execution of "Ldifde.exe" with the import flag "-i". The can be abused to include HTTP-based arguments which will allow the arbitrary download of files from a remote server. This rule is adapted from https://github.com/SigmaHQ/sigma/blob/master/rules/windows/process_creation/proc_creation_win_ldifde_file_load.yml</t>
  </si>
  <si>
    <t xml:space="preserve">https://filestore.fortinet.com/docs.fortinet.com/fsiem/Public_Resource_Access/7_6_0/rules/PH_RULE_Import_LDAP_Data_Interchange_Format_File_Via_Ldifde_EXE.htm</t>
  </si>
  <si>
    <t xml:space="preserve">PH_Rule_SIGMA_1846</t>
  </si>
  <si>
    <t xml:space="preserve">Windows: Important Scheduled Task Deleted/Disabled</t>
  </si>
  <si>
    <t xml:space="preserve">T1053.005</t>
  </si>
  <si>
    <t xml:space="preserve">Win-Security-4699
Win-Security-4701</t>
  </si>
  <si>
    <t xml:space="preserve">Win-Security-4699</t>
  </si>
  <si>
    <t xml:space="preserve">(task REGEXP ".*\\Windows\\BitLocker.*|.*\\Windows\\ExploitGuard.*|.*\\Windows\\SystemRestore\\SR.*|.*\\Windows\\UpdateOrchestrator\\Schedule.*|.*\\Windows\\Windows Defender\\.*|.*\\Windows\\WindowsBackup\\.*|.*\\Windows\\WindowsUpdate\\.*") AND ((user NOT REGEXP "\$$" OR task NOT REGEXP ".*\\Windows\\Windows Defender\\.*"))</t>
  </si>
  <si>
    <t xml:space="preserve">hostName,task,user</t>
  </si>
  <si>
    <t xml:space="preserve">Windows Security log: Security 4699
Windows Security log: Security 4701</t>
  </si>
  <si>
    <t xml:space="preserve">Detects when adversaries stop services or processes by deleting or disabling their respective scheduled tasks in order to conduct data destructive activities. This rule is adapted from https://github.com/SigmaHQ/sigma/blob/master/rules/windows/builtin/security/win_security_susp_scheduled_task_delete_or_disable.yml</t>
  </si>
  <si>
    <t xml:space="preserve">https://filestore.fortinet.com/docs.fortinet.com/fsiem/Public_Resource_Access/7_6_0/rules/PH_RULE_Important_Scheduled_Task_Deleted_Disabled.htm</t>
  </si>
  <si>
    <t xml:space="preserve">PH_Rule_windows_SIGMA_2824</t>
  </si>
  <si>
    <t xml:space="preserve">Windows: Important Windows Event Auditing Disabled</t>
  </si>
  <si>
    <t xml:space="preserve">Win-Security-4719</t>
  </si>
  <si>
    <t xml:space="preserve">(oid IN ("{0CCE9210-69AE-11D9-BED3-505054503030}","{0CCE9211-69AE-11D9-BED3-505054503030}","{0CCE9212-69AE-11D9-BED3-505054503030}","{0CCE9215-69AE-11D9-BED3-505054503030}","{0CCE921B-69AE-11D9-BED3-505054503030}","{0CCE922B-69AE-11D9-BED3-505054503030}","{0CCE922F-69AE-11D9-BED3-505054503030}","{0CCE9230-69AE-11D9-BED3-505054503030}","{0CCE9235-69AE-11D9-BED3-505054503030}","{0CCE9236-69AE-11D9-BED3-505054503030}","{0CCE9237-69AE-11D9-BED3-505054503030}","{0CCE923F-69AE-11D9-BED3-505054503030}","{0CCE9240-69AE-11D9-BED3-505054503030}","{0CCE9242-69AE-11D9-BED3-505054503030}") AND actionName REGEXP "%%8448|%%8450") OR (oid="{0CCE9217-69AE-11D9-BED3-505054503030}" AND actionName REGEXP "%%8448")</t>
  </si>
  <si>
    <t xml:space="preserve">actionName,hostName,oid</t>
  </si>
  <si>
    <t xml:space="preserve">Windows Security log: Security 4719</t>
  </si>
  <si>
    <t xml:space="preserve">Detects scenarios where system auditing for important events such as "Process Creation" or "Logon" events is disabled.. This rule is adapted from https://github.com/SigmaHQ/sigma/blob/master/rules/windows/builtin/security/win_security_disable_event_auditing_critical.yml</t>
  </si>
  <si>
    <t xml:space="preserve">https://filestore.fortinet.com/docs.fortinet.com/fsiem/Public_Resource_Access/7_6_0/rules/PH_RULE_Important_Windows_Event_Auditing_Disabled.htm</t>
  </si>
  <si>
    <t xml:space="preserve">PH_Rule_windows_SIGMA_2828</t>
  </si>
  <si>
    <t xml:space="preserve">Windows: Invoke-Obfuscation CLIP Launcher: Security Log</t>
  </si>
  <si>
    <t xml:space="preserve">serviceFileName REGEXP "cmd" AND serviceFileName REGEXP "&amp;&amp;" AND serviceFileName REGEXP "clipboard\]::"</t>
  </si>
  <si>
    <t xml:space="preserve">Detects Obfuscated use of Clip.exe to execute PowerShell. This rule is adapted from https://github.com/SigmaHQ/sigma/blob/master/rules/windows/builtin/security/win_security_invoke_obfuscation_clip_services_security.yml</t>
  </si>
  <si>
    <t xml:space="preserve">https://filestore.fortinet.com/docs.fortinet.com/fsiem/Public_Resource_Access/7_6_0/rules/PH_RULE_Invoke_Obfuscation_CLIP_Launcher_Security.htm</t>
  </si>
  <si>
    <t xml:space="preserve">PH_Rule_SIGMA_1181</t>
  </si>
  <si>
    <t xml:space="preserve">Windows: Invoke-Obfuscation COMPRESS OBFUSCATION: Security Log</t>
  </si>
  <si>
    <t xml:space="preserve">serviceFileName REGEXP ".*new-object.*" AND serviceFileName REGEXP ".*text\.encoding\]::ascii.*" AND serviceFileName REGEXP ".*readtoend.*" AND serviceFileName REGEXP ".*system\.io\.compression\.deflatestream.*|.*system\.io\.streamreader.*"</t>
  </si>
  <si>
    <t xml:space="preserve">Detects Obfuscated Powershell via COMPRESS OBFUSCATION. This rule is adapted from https://github.com/SigmaHQ/sigma/blob/master/rules/windows/builtin/security/win_security_invoke_obfuscation_via_compress_services_security.yml</t>
  </si>
  <si>
    <t xml:space="preserve">https://filestore.fortinet.com/docs.fortinet.com/fsiem/Public_Resource_Access/7_6_0/rules/PH_RULE_Invoke_Obfuscation_COMPRESS_OBFUSCATION_SECURITY_LOG.htm</t>
  </si>
  <si>
    <t xml:space="preserve">PH_Rule_windows_SIGMA_2829</t>
  </si>
  <si>
    <t xml:space="preserve">Windows: Invoke-Obfuscation RUNDLL LAUNCHER: Security Log</t>
  </si>
  <si>
    <t xml:space="preserve">serviceFileName REGEXP "rundll32\.exe" AND serviceFileName REGEXP "shell32\.dll" AND serviceFileName REGEXP "shellexec_rundll" AND serviceFileName REGEXP "powershell"</t>
  </si>
  <si>
    <t xml:space="preserve">Detects Obfuscated Powershell via RUNDLL LAUNCHER. This rule is adapted from https://github.com/SigmaHQ/sigma/blob/master/rules/windows/builtin/security/win_security_invoke_obfuscation_via_rundll_services_security.yml</t>
  </si>
  <si>
    <t xml:space="preserve">https://filestore.fortinet.com/docs.fortinet.com/fsiem/Public_Resource_Access/7_6_0/rules/PH_RULE_Invoke_Obfuscation_RUNDLL_LAUNCHER_Security.htm</t>
  </si>
  <si>
    <t xml:space="preserve">PH_Rule_SIGMA_1179</t>
  </si>
  <si>
    <t xml:space="preserve">Windows: Invoke-Obfuscation STDIN Launcher: Security Log</t>
  </si>
  <si>
    <t xml:space="preserve">serviceFileName REGEXP ".*cmd.*" AND serviceFileName REGEXP ".*powershell.*" AND serviceFileName REGEXP ".*\$\{input\}.*|.*noexit.*" AND serviceFileName REGEXP ".* /c .*|.* /r .*"</t>
  </si>
  <si>
    <t xml:space="preserve">Detects Obfuscated use of stdin to execute PowerShell. This rule is adapted from https://github.com/SigmaHQ/sigma/blob/master/rules/windows/builtin/security/win_security_invoke_obfuscation_stdin_services_security.yml</t>
  </si>
  <si>
    <t xml:space="preserve">https://filestore.fortinet.com/docs.fortinet.com/fsiem/Public_Resource_Access/7_6_0/rules/PH_RULE_Invoke_Obfuscation_STDIN_Launcher.htm</t>
  </si>
  <si>
    <t xml:space="preserve">PH_Rule_windows_SIGMA_2830</t>
  </si>
  <si>
    <t xml:space="preserve">Windows: Invoke-Obfuscation VAR LAUNCHER OBFUSCATION: Security Log</t>
  </si>
  <si>
    <t xml:space="preserve">serviceFileName REGEXP "&amp;&amp;set" AND serviceFileName REGEXP "cmd" AND serviceFileName REGEXP "/c" AND serviceFileName REGEXP "-f" AND serviceFileName REGEXP "\{0\}|\{1\}|\{2\}|\{3\}|\{4\}|\{5\}"</t>
  </si>
  <si>
    <t xml:space="preserve">Detects Obfuscated Powershell via VAR++ LAUNCHER. This rule is adapted from https://github.com/SigmaHQ/sigma/blob/master/rules/windows/builtin/security/win_security_invoke_obfuscation_via_var_services_security.yml</t>
  </si>
  <si>
    <t xml:space="preserve">https://filestore.fortinet.com/docs.fortinet.com/fsiem/Public_Resource_Access/7_6_0/rules/PH_RULE_Invoke_Obfuscation_VAR_LAUNCHER_OBFUSCATION_Security.htm</t>
  </si>
  <si>
    <t xml:space="preserve">PH_Rule_SIGMA_1180</t>
  </si>
  <si>
    <t xml:space="preserve">Windows: Invoke-Obfuscation VAR Launcher: Security Log</t>
  </si>
  <si>
    <t xml:space="preserve">serviceFileName REGEXP ".*cmd.*" AND serviceFileName REGEXP ".*\"set.*" AND serviceFileName REGEXP ".*-f.*" AND serviceFileName REGEXP ".*/c.*|.*/r.*"</t>
  </si>
  <si>
    <t xml:space="preserve">Detects Obfuscated use of Environment Variables to execute PowerShell. This rule is adapted from https://github.com/SigmaHQ/sigma/blob/master/rules/windows/builtin/security/win_security_invoke_obfuscation_var_services_security.yml</t>
  </si>
  <si>
    <t xml:space="preserve">https://filestore.fortinet.com/docs.fortinet.com/fsiem/Public_Resource_Access/7_6_0/rules/PH_RULE_Invoke_Obfuscation_VAR_Launcher.htm</t>
  </si>
  <si>
    <t xml:space="preserve">PH_Rule_SIGMA_1183</t>
  </si>
  <si>
    <t xml:space="preserve">Windows: Invoke-Obfuscation Via Stdin: Security Log</t>
  </si>
  <si>
    <t xml:space="preserve">serviceFileName REGEXP ".*set.*" AND serviceFileName REGEXP ".*&amp;&amp;.*" AND serviceFileName REGEXP ".*\$\{input\).*|.*environment.*|.*invoke.*"</t>
  </si>
  <si>
    <t xml:space="preserve">Detects Obfuscated Powershell via Stdin in Scripts. This rule is adapted from https://github.com/SigmaHQ/sigma/blob/master/rules/windows/builtin/security/win_security_invoke_obfuscation_via_stdin_services_security.yml</t>
  </si>
  <si>
    <t xml:space="preserve">https://filestore.fortinet.com/docs.fortinet.com/fsiem/Public_Resource_Access/7_6_0/rules/PH_RULE_Invoke_Obfuscation_Via_Stdin_SECURITY_LOG.htm</t>
  </si>
  <si>
    <t xml:space="preserve">PH_Rule_SIGMA_1184</t>
  </si>
  <si>
    <t xml:space="preserve">Windows: Invoke-Obfuscation Via Use Clip: Security Log</t>
  </si>
  <si>
    <t xml:space="preserve">serviceFileName REGEXP ".*\(Clipboard\|i.*"</t>
  </si>
  <si>
    <t xml:space="preserve">Detects Obfuscated Powershell via use Clip.exe in Scripts. This rule is adapted from https://github.com/SigmaHQ/sigma/blob/master/rules/windows/builtin/security/win_security_invoke_obfuscation_via_use_clip_services_security.yml</t>
  </si>
  <si>
    <t xml:space="preserve">https://filestore.fortinet.com/docs.fortinet.com/fsiem/Public_Resource_Access/7_6_0/rules/PH_RULE_Invoke_Obfuscation_Via_Use_Clip_SECURITY_LOG.htm</t>
  </si>
  <si>
    <t xml:space="preserve">PH_Rule_SIGMA_1185</t>
  </si>
  <si>
    <t xml:space="preserve">Windows: Invoke-Obfuscation Via Use MSHTA: Security Log</t>
  </si>
  <si>
    <t xml:space="preserve">serviceFileName REGEXP ".*mshta.*" AND serviceFileName REGEXP ".*vbscript:createobject.*" AND serviceFileName REGEXP ".*\.run.*" AND serviceFileName REGEXP ".*window\.close.*"</t>
  </si>
  <si>
    <t xml:space="preserve">Detects Obfuscated Powershell via use MSHTA in Scripts. This rule is adapted from https://github.com/SigmaHQ/sigma/blob/master/rules/windows/builtin/security/win_security_invoke_obfuscation_via_use_mshta_services_security.yml</t>
  </si>
  <si>
    <t xml:space="preserve">https://filestore.fortinet.com/docs.fortinet.com/fsiem/Public_Resource_Access/7_6_0/rules/PH_RULE_Invoke_Obfuscation_Via_Use_MSHTA_SECURITY_LOG.htm</t>
  </si>
  <si>
    <t xml:space="preserve">PH_Rule_SIGMA_1186</t>
  </si>
  <si>
    <t xml:space="preserve">Windows: Invoke-Obfuscation Via Use Rundll32: Security Log</t>
  </si>
  <si>
    <t xml:space="preserve">serviceFileName REGEXP ".*&amp;&amp;.*" AND serviceFileName REGEXP ".*rundll32.*" AND serviceFileName REGEXP ".*shell32\.dll.*" AND serviceFileName REGEXP ".*shellexec_rundll.*" AND serviceFileName REGEXP ".*comspec.*|.*iex.*|.*invoke.*|.*value.*"</t>
  </si>
  <si>
    <t xml:space="preserve">Detects Obfuscated Powershell via use Rundll32 in Scripts. This rule is adapted from https://github.com/SigmaHQ/sigma/blob/master/rules/windows/builtin/security/win_security_invoke_obfuscation_via_use_rundll32_services_security.yml</t>
  </si>
  <si>
    <t xml:space="preserve">https://filestore.fortinet.com/docs.fortinet.com/fsiem/Public_Resource_Access/7_6_0/rules/PH_RULE_Invoke_Obfuscation_Via_Use_Rundll32_SECURITY_LOG.htm</t>
  </si>
  <si>
    <t xml:space="preserve">PH_Rule_SIGMA_1188</t>
  </si>
  <si>
    <t xml:space="preserve">Windows: ISO Image Mounted</t>
  </si>
  <si>
    <t xml:space="preserve">T1566.001</t>
  </si>
  <si>
    <t xml:space="preserve">serverName="Security" AND osObjType="File" AND osObjName REGEXP "^\\Device\\CdRom" AND osObjName NOT IN ("\\Device\\CdRom0\\autorun.ico","\\Device\\CdRom0\\setup.exe","\\Device\\CdRom0\\setup64.exe")</t>
  </si>
  <si>
    <t xml:space="preserve">hostName,osObjName,osObjType,serverName</t>
  </si>
  <si>
    <t xml:space="preserve">Detects the mount of an ISO image on an endpoint. This rule is adapted from https://github.com/SigmaHQ/sigma/blob/master/rules/windows/builtin/security/win_security_iso_mount.yml</t>
  </si>
  <si>
    <t xml:space="preserve">https://filestore.fortinet.com/docs.fortinet.com/fsiem/Public_Resource_Access/7_6_0/rules/PH_RULE_ISO_Image_Mount.htm</t>
  </si>
  <si>
    <t xml:space="preserve">PH_Rule_windows_SIGMA_2831</t>
  </si>
  <si>
    <t xml:space="preserve">Windows: Kerberoasting Activity - Initial Query</t>
  </si>
  <si>
    <t xml:space="preserve">status="0x0" AND encryptAlgo="0x17" AND serviceName NOT REGEXP "\$$|krbtgt$" AND user NOT REGEXP "\$@"</t>
  </si>
  <si>
    <t xml:space="preserve">encryptAlgo,hostName,serviceName,status,user</t>
  </si>
  <si>
    <t xml:space="preserve">This rule will collect the data needed to start looking into possible kerberoasting activity. Further analysis or computation within the query is needed focusing on requests from one specific host/IP towards multiple service names within a time period of 5 seconds. You can then set a threshold for the number of requests and time between the requests to turn this into an alert. . This rule is adapted from https://github.com/SigmaHQ/sigma/blob/master/rules/windows/builtin/security/win_security_kerberoasting_activity.yml</t>
  </si>
  <si>
    <t xml:space="preserve">https://filestore.fortinet.com/docs.fortinet.com/fsiem/Public_Resource_Access/7_6_0/rules/PH_RULE_Kerberoasting_Activity_Initial_Query.htm</t>
  </si>
  <si>
    <t xml:space="preserve">PH_Rule_SIGMA_1145</t>
  </si>
  <si>
    <t xml:space="preserve">Windows: KrbRelayUp Service Installation</t>
  </si>
  <si>
    <t xml:space="preserve">serviceName="KrbSCM"</t>
  </si>
  <si>
    <t xml:space="preserve">hostName,serviceName</t>
  </si>
  <si>
    <t xml:space="preserve">Detects service creation from KrbRelayUp tool used for privilege escalation in windows domain environments where LDAP signing is not enforced (the default settings). This rule is adapted from https://github.com/SigmaHQ/sigma/blob/master/rules/windows/builtin/system/service_control_manager/win_system_krbrelayup_service_installation.yml</t>
  </si>
  <si>
    <t xml:space="preserve">https://filestore.fortinet.com/docs.fortinet.com/fsiem/Public_Resource_Access/7_6_0/rules/PH_RULE_KrbRelayUp_Service_Installation.htm</t>
  </si>
  <si>
    <t xml:space="preserve">PH_Rule_SIGMA_1078</t>
  </si>
  <si>
    <t xml:space="preserve">Windows: Load Undocumented Autoelevated COM Interface</t>
  </si>
  <si>
    <t xml:space="preserve">procPath REGEXP ".*editionupgrademanagerobj\.dll.*"</t>
  </si>
  <si>
    <t xml:space="preserve">hostName,procPath</t>
  </si>
  <si>
    <t xml:space="preserve">COM interface (EditionUpgradeManager) that is not used by standard executables. This rule is adapted from https://github.com/SigmaHQ/sigma/blob/master/rules/windows/process_access/proc_access_win_uac_bypass_editionupgrademanagerobj.yml</t>
  </si>
  <si>
    <t xml:space="preserve">https://filestore.fortinet.com/docs.fortinet.com/fsiem/Public_Resource_Access/7_6_0/rules/PH_RULE_Load_Undocumented_Autoelevated_COM_Interface.htm</t>
  </si>
  <si>
    <t xml:space="preserve">PH_Rule_SIGMA_104</t>
  </si>
  <si>
    <t xml:space="preserve">Windows: Local User Creation</t>
  </si>
  <si>
    <t xml:space="preserve">Detects local user creation on windows servers, which shouldn't happen in an Active Directory environment. Apply this Sigma Use Case on your windows server logs and not on your DC logs. This rule is adapted from https://github.com/SigmaHQ/sigma/blob/master/rules/windows/builtin/security/win_security_user_creation.yml</t>
  </si>
  <si>
    <t xml:space="preserve">https://filestore.fortinet.com/docs.fortinet.com/fsiem/Public_Resource_Access/7_6_0/rules/PH_RULE_Local_User_Creation.htm</t>
  </si>
  <si>
    <t xml:space="preserve">PH_Rule_SIGMA_1850</t>
  </si>
  <si>
    <t xml:space="preserve">Windows: Locked Workstation</t>
  </si>
  <si>
    <t xml:space="preserve">Win-Security-4800</t>
  </si>
  <si>
    <t xml:space="preserve">Windows Security log: Security 4800</t>
  </si>
  <si>
    <t xml:space="preserve">Automatically lock workstation sessions after a standard period of inactivity. The case is not applicable for Unix OS. Supported OS - Windows 2008 R2 and 7, Windows 2012 R2 and 8.1, Windows 2016 and 10 Windows Server 2019. This rule is adapted from https://github.com/SigmaHQ/sigma/blob/master/rules/windows/builtin/security/win_security_workstation_was_locked.yml</t>
  </si>
  <si>
    <t xml:space="preserve">https://filestore.fortinet.com/docs.fortinet.com/fsiem/Public_Resource_Access/7_6_0/rules/PH_RULE_Locked_Workstation.htm</t>
  </si>
  <si>
    <t xml:space="preserve">PH_Rule_SIGMA_94</t>
  </si>
  <si>
    <t xml:space="preserve">Windows: Login with WMI</t>
  </si>
  <si>
    <t xml:space="preserve">T1047</t>
  </si>
  <si>
    <t xml:space="preserve">procName REGEXP "\\WmiPrvSE\.exe$"</t>
  </si>
  <si>
    <t xml:space="preserve">Detection of logins performed with WMI. This rule is adapted from https://github.com/SigmaHQ/sigma/blob/master/rules/windows/builtin/security/account_management/win_security_susp_wmi_login.yml</t>
  </si>
  <si>
    <t xml:space="preserve">https://filestore.fortinet.com/docs.fortinet.com/fsiem/Public_Resource_Access/7_6_0/rules/PH_RULE_Login_with_WMI.htm</t>
  </si>
  <si>
    <t xml:space="preserve">PH_Rule_windows_SIGMA_3340</t>
  </si>
  <si>
    <t xml:space="preserve">Windows: ManageEngine Endpoint Central Dctask64.EXE Potential Abuse</t>
  </si>
  <si>
    <t xml:space="preserve">T1055.001</t>
  </si>
  <si>
    <t xml:space="preserve">(procName REGEXP "\\dctask64\.exe$" OR hashIMP IN ("1BB6F93B129F398C7C4A76BB97450BBA","6834B1B94E49701D77CCB3C0895E1AFD","F1039CED4B91572AB7847D26032E6BBF","FAA2AC19875FADE461C8D89DCF2710A3")) AND command REGEXP " executecmd64 | injectDll | invokeexe "</t>
  </si>
  <si>
    <t xml:space="preserve">Detects the execution of "dctask64.exe", a signed binary by ZOHO Corporation part of ManageEngine Endpoint Central. This binary can be abused for DLL injection, arbitrary command and process execution. . This rule is adapted from https://github.com/SigmaHQ/sigma/blob/master/rules/windows/process_creation/proc_creation_win_dctask64_arbitrary_command_and_dll_execution.yml</t>
  </si>
  <si>
    <t xml:space="preserve">https://filestore.fortinet.com/docs.fortinet.com/fsiem/Public_Resource_Access/7_6_0/rules/PH_RULE_ManageEngine_Endpoint_Central_Dctask64_EXE_Potential_Abuse.htm</t>
  </si>
  <si>
    <t xml:space="preserve">PH_Rule_windows_SIGMA_3147</t>
  </si>
  <si>
    <t xml:space="preserve">Windows: Manipulation of User Computer or Group Security Principals Across AD</t>
  </si>
  <si>
    <t xml:space="preserve">T1136.002</t>
  </si>
  <si>
    <t xml:space="preserve">script REGEXP "System\.DirectoryServices\.AccountManagement"</t>
  </si>
  <si>
    <t xml:space="preserve">Adversaries may create a domain account to maintain access to victim systems. Domain accounts are those managed by Active Directory Domain Services where access and permissions are configured across systems and services that are part of that domain.. . This rule is adapted from https://github.com/SigmaHQ/sigma/blob/master/rules/windows/powershell/powershell_script/posh_ps_directoryservices_accountmanagement.yml</t>
  </si>
  <si>
    <t xml:space="preserve">https://filestore.fortinet.com/docs.fortinet.com/fsiem/Public_Resource_Access/7_6_0/rules/PH_RULE_Manipulation_of_User_Computer_or_Group_Security_Principals_Across_AD.htm</t>
  </si>
  <si>
    <t xml:space="preserve">PH_Rule_SIGMA_1200</t>
  </si>
  <si>
    <t xml:space="preserve">Windows: Metasploit Or Impacket Service Installation Via SMB PsExec</t>
  </si>
  <si>
    <t xml:space="preserve">T1570</t>
  </si>
  <si>
    <t xml:space="preserve">(serviceStartType="3" AND serviceType="0x10" AND serviceFileName REGEXP "^%systemroot%\\[a-zA-Z]{8}\.exe$" AND serviceName REGEXP "(^[a-zA-Z]{4}$)|(^[a-zA-Z]{8}$)|(^[a-zA-Z]{16}$)") AND (serviceName!="PSEXESVC")</t>
  </si>
  <si>
    <t xml:space="preserve">hostName,serviceFileName,serviceName,serviceStartType,serviceType</t>
  </si>
  <si>
    <t xml:space="preserve">Detects usage of Metasploit SMB PsExec (exploit/windows/smb/psexec) and Impacket psexec.py by triggering on specific service installation. These tools are one of many examples of powerful penetration testing scripts that enables you to execute remote commands on another machine. This rule is adapted from https://github.com/SigmaHQ/sigma/blob/master/rules/windows/builtin/security/win_security_metasploit_or_impacket_smb_psexec_service_install.yml</t>
  </si>
  <si>
    <t xml:space="preserve">https://filestore.fortinet.com/docs.fortinet.com/fsiem/Public_Resource_Access/7_6_0/rules/PH_RULE_Metasploit_Or_Impacket_Service_Installation_Via_SMB_PsExec.htm</t>
  </si>
  <si>
    <t xml:space="preserve">PH_Rule_SIGMA_39</t>
  </si>
  <si>
    <t xml:space="preserve">Windows: Metasploit SMB Authentication</t>
  </si>
  <si>
    <t xml:space="preserve">(winLogonType=3 AND authenMethod="NTLM" AND srcName REGEXP "^[A-Za-z0-9]{16}$") OR (srcName REGEXP "^[A-Za-z0-9]{16}$")</t>
  </si>
  <si>
    <t xml:space="preserve">authenMethod,srcName,hostName,winLogonType</t>
  </si>
  <si>
    <t xml:space="preserve">Windows Security log: Security 4624
Windows Security log: Security 4625
Windows Security log: Security 4776</t>
  </si>
  <si>
    <t xml:space="preserve">Alerts on Metasploit host's authentications on the domain.. This rule is adapted from https://github.com/SigmaHQ/sigma/blob/master/rules/windows/builtin/security/win_security_metasploit_authentication.yml</t>
  </si>
  <si>
    <t xml:space="preserve">https://filestore.fortinet.com/docs.fortinet.com/fsiem/Public_Resource_Access/7_6_0/rules/PH_RULE_Metasploit_SMB_Authentication.htm</t>
  </si>
  <si>
    <t xml:space="preserve">PH_Rule_SIGMA_1201</t>
  </si>
  <si>
    <t xml:space="preserve">Windows: Meterpreter or Cobalt Strike Getsystem Service Installation - Security</t>
  </si>
  <si>
    <t xml:space="preserve">T1134.002</t>
  </si>
  <si>
    <t xml:space="preserve">((serviceFileName REGEXP "/c" AND serviceFileName REGEXP "echo" AND serviceFileName REGEXP "\\pipe\\" AND serviceFileName REGEXP "%COMSPEC%|cmd") OR (serviceFileName REGEXP "rundll32" AND serviceFileName REGEXP "\.dll,a" AND serviceFileName REGEXP "/p:") OR serviceFileName REGEXP "^\\\\127\.0\.0\.1\\ADMIN\$\\")</t>
  </si>
  <si>
    <t xml:space="preserve">Detects the use of getsystem Meterpreter/Cobalt Strike command by detecting a specific service installation. This rule is adapted from https://github.com/SigmaHQ/sigma/blob/master/rules/windows/builtin/security/win_security_meterpreter_or_cobaltstrike_getsystem_service_install.yml</t>
  </si>
  <si>
    <t xml:space="preserve">https://filestore.fortinet.com/docs.fortinet.com/fsiem/Public_Resource_Access/7_6_0/rules/PH_RULE_Meterpreter_Cobalt_Strike_Installation_SECURITY_LOG.htm</t>
  </si>
  <si>
    <t xml:space="preserve">PH_Rule_SIGMA_1858</t>
  </si>
  <si>
    <t xml:space="preserve">Windows: Microsoft Defender Blocked from Loading Unsigned DLL</t>
  </si>
  <si>
    <t xml:space="preserve">Win-Security-Mitigation-11
Win-Security-Mitigation-12</t>
  </si>
  <si>
    <t xml:space="preserve">procPath REGEXP "\\MpCmdRun\.exe$|\\NisSrv\.exe$"</t>
  </si>
  <si>
    <t xml:space="preserve">Other Windows log: Security</t>
  </si>
  <si>
    <t xml:space="preserve">Detects Code Integrity (CI) engine blocking Microsoft Defender's processes (MpCmdRun and NisSrv) from loading unsigned DLLs which may be an attempt to sideload arbitrary DLL. This rule is adapted from https://github.com/SigmaHQ/sigma/blob/master/rules/windows/builtin/security_mitigations/win_security_mitigations_defender_load_unsigned_dll.yml</t>
  </si>
  <si>
    <t xml:space="preserve">https://filestore.fortinet.com/docs.fortinet.com/fsiem/Public_Resource_Access/7_6_0/rules/PH_RULE_Microsoft_Defender_Blocked_from_Loading_Unsigned_DLL.htm</t>
  </si>
  <si>
    <t xml:space="preserve">PH_Rule_SIGMA_2485</t>
  </si>
  <si>
    <t xml:space="preserve">Windows: Modify Group Policy Settings</t>
  </si>
  <si>
    <t xml:space="preserve">(procName REGEXP "\\reg\.exe$" OR srcFileName="reg.exe") AND command REGEXP ".*\\SOFTWARE\\Policies\\Microsoft\\Windows\\System.*" AND command REGEXP ".*EnableSmartScreen.*|.*GroupPolicyRefreshTimeDC.*|.*GroupPolicyRefreshTime.*|.*GroupPolicyRefreshTimeOffsetDC.*|.*GroupPolicyRefreshTimeOffset.*|.*ShellSmartScreenLevel.*"</t>
  </si>
  <si>
    <t xml:space="preserve">Detect malicious GPO modifications can be used to implement many other malicious behaviors. This rule is adapted from https://github.com/SigmaHQ/sigma/blob/master/rules/windows/process_creation/proc_creation_win_reg_modify_group_policy_settings.yml</t>
  </si>
  <si>
    <t xml:space="preserve">https://filestore.fortinet.com/docs.fortinet.com/fsiem/Public_Resource_Access/7_6_0/rules/PH_RULE_Modify_Group_Policy_Settings.htm</t>
  </si>
  <si>
    <t xml:space="preserve">PH_Rule_windows_SIGMA_3192</t>
  </si>
  <si>
    <t xml:space="preserve">Windows: Modify Group Policy Settings - ScriptBlockLogging</t>
  </si>
  <si>
    <t xml:space="preserve">script REGEXP "\\SOFTWARE\\Policies\\Microsoft\\Windows\\System" AND script REGEXP "EnableSmartScreen|GroupPolicyRefreshTime|GroupPolicyRefreshTimeDC|GroupPolicyRefreshTimeOffset|GroupPolicyRefreshTimeOffsetDC|ShellSmartScreenLevel"</t>
  </si>
  <si>
    <t xml:space="preserve">Detect malicious GPO modifications can be used to implement many other malicious behaviors.. This rule is adapted from https://github.com/SigmaHQ/sigma/blob/master/rules/windows/powershell/powershell_script/posh_ps_modify_group_policy_settings.yml</t>
  </si>
  <si>
    <t xml:space="preserve">https://filestore.fortinet.com/docs.fortinet.com/fsiem/Public_Resource_Access/7_6_0/rules/PH_RULE_Modify_Group_Policy_Settings_ScriptBlockLogging.htm</t>
  </si>
  <si>
    <t xml:space="preserve">PH_Rule_SIGMA_274</t>
  </si>
  <si>
    <t xml:space="preserve">Windows: NetNTLM Downgrade Attack</t>
  </si>
  <si>
    <t xml:space="preserve">T1562.001</t>
  </si>
  <si>
    <t xml:space="preserve">osObjName REGEXP ".*\\REGISTRY\\MACHINE\\SYSTEM.*" AND osObjName REGEXP ".*ControlSet.*" AND osObjName REGEXP ".*\\Control\\Lsa.*" AND osObjValue IN ("LmCompatibilityLevel","NtlmMinClientSec","RestrictSendingNTLMTraffic")</t>
  </si>
  <si>
    <t xml:space="preserve">hostName,osObjName,osObjValue</t>
  </si>
  <si>
    <t xml:space="preserve">Detects NetNTLM downgrade attack. This rule is adapted from https://github.com/SigmaHQ/sigma/blob/master/rules/windows/builtin/security/win_security_net_ntlm_downgrade.yml</t>
  </si>
  <si>
    <t xml:space="preserve">https://filestore.fortinet.com/docs.fortinet.com/fsiem/Public_Resource_Access/7_6_0/rules/PH_RULE_NetNTLM_Downgrade_Attack.htm</t>
  </si>
  <si>
    <t xml:space="preserve">PH_Rule_SIGMA_1442</t>
  </si>
  <si>
    <t xml:space="preserve">Windows: Netsh Allow Group Policy on Microsoft Defender Firewall</t>
  </si>
  <si>
    <t xml:space="preserve">T1562.004</t>
  </si>
  <si>
    <t xml:space="preserve">(procName REGEXP "\\netsh\.exe$" OR srcFileName="netsh.exe") AND (command REGEXP ".*advfirewall.*" AND command REGEXP ".*firewall.*" AND command REGEXP ".*set.*" AND command REGEXP ".*rule.*" AND command REGEXP ".*group=.*" AND command REGEXP ".*new.*" AND command REGEXP ".*enable=Yes.*")</t>
  </si>
  <si>
    <t xml:space="preserve">Adversaries may modify system firewalls in order to bypass controls limiting network usage. This rule is adapted from https://github.com/SigmaHQ/sigma/blob/master/rules/windows/process_creation/proc_creation_win_netsh_fw_enable_group_rule.yml</t>
  </si>
  <si>
    <t xml:space="preserve">https://filestore.fortinet.com/docs.fortinet.com/fsiem/Public_Resource_Access/7_6_0/rules/PH_RULE_Netsh_Allow_Group_Policy_on_Microsoft_Defender_Firewall.htm</t>
  </si>
  <si>
    <t xml:space="preserve">PH_Rule_SIGMA_1115</t>
  </si>
  <si>
    <t xml:space="preserve">Windows: New BITS Job Created Via Bitsadmin</t>
  </si>
  <si>
    <t xml:space="preserve">Win-App-Microsoft-Windows-Bits-Client-3</t>
  </si>
  <si>
    <t xml:space="preserve">procName REGEXP "\\bitsadmin\.exe$"</t>
  </si>
  <si>
    <t xml:space="preserve">Detects the creation of a new bits job by Bitsadmin. This rule is adapted from https://github.com/SigmaHQ/sigma/blob/master/rules/windows/builtin/bits_client/win_bits_client_new_job_via_bitsadmin.yml</t>
  </si>
  <si>
    <t xml:space="preserve">https://filestore.fortinet.com/docs.fortinet.com/fsiem/Public_Resource_Access/7_6_0/rules/PH_RULE_Suspicious_Task_Added_by_Bitsadmin.htm</t>
  </si>
  <si>
    <t xml:space="preserve">PH_Rule_windows_SIGMA_3330</t>
  </si>
  <si>
    <t xml:space="preserve">Windows: New DMSA Service Account Created in Specific OUs</t>
  </si>
  <si>
    <t xml:space="preserve">(procName REGEXP "\\powershell\.exe$|\\powershell_ise\.exe$|\\pwsh\.exe$" OR srcFileName IN ("powershell.exe","powershell_ise.exe","pwsh.dll")) AND command REGEXP "New-ADServiceAccount" AND command REGEXP "-CreateDelegatedServiceAccount" AND command REGEXP "-path"</t>
  </si>
  <si>
    <t xml:space="preserve">Detects the creation of a dMSASvc account using the New-ADServiceAccount cmdlet in certain OUs. The fact that the Cmdlet is used to create a dMSASvc account in a specific OU is highly suspicious. It is a pattern trying to exploit the BadSuccessor privilege escalation vulnerability in Windows Server 2025. On top of that, if the user that is creating the dMSASvc account is not a legitimate administrator or does not have the necessary permissions, it is a strong signal of an attempted or successful abuse of the BaDSuccessor vulnerability for privilege escalation within the Windows Server 2025 Active Directory environment. . This rule is adapted from https://github.com/SigmaHQ/sigma/blob/master/rules/windows/process_creation/proc_creation_win_create_new_dmsasvc_account.yml</t>
  </si>
  <si>
    <t xml:space="preserve">https://filestore.fortinet.com/docs.fortinet.com/fsiem/Public_Resource_Access/7_6_0/rules/PH_RULE_New_DMSA_Service_Account_Created_in_Specific_OUs.htm</t>
  </si>
  <si>
    <t xml:space="preserve">PH_Rule_SIGMA_46</t>
  </si>
  <si>
    <t xml:space="preserve">Windows: New or Renamed User Account with dollar sign in Attribute SamAccountName</t>
  </si>
  <si>
    <t xml:space="preserve">Win-Security-4720
Win-Security-4781</t>
  </si>
  <si>
    <t xml:space="preserve">((oldTargetUser CONTAIN "$") OR (targetUser CONTAIN "$")) AND (user != "HomeGroupUser$")</t>
  </si>
  <si>
    <t xml:space="preserve">hostName,targetUser,oldTargetUser</t>
  </si>
  <si>
    <t xml:space="preserve">Windows Security log: Security 4720
Windows Security log: Security 4781</t>
  </si>
  <si>
    <t xml:space="preserve">Detects possible bypass EDR and SIEM via abnormal user account name. This rule is adapted from https://github.com/SigmaHQ/sigma/blob/master/rules/windows/builtin/security/win_security_new_or_renamed_user_account_with_dollar_sign.yml</t>
  </si>
  <si>
    <t xml:space="preserve">https://filestore.fortinet.com/docs.fortinet.com/fsiem/Public_Resource_Access/7_6_0/rules/PH_RULE_New_or_Renamed_User_Account_with_dollar_in_Attribute_SamAccountName.htm</t>
  </si>
  <si>
    <t xml:space="preserve">PH_Rule_SIGMA_2272</t>
  </si>
  <si>
    <t xml:space="preserve">Windows: New Root Certificate Installed Via Certutil.EXE</t>
  </si>
  <si>
    <t xml:space="preserve">(procName REGEXP "\\certutil\.exe$" OR srcFileName="CertUtil.exe") AND command REGEXP ".*-addstore.*|.*/addstore.*" AND command REGEXP ".*root.*"</t>
  </si>
  <si>
    <t xml:space="preserve">Detects execution of "certutil" with the "addstore" flag in order to install a new certificate on the system. Adversaries may install a root certificate on a compromised system to avoid warnings when connecting to adversary controlled web servers. This rule is adapted from https://github.com/SigmaHQ/sigma/blob/master/rules/windows/process_creation/proc_creation_win_certutil_certificate_installation.yml</t>
  </si>
  <si>
    <t xml:space="preserve">https://filestore.fortinet.com/docs.fortinet.com/fsiem/Public_Resource_Access/7_6_0/rules/PH_RULE_New_Root_Certificate_Installed_Via_Certutil_EXE.htm</t>
  </si>
  <si>
    <t xml:space="preserve">PH_Rule_SIGMA_312</t>
  </si>
  <si>
    <t xml:space="preserve">Windows: New User Created Via Net.EXE</t>
  </si>
  <si>
    <t xml:space="preserve">(procName REGEXP "\\net1\.exe$|\\net\.exe$" OR srcFileName IN ("net.exe","net1.exe")) AND (command REGEXP ".*user.*" AND command REGEXP ".*add.*")</t>
  </si>
  <si>
    <t xml:space="preserve">Identifies the creation of local users via the net.exe command. This rule is adapted from https://github.com/SigmaHQ/sigma/blob/master/rules/windows/process_creation/proc_creation_win_net_user_add.yml</t>
  </si>
  <si>
    <t xml:space="preserve">https://filestore.fortinet.com/docs.fortinet.com/fsiem/Public_Resource_Access/7_6_0/rules/PH_RULE_Net_exe_User_Account_Creation.htm</t>
  </si>
  <si>
    <t xml:space="preserve">PH_Rule_SIGMA_2402</t>
  </si>
  <si>
    <t xml:space="preserve">Windows: New User Created Via Net.EXE With Never Expire Option</t>
  </si>
  <si>
    <t xml:space="preserve">(procName REGEXP "\\net1\.exe$|\\net\.exe$" OR srcFileName IN ("net.exe","net1.exe")) AND (command REGEXP ".*user.*" AND command REGEXP ".*add.*" AND command REGEXP ".*expires:never.*")</t>
  </si>
  <si>
    <t xml:space="preserve">Detects creation of local users via the net.exe command with the option "never expire". This rule is adapted from https://github.com/SigmaHQ/sigma/blob/master/rules/windows/process_creation/proc_creation_win_net_user_add_never_expire.yml</t>
  </si>
  <si>
    <t xml:space="preserve">https://filestore.fortinet.com/docs.fortinet.com/fsiem/Public_Resource_Access/7_6_0/rules/PH_RULE_New_User_Created_Via_Net_EXE_With_Never_Expire_Option.htm</t>
  </si>
  <si>
    <t xml:space="preserve">PH_Rule_windows_SIGMA_2856</t>
  </si>
  <si>
    <t xml:space="preserve">Windows: No Suitable Encryption Key Found For Generating Kerberos Ticket</t>
  </si>
  <si>
    <t xml:space="preserve">Win-System-Microsoft-Windows-Kerberos-Key-Distribution-Center-16
Win-System-Microsoft-Windows-Kerberos-Key-Distribution-Center-27</t>
  </si>
  <si>
    <t xml:space="preserve">Detects errors when a target server doesn't have suitable keys for generating kerberos tickets. This issue can occur for example when a service uses a user account or a computer account that is configured for only DES encryption on a computer that is running Windows 7 which has DES encryption for Kerberos authentication disabled. . This rule is adapted from https://github.com/SigmaHQ/sigma/blob/master/rules/windows/builtin/system/microsoft_windows_kerberos_key_distribution_center/win_system_kdcsvc_tgs_no_suitable_encryption_key_found.yml</t>
  </si>
  <si>
    <t xml:space="preserve">https://filestore.fortinet.com/docs.fortinet.com/fsiem/Public_Resource_Access/7_6_0/rules/PH_RULE_No_Suitable_Encryption_Key_Found_For_Generating_Kerberos_Ticket.htm</t>
  </si>
  <si>
    <t xml:space="preserve">PH_Rule_windows_SIGMA_2848</t>
  </si>
  <si>
    <t xml:space="preserve">Windows: Outgoing Logon with New Credentials</t>
  </si>
  <si>
    <t xml:space="preserve">winLogonType=9</t>
  </si>
  <si>
    <t xml:space="preserve">hostName,winLogonType</t>
  </si>
  <si>
    <t xml:space="preserve">Detects logon events that specify new credentials. This rule is adapted from https://github.com/SigmaHQ/sigma/blob/master/rules/windows/builtin/security/account_management/win_security_susp_logon_newcredentials.yml</t>
  </si>
  <si>
    <t xml:space="preserve">https://filestore.fortinet.com/docs.fortinet.com/fsiem/Public_Resource_Access/7_6_0/rules/PH_RULE_Outgoing_Logon_with_New_Credentials.htm</t>
  </si>
  <si>
    <t xml:space="preserve">PH_Rule_windows_SIGMA_2847</t>
  </si>
  <si>
    <t xml:space="preserve">Windows: Pass the Hash Activity 2</t>
  </si>
  <si>
    <t xml:space="preserve">((securityId="S-1-0-0" AND winLogonType=3 AND winLogonProc="NtLmSsp" AND msgLen=0) OR (winLogonType=9 AND winLogonProc="seclogo")) AND user!="ANONYMOUS LOGON"</t>
  </si>
  <si>
    <t xml:space="preserve">hostName,msgLen,securityId,user,winLogonProc,winLogonType</t>
  </si>
  <si>
    <t xml:space="preserve">Detects the attack technique pass the hash which is used to move laterally inside the network. This rule is adapted from https://github.com/SigmaHQ/sigma/blob/master/rules/windows/builtin/security/account_management/win_security_pass_the_hash_2.yml</t>
  </si>
  <si>
    <t xml:space="preserve">https://filestore.fortinet.com/docs.fortinet.com/fsiem/Public_Resource_Access/7_6_0/rules/PH_RULE_Pass_the_Hash_Activity_2.htm</t>
  </si>
  <si>
    <t xml:space="preserve">PH_Rule_windows_SIGMA_3229</t>
  </si>
  <si>
    <t xml:space="preserve">Windows: Password Policy Discovery With Get-AdDefaultDomainPasswordPolicy</t>
  </si>
  <si>
    <t xml:space="preserve">script REGEXP "Get-AdDefaultDomainPasswordPolicy"</t>
  </si>
  <si>
    <t xml:space="preserve">Detetcts PowerShell activity in which Get-Addefaultdomainpasswordpolicy is used to get the default password policy for an Active Directory domain.. This rule is adapted from https://github.com/SigmaHQ/sigma/blob/master/rules/windows/powershell/powershell_script/posh_ps_susp_get_addefaultdomainpasswordpolicy.yml</t>
  </si>
  <si>
    <t xml:space="preserve">https://filestore.fortinet.com/docs.fortinet.com/fsiem/Public_Resource_Access/7_6_0/rules/PH_RULE_Password_Policy_Discovery_With_Get_AdDefaultDomainPasswordPolicy.htm</t>
  </si>
  <si>
    <t xml:space="preserve">PH_Rule_windows_SIGMA_2834</t>
  </si>
  <si>
    <t xml:space="preserve">Windows: Password Policy Enumerated</t>
  </si>
  <si>
    <t xml:space="preserve">osObjAccessType REGEXP "%%5392" AND serverName="Security Account Manager"</t>
  </si>
  <si>
    <t xml:space="preserve">hostName,osObjAccessType,serverName</t>
  </si>
  <si>
    <t xml:space="preserve">Detects when the password policy is enumerated.. This rule is adapted from https://github.com/SigmaHQ/sigma/blob/master/rules/windows/builtin/security/win_security_password_policy_enumerated.yml</t>
  </si>
  <si>
    <t xml:space="preserve">https://filestore.fortinet.com/docs.fortinet.com/fsiem/Public_Resource_Access/7_6_0/rules/PH_RULE_Password_Policy_Enumerated.htm</t>
  </si>
  <si>
    <t xml:space="preserve">PH_Rule_SIGMA_1218</t>
  </si>
  <si>
    <t xml:space="preserve">Windows: Password Protected ZIP File Opened</t>
  </si>
  <si>
    <t xml:space="preserve">Win-Security-5379</t>
  </si>
  <si>
    <t xml:space="preserve">(targetName REGEXP ".*Microsoft_Windows_Shell_ZipFolder:filename.*") AND (targetName NOT REGEXP ".*\\Temporary Internet Files\\Content\.Outlook.*")</t>
  </si>
  <si>
    <t xml:space="preserve">Windows Security log: Security 5379</t>
  </si>
  <si>
    <t xml:space="preserve">Detects the extraction of password protected ZIP archives. See the filename variable for more details on which file has been opened. This rule is adapted from https://github.com/SigmaHQ/sigma/blob/master/rules/windows/builtin/security/win_security_susp_opened_encrypted_zip.yml</t>
  </si>
  <si>
    <t xml:space="preserve">https://filestore.fortinet.com/docs.fortinet.com/fsiem/Public_Resource_Access/7_6_0/rules/PH_RULE_Password_Protected_ZIP_File_Opened.htm</t>
  </si>
  <si>
    <t xml:space="preserve">PH_Rule_SIGMA_1220</t>
  </si>
  <si>
    <t xml:space="preserve">Windows: Password Protected ZIP File Opened Email Attachment</t>
  </si>
  <si>
    <t xml:space="preserve">targetName REGEXP ".*Microsoft_Windows_Shell_ZipFolder:filename.*" AND targetName REGEXP ".*\\Temporary Internet Files\\Content\.Outlook.*"</t>
  </si>
  <si>
    <t xml:space="preserve">Detects the extraction of password protected ZIP archives. See the filename variable for more details on which file has been opened. This rule is adapted from https://github.com/SigmaHQ/sigma/blob/master/rules/windows/builtin/security/win_security_susp_opened_encrypted_zip_outlook.yml</t>
  </si>
  <si>
    <t xml:space="preserve">https://filestore.fortinet.com/docs.fortinet.com/fsiem/Public_Resource_Access/7_6_0/rules/PH_RULE_Password_Protected_ZIP_File_Opened_Email_Attachment_.htm</t>
  </si>
  <si>
    <t xml:space="preserve">PH_Rule_SIGMA_1219</t>
  </si>
  <si>
    <t xml:space="preserve">Windows: Password Protected ZIP File Opened Suspicious Filenames</t>
  </si>
  <si>
    <t xml:space="preserve">targetName REGEXP ".*Microsoft_Windows_Shell_ZipFolder:filename.*" AND targetName REGEXP ".*delivery.*|.*factura.*|.*invoice.*|.*new order.*|.*order.*|.*payment.*|.*purchase.*|.*rechnung.*"</t>
  </si>
  <si>
    <t xml:space="preserve">Detects the extraction of password protected ZIP archives with suspicious file names. See the filename variable for more details on which file has been opened. This rule is adapted from https://github.com/SigmaHQ/sigma/blob/master/rules/windows/builtin/security/win_security_susp_opened_encrypted_zip_filename.yml</t>
  </si>
  <si>
    <t xml:space="preserve">https://filestore.fortinet.com/docs.fortinet.com/fsiem/Public_Resource_Access/7_6_0/rules/PH_RULE_Password_Protected_ZIP_File_Opened_Suspicious_Filenames_.htm</t>
  </si>
  <si>
    <t xml:space="preserve">PH_Rule_SIGMA_1</t>
  </si>
  <si>
    <t xml:space="preserve">Windows: Persistence and Execution at Scale via GPO Scheduled Task</t>
  </si>
  <si>
    <t xml:space="preserve">Win-Security-5136
Win-Security-5145</t>
  </si>
  <si>
    <t xml:space="preserve">(propName IN ("gPCMachineExtensionNames","gPCUserExtensionNames") AND propValue REGEXP "AADCED64-746C-4633-A97C-D61349046527|CAB54552-DEEA-4691-817E-ED4A4D1AFC72") OR (fileName REGEXP "\\SYSVOL$" AND targetName REGEXP "ScheduledTasks\.xml$" AND osObjAccessType REGEXP "%%4417|WriteData")</t>
  </si>
  <si>
    <t xml:space="preserve">fileName,hostName,osObjAccessType,propName,propValue,targetName</t>
  </si>
  <si>
    <t xml:space="preserve">Windows Security log: Security 5136
Windows Security log: Security 5145</t>
  </si>
  <si>
    <t xml:space="preserve">Detect lateral movement using GPO scheduled task, usually used to deploy ransomware at scale. This rule is adapted from https://github.com/SigmaHQ/sigma/blob/master/rules/windows/builtin/security/win_security_gpo_scheduledtasks.yml</t>
  </si>
  <si>
    <t xml:space="preserve">https://filestore.fortinet.com/docs.fortinet.com/fsiem/Public_Resource_Access/7_6_0/rules/PH_RULE_Persistence_and_Execution_at_Scale_via_GPO_Scheduled_Task.htm</t>
  </si>
  <si>
    <t xml:space="preserve">PH_Rule_SIGMA_1851</t>
  </si>
  <si>
    <t xml:space="preserve">Windows: Potential Access Token Abuse</t>
  </si>
  <si>
    <t xml:space="preserve">winLogonType=9 AND winLogonProc="Advapi" AND authenMethod="Negotiate" AND permissionLevelID="%%1833"</t>
  </si>
  <si>
    <t xml:space="preserve">authenMethod,hostName,permissionLevelID,winLogonProc,winLogonType</t>
  </si>
  <si>
    <t xml:space="preserve">Detects potential token impersonation and theft. Example, when using "DuplicateToken(Ex)" and "ImpersonateLoggedOnUser" with the "LOGON32_LOGON_NEW_CREDENTIALS flag". This rule is adapted from https://github.com/SigmaHQ/sigma/blob/master/rules/windows/builtin/security/account_management/win_security_access_token_abuse.yml</t>
  </si>
  <si>
    <t xml:space="preserve">https://filestore.fortinet.com/docs.fortinet.com/fsiem/Public_Resource_Access/7_6_0/rules/PH_RULE_Potential_Access_Token_Abuse.htm</t>
  </si>
  <si>
    <t xml:space="preserve">PH_Rule_SIGMA_2421</t>
  </si>
  <si>
    <t xml:space="preserve">Windows: Potential Active Directory Enumeration Using AD Module - ProcCreation</t>
  </si>
  <si>
    <t xml:space="preserve">(procName REGEXP "\\powershell\.exe$|\\pwsh\.exe$" OR srcFileName IN ("PowerShell.EXE","pwsh.dll")) AND command REGEXP ".*Import-Module .*|.*ipmo .*" AND command REGEXP ".*Microsoft\.ActiveDirectory\.Management\.dll.*"</t>
  </si>
  <si>
    <t xml:space="preserve">Detects usage of the "Import-Module" cmdlet to load the "Microsoft.ActiveDirectory.Management.dl" DLL. Which is often used by attackers to perform AD enumeration. This rule is adapted from https://github.com/SigmaHQ/sigma/blob/master/rules/windows/process_creation/proc_creation_win_powershell_active_directory_module_dll_import.yml</t>
  </si>
  <si>
    <t xml:space="preserve">https://filestore.fortinet.com/docs.fortinet.com/fsiem/Public_Resource_Access/7_6_0/rules/PH_RULE_Potential_Active_Directory_Enumeration_Using_AD_Module_ProcCreation.htm</t>
  </si>
  <si>
    <t xml:space="preserve">PH_Rule_windows_SIGMA_3090</t>
  </si>
  <si>
    <t xml:space="preserve">Windows: Potential Active Directory Enumeration Using AD Module - PsModule</t>
  </si>
  <si>
    <t xml:space="preserve">lineContent REGEXP "Import-Module |ipmo " AND lineContent REGEXP "Microsoft\.ActiveDirectory\.Management\.dll"</t>
  </si>
  <si>
    <t xml:space="preserve">Detects usage of the "Import-Module" cmdlet to load the "Microsoft.ActiveDirectory.Management.dl" DLL. Which is often used by attackers to perform AD enumeration.. This rule is adapted from https://github.com/SigmaHQ/sigma/blob/master/rules/windows/powershell/powershell_module/posh_pm_active_directory_module_dll_import.yml</t>
  </si>
  <si>
    <t xml:space="preserve">https://filestore.fortinet.com/docs.fortinet.com/fsiem/Public_Resource_Access/7_6_0/rules/PH_RULE_Potential_Active_Directory_Enumeration_Using_AD_Module_PsModule.htm</t>
  </si>
  <si>
    <t xml:space="preserve">PH_Rule_windows_SIGMA_3125</t>
  </si>
  <si>
    <t xml:space="preserve">Windows: Potential Active Directory Enumeration Using AD Module - PsScript</t>
  </si>
  <si>
    <t xml:space="preserve">((script REGEXP "Import-Module " AND script REGEXP "Microsoft\.ActiveDirectory\.Management\.dll") OR script REGEXP "ipmo Microsoft\.ActiveDirectory\.Management\.dll")</t>
  </si>
  <si>
    <t xml:space="preserve">Detects usage of the "Import-Module" cmdlet to load the "Microsoft.ActiveDirectory.Management.dl" DLL. Which is often used by attackers to perform AD enumeration.. This rule is adapted from https://github.com/SigmaHQ/sigma/blob/master/rules/windows/powershell/powershell_script/posh_ps_active_directory_module_dll_import.yml</t>
  </si>
  <si>
    <t xml:space="preserve">https://filestore.fortinet.com/docs.fortinet.com/fsiem/Public_Resource_Access/7_6_0/rules/PH_RULE_Potential_Active_Directory_Enumeration_Using_AD_Module_PsScript.htm</t>
  </si>
  <si>
    <t xml:space="preserve">PH_Rule_windows_SIGMA_2832</t>
  </si>
  <si>
    <t xml:space="preserve">Windows: Potential AS-REP Roasting via Kerberos TGT Requests</t>
  </si>
  <si>
    <t xml:space="preserve">encryptAlgo="0x17" AND serviceName="krbtgt" AND authenMethod="0"</t>
  </si>
  <si>
    <t xml:space="preserve">authenMethod,encryptAlgo,hostName,serviceName</t>
  </si>
  <si>
    <t xml:space="preserve">Detects suspicious Kerberos TGT requests with pre-authentication disabled (Pre-Authentication Type = 0) and Ticket Encryption Type (0x17) i.e, RC4-HMAC. This may indicate an AS-REP Roasting attack, where attackers request AS-REP messages for accounts without pre-authentication and attempt to crack the encrypted ticket offline to recover user passwords. . This rule is adapted from https://github.com/SigmaHQ/sigma/blob/master/rules/windows/builtin/security/win_security_kerberos_asrep_roasting.yml</t>
  </si>
  <si>
    <t xml:space="preserve">https://filestore.fortinet.com/docs.fortinet.com/fsiem/Public_Resource_Access/7_6_0/rules/PH_RULE_Potential_AS_REP_Roasting_via_Kerberos_TGT_Requests.htm</t>
  </si>
  <si>
    <t xml:space="preserve">PH_Rule_SIGMA_687</t>
  </si>
  <si>
    <t xml:space="preserve">Windows: Potential Azure Browser SSO Abuse</t>
  </si>
  <si>
    <t xml:space="preserve">(loadedProcName="C:\\Windows\\System32\\MicrosoftAccountTokenProvider.dll" AND ((procName NOT REGEXP "^C:\\Windows\\SysWOW64\\|^C:\\Windows\\System32\\" OR procName NOT REGEXP "\\BackgroundTaskHost\.exe$"))) AND ((procName NOT REGEXP "^C:\\Program Files \(x86\)\\Microsoft Visual Studio\\|^C:\\Program Files\\Microsoft Visual Studio\\" OR procName NOT REGEXP "\\IDE\\devenv\.exe$") AND (procName NOT IN ("C:\\Program Files (x86)\\Internet Explorer\\iexplore.exe","C:\\Program Files\\Internet Explorer\\iexplore.exe")) AND (procName NOT REGEXP "^C:\\Program Files \(x86\)\\Microsoft\\EdgeWebView\\Application\\" AND procName NOT REGEXP "\\WindowsApps\\MicrosoftEdge\.exe$" AND procName NOT IN ("C:\\Program Files (x86)\\Microsoft\\Edge\\Application\\msedge.exe","C:\\Program Files\\Microsoft\\Edge\\Application\\msedge.exe")) AND (procName NOT REGEXP "^C:\\Program Files \(x86\)\\Microsoft\\EdgeCore\\|^C:\\Program Files\\Microsoft\\EdgeCore\\" OR procName NOT REGEXP "\\msedge\.exe$|\\msedgewebview2\.exe$") AND (procName NOT REGEXP "\\AppData\\Local\\Microsoft\\OneDrive\\OneDrive\.exe$") AND (procName IS NOT NULL))</t>
  </si>
  <si>
    <t xml:space="preserve">Detects abusing Azure Browser SSO by requesting OAuth 2.0 refresh tokens for an Azure-AD-authenticated Windows user (i.e. the machine is joined to Azure AD and a user logs in with their Azure AD account) wanting to perform SSO authentication in the browser. An attacker can use this to authenticate to Azure AD in a browser as that user. . This rule is adapted from https://github.com/SigmaHQ/sigma/blob/master/rules/windows/image_load/image_load_dll_azure_microsoft_account_token_provider_dll_load.yml</t>
  </si>
  <si>
    <t xml:space="preserve">https://filestore.fortinet.com/docs.fortinet.com/fsiem/Public_Resource_Access/7_6_0/rules/PH_RULE_Avusing_Azure_Browser_SSO.htm</t>
  </si>
  <si>
    <t xml:space="preserve">PH_Rule_windows_SIGMA_2833</t>
  </si>
  <si>
    <t xml:space="preserve">Windows: Potential Kerberos Coercion by Spoofing SPNs via DNS Manipulation</t>
  </si>
  <si>
    <t xml:space="preserve">Active Directory, Windows Security log, Kerberos</t>
  </si>
  <si>
    <t xml:space="preserve">Win-Security-4662
Win-Security-5136
Win-Security-5137</t>
  </si>
  <si>
    <t xml:space="preserve">(osObjType="dnsNode" AND objId REGEXP "UWhRCA" AND objId REGEXP "BAAAA" AND objId REGEXP "CN=MicrosoftDNS") OR (details REGEXP "UWhRCA" AND details REGEXP "BAAAA" AND details REGEXP "CN=MicrosoftDNS")</t>
  </si>
  <si>
    <t xml:space="preserve">details,hostName,objId,osObjType</t>
  </si>
  <si>
    <t xml:space="preserve">Windows Security log: Security 5136
Windows Security log: Security 5137
Windows Security log: Security 4662</t>
  </si>
  <si>
    <t xml:space="preserve">a6, a5</t>
  </si>
  <si>
    <t xml:space="preserve">Detects modifications to DNS records in Active Directory where the Distinguished Name (DN) contains a base64-encoded blob matching the pattern "1UWhRCAAAAA...BAAAA". This pattern corresponds to a marshaled CREDENTIAL_TARGET_INFORMATION structure, commonly used in Kerberos coercion attacks. Adversaries may exploit this to coerce victim systems into authenticating to attacker-controlled hosts by spoofing SPNs via DNS. It is one of the strong indicators of a Kerberos coercion attack,. where adversaries manipulate DNS records to spoof Service Principal Names (SPNs) and redirect authentication requests like CVE-2025-33073. Please investigate the user account that made the changes, as it is likely a low-privileged account that has been compromised. . This rule is adapted from https://github.com/SigmaHQ/sigma/blob/master/rules/windows/builtin/security/win_security_kerberos_coercion_via_dns_object.yml</t>
  </si>
  <si>
    <t xml:space="preserve">https://filestore.fortinet.com/docs.fortinet.com/fsiem/Public_Resource_Access/7_6_0/rules/PH_RULE_Potential_Kerberos_Coercion_by_Spoofing_SPNs_via_DNS_Manipulation.htm</t>
  </si>
  <si>
    <t xml:space="preserve">PH_Rule_SIGMA_2278</t>
  </si>
  <si>
    <t xml:space="preserve">Windows: Potential NTLM Coercion Via Certutil.EXE</t>
  </si>
  <si>
    <t xml:space="preserve">(procName REGEXP "\\certutil\.exe$" OR srcFileName="CertUtil.exe") AND (command REGEXP ".* -syncwithWU .*" AND command REGEXP ".* \\\\.*")</t>
  </si>
  <si>
    <t xml:space="preserve">Detects possible NTLM coercion via certutil using the 'syncwithWU' flag. This rule is adapted from https://github.com/SigmaHQ/sigma/blob/master/rules/windows/process_creation/proc_creation_win_certutil_ntlm_coercion.yml</t>
  </si>
  <si>
    <t xml:space="preserve">https://filestore.fortinet.com/docs.fortinet.com/fsiem/Public_Resource_Access/7_6_0/rules/PH_RULE_Potential_NTLM_Coercion_Via_Certutil_EXE.htm</t>
  </si>
  <si>
    <t xml:space="preserve">PH_Rule_windows_SIGMA_2849</t>
  </si>
  <si>
    <t xml:space="preserve">Windows: Potential Privilege Escalation via Local Kerberos Relay over LDAP</t>
  </si>
  <si>
    <t xml:space="preserve">winLogonType=3 AND authenMethod="Kerberos" AND srcIpAddr=127.0.0.1 AND userId REGEXP "^S-1-5-21-" AND userId REGEXP "-500$" AND srcIpPort!=0</t>
  </si>
  <si>
    <t xml:space="preserve">authenMethod,hostName,srcIpAddr,srcIpPort,userId,winLogonType</t>
  </si>
  <si>
    <t xml:space="preserve">Detects a suspicious local successful logon event where the Logon Package is Kerberos, the remote address is set to localhost, and the target user SID is the built-in local Administrator account. This may indicate an attempt to leverage a Kerberos relay attack variant that can be used to elevate privilege locally from a domain joined limited user to local System privileges. . This rule is adapted from https://github.com/SigmaHQ/sigma/blob/master/rules/windows/builtin/security/account_management/win_security_susp_privesc_kerberos_relay_over_ldap.yml</t>
  </si>
  <si>
    <t xml:space="preserve">https://filestore.fortinet.com/docs.fortinet.com/fsiem/Public_Resource_Access/7_6_0/rules/PH_RULE_Potential_Privilege_Escalation_via_Local_Kerberos_Relay_over_LDAP.htm</t>
  </si>
  <si>
    <t xml:space="preserve">PH_Rule_SIGMA_314</t>
  </si>
  <si>
    <t xml:space="preserve">Windows: Potential Privileged System Service Operation - SeLoadDriverPrivilege</t>
  </si>
  <si>
    <t xml:space="preserve">privName="SeLoadDriverPrivilege" AND serviceName="-" AND procName NOT IN ("C:\\Windows\\HelpPane.exe","C:\\Windows\\ImmersiveControlPanel\\SystemSettings.exe","C:\\Windows\\System32\\Dism.exe","C:\\Windows\\System32\\RuntimeBroker.exe","C:\\Windows\\System32\\ShellHost.exe","C:\\Windows\\System32\\SystemSettingsBroker.exe","C:\\Windows\\System32\\fltMC.exe","C:\\Windows\\System32\\mmc.exe","C:\\Windows\\System32\\rundll32.exe","C:\\Windows\\System32\\svchost.exe","C:\\Windows\\System32\\wimserv.exe","C:\\Windows\\explorer.exe") AND procName NOT REGEXP "^C:\\Program Files\\WindowsApps\\Microsoft" AND procName NOT REGEXP "\\AppData\\Local\\Microsoft\\Teams\\current\\Teams\.exe$|\\Google\\Chrome\\Application\\chrome\.exe$|\\procexp64\.exe$|\\procexp\.exe$|\\procmon64\.exe$|\\procmon\.exe$" AND (procName NOT REGEXP "^C:\\Program Files \(x86\)\\Dropbox\\|^C:\\Program Files\\Dropbox\\" OR procName NOT REGEXP "\\Dropbox\.exe$")</t>
  </si>
  <si>
    <t xml:space="preserve">hostName,privName,procName,serviceName</t>
  </si>
  <si>
    <t xml:space="preserve">Detects the usage of the 'SeLoadDriverPrivilege' privilege. This privilege is required to load or unload a device driver. With this privilege, the user can dynamically load and unload device drivers or other code in to kernel mode. This user right does not apply to Plug and Play device drivers. If you exclude privileged users/admins and processes, which are allowed to do so, you are maybe left with bad programs trying to load malicious kernel drivers. This will detect Ghost-In-The-Logs (https://github.com/bats3c/Ghost-In-The-Logs) and the usage of Sysinternals and various other tools. So you have to work with a whitelist to find the bad stuff. . This rule is adapted from https://github.com/SigmaHQ/sigma/blob/master/rules/windows/builtin/security/win_security_user_driver_loaded.yml</t>
  </si>
  <si>
    <t xml:space="preserve">https://filestore.fortinet.com/docs.fortinet.com/fsiem/Public_Resource_Access/7_6_0/rules/PH_RULE_Suspicious_Driver_Loaded_By_User.htm</t>
  </si>
  <si>
    <t xml:space="preserve">PH_Rule_windows_SIGMA_2837</t>
  </si>
  <si>
    <t xml:space="preserve">Windows: Potential Secure Deletion with SDelete</t>
  </si>
  <si>
    <t xml:space="preserve">T1553.002</t>
  </si>
  <si>
    <t xml:space="preserve">Win-Security-4656
Win-Security-4658
Win-Security-4663</t>
  </si>
  <si>
    <t xml:space="preserve">osObjName REGEXP "\.AAA$|\.ZZZ$"</t>
  </si>
  <si>
    <t xml:space="preserve">Windows Security log: Security 4656
Windows Security log: Security 4658
Windows Security log: Security 4663</t>
  </si>
  <si>
    <t xml:space="preserve">Detects files that have extensions commonly seen while SDelete is used to wipe files.. This rule is adapted from https://github.com/SigmaHQ/sigma/blob/master/rules/windows/builtin/security/win_security_sdelete_potential_secure_deletion.yml</t>
  </si>
  <si>
    <t xml:space="preserve">https://filestore.fortinet.com/docs.fortinet.com/fsiem/Public_Resource_Access/7_6_0/rules/PH_RULE_Potential_Secure_Deletion_with_SDelete.htm</t>
  </si>
  <si>
    <t xml:space="preserve">PH_Rule_SIGMA_1338</t>
  </si>
  <si>
    <t xml:space="preserve">Windows: Potential UAC Bypass Via Sdclt.EXE</t>
  </si>
  <si>
    <t xml:space="preserve">procName REGEXP "sdclt\.exe$" AND integrityLevel IN ("High","S-1-16-12288")</t>
  </si>
  <si>
    <t xml:space="preserve">hostName,integrityLevel,procName</t>
  </si>
  <si>
    <t xml:space="preserve">A General detection for sdclt being spawned as an elevated process. This could be an indicator of sdclt being used for bypass UAC techniques.. This rule is adapted from https://github.com/SigmaHQ/sigma/blob/master/rules/windows/process_creation/proc_creation_win_uac_bypass_sdclt.yml</t>
  </si>
  <si>
    <t xml:space="preserve">https://filestore.fortinet.com/docs.fortinet.com/fsiem/Public_Resource_Access/7_6_0/rules/PH_RULE_High_Integrity_Sdclt_Process.htm</t>
  </si>
  <si>
    <t xml:space="preserve">PH_Rule_SIGMA_1702</t>
  </si>
  <si>
    <t xml:space="preserve">Windows: Potentially Suspicious Event Viewer Child Process</t>
  </si>
  <si>
    <t xml:space="preserve">parentProcName REGEXP "\\eventvwr\.exe$" AND procName NOT REGEXP ":\\Windows\\SysWOW64\\WerFault\.exe$|:\\Windows\\System32\\WerFault\.exe$|:\\Windows\\System32\\mmc\.exe$"</t>
  </si>
  <si>
    <t xml:space="preserve">Detects uncommon or suspicious child processes of "eventvwr.exe" which might indicate a UAC bypass attempt. This rule is adapted from https://github.com/SigmaHQ/sigma/blob/master/rules/windows/process_creation/proc_creation_win_eventvwr_susp_child_process.yml</t>
  </si>
  <si>
    <t xml:space="preserve">https://filestore.fortinet.com/docs.fortinet.com/fsiem/Public_Resource_Access/7_6_0/rules/PH_RULE_UAC_Bypass_via_Event_Viewer_SYSMON2.htm</t>
  </si>
  <si>
    <t xml:space="preserve">PH_Rule_windows_SIGMA_3128</t>
  </si>
  <si>
    <t xml:space="preserve">Windows: PowerShell ADRecon Execution</t>
  </si>
  <si>
    <t xml:space="preserve">script REGEXP "ADRecon-Report\.xlsx|Function Get-ADRExcelComOb|Get-ADRDomainController|Get-ADRGPO"</t>
  </si>
  <si>
    <t xml:space="preserve">Detects execution of ADRecon.ps1 for AD reconnaissance which has been reported to be actively used by FIN7. This rule is adapted from https://github.com/SigmaHQ/sigma/blob/master/rules/windows/powershell/powershell_script/posh_ps_adrecon_execution.yml</t>
  </si>
  <si>
    <t xml:space="preserve">https://filestore.fortinet.com/docs.fortinet.com/fsiem/Public_Resource_Access/7_6_0/rules/PH_RULE_PowerShell_ADRecon_Execution.htm</t>
  </si>
  <si>
    <t xml:space="preserve">PH_Rule_windows_SIGMA_3142</t>
  </si>
  <si>
    <t xml:space="preserve">Windows: PowerShell Create Local User</t>
  </si>
  <si>
    <t xml:space="preserve">script REGEXP "New-LocalUser"</t>
  </si>
  <si>
    <t xml:space="preserve">Detects creation of a local user via PowerShell. This rule is adapted from https://github.com/SigmaHQ/sigma/blob/master/rules/windows/powershell/powershell_script/posh_ps_create_local_user.yml</t>
  </si>
  <si>
    <t xml:space="preserve">https://filestore.fortinet.com/docs.fortinet.com/fsiem/Public_Resource_Access/7_6_0/rules/PH_RULE_PowerShell_Create_Local_User.htm</t>
  </si>
  <si>
    <t xml:space="preserve">PH_Rule_windows_SIGMA_3140</t>
  </si>
  <si>
    <t xml:space="preserve">Windows: Powershell Install a DLL in System Directory</t>
  </si>
  <si>
    <t xml:space="preserve">script REGEXP "(Copy-Item|cpi) .{2,128} -Destination .{1,32}\\Windows\\(System32|SysWOW64)"</t>
  </si>
  <si>
    <t xml:space="preserve">Uses PowerShell to install/copy a file into a system directory such as "System32" or "SysWOW64". This rule is adapted from https://github.com/SigmaHQ/sigma/blob/master/rules/windows/powershell/powershell_script/posh_ps_copy_item_system_directory.yml</t>
  </si>
  <si>
    <t xml:space="preserve">https://filestore.fortinet.com/docs.fortinet.com/fsiem/Public_Resource_Access/7_6_0/rules/PH_RULE_Powershell_Install_a_DLL_in_System_Directory.htm</t>
  </si>
  <si>
    <t xml:space="preserve">PH_Rule_windows_SIGMA_2835</t>
  </si>
  <si>
    <t xml:space="preserve">Windows: PowerShell Scripts Installed as Services - Security</t>
  </si>
  <si>
    <t xml:space="preserve">serviceFileName REGEXP "powershell|pwsh"</t>
  </si>
  <si>
    <t xml:space="preserve">Detects powershell script installed as a Service. This rule is adapted from https://github.com/SigmaHQ/sigma/blob/master/rules/windows/builtin/security/win_security_powershell_script_installed_as_service.yml</t>
  </si>
  <si>
    <t xml:space="preserve">https://filestore.fortinet.com/docs.fortinet.com/fsiem/Public_Resource_Access/7_6_0/rules/PH_RULE_PowerShell_Scripts_Installed_as_Services_Security.htm</t>
  </si>
  <si>
    <t xml:space="preserve">PH_Rule_windows_SIGMA_3349</t>
  </si>
  <si>
    <t xml:space="preserve">Windows: PowerShell Web Access Feature Enabled Via DISM</t>
  </si>
  <si>
    <t xml:space="preserve">(procName REGEXP "\\dism\.exe$" OR srcFileName="DISM.EXE") AND command REGEXP "WindowsPowerShellWebAccess" AND command REGEXP "/online" AND command REGEXP "/enable-feature"</t>
  </si>
  <si>
    <t xml:space="preserve">Detects the use of DISM to enable the PowerShell Web Access feature, which could be used for remote access and potential abuse. This rule is adapted from https://github.com/SigmaHQ/sigma/blob/master/rules/windows/process_creation/proc_creation_win_dism_enable_powershell_web_access_feature.yml</t>
  </si>
  <si>
    <t xml:space="preserve">https://filestore.fortinet.com/docs.fortinet.com/fsiem/Public_Resource_Access/7_6_0/rules/PH_RULE_PowerShell_Web_Access_Feature_Enabled_Via_DISM.htm</t>
  </si>
  <si>
    <t xml:space="preserve">PH_Rule_SIGMA_1168</t>
  </si>
  <si>
    <t xml:space="preserve">Windows: Processes Accessing the Microphone and Webcam</t>
  </si>
  <si>
    <t xml:space="preserve">T1123</t>
  </si>
  <si>
    <t xml:space="preserve">Win-Security-4656
Win-Security-4657
Win-Security-4663</t>
  </si>
  <si>
    <t xml:space="preserve">osObjName REGEXP ".*\\SOFTWARE\\Microsoft\\Windows\\CurrentVersion\\CapabilityAccessManager\\ConsentStore\\microphone\\NonPackaged.*|.*\\SOFTWARE\\Microsoft\\Windows\\CurrentVersion\\CapabilityAccessManager\\ConsentStore\\webcam\\NonPackaged.*"</t>
  </si>
  <si>
    <t xml:space="preserve">Windows Security log: Security 4656
Windows Security log: Security 4657
Windows Security log: Security 4663</t>
  </si>
  <si>
    <t xml:space="preserve">Potential adversaries accessing the microphone and webcam in an endpoint. This rule is adapted from https://github.com/SigmaHQ/sigma/blob/master/rules/windows/builtin/security/win_security_camera_microphone_access.yml</t>
  </si>
  <si>
    <t xml:space="preserve">https://filestore.fortinet.com/docs.fortinet.com/fsiem/Public_Resource_Access/7_6_0/rules/PH_RULE_Processes_Accessing_the_Microphone_and_Webcam.htm</t>
  </si>
  <si>
    <t xml:space="preserve">PH_Rule_SIGMA_280</t>
  </si>
  <si>
    <t xml:space="preserve">Windows: Protected Storage Service Access</t>
  </si>
  <si>
    <t xml:space="preserve">Active Directory, Windows Security log, Lateral Movement</t>
  </si>
  <si>
    <t xml:space="preserve">fileName REGEXP ".*IPC.*" AND targetName="protected_storage"</t>
  </si>
  <si>
    <t xml:space="preserve">Detects access to a protected_storage service over the network. Potential abuse of DPAPI to extract domain backup keys from Domain Controllers. This rule is adapted from https://github.com/SigmaHQ/sigma/blob/master/rules/windows/builtin/security/win_security_protected_storage_service_access.yml</t>
  </si>
  <si>
    <t xml:space="preserve">https://filestore.fortinet.com/docs.fortinet.com/fsiem/Public_Resource_Access/7_6_0/rules/PH_RULE_Protected_Storage_Service_Access.htm</t>
  </si>
  <si>
    <t xml:space="preserve">PH_Rule_windows_SIGMA_3447</t>
  </si>
  <si>
    <t xml:space="preserve">Windows: PUA - AdFind.EXE Execution</t>
  </si>
  <si>
    <t xml:space="preserve">(procName REGEXP "\\AdFind\.exe$" OR srcFileName="AdFind.exe" OR hashCode REGEXP "IMPHASH=12ce1c0f3f5837ecc18a3782408fa975|IMPHASH=21aa085d54992511b9f115355e468782|IMPHASH=49b639b4acbecc49d72a01f357aa4930|IMPHASH=4fbf3f084fbbb2470b80b2013134df35|IMPHASH=53e117a96057eaf19c41380d0e87f1c2|IMPHASH=680dad9e300346e05a85023965867201|IMPHASH=bca5675746d13a1f246e2da3c2217492|IMPHASH=d144de8117df2beceaba2201ad304764")</t>
  </si>
  <si>
    <t xml:space="preserve">hashCode,hostName,procName,srcFileName</t>
  </si>
  <si>
    <t xml:space="preserve">Detects execution of Adfind.exe utility, which can be used for reconnaissance in an Active Directory environment. This rule is adapted from https://github.com/SigmaHQ/sigma/blob/master/rules/windows/process_creation/proc_creation_win_pua_adfind_execution.yml</t>
  </si>
  <si>
    <t xml:space="preserve">https://filestore.fortinet.com/docs.fortinet.com/fsiem/Public_Resource_Access/7_6_0/rules/PH_RULE_PUA_AdFind_EXE_Execution.htm</t>
  </si>
  <si>
    <t xml:space="preserve">PH_Rule_windows_SIGMA_3453</t>
  </si>
  <si>
    <t xml:space="preserve">Windows: PUA - PingCastle Execution From Potentially Suspicious Parent</t>
  </si>
  <si>
    <t xml:space="preserve">(parentCommand REGEXP "\.bat|\.chm|\.cmd|\.hta|\.htm|\.html|\.js|\.lnk|\.ps1|\.vbe|\.vbs|\.wsf" OR parentCommand REGEXP ":\\Perflogs\\|:\\Temp\\|:\\Users\\Public\\|:\\Windows\\Temp\\|\\AppData\\Local\\Temp|\\AppData\\Roaming\\|\\Temporary Internet" OR (parentCommand REGEXP ":\\Users\\" AND parentCommand REGEXP "\\Favorites\\") OR (parentCommand REGEXP ":\\Users\\" AND parentCommand REGEXP "\\Favourites\\") OR (parentCommand REGEXP ":\\Users\\" AND parentCommand REGEXP "\\Contacts\\")) AND parentCommand REGEXP "\.bat|\.chm|\.cmd|\.hta|\.htm|\.html|\.js|\.lnk|\.ps1|\.vbe|\.vbs|\.wsf" AND (procName REGEXP "\\PingCastle\.exe$" OR srcFileName="PingCastle.exe" OR product="Ping Castle" OR command REGEXP "--scanner aclcheck|--scanner antivirus|--scanner computerversion|--scanner foreignusers|--scanner laps_bitlocker|--scanner localadmin|--scanner nullsession|--scanner nullsession-trust|--scanner oxidbindings|--scanner remote|--scanner share|--scanner smb|--scanner smb3querynetwork|--scanner spooler|--scanner startup|--scanner zerologon" OR command REGEXP "--no-enum-limit" OR (command REGEXP "--healthcheck" AND command REGEXP "--level Full") OR (command REGEXP "--healthcheck" AND command REGEXP "--server "))</t>
  </si>
  <si>
    <t xml:space="preserve">command,hostName,parentCommand,procName,product,srcFileName</t>
  </si>
  <si>
    <t xml:space="preserve">Detects the execution of PingCastle, a tool designed to quickly assess the Active Directory security level via a script located in a potentially suspicious or uncommon location. . This rule is adapted from https://github.com/SigmaHQ/sigma/blob/master/rules/windows/process_creation/proc_creation_win_pua_pingcastle_script_parent.yml</t>
  </si>
  <si>
    <t xml:space="preserve">https://filestore.fortinet.com/docs.fortinet.com/fsiem/Public_Resource_Access/7_6_0/rules/PH_RULE_PUA_PingCastle_Execution_From_Potentially_Suspicious_Parent.htm</t>
  </si>
  <si>
    <t xml:space="preserve">PH_Rule_SIGMA_1529</t>
  </si>
  <si>
    <t xml:space="preserve">Windows: PUA - Suspicious ActiveDirectory Enumeration Via AdFind.EXE</t>
  </si>
  <si>
    <t xml:space="preserve">(command REGEXP ".*lockoutduration.*|.*lockoutobservationwindow.*|.*lockoutthreshold.*|.*maxpwdage.*|.*minpwdage.*|.*minpwdlength.*|.*pwdhistorylength.*|.*pwdproperties.*" OR command REGEXP ".*-sc admincountdmp.*" OR command REGEXP ".*-sc exchaddresses.*")</t>
  </si>
  <si>
    <t xml:space="preserve">Detects active directory enumeration activity using known AdFind CLI flags. This rule is adapted from https://github.com/SigmaHQ/sigma/blob/master/rules/windows/process_creation/proc_creation_win_pua_adfind_enumeration.yml</t>
  </si>
  <si>
    <t xml:space="preserve">https://filestore.fortinet.com/docs.fortinet.com/fsiem/Public_Resource_Access/7_6_0/rules/PH_RULE_Suspicious_AdFind_Enumerate.htm</t>
  </si>
  <si>
    <t xml:space="preserve">PH_Rule_SIGMA_57</t>
  </si>
  <si>
    <t xml:space="preserve">Windows: RDP Login from Localhost</t>
  </si>
  <si>
    <t xml:space="preserve">winLogonType=10 AND srcIpAddr IN (127.0.0.1,::1)</t>
  </si>
  <si>
    <t xml:space="preserve">RDP login with localhost source address may be a tunnelled login. This rule is adapted from https://github.com/SigmaHQ/sigma/blob/master/rules/windows/builtin/security/account_management/win_security_rdp_localhost_login.yml</t>
  </si>
  <si>
    <t xml:space="preserve">https://filestore.fortinet.com/docs.fortinet.com/fsiem/Public_Resource_Access/7_6_0/rules/PH_RULE_RDP_Login_from_Localhost.htm</t>
  </si>
  <si>
    <t xml:space="preserve">PH_Rule_SIGMA_286</t>
  </si>
  <si>
    <t xml:space="preserve">Windows: RDP over Reverse SSH Tunnel WFP</t>
  </si>
  <si>
    <t xml:space="preserve">T1090.002</t>
  </si>
  <si>
    <t xml:space="preserve">Win-Security-5156</t>
  </si>
  <si>
    <t xml:space="preserve">filter !="AppContainer Loopback" AND ( ( srcIpPort = 3389 AND ( destIpAddr = ::1 OR destIpAddr BETWEEN (127.0.0.0,127.255.255.255) ) ) OR ( destIpPort = 3389 AND ( srcIpAddr = ::1 OR srcIpAddr BETWEEN (127.0.0.0,127.255.255.255) ) ) ) AND appName NOT REGEXP "\\thor64\.exe$|\\thor\.exe$"</t>
  </si>
  <si>
    <t xml:space="preserve">appName, destIpAddr, destGeoCountry, destIpPort, filter, hostName, srcIpAddr, srcGeoCountry, srcIpPort</t>
  </si>
  <si>
    <t xml:space="preserve">Windows Security log: Security 5156</t>
  </si>
  <si>
    <t xml:space="preserve">Detects svchost hosting RDP termsvcs communicating with the loopback address. This rule is adapted from https://github.com/SigmaHQ/sigma/blob/master/rules/windows/builtin/security/win_security_rdp_reverse_tunnel.yml</t>
  </si>
  <si>
    <t xml:space="preserve">https://filestore.fortinet.com/docs.fortinet.com/fsiem/Public_Resource_Access/7_6_0/rules/PH_RULE_RDP_over_Reverse_SSH_Tunnel_WFP.htm</t>
  </si>
  <si>
    <t xml:space="preserve">PH_Rule_SIGMA_85</t>
  </si>
  <si>
    <t xml:space="preserve">Windows: Reconnaissance Activity</t>
  </si>
  <si>
    <t xml:space="preserve">fileAccess="0x2d" AND osObjType IN ("SAM_GROUP","SAM_USER") AND osObjName REGEXP "^S-1-5-21-" AND osObjName REGEXP "-500$|-512$"</t>
  </si>
  <si>
    <t xml:space="preserve">Detects activity as "net user administrator /domain" and "net group domain admins /domain". This rule is adapted from https://github.com/SigmaHQ/sigma/blob/master/rules/windows/builtin/security/win_security_susp_net_recon_activity.yml</t>
  </si>
  <si>
    <t xml:space="preserve">https://filestore.fortinet.com/docs.fortinet.com/fsiem/Public_Resource_Access/7_6_0/rules/PH_RULE_Reconnaissance_Activity.htm</t>
  </si>
  <si>
    <t xml:space="preserve">PH_Rule_windows_SIGMA_3552</t>
  </si>
  <si>
    <t xml:space="preserve">Windows: Registry Modification of MS-settings Protocol Handler</t>
  </si>
  <si>
    <t xml:space="preserve">(((procName REGEXP "\\reg\.exe$" OR srcFileName="reg.exe") AND command REGEXP "add") OR ((procName REGEXP "\\powershell\.exe$|\\pwsh\.exe$" OR srcFileName IN ("powershell.exe","pwsh.dll")) AND command REGEXP "New-ItemProperty|Set-ItemProperty|ni |sp ")) AND command REGEXP "\\ms-settings\\shell\\open\\command"</t>
  </si>
  <si>
    <t xml:space="preserve">Detects registry modifications to the 'ms-settings' protocol handler, which is frequently targeted for UAC bypass or persistence. Attackers can modify this registry to execute malicious code with elevated privileges by hijacking the command execution path. . This rule is adapted from https://github.com/SigmaHQ/sigma/blob/master/rules/windows/process_creation/proc_creation_win_susp_registry_modification_of_ms_setting_protocol_handler.yml</t>
  </si>
  <si>
    <t xml:space="preserve">https://filestore.fortinet.com/docs.fortinet.com/fsiem/Public_Resource_Access/7_6_0/rules/PH_RULE_Registry_Modification_of_MS_settings_Protocol_Handler.htm</t>
  </si>
  <si>
    <t xml:space="preserve">PH_Rule_windows_SIGMA_3488</t>
  </si>
  <si>
    <t xml:space="preserve">Windows: Remote Access Tool - MeshAgent Command Execution via MeshCentral</t>
  </si>
  <si>
    <t xml:space="preserve">parentProcName REGEXP "\\meshagent\.exe$" AND procName REGEXP "\\cmd\.exe$|\\powershell\.exe$|\\pwsh\.exe$"</t>
  </si>
  <si>
    <t xml:space="preserve">Detects the use of MeshAgent to execute commands on the target host, particularly when threat actors might abuse it to execute commands directly. MeshAgent can execute commands on the target host by leveraging win-console to obscure their activities and win-dispatcher to run malicious code through IPC with child processes. . This rule is adapted from https://github.com/SigmaHQ/sigma/blob/master/rules/windows/process_creation/proc_creation_win_remote_access_tools_meshagent_exec.yml</t>
  </si>
  <si>
    <t xml:space="preserve">https://filestore.fortinet.com/docs.fortinet.com/fsiem/Public_Resource_Access/7_6_0/rules/PH_RULE_Remote_Access_Tool_MeshAgent_Command_Execution_via_MeshCentral.htm</t>
  </si>
  <si>
    <t xml:space="preserve">PH_Rule_SIGMA_1841</t>
  </si>
  <si>
    <t xml:space="preserve">Windows: Remote Access Tool Services Have Been Installed - Security</t>
  </si>
  <si>
    <t xml:space="preserve">serviceName REGEXP "AmmyyAdmin|AnyDesk|Atera|BASupportExpressSrvcUpdater|BASupportExpressStandaloneService|GoToAssist|GoToMyPC|LMIGuardianSvc|LogMeIn|Parsec|RManService|RPCPerformanceService|RPCService|SSUService|SplashtopRemoteService|TeamViewer|TightVNC|Zoho|chromoting|jumpcloud|monblanking|vncserver"</t>
  </si>
  <si>
    <t xml:space="preserve">Detects service installation of different remote access tools software. These software are often abused by threat actors to perform. This rule is adapted from https://github.com/SigmaHQ/sigma/blob/master/rules/windows/builtin/security/win_security_service_install_remote_access_software.yml</t>
  </si>
  <si>
    <t xml:space="preserve">https://filestore.fortinet.com/docs.fortinet.com/fsiem/Public_Resource_Access/7_6_0/rules/PH_RULE_Remote_Access_Tool_Services_Have_Been_Installed_Security.htm</t>
  </si>
  <si>
    <t xml:space="preserve">PH_Rule_WinTS_RDP_From_Internet</t>
  </si>
  <si>
    <t xml:space="preserve">Windows: Remote Desktop traffic from Internet</t>
  </si>
  <si>
    <t xml:space="preserve">Windows Security log, Lateral Movement, Identity event group</t>
  </si>
  <si>
    <t xml:space="preserve">T1021.001, T1133, T1219</t>
  </si>
  <si>
    <t xml:space="preserve">Microsoft Windows Terminal Services LocalSessionManager/Operational logs via Windows Collector
Microsoft Windows Security Log via OMI or Windows Collector</t>
  </si>
  <si>
    <t xml:space="preserve">Group@PH_SYS_EVENT_HostLogonFailure
Group@PH_SYS_EVENT_HostLogonSuccess
Win-TerminalServices-Gateway-200
Win-TerminalServices-Gateway-300
Win-TerminalServices-LocalSessionManager-21</t>
  </si>
  <si>
    <t xml:space="preserve">RDP</t>
  </si>
  <si>
    <t xml:space="preserve">srcIpAddr NOT IN (Group@PH_SYS_NETWORK_ENTERPRISE_INTERNAL_NET) AND ((winLogonType = 10))</t>
  </si>
  <si>
    <t xml:space="preserve">Event-type group (membership not published): Group@PH_SYS_EVENT_HostLogonFailure
Event-type group (membership not published): Group@PH_SYS_EVENT_HostLogonSuccess
Other Windows log: TerminalServices</t>
  </si>
  <si>
    <t xml:space="preserve">Windows reported a terminal services logon from the public internet. This is defined as source IP outside the Internal network resource group. Please make sure that the Internal network group definition is correct to avoid false positives.</t>
  </si>
  <si>
    <t xml:space="preserve">https://filestore.fortinet.com/docs.fortinet.com/fsiem/Public_Resource_Access/7_6_0/rules/PH_Rule_WinTS_RDP_From_Internet.htm</t>
  </si>
  <si>
    <t xml:space="preserve">PH_Rule_SIGMA_2297</t>
  </si>
  <si>
    <t xml:space="preserve">Windows: Remote File Download via Desktopimgdownldr Utility</t>
  </si>
  <si>
    <t xml:space="preserve">procName REGEXP "\\desktopimgdownldr\.exe$" AND parentProcName REGEXP "\\desktopimgdownldr\.exe$" AND command REGEXP ".*/lockscreenurl:http.*"</t>
  </si>
  <si>
    <t xml:space="preserve">Detects the desktopimgdownldr utility being used to download a remote file. An adversary may use desktopimgdownldr to download arbitrary files as an alternative to certutil. This rule is adapted from https://github.com/SigmaHQ/sigma/blob/master/rules/windows/process_creation/proc_creation_win_desktopimgdownldr_remote_file_download.yml</t>
  </si>
  <si>
    <t xml:space="preserve">https://filestore.fortinet.com/docs.fortinet.com/fsiem/Public_Resource_Access/7_6_0/rules/PH_RULE_Remote_File_Download_via_Desktopimgdownldr_Utility.htm</t>
  </si>
  <si>
    <t xml:space="preserve">PH_Rule_SIGMA_288</t>
  </si>
  <si>
    <t xml:space="preserve">Windows: Remote PowerShell Sessions</t>
  </si>
  <si>
    <t xml:space="preserve">destIpPort IN (5985,5986) AND permissionLevelID="44"</t>
  </si>
  <si>
    <t xml:space="preserve">destIpPort,hostName,permissionLevelID</t>
  </si>
  <si>
    <t xml:space="preserve">Detects basic PowerShell Remoting (WinRM) by monitoring for network inbound connections to ports 5985 OR 5986. This rule is adapted from https://github.com/SigmaHQ/sigma/blob/master/rules/windows/builtin/security/win_security_remote_powershell_session.yml</t>
  </si>
  <si>
    <t xml:space="preserve">https://filestore.fortinet.com/docs.fortinet.com/fsiem/Public_Resource_Access/7_6_0/rules/PH_RULE_Remote_PowerShell_Sessions.htm</t>
  </si>
  <si>
    <t xml:space="preserve">PH_Rule_SIGMA_300</t>
  </si>
  <si>
    <t xml:space="preserve">Windows: Remote Service Activity via SVCCTL Named Pipe</t>
  </si>
  <si>
    <t xml:space="preserve">fileName="\\\\*\\IPC$" AND targetName="svcctl" AND osObjAccessType REGEXP ".*WriteData.*"</t>
  </si>
  <si>
    <t xml:space="preserve">fileName,hostName,osObjAccessType,targetName</t>
  </si>
  <si>
    <t xml:space="preserve">Detects remote service activity via remote access to the svcctl named pipe. This rule is adapted from https://github.com/SigmaHQ/sigma/blob/master/rules/windows/builtin/security/win_security_svcctl_remote_service.yml</t>
  </si>
  <si>
    <t xml:space="preserve">https://filestore.fortinet.com/docs.fortinet.com/fsiem/Public_Resource_Access/7_6_0/rules/PH_RULE_Remote_Service_Activity_via_SVCCTL_Named_Pipe.htm</t>
  </si>
  <si>
    <t xml:space="preserve">PH_Rule_SIGMA_17</t>
  </si>
  <si>
    <t xml:space="preserve">Windows: Remote Task Creation via ATSVC Named Pipe</t>
  </si>
  <si>
    <t xml:space="preserve">fileName="\\\\*\\IPC$" AND targetName="atsvc" AND osObjAccessType REGEXP ".*WriteData.*"</t>
  </si>
  <si>
    <t xml:space="preserve">Detects remote task creation via at.exe or API interacting with ATSVC namedpipe. This rule is adapted from https://github.com/SigmaHQ/sigma/blob/master/rules/windows/builtin/security/win_security_atsvc_task.yml</t>
  </si>
  <si>
    <t xml:space="preserve">https://filestore.fortinet.com/docs.fortinet.com/fsiem/Public_Resource_Access/7_6_0/rules/PH_RULE_Remote_Task_Creation_via_ATSVC_Named_Pipe.htm</t>
  </si>
  <si>
    <t xml:space="preserve">PH_Rule_windows_SIGMA_3250</t>
  </si>
  <si>
    <t xml:space="preserve">Windows: Remove Account From Domain Admin Group</t>
  </si>
  <si>
    <t xml:space="preserve">script REGEXP "Remove-ADGroupMember" AND script REGEXP "-Identity " AND script REGEXP "-Members "</t>
  </si>
  <si>
    <t xml:space="preserve">Adversaries may interrupt availability of system and network resources by inhibiting access to accounts utilized by legitimate users. Accounts may be deleted, locked, or manipulated (ex: changed credentials) to remove access to accounts. . This rule is adapted from https://github.com/SigmaHQ/sigma/blob/master/rules/windows/powershell/powershell_script/posh_ps_susp_remove_adgroupmember.yml</t>
  </si>
  <si>
    <t xml:space="preserve">https://filestore.fortinet.com/docs.fortinet.com/fsiem/Public_Resource_Access/7_6_0/rules/PH_RULE_Remove_Account_From_Domain_Admin_Group.htm</t>
  </si>
  <si>
    <t xml:space="preserve">PH_Rule_SIGMA_592</t>
  </si>
  <si>
    <t xml:space="preserve">Windows: Renamed ZOHO Dctask64 Execution</t>
  </si>
  <si>
    <t xml:space="preserve">T1202</t>
  </si>
  <si>
    <t xml:space="preserve">hashIMP IN ("1BB6F93B129F398C7C4A76BB97450BBA","6834B1B94E49701D77CCB3C0895E1AFD","F1039CED4B91572AB7847D26032E6BBF","FAA2AC19875FADE461C8D89DCF2710A3") AND procName NOT REGEXP "\\dctask64\.exe$"</t>
  </si>
  <si>
    <t xml:space="preserve">Detects a renamed "dctask64.exe" execution, a signed binary by ZOHO Corporation part of ManageEngine Endpoint Central. This binary can be abused for DLL injection, arbitrary command and process execution. . This rule is adapted from https://github.com/SigmaHQ/sigma/blob/master/rules/windows/process_creation/proc_creation_win_renamed_dctask64.yml</t>
  </si>
  <si>
    <t xml:space="preserve">https://filestore.fortinet.com/docs.fortinet.com/fsiem/Public_Resource_Access/7_6_0/rules/PH_RULE_Renamed_ZOHO_Dctask64.htm</t>
  </si>
  <si>
    <t xml:space="preserve">PH_Rule_SIGMA_1840</t>
  </si>
  <si>
    <t xml:space="preserve">Windows: Replay Attack Detected</t>
  </si>
  <si>
    <t xml:space="preserve">Win-Security-4649</t>
  </si>
  <si>
    <t xml:space="preserve">Windows Security log: Security 4649</t>
  </si>
  <si>
    <t xml:space="preserve">Detects possible Kerberos Replay Attack on the domain controllers when "KRB_AP_ERR_REPEAT" Kerberos response is sent to the client. This rule is adapted from https://github.com/SigmaHQ/sigma/blob/master/rules/windows/builtin/security/win_security_replay_attack_detected.yml</t>
  </si>
  <si>
    <t xml:space="preserve">https://filestore.fortinet.com/docs.fortinet.com/fsiem/Public_Resource_Access/7_6_0/rules/PH_RULE_Replay_Attack_Detected.htm</t>
  </si>
  <si>
    <t xml:space="preserve">PH_Rule_SIGMA_89</t>
  </si>
  <si>
    <t xml:space="preserve">Windows: RottenPotato Like Attack Pattern</t>
  </si>
  <si>
    <t xml:space="preserve">winLogonType=3 AND user="ANONYMOUS LOGON" AND srcName="-" AND srcIpAddr IN (127.0.0.1,::1)</t>
  </si>
  <si>
    <t xml:space="preserve">computer, hostName, srcIpAddr, srcGeoCountry, user, winLogonType</t>
  </si>
  <si>
    <t xml:space="preserve">Detects logon events that have characteristics of events generated during an attack with RottenPotato and the like. This rule is adapted from https://github.com/SigmaHQ/sigma/blob/master/rules/windows/builtin/security/account_management/win_security_susp_rottenpotato.yml</t>
  </si>
  <si>
    <t xml:space="preserve">https://filestore.fortinet.com/docs.fortinet.com/fsiem/Public_Resource_Access/7_6_0/rules/PH_RULE_RottenPotato_Like_Attack_Pattern.htm</t>
  </si>
  <si>
    <t xml:space="preserve">PH_Rule_SIGMA_291</t>
  </si>
  <si>
    <t xml:space="preserve">Windows: SCM Database Handle Failure</t>
  </si>
  <si>
    <t xml:space="preserve">T1010</t>
  </si>
  <si>
    <t xml:space="preserve">(osObjType="SC_MANAGER OBJECT" AND osObjName="ServicesActive" AND fileAccess="0xf003f") AND (winLogonId!="0x3e4")</t>
  </si>
  <si>
    <t xml:space="preserve">fileAccess,hostName,osObjName,osObjType,winLogonId</t>
  </si>
  <si>
    <t xml:space="preserve">Detects non-system users failing to get a handle of the SCM database. This rule is adapted from https://github.com/SigmaHQ/sigma/blob/master/rules/windows/builtin/security/win_security_scm_database_handle_failure.yml</t>
  </si>
  <si>
    <t xml:space="preserve">https://filestore.fortinet.com/docs.fortinet.com/fsiem/Public_Resource_Access/7_6_0/rules/PH_RULE_SCM_Database_Handle_Failure.htm</t>
  </si>
  <si>
    <t xml:space="preserve">PH_Rule_SIGMA_292</t>
  </si>
  <si>
    <t xml:space="preserve">Windows: SCM Database Privileged Operation</t>
  </si>
  <si>
    <t xml:space="preserve">Win-Security-4674</t>
  </si>
  <si>
    <t xml:space="preserve">(osObjType="SC_MANAGER OBJECT" AND osObjName="servicesactive" AND privName="SeTakeOwnershipPrivilege") AND (winLogonId!="0x3e4" OR procName NOT REGEXP ":\\Windows\\System32\\services\.exe$")</t>
  </si>
  <si>
    <t xml:space="preserve">hostName,osObjName,osObjType,privName,procName,winLogonId</t>
  </si>
  <si>
    <t xml:space="preserve">Windows Security log: Security 4674</t>
  </si>
  <si>
    <t xml:space="preserve">Detects non-system users performing privileged operation os the SCM database. This rule is adapted from https://github.com/SigmaHQ/sigma/blob/master/rules/windows/builtin/security/win_security_scm_database_privileged_operation.yml</t>
  </si>
  <si>
    <t xml:space="preserve">https://filestore.fortinet.com/docs.fortinet.com/fsiem/Public_Resource_Access/7_6_0/rules/PH_RULE_SCM_Database_Privileged_Operation.htm</t>
  </si>
  <si>
    <t xml:space="preserve">PH_Rule_SIGMA_1513</t>
  </si>
  <si>
    <t xml:space="preserve">Windows: Sdclt Child Processes</t>
  </si>
  <si>
    <t xml:space="preserve">parentProcName REGEXP "\\sdclt\.exe$"</t>
  </si>
  <si>
    <t xml:space="preserve">A General detection for sdclt spawning new processes. This could be an indicator of sdclt being used for bypass UAC techniques. This rule is adapted from https://github.com/SigmaHQ/sigma/blob/master/rules/windows/process_creation/proc_creation_win_sdclt_child_process.yml</t>
  </si>
  <si>
    <t xml:space="preserve">https://filestore.fortinet.com/docs.fortinet.com/fsiem/Public_Resource_Access/7_6_0/rules/PH_RULE_Sdclt_Child_Processes.htm</t>
  </si>
  <si>
    <t xml:space="preserve">PH_Rule_windows_SIGMA_3444</t>
  </si>
  <si>
    <t xml:space="preserve">Windows: Sensitive File Dump Via Print.EXE</t>
  </si>
  <si>
    <t xml:space="preserve">(procName REGEXP "\\print\.exe$" OR srcFileName="Print.EXE") AND (command REGEXP "-D" OR command REGEXP "/D") AND command REGEXP "\\config\\SAM|\\config\\SECURITY|\\config\\SYSTEM|\\windows\\ntds\\ntds\.dit"</t>
  </si>
  <si>
    <t xml:space="preserve">Detects the abuse of the Print.exe utility for credential harvesting which involves using Print.Exe to copy sensitive files such as ntds.dit, SAM, SECURITY, or SYSTEM from the Windows directory in order to extract credentials, locally or remotely. . This rule is adapted from https://github.com/SigmaHQ/sigma/blob/master/rules/windows/process_creation/proc_creation_win_print_dump_sensitive_files.yml</t>
  </si>
  <si>
    <t xml:space="preserve">https://filestore.fortinet.com/docs.fortinet.com/fsiem/Public_Resource_Access/7_6_0/rules/PH_RULE_Sensitive_File_Dump_Via_Print_EXE.htm</t>
  </si>
  <si>
    <t xml:space="preserve">PH_Rule_windows_SIGMA_3581</t>
  </si>
  <si>
    <t xml:space="preserve">Windows: Sensitive File Dump Via Wbadmin.EXE</t>
  </si>
  <si>
    <t xml:space="preserve">(procName REGEXP "\\wbadmin\.exe$" OR srcFileName="WBADMIN.EXE") AND command REGEXP "backup|start" AND command REGEXP "\\Windows\\NTDS\\NTDS\.dit|\\config\\SAM|\\config\\SECURITY|\\config\\SYSTEM"</t>
  </si>
  <si>
    <t xml:space="preserve">Detects the dump of highly sensitive files such as "NTDS.DIT" and "SECURITY" hive. Attackers can leverage the "wbadmin" utility in order to dump sensitive files that might contain credential or sensitive information. . This rule is adapted from https://github.com/SigmaHQ/sigma/blob/master/rules/windows/process_creation/proc_creation_win_wbadmin_dump_sensitive_files.yml</t>
  </si>
  <si>
    <t xml:space="preserve">https://filestore.fortinet.com/docs.fortinet.com/fsiem/Public_Resource_Access/7_6_0/rules/PH_RULE_Sensitive_File_Dump_Via_Wbadmin_EXE.htm</t>
  </si>
  <si>
    <t xml:space="preserve">PH_Rule_windows_SIGMA_3583</t>
  </si>
  <si>
    <t xml:space="preserve">Windows: Sensitive File Recovery From Backup Via Wbadmin.EXE</t>
  </si>
  <si>
    <t xml:space="preserve">(procName REGEXP "\\wbadmin\.exe$" OR srcFileName="WBADMIN.EXE") AND command REGEXP " recovery" AND command REGEXP "recoveryTarget" AND command REGEXP "itemtype:File" AND command REGEXP "\\Windows\\NTDS\\NTDS\.dit|\\config\\SAM|\\config\\SECURITY|\\config\\SYSTEM"</t>
  </si>
  <si>
    <t xml:space="preserve">Detects the dump of highly sensitive files such as "NTDS.DIT" and "SECURITY" hive. Attackers can leverage the "wbadmin" utility in order to dump sensitive files that might contain credential or sensitive information. . This rule is adapted from https://github.com/SigmaHQ/sigma/blob/master/rules/windows/process_creation/proc_creation_win_wbadmin_restore_sensitive_files.yml</t>
  </si>
  <si>
    <t xml:space="preserve">https://filestore.fortinet.com/docs.fortinet.com/fsiem/Public_Resource_Access/7_6_0/rules/PH_RULE_Sensitive_File_Recovery_From_Backup_Via_Wbadmin_EXE.htm</t>
  </si>
  <si>
    <t xml:space="preserve">PH_Rule_SIGMA_1842</t>
  </si>
  <si>
    <t xml:space="preserve">Windows: Service Installed By Unusual Client - Security</t>
  </si>
  <si>
    <t xml:space="preserve">(procId = "0" OR parentProcId = "0")</t>
  </si>
  <si>
    <t xml:space="preserve">hostName,parentProcId,procId</t>
  </si>
  <si>
    <t xml:space="preserve">Detects a service installed by a client which has PID 0 or whose parent has PID 0. This rule is adapted from https://github.com/SigmaHQ/sigma/blob/master/rules/windows/builtin/security/win_security_service_installation_by_unusal_client.yml</t>
  </si>
  <si>
    <t xml:space="preserve">https://filestore.fortinet.com/docs.fortinet.com/fsiem/Public_Resource_Access/7_6_0/rules/PH_RULE_Service_Installed_By_Unusual_Client_Security.htm</t>
  </si>
  <si>
    <t xml:space="preserve">PH_Rule_windows_SIGMA_2836</t>
  </si>
  <si>
    <t xml:space="preserve">Windows: Service Registry Key Read Access Request</t>
  </si>
  <si>
    <t xml:space="preserve">T1574.011</t>
  </si>
  <si>
    <t xml:space="preserve">osObjName REGEXP "\\SYSTEM\\" AND osObjName REGEXP "ControlSet\\Services\\" AND osObjAccessType REGEXP "%%1538"</t>
  </si>
  <si>
    <t xml:space="preserve">hostName,osObjAccessType,osObjName</t>
  </si>
  <si>
    <t xml:space="preserve">Detects "read access" requests on the services registry key. Adversaries may execute their own malicious payloads by hijacking the Registry entries used by services. Adversaries may use flaws in the permissions for Registry keys related to services to redirect from the originally specified executable to one that they control, in order to launch their own code when a service starts. . This rule is adapted from https://github.com/SigmaHQ/sigma/blob/master/rules/windows/builtin/security/win_security_registry_permissions_weakness_check.yml</t>
  </si>
  <si>
    <t xml:space="preserve">https://filestore.fortinet.com/docs.fortinet.com/fsiem/Public_Resource_Access/7_6_0/rules/PH_RULE_Service_Registry_Key_Read_Access_Request.htm</t>
  </si>
  <si>
    <t xml:space="preserve">PH_Rule_SIGMA_811</t>
  </si>
  <si>
    <t xml:space="preserve">Windows: Shell Open Registry Keys Manipulation</t>
  </si>
  <si>
    <t xml:space="preserve">(((osObjAction="SetValue" AND regKeyPath REGEXP "Classes\\ms-settings\\shell\\open\\command\\SymbolicLinkValue$" AND details REGEXP ".*\\Software\\Classes\\\{.*") OR regKeyPath REGEXP "Classes\\ms-settings\\shell\\open\\command\\DelegateExecute$") OR ((osObjAction="SetValue" AND regKeyPath REGEXP "Classes\\exefile\\shell\\open\\command\\\(Default\)$|Classes\\ms-settings\\shell\\open\\command\\\(Default\)$") AND (details!="(Empty)")))</t>
  </si>
  <si>
    <t xml:space="preserve">details,hostName,osObjAction,regKeyPath</t>
  </si>
  <si>
    <t xml:space="preserve">Detects the shell open key manipulation (exefile and ms-settings) used for persistence and the pattern of UAC Bypass using fodhelper.exe, computerdefaults.exe, slui.exe via registry keys (e.g. UACMe 33 or 62). This rule is adapted from https://github.com/SigmaHQ/sigma/blob/master/rules/windows/registry/registry_event/registry_event_shell_open_keys_manipulation.yml</t>
  </si>
  <si>
    <t xml:space="preserve">https://filestore.fortinet.com/docs.fortinet.com/fsiem/Public_Resource_Access/7_6_0/rules/PH_RULE_Shell_Open_Registry_Keys_Manipulation.htm</t>
  </si>
  <si>
    <t xml:space="preserve">PH_Rule_SIGMA_1205</t>
  </si>
  <si>
    <t xml:space="preserve">Windows: SMB Create Remote File Admin Share</t>
  </si>
  <si>
    <t xml:space="preserve">fileName REGEXP "C\$$" AND fileAccess="0x2" AND user NOT REGEXP "\$$" AND srcIpAddr != ::1</t>
  </si>
  <si>
    <t xml:space="preserve">fileAccess,fileName,hostName,srcIpAddr,user</t>
  </si>
  <si>
    <t xml:space="preserve">Look for non-system accounts SMB accessing a file with write (0x2) access mask via administrative share (i.e C$).. This rule is adapted from https://github.com/SigmaHQ/sigma/blob/master/rules/windows/builtin/security/win_security_smb_file_creation_admin_shares.yml</t>
  </si>
  <si>
    <t xml:space="preserve">https://filestore.fortinet.com/docs.fortinet.com/fsiem/Public_Resource_Access/7_6_0/rules/PH_RULE_SMB_Create_Remote_File_Admin_Share.htm</t>
  </si>
  <si>
    <t xml:space="preserve">PH_Rule_SIGMA_1826</t>
  </si>
  <si>
    <t xml:space="preserve">Windows: Standard User In High Privileged Group</t>
  </si>
  <si>
    <t xml:space="preserve">REGEXP:Win-.*-300[^\d]*</t>
  </si>
  <si>
    <t xml:space="preserve">(userId REGEXP "^S-1-5-21-" AND userId REGEXP ".*-500\}.*|.*-518\}.*|.*-519\}.*|.*S-1-5-32-544.*") AND (userId NOT REGEXP "-500$|-518$|-519$")</t>
  </si>
  <si>
    <t xml:space="preserve">hostName,userId</t>
  </si>
  <si>
    <t xml:space="preserve">Detect standard users login that are part of high privileged groups such as the Administrator group. This rule is adapted from https://github.com/SigmaHQ/sigma/blob/master/rules/windows/builtin/lsa_server/win_lsa_server_normal_user_admin.yml</t>
  </si>
  <si>
    <t xml:space="preserve">https://filestore.fortinet.com/docs.fortinet.com/fsiem/Public_Resource_Access/7_6_0/rules/PH_RULE_Standard_User_In_High_Privileged_Group.htm</t>
  </si>
  <si>
    <t xml:space="preserve">PH_Rule_windows_SIGMA_2841</t>
  </si>
  <si>
    <t xml:space="preserve">Windows: Startup/Logon Script Added to Group Policy Object</t>
  </si>
  <si>
    <t xml:space="preserve">((propName IN ("gPCMachineExtensionNames","gPCUserExtensionNames") AND propValue REGEXP "42B5FAAE-6536-11D2-AE5A-0000F87571E3" AND propValue REGEXP "40B6664F-4972-11D1-A7CA-0000F87571E3|40B66650-4972-11D1-A7CA-0000F87571E3") OR (fileName REGEXP "\\SYSVOL$" AND targetName REGEXP "\\psscripts\.ini$|\\scripts\.ini$" AND osObjAccessType REGEXP "%%4417"))</t>
  </si>
  <si>
    <t xml:space="preserve">Detects the modification of Group Policy Objects (GPO) to add a startup/logon script to users or computer objects. . This rule is adapted from https://github.com/SigmaHQ/sigma/blob/master/rules/windows/builtin/security/win_security_susp_group_policy_startup_script_added_to_gpo.yml</t>
  </si>
  <si>
    <t xml:space="preserve">https://filestore.fortinet.com/docs.fortinet.com/fsiem/Public_Resource_Access/7_6_0/rules/PH_RULE_Startup_Logon_Script_Added_to_Group_Policy_Object.htm</t>
  </si>
  <si>
    <t xml:space="preserve">PH_Rule_SIGMA_87</t>
  </si>
  <si>
    <t xml:space="preserve">Windows: Suspicious Access to Sensitive File Extensions</t>
  </si>
  <si>
    <t xml:space="preserve">T1039</t>
  </si>
  <si>
    <t xml:space="preserve">targetName REGEXP "\.bak$|\.dmp$|\.edb$|\.kirbi$|\.msg$|\.nsf$|\.nst$|\.oab$|\.ost$|\.pst$|\.rdp$"</t>
  </si>
  <si>
    <t xml:space="preserve">Detects known sensitive file extensions accessed on a network share. This rule is adapted from https://github.com/SigmaHQ/sigma/blob/master/rules/windows/builtin/security/win_security_susp_raccess_sensitive_fext.yml</t>
  </si>
  <si>
    <t xml:space="preserve">https://filestore.fortinet.com/docs.fortinet.com/fsiem/Public_Resource_Access/7_6_0/rules/PH_RULE_Suspicious_Access_to_Sensitive_File_Extensions.htm</t>
  </si>
  <si>
    <t xml:space="preserve">PH_Rule_windows_SIGMA_3119</t>
  </si>
  <si>
    <t xml:space="preserve">Windows: Suspicious Computer Machine Password by PowerShell</t>
  </si>
  <si>
    <t xml:space="preserve">requestContext REGEXP "Reset-ComputerMachinePassword"</t>
  </si>
  <si>
    <t xml:space="preserve">The Reset-ComputerMachinePassword cmdlet changes the computer account password that the computers use to authenticate to the domain controllers in the domain. You can use it to reset the password of the local computer. . This rule is adapted from https://github.com/SigmaHQ/sigma/blob/master/rules/windows/powershell/powershell_module/posh_pm_susp_reset_computermachinepassword.yml</t>
  </si>
  <si>
    <t xml:space="preserve">https://filestore.fortinet.com/docs.fortinet.com/fsiem/Public_Resource_Access/7_6_0/rules/PH_RULE_Suspicious_Computer_Machine_Password_by_PowerShell.htm</t>
  </si>
  <si>
    <t xml:space="preserve">PH_Rule_SIGMA_534</t>
  </si>
  <si>
    <t xml:space="preserve">Windows: Suspicious Copy From or To System Directory</t>
  </si>
  <si>
    <t xml:space="preserve">((procName REGEXP "\\cmd\.exe$" AND command REGEXP "copy ") OR (procName REGEXP "\\powershell\.exe$|\\pwsh\.exe$" AND command REGEXP " copy | cp |copy-item|cpi ") OR procName REGEXP "\\robocopy\.exe$|\\xcopy\.exe$" OR srcFileName IN ("XCOPY.EXE","robocopy.exe")) AND command REGEXP "\s['\"]?C:\\Windows\\(?:System32|SysWOW64|WinSxS)" AND (procName NOT REGEXP "\\cmd\.exe$" OR command NOT REGEXP "/c copy" OR command NOT REGEXP "\\Temp\\" OR command NOT REGEXP "\\avira_system_speedup\.exe" OR command NOT REGEXP "C:\\Program Files \(x86\)\\Avira\\|C:\\Program Files\\Avira\\")</t>
  </si>
  <si>
    <t xml:space="preserve">Detects a suspicious copy operation that tries to copy a program from system (System32, SysWOW64, WinSxS) directories to another on disk. Often used to move LOLBINs such as 'certutil' or 'desktopimgdownldr' to a different location with a different name in order to bypass detections based on locations. . This rule is adapted from https://github.com/SigmaHQ/sigma/blob/master/rules/windows/process_creation/proc_creation_win_susp_copy_system_dir.yml</t>
  </si>
  <si>
    <t xml:space="preserve">https://filestore.fortinet.com/docs.fortinet.com/fsiem/Public_Resource_Access/7_6_0/rules/PH_RULE_Suspicious_Copy_From_or_To_System32.htm</t>
  </si>
  <si>
    <t xml:space="preserve">PH_Rule_windows_SIGMA_2915</t>
  </si>
  <si>
    <t xml:space="preserve">Windows: Suspicious DNS Query Indicating Kerberos Coercion via DNS Object SPN Spoofing</t>
  </si>
  <si>
    <t xml:space="preserve">queryId REGEXP "UWhRCA" AND queryId REGEXP "BAAAA"</t>
  </si>
  <si>
    <t xml:space="preserve">hostName,queryId</t>
  </si>
  <si>
    <t xml:space="preserve">Detects DNS queries containing patterns associated with Kerberos coercion attacks via DNS object spoofing. The pattern "1UWhRCAAAAA..BAAAA" is a base64-encoded signature that corresponds to a marshaled CREDENTIAL_TARGET_INFORMATION structure. Attackers can use this technique to coerce authentication from victim systems to attacker-controlled hosts. It is one of the strong indicators of a Kerberos coercion attack, where adversaries manipulate DNS records to spoof Service Principal Names (SPNs) and redirect authentication requests like CVE-2025-33073. . This rule is adapted from https://github.com/SigmaHQ/sigma/blob/master/rules/windows/dns_query/dns_query_win_kerberos_coercion_via_dns_object_spoofing.yml</t>
  </si>
  <si>
    <t xml:space="preserve">https://filestore.fortinet.com/docs.fortinet.com/fsiem/Public_Resource_Access/7_6_0/rules/PH_RULE_Suspicious_DNS_Query_Indicating_Kerberos_Coercion_via_DNS_Object_SPN_Spoofing.htm</t>
  </si>
  <si>
    <t xml:space="preserve">PH_Rule_SIGMA_2274</t>
  </si>
  <si>
    <t xml:space="preserve">Windows: Suspicious Download Via Certutil.EXE</t>
  </si>
  <si>
    <t xml:space="preserve">(procName REGEXP "\\certutil\.exe$" OR srcFileName="CertUtil.exe") AND command REGEXP "URL |urlcache |verifyctl " AND command REGEXP "http"</t>
  </si>
  <si>
    <t xml:space="preserve">Detects the execution of certutil with certain flags that allow the utility to download files.. This rule is adapted from https://github.com/SigmaHQ/sigma/blob/master/rules/windows/process_creation/proc_creation_win_certutil_download.yml</t>
  </si>
  <si>
    <t xml:space="preserve">https://filestore.fortinet.com/docs.fortinet.com/fsiem/Public_Resource_Access/7_6_0/rules/PH_RULE_Suspicious_Download_Via_Certutil_EXE.htm</t>
  </si>
  <si>
    <t xml:space="preserve">PH_Rule_SIGMA_1530</t>
  </si>
  <si>
    <t xml:space="preserve">Windows: Suspicious Execution of Adidnsdump</t>
  </si>
  <si>
    <t xml:space="preserve">procName REGEXP "\\python\.exe$" AND command REGEXP ".*adidnsdump.*"</t>
  </si>
  <si>
    <t xml:space="preserve">This tool enables enumeration and exporting of all DNS records in the zone for recon purposes of internal networks Python 3 and python.exe must be installed, Usee to Query/modify DNS records for Active Directory integrated DNS via LDAP . This rule is adapted from https://github.com/SigmaHQ/sigma/blob/master/rules/windows/process_creation/proc_creation_win_python_adidnsdump.yml</t>
  </si>
  <si>
    <t xml:space="preserve">https://filestore.fortinet.com/docs.fortinet.com/fsiem/Public_Resource_Access/7_6_0/rules/PH_RULE_Suspicious_Execution_of_Adidnsdump.htm</t>
  </si>
  <si>
    <t xml:space="preserve">PH_Rule_SIGMA_2275</t>
  </si>
  <si>
    <t xml:space="preserve">Windows: Suspicious File Downloaded From Direct IP Via Certutil.EXE</t>
  </si>
  <si>
    <t xml:space="preserve">(procName REGEXP "\\certutil\.exe$" OR srcFileName="CertUtil.exe") AND command REGEXP "URL |urlcache |verifyctl " AND command REGEXP "://1|://2|://3|://4|://5|://6|://7|://8|://9" AND command NOT REGEXP "://7-"</t>
  </si>
  <si>
    <t xml:space="preserve">Detects the execution of certutil with certain flags that allow the utility to download files from direct IPs.. This rule is adapted from https://github.com/SigmaHQ/sigma/blob/master/rules/windows/process_creation/proc_creation_win_certutil_download_direct_ip.yml</t>
  </si>
  <si>
    <t xml:space="preserve">https://filestore.fortinet.com/docs.fortinet.com/fsiem/Public_Resource_Access/7_6_0/rules/PH_RULE_Suspicious_File_Downloaded_From_Direct_IP_Via_Certutil_EXE.htm</t>
  </si>
  <si>
    <t xml:space="preserve">PH_Rule_SIGMA_2276</t>
  </si>
  <si>
    <t xml:space="preserve">Windows: Suspicious File Downloaded From File-Sharing Website Via Certutil.EXE</t>
  </si>
  <si>
    <t xml:space="preserve">(procName REGEXP "\\certutil\.exe$" OR srcFileName="CertUtil.exe") AND command REGEXP "URL |urlcache |verifyctl " AND command REGEXP "\.githubusercontent\.com|anonfiles\.com|cdn\.discordapp\.com|ddns\.net|dl\.dropboxusercontent\.com|ghostbin\.co|github\.com|glitch\.me|gofile\.io|hastebin\.com|mediafire\.com|mega\.nz|onrender\.com|pages\.dev|paste\.ee|pastebin\.com|pastebin\.pl|pastetext\.net|privatlab\.com|privatlab\.net|send\.exploit\.in|sendspace\.com|storage\.googleapis\.com|storjshare\.io|supabase\.co|temp\.sh|transfer\.sh|trycloudflare\.com|ufile\.io|w3spaces\.com|workers\.dev"</t>
  </si>
  <si>
    <t xml:space="preserve">Detects the execution of certutil with certain flags that allow the utility to download files from file-sharing websites.. This rule is adapted from https://github.com/SigmaHQ/sigma/blob/master/rules/windows/process_creation/proc_creation_win_certutil_download_file_sharing_domains.yml</t>
  </si>
  <si>
    <t xml:space="preserve">https://filestore.fortinet.com/docs.fortinet.com/fsiem/Public_Resource_Access/7_6_0/rules/PH_RULE_Suspicious_File_Downloaded_From_File_Sharing_Website_Via_Certutil_EXE.htm</t>
  </si>
  <si>
    <t xml:space="preserve">PH_Rule_windows_SIGMA_3318</t>
  </si>
  <si>
    <t xml:space="preserve">Windows: Suspicious File Encoded To Base64 Via Certutil.EXE</t>
  </si>
  <si>
    <t xml:space="preserve">(procName REGEXP "\\certutil\.exe$" OR srcFileName="CertUtil.exe") AND (command REGEXP "-encode" OR command REGEXP "/encode") AND command REGEXP "\.acl|\.bat|\.doc|\.gif|\.jpeg|\.jpg|\.mp3|\.pdf|\.png|\.ppt|\.tmp|\.xls|\.xml"</t>
  </si>
  <si>
    <t xml:space="preserve">Detects the execution of certutil with the "encode" flag to encode a file to base64 where the extensions of the file is suspicious. This rule is adapted from https://github.com/SigmaHQ/sigma/blob/master/rules/windows/process_creation/proc_creation_win_certutil_encode_susp_extensions.yml</t>
  </si>
  <si>
    <t xml:space="preserve">https://filestore.fortinet.com/docs.fortinet.com/fsiem/Public_Resource_Access/7_6_0/rules/PH_RULE_Suspicious_File_Encoded_To_Base64_Via_Certutil_EXE.htm</t>
  </si>
  <si>
    <t xml:space="preserve">PH_Rule_SIGMA_849</t>
  </si>
  <si>
    <t xml:space="preserve">Windows: Suspicious Files in Default GPO Folder</t>
  </si>
  <si>
    <t xml:space="preserve">T1036.005</t>
  </si>
  <si>
    <t xml:space="preserve">fileName REGEXP ".*\\Policies\\\{31B2F340-016D-11D2-945F-00C04FB984F9\}\\.*" AND fileName REGEXP "\.dll$|\.exe$"</t>
  </si>
  <si>
    <t xml:space="preserve">Detects the creation of copy of suspicious files (EXE/DLL) to the default GPO storage folder. This rule is adapted from https://github.com/SigmaHQ/sigma/blob/master/rules/windows/file/file_event/file_event_win_susp_default_gpo_dir_write.yml</t>
  </si>
  <si>
    <t xml:space="preserve">https://filestore.fortinet.com/docs.fortinet.com/fsiem/Public_Resource_Access/7_6_0/rules/PH_RULE_Suspicious_Files_in_Default_GPO_Folder.htm</t>
  </si>
  <si>
    <t xml:space="preserve">PH_Rule_windows_SIGMA_3096</t>
  </si>
  <si>
    <t xml:space="preserve">Windows: Suspicious Get-ADDBAccount Usage</t>
  </si>
  <si>
    <t xml:space="preserve">lineContent REGEXP "Get-ADDBAccount" AND lineContent REGEXP "BootKey " AND lineContent REGEXP "DatabasePath "</t>
  </si>
  <si>
    <t xml:space="preserve">Detects suspicious invocation of the Get-ADDBAccount script that reads from a ntds.dit file and may be used to get access to credentials without using any credential dumpers. This rule is adapted from https://github.com/SigmaHQ/sigma/blob/master/rules/windows/powershell/powershell_module/posh_pm_get_addbaccount.yml</t>
  </si>
  <si>
    <t xml:space="preserve">https://filestore.fortinet.com/docs.fortinet.com/fsiem/Public_Resource_Access/7_6_0/rules/PH_RULE_Suspicious_Get_ADDBAccount_Usage.htm</t>
  </si>
  <si>
    <t xml:space="preserve">PH_Rule_windows_SIGMA_3163</t>
  </si>
  <si>
    <t xml:space="preserve">Windows: Suspicious Get-ADReplAccount</t>
  </si>
  <si>
    <t xml:space="preserve">Entra ID, Active Directory, Credential Access</t>
  </si>
  <si>
    <t xml:space="preserve">script REGEXP "Get-ADReplAccount" AND script REGEXP "-All " AND script REGEXP "-Server "</t>
  </si>
  <si>
    <t xml:space="preserve">The DSInternals PowerShell Module exposes several internal features of Active Directory and Azure Active Directory. These include FIDO2 and NGC key auditing, offline ntds.dit file manipulation, password auditing, DC recovery from IFM backups and password hash calculation. . This rule is adapted from https://github.com/SigmaHQ/sigma/blob/master/rules/windows/powershell/powershell_script/posh_ps_get_adreplaccount.yml</t>
  </si>
  <si>
    <t xml:space="preserve">https://filestore.fortinet.com/docs.fortinet.com/fsiem/Public_Resource_Access/7_6_0/rules/PH_RULE_Suspicious_Get_ADReplAccount.htm</t>
  </si>
  <si>
    <t xml:space="preserve">PH_Rule_windows_SIGMA_3231</t>
  </si>
  <si>
    <t xml:space="preserve">Windows: Suspicious GPO Discovery With Get-GPO</t>
  </si>
  <si>
    <t xml:space="preserve">script REGEXP "Get-GPO"</t>
  </si>
  <si>
    <t xml:space="preserve">Detect use of Get-GPO to get one GPO or all the GPOs in a domain.. This rule is adapted from https://github.com/SigmaHQ/sigma/blob/master/rules/windows/powershell/powershell_script/posh_ps_susp_get_gpo.yml</t>
  </si>
  <si>
    <t xml:space="preserve">https://filestore.fortinet.com/docs.fortinet.com/fsiem/Public_Resource_Access/7_6_0/rules/PH_RULE_Suspicious_GPO_Discovery_With_Get_GPO.htm</t>
  </si>
  <si>
    <t xml:space="preserve">PH_Rule_windows_SIGMA_3437</t>
  </si>
  <si>
    <t xml:space="preserve">Windows: Suspicious Kerberos Ticket Request via CLI</t>
  </si>
  <si>
    <t xml:space="preserve">(procName REGEXP "\\powershell\.exe$|\\pwsh\.exe$" OR srcFileName IN ("powershell.exe","pwsh.dll")) AND command REGEXP "System\.IdentityModel\.Tokens\.KerberosRequestorSecurityToken" AND command REGEXP "\.GetRequest\(\)"</t>
  </si>
  <si>
    <t xml:space="preserve">Detects suspicious Kerberos ticket requests via command line using System.IdentityModel.Tokens.KerberosRequestorSecurityToken class. Threat actors may use command line interfaces to request Kerberos tickets for service accounts in order to perform offline password cracking attacks commonly known as Kerberoasting or other Kerberos ticket abuse techniques like silver ticket attacks. . This rule is adapted from https://github.com/SigmaHQ/sigma/blob/master/rules/windows/process_creation/proc_creation_win_powershell_kerberos_kerberos_ticket_request_via_cli.yml</t>
  </si>
  <si>
    <t xml:space="preserve">https://filestore.fortinet.com/docs.fortinet.com/fsiem/Public_Resource_Access/7_6_0/rules/PH_RULE_Suspicious_Kerberos_Ticket_Request_via_CLI.htm</t>
  </si>
  <si>
    <t xml:space="preserve">PH_Rule_windows_SIGMA_3207</t>
  </si>
  <si>
    <t xml:space="preserve">Windows: Suspicious Kerberos Ticket Request via PowerShell Script - ScriptBlock</t>
  </si>
  <si>
    <t xml:space="preserve">script REGEXP "System\.IdentityModel\.Tokens\.KerberosRequestorSecurityToken" AND script REGEXP "\.GetRequest\(\)"</t>
  </si>
  <si>
    <t xml:space="preserve">Detects PowerShell scripts that utilize native PowerShell Identity modules to request Kerberos tickets. This behavior is typically seen during a Kerberos or silver ticket attack. A successful execution will output the SPNs for the endpoint in question. . This rule is adapted from https://github.com/SigmaHQ/sigma/blob/master/rules/windows/powershell/powershell_script/posh_ps_request_kerberos_ticket.yml</t>
  </si>
  <si>
    <t xml:space="preserve">https://filestore.fortinet.com/docs.fortinet.com/fsiem/Public_Resource_Access/7_6_0/rules/PH_RULE_Suspicious_Kerberos_Ticket_Request_via_PowerShell_Script_ScriptBlock.htm</t>
  </si>
  <si>
    <t xml:space="preserve">PH_Rule_SIGMA_79</t>
  </si>
  <si>
    <t xml:space="preserve">Windows: Suspicious LDAP-Attributes Used</t>
  </si>
  <si>
    <t xml:space="preserve">propValue REGEXP ".*\*.*" AND propName IN ("otherFacsimileTelephoneNumber","primaryInternationalISDNNumber","primaryTelexNumber")</t>
  </si>
  <si>
    <t xml:space="preserve">Detects the usage of particular AttributeLDAPDisplayNames, which are known for data exchange via LDAP by the tool LDAPFragger and are additionally not commonly used in companies. This rule is adapted from https://github.com/SigmaHQ/sigma/blob/master/rules/windows/builtin/security/win_security_susp_ldap_dataexchange.yml</t>
  </si>
  <si>
    <t xml:space="preserve">https://filestore.fortinet.com/docs.fortinet.com/fsiem/Public_Resource_Access/7_6_0/rules/PH_RULE_Suspicious_LDAP_Attributes_Used.htm</t>
  </si>
  <si>
    <t xml:space="preserve">PH_Rule_SIGMA_86</t>
  </si>
  <si>
    <t xml:space="preserve">Windows: Suspicious PsExec Execution</t>
  </si>
  <si>
    <t xml:space="preserve">(fileName="\\\\*\\IPC$" AND targetName REGEXP "-stderr$|-stdin$|-stdout$") AND (targetName NOT REGEXP "^PSEXESVC")</t>
  </si>
  <si>
    <t xml:space="preserve">Detects execution of psexec or paexec with renamed service name, this rule helps to filter out the noise if psexec is used for legit purposes or if attacker uses a different psexec client other than sysinternal one. This rule is adapted from https://github.com/SigmaHQ/sigma/blob/master/rules/windows/builtin/security/win_security_susp_psexec.yml</t>
  </si>
  <si>
    <t xml:space="preserve">https://filestore.fortinet.com/docs.fortinet.com/fsiem/Public_Resource_Access/7_6_0/rules/PH_RULE_Suspicious_PsExec_Execution.htm</t>
  </si>
  <si>
    <t xml:space="preserve">PH_Rule_SIGMA_1216</t>
  </si>
  <si>
    <t xml:space="preserve">Windows: Suspicious Remote Logon with Explicit Credentials</t>
  </si>
  <si>
    <t xml:space="preserve">Win-Security-4648</t>
  </si>
  <si>
    <t xml:space="preserve">procName REGEXP "\\cmd\.exe$|\\net1\.exe$|\\net\.exe$|\\powershell\.exe$|\\pwsh\.exe$|\\reg\.exe$|\\winrs\.exe$|\\wmic\.exe$" AND targetName!="localhost" AND (user NOT REGEXP ".*\$" OR targetUser NOT REGEXP ".*\$")</t>
  </si>
  <si>
    <t xml:space="preserve">hostName,procName,targetName,user</t>
  </si>
  <si>
    <t xml:space="preserve">Windows Security log: Security 4648</t>
  </si>
  <si>
    <t xml:space="preserve">Detects suspicious processes logging on with explicit credentials. This rule is adapted from https://github.com/SigmaHQ/sigma/blob/master/rules/windows/builtin/security/win_security_susp_logon_explicit_credentials.yml</t>
  </si>
  <si>
    <t xml:space="preserve">https://filestore.fortinet.com/docs.fortinet.com/fsiem/Public_Resource_Access/7_6_0/rules/PH_RULE_Suspicious_Remote_Logon_with_Explicit_Credentials.htm</t>
  </si>
  <si>
    <t xml:space="preserve">PH_Rule_SIGMA_1845</t>
  </si>
  <si>
    <t xml:space="preserve">Windows: Suspicious Scheduled Task Creation</t>
  </si>
  <si>
    <t xml:space="preserve">Win-Security-4698</t>
  </si>
  <si>
    <t xml:space="preserve">task REGEXP ".*C:\\Perflogs\\.*|.*C:\\ProgramData\\.*|.*C:\\Temp\\.*|.*\\AppData\\Local\\Temp\\.*|.*\\AppData\\Roaming\\.*|.*\\Desktop\\.*|.*\\Downloads\\.*|.*\\Temporary Internet.*|.*\\Users\\Public\\.*|.*\\WINDOWS\\Temp\\.*" AND task REGEXP ".*&lt;Arguments&gt;/c .*|.*&lt;Arguments&gt;/k .*|.*&lt;Arguments&gt;/r .*|.*bash .*|.*bash\.exe.*|.*bitsadmin.*|.*certutil.*|.*cmd&lt;/Command&gt;.*|.*cmd\.exe&lt;/Command&gt;.*|.*cscript.*|.*forfiles.*|.*hh\.exe.*|.*mshta.*|.*powershell.*|.*pwsh.*|.*regsvr32.*|.*rundll32.*|.*scrcons.*|.*scriptrunner.*|.*wmic .*|.*wmic\.exe.*|.*wscript.*"</t>
  </si>
  <si>
    <t xml:space="preserve">hostName,task</t>
  </si>
  <si>
    <t xml:space="preserve">Windows Security log: Security 4698</t>
  </si>
  <si>
    <t xml:space="preserve">Detects suspicious scheduled task creation events. Based on attributes such as paths, commands line flags, etc. This rule is adapted from https://github.com/SigmaHQ/sigma/blob/master/rules/windows/builtin/security/win_security_susp_scheduled_task_creation.yml</t>
  </si>
  <si>
    <t xml:space="preserve">https://filestore.fortinet.com/docs.fortinet.com/fsiem/Public_Resource_Access/7_6_0/rules/PH_RULE_Suspicious_Scheduled_Task_Creation.htm</t>
  </si>
  <si>
    <t xml:space="preserve">PH_Rule_SIGMA_1847</t>
  </si>
  <si>
    <t xml:space="preserve">Windows: Suspicious Scheduled Task Update</t>
  </si>
  <si>
    <t xml:space="preserve">Win-Security-4702</t>
  </si>
  <si>
    <t xml:space="preserve">Windows Security log: Security 4702</t>
  </si>
  <si>
    <t xml:space="preserve">Detects update to a scheduled task event that contain suspicious keywords. This rule is adapted from https://github.com/SigmaHQ/sigma/blob/master/rules/windows/builtin/security/win_security_susp_scheduled_task_update.yml</t>
  </si>
  <si>
    <t xml:space="preserve">https://filestore.fortinet.com/docs.fortinet.com/fsiem/Public_Resource_Access/7_6_0/rules/PH_RULE_Suspicious_Scheduled_Task_Update.htm</t>
  </si>
  <si>
    <t xml:space="preserve">PH_Rule_windows_SIGMA_3797</t>
  </si>
  <si>
    <t xml:space="preserve">Windows: Suspicious Shell Open Command Registry Modification</t>
  </si>
  <si>
    <t xml:space="preserve">regKeyPath REGEXP "\\shell\\open\\command\\" AND details REGEXP "%AppData%|%LocalAppData%|%Temp%|%tmp%|\\AppData\\Local\\Temp\\|\\Contacts\\|\\Music\\|\\PerfLogs\\|\\Photos\\|\\Pictures\\|\\Users\\Public\\|\\Videos\\|\\Windows\\Temp\\|\\\$Recycle\.Bin\\"</t>
  </si>
  <si>
    <t xml:space="preserve">Detects modifications to shell open registry keys that point to suspicious locations typically used by malware for persistence. Generally, modifications to the `*\shell\open\command` registry key can indicate an attempt to change the default action for opening files, and various UAC bypass or persistence techniques involve modifying these keys to execute malicious scripts or binaries. . This rule is adapted from https://github.com/SigmaHQ/sigma/blob/master/rules/windows/registry/registry_set/registry_set_susp_shell_open_keys_modification_patterns.yml</t>
  </si>
  <si>
    <t xml:space="preserve">https://filestore.fortinet.com/docs.fortinet.com/fsiem/Public_Resource_Access/7_6_0/rules/PH_RULE_Suspicious_Shell_Open_Command_Registry_Modification.htm</t>
  </si>
  <si>
    <t xml:space="preserve">PH_Rule_SIGMA_1114</t>
  </si>
  <si>
    <t xml:space="preserve">Windows: Suspicious Task Added by Powershell</t>
  </si>
  <si>
    <t xml:space="preserve">procName REGEXP "\\powershell\.exe$|\\pwsh\.exe$"</t>
  </si>
  <si>
    <t xml:space="preserve">Detects the creation of a new bits job by PowerShell. This rule is adapted from https://github.com/SigmaHQ/sigma/blob/master/rules/windows/builtin/bits_client/win_bits_client_new_job_via_powershell.yml</t>
  </si>
  <si>
    <t xml:space="preserve">https://filestore.fortinet.com/docs.fortinet.com/fsiem/Public_Resource_Access/7_6_0/rules/PH_RULE_Suspicious_Task_Added_by_Powershell.htm</t>
  </si>
  <si>
    <t xml:space="preserve">PH_Rule_SIGMA_80</t>
  </si>
  <si>
    <t xml:space="preserve">Windows: Suspicious Windows ANONYMOUS LOGON Local Account Created</t>
  </si>
  <si>
    <t xml:space="preserve">oldTargetUser REGEXP ".*ANONYMOUS.*" AND oldTargetUser REGEXP ".*LOGON.*"</t>
  </si>
  <si>
    <t xml:space="preserve">hostName,oldTargetUser</t>
  </si>
  <si>
    <t xml:space="preserve">Detects the creation of suspicious accounts similar to ANONYMOUS LOGON, such as using additional spaces. Created as an covering detection for exclusion of Logon Type 3 from ANONYMOUS LOGON accounts. This rule is adapted from https://github.com/SigmaHQ/sigma/blob/master/rules/windows/builtin/security/win_security_susp_local_anon_logon_created.yml</t>
  </si>
  <si>
    <t xml:space="preserve">https://filestore.fortinet.com/docs.fortinet.com/fsiem/Public_Resource_Access/7_6_0/rules/PH_RULE_Suspicious_Windows_ANONYMOUS_LOGON_Local_Account_Created.htm</t>
  </si>
  <si>
    <t xml:space="preserve">PH_Rule_SIGMA_301</t>
  </si>
  <si>
    <t xml:space="preserve">Windows: SysKey Registry Keys Access</t>
  </si>
  <si>
    <t xml:space="preserve">osObjType="key" AND osObjName REGEXP "lsa\\Data$|lsa\\GBG$|lsa\\JD$|lsa\\Skew1$"</t>
  </si>
  <si>
    <t xml:space="preserve">Detects handle requests and access operations to specific registry keys to calculate the SysKey. This rule is adapted from https://github.com/SigmaHQ/sigma/blob/master/rules/windows/builtin/security/win_security_syskey_registry_access.yml</t>
  </si>
  <si>
    <t xml:space="preserve">https://filestore.fortinet.com/docs.fortinet.com/fsiem/Public_Resource_Access/7_6_0/rules/PH_RULE_SysKey_Registry_Keys_Access.htm</t>
  </si>
  <si>
    <t xml:space="preserve">PH_Rule_SIGMA_1155</t>
  </si>
  <si>
    <t xml:space="preserve">Windows: Sysmon Application Crashed</t>
  </si>
  <si>
    <t xml:space="preserve">Win-System-Application-Popup-26</t>
  </si>
  <si>
    <t xml:space="preserve">description IN ("sysmon.exe - Application Error","sysmon64.exe - Application Error")</t>
  </si>
  <si>
    <t xml:space="preserve">description,hostName</t>
  </si>
  <si>
    <t xml:space="preserve">Detects application popup reporting a failure of the Sysmon service. This rule is adapted from https://github.com/SigmaHQ/sigma/blob/master/rules/windows/builtin/system/application_popup/win_system_application_sysmon_crash.yml</t>
  </si>
  <si>
    <t xml:space="preserve">https://filestore.fortinet.com/docs.fortinet.com/fsiem/Public_Resource_Access/7_6_0/rules/PH_RULE_Sysmon_Crash.htm</t>
  </si>
  <si>
    <t xml:space="preserve">PH_Rule_SIGMA_1222</t>
  </si>
  <si>
    <t xml:space="preserve">Windows: Sysmon Channel Reference Deletion</t>
  </si>
  <si>
    <t xml:space="preserve">Win-Security-4657
Win-Security-4663</t>
  </si>
  <si>
    <t xml:space="preserve">(osObjName REGEXP "WINEVT\\Channels\\Microsoft-Windows-Sysmon/Operational|WINEVT\\Publishers\\\{5770385f-c22a-43e0-bf4c-06f5698ffbd9\}" AND osObjValue="Enabled" AND newObjValue="0") OR (osObjName REGEXP "WINEVT\\Channels\\Microsoft-Windows-Sysmon/Operational|WINEVT\\Publishers\\\{5770385f-c22a-43e0-bf4c-06f5698ffbd9\}" AND fileAccess="0x10000")</t>
  </si>
  <si>
    <t xml:space="preserve">fileAccess,hostName,newObjValue,osObjName,osObjValue</t>
  </si>
  <si>
    <t xml:space="preserve">Windows Security log: Security 4657
Windows Security log: Security 4663</t>
  </si>
  <si>
    <t xml:space="preserve">Potential threat actor tampering with Sysmon manifest and eventually disabling it. This rule is adapted from https://github.com/SigmaHQ/sigma/blob/master/rules/windows/builtin/security/win_security_sysmon_channel_reference_deletion.yml</t>
  </si>
  <si>
    <t xml:space="preserve">https://filestore.fortinet.com/docs.fortinet.com/fsiem/Public_Resource_Access/7_6_0/rules/PH_RULE_Sysmon_Channel_Reference_Deletion.htm</t>
  </si>
  <si>
    <t xml:space="preserve">PH_RULE_PolicyViolation_CrashOnAuditFail_Crashed</t>
  </si>
  <si>
    <t xml:space="preserve">Windows: System Halted because of Failure to Record Security Log</t>
  </si>
  <si>
    <t xml:space="preserve">newValue = 2</t>
  </si>
  <si>
    <t xml:space="preserve">Detects a Windows host halted because of failure to write Security Log. The setting is defined in CrashOnAuditFail registry value in HKLM\SYSTEM\CurrentControlSet\Control\LSA and is set to 2.</t>
  </si>
  <si>
    <t xml:space="preserve">https://filestore.fortinet.com/docs.fortinet.com/fsiem/Public_Resource_Access/7_6_0/rules/PH_RULE_PolicyViolation_CrashOnAuditFail_Crashed.htm</t>
  </si>
  <si>
    <t xml:space="preserve">PH_Rule_SIGMA_1224</t>
  </si>
  <si>
    <t xml:space="preserve">Windows: T1047 Wmiprvse Wbemcomn DLL Hijack</t>
  </si>
  <si>
    <t xml:space="preserve">(targetName REGEXP "\\wbem\\wbemcomn\.dll$") AND (user NOT REGEXP "\$$")</t>
  </si>
  <si>
    <t xml:space="preserve">Detects a threat actor creating a file named `wbemcomn.dll` in the `C:\Windows\System32\wbem\` directory over the network for a WMI DLL Hijack scenario. This rule is adapted from https://github.com/SigmaHQ/sigma/blob/master/rules/windows/builtin/security/win_security_wmiprvse_wbemcomn_dll_hijack.yml</t>
  </si>
  <si>
    <t xml:space="preserve">https://filestore.fortinet.com/docs.fortinet.com/fsiem/Public_Resource_Access/7_6_0/rules/PH_RULE_T1047_Wmiprvse_Wbemcomn_DLL_Hijack.htm</t>
  </si>
  <si>
    <t xml:space="preserve">PH_Rule_SIGMA_1203</t>
  </si>
  <si>
    <t xml:space="preserve">Windows: Tap Driver Installation</t>
  </si>
  <si>
    <t xml:space="preserve">serviceFileName REGEXP ".*tap0901.*"</t>
  </si>
  <si>
    <t xml:space="preserve">Well-known TAP software installation. Possible preparation for data exfiltration using tunnelling techniques. This rule is adapted from https://github.com/SigmaHQ/sigma/blob/master/rules/windows/builtin/system/service_control_manager/win_system_service_install_tap_driver.yml</t>
  </si>
  <si>
    <t xml:space="preserve">https://filestore.fortinet.com/docs.fortinet.com/fsiem/Public_Resource_Access/7_6_0/rules/PH_RULE_Tap_Driver_Installation_SECURITY_LOG.htm</t>
  </si>
  <si>
    <t xml:space="preserve">PH_Rule_windows_SIGMA_2843</t>
  </si>
  <si>
    <t xml:space="preserve">Windows: Tap Driver Installation - Security</t>
  </si>
  <si>
    <t xml:space="preserve">serviceFileName REGEXP "tap0901"</t>
  </si>
  <si>
    <t xml:space="preserve">Detects the installation of a well-known TAP driver service. This could be a sign of potential preparation for data exfiltration using tunnelling techniques. . This rule is adapted from https://github.com/SigmaHQ/sigma/blob/master/rules/windows/builtin/security/win_security_tap_driver_installation.yml</t>
  </si>
  <si>
    <t xml:space="preserve">https://filestore.fortinet.com/docs.fortinet.com/fsiem/Public_Resource_Access/7_6_0/rules/PH_RULE_Tap_Driver_Installation_Security.htm</t>
  </si>
  <si>
    <t xml:space="preserve">PH_Rule_SIGMA_1119</t>
  </si>
  <si>
    <t xml:space="preserve">Windows: The Windows Defender Firewall Service Failed To Load Group Policy</t>
  </si>
  <si>
    <t xml:space="preserve">Win-Firewall-AS-2009</t>
  </si>
  <si>
    <t xml:space="preserve">Detects activity when The Windows Defender Firewall service failed to load Group Policy. This rule is adapted from https://github.com/SigmaHQ/sigma/blob/master/rules/windows/builtin/firewall_as/win_firewall_as_failed_load_gpo.yml</t>
  </si>
  <si>
    <t xml:space="preserve">https://filestore.fortinet.com/docs.fortinet.com/fsiem/Public_Resource_Access/7_6_0/rules/PH_RULE_Failed_to_Load_Policy_in_Windows_Firewall_with_Advanced_Security.htm</t>
  </si>
  <si>
    <t xml:space="preserve">PH_Rule_SIGMA_1673</t>
  </si>
  <si>
    <t xml:space="preserve">Windows: TrustedPath UAC Bypass Pattern</t>
  </si>
  <si>
    <t xml:space="preserve">procName REGEXP "C:\\Windows \\SysWOW64\\|C:\\Windows \\System32\\"</t>
  </si>
  <si>
    <t xml:space="preserve">Detects indicators of a UAC bypass method by mocking directories. This rule is adapted from https://github.com/SigmaHQ/sigma/blob/master/rules/windows/process_creation/proc_creation_win_uac_bypass_trustedpath.yml</t>
  </si>
  <si>
    <t xml:space="preserve">https://filestore.fortinet.com/docs.fortinet.com/fsiem/Public_Resource_Access/7_6_0/rules/PH_RULE_TrustedPath_UAC_Bypass_Pattern.htm</t>
  </si>
  <si>
    <t xml:space="preserve">PH_Rule_SIGMA_868</t>
  </si>
  <si>
    <t xml:space="preserve">Windows: UAC Bypass Abusing Winsat Path Parsing - File</t>
  </si>
  <si>
    <t xml:space="preserve">fileName REGEXP "^C:\\Users\\" AND fileName REGEXP "\\AppData\\Local\\Temp\\system32\\winmm\.dll$|\\AppData\\Local\\Temp\\system32\\winsat\.exe$"</t>
  </si>
  <si>
    <t xml:space="preserve">Detects the pattern of UAC Bypass using a path parsing issue in winsat.exe (UACMe 52). This rule is adapted from https://github.com/SigmaHQ/sigma/blob/master/rules/windows/file/file_event/file_event_win_uac_bypass_winsat.yml</t>
  </si>
  <si>
    <t xml:space="preserve">https://filestore.fortinet.com/docs.fortinet.com/fsiem/Public_Resource_Access/7_6_0/rules/PH_RULE_UAC_Bypass_Abusing_Winsat_Path_Parsing_File.htm</t>
  </si>
  <si>
    <t xml:space="preserve">PH_Rule_windows_SIGMA_3565</t>
  </si>
  <si>
    <t xml:space="preserve">Windows: UAC Bypass Abusing Winsat Path Parsing - Process</t>
  </si>
  <si>
    <t xml:space="preserve">integrityLevel IN ("High","S-1-16-12288","S-1-16-16384","System") AND parentProcName REGEXP "\\AppData\\Local\\Temp\\system32\\winsat\.exe$" AND parentCommand REGEXP "C:\\Windows \\system32\\winsat\.exe"</t>
  </si>
  <si>
    <t xml:space="preserve">Detects the pattern of UAC Bypass using a path parsing issue in winsat.exe (UACMe 52). This rule is adapted from https://github.com/SigmaHQ/sigma/blob/master/rules/windows/process_creation/proc_creation_win_uac_bypass_winsat.yml</t>
  </si>
  <si>
    <t xml:space="preserve">https://filestore.fortinet.com/docs.fortinet.com/fsiem/Public_Resource_Access/7_6_0/rules/PH_RULE_UAC_Bypass_Abusing_Winsat_Path_Parsing_Process.htm</t>
  </si>
  <si>
    <t xml:space="preserve">PH_Rule_windows_SIGMA_3813</t>
  </si>
  <si>
    <t xml:space="preserve">Windows: UAC Bypass Abusing Winsat Path Parsing - Registry</t>
  </si>
  <si>
    <t xml:space="preserve">regKeyPath REGEXP "\\Root\\InventoryApplicationFile\\winsat\.exe\|" AND regKeyPath REGEXP "\\LowerCaseLongPath$" AND details REGEXP "^c:\\users\\" AND details REGEXP "\\appdata\\local\\temp\\system32\\winsat\.exe$"</t>
  </si>
  <si>
    <t xml:space="preserve">Detects the pattern of UAC Bypass using a path parsing issue in winsat.exe (UACMe 52). This rule is adapted from https://github.com/SigmaHQ/sigma/blob/master/rules/windows/registry/registry_set/registry_set_uac_bypass_winsat.yml</t>
  </si>
  <si>
    <t xml:space="preserve">https://filestore.fortinet.com/docs.fortinet.com/fsiem/Public_Resource_Access/7_6_0/rules/PH_RULE_UAC_Bypass_Abusing_Winsat_Path_Parsing_Registry.htm</t>
  </si>
  <si>
    <t xml:space="preserve">PH_Rule_SIGMA_1712</t>
  </si>
  <si>
    <t xml:space="preserve">Windows: UAC Bypass Tools Using ComputerDefaults</t>
  </si>
  <si>
    <t xml:space="preserve">integrityLevel IN ("High","S-1-16-12288","S-1-16-16384","System") AND procName="C:\\Windows\\System32\\ComputerDefaults.exe" AND parentProcName NOT REGEXP ":\\Program Files|:\\Windows\\System32"</t>
  </si>
  <si>
    <t xml:space="preserve">hostName,integrityLevel,parentProcName,procName</t>
  </si>
  <si>
    <t xml:space="preserve">Detects tools such as UACMe used to bypass UAC with computerdefaults.exe (UACMe 59). This rule is adapted from https://github.com/SigmaHQ/sigma/blob/master/rules/windows/process_creation/proc_creation_win_uac_bypass_computerdefaults.yml</t>
  </si>
  <si>
    <t xml:space="preserve">https://filestore.fortinet.com/docs.fortinet.com/fsiem/Public_Resource_Access/7_6_0/rules/PH_RULE_UAC_Bypass_Using_ComputerDefaults.htm</t>
  </si>
  <si>
    <t xml:space="preserve">PH_Rule_SIGMA_863</t>
  </si>
  <si>
    <t xml:space="preserve">Windows: UAC Bypass Using .NET Code Profiler on MMC</t>
  </si>
  <si>
    <t xml:space="preserve">fileName REGEXP "^C:\\Users\\" AND fileName REGEXP "\\AppData\\Local\\Temp\\pe386\.dll$"</t>
  </si>
  <si>
    <t xml:space="preserve">Detects the pattern of UAC Bypass using .NET Code Profiler and mmc.exe DLL hijacking (UACMe 39). This rule is adapted from https://github.com/SigmaHQ/sigma/blob/master/rules/windows/file/file_event/file_event_win_uac_bypass_dotnet_profiler.yml</t>
  </si>
  <si>
    <t xml:space="preserve">https://filestore.fortinet.com/docs.fortinet.com/fsiem/Public_Resource_Access/7_6_0/rules/PH_RULE_UAC_Bypass_Using_NET_Code_Profiler_on_MMC.htm</t>
  </si>
  <si>
    <t xml:space="preserve">PH_Rule_SIGMA_1710</t>
  </si>
  <si>
    <t xml:space="preserve">Windows: UAC Bypass Using ChangePK and SLUI</t>
  </si>
  <si>
    <t xml:space="preserve">procName REGEXP "\\changepk\.exe$" AND parentProcName REGEXP "\\slui\.exe$" AND integrityLevel IN ("High","S-1-16-12288","S-1-16-16384","System")</t>
  </si>
  <si>
    <t xml:space="preserve">Detects an UAC bypass that uses changepk.exe and slui.exe (UACMe 61). This rule is adapted from https://github.com/SigmaHQ/sigma/blob/master/rules/windows/process_creation/proc_creation_win_uac_bypass_changepk_slui.yml</t>
  </si>
  <si>
    <t xml:space="preserve">https://filestore.fortinet.com/docs.fortinet.com/fsiem/Public_Resource_Access/7_6_0/rules/PH_RULE_UAC_Bypass_Using_ChangePK_and_SLUI.htm</t>
  </si>
  <si>
    <t xml:space="preserve">PH_Rule_SIGMA_862</t>
  </si>
  <si>
    <t xml:space="preserve">Windows: UAC Bypass Using Consent and Comctl32 - File</t>
  </si>
  <si>
    <t xml:space="preserve">fileName REGEXP "^C:\\Windows\\System32\\consent\.exe\.@" AND fileName REGEXP "\\comctl32\.dll$"</t>
  </si>
  <si>
    <t xml:space="preserve">Detects the pattern of UAC Bypass using consent.exe and comctl32.dll (UACMe 22). This rule is adapted from https://github.com/SigmaHQ/sigma/blob/master/rules/windows/file/file_event/file_event_win_uac_bypass_consent_comctl32.yml</t>
  </si>
  <si>
    <t xml:space="preserve">https://filestore.fortinet.com/docs.fortinet.com/fsiem/Public_Resource_Access/7_6_0/rules/PH_RULE_UAC_Bypass_Using_Consent_and_Comctl32_File.htm</t>
  </si>
  <si>
    <t xml:space="preserve">PH_Rule_SIGMA_1713</t>
  </si>
  <si>
    <t xml:space="preserve">Windows: UAC Bypass Using Consent and Comctl32 - Process</t>
  </si>
  <si>
    <t xml:space="preserve">parentProcName REGEXP "\\consent\.exe$" AND procName REGEXP "\\werfault\.exe$" AND integrityLevel IN ("High","S-1-16-12288","S-1-16-16384","System")</t>
  </si>
  <si>
    <t xml:space="preserve">Detects the pattern of UAC Bypass using consent.exe and comctl32.dll (UACMe 22). This rule is adapted from https://github.com/SigmaHQ/sigma/blob/master/rules/windows/process_creation/proc_creation_win_uac_bypass_consent_comctl32.yml</t>
  </si>
  <si>
    <t xml:space="preserve">https://filestore.fortinet.com/docs.fortinet.com/fsiem/Public_Resource_Access/7_6_0/rules/PH_RULE_UAC_Bypass_Using_Consent_and_Comctl32_Process.htm</t>
  </si>
  <si>
    <t xml:space="preserve">PH_Rule_SIGMA_1711</t>
  </si>
  <si>
    <t xml:space="preserve">Windows: UAC Bypass Using Disk Cleanup</t>
  </si>
  <si>
    <t xml:space="preserve">command REGEXP "\"\\system32\\cleanmgr\.exe /autoclean /d C:$" AND parentCommand="C:\\Windows\\system32\\svchost.exe -k netsvcs -p -s Schedule" AND integrityLevel IN ("High","S-1-16-12288","S-1-16-16384","System")</t>
  </si>
  <si>
    <t xml:space="preserve">command,hostName,integrityLevel,parentCommand</t>
  </si>
  <si>
    <t xml:space="preserve">Detects the pattern of UAC Bypass using scheduled tasks and variable expansion of cleanmgr.exe (UACMe 34). This rule is adapted from https://github.com/SigmaHQ/sigma/blob/master/rules/windows/process_creation/proc_creation_win_uac_bypass_cleanmgr.yml</t>
  </si>
  <si>
    <t xml:space="preserve">https://filestore.fortinet.com/docs.fortinet.com/fsiem/Public_Resource_Access/7_6_0/rules/PH_RULE_UAC_Bypass_Using_Disk_Cleanup.htm</t>
  </si>
  <si>
    <t xml:space="preserve">PH_Rule_SIGMA_1714</t>
  </si>
  <si>
    <t xml:space="preserve">Windows: UAC Bypass Using DismHost</t>
  </si>
  <si>
    <t xml:space="preserve">parentProcName REGEXP "C:\\Users\\" AND parentProcName REGEXP "\\AppData\\Local\\Temp\\" AND parentProcName REGEXP "\\DismHost\.exe" AND integrityLevel IN ("High","S-1-16-12288","S-1-16-16384","System")</t>
  </si>
  <si>
    <t xml:space="preserve">hostName,integrityLevel,parentProcName</t>
  </si>
  <si>
    <t xml:space="preserve">Detects the pattern of UAC Bypass using DismHost DLL hijacking (UACMe 63). This rule is adapted from https://github.com/SigmaHQ/sigma/blob/master/rules/windows/process_creation/proc_creation_win_uac_bypass_dismhost.yml</t>
  </si>
  <si>
    <t xml:space="preserve">https://filestore.fortinet.com/docs.fortinet.com/fsiem/Public_Resource_Access/7_6_0/rules/PH_RULE_UAC_Bypass_Using_DismHost.htm</t>
  </si>
  <si>
    <t xml:space="preserve">PH_Rule_SIGMA_2587</t>
  </si>
  <si>
    <t xml:space="preserve">Windows: UAC Bypass Using IDiagnostic Profile</t>
  </si>
  <si>
    <t xml:space="preserve">parentProcName REGEXP "\\DllHost\.exe$" AND parentCommand REGEXP " /Processid:\{12C21EA7-2EB8-4B55-9249-AC243DA8C666\}" AND integrityLevel IN ("High","S-1-16-12288","S-1-16-16384","System")</t>
  </si>
  <si>
    <t xml:space="preserve">Detects the "IDiagnosticProfileUAC" UAC bypass technique. This rule is adapted from https://github.com/SigmaHQ/sigma/blob/master/rules/windows/process_creation/proc_creation_win_uac_bypass_idiagnostic_profile.yml</t>
  </si>
  <si>
    <t xml:space="preserve">https://filestore.fortinet.com/docs.fortinet.com/fsiem/Public_Resource_Access/7_6_0/rules/PH_RULE_UAC_Bypass_Using_IDiagnostic_Profile.htm</t>
  </si>
  <si>
    <t xml:space="preserve">PH_Rule_SIGMA_2003</t>
  </si>
  <si>
    <t xml:space="preserve">Windows: UAC Bypass Using IDiagnostic Profile - File</t>
  </si>
  <si>
    <t xml:space="preserve">procName REGEXP "\\DllHost\.exe$" AND fileName REGEXP "^C:\\Windows\\System32\\" AND fileName REGEXP "\.dll$"</t>
  </si>
  <si>
    <t xml:space="preserve">Detects the creation of a file by "dllhost.exe" in System32 directory part of "IDiagnosticProfileUAC" UAC bypass technique. This rule is adapted from https://github.com/SigmaHQ/sigma/blob/master/rules/windows/file/file_event/file_event_win_uac_bypass_idiagnostic_profile.yml</t>
  </si>
  <si>
    <t xml:space="preserve">https://filestore.fortinet.com/docs.fortinet.com/fsiem/Public_Resource_Access/7_6_0/rules/PH_RULE_UAC_Bypass_Using_IDiagnostic_Profile_File.htm</t>
  </si>
  <si>
    <t xml:space="preserve">PH_Rule_SIGMA_865</t>
  </si>
  <si>
    <t xml:space="preserve">Windows: UAC Bypass Using IEInstal - File</t>
  </si>
  <si>
    <t xml:space="preserve">procName="C:\\Program Files\\Internet Explorer\\IEInstal.exe" AND fileName REGEXP "^C:\\Users\\" AND fileName REGEXP ".*\\AppData\\Local\\Temp\\.*" AND fileName REGEXP "consent\.exe$"</t>
  </si>
  <si>
    <t xml:space="preserve">Detects the pattern of UAC Bypass using IEInstal.exe (UACMe 64). This rule is adapted from https://github.com/SigmaHQ/sigma/blob/master/rules/windows/file/file_event/file_event_win_uac_bypass_ieinstal.yml</t>
  </si>
  <si>
    <t xml:space="preserve">https://filestore.fortinet.com/docs.fortinet.com/fsiem/Public_Resource_Access/7_6_0/rules/PH_RULE_UAC_Bypass_Using_IEInstal_File.htm</t>
  </si>
  <si>
    <t xml:space="preserve">PH_Rule_SIGMA_1715</t>
  </si>
  <si>
    <t xml:space="preserve">Windows: UAC Bypass Using IEInstal - Process</t>
  </si>
  <si>
    <t xml:space="preserve">integrityLevel IN ("High","S-1-16-12288","S-1-16-16384","System") AND parentProcName REGEXP "\\ieinstal\.exe$" AND procName REGEXP "\\AppData\\Local\\Temp\\" AND procName REGEXP "consent\.exe$"</t>
  </si>
  <si>
    <t xml:space="preserve">Detects the pattern of UAC Bypass using IEInstal.exe (UACMe 64). This rule is adapted from https://github.com/SigmaHQ/sigma/blob/master/rules/windows/process_creation/proc_creation_win_uac_bypass_ieinstal.yml</t>
  </si>
  <si>
    <t xml:space="preserve">https://filestore.fortinet.com/docs.fortinet.com/fsiem/Public_Resource_Access/7_6_0/rules/PH_RULE_UAC_Bypass_Using_IEInstal_Process.htm</t>
  </si>
  <si>
    <t xml:space="preserve">PH_Rule_SIGMA_2047</t>
  </si>
  <si>
    <t xml:space="preserve">Windows: UAC Bypass Using Iscsicpl - ImageLoad</t>
  </si>
  <si>
    <t xml:space="preserve">(procName="C:\\Windows\\SysWOW64\\iscsicpl.exe" AND loadedProcName REGEXP "\\iscsiexe\.dll$") AND (loadedProcName NOT REGEXP ".*C:\\Windows\\.*" OR loadedProcName NOT REGEXP ".*iscsiexe\.dll.*")</t>
  </si>
  <si>
    <t xml:space="preserve">Detects the "iscsicpl.exe" UAC bypass technique that leverages a DLL Search Order hijacking technique to load a custom DLL's from temp or a any user controlled location in the users %PATH%. This rule is adapted from https://github.com/SigmaHQ/sigma/blob/master/rules/windows/image_load/image_load_uac_bypass_iscsicpl.yml</t>
  </si>
  <si>
    <t xml:space="preserve">https://filestore.fortinet.com/docs.fortinet.com/fsiem/Public_Resource_Access/7_6_0/rules/PH_RULE_UAC_Bypass_Using_Iscsicpl_ImageLoad.htm</t>
  </si>
  <si>
    <t xml:space="preserve">PH_Rule_SIGMA_866</t>
  </si>
  <si>
    <t xml:space="preserve">Windows: UAC Bypass Using MSConfig Token Modification - File</t>
  </si>
  <si>
    <t xml:space="preserve">fileName REGEXP "^C:\\Users\\" AND fileName REGEXP "\\AppData\\Local\\Temp\\pkgmgr\.exe$"</t>
  </si>
  <si>
    <t xml:space="preserve">Detects the pattern of UAC Bypass using a msconfig GUI hack (UACMe 55). This rule is adapted from https://github.com/SigmaHQ/sigma/blob/master/rules/windows/file/file_event/file_event_win_uac_bypass_msconfig_gui.yml</t>
  </si>
  <si>
    <t xml:space="preserve">https://filestore.fortinet.com/docs.fortinet.com/fsiem/Public_Resource_Access/7_6_0/rules/PH_RULE_UAC_Bypass_Using_MSConfig_Token_Modification_File.htm</t>
  </si>
  <si>
    <t xml:space="preserve">PH_Rule_SIGMA_1716</t>
  </si>
  <si>
    <t xml:space="preserve">Windows: UAC Bypass Using MSConfig Token Modification - Process</t>
  </si>
  <si>
    <t xml:space="preserve">integrityLevel IN ("High","S-1-16-12288","S-1-16-16384","System") AND parentProcName REGEXP "\\AppData\\Local\\Temp\\pkgmgr\.exe$" AND command="\"C:\\Windows\\system32\\msconfig.exe\" -5"</t>
  </si>
  <si>
    <t xml:space="preserve">command,hostName,integrityLevel,parentProcName</t>
  </si>
  <si>
    <t xml:space="preserve">Detects the pattern of UAC Bypass using a msconfig GUI hack (UACMe 55). This rule is adapted from https://github.com/SigmaHQ/sigma/blob/master/rules/windows/process_creation/proc_creation_win_uac_bypass_msconfig_gui.yml</t>
  </si>
  <si>
    <t xml:space="preserve">https://filestore.fortinet.com/docs.fortinet.com/fsiem/Public_Resource_Access/7_6_0/rules/PH_RULE_UAC_Bypass_Using_MSConfig_Token_Modification_Process.htm</t>
  </si>
  <si>
    <t xml:space="preserve">PH_Rule_SIGMA_867</t>
  </si>
  <si>
    <t xml:space="preserve">Windows: UAC Bypass Using NTFS Reparse Point - File</t>
  </si>
  <si>
    <t xml:space="preserve">fileName REGEXP "^C:\\Users\\" AND fileName REGEXP "\\AppData\\Local\\Temp\\api-ms-win-core-kernel32-legacy-l1\.DLL$"</t>
  </si>
  <si>
    <t xml:space="preserve">Detects the pattern of UAC Bypass using NTFS reparse point and wusa.exe DLL hijacking (UACMe 36). This rule is adapted from https://github.com/SigmaHQ/sigma/blob/master/rules/windows/file/file_event/file_event_win_uac_bypass_ntfs_reparse_point.yml</t>
  </si>
  <si>
    <t xml:space="preserve">https://filestore.fortinet.com/docs.fortinet.com/fsiem/Public_Resource_Access/7_6_0/rules/PH_RULE_UAC_Bypass_Using_NTFS_Reparse_Point_File.htm</t>
  </si>
  <si>
    <t xml:space="preserve">PH_Rule_SIGMA_1717</t>
  </si>
  <si>
    <t xml:space="preserve">Windows: UAC Bypass Using NTFS Reparse Point - Process</t>
  </si>
  <si>
    <t xml:space="preserve">((command REGEXP "^\"C:\\Windows\\system32\\wusa\.exe\" /quiet C:\\Users\\" AND command REGEXP "\\AppData\\Local\\Temp\\update\.msu$" AND integrityLevel IN ("High","S-1-16-12288","S-1-16-16384","System")) OR (parentCommand="\"C:\\Windows\\system32\\dism.exe\" /online /quiet /norestart /add-package /packagepath:\"C:\\Windows\\system32\\pe386\" /ignorecheck" AND integrityLevel IN ("High","System") AND command REGEXP "C:\\Users\\" AND command REGEXP "\\AppData\\Local\\Temp\\" AND command REGEXP "\\dismhost\.exe \{" AND procName REGEXP "\\DismHost\.exe$"))</t>
  </si>
  <si>
    <t xml:space="preserve">command,hostName,integrityLevel,parentCommand,procName</t>
  </si>
  <si>
    <t xml:space="preserve">Detects the pattern of UAC Bypass using NTFS reparse point and wusa.exe DLL hijacking (UACMe 36). This rule is adapted from https://github.com/SigmaHQ/sigma/blob/master/rules/windows/process_creation/proc_creation_win_uac_bypass_ntfs_reparse_point.yml</t>
  </si>
  <si>
    <t xml:space="preserve">https://filestore.fortinet.com/docs.fortinet.com/fsiem/Public_Resource_Access/7_6_0/rules/PH_RULE_UAC_Bypass_Using_NTFS_Reparse_Point_Process.htm</t>
  </si>
  <si>
    <t xml:space="preserve">PH_Rule_SIGMA_1718</t>
  </si>
  <si>
    <t xml:space="preserve">Windows: UAC Bypass Using PkgMgr and DISM</t>
  </si>
  <si>
    <t xml:space="preserve">parentProcName REGEXP "\\pkgmgr\.exe$" AND procName REGEXP "\\dism\.exe$" AND integrityLevel IN ("High","S-1-16-12288","S-1-16-16384","System")</t>
  </si>
  <si>
    <t xml:space="preserve">Detects the pattern of UAC Bypass using pkgmgr.exe and dism.exe (UACMe 23). This rule is adapted from https://github.com/SigmaHQ/sigma/blob/master/rules/windows/process_creation/proc_creation_win_uac_bypass_pkgmgr_dism.yml</t>
  </si>
  <si>
    <t xml:space="preserve">https://filestore.fortinet.com/docs.fortinet.com/fsiem/Public_Resource_Access/7_6_0/rules/PH_RULE_UAC_Bypass_Using_PkgMgr_and_DISM.htm</t>
  </si>
  <si>
    <t xml:space="preserve">PH_Rule_SIGMA_869</t>
  </si>
  <si>
    <t xml:space="preserve">Windows: UAC Bypass Using Windows Media Player - File</t>
  </si>
  <si>
    <t xml:space="preserve">((fileName REGEXP "^C:\\Users\\" AND fileName REGEXP "\\AppData\\Local\\Temp\\OskSupport\.dll$") OR (procName="C:\\Windows\\system32\\DllHost.exe" AND fileName="C:\\Program Files\\Windows Media Player\\osk.exe"))</t>
  </si>
  <si>
    <t xml:space="preserve">Detects the pattern of UAC Bypass using Windows Media Player osksupport.dll (UACMe 32). This rule is adapted from https://github.com/SigmaHQ/sigma/blob/master/rules/windows/file/file_event/file_event_win_uac_bypass_wmp.yml</t>
  </si>
  <si>
    <t xml:space="preserve">https://filestore.fortinet.com/docs.fortinet.com/fsiem/Public_Resource_Access/7_6_0/rules/PH_RULE_UAC_Bypass_Using_Windows_Media_Player_File.htm</t>
  </si>
  <si>
    <t xml:space="preserve">PH_Rule_windows_SIGMA_3566</t>
  </si>
  <si>
    <t xml:space="preserve">Windows: UAC Bypass Using Windows Media Player - Process</t>
  </si>
  <si>
    <t xml:space="preserve">(procName="C:\\Program Files\\Windows Media Player\\osk.exe" OR (procName="C:\\Windows\\System32\\cmd.exe" AND parentCommand="\"C:\\Windows\\system32\\mmc.exe\" \"C:\\Windows\\system32\\eventvwr.msc\" /s")) AND integrityLevel IN ("High","S-1-16-12288","S-1-16-16384","System")</t>
  </si>
  <si>
    <t xml:space="preserve">hostName,integrityLevel,parentCommand,procName</t>
  </si>
  <si>
    <t xml:space="preserve">Detects the pattern of UAC Bypass using Windows Media Player osksupport.dll (UACMe 32). This rule is adapted from https://github.com/SigmaHQ/sigma/blob/master/rules/windows/process_creation/proc_creation_win_uac_bypass_wmp.yml</t>
  </si>
  <si>
    <t xml:space="preserve">https://filestore.fortinet.com/docs.fortinet.com/fsiem/Public_Resource_Access/7_6_0/rules/PH_RULE_UAC_Bypass_Using_Windows_Media_Player_Process.htm</t>
  </si>
  <si>
    <t xml:space="preserve">PH_Rule_windows_SIGMA_3814</t>
  </si>
  <si>
    <t xml:space="preserve">Windows: UAC Bypass Using Windows Media Player - Registry</t>
  </si>
  <si>
    <t xml:space="preserve">regKeyPath REGEXP "\\SOFTWARE\\Microsoft\\Windows NT\\CurrentVersion\\AppCompatFlags\\Compatibility Assistant\\Store\\C:\\Program Files\\Windows Media Player\\osk\.exe$" AND details="Binary Data"</t>
  </si>
  <si>
    <t xml:space="preserve">Detects the pattern of UAC Bypass using Windows Media Player osksupport.dll (UACMe 32). This rule is adapted from https://github.com/SigmaHQ/sigma/blob/master/rules/windows/registry/registry_set/registry_set_uac_bypass_wmp.yml</t>
  </si>
  <si>
    <t xml:space="preserve">https://filestore.fortinet.com/docs.fortinet.com/fsiem/Public_Resource_Access/7_6_0/rules/PH_RULE_UAC_Bypass_Using_Windows_Media_Player_Registry.htm</t>
  </si>
  <si>
    <t xml:space="preserve">PH_Rule_SIGMA_1087</t>
  </si>
  <si>
    <t xml:space="preserve">Windows: UAC Bypass Using WOW64 Logger DLL Hijack</t>
  </si>
  <si>
    <t xml:space="preserve">procName REGEXP ".*:\\Windows\\SysWOW64\\.*" AND accessKeyId="0x1fffff" AND procPath REGEXP "^UNKNOWN\(0000000000000000\)\|UNKNOWN\(0000000000000000\)\|"</t>
  </si>
  <si>
    <t xml:space="preserve">accessKeyId,hostName,procName,procPath</t>
  </si>
  <si>
    <t xml:space="preserve">Detects the pattern of UAC Bypass using a WoW64 logger DLL hijack (UACMe 30). This rule is adapted from https://github.com/SigmaHQ/sigma/blob/master/rules/windows/process_access/proc_access_win_uac_bypass_wow64_logger.yml</t>
  </si>
  <si>
    <t xml:space="preserve">https://filestore.fortinet.com/docs.fortinet.com/fsiem/Public_Resource_Access/7_6_0/rules/PH_RULE_UAC_Bypass_Using_WOW64_Logger_DLL_Hijack.htm</t>
  </si>
  <si>
    <t xml:space="preserve">PH_Rule_windows_SIGMA_3811</t>
  </si>
  <si>
    <t xml:space="preserve">Windows: UAC Bypass via Event Viewer 2</t>
  </si>
  <si>
    <t xml:space="preserve">regKeyPath REGEXP "\\mscfile\\shell\\open\\command$"</t>
  </si>
  <si>
    <t xml:space="preserve">Detects UAC bypass method using Windows event viewer. This rule is adapted from https://github.com/SigmaHQ/sigma/blob/master/rules/windows/registry/registry_set/registry_set_uac_bypass_eventvwr.yml</t>
  </si>
  <si>
    <t xml:space="preserve">https://filestore.fortinet.com/docs.fortinet.com/fsiem/Public_Resource_Access/7_6_0/rules/PH_RULE_UAC_Bypass_via_Event_Viewer.htm</t>
  </si>
  <si>
    <t xml:space="preserve">PH_Rule_SIGMA_2586</t>
  </si>
  <si>
    <t xml:space="preserve">Windows: UAC Bypass via ICMLuaUtil</t>
  </si>
  <si>
    <t xml:space="preserve">(parentProcName REGEXP "\\dllhost\.exe$" AND parentCommand REGEXP ".*/Processid:\{3E5FC7F9-9A51-4367-9063-A120244FBEC7\}.*|.*/Processid:\{D2E7041B-2927-42FB-8E9F-7CE93B6DC937\}.*") AND (procName NOT REGEXP "\\WerFault\.exe$" AND srcFileName!="WerFault.exe")</t>
  </si>
  <si>
    <t xml:space="preserve">hostName,parentCommand,parentProcName,procName,srcFileName</t>
  </si>
  <si>
    <t xml:space="preserve">Detects the pattern of UAC Bypass using ICMLuaUtil Elevated COM interface. This rule is adapted from https://github.com/SigmaHQ/sigma/blob/master/rules/windows/process_creation/proc_creation_win_uac_bypass_icmluautil.yml</t>
  </si>
  <si>
    <t xml:space="preserve">https://filestore.fortinet.com/docs.fortinet.com/fsiem/Public_Resource_Access/7_6_0/rules/PH_RULE_UAC_Bypass_via_ICMLuaUtil.htm</t>
  </si>
  <si>
    <t xml:space="preserve">PH_Rule_windows_SIGMA_3812</t>
  </si>
  <si>
    <t xml:space="preserve">Windows: UAC Bypass via Sdclt</t>
  </si>
  <si>
    <t xml:space="preserve">(regKeyPath REGEXP "Software\\Classes\\exefile\\shell\\runas\\command\\isolatedCommand$" OR (regKeyPath REGEXP "Software\\Classes\\Folder\\shell\\open\\command\\SymbolicLinkValue$" AND details REGEXP "-1[0-9]{3}\\Software\\Classes\\"))</t>
  </si>
  <si>
    <t xml:space="preserve">Detects the pattern of UAC Bypass using registry key manipulation of sdclt.exe (e.g. UACMe 53). This rule is adapted from https://github.com/SigmaHQ/sigma/blob/master/rules/windows/registry/registry_set/registry_set_uac_bypass_sdclt.yml</t>
  </si>
  <si>
    <t xml:space="preserve">https://filestore.fortinet.com/docs.fortinet.com/fsiem/Public_Resource_Access/7_6_0/rules/PH_RULE_UAC_Bypass_via_Sdclt.htm</t>
  </si>
  <si>
    <t xml:space="preserve">PH_Rule_SIGMA_796</t>
  </si>
  <si>
    <t xml:space="preserve">Windows: UAC Bypass Via Wsreset</t>
  </si>
  <si>
    <t xml:space="preserve">regKeyPath REGEXP "\\AppX82a6gwre4fdg3bt635tn5ctqjf8msdd2\\Shell\\open\\command$"</t>
  </si>
  <si>
    <t xml:space="preserve">Unfixed method for UAC bypass from windows 10. WSReset.exe file associated with the Windows Store. It will run a binary file contained in a low-privilege registry. This rule is adapted from https://github.com/SigmaHQ/sigma/blob/master/rules/windows/registry/registry_event/registry_event_bypass_via_wsreset.yml</t>
  </si>
  <si>
    <t xml:space="preserve">https://filestore.fortinet.com/docs.fortinet.com/fsiem/Public_Resource_Access/7_6_0/rules/PH_RULE_UAC_Bypass_Via_Wsreset.htm</t>
  </si>
  <si>
    <t xml:space="preserve">PH_Rule_SIGMA_1721</t>
  </si>
  <si>
    <t xml:space="preserve">Windows: UAC Bypass WSReset</t>
  </si>
  <si>
    <t xml:space="preserve">procName REGEXP "\\wsreset\.exe$" AND integrityLevel IN ("High","S-1-16-12288","S-1-16-16384","System")</t>
  </si>
  <si>
    <t xml:space="preserve">Detects the pattern of UAC Bypass via WSReset usable by default sysmon-config. This rule is adapted from https://github.com/SigmaHQ/sigma/blob/master/rules/windows/process_creation/proc_creation_win_uac_bypass_wsreset_integrity_level.yml</t>
  </si>
  <si>
    <t xml:space="preserve">https://filestore.fortinet.com/docs.fortinet.com/fsiem/Public_Resource_Access/7_6_0/rules/PH_RULE_UAC_Bypass_WSReset.htm</t>
  </si>
  <si>
    <t xml:space="preserve">PH_Rule_windows_SIGMA_3815</t>
  </si>
  <si>
    <t xml:space="preserve">Windows: UAC Disabled</t>
  </si>
  <si>
    <t xml:space="preserve">regKeyPath REGEXP "\\Microsoft\\Windows\\CurrentVersion\\Policies\\System\\EnableLUA" AND details="DWORD (0x00000000)"</t>
  </si>
  <si>
    <t xml:space="preserve">Detects when an attacker tries to disable User Account Control (UAC) by setting the registry value "EnableLUA" to 0. . This rule is adapted from https://github.com/SigmaHQ/sigma/blob/master/rules/windows/registry/registry_set/registry_set_uac_disable.yml</t>
  </si>
  <si>
    <t xml:space="preserve">https://filestore.fortinet.com/docs.fortinet.com/fsiem/Public_Resource_Access/7_6_0/rules/PH_RULE_UAC_Disabled.htm</t>
  </si>
  <si>
    <t xml:space="preserve">PH_Rule_windows_SIGMA_3816</t>
  </si>
  <si>
    <t xml:space="preserve">Windows: UAC Notification Disabled</t>
  </si>
  <si>
    <t xml:space="preserve">regKeyPath REGEXP "\\Microsoft\\Security Center\\UACDisableNotify" AND details="DWORD (0x00000001)"</t>
  </si>
  <si>
    <t xml:space="preserve">Detects when an attacker tries to disable User Account Control (UAC) notification by tampering with the "UACDisableNotify" value. UAC is a critical security feature in Windows that prevents unauthorized changes to the operating system. It prompts the user for permission or an administrator password before allowing actions that could affect the system's operation or change settings that affect other users. When "UACDisableNotify" is set to 1, UAC prompts are suppressed. . This rule is adapted from https://github.com/SigmaHQ/sigma/blob/master/rules/windows/registry/registry_set/registry_set_uac_disable_notification.yml</t>
  </si>
  <si>
    <t xml:space="preserve">https://filestore.fortinet.com/docs.fortinet.com/fsiem/Public_Resource_Access/7_6_0/rules/PH_RULE_UAC_Notification_Disabled.htm</t>
  </si>
  <si>
    <t xml:space="preserve">PH_Rule_windows_SIGMA_3817</t>
  </si>
  <si>
    <t xml:space="preserve">Windows: UAC Secure Desktop Prompt Disabled</t>
  </si>
  <si>
    <t xml:space="preserve">regKeyPath REGEXP "\\Microsoft\\Windows\\CurrentVersion\\Policies\\System\\PromptOnSecureDesktop" AND details="DWORD (0x00000000)"</t>
  </si>
  <si>
    <t xml:space="preserve">Detects when an attacker tries to change User Account Control (UAC) elevation request destination via the "PromptOnSecureDesktop" value. The "PromptOnSecureDesktop" setting specifically determines whether UAC prompts are displayed on the secure desktop. The secure desktop is a separate desktop environment that's isolated from other processes running on the system. It's designed to prevent malicious software from intercepting or tampering with UAC prompts. When "PromptOnSecureDesktop" is set to 0, UAC prompts are displayed on the user's current desktop instead of the secure desktop. This reduces the level of security because it potentially exposes the prompts to manipulation by malicious software. . This rule is adapted from https://github.com/SigmaHQ/sigma/blob/master/rules/windows/registry/registry_set/registry_set_uac_disable_secure_desktop_prompt.yml</t>
  </si>
  <si>
    <t xml:space="preserve">https://filestore.fortinet.com/docs.fortinet.com/fsiem/Public_Resource_Access/7_6_0/rules/PH_RULE_UAC_Secure_Desktop_Prompt_Disabled.htm</t>
  </si>
  <si>
    <t xml:space="preserve">PH_Rule_SIGMA_93</t>
  </si>
  <si>
    <t xml:space="preserve">Windows: Unauthorized System Time Modification</t>
  </si>
  <si>
    <t xml:space="preserve">T1070.006</t>
  </si>
  <si>
    <t xml:space="preserve">Win-Security-4616</t>
  </si>
  <si>
    <t xml:space="preserve">(procName!="C:\\Windows\\System32\\svchost.exe" OR securityId!="S-1-5-19") AND procName NOT IN ("C:\\Program Files (x86)\\VMware\\VMware Tools\\vmtoolsd.exe","C:\\Program Files\\VMware\\VMware Tools\\vmtoolsd.exe","C:\\Windows\\System32\\VBoxService.exe","C:\\Windows\\System32\\oobe\\msoobe.exe")</t>
  </si>
  <si>
    <t xml:space="preserve">hostName,procName,securityId</t>
  </si>
  <si>
    <t xml:space="preserve">Windows Security log: Security 4616</t>
  </si>
  <si>
    <t xml:space="preserve">Detect scenarios where a potentially unauthorized application or user is modifying the system time.. This rule is adapted from https://github.com/SigmaHQ/sigma/blob/master/rules/windows/builtin/security/win_security_susp_time_modification.yml</t>
  </si>
  <si>
    <t xml:space="preserve">https://filestore.fortinet.com/docs.fortinet.com/fsiem/Public_Resource_Access/7_6_0/rules/PH_RULE_Unauthorized_System_Time_Modification.htm</t>
  </si>
  <si>
    <t xml:space="preserve">PH_Rule_SIGMA_1116</t>
  </si>
  <si>
    <t xml:space="preserve">Windows: Uncommon New Firewall Rule Added In Windows Firewall Exception List</t>
  </si>
  <si>
    <t xml:space="preserve">Win-Firewall-AS-2004
Win-Firewall-AS-2071
Win-Firewall-AS-2097</t>
  </si>
  <si>
    <t xml:space="preserve">eventAction!=2 AND procPath NOT REGEXP "^C:\\Program Files \(x86\)\\|^C:\\Program Files\\|^C:\\Windows\\SysWOW64\\|^C:\\Windows\\System32\\|^C:\\Windows\\WinSxS\\" AND procPath NOT REGEXP "C:\\PerfLogs\\|C:\\Temp\\|C:\\Tmp\\|C:\\Users\\Public\\|C:\\Windows\\Tasks\\|C:\\Windows\\Temp\\|\\AppData\\Local\\Temp\\" AND (procPath!="System" OR appName!="C:\\Windows\\System32\\dllhost.exe") AND (appName NOT REGEXP "^C:\\Windows\\WinSxS\\" OR appName NOT REGEXP "\\TiWorker\.exe$") AND procPath IS NOT NULL AND (appName NOT IN ("C:\\Windows\\System32\\dllhost.exe","C:\\Windows\\System32\\svchost.exe") OR procPath!="") AND (appName NOT REGEXP "^C:\\Program Files\\Windows Defender\\|^C:\\ProgramData\\Microsoft\\Windows Defender\\Platform\\" OR appName NOT REGEXP "\\MsMpEng\.exe$") AND (procPath NOT REGEXP "^C:\\Program Files\\Windows Defender\\|^C:\\ProgramData\\Microsoft\\Windows Defender\\Platform\\" OR procPath NOT REGEXP "\\MsMpEng\.exe$")</t>
  </si>
  <si>
    <t xml:space="preserve">appName,eventAction,hostName,procPath</t>
  </si>
  <si>
    <t xml:space="preserve">Detects when a rule has been added to the Windows Firewall exception list. This rule is adapted from https://github.com/SigmaHQ/sigma/blob/master/rules/windows/builtin/firewall_as/win_firewall_as_add_rule.yml</t>
  </si>
  <si>
    <t xml:space="preserve">https://filestore.fortinet.com/docs.fortinet.com/fsiem/Public_Resource_Access/7_6_0/rules/PH_RULE_Added_Rule_in_Windows_Firewall_with_Advanced_Security.htm</t>
  </si>
  <si>
    <t xml:space="preserve">PH_Rule_SIGMA_1778</t>
  </si>
  <si>
    <t xml:space="preserve">Windows: Uncommon Outbound Kerberos Connection</t>
  </si>
  <si>
    <t xml:space="preserve">T1550.003</t>
  </si>
  <si>
    <t xml:space="preserve">destIpPort=88 AND initiated="true" AND procName!="C:\\Windows\\System32\\lsass.exe" AND procName NOT IN ("C:\\Program Files (x86)\\Google\\Chrome\\Application\\chrome.exe","C:\\Program Files\\Google\\Chrome\\Application\\chrome.exe") AND procName NOT IN ("C:\\Program Files (x86)\\Mozilla Firefox\\firefox.exe","C:\\Program Files\\Mozilla Firefox\\firefox.exe") AND procName NOT REGEXP "\\tomcat\\bin\\tomcat8\.exe$"</t>
  </si>
  <si>
    <t xml:space="preserve">Detects uncommon outbound network activity via Kerberos default port indicating possible lateral movement or first stage PrivEsc via delegation. . This rule is adapted from https://github.com/SigmaHQ/sigma/blob/master/rules/windows/network_connection/net_connection_win_susp_outbound_kerberos_connection.yml</t>
  </si>
  <si>
    <t xml:space="preserve">https://filestore.fortinet.com/docs.fortinet.com/fsiem/Public_Resource_Access/7_6_0/rules/PH_RULE_Suspicious_Outbound_Kerberos_Connection.htm</t>
  </si>
  <si>
    <t xml:space="preserve">PH_Rule_windows_SIGMA_2842</t>
  </si>
  <si>
    <t xml:space="preserve">Windows: Uncommon Outbound Kerberos Connection - Security</t>
  </si>
  <si>
    <t xml:space="preserve">destIpPort=88 AND (appName NOT REGEXP "^C:|^\\device\\harddiskvolume" OR appName NOT REGEXP "\\Windows\\System32\\lsass\.exe$") AND (appName NOT REGEXP "^C:|^\\device\\harddiskvolume" OR appName NOT REGEXP "\\Program Files \(x86\)\\Google\\Chrome\\Application\\chrome\.exe$|\\Program Files\\Google\\Chrome\\Application\\chrome\.exe$") AND (appName NOT REGEXP "^C:|^\\device\\harddiskvolume" OR appName NOT REGEXP "\\Program Files \(x86\)\\Mozilla Firefox\\firefox\.exe$|\\Program Files\\Mozilla Firefox\\firefox\.exe$") AND appName NOT REGEXP "\\tomcat\\bin\\tomcat8\.exe$"</t>
  </si>
  <si>
    <t xml:space="preserve">appName,destIpPort,hostName</t>
  </si>
  <si>
    <t xml:space="preserve">Detects uncommon outbound network activity via Kerberos default port indicating possible lateral movement or first stage PrivEsc via delegation. . This rule is adapted from https://github.com/SigmaHQ/sigma/blob/master/rules/windows/builtin/security/win_security_susp_outbound_kerberos_connection.yml</t>
  </si>
  <si>
    <t xml:space="preserve">https://filestore.fortinet.com/docs.fortinet.com/fsiem/Public_Resource_Access/7_6_0/rules/PH_RULE_Uncommon_Outbound_Kerberos_Connection_Security.htm</t>
  </si>
  <si>
    <t xml:space="preserve">PH_Rule_SIGMA_1859</t>
  </si>
  <si>
    <t xml:space="preserve">Windows: Unsigned Binary Loaded From Suspicious Location</t>
  </si>
  <si>
    <t xml:space="preserve">procName REGEXP ".*C:\\Windows\\TEMP\\.*|.*\\AppData\\Local\\Temp\\.*|.*\\Desktop\\.*|.*\\Downloads\\.*|.*\\PerfLogs\\.*|.*\\Users\\Public\\.*"</t>
  </si>
  <si>
    <t xml:space="preserve">Detects Code Integrity (CI) engine blocking processes from loading unsigned DLLs residing in suspicious locations. This rule is adapted from https://github.com/SigmaHQ/sigma/blob/master/rules/windows/builtin/security_mitigations/win_security_mitigations_unsigned_dll_from_susp_location.yml</t>
  </si>
  <si>
    <t xml:space="preserve">https://filestore.fortinet.com/docs.fortinet.com/fsiem/Public_Resource_Access/7_6_0/rules/PH_RULE_Unsigned_Binary_Loaded_From_Suspicious_Location.htm</t>
  </si>
  <si>
    <t xml:space="preserve">PH_Rule_windows_SIGMA_3527</t>
  </si>
  <si>
    <t xml:space="preserve">Windows: User Added To Highly Privileged Group</t>
  </si>
  <si>
    <t xml:space="preserve">((command REGEXP "localgroup " AND command REGEXP " /add") OR (command REGEXP "Add-LocalGroupMember " AND command REGEXP " -Group ")) AND command REGEXP "Group Policy Creator Owners|Schema Admins"</t>
  </si>
  <si>
    <t xml:space="preserve">Detects addition of users to highly privileged groups via "Net" or "Add-LocalGroupMember".. This rule is adapted from https://github.com/SigmaHQ/sigma/blob/master/rules/windows/process_creation/proc_creation_win_susp_add_user_privileged_group.yml</t>
  </si>
  <si>
    <t xml:space="preserve">https://filestore.fortinet.com/docs.fortinet.com/fsiem/Public_Resource_Access/7_6_0/rules/PH_RULE_User_Added_To_Highly_Privileged_Group.htm</t>
  </si>
  <si>
    <t xml:space="preserve">PH_Rule_windows_SIGMA_2844</t>
  </si>
  <si>
    <t xml:space="preserve">Windows: User Logoff Event</t>
  </si>
  <si>
    <t xml:space="preserve">Win-Security-4634
Win-Security-4647</t>
  </si>
  <si>
    <t xml:space="preserve">Windows Security log: Security 4634
Windows Security log: Security 4647</t>
  </si>
  <si>
    <t xml:space="preserve">Detects a user log-off activity. Could be used for example to correlate information during forensic investigations. This rule is adapted from https://github.com/SigmaHQ/sigma/blob/master/rules/windows/builtin/security/win_security_user_logoff.yml</t>
  </si>
  <si>
    <t xml:space="preserve">https://filestore.fortinet.com/docs.fortinet.com/fsiem/Public_Resource_Access/7_6_0/rules/PH_RULE_User_Logoff_Event.htm</t>
  </si>
  <si>
    <t xml:space="preserve">PH_Rule_windows_SIGMA_2819</t>
  </si>
  <si>
    <t xml:space="preserve">Windows: Weak Encryption Enabled and Kerberoast</t>
  </si>
  <si>
    <t xml:space="preserve">Active Directory, Windows Security log, Kerberos, Privilege/account change</t>
  </si>
  <si>
    <t xml:space="preserve">((newValue REGEXP "8...$|9...$|A...$|B...$|C...$|D...$|E...$|F...$" AND oldValue NOT REGEXP "8...$|9...$|A...$|B...$|C...$|D...$|E...$|F...$") OR (newValue REGEXP "1....$|3....$|5....$|7....$|9....$|B....$|D....$|F....$" AND oldValue NOT REGEXP "1....$|3....$|5....$|7....$|9....$|B....$|D....$|F....$") OR (newValue REGEXP "8..$|9..$|A..$|B..$|C..$|D..$|E..$|F..$" AND oldValue NOT REGEXP "8..$|9..$|A..$|B..$|C..$|D..$|E..$|F..$"))</t>
  </si>
  <si>
    <t xml:space="preserve">hostName,newValue,oldValue</t>
  </si>
  <si>
    <t xml:space="preserve">Detects scenario where weak encryption is enabled for a user profile which could be used for hash/password cracking.. This rule is adapted from https://github.com/SigmaHQ/sigma/blob/master/rules/windows/builtin/security/win_security_alert_enable_weak_encryption.yml</t>
  </si>
  <si>
    <t xml:space="preserve">https://filestore.fortinet.com/docs.fortinet.com/fsiem/Public_Resource_Access/7_6_0/rules/PH_RULE_Weak_Encryption_Enabled_and_Kerberoast.htm</t>
  </si>
  <si>
    <t xml:space="preserve">PH_Rule_windows_SIGMA_3660</t>
  </si>
  <si>
    <t xml:space="preserve">Windows: Windows Credential Guard Disabled - Registry</t>
  </si>
  <si>
    <t xml:space="preserve">regKeyPath REGEXP "\\DeviceGuard\\EnableVirtualizationBasedSecurity$|\\DeviceGuard\\LsaCfgFlags$|\\Lsa\\LsaCfgFlags$" AND details="DWORD (0x00000000)"</t>
  </si>
  <si>
    <t xml:space="preserve">Detects attempts to disable Windows Credential Guard by setting registry values to 0. Credential Guard uses virtualization-based security to isolate secrets so that only privileged system software can access them. Adversaries may disable Credential Guard to gain access to sensitive credentials stored in the system, such as NTLM hashes and Kerberos tickets, which can be used for lateral movement and privilege escalation. . This rule is adapted from https://github.com/SigmaHQ/sigma/blob/master/rules/windows/registry/registry_set/registry_set_credential_guard_disabled.yml</t>
  </si>
  <si>
    <t xml:space="preserve">https://filestore.fortinet.com/docs.fortinet.com/fsiem/Public_Resource_Access/7_6_0/rules/PH_RULE_Windows_Credential_Guard_Disabled_Registry.htm</t>
  </si>
  <si>
    <t xml:space="preserve">PH_Rule_windows_SIGMA_3331</t>
  </si>
  <si>
    <t xml:space="preserve">Windows: Windows Credential Guard Registry Tampering Via CommandLine</t>
  </si>
  <si>
    <t xml:space="preserve">(procName REGEXP "\\powershell\.exe$|\\pwsh\.exe$|\\reg\.exe$" OR srcFileName IN ("PowerShell.EXE","pwsh.dll","reg.exe")) AND command REGEXP "New-ItemProperty |Remove-ItemProperty |Set-ItemProperty |add |del |delete |rp |si " AND command REGEXP "Software\\Policies\\Microsoft\\Windows\\DeviceGuard|\\Control\\DeviceGuard|\\Control\\LSA" AND command REGEXP "EnableVirtualizationBasedSecurity|LsaCfgFlags|RequirePlatformSecurityFeatures"</t>
  </si>
  <si>
    <t xml:space="preserve">Detects attempts to add, modify, or delete Windows Credential Guard related registry keys or values via command line tools such as Reg.exe or PowerShell. Credential Guard uses virtualization-based security to isolate secrets so that only privileged system software can access them. Adversaries may disable Credential Guard to gain access to sensitive credentials stored in the system, such as NTLM hashes and Kerberos tickets, which can be used for lateral movement and privilege escalation. The rule matches suspicious command lines that target DeviceGuard or LSA registry paths and manipulate keys like EnableVirtualizationBasedSecurity, RequirePlatformSecurityFeatures, or LsaCfgFlags. Such activity may indicate an attempt to disable or tamper with Credential Guard, potentially exposing sensitive credentials for misuse. . This rule is adapted from https://github.com/SigmaHQ/sigma/blob/master/rules/windows/process_creation/proc_creation_win_credential_guard_registry_tampering.yml</t>
  </si>
  <si>
    <t xml:space="preserve">https://filestore.fortinet.com/docs.fortinet.com/fsiem/Public_Resource_Access/7_6_0/rules/PH_RULE_Windows_Credential_Guard_Registry_Tampering_Via_CommandLine.htm</t>
  </si>
  <si>
    <t xml:space="preserve">PH_Rule_windows_SIGMA_3612</t>
  </si>
  <si>
    <t xml:space="preserve">Windows: Windows Credential Guard Related Registry Value Deleted - Registry</t>
  </si>
  <si>
    <t xml:space="preserve">REGEXP:Win-Sysmon-12-Registry-Delete.*</t>
  </si>
  <si>
    <t xml:space="preserve">regKeyPath REGEXP "\\DeviceGuard\\EnableVirtualizationBasedSecurity$|\\DeviceGuard\\LsaCfgFlags$|\\DeviceGuard\\RequirePlatformSecurityFeatures$|\\Lsa\\LsaCfgFlags$"</t>
  </si>
  <si>
    <t xml:space="preserve">Detects attempts to disable Windows Credential Guard by deleting registry values. Credential Guard uses virtualization-based security to isolate secrets so that only privileged system software can access them. Adversaries may disable Credential Guard to gain access to sensitive credentials stored in the system, such as NTLM hashes and Kerberos tickets, which can be used for lateral movement and privilege escalation. . This rule is adapted from https://github.com/SigmaHQ/sigma/blob/master/rules/windows/registry/registry_delete/registry_delete_disable_credential_guard.yml</t>
  </si>
  <si>
    <t xml:space="preserve">https://filestore.fortinet.com/docs.fortinet.com/fsiem/Public_Resource_Access/7_6_0/rules/PH_RULE_Windows_Credential_Guard_Related_Registry_Value_Deleted_Registry.htm</t>
  </si>
  <si>
    <t xml:space="preserve">PH_Rule_windows_SIGMA_2822</t>
  </si>
  <si>
    <t xml:space="preserve">Windows: Windows Default Domain GPO Modification</t>
  </si>
  <si>
    <t xml:space="preserve">osObjType="groupPolicyContainer" AND objId REGEXP "^CN=\{31B2F340-016D-11D2-945F-00C04FB984F9\},CN=POLICIES,CN=SYSTEM|^CN=\{6AC1786C-016F-11D2-945F-00C04FB984F9\},CN=POLICIES,CN=SYSTEM"</t>
  </si>
  <si>
    <t xml:space="preserve">hostName,objId,osObjType</t>
  </si>
  <si>
    <t xml:space="preserve">Detects modifications to Default Domain or Default Domain Controllers Group Policy Objects (GPOs). Adversaries may modify these default GPOs to deploy malicious configurations across the domain. . This rule is adapted from https://github.com/SigmaHQ/sigma/blob/master/rules/windows/builtin/security/win_security_default_domain_gpo_modification.yml</t>
  </si>
  <si>
    <t xml:space="preserve">https://filestore.fortinet.com/docs.fortinet.com/fsiem/Public_Resource_Access/7_6_0/rules/PH_RULE_Windows_Default_Domain_GPO_Modification.htm</t>
  </si>
  <si>
    <t xml:space="preserve">PH_Rule_windows_SIGMA_3400</t>
  </si>
  <si>
    <t xml:space="preserve">Windows: Windows Default Domain GPO Modification via GPME</t>
  </si>
  <si>
    <t xml:space="preserve">(procName REGEXP "\\mmc\.exe$" OR srcFileName="MMC.exe") AND command REGEXP "gpme\.msc" AND command REGEXP "gpobject:" AND command REGEXP "31B2F340-016D-11D2-945F-00C04FB984F9|6AC1786C-016F-11D2-945F-00C04FB984F9"</t>
  </si>
  <si>
    <t xml:space="preserve">Detects the use of the Group Policy Management Editor (GPME) to modify Default Domain or Default Domain Controllers Group Policy Objects (GPOs). Adversaries may leverage GPME to make stealthy changes in these default GPOs to deploy malicious GPOs configurations across the domain without raising suspicion. . This rule is adapted from https://github.com/SigmaHQ/sigma/blob/master/rules/windows/process_creation/proc_creation_win_mmc_default_domain_gpo_modification_via_gpme.yml</t>
  </si>
  <si>
    <t xml:space="preserve">https://filestore.fortinet.com/docs.fortinet.com/fsiem/Public_Resource_Access/7_6_0/rules/PH_RULE_Windows_Default_Domain_GPO_Modification_via_GPME.htm</t>
  </si>
  <si>
    <t xml:space="preserve">PH_Rule_windows_SIGMA_2845</t>
  </si>
  <si>
    <t xml:space="preserve">Windows: Windows Defender Exclusion List Modified</t>
  </si>
  <si>
    <t xml:space="preserve">osObjName REGEXP "\\Microsoft\\Windows Defender\\Exclusions\\"</t>
  </si>
  <si>
    <t xml:space="preserve">Detects modifications to the Windows Defender exclusion registry key. This could indicate a potentially suspicious or even malicious activity by an attacker trying to add a new exclusion in order to bypass security. . This rule is adapted from https://github.com/SigmaHQ/sigma/blob/master/rules/windows/builtin/security/win_security_windows_defender_exclusions_registry_modified.yml</t>
  </si>
  <si>
    <t xml:space="preserve">https://filestore.fortinet.com/docs.fortinet.com/fsiem/Public_Resource_Access/7_6_0/rules/PH_RULE_Windows_Defender_Exclusion_List_Modified.htm</t>
  </si>
  <si>
    <t xml:space="preserve">PH_Rule_windows_SIGMA_2846</t>
  </si>
  <si>
    <t xml:space="preserve">Windows: Windows Defender Exclusion Registry Key - Write Access Requested</t>
  </si>
  <si>
    <t xml:space="preserve">osObjAccessType REGEXP "%%4417|%%4418" AND osObjName REGEXP "\\Microsoft\\Windows Defender\\Exclusions\\"</t>
  </si>
  <si>
    <t xml:space="preserve">Detects write access requests to the Windows Defender exclusions registry keys. This could be an indication of an attacker trying to request a handle or access the object to write new exclusions in order to bypass security. . This rule is adapted from https://github.com/SigmaHQ/sigma/blob/master/rules/windows/builtin/security/win_security_windows_defender_exclusions_write_access.yml</t>
  </si>
  <si>
    <t xml:space="preserve">https://filestore.fortinet.com/docs.fortinet.com/fsiem/Public_Resource_Access/7_6_0/rules/PH_RULE_Windows_Defender_Exclusion_Registry_Key_Write_Access_Requested.htm</t>
  </si>
  <si>
    <t xml:space="preserve">PH_Rule_SIGMA_1120</t>
  </si>
  <si>
    <t xml:space="preserve">Windows: Windows Defender Firewall Has Been Reset To Its Default Configuration</t>
  </si>
  <si>
    <t xml:space="preserve">Win-Firewall-AS-2032
Win-Firewall-AS-2060</t>
  </si>
  <si>
    <t xml:space="preserve">Detects activity when Windows Defender Firewall has been reset to its default configuration. This rule is adapted from https://github.com/SigmaHQ/sigma/blob/master/rules/windows/builtin/firewall_as/win_firewall_as_reset_config.yml</t>
  </si>
  <si>
    <t xml:space="preserve">https://filestore.fortinet.com/docs.fortinet.com/fsiem/Public_Resource_Access/7_6_0/rules/PH_RULE_Reset_to_Default_Configuration_Windows_Firewall_with_Advanced_Security.htm</t>
  </si>
  <si>
    <t xml:space="preserve">PH_Rule_windows_SIGMA_2823</t>
  </si>
  <si>
    <t xml:space="preserve">Windows: Windows Event Auditing Disabled</t>
  </si>
  <si>
    <t xml:space="preserve">actionName REGEXP "%%8448|%%8450" AND oid NOT IN ("{0CCE9210-69AE-11D9-BED3-505054503030}","{0CCE9211-69AE-11D9-BED3-505054503030}","{0CCE9212-69AE-11D9-BED3-505054503030}","{0CCE9215-69AE-11D9-BED3-505054503030}","{0CCE9217-69AE-11D9-BED3-505054503030}","{0CCE921B-69AE-11D9-BED3-505054503030}","{0CCE922B-69AE-11D9-BED3-505054503030}","{0CCE922F-69AE-11D9-BED3-505054503030}","{0CCE9230-69AE-11D9-BED3-505054503030}","{0CCE9235-69AE-11D9-BED3-505054503030}","{0CCE9236-69AE-11D9-BED3-505054503030}","{0CCE9237-69AE-11D9-BED3-505054503030}","{0CCE923F-69AE-11D9-BED3-505054503030}","{0CCE9240-69AE-11D9-BED3-505054503030}","{0CCE9242-69AE-11D9-BED3-505054503030}")</t>
  </si>
  <si>
    <t xml:space="preserve">Detects scenarios where system auditing (i.e.: Windows event log auditing) is disabled. This may be used in a scenario where an entity would want to bypass local logging to evade detection when Windows event logging is enabled and reviewed. Also, it is recommended to turn off "Local Group Policy Object Processing" via GPO, which will make sure that Active Directory GPOs take precedence over local/edited computer policies via something such as "gpedit.msc". Please note, that disabling "Local Group Policy Object Processing" may cause an issue in scenarios of one off specific GPO modifications - however, it is recommended to perform these modifications in Active Directory anyways. . This rule is adapted from https://github.com/SigmaHQ/sigma/blob/master/rules/windows/builtin/security/win_security_disable_event_auditing.yml</t>
  </si>
  <si>
    <t xml:space="preserve">https://filestore.fortinet.com/docs.fortinet.com/fsiem/Public_Resource_Access/7_6_0/rules/PH_RULE_Windows_Event_Auditing_Disabled.htm</t>
  </si>
  <si>
    <t xml:space="preserve">PH_Rule_windows_SIGMA_2850</t>
  </si>
  <si>
    <t xml:space="preserve">Windows: Windows Filtering Platform Blocked Connection From EDR Agent Binary</t>
  </si>
  <si>
    <t xml:space="preserve">Win-Security-5157</t>
  </si>
  <si>
    <t xml:space="preserve">appName REGEXP "\\AmSvc\.exe$|\\CETASvc\.exe$|\\CNTAoSMgr\.exe$|\\CSFalconContainer\.exe$|\\CSFalconService\.exe$|\\CrAmTray\.exe$|\\CrsSvc\.exe$|\\CybereasonAV\.exe$|\\CylanceSvc\.exe$|\\CyveraService\.exe$|\\CyvrFsFlt\.exe$|\\EIConnector\.exe$|\\EndpointBasecamp\.exe$|\\ExecutionPreventionSvc\.exe$|\\LogProcessorService\.exe$|\\MsMpEng\.exe$|\\MsSense\.exe$|\\Ntrtscan\.exe$|\\PccNTMon\.exe$|\\QualysAgent\.exe$|\\RepMgr\.exe$|\\RepUtils\.exe$|\\RepUx\.exe$|\\RepWAV\.exe$|\\RepWSC\.exe$|\\SenseCncProxy\.exe$|\\SenseIR\.exe$|\\SenseNdr\.exe$|\\SenseSampleUploader\.exe$|\\SentinelAgentWorker\.exe$|\\SentinelAgent\.exe$|\\SentinelBrowserNativeHost\.exe$|\\SentinelHelperService\.exe$|\\SentinelServiceHost\.exe$|\\SentinelStaticEngineScanner\.exe$|\\SentinelStaticEngine\.exe$|\\TMBMSRV\.exe$|\\TaniumCX\.exe$|\\TaniumClient\.exe$|\\TaniumDetectEngine\.exe$|\\TmCCSF\.exe$|\\TmListen\.exe$|\\TmWSCSvc\.exe$|\\Traps\.exe$|\\WSCommunicator\.exe$|\\cb\.exe$|\\cyserver\.exe$|\\elastic-agent\.exe$|\\elastic-endpoint\.exe$|\\filebeat\.exe$|\\fortiedr\.exe$|\\hmpalert\.exe$|\\hurukai\.exe$|\\mcsagent\.exe$|\\mcsclient\.exe$|\\sedservice\.exe$|\\sfc\.exe$|\\sophos ui\.exe$|\\sophosLivequeryservice\.exe$|\\sophosfilescanner\.exe$|\\sophosfs\.exe$|\\sophoshealth\.exe$|\\sophosips\.exe$|\\sophosnetfilter\.exe$|\\sophosntpservice\.exe$|\\sophososquery\.exe$|\\sspservice\.exe$|\\winlogbeat\.exe$|\\xagt\.exe$"</t>
  </si>
  <si>
    <t xml:space="preserve">Windows Security log: Security 5157</t>
  </si>
  <si>
    <t xml:space="preserve">Detects a Windows Filtering Platform (WFP) blocked connection event involving common Endpoint Detection and Response (EDR) agents. Adversaries may use WFP filters to prevent Endpoint Detection and Response (EDR) agents from reporting security events. . This rule is adapted from https://github.com/SigmaHQ/sigma/blob/master/rules/windows/builtin/security/object_access/win_security_wfp_endpoint_agent_blocked.yml</t>
  </si>
  <si>
    <t xml:space="preserve">https://filestore.fortinet.com/docs.fortinet.com/fsiem/Public_Resource_Access/7_6_0/rules/PH_RULE_Windows_Filtering_Platform_Blocked_Connection_From_EDR_Agent_Binary.htm</t>
  </si>
  <si>
    <t xml:space="preserve">PH_Rule_SIGMA_1121</t>
  </si>
  <si>
    <t xml:space="preserve">Windows: Windows Firewall Settings Have Been Changed</t>
  </si>
  <si>
    <t xml:space="preserve">Win-Firewall-AS-2002
Win-Firewall-AS-2003
Win-Firewall-AS-2008
Win-Firewall-AS-2082
Win-Firewall-AS-2083</t>
  </si>
  <si>
    <t xml:space="preserve">Detects activity when the settings of the Windows firewall have been changed. This rule is adapted from https://github.com/SigmaHQ/sigma/blob/master/rules/windows/builtin/firewall_as/win_firewall_as_setting_change.yml</t>
  </si>
  <si>
    <t xml:space="preserve">https://filestore.fortinet.com/docs.fortinet.com/fsiem/Public_Resource_Access/7_6_0/rules/PH_RULE_Setting_Change_in_Windows_Firewall_with_Advanced_Security.htm</t>
  </si>
  <si>
    <t xml:space="preserve">PH_Rule_SIGMA_1190</t>
  </si>
  <si>
    <t xml:space="preserve">Windows: Windows Network Access Suspicious desktop.ini Action</t>
  </si>
  <si>
    <t xml:space="preserve">osObjType="File" AND targetName REGEXP "\\desktop\.ini$" AND osObjAccessType REGEXP "AddSubdirectory|AppendData|DELETE|WriteDAC|WriteData"</t>
  </si>
  <si>
    <t xml:space="preserve">hostName,osObjAccessType,osObjType,targetName</t>
  </si>
  <si>
    <t xml:space="preserve">Detects unusual processes accessing desktop.ini remotely over network share, which can be leveraged to alter how Explorer displays a folder's content (i.e. renaming files) without changing them on disk.. This rule is adapted from https://github.com/SigmaHQ/sigma/blob/master/rules/windows/builtin/security/win_security_net_share_obj_susp_desktop_ini.yml</t>
  </si>
  <si>
    <t xml:space="preserve">https://filestore.fortinet.com/docs.fortinet.com/fsiem/Public_Resource_Access/7_6_0/rules/PH_RULE_Windows_Network_Access_Suspicious_desktop_ini_Action.htm</t>
  </si>
  <si>
    <t xml:space="preserve">PH_RULE_ZSCALER_ZPA_ADMIN_CREATED</t>
  </si>
  <si>
    <t xml:space="preserve">Zscaler ZPA: New Administrator Created</t>
  </si>
  <si>
    <t xml:space="preserve">Zscaler ZPA via LSS Syslog Integration</t>
  </si>
  <si>
    <t xml:space="preserve">Zscaler-ZPA-Audit-Admin-Create</t>
  </si>
  <si>
    <t xml:space="preserve">admin_create</t>
  </si>
  <si>
    <t xml:space="preserve">objType="Administrator"</t>
  </si>
  <si>
    <t xml:space="preserve">COUNT(*) &gt;=1</t>
  </si>
  <si>
    <t xml:space="preserve">Other: Zscaler-ZPA-Audit-Admin-Create</t>
  </si>
  <si>
    <t xml:space="preserve">Zscaler ZPA Audit reported an Administrator create event. This rule relies on Zscaler LSS audit logs.</t>
  </si>
  <si>
    <t xml:space="preserve">https://filestore.fortinet.com/docs.fortinet.com/fsiem/Public_Resource_Access/7_6_0/rules/PH_RULE_ZSCALER_ZPA_ADMIN_CREATED.htm</t>
  </si>
  <si>
    <t xml:space="preserve">PH_Rule_IPS_ADV_7</t>
  </si>
  <si>
    <t xml:space="preserve">ARP Exploit</t>
  </si>
  <si>
    <t xml:space="preserve">Tactic match only</t>
  </si>
  <si>
    <t xml:space="preserve">Group@PH_SYS_EVENT_ARPExploit</t>
  </si>
  <si>
    <t xml:space="preserve">Event-type group (membership not published): Group@PH_SYS_EVENT_ARPExploit</t>
  </si>
  <si>
    <t xml:space="preserve">Detects ARP attack</t>
  </si>
  <si>
    <t xml:space="preserve">https://filestore.fortinet.com/docs.fortinet.com/fsiem/Public_Resource_Access/7_6_0/rules/PH_RULE_ARP_ATTACK.htm</t>
  </si>
  <si>
    <t xml:space="preserve">PH_Rule_AWSSecHub_9</t>
  </si>
  <si>
    <t xml:space="preserve">AWS SecHub: Tactics: Lateral Movement Detected</t>
  </si>
  <si>
    <t xml:space="preserve">AWS-Hub-TTPs-Lateral_Movement</t>
  </si>
  <si>
    <t xml:space="preserve">Other: AWS-Hub-TTPs-Lateral_Movement</t>
  </si>
  <si>
    <t xml:space="preserve">AWS Security Hub detected Lateral Movement tactics. Adversary is trying to move through your environment.</t>
  </si>
  <si>
    <t xml:space="preserve">https://filestore.fortinet.com/docs.fortinet.com/fsiem/Public_Resource_Access/7_6_0/rules/PH_RULE_AWS_SECHUB_TTP_LATERAL_MOVEMENT.htm</t>
  </si>
  <si>
    <t xml:space="preserve">PH_Rule_ES_IMPORT_AZURE_1</t>
  </si>
  <si>
    <t xml:space="preserve">Azure Key Vault Modified</t>
  </si>
  <si>
    <t xml:space="preserve">MS_EvtHub_keyvault_vaults_write</t>
  </si>
  <si>
    <t xml:space="preserve">Other: MS_EvtHub_keyvault_vaults_write</t>
  </si>
  <si>
    <t xml:space="preserve">Identifies modifications to a Key Vault in Azure. The Key Vault is a service that safeguards encryption keys and secrets like certificates, connection strings, and passwords. Because this data is sensitive and business critical, access to key vaults should be secured to allow only authorized applications and users.</t>
  </si>
  <si>
    <t xml:space="preserve">https://filestore.fortinet.com/docs.fortinet.com/fsiem/Public_Resource_Access/7_6_0/rules/PH_RULE_Azure_Key_Vault_Modified.htm</t>
  </si>
  <si>
    <t xml:space="preserve">PH_Rule_ES_IMPORT_AZURE_2</t>
  </si>
  <si>
    <t xml:space="preserve">Azure Storage Account Key Regenerated</t>
  </si>
  <si>
    <t xml:space="preserve">MS_EvtHub_storage_storageaccounts_regeneratekey_action</t>
  </si>
  <si>
    <t xml:space="preserve">Other: MS_EvtHub_storage_storageaccounts_regeneratekey_action</t>
  </si>
  <si>
    <t xml:space="preserve">Identifies a rotation to storage account access keys in Azure. Regenerating access keys can affect any applications or Azure services that are dependent on the storage account key. Adversaries may regenerate a key as a means of acquiring credentials to access systems and resources.</t>
  </si>
  <si>
    <t xml:space="preserve">https://filestore.fortinet.com/docs.fortinet.com/fsiem/Public_Resource_Access/7_6_0/rules/PH_RULE_Azure_Storage_Account_Key_Regenerated.htm</t>
  </si>
  <si>
    <t xml:space="preserve">PH_Rule_CCM_41</t>
  </si>
  <si>
    <t xml:space="preserve">Cisco Call Manager EMCC Login Failure</t>
  </si>
  <si>
    <t xml:space="preserve">Cisco Call Manager via Syslog</t>
  </si>
  <si>
    <t xml:space="preserve">Cisco_UC_RTMT_UserInputFailure</t>
  </si>
  <si>
    <t xml:space="preserve">CCM</t>
  </si>
  <si>
    <t xml:space="preserve">Other: Cisco_UC_RTMT_UserInputFailure</t>
  </si>
  <si>
    <t xml:space="preserve">Cisco Extension Mobility Cross Cluster (EMCC) login failure due to invalid user input due to invalid user credentials or the credentials have expired</t>
  </si>
  <si>
    <t xml:space="preserve">https://filestore.fortinet.com/docs.fortinet.com/fsiem/Public_Resource_Access/7_6_0/rules/PH_RULE_CCM_EMCC_LOGIN_FAILURE.htm</t>
  </si>
  <si>
    <t xml:space="preserve">PH_Rule_CCM_1</t>
  </si>
  <si>
    <t xml:space="preserve">Cisco CallManager Excessive Authentication Failure</t>
  </si>
  <si>
    <t xml:space="preserve">Cisco_UC_RTMT_AuthenticationFailed</t>
  </si>
  <si>
    <t xml:space="preserve">Other: Cisco_UC_RTMT_AuthenticationFailed</t>
  </si>
  <si>
    <t xml:space="preserve">Number of AuthenticationFailed events exceeds configured limit</t>
  </si>
  <si>
    <t xml:space="preserve">https://filestore.fortinet.com/docs.fortinet.com/fsiem/Public_Resource_Access/7_6_0/rules/PH_RULE_CCM_AUTH_FAILED.htm</t>
  </si>
  <si>
    <t xml:space="preserve">PH_Rule_CyberArk_8</t>
  </si>
  <si>
    <t xml:space="preserve">CyberArk Vault CPM Password Disabled</t>
  </si>
  <si>
    <t xml:space="preserve">CyberArk-Vault-130</t>
  </si>
  <si>
    <t xml:space="preserve">Other: CyberArk-Vault-130</t>
  </si>
  <si>
    <t xml:space="preserve">Detects CyberArk Vault password being disabled via CPM</t>
  </si>
  <si>
    <t xml:space="preserve">https://filestore.fortinet.com/docs.fortinet.com/fsiem/Public_Resource_Access/7_6_0/rules/PH_RULE_CYBERARK_PASSWORD_DISABLE.htm</t>
  </si>
  <si>
    <t xml:space="preserve">PH_RULE_HostExposedService</t>
  </si>
  <si>
    <t xml:space="preserve">Exposed Service Detected on Host</t>
  </si>
  <si>
    <t xml:space="preserve">T1210</t>
  </si>
  <si>
    <t xml:space="preserve">FortiRecon via HTTPS Advanced API Integration</t>
  </si>
  <si>
    <t xml:space="preserve">Group@PH_SYS_EVENT_ExposedService</t>
  </si>
  <si>
    <t xml:space="preserve">filter</t>
  </si>
  <si>
    <t xml:space="preserve">hostName,hostIpAddr,eventType</t>
  </si>
  <si>
    <t xml:space="preserve">Event-type group (membership not published): Group@PH_SYS_EVENT_ExposedService</t>
  </si>
  <si>
    <t xml:space="preserve">A system has reported an exposed service such as a database, administrative, remote access, or unsecured protocol in use and visible from any source.</t>
  </si>
  <si>
    <t xml:space="preserve">https://filestore.fortinet.com/docs.fortinet.com/fsiem/Public_Resource_Access/7_6_0/rules/PH_RULE_HostExposedService.htm</t>
  </si>
  <si>
    <t xml:space="preserve">PH_Rule_Access_58</t>
  </si>
  <si>
    <t xml:space="preserve">Failed VPN Logon From Outside My Country</t>
  </si>
  <si>
    <t xml:space="preserve">VPNLoginOutside</t>
  </si>
  <si>
    <t xml:space="preserve">srcGeoCountry NOT IN (Group@PH_COUNTRY_GROUP_MYHOME)</t>
  </si>
  <si>
    <t xml:space="preserve">srcIpAddr, srcGeoCountry, user</t>
  </si>
  <si>
    <t xml:space="preserve">Detects VPN logon from outside my country. My Country is set to "United States" and may need to be changed for outside United States deployments.</t>
  </si>
  <si>
    <t xml:space="preserve">https://filestore.fortinet.com/docs.fortinet.com/fsiem/Public_Resource_Access/7_6_0/rules/PH_RULE_VPN_FAILED_LOGON_OUTSIDE_COUNTRY.htm</t>
  </si>
  <si>
    <t xml:space="preserve">PH_Rule_PolicyViolation_8</t>
  </si>
  <si>
    <t xml:space="preserve">Firewall: Remote Desktop traffic from Internet</t>
  </si>
  <si>
    <t xml:space="preserve">Checkpoint via Syslog or Netflow
Palo Alto via Syslog or Netflow
FortiGate via Syslog or Netflow</t>
  </si>
  <si>
    <t xml:space="preserve">Group@PH_SYS_EVENT_BiNetflowTraffic
Group@PH_SYS_EVENT_NetflowTraffic
Group@PH_SYS_EVENT_PermitNetTraffic</t>
  </si>
  <si>
    <t xml:space="preserve">srcIpAddr NOT IN (Group@PH_SYS_NETWORK_ENTERPRISE_INTERNAL_NET) AND destIpAddr IN (Group@PH_SYS_NETWORK_ENTERPRISE_INTERNAL_NET) AND destIpPort = 3389</t>
  </si>
  <si>
    <t xml:space="preserve">Event-type group (membership not published): Group@PH_SYS_EVENT_PermitNetTraffic
Event-type group (membership not published): Group@PH_SYS_EVENT_NetflowTraffic
Event-type group (membership not published): Group@PH_SYS_EVENT_BiNetflowTraffic</t>
  </si>
  <si>
    <t xml:space="preserve">A firewall has detected permitted inbound RDP traffic from the public Internet. This is defined as any source IP outside the Internal network resource group. Please make sure that the Internal network group definition is correct to avoid false positives.</t>
  </si>
  <si>
    <t xml:space="preserve">https://filestore.fortinet.com/docs.fortinet.com/fsiem/Public_Resource_Access/7_6_0/rules/PH_RULE_INBOUND_REMOTE_DESKTOP.htm</t>
  </si>
  <si>
    <t xml:space="preserve">PH_Rule_FortiDeceptor_1</t>
  </si>
  <si>
    <t xml:space="preserve">FortiDeceptor: IPS Attack to Decoy</t>
  </si>
  <si>
    <t xml:space="preserve">FortiDeceptor via Syslog</t>
  </si>
  <si>
    <t xml:space="preserve">FortiDeceptor-IPS_attack</t>
  </si>
  <si>
    <t xml:space="preserve">srcIpAddr IN (Group@PH_SYS_NETWORK_ENTERPRISE_INTERNAL_NET)</t>
  </si>
  <si>
    <t xml:space="preserve">srcIpAddr, srcGeoCountry, attackName, destIpAddr, destGeoCountry, destIpPort</t>
  </si>
  <si>
    <t xml:space="preserve">Other: FortiDeceptor-IPS_attack</t>
  </si>
  <si>
    <t xml:space="preserve">Detects IPS Attacks to a FortiDeceptor decoy from inside</t>
  </si>
  <si>
    <t xml:space="preserve">https://filestore.fortinet.com/docs.fortinet.com/fsiem/Public_Resource_Access/7_6_0/rules/PH_RULE_FORTIDECEPTOR_IPS_ATTACK.htm</t>
  </si>
  <si>
    <t xml:space="preserve">PH_RULE_FNDRCloud_HighDetectionTrigger</t>
  </si>
  <si>
    <t xml:space="preserve">FortiNDR Cloud: High Severity Detection triggered for a Host</t>
  </si>
  <si>
    <t xml:space="preserve">FortiNDR Cloud API</t>
  </si>
  <si>
    <t xml:space="preserve">CONTAIN:FortiNDRCloud_detections</t>
  </si>
  <si>
    <t xml:space="preserve">eventSeverity&gt;=9</t>
  </si>
  <si>
    <t xml:space="preserve">eventSeverityCat,categoryType,hostIpAddr,compRuleName</t>
  </si>
  <si>
    <t xml:space="preserve">Other: FortiNDRCloud_detections</t>
  </si>
  <si>
    <t xml:space="preserve">FortiNDR Cloud triggered a detection for a host. The details are dependent on the FortiNDR Cloud rule detection that triggered based on traffic to or from the given host. This rule only triggers for high detections.</t>
  </si>
  <si>
    <t xml:space="preserve">https://filestore.fortinet.com/docs.fortinet.com/fsiem/Public_Resource_Access/7_6_0/rules/PH_RULE_FNDRCloud_HighDetectionTrigger.htm</t>
  </si>
  <si>
    <t xml:space="preserve">PH_RULE_FNDRCloud_LowDetectionTrigger</t>
  </si>
  <si>
    <t xml:space="preserve">FortiNDR Cloud: Low Severity Detection triggered for a Host</t>
  </si>
  <si>
    <t xml:space="preserve">eventSeverity&lt;=4</t>
  </si>
  <si>
    <t xml:space="preserve">FortiNDR Cloud triggered a detection for a host. The details are dependent on the FortiNDR Cloud rule detection that triggered based on traffic to or from the given host. This rule only triggers for low detections.</t>
  </si>
  <si>
    <t xml:space="preserve">https://filestore.fortinet.com/docs.fortinet.com/fsiem/Public_Resource_Access/7_6_0/rules/PH_RULE_FNDRCloud_LowDetectionTrigger.htm</t>
  </si>
  <si>
    <t xml:space="preserve">PH_RULE_FNDRCloud_ModerateDetectionTrigger</t>
  </si>
  <si>
    <t xml:space="preserve">FortiNDR Cloud: Moderate Severity Detection triggered for a Host</t>
  </si>
  <si>
    <t xml:space="preserve">eventSeverity&gt;=5 AND eventSeverity&lt;=8</t>
  </si>
  <si>
    <t xml:space="preserve">FortiNDR Cloud triggered a detection for a host. The details are dependent on the FortiNDR Cloud rule detection that triggered based on traffic to or from the given host. This rule only triggers for moderate detections.</t>
  </si>
  <si>
    <t xml:space="preserve">https://filestore.fortinet.com/docs.fortinet.com/fsiem/Public_Resource_Access/7_6_0/rules/PH_RULE_FNDRCloud_ModerateDetectionTrigger.htm</t>
  </si>
  <si>
    <t xml:space="preserve">PH_RULE_FortiRecon_CertIssue</t>
  </si>
  <si>
    <t xml:space="preserve">FortiRecon: Certificate Issue Found for an Asset</t>
  </si>
  <si>
    <t xml:space="preserve">FortiRecon-easm-certificate_issues</t>
  </si>
  <si>
    <t xml:space="preserve">asset,hostName,subtype,msg</t>
  </si>
  <si>
    <t xml:space="preserve">Other: FortiRecon-easm-certificate_issues</t>
  </si>
  <si>
    <t xml:space="preserve">FortiRecon External Attack Surface Mgmt: certificate issue found for an asset.</t>
  </si>
  <si>
    <t xml:space="preserve">https://filestore.fortinet.com/docs.fortinet.com/fsiem/Public_Resource_Access/7_6_0/rules/PH_RULE_FortiRecon_CertIssue.htm</t>
  </si>
  <si>
    <t xml:space="preserve">PH_RULE_FortiRecon_ReputationIssue</t>
  </si>
  <si>
    <t xml:space="preserve">FortiRecon: High Severity Reputation Issue Found for an Asset</t>
  </si>
  <si>
    <t xml:space="preserve">FortiRecon-easm-reputation</t>
  </si>
  <si>
    <t xml:space="preserve">eventSeverityCat = "HIGH"</t>
  </si>
  <si>
    <t xml:space="preserve">asset,hostIpAddr,subtype,msg</t>
  </si>
  <si>
    <t xml:space="preserve">Other: FortiRecon-easm-reputation</t>
  </si>
  <si>
    <t xml:space="preserve">FortiRecon External Attack Surface Mgmt: HIGH severity reputation issue found for an asset.</t>
  </si>
  <si>
    <t xml:space="preserve">https://filestore.fortinet.com/docs.fortinet.com/fsiem/Public_Resource_Access/7_6_0/rules/PH_RULE_FortiRecon_ReputationIssue.htm</t>
  </si>
  <si>
    <t xml:space="preserve">PH_Rule_Vuln_33</t>
  </si>
  <si>
    <t xml:space="preserve">FortiSandbox detects multiple attacks from same source</t>
  </si>
  <si>
    <t xml:space="preserve">FortiSandbox via Syslog</t>
  </si>
  <si>
    <t xml:space="preserve">FortiSandbox-Malware-Detected
FortiSandbox-NetAlert-Attack
FortiSandbox-NetAlert-Botnet
FortiSandbox-NetAlert-URL</t>
  </si>
  <si>
    <t xml:space="preserve">FortiSandbox</t>
  </si>
  <si>
    <t xml:space="preserve">COUNT(DISTINCT eventType) &gt;= 2</t>
  </si>
  <si>
    <t xml:space="preserve">Other: FortiSandbox-NetAlert-Attack
Other: FortiSandbox-Malware-Detected
Other: FortiSandbox-NetAlert-URL
Other: FortiSandbox-NetAlert-Botnet</t>
  </si>
  <si>
    <t xml:space="preserve">FortiSandbox detects multiple attacks from the same source</t>
  </si>
  <si>
    <t xml:space="preserve">https://filestore.fortinet.com/docs.fortinet.com/fsiem/Public_Resource_Access/7_6_0/rules/PH_RULE_FORTISANDBOX_SAME_SRC_MULTIPLE_ATTACK.htm</t>
  </si>
  <si>
    <t xml:space="preserve">PH_RULE_FortiWeb_Permitted_Inbound_Attack</t>
  </si>
  <si>
    <t xml:space="preserve">FortiWeb: Permitted Inbound Attack Detected</t>
  </si>
  <si>
    <t xml:space="preserve">FortiWeb Cloud via Syslog
FortiWeb via Syslog</t>
  </si>
  <si>
    <t xml:space="preserve">CONTAIN:FortiWeb-</t>
  </si>
  <si>
    <t xml:space="preserve">attack_detected</t>
  </si>
  <si>
    <t xml:space="preserve">type="attack" AND fwAction IS NOT NULL AND fwAction NOT IN ("block","blocked","alert_deny","deny","drop","dropped") AND srcIpAddr NOT IN (Group@PH_SYS_NETWORK_ENTERPRISE_INTERNAL_NET) AND (threatLevel IN ("Substantial","Severe","Critical") OR ipsSeverity = "High")</t>
  </si>
  <si>
    <t xml:space="preserve">Other: FortiWeb-</t>
  </si>
  <si>
    <t xml:space="preserve">FortiWeb detected an inbound attack to your organization that was not blocked by FortiWeb. This rule triggers if the source IP is public, the firewall did not block, and Threat Level is one of Substantial, Severe, Critical or Attack Severity is High.</t>
  </si>
  <si>
    <t xml:space="preserve">https://filestore.fortinet.com/docs.fortinet.com/fsiem/Public_Resource_Access/7_6_0/rules/PH_RULE_FortiWeb_Permitted_Inbound_Attack.htm</t>
  </si>
  <si>
    <t xml:space="preserve">PH_Rule_IPS_ADV_8</t>
  </si>
  <si>
    <t xml:space="preserve">Identity Spoofing Exploit</t>
  </si>
  <si>
    <t xml:space="preserve">Group@PH_SYS_EVENT_SpoofExploit</t>
  </si>
  <si>
    <t xml:space="preserve">Event-type group (membership not published): Group@PH_SYS_EVENT_SpoofExploit</t>
  </si>
  <si>
    <t xml:space="preserve">Detects IP Address spoofing exploits</t>
  </si>
  <si>
    <t xml:space="preserve">https://filestore.fortinet.com/docs.fortinet.com/fsiem/Public_Resource_Access/7_6_0/rules/PH_RULE_SPOOF_ATTACK.htm</t>
  </si>
  <si>
    <t xml:space="preserve">PH_Rule_PolicyViolation_6</t>
  </si>
  <si>
    <t xml:space="preserve">Inbound insecure protocol traffic detected</t>
  </si>
  <si>
    <t xml:space="preserve">Cleartext</t>
  </si>
  <si>
    <t xml:space="preserve">destIpPort IN (21,23,109,110,143) AND srcIpAddr NOT IN (Group@PH_SYS_NETWORK_ENTERPRISE_INTERNAL_NET) AND destIpAddr IN (Group@PH_SYS_NETWORK_ENTERPRISE_INTERNAL_NET)</t>
  </si>
  <si>
    <t xml:space="preserve">srcIpAddr, srcGeoCountry, destIpAddr, destGeoCountry, ipProto, destIpPort</t>
  </si>
  <si>
    <t xml:space="preserve">Detects inbound usage of insecure protocols that use clear text passwords e.g. FTP, Telnet, POP</t>
  </si>
  <si>
    <t xml:space="preserve">https://filestore.fortinet.com/docs.fortinet.com/fsiem/Public_Resource_Access/7_6_0/rules/PH_RULE_CLEARTEXT_PWD_INBOUND.htm</t>
  </si>
  <si>
    <t xml:space="preserve">PH_Rule_Access_74</t>
  </si>
  <si>
    <t xml:space="preserve">Lateral Movement Detected</t>
  </si>
  <si>
    <t xml:space="preserve">PH_ANOMALY_LATERAL_MOVEMENT_DETECT</t>
  </si>
  <si>
    <t xml:space="preserve">Lateral</t>
  </si>
  <si>
    <t xml:space="preserve">srcIpAddr, srcGeoCountry, user, domain, srcIpAddrList, destIpAddr, destGeoCountry, destIpAddrList</t>
  </si>
  <si>
    <t xml:space="preserve">Other: PH_ANOMALY_LATERAL_MOVEMENT_DETECT</t>
  </si>
  <si>
    <t xml:space="preserve">Detects excessive failed logins followed by unusual communication pattern for a user from a set of workstations to another set of workstations indicating lateral movement.</t>
  </si>
  <si>
    <t xml:space="preserve">https://filestore.fortinet.com/docs.fortinet.com/fsiem/Public_Resource_Access/7_6_0/rules/PH_RULE_ANOMALY_LATERAL_MOVEMENT.htm</t>
  </si>
  <si>
    <t xml:space="preserve">PH_Rule_TH_Linux_1</t>
  </si>
  <si>
    <t xml:space="preserve">Linux: Network Sniffing via Tcpdump</t>
  </si>
  <si>
    <t xml:space="preserve">procName = "tcpdump"</t>
  </si>
  <si>
    <t xml:space="preserve">hostName, user, procName, swParam</t>
  </si>
  <si>
    <t xml:space="preserve">Detects tcpdump program running on a Linux host. Tcpdump is a network monitoring or packet sniffing tool that can be used to capture insecure credentials or data in motion. Sniffing can also be used to discover details of network services as a prelude to lateral movement or defense evasion. Some normal use of this command may originate from server or network administrators engaged in network troubleshooting. This requires process monitoring via FortiSOC Linux Collector.</t>
  </si>
  <si>
    <t xml:space="preserve">https://filestore.fortinet.com/docs.fortinet.com/fsiem/Public_Resource_Access/7_6_0/rules/PH_RULE_TH_Linux_tcpdump.htm</t>
  </si>
  <si>
    <t xml:space="preserve">PH_Rule_TH_EQLLIB_LINUX_15</t>
  </si>
  <si>
    <t xml:space="preserve">Linux: Remote Terminal Session Started</t>
  </si>
  <si>
    <t xml:space="preserve">T1021.004</t>
  </si>
  <si>
    <t xml:space="preserve">procName IN ("putty.exe","ssh","telnet.exe")</t>
  </si>
  <si>
    <t xml:space="preserve">Detects attempts to use Valid Accounts to log into a service specifically designed to accept remote connections.</t>
  </si>
  <si>
    <t xml:space="preserve">https://filestore.fortinet.com/docs.fortinet.com/fsiem/Public_Resource_Access/7_6_0/rules/PH_RULE_Linux_Remote_Terminal_Sessions.htm</t>
  </si>
  <si>
    <t xml:space="preserve">PH_RULE_Log4j_Exploit_DetectByRegex</t>
  </si>
  <si>
    <t xml:space="preserve">Log4J Exploit Request Detected By Regex</t>
  </si>
  <si>
    <t xml:space="preserve">Group@PH_SYS_EVENT_BiNetflowTraffic
Group@PH_SYS_EVENT_Exploit
Group@PH_SYS_EVENT_NetflowTraffic
Group@PH_SYS_EVENT_PermitNetTraffic
Group@PH_SYS_EVENT_PermitWebTraffic</t>
  </si>
  <si>
    <t xml:space="preserve">log4j_exploit</t>
  </si>
  <si>
    <t xml:space="preserve">(( destIpPort IN (80,443) ) ) AND ( uriStem REGEXP "(?:.*jndi.*|.*{env:[^:]+:-[jndi].*|.*\${::-\w+}.*|.*base64:.*|.*\${(?:lower|upper):\w+}.*)" OR httpEndUri REGEXP "(?:.*jndi.*|.*{env:[^:]+:-[jndi].*|.*\${::-\w+}.*|.*base64:.*|.*\${(?:lower|upper):\w+}.*)" OR httpUserAgent REGEXP "(?:.*jndi.*|.*{env:[^:]+:-[jndi].*|.*\${::-\w+}.*|.*base64:.*|.*\${(?:lower|upper):\w+}.*)" OR httpReferrer REGEXP "(?:.*jndi.*|.*{env:[^:]+:-[jndi].*|.*\${::-\w+}.*|.*base64:.*|.*\${(?:lower|upper):\w+}.*)" OR httpCookie REGEXP "(?:.*jndi.*|.*{env:[^:]+:-[jndi].*|.*\${::-\w+}.*|.*base64:.*|.*\${(?:lower|upper):\w+}.*)" OR httpContentType REGEXP "(?:.*jndi.*|.*{env:[^:]+:-[jndi].*|.*\${::-\w+}.*|.*base64:.*|.*\${(?:lower|upper):\w+}.*)" OR httpHeaderCacheControl REGEXP "(?:.*jndi.*|.*{env:[^:]+:-[jndi].*|.*\${::-\w+}.*|.*base64:.*|.*\${(?:lower|upper):\w+}.*)" )</t>
  </si>
  <si>
    <t xml:space="preserve">Event-type group (membership not published): Group@PH_SYS_EVENT_PermitNetTraffic
Event-type group (membership not published): Group@PH_SYS_EVENT_NetflowTraffic
Event-type group (membership not published): Group@PH_SYS_EVENT_BiNetflowTraffic
Event-type group (membership not published): Group@PH_SYS_EVENT_Exploit
Event-type group (membership not published): Group@PH_SYS_EVENT_PermitWebTraffic</t>
  </si>
  <si>
    <t xml:space="preserve">Log4J Exploit Request Detected by Regex. Regex Inspection of http user agent, referrer, cookie, content type, and cache control for Log4J CVE-2021-44228.</t>
  </si>
  <si>
    <t xml:space="preserve">https://filestore.fortinet.com/docs.fortinet.com/fsiem/Public_Resource_Access/7_6_0/rules/PH_RULE_Log4j_Exploit_DetectByRegex.htm</t>
  </si>
  <si>
    <t xml:space="preserve">PH_RULE_Log4j_Exploit_DetectByFortinet_Host</t>
  </si>
  <si>
    <t xml:space="preserve">Log4J Exploit Request Detected on Host by Fortinet Products</t>
  </si>
  <si>
    <t xml:space="preserve">FortiClient-vulnerabilityscan-vulnerability-record</t>
  </si>
  <si>
    <t xml:space="preserve">vulnId = 4505</t>
  </si>
  <si>
    <t xml:space="preserve">Other: FortiClient-vulnerabilityscan-vulnerability-record</t>
  </si>
  <si>
    <t xml:space="preserve">Log4J Exploit Request Detected on Host by Fortinet Product. IPS signature ID 51006 for Log4J CVE-2021-44228 seen by a Fortinet product.</t>
  </si>
  <si>
    <t xml:space="preserve">https://filestore.fortinet.com/docs.fortinet.com/fsiem/Public_Resource_Access/7_6_0/rules/PH_RULE_Log4j_Exploit_DetectByFortinet_Host.htm</t>
  </si>
  <si>
    <t xml:space="preserve">PH_RULE_Log4j_Exploit_DetectByFortinet_Network</t>
  </si>
  <si>
    <t xml:space="preserve">Log4J Exploit Request Detected on Network by Fortinet Products</t>
  </si>
  <si>
    <t xml:space="preserve">FortiGate-ips-signature-51006
FortiProxy-ips-signature-51006</t>
  </si>
  <si>
    <t xml:space="preserve">(ipsSignatureId = 51006 OR attackName = "Apache.Log4j.Error.Log.Remote.Code.Execution") AND (srcIpAddr IN (Group@PH_SYS_NETWORK_ENTERPRISE_INTERNAL_NET) OR (destIpAddr IN (Group@PH_SYS_NETWORK_ENTERPRISE_INTERNAL_NET) AND fwAction NOT IN ("deny","dropped","block","blocked","ban-ip","alert_deny")))</t>
  </si>
  <si>
    <t xml:space="preserve">Other: FortiGate-ips-signature-51006
Other: FortiProxy-ips-signature-51006</t>
  </si>
  <si>
    <t xml:space="preserve">Log4J Exploit Request Detected on Network by Fortinet Product. IPS signature ID 51006 for Log4J CVE-2021-44228 seen by a Fortinet product.</t>
  </si>
  <si>
    <t xml:space="preserve">https://filestore.fortinet.com/docs.fortinet.com/fsiem/Public_Resource_Access/7_6_0/rules/PH_RULE_Log4j_Exploit_DetectByFortinet_Network.htm</t>
  </si>
  <si>
    <t xml:space="preserve">PH_Rule_Vuln_5</t>
  </si>
  <si>
    <t xml:space="preserve">Malware outbreak</t>
  </si>
  <si>
    <t xml:space="preserve">Crowdstrike via FALCON_STREAMING_API or FALCON_DATA_REPLICATOR
Cisco FireAMP via FIREAMP_CLOUD_API or ESTREAMER_SDK
Palo Alto Traps Endpoint Security Manager via Syslog
Microsoft Defender for Endpoint via HTTPS_ADVANCED
Symantec Endpoint Protection Service via Syslog
Carbon Black Security Platform via Syslog
Cylance Protect via Syslog
SentinelOne via Syslog
FortiProxy via Syslog
FortiGate via Syslog
FortiEDR via Syslog
FortiEMS via Syslog</t>
  </si>
  <si>
    <t xml:space="preserve">Group@PH_SYS_EVENT_Worm_Found</t>
  </si>
  <si>
    <t xml:space="preserve">MalwareOutbreak</t>
  </si>
  <si>
    <t xml:space="preserve">reptDevIpAddr IN (Group@PH_SYS_APP_SEC_MGMT,Group@PH_SYS_DEVICE_SEC_GW, Group@PH_SYS_DEVICE_FIREWALL,Group@PH_SYS_DEVICE_NETWORK_IPS)</t>
  </si>
  <si>
    <t xml:space="preserve">virusName</t>
  </si>
  <si>
    <t xml:space="preserve">COUNT(DISTINCT computer) &gt;= 5 OR COUNT(DISTINCT hostIpAddr) &gt;= 5 OR COUNT(DISTINCT srcIpAddr) &gt;= 5</t>
  </si>
  <si>
    <t xml:space="preserve">Event-type group (membership not published): Group@PH_SYS_EVENT_Worm_Found</t>
  </si>
  <si>
    <t xml:space="preserve">Detects potential malware outbreak - same malware found on three distinct computers/IP addresses</t>
  </si>
  <si>
    <t xml:space="preserve">https://filestore.fortinet.com/docs.fortinet.com/fsiem/Public_Resource_Access/7_6_0/rules/PH_RULE_VIRUS_OUTBREAK.htm</t>
  </si>
  <si>
    <t xml:space="preserve">PH_RULE_MS_DefenderXDR_Alert_CredentialAccess_High</t>
  </si>
  <si>
    <t xml:space="preserve">MS Defender XDR: High Severity Credential Access Alert</t>
  </si>
  <si>
    <t xml:space="preserve">Microsoft Defender XDR via HTTPS_ADVANCED (Graph API)
Microsoft Azure Event Hub via AZURE_PYTHON_SDK</t>
  </si>
  <si>
    <t xml:space="preserve">MSDefenderXDR-Alert-CredentialAccess-new</t>
  </si>
  <si>
    <t xml:space="preserve">ms_defender_alert</t>
  </si>
  <si>
    <t xml:space="preserve">eventSeverity IN (9,10)</t>
  </si>
  <si>
    <t xml:space="preserve">alertIdStr,alertName,eventSource,tenantId,hostName</t>
  </si>
  <si>
    <t xml:space="preserve">Other: MSDefenderXDR-Alert-CredentialAccess-new</t>
  </si>
  <si>
    <t xml:space="preserve">A high severity Microsoft Defender XDR Credential Access alert was detected.</t>
  </si>
  <si>
    <t xml:space="preserve">https://filestore.fortinet.com/docs.fortinet.com/fsiem/Public_Resource_Access/7_6_0/rules/PH_RULE_MS_DefenderXDR_Alert_CredentialAccess_High.htm</t>
  </si>
  <si>
    <t xml:space="preserve">PH_RULE_MS_DefenderXDR_Alert_LateralMovement_High</t>
  </si>
  <si>
    <t xml:space="preserve">MS Defender XDR: High Severity Lateral Movement Alert</t>
  </si>
  <si>
    <t xml:space="preserve">MSDefenderXDR-Alert-LateralMovement-new</t>
  </si>
  <si>
    <t xml:space="preserve">Other: MSDefenderXDR-Alert-LateralMovement-new</t>
  </si>
  <si>
    <t xml:space="preserve">A high severity Microsoft Defender XDR Lateral Movement alert was detected.</t>
  </si>
  <si>
    <t xml:space="preserve">https://filestore.fortinet.com/docs.fortinet.com/fsiem/Public_Resource_Access/7_6_0/rules/PH_RULE_MS_DefenderXDR_Alert_LateralMovement_High.htm</t>
  </si>
  <si>
    <t xml:space="preserve">PH_RULE_MS_DefenderXDR_Alert_PrivilegeEscalation_High</t>
  </si>
  <si>
    <t xml:space="preserve">MS Defender XDR: High Severity Privilege Escalation Alert</t>
  </si>
  <si>
    <t xml:space="preserve">MSDefenderXDR-Alert-PrivilegeEscalation-new</t>
  </si>
  <si>
    <t xml:space="preserve">Other: MSDefenderXDR-Alert-PrivilegeEscalation-new</t>
  </si>
  <si>
    <t xml:space="preserve">A high severity Microsoft Defender XDR Privilege Escalation alert was detected.</t>
  </si>
  <si>
    <t xml:space="preserve">https://filestore.fortinet.com/docs.fortinet.com/fsiem/Public_Resource_Access/7_6_0/rules/PH_RULE_MS_DefenderXDR_Alert_PrivilegeEscalation_High.htm</t>
  </si>
  <si>
    <t xml:space="preserve">PH_RULE_MS_DefenderXDR_Alert_CredentialAccess_Medium</t>
  </si>
  <si>
    <t xml:space="preserve">MS Defender XDR: Medium Severity Credential Access Alert</t>
  </si>
  <si>
    <t xml:space="preserve">eventSeverity IN (5,6,7,8)</t>
  </si>
  <si>
    <t xml:space="preserve">A medium severity Microsoft Defender XDR Credential Access alert was detected.</t>
  </si>
  <si>
    <t xml:space="preserve">https://filestore.fortinet.com/docs.fortinet.com/fsiem/Public_Resource_Access/7_6_0/rules/PH_RULE_MS_DefenderXDR_Alert_CredentialAccess_Medium.htm</t>
  </si>
  <si>
    <t xml:space="preserve">PH_RULE_MS_DefenderXDR_Alert_LateralMovement_Medium</t>
  </si>
  <si>
    <t xml:space="preserve">MS Defender XDR: Medium Severity Lateral Movement Alert</t>
  </si>
  <si>
    <t xml:space="preserve">A medium severity Microsoft Defender XDR Lateral Movement alert was detected.</t>
  </si>
  <si>
    <t xml:space="preserve">https://filestore.fortinet.com/docs.fortinet.com/fsiem/Public_Resource_Access/7_6_0/rules/PH_RULE_MS_DefenderXDR_Alert_LateralMovement_Medium.htm</t>
  </si>
  <si>
    <t xml:space="preserve">PH_RULE_MS_DefenderXDR_Alert_PrivilegeEscalation_Medium</t>
  </si>
  <si>
    <t xml:space="preserve">MS Defender XDR: Medium Severity Privilege Escalation Alert</t>
  </si>
  <si>
    <t xml:space="preserve">A medium severity Microsoft Defender XDR Privilege Escalation alert was detected.</t>
  </si>
  <si>
    <t xml:space="preserve">https://filestore.fortinet.com/docs.fortinet.com/fsiem/Public_Resource_Access/7_6_0/rules/PH_RULE_MS_DefenderXDR_Alert_PrivilegeEscalation_Medium.htm</t>
  </si>
  <si>
    <t xml:space="preserve">PH_Rule_PolicyViolation_7</t>
  </si>
  <si>
    <t xml:space="preserve">Outbound insecure protocol traffic from non guest network detected</t>
  </si>
  <si>
    <t xml:space="preserve">destIpPort IN (21,23,109,110,143) AND srcIpAddr IN (Group@PH_SYS_NETWORK_ENTERPRISE_INTERNAL_NET) AND srcIpAddr NOT IN (Group@PH_SYS_NETWORK_GUEST) AND destIpAddr NOT IN (Group@PH_SYS_NETWORK_ENTERPRISE_INTERNAL_NET)</t>
  </si>
  <si>
    <t xml:space="preserve">Detects outbound usage of protocols that use clear text passwords e.g. FTP, Telnet, POP from non-guest network</t>
  </si>
  <si>
    <t xml:space="preserve">https://filestore.fortinet.com/docs.fortinet.com/fsiem/Public_Resource_Access/7_6_0/rules/PH_RULE_CLEARTEXT_PWD_OUTBOUND.htm</t>
  </si>
  <si>
    <t xml:space="preserve">PH_RULE_3CX_Supply_Chain_Attack_Host</t>
  </si>
  <si>
    <t xml:space="preserve">Outbreak: 3CX Supply Chain Attack Detected on Host</t>
  </si>
  <si>
    <t xml:space="preserve">threat</t>
  </si>
  <si>
    <t xml:space="preserve">virusName = "Riskware/Sphone_XC3"</t>
  </si>
  <si>
    <t xml:space="preserve">This indicates that 3CX DesktopApp Supply Chain Backdoor traffic was detected in the host. Related to CVE-2023-29059. 3CX DesktopApp is a popular video conference desktop client. Details: https://www.3cx.com/blog/news/desktopapp-security-alert/</t>
  </si>
  <si>
    <t xml:space="preserve">https://filestore.fortinet.com/docs.fortinet.com/fsiem/Public_Resource_Access/7_6_0/rules/PH_RULE_3CX_Supply_Chain_Attack_Host.htm</t>
  </si>
  <si>
    <t xml:space="preserve">PH_RULE_3CX_Supply_Chain_Attack_Network</t>
  </si>
  <si>
    <t xml:space="preserve">Outbreak: 3CX Supply Chain Attack Detected on Network</t>
  </si>
  <si>
    <t xml:space="preserve">FortiGate-ips-signature-52796
FortiProxy-ips-signature-52796
Group@PH_SYS_EVENT_FortiGate_AV_Detected</t>
  </si>
  <si>
    <t xml:space="preserve">ipsSignatureId IN (52796,10131498) AND (srcIpAddr IN (Group@PH_SYS_NETWORK_ENTERPRISE_INTERNAL_NET) OR (destIpAddr IN (Group@PH_SYS_NETWORK_ENTERPRISE_INTERNAL_NET) AND fwAction NOT IN ("deny","dropped","block","blocked","ban-ip","alert_deny")))</t>
  </si>
  <si>
    <t xml:space="preserve">Other: FortiGate-ips-signature-52796
Other: FortiProxy-ips-signature-52796
Event-type group (membership not published): Group@PH_SYS_EVENT_FortiGate_AV_Detected</t>
  </si>
  <si>
    <t xml:space="preserve">This indicates that 3CX DesktopApp Supply Chain Backdoor traffic was detected in the network. Related to CVE-2023-29059. 3CX DesktopApp is a popular video conference desktop client. . Details: https://www.3cx.com/blog/news/desktopapp-security-alert/</t>
  </si>
  <si>
    <t xml:space="preserve">https://filestore.fortinet.com/docs.fortinet.com/fsiem/Public_Resource_Access/7_6_0/rules/PH_RULE_3CX_Supply_Chain_Attack_Network.htm</t>
  </si>
  <si>
    <t xml:space="preserve">PH_RULE_ABBFlow_CVE_2022_0902_Vuln_Network</t>
  </si>
  <si>
    <t xml:space="preserve">Outbreak: ABB Flow Computer Path Traversal Vulnerability Detected on Network</t>
  </si>
  <si>
    <t xml:space="preserve">FortiGate-ips-signature-52307
FortiProxy-ips-signature-52307</t>
  </si>
  <si>
    <t xml:space="preserve">(srcIpAddr IN (Group@PH_SYS_NETWORK_ENTERPRISE_INTERNAL_NET) OR (destIpAddr IN (Group@PH_SYS_NETWORK_ENTERPRISE_INTERNAL_NET) AND fwAction NOT IN ("deny","dropped","block","blocked","ban-ip","alert_deny")))</t>
  </si>
  <si>
    <t xml:space="preserve">Other: FortiGate-ips-signature-52307
Other: FortiProxy-ips-signature-52307</t>
  </si>
  <si>
    <t xml:space="preserve">Detects an attempt to exploit ABB Flow Computer and Remote Controller Vulnerability (CVE-2022-0902). A path traversal vulnerability exists in the implementation of the Totalflow TCP protocol in ABB G5 products. can allow unauthenticated users to gain access to restricted directories. Exploiting this vulnerability can lead to pre-authenticated remote code execution in root context. It can enable an attacker to take over flow computers and remotely disrupt the flow computers' ability to accurately measure oil and gas flow.</t>
  </si>
  <si>
    <t xml:space="preserve">https://filestore.fortinet.com/docs.fortinet.com/fsiem/Public_Resource_Access/7_6_0/rules/PH_RULE_ABBFlow_CVE_2022_0902_Vuln_Network.htm</t>
  </si>
  <si>
    <t xml:space="preserve">PH_RULE_Adobe_ColdFusion_CVE_2023_38203_Host</t>
  </si>
  <si>
    <t xml:space="preserve">Outbreak: Adobe ColdFusion Access Control Bypass Attack Detected on Host</t>
  </si>
  <si>
    <t xml:space="preserve">vulnId IN (5219,5218)</t>
  </si>
  <si>
    <t xml:space="preserve">Adobe ColdFusion Access Control Bypass Attack detected (CVE-2023-26347,CVE-2023-38205,CVE-2023-29298,CVE-2023-38203) on host. Details: https://www.fortiguard.com/outbreak-alert/adobe-coldfusion-access-bypass</t>
  </si>
  <si>
    <t xml:space="preserve">https://filestore.fortinet.com/docs.fortinet.com/fsiem/Public_Resource_Access/7_6_0/rules/PH_RULE_Adobe_ColdFusion_CVE_2023_38203_Host.htm</t>
  </si>
  <si>
    <t xml:space="preserve">PH_RULE_Adobe_ColdFusion_CVE_2023_38203_Network</t>
  </si>
  <si>
    <t xml:space="preserve">Outbreak: Adobe ColdFusion Access Control Bypass Attack Detected on Network</t>
  </si>
  <si>
    <t xml:space="preserve">FortiGate-ips-signature-53373
FortiGate-ips-signature-53419
FortiGate-ips-signature-53534
FortiProxy-ips-signature-53373
FortiProxy-ips-signature-53419
FortiProxy-ips-signature-53534</t>
  </si>
  <si>
    <t xml:space="preserve">(srcIpAddr IN (Group@PH_SYS_NETWORK_ENTERPRISE_INTERNAL_NET) OR (destIpAddr IN (Group@PH_SYS_NETWORK_ENTERPRISE_INTERNAL_NET) AND fwAction NOT IN ("deny","dropped","block","blocked","ban-ip","Alert_Deny")))</t>
  </si>
  <si>
    <t xml:space="preserve">Other: FortiGate-ips-signature-53373
Other: FortiProxy-ips-signature-53373
Other: FortiGate-ips-signature-53534
Other: FortiProxy-ips-signature-53534
Other: FortiGate-ips-signature-53419
Other: FortiProxy-ips-signature-53419</t>
  </si>
  <si>
    <t xml:space="preserve">Adobe ColdFusion Access Control Bypass Attack detected (CVE-2023-26347,CVE-2023-38205,CVE-2023-29298,CVE-2023-38203) on network. Details: https://www.fortiguard.com/outbreak-alert/adobe-coldfusion-access-bypass</t>
  </si>
  <si>
    <t xml:space="preserve">https://filestore.fortinet.com/docs.fortinet.com/fsiem/Public_Resource_Access/7_6_0/rules/PH_RULE_Adobe_ColdFusion_CVE_2023_38203_Network.htm</t>
  </si>
  <si>
    <t xml:space="preserve">PH_RULE_Adobe_ColdFusion_CVE_2023_26360_Host</t>
  </si>
  <si>
    <t xml:space="preserve">Outbreak: Adobe ColdFusion Deserialization of Untrusted Data Vuln Detected on Host</t>
  </si>
  <si>
    <t xml:space="preserve">virusName = "Riskware/Adntac"</t>
  </si>
  <si>
    <t xml:space="preserve">Adobe ColdFusion Deserialization of Untrusted Data Vulnerabilities detected (CVE-2023-26359,CVE-2023-26360) on host. Details: https://www.fortiguard.com/outbreak-alert/adobe-coldfusion-code-execution</t>
  </si>
  <si>
    <t xml:space="preserve">https://filestore.fortinet.com/docs.fortinet.com/fsiem/Public_Resource_Access/7_6_0/rules/PH_RULE_Adobe_ColdFusion_CVE_2023_26360_Host.htm</t>
  </si>
  <si>
    <t xml:space="preserve">PH_RULE_Adobe_ColdFusion_CVE_2023_26360_Network</t>
  </si>
  <si>
    <t xml:space="preserve">Outbreak: Adobe ColdFusion Deserialization of Untrusted Data Vuln Detected on Network</t>
  </si>
  <si>
    <t xml:space="preserve">FortiGate-ips-signature-52899
FortiProxy-ips-signature-52899
Group@PH_SYS_EVENT_FortiGate_AV_Detected</t>
  </si>
  <si>
    <t xml:space="preserve">ipsSignatureId IN (52899,10150208) AND (srcIpAddr IN (Group@PH_SYS_NETWORK_ENTERPRISE_INTERNAL_NET) OR (destIpAddr IN (Group@PH_SYS_NETWORK_ENTERPRISE_INTERNAL_NET) AND fwAction NOT IN ("deny","dropped","block","blocked","ban-ip","Alert_Deny")))</t>
  </si>
  <si>
    <t xml:space="preserve">Other: FortiGate-ips-signature-52899
Other: FortiProxy-ips-signature-52899
Event-type group (membership not published): Group@PH_SYS_EVENT_FortiGate_AV_Detected</t>
  </si>
  <si>
    <t xml:space="preserve">Adobe ColdFusion Deserialization of Untrusted Data Vulnerabilities detected (CVE-2023-26359,CVE-2023-26360) on network. Details: https://www.fortiguard.com/outbreak-alert/adobe-coldfusion-code-execution</t>
  </si>
  <si>
    <t xml:space="preserve">https://filestore.fortinet.com/docs.fortinet.com/fsiem/Public_Resource_Access/7_6_0/rules/PH_RULE_Adobe_ColdFusion_CVE_2023_26360_Network.htm</t>
  </si>
  <si>
    <t xml:space="preserve">PH_RULE_Agent_Tesla_MalwareAttack_CVE_2018_0802_Host</t>
  </si>
  <si>
    <t xml:space="preserve">Outbreak: Agent Tesla Malware Attack Detected on Host</t>
  </si>
  <si>
    <t xml:space="preserve">FortiClient-vulnerabilityscan-vulnerability-record
Group@PH_SYS_EVENT_FortiClient_AV_Detected</t>
  </si>
  <si>
    <t xml:space="preserve">(vulnId IN (41650,41106) OR virusName IN ("MSExcel/CVE_2017_11882.EQMA!exploit","MSIL/AgentTesla.BEDA!tr","MSIL/Kryptik.AJHS!tr"))</t>
  </si>
  <si>
    <t xml:space="preserve">Other: FortiClient-vulnerabilityscan-vulnerability-record
Event-type group (membership not published): Group@PH_SYS_EVENT_FortiClient_AV_Detected</t>
  </si>
  <si>
    <t xml:space="preserve">Agent Tesla Malware Attack detected (CVE-2018-0802,CVE-2017-11882) on host. Details: https://www.fortiguard.com/outbreak-alert/agent-tesla-malware-attack</t>
  </si>
  <si>
    <t xml:space="preserve">https://filestore.fortinet.com/docs.fortinet.com/fsiem/Public_Resource_Access/7_6_0/rules/PH_RULE_Agent_Tesla_MalwareAttack_CVE_2018_0802_Host.htm</t>
  </si>
  <si>
    <t xml:space="preserve">PH_RULE_Agent_Tesla_MalwareAttack_CVE_2018_0802_Network</t>
  </si>
  <si>
    <t xml:space="preserve">Outbreak: Agent Tesla Malware Attack Detected on Network</t>
  </si>
  <si>
    <t xml:space="preserve">FortiGate-ips-signature-44947
FortiProxy-ips-signature-44947
Group@PH_SYS_EVENT_FortiGate_AV_Detected</t>
  </si>
  <si>
    <t xml:space="preserve">ipsSignatureId IN (44947,10150614,10150615,10147887) AND (srcIpAddr IN (Group@PH_SYS_NETWORK_ENTERPRISE_INTERNAL_NET) OR (destIpAddr IN (Group@PH_SYS_NETWORK_ENTERPRISE_INTERNAL_NET) AND fwAction NOT IN ("deny","dropped","block","blocked","ban-ip","Alert_Deny")))</t>
  </si>
  <si>
    <t xml:space="preserve">Other: FortiGate-ips-signature-44947
Other: FortiProxy-ips-signature-44947
Event-type group (membership not published): Group@PH_SYS_EVENT_FortiGate_AV_Detected</t>
  </si>
  <si>
    <t xml:space="preserve">Agent Tesla Malware Attack detected (CVE-2018-0802,CVE-2017-11882) on network. Details: https://www.fortiguard.com/outbreak-alert/agent-tesla-malware-attack</t>
  </si>
  <si>
    <t xml:space="preserve">https://filestore.fortinet.com/docs.fortinet.com/fsiem/Public_Resource_Access/7_6_0/rules/PH_RULE_Agent_Tesla_MalwareAttack_CVE_2018_0802_Network.htm</t>
  </si>
  <si>
    <t xml:space="preserve">PH_RULE_Akira_Ransomware_CVE_2023_20269_Host</t>
  </si>
  <si>
    <t xml:space="preserve">Outbreak: Akira Ransomware Detected on Host</t>
  </si>
  <si>
    <t xml:space="preserve">virusName IN ("ELF/Akira.C!tr.ransom","W64/Akira.C!tr.ransom")</t>
  </si>
  <si>
    <t xml:space="preserve">Akira Ransomware detected (CVE-2023-20269,CVE-2020-3259) on host. Details: https://www.fortiguard.com/outbreak-alert/akira-ransomware</t>
  </si>
  <si>
    <t xml:space="preserve">https://filestore.fortinet.com/docs.fortinet.com/fsiem/Public_Resource_Access/7_6_0/rules/PH_RULE_Akira_Ransomware_CVE_2023_20269_Host.htm</t>
  </si>
  <si>
    <t xml:space="preserve">PH_RULE_Akira_Ransomware_CVE_2023_20269_Network</t>
  </si>
  <si>
    <t xml:space="preserve">Outbreak: Akira Ransomware Detected on Network</t>
  </si>
  <si>
    <t xml:space="preserve">Group@PH_SYS_EVENT_FortiGate_AV_Detected</t>
  </si>
  <si>
    <t xml:space="preserve">ipsSignatureId IN (10159533,10178194) AND (srcIpAddr IN (Group@PH_SYS_NETWORK_ENTERPRISE_INTERNAL_NET) OR (destIpAddr IN (Group@PH_SYS_NETWORK_ENTERPRISE_INTERNAL_NET) AND fwAction NOT IN ("deny","dropped","block","blocked","ban-ip","Alert_Deny")))</t>
  </si>
  <si>
    <t xml:space="preserve">Event-type group (membership not published): Group@PH_SYS_EVENT_FortiGate_AV_Detected</t>
  </si>
  <si>
    <t xml:space="preserve">Akira Ransomware detected (CVE-2023-20269,CVE-2020-3259) on network. Details: https://www.fortiguard.com/outbreak-alert/akira-ransomware</t>
  </si>
  <si>
    <t xml:space="preserve">https://filestore.fortinet.com/docs.fortinet.com/fsiem/Public_Resource_Access/7_6_0/rules/PH_RULE_Akira_Ransomware_CVE_2023_20269_Network.htm</t>
  </si>
  <si>
    <t xml:space="preserve">PH_RULE_Androxgh0st_CVE_2021_41773_Host</t>
  </si>
  <si>
    <t xml:space="preserve">Outbreak: Androxgh0st Malware Attack Detected on Host</t>
  </si>
  <si>
    <t xml:space="preserve">virusName IN ("Python/AndroxGhost.HACK!tr","W32/AndroxGhost.HACK!tr","PHP/AndroxGhost.AZZA!tr","MSIL/AndroxGhost.HACK!tr","Python/ALIENFOX.A!tr")</t>
  </si>
  <si>
    <t xml:space="preserve">Androxgh0st Malware Attack detected (CVE-2021-41773,CVE-2017-9841,CVE-2018-15133) on host. Details: https://www.fortiguard.com/outbreak-alert/androxgh0st-malware</t>
  </si>
  <si>
    <t xml:space="preserve">https://filestore.fortinet.com/docs.fortinet.com/fsiem/Public_Resource_Access/7_6_0/rules/PH_RULE_Androxgh0st_CVE_2021_41773_Host.htm</t>
  </si>
  <si>
    <t xml:space="preserve">PH_RULE_Androxgh0st_CVE_2021_41773_Network</t>
  </si>
  <si>
    <t xml:space="preserve">Outbreak: Androxgh0st Malware Attack Detected on Network</t>
  </si>
  <si>
    <t xml:space="preserve">FortiGate-ips-signature-45765
FortiGate-ips-signature-48188
FortiGate-ips-signature-50825
FortiGate-ips-signature-52567
FortiProxy-ips-signature-45765
FortiProxy-ips-signature-48188
FortiProxy-ips-signature-50825
FortiProxy-ips-signature-52567
Group@PH_SYS_EVENT_FortiGate_AV_Detected</t>
  </si>
  <si>
    <t xml:space="preserve">ipsSignatureId IN (52567,50825,48188,45765,10121814,10121829,10121820,10121809,10132219) AND (srcIpAddr IN (Group@PH_SYS_NETWORK_ENTERPRISE_INTERNAL_NET) OR (destIpAddr IN (Group@PH_SYS_NETWORK_ENTERPRISE_INTERNAL_NET) AND fwAction NOT IN ("deny","dropped","block","blocked","ban-ip","Alert_Deny")))</t>
  </si>
  <si>
    <t xml:space="preserve">Other: FortiGate-ips-signature-52567
Other: FortiProxy-ips-signature-52567
Other: FortiGate-ips-signature-50825
Other: FortiProxy-ips-signature-50825
Other: FortiGate-ips-signature-48188
Other: FortiProxy-ips-signature-48188
Other: FortiGate-ips-signature-45765
Other: FortiProxy-ips-signature-45765
Event-type group (membership not published): Group@PH_SYS_EVENT_FortiGate_AV_Detected</t>
  </si>
  <si>
    <t xml:space="preserve">Androxgh0st Malware Attack detected (CVE-2021-41773,CVE-2017-9841,CVE-2018-15133) on network. Details: https://www.fortiguard.com/outbreak-alert/androxgh0st-malware</t>
  </si>
  <si>
    <t xml:space="preserve">https://filestore.fortinet.com/docs.fortinet.com/fsiem/Public_Resource_Access/7_6_0/rules/PH_RULE_Androxgh0st_CVE_2021_41773_Network.htm</t>
  </si>
  <si>
    <t xml:space="preserve">PH_RULE_Apache_ActiveMQ_Attack_CVE_2023_46604_Host</t>
  </si>
  <si>
    <t xml:space="preserve">Outbreak: Apache ActiveMQ Ransomware Attack Detected on Host</t>
  </si>
  <si>
    <t xml:space="preserve">(vulnId = 5462 OR virusName IN ("W64/HellowKitty.PNG!tr.ransom","W32/HelloKitty.PNG!tr.ransom","ELF/HellowKitty.PNG!tr.ransom","MSIL/HelloKitty.PNG!tr.ransom"))</t>
  </si>
  <si>
    <t xml:space="preserve">Apache ActiveMQ ransomware attack detected (CVE-2023-46604) on host. Details: https://www.fortiguard.com/outbreak-alert/apache-activemq-attack</t>
  </si>
  <si>
    <t xml:space="preserve">https://filestore.fortinet.com/docs.fortinet.com/fsiem/Public_Resource_Access/7_6_0/rules/PH_RULE_Apache_ActiveMQ_Attack_CVE_2023_46604_Host.htm</t>
  </si>
  <si>
    <t xml:space="preserve">PH_RULE_Apache_ActiveMQ_Attack_CVE_2023_46604_Network</t>
  </si>
  <si>
    <t xml:space="preserve">Outbreak: Apache ActiveMQ Ransomware Attack Detected on Network</t>
  </si>
  <si>
    <t xml:space="preserve">FortiGate-ips-signature-54343
FortiProxy-ips-signature-54343
Group@PH_SYS_EVENT_FortiGate_AV_Detected</t>
  </si>
  <si>
    <t xml:space="preserve">ipsSignatureId IN (54343,10160081,10160086,10160082,10160083,10160084,10160085) AND (srcIpAddr IN (Group@PH_SYS_NETWORK_ENTERPRISE_INTERNAL_NET) OR (destIpAddr IN (Group@PH_SYS_NETWORK_ENTERPRISE_INTERNAL_NET) AND fwAction NOT IN ("deny","dropped","block","blocked","ban-ip","Alert_Deny")))</t>
  </si>
  <si>
    <t xml:space="preserve">Other: FortiGate-ips-signature-54343
Other: FortiProxy-ips-signature-54343
Event-type group (membership not published): Group@PH_SYS_EVENT_FortiGate_AV_Detected</t>
  </si>
  <si>
    <t xml:space="preserve">Apache ActiveMQ ransomware attack detected (CVE-2023-46604) on network. Details: https://www.fortiguard.com/outbreak-alert/apache-activemq-attack</t>
  </si>
  <si>
    <t xml:space="preserve">https://filestore.fortinet.com/docs.fortinet.com/fsiem/Public_Resource_Access/7_6_0/rules/PH_RULE_Apache_ActiveMQ_Attack_CVE_2023_46604_Network.htm</t>
  </si>
  <si>
    <t xml:space="preserve">PH_RULE_Apache_OFBiz_RCE_CVE_2024_38856_Network</t>
  </si>
  <si>
    <t xml:space="preserve">Outbreak: Apache OFBiz RCE Attack Detected on Network</t>
  </si>
  <si>
    <t xml:space="preserve">FortiGate-ips-signature-56373
FortiProxy-ips-signature-56373</t>
  </si>
  <si>
    <t xml:space="preserve">Other: FortiGate-ips-signature-56373
Other: FortiProxy-ips-signature-56373</t>
  </si>
  <si>
    <t xml:space="preserve">Apache OFBiz RCE Attack detected (CVE-2024-38856,CVE-2024-36104) on network. Details: https://www.fortiguard.com/outbreak-alert/apache-ofbiz-rce</t>
  </si>
  <si>
    <t xml:space="preserve">https://filestore.fortinet.com/docs.fortinet.com/fsiem/Public_Resource_Access/7_6_0/rules/PH_RULE_Apache_OFBiz_RCE_CVE_2024_38856_Network.htm</t>
  </si>
  <si>
    <t xml:space="preserve">PH_RULE_ApacheVulnCVE_2021_42013_Host</t>
  </si>
  <si>
    <t xml:space="preserve">Outbreak: Apache Path Traversal Vuln Detected on Host</t>
  </si>
  <si>
    <t xml:space="preserve">(vulnId = 2711)</t>
  </si>
  <si>
    <t xml:space="preserve">Apache Path Traversal Vuln (CVE-2021-42013, CVE-2021-41773) detected on a host</t>
  </si>
  <si>
    <t xml:space="preserve">https://filestore.fortinet.com/docs.fortinet.com/fsiem/Public_Resource_Access/7_6_0/rules/PH_RULE_ApacheVulnCVE_2021_42013_Host.htm</t>
  </si>
  <si>
    <t xml:space="preserve">PH_RULE_ApacheVulnCVE_2021_42013_Network</t>
  </si>
  <si>
    <t xml:space="preserve">Outbreak: Apache Path Traversal Vuln Detected on Network</t>
  </si>
  <si>
    <t xml:space="preserve">FortiGate-ips-signature-50825
FortiProxy-ips-signature-50825</t>
  </si>
  <si>
    <t xml:space="preserve">Other: FortiGate-ips-signature-50825
Other: FortiProxy-ips-signature-50825</t>
  </si>
  <si>
    <t xml:space="preserve">Apache Path Traversal Vuln (CVE-2021-42013, CVE-2021-41773) detected on network</t>
  </si>
  <si>
    <t xml:space="preserve">https://filestore.fortinet.com/docs.fortinet.com/fsiem/Public_Resource_Access/7_6_0/rules/PH_RULE_ApacheVulnCVE_2021_42013_Network.htm</t>
  </si>
  <si>
    <t xml:space="preserve">PH_RULE_Apache_RocketMQ_RCE_CVE_2023_33246_Network</t>
  </si>
  <si>
    <t xml:space="preserve">Outbreak: Apache RocketMQ RCE Vuln Detected on Network</t>
  </si>
  <si>
    <t xml:space="preserve">FortiProxy via Syslog
FortiGate via Syslog
FortiEMS via Syslog</t>
  </si>
  <si>
    <t xml:space="preserve">FortiGate-ips-signature-53315
FortiProxy-ips-signature-53315</t>
  </si>
  <si>
    <t xml:space="preserve">Other: FortiGate-ips-signature-53315
Other: FortiProxy-ips-signature-53315</t>
  </si>
  <si>
    <t xml:space="preserve">Apache RocketMQ Remote Command Execution Vulnerability detected (CVE-2023-33246) on network. Details: https://www.fortiguard.com/outbreak-alert/apache-rocketmq-rce</t>
  </si>
  <si>
    <t xml:space="preserve">https://filestore.fortinet.com/docs.fortinet.com/fsiem/Public_Resource_Access/7_6_0/rules/PH_RULE_Apache_RocketMQ_RCE_CVE_2023_33246_Network.htm</t>
  </si>
  <si>
    <t xml:space="preserve">PH_RULE_Apache_Struts_2_RCE_CVE_2024_53677_Host</t>
  </si>
  <si>
    <t xml:space="preserve">Outbreak: Apache Struts 2 RCE Attack Detected on Host</t>
  </si>
  <si>
    <t xml:space="preserve">vulnId = 5529</t>
  </si>
  <si>
    <t xml:space="preserve">Apache Struts 2 RCE Attack detected (CVE-2024-53677,CVE-2023-50164) on host. Details: https://fortiguard.fortinet.com/outbreak-alert/apache-struts-2-rce</t>
  </si>
  <si>
    <t xml:space="preserve">https://filestore.fortinet.com/docs.fortinet.com/fsiem/Public_Resource_Access/7_6_0/rules/PH_RULE_Apache_Struts_2_RCE_CVE_2024_53677_Host.htm</t>
  </si>
  <si>
    <t xml:space="preserve">PH_RULE_Apache_Struts_2_RCE_CVE_2024_53677_Network</t>
  </si>
  <si>
    <t xml:space="preserve">Outbreak: Apache Struts 2 RCE Attack Detected on Network</t>
  </si>
  <si>
    <t xml:space="preserve">FortiGate-ips-signature-54499
FortiProxy-ips-signature-54499</t>
  </si>
  <si>
    <t xml:space="preserve">Other: FortiGate-ips-signature-54499
Other: FortiProxy-ips-signature-54499</t>
  </si>
  <si>
    <t xml:space="preserve">Apache Struts 2 RCE Attack detected (CVE-2024-53677,CVE-2023-50164) on network. Details: https://fortiguard.fortinet.com/outbreak-alert/apache-struts-2-rce</t>
  </si>
  <si>
    <t xml:space="preserve">https://filestore.fortinet.com/docs.fortinet.com/fsiem/Public_Resource_Access/7_6_0/rules/PH_RULE_Apache_Struts_2_RCE_CVE_2024_53677_Network.htm</t>
  </si>
  <si>
    <t xml:space="preserve">PH_RULE_Apache_Tomcat_RCE_CVE_2025_24813_Host</t>
  </si>
  <si>
    <t xml:space="preserve">Outbreak: Apache Tomcat RCE Detected on Host</t>
  </si>
  <si>
    <t xml:space="preserve">vulnId = 84317</t>
  </si>
  <si>
    <t xml:space="preserve">Apache Tomcat RCE detected (CVE-2025-24813) on host. Details: https://www.fortiguard.com/outbreak-alert/apache-tomcat-rce</t>
  </si>
  <si>
    <t xml:space="preserve">https://filestore.fortinet.com/docs.fortinet.com/fsiem/Public_Resource_Access/7_6_0/rules/PH_RULE_Apache_Tomcat_RCE_CVE_2025_24813_Host.htm</t>
  </si>
  <si>
    <t xml:space="preserve">PH_RULE_Apache_Tomcat_RCE_CVE_2025_24813_Network</t>
  </si>
  <si>
    <t xml:space="preserve">Outbreak: Apache Tomcat RCE Detected on Network</t>
  </si>
  <si>
    <t xml:space="preserve">FortiGate-ips-signature-57559
FortiProxy-ips-signature-57559</t>
  </si>
  <si>
    <t xml:space="preserve">Other: FortiGate-ips-signature-57559
Other: FortiProxy-ips-signature-57559</t>
  </si>
  <si>
    <t xml:space="preserve">Apache Tomcat RCE detected (CVE-2025-24813) on network. Details: https://www.fortiguard.com/outbreak-alert/apache-tomcat-rce</t>
  </si>
  <si>
    <t xml:space="preserve">https://filestore.fortinet.com/docs.fortinet.com/fsiem/Public_Resource_Access/7_6_0/rules/PH_RULE_Apache_Tomcat_RCE_CVE_2025_24813_Network.htm</t>
  </si>
  <si>
    <t xml:space="preserve">PH_RULE_Atlassian_Confluence_CVE_2022_26134_Vuln_Host</t>
  </si>
  <si>
    <t xml:space="preserve">Outbreak: Atlassian Confluence CVE-2022-26134 Vuln Detected on Host</t>
  </si>
  <si>
    <t xml:space="preserve">confluence_cve</t>
  </si>
  <si>
    <t xml:space="preserve">(vulnId = 4387)</t>
  </si>
  <si>
    <t xml:space="preserve">A Fortinet product has detected Atlassian Confluence (CVE-2022-26134) Vuln on a host</t>
  </si>
  <si>
    <t xml:space="preserve">https://filestore.fortinet.com/docs.fortinet.com/fsiem/Public_Resource_Access/7_6_0/rules/PH_RULE_Atlassian_Confluence_CVE_2022_26134_Vuln_Host.htm</t>
  </si>
  <si>
    <t xml:space="preserve">PH_RULE_Atlassian_Confluence_CVE_2022_26134_Vuln_Network</t>
  </si>
  <si>
    <t xml:space="preserve">Outbreak: Atlassian Confluence CVE-2022-26134 Vuln Detected on Network</t>
  </si>
  <si>
    <t xml:space="preserve">FortiGate-ips-signature-51648
FortiProxy-ips-signature-51648</t>
  </si>
  <si>
    <t xml:space="preserve">Other: FortiGate-ips-signature-51648
Other: FortiProxy-ips-signature-51648</t>
  </si>
  <si>
    <t xml:space="preserve">A Fortinet product has detected Atlassian Confluence (CVE-2022-26134) Vuln on network</t>
  </si>
  <si>
    <t xml:space="preserve">https://filestore.fortinet.com/docs.fortinet.com/fsiem/Public_Resource_Access/7_6_0/rules/PH_RULE_Atlassian_Confluence_CVE_2022_26134_Vuln_Network.htm</t>
  </si>
  <si>
    <t xml:space="preserve">PH_RULE_Atlassian_PreAuthArbFileRead_CVE_2021_26085_Host</t>
  </si>
  <si>
    <t xml:space="preserve">Outbreak: Atlassian Pre-Auth Arbitrary File Read Vuln detected on Host</t>
  </si>
  <si>
    <t xml:space="preserve">vulnId IN (71120,4610)</t>
  </si>
  <si>
    <t xml:space="preserve">Atlassian Pre-Auth arbitrary file read vuln (CVE-2021-26085,CVE-2021-26086) detected on host</t>
  </si>
  <si>
    <t xml:space="preserve">https://filestore.fortinet.com/docs.fortinet.com/fsiem/Public_Resource_Access/7_6_0/rules/PH_RULE_Atlassian_PreAuthArbFileRead_CVE_2021_26085_Host.htm</t>
  </si>
  <si>
    <t xml:space="preserve">PH_RULE_Atlassian_PreAuthArbFileRead_CVE_2021_26085_Net</t>
  </si>
  <si>
    <t xml:space="preserve">Outbreak: Atlassian Pre-Auth Arbitrary File Read Vuln detected on Network</t>
  </si>
  <si>
    <t xml:space="preserve">FortiGate-ips-signature-50857
FortiProxy-ips-signature-50857</t>
  </si>
  <si>
    <t xml:space="preserve">Other: FortiGate-ips-signature-50857
Other: FortiProxy-ips-signature-50857</t>
  </si>
  <si>
    <t xml:space="preserve">Atlassian Pre-Auth arbitrary file read vuln (CVE-2021-26085,CVE-2021-26086) detected on network</t>
  </si>
  <si>
    <t xml:space="preserve">https://filestore.fortinet.com/docs.fortinet.com/fsiem/Public_Resource_Access/7_6_0/rules/PH_RULE_Atlassian_PreAuthArbFileRead_CVE_2021_26085_Net.htm</t>
  </si>
  <si>
    <t xml:space="preserve">PH_RULE_Black_Basta_Ransomware_CVE_2024_1709_Host</t>
  </si>
  <si>
    <t xml:space="preserve">Outbreak: Black Basta Ransomware Detected on Host</t>
  </si>
  <si>
    <t xml:space="preserve">(vulnId IN (64678,69583,69598,68093) OR virusName IN ("W64/Kryptik.EFP!tr","W64/BlackBasta.B!tr.ransom","W64/BlackBasta.A!tr.ransom","W32/Ursnif.CG!tr.spy","W32/Themida.HZB!tr","W32/PossibleThreat","W32/Kryptik.HWQP!tr","W32/Kryptik.HWGD!tr","W32/BlackBasta.PA!tr.ransom","W32/BlackBasta.F!tr.ransom","W32/BlackBasta.F!tr.ransom","W32/BlackBasta.F!tr.ransom","W32/Filecoder_BlackBasta.C!tr.ran"))</t>
  </si>
  <si>
    <t xml:space="preserve">Black Basta Ransomware detected (CVE-2024-1709,CVE-2020-1472,CVE-2021-42278,CVE-2021-42287,CVE-2021-34527) on host. Details: https://www.fortiguard.com/outbreak-alert/black-basta-ransomware</t>
  </si>
  <si>
    <t xml:space="preserve">https://filestore.fortinet.com/docs.fortinet.com/fsiem/Public_Resource_Access/7_6_0/rules/PH_RULE_Black_Basta_Ransomware_CVE_2024_1709_Host.htm</t>
  </si>
  <si>
    <t xml:space="preserve">PH_RULE_Black_Basta_Ransomware_CVE_2024_1709_Network</t>
  </si>
  <si>
    <t xml:space="preserve">Outbreak: Black Basta Ransomware Detected on Network</t>
  </si>
  <si>
    <t xml:space="preserve">FortiGate-ips-signature-49499
FortiGate-ips-signature-50553
FortiGate-ips-signature-51057
FortiGate-ips-signature-54714
FortiProxy-ips-signature-49499
FortiProxy-ips-signature-50553
FortiProxy-ips-signature-51057
FortiProxy-ips-signature-54714
Group@PH_SYS_EVENT_FortiGate_AV_Detected</t>
  </si>
  <si>
    <t xml:space="preserve">ipsSignatureId IN (49499,54714,51057,50553,10171122,10170043,10109106,8158157,10108383,58991,10175293,10172141,10112876,10092417,10118808,10119855,10089014) AND (srcIpAddr IN (Group@PH_SYS_NETWORK_ENTERPRISE_INTERNAL_NET) OR (destIpAddr IN (Group@PH_SYS_NETWORK_ENTERPRISE_INTERNAL_NET) AND fwAction NOT IN ("deny","dropped","block","blocked","ban-ip","Alert_Deny")))</t>
  </si>
  <si>
    <t xml:space="preserve">Other: FortiGate-ips-signature-49499
Other: FortiProxy-ips-signature-49499
Other: FortiGate-ips-signature-54714
Other: FortiProxy-ips-signature-54714
Other: FortiGate-ips-signature-51057
Other: FortiProxy-ips-signature-51057
Other: FortiGate-ips-signature-50553
Other: FortiProxy-ips-signature-50553
Event-type group (membership not published): Group@PH_SYS_EVENT_FortiGate_AV_Detected</t>
  </si>
  <si>
    <t xml:space="preserve">Black Basta Ransomware detected (CVE-2024-1709,CVE-2020-1472,CVE-2021-42278,CVE-2021-42287,CVE-2021-34527) on network. Details: https://www.fortiguard.com/outbreak-alert/black-basta-ransomware</t>
  </si>
  <si>
    <t xml:space="preserve">https://filestore.fortinet.com/docs.fortinet.com/fsiem/Public_Resource_Access/7_6_0/rules/PH_RULE_Black_Basta_Ransomware_CVE_2024_1709_Network.htm</t>
  </si>
  <si>
    <t xml:space="preserve">PH_RULE_Cacti_CommandInjectVuln_2022_Network</t>
  </si>
  <si>
    <t xml:space="preserve">Outbreak: Cacti Server Command Injection Attack Detected on Network</t>
  </si>
  <si>
    <t xml:space="preserve">FortiGate-ips-signature-52456
FortiProxy-ips-signature-52456</t>
  </si>
  <si>
    <t xml:space="preserve">Other: FortiGate-ips-signature-52456
Other: FortiProxy-ips-signature-52456</t>
  </si>
  <si>
    <t xml:space="preserve">Cacti server command injection attack detected (CVE-2022-46169) on network. Details: https://www.fortiguard.com/outbreak-alert/cacti-command-injection</t>
  </si>
  <si>
    <t xml:space="preserve">https://filestore.fortinet.com/docs.fortinet.com/fsiem/Public_Resource_Access/7_6_0/rules/PH_RULE_Cacti_CommandInjectVuln_2022_Network.htm</t>
  </si>
  <si>
    <t xml:space="preserve">PH_RULE_Cacti_CommandInjectVuln_2022_Host</t>
  </si>
  <si>
    <t xml:space="preserve">Outbreak: Cacti Server Command Injection Vulnerability Detected on Host</t>
  </si>
  <si>
    <t xml:space="preserve">vulnId = 4603</t>
  </si>
  <si>
    <t xml:space="preserve">Cacti server command injection vuln detected (CVE-2022-46169) on host. Details: https://www.fortiguard.com/outbreak-alert/cacti-command-injection</t>
  </si>
  <si>
    <t xml:space="preserve">https://filestore.fortinet.com/docs.fortinet.com/fsiem/Public_Resource_Access/7_6_0/rules/PH_RULE_Cacti_CommandInjectVuln_2022_Host.htm</t>
  </si>
  <si>
    <t xml:space="preserve">PH_RULE_CDATA_RCE_Attack_CVE_2022_4257_Host</t>
  </si>
  <si>
    <t xml:space="preserve">Outbreak: CDATA Web Management System RCE Attack Detected on Host</t>
  </si>
  <si>
    <t xml:space="preserve">virusName IN ("ELF/Mirai.ASX!tr","ELF/Mirai.AT!tr","ELF/Mirai.IA!tr","Linux/Mirai.F891!tr.dldr","Linux/Mirai.FVVYNWT!tr")</t>
  </si>
  <si>
    <t xml:space="preserve">C-DATA Web Management System RCE Attack detected (CVE-2022-4257) on host. Details: https://www.fortiguard.com/outbreak-alert/c-data-rce-attack</t>
  </si>
  <si>
    <t xml:space="preserve">https://filestore.fortinet.com/docs.fortinet.com/fsiem/Public_Resource_Access/7_6_0/rules/PH_RULE_CDATA_RCE_Attack_CVE_2022_4257_Host.htm</t>
  </si>
  <si>
    <t xml:space="preserve">PH_RULE_CDATA_RCE_Attack_CVE_2022_4257_Network</t>
  </si>
  <si>
    <t xml:space="preserve">Outbreak: CDATA Web Management System RCE Attack Detected on Network</t>
  </si>
  <si>
    <t xml:space="preserve">FortiGate-ips-signature-52651
FortiProxy-ips-signature-52651
Group@PH_SYS_EVENT_FortiGate_AV_Detected</t>
  </si>
  <si>
    <t xml:space="preserve">ipsSignatureId IN (52651,8194804,7637691,7891726,10125274,10125037) AND (srcIpAddr IN (Group@PH_SYS_NETWORK_ENTERPRISE_INTERNAL_NET) OR (destIpAddr IN (Group@PH_SYS_NETWORK_ENTERPRISE_INTERNAL_NET) AND fwAction NOT IN ("deny","dropped","block","blocked","ban-ip","Alert_Deny")))</t>
  </si>
  <si>
    <t xml:space="preserve">Other: FortiGate-ips-signature-52651
Other: FortiProxy-ips-signature-52651
Event-type group (membership not published): Group@PH_SYS_EVENT_FortiGate_AV_Detected</t>
  </si>
  <si>
    <t xml:space="preserve">C-DATA Web Management System RCE Attack detected (CVE-2022-4257) on network. Details: https://www.fortiguard.com/outbreak-alert/c-data-rce-attack</t>
  </si>
  <si>
    <t xml:space="preserve">https://filestore.fortinet.com/docs.fortinet.com/fsiem/Public_Resource_Access/7_6_0/rules/PH_RULE_CDATA_RCE_Attack_CVE_2022_4257_Network.htm</t>
  </si>
  <si>
    <t xml:space="preserve">PH_RULE_CheckPoint_Info_CVE_2024_24919_Network</t>
  </si>
  <si>
    <t xml:space="preserve">Outbreak: Check Point Quantum Security Gateways Information Disclosure Attack Detected on Network</t>
  </si>
  <si>
    <t xml:space="preserve">FortiGate-ips-signature-55956
FortiProxy-ips-signature-55956</t>
  </si>
  <si>
    <t xml:space="preserve">Other: FortiGate-ips-signature-55956
Other: FortiProxy-ips-signature-55956</t>
  </si>
  <si>
    <t xml:space="preserve">Check Point Quantum Security Gateways Information Disclosure Attack detected (CVE-2024-24919) on network. Details: https://www.fortiguard.com/outbreak-alert/check-point-information-disclosure</t>
  </si>
  <si>
    <t xml:space="preserve">https://filestore.fortinet.com/docs.fortinet.com/fsiem/Public_Resource_Access/7_6_0/rules/PH_RULE_CheckPoint_Info_CVE_2024_24919_Network.htm</t>
  </si>
  <si>
    <t xml:space="preserve">PH_RULE_CISA_TOP_20_VULNS_Host</t>
  </si>
  <si>
    <t xml:space="preserve">Outbreak: CISA Top 20 Vulnerability detected on Host</t>
  </si>
  <si>
    <t xml:space="preserve">vulnId IN (69887,70935,4505,69885,4506,4507,69884,69888,2700,4387,66853,2710,4152,66854,66855,66856,2711)</t>
  </si>
  <si>
    <t xml:space="preserve">One of the CISA Top 20 most common vulnerabilities detected on host</t>
  </si>
  <si>
    <t xml:space="preserve">https://filestore.fortinet.com/docs.fortinet.com/fsiem/Public_Resource_Access/7_6_0/rules/PH_RULE_CISA_TOP_20_VULNS_Host.htm</t>
  </si>
  <si>
    <t xml:space="preserve">PH_RULE_Cisco_ASA_FTD_FW_CVE_2025_20363_Network</t>
  </si>
  <si>
    <t xml:space="preserve">Outbreak: Cisco ASA and FTD Firewall RCE Detected on Network</t>
  </si>
  <si>
    <t xml:space="preserve">FortiGate-ips-signature-59548
FortiGate-ips-signature-59550
FortiProxy-ips-signature-59548
FortiProxy-ips-signature-59550</t>
  </si>
  <si>
    <t xml:space="preserve">srcIpAddr,destIpAddr</t>
  </si>
  <si>
    <t xml:space="preserve">Other: FortiGate-ips-signature-59548
Other: FortiProxy-ips-signature-59548
Other: FortiGate-ips-signature-59550
Other: FortiProxy-ips-signature-59550</t>
  </si>
  <si>
    <t xml:space="preserve">Cisco ASA and FTD Firewall RCE detected (CVE-2025-20333,CVE-2025-20362,CVE-2025-20363) on network. Details: https://www.fortiguard.com/outbreak-alert/cisco-asa-and-ftd-firewall-zero-day</t>
  </si>
  <si>
    <t xml:space="preserve">https://filestore.fortinet.com/docs.fortinet.com/fsiem/Public_Resource_Access/7_6_0/rules/PH_RULE_Cisco_ASA_FTD_FW_CVE_2025_20363_Network.htm</t>
  </si>
  <si>
    <t xml:space="preserve">PH_RULE_Cisco_IOS_XE_Web_UI_Vuln_CVE_2023_20273_Network</t>
  </si>
  <si>
    <t xml:space="preserve">Outbreak: Cisco IOS XE Web UI Attack Detected on Network</t>
  </si>
  <si>
    <t xml:space="preserve">T1210, T1036.004</t>
  </si>
  <si>
    <t xml:space="preserve">FortiGate-ips-signature-54224
FortiProxy-ips-signature-54224</t>
  </si>
  <si>
    <t xml:space="preserve">Other: FortiGate-ips-signature-54224
Other: FortiProxy-ips-signature-54224</t>
  </si>
  <si>
    <t xml:space="preserve">Cisco IOS XE Web UI Attack detected (CVE-2023-20198,CVE-2023-20273) on network. Details: https://www.fortiguard.com/outbreak-alert/cisco-ios-xe-web-ui-vulnerability</t>
  </si>
  <si>
    <t xml:space="preserve">https://filestore.fortinet.com/docs.fortinet.com/fsiem/Public_Resource_Access/7_6_0/rules/PH_RULE_Cisco_IOS_XE_Web_UI_Vuln_CVE_2023_20273_Network.htm</t>
  </si>
  <si>
    <t xml:space="preserve">PH_RULE_Citrix_Bleed2_CVE_2025_5777_Network</t>
  </si>
  <si>
    <t xml:space="preserve">Outbreak: Citrix Bleed 2 Detected on Network</t>
  </si>
  <si>
    <t xml:space="preserve">FortiGate-ips-signature-58380
FortiProxy-ips-signature-58380</t>
  </si>
  <si>
    <t xml:space="preserve">Other: FortiGate-ips-signature-58380
Other: FortiProxy-ips-signature-58380</t>
  </si>
  <si>
    <t xml:space="preserve">Citrix Bleed 2 detected (CVE-2025-5777,CVE-2025-5349,CVE-2025-6543) on network. Details: https://www.fortiguard.com/outbreak-alert/citrix-bleed-2</t>
  </si>
  <si>
    <t xml:space="preserve">https://filestore.fortinet.com/docs.fortinet.com/fsiem/Public_Resource_Access/7_6_0/rules/PH_RULE_Citrix_Bleed2_CVE_2025_5777_Network.htm</t>
  </si>
  <si>
    <t xml:space="preserve">PH_RULE_Citrix_Bleed_Attack_CVE_2023_4966_Network</t>
  </si>
  <si>
    <t xml:space="preserve">Outbreak: Citrix Bleed Attack Detected on Network</t>
  </si>
  <si>
    <t xml:space="preserve">FortiGate-ips-signature-27845
FortiProxy-ips-signature-27845</t>
  </si>
  <si>
    <t xml:space="preserve">Other: FortiGate-ips-signature-27845
Other: FortiProxy-ips-signature-27845</t>
  </si>
  <si>
    <t xml:space="preserve">Citrix Bleed Attack detected (CVE-2023-4966) on network. Details: https://www.fortiguard.com/outbreak-alert/citrix-bleed-attack</t>
  </si>
  <si>
    <t xml:space="preserve">https://filestore.fortinet.com/docs.fortinet.com/fsiem/Public_Resource_Access/7_6_0/rules/PH_RULE_Citrix_Bleed_Attack_CVE_2023_4966_Network.htm</t>
  </si>
  <si>
    <t xml:space="preserve">PH_RULE_Citrix_NetScaler_MemOverread_CVE_2026_3055_Network</t>
  </si>
  <si>
    <t xml:space="preserve">Outbreak: Citrix NetScaler Memory Overread Vuln Detected on Network</t>
  </si>
  <si>
    <t xml:space="preserve">FortiGate-ips-signature-60635
FortiProxy-ips-signature-60635</t>
  </si>
  <si>
    <t xml:space="preserve">Other: FortiGate-ips-signature-60635
Other: FortiProxy-ips-signature-60635</t>
  </si>
  <si>
    <t xml:space="preserve">Citrix NetScaler Memory Overread Vulnerability detected (CVE-2026-3055) on network. Details: https://www.fortiguard.com/outbreak-alert/citrix-netscaler-memory-overread</t>
  </si>
  <si>
    <t xml:space="preserve">https://filestore.fortinet.com/docs.fortinet.com/fsiem/Public_Resource_Access/7_6_0/rules/PH_RULE_Citrix_NetScaler_MemOverread_CVE_2026_3055_Network.htm</t>
  </si>
  <si>
    <t xml:space="preserve">PH_RULE_Commvault_CVE_2025_34028_Network</t>
  </si>
  <si>
    <t xml:space="preserve">Outbreak: Commvault Command Center Path Traversal Vuln Detected on Network</t>
  </si>
  <si>
    <t xml:space="preserve">FortiGate-ips-signature-57882
FortiProxy-ips-signature-57882</t>
  </si>
  <si>
    <t xml:space="preserve">Other: FortiGate-ips-signature-57882
Other: FortiProxy-ips-signature-57882</t>
  </si>
  <si>
    <t xml:space="preserve">Commvault Command Center Path Traversal Vulnerability detected (CVE-2025-34028) on network. Details: https://www.fortiguard.com/outbreak-alert/commvault-cc-path-traversal</t>
  </si>
  <si>
    <t xml:space="preserve">https://filestore.fortinet.com/docs.fortinet.com/fsiem/Public_Resource_Access/7_6_0/rules/PH_RULE_Commvault_CVE_2025_34028_Network.htm</t>
  </si>
  <si>
    <t xml:space="preserve">PH_RULE_ConnectWise_ScreenConnect__CVE_2024_1709_Host</t>
  </si>
  <si>
    <t xml:space="preserve">Outbreak: ConnectWise ScreenConnect Attack Detected on Host</t>
  </si>
  <si>
    <t xml:space="preserve">(vulnId IN (5589,5588) OR virusName IN ("W32/Kryptik.HJIS!tr","W32/Lockbit.K!tr.ransom","W32/Conwise.RCE!tr"))</t>
  </si>
  <si>
    <t xml:space="preserve">ConnectWise ScreenConnect Attack detected (CVE-2024-1709,CVE-2024-1708) on host. Details: https://www.fortiguard.com/outbreak-alert/connectwise-screenconnect-attack</t>
  </si>
  <si>
    <t xml:space="preserve">https://filestore.fortinet.com/docs.fortinet.com/fsiem/Public_Resource_Access/7_6_0/rules/PH_RULE_ConnectWise_ScreenConnect_CVE_2024_1709_Host.htm</t>
  </si>
  <si>
    <t xml:space="preserve">PH_RULE_ConnectWise_ScreenConnect_CVE_2024_1709_Network</t>
  </si>
  <si>
    <t xml:space="preserve">Outbreak: ConnectWise ScreenConnect Attack Detected on Network</t>
  </si>
  <si>
    <t xml:space="preserve">FortiGate-ips-signature-54714
FortiProxy-ips-signature-54714
Group@PH_SYS_EVENT_FortiGate_AV_Detected</t>
  </si>
  <si>
    <t xml:space="preserve">ipsSignatureId IN (54714,10123717,10001903,10173180) AND (srcIpAddr IN (Group@PH_SYS_NETWORK_ENTERPRISE_INTERNAL_NET) OR (destIpAddr IN (Group@PH_SYS_NETWORK_ENTERPRISE_INTERNAL_NET) AND fwAction NOT IN ("deny","dropped","block","blocked","ban-ip","Alert_Deny")))</t>
  </si>
  <si>
    <t xml:space="preserve">Other: FortiGate-ips-signature-54714
Other: FortiProxy-ips-signature-54714
Event-type group (membership not published): Group@PH_SYS_EVENT_FortiGate_AV_Detected</t>
  </si>
  <si>
    <t xml:space="preserve">ConnectWise ScreenConnect Attack detected (CVE-2024-1709,CVE-2024-1708) on network. Details: https://www.fortiguard.com/outbreak-alert/connectwise-screenconnect-attack</t>
  </si>
  <si>
    <t xml:space="preserve">https://filestore.fortinet.com/docs.fortinet.com/fsiem/Public_Resource_Access/7_6_0/rules/PH_RULE_ConnectWise_ScreenConnect_CVE_2024_1709_Network.htm</t>
  </si>
  <si>
    <t xml:space="preserve">PH_RULE_CosmicEnergy_Malware_Host</t>
  </si>
  <si>
    <t xml:space="preserve">Outbreak: CosmicEnergy Malware Detected on Host</t>
  </si>
  <si>
    <t xml:space="preserve">virusName IN ("W32/Cosmic.DISR!tr","Python/Cosmic.DISR!tr")</t>
  </si>
  <si>
    <t xml:space="preserve">CosmicEnergy Malware detected on host. Details: https://www.fortiguard.com/outbreak-alert/cosmicenergy-malware</t>
  </si>
  <si>
    <t xml:space="preserve">https://filestore.fortinet.com/docs.fortinet.com/fsiem/Public_Resource_Access/7_6_0/rules/PH_RULE_CosmicEnergy_Malware_Host.htm</t>
  </si>
  <si>
    <t xml:space="preserve">PH_RULE_CosmicEnergy_Malware_Network</t>
  </si>
  <si>
    <t xml:space="preserve">Outbreak: CosmicEnergy Malware Detected on Network</t>
  </si>
  <si>
    <t xml:space="preserve">ipsSignatureId IN (10138907,10138908) AND (srcIpAddr IN (Group@PH_SYS_NETWORK_ENTERPRISE_INTERNAL_NET) OR (destIpAddr IN (Group@PH_SYS_NETWORK_ENTERPRISE_INTERNAL_NET)AND fwAction NOT IN ("deny","dropped","block","blocked","ban-ip","alert_deny")))</t>
  </si>
  <si>
    <t xml:space="preserve">CosmicEnergy Malware detected on network. Details: https://www.fortiguard.com/outbreak-alert/cosmicenergy-malware</t>
  </si>
  <si>
    <t xml:space="preserve">https://filestore.fortinet.com/docs.fortinet.com/fsiem/Public_Resource_Access/7_6_0/rules/PH_RULE_CosmicEnergy_Malware_Network.htm</t>
  </si>
  <si>
    <t xml:space="preserve">PH_RULE_CrushFTP_Auth_Bypass_CVE_2025_31161_Host</t>
  </si>
  <si>
    <t xml:space="preserve">Outbreak: CrushFTP Authentication Bypass Attack Detected on Host</t>
  </si>
  <si>
    <t xml:space="preserve">(vulnId = 6108 OR virusName = "W32/Loader_Lycaon.AM!tr")</t>
  </si>
  <si>
    <t xml:space="preserve">CrushFTP Authentication Bypass Attack detected (CVE-2025-31161) on host. Details: https://www.fortiguard.com/outbreak-alert/crushftp-authentication-bypass</t>
  </si>
  <si>
    <t xml:space="preserve">https://filestore.fortinet.com/docs.fortinet.com/fsiem/Public_Resource_Access/7_6_0/rules/PH_RULE_CrushFTP_Auth_Bypass_CVE_2025_31161_Host.htm</t>
  </si>
  <si>
    <t xml:space="preserve">PH_RULE_CrushFTP_Auth_Bypass_CVE_2025_31161_Network</t>
  </si>
  <si>
    <t xml:space="preserve">Outbreak: CrushFTP Authentication Bypass Attack Detected on Network</t>
  </si>
  <si>
    <t xml:space="preserve">FortiGate-ips-signature-57653
FortiProxy-ips-signature-57653
Group@PH_SYS_EVENT_FortiGate_AV_Detected</t>
  </si>
  <si>
    <t xml:space="preserve">ipsSignatureId IN (57653,10210874) AND (srcIpAddr IN (Group@PH_SYS_NETWORK_ENTERPRISE_INTERNAL_NET) OR (destIpAddr IN (Group@PH_SYS_NETWORK_ENTERPRISE_INTERNAL_NET) AND fwAction NOT IN ("deny","dropped","block","blocked","ban-ip","Alert_Deny")))</t>
  </si>
  <si>
    <t xml:space="preserve">Other: FortiGate-ips-signature-57653
Other: FortiProxy-ips-signature-57653
Event-type group (membership not published): Group@PH_SYS_EVENT_FortiGate_AV_Detected</t>
  </si>
  <si>
    <t xml:space="preserve">CrushFTP Authentication Bypass Attack detected (CVE-2025-31161) on network. Details: https://www.fortiguard.com/outbreak-alert/crushftp-authentication-bypass</t>
  </si>
  <si>
    <t xml:space="preserve">https://filestore.fortinet.com/docs.fortinet.com/fsiem/Public_Resource_Access/7_6_0/rules/PH_RULE_CrushFTP_Auth_Bypass_CVE_2025_31161_Network.htm</t>
  </si>
  <si>
    <t xml:space="preserve">PH_RULE_Dlink_MulDev_CVE_2024_3272_Network</t>
  </si>
  <si>
    <t xml:space="preserve">Outbreak: Dlink Multiple Devices Attack Detected on Network</t>
  </si>
  <si>
    <t xml:space="preserve">FortiGate-ips-signature-44585
FortiGate-ips-signature-55174
FortiGate-ips-signature-55518
FortiGate-ips-signature-55887
FortiProxy-ips-signature-44585
FortiProxy-ips-signature-55174
FortiProxy-ips-signature-55518
FortiProxy-ips-signature-55887</t>
  </si>
  <si>
    <t xml:space="preserve">Other: FortiGate-ips-signature-55174
Other: FortiProxy-ips-signature-55174
Other: FortiGate-ips-signature-44585
Other: FortiProxy-ips-signature-44585
Other: FortiGate-ips-signature-55518
Other: FortiProxy-ips-signature-55518
Other: FortiGate-ips-signature-55887
Other: FortiProxy-ips-signature-55887</t>
  </si>
  <si>
    <t xml:space="preserve">D-link Multiple Devices Attack detected (CVE-2024-3272,CVE-2024-3273,CVE-2014-100005,CVE-2021-40655,CVE-2022-37055) on network. Details: https://www.fortiguard.com/outbreak-alert/d-link-multiple-devices-attack</t>
  </si>
  <si>
    <t xml:space="preserve">https://filestore.fortinet.com/docs.fortinet.com/fsiem/Public_Resource_Access/7_6_0/rules/PH_RULE_Dlink_MulDev_CVE_2024_3272_Network.htm</t>
  </si>
  <si>
    <t xml:space="preserve">PH_RULE_Earth_Lamia_APT_Attack_CVE_2025_31324_Network</t>
  </si>
  <si>
    <t xml:space="preserve">Outbreak: Earth Lamia APT Attack Detected on Network</t>
  </si>
  <si>
    <t xml:space="preserve">FortiGate-ips-signature-44501
FortiGate-ips-signature-50901
FortiGate-ips-signature-54906
FortiGate-ips-signature-54915
FortiGate-ips-signature-56818
FortiGate-ips-signature-56828
FortiGate-ips-signature-57031
FortiGate-ips-signature-57080
FortiProxy-ips-signature-44501
FortiProxy-ips-signature-50901
FortiProxy-ips-signature-54906
FortiProxy-ips-signature-54915
FortiProxy-ips-signature-56818
FortiProxy-ips-signature-56828
FortiProxy-ips-signature-57031
FortiProxy-ips-signature-57080
Group@PH_SYS_EVENT_FortiGate_AV_Detected</t>
  </si>
  <si>
    <t xml:space="preserve">ipsSignatureId IN (54915,54906,56818,44501,57080,56828,50901,57031,10195177,10206692,10132838) AND (srcIpAddr IN (Group@PH_SYS_NETWORK_ENTERPRISE_INTERNAL_NET) OR (destIpAddr IN (Group@PH_SYS_NETWORK_ENTERPRISE_INTERNAL_NET) AND fwAction NOT IN ("deny","dropped","block","blocked","ban-ip","Alert_Deny")))</t>
  </si>
  <si>
    <t xml:space="preserve">Other: FortiGate-ips-signature-54915
Other: FortiProxy-ips-signature-54915
Other: FortiGate-ips-signature-54906
Other: FortiProxy-ips-signature-54906
Other: FortiGate-ips-signature-56818
Other: FortiProxy-ips-signature-56818
Other: FortiGate-ips-signature-44501
Other: FortiProxy-ips-signature-44501
Other: FortiGate-ips-signature-57080
Other: FortiProxy-ips-signature-57080
Other: FortiGate-ips-signature-56828
Other: FortiProxy-ips-signature-56828
Other: FortiGate-ips-signature-50901
Other: FortiProxy-ips-signature-50901
Other: FortiGate-ips-signature-57031
Other: FortiProxy-ips-signature-57031
Event-type group (membership not published): Group@PH_SYS_EVENT_FortiGate_AV_Detected</t>
  </si>
  <si>
    <t xml:space="preserve">Earth Lamia APT Attack detected (CVE-2025-31324,CVE-2024-51378,CVE-2024-27199,CVE-2024-27198,CVE-2024-51567,CVE-2021-22205,CVE-2024-9047,CVE-2024-56145,CVE-2017-9805) on network. Details: https://www.fortiguard.com/outbreak-alert/earth-lamia-apt-attack</t>
  </si>
  <si>
    <t xml:space="preserve">https://filestore.fortinet.com/docs.fortinet.com/fsiem/Public_Resource_Access/7_6_0/rules/PH_RULE_Earth_Lamia_APT_Attack_CVE_2025_31324_Network.htm</t>
  </si>
  <si>
    <t xml:space="preserve">PH_RULE_FGT_RCE_CVE2022_40684</t>
  </si>
  <si>
    <t xml:space="preserve">Outbreak: FortiGate Authentication bypass on Administrative Interface</t>
  </si>
  <si>
    <t xml:space="preserve">FortiGate-event-admin-action
FortiGate-event-gui-chg-sub-module
FortiProxy-event-admin-action</t>
  </si>
  <si>
    <t xml:space="preserve">user = "Local_Process_Access"</t>
  </si>
  <si>
    <t xml:space="preserve">reptDevIpAddr,reptDevName</t>
  </si>
  <si>
    <t xml:space="preserve">Other: FortiGate-event-admin-action
Other: FortiGate-event-gui-chg-sub-module
Other: FortiProxy-event-admin-action</t>
  </si>
  <si>
    <t xml:space="preserve">A FortiGate or FortiProxy network appliance reported a authentication bypass on an administrative interface. This is a detection for vulnerability (CVE-2022-40684).</t>
  </si>
  <si>
    <t xml:space="preserve">https://filestore.fortinet.com/docs.fortinet.com/fsiem/Public_Resource_Access/7_6_0/rules/PH_RULE_FGT_RCE_CVE2022_40684.htm</t>
  </si>
  <si>
    <t xml:space="preserve">PH_RULE_CISA_TOP_20_VULNS_FGT_Network</t>
  </si>
  <si>
    <t xml:space="preserve">Outbreak: FortiGate detected CISA Top 20 Vulnerability on Network</t>
  </si>
  <si>
    <t xml:space="preserve">Group@PH_SYS_EVENT_TopCISA_CVE</t>
  </si>
  <si>
    <t xml:space="preserve">Event-type group (membership not published): Group@PH_SYS_EVENT_TopCISA_CVE</t>
  </si>
  <si>
    <t xml:space="preserve">One of the CISA Top 20 most common vulnerabilities detected on network</t>
  </si>
  <si>
    <t xml:space="preserve">https://filestore.fortinet.com/docs.fortinet.com/fsiem/Public_Resource_Access/7_6_0/rules/PH_RULE_CISA_TOP_20_VULNS_FGT_Network.htm</t>
  </si>
  <si>
    <t xml:space="preserve">PH_RULE_FortiManager_RCE_CVE_2024_47575_Device</t>
  </si>
  <si>
    <t xml:space="preserve">Outbreak: FortiManager Command Execution Vulnerability Detected on Device</t>
  </si>
  <si>
    <t xml:space="preserve">FortiManager via Syslog
FortiGate via Syslog</t>
  </si>
  <si>
    <t xml:space="preserve">FMGR-dvm-Dvmlog-Notice
FMGR-dvm-Generic-Info</t>
  </si>
  <si>
    <t xml:space="preserve">(opName = "Modify device" AND (usrMsg CONTAIN "FMG-VMTM23017412" OR usrMsg CONTAIN "FMG-VMTM19008093")) OR (usrMsg CONTAIN "Unregistered device")</t>
  </si>
  <si>
    <t xml:space="preserve">deviceIdentification</t>
  </si>
  <si>
    <t xml:space="preserve">Other: FMGR-dvm-Dvmlog-Notice
Other: FMGR-dvm-Generic-Info</t>
  </si>
  <si>
    <t xml:space="preserve">FortiManager Command Execution Vulnerability detected (CVE-2024-47575) on device. A missing authentication for critical function vulnerability [CWE-306] in FortiManager fgfmd daemon may allow a remote unauthenticated attacker to execute arbitrary code or commands via specially crafted requests. Details: https://www.fortiguard.com/psirt/FG-IR-24-423</t>
  </si>
  <si>
    <t xml:space="preserve">https://filestore.fortinet.com/docs.fortinet.com/fsiem/Public_Resource_Access/7_6_0/rules/PH_RULE_FortiManager_RCE_CVE_2024_47575_Device.htm</t>
  </si>
  <si>
    <t xml:space="preserve">PH_RULE_FortiManager_RCE_CVE_2024_47575_Network</t>
  </si>
  <si>
    <t xml:space="preserve">Outbreak: FortiManager Command Execution Vulnerability Detected on Network</t>
  </si>
  <si>
    <t xml:space="preserve">Group@PH_SYS_EVENT_PermitNetTraffic
Group@PH_SYS_EVENT_PermitWebTraffic</t>
  </si>
  <si>
    <t xml:space="preserve">((srcIpAddr IN (45.32.41.202,104.238.141.143,158.247.199.37,45.32.63.2,195.85.114.78,80.66.196.199,198.199.122.22,172.232.167.68) OR destIpAddr IN (45.32.41.202,104.238.141.143,158.247.199.37,45.32.63.2,195.85.114.78,80.66.196.199,198.199.122.22,172.232.167.68)))</t>
  </si>
  <si>
    <t xml:space="preserve">srcIpAddr, destIpAddr, destGeoCountry, srcGeoCountry</t>
  </si>
  <si>
    <t xml:space="preserve">Event-type group (membership not published): Group@PH_SYS_EVENT_PermitNetTraffic
Event-type group (membership not published): Group@PH_SYS_EVENT_PermitWebTraffic</t>
  </si>
  <si>
    <t xml:space="preserve">FortiManager Command Execution Vulnerability detected (CVE-2024-47575) on Network. A missing authentication for critical function vulnerability [CWE-306] in FortiManager fgfmd daemon may allow a remote unauthenticated attacker to execute arbitrary code or commands via specially crafted requests. Details: https://www.fortiguard.com/psirt/FG-IR-24-423</t>
  </si>
  <si>
    <t xml:space="preserve">https://filestore.fortinet.com/docs.fortinet.com/fsiem/Public_Resource_Access/7_6_0/rules/PH_RULE_FortiManager_RCE_CVE_2024_47575_Network.htm</t>
  </si>
  <si>
    <t xml:space="preserve">PH_RULE_FORTIOS_CVE_2022_42475</t>
  </si>
  <si>
    <t xml:space="preserve">Outbreak: FortiOS SSLVPN Heap Buffer Overflow attack - CVE-2022-42475 Detected on Network</t>
  </si>
  <si>
    <t xml:space="preserve">FortiGate-ips-signature-52258
FortiProxy-ips-signature-52258</t>
  </si>
  <si>
    <t xml:space="preserve">Other: FortiGate-ips-signature-52258
Other: FortiProxy-ips-signature-52258</t>
  </si>
  <si>
    <t xml:space="preserve">SSLVPN heap buffer overflow attack (CVE-2022-42475) detected on network</t>
  </si>
  <si>
    <t xml:space="preserve">https://filestore.fortinet.com/docs.fortinet.com/fsiem/Public_Resource_Access/7_6_0/rules/PH_RULE_FORTIOS_CVE_2022_42475.htm</t>
  </si>
  <si>
    <t xml:space="preserve">PH_RULE_CISA_TOP_20_VULNS_FWB_Network</t>
  </si>
  <si>
    <t xml:space="preserve">Outbreak: FortiWeb detected CISA Top 20 Vulnerability on Network</t>
  </si>
  <si>
    <t xml:space="preserve">FortiWeb via Syslog</t>
  </si>
  <si>
    <t xml:space="preserve">FortiWeb-20000010</t>
  </si>
  <si>
    <t xml:space="preserve">ipsSignatureId IN (1090490119,1090490120,1090490121,1090501263,1090501141,1090501358,1090501360,1090501033,1090501366,1090501565,1090501475,1090501445,1090501355,1090501371,1090501267,1090501265,1090490117) AND (srcIpAddr IN (Group@PH_SYS_NETWORK_ENTERPRISE_INTERNAL_NET) OR (destIpAddr IN (Group@PH_SYS_NETWORK_ENTERPRISE_INTERNAL_NET) AND fwAction NOT IN ("deny","dropped","block","blocked","ban-ip","alert_deny")))</t>
  </si>
  <si>
    <t xml:space="preserve">Other: FortiWeb-20000010</t>
  </si>
  <si>
    <t xml:space="preserve">https://filestore.fortinet.com/docs.fortinet.com/fsiem/Public_Resource_Access/7_6_0/rules/PH_RULE_CISA_TOP_20_VULNS_FWB_Network.htm</t>
  </si>
  <si>
    <t xml:space="preserve">PH_RULE_FWB_VMware_SpringCloud_RCE_CVE_2022_22963</t>
  </si>
  <si>
    <t xml:space="preserve">Outbreak: FortiWeb detected VMware Spring Cloud Func RCE Vulnerability on Network</t>
  </si>
  <si>
    <t xml:space="preserve">ipsSignatureId IN (1090501441,1090501440) AND (srcIpAddr IN (Group@PH_SYS_NETWORK_ENTERPRISE_INTERNAL_NET) OR (destIpAddr IN (Group@PH_SYS_NETWORK_ENTERPRISE_INTERNAL_NET) AND fwAction NOT IN ("deny","dropped","block","blocked","ban-ip","alert_deny")))</t>
  </si>
  <si>
    <t xml:space="preserve">VMware Spring Cloud Func RCE Vulnerability (CVE-2022-22963) detected on network</t>
  </si>
  <si>
    <t xml:space="preserve">https://filestore.fortinet.com/docs.fortinet.com/fsiem/Public_Resource_Access/7_6_0/rules/PH_RULE_FWB_VMware_SpringCloud_RCE_CVE_2022_22963.htm</t>
  </si>
  <si>
    <t xml:space="preserve">PH_RULE_FWB_ZerobotBotnetActivity</t>
  </si>
  <si>
    <t xml:space="preserve">Outbreak: FortiWeb detected Zerobot Botnet Activity on Network</t>
  </si>
  <si>
    <t xml:space="preserve">ipsSignatureId IN (1090490133,1050180008) AND (srcIpAddr IN (Group@PH_SYS_NETWORK_ENTERPRISE_INTERNAL_NET) OR (destIpAddr IN (Group@PH_SYS_NETWORK_ENTERPRISE_INTERNAL_NET) AND fwAction NOT IN ("deny","dropped","block","blocked","ban-ip","alert_deny")))</t>
  </si>
  <si>
    <t xml:space="preserve">Zerobot Botnet activity detected (CVE-2017-17105,CVE-2019-10655,CVE-2020-25223,CVE-2021-42013,CVE-2022-31137,CVE-2022-33891) on network</t>
  </si>
  <si>
    <t xml:space="preserve">https://filestore.fortinet.com/docs.fortinet.com/fsiem/Public_Resource_Access/7_6_0/rules/PH_RULE_FWB_ZerobotBotnetActivity.htm</t>
  </si>
  <si>
    <t xml:space="preserve">PH_RULE_GoAnywhere_MFT_Attack_CVE_2025_10035_Host</t>
  </si>
  <si>
    <t xml:space="preserve">Outbreak: Fortra GoAnywhere MFT Attack Detected on Host</t>
  </si>
  <si>
    <t xml:space="preserve">vulnId = 6245</t>
  </si>
  <si>
    <t xml:space="preserve">Fortra GoAnywhere MFT Attack detected (CVE-2025-10035) on host. Details: https://www.fortiguard.com/outbreak-alert/goanywhere-mft-attack</t>
  </si>
  <si>
    <t xml:space="preserve">https://filestore.fortinet.com/docs.fortinet.com/fsiem/Public_Resource_Access/7_6_0/rules/PH_RULE_GoAnywhere_MFT_Attack_CVE_2025_10035_Host.htm</t>
  </si>
  <si>
    <t xml:space="preserve">PH_RULE_GoAnywhere_MFT_Attack_CVE_2025_10035_Network</t>
  </si>
  <si>
    <t xml:space="preserve">Outbreak: Fortra GoAnywhere MFT Attack Detected on Network</t>
  </si>
  <si>
    <t xml:space="preserve">FortiGate-ips-signature-59073
FortiProxy-ips-signature-59073</t>
  </si>
  <si>
    <t xml:space="preserve">Other: FortiGate-ips-signature-59073
Other: FortiProxy-ips-signature-59073</t>
  </si>
  <si>
    <t xml:space="preserve">Fortra GoAnywhere MFT Attack detected (CVE-2025-10035) on network. Details: https://www.fortiguard.com/outbreak-alert/goanywhere-mft-attack</t>
  </si>
  <si>
    <t xml:space="preserve">https://filestore.fortinet.com/docs.fortinet.com/fsiem/Public_Resource_Access/7_6_0/rules/PH_RULE_GoAnywhere_MFT_Attack_CVE_2025_10035_Network.htm</t>
  </si>
  <si>
    <t xml:space="preserve">PH_RULE_FortraGoAnywhere_MFT_RCE_Host</t>
  </si>
  <si>
    <t xml:space="preserve">Outbreak: Fortra GoAnywhere MFT RCE Vulnerability Detected on Host</t>
  </si>
  <si>
    <t xml:space="preserve">vulnId = 4765</t>
  </si>
  <si>
    <t xml:space="preserve">Fortra GoAnywhere MFT RCE Vulnerability detected (CVE-2023-0669) on host. Details: https://www.fortiguard.com/outbreak-alert/goanywhere-mft-rce</t>
  </si>
  <si>
    <t xml:space="preserve">https://filestore.fortinet.com/docs.fortinet.com/fsiem/Public_Resource_Access/7_6_0/rules/PH_RULE_FortraGoAnywhere_MFT_RCE_Host.htm</t>
  </si>
  <si>
    <t xml:space="preserve">PH_RULE_FortraGoAnywhere_MFT_RCE_Network</t>
  </si>
  <si>
    <t xml:space="preserve">Outbreak: Fortra GoAnywhere MFT RCE Vulnerability Detected on Network</t>
  </si>
  <si>
    <t xml:space="preserve">FortiGate-ips-signature-52630
FortiProxy-ips-signature-52630</t>
  </si>
  <si>
    <t xml:space="preserve">Other: FortiGate-ips-signature-52630
Other: FortiProxy-ips-signature-52630</t>
  </si>
  <si>
    <t xml:space="preserve">Fortra GoAnywhere MFT RCE Vulnerability detected (CVE-2023-0669) on network. Details: https://www.fortiguard.com/outbreak-alert/goanywhere-mft-rce</t>
  </si>
  <si>
    <t xml:space="preserve">https://filestore.fortinet.com/docs.fortinet.com/fsiem/Public_Resource_Access/7_6_0/rules/PH_RULE_FortraGoAnywhere_MFT_RCE_Network.htm</t>
  </si>
  <si>
    <t xml:space="preserve">PH_RULE_GeoServer_RCE_CVE_2024_36401_Network</t>
  </si>
  <si>
    <t xml:space="preserve">Outbreak: GeoServer RCE Attack Detected on Network</t>
  </si>
  <si>
    <t xml:space="preserve">FortiGate-ips-signature-56197
FortiProxy-ips-signature-56197</t>
  </si>
  <si>
    <t xml:space="preserve">Other: FortiGate-ips-signature-56197
Other: FortiProxy-ips-signature-56197</t>
  </si>
  <si>
    <t xml:space="preserve">GeoServer RCE Attack detected (CVE-2024-36401) on network. Details: https://www.fortiguard.com/outbreak-alert/geoserver-rce</t>
  </si>
  <si>
    <t xml:space="preserve">https://filestore.fortinet.com/docs.fortinet.com/fsiem/Public_Resource_Access/7_6_0/rules/PH_RULE_GeoServer_RCE_CVE_2024_36401_Network.htm</t>
  </si>
  <si>
    <t xml:space="preserve">PH_RULE_Google_Chromium_BufferOverflow_CVE_2023_4863_Host</t>
  </si>
  <si>
    <t xml:space="preserve">Outbreak: Google Chromium WebP Vuln Detected on Host</t>
  </si>
  <si>
    <t xml:space="preserve">vulnId IN (76450,76557,76622,76585,76590,76449,76446)</t>
  </si>
  <si>
    <t xml:space="preserve">Google Chromium WebP Vulnerability detected (CVE-2023-4863) on host. Details: https://www.fortiguard.com/outbreak-alert/google-chromium-buffer-overflow</t>
  </si>
  <si>
    <t xml:space="preserve">https://filestore.fortinet.com/docs.fortinet.com/fsiem/Public_Resource_Access/7_6_0/rules/PH_RULE_Google_Chromium_BufferOverflow_CVE_2023_4863_Host.htm</t>
  </si>
  <si>
    <t xml:space="preserve">PH_RULE_Google_Chromium_BufferOverflow_CVE_2023_4863_Network</t>
  </si>
  <si>
    <t xml:space="preserve">Outbreak: Google Chromium WebP Vuln Detected on Network</t>
  </si>
  <si>
    <t xml:space="preserve">FortiGate-ips-signature-53914
FortiProxy-ips-signature-53914</t>
  </si>
  <si>
    <t xml:space="preserve">Other: FortiGate-ips-signature-53914
Other: FortiProxy-ips-signature-53914</t>
  </si>
  <si>
    <t xml:space="preserve">Google Chromium WebP Vulnerability detected (CVE-2023-4863) on network. Details: https://www.fortiguard.com/outbreak-alert/google-chromium-buffer-overflow</t>
  </si>
  <si>
    <t xml:space="preserve">https://filestore.fortinet.com/docs.fortinet.com/fsiem/Public_Resource_Access/7_6_0/rules/PH_RULE_Google_Chromium_BufferOverflow_CVE_2023_4863_Network.htm</t>
  </si>
  <si>
    <t xml:space="preserve">PH_RULE_HikvisionVuln_CVE2021_36260_Network</t>
  </si>
  <si>
    <t xml:space="preserve">Outbreak: Hikvision IP Camera Command Injection Vulnerability CVE-2021-36260 on Network</t>
  </si>
  <si>
    <t xml:space="preserve">FortiGate-ips-signature-50872
FortiProxy-ips-signature-50872</t>
  </si>
  <si>
    <t xml:space="preserve">(ipsSignatureId = 50872 OR attackName = "Hikvision.Product.SDK.WebLanguage.Tag.Command.Injection") AND (srcIpAddr IN (Group@PH_SYS_NETWORK_ENTERPRISE_INTERNAL_NET) OR (destIpAddr IN (Group@PH_SYS_NETWORK_ENTERPRISE_INTERNAL_NET) AND fwAction NOT IN ("deny","dropped","block","blocked","ban-ip","alert_deny")))</t>
  </si>
  <si>
    <t xml:space="preserve">Other: FortiGate-ips-signature-50872
Other: FortiProxy-ips-signature-50872</t>
  </si>
  <si>
    <t xml:space="preserve">Hikvision IP Camera Command Injection Vulnerability (CVE-2021-36260) detected on network</t>
  </si>
  <si>
    <t xml:space="preserve">https://filestore.fortinet.com/docs.fortinet.com/fsiem/Public_Resource_Access/7_6_0/rules/PH_RULE_HikvisionVuln_CVE2021_36260_Network.htm</t>
  </si>
  <si>
    <t xml:space="preserve">PH_RULE_HiveRansomwareHost</t>
  </si>
  <si>
    <t xml:space="preserve">Outbreak: Hive Ransomware Detected on Host</t>
  </si>
  <si>
    <t xml:space="preserve">(ipsSignatureId IN (10053760,10102238,10104624,10104893,10109240,10110134,10112092,10112251) OR vulnId IN (67695,68171,68170,69603) )</t>
  </si>
  <si>
    <t xml:space="preserve">Hive Ransomware detected (CVE-2021-31207,CVE-2021-34473,CVE-2021-34523,CVE-2021-42321) on host</t>
  </si>
  <si>
    <t xml:space="preserve">https://filestore.fortinet.com/docs.fortinet.com/fsiem/Public_Resource_Access/7_6_0/rules/PH_RULE_HiveRansomwareHost.htm</t>
  </si>
  <si>
    <t xml:space="preserve">PH_RULE_HiveRansomwareNetwork</t>
  </si>
  <si>
    <t xml:space="preserve">Outbreak: Hive Ransomware Detected on Network</t>
  </si>
  <si>
    <t xml:space="preserve">FortiGate-ips-signature-50584
FortiGate-ips-signature-50695
FortiGate-ips-signature-50738
FortiGate-ips-signature-50945
FortiProxy-ips-signature-50584
FortiProxy-ips-signature-50695
FortiProxy-ips-signature-50738
FortiProxy-ips-signature-50945
Group@PH_SYS_EVENT_FortiGate_AV_Detected</t>
  </si>
  <si>
    <t xml:space="preserve">ipsSignatureId IN (50738,50584,50695,50945,10053760,10102238,10104624,10104893,10109240,10110134,10112092,10112251) AND (srcIpAddr IN (Group@PH_SYS_NETWORK_ENTERPRISE_INTERNAL_NET) OR (destIpAddr IN (Group@PH_SYS_NETWORK_ENTERPRISE_INTERNAL_NET) AND fwAction NOT IN ("deny","dropped","block","blocked","ban-ip","alert_deny")))</t>
  </si>
  <si>
    <t xml:space="preserve">Other: FortiGate-ips-signature-50738
Other: FortiGate-ips-signature-50584
Other: FortiGate-ips-signature-50695
Other: FortiGate-ips-signature-50945
Other: FortiProxy-ips-signature-50738
Other: FortiProxy-ips-signature-50584
Other: FortiProxy-ips-signature-50695
Other: FortiProxy-ips-signature-50945
Event-type group (membership not published): Group@PH_SYS_EVENT_FortiGate_AV_Detected</t>
  </si>
  <si>
    <t xml:space="preserve">Hive Ransomware detected (CVE-2021-31207,CVE-2021-34473,CVE-2021-34523,CVE-2021-42321) on network</t>
  </si>
  <si>
    <t xml:space="preserve">https://filestore.fortinet.com/docs.fortinet.com/fsiem/Public_Resource_Access/7_6_0/rules/PH_RULE_HiveRansomwareNetwork.htm</t>
  </si>
  <si>
    <t xml:space="preserve">PH_RULE_HTTP2_Bomb_DoS_CVE_2026_49975_Network</t>
  </si>
  <si>
    <t xml:space="preserve">Outbreak: HTTP2 Bomb Denial of Service Vulnerability Detected on Network</t>
  </si>
  <si>
    <t xml:space="preserve">FortiGate-ips-signature-61018
FortiProxy-ips-signature-61018</t>
  </si>
  <si>
    <t xml:space="preserve">Other: FortiGate-ips-signature-61018
Other: FortiProxy-ips-signature-61018</t>
  </si>
  <si>
    <t xml:space="preserve">HTTP2 Bomb Denial of Service Vulnerability detected (CVE-2026-49975) on network. Details: https://www.fortiguard.com/outbreak-alert/http2-bomb-dos</t>
  </si>
  <si>
    <t xml:space="preserve">https://filestore.fortinet.com/docs.fortinet.com/fsiem/Public_Resource_Access/7_6_0/rules/PH_RULE_HTTP2_Bomb_DoS_CVE_2026_49975_Network.htm</t>
  </si>
  <si>
    <t xml:space="preserve">PH_RULE_HTTP2_Rapid_Reset_CVE_2023_44487_Host</t>
  </si>
  <si>
    <t xml:space="preserve">Outbreak: HTTP2 Rapid Reset Attack Detected on Host</t>
  </si>
  <si>
    <t xml:space="preserve">vulnId IN (76830,76815)</t>
  </si>
  <si>
    <t xml:space="preserve">HTTP/2 Rapid Reset Attack detected (CVE-2023-44487) on host. Details: https://www.fortiguard.com/outbreak-alert/http2-rapid-reset-attack</t>
  </si>
  <si>
    <t xml:space="preserve">https://filestore.fortinet.com/docs.fortinet.com/fsiem/Public_Resource_Access/7_6_0/rules/PH_RULE_HTTP2_Rapid_Reset_CVE_2023_44487_Host.htm</t>
  </si>
  <si>
    <t xml:space="preserve">PH_RULE_HTTP2_Rapid_Reset_CVE_2023_44487_Network</t>
  </si>
  <si>
    <t xml:space="preserve">Outbreak: HTTP2 Rapid Reset Attack Detected on Network</t>
  </si>
  <si>
    <t xml:space="preserve">FortiGate-ips-signature-54090
FortiProxy-ips-signature-54090</t>
  </si>
  <si>
    <t xml:space="preserve">Other: FortiGate-ips-signature-54090
Other: FortiProxy-ips-signature-54090</t>
  </si>
  <si>
    <t xml:space="preserve">HTTP/2 Rapid Reset Attack detected (CVE-2023-44487) on network. Details: https://www.fortiguard.com/outbreak-alert/http2-rapid-reset-attack</t>
  </si>
  <si>
    <t xml:space="preserve">https://filestore.fortinet.com/docs.fortinet.com/fsiem/Public_Resource_Access/7_6_0/rules/PH_RULE_HTTP2_Rapid_Reset_CVE_2023_44487_Network.htm</t>
  </si>
  <si>
    <t xml:space="preserve">PH_RULE_IBM_Aspera_Faspex_Code_Execution_Host</t>
  </si>
  <si>
    <t xml:space="preserve">Outbreak: IBM Aspera Faspex Code Execution Vulnerability Detected on Host</t>
  </si>
  <si>
    <t xml:space="preserve">vulnId = 4795</t>
  </si>
  <si>
    <t xml:space="preserve">IBM Aspera Faspex Code Execution Vulnerability detected (CVE-2022-47986) on host. Details: https://www.ibm.com/support/pages/node/6952319</t>
  </si>
  <si>
    <t xml:space="preserve">https://filestore.fortinet.com/docs.fortinet.com/fsiem/Public_Resource_Access/7_6_0/rules/PH_RULE_IBM_Aspera_Faspex_Code_Execution_Host.htm</t>
  </si>
  <si>
    <t xml:space="preserve">PH_RULE_IBM_Aspera_Faspex_Code_Execution_Network</t>
  </si>
  <si>
    <t xml:space="preserve">Outbreak: IBM Aspera Faspex Code Execution Vulnerability Detected on Network</t>
  </si>
  <si>
    <t xml:space="preserve">FortiGate-ips-signature-52658
FortiProxy-ips-signature-52658</t>
  </si>
  <si>
    <t xml:space="preserve">Other: FortiGate-ips-signature-52658
Other: FortiProxy-ips-signature-52658</t>
  </si>
  <si>
    <t xml:space="preserve">IBM Aspera Faspex Code Execution Vulnerability detected (CVE-2022-47986) on network. Details: https://www.ibm.com/support/pages/node/6952319</t>
  </si>
  <si>
    <t xml:space="preserve">https://filestore.fortinet.com/docs.fortinet.com/fsiem/Public_Resource_Access/7_6_0/rules/PH_RULE_IBM_Aspera_Faspex_Code_Execution_Network.htm</t>
  </si>
  <si>
    <t xml:space="preserve">PH_RULE_Interlock_Ransomware_CVE_2026_20131_Host</t>
  </si>
  <si>
    <t xml:space="preserve">Outbreak: Interlock Ransomware Attack Detected on Host</t>
  </si>
  <si>
    <t xml:space="preserve">virusName IN ("ELF/Agent.1488!tr.ransom","Java/Interlock.A1EF!tr","W64/GenKryptik.HHER!tr","Data/Phishing.F2D6!tr","JS/Interlock.A1EF!tr","JS/Interlock.B4C2!tr","JS/Interlock.D870!tr")</t>
  </si>
  <si>
    <t xml:space="preserve">Interlock Ransomware Attack detected (CVE-2026-20131) on host. Details: https://www.fortiguard.com/outbreak-alert/interlock-ransomware</t>
  </si>
  <si>
    <t xml:space="preserve">https://filestore.fortinet.com/docs.fortinet.com/fsiem/Public_Resource_Access/7_6_0/rules/PH_RULE_Interlock_Ransomware_CVE_2026_20131_Host.htm</t>
  </si>
  <si>
    <t xml:space="preserve">PH_RULE_Interlock_Ransomware_CVE_2026_20131_Network</t>
  </si>
  <si>
    <t xml:space="preserve">Outbreak: Interlock Ransomware Attack Detected on Network</t>
  </si>
  <si>
    <t xml:space="preserve">ipsSignatureId IN (10212834,10236727,10236370,10236369,10236372,10236371,10241839) AND (srcIpAddr IN (Group@PH_SYS_NETWORK_ENTERPRISE_INTERNAL_NET) OR (destIpAddr IN (Group@PH_SYS_NETWORK_ENTERPRISE_INTERNAL_NET) AND fwAction NOT IN ("deny","dropped","block","blocked","ban-ip","Alert_Deny")))</t>
  </si>
  <si>
    <t xml:space="preserve">Interlock Ransomware Attack detected (CVE-2026-20131) on network. Details: https://www.fortiguard.com/outbreak-alert/interlock-ransomware</t>
  </si>
  <si>
    <t xml:space="preserve">https://filestore.fortinet.com/docs.fortinet.com/fsiem/Public_Resource_Access/7_6_0/rules/PH_RULE_Interlock_Ransomware_CVE_2026_20131_Network.htm</t>
  </si>
  <si>
    <t xml:space="preserve">PH_RULE_Ivanti_CSA_Zero_Day_Attack_CVE_2024_9379_Network</t>
  </si>
  <si>
    <t xml:space="preserve">Outbreak: Ivanti Cloud Services Appliance Zero-Day Attack Detected on Network</t>
  </si>
  <si>
    <t xml:space="preserve">FortiGate-ips-signature-56651
FortiGate-ips-signature-56709
FortiGate-ips-signature-56710
FortiProxy-ips-signature-56651
FortiProxy-ips-signature-56709
FortiProxy-ips-signature-56710
Group@PH_SYS_EVENT_FortiGate_AV_Detected</t>
  </si>
  <si>
    <t xml:space="preserve">ipsSignatureId IN (56651,56710,56709,10193353,10193263,10145870) AND (srcIpAddr IN (Group@PH_SYS_NETWORK_ENTERPRISE_INTERNAL_NET) OR (destIpAddr IN (Group@PH_SYS_NETWORK_ENTERPRISE_INTERNAL_NET) AND fwAction NOT IN ("deny","dropped","block","blocked","ban-ip","Alert_Deny")))</t>
  </si>
  <si>
    <t xml:space="preserve">Other: FortiGate-ips-signature-56651
Other: FortiProxy-ips-signature-56651
Other: FortiGate-ips-signature-56710
Other: FortiProxy-ips-signature-56710
Other: FortiGate-ips-signature-56709
Other: FortiProxy-ips-signature-56709
Event-type group (membership not published): Group@PH_SYS_EVENT_FortiGate_AV_Detected</t>
  </si>
  <si>
    <t xml:space="preserve">Ivanti Cloud Services Appliance Zero-Day Attack detected (CVE-2024-9379,CVE-2024-9380,CVE-2024-9381,CVE-2024-8963,CVE-2024-8190) on network. Details: https://www.fortinet.com/blog/threat-research/burning-zero-days-suspected-nation-state-adversary-targets-ivanti-csa</t>
  </si>
  <si>
    <t xml:space="preserve">https://filestore.fortinet.com/docs.fortinet.com/fsiem/Public_Resource_Access/7_6_0/rules/PH_RULE_Ivanti_CSA_Zero_Day_Attack_CVE_2024_9379_Network.htm</t>
  </si>
  <si>
    <t xml:space="preserve">PH_RULE_Ivanti_AuthBypass_CVE_2024_21887_Network</t>
  </si>
  <si>
    <t xml:space="preserve">Outbreak: Ivanti Connect Secure and Policy Secure Attack Detected on Network</t>
  </si>
  <si>
    <t xml:space="preserve">FortiGate-ips-signature-54588
FortiProxy-ips-signature-54588</t>
  </si>
  <si>
    <t xml:space="preserve">Other: FortiGate-ips-signature-54588
Other: FortiProxy-ips-signature-54588</t>
  </si>
  <si>
    <t xml:space="preserve">Ivanti Connect Secure and Policy Secure Attack detected (CVE-2023-46805,CVE-2024-21887) on network. Details: https://www.fortiguard.com/outbreak-alert/ivanti-authentication-bypass</t>
  </si>
  <si>
    <t xml:space="preserve">https://filestore.fortinet.com/docs.fortinet.com/fsiem/Public_Resource_Access/7_6_0/rules/PH_RULE_Ivanti_AuthBypass_CVE_2024_21887_Network.htm</t>
  </si>
  <si>
    <t xml:space="preserve">PH_RULE_IvantiEPMM_AuthBypass_CVE_2023_35078_Host</t>
  </si>
  <si>
    <t xml:space="preserve">Outbreak: Ivanti Endpoint Manager Mobile Authentication Bypass Vuln Detected on Host</t>
  </si>
  <si>
    <t xml:space="preserve">virusName IN ("Java/Ivmob.EPMM!tr")</t>
  </si>
  <si>
    <t xml:space="preserve">Ivanti Endpoint Manager Mobile Authentication Bypass Vulnerability detected (CVE-2023-35081,CVE-2023-35078) on host. Details: https://www.fortiguard.com/outbreak-alert/ivanti-epmm-authentication-bypass</t>
  </si>
  <si>
    <t xml:space="preserve">https://filestore.fortinet.com/docs.fortinet.com/fsiem/Public_Resource_Access/7_6_0/rules/PH_RULE_IvantiEPMM_AuthBypass_CVE_2023_35078_Host.htm</t>
  </si>
  <si>
    <t xml:space="preserve">PH_RULE_IvantiEPMM_AuthBypass_CVE_2023_35078_Network</t>
  </si>
  <si>
    <t xml:space="preserve">Outbreak: Ivanti Endpoint Manager Mobile Authentication Bypass Vuln Detected on Network</t>
  </si>
  <si>
    <t xml:space="preserve">FortiGate-ips-signature-53518
FortiProxy-ips-signature-53518
Group@PH_SYS_EVENT_FortiGate_AV_Detected</t>
  </si>
  <si>
    <t xml:space="preserve">ipsSignatureId IN (53518,10147844) AND (srcIpAddr IN (Group@PH_SYS_NETWORK_ENTERPRISE_INTERNAL_NET) OR (destIpAddr IN (Group@PH_SYS_NETWORK_ENTERPRISE_INTERNAL_NET) AND fwAction NOT IN ("deny","dropped","block","blocked","ban-ip","Alert_Deny")))</t>
  </si>
  <si>
    <t xml:space="preserve">Other: FortiGate-ips-signature-53518
Other: FortiProxy-ips-signature-53518
Event-type group (membership not published): Group@PH_SYS_EVENT_FortiGate_AV_Detected</t>
  </si>
  <si>
    <t xml:space="preserve">Ivanti Endpoint Manager Mobile Authentication Bypass Vulnerability detected (CVE-2023-35081,CVE-2023-35078) on network. Details: https://www.fortiguard.com/outbreak-alert/ivanti-epmm-authentication-bypass</t>
  </si>
  <si>
    <t xml:space="preserve">https://filestore.fortinet.com/docs.fortinet.com/fsiem/Public_Resource_Access/7_6_0/rules/PH_RULE_IvantiEPMM_AuthBypass_CVE_2023_35078_Network.htm</t>
  </si>
  <si>
    <t xml:space="preserve">PH_RULE_Ivanti_Sentry_CVE_2026_10520_Network</t>
  </si>
  <si>
    <t xml:space="preserve">Outbreak: Ivanti Sentry OS Command Injection Vuln Detected on Network</t>
  </si>
  <si>
    <t xml:space="preserve">FortiGate-ips-signature-61065
FortiProxy-ips-signature-61065</t>
  </si>
  <si>
    <t xml:space="preserve">Other: FortiGate-ips-signature-61065
Other: FortiProxy-ips-signature-61065</t>
  </si>
  <si>
    <t xml:space="preserve">Ivanti Sentry OS Command Injection Vulnerability detected (CVE-2026-10520,CVE-2026-10523) on network. Details: https://www.fortiguard.com/outbreak-alert/ivanti-sentry-os-command-injection</t>
  </si>
  <si>
    <t xml:space="preserve">https://filestore.fortinet.com/docs.fortinet.com/fsiem/Public_Resource_Access/7_6_0/rules/PH_RULE_Ivanti_Sentry_CVE_2026_10520_Network.htm</t>
  </si>
  <si>
    <t xml:space="preserve">PH_RULE_Jenkins_RCE_CVE_2024_23897_Host</t>
  </si>
  <si>
    <t xml:space="preserve">Outbreak: Jenkins RCE Attack Detected on Host</t>
  </si>
  <si>
    <t xml:space="preserve">(vulnId = 5566 OR virusName IN ("PHP/HackTool.ELEK!tr","ELF/RansomEXX.C6AD!tr.ransom","ELF/RansomEXX.A!tr"))</t>
  </si>
  <si>
    <t xml:space="preserve">Jenkins RCE Attack detected (CVE-2024-23897) on host. Details: https://www.fortiguard.com/outbreak-alert/jenkins-rce</t>
  </si>
  <si>
    <t xml:space="preserve">https://filestore.fortinet.com/docs.fortinet.com/fsiem/Public_Resource_Access/7_6_0/rules/PH_RULE_Jenkins_RCE_CVE_2024_23897_Host.htm</t>
  </si>
  <si>
    <t xml:space="preserve">PH_RULE_Jenkins_RCE_CVE_2024_23897_Network</t>
  </si>
  <si>
    <t xml:space="preserve">Outbreak: Jenkins RCE Attack Detected on Network</t>
  </si>
  <si>
    <t xml:space="preserve">FortiGate-ips-signature-54616
FortiProxy-ips-signature-54616
Group@PH_SYS_EVENT_FortiGate_AV_Detected</t>
  </si>
  <si>
    <t xml:space="preserve">ipsSignatureId IN (54616,10036252,10170711,10036252,10188907) AND (srcIpAddr IN (Group@PH_SYS_NETWORK_ENTERPRISE_INTERNAL_NET) OR (destIpAddr IN (Group@PH_SYS_NETWORK_ENTERPRISE_INTERNAL_NET) AND fwAction NOT IN ("deny","dropped","block","blocked","ban-ip","Alert_Deny")))</t>
  </si>
  <si>
    <t xml:space="preserve">Other: FortiGate-ips-signature-54616
Other: FortiProxy-ips-signature-54616
Event-type group (membership not published): Group@PH_SYS_EVENT_FortiGate_AV_Detected</t>
  </si>
  <si>
    <t xml:space="preserve">Jenkins RCE Attack detected (CVE-2024-23897) on network. Details: https://www.fortiguard.com/outbreak-alert/jenkins-rce</t>
  </si>
  <si>
    <t xml:space="preserve">https://filestore.fortinet.com/docs.fortinet.com/fsiem/Public_Resource_Access/7_6_0/rules/PH_RULE_Jenkins_RCE_CVE_2024_23897_Network.htm</t>
  </si>
  <si>
    <t xml:space="preserve">PH_RULE_JetBrains_TeamCity_CVE_2023_42793_Host</t>
  </si>
  <si>
    <t xml:space="preserve">Outbreak: JetBrains TeamCity Authentication Bypass Attack Detected on Host</t>
  </si>
  <si>
    <t xml:space="preserve">(vulnId = 5401 OR virusName IN ("W64/GraphicalProton.A!tr","W64/Nukesped.131B!tr","W32/GraphicalProton.B!tr","W32/Nukesped.C0F5!tr"))</t>
  </si>
  <si>
    <t xml:space="preserve">JetBrains TeamCity Authentication Bypass Attack detected (CVE-2023-42793) on host. Details: https://www.fortiguard.com/outbreak-alert/jetbrains-teamcity-rce</t>
  </si>
  <si>
    <t xml:space="preserve">https://filestore.fortinet.com/docs.fortinet.com/fsiem/Public_Resource_Access/7_6_0/rules/PH_RULE_JetBrains_TeamCity_CVE_2023_42793_Host.htm</t>
  </si>
  <si>
    <t xml:space="preserve">PH_RULE_JetBrains_TeamCity_CVE_2023_42793_Network</t>
  </si>
  <si>
    <t xml:space="preserve">Outbreak: JetBrains TeamCity Authentication Bypass Attack Detected on Network</t>
  </si>
  <si>
    <t xml:space="preserve">FortiGate-ips-signature-53952
FortiProxy-ips-signature-53952
Group@PH_SYS_EVENT_FortiGate_AV_Detected</t>
  </si>
  <si>
    <t xml:space="preserve">ipsSignatureId IN (53952,10165067,10156041,10165046,10165053) AND (srcIpAddr IN (Group@PH_SYS_NETWORK_ENTERPRISE_INTERNAL_NET) OR (destIpAddr IN (Group@PH_SYS_NETWORK_ENTERPRISE_INTERNAL_NET) AND fwAction NOT IN ("deny","dropped","block","blocked","ban-ip","Alert_Deny")))</t>
  </si>
  <si>
    <t xml:space="preserve">Other: FortiGate-ips-signature-53952
Other: FortiProxy-ips-signature-53952
Event-type group (membership not published): Group@PH_SYS_EVENT_FortiGate_AV_Detected</t>
  </si>
  <si>
    <t xml:space="preserve">JetBrains TeamCity Authentication Bypass Attack detected (CVE-2023-42793) on network. Details: https://www.fortiguard.com/outbreak-alert/jetbrains-teamcity-rce</t>
  </si>
  <si>
    <t xml:space="preserve">https://filestore.fortinet.com/docs.fortinet.com/fsiem/Public_Resource_Access/7_6_0/rules/PH_RULE_JetBrains_TeamCity_CVE_2023_42793_Network.htm</t>
  </si>
  <si>
    <t xml:space="preserve">PH_RULE_Joomla_Improper_Access_Check_Network</t>
  </si>
  <si>
    <t xml:space="preserve">Outbreak: Joomla CMS Improper Access Check Vulnerability Detected on Network</t>
  </si>
  <si>
    <t xml:space="preserve">FortiGate-ips-signature-52677
FortiProxy-ips-signature-52677</t>
  </si>
  <si>
    <t xml:space="preserve">Other: FortiGate-ips-signature-52677
Other: FortiProxy-ips-signature-52677</t>
  </si>
  <si>
    <t xml:space="preserve">Joomla CMS Improper Access Check Vulnerability detected (CVE-2023-23752) on network. Details: https://developer.joomla.org/security-centre/894-20230201-core-improper-access-check-in-webservice-endpoints.html</t>
  </si>
  <si>
    <t xml:space="preserve">https://filestore.fortinet.com/docs.fortinet.com/fsiem/Public_Resource_Access/7_6_0/rules/PH_RULE_Joomla_Improper_Access_Check_Network.htm</t>
  </si>
  <si>
    <t xml:space="preserve">PH_RULE_Joomla_SP_RCE_CVE_2026_48908_Network</t>
  </si>
  <si>
    <t xml:space="preserve">Outbreak: Joomla SP Page Builder RCE Detected on Network</t>
  </si>
  <si>
    <t xml:space="preserve">FortiGate-ips-signature-61172
FortiProxy-ips-signature-61172</t>
  </si>
  <si>
    <t xml:space="preserve">Other: FortiGate-ips-signature-61172
Other: FortiProxy-ips-signature-61172</t>
  </si>
  <si>
    <t xml:space="preserve">Joomla SP Page Builder RCE detected (CVE-2026-48908) on network. Details: https://www.fortiguard.com/outbreak-alert/joomla-sp-page-builder-rce</t>
  </si>
  <si>
    <t xml:space="preserve">https://filestore.fortinet.com/docs.fortinet.com/fsiem/Public_Resource_Access/7_6_0/rules/PH_RULE_Joomla_SP_RCE_CVE_2026_48908_Network.htm</t>
  </si>
  <si>
    <t xml:space="preserve">PH_RULE_Langflow_Unauth_RCE_CVE_2025_3248_Network</t>
  </si>
  <si>
    <t xml:space="preserve">Outbreak: Langflow Unauth RCE Attack Detected on Network</t>
  </si>
  <si>
    <t xml:space="preserve">FortiGate-ips-signature-57790
FortiProxy-ips-signature-57790</t>
  </si>
  <si>
    <t xml:space="preserve">Other: FortiGate-ips-signature-57790
Other: FortiProxy-ips-signature-57790</t>
  </si>
  <si>
    <t xml:space="preserve">Langflow Unauth RCE Attack detected (CVE-2025-3248) on network. Details: https://www.fortiguard.com/outbreak-alert/langflow-unauth-rce</t>
  </si>
  <si>
    <t xml:space="preserve">https://filestore.fortinet.com/docs.fortinet.com/fsiem/Public_Resource_Access/7_6_0/rules/PH_RULE_Langflow_Unauth_RCE_CVE_2025_3248_Network.htm</t>
  </si>
  <si>
    <t xml:space="preserve">PH_RULE_Lazarus_RAT_Attack_CVE_2021_44228_Host</t>
  </si>
  <si>
    <t xml:space="preserve">Outbreak: Lazarus RAT Attack Detected on Host</t>
  </si>
  <si>
    <t xml:space="preserve">(vulnId = 70935 OR virusName IN ("W32/Lazarus.RAT!tr","W64/Lazarus.RAT!tr"))</t>
  </si>
  <si>
    <t xml:space="preserve">Lazarus RAT Attack detected (CVE-2021-44228) on host. Details: https://www.fortiguard.com/outbreak-alert/lazarus-rat-attack</t>
  </si>
  <si>
    <t xml:space="preserve">https://filestore.fortinet.com/docs.fortinet.com/fsiem/Public_Resource_Access/7_6_0/rules/PH_RULE_Lazarus_RAT_Attack_CVE_2021_44228_Host.htm</t>
  </si>
  <si>
    <t xml:space="preserve">PH_RULE_Lazarus_RAT_Attack_CVE_2021_44228_Network</t>
  </si>
  <si>
    <t xml:space="preserve">Outbreak: Lazarus RAT Attack Detected on Network</t>
  </si>
  <si>
    <t xml:space="preserve">FortiGate-ips-signature-51006
FortiProxy-ips-signature-51006
Group@PH_SYS_EVENT_FortiGate_AV_Detected</t>
  </si>
  <si>
    <t xml:space="preserve">ipsSignatureId IN (51006,10164701,10164702) AND (srcIpAddr IN (Group@PH_SYS_NETWORK_ENTERPRISE_INTERNAL_NET) OR (destIpAddr IN (Group@PH_SYS_NETWORK_ENTERPRISE_INTERNAL_NET) AND fwAction NOT IN ("deny","dropped","block","blocked","ban-ip","Alert_Deny")))</t>
  </si>
  <si>
    <t xml:space="preserve">Other: FortiGate-ips-signature-51006
Other: FortiProxy-ips-signature-51006
Event-type group (membership not published): Group@PH_SYS_EVENT_FortiGate_AV_Detected</t>
  </si>
  <si>
    <t xml:space="preserve">Lazarus RAT Attack detected (CVE-2021-44228) on network. Details: https://www.fortiguard.com/outbreak-alert/lazarus-rat-attack</t>
  </si>
  <si>
    <t xml:space="preserve">https://filestore.fortinet.com/docs.fortinet.com/fsiem/Public_Resource_Access/7_6_0/rules/PH_RULE_Lazarus_RAT_Attack_CVE_2021_44228_Network.htm</t>
  </si>
  <si>
    <t xml:space="preserve">PH_RULE_Mallox_Ransomware_CVE_2024_21338_Host</t>
  </si>
  <si>
    <t xml:space="preserve">Outbreak: Mallox Ransomware Detected on Host</t>
  </si>
  <si>
    <t xml:space="preserve">virusName IN ("MSIL/Kryptik.AMCW!tr","W64/Mallox.A!tr.ransom","LNK/Agent.BJM!tr.dldr","Linux/Ransom.D!tr")</t>
  </si>
  <si>
    <t xml:space="preserve">Mallox Ransomware detected (CVE-2024-21338,CVE-2020-0618,CVE-2019-1068) on host. Details: https://www.fortiguard.com/outbreak-alert/mallox-ransomware</t>
  </si>
  <si>
    <t xml:space="preserve">https://filestore.fortinet.com/docs.fortinet.com/fsiem/Public_Resource_Access/7_6_0/rules/PH_RULE_Mallox_Ransomware_CVE_2024_21338_Host.htm</t>
  </si>
  <si>
    <t xml:space="preserve">PH_RULE_Mallox_Ransomware_CVE_2024_21338_Network</t>
  </si>
  <si>
    <t xml:space="preserve">Outbreak: Mallox Ransomware Detected on Network</t>
  </si>
  <si>
    <t xml:space="preserve">FortiGate-ips-signature-48753
FortiGate-ips-signature-54621
FortiGate-ips-signature-56745
FortiProxy-ips-signature-48753
FortiProxy-ips-signature-54621
FortiProxy-ips-signature-56745
Group@PH_SYS_EVENT_FortiGate_AV_Detected</t>
  </si>
  <si>
    <t xml:space="preserve">ipsSignatureId IN (56745,48753,54621,10188414,10178488,10147680,10178488,10048768,10048768) AND (srcIpAddr IN (Group@PH_SYS_NETWORK_ENTERPRISE_INTERNAL_NET) OR (destIpAddr IN (Group@PH_SYS_NETWORK_ENTERPRISE_INTERNAL_NET) AND fwAction NOT IN ("deny","dropped","block","blocked","ban-ip","Alert_Deny")))</t>
  </si>
  <si>
    <t xml:space="preserve">Other: FortiGate-ips-signature-56745
Other: FortiProxy-ips-signature-56745
Other: FortiGate-ips-signature-48753
Other: FortiProxy-ips-signature-48753
Other: FortiGate-ips-signature-54621
Other: FortiProxy-ips-signature-54621
Event-type group (membership not published): Group@PH_SYS_EVENT_FortiGate_AV_Detected</t>
  </si>
  <si>
    <t xml:space="preserve">Mallox Ransomware detected (CVE-2024-21338,CVE-2020-0618,CVE-2019-1068) on network. Details: https://www.fortiguard.com/outbreak-alert/mallox-ransomware</t>
  </si>
  <si>
    <t xml:space="preserve">https://filestore.fortinet.com/docs.fortinet.com/fsiem/Public_Resource_Access/7_6_0/rules/PH_RULE_Mallox_Ransomware_CVE_2024_21338_Network.htm</t>
  </si>
  <si>
    <t xml:space="preserve">PH_RULE_Microsoft_DOTNET_CVE_2024_29059_Host</t>
  </si>
  <si>
    <t xml:space="preserve">Outbreak: Microsoft DOTNET Framework Information Disclosure Detected on Host</t>
  </si>
  <si>
    <t xml:space="preserve">vulnId = 6067</t>
  </si>
  <si>
    <t xml:space="preserve">Microsoft DOTNET Framework Information Disclosure detected (CVE-2024-29059) on host. Details: https://www.fortiguard.com/outbreak-alert/microsoft-net-framework-information-disclosure</t>
  </si>
  <si>
    <t xml:space="preserve">https://filestore.fortinet.com/docs.fortinet.com/fsiem/Public_Resource_Access/7_6_0/rules/PH_RULE_Microsoft_DOTNET_CVE_2024_29059_Host.htm</t>
  </si>
  <si>
    <t xml:space="preserve">PH_RULE_Microsoft_DOTNET_CVE_2024_29059_Network</t>
  </si>
  <si>
    <t xml:space="preserve">Outbreak: Microsoft DOTNET Framework Information Disclosure Detected on Network</t>
  </si>
  <si>
    <t xml:space="preserve">FortiGate-ips-signature-57264
FortiProxy-ips-signature-57264</t>
  </si>
  <si>
    <t xml:space="preserve">Other: FortiGate-ips-signature-57264
Other: FortiProxy-ips-signature-57264</t>
  </si>
  <si>
    <t xml:space="preserve">Microsoft DOTNET Framework Information Disclosure detected (CVE-2024-29059) on network. Details: https://www.fortiguard.com/outbreak-alert/microsoft-net-framework-information-disclosure</t>
  </si>
  <si>
    <t xml:space="preserve">https://filestore.fortinet.com/docs.fortinet.com/fsiem/Public_Resource_Access/7_6_0/rules/PH_RULE_Microsoft_DOTNET_CVE_2024_29059_Network.htm</t>
  </si>
  <si>
    <t xml:space="preserve">PH_RULE_MS_RCE_CVE2022_26809_Activity_Host</t>
  </si>
  <si>
    <t xml:space="preserve">Outbreak: Microsoft Driver RCE vulnerability - CVE-2022-26809 Detected on Host</t>
  </si>
  <si>
    <t xml:space="preserve">rce</t>
  </si>
  <si>
    <t xml:space="preserve">vulnId = 72056</t>
  </si>
  <si>
    <t xml:space="preserve">A Fortinet product has detected Microsoft Driver RCE vulnerability (CVE-2022-26809) activity on a host</t>
  </si>
  <si>
    <t xml:space="preserve">https://filestore.fortinet.com/docs.fortinet.com/fsiem/Public_Resource_Access/7_6_0/rules/PH_RULE_MS_RCE_CVE2022_26809_Activity_Host.htm</t>
  </si>
  <si>
    <t xml:space="preserve">PH_RULE_MS_RCE_CVE2022_26809_Activity_Network</t>
  </si>
  <si>
    <t xml:space="preserve">Outbreak: Microsoft Driver RCE vulnerability - CVE-2022-26809 Detected on Network</t>
  </si>
  <si>
    <t xml:space="preserve">FortiGate-ips-signature-51469
FortiProxy-ips-signature-51469</t>
  </si>
  <si>
    <t xml:space="preserve">Other: FortiGate-ips-signature-51469
Other: FortiProxy-ips-signature-51469</t>
  </si>
  <si>
    <t xml:space="preserve">A Fortinet product has detected Microsoft Driver RCE vulnerability (CVE-2022-26809) activity on network</t>
  </si>
  <si>
    <t xml:space="preserve">https://filestore.fortinet.com/docs.fortinet.com/fsiem/Public_Resource_Access/7_6_0/rules/PH_RULE_MS_RCE_CVE2022_26809_Activity_Network.htm</t>
  </si>
  <si>
    <t xml:space="preserve">PH_RULE_MSOffice_WindowsHTML_CVE_2023_36884_Host</t>
  </si>
  <si>
    <t xml:space="preserve">Outbreak: Microsoft Office and Windows HTML RCE Vuln Detected on Host</t>
  </si>
  <si>
    <t xml:space="preserve">virusName IN ("MSOffice/Reoff.MOWH!exploit","LNK/Agent.OF!tr","RTF/Reoff.MOWH!exploit","XML/Agent.25A0!exploit","XML/Agent.C0F3!exploit","RTF/Agent.3527!exploit")</t>
  </si>
  <si>
    <t xml:space="preserve">Microsoft Office and Windows HTML RCE Vulnerability detected (CVE-2023-36884) on host. Details: https://www.fortiguard.com/outbreak-alert/microsoft-office-and-windows-html-attack</t>
  </si>
  <si>
    <t xml:space="preserve">https://filestore.fortinet.com/docs.fortinet.com/fsiem/Public_Resource_Access/7_6_0/rules/PH_RULE_MSOffice_WindowsHTML_CVE_2023_36884_Host.htm</t>
  </si>
  <si>
    <t xml:space="preserve">PH_RULE_MSOffice_WindowsHTML_CVE_2023_36884_Network</t>
  </si>
  <si>
    <t xml:space="preserve">Outbreak: Microsoft Office and Windows HTML RCE Vuln Detected on Network</t>
  </si>
  <si>
    <t xml:space="preserve">FortiGate-ips-signature-43872
FortiProxy-ips-signature-43872
Group@PH_SYS_EVENT_FortiGate_AV_Detected</t>
  </si>
  <si>
    <t xml:space="preserve">ipsSignatureId IN (43872,10134905,10145109,10145110,10145118,10145231,10145230) AND (srcIpAddr IN (Group@PH_SYS_NETWORK_ENTERPRISE_INTERNAL_NET) OR (destIpAddr IN (Group@PH_SYS_NETWORK_ENTERPRISE_INTERNAL_NET) AND fwAction NOT IN ("deny","dropped","block","blocked","ban-ip","alert_deny")))</t>
  </si>
  <si>
    <t xml:space="preserve">Other: FortiGate-ips-signature-43872
Other: FortiProxy-ips-signature-43872
Event-type group (membership not published): Group@PH_SYS_EVENT_FortiGate_AV_Detected</t>
  </si>
  <si>
    <t xml:space="preserve">Microsoft Office and Windows HTML RCE Vulnerability detected (CVE-2023-36884) on network. Details: https://www.fortiguard.com/outbreak-alert/microsoft-office-and-windows-html-attack</t>
  </si>
  <si>
    <t xml:space="preserve">https://filestore.fortinet.com/docs.fortinet.com/fsiem/Public_Resource_Access/7_6_0/rules/PH_RULE_MSOffice_WindowsHTML_CVE_2023_36884_Network.htm</t>
  </si>
  <si>
    <t xml:space="preserve">PH_RULE_Microsoft_Outlook_Elevation_of_Privilege_Host</t>
  </si>
  <si>
    <t xml:space="preserve">Outbreak: Microsoft Outlook Elevation of Privilege Vulnerability Detected on Host</t>
  </si>
  <si>
    <t xml:space="preserve">(vulnId = 74780 OR virusName IN ("MSOffice/CVE_2023_23397.A!exploit","Data/CVE_2023_23397.A!exploit","MSOffice/CVE_2023_23397.B!exploit","MSOffice/CVE_2023_23397.FBFC!exploit","Data/CVE202323397.A!exploit","MSOffice/Reminder.EOP!tr"))</t>
  </si>
  <si>
    <t xml:space="preserve">Microsoft Outlook Elevation of Privilege Vulnerability detected (CVE-2023-23397) on host. Details: https://msrc.microsoft.com/blog/2023/03/microsoft-mitigates-outlook-elevation-of-privilege-vulnerability/</t>
  </si>
  <si>
    <t xml:space="preserve">https://filestore.fortinet.com/docs.fortinet.com/fsiem/Public_Resource_Access/7_6_0/rules/PH_RULE_Microsoft_Outlook_Elevation_of_Privilege_Host.htm</t>
  </si>
  <si>
    <t xml:space="preserve">PH_RULE_Microsoft_Outlook_Elevation_of_Privilege_Network</t>
  </si>
  <si>
    <t xml:space="preserve">Outbreak: Microsoft Outlook Elevation of Privilege Vulnerability Detected on Network</t>
  </si>
  <si>
    <t xml:space="preserve">FortiGate-ips-signature-52754
FortiProxy-ips-signature-52754
Group@PH_SYS_EVENT_FortiGate_AV_Detected</t>
  </si>
  <si>
    <t xml:space="preserve">ipsSignatureId IN (52754,10130476,10129427,10131142,10129669,10131254) AND (srcIpAddr IN (Group@PH_SYS_NETWORK_ENTERPRISE_INTERNAL_NET) OR (destIpAddr IN (Group@PH_SYS_NETWORK_ENTERPRISE_INTERNAL_NET) AND fwAction NOT IN ("deny","dropped","block","blocked","ban-ip","alert_deny")))</t>
  </si>
  <si>
    <t xml:space="preserve">Other: FortiGate-ips-signature-52754
Other: FortiProxy-ips-signature-52754
Event-type group (membership not published): Group@PH_SYS_EVENT_FortiGate_AV_Detected</t>
  </si>
  <si>
    <t xml:space="preserve">Microsoft Outlook Elevation of Privilege Vulnerability detected (CVE-2023-23397) on network. Details: https://msrc.microsoft.com/blog/2023/03/microsoft-mitigates-outlook-elevation-of-privilege-vulnerability/</t>
  </si>
  <si>
    <t xml:space="preserve">https://filestore.fortinet.com/docs.fortinet.com/fsiem/Public_Resource_Access/7_6_0/rules/PH_RULE_Microsoft_Outlook_Elevation_of_Privilege_Network.htm</t>
  </si>
  <si>
    <t xml:space="preserve">PH_RULE_Microsoft_SharePoint_EoP_CVE_2023_29357_Host</t>
  </si>
  <si>
    <t xml:space="preserve">Outbreak: Microsoft SharePoint Server Elevation of Privilege Vuln Detected on Host</t>
  </si>
  <si>
    <t xml:space="preserve">vulnId = 75611</t>
  </si>
  <si>
    <t xml:space="preserve">Microsoft SharePoint Server Elevation of Privilege Vulnerability detected (CVE-2023-29357) on host. Details: https://www.fortiguard.com/outbreak-alert/microsoft-sharepoint-eop</t>
  </si>
  <si>
    <t xml:space="preserve">https://filestore.fortinet.com/docs.fortinet.com/fsiem/Public_Resource_Access/7_6_0/rules/PH_RULE_Microsoft_SharePoint_EoP_CVE_2023_29357_Host.htm</t>
  </si>
  <si>
    <t xml:space="preserve">PH_RULE_Microsoft_SharePoint_EoP_CVE_2023_29357_Network</t>
  </si>
  <si>
    <t xml:space="preserve">Outbreak: Microsoft SharePoint Server Elevation of Privilege Vuln Detected on Network</t>
  </si>
  <si>
    <t xml:space="preserve">FortiGate-ips-signature-53295
FortiProxy-ips-signature-53295</t>
  </si>
  <si>
    <t xml:space="preserve">Other: FortiGate-ips-signature-53295
Other: FortiProxy-ips-signature-53295</t>
  </si>
  <si>
    <t xml:space="preserve">Microsoft SharePoint Server Elevation of Privilege Vulnerability detected (CVE-2023-29357) on network. Details: https://www.fortiguard.com/outbreak-alert/microsoft-sharepoint-eop</t>
  </si>
  <si>
    <t xml:space="preserve">https://filestore.fortinet.com/docs.fortinet.com/fsiem/Public_Resource_Access/7_6_0/rules/PH_RULE_Microsoft_SharePoint_EoP_CVE_2023_29357_Network.htm</t>
  </si>
  <si>
    <t xml:space="preserve">PH_RULE_MS_SharePoint_ZeroDay_CVE_2025_49706_Host</t>
  </si>
  <si>
    <t xml:space="preserve">Outbreak: Microsoft SharePoint Zero-day Attack Detected on Host</t>
  </si>
  <si>
    <t xml:space="preserve">vulnId IN (86000,6190,85998)</t>
  </si>
  <si>
    <t xml:space="preserve">Microsoft SharePoint Zero-day Attack detected (CVE-2025-49706,CVE-2025-49704,CVE-2025-53770,CVE-2025-53771) on host. Details: https://www.fortiguard.com/outbreak-alert/microsoft-sharepoint-zero-day</t>
  </si>
  <si>
    <t xml:space="preserve">https://filestore.fortinet.com/docs.fortinet.com/fsiem/Public_Resource_Access/7_6_0/rules/PH_RULE_MS_SharePoint_ZeroDay_CVE_2025_49706_Host.htm</t>
  </si>
  <si>
    <t xml:space="preserve">PH_RULE_MS_SharePoint_ZeroDay_CVE_2025_49706_Network</t>
  </si>
  <si>
    <t xml:space="preserve">Outbreak: Microsoft SharePoint Zero-day Attack Detected on Network</t>
  </si>
  <si>
    <t xml:space="preserve">FortiGate-ips-signature-58317
FortiProxy-ips-signature-58317
Group@PH_SYS_EVENT_FortiGate_AV_Detected</t>
  </si>
  <si>
    <t xml:space="preserve">ipsSignatureId IN (58317,10223865,10021474) AND (srcIpAddr IN (Group@PH_SYS_NETWORK_ENTERPRISE_INTERNAL_NET) OR (destIpAddr IN (Group@PH_SYS_NETWORK_ENTERPRISE_INTERNAL_NET) AND fwAction NOT IN ("deny","dropped","block","blocked","ban-ip","Alert_Deny")))</t>
  </si>
  <si>
    <t xml:space="preserve">Other: FortiGate-ips-signature-58317
Other: FortiProxy-ips-signature-58317
Event-type group (membership not published): Group@PH_SYS_EVENT_FortiGate_AV_Detected</t>
  </si>
  <si>
    <t xml:space="preserve">Microsoft SharePoint Zero-day Attack detected (CVE-2025-49706,CVE-2025-49704,CVE-2025-53770,CVE-2025-53771) on network. Details: https://www.fortiguard.com/outbreak-alert/microsoft-sharepoint-zero-day</t>
  </si>
  <si>
    <t xml:space="preserve">https://filestore.fortinet.com/docs.fortinet.com/fsiem/Public_Resource_Access/7_6_0/rules/PH_RULE_MS_SharePoint_ZeroDay_CVE_2025_49706_Network.htm</t>
  </si>
  <si>
    <t xml:space="preserve">PH_RULE_Mitel_MiCollab_Unauthorized_Access_CVE_2024_35286_Host</t>
  </si>
  <si>
    <t xml:space="preserve">Outbreak: Mitel MiCollab Unauthorized Access Attack Detected on Host</t>
  </si>
  <si>
    <t xml:space="preserve">vulnId = 5968</t>
  </si>
  <si>
    <t xml:space="preserve">Mitel MiCollab Unauthorized Access Attack detected (CVE-2024-35286,CVE-2024-41713) on host. Details: https://www.fortiguard.com/threat-signal-report/5599/mitel-micollab-unauthorized-access-cve-2024-35286-cve-2024-41713</t>
  </si>
  <si>
    <t xml:space="preserve">https://filestore.fortinet.com/docs.fortinet.com/fsiem/Public_Resource_Access/7_6_0/rules/PH_RULE_Mitel_MiCollab_Unauthorized_Access_CVE_2024_35286_Host.htm</t>
  </si>
  <si>
    <t xml:space="preserve">PH_RULE_Mitel_MiCollab_Unauthorized_Access_CVE_2024_35286_Network</t>
  </si>
  <si>
    <t xml:space="preserve">Outbreak: Mitel MiCollab Unauthorized Access Attack Detected on Network</t>
  </si>
  <si>
    <t xml:space="preserve">FortiGate-ips-signature-56966
FortiGate-ips-signature-56968
FortiGate-ips-signature-56969
FortiProxy-ips-signature-56966
FortiProxy-ips-signature-56968
FortiProxy-ips-signature-56969</t>
  </si>
  <si>
    <t xml:space="preserve">Other: FortiGate-ips-signature-56968
Other: FortiProxy-ips-signature-56968
Other: FortiGate-ips-signature-56969
Other: FortiProxy-ips-signature-56969
Other: FortiGate-ips-signature-56966
Other: FortiProxy-ips-signature-56966</t>
  </si>
  <si>
    <t xml:space="preserve">Mitel MiCollab Unauthorized Access Attack detected (CVE-2024-35286,CVE-2024-41713) on network. Details: https://www.fortiguard.com/threat-signal-report/5599/mitel-micollab-unauthorized-access-cve-2024-35286-cve-2024-41713</t>
  </si>
  <si>
    <t xml:space="preserve">https://filestore.fortinet.com/docs.fortinet.com/fsiem/Public_Resource_Access/7_6_0/rules/PH_RULE_Mitel_MiCollab_Unauthorized_Access_CVE_2024_35286_Network.htm</t>
  </si>
  <si>
    <t xml:space="preserve">PH_RULE_Multiple_Vendor_Camera_System_Attack_ArgusAxisJawsVacron_Network</t>
  </si>
  <si>
    <t xml:space="preserve">Outbreak: Multiple Vendor Camera System Attack Detected on Network</t>
  </si>
  <si>
    <t xml:space="preserve">FortiGate-ips-signature-43737
FortiGate-ips-signature-44754
FortiGate-ips-signature-46273
FortiGate-ips-signature-46946
FortiProxy-ips-signature-43737
FortiProxy-ips-signature-44754
FortiProxy-ips-signature-46273
FortiProxy-ips-signature-46946</t>
  </si>
  <si>
    <t xml:space="preserve">Other: FortiGate-ips-signature-44754
Other: FortiProxy-ips-signature-44754
Other: FortiGate-ips-signature-43737
Other: FortiProxy-ips-signature-43737
Other: FortiGate-ips-signature-46273
Other: FortiProxy-ips-signature-46273
Other: FortiGate-ips-signature-46946
Other: FortiProxy-ips-signature-46946</t>
  </si>
  <si>
    <t xml:space="preserve">Multiple Vendor Camera System Attack detected (CVE-2018-15745,CVE-2018-10661,CVE-2018-10662,CVE-2016-20016) on network. Details: https://www.fortiguard.com/outbreak-alert/multiple-vendor-camera-system-attack</t>
  </si>
  <si>
    <t xml:space="preserve">https://filestore.fortinet.com/docs.fortinet.com/fsiem/Public_Resource_Access/7_6_0/rules/PH_RULE_Multiple_Vendor_Camera_System_Attack_ArgusAxisJawsVacron_Network.htm</t>
  </si>
  <si>
    <t xml:space="preserve">PH_RULE_NiceLinear_eMerge_CVE_2019_7256_Network</t>
  </si>
  <si>
    <t xml:space="preserve">Outbreak: Nice Linear eMerge Command Injection Vuln Detected on Network</t>
  </si>
  <si>
    <t xml:space="preserve">FortiGate-ips-signature-48666
FortiProxy-ips-signature-48666</t>
  </si>
  <si>
    <t xml:space="preserve">Other: FortiGate-ips-signature-48666
Other: FortiProxy-ips-signature-48666</t>
  </si>
  <si>
    <t xml:space="preserve">Nice Linear eMerge Command Injection Vulnerability detected (CVE-2019-7256) on network. Details: https://www.fortiguard.com/outbreak-alert/nice-linear-emerge-attack</t>
  </si>
  <si>
    <t xml:space="preserve">https://filestore.fortinet.com/docs.fortinet.com/fsiem/Public_Resource_Access/7_6_0/rules/PH_RULE_NiceLinear_eMerge_CVE_2019_7256_Network.htm</t>
  </si>
  <si>
    <t xml:space="preserve">PH_RULE_OracleEBS_RCE_CVE_2025_61882_Network</t>
  </si>
  <si>
    <t xml:space="preserve">Outbreak: Oracle E-Business Suite RCE Zero-day Detected on Network</t>
  </si>
  <si>
    <t xml:space="preserve">FortiGate-ips-signature-59120
FortiProxy-ips-signature-59120
Group@PH_SYS_EVENT_FortiGate_AV_Detected</t>
  </si>
  <si>
    <t xml:space="preserve">ipsSignatureId IN (59120,10233834,10233835) AND (srcIpAddr IN (Group@PH_SYS_NETWORK_ENTERPRISE_INTERNAL_NET) OR (destIpAddr IN (Group@PH_SYS_NETWORK_ENTERPRISE_INTERNAL_NET) AND fwAction NOT IN ("deny","dropped","block","blocked","ban-ip","Alert_Deny")))</t>
  </si>
  <si>
    <t xml:space="preserve">Other: FortiGate-ips-signature-59120
Other: FortiProxy-ips-signature-59120
Event-type group (membership not published): Group@PH_SYS_EVENT_FortiGate_AV_Detected</t>
  </si>
  <si>
    <t xml:space="preserve">Oracle E-Business Suite RCE Zero-day detected (CVE-2025-61882) on network. Details: https://www.fortiguard.com/outbreak-alert/oracle-e-business-suite-rce</t>
  </si>
  <si>
    <t xml:space="preserve">https://filestore.fortinet.com/docs.fortinet.com/fsiem/Public_Resource_Access/7_6_0/rules/PH_RULE_OracleEBS_RCE_CVE_2025_61882_Network.htm</t>
  </si>
  <si>
    <t xml:space="preserve">PH_RULE_Oracle_WebLogic_Server_Vuln_CVE_2023_21839_Network</t>
  </si>
  <si>
    <t xml:space="preserve">Outbreak: Oracle WebLogic Server Vuln Detected on Network</t>
  </si>
  <si>
    <t xml:space="preserve">FortiGate-ips-signature-52696
FortiProxy-ips-signature-52696</t>
  </si>
  <si>
    <t xml:space="preserve">Other: FortiGate-ips-signature-52696
Other: FortiProxy-ips-signature-52696</t>
  </si>
  <si>
    <t xml:space="preserve">Oracle WebLogic Server Vulnerability detected (CVE-2023-21839) on network. Details: https://www.fortiguard.com/outbreak-alert/oracle-weblogic-server-vulnerability</t>
  </si>
  <si>
    <t xml:space="preserve">https://filestore.fortinet.com/docs.fortinet.com/fsiem/Public_Resource_Access/7_6_0/rules/PH_RULE_Oracle_WebLogic_Server_Vuln_CVE_2023_21839_Network.htm</t>
  </si>
  <si>
    <t xml:space="preserve">PH_RULE_Palo_Alto_Expedition_Vul_CVE_2024_5910_Network</t>
  </si>
  <si>
    <t xml:space="preserve">Outbreak: Palo Alto Expedition Missing Authentication Vuln Detected on Network</t>
  </si>
  <si>
    <t xml:space="preserve">FortiGate-ips-signature-56726
FortiGate-ips-signature-56727
FortiGate-ips-signature-56728
FortiProxy-ips-signature-56726
FortiProxy-ips-signature-56727
FortiProxy-ips-signature-56728</t>
  </si>
  <si>
    <t xml:space="preserve">Other: FortiGate-ips-signature-56726
Other: FortiProxy-ips-signature-56726
Other: FortiGate-ips-signature-56727
Other: FortiProxy-ips-signature-56727
Other: FortiGate-ips-signature-56728
Other: FortiProxy-ips-signature-56728</t>
  </si>
  <si>
    <t xml:space="preserve">Palo Alto Expedition Missing Authentication Vulnerability detected (CVE-2024-5910,CVE-2024-9464,CVE-2024-9465) on network. Details: https://www.fortiguard.com/outbreak-alert/palo-alto-expedition-vulnerability</t>
  </si>
  <si>
    <t xml:space="preserve">https://filestore.fortinet.com/docs.fortinet.com/fsiem/Public_Resource_Access/7_6_0/rules/PH_RULE_Palo_Alto_Expedition_Vul_CVE_2024_5910_Network.htm</t>
  </si>
  <si>
    <t xml:space="preserve">PH_RULE_PAN_OS_Mgmt_Intf_Att_CVE_2024_0012_Network</t>
  </si>
  <si>
    <t xml:space="preserve">Outbreak: Palo Alto Networks Management Interface Attack Detected on Network</t>
  </si>
  <si>
    <t xml:space="preserve">FortiGate-ips-signature-56894
FortiGate-ips-signature-56897
FortiProxy-ips-signature-56894
FortiProxy-ips-signature-56897</t>
  </si>
  <si>
    <t xml:space="preserve">Other: FortiGate-ips-signature-56894
Other: FortiProxy-ips-signature-56894
Other: FortiGate-ips-signature-56897
Other: FortiProxy-ips-signature-56897</t>
  </si>
  <si>
    <t xml:space="preserve">Palo Alto Networks Management Interface Attack detected (CVE-2024-0012,CVE-2024-9474) on network. Details: https://www.fortiguard.com/outbreak-alert/pan-os-management-interface-attack</t>
  </si>
  <si>
    <t xml:space="preserve">https://filestore.fortinet.com/docs.fortinet.com/fsiem/Public_Resource_Access/7_6_0/rules/PH_RULE_PAN_OS_Mgmt_Intf_Att_CVE_2024_0012_Network.htm</t>
  </si>
  <si>
    <t xml:space="preserve">PH_RULE_PANOS_GP_AuthBypass_CVE_2026_0257_Network</t>
  </si>
  <si>
    <t xml:space="preserve">Outbreak: Palo Alto Networks PAN-OS GlobalProtect Auth Bypass Detected on Network</t>
  </si>
  <si>
    <t xml:space="preserve">FortiGate-ips-signature-61037
FortiProxy-ips-signature-61037</t>
  </si>
  <si>
    <t xml:space="preserve">Other: FortiGate-ips-signature-61037
Other: FortiProxy-ips-signature-61037</t>
  </si>
  <si>
    <t xml:space="preserve">Palo Alto Networks PAN-OS GlobalProtect Auth Bypass detected (CVE-2026-0257) on network. Details: https://www.fortiguard.com/outbreak-alert/pan-os-globalprotect-auth-bypass</t>
  </si>
  <si>
    <t xml:space="preserve">https://filestore.fortinet.com/docs.fortinet.com/fsiem/Public_Resource_Access/7_6_0/rules/PH_RULE_PANOS_GP_AuthBypass_CVE_2026_0257_Network.htm</t>
  </si>
  <si>
    <t xml:space="preserve">PH_RULE_PANOS_GlobalProtect_CVE_2024_3400_Host</t>
  </si>
  <si>
    <t xml:space="preserve">Outbreak: PAN OS GlobalProtect Command Injection Vuln Detected on Host</t>
  </si>
  <si>
    <t xml:space="preserve">virusName IN ("Riskware/Gost","Linux/ReverseSsh.A!tr","Python/OSnaP.3400!tr")</t>
  </si>
  <si>
    <t xml:space="preserve">PAN OS GlobalProtect Command Injection Vulnerability detected (CVE-2024-3400) on host. Details: https://www.fortiguard.com/outbreak-alert/pan-os-globalprotect-attack</t>
  </si>
  <si>
    <t xml:space="preserve">https://filestore.fortinet.com/docs.fortinet.com/fsiem/Public_Resource_Access/7_6_0/rules/PH_RULE_PANOS_GlobalProtect_CVE_2024_3400_Host.htm</t>
  </si>
  <si>
    <t xml:space="preserve">PH_RULE_PANOS_GlobalProtect_CVE_2024_3400_Network</t>
  </si>
  <si>
    <t xml:space="preserve">Outbreak: PAN OS GlobalProtect Command Injection Vuln Detected on Network</t>
  </si>
  <si>
    <t xml:space="preserve">FortiGate-ips-signature-55555
FortiProxy-ips-signature-55555
Group@PH_SYS_EVENT_FortiGate_AV_Detected</t>
  </si>
  <si>
    <t xml:space="preserve">ipsSignatureId IN (55555,10066627,10075415,10177562) AND (srcIpAddr IN (Group@PH_SYS_NETWORK_ENTERPRISE_INTERNAL_NET) OR (destIpAddr IN (Group@PH_SYS_NETWORK_ENTERPRISE_INTERNAL_NET) AND fwAction NOT IN ("deny","dropped","block","blocked","ban-ip","Alert_Deny")))</t>
  </si>
  <si>
    <t xml:space="preserve">Other: FortiGate-ips-signature-55555
Other: FortiProxy-ips-signature-55555
Event-type group (membership not published): Group@PH_SYS_EVENT_FortiGate_AV_Detected</t>
  </si>
  <si>
    <t xml:space="preserve">PAN OS GlobalProtect Command Injection Vulnerability detected (CVE-2024-3400) on network. Details: https://www.fortiguard.com/outbreak-alert/pan-os-globalprotect-attack</t>
  </si>
  <si>
    <t xml:space="preserve">https://filestore.fortinet.com/docs.fortinet.com/fsiem/Public_Resource_Access/7_6_0/rules/PH_RULE_PANOS_GlobalProtect_CVE_2024_3400_Network.htm</t>
  </si>
  <si>
    <t xml:space="preserve">PH_RULE_PaperCut_CVE_2023_27350_Host</t>
  </si>
  <si>
    <t xml:space="preserve">Outbreak: PaperCut MF/NG Improper Access Control Vulnerability Detected on Host</t>
  </si>
  <si>
    <t xml:space="preserve">(vulnId = 4950 OR virusName = "Riskware/RemoteAdmin")</t>
  </si>
  <si>
    <t xml:space="preserve">PaperCut MF/NG Improper Access Control Vulnerability detected (CVE-2023-27350) on host. Details: https://www.fortiguard.com/outbreak-alert/papercut-rce</t>
  </si>
  <si>
    <t xml:space="preserve">https://filestore.fortinet.com/docs.fortinet.com/fsiem/Public_Resource_Access/7_6_0/rules/PH_RULE_PaperCut_CVE_2023_27350_Host.htm</t>
  </si>
  <si>
    <t xml:space="preserve">PH_RULE_PaperCut_CVE_2023_27350_Network</t>
  </si>
  <si>
    <t xml:space="preserve">Outbreak: PaperCut MF/NG Improper Access Control Vulnerability Detected on Network</t>
  </si>
  <si>
    <t xml:space="preserve">FortiGate-ips-signature-52900
FortiProxy-ips-signature-52900
Group@PH_SYS_EVENT_FortiGate_AV_Detected</t>
  </si>
  <si>
    <t xml:space="preserve">ipsSignatureId IN (52900,2985176) AND (srcIpAddr IN (Group@PH_SYS_NETWORK_ENTERPRISE_INTERNAL_NET) OR (destIpAddr IN (Group@PH_SYS_NETWORK_ENTERPRISE_INTERNAL_NET) AND fwAction NOT IN ("deny","dropped","block","blocked","ban-ip","alert_deny")))</t>
  </si>
  <si>
    <t xml:space="preserve">Other: FortiGate-ips-signature-52900
Other: FortiProxy-ips-signature-52900
Event-type group (membership not published): Group@PH_SYS_EVENT_FortiGate_AV_Detected</t>
  </si>
  <si>
    <t xml:space="preserve">PaperCut MF/NG Improper Access Control Vulnerability detected (CVE-2023-27350) on network. Details: https://www.fortiguard.com/outbreak-alert/papercut-rce</t>
  </si>
  <si>
    <t xml:space="preserve">https://filestore.fortinet.com/docs.fortinet.com/fsiem/Public_Resource_Access/7_6_0/rules/PH_RULE_PaperCut_CVE_2023_27350_Network.htm</t>
  </si>
  <si>
    <t xml:space="preserve">PH_RULE_PHP_RCE_Attack_CVE_2024_4577_Network</t>
  </si>
  <si>
    <t xml:space="preserve">Outbreak: PHP CGI OS Command Injection Vuln Detected on Network</t>
  </si>
  <si>
    <t xml:space="preserve">FortiGate-ips-signature-31752
FortiProxy-ips-signature-31752
Group@PH_SYS_EVENT_FortiGate_AV_Detected</t>
  </si>
  <si>
    <t xml:space="preserve">ipsSignatureId IN (31752,10141732,10004782,10175277) AND (srcIpAddr IN (Group@PH_SYS_NETWORK_ENTERPRISE_INTERNAL_NET) OR (destIpAddr IN (Group@PH_SYS_NETWORK_ENTERPRISE_INTERNAL_NET) AND fwAction NOT IN ("deny","dropped","block","blocked","ban-ip","Alert_Deny")))</t>
  </si>
  <si>
    <t xml:space="preserve">Other: FortiGate-ips-signature-31752
Other: FortiProxy-ips-signature-31752
Event-type group (membership not published): Group@PH_SYS_EVENT_FortiGate_AV_Detected</t>
  </si>
  <si>
    <t xml:space="preserve">PHP CGI OS Command Injection Vulnerability detected (CVE-2024-4577) on network. Details: https://www.fortiguard.com/outbreak-alert/php-rce-attack</t>
  </si>
  <si>
    <t xml:space="preserve">https://filestore.fortinet.com/docs.fortinet.com/fsiem/Public_Resource_Access/7_6_0/rules/PH_RULE_PHP_RCE_Attack_CVE_2024_4577_Network.htm</t>
  </si>
  <si>
    <t xml:space="preserve">PH_RULE_Kemp_LoadMaster_OS_Cmd_Inj_CVE_2024_1212_Network</t>
  </si>
  <si>
    <t xml:space="preserve">Outbreak: Progress Kemp LoadMaster OS Command Injection Vulnerability Detected on Network</t>
  </si>
  <si>
    <t xml:space="preserve">FortiGate-ips-signature-55438
FortiProxy-ips-signature-55438</t>
  </si>
  <si>
    <t xml:space="preserve">Other: FortiGate-ips-signature-55438
Other: FortiProxy-ips-signature-55438</t>
  </si>
  <si>
    <t xml:space="preserve">Progress Kemp LoadMaster OS Command Injection Vulnerability detected (CVE-2024-1212) on network. Details: https://www.fortiguard.com/outbreak-alert/kemp-loadmaster-os-command-injection</t>
  </si>
  <si>
    <t xml:space="preserve">https://filestore.fortinet.com/docs.fortinet.com/fsiem/Public_Resource_Access/7_6_0/rules/PH_RULE_Kemp_LoadMaster_OS_Cmd_Inj_CVE_2024_1212_Network.htm</t>
  </si>
  <si>
    <t xml:space="preserve">PH_RULE_Progress_MOVEit_Transfer_SQL_Injection_CVE_2023_34362_Host</t>
  </si>
  <si>
    <t xml:space="preserve">Outbreak: Progress MOVEit Transfer SQL Injection Vuln Detected on Host</t>
  </si>
  <si>
    <t xml:space="preserve">vulnId = 5083</t>
  </si>
  <si>
    <t xml:space="preserve">Progress MOVEit Transfer SQL Injection Vulnerability detected (CVE-2023-34362) on host. Details: https://www.fortiguard.com/outbreak-alert/progress-moveit-transfer-sql-injection</t>
  </si>
  <si>
    <t xml:space="preserve">https://filestore.fortinet.com/docs.fortinet.com/fsiem/Public_Resource_Access/7_6_0/rules/PH_RULE_Progress_MOVEit_Transfer_SQL_Injection_CVE_2023_34362_Host.htm</t>
  </si>
  <si>
    <t xml:space="preserve">PH_RULE_Progress_MOVEit_Transfer_SQL_Injection_CVE_2023_34362_Network</t>
  </si>
  <si>
    <t xml:space="preserve">Outbreak: Progress MOVEit Transfer SQL Injection Vuln Detected on Network</t>
  </si>
  <si>
    <t xml:space="preserve">FortiGate-ips-signature-53240
FortiGate-ips-signature-53241
FortiProxy-ips-signature-53240
FortiProxy-ips-signature-53241
Group@PH_SYS_EVENT_FortiGate_AV_Detected</t>
  </si>
  <si>
    <t xml:space="preserve">ipsSignatureId IN (53240,53241,10140241) AND (srcIpAddr IN (Group@PH_SYS_NETWORK_ENTERPRISE_INTERNAL_NET) OR (destIpAddr IN (Group@PH_SYS_NETWORK_ENTERPRISE_INTERNAL_NET) AND fwAction NOT IN ("deny","dropped","block","blocked","ban-ip","alert_deny")))</t>
  </si>
  <si>
    <t xml:space="preserve">Other: FortiGate-ips-signature-53240
Other: FortiProxy-ips-signature-53240
Other: FortiGate-ips-signature-53241
Other: FortiProxy-ips-signature-53241
Event-type group (membership not published): Group@PH_SYS_EVENT_FortiGate_AV_Detected</t>
  </si>
  <si>
    <t xml:space="preserve">Progress MOVEit Transfer SQL Injection Vulnerability detected (CVE-2023-34362) on network. Details: https://www.fortiguard.com/outbreak-alert/progress-moveit-transfer-sql-injection</t>
  </si>
  <si>
    <t xml:space="preserve">https://filestore.fortinet.com/docs.fortinet.com/fsiem/Public_Resource_Access/7_6_0/rules/PH_RULE_Progress_MOVEit_Transfer_SQL_Injection_CVE_2023_34362_Network.htm</t>
  </si>
  <si>
    <t xml:space="preserve">PH_RULE_Progress_Telerik_UI_Attack_Host</t>
  </si>
  <si>
    <t xml:space="preserve">Outbreak: Progress Telerik UI Attack Detected on Host</t>
  </si>
  <si>
    <t xml:space="preserve">(vulnId IN (4128,4737,4351) OR virusName IN ("W32/NetWalker.B!tr.ransom","PowerShell/NetWalker.B!tr","Riskware/BlueMiner"))</t>
  </si>
  <si>
    <t xml:space="preserve">Progress Telerik UI Attack detected (CVE-2019-18935,CVE-2017-11317,CVE-2017-11357) on host. Details: https://docs.telerik.com/devtools/aspnet-ajax/knowledge-base/common-allows-javascriptserializer-deserialization</t>
  </si>
  <si>
    <t xml:space="preserve">https://filestore.fortinet.com/docs.fortinet.com/fsiem/Public_Resource_Access/7_6_0/rules/PH_RULE_Progress_Telerik_UI_Attack_Host.htm</t>
  </si>
  <si>
    <t xml:space="preserve">PH_RULE_Progress_Telerik_UI_Attack_Network</t>
  </si>
  <si>
    <t xml:space="preserve">Outbreak: Progress Telerik UI Attack Detected on Network</t>
  </si>
  <si>
    <t xml:space="preserve">FortiGate-ips-signature-48789
FortiProxy-ips-signature-48789
Group@PH_SYS_EVENT_FortiGate_AV_Detected</t>
  </si>
  <si>
    <t xml:space="preserve">ipsSignatureId IN (48789,8192240,8238144,10128150) AND (srcIpAddr IN (Group@PH_SYS_NETWORK_ENTERPRISE_INTERNAL_NET) OR (destIpAddr IN (Group@PH_SYS_NETWORK_ENTERPRISE_INTERNAL_NET) AND fwAction NOT IN ("deny","dropped","block","blocked","ban-ip","alert_deny")))</t>
  </si>
  <si>
    <t xml:space="preserve">Other: FortiGate-ips-signature-48789
Other: FortiProxy-ips-signature-48789
Event-type group (membership not published): Group@PH_SYS_EVENT_FortiGate_AV_Detected</t>
  </si>
  <si>
    <t xml:space="preserve">Progress Telerik UI Attack detected (CVE-2019-18935,CVE-2017-11317,CVE-2017-11357) on network. Details: https://docs.telerik.com/devtools/aspnet-ajax/knowledge-base/common-allows-javascriptserializer-deserialization</t>
  </si>
  <si>
    <t xml:space="preserve">https://filestore.fortinet.com/docs.fortinet.com/fsiem/Public_Resource_Access/7_6_0/rules/PH_RULE_Progress_Telerik_UI_Attack_Network.htm</t>
  </si>
  <si>
    <t xml:space="preserve">PH_RULE_PTZOptics_Cameras_Attack_CVE_2024_8957_Network</t>
  </si>
  <si>
    <t xml:space="preserve">Outbreak: PTZOptics NDI and SDI Cameras Attack Detected on Network</t>
  </si>
  <si>
    <t xml:space="preserve">FortiGate-ips-signature-56825
FortiGate-ips-signature-56827
FortiProxy-ips-signature-56825
FortiProxy-ips-signature-56827</t>
  </si>
  <si>
    <t xml:space="preserve">Other: FortiGate-ips-signature-56825
Other: FortiProxy-ips-signature-56825
Other: FortiGate-ips-signature-56827
Other: FortiProxy-ips-signature-56827</t>
  </si>
  <si>
    <t xml:space="preserve">PTZOptics NDI and SDI Cameras Attack detected (CVE-2024-8957,CVE-2024-8956) on network. Details: https://ptzoptics.com/firmware-changelog/</t>
  </si>
  <si>
    <t xml:space="preserve">https://filestore.fortinet.com/docs.fortinet.com/fsiem/Public_Resource_Access/7_6_0/rules/PH_RULE_PTZOptics_Cameras_Attack_CVE_2024_8957_Network.htm</t>
  </si>
  <si>
    <t xml:space="preserve">PH_RULE_QUICKFOX_SUPPLYCHAIN_ATTK_Network</t>
  </si>
  <si>
    <t xml:space="preserve">Outbreak: QuickFox Supply Chain Attack Detected on Network</t>
  </si>
  <si>
    <t xml:space="preserve">srcIpAddr IN (Group@PH_SYS_NETWORK_ENTERPRISE_INTERNAL_NET) AND fwAction NOT IN ("deny","dropped","block","blocked","ban-ip","Alert_Deny") AND (destIpAddr IN (154.223.58.142,154.223.54.159,154.223.58.64,154.223.75.206,202.181.25.71,202.181.25.73,38.60.142.56,43.240.12.34,43.240.12.35,45.125.15.100,45.125.15.104,45.125.15.111,45.125.15.114,45.125.15.115,103.231.15.135,103.231.15.219,103.231.15.248,103.246.244.13,103.246.244.20,123.254.105.38,123.254.106.148,154.223.24.158,45.125.35.225,45.125.35.226,45.125.35.227,45.125.35.229,45.125.35.230,45.125.35.231,45.125.35.232,45.125.35.233,45.125.35.234,45.125.35.235,45.125.35.236) OR destDomain IN ("icloud-cdn.net","www.icloud-cdn.net","www.yahoo-cdn.it.com","yahoo-cdn.it.com","51quickfox.cn","cdns3.51quickfox.cn","google-apis.net","techcheck1.com","wangmeng.xyz","www.techcheck1.com","www.icloud-cdn.net","www.wangmeng66.top","wangmeng66.top","wangmengsb.com","www.google-apis.net","www.wangmeng.xyz","www.wangmeng66.top","www.wangmengsb.com") OR downloadURL IN ("http://www.yahoo-cdn.it.com/dnscfg.dll","http://www.yahoo-cdn.it.com/Microsoft.VisualStudio.HostingProcess.Utilities.Sync.dll","http://www.yahoo-cdn.it.com:8080/","http://www.yahoo-cdn.it.com:8080/GetCluster","http://www.yahoo-cdn.it.com/config.etl","http://www.yahoo-cdn.it.com/dfsvc.exe","http://www.yahoo-cdn.it.com/dfsvc.exe.config","http://www.yahoo-cdn.it.com/vshost.exe","http://www.icloud-cdn.net:8080/GetCluster","http://www.icloud-cdn.net:8080/GetSlaver","https://www.google-apis.net/dfsvc.exe","https://www.google-apis.net/dfsvc.exe.config","https://www.google-apis.net/wangmeng.dll","https://www.techcheck1.com/GetClusterNodes","https://www.techcheck1.com/GetPeers","https://www.techcheck1.com/Microsoft.VisualStudio.HostingProcess.Utilities.Sync.dll","https://www.techcheck1.com/vshost.exe","https://www.wangmeng.xyz/GetVips","http://www.icloud-cdn.net/GetCluster","http://www.icloud-cdn.net/GetSlaver"))</t>
  </si>
  <si>
    <t xml:space="preserve">srcIpAddr,destIpAddr,destDomain,downloadURL</t>
  </si>
  <si>
    <t xml:space="preserve">Detected outbound indicator traffic relating to the QuickFox supply chain attack. Details: https://www.fortiguard.com/outbreak-alert/quickfox-supply-chain-attack</t>
  </si>
  <si>
    <t xml:space="preserve">https://filestore.fortinet.com/docs.fortinet.com/fsiem/Public_Resource_Access/7_6_0/rules/PH_RULE_QUICKFOX_SUPPLYCHAIN_ATTK_Network.htm</t>
  </si>
  <si>
    <t xml:space="preserve">PH_RULE_React2Shell_RCE_CVE_2025_55182_Network</t>
  </si>
  <si>
    <t xml:space="preserve">Outbreak: React2Shell Remote Code Execution Detected on Network</t>
  </si>
  <si>
    <t xml:space="preserve">FortiGate-ips-signature-59644
FortiProxy-ips-signature-59644</t>
  </si>
  <si>
    <t xml:space="preserve">Other: FortiGate-ips-signature-59644
Other: FortiProxy-ips-signature-59644</t>
  </si>
  <si>
    <t xml:space="preserve">React2Shell Remote Code Execution detected (CVE-2025-55182,CVE-2025-66478) on network. Details: https://www.fortiguard.com/outbreak-alert/react2shell-rce</t>
  </si>
  <si>
    <t xml:space="preserve">https://filestore.fortinet.com/docs.fortinet.com/fsiem/Public_Resource_Access/7_6_0/rules/PH_RULE_React2Shell_RCE_CVE_2025_55182_Network.htm</t>
  </si>
  <si>
    <t xml:space="preserve">PH_RULE_RealtekSDK_CVE_2021_35394_Host</t>
  </si>
  <si>
    <t xml:space="preserve">Outbreak: Realtek SDK Attack Detected on Host</t>
  </si>
  <si>
    <t xml:space="preserve">virusName IN ("Linux/Mirai.REAL!tr","Linux/Hinata.REAL!tr","Linux/RedGo.REAL!tr")</t>
  </si>
  <si>
    <t xml:space="preserve">Realtek SDK attack detected (CVE-2014-8361,CVE-2021-35394) on host. Details: https://www.fortiguard.com/outbreak-alert/realtek-sdk-attack</t>
  </si>
  <si>
    <t xml:space="preserve">https://filestore.fortinet.com/docs.fortinet.com/fsiem/Public_Resource_Access/7_6_0/rules/PH_RULE_RealtekSDK_CVE_2021_35394_Host.htm</t>
  </si>
  <si>
    <t xml:space="preserve">PH_RULE_RealtekSDK_CVE_2021_35394_Network</t>
  </si>
  <si>
    <t xml:space="preserve">Outbreak: Realtek SDK Attack Detected on Network</t>
  </si>
  <si>
    <t xml:space="preserve">FortiGate-ips-signature-40774
FortiGate-ips-signature-51534
FortiProxy-ips-signature-40774
FortiProxy-ips-signature-51534
Group@PH_SYS_EVENT_FortiGate_AV_Detected</t>
  </si>
  <si>
    <t xml:space="preserve">ipsSignatureId IN (51534,40774,10130044,10130046,10130045) AND (srcIpAddr IN (Group@PH_SYS_NETWORK_ENTERPRISE_INTERNAL_NET) OR (destIpAddr IN (Group@PH_SYS_NETWORK_ENTERPRISE_INTERNAL_NET) AND fwAction NOT IN ("deny","dropped","block","blocked","ban-ip","alert_deny")))</t>
  </si>
  <si>
    <t xml:space="preserve">Other: FortiGate-ips-signature-51534
Other: FortiProxy-ips-signature-51534
Other: FortiGate-ips-signature-40774
Other: FortiProxy-ips-signature-40774
Event-type group (membership not published): Group@PH_SYS_EVENT_FortiGate_AV_Detected</t>
  </si>
  <si>
    <t xml:space="preserve">Realtek SDK attack detected (CVE-2014-8361,CVE-2021-35394) on network. Details: https://www.fortiguard.com/outbreak-alert/realtek-sdk-attack</t>
  </si>
  <si>
    <t xml:space="preserve">https://filestore.fortinet.com/docs.fortinet.com/fsiem/Public_Resource_Access/7_6_0/rules/PH_RULE_RealtekSDK_CVE_2021_35394_Network.htm</t>
  </si>
  <si>
    <t xml:space="preserve">PH_RULE_Redigo_Host</t>
  </si>
  <si>
    <t xml:space="preserve">Outbreak: Redigo Malware Detected on Host</t>
  </si>
  <si>
    <t xml:space="preserve">vulnId = 71859</t>
  </si>
  <si>
    <t xml:space="preserve">Redigo malware (CVE-2022-0543) detected on host</t>
  </si>
  <si>
    <t xml:space="preserve">https://filestore.fortinet.com/docs.fortinet.com/fsiem/Public_Resource_Access/7_6_0/rules/PH_RULE_Redigo_Host.htm</t>
  </si>
  <si>
    <t xml:space="preserve">PH_RULE_Redigo_Net</t>
  </si>
  <si>
    <t xml:space="preserve">Outbreak: Redigo Malware Detected on Network</t>
  </si>
  <si>
    <t xml:space="preserve">FortiGate-ips-signature-51512
FortiProxy-ips-signature-51512
Group@PH_SYS_EVENT_FortiGate_AV_Detected</t>
  </si>
  <si>
    <t xml:space="preserve">ipsSignatureId IN (51512,10113939) AND (srcIpAddr IN (Group@PH_SYS_NETWORK_ENTERPRISE_INTERNAL_NET) OR (destIpAddr IN (Group@PH_SYS_NETWORK_ENTERPRISE_INTERNAL_NET) AND fwAction NOT IN ("deny","dropped","block","blocked","ban-ip","alert_deny")))</t>
  </si>
  <si>
    <t xml:space="preserve">Other: FortiGate-ips-signature-51512
Other: FortiProxy-ips-signature-51512
Event-type group (membership not published): Group@PH_SYS_EVENT_FortiGate_AV_Detected</t>
  </si>
  <si>
    <t xml:space="preserve">Redigo malware (CVE-2022-0543) detected on network</t>
  </si>
  <si>
    <t xml:space="preserve">https://filestore.fortinet.com/docs.fortinet.com/fsiem/Public_Resource_Access/7_6_0/rules/PH_RULE_Redigo_Net.htm</t>
  </si>
  <si>
    <t xml:space="preserve">PH_RULE_RouterMalwareAttack_2023Feb_Host</t>
  </si>
  <si>
    <t xml:space="preserve">Outbreak: Router Malware Attack Detected on Host</t>
  </si>
  <si>
    <t xml:space="preserve">ipsSignatureId IN (10085987,10117488,7194143,10102081,10077186)</t>
  </si>
  <si>
    <t xml:space="preserve">Router malware attack using various older router vulns still being exploited in the wild detected (CVE-2019-10891, CVE-2018-10562, CVE-2018-10561, CVE-2015-2051) on host. Details: https://www.fortiguard.com/outbreak-alert/router-malware-attack</t>
  </si>
  <si>
    <t xml:space="preserve">https://filestore.fortinet.com/docs.fortinet.com/fsiem/Public_Resource_Access/7_6_0/rules/PH_RULE_RouterMalwareAttack_2023Feb_Host.htm</t>
  </si>
  <si>
    <t xml:space="preserve">PH_RULE_RouterMalwareAttack_2023Feb_Network</t>
  </si>
  <si>
    <t xml:space="preserve">Outbreak: Router Malware Attack Detected on Network</t>
  </si>
  <si>
    <t xml:space="preserve">FortiGate-ips-signature-40772
FortiGate-ips-signature-44738
FortiGate-ips-signature-46083
FortiGate-ips-signature-50501
FortiGate-ips-signature-52148
FortiProxy-ips-signature-40772
FortiProxy-ips-signature-44738
FortiProxy-ips-signature-46083
FortiProxy-ips-signature-50501
FortiProxy-ips-signature-52148
Group@PH_SYS_EVENT_FortiGate_AV_Detected</t>
  </si>
  <si>
    <t xml:space="preserve">ipsSignatureId IN (40772,46083,44738,52148,50501,10085987,10117488,7194143,10102081,10077186) AND (srcIpAddr IN (Group@PH_SYS_NETWORK_ENTERPRISE_INTERNAL_NET) OR (destIpAddr IN (Group@PH_SYS_NETWORK_ENTERPRISE_INTERNAL_NET) AND fwAction NOT IN ("deny","dropped","block","blocked","ban-ip","alert_deny")))</t>
  </si>
  <si>
    <t xml:space="preserve">Other: FortiGate-ips-signature-40772
Other: FortiGate-ips-signature-46083
Other: FortiGate-ips-signature-44738
Other: FortiGate-ips-signature-52148
Other: FortiGate-ips-signature-50501
Other: FortiProxy-ips-signature-40772
Other: FortiProxy-ips-signature-46083
Other: FortiProxy-ips-signature-44738
Other: FortiProxy-ips-signature-52148
Other: FortiProxy-ips-signature-50501
Event-type group (membership not published): Group@PH_SYS_EVENT_FortiGate_AV_Detected</t>
  </si>
  <si>
    <t xml:space="preserve">Router malware attack using various older router vulns still being exploited in the wild detected (CVE-2019-10891, CVE-2018-10562, CVE-2018-10561, CVE-2015-2051) on network. Details: https://www.fortiguard.com/outbreak-alert/router-malware-attack</t>
  </si>
  <si>
    <t xml:space="preserve">https://filestore.fortinet.com/docs.fortinet.com/fsiem/Public_Resource_Access/7_6_0/rules/PH_RULE_RouterMalwareAttack_2023Feb_Network.htm</t>
  </si>
  <si>
    <t xml:space="preserve">PH_RULE_Sandbreak_RCE_Vuln_Network</t>
  </si>
  <si>
    <t xml:space="preserve">Outbreak: Sandbreak vm2 sandbox module RCE Vulnerability Detected on Network</t>
  </si>
  <si>
    <t xml:space="preserve">FortiGate-ips-signature-52237
FortiProxy-ips-signature-52237
FortiWeb-20000010</t>
  </si>
  <si>
    <t xml:space="preserve">ipsSignatureId IN (52237,1090501592) AND (srcIpAddr IN (Group@PH_SYS_NETWORK_ENTERPRISE_INTERNAL_NET) OR (destIpAddr IN (Group@PH_SYS_NETWORK_ENTERPRISE_INTERNAL_NET) AND fwAction NOT IN ("deny","dropped","block","blocked","ban-ip","alert_deny")))</t>
  </si>
  <si>
    <t xml:space="preserve">Other: FortiGate-ips-signature-52237
Other: FortiProxy-ips-signature-52237
Other: FortiWeb-20000010</t>
  </si>
  <si>
    <t xml:space="preserve">Sandbreak vm2 sandbox module RCE Vulnerability (CVE-2022-36067) detected on Network</t>
  </si>
  <si>
    <t xml:space="preserve">https://filestore.fortinet.com/docs.fortinet.com/fsiem/Public_Resource_Access/7_6_0/rules/PH_RULE_Sandbreak_RCE_Vuln_Network.htm</t>
  </si>
  <si>
    <t xml:space="preserve">PH_RULE_ServiceNow_RCE_CVE_2024_5217_Network</t>
  </si>
  <si>
    <t xml:space="preserve">Outbreak: ServiceNow Remote Code Execution Attack Detected on Network</t>
  </si>
  <si>
    <t xml:space="preserve">FortiGate-ips-signature-56273
FortiProxy-ips-signature-56273</t>
  </si>
  <si>
    <t xml:space="preserve">Other: FortiGate-ips-signature-56273
Other: FortiProxy-ips-signature-56273</t>
  </si>
  <si>
    <t xml:space="preserve">ServiceNow Remote Code Execution Attack detected (CVE-2024-4879, CVE-2024-5178, CVE-2024-5217) on network. Details: https://www.fortiguard.com/outbreak-alert/servicenow-rce</t>
  </si>
  <si>
    <t xml:space="preserve">https://filestore.fortinet.com/docs.fortinet.com/fsiem/Public_Resource_Access/7_6_0/rules/PH_RULE_ServiceNow_RCE_CVE_2024_5217_Network.htm</t>
  </si>
  <si>
    <t xml:space="preserve">PH_RULE_ShadowSilk_Data_Exfil_CVE_2024_27956_Network</t>
  </si>
  <si>
    <t xml:space="preserve">Outbreak: ShadowSilk Data Exfiltration Attack Detected on Network</t>
  </si>
  <si>
    <t xml:space="preserve">FortiGate-ips-signature-45752
FortiGate-ips-signature-45987
FortiGate-ips-signature-55710
FortiProxy-ips-signature-45752
FortiProxy-ips-signature-45987
FortiProxy-ips-signature-55710
Group@PH_SYS_EVENT_FortiGate_AV_Detected</t>
  </si>
  <si>
    <t xml:space="preserve">ipsSignatureId IN (55710,45752,45987,10210447,10214059,10182311,10128013,8279012) AND (srcIpAddr IN (Group@PH_SYS_NETWORK_ENTERPRISE_INTERNAL_NET) OR (destIpAddr IN (Group@PH_SYS_NETWORK_ENTERPRISE_INTERNAL_NET) AND fwAction NOT IN ("deny","dropped","block","blocked","ban-ip","Alert_Deny")))</t>
  </si>
  <si>
    <t xml:space="preserve">Other: FortiGate-ips-signature-55710
Other: FortiProxy-ips-signature-55710
Other: FortiGate-ips-signature-45752
Other: FortiProxy-ips-signature-45752
Other: FortiGate-ips-signature-45987
Other: FortiProxy-ips-signature-45987
Event-type group (membership not published): Group@PH_SYS_EVENT_FortiGate_AV_Detected</t>
  </si>
  <si>
    <t xml:space="preserve">ShadowSilk Data Exfiltration Attack detected (CVE-2018-7600,CVE-2018-7602,CVE-2024-27956) on network. Details: https://www.fortiguard.com/outbreak-alert/shadowsilk-data-Exfiltration</t>
  </si>
  <si>
    <t xml:space="preserve">https://filestore.fortinet.com/docs.fortinet.com/fsiem/Public_Resource_Access/7_6_0/rules/PH_RULE_ShadowSilk_Data_Exfil_CVE_2024_27956_Network.htm</t>
  </si>
  <si>
    <t xml:space="preserve">PH_RULE_SimpleHelp_Ransomware_Attack_CVE_2024_57727_Host</t>
  </si>
  <si>
    <t xml:space="preserve">Outbreak: SimpleHelp Support Software Attack Detected on Host</t>
  </si>
  <si>
    <t xml:space="preserve">vulnId = 6058</t>
  </si>
  <si>
    <t xml:space="preserve">SimpleHelp Support Software Attack detected (CVE-2024-57727,CVE-2024-57728,CVE-2024-57726) on host. Details: https://www.fortiguard.com/outbreak-alert/simplehelp-ransomware-attack</t>
  </si>
  <si>
    <t xml:space="preserve">https://filestore.fortinet.com/docs.fortinet.com/fsiem/Public_Resource_Access/7_6_0/rules/PH_RULE_SimpleHelp_Ransomware_Attack_CVE_2024_57727_Host.htm</t>
  </si>
  <si>
    <t xml:space="preserve">PH_RULE_SimpleHelp_Ransomware_Attack_CVE_2024_57727_Network</t>
  </si>
  <si>
    <t xml:space="preserve">Outbreak: SimpleHelp Support Software Attack Detected on Network</t>
  </si>
  <si>
    <t xml:space="preserve">FortiGate-ips-signature-57217
FortiProxy-ips-signature-57217
Group@PH_SYS_EVENT_FortiGate_AV_Detected</t>
  </si>
  <si>
    <t xml:space="preserve">ipsSignatureId IN (57217,10106192) AND (srcIpAddr IN (Group@PH_SYS_NETWORK_ENTERPRISE_INTERNAL_NET) OR (destIpAddr IN (Group@PH_SYS_NETWORK_ENTERPRISE_INTERNAL_NET) AND fwAction NOT IN ("deny","dropped","block","blocked","ban-ip","Alert_Deny")))</t>
  </si>
  <si>
    <t xml:space="preserve">Other: FortiGate-ips-signature-57217
Other: FortiProxy-ips-signature-57217
Event-type group (membership not published): Group@PH_SYS_EVENT_FortiGate_AV_Detected</t>
  </si>
  <si>
    <t xml:space="preserve">SimpleHelp Support Software Attack detected (CVE-2024-57727,CVE-2024-57728,CVE-2024-57726) on network. Details: https://www.fortiguard.com/outbreak-alert/simplehelp-ransomware-attack</t>
  </si>
  <si>
    <t xml:space="preserve">https://filestore.fortinet.com/docs.fortinet.com/fsiem/Public_Resource_Access/7_6_0/rules/PH_RULE_SimpleHelp_Ransomware_Attack_CVE_2024_57727_Network.htm</t>
  </si>
  <si>
    <t xml:space="preserve">PH_RULE_SmarterMail_RCE_CVE_2025_52691_Network</t>
  </si>
  <si>
    <t xml:space="preserve">Outbreak: SmarterTools SmarterMail RCE Detected on Network</t>
  </si>
  <si>
    <t xml:space="preserve">FortiGate-ips-signature-59887
FortiProxy-ips-signature-59887</t>
  </si>
  <si>
    <t xml:space="preserve">Other: FortiGate-ips-signature-59887
Other: FortiProxy-ips-signature-59887</t>
  </si>
  <si>
    <t xml:space="preserve">SmarterTools SmarterMail RCE detected (CVE-2025-52691) on network. Details: https://www.fortiguard.com/outbreak-alert/smartertools-smartermail-rce</t>
  </si>
  <si>
    <t xml:space="preserve">https://filestore.fortinet.com/docs.fortinet.com/fsiem/Public_Resource_Access/7_6_0/rules/PH_RULE_SmarterMail_RCE_CVE_2025_52691_Network.htm</t>
  </si>
  <si>
    <t xml:space="preserve">PH_RULE_SolarView_Compact_Command_Inj_CVE_2022_40881_Network</t>
  </si>
  <si>
    <t xml:space="preserve">Outbreak: SolarView Compact Command Injection Vuln Detected on Network</t>
  </si>
  <si>
    <t xml:space="preserve">FortiGate-ips-signature-52317
FortiProxy-ips-signature-52317</t>
  </si>
  <si>
    <t xml:space="preserve">Other: FortiGate-ips-signature-52317
Other: FortiProxy-ips-signature-52317</t>
  </si>
  <si>
    <t xml:space="preserve">SolarView Compact Command Injection Vulnerability detected (CVE-2022-40881,CVE-2022-29303) on network. Details: https://www.fortiguard.com/outbreak-alert/solarview-compact-command-injection</t>
  </si>
  <si>
    <t xml:space="preserve">https://filestore.fortinet.com/docs.fortinet.com/fsiem/Public_Resource_Access/7_6_0/rules/PH_RULE_SolarView_Compact_Command_Inj_CVE_2022_40881_Network.htm</t>
  </si>
  <si>
    <t xml:space="preserve">PH_RULE_SonicWall_SMA_Attack_CVE_2024_38475_Network</t>
  </si>
  <si>
    <t xml:space="preserve">Outbreak: SonicWall Secure Mobile Access Attack Detected on Network</t>
  </si>
  <si>
    <t xml:space="preserve">FortiGate-ips-signature-51134
FortiGate-ips-signature-51566
FortiGate-ips-signature-56685
FortiGate-ips-signature-58181
FortiProxy-ips-signature-51134
FortiProxy-ips-signature-51566
FortiProxy-ips-signature-56685
FortiProxy-ips-signature-58181</t>
  </si>
  <si>
    <t xml:space="preserve">Other: FortiGate-ips-signature-56685
Other: FortiProxy-ips-signature-56685
Other: FortiGate-ips-signature-51566
Other: FortiProxy-ips-signature-51566
Other: FortiGate-ips-signature-51134
Other: FortiProxy-ips-signature-51134
Other: FortiGate-ips-signature-58181
Other: FortiProxy-ips-signature-58181</t>
  </si>
  <si>
    <t xml:space="preserve">SonicWall Secure Mobile Access Attack detected (CVE-2024-38475,CVE-2021-20038,CVE-2021-20035,CVE-2021-20039,CVE-2025-32819) on network. Details: https://www.fortiguard.com/outbreak-alert/sonicwall-sma-attack</t>
  </si>
  <si>
    <t xml:space="preserve">https://filestore.fortinet.com/docs.fortinet.com/fsiem/Public_Resource_Access/7_6_0/rules/PH_RULE_SonicWall_SMA_Attack_CVE_2024_38475_Network.htm</t>
  </si>
  <si>
    <t xml:space="preserve">PH_RULE_Sunhillo_SureLine_CVE_2021_36380_Host</t>
  </si>
  <si>
    <t xml:space="preserve">Outbreak: Sunhillo SureLine Command Injection Attack Detected on Host</t>
  </si>
  <si>
    <t xml:space="preserve">virusName IN ("BASH/Mirai.AEH!tr.dldr","ELF/Mirai.AGIT!tr","ELF/Mirai.GG!tr","Linux/Mirai.L!tr.dldr","Linux/Mirai.REAL!tr")</t>
  </si>
  <si>
    <t xml:space="preserve">Sunhillo SureLine Command Injection Attack detected (CVE-2021-36380) on host. Details: https://www.fortiguard.com/outbreak-alert/sunhillo-sureline-attack</t>
  </si>
  <si>
    <t xml:space="preserve">https://filestore.fortinet.com/docs.fortinet.com/fsiem/Public_Resource_Access/7_6_0/rules/PH_RULE_Sunhillo_SureLine_CVE_2021_36380_Host.htm</t>
  </si>
  <si>
    <t xml:space="preserve">PH_RULE_Sunhillo_SureLine_CVE_2021_36380_Network</t>
  </si>
  <si>
    <t xml:space="preserve">Outbreak: Sunhillo SureLine Command Injection Attack Detected on Network</t>
  </si>
  <si>
    <t xml:space="preserve">FortiGate-ips-signature-54310
FortiProxy-ips-signature-54310
Group@PH_SYS_EVENT_FortiGate_AV_Detected</t>
  </si>
  <si>
    <t xml:space="preserve">ipsSignatureId IN (54310,10154968,10176576,8108232,8229732,10130044) AND (srcIpAddr IN (Group@PH_SYS_NETWORK_ENTERPRISE_INTERNAL_NET) OR (destIpAddr IN (Group@PH_SYS_NETWORK_ENTERPRISE_INTERNAL_NET) AND fwAction NOT IN ("deny","dropped","block","blocked","ban-ip","Alert_Deny")))</t>
  </si>
  <si>
    <t xml:space="preserve">Other: FortiGate-ips-signature-54310
Other: FortiProxy-ips-signature-54310
Event-type group (membership not published): Group@PH_SYS_EVENT_FortiGate_AV_Detected</t>
  </si>
  <si>
    <t xml:space="preserve">Sunhillo SureLine Command Injection Attack detected (CVE-2021-36380) on network. Details: https://www.fortiguard.com/outbreak-alert/sunhillo-sureline-attack</t>
  </si>
  <si>
    <t xml:space="preserve">https://filestore.fortinet.com/docs.fortinet.com/fsiem/Public_Resource_Access/7_6_0/rules/PH_RULE_Sunhillo_SureLine_CVE_2021_36380_Network.htm</t>
  </si>
  <si>
    <t xml:space="preserve">PH_RULE_Zimbra_RCE_CVE_2024_45519_Host</t>
  </si>
  <si>
    <t xml:space="preserve">Outbreak: Synacor Zimbra Collaboration Command Execution Vuln Detected on Host</t>
  </si>
  <si>
    <t xml:space="preserve">virusName = "EML/CVE_2024_45519.A!exploit"</t>
  </si>
  <si>
    <t xml:space="preserve">Synacor Zimbra Collaboration Command Execution Vulnerability detected (CVE-2024-45519) on host. Details: https://www.fortiguard.com/outbreak-alert/zimbra-collaboration-rce/</t>
  </si>
  <si>
    <t xml:space="preserve">https://filestore.fortinet.com/docs.fortinet.com/fsiem/Public_Resource_Access/7_6_0/rules/PH_RULE_Zimbra_RCE_CVE_2024_45519_Host.htm</t>
  </si>
  <si>
    <t xml:space="preserve">PH_RULE_Zimbra_RCE_CVE_2024_45519_Network</t>
  </si>
  <si>
    <t xml:space="preserve">Outbreak: Synacor Zimbra Collaboration Command Execution Vuln Detected on Network</t>
  </si>
  <si>
    <t xml:space="preserve">FortiGate-ips-signature-56686
FortiProxy-ips-signature-56686
Group@PH_SYS_EVENT_FortiGate_AV_Detected</t>
  </si>
  <si>
    <t xml:space="preserve">ipsSignatureId IN (56686,10193077) AND (srcIpAddr IN (Group@PH_SYS_NETWORK_ENTERPRISE_INTERNAL_NET) OR (destIpAddr IN (Group@PH_SYS_NETWORK_ENTERPRISE_INTERNAL_NET) AND fwAction NOT IN ("deny","dropped","block","blocked","ban-ip","Alert_Deny")))</t>
  </si>
  <si>
    <t xml:space="preserve">Other: FortiGate-ips-signature-56686
Other: FortiProxy-ips-signature-56686
Event-type group (membership not published): Group@PH_SYS_EVENT_FortiGate_AV_Detected</t>
  </si>
  <si>
    <t xml:space="preserve">Synacor Zimbra Collaboration Command Execution Vulnerability detected (CVE-2024-45519) on network. Details: https://www.fortiguard.com/outbreak-alert/zimbra-collaboration-rce/</t>
  </si>
  <si>
    <t xml:space="preserve">https://filestore.fortinet.com/docs.fortinet.com/fsiem/Public_Resource_Access/7_6_0/rules/PH_RULE_Zimbra_RCE_CVE_2024_45519_Network.htm</t>
  </si>
  <si>
    <t xml:space="preserve">PH_RULE_TBK_DVR_Attack_CVE_2018_9995_Network</t>
  </si>
  <si>
    <t xml:space="preserve">Outbreak: TBK DVR Authentication Bypass Attack Detected on Network</t>
  </si>
  <si>
    <t xml:space="preserve">FortiGate-ips-signature-45993
FortiProxy-ips-signature-45993</t>
  </si>
  <si>
    <t xml:space="preserve">Other: FortiGate-ips-signature-45993
Other: FortiProxy-ips-signature-45993</t>
  </si>
  <si>
    <t xml:space="preserve">TBK DVR Authentication Bypass Attack detected (CVE-2018-9995) on network. Details: https://www.fortiguard.com/outbreak-alert/tbk-dvr-attack</t>
  </si>
  <si>
    <t xml:space="preserve">https://filestore.fortinet.com/docs.fortinet.com/fsiem/Public_Resource_Access/7_6_0/rules/PH_RULE_TBK_DVR_Attack_CVE_2018_9995_Network.htm</t>
  </si>
  <si>
    <t xml:space="preserve">PH_RULE_TBK_DVRs_Botnet_Attack_CVE_2024_3721_Network</t>
  </si>
  <si>
    <t xml:space="preserve">Outbreak: TBK DVRs Botnet Attack Detected on Network</t>
  </si>
  <si>
    <t xml:space="preserve">FortiGate-ips-signature-55717
FortiProxy-ips-signature-55717
Group@PH_SYS_EVENT_FortiGate_AV_Detected</t>
  </si>
  <si>
    <t xml:space="preserve">ipsSignatureId IN (55717,10219986,10219966,10219975,10219974,10219965,10219969) AND (srcIpAddr IN (Group@PH_SYS_NETWORK_ENTERPRISE_INTERNAL_NET) OR (destIpAddr IN (Group@PH_SYS_NETWORK_ENTERPRISE_INTERNAL_NET) AND fwAction NOT IN ("deny","dropped","block","blocked","ban-ip","Alert_Deny")))</t>
  </si>
  <si>
    <t xml:space="preserve">Other: FortiGate-ips-signature-55717
Other: FortiProxy-ips-signature-55717
Event-type group (membership not published): Group@PH_SYS_EVENT_FortiGate_AV_Detected</t>
  </si>
  <si>
    <t xml:space="preserve">TBK DVRs Botnet Attack detected (CVE-2024-3721) on network. Details: https://www.fortiguard.com/outbreak-alert/tbk-dvrs-botnet-attack</t>
  </si>
  <si>
    <t xml:space="preserve">https://filestore.fortinet.com/docs.fortinet.com/fsiem/Public_Resource_Access/7_6_0/rules/PH_RULE_TBK_DVRs_Botnet_Attack_CVE_2024_3721_Network.htm</t>
  </si>
  <si>
    <t xml:space="preserve">PH_RULE_GLPI_Remote_Code_Execution_Network</t>
  </si>
  <si>
    <t xml:space="preserve">Outbreak: Teclib GLPI Remote Code Execution Vulnerability Detected on Network</t>
  </si>
  <si>
    <t xml:space="preserve">FortiGate-ips-signature-52227
FortiProxy-ips-signature-52227</t>
  </si>
  <si>
    <t xml:space="preserve">Other: FortiGate-ips-signature-52227
Other: FortiProxy-ips-signature-52227</t>
  </si>
  <si>
    <t xml:space="preserve">Teclib GLPI Remote Code Execution Vulnerability detected (CVE-2022-35914) on network. Details: https://github.com/glpi-project/glpi/releases</t>
  </si>
  <si>
    <t xml:space="preserve">https://filestore.fortinet.com/docs.fortinet.com/fsiem/Public_Resource_Access/7_6_0/rules/PH_RULE_GLPI_Remote_Code_Execution_Network.htm</t>
  </si>
  <si>
    <t xml:space="preserve">PH_RULE_ThinkPHPRCE_CVE_2019_9082_Host</t>
  </si>
  <si>
    <t xml:space="preserve">Outbreak: ThinkPHP Remote Code Execution Vulnerability Detected on Host</t>
  </si>
  <si>
    <t xml:space="preserve">(ipsSignatureId IN (10134062,10134063) OR virusName IN ("W32/FlyStudio.PHP!tr","W32/CoinMiner.PHP!tr"))</t>
  </si>
  <si>
    <t xml:space="preserve">ThinkPHP RCE vuln detected (CVE-2019-9082,CVE-2018-20062) on host. Details: https://www.fortiguard.com/outbreak-alert/thinkphp-rce</t>
  </si>
  <si>
    <t xml:space="preserve">https://filestore.fortinet.com/docs.fortinet.com/fsiem/Public_Resource_Access/7_6_0/rules/PH_RULE_ThinkPHPRCE_CVE_2019_9082_Host.htm</t>
  </si>
  <si>
    <t xml:space="preserve">PH_RULE_ThinkPHPRCE_CVE_2019_9082_Network</t>
  </si>
  <si>
    <t xml:space="preserve">Outbreak: ThinkPHP Remote Code Execution Vulnerability Detected on Network</t>
  </si>
  <si>
    <t xml:space="preserve">FortiGate-ips-signature-47291
FortiProxy-ips-signature-47291</t>
  </si>
  <si>
    <t xml:space="preserve">Other: FortiGate-ips-signature-47291
Other: FortiProxy-ips-signature-47291</t>
  </si>
  <si>
    <t xml:space="preserve">ThinkPHP RCE vuln detected (CVE-2019-9082,CVE-2018-20062) on network. Details: https://www.fortiguard.com/outbreak-alert/thinkphp-rce</t>
  </si>
  <si>
    <t xml:space="preserve">https://filestore.fortinet.com/docs.fortinet.com/fsiem/Public_Resource_Access/7_6_0/rules/PH_RULE_ThinkPHPRCE_CVE_2019_9082_Network.htm</t>
  </si>
  <si>
    <t xml:space="preserve">PH_RULE_TP_Link_Archer_AX_21_CVE_2023_1389_Host</t>
  </si>
  <si>
    <t xml:space="preserve">Outbreak: TP-Link Archer AX-21 Command Injection Attack Detected on Host</t>
  </si>
  <si>
    <t xml:space="preserve">virusName IN ("BASH/Mirai.4C55!tr","ELF/Mirai.A!tr","ELF/Mirai.BL!tr","Linux/Redis.TSU!tr")</t>
  </si>
  <si>
    <t xml:space="preserve">TP-Link Archer AX-21 Command Injection Attack detected (CVE-2023-1389) on host. Details: https://www.fortiguard.com/outbreak-alert/tp-link-archer-ax-21-command-injection</t>
  </si>
  <si>
    <t xml:space="preserve">https://filestore.fortinet.com/docs.fortinet.com/fsiem/Public_Resource_Access/7_6_0/rules/PH_RULE_TP_Link_Archer_AX_21_CVE_2023_1389_Host.htm</t>
  </si>
  <si>
    <t xml:space="preserve">PH_RULE_TP_Link_Archer_AX_21_CVE_2023_1389_Network</t>
  </si>
  <si>
    <t xml:space="preserve">Outbreak: TP-Link Archer AX-21 Command Injection Attack Detected on Network</t>
  </si>
  <si>
    <t xml:space="preserve">FortiGate-ips-signature-52742
FortiProxy-ips-signature-52742
Group@PH_SYS_EVENT_FortiGate_AV_Detected</t>
  </si>
  <si>
    <t xml:space="preserve">ipsSignatureId IN (52742,10052969,7194143,7860912,10122905) AND (srcIpAddr IN (Group@PH_SYS_NETWORK_ENTERPRISE_INTERNAL_NET) OR (destIpAddr IN (Group@PH_SYS_NETWORK_ENTERPRISE_INTERNAL_NET) AND fwAction NOT IN ("deny","dropped","block","blocked","ban-ip","alert_deny")))</t>
  </si>
  <si>
    <t xml:space="preserve">Other: FortiGate-ips-signature-52742
Other: FortiProxy-ips-signature-52742
Event-type group (membership not published): Group@PH_SYS_EVENT_FortiGate_AV_Detected</t>
  </si>
  <si>
    <t xml:space="preserve">TP-Link Archer AX-21 Command Injection Attack detected (CVE-2023-1389) on network. Details: https://www.fortiguard.com/outbreak-alert/tp-link-archer-ax-21-command-injection</t>
  </si>
  <si>
    <t xml:space="preserve">https://filestore.fortinet.com/docs.fortinet.com/fsiem/Public_Resource_Access/7_6_0/rules/PH_RULE_TP_Link_Archer_AX_21_CVE_2023_1389_Network.htm</t>
  </si>
  <si>
    <t xml:space="preserve">PH_RULE_UNC1549_Espionage_Attack_CVE_2021_26855_Network</t>
  </si>
  <si>
    <t xml:space="preserve">Outbreak: UNC1549 Critical Infrastructure Espionage Attack Detected on Network</t>
  </si>
  <si>
    <t xml:space="preserve">FortiGate-ips-signature-48765
FortiGate-ips-signature-49950
FortiProxy-ips-signature-48765
FortiProxy-ips-signature-49950
Group@PH_SYS_EVENT_FortiGate_AV_Detected</t>
  </si>
  <si>
    <t xml:space="preserve">ipsSignatureId IN (48765,49950,10238408,10191187,58991,1182668,10096034,10238438,10238432) AND (srcIpAddr IN (Group@PH_SYS_NETWORK_ENTERPRISE_INTERNAL_NET) OR (destIpAddr IN (Group@PH_SYS_NETWORK_ENTERPRISE_INTERNAL_NET) AND fwAction NOT IN ("deny","dropped","block","blocked","ban-ip","Alert_Deny")))</t>
  </si>
  <si>
    <t xml:space="preserve">Other: FortiGate-ips-signature-49950
Other: FortiProxy-ips-signature-49950
Other: FortiGate-ips-signature-48765
Other: FortiProxy-ips-signature-48765
Event-type group (membership not published): Group@PH_SYS_EVENT_FortiGate_AV_Detected</t>
  </si>
  <si>
    <t xml:space="preserve">UNC1549 Critical Infrastructure Espionage Attack detected (CVE-2021-26855,CVE-2020-0688) on network. Details: https://www.fortiguard.com/outbreak-alert/unc1549-espionage-attack</t>
  </si>
  <si>
    <t xml:space="preserve">https://filestore.fortinet.com/docs.fortinet.com/fsiem/Public_Resource_Access/7_6_0/rules/PH_RULE_UNC1549_Espionage_Attack_CVE_2021_26855_Network.htm</t>
  </si>
  <si>
    <t xml:space="preserve">PH_RULE_Versa_Concerto_AutheBypass_CVE_2025_34026_Network</t>
  </si>
  <si>
    <t xml:space="preserve">Outbreak: Versa Concerto SD-WAN Authentication Bypass Detected on Network</t>
  </si>
  <si>
    <t xml:space="preserve">FortiGate-ips-signature-60095
FortiProxy-ips-signature-60095</t>
  </si>
  <si>
    <t xml:space="preserve">Other: FortiGate-ips-signature-60095
Other: FortiProxy-ips-signature-60095</t>
  </si>
  <si>
    <t xml:space="preserve">Versa Concerto SD-WAN Authentication Bypass detected (CVE-2025-34027,CVE-2025-34026,CVE-2025-34025) on network. Details: https://www.fortiguard.com/outbreak-alert/versa-concerto-authentication-bypass</t>
  </si>
  <si>
    <t xml:space="preserve">https://filestore.fortinet.com/docs.fortinet.com/fsiem/Public_Resource_Access/7_6_0/rules/PH_RULE_Versa_Concerto_AutheBypass_CVE_2025_34026_Network.htm</t>
  </si>
  <si>
    <t xml:space="preserve">PH_RULE_VMware_Aria_CVE_2023_20887_Network</t>
  </si>
  <si>
    <t xml:space="preserve">Outbreak: VMware Aria Operations for Networks Command Injection Vuln Detected on Network</t>
  </si>
  <si>
    <t xml:space="preserve">FortiGate-ips-signature-53324
FortiProxy-ips-signature-53324</t>
  </si>
  <si>
    <t xml:space="preserve">Other: FortiGate-ips-signature-53324
Other: FortiProxy-ips-signature-53324</t>
  </si>
  <si>
    <t xml:space="preserve">VMware Aria Operations for Networks Command Injection Vulnerability detected (CVE-2023-20887) on network. Details: https://www.fortiguard.com/outbreak-alert/vmware-aria-command-injection</t>
  </si>
  <si>
    <t xml:space="preserve">https://filestore.fortinet.com/docs.fortinet.com/fsiem/Public_Resource_Access/7_6_0/rules/PH_RULE_VMware_Aria_CVE_2023_20887_Network.htm</t>
  </si>
  <si>
    <t xml:space="preserve">PH_RULE_ESXIRansom_2023Feb_Network</t>
  </si>
  <si>
    <t xml:space="preserve">Outbreak: VMware ESXi Server Ransomware Attack Detected on Network</t>
  </si>
  <si>
    <t xml:space="preserve">FortiGate-ips-signature-50017
FortiGate-ips-signature-50440
FortiProxy-ips-signature-50017
FortiProxy-ips-signature-50440
Group@PH_SYS_EVENT_FortiGate_AV_Detected</t>
  </si>
  <si>
    <t xml:space="preserve">ipsSignatureId IN (50017,50440,10123322,10123319,162242795) AND (srcIpAddr IN (Group@PH_SYS_NETWORK_ENTERPRISE_INTERNAL_NET) OR (destIpAddr IN (Group@PH_SYS_NETWORK_ENTERPRISE_INTERNAL_NET) AND fwAction NOT IN ("deny","dropped","block","blocked","ban-ip","alert_deny")))</t>
  </si>
  <si>
    <t xml:space="preserve">Other: FortiGate-ips-signature-50017
Other: FortiGate-ips-signature-50440
Other: FortiProxy-ips-signature-50017
Other: FortiProxy-ips-signature-50440
Event-type group (membership not published): Group@PH_SYS_EVENT_FortiGate_AV_Detected</t>
  </si>
  <si>
    <t xml:space="preserve">VMware ESXi server ransomware attack detected (CVE-2021-21974, CVE-2020-3992) on network. Details: https://www.fortiguard.com/outbreak-alert/esxiargs-ransomware</t>
  </si>
  <si>
    <t xml:space="preserve">https://filestore.fortinet.com/docs.fortinet.com/fsiem/Public_Resource_Access/7_6_0/rules/PH_RULE_ESXIRansom_2023Feb_Network.htm</t>
  </si>
  <si>
    <t xml:space="preserve">PH_RULE_VMware_SpringCloud_RCE_CVE_2022_22963_Net</t>
  </si>
  <si>
    <t xml:space="preserve">Outbreak: VMware Spring Cloud Func RCE Vulnerability on Network</t>
  </si>
  <si>
    <t xml:space="preserve">FortiGate-ips-signature-51355
FortiProxy-ips-signature-51355</t>
  </si>
  <si>
    <t xml:space="preserve">Other: FortiGate-ips-signature-51355
Other: FortiProxy-ips-signature-51355</t>
  </si>
  <si>
    <t xml:space="preserve">https://filestore.fortinet.com/docs.fortinet.com/fsiem/Public_Resource_Access/7_6_0/rules/PH_RULE_VMware_SpringCloud_RCE_CVE_2022_22963_Net.htm</t>
  </si>
  <si>
    <t xml:space="preserve">PH_RULE_VMWareWorkspaceONE_CVE_2022_22954_Net</t>
  </si>
  <si>
    <t xml:space="preserve">Outbreak: VMWare Workspace ONE Vulnerability - CVE-2022-22954 on Network</t>
  </si>
  <si>
    <t xml:space="preserve">FortiGate-ips-signature-51468
FortiProxy-ips-signature-51468
Group@PH_SYS_EVENT_FortiGate_AV_Detected</t>
  </si>
  <si>
    <t xml:space="preserve">ipsSignatureId IN (51468,10108336,10108300,10108335,10109643,10057675,10062066,7657554,10101766,8213066) AND (srcIpAddr IN (Group@PH_SYS_NETWORK_ENTERPRISE_INTERNAL_NET) OR (destIpAddr IN (Group@PH_SYS_NETWORK_ENTERPRISE_INTERNAL_NET) AND fwAction NOT IN ("deny","dropped","block","blocked","ban-ip","alert_deny")))</t>
  </si>
  <si>
    <t xml:space="preserve">Other: FortiGate-ips-signature-51468
Other: FortiProxy-ips-signature-51468
Event-type group (membership not published): Group@PH_SYS_EVENT_FortiGate_AV_Detected</t>
  </si>
  <si>
    <t xml:space="preserve">VMWare Workspace ONE Vulnerability (CVE-2022-22954) detected on network</t>
  </si>
  <si>
    <t xml:space="preserve">https://filestore.fortinet.com/docs.fortinet.com/fsiem/Public_Resource_Access/7_6_0/rules/PH_RULE_VMWareWorkspaceONE_CVE_2022_22954_Net.htm</t>
  </si>
  <si>
    <t xml:space="preserve">PH_RULE_Win32_Escalation_Detected_Host</t>
  </si>
  <si>
    <t xml:space="preserve">Outbreak: Win32k Elevation of Privilege Vulnerability Detected on Host</t>
  </si>
  <si>
    <t xml:space="preserve">win32_elevation</t>
  </si>
  <si>
    <t xml:space="preserve">vulnId = 70134</t>
  </si>
  <si>
    <t xml:space="preserve">A Fortinet product has detected an exploit related to CVE-2022-21882 on a host</t>
  </si>
  <si>
    <t xml:space="preserve">https://filestore.fortinet.com/docs.fortinet.com/fsiem/Public_Resource_Access/7_6_0/rules/PH_RULE_Win32_Escalation_Detected_Host.htm</t>
  </si>
  <si>
    <t xml:space="preserve">PH_RULE_Win32_Escalation_Detected_Network</t>
  </si>
  <si>
    <t xml:space="preserve">Outbreak: Win32k Elevation of Privilege Vulnerability Detected on Network</t>
  </si>
  <si>
    <t xml:space="preserve">FortiGate-ips-signature-51068
FortiProxy-ips-signature-51068</t>
  </si>
  <si>
    <t xml:space="preserve">destIpAddr, destGeoCountry, srcIpAddr, srcGeoCountry</t>
  </si>
  <si>
    <t xml:space="preserve">Other: FortiGate-ips-signature-51068
Other: FortiProxy-ips-signature-51068</t>
  </si>
  <si>
    <t xml:space="preserve">A Fortinet product has detected an exploit related to CVE-2022-21882 on network</t>
  </si>
  <si>
    <t xml:space="preserve">https://filestore.fortinet.com/docs.fortinet.com/fsiem/Public_Resource_Access/7_6_0/rules/PH_RULE_Win32_Escalation_Detected_Network.htm</t>
  </si>
  <si>
    <t xml:space="preserve">PH_RULE_WooCommerce_Payments_CVE_2023_28121_Host</t>
  </si>
  <si>
    <t xml:space="preserve">Outbreak: WooCommerce Payments Improper Authentication Vuln Detected on Host</t>
  </si>
  <si>
    <t xml:space="preserve">virusName = "PHP/Payoow.CO!tr"</t>
  </si>
  <si>
    <t xml:space="preserve">WooCommerce Payments Improper Authentication Vulnerability detected (CVE-2023-28121) on host. Details: https://www.fortiguard.com/outbreak-alert/woocommerce-payments-attack</t>
  </si>
  <si>
    <t xml:space="preserve">https://filestore.fortinet.com/docs.fortinet.com/fsiem/Public_Resource_Access/7_6_0/rules/PH_RULE_WooCommerce_Payments_CVE_2023_28121_Host.htm</t>
  </si>
  <si>
    <t xml:space="preserve">PH_RULE_WooCommerce_Payments_CVE_2023_28121_Network</t>
  </si>
  <si>
    <t xml:space="preserve">Outbreak: WooCommerce Payments Improper Authentication Vuln Detected on Network</t>
  </si>
  <si>
    <t xml:space="preserve">FortiGate-ips-signature-53409
FortiProxy-ips-signature-53409
Group@PH_SYS_EVENT_FortiGate_AV_Detected</t>
  </si>
  <si>
    <t xml:space="preserve">ipsSignatureId IN (53409,10150208) AND (srcIpAddr IN (Group@PH_SYS_NETWORK_ENTERPRISE_INTERNAL_NET) OR (destIpAddr IN (Group@PH_SYS_NETWORK_ENTERPRISE_INTERNAL_NET) AND fwAction NOT IN ("deny","dropped","block","blocked","ban-ip","Alert_Deny")))</t>
  </si>
  <si>
    <t xml:space="preserve">Other: FortiGate-ips-signature-53409
Other: FortiProxy-ips-signature-53409
Event-type group (membership not published): Group@PH_SYS_EVENT_FortiGate_AV_Detected</t>
  </si>
  <si>
    <t xml:space="preserve">WooCommerce Payments Improper Authentication Vulnerability detected (CVE-2023-28121) on network. Details: https://www.fortiguard.com/outbreak-alert/woocommerce-payments-attack</t>
  </si>
  <si>
    <t xml:space="preserve">https://filestore.fortinet.com/docs.fortinet.com/fsiem/Public_Resource_Access/7_6_0/rules/PH_RULE_WooCommerce_Payments_CVE_2023_28121_Network.htm</t>
  </si>
  <si>
    <t xml:space="preserve">PH_RULE_WPGatewayVulnCVE_2022_3180_Network</t>
  </si>
  <si>
    <t xml:space="preserve">Outbreak: Wordpress WPGateway Plugin Vuln Detected on Network</t>
  </si>
  <si>
    <t xml:space="preserve">FortiGate-ips-signature-52145
FortiProxy-ips-signature-52145</t>
  </si>
  <si>
    <t xml:space="preserve">Other: FortiGate-ips-signature-52145
Other: FortiProxy-ips-signature-52145</t>
  </si>
  <si>
    <t xml:space="preserve">Wordpress WPGateway Plugin Vuln (CVE-2022-3180) detected on network</t>
  </si>
  <si>
    <t xml:space="preserve">https://filestore.fortinet.com/docs.fortinet.com/fsiem/Public_Resource_Access/7_6_0/rules/PH_RULE_WPGatewayVulnCVE_2022_3180_Network.htm</t>
  </si>
  <si>
    <t xml:space="preserve">PH_RULE_WP2Shell_RCE_CVE_2026_63030_Network</t>
  </si>
  <si>
    <t xml:space="preserve">Outbreak: WP2Shell RCE Detected on Network</t>
  </si>
  <si>
    <t xml:space="preserve">FortiGate-ips-signature-61474
FortiProxy-ips-signature-61474</t>
  </si>
  <si>
    <t xml:space="preserve">Other: FortiGate-ips-signature-61474
Other: FortiProxy-ips-signature-61474</t>
  </si>
  <si>
    <t xml:space="preserve">WP2Shell RCE detected (CVE-2026-63030,CVE-2026-60137) on network. Details: https://www.fortiguard.com/outbreak-alert/wp2shell-rce</t>
  </si>
  <si>
    <t xml:space="preserve">https://filestore.fortinet.com/docs.fortinet.com/fsiem/Public_Resource_Access/7_6_0/rules/PH_RULE_WP2Shell_RCE_CVE_2026_63030_Network.htm</t>
  </si>
  <si>
    <t xml:space="preserve">PH_RULE_ZerobotBotnetActivity_Host</t>
  </si>
  <si>
    <t xml:space="preserve">Outbreak: Zerobot Botnet Activity Detected on Host</t>
  </si>
  <si>
    <t xml:space="preserve">ipsSignatureId IN (10116867,10113511,10116868,10116869)</t>
  </si>
  <si>
    <t xml:space="preserve">Zerobot Botnet activity detected (CVE-2017-17105,CVE-2019-10655,CVE-2020-25223,CVE-2021-42013,CVE-2022-31137,CVE-2022-33891) on host</t>
  </si>
  <si>
    <t xml:space="preserve">https://filestore.fortinet.com/docs.fortinet.com/fsiem/Public_Resource_Access/7_6_0/rules/PH_RULE_ZerobotBotnetActivity_Host.htm</t>
  </si>
  <si>
    <t xml:space="preserve">PH_RULE_ZerobotBotnetActivity_Network</t>
  </si>
  <si>
    <t xml:space="preserve">Outbreak: Zerobot Botnet Activity Detected on Network</t>
  </si>
  <si>
    <t xml:space="preserve">FortiGate-ips-signature-45494
FortiGate-ips-signature-47699
FortiGate-ips-signature-50704
FortiGate-ips-signature-51924
FortiGate-ips-signature-51928
FortiProxy-ips-signature-45494
FortiProxy-ips-signature-47699
FortiProxy-ips-signature-50704
FortiProxy-ips-signature-51924
FortiProxy-ips-signature-51928
Group@PH_SYS_EVENT_FortiGate_AV_Detected</t>
  </si>
  <si>
    <t xml:space="preserve">ipsSignatureId IN (45494,47699,50704,51928,51924,10113511) AND (srcIpAddr IN (Group@PH_SYS_NETWORK_ENTERPRISE_INTERNAL_NET) OR (destIpAddr IN (Group@PH_SYS_NETWORK_ENTERPRISE_INTERNAL_NET) AND fwAction NOT IN ("deny","dropped","block","blocked","ban-ip","alert_deny")))</t>
  </si>
  <si>
    <t xml:space="preserve">Other: FortiGate-ips-signature-45494
Other: FortiGate-ips-signature-47699
Other: FortiGate-ips-signature-50704
Other: FortiGate-ips-signature-51928
Other: FortiGate-ips-signature-51924
Other: FortiProxy-ips-signature-45494
Other: FortiProxy-ips-signature-47699
Other: FortiProxy-ips-signature-50704
Other: FortiProxy-ips-signature-51928
Other: FortiProxy-ips-signature-51924
Event-type group (membership not published): Group@PH_SYS_EVENT_FortiGate_AV_Detected</t>
  </si>
  <si>
    <t xml:space="preserve">https://filestore.fortinet.com/docs.fortinet.com/fsiem/Public_Resource_Access/7_6_0/rules/PH_RULE_ZerobotBotnetActivity_Network.htm</t>
  </si>
  <si>
    <t xml:space="preserve">PH_RULE_Zimbra_Collab_CVE_2025_68645_Network</t>
  </si>
  <si>
    <t xml:space="preserve">Outbreak: Zimbra Collaboration Local File Inclusion Detected on Network</t>
  </si>
  <si>
    <t xml:space="preserve">FortiGate-ips-signature-60097
FortiProxy-ips-signature-60097</t>
  </si>
  <si>
    <t xml:space="preserve">Other: FortiGate-ips-signature-60097
Other: FortiProxy-ips-signature-60097</t>
  </si>
  <si>
    <t xml:space="preserve">Zimbra Collaboration Local File Inclusion detected (CVE-2025-68645) on network. Details: https://www.fortiguard.com/outbreak-alert/zimbra-collaboration-lfi</t>
  </si>
  <si>
    <t xml:space="preserve">https://filestore.fortinet.com/docs.fortinet.com/fsiem/Public_Resource_Access/7_6_0/rules/PH_RULE_Zimbra_Collab_CVE_2025_68645_Network.htm</t>
  </si>
  <si>
    <t xml:space="preserve">PH_RULE_ZimbraMboxImportVuln_Host</t>
  </si>
  <si>
    <t xml:space="preserve">Outbreak: Zimbra Collaboration Mboximport Vulnerability on Host</t>
  </si>
  <si>
    <t xml:space="preserve">(ipsSignatureId IN (10101477,10101326,10101454) OR virusName = "Python/Zimbra\\.E6FB!tr")</t>
  </si>
  <si>
    <t xml:space="preserve">Zimbra Collaboration Mboximport Vulnerability (CVE-2022-27925, CVE-2022-37042) detected on a host</t>
  </si>
  <si>
    <t xml:space="preserve">https://filestore.fortinet.com/docs.fortinet.com/fsiem/Public_Resource_Access/7_6_0/rules/PH_RULE_ZimbraMboxImportVuln_Host.htm</t>
  </si>
  <si>
    <t xml:space="preserve">PH_RULE_ZimbraMboxImportVuln_Network</t>
  </si>
  <si>
    <t xml:space="preserve">Outbreak: Zimbra Collaboration Mboximport Vulnerability on Network</t>
  </si>
  <si>
    <t xml:space="preserve">FortiGate-ips-signature-51994
FortiProxy-ips-signature-51994
Group@PH_SYS_EVENT_FortiGate_AV_Detected</t>
  </si>
  <si>
    <t xml:space="preserve">ipsSignatureId IN (51994,10101477,10101326,10101454) AND (srcIpAddr IN (Group@PH_SYS_NETWORK_ENTERPRISE_INTERNAL_NET) OR (destIpAddr IN (Group@PH_SYS_NETWORK_ENTERPRISE_INTERNAL_NET) AND fwAction NOT IN ("deny","dropped","block","blocked","ban-ip","alert_deny")))</t>
  </si>
  <si>
    <t xml:space="preserve">Other: FortiGate-ips-signature-51994
Other: FortiProxy-ips-signature-51994
Event-type group (membership not published): Group@PH_SYS_EVENT_FortiGate_AV_Detected</t>
  </si>
  <si>
    <t xml:space="preserve">Zimbra Collaboration Mboximport Vulnerability (CVE-2022-27925, CVE-2022-37042) detected on network</t>
  </si>
  <si>
    <t xml:space="preserve">https://filestore.fortinet.com/docs.fortinet.com/fsiem/Public_Resource_Access/7_6_0/rules/PH_RULE_ZimbraMboxImportVuln_Network.htm</t>
  </si>
  <si>
    <t xml:space="preserve">PH_RULE_Zoho_ManageEngine_RCE_52571_Network</t>
  </si>
  <si>
    <t xml:space="preserve">Outbreak: Zoho ManageEngine RCE Vulnerability Detected on Network</t>
  </si>
  <si>
    <t xml:space="preserve">FortiGate-ips-signature-52571
FortiProxy-ips-signature-52571</t>
  </si>
  <si>
    <t xml:space="preserve">Other: FortiGate-ips-signature-52571
Other: FortiProxy-ips-signature-52571</t>
  </si>
  <si>
    <t xml:space="preserve">Zoho ManageEngine RCE Vulnerability detected (CVE-2022-47966) on network. Details: https://www.fortiguard.com/outbreak-alert/zoho-manageengine-rce</t>
  </si>
  <si>
    <t xml:space="preserve">https://filestore.fortinet.com/docs.fortinet.com/fsiem/Public_Resource_Access/7_6_0/rules/PH_RULE_Zoho_ManageEngine_RCE_52571_Network.htm</t>
  </si>
  <si>
    <t xml:space="preserve">PH_RULE_Zyxel_Multiple_Firewall_Vuln_CVE_2023_28771_Host</t>
  </si>
  <si>
    <t xml:space="preserve">Outbreak: Zyxel Multiple Firewall Vuln Detected on Host</t>
  </si>
  <si>
    <t xml:space="preserve">virusName IN ("BAT/Agent.1763!tr.dldr","Linux/Mirai.REAL!tr","Linux/Mirai.IZ1H9!tr","Linux/Agent.IZ1H9!tr.dldr","ELF/Zerobot.A!tr","ELF/Mirai.AE!tr")</t>
  </si>
  <si>
    <t xml:space="preserve">Zyxel Multiple Firewall Vulnerabilities detected (CVE-2023-28771,CVE-2023-33009,CVE-2023-33010) on host. Details: https://www.fortiguard.com/outbreak-alert/zyxel-multiple-firewall-vulnerabilities</t>
  </si>
  <si>
    <t xml:space="preserve">https://filestore.fortinet.com/docs.fortinet.com/fsiem/Public_Resource_Access/7_6_0/rules/PH_RULE_Zyxel_Multiple_Firewall_Vuln_CVE_2023_28771_Host.htm</t>
  </si>
  <si>
    <t xml:space="preserve">PH_RULE_Zyxel_Multiple_Firewall_Vuln_CVE_2023_28771_Network</t>
  </si>
  <si>
    <t xml:space="preserve">Outbreak: Zyxel Multiple Firewall Vuln Detected on Network</t>
  </si>
  <si>
    <t xml:space="preserve">FortiGate-ips-signature-53203
FortiProxy-ips-signature-53203
Group@PH_SYS_EVENT_FortiGate_AV_Detected</t>
  </si>
  <si>
    <t xml:space="preserve">ipsSignatureId IN (53203,10130044,10139968,10139972,10113511,7509801) AND (srcIpAddr IN (Group@PH_SYS_NETWORK_ENTERPRISE_INTERNAL_NET) OR (destIpAddr IN (Group@PH_SYS_NETWORK_ENTERPRISE_INTERNAL_NET) AND fwAction NOT IN ("deny","dropped","block","blocked","ban-ip","alert_deny")))</t>
  </si>
  <si>
    <t xml:space="preserve">Other: FortiGate-ips-signature-53203
Other: FortiProxy-ips-signature-53203
Event-type group (membership not published): Group@PH_SYS_EVENT_FortiGate_AV_Detected</t>
  </si>
  <si>
    <t xml:space="preserve">Zyxel Multiple Firewall Vulnerabilities detected (CVE-2023-28771,CVE-2023-33009,CVE-2023-33010) on network. Details: https://www.fortiguard.com/outbreak-alert/zyxel-multiple-firewall-vulnerabilities</t>
  </si>
  <si>
    <t xml:space="preserve">https://filestore.fortinet.com/docs.fortinet.com/fsiem/Public_Resource_Access/7_6_0/rules/PH_RULE_Zyxel_Multiple_Firewall_Vuln_CVE_2023_28771_Network.htm</t>
  </si>
  <si>
    <t xml:space="preserve">PH_RULE_Zyxel_Router_CVE_2017_18368_Network</t>
  </si>
  <si>
    <t xml:space="preserve">Outbreak: Zyxel Router Command Injection Attack Detected on Network</t>
  </si>
  <si>
    <t xml:space="preserve">FortiGate-ips-signature-43619
FortiProxy-ips-signature-43619</t>
  </si>
  <si>
    <t xml:space="preserve">Other: FortiGate-ips-signature-43619
Other: FortiProxy-ips-signature-43619</t>
  </si>
  <si>
    <t xml:space="preserve">Zyxel Router Command Injection Attack detected (CVE-2017-18368) on network. Details: https://www.fortiguard.com/outbreak-alert/zyxel-router-command-injection</t>
  </si>
  <si>
    <t xml:space="preserve">https://filestore.fortinet.com/docs.fortinet.com/fsiem/Public_Resource_Access/7_6_0/rules/PH_RULE_Zyxel_Router_CVE_2017_18368_Network.htm</t>
  </si>
  <si>
    <t xml:space="preserve">PH_Rule_Vuln_25C</t>
  </si>
  <si>
    <t xml:space="preserve">Permitted Traffic from Dragos Worldview Malware IP List</t>
  </si>
  <si>
    <t xml:space="preserve">DragosWorldview</t>
  </si>
  <si>
    <t xml:space="preserve">srcIpAddr IN (Group@PH_SYS_DRAGOSWORLDVIEW_BLOCKED_IP)</t>
  </si>
  <si>
    <t xml:space="preserve">Detects network traffic from Dragos Worldview Malware IP List</t>
  </si>
  <si>
    <t xml:space="preserve">https://filestore.fortinet.com/docs.fortinet.com/fsiem/Public_Resource_Access/7_6_0/rules/PH_RULE_FROM_DRAGOS_WORLDVIEW_MALWARE_IP.htm</t>
  </si>
  <si>
    <t xml:space="preserve">PH_Rule_TH_7</t>
  </si>
  <si>
    <t xml:space="preserve">PowerShell Downgrade Attack Detected</t>
  </si>
  <si>
    <t xml:space="preserve">Microsoft Windows Powershell Operational Logs via Windows Collector</t>
  </si>
  <si>
    <t xml:space="preserve">Win-PowerShell-400</t>
  </si>
  <si>
    <t xml:space="preserve">engineVersion REGEXP "^2.\d+" AND version NOT REGEXP "^2/\d+"</t>
  </si>
  <si>
    <t xml:space="preserve">engineVersion,version,reptDevName,reptDevIpAddr</t>
  </si>
  <si>
    <t xml:space="preserve">PowerShell Operational: Win-PowerShell-400</t>
  </si>
  <si>
    <t xml:space="preserve">Detects PowerShell downgrade attack by comparing the host version with the actually used engine version for 2.0. Ref: http://www.leeholmes.com/blog/2017/03/17/detecting-and-preventing-powershell-downgrade-attacks/. This rule requires collection of the Windows PowerShell Event Log via the Windows Collector.</t>
  </si>
  <si>
    <t xml:space="preserve">https://filestore.fortinet.com/docs.fortinet.com/fsiem/Public_Resource_Access/7_6_0/rules/PH_RULE_WIN_POWERSHELL_DOWNGRADE_ATTACK.htm</t>
  </si>
  <si>
    <t xml:space="preserve">PH_Rule_IPS_ADV_9</t>
  </si>
  <si>
    <t xml:space="preserve">Replay Exploit</t>
  </si>
  <si>
    <t xml:space="preserve">Group@PH_SYS_EVENT_ReplayExploit</t>
  </si>
  <si>
    <t xml:space="preserve">Event-type group (membership not published): Group@PH_SYS_EVENT_ReplayExploit</t>
  </si>
  <si>
    <t xml:space="preserve">Detects replay exploits</t>
  </si>
  <si>
    <t xml:space="preserve">https://filestore.fortinet.com/docs.fortinet.com/fsiem/Public_Resource_Access/7_6_0/rules/PH_RULE_REPLAY_ATTACK.htm</t>
  </si>
  <si>
    <t xml:space="preserve">PH_RULE_S1Singularity_CloudAlert_NewMaliciousThreatNotMitigated</t>
  </si>
  <si>
    <t xml:space="preserve">SentinelOne Cloud Alert: New Malicious Threat not Mitigated</t>
  </si>
  <si>
    <t xml:space="preserve">SentinelOne Singularity Activity API via HTTPS_ADVANCED</t>
  </si>
  <si>
    <t xml:space="preserve">SentinelOne-Singularity-Activity-4108</t>
  </si>
  <si>
    <t xml:space="preserve">malicious_threat</t>
  </si>
  <si>
    <t xml:space="preserve">procName,hostName,virusId,ipsConfidence,classifier,correlationId</t>
  </si>
  <si>
    <t xml:space="preserve">Other: SentinelOne-Singularity-Activity-4108</t>
  </si>
  <si>
    <t xml:space="preserve">This rule tracks SentinelOne Singularity activity event 4108 - New Malicious Threat Not Mitigated. A threat with a confidenceLevel (Attack Confidence) of malicious was detected but not yet mitigated. This is an alert generated by SentinelOne cloud which is similar to but distinct from event 19.</t>
  </si>
  <si>
    <t xml:space="preserve">https://filestore.fortinet.com/docs.fortinet.com/fsiem/Public_Resource_Access/7_6_0/rules/PH_RULE_S1Singularity_CloudAlert_NewMaliciousThreatNotMitigated.htm</t>
  </si>
  <si>
    <t xml:space="preserve">PH_RULE_S1Singularity_CloudAlert_NewSuspiciousThreatNotMitigated</t>
  </si>
  <si>
    <t xml:space="preserve">SentinelOne Cloud Alert: New Suspicious Threat not Mitigated</t>
  </si>
  <si>
    <t xml:space="preserve">SentinelOne-Singularity-Activity-4109</t>
  </si>
  <si>
    <t xml:space="preserve">suspicious_threat</t>
  </si>
  <si>
    <t xml:space="preserve">Other: SentinelOne-Singularity-Activity-4109</t>
  </si>
  <si>
    <t xml:space="preserve">This rule tracks SentinelOne Singularity activity event 4109 - New Suspicious Threat Not Mitigated. A threat with a confidenceLevel (Attack Confidence) of suspicious was detected but not yet mitigated. This is an alert generated by SentinelOne cloud which is similar to but distinct from event 4003.</t>
  </si>
  <si>
    <t xml:space="preserve">https://filestore.fortinet.com/docs.fortinet.com/fsiem/Public_Resource_Access/7_6_0/rules/PH_RULE_S1Singularity_CloudAlert_NewSuspiciousThreatNotMitigated.htm</t>
  </si>
  <si>
    <t xml:space="preserve">PH_RULE_S1Singularity_AnalystMarkedMaliciousThreatAsTruePositive</t>
  </si>
  <si>
    <t xml:space="preserve">SentinelOne: Analyst Marked Malicious Threat Verdict as True Positive</t>
  </si>
  <si>
    <t xml:space="preserve">SentinelOne-Singularity-Activity-2030</t>
  </si>
  <si>
    <t xml:space="preserve">ipsConfidence="malicious" AND status="true_positive"</t>
  </si>
  <si>
    <t xml:space="preserve">fileName,command,hostName,virusId,ipsConfidence,classifier,status,user</t>
  </si>
  <si>
    <t xml:space="preserve">Other: SentinelOne-Singularity-Activity-2030</t>
  </si>
  <si>
    <t xml:space="preserve">This rule tracks SentinelOne Singularity activity event 2030 - Analyst Verdict Changes. We are specifically looking for confidenceLevel (Attack Confidence) malicious threats which the analyst has marked as a true_positive.</t>
  </si>
  <si>
    <t xml:space="preserve">https://filestore.fortinet.com/docs.fortinet.com/fsiem/Public_Resource_Access/7_6_0/rules/PH_RULE_S1Singularity_AnalystMarkedMaliciousThreatAsTruePositive.htm</t>
  </si>
  <si>
    <t xml:space="preserve">PH_RULE_S1Singularity_NewMaliciousThreatNotMitigated</t>
  </si>
  <si>
    <t xml:space="preserve">SentinelOne: New Malicious Threat not Mitigated</t>
  </si>
  <si>
    <t xml:space="preserve">SentinelOne-Singularity-Activity-19</t>
  </si>
  <si>
    <t xml:space="preserve">fileName,command,hostName,virusId,ipsConfidence,classifier</t>
  </si>
  <si>
    <t xml:space="preserve">Other: SentinelOne-Singularity-Activity-19</t>
  </si>
  <si>
    <t xml:space="preserve">This rule tracks SentinelOne Singularity activity event 19 - New Malicious Threat Not Mitigated. A threat with a confidenceLevel (Attack Confidence) of malicious was detected but not yet mitigated.</t>
  </si>
  <si>
    <t xml:space="preserve">https://filestore.fortinet.com/docs.fortinet.com/fsiem/Public_Resource_Access/7_6_0/rules/PH_RULE_S1Singularity_NewMaliciousThreatNotMitigated.htm</t>
  </si>
  <si>
    <t xml:space="preserve">PH_RULE_S1Singularity_NewSuspiciousThreatNotMitigated</t>
  </si>
  <si>
    <t xml:space="preserve">SentinelOne: New Suspicious Threat not Mitigated</t>
  </si>
  <si>
    <t xml:space="preserve">SentinelOne-Singularity-Activity-4003</t>
  </si>
  <si>
    <t xml:space="preserve">Other: SentinelOne-Singularity-Activity-4003</t>
  </si>
  <si>
    <t xml:space="preserve">This rule tracks SentinelOne Singularity activity event 4003 - New Suspicious Threat Not Mitigated. A threat with a confidenceLevel (Attack Confidence) of suspicious was detected but not yet mitigated.</t>
  </si>
  <si>
    <t xml:space="preserve">https://filestore.fortinet.com/docs.fortinet.com/fsiem/Public_Resource_Access/7_6_0/rules/PH_RULE_S1Singularity_NewSuspiciousThreatNotMitigated.htm</t>
  </si>
  <si>
    <t xml:space="preserve">PH_RULE_S1Singularity_STAR_MarkedEventMalicious</t>
  </si>
  <si>
    <t xml:space="preserve">SentinelOne: STAR Response Marked Event as Malicious</t>
  </si>
  <si>
    <t xml:space="preserve">SentinelOne-Singularity-Activity-4104
SentinelOne-Singularity-Activity-4106</t>
  </si>
  <si>
    <t xml:space="preserve">fileName,hostName,virusId,ipsConfidence,classifier,correlationId</t>
  </si>
  <si>
    <t xml:space="preserve">Other: SentinelOne-Singularity-Activity-4104
Other: SentinelOne-Singularity-Activity-4106</t>
  </si>
  <si>
    <t xml:space="preserve">This rule tracks SentinelOne Singularity activity event 4104 (STAR Manual Response Marked Event As Malicious) and 4106 (STAR Active Response Marked Event As Malicious). Note: FortiSIEM parses the storyline ID as correlation ID which can be used for further inspection of the chain of events.</t>
  </si>
  <si>
    <t xml:space="preserve">https://filestore.fortinet.com/docs.fortinet.com/fsiem/Public_Resource_Access/7_6_0/rules/PH_RULE_S1Singularity_STAR_MarkedEventMalicious.htm</t>
  </si>
  <si>
    <t xml:space="preserve">PH_RULE_S1Singularity_STAR_MarkedEventSuspicious</t>
  </si>
  <si>
    <t xml:space="preserve">SentinelOne: STAR Response Marked Event as Suspicious</t>
  </si>
  <si>
    <t xml:space="preserve">SentinelOne-Singularity-Activity-4105
SentinelOne-Singularity-Activity-4107</t>
  </si>
  <si>
    <t xml:space="preserve">Other: SentinelOne-Singularity-Activity-4105
Other: SentinelOne-Singularity-Activity-4107</t>
  </si>
  <si>
    <t xml:space="preserve">This rule tracks SentinelOne Singularity activity event 4105 (STAR Manual Response Marked Event As Suspicious) and 4107 (STAR Active Response Marked Event As Suspicious). Note: FortiSIEM parses the storyline ID as correlation ID which can be used for further inspection of the chain of events.</t>
  </si>
  <si>
    <t xml:space="preserve">https://filestore.fortinet.com/docs.fortinet.com/fsiem/Public_Resource_Access/7_6_0/rules/PH_RULE_S1Singularity_STAR_MarkedEventSuspicious.htm</t>
  </si>
  <si>
    <t xml:space="preserve">PH_Rule_Access_57</t>
  </si>
  <si>
    <t xml:space="preserve">Successful VPN Logon From Outside My Country</t>
  </si>
  <si>
    <t xml:space="preserve">Group@PH_SYS_EVENT_VPNLogoff
Group@PH_SYS_EVENT_VPNLogonSuccess</t>
  </si>
  <si>
    <t xml:space="preserve">ASA-713049-SiteToSite-VPN-Logon-success
FortiGate-ipsec-phase2-up</t>
  </si>
  <si>
    <t xml:space="preserve">Event-type group (membership not published): Group@PH_SYS_EVENT_VPNLogonSuccess
Event-type group (membership not published): Group@PH_SYS_EVENT_VPNLogoff</t>
  </si>
  <si>
    <t xml:space="preserve">Detects VPN logon from outside my country. My Country is set to "United States" and may need to be changed for outside United States deployments</t>
  </si>
  <si>
    <t xml:space="preserve">https://filestore.fortinet.com/docs.fortinet.com/fsiem/Public_Resource_Access/7_6_0/rules/PH_RULE_VPN_LOGON_SUCCESS_OUTSIDE_COUNTRY.htm</t>
  </si>
  <si>
    <t xml:space="preserve">PH_Rule_Access_69</t>
  </si>
  <si>
    <t xml:space="preserve">Suspicious logon attempt</t>
  </si>
  <si>
    <t xml:space="preserve">AWS Security Hub via AWS_HUB_SDK
FortiDeceptor via Syslog</t>
  </si>
  <si>
    <t xml:space="preserve">Group@PH_SYS_EVENT_SuspiciousLogon</t>
  </si>
  <si>
    <t xml:space="preserve">SuspiciousLogon</t>
  </si>
  <si>
    <t xml:space="preserve">srcIpAddr, srcGeoCountry, reptDevIpAddr, reptDevName</t>
  </si>
  <si>
    <t xml:space="preserve">Event-type group (membership not published): Group@PH_SYS_EVENT_SuspiciousLogon</t>
  </si>
  <si>
    <t xml:space="preserve">Detects suspicious logon attempts that indicate policy violations, e.g. root logon to database servers, default passwords, attempts to bypass authentication, root logon over unencrypted protocols such as Telnet, ftp, anonymous logons etc.</t>
  </si>
  <si>
    <t xml:space="preserve">https://filestore.fortinet.com/docs.fortinet.com/fsiem/Public_Resource_Access/7_6_0/rules/PH_RULE_SUSPICIOUS_LOGON.htm</t>
  </si>
  <si>
    <t xml:space="preserve">PH_Rule_Scheduled_1</t>
  </si>
  <si>
    <t xml:space="preserve">Suspicious Logon Failure without successful login - Scheduled</t>
  </si>
  <si>
    <t xml:space="preserve">Office 365 via Management Activity API
Windows via OMI or Windows Collector
AWS CloudTrail via AWS_CLOUDTRAIL
Hillstone Firewall via Syslog
Sophos Firewall via Syslog
Juniper JunOS via Syslog
Pulse Secure via Syslog
Juniper SRX via Syslog
HP Procurve via Syslog
Juniper SSG via Syslog
WatchGuard via Syslog
VMware NSX via Syslog
FortiProxy via Syslog
FortiGate via Syslog
Cisco IOS via Syslog
Cisco ASA via Syslog
NetScaler via Syslog
FortiSIEM via Syslog
Riverbed via Syslog
BlueCoat via Syslog
FortiWeb via Syslog
IBM AIX via Syslog
SonicOS via Syslog
Linux via Syslog</t>
  </si>
  <si>
    <t xml:space="preserve">Group@PH_SYS_EVENT_Logon
Group@PH_SYS_EVENT_LogonFailure</t>
  </si>
  <si>
    <t xml:space="preserve">[FailedLogin] user NOT CONTAIN "$" AND user NOT CONTAIN "ANONYMOUS"
[SuccessLogin] user NOT CONTAIN "$" AND user NOT CONTAIN "ANONYMOUS"</t>
  </si>
  <si>
    <t xml:space="preserve">[FailedLogin] reptDevName,user
[SuccessLogin] reptDevName,user</t>
  </si>
  <si>
    <t xml:space="preserve">[FailedLogin] 
[SuccessLogin] </t>
  </si>
  <si>
    <t xml:space="preserve">FailedLogin.reptDevName = SuccessLogin.reptDevName AND FailedLogin.user = SuccessLogin.user</t>
  </si>
  <si>
    <t xml:space="preserve">Event-type group (membership not published): Group@PH_SYS_EVENT_LogonFailure
Event-type group (membership not published): Group@PH_SYS_EVENT_Logon</t>
  </si>
  <si>
    <t xml:space="preserve">Detects an unusual condition where a source failed to login to a host, but never logged back in within the past day</t>
  </si>
  <si>
    <t xml:space="preserve">https://filestore.fortinet.com/docs.fortinet.com/fsiem/Public_Resource_Access/7_6_0/rules/PH_RULE_SCH_SUSPICIOUS_LOGON_ATTEMPT.htm</t>
  </si>
  <si>
    <t xml:space="preserve">PH_Rule_Vuln_24C</t>
  </si>
  <si>
    <t xml:space="preserve">Traffic to Dragos Worldview Malware IP List</t>
  </si>
  <si>
    <t xml:space="preserve">Group@PH_SYS_EVENT_BiNetflowTraffic
Group@PH_SYS_EVENT_DenyNetTraffic
Group@PH_SYS_EVENT_NetflowTraffic
Group@PH_SYS_EVENT_PermitNetTraffic</t>
  </si>
  <si>
    <t xml:space="preserve">destIpAddr IN (Group@PH_SYS_DRAGOSWORLDVIEW_BLOCKED_IP)</t>
  </si>
  <si>
    <t xml:space="preserve">Event-type group (membership not published): Group@PH_SYS_EVENT_PermitNetTraffic
Event-type group (membership not published): Group@PH_SYS_EVENT_NetflowTraffic
Event-type group (membership not published): Group@PH_SYS_EVENT_BiNetflowTraffic
Event-type group (membership not published): Group@PH_SYS_EVENT_DenyNetTraffic</t>
  </si>
  <si>
    <t xml:space="preserve">Detects network traffic to Dragos Worldview Blocked IP List</t>
  </si>
  <si>
    <t xml:space="preserve">https://filestore.fortinet.com/docs.fortinet.com/fsiem/Public_Resource_Access/7_6_0/rules/PH_RULE_TO_DRAGOS_WORLDVIEW_MALWARE_IP.htm</t>
  </si>
  <si>
    <t xml:space="preserve">PH_Rule_PolicyViolation_9</t>
  </si>
  <si>
    <t xml:space="preserve">VNC traffic from Internet</t>
  </si>
  <si>
    <t xml:space="preserve">T1021.005, T1133, T1219</t>
  </si>
  <si>
    <t xml:space="preserve">VNC</t>
  </si>
  <si>
    <t xml:space="preserve">srcIpAddr NOT IN (Group@PH_SYS_NETWORK_ENTERPRISE_INTERNAL_NET) AND destIpAddr IN (Group@PH_SYS_NETWORK_ENTERPRISE_INTERNAL_NET) AND srcIpPort &gt;= 1024 AND ((destIpPort &gt;= 5800 AND destIpPort &lt;= 5820) OR (destIpPort &gt;= 5900 AND destIpPort &lt;= 5920) OR (destIpPort &gt;= 6000 AND destIpPort &lt;= 6020))</t>
  </si>
  <si>
    <t xml:space="preserve">Detects VNC from Internet, which is defined as anything outside the Internal network. Please make sure that the Internal network definition is correct to avoid false positives</t>
  </si>
  <si>
    <t xml:space="preserve">https://filestore.fortinet.com/docs.fortinet.com/fsiem/Public_Resource_Access/7_6_0/rules/PH_RULE_INBOUND_VNC.htm</t>
  </si>
  <si>
    <t xml:space="preserve">PH_Rule_windows_SIGMA_3027</t>
  </si>
  <si>
    <t xml:space="preserve">Windows: BaaUpdate.exe Suspicious DLL Load</t>
  </si>
  <si>
    <t xml:space="preserve">procName REGEXP "\\BaaUpdate\.exe$" AND loadedProcName REGEXP "\.dll$" AND loadedProcName REGEXP ":\\Perflogs\\|:\\Users\\Default\\|:\\Users\\Public\\|:\\Windows\\Temp\\|\\AppData\\Local\\Temp\\|\\AppData\\Roaming\\|\\Contacts\\|\\Favorites\\|\\Favourites\\|\\Links\\|\\Music\\|\\Pictures\\|\\ProgramData\\|\\Temporary Internet|\\Videos\\"</t>
  </si>
  <si>
    <t xml:space="preserve">Detects BitLocker Access Agent Update Utility (baaupdate.exe) loading DLLs from suspicious locations that are publicly writable which could indicate an attempt to lateral movement via BitLocker DCOM &amp; COM Hijacking. This technique abuses COM Classes configured as INTERACTIVE USER to spawn processes in the context of the logged-on user's session. Specifically, it targets the BDEUILauncher Class (CLSID ab93b6f1-be76-4185-a488-a9001b105b94) which can launch BaaUpdate.exe, which is vulnerable to COM Hijacking when started with input parameters. This allows attackers to execute code in the user's context without needing to steal credentials or use additional techniques to compromise the account. . This rule is adapted from https://github.com/SigmaHQ/sigma/blob/master/rules/windows/image_load/image_load_susp_baaupdate_dll_load.yml</t>
  </si>
  <si>
    <t xml:space="preserve">https://filestore.fortinet.com/docs.fortinet.com/fsiem/Public_Resource_Access/7_6_0/rules/PH_RULE_BaaUpdate_exe_Suspicious_DLL_Load.htm</t>
  </si>
  <si>
    <t xml:space="preserve">PH_Rule_windows_SIGMA_3436</t>
  </si>
  <si>
    <t xml:space="preserve">Windows: Certificate Exported Via PowerShell</t>
  </si>
  <si>
    <t xml:space="preserve">command REGEXP "Export-Certificate |Export-PfxCertificate "</t>
  </si>
  <si>
    <t xml:space="preserve">Detects calls to cmdlets that are used to export certificates from the local certificate store. Threat actors were seen abusing this to steal private keys from compromised machines.. This rule is adapted from https://github.com/SigmaHQ/sigma/blob/master/rules/windows/process_creation/proc_creation_win_powershell_export_certificate.yml</t>
  </si>
  <si>
    <t xml:space="preserve">https://filestore.fortinet.com/docs.fortinet.com/fsiem/Public_Resource_Access/7_6_0/rules/PH_RULE_Certificate_Exported_Via_PowerShell.htm</t>
  </si>
  <si>
    <t xml:space="preserve">PH_Rule_windows_SIGMA_3158</t>
  </si>
  <si>
    <t xml:space="preserve">Windows: Certificate Exported Via PowerShell - ScriptBlock</t>
  </si>
  <si>
    <t xml:space="preserve">script REGEXP "Export-Certificate|Export-PfxCertificate" AND script NOT REGEXP "CmdletsToExport = @\("</t>
  </si>
  <si>
    <t xml:space="preserve">Detects calls to cmdlets inside of PowerShell scripts that are used to export certificates from the local certificate store. Threat actors were seen abusing this to steal private keys from compromised machines.. This rule is adapted from https://github.com/SigmaHQ/sigma/blob/master/rules/windows/powershell/powershell_script/posh_ps_export_certificate.yml</t>
  </si>
  <si>
    <t xml:space="preserve">https://filestore.fortinet.com/docs.fortinet.com/fsiem/Public_Resource_Access/7_6_0/rules/PH_RULE_Certificate_Exported_Via_PowerShell_ScriptBlock.htm</t>
  </si>
  <si>
    <t xml:space="preserve">PH_Rule_windows_SIGMA_2917</t>
  </si>
  <si>
    <t xml:space="preserve">Windows: DNS Query Request By QuickAssist.EXE</t>
  </si>
  <si>
    <t xml:space="preserve">procName REGEXP "\\QuickAssist\.exe$" AND queryId REGEXP "remoteassistance\.support\.services\.microsoft\.com$"</t>
  </si>
  <si>
    <t xml:space="preserve">Detects DNS queries initiated by "QuickAssist.exe" to Microsoft Quick Assist primary endpoint that is used to establish a session. . This rule is adapted from https://github.com/SigmaHQ/sigma/blob/master/rules/windows/dns_query/dns_query_win_quickassist.yml</t>
  </si>
  <si>
    <t xml:space="preserve">https://filestore.fortinet.com/docs.fortinet.com/fsiem/Public_Resource_Access/7_6_0/rules/PH_RULE_DNS_Query_Request_By_QuickAssist_EXE.htm</t>
  </si>
  <si>
    <t xml:space="preserve">PH_Rule_windows_SIGMA_2971</t>
  </si>
  <si>
    <t xml:space="preserve">Windows: DPAPI Backup Keys And Certificate Export Activity IOC</t>
  </si>
  <si>
    <t xml:space="preserve">fileName REGEXP "ntds_capi_|ntds_legacy_|ntds_unknown_" AND fileName REGEXP "\.cer$|\.key$|\.pfx$|\.pvk$"</t>
  </si>
  <si>
    <t xml:space="preserve">Detects file names with specific patterns seen generated and used by tools such as Mimikatz and DSInternals related to exported or stolen DPAPI backup keys and certificates. . This rule is adapted from https://github.com/SigmaHQ/sigma/blob/master/rules/windows/file/file_event/file_event_win_susp_dpapi_backup_and_cert_export_ioc.yml</t>
  </si>
  <si>
    <t xml:space="preserve">https://filestore.fortinet.com/docs.fortinet.com/fsiem/Public_Resource_Access/7_6_0/rules/PH_RULE_DPAPI_Backup_Keys_And_Certificate_Export_Activity_IOC.htm</t>
  </si>
  <si>
    <t xml:space="preserve">PH_Rule_windows_SIGMA_3154</t>
  </si>
  <si>
    <t xml:space="preserve">Windows: Enable Windows Remote Management</t>
  </si>
  <si>
    <t xml:space="preserve">T1021.006</t>
  </si>
  <si>
    <t xml:space="preserve">script REGEXP "Enable-PSRemoting "</t>
  </si>
  <si>
    <t xml:space="preserve">Adversaries may use Valid Accounts to interact with remote systems using Windows Remote Management (WinRM). The adversary may then perform actions as the logged-on user.. This rule is adapted from https://github.com/SigmaHQ/sigma/blob/master/rules/windows/powershell/powershell_script/posh_ps_enable_psremoting.yml</t>
  </si>
  <si>
    <t xml:space="preserve">https://filestore.fortinet.com/docs.fortinet.com/fsiem/Public_Resource_Access/7_6_0/rules/PH_RULE_Enable_Windows_Remote_Management.htm</t>
  </si>
  <si>
    <t xml:space="preserve">PH_Rule_windows_SIGMA_3172</t>
  </si>
  <si>
    <t xml:space="preserve">Windows: Execute Invoke-command on Remote Host</t>
  </si>
  <si>
    <t xml:space="preserve">script REGEXP "invoke-command " AND script REGEXP " -ComputerName "</t>
  </si>
  <si>
    <t xml:space="preserve">Adversaries may use Valid Accounts to interact with remote systems using Windows Remote Management (WinRM). The adversary may then perform actions as the logged-on user.. This rule is adapted from https://github.com/SigmaHQ/sigma/blob/master/rules/windows/powershell/powershell_script/posh_ps_invoke_command_remote.yml</t>
  </si>
  <si>
    <t xml:space="preserve">https://filestore.fortinet.com/docs.fortinet.com/fsiem/Public_Resource_Access/7_6_0/rules/PH_RULE_Execute_Invoke_command_on_Remote_Host.htm</t>
  </si>
  <si>
    <t xml:space="preserve">PH_Rule_windows_SIGMA_3227</t>
  </si>
  <si>
    <t xml:space="preserve">Windows: Extracting Information with PowerShell</t>
  </si>
  <si>
    <t xml:space="preserve">script REGEXP "ls" AND script REGEXP " -R" AND script REGEXP "select-string " AND script REGEXP "-Pattern "</t>
  </si>
  <si>
    <t xml:space="preserve">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 This rule is adapted from https://github.com/SigmaHQ/sigma/blob/master/rules/windows/powershell/powershell_script/posh_ps_susp_extracting.yml</t>
  </si>
  <si>
    <t xml:space="preserve">https://filestore.fortinet.com/docs.fortinet.com/fsiem/Public_Resource_Access/7_6_0/rules/PH_RULE_Extracting_Information_with_PowerShell.htm</t>
  </si>
  <si>
    <t xml:space="preserve">PH_Rule_windows_SIGMA_3067</t>
  </si>
  <si>
    <t xml:space="preserve">Windows: HackTool - Credential Dumping Tools Named Pipe Created</t>
  </si>
  <si>
    <t xml:space="preserve">vpnTunnelName REGEXP "\\cachedump|\\lsadump|\\wceservicepipe"</t>
  </si>
  <si>
    <t xml:space="preserve">hostName,vpnTunnelName</t>
  </si>
  <si>
    <t xml:space="preserve">Detects well-known credential dumping tools execution via specific named pipe creation. This rule is adapted from https://github.com/SigmaHQ/sigma/blob/master/rules/windows/pipe_created/pipe_created_hktl_generic_cred_dump_tools_pipes.yml</t>
  </si>
  <si>
    <t xml:space="preserve">https://filestore.fortinet.com/docs.fortinet.com/fsiem/Public_Resource_Access/7_6_0/rules/PH_RULE_HackTool_Credential_Dumping_Tools_Named_Pipe_Created.htm</t>
  </si>
  <si>
    <t xml:space="preserve">PH_Rule_windows_SIGMA_3369</t>
  </si>
  <si>
    <t xml:space="preserve">Windows: HackTool - Doppelanger LSASS Dumper Execution</t>
  </si>
  <si>
    <t xml:space="preserve">(procName REGEXP "\\Doppelganger\.exe$" OR hashCode REGEXP "IMPHASH=65F0EA61156EE0C2A35421926F0C7F78|IMPHASH=AB94D5217896ADCD765A06B2D52F0AEB")</t>
  </si>
  <si>
    <t xml:space="preserve">hashCode,hostName,procName</t>
  </si>
  <si>
    <t xml:space="preserve">Detects the execution of the Doppelanger hacktool which is used to dump LSASS memory via process cloning while evading common detection methods. This rule is adapted from https://github.com/SigmaHQ/sigma/blob/master/rules/windows/process_creation/proc_creation_win_hktl_doppelganger.yml</t>
  </si>
  <si>
    <t xml:space="preserve">https://filestore.fortinet.com/docs.fortinet.com/fsiem/Public_Resource_Access/7_6_0/rules/PH_RULE_HackTool_Doppelanger_LSASS_Dumper_Execution.htm</t>
  </si>
  <si>
    <t xml:space="preserve">PH_Rule_windows_SIGMA_3285</t>
  </si>
  <si>
    <t xml:space="preserve">Windows: HackTool - Generic Process Access</t>
  </si>
  <si>
    <t xml:space="preserve">(procName REGEXP "\\Akagi64\.exe$|\\Akagi\.exe$|\\Certify\.exe$|\\Certipy\.exe$|\\CoercedPotato\.exe$|\\CreateMiniDump\.exe$|\\GetADUsers_windows\.exe$|\\GetNPUsers_windows\.exe$|\\GetUserSPNs_windows\.exe$|\\Inveigh\.exe$|\\LocalPotato\.exe$|\\PasswordDump\.exe$|\\Potato\.exe$|\\PowerTool64\.exe$|\\PowerTool\.exe$|\\PurpleSharp\.exe$|\\QuarksPwDump\.exe$|\\Rubeus\.exe$|\\SafetyKatz\.exe$|\\SelectMyParent\.exe$|\\SharPersist\.exe$|\\SharpChisel\.exe$|\\SharpEvtMute\.exe$|\\SharpImpersonation\.exe$|\\SharpLDAPmonitor\.exe$|\\SharpLdapWhoami\.exe$|\\SharpUp\.exe$|\\SharpView\.exe$|\\SpoolSample\.exe$|\\Stracciatella\.exe$|\\SysmonEOP\.exe$|\\TruffleSnout\.exe$|\\atexec_windows\.exe$|\\crackmapexec\.exe$|\\dcomexec_windows\.exe$|\\dpapi_windows\.exe$|\\findDelegation_windows\.exe$|\\getPac_windows\.exe$|\\getST_windows\.exe$|\\getTGT_windows\.exe$|\\gmer\.exe$|\\hashcat\.exe$|\\htran\.exe$|\\ifmap_windows\.exe$|\\impersonate\.exe$|\\mimikatz\.exe$|\\mimikatz_windows\.exe$|\\netview_windows\.exe$|\\nmapAnswerMachine_windows\.exe$|\\opdump_windows\.exe$|\\psexec_windows\.exe$|\\pypykatz\.exe$|\\rdp_check_windows\.exe$|\\sambaPipe_windows\.exe$|\\smbclient_windows\.exe$|\\smbserver_windows\.exe$|\\sniff_windows\.exe$|\\sniffer_windows\.exe$|\\split_windows\.exe$|\\temp\\rot\.exe$|\\ticketer_windows\.exe$|\\winPEASany\.exe$|\\winPEASany_ofs\.exe$|\\winPEASx64\.exe$|\\winPEASx64_ofs\.exe$|\\winPEASx86\.exe$|\\winPEASx86_ofs\.exe$|\\xordump\.exe$" OR procName REGEXP "HotPotato|Juicy Potato|JuicyPotato|PetitPotam|RottenPotato|\\LocalPotato|\\goldenPac|\\just_dce_|\\karmaSMB|\\kintercept|\\ntlmrelayx|\\rpcdump|\\samrdump|\\secretsdump|\\smbexec|\\smbrelayx|\\wmiexec|\\wmipersist")</t>
  </si>
  <si>
    <t xml:space="preserve">Detects process access requests from hacktool processes based on their default image name. This rule is adapted from https://github.com/SigmaHQ/sigma/blob/master/rules/windows/process_access/proc_access_win_hktl_generic_access.yml</t>
  </si>
  <si>
    <t xml:space="preserve">https://filestore.fortinet.com/docs.fortinet.com/fsiem/Public_Resource_Access/7_6_0/rules/PH_RULE_HackTool_Generic_Process_Access.htm</t>
  </si>
  <si>
    <t xml:space="preserve">PH_Rule_windows_SIGMA_2958</t>
  </si>
  <si>
    <t xml:space="preserve">Windows: HackTool - Impacket File Indicators</t>
  </si>
  <si>
    <t xml:space="preserve">fileName REGEXP "\\sessionresume_[a-zA-Z]{8}$"</t>
  </si>
  <si>
    <t xml:space="preserve">Detects file creation events with filename patterns used by Impacket.. This rule is adapted from https://github.com/SigmaHQ/sigma/blob/master/rules/windows/file/file_event/file_event_win_impacket_file_indicators.yml</t>
  </si>
  <si>
    <t xml:space="preserve">https://filestore.fortinet.com/docs.fortinet.com/fsiem/Public_Resource_Access/7_6_0/rules/PH_RULE_HackTool_Impacket_File_Indicators.htm</t>
  </si>
  <si>
    <t xml:space="preserve">PH_Rule_windows_SIGMA_3068</t>
  </si>
  <si>
    <t xml:space="preserve">Windows: HackTool - Koh Default Named Pipe</t>
  </si>
  <si>
    <t xml:space="preserve">vpnTunnelName REGEXP "\\imposecost|\\imposingcost"</t>
  </si>
  <si>
    <t xml:space="preserve">Detects creation of default named pipes used by the Koh tool. This rule is adapted from https://github.com/SigmaHQ/sigma/blob/master/rules/windows/pipe_created/pipe_created_hktl_koh_default_pipe.yml</t>
  </si>
  <si>
    <t xml:space="preserve">https://filestore.fortinet.com/docs.fortinet.com/fsiem/Public_Resource_Access/7_6_0/rules/PH_RULE_HackTool_Koh_Default_Named_Pipe.htm</t>
  </si>
  <si>
    <t xml:space="preserve">PH_Rule_windows_SIGMA_3378</t>
  </si>
  <si>
    <t xml:space="preserve">Windows: HackTool - SharpMove Tool Execution</t>
  </si>
  <si>
    <t xml:space="preserve">(procName REGEXP "\\SharpMove\.exe$" OR srcFileName="SharpMove.exe" OR (command REGEXP "computername=" AND command REGEXP "action=create|action=dcom|action=executevbs|action=hijackdcom|action=modschtask|action=modsvc|action=query|action=scm|action=startservice|action=taskscheduler"))</t>
  </si>
  <si>
    <t xml:space="preserve">Detects the execution of SharpMove, a .NET utility performing multiple tasks such as "Task Creation", "SCM" query, VBScript execution using WMI via its PE metadata and command line options. . This rule is adapted from https://github.com/SigmaHQ/sigma/blob/master/rules/windows/process_creation/proc_creation_win_hktl_sharpmove.yml</t>
  </si>
  <si>
    <t xml:space="preserve">https://filestore.fortinet.com/docs.fortinet.com/fsiem/Public_Resource_Access/7_6_0/rules/PH_RULE_HackTool_SharpMove_Tool_Execution.htm</t>
  </si>
  <si>
    <t xml:space="preserve">PH_Rule_windows_SIGMA_3381</t>
  </si>
  <si>
    <t xml:space="preserve">Windows: HackTool - SharpWSUS/WSUSpendu Execution</t>
  </si>
  <si>
    <t xml:space="preserve">((command REGEXP " -Inject " AND command REGEXP " -PayloadArgs | -PayloadFile ") OR (command REGEXP " approve | check | create | delete " AND command REGEXP " /payload:| /payload=| /updateid:| /updateid="))</t>
  </si>
  <si>
    <t xml:space="preserve">Detects the execution of SharpWSUS or WSUSpendu, utilities that allow for lateral movement through WSUS. Windows Server Update Services (WSUS) is a critical component of Windows systems and is frequently configured in a way that allows an attacker to circumvent internal networking limitations. . This rule is adapted from https://github.com/SigmaHQ/sigma/blob/master/rules/windows/process_creation/proc_creation_win_hktl_sharpwsus_wsuspendu_execution.yml</t>
  </si>
  <si>
    <t xml:space="preserve">https://filestore.fortinet.com/docs.fortinet.com/fsiem/Public_Resource_Access/7_6_0/rules/PH_RULE_HackTool_SharpWSUS_WSUSpendu_Execution.htm</t>
  </si>
  <si>
    <t xml:space="preserve">PH_Rule_SIGMA_2344</t>
  </si>
  <si>
    <t xml:space="preserve">Windows: HackTool - SysmonEOP Execution</t>
  </si>
  <si>
    <t xml:space="preserve">(procName REGEXP "\\SysmonEOP\.exe$" OR hashIMP IN ("22F4089EB8ABA31E1BB162C6D9BF72E5","5123FA4C4384D431CD0D893EEB49BBEC"))</t>
  </si>
  <si>
    <t xml:space="preserve">Detects the execution of the PoC that can be used to exploit Sysmon CVE-2022-41120. This rule is adapted from https://github.com/SigmaHQ/sigma/blob/master/rules/windows/process_creation/proc_creation_win_hktl_sysmoneop.yml</t>
  </si>
  <si>
    <t xml:space="preserve">https://filestore.fortinet.com/docs.fortinet.com/fsiem/Public_Resource_Access/7_6_0/rules/PH_RULE_HackTool_SysmonEOP_Execution.htm</t>
  </si>
  <si>
    <t xml:space="preserve">PH_Rule_windows_SIGMA_3384</t>
  </si>
  <si>
    <t xml:space="preserve">Windows: HackTool - WSASS Execution</t>
  </si>
  <si>
    <t xml:space="preserve">(procName REGEXP "\\wsass\.exe$" OR hashCode REGEXP "IMPHASH=32F5095C9BBDCACF28FD4060EB4DFC42" OR command REGEXP "(?i)\.exe[\"\']?\s+[^\"]{0,64}werfaultsecure\.exe[\"\']?\s+\d{2,10}")</t>
  </si>
  <si>
    <t xml:space="preserve">command,hashCode,hostName,procName</t>
  </si>
  <si>
    <t xml:space="preserve">Detects execution of WSASS, a tool used to dump LSASS memory on Windows systems by leveraging WER's (Windows Error Reporting) WerFaultSecure.EXE to bypass PPL (Protected Process Light) protections. . This rule is adapted from https://github.com/SigmaHQ/sigma/blob/master/rules/windows/process_creation/proc_creation_win_hktl_wsass.yml</t>
  </si>
  <si>
    <t xml:space="preserve">https://filestore.fortinet.com/docs.fortinet.com/fsiem/Public_Resource_Access/7_6_0/rules/PH_RULE_HackTool_WSASS_Execution.htm</t>
  </si>
  <si>
    <t xml:space="preserve">PH_Rule_windows_SIGMA_2872</t>
  </si>
  <si>
    <t xml:space="preserve">Windows: LSASS Access Detected via Attack Surface Reduction</t>
  </si>
  <si>
    <t xml:space="preserve">Microsoft Windows via Windows Collector
[Corrected: Fortinet docs label this rule "CyberArk Enterprise Password Vault via Syslog"; source derived from its event types]</t>
  </si>
  <si>
    <t xml:space="preserve">Win-WindowsDefender-1121</t>
  </si>
  <si>
    <t xml:space="preserve">procPath REGEXP "\\lsass\.exe$" AND (procName NOT REGEXP "^C:\\Windows\\Temp\\asgard2-agent\\" OR procName NOT REGEXP "\\thor64\.exe$|\\thor\.exe$") AND procName NOT IN ("C:\\Windows\\SysWOW64\\msiexec.exe","C:\\Windows\\System32\\CompatTelRunner.exe","C:\\Windows\\System32\\Taskmgr.exe","C:\\Windows\\System32\\atiesrxx.exe","C:\\Windows\\System32\\msiexec.exe","C:\\Windows\\System32\\nvwmi64.exe","C:\\Windows\\System32\\svchost.exe","C:\\Windows\\System32\\wbem\\WmiPrvSE.exe") AND procName NOT REGEXP "^C:\\Program Files \(x86\)\\|^C:\\Program Files\\|^C:\\WINDOWS\\Installer\\|^C:\\Windows\\System32\\DriverStore\\"</t>
  </si>
  <si>
    <t xml:space="preserve">hostName,procName,procPath</t>
  </si>
  <si>
    <t xml:space="preserve">Other Windows log: WindowsDefender</t>
  </si>
  <si>
    <t xml:space="preserve">Detects Access to LSASS Process. This rule is adapted from https://github.com/SigmaHQ/sigma/blob/master/rules/windows/builtin/windefend/win_defender_asr_lsass_access.yml</t>
  </si>
  <si>
    <t xml:space="preserve">https://filestore.fortinet.com/docs.fortinet.com/fsiem/Public_Resource_Access/7_6_0/rules/PH_RULE_LSASS_Access_Detected_via_Attack_Surface_Reduction.htm</t>
  </si>
  <si>
    <t xml:space="preserve">PH_Rule_windows_SIGMA_3546</t>
  </si>
  <si>
    <t xml:space="preserve">Windows: LSASS Dump Keyword In CommandLine</t>
  </si>
  <si>
    <t xml:space="preserve">(command REGEXP "Andrew\.dmp|Coredump\.dmp|NotLSASS\.zip|lsass\.dmp|lsass\.rar|lsass\.zip|lsass_2|lsassdmp|lsassdump" OR (command REGEXP "lsass" AND command REGEXP "\.dmp") OR (command REGEXP "SQLDmpr" AND command REGEXP "\.mdmp") OR (command REGEXP "nanodump" AND command REGEXP "\.dmp"))</t>
  </si>
  <si>
    <t xml:space="preserve">Detects the presence of the keywords "lsass" and ".dmp" in the commandline, which could indicate a potential attempt to dump or create a dump of the lsass process. . This rule is adapted from https://github.com/SigmaHQ/sigma/blob/master/rules/windows/process_creation/proc_creation_win_susp_lsass_dmp_cli_keywords.yml</t>
  </si>
  <si>
    <t xml:space="preserve">https://filestore.fortinet.com/docs.fortinet.com/fsiem/Public_Resource_Access/7_6_0/rules/PH_RULE_LSASS_Dump_Keyword_In_CommandLine.htm</t>
  </si>
  <si>
    <t xml:space="preserve">PH_Rule_windows_SIGMA_3716</t>
  </si>
  <si>
    <t xml:space="preserve">Windows: Lsass Full Dump Request Via DumpType Registry Settings</t>
  </si>
  <si>
    <t xml:space="preserve">regKeyPath REGEXP "\\SOFTWARE\\Microsoft\\Windows\\Windows Error Reporting\\LocalDumps\\DumpType|\\SOFTWARE\\Microsoft\\Windows\\Windows Error Reporting\\LocalDumps\\lsass\.exe\\DumpType" AND details="DWORD (0x00000002)"</t>
  </si>
  <si>
    <t xml:space="preserve">Detects the setting of the "DumpType" registry value to "2" which stands for a "Full Dump". Technique such as LSASS Shtinkering requires this value to be "2" in order to dump LSASS.. This rule is adapted from https://github.com/SigmaHQ/sigma/blob/master/rules/windows/registry/registry_set/registry_set_lsass_usermode_dumping.yml</t>
  </si>
  <si>
    <t xml:space="preserve">https://filestore.fortinet.com/docs.fortinet.com/fsiem/Public_Resource_Access/7_6_0/rules/PH_RULE_Lsass_Full_Dump_Request_Via_DumpType_Registry_Settings.htm</t>
  </si>
  <si>
    <t xml:space="preserve">PH_Rule_windows_SIGMA_2776</t>
  </si>
  <si>
    <t xml:space="preserve">Windows: LSASS Process Crashed - Application</t>
  </si>
  <si>
    <t xml:space="preserve">Microsoft Windows Application Log via OMI or Windows Collector
[Corrected: Fortinet docs label this rule "CyberArk Enterprise Password Vault via Syslog"; source derived from its event types]</t>
  </si>
  <si>
    <t xml:space="preserve">Win-App-Application-Error-1000</t>
  </si>
  <si>
    <t xml:space="preserve">appName="lsass.exe" AND errorCode="c0000001"</t>
  </si>
  <si>
    <t xml:space="preserve">appName,errorCode,hostName</t>
  </si>
  <si>
    <t xml:space="preserve">Detects Windows error reporting events where the process that crashed is LSASS (Local Security Authority Subsystem Service). This could be the cause of a provoked crash by techniques such as Lsass-Shtinkering to dump credentials. . This rule is adapted from https://github.com/SigmaHQ/sigma/blob/master/rules/windows/builtin/application/application_error/win_application_error_lsass_crash.yml</t>
  </si>
  <si>
    <t xml:space="preserve">https://filestore.fortinet.com/docs.fortinet.com/fsiem/Public_Resource_Access/7_6_0/rules/PH_RULE_LSASS_Process_Crashed_Application.htm</t>
  </si>
  <si>
    <t xml:space="preserve">PH_Rule_windows_SIGMA_2985</t>
  </si>
  <si>
    <t xml:space="preserve">Windows: LSASS Process Memory Dump Creation Via Taskmgr.EXE</t>
  </si>
  <si>
    <t xml:space="preserve">procName REGEXP ":\\Windows\\SysWOW64\\taskmgr\.exe$|:\\Windows\\system32\\taskmgr\.exe$" AND fileName REGEXP "\\AppData\\Local\\Temp\\" AND fileName REGEXP "\\lsass" AND fileName REGEXP "\.DMP"</t>
  </si>
  <si>
    <t xml:space="preserve">Detects the creation of an "lsass.dmp" file by the taskmgr process. This indicates a manual dumping of the LSASS.exe process memory using Windows Task Manager.. This rule is adapted from https://github.com/SigmaHQ/sigma/blob/master/rules/windows/file/file_event/file_event_win_taskmgr_lsass_dump.yml</t>
  </si>
  <si>
    <t xml:space="preserve">https://filestore.fortinet.com/docs.fortinet.com/fsiem/Public_Resource_Access/7_6_0/rules/PH_RULE_LSASS_Process_Memory_Dump_Creation_Via_Taskmgr_EXE.htm</t>
  </si>
  <si>
    <t xml:space="preserve">PH_Rule_windows_SIGMA_2774</t>
  </si>
  <si>
    <t xml:space="preserve">Windows: Mimikatz Use</t>
  </si>
  <si>
    <t xml:space="preserve">NOT:Win-Sysmon-15-</t>
  </si>
  <si>
    <t xml:space="preserve">(rawEventMsg CONTAIN "dpapi::masterkey" OR rawEventMsg CONTAIN "eo.oe.kiwi" OR rawEventMsg CONTAIN "event::clear" OR rawEventMsg CONTAIN "event::drop" OR rawEventMsg CONTAIN "gentilkiwi.com" OR rawEventMsg CONTAIN "kerberos::golden" OR rawEventMsg CONTAIN "kerberos::ptc" OR rawEventMsg CONTAIN "kerberos::ptt" OR rawEventMsg CONTAIN "kerberos::tgt" OR rawEventMsg CONTAIN "Kiwi Legit Printer" OR rawEventMsg CONTAIN "lsadump::" OR rawEventMsg CONTAIN "mimidrv.sys" OR rawEventMsg CONTAIN "\mimilib.dll" OR rawEventMsg CONTAIN "misc::printnightmare" OR rawEventMsg CONTAIN "misc::shadowcopies" OR rawEventMsg CONTAIN "misc::skeleton" OR rawEventMsg CONTAIN "privilege::backup" OR rawEventMsg CONTAIN "privilege::debug" OR rawEventMsg CONTAIN "privilege::driver" OR rawEventMsg CONTAIN "sekurlsa::")</t>
  </si>
  <si>
    <t xml:space="preserve">This method detects mimikatz keywords in different Eventlogs (some of them only appear in older Mimikatz version that are however still used by different threat groups). This rule is adapted from https://github.com/SigmaHQ/sigma/blob/master/rules/windows/builtin/win_alert_mimikatz_keywords.yml</t>
  </si>
  <si>
    <t xml:space="preserve">https://filestore.fortinet.com/docs.fortinet.com/fsiem/Public_Resource_Access/7_6_0/rules/PH_RULE_Mimikatz_Use.htm</t>
  </si>
  <si>
    <t xml:space="preserve">PH_Rule_SIGMA_458</t>
  </si>
  <si>
    <t xml:space="preserve">Windows: MMC Spawning Windows Shell</t>
  </si>
  <si>
    <t xml:space="preserve">parentProcName REGEXP "\\mmc\.exe$" AND (procName REGEXP "\\bash\.exe$|\\cmd\.exe$|\\cscript\.exe$|\\powershell\.exe$|\\pwsh\.exe$|\\reg\.exe$|\\regsvr32\.exe$|\\sh\.exe$|\\wscript\.exe$" OR procName REGEXP ".*\\BITSADMIN.*")</t>
  </si>
  <si>
    <t xml:space="preserve">Detects a Windows command line executable started from MMC. This rule is adapted from https://github.com/SigmaHQ/sigma/blob/master/rules/windows/process_creation/proc_creation_win_mmc_susp_child_process.yml</t>
  </si>
  <si>
    <t xml:space="preserve">https://filestore.fortinet.com/docs.fortinet.com/fsiem/Public_Resource_Access/7_6_0/rules/PH_RULE_MMC_Spawning_Windows_Shell.htm</t>
  </si>
  <si>
    <t xml:space="preserve">PH_Rule_SIGMA_273</t>
  </si>
  <si>
    <t xml:space="preserve">Windows: MMC20 Lateral Movement</t>
  </si>
  <si>
    <t xml:space="preserve">parentProcName REGEXP "\\svchost\.exe$" AND procName REGEXP "\\mmc\.exe$" AND command REGEXP ".*-Embedding.*"</t>
  </si>
  <si>
    <t xml:space="preserve">Detects MMC20.Application Lateral Movement; specifically looks for the spawning of the parent MMC.exe with a command line of "-Embedding" as a child of svchost.exe. This rule is adapted from https://github.com/SigmaHQ/sigma/blob/master/rules/windows/process_creation/proc_creation_win_mmc_mmc20_lateral_movement.yml</t>
  </si>
  <si>
    <t xml:space="preserve">https://filestore.fortinet.com/docs.fortinet.com/fsiem/Public_Resource_Access/7_6_0/rules/PH_RULE_MMC20_Lateral_Movement.htm</t>
  </si>
  <si>
    <t xml:space="preserve">PH_Rule_SIGMA_1439</t>
  </si>
  <si>
    <t xml:space="preserve">Windows: New Remote Desktop Connection Initiated Via Mstsc.EXE</t>
  </si>
  <si>
    <t xml:space="preserve">(procName REGEXP "\\mstsc\.exe$" OR srcFileName="mstsc.exe") AND (command REGEXP " -v:" OR command REGEXP " /v:") AND (parentProcName!="C:\\Windows\\System32\\lxss\\wslhost.exe" OR command NOT REGEXP "C:\\ProgramData\\Microsoft\\WSL\\wslg\.rdp")</t>
  </si>
  <si>
    <t xml:space="preserve">command,hostName,parentProcName,procName,srcFileName</t>
  </si>
  <si>
    <t xml:space="preserve">Detects the usage of "mstsc.exe" with the "/v" flag to initiate a connection to a remote server. Adversaries may use valid accounts to log into a computer using the Remote Desktop Protocol (RDP). The adversary may then perform actions as the logged-on user. . This rule is adapted from https://github.com/SigmaHQ/sigma/blob/master/rules/windows/process_creation/proc_creation_win_mstsc_remote_connection.yml</t>
  </si>
  <si>
    <t xml:space="preserve">https://filestore.fortinet.com/docs.fortinet.com/fsiem/Public_Resource_Access/7_6_0/rules/PH_RULE_Remote_Desktop_Protocol_Use_Mstsc.htm</t>
  </si>
  <si>
    <t xml:space="preserve">PH_Rule_SIGMA_1836</t>
  </si>
  <si>
    <t xml:space="preserve">Windows: OpenSSH Server Listening On Socket</t>
  </si>
  <si>
    <t xml:space="preserve">Microsoft Windows OpenSSH/Operational and OpenSSH/Admin Logs via Windows Collector</t>
  </si>
  <si>
    <t xml:space="preserve">Win-OpenSSH-4</t>
  </si>
  <si>
    <t xml:space="preserve">procName="sshd" AND msg CONTAIN "Server listening on"</t>
  </si>
  <si>
    <t xml:space="preserve">hostName,procName,msg</t>
  </si>
  <si>
    <t xml:space="preserve">Other Windows log: OpenSSH</t>
  </si>
  <si>
    <t xml:space="preserve">Detects scenarios where an attacker enables the OpenSSH server and server starts to listening on SSH socket. This rule is adapted from https://github.com/SigmaHQ/sigma/blob/master/rules/windows/builtin/openssh/win_sshd_openssh_server_listening_on_socket.yml. Ensure your Windows Collector is set to monitor the OpenSSH/Operational and OpenSSH/Admin event log channels.</t>
  </si>
  <si>
    <t xml:space="preserve">https://filestore.fortinet.com/docs.fortinet.com/fsiem/Public_Resource_Access/7_6_0/rules/PH_RULE_OpenSSH_Server_Listening_On_Socket.htm</t>
  </si>
  <si>
    <t xml:space="preserve">PH_Rule_windows_SIGMA_3053</t>
  </si>
  <si>
    <t xml:space="preserve">Windows: Outbound RDP Connections Over Non-Standard Tools</t>
  </si>
  <si>
    <t xml:space="preserve">destIpPort=3389 AND initiated="true" AND procName NOT IN ("C:\\Windows\\SysWOW64\\mstsc.exe","C:\\Windows\\System32\\mstsc.exe") AND (procName!="C:\\Windows\\System32\\dns.exe" OR srcIpPort!=53 OR srcProto!="udp") AND procName NOT REGEXP "\\Avast Software\\Avast\\AvastSvc\.exe$|\\Avast\\AvastSvc\.exe$" AND procName NOT REGEXP "\\RDCMan\.exe$" AND procName!="C:\\Program Files\\Google\\Chrome\\Application\\chrome.exe" AND procName NOT REGEXP "\\FSAssessment\.exe$|\\FSDiscovery\.exe$|\\MobaRTE\.exe$|\\Passwordstate\.exe$|\\RSSensor\.exe$|\\RTS2App\.exe$|\\RTSApp\.exe$|\\RemoteDesktopManager64\.exe$|\\RemoteDesktopManagerFree\.exe$|\\RemoteDesktopManager\.exe$|\\Terminals\.exe$|\\mRemoteNG\.exe$|\\mRemote\.exe$|\\spiceworks-finder\.exe$|\\ws_TunnelService\.exe$" AND procName NOT REGEXP "\\thor64\.exe$|\\thor\.exe$" AND procName NOT REGEXP "^C:\\Program Files\\SplunkUniversalForwarder\\bin\\" AND procName NOT REGEXP "\\Ranger\\SentinelRanger\.exe$" AND procName!="C:\\Program Files\\Mozilla Firefox\\firefox.exe" AND procName NOT IN ("C:\\Program Files (x86)\\TSplus\\Java\\bin\\HTML5service.exe","C:\\Program Files\\TSplus\\Java\\bin\\HTML5service.exe") AND procName IS NOT NULL AND procName!="" AND procName!="&lt;unknown process&gt;"</t>
  </si>
  <si>
    <t xml:space="preserve">destIpPort,hostName,initiated,procName,srcIpPort,srcProto</t>
  </si>
  <si>
    <t xml:space="preserve">Detects Non-Standard tools initiating a connection over port 3389 indicating possible lateral movement. An initial baseline is required before using this utility to exclude third party RDP tooling that you might use. . This rule is adapted from https://github.com/SigmaHQ/sigma/blob/master/rules/windows/network_connection/net_connection_win_rdp_outbound_over_non_standard_tools.yml</t>
  </si>
  <si>
    <t xml:space="preserve">https://filestore.fortinet.com/docs.fortinet.com/fsiem/Public_Resource_Access/7_6_0/rules/PH_RULE_Outbound_RDP_Connections_Over_Non_Standard_Tools.htm</t>
  </si>
  <si>
    <t xml:space="preserve">PH_Rule_windows_SIGMA_2894</t>
  </si>
  <si>
    <t xml:space="preserve">Windows: Password Dumper Remote Thread in LSASS</t>
  </si>
  <si>
    <t xml:space="preserve">Win-Sysmon-8-CreateRemoteThread</t>
  </si>
  <si>
    <t xml:space="preserve">targetProcName REGEXP "\\lsass\.exe$" AND module IS NULL</t>
  </si>
  <si>
    <t xml:space="preserve">hostName,module,targetProcName</t>
  </si>
  <si>
    <t xml:space="preserve">Sysmon: Sysmon 8</t>
  </si>
  <si>
    <t xml:space="preserve">Detects password dumper activity by monitoring remote thread creation EventID 8 in combination with the lsass.exe process as TargetImage. The process in field Process is the malicious program. A single execution can lead to hundreds of events. . This rule is adapted from https://github.com/SigmaHQ/sigma/blob/master/rules/windows/create_remote_thread/create_remote_thread_win_susp_password_dumper_lsass.yml</t>
  </si>
  <si>
    <t xml:space="preserve">https://filestore.fortinet.com/docs.fortinet.com/fsiem/Public_Resource_Access/7_6_0/rules/PH_RULE_Password_Dumper_Remote_Thread_in_LSASS.htm</t>
  </si>
  <si>
    <t xml:space="preserve">PH_Rule_SIGMA_1093</t>
  </si>
  <si>
    <t xml:space="preserve">Windows: Potential DCOM InternetExplorer.Application DLL Hijack</t>
  </si>
  <si>
    <t xml:space="preserve">procName="System" AND fileName REGEXP "\\Internet Explorer\\iertutil\.dll$"</t>
  </si>
  <si>
    <t xml:space="preserve">Detects potential DLL hijack of "iertutil.dll" found in the DCOM InternetExplorer.Application Class over the network. This rule is adapted from https://github.com/SigmaHQ/sigma/blob/master/rules/windows/file/file_event/file_event_win_dcom_iertutil_dll_hijack.yml</t>
  </si>
  <si>
    <t xml:space="preserve">https://filestore.fortinet.com/docs.fortinet.com/fsiem/Public_Resource_Access/7_6_0/rules/PH_RULE_DCOM_InternetExplorer_Application_Iertutil_DLL_Hijack_SYSMON.htm</t>
  </si>
  <si>
    <t xml:space="preserve">PH_Rule_SIGMA_2009</t>
  </si>
  <si>
    <t xml:space="preserve">Windows: Potential DCOM InternetExplorer.Application DLL Hijack - Image Load</t>
  </si>
  <si>
    <t xml:space="preserve">procName REGEXP "\\Internet Explorer\\iexplore\.exe$" AND loadedProcName REGEXP "\\Internet Explorer\\iertutil\.dll$"</t>
  </si>
  <si>
    <t xml:space="preserve">Detects potential DLL hijack of "iertutil.dll" found in the DCOM InternetExplorer.Application Class. This rule is adapted from https://github.com/SigmaHQ/sigma/blob/master/rules/windows/image_load/image_load_iexplore_dcom_iertutil_dll_hijack.yml</t>
  </si>
  <si>
    <t xml:space="preserve">https://filestore.fortinet.com/docs.fortinet.com/fsiem/Public_Resource_Access/7_6_0/rules/PH_RULE_Potential_DCOM_InternetExplorer_Application_DLL_Hijack_Image_Load.htm</t>
  </si>
  <si>
    <t xml:space="preserve">PH_Rule_windows_SIGMA_3421</t>
  </si>
  <si>
    <t xml:space="preserve">Windows: Potential Excel.EXE DCOM Lateral Movement Via ActivateMicrosoftApp</t>
  </si>
  <si>
    <t xml:space="preserve">parentProcName REGEXP "\\excel\.exe$" AND (srcFileName IN ("foxprow.exe","schdplus.exe","winproj.exe") OR procName REGEXP "\\foxprow\.exe$|\\schdplus\.exe$|\\winproj\.exe$")</t>
  </si>
  <si>
    <t xml:space="preserve">Detects suspicious child processes of Excel which could be an indicator of lateral movement leveraging the "ActivateMicrosoftApp" Excel DCOM object. . This rule is adapted from https://github.com/SigmaHQ/sigma/blob/master/rules/windows/process_creation/proc_creation_win_office_excel_dcom_lateral_movement.yml</t>
  </si>
  <si>
    <t xml:space="preserve">https://filestore.fortinet.com/docs.fortinet.com/fsiem/Public_Resource_Access/7_6_0/rules/PH_RULE_Potential_Excel_EXE_DCOM_Lateral_Movement_Via_ActivateMicrosoftApp.htm</t>
  </si>
  <si>
    <t xml:space="preserve">PH_Rule_windows_SIGMA_3594</t>
  </si>
  <si>
    <t xml:space="preserve">Windows: Potential Lateral Movement via Windows Remote Shell</t>
  </si>
  <si>
    <t xml:space="preserve">parentProcName REGEXP "\\winrshost\.exe$" AND procName!="C:\\Windows\\System32\\conhost.exe"</t>
  </si>
  <si>
    <t xml:space="preserve">Detects a child process spawned by 'winrshost.exe', which suggests remote command execution through Windows Remote Shell (WinRs) and may indicate potential lateral movement activity. . This rule is adapted from https://github.com/SigmaHQ/sigma/blob/master/rules/windows/process_creation/proc_creation_win_winrshost_command_execution.yml</t>
  </si>
  <si>
    <t xml:space="preserve">https://filestore.fortinet.com/docs.fortinet.com/fsiem/Public_Resource_Access/7_6_0/rules/PH_RULE_Potential_Lateral_Movement_via_Windows_Remote_Shell.htm</t>
  </si>
  <si>
    <t xml:space="preserve">PH_Rule_SIGMA_495</t>
  </si>
  <si>
    <t xml:space="preserve">Windows: Potential MSTSC Shadowing Activity</t>
  </si>
  <si>
    <t xml:space="preserve">T1563.002</t>
  </si>
  <si>
    <t xml:space="preserve">command REGEXP ".*noconsentprompt.*" AND command REGEXP ".*shadow:.*"</t>
  </si>
  <si>
    <t xml:space="preserve">Detects RDP session hijacking by using MSTSC shadowing. This rule is adapted from https://github.com/SigmaHQ/sigma/blob/master/rules/windows/process_creation/proc_creation_win_mstsc_rdp_hijack_shadowing.yml</t>
  </si>
  <si>
    <t xml:space="preserve">https://filestore.fortinet.com/docs.fortinet.com/fsiem/Public_Resource_Access/7_6_0/rules/PH_RULE_MSTSC_Shadowing.htm</t>
  </si>
  <si>
    <t xml:space="preserve">PH_Rule_windows_SIGMA_3197</t>
  </si>
  <si>
    <t xml:space="preserve">Windows: Potential Packet Capture Activity Via Start-NetEventSession - ScriptBlock</t>
  </si>
  <si>
    <t xml:space="preserve">script REGEXP "Start-NetEventSession"</t>
  </si>
  <si>
    <t xml:space="preserve">Detects the execution of powershell scripts with calls to the "Start-NetEventSession" cmdlet. Which allows an attacker to start event and packet capture for a network event session. Adversaries may attempt to capture network to gather information over the course of an operation. Data captured via this technique may include user credentials, especially those sent over an insecure, unencrypted protocol. . This rule is adapted from https://github.com/SigmaHQ/sigma/blob/master/rules/windows/powershell/powershell_script/posh_ps_packet_capture.yml</t>
  </si>
  <si>
    <t xml:space="preserve">https://filestore.fortinet.com/docs.fortinet.com/fsiem/Public_Resource_Access/7_6_0/rules/PH_RULE_Potential_Packet_Capture_Activity_Via_Start_NetEventSession_ScriptBlock.htm</t>
  </si>
  <si>
    <t xml:space="preserve">PH_Rule_windows_SIGMA_3430</t>
  </si>
  <si>
    <t xml:space="preserve">Windows: Potential PowerShell Console History Access Attempt via History File</t>
  </si>
  <si>
    <t xml:space="preserve">command REGEXP "ConsoleHost_history\.txt|\(Get-PSReadLineOption\)\.HistorySavePath"</t>
  </si>
  <si>
    <t xml:space="preserve">Detects potential access attempts to the PowerShell console history directly via history file (ConsoleHost_history.txt). This can give access to plaintext passwords used in PowerShell commands or used for general reconnaissance. . This rule is adapted from https://github.com/SigmaHQ/sigma/blob/master/rules/windows/process_creation/proc_creation_win_powershell_console_history_file_access.yml</t>
  </si>
  <si>
    <t xml:space="preserve">https://filestore.fortinet.com/docs.fortinet.com/fsiem/Public_Resource_Access/7_6_0/rules/PH_RULE_Potential_PowerShell_Console_History_Access_Attempt_via_History_File.htm</t>
  </si>
  <si>
    <t xml:space="preserve">PH_Rule_windows_SIGMA_3351</t>
  </si>
  <si>
    <t xml:space="preserve">Windows: Potential Windows Defender AV Bypass Via Dump64.EXE Rename</t>
  </si>
  <si>
    <t xml:space="preserve">procName REGEXP "^:\\Program Files" AND procName REGEXP "\\Microsoft Visual Studio\\" AND procName REGEXP "\\dump64\.exe$" AND (srcFileName="procdump" OR command REGEXP " -ma | -mp ")</t>
  </si>
  <si>
    <t xml:space="preserve">Detects when a user is potentially trying to bypass the Windows Defender AV by renaming a tool to dump64.exe and placing it in the Visual Studio folder. Currently the rule is covering only usage of procdump but other utilities can be added in order to increase coverage. . This rule is adapted from https://github.com/SigmaHQ/sigma/blob/master/rules/windows/process_creation/proc_creation_win_dump64_defender_av_bypass_rename.yml</t>
  </si>
  <si>
    <t xml:space="preserve">https://filestore.fortinet.com/docs.fortinet.com/fsiem/Public_Resource_Access/7_6_0/rules/PH_RULE_Potential_Windows_Defender_AV_Bypass_Via_Dump64_EXE_Rename.htm</t>
  </si>
  <si>
    <t xml:space="preserve">PH_Rule_windows_SIGMA_2948</t>
  </si>
  <si>
    <t xml:space="preserve">Windows: Potentially Suspicious File Creation by OpenEDRs ITSMService</t>
  </si>
  <si>
    <t xml:space="preserve">procName REGEXP "\\COMODO\\Endpoint Manager\\ITSMService\.exe$" AND fileName REGEXP "\.7z$|\.bat$|\.cmd$|\.com$|\.dll$|\.exe$|\.hta$|\.js$|\.pif$|\.ps1$|\.rar$|\.scr$|\.vbe$|\.vbs$|\.zip$"</t>
  </si>
  <si>
    <t xml:space="preserve">Detects the creation of potentially suspicious files by OpenEDR's ITSMService process. The ITSMService is responsible for remote management operations and can create files on the system through the Process Explorer or file management features. While legitimate for IT operations, creation of executable or script files could indicate unauthorized file uploads, data staging, or malicious file deployment. . This rule is adapted from https://github.com/SigmaHQ/sigma/blob/master/rules/windows/file/file_event/file_event_win_comodo_itsm_potentially_suspicious_file_creation.yml</t>
  </si>
  <si>
    <t xml:space="preserve">https://filestore.fortinet.com/docs.fortinet.com/fsiem/Public_Resource_Access/7_6_0/rules/PH_RULE_Potentially_Suspicious_File_Creation_by_OpenEDR_s_ITSMService.htm</t>
  </si>
  <si>
    <t xml:space="preserve">PH_Rule_windows_SIGMA_3287</t>
  </si>
  <si>
    <t xml:space="preserve">Windows: Potentially Suspicious GrantedAccess Flags On LSASS</t>
  </si>
  <si>
    <t xml:space="preserve">targetProcName REGEXP "\\lsass\.exe$" AND (accessKeyId REGEXP "0x14C2$|18$|1A$|30$|38$|3A$|50$|58$|5A$|70$|78$|7A$|90$|98$|9A$|B0$|B8$|BA$|D0$|D8$|DA$|F0$|F8$|FA$" OR accessKeyId REGEXP "^0x100000|^0x1418|^0x1438|^0x143a|^0x1f0fff|^0x1f1fff|^0x1f2fff|^0x1f3fff|^0x40") AND procName NOT REGEXP ":\\Program Files \(x86\)\\|:\\Program Files\\|:\\Windows\\SysWOW64\\|:\\Windows\\System32\\" AND (procName NOT REGEXP ":\\ProgramData\\Microsoft\\Windows Defender\\" OR procName NOT REGEXP "\\MsMpEng\.exe$") AND (procPath NOT REGEXP "\|\?:\\ProgramData\\Microsoft\\Windows Defender\\Definition Updates\\\{" OR procPath NOT REGEXP "\}\\mpengine\.dll\+" OR accessKeyId!="0x1418") AND procPath NOT REGEXP "\|c:\\program files\\windows defender\\MpClient\.dll|\|c:\\program files\\windows defender\\mprtp\.dll" AND (procName NOT REGEXP "\\explorer\.exe$" OR accessKeyId!="0x401") AND procName NOT REGEXP ":\\ProgramData\\MALWAREBYTES\\MBAMSERVICE\\ctlrupdate\\mbupdatr\.exe$" AND procName NOT REGEXP "\\AppData\\Local\\Programs\\Microsoft VS Code\\Code\.exe$" AND (procName NOT REGEXP ":\\ProgramData\\VMware\\VMware Tools\\" OR procName NOT REGEXP "\\vmtoolsd\.exe$") AND (procName NOT REGEXP "\\PROCEXP64\.EXE$|\\PROCEXP\.EXE$" OR accessKeyId!="0x40") AND (procName NOT REGEXP "\\MBAMInstallerService\.exe$" OR accessKeyId!="0x40") AND (procName NOT REGEXP "\\aurora-agent-64\.exe$|\\aurora-agent\.exe$|\\thor64\.exe$|\\thor\.exe$" OR accessKeyId!="0x40") AND (procName NOT REGEXP "\\handle64\.exe$|\\handle\.exe$" OR accessKeyId!="0x40") AND (procName NOT REGEXP "\\AppData\\Local\\WebEx\\WebexHost\.exe$" OR accessKeyId!="0x401") AND procName NOT REGEXP "\\SteamLibrary\\steamapps\\"</t>
  </si>
  <si>
    <t xml:space="preserve">Detects process access requests to LSASS process with potentially suspicious access flags. This rule is adapted from https://github.com/SigmaHQ/sigma/blob/master/rules/windows/process_access/proc_access_win_lsass_susp_access_flag.yml</t>
  </si>
  <si>
    <t xml:space="preserve">https://filestore.fortinet.com/docs.fortinet.com/fsiem/Public_Resource_Access/7_6_0/rules/PH_RULE_Potentially_Suspicious_GrantedAccess_Flags_On_LSASS.htm</t>
  </si>
  <si>
    <t xml:space="preserve">PH_Rule_windows_SIGMA_3233</t>
  </si>
  <si>
    <t xml:space="preserve">Windows: PowerShell Get-Process LSASS in ScriptBlock</t>
  </si>
  <si>
    <t xml:space="preserve">script REGEXP "Get-Process lsass"</t>
  </si>
  <si>
    <t xml:space="preserve">Detects a Get-Process command on lsass process, which is in almost all cases a sign of malicious activity. This rule is adapted from https://github.com/SigmaHQ/sigma/blob/master/rules/windows/powershell/powershell_script/posh_ps_susp_getprocess_lsass.yml</t>
  </si>
  <si>
    <t xml:space="preserve">https://filestore.fortinet.com/docs.fortinet.com/fsiem/Public_Resource_Access/7_6_0/rules/PH_RULE_PowerShell_Get_Process_LSASS_in_ScriptBlock.htm</t>
  </si>
  <si>
    <t xml:space="preserve">PH_Rule_windows_SIGMA_3586</t>
  </si>
  <si>
    <t xml:space="preserve">Windows: PPL Tampering Via WerFaultSecure</t>
  </si>
  <si>
    <t xml:space="preserve">(procName REGEXP "\\WerFaultSecure\.exe$" OR srcFileName="WerFaultSecure.exe") AND command REGEXP " /h " AND command REGEXP " /pid " AND command REGEXP " /tid " AND command REGEXP " /encfile " AND command REGEXP " /cancel " AND command REGEXP " /type " AND command REGEXP " 268310"</t>
  </si>
  <si>
    <t xml:space="preserve">Detects potential abuse of WerFaultSecure.exe to dump Protected Process Light (PPL) processes like LSASS or to freeze security solutions (EDR/antivirus). This technique is used by tools such as EDR-Freeze and WSASS to bypass PPL protections and access sensitive information or disable security software. Distinct command line patterns help identify the specific tool: - WSASS usage typically shows: "WSASS.exe WerFaultSecure.exe [PID]" in ParentCommandLine - EDR-Freeze usage typically shows: "EDR-Freeze_[version].exe [PID] [timeout]" in ParentCommandLine Legitimate debugging operations using WerFaultSecure are rare in production environments and should be investigated. . This rule is adapted from https://github.com/SigmaHQ/sigma/blob/master/rules/windows/process_creation/proc_creation_win_werfaultsecure_abuse.yml</t>
  </si>
  <si>
    <t xml:space="preserve">https://filestore.fortinet.com/docs.fortinet.com/fsiem/Public_Resource_Access/7_6_0/rules/PH_RULE_PPL_Tampering_Via_WerFaultSecure.htm</t>
  </si>
  <si>
    <t xml:space="preserve">PH_Rule_SIGMA_2000</t>
  </si>
  <si>
    <t xml:space="preserve">Windows: PSEXEC Remote Execution File Artefact</t>
  </si>
  <si>
    <t xml:space="preserve">fileName REGEXP "^C:\\Windows\\PSEXEC-" AND fileName REGEXP "\.key$"</t>
  </si>
  <si>
    <t xml:space="preserve">Detects creation of the PSEXEC key file, which is created anytime a PsExec command is executed. It gets written to the file system and will be recorded in the USN Journal on the target system. This rule is adapted from https://github.com/SigmaHQ/sigma/blob/master/rules/windows/file/file_event/file_event_win_sysinternals_psexec_service_key.yml</t>
  </si>
  <si>
    <t xml:space="preserve">https://filestore.fortinet.com/docs.fortinet.com/fsiem/Public_Resource_Access/7_6_0/rules/PH_RULE_PSEXEC_Remote_Execution_File_Artefact.htm</t>
  </si>
  <si>
    <t xml:space="preserve">PH_Rule_windows_SIGMA_3449</t>
  </si>
  <si>
    <t xml:space="preserve">Windows: PUA - Memory Dump Mount Via MemProcFS</t>
  </si>
  <si>
    <t xml:space="preserve">(procName REGEXP "\\MemProcFS\.exe$" OR srcFileName="MemProcFS.exe" OR description="MemProcFS") AND command REGEXP "-device"</t>
  </si>
  <si>
    <t xml:space="preserve">Detects execution of MemProcFS a memory forensics tool with the '-device' parameter. MemProcFS mounts physical memory as a virtual file system, allowing direct access to process memory and system structures. Threat actors were seen abusing this utility to mount memory dumps and then extract sensitive information from processes like LSASS or extract registry hives to obtain credentials, LSA secrets, SAM data, and cached domain credentials. MemProcFS usage that is not part of authorized forensic analysis should be treated as suspicious and warrants further investigation. . This rule is adapted from https://github.com/SigmaHQ/sigma/blob/master/rules/windows/process_creation/proc_creation_win_pua_memprocfs.yml</t>
  </si>
  <si>
    <t xml:space="preserve">https://filestore.fortinet.com/docs.fortinet.com/fsiem/Public_Resource_Access/7_6_0/rules/PH_RULE_PUA_Memory_Dump_Mount_Via_MemProcFS.htm</t>
  </si>
  <si>
    <t xml:space="preserve">PH_Rule_windows_SIGMA_3455</t>
  </si>
  <si>
    <t xml:space="preserve">Windows: PUA - TruffleHog Execution</t>
  </si>
  <si>
    <t xml:space="preserve">(procName REGEXP "\\trufflehog\.exe$" OR (command REGEXP " Confluence | Git | GitHub | Jira | SharePoint | Slack | docker --image | gcs | s3 " AND command REGEXP " --results=verified"))</t>
  </si>
  <si>
    <t xml:space="preserve">Detects execution of TruffleHog, a tool used to search for secrets in different platforms like Git, Jira, Slack, SharePoint, etc. that could be used maliciously. While it is a legitimate tool, intended for use in CI pipelines and security assessments, It was observed in the Shai-Hulud malware campaign targeting npm packages to steal sensitive information. . This rule is adapted from https://github.com/SigmaHQ/sigma/blob/master/rules/windows/process_creation/proc_creation_win_pua_trufflehog.yml</t>
  </si>
  <si>
    <t xml:space="preserve">https://filestore.fortinet.com/docs.fortinet.com/fsiem/Public_Resource_Access/7_6_0/rules/PH_RULE_PUA_TruffleHog_Execution.htm</t>
  </si>
  <si>
    <t xml:space="preserve">PH_Rule_windows_SIGMA_3472</t>
  </si>
  <si>
    <t xml:space="preserve">Windows: Registry Export of Third-Party Credentials</t>
  </si>
  <si>
    <t xml:space="preserve">(procName REGEXP "\\reg\.exe$" OR srcFileName="reg.exe") AND command REGEXP "export|save" AND command REGEXP "\\Software\\Aerofox\\FoxmailPreview|\\Software\\Aerofox\\Foxmail\\V3\.1|\\Software\\DownloadManager\\Passwords|\\Software\\FTPWare\\COREFTP\\Sites|\\Software\\IncrediMail\\Identities|\\Software\\Martin Prikryl\\WinSCP 2\\Sessions|\\Software\\Mobatek\\MobaXterm|\\Software\\ORL\\WinVNC3\\Password|\\Software\\OpenSSH\\Agent\\Keys|\\Software\\OpenVPN-GUI\\configs|\\Software\\Qualcomm\\Eudora\\CommandLine|\\Software\\RealVNC\\WinVNC4|\\Software\\RimArts\\B2\\Settings|\\Software\\SimonTatham\\PuTTY\\Sessions|\\Software\\SimonTatham\\PuTTY\\SshHostKeys|\\Software\\Sota\\FFFTP|\\Software\\TightVNC\\Server|\\Software\\WOW6432Node\\Radmin\\v3\.0\\Server\\Parameters\\Radmin"</t>
  </si>
  <si>
    <t xml:space="preserve">Detects the use of reg.exe to export registry paths associated with third-party credentials. Credential stealers have been known to use this technique to extract sensitive information from the registry. . This rule is adapted from https://github.com/SigmaHQ/sigma/blob/master/rules/windows/process_creation/proc_creation_win_registry_export_of_thirdparty_creds.yml</t>
  </si>
  <si>
    <t xml:space="preserve">https://filestore.fortinet.com/docs.fortinet.com/fsiem/Public_Resource_Access/7_6_0/rules/PH_RULE_Registry_Export_of_Third_Party_Credentials.htm</t>
  </si>
  <si>
    <t xml:space="preserve">PH_Rule_windows_SIGMA_2890</t>
  </si>
  <si>
    <t xml:space="preserve">Windows: Remote Thread Created In KeePass.EXE</t>
  </si>
  <si>
    <t xml:space="preserve">targetProcName REGEXP "\\KeePass\.exe$"</t>
  </si>
  <si>
    <t xml:space="preserve">hostName,targetProcName</t>
  </si>
  <si>
    <t xml:space="preserve">Detects remote thread creation in "KeePass.exe" which could indicates potential password dumping activity. This rule is adapted from https://github.com/SigmaHQ/sigma/blob/master/rules/windows/create_remote_thread/create_remote_thread_win_keepass.yml</t>
  </si>
  <si>
    <t xml:space="preserve">https://filestore.fortinet.com/docs.fortinet.com/fsiem/Public_Resource_Access/7_6_0/rules/PH_RULE_Remote_Thread_Created_In_KeePass_EXE.htm</t>
  </si>
  <si>
    <t xml:space="preserve">PH_Rule_SIGMA_1506</t>
  </si>
  <si>
    <t xml:space="preserve">Windows: Rundll32 Execution Without Parameters</t>
  </si>
  <si>
    <t xml:space="preserve">command IN ("rundll32","rundll32.exe")</t>
  </si>
  <si>
    <t xml:space="preserve">Detects rundll32 execution without parameters as observed when running Metasploit windows/smb/psexec exploit module. This rule is adapted from https://github.com/SigmaHQ/sigma/blob/master/rules/windows/process_creation/proc_creation_win_rundll32_without_parameters.yml</t>
  </si>
  <si>
    <t xml:space="preserve">https://filestore.fortinet.com/docs.fortinet.com/fsiem/Public_Resource_Access/7_6_0/rules/PH_RULE_Rundll32_Without_Parameters.htm</t>
  </si>
  <si>
    <t xml:space="preserve">PH_Rule_SIGMA_27</t>
  </si>
  <si>
    <t xml:space="preserve">Windows: smbexec.py Service Installation</t>
  </si>
  <si>
    <t xml:space="preserve">T1021.002, T1569.002, T1021.002</t>
  </si>
  <si>
    <t xml:space="preserve">(serviceName="BTOBTO" OR serviceFileName REGEXP "\.bat &amp; del |__output 2\^&gt;\^&amp;1 &gt;")</t>
  </si>
  <si>
    <t xml:space="preserve">Detects the use of smbexec.py tool by detecting a specific service installation. This rule is adapted from https://github.com/SigmaHQ/sigma/blob/master/rules/windows/builtin/system/service_control_manager/win_system_hack_smbexec.yml</t>
  </si>
  <si>
    <t xml:space="preserve">https://filestore.fortinet.com/docs.fortinet.com/fsiem/Public_Resource_Access/7_6_0/rules/PH_RULE_smbexec_py_Service_Installation.htm</t>
  </si>
  <si>
    <t xml:space="preserve">PH_Rule_windows_SIGMA_3307</t>
  </si>
  <si>
    <t xml:space="preserve">Windows: Suspicious BitLocker Access Agent Update Utility Execution</t>
  </si>
  <si>
    <t xml:space="preserve">parentProcName REGEXP "\\baaupdate\.exe$" AND procName REGEXP "\\bitsadmin\.exe$|\\cmd\.exe$|\\cscript\.exe$|\\mshta\.exe$|\\powershell\.exe$|\\powershell_ise\.exe$|\\regsvr32\.exe$|\\rundll32\.exe$|\\schtasks\.exe$|\\wmic\.exe$|\\wscript\.exe$"</t>
  </si>
  <si>
    <t xml:space="preserve">Detects the execution of the BitLocker Access Agent Update Utility (baaupdate.exe) which is not a common parent process for other processes. Suspicious child processes spawned by baaupdate.exe could indicate an attempt at lateral movement via BitLocker DCOM &amp; COM Hijacking. . This rule is adapted from https://github.com/SigmaHQ/sigma/blob/master/rules/windows/process_creation/proc_creation_win_baaupdate_susp_child_process.yml</t>
  </si>
  <si>
    <t xml:space="preserve">https://filestore.fortinet.com/docs.fortinet.com/fsiem/Public_Resource_Access/7_6_0/rules/PH_RULE_Suspicious_BitLocker_Access_Agent_Update_Utility_Execution.htm</t>
  </si>
  <si>
    <t xml:space="preserve">PH_Rule_windows_SIGMA_3246</t>
  </si>
  <si>
    <t xml:space="preserve">Windows: Suspicious Connection to Remote Account</t>
  </si>
  <si>
    <t xml:space="preserve">script REGEXP "System\.DirectoryServices\.Protocols\.LdapConnection|System\.DirectoryServices\.Protocols\.LdapDirectoryIdentifier|System\.Net\.NetworkCredential"</t>
  </si>
  <si>
    <t xml:space="preserve">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 This rule is adapted from https://github.com/SigmaHQ/sigma/blob/master/rules/windows/powershell/powershell_script/posh_ps_susp_networkcredential.yml</t>
  </si>
  <si>
    <t xml:space="preserve">https://filestore.fortinet.com/docs.fortinet.com/fsiem/Public_Resource_Access/7_6_0/rules/PH_RULE_Suspicious_Connection_to_Remote_Account.htm</t>
  </si>
  <si>
    <t xml:space="preserve">PH_Rule_windows_SIGMA_3352</t>
  </si>
  <si>
    <t xml:space="preserve">Windows: Suspicious DumpMinitool Execution</t>
  </si>
  <si>
    <t xml:space="preserve">(procName REGEXP "\\DumpMinitool\.arm64\.exe$|\\DumpMinitool\.exe$|\\DumpMinitool\.x86\.exe$" OR srcFileName IN ("DumpMinitool.arm64.exe","DumpMinitool.exe","DumpMinitool.x86.exe")) AND (procName NOT REGEXP "\\Extensions\\|\\Microsoft Visual Studio\\" OR command REGEXP "\.txt" OR (command REGEXP " Full| Mini| WithHeap" AND command NOT REGEXP "--dumpType"))</t>
  </si>
  <si>
    <t xml:space="preserve">Detects suspicious ways to use the "DumpMinitool.exe" binary. This rule is adapted from https://github.com/SigmaHQ/sigma/blob/master/rules/windows/process_creation/proc_creation_win_dumpminitool_susp_execution.yml</t>
  </si>
  <si>
    <t xml:space="preserve">https://filestore.fortinet.com/docs.fortinet.com/fsiem/Public_Resource_Access/7_6_0/rules/PH_RULE_Suspicious_DumpMinitool_Execution.htm</t>
  </si>
  <si>
    <t xml:space="preserve">PH_Rule_windows_SIGMA_3247</t>
  </si>
  <si>
    <t xml:space="preserve">Windows: Suspicious New-PSDrive to Admin Share</t>
  </si>
  <si>
    <t xml:space="preserve">script REGEXP "New-PSDrive" AND script REGEXP "-psprovider " AND script REGEXP "filesystem" AND script REGEXP "-root " AND script REGEXP "\\\\" AND script REGEXP "\$"</t>
  </si>
  <si>
    <t xml:space="preserve">Adversaries may use to interact with a remote network share using Server Message Block (SMB). The adversary may then perform actions as the logged-on user.. This rule is adapted from https://github.com/SigmaHQ/sigma/blob/master/rules/windows/powershell/powershell_script/posh_ps_susp_new_psdrive.yml</t>
  </si>
  <si>
    <t xml:space="preserve">https://filestore.fortinet.com/docs.fortinet.com/fsiem/Public_Resource_Access/7_6_0/rules/PH_RULE_Suspicious_New_PSDrive_to_Admin_Share.htm</t>
  </si>
  <si>
    <t xml:space="preserve">PH_Rule_windows_SIGMA_3289</t>
  </si>
  <si>
    <t xml:space="preserve">Windows: Suspicious Process Access to LSASS with Dbgcore/Dbghelp DLLs</t>
  </si>
  <si>
    <t xml:space="preserve">targetProcName REGEXP "\\lsass\.exe$" AND procPath REGEXP "dbgcore\.dll|dbghelp\.dll" AND procName REGEXP ":\\Perflogs\\|:\\Temp\\|:\\Users\\Public\\|\\AppData\\Roaming\\|\\Contacts\\|\\Desktop\\|\\Documents\\|\\Downloads\\|\\Favorites\\|\\Favourites\\|\\Music\\|\\Pictures\\|\\Start Menu\\Programs\\Startup\\|\\Users\\Default\\|\\Videos\\|\\Windows\\Temp\\|\\\$Recycle\.Bin\\|\\inetpub\\wwwroot\\"</t>
  </si>
  <si>
    <t xml:space="preserve">Detects suspicious process access to LSASS.exe from processes located in uncommon locations with dbgcore.dll or dbghelp.dll in the call trace. These DLLs contain functions like MiniDumpWriteDump that can be abused for credential dumping purposes. While modern tools like Mimikatz have moved to using ntdll.dll, dbgcore.dll and dbghelp.dll are still used by basic credential dumping utilities and legacy tools for LSASS memory access and process suspension techniques. . This rule is adapted from https://github.com/SigmaHQ/sigma/blob/master/rules/windows/process_access/proc_access_win_susp_dbgcore_dbghelp_load.yml</t>
  </si>
  <si>
    <t xml:space="preserve">https://filestore.fortinet.com/docs.fortinet.com/fsiem/Public_Resource_Access/7_6_0/rules/PH_RULE_Suspicious_Process_Access_to_LSASS_with_Dbgcore_Dbghelp_DLLs.htm</t>
  </si>
  <si>
    <t xml:space="preserve">PH_Rule_SIGMA_608</t>
  </si>
  <si>
    <t xml:space="preserve">Windows: Suspicious RDP Redirect Using TSCON</t>
  </si>
  <si>
    <t xml:space="preserve">command REGEXP " /dest:rdp-tcp#"</t>
  </si>
  <si>
    <t xml:space="preserve">Detects a suspicious RDP session redirect using tscon.exe. This rule is adapted from https://github.com/SigmaHQ/sigma/blob/master/rules/windows/process_creation/proc_creation_win_tscon_rdp_redirect.yml</t>
  </si>
  <si>
    <t xml:space="preserve">https://filestore.fortinet.com/docs.fortinet.com/fsiem/Public_Resource_Access/7_6_0/rules/PH_RULE_Suspicious_RDP_Redirect_Using_TSCON.htm</t>
  </si>
  <si>
    <t xml:space="preserve">PH_Rule_windows_SIGMA_3523</t>
  </si>
  <si>
    <t xml:space="preserve">Windows: Suspicious Speech Runtime Binary Child Process</t>
  </si>
  <si>
    <t xml:space="preserve">parentProcName REGEXP "\\SpeechRuntime\.exe$"</t>
  </si>
  <si>
    <t xml:space="preserve">Detects suspicious Speech Runtime Binary Execution by monitoring its child processes. Child processes spawned by SpeechRuntime.exe could indicate an attempt for lateral movement via COM &amp; DCOM hijacking. . This rule is adapted from https://github.com/SigmaHQ/sigma/blob/master/rules/windows/process_creation/proc_creation_win_speechruntime_child_process.yml</t>
  </si>
  <si>
    <t xml:space="preserve">https://filestore.fortinet.com/docs.fortinet.com/fsiem/Public_Resource_Access/7_6_0/rules/PH_RULE_Suspicious_Speech_Runtime_Binary_Child_Process.htm</t>
  </si>
  <si>
    <t xml:space="preserve">PH_Rule_SIGMA_1739</t>
  </si>
  <si>
    <t xml:space="preserve">Windows: Suspicious UltraVNC Execution</t>
  </si>
  <si>
    <t xml:space="preserve">T1021.005</t>
  </si>
  <si>
    <t xml:space="preserve">command REGEXP ".*-autoreconnect .*" AND command REGEXP ".*-connect .*" AND command REGEXP ".*-id:.*"</t>
  </si>
  <si>
    <t xml:space="preserve">Detects suspicious UltraVNC command line flag combination that indicate a auto reconnect upon execution, e.g. startup (as seen being used by Gamaredon threat group). This rule is adapted from https://github.com/SigmaHQ/sigma/blob/master/rules/windows/process_creation/proc_creation_win_ultravnc_susp_execution.yml</t>
  </si>
  <si>
    <t xml:space="preserve">https://filestore.fortinet.com/docs.fortinet.com/fsiem/Public_Resource_Access/7_6_0/rules/PH_RULE_Suspicious_UltraVNC_Execution.htm</t>
  </si>
  <si>
    <t xml:space="preserve">PH_Rule_SIGMA_617</t>
  </si>
  <si>
    <t xml:space="preserve">Windows: Terminal Service Process Spawn</t>
  </si>
  <si>
    <t xml:space="preserve">(parentCommand REGEXP ".*\\svchost\.exe.*" AND parentCommand REGEXP ".*termsvcs.*") AND ((procName NOT REGEXP ":\\Windows\\System32\\csrss\.exe$|:\\Windows\\System32\\wininit\.exe$|:\\Windows\\System32\\winlogon\.exe$|\\rdpclip\.exe$") AND (procName IS NOT NULL))</t>
  </si>
  <si>
    <t xml:space="preserve">hostName,parentCommand,procName</t>
  </si>
  <si>
    <t xml:space="preserve">Detects a process spawned by the terminal service server process (this could be an indicator for an exploitation of CVE-2019-0708). This rule is adapted from https://github.com/SigmaHQ/sigma/blob/master/rules/windows/process_creation/proc_creation_win_svchost_termserv_proc_spawn.yml</t>
  </si>
  <si>
    <t xml:space="preserve">https://filestore.fortinet.com/docs.fortinet.com/fsiem/Public_Resource_Access/7_6_0/rules/PH_RULE_Terminal_Service_Process_Spawn.htm</t>
  </si>
  <si>
    <t xml:space="preserve">PH_Rule_windows_SIGMA_2852</t>
  </si>
  <si>
    <t xml:space="preserve">Windows: Unsigned or Unencrypted SMB Connection to Share Established</t>
  </si>
  <si>
    <t xml:space="preserve">Win-SMBServer-Connectivity-</t>
  </si>
  <si>
    <t xml:space="preserve">fileName REGEXP "ADMIN\$|C\$|IPC\$" AND (signingUsed="false" OR encyptionUsed="false") AND srcIpAddr NOT IN (Group@PH_SYS_NETWORK_ENTERPRISE_INTERNAL_NET)</t>
  </si>
  <si>
    <t xml:space="preserve">encyptionUsed,fileName,hostName,signingUsed,srcIpAddr</t>
  </si>
  <si>
    <t xml:space="preserve">Other Windows log: SMBServer</t>
  </si>
  <si>
    <t xml:space="preserve">Detects SMB server connections to shares without signing or encryption enabled. This could indicate potential lateral movement activity using unsecured SMB shares. . This rule is adapted from https://github.com/SigmaHQ/sigma/blob/master/rules/windows/builtin/smbserver/connectivity/win_smbserver_connectivity_unsigned_and_unencrypted_share_connection.yml</t>
  </si>
  <si>
    <t xml:space="preserve">https://filestore.fortinet.com/docs.fortinet.com/fsiem/Public_Resource_Access/7_6_0/rules/PH_RULE_Unsigned_or_Unencrypted_SMB_Connection_to_Share_Established.htm</t>
  </si>
  <si>
    <t xml:space="preserve">PH_Rule_SIGMA_1440</t>
  </si>
  <si>
    <t xml:space="preserve">Windows: Windows Admin Share Mount Via Net.EXE</t>
  </si>
  <si>
    <t xml:space="preserve">(procName REGEXP "\\net1\.exe$|\\net\.exe$" OR srcFileName IN ("net.exe","net1.exe")) AND (command REGEXP ".* use .*" AND command REGEXP ".* \\\\.*\\.*\$.*")</t>
  </si>
  <si>
    <t xml:space="preserve">Detects when an admin share is mounted using net.exe. This rule is adapted from https://github.com/SigmaHQ/sigma/blob/master/rules/windows/process_creation/proc_creation_win_net_use_mount_admin_share.yml</t>
  </si>
  <si>
    <t xml:space="preserve">https://filestore.fortinet.com/docs.fortinet.com/fsiem/Public_Resource_Access/7_6_0/rules/PH_RULE_Mounted_Windows_Admin_Shares_with_net_exe.htm</t>
  </si>
  <si>
    <t xml:space="preserve">PH_Rule_SIGMA_2400</t>
  </si>
  <si>
    <t xml:space="preserve">Windows: Windows Internet Hosted WebDav Share Mount Via Net.EXE</t>
  </si>
  <si>
    <t xml:space="preserve">(procName REGEXP "\\net1\.exe$|\\net\.exe$" OR srcFileName IN ("net.exe","net1.exe")) AND command REGEXP " use " AND command REGEXP " http"</t>
  </si>
  <si>
    <t xml:space="preserve">Detects when an internet hosted webdav share is mounted using the "net.exe" utility. This rule is adapted from https://github.com/SigmaHQ/sigma/blob/master/rules/windows/process_creation/proc_creation_win_net_use_mount_internet_share.yml</t>
  </si>
  <si>
    <t xml:space="preserve">https://filestore.fortinet.com/docs.fortinet.com/fsiem/Public_Resource_Access/7_6_0/rules/PH_RULE_Windows_Internet_Hosted_WebDav_Share_Mount_Via_Net_EXE.htm</t>
  </si>
  <si>
    <t xml:space="preserve">PH_Rule_SIGMA_2401</t>
  </si>
  <si>
    <t xml:space="preserve">Windows: Windows Share Mount Via Net.EXE</t>
  </si>
  <si>
    <t xml:space="preserve">(procName REGEXP "\\net1\.exe$|\\net\.exe$" OR srcFileName IN ("net.exe","net1.exe")) AND command REGEXP ".* \\\\.*|.* use .*"</t>
  </si>
  <si>
    <t xml:space="preserve">Detects when a share is mounted using the "net.exe" utility. This rule is adapted from https://github.com/SigmaHQ/sigma/blob/master/rules/windows/process_creation/proc_creation_win_net_use_mount_share.yml</t>
  </si>
  <si>
    <t xml:space="preserve">https://filestore.fortinet.com/docs.fortinet.com/fsiem/Public_Resource_Access/7_6_0/rules/PH_RULE_Windows_Share_Mount_Via_Net_EXE.htm</t>
  </si>
  <si>
    <t xml:space="preserve">PH_Rule_SIGMA_1319</t>
  </si>
  <si>
    <t xml:space="preserve">Windows: WinRM Access with Evil-WinRM</t>
  </si>
  <si>
    <t xml:space="preserve">procName REGEXP "\\ruby\.exe$" AND command REGEXP ".*-i .*" AND command REGEXP ".*-u .*" AND command REGEXP ".*-p .*"</t>
  </si>
  <si>
    <t xml:space="preserve">Adversaries may use Valid Accounts to log into a computer using the Remote Desktop Protocol (RDP). The adversary may then perform actions as the logged-on user. This rule is adapted from https://github.com/SigmaHQ/sigma/blob/master/rules/windows/process_creation/proc_creation_win_hktl_evil_winrm.yml</t>
  </si>
  <si>
    <t xml:space="preserve">https://filestore.fortinet.com/docs.fortinet.com/fsiem/Public_Resource_Access/7_6_0/rules/PH_RULE_WinRM_Access_with_Evil_WinRM.htm</t>
  </si>
  <si>
    <t xml:space="preserve">PH_Rule_windows_SIGMA_3593</t>
  </si>
  <si>
    <t xml:space="preserve">Windows: Winrs Local Command Execution</t>
  </si>
  <si>
    <t xml:space="preserve">(((procName REGEXP "\\winrs\.exe$" OR srcFileName="winrs.exe") AND (command REGEXP "-r:localhost" OR command REGEXP "/r:localhost" OR command REGEXP "-r:127\.0\.0\.1" OR command REGEXP "/r:127\.0\.0\.1" OR command REGEXP "-r:\[::1\]" OR command REGEXP "/r:\[::1\]" OR command REGEXP "-remote:localhost" OR command REGEXP "/remote:localhost" OR command REGEXP "-remote:127\.0\.0\.1" OR command REGEXP "/remote:127\.0\.0\.1" OR command REGEXP "-remote:\[::1\]" OR command REGEXP "/remote:\[::1\]")) OR ((procName REGEXP "\\winrs\.exe$" OR srcFileName="winrs.exe") AND command NOT REGEXP "-r:" AND command NOT REGEXP "/r:" AND command NOT REGEXP "-remote:" AND command NOT REGEXP "/remote:"))</t>
  </si>
  <si>
    <t xml:space="preserve">Detects the execution of Winrs.exe where it is used to execute commands locally. Commands executed this way are launched under Winrshost.exe and can represent proxy execution used for defense evasion or lateral movement. . This rule is adapted from https://github.com/SigmaHQ/sigma/blob/master/rules/windows/process_creation/proc_creation_win_winrs_local_command_execution.yml</t>
  </si>
  <si>
    <t xml:space="preserve">https://filestore.fortinet.com/docs.fortinet.com/fsiem/Public_Resource_Access/7_6_0/rules/PH_RULE_Winrs_Local_Command_Execution.htm</t>
  </si>
  <si>
    <t xml:space="preserve">PH_Rule_windows_SIGMA_2859</t>
  </si>
  <si>
    <t xml:space="preserve">Windows: Zerologon Exploitation Using Well-known Tools</t>
  </si>
  <si>
    <t xml:space="preserve">Win-System-5723
Win-System-5805</t>
  </si>
  <si>
    <t xml:space="preserve">(rawEventMsg CONTAIN "kali" OR rawEventMsg CONTAIN "mimikatz")</t>
  </si>
  <si>
    <t xml:space="preserve">This rule is designed to detect attempts to exploit Zerologon (CVE-2020-1472) vulnerability using mimikatz zerologon module or other exploits from machine with "kali" hostname.. This rule is adapted from https://github.com/SigmaHQ/sigma/blob/master/rules/windows/builtin/system/netlogon/win_system_possible_zerologon_exploitation_using_wellknown_tools.yml</t>
  </si>
  <si>
    <t xml:space="preserve">https://filestore.fortinet.com/docs.fortinet.com/fsiem/Public_Resource_Access/7_6_0/rules/PH_RULE_Zerologon_Exploitation_Using_Well_known_Tools.htm</t>
  </si>
  <si>
    <t xml:space="preserve">Subpattern</t>
  </si>
  <si>
    <t xml:space="preserve">Event types</t>
  </si>
  <si>
    <t xml:space="preserve">Filters (non-eventType)</t>
  </si>
  <si>
    <t xml:space="preserve">Group-by</t>
  </si>
  <si>
    <t xml:space="preserve">Aggregate</t>
  </si>
  <si>
    <t xml:space="preserve">Full subpattern query</t>
  </si>
  <si>
    <t xml:space="preserve">Trigger expression</t>
  </si>
  <si>
    <t xml:space="preserve">eventType = "MS-Entra-AuditLogs-Policy-Update_policy-success" AND opName REGEXP ".*(?:Delete conditional access policy|Update conditional access policy).*"</t>
  </si>
  <si>
    <t xml:space="preserve">eventType = "MS-Entra-AuditLogs-DirectoryMgmt-Set_domain_authentication-success"</t>
  </si>
  <si>
    <t xml:space="preserve">eventType = "MS-Entra-AuditLogs-GroupMgmt-Add_member_to_group-success" AND targetUser CONTAIN "#EXT#" AND groupName CONTAIN "Admin"</t>
  </si>
  <si>
    <t xml:space="preserve">eventType = "MS-Entra-SignInLogs-Logon-success" AND statusDetailedReason REGEXP ".*(?:bypassed|satisfied by claim|not required).*"</t>
  </si>
  <si>
    <t xml:space="preserve">eventType = "MS-Entra-AuditLogs-DirectoryMgmt-Set_federation_settings_on_domain-success"</t>
  </si>
  <si>
    <t xml:space="preserve">eventType IN ("MS-Entra-AuditLogs-ApplicationMgmt-Add_service_principal_credentials-success","MS-Entra-AuditLogs-ApplicationMgmt-Update_application_Certificates_and_secrets_Mgmt-success")</t>
  </si>
  <si>
    <t xml:space="preserve">eventType = "MS-Entra-AuditLogs-RoleMgmt-Add_member_to_role-success" AND role = "Application Administrator"</t>
  </si>
  <si>
    <t xml:space="preserve">eventType = "MS-Entra-AuditLogs-RoleMgmt-Add_member_to_role-success" AND role = "Exchange Administrator"</t>
  </si>
  <si>
    <t xml:space="preserve">eventType = "MS-Entra-AuditLogs-RoleMgmt-Add_member_to_role-success" AND role = "Global Administrator"</t>
  </si>
  <si>
    <t xml:space="preserve">eventType = "MS-Entra-AuditLogs-RoleMgmt-Add_member_to_role-success" AND role = "Privileged Role Administrator"</t>
  </si>
  <si>
    <t xml:space="preserve">eventType = "MS-Entra-AuditLogs-RoleMgmt-Add_member_to_role-success" AND role = "Security Administrator"</t>
  </si>
  <si>
    <t xml:space="preserve">eventType IN ("LINUX_Auditd_PATH","LINUX_Auditd_SYSCALL","LINUX_PROCESS_EXEC") AND (osObjName="/etc/shadow" OR command REGEXP ".*(?:/etc/shadow|unshadow).*")</t>
  </si>
  <si>
    <t xml:space="preserve">LINUX_PROCESS_EXEC
LINUX_Auditd_SYSCALL</t>
  </si>
  <si>
    <t xml:space="preserve">eventType IN ("LINUX_PROCESS_EXEC","LINUX_Auditd_SYSCALL") AND procName REGEXP "(?i).*(useradd|usermod)$" AND command REGEXP "(?i)\s*(?:-u\s*0|--uid(?:\s+|=)\s*0).*"</t>
  </si>
  <si>
    <t xml:space="preserve">eventType = "FSM_LINUX_FILE_MODIFY" AND targetOsObjName REGEXP "^/etc/pam\.conf$|^/etc/pam\.d/.*"</t>
  </si>
  <si>
    <t xml:space="preserve">AccountCreated</t>
  </si>
  <si>
    <t xml:space="preserve">targetUser IS NOT NULL AND targetUserSID IS NOT NULL</t>
  </si>
  <si>
    <t xml:space="preserve">hostName,user,securityId,targetUser,targetUserSID</t>
  </si>
  <si>
    <t xml:space="preserve">eventType = "Win-Security-4720" AND targetUser IS NOT NULL AND targetUserSID IS NOT NULL</t>
  </si>
  <si>
    <t xml:space="preserve">AddedToPrivilegedGroup</t>
  </si>
  <si>
    <t xml:space="preserve">Win-Security-4728
Win-Security-4732
Win-Security-4756</t>
  </si>
  <si>
    <t xml:space="preserve">targetUser IS NOT NULL AND targetUserSID IS NOT NULL AND groupID REGEXP "(?i)^(?:S-1-5-32-(?:544|548|549|550|551|552|555|556|557|569|573|574|578|580)|S-1-5-21-[0-9]+-[0-9]+-[0-9]+-(?:512|518|519|520|526|527))$"</t>
  </si>
  <si>
    <t xml:space="preserve">hostName,user,securityId,targetUser,targetUserSID,targetUserGrp,groupID</t>
  </si>
  <si>
    <t xml:space="preserve">eventType IN ("Win-Security-4728","Win-Security-4732","Win-Security-4756") AND targetUser IS NOT NULL AND targetUserSID IS NOT NULL AND groupID REGEXP "(?i)^(?:S-1-5-32-(?:544|548|549|550|551|552|555|556|557|569|573|574|578|580)|S-1-5-21-[0-9]+-[0-9]+-[0-9]+-(?:512|518|519|520|526|527))$"</t>
  </si>
  <si>
    <t xml:space="preserve">Win-Security-4688
Win-Sysmon-1-Create-Process
Win-PowerShell-4104</t>
  </si>
  <si>
    <t xml:space="preserve">eventType IN ("Win-Security-4688","Win-Sysmon-1-Create-Process","Win-PowerShell-4104") AND command REGEXP "(?i).*(?:reg(?:\.exe)?\s+(?:add|delete)|Set-ItemProperty|New-ItemProperty|Remove-ItemProperty).*?(?:StrongCertificateBindingEnforcement|CertificateMappingMethods).*"</t>
  </si>
  <si>
    <t xml:space="preserve">eventType="Win-Security-5136" AND propName="msDS-OIDToGroupLink"</t>
  </si>
  <si>
    <t xml:space="preserve">eventType="Win-Security-5136" AND propName="altSecurityIdentities"</t>
  </si>
  <si>
    <t xml:space="preserve">eventType IN ("Win-Security-4688","Win-Sysmon-1-Create-Process","Win-PowerShell-4104") AND command REGEXP "(?i).*(?:certutil(?:\.exe)?.*-setreg.*DisableExtensionList|Set-ItemProperty.*DisableExtensionList).*1\.3\.6\.1\.4\.1\.311\.25\.2.*"</t>
  </si>
  <si>
    <t xml:space="preserve">eventType="Win-Security-5136" AND osObjType="pKICertificateTemplate" AND propName="pKIExtendedKeyUsage" AND propValue REGEXP "(?i).*(?:Any Purpose|2\.5\.29\.37\.0).*"</t>
  </si>
  <si>
    <t xml:space="preserve">eventType="Win-Security-5136" AND osObjType="pKICertificateTemplate" AND propName="pKIExtendedKeyUsage" AND propValue REGEXP "(?i).*(?:Certificate Request Agent|1\.3\.6\.1\.4\.1\.311\.20\.2\.1).*"</t>
  </si>
  <si>
    <t xml:space="preserve">eventType="Win-Security-5136" AND propName="nTSecurityDescriptor" AND osObjName REGEXP "(?i).*(?:CN=Public Key Services|CN=Enrollment Services|CN=Certificate Templates|CN=Certification Authorities|CN=AIA|CN=CDP).*"</t>
  </si>
  <si>
    <t xml:space="preserve">eventType="Win-Security-4882"</t>
  </si>
  <si>
    <t xml:space="preserve">IIS-Web-Request-Success
IIS-Web-Client-Access-Denied
IIS-Web-Forbidden-Access-Denied
IIS-Web-Bad-Request
IIS-Web-Request-Redirect
IIS-Web-Client-Error
IIS-Web-Server-Error</t>
  </si>
  <si>
    <t xml:space="preserve">eventType IN ("IIS-Web-Request-Success","IIS-Web-Client-Access-Denied","IIS-Web-Forbidden-Access-Denied","IIS-Web-Bad-Request","IIS-Web-Request-Redirect","IIS-Web-Client-Error","IIS-Web-Server-Error") AND httpMethod IN ("POST","post") AND uriStem REGEXP "(?i)^.*/certsrv/(?:certfnsh\.asp|certnew\.cer)$"</t>
  </si>
  <si>
    <t xml:space="preserve">eventType="Win-Security-5136" AND osObjName REGEXP ".*AdminSDHolder.*"</t>
  </si>
  <si>
    <t xml:space="preserve">eventType IN ("Win-Security-4688","Win-Sysmon-1-Create-Process","Win-PowerShell-4104") AND command REGEXP ".*(?:Security Packages|Authentication Packages).*"</t>
  </si>
  <si>
    <t xml:space="preserve">eventType IN ("Win-Security-4688","Win-Sysmon-1-Create-Process","Win-PowerShell-4104") AND (procName REGEXP "(?i).*(?:SharpHound|BloodHound)(?:\.exe|\.ps1)?$" OR command REGEXP "(?i).*(?:SharpHound|BloodHound|Invoke-BloodHound|--?CollectionMethods?).*")</t>
  </si>
  <si>
    <t xml:space="preserve">eventType IN ("Win-Security-4890","Win-Security-4891","Win-Security-4892","Win-Security-4893","Win-Security-4894")</t>
  </si>
  <si>
    <t xml:space="preserve">eventType = "Win-Security-5136" AND osObjType = "pKICertificateTemplate"</t>
  </si>
  <si>
    <t xml:space="preserve">eventType IN ("Win-Security-4688","Win-Sysmon-1-Create-Process","Win-PowerShell-4104") AND command REGEXP ".*certipy.*"</t>
  </si>
  <si>
    <t xml:space="preserve">eventType IN ("Win-Security-4688","Win-Sysmon-1-Create-Process") AND procName REGEXP ".*rundll32.exe$" AND command REGEXP ".*comsvcs.dll.*MiniDump.*lsass.*"</t>
  </si>
  <si>
    <t xml:space="preserve">(eventType IN ("Win-Security-4706","Win-Security-4707","Win-Security-4716") OR (eventType="Win-Security-5136" AND osObjType REGEXP ".*trustedDomain.*"))</t>
  </si>
  <si>
    <t xml:space="preserve">eventType = "Win-Security-5136" AND osObjType = "pKICertificateTemplate" AND propName REGEXP "(?i)^(?:msPKI-Certificate-Name-Flag|pKIExtendedKeyUsage)$"</t>
  </si>
  <si>
    <t xml:space="preserve">eventType = "Win-Security-5136" AND osObjType = "pKICertificateTemplate" AND propName REGEXP "(?i)^nTSecurityDescriptor$"</t>
  </si>
  <si>
    <t xml:space="preserve">eventType IN ("Win-Security-4688","Win-Sysmon-1-Create-Process","Win-PowerShell-4104") AND command REGEXP "(?i).*certutil(?:\.exe)?.*-setreg.*policy\\EditFlags.*\+EDITF_ATTRIBUTESUBJECTALTNAME2.*"</t>
  </si>
  <si>
    <t xml:space="preserve">eventType = "Win-Security-4769-success" AND serviceName IS NOT NULL AND serviceName != "krbtgt"</t>
  </si>
  <si>
    <t xml:space="preserve">eventType="Win-Security-4724" AND targetUser="krbtgt"</t>
  </si>
  <si>
    <t xml:space="preserve">eventType IN ("Win-Security-4688","Win-Sysmon-1-Create-Process","Win-PowerShell-4104") AND (command REGEXP ".*lazagne.*" OR procName REGEXP ".*lazagne.*")</t>
  </si>
  <si>
    <t xml:space="preserve">eventType = "Win-Sysmon-10-ProcessAccess" AND targetProcName REGEXP "(?i)^.*lsass\.exe$" AND procName REGEXP "(?i)^.*(?:procdump|procdump64|mimikatz|mimikatz64|rundll32|nanodump|dumpert|createdump|sqldumper)(?:\.exe)?$"</t>
  </si>
  <si>
    <t xml:space="preserve">eventType IN ("Win-Security-4728","Win-Security-4729","Win-Security-4732","Win-Security-4733","Win-Security-4756","Win-Security-4757")</t>
  </si>
  <si>
    <t xml:space="preserve">eventType = "Win-Security-4720"</t>
  </si>
  <si>
    <t xml:space="preserve">eventType = "Win-Security-4725"</t>
  </si>
  <si>
    <t xml:space="preserve">eventType IN ("Win-Security-4688","Win-Sysmon-1-Create-Process","Win-PowerShell-4104") AND command REGEXP ".*(?:mimikatz|sekurlsa|lsadump|kerberos::|privilege::debug).*"</t>
  </si>
  <si>
    <t xml:space="preserve">eventType IN ("Win-Security-4688","Win-Sysmon-1-Create-Process","Win-PowerShell-4104") AND command REGEXP ".*nanodump.*"</t>
  </si>
  <si>
    <t xml:space="preserve">eventType IN ("Win-Security-4688","Win-Sysmon-1-Create-Process") AND procName REGEXP ".*procdump.*" AND command REGEXP ".*lsass.*"</t>
  </si>
  <si>
    <t xml:space="preserve">eventType="Win-System-Service-Control-Manager-7045" AND (serviceName REGEXP "(?i)^(?:PSEXESVC|PAExec.*|RemComSvc.*)$" OR serviceFileName REGEXP "(?i).*[\\/](?:PSEXESVC|PAExec[^\\/]*|RemComSvc[^\\/]*)\.exe(?:\s.*)?$")</t>
  </si>
  <si>
    <t xml:space="preserve">eventType IN ("Win-Security-4688","Win-Sysmon-1-Create-Process","Win-PowerShell-4104") AND (command REGEXP ".*pypykatz.*" OR procName REGEXP ".*pypykatz.*")</t>
  </si>
  <si>
    <t xml:space="preserve">eventType="Win-Security-5136" AND propName="msDS-AllowedToActOnBehalfOfOtherIdentity"</t>
  </si>
  <si>
    <t xml:space="preserve">eventType IN ("Win-Security-4688","Win-Sysmon-1-Create-Process","Win-PowerShell-4104") AND command REGEXP ".*Rubeus.*"</t>
  </si>
  <si>
    <t xml:space="preserve">eventType IN ("Win-Security-4688","Win-Sysmon-1-Create-Process","Win-PowerShell-4104") AND command REGEXP ".*SafetyKatz.*"</t>
  </si>
  <si>
    <t xml:space="preserve">eventType="Win-Security-5136" AND osObjName REGEXP ".*CN=Schema,CN=Configuration.*"</t>
  </si>
  <si>
    <t xml:space="preserve">eventType IN ("Win-Security-4688","Win-Sysmon-1-Create-Process","Win-PowerShell-4104") AND (command REGEXP ".*secretsdump.*" OR procName REGEXP ".*secretsdump.*")</t>
  </si>
  <si>
    <t xml:space="preserve">eventType IN ("Win-Security-4688","Win-Sysmon-1-Create-Process") AND command REGEXP "(?i).*reg(?:\.exe)?\s+save\s+.?(?:HKLM|HKEY_LOCAL_MACHINE)\\(?:SAM|SYSTEM|SECURITY).*"</t>
  </si>
  <si>
    <t xml:space="preserve">eventType = "Win-Security-5136" AND propName = "msDS-KeyCredentialLink"</t>
  </si>
  <si>
    <t xml:space="preserve">eventType IN ("Win-Security-4688","Win-Sysmon-1-Create-Process","Win-PowerShell-4104") AND command REGEXP ".*(?:Security Packages|SSP).*"</t>
  </si>
  <si>
    <t xml:space="preserve">eventType = "Win-Sysmon-10-ProcessAccess" AND targetProcName REGEXP "(?i)^.*lsass\.exe$" AND accessKeyId REGEXP "(?i)^0x0*(?:10|40|50|410|1010|1410|1f0fff|1fffff)$"</t>
  </si>
  <si>
    <t xml:space="preserve">eventType IN ("Win-Security-4688","Win-Sysmon-1-Create-Process","Win-PowerShell-4104") AND (procName REGEXP "(?i).*(?:incognito|JuicyPotato|RoguePotato|PrintSpoofer|GodPotato).*" OR command REGEXP "(?i).*(?:incognito|JuicyPotato|RoguePotato|PrintSpoofer|GodPotato).*")</t>
  </si>
  <si>
    <t xml:space="preserve">eventType IN (Group@PH_SYS_EVENT_DomainAccountLocked)</t>
  </si>
  <si>
    <t xml:space="preserve">eventType = "PH_AUDIT_ACCOUNT_LOCKED"</t>
  </si>
  <si>
    <t xml:space="preserve">eventType IN (Group@PH_SYS_EVENT_HostAccountLocked) AND reptDevIpAddr IN (Group@PH_SYS_DEVICE_Network)</t>
  </si>
  <si>
    <t xml:space="preserve">eventType IN (Group@PH_SYS_EVENT_HostAccountLocked) AND reptDevIpAddr IN (Group@PH_SYS_DEVICE_Server) AND eventType != "PH_AUDIT_ACCOUNT_LOCKED"</t>
  </si>
  <si>
    <t xml:space="preserve">eventType CONTAIN "AWS-CloudTrail-IAM-UpdateAssumeRolePolicy" AND errorString = "MalformedPolicyDocumentException"</t>
  </si>
  <si>
    <t xml:space="preserve">eventType CONTAIN "AWS-CloudTrail-IAM-DeactivateMFADevice"</t>
  </si>
  <si>
    <t xml:space="preserve">eventType CONTAIN "AWS-CloudTrail-SIGNIN-PasswordRecoveryRequested"</t>
  </si>
  <si>
    <t xml:space="preserve">eventType CONTAIN "AWS-CloudTrail-SIGNIN-ConsoleLogin" AND identityType = "Root" AND status = "failed"</t>
  </si>
  <si>
    <t xml:space="preserve">eventType = "AWS-CloudTrail-SIGNIN-ConsoleLogin-Success" AND identityType = "Root" AND mfaAuthenticated != "Yes"</t>
  </si>
  <si>
    <t xml:space="preserve">eventType = "AWS-Hub-TTPs-Credential_Access"</t>
  </si>
  <si>
    <t xml:space="preserve">eventType = "AWS-Hub-TTPs-Privilege_Escalation"</t>
  </si>
  <si>
    <t xml:space="preserve">eventType CONTAIN "AWS-CloudTrail-SECRETSMANAGER-GetSecretValue" AND identityType != "AWSService" AND status = "success"</t>
  </si>
  <si>
    <t xml:space="preserve">MS_EvtHub_add_member_to_role_in_pim_completed_timebound
MS_EvtHub_add_eligible_member_to_role_in_pim_completed_permanent</t>
  </si>
  <si>
    <t xml:space="preserve">azureEventCategory = "RoleManagement" AND eventType IN ("MS_EvtHub_add_member_to_role_in_pim_completed_timebound","MS_EvtHub_add_eligible_member_to_role_in_pim_completed_permanent") AND srcName = "Global Administrator"</t>
  </si>
  <si>
    <t xml:space="preserve">FailedLogin</t>
  </si>
  <si>
    <t xml:space="preserve">Group@PH_SYS_EVENT_VPNLogonFailure
Group@PH_SYS_EVENT_DBLogonFailure
Group@PH_SYS_EVENT_WebLogonFailure
Group@PH_SYS_EVENT_AppLogonFailure</t>
  </si>
  <si>
    <t xml:space="preserve">user IS NOT NULL</t>
  </si>
  <si>
    <t xml:space="preserve">srcIpAddr, srcGeoCountry, reptDevIpAddr, user</t>
  </si>
  <si>
    <t xml:space="preserve">eventType IN (Group@PH_SYS_EVENT_VPNLogonFailure,Group@PH_SYS_EVENT_DBLogonFailure,Group@PH_SYS_EVENT_WebLogonFailure,Group@PH_SYS_EVENT_AppLogonFailure) AND user IS NOT NULL</t>
  </si>
  <si>
    <t xml:space="preserve">FailedLogin2</t>
  </si>
  <si>
    <t xml:space="preserve">Group@PH_SYS_EVENT_MultipleVPNLogonFailure
Group@PH_SYS_EVENT_MultipleDBLogonFailure
Group@PH_SYS_EVENT_MultipleWebLogonFailure
Group@PH_SYS_EVENT_MultipleAppLogonFailure</t>
  </si>
  <si>
    <t xml:space="preserve">eventType IN (Group@PH_SYS_EVENT_MultipleVPNLogonFailure,Group@PH_SYS_EVENT_MultipleDBLogonFailure,Group@PH_SYS_EVENT_MultipleWebLogonFailure,Group@PH_SYS_EVENT_MultipleAppLogonFailure) AND user IS NOT NULL</t>
  </si>
  <si>
    <t xml:space="preserve">SuccessLogin</t>
  </si>
  <si>
    <t xml:space="preserve">Group@PH_SYS_EVENT_VPNLogonSuccess
Group@PH_SYS_EVENT_DBLogonSuccess
Group@PH_SYS_EVENT_WebLogonSuccess
Group@PH_SYS_EVENT_AppLogonSuccess</t>
  </si>
  <si>
    <t xml:space="preserve">eventType IN (Group@PH_SYS_EVENT_VPNLogonSuccess,Group@PH_SYS_EVENT_DBLogonSuccess,Group@PH_SYS_EVENT_WebLogonSuccess,Group@PH_SYS_EVENT_AppLogonSuccess) AND user IS NOT NULL</t>
  </si>
  <si>
    <t xml:space="preserve">Group@PH_SYS_EVENT_HostLogonFailure
Group@PH_SYS_EVENT_VMware_LogonFailure
Group@PH_SYS_EVENT_DomainLogonFailure</t>
  </si>
  <si>
    <t xml:space="preserve">eventType IN (Group@PH_SYS_EVENT_HostLogonFailure,Group@PH_SYS_EVENT_VMware_LogonFailure,Group@PH_SYS_EVENT_DomainLogonFailure) AND user IS NOT NULL</t>
  </si>
  <si>
    <t xml:space="preserve">Group@PH_SYS_EVENT_MultipleHostLogonFailure
Group@PH_SYS_EVENT_MultipleDomainLogonFailure</t>
  </si>
  <si>
    <t xml:space="preserve">eventType IN (Group@PH_SYS_EVENT_MultipleHostLogonFailure,Group@PH_SYS_EVENT_MultipleDomainLogonFailure) AND user IS NOT NULL</t>
  </si>
  <si>
    <t xml:space="preserve">Group@PH_SYS_EVENT_HostLogonSuccess
Group@PH_SYS_EVENT_VMware_LogonSuccess
Group@PH_SYS_EVENT_DomainLogonSuccess</t>
  </si>
  <si>
    <t xml:space="preserve">eventType IN (Group@PH_SYS_EVENT_HostLogonSuccess,Group@PH_SYS_EVENT_VMware_LogonSuccess,Group@PH_SYS_EVENT_DomainLogonSuccess) AND user IS NOT NULL</t>
  </si>
  <si>
    <t xml:space="preserve">Group@PH_SYS_EVENT_HostLogonFailure
Group@PH_SYS_EVENT_DomainLogonFailure</t>
  </si>
  <si>
    <t xml:space="preserve">eventType IN (Group@PH_SYS_EVENT_HostLogonFailure,Group@PH_SYS_EVENT_DomainLogonFailure) AND user IS NOT NULL AND srcGeoCountry IS NOT NULL</t>
  </si>
  <si>
    <t xml:space="preserve">Group@PH_SYS_EVENT_HostLogonSuccess
Group@PH_SYS_EVENT_DomainLogonSuccess</t>
  </si>
  <si>
    <t xml:space="preserve">eventType IN (Group@PH_SYS_EVENT_HostLogonSuccess,Group@PH_SYS_EVENT_DomainLogonSuccess) AND user IS NOT NULL AND srcGeoCountry IS NOT NULL</t>
  </si>
  <si>
    <t xml:space="preserve">eventType IN (Group@PH_SYS_EVENT_VPNLogonSuccess) AND user IS NOT NULL AND user != "N/A" AND srcGeoCountry IS NOT NULL AND srcGeoCountry != "N/A"</t>
  </si>
  <si>
    <t xml:space="preserve">eventType IN ("Crowdstrike-Falcon-EppDetectionSummaryEvent-authentication-bypass","Crowdstrike-Falcon-EppDetectionSummaryEvent-authentication-bypass-block")</t>
  </si>
  <si>
    <t xml:space="preserve">Crowdstrike-Falcon-EppDetectionSummaryEvent-credential-theft
Crowdstrike-Falcon-EppDetectionSummaryEvent-credential-theft-block
Crowdstrike-Falcon-EppDetectionSummaryEvent-credential-theft-allow</t>
  </si>
  <si>
    <t xml:space="preserve">eventType IN ("Crowdstrike-Falcon-EppDetectionSummaryEvent-credential-theft","Crowdstrike-Falcon-EppDetectionSummaryEvent-credential-theft-block","Crowdstrike-Falcon-EppDetectionSummaryEvent-credential-theft-allow")</t>
  </si>
  <si>
    <t xml:space="preserve">eventType IN ("Crowdstrike-Falcon-EppDetectionSummaryEvent-privilege-escalation","Crowdstrike-Falcon-EppDetectionSummaryEvent-privilege-escalation-allow","Crowdstrike-Falcon-EppDetectionSummaryEvent-privilege-escalation-block")</t>
  </si>
  <si>
    <t xml:space="preserve">eventType IN ("CyberArk-Vault-403","CyberArk-Vault-408","CyberArk-Vault-409")</t>
  </si>
  <si>
    <t xml:space="preserve">eventType IN ("CyberArk-Vault-301","CyberArk-Vault-379")</t>
  </si>
  <si>
    <t xml:space="preserve">eventType IN ("CyberArk-Vault-15","CyberArk-Vault-18")</t>
  </si>
  <si>
    <t xml:space="preserve">eventType = "CyberArk-Vault-137"</t>
  </si>
  <si>
    <t xml:space="preserve">eventType IN ("CyberArk-Vault-362","CyberArk-Vault-413")</t>
  </si>
  <si>
    <t xml:space="preserve">eventType = "CyberArk-Vault-375"</t>
  </si>
  <si>
    <t xml:space="preserve">eventType IN ("CyberArk-Vault-204","CyberArk-Vault-205")</t>
  </si>
  <si>
    <t xml:space="preserve">eventType = "CyberArk-Vault-366"</t>
  </si>
  <si>
    <t xml:space="preserve">CyberArk-Vault-5
CyberArk-Vault-10</t>
  </si>
  <si>
    <t xml:space="preserve">eventType IN ("CyberArk-Vault-5","CyberArk-Vault-10")</t>
  </si>
  <si>
    <t xml:space="preserve">eventType="FortiMail-Workspace-Audit-send-user-invitation"</t>
  </si>
  <si>
    <t xml:space="preserve">eventType CONTAIN "Generic_Unix_" AND (rawEventMsg CONTAIN "attempt to execute code on stack by" OR rawEventMsg REGEXP ".*FTP LOGIN FROM .* 0bin0sh" OR rawEventMsg REGEXP ".*rpc.statd\[\d+\]: gethostbyname error for" OR rawEventMsg CONTAIN "AAAAAAAAAAAAAAAAAAAAAAAAAAAAAAAAAAAAAAA") AND phEventCategory = 0</t>
  </si>
  <si>
    <t xml:space="preserve">eventType = "LINUX_PROCESS_EXEC" AND (procName IN ("dscacheutil","ldapsearch") OR procName = "dscl" AND swParam CONTAIN "-list")</t>
  </si>
  <si>
    <t xml:space="preserve">eventType = "LINUX_PROCESS_EXEC" AND procName IN ("cat","grep") AND swParam REGEXP ".*\.bash_history.*|.*passwd.*|.*password.*"</t>
  </si>
  <si>
    <t xml:space="preserve">eventType = "LINUX_PROCESS_EXEC" AND procName ="chmod" AND user != "root" AND (swParam CONTAIN "g+s" OR swParam REGEXP (".*2[0-9]{3}.*"))</t>
  </si>
  <si>
    <t xml:space="preserve">eventType = "LINUX_PROCESS_EXEC" AND procName ="chmod" AND user != "root" AND (swParam CONTAIN "u+s" OR swParam REGEXP (".*4[0-9]{3}.*"))</t>
  </si>
  <si>
    <t xml:space="preserve">eventType = "LINUX_PROCESS_EXEC" AND procName = "trap" AND swParam CONTAIN " signals"</t>
  </si>
  <si>
    <t xml:space="preserve">ExcessNetLoginFailure</t>
  </si>
  <si>
    <t xml:space="preserve">reptDevIpAddr IN (Group@PH_SYS_DEVICE_Network) AND srcIpAddr IS NOT NULL</t>
  </si>
  <si>
    <t xml:space="preserve">eventType IN (Group@PH_SYS_EVENT_HostLogonFailure) AND reptDevIpAddr IN (Group@PH_SYS_DEVICE_Network) AND srcIpAddr IS NOT NULL</t>
  </si>
  <si>
    <t xml:space="preserve">ExcessNetLoginFailure2</t>
  </si>
  <si>
    <t xml:space="preserve">Group@PH_SYS_EVENT_MultipleHostLogonFailure</t>
  </si>
  <si>
    <t xml:space="preserve">eventType IN (Group@PH_SYS_EVENT_MultipleHostLogonFailure) AND reptDevIpAddr IN (Group@PH_SYS_DEVICE_Network) AND srcIpAddr IS NOT NULL</t>
  </si>
  <si>
    <t xml:space="preserve">reptDevIpAddr IN (Group@PH_SYS_DEVICE_Network) AND srcIpAddr IS NULL</t>
  </si>
  <si>
    <t xml:space="preserve">eventType IN (Group@PH_SYS_EVENT_HostLogonFailure) AND reptDevIpAddr IN (Group@PH_SYS_DEVICE_Network) AND srcIpAddr IS NULL</t>
  </si>
  <si>
    <t xml:space="preserve">eventType IN (Group@PH_SYS_EVENT_MultipleHostLogonFailure) AND reptDevIpAddr IN (Group@PH_SYS_DEVICE_Network) AND srcIpAddr IS NULL</t>
  </si>
  <si>
    <t xml:space="preserve">ExcessDBLoginFailure1</t>
  </si>
  <si>
    <t xml:space="preserve">eventType IN (Group@PH_SYS_EVENT_DBLogonFailure)</t>
  </si>
  <si>
    <t xml:space="preserve">ExcessDBLoginFailure2</t>
  </si>
  <si>
    <t xml:space="preserve">srcName, reptDevName, reptDevIpAddr, user</t>
  </si>
  <si>
    <t xml:space="preserve">eventType IN (Group@PH_SYS_EVENT_DomainLogonFailure) AND reptVendor = "Microsoft" AND user NOT CONTAIN "$"</t>
  </si>
  <si>
    <t xml:space="preserve">ExcessMiscAppLoginFailure1</t>
  </si>
  <si>
    <t xml:space="preserve">srcIpAddr IS NOT NULL</t>
  </si>
  <si>
    <t xml:space="preserve">srcIpAddr IS NOT NULL AND eventType IN (Group@PH_SYS_EVENT_AppLogonFailure) AND eventType NOT IN (Group@PH_SYS_EVENT_AAALogonFailure)</t>
  </si>
  <si>
    <t xml:space="preserve">ExcessMiscAppLoginFailure2</t>
  </si>
  <si>
    <t xml:space="preserve">srcIpAddr IS NULL</t>
  </si>
  <si>
    <t xml:space="preserve">srcIpAddr IS NULL AND eventType IN (Group@PH_SYS_EVENT_AppLogonFailure) AND eventType NOT IN (Group@PH_SYS_EVENT_AAALogonFailure)</t>
  </si>
  <si>
    <t xml:space="preserve">eventType IN (Group@PH_SYS_EVENT_HostLogonFailure)</t>
  </si>
  <si>
    <t xml:space="preserve">ExcessServerLoginFailure</t>
  </si>
  <si>
    <t xml:space="preserve">reptDevIpAddr IN (Group@PH_SYS_DEVICE_Server) AND user NOT CONTAIN "$"</t>
  </si>
  <si>
    <t xml:space="preserve">eventType IN (Group@PH_SYS_EVENT_HostLogonFailure) AND reptDevIpAddr IN (Group@PH_SYS_DEVICE_Server) AND user NOT CONTAIN "$"</t>
  </si>
  <si>
    <t xml:space="preserve">ExcessServerLoginFailure2</t>
  </si>
  <si>
    <t xml:space="preserve">eventType IN (Group@PH_SYS_EVENT_MultipleHostLogonFailure) AND reptDevIpAddr IN (Group@PH_SYS_DEVICE_Server) AND user NOT CONTAIN "$"</t>
  </si>
  <si>
    <t xml:space="preserve">eventType IN (Group@PH_SYS_EVENT_VPNLogonFailure)</t>
  </si>
  <si>
    <t xml:space="preserve">eventType IN (Group@PH_SYS_EVENT_WebLogonFailure) AND srcIpAddr NOT IN (Group@PH_SYS_APP_ACCELOPS,Group@PH_SYS_DEVICE_FSM)</t>
  </si>
  <si>
    <t xml:space="preserve">eventType IN (Group@PH_SYS_EVENT_WirelessLogonFailure)</t>
  </si>
  <si>
    <t xml:space="preserve">Group@PH_SYS_EVENT_HostPrivLogonFailure
PH_RULE_EXCESS_FAILED_LOGON_SERVER
PH_RULE_EXCESS_FAILED_LOGON_DOMAIN</t>
  </si>
  <si>
    <t xml:space="preserve">(eventType IN (Group@PH_SYS_EVENT_HostPrivLogonFailure) OR (eventType IN ("PH_RULE_EXCESS_FAILED_LOGON_SERVER","PH_RULE_EXCESS_FAILED_LOGON_DOMAIN") AND user CONTAIN "Admin")) AND reptDevIpAddr IN (Group@PH_SYS_DEVICE_Server)</t>
  </si>
  <si>
    <t xml:space="preserve">eventType = "Oracle-OCI-identitycontrolplane-addusertogroup"</t>
  </si>
  <si>
    <t xml:space="preserve">eventType = "Oracle-OCI-identitycontrolplane-deletemfatotpdevice"</t>
  </si>
  <si>
    <t xml:space="preserve">MS_OFFICE365_EntraID_UserLoginFailed
MS_OFFICE365_EntraID_StsLogon_UserLoginFailed</t>
  </si>
  <si>
    <t xml:space="preserve">eventType IN ("MS_OFFICE365_EntraID_UserLoginFailed","MS_OFFICE365_EntraID_StsLogon_UserLoginFailed")</t>
  </si>
  <si>
    <t xml:space="preserve">eventType = "MS_OFFICE365_o365_brute_force"</t>
  </si>
  <si>
    <t xml:space="preserve">eventType = "MS_OFFICE365_EntraID_Add_member_to_role" AND (role CONTAIN "Admin" OR permissionRoleName CONTAIN "Admin")</t>
  </si>
  <si>
    <t xml:space="preserve">eventType = "LINUX_PROCESS_EXEC" AND (procName = "chage" AND swParam CONTAIN " -l " OR procName = "cat" AND swParam REGEXP ".*/etc/pam\.d/common-password.*")</t>
  </si>
  <si>
    <t xml:space="preserve">eventType = "MS_EvtHub_consent_to_application"</t>
  </si>
  <si>
    <t xml:space="preserve">reptDevIpAddr IN (Group@PH_SYS_DEVICE_NETWORK_IPS) AND eventType IN (Group@PH_SYS_EVENT_PrivEscalationExploit)</t>
  </si>
  <si>
    <t xml:space="preserve">eventType = "PH_RULE_EXCESS_FAILED_LOGON_2_NET_DEV"</t>
  </si>
  <si>
    <t xml:space="preserve">DBLoginFailure_1</t>
  </si>
  <si>
    <t xml:space="preserve">eventType = "PH_RULE_EXCESS_FAILED_LOGON_DB"</t>
  </si>
  <si>
    <t xml:space="preserve">DBLoginFailure_2</t>
  </si>
  <si>
    <t xml:space="preserve">srcName, destIpAddr, destGeoCountry</t>
  </si>
  <si>
    <t xml:space="preserve">eventType = "PH_RULE_EXCESS_FAILED_LOGON_DOMAIN"</t>
  </si>
  <si>
    <t xml:space="preserve">RepeatExcessMiscAppLoginFailure1</t>
  </si>
  <si>
    <t xml:space="preserve">srcIpAddr IS NOT NULL AND eventType = "PH_RULE_EXCESS_FAILED_LOGON_APPL"</t>
  </si>
  <si>
    <t xml:space="preserve">RepeatExcessMiscAppLoginFailure2</t>
  </si>
  <si>
    <t xml:space="preserve">destName, destIpAddr, destGeoCountry</t>
  </si>
  <si>
    <t xml:space="preserve">srcIpAddr IS NULL AND eventType = "PH_RULE_EXCESS_FAILED_LOGON_APPL"</t>
  </si>
  <si>
    <t xml:space="preserve">eventType = "PH_RULE_EXCESS_FAILED_LOGON_SERVER"</t>
  </si>
  <si>
    <t xml:space="preserve">eventType = "PH_RULE_EXCESS_FAILED_LOGON_VPN"</t>
  </si>
  <si>
    <t xml:space="preserve">eventType = "PH_RULE_EXCESS_FAILED_LOGON_APPL"</t>
  </si>
  <si>
    <t xml:space="preserve">eventType = "PH_RULE_EXCESS_FAILED_LOGON_WIRELESS"</t>
  </si>
  <si>
    <t xml:space="preserve">reptDevIpAddr IN (Group@PH_SYS_DEVICE_NETWORK_IPS) AND eventType IN (Group@PH_SYS_EVENT_SessionHijackExploit)</t>
  </si>
  <si>
    <t xml:space="preserve">eventType = "PH_USER_MON_SUDDEN_LOC_CHANGE"</t>
  </si>
  <si>
    <t xml:space="preserve">PH_RULE_EXCESS_FAILED_LOGON_NET_DEV
PH_RULE_EXCESS_FAILED_LOGON_SERVER
PH_RULE_EXCESS_FAILED_PRIV_LOGON_SERVER
PH_RULE_EXCESS_FAILED_LOGON_DB
PH_RULE_REPEAT_EXCESS_FAILED_LOGON_WEB
PH_RULE_EXCESS_FAILED_LOGON_APPL
PH_RULE_EXCESS_FAILED_LOGON_DOMAIN
PH_RULE_EXCESS_FAILED_LOGON_VPN
PH_RULE_EXCESS_FAILED_LOGON_WIRELESS</t>
  </si>
  <si>
    <t xml:space="preserve">srcIpAddr, srcGeoCountry, destIpAddr, destGeoCountry, destName, user</t>
  </si>
  <si>
    <t xml:space="preserve">eventType IN ("PH_RULE_EXCESS_FAILED_LOGON_NET_DEV","PH_RULE_EXCESS_FAILED_LOGON_SERVER","PH_RULE_EXCESS_FAILED_PRIV_LOGON_SERVER","PH_RULE_EXCESS_FAILED_LOGON_DB", "PH_RULE_REPEAT_EXCESS_FAILED_LOGON_WEB", "PH_RULE_EXCESS_FAILED_LOGON_APPL","PH_RULE_EXCESS_FAILED_LOGON_DOMAIN", "PH_RULE_EXCESS_FAILED_LOGON_VPN","PH_RULE_EXCESS_FAILED_LOGON_WIRELESS")</t>
  </si>
  <si>
    <t xml:space="preserve">Group@PH_SYS_EVENT_HostLogonSuccess
Group@PH_SYS_EVENT_HostPrivLogonSuccess
Group@PH_SYS_EVENT_DomainLogonSuccess
Group@PH_SYS_EVENT_VPNLogonSuccess
Group@PH_SYS_EVENT_WirelessLogonSuccess
Group@PH_SYS_EVENT_AppLogonSuccess</t>
  </si>
  <si>
    <t xml:space="preserve">eventType IN (Group@PH_SYS_EVENT_HostLogonSuccess, Group@PH_SYS_EVENT_HostPrivLogonSuccess, Group@PH_SYS_EVENT_DomainLogonSuccess, Group@PH_SYS_EVENT_VPNLogonSuccess, Group@PH_SYS_EVENT_WirelessLogonSuccess, Group@PH_SYS_EVENT_AppLogonSuccess)</t>
  </si>
  <si>
    <t xml:space="preserve">eventType = "MS_EvtHub_add_owner_to_application"</t>
  </si>
  <si>
    <t xml:space="preserve">eventType = "MS_EvtHub_add_owner_to_service_principal"</t>
  </si>
  <si>
    <t xml:space="preserve">eventType = "VEEAM-Backup-40206-MfaUserLocked"</t>
  </si>
  <si>
    <t xml:space="preserve">eventType = "VEEAM-Backup-40204-UserMfaDisabled"</t>
  </si>
  <si>
    <t xml:space="preserve">eventType = "PH_OSQUERY_WIN_DEBUGGER_REGKEY" AND totalNum &gt;= 1</t>
  </si>
  <si>
    <t xml:space="preserve">eventType IN ("Win-Security-4728","Win-Security-632")</t>
  </si>
  <si>
    <t xml:space="preserve">eventType="Win-Sysmon-1-Create-Process" AND (procName REGEXP "\\ADExp\.exe$|\\ADExplorer64\.exe$|\\ADExplorer64a\.exe$|\\ADExplorer\.exe$" OR srcFileName="AdExp" OR description="Active Directory Editor" OR product="Sysinternals ADExplorer") AND command REGEXP "snapshot"</t>
  </si>
  <si>
    <t xml:space="preserve">(eventType="Win-Security-4662" AND fileAccess="0x100" AND propName REGEXP ".*1131f6aa-9c07-11d1-f79f-00c04fc2dcd2.*|.*1131f6ad-9c07-11d1-f79f-00c04fc2dcd2.*|.*89e95b76-444d-4c62-991a-0facbeda640c.*") AND (user NOT REGEXP "\$$" AND user NOT REGEXP "^MSOL_")</t>
  </si>
  <si>
    <t xml:space="preserve">((eventType="Win-Security-4738" AND (allowedToDelegateTo IS NOT NULL AND allowedToDelegateTo != "-")) OR (eventType="Win-Security-5136" AND ((propName="msDS-AllowedToDelegateTo" OR (osObjType="user" AND propName="servicePrincipalName") OR propName="msDS-AllowedToActOnBehalfOfOtherIdentity")) AND propValue != "-"))</t>
  </si>
  <si>
    <t xml:space="preserve">eventType IN ("Win-Security-4741","Win-Security-4743")</t>
  </si>
  <si>
    <t xml:space="preserve">eventType="Win-Sysmon-1-Create-Process" AND ((command REGEXP ".*localgroup .*" AND command REGEXP ".* /add.*") OR (command REGEXP ".*Add-LocalGroupMember .*" AND command REGEXP ".* -Group .*")) AND command REGEXP ".* administrateur.*|.* administrators .*"</t>
  </si>
  <si>
    <t xml:space="preserve">Win-Security-4765
Win-Security-4766
Win-Security-4738</t>
  </si>
  <si>
    <t xml:space="preserve">eventType IN ("Win-Security-4765","Win-Security-4766") OR ((eventType="Win-Security-4738" AND (sidHistory NOT IN ("%%1793","-"))) AND (sidHistory IS NOT NULL))</t>
  </si>
  <si>
    <t xml:space="preserve">eventType="Win-Sysmon-1-Create-Process" AND command REGEXP ".*\.doc.*|.*\.docx.*|.*\.pdf.*|.*\.ppt.*|.*\.pptx.*|.*\.rtf.*|.*\.txt.*|.*\.xls.*|.*\.xlsx.*" AND ((command REGEXP ".*dir .*" AND command REGEXP ".* /b .*" AND command REGEXP ".* /s .*") OR (srcFileName="FINDSTR.EXE" AND command REGEXP ".* /e .*|.* /si .*"))</t>
  </si>
  <si>
    <t xml:space="preserve">eventType="Win-Sysmon-11-FileCreate" AND fileName REGEXP "BloodHound\.zip$|_computers\.json$|_containers\.json$|_gpos\.json$|_groups\.json$|_ous\.json$|_users\.json$" AND (procName NOT REGEXP "\\svchost\.exe$" OR fileName NOT REGEXP "^C:\\Program Files\\WindowsApps\\Microsoft\." OR fileName NOT REGEXP "\\pocket_containers\.json$")</t>
  </si>
  <si>
    <t xml:space="preserve">eventType="Win-Sysmon-1-Create-Process" AND parentProcName REGEXP "\\fodhelper\.exe$"</t>
  </si>
  <si>
    <t xml:space="preserve">eventType="Win-Sysmon-1-Create-Process" AND (procName REGEXP "\\ksetup\.exe$" OR srcFileName="ksetup.exe") AND command REGEXP ".* /setcomputerpassword .*"</t>
  </si>
  <si>
    <t xml:space="preserve">eventType="Win-Sysmon-1-Create-Process" AND (((procName REGEXP "\\esentutl\.exe$" OR srcFileName="\\esentutl.exe") AND (command REGEXP "vss" OR command REGEXP " -m " OR command REGEXP " /m " OR command REGEXP " -y " OR command REGEXP " /y ")) OR command REGEXP "\\config\\RegBack\\sam|\\config\\RegBack\\security|\\config\\RegBack\\system|\\config\\sam|\\config\\security|\\config\\system |\\repair\\sam|\\repair\\security|\\repair\\system|\\windows\\ntds\\ntds\.dit")</t>
  </si>
  <si>
    <t xml:space="preserve">eventType="Win-Sysmon-1-Create-Process" AND (procName REGEXP "\\createdump\.exe$" OR srcFileName="FX_VER_INTERNALNAME_STR") AND command REGEXP ".* --full .*|.* --name .*|.* -f .*|.* -u .*|.*\.dmp .*"</t>
  </si>
  <si>
    <t xml:space="preserve">eventType="Win-Sysmon-11-FileCreate" AND (fileName REGEXP "\\fgdump-log|\\kirbi|\\pwdump|\\pwhashes|\\wce_ccache|\\wce_krbtkts" OR fileName REGEXP "\\DumpExt\.dll$|\\DumpSvc\.exe$|\\Dumpy\.exe$|\\NTDS\.out$|\\SAM\.out$|\\SECURITY\.out$|\\SYSTEM\.out$|\\cachedump64\.exe$|\\cachedump\.exe$|\\fgexec\.exe$|\\lsremora64\.dll$|\\lsremora\.dll$|\\procdump64\.exe$|\\procdump64a\.exe$|\\procdump\.exe$|\\pstgdump\.exe$|\\pwdump\.exe$|\\servpw64\.exe$|\\servpw\.exe$|\\test\.pwd$|\\wceaux\.dll$")</t>
  </si>
  <si>
    <t xml:space="preserve">eventType="Win-Security-4697" AND serviceFileName REGEXP ".*cachedump.*|.*dumpsvc.*|.*fgexec.*|.*gsecdump.*|.*mimidrv.*|.*pwdump.*|.*servpw.*"</t>
  </si>
  <si>
    <t xml:space="preserve">eventType="Win-System-Service-Control-Manager-7045" AND serviceFileName REGEXP ".*cachedump.*|.*dumpsvc.*|.*fgexec.*|.*gsecdump.*|.*mimidrv.*|.*pwdump.*|.*servpw.*"</t>
  </si>
  <si>
    <t xml:space="preserve">eventType="Win-Sysmon-7-Image-Loaded" AND (loadedProcName REGEXP "\\credui\.dll$|\\wincredui\.dll$" OR srcFileName IN ("credui.dll","wincredui.dll")) AND procName NOT REGEXP "^C:\\Program Files \(x86\)\\|^C:\\Program Files\\|^C:\\Windows\\SysWOW64\\|^C:\\Windows\\System32\\|^C:\\Windows\\SystemApps\\" AND procName NOT IN ("C:\\Windows\\ImmersiveControlPanel\\SystemSettings.exe","C:\\Windows\\explorer.exe","C:\\Windows\\regedit.exe") AND procName NOT REGEXP "\\opera_autoupdate\.exe$" AND procName NOT REGEXP "\\procexp64\.exe$|\\procexp\.exe$" AND (procName NOT REGEXP "^C:\\Users\\" OR procName NOT REGEXP "\\AppData\\Local\\Microsoft\\Teams\\" OR procName NOT REGEXP "\\Teams\.exe$") AND (procName NOT REGEXP "^C:\\Users\\" OR procName NOT REGEXP "\\AppData\\Local\\Microsoft\\OneDrive\\")</t>
  </si>
  <si>
    <t xml:space="preserve">eventType REGEXP "Win-Sysmon-12-Registry-.*|Win-Sysmon-13-Registry-.*|Win-Sysmon-14-Registry-.*" AND regKeyPath REGEXP ".*\\CurrentControlSet\\Services\\NTDS\\DirectoryServiceExtPt.*|.*\\CurrentControlSet\\Services\\NTDS\\LsaDbExtPt.*" AND ((procName!="C:\\Windows\\system32\\lsass.exe" OR details NOT IN ("%%systemroot%%\\system32\\lsadb.dll","%%systemroot%%\\system32\\ntdsa.dll")))</t>
  </si>
  <si>
    <t xml:space="preserve">eventType="Win-Sysmon-1-Create-Process" AND (procName REGEXP "\\dsquery\.exe$" OR srcFileName="dsquery.exe") AND command REGEXP ".*trustedDomain.*"</t>
  </si>
  <si>
    <t xml:space="preserve">eventType="Win-Security-4662" AND osObjType="SecretObject" AND fileAccess="0x2" AND osObjName REGEXP ".*BCKUPKEY.*"</t>
  </si>
  <si>
    <t xml:space="preserve">eventType="Win-Security-4692"</t>
  </si>
  <si>
    <t xml:space="preserve">eventType="Win-Sysmon-1-Create-Process" AND command REGEXP ".*HKLM\\SYSTEM\\CurrentControlSet\\Control\\Lsa.*" AND command REGEXP ".*scecli\\0.*" AND command REGEXP ".*reg add.*"</t>
  </si>
  <si>
    <t xml:space="preserve">eventType="Win-PrintService-Remove-Printer-Failed" AND lineContent REGEXP ".*ntds\.dit.*" AND lineContent REGEXP ".*C:\\ntds\.dit.*|.*\\Appdata\\.*|.*\\Desktop\\.*|.*\\Downloads\\.*|.*\\Perflogs\\.*|.*\\Temp\\.*|.*\\Users\\Public\\.*"</t>
  </si>
  <si>
    <t xml:space="preserve">eventType="Win-Sysmon-1-Create-Process" AND (procName REGEXP ".*\\reg\.exe" OR srcFileName="reg.exe") AND command REGEXP ".*export.*|.*e.port.*|.*save.*|.*.ave.*" AND command REGEXP ".*hkey_local_machine.*|.*hkey_loca._machine.*|.*hkey_.ocal_machine.*|.*hkey_.oca._machine.*|.*hklm.*|.*hk.m.*" AND command REGEXP ".*\\sam.*|.*\\security.*|.*\\system.*|.*\\sy.tem.*|.*\\.am.*|.*\\.ecurity.*|.*\\.ystem.*|.*\\.y.tem.*"</t>
  </si>
  <si>
    <t xml:space="preserve">eventType="Win-Sysmon-1-Create-Process" AND procName REGEXP "\\sqldumper\.exe$" AND command REGEXP ".*0x01100:40.*|.*0x0110.*"</t>
  </si>
  <si>
    <t xml:space="preserve">eventType="Win-Sysmon-1-Create-Process" AND (procName REGEXP "\\DumpMinitool\.arm64\.exe$|\\DumpMinitool\.exe$|\\DumpMinitool\.x86\.exe$" OR srcFileName IN ("DumpMinitool.arm64.exe","DumpMinitool.exe","DumpMinitool.x86.exe")) AND command REGEXP ".* Full.*|.* Mini.*|.* WithHeap.*"</t>
  </si>
  <si>
    <t xml:space="preserve">eventType="Win-Sysmon-1-Create-Process" AND command REGEXP "\\Software\\Aerofox\\FoxmailPreview|\\Software\\Aerofox\\Foxmail\\V3\.1|\\Software\\DownloadManager\\Passwords|\\Software\\FTPWare\\COREFTP\\Sites|\\Software\\IncrediMail\\Identities|\\Software\\Martin Prikryl\\WinSCP 2\\Sessions|\\Software\\Mobatek\\MobaXterm\\|\\Software\\ORL\\WinVNC3\\Password|\\Software\\OpenSSH\\Agent\\Keys|\\Software\\OpenVPN-GUI\\configs|\\Software\\Qualcomm\\Eudora\\CommandLine|\\Software\\RealVNC\\WinVNC4|\\Software\\RimArts\\B2\\Settings|\\Software\\SimonTatham\\PuTTY\\Sessions|\\Software\\SimonTatham\\PuTTY\\SshHostKeys\\|\\Software\\Sota\\FFFTP|\\Software\\TightVNC\\Server|\\Software\\WOW6432Node\\Radmin\\v3\.0\\Server\\Parameters\\Radmin" AND (procName NOT REGEXP "reg\.exe$" OR command NOT REGEXP "export|save")</t>
  </si>
  <si>
    <t xml:space="preserve">eventType="Win-Sysmon-1-Create-Process" AND (procName REGEXP "\\reg\.exe$" AND command REGEXP ".* query .*" AND command REGEXP ".*/t .*" AND command REGEXP ".*REG_SZ.*" AND command REGEXP ".*/s.*") AND ((command REGEXP ".*/f .*" AND command REGEXP ".*HKLM.*") OR (command REGEXP ".*/f .*" AND command REGEXP ".*HKCU.*") OR command REGEXP ".*HKCU\\Software\\SimonTatham\\PuTTY\\Sessions.*")</t>
  </si>
  <si>
    <t xml:space="preserve">eventType="Win-Sysmon-1-Create-Process" AND command REGEXP ".*esentutl.*" AND command REGEXP ".* /p.*"</t>
  </si>
  <si>
    <t xml:space="preserve">eventType="Win-Sysmon-1-Create-Process" AND (procName REGEXP "\\esentutl\.exe$" OR srcFileName="esentutl.exe") AND command REGEXP ".*-r.*|.*/r.*" AND command REGEXP ".*\\Windows\\WebCache.*"</t>
  </si>
  <si>
    <t xml:space="preserve">eventType REGEXP "Win-Sysmon-12-Registry-.*|Win-Sysmon-13-Registry-.*|Win-Sysmon-14-Registry-.*" AND (regKeyPath REGEXP ".*System\\CurrentControlSet\\Services\\VSS.*" AND procName REGEXP "esentutl\.exe$") AND (regKeyPath NOT REGEXP ".*System\\CurrentControlSet\\Services\\VSS\\Start.*")</t>
  </si>
  <si>
    <t xml:space="preserve">eventType="Win-Security-4673" AND serviceName="LsaRegisterLogonProcess()" AND type="Audit Failure"</t>
  </si>
  <si>
    <t xml:space="preserve">eventType="Win-Sysmon-1-Create-Process" AND (procName REGEXP "\\find\.exe$|\\findstr\.exe$" OR srcFileName IN ("FIND.EXE","FINDSTR.EXE")) AND command REGEXP "cpassword" AND command REGEXP "\\sysvol\\" AND command REGEXP "\.xml"</t>
  </si>
  <si>
    <t xml:space="preserve">eventType="Win-Sysmon-1-Create-Process" AND ((product REGEXP ".*SharpHound.*" OR description REGEXP ".*SharpHound.*" OR company REGEXP ".*SpecterOps.*|.*evil corp.*" OR procName REGEXP ".*\\Bloodhound\.exe.*|.*\\SharpHound\.exe.*") OR command REGEXP ".* --CollectionMethods Session .*|.* --Loop --Loopduration .*|.* --PortScanTimeout .*|.* -CollectionMethod All .*|.*Get-BloodHoundData.*|.*Invoke-Bloodhound.*|.*\.exe -c All -d .*" OR (command REGEXP ".* -JsonFolder .*" AND command REGEXP ".* -ZipFileName .*") OR (command REGEXP ".* DCOnly .*" AND command REGEXP ".* --NoSaveCache .*"))</t>
  </si>
  <si>
    <t xml:space="preserve">eventType="Win-Sysmon-1-Create-Process" AND ((command REGEXP "tasklist /fi " AND command REGEXP "Imagename eq lsass\.exe" AND command REGEXP "cmd /c |cmd /k |cmd /r |cmd\.exe /c |cmd\.exe /k |cmd\.exe /r " AND (user REGEXP "AUTHORI|AUTORI" OR domain REGEXP "AUTHORI|AUTORI")) OR (command REGEXP "do rundll32\.exe C:\\windows\\System32\\comsvcs\.dll, MiniDump" AND command REGEXP "\\Windows\\Temp\\" AND command REGEXP " full" AND command REGEXP "%%B") OR (command REGEXP "tasklist /v /fo csv" AND command REGEXP "findstr /i \"lsass\""))</t>
  </si>
  <si>
    <t xml:space="preserve">eventType="Win-Sysmon-1-Create-Process" AND (procName REGEXP "\\CreateMiniDump\.exe$" OR hashIMP="4a07f944a83e8a7c2525efa35dd30e2f")</t>
  </si>
  <si>
    <t xml:space="preserve">eventType="Win-Sysmon-11-FileCreate" AND fileName REGEXP "dumpert\.dmp$"</t>
  </si>
  <si>
    <t xml:space="preserve">eventType="Win-Sysmon-1-Create-Process" AND (hashMD5="09D278F9DE118EF09163C6140255C690" OR command REGEXP "Dumpert\.dll")</t>
  </si>
  <si>
    <t xml:space="preserve">eventType="Win-Sysmon-1-Create-Process" AND ((procName REGEXP "\\loader\.exe$" AND command REGEXP "--pid:") OR hashIMP IN ("0E2216679CA6E1094D63322E3412D650","38D9E015591BBFD4929E0D0F47FA0055") OR (command REGEXP "--pid:" AND command REGEXP "--outfile:" AND command REGEXP "\.dmp|\.obf|dump|lsass"))</t>
  </si>
  <si>
    <t xml:space="preserve">eventType="Win-Sysmon-1-Create-Process" AND (procName REGEXP "\\Inveigh\.exe$" OR srcFileName IN ("\\Inveigh.dll","\\Inveigh.exe") OR description="Inveigh" OR command REGEXP ".* -ReplyToDomains .*|.* -ReplyToIPs .*|.* -ReplyToMACs .*|.* -SnifferIP.*|.* -SpooferIP.*")</t>
  </si>
  <si>
    <t xml:space="preserve">eventType="Win-Sysmon-1-Create-Process" AND ((procName REGEXP "\\KrbRelay\.exe$" OR srcFileName="KrbRelay.exe") OR (command REGEXP ".* -spn .*" AND command REGEXP ".* -clsid .*" AND command REGEXP ".* -rbcd .*") OR (command REGEXP ".*shadowcred.*" AND command REGEXP ".*clsid.*" AND command REGEXP ".*spn.*") OR (command REGEXP ".*spn .*" AND command REGEXP ".*session .*" AND command REGEXP ".*clsid .*"))</t>
  </si>
  <si>
    <t xml:space="preserve">eventType="Win-Sysmon-1-Create-Process" AND ((procName REGEXP "\\KrbRelayUp\.exe$" OR srcFileName="KrbRelayUp.exe") OR (command REGEXP ".* relay .*" AND command REGEXP ".* -Domain .*" AND command REGEXP ".* -ComputerName .*") OR (command REGEXP ".* krbscm .*" AND command REGEXP ".* -sc .*") OR (command REGEXP ".* spawn .*" AND command REGEXP ".* -d .*" AND command REGEXP ".* -cn .*" AND command REGEXP ".* -cp .*"))</t>
  </si>
  <si>
    <t xml:space="preserve">eventType="Win-Sysmon-1-Create-Process" AND (command REGEXP ".*DumpCreds.*|.*mimikatz.*" OR command REGEXP ".*::aadcookie.*|.*::detours.*|.*::memssp.*|.*::mflt.*|.*::mstsc.*|.*::multirdp.*|.*::ncroutemon.*|.*::ngcsign.*|.*::preshutdown.*|.*::printnightmare.*|.*::skeleton.*" OR command REGEXP ".*crypto::.*|.*dpapi::.*|.*kerberos::.*|.*lsadump::.*|.*privilege::.*|.*process::.*|.*rpc::.*|.*sekurlsa::.*|.*token::.*|.*vault::.*")</t>
  </si>
  <si>
    <t xml:space="preserve">eventType="Win-Sysmon-1-Create-Process" AND (procName REGEXP "\\QuarksPwDump\.exe$" OR command IN (" --dump-bitlocker"," --dump-hash-domain "," --dump-hash-domain-cached"," --dump-hash-local"," -dhd "," -dhdc"," -dhl","--ntds-file"))</t>
  </si>
  <si>
    <t xml:space="preserve">eventType="Win-Sysmon-1-Create-Process" AND (procName REGEXP "\\Rubeus\.exe$" OR srcFileName="Rubeus.exe" OR description="Rubeus" OR command REGEXP ".*/impersonateuser:.*|.*asktgt /user:.*|.*asreproast .*|.*createnetonly /program:.*|.*dump /luid:0x.*|.*dump /service:krbtgt .*|.*golden /aes256:.*|.*harvest /interval:.*|.*hash /password:.*|.*kerberoast .*|.*ptt /ticket:.*|.*renew /ticket:.*|.*s4u /ticket:.*|.*s4u /user:.*|.*silver /user:.*")</t>
  </si>
  <si>
    <t xml:space="preserve">eventType="Win-Sysmon-1-Create-Process" AND (procName REGEXP "\\SafetyKatz\.exe$" OR srcFileName="SafetyKatz.exe" OR description="SafetyKatz")</t>
  </si>
  <si>
    <t xml:space="preserve">eventType = "Win-Sysmon-1-Create-Process" AND ( shortProcName IN ("WCE64.exe", "WCE.exe") OR hashIMP IN ("136F0A8572C058A96436C82E541E4C41","589657C64DDE88533186C39F82FA1F50","6BFE09EFCB4FFDE061EBDBAFC4DB84CF","7D490037BF450877E6D0287BDCFF8D2E","8AB93B061287C79F3088C5BC7E7D97ED","A53A02B997935FD8EEDCB5F7ABAB9B9F","BA434A7A729EEC20E136CA4C32D6C740","BD1D1547DA13C0FCB6C15E86217D5EB8","E96A73C7BF33A464C510EDE582318BF2") )</t>
  </si>
  <si>
    <t xml:space="preserve">eventType="Win-Sysmon-10-ProcessAccess" AND targetProcName REGEXP "\\lsass\.exe$" AND accessKeyId="0x1440" AND procPath REGEXP "^C:\\Windows\\System32\\ntdll\.dll\+" AND procPath REGEXP ".*\|UNKNOWN\(.*" AND procPath REGEXP "\)$"</t>
  </si>
  <si>
    <t xml:space="preserve">eventType="Win-Sysmon-1-Create-Process" AND (procName REGEXP "\\netsh\.exe$" OR srcFileName="netsh.exe") AND (command REGEXP ".*wlan.*" AND command REGEXP ".* s.*" AND command REGEXP ".* p.*" AND command REGEXP ".* k.*" AND command REGEXP ".*=clear.*")</t>
  </si>
  <si>
    <t xml:space="preserve">eventType="Win-Sysmon-11-FileCreate" AND procName REGEXP "\\mstsc\.exe$" AND fileName REGEXP ".*\\Microsoft\\Windows\\Start Menu\\Programs\\Startup\\.*"</t>
  </si>
  <si>
    <t xml:space="preserve">eventType="Win-Sysmon-1-Create-Process" AND command REGEXP ".*-u .*" AND command REGEXP ".*-p .*" AND command REGEXP ".*\^PASS\^.*|.*\^USER\^.*"</t>
  </si>
  <si>
    <t xml:space="preserve">eventType="Win-Sysmon-1-Create-Process" AND procName REGEXP "\\at\.exe$" AND command REGEXP ".*interactive.*"</t>
  </si>
  <si>
    <t xml:space="preserve">eventType="Win-Sysmon-1-Create-Process" AND procName REGEXP "\\ntdsutil\.exe$"</t>
  </si>
  <si>
    <t xml:space="preserve">eventType IN ("Win-Security-4768-failure","Win-Security-4768-success","Win-Security-4769-failure","Win-Security-4769-success","Win-Security-4771","Win-Security-675") AND status IN ("0x10","0x11","0x13","0x14","0x1A","0x1F","0x21","0x22","0x23","0x24","0x26","0x27","0x28","0x29","0x2C","0x2D","0x2E","0x2F","0x31","0x32","0x3E","0x3F","0x40","0x41","0x43","0x44","0x9","0xA","0xB","0xF")</t>
  </si>
  <si>
    <t xml:space="preserve">eventType="Win-Sysmon-1-Create-Process" AND (procName REGEXP "\\wmic\.exe$" OR srcFileName="wmic.exe") AND command REGEXP ".* group.*"</t>
  </si>
  <si>
    <t xml:space="preserve">eventType="Win-Sysmon-1-Create-Process" AND (procName REGEXP "\\ksetup\.exe$" OR srcFileName="ksetup.exe") AND command REGEXP ".* /ChangePassword .*"</t>
  </si>
  <si>
    <t xml:space="preserve">eventType IN ("Win-Security-4656","Win-Security-4663") AND fileAccess IN ("0x100000","0x1010","0x1400","0x1410","0x1418","0x1438","0x143a","0x1f0fff","0x1f1fff","0x1f2fff","0x1f3fff","0x40","143a","1f0fff","1f1fff","1f2fff","1f3fff") AND osObjType="Process" AND osObjName REGEXP "\\lsass\.exe$" AND user NOT REGEXP "\$$" AND procName NOT REGEXP ":\\Program Files \(x86\)\\|:\\Program Files\\" AND (procName!="C:\\Windows\\System32\\wbem\\WmiPrvSE.exe" OR fileAccess!="0x1410") AND procName NOT REGEXP "\\SteamLibrary\\steamapps\\"</t>
  </si>
  <si>
    <t xml:space="preserve">eventType="Win-Sysmon-10-ProcessAccess" AND targetProcName REGEXP "\\lsass\.exe$" AND procName REGEXP "\\ProcessDump\.exe$|\\TrolleyExpress\.exe$|\\dump64\.exe$" AND accessKeyId REGEXP "0x14C2$|10$|18$|1A$|30$|38$|3A$|50$|58$|5A$|70$|78$|7A$|90$|98$|9A$|B0$|B8$|BA$|D0$|D8$|DA$|F0$|F8$|FA$|FF$"</t>
  </si>
  <si>
    <t xml:space="preserve">eventType="Win-Sysmon-10-ProcessAccess" AND targetProcName REGEXP "\\lsass\.exe$" AND procName REGEXP ".*dump.*" AND accessKeyId REGEXP "0x14C2$|10$|18$|1A$|30$|38$|3A$|50$|58$|5A$|70$|78$|7A$|90$|98$|9A$|B0$|B8$|BA$|D0$|D8$|DA$|F0$|F8$|FA$|FF$"</t>
  </si>
  <si>
    <t xml:space="preserve">eventType="Win-Sysmon-10-ProcessAccess" AND targetProcName REGEXP "\\lsass\.exe$" AND procName REGEXP "\\rundll32\.exe$" AND procPath REGEXP "comsvcs\.dll"</t>
  </si>
  <si>
    <t xml:space="preserve">eventType="Win-Sysmon-11-FileCreate" AND fileName REGEXP "^C:\\Windows\\System32\\config\\systemprofile\\AppData\\Local\\CrashDumps\\" AND fileName REGEXP ".*lsass\.exe\..*" AND fileName REGEXP "\.dmp$"</t>
  </si>
  <si>
    <t xml:space="preserve">eventType="Win-Sysmon-11-FileCreate" AND (fileName REGEXP "\\Andrew\.dmp$|\\Coredump\.dmp$|\\lsass\.dmp$|\\lsass\.rar$|\\lsass\.zip$|\\NotLSASS\.zip$|\\PPLBlade\.dmp$|\\rustive\.dmp$" OR fileName REGEXP ".*\\lsass_2.*|.*\\lsassdmp.*|.*\\lsassdump.*" OR (fileName REGEXP ".*\\lsass.*" AND fileName REGEXP ".*\.dmp.*") OR (fileName REGEXP ".*SQLDmpr.*" AND fileName REGEXP "\.mdmp$") OR (fileName REGEXP ".*\\nanodump.*|.*\\proc_.*" AND fileName REGEXP "\.dmp$"))</t>
  </si>
  <si>
    <t xml:space="preserve">eventType="Win-Sysmon-1-Create-Process" AND (((procName REGEXP "\\find\.exe$|\\findstr\.exe$" OR srcFileName IN ("FIND.EXE","FINDSTR.EXE")) AND command REGEXP "lsass") OR command REGEXP " -i \"lsass" OR command REGEXP " /i \"lsass" OR command REGEXP " -i lsass\.exe" OR command REGEXP " /i lsass\.exe" OR command REGEXP "findstr \"lsass" OR command REGEXP "findstr lsass" OR command REGEXP "findstr\.exe \"lsass" OR command REGEXP "findstr\.exe lsass")</t>
  </si>
  <si>
    <t xml:space="preserve">eventType="Win-Sysmon-1-Create-Process" AND (procName REGEXP "\\appcmd\.exe$" OR srcFileName="appcmd.exe") AND command REGEXP "list " AND (command REGEXP " -config| -xml| /config| /xml" OR (command REGEXP " -@t| -show| -text| /@t| /show| /text" AND command REGEXP ":\*|password"))</t>
  </si>
  <si>
    <t xml:space="preserve">(eventType="Win-Security-4662" AND propName REGEXP ".*1131f6aa-9c07-11d1-f79f-00c04fc2dcd2.*|.*1131f6ad-9c07-11d1-f79f-00c04fc2dcd2.*|.*89e95b76-444d-4c62-991a-0facbeda640c.*|.*9923a32a-3607-11d2-b9be-0000f87a36b2.*|.*Replicating Directory Changes All.*" AND fileAccess="0x100") AND ((domain!="Window Manager") AND (user NOT REGEXP "^MSOL_|^NT AUT") AND (user NOT REGEXP "\$$"))</t>
  </si>
  <si>
    <t xml:space="preserve">eventType="Win-Sysmon-11-FileCreate" AND fileName REGEXP "\.kirbi$|mimilsa\.log$"</t>
  </si>
  <si>
    <t xml:space="preserve">eventType = "Win-App-MSSQLSERVER-33205" AND lineContent REGEXP "object_name:sysadmin" AND lineContent REGEXP "statement:alter server role \[sysadmin\] add member "</t>
  </si>
  <si>
    <t xml:space="preserve">eventType="Win-Sysmon-1-Create-Process" AND (procName REGEXP "\\cmdkey\.exe$" OR srcFileName="cmdkey.exe") AND (command REGEXP " -g" OR command REGEXP " /g") AND (command REGEXP " -u" OR command REGEXP " /u") AND (command REGEXP " -p" OR command REGEXP " /p")</t>
  </si>
  <si>
    <t xml:space="preserve">eventType="Win-Sysmon-1-Create-Process" AND (procName REGEXP "\\netsh\.exe$" OR srcFileName="netsh.exe") AND (command REGEXP ".*trace.*" AND command REGEXP ".*start.*")</t>
  </si>
  <si>
    <t xml:space="preserve">eventType="Win-Security-4624" AND winLogonType=9 AND winLogonProc="seclogo" AND authenMethod="Negotiate"</t>
  </si>
  <si>
    <t xml:space="preserve">eventType="Win-Sysmon-11-FileCreate" AND fileName REGEXP "\\NPPSpy\.dll$|\\NPPSpy\.txt$"</t>
  </si>
  <si>
    <t xml:space="preserve">eventType="Win-Sysmon-11-FileCreate" AND fileName REGEXP "ntds\.dit$"</t>
  </si>
  <si>
    <t xml:space="preserve">eventType="Win-Sysmon-11-FileCreate" AND fileName REGEXP "\\ntds\.dit$" AND (parentProcName REGEXP "\\cscript\.exe$|\\httpd\.exe$|\\nginx\.exe$|\\php-cgi\.exe$|\\powershell\.exe$|\\pwsh\.exe$|\\w3wp\.exe$|\\wscript\.exe$" OR parentProcName REGEXP ".*\\AppData\\.*|.*\\PerfLogs\\.*|.*\\Public\\.*|.*\\Temp\\.*|.*\\apache.*|.*\\tomcat.*")</t>
  </si>
  <si>
    <t xml:space="preserve">eventType="Win-Sysmon-11-FileCreate" AND fileName REGEXP "\\ntds\.dit$" AND (procName REGEXP "\\cmd\.exe$|\\cscript\.exe$|\\mshta\.exe$|\\powershell\.exe$|\\pwsh\.exe$|\\regsvr32\.exe$|\\rundll32\.exe$|\\wscript\.exe$|\\wsl\.exe$|\\wt\.exe$" OR procName REGEXP ".*\\AppData\\.*|.*\\PerfLogs\\.*|.*\\Public\\.*|.*\\Temp\\.*")</t>
  </si>
  <si>
    <t xml:space="preserve">Win-PrintService-Setup-Succeeded
Win-PrintService-Remove-Printer-Failed
Win-PrintService-Publish-Printer-Failed</t>
  </si>
  <si>
    <t xml:space="preserve">eventType IN ("Win-PrintService-Setup-Succeeded","Win-PrintService-Remove-Printer-Failed","Win-PrintService-Publish-Printer-Failed") AND lineContent REGEXP ".*ntds\.dit.*"</t>
  </si>
  <si>
    <t xml:space="preserve">eventType="Win-Security-4794"</t>
  </si>
  <si>
    <t xml:space="preserve">eventType="Win-Sysmon-1-Create-Process" AND (procName REGEXP "\\hashcat\.exe$" OR (command REGEXP ".*-a .*" AND command REGEXP ".*-m 1000 .*" AND command REGEXP ".*-r .*"))</t>
  </si>
  <si>
    <t xml:space="preserve">eventType="Win-Security-4656" AND procName REGEXP "\\lsass\.exe$" AND fileAccess="0x705" AND osObjType="SAM_DOMAIN"</t>
  </si>
  <si>
    <t xml:space="preserve">eventType="Win-Sysmon-1-Create-Process" AND (((procName REGEXP "\\find\.exe$|\\findstr\.exe$" OR srcFileName IN ("FIND.EXE","FINDSTR.EXE")) AND command REGEXP "'BUILTIN\\'|'Everyone'|\"BUILTIN\\\"|\"Everyone\"") OR (command REGEXP "icacls " AND command REGEXP "findstr " AND command REGEXP "Everyone"))</t>
  </si>
  <si>
    <t xml:space="preserve">eventType IN ("Win-Security-4768-failure","Win-Security-4768-success") AND srcIpAddr != ::1 AND certThumbprint IS NOT NULL AND user REGEXP ".*\$" AND certThumbprint CONTAIN "*"</t>
  </si>
  <si>
    <t xml:space="preserve">(eventType="Win-Security-4742" AND principal REGEXP ".*GC/.*") OR (eventType="Win-Security-5136" AND propName="servicePrincipalName" AND propValue REGEXP "^GC/")</t>
  </si>
  <si>
    <t xml:space="preserve">eventType="Win-Security-5145" AND fileName="\\\\*\\ADMIN$" AND targetName REGEXP ".*SYSTEM32\\.*" AND targetName REGEXP ".*\.tmp.*"</t>
  </si>
  <si>
    <t xml:space="preserve">eventType="Win-Security-5145" AND fileName REGEXP "^\\\\" AND fileName REGEXP "\\IPC\$$" AND targetName="lsarpc" AND user="ANONYMOUS LOGON"</t>
  </si>
  <si>
    <t xml:space="preserve">eventType="Win-Security-5136" AND propName="msDS-KeyCredentialLink"</t>
  </si>
  <si>
    <t xml:space="preserve">REGEXP:Win-.*-30[^\d]*
REGEXP:Win-.*-30[^\d]*
REGEXP:Win-.*-30[^\d]*</t>
  </si>
  <si>
    <t xml:space="preserve">(eventType REGEXP "Win-.*-30[^\d]*" AND queryFilter REGEXP "Domain Admins|\(groupType:1\.2\.840\.113556\.1\.4\.803:=2147483648\)|\(groupType:1\.2\.840\.113556\.1\.4\.803:=2147483650\)|\(groupType:1\.2\.840\.113556\.1\.4\.803:=2147483652\)|\(groupType:1\.2\.840\.113556\.1\.4\.803:=2147483656\)|\(objectCategory=domain\)|\(objectCategory=groupPolicyContainer\)|\(objectCategory=group\)|\(objectCategory=nTDSDSA\)|\(objectCategory=organizationalUnit\)|\(objectCategory=person\)|\(objectCategory=server\)|\(objectCategory=user\)|\(objectClass=computer\)|\(objectClass=group\)|\(objectClass=server\)|\(objectClass=trustedDomain\)|\(objectClass=user\)|\(primaryGroupID=512\)|\(primaryGroupID=515\)|\(primaryGroupID=516\)|\(primaryGroupID=521\)|\(sAMAccountType=268435456\)|\(sAMAccountType=268435457\)|\(sAMAccountType=536870912\)|\(sAMAccountType=536870913\)|\(sAMAccountType=805306368\)|\(sAMAccountType=805306369\)|\(schemaIDGUID=\*\)|admincount=1|objectGUID=\*" AND (eventType NOT REGEXP "Win-.*-30[^\d]*" OR queryFilter NOT REGEXP "\(domainSid=.*\)|\(objectSid=.*\)")) OR (eventType REGEXP "Win-.*-30[^\d]*" AND queryFilter REGEXP "\!\(UserAccountControl:1\.2\.840\.113556\.1\.4\.803:=2\)|\!\(userAccountControl:1\.2\.840\.113556\.1\.4\.803:=1048574\)|\(accountExpires=0\)|\(accountExpires=9223372036854775807\)|\(adminCount=1\)|\(userAccountControl:1\.2\.840\.113556\.1\.4\.803:=2097152\)|\(userAccountControl:1\.2\.840\.113556\.1\.4\.803:=4194304\)|\(userAccountControl:1\.2\.840\.113556\.1\.4\.803:=524288\)|\(userAccountControl:1\.2\.840\.113556\.1\.4\.803:=544\)|\(userAccountControl:1\.2\.840\.113556\.1\.4\.803:=65536\)|\(userAccountControl:1\.2\.840\.113556\.1\.4\.803:=8192\)|ms-MCS-AdmPwd|msDS-AllowedToActOnBehalfOfOtherIdentity|msDS-AllowedToDelegateTo|msDS-GroupManagedServiceAccount") OR (eventType REGEXP "Win-.*-30[^\d]*" AND queryFilter="(objectclass=*)" AND resourceName REGEXP "CN=Domain Admins|CN=Enterprise Admins|CN=Group Policy Creator Owners")</t>
  </si>
  <si>
    <t xml:space="preserve">eventType="Win-Security-4662" AND osObjType REGEXP "bf967aba-0de6-11d0-a285-00aa003049e2" AND fileAccess REGEXP "1\?$|3\?$|4\?$|7\?$|9\?$|B\?$|D\?$|F\?$" AND user NOT REGEXP "\$$|^MSOL_"</t>
  </si>
  <si>
    <t xml:space="preserve">eventType="Win-Sysmon-1-Create-Process" AND (command REGEXP " cp | mi | mv |copy |copy-item|cpi |move |move-item" OR procName REGEXP "\\esentutl\.exe$|\\robocopy\.exe$|\\xcopy\.exe$" OR srcFileName IN ("XCOPY.EXE","esentutl.exe","robocopy.exe")) AND command REGEXP "\\Amigo\\User Data|\\BraveSoftware\\Brave-Browser\\User Data|\\CentBrowser\\User Data|\\Chromium\\User Data|\\CocCoc\\Browser\\User Data|\\Comodo\\Dragon\\User Data|\\Elements Browser\\User Data|\\Epic Privacy Browser\\User Data|\\Google\\Chrome Beta\\User Data|\\Google\\Chrome SxS\\User Data|\\Google\\Chrome\\User Data\\|\\Kometa\\User Data|\\Maxthon5\\Users|\\Microsoft\\Edge\\User Data|\\Mozilla\\Firefox\\Profiles|\\Nichrome\\User Data|\\Opera Software\\Opera GX Stable\\|\\Opera Software\\Opera Neon\\User Data|\\Opera Software\\Opera Stable\\|\\Orbitum\\User Data|\\QIP Surf\\User Data|\\Sputnik\\User Data|\\Torch\\User Data|\\Vivaldi\\User Data|\\uCozMedia\\Uran\\User Data"</t>
  </si>
  <si>
    <t xml:space="preserve">eventType="Win-Sysmon-10-ProcessAccess" AND targetProcName REGEXP "\\lsass\.exe$" AND accessKeyId REGEXP "0x1038|0x1438|0x143a|0x1fffff" AND procPath REGEXP "dbgcore\.dll|dbghelp\.dll|kernel32\.dll|kernelbase\.dll|ntdll\.dll" AND user NOT REGEXP "AUTHORI|AUTORI" AND (procPath NOT REGEXP ":\\Windows\\Temp\\asgard2-agent\\" OR procPath NOT REGEXP "\\thor\\thor64\.exe\+" OR procPath NOT REGEXP "\|UNKNOWN\(" OR accessKeyId!="0x103800") AND procName NOT REGEXP ":\\Windows\\Sysmon64\.exe$"</t>
  </si>
  <si>
    <t xml:space="preserve">eventType="Win-Sysmon-1-Create-Process" AND (procName REGEXP "\\Werfault\.exe$" OR srcFileName="WerFault.exe") AND userGrp REGEXP "AUTHORI|AUTORI" AND (user REGEXP "AUTHORI|AUTORI" OR domain REGEXP "AUTHORI|AUTORI") AND command REGEXP " -u -p " AND command REGEXP " -ip " AND command REGEXP " -s " AND parentProcName!="C:\\Windows\\System32\\lsass.exe"</t>
  </si>
  <si>
    <t xml:space="preserve">eventType="Win-Sysmon-1-Create-Process" AND (command REGEXP " -ma " OR command REGEXP " /ma " OR command REGEXP " -mm " OR command REGEXP " /mm " OR command REGEXP " -mp " OR command REGEXP " /mp ") AND command REGEXP " keyiso| ls| samss"</t>
  </si>
  <si>
    <t xml:space="preserve">eventType="Win-Sysmon-1-Create-Process" AND ((procName REGEXP "\\tshark\.exe$" AND command REGEXP ".*-i.*") OR procName REGEXP "\\windump\.exe$")</t>
  </si>
  <si>
    <t xml:space="preserve">sus_newcreds_logon</t>
  </si>
  <si>
    <t xml:space="preserve">winLogonType=9 AND winLogonProc="seclogo" AND targetUserSID REGEXP "S-1-12-1-.*|S-1-5-21-.*"</t>
  </si>
  <si>
    <t xml:space="preserve">eventType="Win-Security-4624" AND winLogonType=9 AND winLogonProc="seclogo" AND targetUserSID REGEXP "S-1-12-1-.*|S-1-5-21-.*"</t>
  </si>
  <si>
    <t xml:space="preserve">pth</t>
  </si>
  <si>
    <t xml:space="preserve">winLogonType=3 AND winLogonProc="NtLmSsp"</t>
  </si>
  <si>
    <t xml:space="preserve">srcIpAddr,hostName,user</t>
  </si>
  <si>
    <t xml:space="preserve">eventType="Win-Security-4624" AND winLogonType=3 AND winLogonProc="NtLmSsp"</t>
  </si>
  <si>
    <t xml:space="preserve">eventType="Win-Sysmon-1-Create-Process" AND (procName REGEXP "\\dsacls\.exe$" OR srcFileName="DSACLS.EXE") AND (command REGEXP ".*/user:.*" AND command REGEXP ".*/passwd:.*")</t>
  </si>
  <si>
    <t xml:space="preserve">eventType="Win-Sysmon-1-Create-Process" AND (procName REGEXP "\\cmdkey\.exe$" OR srcFileName="cmdkey.exe") AND command REGEXP ".* -l.*|.* /l.*"</t>
  </si>
  <si>
    <t xml:space="preserve">eventType="Win-Sysmon-11-FileCreate" AND (fileName REGEXP ":\\sam$|\\AppData\\Local\\sam$|\\AppData\\Roaming\\sam$|\\Documents\\SAM\.export$|\\Intel\\sam$|\\Perflogs\\sam$|\\ProgramData\\sam$|\\Temp\\sam$|\\Users\\Public\\sam$|\\sam\.hive$|\\sam\.sav$|_ShadowSteal\.zip$" OR fileName REGEXP ".*\\hive_sam_.*|.*\\sam\.backup.*|.*\\sam\.bck.*|.*\\sam\.export.*|.*\\sam\.save.*|.*\\sam_backup.*|.*\\~reg_sam\.save.*")</t>
  </si>
  <si>
    <t xml:space="preserve">eventType="Win-Sysmon-1-Create-Process" AND (procName REGEXP "\\setspn\.exe$" OR srcFileName="setspn.exe" OR (description REGEXP "Query or reset the computer" AND description REGEXP "SPN attribute")) AND command REGEXP " -q | /q "</t>
  </si>
  <si>
    <t xml:space="preserve">((eventType="Win-Security-4656" AND osObjName REGEXP "\\lsass\.exe$" AND fileAccess REGEXP "0x100000|0x1010|0x1400|0x1410|0x1418|0x1438|0x143a|0x1f0fff|0x1f1fff|0x1f2fff|0x1f3fff|0x40") OR (eventType="Win-Security-4663" AND osObjName REGEXP "\\lsass\.exe$" AND osObjAccessType REGEXP "4416|4484")) AND (procName NOT REGEXP "RtkAudUService64$|\\GamingServices\.exe$|\\MRT\.exe$|\\MicrosoftEdgeUpdate\.exe$|\\MsMpEng\.exe$|\\VsTskMgr\.exe$|\\csrss\.exe$|\\lsm\.exe$|\\minionhost\.exe$|\\perfmon\.exe$|\\procexp64\.exe$|\\procexp\.exe$|\\svchost\.exe$|\\taskmgr\.exe$|\\thor64\.exe$|\\thor\.exe$|\\vmtoolsd\.exe$|\\wininit\.exe$|\\wmiprvse\.exe$" OR procName NOT REGEXP ":\\Program Files \(x86\)\\|:\\Program Files\\|:\\ProgramData\\Microsoft\\Windows Defender\\Platform\\|:\\Windows\\SysNative\\|:\\Windows\\SysWow64\\|:\\Windows\\System32\\|:\\Windows\\Temp\\asgard2-agent\\") AND procName NOT REGEXP ":\\Program Files" AND procName NOT REGEXP ":\\Windows\\CCM\\CcmExec\.exe$|:\\Windows\\System32\\msiexec\.exe$|:\\Windows\\System32\\taskhostw\.exe$" AND (procName NOT REGEXP ":\\Windows\\Sysmon64\.exe$" OR osObjAccessType NOT REGEXP "%%4484") AND (procName NOT REGEXP ":\\Windows\\Temp\\asgard2-agent-sc\\aurora\\" OR procName NOT REGEXP "\\aurora-agent-64\.exe$" OR osObjAccessType NOT REGEXP "%%4484") AND (procName NOT REGEXP "\\x64\\SCENARIOENGINE\.EXE$" OR osObjAccessType NOT REGEXP "%%4484") AND (procName NOT REGEXP ":\\Users\\" OR procName NOT REGEXP "\\AppData\\Local\\Temp\\is-" OR procName NOT REGEXP "\\avira_system_speedup\.tmp$" OR osObjAccessType NOT REGEXP "%%4484") AND (procName NOT REGEXP ":\\Windows\\Temp\\" OR procName NOT REGEXP "\\avira_speedup_setup_update\.tmp$" OR osObjAccessType NOT REGEXP "%%4484") AND (procName NOT REGEXP ":\\Windows\\System32\\snmp\.exe$" OR osObjAccessType NOT REGEXP "%%4484") AND (procName NOT REGEXP ":\\Windows\\SystemTemp\\" OR procName NOT REGEXP "\\GoogleUpdate\.exe$" OR osObjAccessType NOT REGEXP "%%4484") AND (procName NOT REGEXP "\\procmon64\.exe$|\\procmon\.exe$" OR osObjAccessType NOT REGEXP "%%4484")</t>
  </si>
  <si>
    <t xml:space="preserve">eventType="Win-Sysmon-1-Create-Process" AND command REGEXP "find |find\.exe|findstr|select-string |strings" AND command REGEXP " 'eyJ0eX'| 'eyJhbG'| \"eyJ0eX\"| \"eyJhbG\"| eyJ0eX| eyJhbG|eyJ0eXAiOi|eyJhbGciOi"</t>
  </si>
  <si>
    <t xml:space="preserve">eventType="Win-Sysmon-7-Image-Loaded" AND loadedProcName REGEXP "\\vsstrace\.dll$" AND procName NOT IN ("C:\\Windows\\ImmersiveControlPanel\\SystemSettings.exe","C:\\Windows\\explorer.exe") AND procName NOT REGEXP "^C:\\ProgramData\\Package Cache\\\{|^C:\\Windows\\SysWOW64\\|^C:\\Windows\\System32\\|^C:\\Windows\\Temp\\\{|^C:\\Windows\\WinSxS\\" AND procName NOT REGEXP "^C:\\Program Files \(x86\)\\|^C:\\Program Files\\" AND procName IS NOT NULL AND procName NOT REGEXP "^C:\\\$WinREAgent\\Scratch\\" AND (procName NOT REGEXP "\\temp\\is-" OR procName NOT REGEXP "\\avira_system_speedup\.tmp")</t>
  </si>
  <si>
    <t xml:space="preserve">eventType="Win-Sysmon-1-Create-Process" AND command REGEXP ".*Get-Process lsas.*|.*gps lsas.*|.*ps lsas.*"</t>
  </si>
  <si>
    <t xml:space="preserve">eventType="Win-Sysmon-1-Create-Process" AND command REGEXP ".*\\HarddiskVolumeShadowCopy.*" AND command REGEXP ".*System32\\config\\sam.*" AND command REGEXP ".*Copy-Item.*|.*\.File\]::Copy\(.*|.*copy \$_\..*|.*cp \$_\..*|.*cpi \$_\..*"</t>
  </si>
  <si>
    <t xml:space="preserve">(eventType="Win-Security-5136" AND propName="ntSecurityDescriptor" AND propValue REGEXP ".*1131f6aa-9c07-11d1-f79f-00c04fc2dcd2.*|.*1131f6ad-9c07-11d1-f79f-00c04fc2dcd2.*|.*89e95b76-444d-4c62-991a-0facbeda640c.*") AND ((osObjType NOT IN ("dnsNode","dnsZone","dnsZoneScope")))</t>
  </si>
  <si>
    <t xml:space="preserve">eventType="Win-Sysmon-1-Create-Process" AND command REGEXP ".*\.asc.*|.*\.cer.*|.*\.gpg.*|.*\.key.*|.*\.p12.*|.*\.p7b.*|.*\.pem.*|.*\.pfx.*|.*\.pgp.*|.*\.ppk.*" AND (((procName REGEXP "\\cmd\.exe$" OR srcFileName="Cmd.Exe") AND command REGEXP ".*dir .*") OR ((procName REGEXP "\\powershell\.exe$|\\pwsh\.exe$" OR srcFileName IN ("PowerShell.EXE","pwsh.dll")) AND command REGEXP ".*Get-ChildItem .*") OR procName REGEXP "\\findstr\.exe$" OR srcFileName="FINDSTR.EXE")</t>
  </si>
  <si>
    <t xml:space="preserve">eventType="Win-Sysmon-1-Create-Process" AND (command REGEXP ".*copy procdump.*|.*move procdump.*" OR (command REGEXP ".*copy .*" AND command REGEXP ".*\.dmp .*" AND command REGEXP ".*2\.dmp.*|.*lsass.*|.*out\.dmp.*") OR command REGEXP ".*copy lsass\.exe_.*|.*move lsass\.exe_.*")</t>
  </si>
  <si>
    <t xml:space="preserve">eventType="Win-Sysmon-1-Create-Process" AND procName REGEXP "\\procdump64\.exe$|\\procdump\.exe$"</t>
  </si>
  <si>
    <t xml:space="preserve">eventType="Win-Sysmon-1-Create-Process" AND (command REGEXP ".*\\TrolleyExpress 7.*|.*\\TrolleyExpress 8.*|.*\\TrolleyExpress 9.*|.*\\TrolleyExpress\.exe -ma .*|.*\\TrolleyExpress\.exe 7.*|.*\\TrolleyExpress\.exe 8.*|.*\\TrolleyExpress\.exe 9.*" OR (procName REGEXP "\\TrolleyExpress\.exe$" AND ((srcFileName NOT REGEXP ".*CtxInstall.*") AND (srcFileName IS NOT NULL))))</t>
  </si>
  <si>
    <t xml:space="preserve">eventType="Win-Sysmon-1-Create-Process" AND (((procName REGEXP "\\rundll32\.exe$" OR srcFileName="RUNDLL32.EXE" OR command REGEXP ".*rundll32.*") AND (command REGEXP ".*comsvcs.*" AND command REGEXP ".*full.*" AND command REGEXP ".*#24.*|.*#\+24.*|.*#65560.*|.*24 .*|.*MiniDump.*")) OR command REGEXP ".*#-4294967272.*")</t>
  </si>
  <si>
    <t xml:space="preserve">eventType="Win-Sysmon-11-FileCreate" AND (fileName REGEXP ".*\\PROCEXP.*" AND fileName REGEXP "\.sys$") AND ((procName NOT REGEXP "\\procexp64\.exe$|\\procexp\.exe$"))</t>
  </si>
  <si>
    <t xml:space="preserve">eventType="Win-Sysmon-1-Create-Process" AND (procName REGEXP "\\dotnet-dump\.exe$" OR srcFileName="dotnet-dump.dll") AND command REGEXP ".*collect.*"</t>
  </si>
  <si>
    <t xml:space="preserve">eventType="Win-Sysmon-1-Create-Process" AND command REGEXP ".*[-/–—―]memdmp.*|.*fullmemdmp.*" AND ((command REGEXP ".* [-/–—―]o .*" AND command REGEXP ".* [-/–—―]p .*") OR (procName REGEXP ".*\\rdrleakdiag\.exe" OR srcFileName="RdrLeakDiag.exe"))</t>
  </si>
  <si>
    <t xml:space="preserve">eventType="Win-Sysmon-11-FileCreate" AND (fileName REGEXP ".*\\procmon.*" AND fileName REGEXP "\.sys$") AND ((procName NOT REGEXP "\\procmon64\.exe$|\\procmon\.exe$"))</t>
  </si>
  <si>
    <t xml:space="preserve">eventType="Win-Sysmon-1-Create-Process" AND (procName REGEXP "\\ditsnap\.exe$" OR command REGEXP ".*ditsnap\.exe.*")</t>
  </si>
  <si>
    <t xml:space="preserve">eventType="Win-Sysmon-1-Create-Process" AND (description="Web Browser Password Viewer" OR procName REGEXP "\\WebBrowserPassView\.exe$")</t>
  </si>
  <si>
    <t xml:space="preserve">eventType="Win-Sysmon-11-FileCreate" AND fileName REGEXP ".*\\AppData\\Local\\Temp\\SAM-.*" AND fileName REGEXP ".*\.dmp.*"</t>
  </si>
  <si>
    <t xml:space="preserve">eventType="Win-Security-4611" AND winLogonProc="User32LogonProcesss"</t>
  </si>
  <si>
    <t xml:space="preserve">eventType="Win-Sysmon-1-Create-Process" AND procName REGEXP "\\pypykatz\.exe$|\\python\.exe$" AND command REGEXP ".*live.*" AND command REGEXP ".*registry.*"</t>
  </si>
  <si>
    <t xml:space="preserve">eventType="Win-Sysmon-1-Create-Process" AND command REGEXP ".*/c .*" AND command REGEXP ".*echo .*" AND command REGEXP ".*\.exe --set-password.*"</t>
  </si>
  <si>
    <t xml:space="preserve">eventType="Win-Sysmon-10-ProcessAccess" AND targetProcName REGEXP "\\lsass\.exe$" AND procName REGEXP ":\\Windows\\system32\\wsmprovhost\.exe$" AND accessKeyId!="0x80000000"</t>
  </si>
  <si>
    <t xml:space="preserve">eventType="Win-Sysmon-1-Create-Process" AND (command REGEXP " dclist | oudmp |-sc u:|-subnets -f|adinfo|computer_pwdnotreqd|computers_active|computers_pwdnotreqd|dcmodes|domainlist|domainncs|dompol|fspdmp|gpodmp|name=\"Domain Admins\"|objectcategory=|subnetdmp|trustdmp|users_noexpire" OR hashIMP IN ("12CE1C0F3F5837ECC18A3782408FA975","21AA085D54992511B9F115355E468782","49B639B4ACBECC49D72A01F357AA4930","4FBF3F084FBBB2470B80B2013134DF35","53E117A96057EAF19C41380D0E87F1C2","680DAD9E300346E05A85023965867201","BCA5675746D13A1F246E2DA3C2217492","D144DE8117DF2BECEABA2201AD304764") OR srcFileName="AdFind.exe") AND procName NOT REGEXP "\\AdFind\.exe$"</t>
  </si>
  <si>
    <t xml:space="preserve">eventType="Win-Sysmon-1-Create-Process" AND srcFileName="BrowserCore.exe" AND ((procName NOT REGEXP "\\BrowserCore\.exe$"))</t>
  </si>
  <si>
    <t xml:space="preserve">eventType="Win-Sysmon-1-Create-Process" AND (srcFileName="FX_VER_INTERNALNAME_STR" OR (command REGEXP ".* -u .*" AND command REGEXP ".* -f .*" AND command REGEXP ".*\.dmp.*") OR (command REGEXP ".* --full .*" AND command REGEXP ".* --name .*" AND command REGEXP ".*\.dmp.*")) AND (procName NOT REGEXP "\\createdump\.exe$")</t>
  </si>
  <si>
    <t xml:space="preserve">eventType="Win-Sysmon-1-Create-Process" AND (srcFileName="procdump" OR ((command REGEXP ".* [-/–—―]ma .*" OR command REGEXP ".* [-/–—―]mp .*") AND command REGEXP ".* [-/–—―]accepteula .*")) AND (procName NOT REGEXP "\\procdump64\.exe$|\\procdump\.exe$")</t>
  </si>
  <si>
    <t xml:space="preserve">eventType="Win-Sysmon-11-FileCreate" AND fileName REGEXP "\\Temp\\debug\.bin$"</t>
  </si>
  <si>
    <t xml:space="preserve">eventType="Win-Security-4656" AND osObjType="Key" AND osObjName REGEXP "\\SAM$"</t>
  </si>
  <si>
    <t xml:space="preserve">eventType REGEXP "Win-Sysmon-12-Registry-.*|Win-Sysmon-13-Registry-.*|Win-Sysmon-14-Registry-.*" AND regKeyPath REGEXP "\\Control\\Lsa\\OSConfig\\Security Packages$|\\Control\\Lsa\\Security Packages$" AND procName NOT IN ("C:\\Windows\\system32\\msiexec.exe","C:\\Windows\\syswow64\\MsiExec.exe") AND procName IS NOT NULL</t>
  </si>
  <si>
    <t xml:space="preserve">eventType="Win-Sysmon-1-Create-Process" AND command REGEXP "\\\\\?\\GLOBALROOT\\Device\\HarddiskVolumeShadowCopy" AND command REGEXP "\\NTDS\.dit|\\SECURITY|\\SYSTEM"</t>
  </si>
  <si>
    <t xml:space="preserve">eventType="Win-Sysmon-1-Create-Process" AND (procName REGEXP "\\powershell\.exe$|\\pwsh\.exe$|\\vssadmin\.exe$|\\wmic\.exe$" OR srcFileName IN ("PowerShell.EXE","VSSADMIN.EXE","pwsh.dll","wmic.exe")) AND (command REGEXP ".*shadow.*" AND command REGEXP ".*create.*")</t>
  </si>
  <si>
    <t xml:space="preserve">eventType REGEXP "Win-Sysmon-12-Registry-.*|Win-Sysmon-13-Registry-.*|Win-Sysmon-14-Registry-.*" AND regKeyPath REGEXP ".*Microsoft\\Windows NT\\CurrentVersion\\SilentProcessExit\\lsass\.exe.*"</t>
  </si>
  <si>
    <t xml:space="preserve">eventType="Win-Sysmon-1-Create-Process" AND (product="SQLite" OR procName REGEXP "\\sqlite3\.exe$|\\sqlite\.exe$") AND command REGEXP ".*\\ChromiumViewer\\.*|.*\\Opera Software\\.*|.*\\User Data\\.*" AND command REGEXP ".*Bookmarks.*|.*Cookies.*|.*History.*|.*Login Data.*|.*Web Data.*"</t>
  </si>
  <si>
    <t xml:space="preserve">eventType="Win-Sysmon-1-Create-Process" AND (product="SQLite" OR procName REGEXP "\\sqlite3\.exe$|\\sqlite\.exe$") AND command REGEXP ".*cookies\.sqlite.*|.*places\.sqlite.*"</t>
  </si>
  <si>
    <t xml:space="preserve">eventType="Win-Sysmon-1-Create-Process" AND (procName REGEXP "\\ADExp\.exe$|\\ADExplorer64\.exe$|\\ADExplorer64a\.exe$|\\ADExplorer\.exe$" OR srcFileName="AdExp" OR description="Active Directory Editor" OR product="Sysinternals ADExplorer") AND command REGEXP "snapshot" AND command REGEXP "\\AppData\\|\\Downloads\\|\\Users\\Public\\|\\Windows\\Temp\\"</t>
  </si>
  <si>
    <t xml:space="preserve">eventType="Win-Sysmon-1-Create-Process" AND ((command REGEXP ".*localgroup .*" AND command REGEXP ".* /add.*") OR (command REGEXP ".*Add-LocalGroupMember .*" AND command REGEXP ".* -Group .*")) AND command REGEXP ".*Remote Desktop Users.*|.*Usuarios de escritorio remoto.*|.*Utilisateurs du Bureau . distance.*"</t>
  </si>
  <si>
    <t xml:space="preserve">eventType="Win-Sysmon-1-Create-Process" AND command REGEXP ".*\\Microsoft\\Teams\\Cookies.*|.*\\Microsoft\\Teams\\Local Storage\\leveldb.*" AND (procName NOT REGEXP "\\Microsoft\\Teams\\current\\Teams\.exe$")</t>
  </si>
  <si>
    <t xml:space="preserve">(eventType IN ("Win-Security-4769-failure","Win-Security-4769-success") AND kerbTicketOption="0x40810000" AND encryptAlgo="0x17") AND (serviceName NOT REGEXP "\$$")</t>
  </si>
  <si>
    <t xml:space="preserve">eventType="Win-Sysmon-1-Create-Process" AND (procName REGEXP "\\rundll32\.exe$" OR srcFileName="RUNDLL32.EXE") AND (command REGEXP ".*keymgr.*" AND command REGEXP ".*KRShowKeyMgr.*")</t>
  </si>
  <si>
    <t xml:space="preserve">eventType="Win-Sysmon-10-ProcessAccess" AND targetProcName REGEXP "\\lsass\.exe$" AND procName REGEXP "\\svchost\.exe$" AND accessKeyId="0x14c0" AND procPath REGEXP ".*seclogon\.dll.*"</t>
  </si>
  <si>
    <t xml:space="preserve">eventType="Win-Sysmon-1-Create-Process" AND procName REGEXP "\\Windows\\System32\\lsass\.exe$" AND parentProcName REGEXP "\\Windows\\System32\\lsass\.exe$"</t>
  </si>
  <si>
    <t xml:space="preserve">eventType="Win-Sysmon-1-Create-Process" AND ((procName REGEXP ".*\\net1\.exe|.*\\net\.exe" OR srcFileName IN ("net.exe","net1.exe")) AND command REGEXP ".* user .*" AND command REGEXP ".* 'Administrador' .*|.* 'Administrateur' .*|.* 'Administrator' .*|.* 'DefaultAccount' .*|.* 'Rendszergazda' .*|.* 'guest' .*|.* Administrador .*|.* Administrateur .*|.* Administrator .*|.* DefaultAccount .*|.* Rendszergazda .*|.* \"Administrador\" .*|.* \"Administrateur\" .*|.* \"Administrator\" .*|.* \"DefaultAccount\" .*|.* \"guest\" .*|.* guest .*") AND (command NOT REGEXP ".*guest.*" OR command NOT REGEXP ".*/active no.*")</t>
  </si>
  <si>
    <t xml:space="preserve">eventType="Win-Sysmon-11-FileCreate" AND fileName REGEXP "\.ntds\.cleartext$|\\All\.cab$"</t>
  </si>
  <si>
    <t xml:space="preserve">eventType="Win-Sysmon-1-Create-Process" AND (procName REGEXP "\\rundll32\.exe$" OR srcFileName="RUNDLL32.EXE") AND (command REGEXP ".*C:\\windows\\system32\\davclnt\.dll,DavSetCookie.*" AND command REGEXP ".*http.*" AND command REGEXP ".*/print/pipe/.*|.*spoolss.*|.*srvsvc.*")</t>
  </si>
  <si>
    <t xml:space="preserve">eventType="Win-Sysmon-1-Create-Process" AND (((procName REGEXP "\\NTDSDumpEx\.exe$|\\NTDSDump\.exe$" OR (command REGEXP ".*ntds\.dit.*" AND command REGEXP ".*system\.hiv.*") OR command REGEXP ".*NTDSgrab\.ps1.*") OR (command REGEXP ".*ac i ntds.*" AND command REGEXP ".*create full.*") OR (command REGEXP ".*/c copy .*" AND command REGEXP ".*\\windows\\ntds\\ntds\.dit.*") OR (command REGEXP ".*activate instance ntds.*" AND command REGEXP ".*create full.*") OR (command REGEXP ".*powershell.*" AND command REGEXP ".*ntds\.dit.*")) OR (command REGEXP ".*ntds\.dit.*" AND (parentProcName REGEXP ".*\\AppData\\.*|.*\\PerfLogs\\.*|.*\\Public\\.*|.*\\Temp\\.*|.*\\apache.*|.*\\tomcat.*" OR procName REGEXP ".*\\AppData\\.*|.*\\PerfLogs\\.*|.*\\Public\\.*|.*\\Temp\\.*|.*\\apache.*|.*\\tomcat.*")))</t>
  </si>
  <si>
    <t xml:space="preserve">user IS NULL AND eventType REGEXP "Win-.*-31017[^\d]*" AND serverName REGEXP "^\\1"</t>
  </si>
  <si>
    <t xml:space="preserve">eventType="Win-Sysmon-7-Image-Loaded" AND (procName REGEXP "\\rundll32\.exe$" AND hashIMP IN ("281D618F4E6271E527E6386EA6F748DE","407CA0F7B523319D758A40D7C0193699","5E0DBDEC1FCE52DAAE251A110B4F309D","EADBCCBB324829ACB5F2BBE87E5549A8","EED93054CB555F3DE70EAA9787F32EBB")) AND (loadedProcName NOT REGEXP "\\comsvcs\.dll$")</t>
  </si>
  <si>
    <t xml:space="preserve">eventType="Win-Sysmon-1-Create-Process" AND command REGEXP ".*\\SYSVOL\\.*" AND command REGEXP ".*\\policies\\.*"</t>
  </si>
  <si>
    <t xml:space="preserve">(eventType="Win-Security-4663" AND osObjName REGEXP ".*\\Microsoft\\Teams\\Cookies.*|.*\\Microsoft\\Teams\\Local Storage\\leveldb.*") AND (procName NOT REGEXP ".*\\Microsoft\\Teams\\current\\Teams\.exe.*")</t>
  </si>
  <si>
    <t xml:space="preserve">eventType="Win-Sysmon-7-Image-Loaded" AND loadedProcName REGEXP "\\dbgcore\.dll$|\\dbghelp\.dll$" AND authResult="false"</t>
  </si>
  <si>
    <t xml:space="preserve">eventType="Win-Sysmon-1-Create-Process" AND (procName REGEXP "\\ntdsutil\.exe$" OR srcFileName="ntdsutil.exe") AND ((command REGEXP ".*snapshot.*" AND command REGEXP ".*mount .*") OR (command REGEXP ".*ac.*" AND command REGEXP ".* i.*" AND command REGEXP ".* ntds.*"))</t>
  </si>
  <si>
    <t xml:space="preserve">eventType="Win-Sysmon-7-Image-Loaded" AND loadedProcName REGEXP "\\vss_ps\.dll$" AND (procName NOT REGEXP "^C:\\Windows\\" OR procName NOT REGEXP "\\System32\\SystemPropertiesAdvanced\.exe$|\\WmiPrvSE\.exe$|\\clussvc\.exe$|\\dismhost\.exe$|\\dllhost\.exe$|\\inetsrv\\appcmd\.exe$|\\inetsrv\\iissetup\.exe$|\\msiexec\.exe$|\\rundll32\.exe$|\\searchindexer\.exe$|\\srtasks\.exe$|\\svchost\.exe$|\\taskhostw\.exe$|\\thor64\.exe$|\\thor\.exe$|\\tiworker\.exe$|\\vssadmin\.exe$|\\vssvc\.exe$|\\wsmprovhost\.exe$") AND (command NOT REGEXP "^C:\\\$WinREAgent\\Scratch\\" OR command NOT REGEXP "\\dismhost\.exe \{") AND procName IS NOT NULL AND procName NOT REGEXP "^C:\\Program Files \(x86\)\\|^C:\\Program Files\\"</t>
  </si>
  <si>
    <t xml:space="preserve">eventType="Win-Sysmon-7-Image-Loaded" AND loadedProcName REGEXP "\\vssapi\.dll$" AND procName NOT IN ("C:\\Windows\\ImmersiveControlPanel\\SystemSettings.exe","C:\\Windows\\explorer.exe") AND procName NOT REGEXP "^C:\\Windows\\SysWOW64\\|^C:\\Windows\\System32\\|^C:\\Windows\\Temp\\\{|^C:\\Windows\\WinSxS\\" AND procName NOT REGEXP "^C:\\Program Files \(x86\)\\|^C:\\Program Files\\" AND procName IS NOT NULL AND procName NOT REGEXP "^C:\\ProgramData\\Package Cache\\" AND (procName NOT REGEXP "\\temp\\is-" OR procName NOT REGEXP "\\avira_system_speedup\.tmp")</t>
  </si>
  <si>
    <t xml:space="preserve">eventType="Win-Sysmon-7-Image-Loaded" AND loadedProcName REGEXP "\\ttdloader\.dll$|\\ttdrecord\.dll$|\\ttdwriter\.dll$"</t>
  </si>
  <si>
    <t xml:space="preserve">eventType="Win-Sysmon-1-Create-Process" AND parentProcName REGEXP "\\tttracer\.exe$"</t>
  </si>
  <si>
    <t xml:space="preserve">eventType="Win-Security-5145" AND (targetName REGEXP "\\hiberfil|\\lsass|\\mimidrv|\\sqldmpr|\\windows\\minidump\\" OR targetName IN ("Windows\\NTDS\\ntds.dit","Windows\\System32\\config\\SAM","Windows\\System32\\config\\SECURITY","Windows\\System32\\config\\SYSTEM"))</t>
  </si>
  <si>
    <t xml:space="preserve">eventType="Win-Sysmon-11-FileCreate" AND (fileName REGEXP ".*\\SAM-2021-.*|.*\\SAM-2022-.*|.*\\SAM-2023-.*|.*\\SAM-haxx.*|.*\\Sam\.save.*|.*\\hive_sam_.*" OR fileName="C:\\windows\\temp\\sam")</t>
  </si>
  <si>
    <t xml:space="preserve">eventType="Win-Sysmon-7-Image-Loaded" AND procName REGEXP "\\lsass\.exe$" AND authResult="false"</t>
  </si>
  <si>
    <t xml:space="preserve">eventType="Win-Sysmon-1-Create-Process" AND (procName REGEXP "\\adplus\.exe$" OR srcFileName="Adplus.exe") AND command REGEXP ".* -c .*|.* -hang .*|.* -p .*|.* -pmn .*|.* -pn .*|.* -po .*|.* -sc .*"</t>
  </si>
  <si>
    <t xml:space="preserve">eventType="Win-Sysmon-1-Create-Process" AND (procName REGEXP "\\pktmon\.exe$" OR srcFileName="PktMon.exe")</t>
  </si>
  <si>
    <t xml:space="preserve">eventType = "Win-Security-4732" AND ( groupID = "S-1-5-32-544" OR targetUserGrp REGEXP "^Administr" ) AND user NOT REGEXP "\$$"</t>
  </si>
  <si>
    <t xml:space="preserve">eventType="Win-Sysmon-1-Create-Process" AND procName REGEXP "\\sqlcmd\.exe$" AND command REGEXP ".*SELECT.*" AND command REGEXP ".*TOP.*" AND command REGEXP ".*\[VeeamBackup\]\.\[dbo\]\.\[Credentials\].*"</t>
  </si>
  <si>
    <t xml:space="preserve">eventType="Win-System-Microsoft-Windows-Ntfs-98" AND hostName REGEXP ".*HarddiskVolumeShadowCopy.*"</t>
  </si>
  <si>
    <t xml:space="preserve">eventType="Win-Sysmon-1-Create-Process" AND command REGEXP ".*mklink.*" AND command REGEXP ".*HarddiskVolumeShadowCopy.*"</t>
  </si>
  <si>
    <t xml:space="preserve">resourceName="VSSAudit" AND eventType IN ("Win-Security-4904","Win-Security-4905")</t>
  </si>
  <si>
    <t xml:space="preserve">eventType IN ("Win-Security-4656","Win-Security-4663") AND osObjName REGEXP "\\wceaux\.dll$"</t>
  </si>
  <si>
    <t xml:space="preserve">eventType="Win-Sysmon-1-Create-Process" AND command REGEXP "123123qwE|123456789|Asd123\.aaaa|Decryptme|P@ssw0rd\!|Pass8080|password123|test@202"</t>
  </si>
  <si>
    <t xml:space="preserve">eventType="Win-Sysmon-10-ProcessAccess" AND procName REGEXP "\\WerFault\.exe$" AND targetProcName REGEXP "\\lsass\.exe$" AND accessKeyId="0x1FFFFF"</t>
  </si>
  <si>
    <t xml:space="preserve">eventType="Win-Sysmon-11-FileCreate" AND procName="C:\\WINDOWS\\system32\\WerFault.exe" AND fileName REGEXP ".*\\lsass.*|.*lsass\.exe.*"</t>
  </si>
  <si>
    <t xml:space="preserve">eventType REGEXP "Win-Sysmon-12-Registry-.*|Win-Sysmon-13-Registry-.*|Win-Sysmon-14-Registry-.*" AND regKeyPath REGEXP ".*Services\\WCESERVICE\\Start.*"</t>
  </si>
  <si>
    <t xml:space="preserve">eventType="Win-Sysmon-1-Create-Process" AND (procName REGEXP "\\VaultCmd\.exe$" OR srcFileName="VAULTCMD.EXE") AND command REGEXP ".*/listcreds:.*"</t>
  </si>
  <si>
    <t xml:space="preserve">eventType="Win-Security-4697" AND serviceFileName REGEXP ".*USBPcap.*|.*ndiscap.*|.*nm3.*|.*nmnt.*|.*npcap.*|.*npf.*|.*pcap.*|.*pktmon.*|.*windivert.*"</t>
  </si>
  <si>
    <t xml:space="preserve">eventType="Win-Sysmon-1-Create-Process" AND (procName REGEXP "\\xordump\.exe$" OR command REGEXP ".* -m comsvcs .*|.* -m dbgcore .*|.* -m dbghelp .*|.* -process lsass\.exe .*")</t>
  </si>
  <si>
    <t xml:space="preserve">reptDevIpAddr IN (Group@PH_SYS_DEVICE_NETWORK_IPS) AND eventType IN (Group@PH_SYS_EVENT_WirelessMITM)</t>
  </si>
  <si>
    <t xml:space="preserve">eventType = "ArubaCx-UserDeleted"</t>
  </si>
  <si>
    <t xml:space="preserve">eventType = "ArubaCx-UserAdded"</t>
  </si>
  <si>
    <t xml:space="preserve">phEventCategory IN (1,100) AND attackTactic = "Execution"</t>
  </si>
  <si>
    <t xml:space="preserve">FollowOn</t>
  </si>
  <si>
    <t xml:space="preserve">phEventCategory IN (1,100) AND attackTactic IN ("Persistence","Credential Access","Lateral Movement")</t>
  </si>
  <si>
    <t xml:space="preserve">eventType IN ("AWS-CloudTrail-EC2-CreateNetworkAcl","AWS-CloudTrail-EC2-CreateNetworkAclEntry")</t>
  </si>
  <si>
    <t xml:space="preserve">eventType CONTAIN "AWS-CloudTrail-IAM-UpdateAssumeRolePolicy"</t>
  </si>
  <si>
    <t xml:space="preserve">eventType CONTAIN "AWS-CloudTrail-IAM-CreateGroup"</t>
  </si>
  <si>
    <t xml:space="preserve">eventType CONTAIN "AWS-CloudTrail-IAM-DeleteGroup"</t>
  </si>
  <si>
    <t xml:space="preserve">eventType CONTAIN "AWS-CloudTrail-IAM-AddUserToGroup"</t>
  </si>
  <si>
    <t xml:space="preserve">eventType CONTAIN "AWS-CloudTrail-SIGNIN-ConsoleLogin" AND identityType = "Root"</t>
  </si>
  <si>
    <t xml:space="preserve">eventType = "MS_EvtHub_automation_automationaccounts_write"</t>
  </si>
  <si>
    <t xml:space="preserve">MS_EvtHub_update_policy
MS_EvtHub_update_policy</t>
  </si>
  <si>
    <t xml:space="preserve">( eventType = "MS_EvtHub_update_policy" OR eventType = "MS_EvtHub_update_policy" )</t>
  </si>
  <si>
    <t xml:space="preserve">eventType = "MS_EvtHub_eventhub_namespaces_authorizationrules_write"</t>
  </si>
  <si>
    <t xml:space="preserve">eventType = "MS_EvtHub_invite_external_user" AND srcName = "guest"</t>
  </si>
  <si>
    <t xml:space="preserve">eventType = "MS_EvtHub_update_role_setting_in_pim"</t>
  </si>
  <si>
    <t xml:space="preserve">eventType IN (Group@PH_SYS_EVENT_HostLogonFailure,Group@PH_SYS_EVENT_DomainLogonFailure) AND user IS NOT NULL AND srcGeoCity IS NOT NULL</t>
  </si>
  <si>
    <t xml:space="preserve">eventType IN (Group@PH_SYS_EVENT_HostLogonSuccess,Group@PH_SYS_EVENT_DomainLogonSuccess) AND user IS NOT NULL AND srcGeoCity IS NOT NULL</t>
  </si>
  <si>
    <t xml:space="preserve">eventType = "Crowdstrike-Falcon-CorrelationRuleDetectionSummaryEvent"</t>
  </si>
  <si>
    <t xml:space="preserve">eventType = "Crowdstrike-Falcon-FcsIoaDetectionSummaryEvent"</t>
  </si>
  <si>
    <t xml:space="preserve">eventType = "Crowdstrike-Falcon-IdentityProtectionEvent"</t>
  </si>
  <si>
    <t xml:space="preserve">eventType = "Crowdstrike-Falcon-IdpDetectionSummaryEvent"</t>
  </si>
  <si>
    <t xml:space="preserve">Group@PH_SYS_EVENT_DatabaseChange
CONTAIN:user</t>
  </si>
  <si>
    <t xml:space="preserve">eventType IN (Group@PH_SYS_EVENT_DatabaseChange) AND eventType CONTAIN "user"</t>
  </si>
  <si>
    <t xml:space="preserve">Win-Security-531
Win-Security-4625</t>
  </si>
  <si>
    <t xml:space="preserve">eventType = "Win-Security-531" OR ( eventType = "Win-Security-4625" AND winLogonFailCode2 CONTAIN "0xC0000072" )</t>
  </si>
  <si>
    <t xml:space="preserve">eventType = "PH_DEV_MON_DST_AD_REPL_STAT"</t>
  </si>
  <si>
    <t xml:space="preserve">FINS-Windows-file-written
FINS-Windows-file-read
FINS-Windows-file-renamed
Win-Security-4656</t>
  </si>
  <si>
    <t xml:space="preserve">((eventType IN ("FINS-Windows-file-written","FINS-Windows-file-read","FINS-Windows-file-renamed") AND (fileName NOT CONTAIN ".exe" AND fileName NOT CONTAIN ".dll" AND fileName NOT CONTAIN ".cdf-ms" AND filePath NOT REGEXP "^(?i:c:\\\$extend\\\$deleted)")) OR (eventType = "Win-Security-4656" AND (osObjName NOT CONTAIN ".exe" AND osObjName NOT CONTAIN ".dll" AND osObjName NOT CONTAIN ".cdf-ms" AND osObjName NOT REGEXP "^(?i:C:\\Windows)" AND osObjName NOT REGEXP "^(?i:c:\\\$extend\\\$deleted)"))) AND (shortProcName NOT IN ("vcpkg.exe","7z.exe", "7za", "7za.exe", "7zfm.exe", "7zg.exe", "bunzip", "bunzip2", "bzip", "bzip2", "gunzip", "gzip", "peazip.exe", "rar.exe", "tar", "tar.exe", "winrar.exe", "winzip.exe", "zip.exe", "sihost.exe", "photosapp.exe", "vcpkgsrv.exe", "cl.exe", "cppwinrt.exe", "cmake.exe", "perl.exe", "code.exe", "rg.exe"))</t>
  </si>
  <si>
    <t xml:space="preserve">eventType = "PH_DEV_MON_SRC_AD_REPL_STAT"</t>
  </si>
  <si>
    <t xml:space="preserve">Win-Security-629
Win-Security-4725</t>
  </si>
  <si>
    <t xml:space="preserve">reptDevName,reptDevIpAddr,targetUser,computer</t>
  </si>
  <si>
    <t xml:space="preserve">eventType IN ("Win-Security-629","Win-Security-4725")</t>
  </si>
  <si>
    <t xml:space="preserve">reptDevIpAddr,user,computer</t>
  </si>
  <si>
    <t xml:space="preserve">eventType IN (Group@PH_SYS_EVENT_HostLogonFailure,Group@PH_SYS_EVENT_DomainLogonFailure)</t>
  </si>
  <si>
    <t xml:space="preserve">eventType = "PH_DEV_MON_DCDIAG" AND testResult = "failed"</t>
  </si>
  <si>
    <t xml:space="preserve">eventType = "PH_DEV_MON_CUST_FILE_CHANGE_ATTRIB"</t>
  </si>
  <si>
    <t xml:space="preserve">eventType = "FortiGate-event-admin-add"</t>
  </si>
  <si>
    <t xml:space="preserve">eventType = "FortiGate-event-admin-add" AND srcIpAddr IS NULL AND loginType="console"</t>
  </si>
  <si>
    <t xml:space="preserve">eventType = "FortiGate-event-admin-delete"</t>
  </si>
  <si>
    <t xml:space="preserve">eventType = "FortiGate-event-admin-delete" AND srcIpAddr IS NULL AND loginType="console"</t>
  </si>
  <si>
    <t xml:space="preserve">eventType = "PH_AUDIT_USER_ADDED"</t>
  </si>
  <si>
    <t xml:space="preserve">eventType = "GCP_Audit_activity_CreateRole"</t>
  </si>
  <si>
    <t xml:space="preserve">eventType = "GCP_Audit_activity_DeleteRole"</t>
  </si>
  <si>
    <t xml:space="preserve">eventType = "GCP_Audit_activity_SetIamPolicy_ADD" AND ( role CONTAIN "Admin" OR role = "roles/owner" )</t>
  </si>
  <si>
    <t xml:space="preserve">eventType = "GCP_Audit_activity_CreateServiceAccountKey"</t>
  </si>
  <si>
    <t xml:space="preserve">eventType = "GCP_Audit_activity_DeleteServiceAccountKey"</t>
  </si>
  <si>
    <t xml:space="preserve">eventType = "GCP_Audit_activity_CreateServiceAccount"</t>
  </si>
  <si>
    <t xml:space="preserve">eventType = "GCP_Audit_activity_DeleteServiceAccount"</t>
  </si>
  <si>
    <t xml:space="preserve">eventType = "GCP_Audit_activity_DisableServiceAccount"</t>
  </si>
  <si>
    <t xml:space="preserve">eventType = "Google_Apps_DOMAIN_SETTINGS_AUTHORIZE_API_CLIENT_ACCESS"</t>
  </si>
  <si>
    <t xml:space="preserve">eventType = "Google_Apps_DELEGATED_ADMIN_SETTINGS_ASSIGN_ROLE"</t>
  </si>
  <si>
    <t xml:space="preserve">eventType = "Google_Apps_DELEGATED_ADMIN_SETTINGS_CREATE_ROLE"</t>
  </si>
  <si>
    <t xml:space="preserve">eventType = "Google_Apps_DELEGATED_ADMIN_SETTINGS_ADD_PRIVILEGE"</t>
  </si>
  <si>
    <t xml:space="preserve">eventType = "Win-Security-5137"</t>
  </si>
  <si>
    <t xml:space="preserve">eventType="Win-Security-5136"</t>
  </si>
  <si>
    <t xml:space="preserve">CONTAIN:FortiDeceptor-
CONTAIN:Dragos-
CONTAIN:Nozomi-</t>
  </si>
  <si>
    <t xml:space="preserve">(eventType CONTAIN "FortiDeceptor-" OR eventType CONTAIN "Dragos-" OR eventType CONTAIN "Nozomi-") AND attackTechniqueId REGEXP "^(T\d+,)*T0811(,T\d+)*$"</t>
  </si>
  <si>
    <t xml:space="preserve">(eventType CONTAIN "FortiDeceptor-" OR eventType CONTAIN "Dragos-" OR eventType CONTAIN "Nozomi-") AND attackTechniqueId REGEXP "^(T\d+,)*T0852(,T\d+)*$"</t>
  </si>
  <si>
    <t xml:space="preserve">eventType = "LINUX_PROCESS_EXEC" AND ((procName = "net.exe" AND swParam REGEXP ".* user.*|.*group .*|.*localgroup .*") OR procName = "groups" OR (procName = "dscl" AND swParam CONTAIN "list /groups") OR (procName = "dscacheutil" AND swParam CONTAIN "group") OR swParam REGEXP ".*/etc/master\.passwd.*|.*/etc/passwd.*")</t>
  </si>
  <si>
    <t xml:space="preserve">eventType = "Generic_Unix_User_Account_Unlocked"</t>
  </si>
  <si>
    <t xml:space="preserve">eventType = "FSM_LINUX_FILE_ATTRIB_CHANGE" AND targetOsObjType = "Directory"</t>
  </si>
  <si>
    <t xml:space="preserve">eventType = "FSM_LINUX_FILE_ATTRIB_CHANGE" AND targetOsObjType = "File"</t>
  </si>
  <si>
    <t xml:space="preserve">eventType CONTAIN "Generic_Unix_User_Change" AND eventType != "Generic_Unix_User_Change_Name"</t>
  </si>
  <si>
    <t xml:space="preserve">eventType = "Generic_Unix_User_Add_Group" AND targetUserGrp IN ("root", "sudo")</t>
  </si>
  <si>
    <t xml:space="preserve">eventType = "Generic_Unix_User_Add_Group" AND targetUserGrp NOT IN ("root", "sudo")</t>
  </si>
  <si>
    <t xml:space="preserve">eventType ="Generic_Unix_User_Add"</t>
  </si>
  <si>
    <t xml:space="preserve">eventType ="Generic_Unix_User_Del"</t>
  </si>
  <si>
    <t xml:space="preserve">eventType CONTAIN "Generic_Unix_User_Del_Group" AND targetUserGrp IN ("root", "sudo")</t>
  </si>
  <si>
    <t xml:space="preserve">eventType = "Generic_Unix_User_Del_Group" AND targetUserGrp NOT IN ("root", "sudo")</t>
  </si>
  <si>
    <t xml:space="preserve">eventType = "Generic_Unix_User_Change_Name"</t>
  </si>
  <si>
    <t xml:space="preserve">eventType = "Generic_Unix_User_Password_Change"</t>
  </si>
  <si>
    <t xml:space="preserve">(eventType = "LINUX_PROCESS_EXEC" AND procName IN ("gzip","hdiutil","tar","zip")) OR (eventType REGEXP "FSM_LINUX_FILE_.*" AND targetOsObjName REGEXP ".*\.gz|.*\.gzip|.*\.tar|.*\.zip")</t>
  </si>
  <si>
    <t xml:space="preserve">eventType = "FSM_LINUX_FILE_MODIFY" AND targetOsObjType = "File" AND targetOsObjName = "/etc/sudoers"</t>
  </si>
  <si>
    <t xml:space="preserve">(eventType = "Win-Security-4625" AND subStatus = "0xc000006f") OR eventType = "Win-Security-530"</t>
  </si>
  <si>
    <t xml:space="preserve">eventType = "Cisco-Meraki-newSplashSignup"</t>
  </si>
  <si>
    <t xml:space="preserve">eventType IN ("MS_GRAPH_RiskyUserStatus_atRisk","MS_GRAPH_RiskyUserStatus_confirmedCompromised") AND status IN ("atRisk","confirmedCompromised") AND threatLevel != "low"</t>
  </si>
  <si>
    <t xml:space="preserve">eventType = "MS_EvtHub_disable_strong_authentication"</t>
  </si>
  <si>
    <t xml:space="preserve">eventType = "Oracle-OCI-identitycontrolplane-createcustomersecretkey"</t>
  </si>
  <si>
    <t xml:space="preserve">eventType = "Oracle-OCI-identitycontrolplane-creategroup"</t>
  </si>
  <si>
    <t xml:space="preserve">eventType = "Oracle-OCI-identitycontrolplane-uploadapikey"</t>
  </si>
  <si>
    <t xml:space="preserve">eventType = "Oracle-OCI-identitycontrolplane-createauthtoken"</t>
  </si>
  <si>
    <t xml:space="preserve">Oracle-OCI-identitycontrolplane-createuser
Oracle-OCI-identitycontrolplane-createidpuser</t>
  </si>
  <si>
    <t xml:space="preserve">eventType IN ("Oracle-OCI-identitycontrolplane-createuser","Oracle-OCI-identitycontrolplane-createidpuser")</t>
  </si>
  <si>
    <t xml:space="preserve">Oracle-OCI-identitycontrolplane-deleteuser
Oracle-OCI-identitycontrolplane-deleteidpuser</t>
  </si>
  <si>
    <t xml:space="preserve">eventType IN ("Oracle-OCI-identitycontrolplane-deleteuser","Oracle-OCI-identitycontrolplane-deleteidpuser")</t>
  </si>
  <si>
    <t xml:space="preserve">eventType = "Oracle-OCI-identitycontrolplane-createoauthclientcredential"</t>
  </si>
  <si>
    <t xml:space="preserve">eventType IN ("MS_OFFICE365_Exchange_New-InboxRule","MS_OFFICE365_Exchange_Set-Mailbox") AND action = "on_behalf_of" AND ( options CONTAIN "ForwardAsAttachmentTo" OR options CONTAIN "ForwardTo" OR options CONTAIN "RedirectTo" OR options CONTAIN "SendTextMessageNotificationTo" )</t>
  </si>
  <si>
    <t xml:space="preserve">eventType = "MS_OFFICE365_EntraID_Disable_Strong_Authentication"</t>
  </si>
  <si>
    <t xml:space="preserve">eventType IN (Group@PH_SYS_EVENT_FortiClient_AV_Detected) AND ipsSignatureId IN (69583,69598)</t>
  </si>
  <si>
    <t xml:space="preserve">eventType IN ("FortiGate-ips-signature-51057","FortiProxy-ips-signature-51057")</t>
  </si>
  <si>
    <t xml:space="preserve">eventType IN (Group@PH_SYS_EVENT_HostPrivExecFailure) AND reptDevIpAddr IN (Group@PH_SYS_DEVICE_Server)</t>
  </si>
  <si>
    <t xml:space="preserve">eventType = "PH_RULE_RANSOMWARE_DETECTED"</t>
  </si>
  <si>
    <t xml:space="preserve">eventType = "AO-WUA-Certificate-Added" AND isSelfSigned = 1 AND isCertAuthority = 0</t>
  </si>
  <si>
    <t xml:space="preserve">reptDevName,reptDevIpAddr,targetUser</t>
  </si>
  <si>
    <t xml:space="preserve">srcIpAddr, srcGeoCountry, computer, reptDevIpAddr, user</t>
  </si>
  <si>
    <t xml:space="preserve">eventType IN (Group@PH_SYS_EVENT_HostLogonSuccess, Group@PH_SYS_EVENT_DomainLogonSuccess)</t>
  </si>
  <si>
    <t xml:space="preserve">eventType IN (Group@PH_SYS_EVENT_HostLogonSuccess,Group@PH_SYS_EVENT_DomainLogonSuccess) AND user IN (Group@PH_DYNLIST_DORMANT_USERS)</t>
  </si>
  <si>
    <t xml:space="preserve">eventType IN (Group@PH_SYS_EVENT_HostLogonSuccess)</t>
  </si>
  <si>
    <t xml:space="preserve">Group@PH_SYS_EVENT_AccountCreated</t>
  </si>
  <si>
    <t xml:space="preserve">targetUser,reptDevName</t>
  </si>
  <si>
    <t xml:space="preserve">eventType IN (Group@PH_SYS_EVENT_AccountCreated)</t>
  </si>
  <si>
    <t xml:space="preserve">user,reptDevName</t>
  </si>
  <si>
    <t xml:space="preserve">eventType IN (Group@PH_SYS_EVENT_HostLogonSuccess,Group@PH_SYS_EVENT_DomainLogonSuccess)</t>
  </si>
  <si>
    <t xml:space="preserve">AccountDeleted</t>
  </si>
  <si>
    <t xml:space="preserve">Group@PH_SYS_EVENT_AccountDeleted</t>
  </si>
  <si>
    <t xml:space="preserve">eventType IN (Group@PH_SYS_EVENT_AccountDeleted)</t>
  </si>
  <si>
    <t xml:space="preserve">eventType="AWS-CloudTrail-SIGNIN-ConsoleLogin-Success" AND LookupTableHas(AWSLoginCountry_3,phCustId,user,srcGeoCountry) = 0</t>
  </si>
  <si>
    <t xml:space="preserve">MS_OFFICE365_EntraID_UserLoggedIn
MS_OFFICE365_UserLoggedIn_Succeeded
MS_OFFICE365_EntraID_StsLogon_UserLoggedIn</t>
  </si>
  <si>
    <t xml:space="preserve">eventType IN ("MS_OFFICE365_EntraID_UserLoggedIn","MS_OFFICE365_UserLoggedIn_Succeeded","MS_OFFICE365_EntraID_StsLogon_UserLoggedIn") AND LookupTableHas(AzurePortalLoginCountry_3,phCustId,user,srcGeoCountry) = 0</t>
  </si>
  <si>
    <t xml:space="preserve">eventType="Google_Apps_login_login_success" AND LookupTableHas(GSuiteLoginCountry_3,phCustId,user,srcGeoCountry) = 0</t>
  </si>
  <si>
    <t xml:space="preserve">eventType = "Generic_Unix_Successful_SSH_Login" AND LookupTableHas(LinuxSSHLogin_3,phCustId,reptDevName,user) = 0</t>
  </si>
  <si>
    <t xml:space="preserve">eventType IN ("MS_OFFICE365_EntraID_UserLoggedIn","MS_OFFICE365_UserLoggedIn_Succeeded","MS_OFFICE365_EntraID_StsLogon_UserLoggedIn") AND LookupTableHas(O365MailLoginCountry_3,phCustId,user,srcGeoCountry) = 0</t>
  </si>
  <si>
    <t xml:space="preserve">eventType IN (Group@PH_SYS_EVENT_VPNLogonSuccess) AND LookupTableHas(VPNLoginCountry_3,phCustId,user,srcGeoCountry) = 0</t>
  </si>
  <si>
    <t xml:space="preserve">eventType = "Win-Security-4624" AND winLogonType = 10 AND LookupTableHas(WinRDPLogin_3,phCustId,reptDevName,user) = 0</t>
  </si>
  <si>
    <t xml:space="preserve">reptDevIpAddr IN (Group@PH_SYS_DEVICE_WINDOWS_SERVER) AND eventType IN (Group@PH_SYS_EVENT_GroupMemberAdded) AND targetUserGrp = "Administrators"</t>
  </si>
  <si>
    <t xml:space="preserve">reptDevIpAddr IN (Group@PH_SYS_DEVICE_WINDOWS_SERVER) AND eventType IN (Group@PH_SYS_EVENT_GroupMemberAdded) AND targetUserGrp = "Backup Operators"</t>
  </si>
  <si>
    <t xml:space="preserve">reptVendor = "Microsoft" AND eventType IN (Group@PH_SYS_EVENT_GroupMemberAdded) AND targetUserGrp = "DnsAdmins"</t>
  </si>
  <si>
    <t xml:space="preserve">reptVendor = "Microsoft" AND eventType IN (Group@PH_SYS_EVENT_GroupMemberAdded) AND targetUserGrp = "Domain Admins"</t>
  </si>
  <si>
    <t xml:space="preserve">reptDevIpAddr IN (Group@PH_SYS_DEVICE_WINDOWS_SERVER) AND eventType IN (Group@PH_SYS_EVENT_GroupMemberAdded) AND targetUserGrp = "Remote Desktop Users"</t>
  </si>
  <si>
    <t xml:space="preserve">reptDevIpAddr IN (Group@PH_SYS_DEVICE_WINDOWS_SERVER) AND eventType IN (Group@PH_SYS_EVENT_GroupMemberRemoved) AND targetUserGrp = "Administrator"</t>
  </si>
  <si>
    <t xml:space="preserve">reptDevIpAddr IN (Group@PH_SYS_DEVICE_WINDOWS_SERVER) AND eventType IN (Group@PH_SYS_EVENT_GroupMemberRemoved) AND targetUserGrp = "Backup Operators"</t>
  </si>
  <si>
    <t xml:space="preserve">reptVendor = "Microsoft" AND eventType IN (Group@PH_SYS_EVENT_GroupMemberRemoved) AND targetUserGrp = "DnsAdmins"</t>
  </si>
  <si>
    <t xml:space="preserve">reptVendor = "Microsoft" AND eventType IN (Group@PH_SYS_EVENT_GroupMemberRemoved) AND targetUserGrp = "Domain Admins"</t>
  </si>
  <si>
    <t xml:space="preserve">reptDevIpAddr IN (Group@PH_SYS_DEVICE_WINDOWS_SERVER) AND eventType IN (Group@PH_SYS_EVENT_GroupMemberRemoved) AND targetUserGrp = "Remote Desktop Users"</t>
  </si>
  <si>
    <t xml:space="preserve">eventType = "Win-Security-4767"</t>
  </si>
  <si>
    <t xml:space="preserve">eventType IN ("Win-Security-4719","Win-Security-612") AND user != "SYSTEM" AND user NOT CONTAIN "$"</t>
  </si>
  <si>
    <t xml:space="preserve">eventType IN (Group@PH_SYS_EVENT_WinClusterMembershipErr)</t>
  </si>
  <si>
    <t xml:space="preserve">eventType IN (Group@PH_SYS_EVENT_WinClusterQuorumErr)</t>
  </si>
  <si>
    <t xml:space="preserve">eventType IN (Group@PH_SYS_EVENT_WinClusterStartupErr)</t>
  </si>
  <si>
    <t xml:space="preserve">eventType = "AO-WUA-FileMon-PermissionChange"</t>
  </si>
  <si>
    <t xml:space="preserve">eventType = "PH_DISCOV_ADS_DORMANT_ACCT" AND phEventCategory = 3</t>
  </si>
  <si>
    <t xml:space="preserve">eventType IN (Group@PH_SYS_EVENT_FileChange) AND reptDevIpAddr IN (Group@PH_SYS_DEVICE_WINDOWS_SERVER) AND eventAction = 1 AND user NOT CONTAIN "$"</t>
  </si>
  <si>
    <t xml:space="preserve">eventType CONTAIN "Win-Security" AND eventType IN (Group@PH_SYS_EVENT_GroupChanged)</t>
  </si>
  <si>
    <t xml:space="preserve">eventType CONTAIN "Win-Security" AND eventType IN (Group@PH_SYS_EVENT_GroupCreated)</t>
  </si>
  <si>
    <t xml:space="preserve">eventType CONTAIN "Win-Security" AND eventType IN (Group@PH_SYS_EVENT_GroupDeleted)</t>
  </si>
  <si>
    <t xml:space="preserve">eventType = "Win-Security-1100"</t>
  </si>
  <si>
    <t xml:space="preserve">shutdown</t>
  </si>
  <si>
    <t xml:space="preserve">restart</t>
  </si>
  <si>
    <t xml:space="preserve">Win-System-EventLog-6005
Win-System-User32-1074</t>
  </si>
  <si>
    <t xml:space="preserve">eventType IN ("Win-System-EventLog-6005", "Win-System-User32-1074")</t>
  </si>
  <si>
    <t xml:space="preserve">Win-Security-517
Win-Security-1102</t>
  </si>
  <si>
    <t xml:space="preserve">eventType IN ("Win-Security-517","Win-Security-1102")</t>
  </si>
  <si>
    <t xml:space="preserve">eventType = "Win-Security-1104"</t>
  </si>
  <si>
    <t xml:space="preserve">eventType IN (Group@PH_SYS_EVENT_FileChange) AND reptDevIpAddr IN (Group@PH_SYS_DEVICE_WINDOWS_SERVER) AND eventAction = 0 AND user NOT CONTAIN "$"</t>
  </si>
  <si>
    <t xml:space="preserve">eventType = "Win-Security-4722"</t>
  </si>
  <si>
    <t xml:space="preserve">eventType = "Win-Security-4781"</t>
  </si>
  <si>
    <t xml:space="preserve">eventType = "Win-Security-4738"</t>
  </si>
  <si>
    <t xml:space="preserve">eventType CONTAIN "Win-Security" AND eventType IN (Group@PH_SYS_EVENT_GroupMemberAdded)</t>
  </si>
  <si>
    <t xml:space="preserve">eventType ="Win-Security-4720"</t>
  </si>
  <si>
    <t xml:space="preserve">eventType ="Win-Security-4726"</t>
  </si>
  <si>
    <t xml:space="preserve">reptVendor = "Microsoft" AND eventType IN ( Group@PH_SYS_EVENT_AccountChanged)</t>
  </si>
  <si>
    <t xml:space="preserve">eventType IN ("Win-Security-4723", "Win-Security-4724")</t>
  </si>
  <si>
    <t xml:space="preserve">eventType CONTAIN "Win-Security" AND eventType IN (Group@PH_SYS_EVENT_GroupMemberRemoved)</t>
  </si>
  <si>
    <t xml:space="preserve">eventType IN ("Win-Security-4729","Win-Security-633")</t>
  </si>
  <si>
    <t xml:space="preserve">eventType IN ("Win-Firewall-AS-2006","Win-Firewall-AS-2052") AND appName NOT REGEXP "^C:\\Program Files \(x86\)\\|^C:\\Program Files\\|^C:\\Windows\\WinSxS\\" AND appName!="C:\\Windows\\System32\\svchost.exe" AND appName IS NOT NULL AND appName!="" AND (appName NOT REGEXP "^C:\\ProgramData\\Microsoft\\Windows Defender\\Platform\\" OR appName NOT REGEXP "\\MsMpEng\.exe$")</t>
  </si>
  <si>
    <t xml:space="preserve">eventType IN ("Win-Security-4730","Win-Security-634")</t>
  </si>
  <si>
    <t xml:space="preserve">eventType="Win-Sysmon-1-Create-Process" AND (procName REGEXP "\\powershell\.exe$|\\powershell_ise\.exe$|\\pwsh\.exe$" OR srcFileName IN ("PowerShell.Exe","pwsh.dll")) AND command REGEXP "Add-AADInt|ConvertTo-AADInt|Disable-AADInt|Enable-AADInt|Export-AADInt|Find-AADInt|Get-AADInt|Grant-AADInt|Initialize-AADInt|Install-AADInt|Invoke-AADInt|Join-AADInt|New-AADInt|Open-AADInt|Read-AADInt|Register-AADInt|Remove-AADInt|Reset-AADInt|Resolve-AADInt|Restore-AADInt|Save-AADInt|Search-AADInt|Send-AADInt|Set-AADInt|Start-AADInt|Unprotect-AADInt|Update-AADInt"</t>
  </si>
  <si>
    <t xml:space="preserve">eventType = "Win-PowerShell-4104" AND script REGEXP "Add-AADInt|ConvertTo-AADInt|Disable-AADInt|Enable-AADInt|Export-AADInt|Find-AADInt|Get-AADInt|Grant-AADInt|Initialize-AADInt|Install-AADInt|Invoke-AADInt|Join-AADInt|New-AADInt|Open-AADInt|Read-AADInt|Register-AADInt|Remove-AADInt|Reset-AADInt|Resolve-AADInt|Restore-AADInt|Save-AADInt|Search-AADInt|Send-AADInt|Set-AADInt|Start-AADInt|Unprotect-AADInt|Update-AADInt"</t>
  </si>
  <si>
    <t xml:space="preserve">(eventType="Win-Security-5140" AND fileName="Admin$") AND (user NOT REGEXP "\$$")</t>
  </si>
  <si>
    <t xml:space="preserve">eventType IN ("Win-Security-4625","Win-Security-4776-failure","Win-Security-4776-success") AND (winLogonFailCode2 IN ("0xC000006F","0xC0000070","0xC0000072","0xC000015B","0xC000018C","0xC0000413") OR subStatus IN ("0xC000006F","0xC0000070","0xC0000072","0xC000015B","0xC000018C","0xC0000413")) AND targetUserSID!="S-1-0-0"</t>
  </si>
  <si>
    <t xml:space="preserve">eventType="Win-System-Microsoft-Windows-CertificationAuthority-53"</t>
  </si>
  <si>
    <t xml:space="preserve">eventType = "Win-PowerShell-4104" AND script REGEXP "Get-AdComputer " AND script REGEXP "-Filter |-LDAPFilter |-Properties "</t>
  </si>
  <si>
    <t xml:space="preserve">eventType = "Win-PowerShell-4104" AND script REGEXP "Get-AdGroup " AND script REGEXP "-Filter"</t>
  </si>
  <si>
    <t xml:space="preserve">eventType="Win-Sysmon-1-Create-Process" AND ((procName REGEXP "\\csvde\.exe$" OR srcFileName="csvde.exe") AND command REGEXP ".* -f.*") AND ((command NOT REGEXP ".* -i.*"))</t>
  </si>
  <si>
    <t xml:space="preserve">eventType="Win-Sysmon-1-Create-Process" AND ((procName REGEXP "\\ldifde\.exe$" OR srcFileName="ldifde.exe") AND command REGEXP ".*-f.*") AND ((command NOT REGEXP ".* -i.*"))</t>
  </si>
  <si>
    <t xml:space="preserve">eventType = "Win-PowerShell-4103" AND (lineContent REGEXP "get-ADPrincipalGroupMembership" OR requestContext REGEXP "get-ADPrincipalGroupMembership" OR (lineContent REGEXP "get-aduser" AND lineContent REGEXP "-f " AND lineContent REGEXP "-pr " AND lineContent REGEXP "DoesNotRequirePreAuth") OR (requestContext REGEXP "get-aduser" AND requestContext REGEXP "-f " AND requestContext REGEXP "-pr " AND requestContext REGEXP "DoesNotRequirePreAuth"))</t>
  </si>
  <si>
    <t xml:space="preserve">eventType = "Win-PowerShell-4104" AND (script REGEXP "get-ADPrincipalGroupMembership" OR (script REGEXP "get-aduser" AND script REGEXP "-f " AND script REGEXP "-pr " AND script REGEXP "DoesNotRequirePreAuth"))</t>
  </si>
  <si>
    <t xml:space="preserve">eventType="Win-Security-4662" AND serverName="DS" AND fileAccess="0x40000" AND osObjType IN ("19195a5b-6da0-11d0-afd3-00c04fd930c9","domainDNS")</t>
  </si>
  <si>
    <t xml:space="preserve">((eventType="Win-Security-4661" AND osObjType IN ("SAM_GROUP","SAM_USER")) AND (osObjName REGEXP ".*-500|.*-502|.*-505|.*-512|.*-519|.*-520|.*-544|.*-551|.*-555" OR osObjName REGEXP ".*admin.*")) AND (user NOT REGEXP ".*\$")</t>
  </si>
  <si>
    <t xml:space="preserve">(eventType="Win-Security-4898" AND templateContent REGEXP ".*CT_FLAG_ENROLLEE_SUPPLIES_SUBJECT.*") OR (eventType="Win-Security-4899" AND newTemplateContent REGEXP ".*CT_FLAG_ENROLLEE_SUPPLIES_SUBJECT.*")</t>
  </si>
  <si>
    <t xml:space="preserve">(eventType="Win-Security-4898" AND templateContent REGEXP ".*1\.3\.6\.1\.4\.1\.311\.20\.2\.2.*|.*1\.3\.6\.1\.5\.2\.3\.4.*|.*1\.3\.6\.1\.5\.5\.7\.3\.2.*|.*2\.5\.29\.37\.0.*" AND templateContent REGEXP ".*CT_FLAG_ENROLLEE_SUPPLIES_SUBJECT.*") OR (eventType="Win-Security-4899" AND newTemplateContent REGEXP ".*1\.3\.6\.1\.4\.1\.311\.20\.2\.2.*|.*1\.3\.6\.1\.5\.2\.3\.4.*|.*1\.3\.6\.1\.5\.5\.7\.3\.2.*|.*2\.5\.29\.37\.0.*" AND newTemplateContent REGEXP ".*CT_FLAG_ENROLLEE_SUPPLIES_SUBJECT.*")</t>
  </si>
  <si>
    <t xml:space="preserve">eventType="Win-Security-4706"</t>
  </si>
  <si>
    <t xml:space="preserve">eventType="Win-Sysmon-11-FileCreate" AND procName REGEXP "\\ADExp\.exe$|\\ADExplorer64\.exe$|\\ADExplorer64a\.exe$|\\ADExplorer\.exe$" AND fileName REGEXP "\.dat$"</t>
  </si>
  <si>
    <t xml:space="preserve">eventType="Win-Sysmon-17-Pipe-Created" AND vpnTunnelName="\\MICROSOFT##WID\\tsql\\query" AND procName NOT REGEXP ":\\Windows\\SysWOW64\\mmc\.exe$|:\\Windows\\SysWOW64\\wsmprovhost\.exe$|:\\Windows\\System32\\mmc\.exe$|:\\Windows\\System32\\wsmprovhost\.exe$|:\\Windows\\WID\\Binn\\sqlwriter\.exe$|:\\Windows\\system32\\svchost\.exe$|\\AzureADConnect\.exe$|\\Microsoft\.IdentityServer\.ServiceHost\.exe$|\\Microsoft\.Identity\.Health\.Adfs\.PshSurrogate\.exe$|\\Microsoft\.Tri\.Sensor\.exe$|\\sqlservr\.exe$|\\tssdis\.exe$"</t>
  </si>
  <si>
    <t xml:space="preserve">eventType = "Win-Security-4624" AND winLogonType = 10 AND authenMethod = "Negotiate" AND user REGEXP "^Admin"</t>
  </si>
  <si>
    <t xml:space="preserve">eventType="Win-Sysmon-11-FileCreate" AND fileName REGEXP "\\Local\\Microsoft\\Windows\\SchCache\\" AND fileName REGEXP "\.sch$" AND procName NOT REGEXP ":\\Program Files\\Cylance\\Desktop\\CylanceSvc\.exe$|:\\Windows\\CCM\\CcmExec\.exe$|:\\Windows\\System32\\wbem\\WmiPrvSE\.exe$|:\\Windows\\system32\\dsac\.exe$|:\\Windows\\system32\\efsui\.exe$|:\\windows\\system32\\WindowsPowerShell\\v1\.0\\powershell\.exe$|:\\windows\\system32\\dllhost\.exe$|:\\windows\\system32\\mmc\.exe$|:\\windows\\system32\\svchost\.exe$" AND procName NOT REGEXP ":\\Program Files\\SentinelOne\\Sentinel Agent|:\\Windows\\ccmsetup\\autoupgrade\\ccmsetup" AND (procName NOT REGEXP ":\\Program Files\\" OR procName NOT REGEXP "\\Microsoft Office" OR procName NOT REGEXP "\\OUTLOOK\.EXE$") AND procName NOT REGEXP ":\\Program Files\\Citrix\\Receiver StoreFront\\Services\\DefaultDomainServices\\Citrix\.DeliveryServices\.DomainServices\.ServiceHost\.exe$|\\LANDesk\\LDCLient\\ldapwhoami\.exe$"</t>
  </si>
  <si>
    <t xml:space="preserve">eventType IN ("Win-Firewall-AS-2033","Win-Firewall-AS-2059") AND appName NOT REGEXP ":\\Windows\\System32\\svchost\.exe$" AND (appName NOT REGEXP ":\\ProgramData\\Microsoft\\Windows Defender\\Platform\\" OR appName NOT REGEXP "\\MsMpEng\.exe")</t>
  </si>
  <si>
    <t xml:space="preserve">eventType="Win-Sysmon-1-Create-Process" AND (procName REGEXP "\\cmd\.exe$|\\powershell\.exe$|\\pwsh\.exe$" OR srcFileName IN ("Cmd.Exe","PowerShell.EXE","pwsh.dll")) AND (parentProcName REGEXP ".*\\Windows\\Installer\\.*" AND parentProcName REGEXP ".*msi.*" AND parentProcName REGEXP "tmp$")</t>
  </si>
  <si>
    <t xml:space="preserve">eventType="Win-Sysmon-1-Create-Process" AND ((procName REGEXP "\\Windows\\Installer\\" AND procName REGEXP "msi" AND procName REGEXP "tmp$") OR (procName REGEXP "\\msiexec\.exe$" AND integrityLevel IN ("S-1-16-16384","System"))) AND (user REGEXP "AUTHORI|AUTORI" OR domain REGEXP "AUTHORI|AUTORI") AND parentProcName!="C:\\Windows\\System32\\services.exe" AND command NOT REGEXP "\\system32\\msiexec\.exe /V$" AND parentCommand NOT REGEXP "\\system32\\msiexec\.exe /V$" AND parentProcName NOT REGEXP "^C:\\ProgramData\\Sophos\\" AND parentProcName NOT REGEXP "^C:\\ProgramData\\Avira\\" AND parentProcName NOT REGEXP "^C:\\Program Files \(x86\)\\Avast Software\\|^C:\\Program Files\\Avast Software\\" AND parentProcName NOT REGEXP "^C:\\Program Files \(x86\)\\Google\\Update\\|^C:\\Program Files\\Google\\Update\\"</t>
  </si>
  <si>
    <t xml:space="preserve">eventType IN ("Win-App-MsiInstaller-1034","Win-App-MsiInstaller-11724")</t>
  </si>
  <si>
    <t xml:space="preserve">eventType="Win-App-MsiInstaller-1033" AND msg REGEXP ".*AteraAgent.*"</t>
  </si>
  <si>
    <t xml:space="preserve">eventType="Win-Sysmon-1-Create-Process" AND command REGEXP "UWhRCA" AND command REGEXP "BAAAA"</t>
  </si>
  <si>
    <t xml:space="preserve">(eventType IN ("Win-Security-4656","Win-Security-4663") AND osObjType="Key" AND osObjName="\\REGISTRY\\MACHINE\\SOFTWARE\\Microsoft\\Microsoft Online\\Reporting\\MonitoringAgent") AND (procName NOT REGEXP ".*Microsoft\.Identity\.Health\.Adfs\.DiagnosticsAgent\.exe.*|.*Microsoft\.Identity\.Health\.Adfs\.InsightsService\.exe.*|.*Microsoft\.Identity\.Health\.Adfs\.MonitoringAgent\.Startup\.exe.*|.*Microsoft\.Identity\.Health\.Adfs\.PshSurrogate\.exe.*|.*Microsoft\.Identity\.Health\.Common\.Clients\.ResourceMonitor\.exe.*")</t>
  </si>
  <si>
    <t xml:space="preserve">(eventType IN ("Win-Security-4656","Win-Security-4663") AND osObjType="Key" AND osObjName="\\REGISTRY\\MACHINE\\SOFTWARE\\Microsoft\\ADHealthAgent") AND (procName NOT REGEXP ".*Microsoft\.Identity\.Health\.Adfs\.DiagnosticsAgent\.exe.*|.*Microsoft\.Identity\.Health\.Adfs\.InsightsService\.exe.*|.*Microsoft\.Identity\.Health\.Adfs\.MonitoringAgent\.Startup\.exe.*|.*Microsoft\.Identity\.Health\.Adfs\.PshSurrogate\.exe.*|.*Microsoft\.Identity\.Health\.Common\.Clients\.ResourceMonitor\.exe.*")</t>
  </si>
  <si>
    <t xml:space="preserve">eventType="Win-App-Microsoft-Windows-Bits-Client-16403" AND targetName REGEXP "http://1|http://2|http://3|http://4|http://5|http://6|http://7|http://8|http://9|https://1|https://2|https://3|https://4|https://5|https://6|https://7|https://8|https://9" AND targetName NOT REGEXP "://10\.|://127\.|://169\.254\.|://172\.16\.|://172\.17\.|://172\.18\.|://172\.19\.|://172\.20\.|://172\.21\.|://172\.22\.|://172\.23\.|://172\.24\.|://172\.25\.|://172\.26\.|://172\.27\.|://172\.28\.|://172\.29\.|://172\.30\.|://172\.31\.|://192\.168\." AND targetName NOT REGEXP "http://7-|https://7-"</t>
  </si>
  <si>
    <t xml:space="preserve">eventType="Win-App-Microsoft-Windows-Bits-Client-16403" AND targetName REGEXP "\.githubusercontent\.com|anonfiles\.com|cdn\.discordapp\.com|ddns\.net|dl\.dropboxusercontent\.com|ghostbin\.co|github\.com|glitch\.me|gofile\.io|hastebin\.com|mediafire\.com|mega\.nz|onrender\.com|pages\.dev|paste\.ee|pastebin\.com|pastebin\.pl|pastetext\.net|pixeldrain\.com|privatlab\.com|privatlab\.net|send\.exploit\.in|sendspace\.com|storage\.googleapis\.com|storjshare\.io|supabase\.co|temp\.sh|transfer\.sh|trycloudflare\.com|ufile\.io|w3spaces\.com|workers\.dev"</t>
  </si>
  <si>
    <t xml:space="preserve">eventType="Win-App-Microsoft-Windows-Bits-Client-16403" AND filePath REGEXP "\.bat$|\.dll$|\.exe$|\.hta$|\.ps1$|\.psd1$|\.sh$|\.vbe$|\.vbs$" AND (filePath NOT REGEXP "\\AppData\\" OR targetName NOT REGEXP "\.com")</t>
  </si>
  <si>
    <t xml:space="preserve">eventType REGEXP "Win-Sysmon-13-Registry-Set.*" AND regKeyPath REGEXP "\\open\\command\\DelegateExecute$" AND details="(Empty)"</t>
  </si>
  <si>
    <t xml:space="preserve">eventType REGEXP "Win-Sysmon-13-Registry-Set.*" AND regKeyPath REGEXP "\\Environment\\windir$" AND details!="%SystemRoot%"</t>
  </si>
  <si>
    <t xml:space="preserve">eventType="Win-Sysmon-1-Create-Process" AND (procName REGEXP "\\cmstp\.exe$" OR srcFileName="CMSTP.EXE") AND command REGEXP ".*-au.*|.*-ni.*|.*-s.*|.*/au.*|.*/ni.*|.*/s.*"</t>
  </si>
  <si>
    <t xml:space="preserve">eventType="Win-Sysmon-1-Create-Process" AND parentProcName REGEXP "\\wsreset\.exe$" AND (procName NOT REGEXP "\\conhost\.exe$" AND srcFileName!="CONHOST.EXE")</t>
  </si>
  <si>
    <t xml:space="preserve">eventType="Win-Sysmon-1-Create-Process" AND (procName REGEXP "\\certutil\.exe$" OR srcFileName="CertUtil.exe") AND command REGEXP ".*-exportPFX .*|.*/exportPFX .*"</t>
  </si>
  <si>
    <t xml:space="preserve">eventType IN ("Win-System-Microsoft-Windows-Kerberos-Key-Distribution-Center-39","Win-System-Microsoft-Windows-Kerberos-Key-Distribution-Center-41")</t>
  </si>
  <si>
    <t xml:space="preserve">eventType="Win-Sysmon-1-Create-Process" AND parentProcName REGEXP "\\DllHost\.exe$" AND parentCommand REGEXP " /Processid:\{3E000D72-A845-4CD9-BD83-80C07C3B881F\}| /Processid:\{3E5FC7F9-9A51-4367-9063-A120244FBEC7\}| /Processid:\{BD54C901-076B-434E-B6C7-17C531F4AB41\}| /Processid:\{D2E7041B-2927-42FB-8E9F-7CE93B6DC937\}| /Processid:\{E9495B87-D950-4AB5-87A5-FF6D70BF3E90\}" AND integrityLevel IN ("High","S-1-16-12288","S-1-16-16384","System")</t>
  </si>
  <si>
    <t xml:space="preserve">eventType="Win-Security-4697" AND ((serviceFileName REGEXP ".*ADMIN\$.*" AND serviceFileName REGEXP ".*\.exe.*") OR (serviceFileName REGEXP ".*%COMSPEC%.*" AND serviceFileName REGEXP ".*start.*" AND serviceFileName REGEXP ".*powershell.*") OR serviceFileName REGEXP ".*powershell -nop -w hidden -encodedcommand.*" OR serviceFileName REGEXP ".*JRVggKE5ldy1PYmplY3QgTmV0LldlYmNsaWVudCkuRG93bmxvYWRTdHJpbmcoJ2h0dHA6Ly8xMjcuMC4wLjE6.*|.*SUVYIChOZXctT2JqZWN0IE5ldC5XZWJjbGllbnQpLkRvd25sb2FkU3RyaW5nKCdodHRwOi8vMTI3LjAuMC4xO.*|.*lFWCAoTmV3LU9iamVjdCBOZXQuV2ViY2xpZW50KS5Eb3dubG9hZFN0cmluZygnaHR0cDovLzEyNy4wLjAuMT.*")</t>
  </si>
  <si>
    <t xml:space="preserve">eventType REGEXP "Win-Sysmon-3-Network-Connect.*" AND procName REGEXP "\\certutil\.exe$" AND initiated="true" AND destIpPort IN (135,443,445,80)</t>
  </si>
  <si>
    <t xml:space="preserve">eventType="Win-Security-4906" AND newValue = 0</t>
  </si>
  <si>
    <t xml:space="preserve">eventType="Win-Security-4906" AND newValue = 1</t>
  </si>
  <si>
    <t xml:space="preserve">eventType = "Win-PowerShell-4104" AND script REGEXP "Win32_ShadowCopy" AND script REGEXP "\)\.Create\(" AND script REGEXP "ClientAccessible"</t>
  </si>
  <si>
    <t xml:space="preserve">eventType REGEXP "Win-Sysmon-12-Registry-.*|Win-Sysmon-13-Registry-.*|Win-Sysmon-14-Registry-.*" AND regKeyPath REGEXP ".*\\SAM\\SAM\\Domains\\Account\\Users\\Names\\.*" AND regKeyPath REGEXP "\$\\\(Default\)$" AND procName REGEXP "\\lsass\.exe$"</t>
  </si>
  <si>
    <t xml:space="preserve">eventType="Win-Security-5145" AND fileName="\\\\*\\IPC$" AND targetName="spoolss"</t>
  </si>
  <si>
    <t xml:space="preserve">(eventType="Win-Security-5145" AND targetName REGEXP "\\Internet Explorer\\iertutil\.dll$") AND (user NOT REGEXP "\$$")</t>
  </si>
  <si>
    <t xml:space="preserve">eventType="Win-Security-4825"</t>
  </si>
  <si>
    <t xml:space="preserve">eventType="Win-Security-6423"</t>
  </si>
  <si>
    <t xml:space="preserve">eventType="Win-Security-4624" AND winLogonType=9 AND user="thisisnotvaliduser"</t>
  </si>
  <si>
    <t xml:space="preserve">eventType REGEXP "Win-Sysmon-13-Registry-Set.*" AND regKeyPath REGEXP "\\Control\\Lsa\\DsrmAdminLogonBehavior$" AND details!="DWORD (0x00000000)"</t>
  </si>
  <si>
    <t xml:space="preserve">eventType = "Win-PowerShell-4104" AND script REGEXP "New-Object " AND script REGEXP "System\.DirectoryServices\.DirectorySearcher" AND script REGEXP "\.PropertiesToLoad\.Add" AND script REGEXP "\.findall\(\)" AND script REGEXP "Properties\.name"</t>
  </si>
  <si>
    <t xml:space="preserve">eventType = "Win-PowerShell-4104" AND script REGEXP "\.Put\(\"msDS-ManagedAccountPrecededByLink" AND script REGEXP "CN="</t>
  </si>
  <si>
    <t xml:space="preserve">eventType = "Win-PowerShell-4104" AND script REGEXP "New-ADServiceAccount" AND script REGEXP "-CreateDelegatedServiceAccount" AND script REGEXP "-path"</t>
  </si>
  <si>
    <t xml:space="preserve">eventType="Win-Sysmon-22-DNS-Query" AND queryId REGEXP "^_ldap\." AND procName NOT REGEXP ":\\Program Files \(x86\)\\|:\\Program Files\\|:\\Windows\\" AND (procName NOT REGEXP ":\\ProgramData\\Microsoft\\Windows Defender\\Platform\\" OR procName NOT REGEXP "\\MsMpEng\.exe$") AND procName!="&lt;unknown process&gt;" AND procName IS NOT NULL AND procName NOT REGEXP "^C:\\WindowsAzure\\GuestAgent" AND procName NOT REGEXP "\\chrome\.exe$|\\firefox\.exe$|\\opera\.exe$"</t>
  </si>
  <si>
    <t xml:space="preserve">eventType="Win-Sysmon-1-Create-Process" AND command REGEXP "Add-ADDBSidHistory|Add-ADNgcKey|Add-ADReplNgcKey|ConvertFrom-ADManagedPasswordBlob|ConvertFrom-GPPrefPassword|ConvertFrom-ManagedPasswordBlob|ConvertFrom-UnattendXmlPassword|ConvertFrom-UnicodePassword|ConvertTo-AADHash|ConvertTo-GPPrefPassword|ConvertTo-KerberosKey|ConvertTo-LMHash|ConvertTo-MsoPasswordHash|ConvertTo-NTHash|ConvertTo-OrgIdHash|ConvertTo-UnicodePassword|Disable-ADDBAccount|Enable-ADDBAccount|Get-ADDBAccount|Get-ADDBBackupKey|Get-ADDBDomainController|Get-ADDBGroupManagedServiceAccount|Get-ADDBKdsRootKey|Get-ADDBSchemaAttribute|Get-ADDBServiceAccount|Get-ADDefaultPasswordPolicy|Get-ADKeyCredential|Get-ADPasswordPolicy|Get-ADReplAccount|Get-ADReplBackupKey|Get-ADReplicationAccount|Get-ADSIAccount|Get-AzureADUserEx|Get-BootKey|Get-KeyCredential|Get-LsaBackupKey|Get-LsaPolicy|Get-SamPasswordPolicy|Get-SysKey|Get-SystemKey|New-ADDBRestoreFromMediaScript|New-ADKeyCredential|New-ADNgcKey|New-NTHashSet|Remove-ADDBObject|Save-DPAPIBlob|Set-ADAccountPasswordHash|Set-ADDBAccountPassword|Set-ADDBBootKey|Set-ADDBDomainController|Set-ADDBPrimaryGroup|Set-ADDBSysKey|Set-AzureADUserEx|Set-LsaPolicy|Set-SamAccountPasswordHash|Set-WinUserPasswordHash|Test-ADDBPasswordQuality|Test-ADPasswordQuality|Test-ADReplPasswordQuality|Test-PasswordQuality|Unlock-ADDBAccount|Write-ADNgcKey|Write-ADReplNgcKey"</t>
  </si>
  <si>
    <t xml:space="preserve">eventType = "Win-PowerShell-4104" AND script REGEXP "Add-ADDBSidHistory|Add-ADNgcKey|Add-ADReplNgcKey|ConvertFrom-ADManagedPasswordBlob|ConvertFrom-GPPrefPassword|ConvertFrom-ManagedPasswordBlob|ConvertFrom-UnattendXmlPassword|ConvertFrom-UnicodePassword|ConvertTo-AADHash|ConvertTo-GPPrefPassword|ConvertTo-KerberosKey|ConvertTo-LMHash|ConvertTo-MsoPasswordHash|ConvertTo-NTHash|ConvertTo-OrgIdHash|ConvertTo-UnicodePassword|Disable-ADDBAccount|Enable-ADDBAccount|Get-ADDBAccount|Get-ADDBBackupKey|Get-ADDBDomainController|Get-ADDBGroupManagedServiceAccount|Get-ADDBKdsRootKey|Get-ADDBSchemaAttribute|Get-ADDBServiceAccount|Get-ADDefaultPasswordPolicy|Get-ADKeyCredential|Get-ADPasswordPolicy|Get-ADReplAccount|Get-ADReplBackupKey|Get-ADReplicationAccount|Get-ADSIAccount|Get-AzureADUserEx|Get-BootKey|Get-KeyCredential|Get-LsaBackupKey|Get-LsaPolicy|Get-SamPasswordPolicy|Get-SysKey|Get-SystemKey|New-ADDBRestoreFromMediaScript|New-ADKeyCredential|New-ADNgcKey|New-NTHashSet|Remove-ADDBObject|Save-DPAPIBlob|Set-ADAccountPasswordHash|Set-ADDBAccountPassword|Set-ADDBBootKey|Set-ADDBDomainController|Set-ADDBPrimaryGroup|Set-ADDBSysKey|Set-AzureADUserEx|Set-LsaPolicy|Set-SamAccountPasswordHash|Set-WinUserPasswordHash|Test-ADDBPasswordQuality|Test-ADPasswordQuality|Test-ADReplPasswordQuality|Test-PasswordQuality|Unlock-ADDBAccount|Write-ADNgcKey|Write-ADReplNgcKey"</t>
  </si>
  <si>
    <t xml:space="preserve">eventType="Win-Sysmon-1-Create-Process" AND command REGEXP ".* -NoP -NonI -c \$x=\$\(\(gp HKCU:Software\\Microsoft\\Windows Update\)\.Update\);.*|.* -NoP -NonI -w Hidden -c \$x=\$\(\(gp HKCU:Software\\Microsoft\\Windows Update\)\.Update\).*"</t>
  </si>
  <si>
    <t xml:space="preserve">eventType REGEXP "Win-Sysmon-13-Registry-Set.*" AND regKeyPath REGEXP "System\\CurrentControlSet\\Control\\Lsa\\NoLMHash$" AND details="DWORD (0x00000000)"</t>
  </si>
  <si>
    <t xml:space="preserve">eventType="Win-Sysmon-1-Create-Process" AND command REGEXP "\\System\\CurrentControlSet\\Control\\Lsa" AND command REGEXP "NoLMHash" AND command REGEXP " 0"</t>
  </si>
  <si>
    <t xml:space="preserve">eventType="Win-Security-4704" AND privName REGEXP ".*SeEnableDelegationPrivilege.*"</t>
  </si>
  <si>
    <t xml:space="preserve">Win-Security-4657
Win-Security-4657</t>
  </si>
  <si>
    <t xml:space="preserve">(eventType="Win-Security-4657" AND osObjName REGEXP ".*\\SOFTWARE\\Microsoft\\\.NETFramework$" AND osObjValue="ETWEnabled" AND newObjValue="0") OR (eventType="Win-Security-4657" AND osObjName CONTAIN "\\Environment" AND osObjValue IN ("COMPlus_ETWEnabled","COMPlus_ETWFlags") AND newObjValue="0")</t>
  </si>
  <si>
    <t xml:space="preserve">eventType="Win-Sysmon-1-Create-Process" AND (procName REGEXP "\\explorer\.exe$" AND command REGEXP ".*/NOUACCHECK.*") AND ((parentCommand!="C:\\Windows\\system32\\svchost.exe -k netsvcs -p -s Schedule" AND parentProcName!="C:\\Windows\\System32\\svchost.exe"))</t>
  </si>
  <si>
    <t xml:space="preserve">eventType="Win-Security-6416" AND (deviceType="DiskDrive" OR description="USB Mass Storage Device")</t>
  </si>
  <si>
    <t xml:space="preserve">eventType="Win-Security-4624" AND winLogonType=10 AND srcIpAddr NOT IN (Group@PH_SYS_NETWORK_ENTERPRISE_INTERNAL_NET)</t>
  </si>
  <si>
    <t xml:space="preserve">eventType="Win-Security-4624" AND winLogonType=3 AND srcIpAddr NOT IN (Group@PH_SYS_NETWORK_ENTERPRISE_INTERNAL_NET)</t>
  </si>
  <si>
    <t xml:space="preserve">eventType IN ("Win-Security-5038","Win-Security-6281") AND paraName NOT REGEXP "\\CSFalconServiceUninstallTool_|\\Program Files\\CrowdStrike\\|\\System32\\drivers\\CrowdStrike\\|\\Windows\\System32\\ScriptControl64_" AND paraName NOT REGEXP "\\Program Files\\Sophos\\"</t>
  </si>
  <si>
    <t xml:space="preserve">eventType="Win-Security-4625" AND srcIpAddr NOT IN (Group@PH_SYS_NETWORK_ENTERPRISE_INTERNAL_NET)</t>
  </si>
  <si>
    <t xml:space="preserve">eventType="Win-Security-4663" AND osObjType="File" AND osObjName REGEXP "\\AppData\\Roaming\\Signal\\" AND osObjName REGEXP "\\config\.json$|\\db\.sqlite$" AND procName NOT REGEXP "\\signal-portable\.exe$|\\signal\.exe$"</t>
  </si>
  <si>
    <t xml:space="preserve">eventType="Win-Sysmon-1-Create-Process" AND (procName REGEXP "\\certutil\.exe$" OR srcFileName="CertUtil.exe") AND command REGEXP ".*-decode .*|.*-decodehex .*|.*/decode .*|.*/decodehex .*"</t>
  </si>
  <si>
    <t xml:space="preserve">eventType="Win-Sysmon-1-Create-Process" AND (procName REGEXP "\\certutil\.exe$" OR srcFileName="CertUtil.exe") AND command REGEXP ".*-encode.*|.*/encode.*"</t>
  </si>
  <si>
    <t xml:space="preserve">eventType="Win-Sysmon-1-Create-Process" AND (procName REGEXP "\\certutil\.exe$" OR srcFileName="CertUtil.exe") AND (command REGEXP "-encode" OR command REGEXP "/encode") AND command REGEXP "\$Recycle\.Bin|\\AppData\\Roaming\\|\\Desktop\\|\\Local\\Temp\\|\\PerfLogs\\|\\Users\\Public\\|\\Windows\\Temp\\"</t>
  </si>
  <si>
    <t xml:space="preserve">eventType="Win-Sysmon-1-Create-Process" AND (procName REGEXP "\\wbadmin\.exe$" OR srcFileName="WBADMIN.EXE") AND command REGEXP " recovery" AND command REGEXP "recoveryTarget" AND command REGEXP "itemtype:File"</t>
  </si>
  <si>
    <t xml:space="preserve">(eventType="Win-Security-5145" AND fileName="\\\\*\\IPC$") AND (targetName NOT IN ("HydraLsPipe","LSM_API_service","MsFteWds","TermSrv_API_service","atsvc","browser","eventlog","lsarpc","lsass","netdfs","netlogon","ntsvcs","protected_storage","samr","spoolss","sql\\query","srvsvc","svcctl","winreg","wkssvc"))</t>
  </si>
  <si>
    <t xml:space="preserve">eventType = "Win-PowerShell-4104" AND script REGEXP "Get-ADUser" AND script REGEXP "-Filter" AND script REGEXP "useraccountcontrol" AND script REGEXP "-band" AND script REGEXP "4194304"</t>
  </si>
  <si>
    <t xml:space="preserve">eventType="Win-Sysmon-1-Create-Process" AND procName REGEXP "\\gpresult\.exe$" AND command REGEXP ".*/v.*|.*/z.*"</t>
  </si>
  <si>
    <t xml:space="preserve">eventType="Win-Sysmon-1-Create-Process" AND (procName REGEXP "\\gpscript\.exe$" OR srcFileName="GPSCRIPT.EXE") AND command REGEXP " /logon| /startup" AND parentCommand!="C:\\windows\\system32\\svchost.exe -k netsvcs -p -s gpsvc"</t>
  </si>
  <si>
    <t xml:space="preserve">eventType="Win-Sysmon-1-Create-Process" AND (procName REGEXP "\\whoami\.exe$" OR srcFileName="whoami.exe") AND command REGEXP ".* -groups.*|.* /groups.*"</t>
  </si>
  <si>
    <t xml:space="preserve">eventType="Win-Security-5136" AND propName="gPCMachineExtensionNames" AND propValue REGEXP "803E14A0-B4FB-11D0-A0D0-00A0C90F574B|827D319E-6EAC-11D2-A4EA-00C04F79F83A"</t>
  </si>
  <si>
    <t xml:space="preserve">eventType="Win-Sysmon-1-Create-Process" AND command REGEXP ".* --adcs .*" AND command REGEXP ".* --port .*"</t>
  </si>
  <si>
    <t xml:space="preserve">eventType="Win-Sysmon-1-Create-Process" AND ((procName REGEXP "\\Certify\.exe$" OR srcFileName="Certify.exe" OR description REGEXP ".*Certify.*") OR (command REGEXP ".*\.exe cas .*|.*\.exe download .*|.*\.exe find .*|.*\.exe pkiobjects .*|.*\.exe request .*" AND command REGEXP ".* /altname:.*|.* /ca:.*|.* /domain:.*|.* /path:.*|.* /template:.*|.* /vulnerable.*"))</t>
  </si>
  <si>
    <t xml:space="preserve">eventType="Win-Sysmon-1-Create-Process" AND (procName REGEXP "\\Certipy\.exe$" OR srcFileName="Certipy.exe" OR description REGEXP "Certipy" OR (command REGEXP " account | auth | cert | find | forge | ptt | relay | req | shadow | template " AND command REGEXP " -bloodhound| -ca-pfx | -dc-ip | -kirbi| -old-bloodhound| -pfx | -target| -template| -username | -vulnerable|auth -pfx|shadow auto|shadow list"))</t>
  </si>
  <si>
    <t xml:space="preserve">eventType IN ("Win-Security-5441","Win-Security-5447") AND filter REGEXP "Custom Outbound Filter"</t>
  </si>
  <si>
    <t xml:space="preserve">eventType="Win-Sysmon-1-Create-Process" AND procName REGEXP "\\nxc\.exe$" AND command REGEXP " ftp | ldap | mssql | nfs | rdp | smb | ssh | vnc | winrm | wmi "</t>
  </si>
  <si>
    <t xml:space="preserve">eventType="Win-Sysmon-11-FileCreate" AND (procName REGEXP "\\nxc-windows-latest\\" OR (fileName REGEXP "\\Temp\\_MEI" AND fileName REGEXP "\\nxc\\data\\"))</t>
  </si>
  <si>
    <t xml:space="preserve">(eventType="Win-Security-5447" AND filter REGEXP "RonPolicy") OR (eventType="Win-Security-5449" AND providerName REGEXP "RonPolicy")</t>
  </si>
  <si>
    <t xml:space="preserve">eventType="Win-Sysmon-1-Create-Process" AND (procName REGEXP "\\RemoteKrbRelay\.exe$" OR srcFileName="RemoteKrbRelay.exe" OR (command REGEXP " -clsid " AND command REGEXP " -target " AND command REGEXP " -victim ") OR (command REGEXP "-rbcd " AND command REGEXP "--computername |-cn ") OR (command REGEXP "-chp " AND command REGEXP "-chpPass " AND command REGEXP "-chpUser ") OR (command REGEXP "-addgroupmember " AND command REGEXP "-group " AND command REGEXP "-groupuser ") OR (command REGEXP "-smb " AND command REGEXP "--smbkeyword " AND command REGEXP "interactive|secrets|service-add"))</t>
  </si>
  <si>
    <t xml:space="preserve">eventType = "Win-PowerShell-4104" AND script REGEXP "/impersonateuser:|asktgt /user:|asreproast |createnetonly /program:|dump /luid:0x|dump /service:krbtgt |golden /aes256:|harvest /interval:|hash /password:|kerberoast |ptt /ticket:|renew /ticket:|s4u /ticket:|s4u /user:|silver /user:"</t>
  </si>
  <si>
    <t xml:space="preserve">eventType="Win-Sysmon-1-Create-Process" AND ((procName REGEXP "\\SharpLDAPmonitor\.exe$" OR srcFileName="SharpLDAPmonitor.exe") OR (command REGEXP ".*/user:.*" AND command REGEXP ".*/pass:.*" AND command REGEXP ".*/dcip:.*"))</t>
  </si>
  <si>
    <t xml:space="preserve">eventType="Win-Sysmon-1-Create-Process" AND (procName REGEXP "\\SharpLdapWhoami\.exe$" OR srcFileName REGEXP ".*SharpLdapWhoami.*" OR product="SharpLdapWhoami" OR command REGEXP " /m:kerb$| /m:nego$| /m:ntlm$| /method:kerb$| /method:nego$| /method:ntlm$")</t>
  </si>
  <si>
    <t xml:space="preserve">eventType="Win-Sysmon-1-Create-Process" AND command REGEXP " --bhdump | --buildcache | --certdump | --dnsdump " AND command REGEXP " --cachefilename | --outputdirectory| -c | -o "</t>
  </si>
  <si>
    <t xml:space="preserve">eventType="Win-Sysmon-1-Create-Process" AND (srcFileName="TruffleSnout.exe" OR procName REGEXP "\\TruffleSnout\.exe$")</t>
  </si>
  <si>
    <t xml:space="preserve">eventType = "Win-Sysmon-1-Create-Process" AND ( product = "UACMe" OR company IN ("APT 92","CD Project Rekt","Hazardous Environments","REvol Corp","UG North") OR description IN ("Pentesting utility","UACMe main module") OR srcFileName IN ("Akagi.exe","Akagi64.exe") OR procName REGEXP "\\Akagi64\.exe$|\\Akagi\.exe$" OR hashIMP IN ("14C4E4C72BA075E9069EE67F39188AD8","3C782813D4AFCE07BBFC5A9772ACDBDC","3DE09703C8E79ED2CA3F01074719906B","41923EA1F824FE63EA5BEB84DB7A3E74","5834ED4291BDEB928270428EBBAF7604","5A8A8A43F25485E7EE1B201EDCBC7A38","6F33F4A5FC42B8CEC7314947BD13F30F","767637C23BB42CD5D7397CF58B0BE688","7D010C6BB6A3726F327F7E239166D127","89159BA4DD04E4CE5559F132A9964EB3","DC7D30B90B2D8ABF664FBED2B1B59894") )</t>
  </si>
  <si>
    <t xml:space="preserve">eventType="Win-Sysmon-1-Create-Process" AND command REGEXP "Offline_Winpwn|WinPwn |WinPwn\.exe|WinPwn\.ps1"</t>
  </si>
  <si>
    <t xml:space="preserve">eventType = "Win-PowerShell-4104" AND script REGEXP "Offline_Winpwn|WinPwn |WinPwn\.exe|WinPwn\.ps1"</t>
  </si>
  <si>
    <t xml:space="preserve">Win-Security-4776-success
Win-Security-4776-failure
Win-Security-4624
Win-Security-4625</t>
  </si>
  <si>
    <t xml:space="preserve">(eventType IN ("Win-Security-4776-success","Win-Security-4776-failure") AND srcName="RULER") OR (eventType IN ("Win-Security-4624","Win-Security-4625") AND srcName="RULER")</t>
  </si>
  <si>
    <t xml:space="preserve">eventType="Win-Security-4720" AND user REGEXP "\$$" AND user!="HomeGroupUser$"</t>
  </si>
  <si>
    <t xml:space="preserve">eventType="Win-Sysmon-1-Create-Process" AND (procName REGEXP "\\SharpSuccessor\.exe$" OR srcFileName="SharpSuccessor.exe" OR command REGEXP "SharpSuccessor" OR (command REGEXP " add " AND command REGEXP " /impersonate" AND command REGEXP " /path" AND command REGEXP " /account" AND command REGEXP " /name"))</t>
  </si>
  <si>
    <t xml:space="preserve">eventType="Win-Security-4697" AND serviceName="HybridConnectionManager" AND serviceFileName REGEXP ".*HybridConnectionManager.*"</t>
  </si>
  <si>
    <t xml:space="preserve">eventType="Win-Security-5145" AND fileName="\\\\*\\IPC$" AND targetName REGEXP ".*RemCom_stderr.*|.*RemCom_stdin.*|.*RemCom_stdout.*"</t>
  </si>
  <si>
    <t xml:space="preserve">eventType="Win-Sysmon-1-Create-Process" AND (procName REGEXP "\\ldifde\.exe$" OR srcFileName="ldifde.exe") AND (command REGEXP ".*-i.*" AND command REGEXP ".*-f.*")</t>
  </si>
  <si>
    <t xml:space="preserve">(eventType IN ("Win-Security-4699","Win-Security-4701") AND task REGEXP ".*\\Windows\\BitLocker.*|.*\\Windows\\ExploitGuard.*|.*\\Windows\\SystemRestore\\SR.*|.*\\Windows\\UpdateOrchestrator\\Schedule.*|.*\\Windows\\Windows Defender\\.*|.*\\Windows\\WindowsBackup\\.*|.*\\Windows\\WindowsUpdate\\.*") AND ((eventType!="Win-Security-4699" OR user NOT REGEXP "\$$" OR task NOT REGEXP ".*\\Windows\\Windows Defender\\.*"))</t>
  </si>
  <si>
    <t xml:space="preserve">Win-Security-4719
Win-Security-4719</t>
  </si>
  <si>
    <t xml:space="preserve">(eventType="Win-Security-4719" AND oid IN ("{0CCE9210-69AE-11D9-BED3-505054503030}","{0CCE9211-69AE-11D9-BED3-505054503030}","{0CCE9212-69AE-11D9-BED3-505054503030}","{0CCE9215-69AE-11D9-BED3-505054503030}","{0CCE921B-69AE-11D9-BED3-505054503030}","{0CCE922B-69AE-11D9-BED3-505054503030}","{0CCE922F-69AE-11D9-BED3-505054503030}","{0CCE9230-69AE-11D9-BED3-505054503030}","{0CCE9235-69AE-11D9-BED3-505054503030}","{0CCE9236-69AE-11D9-BED3-505054503030}","{0CCE9237-69AE-11D9-BED3-505054503030}","{0CCE923F-69AE-11D9-BED3-505054503030}","{0CCE9240-69AE-11D9-BED3-505054503030}","{0CCE9242-69AE-11D9-BED3-505054503030}") AND actionName REGEXP "%%8448|%%8450") OR (eventType="Win-Security-4719" AND oid="{0CCE9217-69AE-11D9-BED3-505054503030}" AND actionName REGEXP "%%8448")</t>
  </si>
  <si>
    <t xml:space="preserve">eventType="Win-Security-4697" AND serviceFileName REGEXP "cmd" AND serviceFileName REGEXP "&amp;&amp;" AND serviceFileName REGEXP "clipboard\]::"</t>
  </si>
  <si>
    <t xml:space="preserve">eventType="Win-Security-4697" AND serviceFileName REGEXP ".*new-object.*" AND serviceFileName REGEXP ".*text\.encoding\]::ascii.*" AND serviceFileName REGEXP ".*readtoend.*" AND serviceFileName REGEXP ".*system\.io\.compression\.deflatestream.*|.*system\.io\.streamreader.*"</t>
  </si>
  <si>
    <t xml:space="preserve">eventType="Win-Security-4697" AND serviceFileName REGEXP "rundll32\.exe" AND serviceFileName REGEXP "shell32\.dll" AND serviceFileName REGEXP "shellexec_rundll" AND serviceFileName REGEXP "powershell"</t>
  </si>
  <si>
    <t xml:space="preserve">eventType="Win-Security-4697" AND serviceFileName REGEXP ".*cmd.*" AND serviceFileName REGEXP ".*powershell.*" AND serviceFileName REGEXP ".*\$\{input\}.*|.*noexit.*" AND serviceFileName REGEXP ".* /c .*|.* /r .*"</t>
  </si>
  <si>
    <t xml:space="preserve">eventType="Win-Security-4697" AND serviceFileName REGEXP "&amp;&amp;set" AND serviceFileName REGEXP "cmd" AND serviceFileName REGEXP "/c" AND serviceFileName REGEXP "-f" AND serviceFileName REGEXP "\{0\}|\{1\}|\{2\}|\{3\}|\{4\}|\{5\}"</t>
  </si>
  <si>
    <t xml:space="preserve">eventType="Win-Security-4697" AND serviceFileName REGEXP ".*cmd.*" AND serviceFileName REGEXP ".*\"set.*" AND serviceFileName REGEXP ".*-f.*" AND serviceFileName REGEXP ".*/c.*|.*/r.*"</t>
  </si>
  <si>
    <t xml:space="preserve">eventType="Win-Security-4697" AND serviceFileName REGEXP ".*set.*" AND serviceFileName REGEXP ".*&amp;&amp;.*" AND serviceFileName REGEXP ".*\$\{input\).*|.*environment.*|.*invoke.*"</t>
  </si>
  <si>
    <t xml:space="preserve">eventType="Win-Security-4697" AND serviceFileName REGEXP ".*\(Clipboard\|i.*"</t>
  </si>
  <si>
    <t xml:space="preserve">eventType="Win-Security-4697" AND serviceFileName REGEXP ".*mshta.*" AND serviceFileName REGEXP ".*vbscript:createobject.*" AND serviceFileName REGEXP ".*\.run.*" AND serviceFileName REGEXP ".*window\.close.*"</t>
  </si>
  <si>
    <t xml:space="preserve">eventType="Win-Security-4697" AND serviceFileName REGEXP ".*&amp;&amp;.*" AND serviceFileName REGEXP ".*rundll32.*" AND serviceFileName REGEXP ".*shell32\.dll.*" AND serviceFileName REGEXP ".*shellexec_rundll.*" AND serviceFileName REGEXP ".*comspec.*|.*iex.*|.*invoke.*|.*value.*"</t>
  </si>
  <si>
    <t xml:space="preserve">eventType="Win-Security-4663" AND serverName="Security" AND osObjType="File" AND osObjName REGEXP "^\\Device\\CdRom" AND osObjName NOT IN ("\\Device\\CdRom0\\autorun.ico","\\Device\\CdRom0\\setup.exe","\\Device\\CdRom0\\setup64.exe")</t>
  </si>
  <si>
    <t xml:space="preserve">eventType IN ("Win-Security-4769-failure","Win-Security-4769-success") AND status="0x0" AND encryptAlgo="0x17" AND serviceName NOT REGEXP "\$$|krbtgt$" AND user NOT REGEXP "\$@"</t>
  </si>
  <si>
    <t xml:space="preserve">eventType="Win-System-Service-Control-Manager-7045" AND serviceName="KrbSCM"</t>
  </si>
  <si>
    <t xml:space="preserve">eventType="Win-Sysmon-10-ProcessAccess" AND procPath REGEXP ".*editionupgrademanagerobj\.dll.*"</t>
  </si>
  <si>
    <t xml:space="preserve">eventType="Win-Security-4720"</t>
  </si>
  <si>
    <t xml:space="preserve">eventType="Win-Security-4800"</t>
  </si>
  <si>
    <t xml:space="preserve">eventType="Win-Security-4624" AND procName REGEXP "\\WmiPrvSE\.exe$"</t>
  </si>
  <si>
    <t xml:space="preserve">eventType="Win-Sysmon-1-Create-Process" AND (procName REGEXP "\\dctask64\.exe$" OR hashIMP IN ("1BB6F93B129F398C7C4A76BB97450BBA","6834B1B94E49701D77CCB3C0895E1AFD","F1039CED4B91572AB7847D26032E6BBF","FAA2AC19875FADE461C8D89DCF2710A3")) AND command REGEXP " executecmd64 | injectDll | invokeexe "</t>
  </si>
  <si>
    <t xml:space="preserve">eventType = "Win-PowerShell-4104" AND script REGEXP "System\.DirectoryServices\.AccountManagement"</t>
  </si>
  <si>
    <t xml:space="preserve">(eventType="Win-Security-4697" AND serviceStartType="3" AND serviceType="0x10" AND serviceFileName REGEXP "^%systemroot%\\[a-zA-Z]{8}\.exe$" AND serviceName REGEXP "(^[a-zA-Z]{4}$)|(^[a-zA-Z]{8}$)|(^[a-zA-Z]{16}$)") AND (serviceName!="PSEXESVC")</t>
  </si>
  <si>
    <t xml:space="preserve">(eventType IN ("Win-Security-4624","Win-Security-4625") AND winLogonType=3 AND authenMethod="NTLM" AND srcName REGEXP "^[A-Za-z0-9]{16}$") OR (eventType IN ("Win-Security-4776-failure","Win-Security-4776-success") AND srcName REGEXP "^[A-Za-z0-9]{16}$")</t>
  </si>
  <si>
    <t xml:space="preserve">eventType="Win-Security-4697" AND ((serviceFileName REGEXP "/c" AND serviceFileName REGEXP "echo" AND serviceFileName REGEXP "\\pipe\\" AND serviceFileName REGEXP "%COMSPEC%|cmd") OR (serviceFileName REGEXP "rundll32" AND serviceFileName REGEXP "\.dll,a" AND serviceFileName REGEXP "/p:") OR serviceFileName REGEXP "^\\\\127\.0\.0\.1\\ADMIN\$\\")</t>
  </si>
  <si>
    <t xml:space="preserve">eventType IN ("Win-Security-Mitigation-11", "Win-Security-Mitigation-12") AND procPath REGEXP "\\MpCmdRun\.exe$|\\NisSrv\.exe$"</t>
  </si>
  <si>
    <t xml:space="preserve">eventType="Win-Sysmon-1-Create-Process" AND (procName REGEXP "\\reg\.exe$" OR srcFileName="reg.exe") AND command REGEXP ".*\\SOFTWARE\\Policies\\Microsoft\\Windows\\System.*" AND command REGEXP ".*EnableSmartScreen.*|.*GroupPolicyRefreshTimeDC.*|.*GroupPolicyRefreshTime.*|.*GroupPolicyRefreshTimeOffsetDC.*|.*GroupPolicyRefreshTimeOffset.*|.*ShellSmartScreenLevel.*"</t>
  </si>
  <si>
    <t xml:space="preserve">eventType = "Win-PowerShell-4104" AND script REGEXP "\\SOFTWARE\\Policies\\Microsoft\\Windows\\System" AND script REGEXP "EnableSmartScreen|GroupPolicyRefreshTime|GroupPolicyRefreshTimeDC|GroupPolicyRefreshTimeOffset|GroupPolicyRefreshTimeOffsetDC|ShellSmartScreenLevel"</t>
  </si>
  <si>
    <t xml:space="preserve">eventType="Win-Security-4657" AND osObjName REGEXP ".*\\REGISTRY\\MACHINE\\SYSTEM.*" AND osObjName REGEXP ".*ControlSet.*" AND osObjName REGEXP ".*\\Control\\Lsa.*" AND osObjValue IN ("LmCompatibilityLevel","NtlmMinClientSec","RestrictSendingNTLMTraffic")</t>
  </si>
  <si>
    <t xml:space="preserve">eventType="Win-Sysmon-1-Create-Process" AND (procName REGEXP "\\netsh\.exe$" OR srcFileName="netsh.exe") AND (command REGEXP ".*advfirewall.*" AND command REGEXP ".*firewall.*" AND command REGEXP ".*set.*" AND command REGEXP ".*rule.*" AND command REGEXP ".*group=.*" AND command REGEXP ".*new.*" AND command REGEXP ".*enable=Yes.*")</t>
  </si>
  <si>
    <t xml:space="preserve">eventType="Win-App-Microsoft-Windows-Bits-Client-3" AND procName REGEXP "\\bitsadmin\.exe$"</t>
  </si>
  <si>
    <t xml:space="preserve">eventType="Win-Sysmon-1-Create-Process" AND (procName REGEXP "\\powershell\.exe$|\\powershell_ise\.exe$|\\pwsh\.exe$" OR srcFileName IN ("powershell.exe","powershell_ise.exe","pwsh.dll")) AND command REGEXP "New-ADServiceAccount" AND command REGEXP "-CreateDelegatedServiceAccount" AND command REGEXP "-path"</t>
  </si>
  <si>
    <t xml:space="preserve">((eventType="Win-Security-4720" AND oldTargetUser CONTAIN "$") OR (eventType="Win-Security-4781" AND targetUser CONTAIN "$")) AND (eventType != "Win-Security-4720" OR user != "HomeGroupUser$")</t>
  </si>
  <si>
    <t xml:space="preserve">eventType="Win-Sysmon-1-Create-Process" AND (procName REGEXP "\\certutil\.exe$" OR srcFileName="CertUtil.exe") AND command REGEXP ".*-addstore.*|.*/addstore.*" AND command REGEXP ".*root.*"</t>
  </si>
  <si>
    <t xml:space="preserve">eventType="Win-Sysmon-1-Create-Process" AND (procName REGEXP "\\net1\.exe$|\\net\.exe$" OR srcFileName IN ("net.exe","net1.exe")) AND (command REGEXP ".*user.*" AND command REGEXP ".*add.*")</t>
  </si>
  <si>
    <t xml:space="preserve">eventType="Win-Sysmon-1-Create-Process" AND (procName REGEXP "\\net1\.exe$|\\net\.exe$" OR srcFileName IN ("net.exe","net1.exe")) AND (command REGEXP ".*user.*" AND command REGEXP ".*add.*" AND command REGEXP ".*expires:never.*")</t>
  </si>
  <si>
    <t xml:space="preserve">eventType IN ("Win-System-Microsoft-Windows-Kerberos-Key-Distribution-Center-16","Win-System-Microsoft-Windows-Kerberos-Key-Distribution-Center-27")</t>
  </si>
  <si>
    <t xml:space="preserve">eventType="Win-Security-4624" AND winLogonType=9</t>
  </si>
  <si>
    <t xml:space="preserve">Win-Security-4624
Win-Security-4624</t>
  </si>
  <si>
    <t xml:space="preserve">((eventType="Win-Security-4624" AND securityId="S-1-0-0" AND winLogonType=3 AND winLogonProc="NtLmSsp" AND msgLen=0) OR (eventType="Win-Security-4624" AND winLogonType=9 AND winLogonProc="seclogo")) AND user!="ANONYMOUS LOGON"</t>
  </si>
  <si>
    <t xml:space="preserve">eventType = "Win-PowerShell-4104" AND script REGEXP "Get-AdDefaultDomainPasswordPolicy"</t>
  </si>
  <si>
    <t xml:space="preserve">eventType="Win-Security-4661" AND osObjAccessType REGEXP "%%5392" AND serverName="Security Account Manager"</t>
  </si>
  <si>
    <t xml:space="preserve">(eventType="Win-Security-5379" AND targetName REGEXP ".*Microsoft_Windows_Shell_ZipFolder:filename.*") AND (targetName NOT REGEXP ".*\\Temporary Internet Files\\Content\.Outlook.*")</t>
  </si>
  <si>
    <t xml:space="preserve">eventType="Win-Security-5379" AND targetName REGEXP ".*Microsoft_Windows_Shell_ZipFolder:filename.*" AND targetName REGEXP ".*\\Temporary Internet Files\\Content\.Outlook.*"</t>
  </si>
  <si>
    <t xml:space="preserve">eventType="Win-Security-5379" AND targetName REGEXP ".*Microsoft_Windows_Shell_ZipFolder:filename.*" AND targetName REGEXP ".*delivery.*|.*factura.*|.*invoice.*|.*new order.*|.*order.*|.*payment.*|.*purchase.*|.*rechnung.*"</t>
  </si>
  <si>
    <t xml:space="preserve">(eventType="Win-Security-5136" AND propName IN ("gPCMachineExtensionNames","gPCUserExtensionNames") AND propValue REGEXP "AADCED64-746C-4633-A97C-D61349046527|CAB54552-DEEA-4691-817E-ED4A4D1AFC72") OR (eventType="Win-Security-5145" AND fileName REGEXP "\\SYSVOL$" AND targetName REGEXP "ScheduledTasks\.xml$" AND osObjAccessType REGEXP "%%4417|WriteData")</t>
  </si>
  <si>
    <t xml:space="preserve">eventType="Win-Security-4624" AND winLogonType=9 AND winLogonProc="Advapi" AND authenMethod="Negotiate" AND permissionLevelID="%%1833"</t>
  </si>
  <si>
    <t xml:space="preserve">eventType="Win-Sysmon-1-Create-Process" AND (procName REGEXP "\\powershell\.exe$|\\pwsh\.exe$" OR srcFileName IN ("PowerShell.EXE","pwsh.dll")) AND command REGEXP ".*Import-Module .*|.*ipmo .*" AND command REGEXP ".*Microsoft\.ActiveDirectory\.Management\.dll.*"</t>
  </si>
  <si>
    <t xml:space="preserve">eventType = "Win-PowerShell-4103" AND lineContent REGEXP "Import-Module |ipmo " AND lineContent REGEXP "Microsoft\.ActiveDirectory\.Management\.dll"</t>
  </si>
  <si>
    <t xml:space="preserve">eventType = "Win-PowerShell-4104" AND ((script REGEXP "Import-Module " AND script REGEXP "Microsoft\.ActiveDirectory\.Management\.dll") OR script REGEXP "ipmo Microsoft\.ActiveDirectory\.Management\.dll")</t>
  </si>
  <si>
    <t xml:space="preserve">eventType IN ("Win-Security-4768-failure","Win-Security-4768-success") AND encryptAlgo="0x17" AND serviceName="krbtgt" AND authenMethod="0"</t>
  </si>
  <si>
    <t xml:space="preserve">eventType="Win-Sysmon-7-Image-Loaded" AND (loadedProcName="C:\\Windows\\System32\\MicrosoftAccountTokenProvider.dll" AND ((procName NOT REGEXP "^C:\\Windows\\SysWOW64\\|^C:\\Windows\\System32\\" OR procName NOT REGEXP "\\BackgroundTaskHost\.exe$"))) AND ((procName NOT REGEXP "^C:\\Program Files \(x86\)\\Microsoft Visual Studio\\|^C:\\Program Files\\Microsoft Visual Studio\\" OR procName NOT REGEXP "\\IDE\\devenv\.exe$") AND (procName NOT IN ("C:\\Program Files (x86)\\Internet Explorer\\iexplore.exe","C:\\Program Files\\Internet Explorer\\iexplore.exe")) AND (procName NOT REGEXP "^C:\\Program Files \(x86\)\\Microsoft\\EdgeWebView\\Application\\" AND procName NOT REGEXP "\\WindowsApps\\MicrosoftEdge\.exe$" AND procName NOT IN ("C:\\Program Files (x86)\\Microsoft\\Edge\\Application\\msedge.exe","C:\\Program Files\\Microsoft\\Edge\\Application\\msedge.exe")) AND (procName NOT REGEXP "^C:\\Program Files \(x86\)\\Microsoft\\EdgeCore\\|^C:\\Program Files\\Microsoft\\EdgeCore\\" OR procName NOT REGEXP "\\msedge\.exe$|\\msedgewebview2\.exe$") AND (procName NOT REGEXP "\\AppData\\Local\\Microsoft\\OneDrive\\OneDrive\.exe$") AND (procName IS NOT NULL))</t>
  </si>
  <si>
    <t xml:space="preserve">Win-Security-5136
Win-Security-5137
Win-Security-4662</t>
  </si>
  <si>
    <t xml:space="preserve">(eventType IN ("Win-Security-5136","Win-Security-5137") AND osObjType="dnsNode" AND objId REGEXP "UWhRCA" AND objId REGEXP "BAAAA" AND objId REGEXP "CN=MicrosoftDNS") OR (eventType="Win-Security-4662" AND details REGEXP "UWhRCA" AND details REGEXP "BAAAA" AND details REGEXP "CN=MicrosoftDNS")</t>
  </si>
  <si>
    <t xml:space="preserve">eventType="Win-Sysmon-1-Create-Process" AND (procName REGEXP "\\certutil\.exe$" OR srcFileName="CertUtil.exe") AND (command REGEXP ".* -syncwithWU .*" AND command REGEXP ".* \\\\.*")</t>
  </si>
  <si>
    <t xml:space="preserve">eventType="Win-Security-4624" AND winLogonType=3 AND authenMethod="Kerberos" AND srcIpAddr=127.0.0.1 AND userId REGEXP "^S-1-5-21-" AND userId REGEXP "-500$" AND srcIpPort!=0</t>
  </si>
  <si>
    <t xml:space="preserve">eventType="Win-Security-4673" AND privName="SeLoadDriverPrivilege" AND serviceName="-" AND procName NOT IN ("C:\\Windows\\HelpPane.exe","C:\\Windows\\ImmersiveControlPanel\\SystemSettings.exe","C:\\Windows\\System32\\Dism.exe","C:\\Windows\\System32\\RuntimeBroker.exe","C:\\Windows\\System32\\ShellHost.exe","C:\\Windows\\System32\\SystemSettingsBroker.exe","C:\\Windows\\System32\\fltMC.exe","C:\\Windows\\System32\\mmc.exe","C:\\Windows\\System32\\rundll32.exe","C:\\Windows\\System32\\svchost.exe","C:\\Windows\\System32\\wimserv.exe","C:\\Windows\\explorer.exe") AND procName NOT REGEXP "^C:\\Program Files\\WindowsApps\\Microsoft" AND procName NOT REGEXP "\\AppData\\Local\\Microsoft\\Teams\\current\\Teams\.exe$|\\Google\\Chrome\\Application\\chrome\.exe$|\\procexp64\.exe$|\\procexp\.exe$|\\procmon64\.exe$|\\procmon\.exe$" AND (procName NOT REGEXP "^C:\\Program Files \(x86\)\\Dropbox\\|^C:\\Program Files\\Dropbox\\" OR procName NOT REGEXP "\\Dropbox\.exe$")</t>
  </si>
  <si>
    <t xml:space="preserve">eventType IN ("Win-Security-4656","Win-Security-4658","Win-Security-4663") AND osObjName REGEXP "\.AAA$|\.ZZZ$"</t>
  </si>
  <si>
    <t xml:space="preserve">eventType="Win-Sysmon-1-Create-Process" AND procName REGEXP "sdclt\.exe$" AND integrityLevel IN ("High","S-1-16-12288")</t>
  </si>
  <si>
    <t xml:space="preserve">eventType="Win-Sysmon-1-Create-Process" AND parentProcName REGEXP "\\eventvwr\.exe$" AND procName NOT REGEXP ":\\Windows\\SysWOW64\\WerFault\.exe$|:\\Windows\\System32\\WerFault\.exe$|:\\Windows\\System32\\mmc\.exe$"</t>
  </si>
  <si>
    <t xml:space="preserve">eventType = "Win-PowerShell-4104" AND script REGEXP "ADRecon-Report\.xlsx|Function Get-ADRExcelComOb|Get-ADRDomainController|Get-ADRGPO"</t>
  </si>
  <si>
    <t xml:space="preserve">eventType = "Win-PowerShell-4104" AND script REGEXP "New-LocalUser"</t>
  </si>
  <si>
    <t xml:space="preserve">eventType = "Win-PowerShell-4104" AND script REGEXP "(Copy-Item|cpi) .{2,128} -Destination .{1,32}\\Windows\\(System32|SysWOW64)"</t>
  </si>
  <si>
    <t xml:space="preserve">eventType="Win-Security-4697" AND serviceFileName REGEXP "powershell|pwsh"</t>
  </si>
  <si>
    <t xml:space="preserve">eventType="Win-Sysmon-1-Create-Process" AND (procName REGEXP "\\dism\.exe$" OR srcFileName="DISM.EXE") AND command REGEXP "WindowsPowerShellWebAccess" AND command REGEXP "/online" AND command REGEXP "/enable-feature"</t>
  </si>
  <si>
    <t xml:space="preserve">eventType IN ("Win-Security-4656","Win-Security-4657","Win-Security-4663") AND osObjName REGEXP ".*\\SOFTWARE\\Microsoft\\Windows\\CurrentVersion\\CapabilityAccessManager\\ConsentStore\\microphone\\NonPackaged.*|.*\\SOFTWARE\\Microsoft\\Windows\\CurrentVersion\\CapabilityAccessManager\\ConsentStore\\webcam\\NonPackaged.*"</t>
  </si>
  <si>
    <t xml:space="preserve">eventType="Win-Security-5145" AND fileName REGEXP ".*IPC.*" AND targetName="protected_storage"</t>
  </si>
  <si>
    <t xml:space="preserve">eventType="Win-Sysmon-1-Create-Process" AND (procName REGEXP "\\AdFind\.exe$" OR srcFileName="AdFind.exe" OR hashCode REGEXP "IMPHASH=12ce1c0f3f5837ecc18a3782408fa975|IMPHASH=21aa085d54992511b9f115355e468782|IMPHASH=49b639b4acbecc49d72a01f357aa4930|IMPHASH=4fbf3f084fbbb2470b80b2013134df35|IMPHASH=53e117a96057eaf19c41380d0e87f1c2|IMPHASH=680dad9e300346e05a85023965867201|IMPHASH=bca5675746d13a1f246e2da3c2217492|IMPHASH=d144de8117df2beceaba2201ad304764")</t>
  </si>
  <si>
    <t xml:space="preserve">eventType="Win-Sysmon-1-Create-Process" AND (parentCommand REGEXP "\.bat|\.chm|\.cmd|\.hta|\.htm|\.html|\.js|\.lnk|\.ps1|\.vbe|\.vbs|\.wsf" OR parentCommand REGEXP ":\\Perflogs\\|:\\Temp\\|:\\Users\\Public\\|:\\Windows\\Temp\\|\\AppData\\Local\\Temp|\\AppData\\Roaming\\|\\Temporary Internet" OR (parentCommand REGEXP ":\\Users\\" AND parentCommand REGEXP "\\Favorites\\") OR (parentCommand REGEXP ":\\Users\\" AND parentCommand REGEXP "\\Favourites\\") OR (parentCommand REGEXP ":\\Users\\" AND parentCommand REGEXP "\\Contacts\\")) AND parentCommand REGEXP "\.bat|\.chm|\.cmd|\.hta|\.htm|\.html|\.js|\.lnk|\.ps1|\.vbe|\.vbs|\.wsf" AND (procName REGEXP "\\PingCastle\.exe$" OR srcFileName="PingCastle.exe" OR product="Ping Castle" OR command REGEXP "--scanner aclcheck|--scanner antivirus|--scanner computerversion|--scanner foreignusers|--scanner laps_bitlocker|--scanner localadmin|--scanner nullsession|--scanner nullsession-trust|--scanner oxidbindings|--scanner remote|--scanner share|--scanner smb|--scanner smb3querynetwork|--scanner spooler|--scanner startup|--scanner zerologon" OR command REGEXP "--no-enum-limit" OR (command REGEXP "--healthcheck" AND command REGEXP "--level Full") OR (command REGEXP "--healthcheck" AND command REGEXP "--server "))</t>
  </si>
  <si>
    <t xml:space="preserve">eventType="Win-Sysmon-1-Create-Process" AND (command REGEXP ".*lockoutduration.*|.*lockoutobservationwindow.*|.*lockoutthreshold.*|.*maxpwdage.*|.*minpwdage.*|.*minpwdlength.*|.*pwdhistorylength.*|.*pwdproperties.*" OR command REGEXP ".*-sc admincountdmp.*" OR command REGEXP ".*-sc exchaddresses.*")</t>
  </si>
  <si>
    <t xml:space="preserve">eventType="Win-Security-4624" AND winLogonType=10 AND srcIpAddr IN (127.0.0.1,::1)</t>
  </si>
  <si>
    <t xml:space="preserve">eventType = "Win-Security-5156" AND filter !="AppContainer Loopback" AND ( ( srcIpPort = 3389 AND ( destIpAddr = ::1 OR destIpAddr BETWEEN (127.0.0.0,127.255.255.255) ) ) OR ( destIpPort = 3389 AND ( srcIpAddr = ::1 OR srcIpAddr BETWEEN (127.0.0.0,127.255.255.255) ) ) ) AND appName NOT REGEXP "\\thor64\.exe$|\\thor\.exe$"</t>
  </si>
  <si>
    <t xml:space="preserve">eventType="Win-Security-4661" AND fileAccess="0x2d" AND osObjType IN ("SAM_GROUP","SAM_USER") AND osObjName REGEXP "^S-1-5-21-" AND osObjName REGEXP "-500$|-512$"</t>
  </si>
  <si>
    <t xml:space="preserve">eventType="Win-Sysmon-1-Create-Process" AND (((procName REGEXP "\\reg\.exe$" OR srcFileName="reg.exe") AND command REGEXP "add") OR ((procName REGEXP "\\powershell\.exe$|\\pwsh\.exe$" OR srcFileName IN ("powershell.exe","pwsh.dll")) AND command REGEXP "New-ItemProperty|Set-ItemProperty|ni |sp ")) AND command REGEXP "\\ms-settings\\shell\\open\\command"</t>
  </si>
  <si>
    <t xml:space="preserve">eventType="Win-Sysmon-1-Create-Process" AND parentProcName REGEXP "\\meshagent\.exe$" AND procName REGEXP "\\cmd\.exe$|\\powershell\.exe$|\\pwsh\.exe$"</t>
  </si>
  <si>
    <t xml:space="preserve">eventType="Win-Security-4697" AND serviceName REGEXP "AmmyyAdmin|AnyDesk|Atera|BASupportExpressSrvcUpdater|BASupportExpressStandaloneService|GoToAssist|GoToMyPC|LMIGuardianSvc|LogMeIn|Parsec|RManService|RPCPerformanceService|RPCService|SSUService|SplashtopRemoteService|TeamViewer|TightVNC|Zoho|chromoting|jumpcloud|monblanking|vncserver"</t>
  </si>
  <si>
    <t xml:space="preserve">srcIpAddr NOT IN (Group@PH_SYS_NETWORK_ENTERPRISE_INTERNAL_NET) AND ((winLogonType = 10 AND eventType IN (Group@PH_SYS_EVENT_HostLogonFailure,Group@PH_SYS_EVENT_HostLogonSuccess)) OR eventType IN ("Win-TerminalServices-Gateway-200","Win-TerminalServices-Gateway-300","Win-TerminalServices-LocalSessionManager-21"))</t>
  </si>
  <si>
    <t xml:space="preserve">eventType="Win-Sysmon-1-Create-Process" AND procName REGEXP "\\desktopimgdownldr\.exe$" AND parentProcName REGEXP "\\desktopimgdownldr\.exe$" AND command REGEXP ".*/lockscreenurl:http.*"</t>
  </si>
  <si>
    <t xml:space="preserve">eventType="Win-Security-5156" AND destIpPort IN (5985,5986) AND permissionLevelID="44"</t>
  </si>
  <si>
    <t xml:space="preserve">eventType="Win-Security-5145" AND fileName="\\\\*\\IPC$" AND targetName="svcctl" AND osObjAccessType REGEXP ".*WriteData.*"</t>
  </si>
  <si>
    <t xml:space="preserve">eventType="Win-Security-5145" AND fileName="\\\\*\\IPC$" AND targetName="atsvc" AND osObjAccessType REGEXP ".*WriteData.*"</t>
  </si>
  <si>
    <t xml:space="preserve">eventType = "Win-PowerShell-4104" AND script REGEXP "Remove-ADGroupMember" AND script REGEXP "-Identity " AND script REGEXP "-Members "</t>
  </si>
  <si>
    <t xml:space="preserve">eventType="Win-Sysmon-1-Create-Process" AND hashIMP IN ("1BB6F93B129F398C7C4A76BB97450BBA","6834B1B94E49701D77CCB3C0895E1AFD","F1039CED4B91572AB7847D26032E6BBF","FAA2AC19875FADE461C8D89DCF2710A3") AND procName NOT REGEXP "\\dctask64\.exe$"</t>
  </si>
  <si>
    <t xml:space="preserve">eventType="Win-Security-4649"</t>
  </si>
  <si>
    <t xml:space="preserve">eventType="Win-Security-4624" AND winLogonType=3 AND user="ANONYMOUS LOGON" AND srcName="-" AND srcIpAddr IN (127.0.0.1,::1)</t>
  </si>
  <si>
    <t xml:space="preserve">(eventType="Win-Security-4656" AND osObjType="SC_MANAGER OBJECT" AND osObjName="ServicesActive" AND fileAccess="0xf003f") AND (winLogonId!="0x3e4")</t>
  </si>
  <si>
    <t xml:space="preserve">(eventType="Win-Security-4674" AND osObjType="SC_MANAGER OBJECT" AND osObjName="servicesactive" AND privName="SeTakeOwnershipPrivilege") AND (winLogonId!="0x3e4" OR procName NOT REGEXP ":\\Windows\\System32\\services\.exe$")</t>
  </si>
  <si>
    <t xml:space="preserve">eventType="Win-Sysmon-1-Create-Process" AND parentProcName REGEXP "\\sdclt\.exe$"</t>
  </si>
  <si>
    <t xml:space="preserve">eventType="Win-Sysmon-1-Create-Process" AND (procName REGEXP "\\print\.exe$" OR srcFileName="Print.EXE") AND (command REGEXP "-D" OR command REGEXP "/D") AND command REGEXP "\\config\\SAM|\\config\\SECURITY|\\config\\SYSTEM|\\windows\\ntds\\ntds\.dit"</t>
  </si>
  <si>
    <t xml:space="preserve">eventType="Win-Sysmon-1-Create-Process" AND (procName REGEXP "\\wbadmin\.exe$" OR srcFileName="WBADMIN.EXE") AND command REGEXP "backup|start" AND command REGEXP "\\Windows\\NTDS\\NTDS\.dit|\\config\\SAM|\\config\\SECURITY|\\config\\SYSTEM"</t>
  </si>
  <si>
    <t xml:space="preserve">eventType="Win-Sysmon-1-Create-Process" AND (procName REGEXP "\\wbadmin\.exe$" OR srcFileName="WBADMIN.EXE") AND command REGEXP " recovery" AND command REGEXP "recoveryTarget" AND command REGEXP "itemtype:File" AND command REGEXP "\\Windows\\NTDS\\NTDS\.dit|\\config\\SAM|\\config\\SECURITY|\\config\\SYSTEM"</t>
  </si>
  <si>
    <t xml:space="preserve">eventType="Win-Security-4697" AND (procId = "0" OR parentProcId = "0")</t>
  </si>
  <si>
    <t xml:space="preserve">eventType="Win-Security-4663" AND osObjName REGEXP "\\SYSTEM\\" AND osObjName REGEXP "ControlSet\\Services\\" AND osObjAccessType REGEXP "%%1538"</t>
  </si>
  <si>
    <t xml:space="preserve">eventType REGEXP "Win-Sysmon-12-Registry-.*|Win-Sysmon-13-Registry-.*|Win-Sysmon-14-Registry-.*" AND (((osObjAction="SetValue" AND regKeyPath REGEXP "Classes\\ms-settings\\shell\\open\\command\\SymbolicLinkValue$" AND details REGEXP ".*\\Software\\Classes\\\{.*") OR regKeyPath REGEXP "Classes\\ms-settings\\shell\\open\\command\\DelegateExecute$") OR ((osObjAction="SetValue" AND regKeyPath REGEXP "Classes\\exefile\\shell\\open\\command\\\(Default\)$|Classes\\ms-settings\\shell\\open\\command\\\(Default\)$") AND (details!="(Empty)")))</t>
  </si>
  <si>
    <t xml:space="preserve">eventType="Win-Security-5145" AND fileName REGEXP "C\$$" AND fileAccess="0x2" AND user NOT REGEXP "\$$" AND srcIpAddr != ::1</t>
  </si>
  <si>
    <t xml:space="preserve">(eventType REGEXP "Win-.*-300[^\d]*" AND userId REGEXP "^S-1-5-21-" AND userId REGEXP ".*-500\}.*|.*-518\}.*|.*-519\}.*|.*S-1-5-32-544.*") AND (userId NOT REGEXP "-500$|-518$|-519$")</t>
  </si>
  <si>
    <t xml:space="preserve">eventType IN ("Win-Security-5136","Win-Security-5145") AND ((propName IN ("gPCMachineExtensionNames","gPCUserExtensionNames") AND propValue REGEXP "42B5FAAE-6536-11D2-AE5A-0000F87571E3" AND propValue REGEXP "40B6664F-4972-11D1-A7CA-0000F87571E3|40B66650-4972-11D1-A7CA-0000F87571E3") OR (fileName REGEXP "\\SYSVOL$" AND targetName REGEXP "\\psscripts\.ini$|\\scripts\.ini$" AND osObjAccessType REGEXP "%%4417"))</t>
  </si>
  <si>
    <t xml:space="preserve">eventType="Win-Security-5145" AND targetName REGEXP "\.bak$|\.dmp$|\.edb$|\.kirbi$|\.msg$|\.nsf$|\.nst$|\.oab$|\.ost$|\.pst$|\.rdp$"</t>
  </si>
  <si>
    <t xml:space="preserve">eventType = "Win-PowerShell-4103" AND requestContext REGEXP "Reset-ComputerMachinePassword"</t>
  </si>
  <si>
    <t xml:space="preserve">eventType="Win-Sysmon-1-Create-Process" AND ((procName REGEXP "\\cmd\.exe$" AND command REGEXP "copy ") OR (procName REGEXP "\\powershell\.exe$|\\pwsh\.exe$" AND command REGEXP " copy | cp |copy-item|cpi ") OR procName REGEXP "\\robocopy\.exe$|\\xcopy\.exe$" OR srcFileName IN ("XCOPY.EXE","robocopy.exe")) AND command REGEXP "\s['\"]?C:\\Windows\\(?:System32|SysWOW64|WinSxS)" AND (procName NOT REGEXP "\\cmd\.exe$" OR command NOT REGEXP "/c copy" OR command NOT REGEXP "\\Temp\\" OR command NOT REGEXP "\\avira_system_speedup\.exe" OR command NOT REGEXP "C:\\Program Files \(x86\)\\Avira\\|C:\\Program Files\\Avira\\")</t>
  </si>
  <si>
    <t xml:space="preserve">eventType="Win-Sysmon-22-DNS-Query" AND queryId REGEXP "UWhRCA" AND queryId REGEXP "BAAAA"</t>
  </si>
  <si>
    <t xml:space="preserve">eventType="Win-Sysmon-1-Create-Process" AND (procName REGEXP "\\certutil\.exe$" OR srcFileName="CertUtil.exe") AND command REGEXP "URL |urlcache |verifyctl " AND command REGEXP "http"</t>
  </si>
  <si>
    <t xml:space="preserve">eventType="Win-Sysmon-1-Create-Process" AND procName REGEXP "\\python\.exe$" AND command REGEXP ".*adidnsdump.*"</t>
  </si>
  <si>
    <t xml:space="preserve">eventType="Win-Sysmon-1-Create-Process" AND (procName REGEXP "\\certutil\.exe$" OR srcFileName="CertUtil.exe") AND command REGEXP "URL |urlcache |verifyctl " AND command REGEXP "://1|://2|://3|://4|://5|://6|://7|://8|://9" AND command NOT REGEXP "://7-"</t>
  </si>
  <si>
    <t xml:space="preserve">eventType="Win-Sysmon-1-Create-Process" AND (procName REGEXP "\\certutil\.exe$" OR srcFileName="CertUtil.exe") AND command REGEXP "URL |urlcache |verifyctl " AND command REGEXP "\.githubusercontent\.com|anonfiles\.com|cdn\.discordapp\.com|ddns\.net|dl\.dropboxusercontent\.com|ghostbin\.co|github\.com|glitch\.me|gofile\.io|hastebin\.com|mediafire\.com|mega\.nz|onrender\.com|pages\.dev|paste\.ee|pastebin\.com|pastebin\.pl|pastetext\.net|privatlab\.com|privatlab\.net|send\.exploit\.in|sendspace\.com|storage\.googleapis\.com|storjshare\.io|supabase\.co|temp\.sh|transfer\.sh|trycloudflare\.com|ufile\.io|w3spaces\.com|workers\.dev"</t>
  </si>
  <si>
    <t xml:space="preserve">eventType="Win-Sysmon-1-Create-Process" AND (procName REGEXP "\\certutil\.exe$" OR srcFileName="CertUtil.exe") AND (command REGEXP "-encode" OR command REGEXP "/encode") AND command REGEXP "\.acl|\.bat|\.doc|\.gif|\.jpeg|\.jpg|\.mp3|\.pdf|\.png|\.ppt|\.tmp|\.xls|\.xml"</t>
  </si>
  <si>
    <t xml:space="preserve">eventType="Win-Sysmon-11-FileCreate" AND fileName REGEXP ".*\\Policies\\\{31B2F340-016D-11D2-945F-00C04FB984F9\}\\.*" AND fileName REGEXP "\.dll$|\.exe$"</t>
  </si>
  <si>
    <t xml:space="preserve">eventType = "Win-PowerShell-4103" AND lineContent REGEXP "Get-ADDBAccount" AND lineContent REGEXP "BootKey " AND lineContent REGEXP "DatabasePath "</t>
  </si>
  <si>
    <t xml:space="preserve">eventType = "Win-PowerShell-4104" AND script REGEXP "Get-ADReplAccount" AND script REGEXP "-All " AND script REGEXP "-Server "</t>
  </si>
  <si>
    <t xml:space="preserve">eventType = "Win-PowerShell-4104" AND script REGEXP "Get-GPO"</t>
  </si>
  <si>
    <t xml:space="preserve">eventType="Win-Sysmon-1-Create-Process" AND (procName REGEXP "\\powershell\.exe$|\\pwsh\.exe$" OR srcFileName IN ("powershell.exe","pwsh.dll")) AND command REGEXP "System\.IdentityModel\.Tokens\.KerberosRequestorSecurityToken" AND command REGEXP "\.GetRequest\(\)"</t>
  </si>
  <si>
    <t xml:space="preserve">eventType = "Win-PowerShell-4104" AND script REGEXP "System\.IdentityModel\.Tokens\.KerberosRequestorSecurityToken" AND script REGEXP "\.GetRequest\(\)"</t>
  </si>
  <si>
    <t xml:space="preserve">eventType="Win-Security-5136" AND propValue REGEXP ".*\*.*" AND propName IN ("otherFacsimileTelephoneNumber","primaryInternationalISDNNumber","primaryTelexNumber")</t>
  </si>
  <si>
    <t xml:space="preserve">(eventType="Win-Security-5145" AND fileName="\\\\*\\IPC$" AND targetName REGEXP "-stderr$|-stdin$|-stdout$") AND (targetName NOT REGEXP "^PSEXESVC")</t>
  </si>
  <si>
    <t xml:space="preserve">eventType="Win-Security-4648" AND procName REGEXP "\\cmd\.exe$|\\net1\.exe$|\\net\.exe$|\\powershell\.exe$|\\pwsh\.exe$|\\reg\.exe$|\\winrs\.exe$|\\wmic\.exe$" AND targetName!="localhost" AND (user NOT REGEXP ".*\$" OR targetUser NOT REGEXP ".*\$")</t>
  </si>
  <si>
    <t xml:space="preserve">eventType="Win-Security-4698" AND task REGEXP ".*C:\\Perflogs\\.*|.*C:\\ProgramData\\.*|.*C:\\Temp\\.*|.*\\AppData\\Local\\Temp\\.*|.*\\AppData\\Roaming\\.*|.*\\Desktop\\.*|.*\\Downloads\\.*|.*\\Temporary Internet.*|.*\\Users\\Public\\.*|.*\\WINDOWS\\Temp\\.*" AND task REGEXP ".*&lt;Arguments&gt;/c .*|.*&lt;Arguments&gt;/k .*|.*&lt;Arguments&gt;/r .*|.*bash .*|.*bash\.exe.*|.*bitsadmin.*|.*certutil.*|.*cmd&lt;/Command&gt;.*|.*cmd\.exe&lt;/Command&gt;.*|.*cscript.*|.*forfiles.*|.*hh\.exe.*|.*mshta.*|.*powershell.*|.*pwsh.*|.*regsvr32.*|.*rundll32.*|.*scrcons.*|.*scriptrunner.*|.*wmic .*|.*wmic\.exe.*|.*wscript.*"</t>
  </si>
  <si>
    <t xml:space="preserve">eventType="Win-Security-4702" AND task REGEXP ".*C:\\Perflogs\\.*|.*C:\\ProgramData\\.*|.*C:\\Temp\\.*|.*\\AppData\\Local\\Temp\\.*|.*\\AppData\\Roaming\\.*|.*\\Desktop\\.*|.*\\Downloads\\.*|.*\\Temporary Internet.*|.*\\Users\\Public\\.*|.*\\WINDOWS\\Temp\\.*" AND task REGEXP ".*&lt;Arguments&gt;/c .*|.*&lt;Arguments&gt;/k .*|.*&lt;Arguments&gt;/r .*|.*bash .*|.*bash\.exe.*|.*bitsadmin.*|.*certutil.*|.*cmd&lt;/Command&gt;.*|.*cmd\.exe&lt;/Command&gt;.*|.*cscript.*|.*forfiles.*|.*hh\.exe.*|.*mshta.*|.*powershell.*|.*pwsh.*|.*regsvr32.*|.*rundll32.*|.*scrcons.*|.*scriptrunner.*|.*wmic .*|.*wmic\.exe.*|.*wscript.*"</t>
  </si>
  <si>
    <t xml:space="preserve">eventType REGEXP "Win-Sysmon-13-Registry-Set.*" AND regKeyPath REGEXP "\\shell\\open\\command\\" AND details REGEXP "%AppData%|%LocalAppData%|%Temp%|%tmp%|\\AppData\\Local\\Temp\\|\\Contacts\\|\\Music\\|\\PerfLogs\\|\\Photos\\|\\Pictures\\|\\Users\\Public\\|\\Videos\\|\\Windows\\Temp\\|\\\$Recycle\.Bin\\"</t>
  </si>
  <si>
    <t xml:space="preserve">eventType="Win-App-Microsoft-Windows-Bits-Client-3" AND procName REGEXP "\\powershell\.exe$|\\pwsh\.exe$"</t>
  </si>
  <si>
    <t xml:space="preserve">eventType="Win-Security-4720" AND oldTargetUser REGEXP ".*ANONYMOUS.*" AND oldTargetUser REGEXP ".*LOGON.*"</t>
  </si>
  <si>
    <t xml:space="preserve">eventType IN ("Win-Security-4656","Win-Security-4663") AND osObjType="key" AND osObjName REGEXP "lsa\\Data$|lsa\\GBG$|lsa\\JD$|lsa\\Skew1$"</t>
  </si>
  <si>
    <t xml:space="preserve">eventType = "Win-System-Application-Popup-26" AND description IN ("sysmon.exe - Application Error","sysmon64.exe - Application Error")</t>
  </si>
  <si>
    <t xml:space="preserve">(eventType="Win-Security-4657" AND osObjName REGEXP "WINEVT\\Channels\\Microsoft-Windows-Sysmon/Operational|WINEVT\\Publishers\\\{5770385f-c22a-43e0-bf4c-06f5698ffbd9\}" AND osObjValue="Enabled" AND newObjValue="0") OR (eventType="Win-Security-4663" AND osObjName REGEXP "WINEVT\\Channels\\Microsoft-Windows-Sysmon/Operational|WINEVT\\Publishers\\\{5770385f-c22a-43e0-bf4c-06f5698ffbd9\}" AND fileAccess="0x10000")</t>
  </si>
  <si>
    <t xml:space="preserve">eventType="Win-Security-4906" AND newValue = 2</t>
  </si>
  <si>
    <t xml:space="preserve">(eventType="Win-Security-5145" AND targetName REGEXP "\\wbem\\wbemcomn\.dll$") AND (user NOT REGEXP "\$$")</t>
  </si>
  <si>
    <t xml:space="preserve">eventType="Win-System-Service-Control-Manager-7045" AND serviceFileName REGEXP ".*tap0901.*"</t>
  </si>
  <si>
    <t xml:space="preserve">eventType="Win-Security-4697" AND serviceFileName REGEXP "tap0901"</t>
  </si>
  <si>
    <t xml:space="preserve">eventType="Win-Firewall-AS-2009"</t>
  </si>
  <si>
    <t xml:space="preserve">eventType="Win-Sysmon-1-Create-Process" AND procName REGEXP "C:\\Windows \\SysWOW64\\|C:\\Windows \\System32\\"</t>
  </si>
  <si>
    <t xml:space="preserve">eventType="Win-Sysmon-11-FileCreate" AND fileName REGEXP "^C:\\Users\\" AND fileName REGEXP "\\AppData\\Local\\Temp\\system32\\winmm\.dll$|\\AppData\\Local\\Temp\\system32\\winsat\.exe$"</t>
  </si>
  <si>
    <t xml:space="preserve">eventType="Win-Sysmon-1-Create-Process" AND integrityLevel IN ("High","S-1-16-12288","S-1-16-16384","System") AND parentProcName REGEXP "\\AppData\\Local\\Temp\\system32\\winsat\.exe$" AND parentCommand REGEXP "C:\\Windows \\system32\\winsat\.exe"</t>
  </si>
  <si>
    <t xml:space="preserve">eventType REGEXP "Win-Sysmon-13-Registry-Set.*" AND regKeyPath REGEXP "\\Root\\InventoryApplicationFile\\winsat\.exe\|" AND regKeyPath REGEXP "\\LowerCaseLongPath$" AND details REGEXP "^c:\\users\\" AND details REGEXP "\\appdata\\local\\temp\\system32\\winsat\.exe$"</t>
  </si>
  <si>
    <t xml:space="preserve">eventType="Win-Sysmon-1-Create-Process" AND integrityLevel IN ("High","S-1-16-12288","S-1-16-16384","System") AND procName="C:\\Windows\\System32\\ComputerDefaults.exe" AND parentProcName NOT REGEXP ":\\Program Files|:\\Windows\\System32"</t>
  </si>
  <si>
    <t xml:space="preserve">eventType="Win-Sysmon-11-FileCreate" AND fileName REGEXP "^C:\\Users\\" AND fileName REGEXP "\\AppData\\Local\\Temp\\pe386\.dll$"</t>
  </si>
  <si>
    <t xml:space="preserve">eventType="Win-Sysmon-1-Create-Process" AND procName REGEXP "\\changepk\.exe$" AND parentProcName REGEXP "\\slui\.exe$" AND integrityLevel IN ("High","S-1-16-12288","S-1-16-16384","System")</t>
  </si>
  <si>
    <t xml:space="preserve">eventType="Win-Sysmon-11-FileCreate" AND fileName REGEXP "^C:\\Windows\\System32\\consent\.exe\.@" AND fileName REGEXP "\\comctl32\.dll$"</t>
  </si>
  <si>
    <t xml:space="preserve">eventType="Win-Sysmon-1-Create-Process" AND parentProcName REGEXP "\\consent\.exe$" AND procName REGEXP "\\werfault\.exe$" AND integrityLevel IN ("High","S-1-16-12288","S-1-16-16384","System")</t>
  </si>
  <si>
    <t xml:space="preserve">eventType="Win-Sysmon-1-Create-Process" AND command REGEXP "\"\\system32\\cleanmgr\.exe /autoclean /d C:$" AND parentCommand="C:\\Windows\\system32\\svchost.exe -k netsvcs -p -s Schedule" AND integrityLevel IN ("High","S-1-16-12288","S-1-16-16384","System")</t>
  </si>
  <si>
    <t xml:space="preserve">eventType="Win-Sysmon-1-Create-Process" AND parentProcName REGEXP "C:\\Users\\" AND parentProcName REGEXP "\\AppData\\Local\\Temp\\" AND parentProcName REGEXP "\\DismHost\.exe" AND integrityLevel IN ("High","S-1-16-12288","S-1-16-16384","System")</t>
  </si>
  <si>
    <t xml:space="preserve">eventType="Win-Sysmon-1-Create-Process" AND parentProcName REGEXP "\\DllHost\.exe$" AND parentCommand REGEXP " /Processid:\{12C21EA7-2EB8-4B55-9249-AC243DA8C666\}" AND integrityLevel IN ("High","S-1-16-12288","S-1-16-16384","System")</t>
  </si>
  <si>
    <t xml:space="preserve">eventType="Win-Sysmon-11-FileCreate" AND procName REGEXP "\\DllHost\.exe$" AND fileName REGEXP "^C:\\Windows\\System32\\" AND fileName REGEXP "\.dll$"</t>
  </si>
  <si>
    <t xml:space="preserve">eventType="Win-Sysmon-11-FileCreate" AND procName="C:\\Program Files\\Internet Explorer\\IEInstal.exe" AND fileName REGEXP "^C:\\Users\\" AND fileName REGEXP ".*\\AppData\\Local\\Temp\\.*" AND fileName REGEXP "consent\.exe$"</t>
  </si>
  <si>
    <t xml:space="preserve">eventType="Win-Sysmon-1-Create-Process" AND integrityLevel IN ("High","S-1-16-12288","S-1-16-16384","System") AND parentProcName REGEXP "\\ieinstal\.exe$" AND procName REGEXP "\\AppData\\Local\\Temp\\" AND procName REGEXP "consent\.exe$"</t>
  </si>
  <si>
    <t xml:space="preserve">eventType="Win-Sysmon-7-Image-Loaded" AND (procName="C:\\Windows\\SysWOW64\\iscsicpl.exe" AND loadedProcName REGEXP "\\iscsiexe\.dll$") AND (loadedProcName NOT REGEXP ".*C:\\Windows\\.*" OR loadedProcName NOT REGEXP ".*iscsiexe\.dll.*")</t>
  </si>
  <si>
    <t xml:space="preserve">eventType="Win-Sysmon-11-FileCreate" AND fileName REGEXP "^C:\\Users\\" AND fileName REGEXP "\\AppData\\Local\\Temp\\pkgmgr\.exe$"</t>
  </si>
  <si>
    <t xml:space="preserve">eventType="Win-Sysmon-1-Create-Process" AND integrityLevel IN ("High","S-1-16-12288","S-1-16-16384","System") AND parentProcName REGEXP "\\AppData\\Local\\Temp\\pkgmgr\.exe$" AND command="\"C:\\Windows\\system32\\msconfig.exe\" -5"</t>
  </si>
  <si>
    <t xml:space="preserve">eventType="Win-Sysmon-11-FileCreate" AND fileName REGEXP "^C:\\Users\\" AND fileName REGEXP "\\AppData\\Local\\Temp\\api-ms-win-core-kernel32-legacy-l1\.DLL$"</t>
  </si>
  <si>
    <t xml:space="preserve">eventType="Win-Sysmon-1-Create-Process" AND ((command REGEXP "^\"C:\\Windows\\system32\\wusa\.exe\" /quiet C:\\Users\\" AND command REGEXP "\\AppData\\Local\\Temp\\update\.msu$" AND integrityLevel IN ("High","S-1-16-12288","S-1-16-16384","System")) OR (parentCommand="\"C:\\Windows\\system32\\dism.exe\" /online /quiet /norestart /add-package /packagepath:\"C:\\Windows\\system32\\pe386\" /ignorecheck" AND integrityLevel IN ("High","System") AND command REGEXP "C:\\Users\\" AND command REGEXP "\\AppData\\Local\\Temp\\" AND command REGEXP "\\dismhost\.exe \{" AND procName REGEXP "\\DismHost\.exe$"))</t>
  </si>
  <si>
    <t xml:space="preserve">eventType="Win-Sysmon-1-Create-Process" AND parentProcName REGEXP "\\pkgmgr\.exe$" AND procName REGEXP "\\dism\.exe$" AND integrityLevel IN ("High","S-1-16-12288","S-1-16-16384","System")</t>
  </si>
  <si>
    <t xml:space="preserve">eventType="Win-Sysmon-11-FileCreate" AND ((fileName REGEXP "^C:\\Users\\" AND fileName REGEXP "\\AppData\\Local\\Temp\\OskSupport\.dll$") OR (procName="C:\\Windows\\system32\\DllHost.exe" AND fileName="C:\\Program Files\\Windows Media Player\\osk.exe"))</t>
  </si>
  <si>
    <t xml:space="preserve">eventType="Win-Sysmon-1-Create-Process" AND (procName="C:\\Program Files\\Windows Media Player\\osk.exe" OR (procName="C:\\Windows\\System32\\cmd.exe" AND parentCommand="\"C:\\Windows\\system32\\mmc.exe\" \"C:\\Windows\\system32\\eventvwr.msc\" /s")) AND integrityLevel IN ("High","S-1-16-12288","S-1-16-16384","System")</t>
  </si>
  <si>
    <t xml:space="preserve">eventType REGEXP "Win-Sysmon-13-Registry-Set.*" AND regKeyPath REGEXP "\\SOFTWARE\\Microsoft\\Windows NT\\CurrentVersion\\AppCompatFlags\\Compatibility Assistant\\Store\\C:\\Program Files\\Windows Media Player\\osk\.exe$" AND details="Binary Data"</t>
  </si>
  <si>
    <t xml:space="preserve">eventType="Win-Sysmon-10-ProcessAccess" AND procName REGEXP ".*:\\Windows\\SysWOW64\\.*" AND accessKeyId="0x1fffff" AND procPath REGEXP "^UNKNOWN\(0000000000000000\)\|UNKNOWN\(0000000000000000\)\|"</t>
  </si>
  <si>
    <t xml:space="preserve">eventType REGEXP "Win-Sysmon-13-Registry-Set.*" AND regKeyPath REGEXP "\\mscfile\\shell\\open\\command$"</t>
  </si>
  <si>
    <t xml:space="preserve">eventType="Win-Sysmon-1-Create-Process" AND (parentProcName REGEXP "\\dllhost\.exe$" AND parentCommand REGEXP ".*/Processid:\{3E5FC7F9-9A51-4367-9063-A120244FBEC7\}.*|.*/Processid:\{D2E7041B-2927-42FB-8E9F-7CE93B6DC937\}.*") AND (procName NOT REGEXP "\\WerFault\.exe$" AND srcFileName!="WerFault.exe")</t>
  </si>
  <si>
    <t xml:space="preserve">eventType REGEXP "Win-Sysmon-13-Registry-Set.*" AND (regKeyPath REGEXP "Software\\Classes\\exefile\\shell\\runas\\command\\isolatedCommand$" OR (regKeyPath REGEXP "Software\\Classes\\Folder\\shell\\open\\command\\SymbolicLinkValue$" AND details REGEXP "-1[0-9]{3}\\Software\\Classes\\"))</t>
  </si>
  <si>
    <t xml:space="preserve">eventType REGEXP "Win-Sysmon-12-Registry-.*|Win-Sysmon-13-Registry-.*|Win-Sysmon-14-Registry-.*" AND regKeyPath REGEXP "\\AppX82a6gwre4fdg3bt635tn5ctqjf8msdd2\\Shell\\open\\command$"</t>
  </si>
  <si>
    <t xml:space="preserve">eventType="Win-Sysmon-1-Create-Process" AND procName REGEXP "\\wsreset\.exe$" AND integrityLevel IN ("High","S-1-16-12288","S-1-16-16384","System")</t>
  </si>
  <si>
    <t xml:space="preserve">eventType REGEXP "Win-Sysmon-13-Registry-Set.*" AND regKeyPath REGEXP "\\Microsoft\\Windows\\CurrentVersion\\Policies\\System\\EnableLUA" AND details="DWORD (0x00000000)"</t>
  </si>
  <si>
    <t xml:space="preserve">eventType REGEXP "Win-Sysmon-13-Registry-Set.*" AND regKeyPath REGEXP "\\Microsoft\\Security Center\\UACDisableNotify" AND details="DWORD (0x00000001)"</t>
  </si>
  <si>
    <t xml:space="preserve">eventType REGEXP "Win-Sysmon-13-Registry-Set.*" AND regKeyPath REGEXP "\\Microsoft\\Windows\\CurrentVersion\\Policies\\System\\PromptOnSecureDesktop" AND details="DWORD (0x00000000)"</t>
  </si>
  <si>
    <t xml:space="preserve">eventType="Win-Security-4616" AND (procName!="C:\\Windows\\System32\\svchost.exe" OR securityId!="S-1-5-19") AND procName NOT IN ("C:\\Program Files (x86)\\VMware\\VMware Tools\\vmtoolsd.exe","C:\\Program Files\\VMware\\VMware Tools\\vmtoolsd.exe","C:\\Windows\\System32\\VBoxService.exe","C:\\Windows\\System32\\oobe\\msoobe.exe")</t>
  </si>
  <si>
    <t xml:space="preserve">eventType IN ("Win-Firewall-AS-2004","Win-Firewall-AS-2071","Win-Firewall-AS-2097") AND eventAction!=2 AND procPath NOT REGEXP "^C:\\Program Files \(x86\)\\|^C:\\Program Files\\|^C:\\Windows\\SysWOW64\\|^C:\\Windows\\System32\\|^C:\\Windows\\WinSxS\\" AND procPath NOT REGEXP "C:\\PerfLogs\\|C:\\Temp\\|C:\\Tmp\\|C:\\Users\\Public\\|C:\\Windows\\Tasks\\|C:\\Windows\\Temp\\|\\AppData\\Local\\Temp\\" AND (procPath!="System" OR appName!="C:\\Windows\\System32\\dllhost.exe") AND (appName NOT REGEXP "^C:\\Windows\\WinSxS\\" OR appName NOT REGEXP "\\TiWorker\.exe$") AND procPath IS NOT NULL AND (appName NOT IN ("C:\\Windows\\System32\\dllhost.exe","C:\\Windows\\System32\\svchost.exe") OR procPath!="") AND (appName NOT REGEXP "^C:\\Program Files\\Windows Defender\\|^C:\\ProgramData\\Microsoft\\Windows Defender\\Platform\\" OR appName NOT REGEXP "\\MsMpEng\.exe$") AND (procPath NOT REGEXP "^C:\\Program Files\\Windows Defender\\|^C:\\ProgramData\\Microsoft\\Windows Defender\\Platform\\" OR procPath NOT REGEXP "\\MsMpEng\.exe$")</t>
  </si>
  <si>
    <t xml:space="preserve">eventType REGEXP "Win-Sysmon-3-Network-Connect.*" AND destIpPort=88 AND initiated="true" AND procName!="C:\\Windows\\System32\\lsass.exe" AND procName NOT IN ("C:\\Program Files (x86)\\Google\\Chrome\\Application\\chrome.exe","C:\\Program Files\\Google\\Chrome\\Application\\chrome.exe") AND procName NOT IN ("C:\\Program Files (x86)\\Mozilla Firefox\\firefox.exe","C:\\Program Files\\Mozilla Firefox\\firefox.exe") AND procName NOT REGEXP "\\tomcat\\bin\\tomcat8\.exe$"</t>
  </si>
  <si>
    <t xml:space="preserve">eventType="Win-Security-5156" AND destIpPort=88 AND (appName NOT REGEXP "^C:|^\\device\\harddiskvolume" OR appName NOT REGEXP "\\Windows\\System32\\lsass\.exe$") AND (appName NOT REGEXP "^C:|^\\device\\harddiskvolume" OR appName NOT REGEXP "\\Program Files \(x86\)\\Google\\Chrome\\Application\\chrome\.exe$|\\Program Files\\Google\\Chrome\\Application\\chrome\.exe$") AND (appName NOT REGEXP "^C:|^\\device\\harddiskvolume" OR appName NOT REGEXP "\\Program Files \(x86\)\\Mozilla Firefox\\firefox\.exe$|\\Program Files\\Mozilla Firefox\\firefox\.exe$") AND appName NOT REGEXP "\\tomcat\\bin\\tomcat8\.exe$"</t>
  </si>
  <si>
    <t xml:space="preserve">eventType IN ("Win-Security-Mitigation-11", "Win-Security-Mitigation-12") AND procName REGEXP ".*C:\\Windows\\TEMP\\.*|.*\\AppData\\Local\\Temp\\.*|.*\\Desktop\\.*|.*\\Downloads\\.*|.*\\PerfLogs\\.*|.*\\Users\\Public\\.*"</t>
  </si>
  <si>
    <t xml:space="preserve">eventType="Win-Sysmon-1-Create-Process" AND ((command REGEXP "localgroup " AND command REGEXP " /add") OR (command REGEXP "Add-LocalGroupMember " AND command REGEXP " -Group ")) AND command REGEXP "Group Policy Creator Owners|Schema Admins"</t>
  </si>
  <si>
    <t xml:space="preserve">eventType IN ("Win-Security-4634","Win-Security-4647")</t>
  </si>
  <si>
    <t xml:space="preserve">eventType="Win-Security-4738" AND ((newValue REGEXP "8...$|9...$|A...$|B...$|C...$|D...$|E...$|F...$" AND oldValue NOT REGEXP "8...$|9...$|A...$|B...$|C...$|D...$|E...$|F...$") OR (newValue REGEXP "1....$|3....$|5....$|7....$|9....$|B....$|D....$|F....$" AND oldValue NOT REGEXP "1....$|3....$|5....$|7....$|9....$|B....$|D....$|F....$") OR (newValue REGEXP "8..$|9..$|A..$|B..$|C..$|D..$|E..$|F..$" AND oldValue NOT REGEXP "8..$|9..$|A..$|B..$|C..$|D..$|E..$|F..$"))</t>
  </si>
  <si>
    <t xml:space="preserve">eventType REGEXP "Win-Sysmon-13-Registry-Set.*" AND regKeyPath REGEXP "\\DeviceGuard\\EnableVirtualizationBasedSecurity$|\\DeviceGuard\\LsaCfgFlags$|\\Lsa\\LsaCfgFlags$" AND details="DWORD (0x00000000)"</t>
  </si>
  <si>
    <t xml:space="preserve">eventType="Win-Sysmon-1-Create-Process" AND (procName REGEXP "\\powershell\.exe$|\\pwsh\.exe$|\\reg\.exe$" OR srcFileName IN ("PowerShell.EXE","pwsh.dll","reg.exe")) AND command REGEXP "New-ItemProperty |Remove-ItemProperty |Set-ItemProperty |add |del |delete |rp |si " AND command REGEXP "Software\\Policies\\Microsoft\\Windows\\DeviceGuard|\\Control\\DeviceGuard|\\Control\\LSA" AND command REGEXP "EnableVirtualizationBasedSecurity|LsaCfgFlags|RequirePlatformSecurityFeatures"</t>
  </si>
  <si>
    <t xml:space="preserve">eventType REGEXP "Win-Sysmon-12-Registry-Delete.*" AND regKeyPath REGEXP "\\DeviceGuard\\EnableVirtualizationBasedSecurity$|\\DeviceGuard\\LsaCfgFlags$|\\DeviceGuard\\RequirePlatformSecurityFeatures$|\\Lsa\\LsaCfgFlags$"</t>
  </si>
  <si>
    <t xml:space="preserve">eventType="Win-Security-5136" AND osObjType="groupPolicyContainer" AND objId REGEXP "^CN=\{31B2F340-016D-11D2-945F-00C04FB984F9\},CN=POLICIES,CN=SYSTEM|^CN=\{6AC1786C-016F-11D2-945F-00C04FB984F9\},CN=POLICIES,CN=SYSTEM"</t>
  </si>
  <si>
    <t xml:space="preserve">eventType="Win-Sysmon-1-Create-Process" AND (procName REGEXP "\\mmc\.exe$" OR srcFileName="MMC.exe") AND command REGEXP "gpme\.msc" AND command REGEXP "gpobject:" AND command REGEXP "31B2F340-016D-11D2-945F-00C04FB984F9|6AC1786C-016F-11D2-945F-00C04FB984F9"</t>
  </si>
  <si>
    <t xml:space="preserve">eventType="Win-Security-4657" AND osObjName REGEXP "\\Microsoft\\Windows Defender\\Exclusions\\"</t>
  </si>
  <si>
    <t xml:space="preserve">osObjAccessType REGEXP "%%4417|%%4418" AND eventType IN ("Win-Security-4656","Win-Security-4663") AND osObjName REGEXP "\\Microsoft\\Windows Defender\\Exclusions\\"</t>
  </si>
  <si>
    <t xml:space="preserve">eventType IN ("Win-Firewall-AS-2032","Win-Firewall-AS-2060")</t>
  </si>
  <si>
    <t xml:space="preserve">eventType="Win-Security-4719" AND actionName REGEXP "%%8448|%%8450" AND oid NOT IN ("{0CCE9210-69AE-11D9-BED3-505054503030}","{0CCE9211-69AE-11D9-BED3-505054503030}","{0CCE9212-69AE-11D9-BED3-505054503030}","{0CCE9215-69AE-11D9-BED3-505054503030}","{0CCE9217-69AE-11D9-BED3-505054503030}","{0CCE921B-69AE-11D9-BED3-505054503030}","{0CCE922B-69AE-11D9-BED3-505054503030}","{0CCE922F-69AE-11D9-BED3-505054503030}","{0CCE9230-69AE-11D9-BED3-505054503030}","{0CCE9235-69AE-11D9-BED3-505054503030}","{0CCE9236-69AE-11D9-BED3-505054503030}","{0CCE9237-69AE-11D9-BED3-505054503030}","{0CCE923F-69AE-11D9-BED3-505054503030}","{0CCE9240-69AE-11D9-BED3-505054503030}","{0CCE9242-69AE-11D9-BED3-505054503030}")</t>
  </si>
  <si>
    <t xml:space="preserve">eventType="Win-Security-5157" AND appName REGEXP "\\AmSvc\.exe$|\\CETASvc\.exe$|\\CNTAoSMgr\.exe$|\\CSFalconContainer\.exe$|\\CSFalconService\.exe$|\\CrAmTray\.exe$|\\CrsSvc\.exe$|\\CybereasonAV\.exe$|\\CylanceSvc\.exe$|\\CyveraService\.exe$|\\CyvrFsFlt\.exe$|\\EIConnector\.exe$|\\EndpointBasecamp\.exe$|\\ExecutionPreventionSvc\.exe$|\\LogProcessorService\.exe$|\\MsMpEng\.exe$|\\MsSense\.exe$|\\Ntrtscan\.exe$|\\PccNTMon\.exe$|\\QualysAgent\.exe$|\\RepMgr\.exe$|\\RepUtils\.exe$|\\RepUx\.exe$|\\RepWAV\.exe$|\\RepWSC\.exe$|\\SenseCncProxy\.exe$|\\SenseIR\.exe$|\\SenseNdr\.exe$|\\SenseSampleUploader\.exe$|\\SentinelAgentWorker\.exe$|\\SentinelAgent\.exe$|\\SentinelBrowserNativeHost\.exe$|\\SentinelHelperService\.exe$|\\SentinelServiceHost\.exe$|\\SentinelStaticEngineScanner\.exe$|\\SentinelStaticEngine\.exe$|\\TMBMSRV\.exe$|\\TaniumCX\.exe$|\\TaniumClient\.exe$|\\TaniumDetectEngine\.exe$|\\TmCCSF\.exe$|\\TmListen\.exe$|\\TmWSCSvc\.exe$|\\Traps\.exe$|\\WSCommunicator\.exe$|\\cb\.exe$|\\cyserver\.exe$|\\elastic-agent\.exe$|\\elastic-endpoint\.exe$|\\filebeat\.exe$|\\fortiedr\.exe$|\\hmpalert\.exe$|\\hurukai\.exe$|\\mcsagent\.exe$|\\mcsclient\.exe$|\\sedservice\.exe$|\\sfc\.exe$|\\sophos ui\.exe$|\\sophosLivequeryservice\.exe$|\\sophosfilescanner\.exe$|\\sophosfs\.exe$|\\sophoshealth\.exe$|\\sophosips\.exe$|\\sophosnetfilter\.exe$|\\sophosntpservice\.exe$|\\sophososquery\.exe$|\\sspservice\.exe$|\\winlogbeat\.exe$|\\xagt\.exe$"</t>
  </si>
  <si>
    <t xml:space="preserve">eventType IN ("Win-Firewall-AS-2002", "Win-Firewall-AS-2003", "Win-Firewall-AS-2008", "Win-Firewall-AS-2082", "Win-Firewall-AS-2083")</t>
  </si>
  <si>
    <t xml:space="preserve">eventType="Win-Security-5145" AND osObjType="File" AND targetName REGEXP "\\desktop\.ini$" AND osObjAccessType REGEXP "AddSubdirectory|AppendData|DELETE|WriteDAC|WriteData"</t>
  </si>
  <si>
    <t xml:space="preserve">eventType="Zscaler-ZPA-Audit-Admin-Create" AND objType="Administrator"</t>
  </si>
  <si>
    <t xml:space="preserve">reptDevIpAddr IN (Group@PH_SYS_DEVICE_NETWORK_IPS) AND eventType IN (Group@PH_SYS_EVENT_ARPExploit)</t>
  </si>
  <si>
    <t xml:space="preserve">eventType = "AWS-Hub-TTPs-Lateral_Movement"</t>
  </si>
  <si>
    <t xml:space="preserve">eventType = "MS_EvtHub_keyvault_vaults_write"</t>
  </si>
  <si>
    <t xml:space="preserve">eventType = "MS_EvtHub_storage_storageaccounts_regeneratekey_action"</t>
  </si>
  <si>
    <t xml:space="preserve">eventType = "Cisco_UC_RTMT_UserInputFailure"</t>
  </si>
  <si>
    <t xml:space="preserve">eventType = "Cisco_UC_RTMT_AuthenticationFailed"</t>
  </si>
  <si>
    <t xml:space="preserve">eventType = "CyberArk-Vault-130"</t>
  </si>
  <si>
    <t xml:space="preserve">eventType IN (Group@PH_SYS_EVENT_ExposedService)</t>
  </si>
  <si>
    <t xml:space="preserve">eventType IN (Group@PH_SYS_EVENT_VPNLogonFailure) AND srcGeoCountry NOT IN (Group@PH_COUNTRY_GROUP_MYHOME)</t>
  </si>
  <si>
    <t xml:space="preserve">Group@PH_SYS_EVENT_PermitNetTraffic
Group@PH_SYS_EVENT_NetflowTraffic
Group@PH_SYS_EVENT_BiNetflowTraffic</t>
  </si>
  <si>
    <t xml:space="preserve">srcIpAddr NOT IN (Group@PH_SYS_NETWORK_ENTERPRISE_INTERNAL_NET) AND destIpAddr IN (Group@PH_SYS_NETWORK_ENTERPRISE_INTERNAL_NET) AND destIpPort = 3389 AND eventType IN (Group@PH_SYS_EVENT_PermitNetTraffic, Group@PH_SYS_EVENT_NetflowTraffic, Group@PH_SYS_EVENT_BiNetflowTraffic)</t>
  </si>
  <si>
    <t xml:space="preserve">eventType = "FortiDeceptor-IPS_attack" AND srcIpAddr IN (Group@PH_SYS_NETWORK_ENTERPRISE_INTERNAL_NET)</t>
  </si>
  <si>
    <t xml:space="preserve">eventType CONTAIN "FortiNDRCloud_detections" AND eventSeverity&gt;=9</t>
  </si>
  <si>
    <t xml:space="preserve">eventType CONTAIN "FortiNDRCloud_detections" AND eventSeverity&lt;=4</t>
  </si>
  <si>
    <t xml:space="preserve">eventType CONTAIN "FortiNDRCloud_detections" AND eventSeverity&gt;=5 AND eventSeverity&lt;=8</t>
  </si>
  <si>
    <t xml:space="preserve">eventType = "FortiRecon-easm-certificate_issues"</t>
  </si>
  <si>
    <t xml:space="preserve">eventType = "FortiRecon-easm-reputation" AND eventSeverityCat = "HIGH"</t>
  </si>
  <si>
    <t xml:space="preserve">FortiSandbox-NetAlert-Attack
FortiSandbox-Malware-Detected
FortiSandbox-NetAlert-URL
FortiSandbox-NetAlert-Botnet</t>
  </si>
  <si>
    <t xml:space="preserve">eventType IN ("FortiSandbox-NetAlert-Attack", "FortiSandbox-Malware-Detected", "FortiSandbox-NetAlert-URL", "FortiSandbox-NetAlert-Botnet")</t>
  </si>
  <si>
    <t xml:space="preserve">eventType CONTAIN "FortiWeb-" AND type="attack" AND fwAction IS NOT NULL AND fwAction NOT IN ("block","blocked","alert_deny","deny","drop","dropped") AND srcIpAddr NOT IN (Group@PH_SYS_NETWORK_ENTERPRISE_INTERNAL_NET) AND (threatLevel IN ("Substantial","Severe","Critical") OR ipsSeverity = "High")</t>
  </si>
  <si>
    <t xml:space="preserve">reptDevIpAddr IN (Group@PH_SYS_DEVICE_NETWORK_IPS) AND eventType IN (Group@PH_SYS_EVENT_SpoofExploit)</t>
  </si>
  <si>
    <t xml:space="preserve">destIpPort IN (21,23,109,110,143) AND srcIpAddr NOT IN (Group@PH_SYS_NETWORK_ENTERPRISE_INTERNAL_NET) AND destIpAddr IN (Group@PH_SYS_NETWORK_ENTERPRISE_INTERNAL_NET) AND eventType IN (Group@PH_SYS_EVENT_PermitNetTraffic, Group@PH_SYS_EVENT_NetflowTraffic, Group@PH_SYS_EVENT_BiNetflowTraffic)</t>
  </si>
  <si>
    <t xml:space="preserve">eventType = "PH_ANOMALY_LATERAL_MOVEMENT_DETECT"</t>
  </si>
  <si>
    <t xml:space="preserve">eventType = "LINUX_PROCESS_EXEC" AND procName = "tcpdump"</t>
  </si>
  <si>
    <t xml:space="preserve">eventType = "LINUX_PROCESS_EXEC" AND procName IN ("putty.exe","ssh","telnet.exe")</t>
  </si>
  <si>
    <t xml:space="preserve">Group@PH_SYS_EVENT_PermitNetTraffic
Group@PH_SYS_EVENT_NetflowTraffic
Group@PH_SYS_EVENT_BiNetflowTraffic
Group@PH_SYS_EVENT_Exploit
Group@PH_SYS_EVENT_PermitWebTraffic</t>
  </si>
  <si>
    <t xml:space="preserve">(( eventType IN (Group@PH_SYS_EVENT_PermitNetTraffic, Group@PH_SYS_EVENT_NetflowTraffic, Group@PH_SYS_EVENT_BiNetflowTraffic) AND destIpPort IN (80,443) ) OR eventType IN (Group@PH_SYS_EVENT_Exploit,Group@PH_SYS_EVENT_PermitWebTraffic) ) AND ( uriStem REGEXP "(?:.*jndi.*|.*{env:[^:]+:-[jndi].*|.*\${::-\w+}.*|.*base64:.*|.*\${(?:lower|upper):\w+}.*)" OR httpEndUri REGEXP "(?:.*jndi.*|.*{env:[^:]+:-[jndi].*|.*\${::-\w+}.*|.*base64:.*|.*\${(?:lower|upper):\w+}.*)" OR httpUserAgent REGEXP "(?:.*jndi.*|.*{env:[^:]+:-[jndi].*|.*\${::-\w+}.*|.*base64:.*|.*\${(?:lower|upper):\w+}.*)" OR httpReferrer REGEXP "(?:.*jndi.*|.*{env:[^:]+:-[jndi].*|.*\${::-\w+}.*|.*base64:.*|.*\${(?:lower|upper):\w+}.*)" OR httpCookie REGEXP "(?:.*jndi.*|.*{env:[^:]+:-[jndi].*|.*\${::-\w+}.*|.*base64:.*|.*\${(?:lower|upper):\w+}.*)" OR httpContentType REGEXP "(?:.*jndi.*|.*{env:[^:]+:-[jndi].*|.*\${::-\w+}.*|.*base64:.*|.*\${(?:lower|upper):\w+}.*)" OR httpHeaderCacheControl REGEXP "(?:.*jndi.*|.*{env:[^:]+:-[jndi].*|.*\${::-\w+}.*|.*base64:.*|.*\${(?:lower|upper):\w+}.*)" )</t>
  </si>
  <si>
    <t xml:space="preserve">eventType = "FortiClient-vulnerabilityscan-vulnerability-record" AND vulnId = 4505</t>
  </si>
  <si>
    <t xml:space="preserve">eventType IN ("FortiGate-ips-signature-51006","FortiProxy-ips-signature-51006") AND (ipsSignatureId = 51006 OR attackName = "Apache.Log4j.Error.Log.Remote.Code.Execution") AND (srcIpAddr IN (Group@PH_SYS_NETWORK_ENTERPRISE_INTERNAL_NET) OR (destIpAddr IN (Group@PH_SYS_NETWORK_ENTERPRISE_INTERNAL_NET) AND fwAction NOT IN ("deny","dropped","block","blocked","ban-ip","alert_deny")))</t>
  </si>
  <si>
    <t xml:space="preserve">eventType IN (Group@PH_SYS_EVENT_Worm_Found) AND reptDevIpAddr IN (Group@PH_SYS_APP_SEC_MGMT,Group@PH_SYS_DEVICE_SEC_GW, Group@PH_SYS_DEVICE_FIREWALL,Group@PH_SYS_DEVICE_NETWORK_IPS)</t>
  </si>
  <si>
    <t xml:space="preserve">eventType = "MSDefenderXDR-Alert-CredentialAccess-new" AND eventSeverity IN (9,10)</t>
  </si>
  <si>
    <t xml:space="preserve">eventType = "MSDefenderXDR-Alert-LateralMovement-new" AND eventSeverity IN (9,10)</t>
  </si>
  <si>
    <t xml:space="preserve">eventType = "MSDefenderXDR-Alert-PrivilegeEscalation-new" AND eventSeverity IN (9,10)</t>
  </si>
  <si>
    <t xml:space="preserve">eventType = "MSDefenderXDR-Alert-CredentialAccess-new" AND eventSeverity IN (5,6,7,8)</t>
  </si>
  <si>
    <t xml:space="preserve">eventType = "MSDefenderXDR-Alert-LateralMovement-new" AND eventSeverity IN (5,6,7,8)</t>
  </si>
  <si>
    <t xml:space="preserve">eventType = "MSDefenderXDR-Alert-PrivilegeEscalation-new" AND eventSeverity IN (5,6,7,8)</t>
  </si>
  <si>
    <t xml:space="preserve">destIpPort IN (21,23,109,110,143) AND srcIpAddr IN (Group@PH_SYS_NETWORK_ENTERPRISE_INTERNAL_NET) AND srcIpAddr NOT IN (Group@PH_SYS_NETWORK_GUEST) AND destIpAddr NOT IN (Group@PH_SYS_NETWORK_ENTERPRISE_INTERNAL_NET) AND eventType IN (Group@PH_SYS_EVENT_PermitNetTraffic, Group@PH_SYS_EVENT_NetflowTraffic, Group@PH_SYS_EVENT_BiNetflowTraffic)</t>
  </si>
  <si>
    <t xml:space="preserve">eventType IN (Group@PH_SYS_EVENT_FortiClient_AV_Detected) AND virusName = "Riskware/Sphone_XC3"</t>
  </si>
  <si>
    <t xml:space="preserve">eventType IN ("FortiGate-ips-signature-52796","FortiProxy-ips-signature-52796",Group@PH_SYS_EVENT_FortiGate_AV_Detected) AND ipsSignatureId IN (52796,10131498) AND (srcIpAddr IN (Group@PH_SYS_NETWORK_ENTERPRISE_INTERNAL_NET) OR (destIpAddr IN (Group@PH_SYS_NETWORK_ENTERPRISE_INTERNAL_NET) AND fwAction NOT IN ("deny","dropped","block","blocked","ban-ip","alert_deny")))</t>
  </si>
  <si>
    <t xml:space="preserve">eventType IN ("FortiGate-ips-signature-52307","FortiProxy-ips-signature-52307") AND (srcIpAddr IN (Group@PH_SYS_NETWORK_ENTERPRISE_INTERNAL_NET) OR (destIpAddr IN (Group@PH_SYS_NETWORK_ENTERPRISE_INTERNAL_NET) AND fwAction NOT IN ("deny","dropped","block","blocked","ban-ip","alert_deny")))</t>
  </si>
  <si>
    <t xml:space="preserve">eventType = "FortiClient-vulnerabilityscan-vulnerability-record" AND vulnId IN (5219,5218)</t>
  </si>
  <si>
    <t xml:space="preserve">FortiGate-ips-signature-53373
FortiProxy-ips-signature-53373
FortiGate-ips-signature-53534
FortiProxy-ips-signature-53534
FortiGate-ips-signature-53419
FortiProxy-ips-signature-53419</t>
  </si>
  <si>
    <t xml:space="preserve">eventType IN ("FortiGate-ips-signature-53373","FortiProxy-ips-signature-53373","FortiGate-ips-signature-53534","FortiProxy-ips-signature-53534","FortiGate-ips-signature-53419","FortiProxy-ips-signature-53419") AND (srcIpAddr IN (Group@PH_SYS_NETWORK_ENTERPRISE_INTERNAL_NET) OR (destIpAddr IN (Group@PH_SYS_NETWORK_ENTERPRISE_INTERNAL_NET) AND fwAction NOT IN ("deny","dropped","block","blocked","ban-ip","Alert_Deny")))</t>
  </si>
  <si>
    <t xml:space="preserve">eventType IN (Group@PH_SYS_EVENT_FortiClient_AV_Detected) AND virusName = "Riskware/Adntac"</t>
  </si>
  <si>
    <t xml:space="preserve">eventType IN ("FortiGate-ips-signature-52899","FortiProxy-ips-signature-52899",Group@PH_SYS_EVENT_FortiGate_AV_Detected) AND ipsSignatureId IN (52899,10150208) AND (srcIpAddr IN (Group@PH_SYS_NETWORK_ENTERPRISE_INTERNAL_NET) OR (destIpAddr IN (Group@PH_SYS_NETWORK_ENTERPRISE_INTERNAL_NET) AND fwAction NOT IN ("deny","dropped","block","blocked","ban-ip","Alert_Deny")))</t>
  </si>
  <si>
    <t xml:space="preserve">eventType IN ("FortiClient-vulnerabilityscan-vulnerability-record",Group@PH_SYS_EVENT_FortiClient_AV_Detected) AND (vulnId IN (41650,41106) OR virusName IN ("MSExcel/CVE_2017_11882.EQMA!exploit","MSIL/AgentTesla.BEDA!tr","MSIL/Kryptik.AJHS!tr"))</t>
  </si>
  <si>
    <t xml:space="preserve">eventType IN ("FortiGate-ips-signature-44947","FortiProxy-ips-signature-44947",Group@PH_SYS_EVENT_FortiGate_AV_Detected) AND ipsSignatureId IN (44947,10150614,10150615,10147887) AND (srcIpAddr IN (Group@PH_SYS_NETWORK_ENTERPRISE_INTERNAL_NET) OR (destIpAddr IN (Group@PH_SYS_NETWORK_ENTERPRISE_INTERNAL_NET) AND fwAction NOT IN ("deny","dropped","block","blocked","ban-ip","Alert_Deny")))</t>
  </si>
  <si>
    <t xml:space="preserve">eventType IN (Group@PH_SYS_EVENT_FortiClient_AV_Detected) AND virusName IN ("ELF/Akira.C!tr.ransom","W64/Akira.C!tr.ransom")</t>
  </si>
  <si>
    <t xml:space="preserve">eventType IN (Group@PH_SYS_EVENT_FortiGate_AV_Detected) AND ipsSignatureId IN (10159533,10178194) AND (srcIpAddr IN (Group@PH_SYS_NETWORK_ENTERPRISE_INTERNAL_NET) OR (destIpAddr IN (Group@PH_SYS_NETWORK_ENTERPRISE_INTERNAL_NET) AND fwAction NOT IN ("deny","dropped","block","blocked","ban-ip","Alert_Deny")))</t>
  </si>
  <si>
    <t xml:space="preserve">eventType IN (Group@PH_SYS_EVENT_FortiClient_AV_Detected) AND virusName IN ("Python/AndroxGhost.HACK!tr","W32/AndroxGhost.HACK!tr","PHP/AndroxGhost.AZZA!tr","MSIL/AndroxGhost.HACK!tr","Python/ALIENFOX.A!tr")</t>
  </si>
  <si>
    <t xml:space="preserve">FortiGate-ips-signature-52567
FortiProxy-ips-signature-52567
FortiGate-ips-signature-50825
FortiProxy-ips-signature-50825
FortiGate-ips-signature-48188
FortiProxy-ips-signature-48188
FortiGate-ips-signature-45765
FortiProxy-ips-signature-45765
Group@PH_SYS_EVENT_FortiGate_AV_Detected</t>
  </si>
  <si>
    <t xml:space="preserve">eventType IN ("FortiGate-ips-signature-52567","FortiProxy-ips-signature-52567","FortiGate-ips-signature-50825","FortiProxy-ips-signature-50825","FortiGate-ips-signature-48188","FortiProxy-ips-signature-48188","FortiGate-ips-signature-45765","FortiProxy-ips-signature-45765",Group@PH_SYS_EVENT_FortiGate_AV_Detected) AND ipsSignatureId IN (52567,50825,48188,45765,10121814,10121829,10121820,10121809,10132219) AND (srcIpAddr IN (Group@PH_SYS_NETWORK_ENTERPRISE_INTERNAL_NET) OR (destIpAddr IN (Group@PH_SYS_NETWORK_ENTERPRISE_INTERNAL_NET) AND fwAction NOT IN ("deny","dropped","block","blocked","ban-ip","Alert_Deny")))</t>
  </si>
  <si>
    <t xml:space="preserve">eventType IN ("FortiClient-vulnerabilityscan-vulnerability-record",Group@PH_SYS_EVENT_FortiClient_AV_Detected) AND (vulnId = 5462 OR virusName IN ("W64/HellowKitty.PNG!tr.ransom","W32/HelloKitty.PNG!tr.ransom","ELF/HellowKitty.PNG!tr.ransom","MSIL/HelloKitty.PNG!tr.ransom"))</t>
  </si>
  <si>
    <t xml:space="preserve">eventType IN ("FortiGate-ips-signature-54343","FortiProxy-ips-signature-54343",Group@PH_SYS_EVENT_FortiGate_AV_Detected) AND ipsSignatureId IN (54343,10160081,10160086,10160082,10160083,10160084,10160085) AND (srcIpAddr IN (Group@PH_SYS_NETWORK_ENTERPRISE_INTERNAL_NET) OR (destIpAddr IN (Group@PH_SYS_NETWORK_ENTERPRISE_INTERNAL_NET) AND fwAction NOT IN ("deny","dropped","block","blocked","ban-ip","Alert_Deny")))</t>
  </si>
  <si>
    <t xml:space="preserve">eventType IN ("FortiGate-ips-signature-56373","FortiProxy-ips-signature-56373") AND (srcIpAddr IN (Group@PH_SYS_NETWORK_ENTERPRISE_INTERNAL_NET) OR (destIpAddr IN (Group@PH_SYS_NETWORK_ENTERPRISE_INTERNAL_NET) AND fwAction NOT IN ("deny","dropped","block","blocked","ban-ip","Alert_Deny")))</t>
  </si>
  <si>
    <t xml:space="preserve">eventType = "FortiClient-vulnerabilityscan-vulnerability-record" AND (vulnId = 2711)</t>
  </si>
  <si>
    <t xml:space="preserve">eventType IN ("FortiGate-ips-signature-50825","FortiProxy-ips-signature-50825") AND (srcIpAddr IN (Group@PH_SYS_NETWORK_ENTERPRISE_INTERNAL_NET) OR (destIpAddr IN (Group@PH_SYS_NETWORK_ENTERPRISE_INTERNAL_NET) AND fwAction NOT IN ("deny","dropped","block","blocked","ban-ip","alert_deny")))</t>
  </si>
  <si>
    <t xml:space="preserve">eventType IN ("FortiGate-ips-signature-53315","FortiProxy-ips-signature-53315") AND (srcIpAddr IN (Group@PH_SYS_NETWORK_ENTERPRISE_INTERNAL_NET) OR (destIpAddr IN (Group@PH_SYS_NETWORK_ENTERPRISE_INTERNAL_NET) AND fwAction NOT IN ("deny","dropped","block","blocked","ban-ip","alert_deny")))</t>
  </si>
  <si>
    <t xml:space="preserve">eventType = "FortiClient-vulnerabilityscan-vulnerability-record" AND vulnId = 5529</t>
  </si>
  <si>
    <t xml:space="preserve">eventType IN ("FortiGate-ips-signature-54499","FortiProxy-ips-signature-54499") AND (srcIpAddr IN (Group@PH_SYS_NETWORK_ENTERPRISE_INTERNAL_NET) OR (destIpAddr IN (Group@PH_SYS_NETWORK_ENTERPRISE_INTERNAL_NET) AND fwAction NOT IN ("deny","dropped","block","blocked","ban-ip","Alert_Deny")))</t>
  </si>
  <si>
    <t xml:space="preserve">eventType = "FortiClient-vulnerabilityscan-vulnerability-record" AND vulnId = 84317</t>
  </si>
  <si>
    <t xml:space="preserve">eventType IN ("FortiGate-ips-signature-57559","FortiProxy-ips-signature-57559") AND (srcIpAddr IN (Group@PH_SYS_NETWORK_ENTERPRISE_INTERNAL_NET) OR (destIpAddr IN (Group@PH_SYS_NETWORK_ENTERPRISE_INTERNAL_NET) AND fwAction NOT IN ("deny","dropped","block","blocked","ban-ip","Alert_Deny")))</t>
  </si>
  <si>
    <t xml:space="preserve">eventType = "FortiClient-vulnerabilityscan-vulnerability-record" AND (vulnId = 4387)</t>
  </si>
  <si>
    <t xml:space="preserve">eventType IN ("FortiGate-ips-signature-51648","FortiProxy-ips-signature-51648") AND (srcIpAddr IN (Group@PH_SYS_NETWORK_ENTERPRISE_INTERNAL_NET) OR (destIpAddr IN (Group@PH_SYS_NETWORK_ENTERPRISE_INTERNAL_NET) AND fwAction NOT IN ("deny","dropped","block","blocked","ban-ip","alert_deny")))</t>
  </si>
  <si>
    <t xml:space="preserve">eventType = "FortiClient-vulnerabilityscan-vulnerability-record" AND vulnId IN (71120,4610)</t>
  </si>
  <si>
    <t xml:space="preserve">eventType IN ("FortiGate-ips-signature-50857","FortiProxy-ips-signature-50857") AND (srcIpAddr IN (Group@PH_SYS_NETWORK_ENTERPRISE_INTERNAL_NET) OR (destIpAddr IN (Group@PH_SYS_NETWORK_ENTERPRISE_INTERNAL_NET) AND fwAction NOT IN ("deny","dropped","block","blocked","ban-ip","alert_deny")))</t>
  </si>
  <si>
    <t xml:space="preserve">eventType IN ("FortiClient-vulnerabilityscan-vulnerability-record",Group@PH_SYS_EVENT_FortiClient_AV_Detected) AND (vulnId IN (64678,69583,69598,68093) OR virusName IN ("W64/Kryptik.EFP!tr","W64/BlackBasta.B!tr.ransom","W64/BlackBasta.A!tr.ransom","W32/Ursnif.CG!tr.spy","W32/Themida.HZB!tr","W32/PossibleThreat","W32/Kryptik.HWQP!tr","W32/Kryptik.HWGD!tr","W32/BlackBasta.PA!tr.ransom","W32/BlackBasta.F!tr.ransom","W32/BlackBasta.F!tr.ransom","W32/BlackBasta.F!tr.ransom","W32/Filecoder_BlackBasta.C!tr.ran"))</t>
  </si>
  <si>
    <t xml:space="preserve">FortiGate-ips-signature-49499
FortiProxy-ips-signature-49499
FortiGate-ips-signature-54714
FortiProxy-ips-signature-54714
FortiGate-ips-signature-51057
FortiProxy-ips-signature-51057
FortiGate-ips-signature-50553
FortiProxy-ips-signature-50553
Group@PH_SYS_EVENT_FortiGate_AV_Detected</t>
  </si>
  <si>
    <t xml:space="preserve">eventType IN ("FortiGate-ips-signature-49499","FortiProxy-ips-signature-49499","FortiGate-ips-signature-54714","FortiProxy-ips-signature-54714","FortiGate-ips-signature-51057","FortiProxy-ips-signature-51057","FortiGate-ips-signature-50553","FortiProxy-ips-signature-50553",Group@PH_SYS_EVENT_FortiGate_AV_Detected) AND ipsSignatureId IN (49499,54714,51057,50553,10171122,10170043,10109106,8158157,10108383,58991,10175293,10172141,10112876,10092417,10118808,10119855,10089014) AND (srcIpAddr IN (Group@PH_SYS_NETWORK_ENTERPRISE_INTERNAL_NET) OR (destIpAddr IN (Group@PH_SYS_NETWORK_ENTERPRISE_INTERNAL_NET) AND fwAction NOT IN ("deny","dropped","block","blocked","ban-ip","Alert_Deny")))</t>
  </si>
  <si>
    <t xml:space="preserve">eventType IN ("FortiGate-ips-signature-52456","FortiProxy-ips-signature-52456") AND (srcIpAddr IN (Group@PH_SYS_NETWORK_ENTERPRISE_INTERNAL_NET) OR (destIpAddr IN (Group@PH_SYS_NETWORK_ENTERPRISE_INTERNAL_NET) AND fwAction NOT IN ("deny","dropped","block","blocked","ban-ip","alert_deny")))</t>
  </si>
  <si>
    <t xml:space="preserve">eventType = "FortiClient-vulnerabilityscan-vulnerability-record" AND vulnId = 4603</t>
  </si>
  <si>
    <t xml:space="preserve">eventType IN (Group@PH_SYS_EVENT_FortiClient_AV_Detected) AND virusName IN ("ELF/Mirai.ASX!tr","ELF/Mirai.AT!tr","ELF/Mirai.IA!tr","Linux/Mirai.F891!tr.dldr","Linux/Mirai.FVVYNWT!tr")</t>
  </si>
  <si>
    <t xml:space="preserve">eventType IN ("FortiGate-ips-signature-52651","FortiProxy-ips-signature-52651",Group@PH_SYS_EVENT_FortiGate_AV_Detected) AND ipsSignatureId IN (52651,8194804,7637691,7891726,10125274,10125037) AND (srcIpAddr IN (Group@PH_SYS_NETWORK_ENTERPRISE_INTERNAL_NET) OR (destIpAddr IN (Group@PH_SYS_NETWORK_ENTERPRISE_INTERNAL_NET) AND fwAction NOT IN ("deny","dropped","block","blocked","ban-ip","Alert_Deny")))</t>
  </si>
  <si>
    <t xml:space="preserve">eventType IN ("FortiGate-ips-signature-55956","FortiProxy-ips-signature-55956") AND (srcIpAddr IN (Group@PH_SYS_NETWORK_ENTERPRISE_INTERNAL_NET) OR (destIpAddr IN (Group@PH_SYS_NETWORK_ENTERPRISE_INTERNAL_NET) AND fwAction NOT IN ("deny","dropped","block","blocked","ban-ip","Alert_Deny")))</t>
  </si>
  <si>
    <t xml:space="preserve">eventType = "FortiClient-vulnerabilityscan-vulnerability-record" AND vulnId IN (69887,70935,4505,69885,4506,4507,69884,69888,2700,4387,66853,2710,4152,66854,66855,66856,2711)</t>
  </si>
  <si>
    <t xml:space="preserve">FortiGate-ips-signature-59548
FortiProxy-ips-signature-59548
FortiGate-ips-signature-59550
FortiProxy-ips-signature-59550</t>
  </si>
  <si>
    <t xml:space="preserve">eventType IN ("FortiGate-ips-signature-59548","FortiProxy-ips-signature-59548","FortiGate-ips-signature-59550","FortiProxy-ips-signature-59550") AND (srcIpAddr IN (Group@PH_SYS_NETWORK_ENTERPRISE_INTERNAL_NET) OR (destIpAddr IN (Group@PH_SYS_NETWORK_ENTERPRISE_INTERNAL_NET) AND fwAction NOT IN ("deny","dropped","block","blocked","ban-ip","Alert_Deny")))</t>
  </si>
  <si>
    <t xml:space="preserve">eventType IN ("FortiGate-ips-signature-54224","FortiProxy-ips-signature-54224") AND (srcIpAddr IN (Group@PH_SYS_NETWORK_ENTERPRISE_INTERNAL_NET) OR (destIpAddr IN (Group@PH_SYS_NETWORK_ENTERPRISE_INTERNAL_NET) AND fwAction NOT IN ("deny","dropped","block","blocked","ban-ip","Alert_Deny")))</t>
  </si>
  <si>
    <t xml:space="preserve">eventType IN ("FortiGate-ips-signature-58380","FortiProxy-ips-signature-58380") AND (srcIpAddr IN (Group@PH_SYS_NETWORK_ENTERPRISE_INTERNAL_NET) OR (destIpAddr IN (Group@PH_SYS_NETWORK_ENTERPRISE_INTERNAL_NET) AND fwAction NOT IN ("deny","dropped","block","blocked","ban-ip","Alert_Deny")))</t>
  </si>
  <si>
    <t xml:space="preserve">eventType IN ("FortiGate-ips-signature-27845","FortiProxy-ips-signature-27845") AND (srcIpAddr IN (Group@PH_SYS_NETWORK_ENTERPRISE_INTERNAL_NET) OR (destIpAddr IN (Group@PH_SYS_NETWORK_ENTERPRISE_INTERNAL_NET) AND fwAction NOT IN ("deny","dropped","block","blocked","ban-ip","Alert_Deny")))</t>
  </si>
  <si>
    <t xml:space="preserve">eventType IN ("FortiGate-ips-signature-60635","FortiProxy-ips-signature-60635") AND (srcIpAddr IN (Group@PH_SYS_NETWORK_ENTERPRISE_INTERNAL_NET) OR (destIpAddr IN (Group@PH_SYS_NETWORK_ENTERPRISE_INTERNAL_NET) AND fwAction NOT IN ("deny","dropped","block","blocked","ban-ip","Alert_Deny")))</t>
  </si>
  <si>
    <t xml:space="preserve">eventType IN ("FortiGate-ips-signature-57882","FortiProxy-ips-signature-57882") AND (srcIpAddr IN (Group@PH_SYS_NETWORK_ENTERPRISE_INTERNAL_NET) OR (destIpAddr IN (Group@PH_SYS_NETWORK_ENTERPRISE_INTERNAL_NET) AND fwAction NOT IN ("deny","dropped","block","blocked","ban-ip","Alert_Deny")))</t>
  </si>
  <si>
    <t xml:space="preserve">eventType IN ("FortiClient-vulnerabilityscan-vulnerability-record",Group@PH_SYS_EVENT_FortiClient_AV_Detected) AND (vulnId IN (5589,5588) OR virusName IN ("W32/Kryptik.HJIS!tr","W32/Lockbit.K!tr.ransom","W32/Conwise.RCE!tr"))</t>
  </si>
  <si>
    <t xml:space="preserve">eventType IN ("FortiGate-ips-signature-54714","FortiProxy-ips-signature-54714",Group@PH_SYS_EVENT_FortiGate_AV_Detected) AND ipsSignatureId IN (54714,10123717,10001903,10173180) AND (srcIpAddr IN (Group@PH_SYS_NETWORK_ENTERPRISE_INTERNAL_NET) OR (destIpAddr IN (Group@PH_SYS_NETWORK_ENTERPRISE_INTERNAL_NET) AND fwAction NOT IN ("deny","dropped","block","blocked","ban-ip","Alert_Deny")))</t>
  </si>
  <si>
    <t xml:space="preserve">eventType IN (Group@PH_SYS_EVENT_FortiClient_AV_Detected) AND virusName IN ("W32/Cosmic.DISR!tr","Python/Cosmic.DISR!tr")</t>
  </si>
  <si>
    <t xml:space="preserve">eventType IN (Group@PH_SYS_EVENT_FortiGate_AV_Detected) AND ipsSignatureId IN (10138907,10138908) AND (srcIpAddr IN (Group@PH_SYS_NETWORK_ENTERPRISE_INTERNAL_NET) OR (destIpAddr IN (Group@PH_SYS_NETWORK_ENTERPRISE_INTERNAL_NET)AND fwAction NOT IN ("deny","dropped","block","blocked","ban-ip","alert_deny")))</t>
  </si>
  <si>
    <t xml:space="preserve">eventType IN ("FortiClient-vulnerabilityscan-vulnerability-record",Group@PH_SYS_EVENT_FortiClient_AV_Detected) AND (vulnId = 6108 OR virusName = "W32/Loader_Lycaon.AM!tr")</t>
  </si>
  <si>
    <t xml:space="preserve">eventType IN ("FortiGate-ips-signature-57653","FortiProxy-ips-signature-57653",Group@PH_SYS_EVENT_FortiGate_AV_Detected) AND ipsSignatureId IN (57653,10210874) AND (srcIpAddr IN (Group@PH_SYS_NETWORK_ENTERPRISE_INTERNAL_NET) OR (destIpAddr IN (Group@PH_SYS_NETWORK_ENTERPRISE_INTERNAL_NET) AND fwAction NOT IN ("deny","dropped","block","blocked","ban-ip","Alert_Deny")))</t>
  </si>
  <si>
    <t xml:space="preserve">FortiGate-ips-signature-55174
FortiProxy-ips-signature-55174
FortiGate-ips-signature-44585
FortiProxy-ips-signature-44585
FortiGate-ips-signature-55518
FortiProxy-ips-signature-55518
FortiGate-ips-signature-55887
FortiProxy-ips-signature-55887</t>
  </si>
  <si>
    <t xml:space="preserve">eventType IN ("FortiGate-ips-signature-55174","FortiProxy-ips-signature-55174","FortiGate-ips-signature-44585","FortiProxy-ips-signature-44585","FortiGate-ips-signature-55518","FortiProxy-ips-signature-55518","FortiGate-ips-signature-55887","FortiProxy-ips-signature-55887") AND (srcIpAddr IN (Group@PH_SYS_NETWORK_ENTERPRISE_INTERNAL_NET) OR (destIpAddr IN (Group@PH_SYS_NETWORK_ENTERPRISE_INTERNAL_NET) AND fwAction NOT IN ("deny","dropped","block","blocked","ban-ip","Alert_Deny")))</t>
  </si>
  <si>
    <t xml:space="preserve">FortiGate-ips-signature-54915
FortiProxy-ips-signature-54915
FortiGate-ips-signature-54906
FortiProxy-ips-signature-54906
FortiGate-ips-signature-56818
FortiProxy-ips-signature-56818
FortiGate-ips-signature-44501
FortiProxy-ips-signature-44501
FortiGate-ips-signature-57080
FortiProxy-ips-signature-57080
FortiGate-ips-signature-56828
FortiProxy-ips-signature-56828
FortiGate-ips-signature-50901
FortiProxy-ips-signature-50901
FortiGate-ips-signature-57031
FortiProxy-ips-signature-57031
Group@PH_SYS_EVENT_FortiGate_AV_Detected</t>
  </si>
  <si>
    <t xml:space="preserve">eventType IN ("FortiGate-ips-signature-54915","FortiProxy-ips-signature-54915","FortiGate-ips-signature-54906","FortiProxy-ips-signature-54906","FortiGate-ips-signature-56818","FortiProxy-ips-signature-56818","FortiGate-ips-signature-44501","FortiProxy-ips-signature-44501","FortiGate-ips-signature-57080","FortiProxy-ips-signature-57080","FortiGate-ips-signature-56828","FortiProxy-ips-signature-56828","FortiGate-ips-signature-50901","FortiProxy-ips-signature-50901","FortiGate-ips-signature-57031","FortiProxy-ips-signature-57031",Group@PH_SYS_EVENT_FortiGate_AV_Detected) AND ipsSignatureId IN (54915,54906,56818,44501,57080,56828,50901,57031,10195177,10206692,10132838) AND (srcIpAddr IN (Group@PH_SYS_NETWORK_ENTERPRISE_INTERNAL_NET) OR (destIpAddr IN (Group@PH_SYS_NETWORK_ENTERPRISE_INTERNAL_NET) AND fwAction NOT IN ("deny","dropped","block","blocked","ban-ip","Alert_Deny")))</t>
  </si>
  <si>
    <t xml:space="preserve">eventType IN ("FortiGate-event-admin-action","FortiGate-event-gui-chg-sub-module","FortiProxy-event-admin-action") AND user = "Local_Process_Access"</t>
  </si>
  <si>
    <t xml:space="preserve">eventType IN (Group@PH_SYS_EVENT_TopCISA_CVE) AND (srcIpAddr IN (Group@PH_SYS_NETWORK_ENTERPRISE_INTERNAL_NET) OR (destIpAddr IN (Group@PH_SYS_NETWORK_ENTERPRISE_INTERNAL_NET) AND fwAction NOT IN ("deny","dropped","block","blocked","ban-ip","alert_deny")))</t>
  </si>
  <si>
    <t xml:space="preserve">(eventType = "FMGR-dvm-Dvmlog-Notice" AND opName = "Modify device" AND (usrMsg CONTAIN "FMG-VMTM23017412" OR usrMsg CONTAIN "FMG-VMTM19008093")) OR (eventType = "FMGR-dvm-Generic-Info" AND usrMsg CONTAIN "Unregistered device")</t>
  </si>
  <si>
    <t xml:space="preserve">(eventType IN (Group@PH_SYS_EVENT_PermitNetTraffic, Group@PH_SYS_EVENT_PermitWebTraffic) AND (srcIpAddr IN (45.32.41.202,104.238.141.143,158.247.199.37,45.32.63.2,195.85.114.78,80.66.196.199,198.199.122.22,172.232.167.68) OR destIpAddr IN (45.32.41.202,104.238.141.143,158.247.199.37,45.32.63.2,195.85.114.78,80.66.196.199,198.199.122.22,172.232.167.68)))</t>
  </si>
  <si>
    <t xml:space="preserve">eventType IN ("FortiGate-ips-signature-52258","FortiProxy-ips-signature-52258") AND (srcIpAddr IN (Group@PH_SYS_NETWORK_ENTERPRISE_INTERNAL_NET) OR (destIpAddr IN (Group@PH_SYS_NETWORK_ENTERPRISE_INTERNAL_NET) AND fwAction NOT IN ("deny","dropped","block","blocked","ban-ip","alert_deny")))</t>
  </si>
  <si>
    <t xml:space="preserve">eventType = "FortiWeb-20000010" AND ipsSignatureId IN (1090490119,1090490120,1090490121,1090501263,1090501141,1090501358,1090501360,1090501033,1090501366,1090501565,1090501475,1090501445,1090501355,1090501371,1090501267,1090501265,1090490117) AND (srcIpAddr IN (Group@PH_SYS_NETWORK_ENTERPRISE_INTERNAL_NET) OR (destIpAddr IN (Group@PH_SYS_NETWORK_ENTERPRISE_INTERNAL_NET) AND fwAction NOT IN ("deny","dropped","block","blocked","ban-ip","alert_deny")))</t>
  </si>
  <si>
    <t xml:space="preserve">eventType = "FortiWeb-20000010" AND ipsSignatureId IN (1090501441,1090501440) AND (srcIpAddr IN (Group@PH_SYS_NETWORK_ENTERPRISE_INTERNAL_NET) OR (destIpAddr IN (Group@PH_SYS_NETWORK_ENTERPRISE_INTERNAL_NET) AND fwAction NOT IN ("deny","dropped","block","blocked","ban-ip","alert_deny")))</t>
  </si>
  <si>
    <t xml:space="preserve">eventType = "FortiWeb-20000010" AND ipsSignatureId IN (1090490133,1050180008) AND (srcIpAddr IN (Group@PH_SYS_NETWORK_ENTERPRISE_INTERNAL_NET) OR (destIpAddr IN (Group@PH_SYS_NETWORK_ENTERPRISE_INTERNAL_NET) AND fwAction NOT IN ("deny","dropped","block","blocked","ban-ip","alert_deny")))</t>
  </si>
  <si>
    <t xml:space="preserve">eventType = "FortiClient-vulnerabilityscan-vulnerability-record" AND vulnId = 6245</t>
  </si>
  <si>
    <t xml:space="preserve">eventType IN ("FortiGate-ips-signature-59073","FortiProxy-ips-signature-59073") AND (srcIpAddr IN (Group@PH_SYS_NETWORK_ENTERPRISE_INTERNAL_NET) OR (destIpAddr IN (Group@PH_SYS_NETWORK_ENTERPRISE_INTERNAL_NET) AND fwAction NOT IN ("deny","dropped","block","blocked","ban-ip","Alert_Deny")))</t>
  </si>
  <si>
    <t xml:space="preserve">eventType = "FortiClient-vulnerabilityscan-vulnerability-record" AND vulnId = 4765</t>
  </si>
  <si>
    <t xml:space="preserve">eventType IN ("FortiGate-ips-signature-52630","FortiProxy-ips-signature-52630") AND (srcIpAddr IN (Group@PH_SYS_NETWORK_ENTERPRISE_INTERNAL_NET) OR (destIpAddr IN (Group@PH_SYS_NETWORK_ENTERPRISE_INTERNAL_NET) AND fwAction NOT IN ("deny","dropped","block","blocked","ban-ip","alert_deny")))</t>
  </si>
  <si>
    <t xml:space="preserve">eventType IN ("FortiGate-ips-signature-56197","FortiProxy-ips-signature-56197") AND (srcIpAddr IN (Group@PH_SYS_NETWORK_ENTERPRISE_INTERNAL_NET) OR (destIpAddr IN (Group@PH_SYS_NETWORK_ENTERPRISE_INTERNAL_NET) AND fwAction NOT IN ("deny","dropped","block","blocked","ban-ip","Alert_Deny")))</t>
  </si>
  <si>
    <t xml:space="preserve">eventType = "FortiClient-vulnerabilityscan-vulnerability-record" AND vulnId IN (76450,76557,76622,76585,76590,76449,76446)</t>
  </si>
  <si>
    <t xml:space="preserve">eventType IN ("FortiGate-ips-signature-53914","FortiProxy-ips-signature-53914") AND (srcIpAddr IN (Group@PH_SYS_NETWORK_ENTERPRISE_INTERNAL_NET) OR (destIpAddr IN (Group@PH_SYS_NETWORK_ENTERPRISE_INTERNAL_NET) AND fwAction NOT IN ("deny","dropped","block","blocked","ban-ip","Alert_Deny")))</t>
  </si>
  <si>
    <t xml:space="preserve">eventType IN ("FortiGate-ips-signature-50872","FortiProxy-ips-signature-50872") AND (ipsSignatureId = 50872 OR attackName = "Hikvision.Product.SDK.WebLanguage.Tag.Command.Injection") AND (srcIpAddr IN (Group@PH_SYS_NETWORK_ENTERPRISE_INTERNAL_NET) OR (destIpAddr IN (Group@PH_SYS_NETWORK_ENTERPRISE_INTERNAL_NET) AND fwAction NOT IN ("deny","dropped","block","blocked","ban-ip","alert_deny")))</t>
  </si>
  <si>
    <t xml:space="preserve">eventType IN (Group@PH_SYS_EVENT_FortiClient_AV_Detected,"FortiClient-vulnerabilityscan-vulnerability-record") AND (ipsSignatureId IN (10053760,10102238,10104624,10104893,10109240,10110134,10112092,10112251) OR vulnId IN (67695,68171,68170,69603) )</t>
  </si>
  <si>
    <t xml:space="preserve">FortiGate-ips-signature-50738
FortiGate-ips-signature-50584
FortiGate-ips-signature-50695
FortiGate-ips-signature-50945
FortiProxy-ips-signature-50738
FortiProxy-ips-signature-50584
FortiProxy-ips-signature-50695
FortiProxy-ips-signature-50945
Group@PH_SYS_EVENT_FortiGate_AV_Detected</t>
  </si>
  <si>
    <t xml:space="preserve">eventType IN ("FortiGate-ips-signature-50738","FortiGate-ips-signature-50584","FortiGate-ips-signature-50695","FortiGate-ips-signature-50945","FortiProxy-ips-signature-50738","FortiProxy-ips-signature-50584","FortiProxy-ips-signature-50695","FortiProxy-ips-signature-50945",Group@PH_SYS_EVENT_FortiGate_AV_Detected) AND ipsSignatureId IN (50738,50584,50695,50945,10053760,10102238,10104624,10104893,10109240,10110134,10112092,10112251) AND (srcIpAddr IN (Group@PH_SYS_NETWORK_ENTERPRISE_INTERNAL_NET) OR (destIpAddr IN (Group@PH_SYS_NETWORK_ENTERPRISE_INTERNAL_NET) AND fwAction NOT IN ("deny","dropped","block","blocked","ban-ip","alert_deny")))</t>
  </si>
  <si>
    <t xml:space="preserve">eventType IN ("FortiGate-ips-signature-61018","FortiProxy-ips-signature-61018") AND (srcIpAddr IN (Group@PH_SYS_NETWORK_ENTERPRISE_INTERNAL_NET) OR (destIpAddr IN (Group@PH_SYS_NETWORK_ENTERPRISE_INTERNAL_NET) AND fwAction NOT IN ("deny","dropped","block","blocked","ban-ip","Alert_Deny")))</t>
  </si>
  <si>
    <t xml:space="preserve">eventType = "FortiClient-vulnerabilityscan-vulnerability-record" AND vulnId IN (76830,76815)</t>
  </si>
  <si>
    <t xml:space="preserve">eventType IN ("FortiGate-ips-signature-54090","FortiProxy-ips-signature-54090") AND (srcIpAddr IN (Group@PH_SYS_NETWORK_ENTERPRISE_INTERNAL_NET) OR (destIpAddr IN (Group@PH_SYS_NETWORK_ENTERPRISE_INTERNAL_NET) AND fwAction NOT IN ("deny","dropped","block","blocked","ban-ip","Alert_Deny")))</t>
  </si>
  <si>
    <t xml:space="preserve">eventType = "FortiClient-vulnerabilityscan-vulnerability-record" AND vulnId = 4795</t>
  </si>
  <si>
    <t xml:space="preserve">eventType IN ("FortiGate-ips-signature-52658","FortiProxy-ips-signature-52658") AND (srcIpAddr IN (Group@PH_SYS_NETWORK_ENTERPRISE_INTERNAL_NET) OR (destIpAddr IN (Group@PH_SYS_NETWORK_ENTERPRISE_INTERNAL_NET) AND fwAction NOT IN ("deny","dropped","block","blocked","ban-ip","alert_deny")))</t>
  </si>
  <si>
    <t xml:space="preserve">eventType IN (Group@PH_SYS_EVENT_FortiClient_AV_Detected) AND virusName IN ("ELF/Agent.1488!tr.ransom","Java/Interlock.A1EF!tr","W64/GenKryptik.HHER!tr","Data/Phishing.F2D6!tr","JS/Interlock.A1EF!tr","JS/Interlock.B4C2!tr","JS/Interlock.D870!tr")</t>
  </si>
  <si>
    <t xml:space="preserve">eventType IN (Group@PH_SYS_EVENT_FortiGate_AV_Detected) AND ipsSignatureId IN (10212834,10236727,10236370,10236369,10236372,10236371,10241839) AND (srcIpAddr IN (Group@PH_SYS_NETWORK_ENTERPRISE_INTERNAL_NET) OR (destIpAddr IN (Group@PH_SYS_NETWORK_ENTERPRISE_INTERNAL_NET) AND fwAction NOT IN ("deny","dropped","block","blocked","ban-ip","Alert_Deny")))</t>
  </si>
  <si>
    <t xml:space="preserve">FortiGate-ips-signature-56651
FortiProxy-ips-signature-56651
FortiGate-ips-signature-56710
FortiProxy-ips-signature-56710
FortiGate-ips-signature-56709
FortiProxy-ips-signature-56709
Group@PH_SYS_EVENT_FortiGate_AV_Detected</t>
  </si>
  <si>
    <t xml:space="preserve">eventType IN ("FortiGate-ips-signature-56651","FortiProxy-ips-signature-56651","FortiGate-ips-signature-56710","FortiProxy-ips-signature-56710","FortiGate-ips-signature-56709","FortiProxy-ips-signature-56709",Group@PH_SYS_EVENT_FortiGate_AV_Detected) AND ipsSignatureId IN (56651,56710,56709,10193353,10193263,10145870) AND (srcIpAddr IN (Group@PH_SYS_NETWORK_ENTERPRISE_INTERNAL_NET) OR (destIpAddr IN (Group@PH_SYS_NETWORK_ENTERPRISE_INTERNAL_NET) AND fwAction NOT IN ("deny","dropped","block","blocked","ban-ip","Alert_Deny")))</t>
  </si>
  <si>
    <t xml:space="preserve">eventType IN ("FortiGate-ips-signature-54588","FortiProxy-ips-signature-54588") AND (srcIpAddr IN (Group@PH_SYS_NETWORK_ENTERPRISE_INTERNAL_NET) OR (destIpAddr IN (Group@PH_SYS_NETWORK_ENTERPRISE_INTERNAL_NET) AND fwAction NOT IN ("deny","dropped","block","blocked","ban-ip","Alert_Deny")))</t>
  </si>
  <si>
    <t xml:space="preserve">eventType IN (Group@PH_SYS_EVENT_FortiClient_AV_Detected) AND virusName IN ("Java/Ivmob.EPMM!tr")</t>
  </si>
  <si>
    <t xml:space="preserve">eventType IN ("FortiGate-ips-signature-53518","FortiProxy-ips-signature-53518",Group@PH_SYS_EVENT_FortiGate_AV_Detected) AND ipsSignatureId IN (53518,10147844) AND (srcIpAddr IN (Group@PH_SYS_NETWORK_ENTERPRISE_INTERNAL_NET) OR (destIpAddr IN (Group@PH_SYS_NETWORK_ENTERPRISE_INTERNAL_NET) AND fwAction NOT IN ("deny","dropped","block","blocked","ban-ip","Alert_Deny")))</t>
  </si>
  <si>
    <t xml:space="preserve">eventType IN ("FortiGate-ips-signature-61065","FortiProxy-ips-signature-61065") AND (srcIpAddr IN (Group@PH_SYS_NETWORK_ENTERPRISE_INTERNAL_NET) OR (destIpAddr IN (Group@PH_SYS_NETWORK_ENTERPRISE_INTERNAL_NET) AND fwAction NOT IN ("deny","dropped","block","blocked","ban-ip","Alert_Deny")))</t>
  </si>
  <si>
    <t xml:space="preserve">eventType IN ("FortiClient-vulnerabilityscan-vulnerability-record",Group@PH_SYS_EVENT_FortiClient_AV_Detected) AND (vulnId = 5566 OR virusName IN ("PHP/HackTool.ELEK!tr","ELF/RansomEXX.C6AD!tr.ransom","ELF/RansomEXX.A!tr"))</t>
  </si>
  <si>
    <t xml:space="preserve">eventType IN ("FortiGate-ips-signature-54616","FortiProxy-ips-signature-54616",Group@PH_SYS_EVENT_FortiGate_AV_Detected) AND ipsSignatureId IN (54616,10036252,10170711,10036252,10188907) AND (srcIpAddr IN (Group@PH_SYS_NETWORK_ENTERPRISE_INTERNAL_NET) OR (destIpAddr IN (Group@PH_SYS_NETWORK_ENTERPRISE_INTERNAL_NET) AND fwAction NOT IN ("deny","dropped","block","blocked","ban-ip","Alert_Deny")))</t>
  </si>
  <si>
    <t xml:space="preserve">eventType = "FortiClient-vulnerabilityscan-vulnerability-record" AND (vulnId = 5401 OR virusName IN ("W64/GraphicalProton.A!tr","W64/Nukesped.131B!tr","W32/GraphicalProton.B!tr","W32/Nukesped.C0F5!tr"))</t>
  </si>
  <si>
    <t xml:space="preserve">eventType IN ("FortiGate-ips-signature-53952","FortiProxy-ips-signature-53952",Group@PH_SYS_EVENT_FortiGate_AV_Detected) AND ipsSignatureId IN (53952,10165067,10156041,10165046,10165053) AND (srcIpAddr IN (Group@PH_SYS_NETWORK_ENTERPRISE_INTERNAL_NET) OR (destIpAddr IN (Group@PH_SYS_NETWORK_ENTERPRISE_INTERNAL_NET) AND fwAction NOT IN ("deny","dropped","block","blocked","ban-ip","Alert_Deny")))</t>
  </si>
  <si>
    <t xml:space="preserve">eventType IN ("FortiGate-ips-signature-52677","FortiProxy-ips-signature-52677") AND (srcIpAddr IN (Group@PH_SYS_NETWORK_ENTERPRISE_INTERNAL_NET) OR (destIpAddr IN (Group@PH_SYS_NETWORK_ENTERPRISE_INTERNAL_NET) AND fwAction NOT IN ("deny","dropped","block","blocked","ban-ip","alert_deny")))</t>
  </si>
  <si>
    <t xml:space="preserve">eventType IN ("FortiGate-ips-signature-61172","FortiProxy-ips-signature-61172") AND (srcIpAddr IN (Group@PH_SYS_NETWORK_ENTERPRISE_INTERNAL_NET) OR (destIpAddr IN (Group@PH_SYS_NETWORK_ENTERPRISE_INTERNAL_NET) AND fwAction NOT IN ("deny","dropped","block","blocked","ban-ip","Alert_Deny")))</t>
  </si>
  <si>
    <t xml:space="preserve">eventType IN ("FortiGate-ips-signature-57790","FortiProxy-ips-signature-57790") AND (srcIpAddr IN (Group@PH_SYS_NETWORK_ENTERPRISE_INTERNAL_NET) OR (destIpAddr IN (Group@PH_SYS_NETWORK_ENTERPRISE_INTERNAL_NET) AND fwAction NOT IN ("deny","dropped","block","blocked","ban-ip","Alert_Deny")))</t>
  </si>
  <si>
    <t xml:space="preserve">eventType IN ("FortiClient-vulnerabilityscan-vulnerability-record",Group@PH_SYS_EVENT_FortiClient_AV_Detected) AND (vulnId = 70935 OR virusName IN ("W32/Lazarus.RAT!tr","W64/Lazarus.RAT!tr"))</t>
  </si>
  <si>
    <t xml:space="preserve">eventType IN ("FortiGate-ips-signature-51006","FortiProxy-ips-signature-51006",Group@PH_SYS_EVENT_FortiGate_AV_Detected) AND ipsSignatureId IN (51006,10164701,10164702) AND (srcIpAddr IN (Group@PH_SYS_NETWORK_ENTERPRISE_INTERNAL_NET) OR (destIpAddr IN (Group@PH_SYS_NETWORK_ENTERPRISE_INTERNAL_NET) AND fwAction NOT IN ("deny","dropped","block","blocked","ban-ip","Alert_Deny")))</t>
  </si>
  <si>
    <t xml:space="preserve">eventType IN (Group@PH_SYS_EVENT_FortiClient_AV_Detected) AND virusName IN ("MSIL/Kryptik.AMCW!tr","W64/Mallox.A!tr.ransom","LNK/Agent.BJM!tr.dldr","Linux/Ransom.D!tr")</t>
  </si>
  <si>
    <t xml:space="preserve">FortiGate-ips-signature-56745
FortiProxy-ips-signature-56745
FortiGate-ips-signature-48753
FortiProxy-ips-signature-48753
FortiGate-ips-signature-54621
FortiProxy-ips-signature-54621
Group@PH_SYS_EVENT_FortiGate_AV_Detected</t>
  </si>
  <si>
    <t xml:space="preserve">eventType IN ("FortiGate-ips-signature-56745","FortiProxy-ips-signature-56745","FortiGate-ips-signature-48753","FortiProxy-ips-signature-48753","FortiGate-ips-signature-54621","FortiProxy-ips-signature-54621",Group@PH_SYS_EVENT_FortiGate_AV_Detected) AND ipsSignatureId IN (56745,48753,54621,10188414,10178488,10147680,10178488,10048768,10048768) AND (srcIpAddr IN (Group@PH_SYS_NETWORK_ENTERPRISE_INTERNAL_NET) OR (destIpAddr IN (Group@PH_SYS_NETWORK_ENTERPRISE_INTERNAL_NET) AND fwAction NOT IN ("deny","dropped","block","blocked","ban-ip","Alert_Deny")))</t>
  </si>
  <si>
    <t xml:space="preserve">eventType = "FortiClient-vulnerabilityscan-vulnerability-record" AND vulnId = 6067</t>
  </si>
  <si>
    <t xml:space="preserve">eventType IN ("FortiGate-ips-signature-57264","FortiProxy-ips-signature-57264") AND (srcIpAddr IN (Group@PH_SYS_NETWORK_ENTERPRISE_INTERNAL_NET) OR (destIpAddr IN (Group@PH_SYS_NETWORK_ENTERPRISE_INTERNAL_NET) AND fwAction NOT IN ("deny","dropped","block","blocked","ban-ip","Alert_Deny")))</t>
  </si>
  <si>
    <t xml:space="preserve">eventType = "FortiClient-vulnerabilityscan-vulnerability-record" AND vulnId = 72056</t>
  </si>
  <si>
    <t xml:space="preserve">eventType IN ("FortiGate-ips-signature-51469","FortiProxy-ips-signature-51469")</t>
  </si>
  <si>
    <t xml:space="preserve">eventType IN (Group@PH_SYS_EVENT_FortiClient_AV_Detected) AND virusName IN ("MSOffice/Reoff.MOWH!exploit","LNK/Agent.OF!tr","RTF/Reoff.MOWH!exploit","XML/Agent.25A0!exploit","XML/Agent.C0F3!exploit","RTF/Agent.3527!exploit")</t>
  </si>
  <si>
    <t xml:space="preserve">eventType IN ("FortiGate-ips-signature-43872","FortiProxy-ips-signature-43872",Group@PH_SYS_EVENT_FortiGate_AV_Detected) AND ipsSignatureId IN (43872,10134905,10145109,10145110,10145118,10145231,10145230) AND (srcIpAddr IN (Group@PH_SYS_NETWORK_ENTERPRISE_INTERNAL_NET) OR (destIpAddr IN (Group@PH_SYS_NETWORK_ENTERPRISE_INTERNAL_NET) AND fwAction NOT IN ("deny","dropped","block","blocked","ban-ip","alert_deny")))</t>
  </si>
  <si>
    <t xml:space="preserve">eventType IN ("FortiClient-vulnerabilityscan-vulnerability-record",Group@PH_SYS_EVENT_FortiClient_AV_Detected) AND (vulnId = 74780 OR virusName IN ("MSOffice/CVE_2023_23397.A!exploit","Data/CVE_2023_23397.A!exploit","MSOffice/CVE_2023_23397.B!exploit","MSOffice/CVE_2023_23397.FBFC!exploit","Data/CVE202323397.A!exploit","MSOffice/Reminder.EOP!tr"))</t>
  </si>
  <si>
    <t xml:space="preserve">eventType IN ("FortiGate-ips-signature-52754","FortiProxy-ips-signature-52754",Group@PH_SYS_EVENT_FortiGate_AV_Detected) AND ipsSignatureId IN (52754,10130476,10129427,10131142,10129669,10131254) AND (srcIpAddr IN (Group@PH_SYS_NETWORK_ENTERPRISE_INTERNAL_NET) OR (destIpAddr IN (Group@PH_SYS_NETWORK_ENTERPRISE_INTERNAL_NET) AND fwAction NOT IN ("deny","dropped","block","blocked","ban-ip","alert_deny")))</t>
  </si>
  <si>
    <t xml:space="preserve">eventType = "FortiClient-vulnerabilityscan-vulnerability-record" AND vulnId = 75611</t>
  </si>
  <si>
    <t xml:space="preserve">eventType IN ("FortiGate-ips-signature-53295","FortiProxy-ips-signature-53295") AND (srcIpAddr IN (Group@PH_SYS_NETWORK_ENTERPRISE_INTERNAL_NET) OR (destIpAddr IN (Group@PH_SYS_NETWORK_ENTERPRISE_INTERNAL_NET) AND fwAction NOT IN ("deny","dropped","block","blocked","ban-ip","Alert_Deny")))</t>
  </si>
  <si>
    <t xml:space="preserve">eventType = "FortiClient-vulnerabilityscan-vulnerability-record" AND vulnId IN (86000,6190,85998)</t>
  </si>
  <si>
    <t xml:space="preserve">eventType IN ("FortiGate-ips-signature-58317","FortiProxy-ips-signature-58317",Group@PH_SYS_EVENT_FortiGate_AV_Detected) AND ipsSignatureId IN (58317,10223865,10021474) AND (srcIpAddr IN (Group@PH_SYS_NETWORK_ENTERPRISE_INTERNAL_NET) OR (destIpAddr IN (Group@PH_SYS_NETWORK_ENTERPRISE_INTERNAL_NET) AND fwAction NOT IN ("deny","dropped","block","blocked","ban-ip","Alert_Deny")))</t>
  </si>
  <si>
    <t xml:space="preserve">eventType = "FortiClient-vulnerabilityscan-vulnerability-record" AND vulnId = 5968</t>
  </si>
  <si>
    <t xml:space="preserve">FortiGate-ips-signature-56968
FortiProxy-ips-signature-56968
FortiGate-ips-signature-56969
FortiProxy-ips-signature-56969
FortiGate-ips-signature-56966
FortiProxy-ips-signature-56966</t>
  </si>
  <si>
    <t xml:space="preserve">eventType IN ("FortiGate-ips-signature-56968","FortiProxy-ips-signature-56968","FortiGate-ips-signature-56969","FortiProxy-ips-signature-56969","FortiGate-ips-signature-56966","FortiProxy-ips-signature-56966") AND (srcIpAddr IN (Group@PH_SYS_NETWORK_ENTERPRISE_INTERNAL_NET) OR (destIpAddr IN (Group@PH_SYS_NETWORK_ENTERPRISE_INTERNAL_NET) AND fwAction NOT IN ("deny","dropped","block","blocked","ban-ip","Alert_Deny")))</t>
  </si>
  <si>
    <t xml:space="preserve">FortiGate-ips-signature-44754
FortiProxy-ips-signature-44754
FortiGate-ips-signature-43737
FortiProxy-ips-signature-43737
FortiGate-ips-signature-46273
FortiProxy-ips-signature-46273
FortiGate-ips-signature-46946
FortiProxy-ips-signature-46946</t>
  </si>
  <si>
    <t xml:space="preserve">eventType IN ("FortiGate-ips-signature-44754","FortiProxy-ips-signature-44754","FortiGate-ips-signature-43737","FortiProxy-ips-signature-43737","FortiGate-ips-signature-46273","FortiProxy-ips-signature-46273","FortiGate-ips-signature-46946","FortiProxy-ips-signature-46946") AND (srcIpAddr IN (Group@PH_SYS_NETWORK_ENTERPRISE_INTERNAL_NET) OR (destIpAddr IN (Group@PH_SYS_NETWORK_ENTERPRISE_INTERNAL_NET) AND fwAction NOT IN ("deny","dropped","block","blocked","ban-ip","alert_deny")))</t>
  </si>
  <si>
    <t xml:space="preserve">eventType IN ("FortiGate-ips-signature-48666","FortiProxy-ips-signature-48666") AND (srcIpAddr IN (Group@PH_SYS_NETWORK_ENTERPRISE_INTERNAL_NET) OR (destIpAddr IN (Group@PH_SYS_NETWORK_ENTERPRISE_INTERNAL_NET) AND fwAction NOT IN ("deny","dropped","block","blocked","ban-ip","Alert_Deny")))</t>
  </si>
  <si>
    <t xml:space="preserve">eventType IN ("FortiGate-ips-signature-59120","FortiProxy-ips-signature-59120",Group@PH_SYS_EVENT_FortiGate_AV_Detected) AND ipsSignatureId IN (59120,10233834,10233835) AND (srcIpAddr IN (Group@PH_SYS_NETWORK_ENTERPRISE_INTERNAL_NET) OR (destIpAddr IN (Group@PH_SYS_NETWORK_ENTERPRISE_INTERNAL_NET) AND fwAction NOT IN ("deny","dropped","block","blocked","ban-ip","Alert_Deny")))</t>
  </si>
  <si>
    <t xml:space="preserve">eventType IN ("FortiGate-ips-signature-52696","FortiProxy-ips-signature-52696") AND (srcIpAddr IN (Group@PH_SYS_NETWORK_ENTERPRISE_INTERNAL_NET) OR (destIpAddr IN (Group@PH_SYS_NETWORK_ENTERPRISE_INTERNAL_NET) AND fwAction NOT IN ("deny","dropped","block","blocked","ban-ip","alert_deny")))</t>
  </si>
  <si>
    <t xml:space="preserve">FortiGate-ips-signature-56726
FortiProxy-ips-signature-56726
FortiGate-ips-signature-56727
FortiProxy-ips-signature-56727
FortiGate-ips-signature-56728
FortiProxy-ips-signature-56728</t>
  </si>
  <si>
    <t xml:space="preserve">eventType IN ("FortiGate-ips-signature-56726","FortiProxy-ips-signature-56726","FortiGate-ips-signature-56727","FortiProxy-ips-signature-56727","FortiGate-ips-signature-56728","FortiProxy-ips-signature-56728") AND (srcIpAddr IN (Group@PH_SYS_NETWORK_ENTERPRISE_INTERNAL_NET) OR (destIpAddr IN (Group@PH_SYS_NETWORK_ENTERPRISE_INTERNAL_NET) AND fwAction NOT IN ("deny","dropped","block","blocked","ban-ip","Alert_Deny")))</t>
  </si>
  <si>
    <t xml:space="preserve">FortiGate-ips-signature-56894
FortiProxy-ips-signature-56894
FortiGate-ips-signature-56897
FortiProxy-ips-signature-56897</t>
  </si>
  <si>
    <t xml:space="preserve">eventType IN ("FortiGate-ips-signature-56894","FortiProxy-ips-signature-56894","FortiGate-ips-signature-56897","FortiProxy-ips-signature-56897") AND (srcIpAddr IN (Group@PH_SYS_NETWORK_ENTERPRISE_INTERNAL_NET) OR (destIpAddr IN (Group@PH_SYS_NETWORK_ENTERPRISE_INTERNAL_NET) AND fwAction NOT IN ("deny","dropped","block","blocked","ban-ip","Alert_Deny")))</t>
  </si>
  <si>
    <t xml:space="preserve">eventType IN ("FortiGate-ips-signature-61037","FortiProxy-ips-signature-61037") AND (srcIpAddr IN (Group@PH_SYS_NETWORK_ENTERPRISE_INTERNAL_NET) OR (destIpAddr IN (Group@PH_SYS_NETWORK_ENTERPRISE_INTERNAL_NET) AND fwAction NOT IN ("deny","dropped","block","blocked","ban-ip","Alert_Deny")))</t>
  </si>
  <si>
    <t xml:space="preserve">eventType IN (Group@PH_SYS_EVENT_FortiClient_AV_Detected) AND virusName IN ("Riskware/Gost","Linux/ReverseSsh.A!tr","Python/OSnaP.3400!tr")</t>
  </si>
  <si>
    <t xml:space="preserve">eventType IN ("FortiGate-ips-signature-55555","FortiProxy-ips-signature-55555",Group@PH_SYS_EVENT_FortiGate_AV_Detected) AND ipsSignatureId IN (55555,10066627,10075415,10177562) AND (srcIpAddr IN (Group@PH_SYS_NETWORK_ENTERPRISE_INTERNAL_NET) OR (destIpAddr IN (Group@PH_SYS_NETWORK_ENTERPRISE_INTERNAL_NET) AND fwAction NOT IN ("deny","dropped","block","blocked","ban-ip","Alert_Deny")))</t>
  </si>
  <si>
    <t xml:space="preserve">eventType IN ("FortiClient-vulnerabilityscan-vulnerability-record",Group@PH_SYS_EVENT_FortiClient_AV_Detected) AND (vulnId = 4950 OR virusName = "Riskware/RemoteAdmin")</t>
  </si>
  <si>
    <t xml:space="preserve">eventType IN ("FortiGate-ips-signature-52900","FortiProxy-ips-signature-52900",Group@PH_SYS_EVENT_FortiGate_AV_Detected) AND ipsSignatureId IN (52900,2985176) AND (srcIpAddr IN (Group@PH_SYS_NETWORK_ENTERPRISE_INTERNAL_NET) OR (destIpAddr IN (Group@PH_SYS_NETWORK_ENTERPRISE_INTERNAL_NET) AND fwAction NOT IN ("deny","dropped","block","blocked","ban-ip","alert_deny")))</t>
  </si>
  <si>
    <t xml:space="preserve">eventType IN ("FortiGate-ips-signature-31752","FortiProxy-ips-signature-31752",Group@PH_SYS_EVENT_FortiGate_AV_Detected) AND ipsSignatureId IN (31752,10141732,10004782,10175277) AND (srcIpAddr IN (Group@PH_SYS_NETWORK_ENTERPRISE_INTERNAL_NET) OR (destIpAddr IN (Group@PH_SYS_NETWORK_ENTERPRISE_INTERNAL_NET) AND fwAction NOT IN ("deny","dropped","block","blocked","ban-ip","Alert_Deny")))</t>
  </si>
  <si>
    <t xml:space="preserve">eventType IN ("FortiGate-ips-signature-55438","FortiProxy-ips-signature-55438") AND (srcIpAddr IN (Group@PH_SYS_NETWORK_ENTERPRISE_INTERNAL_NET) OR (destIpAddr IN (Group@PH_SYS_NETWORK_ENTERPRISE_INTERNAL_NET) AND fwAction NOT IN ("deny","dropped","block","blocked","ban-ip","Alert_Deny")))</t>
  </si>
  <si>
    <t xml:space="preserve">eventType = "FortiClient-vulnerabilityscan-vulnerability-record" AND vulnId = 5083</t>
  </si>
  <si>
    <t xml:space="preserve">FortiGate-ips-signature-53240
FortiProxy-ips-signature-53240
FortiGate-ips-signature-53241
FortiProxy-ips-signature-53241
Group@PH_SYS_EVENT_FortiGate_AV_Detected</t>
  </si>
  <si>
    <t xml:space="preserve">eventType IN ("FortiGate-ips-signature-53240","FortiProxy-ips-signature-53240","FortiGate-ips-signature-53241","FortiProxy-ips-signature-53241",Group@PH_SYS_EVENT_FortiGate_AV_Detected) AND ipsSignatureId IN (53240,53241,10140241) AND (srcIpAddr IN (Group@PH_SYS_NETWORK_ENTERPRISE_INTERNAL_NET) OR (destIpAddr IN (Group@PH_SYS_NETWORK_ENTERPRISE_INTERNAL_NET) AND fwAction NOT IN ("deny","dropped","block","blocked","ban-ip","alert_deny")))</t>
  </si>
  <si>
    <t xml:space="preserve">eventType IN ("FortiClient-vulnerabilityscan-vulnerability-record",Group@PH_SYS_EVENT_FortiClient_AV_Detected) AND (vulnId IN (4128,4737,4351) OR virusName IN ("W32/NetWalker.B!tr.ransom","PowerShell/NetWalker.B!tr","Riskware/BlueMiner"))</t>
  </si>
  <si>
    <t xml:space="preserve">eventType IN ("FortiGate-ips-signature-48789","FortiProxy-ips-signature-48789",Group@PH_SYS_EVENT_FortiGate_AV_Detected) AND ipsSignatureId IN (48789,8192240,8238144,10128150) AND (srcIpAddr IN (Group@PH_SYS_NETWORK_ENTERPRISE_INTERNAL_NET) OR (destIpAddr IN (Group@PH_SYS_NETWORK_ENTERPRISE_INTERNAL_NET) AND fwAction NOT IN ("deny","dropped","block","blocked","ban-ip","alert_deny")))</t>
  </si>
  <si>
    <t xml:space="preserve">FortiGate-ips-signature-56825
FortiProxy-ips-signature-56825
FortiGate-ips-signature-56827
FortiProxy-ips-signature-56827</t>
  </si>
  <si>
    <t xml:space="preserve">eventType IN ("FortiGate-ips-signature-56825","FortiProxy-ips-signature-56825","FortiGate-ips-signature-56827","FortiProxy-ips-signature-56827") AND (srcIpAddr IN (Group@PH_SYS_NETWORK_ENTERPRISE_INTERNAL_NET) OR (destIpAddr IN (Group@PH_SYS_NETWORK_ENTERPRISE_INTERNAL_NET) AND fwAction NOT IN ("deny","dropped","block","blocked","ban-ip","Alert_Deny")))</t>
  </si>
  <si>
    <t xml:space="preserve">eventType IN (Group@PH_SYS_EVENT_PermitNetTraffic,Group@PH_SYS_EVENT_PermitWebTraffic) AND srcIpAddr IN (Group@PH_SYS_NETWORK_ENTERPRISE_INTERNAL_NET) AND fwAction NOT IN ("deny","dropped","block","blocked","ban-ip","Alert_Deny") AND (destIpAddr IN (154.223.58.142,154.223.54.159,154.223.58.64,154.223.75.206,202.181.25.71,202.181.25.73,38.60.142.56,43.240.12.34,43.240.12.35,45.125.15.100,45.125.15.104,45.125.15.111,45.125.15.114,45.125.15.115,103.231.15.135,103.231.15.219,103.231.15.248,103.246.244.13,103.246.244.20,123.254.105.38,123.254.106.148,154.223.24.158,45.125.35.225,45.125.35.226,45.125.35.227,45.125.35.229,45.125.35.230,45.125.35.231,45.125.35.232,45.125.35.233,45.125.35.234,45.125.35.235,45.125.35.236) OR destDomain IN ("icloud-cdn.net","www.icloud-cdn.net","www.yahoo-cdn.it.com","yahoo-cdn.it.com","51quickfox.cn","cdns3.51quickfox.cn","google-apis.net","techcheck1.com","wangmeng.xyz","www.techcheck1.com","www.icloud-cdn.net","www.wangmeng66.top","wangmeng66.top","wangmengsb.com","www.google-apis.net","www.wangmeng.xyz","www.wangmeng66.top","www.wangmengsb.com") OR downloadURL IN ("http://www.yahoo-cdn.it.com/dnscfg.dll","http://www.yahoo-cdn.it.com/Microsoft.VisualStudio.HostingProcess.Utilities.Sync.dll","http://www.yahoo-cdn.it.com:8080/","http://www.yahoo-cdn.it.com:8080/GetCluster","http://www.yahoo-cdn.it.com/config.etl","http://www.yahoo-cdn.it.com/dfsvc.exe","http://www.yahoo-cdn.it.com/dfsvc.exe.config","http://www.yahoo-cdn.it.com/vshost.exe","http://www.icloud-cdn.net:8080/GetCluster","http://www.icloud-cdn.net:8080/GetSlaver","https://www.google-apis.net/dfsvc.exe","https://www.google-apis.net/dfsvc.exe.config","https://www.google-apis.net/wangmeng.dll","https://www.techcheck1.com/GetClusterNodes","https://www.techcheck1.com/GetPeers","https://www.techcheck1.com/Microsoft.VisualStudio.HostingProcess.Utilities.Sync.dll","https://www.techcheck1.com/vshost.exe","https://www.wangmeng.xyz/GetVips","http://www.icloud-cdn.net/GetCluster","http://www.icloud-cdn.net/GetSlaver"))</t>
  </si>
  <si>
    <t xml:space="preserve">eventType IN ("FortiGate-ips-signature-59644","FortiProxy-ips-signature-59644") AND (srcIpAddr IN (Group@PH_SYS_NETWORK_ENTERPRISE_INTERNAL_NET) OR (destIpAddr IN (Group@PH_SYS_NETWORK_ENTERPRISE_INTERNAL_NET) AND fwAction NOT IN ("deny","dropped","block","blocked","ban-ip","Alert_Deny")))</t>
  </si>
  <si>
    <t xml:space="preserve">eventType IN (Group@PH_SYS_EVENT_FortiClient_AV_Detected) AND virusName IN ("Linux/Mirai.REAL!tr","Linux/Hinata.REAL!tr","Linux/RedGo.REAL!tr")</t>
  </si>
  <si>
    <t xml:space="preserve">FortiGate-ips-signature-51534
FortiProxy-ips-signature-51534
FortiGate-ips-signature-40774
FortiProxy-ips-signature-40774
Group@PH_SYS_EVENT_FortiGate_AV_Detected</t>
  </si>
  <si>
    <t xml:space="preserve">eventType IN ("FortiGate-ips-signature-51534","FortiProxy-ips-signature-51534","FortiGate-ips-signature-40774","FortiProxy-ips-signature-40774",Group@PH_SYS_EVENT_FortiGate_AV_Detected) AND ipsSignatureId IN (51534,40774,10130044,10130046,10130045) AND (srcIpAddr IN (Group@PH_SYS_NETWORK_ENTERPRISE_INTERNAL_NET) OR (destIpAddr IN (Group@PH_SYS_NETWORK_ENTERPRISE_INTERNAL_NET) AND fwAction NOT IN ("deny","dropped","block","blocked","ban-ip","alert_deny")))</t>
  </si>
  <si>
    <t xml:space="preserve">eventType = "FortiClient-vulnerabilityscan-vulnerability-record" AND vulnId = 71859</t>
  </si>
  <si>
    <t xml:space="preserve">eventType IN ("FortiGate-ips-signature-51512","FortiProxy-ips-signature-51512",Group@PH_SYS_EVENT_FortiGate_AV_Detected) AND ipsSignatureId IN (51512,10113939) AND (srcIpAddr IN (Group@PH_SYS_NETWORK_ENTERPRISE_INTERNAL_NET) OR (destIpAddr IN (Group@PH_SYS_NETWORK_ENTERPRISE_INTERNAL_NET) AND fwAction NOT IN ("deny","dropped","block","blocked","ban-ip","alert_deny")))</t>
  </si>
  <si>
    <t xml:space="preserve">eventType IN (Group@PH_SYS_EVENT_FortiClient_AV_Detected) AND ipsSignatureId IN (10085987,10117488,7194143,10102081,10077186)</t>
  </si>
  <si>
    <t xml:space="preserve">FortiGate-ips-signature-40772
FortiGate-ips-signature-46083
FortiGate-ips-signature-44738
FortiGate-ips-signature-52148
FortiGate-ips-signature-50501
FortiProxy-ips-signature-40772
FortiProxy-ips-signature-46083
FortiProxy-ips-signature-44738
FortiProxy-ips-signature-52148
FortiProxy-ips-signature-50501
Group@PH_SYS_EVENT_FortiGate_AV_Detected</t>
  </si>
  <si>
    <t xml:space="preserve">eventType IN (Group@PH_SYS_EVENT_FortiGate_AV_Detected,"FortiGate-ips-signature-40772","FortiGate-ips-signature-46083","FortiGate-ips-signature-44738","FortiGate-ips-signature-52148","FortiGate-ips-signature-50501","FortiProxy-ips-signature-40772","FortiProxy-ips-signature-46083","FortiProxy-ips-signature-44738","FortiProxy-ips-signature-52148","FortiProxy-ips-signature-50501") AND ipsSignatureId IN (40772,46083,44738,52148,50501,10085987,10117488,7194143,10102081,10077186) AND (srcIpAddr IN (Group@PH_SYS_NETWORK_ENTERPRISE_INTERNAL_NET) OR (destIpAddr IN (Group@PH_SYS_NETWORK_ENTERPRISE_INTERNAL_NET) AND fwAction NOT IN ("deny","dropped","block","blocked","ban-ip","alert_deny")))</t>
  </si>
  <si>
    <t xml:space="preserve">eventType IN ("FortiGate-ips-signature-52237","FortiProxy-ips-signature-52237","FortiWeb-20000010") AND ipsSignatureId IN (52237,1090501592) AND (srcIpAddr IN (Group@PH_SYS_NETWORK_ENTERPRISE_INTERNAL_NET) OR (destIpAddr IN (Group@PH_SYS_NETWORK_ENTERPRISE_INTERNAL_NET) AND fwAction NOT IN ("deny","dropped","block","blocked","ban-ip","alert_deny")))</t>
  </si>
  <si>
    <t xml:space="preserve">eventType IN ("FortiGate-ips-signature-56273","FortiProxy-ips-signature-56273") AND (srcIpAddr IN (Group@PH_SYS_NETWORK_ENTERPRISE_INTERNAL_NET) OR (destIpAddr IN (Group@PH_SYS_NETWORK_ENTERPRISE_INTERNAL_NET) AND fwAction NOT IN ("deny","dropped","block","blocked","ban-ip","Alert_Deny")))</t>
  </si>
  <si>
    <t xml:space="preserve">FortiGate-ips-signature-55710
FortiProxy-ips-signature-55710
FortiGate-ips-signature-45752
FortiProxy-ips-signature-45752
FortiGate-ips-signature-45987
FortiProxy-ips-signature-45987
Group@PH_SYS_EVENT_FortiGate_AV_Detected</t>
  </si>
  <si>
    <t xml:space="preserve">eventType IN ("FortiGate-ips-signature-55710","FortiProxy-ips-signature-55710","FortiGate-ips-signature-45752","FortiProxy-ips-signature-45752","FortiGate-ips-signature-45987","FortiProxy-ips-signature-45987",Group@PH_SYS_EVENT_FortiGate_AV_Detected) AND ipsSignatureId IN (55710,45752,45987,10210447,10214059,10182311,10128013,8279012) AND (srcIpAddr IN (Group@PH_SYS_NETWORK_ENTERPRISE_INTERNAL_NET) OR (destIpAddr IN (Group@PH_SYS_NETWORK_ENTERPRISE_INTERNAL_NET) AND fwAction NOT IN ("deny","dropped","block","blocked","ban-ip","Alert_Deny")))</t>
  </si>
  <si>
    <t xml:space="preserve">eventType = "FortiClient-vulnerabilityscan-vulnerability-record" AND vulnId = 6058</t>
  </si>
  <si>
    <t xml:space="preserve">eventType IN ("FortiGate-ips-signature-57217","FortiProxy-ips-signature-57217",Group@PH_SYS_EVENT_FortiGate_AV_Detected) AND ipsSignatureId IN (57217,10106192) AND (srcIpAddr IN (Group@PH_SYS_NETWORK_ENTERPRISE_INTERNAL_NET) OR (destIpAddr IN (Group@PH_SYS_NETWORK_ENTERPRISE_INTERNAL_NET) AND fwAction NOT IN ("deny","dropped","block","blocked","ban-ip","Alert_Deny")))</t>
  </si>
  <si>
    <t xml:space="preserve">eventType IN ("FortiGate-ips-signature-59887","FortiProxy-ips-signature-59887") AND (srcIpAddr IN (Group@PH_SYS_NETWORK_ENTERPRISE_INTERNAL_NET) OR (destIpAddr IN (Group@PH_SYS_NETWORK_ENTERPRISE_INTERNAL_NET) AND fwAction NOT IN ("deny","dropped","block","blocked","ban-ip","Alert_Deny")))</t>
  </si>
  <si>
    <t xml:space="preserve">eventType IN ("FortiGate-ips-signature-52317","FortiProxy-ips-signature-52317") AND (srcIpAddr IN (Group@PH_SYS_NETWORK_ENTERPRISE_INTERNAL_NET) OR (destIpAddr IN (Group@PH_SYS_NETWORK_ENTERPRISE_INTERNAL_NET) AND fwAction NOT IN ("deny","dropped","block","blocked","ban-ip","alert_deny")))</t>
  </si>
  <si>
    <t xml:space="preserve">FortiGate-ips-signature-56685
FortiProxy-ips-signature-56685
FortiGate-ips-signature-51566
FortiProxy-ips-signature-51566
FortiGate-ips-signature-51134
FortiProxy-ips-signature-51134
FortiGate-ips-signature-58181
FortiProxy-ips-signature-58181</t>
  </si>
  <si>
    <t xml:space="preserve">eventType IN ("FortiGate-ips-signature-56685","FortiProxy-ips-signature-56685","FortiGate-ips-signature-51566","FortiProxy-ips-signature-51566","FortiGate-ips-signature-51134","FortiProxy-ips-signature-51134","FortiGate-ips-signature-58181","FortiProxy-ips-signature-58181") AND (srcIpAddr IN (Group@PH_SYS_NETWORK_ENTERPRISE_INTERNAL_NET) OR (destIpAddr IN (Group@PH_SYS_NETWORK_ENTERPRISE_INTERNAL_NET) AND fwAction NOT IN ("deny","dropped","block","blocked","ban-ip","Alert_Deny")))</t>
  </si>
  <si>
    <t xml:space="preserve">eventType IN (Group@PH_SYS_EVENT_FortiClient_AV_Detected) AND virusName IN ("BASH/Mirai.AEH!tr.dldr","ELF/Mirai.AGIT!tr","ELF/Mirai.GG!tr","Linux/Mirai.L!tr.dldr","Linux/Mirai.REAL!tr")</t>
  </si>
  <si>
    <t xml:space="preserve">eventType IN ("FortiGate-ips-signature-54310","FortiProxy-ips-signature-54310",Group@PH_SYS_EVENT_FortiGate_AV_Detected) AND ipsSignatureId IN (54310,10154968,10176576,8108232,8229732,10130044) AND (srcIpAddr IN (Group@PH_SYS_NETWORK_ENTERPRISE_INTERNAL_NET) OR (destIpAddr IN (Group@PH_SYS_NETWORK_ENTERPRISE_INTERNAL_NET) AND fwAction NOT IN ("deny","dropped","block","blocked","ban-ip","Alert_Deny")))</t>
  </si>
  <si>
    <t xml:space="preserve">eventType IN (Group@PH_SYS_EVENT_FortiClient_AV_Detected) AND virusName = "EML/CVE_2024_45519.A!exploit"</t>
  </si>
  <si>
    <t xml:space="preserve">eventType IN ("FortiGate-ips-signature-56686","FortiProxy-ips-signature-56686",Group@PH_SYS_EVENT_FortiGate_AV_Detected) AND ipsSignatureId IN (56686,10193077) AND (srcIpAddr IN (Group@PH_SYS_NETWORK_ENTERPRISE_INTERNAL_NET) OR (destIpAddr IN (Group@PH_SYS_NETWORK_ENTERPRISE_INTERNAL_NET) AND fwAction NOT IN ("deny","dropped","block","blocked","ban-ip","Alert_Deny")))</t>
  </si>
  <si>
    <t xml:space="preserve">eventType IN ("FortiGate-ips-signature-45993","FortiProxy-ips-signature-45993") AND (srcIpAddr IN (Group@PH_SYS_NETWORK_ENTERPRISE_INTERNAL_NET) OR (destIpAddr IN (Group@PH_SYS_NETWORK_ENTERPRISE_INTERNAL_NET) AND fwAction NOT IN ("deny","dropped","block","blocked","ban-ip","alert_deny")))</t>
  </si>
  <si>
    <t xml:space="preserve">eventType IN ("FortiGate-ips-signature-55717","FortiProxy-ips-signature-55717",Group@PH_SYS_EVENT_FortiGate_AV_Detected) AND ipsSignatureId IN (55717,10219986,10219966,10219975,10219974,10219965,10219969) AND (srcIpAddr IN (Group@PH_SYS_NETWORK_ENTERPRISE_INTERNAL_NET) OR (destIpAddr IN (Group@PH_SYS_NETWORK_ENTERPRISE_INTERNAL_NET) AND fwAction NOT IN ("deny","dropped","block","blocked","ban-ip","Alert_Deny")))</t>
  </si>
  <si>
    <t xml:space="preserve">eventType IN ("FortiGate-ips-signature-52227","FortiProxy-ips-signature-52227") AND (srcIpAddr IN (Group@PH_SYS_NETWORK_ENTERPRISE_INTERNAL_NET) OR (destIpAddr IN (Group@PH_SYS_NETWORK_ENTERPRISE_INTERNAL_NET) AND fwAction NOT IN ("deny","dropped","block","blocked","ban-ip","alert_deny")))</t>
  </si>
  <si>
    <t xml:space="preserve">eventType IN (Group@PH_SYS_EVENT_FortiClient_AV_Detected) AND (ipsSignatureId IN (10134062,10134063) OR virusName IN ("W32/FlyStudio.PHP!tr","W32/CoinMiner.PHP!tr"))</t>
  </si>
  <si>
    <t xml:space="preserve">eventType IN ("FortiGate-ips-signature-47291","FortiProxy-ips-signature-47291") AND (srcIpAddr IN (Group@PH_SYS_NETWORK_ENTERPRISE_INTERNAL_NET) OR (destIpAddr IN (Group@PH_SYS_NETWORK_ENTERPRISE_INTERNAL_NET) AND fwAction NOT IN ("deny","dropped","block","blocked","ban-ip","alert_deny")))</t>
  </si>
  <si>
    <t xml:space="preserve">eventType IN (Group@PH_SYS_EVENT_FortiClient_AV_Detected) AND virusName IN ("BASH/Mirai.4C55!tr","ELF/Mirai.A!tr","ELF/Mirai.BL!tr","Linux/Redis.TSU!tr")</t>
  </si>
  <si>
    <t xml:space="preserve">eventType IN ("FortiGate-ips-signature-52742","FortiProxy-ips-signature-52742",Group@PH_SYS_EVENT_FortiGate_AV_Detected) AND ipsSignatureId IN (52742,10052969,7194143,7860912,10122905) AND (srcIpAddr IN (Group@PH_SYS_NETWORK_ENTERPRISE_INTERNAL_NET) OR (destIpAddr IN (Group@PH_SYS_NETWORK_ENTERPRISE_INTERNAL_NET) AND fwAction NOT IN ("deny","dropped","block","blocked","ban-ip","alert_deny")))</t>
  </si>
  <si>
    <t xml:space="preserve">FortiGate-ips-signature-49950
FortiProxy-ips-signature-49950
FortiGate-ips-signature-48765
FortiProxy-ips-signature-48765
Group@PH_SYS_EVENT_FortiGate_AV_Detected</t>
  </si>
  <si>
    <t xml:space="preserve">eventType IN ("FortiGate-ips-signature-49950","FortiProxy-ips-signature-49950","FortiGate-ips-signature-48765","FortiProxy-ips-signature-48765",Group@PH_SYS_EVENT_FortiGate_AV_Detected) AND ipsSignatureId IN (48765,49950,10238408,10191187,58991,1182668,10096034,10238438,10238432) AND (srcIpAddr IN (Group@PH_SYS_NETWORK_ENTERPRISE_INTERNAL_NET) OR (destIpAddr IN (Group@PH_SYS_NETWORK_ENTERPRISE_INTERNAL_NET) AND fwAction NOT IN ("deny","dropped","block","blocked","ban-ip","Alert_Deny")))</t>
  </si>
  <si>
    <t xml:space="preserve">eventType IN ("FortiGate-ips-signature-60095","FortiProxy-ips-signature-60095") AND (srcIpAddr IN (Group@PH_SYS_NETWORK_ENTERPRISE_INTERNAL_NET) OR (destIpAddr IN (Group@PH_SYS_NETWORK_ENTERPRISE_INTERNAL_NET) AND fwAction NOT IN ("deny","dropped","block","blocked","ban-ip","Alert_Deny")))</t>
  </si>
  <si>
    <t xml:space="preserve">eventType IN ("FortiGate-ips-signature-53324","FortiProxy-ips-signature-53324") AND (srcIpAddr IN (Group@PH_SYS_NETWORK_ENTERPRISE_INTERNAL_NET) OR (destIpAddr IN (Group@PH_SYS_NETWORK_ENTERPRISE_INTERNAL_NET) AND fwAction NOT IN ("deny","dropped","block","blocked","ban-ip","alert_deny")))</t>
  </si>
  <si>
    <t xml:space="preserve">eventType IN (Group@PH_SYS_EVENT_FortiGate_AV_Detected,"FortiGate-ips-signature-50017","FortiGate-ips-signature-50440","FortiProxy-ips-signature-50017","FortiProxy-ips-signature-50440") AND ipsSignatureId IN (50017,50440,10123322,10123319,162242795) AND (srcIpAddr IN (Group@PH_SYS_NETWORK_ENTERPRISE_INTERNAL_NET) OR (destIpAddr IN (Group@PH_SYS_NETWORK_ENTERPRISE_INTERNAL_NET) AND fwAction NOT IN ("deny","dropped","block","blocked","ban-ip","alert_deny")))</t>
  </si>
  <si>
    <t xml:space="preserve">eventType IN ("FortiGate-ips-signature-51355","FortiProxy-ips-signature-51355") AND (srcIpAddr IN (Group@PH_SYS_NETWORK_ENTERPRISE_INTERNAL_NET) OR (destIpAddr IN (Group@PH_SYS_NETWORK_ENTERPRISE_INTERNAL_NET) AND fwAction NOT IN ("deny","dropped","block","blocked","ban-ip","alert_deny")))</t>
  </si>
  <si>
    <t xml:space="preserve">eventType IN ("FortiGate-ips-signature-51468","FortiProxy-ips-signature-51468",Group@PH_SYS_EVENT_FortiGate_AV_Detected) AND ipsSignatureId IN (51468,10108336,10108300,10108335,10109643,10057675,10062066,7657554,10101766,8213066) AND (srcIpAddr IN (Group@PH_SYS_NETWORK_ENTERPRISE_INTERNAL_NET) OR (destIpAddr IN (Group@PH_SYS_NETWORK_ENTERPRISE_INTERNAL_NET) AND fwAction NOT IN ("deny","dropped","block","blocked","ban-ip","alert_deny")))</t>
  </si>
  <si>
    <t xml:space="preserve">eventType = "FortiClient-vulnerabilityscan-vulnerability-record" AND vulnId = 70134</t>
  </si>
  <si>
    <t xml:space="preserve">eventType IN ("FortiGate-ips-signature-51068","FortiProxy-ips-signature-51068")</t>
  </si>
  <si>
    <t xml:space="preserve">eventType IN (Group@PH_SYS_EVENT_FortiClient_AV_Detected) AND virusName = "PHP/Payoow.CO!tr"</t>
  </si>
  <si>
    <t xml:space="preserve">eventType IN ("FortiGate-ips-signature-53409","FortiProxy-ips-signature-53409",Group@PH_SYS_EVENT_FortiGate_AV_Detected) AND ipsSignatureId IN (53409,10150208) AND (srcIpAddr IN (Group@PH_SYS_NETWORK_ENTERPRISE_INTERNAL_NET) OR (destIpAddr IN (Group@PH_SYS_NETWORK_ENTERPRISE_INTERNAL_NET) AND fwAction NOT IN ("deny","dropped","block","blocked","ban-ip","Alert_Deny")))</t>
  </si>
  <si>
    <t xml:space="preserve">eventType IN ("FortiGate-ips-signature-52145","FortiProxy-ips-signature-52145") AND (srcIpAddr IN (Group@PH_SYS_NETWORK_ENTERPRISE_INTERNAL_NET) OR (destIpAddr IN (Group@PH_SYS_NETWORK_ENTERPRISE_INTERNAL_NET) AND fwAction NOT IN ("deny","dropped","block","blocked","ban-ip","alert_deny")))</t>
  </si>
  <si>
    <t xml:space="preserve">eventType IN ("FortiGate-ips-signature-61474","FortiProxy-ips-signature-61474") AND (srcIpAddr IN (Group@PH_SYS_NETWORK_ENTERPRISE_INTERNAL_NET) OR (destIpAddr IN (Group@PH_SYS_NETWORK_ENTERPRISE_INTERNAL_NET) AND fwAction NOT IN ("deny","dropped","block","blocked","ban-ip","Alert_Deny")))</t>
  </si>
  <si>
    <t xml:space="preserve">eventType IN (Group@PH_SYS_EVENT_FortiClient_AV_Detected) AND ipsSignatureId IN (10116867,10113511,10116868,10116869)</t>
  </si>
  <si>
    <t xml:space="preserve">FortiGate-ips-signature-45494
FortiGate-ips-signature-47699
FortiGate-ips-signature-50704
FortiGate-ips-signature-51928
FortiGate-ips-signature-51924
FortiProxy-ips-signature-45494
FortiProxy-ips-signature-47699
FortiProxy-ips-signature-50704
FortiProxy-ips-signature-51928
FortiProxy-ips-signature-51924
Group@PH_SYS_EVENT_FortiGate_AV_Detected</t>
  </si>
  <si>
    <t xml:space="preserve">eventType IN (Group@PH_SYS_EVENT_FortiGate_AV_Detected,"FortiGate-ips-signature-45494","FortiGate-ips-signature-47699","FortiGate-ips-signature-50704","FortiGate-ips-signature-51928","FortiGate-ips-signature-51924","FortiProxy-ips-signature-45494","FortiProxy-ips-signature-47699","FortiProxy-ips-signature-50704","FortiProxy-ips-signature-51928","FortiProxy-ips-signature-51924") AND ipsSignatureId IN (45494,47699,50704,51928,51924,10113511) AND (srcIpAddr IN (Group@PH_SYS_NETWORK_ENTERPRISE_INTERNAL_NET) OR (destIpAddr IN (Group@PH_SYS_NETWORK_ENTERPRISE_INTERNAL_NET) AND fwAction NOT IN ("deny","dropped","block","blocked","ban-ip","alert_deny")))</t>
  </si>
  <si>
    <t xml:space="preserve">eventType IN ("FortiGate-ips-signature-60097","FortiProxy-ips-signature-60097") AND (srcIpAddr IN (Group@PH_SYS_NETWORK_ENTERPRISE_INTERNAL_NET) OR (destIpAddr IN (Group@PH_SYS_NETWORK_ENTERPRISE_INTERNAL_NET) AND fwAction NOT IN ("deny","dropped","block","blocked","ban-ip","Alert_Deny")))</t>
  </si>
  <si>
    <t xml:space="preserve">eventType IN (Group@PH_SYS_EVENT_FortiClient_AV_Detected) AND (ipsSignatureId IN (10101477,10101326,10101454) OR virusName = "Python/Zimbra\\.E6FB!tr")</t>
  </si>
  <si>
    <t xml:space="preserve">eventType IN ("FortiGate-ips-signature-51994","FortiProxy-ips-signature-51994",Group@PH_SYS_EVENT_FortiGate_AV_Detected) AND ipsSignatureId IN (51994,10101477,10101326,10101454) AND (srcIpAddr IN (Group@PH_SYS_NETWORK_ENTERPRISE_INTERNAL_NET) OR (destIpAddr IN (Group@PH_SYS_NETWORK_ENTERPRISE_INTERNAL_NET) AND fwAction NOT IN ("deny","dropped","block","blocked","ban-ip","alert_deny")))</t>
  </si>
  <si>
    <t xml:space="preserve">eventType IN ("FortiGate-ips-signature-52571","FortiProxy-ips-signature-52571") AND (srcIpAddr IN (Group@PH_SYS_NETWORK_ENTERPRISE_INTERNAL_NET) OR (destIpAddr IN (Group@PH_SYS_NETWORK_ENTERPRISE_INTERNAL_NET) AND fwAction NOT IN ("deny","dropped","block","blocked","ban-ip","alert_deny")))</t>
  </si>
  <si>
    <t xml:space="preserve">eventType IN (Group@PH_SYS_EVENT_FortiClient_AV_Detected) AND virusName IN ("BAT/Agent.1763!tr.dldr","Linux/Mirai.REAL!tr","Linux/Mirai.IZ1H9!tr","Linux/Agent.IZ1H9!tr.dldr","ELF/Zerobot.A!tr","ELF/Mirai.AE!tr")</t>
  </si>
  <si>
    <t xml:space="preserve">eventType IN ("FortiGate-ips-signature-53203","FortiProxy-ips-signature-53203",Group@PH_SYS_EVENT_FortiGate_AV_Detected) AND ipsSignatureId IN (53203,10130044,10139968,10139972,10113511,7509801) AND (srcIpAddr IN (Group@PH_SYS_NETWORK_ENTERPRISE_INTERNAL_NET) OR (destIpAddr IN (Group@PH_SYS_NETWORK_ENTERPRISE_INTERNAL_NET) AND fwAction NOT IN ("deny","dropped","block","blocked","ban-ip","alert_deny")))</t>
  </si>
  <si>
    <t xml:space="preserve">eventType IN ("FortiGate-ips-signature-43619","FortiProxy-ips-signature-43619") AND (srcIpAddr IN (Group@PH_SYS_NETWORK_ENTERPRISE_INTERNAL_NET) OR (destIpAddr IN (Group@PH_SYS_NETWORK_ENTERPRISE_INTERNAL_NET) AND fwAction NOT IN ("deny","dropped","block","blocked","ban-ip","Alert_Deny")))</t>
  </si>
  <si>
    <t xml:space="preserve">srcIpAddr IN (Group@PH_SYS_DRAGOSWORLDVIEW_BLOCKED_IP) AND eventType IN (Group@PH_SYS_EVENT_PermitNetTraffic, Group@PH_SYS_EVENT_NetflowTraffic, Group@PH_SYS_EVENT_BiNetflowTraffic)</t>
  </si>
  <si>
    <t xml:space="preserve">eventType = "Win-PowerShell-400" AND engineVersion REGEXP "^2.\d+" AND version NOT REGEXP "^2/\d+"</t>
  </si>
  <si>
    <t xml:space="preserve">reptDevIpAddr IN (Group@PH_SYS_DEVICE_NETWORK_IPS) AND eventType IN (Group@PH_SYS_EVENT_ReplayExploit)</t>
  </si>
  <si>
    <t xml:space="preserve">eventType="SentinelOne-Singularity-Activity-4108"</t>
  </si>
  <si>
    <t xml:space="preserve">eventType="SentinelOne-Singularity-Activity-4109"</t>
  </si>
  <si>
    <t xml:space="preserve">eventType="SentinelOne-Singularity-Activity-2030" AND ipsConfidence="malicious" AND status="true_positive"</t>
  </si>
  <si>
    <t xml:space="preserve">eventType="SentinelOne-Singularity-Activity-19"</t>
  </si>
  <si>
    <t xml:space="preserve">eventType="SentinelOne-Singularity-Activity-4003"</t>
  </si>
  <si>
    <t xml:space="preserve">eventType IN ("SentinelOne-Singularity-Activity-4104","SentinelOne-Singularity-Activity-4106")</t>
  </si>
  <si>
    <t xml:space="preserve">eventType IN ("SentinelOne-Singularity-Activity-4105","SentinelOne-Singularity-Activity-4107")</t>
  </si>
  <si>
    <t xml:space="preserve">Group@PH_SYS_EVENT_VPNLogonSuccess
Group@PH_SYS_EVENT_VPNLogoff</t>
  </si>
  <si>
    <t xml:space="preserve">eventType IN (Group@PH_SYS_EVENT_VPNLogonSuccess, Group@PH_SYS_EVENT_VPNLogoff) AND srcGeoCountry NOT IN (Group@PH_COUNTRY_GROUP_MYHOME) AND eventType NOT IN ("ASA-713049-SiteToSite-VPN-Logon-success","FortiGate-ipsec-phase2-up")</t>
  </si>
  <si>
    <t xml:space="preserve">eventType IN (Group@PH_SYS_EVENT_SuspiciousLogon)</t>
  </si>
  <si>
    <t xml:space="preserve">Group@PH_SYS_EVENT_LogonFailure</t>
  </si>
  <si>
    <t xml:space="preserve">user NOT CONTAIN "$" AND user NOT CONTAIN "ANONYMOUS"</t>
  </si>
  <si>
    <t xml:space="preserve">eventType IN (Group@PH_SYS_EVENT_LogonFailure) AND user NOT CONTAIN "$" AND user NOT CONTAIN "ANONYMOUS"</t>
  </si>
  <si>
    <t xml:space="preserve">Group@PH_SYS_EVENT_Logon</t>
  </si>
  <si>
    <t xml:space="preserve">eventType IN (Group@PH_SYS_EVENT_Logon) AND user NOT CONTAIN "$" AND user NOT CONTAIN "ANONYMOUS"</t>
  </si>
  <si>
    <t xml:space="preserve">Group@PH_SYS_EVENT_PermitNetTraffic
Group@PH_SYS_EVENT_NetflowTraffic
Group@PH_SYS_EVENT_BiNetflowTraffic
Group@PH_SYS_EVENT_DenyNetTraffic</t>
  </si>
  <si>
    <t xml:space="preserve">destIpAddr IN (Group@PH_SYS_DRAGOSWORLDVIEW_BLOCKED_IP) AND eventType IN (Group@PH_SYS_EVENT_PermitNetTraffic, Group@PH_SYS_EVENT_NetflowTraffic, Group@PH_SYS_EVENT_BiNetflowTraffic,Group@PH_SYS_EVENT_DenyNetTraffic)</t>
  </si>
  <si>
    <t xml:space="preserve">srcIpAddr NOT IN (Group@PH_SYS_NETWORK_ENTERPRISE_INTERNAL_NET) AND destIpAddr IN (Group@PH_SYS_NETWORK_ENTERPRISE_INTERNAL_NET) AND srcIpPort &gt;= 1024 AND ((destIpPort &gt;= 5800 AND destIpPort &lt;= 5820) OR (destIpPort &gt;= 5900 AND destIpPort &lt;= 5920) OR (destIpPort &gt;= 6000 AND destIpPort &lt;= 6020)) AND eventType IN (Group@PH_SYS_EVENT_PermitNetTraffic, Group@PH_SYS_EVENT_NetflowTraffic, Group@PH_SYS_EVENT_BiNetflowTraffic)</t>
  </si>
  <si>
    <t xml:space="preserve">eventType="Win-Sysmon-7-Image-Loaded" AND procName REGEXP "\\BaaUpdate\.exe$" AND loadedProcName REGEXP "\.dll$" AND loadedProcName REGEXP ":\\Perflogs\\|:\\Users\\Default\\|:\\Users\\Public\\|:\\Windows\\Temp\\|\\AppData\\Local\\Temp\\|\\AppData\\Roaming\\|\\Contacts\\|\\Favorites\\|\\Favourites\\|\\Links\\|\\Music\\|\\Pictures\\|\\ProgramData\\|\\Temporary Internet|\\Videos\\"</t>
  </si>
  <si>
    <t xml:space="preserve">eventType="Win-Sysmon-1-Create-Process" AND command REGEXP "Export-Certificate |Export-PfxCertificate "</t>
  </si>
  <si>
    <t xml:space="preserve">eventType = "Win-PowerShell-4104" AND script REGEXP "Export-Certificate|Export-PfxCertificate" AND script NOT REGEXP "CmdletsToExport = @\("</t>
  </si>
  <si>
    <t xml:space="preserve">eventType="Win-Sysmon-22-DNS-Query" AND procName REGEXP "\\QuickAssist\.exe$" AND queryId REGEXP "remoteassistance\.support\.services\.microsoft\.com$"</t>
  </si>
  <si>
    <t xml:space="preserve">eventType="Win-Sysmon-11-FileCreate" AND fileName REGEXP "ntds_capi_|ntds_legacy_|ntds_unknown_" AND fileName REGEXP "\.cer$|\.key$|\.pfx$|\.pvk$"</t>
  </si>
  <si>
    <t xml:space="preserve">eventType = "Win-PowerShell-4104" AND script REGEXP "Enable-PSRemoting "</t>
  </si>
  <si>
    <t xml:space="preserve">eventType = "Win-PowerShell-4104" AND script REGEXP "invoke-command " AND script REGEXP " -ComputerName "</t>
  </si>
  <si>
    <t xml:space="preserve">eventType = "Win-PowerShell-4104" AND script REGEXP "ls" AND script REGEXP " -R" AND script REGEXP "select-string " AND script REGEXP "-Pattern "</t>
  </si>
  <si>
    <t xml:space="preserve">eventType="Win-Sysmon-17-Pipe-Created" AND vpnTunnelName REGEXP "\\cachedump|\\lsadump|\\wceservicepipe"</t>
  </si>
  <si>
    <t xml:space="preserve">eventType="Win-Sysmon-1-Create-Process" AND (procName REGEXP "\\Doppelganger\.exe$" OR hashCode REGEXP "IMPHASH=65F0EA61156EE0C2A35421926F0C7F78|IMPHASH=AB94D5217896ADCD765A06B2D52F0AEB")</t>
  </si>
  <si>
    <t xml:space="preserve">eventType="Win-Sysmon-10-ProcessAccess" AND (procName REGEXP "\\Akagi64\.exe$|\\Akagi\.exe$|\\Certify\.exe$|\\Certipy\.exe$|\\CoercedPotato\.exe$|\\CreateMiniDump\.exe$|\\GetADUsers_windows\.exe$|\\GetNPUsers_windows\.exe$|\\GetUserSPNs_windows\.exe$|\\Inveigh\.exe$|\\LocalPotato\.exe$|\\PasswordDump\.exe$|\\Potato\.exe$|\\PowerTool64\.exe$|\\PowerTool\.exe$|\\PurpleSharp\.exe$|\\QuarksPwDump\.exe$|\\Rubeus\.exe$|\\SafetyKatz\.exe$|\\SelectMyParent\.exe$|\\SharPersist\.exe$|\\SharpChisel\.exe$|\\SharpEvtMute\.exe$|\\SharpImpersonation\.exe$|\\SharpLDAPmonitor\.exe$|\\SharpLdapWhoami\.exe$|\\SharpUp\.exe$|\\SharpView\.exe$|\\SpoolSample\.exe$|\\Stracciatella\.exe$|\\SysmonEOP\.exe$|\\TruffleSnout\.exe$|\\atexec_windows\.exe$|\\crackmapexec\.exe$|\\dcomexec_windows\.exe$|\\dpapi_windows\.exe$|\\findDelegation_windows\.exe$|\\getPac_windows\.exe$|\\getST_windows\.exe$|\\getTGT_windows\.exe$|\\gmer\.exe$|\\hashcat\.exe$|\\htran\.exe$|\\ifmap_windows\.exe$|\\impersonate\.exe$|\\mimikatz\.exe$|\\mimikatz_windows\.exe$|\\netview_windows\.exe$|\\nmapAnswerMachine_windows\.exe$|\\opdump_windows\.exe$|\\psexec_windows\.exe$|\\pypykatz\.exe$|\\rdp_check_windows\.exe$|\\sambaPipe_windows\.exe$|\\smbclient_windows\.exe$|\\smbserver_windows\.exe$|\\sniff_windows\.exe$|\\sniffer_windows\.exe$|\\split_windows\.exe$|\\temp\\rot\.exe$|\\ticketer_windows\.exe$|\\winPEASany\.exe$|\\winPEASany_ofs\.exe$|\\winPEASx64\.exe$|\\winPEASx64_ofs\.exe$|\\winPEASx86\.exe$|\\winPEASx86_ofs\.exe$|\\xordump\.exe$" OR procName REGEXP "HotPotato|Juicy Potato|JuicyPotato|PetitPotam|RottenPotato|\\LocalPotato|\\goldenPac|\\just_dce_|\\karmaSMB|\\kintercept|\\ntlmrelayx|\\rpcdump|\\samrdump|\\secretsdump|\\smbexec|\\smbrelayx|\\wmiexec|\\wmipersist")</t>
  </si>
  <si>
    <t xml:space="preserve">eventType="Win-Sysmon-11-FileCreate" AND fileName REGEXP "\\sessionresume_[a-zA-Z]{8}$"</t>
  </si>
  <si>
    <t xml:space="preserve">eventType="Win-Sysmon-17-Pipe-Created" AND vpnTunnelName REGEXP "\\imposecost|\\imposingcost"</t>
  </si>
  <si>
    <t xml:space="preserve">eventType="Win-Sysmon-1-Create-Process" AND (procName REGEXP "\\SharpMove\.exe$" OR srcFileName="SharpMove.exe" OR (command REGEXP "computername=" AND command REGEXP "action=create|action=dcom|action=executevbs|action=hijackdcom|action=modschtask|action=modsvc|action=query|action=scm|action=startservice|action=taskscheduler"))</t>
  </si>
  <si>
    <t xml:space="preserve">eventType="Win-Sysmon-1-Create-Process" AND ((command REGEXP " -Inject " AND command REGEXP " -PayloadArgs | -PayloadFile ") OR (command REGEXP " approve | check | create | delete " AND command REGEXP " /payload:| /payload=| /updateid:| /updateid="))</t>
  </si>
  <si>
    <t xml:space="preserve">eventType="Win-Sysmon-1-Create-Process" AND (procName REGEXP "\\SysmonEOP\.exe$" OR hashIMP IN ("22F4089EB8ABA31E1BB162C6D9BF72E5","5123FA4C4384D431CD0D893EEB49BBEC"))</t>
  </si>
  <si>
    <t xml:space="preserve">eventType="Win-Sysmon-1-Create-Process" AND (procName REGEXP "\\wsass\.exe$" OR hashCode REGEXP "IMPHASH=32F5095C9BBDCACF28FD4060EB4DFC42" OR command REGEXP "(?i)\.exe[\"\']?\s+[^\"]{0,64}werfaultsecure\.exe[\"\']?\s+\d{2,10}")</t>
  </si>
  <si>
    <t xml:space="preserve">eventType = "Win-WindowsDefender-1121" AND procPath REGEXP "\\lsass\.exe$" AND (procName NOT REGEXP "^C:\\Windows\\Temp\\asgard2-agent\\" OR procName NOT REGEXP "\\thor64\.exe$|\\thor\.exe$") AND procName NOT IN ("C:\\Windows\\SysWOW64\\msiexec.exe","C:\\Windows\\System32\\CompatTelRunner.exe","C:\\Windows\\System32\\Taskmgr.exe","C:\\Windows\\System32\\atiesrxx.exe","C:\\Windows\\System32\\msiexec.exe","C:\\Windows\\System32\\nvwmi64.exe","C:\\Windows\\System32\\svchost.exe","C:\\Windows\\System32\\wbem\\WmiPrvSE.exe") AND procName NOT REGEXP "^C:\\Program Files \(x86\)\\|^C:\\Program Files\\|^C:\\WINDOWS\\Installer\\|^C:\\Windows\\System32\\DriverStore\\"</t>
  </si>
  <si>
    <t xml:space="preserve">eventType="Win-Sysmon-1-Create-Process" AND (command REGEXP "Andrew\.dmp|Coredump\.dmp|NotLSASS\.zip|lsass\.dmp|lsass\.rar|lsass\.zip|lsass_2|lsassdmp|lsassdump" OR (command REGEXP "lsass" AND command REGEXP "\.dmp") OR (command REGEXP "SQLDmpr" AND command REGEXP "\.mdmp") OR (command REGEXP "nanodump" AND command REGEXP "\.dmp"))</t>
  </si>
  <si>
    <t xml:space="preserve">eventType REGEXP "Win-Sysmon-13-Registry-Set.*" AND regKeyPath REGEXP "\\SOFTWARE\\Microsoft\\Windows\\Windows Error Reporting\\LocalDumps\\DumpType|\\SOFTWARE\\Microsoft\\Windows\\Windows Error Reporting\\LocalDumps\\lsass\.exe\\DumpType" AND details="DWORD (0x00000002)"</t>
  </si>
  <si>
    <t xml:space="preserve">eventType="Win-App-Application-Error-1000" AND appName="lsass.exe" AND errorCode="c0000001"</t>
  </si>
  <si>
    <t xml:space="preserve">eventType="Win-Sysmon-11-FileCreate" AND procName REGEXP ":\\Windows\\SysWOW64\\taskmgr\.exe$|:\\Windows\\system32\\taskmgr\.exe$" AND fileName REGEXP "\\AppData\\Local\\Temp\\" AND fileName REGEXP "\\lsass" AND fileName REGEXP "\.DMP"</t>
  </si>
  <si>
    <t xml:space="preserve">(rawEventMsg CONTAIN "dpapi::masterkey" OR rawEventMsg CONTAIN "eo.oe.kiwi" OR rawEventMsg CONTAIN "event::clear" OR rawEventMsg CONTAIN "event::drop" OR rawEventMsg CONTAIN "gentilkiwi.com" OR rawEventMsg CONTAIN "kerberos::golden" OR rawEventMsg CONTAIN "kerberos::ptc" OR rawEventMsg CONTAIN "kerberos::ptt" OR rawEventMsg CONTAIN "kerberos::tgt" OR rawEventMsg CONTAIN "Kiwi Legit Printer" OR rawEventMsg CONTAIN "lsadump::" OR rawEventMsg CONTAIN "mimidrv.sys" OR rawEventMsg CONTAIN "\mimilib.dll" OR rawEventMsg CONTAIN "misc::printnightmare" OR rawEventMsg CONTAIN "misc::shadowcopies" OR rawEventMsg CONTAIN "misc::skeleton" OR rawEventMsg CONTAIN "privilege::backup" OR rawEventMsg CONTAIN "privilege::debug" OR rawEventMsg CONTAIN "privilege::driver" OR rawEventMsg CONTAIN "sekurlsa::") AND eventType NOT CONTAIN "Win-Sysmon-15-"</t>
  </si>
  <si>
    <t xml:space="preserve">eventType="Win-Sysmon-1-Create-Process" AND parentProcName REGEXP "\\mmc\.exe$" AND (procName REGEXP "\\bash\.exe$|\\cmd\.exe$|\\cscript\.exe$|\\powershell\.exe$|\\pwsh\.exe$|\\reg\.exe$|\\regsvr32\.exe$|\\sh\.exe$|\\wscript\.exe$" OR procName REGEXP ".*\\BITSADMIN.*")</t>
  </si>
  <si>
    <t xml:space="preserve">eventType="Win-Sysmon-1-Create-Process" AND parentProcName REGEXP "\\svchost\.exe$" AND procName REGEXP "\\mmc\.exe$" AND command REGEXP ".*-Embedding.*"</t>
  </si>
  <si>
    <t xml:space="preserve">eventType="Win-Sysmon-1-Create-Process" AND (procName REGEXP "\\mstsc\.exe$" OR srcFileName="mstsc.exe") AND (command REGEXP " -v:" OR command REGEXP " /v:") AND (parentProcName!="C:\\Windows\\System32\\lxss\\wslhost.exe" OR command NOT REGEXP "C:\\ProgramData\\Microsoft\\WSL\\wslg\.rdp")</t>
  </si>
  <si>
    <t xml:space="preserve">eventType = "Win-OpenSSH-4" AND procName="sshd" AND msg CONTAIN "Server listening on"</t>
  </si>
  <si>
    <t xml:space="preserve">eventType REGEXP "Win-Sysmon-3-Network-Connect.*" AND destIpPort=3389 AND initiated="true" AND procName NOT IN ("C:\\Windows\\SysWOW64\\mstsc.exe","C:\\Windows\\System32\\mstsc.exe") AND (procName!="C:\\Windows\\System32\\dns.exe" OR srcIpPort!=53 OR srcProto!="udp") AND procName NOT REGEXP "\\Avast Software\\Avast\\AvastSvc\.exe$|\\Avast\\AvastSvc\.exe$" AND procName NOT REGEXP "\\RDCMan\.exe$" AND procName!="C:\\Program Files\\Google\\Chrome\\Application\\chrome.exe" AND procName NOT REGEXP "\\FSAssessment\.exe$|\\FSDiscovery\.exe$|\\MobaRTE\.exe$|\\Passwordstate\.exe$|\\RSSensor\.exe$|\\RTS2App\.exe$|\\RTSApp\.exe$|\\RemoteDesktopManager64\.exe$|\\RemoteDesktopManagerFree\.exe$|\\RemoteDesktopManager\.exe$|\\Terminals\.exe$|\\mRemoteNG\.exe$|\\mRemote\.exe$|\\spiceworks-finder\.exe$|\\ws_TunnelService\.exe$" AND procName NOT REGEXP "\\thor64\.exe$|\\thor\.exe$" AND procName NOT REGEXP "^C:\\Program Files\\SplunkUniversalForwarder\\bin\\" AND procName NOT REGEXP "\\Ranger\\SentinelRanger\.exe$" AND procName!="C:\\Program Files\\Mozilla Firefox\\firefox.exe" AND procName NOT IN ("C:\\Program Files (x86)\\TSplus\\Java\\bin\\HTML5service.exe","C:\\Program Files\\TSplus\\Java\\bin\\HTML5service.exe") AND procName IS NOT NULL AND procName!="" AND procName!="&lt;unknown process&gt;"</t>
  </si>
  <si>
    <t xml:space="preserve">eventType="Win-Sysmon-8-CreateRemoteThread" AND targetProcName REGEXP "\\lsass\.exe$" AND module IS NULL</t>
  </si>
  <si>
    <t xml:space="preserve">eventType="Win-Sysmon-11-FileCreate" AND procName="System" AND fileName REGEXP "\\Internet Explorer\\iertutil\.dll$"</t>
  </si>
  <si>
    <t xml:space="preserve">eventType="Win-Sysmon-7-Image-Loaded" AND procName REGEXP "\\Internet Explorer\\iexplore\.exe$" AND loadedProcName REGEXP "\\Internet Explorer\\iertutil\.dll$"</t>
  </si>
  <si>
    <t xml:space="preserve">eventType="Win-Sysmon-1-Create-Process" AND parentProcName REGEXP "\\excel\.exe$" AND (srcFileName IN ("foxprow.exe","schdplus.exe","winproj.exe") OR procName REGEXP "\\foxprow\.exe$|\\schdplus\.exe$|\\winproj\.exe$")</t>
  </si>
  <si>
    <t xml:space="preserve">eventType="Win-Sysmon-1-Create-Process" AND parentProcName REGEXP "\\winrshost\.exe$" AND procName!="C:\\Windows\\System32\\conhost.exe"</t>
  </si>
  <si>
    <t xml:space="preserve">eventType="Win-Sysmon-1-Create-Process" AND command REGEXP ".*noconsentprompt.*" AND command REGEXP ".*shadow:.*"</t>
  </si>
  <si>
    <t xml:space="preserve">eventType = "Win-PowerShell-4104" AND script REGEXP "Start-NetEventSession"</t>
  </si>
  <si>
    <t xml:space="preserve">eventType="Win-Sysmon-1-Create-Process" AND command REGEXP "ConsoleHost_history\.txt|\(Get-PSReadLineOption\)\.HistorySavePath"</t>
  </si>
  <si>
    <t xml:space="preserve">eventType="Win-Sysmon-1-Create-Process" AND procName REGEXP "^:\\Program Files" AND procName REGEXP "\\Microsoft Visual Studio\\" AND procName REGEXP "\\dump64\.exe$" AND (srcFileName="procdump" OR command REGEXP " -ma | -mp ")</t>
  </si>
  <si>
    <t xml:space="preserve">eventType="Win-Sysmon-11-FileCreate" AND procName REGEXP "\\COMODO\\Endpoint Manager\\ITSMService\.exe$" AND fileName REGEXP "\.7z$|\.bat$|\.cmd$|\.com$|\.dll$|\.exe$|\.hta$|\.js$|\.pif$|\.ps1$|\.rar$|\.scr$|\.vbe$|\.vbs$|\.zip$"</t>
  </si>
  <si>
    <t xml:space="preserve">eventType="Win-Sysmon-10-ProcessAccess" AND targetProcName REGEXP "\\lsass\.exe$" AND (accessKeyId REGEXP "0x14C2$|18$|1A$|30$|38$|3A$|50$|58$|5A$|70$|78$|7A$|90$|98$|9A$|B0$|B8$|BA$|D0$|D8$|DA$|F0$|F8$|FA$" OR accessKeyId REGEXP "^0x100000|^0x1418|^0x1438|^0x143a|^0x1f0fff|^0x1f1fff|^0x1f2fff|^0x1f3fff|^0x40") AND procName NOT REGEXP ":\\Program Files \(x86\)\\|:\\Program Files\\|:\\Windows\\SysWOW64\\|:\\Windows\\System32\\" AND (procName NOT REGEXP ":\\ProgramData\\Microsoft\\Windows Defender\\" OR procName NOT REGEXP "\\MsMpEng\.exe$") AND (procPath NOT REGEXP "\|\?:\\ProgramData\\Microsoft\\Windows Defender\\Definition Updates\\\{" OR procPath NOT REGEXP "\}\\mpengine\.dll\+" OR accessKeyId!="0x1418") AND procPath NOT REGEXP "\|c:\\program files\\windows defender\\MpClient\.dll|\|c:\\program files\\windows defender\\mprtp\.dll" AND (procName NOT REGEXP "\\explorer\.exe$" OR accessKeyId!="0x401") AND procName NOT REGEXP ":\\ProgramData\\MALWAREBYTES\\MBAMSERVICE\\ctlrupdate\\mbupdatr\.exe$" AND procName NOT REGEXP "\\AppData\\Local\\Programs\\Microsoft VS Code\\Code\.exe$" AND (procName NOT REGEXP ":\\ProgramData\\VMware\\VMware Tools\\" OR procName NOT REGEXP "\\vmtoolsd\.exe$") AND (procName NOT REGEXP "\\PROCEXP64\.EXE$|\\PROCEXP\.EXE$" OR accessKeyId!="0x40") AND (procName NOT REGEXP "\\MBAMInstallerService\.exe$" OR accessKeyId!="0x40") AND (procName NOT REGEXP "\\aurora-agent-64\.exe$|\\aurora-agent\.exe$|\\thor64\.exe$|\\thor\.exe$" OR accessKeyId!="0x40") AND (procName NOT REGEXP "\\handle64\.exe$|\\handle\.exe$" OR accessKeyId!="0x40") AND (procName NOT REGEXP "\\AppData\\Local\\WebEx\\WebexHost\.exe$" OR accessKeyId!="0x401") AND procName NOT REGEXP "\\SteamLibrary\\steamapps\\"</t>
  </si>
  <si>
    <t xml:space="preserve">eventType = "Win-PowerShell-4104" AND script REGEXP "Get-Process lsass"</t>
  </si>
  <si>
    <t xml:space="preserve">eventType="Win-Sysmon-1-Create-Process" AND (procName REGEXP "\\WerFaultSecure\.exe$" OR srcFileName="WerFaultSecure.exe") AND command REGEXP " /h " AND command REGEXP " /pid " AND command REGEXP " /tid " AND command REGEXP " /encfile " AND command REGEXP " /cancel " AND command REGEXP " /type " AND command REGEXP " 268310"</t>
  </si>
  <si>
    <t xml:space="preserve">eventType="Win-Sysmon-11-FileCreate" AND fileName REGEXP "^C:\\Windows\\PSEXEC-" AND fileName REGEXP "\.key$"</t>
  </si>
  <si>
    <t xml:space="preserve">eventType="Win-Sysmon-1-Create-Process" AND (procName REGEXP "\\MemProcFS\.exe$" OR srcFileName="MemProcFS.exe" OR description="MemProcFS") AND command REGEXP "-device"</t>
  </si>
  <si>
    <t xml:space="preserve">eventType="Win-Sysmon-1-Create-Process" AND (procName REGEXP "\\trufflehog\.exe$" OR (command REGEXP " Confluence | Git | GitHub | Jira | SharePoint | Slack | docker --image | gcs | s3 " AND command REGEXP " --results=verified"))</t>
  </si>
  <si>
    <t xml:space="preserve">eventType="Win-Sysmon-1-Create-Process" AND (procName REGEXP "\\reg\.exe$" OR srcFileName="reg.exe") AND command REGEXP "export|save" AND command REGEXP "\\Software\\Aerofox\\FoxmailPreview|\\Software\\Aerofox\\Foxmail\\V3\.1|\\Software\\DownloadManager\\Passwords|\\Software\\FTPWare\\COREFTP\\Sites|\\Software\\IncrediMail\\Identities|\\Software\\Martin Prikryl\\WinSCP 2\\Sessions|\\Software\\Mobatek\\MobaXterm|\\Software\\ORL\\WinVNC3\\Password|\\Software\\OpenSSH\\Agent\\Keys|\\Software\\OpenVPN-GUI\\configs|\\Software\\Qualcomm\\Eudora\\CommandLine|\\Software\\RealVNC\\WinVNC4|\\Software\\RimArts\\B2\\Settings|\\Software\\SimonTatham\\PuTTY\\Sessions|\\Software\\SimonTatham\\PuTTY\\SshHostKeys|\\Software\\Sota\\FFFTP|\\Software\\TightVNC\\Server|\\Software\\WOW6432Node\\Radmin\\v3\.0\\Server\\Parameters\\Radmin"</t>
  </si>
  <si>
    <t xml:space="preserve">eventType="Win-Sysmon-8-CreateRemoteThread" AND targetProcName REGEXP "\\KeePass\.exe$"</t>
  </si>
  <si>
    <t xml:space="preserve">eventType="Win-Sysmon-1-Create-Process" AND command IN ("rundll32","rundll32.exe")</t>
  </si>
  <si>
    <t xml:space="preserve">eventType="Win-System-Service-Control-Manager-7045" AND (serviceName="BTOBTO" OR serviceFileName REGEXP "\.bat &amp; del |__output 2\^&gt;\^&amp;1 &gt;")</t>
  </si>
  <si>
    <t xml:space="preserve">eventType="Win-Sysmon-1-Create-Process" AND parentProcName REGEXP "\\baaupdate\.exe$" AND procName REGEXP "\\bitsadmin\.exe$|\\cmd\.exe$|\\cscript\.exe$|\\mshta\.exe$|\\powershell\.exe$|\\powershell_ise\.exe$|\\regsvr32\.exe$|\\rundll32\.exe$|\\schtasks\.exe$|\\wmic\.exe$|\\wscript\.exe$"</t>
  </si>
  <si>
    <t xml:space="preserve">eventType = "Win-PowerShell-4104" AND script REGEXP "System\.DirectoryServices\.Protocols\.LdapConnection|System\.DirectoryServices\.Protocols\.LdapDirectoryIdentifier|System\.Net\.NetworkCredential"</t>
  </si>
  <si>
    <t xml:space="preserve">eventType="Win-Sysmon-1-Create-Process" AND (procName REGEXP "\\DumpMinitool\.arm64\.exe$|\\DumpMinitool\.exe$|\\DumpMinitool\.x86\.exe$" OR srcFileName IN ("DumpMinitool.arm64.exe","DumpMinitool.exe","DumpMinitool.x86.exe")) AND (procName NOT REGEXP "\\Extensions\\|\\Microsoft Visual Studio\\" OR command REGEXP "\.txt" OR (command REGEXP " Full| Mini| WithHeap" AND command NOT REGEXP "--dumpType"))</t>
  </si>
  <si>
    <t xml:space="preserve">eventType = "Win-PowerShell-4104" AND script REGEXP "New-PSDrive" AND script REGEXP "-psprovider " AND script REGEXP "filesystem" AND script REGEXP "-root " AND script REGEXP "\\\\" AND script REGEXP "\$"</t>
  </si>
  <si>
    <t xml:space="preserve">eventType="Win-Sysmon-10-ProcessAccess" AND targetProcName REGEXP "\\lsass\.exe$" AND procPath REGEXP "dbgcore\.dll|dbghelp\.dll" AND procName REGEXP ":\\Perflogs\\|:\\Temp\\|:\\Users\\Public\\|\\AppData\\Roaming\\|\\Contacts\\|\\Desktop\\|\\Documents\\|\\Downloads\\|\\Favorites\\|\\Favourites\\|\\Music\\|\\Pictures\\|\\Start Menu\\Programs\\Startup\\|\\Users\\Default\\|\\Videos\\|\\Windows\\Temp\\|\\\$Recycle\.Bin\\|\\inetpub\\wwwroot\\"</t>
  </si>
  <si>
    <t xml:space="preserve">eventType="Win-Sysmon-1-Create-Process" AND command REGEXP " /dest:rdp-tcp#"</t>
  </si>
  <si>
    <t xml:space="preserve">eventType="Win-Sysmon-1-Create-Process" AND parentProcName REGEXP "\\SpeechRuntime\.exe$"</t>
  </si>
  <si>
    <t xml:space="preserve">eventType="Win-Sysmon-1-Create-Process" AND command REGEXP ".*-autoreconnect .*" AND command REGEXP ".*-connect .*" AND command REGEXP ".*-id:.*"</t>
  </si>
  <si>
    <t xml:space="preserve">eventType="Win-Sysmon-1-Create-Process" AND (parentCommand REGEXP ".*\\svchost\.exe.*" AND parentCommand REGEXP ".*termsvcs.*") AND ((procName NOT REGEXP ":\\Windows\\System32\\csrss\.exe$|:\\Windows\\System32\\wininit\.exe$|:\\Windows\\System32\\winlogon\.exe$|\\rdpclip\.exe$") AND (procName IS NOT NULL))</t>
  </si>
  <si>
    <t xml:space="preserve">eventType = "Win-SMBServer-Connectivity-" AND fileName REGEXP "ADMIN\$|C\$|IPC\$" AND (signingUsed="false" OR encyptionUsed="false") AND srcIpAddr NOT IN (Group@PH_SYS_NETWORK_ENTERPRISE_INTERNAL_NET)</t>
  </si>
  <si>
    <t xml:space="preserve">eventType="Win-Sysmon-1-Create-Process" AND (procName REGEXP "\\net1\.exe$|\\net\.exe$" OR srcFileName IN ("net.exe","net1.exe")) AND (command REGEXP ".* use .*" AND command REGEXP ".* \\\\.*\\.*\$.*")</t>
  </si>
  <si>
    <t xml:space="preserve">eventType="Win-Sysmon-1-Create-Process" AND (procName REGEXP "\\net1\.exe$|\\net\.exe$" OR srcFileName IN ("net.exe","net1.exe")) AND command REGEXP " use " AND command REGEXP " http"</t>
  </si>
  <si>
    <t xml:space="preserve">eventType="Win-Sysmon-1-Create-Process" AND (procName REGEXP "\\net1\.exe$|\\net\.exe$" OR srcFileName IN ("net.exe","net1.exe")) AND command REGEXP ".* \\\\.*|.* use .*"</t>
  </si>
  <si>
    <t xml:space="preserve">eventType="Win-Sysmon-1-Create-Process" AND procName REGEXP "\\ruby\.exe$" AND command REGEXP ".*-i .*" AND command REGEXP ".*-u .*" AND command REGEXP ".*-p .*"</t>
  </si>
  <si>
    <t xml:space="preserve">eventType="Win-Sysmon-1-Create-Process" AND (((procName REGEXP "\\winrs\.exe$" OR srcFileName="winrs.exe") AND (command REGEXP "-r:localhost" OR command REGEXP "/r:localhost" OR command REGEXP "-r:127\.0\.0\.1" OR command REGEXP "/r:127\.0\.0\.1" OR command REGEXP "-r:\[::1\]" OR command REGEXP "/r:\[::1\]" OR command REGEXP "-remote:localhost" OR command REGEXP "/remote:localhost" OR command REGEXP "-remote:127\.0\.0\.1" OR command REGEXP "/remote:127\.0\.0\.1" OR command REGEXP "-remote:\[::1\]" OR command REGEXP "/remote:\[::1\]")) OR ((procName REGEXP "\\winrs\.exe$" OR srcFileName="winrs.exe") AND command NOT REGEXP "-r:" AND command NOT REGEXP "/r:" AND command NOT REGEXP "-remote:" AND command NOT REGEXP "/remote:"))</t>
  </si>
  <si>
    <t xml:space="preserve">eventType IN ("Win-System-5723","Win-System-5805") AND (rawEventMsg CONTAIN "kali" OR rawEventMsg CONTAIN "mimikatz")</t>
  </si>
  <si>
    <t xml:space="preserve">Log channel</t>
  </si>
  <si>
    <t xml:space="preserve">Event key</t>
  </si>
  <si>
    <t xml:space="preserve">Sizing row</t>
  </si>
  <si>
    <t xml:space="preserve">Raw eventType value</t>
  </si>
  <si>
    <t xml:space="preserve">Entra Event Hub</t>
  </si>
  <si>
    <t xml:space="preserve">AuditLogs</t>
  </si>
  <si>
    <t xml:space="preserve">SignInLogs (interactive)</t>
  </si>
  <si>
    <t xml:space="preserve">MS-Entra-AuditLogs-ApplicationMgmt-Add_service_principal_credentials-success</t>
  </si>
  <si>
    <t xml:space="preserve">Linux Collector</t>
  </si>
  <si>
    <t xml:space="preserve">LINUX_Auditd_PATH</t>
  </si>
  <si>
    <t xml:space="preserve">LINUX_Auditd_SYSCALL</t>
  </si>
  <si>
    <t xml:space="preserve">Security 4720</t>
  </si>
  <si>
    <t xml:space="preserve">Security 4728</t>
  </si>
  <si>
    <t xml:space="preserve">Win-Security-4728</t>
  </si>
  <si>
    <t xml:space="preserve">Security 4732</t>
  </si>
  <si>
    <t xml:space="preserve">Security 4756</t>
  </si>
  <si>
    <t xml:space="preserve">Win-Security-4756</t>
  </si>
  <si>
    <t xml:space="preserve">Security 4688</t>
  </si>
  <si>
    <t xml:space="preserve">Win-Security-4688</t>
  </si>
  <si>
    <t xml:space="preserve">Sysmon</t>
  </si>
  <si>
    <t xml:space="preserve">Sysmon 1</t>
  </si>
  <si>
    <t xml:space="preserve">PowerShell Operational</t>
  </si>
  <si>
    <t xml:space="preserve">PowerShell 4104</t>
  </si>
  <si>
    <t xml:space="preserve">Security 5136</t>
  </si>
  <si>
    <t xml:space="preserve">Security 4882</t>
  </si>
  <si>
    <t xml:space="preserve">IIS log</t>
  </si>
  <si>
    <t xml:space="preserve">IIS web request</t>
  </si>
  <si>
    <t xml:space="preserve">IIS-Web-Request-Success</t>
  </si>
  <si>
    <t xml:space="preserve">Security 4890</t>
  </si>
  <si>
    <t xml:space="preserve">Win-Security-4890</t>
  </si>
  <si>
    <t xml:space="preserve">Security 4891</t>
  </si>
  <si>
    <t xml:space="preserve">Win-Security-4891</t>
  </si>
  <si>
    <t xml:space="preserve">Security 4892</t>
  </si>
  <si>
    <t xml:space="preserve">Win-Security-4892</t>
  </si>
  <si>
    <t xml:space="preserve">Security 4893</t>
  </si>
  <si>
    <t xml:space="preserve">Win-Security-4893</t>
  </si>
  <si>
    <t xml:space="preserve">Security 4894</t>
  </si>
  <si>
    <t xml:space="preserve">Win-Security-4894</t>
  </si>
  <si>
    <t xml:space="preserve">Security 4706</t>
  </si>
  <si>
    <t xml:space="preserve">Security 4707</t>
  </si>
  <si>
    <t xml:space="preserve">Win-Security-4707</t>
  </si>
  <si>
    <t xml:space="preserve">Security 4716</t>
  </si>
  <si>
    <t xml:space="preserve">Win-Security-4716</t>
  </si>
  <si>
    <t xml:space="preserve">Security 4769</t>
  </si>
  <si>
    <t xml:space="preserve">Security 4724</t>
  </si>
  <si>
    <t xml:space="preserve">Sysmon 10</t>
  </si>
  <si>
    <t xml:space="preserve">Security 4729</t>
  </si>
  <si>
    <t xml:space="preserve">Win-Security-4729</t>
  </si>
  <si>
    <t xml:space="preserve">Security 4733</t>
  </si>
  <si>
    <t xml:space="preserve">Win-Security-4733</t>
  </si>
  <si>
    <t xml:space="preserve">Security 4757</t>
  </si>
  <si>
    <t xml:space="preserve">Win-Security-4757</t>
  </si>
  <si>
    <t xml:space="preserve">Security 4725</t>
  </si>
  <si>
    <t xml:space="preserve">Windows System log</t>
  </si>
  <si>
    <t xml:space="preserve">System 7045</t>
  </si>
  <si>
    <t xml:space="preserve">Event-type group (membership not published)</t>
  </si>
  <si>
    <t xml:space="preserve">Other</t>
  </si>
  <si>
    <t xml:space="preserve">AWS-CloudTrail-IAM-UpdateAssumeRolePolicy</t>
  </si>
  <si>
    <t xml:space="preserve">AWS-CloudTrail-IAM-DeactivateMFADevice</t>
  </si>
  <si>
    <t xml:space="preserve">AWS-CloudTrail-SIGNIN-PasswordRecoveryRequested</t>
  </si>
  <si>
    <t xml:space="preserve">AWS-CloudTrail-SIGNIN-ConsoleLogin</t>
  </si>
  <si>
    <t xml:space="preserve">AWS-CloudTrail-SECRETSMANAGER-GetSecretValue</t>
  </si>
  <si>
    <t xml:space="preserve">MS_EvtHub_add_member_to_role_in_pim_completed_timebound</t>
  </si>
  <si>
    <t xml:space="preserve">MS_EvtHub_add_eligible_member_to_role_in_pim_completed_permanent</t>
  </si>
  <si>
    <t xml:space="preserve">Group@PH_SYS_EVENT_MultipleVPNLogonFailure</t>
  </si>
  <si>
    <t xml:space="preserve">Group@PH_SYS_EVENT_MultipleDBLogonFailure</t>
  </si>
  <si>
    <t xml:space="preserve">Group@PH_SYS_EVENT_MultipleWebLogonFailure</t>
  </si>
  <si>
    <t xml:space="preserve">Group@PH_SYS_EVENT_MultipleAppLogonFailure</t>
  </si>
  <si>
    <t xml:space="preserve">Group@PH_SYS_EVENT_DBLogonSuccess</t>
  </si>
  <si>
    <t xml:space="preserve">Group@PH_SYS_EVENT_WebLogonSuccess</t>
  </si>
  <si>
    <t xml:space="preserve">Group@PH_SYS_EVENT_AppLogonSuccess</t>
  </si>
  <si>
    <t xml:space="preserve">Group@PH_SYS_EVENT_VMware_LogonFailure</t>
  </si>
  <si>
    <t xml:space="preserve">Group@PH_SYS_EVENT_MultipleDomainLogonFailure</t>
  </si>
  <si>
    <t xml:space="preserve">Group@PH_SYS_EVENT_VMware_LogonSuccess</t>
  </si>
  <si>
    <t xml:space="preserve">Group@PH_SYS_EVENT_DomainLogonSuccess</t>
  </si>
  <si>
    <t xml:space="preserve">Crowdstrike-Falcon-EppDetectionSummaryEvent-authentication-bypass</t>
  </si>
  <si>
    <t xml:space="preserve">Crowdstrike-Falcon-EppDetectionSummaryEvent-authentication-bypass-block</t>
  </si>
  <si>
    <t xml:space="preserve">Crowdstrike-Falcon-EppDetectionSummaryEvent-credential-theft</t>
  </si>
  <si>
    <t xml:space="preserve">Crowdstrike-Falcon-EppDetectionSummaryEvent-credential-theft-block</t>
  </si>
  <si>
    <t xml:space="preserve">Crowdstrike-Falcon-EppDetectionSummaryEvent-credential-theft-allow</t>
  </si>
  <si>
    <t xml:space="preserve">Crowdstrike-Falcon-EppDetectionSummaryEvent-privilege-escalation</t>
  </si>
  <si>
    <t xml:space="preserve">Crowdstrike-Falcon-EppDetectionSummaryEvent-privilege-escalation-allow</t>
  </si>
  <si>
    <t xml:space="preserve">Crowdstrike-Falcon-EppDetectionSummaryEvent-privilege-escalation-block</t>
  </si>
  <si>
    <t xml:space="preserve">CyberArk-Vault-403</t>
  </si>
  <si>
    <t xml:space="preserve">CyberArk-Vault-408</t>
  </si>
  <si>
    <t xml:space="preserve">CyberArk-Vault-409</t>
  </si>
  <si>
    <t xml:space="preserve">CyberArk-Vault-301</t>
  </si>
  <si>
    <t xml:space="preserve">CyberArk-Vault-379</t>
  </si>
  <si>
    <t xml:space="preserve">CyberArk-Vault-15</t>
  </si>
  <si>
    <t xml:space="preserve">CyberArk-Vault-18</t>
  </si>
  <si>
    <t xml:space="preserve">CyberArk-Vault-362</t>
  </si>
  <si>
    <t xml:space="preserve">CyberArk-Vault-413</t>
  </si>
  <si>
    <t xml:space="preserve">CyberArk-Vault-204</t>
  </si>
  <si>
    <t xml:space="preserve">CyberArk-Vault-205</t>
  </si>
  <si>
    <t xml:space="preserve">CyberArk-Vault-5</t>
  </si>
  <si>
    <t xml:space="preserve">CyberArk-Vault-10</t>
  </si>
  <si>
    <t xml:space="preserve">Generic_Unix_</t>
  </si>
  <si>
    <t xml:space="preserve">Group@PH_SYS_EVENT_HostPrivLogonFailure</t>
  </si>
  <si>
    <t xml:space="preserve">Office 365 Mgmt Activity API</t>
  </si>
  <si>
    <t xml:space="preserve">O365</t>
  </si>
  <si>
    <t xml:space="preserve">MS_OFFICE365_EntraID_UserLoginFailed</t>
  </si>
  <si>
    <t xml:space="preserve">Identity engine (identityDef.xml)</t>
  </si>
  <si>
    <t xml:space="preserve">PH_RULE_EXCESS_FAILED_LOGON_NET_DEV</t>
  </si>
  <si>
    <t xml:space="preserve">PH_RULE_EXCESS_FAILED_PRIV_LOGON_SERVER</t>
  </si>
  <si>
    <t xml:space="preserve">PH_RULE_REPEAT_EXCESS_FAILED_LOGON_WEB</t>
  </si>
  <si>
    <t xml:space="preserve">Group@PH_SYS_EVENT_HostPrivLogonSuccess</t>
  </si>
  <si>
    <t xml:space="preserve">Group@PH_SYS_EVENT_WirelessLogonSuccess</t>
  </si>
  <si>
    <t xml:space="preserve">Other Windows log</t>
  </si>
  <si>
    <t xml:space="preserve">Win-Security-632</t>
  </si>
  <si>
    <t xml:space="preserve">Security 4662</t>
  </si>
  <si>
    <t xml:space="preserve">Security 4738</t>
  </si>
  <si>
    <t xml:space="preserve">Security 4741</t>
  </si>
  <si>
    <t xml:space="preserve">Win-Security-4741</t>
  </si>
  <si>
    <t xml:space="preserve">Security 4743</t>
  </si>
  <si>
    <t xml:space="preserve">Win-Security-4743</t>
  </si>
  <si>
    <t xml:space="preserve">Security 4765</t>
  </si>
  <si>
    <t xml:space="preserve">Win-Security-4765</t>
  </si>
  <si>
    <t xml:space="preserve">Security 4766</t>
  </si>
  <si>
    <t xml:space="preserve">Win-Security-4766</t>
  </si>
  <si>
    <t xml:space="preserve">Sysmon 11</t>
  </si>
  <si>
    <t xml:space="preserve">Security 4697</t>
  </si>
  <si>
    <t xml:space="preserve">Sysmon 7</t>
  </si>
  <si>
    <t xml:space="preserve">Sysmon 12</t>
  </si>
  <si>
    <t xml:space="preserve">Security 4692</t>
  </si>
  <si>
    <t xml:space="preserve">PrintService</t>
  </si>
  <si>
    <t xml:space="preserve">Security 4673</t>
  </si>
  <si>
    <t xml:space="preserve">Security 4768</t>
  </si>
  <si>
    <t xml:space="preserve">Win-Security-4768-failure</t>
  </si>
  <si>
    <t xml:space="preserve">Win-Security-4769-failure</t>
  </si>
  <si>
    <t xml:space="preserve">Security 4771</t>
  </si>
  <si>
    <t xml:space="preserve">Win-Security-4771</t>
  </si>
  <si>
    <t xml:space="preserve">Win-Security-675</t>
  </si>
  <si>
    <t xml:space="preserve">Security 4656</t>
  </si>
  <si>
    <t xml:space="preserve">Security 4663</t>
  </si>
  <si>
    <t xml:space="preserve">App</t>
  </si>
  <si>
    <t xml:space="preserve">Security 4624</t>
  </si>
  <si>
    <t xml:space="preserve">Win-PrintService-Setup-Succeeded</t>
  </si>
  <si>
    <t xml:space="preserve">Security 4794</t>
  </si>
  <si>
    <t xml:space="preserve">Security 4742</t>
  </si>
  <si>
    <t xml:space="preserve">Win-Security-4742</t>
  </si>
  <si>
    <t xml:space="preserve">Security 5145</t>
  </si>
  <si>
    <t xml:space="preserve">.*</t>
  </si>
  <si>
    <t xml:space="preserve">Security 4611</t>
  </si>
  <si>
    <t xml:space="preserve">System</t>
  </si>
  <si>
    <t xml:space="preserve">Security 4904</t>
  </si>
  <si>
    <t xml:space="preserve">Win-Security-4904</t>
  </si>
  <si>
    <t xml:space="preserve">Security 4905</t>
  </si>
  <si>
    <t xml:space="preserve">Win-Security-4905</t>
  </si>
  <si>
    <t xml:space="preserve">AWS-CloudTrail-EC2-CreateNetworkAcl</t>
  </si>
  <si>
    <t xml:space="preserve">AWS-CloudTrail-EC2-CreateNetworkAclEntry</t>
  </si>
  <si>
    <t xml:space="preserve">AWS-CloudTrail-IAM-CreateGroup</t>
  </si>
  <si>
    <t xml:space="preserve">AWS-CloudTrail-IAM-DeleteGroup</t>
  </si>
  <si>
    <t xml:space="preserve">AWS-CloudTrail-IAM-AddUserToGroup</t>
  </si>
  <si>
    <t xml:space="preserve">Group@PH_SYS_EVENT_DatabaseChange</t>
  </si>
  <si>
    <t xml:space="preserve">CONTAIN:user</t>
  </si>
  <si>
    <t xml:space="preserve">Win-Security-531</t>
  </si>
  <si>
    <t xml:space="preserve">Security 4625</t>
  </si>
  <si>
    <t xml:space="preserve">FINS-Windows-file-written</t>
  </si>
  <si>
    <t xml:space="preserve">FINS-Windows-file-read</t>
  </si>
  <si>
    <t xml:space="preserve">FINS-Windows-file-renamed</t>
  </si>
  <si>
    <t xml:space="preserve">Win-Security-629</t>
  </si>
  <si>
    <t xml:space="preserve">Security 5137</t>
  </si>
  <si>
    <t xml:space="preserve">FortiDeceptor-</t>
  </si>
  <si>
    <t xml:space="preserve">CONTAIN:FortiDeceptor-</t>
  </si>
  <si>
    <t xml:space="preserve">Dragos-</t>
  </si>
  <si>
    <t xml:space="preserve">CONTAIN:Dragos-</t>
  </si>
  <si>
    <t xml:space="preserve">Nozomi-</t>
  </si>
  <si>
    <t xml:space="preserve">CONTAIN:Nozomi-</t>
  </si>
  <si>
    <t xml:space="preserve">Generic_Unix_User_Change</t>
  </si>
  <si>
    <t xml:space="preserve">FSM_LINUX_FILE_.*</t>
  </si>
  <si>
    <t xml:space="preserve">REGEXP:FSM_LINUX_FILE_.*</t>
  </si>
  <si>
    <t xml:space="preserve">Win-Security-530</t>
  </si>
  <si>
    <t xml:space="preserve">Entra Graph poller</t>
  </si>
  <si>
    <t xml:space="preserve">RiskyUserStatus</t>
  </si>
  <si>
    <t xml:space="preserve">MS_GRAPH_RiskyUserStatus_atRisk</t>
  </si>
  <si>
    <t xml:space="preserve">Oracle-OCI-identitycontrolplane-createuser</t>
  </si>
  <si>
    <t xml:space="preserve">Oracle-OCI-identitycontrolplane-createidpuser</t>
  </si>
  <si>
    <t xml:space="preserve">Oracle-OCI-identitycontrolplane-deleteuser</t>
  </si>
  <si>
    <t xml:space="preserve">Oracle-OCI-identitycontrolplane-deleteidpuser</t>
  </si>
  <si>
    <t xml:space="preserve">MS_OFFICE365_Exchange_New-InboxRule</t>
  </si>
  <si>
    <t xml:space="preserve">FortiGate-ips-signature-51057</t>
  </si>
  <si>
    <t xml:space="preserve">FortiProxy-ips-signature-51057</t>
  </si>
  <si>
    <t xml:space="preserve">MS_OFFICE365_EntraID_UserLoggedIn</t>
  </si>
  <si>
    <t xml:space="preserve">Security 4767</t>
  </si>
  <si>
    <t xml:space="preserve">Security 4719</t>
  </si>
  <si>
    <t xml:space="preserve">Win-Security-612</t>
  </si>
  <si>
    <t xml:space="preserve">CONTAIN:Win-Security</t>
  </si>
  <si>
    <t xml:space="preserve">Group@PH_SYS_EVENT_GroupChanged</t>
  </si>
  <si>
    <t xml:space="preserve">Group@PH_SYS_EVENT_GroupCreated</t>
  </si>
  <si>
    <t xml:space="preserve">Group@PH_SYS_EVENT_GroupDeleted</t>
  </si>
  <si>
    <t xml:space="preserve">Security 1100</t>
  </si>
  <si>
    <t xml:space="preserve">System 6005</t>
  </si>
  <si>
    <t xml:space="preserve">Win-System-EventLog-6005</t>
  </si>
  <si>
    <t xml:space="preserve">System 1074</t>
  </si>
  <si>
    <t xml:space="preserve">Win-System-User32-1074</t>
  </si>
  <si>
    <t xml:space="preserve">Win-Security-517</t>
  </si>
  <si>
    <t xml:space="preserve">Security 1102</t>
  </si>
  <si>
    <t xml:space="preserve">Win-Security-1102</t>
  </si>
  <si>
    <t xml:space="preserve">Security 1104</t>
  </si>
  <si>
    <t xml:space="preserve">Security 4722</t>
  </si>
  <si>
    <t xml:space="preserve">Security 4781</t>
  </si>
  <si>
    <t xml:space="preserve">Security 4726</t>
  </si>
  <si>
    <t xml:space="preserve">Security 4723</t>
  </si>
  <si>
    <t xml:space="preserve">Win-Security-4723</t>
  </si>
  <si>
    <t xml:space="preserve">Win-Security-633</t>
  </si>
  <si>
    <t xml:space="preserve">Firewall</t>
  </si>
  <si>
    <t xml:space="preserve">Win-Firewall-AS-2006</t>
  </si>
  <si>
    <t xml:space="preserve">Security 4730</t>
  </si>
  <si>
    <t xml:space="preserve">Win-Security-4730</t>
  </si>
  <si>
    <t xml:space="preserve">Win-Security-634</t>
  </si>
  <si>
    <t xml:space="preserve">Security 5140</t>
  </si>
  <si>
    <t xml:space="preserve">Security 4776</t>
  </si>
  <si>
    <t xml:space="preserve">Win-Security-4776-failure</t>
  </si>
  <si>
    <t xml:space="preserve">Security 4661</t>
  </si>
  <si>
    <t xml:space="preserve">Security 4898</t>
  </si>
  <si>
    <t xml:space="preserve">Win-Security-4898</t>
  </si>
  <si>
    <t xml:space="preserve">Security 4899</t>
  </si>
  <si>
    <t xml:space="preserve">Win-Security-4899</t>
  </si>
  <si>
    <t xml:space="preserve">Sysmon 17</t>
  </si>
  <si>
    <t xml:space="preserve">Win-Firewall-AS-2033</t>
  </si>
  <si>
    <t xml:space="preserve">Win-App-MsiInstaller-1034</t>
  </si>
  <si>
    <t xml:space="preserve">Sysmon 13</t>
  </si>
  <si>
    <t xml:space="preserve">Win-System-Microsoft-Windows-Kerberos-Key-Distribution-Center-39</t>
  </si>
  <si>
    <t xml:space="preserve">Sysmon 3</t>
  </si>
  <si>
    <t xml:space="preserve">Security 4906</t>
  </si>
  <si>
    <t xml:space="preserve">Security 4825</t>
  </si>
  <si>
    <t xml:space="preserve">Security 6423</t>
  </si>
  <si>
    <t xml:space="preserve">Sysmon 22</t>
  </si>
  <si>
    <t xml:space="preserve">Security 4704</t>
  </si>
  <si>
    <t xml:space="preserve">Security 4657</t>
  </si>
  <si>
    <t xml:space="preserve">Security 6416</t>
  </si>
  <si>
    <t xml:space="preserve">Security 5038</t>
  </si>
  <si>
    <t xml:space="preserve">Win-Security-5038</t>
  </si>
  <si>
    <t xml:space="preserve">Security 6281</t>
  </si>
  <si>
    <t xml:space="preserve">Win-Security-6281</t>
  </si>
  <si>
    <t xml:space="preserve">Security 5441</t>
  </si>
  <si>
    <t xml:space="preserve">Win-Security-5441</t>
  </si>
  <si>
    <t xml:space="preserve">Security 5447</t>
  </si>
  <si>
    <t xml:space="preserve">Win-Security-5447</t>
  </si>
  <si>
    <t xml:space="preserve">Security 5449</t>
  </si>
  <si>
    <t xml:space="preserve">Win-Security-5449</t>
  </si>
  <si>
    <t xml:space="preserve">Win-Security-4776-success</t>
  </si>
  <si>
    <t xml:space="preserve">Security 4699</t>
  </si>
  <si>
    <t xml:space="preserve">Security 4701</t>
  </si>
  <si>
    <t xml:space="preserve">Win-Security-4701</t>
  </si>
  <si>
    <t xml:space="preserve">Security 4800</t>
  </si>
  <si>
    <t xml:space="preserve">Win-Security-Mitigation-11</t>
  </si>
  <si>
    <t xml:space="preserve">Win-System-Microsoft-Windows-Kerberos-Key-Distribution-Center-16</t>
  </si>
  <si>
    <t xml:space="preserve">Security 5379</t>
  </si>
  <si>
    <t xml:space="preserve">Security 4658</t>
  </si>
  <si>
    <t xml:space="preserve">Win-Security-4658</t>
  </si>
  <si>
    <t xml:space="preserve">Security 5156</t>
  </si>
  <si>
    <t xml:space="preserve">TerminalServices</t>
  </si>
  <si>
    <t xml:space="preserve">Win-TerminalServices-Gateway-200</t>
  </si>
  <si>
    <t xml:space="preserve">Security 4649</t>
  </si>
  <si>
    <t xml:space="preserve">Security 4674</t>
  </si>
  <si>
    <t xml:space="preserve">Security 4648</t>
  </si>
  <si>
    <t xml:space="preserve">Security 4698</t>
  </si>
  <si>
    <t xml:space="preserve">Security 4702</t>
  </si>
  <si>
    <t xml:space="preserve">Security 4616</t>
  </si>
  <si>
    <t xml:space="preserve">Win-Firewall-AS-2004</t>
  </si>
  <si>
    <t xml:space="preserve">Security 4634</t>
  </si>
  <si>
    <t xml:space="preserve">Win-Security-4634</t>
  </si>
  <si>
    <t xml:space="preserve">Security 4647</t>
  </si>
  <si>
    <t xml:space="preserve">Win-Security-4647</t>
  </si>
  <si>
    <t xml:space="preserve">Win-Firewall-AS-2032</t>
  </si>
  <si>
    <t xml:space="preserve">Security 5157</t>
  </si>
  <si>
    <t xml:space="preserve">Win-Firewall-AS-2002</t>
  </si>
  <si>
    <t xml:space="preserve">Group@PH_SYS_EVENT_PermitNetTraffic</t>
  </si>
  <si>
    <t xml:space="preserve">Group@PH_SYS_EVENT_NetflowTraffic</t>
  </si>
  <si>
    <t xml:space="preserve">Group@PH_SYS_EVENT_BiNetflowTraffic</t>
  </si>
  <si>
    <t xml:space="preserve">FortiNDRCloud_detections</t>
  </si>
  <si>
    <t xml:space="preserve">FortiSandbox-NetAlert-Attack</t>
  </si>
  <si>
    <t xml:space="preserve">FortiSandbox-Malware-Detected</t>
  </si>
  <si>
    <t xml:space="preserve">FortiSandbox-NetAlert-URL</t>
  </si>
  <si>
    <t xml:space="preserve">FortiSandbox-NetAlert-Botnet</t>
  </si>
  <si>
    <t xml:space="preserve">FortiWeb-</t>
  </si>
  <si>
    <t xml:space="preserve">Group@PH_SYS_EVENT_Exploit</t>
  </si>
  <si>
    <t xml:space="preserve">Group@PH_SYS_EVENT_PermitWebTraffic</t>
  </si>
  <si>
    <t xml:space="preserve">FortiGate-ips-signature-51006</t>
  </si>
  <si>
    <t xml:space="preserve">FortiProxy-ips-signature-51006</t>
  </si>
  <si>
    <t xml:space="preserve">FortiGate-ips-signature-52796</t>
  </si>
  <si>
    <t xml:space="preserve">FortiProxy-ips-signature-52796</t>
  </si>
  <si>
    <t xml:space="preserve">FortiGate-ips-signature-52307</t>
  </si>
  <si>
    <t xml:space="preserve">FortiProxy-ips-signature-52307</t>
  </si>
  <si>
    <t xml:space="preserve">FortiGate-ips-signature-53373</t>
  </si>
  <si>
    <t xml:space="preserve">FortiProxy-ips-signature-53373</t>
  </si>
  <si>
    <t xml:space="preserve">FortiGate-ips-signature-53534</t>
  </si>
  <si>
    <t xml:space="preserve">FortiProxy-ips-signature-53534</t>
  </si>
  <si>
    <t xml:space="preserve">FortiGate-ips-signature-53419</t>
  </si>
  <si>
    <t xml:space="preserve">FortiProxy-ips-signature-53419</t>
  </si>
  <si>
    <t xml:space="preserve">FortiGate-ips-signature-52899</t>
  </si>
  <si>
    <t xml:space="preserve">FortiProxy-ips-signature-52899</t>
  </si>
  <si>
    <t xml:space="preserve">FortiGate-ips-signature-44947</t>
  </si>
  <si>
    <t xml:space="preserve">FortiProxy-ips-signature-44947</t>
  </si>
  <si>
    <t xml:space="preserve">FortiGate-ips-signature-52567</t>
  </si>
  <si>
    <t xml:space="preserve">FortiProxy-ips-signature-52567</t>
  </si>
  <si>
    <t xml:space="preserve">FortiGate-ips-signature-50825</t>
  </si>
  <si>
    <t xml:space="preserve">FortiProxy-ips-signature-50825</t>
  </si>
  <si>
    <t xml:space="preserve">FortiGate-ips-signature-48188</t>
  </si>
  <si>
    <t xml:space="preserve">FortiProxy-ips-signature-48188</t>
  </si>
  <si>
    <t xml:space="preserve">FortiGate-ips-signature-45765</t>
  </si>
  <si>
    <t xml:space="preserve">FortiProxy-ips-signature-45765</t>
  </si>
  <si>
    <t xml:space="preserve">FortiGate-ips-signature-54343</t>
  </si>
  <si>
    <t xml:space="preserve">FortiProxy-ips-signature-54343</t>
  </si>
  <si>
    <t xml:space="preserve">FortiGate-ips-signature-56373</t>
  </si>
  <si>
    <t xml:space="preserve">FortiProxy-ips-signature-56373</t>
  </si>
  <si>
    <t xml:space="preserve">FortiGate-ips-signature-53315</t>
  </si>
  <si>
    <t xml:space="preserve">FortiProxy-ips-signature-53315</t>
  </si>
  <si>
    <t xml:space="preserve">FortiGate-ips-signature-54499</t>
  </si>
  <si>
    <t xml:space="preserve">FortiProxy-ips-signature-54499</t>
  </si>
  <si>
    <t xml:space="preserve">FortiGate-ips-signature-57559</t>
  </si>
  <si>
    <t xml:space="preserve">FortiProxy-ips-signature-57559</t>
  </si>
  <si>
    <t xml:space="preserve">FortiGate-ips-signature-51648</t>
  </si>
  <si>
    <t xml:space="preserve">FortiProxy-ips-signature-51648</t>
  </si>
  <si>
    <t xml:space="preserve">FortiGate-ips-signature-50857</t>
  </si>
  <si>
    <t xml:space="preserve">FortiProxy-ips-signature-50857</t>
  </si>
  <si>
    <t xml:space="preserve">FortiGate-ips-signature-49499</t>
  </si>
  <si>
    <t xml:space="preserve">FortiProxy-ips-signature-49499</t>
  </si>
  <si>
    <t xml:space="preserve">FortiGate-ips-signature-54714</t>
  </si>
  <si>
    <t xml:space="preserve">FortiProxy-ips-signature-54714</t>
  </si>
  <si>
    <t xml:space="preserve">FortiGate-ips-signature-50553</t>
  </si>
  <si>
    <t xml:space="preserve">FortiProxy-ips-signature-50553</t>
  </si>
  <si>
    <t xml:space="preserve">FortiGate-ips-signature-52456</t>
  </si>
  <si>
    <t xml:space="preserve">FortiProxy-ips-signature-52456</t>
  </si>
  <si>
    <t xml:space="preserve">FortiGate-ips-signature-52651</t>
  </si>
  <si>
    <t xml:space="preserve">FortiProxy-ips-signature-52651</t>
  </si>
  <si>
    <t xml:space="preserve">FortiGate-ips-signature-55956</t>
  </si>
  <si>
    <t xml:space="preserve">FortiProxy-ips-signature-55956</t>
  </si>
  <si>
    <t xml:space="preserve">FortiGate-ips-signature-59548</t>
  </si>
  <si>
    <t xml:space="preserve">FortiProxy-ips-signature-59548</t>
  </si>
  <si>
    <t xml:space="preserve">FortiGate-ips-signature-59550</t>
  </si>
  <si>
    <t xml:space="preserve">FortiProxy-ips-signature-59550</t>
  </si>
  <si>
    <t xml:space="preserve">FortiGate-ips-signature-54224</t>
  </si>
  <si>
    <t xml:space="preserve">FortiProxy-ips-signature-54224</t>
  </si>
  <si>
    <t xml:space="preserve">FortiGate-ips-signature-58380</t>
  </si>
  <si>
    <t xml:space="preserve">FortiProxy-ips-signature-58380</t>
  </si>
  <si>
    <t xml:space="preserve">FortiGate-ips-signature-27845</t>
  </si>
  <si>
    <t xml:space="preserve">FortiProxy-ips-signature-27845</t>
  </si>
  <si>
    <t xml:space="preserve">FortiGate-ips-signature-60635</t>
  </si>
  <si>
    <t xml:space="preserve">FortiProxy-ips-signature-60635</t>
  </si>
  <si>
    <t xml:space="preserve">FortiGate-ips-signature-57882</t>
  </si>
  <si>
    <t xml:space="preserve">FortiProxy-ips-signature-57882</t>
  </si>
  <si>
    <t xml:space="preserve">FortiGate-ips-signature-57653</t>
  </si>
  <si>
    <t xml:space="preserve">FortiProxy-ips-signature-57653</t>
  </si>
  <si>
    <t xml:space="preserve">FortiGate-ips-signature-55174</t>
  </si>
  <si>
    <t xml:space="preserve">FortiProxy-ips-signature-55174</t>
  </si>
  <si>
    <t xml:space="preserve">FortiGate-ips-signature-44585</t>
  </si>
  <si>
    <t xml:space="preserve">FortiProxy-ips-signature-44585</t>
  </si>
  <si>
    <t xml:space="preserve">FortiGate-ips-signature-55518</t>
  </si>
  <si>
    <t xml:space="preserve">FortiProxy-ips-signature-55518</t>
  </si>
  <si>
    <t xml:space="preserve">FortiGate-ips-signature-55887</t>
  </si>
  <si>
    <t xml:space="preserve">FortiProxy-ips-signature-55887</t>
  </si>
  <si>
    <t xml:space="preserve">FortiGate-ips-signature-54915</t>
  </si>
  <si>
    <t xml:space="preserve">FortiProxy-ips-signature-54915</t>
  </si>
  <si>
    <t xml:space="preserve">FortiGate-ips-signature-54906</t>
  </si>
  <si>
    <t xml:space="preserve">FortiProxy-ips-signature-54906</t>
  </si>
  <si>
    <t xml:space="preserve">FortiGate-ips-signature-56818</t>
  </si>
  <si>
    <t xml:space="preserve">FortiProxy-ips-signature-56818</t>
  </si>
  <si>
    <t xml:space="preserve">FortiGate-ips-signature-44501</t>
  </si>
  <si>
    <t xml:space="preserve">FortiProxy-ips-signature-44501</t>
  </si>
  <si>
    <t xml:space="preserve">FortiGate-ips-signature-57080</t>
  </si>
  <si>
    <t xml:space="preserve">FortiProxy-ips-signature-57080</t>
  </si>
  <si>
    <t xml:space="preserve">FortiGate-ips-signature-56828</t>
  </si>
  <si>
    <t xml:space="preserve">FortiProxy-ips-signature-56828</t>
  </si>
  <si>
    <t xml:space="preserve">FortiGate-ips-signature-50901</t>
  </si>
  <si>
    <t xml:space="preserve">FortiProxy-ips-signature-50901</t>
  </si>
  <si>
    <t xml:space="preserve">FortiGate-ips-signature-57031</t>
  </si>
  <si>
    <t xml:space="preserve">FortiProxy-ips-signature-57031</t>
  </si>
  <si>
    <t xml:space="preserve">FortiGate-event-admin-action</t>
  </si>
  <si>
    <t xml:space="preserve">FortiGate-event-gui-chg-sub-module</t>
  </si>
  <si>
    <t xml:space="preserve">FortiProxy-event-admin-action</t>
  </si>
  <si>
    <t xml:space="preserve">FMGR-dvm-Dvmlog-Notice</t>
  </si>
  <si>
    <t xml:space="preserve">FMGR-dvm-Generic-Info</t>
  </si>
  <si>
    <t xml:space="preserve">FortiGate-ips-signature-52258</t>
  </si>
  <si>
    <t xml:space="preserve">FortiProxy-ips-signature-52258</t>
  </si>
  <si>
    <t xml:space="preserve">FortiGate-ips-signature-59073</t>
  </si>
  <si>
    <t xml:space="preserve">FortiProxy-ips-signature-59073</t>
  </si>
  <si>
    <t xml:space="preserve">FortiGate-ips-signature-52630</t>
  </si>
  <si>
    <t xml:space="preserve">FortiProxy-ips-signature-52630</t>
  </si>
  <si>
    <t xml:space="preserve">FortiGate-ips-signature-56197</t>
  </si>
  <si>
    <t xml:space="preserve">FortiProxy-ips-signature-56197</t>
  </si>
  <si>
    <t xml:space="preserve">FortiGate-ips-signature-53914</t>
  </si>
  <si>
    <t xml:space="preserve">FortiProxy-ips-signature-53914</t>
  </si>
  <si>
    <t xml:space="preserve">FortiGate-ips-signature-50872</t>
  </si>
  <si>
    <t xml:space="preserve">FortiProxy-ips-signature-50872</t>
  </si>
  <si>
    <t xml:space="preserve">FortiGate-ips-signature-50738</t>
  </si>
  <si>
    <t xml:space="preserve">FortiGate-ips-signature-50584</t>
  </si>
  <si>
    <t xml:space="preserve">FortiGate-ips-signature-50695</t>
  </si>
  <si>
    <t xml:space="preserve">FortiGate-ips-signature-50945</t>
  </si>
  <si>
    <t xml:space="preserve">FortiProxy-ips-signature-50738</t>
  </si>
  <si>
    <t xml:space="preserve">FortiProxy-ips-signature-50584</t>
  </si>
  <si>
    <t xml:space="preserve">FortiProxy-ips-signature-50695</t>
  </si>
  <si>
    <t xml:space="preserve">FortiProxy-ips-signature-50945</t>
  </si>
  <si>
    <t xml:space="preserve">FortiGate-ips-signature-61018</t>
  </si>
  <si>
    <t xml:space="preserve">FortiProxy-ips-signature-61018</t>
  </si>
  <si>
    <t xml:space="preserve">FortiGate-ips-signature-54090</t>
  </si>
  <si>
    <t xml:space="preserve">FortiProxy-ips-signature-54090</t>
  </si>
  <si>
    <t xml:space="preserve">FortiGate-ips-signature-52658</t>
  </si>
  <si>
    <t xml:space="preserve">FortiProxy-ips-signature-52658</t>
  </si>
  <si>
    <t xml:space="preserve">FortiGate-ips-signature-56651</t>
  </si>
  <si>
    <t xml:space="preserve">FortiProxy-ips-signature-56651</t>
  </si>
  <si>
    <t xml:space="preserve">FortiGate-ips-signature-56710</t>
  </si>
  <si>
    <t xml:space="preserve">FortiProxy-ips-signature-56710</t>
  </si>
  <si>
    <t xml:space="preserve">FortiGate-ips-signature-56709</t>
  </si>
  <si>
    <t xml:space="preserve">FortiProxy-ips-signature-56709</t>
  </si>
  <si>
    <t xml:space="preserve">FortiGate-ips-signature-54588</t>
  </si>
  <si>
    <t xml:space="preserve">FortiProxy-ips-signature-54588</t>
  </si>
  <si>
    <t xml:space="preserve">FortiGate-ips-signature-53518</t>
  </si>
  <si>
    <t xml:space="preserve">FortiProxy-ips-signature-53518</t>
  </si>
  <si>
    <t xml:space="preserve">FortiGate-ips-signature-61065</t>
  </si>
  <si>
    <t xml:space="preserve">FortiProxy-ips-signature-61065</t>
  </si>
  <si>
    <t xml:space="preserve">FortiGate-ips-signature-54616</t>
  </si>
  <si>
    <t xml:space="preserve">FortiProxy-ips-signature-54616</t>
  </si>
  <si>
    <t xml:space="preserve">FortiGate-ips-signature-53952</t>
  </si>
  <si>
    <t xml:space="preserve">FortiProxy-ips-signature-53952</t>
  </si>
  <si>
    <t xml:space="preserve">FortiGate-ips-signature-52677</t>
  </si>
  <si>
    <t xml:space="preserve">FortiProxy-ips-signature-52677</t>
  </si>
  <si>
    <t xml:space="preserve">FortiGate-ips-signature-61172</t>
  </si>
  <si>
    <t xml:space="preserve">FortiProxy-ips-signature-61172</t>
  </si>
  <si>
    <t xml:space="preserve">FortiGate-ips-signature-57790</t>
  </si>
  <si>
    <t xml:space="preserve">FortiProxy-ips-signature-57790</t>
  </si>
  <si>
    <t xml:space="preserve">FortiGate-ips-signature-56745</t>
  </si>
  <si>
    <t xml:space="preserve">FortiProxy-ips-signature-56745</t>
  </si>
  <si>
    <t xml:space="preserve">FortiGate-ips-signature-48753</t>
  </si>
  <si>
    <t xml:space="preserve">FortiProxy-ips-signature-48753</t>
  </si>
  <si>
    <t xml:space="preserve">FortiGate-ips-signature-54621</t>
  </si>
  <si>
    <t xml:space="preserve">FortiProxy-ips-signature-54621</t>
  </si>
  <si>
    <t xml:space="preserve">FortiGate-ips-signature-57264</t>
  </si>
  <si>
    <t xml:space="preserve">FortiProxy-ips-signature-57264</t>
  </si>
  <si>
    <t xml:space="preserve">FortiGate-ips-signature-51469</t>
  </si>
  <si>
    <t xml:space="preserve">FortiProxy-ips-signature-51469</t>
  </si>
  <si>
    <t xml:space="preserve">FortiGate-ips-signature-43872</t>
  </si>
  <si>
    <t xml:space="preserve">FortiProxy-ips-signature-43872</t>
  </si>
  <si>
    <t xml:space="preserve">FortiGate-ips-signature-52754</t>
  </si>
  <si>
    <t xml:space="preserve">FortiProxy-ips-signature-52754</t>
  </si>
  <si>
    <t xml:space="preserve">FortiGate-ips-signature-53295</t>
  </si>
  <si>
    <t xml:space="preserve">FortiProxy-ips-signature-53295</t>
  </si>
  <si>
    <t xml:space="preserve">FortiGate-ips-signature-58317</t>
  </si>
  <si>
    <t xml:space="preserve">FortiProxy-ips-signature-58317</t>
  </si>
  <si>
    <t xml:space="preserve">FortiGate-ips-signature-56968</t>
  </si>
  <si>
    <t xml:space="preserve">FortiProxy-ips-signature-56968</t>
  </si>
  <si>
    <t xml:space="preserve">FortiGate-ips-signature-56969</t>
  </si>
  <si>
    <t xml:space="preserve">FortiProxy-ips-signature-56969</t>
  </si>
  <si>
    <t xml:space="preserve">FortiGate-ips-signature-56966</t>
  </si>
  <si>
    <t xml:space="preserve">FortiProxy-ips-signature-56966</t>
  </si>
  <si>
    <t xml:space="preserve">FortiGate-ips-signature-44754</t>
  </si>
  <si>
    <t xml:space="preserve">FortiProxy-ips-signature-44754</t>
  </si>
  <si>
    <t xml:space="preserve">FortiGate-ips-signature-43737</t>
  </si>
  <si>
    <t xml:space="preserve">FortiProxy-ips-signature-43737</t>
  </si>
  <si>
    <t xml:space="preserve">FortiGate-ips-signature-46273</t>
  </si>
  <si>
    <t xml:space="preserve">FortiProxy-ips-signature-46273</t>
  </si>
  <si>
    <t xml:space="preserve">FortiGate-ips-signature-46946</t>
  </si>
  <si>
    <t xml:space="preserve">FortiProxy-ips-signature-46946</t>
  </si>
  <si>
    <t xml:space="preserve">FortiGate-ips-signature-48666</t>
  </si>
  <si>
    <t xml:space="preserve">FortiProxy-ips-signature-48666</t>
  </si>
  <si>
    <t xml:space="preserve">FortiGate-ips-signature-59120</t>
  </si>
  <si>
    <t xml:space="preserve">FortiProxy-ips-signature-59120</t>
  </si>
  <si>
    <t xml:space="preserve">FortiGate-ips-signature-52696</t>
  </si>
  <si>
    <t xml:space="preserve">FortiProxy-ips-signature-52696</t>
  </si>
  <si>
    <t xml:space="preserve">FortiGate-ips-signature-56726</t>
  </si>
  <si>
    <t xml:space="preserve">FortiProxy-ips-signature-56726</t>
  </si>
  <si>
    <t xml:space="preserve">FortiGate-ips-signature-56727</t>
  </si>
  <si>
    <t xml:space="preserve">FortiProxy-ips-signature-56727</t>
  </si>
  <si>
    <t xml:space="preserve">FortiGate-ips-signature-56728</t>
  </si>
  <si>
    <t xml:space="preserve">FortiProxy-ips-signature-56728</t>
  </si>
  <si>
    <t xml:space="preserve">FortiGate-ips-signature-56894</t>
  </si>
  <si>
    <t xml:space="preserve">FortiProxy-ips-signature-56894</t>
  </si>
  <si>
    <t xml:space="preserve">FortiGate-ips-signature-56897</t>
  </si>
  <si>
    <t xml:space="preserve">FortiProxy-ips-signature-56897</t>
  </si>
  <si>
    <t xml:space="preserve">FortiGate-ips-signature-61037</t>
  </si>
  <si>
    <t xml:space="preserve">FortiProxy-ips-signature-61037</t>
  </si>
  <si>
    <t xml:space="preserve">FortiGate-ips-signature-55555</t>
  </si>
  <si>
    <t xml:space="preserve">FortiProxy-ips-signature-55555</t>
  </si>
  <si>
    <t xml:space="preserve">FortiGate-ips-signature-52900</t>
  </si>
  <si>
    <t xml:space="preserve">FortiProxy-ips-signature-52900</t>
  </si>
  <si>
    <t xml:space="preserve">FortiGate-ips-signature-31752</t>
  </si>
  <si>
    <t xml:space="preserve">FortiProxy-ips-signature-31752</t>
  </si>
  <si>
    <t xml:space="preserve">FortiGate-ips-signature-55438</t>
  </si>
  <si>
    <t xml:space="preserve">FortiProxy-ips-signature-55438</t>
  </si>
  <si>
    <t xml:space="preserve">FortiGate-ips-signature-53240</t>
  </si>
  <si>
    <t xml:space="preserve">FortiProxy-ips-signature-53240</t>
  </si>
  <si>
    <t xml:space="preserve">FortiGate-ips-signature-53241</t>
  </si>
  <si>
    <t xml:space="preserve">FortiProxy-ips-signature-53241</t>
  </si>
  <si>
    <t xml:space="preserve">FortiGate-ips-signature-48789</t>
  </si>
  <si>
    <t xml:space="preserve">FortiProxy-ips-signature-48789</t>
  </si>
  <si>
    <t xml:space="preserve">FortiGate-ips-signature-56825</t>
  </si>
  <si>
    <t xml:space="preserve">FortiProxy-ips-signature-56825</t>
  </si>
  <si>
    <t xml:space="preserve">FortiGate-ips-signature-56827</t>
  </si>
  <si>
    <t xml:space="preserve">FortiProxy-ips-signature-56827</t>
  </si>
  <si>
    <t xml:space="preserve">FortiGate-ips-signature-59644</t>
  </si>
  <si>
    <t xml:space="preserve">FortiProxy-ips-signature-59644</t>
  </si>
  <si>
    <t xml:space="preserve">FortiGate-ips-signature-51534</t>
  </si>
  <si>
    <t xml:space="preserve">FortiProxy-ips-signature-51534</t>
  </si>
  <si>
    <t xml:space="preserve">FortiGate-ips-signature-40774</t>
  </si>
  <si>
    <t xml:space="preserve">FortiProxy-ips-signature-40774</t>
  </si>
  <si>
    <t xml:space="preserve">FortiGate-ips-signature-51512</t>
  </si>
  <si>
    <t xml:space="preserve">FortiProxy-ips-signature-51512</t>
  </si>
  <si>
    <t xml:space="preserve">FortiGate-ips-signature-40772</t>
  </si>
  <si>
    <t xml:space="preserve">FortiGate-ips-signature-46083</t>
  </si>
  <si>
    <t xml:space="preserve">FortiGate-ips-signature-44738</t>
  </si>
  <si>
    <t xml:space="preserve">FortiGate-ips-signature-52148</t>
  </si>
  <si>
    <t xml:space="preserve">FortiGate-ips-signature-50501</t>
  </si>
  <si>
    <t xml:space="preserve">FortiProxy-ips-signature-40772</t>
  </si>
  <si>
    <t xml:space="preserve">FortiProxy-ips-signature-46083</t>
  </si>
  <si>
    <t xml:space="preserve">FortiProxy-ips-signature-44738</t>
  </si>
  <si>
    <t xml:space="preserve">FortiProxy-ips-signature-52148</t>
  </si>
  <si>
    <t xml:space="preserve">FortiProxy-ips-signature-50501</t>
  </si>
  <si>
    <t xml:space="preserve">FortiGate-ips-signature-52237</t>
  </si>
  <si>
    <t xml:space="preserve">FortiProxy-ips-signature-52237</t>
  </si>
  <si>
    <t xml:space="preserve">FortiGate-ips-signature-56273</t>
  </si>
  <si>
    <t xml:space="preserve">FortiProxy-ips-signature-56273</t>
  </si>
  <si>
    <t xml:space="preserve">FortiGate-ips-signature-55710</t>
  </si>
  <si>
    <t xml:space="preserve">FortiProxy-ips-signature-55710</t>
  </si>
  <si>
    <t xml:space="preserve">FortiGate-ips-signature-45752</t>
  </si>
  <si>
    <t xml:space="preserve">FortiProxy-ips-signature-45752</t>
  </si>
  <si>
    <t xml:space="preserve">FortiGate-ips-signature-45987</t>
  </si>
  <si>
    <t xml:space="preserve">FortiProxy-ips-signature-45987</t>
  </si>
  <si>
    <t xml:space="preserve">FortiGate-ips-signature-57217</t>
  </si>
  <si>
    <t xml:space="preserve">FortiProxy-ips-signature-57217</t>
  </si>
  <si>
    <t xml:space="preserve">FortiGate-ips-signature-59887</t>
  </si>
  <si>
    <t xml:space="preserve">FortiProxy-ips-signature-59887</t>
  </si>
  <si>
    <t xml:space="preserve">FortiGate-ips-signature-52317</t>
  </si>
  <si>
    <t xml:space="preserve">FortiProxy-ips-signature-52317</t>
  </si>
  <si>
    <t xml:space="preserve">FortiGate-ips-signature-56685</t>
  </si>
  <si>
    <t xml:space="preserve">FortiProxy-ips-signature-56685</t>
  </si>
  <si>
    <t xml:space="preserve">FortiGate-ips-signature-51566</t>
  </si>
  <si>
    <t xml:space="preserve">FortiProxy-ips-signature-51566</t>
  </si>
  <si>
    <t xml:space="preserve">FortiGate-ips-signature-51134</t>
  </si>
  <si>
    <t xml:space="preserve">FortiProxy-ips-signature-51134</t>
  </si>
  <si>
    <t xml:space="preserve">FortiGate-ips-signature-58181</t>
  </si>
  <si>
    <t xml:space="preserve">FortiProxy-ips-signature-58181</t>
  </si>
  <si>
    <t xml:space="preserve">FortiGate-ips-signature-54310</t>
  </si>
  <si>
    <t xml:space="preserve">FortiProxy-ips-signature-54310</t>
  </si>
  <si>
    <t xml:space="preserve">FortiGate-ips-signature-56686</t>
  </si>
  <si>
    <t xml:space="preserve">FortiProxy-ips-signature-56686</t>
  </si>
  <si>
    <t xml:space="preserve">FortiGate-ips-signature-45993</t>
  </si>
  <si>
    <t xml:space="preserve">FortiProxy-ips-signature-45993</t>
  </si>
  <si>
    <t xml:space="preserve">FortiGate-ips-signature-55717</t>
  </si>
  <si>
    <t xml:space="preserve">FortiProxy-ips-signature-55717</t>
  </si>
  <si>
    <t xml:space="preserve">FortiGate-ips-signature-52227</t>
  </si>
  <si>
    <t xml:space="preserve">FortiProxy-ips-signature-52227</t>
  </si>
  <si>
    <t xml:space="preserve">FortiGate-ips-signature-47291</t>
  </si>
  <si>
    <t xml:space="preserve">FortiProxy-ips-signature-47291</t>
  </si>
  <si>
    <t xml:space="preserve">FortiGate-ips-signature-52742</t>
  </si>
  <si>
    <t xml:space="preserve">FortiProxy-ips-signature-52742</t>
  </si>
  <si>
    <t xml:space="preserve">FortiGate-ips-signature-49950</t>
  </si>
  <si>
    <t xml:space="preserve">FortiProxy-ips-signature-49950</t>
  </si>
  <si>
    <t xml:space="preserve">FortiGate-ips-signature-48765</t>
  </si>
  <si>
    <t xml:space="preserve">FortiProxy-ips-signature-48765</t>
  </si>
  <si>
    <t xml:space="preserve">FortiGate-ips-signature-60095</t>
  </si>
  <si>
    <t xml:space="preserve">FortiProxy-ips-signature-60095</t>
  </si>
  <si>
    <t xml:space="preserve">FortiGate-ips-signature-53324</t>
  </si>
  <si>
    <t xml:space="preserve">FortiProxy-ips-signature-53324</t>
  </si>
  <si>
    <t xml:space="preserve">FortiGate-ips-signature-50017</t>
  </si>
  <si>
    <t xml:space="preserve">FortiGate-ips-signature-50440</t>
  </si>
  <si>
    <t xml:space="preserve">FortiProxy-ips-signature-50017</t>
  </si>
  <si>
    <t xml:space="preserve">FortiProxy-ips-signature-50440</t>
  </si>
  <si>
    <t xml:space="preserve">FortiGate-ips-signature-51355</t>
  </si>
  <si>
    <t xml:space="preserve">FortiProxy-ips-signature-51355</t>
  </si>
  <si>
    <t xml:space="preserve">FortiGate-ips-signature-51468</t>
  </si>
  <si>
    <t xml:space="preserve">FortiProxy-ips-signature-51468</t>
  </si>
  <si>
    <t xml:space="preserve">FortiGate-ips-signature-51068</t>
  </si>
  <si>
    <t xml:space="preserve">FortiProxy-ips-signature-51068</t>
  </si>
  <si>
    <t xml:space="preserve">FortiGate-ips-signature-53409</t>
  </si>
  <si>
    <t xml:space="preserve">FortiProxy-ips-signature-53409</t>
  </si>
  <si>
    <t xml:space="preserve">FortiGate-ips-signature-52145</t>
  </si>
  <si>
    <t xml:space="preserve">FortiProxy-ips-signature-52145</t>
  </si>
  <si>
    <t xml:space="preserve">FortiGate-ips-signature-61474</t>
  </si>
  <si>
    <t xml:space="preserve">FortiProxy-ips-signature-61474</t>
  </si>
  <si>
    <t xml:space="preserve">FortiGate-ips-signature-45494</t>
  </si>
  <si>
    <t xml:space="preserve">FortiGate-ips-signature-47699</t>
  </si>
  <si>
    <t xml:space="preserve">FortiGate-ips-signature-50704</t>
  </si>
  <si>
    <t xml:space="preserve">FortiGate-ips-signature-51928</t>
  </si>
  <si>
    <t xml:space="preserve">FortiGate-ips-signature-51924</t>
  </si>
  <si>
    <t xml:space="preserve">FortiProxy-ips-signature-45494</t>
  </si>
  <si>
    <t xml:space="preserve">FortiProxy-ips-signature-47699</t>
  </si>
  <si>
    <t xml:space="preserve">FortiProxy-ips-signature-50704</t>
  </si>
  <si>
    <t xml:space="preserve">FortiProxy-ips-signature-51928</t>
  </si>
  <si>
    <t xml:space="preserve">FortiProxy-ips-signature-51924</t>
  </si>
  <si>
    <t xml:space="preserve">FortiGate-ips-signature-60097</t>
  </si>
  <si>
    <t xml:space="preserve">FortiProxy-ips-signature-60097</t>
  </si>
  <si>
    <t xml:space="preserve">FortiGate-ips-signature-51994</t>
  </si>
  <si>
    <t xml:space="preserve">FortiProxy-ips-signature-51994</t>
  </si>
  <si>
    <t xml:space="preserve">FortiGate-ips-signature-52571</t>
  </si>
  <si>
    <t xml:space="preserve">FortiProxy-ips-signature-52571</t>
  </si>
  <si>
    <t xml:space="preserve">FortiGate-ips-signature-53203</t>
  </si>
  <si>
    <t xml:space="preserve">FortiProxy-ips-signature-53203</t>
  </si>
  <si>
    <t xml:space="preserve">FortiGate-ips-signature-43619</t>
  </si>
  <si>
    <t xml:space="preserve">FortiProxy-ips-signature-43619</t>
  </si>
  <si>
    <t xml:space="preserve">SentinelOne-Singularity-Activity-4104</t>
  </si>
  <si>
    <t xml:space="preserve">SentinelOne-Singularity-Activity-4106</t>
  </si>
  <si>
    <t xml:space="preserve">SentinelOne-Singularity-Activity-4105</t>
  </si>
  <si>
    <t xml:space="preserve">SentinelOne-Singularity-Activity-4107</t>
  </si>
  <si>
    <t xml:space="preserve">Group@PH_SYS_EVENT_VPNLogoff</t>
  </si>
  <si>
    <t xml:space="preserve">Group@PH_SYS_EVENT_DenyNetTraffic</t>
  </si>
  <si>
    <t xml:space="preserve">WindowsDefender</t>
  </si>
  <si>
    <t xml:space="preserve">OpenSSH</t>
  </si>
  <si>
    <t xml:space="preserve">Sysmon 8</t>
  </si>
  <si>
    <t xml:space="preserve">SMBServer</t>
  </si>
  <si>
    <t xml:space="preserve">Win-System-5723</t>
  </si>
  <si>
    <t xml:space="preserve">FortiSIEM data source</t>
  </si>
  <si>
    <t xml:space="preserve">FortiSwitch via Syslog</t>
  </si>
  <si>
    <t xml:space="preserve">FortiProxy via Syslog</t>
  </si>
  <si>
    <t xml:space="preserve">Cisco IOS via Syslog</t>
  </si>
  <si>
    <t xml:space="preserve">Cisco ASA via Syslog</t>
  </si>
  <si>
    <t xml:space="preserve">Hillstone Firewall via Syslog</t>
  </si>
  <si>
    <t xml:space="preserve">Palo Alto PAN-OS via Syslog</t>
  </si>
  <si>
    <t xml:space="preserve">Sophos Firewall via Syslog</t>
  </si>
  <si>
    <t xml:space="preserve">Juniper SSLVPN via Syslog</t>
  </si>
  <si>
    <t xml:space="preserve">Juniper JunOS via Syslog</t>
  </si>
  <si>
    <t xml:space="preserve">Microsoft IIS via Syslog</t>
  </si>
  <si>
    <t xml:space="preserve">Pulse Secure via Syslog</t>
  </si>
  <si>
    <t xml:space="preserve">WatchGuard via Syslog</t>
  </si>
  <si>
    <t xml:space="preserve">SonicOS via Syslog</t>
  </si>
  <si>
    <t xml:space="preserve">Apache via Syslog</t>
  </si>
  <si>
    <t xml:space="preserve">JBOSS via Syslog</t>
  </si>
  <si>
    <t xml:space="preserve">F5 via Syslog</t>
  </si>
  <si>
    <t xml:space="preserve">Office 365 via Management Activity API</t>
  </si>
  <si>
    <t xml:space="preserve">Juniper SRX via Syslog</t>
  </si>
  <si>
    <t xml:space="preserve">HP Procurve via Syslog</t>
  </si>
  <si>
    <t xml:space="preserve">Juniper SSG via Syslog</t>
  </si>
  <si>
    <t xml:space="preserve">VMware NSX via Syslog</t>
  </si>
  <si>
    <t xml:space="preserve">NetScaler via Syslog</t>
  </si>
  <si>
    <t xml:space="preserve">Riverbed via Syslog</t>
  </si>
  <si>
    <t xml:space="preserve">BlueCoat via Syslog</t>
  </si>
  <si>
    <t xml:space="preserve">IBM AIX via Syslog</t>
  </si>
  <si>
    <t xml:space="preserve">Network devices via Syslog</t>
  </si>
  <si>
    <t xml:space="preserve">Oracle Database Server via JDBC</t>
  </si>
  <si>
    <t xml:space="preserve">Microsoft SQL Server via JDBC</t>
  </si>
  <si>
    <t xml:space="preserve">IBM DB2 via JDBC</t>
  </si>
  <si>
    <t xml:space="preserve">Motorola WiNG WLAN AP via Syslog</t>
  </si>
  <si>
    <t xml:space="preserve">Motorola AirDefense via Syslog</t>
  </si>
  <si>
    <t xml:space="preserve">Cisco WLAN via Syslog</t>
  </si>
  <si>
    <t xml:space="preserve">Aruba WLC via Syslog</t>
  </si>
  <si>
    <t xml:space="preserve">Checkpoint IPS-1 via LEA/Syslog</t>
  </si>
  <si>
    <t xml:space="preserve">Microsoft Windows Terminal Services LocalSessionManager/Operational logs via Windows Collector</t>
  </si>
  <si>
    <t xml:space="preserve">Checkpoint via Syslog or Netflow</t>
  </si>
  <si>
    <t xml:space="preserve">Palo Alto via Syslog or Netflow</t>
  </si>
  <si>
    <t xml:space="preserve">FortiGate via Syslog or Netflow</t>
  </si>
  <si>
    <t xml:space="preserve">FortiWeb Cloud via Syslog</t>
  </si>
  <si>
    <t xml:space="preserve">Cisco FireAMP via FIREAMP_CLOUD_API or ESTREAMER_SDK</t>
  </si>
  <si>
    <t xml:space="preserve">Palo Alto Traps Endpoint Security Manager via Syslog</t>
  </si>
  <si>
    <t xml:space="preserve">Microsoft Defender for Endpoint via HTTPS_ADVANCED</t>
  </si>
  <si>
    <t xml:space="preserve">Symantec Endpoint Protection Service via Syslog</t>
  </si>
  <si>
    <t xml:space="preserve">Carbon Black Security Platform via Syslog</t>
  </si>
  <si>
    <t xml:space="preserve">Cylance Protect via Syslog</t>
  </si>
  <si>
    <t xml:space="preserve">SentinelOne via Syslog</t>
  </si>
  <si>
    <t xml:space="preserve">FortiEDR via Syslog</t>
  </si>
  <si>
    <t xml:space="preserve">FortiEMS via Syslog</t>
  </si>
  <si>
    <t xml:space="preserve">Microsoft Defender XDR via HTTPS_ADVANCED (Graph API)</t>
  </si>
  <si>
    <t xml:space="preserve">FortiManager via Syslog</t>
  </si>
  <si>
    <t xml:space="preserve">Windows via OMI or Windows Collector</t>
  </si>
  <si>
    <t xml:space="preserve">Microsoft Windows via Windows Collector</t>
  </si>
  <si>
    <t xml:space="preserve">In-scope rules</t>
  </si>
  <si>
    <t xml:space="preserve">Re-tagged ITDR</t>
  </si>
  <si>
    <t xml:space="preserve">Enabled by default</t>
  </si>
  <si>
    <t xml:space="preserve">Distinct event types read</t>
  </si>
  <si>
    <t xml:space="preserve">Event types read by these rules (derived; multi-source rules list all their types)</t>
  </si>
  <si>
    <t xml:space="preserve">AWS-CloudTrail-EC2-CreateNetworkAcl
AWS-CloudTrail-EC2-CreateNetworkAclEntry
AWS-CloudTrail-SIGNIN-ConsoleLogin-Success
CONTAIN:AWS-CloudTrail-IAM-AddUserToGroup
CONTAIN:AWS-CloudTrail-IAM-CreateGroup
CONTAIN:AWS-CloudTrail-IAM-DeactivateMFADevice
CONTAIN:AWS-CloudTrail-IAM-DeleteGroup
CONTAIN:AWS-CloudTrail-IAM-UpdateAssumeRolePolicy
CONTAIN:AWS-CloudTrail-SECRETSMANAGER-GetSecretValue
CONTAIN:AWS-CloudTrail-SIGNIN-ConsoleLogin
CONTAIN:AWS-CloudTrail-SIGNIN-PasswordRecoveryRequested
Group@PH_SYS_EVENT_AppLogonSuccess
Group@PH_SYS_EVENT_DomainLogonFailure
Group@PH_SYS_EVENT_DomainLogonSuccess
Group@PH_SYS_EVENT_HostLogonFailure
Group@PH_SYS_EVENT_HostLogonSuccess
Group@PH_SYS_EVENT_HostPrivLogonSuccess
Group@PH_SYS_EVENT_Logon
Group@PH_SYS_EVENT_LogonFailure
Group@PH_SYS_EVENT_MultipleDomainLogonFailure
Group@PH_SYS_EVENT_MultipleHostLogonFailure
Group@PH_SYS_EVENT_VMware_LogonFailure
Group@PH_SYS_EVENT_VMware_LogonSuccess
Group@PH_SYS_EVENT_VPNLogonSuccess
Group@PH_SYS_EVENT_WirelessLogonSuccess
PH_ANOMALY_LATERAL_MOVEMENT_DETECT
PH_RULE_EXCESS_FAILED_LOGON_APPL
PH_RULE_EXCESS_FAILED_LOGON_DB
PH_RULE_EXCESS_FAILED_LOGON_DOMAIN
PH_RULE_EXCESS_FAILED_LOGON_NET_DEV
PH_RULE_EXCESS_FAILED_LOGON_SERVER
PH_RULE_EXCESS_FAILED_LOGON_VPN
PH_RULE_EXCESS_FAILED_LOGON_WIRELESS
PH_RULE_EXCESS_FAILED_PRIV_LOGON_SERVER
PH_RULE_REPEAT_EXCESS_FAILED_LOGON_WEB
PH_USER_MON_SUDDEN_LOC_CHANGE</t>
  </si>
  <si>
    <t xml:space="preserve">AWS-Hub-TTPs-Credential_Access
AWS-Hub-TTPs-Lateral_Movement
AWS-Hub-TTPs-Privilege_Escalation
Group@PH_SYS_EVENT_SuspiciousLogon</t>
  </si>
  <si>
    <t xml:space="preserve">Group@PH_SYS_EVENT_AppLogonFailure
Group@PH_SYS_EVENT_AppLogonSuccess
Group@PH_SYS_EVENT_DBLogonFailure
Group@PH_SYS_EVENT_DBLogonSuccess
Group@PH_SYS_EVENT_MultipleAppLogonFailure
Group@PH_SYS_EVENT_MultipleDBLogonFailure
Group@PH_SYS_EVENT_MultipleVPNLogonFailure
Group@PH_SYS_EVENT_MultipleWebLogonFailure
Group@PH_SYS_EVENT_VPNLogonFailure
Group@PH_SYS_EVENT_VPNLogonSuccess
Group@PH_SYS_EVENT_WebLogonFailure
Group@PH_SYS_EVENT_WebLogonSuccess
PH_RULE_EXCESS_FAILED_LOGON_APPL</t>
  </si>
  <si>
    <t xml:space="preserve">ArubaCx-UserAdded
ArubaCx-UserDeleted</t>
  </si>
  <si>
    <t xml:space="preserve">Group@PH_SYS_EVENT_WirelessLogonFailure
PH_RULE_EXCESS_FAILED_LOGON_WIRELESS</t>
  </si>
  <si>
    <t xml:space="preserve">Group@PH_SYS_EVENT_AppLogonSuccess
Group@PH_SYS_EVENT_DomainLogonFailure
Group@PH_SYS_EVENT_DomainLogonSuccess
Group@PH_SYS_EVENT_HostLogonFailure
Group@PH_SYS_EVENT_HostLogonSuccess
Group@PH_SYS_EVENT_HostPrivLogonSuccess
Group@PH_SYS_EVENT_Logon
Group@PH_SYS_EVENT_LogonFailure
Group@PH_SYS_EVENT_MultipleDomainLogonFailure
Group@PH_SYS_EVENT_MultipleHostLogonFailure
Group@PH_SYS_EVENT_VMware_LogonFailure
Group@PH_SYS_EVENT_VMware_LogonSuccess
Group@PH_SYS_EVENT_VPNLogonSuccess
Group@PH_SYS_EVENT_WirelessLogonSuccess
PH_ANOMALY_LATERAL_MOVEMENT_DETECT
PH_RULE_EXCESS_FAILED_LOGON_2_NET_DEV
PH_RULE_EXCESS_FAILED_LOGON_APPL
PH_RULE_EXCESS_FAILED_LOGON_DB
PH_RULE_EXCESS_FAILED_LOGON_DOMAIN
PH_RULE_EXCESS_FAILED_LOGON_NET_DEV
PH_RULE_EXCESS_FAILED_LOGON_SERVER
PH_RULE_EXCESS_FAILED_LOGON_VPN
PH_RULE_EXCESS_FAILED_LOGON_WIRELESS
PH_RULE_EXCESS_FAILED_PRIV_LOGON_SERVER
PH_RULE_REPEAT_EXCESS_FAILED_LOGON_WEB
PH_USER_MON_SUDDEN_LOC_CHANGE</t>
  </si>
  <si>
    <t xml:space="preserve">Group@PH_SYS_EVENT_ARPExploit
Group@PH_SYS_EVENT_PrivEscalationExploit
Group@PH_SYS_EVENT_ReplayExploit
Group@PH_SYS_EVENT_SessionHijackExploit
Group@PH_SYS_EVENT_SpoofExploit
Group@PH_SYS_EVENT_WirelessMITM</t>
  </si>
  <si>
    <t xml:space="preserve">Group@PH_SYS_EVENT_BiNetflowTraffic
Group@PH_SYS_EVENT_DenyNetTraffic
Group@PH_SYS_EVENT_Exploit
Group@PH_SYS_EVENT_NetflowTraffic
Group@PH_SYS_EVENT_PermitNetTraffic
Group@PH_SYS_EVENT_PermitWebTraffic
Group@PH_SYS_EVENT_TopCISA_CVE</t>
  </si>
  <si>
    <t xml:space="preserve">Group@PH_SYS_EVENT_AppLogonFailure
Group@PH_SYS_EVENT_AppLogonSuccess
Group@PH_SYS_EVENT_DBLogonFailure
Group@PH_SYS_EVENT_DBLogonSuccess
Group@PH_SYS_EVENT_DomainLogonFailure
Group@PH_SYS_EVENT_DomainLogonSuccess
Group@PH_SYS_EVENT_HostAccountLocked
Group@PH_SYS_EVENT_HostLogonFailure
Group@PH_SYS_EVENT_HostLogonSuccess
Group@PH_SYS_EVENT_HostPrivLogonSuccess
Group@PH_SYS_EVENT_Logon
Group@PH_SYS_EVENT_LogonFailure
Group@PH_SYS_EVENT_MultipleAppLogonFailure
Group@PH_SYS_EVENT_MultipleDBLogonFailure
Group@PH_SYS_EVENT_MultipleDomainLogonFailure
Group@PH_SYS_EVENT_MultipleHostLogonFailure
Group@PH_SYS_EVENT_MultipleVPNLogonFailure
Group@PH_SYS_EVENT_MultipleWebLogonFailure
Group@PH_SYS_EVENT_VMware_LogonFailure
Group@PH_SYS_EVENT_VMware_LogonSuccess
Group@PH_SYS_EVENT_VPNLogoff
Group@PH_SYS_EVENT_VPNLogonFailure
Group@PH_SYS_EVENT_VPNLogonSuccess
Group@PH_SYS_EVENT_WebLogonFailure
Group@PH_SYS_EVENT_WebLogonSuccess
Group@PH_SYS_EVENT_WirelessLogonSuccess
PH_ANOMALY_LATERAL_MOVEMENT_DETECT
PH_RULE_EXCESS_FAILED_LOGON_2_NET_DEV
PH_RULE_EXCESS_FAILED_LOGON_APPL
PH_RULE_EXCESS_FAILED_LOGON_DB
PH_RULE_EXCESS_FAILED_LOGON_DOMAIN
PH_RULE_EXCESS_FAILED_LOGON_NET_DEV
PH_RULE_EXCESS_FAILED_LOGON_SERVER
PH_RULE_EXCESS_FAILED_LOGON_VPN
PH_RULE_EXCESS_FAILED_LOGON_WIRELESS
PH_RULE_EXCESS_FAILED_PRIV_LOGON_SERVER
PH_RULE_REPEAT_EXCESS_FAILED_LOGON_WEB
PH_USER_MON_SUDDEN_LOC_CHANGE</t>
  </si>
  <si>
    <t xml:space="preserve">Cisco_UC_RTMT_AuthenticationFailed
Cisco_UC_RTMT_UserInputFailure</t>
  </si>
  <si>
    <t xml:space="preserve">Group@PH_SYS_EVENT_AppLogonSuccess
Group@PH_SYS_EVENT_DomainLogonFailure
Group@PH_SYS_EVENT_DomainLogonSuccess
Group@PH_SYS_EVENT_HostAccountLocked
Group@PH_SYS_EVENT_HostLogonFailure
Group@PH_SYS_EVENT_HostLogonSuccess
Group@PH_SYS_EVENT_HostPrivLogonSuccess
Group@PH_SYS_EVENT_Logon
Group@PH_SYS_EVENT_LogonFailure
Group@PH_SYS_EVENT_MultipleDomainLogonFailure
Group@PH_SYS_EVENT_MultipleHostLogonFailure
Group@PH_SYS_EVENT_VMware_LogonFailure
Group@PH_SYS_EVENT_VMware_LogonSuccess
Group@PH_SYS_EVENT_VPNLogonSuccess
Group@PH_SYS_EVENT_WirelessLogonSuccess
PH_ANOMALY_LATERAL_MOVEMENT_DETECT
PH_RULE_EXCESS_FAILED_LOGON_2_NET_DEV
PH_RULE_EXCESS_FAILED_LOGON_APPL
PH_RULE_EXCESS_FAILED_LOGON_DB
PH_RULE_EXCESS_FAILED_LOGON_DOMAIN
PH_RULE_EXCESS_FAILED_LOGON_NET_DEV
PH_RULE_EXCESS_FAILED_LOGON_SERVER
PH_RULE_EXCESS_FAILED_LOGON_VPN
PH_RULE_EXCESS_FAILED_LOGON_WIRELESS
PH_RULE_EXCESS_FAILED_PRIV_LOGON_SERVER
PH_RULE_REPEAT_EXCESS_FAILED_LOGON_WEB
PH_USER_MON_SUDDEN_LOC_CHANGE</t>
  </si>
  <si>
    <t xml:space="preserve">Crowdstrike-Falcon-CorrelationRuleDetectionSummaryEvent
Crowdstrike-Falcon-FcsIoaDetectionSummaryEvent
Crowdstrike-Falcon-IdentityProtectionEvent
Crowdstrike-Falcon-IdpDetectionSummaryEvent</t>
  </si>
  <si>
    <t xml:space="preserve">Crowdstrike-Falcon-EppDetectionSummaryEvent-authentication-bypass
Crowdstrike-Falcon-EppDetectionSummaryEvent-authentication-bypass-block
Crowdstrike-Falcon-EppDetectionSummaryEvent-credential-theft
Crowdstrike-Falcon-EppDetectionSummaryEvent-credential-theft-allow
Crowdstrike-Falcon-EppDetectionSummaryEvent-credential-theft-block
Crowdstrike-Falcon-EppDetectionSummaryEvent-privilege-escalation
Crowdstrike-Falcon-EppDetectionSummaryEvent-privilege-escalation-allow
Crowdstrike-Falcon-EppDetectionSummaryEvent-privilege-escalation-block
Group@PH_SYS_EVENT_Worm_Found</t>
  </si>
  <si>
    <t xml:space="preserve">CyberArk-Vault-10
CyberArk-Vault-130
CyberArk-Vault-137
CyberArk-Vault-15
CyberArk-Vault-18
CyberArk-Vault-204
CyberArk-Vault-205
CyberArk-Vault-301
CyberArk-Vault-362
CyberArk-Vault-366
CyberArk-Vault-375
CyberArk-Vault-379
CyberArk-Vault-403
CyberArk-Vault-408
CyberArk-Vault-409
CyberArk-Vault-413
CyberArk-Vault-5</t>
  </si>
  <si>
    <t xml:space="preserve">FortiDeceptor-IPS_attack
Group@PH_SYS_EVENT_HostAccountLocked
Group@PH_SYS_EVENT_SuspiciousLogon</t>
  </si>
  <si>
    <t xml:space="preserve">FortiGate-ips-signature-43737
FortiGate-ips-signature-44754
FortiGate-ips-signature-46273
FortiGate-ips-signature-46946
FortiGate-ips-signature-48666
FortiGate-ips-signature-52317
FortiGate-ips-signature-53315
FortiGate-ips-signature-53324
FortiProxy-ips-signature-43737
FortiProxy-ips-signature-44754
FortiProxy-ips-signature-46273
FortiProxy-ips-signature-46946
FortiProxy-ips-signature-48666
FortiProxy-ips-signature-52317
FortiProxy-ips-signature-53315
FortiProxy-ips-signature-53324
Group@PH_SYS_EVENT_Worm_Found</t>
  </si>
  <si>
    <t xml:space="preserve">FMGR-dvm-Dvmlog-Notice
FMGR-dvm-Generic-Info
FortiClient-vulnerabilityscan-vulnerability-record
FortiGate-event-admin-action
FortiGate-event-admin-add
FortiGate-event-admin-delete
FortiGate-event-gui-chg-sub-module
FortiGate-ips-signature-27845
FortiGate-ips-signature-31752
FortiGate-ips-signature-40772
FortiGate-ips-signature-40774
FortiGate-ips-signature-43619
FortiGate-ips-signature-43737
FortiGate-ips-signature-43872
FortiGate-ips-signature-44501
FortiGate-ips-signature-44585
FortiGate-ips-signature-44738
FortiGate-ips-signature-44754
FortiGate-ips-signature-44947
FortiGate-ips-signature-45494
FortiGate-ips-signature-45752
FortiGate-ips-signature-45765
FortiGate-ips-signature-45987
FortiGate-ips-signature-45993
FortiGate-ips-signature-46083
FortiGate-ips-signature-46273
FortiGate-ips-signature-46946
FortiGate-ips-signature-47291
FortiGate-ips-signature-47699
FortiGate-ips-signature-48188
FortiGate-ips-signature-48666
FortiGate-ips-signature-48753
FortiGate-ips-signature-48765
FortiGate-ips-signature-48789
FortiGate-ips-signature-49499
FortiGate-ips-signature-49950
FortiGate-ips-signature-50017
FortiGate-ips-signature-50440
FortiGate-ips-signature-50501
FortiGate-ips-signature-50553
FortiGate-ips-signature-50584
FortiGate-ips-signature-50695
FortiGate-ips-signature-50704
FortiGate-ips-signature-50738
FortiGate-ips-signature-50825
FortiGate-ips-signature-50857
FortiGate-ips-signature-50872
FortiGate-ips-signature-50901
FortiGate-ips-signature-50945
FortiGate-ips-signature-51006
FortiGate-ips-signature-51057
FortiGate-ips-signature-51068
FortiGate-ips-signature-51134
FortiGate-ips-signature-51355
FortiGate-ips-signature-51468
FortiGate-ips-signature-51469
FortiGate-ips-signature-51512
FortiGate-ips-signature-51534
FortiGate-ips-signature-51566
FortiGate-ips-signature-51648
FortiGate-ips-signature-51924
FortiGate-ips-signature-51928
FortiGate-ips-signature-51994
FortiGate-ips-signature-52145
FortiGate-ips-signature-52148
FortiGate-ips-signature-52227
FortiGate-ips-signature-52237
FortiGate-ips-signature-52258
FortiGate-ips-signature-52307
FortiGate-ips-signature-52317
FortiGate-ips-signature-52456
FortiGate-ips-signature-52567
FortiGate-ips-signature-52571
FortiGate-ips-signature-52630
FortiGate-ips-signature-52651
FortiGate-ips-signature-52658
FortiGate-ips-signature-52677
FortiGate-ips-signature-52696
FortiGate-ips-signature-52742
FortiGate-ips-signature-52754
FortiGate-ips-signature-52796
FortiGate-ips-signature-52899
FortiGate-ips-signature-52900
FortiGate-ips-signature-53203
FortiGate-ips-signature-53240
FortiGate-ips-signature-53241
FortiGate-ips-signature-53295
FortiGate-ips-signature-53315
FortiGate-ips-signature-53324
FortiGate-ips-signature-53373
FortiGate-ips-signature-53409
FortiGate-ips-signature-53419
FortiGate-ips-signature-53518
FortiGate-ips-signature-53534
FortiGate-ips-signature-53914
FortiGate-ips-signature-53952
FortiGate-ips-signature-54090
FortiGate-ips-signature-54224
FortiGate-ips-signature-54310
FortiGate-ips-signature-54343
FortiGate-ips-signature-54499
FortiGate-ips-signature-54588
FortiGate-ips-signature-54616
FortiGate-ips-signature-54621
FortiGate-ips-signature-54714
FortiGate-ips-signature-54906
FortiGate-ips-signature-54915
FortiGate-ips-signature-55174
FortiGate-ips-signature-55438
FortiGate-ips-signature-55518
FortiGate-ips-signature-55555
FortiGate-ips-signature-55710
FortiGate-ips-signature-55717
FortiGate-ips-signature-55887
FortiGate-ips-signature-55956
FortiGate-ips-signature-56197
FortiGate-ips-signature-56273
FortiGate-ips-signature-56373
FortiGate-ips-signature-56651
FortiGate-ips-signature-56685
FortiGate-ips-signature-56686
FortiGate-ips-signature-56709
FortiGate-ips-signature-56710
FortiGate-ips-signature-56726
FortiGate-ips-signature-56727
FortiGate-ips-signature-56728
FortiGate-ips-signature-56745
FortiGate-ips-signature-56818
FortiGate-ips-signature-56825
FortiGate-ips-signature-56827
FortiGate-ips-signature-56828
FortiGate-ips-signature-56894
FortiGate-ips-signature-56897
FortiGate-ips-signature-56966
FortiGate-ips-signature-56968
FortiGate-ips-signature-56969
FortiGate-ips-signature-57031
FortiGate-ips-signature-57080
FortiGate-ips-signature-57217
FortiGate-ips-signature-57264
FortiGate-ips-signature-57559
FortiGate-ips-signature-57653
FortiGate-ips-signature-57790
FortiGate-ips-signature-57882
FortiGate-ips-signature-58181
FortiGate-ips-signature-58317
FortiGate-ips-signature-58380
FortiGate-ips-signature-59073
FortiGate-ips-signature-59120
FortiGate-ips-signature-59548
FortiGate-ips-signature-59550
FortiGate-ips-signature-59644
FortiGate-ips-signature-59887
FortiGate-ips-signature-60095
FortiGate-ips-signature-60097
FortiGate-ips-signature-60635
FortiGate-ips-signature-61018
FortiGate-ips-signature-61037
FortiGate-ips-signature-61065
FortiGate-ips-signature-61172
FortiGate-ips-signature-61474
FortiProxy-event-admin-action
FortiProxy-ips-signature-27845
FortiProxy-ips-signature-31752
FortiProxy-ips-signature-40772
FortiProxy-ips-signature-40774
FortiProxy-ips-signature-43619
FortiProxy-ips-signature-43737
FortiProxy-ips-signature-43872
FortiProxy-ips-signature-44501
FortiProxy-ips-signature-44585
FortiProxy-ips-signature-44738
FortiProxy-ips-signature-44754
FortiProxy-ips-signature-44947
FortiProxy-ips-signature-45494
FortiProxy-ips-signature-45752
FortiProxy-ips-signature-45765
FortiProxy-ips-signature-45987
FortiProxy-ips-signature-45993
FortiProxy-ips-signature-46083
FortiProxy-ips-signature-46273
FortiProxy-ips-signature-46946
FortiProxy-ips-signature-47291
FortiProxy-ips-signature-47699
FortiProxy-ips-signature-48188
FortiProxy-ips-signature-48666
FortiProxy-ips-signature-48753
FortiProxy-ips-signature-48765
FortiProxy-ips-signature-48789
FortiProxy-ips-signature-49499
FortiProxy-ips-signature-49950
FortiProxy-ips-signature-50017
FortiProxy-ips-signature-50440
FortiProxy-ips-signature-50501
FortiProxy-ips-signature-50553
FortiProxy-ips-signature-50584
FortiProxy-ips-signature-50695
FortiProxy-ips-signature-50704
FortiProxy-ips-signature-50738
FortiProxy-ips-signature-50825
FortiProxy-ips-signature-50857
FortiProxy-ips-signature-50872
FortiProxy-ips-signature-50901
FortiProxy-ips-signature-50945
FortiProxy-ips-signature-51006
FortiProxy-ips-signature-51057
FortiProxy-ips-signature-51068
FortiProxy-ips-signature-51134
FortiProxy-ips-signature-51355
FortiProxy-ips-signature-51468
FortiProxy-ips-signature-51469
FortiProxy-ips-signature-51512
FortiProxy-ips-signature-51534
FortiProxy-ips-signature-51566
FortiProxy-ips-signature-51648
FortiProxy-ips-signature-51924
FortiProxy-ips-signature-51928
FortiProxy-ips-signature-51994
FortiProxy-ips-signature-52145
FortiProxy-ips-signature-52148
FortiProxy-ips-signature-52227
FortiProxy-ips-signature-52237
FortiProxy-ips-signature-52258
FortiProxy-ips-signature-52307
FortiProxy-ips-signature-52317
FortiProxy-ips-signature-52456
FortiProxy-ips-signature-52567
FortiProxy-ips-signature-52571
FortiProxy-ips-signature-52630
FortiProxy-ips-signature-52651
FortiProxy-ips-signature-52658
FortiProxy-ips-signature-52677
FortiProxy-ips-signature-52696
FortiProxy-ips-signature-52742
FortiProxy-ips-signature-52754
FortiProxy-ips-signature-52796
FortiProxy-ips-signature-52899
FortiProxy-ips-signature-52900
FortiProxy-ips-signature-53203
FortiProxy-ips-signature-53240
FortiProxy-ips-signature-53241
FortiProxy-ips-signature-53295
FortiProxy-ips-signature-53315
FortiProxy-ips-signature-53324
FortiProxy-ips-signature-53373
FortiProxy-ips-signature-53409
FortiProxy-ips-signature-53419
FortiProxy-ips-signature-53518
FortiProxy-ips-signature-53534
FortiProxy-ips-signature-53914
FortiProxy-ips-signature-53952
FortiProxy-ips-signature-54090
FortiProxy-ips-signature-54224
FortiProxy-ips-signature-54310
FortiProxy-ips-signature-54343
FortiProxy-ips-signature-54499
FortiProxy-ips-signature-54588
FortiProxy-ips-signature-54616
FortiProxy-ips-signature-54621
FortiProxy-ips-signature-54714
FortiProxy-ips-signature-54906
FortiProxy-ips-signature-54915
FortiProxy-ips-signature-55174
FortiProxy-ips-signature-55438
FortiProxy-ips-signature-55518
FortiProxy-ips-signature-55555
FortiProxy-ips-signature-55710
FortiProxy-ips-signature-55717
FortiProxy-ips-signature-55887
FortiProxy-ips-signature-55956
FortiProxy-ips-signature-56197
FortiProxy-ips-signature-56273
FortiProxy-ips-signature-56373
FortiProxy-ips-signature-56651
FortiProxy-ips-signature-56685
FortiProxy-ips-signature-56686
FortiProxy-ips-signature-56709
FortiProxy-ips-signature-56710
FortiProxy-ips-signature-56726
FortiProxy-ips-signature-56727
FortiProxy-ips-signature-56728
FortiProxy-ips-signature-56745
FortiProxy-ips-signature-56818
FortiProxy-ips-signature-56825
FortiProxy-ips-signature-56827
FortiProxy-ips-signature-56828
FortiProxy-ips-signature-56894
FortiProxy-ips-signature-56897
FortiProxy-ips-signature-56966
FortiProxy-ips-signature-56968
FortiProxy-ips-signature-56969
FortiProxy-ips-signature-57031
FortiProxy-ips-signature-57080
FortiProxy-ips-signature-57217
FortiProxy-ips-signature-57264
FortiProxy-ips-signature-57559
FortiProxy-ips-signature-57653
FortiProxy-ips-signature-57790
FortiProxy-ips-signature-57882
FortiProxy-ips-signature-58181
FortiProxy-ips-signature-58317
FortiProxy-ips-signature-58380
FortiProxy-ips-signature-59073
FortiProxy-ips-signature-59120
FortiProxy-ips-signature-59548
FortiProxy-ips-signature-59550
FortiProxy-ips-signature-59644
FortiProxy-ips-signature-59887
FortiProxy-ips-signature-60095
FortiProxy-ips-signature-60097
FortiProxy-ips-signature-60635
FortiProxy-ips-signature-61018
FortiProxy-ips-signature-61037
FortiProxy-ips-signature-61065
FortiProxy-ips-signature-61172
FortiProxy-ips-signature-61474
FortiWeb-20000010
Group@PH_SYS_EVENT_ARPExploit
Group@PH_SYS_EVENT_AppLogonFailure
Group@PH_SYS_EVENT_AppLogonSuccess
Group@PH_SYS_EVENT_DBLogonFailure
Group@PH_SYS_EVENT_DBLogonSuccess
Group@PH_SYS_EVENT_DomainLogonFailure
Group@PH_SYS_EVENT_DomainLogonSuccess
Group@PH_SYS_EVENT_FortiGate_AV_Detected
Group@PH_SYS_EVENT_HostAccountLocked
Group@PH_SYS_EVENT_HostLogonFailure
Group@PH_SYS_EVENT_HostLogonSuccess
Group@PH_SYS_EVENT_HostPrivExecFailure
Group@PH_SYS_EVENT_HostPrivLogonSuccess
Group@PH_SYS_EVENT_Logon
Group@PH_SYS_EVENT_LogonFailure
Group@PH_SYS_EVENT_MultipleAppLogonFailure
Group@PH_SYS_EVENT_MultipleDBLogonFailure
Group@PH_SYS_EVENT_MultipleDomainLogonFailure
Group@PH_SYS_EVENT_MultipleHostLogonFailure
Group@PH_SYS_EVENT_MultipleVPNLogonFailure
Group@PH_SYS_EVENT_MultipleWebLogonFailure
Group@PH_SYS_EVENT_PermitNetTraffic
Group@PH_SYS_EVENT_PermitWebTraffic
Group@PH_SYS_EVENT_PrivEscalationExploit
Group@PH_SYS_EVENT_ReplayExploit
Group@PH_SYS_EVENT_SessionHijackExploit
Group@PH_SYS_EVENT_SpoofExploit
Group@PH_SYS_EVENT_VMware_LogonFailure
Group@PH_SYS_EVENT_VMware_LogonSuccess
Group@PH_SYS_EVENT_VPNLogoff
Group@PH_SYS_EVENT_VPNLogonFailure
Group@PH_SYS_EVENT_VPNLogonSuccess
Group@PH_SYS_EVENT_WebLogonFailure
Group@PH_SYS_EVENT_WebLogonSuccess
Group@PH_SYS_EVENT_WirelessLogonSuccess
Group@PH_SYS_EVENT_WirelessMITM
Group@PH_SYS_EVENT_Worm_Found
PH_ANOMALY_LATERAL_MOVEMENT_DETECT
PH_RULE_EXCESS_FAILED_LOGON_2_NET_DEV
PH_RULE_EXCESS_FAILED_LOGON_APPL
PH_RULE_EXCESS_FAILED_LOGON_DB
PH_RULE_EXCESS_FAILED_LOGON_DOMAIN
PH_RULE_EXCESS_FAILED_LOGON_NET_DEV
PH_RULE_EXCESS_FAILED_LOGON_SERVER
PH_RULE_EXCESS_FAILED_LOGON_VPN
PH_RULE_EXCESS_FAILED_LOGON_WIRELESS
PH_RULE_EXCESS_FAILED_PRIV_LOGON_SERVER
PH_RULE_REPEAT_EXCESS_FAILED_LOGON_WEB
PH_USER_MON_SUDDEN_LOC_CHANGE</t>
  </si>
  <si>
    <t xml:space="preserve">FMGR-dvm-Dvmlog-Notice
FMGR-dvm-Generic-Info
Group@PH_SYS_EVENT_PermitNetTraffic
Group@PH_SYS_EVENT_PermitWebTraffic</t>
  </si>
  <si>
    <t xml:space="preserve">FortiClient-vulnerabilityscan-vulnerability-record
FortiGate-event-admin-action
FortiGate-event-gui-chg-sub-module
FortiGate-ips-signature-27845
FortiGate-ips-signature-31752
FortiGate-ips-signature-40772
FortiGate-ips-signature-40774
FortiGate-ips-signature-43619
FortiGate-ips-signature-43737
FortiGate-ips-signature-43872
FortiGate-ips-signature-44501
FortiGate-ips-signature-44585
FortiGate-ips-signature-44738
FortiGate-ips-signature-44754
FortiGate-ips-signature-44947
FortiGate-ips-signature-45494
FortiGate-ips-signature-45752
FortiGate-ips-signature-45765
FortiGate-ips-signature-45987
FortiGate-ips-signature-45993
FortiGate-ips-signature-46083
FortiGate-ips-signature-46273
FortiGate-ips-signature-46946
FortiGate-ips-signature-47291
FortiGate-ips-signature-47699
FortiGate-ips-signature-48188
FortiGate-ips-signature-48666
FortiGate-ips-signature-48753
FortiGate-ips-signature-48765
FortiGate-ips-signature-48789
FortiGate-ips-signature-49499
FortiGate-ips-signature-49950
FortiGate-ips-signature-50017
FortiGate-ips-signature-50440
FortiGate-ips-signature-50501
FortiGate-ips-signature-50553
FortiGate-ips-signature-50584
FortiGate-ips-signature-50695
FortiGate-ips-signature-50704
FortiGate-ips-signature-50738
FortiGate-ips-signature-50825
FortiGate-ips-signature-50857
FortiGate-ips-signature-50872
FortiGate-ips-signature-50901
FortiGate-ips-signature-50945
FortiGate-ips-signature-51006
FortiGate-ips-signature-51057
FortiGate-ips-signature-51068
FortiGate-ips-signature-51134
FortiGate-ips-signature-51355
FortiGate-ips-signature-51468
FortiGate-ips-signature-51469
FortiGate-ips-signature-51512
FortiGate-ips-signature-51534
FortiGate-ips-signature-51566
FortiGate-ips-signature-51648
FortiGate-ips-signature-51924
FortiGate-ips-signature-51928
FortiGate-ips-signature-51994
FortiGate-ips-signature-52145
FortiGate-ips-signature-52148
FortiGate-ips-signature-52227
FortiGate-ips-signature-52237
FortiGate-ips-signature-52258
FortiGate-ips-signature-52307
FortiGate-ips-signature-52317
FortiGate-ips-signature-52456
FortiGate-ips-signature-52567
FortiGate-ips-signature-52571
FortiGate-ips-signature-52630
FortiGate-ips-signature-52651
FortiGate-ips-signature-52658
FortiGate-ips-signature-52677
FortiGate-ips-signature-52696
FortiGate-ips-signature-52742
FortiGate-ips-signature-52754
FortiGate-ips-signature-52796
FortiGate-ips-signature-52899
FortiGate-ips-signature-52900
FortiGate-ips-signature-53203
FortiGate-ips-signature-53240
FortiGate-ips-signature-53241
FortiGate-ips-signature-53295
FortiGate-ips-signature-53315
FortiGate-ips-signature-53324
FortiGate-ips-signature-53373
FortiGate-ips-signature-53409
FortiGate-ips-signature-53419
FortiGate-ips-signature-53518
FortiGate-ips-signature-53534
FortiGate-ips-signature-53914
FortiGate-ips-signature-53952
FortiGate-ips-signature-54090
FortiGate-ips-signature-54224
FortiGate-ips-signature-54310
FortiGate-ips-signature-54343
FortiGate-ips-signature-54499
FortiGate-ips-signature-54588
FortiGate-ips-signature-54616
FortiGate-ips-signature-54621
FortiGate-ips-signature-54714
FortiGate-ips-signature-54906
FortiGate-ips-signature-54915
FortiGate-ips-signature-55174
FortiGate-ips-signature-55438
FortiGate-ips-signature-55518
FortiGate-ips-signature-55555
FortiGate-ips-signature-55710
FortiGate-ips-signature-55717
FortiGate-ips-signature-55887
FortiGate-ips-signature-55956
FortiGate-ips-signature-56197
FortiGate-ips-signature-56273
FortiGate-ips-signature-56373
FortiGate-ips-signature-56651
FortiGate-ips-signature-56685
FortiGate-ips-signature-56686
FortiGate-ips-signature-56709
FortiGate-ips-signature-56710
FortiGate-ips-signature-56726
FortiGate-ips-signature-56727
FortiGate-ips-signature-56728
FortiGate-ips-signature-56745
FortiGate-ips-signature-56818
FortiGate-ips-signature-56825
FortiGate-ips-signature-56827
FortiGate-ips-signature-56828
FortiGate-ips-signature-56894
FortiGate-ips-signature-56897
FortiGate-ips-signature-56966
FortiGate-ips-signature-56968
FortiGate-ips-signature-56969
FortiGate-ips-signature-57031
FortiGate-ips-signature-57080
FortiGate-ips-signature-57217
FortiGate-ips-signature-57264
FortiGate-ips-signature-57559
FortiGate-ips-signature-57653
FortiGate-ips-signature-57790
FortiGate-ips-signature-57882
FortiGate-ips-signature-58181
FortiGate-ips-signature-58317
FortiGate-ips-signature-58380
FortiGate-ips-signature-59073
FortiGate-ips-signature-59120
FortiGate-ips-signature-59548
FortiGate-ips-signature-59550
FortiGate-ips-signature-59644
FortiGate-ips-signature-59887
FortiGate-ips-signature-60095
FortiGate-ips-signature-60097
FortiGate-ips-signature-60635
FortiGate-ips-signature-61018
FortiGate-ips-signature-61037
FortiGate-ips-signature-61065
FortiGate-ips-signature-61172
FortiGate-ips-signature-61474
FortiProxy-event-admin-action
FortiProxy-ips-signature-27845
FortiProxy-ips-signature-31752
FortiProxy-ips-signature-40772
FortiProxy-ips-signature-40774
FortiProxy-ips-signature-43619
FortiProxy-ips-signature-43737
FortiProxy-ips-signature-43872
FortiProxy-ips-signature-44501
FortiProxy-ips-signature-44585
FortiProxy-ips-signature-44738
FortiProxy-ips-signature-44754
FortiProxy-ips-signature-44947
FortiProxy-ips-signature-45494
FortiProxy-ips-signature-45752
FortiProxy-ips-signature-45765
FortiProxy-ips-signature-45987
FortiProxy-ips-signature-45993
FortiProxy-ips-signature-46083
FortiProxy-ips-signature-46273
FortiProxy-ips-signature-46946
FortiProxy-ips-signature-47291
FortiProxy-ips-signature-47699
FortiProxy-ips-signature-48188
FortiProxy-ips-signature-48666
FortiProxy-ips-signature-48753
FortiProxy-ips-signature-48765
FortiProxy-ips-signature-48789
FortiProxy-ips-signature-49499
FortiProxy-ips-signature-49950
FortiProxy-ips-signature-50017
FortiProxy-ips-signature-50440
FortiProxy-ips-signature-50501
FortiProxy-ips-signature-50553
FortiProxy-ips-signature-50584
FortiProxy-ips-signature-50695
FortiProxy-ips-signature-50704
FortiProxy-ips-signature-50738
FortiProxy-ips-signature-50825
FortiProxy-ips-signature-50857
FortiProxy-ips-signature-50872
FortiProxy-ips-signature-50901
FortiProxy-ips-signature-50945
FortiProxy-ips-signature-51006
FortiProxy-ips-signature-51057
FortiProxy-ips-signature-51068
FortiProxy-ips-signature-51134
FortiProxy-ips-signature-51355
FortiProxy-ips-signature-51468
FortiProxy-ips-signature-51469
FortiProxy-ips-signature-51512
FortiProxy-ips-signature-51534
FortiProxy-ips-signature-51566
FortiProxy-ips-signature-51648
FortiProxy-ips-signature-51924
FortiProxy-ips-signature-51928
FortiProxy-ips-signature-51994
FortiProxy-ips-signature-52145
FortiProxy-ips-signature-52148
FortiProxy-ips-signature-52227
FortiProxy-ips-signature-52237
FortiProxy-ips-signature-52258
FortiProxy-ips-signature-52307
FortiProxy-ips-signature-52317
FortiProxy-ips-signature-52456
FortiProxy-ips-signature-52567
FortiProxy-ips-signature-52571
FortiProxy-ips-signature-52630
FortiProxy-ips-signature-52651
FortiProxy-ips-signature-52658
FortiProxy-ips-signature-52677
FortiProxy-ips-signature-52696
FortiProxy-ips-signature-52742
FortiProxy-ips-signature-52754
FortiProxy-ips-signature-52796
FortiProxy-ips-signature-52899
FortiProxy-ips-signature-52900
FortiProxy-ips-signature-53203
FortiProxy-ips-signature-53240
FortiProxy-ips-signature-53241
FortiProxy-ips-signature-53295
FortiProxy-ips-signature-53315
FortiProxy-ips-signature-53324
FortiProxy-ips-signature-53373
FortiProxy-ips-signature-53409
FortiProxy-ips-signature-53419
FortiProxy-ips-signature-53518
FortiProxy-ips-signature-53534
FortiProxy-ips-signature-53914
FortiProxy-ips-signature-53952
FortiProxy-ips-signature-54090
FortiProxy-ips-signature-54224
FortiProxy-ips-signature-54310
FortiProxy-ips-signature-54343
FortiProxy-ips-signature-54499
FortiProxy-ips-signature-54588
FortiProxy-ips-signature-54616
FortiProxy-ips-signature-54621
FortiProxy-ips-signature-54714
FortiProxy-ips-signature-54906
FortiProxy-ips-signature-54915
FortiProxy-ips-signature-55174
FortiProxy-ips-signature-55438
FortiProxy-ips-signature-55518
FortiProxy-ips-signature-55555
FortiProxy-ips-signature-55710
FortiProxy-ips-signature-55717
FortiProxy-ips-signature-55887
FortiProxy-ips-signature-55956
FortiProxy-ips-signature-56197
FortiProxy-ips-signature-56273
FortiProxy-ips-signature-56373
FortiProxy-ips-signature-56651
FortiProxy-ips-signature-56685
FortiProxy-ips-signature-56686
FortiProxy-ips-signature-56709
FortiProxy-ips-signature-56710
FortiProxy-ips-signature-56726
FortiProxy-ips-signature-56727
FortiProxy-ips-signature-56728
FortiProxy-ips-signature-56745
FortiProxy-ips-signature-56818
FortiProxy-ips-signature-56825
FortiProxy-ips-signature-56827
FortiProxy-ips-signature-56828
FortiProxy-ips-signature-56894
FortiProxy-ips-signature-56897
FortiProxy-ips-signature-56966
FortiProxy-ips-signature-56968
FortiProxy-ips-signature-56969
FortiProxy-ips-signature-57031
FortiProxy-ips-signature-57080
FortiProxy-ips-signature-57217
FortiProxy-ips-signature-57264
FortiProxy-ips-signature-57559
FortiProxy-ips-signature-57653
FortiProxy-ips-signature-57790
FortiProxy-ips-signature-57882
FortiProxy-ips-signature-58181
FortiProxy-ips-signature-58317
FortiProxy-ips-signature-58380
FortiProxy-ips-signature-59073
FortiProxy-ips-signature-59120
FortiProxy-ips-signature-59548
FortiProxy-ips-signature-59550
FortiProxy-ips-signature-59644
FortiProxy-ips-signature-59887
FortiProxy-ips-signature-60095
FortiProxy-ips-signature-60097
FortiProxy-ips-signature-60635
FortiProxy-ips-signature-61018
FortiProxy-ips-signature-61037
FortiProxy-ips-signature-61065
FortiProxy-ips-signature-61172
FortiProxy-ips-signature-61474
FortiWeb-20000010
Group@PH_SYS_EVENT_ARPExploit
Group@PH_SYS_EVENT_AppLogonFailure
Group@PH_SYS_EVENT_AppLogonSuccess
Group@PH_SYS_EVENT_DBLogonFailure
Group@PH_SYS_EVENT_DBLogonSuccess
Group@PH_SYS_EVENT_DomainLogonFailure
Group@PH_SYS_EVENT_DomainLogonSuccess
Group@PH_SYS_EVENT_FortiGate_AV_Detected
Group@PH_SYS_EVENT_HostAccountLocked
Group@PH_SYS_EVENT_HostLogonFailure
Group@PH_SYS_EVENT_HostLogonSuccess
Group@PH_SYS_EVENT_HostPrivExecFailure
Group@PH_SYS_EVENT_HostPrivLogonSuccess
Group@PH_SYS_EVENT_Logon
Group@PH_SYS_EVENT_LogonFailure
Group@PH_SYS_EVENT_MultipleAppLogonFailure
Group@PH_SYS_EVENT_MultipleDBLogonFailure
Group@PH_SYS_EVENT_MultipleDomainLogonFailure
Group@PH_SYS_EVENT_MultipleHostLogonFailure
Group@PH_SYS_EVENT_MultipleVPNLogonFailure
Group@PH_SYS_EVENT_MultipleWebLogonFailure
Group@PH_SYS_EVENT_PermitNetTraffic
Group@PH_SYS_EVENT_PermitWebTraffic
Group@PH_SYS_EVENT_PrivEscalationExploit
Group@PH_SYS_EVENT_ReplayExploit
Group@PH_SYS_EVENT_SessionHijackExploit
Group@PH_SYS_EVENT_SpoofExploit
Group@PH_SYS_EVENT_VMware_LogonFailure
Group@PH_SYS_EVENT_VMware_LogonSuccess
Group@PH_SYS_EVENT_VPNLogoff
Group@PH_SYS_EVENT_VPNLogonFailure
Group@PH_SYS_EVENT_VPNLogonSuccess
Group@PH_SYS_EVENT_WebLogonFailure
Group@PH_SYS_EVENT_WebLogonSuccess
Group@PH_SYS_EVENT_WirelessLogonSuccess
Group@PH_SYS_EVENT_WirelessMITM
Group@PH_SYS_EVENT_Worm_Found
PH_ANOMALY_LATERAL_MOVEMENT_DETECT
PH_RULE_EXCESS_FAILED_LOGON_2_NET_DEV
PH_RULE_EXCESS_FAILED_LOGON_APPL
PH_RULE_EXCESS_FAILED_LOGON_DB
PH_RULE_EXCESS_FAILED_LOGON_DOMAIN
PH_RULE_EXCESS_FAILED_LOGON_NET_DEV
PH_RULE_EXCESS_FAILED_LOGON_SERVER
PH_RULE_EXCESS_FAILED_LOGON_VPN
PH_RULE_EXCESS_FAILED_LOGON_WIRELESS
PH_RULE_EXCESS_FAILED_PRIV_LOGON_SERVER
PH_RULE_REPEAT_EXCESS_FAILED_LOGON_WEB
PH_USER_MON_SUDDEN_LOC_CHANGE</t>
  </si>
  <si>
    <t xml:space="preserve">FortiRecon-easm-certificate_issues
FortiRecon-easm-reputation
Group@PH_SYS_EVENT_ExposedService</t>
  </si>
  <si>
    <t xml:space="preserve">Group@PH_SYS_EVENT_AppLogonSuccess
Group@PH_SYS_EVENT_DomainLogonFailure
Group@PH_SYS_EVENT_DomainLogonSuccess
Group@PH_SYS_EVENT_HostLogonFailure
Group@PH_SYS_EVENT_HostLogonSuccess
Group@PH_SYS_EVENT_HostPrivLogonFailure
Group@PH_SYS_EVENT_HostPrivLogonSuccess
Group@PH_SYS_EVENT_Logon
Group@PH_SYS_EVENT_LogonFailure
Group@PH_SYS_EVENT_MultipleDomainLogonFailure
Group@PH_SYS_EVENT_MultipleHostLogonFailure
Group@PH_SYS_EVENT_VMware_LogonFailure
Group@PH_SYS_EVENT_VMware_LogonSuccess
Group@PH_SYS_EVENT_VPNLogonSuccess
Group@PH_SYS_EVENT_WebLogonFailure
Group@PH_SYS_EVENT_WirelessLogonSuccess
PH_ANOMALY_LATERAL_MOVEMENT_DETECT
PH_AUDIT_ACCOUNT_LOCKED
PH_RULE_EXCESS_FAILED_LOGON_APPL
PH_RULE_EXCESS_FAILED_LOGON_DB
PH_RULE_EXCESS_FAILED_LOGON_DOMAIN
PH_RULE_EXCESS_FAILED_LOGON_NET_DEV
PH_RULE_EXCESS_FAILED_LOGON_SERVER
PH_RULE_EXCESS_FAILED_LOGON_VPN
PH_RULE_EXCESS_FAILED_LOGON_WIRELESS
PH_RULE_EXCESS_FAILED_PRIV_LOGON_SERVER
PH_RULE_REPEAT_EXCESS_FAILED_LOGON_WEB
PH_USER_MON_SUDDEN_LOC_CHANGE</t>
  </si>
  <si>
    <t xml:space="preserve">CONTAIN:FortiWeb-
FortiWeb-20000010
Group@PH_SYS_EVENT_AppLogonSuccess
Group@PH_SYS_EVENT_DomainLogonFailure
Group@PH_SYS_EVENT_DomainLogonSuccess
Group@PH_SYS_EVENT_HostLogonFailure
Group@PH_SYS_EVENT_HostLogonSuccess
Group@PH_SYS_EVENT_HostPrivLogonSuccess
Group@PH_SYS_EVENT_Logon
Group@PH_SYS_EVENT_LogonFailure
Group@PH_SYS_EVENT_MultipleDomainLogonFailure
Group@PH_SYS_EVENT_MultipleHostLogonFailure
Group@PH_SYS_EVENT_VMware_LogonFailure
Group@PH_SYS_EVENT_VMware_LogonSuccess
Group@PH_SYS_EVENT_VPNLogonSuccess
Group@PH_SYS_EVENT_WirelessLogonSuccess
PH_ANOMALY_LATERAL_MOVEMENT_DETECT
PH_RULE_EXCESS_FAILED_LOGON_2_NET_DEV
PH_RULE_EXCESS_FAILED_LOGON_APPL
PH_RULE_EXCESS_FAILED_LOGON_DB
PH_RULE_EXCESS_FAILED_LOGON_DOMAIN
PH_RULE_EXCESS_FAILED_LOGON_NET_DEV
PH_RULE_EXCESS_FAILED_LOGON_SERVER
PH_RULE_EXCESS_FAILED_LOGON_VPN
PH_RULE_EXCESS_FAILED_LOGON_WIRELESS
PH_RULE_EXCESS_FAILED_PRIV_LOGON_SERVER
PH_RULE_REPEAT_EXCESS_FAILED_LOGON_WEB
PH_USER_MON_SUDDEN_LOC_CHANGE</t>
  </si>
  <si>
    <t xml:space="preserve">GCP_Audit_activity_CreateRole
GCP_Audit_activity_CreateServiceAccount
GCP_Audit_activity_CreateServiceAccountKey
GCP_Audit_activity_DeleteRole
GCP_Audit_activity_DeleteServiceAccount
GCP_Audit_activity_DeleteServiceAccountKey
GCP_Audit_activity_DisableServiceAccount
GCP_Audit_activity_SetIamPolicy_ADD</t>
  </si>
  <si>
    <t xml:space="preserve">Google_Apps_DELEGATED_ADMIN_SETTINGS_ADD_PRIVILEGE
Google_Apps_DELEGATED_ADMIN_SETTINGS_ASSIGN_ROLE
Google_Apps_DELEGATED_ADMIN_SETTINGS_CREATE_ROLE
Google_Apps_DOMAIN_SETTINGS_AUTHORIZE_API_CLIENT_ACCESS
Google_Apps_login_login_success</t>
  </si>
  <si>
    <t xml:space="preserve">Group@PH_SYS_EVENT_AppLogonFailure
Group@PH_SYS_EVENT_AppLogonSuccess
Group@PH_SYS_EVENT_DBLogonFailure
Group@PH_SYS_EVENT_DBLogonSuccess
Group@PH_SYS_EVENT_DomainLogonFailure
Group@PH_SYS_EVENT_DomainLogonSuccess
Group@PH_SYS_EVENT_HostLogonFailure
Group@PH_SYS_EVENT_HostLogonSuccess
Group@PH_SYS_EVENT_HostPrivLogonSuccess
Group@PH_SYS_EVENT_Logon
Group@PH_SYS_EVENT_LogonFailure
Group@PH_SYS_EVENT_MultipleAppLogonFailure
Group@PH_SYS_EVENT_MultipleDBLogonFailure
Group@PH_SYS_EVENT_MultipleDomainLogonFailure
Group@PH_SYS_EVENT_MultipleHostLogonFailure
Group@PH_SYS_EVENT_MultipleVPNLogonFailure
Group@PH_SYS_EVENT_MultipleWebLogonFailure
Group@PH_SYS_EVENT_VMware_LogonFailure
Group@PH_SYS_EVENT_VMware_LogonSuccess
Group@PH_SYS_EVENT_VPNLogoff
Group@PH_SYS_EVENT_VPNLogonFailure
Group@PH_SYS_EVENT_VPNLogonSuccess
Group@PH_SYS_EVENT_WebLogonFailure
Group@PH_SYS_EVENT_WebLogonSuccess
Group@PH_SYS_EVENT_WirelessLogonSuccess
PH_ANOMALY_LATERAL_MOVEMENT_DETECT
PH_RULE_EXCESS_FAILED_LOGON_2_NET_DEV
PH_RULE_EXCESS_FAILED_LOGON_APPL
PH_RULE_EXCESS_FAILED_LOGON_DB
PH_RULE_EXCESS_FAILED_LOGON_DOMAIN
PH_RULE_EXCESS_FAILED_LOGON_NET_DEV
PH_RULE_EXCESS_FAILED_LOGON_SERVER
PH_RULE_EXCESS_FAILED_LOGON_VPN
PH_RULE_EXCESS_FAILED_LOGON_WIRELESS
PH_RULE_EXCESS_FAILED_PRIV_LOGON_SERVER
PH_RULE_REPEAT_EXCESS_FAILED_LOGON_WEB
PH_USER_MON_SUDDEN_LOC_CHANGE</t>
  </si>
  <si>
    <t xml:space="preserve">Group@PH_SYS_EVENT_AppLogonSuccess
Group@PH_SYS_EVENT_DomainLogonFailure
Group@PH_SYS_EVENT_DomainLogonSuccess
Group@PH_SYS_EVENT_HostLogonFailure
Group@PH_SYS_EVENT_HostLogonSuccess
Group@PH_SYS_EVENT_HostPrivLogonFailure
Group@PH_SYS_EVENT_HostPrivLogonSuccess
Group@PH_SYS_EVENT_Logon
Group@PH_SYS_EVENT_LogonFailure
Group@PH_SYS_EVENT_MultipleDomainLogonFailure
Group@PH_SYS_EVENT_MultipleHostLogonFailure
Group@PH_SYS_EVENT_VMware_LogonFailure
Group@PH_SYS_EVENT_VMware_LogonSuccess
Group@PH_SYS_EVENT_VPNLogonSuccess
Group@PH_SYS_EVENT_WebLogonFailure
Group@PH_SYS_EVENT_WirelessLogonSuccess
PH_ANOMALY_LATERAL_MOVEMENT_DETECT
PH_RULE_EXCESS_FAILED_LOGON_APPL
PH_RULE_EXCESS_FAILED_LOGON_DB
PH_RULE_EXCESS_FAILED_LOGON_DOMAIN
PH_RULE_EXCESS_FAILED_LOGON_NET_DEV
PH_RULE_EXCESS_FAILED_LOGON_SERVER
PH_RULE_EXCESS_FAILED_LOGON_VPN
PH_RULE_EXCESS_FAILED_LOGON_WIRELESS
PH_RULE_EXCESS_FAILED_PRIV_LOGON_SERVER
PH_RULE_REPEAT_EXCESS_FAILED_LOGON_WEB
PH_USER_MON_SUDDEN_LOC_CHANGE</t>
  </si>
  <si>
    <t xml:space="preserve">CONTAIN:user
Group@PH_SYS_EVENT_AppLogonFailure
Group@PH_SYS_EVENT_DBLogonFailure
Group@PH_SYS_EVENT_DatabaseChange
PH_RULE_EXCESS_FAILED_LOGON_APPL
PH_RULE_EXCESS_FAILED_LOGON_DB</t>
  </si>
  <si>
    <t xml:space="preserve">Group@PH_SYS_EVENT_AppLogonFailure
Group@PH_SYS_EVENT_AppLogonSuccess
Group@PH_SYS_EVENT_DBLogonFailure
Group@PH_SYS_EVENT_DBLogonSuccess
Group@PH_SYS_EVENT_MultipleAppLogonFailure
Group@PH_SYS_EVENT_MultipleDBLogonFailure
Group@PH_SYS_EVENT_MultipleVPNLogonFailure
Group@PH_SYS_EVENT_MultipleWebLogonFailure
Group@PH_SYS_EVENT_VPNLogoff
Group@PH_SYS_EVENT_VPNLogonFailure
Group@PH_SYS_EVENT_VPNLogonSuccess
Group@PH_SYS_EVENT_WebLogonFailure
Group@PH_SYS_EVENT_WebLogonSuccess</t>
  </si>
  <si>
    <t xml:space="preserve">LINUX_Auditd_PATH
LINUX_Auditd_SYSCALL
LINUX_PROCESS_EXEC
REGEXP:FSM_LINUX_FILE_.*</t>
  </si>
  <si>
    <t xml:space="preserve">CONTAIN:Generic_Unix_
CONTAIN:Generic_Unix_User_Change
CONTAIN:Generic_Unix_User_Del_Group
Generic_Unix_User_Account_Unlocked
Generic_Unix_User_Add
Generic_Unix_User_Add_Group
Generic_Unix_User_Change_Name
Generic_Unix_User_Del
Generic_Unix_User_Del_Group
Generic_Unix_User_Password_Change
Group@PH_SYS_EVENT_AppLogonSuccess
Group@PH_SYS_EVENT_DomainLogonFailure
Group@PH_SYS_EVENT_DomainLogonSuccess
Group@PH_SYS_EVENT_HostAccountLocked
Group@PH_SYS_EVENT_HostLogonFailure
Group@PH_SYS_EVENT_HostLogonSuccess
Group@PH_SYS_EVENT_HostPrivExecFailure
Group@PH_SYS_EVENT_HostPrivLogonFailure
Group@PH_SYS_EVENT_HostPrivLogonSuccess
Group@PH_SYS_EVENT_Logon
Group@PH_SYS_EVENT_LogonFailure
Group@PH_SYS_EVENT_MultipleDomainLogonFailure
Group@PH_SYS_EVENT_MultipleHostLogonFailure
Group@PH_SYS_EVENT_VMware_LogonFailure
Group@PH_SYS_EVENT_VMware_LogonSuccess
Group@PH_SYS_EVENT_VPNLogonSuccess
Group@PH_SYS_EVENT_WebLogonFailure
Group@PH_SYS_EVENT_WirelessLogonSuccess
PH_ANOMALY_LATERAL_MOVEMENT_DETECT
PH_RULE_EXCESS_FAILED_LOGON_APPL
PH_RULE_EXCESS_FAILED_LOGON_DB
PH_RULE_EXCESS_FAILED_LOGON_DOMAIN
PH_RULE_EXCESS_FAILED_LOGON_NET_DEV
PH_RULE_EXCESS_FAILED_LOGON_SERVER
PH_RULE_EXCESS_FAILED_LOGON_VPN
PH_RULE_EXCESS_FAILED_LOGON_WIRELESS
PH_RULE_EXCESS_FAILED_PRIV_LOGON_SERVER
PH_RULE_REPEAT_EXCESS_FAILED_LOGON_WEB
PH_USER_MON_SUDDEN_LOC_CHANGE</t>
  </si>
  <si>
    <t xml:space="preserve">Generic_Unix_Successful_SSH_Login
Group@PH_SYS_EVENT_HostLogonFailure
Group@PH_SYS_EVENT_HostLogonSuccess
Group@PH_SYS_EVENT_VPNLogonSuccess
Win-Security-4624</t>
  </si>
  <si>
    <t xml:space="preserve">MSDefenderXDR-Alert-CredentialAccess-new
MSDefenderXDR-Alert-LateralMovement-new
MSDefenderXDR-Alert-PrivilegeEscalation-new
MS_EvtHub_add_eligible_member_to_role_in_pim_completed_permanent
MS_EvtHub_add_member_to_role_in_pim_completed_timebound
MS_EvtHub_add_owner_to_application
MS_EvtHub_add_owner_to_service_principal
MS_EvtHub_automation_automationaccounts_write
MS_EvtHub_consent_to_application
MS_EvtHub_disable_strong_authentication
MS_EvtHub_eventhub_namespaces_authorizationrules_write
MS_EvtHub_invite_external_user
MS_EvtHub_keyvault_vaults_write
MS_EvtHub_storage_storageaccounts_regeneratekey_action
MS_EvtHub_update_policy
MS_EvtHub_update_role_setting_in_pim</t>
  </si>
  <si>
    <t xml:space="preserve">MSDefenderXDR-Alert-CredentialAccess-new
MSDefenderXDR-Alert-LateralMovement-new
MSDefenderXDR-Alert-PrivilegeEscalation-new</t>
  </si>
  <si>
    <t xml:space="preserve">MS-Entra-AuditLogs-ApplicationMgmt-Add_service_principal_credentials-success
MS-Entra-AuditLogs-ApplicationMgmt-Update_application_Certificates_and_secrets_Mgmt-success
MS-Entra-AuditLogs-DirectoryMgmt-Set_domain_authentication-success
MS-Entra-AuditLogs-DirectoryMgmt-Set_federation_settings_on_domain-success
MS-Entra-AuditLogs-GroupMgmt-Add_member_to_group-success
MS-Entra-AuditLogs-Policy-Update_policy-success
MS-Entra-AuditLogs-RoleMgmt-Add_member_to_role-success
MS-Entra-SignInLogs-Logon-success</t>
  </si>
  <si>
    <t xml:space="preserve">MS_OFFICE365_EntraID_Add_member_to_role
MS_OFFICE365_EntraID_Disable_Strong_Authentication
MS_OFFICE365_EntraID_StsLogon_UserLoggedIn
MS_OFFICE365_EntraID_StsLogon_UserLoginFailed
MS_OFFICE365_EntraID_UserLoggedIn
MS_OFFICE365_EntraID_UserLoginFailed
MS_OFFICE365_Exchange_New-InboxRule
MS_OFFICE365_Exchange_Set-Mailbox
MS_OFFICE365_UserLoggedIn_Succeeded
MS_OFFICE365_o365_brute_force</t>
  </si>
  <si>
    <t xml:space="preserve">Group@PH_SYS_EVENT_WinClusterMembershipErr
Group@PH_SYS_EVENT_WinClusterQuorumErr
Group@PH_SYS_EVENT_WinClusterStartupErr
PH_DEV_MON_DCDIAG
PH_DEV_MON_DST_AD_REPL_STAT
PH_DEV_MON_SRC_AD_REPL_STAT
Win-App-Application-Error-1000
Win-App-MSSQLSERVER-33205</t>
  </si>
  <si>
    <t xml:space="preserve">Win-PowerShell-400
Win-PowerShell-4103
Win-PowerShell-4104
Win-Security-4688
Win-Sysmon-1-Create-Process</t>
  </si>
  <si>
    <t xml:space="preserve">CONTAIN:Win-Security
FINS-Windows-file-read
FINS-Windows-file-renamed
FINS-Windows-file-written
Group@PH_SYS_EVENT_AccountChanged
Group@PH_SYS_EVENT_AccountCreated
Group@PH_SYS_EVENT_AccountDeleted
Group@PH_SYS_EVENT_DomainLogonFailure
Group@PH_SYS_EVENT_DomainLogonSuccess
Group@PH_SYS_EVENT_FileChange
Group@PH_SYS_EVENT_GroupChanged
Group@PH_SYS_EVENT_GroupCreated
Group@PH_SYS_EVENT_GroupDeleted
Group@PH_SYS_EVENT_GroupMemberAdded
Group@PH_SYS_EVENT_GroupMemberRemoved
Group@PH_SYS_EVENT_HostLogonFailure
Group@PH_SYS_EVENT_HostLogonSuccess
PH_RULE_RANSOMWARE_DETECTED
REGEXP:Win-.*-300[^\d]*
REGEXP:Win-.*-30[^\d]*
REGEXP:Win-.*-31017[^\d]*
Win-App-Microsoft-Windows-Bits-Client-16403
Win-App-Microsoft-Windows-Bits-Client-3
Win-App-MsiInstaller-1033
Win-App-MsiInstaller-1034
Win-App-MsiInstaller-11724
Win-Firewall-AS-2002
Win-Firewall-AS-2003
Win-Firewall-AS-2004
Win-Firewall-AS-2006
Win-Firewall-AS-2008
Win-Firewall-AS-2009
Win-Firewall-AS-2032
Win-Firewall-AS-2033
Win-Firewall-AS-2052
Win-Firewall-AS-2059
Win-Firewall-AS-2060
Win-Firewall-AS-2071
Win-Firewall-AS-2082
Win-Firewall-AS-2083
Win-Firewall-AS-2097
Win-PowerShell-4104
Win-Security-1100
Win-Security-1102
Win-Security-1104
Win-Security-4611
Win-Security-4616
Win-Security-4624
Win-Security-4625
Win-Security-4634
Win-Security-4647
Win-Security-4648
Win-Security-4649
Win-Security-4656
Win-Security-4657
Win-Security-4658
Win-Security-4661
Win-Security-4662
Win-Security-4663
Win-Security-4673
Win-Security-4674
Win-Security-4688
Win-Security-4692
Win-Security-4697
Win-Security-4698
Win-Security-4699
Win-Security-4701
Win-Security-4702
Win-Security-4704
Win-Security-4706
Win-Security-4707
Win-Security-4716
Win-Security-4719
Win-Security-4720
Win-Security-4722
Win-Security-4723
Win-Security-4724
Win-Security-4725
Win-Security-4726
Win-Security-4728
Win-Security-4729
Win-Security-4730
Win-Security-4732
Win-Security-4733
Win-Security-4738
Win-Security-4741
Win-Security-4742
Win-Security-4743
Win-Security-4756
Win-Security-4757
Win-Security-4765
Win-Security-4766
Win-Security-4767
Win-Security-4768-failure
Win-Security-4768-success
Win-Security-4769-failure
Win-Security-4769-success
Win-Security-4771
Win-Security-4776-failure
Win-Security-4776-success
Win-Security-4781
Win-Security-4794
Win-Security-4800
Win-Security-4825
Win-Security-4882
Win-Security-4890
Win-Security-4891
Win-Security-4892
Win-Security-4893
Win-Security-4894
Win-Security-4898
Win-Security-4899
Win-Security-4904
Win-Security-4905
Win-Security-4906
Win-Security-5038
Win-Security-5136
Win-Security-5137
Win-Security-5140
Win-Security-5145
Win-Security-5156
Win-Security-5157
Win-Security-517
Win-Security-530
Win-Security-531
Win-Security-5379
Win-Security-5441
Win-Security-5447
Win-Security-5449
Win-Security-612
Win-Security-6281
Win-Security-629
Win-Security-632
Win-Security-633
Win-Security-634
Win-Security-6416
Win-Security-6423
Win-Security-675
Win-Security-Mitigation-11
Win-Security-Mitigation-12
Win-Sysmon-1-Create-Process
Win-System-Application-Popup-26
Win-System-EventLog-6005
Win-System-Service-Control-Manager-7045
Win-System-User32-1074
Win-TerminalServices-Gateway-200
Win-TerminalServices-Gateway-300
Win-TerminalServices-LocalSessionManager-21</t>
  </si>
  <si>
    <t xml:space="preserve">REGEXP:Win-Sysmon-12-Registry-.*|Win-Sysmon-13-Registry-.*|Win-Sysmon-14-Registry-.*
REGEXP:Win-Sysmon-12-Registry-Delete.*
REGEXP:Win-Sysmon-13-Registry-Set.*
REGEXP:Win-Sysmon-3-Network-Connect.*
Win-PowerShell-4104
Win-Security-4657
Win-Security-4688
Win-Sysmon-1-Create-Process
Win-Sysmon-10-ProcessAccess
Win-Sysmon-11-FileCreate
Win-Sysmon-17-Pipe-Created
Win-Sysmon-22-DNS-Query
Win-Sysmon-7-Image-Loaded
Win-Sysmon-8-CreateRemoteThread</t>
  </si>
  <si>
    <t xml:space="preserve">Win-System-5723
Win-System-5805
Win-System-Microsoft-Windows-CertificationAuthority-53
Win-System-Microsoft-Windows-Kerberos-Key-Distribution-Center-16
Win-System-Microsoft-Windows-Kerberos-Key-Distribution-Center-27
Win-System-Microsoft-Windows-Kerberos-Key-Distribution-Center-39
Win-System-Microsoft-Windows-Kerberos-Key-Distribution-Center-41
Win-System-Microsoft-Windows-Ntfs-98
Win-System-Service-Control-Manager-7045</t>
  </si>
  <si>
    <t xml:space="preserve">Group@PH_SYS_EVENT_DomainLogonSuccess
Group@PH_SYS_EVENT_HostLogonSuccess
PH_DISCOV_ADS_DORMANT_ACCT</t>
  </si>
  <si>
    <t xml:space="preserve">Group@PH_SYS_EVENT_AppLogonFailure
Group@PH_SYS_EVENT_AppLogonSuccess
Group@PH_SYS_EVENT_DBLogonFailure
Group@PH_SYS_EVENT_DBLogonSuccess
Group@PH_SYS_EVENT_DomainAccountLocked
Group@PH_SYS_EVENT_DomainLogonFailure
Group@PH_SYS_EVENT_DomainLogonSuccess
Group@PH_SYS_EVENT_HostAccountLocked
Group@PH_SYS_EVENT_HostLogonFailure
Group@PH_SYS_EVENT_HostLogonSuccess
Group@PH_SYS_EVENT_HostPrivLogonFailure
Group@PH_SYS_EVENT_HostPrivLogonSuccess
Group@PH_SYS_EVENT_MultipleAppLogonFailure
Group@PH_SYS_EVENT_MultipleDBLogonFailure
Group@PH_SYS_EVENT_MultipleDomainLogonFailure
Group@PH_SYS_EVENT_MultipleHostLogonFailure
Group@PH_SYS_EVENT_MultipleVPNLogonFailure
Group@PH_SYS_EVENT_MultipleWebLogonFailure
Group@PH_SYS_EVENT_VMware_LogonFailure
Group@PH_SYS_EVENT_VMware_LogonSuccess
Group@PH_SYS_EVENT_VPNLogoff
Group@PH_SYS_EVENT_VPNLogonFailure
Group@PH_SYS_EVENT_VPNLogonSuccess
Group@PH_SYS_EVENT_WebLogonFailure
Group@PH_SYS_EVENT_WebLogonSuccess
Group@PH_SYS_EVENT_WirelessLogonSuccess
PH_ANOMALY_LATERAL_MOVEMENT_DETECT
PH_RULE_EXCESS_FAILED_LOGON_APPL
PH_RULE_EXCESS_FAILED_LOGON_DB
PH_RULE_EXCESS_FAILED_LOGON_DOMAIN
PH_RULE_EXCESS_FAILED_LOGON_NET_DEV
PH_RULE_EXCESS_FAILED_LOGON_SERVER
PH_RULE_EXCESS_FAILED_LOGON_VPN
PH_RULE_EXCESS_FAILED_LOGON_WIRELESS
PH_RULE_EXCESS_FAILED_PRIV_LOGON_SERVER
PH_RULE_REPEAT_EXCESS_FAILED_LOGON_WEB
PH_USER_MON_SUDDEN_LOC_CHANGE</t>
  </si>
  <si>
    <t xml:space="preserve">Win-SMBServer-Connectivity-
Win-WindowsDefender-1121</t>
  </si>
  <si>
    <t xml:space="preserve">Group@PH_SYS_EVENT_AppLogonSuccess
Group@PH_SYS_EVENT_DomainLogonFailure
Group@PH_SYS_EVENT_DomainLogonSuccess
Group@PH_SYS_EVENT_HostLogonFailure
Group@PH_SYS_EVENT_HostLogonSuccess
Group@PH_SYS_EVENT_HostPrivLogonSuccess
Group@PH_SYS_EVENT_Logon
Group@PH_SYS_EVENT_LogonFailure
Group@PH_SYS_EVENT_MultipleDomainLogonFailure
Group@PH_SYS_EVENT_MultipleHostLogonFailure
Group@PH_SYS_EVENT_VMware_LogonFailure
Group@PH_SYS_EVENT_VMware_LogonSuccess
Group@PH_SYS_EVENT_VPNLogonSuccess
Group@PH_SYS_EVENT_WirelessLogonSuccess
PH_ANOMALY_LATERAL_MOVEMENT_DETECT
PH_RULE_EXCESS_FAILED_LOGON_APPL
PH_RULE_EXCESS_FAILED_LOGON_DB
PH_RULE_EXCESS_FAILED_LOGON_DOMAIN
PH_RULE_EXCESS_FAILED_LOGON_NET_DEV
PH_RULE_EXCESS_FAILED_LOGON_SERVER
PH_RULE_EXCESS_FAILED_LOGON_VPN
PH_RULE_EXCESS_FAILED_LOGON_WIRELESS
PH_RULE_EXCESS_FAILED_PRIV_LOGON_SERVER
PH_RULE_REPEAT_EXCESS_FAILED_LOGON_WEB
PH_USER_MON_SUDDEN_LOC_CHANGE</t>
  </si>
  <si>
    <t xml:space="preserve">Oracle-OCI-identitycontrolplane-addusertogroup
Oracle-OCI-identitycontrolplane-createauthtoken
Oracle-OCI-identitycontrolplane-createcustomersecretkey
Oracle-OCI-identitycontrolplane-creategroup
Oracle-OCI-identitycontrolplane-createidpuser
Oracle-OCI-identitycontrolplane-createoauthclientcredential
Oracle-OCI-identitycontrolplane-createuser
Oracle-OCI-identitycontrolplane-deleteidpuser
Oracle-OCI-identitycontrolplane-deletemfatotpdevice
Oracle-OCI-identitycontrolplane-deleteuser
Oracle-OCI-identitycontrolplane-uploadapikey</t>
  </si>
  <si>
    <t xml:space="preserve">Group@PH_SYS_EVENT_ARPExploit
Group@PH_SYS_EVENT_AppLogonFailure
Group@PH_SYS_EVENT_AppLogonSuccess
Group@PH_SYS_EVENT_DBLogonFailure
Group@PH_SYS_EVENT_DBLogonSuccess
Group@PH_SYS_EVENT_MultipleAppLogonFailure
Group@PH_SYS_EVENT_MultipleDBLogonFailure
Group@PH_SYS_EVENT_MultipleVPNLogonFailure
Group@PH_SYS_EVENT_MultipleWebLogonFailure
Group@PH_SYS_EVENT_PrivEscalationExploit
Group@PH_SYS_EVENT_ReplayExploit
Group@PH_SYS_EVENT_SessionHijackExploit
Group@PH_SYS_EVENT_SpoofExploit
Group@PH_SYS_EVENT_VPNLogoff
Group@PH_SYS_EVENT_VPNLogonFailure
Group@PH_SYS_EVENT_VPNLogonSuccess
Group@PH_SYS_EVENT_WebLogonFailure
Group@PH_SYS_EVENT_WebLogonSuccess
Group@PH_SYS_EVENT_WirelessMITM</t>
  </si>
  <si>
    <t xml:space="preserve">SentinelOne-Singularity-Activity-19
SentinelOne-Singularity-Activity-2030
SentinelOne-Singularity-Activity-4003
SentinelOne-Singularity-Activity-4104
SentinelOne-Singularity-Activity-4105
SentinelOne-Singularity-Activity-4106
SentinelOne-Singularity-Activity-4107
SentinelOne-Singularity-Activity-4108
SentinelOne-Singularity-Activity-4109</t>
  </si>
  <si>
    <t xml:space="preserve">Group@PH_SYS_EVENT_AppLogonFailure
Group@PH_SYS_EVENT_AppLogonSuccess
Group@PH_SYS_EVENT_DBLogonFailure
Group@PH_SYS_EVENT_DBLogonSuccess
Group@PH_SYS_EVENT_DomainLogonFailure
Group@PH_SYS_EVENT_DomainLogonSuccess
Group@PH_SYS_EVENT_HostLogonFailure
Group@PH_SYS_EVENT_HostLogonSuccess
Group@PH_SYS_EVENT_HostPrivLogonSuccess
Group@PH_SYS_EVENT_Logon
Group@PH_SYS_EVENT_LogonFailure
Group@PH_SYS_EVENT_MultipleAppLogonFailure
Group@PH_SYS_EVENT_MultipleDBLogonFailure
Group@PH_SYS_EVENT_MultipleDomainLogonFailure
Group@PH_SYS_EVENT_MultipleHostLogonFailure
Group@PH_SYS_EVENT_MultipleVPNLogonFailure
Group@PH_SYS_EVENT_MultipleWebLogonFailure
Group@PH_SYS_EVENT_VMware_LogonFailure
Group@PH_SYS_EVENT_VMware_LogonSuccess
Group@PH_SYS_EVENT_VPNLogoff
Group@PH_SYS_EVENT_VPNLogonFailure
Group@PH_SYS_EVENT_VPNLogonSuccess
Group@PH_SYS_EVENT_WebLogonFailure
Group@PH_SYS_EVENT_WebLogonSuccess
Group@PH_SYS_EVENT_WirelessLogonFailure
Group@PH_SYS_EVENT_WirelessLogonSuccess
PH_ANOMALY_LATERAL_MOVEMENT_DETECT
PH_RULE_EXCESS_FAILED_LOGON_2_NET_DEV
PH_RULE_EXCESS_FAILED_LOGON_APPL
PH_RULE_EXCESS_FAILED_LOGON_DB
PH_RULE_EXCESS_FAILED_LOGON_DOMAIN
PH_RULE_EXCESS_FAILED_LOGON_NET_DEV
PH_RULE_EXCESS_FAILED_LOGON_SERVER
PH_RULE_EXCESS_FAILED_LOGON_VPN
PH_RULE_EXCESS_FAILED_LOGON_WIRELESS
PH_RULE_EXCESS_FAILED_PRIV_LOGON_SERVER
PH_RULE_REPEAT_EXCESS_FAILED_LOGON_WEB
PH_USER_MON_SUDDEN_LOC_CHANGE</t>
  </si>
  <si>
    <t xml:space="preserve">VEEAM-Backup-40204-UserMfaDisabled
VEEAM-Backup-40206-MfaUserLocked</t>
  </si>
  <si>
    <t xml:space="preserve">Total rule–data source links</t>
  </si>
  <si>
    <t xml:space="preserve">Totals count rule–source links: a rule listing three data sources counts three times. Column G is a Python-derived distinct count.</t>
  </si>
  <si>
    <t xml:space="preserve">Check: rows in Rule-DS map</t>
  </si>
  <si>
    <t xml:space="preserve">Must equal the total in column B. Counts use exact, case-sensitive matching (SUMPRODUCT/EXACT), so names differing only by case or containing wildcard characters are not double-counted.</t>
  </si>
  <si>
    <t xml:space="preserve">Check: totals reconcile</t>
  </si>
  <si>
    <t xml:space="preserve">Sizing row name</t>
  </si>
  <si>
    <t xml:space="preserve">In sizing as listed?</t>
  </si>
  <si>
    <t xml:space="preserve">Other in-scope</t>
  </si>
  <si>
    <t xml:space="preserve">Example rules (derived)</t>
  </si>
  <si>
    <t xml:space="preserve">Entra: Audit logs, all categories</t>
  </si>
  <si>
    <t xml:space="preserve">Yes</t>
  </si>
  <si>
    <t xml:space="preserve">Azure Entra ID: Conditional Access Disabled; Azure Entra ID: Domain Authentication Changed; Azure Entra ID: External User Added To Privileged Group; Azure Entra ID: New Federation Domain Added</t>
  </si>
  <si>
    <t xml:space="preserve">Entra: Interactive sign-ins</t>
  </si>
  <si>
    <t xml:space="preserve">Entra: Risky user status (poller)</t>
  </si>
  <si>
    <t xml:space="preserve">No</t>
  </si>
  <si>
    <t xml:space="preserve">Transient Windows Account Usage; Transient Windows Account Usage - Scheduled</t>
  </si>
  <si>
    <t xml:space="preserve">Brute Force App Login Success; Multiple Logon Failures: Misc App</t>
  </si>
  <si>
    <t xml:space="preserve">Brute Force App Login Success; Suspicious Logon Failure without following successful login</t>
  </si>
  <si>
    <t xml:space="preserve">Firewall: Remote Desktop traffic from Internet; Inbound insecure protocol traffic detected; Log4J Exploit Request Detected By Regex; Outbound insecure protocol traffic from non guest network detected</t>
  </si>
  <si>
    <t xml:space="preserve">Brute Force App Login Success; Multiple Logon Failures: Database</t>
  </si>
  <si>
    <t xml:space="preserve">Brute Force Host Login Success; Concurrent Failed Authentications To Same Account From Multiple Countries; Multiple Logon Failures: Domain; Concurrent Failed Authentications To Same Account From Multiple Cities of the same Country</t>
  </si>
  <si>
    <t xml:space="preserve">Brute Force Host Login Success; Concurrent Successful Authentications To Same Account From Multiple Countries; Suspicious Logon Failure without following successful login; Concurrent Successful Authentications To Same Account From Multiple Cities of the same Country</t>
  </si>
  <si>
    <t xml:space="preserve">Windows failed file access; Windows successful file access</t>
  </si>
  <si>
    <t xml:space="preserve">Outbreak: Active Directory Privilege Escalation Exploit Detected on Host; Outbreak: 3CX Supply Chain Attack Detected on Host; Outbreak: Adobe ColdFusion Deserialization of Untrusted Data Vuln Detected on Host; Outbreak: Agent Tesla Malware Attack Detected on Host</t>
  </si>
  <si>
    <t xml:space="preserve">Outbreak: 3CX Supply Chain Attack Detected on Network; Outbreak: Adobe ColdFusion Deserialization of Untrusted Data Vuln Detected on Network; Outbreak: Agent Tesla Malware Attack Detected on Network; Outbreak: Akira Ransomware Detected on Network</t>
  </si>
  <si>
    <t xml:space="preserve">User added to Administrator Group; User added to Backup Operator Group; User added to DNS Admin Group; User added to Domain Admin Group</t>
  </si>
  <si>
    <t xml:space="preserve">User deleted from Administrator Group; User deleted from Backup Operator Group; User deleted from DNS Admins Group; User deleted from Domain Admin Group</t>
  </si>
  <si>
    <t xml:space="preserve">Account Locked: Network Device; Account Locked: Server</t>
  </si>
  <si>
    <t xml:space="preserve">Brute Force Host Login Success; Concurrent Failed Authentications To Same Account From Multiple Countries; Multiple Login Failures: Net Device; Multiple Login Failures: Net Device: No Source IP</t>
  </si>
  <si>
    <t xml:space="preserve">Brute Force Host Login Success; Multiple Login Failures: Net Device; Multiple Login Failures: Net Device: No Source IP; Multiple Logon Failures: Server</t>
  </si>
  <si>
    <t xml:space="preserve">Log4J Exploit Request Detected By Regex; Outbreak: FortiManager Command Execution Vulnerability Detected on Network; Outbreak: QuickFox Supply Chain Attack Detected on Network</t>
  </si>
  <si>
    <t xml:space="preserve">Brute Force App Login Success; Multiple Logon Failures: VPN; Failed VPN Logon From Outside My Country</t>
  </si>
  <si>
    <t xml:space="preserve">Brute Force App Login Success; Concurrent Successful VPN Authentications To Same Account From Different Countries; Suspicious Logon Failure without following successful login; Uncommon VPN Login</t>
  </si>
  <si>
    <t xml:space="preserve">Brute Force App Login Success; Multiple Logon Failures: Web Server</t>
  </si>
  <si>
    <t xml:space="preserve">Linux Collector FIM: Directory Ownership or Permission Changed; Linux Collector FIM: File Ownership or Permission Changed</t>
  </si>
  <si>
    <t xml:space="preserve">Linux: PAM Configuration Modified; Linux: Sudoers File Modification</t>
  </si>
  <si>
    <t xml:space="preserve">Linux: /etc/shadow Access; Linux: Attempt to Create or Modify a Root-Equivalent Account</t>
  </si>
  <si>
    <t xml:space="preserve">Linux: /etc/shadow Access; Linux: Attempt to Create or Modify a Root-Equivalent Account; Linux: Discovery of Domain Groups; Linux: Searching for Passwords in Files</t>
  </si>
  <si>
    <t xml:space="preserve">Office365: Brute Force Login Attempts - Same Source; Office365: Brute Force Login Attempts - Same User; Office365: Brute Force Logon Success; Office365: User added to Admin Role</t>
  </si>
  <si>
    <t xml:space="preserve">AWS IAM Brute Force of Assume Role Policy; AWS IAM Assume Role Policy Update</t>
  </si>
  <si>
    <t xml:space="preserve">AWS Management Console Brute Force of Root User Identity; AWS Management Console Root Login</t>
  </si>
  <si>
    <t xml:space="preserve">AWS Root Login Without MFA; Uncommon AWS Console Login</t>
  </si>
  <si>
    <t xml:space="preserve">ArubaOS-CX: Multiple Users Deleted; ArubaOS-CX: User Deleted</t>
  </si>
  <si>
    <t xml:space="preserve">ICS Alert: Data from Information Repositories; ICS Alert: Screen Capture</t>
  </si>
  <si>
    <t xml:space="preserve">Log4J Exploit Request Detected on Host by Fortinet Products; Outbreak: Adobe ColdFusion Access Control Bypass Attack Detected on Host; Outbreak: Agent Tesla Malware Attack Detected on Host; Outbreak: Apache ActiveMQ Ransomware Attack Detected on Host</t>
  </si>
  <si>
    <t xml:space="preserve">FortiGate: Admin User Added; FortiGate: Admin User Added via Console</t>
  </si>
  <si>
    <t xml:space="preserve">FortiGate: Admin User Deleted; FortiGate: Admin User Deleted via Console</t>
  </si>
  <si>
    <t xml:space="preserve">Outbreak: Androxgh0st Malware Attack Detected on Network; Outbreak: Apache Path Traversal Vuln Detected on Network</t>
  </si>
  <si>
    <t xml:space="preserve">Log4J Exploit Request Detected on Network by Fortinet Products; Outbreak: Lazarus RAT Attack Detected on Network</t>
  </si>
  <si>
    <t xml:space="preserve">Outbreak: Active Directory Privilege Escalation Exploit Detected on Network; Outbreak: Black Basta Ransomware Detected on Network</t>
  </si>
  <si>
    <t xml:space="preserve">Outbreak: Black Basta Ransomware Detected on Network; Outbreak: ConnectWise ScreenConnect Attack Detected on Network</t>
  </si>
  <si>
    <t xml:space="preserve">FortiNDR Cloud: High Severity Detection triggered for a Host; FortiNDR Cloud: Low Severity Detection triggered for a Host; FortiNDR Cloud: Moderate Severity Detection triggered for a Host</t>
  </si>
  <si>
    <t xml:space="preserve">Outbreak: FortiWeb detected CISA Top 20 Vulnerability on Network; Outbreak: FortiWeb detected VMware Spring Cloud Func RCE Vulnerability on Network; Outbreak: FortiWeb detected Zerobot Botnet Activity on Network; Outbreak: Sandbreak vm2 sandbox module RCE Vulnerability Detected on Network</t>
  </si>
  <si>
    <t xml:space="preserve">Linux User Added to Administrative Groups; Linux User Added to Groups</t>
  </si>
  <si>
    <t xml:space="preserve">Linux User Deleted from Admin Groups; Linux User Deleted from Groups</t>
  </si>
  <si>
    <t xml:space="preserve">MS Defender XDR: High Severity Credential Access Alert; MS Defender XDR: Medium Severity Credential Access Alert</t>
  </si>
  <si>
    <t xml:space="preserve">MS Defender XDR: High Severity Lateral Movement Alert; MS Defender XDR: Medium Severity Lateral Movement Alert</t>
  </si>
  <si>
    <t xml:space="preserve">MS Defender XDR: High Severity Privilege Escalation Alert; MS Defender XDR: Medium Severity Privilege Escalation Alert</t>
  </si>
  <si>
    <t xml:space="preserve">Repeated Multiple Logon Failures: Misc App; Repeated Multiple Logon Failures: Web Server; Suspicious Logon Failure without following successful login</t>
  </si>
  <si>
    <t xml:space="preserve">Repeated Multiple Logon Failures: Database; Suspicious Logon Failure without following successful login</t>
  </si>
  <si>
    <t xml:space="preserve">Multiple Privileged Logon Failures: Server; Repeated Multiple Logon Failures: Domain; Suspicious Logon Failure without following successful login</t>
  </si>
  <si>
    <t xml:space="preserve">Multiple Privileged Logon Failures: Server; Repeated Multiple Logon Failures: Server; Suspicious Logon Failure without following successful login</t>
  </si>
  <si>
    <t xml:space="preserve">Repeated Multiple Logon Failures: VPN; Suspicious Logon Failure without following successful login</t>
  </si>
  <si>
    <t xml:space="preserve">Repeated Multiple Logon Failures: WLAN; Suspicious Logon Failure without following successful login</t>
  </si>
  <si>
    <t xml:space="preserve">Windows: Potential Active Directory Reconnaissance/Enumeration Via LDAP; Windows: Suspicious Rejected SMB Guest Logon From IP; Windows: Standard User In High Privileged Group</t>
  </si>
  <si>
    <t xml:space="preserve">Windows: MSSQL Add Account To Sysadmin Role; Windows: Application Uninstalled; Windows: Atera Agent Installation; Windows: BITS Transfer Job Download From Direct IP</t>
  </si>
  <si>
    <t xml:space="preserve">Windows: A Rule Has Been Deleted From The Windows Firewall Exception List; Windows: All Rules Have Been Deleted From The Windows Firewall Configuration; Windows: The Windows Defender Firewall Service Failed To Load Group Policy; Windows: Uncommon New Firewall Rule Added In Windows Firewall Exception List</t>
  </si>
  <si>
    <t xml:space="preserve">Windows: Dump Ntds.dit To Suspicious Location; Windows: Ntdsutil Abuse</t>
  </si>
  <si>
    <t xml:space="preserve">Windows: A Member Was Added to a Security-Enabled Global Group; Windows: Kerberos Manipulation; Disabled Windows Account Logon Attempts; Failed Account Activity On Prior Disabled Account</t>
  </si>
  <si>
    <t xml:space="preserve">Windows: Volume Shadow Copy Mount; Windows: Active Directory Certificate Services Denied Certificate Enrollment Request; Windows: Certificate Use With No Strong Mapping; Windows: No Suitable Encryption Key Found For Generating Kerberos Ticket</t>
  </si>
  <si>
    <t xml:space="preserve">Servers: PowerShell 4104</t>
  </si>
  <si>
    <t xml:space="preserve">Windows: AD CS ESC10 Certificate Mapping Configuration Changed via Command; Windows: AD CS ESC16 SID Security Extension Disabled via Command; Windows: Authentication Package Modified; Windows: BloodHound or SharpHound Execution</t>
  </si>
  <si>
    <t xml:space="preserve">Windows: AD Groups Or Users Enumeration Using PowerShell - PoshModule; Windows: Potential Active Directory Enumeration Using AD Module - PsModule; Windows: Suspicious Computer Machine Password by PowerShell; Windows: Suspicious Get-ADDBAccount Usage</t>
  </si>
  <si>
    <t xml:space="preserve">Servers: Sysmon 1</t>
  </si>
  <si>
    <t xml:space="preserve">Servers: Sysmon 10 (LSASS)</t>
  </si>
  <si>
    <t xml:space="preserve">Windows: LSASS Access by Suspicious Process; Windows: Suspicious LSASS Process Access; Windows: HandleKatz Duplicating LSASS Handle; Windows: LSASS Access from White-Listed Processes</t>
  </si>
  <si>
    <t xml:space="preserve">Windows: BloodHound Collection Files; Windows: Cred Dump Tools Dropped Files; Windows: HackTool - Dumpert Process Dumper Default File; Windows: Hijack Legit RDP Session to Move Laterally</t>
  </si>
  <si>
    <t xml:space="preserve">Servers: Sysmon 12/13/14</t>
  </si>
  <si>
    <t xml:space="preserve">Windows: DLL Load via LSASS; Windows: Esentutl Volume Shadow Copy Service Keys; Windows: Security Support Provider SSP Added to LSA Configuration; Windows: SilentProcessExit Monitor Registration for LSASS</t>
  </si>
  <si>
    <t xml:space="preserve">Windows: Bypass UAC Using DelegateExecute; Windows: Bypass UAC Using SilentCleanup Task; Windows: Directory Service Restore Mode DSRM Registry Value Tampering; Windows: Enable LM Hash Storage</t>
  </si>
  <si>
    <t xml:space="preserve">Windows: ADFS Database Named Pipe Connection By Uncommon Tool; Windows: HackTool - Credential Dumping Tools Named Pipe Created; Windows: HackTool - Koh Default Named Pipe</t>
  </si>
  <si>
    <t xml:space="preserve">Windows: DNS Server Discovery Via LDAP Query; Windows: Suspicious DNS Query Indicating Kerberos Coercion via DNS Object SPN Spoofing; Windows: DNS Query Request By QuickAssist.EXE</t>
  </si>
  <si>
    <t xml:space="preserve">Windows: Connection Initiated Via Certutil.EXE; Windows: Uncommon Outbound Kerberos Connection; Windows: Outbound RDP Connections Over Non-Standard Tools</t>
  </si>
  <si>
    <t xml:space="preserve">Windows: CredUI.DLL Loaded By Uncommon Process; Windows: Potentially Suspicious Volume Shadow Copy Vsstrace.dll Load; Windows: Suspicious Renamed Comsvcs DLL Loaded By Rundll32; Windows: Suspicious Unsigned Dbghelp/Dbgcore DLL Loaded</t>
  </si>
  <si>
    <t xml:space="preserve">Windows: Password Dumper Remote Thread in LSASS; Windows: Remote Thread Created In KeePass.EXE</t>
  </si>
  <si>
    <t xml:space="preserve">Windows Logging Service Shutdown; Windows Logging Service Shutdown Without Restart</t>
  </si>
  <si>
    <t xml:space="preserve">AD: Logon and logoff 4624/4625/4634</t>
  </si>
  <si>
    <t xml:space="preserve">Windows: NewCredentials Logon via Secondary Logon Service; Windows: Potential Pass the Hash Attack; Uncommon Windows Server Login; Windows: Admin User Remote Logon</t>
  </si>
  <si>
    <t xml:space="preserve">Disabled Windows Account Logon Attempts; Logon Time Restriction Violation; Windows: Account Tampering - Suspicious Failed Logon Reasons; Windows: Failed Logon From Public IP</t>
  </si>
  <si>
    <t xml:space="preserve">Windows: LSASS Access From Non System Account; Windows: Password Dumper Activity on LSASS; Windows: Potentially Suspicious AccessMask Requested From LSASS; Windows: SAM Registry Hive Handle Request</t>
  </si>
  <si>
    <t xml:space="preserve">Windows: ETW Logging Disabled In .NET Processes - Registry; Windows: NetNTLM Downgrade Attack; Windows: Processes Accessing the Microphone and Webcam; Windows: Sysmon Channel Reference Deletion</t>
  </si>
  <si>
    <t xml:space="preserve">Windows: AD Privileged Users or Groups Reconnaissance; Windows: Password Policy Enumerated; Windows: Reconnaissance Activity</t>
  </si>
  <si>
    <t xml:space="preserve">AD: Directory service access 4662</t>
  </si>
  <si>
    <t xml:space="preserve">Windows: Active Directory Replication from Non Machine Account; Windows: DPAPI Domain Backup Key Extraction; Windows: Mimikatz DC Sync; Windows: Potential AD User Enumeration From Non-Machine Account</t>
  </si>
  <si>
    <t xml:space="preserve">Windows: LSASS Access From Non System Account; Windows: Potentially Suspicious AccessMask Requested From LSASS; Windows: Suspicious Teams Application Related ObjectAcess Event; Windows: WCE wceaux.dll Access</t>
  </si>
  <si>
    <t xml:space="preserve">AD: Privilege use 4672/4673</t>
  </si>
  <si>
    <t xml:space="preserve">Windows: Failed to execute Privileged Service LsaRegisterLogonProcess; Windows: Potential Privileged System Service Operation - SeLoadDriverPrivilege</t>
  </si>
  <si>
    <t xml:space="preserve">Windows: Credential Dumping Tools Service Execution - Security; Windows: Windows Pcap Drivers; Windows: Cobalt Strike Service Installations: Security Log; Windows: HybridConnectionManager Service Installation</t>
  </si>
  <si>
    <t xml:space="preserve">AD: Directory object changes 5136/5137/4706/4707/4716</t>
  </si>
  <si>
    <t xml:space="preserve">Windows: Domain Trust Modified; Windows: Addition of Domain Trusts</t>
  </si>
  <si>
    <t xml:space="preserve">Windows Audit Policy Changed; Windows: Important Windows Event Auditing Disabled; Windows: Windows Event Auditing Disabled</t>
  </si>
  <si>
    <t xml:space="preserve">AD: Account &amp; group mgmt (4720…4757)</t>
  </si>
  <si>
    <t xml:space="preserve">Windows: Account Created Then Added To Privileged Group; Windows: Mass User Creation By One Actor; Windows User Created; Windows: Hidden Local User Creation</t>
  </si>
  <si>
    <t xml:space="preserve">Windows: KRBTGT Password Reset; Windows User Password Changed</t>
  </si>
  <si>
    <t xml:space="preserve">Windows: Mass User Disable By One Actor; Failed Account Activity On Prior Disabled Account; Multiple Windows Accounts Disabled by Administrator; Successful Account Activity On a Prior Disabled Account</t>
  </si>
  <si>
    <t xml:space="preserve">Windows: Account Created Then Added To Privileged Group; Windows: Mass Group Membership Changes; Windows: A Member Was Added to a Security-Enabled Global Group</t>
  </si>
  <si>
    <t xml:space="preserve">Windows: Mass Group Membership Changes; Windows: A Member Was Removed From a Security-Enabled Global Group</t>
  </si>
  <si>
    <t xml:space="preserve">Windows: Account Created Then Added To Privileged Group; Windows: Mass Group Membership Changes; Windows: User Added to Local Administrators</t>
  </si>
  <si>
    <t xml:space="preserve">Windows: Active Directory User Backdoors; Windows: Addition of SID History to Active Directory Object; Windows User Account Properties Changed; Windows: Weak Encryption Enabled and Kerberoast</t>
  </si>
  <si>
    <t xml:space="preserve">Windows: Account Created Then Added To Privileged Group; Windows: Mass Group Membership Changes</t>
  </si>
  <si>
    <t xml:space="preserve">AD: Kerberos 4768/4769/4771</t>
  </si>
  <si>
    <t xml:space="preserve">Windows: Kerberos Manipulation; Windows: PetitPotam Suspicious Kerberos TGT Request; Windows: Potential AS-REP Roasting via Kerberos TGT Requests</t>
  </si>
  <si>
    <t xml:space="preserve">Windows: Kerberoasting Multiple SPNs; Windows: Kerberos Manipulation; Windows: Suspicious Kerberos RC4 Ticket Encryption; Windows: Kerberoasting Activity - Initial Query</t>
  </si>
  <si>
    <t xml:space="preserve">Windows: Account Tampering - Suspicious Failed Logon Reasons; Windows: Hacktool Ruler; Windows: Metasploit SMB Authentication</t>
  </si>
  <si>
    <t xml:space="preserve">Windows User Account Name Changed; Windows: New or Renamed User Account with dollar sign in Attribute SamAccountName</t>
  </si>
  <si>
    <t xml:space="preserve">AD CS: CA audit 4882/4886/4887/4890/4898-4900</t>
  </si>
  <si>
    <t xml:space="preserve">Windows: ADCS Certificate Template Configuration Vulnerability; Windows: ADCS Certificate Template Configuration Vulnerability with Risky EKU</t>
  </si>
  <si>
    <t xml:space="preserve">Windows: CrashOnAuditFail Value is set to Continue; Windows: CrashOnAuditFail Value is set to Halt; Windows: System Halted because of Failure to Record Security Log</t>
  </si>
  <si>
    <t xml:space="preserve">Windows: AD CS ESC13 OID Group Link Modified; Windows: AD CS ESC14 Explicit Certificate Mapping Modified; Windows: AD CS ESC2 Any Purpose EKU Added to Certificate Template; Windows: AD CS ESC3 Enrollment Agent EKU Added to Certificate Template</t>
  </si>
  <si>
    <t xml:space="preserve">Group Policy Object Created; Windows: Potential Kerberos Coercion by Spoofing SPNs via DNS Manipulation</t>
  </si>
  <si>
    <t xml:space="preserve">Windows: Possible Impacket SecretDump Remote Activity; Windows: Possible PetitPotam Coerce Authentication Attempt; Windows: Transferring Files with Credential Data via Network Shares; Windows: DCERPC SMB Spoolss Named Pipe</t>
  </si>
  <si>
    <t xml:space="preserve">Windows: RDP over Reverse SSH Tunnel WFP; Windows: Remote PowerShell Sessions; Windows: Uncommon Outbound Kerberos Connection - Security</t>
  </si>
  <si>
    <t xml:space="preserve">Windows: Password Protected ZIP File Opened; Windows: Password Protected ZIP File Opened Email Attachment; Windows: Password Protected ZIP File Opened Suspicious Filenames</t>
  </si>
  <si>
    <t xml:space="preserve">Windows: HackTool - EDRSilencer Execution - Filter Added; Windows: HackTool - NoFilter Execution</t>
  </si>
  <si>
    <t xml:space="preserve">Windows: PsExec Service Creation; Windows: Credential Dumping Tools Service Execution - System; Windows: KrbRelayUp Service Installation; Windows: Tap Driver Installation</t>
  </si>
  <si>
    <t xml:space="preserve">Total rule–event-key links</t>
  </si>
  <si>
    <t xml:space="preserve">A rule reading several event keys counts once per key.</t>
  </si>
  <si>
    <t xml:space="preserve">Check: rows in Rule-Event map</t>
  </si>
  <si>
    <t xml:space="preserve">Must equal the total above.</t>
  </si>
  <si>
    <t xml:space="preserve">Rule</t>
  </si>
  <si>
    <t xml:space="preserve">Dashboard tier</t>
  </si>
  <si>
    <t xml:space="preserve">Dashboard row it assumed</t>
  </si>
  <si>
    <t xml:space="preserve">Event types the rule actually reads (OR within a line)</t>
  </si>
  <si>
    <t xml:space="preserve">Sizing row(s) that actually carry it</t>
  </si>
  <si>
    <t xml:space="preserve">Event keys not in any sizing row</t>
  </si>
  <si>
    <t xml:space="preserve">Coverage verdict</t>
  </si>
  <si>
    <t xml:space="preserve">Dashboard attributed it to the wrong row?</t>
  </si>
  <si>
    <t xml:space="preserve">Collect on</t>
  </si>
  <si>
    <t xml:space="preserve">Notes</t>
  </si>
  <si>
    <t xml:space="preserve">Not sized</t>
  </si>
  <si>
    <t xml:space="preserve">LINUX_Auditd_PATH OR LINUX_Auditd_SYSCALL OR LINUX_PROCESS_EXEC</t>
  </si>
  <si>
    <t xml:space="preserve">LINUX_Auditd_PATH, LINUX_Auditd_SYSCALL, LINUX_PROCESS_EXEC</t>
  </si>
  <si>
    <t xml:space="preserve">Not sized (excluded in dashboard)</t>
  </si>
  <si>
    <t xml:space="preserve">Linux hosts</t>
  </si>
  <si>
    <t xml:space="preserve">auditd PATH/SYSCALL (osObjName) OR Linux Collector process exec (command regex). Without auditd only command lines naming /etc/shadow are caught.</t>
  </si>
  <si>
    <t xml:space="preserve">LINUX_PROCESS_EXEC OR LINUX_Auditd_SYSCALL</t>
  </si>
  <si>
    <t xml:space="preserve">LINUX_Auditd_SYSCALL, LINUX_PROCESS_EXEC</t>
  </si>
  <si>
    <t xml:space="preserve">useradd/usermod with uid 0, via Linux Collector process exec OR auditd SYSCALL.</t>
  </si>
  <si>
    <t xml:space="preserve">Linux Collector FIM (FSM_LINUX_FILE_MODIFY on /etc/pam.conf, /etc/pam.d/*), not auditd.</t>
  </si>
  <si>
    <t xml:space="preserve">Tier 1</t>
  </si>
  <si>
    <t xml:space="preserve">Covered</t>
  </si>
  <si>
    <t xml:space="preserve">Entra tenant</t>
  </si>
  <si>
    <t xml:space="preserve">Fires on any update or delete of a CA policy (opName regex), not only disable.</t>
  </si>
  <si>
    <t xml:space="preserve">Interactive SignInLogs only (MS-Entra-SignInLogs-Logon-success).</t>
  </si>
  <si>
    <t xml:space="preserve">AuditLogs OR AuditLogs</t>
  </si>
  <si>
    <t xml:space="preserve">[AccountCreated] Security 4720
[AddedToPrivilegedGroup] Security 4728 OR Security 4732 OR Security 4756</t>
  </si>
  <si>
    <t xml:space="preserve">Domain controllers</t>
  </si>
  <si>
    <t xml:space="preserve">4720 AND (4728|4732|4756) within 1800 s, joined on hostName + targetUserSID; privileged groups matched by well-known SID/RID. Depends on the 7.6.0 WinOSXmlParser/WinOSWmiParser SID-mapping changes.</t>
  </si>
  <si>
    <t xml:space="preserve">5136 on DCs; needs Directory Service Changes auditing and SACLs on the target objects.</t>
  </si>
  <si>
    <t xml:space="preserve">Security 4706 OR Security 4707 OR Security 4716 OR Security 5136</t>
  </si>
  <si>
    <t xml:space="preserve">4706/4707/4716, or 5136 where osObjType matches trustedDomain.</t>
  </si>
  <si>
    <t xml:space="preserve">Reads Win-Security-4769-success; &gt;=10 distinct serviceName per user+srcIp in 600 s, krbtgt excluded. Severity 7.</t>
  </si>
  <si>
    <t xml:space="preserve">Security 4728 OR Security 4729 OR Security 4732 OR Security 4733 OR Security 4756 OR Security 4757</t>
  </si>
  <si>
    <t xml:space="preserve">Tier 1 (AD CS)</t>
  </si>
  <si>
    <t xml:space="preserve">Reads 5136 on domain controllers (PKI objects in the Configuration partition), not CA audit events. Needs Directory Service Changes auditing and a SACL on CN=Public Key Services.</t>
  </si>
  <si>
    <t xml:space="preserve">CA servers</t>
  </si>
  <si>
    <t xml:space="preserve">Reads 4882 on the CA server. One of only two new rules that read CA audit events.</t>
  </si>
  <si>
    <t xml:space="preserve">IIS web request OR IIS web request OR IIS web request OR IIS web request OR IIS web request OR IIS web request OR IIS web request</t>
  </si>
  <si>
    <t xml:space="preserve">GAP: not in sizing</t>
  </si>
  <si>
    <t xml:space="preserve">CA Web Enrollment (IIS) servers</t>
  </si>
  <si>
    <t xml:space="preserve">Reads IIS logs (POST to /certsrv/certfnsh.asp or certnew.cer) from the Web Enrollment server, not CA audit events.</t>
  </si>
  <si>
    <t xml:space="preserve">Security 4890 OR Security 4891 OR Security 4892 OR Security 4893 OR Security 4894</t>
  </si>
  <si>
    <t xml:space="preserve">Security 4891, Security 4892, Security 4893, Security 4894</t>
  </si>
  <si>
    <t xml:space="preserve">Partly covered</t>
  </si>
  <si>
    <t xml:space="preserve">Reads 4890-4894 on the CA. Sizing lists 4890 only; 4891-4894 missing. Low volume.</t>
  </si>
  <si>
    <t xml:space="preserve">Tier 2</t>
  </si>
  <si>
    <t xml:space="preserve">Security 4688 OR Sysmon 1 OR PowerShell 4104</t>
  </si>
  <si>
    <t xml:space="preserve">Covered; 4688 alternative not sized</t>
  </si>
  <si>
    <t xml:space="preserve">Any Windows host where the tool runs (DCs, CA, servers; workstations for full coverage)</t>
  </si>
  <si>
    <t xml:space="preserve">Any of the three satisfies the rule (single IN list). 4688 with command-line auditing is a GPO-only alternative to Sysmon 1.</t>
  </si>
  <si>
    <t xml:space="preserve">Reads process command lines (4688 / Sysmon 1 / 4104), not registry events. Moves from s3 to s1/4688.</t>
  </si>
  <si>
    <t xml:space="preserve">Sysmon 10 with lsass.exe target and a named dumper as source. One of only two new rules that read Sysmon 10.</t>
  </si>
  <si>
    <t xml:space="preserve">Security 4688 OR Sysmon 1</t>
  </si>
  <si>
    <t xml:space="preserve">Reads process creation only (4688 or Sysmon 1); no Sysmon 10.</t>
  </si>
  <si>
    <t xml:space="preserve">Target hosts of remote service install (servers, workstations)</t>
  </si>
  <si>
    <t xml:space="preserve">Reads System log 7045 (Service Control Manager), not Sysmon 1. Must be collected on the hosts PsExec targets.</t>
  </si>
  <si>
    <t xml:space="preserve">Reads process command lines (4688 / Sysmon 1 / 4104) matching "Security Packages|SSP", not Sysmon 12-14 registry events. Moves from s3 to s1/4688.</t>
  </si>
  <si>
    <t xml:space="preserve">Reads "reg save HKLM\SAM|SYSTEM|SECURITY" in process command lines (4688 or Sysmon 1); no 4104 alternative.</t>
  </si>
  <si>
    <t xml:space="preserve">Sysmon 10 with lsass.exe target and suspicious GrantedAccess masks (0x10, 0x1410, 0x1fffff ...).</t>
  </si>
  <si>
    <t xml:space="preserve">Reads process creation only (4688 or Sysmon 1); no Sysmon 10 and no 4104 alternative.</t>
  </si>
  <si>
    <t xml:space="preserve">Tier 3</t>
  </si>
  <si>
    <t xml:space="preserve">Verdict counts</t>
  </si>
  <si>
    <t xml:space="preserve">Total</t>
  </si>
  <si>
    <t xml:space="preserve">Dashboard attributed to wrong row</t>
  </si>
  <si>
    <t xml:space="preserve">Row</t>
  </si>
  <si>
    <t xml:space="preserve">Event IDs listed in sizing</t>
  </si>
  <si>
    <t xml:space="preserve">Keys read by new ITDR rules</t>
  </si>
  <si>
    <t xml:space="preserve">Keys read by re-tagged ITDR rules</t>
  </si>
  <si>
    <t xml:space="preserve">New ITDR rules reading it (distinct)</t>
  </si>
  <si>
    <t xml:space="preserve">Re-tagged ITDR rules reading it (distinct)</t>
  </si>
  <si>
    <t xml:space="preserve">Other in-scope rules reading it (distinct)</t>
  </si>
  <si>
    <t xml:space="preserve">Verdict</t>
  </si>
  <si>
    <t xml:space="preserve">What to change</t>
  </si>
  <si>
    <t xml:space="preserve">Confirmed, wider than its rule count</t>
  </si>
  <si>
    <t xml:space="preserve">Keep Tier 1. The only rule query that reads it is MFA Bypass, but MS-Entra-SignInLogs-Logon-success is also an input to the identity engine (identityDef.xml), which drives the re-tagged ITDR rule Sudden User Location Change (impossible travel). Its success and failure events are also in the Application Logon groups (checked in a 7.6.0 system), which feed three more re-tagged rules: Brute Force App Login Success, Multiple Logon Failures: Misc App and Suspicious Logon Failure without following successful login.</t>
  </si>
  <si>
    <t xml:space="preserve">AuditLogs (RoleMgmt, ApplicationMgmt, GroupMgmt, Policy-Update, DirectoryMgmt)</t>
  </si>
  <si>
    <t xml:space="preserve">Confirmed</t>
  </si>
  <si>
    <t xml:space="preserve">Keep Tier 1. Ten new Entra rules. No other rule in 7.6.0 reads MS-Entra-AuditLogs-*.</t>
  </si>
  <si>
    <t xml:space="preserve">en</t>
  </si>
  <si>
    <t xml:space="preserve">Entra: Non-interactive user sign-ins</t>
  </si>
  <si>
    <t xml:space="preserve">Optional</t>
  </si>
  <si>
    <t xml:space="preserve">NonInteractiveUserSignInLogs</t>
  </si>
  <si>
    <t xml:space="preserve">Wrong: read through a group</t>
  </si>
  <si>
    <t xml:space="preserve">No rule names it, but MS-Entra-NonInteractiveUserSignInLogs-failure and -Logon-failure are in the Application Logon Failure group (checked in a 7.6.0 system), read by Brute Force App Login Success and Multiple Logon Failures: Misc App. Optional for the 57; adds depth for brute force.</t>
  </si>
  <si>
    <t xml:space="preserve">es</t>
  </si>
  <si>
    <t xml:space="preserve">Entra: Service principal sign-ins</t>
  </si>
  <si>
    <t xml:space="preserve">ServicePrincipalSignInLogs</t>
  </si>
  <si>
    <t xml:space="preserve">Confirmed, stronger</t>
  </si>
  <si>
    <t xml:space="preserve">No rule anywhere in 7.6.0 reads it.</t>
  </si>
  <si>
    <t xml:space="preserve">em</t>
  </si>
  <si>
    <t xml:space="preserve">Entra: Managed identity sign-ins</t>
  </si>
  <si>
    <t xml:space="preserve">ManagedIdentitySignInLogs</t>
  </si>
  <si>
    <t xml:space="preserve">ep</t>
  </si>
  <si>
    <t xml:space="preserve">Entra: Provisioning logs</t>
  </si>
  <si>
    <t xml:space="preserve">ProvisioningLogs</t>
  </si>
  <si>
    <t xml:space="preserve">eg</t>
  </si>
  <si>
    <t xml:space="preserve">Entra: Microsoft Graph activity</t>
  </si>
  <si>
    <t xml:space="preserve">MicrosoftGraphActivityLogs</t>
  </si>
  <si>
    <t xml:space="preserve">MS_GRAPH_RiskyUserStatus_</t>
  </si>
  <si>
    <t xml:space="preserve">Confirmed, but outside ITDR</t>
  </si>
  <si>
    <t xml:space="preserve">Feeds one existing rule (Identity Protection Risky User Identified). That rule is not in Fortinet's ITDR set, new or re-tagged. Tier 2 is a judgment call, not an ITDR requirement.</t>
  </si>
  <si>
    <t xml:space="preserve">4624, 4625, 4634</t>
  </si>
  <si>
    <t xml:space="preserve">Optional for the 57 only</t>
  </si>
  <si>
    <t xml:space="preserve">No new ITDR rule reads it, but 2 re-tagged ITDR and 19 other in-scope rules do, plus logon-failure/success event-type groups used by brute-force and spraying rules. Keep it if "ITDR" means Fortinet's whole ITDR category.</t>
  </si>
  <si>
    <t xml:space="preserve">4768, 4769, 4771</t>
  </si>
  <si>
    <t xml:space="preserve">Security 4768, Security 4769, Security 4771</t>
  </si>
  <si>
    <t xml:space="preserve">Over-listed for the 57</t>
  </si>
  <si>
    <t xml:space="preserve">New rules read 4769 (success) only. 4768 is read by 2 re-tagged rules (AS-REP roasting, PetitPotam TGT); 4771 by 1. Keep all three for the full ITDR set; 4769 alone for the 57.</t>
  </si>
  <si>
    <t xml:space="preserve">4672, 4673</t>
  </si>
  <si>
    <t xml:space="preserve">Mostly unused</t>
  </si>
  <si>
    <t xml:space="preserve">No rule in 7.6.0 reads 4672 explicitly. 4673 is read by 1 re-tagged rule. Candidate to drop or filter to 4673, unless an unpublished event-type group needs 4672.</t>
  </si>
  <si>
    <t xml:space="preserve">4720, 4722, 4724, 4725, 4728, 4729, 4732, 4733, 4738, 4740, 4756, 4757</t>
  </si>
  <si>
    <t xml:space="preserve">Security 4720, Security 4724, Security 4725, Security 4728, Security 4729, Security 4732, Security 4733, Security 4756, Security 4757</t>
  </si>
  <si>
    <t xml:space="preserve">Security 4728, Security 4732, Security 4738</t>
  </si>
  <si>
    <t xml:space="preserve">New rules read 4720, 4724, 4725, 4728, 4729, 4732, 4733, 4756, 4757. 4722 and 4740 are not read by any new rule; 4738 only by re-tagged rules. Low volume, so keep.</t>
  </si>
  <si>
    <t xml:space="preserve">4662</t>
  </si>
  <si>
    <t xml:space="preserve">Wrong reason, right row</t>
  </si>
  <si>
    <t xml:space="preserve">No new ITDR rule reads 4662. The ACL-change rules (ESC4, ESC5) read 5136 nTSecurityDescriptor instead. 4662 is read by 4 re-tagged ITDR rules (Mimikatz DC Sync, AD replication from non-machine account, DPAPI backup-key extraction, AD user enumeration). Keep it for DCSync coverage.</t>
  </si>
  <si>
    <t xml:space="preserve">5136, 5137, 4706, 4707, 4716</t>
  </si>
  <si>
    <t xml:space="preserve">Security 4706, Security 4707, Security 4716, Security 5136</t>
  </si>
  <si>
    <t xml:space="preserve">Confirmed, and more important than shown</t>
  </si>
  <si>
    <t xml:space="preserve">13 new rules read 5136 (incl. 8 of the 11 "AD CS" rules). 5137 is not read by any new rule (2 others). This row carries most of Tier 1 AD and most of AD CS.</t>
  </si>
  <si>
    <t xml:space="preserve">a7</t>
  </si>
  <si>
    <t xml:space="preserve">AD: Computer-account activity</t>
  </si>
  <si>
    <t xml:space="preserve">machine-account 4624, 4768, 4769</t>
  </si>
  <si>
    <t xml:space="preserve">No rule keys on machine accounts. Kerberoasting reads all 4769-success, so excluding $ accounts at collection does not hurt it.</t>
  </si>
  <si>
    <t xml:space="preserve">4882, 4886, 4887, 4890, 4898, 4899, 4900</t>
  </si>
  <si>
    <t xml:space="preserve">Security 4882, Security 4890</t>
  </si>
  <si>
    <t xml:space="preserve">Wrong IDs and over-attributed</t>
  </si>
  <si>
    <t xml:space="preserve">Only 2 new rules read CA audit events: 4882 (ESC7) and 4890-4894 (CA Configuration Changed). 4886, 4887 and 4900 are read by no rule in 7.6.0; 4898/4899 by 2 non-ITDR rules. Replace with 4882, 4890-4894 (+4898/4899 optional). Request/issue events, the volume driver, can be filtered out.</t>
  </si>
  <si>
    <t xml:space="preserve">Confirmed, with an alternative</t>
  </si>
  <si>
    <t xml:space="preserve">18 new rules read process creation, always as "4688 OR Sysmon 1" (15 also accept 4104). 4688 with command-line auditing satisfies all 18 without Sysmon. Sysmon 1 is still required for 89 re-tagged ITDR rules and ~1,100 other Sigma rules. PsExec is not on this row (System 7045).</t>
  </si>
  <si>
    <t xml:space="preserve">Sysmon 10 (LSASS target)</t>
  </si>
  <si>
    <t xml:space="preserve">Over-attributed</t>
  </si>
  <si>
    <t xml:space="preserve">Only 2 new rules read Sysmon 10 (the two LSASS access rules). comsvcs, Procdump and Nanodump read process creation, not Sysmon 10. 8 re-tagged ITDR rules also read it.</t>
  </si>
  <si>
    <t xml:space="preserve">Sysmon 12, 13, 14</t>
  </si>
  <si>
    <t xml:space="preserve">Not needed by the 57</t>
  </si>
  <si>
    <t xml:space="preserve">No new ITDR rule reads Sysmon 12/13/14. SSP Registration and Authentication Package Modified read command lines. 5 re-tagged ITDR rules (Sysmon 12) and 18 others do read it.</t>
  </si>
  <si>
    <t xml:space="preserve">Confirmed, wider than shown</t>
  </si>
  <si>
    <t xml:space="preserve">15 new rules accept 4104 as an alternative to process creation, not just the 3 named PowerShell variants. It adds in-memory/script-only detection that 4688/Sysmon 1 miss.</t>
  </si>
  <si>
    <t xml:space="preserve">w1</t>
  </si>
  <si>
    <t xml:space="preserve">Workstations: Sysmon 1</t>
  </si>
  <si>
    <t xml:space="preserve">Tier 3/WS</t>
  </si>
  <si>
    <t xml:space="preserve">Not rule-driven</t>
  </si>
  <si>
    <t xml:space="preserve">Same event types as s1. Rules do not distinguish servers from workstations; scope is a coverage decision.</t>
  </si>
  <si>
    <t xml:space="preserve">w2</t>
  </si>
  <si>
    <t xml:space="preserve">Workstations: Sysmon 10</t>
  </si>
  <si>
    <t xml:space="preserve">Same as s2.</t>
  </si>
  <si>
    <t xml:space="preserve">w3</t>
  </si>
  <si>
    <t xml:space="preserve">Workstations: Sysmon 12/13/14</t>
  </si>
  <si>
    <t xml:space="preserve">Same as s3; not needed by the 57.</t>
  </si>
  <si>
    <t xml:space="preserve">w4</t>
  </si>
  <si>
    <t xml:space="preserve">Workstations: PowerShell 4104</t>
  </si>
  <si>
    <t xml:space="preserve">Same as s4.</t>
  </si>
  <si>
    <t xml:space="preserve">Workstation rows (w1-w4) count the same rules as s1-s4: rule definitions do not separate server and workstation telemetry.</t>
  </si>
  <si>
    <t xml:space="preserve">Event source</t>
  </si>
  <si>
    <t xml:space="preserve">Channel / integration</t>
  </si>
  <si>
    <t xml:space="preserve">Type</t>
  </si>
  <si>
    <t xml:space="preserve">Rules that need it</t>
  </si>
  <si>
    <t xml:space="preserve">Note</t>
  </si>
  <si>
    <t xml:space="preserve">Security 4688 (process creation + command line)</t>
  </si>
  <si>
    <t xml:space="preserve">Alternative</t>
  </si>
  <si>
    <t xml:space="preserve">18 new ITDR rules (all process/command rules)</t>
  </si>
  <si>
    <t xml:space="preserve">All hosts in scope for process telemetry</t>
  </si>
  <si>
    <t xml:space="preserve">Enable "Audit Process Creation" and "Include command line in process creation events". Satisfies the 18 without Sysmon. Collecting both 4688 and Sysmon 1 doubles process volume for no extra coverage in these 18.</t>
  </si>
  <si>
    <t xml:space="preserve">System 7045 (service installed)</t>
  </si>
  <si>
    <t xml:space="preserve">Gap</t>
  </si>
  <si>
    <t xml:space="preserve">Windows: PsExec Service Creation (+39 other rules incl. 1 re-tagged ITDR)</t>
  </si>
  <si>
    <t xml:space="preserve">Hosts PsExec targets: servers, and workstations for full coverage</t>
  </si>
  <si>
    <t xml:space="preserve">Very low volume. Not in sizing at all.</t>
  </si>
  <si>
    <t xml:space="preserve">IIS web logs on the CA Web Enrollment server</t>
  </si>
  <si>
    <t xml:space="preserve">Servers running the AD CS Web Enrollment role</t>
  </si>
  <si>
    <t xml:space="preserve">Only relevant if Web Enrollment (/certsrv) is installed. Low volume.</t>
  </si>
  <si>
    <t xml:space="preserve">Security 4891, 4892, 4893, 4894</t>
  </si>
  <si>
    <t xml:space="preserve">Windows Security log on CA</t>
  </si>
  <si>
    <t xml:space="preserve">Partial</t>
  </si>
  <si>
    <t xml:space="preserve">Add to the ca row; 4890 alone covers only part of the rule.</t>
  </si>
  <si>
    <t xml:space="preserve">Linux Collector: process exec, auditd PATH/SYSCALL</t>
  </si>
  <si>
    <t xml:space="preserve">Not sized (known)</t>
  </si>
  <si>
    <t xml:space="preserve">Linux: /etc/shadow Access; Linux: Root-Equivalent Account</t>
  </si>
  <si>
    <t xml:space="preserve">Either source satisfies; auditd adds file-access (osObjName) detection the command-line path misses.</t>
  </si>
  <si>
    <t xml:space="preserve">Linux Collector FIM (FSM_LINUX_FILE_MODIFY)</t>
  </si>
  <si>
    <t xml:space="preserve">Linux Collector FIM</t>
  </si>
  <si>
    <t xml:space="preserve">FIM on /etc/pam.conf and /etc/pam.d/*, not auditd.</t>
  </si>
  <si>
    <t xml:space="preserve">Sysmon 7 (image load), Sysmon 11 (file create)</t>
  </si>
  <si>
    <t xml:space="preserve">Re-tagged ITDR only</t>
  </si>
  <si>
    <t xml:space="preserve">8 and 19 re-tagged ITDR rules (e.g. DLL Load via LSASS, Mimikatz Kirbi File Creation)</t>
  </si>
  <si>
    <t xml:space="preserve">Hosts with Sysmon</t>
  </si>
  <si>
    <t xml:space="preserve">Not needed by the 57. Needed if the scope is the full ITDR category.</t>
  </si>
  <si>
    <t xml:space="preserve">Security 4656/4663 (object access), 5145 (share access), 4697 (service installed)</t>
  </si>
  <si>
    <t xml:space="preserve">5, 4, 3 and 2 re-tagged ITDR rules</t>
  </si>
  <si>
    <t xml:space="preserve">DCs / file servers / all hosts</t>
  </si>
  <si>
    <t xml:space="preserve">Not needed by the 57. 4656/4663/5145 can be high volume; size only if the full ITDR category is in scope.</t>
  </si>
  <si>
    <t xml:space="preserve">MS_EvtHub_* (Azure Event Hub via AZURE_PYTHON_SDK)</t>
  </si>
  <si>
    <t xml:space="preserve">AzureEventHubParser path</t>
  </si>
  <si>
    <t xml:space="preserve">Verify</t>
  </si>
  <si>
    <t xml:space="preserve">Azure Global Administrator Role Added to PIM User (re-tagged ITDR), Consent Grant, App/SP owner added, MFA disabled, CA policy modified</t>
  </si>
  <si>
    <t xml:space="preserve">PIM role adds are caught here, not by the 11 new rules (those match Add_member_to_role only, via MicrosoftAzureEntraParser). Confirm which parser your Event Hub feed lands on before assuming PIM coverage.</t>
  </si>
  <si>
    <t xml:space="preserve">MS_OFFICE365_EntraID_* (O365 Management Activity API)</t>
  </si>
  <si>
    <t xml:space="preserve">Office 365 Management Activity API</t>
  </si>
  <si>
    <t xml:space="preserve">Office365: User added to Admin Role, Brute Force (re-tagged ITDR)</t>
  </si>
  <si>
    <t xml:space="preserve">M365 tenant</t>
  </si>
  <si>
    <t xml:space="preserve">A separate path for some Entra role/sign-in events. Not in sizing.</t>
  </si>
  <si>
    <t xml:space="preserve">Identity engine inputs (/opt/phoenix/config/identityDef.xml)</t>
  </si>
  <si>
    <t xml:space="preserve">Entra sign-ins, Office 365, VPN, AWS, Windows 4624</t>
  </si>
  <si>
    <t xml:space="preserve">Indirect</t>
  </si>
  <si>
    <t xml:space="preserve">Sudden User Location Change (re-tagged ITDR, severity 9)</t>
  </si>
  <si>
    <t xml:space="preserve">Sources with public source IPs</t>
  </si>
  <si>
    <t xml:space="preserve">The rule reads only an internal event; its real inputs are the successful-logon events listed in identityDef.xml. Internal DC logons rarely geolocate, so cloud sign-ins and VPN carry this rule.</t>
  </si>
  <si>
    <t xml:space="preserve">Security 4776 (NTLM credential validation)</t>
  </si>
  <si>
    <t xml:space="preserve">Windows Security log on DCs</t>
  </si>
  <si>
    <t xml:space="preserve">Brute Force Host Login Success and Multiple Logon Failures: Domain, via the Domain Logon Failure and Success groups</t>
  </si>
  <si>
    <t xml:space="preserve">In both domain logon groups but in no sizing row. Volume grows with NTLM use; measure it.</t>
  </si>
  <si>
    <t xml:space="preserve">Kerberos-only password spraying (4771, 4768-failure)</t>
  </si>
  <si>
    <t xml:space="preserve">Detection gap</t>
  </si>
  <si>
    <t xml:space="preserve">No built-in rule</t>
  </si>
  <si>
    <t xml:space="preserve">4771 is only in Domain Logon Failure; the spraying rules (Same Src and Dest and Multiple Accounts, Same Src and Multiple Dest) read only Device Logon Failure. Needs a custom rule counting distinct users per source.</t>
  </si>
  <si>
    <t xml:space="preserve">Entra password spraying</t>
  </si>
  <si>
    <t xml:space="preserve">Entra sign-in logs</t>
  </si>
  <si>
    <t xml:space="preserve">Entra sign-in failures are in Application Logon Failure, which no spraying rule reads. Entra brute force against one account is detected by the application rules. Office365: Brute Force Login Attempts - Same Source covers cloud spraying only via the Office 365 Management API.</t>
  </si>
  <si>
    <t xml:space="preserve">Event-type groups (Group@PH_SYS_EVENT_*)</t>
  </si>
  <si>
    <t xml:space="preserve">Various</t>
  </si>
  <si>
    <t xml:space="preserve">Partly verified</t>
  </si>
  <si>
    <t xml:space="preserve">Brute-force, logon, lockout, account-change rules</t>
  </si>
  <si>
    <t xml:space="preserve">Logon success/failure (Device, Domain, Application) and lockout groups were checked with Member Of in a 7.6.0 system. Other groups (VPN, Web, DB, Wireless, account change) are still unverified.</t>
  </si>
  <si>
    <t xml:space="preserve">In scope?</t>
  </si>
  <si>
    <t xml:space="preserve">FortiDeceptor via Syslog; FortiSwitch via Syslog; FortiProxy via Syslog; FortiGate via Syslog; Cisco IOS via Syslog; Cisco ASA via Syslog</t>
  </si>
  <si>
    <t xml:space="preserve">Microsoft Windows via OMI or Windows Collector; Linux via Syslog</t>
  </si>
  <si>
    <t xml:space="preserve">PH_Rule_Vuln_20</t>
  </si>
  <si>
    <t xml:space="preserve">Adware process found</t>
  </si>
  <si>
    <t xml:space="preserve">Checkpoint IPS-1 via LEA/Syslog; Palo Alto PAN-OS via Syslog; FortiProxy via Syslog; FortiGate via Syslog</t>
  </si>
  <si>
    <t xml:space="preserve">https://filestore.fortinet.com/docs.fortinet.com/fsiem/Public_Resource_Access/7_6_0/rules/PH_RULE_ADWARE_PROCESS.htm</t>
  </si>
  <si>
    <t xml:space="preserve">PH_Rule_ALertLogic_1</t>
  </si>
  <si>
    <t xml:space="preserve">AlertLogic Incident</t>
  </si>
  <si>
    <t xml:space="preserve">AlertLogic logs via ALERTLOGIC_API_v3 or ALERTLOGIC_IRIS_API</t>
  </si>
  <si>
    <t xml:space="preserve">https://filestore.fortinet.com/docs.fortinet.com/fsiem/Public_Resource_Access/7_6_0/rules/PH_RULE_ALERTLOGIC_INCIDENT.htm</t>
  </si>
  <si>
    <t xml:space="preserve">PH_RULE_Armis_Alert_Detected</t>
  </si>
  <si>
    <t xml:space="preserve">Armis Alert Detected</t>
  </si>
  <si>
    <t xml:space="preserve">Behavioral Anomaly</t>
  </si>
  <si>
    <t xml:space="preserve">Armis Asset Intelligence Platform via Syslog</t>
  </si>
  <si>
    <t xml:space="preserve">https://filestore.fortinet.com/docs.fortinet.com/fsiem/Public_Resource_Access/7_6_0/rules/PH_RULE_Armis_Alert_Detected.htm</t>
  </si>
  <si>
    <t xml:space="preserve">PH_RULE_Armis_Activity_Risk_Level_High</t>
  </si>
  <si>
    <t xml:space="preserve">Armis Device Risk Level High</t>
  </si>
  <si>
    <t xml:space="preserve">ARMIS_REST_API</t>
  </si>
  <si>
    <t xml:space="preserve">https://filestore.fortinet.com/docs.fortinet.com/fsiem/Public_Resource_Access/7_6_0/rules/PH_RULE_Armis_Activity_Risk_Level_High.htm</t>
  </si>
  <si>
    <t xml:space="preserve">PH_RULE_Armis_Activity_Risk_Level_Medium</t>
  </si>
  <si>
    <t xml:space="preserve">Armis Device Risk Level Medium</t>
  </si>
  <si>
    <t xml:space="preserve">https://filestore.fortinet.com/docs.fortinet.com/fsiem/Public_Resource_Access/7_6_0/rules/PH_RULE_Armis_Activity_Risk_Level_Medium.htm</t>
  </si>
  <si>
    <t xml:space="preserve">PH_RULE_Armis_Network_Policy_Violation</t>
  </si>
  <si>
    <t xml:space="preserve">Armis Network Policy Violation</t>
  </si>
  <si>
    <t xml:space="preserve">Policy Violation</t>
  </si>
  <si>
    <t xml:space="preserve">https://filestore.fortinet.com/docs.fortinet.com/fsiem/Public_Resource_Access/7_6_0/rules/PH_RULE_Armis_Network_Policy_Violation.htm</t>
  </si>
  <si>
    <t xml:space="preserve">PH_RULE_ArubaOS_CX_ConfigChangeDetected</t>
  </si>
  <si>
    <t xml:space="preserve">ArubaOS-CX: Config Change Detected</t>
  </si>
  <si>
    <t xml:space="preserve">https://filestore.fortinet.com/docs.fortinet.com/fsiem/Public_Resource_Access/7_6_0/rules/PH_RULE_ArubaOS_CX_ConfigChangeDetected.htm</t>
  </si>
  <si>
    <t xml:space="preserve">PH_Rule_Change_17</t>
  </si>
  <si>
    <t xml:space="preserve">Audited file or directory content modified in SVN</t>
  </si>
  <si>
    <t xml:space="preserve">https://filestore.fortinet.com/docs.fortinet.com/fsiem/Public_Resource_Access/7_6_0/rules/PH_RULE_CUST_FILE_CONTENT_CHANGE.htm</t>
  </si>
  <si>
    <t xml:space="preserve">PH_Rule_Avail_15C</t>
  </si>
  <si>
    <t xml:space="preserve">Auto Service Stopped</t>
  </si>
  <si>
    <t xml:space="preserve">Microsoft Windows Performance Monitoring via OMI or Windows Collector</t>
  </si>
  <si>
    <t xml:space="preserve">https://filestore.fortinet.com/docs.fortinet.com/fsiem/Public_Resource_Access/7_6_0/rules/PH_RULE_AUTO_SRVC_DOWN.htm</t>
  </si>
  <si>
    <t xml:space="preserve">PH_Rule_ES_IMPORT_AWS_33</t>
  </si>
  <si>
    <t xml:space="preserve">AWS CloudTrail Important Changes</t>
  </si>
  <si>
    <t xml:space="preserve">https://filestore.fortinet.com/docs.fortinet.com/fsiem/Public_Resource_Access/7_6_0/rules/PH_RULE_AWS_CloudTrail_Change.htm</t>
  </si>
  <si>
    <t xml:space="preserve">PH_Rule_ES_IMPORT_AWS_0</t>
  </si>
  <si>
    <t xml:space="preserve">AWS CloudTrail Log Created</t>
  </si>
  <si>
    <t xml:space="preserve">https://filestore.fortinet.com/docs.fortinet.com/fsiem/Public_Resource_Access/7_6_0/rules/PH_RULE_AWS_CloudTrail_Log_Created.htm</t>
  </si>
  <si>
    <t xml:space="preserve">PH_Rule_ES_IMPORT_AWS_5</t>
  </si>
  <si>
    <t xml:space="preserve">AWS CloudTrail Log Deleted</t>
  </si>
  <si>
    <t xml:space="preserve">https://filestore.fortinet.com/docs.fortinet.com/fsiem/Public_Resource_Access/7_6_0/rules/PH_RULE_AWS_CloudTrail_Log_Deleted.htm</t>
  </si>
  <si>
    <t xml:space="preserve">PH_Rule_ES_IMPORT_AWS_17</t>
  </si>
  <si>
    <t xml:space="preserve">AWS CloudTrail Log Setting Updated</t>
  </si>
  <si>
    <t xml:space="preserve">https://filestore.fortinet.com/docs.fortinet.com/fsiem/Public_Resource_Access/7_6_0/rules/PH_RULE_AWS_CloudTrail_Log_Updated.htm</t>
  </si>
  <si>
    <t xml:space="preserve">PH_Rule_ES_IMPORT_AWS_6</t>
  </si>
  <si>
    <t xml:space="preserve">AWS CloudTrail Log Suspended</t>
  </si>
  <si>
    <t xml:space="preserve">https://filestore.fortinet.com/docs.fortinet.com/fsiem/Public_Resource_Access/7_6_0/rules/PH_RULE_AWS_CloudTrail_Log_Suspended.htm</t>
  </si>
  <si>
    <t xml:space="preserve">PH_Rule_ES_IMPORT_AWS_32</t>
  </si>
  <si>
    <t xml:space="preserve">AWS CloudWatch Alarm Deleted</t>
  </si>
  <si>
    <t xml:space="preserve">https://filestore.fortinet.com/docs.fortinet.com/fsiem/Public_Resource_Access/7_6_0/rules/PH_RULE_AWS_CloudWatch_Alarm_Deletion.htm</t>
  </si>
  <si>
    <t xml:space="preserve">PH_Rule_ES_IMPORT_AWS_18</t>
  </si>
  <si>
    <t xml:space="preserve">AWS CloudWatch Log Group Deleted</t>
  </si>
  <si>
    <t xml:space="preserve">https://filestore.fortinet.com/docs.fortinet.com/fsiem/Public_Resource_Access/7_6_0/rules/PH_RULE_AWS_CloudWatch_Log_Group_Deletion.htm</t>
  </si>
  <si>
    <t xml:space="preserve">PH_Rule_ES_IMPORT_AWS_19</t>
  </si>
  <si>
    <t xml:space="preserve">AWS CloudWatch Log Stream Deleted</t>
  </si>
  <si>
    <t xml:space="preserve">https://filestore.fortinet.com/docs.fortinet.com/fsiem/Public_Resource_Access/7_6_0/rules/PH_RULE_AWS_CloudWatch_Log_Stream_Deletion.htm</t>
  </si>
  <si>
    <t xml:space="preserve">PH_Rule_ES_IMPORT_AWS_7</t>
  </si>
  <si>
    <t xml:space="preserve">AWS Config Service Tampering</t>
  </si>
  <si>
    <t xml:space="preserve">https://filestore.fortinet.com/docs.fortinet.com/fsiem/Public_Resource_Access/7_6_0/rules/PH_RULE_AWS_Config_Service_Tampering.htm</t>
  </si>
  <si>
    <t xml:space="preserve">PH_Rule_ES_IMPORT_AWS_8</t>
  </si>
  <si>
    <t xml:space="preserve">AWS Configuration Recorder Stopped</t>
  </si>
  <si>
    <t xml:space="preserve">https://filestore.fortinet.com/docs.fortinet.com/fsiem/Public_Resource_Access/7_6_0/rules/PH_RULE_AWS_Configuration_Recorder_Stopped.htm</t>
  </si>
  <si>
    <t xml:space="preserve">PH_Rule_ES_IMPORT_AWS_20</t>
  </si>
  <si>
    <t xml:space="preserve">AWS EC2 Encryption Disabled</t>
  </si>
  <si>
    <t xml:space="preserve">https://filestore.fortinet.com/docs.fortinet.com/fsiem/Public_Resource_Access/7_6_0/rules/PH_RULE_AWS_EC2_Encryption_Disabled.htm</t>
  </si>
  <si>
    <t xml:space="preserve">PH_Rule_ES_IMPORT_AWS_9</t>
  </si>
  <si>
    <t xml:space="preserve">AWS EC2 Flow Log Deleted</t>
  </si>
  <si>
    <t xml:space="preserve">https://filestore.fortinet.com/docs.fortinet.com/fsiem/Public_Resource_Access/7_6_0/rules/PH_RULE_AWS_EC2_Flow_Log_Deletion.htm</t>
  </si>
  <si>
    <t xml:space="preserve">PH_Rule_Avail_48</t>
  </si>
  <si>
    <t xml:space="preserve">AWS EC2 Instance Down</t>
  </si>
  <si>
    <t xml:space="preserve">AWS Discovery via AWS_SDK</t>
  </si>
  <si>
    <t xml:space="preserve">https://filestore.fortinet.com/docs.fortinet.com/fsiem/Public_Resource_Access/7_6_0/rules/PH_RULE_EC2_INSTANCE_DOWN.htm</t>
  </si>
  <si>
    <t xml:space="preserve">PH_Rule_ES_IMPORT_AWS_10</t>
  </si>
  <si>
    <t xml:space="preserve">AWS EC2 Network Access Control List Deleted</t>
  </si>
  <si>
    <t xml:space="preserve">https://filestore.fortinet.com/docs.fortinet.com/fsiem/Public_Resource_Access/7_6_0/rules/PH_RULE_AWS_EC2_Network_Access_Control_List_Deletion.htm</t>
  </si>
  <si>
    <t xml:space="preserve">PH_Rule_ES_IMPORT_AWS_16</t>
  </si>
  <si>
    <t xml:space="preserve">AWS EC2 Snapshot Attribute Modified</t>
  </si>
  <si>
    <t xml:space="preserve">https://filestore.fortinet.com/docs.fortinet.com/fsiem/Public_Resource_Access/7_6_0/rules/PH_RULE_AWS_EC2_Snapshot_Activity.htm</t>
  </si>
  <si>
    <t xml:space="preserve">PH_Rule_ES_IMPORT_AWS_34</t>
  </si>
  <si>
    <t xml:space="preserve">AWS EC2 User Data Download</t>
  </si>
  <si>
    <t xml:space="preserve">https://filestore.fortinet.com/docs.fortinet.com/fsiem/Public_Resource_Access/7_6_0/rules/PH_RULE_AWS_CloudTrail_DOWNLOAD.htm</t>
  </si>
  <si>
    <t xml:space="preserve">PH_Rule_ES_IMPORT_AWS_15</t>
  </si>
  <si>
    <t xml:space="preserve">AWS Execution via System Manager</t>
  </si>
  <si>
    <t xml:space="preserve">https://filestore.fortinet.com/docs.fortinet.com/fsiem/Public_Resource_Access/7_6_0/rules/PH_RULE_AWS_Execution_via_System_Manager.htm</t>
  </si>
  <si>
    <t xml:space="preserve">PH_Rule_ES_IMPORT_AWS_11</t>
  </si>
  <si>
    <t xml:space="preserve">AWS GuardDuty Detector Deleted</t>
  </si>
  <si>
    <t xml:space="preserve">https://filestore.fortinet.com/docs.fortinet.com/fsiem/Public_Resource_Access/7_6_0/rules/PH_RULE_AWS_GuardDuty_Detector_Deletion.htm</t>
  </si>
  <si>
    <t xml:space="preserve">PH_Rule_ES_IMPORT_AWS_35</t>
  </si>
  <si>
    <t xml:space="preserve">AWS Instance or Snapshot Discovery</t>
  </si>
  <si>
    <t xml:space="preserve">https://filestore.fortinet.com/docs.fortinet.com/fsiem/Public_Resource_Access/7_6_0/rules/PH_RULE_AWS_Instance_Discovery.htm</t>
  </si>
  <si>
    <t xml:space="preserve">PH_Rule_ES_IMPORT_AWS_29</t>
  </si>
  <si>
    <t xml:space="preserve">AWS RDS Cluster Created</t>
  </si>
  <si>
    <t xml:space="preserve">https://filestore.fortinet.com/docs.fortinet.com/fsiem/Public_Resource_Access/7_6_0/rules/PH_RULE_AWS_RDS_Cluster_Creation.htm</t>
  </si>
  <si>
    <t xml:space="preserve">PH_Rule_ES_IMPORT_AWS_23</t>
  </si>
  <si>
    <t xml:space="preserve">AWS RDS Cluster Deleted</t>
  </si>
  <si>
    <t xml:space="preserve">https://filestore.fortinet.com/docs.fortinet.com/fsiem/Public_Resource_Access/7_6_0/rules/PH_RULE_AWS_RDS_Cluster_Deletion.htm</t>
  </si>
  <si>
    <t xml:space="preserve">PH_Rule_ES_IMPORT_AWS_24</t>
  </si>
  <si>
    <t xml:space="preserve">AWS RDS Instance/Cluster Stopped</t>
  </si>
  <si>
    <t xml:space="preserve">https://filestore.fortinet.com/docs.fortinet.com/fsiem/Public_Resource_Access/7_6_0/rules/PH_RULE_AWS_RDS_Instance_Cluster_Stoppage.htm</t>
  </si>
  <si>
    <t xml:space="preserve">PH_Rule_ES_IMPORT_AWS_12</t>
  </si>
  <si>
    <t xml:space="preserve">AWS S3 Bucket Configuration Deleted</t>
  </si>
  <si>
    <t xml:space="preserve">https://filestore.fortinet.com/docs.fortinet.com/fsiem/Public_Resource_Access/7_6_0/rules/PH_RULE_AWS_S3_Bucket_Configuration_Deletion.htm</t>
  </si>
  <si>
    <t xml:space="preserve">PH_Rule_AWSSecHub_1</t>
  </si>
  <si>
    <t xml:space="preserve">AWS SecHub: Host Vulnerability Detected</t>
  </si>
  <si>
    <t xml:space="preserve">https://filestore.fortinet.com/docs.fortinet.com/fsiem/Public_Resource_Access/7_6_0/rules/PH_RULE_AWS_SECHUB_VULN.htm</t>
  </si>
  <si>
    <t xml:space="preserve">PH_Rule_AWSSecHub_22</t>
  </si>
  <si>
    <t xml:space="preserve">AWS SecHub: Software and Configuration Violation</t>
  </si>
  <si>
    <t xml:space="preserve">https://filestore.fortinet.com/docs.fortinet.com/fsiem/Public_Resource_Access/7_6_0/rules/PH_RULE_AWS_SECHUB_SW_CFG_VIOLATION.htm</t>
  </si>
  <si>
    <t xml:space="preserve">PH_Rule_AWSSecHub_10</t>
  </si>
  <si>
    <t xml:space="preserve">AWS SecHub: Tactics: Collection Detected</t>
  </si>
  <si>
    <t xml:space="preserve">https://filestore.fortinet.com/docs.fortinet.com/fsiem/Public_Resource_Access/7_6_0/rules/PH_RULE_AWS_SECHUB_TTP_COLLECTION.htm</t>
  </si>
  <si>
    <t xml:space="preserve">PH_Rule_AWSSecHub_11</t>
  </si>
  <si>
    <t xml:space="preserve">AWS SecHub: Tactics: Command-and-Control Detected</t>
  </si>
  <si>
    <t xml:space="preserve">Command and Control</t>
  </si>
  <si>
    <t xml:space="preserve">https://filestore.fortinet.com/docs.fortinet.com/fsiem/Public_Resource_Access/7_6_0/rules/PH_RULE_AWS_SECHUB_TTP_COMMAND_CONTROL.htm</t>
  </si>
  <si>
    <t xml:space="preserve">PH_Rule_AWSSecHub_6</t>
  </si>
  <si>
    <t xml:space="preserve">AWS SecHub: Tactics: Defense Evasion Detected</t>
  </si>
  <si>
    <t xml:space="preserve">https://filestore.fortinet.com/docs.fortinet.com/fsiem/Public_Resource_Access/7_6_0/rules/PH_RULE_AWS_SECHUB_TTP_DEFENSE_EVASION.htm</t>
  </si>
  <si>
    <t xml:space="preserve">PH_Rule_AWSSecHub_8</t>
  </si>
  <si>
    <t xml:space="preserve">AWS SecHub: Tactics: Discovery Detected</t>
  </si>
  <si>
    <t xml:space="preserve">https://filestore.fortinet.com/docs.fortinet.com/fsiem/Public_Resource_Access/7_6_0/rules/PH_RULE_AWS_SECHUB_TTP_DISCOVERY.htm</t>
  </si>
  <si>
    <t xml:space="preserve">PH_Rule_AWSSecHub_3</t>
  </si>
  <si>
    <t xml:space="preserve">AWS SecHub: Tactics: Execution Detected</t>
  </si>
  <si>
    <t xml:space="preserve">https://filestore.fortinet.com/docs.fortinet.com/fsiem/Public_Resource_Access/7_6_0/rules/PH_RULE_AWS_SECHUB_TTP_EXECUTION.htm</t>
  </si>
  <si>
    <t xml:space="preserve">PH_Rule_AWSSecHub_14</t>
  </si>
  <si>
    <t xml:space="preserve">AWS SecHub: Tactics: Impact: Data Destruction Detected</t>
  </si>
  <si>
    <t xml:space="preserve">https://filestore.fortinet.com/docs.fortinet.com/fsiem/Public_Resource_Access/7_6_0/rules/PH_RULE_AWS_SECHUB_TTP_DATA_DESTRUCTION.htm</t>
  </si>
  <si>
    <t xml:space="preserve">PH_Rule_AWSSecHub_13</t>
  </si>
  <si>
    <t xml:space="preserve">AWS SecHub: Tactics: Impact: Data Exfiltration Detected</t>
  </si>
  <si>
    <t xml:space="preserve">https://filestore.fortinet.com/docs.fortinet.com/fsiem/Public_Resource_Access/7_6_0/rules/PH_RULE_AWS_SECHUB_TTP_DATA_EXFILTRATION.htm</t>
  </si>
  <si>
    <t xml:space="preserve">PH_Rule_AWSSecHub_12</t>
  </si>
  <si>
    <t xml:space="preserve">AWS SecHub: Tactics: Impact: Data Exposure Detected</t>
  </si>
  <si>
    <t xml:space="preserve">https://filestore.fortinet.com/docs.fortinet.com/fsiem/Public_Resource_Access/7_6_0/rules/PH_RULE_AWS_SECHUB_TTP_DATA_EXPOSURE.htm</t>
  </si>
  <si>
    <t xml:space="preserve">PH_Rule_AWSSecHub_15</t>
  </si>
  <si>
    <t xml:space="preserve">AWS SecHub: Tactics: Impact: Denial of Service Detected</t>
  </si>
  <si>
    <t xml:space="preserve">https://filestore.fortinet.com/docs.fortinet.com/fsiem/Public_Resource_Access/7_6_0/rules/PH_RULE_AWS_SECHUB_TTP_DOS.htm</t>
  </si>
  <si>
    <t xml:space="preserve">PH_Rule_AWSSecHub_2</t>
  </si>
  <si>
    <t xml:space="preserve">AWS SecHub: Tactics: Initial Access Detected</t>
  </si>
  <si>
    <t xml:space="preserve">https://filestore.fortinet.com/docs.fortinet.com/fsiem/Public_Resource_Access/7_6_0/rules/PH_RULE_AWS_SECHUB_INITIAL_ACCESS.htm</t>
  </si>
  <si>
    <t xml:space="preserve">PH_Rule_AWSSecHub_4</t>
  </si>
  <si>
    <t xml:space="preserve">AWS SecHub: Tactics: Persistence Detected</t>
  </si>
  <si>
    <t xml:space="preserve">https://filestore.fortinet.com/docs.fortinet.com/fsiem/Public_Resource_Access/7_6_0/rules/PH_RULE_AWS_SECHUB_TTP_PERSISTENCE.htm</t>
  </si>
  <si>
    <t xml:space="preserve">PH_Rule_AWSSecHub_21</t>
  </si>
  <si>
    <t xml:space="preserve">AWS SecHub: Unusal Data Behavior Detected</t>
  </si>
  <si>
    <t xml:space="preserve">https://filestore.fortinet.com/docs.fortinet.com/fsiem/Public_Resource_Access/7_6_0/rules/PH_RULE_AWS_SECHUB_UNUSUAL_DATA_BEHAVIOR.htm</t>
  </si>
  <si>
    <t xml:space="preserve">PH_Rule_AWSSecHub_20</t>
  </si>
  <si>
    <t xml:space="preserve">AWS SecHub: Unusal Database Behavior Detected</t>
  </si>
  <si>
    <t xml:space="preserve">https://filestore.fortinet.com/docs.fortinet.com/fsiem/Public_Resource_Access/7_6_0/rules/PH_RULE_AWS_SECHUB_UNUSUAL_DATABASE_BEHAVIOR.htm</t>
  </si>
  <si>
    <t xml:space="preserve">PH_Rule_AWSSecHub_17</t>
  </si>
  <si>
    <t xml:space="preserve">AWS SecHub: Unusal Network Flow Behavior Detected</t>
  </si>
  <si>
    <t xml:space="preserve">https://filestore.fortinet.com/docs.fortinet.com/fsiem/Public_Resource_Access/7_6_0/rules/PH_RULE_AWS_SECHUB_UNUSUAL_NET_FLOW_BEHAVIOR.htm</t>
  </si>
  <si>
    <t xml:space="preserve">PH_Rule_AWSSecHub_19</t>
  </si>
  <si>
    <t xml:space="preserve">AWS SecHub: Unusal Process Behavior Detected</t>
  </si>
  <si>
    <t xml:space="preserve">https://filestore.fortinet.com/docs.fortinet.com/fsiem/Public_Resource_Access/7_6_0/rules/PH_RULE_AWS_SECHUB_UNUSUAL_PROCESS_BEHAVIOR.htm</t>
  </si>
  <si>
    <t xml:space="preserve">PH_Rule_AWSSecHub_18</t>
  </si>
  <si>
    <t xml:space="preserve">AWS SecHub: Unusal Serverless Behavior Detected</t>
  </si>
  <si>
    <t xml:space="preserve">https://filestore.fortinet.com/docs.fortinet.com/fsiem/Public_Resource_Access/7_6_0/rules/PH_RULE_AWS_SECHUB_UNUSUAL_SERVERLESS_BEHAVIOR.htm</t>
  </si>
  <si>
    <t xml:space="preserve">PH_Rule_AWSSecHub_16</t>
  </si>
  <si>
    <t xml:space="preserve">AWS SecHub: Unusual Application Behavior Detected</t>
  </si>
  <si>
    <t xml:space="preserve">https://filestore.fortinet.com/docs.fortinet.com/fsiem/Public_Resource_Access/7_6_0/rules/PH_RULE_AWS_SECHUB_UNUSUAL_APP_BEHAVIOR.htm</t>
  </si>
  <si>
    <t xml:space="preserve">PH_Rule_ES_IMPORT_AWS_13</t>
  </si>
  <si>
    <t xml:space="preserve">AWS WAF Access Control List Deleted</t>
  </si>
  <si>
    <t xml:space="preserve">https://filestore.fortinet.com/docs.fortinet.com/fsiem/Public_Resource_Access/7_6_0/rules/PH_RULE_AWS_WAF_Access_Control_List_Deletion.htm</t>
  </si>
  <si>
    <t xml:space="preserve">PH_Rule_ES_IMPORT_AWS_14</t>
  </si>
  <si>
    <t xml:space="preserve">AWS WAF Rule or Rule Group Deleted</t>
  </si>
  <si>
    <t xml:space="preserve">https://filestore.fortinet.com/docs.fortinet.com/fsiem/Public_Resource_Access/7_6_0/rules/PH_RULE_AWS_WAF_Rule_or_Rule_Group_Deletion.htm</t>
  </si>
  <si>
    <t xml:space="preserve">PH_Rule_ES_IMPORT_AZURE_14</t>
  </si>
  <si>
    <t xml:space="preserve">Azure Automation Runbook Created or Modified</t>
  </si>
  <si>
    <t xml:space="preserve">https://filestore.fortinet.com/docs.fortinet.com/fsiem/Public_Resource_Access/7_6_0/rules/PH_RULE_Azure_Automation_Runbook_Created_or_Modified.htm</t>
  </si>
  <si>
    <t xml:space="preserve">PH_Rule_ES_IMPORT_AZURE_9</t>
  </si>
  <si>
    <t xml:space="preserve">Azure Automation Runbook Deleted</t>
  </si>
  <si>
    <t xml:space="preserve">https://filestore.fortinet.com/docs.fortinet.com/fsiem/Public_Resource_Access/7_6_0/rules/PH_RULE_Azure_Automation_Runbook_Deleted.htm</t>
  </si>
  <si>
    <t xml:space="preserve">PH_Rule_ES_IMPORT_AZURE_15</t>
  </si>
  <si>
    <t xml:space="preserve">Azure Automation Webhook Created</t>
  </si>
  <si>
    <t xml:space="preserve">https://filestore.fortinet.com/docs.fortinet.com/fsiem/Public_Resource_Access/7_6_0/rules/PH_RULE_Azure_Automation_Webhook_Created.htm</t>
  </si>
  <si>
    <t xml:space="preserve">PH_Rule_ES_IMPORT_AZURE_7</t>
  </si>
  <si>
    <t xml:space="preserve">Azure Blob Container Access Level Modification</t>
  </si>
  <si>
    <t xml:space="preserve">https://filestore.fortinet.com/docs.fortinet.com/fsiem/Public_Resource_Access/7_6_0/rules/PH_RULE_Azure_Blob_Container_Access_Level_Modification.htm</t>
  </si>
  <si>
    <t xml:space="preserve">PH_Rule_ES_IMPORT_AZURE_8</t>
  </si>
  <si>
    <t xml:space="preserve">Azure Command Execution on Virtual Machine</t>
  </si>
  <si>
    <t xml:space="preserve">https://filestore.fortinet.com/docs.fortinet.com/fsiem/Public_Resource_Access/7_6_0/rules/PH_RULE_Azure_Command_Execution_on_Virtual_Machine.htm</t>
  </si>
  <si>
    <t xml:space="preserve">PH_Rule_ES_IMPORT_AZURE_3</t>
  </si>
  <si>
    <t xml:space="preserve">Azure Diagnostic Settings Deleted</t>
  </si>
  <si>
    <t xml:space="preserve">https://filestore.fortinet.com/docs.fortinet.com/fsiem/Public_Resource_Access/7_6_0/rules/PH_RULE_Azure_Diagnostic_Settings_Deletion.htm</t>
  </si>
  <si>
    <t xml:space="preserve">PH_Rule_ES_IMPORT_AZURE_4</t>
  </si>
  <si>
    <t xml:space="preserve">Azure Event Hub Deleted</t>
  </si>
  <si>
    <t xml:space="preserve">https://filestore.fortinet.com/docs.fortinet.com/fsiem/Public_Resource_Access/7_6_0/rules/PH_RULE_Azure_Event_Hub_Deletion.htm</t>
  </si>
  <si>
    <t xml:space="preserve">PH_Rule_ES_IMPORT_AZURE_5</t>
  </si>
  <si>
    <t xml:space="preserve">Azure Firewall Policy Deleted</t>
  </si>
  <si>
    <t xml:space="preserve">https://filestore.fortinet.com/docs.fortinet.com/fsiem/Public_Resource_Access/7_6_0/rules/PH_RULE_Azure_Firewall_Policy_Deletion.htm</t>
  </si>
  <si>
    <t xml:space="preserve">PH_Rule_ES_IMPORT_AZURE_22</t>
  </si>
  <si>
    <t xml:space="preserve">Azure Infrastructure Discovery</t>
  </si>
  <si>
    <t xml:space="preserve">Microsoft Azure via Azure CLI</t>
  </si>
  <si>
    <t xml:space="preserve">https://filestore.fortinet.com/docs.fortinet.com/fsiem/Public_Resource_Access/7_6_0/rules/PH_RULE_Azure_Infrastructure_Discovery.htm</t>
  </si>
  <si>
    <t xml:space="preserve">PH_Rule_ES_IMPORT_AZURE_6</t>
  </si>
  <si>
    <t xml:space="preserve">Azure Network Watcher Deleted</t>
  </si>
  <si>
    <t xml:space="preserve">https://filestore.fortinet.com/docs.fortinet.com/fsiem/Public_Resource_Access/7_6_0/rules/PH_RULE_Azure_Network_Watcher_Deletion.htm</t>
  </si>
  <si>
    <t xml:space="preserve">PH_Rule_ES_IMPORT_AZURE_10</t>
  </si>
  <si>
    <t xml:space="preserve">Azure Resource Group Deleted</t>
  </si>
  <si>
    <t xml:space="preserve">https://filestore.fortinet.com/docs.fortinet.com/fsiem/Public_Resource_Access/7_6_0/rules/PH_RULE_Azure_Resource_Group_Deletion.htm</t>
  </si>
  <si>
    <t xml:space="preserve">PH_Rule_ES_IMPORT_AZURE_23</t>
  </si>
  <si>
    <t xml:space="preserve">Azure Service Discovery</t>
  </si>
  <si>
    <t xml:space="preserve">https://filestore.fortinet.com/docs.fortinet.com/fsiem/Public_Resource_Access/7_6_0/rules/PH_RULE_Azure_Service_Discovery.htm</t>
  </si>
  <si>
    <t xml:space="preserve">PH_Rule_IPS_ADV_1</t>
  </si>
  <si>
    <t xml:space="preserve">Backdoor Found by Network IPS</t>
  </si>
  <si>
    <t xml:space="preserve">https://filestore.fortinet.com/docs.fortinet.com/fsiem/Public_Resource_Access/7_6_0/rules/PH_RULE_BACKDOOR_FOUND.htm</t>
  </si>
  <si>
    <t xml:space="preserve">PH_RULE_BarracudaWAF_ConfigChangeDetected</t>
  </si>
  <si>
    <t xml:space="preserve">Barracuda WAF: Config Change Detected</t>
  </si>
  <si>
    <t xml:space="preserve">Barracuda Web Application Firewall via Syslog</t>
  </si>
  <si>
    <t xml:space="preserve">https://filestore.fortinet.com/docs.fortinet.com/fsiem/Public_Resource_Access/7_6_0/rules/PH_RULE_BarracudaWAF_ConfigChangeDetected.htm</t>
  </si>
  <si>
    <t xml:space="preserve">PH_Rule_Avail_31</t>
  </si>
  <si>
    <t xml:space="preserve">BGP Neighbor Down</t>
  </si>
  <si>
    <t xml:space="preserve">Routers via SNMP</t>
  </si>
  <si>
    <t xml:space="preserve">https://filestore.fortinet.com/docs.fortinet.com/fsiem/Public_Resource_Access/7_6_0/rules/PH_RULE_BGP_NBR_DOWN.htm</t>
  </si>
  <si>
    <t xml:space="preserve">PH_Rule_PolicyViolation_31</t>
  </si>
  <si>
    <t xml:space="preserve">Blocked File Execution</t>
  </si>
  <si>
    <t xml:space="preserve">Checkpoint via Syslog or Netflow; Palo Alto via Syslog or Netflow; FortiGate via Syslog or Netflow</t>
  </si>
  <si>
    <t xml:space="preserve">https://filestore.fortinet.com/docs.fortinet.com/fsiem/Public_Resource_Access/7_6_0/rules/PH_RULE_BLOCKED_FILE_EXEC.htm</t>
  </si>
  <si>
    <t xml:space="preserve">PH_Rule_PolicyViolation_30</t>
  </si>
  <si>
    <t xml:space="preserve">Blocklist User Agent Match</t>
  </si>
  <si>
    <t xml:space="preserve">Exfiltration</t>
  </si>
  <si>
    <t xml:space="preserve">https://filestore.fortinet.com/docs.fortinet.com/fsiem/Public_Resource_Access/7_6_0/rules/PH_RULE_MALWARE_USER_AGENT.htm</t>
  </si>
  <si>
    <t xml:space="preserve">Microsoft Windows via OMI or Windows Collector; Hillstone Firewall via Syslog; Palo Alto PAN-OS via Syslog; Sophos Firewall via Syslog; Juniper SSLVPN via Syslog; Juniper JunOS via Syslog; Microsoft IIS via Syslog; Pulse Secure via Syslog; WatchGuard via Syslog; FortiProxy via Syslog; FortiGate via Syslog; Cisco ASA via Syslog; SonicOS via Syslog; Apache via Syslog; JBOSS via Syslog; F5 via Syslog</t>
  </si>
  <si>
    <t xml:space="preserve">Microsoft Windows via OMI or Windows Collector; Office 365 via Management Activity API; AWS CloudTrail via AWS_CLOUDTRAIL; Hillstone Firewall via Syslog; Sophos Firewall via Syslog; Juniper JunOS via Syslog; Pulse Secure via Syslog; Juniper SRX via Syslog; HP Procurve via Syslog; Juniper SSG via Syslog; WatchGuard via Syslog; VMware NSX via Syslog; FortiProxy via Syslog; FortiGate via Syslog; Cisco IOS via Syslog; Cisco ASA via Syslog; NetScaler via Syslog; FortiSIEM via Syslog; Riverbed via Syslog; BlueCoat via Syslog; FortiWeb via Syslog; IBM AIX via Syslog; SonicOS via Syslog; Linux via Syslog</t>
  </si>
  <si>
    <t xml:space="preserve">PH_Rule_PolicyViolation_33</t>
  </si>
  <si>
    <t xml:space="preserve">Carbon Black Fatal Errors</t>
  </si>
  <si>
    <t xml:space="preserve">Application</t>
  </si>
  <si>
    <t xml:space="preserve">https://filestore.fortinet.com/docs.fortinet.com/fsiem/Public_Resource_Access/7_6_0/rules/PH_RULE_BIT9_FATAL_ERROR.htm</t>
  </si>
  <si>
    <t xml:space="preserve">PH_Rule_ACI_8</t>
  </si>
  <si>
    <t xml:space="preserve">Cisco ACI Cluster Unavailable</t>
  </si>
  <si>
    <t xml:space="preserve">SDN</t>
  </si>
  <si>
    <t xml:space="preserve">Cisco ACI via Cisco_APIC_API</t>
  </si>
  <si>
    <t xml:space="preserve">https://filestore.fortinet.com/docs.fortinet.com/fsiem/Public_Resource_Access/7_6_0/rules/PH_RULE_CISCO_ACI_CLUSTER_UNAVAIL.htm</t>
  </si>
  <si>
    <t xml:space="preserve">PH_Rule_ACI_1</t>
  </si>
  <si>
    <t xml:space="preserve">Cisco ACI Critical Fault</t>
  </si>
  <si>
    <t xml:space="preserve">https://filestore.fortinet.com/docs.fortinet.com/fsiem/Public_Resource_Access/7_6_0/rules/PH_RULE_CISCO_ACI_CRIT_FAULT.htm</t>
  </si>
  <si>
    <t xml:space="preserve">PH_Rule_ACI_2</t>
  </si>
  <si>
    <t xml:space="preserve">Cisco ACI Node Health Critical</t>
  </si>
  <si>
    <t xml:space="preserve">https://filestore.fortinet.com/docs.fortinet.com/fsiem/Public_Resource_Access/7_6_0/rules/PH_RULE_CISCO_ACI_NODE_HEALTH_CRIT.htm</t>
  </si>
  <si>
    <t xml:space="preserve">PH_Rule_ACI_3</t>
  </si>
  <si>
    <t xml:space="preserve">Cisco ACI Node Health Warning</t>
  </si>
  <si>
    <t xml:space="preserve">https://filestore.fortinet.com/docs.fortinet.com/fsiem/Public_Resource_Access/7_6_0/rules/PH_RULE_CISCO_ACI_NODE_HEALTH_WARN.htm</t>
  </si>
  <si>
    <t xml:space="preserve">PH_Rule_ACI_4</t>
  </si>
  <si>
    <t xml:space="preserve">Cisco ACI System Health Critical</t>
  </si>
  <si>
    <t xml:space="preserve">https://filestore.fortinet.com/docs.fortinet.com/fsiem/Public_Resource_Access/7_6_0/rules/PH_RULE_CISCO_ACI_SYS_HEALTH_CRIT.htm</t>
  </si>
  <si>
    <t xml:space="preserve">PH_Rule_ACI_5</t>
  </si>
  <si>
    <t xml:space="preserve">Cisco ACI System Health Warning</t>
  </si>
  <si>
    <t xml:space="preserve">https://filestore.fortinet.com/docs.fortinet.com/fsiem/Public_Resource_Access/7_6_0/rules/PH_RULE_CISCO_ACI_SYS_HEALTH_WARN.htm</t>
  </si>
  <si>
    <t xml:space="preserve">PH_Rule_ACI_6</t>
  </si>
  <si>
    <t xml:space="preserve">Cisco ACI Tenant Health Critical</t>
  </si>
  <si>
    <t xml:space="preserve">https://filestore.fortinet.com/docs.fortinet.com/fsiem/Public_Resource_Access/7_6_0/rules/PH_RULE_CISCO_ACI_TENANT_HEALTH_CRIT.htm</t>
  </si>
  <si>
    <t xml:space="preserve">PH_Rule_ACI_7</t>
  </si>
  <si>
    <t xml:space="preserve">Cisco ACI Tenant Health Warning</t>
  </si>
  <si>
    <t xml:space="preserve">https://filestore.fortinet.com/docs.fortinet.com/fsiem/Public_Resource_Access/7_6_0/rules/PH_RULE_CISCO_ACI_TENANT_HEALTH_WARN.htm</t>
  </si>
  <si>
    <t xml:space="preserve">PH_Rule_Perf_AVC_2</t>
  </si>
  <si>
    <t xml:space="preserve">Cisco AVC: Application Flows with QoS Queue Packet Drops</t>
  </si>
  <si>
    <t xml:space="preserve">Cisco Application Visibility and Control (AVC) logs via Netflow V9</t>
  </si>
  <si>
    <t xml:space="preserve">https://filestore.fortinet.com/docs.fortinet.com/fsiem/Public_Resource_Access/7_6_0/rules/PH_RULE_APP_AVC_QOS_DROP.htm</t>
  </si>
  <si>
    <t xml:space="preserve">PH_Rule_Perf_AVC_1</t>
  </si>
  <si>
    <t xml:space="preserve">Cisco AVC: Application Response Time Late</t>
  </si>
  <si>
    <t xml:space="preserve">https://filestore.fortinet.com/docs.fortinet.com/fsiem/Public_Resource_Access/7_6_0/rules/PH_RULE_APP_AVC_LATE_RESP.htm</t>
  </si>
  <si>
    <t xml:space="preserve">PH_Rule_Perf_AVC_3</t>
  </si>
  <si>
    <t xml:space="preserve">Cisco AVC: P2P Applications that exceed interface utilization</t>
  </si>
  <si>
    <t xml:space="preserve">Interface</t>
  </si>
  <si>
    <t xml:space="preserve">https://filestore.fortinet.com/docs.fortinet.com/fsiem/Public_Resource_Access/7_6_0/rules/PH_RULE_APP_AVC_P2P_UTIL.htm</t>
  </si>
  <si>
    <t xml:space="preserve">PH_Rule_CCM_53</t>
  </si>
  <si>
    <t xml:space="preserve">Cisco Call Manager Active Partition Disk Low</t>
  </si>
  <si>
    <t xml:space="preserve">Storage Space</t>
  </si>
  <si>
    <t xml:space="preserve">https://filestore.fortinet.com/docs.fortinet.com/fsiem/Public_Resource_Access/7_6_0/rules/PH_RULE_CCM_ACTIVE_PARTITION_DISK_LOW.htm</t>
  </si>
  <si>
    <t xml:space="preserve">PH_Rule_CCM_43</t>
  </si>
  <si>
    <t xml:space="preserve">Cisco Call Manager Call Attempt Blocked By Policy</t>
  </si>
  <si>
    <t xml:space="preserve">https://filestore.fortinet.com/docs.fortinet.com/fsiem/Public_Resource_Access/7_6_0/rules/PH_RULE_CCM_CALL_ATTEMPT_BLOCKED_BY_POLICY.htm</t>
  </si>
  <si>
    <t xml:space="preserve">PH_Rule_CCM_40</t>
  </si>
  <si>
    <t xml:space="preserve">Cisco Call Manager Certificate Mismatch</t>
  </si>
  <si>
    <t xml:space="preserve">https://filestore.fortinet.com/docs.fortinet.com/fsiem/Public_Resource_Access/7_6_0/rules/PH_RULE_CCM_CERT_MISMATCH.htm</t>
  </si>
  <si>
    <t xml:space="preserve">PH_Rule_CCM_51</t>
  </si>
  <si>
    <t xml:space="preserve">Cisco Call Manager Core Dump File Found</t>
  </si>
  <si>
    <t xml:space="preserve">VoIP</t>
  </si>
  <si>
    <t xml:space="preserve">https://filestore.fortinet.com/docs.fortinet.com/fsiem/Public_Resource_Access/7_6_0/rules/PH_RULE_CCM_CORE_DUMP_FOUND.htm</t>
  </si>
  <si>
    <t xml:space="preserve">PH_Rule_CCM_56</t>
  </si>
  <si>
    <t xml:space="preserve">Cisco Call Manager CPU High</t>
  </si>
  <si>
    <t xml:space="preserve">CPU</t>
  </si>
  <si>
    <t xml:space="preserve">https://filestore.fortinet.com/docs.fortinet.com/fsiem/Public_Resource_Access/7_6_0/rules/PH_RULE_CCM_CPU_HIGH.htm</t>
  </si>
  <si>
    <t xml:space="preserve">PH_Rule_CCM_35</t>
  </si>
  <si>
    <t xml:space="preserve">Cisco Call Manager DDR Block Prevention</t>
  </si>
  <si>
    <t xml:space="preserve">https://filestore.fortinet.com/docs.fortinet.com/fsiem/Public_Resource_Access/7_6_0/rules/PH_RULE_CCM_DDR_BLOCK_PREVENTION.htm</t>
  </si>
  <si>
    <t xml:space="preserve">PH_Rule_CCM_36</t>
  </si>
  <si>
    <t xml:space="preserve">Cisco Call Manager DDR Down</t>
  </si>
  <si>
    <t xml:space="preserve">https://filestore.fortinet.com/docs.fortinet.com/fsiem/Public_Resource_Access/7_6_0/rules/PH_RULE_CCM_DDR_DOWN.htm</t>
  </si>
  <si>
    <t xml:space="preserve">PH_Rule_CCM_50</t>
  </si>
  <si>
    <t xml:space="preserve">Cisco Call Manager DRF Failed</t>
  </si>
  <si>
    <t xml:space="preserve">https://filestore.fortinet.com/docs.fortinet.com/fsiem/Public_Resource_Access/7_6_0/rules/PH_RULE_CCM_DRF_FAILED.htm</t>
  </si>
  <si>
    <t xml:space="preserve">PH_Rule_CCM_37</t>
  </si>
  <si>
    <t xml:space="preserve">Cisco Call Manager EMCC Failed In Local Cluster</t>
  </si>
  <si>
    <t xml:space="preserve">https://filestore.fortinet.com/docs.fortinet.com/fsiem/Public_Resource_Access/7_6_0/rules/PH_RULE_CCM_EMCC_FAILED_LOCAL_CLUSTER.htm</t>
  </si>
  <si>
    <t xml:space="preserve">PH_Rule_CCM_38</t>
  </si>
  <si>
    <t xml:space="preserve">Cisco Call Manager EMCC Failed In Remote Cluster</t>
  </si>
  <si>
    <t xml:space="preserve">https://filestore.fortinet.com/docs.fortinet.com/fsiem/Public_Resource_Access/7_6_0/rules/PH_RULE_CCM_EMCC_FAILED_REMOTE_CLUSTER.htm</t>
  </si>
  <si>
    <t xml:space="preserve">PH_Rule_CCM_42</t>
  </si>
  <si>
    <t xml:space="preserve">Cisco Call Manager Excessive Active BLF subscriptions</t>
  </si>
  <si>
    <t xml:space="preserve">https://filestore.fortinet.com/docs.fortinet.com/fsiem/Public_Resource_Access/7_6_0/rules/PH_RULE_CCM_EXCESS_ACTIVE_BLF_SUB.htm</t>
  </si>
  <si>
    <t xml:space="preserve">PH_Rule_CCM_39</t>
  </si>
  <si>
    <t xml:space="preserve">Cisco Call Manager Excessive Voice Quality Reports</t>
  </si>
  <si>
    <t xml:space="preserve">https://filestore.fortinet.com/docs.fortinet.com/fsiem/Public_Resource_Access/7_6_0/rules/PH_RULE_CCM_EXCESSIVE_VOICE_QUALITY_REPORTS.htm</t>
  </si>
  <si>
    <t xml:space="preserve">PH_Rule_CCM_34</t>
  </si>
  <si>
    <t xml:space="preserve">Cisco Call Manager IME Service TLS Connection Failure</t>
  </si>
  <si>
    <t xml:space="preserve">https://filestore.fortinet.com/docs.fortinet.com/fsiem/Public_Resource_Access/7_6_0/rules/PH_RULE_CCM_IME_TLS_FAILED.htm</t>
  </si>
  <si>
    <t xml:space="preserve">PH_Rule_CCM_52</t>
  </si>
  <si>
    <t xml:space="preserve">Cisco Call Manager Inactive Partition Disk Low</t>
  </si>
  <si>
    <t xml:space="preserve">https://filestore.fortinet.com/docs.fortinet.com/fsiem/Public_Resource_Access/7_6_0/rules/PH_RULE_CCM_INACTIVE_PARTITION_DISK_LOW.htm</t>
  </si>
  <si>
    <t xml:space="preserve">PH_Rule_CCM_58</t>
  </si>
  <si>
    <t xml:space="preserve">Cisco Call Manager License Grace Period Expired</t>
  </si>
  <si>
    <t xml:space="preserve">https://filestore.fortinet.com/docs.fortinet.com/fsiem/Public_Resource_Access/7_6_0/rules/PH_RULE_CCM_LICENSE_GRACE_PERIOD_EXPIRED.htm</t>
  </si>
  <si>
    <t xml:space="preserve">PH_Rule_CCM_60</t>
  </si>
  <si>
    <t xml:space="preserve">Cisco Call Manager Location Out Of Bandwidth</t>
  </si>
  <si>
    <t xml:space="preserve">https://filestore.fortinet.com/docs.fortinet.com/fsiem/Public_Resource_Access/7_6_0/rules/PH_RULE_CCM_LOC_OUT_OF_RESOURCE.htm</t>
  </si>
  <si>
    <t xml:space="preserve">PH_Rule_CCM_44</t>
  </si>
  <si>
    <t xml:space="preserve">Cisco Call Manager Not Connected To Enterprise License Manager</t>
  </si>
  <si>
    <t xml:space="preserve">https://filestore.fortinet.com/docs.fortinet.com/fsiem/Public_Resource_Access/7_6_0/rules/PH_RULE_CCM_NOT_CONNECTED_TO_ELM.htm</t>
  </si>
  <si>
    <t xml:space="preserve">PH_Rule_CCM_48</t>
  </si>
  <si>
    <t xml:space="preserve">Cisco Call Manager Spare Partition Disk Usage Critical</t>
  </si>
  <si>
    <t xml:space="preserve">https://filestore.fortinet.com/docs.fortinet.com/fsiem/Public_Resource_Access/7_6_0/rules/PH_RULE_CCM_SPARE_PART_DISK_USAGE_CRIT.htm</t>
  </si>
  <si>
    <t xml:space="preserve">PH_Rule_CCM_49</t>
  </si>
  <si>
    <t xml:space="preserve">Cisco Call Manager Spare Partition Disk Usage Warning</t>
  </si>
  <si>
    <t xml:space="preserve">https://filestore.fortinet.com/docs.fortinet.com/fsiem/Public_Resource_Access/7_6_0/rules/PH_RULE_CCM_SPARE_PART_DISK_USAGE_WARN.htm</t>
  </si>
  <si>
    <t xml:space="preserve">PH_Rule_CCM_54</t>
  </si>
  <si>
    <t xml:space="preserve">Cisco Call Manager Swap Disk Low</t>
  </si>
  <si>
    <t xml:space="preserve">https://filestore.fortinet.com/docs.fortinet.com/fsiem/Public_Resource_Access/7_6_0/rules/PH_RULE_CCM_SWAP_DISK_LOW.htm</t>
  </si>
  <si>
    <t xml:space="preserve">PH_Rule_CCM_46</t>
  </si>
  <si>
    <t xml:space="preserve">Cisco Call Manager Syslog Pattern Match</t>
  </si>
  <si>
    <t xml:space="preserve">https://filestore.fortinet.com/docs.fortinet.com/fsiem/Public_Resource_Access/7_6_0/rules/PH_RULE_CCM_SYSLOG_STRING_MATCH.htm</t>
  </si>
  <si>
    <t xml:space="preserve">PH_Rule_CCM_45</t>
  </si>
  <si>
    <t xml:space="preserve">Cisco Call Manager Syslog Severity Match</t>
  </si>
  <si>
    <t xml:space="preserve">https://filestore.fortinet.com/docs.fortinet.com/fsiem/Public_Resource_Access/7_6_0/rules/PH_RULE_CCM_SYSLOG_SEV_MATCH.htm</t>
  </si>
  <si>
    <t xml:space="preserve">PH_Rule_CCM_59</t>
  </si>
  <si>
    <t xml:space="preserve">Cisco Call Manager System In Overage</t>
  </si>
  <si>
    <t xml:space="preserve">https://filestore.fortinet.com/docs.fortinet.com/fsiem/Public_Resource_Access/7_6_0/rules/PH_RULE_CCM_SYS_OVERAGE.htm</t>
  </si>
  <si>
    <t xml:space="preserve">PH_Rule_CCM_47</t>
  </si>
  <si>
    <t xml:space="preserve">Cisco Call Manager System Version Mismatch</t>
  </si>
  <si>
    <t xml:space="preserve">https://filestore.fortinet.com/docs.fortinet.com/fsiem/Public_Resource_Access/7_6_0/rules/PH_RULE_CCM_SYS_VERSION_MISMATCH.htm</t>
  </si>
  <si>
    <t xml:space="preserve">PH_Rule_CCM_57</t>
  </si>
  <si>
    <t xml:space="preserve">Cisco Call Manager User Defined Search String Found In Log</t>
  </si>
  <si>
    <t xml:space="preserve">https://filestore.fortinet.com/docs.fortinet.com/fsiem/Public_Resource_Access/7_6_0/rules/PH_RULE_CCM_USER_SEARCH_LOG.htm</t>
  </si>
  <si>
    <t xml:space="preserve">PH_Rule_CCM_55</t>
  </si>
  <si>
    <t xml:space="preserve">Cisco Call Manager Virtual Memory Low</t>
  </si>
  <si>
    <t xml:space="preserve">Memory</t>
  </si>
  <si>
    <t xml:space="preserve">https://filestore.fortinet.com/docs.fortinet.com/fsiem/Public_Resource_Access/7_6_0/rules/PH_RULE_CCM_VIRTUAL_MEM_LOW.htm</t>
  </si>
  <si>
    <t xml:space="preserve">PH_Rule_CCM_23</t>
  </si>
  <si>
    <t xml:space="preserve">Cisco CallManager Call Route List Exhausted</t>
  </si>
  <si>
    <t xml:space="preserve">https://filestore.fortinet.com/docs.fortinet.com/fsiem/Public_Resource_Access/7_6_0/rules/PH_RULE_CCM_ROUTE_LIST_EXHAUSTED.htm</t>
  </si>
  <si>
    <t xml:space="preserve">PH_Rule_CCM_9</t>
  </si>
  <si>
    <t xml:space="preserve">Cisco CallManager CDR Agent Send Failed</t>
  </si>
  <si>
    <t xml:space="preserve">https://filestore.fortinet.com/docs.fortinet.com/fsiem/Public_Resource_Access/7_6_0/rules/PH_RULE_CCM_CDR_SEND_FAILED.htm</t>
  </si>
  <si>
    <t xml:space="preserve">PH_Rule_CCM_10</t>
  </si>
  <si>
    <t xml:space="preserve">Cisco CallManager CDR File Delivery Failed</t>
  </si>
  <si>
    <t xml:space="preserve">https://filestore.fortinet.com/docs.fortinet.com/fsiem/Public_Resource_Access/7_6_0/rules/PH_RULE_CCM_CDR_FILE_DELIVERY_FAILED.htm</t>
  </si>
  <si>
    <t xml:space="preserve">PH_Rule_CCM_12</t>
  </si>
  <si>
    <t xml:space="preserve">Cisco CallManager CDR High Disk Usage</t>
  </si>
  <si>
    <t xml:space="preserve">https://filestore.fortinet.com/docs.fortinet.com/fsiem/Public_Resource_Access/7_6_0/rules/PH_RULE_CCM_HIGH_CDR_DISK_USAGE.htm</t>
  </si>
  <si>
    <t xml:space="preserve">PH_Rule_CCM_11</t>
  </si>
  <si>
    <t xml:space="preserve">Cisco CallManager CDR Max Disk Usage Exceeded</t>
  </si>
  <si>
    <t xml:space="preserve">https://filestore.fortinet.com/docs.fortinet.com/fsiem/Public_Resource_Access/7_6_0/rules/PH_RULE_CCM_MAX_CDR_DISK_USAGE.htm</t>
  </si>
  <si>
    <t xml:space="preserve">PH_Rule_CCM_6</t>
  </si>
  <si>
    <t xml:space="preserve">Cisco CallManager Cluster Member Down</t>
  </si>
  <si>
    <t xml:space="preserve">https://filestore.fortinet.com/docs.fortinet.com/fsiem/Public_Resource_Access/7_6_0/rules/PH_RULE_CCM_CLUSTER_MEMBER_DOWN.htm</t>
  </si>
  <si>
    <t xml:space="preserve">PH_Rule_CCM_2</t>
  </si>
  <si>
    <t xml:space="preserve">Cisco CallManager Critical Service Down</t>
  </si>
  <si>
    <t xml:space="preserve">https://filestore.fortinet.com/docs.fortinet.com/fsiem/Public_Resource_Access/7_6_0/rules/PH_RULE_CCM_CRIT_SRVC_DOWN.htm</t>
  </si>
  <si>
    <t xml:space="preserve">PH_Rule_CCM_16</t>
  </si>
  <si>
    <t xml:space="preserve">Cisco CallManager Database Notification Failure</t>
  </si>
  <si>
    <t xml:space="preserve">https://filestore.fortinet.com/docs.fortinet.com/fsiem/Public_Resource_Access/7_6_0/rules/PH_RULE_CCM_DB_CHANGE_NOTIF_FAILURE.htm</t>
  </si>
  <si>
    <t xml:space="preserve">PH_Rule_CCM_14</t>
  </si>
  <si>
    <t xml:space="preserve">Cisco CallManager DB Replication Error</t>
  </si>
  <si>
    <t xml:space="preserve">https://filestore.fortinet.com/docs.fortinet.com/fsiem/Public_Resource_Access/7_6_0/rules/PH_RULE_CCM_DB_REPLICATION_ERROR.htm</t>
  </si>
  <si>
    <t xml:space="preserve">PH_Rule_CCM_13</t>
  </si>
  <si>
    <t xml:space="preserve">Cisco CallManager DB Replication Failure</t>
  </si>
  <si>
    <t xml:space="preserve">https://filestore.fortinet.com/docs.fortinet.com/fsiem/Public_Resource_Access/7_6_0/rules/PH_RULE_CCM_DB_REPLICATION_FAILURE.htm</t>
  </si>
  <si>
    <t xml:space="preserve">PH_Rule_CCM_3</t>
  </si>
  <si>
    <t xml:space="preserve">Cisco CallManager Hardware Failure</t>
  </si>
  <si>
    <t xml:space="preserve">https://filestore.fortinet.com/docs.fortinet.com/fsiem/Public_Resource_Access/7_6_0/rules/PH_RULE_CCM_HW_FAILURE.htm</t>
  </si>
  <si>
    <t xml:space="preserve">PH_Rule_CCM_15</t>
  </si>
  <si>
    <t xml:space="preserve">Cisco CallManager High Call Latency: Code Yellow</t>
  </si>
  <si>
    <t xml:space="preserve">https://filestore.fortinet.com/docs.fortinet.com/fsiem/Public_Resource_Access/7_6_0/rules/PH_RULE_CCM_HIGH_CALL_LATENCY.htm</t>
  </si>
  <si>
    <t xml:space="preserve">PH_Rule_CCM_26</t>
  </si>
  <si>
    <t xml:space="preserve">Cisco CallManager IME Distributed Cache Inactive</t>
  </si>
  <si>
    <t xml:space="preserve">https://filestore.fortinet.com/docs.fortinet.com/fsiem/Public_Resource_Access/7_6_0/rules/PH_RULE_CCM_IME_DIST_CACHE_INACTIVE.htm</t>
  </si>
  <si>
    <t xml:space="preserve">PH_Rule_CCM_29</t>
  </si>
  <si>
    <t xml:space="preserve">Cisco CallManager IME Insufficient Fallback Identifiers: No PSTN Fallback</t>
  </si>
  <si>
    <t xml:space="preserve">https://filestore.fortinet.com/docs.fortinet.com/fsiem/Public_Resource_Access/7_6_0/rules/PH_RULE_CCM_NO_FALLBACK_PSTN.htm</t>
  </si>
  <si>
    <t xml:space="preserve">PH_Rule_CCM_27</t>
  </si>
  <si>
    <t xml:space="preserve">Cisco CallManager IME Over Quota</t>
  </si>
  <si>
    <t xml:space="preserve">https://filestore.fortinet.com/docs.fortinet.com/fsiem/Public_Resource_Access/7_6_0/rules/PH_RULE_CCM_IME_OVER_QUOTA.htm</t>
  </si>
  <si>
    <t xml:space="preserve">PH_Rule_CCM_28</t>
  </si>
  <si>
    <t xml:space="preserve">Cisco CallManager IME Quality Alert</t>
  </si>
  <si>
    <t xml:space="preserve">https://filestore.fortinet.com/docs.fortinet.com/fsiem/Public_Resource_Access/7_6_0/rules/PH_RULE_CCM_IME_QUALITY_ALERT.htm</t>
  </si>
  <si>
    <t xml:space="preserve">PH_Rule_CCM_30</t>
  </si>
  <si>
    <t xml:space="preserve">Cisco CallManager IME Service Authentication Error</t>
  </si>
  <si>
    <t xml:space="preserve">Authentication</t>
  </si>
  <si>
    <t xml:space="preserve">https://filestore.fortinet.com/docs.fortinet.com/fsiem/Public_Resource_Access/7_6_0/rules/PH_RULE_CCM_IME_AUTH_ERROR.htm</t>
  </si>
  <si>
    <t xml:space="preserve">PH_Rule_CCM_4</t>
  </si>
  <si>
    <t xml:space="preserve">Cisco CallManager LogPartition High Water Mark Exceeded</t>
  </si>
  <si>
    <t xml:space="preserve">https://filestore.fortinet.com/docs.fortinet.com/fsiem/Public_Resource_Access/7_6_0/rules/PH_RULE_CCM_LOG_PARTITION_HIGH_WATER_EXCEEDED.htm</t>
  </si>
  <si>
    <t xml:space="preserve">PH_Rule_CCM_5</t>
  </si>
  <si>
    <t xml:space="preserve">Cisco CallManager LogPartition Low Water Mark Exceeded</t>
  </si>
  <si>
    <t xml:space="preserve">https://filestore.fortinet.com/docs.fortinet.com/fsiem/Public_Resource_Access/7_6_0/rules/PH_RULE_CCM_LOG_PARTITION_LOW_WATER_EXCEEDED.htm</t>
  </si>
  <si>
    <t xml:space="preserve">PH_Rule_CCM_31</t>
  </si>
  <si>
    <t xml:space="preserve">Cisco CallManager Malicious Call Trace</t>
  </si>
  <si>
    <t xml:space="preserve">https://filestore.fortinet.com/docs.fortinet.com/fsiem/Public_Resource_Access/7_6_0/rules/PH_RULE_CCM_MALICIOUS_CALL_TRACE.htm</t>
  </si>
  <si>
    <t xml:space="preserve">PH_Rule_CCM_25</t>
  </si>
  <si>
    <t xml:space="preserve">Cisco CallManager Media List Exhausted</t>
  </si>
  <si>
    <t xml:space="preserve">https://filestore.fortinet.com/docs.fortinet.com/fsiem/Public_Resource_Access/7_6_0/rules/PH_RULE_CCM_MEDIALIST_EXHAUSTED.htm</t>
  </si>
  <si>
    <t xml:space="preserve">PH_Rule_CCM_24</t>
  </si>
  <si>
    <t xml:space="preserve">Cisco CallManager MGCP DChannel is out of service</t>
  </si>
  <si>
    <t xml:space="preserve">https://filestore.fortinet.com/docs.fortinet.com/fsiem/Public_Resource_Access/7_6_0/rules/PH_RULE_CCM_MGCPDCHANNEL_OUTOF_SERVICE.htm</t>
  </si>
  <si>
    <t xml:space="preserve">PH_Rule_CCM_8</t>
  </si>
  <si>
    <t xml:space="preserve">Cisco CallManager Node Excessive Process and Thread</t>
  </si>
  <si>
    <t xml:space="preserve">https://filestore.fortinet.com/docs.fortinet.com/fsiem/Public_Resource_Access/7_6_0/rules/PH_RULE_CCM_EXCESS_PROCESS_THREAD.htm</t>
  </si>
  <si>
    <t xml:space="preserve">PH_Rule_CCM_7</t>
  </si>
  <si>
    <t xml:space="preserve">Cisco CallManager Node High CPU</t>
  </si>
  <si>
    <t xml:space="preserve">https://filestore.fortinet.com/docs.fortinet.com/fsiem/Public_Resource_Access/7_6_0/rules/PH_RULE_CCM_HIGH_CPU.htm</t>
  </si>
  <si>
    <t xml:space="preserve">PH_Rule_CCM_17</t>
  </si>
  <si>
    <t xml:space="preserve">Cisco CallManager Registered Device Count Exceeded</t>
  </si>
  <si>
    <t xml:space="preserve">https://filestore.fortinet.com/docs.fortinet.com/fsiem/Public_Resource_Access/7_6_0/rules/PH_RULE_CCM_MAX_REG_DEVICE.htm</t>
  </si>
  <si>
    <t xml:space="preserve">PH_Rule_CCM_19</t>
  </si>
  <si>
    <t xml:space="preserve">Cisco CallManager Registered Device Count Increased</t>
  </si>
  <si>
    <t xml:space="preserve">https://filestore.fortinet.com/docs.fortinet.com/fsiem/Public_Resource_Access/7_6_0/rules/PH_RULE_CCM_REG_DEVICE_INCREASE.htm</t>
  </si>
  <si>
    <t xml:space="preserve">PH_Rule_CCM_21</t>
  </si>
  <si>
    <t xml:space="preserve">Cisco CallManager Registered Media Count Increased</t>
  </si>
  <si>
    <t xml:space="preserve">https://filestore.fortinet.com/docs.fortinet.com/fsiem/Public_Resource_Access/7_6_0/rules/PH_RULE_CCM_REG_MEDIA_DEVICE_INCREASE.htm</t>
  </si>
  <si>
    <t xml:space="preserve">PH_Rule_CCM_22</t>
  </si>
  <si>
    <t xml:space="preserve">Cisco CallManager Registered Phone Decreased</t>
  </si>
  <si>
    <t xml:space="preserve">https://filestore.fortinet.com/docs.fortinet.com/fsiem/Public_Resource_Access/7_6_0/rules/PH_RULE_CCM_REG_PHONE_DECREASE.htm</t>
  </si>
  <si>
    <t xml:space="preserve">PH_RULE_CISCO_ESA_SDR_EXCESS_POOR_PERMIT</t>
  </si>
  <si>
    <t xml:space="preserve">Cisco Email Security: Excessive Emails Detected from a Questionable Domain</t>
  </si>
  <si>
    <t xml:space="preserve">Cisco Email Security Appliance via Syslog</t>
  </si>
  <si>
    <t xml:space="preserve">https://filestore.fortinet.com/docs.fortinet.com/fsiem/Public_Resource_Access/7_6_0/rules/PH_RULE_CISCO_ESA_SDR_EXCESS_POOR_PERMIT.htm</t>
  </si>
  <si>
    <t xml:space="preserve">PH_RULE_CISCO_ESA_SDR_EXCESS_AWFUL_PERMIT</t>
  </si>
  <si>
    <t xml:space="preserve">Cisco Email Security: Excessive Emails Detected from a Untrusted Domain</t>
  </si>
  <si>
    <t xml:space="preserve">https://filestore.fortinet.com/docs.fortinet.com/fsiem/Public_Resource_Access/7_6_0/rules/PH_RULE_CISCO_ESA_SDR_EXCESS_AWFUL_PERMIT.htm</t>
  </si>
  <si>
    <t xml:space="preserve">PH_RULE_CISCO_ESA_SDR_POOR_PERMIT</t>
  </si>
  <si>
    <t xml:space="preserve">Cisco Email Security: Mail Permitted from a Questionable Domain</t>
  </si>
  <si>
    <t xml:space="preserve">https://filestore.fortinet.com/docs.fortinet.com/fsiem/Public_Resource_Access/7_6_0/rules/PH_RULE_CISCO_ESA_SDR_POOR_PERMIT.htm</t>
  </si>
  <si>
    <t xml:space="preserve">PH_RULE_CISCO_ESA_SDR_AWFUL_PERMIT</t>
  </si>
  <si>
    <t xml:space="preserve">Cisco Email Security: Mail Permitted from a Untrusted Domain</t>
  </si>
  <si>
    <t xml:space="preserve">https://filestore.fortinet.com/docs.fortinet.com/fsiem/Public_Resource_Access/7_6_0/rules/PH_RULE_CISCO_ESA_SDR_AWFUL_PERMIT.htm</t>
  </si>
  <si>
    <t xml:space="preserve">PH_Rule_CCM_32</t>
  </si>
  <si>
    <t xml:space="preserve">Cisco Local To Remote Call Manager Communication Problem</t>
  </si>
  <si>
    <t xml:space="preserve">https://filestore.fortinet.com/docs.fortinet.com/fsiem/Public_Resource_Access/7_6_0/rules/PH_RULE_CCM_LOCAL_REMOTE_COMM_ISSUE.htm</t>
  </si>
  <si>
    <t xml:space="preserve">PH_Rule_CCM_33</t>
  </si>
  <si>
    <t xml:space="preserve">Cisco Local To Remote Call Manager TCP Connection Failed</t>
  </si>
  <si>
    <t xml:space="preserve">https://filestore.fortinet.com/docs.fortinet.com/fsiem/Public_Resource_Access/7_6_0/rules/PH_RULE_CCM_LOCAL_REMOTE_TCP_FAILED.htm</t>
  </si>
  <si>
    <t xml:space="preserve">PH_RULE_CiscoUmbrella_FailedDnsReqMalwareDomain_SameSrcAndMultDest</t>
  </si>
  <si>
    <t xml:space="preserve">Cisco Umbrella: Failed DNS Requests to Malware Domains: Same source and Multiple Destinations</t>
  </si>
  <si>
    <t xml:space="preserve">Cisco Umbrella via HTTPS_ADVANCED (Umbrella API); Cisco Umbrella via AWS_S3</t>
  </si>
  <si>
    <t xml:space="preserve">https://filestore.fortinet.com/docs.fortinet.com/fsiem/Public_Resource_Access/7_6_0/rules/PH_RULE_CiscoUmbrella_FailedDnsReqMalwareDomain_SameSrcAndMultDest.htm</t>
  </si>
  <si>
    <t xml:space="preserve">PH_RULE_CiscoUmbrella_IntProxyBlockedMalwareReqByPolicy</t>
  </si>
  <si>
    <t xml:space="preserve">Cisco Umbrella: Intelligent Proxy Blocked a Malware Request by Policy</t>
  </si>
  <si>
    <t xml:space="preserve">https://filestore.fortinet.com/docs.fortinet.com/fsiem/Public_Resource_Access/7_6_0/rules/PH_RULE_CiscoUmbrella_IntProxyBlockedMalwareReqByPolicy.htm</t>
  </si>
  <si>
    <t xml:space="preserve">PH_RULE_CiscoUmbrella_MultiFailedMalwareDnsReq_SameSrcAndDest</t>
  </si>
  <si>
    <t xml:space="preserve">Cisco Umbrella: Multiple Failed DNS Requests to a Malware Domain: Same Source and Destination</t>
  </si>
  <si>
    <t xml:space="preserve">https://filestore.fortinet.com/docs.fortinet.com/fsiem/Public_Resource_Access/7_6_0/rules/PH_RULE_CiscoUmbrella_MultiFailedMalwareDnsReq_SameSrcAndDest.htm</t>
  </si>
  <si>
    <t xml:space="preserve">PH_Rule_CCM_76</t>
  </si>
  <si>
    <t xml:space="preserve">Cisco Unified Contact Center Express Autopurging completed</t>
  </si>
  <si>
    <t xml:space="preserve">https://filestore.fortinet.com/docs.fortinet.com/fsiem/Public_Resource_Access/7_6_0/rules/PH_RULE_CCM_CONTACT_CTR_AUTPURGE_COMPLETE.htm</t>
  </si>
  <si>
    <t xml:space="preserve">PH_Rule_CCM_73</t>
  </si>
  <si>
    <t xml:space="preserve">Cisco Unified Contact Center Express Database Replication Failed</t>
  </si>
  <si>
    <t xml:space="preserve">https://filestore.fortinet.com/docs.fortinet.com/fsiem/Public_Resource_Access/7_6_0/rules/PH_RULE_CCM_CONTACT_CTR_DB_REPL_FAILED.htm</t>
  </si>
  <si>
    <t xml:space="preserve">PH_Rule_CCM_70</t>
  </si>
  <si>
    <t xml:space="preserve">Cisco Unified Contact Center Express Database Replication Stopped</t>
  </si>
  <si>
    <t xml:space="preserve">https://filestore.fortinet.com/docs.fortinet.com/fsiem/Public_Resource_Access/7_6_0/rules/PH_RULE_CCM_CONTACT_CTR_DB_REPLICATION_STOPPED.htm</t>
  </si>
  <si>
    <t xml:space="preserve">PH_Rule_CCM_72</t>
  </si>
  <si>
    <t xml:space="preserve">Cisco Unified Contact Center Express Database Unavailable</t>
  </si>
  <si>
    <t xml:space="preserve">https://filestore.fortinet.com/docs.fortinet.com/fsiem/Public_Resource_Access/7_6_0/rules/PH_RULE_CCM_CONTACT_CTR_DB_UNAVAIL.htm</t>
  </si>
  <si>
    <t xml:space="preserve">PH_Rule_CCM_71</t>
  </si>
  <si>
    <t xml:space="preserve">Cisco Unified Contact Center Express Database Update Issue</t>
  </si>
  <si>
    <t xml:space="preserve">https://filestore.fortinet.com/docs.fortinet.com/fsiem/Public_Resource_Access/7_6_0/rules/PH_RULE_CCM_CONTACT_CTR_DB_UPDATE_ISSUE.htm</t>
  </si>
  <si>
    <t xml:space="preserve">PH_Rule_CCM_77</t>
  </si>
  <si>
    <t xml:space="preserve">Cisco Unified Contact Center Express JVM heap memory high</t>
  </si>
  <si>
    <t xml:space="preserve">https://filestore.fortinet.com/docs.fortinet.com/fsiem/Public_Resource_Access/7_6_0/rules/PH_RULE_CCM_CONTACT_CTR_MEM_HIGH.htm</t>
  </si>
  <si>
    <t xml:space="preserve">PH_Rule_CCM_74</t>
  </si>
  <si>
    <t xml:space="preserve">Cisco Unified Contact Center Express Report Execution Failed</t>
  </si>
  <si>
    <t xml:space="preserve">https://filestore.fortinet.com/docs.fortinet.com/fsiem/Public_Resource_Access/7_6_0/rules/PH_RULE_CCM_CONTACT_CTR_RPT_EXEC_FAILED.htm</t>
  </si>
  <si>
    <t xml:space="preserve">PH_Rule_CCM_75</t>
  </si>
  <si>
    <t xml:space="preserve">Cisco Unified Contact Center Express Report Server Uncoverable Error</t>
  </si>
  <si>
    <t xml:space="preserve">https://filestore.fortinet.com/docs.fortinet.com/fsiem/Public_Resource_Access/7_6_0/rules/PH_RULE_CCM_CONTACT_CTR_RPT_SVR_UNRECOV_ERR.htm</t>
  </si>
  <si>
    <t xml:space="preserve">PH_Rule_CCM_65</t>
  </si>
  <si>
    <t xml:space="preserve">Cisco Unity Connection Disk utilization Critical</t>
  </si>
  <si>
    <t xml:space="preserve">https://filestore.fortinet.com/docs.fortinet.com/fsiem/Public_Resource_Access/7_6_0/rules/PH_RULE_CCM_UNITY_DISK_UTIL_CRIT.htm</t>
  </si>
  <si>
    <t xml:space="preserve">PH_Rule_CCM_64</t>
  </si>
  <si>
    <t xml:space="preserve">Cisco Unity Connection Disk utilization Warning</t>
  </si>
  <si>
    <t xml:space="preserve">https://filestore.fortinet.com/docs.fortinet.com/fsiem/Public_Resource_Access/7_6_0/rules/PH_RULE_CCM_UNITY_DISK_UTIL_WARN.htm</t>
  </si>
  <si>
    <t xml:space="preserve">PH_Rule_CCM_61</t>
  </si>
  <si>
    <t xml:space="preserve">Cisco Unity Connection Failback Failed</t>
  </si>
  <si>
    <t xml:space="preserve">https://filestore.fortinet.com/docs.fortinet.com/fsiem/Public_Resource_Access/7_6_0/rules/PH_RULE_CCM_UNITY_FAILBACK_FAILED.htm</t>
  </si>
  <si>
    <t xml:space="preserve">PH_Rule_CCM_62</t>
  </si>
  <si>
    <t xml:space="preserve">Cisco Unity Connection Failover Failed</t>
  </si>
  <si>
    <t xml:space="preserve">https://filestore.fortinet.com/docs.fortinet.com/fsiem/Public_Resource_Access/7_6_0/rules/PH_RULE_CCM_UNITY_FAILOVER_FAILED.htm</t>
  </si>
  <si>
    <t xml:space="preserve">PH_Rule_CCM_63</t>
  </si>
  <si>
    <t xml:space="preserve">Cisco Unity Connection Failover Succeeded</t>
  </si>
  <si>
    <t xml:space="preserve">https://filestore.fortinet.com/docs.fortinet.com/fsiem/Public_Resource_Access/7_6_0/rules/PH_RULE_CCM_FAILOVER_SUCCEEDED.htm</t>
  </si>
  <si>
    <t xml:space="preserve">PH_Rule_CCM_67</t>
  </si>
  <si>
    <t xml:space="preserve">Cisco Unity Connection License About To Expire</t>
  </si>
  <si>
    <t xml:space="preserve">https://filestore.fortinet.com/docs.fortinet.com/fsiem/Public_Resource_Access/7_6_0/rules/PH_RULE_CCM_UNITY_LICENSE_TO_EXPIRE.htm</t>
  </si>
  <si>
    <t xml:space="preserve">PH_Rule_CCM_66</t>
  </si>
  <si>
    <t xml:space="preserve">Cisco Unity Connection License Expired</t>
  </si>
  <si>
    <t xml:space="preserve">https://filestore.fortinet.com/docs.fortinet.com/fsiem/Public_Resource_Access/7_6_0/rules/PH_RULE_CCM_UNITY_LICENSE_EXPIRED.htm</t>
  </si>
  <si>
    <t xml:space="preserve">PH_Rule_CCM_69</t>
  </si>
  <si>
    <t xml:space="preserve">Cisco Unity Connection Split Brain Failed</t>
  </si>
  <si>
    <t xml:space="preserve">https://filestore.fortinet.com/docs.fortinet.com/fsiem/Public_Resource_Access/7_6_0/rules/PH_RULE_CCM_SPLIT_BRAIN_FAILED.htm</t>
  </si>
  <si>
    <t xml:space="preserve">PH_Rule_CCM_68</t>
  </si>
  <si>
    <t xml:space="preserve">Cisco Unity No Connection To Peer</t>
  </si>
  <si>
    <t xml:space="preserve">https://filestore.fortinet.com/docs.fortinet.com/fsiem/Public_Resource_Access/7_6_0/rules/PH_RULE_CCM_UNITY_NO_CONN_TO_PEER.htm</t>
  </si>
  <si>
    <t xml:space="preserve">PH_Rule_Avail_PH_56</t>
  </si>
  <si>
    <t xml:space="preserve">ClickHouse Log Integrity System Errors Detected</t>
  </si>
  <si>
    <t xml:space="preserve">FortiSIEM</t>
  </si>
  <si>
    <t xml:space="preserve">https://filestore.fortinet.com/docs.fortinet.com/fsiem/Public_Resource_Access/7_6_0/rules/PH_RULE_CH_LOG_INTEGRITY_FATAL_ERROR.htm</t>
  </si>
  <si>
    <t xml:space="preserve">PH_Rule_Avail_PH_55</t>
  </si>
  <si>
    <t xml:space="preserve">ClickHouse Log Integrity Violation Detected</t>
  </si>
  <si>
    <t xml:space="preserve">https://filestore.fortinet.com/docs.fortinet.com/fsiem/Public_Resource_Access/7_6_0/rules/PH_RULE_CH_LOG_INTEGRITY_VIOLATION.htm</t>
  </si>
  <si>
    <t xml:space="preserve">PH_Rule_IPS_7</t>
  </si>
  <si>
    <t xml:space="preserve">Code Injection Attack detected by NIPS</t>
  </si>
  <si>
    <t xml:space="preserve">https://filestore.fortinet.com/docs.fortinet.com/fsiem/Public_Resource_Access/7_6_0/rules/PH_RULE_IPS_SQL_INJECTION.htm</t>
  </si>
  <si>
    <t xml:space="preserve">PH_Rule_OSQ_WIN_5</t>
  </si>
  <si>
    <t xml:space="preserve">Common Windows process launched by unusual parent</t>
  </si>
  <si>
    <t xml:space="preserve">https://filestore.fortinet.com/docs.fortinet.com/fsiem/Public_Resource_Access/7_6_0/rules/PH_RULE_Win_Process_Unusual_Parent.htm</t>
  </si>
  <si>
    <t xml:space="preserve">PH_Rule_OSQ_WIN_4</t>
  </si>
  <si>
    <t xml:space="preserve">Common Windows process launched from unusual path</t>
  </si>
  <si>
    <t xml:space="preserve">https://filestore.fortinet.com/docs.fortinet.com/fsiem/Public_Resource_Access/7_6_0/rules/PH_RULE_Win_Process_Unusual_Path.htm</t>
  </si>
  <si>
    <t xml:space="preserve">PH_Rule_IPS_ADV_11</t>
  </si>
  <si>
    <t xml:space="preserve">Compromised Host Detected by Network IPS</t>
  </si>
  <si>
    <t xml:space="preserve">https://filestore.fortinet.com/docs.fortinet.com/fsiem/Public_Resource_Access/7_6_0/rules/PH_RULE_SESSION_COMPROMISED_HOST.htm</t>
  </si>
  <si>
    <t xml:space="preserve">Microsoft Windows via OMI or Windows Collector; Hillstone Firewall via Syslog; Palo Alto PAN-OS via Syslog; Sophos Firewall via Syslog; Juniper SSLVPN via Syslog; Juniper JunOS via Syslog; Pulse Secure via Syslog; WatchGuard via Syslog; FortiProxy via Syslog; FortiGate via Syslog; Cisco ASA via Syslog; SonicOS via Syslog</t>
  </si>
  <si>
    <t xml:space="preserve">PH_RULE_CortexXDR_Alert_Detected</t>
  </si>
  <si>
    <t xml:space="preserve">Cortex XDR Alert Detected</t>
  </si>
  <si>
    <t xml:space="preserve">Palo Alto Cortex XDR via Syslog</t>
  </si>
  <si>
    <t xml:space="preserve">https://filestore.fortinet.com/docs.fortinet.com/fsiem/Public_Resource_Access/7_6_0/rules/PH_RULE_CortexXDR_Alert_Detected.htm</t>
  </si>
  <si>
    <t xml:space="preserve">PH_RULE_CortexXDR_Alert_Prevented</t>
  </si>
  <si>
    <t xml:space="preserve">Cortex XDR Alert Prevented</t>
  </si>
  <si>
    <t xml:space="preserve">https://filestore.fortinet.com/docs.fortinet.com/fsiem/Public_Resource_Access/7_6_0/rules/PH_RULE_CortexXDR_Alert_Prevented.htm</t>
  </si>
  <si>
    <t xml:space="preserve">PH_Rule_Trap_7</t>
  </si>
  <si>
    <t xml:space="preserve">Critical APC Trap</t>
  </si>
  <si>
    <t xml:space="preserve">Environmental</t>
  </si>
  <si>
    <t xml:space="preserve">APC via SNMP Trap</t>
  </si>
  <si>
    <t xml:space="preserve">https://filestore.fortinet.com/docs.fortinet.com/fsiem/Public_Resource_Access/7_6_0/rules/PH_RULE_APC_TRAP_CRIT.htm</t>
  </si>
  <si>
    <t xml:space="preserve">PH_Rule_Trap_3</t>
  </si>
  <si>
    <t xml:space="preserve">Critical APC Trap: can be auto cleared</t>
  </si>
  <si>
    <t xml:space="preserve">https://filestore.fortinet.com/docs.fortinet.com/fsiem/Public_Resource_Access/7_6_0/rules/PH_RULE_APC_TRAP_CRIT_CLEARABLE.htm</t>
  </si>
  <si>
    <t xml:space="preserve">PH_Rule_Trap_5</t>
  </si>
  <si>
    <t xml:space="preserve">Critical NetApp Trap</t>
  </si>
  <si>
    <t xml:space="preserve">Storage</t>
  </si>
  <si>
    <t xml:space="preserve">NetApp via SNMP Trap</t>
  </si>
  <si>
    <t xml:space="preserve">https://filestore.fortinet.com/docs.fortinet.com/fsiem/Public_Resource_Access/7_6_0/rules/PH_RULE_NETAPP_TRAP_CRIT.htm</t>
  </si>
  <si>
    <t xml:space="preserve">PH_Rule_Trap_1</t>
  </si>
  <si>
    <t xml:space="preserve">Critical NetApp Trap: can be auto cleared</t>
  </si>
  <si>
    <t xml:space="preserve">https://filestore.fortinet.com/docs.fortinet.com/fsiem/Public_Resource_Access/7_6_0/rules/PH_RULE_NETAPP_TRAP_CRIT_CLEARABLE.htm</t>
  </si>
  <si>
    <t xml:space="preserve">PH_Rule_Avail_40</t>
  </si>
  <si>
    <t xml:space="preserve">Critical Network Device Interface Staying Down</t>
  </si>
  <si>
    <t xml:space="preserve">Network</t>
  </si>
  <si>
    <t xml:space="preserve">Any Device via SNMP</t>
  </si>
  <si>
    <t xml:space="preserve">https://filestore.fortinet.com/docs.fortinet.com/fsiem/Public_Resource_Access/7_6_0/rules/PH_RULE_DOWN_INTF_NET_CRIT.htm</t>
  </si>
  <si>
    <t xml:space="preserve">PH_Rule_Exploits_CS_1</t>
  </si>
  <si>
    <t xml:space="preserve">Crowdstrike: Activity Prevented</t>
  </si>
  <si>
    <t xml:space="preserve">Malware</t>
  </si>
  <si>
    <t xml:space="preserve">https://filestore.fortinet.com/docs.fortinet.com/fsiem/Public_Resource_Access/7_6_0/rules/PH_RULE_CS_ACTIVITY_PREVENTED.htm</t>
  </si>
  <si>
    <t xml:space="preserve">PH_Rule_Exploits_CS_1B</t>
  </si>
  <si>
    <t xml:space="preserve">Crowdstrike: Attacker Methodology</t>
  </si>
  <si>
    <t xml:space="preserve">https://filestore.fortinet.com/docs.fortinet.com/fsiem/Public_Resource_Access/7_6_0/rules/PH_RULE_CS_ATTACKER_METHODOLOGY.htm</t>
  </si>
  <si>
    <t xml:space="preserve">PH_Rule_Exploits_CS_2</t>
  </si>
  <si>
    <t xml:space="preserve">Crowdstrike: Blocked Exploit</t>
  </si>
  <si>
    <t xml:space="preserve">https://filestore.fortinet.com/docs.fortinet.com/fsiem/Public_Resource_Access/7_6_0/rules/PH_RULE_CS_BLOCKED_EXPLOIT.htm</t>
  </si>
  <si>
    <t xml:space="preserve">PH_Rule_Exploits_CS_5</t>
  </si>
  <si>
    <t xml:space="preserve">Crowdstrike: Data Deletion</t>
  </si>
  <si>
    <t xml:space="preserve">https://filestore.fortinet.com/docs.fortinet.com/fsiem/Public_Resource_Access/7_6_0/rules/PH_RULE_CS_DATA_DELETION.htm</t>
  </si>
  <si>
    <t xml:space="preserve">PH_Rule_Exploits_CS_5A</t>
  </si>
  <si>
    <t xml:space="preserve">Crowdstrike: Data Theft</t>
  </si>
  <si>
    <t xml:space="preserve">https://filestore.fortinet.com/docs.fortinet.com/fsiem/Public_Resource_Access/7_6_0/rules/PH_RULE_CS_DATA_THEFT.htm</t>
  </si>
  <si>
    <t xml:space="preserve">PH_Rule_Exploits_CS_22</t>
  </si>
  <si>
    <t xml:space="preserve">Crowdstrike: Detection Occurred but was allowed</t>
  </si>
  <si>
    <t xml:space="preserve">https://filestore.fortinet.com/docs.fortinet.com/fsiem/Public_Resource_Access/7_6_0/rules/PH_RULE_CS_DetectionAllow.htm</t>
  </si>
  <si>
    <t xml:space="preserve">PH_Rule_Exploits_CS_6</t>
  </si>
  <si>
    <t xml:space="preserve">Crowdstrike: Drive By Download</t>
  </si>
  <si>
    <t xml:space="preserve">https://filestore.fortinet.com/docs.fortinet.com/fsiem/Public_Resource_Access/7_6_0/rules/PH_RULE_CS_DRIVE_BY_DOWNLOAD.htm</t>
  </si>
  <si>
    <t xml:space="preserve">PH_Rule_Exploits_CS_6A</t>
  </si>
  <si>
    <t xml:space="preserve">Crowdstrike: Establish Persistence</t>
  </si>
  <si>
    <t xml:space="preserve">https://filestore.fortinet.com/docs.fortinet.com/fsiem/Public_Resource_Access/7_6_0/rules/PH_RULE_CS_ESTABLISH_PERSISTENCE.htm</t>
  </si>
  <si>
    <t xml:space="preserve">PH_Rule_Exploits_CS_6B</t>
  </si>
  <si>
    <t xml:space="preserve">Crowdstrike: Evade Detection</t>
  </si>
  <si>
    <t xml:space="preserve">https://filestore.fortinet.com/docs.fortinet.com/fsiem/Public_Resource_Access/7_6_0/rules/PH_RULE_CS_EVADE_DETECTION.htm</t>
  </si>
  <si>
    <t xml:space="preserve">PH_Rule_Exploits_CS_21</t>
  </si>
  <si>
    <t xml:space="preserve">Crowdstrike: Excessive suspicious activity on a host</t>
  </si>
  <si>
    <t xml:space="preserve">https://filestore.fortinet.com/docs.fortinet.com/fsiem/Public_Resource_Access/7_6_0/rules/PH_RULE_EXCESSIVE_CS_DETECT.htm</t>
  </si>
  <si>
    <t xml:space="preserve">PH_Rule_Exploits_CS_7</t>
  </si>
  <si>
    <t xml:space="preserve">Crowdstrike: Exploit Pivot</t>
  </si>
  <si>
    <t xml:space="preserve">https://filestore.fortinet.com/docs.fortinet.com/fsiem/Public_Resource_Access/7_6_0/rules/PH_RULE_CS_EXPLOIT_PIVOT.htm</t>
  </si>
  <si>
    <t xml:space="preserve">PH_Rule_Exploits_CS_3</t>
  </si>
  <si>
    <t xml:space="preserve">Crowdstrike: File Blocked With Matching Hash</t>
  </si>
  <si>
    <t xml:space="preserve">https://filestore.fortinet.com/docs.fortinet.com/fsiem/Public_Resource_Access/7_6_0/rules/PH_RULE_CS_BLOCKED_FILE_HASH_MATCH.htm</t>
  </si>
  <si>
    <t xml:space="preserve">PH_Rule_Exploits_CS_8</t>
  </si>
  <si>
    <t xml:space="preserve">Crowdstrike: Intel Detection</t>
  </si>
  <si>
    <t xml:space="preserve">https://filestore.fortinet.com/docs.fortinet.com/fsiem/Public_Resource_Access/7_6_0/rules/PH_RULE_CS_INTEL_DETECT.htm</t>
  </si>
  <si>
    <t xml:space="preserve">PH_Rule_Exploits_CS_9</t>
  </si>
  <si>
    <t xml:space="preserve">Crowdstrike: Known Malware</t>
  </si>
  <si>
    <t xml:space="preserve">https://filestore.fortinet.com/docs.fortinet.com/fsiem/Public_Resource_Access/7_6_0/rules/PH_RULE_CS_KNOWN_MALWARE.htm</t>
  </si>
  <si>
    <t xml:space="preserve">PH_Rule_Exploits_CS_10</t>
  </si>
  <si>
    <t xml:space="preserve">Crowdstrike: Machine Learning Anomaly Detected</t>
  </si>
  <si>
    <t xml:space="preserve">https://filestore.fortinet.com/docs.fortinet.com/fsiem/Public_Resource_Access/7_6_0/rules/PH_RULE_CS_MACHINE_LEARNING.htm</t>
  </si>
  <si>
    <t xml:space="preserve">PH_Rule_Exploits_CS_11</t>
  </si>
  <si>
    <t xml:space="preserve">Crowdstrike: Malicious Document Detected</t>
  </si>
  <si>
    <t xml:space="preserve">https://filestore.fortinet.com/docs.fortinet.com/fsiem/Public_Resource_Access/7_6_0/rules/PH_RULE_CS_MALICIOUS_DOCUMENT.htm</t>
  </si>
  <si>
    <t xml:space="preserve">PH_Rule_Exploits_CS_12</t>
  </si>
  <si>
    <t xml:space="preserve">Crowdstrike: NextGen Antivirus based Malware</t>
  </si>
  <si>
    <t xml:space="preserve">https://filestore.fortinet.com/docs.fortinet.com/fsiem/Public_Resource_Access/7_6_0/rules/PH_RULE_CS_NG_AV.htm</t>
  </si>
  <si>
    <t xml:space="preserve">PH_Rule_Exploits_CS_13</t>
  </si>
  <si>
    <t xml:space="preserve">Crowdstrike: Overwatch Detection</t>
  </si>
  <si>
    <t xml:space="preserve">https://filestore.fortinet.com/docs.fortinet.com/fsiem/Public_Resource_Access/7_6_0/rules/PH_RULE_CS_OVERWATCH.htm</t>
  </si>
  <si>
    <t xml:space="preserve">PH_Rule_Exploits_CS_16</t>
  </si>
  <si>
    <t xml:space="preserve">Crowdstrike: Ransomware</t>
  </si>
  <si>
    <t xml:space="preserve">https://filestore.fortinet.com/docs.fortinet.com/fsiem/Public_Resource_Access/7_6_0/rules/PH_RULE_CS_RANSOMWARE.htm</t>
  </si>
  <si>
    <t xml:space="preserve">PH_Rule_Exploits_CS_17</t>
  </si>
  <si>
    <t xml:space="preserve">Crowdstrike: Server Compromise Likely</t>
  </si>
  <si>
    <t xml:space="preserve">https://filestore.fortinet.com/docs.fortinet.com/fsiem/Public_Resource_Access/7_6_0/rules/PH_RULE_CS_SERVER_COMPROMISE.htm</t>
  </si>
  <si>
    <t xml:space="preserve">PH_Rule_Exploits_CS_18</t>
  </si>
  <si>
    <t xml:space="preserve">Crowdstrike: Social Engineering</t>
  </si>
  <si>
    <t xml:space="preserve">https://filestore.fortinet.com/docs.fortinet.com/fsiem/Public_Resource_Access/7_6_0/rules/PH_RULE_CS_SOCIAL_ENG.htm</t>
  </si>
  <si>
    <t xml:space="preserve">PH_Rule_Exploits_CS_19</t>
  </si>
  <si>
    <t xml:space="preserve">Crowdstrike: Suspicious Activity</t>
  </si>
  <si>
    <t xml:space="preserve">https://filestore.fortinet.com/docs.fortinet.com/fsiem/Public_Resource_Access/7_6_0/rules/PH_RULE_CS_SUSPICIOUS_ACTIVITY.htm</t>
  </si>
  <si>
    <t xml:space="preserve">PH_Rule_Exploits_CS_15</t>
  </si>
  <si>
    <t xml:space="preserve">Crowdstrike: Suspicious Processes Terminated</t>
  </si>
  <si>
    <t xml:space="preserve">https://filestore.fortinet.com/docs.fortinet.com/fsiem/Public_Resource_Access/7_6_0/rules/PH_RULE_CS_SUSPICIOUS_PROCESS_TERMINATED.htm</t>
  </si>
  <si>
    <t xml:space="preserve">PH_Rule_Exploits_CS_20</t>
  </si>
  <si>
    <t xml:space="preserve">Crowdstrike: User Compromise</t>
  </si>
  <si>
    <t xml:space="preserve">https://filestore.fortinet.com/docs.fortinet.com/fsiem/Public_Resource_Access/7_6_0/rules/PH_RULE_CS_USER_COMPROMISE.htm</t>
  </si>
  <si>
    <t xml:space="preserve">PH_Rule_CyberArk_7</t>
  </si>
  <si>
    <t xml:space="preserve">CyberArk Vault User History Clear</t>
  </si>
  <si>
    <t xml:space="preserve">https://filestore.fortinet.com/docs.fortinet.com/fsiem/Public_Resource_Access/7_6_0/rules/PH_RULE_CYBERARK_USER_HISTORY_CLEAR.htm</t>
  </si>
  <si>
    <t xml:space="preserve">PH_RULE_MicrosoftCyberX_Malware_Detected</t>
  </si>
  <si>
    <t xml:space="preserve">CyberX Detected Malware</t>
  </si>
  <si>
    <t xml:space="preserve">CyberX via Syslog</t>
  </si>
  <si>
    <t xml:space="preserve">https://filestore.fortinet.com/docs.fortinet.com/fsiem/Public_Resource_Access/7_6_0/rules/PH_RULE_MicrosoftCyberX_Malware_Detected.htm</t>
  </si>
  <si>
    <t xml:space="preserve">PH_Rule_Cylance_6</t>
  </si>
  <si>
    <t xml:space="preserve">Cylance Blocked Exploit</t>
  </si>
  <si>
    <t xml:space="preserve">https://filestore.fortinet.com/docs.fortinet.com/fsiem/Public_Resource_Access/7_6_0/rules/PH_RULE_CYLANCE_EXPLOIT_BLOCKED.htm</t>
  </si>
  <si>
    <t xml:space="preserve">PH_Rule_Cylance_9</t>
  </si>
  <si>
    <t xml:space="preserve">Cylance Found Active Script</t>
  </si>
  <si>
    <t xml:space="preserve">https://filestore.fortinet.com/docs.fortinet.com/fsiem/Public_Resource_Access/7_6_0/rules/PH_RULE_CYLANCE_ACTIVE_SCRIPT.htm</t>
  </si>
  <si>
    <t xml:space="preserve">PH_Rule_Cylance_7</t>
  </si>
  <si>
    <t xml:space="preserve">Cylance Found Corrupt File</t>
  </si>
  <si>
    <t xml:space="preserve">https://filestore.fortinet.com/docs.fortinet.com/fsiem/Public_Resource_Access/7_6_0/rules/PH_RULE_CYLANCE_CORRUPT_FILE.htm</t>
  </si>
  <si>
    <t xml:space="preserve">PH_Rule_Cylance_1</t>
  </si>
  <si>
    <t xml:space="preserve">Cylance High Severity Threat</t>
  </si>
  <si>
    <t xml:space="preserve">https://filestore.fortinet.com/docs.fortinet.com/fsiem/Public_Resource_Access/7_6_0/rules/PH_RULE_CYLANCE_HIGH_THREAT.htm</t>
  </si>
  <si>
    <t xml:space="preserve">PH_Rule_Cylance_3</t>
  </si>
  <si>
    <t xml:space="preserve">Cylance Low Severity Threat</t>
  </si>
  <si>
    <t xml:space="preserve">https://filestore.fortinet.com/docs.fortinet.com/fsiem/Public_Resource_Access/7_6_0/rules/PH_RULE_CYLANCE_LOW_THREAT.htm</t>
  </si>
  <si>
    <t xml:space="preserve">PH_Rule_Cylance_2</t>
  </si>
  <si>
    <t xml:space="preserve">Cylance Medium Severity Threat</t>
  </si>
  <si>
    <t xml:space="preserve">https://filestore.fortinet.com/docs.fortinet.com/fsiem/Public_Resource_Access/7_6_0/rules/PH_RULE_CYLANCE_MED_THREAT.htm</t>
  </si>
  <si>
    <t xml:space="preserve">PH_Rule_Cylance_5</t>
  </si>
  <si>
    <t xml:space="preserve">Cylance Quarantined Host</t>
  </si>
  <si>
    <t xml:space="preserve">https://filestore.fortinet.com/docs.fortinet.com/fsiem/Public_Resource_Access/7_6_0/rules/PH_RULE_CYLANCE_QUARANTINED_HOST.htm</t>
  </si>
  <si>
    <t xml:space="preserve">PH_Rule_Cylance_4</t>
  </si>
  <si>
    <t xml:space="preserve">Cylance Waived Threat</t>
  </si>
  <si>
    <t xml:space="preserve">https://filestore.fortinet.com/docs.fortinet.com/fsiem/Public_Resource_Access/7_6_0/rules/PH_RULE_CYLANCE_THREAT_WAIVED.htm</t>
  </si>
  <si>
    <t xml:space="preserve">PH_Rule_Cylance_8</t>
  </si>
  <si>
    <t xml:space="preserve">CylanceProtect Threat Changed</t>
  </si>
  <si>
    <t xml:space="preserve">https://filestore.fortinet.com/docs.fortinet.com/fsiem/Public_Resource_Access/7_6_0/rules/PH_RULE_CYLANCE_THREAT_CHANGED.htm</t>
  </si>
  <si>
    <t xml:space="preserve">PH_Rule_Change_20</t>
  </si>
  <si>
    <t xml:space="preserve">Database DDL changes</t>
  </si>
  <si>
    <t xml:space="preserve">Oracle Database Server via JDBC; Microsoft SQL Server via JDBC; IBM DB2 via JDBC</t>
  </si>
  <si>
    <t xml:space="preserve">https://filestore.fortinet.com/docs.fortinet.com/fsiem/Public_Resource_Access/7_6_0/rules/PH_RULE_CHANGE_DB_DDL.htm</t>
  </si>
  <si>
    <t xml:space="preserve">PH_Rule_DB_7</t>
  </si>
  <si>
    <t xml:space="preserve">Database Server Disk Latency Critical</t>
  </si>
  <si>
    <t xml:space="preserve">Storage I/O</t>
  </si>
  <si>
    <t xml:space="preserve">Microsoft Windows Performance Monitoring via OMI or Windows Collector; Linux Performance Monitoring via SNMP or Linux Collector; VCenter Performance Monitoring via VMSDK</t>
  </si>
  <si>
    <t xml:space="preserve">https://filestore.fortinet.com/docs.fortinet.com/fsiem/Public_Resource_Access/7_6_0/rules/PH_RULE_DB_SERVER_DISK_LATENCY_CRIT.htm</t>
  </si>
  <si>
    <t xml:space="preserve">PH_Rule_Perf_252</t>
  </si>
  <si>
    <t xml:space="preserve">Datastore Space Warning</t>
  </si>
  <si>
    <t xml:space="preserve">VCenter Performance Monitoring via VMSDK</t>
  </si>
  <si>
    <t xml:space="preserve">https://filestore.fortinet.com/docs.fortinet.com/fsiem/Public_Resource_Access/7_6_0/rules/PH_RULE_VMWARE_DATASTORE_SPACE_WARN.htm</t>
  </si>
  <si>
    <t xml:space="preserve">PH_Rule_PolicyViolation_25</t>
  </si>
  <si>
    <t xml:space="preserve">Default Password Detected by System</t>
  </si>
  <si>
    <t xml:space="preserve">Any Device via FortiSIEM Discovery</t>
  </si>
  <si>
    <t xml:space="preserve">https://filestore.fortinet.com/docs.fortinet.com/fsiem/Public_Resource_Access/7_6_0/rules/PH_RULE_DEFAULT_PWD_AO.htm</t>
  </si>
  <si>
    <t xml:space="preserve">PH_Rule_ADV_19</t>
  </si>
  <si>
    <t xml:space="preserve">Default password usage</t>
  </si>
  <si>
    <t xml:space="preserve">https://filestore.fortinet.com/docs.fortinet.com/fsiem/Public_Resource_Access/7_6_0/rules/PH_RULE_DEFAULT_PWD.htm</t>
  </si>
  <si>
    <t xml:space="preserve">PH_Rule_IPSLA_3</t>
  </si>
  <si>
    <t xml:space="preserve">Degraded IPSLA DNS Test</t>
  </si>
  <si>
    <t xml:space="preserve">Cisco IOS IPSLA Monitoring via SNMP</t>
  </si>
  <si>
    <t xml:space="preserve">https://filestore.fortinet.com/docs.fortinet.com/fsiem/Public_Resource_Access/7_6_0/rules/PH_RULE_DEGRADED_IPSLA_DNS.htm</t>
  </si>
  <si>
    <t xml:space="preserve">PH_Rule_IPSLA_1</t>
  </si>
  <si>
    <t xml:space="preserve">Degraded IPSLA ICMP Test</t>
  </si>
  <si>
    <t xml:space="preserve">https://filestore.fortinet.com/docs.fortinet.com/fsiem/Public_Resource_Access/7_6_0/rules/PH_RULE_DEGRADED_IPSLA_ICMP.htm</t>
  </si>
  <si>
    <t xml:space="preserve">PH_Rule_IPSLA_4</t>
  </si>
  <si>
    <t xml:space="preserve">Degraded IPSLA UDP Echo Test</t>
  </si>
  <si>
    <t xml:space="preserve">https://filestore.fortinet.com/docs.fortinet.com/fsiem/Public_Resource_Access/7_6_0/rules/PH_RULE_DEGRADED_IPSLA_UDP.htm</t>
  </si>
  <si>
    <t xml:space="preserve">PH_Rule_VoIP_3</t>
  </si>
  <si>
    <t xml:space="preserve">Degraded VoIP Call Quality</t>
  </si>
  <si>
    <t xml:space="preserve">Cisco Call Manager via CDR Records</t>
  </si>
  <si>
    <t xml:space="preserve">https://filestore.fortinet.com/docs.fortinet.com/fsiem/Public_Resource_Access/7_6_0/rules/PH_RULE_DEGRADED_VOIP_MOS_CDR.htm</t>
  </si>
  <si>
    <t xml:space="preserve">PH_Rule_VoIP_1</t>
  </si>
  <si>
    <t xml:space="preserve">Degraded VoIP IPSLA Call Quality</t>
  </si>
  <si>
    <t xml:space="preserve">https://filestore.fortinet.com/docs.fortinet.com/fsiem/Public_Resource_Access/7_6_0/rules/PH_RULE_DEGRADED_VOIP_MOS.htm</t>
  </si>
  <si>
    <t xml:space="preserve">PH_Rule_PolicyViolation_21</t>
  </si>
  <si>
    <t xml:space="preserve">Denied Blacklisted Destination</t>
  </si>
  <si>
    <t xml:space="preserve">https://filestore.fortinet.com/docs.fortinet.com/fsiem/Public_Resource_Access/7_6_0/rules/PH_RULE_ASA_DENY_BLACKLIST_DEST.htm</t>
  </si>
  <si>
    <t xml:space="preserve">PH_Rule_PolicyViolation_19</t>
  </si>
  <si>
    <t xml:space="preserve">Denied Blacklisted Source</t>
  </si>
  <si>
    <t xml:space="preserve">https://filestore.fortinet.com/docs.fortinet.com/fsiem/Public_Resource_Access/7_6_0/rules/PH_RULE_ASA_DENY_BLACKLIST_SRC.htm</t>
  </si>
  <si>
    <t xml:space="preserve">PH_Rule_Change_1</t>
  </si>
  <si>
    <t xml:space="preserve">Difference between Running and Startup Config</t>
  </si>
  <si>
    <t xml:space="preserve">Any Device Config Monitoring via SSH</t>
  </si>
  <si>
    <t xml:space="preserve">https://filestore.fortinet.com/docs.fortinet.com/fsiem/Public_Resource_Access/7_6_0/rules/PH_RULE_DIFF_STARTUP_RUNNING_CONFIG.htm</t>
  </si>
  <si>
    <t xml:space="preserve">PH_Rule_Avail_PH_23</t>
  </si>
  <si>
    <t xml:space="preserve">Discovered Device Incorrectly Merged: Overlapping IP</t>
  </si>
  <si>
    <t xml:space="preserve">https://filestore.fortinet.com/docs.fortinet.com/fsiem/Public_Resource_Access/7_6_0/rules/PH_RULE_DEVICE_MERGED_OVERLAP_IP.htm</t>
  </si>
  <si>
    <t xml:space="preserve">PH_Rule_IPS_9</t>
  </si>
  <si>
    <t xml:space="preserve">Distributed DoS Attack detected by NIPS</t>
  </si>
  <si>
    <t xml:space="preserve">https://filestore.fortinet.com/docs.fortinet.com/fsiem/Public_Resource_Access/7_6_0/rules/PH_RULE_IPS_HOST_DDOS.htm</t>
  </si>
  <si>
    <t xml:space="preserve">PH_Rule_Vuln_26</t>
  </si>
  <si>
    <t xml:space="preserve">DNS Traffic to Anomali ThreatStream Malware Domains</t>
  </si>
  <si>
    <t xml:space="preserve">Cisco Umbrella via HTTPS_ADVANCED (Umbrella API); Microsoft Windows Sysmon via Windows Collector; Microsoft Windows DNS via Windows Collector; Cisco Umbrella via AWS_S3; FortiProxy via Syslog; FortiGate via Syslog; BIND DNS via Syslog</t>
  </si>
  <si>
    <t xml:space="preserve">https://filestore.fortinet.com/docs.fortinet.com/fsiem/Public_Resource_Access/7_6_0/rules/PH_RULE_DNS_THREATSTREAM_MALWARE_DOMAIN.htm</t>
  </si>
  <si>
    <t xml:space="preserve">PH_Rule_Vuln_26B</t>
  </si>
  <si>
    <t xml:space="preserve">DNS Traffic to FortiGuard Malware Domains</t>
  </si>
  <si>
    <t xml:space="preserve">https://filestore.fortinet.com/docs.fortinet.com/fsiem/Public_Resource_Access/7_6_0/rules/PH_RULE_DNS_FORTIGUARD_MALWARE_DOMAIN.htm</t>
  </si>
  <si>
    <t xml:space="preserve">PH_Rule_IPS_8</t>
  </si>
  <si>
    <t xml:space="preserve">DoS Attack detected by NIPS</t>
  </si>
  <si>
    <t xml:space="preserve">https://filestore.fortinet.com/docs.fortinet.com/fsiem/Public_Resource_Access/7_6_0/rules/PH_RULE_IPS_HOST_DOS.htm</t>
  </si>
  <si>
    <t xml:space="preserve">PH_Rule_IPS_ADV_13</t>
  </si>
  <si>
    <t xml:space="preserve">DoS Attack on Network Devices by Network IPS</t>
  </si>
  <si>
    <t xml:space="preserve">https://filestore.fortinet.com/docs.fortinet.com/fsiem/Public_Resource_Access/7_6_0/rules/PH_RULE_IPS_NETWORK_DOS.htm</t>
  </si>
  <si>
    <t xml:space="preserve">PH_Rule_IPS_ADV_17</t>
  </si>
  <si>
    <t xml:space="preserve">DoS Attack on WLAN Infrastructure by Network IPS</t>
  </si>
  <si>
    <t xml:space="preserve">https://filestore.fortinet.com/docs.fortinet.com/fsiem/Public_Resource_Access/7_6_0/rules/PH_RULE_IPS_WLAN_DOS.htm</t>
  </si>
  <si>
    <t xml:space="preserve">PH_Rule_Vuln_36</t>
  </si>
  <si>
    <t xml:space="preserve">Dynamically generated host name: malware likely</t>
  </si>
  <si>
    <t xml:space="preserve">https://filestore.fortinet.com/docs.fortinet.com/fsiem/Public_Resource_Access/7_6_0/rules/PH_RULE_DGA_DETECTED.htm</t>
  </si>
  <si>
    <t xml:space="preserve">PH_Rule_Avail_39</t>
  </si>
  <si>
    <t xml:space="preserve">EIGRP Neighbor Down</t>
  </si>
  <si>
    <t xml:space="preserve">https://filestore.fortinet.com/docs.fortinet.com/fsiem/Public_Resource_Access/7_6_0/rules/PH_RULE_EIGRP_NBR_DOWN.htm</t>
  </si>
  <si>
    <t xml:space="preserve">PH_Rule_Avail_PH_52</t>
  </si>
  <si>
    <t xml:space="preserve">Elasticsearch Disaster Recovery: Restore Failed</t>
  </si>
  <si>
    <t xml:space="preserve">https://filestore.fortinet.com/docs.fortinet.com/fsiem/Public_Resource_Access/7_6_0/rules/PH_RULE_FSM_DR_ELASTIC_RESTORE_FAILED.htm</t>
  </si>
  <si>
    <t xml:space="preserve">PH_Rule_Avail_PH_51</t>
  </si>
  <si>
    <t xml:space="preserve">Elasticsearch Disaster Recovery: Snapshot Failed</t>
  </si>
  <si>
    <t xml:space="preserve">https://filestore.fortinet.com/docs.fortinet.com/fsiem/Public_Resource_Access/7_6_0/rules/PH_RULE_FSM_DR_ELASTIC_SNAPSOT_FAILED.htm</t>
  </si>
  <si>
    <t xml:space="preserve">PH_Rule_Flow_12</t>
  </si>
  <si>
    <t xml:space="preserve">End User DNS Queries to Unauthorized DNS Servers</t>
  </si>
  <si>
    <t xml:space="preserve">https://filestore.fortinet.com/docs.fortinet.com/fsiem/Public_Resource_Access/7_6_0/rules/PH_RULE_UNAUTH_DNS_QUERY.htm</t>
  </si>
  <si>
    <t xml:space="preserve">PH_Rule_TH_EQLLIB_LINUX_9</t>
  </si>
  <si>
    <t xml:space="preserve">Enumeration of System Information</t>
  </si>
  <si>
    <t xml:space="preserve">https://filestore.fortinet.com/docs.fortinet.com/fsiem/Public_Resource_Access/7_6_0/rules/PH_RULE_Enumeration_of_System_Information.htm</t>
  </si>
  <si>
    <t xml:space="preserve">PH_Rule_Perf_248</t>
  </si>
  <si>
    <t xml:space="preserve">EqualLogic Connection Read/Write Latency Critical</t>
  </si>
  <si>
    <t xml:space="preserve">Dell EquaLogic via SNMP</t>
  </si>
  <si>
    <t xml:space="preserve">https://filestore.fortinet.com/docs.fortinet.com/fsiem/Public_Resource_Access/7_6_0/rules/PH_RULE_EQLOGIC_CONN_LATENCY_CRIT.htm</t>
  </si>
  <si>
    <t xml:space="preserve">PH_Rule_Perf_247</t>
  </si>
  <si>
    <t xml:space="preserve">EqualLogic Connection Read/Write Latency Warning</t>
  </si>
  <si>
    <t xml:space="preserve">https://filestore.fortinet.com/docs.fortinet.com/fsiem/Public_Resource_Access/7_6_0/rules/PH_RULE_EQLOGIC_CONN_LATENCY_WARN.htm</t>
  </si>
  <si>
    <t xml:space="preserve">PH_Rule_Avail_70</t>
  </si>
  <si>
    <t xml:space="preserve">ES Coordinator Node Down</t>
  </si>
  <si>
    <t xml:space="preserve">https://filestore.fortinet.com/docs.fortinet.com/fsiem/Public_Resource_Access/7_6_0/rules/PH_RULE_ES_CO_DOWN.htm</t>
  </si>
  <si>
    <t xml:space="preserve">PH_Rule_Avail_69</t>
  </si>
  <si>
    <t xml:space="preserve">ES Coordinator Node Staying Down</t>
  </si>
  <si>
    <t xml:space="preserve">https://filestore.fortinet.com/docs.fortinet.com/fsiem/Public_Resource_Access/7_6_0/rules/PH_RULE_ES_CO_STAYING_DOWN.htm</t>
  </si>
  <si>
    <t xml:space="preserve">PH_Rule_Perf_226</t>
  </si>
  <si>
    <t xml:space="preserve">ESX CPU Critical</t>
  </si>
  <si>
    <t xml:space="preserve">https://filestore.fortinet.com/docs.fortinet.com/fsiem/Public_Resource_Access/7_6_0/rules/PH_RULE_ESX_CPU_CRIT.htm</t>
  </si>
  <si>
    <t xml:space="preserve">PH_Rule_Perf_225</t>
  </si>
  <si>
    <t xml:space="preserve">ESX CPU Warning</t>
  </si>
  <si>
    <t xml:space="preserve">https://filestore.fortinet.com/docs.fortinet.com/fsiem/Public_Resource_Access/7_6_0/rules/PH_RULE_ESX_CPU_WARN.htm</t>
  </si>
  <si>
    <t xml:space="preserve">PH_Rule_Perf_230</t>
  </si>
  <si>
    <t xml:space="preserve">ESX Disk I/O Critical</t>
  </si>
  <si>
    <t xml:space="preserve">https://filestore.fortinet.com/docs.fortinet.com/fsiem/Public_Resource_Access/7_6_0/rules/PH_RULE_ESX_DISKIO_CRIT.htm</t>
  </si>
  <si>
    <t xml:space="preserve">PH_Rule_Perf_229</t>
  </si>
  <si>
    <t xml:space="preserve">ESX Disk I/O Warning</t>
  </si>
  <si>
    <t xml:space="preserve">https://filestore.fortinet.com/docs.fortinet.com/fsiem/Public_Resource_Access/7_6_0/rules/PH_RULE_ESX_DISKIO_WARN.htm</t>
  </si>
  <si>
    <t xml:space="preserve">PH_Rule_Perf_228</t>
  </si>
  <si>
    <t xml:space="preserve">ESX Memory Critical</t>
  </si>
  <si>
    <t xml:space="preserve">https://filestore.fortinet.com/docs.fortinet.com/fsiem/Public_Resource_Access/7_6_0/rules/PH_RULE_ESX_MEM_CRIT.htm</t>
  </si>
  <si>
    <t xml:space="preserve">PH_Rule_Perf_227</t>
  </si>
  <si>
    <t xml:space="preserve">ESX Memory Warning</t>
  </si>
  <si>
    <t xml:space="preserve">https://filestore.fortinet.com/docs.fortinet.com/fsiem/Public_Resource_Access/7_6_0/rules/PH_RULE_ESX_MEM_WARN.htm</t>
  </si>
  <si>
    <t xml:space="preserve">PH_Rule_Perf_232</t>
  </si>
  <si>
    <t xml:space="preserve">ESX Network I/O Critical</t>
  </si>
  <si>
    <t xml:space="preserve">https://filestore.fortinet.com/docs.fortinet.com/fsiem/Public_Resource_Access/7_6_0/rules/PH_RULE_ESX_INTF_CRIT.htm</t>
  </si>
  <si>
    <t xml:space="preserve">PH_Rule_Perf_231</t>
  </si>
  <si>
    <t xml:space="preserve">ESX Network I/O Warning</t>
  </si>
  <si>
    <t xml:space="preserve">https://filestore.fortinet.com/docs.fortinet.com/fsiem/Public_Resource_Access/7_6_0/rules/PH_RULE_ESX_INTF_WARN.htm</t>
  </si>
  <si>
    <t xml:space="preserve">PH_Rule_Perf_48</t>
  </si>
  <si>
    <t xml:space="preserve">ESX Server Health: Critical</t>
  </si>
  <si>
    <t xml:space="preserve">VCenter or ESX via VMSDK</t>
  </si>
  <si>
    <t xml:space="preserve">https://filestore.fortinet.com/docs.fortinet.com/fsiem/Public_Resource_Access/7_6_0/rules/PH_RULE_HEALTH_ESX_CRITICAL.htm</t>
  </si>
  <si>
    <t xml:space="preserve">PH_Rule_Perf_47</t>
  </si>
  <si>
    <t xml:space="preserve">ESX Server Health: Warning</t>
  </si>
  <si>
    <t xml:space="preserve">https://filestore.fortinet.com/docs.fortinet.com/fsiem/Public_Resource_Access/7_6_0/rules/PH_RULE_HEALTH_ESX_WATCH.htm</t>
  </si>
  <si>
    <t xml:space="preserve">PH_Rule_Avail_PH_48</t>
  </si>
  <si>
    <t xml:space="preserve">EventDB: Event Retention Policy Error</t>
  </si>
  <si>
    <t xml:space="preserve">https://filestore.fortinet.com/docs.fortinet.com/fsiem/Public_Resource_Access/7_6_0/rules/PH_RULE_AO_POL_EVENT_RETEN_ERROR.htm</t>
  </si>
  <si>
    <t xml:space="preserve">PH_Rule_Avail_PH_49</t>
  </si>
  <si>
    <t xml:space="preserve">EventDB: Event Retention Policy Violation</t>
  </si>
  <si>
    <t xml:space="preserve">https://filestore.fortinet.com/docs.fortinet.com/fsiem/Public_Resource_Access/7_6_0/rules/PH_RULE_AO_POL_EVENT_RETEN_VIOLATION.htm</t>
  </si>
  <si>
    <t xml:space="preserve">PH_Rule_Avail_PH_50</t>
  </si>
  <si>
    <t xml:space="preserve">EventDB: Excessive Data Retention Policy Execution Time</t>
  </si>
  <si>
    <t xml:space="preserve">https://filestore.fortinet.com/docs.fortinet.com/fsiem/Public_Resource_Access/7_6_0/rules/PH_RULE_AO_POL_EVENT_RETEN_DELAY.htm</t>
  </si>
  <si>
    <t xml:space="preserve">PH_Rule_Flow_21</t>
  </si>
  <si>
    <t xml:space="preserve">Excessive Denied Connections From An External Country</t>
  </si>
  <si>
    <t xml:space="preserve">https://filestore.fortinet.com/docs.fortinet.com/fsiem/Public_Resource_Access/7_6_0/rules/PH_RULE_EXCESS_DENY_EXT_COUNTRY.htm</t>
  </si>
  <si>
    <t xml:space="preserve">PH_Rule_Flow_8</t>
  </si>
  <si>
    <t xml:space="preserve">Excessive Denied Connections From Same Src</t>
  </si>
  <si>
    <t xml:space="preserve">https://filestore.fortinet.com/docs.fortinet.com/fsiem/Public_Resource_Access/7_6_0/rules/PH_RULE_EXCESS_DENY_SRC.htm</t>
  </si>
  <si>
    <t xml:space="preserve">PH_Rule_Flow_22</t>
  </si>
  <si>
    <t xml:space="preserve">Excessive Denied Connections To A Port</t>
  </si>
  <si>
    <t xml:space="preserve">https://filestore.fortinet.com/docs.fortinet.com/fsiem/Public_Resource_Access/7_6_0/rules/PH_RULE_EXCESS_DENY_PORT.htm</t>
  </si>
  <si>
    <t xml:space="preserve">PH_Rule_Flow_9</t>
  </si>
  <si>
    <t xml:space="preserve">Excessive Denied Connections To Same Destination</t>
  </si>
  <si>
    <t xml:space="preserve">https://filestore.fortinet.com/docs.fortinet.com/fsiem/Public_Resource_Access/7_6_0/rules/PH_RULE_EXCESS_DENY_DEST.htm</t>
  </si>
  <si>
    <t xml:space="preserve">PH_Rule_Flow_14</t>
  </si>
  <si>
    <t xml:space="preserve">Excessive Denied DNS Queries</t>
  </si>
  <si>
    <t xml:space="preserve">https://filestore.fortinet.com/docs.fortinet.com/fsiem/Public_Resource_Access/7_6_0/rules/PH_RULE_EXCESS_DENY_DNS_QUERY.htm</t>
  </si>
  <si>
    <t xml:space="preserve">PH_Rule_Flow_13</t>
  </si>
  <si>
    <t xml:space="preserve">Excessive End User DNS Queries</t>
  </si>
  <si>
    <t xml:space="preserve">https://filestore.fortinet.com/docs.fortinet.com/fsiem/Public_Resource_Access/7_6_0/rules/PH_RULE_EXCESS_DNS_QUERY.htm</t>
  </si>
  <si>
    <t xml:space="preserve">PH_Rule_Flow_19</t>
  </si>
  <si>
    <t xml:space="preserve">Excessive End User Mail</t>
  </si>
  <si>
    <t xml:space="preserve">https://filestore.fortinet.com/docs.fortinet.com/fsiem/Public_Resource_Access/7_6_0/rules/PH_RULE_EXCESS_END_USER_MAIL.htm</t>
  </si>
  <si>
    <t xml:space="preserve">PH_Rule_Flow_11</t>
  </si>
  <si>
    <t xml:space="preserve">Excessive End User Mail To Unauthorized Mail Gateways</t>
  </si>
  <si>
    <t xml:space="preserve">https://filestore.fortinet.com/docs.fortinet.com/fsiem/Public_Resource_Access/7_6_0/rules/PH_RULE_EXCESS_DENY_MAIL.htm</t>
  </si>
  <si>
    <t xml:space="preserve">PH_Rule_Web_Server_2</t>
  </si>
  <si>
    <t xml:space="preserve">Excessive FTP Client Side Errors</t>
  </si>
  <si>
    <t xml:space="preserve">https://filestore.fortinet.com/docs.fortinet.com/fsiem/Public_Resource_Access/7_6_0/rules/PH_RULE_EXCESS_FTP_CLIENT_ERR.htm</t>
  </si>
  <si>
    <t xml:space="preserve">PH_Rule_Web_Server_1</t>
  </si>
  <si>
    <t xml:space="preserve">Excessive HTTP Client Side Errors</t>
  </si>
  <si>
    <t xml:space="preserve">Microsoft IIS via Windows Collector; Squid log via Syslog; Apache via Syslog</t>
  </si>
  <si>
    <t xml:space="preserve">https://filestore.fortinet.com/docs.fortinet.com/fsiem/Public_Resource_Access/7_6_0/rules/PH_RULE_EXCESS_HTTP_CLIENT_ERR.htm</t>
  </si>
  <si>
    <t xml:space="preserve">PH_Rule_Excessive_ICMP_Unreachables</t>
  </si>
  <si>
    <t xml:space="preserve">Excessive ICMP Unreachables</t>
  </si>
  <si>
    <t xml:space="preserve">https://filestore.fortinet.com/docs.fortinet.com/fsiem/Public_Resource_Access/7_6_0/rules/PH_RULE_ICMP_UNREACH_SAME_HOSTS.htm</t>
  </si>
  <si>
    <t xml:space="preserve">PH_Rule_Mail_5</t>
  </si>
  <si>
    <t xml:space="preserve">Excessive Postfix gateway connection failures</t>
  </si>
  <si>
    <t xml:space="preserve">Postfix Mail Server via Syslog</t>
  </si>
  <si>
    <t xml:space="preserve">https://filestore.fortinet.com/docs.fortinet.com/fsiem/Public_Resource_Access/7_6_0/rules/PH_RULE_POSTFIX_GW_CONN_FAIL.htm</t>
  </si>
  <si>
    <t xml:space="preserve">PH_Rule_Mail_6</t>
  </si>
  <si>
    <t xml:space="preserve">Excessive Postfix mail send error</t>
  </si>
  <si>
    <t xml:space="preserve">https://filestore.fortinet.com/docs.fortinet.com/fsiem/Public_Resource_Access/7_6_0/rules/PH_RULE_POSTFIX_MAIL_SEND_ERR.htm</t>
  </si>
  <si>
    <t xml:space="preserve">PH_Rule_Mail_7</t>
  </si>
  <si>
    <t xml:space="preserve">Excessive Postfix mail send latency</t>
  </si>
  <si>
    <t xml:space="preserve">https://filestore.fortinet.com/docs.fortinet.com/fsiem/Public_Resource_Access/7_6_0/rules/PH_RULE_POSTFIX_MAIL_SEND_LATENCY.htm</t>
  </si>
  <si>
    <t xml:space="preserve">PH_Rule_Flow_18</t>
  </si>
  <si>
    <t xml:space="preserve">Excessive Repeated DNS Queries To Same Domain</t>
  </si>
  <si>
    <t xml:space="preserve">Network Traffic</t>
  </si>
  <si>
    <t xml:space="preserve">https://filestore.fortinet.com/docs.fortinet.com/fsiem/Public_Resource_Access/7_6_0/rules/PH_RULE_DNS_QUERY_SAME_DOMAIN.htm</t>
  </si>
  <si>
    <t xml:space="preserve">PH_Rule_PolicyViolation_15</t>
  </si>
  <si>
    <t xml:space="preserve">Excessive Rogue or Unsecure APs Detected</t>
  </si>
  <si>
    <t xml:space="preserve">Cisco WLC via SNMP Trap</t>
  </si>
  <si>
    <t xml:space="preserve">https://filestore.fortinet.com/docs.fortinet.com/fsiem/Public_Resource_Access/7_6_0/rules/PH_RULE_ROGUE_AP_EXCESS.htm</t>
  </si>
  <si>
    <t xml:space="preserve">PH_Rule_Flow_213</t>
  </si>
  <si>
    <t xml:space="preserve">Excessive SNMP Port 161 Traffic from a Source to the same Destination</t>
  </si>
  <si>
    <t xml:space="preserve">https://filestore.fortinet.com/docs.fortinet.com/fsiem/Public_Resource_Access/7_6_0/rules/PH_RULE_EXCESSIVE_SNMP_POLL.htm</t>
  </si>
  <si>
    <t xml:space="preserve">PH_Rule_Flow_17</t>
  </si>
  <si>
    <t xml:space="preserve">Excessive Uncommon DNS Queries</t>
  </si>
  <si>
    <t xml:space="preserve">Cisco Umbrella via HTTPS_ADVANCED (Umbrella API); Microsoft DNS via Windows Collector; Cisco Umbrella via AWS_S3; InfoBlox NiOS via Syslog; BIND DNS via Syslog</t>
  </si>
  <si>
    <t xml:space="preserve">https://filestore.fortinet.com/docs.fortinet.com/fsiem/Public_Resource_Access/7_6_0/rules/PH_RULE_UNCOMMON_DNS_QUERY.htm</t>
  </si>
  <si>
    <t xml:space="preserve">PH_RULE_ExcessiveWebRequestFailures</t>
  </si>
  <si>
    <t xml:space="preserve">Excessive Web Request Failures</t>
  </si>
  <si>
    <t xml:space="preserve">Microsoft IIS via Windows Collector; Apache via Syslog; Nginx via Syslog</t>
  </si>
  <si>
    <t xml:space="preserve">https://filestore.fortinet.com/docs.fortinet.com/fsiem/Public_Resource_Access/7_6_0/rules/PH_RULE_ExcessiveWebRequestFailures.htm</t>
  </si>
  <si>
    <t xml:space="preserve">PH_Rule_IPS_11</t>
  </si>
  <si>
    <t xml:space="preserve">Excessive WLAN Exploits: Same Source</t>
  </si>
  <si>
    <t xml:space="preserve">https://filestore.fortinet.com/docs.fortinet.com/fsiem/Public_Resource_Access/7_6_0/rules/PH_RULE_WLAN_EXPLOIT_SAME_SRC.htm</t>
  </si>
  <si>
    <t xml:space="preserve">PH_Rule_DB_18</t>
  </si>
  <si>
    <t xml:space="preserve">Excessively Slow Oracle DB Query</t>
  </si>
  <si>
    <t xml:space="preserve">Database</t>
  </si>
  <si>
    <t xml:space="preserve">Oracle DB Server via JDBC</t>
  </si>
  <si>
    <t xml:space="preserve">https://filestore.fortinet.com/docs.fortinet.com/fsiem/Public_Resource_Access/7_6_0/rules/PH_RULE_ORADB_LONG_QUERY.htm</t>
  </si>
  <si>
    <t xml:space="preserve">PH_Rule_DB_19</t>
  </si>
  <si>
    <t xml:space="preserve">Excessively Slow SQL Server DB Query</t>
  </si>
  <si>
    <t xml:space="preserve">https://filestore.fortinet.com/docs.fortinet.com/fsiem/Public_Resource_Access/7_6_0/rules/PH_RULE_MSSQL_LONG_QUERY.htm</t>
  </si>
  <si>
    <t xml:space="preserve">PH_Rule_Mail_2</t>
  </si>
  <si>
    <t xml:space="preserve">Exchange Server Mailbox Queue high</t>
  </si>
  <si>
    <t xml:space="preserve">Microsoft Exchange monitoring via OMI or Windows Collector</t>
  </si>
  <si>
    <t xml:space="preserve">https://filestore.fortinet.com/docs.fortinet.com/fsiem/Public_Resource_Access/7_6_0/rules/PH_RULE_EXCH_MBOX_QUEUE_CRIT.htm</t>
  </si>
  <si>
    <t xml:space="preserve">PH_Rule_Mail_4</t>
  </si>
  <si>
    <t xml:space="preserve">Exchange Server RPC latency high</t>
  </si>
  <si>
    <t xml:space="preserve">https://filestore.fortinet.com/docs.fortinet.com/fsiem/Public_Resource_Access/7_6_0/rules/PH_RULE_EXCH_RPC_LATENCY_CRIT.htm</t>
  </si>
  <si>
    <t xml:space="preserve">PH_Rule_Mail_3</t>
  </si>
  <si>
    <t xml:space="preserve">Exchange Server RPC request high</t>
  </si>
  <si>
    <t xml:space="preserve">https://filestore.fortinet.com/docs.fortinet.com/fsiem/Public_Resource_Access/7_6_0/rules/PH_RULE_EXCH_RPC_REQ_CRIT.htm</t>
  </si>
  <si>
    <t xml:space="preserve">PH_Rule_Mail_1</t>
  </si>
  <si>
    <t xml:space="preserve">Exchange Server SMTP Queue high</t>
  </si>
  <si>
    <t xml:space="preserve">https://filestore.fortinet.com/docs.fortinet.com/fsiem/Public_Resource_Access/7_6_0/rules/PH_RULE_EXCH_SMTP_QUEUE_CRIT.htm</t>
  </si>
  <si>
    <t xml:space="preserve">PH_Rule_Web_Server_3</t>
  </si>
  <si>
    <t xml:space="preserve">Executable file posting from external source</t>
  </si>
  <si>
    <t xml:space="preserve">https://filestore.fortinet.com/docs.fortinet.com/fsiem/Public_Resource_Access/7_6_0/rules/PH_RULE_EXECUTABLE_FILE_POST.htm</t>
  </si>
  <si>
    <t xml:space="preserve">PH_Rule_TH_ES_WINDOWS_1</t>
  </si>
  <si>
    <t xml:space="preserve">Execution via local SxS Shared Module</t>
  </si>
  <si>
    <t xml:space="preserve">https://filestore.fortinet.com/docs.fortinet.com/fsiem/Public_Resource_Access/7_6_0/rules/PH_RULE_Execution_via_local_SxS_Shared_Module.htm</t>
  </si>
  <si>
    <t xml:space="preserve">PH_Rule_Avail_PH_25</t>
  </si>
  <si>
    <t xml:space="preserve">External Event Dropped By License</t>
  </si>
  <si>
    <t xml:space="preserve">https://filestore.fortinet.com/docs.fortinet.com/fsiem/Public_Resource_Access/7_6_0/rules/PH_RULE_EVENTS_DROPPED_LICENSE.htm</t>
  </si>
  <si>
    <t xml:space="preserve">PH_Rule_Change_12</t>
  </si>
  <si>
    <t xml:space="preserve">Failed Checkpoint Firewall Policy Install</t>
  </si>
  <si>
    <t xml:space="preserve">Checkpoint Firewall via Syslog or LEA</t>
  </si>
  <si>
    <t xml:space="preserve">https://filestore.fortinet.com/docs.fortinet.com/fsiem/Public_Resource_Access/7_6_0/rules/PH_RULE_CHKP_FW_INSTALL_FAILURE.htm</t>
  </si>
  <si>
    <t xml:space="preserve">PH_Rule_Change_14</t>
  </si>
  <si>
    <t xml:space="preserve">FIM: Audited file or directory created</t>
  </si>
  <si>
    <t xml:space="preserve">https://filestore.fortinet.com/docs.fortinet.com/fsiem/Public_Resource_Access/7_6_0/rules/PH_RULE_CUST_FILE_CREATE.htm</t>
  </si>
  <si>
    <t xml:space="preserve">PH_Rule_Change_15</t>
  </si>
  <si>
    <t xml:space="preserve">FIM: Audited file or directory deleted</t>
  </si>
  <si>
    <t xml:space="preserve">https://filestore.fortinet.com/docs.fortinet.com/fsiem/Public_Resource_Access/7_6_0/rules/PH_RULE_CUST_FILE_DELETE.htm</t>
  </si>
  <si>
    <t xml:space="preserve">PH_Rule_Change_18</t>
  </si>
  <si>
    <t xml:space="preserve">FIM: Audited target file content modified</t>
  </si>
  <si>
    <t xml:space="preserve">https://filestore.fortinet.com/docs.fortinet.com/fsiem/Public_Resource_Access/7_6_0/rules/PH_RULE_CUST_TARGET_FILE_MODIFY.htm</t>
  </si>
  <si>
    <t xml:space="preserve">PH_Rule_Vuln_38</t>
  </si>
  <si>
    <t xml:space="preserve">FireAMP Malicious file execution</t>
  </si>
  <si>
    <t xml:space="preserve">https://filestore.fortinet.com/docs.fortinet.com/fsiem/Public_Resource_Access/7_6_0/rules/PH_RULE_FIREAMP_MALICIOUS_FILE_EXEC.htm</t>
  </si>
  <si>
    <t xml:space="preserve">PH_Rule_Vuln_21</t>
  </si>
  <si>
    <t xml:space="preserve">FireEye HX IOC found</t>
  </si>
  <si>
    <t xml:space="preserve">FireEye HX via Syslog</t>
  </si>
  <si>
    <t xml:space="preserve">https://filestore.fortinet.com/docs.fortinet.com/fsiem/Public_Resource_Access/7_6_0/rules/PH_RULE_MANDIANT_IOC_FOUND.htm</t>
  </si>
  <si>
    <t xml:space="preserve">PH_Rule_Vuln_22</t>
  </si>
  <si>
    <t xml:space="preserve">FireEye Malware Callback</t>
  </si>
  <si>
    <t xml:space="preserve">FireEye MPS via Syslog</t>
  </si>
  <si>
    <t xml:space="preserve">https://filestore.fortinet.com/docs.fortinet.com/fsiem/Public_Resource_Access/7_6_0/rules/PH_RULE_FEYE_MALWARE_FOUND.htm</t>
  </si>
  <si>
    <t xml:space="preserve">PH_RULE_FAZ_NoLogsFromDevice4Hours</t>
  </si>
  <si>
    <t xml:space="preserve">FortiAnalyzer: No logs received from a device in 4 hours</t>
  </si>
  <si>
    <t xml:space="preserve">FortiAnalyzer via Syslog</t>
  </si>
  <si>
    <t xml:space="preserve">https://filestore.fortinet.com/docs.fortinet.com/fsiem/Public_Resource_Access/7_6_0/rules/PH_RULE_FAZ_NoLogsFromDevice4Hours.htm</t>
  </si>
  <si>
    <t xml:space="preserve">PH_RULE_FortiCNAPP_AlertTriggered</t>
  </si>
  <si>
    <t xml:space="preserve">FortiCNAPP: Alert Triggered</t>
  </si>
  <si>
    <t xml:space="preserve">FortiCNAPP Alerts via AWS_SQS integration</t>
  </si>
  <si>
    <t xml:space="preserve">https://filestore.fortinet.com/docs.fortinet.com/fsiem/Public_Resource_Access/7_6_0/rules/PH_RULE_FortiCNAPP_AlertTriggered.htm</t>
  </si>
  <si>
    <t xml:space="preserve">PH_Rule_FortiDeceptor_4</t>
  </si>
  <si>
    <t xml:space="preserve">FortiDeceptor: Successful FTP/TFTP Operations to Decoy</t>
  </si>
  <si>
    <t xml:space="preserve">Initial Access ICS</t>
  </si>
  <si>
    <t xml:space="preserve">https://filestore.fortinet.com/docs.fortinet.com/fsiem/Public_Resource_Access/7_6_0/rules/PH_RULE_FORTIDECEPTOR_FTP_TFTP.htm</t>
  </si>
  <si>
    <t xml:space="preserve">PH_Rule_FortiDeceptor_5</t>
  </si>
  <si>
    <t xml:space="preserve">FortiDeceptor: Successful IOT SCADA Operations to Decoy</t>
  </si>
  <si>
    <t xml:space="preserve">https://filestore.fortinet.com/docs.fortinet.com/fsiem/Public_Resource_Access/7_6_0/rules/PH_RULE_FORTIDECEPTOR_IOT.htm</t>
  </si>
  <si>
    <t xml:space="preserve">PH_Rule_FortiDeceptor_3</t>
  </si>
  <si>
    <t xml:space="preserve">FortiDeceptor: Successful RDP Login to Decoy</t>
  </si>
  <si>
    <t xml:space="preserve">https://filestore.fortinet.com/docs.fortinet.com/fsiem/Public_Resource_Access/7_6_0/rules/PH_RULE_FORTIDECEPTOR_RDP.htm</t>
  </si>
  <si>
    <t xml:space="preserve">PH_Rule_FortiDeceptor_6</t>
  </si>
  <si>
    <t xml:space="preserve">FortiDeceptor: Successful SAMBA Operations to Decoy</t>
  </si>
  <si>
    <t xml:space="preserve">https://filestore.fortinet.com/docs.fortinet.com/fsiem/Public_Resource_Access/7_6_0/rules/PH_RULE_FORTIDECEPTOR_SAMBA.htm</t>
  </si>
  <si>
    <t xml:space="preserve">PH_Rule_FortiDeceptor_2</t>
  </si>
  <si>
    <t xml:space="preserve">FortiDeceptor: Successful SSH Login to Decoy</t>
  </si>
  <si>
    <t xml:space="preserve">https://filestore.fortinet.com/docs.fortinet.com/fsiem/Public_Resource_Access/7_6_0/rules/PH_RULE_FORTIDECEPTOR_SSH.htm</t>
  </si>
  <si>
    <t xml:space="preserve">PH_RULE_FortiDLP_IncidentTriggered</t>
  </si>
  <si>
    <t xml:space="preserve">FortiDLP: Incident Triggered</t>
  </si>
  <si>
    <t xml:space="preserve">FortiDLP via FORTIDLP_STREAMING_API</t>
  </si>
  <si>
    <t xml:space="preserve">https://filestore.fortinet.com/docs.fortinet.com/fsiem/Public_Resource_Access/7_6_0/rules/PH_RULE_FortiDLP_IncidentTriggered.htm</t>
  </si>
  <si>
    <t xml:space="preserve">PH_RULE_FEDR_Inconclusive_or_PUP_Proc_Block</t>
  </si>
  <si>
    <t xml:space="preserve">FortiEDR: Inconclusive or PUP Process Blocked</t>
  </si>
  <si>
    <t xml:space="preserve">https://filestore.fortinet.com/docs.fortinet.com/fsiem/Public_Resource_Access/7_6_0/rules/PH_RULE_FEDR_Inconclusive_or_PUP_Proc_Block.htm</t>
  </si>
  <si>
    <t xml:space="preserve">PH_RULE_FEDR_Inconclusive_or_PUP_Proc_Detected</t>
  </si>
  <si>
    <t xml:space="preserve">FortiEDR: Inconclusive or PUP Process Detected</t>
  </si>
  <si>
    <t xml:space="preserve">https://filestore.fortinet.com/docs.fortinet.com/fsiem/Public_Resource_Access/7_6_0/rules/PH_RULE_FEDR_Inconclusive_or_PUP_Proc_Detected.htm</t>
  </si>
  <si>
    <t xml:space="preserve">PH_RULE_FEDR_LikelySafe_Proc_Block</t>
  </si>
  <si>
    <t xml:space="preserve">FortiEDR: Likely Safe Process Blocked</t>
  </si>
  <si>
    <t xml:space="preserve">https://filestore.fortinet.com/docs.fortinet.com/fsiem/Public_Resource_Access/7_6_0/rules/PH_RULE_FEDR_LikelySafe_Proc_Block.htm</t>
  </si>
  <si>
    <t xml:space="preserve">PH_RULE_FEDR_LikelySafe_Proc_Detected</t>
  </si>
  <si>
    <t xml:space="preserve">FortiEDR: Likely Safe Process Detected</t>
  </si>
  <si>
    <t xml:space="preserve">https://filestore.fortinet.com/docs.fortinet.com/fsiem/Public_Resource_Access/7_6_0/rules/PH_RULE_FEDR_LikelySafe_Proc_Detected.htm</t>
  </si>
  <si>
    <t xml:space="preserve">PH_RULE_FEDR_MaliciousProc_Block</t>
  </si>
  <si>
    <t xml:space="preserve">FortiEDR: Malicious Process Blocked</t>
  </si>
  <si>
    <t xml:space="preserve">https://filestore.fortinet.com/docs.fortinet.com/fsiem/Public_Resource_Access/7_6_0/rules/PH_RULE_FEDR_MaliciousProc_Block.htm</t>
  </si>
  <si>
    <t xml:space="preserve">PH_RULE_FEDR_MaliciousProc_Detected</t>
  </si>
  <si>
    <t xml:space="preserve">FortiEDR: Malicious Process Detected</t>
  </si>
  <si>
    <t xml:space="preserve">https://filestore.fortinet.com/docs.fortinet.com/fsiem/Public_Resource_Access/7_6_0/rules/PH_RULE_FEDR_MaliciousProc_Detected.htm</t>
  </si>
  <si>
    <t xml:space="preserve">PH_RULE_FEDR_Safe_Proc_Block</t>
  </si>
  <si>
    <t xml:space="preserve">FortiEDR: Safe Process Blocked</t>
  </si>
  <si>
    <t xml:space="preserve">https://filestore.fortinet.com/docs.fortinet.com/fsiem/Public_Resource_Access/7_6_0/rules/PH_RULE_FEDR_Safe_Proc_Block.htm</t>
  </si>
  <si>
    <t xml:space="preserve">PH_RULE_FEDR_Safe_Proc_Detected</t>
  </si>
  <si>
    <t xml:space="preserve">FortiEDR: Safe Process Detected</t>
  </si>
  <si>
    <t xml:space="preserve">https://filestore.fortinet.com/docs.fortinet.com/fsiem/Public_Resource_Access/7_6_0/rules/PH_RULE_FEDR_Safe_Proc_Detected.htm</t>
  </si>
  <si>
    <t xml:space="preserve">PH_RULE_FEDR_SuspiciousProc_Block</t>
  </si>
  <si>
    <t xml:space="preserve">FortiEDR: Suspicious Process Blocked</t>
  </si>
  <si>
    <t xml:space="preserve">https://filestore.fortinet.com/docs.fortinet.com/fsiem/Public_Resource_Access/7_6_0/rules/PH_RULE_FEDR_SuspiciousProc_Block.htm</t>
  </si>
  <si>
    <t xml:space="preserve">PH_RULE_FEDR_SuspiciousProc_Detected</t>
  </si>
  <si>
    <t xml:space="preserve">FortiEDR: Suspicious Process Detected</t>
  </si>
  <si>
    <t xml:space="preserve">https://filestore.fortinet.com/docs.fortinet.com/fsiem/Public_Resource_Access/7_6_0/rules/PH_RULE_FEDR_SuspiciousProc_Detected.htm</t>
  </si>
  <si>
    <t xml:space="preserve">PH_Rule_Vuln_30B</t>
  </si>
  <si>
    <t xml:space="preserve">FortiGate detects Botnet</t>
  </si>
  <si>
    <t xml:space="preserve">https://filestore.fortinet.com/docs.fortinet.com/fsiem/Public_Resource_Access/7_6_0/rules/PH_RULE_FORTIGATE_BOTNET.htm</t>
  </si>
  <si>
    <t xml:space="preserve">PH_RULE_ICS_FORTIGATE_Exploitation_of_Remote_Services</t>
  </si>
  <si>
    <t xml:space="preserve">FortiGate ICS Alert: Exploitation of Remote Services</t>
  </si>
  <si>
    <t xml:space="preserve">https://filestore.fortinet.com/docs.fortinet.com/fsiem/Public_Resource_Access/7_6_0/rules/PH_RULE_ICS_FORTIGATE_Exploitation_of_Remote_Services.htm</t>
  </si>
  <si>
    <t xml:space="preserve">PH_RULE_FGT_Config_Change</t>
  </si>
  <si>
    <t xml:space="preserve">FortiGate: Config Change Detected</t>
  </si>
  <si>
    <t xml:space="preserve">https://filestore.fortinet.com/docs.fortinet.com/fsiem/Public_Resource_Access/7_6_0/rules/PH_RULE_FGT_Config_Change.htm</t>
  </si>
  <si>
    <t xml:space="preserve">PH_RULE_FGT_PSIRT_VULN_DETECTED</t>
  </si>
  <si>
    <t xml:space="preserve">FortiGate: PSIRT Critical or High Vulnerability Detected</t>
  </si>
  <si>
    <t xml:space="preserve">FortiGate via FortiOS_REST_API</t>
  </si>
  <si>
    <t xml:space="preserve">https://filestore.fortinet.com/docs.fortinet.com/fsiem/Public_Resource_Access/7_6_0/rules/PH_RULE_FGT_PSIRT_VULN_DETECTED.htm</t>
  </si>
  <si>
    <t xml:space="preserve">PH_RULE_FGT_PSIRT_LOW_VULN_DETECTED</t>
  </si>
  <si>
    <t xml:space="preserve">FortiGate: PSIRT Low Vulnerability Detected</t>
  </si>
  <si>
    <t xml:space="preserve">https://filestore.fortinet.com/docs.fortinet.com/fsiem/Public_Resource_Access/7_6_0/rules/PH_RULE_FGT_PSIRT_LOW_VULN_DETECTED.htm</t>
  </si>
  <si>
    <t xml:space="preserve">PH_RULE_FGT_PSIRT_MEDIUM_VULN_DETECTED</t>
  </si>
  <si>
    <t xml:space="preserve">FortiGate: PSIRT Medium Vulnerability Detected</t>
  </si>
  <si>
    <t xml:space="preserve">https://filestore.fortinet.com/docs.fortinet.com/fsiem/Public_Resource_Access/7_6_0/rules/PH_RULE_FGT_PSIRT_MEDIUM_VULN_DETECTED.htm</t>
  </si>
  <si>
    <t xml:space="preserve">PH_Rule_Avail_68</t>
  </si>
  <si>
    <t xml:space="preserve">FortiMail Failover</t>
  </si>
  <si>
    <t xml:space="preserve">Mail Server</t>
  </si>
  <si>
    <t xml:space="preserve">FortiMail via Syslog</t>
  </si>
  <si>
    <t xml:space="preserve">https://filestore.fortinet.com/docs.fortinet.com/fsiem/Public_Resource_Access/7_6_0/rules/PH_RULE_FORTIMAIL_FAILOVER.htm</t>
  </si>
  <si>
    <t xml:space="preserve">PH_RULE_FML_Workspace_Sec_MaliciousEmailPermit</t>
  </si>
  <si>
    <t xml:space="preserve">FortiMail Workspace: Malicious Email Permitted</t>
  </si>
  <si>
    <t xml:space="preserve">FortiMail Workspace Scan logs via Syslog or HTTPS_ADVANCED</t>
  </si>
  <si>
    <t xml:space="preserve">https://filestore.fortinet.com/docs.fortinet.com/fsiem/Public_Resource_Access/7_6_0/rules/PH_RULE_FML_Workspace_Sec_MaliciousEmailPermit.htm</t>
  </si>
  <si>
    <t xml:space="preserve">PH_RULE_FML_Workspace_Sec_SuspiciousEmailPermit</t>
  </si>
  <si>
    <t xml:space="preserve">FortiMail Workspace: Suspicious Email Permitted</t>
  </si>
  <si>
    <t xml:space="preserve">https://filestore.fortinet.com/docs.fortinet.com/fsiem/Public_Resource_Access/7_6_0/rules/PH_RULE_FML_Workspace_Sec_SuspiciousEmailPermit.htm</t>
  </si>
  <si>
    <t xml:space="preserve">PH_Rule_FML_Antispam_Malicious_Url</t>
  </si>
  <si>
    <t xml:space="preserve">FortiMail: Antispam Malicious URL found</t>
  </si>
  <si>
    <t xml:space="preserve">https://filestore.fortinet.com/docs.fortinet.com/fsiem/Public_Resource_Access/7_6_0/rules/PH_Rule_FML_Antispam_Malicious_Url.htm</t>
  </si>
  <si>
    <t xml:space="preserve">PH_RULE_FML_antivirus_phishing_url</t>
  </si>
  <si>
    <t xml:space="preserve">FortiMail: AntiVirus Phishing URL found</t>
  </si>
  <si>
    <t xml:space="preserve">https://filestore.fortinet.com/docs.fortinet.com/fsiem/Public_Resource_Access/7_6_0/rules/PH_RULE_FML_antivirus_phishing_url.htm</t>
  </si>
  <si>
    <t xml:space="preserve">PH_Rule_FML_Antispam_Malicious_File</t>
  </si>
  <si>
    <t xml:space="preserve">FortiMail: Malicious Spam File Attachment Found</t>
  </si>
  <si>
    <t xml:space="preserve">https://filestore.fortinet.com/docs.fortinet.com/fsiem/Public_Resource_Access/7_6_0/rules/PH_Rule_FML_Antispam_Malicious_File.htm</t>
  </si>
  <si>
    <t xml:space="preserve">PH_RULE_FortiNDR_CriticalIOC_Detected</t>
  </si>
  <si>
    <t xml:space="preserve">FortiNDR: Critical IOC Detected</t>
  </si>
  <si>
    <t xml:space="preserve">FortiNDR On-premise via Syslog</t>
  </si>
  <si>
    <t xml:space="preserve">https://filestore.fortinet.com/docs.fortinet.com/fsiem/Public_Resource_Access/7_6_0/rules/PH_RULE_FortiNDR_CriticalIOC_Detected.htm</t>
  </si>
  <si>
    <t xml:space="preserve">PH_RULE_FortiNDR_HighIOC_Detected</t>
  </si>
  <si>
    <t xml:space="preserve">FortiNDR: High IOC Detected</t>
  </si>
  <si>
    <t xml:space="preserve">https://filestore.fortinet.com/docs.fortinet.com/fsiem/Public_Resource_Access/7_6_0/rules/PH_RULE_FortiNDR_HighIOC_Detected.htm</t>
  </si>
  <si>
    <t xml:space="preserve">PH_RULE_FortiNDR_High_AttackChain_Permit</t>
  </si>
  <si>
    <t xml:space="preserve">FortiNDR: High Severity Attack Chain Permitted</t>
  </si>
  <si>
    <t xml:space="preserve">https://filestore.fortinet.com/docs.fortinet.com/fsiem/Public_Resource_Access/7_6_0/rules/PH_RULE_FortiNDR_High_AttackChain_Permit.htm</t>
  </si>
  <si>
    <t xml:space="preserve">PH_RULE_FortiNDR_High_Attack_Permit</t>
  </si>
  <si>
    <t xml:space="preserve">FortiNDR: High Severity Attack Permitted</t>
  </si>
  <si>
    <t xml:space="preserve">https://filestore.fortinet.com/docs.fortinet.com/fsiem/Public_Resource_Access/7_6_0/rules/PH_RULE_FortiNDR_High_Attack_Permit.htm</t>
  </si>
  <si>
    <t xml:space="preserve">PH_RULE_FortiNDR_High_Botnet_Detected</t>
  </si>
  <si>
    <t xml:space="preserve">FortiNDR: High Severity Botnet Detected</t>
  </si>
  <si>
    <t xml:space="preserve">FortiNDR via Syslog</t>
  </si>
  <si>
    <t xml:space="preserve">https://filestore.fortinet.com/docs.fortinet.com/fsiem/Public_Resource_Access/7_6_0/rules/PH_RULE_FortiNDR_High_Botnet_Detected.htm</t>
  </si>
  <si>
    <t xml:space="preserve">PH_RULE_FortiNDR_Low_AttackChain_Permit</t>
  </si>
  <si>
    <t xml:space="preserve">FortiNDR: Low Severity Attack Chain Permitted</t>
  </si>
  <si>
    <t xml:space="preserve">https://filestore.fortinet.com/docs.fortinet.com/fsiem/Public_Resource_Access/7_6_0/rules/PH_RULE_FortiNDR_Low_AttackChain_Permit.htm</t>
  </si>
  <si>
    <t xml:space="preserve">PH_RULE_FortiNDR_Low_Attack_Permit</t>
  </si>
  <si>
    <t xml:space="preserve">FortiNDR: Low Severity Attack Permitted</t>
  </si>
  <si>
    <t xml:space="preserve">https://filestore.fortinet.com/docs.fortinet.com/fsiem/Public_Resource_Access/7_6_0/rules/PH_RULE_FortiNDR_Low_Attack_Permit.htm</t>
  </si>
  <si>
    <t xml:space="preserve">PH_RULE_FortiNDR_Low_Botnet_Detected</t>
  </si>
  <si>
    <t xml:space="preserve">FortiNDR: Low Severity Botnet Detected</t>
  </si>
  <si>
    <t xml:space="preserve">https://filestore.fortinet.com/docs.fortinet.com/fsiem/Public_Resource_Access/7_6_0/rules/PH_RULE_FortiNDR_Low_Botnet_Detected.htm</t>
  </si>
  <si>
    <t xml:space="preserve">PH_RULE_FortiNDR_MediumIOC_Detected</t>
  </si>
  <si>
    <t xml:space="preserve">FortiNDR: Medium IOC Detected</t>
  </si>
  <si>
    <t xml:space="preserve">https://filestore.fortinet.com/docs.fortinet.com/fsiem/Public_Resource_Access/7_6_0/rules/PH_RULE_FortiNDR_MediumIOC_Detected.htm</t>
  </si>
  <si>
    <t xml:space="preserve">PH_RULE_FortiNDR_Medium_AttackChain_Permit</t>
  </si>
  <si>
    <t xml:space="preserve">FortiNDR: Medium Severity Attack Chain Permitted</t>
  </si>
  <si>
    <t xml:space="preserve">https://filestore.fortinet.com/docs.fortinet.com/fsiem/Public_Resource_Access/7_6_0/rules/PH_RULE_FortiNDR_Medium_AttackChain_Permit.htm</t>
  </si>
  <si>
    <t xml:space="preserve">PH_RULE_FortiNDR_Medium_Attack_Permit</t>
  </si>
  <si>
    <t xml:space="preserve">FortiNDR: Medium Severity Attack Permitted</t>
  </si>
  <si>
    <t xml:space="preserve">https://filestore.fortinet.com/docs.fortinet.com/fsiem/Public_Resource_Access/7_6_0/rules/PH_RULE_FortiNDR_Medium_Attack_Permit.htm</t>
  </si>
  <si>
    <t xml:space="preserve">PH_RULE_FortiNDR_Medium_Botnet_Detected</t>
  </si>
  <si>
    <t xml:space="preserve">FortiNDR: Medium Severity Botnet Detected</t>
  </si>
  <si>
    <t xml:space="preserve">https://filestore.fortinet.com/docs.fortinet.com/fsiem/Public_Resource_Access/7_6_0/rules/PH_RULE_FortiNDR_Medium_Botnet_Detected.htm</t>
  </si>
  <si>
    <t xml:space="preserve">PH_RULE_FortiRecon_LeakedCards</t>
  </si>
  <si>
    <t xml:space="preserve">FortiRecon: Leaked Credit or Debit Cards Found Online</t>
  </si>
  <si>
    <t xml:space="preserve">https://filestore.fortinet.com/docs.fortinet.com/fsiem/Public_Resource_Access/7_6_0/rules/PH_RULE_FortiRecon_LeakedCards.htm</t>
  </si>
  <si>
    <t xml:space="preserve">PH_Rule_Vuln_30</t>
  </si>
  <si>
    <t xml:space="preserve">FortiSandbox detects Botnet</t>
  </si>
  <si>
    <t xml:space="preserve">https://filestore.fortinet.com/docs.fortinet.com/fsiem/Public_Resource_Access/7_6_0/rules/PH_RULE_FORTISANDBOX_BOTNET.htm</t>
  </si>
  <si>
    <t xml:space="preserve">PH_Rule_Vuln_29</t>
  </si>
  <si>
    <t xml:space="preserve">FortiSandbox detects file malware with high or medium risk</t>
  </si>
  <si>
    <t xml:space="preserve">https://filestore.fortinet.com/docs.fortinet.com/fsiem/Public_Resource_Access/7_6_0/rules/PH_RULE_FORTISANDBOX_FILE_MALWARE.htm</t>
  </si>
  <si>
    <t xml:space="preserve">PH_Rule_Vuln_29C</t>
  </si>
  <si>
    <t xml:space="preserve">FortiSandbox detects malicious file malware from file upload</t>
  </si>
  <si>
    <t xml:space="preserve">https://filestore.fortinet.com/docs.fortinet.com/fsiem/Public_Resource_Access/7_6_0/rules/PH_RULE_FORTISANDBOX_FILE_MALWARE_UPLOAD.htm</t>
  </si>
  <si>
    <t xml:space="preserve">PH_Rule_Vuln_34</t>
  </si>
  <si>
    <t xml:space="preserve">FortiSandbox detects multiple hosts with infected files</t>
  </si>
  <si>
    <t xml:space="preserve">https://filestore.fortinet.com/docs.fortinet.com/fsiem/Public_Resource_Access/7_6_0/rules/PH_RULE_FORTISANDBOX_MALWARE_OUTBREAK.htm</t>
  </si>
  <si>
    <t xml:space="preserve">PH_Rule_Vuln_32</t>
  </si>
  <si>
    <t xml:space="preserve">FortiSandbox detects Network Attack</t>
  </si>
  <si>
    <t xml:space="preserve">https://filestore.fortinet.com/docs.fortinet.com/fsiem/Public_Resource_Access/7_6_0/rules/PH_RULE_FORTISANDBOX_NETWORK_ATTACK.htm</t>
  </si>
  <si>
    <t xml:space="preserve">PH_Rule_Vuln_31A</t>
  </si>
  <si>
    <t xml:space="preserve">FortiSandbox detects Phishing URL</t>
  </si>
  <si>
    <t xml:space="preserve">https://filestore.fortinet.com/docs.fortinet.com/fsiem/Public_Resource_Access/7_6_0/rules/PH_RULE_FORTISANDBOX_PHISHING_URL.htm</t>
  </si>
  <si>
    <t xml:space="preserve">PH_Rule_Vuln_29B</t>
  </si>
  <si>
    <t xml:space="preserve">FortiSandbox detects unknown risk file malware</t>
  </si>
  <si>
    <t xml:space="preserve">https://filestore.fortinet.com/docs.fortinet.com/fsiem/Public_Resource_Access/7_6_0/rules/PH_RULE_FORTISANDBOX_FILE_MALWARE_UNKNOWN_RISK.htm</t>
  </si>
  <si>
    <t xml:space="preserve">PH_Rule_Vuln_31</t>
  </si>
  <si>
    <t xml:space="preserve">FortiSandbox detects URL Malware</t>
  </si>
  <si>
    <t xml:space="preserve">https://filestore.fortinet.com/docs.fortinet.com/fsiem/Public_Resource_Access/7_6_0/rules/PH_RULE_FORTISANDBOX_MALWARE_URL.htm</t>
  </si>
  <si>
    <t xml:space="preserve">PH_Rule_Avail_PH_14</t>
  </si>
  <si>
    <t xml:space="preserve">FortiSIEM Archive Purging Completed</t>
  </si>
  <si>
    <t xml:space="preserve">https://filestore.fortinet.com/docs.fortinet.com/fsiem/Public_Resource_Access/7_6_0/rules/PH_RULE_SYS_ARCHIVE_PURGE_SUCCEEDED.htm</t>
  </si>
  <si>
    <t xml:space="preserve">PH_Rule_Avail_PH_15</t>
  </si>
  <si>
    <t xml:space="preserve">FortiSIEM Archive Purging Failed</t>
  </si>
  <si>
    <t xml:space="preserve">https://filestore.fortinet.com/docs.fortinet.com/fsiem/Public_Resource_Access/7_6_0/rules/PH_RULE_SYS_ARCHIVE_PURGE_FAILED.htm</t>
  </si>
  <si>
    <t xml:space="preserve">PH_Rule_Avail_PH_34</t>
  </si>
  <si>
    <t xml:space="preserve">FortiSIEM Archive Purging Started</t>
  </si>
  <si>
    <t xml:space="preserve">https://filestore.fortinet.com/docs.fortinet.com/fsiem/Public_Resource_Access/7_6_0/rules/PH_RULE_SYS_ARCHIVE_PURGE_STARTED.htm</t>
  </si>
  <si>
    <t xml:space="preserve">PH_Rule_Avail_PH_57</t>
  </si>
  <si>
    <t xml:space="preserve">FortiSIEM ClickHouse Storage Space Critical</t>
  </si>
  <si>
    <t xml:space="preserve">https://filestore.fortinet.com/docs.fortinet.com/fsiem/Public_Resource_Access/7_6_0/rules/PH_CLICKHOUSE_STORAGE_FREE_SPACE_CRITICAL.htm</t>
  </si>
  <si>
    <t xml:space="preserve">PH_Rule_Avail_PH_58</t>
  </si>
  <si>
    <t xml:space="preserve">FortiSIEM ClickHouse Storage Space Low</t>
  </si>
  <si>
    <t xml:space="preserve">https://filestore.fortinet.com/docs.fortinet.com/fsiem/Public_Resource_Access/7_6_0/rules/PH_CLICKHOUSE_STORAGE_FREE_SPACE_LOW.htm</t>
  </si>
  <si>
    <t xml:space="preserve">PH_Rule_Avail_PH_54</t>
  </si>
  <si>
    <t xml:space="preserve">FortiSIEM CMDB Disk space low - prune failed to keep free disk space above high threshold</t>
  </si>
  <si>
    <t xml:space="preserve">https://filestore.fortinet.com/docs.fortinet.com/fsiem/Public_Resource_Access/7_6_0/rules/PH_RULE_FSM_CMDB_DISK_PRUNE_FAILED.htm</t>
  </si>
  <si>
    <t xml:space="preserve">PH_Rule_Avail_PH_53</t>
  </si>
  <si>
    <t xml:space="preserve">FortiSIEM CMDB Disk space low - prune successful</t>
  </si>
  <si>
    <t xml:space="preserve">https://filestore.fortinet.com/docs.fortinet.com/fsiem/Public_Resource_Access/7_6_0/rules/PH_RULE_FSM_CMDB_DISK_PRUNE_SUCCESS.htm</t>
  </si>
  <si>
    <t xml:space="preserve">PH_Rule_Cluster_DBLeader_Changed</t>
  </si>
  <si>
    <t xml:space="preserve">FortiSIEM DB Leader Changed</t>
  </si>
  <si>
    <t xml:space="preserve">https://filestore.fortinet.com/docs.fortinet.com/fsiem/Public_Resource_Access/7_6_0/rules/PH_Rule_Cluster_DBLeader_Changed.htm</t>
  </si>
  <si>
    <t xml:space="preserve">PH_Rule_Avail_PH_2</t>
  </si>
  <si>
    <t xml:space="preserve">FortiSIEM EPS License Exceeded</t>
  </si>
  <si>
    <t xml:space="preserve">https://filestore.fortinet.com/docs.fortinet.com/fsiem/Public_Resource_Access/7_6_0/rules/PH_RULE_ACCELOPS_HIGH_EPS.htm</t>
  </si>
  <si>
    <t xml:space="preserve">PH_Rule_Avail_PH_12</t>
  </si>
  <si>
    <t xml:space="preserve">FortiSIEM Event Archiving Completed</t>
  </si>
  <si>
    <t xml:space="preserve">https://filestore.fortinet.com/docs.fortinet.com/fsiem/Public_Resource_Access/7_6_0/rules/PH_RULE_SYS_ONLINE_ARCHIVE_COMPLETED.htm</t>
  </si>
  <si>
    <t xml:space="preserve">PH_Rule_Avail_PH_10</t>
  </si>
  <si>
    <t xml:space="preserve">FortiSIEM Event Archiving Failed</t>
  </si>
  <si>
    <t xml:space="preserve">https://filestore.fortinet.com/docs.fortinet.com/fsiem/Public_Resource_Access/7_6_0/rules/PH_RULE_SYS_ONLINE_ARCHIVE_FAILED.htm</t>
  </si>
  <si>
    <t xml:space="preserve">PH_Rule_Avail_PH_46</t>
  </si>
  <si>
    <t xml:space="preserve">FortiSIEM EventDB event store failed</t>
  </si>
  <si>
    <t xml:space="preserve">https://filestore.fortinet.com/docs.fortinet.com/fsiem/Public_Resource_Access/7_6_0/rules/PH_RULE_ACCELOPS_DATAMGR_EVENT_STORE_FAILED.htm</t>
  </si>
  <si>
    <t xml:space="preserve">PH_Rule_Avail_PH_59</t>
  </si>
  <si>
    <t xml:space="preserve">FortiSIEM Inter-shard ClickHouse Storage Gap High</t>
  </si>
  <si>
    <t xml:space="preserve">https://filestore.fortinet.com/docs.fortinet.com/fsiem/Public_Resource_Access/7_6_0/rules/PH_RULE_CLICKHOUSE_INTER_SHARD_STORAGE_GAP_HIGH.htm</t>
  </si>
  <si>
    <t xml:space="preserve">PH_Rule_Avail_PH_60</t>
  </si>
  <si>
    <t xml:space="preserve">FortiSIEM Intra-shard ClickHouse Storage Gap High</t>
  </si>
  <si>
    <t xml:space="preserve">https://filestore.fortinet.com/docs.fortinet.com/fsiem/Public_Resource_Access/7_6_0/rules/PH_RULE_CLICKHOUSE_INTRA_SHARD_STORAGE_GAP_HIGH.htm</t>
  </si>
  <si>
    <t xml:space="preserve">PH_Rule_Avail_PH_12B</t>
  </si>
  <si>
    <t xml:space="preserve">FortiSIEM Online Event Successfully Purged</t>
  </si>
  <si>
    <t xml:space="preserve">https://filestore.fortinet.com/docs.fortinet.com/fsiem/Public_Resource_Access/7_6_0/rules/PH_RULE_SYS_ONLINE_PURGE_SUCCEEDED.htm</t>
  </si>
  <si>
    <t xml:space="preserve">PH_Rule_Avail_PH_16D</t>
  </si>
  <si>
    <t xml:space="preserve">FortiSIEM Performance Monitoring Relay Not Working: All Devices delayed</t>
  </si>
  <si>
    <t xml:space="preserve">https://filestore.fortinet.com/docs.fortinet.com/fsiem/Public_Resource_Access/7_6_0/rules/PH_RULE_NO_PERFMON_VIA_AO.htm</t>
  </si>
  <si>
    <t xml:space="preserve">PH_Rule_Cluster_REPL_Leader_Changed</t>
  </si>
  <si>
    <t xml:space="preserve">FortiSIEM Replication Leader Changed</t>
  </si>
  <si>
    <t xml:space="preserve">https://filestore.fortinet.com/docs.fortinet.com/fsiem/Public_Resource_Access/7_6_0/rules/PH_Rule_Cluster_REPL_Leader_Changed.htm</t>
  </si>
  <si>
    <t xml:space="preserve">PH_Rule_Avail_PH_30</t>
  </si>
  <si>
    <t xml:space="preserve">FortiSIEM Report Server Removed After License Expiry</t>
  </si>
  <si>
    <t xml:space="preserve">https://filestore.fortinet.com/docs.fortinet.com/fsiem/Public_Resource_Access/7_6_0/rules/PH_RULE_AO_RS_LICENSE_REMOVED.htm</t>
  </si>
  <si>
    <t xml:space="preserve">PH_Rule_Avail_PH_17</t>
  </si>
  <si>
    <t xml:space="preserve">FortiSIEM: Low Available Archive Space</t>
  </si>
  <si>
    <t xml:space="preserve">https://filestore.fortinet.com/docs.fortinet.com/fsiem/Public_Resource_Access/7_6_0/rules/PH_RULE_SYS_ARCHIVE_LOW_SPACE.htm</t>
  </si>
  <si>
    <t xml:space="preserve">PH_Rule_Avail_PH_1</t>
  </si>
  <si>
    <t xml:space="preserve">FortiSIEM: Low Available EventDB Storage</t>
  </si>
  <si>
    <t xml:space="preserve">https://filestore.fortinet.com/docs.fortinet.com/fsiem/Public_Resource_Access/7_6_0/rules/PH_RULE_ACCELOPS_LOW_STORAGE.htm</t>
  </si>
  <si>
    <t xml:space="preserve">PH_RULE_ERROR_TooManyUnknownEvents</t>
  </si>
  <si>
    <t xml:space="preserve">FortiSIEM: Too Many Unknown Events</t>
  </si>
  <si>
    <t xml:space="preserve">https://filestore.fortinet.com/docs.fortinet.com/fsiem/Public_Resource_Access/7_6_0/rules/PH_RULE_ERROR_TooManyUnknownEvents.htm</t>
  </si>
  <si>
    <t xml:space="preserve">PH_Rule_Change_PH_47</t>
  </si>
  <si>
    <t xml:space="preserve">FortiSOC Linux/Windows Collector Operational Error</t>
  </si>
  <si>
    <t xml:space="preserve">https://filestore.fortinet.com/docs.fortinet.com/fsiem/Public_Resource_Access/7_6_0/rules/PH_RULE_FSM_AGENT_OP_ERROR.htm</t>
  </si>
  <si>
    <t xml:space="preserve">PH_Rule_Perf_310</t>
  </si>
  <si>
    <t xml:space="preserve">FortiWeb Connection Limit Reached</t>
  </si>
  <si>
    <t xml:space="preserve">https://filestore.fortinet.com/docs.fortinet.com/fsiem/Public_Resource_Access/7_6_0/rules/PH_RULE_FORTIWEB_CONN_HIGH.htm</t>
  </si>
  <si>
    <t xml:space="preserve">FortiWeb Cloud via Syslog; FortiWeb via Syslog</t>
  </si>
  <si>
    <t xml:space="preserve">PH_Rule_Environ_8</t>
  </si>
  <si>
    <t xml:space="preserve">FPC Current THD high</t>
  </si>
  <si>
    <t xml:space="preserve">Liebert FPC Monitoring via SNMP</t>
  </si>
  <si>
    <t xml:space="preserve">https://filestore.fortinet.com/docs.fortinet.com/fsiem/Public_Resource_Access/7_6_0/rules/PH_RULE_FPC_CHD_HIGH.htm</t>
  </si>
  <si>
    <t xml:space="preserve">PH_Rule_Environ_9</t>
  </si>
  <si>
    <t xml:space="preserve">FPC ground current high</t>
  </si>
  <si>
    <t xml:space="preserve">https://filestore.fortinet.com/docs.fortinet.com/fsiem/Public_Resource_Access/7_6_0/rules/PH_RULE_FPC_GROUND_CURR_HIGH.htm</t>
  </si>
  <si>
    <t xml:space="preserve">PH_Rule_Environ_7</t>
  </si>
  <si>
    <t xml:space="preserve">FPC Voltage THD high</t>
  </si>
  <si>
    <t xml:space="preserve">https://filestore.fortinet.com/docs.fortinet.com/fsiem/Public_Resource_Access/7_6_0/rules/PH_RULE_FPC_VHD_HIGH.htm</t>
  </si>
  <si>
    <t xml:space="preserve">PH_RULE_GCP_AUDIT_FW_RULE_CREATED</t>
  </si>
  <si>
    <t xml:space="preserve">GCP: Firewall Rule Created</t>
  </si>
  <si>
    <t xml:space="preserve">https://filestore.fortinet.com/docs.fortinet.com/fsiem/Public_Resource_Access/7_6_0/rules/PH_RULE_GCP_AUDIT_FW_RULE_CREATED.htm</t>
  </si>
  <si>
    <t xml:space="preserve">PH_RULE_GCP_AUDIT_FW_RULE_DELETED</t>
  </si>
  <si>
    <t xml:space="preserve">GCP: Firewall Rule Deleted</t>
  </si>
  <si>
    <t xml:space="preserve">https://filestore.fortinet.com/docs.fortinet.com/fsiem/Public_Resource_Access/7_6_0/rules/PH_RULE_GCP_AUDIT_FW_RULE_DELETED.htm</t>
  </si>
  <si>
    <t xml:space="preserve">PH_RULE_GCP_AUDIT_FW_RULE_PATCHED</t>
  </si>
  <si>
    <t xml:space="preserve">GCP: Firewall Rule Updated</t>
  </si>
  <si>
    <t xml:space="preserve">https://filestore.fortinet.com/docs.fortinet.com/fsiem/Public_Resource_Access/7_6_0/rules/PH_RULE_GCP_AUDIT_FW_RULE_PATCHED.htm</t>
  </si>
  <si>
    <t xml:space="preserve">PH_RULE_GCP_AUDIT_LOGGING_SINK_DELETED</t>
  </si>
  <si>
    <t xml:space="preserve">GCP: Logging Sink Deleted</t>
  </si>
  <si>
    <t xml:space="preserve">https://filestore.fortinet.com/docs.fortinet.com/fsiem/Public_Resource_Access/7_6_0/rules/PH_RULE_GCP_AUDIT_LOGGING_SINK_DELETED.htm</t>
  </si>
  <si>
    <t xml:space="preserve">PH_RULE_GCP_AUDIT_LOGGING_SINK_UPDATED</t>
  </si>
  <si>
    <t xml:space="preserve">GCP: Logging Sink Updated</t>
  </si>
  <si>
    <t xml:space="preserve">https://filestore.fortinet.com/docs.fortinet.com/fsiem/Public_Resource_Access/7_6_0/rules/PH_RULE_GCP_AUDIT_LOGGING_SINK_UPDATED.htm</t>
  </si>
  <si>
    <t xml:space="preserve">PH_RULE_GCP_AUDIT_PUB_SUB_SUBSCRIBER_CREATED</t>
  </si>
  <si>
    <t xml:space="preserve">GCP: Pub/Sub Subscription Created</t>
  </si>
  <si>
    <t xml:space="preserve">https://filestore.fortinet.com/docs.fortinet.com/fsiem/Public_Resource_Access/7_6_0/rules/PH_RULE_GCP_AUDIT_PUB_SUB_SUBSCRIBER_CREATED.htm</t>
  </si>
  <si>
    <t xml:space="preserve">PH_RULE_GCP_AUDIT_PUB_SUB_SUBSCRIBER_DELETED</t>
  </si>
  <si>
    <t xml:space="preserve">GCP: Pub/Sub Subscription Deleted</t>
  </si>
  <si>
    <t xml:space="preserve">https://filestore.fortinet.com/docs.fortinet.com/fsiem/Public_Resource_Access/7_6_0/rules/PH_RULE_GCP_AUDIT_PUB_SUB_SUBSCRIBER_DELETED.htm</t>
  </si>
  <si>
    <t xml:space="preserve">PH_RULE_GCP_AUDIT_PUB_SUB_TOPIC_CREATED</t>
  </si>
  <si>
    <t xml:space="preserve">GCP: Pub/Sub Topic Created</t>
  </si>
  <si>
    <t xml:space="preserve">https://filestore.fortinet.com/docs.fortinet.com/fsiem/Public_Resource_Access/7_6_0/rules/PH_RULE_GCP_AUDIT_PUB_SUB_TOPIC_CREATED.htm</t>
  </si>
  <si>
    <t xml:space="preserve">PH_RULE_GCP_AUDIT_PUB_SUB_TOPIC_DELETED</t>
  </si>
  <si>
    <t xml:space="preserve">GCP: Pub/Sub Topic Deleted</t>
  </si>
  <si>
    <t xml:space="preserve">https://filestore.fortinet.com/docs.fortinet.com/fsiem/Public_Resource_Access/7_6_0/rules/PH_RULE_GCP_AUDIT_PUB_SUB_TOPIC_DELETED.htm</t>
  </si>
  <si>
    <t xml:space="preserve">PH_RULE_GCP_AUDIT_STORAGEBUCKET_IAM_PERM_MODIFIED</t>
  </si>
  <si>
    <t xml:space="preserve">GCP: Storage Bucket IAM Permissions Modified</t>
  </si>
  <si>
    <t xml:space="preserve">https://filestore.fortinet.com/docs.fortinet.com/fsiem/Public_Resource_Access/7_6_0/rules/PH_RULE_GCP_AUDIT_STORAGEBUCKET_IAM_PERM_MODIFIED.htm</t>
  </si>
  <si>
    <t xml:space="preserve">PH_RULE_GCP_AUDIT_STORAGEBUCKET_UPDATED</t>
  </si>
  <si>
    <t xml:space="preserve">GCP: Storage Bucket Updated</t>
  </si>
  <si>
    <t xml:space="preserve">https://filestore.fortinet.com/docs.fortinet.com/fsiem/Public_Resource_Access/7_6_0/rules/PH_RULE_GCP_AUDIT_STORAGEBUCKET_UPDATED.htm</t>
  </si>
  <si>
    <t xml:space="preserve">PH_RULE_GCP_AUDIT_STORAGE_OR_LOG_BUCKET_DELETED</t>
  </si>
  <si>
    <t xml:space="preserve">GCP: Storage or Logging Bucket Deleted</t>
  </si>
  <si>
    <t xml:space="preserve">https://filestore.fortinet.com/docs.fortinet.com/fsiem/Public_Resource_Access/7_6_0/rules/PH_RULE_GCP_AUDIT_STORAGE_OR_LOG_BUCKET_DELETED.htm</t>
  </si>
  <si>
    <t xml:space="preserve">PH_RULE_GCP_AUDIT_VPC_NETWORK_DELETED</t>
  </si>
  <si>
    <t xml:space="preserve">GCP: VPC Network Deleted</t>
  </si>
  <si>
    <t xml:space="preserve">https://filestore.fortinet.com/docs.fortinet.com/fsiem/Public_Resource_Access/7_6_0/rules/PH_RULE_GCP_AUDIT_VPC_NETWORK_DELETED.htm</t>
  </si>
  <si>
    <t xml:space="preserve">PH_RULE_GCP_AUDIT_VPC_ROUTE_ADDED</t>
  </si>
  <si>
    <t xml:space="preserve">GCP: VPC Route Added</t>
  </si>
  <si>
    <t xml:space="preserve">https://filestore.fortinet.com/docs.fortinet.com/fsiem/Public_Resource_Access/7_6_0/rules/PH_RULE_GCP_AUDIT_VPC_ROUTE_ADDED.htm</t>
  </si>
  <si>
    <t xml:space="preserve">PH_RULE_GCP_AUDIT_VPC_ROUTE_DELETED</t>
  </si>
  <si>
    <t xml:space="preserve">GCP: VPC Route Deleted</t>
  </si>
  <si>
    <t xml:space="preserve">https://filestore.fortinet.com/docs.fortinet.com/fsiem/Public_Resource_Access/7_6_0/rules/PH_RULE_GCP_AUDIT_VPC_ROUTE_DELETED.htm</t>
  </si>
  <si>
    <t xml:space="preserve">PH_Rule_GTI_MalwareHash_Mail</t>
  </si>
  <si>
    <t xml:space="preserve">Google Threat Intel: Malware Hash found in Mail</t>
  </si>
  <si>
    <t xml:space="preserve">Cisco Email Security Appliance via Syslog; Office 365 via Management Activity API; Mimecast via MIMECAST_API; FortiMail via Syslog</t>
  </si>
  <si>
    <t xml:space="preserve">https://filestore.fortinet.com/docs.fortinet.com/fsiem/Public_Resource_Access/7_6_0/rules/PH_Rule_GTI_MalwareHash_Mail.htm</t>
  </si>
  <si>
    <t xml:space="preserve">PH_Rule_GTI_RansomwareHash_Mail</t>
  </si>
  <si>
    <t xml:space="preserve">Google Threat Intel: Ransomware Hash found in Mail</t>
  </si>
  <si>
    <t xml:space="preserve">https://filestore.fortinet.com/docs.fortinet.com/fsiem/Public_Resource_Access/7_6_0/rules/PH_Rule_GTI_RansomwareHash_Mail.htm</t>
  </si>
  <si>
    <t xml:space="preserve">PH_RULE_Google_Workspace_2FA_EnforceDisable</t>
  </si>
  <si>
    <t xml:space="preserve">Google Workspace: 2FA Enforcement Disabled for Organization</t>
  </si>
  <si>
    <t xml:space="preserve">https://filestore.fortinet.com/docs.fortinet.com/fsiem/Public_Resource_Access/7_6_0/rules/PH_RULE_Google_Workspace_2FA_EnforceDisable.htm</t>
  </si>
  <si>
    <t xml:space="preserve">PH_RULE_Google_Workspace_2FA_VerifyDisable</t>
  </si>
  <si>
    <t xml:space="preserve">Google Workspace: 2FA Verification Disabled for Organization</t>
  </si>
  <si>
    <t xml:space="preserve">https://filestore.fortinet.com/docs.fortinet.com/fsiem/Public_Resource_Access/7_6_0/rules/PH_RULE_Google_Workspace_2FA_VerifyDisable.htm</t>
  </si>
  <si>
    <t xml:space="preserve">PH_RULE_Google_Workspace_APP_Added</t>
  </si>
  <si>
    <t xml:space="preserve">Google Workspace: Application Added to Domain</t>
  </si>
  <si>
    <t xml:space="preserve">https://filestore.fortinet.com/docs.fortinet.com/fsiem/Public_Resource_Access/7_6_0/rules/PH_RULE_Google_Workspace_APP_Added.htm</t>
  </si>
  <si>
    <t xml:space="preserve">PH_RULE_Google_Workspace_DomainTrustAdded</t>
  </si>
  <si>
    <t xml:space="preserve">Google Workspace: Domain added to Trusted Domains List</t>
  </si>
  <si>
    <t xml:space="preserve">https://filestore.fortinet.com/docs.fortinet.com/fsiem/Public_Resource_Access/7_6_0/rules/PH_RULE_Google_Workspace_DomainTrustAdded.htm</t>
  </si>
  <si>
    <t xml:space="preserve">PH_RULE_Google_Workspace_PW_Mgmt_PolicyChange</t>
  </si>
  <si>
    <t xml:space="preserve">Google Workspace: Password Management Policy Changed</t>
  </si>
  <si>
    <t xml:space="preserve">https://filestore.fortinet.com/docs.fortinet.com/fsiem/Public_Resource_Access/7_6_0/rules/PH_RULE_Google_Workspace_PW_Mgmt_PolicyChange.htm</t>
  </si>
  <si>
    <t xml:space="preserve">PH_RULE_Google_Workspace_RoleDeleted</t>
  </si>
  <si>
    <t xml:space="preserve">Google Workspace: Role Deleted by User</t>
  </si>
  <si>
    <t xml:space="preserve">https://filestore.fortinet.com/docs.fortinet.com/fsiem/Public_Resource_Access/7_6_0/rules/PH_RULE_Google_Workspace_RoleDeleted.htm</t>
  </si>
  <si>
    <t xml:space="preserve">PH_Rule_Flow_6</t>
  </si>
  <si>
    <t xml:space="preserve">Half Open TCP DDOS Attack</t>
  </si>
  <si>
    <t xml:space="preserve">https://filestore.fortinet.com/docs.fortinet.com/fsiem/Public_Resource_Access/7_6_0/rules/PH_RULE_HO_TCP_DDOS_ATTACK.htm</t>
  </si>
  <si>
    <t xml:space="preserve">PH_Rule_Flow_1</t>
  </si>
  <si>
    <t xml:space="preserve">Heavy Half Open TCP Host Scan</t>
  </si>
  <si>
    <t xml:space="preserve">Checkpoint via Syslog or Netflow; Palo Alto via Syslog or Netflow; Cisco IOS via Syslog or Netflow; FortiGate via Syslog or Netflow</t>
  </si>
  <si>
    <t xml:space="preserve">https://filestore.fortinet.com/docs.fortinet.com/fsiem/Public_Resource_Access/7_6_0/rules/PH_RULE_HEAVY_HO_TCP_HOST_SCAN.htm</t>
  </si>
  <si>
    <t xml:space="preserve">PH_Rule_Flow_2</t>
  </si>
  <si>
    <t xml:space="preserve">Heavy Half Open TCP Host Scan On Fixed Port</t>
  </si>
  <si>
    <t xml:space="preserve">https://filestore.fortinet.com/docs.fortinet.com/fsiem/Public_Resource_Access/7_6_0/rules/PH_RULE_HEAVY_HO_TCP_HOST_SCAN_FIXED_PORT.htm</t>
  </si>
  <si>
    <t xml:space="preserve">PH_Rule_Flow_201</t>
  </si>
  <si>
    <t xml:space="preserve">Heavy Half Open TCP Port Scan: Multiple Destinations</t>
  </si>
  <si>
    <t xml:space="preserve">https://filestore.fortinet.com/docs.fortinet.com/fsiem/Public_Resource_Access/7_6_0/rules/PH_RULE_REPEAT_HEAVY_HO_TCP_PORT_SCAN.htm</t>
  </si>
  <si>
    <t xml:space="preserve">PH_Rule_Flow_200</t>
  </si>
  <si>
    <t xml:space="preserve">Heavy Half Open TCP Port Scan: Single Destination</t>
  </si>
  <si>
    <t xml:space="preserve">https://filestore.fortinet.com/docs.fortinet.com/fsiem/Public_Resource_Access/7_6_0/rules/PH_RULE_HEAVY_HO_TCP_PORT_SCAN.htm</t>
  </si>
  <si>
    <t xml:space="preserve">PH_Rule_Flow_5</t>
  </si>
  <si>
    <t xml:space="preserve">Heavy ICMP Ping sweep</t>
  </si>
  <si>
    <t xml:space="preserve">https://filestore.fortinet.com/docs.fortinet.com/fsiem/Public_Resource_Access/7_6_0/rules/PH_RULE_HEAVY_ICMP_PING_SWEEP.htm</t>
  </si>
  <si>
    <t xml:space="preserve">PH_Rule_Flow_1B</t>
  </si>
  <si>
    <t xml:space="preserve">Heavy TCP Host Scan</t>
  </si>
  <si>
    <t xml:space="preserve">https://filestore.fortinet.com/docs.fortinet.com/fsiem/Public_Resource_Access/7_6_0/rules/PH_RULE_HEAVY_TCP_HOST_SCAN.htm</t>
  </si>
  <si>
    <t xml:space="preserve">PH_Rule_Flow_2B</t>
  </si>
  <si>
    <t xml:space="preserve">Heavy TCP Host Scan On Fixed Port</t>
  </si>
  <si>
    <t xml:space="preserve">https://filestore.fortinet.com/docs.fortinet.com/fsiem/Public_Resource_Access/7_6_0/rules/PH_RULE_HEAVY_TCP_HOST_SCAN_FIXED_PORT.htm</t>
  </si>
  <si>
    <t xml:space="preserve">PH_Rule_Flow_201B</t>
  </si>
  <si>
    <t xml:space="preserve">Heavy TCP Port Scan: Multiple Destinations</t>
  </si>
  <si>
    <t xml:space="preserve">https://filestore.fortinet.com/docs.fortinet.com/fsiem/Public_Resource_Access/7_6_0/rules/PH_RULE_REPEAT_HEAVY_TCP_PORT_SCAN.htm</t>
  </si>
  <si>
    <t xml:space="preserve">PH_Rule_Flow_200B</t>
  </si>
  <si>
    <t xml:space="preserve">Heavy TCP Port Scan: Single Destination</t>
  </si>
  <si>
    <t xml:space="preserve">https://filestore.fortinet.com/docs.fortinet.com/fsiem/Public_Resource_Access/7_6_0/rules/PH_RULE_HEAVY_TCP_PORT_SCAN.htm</t>
  </si>
  <si>
    <t xml:space="preserve">PH_Rule_Flow_3</t>
  </si>
  <si>
    <t xml:space="preserve">Heavy UDP Host Scan</t>
  </si>
  <si>
    <t xml:space="preserve">https://filestore.fortinet.com/docs.fortinet.com/fsiem/Public_Resource_Access/7_6_0/rules/PH_RULE_HEAVY_UDP_HOST_SCAN.htm</t>
  </si>
  <si>
    <t xml:space="preserve">PH_Rule_Flow_4</t>
  </si>
  <si>
    <t xml:space="preserve">Heavy UDP Host Scan On Fixed Port</t>
  </si>
  <si>
    <t xml:space="preserve">https://filestore.fortinet.com/docs.fortinet.com/fsiem/Public_Resource_Access/7_6_0/rules/PH_RULE_HEAVY_UDP_HOST_SCAN_FIXED_PORT.htm</t>
  </si>
  <si>
    <t xml:space="preserve">PH_Rule_Flow_203</t>
  </si>
  <si>
    <t xml:space="preserve">Heavy UDP Port Scan: Multiple Hosts</t>
  </si>
  <si>
    <t xml:space="preserve">https://filestore.fortinet.com/docs.fortinet.com/fsiem/Public_Resource_Access/7_6_0/rules/PH_RULE_REPEAT_HEAVY_UDP_PORT_SCAN.htm</t>
  </si>
  <si>
    <t xml:space="preserve">PH_Rule_Flow_202</t>
  </si>
  <si>
    <t xml:space="preserve">Heavy UDP Port Scan: Single Host</t>
  </si>
  <si>
    <t xml:space="preserve">https://filestore.fortinet.com/docs.fortinet.com/fsiem/Public_Resource_Access/7_6_0/rules/PH_RULE_HEAVY_UDP_PORT_SCAN.htm</t>
  </si>
  <si>
    <t xml:space="preserve">PH_Rule_DB_11</t>
  </si>
  <si>
    <t xml:space="preserve">High Oracle Non-System Table Space Usage</t>
  </si>
  <si>
    <t xml:space="preserve">https://filestore.fortinet.com/docs.fortinet.com/fsiem/Public_Resource_Access/7_6_0/rules/PH_RULE_ORADB_NONSYS_TABLESPACE_HIGH.htm</t>
  </si>
  <si>
    <t xml:space="preserve">PH_Rule_DB_10</t>
  </si>
  <si>
    <t xml:space="preserve">High Oracle System Table Space Usage</t>
  </si>
  <si>
    <t xml:space="preserve">https://filestore.fortinet.com/docs.fortinet.com/fsiem/Public_Resource_Access/7_6_0/rules/PH_RULE_ORADB_SYSTEM_TABLESPACE_HIGH.htm</t>
  </si>
  <si>
    <t xml:space="preserve">PH_Rule_Perf_31</t>
  </si>
  <si>
    <t xml:space="preserve">High Process CPU: Network Device</t>
  </si>
  <si>
    <t xml:space="preserve">https://filestore.fortinet.com/docs.fortinet.com/fsiem/Public_Resource_Access/7_6_0/rules/PH_RULE_HIGH_CPU_APPL_NET_DEV.htm</t>
  </si>
  <si>
    <t xml:space="preserve">PH_Rule_Perf_8</t>
  </si>
  <si>
    <t xml:space="preserve">High Process CPU: Server</t>
  </si>
  <si>
    <t xml:space="preserve">Microsoft Windows Performance Monitoring via OMI or Windows Collector; Linux via SNMP</t>
  </si>
  <si>
    <t xml:space="preserve">https://filestore.fortinet.com/docs.fortinet.com/fsiem/Public_Resource_Access/7_6_0/rules/PH_RULE_HIGH_CPU_APPL_SERVER.htm</t>
  </si>
  <si>
    <t xml:space="preserve">PH_Rule_Perf_32</t>
  </si>
  <si>
    <t xml:space="preserve">High Process Memory: Network Device</t>
  </si>
  <si>
    <t xml:space="preserve">https://filestore.fortinet.com/docs.fortinet.com/fsiem/Public_Resource_Access/7_6_0/rules/PH_RULE_HIGH_MEM_APPL_NET_DEV.htm</t>
  </si>
  <si>
    <t xml:space="preserve">PH_Rule_Perf_9</t>
  </si>
  <si>
    <t xml:space="preserve">High Process Memory: Server</t>
  </si>
  <si>
    <t xml:space="preserve">https://filestore.fortinet.com/docs.fortinet.com/fsiem/Public_Resource_Access/7_6_0/rules/PH_RULE_HIGH_MEM_APPL_SERVER.htm</t>
  </si>
  <si>
    <t xml:space="preserve">PH_Rule_IPS_3</t>
  </si>
  <si>
    <t xml:space="preserve">High Risk Rating Cisco IPS Exploit</t>
  </si>
  <si>
    <t xml:space="preserve">https://filestore.fortinet.com/docs.fortinet.com/fsiem/Public_Resource_Access/7_6_0/rules/PH_RULE_HIGH_RR_IPS.htm</t>
  </si>
  <si>
    <t xml:space="preserve">PH_Rule_IPS_6</t>
  </si>
  <si>
    <t xml:space="preserve">High Severity Inbound Denied Security Exploit</t>
  </si>
  <si>
    <t xml:space="preserve">https://filestore.fortinet.com/docs.fortinet.com/fsiem/Public_Resource_Access/7_6_0/rules/PH_RULE_HIGH_SEV_SEC_IPS_IN_DENY.htm</t>
  </si>
  <si>
    <t xml:space="preserve">PH_Rule_IPS_5</t>
  </si>
  <si>
    <t xml:space="preserve">High Severity Inbound Permitted IPS Exploit</t>
  </si>
  <si>
    <t xml:space="preserve">https://filestore.fortinet.com/docs.fortinet.com/fsiem/Public_Resource_Access/7_6_0/rules/PH_RULE_HIGH_SEV_SEC_IPS_IN_PERMIT.htm</t>
  </si>
  <si>
    <t xml:space="preserve">PH_Rule_IPS_12</t>
  </si>
  <si>
    <t xml:space="preserve">High Severity Outbound Denied IPS Exploit</t>
  </si>
  <si>
    <t xml:space="preserve">https://filestore.fortinet.com/docs.fortinet.com/fsiem/Public_Resource_Access/7_6_0/rules/PH_RULE_HIGH_SEV_SEC_IPS_OUT_DENY.htm</t>
  </si>
  <si>
    <t xml:space="preserve">PH_Rule_IPS_4</t>
  </si>
  <si>
    <t xml:space="preserve">High Severity Outbound Permitted IPS Exploit</t>
  </si>
  <si>
    <t xml:space="preserve">https://filestore.fortinet.com/docs.fortinet.com/fsiem/Public_Resource_Access/7_6_0/rules/PH_RULE_HIGH_SEV_SEC_IPS_OUT_PERMIT.htm</t>
  </si>
  <si>
    <t xml:space="preserve">PH_Rule_IPS_14</t>
  </si>
  <si>
    <t xml:space="preserve">High Severity Symantec Host IPS Exploit</t>
  </si>
  <si>
    <t xml:space="preserve">Symantec CIDS</t>
  </si>
  <si>
    <t xml:space="preserve">https://filestore.fortinet.com/docs.fortinet.com/fsiem/Public_Resource_Access/7_6_0/rules/PH_RULE_HIGH_SEV_SYMANTEC_IDS_EXPLOIT.htm</t>
  </si>
  <si>
    <t xml:space="preserve">PH_Rule_IPS_10</t>
  </si>
  <si>
    <t xml:space="preserve">High Severity WLAN Attack</t>
  </si>
  <si>
    <t xml:space="preserve">https://filestore.fortinet.com/docs.fortinet.com/fsiem/Public_Resource_Access/7_6_0/rules/PH_RULE_WLAN_EXPLOIT.htm</t>
  </si>
  <si>
    <t xml:space="preserve">PH_Rule_PolicyViolation_23</t>
  </si>
  <si>
    <t xml:space="preserve">High throughput VPN session</t>
  </si>
  <si>
    <t xml:space="preserve">Cisco ASA VPN Monitoring via SNMP</t>
  </si>
  <si>
    <t xml:space="preserve">https://filestore.fortinet.com/docs.fortinet.com/fsiem/Public_Resource_Access/7_6_0/rules/PH_RULE_HIGH_XPUT_VPN.htm</t>
  </si>
  <si>
    <t xml:space="preserve">PH_Rule_Vuln_37</t>
  </si>
  <si>
    <t xml:space="preserve">Host Quarantined by FortiGate</t>
  </si>
  <si>
    <t xml:space="preserve">https://filestore.fortinet.com/docs.fortinet.com/fsiem/Public_Resource_Access/7_6_0/rules/PH_RULE_HOST_QUARANTINE_NAC.htm</t>
  </si>
  <si>
    <t xml:space="preserve">PH_Rule_PolicyViolation_42</t>
  </si>
  <si>
    <t xml:space="preserve">Host/User risk increased and crossed High threshold</t>
  </si>
  <si>
    <t xml:space="preserve">https://filestore.fortinet.com/docs.fortinet.com/fsiem/Public_Resource_Access/7_6_0/rules/PH_RULE_ENTITY_RISK_INCREASE_HIGH.htm</t>
  </si>
  <si>
    <t xml:space="preserve">PH_Rule_PolicyViolation_41</t>
  </si>
  <si>
    <t xml:space="preserve">Host/User risk increased and crossed Medium threshold</t>
  </si>
  <si>
    <t xml:space="preserve">https://filestore.fortinet.com/docs.fortinet.com/fsiem/Public_Resource_Access/7_6_0/rules/PH_RULE_ENTITY_RISK_INCREASE_MED.htm</t>
  </si>
  <si>
    <t xml:space="preserve">PH_Rule_Environ_5</t>
  </si>
  <si>
    <t xml:space="preserve">HVAC humidity high</t>
  </si>
  <si>
    <t xml:space="preserve">HVAC</t>
  </si>
  <si>
    <t xml:space="preserve">Liebert HVAC Mionitoring via SNMP</t>
  </si>
  <si>
    <t xml:space="preserve">https://filestore.fortinet.com/docs.fortinet.com/fsiem/Public_Resource_Access/7_6_0/rules/PH_RULE_HVAC_TOO_HUMID.htm</t>
  </si>
  <si>
    <t xml:space="preserve">PH_Rule_Environ_6</t>
  </si>
  <si>
    <t xml:space="preserve">HVAC humidity low</t>
  </si>
  <si>
    <t xml:space="preserve">https://filestore.fortinet.com/docs.fortinet.com/fsiem/Public_Resource_Access/7_6_0/rules/PH_RULE_HVAC_TOO_DRY.htm</t>
  </si>
  <si>
    <t xml:space="preserve">PH_Rule_Environ_3</t>
  </si>
  <si>
    <t xml:space="preserve">HVAC temp high</t>
  </si>
  <si>
    <t xml:space="preserve">https://filestore.fortinet.com/docs.fortinet.com/fsiem/Public_Resource_Access/7_6_0/rules/PH_RULE_HVAC_TOO_HOT.htm</t>
  </si>
  <si>
    <t xml:space="preserve">PH_Rule_Environ_4</t>
  </si>
  <si>
    <t xml:space="preserve">HVAC temp low</t>
  </si>
  <si>
    <t xml:space="preserve">https://filestore.fortinet.com/docs.fortinet.com/fsiem/Public_Resource_Access/7_6_0/rules/PH_RULE_HVAC_TOO_COLD.htm</t>
  </si>
  <si>
    <t xml:space="preserve">PH_Rule_Perf_308</t>
  </si>
  <si>
    <t xml:space="preserve">HyperV Disk I/O Warning</t>
  </si>
  <si>
    <t xml:space="preserve">Microsoft HyperV via OMI</t>
  </si>
  <si>
    <t xml:space="preserve">https://filestore.fortinet.com/docs.fortinet.com/fsiem/Public_Resource_Access/7_6_0/rules/PH_RULE_HYPERV_DISK_LATENCY_WARN.htm</t>
  </si>
  <si>
    <t xml:space="preserve">PH_Rule_Perf_309</t>
  </si>
  <si>
    <t xml:space="preserve">HyperV Disk Latency Critical</t>
  </si>
  <si>
    <t xml:space="preserve">https://filestore.fortinet.com/docs.fortinet.com/fsiem/Public_Resource_Access/7_6_0/rules/PH_RULE_HYPERV_DISK_LATENCY_CRIT.htm</t>
  </si>
  <si>
    <t xml:space="preserve">PH_Rule_Perf_301</t>
  </si>
  <si>
    <t xml:space="preserve">HyperV Guest Critical</t>
  </si>
  <si>
    <t xml:space="preserve">https://filestore.fortinet.com/docs.fortinet.com/fsiem/Public_Resource_Access/7_6_0/rules/PH_RULE_HYPERV_GUEST_CRITICAL.htm</t>
  </si>
  <si>
    <t xml:space="preserve">PH_Rule_Perf_304</t>
  </si>
  <si>
    <t xml:space="preserve">HyperV Guest Hypervisor Run Time Percent Warning</t>
  </si>
  <si>
    <t xml:space="preserve">https://filestore.fortinet.com/docs.fortinet.com/fsiem/Public_Resource_Access/7_6_0/rules/PH_RULE_HYPERV_GUEST_HYPERV_RUN_PCT_WARN.htm</t>
  </si>
  <si>
    <t xml:space="preserve">PH_Rule_Perf_303</t>
  </si>
  <si>
    <t xml:space="preserve">HyperV Logical Processor Total Run Time Percent Critical</t>
  </si>
  <si>
    <t xml:space="preserve">https://filestore.fortinet.com/docs.fortinet.com/fsiem/Public_Resource_Access/7_6_0/rules/PH_RULE_HYPERV_LOGIC_CPU_TOT_RUN_PCT_CRIT.htm</t>
  </si>
  <si>
    <t xml:space="preserve">PH_Rule_Perf_302</t>
  </si>
  <si>
    <t xml:space="preserve">HyperV Logical Processor Total Run Time Percent Warning</t>
  </si>
  <si>
    <t xml:space="preserve">https://filestore.fortinet.com/docs.fortinet.com/fsiem/Public_Resource_Access/7_6_0/rules/PH_RULE_HYPERV_LOGIC_CPU_TOT_RUN_PCT_WARN.htm</t>
  </si>
  <si>
    <t xml:space="preserve">PH_Rule_Perf_307</t>
  </si>
  <si>
    <t xml:space="preserve">HyperV Page fault Critical</t>
  </si>
  <si>
    <t xml:space="preserve">https://filestore.fortinet.com/docs.fortinet.com/fsiem/Public_Resource_Access/7_6_0/rules/PH_RULE_HYPERV_PAGE_FAULT_CRIT.htm</t>
  </si>
  <si>
    <t xml:space="preserve">PH_Rule_Perf_306</t>
  </si>
  <si>
    <t xml:space="preserve">HyperV Page fault Warning</t>
  </si>
  <si>
    <t xml:space="preserve">https://filestore.fortinet.com/docs.fortinet.com/fsiem/Public_Resource_Access/7_6_0/rules/PH_RULE_HYPERV_PAGE_FAULT_WARN.htm</t>
  </si>
  <si>
    <t xml:space="preserve">PH_Rule_Perf_305</t>
  </si>
  <si>
    <t xml:space="preserve">HyperV Remaining Guest Memory Warning</t>
  </si>
  <si>
    <t xml:space="preserve">https://filestore.fortinet.com/docs.fortinet.com/fsiem/Public_Resource_Access/7_6_0/rules/PH_RULE_HYPERV_REMAIN_GUEST_MEMORY_WARN.htm</t>
  </si>
  <si>
    <t xml:space="preserve">PH_Rule_Flow_208</t>
  </si>
  <si>
    <t xml:space="preserve">ICMP Flood From Same Source</t>
  </si>
  <si>
    <t xml:space="preserve">https://filestore.fortinet.com/docs.fortinet.com/fsiem/Public_Resource_Access/7_6_0/rules/PH_RULE_EXCESSIVE_ICMP.htm</t>
  </si>
  <si>
    <t xml:space="preserve">PH_RULE_ICS_Activate_Firmware_Update_Mode</t>
  </si>
  <si>
    <t xml:space="preserve">ICS Alert: Activate Firmware Update Mode</t>
  </si>
  <si>
    <t xml:space="preserve">Inhibit Response Function</t>
  </si>
  <si>
    <t xml:space="preserve">https://filestore.fortinet.com/docs.fortinet.com/fsiem/Public_Resource_Access/7_6_0/rules/PH_RULE_ICS_Activate_Firmware_Update_Mode.htm</t>
  </si>
  <si>
    <t xml:space="preserve">PH_RULE_ICS_Alarm_Suppression</t>
  </si>
  <si>
    <t xml:space="preserve">ICS Alert: Alarm Suppression</t>
  </si>
  <si>
    <t xml:space="preserve">https://filestore.fortinet.com/docs.fortinet.com/fsiem/Public_Resource_Access/7_6_0/rules/PH_RULE_ICS_Alarm_Suppression.htm</t>
  </si>
  <si>
    <t xml:space="preserve">PH_RULE_ICS_Automated_Collection</t>
  </si>
  <si>
    <t xml:space="preserve">ICS Alert: Automated Collection</t>
  </si>
  <si>
    <t xml:space="preserve">https://filestore.fortinet.com/docs.fortinet.com/fsiem/Public_Resource_Access/7_6_0/rules/PH_RULE_ICS_Automated_Collection.htm</t>
  </si>
  <si>
    <t xml:space="preserve">PH_RULE_ICS_Block_Reporting_Message</t>
  </si>
  <si>
    <t xml:space="preserve">ICS Alert: Block Reporting Message</t>
  </si>
  <si>
    <t xml:space="preserve">https://filestore.fortinet.com/docs.fortinet.com/fsiem/Public_Resource_Access/7_6_0/rules/PH_RULE_ICS_Block_Reporting_Message.htm</t>
  </si>
  <si>
    <t xml:space="preserve">PH_RULE_ICS_Brute_Force_I_O</t>
  </si>
  <si>
    <t xml:space="preserve">ICS Alert: Brute Force I/O</t>
  </si>
  <si>
    <t xml:space="preserve">Impair Process Control</t>
  </si>
  <si>
    <t xml:space="preserve">https://filestore.fortinet.com/docs.fortinet.com/fsiem/Public_Resource_Access/7_6_0/rules/PH_RULE_ICS_Brute_Force_I_O.htm</t>
  </si>
  <si>
    <t xml:space="preserve">PH_RULE_ICS_Change_Operating_Mode</t>
  </si>
  <si>
    <t xml:space="preserve">ICS Alert: Change Operating Mode</t>
  </si>
  <si>
    <t xml:space="preserve">Execution ICS</t>
  </si>
  <si>
    <t xml:space="preserve">https://filestore.fortinet.com/docs.fortinet.com/fsiem/Public_Resource_Access/7_6_0/rules/PH_RULE_ICS_Change_Operating_Mode.htm</t>
  </si>
  <si>
    <t xml:space="preserve">PH_RULE_ICS_Block_Command_Message</t>
  </si>
  <si>
    <t xml:space="preserve">ICS Alert: Command Blocked</t>
  </si>
  <si>
    <t xml:space="preserve">https://filestore.fortinet.com/docs.fortinet.com/fsiem/Public_Resource_Access/7_6_0/rules/PH_RULE_ICS_Block_Command_Message.htm</t>
  </si>
  <si>
    <t xml:space="preserve">PH_RULE_ICS_Command-Line_Interface</t>
  </si>
  <si>
    <t xml:space="preserve">ICS Alert: Command-Line Interface</t>
  </si>
  <si>
    <t xml:space="preserve">https://filestore.fortinet.com/docs.fortinet.com/fsiem/Public_Resource_Access/7_6_0/rules/PH_RULE_ICS_Command_Line_Interface.htm</t>
  </si>
  <si>
    <t xml:space="preserve">PH_RULE_ICS_Commonly_Used_Port</t>
  </si>
  <si>
    <t xml:space="preserve">ICS Alert: Commonly Used Port</t>
  </si>
  <si>
    <t xml:space="preserve">Command And Control ICS</t>
  </si>
  <si>
    <t xml:space="preserve">https://filestore.fortinet.com/docs.fortinet.com/fsiem/Public_Resource_Access/7_6_0/rules/PH_RULE_ICS_Commonly_Used_Port.htm</t>
  </si>
  <si>
    <t xml:space="preserve">PH_RULE_ICS_Connection_Proxy</t>
  </si>
  <si>
    <t xml:space="preserve">ICS Alert: Connection Proxy</t>
  </si>
  <si>
    <t xml:space="preserve">https://filestore.fortinet.com/docs.fortinet.com/fsiem/Public_Resource_Access/7_6_0/rules/PH_RULE_ICS_Connection_Proxy.htm</t>
  </si>
  <si>
    <t xml:space="preserve">PH_RULE_ICS_Damage_to_Property</t>
  </si>
  <si>
    <t xml:space="preserve">ICS Alert: Damage to Property</t>
  </si>
  <si>
    <t xml:space="preserve">Impact ICS</t>
  </si>
  <si>
    <t xml:space="preserve">https://filestore.fortinet.com/docs.fortinet.com/fsiem/Public_Resource_Access/7_6_0/rules/PH_RULE_ICS_Damage_to_Property.htm</t>
  </si>
  <si>
    <t xml:space="preserve">PH_RULE_ICS_Data_Destruction</t>
  </si>
  <si>
    <t xml:space="preserve">ICS Alert: Data Destruction</t>
  </si>
  <si>
    <t xml:space="preserve">https://filestore.fortinet.com/docs.fortinet.com/fsiem/Public_Resource_Access/7_6_0/rules/PH_RULE_ICS_Data_Destruction.htm</t>
  </si>
  <si>
    <t xml:space="preserve">PH_RULE_ICS_Default_Credentials</t>
  </si>
  <si>
    <t xml:space="preserve">ICS Alert: Default Credentials</t>
  </si>
  <si>
    <t xml:space="preserve">Lateral Movement ICS</t>
  </si>
  <si>
    <t xml:space="preserve">https://filestore.fortinet.com/docs.fortinet.com/fsiem/Public_Resource_Access/7_6_0/rules/PH_RULE_ICS_Default_Credentials.htm</t>
  </si>
  <si>
    <t xml:space="preserve">PH_RULE_ICS_Denial_of_Control</t>
  </si>
  <si>
    <t xml:space="preserve">ICS Alert: Denial of Control</t>
  </si>
  <si>
    <t xml:space="preserve">https://filestore.fortinet.com/docs.fortinet.com/fsiem/Public_Resource_Access/7_6_0/rules/PH_RULE_ICS_Denial_of_Control.htm</t>
  </si>
  <si>
    <t xml:space="preserve">PH_RULE_ICS_Denial_of_Service</t>
  </si>
  <si>
    <t xml:space="preserve">ICS Alert: Denial of Service</t>
  </si>
  <si>
    <t xml:space="preserve">https://filestore.fortinet.com/docs.fortinet.com/fsiem/Public_Resource_Access/7_6_0/rules/PH_RULE_ICS_Denial_of_Service.htm</t>
  </si>
  <si>
    <t xml:space="preserve">PH_RULE_ICS_Denial_of_View</t>
  </si>
  <si>
    <t xml:space="preserve">ICS Alert: Denial of View</t>
  </si>
  <si>
    <t xml:space="preserve">https://filestore.fortinet.com/docs.fortinet.com/fsiem/Public_Resource_Access/7_6_0/rules/PH_RULE_ICS_Denial_of_View.htm</t>
  </si>
  <si>
    <t xml:space="preserve">PH_RULE_ICS_Detect_Operating_Mode</t>
  </si>
  <si>
    <t xml:space="preserve">ICS Alert: Detect Operating Mode</t>
  </si>
  <si>
    <t xml:space="preserve">https://filestore.fortinet.com/docs.fortinet.com/fsiem/Public_Resource_Access/7_6_0/rules/PH_RULE_ICS_Detect_Operating_Mode.htm</t>
  </si>
  <si>
    <t xml:space="preserve">PH_RULE_ICS_Device_Restart_Shutdown</t>
  </si>
  <si>
    <t xml:space="preserve">ICS Alert: Device Restart/Shutdown</t>
  </si>
  <si>
    <t xml:space="preserve">https://filestore.fortinet.com/docs.fortinet.com/fsiem/Public_Resource_Access/7_6_0/rules/PH_RULE_ICS_Device_Restart_Shutdown.htm</t>
  </si>
  <si>
    <t xml:space="preserve">PH_RULE_ICS_Drive-by_Compromise</t>
  </si>
  <si>
    <t xml:space="preserve">ICS Alert: Drive-by Compromise</t>
  </si>
  <si>
    <t xml:space="preserve">https://filestore.fortinet.com/docs.fortinet.com/fsiem/Public_Resource_Access/7_6_0/rules/PH_RULE_ICS_Drive_by_Compromise.htm</t>
  </si>
  <si>
    <t xml:space="preserve">PH_RULE_ICS_Execution_through_API</t>
  </si>
  <si>
    <t xml:space="preserve">ICS Alert: Execution through API</t>
  </si>
  <si>
    <t xml:space="preserve">https://filestore.fortinet.com/docs.fortinet.com/fsiem/Public_Resource_Access/7_6_0/rules/PH_RULE_ICS_Execution_through_API.htm</t>
  </si>
  <si>
    <t xml:space="preserve">PH_RULE_ICS_Exploit_Public-Facing_Application</t>
  </si>
  <si>
    <t xml:space="preserve">ICS Alert: Exploit Public-Facing Application</t>
  </si>
  <si>
    <t xml:space="preserve">https://filestore.fortinet.com/docs.fortinet.com/fsiem/Public_Resource_Access/7_6_0/rules/PH_RULE_ICS_Exploit_Public_Facing_Application.htm</t>
  </si>
  <si>
    <t xml:space="preserve">PH_RULE_ICS_Exploitation_for_Evasion</t>
  </si>
  <si>
    <t xml:space="preserve">ICS Alert: Exploitation for Evasion</t>
  </si>
  <si>
    <t xml:space="preserve">Evasion ICS</t>
  </si>
  <si>
    <t xml:space="preserve">https://filestore.fortinet.com/docs.fortinet.com/fsiem/Public_Resource_Access/7_6_0/rules/PH_RULE_ICS_Exploitation_for_Evasion.htm</t>
  </si>
  <si>
    <t xml:space="preserve">PH_RULE_ICS_Exploitation_for_Privilege_Escalation</t>
  </si>
  <si>
    <t xml:space="preserve">ICS Alert: Exploitation for Privilege Escalation</t>
  </si>
  <si>
    <t xml:space="preserve">Privilege Escalation ICS</t>
  </si>
  <si>
    <t xml:space="preserve">https://filestore.fortinet.com/docs.fortinet.com/fsiem/Public_Resource_Access/7_6_0/rules/PH_RULE_ICS_Exploitation_for_Privilege_Escalation.htm</t>
  </si>
  <si>
    <t xml:space="preserve">PH_RULE_ICS_Exploitation_of_Remote_Services</t>
  </si>
  <si>
    <t xml:space="preserve">ICS Alert: Exploitation of Remote Services</t>
  </si>
  <si>
    <t xml:space="preserve">https://filestore.fortinet.com/docs.fortinet.com/fsiem/Public_Resource_Access/7_6_0/rules/PH_RULE_ICS_Exploitation_of_Remote_Services.htm</t>
  </si>
  <si>
    <t xml:space="preserve">PH_RULE_ICS_External_Remote_Services</t>
  </si>
  <si>
    <t xml:space="preserve">ICS Alert: External Remote Services</t>
  </si>
  <si>
    <t xml:space="preserve">https://filestore.fortinet.com/docs.fortinet.com/fsiem/Public_Resource_Access/7_6_0/rules/PH_RULE_ICS_External_Remote_Services.htm</t>
  </si>
  <si>
    <t xml:space="preserve">PH_RULE_ICS_Graphical_User_Interface</t>
  </si>
  <si>
    <t xml:space="preserve">ICS Alert: Graphical User Interface</t>
  </si>
  <si>
    <t xml:space="preserve">https://filestore.fortinet.com/docs.fortinet.com/fsiem/Public_Resource_Access/7_6_0/rules/PH_RULE_ICS_Graphical_User_Interface.htm</t>
  </si>
  <si>
    <t xml:space="preserve">PH_RULE_ICS_Hooking</t>
  </si>
  <si>
    <t xml:space="preserve">ICS Alert: Hooking</t>
  </si>
  <si>
    <t xml:space="preserve">https://filestore.fortinet.com/docs.fortinet.com/fsiem/Public_Resource_Access/7_6_0/rules/PH_RULE_ICS_Hooking.htm</t>
  </si>
  <si>
    <t xml:space="preserve">PH_RULE_ICS_I_O_Image</t>
  </si>
  <si>
    <t xml:space="preserve">ICS Alert: I/O Image</t>
  </si>
  <si>
    <t xml:space="preserve">https://filestore.fortinet.com/docs.fortinet.com/fsiem/Public_Resource_Access/7_6_0/rules/PH_RULE_ICS_I_O_Image.htm</t>
  </si>
  <si>
    <t xml:space="preserve">PH_RULE_ICS_Indicator_Removal_on_Host</t>
  </si>
  <si>
    <t xml:space="preserve">ICS Alert: Indicator Removal on Host</t>
  </si>
  <si>
    <t xml:space="preserve">https://filestore.fortinet.com/docs.fortinet.com/fsiem/Public_Resource_Access/7_6_0/rules/PH_RULE_ICS_Indicator_Removal_on_Host.htm</t>
  </si>
  <si>
    <t xml:space="preserve">PH_RULE_ICS_Internet_Accessible_Device</t>
  </si>
  <si>
    <t xml:space="preserve">ICS Alert: Internet Accessible Device</t>
  </si>
  <si>
    <t xml:space="preserve">https://filestore.fortinet.com/docs.fortinet.com/fsiem/Public_Resource_Access/7_6_0/rules/PH_RULE_ICS_Internet_Accessible_Device.htm</t>
  </si>
  <si>
    <t xml:space="preserve">PH_RULE_ICS_Lateral_Tool_Transfer</t>
  </si>
  <si>
    <t xml:space="preserve">ICS Alert: Lateral Tool Transfer</t>
  </si>
  <si>
    <t xml:space="preserve">https://filestore.fortinet.com/docs.fortinet.com/fsiem/Public_Resource_Access/7_6_0/rules/PH_RULE_ICS_Lateral_Tool_Transfer.htm</t>
  </si>
  <si>
    <t xml:space="preserve">PH_RULE_ICS_Loss_of_Availability</t>
  </si>
  <si>
    <t xml:space="preserve">ICS Alert: Loss of Availability</t>
  </si>
  <si>
    <t xml:space="preserve">https://filestore.fortinet.com/docs.fortinet.com/fsiem/Public_Resource_Access/7_6_0/rules/PH_RULE_ICS_Loss_of_Availability.htm</t>
  </si>
  <si>
    <t xml:space="preserve">PH_RULE_ICS_Loss_of_Control</t>
  </si>
  <si>
    <t xml:space="preserve">ICS Alert: Loss of Control</t>
  </si>
  <si>
    <t xml:space="preserve">https://filestore.fortinet.com/docs.fortinet.com/fsiem/Public_Resource_Access/7_6_0/rules/PH_RULE_ICS_Loss_of_Control.htm</t>
  </si>
  <si>
    <t xml:space="preserve">PH_RULE_ICS_Loss_of_Productivity_and_Revenue</t>
  </si>
  <si>
    <t xml:space="preserve">ICS Alert: Loss of Productivity and Revenue</t>
  </si>
  <si>
    <t xml:space="preserve">https://filestore.fortinet.com/docs.fortinet.com/fsiem/Public_Resource_Access/7_6_0/rules/PH_RULE_ICS_Loss_of_Productivity_and_Revenue.htm</t>
  </si>
  <si>
    <t xml:space="preserve">PH_RULE_ICS_Loss_of_Protection</t>
  </si>
  <si>
    <t xml:space="preserve">ICS Alert: Loss of Protection</t>
  </si>
  <si>
    <t xml:space="preserve">https://filestore.fortinet.com/docs.fortinet.com/fsiem/Public_Resource_Access/7_6_0/rules/PH_RULE_ICS_Loss_of_Protection.htm</t>
  </si>
  <si>
    <t xml:space="preserve">PH_RULE_ICS_Loss_of_Safety</t>
  </si>
  <si>
    <t xml:space="preserve">ICS Alert: Loss of Safety</t>
  </si>
  <si>
    <t xml:space="preserve">https://filestore.fortinet.com/docs.fortinet.com/fsiem/Public_Resource_Access/7_6_0/rules/PH_RULE_ICS_Loss_of_Safety.htm</t>
  </si>
  <si>
    <t xml:space="preserve">PH_RULE_ICS_Loss_of_View</t>
  </si>
  <si>
    <t xml:space="preserve">ICS Alert: Loss of View</t>
  </si>
  <si>
    <t xml:space="preserve">https://filestore.fortinet.com/docs.fortinet.com/fsiem/Public_Resource_Access/7_6_0/rules/PH_RULE_ICS_Loss_of_View.htm</t>
  </si>
  <si>
    <t xml:space="preserve">PH_RULE_ICS_Man_in_the_Middle</t>
  </si>
  <si>
    <t xml:space="preserve">ICS Alert: Man in the Middle</t>
  </si>
  <si>
    <t xml:space="preserve">https://filestore.fortinet.com/docs.fortinet.com/fsiem/Public_Resource_Access/7_6_0/rules/PH_RULE_ICS_Man_in_the_Middle.htm</t>
  </si>
  <si>
    <t xml:space="preserve">PH_RULE_ICS_Manipulate_I_O_Image</t>
  </si>
  <si>
    <t xml:space="preserve">ICS Alert: Manipulate I/O Image</t>
  </si>
  <si>
    <t xml:space="preserve">https://filestore.fortinet.com/docs.fortinet.com/fsiem/Public_Resource_Access/7_6_0/rules/PH_RULE_ICS_Manipulate_I_O_Image.htm</t>
  </si>
  <si>
    <t xml:space="preserve">PH_RULE_ICS_Manipulation_of_Control</t>
  </si>
  <si>
    <t xml:space="preserve">ICS Alert: Manipulation of Control</t>
  </si>
  <si>
    <t xml:space="preserve">https://filestore.fortinet.com/docs.fortinet.com/fsiem/Public_Resource_Access/7_6_0/rules/PH_RULE_ICS_Manipulation_of_Control.htm</t>
  </si>
  <si>
    <t xml:space="preserve">PH_RULE_ICS_Manipulation_of_View</t>
  </si>
  <si>
    <t xml:space="preserve">ICS Alert: Manipulation of View</t>
  </si>
  <si>
    <t xml:space="preserve">https://filestore.fortinet.com/docs.fortinet.com/fsiem/Public_Resource_Access/7_6_0/rules/PH_RULE_ICS_Manipulation_of_View.htm</t>
  </si>
  <si>
    <t xml:space="preserve">PH_RULE_ICS_Masquerading</t>
  </si>
  <si>
    <t xml:space="preserve">ICS Alert: Masquerading</t>
  </si>
  <si>
    <t xml:space="preserve">https://filestore.fortinet.com/docs.fortinet.com/fsiem/Public_Resource_Access/7_6_0/rules/PH_RULE_ICS_Masquerading.htm</t>
  </si>
  <si>
    <t xml:space="preserve">PH_RULE_ICS_Modify_Alarm_Settings</t>
  </si>
  <si>
    <t xml:space="preserve">ICS Alert: Modify Alarm Settings</t>
  </si>
  <si>
    <t xml:space="preserve">https://filestore.fortinet.com/docs.fortinet.com/fsiem/Public_Resource_Access/7_6_0/rules/PH_RULE_ICS_Modify_Alarm_Settings.htm</t>
  </si>
  <si>
    <t xml:space="preserve">PH_RULE_ICS_Modify_Controller_Tasking</t>
  </si>
  <si>
    <t xml:space="preserve">ICS Alert: Modify Controller Tasking</t>
  </si>
  <si>
    <t xml:space="preserve">https://filestore.fortinet.com/docs.fortinet.com/fsiem/Public_Resource_Access/7_6_0/rules/PH_RULE_ICS_Modify_Controller_Tasking.htm</t>
  </si>
  <si>
    <t xml:space="preserve">PH_RULE_ICS_Modify_Parameter</t>
  </si>
  <si>
    <t xml:space="preserve">ICS Alert: Modify Parameter</t>
  </si>
  <si>
    <t xml:space="preserve">https://filestore.fortinet.com/docs.fortinet.com/fsiem/Public_Resource_Access/7_6_0/rules/PH_RULE_ICS_Modify_Parameter.htm</t>
  </si>
  <si>
    <t xml:space="preserve">PH_RULE_ICS_Modify_Program</t>
  </si>
  <si>
    <t xml:space="preserve">ICS Alert: Modify Program</t>
  </si>
  <si>
    <t xml:space="preserve">Persistence ICS</t>
  </si>
  <si>
    <t xml:space="preserve">https://filestore.fortinet.com/docs.fortinet.com/fsiem/Public_Resource_Access/7_6_0/rules/PH_RULE_ICS_Modify_Program.htm</t>
  </si>
  <si>
    <t xml:space="preserve">PH_RULE_ICS_Module_Firmware</t>
  </si>
  <si>
    <t xml:space="preserve">ICS Alert: Module Firmware</t>
  </si>
  <si>
    <t xml:space="preserve">https://filestore.fortinet.com/docs.fortinet.com/fsiem/Public_Resource_Access/7_6_0/rules/PH_RULE_ICS_Module_Firmware.htm</t>
  </si>
  <si>
    <t xml:space="preserve">PH_RULE_ICS_Monitor_Process_State</t>
  </si>
  <si>
    <t xml:space="preserve">ICS Alert: Monitor Process State</t>
  </si>
  <si>
    <t xml:space="preserve">https://filestore.fortinet.com/docs.fortinet.com/fsiem/Public_Resource_Access/7_6_0/rules/PH_RULE_ICS_Monitor_Process_State.htm</t>
  </si>
  <si>
    <t xml:space="preserve">PH_RULE_ICS_Native_API</t>
  </si>
  <si>
    <t xml:space="preserve">ICS Alert: Native API</t>
  </si>
  <si>
    <t xml:space="preserve">https://filestore.fortinet.com/docs.fortinet.com/fsiem/Public_Resource_Access/7_6_0/rules/PH_RULE_ICS_Native_API.htm</t>
  </si>
  <si>
    <t xml:space="preserve">PH_RULE_ICS_Network_Connection_Enumeration</t>
  </si>
  <si>
    <t xml:space="preserve">ICS Alert: Network Connection Enumeration</t>
  </si>
  <si>
    <t xml:space="preserve">Discovery ICS</t>
  </si>
  <si>
    <t xml:space="preserve">https://filestore.fortinet.com/docs.fortinet.com/fsiem/Public_Resource_Access/7_6_0/rules/PH_RULE_ICS_Network_Connection_Enumeration.htm</t>
  </si>
  <si>
    <t xml:space="preserve">PH_RULE_ICS_Network_Sniffing</t>
  </si>
  <si>
    <t xml:space="preserve">ICS Alert: Network Sniffing</t>
  </si>
  <si>
    <t xml:space="preserve">https://filestore.fortinet.com/docs.fortinet.com/fsiem/Public_Resource_Access/7_6_0/rules/PH_RULE_ICS_Network_Sniffing.htm</t>
  </si>
  <si>
    <t xml:space="preserve">PH_RULE_ICS_Point_Tag_Identification</t>
  </si>
  <si>
    <t xml:space="preserve">ICS Alert: Point Tag Identification</t>
  </si>
  <si>
    <t xml:space="preserve">https://filestore.fortinet.com/docs.fortinet.com/fsiem/Public_Resource_Access/7_6_0/rules/PH_RULE_ICS_Point_Tag_Identification.htm</t>
  </si>
  <si>
    <t xml:space="preserve">PH_RULE_ICS_Program_Download</t>
  </si>
  <si>
    <t xml:space="preserve">ICS Alert: Program Download</t>
  </si>
  <si>
    <t xml:space="preserve">https://filestore.fortinet.com/docs.fortinet.com/fsiem/Public_Resource_Access/7_6_0/rules/PH_RULE_ICS_Program_Download.htm</t>
  </si>
  <si>
    <t xml:space="preserve">PH_RULE_ICS_Program_Upload</t>
  </si>
  <si>
    <t xml:space="preserve">ICS Alert: Program Upload</t>
  </si>
  <si>
    <t xml:space="preserve">https://filestore.fortinet.com/docs.fortinet.com/fsiem/Public_Resource_Access/7_6_0/rules/PH_RULE_ICS_Program_Upload.htm</t>
  </si>
  <si>
    <t xml:space="preserve">PH_RULE_ICS_Project_File_Infection</t>
  </si>
  <si>
    <t xml:space="preserve">ICS Alert: Project File Infection</t>
  </si>
  <si>
    <t xml:space="preserve">https://filestore.fortinet.com/docs.fortinet.com/fsiem/Public_Resource_Access/7_6_0/rules/PH_RULE_ICS_Project_File_Infection.htm</t>
  </si>
  <si>
    <t xml:space="preserve">PH_RULE_ICS_Remote_Services</t>
  </si>
  <si>
    <t xml:space="preserve">ICS Alert: Remote Services</t>
  </si>
  <si>
    <t xml:space="preserve">https://filestore.fortinet.com/docs.fortinet.com/fsiem/Public_Resource_Access/7_6_0/rules/PH_RULE_ICS_Remote_Services.htm</t>
  </si>
  <si>
    <t xml:space="preserve">PH_RULE_ICS_Remote_System_Discovery</t>
  </si>
  <si>
    <t xml:space="preserve">ICS Alert: Remote System Discovery</t>
  </si>
  <si>
    <t xml:space="preserve">https://filestore.fortinet.com/docs.fortinet.com/fsiem/Public_Resource_Access/7_6_0/rules/PH_RULE_ICS_Remote_System_Discovery.htm</t>
  </si>
  <si>
    <t xml:space="preserve">PH_RULE_ICS_Remote_System_Information_Discovery</t>
  </si>
  <si>
    <t xml:space="preserve">ICS Alert: Remote System Information Discovery</t>
  </si>
  <si>
    <t xml:space="preserve">https://filestore.fortinet.com/docs.fortinet.com/fsiem/Public_Resource_Access/7_6_0/rules/PH_RULE_ICS_Remote_System_Information_Discovery.htm</t>
  </si>
  <si>
    <t xml:space="preserve">PH_RULE_ICS_Replication_Through_Removable_Media</t>
  </si>
  <si>
    <t xml:space="preserve">ICS Alert: Replication Through Removable Media</t>
  </si>
  <si>
    <t xml:space="preserve">https://filestore.fortinet.com/docs.fortinet.com/fsiem/Public_Resource_Access/7_6_0/rules/PH_RULE_ICS_Replication_Through_Removable_Media.htm</t>
  </si>
  <si>
    <t xml:space="preserve">PH_RULE_ICS_Rogue_Master</t>
  </si>
  <si>
    <t xml:space="preserve">ICS Alert: Rogue Master</t>
  </si>
  <si>
    <t xml:space="preserve">https://filestore.fortinet.com/docs.fortinet.com/fsiem/Public_Resource_Access/7_6_0/rules/PH_RULE_ICS_Rogue_Master.htm</t>
  </si>
  <si>
    <t xml:space="preserve">PH_RULE_ICS_Rootkit</t>
  </si>
  <si>
    <t xml:space="preserve">ICS Alert: Rootkit</t>
  </si>
  <si>
    <t xml:space="preserve">https://filestore.fortinet.com/docs.fortinet.com/fsiem/Public_Resource_Access/7_6_0/rules/PH_RULE_ICS_Rootkit.htm</t>
  </si>
  <si>
    <t xml:space="preserve">PH_RULE_ICS_Scripting</t>
  </si>
  <si>
    <t xml:space="preserve">ICS Alert: Scripting</t>
  </si>
  <si>
    <t xml:space="preserve">https://filestore.fortinet.com/docs.fortinet.com/fsiem/Public_Resource_Access/7_6_0/rules/PH_RULE_ICS_Scripting.htm</t>
  </si>
  <si>
    <t xml:space="preserve">PH_RULE_ICS_Block_Serial_COM</t>
  </si>
  <si>
    <t xml:space="preserve">ICS Alert: Serial COM Blocked</t>
  </si>
  <si>
    <t xml:space="preserve">https://filestore.fortinet.com/docs.fortinet.com/fsiem/Public_Resource_Access/7_6_0/rules/PH_RULE_ICS_Block_Serial_COM.htm</t>
  </si>
  <si>
    <t xml:space="preserve">PH_RULE_ICS_Service_Stop</t>
  </si>
  <si>
    <t xml:space="preserve">ICS Alert: Service Stop</t>
  </si>
  <si>
    <t xml:space="preserve">https://filestore.fortinet.com/docs.fortinet.com/fsiem/Public_Resource_Access/7_6_0/rules/PH_RULE_ICS_Service_Stop.htm</t>
  </si>
  <si>
    <t xml:space="preserve">PH_RULE_ICS_Spearphishing_Attachment</t>
  </si>
  <si>
    <t xml:space="preserve">ICS Alert: Spearphishing Attachment</t>
  </si>
  <si>
    <t xml:space="preserve">https://filestore.fortinet.com/docs.fortinet.com/fsiem/Public_Resource_Access/7_6_0/rules/PH_RULE_ICS_Spearphishing_Attachment.htm</t>
  </si>
  <si>
    <t xml:space="preserve">PH_RULE_ICS_Spoof_Reporting_Message</t>
  </si>
  <si>
    <t xml:space="preserve">ICS Alert: Spoof Reporting Message</t>
  </si>
  <si>
    <t xml:space="preserve">https://filestore.fortinet.com/docs.fortinet.com/fsiem/Public_Resource_Access/7_6_0/rules/PH_RULE_ICS_Spoof_Reporting_Message.htm</t>
  </si>
  <si>
    <t xml:space="preserve">PH_RULE_ICS_Standard_Application_Layer_Protocol</t>
  </si>
  <si>
    <t xml:space="preserve">ICS Alert: Standard Application Layer Protocol</t>
  </si>
  <si>
    <t xml:space="preserve">https://filestore.fortinet.com/docs.fortinet.com/fsiem/Public_Resource_Access/7_6_0/rules/PH_RULE_ICS_Standard_Application_Layer_Protocol.htm</t>
  </si>
  <si>
    <t xml:space="preserve">PH_RULE_ICS_Supply_Chain_Compromise</t>
  </si>
  <si>
    <t xml:space="preserve">ICS Alert: Supply Chain Compromise</t>
  </si>
  <si>
    <t xml:space="preserve">https://filestore.fortinet.com/docs.fortinet.com/fsiem/Public_Resource_Access/7_6_0/rules/PH_RULE_ICS_Supply_Chain_Compromise.htm</t>
  </si>
  <si>
    <t xml:space="preserve">PH_RULE_ICS_System_Firmware</t>
  </si>
  <si>
    <t xml:space="preserve">ICS Alert: System Firmware</t>
  </si>
  <si>
    <t xml:space="preserve">https://filestore.fortinet.com/docs.fortinet.com/fsiem/Public_Resource_Access/7_6_0/rules/PH_RULE_ICS_System_Firmware.htm</t>
  </si>
  <si>
    <t xml:space="preserve">PH_RULE_ICS_Theft_of_Operational_Information</t>
  </si>
  <si>
    <t xml:space="preserve">ICS Alert: Theft of Operational Information</t>
  </si>
  <si>
    <t xml:space="preserve">https://filestore.fortinet.com/docs.fortinet.com/fsiem/Public_Resource_Access/7_6_0/rules/PH_RULE_ICS_Theft_of_Operational_Information.htm</t>
  </si>
  <si>
    <t xml:space="preserve">PH_RULE_ICS_Transient_Cyber_Asset</t>
  </si>
  <si>
    <t xml:space="preserve">ICS Alert: Transient Cyber Asset</t>
  </si>
  <si>
    <t xml:space="preserve">https://filestore.fortinet.com/docs.fortinet.com/fsiem/Public_Resource_Access/7_6_0/rules/PH_RULE_ICS_Transient_Cyber_Asset.htm</t>
  </si>
  <si>
    <t xml:space="preserve">PH_RULE_ICS_Unauthorized_Command_Message</t>
  </si>
  <si>
    <t xml:space="preserve">ICS Alert: Unauthorized Command Message</t>
  </si>
  <si>
    <t xml:space="preserve">https://filestore.fortinet.com/docs.fortinet.com/fsiem/Public_Resource_Access/7_6_0/rules/PH_RULE_ICS_Unauthorized_Command_Message.htm</t>
  </si>
  <si>
    <t xml:space="preserve">PH_RULE_ICS_User_Execution</t>
  </si>
  <si>
    <t xml:space="preserve">ICS Alert: User Execution</t>
  </si>
  <si>
    <t xml:space="preserve">https://filestore.fortinet.com/docs.fortinet.com/fsiem/Public_Resource_Access/7_6_0/rules/PH_RULE_ICS_User_Execution.htm</t>
  </si>
  <si>
    <t xml:space="preserve">PH_RULE_ICS_Valid_Accounts</t>
  </si>
  <si>
    <t xml:space="preserve">ICS Alert: Valid Accounts</t>
  </si>
  <si>
    <t xml:space="preserve">https://filestore.fortinet.com/docs.fortinet.com/fsiem/Public_Resource_Access/7_6_0/rules/PH_RULE_ICS_Valid_Accounts.htm</t>
  </si>
  <si>
    <t xml:space="preserve">PH_RULE_ICS_Wireless_Compromise</t>
  </si>
  <si>
    <t xml:space="preserve">ICS Alert: Wireless Compromise</t>
  </si>
  <si>
    <t xml:space="preserve">https://filestore.fortinet.com/docs.fortinet.com/fsiem/Public_Resource_Access/7_6_0/rules/PH_RULE_ICS_Wireless_Compromise.htm</t>
  </si>
  <si>
    <t xml:space="preserve">PH_RULE_ICS_Wireless_Sniffing</t>
  </si>
  <si>
    <t xml:space="preserve">ICS Alert: Wireless Sniffing</t>
  </si>
  <si>
    <t xml:space="preserve">https://filestore.fortinet.com/docs.fortinet.com/fsiem/Public_Resource_Access/7_6_0/rules/PH_RULE_ICS_Wireless_Sniffing.htm</t>
  </si>
  <si>
    <t xml:space="preserve">PH_Rule_Perf_IIS_1</t>
  </si>
  <si>
    <t xml:space="preserve">IIS Virtual Memory Critical</t>
  </si>
  <si>
    <t xml:space="preserve">Microsoft IIS Performance Monitoring via OMI or Windows Collector</t>
  </si>
  <si>
    <t xml:space="preserve">https://filestore.fortinet.com/docs.fortinet.com/fsiem/Public_Resource_Access/7_6_0/rules/PH_RULE_APP_IIS_VM_CRIT.htm</t>
  </si>
  <si>
    <t xml:space="preserve">PH_Rule_Avail_15B</t>
  </si>
  <si>
    <t xml:space="preserve">Important process down</t>
  </si>
  <si>
    <t xml:space="preserve">Microsoft Windows Performance Monitoring via OMI or Windows Collector; Linux Performance Monitoring via SNMP or Linux Collector</t>
  </si>
  <si>
    <t xml:space="preserve">https://filestore.fortinet.com/docs.fortinet.com/fsiem/Public_Resource_Access/7_6_0/rules/PH_RULE_IMPORTANT_APP_DOWN.htm</t>
  </si>
  <si>
    <t xml:space="preserve">PH_Rule_Avail_15</t>
  </si>
  <si>
    <t xml:space="preserve">Important process staying Down</t>
  </si>
  <si>
    <t xml:space="preserve">https://filestore.fortinet.com/docs.fortinet.com/fsiem/Public_Resource_Access/7_6_0/rules/PH_RULE_IMPORTANT_APP_STAY_DOWN_IP.htm</t>
  </si>
  <si>
    <t xml:space="preserve">PH_Rule_491_2</t>
  </si>
  <si>
    <t xml:space="preserve">Inbound Incident Integration Error</t>
  </si>
  <si>
    <t xml:space="preserve">https://filestore.fortinet.com/docs.fortinet.com/fsiem/Public_Resource_Access/7_6_0/rules/PH_RULE_INBOUND_INCIDENT_INTEGRATION_ERROR.htm</t>
  </si>
  <si>
    <t xml:space="preserve">PH_Rule_PolicyViolation_27</t>
  </si>
  <si>
    <t xml:space="preserve">Inbound Traffic from Open Proxies</t>
  </si>
  <si>
    <t xml:space="preserve">https://filestore.fortinet.com/docs.fortinet.com/fsiem/Public_Resource_Access/7_6_0/rules/PH_RULE_FROM_OPEN_PROXY.htm</t>
  </si>
  <si>
    <t xml:space="preserve">PH_Rule_PolicyViolation_29</t>
  </si>
  <si>
    <t xml:space="preserve">Inbound Traffic from Tor Network</t>
  </si>
  <si>
    <t xml:space="preserve">https://filestore.fortinet.com/docs.fortinet.com/fsiem/Public_Resource_Access/7_6_0/rules/PH_RULE_FROM_TOR_NETWORK.htm</t>
  </si>
  <si>
    <t xml:space="preserve">PH_Rule_Avail_PH_18</t>
  </si>
  <si>
    <t xml:space="preserve">Incident Notification Error</t>
  </si>
  <si>
    <t xml:space="preserve">https://filestore.fortinet.com/docs.fortinet.com/fsiem/Public_Resource_Access/7_6_0/rules/PH_RULE_SYS_INCIDENT_NOTIF_ERROR.htm</t>
  </si>
  <si>
    <t xml:space="preserve">PH_Rule_IPS_ADV_5</t>
  </si>
  <si>
    <t xml:space="preserve">Info Leak Exploits</t>
  </si>
  <si>
    <t xml:space="preserve">https://filestore.fortinet.com/docs.fortinet.com/fsiem/Public_Resource_Access/7_6_0/rules/PH_RULE_INFO_LEAK_ATTACK.htm</t>
  </si>
  <si>
    <t xml:space="preserve">PH_Rule_Flow_207</t>
  </si>
  <si>
    <t xml:space="preserve">Invalid TCP Flags: High Intensity</t>
  </si>
  <si>
    <t xml:space="preserve">https://filestore.fortinet.com/docs.fortinet.com/fsiem/Public_Resource_Access/7_6_0/rules/PH_RULE_INVALID_TCP_FLAG_HIGH.htm</t>
  </si>
  <si>
    <t xml:space="preserve">PH_Rule_Flow_206</t>
  </si>
  <si>
    <t xml:space="preserve">Invalid TCP Flags: Medium Intensity</t>
  </si>
  <si>
    <t xml:space="preserve">https://filestore.fortinet.com/docs.fortinet.com/fsiem/Public_Resource_Access/7_6_0/rules/PH_RULE_INVALID_TCP_FLAG_MEDIUM.htm</t>
  </si>
  <si>
    <t xml:space="preserve">PH_Rule_Flow_205</t>
  </si>
  <si>
    <t xml:space="preserve">Invalid TCP/UDP Port Traffic</t>
  </si>
  <si>
    <t xml:space="preserve">https://filestore.fortinet.com/docs.fortinet.com/fsiem/Public_Resource_Access/7_6_0/rules/PH_RULE_INVALID_TCP_UDP_PORT.htm</t>
  </si>
  <si>
    <t xml:space="preserve">PH_Rule_Avail_62</t>
  </si>
  <si>
    <t xml:space="preserve">IOS Packet Memory Test Failure</t>
  </si>
  <si>
    <t xml:space="preserve">https://filestore.fortinet.com/docs.fortinet.com/fsiem/Public_Resource_Access/7_6_0/rules/PH_RULE_IOS_PKT_MEM_TEST_FAILURE.htm</t>
  </si>
  <si>
    <t xml:space="preserve">PH_Rule_ADV_18</t>
  </si>
  <si>
    <t xml:space="preserve">IPS/AV Evasion attempts</t>
  </si>
  <si>
    <t xml:space="preserve">https://filestore.fortinet.com/docs.fortinet.com/fsiem/Public_Resource_Access/7_6_0/rules/PH_RULE_EVASION_NIPS.htm</t>
  </si>
  <si>
    <t xml:space="preserve">PH_Rule_IPSLA_2</t>
  </si>
  <si>
    <t xml:space="preserve">IPSLA HTTP Test Failure</t>
  </si>
  <si>
    <t xml:space="preserve">https://filestore.fortinet.com/docs.fortinet.com/fsiem/Public_Resource_Access/7_6_0/rules/PH_RULE_DEGRADED_IPSLA_HTTP.htm</t>
  </si>
  <si>
    <t xml:space="preserve">PH_Rule_PolicyViolation_5</t>
  </si>
  <si>
    <t xml:space="preserve">IRC traffic detected</t>
  </si>
  <si>
    <t xml:space="preserve">https://filestore.fortinet.com/docs.fortinet.com/fsiem/Public_Resource_Access/7_6_0/rules/PH_RULE_IRC_TRAFFIC.htm</t>
  </si>
  <si>
    <t xml:space="preserve">PH_Rule_Perf_250</t>
  </si>
  <si>
    <t xml:space="preserve">Isilon Protocol Latency Critical</t>
  </si>
  <si>
    <t xml:space="preserve">Isilon OneFS Monitoring via SNMP</t>
  </si>
  <si>
    <t xml:space="preserve">https://filestore.fortinet.com/docs.fortinet.com/fsiem/Public_Resource_Access/7_6_0/rules/PH_RULE_ISILON_PROTO_LATENCY_CRIT.htm</t>
  </si>
  <si>
    <t xml:space="preserve">PH_Rule_Flow_212</t>
  </si>
  <si>
    <t xml:space="preserve">Large Inbound Transfer From Outside My Country</t>
  </si>
  <si>
    <t xml:space="preserve">https://filestore.fortinet.com/docs.fortinet.com/fsiem/Public_Resource_Access/7_6_0/rules/PH_RULE_LARGE_INBOUND_XFER_OUTSIDE_COUNTRY.htm</t>
  </si>
  <si>
    <t xml:space="preserve">PH_Rule_Flow_209</t>
  </si>
  <si>
    <t xml:space="preserve">Large Outbound Transfer</t>
  </si>
  <si>
    <t xml:space="preserve">https://filestore.fortinet.com/docs.fortinet.com/fsiem/Public_Resource_Access/7_6_0/rules/PH_RULE_LARGE_OUTBOUND_XFER.htm</t>
  </si>
  <si>
    <t xml:space="preserve">PH_Rule_Flow_211</t>
  </si>
  <si>
    <t xml:space="preserve">Large Outbound Transfer To Outside My Country</t>
  </si>
  <si>
    <t xml:space="preserve">https://filestore.fortinet.com/docs.fortinet.com/fsiem/Public_Resource_Access/7_6_0/rules/PH_RULE_LARGE_OUTBOUND_XFER_OUTSIDE_COUNTRY.htm</t>
  </si>
  <si>
    <t xml:space="preserve">PH_Rule_Avail_PH_21</t>
  </si>
  <si>
    <t xml:space="preserve">Large Supervisor JMS Request Queue</t>
  </si>
  <si>
    <t xml:space="preserve">https://filestore.fortinet.com/docs.fortinet.com/fsiem/Public_Resource_Access/7_6_0/rules/PH_RULE_SYS_LARGE_JMS_REQUEST_QUEUE.htm</t>
  </si>
  <si>
    <t xml:space="preserve">PH_Rule_Avail_PH_22</t>
  </si>
  <si>
    <t xml:space="preserve">Large Supervisor JMS System Queue</t>
  </si>
  <si>
    <t xml:space="preserve">https://filestore.fortinet.com/docs.fortinet.com/fsiem/Public_Resource_Access/7_6_0/rules/PH_RULE_SYS_LARGE_JMS_SYSTEM_QUEUE.htm</t>
  </si>
  <si>
    <t xml:space="preserve">PH_Rule_Avail_PH_19</t>
  </si>
  <si>
    <t xml:space="preserve">Large Worker Input Event Queue</t>
  </si>
  <si>
    <t xml:space="preserve">https://filestore.fortinet.com/docs.fortinet.com/fsiem/Public_Resource_Access/7_6_0/rules/PH_RULE_SYS_LARGE_WORKER_EVENT_QUEUE.htm</t>
  </si>
  <si>
    <t xml:space="preserve">PH_Rule_Avail_PH_20</t>
  </si>
  <si>
    <t xml:space="preserve">Large Worker Input SVN Queue</t>
  </si>
  <si>
    <t xml:space="preserve">https://filestore.fortinet.com/docs.fortinet.com/fsiem/Public_Resource_Access/7_6_0/rules/PH_RULE_SYS_LARGE_WORKER_SVN_QUEUE.htm</t>
  </si>
  <si>
    <t xml:space="preserve">PH_Rule_PolicyViolation_13</t>
  </si>
  <si>
    <t xml:space="preserve">Layer 2 Switch Port Security Violation</t>
  </si>
  <si>
    <t xml:space="preserve">https://filestore.fortinet.com/docs.fortinet.com/fsiem/Public_Resource_Access/7_6_0/rules/PH_RULE_L2_PORT_SEC_VIOLATION.htm</t>
  </si>
  <si>
    <t xml:space="preserve">PH_Rule_Avail_44</t>
  </si>
  <si>
    <t xml:space="preserve">License Issue</t>
  </si>
  <si>
    <t xml:space="preserve">License</t>
  </si>
  <si>
    <t xml:space="preserve">https://filestore.fortinet.com/docs.fortinet.com/fsiem/Public_Resource_Access/7_6_0/rules/PH_RULE_EXT_LICENSE_ISSUE.htm</t>
  </si>
  <si>
    <t xml:space="preserve">PH_Rule_Change_33</t>
  </si>
  <si>
    <t xml:space="preserve">Linux Collector FIM: File Changed From Baseline</t>
  </si>
  <si>
    <t xml:space="preserve">https://filestore.fortinet.com/docs.fortinet.com/fsiem/Public_Resource_Access/7_6_0/rules/PH_RULE_LINUX_AGENT_FILE_BASELINE_CHANGE.htm</t>
  </si>
  <si>
    <t xml:space="preserve">PH_Rule_Change_8</t>
  </si>
  <si>
    <t xml:space="preserve">Linux Collector FIM: File Content Modified</t>
  </si>
  <si>
    <t xml:space="preserve">https://filestore.fortinet.com/docs.fortinet.com/fsiem/Public_Resource_Access/7_6_0/rules/PH_RULE_LINUX_AGENT_FILE_CHANGE.htm</t>
  </si>
  <si>
    <t xml:space="preserve">PH_Rule_Change_27</t>
  </si>
  <si>
    <t xml:space="preserve">Linux Collector FIM: File or Directory Created</t>
  </si>
  <si>
    <t xml:space="preserve">https://filestore.fortinet.com/docs.fortinet.com/fsiem/Public_Resource_Access/7_6_0/rules/PH_RULE_LINUX_AGENT_FILE_CREATE.htm</t>
  </si>
  <si>
    <t xml:space="preserve">PH_Rule_Change_27B</t>
  </si>
  <si>
    <t xml:space="preserve">Linux Collector FIM: File or Directory Deleted</t>
  </si>
  <si>
    <t xml:space="preserve">https://filestore.fortinet.com/docs.fortinet.com/fsiem/Public_Resource_Access/7_6_0/rules/PH_RULE_LINUX_AGENT_FILE_DELETE.htm</t>
  </si>
  <si>
    <t xml:space="preserve">PH_Rule_TH_Linux_5</t>
  </si>
  <si>
    <t xml:space="preserve">Linux: Attempt to Disable CarbonBlack Service</t>
  </si>
  <si>
    <t xml:space="preserve">https://filestore.fortinet.com/docs.fortinet.com/fsiem/Public_Resource_Access/7_6_0/rules/PH_RULE_TH_Linux_disable_carbonblack.htm</t>
  </si>
  <si>
    <t xml:space="preserve">PH_Rule_TH_Linux_4</t>
  </si>
  <si>
    <t xml:space="preserve">Linux: Attempt to Disable Crowdstrike Service</t>
  </si>
  <si>
    <t xml:space="preserve">https://filestore.fortinet.com/docs.fortinet.com/fsiem/Public_Resource_Access/7_6_0/rules/PH_RULE_TH_Linux_disable_crowdstrike.htm</t>
  </si>
  <si>
    <t xml:space="preserve">PH_Rule_TH_Linux_3</t>
  </si>
  <si>
    <t xml:space="preserve">Linux: Attempt to Disable Syslog Service</t>
  </si>
  <si>
    <t xml:space="preserve">https://filestore.fortinet.com/docs.fortinet.com/fsiem/Public_Resource_Access/7_6_0/rules/PH_RULE_TH_Linux_disable_syslog.htm</t>
  </si>
  <si>
    <t xml:space="preserve">PH_Rule_TH_Linux_2</t>
  </si>
  <si>
    <t xml:space="preserve">Linux: Attempts to Disable IPTables or Firewall</t>
  </si>
  <si>
    <t xml:space="preserve">https://filestore.fortinet.com/docs.fortinet.com/fsiem/Public_Resource_Access/7_6_0/rules/PH_RULE_TH_Linux_disable_firewall.htm</t>
  </si>
  <si>
    <t xml:space="preserve">PH_Rule_TH_Linux_6</t>
  </si>
  <si>
    <t xml:space="preserve">Linux: Base16/32/64 Encoding/Decoding Activity</t>
  </si>
  <si>
    <t xml:space="preserve">https://filestore.fortinet.com/docs.fortinet.com/fsiem/Public_Resource_Access/7_6_0/rules/PH_RULE_TH_Linux_base163264_coding.htm</t>
  </si>
  <si>
    <t xml:space="preserve">PH_Rule_TH_Linux_32</t>
  </si>
  <si>
    <t xml:space="preserve">Linux: Clear System Logs</t>
  </si>
  <si>
    <t xml:space="preserve">https://filestore.fortinet.com/docs.fortinet.com/fsiem/Public_Resource_Access/7_6_0/rules/PH_RULE_TH_Linux_clear_log.htm</t>
  </si>
  <si>
    <t xml:space="preserve">PH_Rule_TH_Linux_7</t>
  </si>
  <si>
    <t xml:space="preserve">Linux: Command Line History Deleted</t>
  </si>
  <si>
    <t xml:space="preserve">https://filestore.fortinet.com/docs.fortinet.com/fsiem/Public_Resource_Access/7_6_0/rules/PH_RULE_TH_Linux_delete_command_history.htm</t>
  </si>
  <si>
    <t xml:space="preserve">PH_Rule_TH_EQLLIB_LINUX_17</t>
  </si>
  <si>
    <t xml:space="preserve">Linux: Creation of Kernel Module</t>
  </si>
  <si>
    <t xml:space="preserve">https://filestore.fortinet.com/docs.fortinet.com/fsiem/Public_Resource_Access/7_6_0/rules/PH_RULE_Creation_of_Kernel_Module.htm</t>
  </si>
  <si>
    <t xml:space="preserve">PH_Rule_TH_EQLLIB_LINUX_18</t>
  </si>
  <si>
    <t xml:space="preserve">Linux: Creation or Modification of Systemd Service</t>
  </si>
  <si>
    <t xml:space="preserve">https://filestore.fortinet.com/docs.fortinet.com/fsiem/Public_Resource_Access/7_6_0/rules/PH_RULE_Creation_or_Modification_of_Systemd_Service.htm</t>
  </si>
  <si>
    <t xml:space="preserve">PH_Rule_TH_Linux_11</t>
  </si>
  <si>
    <t xml:space="preserve">Linux: Deobfuscate/Decode Files or Information via hexdump</t>
  </si>
  <si>
    <t xml:space="preserve">https://filestore.fortinet.com/docs.fortinet.com/fsiem/Public_Resource_Access/7_6_0/rules/PH_RULE_TH_Linux_deobfuscate_hexdump.htm</t>
  </si>
  <si>
    <t xml:space="preserve">PH_Rule_TH_EQLLIB_LINUX_4</t>
  </si>
  <si>
    <t xml:space="preserve">Linux: Discovery of Network Environment via Built-in Tools</t>
  </si>
  <si>
    <t xml:space="preserve">https://filestore.fortinet.com/docs.fortinet.com/fsiem/Public_Resource_Access/7_6_0/rules/PH_RULE_Linux_Discovery_of_Network_Environment_via_Built_in_Tools.htm</t>
  </si>
  <si>
    <t xml:space="preserve">PH_Rule_TH_Linux_9</t>
  </si>
  <si>
    <t xml:space="preserve">Linux: File Deletion via Shred</t>
  </si>
  <si>
    <t xml:space="preserve">https://filestore.fortinet.com/docs.fortinet.com/fsiem/Public_Resource_Access/7_6_0/rules/PH_RULE_TH_Linux_file_delete_shred.htm</t>
  </si>
  <si>
    <t xml:space="preserve">PH_Rule_TH_Linux_absolute_dir_10</t>
  </si>
  <si>
    <t xml:space="preserve">Linux: File Permission Modification in Writable Absolute Directory By non-root user</t>
  </si>
  <si>
    <t xml:space="preserve">https://filestore.fortinet.com/docs.fortinet.com/fsiem/Public_Resource_Access/7_6_0/rules/PH_RULE_TH_Linux_file_perm_mod_in_Write_absolute_dir.htm</t>
  </si>
  <si>
    <t xml:space="preserve">PH_Rule_TH_Linux_relative_dir_10</t>
  </si>
  <si>
    <t xml:space="preserve">Linux: File Permission Modification in Writable Relative Directory By non-root user</t>
  </si>
  <si>
    <t xml:space="preserve">https://filestore.fortinet.com/docs.fortinet.com/fsiem/Public_Resource_Access/7_6_0/rules/PH_RULE_TH_Linux_file_perm_mod_in_Write_relative_dir.htm</t>
  </si>
  <si>
    <t xml:space="preserve">PH_Rule_TH_Linux_12</t>
  </si>
  <si>
    <t xml:space="preserve">Linux: Hidden Files and Directories Created</t>
  </si>
  <si>
    <t xml:space="preserve">https://filestore.fortinet.com/docs.fortinet.com/fsiem/Public_Resource_Access/7_6_0/rules/PH_RULE_TH_Linux_create_hidden_file.htm</t>
  </si>
  <si>
    <t xml:space="preserve">PH_Rule_TH_Linux_20</t>
  </si>
  <si>
    <t xml:space="preserve">Linux: Hping Process Activity</t>
  </si>
  <si>
    <t xml:space="preserve">https://filestore.fortinet.com/docs.fortinet.com/fsiem/Public_Resource_Access/7_6_0/rules/PH_RULE_TH_Linux_Hping.htm</t>
  </si>
  <si>
    <t xml:space="preserve">PH_Rule_TH_Linux_18</t>
  </si>
  <si>
    <t xml:space="preserve">Linux: Interactive Terminal Spawned via Perl</t>
  </si>
  <si>
    <t xml:space="preserve">https://filestore.fortinet.com/docs.fortinet.com/fsiem/Public_Resource_Access/7_6_0/rules/PH_RULE_TH_Linux_interactive_shell_perl.htm</t>
  </si>
  <si>
    <t xml:space="preserve">PH_Rule_TH_Linux_19</t>
  </si>
  <si>
    <t xml:space="preserve">Linux: Interactive Terminal Spawned via Python</t>
  </si>
  <si>
    <t xml:space="preserve">https://filestore.fortinet.com/docs.fortinet.com/fsiem/Public_Resource_Access/7_6_0/rules/PH_RULE_TH_Linux_interactive_shell_python.htm</t>
  </si>
  <si>
    <t xml:space="preserve">PH_Rule_TH_EQLLIB_LINUX_13</t>
  </si>
  <si>
    <t xml:space="preserve">Linux: Job Schedule Modification</t>
  </si>
  <si>
    <t xml:space="preserve">https://filestore.fortinet.com/docs.fortinet.com/fsiem/Public_Resource_Access/7_6_0/rules/PH_RULE_Linux_Local_Job_Scheduling_Paths.htm</t>
  </si>
  <si>
    <t xml:space="preserve">PH_Rule_TH_Linux_15</t>
  </si>
  <si>
    <t xml:space="preserve">Linux: Kernel Module Enumeration</t>
  </si>
  <si>
    <t xml:space="preserve">https://filestore.fortinet.com/docs.fortinet.com/fsiem/Public_Resource_Access/7_6_0/rules/PH_RULE_TH_Linux_kernel_module_enumeration.htm</t>
  </si>
  <si>
    <t xml:space="preserve">PH_Rule_TH_Linux_27</t>
  </si>
  <si>
    <t xml:space="preserve">Linux: Kernel Module Modification</t>
  </si>
  <si>
    <t xml:space="preserve">https://filestore.fortinet.com/docs.fortinet.com/fsiem/Public_Resource_Access/7_6_0/rules/PH_RULE_TH_Linux_LKM_mod.htm</t>
  </si>
  <si>
    <t xml:space="preserve">PH_Rule_TH_Linux_13</t>
  </si>
  <si>
    <t xml:space="preserve">Linux: Kernel Module Removed</t>
  </si>
  <si>
    <t xml:space="preserve">https://filestore.fortinet.com/docs.fortinet.com/fsiem/Public_Resource_Access/7_6_0/rules/PH_RULE_TH_Linux_remove_kernel_module.htm</t>
  </si>
  <si>
    <t xml:space="preserve">PH_Rule_TH_Linux_22</t>
  </si>
  <si>
    <t xml:space="preserve">Linux: Mknod Process Activity</t>
  </si>
  <si>
    <t xml:space="preserve">https://filestore.fortinet.com/docs.fortinet.com/fsiem/Public_Resource_Access/7_6_0/rules/PH_RULE_TH_Linux_mknod.htm</t>
  </si>
  <si>
    <t xml:space="preserve">PH_Rule_TH_EQLLIB_LINUX_16</t>
  </si>
  <si>
    <t xml:space="preserve">Linux: Modifications of .bash-profile and .bashrc</t>
  </si>
  <si>
    <t xml:space="preserve">https://filestore.fortinet.com/docs.fortinet.com/fsiem/Public_Resource_Access/7_6_0/rules/PH_RULE_Linux_Modifications_of_bash_profile_and_bashrc.htm</t>
  </si>
  <si>
    <t xml:space="preserve">PH_Rule_TH_Linux_23</t>
  </si>
  <si>
    <t xml:space="preserve">Linux: Netcat Process Activity</t>
  </si>
  <si>
    <t xml:space="preserve">https://filestore.fortinet.com/docs.fortinet.com/fsiem/Public_Resource_Access/7_6_0/rules/PH_RULE_TH_Linux_netcat.htm</t>
  </si>
  <si>
    <t xml:space="preserve">PH_Rule_TH_Linux_24</t>
  </si>
  <si>
    <t xml:space="preserve">Linux: NMAP Process Activity</t>
  </si>
  <si>
    <t xml:space="preserve">Reconnaissance</t>
  </si>
  <si>
    <t xml:space="preserve">https://filestore.fortinet.com/docs.fortinet.com/fsiem/Public_Resource_Access/7_6_0/rules/PH_RULE_TH_Linux_nmap.htm</t>
  </si>
  <si>
    <t xml:space="preserve">PH_Rule_TH_Linux_25</t>
  </si>
  <si>
    <t xml:space="preserve">Linux: Nping Process Activity</t>
  </si>
  <si>
    <t xml:space="preserve">https://filestore.fortinet.com/docs.fortinet.com/fsiem/Public_Resource_Access/7_6_0/rules/PH_RULE_TH_Linux_nping.htm</t>
  </si>
  <si>
    <t xml:space="preserve">PH_Rule_TH_Linux_21</t>
  </si>
  <si>
    <t xml:space="preserve">Linux: Potential DNS Tunneling via Iodine</t>
  </si>
  <si>
    <t xml:space="preserve">https://filestore.fortinet.com/docs.fortinet.com/fsiem/Public_Resource_Access/7_6_0/rules/PH_RULE_TH_Linux_Iodine.htm</t>
  </si>
  <si>
    <t xml:space="preserve">PH_Rule_TH_Linux_28</t>
  </si>
  <si>
    <t xml:space="preserve">Linux: Potential Shell via Web Server</t>
  </si>
  <si>
    <t xml:space="preserve">https://filestore.fortinet.com/docs.fortinet.com/fsiem/Public_Resource_Access/7_6_0/rules/PH_RULE_TH_Linux_Shell_WebServer.htm</t>
  </si>
  <si>
    <t xml:space="preserve">PH_Rule_TH_EQLLIB_LINUX_7</t>
  </si>
  <si>
    <t xml:space="preserve">Linux: Process Discovery via Built-In Applications</t>
  </si>
  <si>
    <t xml:space="preserve">https://filestore.fortinet.com/docs.fortinet.com/fsiem/Public_Resource_Access/7_6_0/rules/PH_RULE_Linux_Process_Discovery_via_Built_In_Applications.htm</t>
  </si>
  <si>
    <t xml:space="preserve">PH_Rule_TH_EQLLIB_LINUX_3</t>
  </si>
  <si>
    <t xml:space="preserve">Linux: Processes with Trailing Spaces</t>
  </si>
  <si>
    <t xml:space="preserve">https://filestore.fortinet.com/docs.fortinet.com/fsiem/Public_Resource_Access/7_6_0/rules/PH_RULE_Linux_Processes_with_Trailing_Spaces.htm</t>
  </si>
  <si>
    <t xml:space="preserve">PH_Rule_TH_EQLLIB_LINUX_14</t>
  </si>
  <si>
    <t xml:space="preserve">Linux: Scheduled Job Execution</t>
  </si>
  <si>
    <t xml:space="preserve">https://filestore.fortinet.com/docs.fortinet.com/fsiem/Public_Resource_Access/7_6_0/rules/PH_RULE_Linux_Local_Job_Scheduling_Process.htm</t>
  </si>
  <si>
    <t xml:space="preserve">PH_Rule_TH_Linux_8</t>
  </si>
  <si>
    <t xml:space="preserve">Linux: SELinux Disabled</t>
  </si>
  <si>
    <t xml:space="preserve">https://filestore.fortinet.com/docs.fortinet.com/fsiem/Public_Resource_Access/7_6_0/rules/PH_RULE_TH_Linux_disable_SELinux.htm</t>
  </si>
  <si>
    <t xml:space="preserve">PH_Rule_TH_Linux_33</t>
  </si>
  <si>
    <t xml:space="preserve">Linux: socat Process Activity</t>
  </si>
  <si>
    <t xml:space="preserve">https://filestore.fortinet.com/docs.fortinet.com/fsiem/Public_Resource_Access/7_6_0/rules/PH_RULE_TH_Linux_socat_activity.htm</t>
  </si>
  <si>
    <t xml:space="preserve">PH_Rule_TH_Linux_34</t>
  </si>
  <si>
    <t xml:space="preserve">Linux: strace Process Activity</t>
  </si>
  <si>
    <t xml:space="preserve">https://filestore.fortinet.com/docs.fortinet.com/fsiem/Public_Resource_Access/7_6_0/rules/PH_RULE_TH_Linux_strace_activity.htm</t>
  </si>
  <si>
    <t xml:space="preserve">PH_Rule_TH_EQLLIB_LINUX_6</t>
  </si>
  <si>
    <t xml:space="preserve">Linux: System Network Connections Discovery</t>
  </si>
  <si>
    <t xml:space="preserve">https://filestore.fortinet.com/docs.fortinet.com/fsiem/Public_Resource_Access/7_6_0/rules/PH_RULE_Linux_System_Network_Connections_Discovery.htm</t>
  </si>
  <si>
    <t xml:space="preserve">PH_Rule_TH_Linux_14</t>
  </si>
  <si>
    <t xml:space="preserve">Linux: Timestomping using Touch Command</t>
  </si>
  <si>
    <t xml:space="preserve">https://filestore.fortinet.com/docs.fortinet.com/fsiem/Public_Resource_Access/7_6_0/rules/PH_RULE_TH_Linux_timestomping.htm</t>
  </si>
  <si>
    <t xml:space="preserve">PH_Rule_TH_Linux_26</t>
  </si>
  <si>
    <t xml:space="preserve">Linux: Unusual Process Execution from Temp</t>
  </si>
  <si>
    <t xml:space="preserve">https://filestore.fortinet.com/docs.fortinet.com/fsiem/Public_Resource_Access/7_6_0/rules/PH_RULE_TH_Linux_process_exec_temp.htm</t>
  </si>
  <si>
    <t xml:space="preserve">PH_Rule_TH_Linux_17</t>
  </si>
  <si>
    <t xml:space="preserve">Linux: User Discovery via Whoami</t>
  </si>
  <si>
    <t xml:space="preserve">https://filestore.fortinet.com/docs.fortinet.com/fsiem/Public_Resource_Access/7_6_0/rules/PH_RULE_TH_Linux_whoami.htm</t>
  </si>
  <si>
    <t xml:space="preserve">PH_Rule_TH_Linux_16</t>
  </si>
  <si>
    <t xml:space="preserve">Linux: Virtual Machine Fingerprinting By non-root User</t>
  </si>
  <si>
    <t xml:space="preserve">https://filestore.fortinet.com/docs.fortinet.com/fsiem/Public_Resource_Access/7_6_0/rules/PH_RULE_TH_Linux_VM_fingerprinting.htm</t>
  </si>
  <si>
    <t xml:space="preserve">FortiProxy via Syslog; FortiGate via Syslog</t>
  </si>
  <si>
    <t xml:space="preserve">PH_Rule_PolicyViolation_22</t>
  </si>
  <si>
    <t xml:space="preserve">Long lasting VPN session</t>
  </si>
  <si>
    <t xml:space="preserve">https://filestore.fortinet.com/docs.fortinet.com/fsiem/Public_Resource_Access/7_6_0/rules/PH_RULE_LONG_LASTING_VPN.htm</t>
  </si>
  <si>
    <t xml:space="preserve">PH_Rule_ML_1</t>
  </si>
  <si>
    <t xml:space="preserve">Machine Learning Anomaly Detected</t>
  </si>
  <si>
    <t xml:space="preserve">FortiSIEM Machine Learning based Detecion</t>
  </si>
  <si>
    <t xml:space="preserve">https://filestore.fortinet.com/docs.fortinet.com/fsiem/Public_Resource_Access/7_6_0/rules/PH_RULE_ML_ANOMALY.htm</t>
  </si>
  <si>
    <t xml:space="preserve">PH_Rule_Avail_47</t>
  </si>
  <si>
    <t xml:space="preserve">Mail Hard Bounce Delivery Failures</t>
  </si>
  <si>
    <t xml:space="preserve">https://filestore.fortinet.com/docs.fortinet.com/fsiem/Public_Resource_Access/7_6_0/rules/PH_RULE_MAIL_DELIVERY_ERROR.htm</t>
  </si>
  <si>
    <t xml:space="preserve">PH_Rule_TH_5</t>
  </si>
  <si>
    <t xml:space="preserve">Malicious PowerShell Tool: PSAttack Detected</t>
  </si>
  <si>
    <t xml:space="preserve">https://filestore.fortinet.com/docs.fortinet.com/fsiem/Public_Resource_Access/7_6_0/rules/PH_RULE_WIN_POWERSHELL_PSATTACK.htm</t>
  </si>
  <si>
    <t xml:space="preserve">PH_Rule_Vuln_2</t>
  </si>
  <si>
    <t xml:space="preserve">Malware found but not remediated</t>
  </si>
  <si>
    <t xml:space="preserve">Crowdstrike via FALCON_STREAMING_API or FALCON_DATA_REPLICATOR; Cisco FireAMP via FIREAMP_CLOUD_API or ESTREAMER_SDK; Palo Alto Traps Endpoint Security Manager via Syslog; Microsoft Defender for Endpoint via HTTPS_ADVANCED; Symantec Endpoint Protection Service via Syslog; Carbon Black Security Platform via Syslog; Cylance Protect via Syslog; SentinelOne via Syslog; FortiProxy via Syslog; FortiGate via Syslog; FortiEDR via Syslog; FortiEMS via Syslog</t>
  </si>
  <si>
    <t xml:space="preserve">https://filestore.fortinet.com/docs.fortinet.com/fsiem/Public_Resource_Access/7_6_0/rules/PH_RULE_MALWARE_NON_REMEDY.htm</t>
  </si>
  <si>
    <t xml:space="preserve">PH_Rule_Vuln_2B</t>
  </si>
  <si>
    <t xml:space="preserve">Malware found by firewall but not remediated</t>
  </si>
  <si>
    <t xml:space="preserve">https://filestore.fortinet.com/docs.fortinet.com/fsiem/Public_Resource_Access/7_6_0/rules/PH_RULE_VIRUS_BY_FIREWALL_NON_REMEDY.htm</t>
  </si>
  <si>
    <t xml:space="preserve">PH_Rule_Vuln_35</t>
  </si>
  <si>
    <t xml:space="preserve">Malware found in mail</t>
  </si>
  <si>
    <t xml:space="preserve">Mimecast via MIMECAST_API; FortiMail via Syslog</t>
  </si>
  <si>
    <t xml:space="preserve">https://filestore.fortinet.com/docs.fortinet.com/fsiem/Public_Resource_Access/7_6_0/rules/PH_RULE_MAIL_VIRUS.htm</t>
  </si>
  <si>
    <t xml:space="preserve">PH_Rule_Vuln_23</t>
  </si>
  <si>
    <t xml:space="preserve">Malware hash match</t>
  </si>
  <si>
    <t xml:space="preserve">https://filestore.fortinet.com/docs.fortinet.com/fsiem/Public_Resource_Access/7_6_0/rules/PH_RULE_AO_MALWARE_HASH_MATCH.htm</t>
  </si>
  <si>
    <t xml:space="preserve">PH_Rule_Avail_51</t>
  </si>
  <si>
    <t xml:space="preserve">Manual Service Started</t>
  </si>
  <si>
    <t xml:space="preserve">Server</t>
  </si>
  <si>
    <t xml:space="preserve">https://filestore.fortinet.com/docs.fortinet.com/fsiem/Public_Resource_Access/7_6_0/rules/PH_RULE_MANUAL_SRVC_START.htm</t>
  </si>
  <si>
    <t xml:space="preserve">PH_Rule_Trap_10</t>
  </si>
  <si>
    <t xml:space="preserve">Meraki Device Cellular Connection Disconnected</t>
  </si>
  <si>
    <t xml:space="preserve">https://filestore.fortinet.com/docs.fortinet.com/fsiem/Public_Resource_Access/7_6_0/rules/PH_RULE_MERAKI_CELLULAR_DISCONNECTED.htm</t>
  </si>
  <si>
    <t xml:space="preserve">PH_Rule_Trap_9</t>
  </si>
  <si>
    <t xml:space="preserve">Meraki Device Down</t>
  </si>
  <si>
    <t xml:space="preserve">https://filestore.fortinet.com/docs.fortinet.com/fsiem/Public_Resource_Access/7_6_0/rules/PH_RULE_MERAKI_DEVICE_DOWN.htm</t>
  </si>
  <si>
    <t xml:space="preserve">PH_Rule_Trap_11</t>
  </si>
  <si>
    <t xml:space="preserve">Meraki Device Interface Down</t>
  </si>
  <si>
    <t xml:space="preserve">https://filestore.fortinet.com/docs.fortinet.com/fsiem/Public_Resource_Access/7_6_0/rules/PH_RULE_MERAKI_INTF_DOWN.htm</t>
  </si>
  <si>
    <t xml:space="preserve">PH_Rule_Trap_20</t>
  </si>
  <si>
    <t xml:space="preserve">Meraki Device IP Conflict</t>
  </si>
  <si>
    <t xml:space="preserve">https://filestore.fortinet.com/docs.fortinet.com/fsiem/Public_Resource_Access/7_6_0/rules/PH_RULE_MERAKI_IP_CONFLICT.htm</t>
  </si>
  <si>
    <t xml:space="preserve">PH_Rule_Trap_19</t>
  </si>
  <si>
    <t xml:space="preserve">Meraki Device Port Cable Error</t>
  </si>
  <si>
    <t xml:space="preserve">https://filestore.fortinet.com/docs.fortinet.com/fsiem/Public_Resource_Access/7_6_0/rules/PH_RULE_MERAKI_PORT_CABLE_ERROR.htm</t>
  </si>
  <si>
    <t xml:space="preserve">PH_Rule_Trap_12</t>
  </si>
  <si>
    <t xml:space="preserve">Meraki Device VPN Connectivity Down</t>
  </si>
  <si>
    <t xml:space="preserve">https://filestore.fortinet.com/docs.fortinet.com/fsiem/Public_Resource_Access/7_6_0/rules/PH_RULE_MERAKI_VPN_DOWN.htm</t>
  </si>
  <si>
    <t xml:space="preserve">PH_Rule_Trap_13</t>
  </si>
  <si>
    <t xml:space="preserve">Meraki Foreign AP Detected</t>
  </si>
  <si>
    <t xml:space="preserve">https://filestore.fortinet.com/docs.fortinet.com/fsiem/Public_Resource_Access/7_6_0/rules/PH_RULE_MERAKI_FOREIGN_AP.htm</t>
  </si>
  <si>
    <t xml:space="preserve">PH_Rule_Trap_14</t>
  </si>
  <si>
    <t xml:space="preserve">Meraki New DHCP Server</t>
  </si>
  <si>
    <t xml:space="preserve">https://filestore.fortinet.com/docs.fortinet.com/fsiem/Public_Resource_Access/7_6_0/rules/PH_RULE_MERAKI_NEW_DHCP_SERVER.htm</t>
  </si>
  <si>
    <t xml:space="preserve">PH_Rule_Trap_22</t>
  </si>
  <si>
    <t xml:space="preserve">Meraki No DHCP lease</t>
  </si>
  <si>
    <t xml:space="preserve">https://filestore.fortinet.com/docs.fortinet.com/fsiem/Public_Resource_Access/7_6_0/rules/PH_RULE_MERAKI_NO_DHCP_LEASE.htm</t>
  </si>
  <si>
    <t xml:space="preserve">PH_Rule_Trap_16</t>
  </si>
  <si>
    <t xml:space="preserve">Meraki Rogue DHCP Server</t>
  </si>
  <si>
    <t xml:space="preserve">https://filestore.fortinet.com/docs.fortinet.com/fsiem/Public_Resource_Access/7_6_0/rules/PH_RULE_MERAKI_ROGUE_DHCP_SERVER.htm</t>
  </si>
  <si>
    <t xml:space="preserve">PH_Rule_Trap_18</t>
  </si>
  <si>
    <t xml:space="preserve">Meraki Unreachable Device</t>
  </si>
  <si>
    <t xml:space="preserve">https://filestore.fortinet.com/docs.fortinet.com/fsiem/Public_Resource_Access/7_6_0/rules/PH_RULE_MERAKI_UNREACHABLE_DEVICES.htm</t>
  </si>
  <si>
    <t xml:space="preserve">PH_Rule_Trap_21</t>
  </si>
  <si>
    <t xml:space="preserve">Meraki Unreachable RADIUS Server</t>
  </si>
  <si>
    <t xml:space="preserve">https://filestore.fortinet.com/docs.fortinet.com/fsiem/Public_Resource_Access/7_6_0/rules/PH_RULE_MERAKI_UNREACHABLE_RADIUS_SERVER.htm</t>
  </si>
  <si>
    <t xml:space="preserve">PH_Rule_Trap_17</t>
  </si>
  <si>
    <t xml:space="preserve">Meraki VPN Failover</t>
  </si>
  <si>
    <t xml:space="preserve">https://filestore.fortinet.com/docs.fortinet.com/fsiem/Public_Resource_Access/7_6_0/rules/PH_RULE_MERAKI_VPN_FAILOVER.htm</t>
  </si>
  <si>
    <t xml:space="preserve">PH_Rule_MicrosoftATA_SecurityAlert_1</t>
  </si>
  <si>
    <t xml:space="preserve">Microsoft ATA Center: Security Alert Triggered</t>
  </si>
  <si>
    <t xml:space="preserve">Microsoft Defender</t>
  </si>
  <si>
    <t xml:space="preserve">https://filestore.fortinet.com/docs.fortinet.com/fsiem/Public_Resource_Access/7_6_0/rules/PH_Rule_MicrosoftATA_SecurityAlert_1.htm</t>
  </si>
  <si>
    <t xml:space="preserve">PH_Rule_Avail_55</t>
  </si>
  <si>
    <t xml:space="preserve">Microsoft SQL Server Instance Down</t>
  </si>
  <si>
    <t xml:space="preserve">https://filestore.fortinet.com/docs.fortinet.com/fsiem/Public_Resource_Access/7_6_0/rules/PH_RULE_MSSQL_DOWN.htm</t>
  </si>
  <si>
    <t xml:space="preserve">PH_RULE_MIMECAST_MaliciousURLClick</t>
  </si>
  <si>
    <t xml:space="preserve">Mimecast: User clicked malicious link in email</t>
  </si>
  <si>
    <t xml:space="preserve">Mimecast via MIMECAST_API</t>
  </si>
  <si>
    <t xml:space="preserve">https://filestore.fortinet.com/docs.fortinet.com/fsiem/Public_Resource_Access/7_6_0/rules/PH_RULE_MIMECAST_MaliciousURLClick.htm</t>
  </si>
  <si>
    <t xml:space="preserve">PH_Rule_Avail_PH_16G</t>
  </si>
  <si>
    <t xml:space="preserve">Missing specific performance metric from a device</t>
  </si>
  <si>
    <t xml:space="preserve">https://filestore.fortinet.com/docs.fortinet.com/fsiem/Public_Resource_Access/7_6_0/rules/PH_RULE_MISSING_SPECIFIC_PERFMON_FROM_DEVICE.htm</t>
  </si>
  <si>
    <t xml:space="preserve">PH_Rule_TH_EQLLIB_LINUX_2</t>
  </si>
  <si>
    <t xml:space="preserve">Modification of ld.so.preload</t>
  </si>
  <si>
    <t xml:space="preserve">https://filestore.fortinet.com/docs.fortinet.com/fsiem/Public_Resource_Access/7_6_0/rules/PH_RULE_Modification_of_ld_so_preload.htm</t>
  </si>
  <si>
    <t xml:space="preserve">PH_RULE_MS_DefenderXDR_Alert_Collection_High</t>
  </si>
  <si>
    <t xml:space="preserve">MS Defender XDR: High Severity Collection Alert</t>
  </si>
  <si>
    <t xml:space="preserve">Microsoft Defender XDR via HTTPS_ADVANCED (Graph API); Microsoft Azure Event Hub via AZURE_PYTHON_SDK</t>
  </si>
  <si>
    <t xml:space="preserve">https://filestore.fortinet.com/docs.fortinet.com/fsiem/Public_Resource_Access/7_6_0/rules/PH_RULE_MS_DefenderXDR_Alert_Collection_High.htm</t>
  </si>
  <si>
    <t xml:space="preserve">PH_RULE_MS_DefenderXDR_Alert_CommandandControl_High</t>
  </si>
  <si>
    <t xml:space="preserve">MS Defender XDR: High Severity Command and Control Alert</t>
  </si>
  <si>
    <t xml:space="preserve">https://filestore.fortinet.com/docs.fortinet.com/fsiem/Public_Resource_Access/7_6_0/rules/PH_RULE_MS_DefenderXDR_Alert_CommandandControl_High.htm</t>
  </si>
  <si>
    <t xml:space="preserve">PH_RULE_MS_DefenderXDR_Alert_DefenseEvasion_High</t>
  </si>
  <si>
    <t xml:space="preserve">MS Defender XDR: High Severity Defense Evasion Alert</t>
  </si>
  <si>
    <t xml:space="preserve">https://filestore.fortinet.com/docs.fortinet.com/fsiem/Public_Resource_Access/7_6_0/rules/PH_RULE_MS_DefenderXDR_Alert_DefenseEvasion_High.htm</t>
  </si>
  <si>
    <t xml:space="preserve">PH_RULE_MS_DefenderXDR_Alert_Discovery_High</t>
  </si>
  <si>
    <t xml:space="preserve">MS Defender XDR: High Severity Discovery Alert</t>
  </si>
  <si>
    <t xml:space="preserve">https://filestore.fortinet.com/docs.fortinet.com/fsiem/Public_Resource_Access/7_6_0/rules/PH_RULE_MS_DefenderXDR_Alert_Discovery_High.htm</t>
  </si>
  <si>
    <t xml:space="preserve">PH_RULE_MS_DefenderXDR_Alert_Execution_High</t>
  </si>
  <si>
    <t xml:space="preserve">MS Defender XDR: High Severity Execution Alert</t>
  </si>
  <si>
    <t xml:space="preserve">https://filestore.fortinet.com/docs.fortinet.com/fsiem/Public_Resource_Access/7_6_0/rules/PH_RULE_MS_DefenderXDR_Alert_Execution_High.htm</t>
  </si>
  <si>
    <t xml:space="preserve">PH_RULE_MS_DefenderXDR_Alert_Exfiltration_High</t>
  </si>
  <si>
    <t xml:space="preserve">MS Defender XDR: High Severity Exfiltration Alert</t>
  </si>
  <si>
    <t xml:space="preserve">https://filestore.fortinet.com/docs.fortinet.com/fsiem/Public_Resource_Access/7_6_0/rules/PH_RULE_MS_DefenderXDR_Alert_Exfiltration_High.htm</t>
  </si>
  <si>
    <t xml:space="preserve">PH_RULE_MS_DefenderXDR_Alert_Impact_High</t>
  </si>
  <si>
    <t xml:space="preserve">MS Defender XDR: High Severity Impact Alert</t>
  </si>
  <si>
    <t xml:space="preserve">https://filestore.fortinet.com/docs.fortinet.com/fsiem/Public_Resource_Access/7_6_0/rules/PH_RULE_MS_DefenderXDR_Alert_Impact_High.htm</t>
  </si>
  <si>
    <t xml:space="preserve">PH_RULE_MS_DefenderXDR_Incident_High</t>
  </si>
  <si>
    <t xml:space="preserve">MS Defender XDR: High Severity Incident Detected</t>
  </si>
  <si>
    <t xml:space="preserve">https://filestore.fortinet.com/docs.fortinet.com/fsiem/Public_Resource_Access/7_6_0/rules/PH_RULE_MS_DefenderXDR_Incident_High.htm</t>
  </si>
  <si>
    <t xml:space="preserve">PH_RULE_MS_DefenderXDR_Alert_InitialAccess_High</t>
  </si>
  <si>
    <t xml:space="preserve">MS Defender XDR: High Severity Initial Access Alert</t>
  </si>
  <si>
    <t xml:space="preserve">https://filestore.fortinet.com/docs.fortinet.com/fsiem/Public_Resource_Access/7_6_0/rules/PH_RULE_MS_DefenderXDR_Alert_InitialAccess_High.htm</t>
  </si>
  <si>
    <t xml:space="preserve">PH_RULE_MS_DefenderXDR_Alert_Malware_High</t>
  </si>
  <si>
    <t xml:space="preserve">MS Defender XDR: High Severity Malware Alert</t>
  </si>
  <si>
    <t xml:space="preserve">https://filestore.fortinet.com/docs.fortinet.com/fsiem/Public_Resource_Access/7_6_0/rules/PH_RULE_MS_DefenderXDR_Alert_Malware_High.htm</t>
  </si>
  <si>
    <t xml:space="preserve">PH_RULE_MS_DefenderXDR_Alert_Persistence_High</t>
  </si>
  <si>
    <t xml:space="preserve">MS Defender XDR: High Severity Persistence Alert</t>
  </si>
  <si>
    <t xml:space="preserve">https://filestore.fortinet.com/docs.fortinet.com/fsiem/Public_Resource_Access/7_6_0/rules/PH_RULE_MS_DefenderXDR_Alert_Persistence_High.htm</t>
  </si>
  <si>
    <t xml:space="preserve">PH_RULE_MS_DefenderXDR_Alert_Reconnaissance_High</t>
  </si>
  <si>
    <t xml:space="preserve">MS Defender XDR: High Severity Reconnaissance Alert</t>
  </si>
  <si>
    <t xml:space="preserve">https://filestore.fortinet.com/docs.fortinet.com/fsiem/Public_Resource_Access/7_6_0/rules/PH_RULE_MS_DefenderXDR_Alert_Reconnaissance_High.htm</t>
  </si>
  <si>
    <t xml:space="preserve">PH_RULE_MS_DefenderXDR_Alert_ResourceDevelopment_High</t>
  </si>
  <si>
    <t xml:space="preserve">MS Defender XDR: High Severity Resource Development Alert</t>
  </si>
  <si>
    <t xml:space="preserve">https://filestore.fortinet.com/docs.fortinet.com/fsiem/Public_Resource_Access/7_6_0/rules/PH_RULE_MS_DefenderXDR_Alert_ResourceDevelopment_High.htm</t>
  </si>
  <si>
    <t xml:space="preserve">PH_RULE_MS_DefenderXDR_Alert_Collection_Medium</t>
  </si>
  <si>
    <t xml:space="preserve">MS Defender XDR: Medium Severity Collection Alert</t>
  </si>
  <si>
    <t xml:space="preserve">https://filestore.fortinet.com/docs.fortinet.com/fsiem/Public_Resource_Access/7_6_0/rules/PH_RULE_MS_DefenderXDR_Alert_Collection_Medium.htm</t>
  </si>
  <si>
    <t xml:space="preserve">PH_RULE_MS_DefenderXDR_Alert_CommandandControl_Medium</t>
  </si>
  <si>
    <t xml:space="preserve">MS Defender XDR: Medium Severity Command and Control Alert</t>
  </si>
  <si>
    <t xml:space="preserve">https://filestore.fortinet.com/docs.fortinet.com/fsiem/Public_Resource_Access/7_6_0/rules/PH_RULE_MS_DefenderXDR_Alert_CommandandControl_Medium.htm</t>
  </si>
  <si>
    <t xml:space="preserve">PH_RULE_MS_DefenderXDR_Alert_DefenseEvasion_Medium</t>
  </si>
  <si>
    <t xml:space="preserve">MS Defender XDR: Medium Severity Defense Evasion Alert</t>
  </si>
  <si>
    <t xml:space="preserve">https://filestore.fortinet.com/docs.fortinet.com/fsiem/Public_Resource_Access/7_6_0/rules/PH_RULE_MS_DefenderXDR_Alert_DefenseEvasion_Medium.htm</t>
  </si>
  <si>
    <t xml:space="preserve">PH_RULE_MS_DefenderXDR_Alert_Discovery_Medium</t>
  </si>
  <si>
    <t xml:space="preserve">MS Defender XDR: Medium Severity Discovery Alert</t>
  </si>
  <si>
    <t xml:space="preserve">https://filestore.fortinet.com/docs.fortinet.com/fsiem/Public_Resource_Access/7_6_0/rules/PH_RULE_MS_DefenderXDR_Alert_Discovery_Medium.htm</t>
  </si>
  <si>
    <t xml:space="preserve">PH_RULE_MS_DefenderXDR_Alert_Execution_Medium</t>
  </si>
  <si>
    <t xml:space="preserve">MS Defender XDR: Medium Severity Execution Alert</t>
  </si>
  <si>
    <t xml:space="preserve">https://filestore.fortinet.com/docs.fortinet.com/fsiem/Public_Resource_Access/7_6_0/rules/PH_RULE_MS_DefenderXDR_Alert_Execution_Medium.htm</t>
  </si>
  <si>
    <t xml:space="preserve">PH_RULE_MS_DefenderXDR_Alert_Exfiltration_Medium</t>
  </si>
  <si>
    <t xml:space="preserve">MS Defender XDR: Medium Severity Exfiltration Alert</t>
  </si>
  <si>
    <t xml:space="preserve">https://filestore.fortinet.com/docs.fortinet.com/fsiem/Public_Resource_Access/7_6_0/rules/PH_RULE_MS_DefenderXDR_Alert_Exfiltration_Medium.htm</t>
  </si>
  <si>
    <t xml:space="preserve">PH_RULE_MS_DefenderXDR_Alert_Impact_Medium</t>
  </si>
  <si>
    <t xml:space="preserve">MS Defender XDR: Medium Severity Impact Alert</t>
  </si>
  <si>
    <t xml:space="preserve">https://filestore.fortinet.com/docs.fortinet.com/fsiem/Public_Resource_Access/7_6_0/rules/PH_RULE_MS_DefenderXDR_Alert_Impact_Medium.htm</t>
  </si>
  <si>
    <t xml:space="preserve">PH_RULE_MS_DefenderXDR_Incident_Medium</t>
  </si>
  <si>
    <t xml:space="preserve">MS Defender XDR: Medium Severity Incident Detected</t>
  </si>
  <si>
    <t xml:space="preserve">https://filestore.fortinet.com/docs.fortinet.com/fsiem/Public_Resource_Access/7_6_0/rules/PH_RULE_MS_DefenderXDR_Incident_Medium.htm</t>
  </si>
  <si>
    <t xml:space="preserve">PH_RULE_MS_DefenderXDR_Alert_InitialAccess_Medium</t>
  </si>
  <si>
    <t xml:space="preserve">MS Defender XDR: Medium Severity Initial Access Alert</t>
  </si>
  <si>
    <t xml:space="preserve">https://filestore.fortinet.com/docs.fortinet.com/fsiem/Public_Resource_Access/7_6_0/rules/PH_RULE_MS_DefenderXDR_Alert_InitialAccess_Medium.htm</t>
  </si>
  <si>
    <t xml:space="preserve">PH_RULE_MS_DefenderXDR_Alert_Malware_Medium</t>
  </si>
  <si>
    <t xml:space="preserve">MS Defender XDR: Medium Severity Malware Alert</t>
  </si>
  <si>
    <t xml:space="preserve">https://filestore.fortinet.com/docs.fortinet.com/fsiem/Public_Resource_Access/7_6_0/rules/PH_RULE_MS_DefenderXDR_Alert_Malware_Medium.htm</t>
  </si>
  <si>
    <t xml:space="preserve">PH_RULE_MS_DefenderXDR_Alert_Persistence_Medium</t>
  </si>
  <si>
    <t xml:space="preserve">MS Defender XDR: Medium Severity Persistence Alert</t>
  </si>
  <si>
    <t xml:space="preserve">https://filestore.fortinet.com/docs.fortinet.com/fsiem/Public_Resource_Access/7_6_0/rules/PH_RULE_MS_DefenderXDR_Alert_Persistence_Medium.htm</t>
  </si>
  <si>
    <t xml:space="preserve">PH_RULE_MS_DefenderXDR_Alert_Reconnaissance_Medium</t>
  </si>
  <si>
    <t xml:space="preserve">MS Defender XDR: Medium Severity Reconnaissance Alert</t>
  </si>
  <si>
    <t xml:space="preserve">https://filestore.fortinet.com/docs.fortinet.com/fsiem/Public_Resource_Access/7_6_0/rules/PH_RULE_MS_DefenderXDR_Alert_Reconnaissance_Medium.htm</t>
  </si>
  <si>
    <t xml:space="preserve">PH_RULE_MS_DefenderXDR_Alert_ResourceDevelopment_Medium</t>
  </si>
  <si>
    <t xml:space="preserve">MS Defender XDR: Medium Severity Resource Development Alert</t>
  </si>
  <si>
    <t xml:space="preserve">https://filestore.fortinet.com/docs.fortinet.com/fsiem/Public_Resource_Access/7_6_0/rules/PH_RULE_MS_DefenderXDR_Alert_ResourceDevelopment_Medium.htm</t>
  </si>
  <si>
    <t xml:space="preserve">PH_Rule_IPS_1</t>
  </si>
  <si>
    <t xml:space="preserve">Multiple Distinct IPS Events From Same Src</t>
  </si>
  <si>
    <t xml:space="preserve">https://filestore.fortinet.com/docs.fortinet.com/fsiem/Public_Resource_Access/7_6_0/rules/PH_RULE_MULTIPLE_IPS_SAME_SRC.htm</t>
  </si>
  <si>
    <t xml:space="preserve">PH_Rule_IPS_2</t>
  </si>
  <si>
    <t xml:space="preserve">Multiple IPS Detected Scans From Same Src</t>
  </si>
  <si>
    <t xml:space="preserve">https://filestore.fortinet.com/docs.fortinet.com/fsiem/Public_Resource_Access/7_6_0/rules/PH_RULE_SCAN_IPS_SAME_SRC.htm</t>
  </si>
  <si>
    <t xml:space="preserve">Hillstone Firewall via Syslog; Sophos Firewall via Syslog; Juniper JunOS via Syslog; Pulse Secure via Syslog; Juniper SRX via Syslog; HP Procurve via Syslog; Juniper SSG via Syslog; WatchGuard via Syslog; FortiProxy via Syslog; FortiGate via Syslog; Cisco IOS via Syslog; Cisco ASA via Syslog; NetScaler via Syslog; Riverbed via Syslog; SonicOS via Syslog</t>
  </si>
  <si>
    <t xml:space="preserve">Network devices via Syslog; FortiGate via Syslog</t>
  </si>
  <si>
    <t xml:space="preserve">Microsoft Windows via OMI or Windows Collector; VMware NSX via Syslog; FortiSIEM via Syslog; IBM AIX via Syslog; Linux via Syslog</t>
  </si>
  <si>
    <t xml:space="preserve">Motorola WiNG WLAN AP via Syslog; Motorola AirDefense via Syslog; Sophos Firewall via Syslog; WatchGuard via Syslog; Cisco WLAN via Syslog; Aruba WLC via Syslog</t>
  </si>
  <si>
    <t xml:space="preserve">PH_Rule_Avail_54</t>
  </si>
  <si>
    <t xml:space="preserve">MySQL Database Instance Down</t>
  </si>
  <si>
    <t xml:space="preserve">https://filestore.fortinet.com/docs.fortinet.com/fsiem/Public_Resource_Access/7_6_0/rules/PH_RULE_MYSQL_DOWN.htm</t>
  </si>
  <si>
    <t xml:space="preserve">PH_Rule_Environ_11</t>
  </si>
  <si>
    <t xml:space="preserve">NetBotz camera motion detected</t>
  </si>
  <si>
    <t xml:space="preserve">APC NetBotz monitoring via SNMP</t>
  </si>
  <si>
    <t xml:space="preserve">https://filestore.fortinet.com/docs.fortinet.com/fsiem/Public_Resource_Access/7_6_0/rules/PH_RULE_NETB_CAMERA_MOTION.htm</t>
  </si>
  <si>
    <t xml:space="preserve">PH_Rule_Environ_10</t>
  </si>
  <si>
    <t xml:space="preserve">NetBotz module door open</t>
  </si>
  <si>
    <t xml:space="preserve">https://filestore.fortinet.com/docs.fortinet.com/fsiem/Public_Resource_Access/7_6_0/rules/PH_RULE_NETB_DOOR_OPEN.htm</t>
  </si>
  <si>
    <t xml:space="preserve">PH_Rule_Perf_204</t>
  </si>
  <si>
    <t xml:space="preserve">Network CPU Critical</t>
  </si>
  <si>
    <t xml:space="preserve">https://filestore.fortinet.com/docs.fortinet.com/fsiem/Public_Resource_Access/7_6_0/rules/PH_RULE_NET_CPU_CRIT.htm</t>
  </si>
  <si>
    <t xml:space="preserve">PH_Rule_Perf_203</t>
  </si>
  <si>
    <t xml:space="preserve">Network CPU Warning</t>
  </si>
  <si>
    <t xml:space="preserve">https://filestore.fortinet.com/docs.fortinet.com/fsiem/Public_Resource_Access/7_6_0/rules/PH_RULE_NET_CPU_WARN.htm</t>
  </si>
  <si>
    <t xml:space="preserve">PH_Rule_Degraded_Ping_Net</t>
  </si>
  <si>
    <t xml:space="preserve">Network Device Degraded: Lossy Ping Response</t>
  </si>
  <si>
    <t xml:space="preserve">Any Device via Ping Monitoring</t>
  </si>
  <si>
    <t xml:space="preserve">https://filestore.fortinet.com/docs.fortinet.com/fsiem/Public_Resource_Access/7_6_0/rules/PH_RULE_DEGRADED_PING_NET_DEV.htm</t>
  </si>
  <si>
    <t xml:space="preserve">PH_Rule_No_Response_To_Ping_Net</t>
  </si>
  <si>
    <t xml:space="preserve">Network Device Down: no ping response</t>
  </si>
  <si>
    <t xml:space="preserve">https://filestore.fortinet.com/docs.fortinet.com/fsiem/Public_Resource_Access/7_6_0/rules/PH_RULE_NON_RESPONSIVE_NET_DEV.htm</t>
  </si>
  <si>
    <t xml:space="preserve">PH_Rule_Avail_67</t>
  </si>
  <si>
    <t xml:space="preserve">Network Device Failover</t>
  </si>
  <si>
    <t xml:space="preserve">https://filestore.fortinet.com/docs.fortinet.com/fsiem/Public_Resource_Access/7_6_0/rules/PH_RULE_NETWORK_DEVICE_FAILOVER.htm</t>
  </si>
  <si>
    <t xml:space="preserve">PH_Rule_Avail_22</t>
  </si>
  <si>
    <t xml:space="preserve">Network Device Hardware Critical</t>
  </si>
  <si>
    <t xml:space="preserve">Hardware</t>
  </si>
  <si>
    <t xml:space="preserve">https://filestore.fortinet.com/docs.fortinet.com/fsiem/Public_Resource_Access/7_6_0/rules/PH_RULE_NET_HW_CRITICAL.htm</t>
  </si>
  <si>
    <t xml:space="preserve">PH_Rule_Avail_21</t>
  </si>
  <si>
    <t xml:space="preserve">Network Device Hardware Warning</t>
  </si>
  <si>
    <t xml:space="preserve">https://filestore.fortinet.com/docs.fortinet.com/fsiem/Public_Resource_Access/7_6_0/rules/PH_RULE_NET_HW_WARN.htm</t>
  </si>
  <si>
    <t xml:space="preserve">PH_Rule_Perf_21</t>
  </si>
  <si>
    <t xml:space="preserve">Network Device Health: Critical</t>
  </si>
  <si>
    <t xml:space="preserve">https://filestore.fortinet.com/docs.fortinet.com/fsiem/Public_Resource_Access/7_6_0/rules/PH_RULE_HEALTH_NET_DEV_CRITICAL.htm</t>
  </si>
  <si>
    <t xml:space="preserve">PH_Rule_Perf_28</t>
  </si>
  <si>
    <t xml:space="preserve">Network Device Health: Warning</t>
  </si>
  <si>
    <t xml:space="preserve">https://filestore.fortinet.com/docs.fortinet.com/fsiem/Public_Resource_Access/7_6_0/rules/PH_RULE_HEALTH_NET_DEV_WATCH.htm</t>
  </si>
  <si>
    <t xml:space="preserve">PH_Rule_Avail_12</t>
  </si>
  <si>
    <t xml:space="preserve">Network Device Interface Flapping</t>
  </si>
  <si>
    <t xml:space="preserve">https://filestore.fortinet.com/docs.fortinet.com/fsiem/Public_Resource_Access/7_6_0/rules/PH_RULE_INTF_FLAP_NET_DEV.htm</t>
  </si>
  <si>
    <t xml:space="preserve">PH_Rule_Avail_61</t>
  </si>
  <si>
    <t xml:space="preserve">Network Device Redundancy Lost</t>
  </si>
  <si>
    <t xml:space="preserve">https://filestore.fortinet.com/docs.fortinet.com/fsiem/Public_Resource_Access/7_6_0/rules/PH_RULE_NET_REDUNDANCY_LOSS.htm</t>
  </si>
  <si>
    <t xml:space="preserve">PH_Rule_Change_7B</t>
  </si>
  <si>
    <t xml:space="preserve">Network Installed Software Change</t>
  </si>
  <si>
    <t xml:space="preserve">Any Network Device via SSH Process Monitoring</t>
  </si>
  <si>
    <t xml:space="preserve">https://filestore.fortinet.com/docs.fortinet.com/fsiem/Public_Resource_Access/7_6_0/rules/PH_RULE_CHANGE_INST_SW_NET.htm</t>
  </si>
  <si>
    <t xml:space="preserve">PH_Rule_Avail_14</t>
  </si>
  <si>
    <t xml:space="preserve">Network Interface Duplex Mismatch</t>
  </si>
  <si>
    <t xml:space="preserve">https://filestore.fortinet.com/docs.fortinet.com/fsiem/Public_Resource_Access/7_6_0/rules/PH_RULE_INTF_DUPLEX_MISMATCH.htm</t>
  </si>
  <si>
    <t xml:space="preserve">PH_Rule_Perf_216</t>
  </si>
  <si>
    <t xml:space="preserve">Network Intf Error Critical</t>
  </si>
  <si>
    <t xml:space="preserve">https://filestore.fortinet.com/docs.fortinet.com/fsiem/Public_Resource_Access/7_6_0/rules/PH_RULE_NET_INTF_ERR_CRIT.htm</t>
  </si>
  <si>
    <t xml:space="preserve">PH_Rule_Perf_215</t>
  </si>
  <si>
    <t xml:space="preserve">Network Intf Error Warning</t>
  </si>
  <si>
    <t xml:space="preserve">https://filestore.fortinet.com/docs.fortinet.com/fsiem/Public_Resource_Access/7_6_0/rules/PH_RULE_NET_INTF_ERR_WARN.htm</t>
  </si>
  <si>
    <t xml:space="preserve">PH_Rule_Perf_212</t>
  </si>
  <si>
    <t xml:space="preserve">Network Intf Util Critical</t>
  </si>
  <si>
    <t xml:space="preserve">https://filestore.fortinet.com/docs.fortinet.com/fsiem/Public_Resource_Access/7_6_0/rules/PH_RULE_NET_INTF_UTIL_CRIT.htm</t>
  </si>
  <si>
    <t xml:space="preserve">PH_Rule_Perf_211</t>
  </si>
  <si>
    <t xml:space="preserve">Network Intf Util Warning</t>
  </si>
  <si>
    <t xml:space="preserve">https://filestore.fortinet.com/docs.fortinet.com/fsiem/Public_Resource_Access/7_6_0/rules/PH_RULE_NET_INTF_UTIL_WARN.htm</t>
  </si>
  <si>
    <t xml:space="preserve">PH_Rule_Perf_212_B</t>
  </si>
  <si>
    <t xml:space="preserve">Network IPS Intf Util Critical</t>
  </si>
  <si>
    <t xml:space="preserve">https://filestore.fortinet.com/docs.fortinet.com/fsiem/Public_Resource_Access/7_6_0/rules/PH_RULE_IPS_NET_INTF_UTIL_CRIT.htm</t>
  </si>
  <si>
    <t xml:space="preserve">PH_Rule_Perf_211_B</t>
  </si>
  <si>
    <t xml:space="preserve">Network IPS Intf Util Warning</t>
  </si>
  <si>
    <t xml:space="preserve">https://filestore.fortinet.com/docs.fortinet.com/fsiem/Public_Resource_Access/7_6_0/rules/PH_RULE_IPS_NET_INTF_UTIL_WARN.htm</t>
  </si>
  <si>
    <t xml:space="preserve">PH_Rule_Perf_208</t>
  </si>
  <si>
    <t xml:space="preserve">Network Memory Critical</t>
  </si>
  <si>
    <t xml:space="preserve">https://filestore.fortinet.com/docs.fortinet.com/fsiem/Public_Resource_Access/7_6_0/rules/PH_RULE_NET_MEM_CRIT.htm</t>
  </si>
  <si>
    <t xml:space="preserve">PH_Rule_Perf_207</t>
  </si>
  <si>
    <t xml:space="preserve">Network Memory Warning</t>
  </si>
  <si>
    <t xml:space="preserve">https://filestore.fortinet.com/docs.fortinet.com/fsiem/Public_Resource_Access/7_6_0/rules/PH_RULE_NET_MEM_WARN.htm</t>
  </si>
  <si>
    <t xml:space="preserve">PH_Rule_Perf_235</t>
  </si>
  <si>
    <t xml:space="preserve">NFS Disk space Warning</t>
  </si>
  <si>
    <t xml:space="preserve">Storage Device via SNMP</t>
  </si>
  <si>
    <t xml:space="preserve">https://filestore.fortinet.com/docs.fortinet.com/fsiem/Public_Resource_Access/7_6_0/rules/PH_RULE_NFS_DISK_SPACE_WARN.htm</t>
  </si>
  <si>
    <t xml:space="preserve">PH_Rule_Avail_PH_16A</t>
  </si>
  <si>
    <t xml:space="preserve">No Events Reported From External Apps In Last Hour</t>
  </si>
  <si>
    <t xml:space="preserve">https://filestore.fortinet.com/docs.fortinet.com/fsiem/Public_Resource_Access/7_6_0/rules/PH_RULE_SYS_DEVAPP_NO_EVENTS.htm</t>
  </si>
  <si>
    <t xml:space="preserve">PH_Rule_Avail_PH_16</t>
  </si>
  <si>
    <t xml:space="preserve">No Events Reported From External Devices In Last Hour</t>
  </si>
  <si>
    <t xml:space="preserve">https://filestore.fortinet.com/docs.fortinet.com/fsiem/Public_Resource_Access/7_6_0/rules/PH_RULE_SYS_DEVICE_NO_EVENTS.htm</t>
  </si>
  <si>
    <t xml:space="preserve">PH_Rule_Avail_PH_16E</t>
  </si>
  <si>
    <t xml:space="preserve">No logs from a device</t>
  </si>
  <si>
    <t xml:space="preserve">https://filestore.fortinet.com/docs.fortinet.com/fsiem/Public_Resource_Access/7_6_0/rules/PH_RULE_NO_LOGS_FROM_DEVICE.htm</t>
  </si>
  <si>
    <t xml:space="preserve">PH_Rule_Avail_PH_16C</t>
  </si>
  <si>
    <t xml:space="preserve">No logs from any device via Collector/Worker</t>
  </si>
  <si>
    <t xml:space="preserve">https://filestore.fortinet.com/docs.fortinet.com/fsiem/Public_Resource_Access/7_6_0/rules/PH_RULE_NO_LOGS_VIA_AO.htm</t>
  </si>
  <si>
    <t xml:space="preserve">PH_Rule_Avail_PH_16F</t>
  </si>
  <si>
    <t xml:space="preserve">No performance metrics from a device</t>
  </si>
  <si>
    <t xml:space="preserve">https://filestore.fortinet.com/docs.fortinet.com/fsiem/Public_Resource_Access/7_6_0/rules/PH_RULE_NO_PERFMON_FROM_DEVICE.htm</t>
  </si>
  <si>
    <t xml:space="preserve">PH_Rule_Avail_10</t>
  </si>
  <si>
    <t xml:space="preserve">Noncritical Network Device Interface Staying Down</t>
  </si>
  <si>
    <t xml:space="preserve">https://filestore.fortinet.com/docs.fortinet.com/fsiem/Public_Resource_Access/7_6_0/rules/PH_RULE_DOWN_INTF_NET_NONCRIT.htm</t>
  </si>
  <si>
    <t xml:space="preserve">PH_RULE_OracleOci_PolicyCreated</t>
  </si>
  <si>
    <t xml:space="preserve">OCI: Policy Created</t>
  </si>
  <si>
    <t xml:space="preserve">https://filestore.fortinet.com/docs.fortinet.com/fsiem/Public_Resource_Access/7_6_0/rules/PH_RULE_OracleOci_PolicyCreated.htm</t>
  </si>
  <si>
    <t xml:space="preserve">PH_RULE_OracleOci_PolicyDeleted</t>
  </si>
  <si>
    <t xml:space="preserve">OCI: Policy Deleted</t>
  </si>
  <si>
    <t xml:space="preserve">https://filestore.fortinet.com/docs.fortinet.com/fsiem/Public_Resource_Access/7_6_0/rules/PH_RULE_OracleOci_PolicyDeleted.htm</t>
  </si>
  <si>
    <t xml:space="preserve">PH_RULE_OracleOci_UserActivatedMFA</t>
  </si>
  <si>
    <t xml:space="preserve">OCI: User Activated MFA</t>
  </si>
  <si>
    <t xml:space="preserve">https://filestore.fortinet.com/docs.fortinet.com/fsiem/Public_Resource_Access/7_6_0/rules/PH_RULE_OracleOci_UserActivatedMFA.htm</t>
  </si>
  <si>
    <t xml:space="preserve">PH_RULE_OracleOci_UserSMTPCredCreated</t>
  </si>
  <si>
    <t xml:space="preserve">OCI: User SMTP Credentials Created</t>
  </si>
  <si>
    <t xml:space="preserve">https://filestore.fortinet.com/docs.fortinet.com/fsiem/Public_Resource_Access/7_6_0/rules/PH_RULE_OracleOci_UserSMTPCredCreated.htm</t>
  </si>
  <si>
    <t xml:space="preserve">PH_RULE_O365_AbnormalLogonDetected</t>
  </si>
  <si>
    <t xml:space="preserve">Office365: Abnormal Logon Detected</t>
  </si>
  <si>
    <t xml:space="preserve">https://filestore.fortinet.com/docs.fortinet.com/fsiem/Public_Resource_Access/7_6_0/rules/PH_RULE_O365_AbnormalLogonDetected.htm</t>
  </si>
  <si>
    <t xml:space="preserve">PH_RULE_O365_InboxRuleDeleteMessageAction</t>
  </si>
  <si>
    <t xml:space="preserve">Office365: Delete Message Inbox Rule Created</t>
  </si>
  <si>
    <t xml:space="preserve">https://filestore.fortinet.com/docs.fortinet.com/fsiem/Public_Resource_Access/7_6_0/rules/PH_RULE_O365_InboxRuleDeleteMessageAction.htm</t>
  </si>
  <si>
    <t xml:space="preserve">PH_RULE_O365_IdentityProtectRiskyUser</t>
  </si>
  <si>
    <t xml:space="preserve">Office365: Identity Protection Risky Detection Identified</t>
  </si>
  <si>
    <t xml:space="preserve">https://filestore.fortinet.com/docs.fortinet.com/fsiem/Public_Resource_Access/7_6_0/rules/PH_RULE_O365_IdentityProtectRiskyUser.htm</t>
  </si>
  <si>
    <t xml:space="preserve">PH_RULE_O365_MailboxLoginOutsideCountry</t>
  </si>
  <si>
    <t xml:space="preserve">Office365: Mailbox Login from Outside My Country</t>
  </si>
  <si>
    <t xml:space="preserve">https://filestore.fortinet.com/docs.fortinet.com/fsiem/Public_Resource_Access/7_6_0/rules/PH_RULE_O365_MailboxLoginOutsideCountry.htm</t>
  </si>
  <si>
    <t xml:space="preserve">PH_RULE_O365_MailSendAsSendOnBehalfAction</t>
  </si>
  <si>
    <t xml:space="preserve">Office365: Mailbox SendAs or SendOnBehalf has occurred</t>
  </si>
  <si>
    <t xml:space="preserve">https://filestore.fortinet.com/docs.fortinet.com/fsiem/Public_Resource_Access/7_6_0/rules/PH_RULE_O365_MailSendAsSendOnBehalfAction.htm</t>
  </si>
  <si>
    <t xml:space="preserve">PH_RULE_O365_InboxRuleMoveToFolder</t>
  </si>
  <si>
    <t xml:space="preserve">Office365: Move To Folder Inbox Rule Created</t>
  </si>
  <si>
    <t xml:space="preserve">https://filestore.fortinet.com/docs.fortinet.com/fsiem/Public_Resource_Access/7_6_0/rules/PH_RULE_O365_InboxRuleMoveToFolder.htm</t>
  </si>
  <si>
    <t xml:space="preserve">PH_RULE_O365_SetMailboxForwardingAction</t>
  </si>
  <si>
    <t xml:space="preserve">Office365: Set-Mailbox Forwarding Action Created</t>
  </si>
  <si>
    <t xml:space="preserve">https://filestore.fortinet.com/docs.fortinet.com/fsiem/Public_Resource_Access/7_6_0/rules/PH_RULE_O365_SetMailboxForwardingAction.htm</t>
  </si>
  <si>
    <t xml:space="preserve">PH_RULE_O365_SuspiciousFileType</t>
  </si>
  <si>
    <t xml:space="preserve">Office365: Suspicious File Type Uploaded</t>
  </si>
  <si>
    <t xml:space="preserve">https://filestore.fortinet.com/docs.fortinet.com/fsiem/Public_Resource_Access/7_6_0/rules/PH_RULE_O365_SuspiciousFileType.htm</t>
  </si>
  <si>
    <t xml:space="preserve">PH_RULE_O365_UserMailForwardRuleCreated</t>
  </si>
  <si>
    <t xml:space="preserve">Office365: User Mailbox Forwarding Rule Created</t>
  </si>
  <si>
    <t xml:space="preserve">https://filestore.fortinet.com/docs.fortinet.com/fsiem/Public_Resource_Access/7_6_0/rules/PH_RULE_O365_UserMailForwardRuleCreated.htm</t>
  </si>
  <si>
    <t xml:space="preserve">PH_Rule_Avail_52</t>
  </si>
  <si>
    <t xml:space="preserve">Oracle Database Instance Down</t>
  </si>
  <si>
    <t xml:space="preserve">https://filestore.fortinet.com/docs.fortinet.com/fsiem/Public_Resource_Access/7_6_0/rules/PH_RULE_ORADB_DOWN.htm</t>
  </si>
  <si>
    <t xml:space="preserve">PH_Rule_Avail_53</t>
  </si>
  <si>
    <t xml:space="preserve">Oracle Database Listener Down</t>
  </si>
  <si>
    <t xml:space="preserve">https://filestore.fortinet.com/docs.fortinet.com/fsiem/Public_Resource_Access/7_6_0/rules/PH_RULE_ORADB_LISTENER_DOWN.htm</t>
  </si>
  <si>
    <t xml:space="preserve">PH_Rule_DB_12</t>
  </si>
  <si>
    <t xml:space="preserve">Oracle Database not backed up for 1 day</t>
  </si>
  <si>
    <t xml:space="preserve">https://filestore.fortinet.com/docs.fortinet.com/fsiem/Public_Resource_Access/7_6_0/rules/PH_RULE_ORADB_NO_BACKUP.htm</t>
  </si>
  <si>
    <t xml:space="preserve">PH_Rule_DB_17</t>
  </si>
  <si>
    <t xml:space="preserve">Oracle DB Alert Log Error</t>
  </si>
  <si>
    <t xml:space="preserve">https://filestore.fortinet.com/docs.fortinet.com/fsiem/Public_Resource_Access/7_6_0/rules/PH_RULE_ORADB_ALERT_LOG_ERROR.htm</t>
  </si>
  <si>
    <t xml:space="preserve">PH_Rule_DB_13</t>
  </si>
  <si>
    <t xml:space="preserve">Oracle DB Low Buffer Cache Hit Ratio</t>
  </si>
  <si>
    <t xml:space="preserve">https://filestore.fortinet.com/docs.fortinet.com/fsiem/Public_Resource_Access/7_6_0/rules/PH_RULE_ORADB_LOW_BUFF_CACHE_HIT.htm</t>
  </si>
  <si>
    <t xml:space="preserve">PH_Rule_DB_14</t>
  </si>
  <si>
    <t xml:space="preserve">Oracle DB Low Library Cache Hit Ratio</t>
  </si>
  <si>
    <t xml:space="preserve">https://filestore.fortinet.com/docs.fortinet.com/fsiem/Public_Resource_Access/7_6_0/rules/PH_RULE_ORADB_LOW_LIB_CACHE_HIT.htm</t>
  </si>
  <si>
    <t xml:space="preserve">PH_Rule_DB_15</t>
  </si>
  <si>
    <t xml:space="preserve">Oracle DB Low Row Cache Hit Ratio</t>
  </si>
  <si>
    <t xml:space="preserve">https://filestore.fortinet.com/docs.fortinet.com/fsiem/Public_Resource_Access/7_6_0/rules/PH_RULE_ORADB_LOW_ROW_CACHE_HIT.htm</t>
  </si>
  <si>
    <t xml:space="preserve">PH_Rule_DB_16</t>
  </si>
  <si>
    <t xml:space="preserve">Oracle DB Low Row Memory Sorts Ratio</t>
  </si>
  <si>
    <t xml:space="preserve">https://filestore.fortinet.com/docs.fortinet.com/fsiem/Public_Resource_Access/7_6_0/rules/PH_RULE_ORADB_LOW_MEMSORT_RATIO.htm</t>
  </si>
  <si>
    <t xml:space="preserve">PH_Rule_Avail_32</t>
  </si>
  <si>
    <t xml:space="preserve">OSPF Neighbor Down</t>
  </si>
  <si>
    <t xml:space="preserve">https://filestore.fortinet.com/docs.fortinet.com/fsiem/Public_Resource_Access/7_6_0/rules/PH_RULE_OSPF_NBR_DOWN.htm</t>
  </si>
  <si>
    <t xml:space="preserve">PH_Rule_OT_1</t>
  </si>
  <si>
    <t xml:space="preserve">OT Modbus Write Command Initiated outside of Purdue Level 2</t>
  </si>
  <si>
    <t xml:space="preserve">https://filestore.fortinet.com/docs.fortinet.com/fsiem/Public_Resource_Access/7_6_0/rules/PH_RULE_MOBUS_WRITE_SRC_NOT_L2.htm</t>
  </si>
  <si>
    <t xml:space="preserve">PH_Rule_OT_3</t>
  </si>
  <si>
    <t xml:space="preserve">OT Permited Traffic not from Purdue Level 3 to Level 2</t>
  </si>
  <si>
    <t xml:space="preserve">https://filestore.fortinet.com/docs.fortinet.com/fsiem/Public_Resource_Access/7_6_0/rules/PH_RULE_TRAFFIC_NOT_L3_TO_L2.htm</t>
  </si>
  <si>
    <t xml:space="preserve">PH_Rule_OT_2</t>
  </si>
  <si>
    <t xml:space="preserve">OT Permited Traffic not from Purdue Level 3.5 to Level 3</t>
  </si>
  <si>
    <t xml:space="preserve">https://filestore.fortinet.com/docs.fortinet.com/fsiem/Public_Resource_Access/7_6_0/rules/PH_RULE_TRAFFIC_NOT_L35_TO_L3.htm</t>
  </si>
  <si>
    <t xml:space="preserve">PH_Rule_OT_4</t>
  </si>
  <si>
    <t xml:space="preserve">OT Permited Traffic not from Purdue Level 4 to Level 3.5</t>
  </si>
  <si>
    <t xml:space="preserve">https://filestore.fortinet.com/docs.fortinet.com/fsiem/Public_Resource_Access/7_6_0/rules/PH_RULE_TRAFFIC_NOT_L4_TO_L35.htm</t>
  </si>
  <si>
    <t xml:space="preserve">PH_Rule_OT_5</t>
  </si>
  <si>
    <t xml:space="preserve">OT Permited Traffic not from Purdue Level 5 to Level 4</t>
  </si>
  <si>
    <t xml:space="preserve">https://filestore.fortinet.com/docs.fortinet.com/fsiem/Public_Resource_Access/7_6_0/rules/PH_RULE_TRAFFIC_NOT_L5_TO_L4.htm</t>
  </si>
  <si>
    <t xml:space="preserve">PH_RULE_Otorio_RAM2_AlertTriggered</t>
  </si>
  <si>
    <t xml:space="preserve">Otorio RAM2 Alert has Triggered</t>
  </si>
  <si>
    <t xml:space="preserve">Otorio RAM2 via Syslog</t>
  </si>
  <si>
    <t xml:space="preserve">https://filestore.fortinet.com/docs.fortinet.com/fsiem/Public_Resource_Access/7_6_0/rules/PH_RULE_Otorio_RAM2_AlertTriggered.htm</t>
  </si>
  <si>
    <t xml:space="preserve">PH_RULE_Otorio_RAM2_VulnerabilityDiscovered</t>
  </si>
  <si>
    <t xml:space="preserve">Otorio RAM2 Vulnerability Discovered</t>
  </si>
  <si>
    <t xml:space="preserve">https://filestore.fortinet.com/docs.fortinet.com/fsiem/Public_Resource_Access/7_6_0/rules/PH_RULE_Otorio_RAM2_VulnerabilityDiscovered.htm</t>
  </si>
  <si>
    <t xml:space="preserve">PH_Rule_491_1</t>
  </si>
  <si>
    <t xml:space="preserve">Outbound Incident Integration Error</t>
  </si>
  <si>
    <t xml:space="preserve">https://filestore.fortinet.com/docs.fortinet.com/fsiem/Public_Resource_Access/7_6_0/rules/PH_RULE_OUTBOUND_INCIDENT_INTEGRATION_ERROR.htm</t>
  </si>
  <si>
    <t xml:space="preserve">PH_Rule_PolicyViolation_26</t>
  </si>
  <si>
    <t xml:space="preserve">Outbound Traffic to Open Proxies</t>
  </si>
  <si>
    <t xml:space="preserve">https://filestore.fortinet.com/docs.fortinet.com/fsiem/Public_Resource_Access/7_6_0/rules/PH_RULE_TO_OPEN_PROXY.htm</t>
  </si>
  <si>
    <t xml:space="preserve">PH_Rule_PolicyViolation_28</t>
  </si>
  <si>
    <t xml:space="preserve">Outbound Traffic to Tor Network</t>
  </si>
  <si>
    <t xml:space="preserve">https://filestore.fortinet.com/docs.fortinet.com/fsiem/Public_Resource_Access/7_6_0/rules/PH_RULE_TO_TOR_NETWORK.htm</t>
  </si>
  <si>
    <t xml:space="preserve">PH_Rule_PolicyViolation_24</t>
  </si>
  <si>
    <t xml:space="preserve">Outbound Traffic to Unapproved Public DNS Servers</t>
  </si>
  <si>
    <t xml:space="preserve">https://filestore.fortinet.com/docs.fortinet.com/fsiem/Public_Resource_Access/7_6_0/rules/PH_RULE_PUBLIC_DNS_USAGE.htm</t>
  </si>
  <si>
    <t xml:space="preserve">PH_RULE_Apache_Commons_Text_RCE_Vuln_Network</t>
  </si>
  <si>
    <t xml:space="preserve">Outbreak: Apache Commons Text RCE Vulnerability Detected on Network</t>
  </si>
  <si>
    <t xml:space="preserve">https://filestore.fortinet.com/docs.fortinet.com/fsiem/Public_Resource_Access/7_6_0/rules/PH_RULE_Apache_Commons_Text_RCE_Network.htm</t>
  </si>
  <si>
    <t xml:space="preserve">FortiProxy via Syslog; FortiGate via Syslog; FortiEMS via Syslog</t>
  </si>
  <si>
    <t xml:space="preserve">PH_RULE_BURNTCIGAR_MS_Driver_Malware_Host</t>
  </si>
  <si>
    <t xml:space="preserve">Outbreak: BURNTCIGAR MS Signed Driver Malware detected on Host</t>
  </si>
  <si>
    <t xml:space="preserve">https://filestore.fortinet.com/docs.fortinet.com/fsiem/Public_Resource_Access/7_6_0/rules/PH_RULE_BURNTCIGAR_MS_Driver_Malware_Host.htm</t>
  </si>
  <si>
    <t xml:space="preserve">PH_RULE_BURNTCIGAR_MS_Driver_Malware_Net</t>
  </si>
  <si>
    <t xml:space="preserve">Outbreak: BURNTCIGAR MS Signed Driver Malware detected on Network</t>
  </si>
  <si>
    <t xml:space="preserve">https://filestore.fortinet.com/docs.fortinet.com/fsiem/Public_Resource_Access/7_6_0/rules/PH_RULE_BURNTCIGAR_MS_Driver_Malware_Net.htm</t>
  </si>
  <si>
    <t xml:space="preserve">PH_RULE_CISA_Alert_AA24_249A_Host</t>
  </si>
  <si>
    <t xml:space="preserve">Outbreak: CISA Alert AA24-249A Russian Cyber Espionage Attack Detected on Host</t>
  </si>
  <si>
    <t xml:space="preserve">https://filestore.fortinet.com/docs.fortinet.com/fsiem/Public_Resource_Access/7_6_0/rules/PH_RULE_CISA_Alert_AA24_249A_Host.htm</t>
  </si>
  <si>
    <t xml:space="preserve">PH_RULE_CISA_Alert_AA24_249A_Network</t>
  </si>
  <si>
    <t xml:space="preserve">Outbreak: CISA Alert AA24-249A Russian Cyber Espionage Attack Detected on Network</t>
  </si>
  <si>
    <t xml:space="preserve">https://filestore.fortinet.com/docs.fortinet.com/fsiem/Public_Resource_Access/7_6_0/rules/PH_RULE_CISA_Alert_AA24_249A_Network.htm</t>
  </si>
  <si>
    <t xml:space="preserve">PH_RULE_ControlWP_Exploit_CVE2022_44877_Host</t>
  </si>
  <si>
    <t xml:space="preserve">Outbreak: Control Web Panel Login Exploit Detected on Host</t>
  </si>
  <si>
    <t xml:space="preserve">https://filestore.fortinet.com/docs.fortinet.com/fsiem/Public_Resource_Access/7_6_0/rules/PH_RULE_ControlWP_Exploit_CVE2022_44877_Host.htm</t>
  </si>
  <si>
    <t xml:space="preserve">PH_RULE_ControlWP_Exploit_CVE2022_44877_Network</t>
  </si>
  <si>
    <t xml:space="preserve">Outbreak: Control Web Panel Login Exploit Detected on Network</t>
  </si>
  <si>
    <t xml:space="preserve">https://filestore.fortinet.com/docs.fortinet.com/fsiem/Public_Resource_Access/7_6_0/rules/PH_RULE_ControlWP_Exploit_CVE2022_44877_Network.htm</t>
  </si>
  <si>
    <t xml:space="preserve">PH_RULE_DARKSIDE_DomainTraffic_Detected</t>
  </si>
  <si>
    <t xml:space="preserve">Outbreak: DARKSIDE Domain Traffic Detected</t>
  </si>
  <si>
    <t xml:space="preserve">https://filestore.fortinet.com/docs.fortinet.com/fsiem/Public_Resource_Access/7_6_0/rules/PH_RULE_DARKSIDE_DomainTraffic_Detected.htm</t>
  </si>
  <si>
    <t xml:space="preserve">PH_RULE_DARKSIDE_Activity_DetectedHost</t>
  </si>
  <si>
    <t xml:space="preserve">Outbreak: DARKSIDE Ransomware File Activity Detected on Host</t>
  </si>
  <si>
    <t xml:space="preserve">FortiSandbox via Syslog; FortiClient via Syslog</t>
  </si>
  <si>
    <t xml:space="preserve">https://filestore.fortinet.com/docs.fortinet.com/fsiem/Public_Resource_Access/7_6_0/rules/PH_RULE_DARKSIDE_Activity_DetectedHost.htm</t>
  </si>
  <si>
    <t xml:space="preserve">PH_RULE_DARKSIDE_Activity_DetectedNetwork</t>
  </si>
  <si>
    <t xml:space="preserve">Outbreak: DARKSIDE Ransomware File Activity Detected on Network</t>
  </si>
  <si>
    <t xml:space="preserve">FortiGate via Syslog; FortiMail via Syslog; FortiNDR via Syslog; FortiWeb via Syslog</t>
  </si>
  <si>
    <t xml:space="preserve">https://filestore.fortinet.com/docs.fortinet.com/fsiem/Public_Resource_Access/7_6_0/rules/PH_RULE_DARKSIDE_Activity_DetectedNetwork.htm</t>
  </si>
  <si>
    <t xml:space="preserve">PH_RULE_DARKSIDE_Traffic_DetectedInbound</t>
  </si>
  <si>
    <t xml:space="preserve">Outbreak: DARKSIDE Ransomware Inbound Network Traffic Detected</t>
  </si>
  <si>
    <t xml:space="preserve">https://filestore.fortinet.com/docs.fortinet.com/fsiem/Public_Resource_Access/7_6_0/rules/PH_RULE_DARKSIDE_Traffic_DetectedInbound.htm</t>
  </si>
  <si>
    <t xml:space="preserve">PH_RULE_DARKSIDE_Traffic_DetectedOutbound</t>
  </si>
  <si>
    <t xml:space="preserve">Outbreak: DARKSIDE Ransomware Outbound Network Traffic Detected</t>
  </si>
  <si>
    <t xml:space="preserve">https://filestore.fortinet.com/docs.fortinet.com/fsiem/Public_Resource_Access/7_6_0/rules/PH_RULE_DARKSIDE_Traffic_DetectedOutbound.htm</t>
  </si>
  <si>
    <t xml:space="preserve">PH_RULE_DARKSIDE_SuspiciousFileHash_FoundHost</t>
  </si>
  <si>
    <t xml:space="preserve">Outbreak: DARKSIDE Suspicious File Hash Found on Host</t>
  </si>
  <si>
    <t xml:space="preserve">https://filestore.fortinet.com/docs.fortinet.com/fsiem/Public_Resource_Access/7_6_0/rules/PH_RULE_DARKSIDE_SuspiciousFileHash_FoundHost.htm</t>
  </si>
  <si>
    <t xml:space="preserve">PH_RULE_DARKSIDE_SuspiciousFileHash_FoundNetwork</t>
  </si>
  <si>
    <t xml:space="preserve">Outbreak: DARKSIDE Suspicious File Hash Found on Network</t>
  </si>
  <si>
    <t xml:space="preserve">https://filestore.fortinet.com/docs.fortinet.com/fsiem/Public_Resource_Access/7_6_0/rules/PH_RULE_DARKSIDE_SuspiciousFileHash_FoundNetwork.htm</t>
  </si>
  <si>
    <t xml:space="preserve">PH_Rule_DEARCRY_InfectedFileHost</t>
  </si>
  <si>
    <t xml:space="preserve">Outbreak: DEARCRY Infected File Detected on Host</t>
  </si>
  <si>
    <t xml:space="preserve">Exploit</t>
  </si>
  <si>
    <t xml:space="preserve">https://filestore.fortinet.com/docs.fortinet.com/fsiem/Public_Resource_Access/7_6_0/rules/PH_RULE_DEARCRY_FileDetectedHost.htm</t>
  </si>
  <si>
    <t xml:space="preserve">PH_Rule_TH_ES_WINDOWS_13</t>
  </si>
  <si>
    <t xml:space="preserve">Outbreak: DEARCRY Infected File Detected on Network</t>
  </si>
  <si>
    <t xml:space="preserve">https://filestore.fortinet.com/docs.fortinet.com/fsiem/Public_Resource_Access/7_6_0/rules/PH_RULE_DEARCRY_FileDetectedNetwork.htm</t>
  </si>
  <si>
    <t xml:space="preserve">PH_RULE_Emotet_MalwareActivityDetectedFortiClient</t>
  </si>
  <si>
    <t xml:space="preserve">Outbreak: Emotet Malware Activity Detected by FortiClient</t>
  </si>
  <si>
    <t xml:space="preserve">https://filestore.fortinet.com/docs.fortinet.com/fsiem/Public_Resource_Access/7_6_0/rules/PH_RULE_Emotet_MalwareActivityDetectedFortiClient.htm</t>
  </si>
  <si>
    <t xml:space="preserve">PH_RULE_Emotet_MalwareActivityDetectedHost</t>
  </si>
  <si>
    <t xml:space="preserve">Outbreak: Emotet Malware Activity Detected on Host</t>
  </si>
  <si>
    <t xml:space="preserve">FortiClient via Syslog; FortiGate via Syslog</t>
  </si>
  <si>
    <t xml:space="preserve">https://filestore.fortinet.com/docs.fortinet.com/fsiem/Public_Resource_Access/7_6_0/rules/PH_RULE_Emotet_MalwareActivityDetectedHost.htm</t>
  </si>
  <si>
    <t xml:space="preserve">PH_RULE_Emotet_MalwareActivityDetectedNetwork</t>
  </si>
  <si>
    <t xml:space="preserve">Outbreak: Emotet Malware Activity Detected on Network</t>
  </si>
  <si>
    <t xml:space="preserve">https://filestore.fortinet.com/docs.fortinet.com/fsiem/Public_Resource_Access/7_6_0/rules/PH_RULE_Emotet_MalwareActivityDetectedNetwork.htm</t>
  </si>
  <si>
    <t xml:space="preserve">PH_RULE_Emotet_SuspiciousFileHashForticlient</t>
  </si>
  <si>
    <t xml:space="preserve">Outbreak: Emotet Suspicious File Hash Found by Forticlient</t>
  </si>
  <si>
    <t xml:space="preserve">https://filestore.fortinet.com/docs.fortinet.com/fsiem/Public_Resource_Access/7_6_0/rules/PH_RULE_Emotet_SuspiciousFileHashForticlient.htm</t>
  </si>
  <si>
    <t xml:space="preserve">PH_RULE_Emotet_SuspiciousFileHashHost</t>
  </si>
  <si>
    <t xml:space="preserve">Outbreak: Emotet Suspicious File Hash Found on Host</t>
  </si>
  <si>
    <t xml:space="preserve">https://filestore.fortinet.com/docs.fortinet.com/fsiem/Public_Resource_Access/7_6_0/rules/PH_RULE_Emotet_SuspiciousFileHashHost.htm</t>
  </si>
  <si>
    <t xml:space="preserve">PH_RULE_Emotet_SuspiciousFileHashNetwork</t>
  </si>
  <si>
    <t xml:space="preserve">Outbreak: Emotet Suspicious File Hash Found on Network</t>
  </si>
  <si>
    <t xml:space="preserve">https://filestore.fortinet.com/docs.fortinet.com/fsiem/Public_Resource_Access/7_6_0/rules/PH_RULE_Emotet_SuspiciousFileHashNetwork.htm</t>
  </si>
  <si>
    <t xml:space="preserve">PH_Rule_Threats_BIGIP_1</t>
  </si>
  <si>
    <t xml:space="preserve">Outbreak: F5 BIG-IP TMM Attack - FortiGate IPS Exploit Permitted</t>
  </si>
  <si>
    <t xml:space="preserve">https://filestore.fortinet.com/docs.fortinet.com/fsiem/Public_Resource_Access/7_6_0/rules/PH_RULE_F5_BIGIP_TMM_ATTACK.htm</t>
  </si>
  <si>
    <t xml:space="preserve">FortiManager via Syslog; FortiGate via Syslog</t>
  </si>
  <si>
    <t xml:space="preserve">PH_Rule_TH_ES_WINDOWS_8</t>
  </si>
  <si>
    <t xml:space="preserve">Outbreak: HAFNIUM Exchange OWA Server Authentication Bypass</t>
  </si>
  <si>
    <t xml:space="preserve">https://filestore.fortinet.com/docs.fortinet.com/fsiem/Public_Resource_Access/7_6_0/rules/PH_RULE_HAFNIUM_EXCHANGE_OWA_AUTH_BYPASS.htm</t>
  </si>
  <si>
    <t xml:space="preserve">PH_Rule_TH_ES_WINDOWS_11</t>
  </si>
  <si>
    <t xml:space="preserve">Outbreak: HAFNIUM FortiGate Permitted IPS Event</t>
  </si>
  <si>
    <t xml:space="preserve">https://filestore.fortinet.com/docs.fortinet.com/fsiem/Public_Resource_Access/7_6_0/rules/PH_RULE_HAFNIUM_PERMITTED_IPS.htm</t>
  </si>
  <si>
    <t xml:space="preserve">PH_Rule_TH_ES_WINDOWS_6B</t>
  </si>
  <si>
    <t xml:space="preserve">Outbreak: HAFNIUM Inbound Network Traffic</t>
  </si>
  <si>
    <t xml:space="preserve">https://filestore.fortinet.com/docs.fortinet.com/fsiem/Public_Resource_Access/7_6_0/rules/PH_RULE_HAFNIUM_NETWORK_TRAFFIC_INBOUND.htm</t>
  </si>
  <si>
    <t xml:space="preserve">PH_Rule_TH_ES_WINDOWS_10</t>
  </si>
  <si>
    <t xml:space="preserve">Outbreak: HAFNIUM Infected File Detected by FortiGate</t>
  </si>
  <si>
    <t xml:space="preserve">https://filestore.fortinet.com/docs.fortinet.com/fsiem/Public_Resource_Access/7_6_0/rules/PH_RULE_HAFNIUM_INFECT_FILE.htm</t>
  </si>
  <si>
    <t xml:space="preserve">PH_Rule_TH_ES_WINDOWS_6</t>
  </si>
  <si>
    <t xml:space="preserve">Outbreak: HAFNIUM Outbound Network Traffic</t>
  </si>
  <si>
    <t xml:space="preserve">https://filestore.fortinet.com/docs.fortinet.com/fsiem/Public_Resource_Access/7_6_0/rules/PH_RULE_HAFNIUM_NETWORK_TRAFFIC_OUTBOUND.htm</t>
  </si>
  <si>
    <t xml:space="preserve">PH_Rule_TH_ES_WINDOWS_7</t>
  </si>
  <si>
    <t xml:space="preserve">Outbreak: HAFNIUM Suspicious File hash match</t>
  </si>
  <si>
    <t xml:space="preserve">https://filestore.fortinet.com/docs.fortinet.com/fsiem/Public_Resource_Access/7_6_0/rules/PH_RULE_HAFNIUM_SUSPICIOUS_FILE_HASH_MATCH.htm</t>
  </si>
  <si>
    <t xml:space="preserve">PH_RULE_HermeticWiperFoxblade_Activity_Host</t>
  </si>
  <si>
    <t xml:space="preserve">Outbreak: HermeticWiper-Foxblade Malware Detected on Host</t>
  </si>
  <si>
    <t xml:space="preserve">https://filestore.fortinet.com/docs.fortinet.com/fsiem/Public_Resource_Access/7_6_0/rules/PH_RULE_HermeticWiperFoxblade_Activity_Host.htm</t>
  </si>
  <si>
    <t xml:space="preserve">PH_RULE_HermeticWiperFoxblade_Activity_Network</t>
  </si>
  <si>
    <t xml:space="preserve">Outbreak: HermeticWiper-Foxblade Malware Detected on Network</t>
  </si>
  <si>
    <t xml:space="preserve">https://filestore.fortinet.com/docs.fortinet.com/fsiem/Public_Resource_Access/7_6_0/rules/PH_RULE_HermeticWiperFoxblade_Activity_Network.htm</t>
  </si>
  <si>
    <t xml:space="preserve">PH_RULE_IranLinked_CyberAttacks_CVE_2026_1731_Network</t>
  </si>
  <si>
    <t xml:space="preserve">Outbreak: Iran linked Cyber Attacks Detected on Network</t>
  </si>
  <si>
    <t xml:space="preserve">https://filestore.fortinet.com/docs.fortinet.com/fsiem/Public_Resource_Access/7_6_0/rules/PH_RULE_IranLinked_CyberAttacks_CVE_2026_1731_Network.htm</t>
  </si>
  <si>
    <t xml:space="preserve">PH_RULE_Kaseya_REvil_FileActivity_Host</t>
  </si>
  <si>
    <t xml:space="preserve">Outbreak: Kaseya REvil Ransomware File Activity Detected on Host</t>
  </si>
  <si>
    <t xml:space="preserve">https://filestore.fortinet.com/docs.fortinet.com/fsiem/Public_Resource_Access/7_6_0/rules/PH_RULE_Kaseya_REvil_FileActivity_Host.htm</t>
  </si>
  <si>
    <t xml:space="preserve">PH_RULE_Kaseya_REvil_FileActivity_Network</t>
  </si>
  <si>
    <t xml:space="preserve">Outbreak: Kaseya REvil Ransomware File Activity Detected on Network</t>
  </si>
  <si>
    <t xml:space="preserve">https://filestore.fortinet.com/docs.fortinet.com/fsiem/Public_Resource_Access/7_6_0/rules/PH_RULE_Kaseya_REvil_FileActivity_Network.htm</t>
  </si>
  <si>
    <t xml:space="preserve">PH_RULE_Kaseya_REvil_SuspiciousFileHash_Host</t>
  </si>
  <si>
    <t xml:space="preserve">Outbreak: Kaseya REvil Suspicious File Hash Found on Host</t>
  </si>
  <si>
    <t xml:space="preserve">https://filestore.fortinet.com/docs.fortinet.com/fsiem/Public_Resource_Access/7_6_0/rules/PH_RULE_Kaseya_REvil_SuspiciousFileHash_Host.htm</t>
  </si>
  <si>
    <t xml:space="preserve">PH_RULE_Kaseya_REvil_SuspiciousFileHash_Network</t>
  </si>
  <si>
    <t xml:space="preserve">Outbreak: Kaseya REvil Suspicious File Hash Found on Network</t>
  </si>
  <si>
    <t xml:space="preserve">https://filestore.fortinet.com/docs.fortinet.com/fsiem/Public_Resource_Access/7_6_0/rules/PH_RULE_Kaseya_REvil_SuspiciousFileHash_Network.htm</t>
  </si>
  <si>
    <t xml:space="preserve">PH_RULE_MSExchange_Autodiscover_RCE_Host</t>
  </si>
  <si>
    <t xml:space="preserve">Outbreak: Microsoft Exchange Autodiscover RCE ProxyNotShell Detected on Host</t>
  </si>
  <si>
    <t xml:space="preserve">https://filestore.fortinet.com/docs.fortinet.com/fsiem/Public_Resource_Access/7_6_0/rules/PH_RULE_MSExchange_Autodiscover_RCE_Host.htm</t>
  </si>
  <si>
    <t xml:space="preserve">PH_RULE_MSExchange_Autodiscover_RCE_Network</t>
  </si>
  <si>
    <t xml:space="preserve">Outbreak: Microsoft Exchange Autodiscover RCE ProxyNotShell Detected on Network</t>
  </si>
  <si>
    <t xml:space="preserve">https://filestore.fortinet.com/docs.fortinet.com/fsiem/Public_Resource_Access/7_6_0/rules/PH_RULE_MSExchange_Autodiscover_RCE_Network.htm</t>
  </si>
  <si>
    <t xml:space="preserve">PH_RULE_MS_Follina_Vuln_Host</t>
  </si>
  <si>
    <t xml:space="preserve">Outbreak: Microsoft Office Follina Vuln Detected on Host</t>
  </si>
  <si>
    <t xml:space="preserve">https://filestore.fortinet.com/docs.fortinet.com/fsiem/Public_Resource_Access/7_6_0/rules/PH_RULE_MS_Follina_Vuln_Host.htm</t>
  </si>
  <si>
    <t xml:space="preserve">PH_RULE_MS_Follina_Vuln_Network</t>
  </si>
  <si>
    <t xml:space="preserve">Outbreak: Microsoft Office Follina Vuln Detected on Network</t>
  </si>
  <si>
    <t xml:space="preserve">https://filestore.fortinet.com/docs.fortinet.com/fsiem/Public_Resource_Access/7_6_0/rules/PH_RULE_MS_Follina_Vuln_Network.htm</t>
  </si>
  <si>
    <t xml:space="preserve">PH_RULE_Prestige_Ransomware_Host</t>
  </si>
  <si>
    <t xml:space="preserve">Outbreak: Prestige Ransomware Detected on Host</t>
  </si>
  <si>
    <t xml:space="preserve">https://filestore.fortinet.com/docs.fortinet.com/fsiem/Public_Resource_Access/7_6_0/rules/PH_RULE_Prestige_Ransomware_Host.htm</t>
  </si>
  <si>
    <t xml:space="preserve">PH_RULE_Prestige_Ransomware_Network</t>
  </si>
  <si>
    <t xml:space="preserve">Outbreak: Prestige Ransomware Detected on Network</t>
  </si>
  <si>
    <t xml:space="preserve">https://filestore.fortinet.com/docs.fortinet.com/fsiem/Public_Resource_Access/7_6_0/rules/PH_RULE_Prestige_Ransomware_Network.htm</t>
  </si>
  <si>
    <t xml:space="preserve">PH_RULE_PrintNightmare_Detected_Host</t>
  </si>
  <si>
    <t xml:space="preserve">Outbreak: Print Nightmare Activity Detected on Host</t>
  </si>
  <si>
    <t xml:space="preserve">https://filestore.fortinet.com/docs.fortinet.com/fsiem/Public_Resource_Access/7_6_0/rules/PH_RULE_PrintNightmare_Detected_Host.htm</t>
  </si>
  <si>
    <t xml:space="preserve">PH_RULE_PrintNightmare_Detected_Network</t>
  </si>
  <si>
    <t xml:space="preserve">Outbreak: Print Nightmare Activity Detected on Network</t>
  </si>
  <si>
    <t xml:space="preserve">https://filestore.fortinet.com/docs.fortinet.com/fsiem/Public_Resource_Access/7_6_0/rules/PH_RULE_PrintNightmare_Detected_Network.htm</t>
  </si>
  <si>
    <t xml:space="preserve">PH_RULE_Spring4Shell_Activity_Network</t>
  </si>
  <si>
    <t xml:space="preserve">Outbreak: Spring4Shell Malware Detected on Network</t>
  </si>
  <si>
    <t xml:space="preserve">https://filestore.fortinet.com/docs.fortinet.com/fsiem/Public_Resource_Access/7_6_0/rules/PH_RULE_Spring4Shell_Activity_Network.htm</t>
  </si>
  <si>
    <t xml:space="preserve">PH_Rule_TH_ES_WINDOWS_2</t>
  </si>
  <si>
    <t xml:space="preserve">Outbreak: SUNBURST Domain Traffic</t>
  </si>
  <si>
    <t xml:space="preserve">https://filestore.fortinet.com/docs.fortinet.com/fsiem/Public_Resource_Access/7_6_0/rules/PH_RULE_SUNBURST_DOMAIN_TRAFFIC.htm</t>
  </si>
  <si>
    <t xml:space="preserve">PH_Rule_TH_ES_WINDOWS_3</t>
  </si>
  <si>
    <t xml:space="preserve">Outbreak: SUNBURST Outbound Network Traffic</t>
  </si>
  <si>
    <t xml:space="preserve">https://filestore.fortinet.com/docs.fortinet.com/fsiem/Public_Resource_Access/7_6_0/rules/PH_RULE_SUNBURST_NETWORK_TRAFFIC.htm</t>
  </si>
  <si>
    <t xml:space="preserve">PH_Rule_TH_ES_WINDOWS_4</t>
  </si>
  <si>
    <t xml:space="preserve">Outbreak: SUNBURST Suspicious File Created</t>
  </si>
  <si>
    <t xml:space="preserve">https://filestore.fortinet.com/docs.fortinet.com/fsiem/Public_Resource_Access/7_6_0/rules/PH_RULE_SUNBURST_SUSPICIOUS_FILE.htm</t>
  </si>
  <si>
    <t xml:space="preserve">PH_Rule_TH_ES_WINDOWS_5</t>
  </si>
  <si>
    <t xml:space="preserve">Outbreak: SUNBURST Suspicious File Hash Match</t>
  </si>
  <si>
    <t xml:space="preserve">Microsoft Windows Sysmon via Windows Collector; FortiSandbox via Syslog; FortiGate via Syslog</t>
  </si>
  <si>
    <t xml:space="preserve">https://filestore.fortinet.com/docs.fortinet.com/fsiem/Public_Resource_Access/7_6_0/rules/PH_RULE_SUNBURST_SUSPICIOUS_FILE_MD5_MATCH.htm</t>
  </si>
  <si>
    <t xml:space="preserve">PH_Rule_TH_ES_WINDOWS_12</t>
  </si>
  <si>
    <t xml:space="preserve">Outbreak: SUNBURST Suspicious File Hash match by Source and Destination</t>
  </si>
  <si>
    <t xml:space="preserve">https://filestore.fortinet.com/docs.fortinet.com/fsiem/Public_Resource_Access/7_6_0/rules/PH_RULE_SUNBURST_SUSPICIOUS_FILE_SOURCE_DESTINATION.htm</t>
  </si>
  <si>
    <t xml:space="preserve">PH_RULE_SYSRVK_Botnet_Activity_Host</t>
  </si>
  <si>
    <t xml:space="preserve">Outbreak: Sysrv-K Botnet Activity Detected on Host</t>
  </si>
  <si>
    <t xml:space="preserve">https://filestore.fortinet.com/docs.fortinet.com/fsiem/Public_Resource_Access/7_6_0/rules/PH_RULE_SYSRVK_Botnet_Activity_Host.htm</t>
  </si>
  <si>
    <t xml:space="preserve">PH_RULE_SYSRVK_Botnet_Activity_Network</t>
  </si>
  <si>
    <t xml:space="preserve">Outbreak: Sysrv-K Botnet Activity Detected on Network</t>
  </si>
  <si>
    <t xml:space="preserve">https://filestore.fortinet.com/docs.fortinet.com/fsiem/Public_Resource_Access/7_6_0/rules/PH_RULE_SYSRVK_Botnet_Activity_Network.htm</t>
  </si>
  <si>
    <t xml:space="preserve">PH_RULE_WIN_HTTP_ProtoStackRCE_Host</t>
  </si>
  <si>
    <t xml:space="preserve">Outbreak: Windows HTTP Protocol Stack RCE Detected on Host</t>
  </si>
  <si>
    <t xml:space="preserve">https://filestore.fortinet.com/docs.fortinet.com/fsiem/Public_Resource_Access/7_6_0/rules/PH_RULE_WIN_HTTP_ProtoStackRCE_Host.htm</t>
  </si>
  <si>
    <t xml:space="preserve">PH_RULE_WIN_HTTP_ProtoStackRCE_Network</t>
  </si>
  <si>
    <t xml:space="preserve">Outbreak: Windows HTTP Protocol Stack RCE Detected on Network</t>
  </si>
  <si>
    <t xml:space="preserve">https://filestore.fortinet.com/docs.fortinet.com/fsiem/Public_Resource_Access/7_6_0/rules/PH_RULE_WIN_HTTP_ProtoStackRCE_Network.htm</t>
  </si>
  <si>
    <t xml:space="preserve">PH_RULE_OpenSSL_CVE_2022_3602_Host</t>
  </si>
  <si>
    <t xml:space="preserve">Outbreak: X.509 Email Address Buffer Overflow in OpenSSL 3.0.0 to 3.0.6 detected on Host</t>
  </si>
  <si>
    <t xml:space="preserve">https://filestore.fortinet.com/docs.fortinet.com/fsiem/Public_Resource_Access/7_6_0/rules/PH_RULE_OpenSSL_CVE_2022_3602_Host.htm</t>
  </si>
  <si>
    <t xml:space="preserve">PH_RULE_OpenSSL_CVE_2022_3602_Network</t>
  </si>
  <si>
    <t xml:space="preserve">Outbreak: X.509 Email Address Buffer Overflow in OpenSSL 3.0.0 to 3.0.6 detected on Network</t>
  </si>
  <si>
    <t xml:space="preserve">https://filestore.fortinet.com/docs.fortinet.com/fsiem/Public_Resource_Access/7_6_0/rules/PH_RULE_OpenSSL_CVE_2022_3602_Network.htm</t>
  </si>
  <si>
    <t xml:space="preserve">PH_Rule_PolicyViolation_2</t>
  </si>
  <si>
    <t xml:space="preserve">P2P traffic consuming high network bandwidth</t>
  </si>
  <si>
    <t xml:space="preserve">https://filestore.fortinet.com/docs.fortinet.com/fsiem/Public_Resource_Access/7_6_0/rules/PH_RULE_P2P_TRAFFIC_HIGH_BW.htm</t>
  </si>
  <si>
    <t xml:space="preserve">PH_Rule_PolicyViolation_1</t>
  </si>
  <si>
    <t xml:space="preserve">P2P traffic detected</t>
  </si>
  <si>
    <t xml:space="preserve">https://filestore.fortinet.com/docs.fortinet.com/fsiem/Public_Resource_Access/7_6_0/rules/PH_RULE_P2P_TRAFFIC.htm</t>
  </si>
  <si>
    <t xml:space="preserve">PH_RULE_PANOS_ConfigChangeFailed</t>
  </si>
  <si>
    <t xml:space="preserve">Palo Alto Config Change Failed</t>
  </si>
  <si>
    <t xml:space="preserve">https://filestore.fortinet.com/docs.fortinet.com/fsiem/Public_Resource_Access/7_6_0/rules/PH_RULE_PANOS_ConfigChangeFailed.htm</t>
  </si>
  <si>
    <t xml:space="preserve">PH_RULE_PANOS_ConfigChangeSucceeded</t>
  </si>
  <si>
    <t xml:space="preserve">Palo Alto Config Change Succeeded</t>
  </si>
  <si>
    <t xml:space="preserve">https://filestore.fortinet.com/docs.fortinet.com/fsiem/Public_Resource_Access/7_6_0/rules/PH_RULE_PANOS_ConfigChangeSucceeded.htm</t>
  </si>
  <si>
    <t xml:space="preserve">PH_Rule_Avail_PH_16B</t>
  </si>
  <si>
    <t xml:space="preserve">Performance Monitoring Error</t>
  </si>
  <si>
    <t xml:space="preserve">https://filestore.fortinet.com/docs.fortinet.com/fsiem/Public_Resource_Access/7_6_0/rules/PH_RULE_SYS_PERF_MON_ERROR.htm</t>
  </si>
  <si>
    <t xml:space="preserve">PH_Rule_Avail_PH_32</t>
  </si>
  <si>
    <t xml:space="preserve">Performance monitoring jobs deleted by discovery</t>
  </si>
  <si>
    <t xml:space="preserve">https://filestore.fortinet.com/docs.fortinet.com/fsiem/Public_Resource_Access/7_6_0/rules/PH_RULE_PERF_MON_JOB_DELETED.htm</t>
  </si>
  <si>
    <t xml:space="preserve">PH_Rule_Avail_PH_33</t>
  </si>
  <si>
    <t xml:space="preserve">Performance monitoring jobs not picked up for execution</t>
  </si>
  <si>
    <t xml:space="preserve">https://filestore.fortinet.com/docs.fortinet.com/fsiem/Public_Resource_Access/7_6_0/rules/PH_RULE_PERF_MON_JOB_NOT_STARTED.htm</t>
  </si>
  <si>
    <t xml:space="preserve">PH_Rule_PolicyViolation_20</t>
  </si>
  <si>
    <t xml:space="preserve">Permitted Blacklisted Destination</t>
  </si>
  <si>
    <t xml:space="preserve">https://filestore.fortinet.com/docs.fortinet.com/fsiem/Public_Resource_Access/7_6_0/rules/PH_RULE_ASA_PERMIT_BLACKLIST_DEST.htm</t>
  </si>
  <si>
    <t xml:space="preserve">PH_Rule_PolicyViolation_18</t>
  </si>
  <si>
    <t xml:space="preserve">Permitted Blacklisted Source</t>
  </si>
  <si>
    <t xml:space="preserve">https://filestore.fortinet.com/docs.fortinet.com/fsiem/Public_Resource_Access/7_6_0/rules/PH_RULE_ASA_PERMIT_BLACKLIST_SRC.htm</t>
  </si>
  <si>
    <t xml:space="preserve">PH_Rule_Vuln_25</t>
  </si>
  <si>
    <t xml:space="preserve">Permitted Traffic from Anomali ThreatStream Malware IP List</t>
  </si>
  <si>
    <t xml:space="preserve">https://filestore.fortinet.com/docs.fortinet.com/fsiem/Public_Resource_Access/7_6_0/rules/PH_RULE_FROM_THREATSTREAM_MALWARE_IP.htm</t>
  </si>
  <si>
    <t xml:space="preserve">PH_Rule_Anyrun_MalwareDomain_Inbound</t>
  </si>
  <si>
    <t xml:space="preserve">Permitted Traffic from Anyrun Malware Domain List</t>
  </si>
  <si>
    <t xml:space="preserve">https://filestore.fortinet.com/docs.fortinet.com/fsiem/Public_Resource_Access/7_6_0/rules/PH_Rule_Anyrun_MalwareDomain_Inbound.htm</t>
  </si>
  <si>
    <t xml:space="preserve">PH_Rule_Anyrun_MalwareIP_Inbound</t>
  </si>
  <si>
    <t xml:space="preserve">Permitted Traffic from Anyrun Malware IP List</t>
  </si>
  <si>
    <t xml:space="preserve">https://filestore.fortinet.com/docs.fortinet.com/fsiem/Public_Resource_Access/7_6_0/rules/PH_Rule_Anyrun_MalwareIP_Inbound.htm</t>
  </si>
  <si>
    <t xml:space="preserve">PH_Rule_Blocklist_MalwareIP_Inbound</t>
  </si>
  <si>
    <t xml:space="preserve">Permitted Traffic from Blocklist DE Malware IP List</t>
  </si>
  <si>
    <t xml:space="preserve">https://filestore.fortinet.com/docs.fortinet.com/fsiem/Public_Resource_Access/7_6_0/rules/PH_Rule_Blocklist_MalwareIP_Inbound.htm</t>
  </si>
  <si>
    <t xml:space="preserve">PH_Rule_C2_Tracker_MalwareIP_Inbound</t>
  </si>
  <si>
    <t xml:space="preserve">Permitted Traffic from C2 Tracker Malware IP List</t>
  </si>
  <si>
    <t xml:space="preserve">https://filestore.fortinet.com/docs.fortinet.com/fsiem/Public_Resource_Access/7_6_0/rules/PH_Rule_C2_Tracker_MalwareIP_Inbound.htm</t>
  </si>
  <si>
    <t xml:space="preserve">PH_Rule_CertPL_MalwareDomain_Inbound</t>
  </si>
  <si>
    <t xml:space="preserve">Permitted Traffic from CertPL Malware Domain List</t>
  </si>
  <si>
    <t xml:space="preserve">https://filestore.fortinet.com/docs.fortinet.com/fsiem/Public_Resource_Access/7_6_0/rules/PH_Rule_CertPL_MalwareDomain_Inbound.htm</t>
  </si>
  <si>
    <t xml:space="preserve">PH_Rule_CINSScore_MalwareIP_Inbound</t>
  </si>
  <si>
    <t xml:space="preserve">Permitted Traffic from CINS Score Malware IP List</t>
  </si>
  <si>
    <t xml:space="preserve">https://filestore.fortinet.com/docs.fortinet.com/fsiem/Public_Resource_Access/7_6_0/rules/PH_Rule_CINSScore_MalwareIP_Inbound.htm</t>
  </si>
  <si>
    <t xml:space="preserve">PH_Rule_Vuln_12</t>
  </si>
  <si>
    <t xml:space="preserve">Permitted Traffic from Emerging Threat IP List</t>
  </si>
  <si>
    <t xml:space="preserve">https://filestore.fortinet.com/docs.fortinet.com/fsiem/Public_Resource_Access/7_6_0/rules/PH_RULE_FROM_EMERGING_THREAT_IP.htm</t>
  </si>
  <si>
    <t xml:space="preserve">PH_Rule_FireHol_MalwareIP_Inbound</t>
  </si>
  <si>
    <t xml:space="preserve">Permitted Traffic from FireHol Malware IP List</t>
  </si>
  <si>
    <t xml:space="preserve">https://filestore.fortinet.com/docs.fortinet.com/fsiem/Public_Resource_Access/7_6_0/rules/PH_Rule_FireHol_MalwareIP_Inbound.htm</t>
  </si>
  <si>
    <t xml:space="preserve">PH_Rule_Vuln_25B</t>
  </si>
  <si>
    <t xml:space="preserve">Permitted Traffic from FortiGuard Malware IP List</t>
  </si>
  <si>
    <t xml:space="preserve">https://filestore.fortinet.com/docs.fortinet.com/fsiem/Public_Resource_Access/7_6_0/rules/PH_RULE_FROM_FORTIGUARD_MALWARE_IP.htm</t>
  </si>
  <si>
    <t xml:space="preserve">PH_Rule_FortiRecon_MalwareDomain_Inbound</t>
  </si>
  <si>
    <t xml:space="preserve">Permitted Traffic from FortiRecon Malware Domain List</t>
  </si>
  <si>
    <t xml:space="preserve">https://filestore.fortinet.com/docs.fortinet.com/fsiem/Public_Resource_Access/7_6_0/rules/PH_Rule_FortiRecon_MalwareDomain_Inbound.htm</t>
  </si>
  <si>
    <t xml:space="preserve">PH_Rule_FortiRecon_MalwareIP_Inbound</t>
  </si>
  <si>
    <t xml:space="preserve">Permitted Traffic from FortiRecon Malware IP List</t>
  </si>
  <si>
    <t xml:space="preserve">https://filestore.fortinet.com/docs.fortinet.com/fsiem/Public_Resource_Access/7_6_0/rules/PH_Rule_FortiRecon_MalwareIP_Inbound.htm</t>
  </si>
  <si>
    <t xml:space="preserve">PH_Rule_FortiSOAR_MalwareDomain_Inbound</t>
  </si>
  <si>
    <t xml:space="preserve">Permitted Traffic from FortiSOAR Malware Domain List</t>
  </si>
  <si>
    <t xml:space="preserve">https://filestore.fortinet.com/docs.fortinet.com/fsiem/Public_Resource_Access/7_6_0/rules/PH_Rule_FortiSOAR_MalwareDomain_Inbound.htm</t>
  </si>
  <si>
    <t xml:space="preserve">PH_Rule_FortiSOAR_MalwareIP_Inbound</t>
  </si>
  <si>
    <t xml:space="preserve">Permitted Traffic from FortiSOAR Malware IP List</t>
  </si>
  <si>
    <t xml:space="preserve">https://filestore.fortinet.com/docs.fortinet.com/fsiem/Public_Resource_Access/7_6_0/rules/PH_Rule_FortiSOAR_MalwareIP_Inbound.htm</t>
  </si>
  <si>
    <t xml:space="preserve">PH_Rule_Greensnow_MalwareIP_Inbound</t>
  </si>
  <si>
    <t xml:space="preserve">Permitted Traffic from Greensnow Malware IP List</t>
  </si>
  <si>
    <t xml:space="preserve">https://filestore.fortinet.com/docs.fortinet.com/fsiem/Public_Resource_Access/7_6_0/rules/PH_Rule_Greensnow_MalwareIP_Inbound.htm</t>
  </si>
  <si>
    <t xml:space="preserve">PH_Rule_GTI_MalwareDomain_Inbound</t>
  </si>
  <si>
    <t xml:space="preserve">Permitted Traffic from GTI Malware Domain List</t>
  </si>
  <si>
    <t xml:space="preserve">https://filestore.fortinet.com/docs.fortinet.com/fsiem/Public_Resource_Access/7_6_0/rules/PH_Rule_GTI_MalwareDomain_Inbound.htm</t>
  </si>
  <si>
    <t xml:space="preserve">PH_Rule_GTI_MalwareIP_Inbound</t>
  </si>
  <si>
    <t xml:space="preserve">Permitted Traffic from GTI Malware IP List</t>
  </si>
  <si>
    <t xml:space="preserve">https://filestore.fortinet.com/docs.fortinet.com/fsiem/Public_Resource_Access/7_6_0/rules/PH_Rule_GTI_MalwareIP_Inbound.htm</t>
  </si>
  <si>
    <t xml:space="preserve">PH_Rule_IPSum_MalwareIP_Inbound</t>
  </si>
  <si>
    <t xml:space="preserve">Permitted Traffic from IPSum Malware IP List</t>
  </si>
  <si>
    <t xml:space="preserve">https://filestore.fortinet.com/docs.fortinet.com/fsiem/Public_Resource_Access/7_6_0/rules/PH_Rule_IPSum_MalwareIP_Inbound.htm</t>
  </si>
  <si>
    <t xml:space="preserve">PH_Rule_Mandiant_MalwareDomain_Inbound</t>
  </si>
  <si>
    <t xml:space="preserve">Permitted Traffic from Mandiant Malware Domain List</t>
  </si>
  <si>
    <t xml:space="preserve">https://filestore.fortinet.com/docs.fortinet.com/fsiem/Public_Resource_Access/7_6_0/rules/PH_Rule_Mandiant_MalwareDomain_Inbound.htm</t>
  </si>
  <si>
    <t xml:space="preserve">PH_Rule_Mandiant_MalwareIP_Inbound</t>
  </si>
  <si>
    <t xml:space="preserve">Permitted Traffic from Mandiant Malware IP List</t>
  </si>
  <si>
    <t xml:space="preserve">https://filestore.fortinet.com/docs.fortinet.com/fsiem/Public_Resource_Access/7_6_0/rules/PH_Rule_Mandiant_MalwareIP_Inbound.htm</t>
  </si>
  <si>
    <t xml:space="preserve">PH_Rule_MISP_MalwareDomain_Inbound</t>
  </si>
  <si>
    <t xml:space="preserve">Permitted Traffic from MISP Malware Domain List</t>
  </si>
  <si>
    <t xml:space="preserve">https://filestore.fortinet.com/docs.fortinet.com/fsiem/Public_Resource_Access/7_6_0/rules/PH_Rule_MISP_MalwareDomain_Inbound.htm</t>
  </si>
  <si>
    <t xml:space="preserve">PH_Rule_MISP_MalwareIP_Inbound</t>
  </si>
  <si>
    <t xml:space="preserve">Permitted Traffic from MISP Malware IP List</t>
  </si>
  <si>
    <t xml:space="preserve">https://filestore.fortinet.com/docs.fortinet.com/fsiem/Public_Resource_Access/7_6_0/rules/PH_Rule_MISP_MalwareIP_Inbound.htm</t>
  </si>
  <si>
    <t xml:space="preserve">PH_Rule_OPENCTI_MalDomain_Inbound</t>
  </si>
  <si>
    <t xml:space="preserve">Permitted Traffic from OpenCTI Malware Domain List</t>
  </si>
  <si>
    <t xml:space="preserve">https://filestore.fortinet.com/docs.fortinet.com/fsiem/Public_Resource_Access/7_6_0/rules/PH_Rule_OPENCTI_MalDomain_Inbound.htm</t>
  </si>
  <si>
    <t xml:space="preserve">PH_Rule_OPENCTI_MalwareIP_Inbound</t>
  </si>
  <si>
    <t xml:space="preserve">Permitted Traffic from OpenCTI Malware IP List</t>
  </si>
  <si>
    <t xml:space="preserve">https://filestore.fortinet.com/docs.fortinet.com/fsiem/Public_Resource_Access/7_6_0/rules/PH_Rule_OPENCTI_MalwareIP_Inbound.htm</t>
  </si>
  <si>
    <t xml:space="preserve">PH_Rule_Proofpoint_MalwareIP_Inbound</t>
  </si>
  <si>
    <t xml:space="preserve">Permitted Traffic from Proofpoint Malware IP List</t>
  </si>
  <si>
    <t xml:space="preserve">https://filestore.fortinet.com/docs.fortinet.com/fsiem/Public_Resource_Access/7_6_0/rules/PH_Rule_Proofpoint_MalwareIP_Inbound.htm</t>
  </si>
  <si>
    <t xml:space="preserve">PH_Rule_Snort_MalwareIP_Inbound</t>
  </si>
  <si>
    <t xml:space="preserve">Permitted Traffic from Snort Malware IP List</t>
  </si>
  <si>
    <t xml:space="preserve">https://filestore.fortinet.com/docs.fortinet.com/fsiem/Public_Resource_Access/7_6_0/rules/PH_Rule_Snort_MalwareIP_Inbound.htm</t>
  </si>
  <si>
    <t xml:space="preserve">PH_Rule_TweetFeed_MalwareDomain_Inbound</t>
  </si>
  <si>
    <t xml:space="preserve">Permitted Traffic from TweetFeed Malware Domain List</t>
  </si>
  <si>
    <t xml:space="preserve">https://filestore.fortinet.com/docs.fortinet.com/fsiem/Public_Resource_Access/7_6_0/rules/PH_Rule_TweetFeed_MalwareDomain_Inbound.htm</t>
  </si>
  <si>
    <t xml:space="preserve">PH_Rule_Tweetfeed_MalwareIP_Inbound</t>
  </si>
  <si>
    <t xml:space="preserve">Permitted Traffic from TweetFeed Malware IP List</t>
  </si>
  <si>
    <t xml:space="preserve">https://filestore.fortinet.com/docs.fortinet.com/fsiem/Public_Resource_Access/7_6_0/rules/PH_Rule_Tweetfeed_MalwareIP_Inbound.htm</t>
  </si>
  <si>
    <t xml:space="preserve">PH_Rule_Vuln_18</t>
  </si>
  <si>
    <t xml:space="preserve">Phishing attack found but not remediated</t>
  </si>
  <si>
    <t xml:space="preserve">https://filestore.fortinet.com/docs.fortinet.com/fsiem/Public_Resource_Access/7_6_0/rules/PH_RULE_PHISH_NON_REMEDY.htm</t>
  </si>
  <si>
    <t xml:space="preserve">PH_Rule_VoIP_4</t>
  </si>
  <si>
    <t xml:space="preserve">Poor VoIP Call Quality</t>
  </si>
  <si>
    <t xml:space="preserve">https://filestore.fortinet.com/docs.fortinet.com/fsiem/Public_Resource_Access/7_6_0/rules/PH_RULE_POOR_VOIP_MOS_CDR.htm</t>
  </si>
  <si>
    <t xml:space="preserve">PH_Rule_VoIP_2</t>
  </si>
  <si>
    <t xml:space="preserve">Poor VoIP IPSLA Call Quality</t>
  </si>
  <si>
    <t xml:space="preserve">https://filestore.fortinet.com/docs.fortinet.com/fsiem/Public_Resource_Access/7_6_0/rules/PH_RULE_POOR_VOIP_MOS.htm</t>
  </si>
  <si>
    <t xml:space="preserve">PH_Rule_TH_6</t>
  </si>
  <si>
    <t xml:space="preserve">PowerShell Commandlet of Well Known Exploitation Framework Detected</t>
  </si>
  <si>
    <t xml:space="preserve">https://filestore.fortinet.com/docs.fortinet.com/fsiem/Public_Resource_Access/7_6_0/rules/PH_RULE_WIN_POWERSHELL_COMMANDLET.htm</t>
  </si>
  <si>
    <t xml:space="preserve">PH_Rule_TH_8</t>
  </si>
  <si>
    <t xml:space="preserve">PowerShell Script Detected Calling a Credential Prompt</t>
  </si>
  <si>
    <t xml:space="preserve">https://filestore.fortinet.com/docs.fortinet.com/fsiem/Public_Resource_Access/7_6_0/rules/PH_RULE_WIN_POWERSHELL_CREDENTIAL_PROMPT.htm</t>
  </si>
  <si>
    <t xml:space="preserve">FortiProxy via Syslog; FortiGate via Syslog; Linux via Syslog</t>
  </si>
  <si>
    <t xml:space="preserve">PH_Rule_RV_4</t>
  </si>
  <si>
    <t xml:space="preserve">Radvision call setup issues</t>
  </si>
  <si>
    <t xml:space="preserve">Video Conferencing</t>
  </si>
  <si>
    <t xml:space="preserve">Radvision via SNMP Trap</t>
  </si>
  <si>
    <t xml:space="preserve">https://filestore.fortinet.com/docs.fortinet.com/fsiem/Public_Resource_Access/7_6_0/rules/PH_RULE_RV_CALL_PROBLEMS.htm</t>
  </si>
  <si>
    <t xml:space="preserve">PH_Rule_RV_6</t>
  </si>
  <si>
    <t xml:space="preserve">Radvision Corrupt video packets</t>
  </si>
  <si>
    <t xml:space="preserve">https://filestore.fortinet.com/docs.fortinet.com/fsiem/Public_Resource_Access/7_6_0/rules/PH_RULE_RV_CORRUPT_VIDEO.htm</t>
  </si>
  <si>
    <t xml:space="preserve">PH_Rule_RV_3</t>
  </si>
  <si>
    <t xml:space="preserve">Radvision Ethernet Loss</t>
  </si>
  <si>
    <t xml:space="preserve">https://filestore.fortinet.com/docs.fortinet.com/fsiem/Public_Resource_Access/7_6_0/rules/PH_RULE_RV_ETHERNET_DOWN.htm</t>
  </si>
  <si>
    <t xml:space="preserve">PH_Rule_RV_1</t>
  </si>
  <si>
    <t xml:space="preserve">Radvision Gateway Down</t>
  </si>
  <si>
    <t xml:space="preserve">https://filestore.fortinet.com/docs.fortinet.com/fsiem/Public_Resource_Access/7_6_0/rules/PH_RULE_RV_DOWN.htm</t>
  </si>
  <si>
    <t xml:space="preserve">PH_Rule_RV_5</t>
  </si>
  <si>
    <t xml:space="preserve">Radvision Hardware Removed/Swapped</t>
  </si>
  <si>
    <t xml:space="preserve">https://filestore.fortinet.com/docs.fortinet.com/fsiem/Public_Resource_Access/7_6_0/rules/PH_RULE_RV_HW_REMOVE.htm</t>
  </si>
  <si>
    <t xml:space="preserve">PH_Rule_RV_2</t>
  </si>
  <si>
    <t xml:space="preserve">Radvision ISDN Loss</t>
  </si>
  <si>
    <t xml:space="preserve">https://filestore.fortinet.com/docs.fortinet.com/fsiem/Public_Resource_Access/7_6_0/rules/PH_RULE_RV_ISDN_DOWN.htm</t>
  </si>
  <si>
    <t xml:space="preserve">Hillstone Firewall via Syslog; Sophos Firewall via Syslog; Juniper JunOS via Syslog; Pulse Secure via Syslog; Juniper SRX via Syslog; HP Procurve via Syslog; Juniper SSG via Syslog; WatchGuard via Syslog; FortiProxy via Syslog; FortiGate via Syslog; Cisco IOS via Syslog; Cisco ASA via Syslog; NetScaler via Syslog; Riverbed via Syslog; BlueCoat via Syslog; FortiWeb via Syslog; SonicOS via Syslog</t>
  </si>
  <si>
    <t xml:space="preserve">Oracle Database Server via JDBC; Microsoft SQL Server via JDBC; Microsoft IIS via Syslog; FortiWeb via Syslog; Apache via Syslog; JBOSS via Syslog; F5 via Syslog; IBM DB2 via JDBC</t>
  </si>
  <si>
    <t xml:space="preserve">Hillstone Firewall via Syslog; Sophos Firewall via Syslog; Juniper JunOS via Syslog; Pulse Secure via Syslog; Juniper SRX via Syslog; Juniper SSG via Syslog; WatchGuard via Syslog; FortiProxy via Syslog; FortiGate via Syslog; Cisco IOS via Syslog; Cisco ASA via Syslog; SonicOS via Syslog</t>
  </si>
  <si>
    <t xml:space="preserve">PH_Rule_Avail_43</t>
  </si>
  <si>
    <t xml:space="preserve">Riverbed Steelhead Service Health Critical</t>
  </si>
  <si>
    <t xml:space="preserve">WAN</t>
  </si>
  <si>
    <t xml:space="preserve">https://filestore.fortinet.com/docs.fortinet.com/fsiem/Public_Resource_Access/7_6_0/rules/PH_RULE_RVBD_SVC_HEALTH_CRIT.htm</t>
  </si>
  <si>
    <t xml:space="preserve">PH_Rule_Avail_42</t>
  </si>
  <si>
    <t xml:space="preserve">Riverbed Steelhead System Health Critical</t>
  </si>
  <si>
    <t xml:space="preserve">https://filestore.fortinet.com/docs.fortinet.com/fsiem/Public_Resource_Access/7_6_0/rules/PH_RULE_RVBD_SYS_HEALTH_CRIT.htm</t>
  </si>
  <si>
    <t xml:space="preserve">PH_Rule_Avail_41</t>
  </si>
  <si>
    <t xml:space="preserve">Riverbed Steelhead System Health Degraded</t>
  </si>
  <si>
    <t xml:space="preserve">https://filestore.fortinet.com/docs.fortinet.com/fsiem/Public_Resource_Access/7_6_0/rules/PH_RULE_RVBD_SYS_HEALTH_WARN.htm</t>
  </si>
  <si>
    <t xml:space="preserve">PH_Rule_PolicyViolation_14</t>
  </si>
  <si>
    <t xml:space="preserve">Rogue or Unsecure AP Detected</t>
  </si>
  <si>
    <t xml:space="preserve">SonicWall Firewall via Syslog; Aruba WLC via SNMP Trap; Cisco WLC via SNMP Trap</t>
  </si>
  <si>
    <t xml:space="preserve">https://filestore.fortinet.com/docs.fortinet.com/fsiem/Public_Resource_Access/7_6_0/rules/PH_RULE_ROGUE_AP.htm</t>
  </si>
  <si>
    <t xml:space="preserve">PH_Rule_Vuln_19</t>
  </si>
  <si>
    <t xml:space="preserve">Rootkit found</t>
  </si>
  <si>
    <t xml:space="preserve">https://filestore.fortinet.com/docs.fortinet.com/fsiem/Public_Resource_Access/7_6_0/rules/PH_RULE_ROOTKIT.htm</t>
  </si>
  <si>
    <t xml:space="preserve">PH_Rule_Change_6</t>
  </si>
  <si>
    <t xml:space="preserve">Running Config Change</t>
  </si>
  <si>
    <t xml:space="preserve">https://filestore.fortinet.com/docs.fortinet.com/fsiem/Public_Resource_Access/7_6_0/rules/PH_RULE_CHANGE_RUN_CONFIG.htm</t>
  </si>
  <si>
    <t xml:space="preserve">PH_Rule_Change_4</t>
  </si>
  <si>
    <t xml:space="preserve">Running Config Change: with login info</t>
  </si>
  <si>
    <t xml:space="preserve">Foundry Ironware Config Change Monitoring via Syslog; Cisco ASA via SSH; Cisco IOS via SSH</t>
  </si>
  <si>
    <t xml:space="preserve">https://filestore.fortinet.com/docs.fortinet.com/fsiem/Public_Resource_Access/7_6_0/rules/PH_RULE_CHANGE_RUN_CONFIG_LOGIN.htm</t>
  </si>
  <si>
    <t xml:space="preserve">PH_Rule_Vuln_1_1</t>
  </si>
  <si>
    <t xml:space="preserve">Scanner found medium vulnerability</t>
  </si>
  <si>
    <t xml:space="preserve">Rapid7 via NexPose API or InsightVM_API; Digital Defense via FRONTLINE_API; Tenable or Nessus via NessusAPI; FortiClient via FortiEMS_API; FortiClient via Syslog; Qualys via QualysAPI</t>
  </si>
  <si>
    <t xml:space="preserve">https://filestore.fortinet.com/docs.fortinet.com/fsiem/Public_Resource_Access/7_6_0/rules/PH_RULE_MEDIUM_SEV_SCANNER.htm</t>
  </si>
  <si>
    <t xml:space="preserve">PH_Rule_Vuln_1</t>
  </si>
  <si>
    <t xml:space="preserve">Scanner found severe vulnerability</t>
  </si>
  <si>
    <t xml:space="preserve">https://filestore.fortinet.com/docs.fortinet.com/fsiem/Public_Resource_Access/7_6_0/rules/PH_RULE_HIGH_SEV_SCANNER.htm</t>
  </si>
  <si>
    <t xml:space="preserve">PH_Rule_Avail_PH_18B</t>
  </si>
  <si>
    <t xml:space="preserve">Scheduled Report Send Error</t>
  </si>
  <si>
    <t xml:space="preserve">https://filestore.fortinet.com/docs.fortinet.com/fsiem/Public_Resource_Access/7_6_0/rules/PH_RULE_SYS_REPORT_NOTIF_ERROR.htm</t>
  </si>
  <si>
    <t xml:space="preserve">PH_Rule_Perf_202</t>
  </si>
  <si>
    <t xml:space="preserve">Server CPU Critical</t>
  </si>
  <si>
    <t xml:space="preserve">https://filestore.fortinet.com/docs.fortinet.com/fsiem/Public_Resource_Access/7_6_0/rules/PH_RULE_SERVER_CPU_CRIT.htm</t>
  </si>
  <si>
    <t xml:space="preserve">PH_Rule_Perf_201</t>
  </si>
  <si>
    <t xml:space="preserve">Server CPU Warning</t>
  </si>
  <si>
    <t xml:space="preserve">https://filestore.fortinet.com/docs.fortinet.com/fsiem/Public_Resource_Access/7_6_0/rules/PH_RULE_SERVER_CPU_WARN.htm</t>
  </si>
  <si>
    <t xml:space="preserve">PH_Rule_Degraded_Ping_Server</t>
  </si>
  <si>
    <t xml:space="preserve">Server Degraded: Lossy Ping Response</t>
  </si>
  <si>
    <t xml:space="preserve">https://filestore.fortinet.com/docs.fortinet.com/fsiem/Public_Resource_Access/7_6_0/rules/PH_RULE_DEGRADED_PING_SERVER.htm</t>
  </si>
  <si>
    <t xml:space="preserve">PH_Rule_Perf_209C</t>
  </si>
  <si>
    <t xml:space="preserve">Server Disk Latency Critical</t>
  </si>
  <si>
    <t xml:space="preserve">https://filestore.fortinet.com/docs.fortinet.com/fsiem/Public_Resource_Access/7_6_0/rules/PH_RULE_SERVER_DISK_LATENCY_CRIT.htm</t>
  </si>
  <si>
    <t xml:space="preserve">PH_Rule_Perf_209B</t>
  </si>
  <si>
    <t xml:space="preserve">Server Disk Latency Warning</t>
  </si>
  <si>
    <t xml:space="preserve">https://filestore.fortinet.com/docs.fortinet.com/fsiem/Public_Resource_Access/7_6_0/rules/PH_RULE_SERVER_DISK_LATENCY_WARN.htm</t>
  </si>
  <si>
    <t xml:space="preserve">PH_Rule_Perf_210</t>
  </si>
  <si>
    <t xml:space="preserve">Server Disk Space Critical</t>
  </si>
  <si>
    <t xml:space="preserve">https://filestore.fortinet.com/docs.fortinet.com/fsiem/Public_Resource_Access/7_6_0/rules/PH_RULE_SERVER_DISK_SPACE_CRIT.htm</t>
  </si>
  <si>
    <t xml:space="preserve">PH_Rule_Perf_209</t>
  </si>
  <si>
    <t xml:space="preserve">Server Disk space Warning</t>
  </si>
  <si>
    <t xml:space="preserve">https://filestore.fortinet.com/docs.fortinet.com/fsiem/Public_Resource_Access/7_6_0/rules/PH_RULE_SERVER_DISK_SPACE_WARN.htm</t>
  </si>
  <si>
    <t xml:space="preserve">PH_Rule_No_Response_To_Ping_Server</t>
  </si>
  <si>
    <t xml:space="preserve">Server Down: No Ping Response</t>
  </si>
  <si>
    <t xml:space="preserve">https://filestore.fortinet.com/docs.fortinet.com/fsiem/Public_Resource_Access/7_6_0/rules/PH_RULE_NON_RESPONSIVE_SERVER.htm</t>
  </si>
  <si>
    <t xml:space="preserve">PH_Rule_Avail_24</t>
  </si>
  <si>
    <t xml:space="preserve">Server Hardware Critical</t>
  </si>
  <si>
    <t xml:space="preserve">Any Device via Syslog or SNMP</t>
  </si>
  <si>
    <t xml:space="preserve">https://filestore.fortinet.com/docs.fortinet.com/fsiem/Public_Resource_Access/7_6_0/rules/PH_RULE_SERVER_HW_CRITICAL.htm</t>
  </si>
  <si>
    <t xml:space="preserve">PH_Rule_Avail_23</t>
  </si>
  <si>
    <t xml:space="preserve">Server Hardware Warning</t>
  </si>
  <si>
    <t xml:space="preserve">https://filestore.fortinet.com/docs.fortinet.com/fsiem/Public_Resource_Access/7_6_0/rules/PH_RULE_SERVER_HW_WARN.htm</t>
  </si>
  <si>
    <t xml:space="preserve">PH_Rule_Change_7</t>
  </si>
  <si>
    <t xml:space="preserve">Server Installed Software Change</t>
  </si>
  <si>
    <t xml:space="preserve">Microsoft Windows via Windows Collector; Linux via SNMP</t>
  </si>
  <si>
    <t xml:space="preserve">https://filestore.fortinet.com/docs.fortinet.com/fsiem/Public_Resource_Access/7_6_0/rules/PH_RULE_CHANGE_INST_SW.htm</t>
  </si>
  <si>
    <t xml:space="preserve">PH_Rule_Perf_218</t>
  </si>
  <si>
    <t xml:space="preserve">Server Intf Error Critical</t>
  </si>
  <si>
    <t xml:space="preserve">https://filestore.fortinet.com/docs.fortinet.com/fsiem/Public_Resource_Access/7_6_0/rules/PH_RULE_SERVER_INTF_ERR_CRIT.htm</t>
  </si>
  <si>
    <t xml:space="preserve">PH_Rule_Perf_217</t>
  </si>
  <si>
    <t xml:space="preserve">Server Intf Error Warning</t>
  </si>
  <si>
    <t xml:space="preserve">https://filestore.fortinet.com/docs.fortinet.com/fsiem/Public_Resource_Access/7_6_0/rules/PH_RULE_SERVER_INTF_ERR_WARN.htm</t>
  </si>
  <si>
    <t xml:space="preserve">PH_Rule_Perf_214</t>
  </si>
  <si>
    <t xml:space="preserve">Server Intf Util Critical</t>
  </si>
  <si>
    <t xml:space="preserve">https://filestore.fortinet.com/docs.fortinet.com/fsiem/Public_Resource_Access/7_6_0/rules/PH_RULE_SERVER_INTF_UTIL_CRIT.htm</t>
  </si>
  <si>
    <t xml:space="preserve">PH_Rule_Perf_213</t>
  </si>
  <si>
    <t xml:space="preserve">Server Intf Util Warning</t>
  </si>
  <si>
    <t xml:space="preserve">https://filestore.fortinet.com/docs.fortinet.com/fsiem/Public_Resource_Access/7_6_0/rules/PH_RULE_SERVER_INTF_UTIL_WARN.htm</t>
  </si>
  <si>
    <t xml:space="preserve">PH_Rule_Perf_206</t>
  </si>
  <si>
    <t xml:space="preserve">Server Memory Critical</t>
  </si>
  <si>
    <t xml:space="preserve">https://filestore.fortinet.com/docs.fortinet.com/fsiem/Public_Resource_Access/7_6_0/rules/PH_RULE_SERVER_MEM_CRIT.htm</t>
  </si>
  <si>
    <t xml:space="preserve">PH_Rule_Perf_205</t>
  </si>
  <si>
    <t xml:space="preserve">Server Memory Warning</t>
  </si>
  <si>
    <t xml:space="preserve">https://filestore.fortinet.com/docs.fortinet.com/fsiem/Public_Resource_Access/7_6_0/rules/PH_RULE_SERVER_MEM_WARN.htm</t>
  </si>
  <si>
    <t xml:space="preserve">PH_Rule_Avail_13</t>
  </si>
  <si>
    <t xml:space="preserve">Server Network Interface Flapping</t>
  </si>
  <si>
    <t xml:space="preserve">https://filestore.fortinet.com/docs.fortinet.com/fsiem/Public_Resource_Access/7_6_0/rules/PH_RULE_INTF_FLAP_SERVER.htm</t>
  </si>
  <si>
    <t xml:space="preserve">PH_Rule_Avail_11</t>
  </si>
  <si>
    <t xml:space="preserve">Server Network Interface Staying Down</t>
  </si>
  <si>
    <t xml:space="preserve">https://filestore.fortinet.com/docs.fortinet.com/fsiem/Public_Resource_Access/7_6_0/rules/PH_RULE_DOWN_INTF_SERVER.htm</t>
  </si>
  <si>
    <t xml:space="preserve">PH_Rule_Avail_25</t>
  </si>
  <si>
    <t xml:space="preserve">Server Network Low Port Staying Down</t>
  </si>
  <si>
    <t xml:space="preserve">https://filestore.fortinet.com/docs.fortinet.com/fsiem/Public_Resource_Access/7_6_0/rules/PH_RULE_NETWORK_PORT_STAY_DOWN.htm</t>
  </si>
  <si>
    <t xml:space="preserve">PH_Rule_Perf_206B</t>
  </si>
  <si>
    <t xml:space="preserve">Server Swap Memory Critical</t>
  </si>
  <si>
    <t xml:space="preserve">https://filestore.fortinet.com/docs.fortinet.com/fsiem/Public_Resource_Access/7_6_0/rules/PH_RULE_SWAP_MEM_CRIT.htm</t>
  </si>
  <si>
    <t xml:space="preserve">PH_Rule_Degraded_Service_Response</t>
  </si>
  <si>
    <t xml:space="preserve">Service Degraded: Slow Response to STM</t>
  </si>
  <si>
    <t xml:space="preserve">Any Device via STM Monitoring</t>
  </si>
  <si>
    <t xml:space="preserve">https://filestore.fortinet.com/docs.fortinet.com/fsiem/Public_Resource_Access/7_6_0/rules/PH_RULE_DEGRADED_SERVICE.htm</t>
  </si>
  <si>
    <t xml:space="preserve">PH_Rule_Degraded_Service_Response_IP</t>
  </si>
  <si>
    <t xml:space="preserve">Service Degraded: Slow Response to STM: Has IP</t>
  </si>
  <si>
    <t xml:space="preserve">https://filestore.fortinet.com/docs.fortinet.com/fsiem/Public_Resource_Access/7_6_0/rules/PH_RULE_DEGRADED_SERVICE_IP.htm</t>
  </si>
  <si>
    <t xml:space="preserve">PH_Rule_No_Service_Response</t>
  </si>
  <si>
    <t xml:space="preserve">Service Down: No Response to STM</t>
  </si>
  <si>
    <t xml:space="preserve">https://filestore.fortinet.com/docs.fortinet.com/fsiem/Public_Resource_Access/7_6_0/rules/PH_RULE_NON_RESPONSIVE_SERVICE.htm</t>
  </si>
  <si>
    <t xml:space="preserve">PH_Rule_No_Service_Response_IP</t>
  </si>
  <si>
    <t xml:space="preserve">Service Down: No Response to STM: Has IP</t>
  </si>
  <si>
    <t xml:space="preserve">https://filestore.fortinet.com/docs.fortinet.com/fsiem/Public_Resource_Access/7_6_0/rules/PH_RULE_NON_RESPONSIVE_SERVICE_IP.htm</t>
  </si>
  <si>
    <t xml:space="preserve">PH_Rule_Cont_No_Service_Response</t>
  </si>
  <si>
    <t xml:space="preserve">Service Staying Down: No Response to STM</t>
  </si>
  <si>
    <t xml:space="preserve">https://filestore.fortinet.com/docs.fortinet.com/fsiem/Public_Resource_Access/7_6_0/rules/PH_RULE_NON_RESPONSIVE_SERVICE_CONTINUE.htm</t>
  </si>
  <si>
    <t xml:space="preserve">PH_Rule_Cont_No_Service_Response_IP</t>
  </si>
  <si>
    <t xml:space="preserve">Service Staying Down: No Response to STM: Has IP</t>
  </si>
  <si>
    <t xml:space="preserve">https://filestore.fortinet.com/docs.fortinet.com/fsiem/Public_Resource_Access/7_6_0/rules/PH_RULE_NON_RESPONSIVE_SERVICE_CONTINUE_IP.htm</t>
  </si>
  <si>
    <t xml:space="preserve">PH_Rule_TH_Linux_37</t>
  </si>
  <si>
    <t xml:space="preserve">Shellshock Expression in Log Files</t>
  </si>
  <si>
    <t xml:space="preserve">https://filestore.fortinet.com/docs.fortinet.com/fsiem/Public_Resource_Access/7_6_0/rules/PH_RULE_LINUX_SHELLSHOCK_EXPRESSION.htm</t>
  </si>
  <si>
    <t xml:space="preserve">PH_Rule_DB_22</t>
  </si>
  <si>
    <t xml:space="preserve">Slow MySQL DB Query</t>
  </si>
  <si>
    <t xml:space="preserve">https://filestore.fortinet.com/docs.fortinet.com/fsiem/Public_Resource_Access/7_6_0/rules/PH_RULE_MYSQL_SLOW_QUERY.htm</t>
  </si>
  <si>
    <t xml:space="preserve">PH_Rule_Avail_36</t>
  </si>
  <si>
    <t xml:space="preserve">SNMP Service Unavailable</t>
  </si>
  <si>
    <t xml:space="preserve">https://filestore.fortinet.com/docs.fortinet.com/fsiem/Public_Resource_Access/7_6_0/rules/PH_RULE_SNMP_DOWN.htm</t>
  </si>
  <si>
    <t xml:space="preserve">PH_Rule_Vuln_3</t>
  </si>
  <si>
    <t xml:space="preserve">Spam/Malicious Mail Attachment found but not remediated</t>
  </si>
  <si>
    <t xml:space="preserve">FortiProxy via Syslog; FortiGate via Syslog; FortiMail via Syslog</t>
  </si>
  <si>
    <t xml:space="preserve">https://filestore.fortinet.com/docs.fortinet.com/fsiem/Public_Resource_Access/7_6_0/rules/PH_RULE_MAILATTACH_NON_REMEDY.htm</t>
  </si>
  <si>
    <t xml:space="preserve">PH_Rule_SQL_1</t>
  </si>
  <si>
    <t xml:space="preserve">Spike in Events from a Host</t>
  </si>
  <si>
    <t xml:space="preserve">https://filestore.fortinet.com/docs.fortinet.com/fsiem/Public_Resource_Access/7_6_0/rules/PH_RULE_ScheduledSQL_SuddenIncrease_EventsFromHost.htm</t>
  </si>
  <si>
    <t xml:space="preserve">PH_Rule_SQL_3</t>
  </si>
  <si>
    <t xml:space="preserve">Spike in inbound denied network traffic to a destination host</t>
  </si>
  <si>
    <t xml:space="preserve">https://filestore.fortinet.com/docs.fortinet.com/fsiem/Public_Resource_Access/7_6_0/rules/PH_RULE_ScheduledSQL_Spike_InboundDenied_Traffic.htm</t>
  </si>
  <si>
    <t xml:space="preserve">PH_Rule_SQL_4</t>
  </si>
  <si>
    <t xml:space="preserve">Spike in outbound denied network traffic from an internal host</t>
  </si>
  <si>
    <t xml:space="preserve">https://filestore.fortinet.com/docs.fortinet.com/fsiem/Public_Resource_Access/7_6_0/rules/PH_RULE_ScheduledSQL_Spike_OutboundDenied_Traffic.htm</t>
  </si>
  <si>
    <t xml:space="preserve">PH_Rule_SQL_2</t>
  </si>
  <si>
    <t xml:space="preserve">Spike in Unknown Events from a Host</t>
  </si>
  <si>
    <t xml:space="preserve">https://filestore.fortinet.com/docs.fortinet.com/fsiem/Public_Resource_Access/7_6_0/rules/PH_RULE_ScheduledSQL_Spike_UnknownEventsFromHost.htm</t>
  </si>
  <si>
    <t xml:space="preserve">PH_Rule_IPS_ADV_3</t>
  </si>
  <si>
    <t xml:space="preserve">Spyware Found And Cleaned</t>
  </si>
  <si>
    <t xml:space="preserve">Cisco AMP via CISCO_AMP_STREAM_API; FortiClient via Syslog</t>
  </si>
  <si>
    <t xml:space="preserve">https://filestore.fortinet.com/docs.fortinet.com/fsiem/Public_Resource_Access/7_6_0/rules/PH_RULE_SPYWARE_FOUND_CLEANED.htm</t>
  </si>
  <si>
    <t xml:space="preserve">PH_Rule_Vuln_4</t>
  </si>
  <si>
    <t xml:space="preserve">Spyware found but not remediated</t>
  </si>
  <si>
    <t xml:space="preserve">https://filestore.fortinet.com/docs.fortinet.com/fsiem/Public_Resource_Access/7_6_0/rules/PH_RULE_SPYWARE_NON_REMEDY.htm</t>
  </si>
  <si>
    <t xml:space="preserve">PH_Rule_IPS_ADV_2</t>
  </si>
  <si>
    <t xml:space="preserve">Spyware Found by Network IPS</t>
  </si>
  <si>
    <t xml:space="preserve">https://filestore.fortinet.com/docs.fortinet.com/fsiem/Public_Resource_Access/7_6_0/rules/PH_RULE_SPYWARE_FOUND.htm</t>
  </si>
  <si>
    <t xml:space="preserve">PH_Rule_DB_6</t>
  </si>
  <si>
    <t xml:space="preserve">SQL Server Excessive Blocking</t>
  </si>
  <si>
    <t xml:space="preserve">https://filestore.fortinet.com/docs.fortinet.com/fsiem/Public_Resource_Access/7_6_0/rules/PH_RULE_SQL_SRV_EXCESS_BLOCK.htm</t>
  </si>
  <si>
    <t xml:space="preserve">PH_Rule_DB_3</t>
  </si>
  <si>
    <t xml:space="preserve">SQL Server Excessive Deadlock</t>
  </si>
  <si>
    <t xml:space="preserve">https://filestore.fortinet.com/docs.fortinet.com/fsiem/Public_Resource_Access/7_6_0/rules/PH_RULE_SQL_SRV_EXCESS_DEADLOCK.htm</t>
  </si>
  <si>
    <t xml:space="preserve">PH_Rule_DB_8</t>
  </si>
  <si>
    <t xml:space="preserve">SQL Server Excessive Full Scan</t>
  </si>
  <si>
    <t xml:space="preserve">https://filestore.fortinet.com/docs.fortinet.com/fsiem/Public_Resource_Access/7_6_0/rules/PH_RULE_SQL_SRV_EXCESS_FULL_SCAN.htm</t>
  </si>
  <si>
    <t xml:space="preserve">PH_Rule_DB_4</t>
  </si>
  <si>
    <t xml:space="preserve">SQL Server Excessive Page Read/Write</t>
  </si>
  <si>
    <t xml:space="preserve">https://filestore.fortinet.com/docs.fortinet.com/fsiem/Public_Resource_Access/7_6_0/rules/PH_RULE_SQL_SRV_EXCESS_PAGE_RW.htm</t>
  </si>
  <si>
    <t xml:space="preserve">PH_Rule_DB_1</t>
  </si>
  <si>
    <t xml:space="preserve">SQL Server Low Buffer Cache Hit Ratio</t>
  </si>
  <si>
    <t xml:space="preserve">https://filestore.fortinet.com/docs.fortinet.com/fsiem/Public_Resource_Access/7_6_0/rules/PH_RULE_SQL_SRV_LOW_BUFF_CACHE_HIT.htm</t>
  </si>
  <si>
    <t xml:space="preserve">PH_Rule_DB_5</t>
  </si>
  <si>
    <t xml:space="preserve">SQL Server Low Free Pages in Buffer Pool</t>
  </si>
  <si>
    <t xml:space="preserve">https://filestore.fortinet.com/docs.fortinet.com/fsiem/Public_Resource_Access/7_6_0/rules/PH_RULE_SQL_SRV_LOW_BP_PAGES.htm</t>
  </si>
  <si>
    <t xml:space="preserve">PH_Rule_DB_2</t>
  </si>
  <si>
    <t xml:space="preserve">SQL Server Low Log Cache Hit Ratio</t>
  </si>
  <si>
    <t xml:space="preserve">https://filestore.fortinet.com/docs.fortinet.com/fsiem/Public_Resource_Access/7_6_0/rules/PH_RULE_SQL_SRV_LOW_LOG_CACHE_HIT.htm</t>
  </si>
  <si>
    <t xml:space="preserve">PH_Rule_DB_20</t>
  </si>
  <si>
    <t xml:space="preserve">SQL Server scheduled job failed</t>
  </si>
  <si>
    <t xml:space="preserve">https://filestore.fortinet.com/docs.fortinet.com/fsiem/Public_Resource_Access/7_6_0/rules/PH_RULE_MSSQL_FAILED_JOB.htm</t>
  </si>
  <si>
    <t xml:space="preserve">PH_Rule_Change_5</t>
  </si>
  <si>
    <t xml:space="preserve">Startup Config Change</t>
  </si>
  <si>
    <t xml:space="preserve">https://filestore.fortinet.com/docs.fortinet.com/fsiem/Public_Resource_Access/7_6_0/rules/PH_RULE_CHANGE_STARTUP_CONFIG.htm</t>
  </si>
  <si>
    <t xml:space="preserve">PH_Rule_Change_2</t>
  </si>
  <si>
    <t xml:space="preserve">Startup Config Change: with login</t>
  </si>
  <si>
    <t xml:space="preserve">https://filestore.fortinet.com/docs.fortinet.com/fsiem/Public_Resource_Access/7_6_0/rules/PH_RULE_CHANGE_STARTUP_CONFIG_LOGIN.htm</t>
  </si>
  <si>
    <t xml:space="preserve">PH_Rule_ADV_14</t>
  </si>
  <si>
    <t xml:space="preserve">Stealth Scan using a tool</t>
  </si>
  <si>
    <t xml:space="preserve">https://filestore.fortinet.com/docs.fortinet.com/fsiem/Public_Resource_Access/7_6_0/rules/PH_RULE_SCAN_STEALTH.htm</t>
  </si>
  <si>
    <t xml:space="preserve">PH_Rule_Perf_233</t>
  </si>
  <si>
    <t xml:space="preserve">Storage CPU Warning</t>
  </si>
  <si>
    <t xml:space="preserve">https://filestore.fortinet.com/docs.fortinet.com/fsiem/Public_Resource_Access/7_6_0/rules/PH_RULE_STORAGE_CPU_WARN.htm</t>
  </si>
  <si>
    <t xml:space="preserve">PH_Rule_Perf_234</t>
  </si>
  <si>
    <t xml:space="preserve">Storage Device CPU Critical</t>
  </si>
  <si>
    <t xml:space="preserve">https://filestore.fortinet.com/docs.fortinet.com/fsiem/Public_Resource_Access/7_6_0/rules/PH_RULE_STORAGE_CPU_CRIT.htm</t>
  </si>
  <si>
    <t xml:space="preserve">PH_Rule_Perf_236</t>
  </si>
  <si>
    <t xml:space="preserve">Storage Device Disk Space Critical</t>
  </si>
  <si>
    <t xml:space="preserve">https://filestore.fortinet.com/docs.fortinet.com/fsiem/Public_Resource_Access/7_6_0/rules/PH_RULE_NFS_DISK_SPACE_CRIT.htm</t>
  </si>
  <si>
    <t xml:space="preserve">PH_Rule_Avail_34</t>
  </si>
  <si>
    <t xml:space="preserve">Storage Hardware Critical</t>
  </si>
  <si>
    <t xml:space="preserve">https://filestore.fortinet.com/docs.fortinet.com/fsiem/Public_Resource_Access/7_6_0/rules/PH_RULE_STORAGE_HW_CRITICAL.htm</t>
  </si>
  <si>
    <t xml:space="preserve">PH_Rule_Avail_33</t>
  </si>
  <si>
    <t xml:space="preserve">Storage Hardware Warning</t>
  </si>
  <si>
    <t xml:space="preserve">https://filestore.fortinet.com/docs.fortinet.com/fsiem/Public_Resource_Access/7_6_0/rules/PH_RULE_STORAGE_HW_WARN.htm</t>
  </si>
  <si>
    <t xml:space="preserve">PH_Rule_Avail_49</t>
  </si>
  <si>
    <t xml:space="preserve">Storage Port Down</t>
  </si>
  <si>
    <t xml:space="preserve">https://filestore.fortinet.com/docs.fortinet.com/fsiem/Public_Resource_Access/7_6_0/rules/PH_RULE_STORAGE_PORT_DOWN.htm</t>
  </si>
  <si>
    <t xml:space="preserve">PH_Rule_Change_11</t>
  </si>
  <si>
    <t xml:space="preserve">Successful Checkpoint Firewall Policy Install</t>
  </si>
  <si>
    <t xml:space="preserve">https://filestore.fortinet.com/docs.fortinet.com/fsiem/Public_Resource_Access/7_6_0/rules/PH_RULE_CHKP_FW_INSTALL_SUCCESS.htm</t>
  </si>
  <si>
    <t xml:space="preserve">PH_Rule_Stat_12B</t>
  </si>
  <si>
    <t xml:space="preserve">Sudden Change In DNS Data Transfer Pattern From A Specific Host</t>
  </si>
  <si>
    <t xml:space="preserve">https://filestore.fortinet.com/docs.fortinet.com/fsiem/Public_Resource_Access/7_6_0/rules/PH_RULE_ANOMALY_DNS_TRAFFIC.htm</t>
  </si>
  <si>
    <t xml:space="preserve">PH_Rule_Stat_18</t>
  </si>
  <si>
    <t xml:space="preserve">Sudden Decrease in Reported Events From A Host</t>
  </si>
  <si>
    <t xml:space="preserve">Any Log Ingested by FortiSIEM</t>
  </si>
  <si>
    <t xml:space="preserve">https://filestore.fortinet.com/docs.fortinet.com/fsiem/Public_Resource_Access/7_6_0/rules/PH_RULE_ANOMALY_DECREASING_EPS.htm</t>
  </si>
  <si>
    <t xml:space="preserve">PH_Rule_Stat_15</t>
  </si>
  <si>
    <t xml:space="preserve">Sudden Increase in Disk I/O</t>
  </si>
  <si>
    <t xml:space="preserve">https://filestore.fortinet.com/docs.fortinet.com/fsiem/Public_Resource_Access/7_6_0/rules/PH_RULE_ANOMALY_DISKIO_USAGE.htm</t>
  </si>
  <si>
    <t xml:space="preserve">PH_Rule_Stat_12</t>
  </si>
  <si>
    <t xml:space="preserve">Sudden Increase In DNS Requests From A Specific Host</t>
  </si>
  <si>
    <t xml:space="preserve">https://filestore.fortinet.com/docs.fortinet.com/fsiem/Public_Resource_Access/7_6_0/rules/PH_RULE_ANOMALY_DNS_DEST.htm</t>
  </si>
  <si>
    <t xml:space="preserve">PH_Rule_Stat_11</t>
  </si>
  <si>
    <t xml:space="preserve">Sudden Increase In Firewall Connections</t>
  </si>
  <si>
    <t xml:space="preserve">Firewalls via SNMP</t>
  </si>
  <si>
    <t xml:space="preserve">https://filestore.fortinet.com/docs.fortinet.com/fsiem/Public_Resource_Access/7_6_0/rules/PH_RULE_ANOMALY_FW_CONN.htm</t>
  </si>
  <si>
    <t xml:space="preserve">PH_Rule_Stat_6</t>
  </si>
  <si>
    <t xml:space="preserve">Sudden Increase In Firewall Denied Inbound Traffic To A Specific TCP/UDP port</t>
  </si>
  <si>
    <t xml:space="preserve">https://filestore.fortinet.com/docs.fortinet.com/fsiem/Public_Resource_Access/7_6_0/rules/PH_RULE_ANOMALY_TRAFFIC_DENIED_INBOUND_PORT.htm</t>
  </si>
  <si>
    <t xml:space="preserve">PH_Rule_Stat_7</t>
  </si>
  <si>
    <t xml:space="preserve">Sudden Increase In Firewall Denied Outbound Traffic To A Specific TCP/UDP port</t>
  </si>
  <si>
    <t xml:space="preserve">https://filestore.fortinet.com/docs.fortinet.com/fsiem/Public_Resource_Access/7_6_0/rules/PH_RULE_ANOMALY_TRAFFIC_DENIED_OUTBOUND_PORT.htm</t>
  </si>
  <si>
    <t xml:space="preserve">PH_Rule_Stat_4</t>
  </si>
  <si>
    <t xml:space="preserve">Sudden Increase in Firewall Permitted Inbound Traffic To A Specific TCP/UDP port</t>
  </si>
  <si>
    <t xml:space="preserve">https://filestore.fortinet.com/docs.fortinet.com/fsiem/Public_Resource_Access/7_6_0/rules/PH_RULE_ANOMALY_TRAFFIC_PERMIT_INBOUND_PORT.htm</t>
  </si>
  <si>
    <t xml:space="preserve">PH_Rule_Stat_5</t>
  </si>
  <si>
    <t xml:space="preserve">Sudden Increase In Firewall Permitted Outbound Traffic To A Specific TCP/UDP port</t>
  </si>
  <si>
    <t xml:space="preserve">https://filestore.fortinet.com/docs.fortinet.com/fsiem/Public_Resource_Access/7_6_0/rules/PH_RULE_ANOMALY_TRAFFIC_PERMIT_OUTBOUND_PORT.htm</t>
  </si>
  <si>
    <t xml:space="preserve">PH_Rule_Stat_21</t>
  </si>
  <si>
    <t xml:space="preserve">Sudden Increase in ICMP Requests From A Host</t>
  </si>
  <si>
    <t xml:space="preserve">https://filestore.fortinet.com/docs.fortinet.com/fsiem/Public_Resource_Access/7_6_0/rules/PH_RULE_ANOMALY_EXCESS_ICMP.htm</t>
  </si>
  <si>
    <t xml:space="preserve">PH_Rule_Stat_20</t>
  </si>
  <si>
    <t xml:space="preserve">Sudden Increase in Inbound Firewall Aggregate Denies</t>
  </si>
  <si>
    <t xml:space="preserve">https://filestore.fortinet.com/docs.fortinet.com/fsiem/Public_Resource_Access/7_6_0/rules/PH_RULE_ANOMALY_INBOUND_AGGR_DENY.htm</t>
  </si>
  <si>
    <t xml:space="preserve">PH_Rule_Stat_10</t>
  </si>
  <si>
    <t xml:space="preserve">Sudden Increase in Network Interface Errors</t>
  </si>
  <si>
    <t xml:space="preserve">FortiSIEM Profiling</t>
  </si>
  <si>
    <t xml:space="preserve">https://filestore.fortinet.com/docs.fortinet.com/fsiem/Public_Resource_Access/7_6_0/rules/PH_RULE_ANOMALY_ERROR_NET_INTF.htm</t>
  </si>
  <si>
    <t xml:space="preserve">PH_Rule_Stat_9</t>
  </si>
  <si>
    <t xml:space="preserve">Sudden Increase in Network Interface Traffic</t>
  </si>
  <si>
    <t xml:space="preserve">https://filestore.fortinet.com/docs.fortinet.com/fsiem/Public_Resource_Access/7_6_0/rules/PH_RULE_ANOMALY_TRAFFIC_NET_INTF.htm</t>
  </si>
  <si>
    <t xml:space="preserve">PH_Rule_Stat_19</t>
  </si>
  <si>
    <t xml:space="preserve">Sudden Increase in Outbound Firewall Aggregate Denies</t>
  </si>
  <si>
    <t xml:space="preserve">https://filestore.fortinet.com/docs.fortinet.com/fsiem/Public_Resource_Access/7_6_0/rules/PH_RULE_ANOMALY_OUTBOUND_AGGR_DENY.htm</t>
  </si>
  <si>
    <t xml:space="preserve">PH_Rule_Stat_1B</t>
  </si>
  <si>
    <t xml:space="preserve">Sudden Increase In Permitted Traffic From Host</t>
  </si>
  <si>
    <t xml:space="preserve">https://filestore.fortinet.com/docs.fortinet.com/fsiem/Public_Resource_Access/7_6_0/rules/PH_RULE_ANOMALY_TRAFFIC_FROM_SRC.htm</t>
  </si>
  <si>
    <t xml:space="preserve">PH_Rule_Stat_2B</t>
  </si>
  <si>
    <t xml:space="preserve">Sudden Increase In Permitted Traffic To Host</t>
  </si>
  <si>
    <t xml:space="preserve">https://filestore.fortinet.com/docs.fortinet.com/fsiem/Public_Resource_Access/7_6_0/rules/PH_RULE_ANOMALY_TRAFFIC_TO_DEST.htm</t>
  </si>
  <si>
    <t xml:space="preserve">PH_Rule_Stat_26</t>
  </si>
  <si>
    <t xml:space="preserve">Sudden Increase in Ping Response Times</t>
  </si>
  <si>
    <t xml:space="preserve">https://filestore.fortinet.com/docs.fortinet.com/fsiem/Public_Resource_Access/7_6_0/rules/PH_RULE_ANOMALY_PING_RESP_TIME.htm</t>
  </si>
  <si>
    <t xml:space="preserve">PH_Rule_Stat_17</t>
  </si>
  <si>
    <t xml:space="preserve">Sudden Increase in Reported Events From A Host</t>
  </si>
  <si>
    <t xml:space="preserve">https://filestore.fortinet.com/docs.fortinet.com/fsiem/Public_Resource_Access/7_6_0/rules/PH_RULE_ANOMALY_INCREASING_EPS.htm</t>
  </si>
  <si>
    <t xml:space="preserve">PH_Rule_Stat_22</t>
  </si>
  <si>
    <t xml:space="preserve">Sudden Increase in Server Process Count</t>
  </si>
  <si>
    <t xml:space="preserve">https://filestore.fortinet.com/docs.fortinet.com/fsiem/Public_Resource_Access/7_6_0/rules/PH_RULE_ANOMALY_HIGH_PROCESS_COUNT.htm</t>
  </si>
  <si>
    <t xml:space="preserve">PH_Rule_Stat_27</t>
  </si>
  <si>
    <t xml:space="preserve">Sudden Increase in SNMP Response Times</t>
  </si>
  <si>
    <t xml:space="preserve">https://filestore.fortinet.com/docs.fortinet.com/fsiem/Public_Resource_Access/7_6_0/rules/PH_RULE_ANOMALY_SNMP_RESP_TIME.htm</t>
  </si>
  <si>
    <t xml:space="preserve">PH_Rule_Stat_25</t>
  </si>
  <si>
    <t xml:space="preserve">Sudden Increase in STM Response Times</t>
  </si>
  <si>
    <t xml:space="preserve">https://filestore.fortinet.com/docs.fortinet.com/fsiem/Public_Resource_Access/7_6_0/rules/PH_RULE_ANOMALY_STM_RESP_TIME.htm</t>
  </si>
  <si>
    <t xml:space="preserve">PH_Rule_Stat_13</t>
  </si>
  <si>
    <t xml:space="preserve">Sudden Increase In System CPU Usage</t>
  </si>
  <si>
    <t xml:space="preserve">https://filestore.fortinet.com/docs.fortinet.com/fsiem/Public_Resource_Access/7_6_0/rules/PH_RULE_ANOMALY_CPU_USAGE.htm</t>
  </si>
  <si>
    <t xml:space="preserve">PH_Rule_Stat_14</t>
  </si>
  <si>
    <t xml:space="preserve">Sudden Increase in System Memory Usage</t>
  </si>
  <si>
    <t xml:space="preserve">https://filestore.fortinet.com/docs.fortinet.com/fsiem/Public_Resource_Access/7_6_0/rules/PH_RULE_ANOMALY_MEM_USAGE.htm</t>
  </si>
  <si>
    <t xml:space="preserve">PH_Rule_Access_73</t>
  </si>
  <si>
    <t xml:space="preserve">Sudden Increase in Windows User Login Volume</t>
  </si>
  <si>
    <t xml:space="preserve">https://filestore.fortinet.com/docs.fortinet.com/fsiem/Public_Resource_Access/7_6_0/rules/PH_RULE_USER_MON_SUDDEN_LOGIN_VOLUME_CHANGE.htm</t>
  </si>
  <si>
    <t xml:space="preserve">PH_Rule_Stat_28</t>
  </si>
  <si>
    <t xml:space="preserve">Sudden Increase in WMI or OMI Response Times</t>
  </si>
  <si>
    <t xml:space="preserve">Microsoft Windows via OMI</t>
  </si>
  <si>
    <t xml:space="preserve">https://filestore.fortinet.com/docs.fortinet.com/fsiem/Public_Resource_Access/7_6_0/rules/PH_RULE_ANOMALY_WMI_RESP_TIME.htm</t>
  </si>
  <si>
    <t xml:space="preserve">Microsoft Windows via OMI or Windows Collector; Office 365 via Management Activity API; AWS CloudTrail via AWS_CLOUDTRAIL; Hillstone Firewall via Syslog; Sophos Firewall via Syslog; Juniper JunOS via Syslog; Pulse Secure via Syslog; Juniper SRX via Syslog; HP Procurve via Syslog; Juniper SSG via Syslog; WatchGuard via Syslog; VMware NSX via Syslog; FortiProxy via Syslog; FortiGate via Syslog; Cisco IOS via Syslog; Cisco ASA via Syslog; NetScaler via Syslog; FortiSIEM via Syslog; Riverbed via Syslog; BlueCoat via Syslog; FortiWeb via Syslog; IBM AIX via Syslog; SonicOS via Syslog; Linux via Syslog [Fires on an internal identity-engine event. Inputs are the successful-logon events in /opt/phoenix/config/identityDef.xml, incl. MS-Entra-SignInLogs-Logon-success, Office 365 logins, VPN tunnel-up and AWS console login. The docs label omits Entra. Needs public source IPs to geolocate.]</t>
  </si>
  <si>
    <t xml:space="preserve">PH_Rule_Access_72</t>
  </si>
  <si>
    <t xml:space="preserve">Sudden Windows User Login Pattern Change</t>
  </si>
  <si>
    <t xml:space="preserve">https://filestore.fortinet.com/docs.fortinet.com/fsiem/Public_Resource_Access/7_6_0/rules/PH_RULE_USER_MON_SUDDEN_LOGIN_DISTRIBUTION_CHANGE.htm</t>
  </si>
  <si>
    <t xml:space="preserve">PH_Rule_Flow_16</t>
  </si>
  <si>
    <t xml:space="preserve">Suspicious Botnet like End host DNS Behavior</t>
  </si>
  <si>
    <t xml:space="preserve">https://filestore.fortinet.com/docs.fortinet.com/fsiem/Public_Resource_Access/7_6_0/rules/PH_RULE_BOTNET_LIKELY.htm</t>
  </si>
  <si>
    <t xml:space="preserve">PH_Rule_IPS_ADV_4</t>
  </si>
  <si>
    <t xml:space="preserve">Suspicious Database Logon</t>
  </si>
  <si>
    <t xml:space="preserve">https://filestore.fortinet.com/docs.fortinet.com/fsiem/Public_Resource_Access/7_6_0/rules/PH_RULE_SUSPICIOUS_DB_LOGON.htm</t>
  </si>
  <si>
    <t xml:space="preserve">PH_Rule_TH_Linux_36</t>
  </si>
  <si>
    <t xml:space="preserve">Suspicious Linux log entries</t>
  </si>
  <si>
    <t xml:space="preserve">https://filestore.fortinet.com/docs.fortinet.com/fsiem/Public_Resource_Access/7_6_0/rules/PH_RULE_LINUX_SUSPICIOUS_LOG.htm</t>
  </si>
  <si>
    <t xml:space="preserve">PH_Rule_TH_Linux_38</t>
  </si>
  <si>
    <t xml:space="preserve">Suspicious Linux SSHD Errors</t>
  </si>
  <si>
    <t xml:space="preserve">https://filestore.fortinet.com/docs.fortinet.com/fsiem/Public_Resource_Access/7_6_0/rules/PH_RULE_LINUX_SUSPICIOUS_SSHD_ERR.htm</t>
  </si>
  <si>
    <t xml:space="preserve">PH_Rule_TH_Linux_39</t>
  </si>
  <si>
    <t xml:space="preserve">Suspicious Linux VSFTPD Errors</t>
  </si>
  <si>
    <t xml:space="preserve">https://filestore.fortinet.com/docs.fortinet.com/fsiem/Public_Resource_Access/7_6_0/rules/PH_RULE_LINUX_SUSPICIOUS_VSFTPD_ERR.htm</t>
  </si>
  <si>
    <t xml:space="preserve">AWS Security Hub via AWS_HUB_SDK; FortiDeceptor via Syslog</t>
  </si>
  <si>
    <t xml:space="preserve">Office 365 via Management Activity API; Windows via OMI or Windows Collector; AWS CloudTrail via AWS_CLOUDTRAIL; Hillstone Firewall via Syslog; Sophos Firewall via Syslog; Juniper JunOS via Syslog; Pulse Secure via Syslog; Juniper SRX via Syslog; HP Procurve via Syslog; Juniper SSG via Syslog; WatchGuard via Syslog; VMware NSX via Syslog; FortiProxy via Syslog; FortiGate via Syslog; Cisco IOS via Syslog; Cisco ASA via Syslog; NetScaler via Syslog; FortiSIEM via Syslog; Riverbed via Syslog; BlueCoat via Syslog; FortiWeb via Syslog; IBM AIX via Syslog; SonicOS via Syslog; Linux via Syslog</t>
  </si>
  <si>
    <t xml:space="preserve">PH_Rule_Avail_PH_24</t>
  </si>
  <si>
    <t xml:space="preserve">System Collector Event Delayed</t>
  </si>
  <si>
    <t xml:space="preserve">https://filestore.fortinet.com/docs.fortinet.com/fsiem/Public_Resource_Access/7_6_0/rules/PH_RULE_ACCELOPS_COLLECTOR_DELAY.htm</t>
  </si>
  <si>
    <t xml:space="preserve">PH_Rule_ADV_20</t>
  </si>
  <si>
    <t xml:space="preserve">System Exploit Detected by Network IPS</t>
  </si>
  <si>
    <t xml:space="preserve">https://filestore.fortinet.com/docs.fortinet.com/fsiem/Public_Resource_Access/7_6_0/rules/PH_RULE_SYSTEM_EXPLOIT_IPS.htm</t>
  </si>
  <si>
    <t xml:space="preserve">PH_Rule_ADV_21</t>
  </si>
  <si>
    <t xml:space="preserve">System Exploit Detected by Network IPS: Likely Success</t>
  </si>
  <si>
    <t xml:space="preserve">https://filestore.fortinet.com/docs.fortinet.com/fsiem/Public_Resource_Access/7_6_0/rules/PH_RULE_SYSTEM_EXPLOIT_IPS_LIKELY.htm</t>
  </si>
  <si>
    <t xml:space="preserve">PH_Rule_ADV_15</t>
  </si>
  <si>
    <t xml:space="preserve">Targeted System/Application Scan</t>
  </si>
  <si>
    <t xml:space="preserve">https://filestore.fortinet.com/docs.fortinet.com/fsiem/Public_Resource_Access/7_6_0/rules/PH_RULE_SCAN_APP_SYS.htm</t>
  </si>
  <si>
    <t xml:space="preserve">PH_Rule_Flow_6B</t>
  </si>
  <si>
    <t xml:space="preserve">TCP DDOS Attack</t>
  </si>
  <si>
    <t xml:space="preserve">https://filestore.fortinet.com/docs.fortinet.com/fsiem/Public_Resource_Access/7_6_0/rules/PH_RULE_TCP_DDOS_ATTACK.htm</t>
  </si>
  <si>
    <t xml:space="preserve">PH_RULE_Nebula_Malware_Blocked</t>
  </si>
  <si>
    <t xml:space="preserve">ThreatDown Nebula: Malware Blocked</t>
  </si>
  <si>
    <t xml:space="preserve">Threatdown Nebula via Syslog</t>
  </si>
  <si>
    <t xml:space="preserve">https://filestore.fortinet.com/docs.fortinet.com/fsiem/Public_Resource_Access/7_6_0/rules/PH_RULE_Nebula_Malware_Blocked.htm</t>
  </si>
  <si>
    <t xml:space="preserve">PH_RULE_Nebula_Malware_Found</t>
  </si>
  <si>
    <t xml:space="preserve">ThreatDown Nebula: Malware Found</t>
  </si>
  <si>
    <t xml:space="preserve">https://filestore.fortinet.com/docs.fortinet.com/fsiem/Public_Resource_Access/7_6_0/rules/PH_RULE_Nebula_Malware_Found.htm</t>
  </si>
  <si>
    <t xml:space="preserve">PH_RULE_Nebula_PUP_Blocked</t>
  </si>
  <si>
    <t xml:space="preserve">ThreatDown Nebula: PUP Blocked</t>
  </si>
  <si>
    <t xml:space="preserve">https://filestore.fortinet.com/docs.fortinet.com/fsiem/Public_Resource_Access/7_6_0/rules/PH_RULE_Nebula_PUP_Blocked.htm</t>
  </si>
  <si>
    <t xml:space="preserve">PH_RULE_Nebula_PUP_Found</t>
  </si>
  <si>
    <t xml:space="preserve">ThreatDown Nebula: PUP Found</t>
  </si>
  <si>
    <t xml:space="preserve">https://filestore.fortinet.com/docs.fortinet.com/fsiem/Public_Resource_Access/7_6_0/rules/PH_RULE_Nebula_PUP_Found.htm</t>
  </si>
  <si>
    <t xml:space="preserve">PH_RULE_Nebula_SuspiciousAct_Blocked</t>
  </si>
  <si>
    <t xml:space="preserve">ThreatDown Nebula: Suspicious Activity Blocked</t>
  </si>
  <si>
    <t xml:space="preserve">https://filestore.fortinet.com/docs.fortinet.com/fsiem/Public_Resource_Access/7_6_0/rules/PH_RULE_Nebula_SuspiciousAct_Blocked.htm</t>
  </si>
  <si>
    <t xml:space="preserve">PH_RULE_Nebula_SuspiciousAct_Found</t>
  </si>
  <si>
    <t xml:space="preserve">ThreatDown Nebula: Suspicious Activity Found</t>
  </si>
  <si>
    <t xml:space="preserve">https://filestore.fortinet.com/docs.fortinet.com/fsiem/Public_Resource_Access/7_6_0/rules/PH_RULE_Nebula_SuspiciousAct_Found.htm</t>
  </si>
  <si>
    <t xml:space="preserve">PH_RULE_Nebula_WebsiteBlocked</t>
  </si>
  <si>
    <t xml:space="preserve">ThreatDown Nebula: Website Blocked</t>
  </si>
  <si>
    <t xml:space="preserve">https://filestore.fortinet.com/docs.fortinet.com/fsiem/Public_Resource_Access/7_6_0/rules/PH_RULE_Nebula_WebsiteBlocked.htm</t>
  </si>
  <si>
    <t xml:space="preserve">PH_Rule_Vuln_24</t>
  </si>
  <si>
    <t xml:space="preserve">Traffic to Anomali ThreatStream Malware IP List</t>
  </si>
  <si>
    <t xml:space="preserve">https://filestore.fortinet.com/docs.fortinet.com/fsiem/Public_Resource_Access/7_6_0/rules/PH_RULE_TO_THREATSTREAM_MALWARE_IP.htm</t>
  </si>
  <si>
    <t xml:space="preserve">PH_Rule_Anyrun_MalwareDomain_Outbound</t>
  </si>
  <si>
    <t xml:space="preserve">Traffic to Anyrun Malware Domain List</t>
  </si>
  <si>
    <t xml:space="preserve">https://filestore.fortinet.com/docs.fortinet.com/fsiem/Public_Resource_Access/7_6_0/rules/PH_Rule_Anyrun_MalwareDomain_Outbound.htm</t>
  </si>
  <si>
    <t xml:space="preserve">PH_Rule_Anyrun_MalwareIP_Outbound</t>
  </si>
  <si>
    <t xml:space="preserve">Traffic to Anyrun Malware IP List</t>
  </si>
  <si>
    <t xml:space="preserve">https://filestore.fortinet.com/docs.fortinet.com/fsiem/Public_Resource_Access/7_6_0/rules/PH_Rule_Anyrun_MalwareIP_Outbound.htm</t>
  </si>
  <si>
    <t xml:space="preserve">PH_Rule_Anyrun_MalwareURL_Outbound</t>
  </si>
  <si>
    <t xml:space="preserve">Traffic to Anyrun Malware URL List</t>
  </si>
  <si>
    <t xml:space="preserve">https://filestore.fortinet.com/docs.fortinet.com/fsiem/Public_Resource_Access/7_6_0/rules/PH_Rule_Anyrun_MalwareURL_Outbound.htm</t>
  </si>
  <si>
    <t xml:space="preserve">PH_Rule_Blocklist_MalwareIP_Outbound</t>
  </si>
  <si>
    <t xml:space="preserve">Traffic to Blocklist DE Malware IP List</t>
  </si>
  <si>
    <t xml:space="preserve">https://filestore.fortinet.com/docs.fortinet.com/fsiem/Public_Resource_Access/7_6_0/rules/PH_Rule_Blocklist_MalwareIP_Outbound.htm</t>
  </si>
  <si>
    <t xml:space="preserve">PH_Rule_Flow_210</t>
  </si>
  <si>
    <t xml:space="preserve">Traffic to bogon networks</t>
  </si>
  <si>
    <t xml:space="preserve">https://filestore.fortinet.com/docs.fortinet.com/fsiem/Public_Resource_Access/7_6_0/rules/PH_RULE_BOGON_TRAFFIC.htm</t>
  </si>
  <si>
    <t xml:space="preserve">PH_Rule_C2_Tracker_MalwareIP_Outbound</t>
  </si>
  <si>
    <t xml:space="preserve">Traffic to C2 Tracker Malware IP List</t>
  </si>
  <si>
    <t xml:space="preserve">https://filestore.fortinet.com/docs.fortinet.com/fsiem/Public_Resource_Access/7_6_0/rules/PH_Rule_C2_Tracker_MalwareIP_Outbound.htm</t>
  </si>
  <si>
    <t xml:space="preserve">PH_Rule_CertPL_MalwareDomain_Outbound</t>
  </si>
  <si>
    <t xml:space="preserve">Traffic to CertPL Malware Domain List</t>
  </si>
  <si>
    <t xml:space="preserve">https://filestore.fortinet.com/docs.fortinet.com/fsiem/Public_Resource_Access/7_6_0/rules/PH_Rule_CertPL_MalwareDomain_Outbound.htm</t>
  </si>
  <si>
    <t xml:space="preserve">PH_Rule_CINSScore_MalwareIP_Outbound</t>
  </si>
  <si>
    <t xml:space="preserve">Traffic to CINS Score Malware IP List</t>
  </si>
  <si>
    <t xml:space="preserve">https://filestore.fortinet.com/docs.fortinet.com/fsiem/Public_Resource_Access/7_6_0/rules/PH_Rule_CINSScore_MalwareIP_Outbound.htm</t>
  </si>
  <si>
    <t xml:space="preserve">PH_Rule_Vuln_7</t>
  </si>
  <si>
    <t xml:space="preserve">Traffic to Emerging Threat IP List</t>
  </si>
  <si>
    <t xml:space="preserve">https://filestore.fortinet.com/docs.fortinet.com/fsiem/Public_Resource_Access/7_6_0/rules/PH_RULE_TO_EMERGING_THREAT_IP.htm</t>
  </si>
  <si>
    <t xml:space="preserve">PH_Rule_FireHol_MalwareIP_Outbound</t>
  </si>
  <si>
    <t xml:space="preserve">Traffic to FireHol Malware IP List</t>
  </si>
  <si>
    <t xml:space="preserve">https://filestore.fortinet.com/docs.fortinet.com/fsiem/Public_Resource_Access/7_6_0/rules/PH_Rule_FireHol_MalwareIP_Outbound.htm</t>
  </si>
  <si>
    <t xml:space="preserve">PH_Rule_Vuln_24B</t>
  </si>
  <si>
    <t xml:space="preserve">Traffic to FortiGuard Malware IP List</t>
  </si>
  <si>
    <t xml:space="preserve">https://filestore.fortinet.com/docs.fortinet.com/fsiem/Public_Resource_Access/7_6_0/rules/PH_RULE_TO_FORTIGUARD_MALWARE_IP.htm</t>
  </si>
  <si>
    <t xml:space="preserve">PH_Rule_FortiRecon_MalwareDomain_Outbound</t>
  </si>
  <si>
    <t xml:space="preserve">Traffic to FortiRecon Malware Domain List</t>
  </si>
  <si>
    <t xml:space="preserve">https://filestore.fortinet.com/docs.fortinet.com/fsiem/Public_Resource_Access/7_6_0/rules/PH_Rule_FortiRecon_MalwareDomain_Outbound.htm</t>
  </si>
  <si>
    <t xml:space="preserve">PH_Rule_FortiRecon_MalwareIP_Outbound</t>
  </si>
  <si>
    <t xml:space="preserve">Traffic to FortiRecon Malware IP List</t>
  </si>
  <si>
    <t xml:space="preserve">https://filestore.fortinet.com/docs.fortinet.com/fsiem/Public_Resource_Access/7_6_0/rules/PH_Rule_FortiRecon_MalwareIP_Outbound.htm</t>
  </si>
  <si>
    <t xml:space="preserve">PH_Rule_FortiRecon_MalwareURL_Outbound</t>
  </si>
  <si>
    <t xml:space="preserve">Traffic to FortiRecon Malware URL List</t>
  </si>
  <si>
    <t xml:space="preserve">https://filestore.fortinet.com/docs.fortinet.com/fsiem/Public_Resource_Access/7_6_0/rules/PH_Rule_FortiRecon_MalwareURL_Outbound.htm</t>
  </si>
  <si>
    <t xml:space="preserve">PH_Rule_FortiSOAR_MalwareDomain_Outbound</t>
  </si>
  <si>
    <t xml:space="preserve">Traffic to FortiSOAR Malware Domain List</t>
  </si>
  <si>
    <t xml:space="preserve">https://filestore.fortinet.com/docs.fortinet.com/fsiem/Public_Resource_Access/7_6_0/rules/PH_Rule_FortiSOAR_MalwareDomain_Outbound.htm</t>
  </si>
  <si>
    <t xml:space="preserve">PH_Rule_FortiSOAR_MalwareIP_Outbound</t>
  </si>
  <si>
    <t xml:space="preserve">Traffic to FortiSOAR Malware IP List</t>
  </si>
  <si>
    <t xml:space="preserve">https://filestore.fortinet.com/docs.fortinet.com/fsiem/Public_Resource_Access/7_6_0/rules/PH_Rule_FortiSOAR_MalwareIP_Outbound.htm</t>
  </si>
  <si>
    <t xml:space="preserve">PH_Rule_FortiSOAR_MalwareURL_Outbound</t>
  </si>
  <si>
    <t xml:space="preserve">Traffic to FortiSOAR Malware URL List</t>
  </si>
  <si>
    <t xml:space="preserve">https://filestore.fortinet.com/docs.fortinet.com/fsiem/Public_Resource_Access/7_6_0/rules/PH_Rule_FortiSOAR_MalwareURL_Outbound.htm</t>
  </si>
  <si>
    <t xml:space="preserve">PH_Rule_Greensnow_MalwareIP_Outbound</t>
  </si>
  <si>
    <t xml:space="preserve">Traffic to Greensnow Malware IP List</t>
  </si>
  <si>
    <t xml:space="preserve">https://filestore.fortinet.com/docs.fortinet.com/fsiem/Public_Resource_Access/7_6_0/rules/PH_Rule_Greensnow_MalwareIP_Outbound.htm</t>
  </si>
  <si>
    <t xml:space="preserve">PH_Rule_GTI_MalwareDomain_Outbound</t>
  </si>
  <si>
    <t xml:space="preserve">Traffic to GTI Malware Domain List</t>
  </si>
  <si>
    <t xml:space="preserve">https://filestore.fortinet.com/docs.fortinet.com/fsiem/Public_Resource_Access/7_6_0/rules/PH_Rule_GTI_MalwareDomain_Outbound.htm</t>
  </si>
  <si>
    <t xml:space="preserve">PH_Rule_GTI_MalwareIP_Outbound</t>
  </si>
  <si>
    <t xml:space="preserve">Traffic to GTI Malware IP List</t>
  </si>
  <si>
    <t xml:space="preserve">https://filestore.fortinet.com/docs.fortinet.com/fsiem/Public_Resource_Access/7_6_0/rules/PH_Rule_GTI_MalwareIP_Outbound.htm</t>
  </si>
  <si>
    <t xml:space="preserve">PH_Rule_GTI_MalwareURL_Outbound</t>
  </si>
  <si>
    <t xml:space="preserve">Traffic to GTI Malware URL List</t>
  </si>
  <si>
    <t xml:space="preserve">https://filestore.fortinet.com/docs.fortinet.com/fsiem/Public_Resource_Access/7_6_0/rules/PH_Rule_GTI_MalwareURL_Outbound.htm</t>
  </si>
  <si>
    <t xml:space="preserve">PH_Rule_IPSum_MalwareIP_Outbound</t>
  </si>
  <si>
    <t xml:space="preserve">Traffic to IPSum Malware IP List</t>
  </si>
  <si>
    <t xml:space="preserve">https://filestore.fortinet.com/docs.fortinet.com/fsiem/Public_Resource_Access/7_6_0/rules/PH_Rule_IPSum_MalwareIP_Outbound.htm</t>
  </si>
  <si>
    <t xml:space="preserve">PH_Rule_Mandiant_MalwareDomain_Outbound</t>
  </si>
  <si>
    <t xml:space="preserve">Traffic to Mandiant Malware Domain List</t>
  </si>
  <si>
    <t xml:space="preserve">https://filestore.fortinet.com/docs.fortinet.com/fsiem/Public_Resource_Access/7_6_0/rules/PH_Rule_Mandiant_MalwareDomain_Outbound.htm</t>
  </si>
  <si>
    <t xml:space="preserve">PH_Rule_Mandiant_MalwareIP_Outbound</t>
  </si>
  <si>
    <t xml:space="preserve">Traffic to Mandiant Malware IP List</t>
  </si>
  <si>
    <t xml:space="preserve">https://filestore.fortinet.com/docs.fortinet.com/fsiem/Public_Resource_Access/7_6_0/rules/PH_Rule_Mandiant_MalwareIP_Outbound.htm</t>
  </si>
  <si>
    <t xml:space="preserve">PH_Rule_Mandiant_MalwareURL_Outbound</t>
  </si>
  <si>
    <t xml:space="preserve">Traffic to Mandiant Malware URL List</t>
  </si>
  <si>
    <t xml:space="preserve">https://filestore.fortinet.com/docs.fortinet.com/fsiem/Public_Resource_Access/7_6_0/rules/PH_Rule_Mandiant_MalwareURL_Outbound.htm</t>
  </si>
  <si>
    <t xml:space="preserve">PH_Rule_MISP_MalwareDomain_Outbound</t>
  </si>
  <si>
    <t xml:space="preserve">Traffic to MISP Malware Domain List</t>
  </si>
  <si>
    <t xml:space="preserve">https://filestore.fortinet.com/docs.fortinet.com/fsiem/Public_Resource_Access/7_6_0/rules/PH_Rule_MISP_MalwareDomain_Outbound.htm</t>
  </si>
  <si>
    <t xml:space="preserve">PH_Rule_MISP_MalwareIP_Outbound</t>
  </si>
  <si>
    <t xml:space="preserve">Traffic to MISP Malware IP List</t>
  </si>
  <si>
    <t xml:space="preserve">https://filestore.fortinet.com/docs.fortinet.com/fsiem/Public_Resource_Access/7_6_0/rules/PH_Rule_MISP_MalwareIP_Outbound.htm</t>
  </si>
  <si>
    <t xml:space="preserve">PH_Rule_MISP_MalwareURL_Outbound</t>
  </si>
  <si>
    <t xml:space="preserve">Traffic to MISP Malware URL List</t>
  </si>
  <si>
    <t xml:space="preserve">https://filestore.fortinet.com/docs.fortinet.com/fsiem/Public_Resource_Access/7_6_0/rules/PH_Rule_MISP_MalwareURL_Outbound.htm</t>
  </si>
  <si>
    <t xml:space="preserve">PH_Rule_OPENCTI_MalDomain_Outbound</t>
  </si>
  <si>
    <t xml:space="preserve">Traffic to OpenCTI Malware Domain List</t>
  </si>
  <si>
    <t xml:space="preserve">https://filestore.fortinet.com/docs.fortinet.com/fsiem/Public_Resource_Access/7_6_0/rules/PH_Rule_OPENCTI_MalDomain_Outbound.htm</t>
  </si>
  <si>
    <t xml:space="preserve">PH_Rule_OPENCTI_MalwareIP_Outbound</t>
  </si>
  <si>
    <t xml:space="preserve">Traffic to OpenCTI Malware IP List</t>
  </si>
  <si>
    <t xml:space="preserve">https://filestore.fortinet.com/docs.fortinet.com/fsiem/Public_Resource_Access/7_6_0/rules/PH_Rule_OPENCTI_MalwareIP_Outbound.htm</t>
  </si>
  <si>
    <t xml:space="preserve">PH_Rule_OPENCTI_MalwareURL_Outbound</t>
  </si>
  <si>
    <t xml:space="preserve">Traffic to OpenCTI Malware URL List</t>
  </si>
  <si>
    <t xml:space="preserve">https://filestore.fortinet.com/docs.fortinet.com/fsiem/Public_Resource_Access/7_6_0/rules/PH_Rule_OPENCTI_MalwareURL_Outbound.htm</t>
  </si>
  <si>
    <t xml:space="preserve">PH_Rule_OpenPhish_MalwareURL_Outbound</t>
  </si>
  <si>
    <t xml:space="preserve">Traffic to OpenPhish Malware URL List</t>
  </si>
  <si>
    <t xml:space="preserve">https://filestore.fortinet.com/docs.fortinet.com/fsiem/Public_Resource_Access/7_6_0/rules/PH_Rule_OpenPhish_MalwareURL_Outbound.htm</t>
  </si>
  <si>
    <t xml:space="preserve">PH_Rule_Proofpoint_MalwareIP_Outbound</t>
  </si>
  <si>
    <t xml:space="preserve">Traffic to Proofpoint Malware IP List</t>
  </si>
  <si>
    <t xml:space="preserve">https://filestore.fortinet.com/docs.fortinet.com/fsiem/Public_Resource_Access/7_6_0/rules/PH_Rule_Proofpoint_MalwareIP_Outbound.htm</t>
  </si>
  <si>
    <t xml:space="preserve">PH_Rule_Snort_MalwareIP_Outbound</t>
  </si>
  <si>
    <t xml:space="preserve">Traffic to Snort Malware IP List</t>
  </si>
  <si>
    <t xml:space="preserve">https://filestore.fortinet.com/docs.fortinet.com/fsiem/Public_Resource_Access/7_6_0/rules/PH_Rule_Snort_MalwareIP_Outbound.htm</t>
  </si>
  <si>
    <t xml:space="preserve">PH_Rule_ThreatFox_MalwareURL_Outbound</t>
  </si>
  <si>
    <t xml:space="preserve">Traffic to ThreatFox Malware URL List</t>
  </si>
  <si>
    <t xml:space="preserve">https://filestore.fortinet.com/docs.fortinet.com/fsiem/Public_Resource_Access/7_6_0/rules/PH_Rule_ThreatFox_MalwareURL_Outbound.htm</t>
  </si>
  <si>
    <t xml:space="preserve">PH_Rule_TweetFeed_MalwareDomain_Outbound</t>
  </si>
  <si>
    <t xml:space="preserve">Traffic to TweetFeed Malware Domain List</t>
  </si>
  <si>
    <t xml:space="preserve">https://filestore.fortinet.com/docs.fortinet.com/fsiem/Public_Resource_Access/7_6_0/rules/PH_Rule_TweetFeed_MalwareDomain_Outbound.htm</t>
  </si>
  <si>
    <t xml:space="preserve">PH_Rule_Tweetfeed_MalwareIP_Outbound</t>
  </si>
  <si>
    <t xml:space="preserve">Traffic to TweetFeed Malware IP List</t>
  </si>
  <si>
    <t xml:space="preserve">https://filestore.fortinet.com/docs.fortinet.com/fsiem/Public_Resource_Access/7_6_0/rules/PH_Rule_Tweetfeed_MalwareIP_Outbound.htm</t>
  </si>
  <si>
    <t xml:space="preserve">PH_Rule_TweetFeed_MalwareURL_Outbound</t>
  </si>
  <si>
    <t xml:space="preserve">Traffic to TweetFeed Malware URL List</t>
  </si>
  <si>
    <t xml:space="preserve">https://filestore.fortinet.com/docs.fortinet.com/fsiem/Public_Resource_Access/7_6_0/rules/PH_Rule_TweetFeed_MalwareURL_Outbound.htm</t>
  </si>
  <si>
    <t xml:space="preserve">PH_Rule_URLHaus_MalwareURL_Outbound</t>
  </si>
  <si>
    <t xml:space="preserve">Traffic to URLHaus Malware URL List</t>
  </si>
  <si>
    <t xml:space="preserve">https://filestore.fortinet.com/docs.fortinet.com/fsiem/Public_Resource_Access/7_6_0/rules/PH_Rule_URLHaus_MalwareURL_Outbound.htm</t>
  </si>
  <si>
    <t xml:space="preserve">PH_RULE_TrendVisionOne_AlertTriggered</t>
  </si>
  <si>
    <t xml:space="preserve">Trend Vision One: Critical or High Alert Triggered</t>
  </si>
  <si>
    <t xml:space="preserve">Trend Micro Vision One API</t>
  </si>
  <si>
    <t xml:space="preserve">https://filestore.fortinet.com/docs.fortinet.com/fsiem/Public_Resource_Access/7_6_0/rules/PH_RULE_TrendVisionOne_AlertTriggered.htm</t>
  </si>
  <si>
    <t xml:space="preserve">PH_Rule_PolicyViolation_3</t>
  </si>
  <si>
    <t xml:space="preserve">Tunneled traffic detected</t>
  </si>
  <si>
    <t xml:space="preserve">https://filestore.fortinet.com/docs.fortinet.com/fsiem/Public_Resource_Access/7_6_0/rules/PH_RULE_TUNNEL_TRAFFIC.htm</t>
  </si>
  <si>
    <t xml:space="preserve">PH_Rule_UEBA_35</t>
  </si>
  <si>
    <t xml:space="preserve">UEBA AI detects unusual drive unmounted</t>
  </si>
  <si>
    <t xml:space="preserve">UEBA</t>
  </si>
  <si>
    <t xml:space="preserve">Microsoft Windows via Windows Collector with UEBA turned on</t>
  </si>
  <si>
    <t xml:space="preserve">https://filestore.fortinet.com/docs.fortinet.com/fsiem/Public_Resource_Access/7_6_0/rules/PH_RULE_UEBA_AI_DRIVE_UNMOUNTED.htm</t>
  </si>
  <si>
    <t xml:space="preserve">PH_Rule_UEBA_1</t>
  </si>
  <si>
    <t xml:space="preserve">UEBA AI detects unusual file creation</t>
  </si>
  <si>
    <t xml:space="preserve">https://filestore.fortinet.com/docs.fortinet.com/fsiem/Public_Resource_Access/7_6_0/rules/PH_RULE_UEBA_AI_FILE_CREATED.htm</t>
  </si>
  <si>
    <t xml:space="preserve">PH_Rule_UEBA_2</t>
  </si>
  <si>
    <t xml:space="preserve">UEBA AI detects unusual file deletion</t>
  </si>
  <si>
    <t xml:space="preserve">https://filestore.fortinet.com/docs.fortinet.com/fsiem/Public_Resource_Access/7_6_0/rules/PH_RULE_UEBA_AI_FILE_DELETED.htm</t>
  </si>
  <si>
    <t xml:space="preserve">PH_Rule_UEBA_26</t>
  </si>
  <si>
    <t xml:space="preserve">UEBA AI detects unusual file download</t>
  </si>
  <si>
    <t xml:space="preserve">https://filestore.fortinet.com/docs.fortinet.com/fsiem/Public_Resource_Access/7_6_0/rules/PH_RULE_UEBA_AI_FILE_DOWNLOAD.htm</t>
  </si>
  <si>
    <t xml:space="preserve">PH_Rule_UEBA_4B</t>
  </si>
  <si>
    <t xml:space="preserve">UEBA AI detects unusual file movement</t>
  </si>
  <si>
    <t xml:space="preserve">https://filestore.fortinet.com/docs.fortinet.com/fsiem/Public_Resource_Access/7_6_0/rules/PH_RULE_UEBA_AI_FILE_MOVED.htm</t>
  </si>
  <si>
    <t xml:space="preserve">PH_Rule_UEBA_33</t>
  </si>
  <si>
    <t xml:space="preserve">UEBA AI detects unusual file printed</t>
  </si>
  <si>
    <t xml:space="preserve">https://filestore.fortinet.com/docs.fortinet.com/fsiem/Public_Resource_Access/7_6_0/rules/PH_RULE_UEBA_AI_FILE_PRINTED.htm</t>
  </si>
  <si>
    <t xml:space="preserve">PH_Rule_UEBA_3</t>
  </si>
  <si>
    <t xml:space="preserve">UEBA AI detects unusual file reading</t>
  </si>
  <si>
    <t xml:space="preserve">https://filestore.fortinet.com/docs.fortinet.com/fsiem/Public_Resource_Access/7_6_0/rules/PH_RULE_UEBA_AI_FILE_READ.htm</t>
  </si>
  <si>
    <t xml:space="preserve">PH_Rule_UEBA_32</t>
  </si>
  <si>
    <t xml:space="preserve">UEBA AI detects unusual file renamed</t>
  </si>
  <si>
    <t xml:space="preserve">https://filestore.fortinet.com/docs.fortinet.com/fsiem/Public_Resource_Access/7_6_0/rules/PH_RULE_UEBA_AI_FILE_RENAMED.htm</t>
  </si>
  <si>
    <t xml:space="preserve">PH_Rule_UEBA_27</t>
  </si>
  <si>
    <t xml:space="preserve">UEBA AI detects unusual file upload</t>
  </si>
  <si>
    <t xml:space="preserve">https://filestore.fortinet.com/docs.fortinet.com/fsiem/Public_Resource_Access/7_6_0/rules/PH_RULE_UEBA_AI_FILE_UPLOAD.htm</t>
  </si>
  <si>
    <t xml:space="preserve">PH_Rule_UEBA_4</t>
  </si>
  <si>
    <t xml:space="preserve">UEBA AI detects unusual file writing</t>
  </si>
  <si>
    <t xml:space="preserve">https://filestore.fortinet.com/docs.fortinet.com/fsiem/Public_Resource_Access/7_6_0/rules/PH_RULE_UEBA_AI_FILE_WRITTEN.htm</t>
  </si>
  <si>
    <t xml:space="preserve">PH_Rule_UEBA_30</t>
  </si>
  <si>
    <t xml:space="preserve">UEBA AI detects unusual host logon</t>
  </si>
  <si>
    <t xml:space="preserve">https://filestore.fortinet.com/docs.fortinet.com/fsiem/Public_Resource_Access/7_6_0/rules/PH_RULE_UEBA_AI_HOST_LOGON.htm</t>
  </si>
  <si>
    <t xml:space="preserve">PH_Rule_UEBA_29</t>
  </si>
  <si>
    <t xml:space="preserve">UEBA AI detects unusual machine off</t>
  </si>
  <si>
    <t xml:space="preserve">https://filestore.fortinet.com/docs.fortinet.com/fsiem/Public_Resource_Access/7_6_0/rules/PH_RULE_UEBA_AI_HOST_OFF.htm</t>
  </si>
  <si>
    <t xml:space="preserve">PH_Rule_UEBA_28</t>
  </si>
  <si>
    <t xml:space="preserve">UEBA AI detects unusual machine on</t>
  </si>
  <si>
    <t xml:space="preserve">https://filestore.fortinet.com/docs.fortinet.com/fsiem/Public_Resource_Access/7_6_0/rules/PH_RULE_UEBA_AI_HOST_ON.htm</t>
  </si>
  <si>
    <t xml:space="preserve">PH_Rule_UEBA_34</t>
  </si>
  <si>
    <t xml:space="preserve">UEBA AI detects unusual new drive mounted</t>
  </si>
  <si>
    <t xml:space="preserve">https://filestore.fortinet.com/docs.fortinet.com/fsiem/Public_Resource_Access/7_6_0/rules/PH_RULE_UEBA_AI_NEW_DRIVE_MOUNTED.htm</t>
  </si>
  <si>
    <t xml:space="preserve">PH_Rule_UEBA_7</t>
  </si>
  <si>
    <t xml:space="preserve">UEBA AI detects unusual process created</t>
  </si>
  <si>
    <t xml:space="preserve">https://filestore.fortinet.com/docs.fortinet.com/fsiem/Public_Resource_Access/7_6_0/rules/PH_RULE_UEBA_AI_PROCESS_CREATED.htm</t>
  </si>
  <si>
    <t xml:space="preserve">PH_Rule_UEBA_36</t>
  </si>
  <si>
    <t xml:space="preserve">UEBA AI detects unusual process not restarted</t>
  </si>
  <si>
    <t xml:space="preserve">https://filestore.fortinet.com/docs.fortinet.com/fsiem/Public_Resource_Access/7_6_0/rules/PH_RULE_UEBA_AI_PROCESS_NOT_RESTARTED.htm</t>
  </si>
  <si>
    <t xml:space="preserve">PH_Rule_UEBA_5</t>
  </si>
  <si>
    <t xml:space="preserve">UEBA AI detects unusual process started</t>
  </si>
  <si>
    <t xml:space="preserve">https://filestore.fortinet.com/docs.fortinet.com/fsiem/Public_Resource_Access/7_6_0/rules/PH_RULE_UEBA_AI_PROCESS_STARTED.htm</t>
  </si>
  <si>
    <t xml:space="preserve">PH_Rule_UEBA_6</t>
  </si>
  <si>
    <t xml:space="preserve">UEBA AI detects unusual process stopped</t>
  </si>
  <si>
    <t xml:space="preserve">https://filestore.fortinet.com/docs.fortinet.com/fsiem/Public_Resource_Access/7_6_0/rules/PH_RULE_UEBA_AI_PROCESS_STOPPED.htm</t>
  </si>
  <si>
    <t xml:space="preserve">PH_Rule_UEBA_31</t>
  </si>
  <si>
    <t xml:space="preserve">UEBA AI detects unusual user logoff</t>
  </si>
  <si>
    <t xml:space="preserve">https://filestore.fortinet.com/docs.fortinet.com/fsiem/Public_Resource_Access/7_6_0/rules/PH_RULE_UEBA_AI_HOST_LOGOFF.htm</t>
  </si>
  <si>
    <t xml:space="preserve">PH_Rule_UEBA_37</t>
  </si>
  <si>
    <t xml:space="preserve">UEBA Policy detects antivirus not started</t>
  </si>
  <si>
    <t xml:space="preserve">https://filestore.fortinet.com/docs.fortinet.com/fsiem/Public_Resource_Access/7_6_0/rules/PH_RULE_UEBA_POLICY_ANTIVIRUS_NOT_STARTED.htm</t>
  </si>
  <si>
    <t xml:space="preserve">PH_Rule_UEBA_38</t>
  </si>
  <si>
    <t xml:space="preserve">UEBA Policy detects antivirus stopped</t>
  </si>
  <si>
    <t xml:space="preserve">https://filestore.fortinet.com/docs.fortinet.com/fsiem/Public_Resource_Access/7_6_0/rules/PH_RULE_UEBA_POLICY_ANTIVIRUS_STOPPED.htm</t>
  </si>
  <si>
    <t xml:space="preserve">PH_Rule_UEBA_TAG_3</t>
  </si>
  <si>
    <t xml:space="preserve">UEBA Policy detects backup applications</t>
  </si>
  <si>
    <t xml:space="preserve">https://filestore.fortinet.com/docs.fortinet.com/fsiem/Public_Resource_Access/7_6_0/rules/PH_RULE_UEBA_POLICY_BACKUP_APP.htm</t>
  </si>
  <si>
    <t xml:space="preserve">PH_Rule_UEBA_TAG_16</t>
  </si>
  <si>
    <t xml:space="preserve">UEBA Policy detects browser download</t>
  </si>
  <si>
    <t xml:space="preserve">https://filestore.fortinet.com/docs.fortinet.com/fsiem/Public_Resource_Access/7_6_0/rules/PH_RULE_UEBA_POLICY_BROWSER_DOWNLOAD.htm</t>
  </si>
  <si>
    <t xml:space="preserve">PH_Rule_UEBA_TAG_23</t>
  </si>
  <si>
    <t xml:space="preserve">UEBA Policy detects browser upload</t>
  </si>
  <si>
    <t xml:space="preserve">https://filestore.fortinet.com/docs.fortinet.com/fsiem/Public_Resource_Access/7_6_0/rules/PH_RULE_UEBA_POLICY_BROWSER_UPLOAD.htm</t>
  </si>
  <si>
    <t xml:space="preserve">PH_Rule_UEBA_TAG_12</t>
  </si>
  <si>
    <t xml:space="preserve">UEBA Policy detects cloud upload</t>
  </si>
  <si>
    <t xml:space="preserve">https://filestore.fortinet.com/docs.fortinet.com/fsiem/Public_Resource_Access/7_6_0/rules/PH_RULE_UEBA_POLICY_CLOUD_UPLOAD.htm</t>
  </si>
  <si>
    <t xml:space="preserve">PH_Rule_UEBA_TAG_14</t>
  </si>
  <si>
    <t xml:space="preserve">UEBA Policy detects email download</t>
  </si>
  <si>
    <t xml:space="preserve">https://filestore.fortinet.com/docs.fortinet.com/fsiem/Public_Resource_Access/7_6_0/rules/PH_RULE_UEBA_POLICY_EMAIL_DOWNLOAD.htm</t>
  </si>
  <si>
    <t xml:space="preserve">PH_Rule_UEBA_TAG_11</t>
  </si>
  <si>
    <t xml:space="preserve">UEBA Policy detects email upload</t>
  </si>
  <si>
    <t xml:space="preserve">https://filestore.fortinet.com/docs.fortinet.com/fsiem/Public_Resource_Access/7_6_0/rules/PH_RULE_UEBA_POLICY_EMAIL_UPLOAD.htm</t>
  </si>
  <si>
    <t xml:space="preserve">PH_Rule_UEBA_TAG_10</t>
  </si>
  <si>
    <t xml:space="preserve">UEBA Policy detects encryption tools</t>
  </si>
  <si>
    <t xml:space="preserve">https://filestore.fortinet.com/docs.fortinet.com/fsiem/Public_Resource_Access/7_6_0/rules/PH_RULE_UEBA_POLICY_ENCRYPTION_TOOL.htm</t>
  </si>
  <si>
    <t xml:space="preserve">PH_Rule_UEBA_TAG_26</t>
  </si>
  <si>
    <t xml:space="preserve">UEBA Policy detects file archiver application</t>
  </si>
  <si>
    <t xml:space="preserve">https://filestore.fortinet.com/docs.fortinet.com/fsiem/Public_Resource_Access/7_6_0/rules/PH_RULE_UEBA_POLICY_FILE_ARCHIVER.htm</t>
  </si>
  <si>
    <t xml:space="preserve">PH_Rule_UEBA_TAG_7</t>
  </si>
  <si>
    <t xml:space="preserve">UEBA Policy detects file printed</t>
  </si>
  <si>
    <t xml:space="preserve">https://filestore.fortinet.com/docs.fortinet.com/fsiem/Public_Resource_Access/7_6_0/rules/PH_RULE_UEBA_POLICY_FILE_PRINTED.htm</t>
  </si>
  <si>
    <t xml:space="preserve">PH_Rule_UEBA_TAG_22</t>
  </si>
  <si>
    <t xml:space="preserve">UEBA Policy detects files copied over remote desktop</t>
  </si>
  <si>
    <t xml:space="preserve">https://filestore.fortinet.com/docs.fortinet.com/fsiem/Public_Resource_Access/7_6_0/rules/PH_RULE_UEBA_POLICY_RDP_FILE_COPY.htm</t>
  </si>
  <si>
    <t xml:space="preserve">PH_Rule_UEBA_TAG_19</t>
  </si>
  <si>
    <t xml:space="preserve">UEBA Policy detects gaming application</t>
  </si>
  <si>
    <t xml:space="preserve">https://filestore.fortinet.com/docs.fortinet.com/fsiem/Public_Resource_Access/7_6_0/rules/PH_RULE_UEBA_POLICY_GAMING_APP.htm</t>
  </si>
  <si>
    <t xml:space="preserve">PH_Rule_UEBA_TAG_17</t>
  </si>
  <si>
    <t xml:space="preserve">UEBA Policy detects hacking tool and footprints</t>
  </si>
  <si>
    <t xml:space="preserve">https://filestore.fortinet.com/docs.fortinet.com/fsiem/Public_Resource_Access/7_6_0/rules/PH_RULE_UEBA_POLICY_HACK_TOOL_FILE.htm</t>
  </si>
  <si>
    <t xml:space="preserve">PH_Rule_UEBA_TAG_1</t>
  </si>
  <si>
    <t xml:space="preserve">UEBA Policy detects hacking tool usage</t>
  </si>
  <si>
    <t xml:space="preserve">https://filestore.fortinet.com/docs.fortinet.com/fsiem/Public_Resource_Access/7_6_0/rules/PH_RULE_UEBA_POLICY_HACK_TOOL.htm</t>
  </si>
  <si>
    <t xml:space="preserve">PH_Rule_UEBA_40</t>
  </si>
  <si>
    <t xml:space="preserve">UEBA Policy detects malicious powershell execution</t>
  </si>
  <si>
    <t xml:space="preserve">https://filestore.fortinet.com/docs.fortinet.com/fsiem/Public_Resource_Access/7_6_0/rules/PH_RULE_UEBA_POLICY_MALICIOUS_POWERSHELL_EXEC.htm</t>
  </si>
  <si>
    <t xml:space="preserve">PH_Rule_UEBA_TAG_25</t>
  </si>
  <si>
    <t xml:space="preserve">UEBA Policy detects MTP read</t>
  </si>
  <si>
    <t xml:space="preserve">https://filestore.fortinet.com/docs.fortinet.com/fsiem/Public_Resource_Access/7_6_0/rules/PH_RULE_UEBA_POLICY_MTP_READ.htm</t>
  </si>
  <si>
    <t xml:space="preserve">PH_Rule_UEBA_TAG_5</t>
  </si>
  <si>
    <t xml:space="preserve">UEBA Policy detects MTP write</t>
  </si>
  <si>
    <t xml:space="preserve">https://filestore.fortinet.com/docs.fortinet.com/fsiem/Public_Resource_Access/7_6_0/rules/PH_RULE_UEBA_POLICY_MTP_WRITE.htm</t>
  </si>
  <si>
    <t xml:space="preserve">PH_Rule_UEBA_TAG_21</t>
  </si>
  <si>
    <t xml:space="preserve">UEBA Policy detects NFS read</t>
  </si>
  <si>
    <t xml:space="preserve">https://filestore.fortinet.com/docs.fortinet.com/fsiem/Public_Resource_Access/7_6_0/rules/PH_RULE_UEBA_POLICY_NFS_READ.htm</t>
  </si>
  <si>
    <t xml:space="preserve">PH_Rule_UEBA_TAG_15</t>
  </si>
  <si>
    <t xml:space="preserve">UEBA Policy detects nfs write</t>
  </si>
  <si>
    <t xml:space="preserve">https://filestore.fortinet.com/docs.fortinet.com/fsiem/Public_Resource_Access/7_6_0/rules/PH_RULE_UEBA_POLICY_NFS_WRITE.htm</t>
  </si>
  <si>
    <t xml:space="preserve">PH_Rule_UEBA_TAG_13</t>
  </si>
  <si>
    <t xml:space="preserve">UEBA Policy detects potential leaver editing a CV at work</t>
  </si>
  <si>
    <t xml:space="preserve">https://filestore.fortinet.com/docs.fortinet.com/fsiem/Public_Resource_Access/7_6_0/rules/PH_RULE_UEBA_POLICY_POTENTIAL_LEAVER.htm</t>
  </si>
  <si>
    <t xml:space="preserve">PH_Rule_UEBA_TAG_6</t>
  </si>
  <si>
    <t xml:space="preserve">UEBA Policy detects potential pirated media</t>
  </si>
  <si>
    <t xml:space="preserve">https://filestore.fortinet.com/docs.fortinet.com/fsiem/Public_Resource_Access/7_6_0/rules/PH_RULE_UEBA_POLICY_PIRATED_MEDIA.htm</t>
  </si>
  <si>
    <t xml:space="preserve">PH_Rule_UEBA_TAG_4</t>
  </si>
  <si>
    <t xml:space="preserve">UEBA Policy detects ransomware file types</t>
  </si>
  <si>
    <t xml:space="preserve">https://filestore.fortinet.com/docs.fortinet.com/fsiem/Public_Resource_Access/7_6_0/rules/PH_RULE_UEBA_POLICY_RANSOMWARE_FILE_TYPES.htm</t>
  </si>
  <si>
    <t xml:space="preserve">PH_Rule_UEBA_TAG_18</t>
  </si>
  <si>
    <t xml:space="preserve">UEBA Policy detects ransomware note</t>
  </si>
  <si>
    <t xml:space="preserve">https://filestore.fortinet.com/docs.fortinet.com/fsiem/Public_Resource_Access/7_6_0/rules/PH_RULE_UEBA_POLICY_RANSOMWARE_FILENAME.htm</t>
  </si>
  <si>
    <t xml:space="preserve">PH_Rule_UEBA_TAG_8</t>
  </si>
  <si>
    <t xml:space="preserve">UEBA Policy detects removable media read</t>
  </si>
  <si>
    <t xml:space="preserve">https://filestore.fortinet.com/docs.fortinet.com/fsiem/Public_Resource_Access/7_6_0/rules/PH_RULE_UEBA_POLICY_RM_READ.htm</t>
  </si>
  <si>
    <t xml:space="preserve">PH_Rule_UEBA_TAG_20</t>
  </si>
  <si>
    <t xml:space="preserve">UEBA Policy detects removable media write</t>
  </si>
  <si>
    <t xml:space="preserve">https://filestore.fortinet.com/docs.fortinet.com/fsiem/Public_Resource_Access/7_6_0/rules/PH_RULE_UEBA_POLICY_RM_WRITE.htm</t>
  </si>
  <si>
    <t xml:space="preserve">PH_Rule_UEBA_TAG_9</t>
  </si>
  <si>
    <t xml:space="preserve">UEBA Policy detects snipping tool</t>
  </si>
  <si>
    <t xml:space="preserve">https://filestore.fortinet.com/docs.fortinet.com/fsiem/Public_Resource_Access/7_6_0/rules/PH_RULE_UEBA_POLICY_SNIPPING_TOOL.htm</t>
  </si>
  <si>
    <t xml:space="preserve">PH_Rule_UEBA_TAG_24</t>
  </si>
  <si>
    <t xml:space="preserve">UEBA Policy detects software installation</t>
  </si>
  <si>
    <t xml:space="preserve">https://filestore.fortinet.com/docs.fortinet.com/fsiem/Public_Resource_Access/7_6_0/rules/PH_RULE_UEBA_POLICY_SOFTWARE_INSTALLATION.htm</t>
  </si>
  <si>
    <t xml:space="preserve">PH_Rule_UEBA_41</t>
  </si>
  <si>
    <t xml:space="preserve">UEBA Policy detects suspicious applications</t>
  </si>
  <si>
    <t xml:space="preserve">https://filestore.fortinet.com/docs.fortinet.com/fsiem/Public_Resource_Access/7_6_0/rules/PH_RULE_UEBA_POLICY_SUSPICIOUS_APP.htm</t>
  </si>
  <si>
    <t xml:space="preserve">PH_Rule_UEBA_42</t>
  </si>
  <si>
    <t xml:space="preserve">UEBA Policy detects Tor client usage</t>
  </si>
  <si>
    <t xml:space="preserve">https://filestore.fortinet.com/docs.fortinet.com/fsiem/Public_Resource_Access/7_6_0/rules/PH_RULE_UEBA_POLICY_TOR_CLIENT_USAGE.htm</t>
  </si>
  <si>
    <t xml:space="preserve">PH_Rule_UEBA_43</t>
  </si>
  <si>
    <t xml:space="preserve">UEBA Policy detects uncommon VPN client</t>
  </si>
  <si>
    <t xml:space="preserve">https://filestore.fortinet.com/docs.fortinet.com/fsiem/Public_Resource_Access/7_6_0/rules/PH_RULE_UEBA_POLICY_VPN_USAGE.htm</t>
  </si>
  <si>
    <t xml:space="preserve">PH_Rule_PolicyViolation_32</t>
  </si>
  <si>
    <t xml:space="preserve">Unapproved File Execution</t>
  </si>
  <si>
    <t xml:space="preserve">https://filestore.fortinet.com/docs.fortinet.com/fsiem/Public_Resource_Access/7_6_0/rules/PH_RULE_UNAPPROVED_FILE_EXEC.htm</t>
  </si>
  <si>
    <t xml:space="preserve">PH_RULE_PANOS_ConfigChangeUnauthorized</t>
  </si>
  <si>
    <t xml:space="preserve">Unauthorized Palo Alto Firewall Config Change</t>
  </si>
  <si>
    <t xml:space="preserve">https://filestore.fortinet.com/docs.fortinet.com/fsiem/Public_Resource_Access/7_6_0/rules/PH_RULE_PANOS_ConfigChangeUnauthorized.htm</t>
  </si>
  <si>
    <t xml:space="preserve">PH_Rule_LT_2</t>
  </si>
  <si>
    <t xml:space="preserve">Uncommon Linux process Created</t>
  </si>
  <si>
    <t xml:space="preserve">Linux via Linux Collector</t>
  </si>
  <si>
    <t xml:space="preserve">https://filestore.fortinet.com/docs.fortinet.com/fsiem/Public_Resource_Access/7_6_0/rules/PH_RULE_LINUX_UNCOMMON_PROC.htm</t>
  </si>
  <si>
    <t xml:space="preserve">PH_Rule_LT_1</t>
  </si>
  <si>
    <t xml:space="preserve">Uncommon Windows process Created</t>
  </si>
  <si>
    <t xml:space="preserve">https://filestore.fortinet.com/docs.fortinet.com/fsiem/Public_Resource_Access/7_6_0/rules/PH_RULE_WIN_UNCOMMON_PROC_OSQUERY.htm</t>
  </si>
  <si>
    <t xml:space="preserve">PH_Rule_LT_1B</t>
  </si>
  <si>
    <t xml:space="preserve">Uncommon Windows process via Sysmon</t>
  </si>
  <si>
    <t xml:space="preserve">https://filestore.fortinet.com/docs.fortinet.com/fsiem/Public_Resource_Access/7_6_0/rules/PH_RULE_WIN_UNCOMMON_PROC_SYSMON.htm</t>
  </si>
  <si>
    <t xml:space="preserve">PH_Rule_LT_10</t>
  </si>
  <si>
    <t xml:space="preserve">Uncommon Windows Service</t>
  </si>
  <si>
    <t xml:space="preserve">https://filestore.fortinet.com/docs.fortinet.com/fsiem/Public_Resource_Access/7_6_0/rules/PH_RULE_WINDOWS_UNCOMMON_SERVICE.htm</t>
  </si>
  <si>
    <t xml:space="preserve">PH_Rule_Perf_24</t>
  </si>
  <si>
    <t xml:space="preserve">Unix Server Health: Critical</t>
  </si>
  <si>
    <t xml:space="preserve">Linux via SNMP</t>
  </si>
  <si>
    <t xml:space="preserve">https://filestore.fortinet.com/docs.fortinet.com/fsiem/Public_Resource_Access/7_6_0/rules/PH_RULE_HEALTH_UNIX_SERVER_CRITICAL.htm</t>
  </si>
  <si>
    <t xml:space="preserve">PH_Rule_Perf_30</t>
  </si>
  <si>
    <t xml:space="preserve">Unix Server Health: Warning</t>
  </si>
  <si>
    <t xml:space="preserve">https://filestore.fortinet.com/docs.fortinet.com/fsiem/Public_Resource_Access/7_6_0/rules/PH_RULE_HEALTH_UNIX_SERVER_WATCH.htm</t>
  </si>
  <si>
    <t xml:space="preserve">PH_Rule_Avail_60</t>
  </si>
  <si>
    <t xml:space="preserve">Unix System Shutting Down</t>
  </si>
  <si>
    <t xml:space="preserve">https://filestore.fortinet.com/docs.fortinet.com/fsiem/Public_Resource_Access/7_6_0/rules/PH_RULE_UNIX_SERVER_DOWN.htm</t>
  </si>
  <si>
    <t xml:space="preserve">PH_Rule_Flow_204</t>
  </si>
  <si>
    <t xml:space="preserve">Unusual ICMP Traffic</t>
  </si>
  <si>
    <t xml:space="preserve">https://filestore.fortinet.com/docs.fortinet.com/fsiem/Public_Resource_Access/7_6_0/rules/PH_RULE_UNUSUAL_ICMP.htm</t>
  </si>
  <si>
    <t xml:space="preserve">PH_Rule_Flow_10</t>
  </si>
  <si>
    <t xml:space="preserve">Unusually Large ICMP Echo Packets</t>
  </si>
  <si>
    <t xml:space="preserve">https://filestore.fortinet.com/docs.fortinet.com/fsiem/Public_Resource_Access/7_6_0/rules/PH_RULE_LARGE_ICMP_ECHO.htm</t>
  </si>
  <si>
    <t xml:space="preserve">PH_Rule_Environ_1</t>
  </si>
  <si>
    <t xml:space="preserve">UPS Battery Metrics Critical</t>
  </si>
  <si>
    <t xml:space="preserve">UPS</t>
  </si>
  <si>
    <t xml:space="preserve">Any UPS Device via SNMP</t>
  </si>
  <si>
    <t xml:space="preserve">https://filestore.fortinet.com/docs.fortinet.com/fsiem/Public_Resource_Access/7_6_0/rules/PH_RULE_UPS_BATTERY_METRIC_CRIT.htm</t>
  </si>
  <si>
    <t xml:space="preserve">PH_Rule_Environ_2</t>
  </si>
  <si>
    <t xml:space="preserve">UPS Battery Status Critical</t>
  </si>
  <si>
    <t xml:space="preserve">https://filestore.fortinet.com/docs.fortinet.com/fsiem/Public_Resource_Access/7_6_0/rules/PH_RULE_UPS_BATTERY_STAT_CRIT.htm</t>
  </si>
  <si>
    <t xml:space="preserve">PH_RULE_UserAgent_UTM_IDPS_Alert</t>
  </si>
  <si>
    <t xml:space="preserve">UserGate UTM IDPS Alert Detected</t>
  </si>
  <si>
    <t xml:space="preserve">UserGate UTM Firewall via Syslog</t>
  </si>
  <si>
    <t xml:space="preserve">https://filestore.fortinet.com/docs.fortinet.com/fsiem/Public_Resource_Access/7_6_0/rules/PH_RULE_UserAgent_UTM_IDPS_Alert.htm</t>
  </si>
  <si>
    <t xml:space="preserve">PH_Rule_Perf_253</t>
  </si>
  <si>
    <t xml:space="preserve">VCenter Datastore Space Critical</t>
  </si>
  <si>
    <t xml:space="preserve">https://filestore.fortinet.com/docs.fortinet.com/fsiem/Public_Resource_Access/7_6_0/rules/PH_RULE_VMWARE_DATASTORE_SPACE_CRIT.htm</t>
  </si>
  <si>
    <t xml:space="preserve">PH_RULE_VEEAM_STORAGE_DISCONNECT</t>
  </si>
  <si>
    <t xml:space="preserve">Veeam: Backup Storage or Repository Disconnected</t>
  </si>
  <si>
    <t xml:space="preserve">https://filestore.fortinet.com/docs.fortinet.com/fsiem/Public_Resource_Access/7_6_0/rules/PH_RULE_VEEAM_STORAGE_DISCONNECT.htm</t>
  </si>
  <si>
    <t xml:space="preserve">PH_RULE_VEEAM_CRIT_INFRA_REMOVAL</t>
  </si>
  <si>
    <t xml:space="preserve">Veeam: Critical Infrastructure Component Removed</t>
  </si>
  <si>
    <t xml:space="preserve">https://filestore.fortinet.com/docs.fortinet.com/fsiem/Public_Resource_Access/7_6_0/rules/PH_RULE_VEEAM_CRIT_INFRA_REMOVAL.htm</t>
  </si>
  <si>
    <t xml:space="preserve">PH_RULE_VEEAM_MFA_GLOBAL_DISABLED</t>
  </si>
  <si>
    <t xml:space="preserve">Veeam: Global Multi-Factor Authentication Disabled</t>
  </si>
  <si>
    <t xml:space="preserve">https://filestore.fortinet.com/docs.fortinet.com/fsiem/Public_Resource_Access/7_6_0/rules/PH_RULE_VEEAM_MFA_GLOBAL_DISABLED.htm</t>
  </si>
  <si>
    <t xml:space="preserve">PH_RULE_VEEAM_JOB_SERVICE_FAILURE</t>
  </si>
  <si>
    <t xml:space="preserve">Veeam: High Severity Job Failure or Service Outage Detected</t>
  </si>
  <si>
    <t xml:space="preserve">https://filestore.fortinet.com/docs.fortinet.com/fsiem/Public_Resource_Access/7_6_0/rules/PH_RULE_VEEAM_JOB_SERVICE_FAILURE.htm</t>
  </si>
  <si>
    <t xml:space="preserve">PH_RULE_VEEAM_CAPACITY_WARNING</t>
  </si>
  <si>
    <t xml:space="preserve">Veeam: License or Resource Quota Capacity Warning Detected</t>
  </si>
  <si>
    <t xml:space="preserve">https://filestore.fortinet.com/docs.fortinet.com/fsiem/Public_Resource_Access/7_6_0/rules/PH_RULE_VEEAM_CAPACITY_WARNING.htm</t>
  </si>
  <si>
    <t xml:space="preserve">PH_RULE_VEEAM_MED_CONFIG_CHANGE</t>
  </si>
  <si>
    <t xml:space="preserve">Veeam: Medium Severity Configuration Change Detected</t>
  </si>
  <si>
    <t xml:space="preserve">https://filestore.fortinet.com/docs.fortinet.com/fsiem/Public_Resource_Access/7_6_0/rules/PH_RULE_VEEAM_MED_CONFIG_CHANGE.htm</t>
  </si>
  <si>
    <t xml:space="preserve">PH_RULE_VEEAM_FOUR_EYES_TAMPERING_DETECTED</t>
  </si>
  <si>
    <t xml:space="preserve">Veeam: Multi-Double Authorization Disabled</t>
  </si>
  <si>
    <t xml:space="preserve">https://filestore.fortinet.com/docs.fortinet.com/fsiem/Public_Resource_Access/7_6_0/rules/PH_RULE_VEEAM_FOUR_EYES_TAMPERING_DETECTED.htm</t>
  </si>
  <si>
    <t xml:space="preserve">PH_RULE_VEEAM_RANSOMWARE_DETECTED</t>
  </si>
  <si>
    <t xml:space="preserve">Veeam: Ransomware Activity Detected</t>
  </si>
  <si>
    <t xml:space="preserve">https://filestore.fortinet.com/docs.fortinet.com/fsiem/Public_Resource_Access/7_6_0/rules/PH_RULE_VEEAM_RANSOMWARE_DETECTED.htm</t>
  </si>
  <si>
    <t xml:space="preserve">PH_RULE_VEEAM_SECURITY_EXCLUSION_MOD</t>
  </si>
  <si>
    <t xml:space="preserve">Veeam: Security Exclusion or Policy Modification Detected</t>
  </si>
  <si>
    <t xml:space="preserve">https://filestore.fortinet.com/docs.fortinet.com/fsiem/Public_Resource_Access/7_6_0/rules/PH_RULE_VEEAM_SECURITY_EXCLUSION_MOD.htm</t>
  </si>
  <si>
    <t xml:space="preserve">PH_RULE_VEEAM_STORAGE_DELETION</t>
  </si>
  <si>
    <t xml:space="preserve">Veeam: Storage or Storage Object Deleted</t>
  </si>
  <si>
    <t xml:space="preserve">https://filestore.fortinet.com/docs.fortinet.com/fsiem/Public_Resource_Access/7_6_0/rules/PH_RULE_VEEAM_STORAGE_DELETION.htm</t>
  </si>
  <si>
    <t xml:space="preserve">PH_Rule_Perf_220</t>
  </si>
  <si>
    <t xml:space="preserve">Virtual Machine CPU Critical</t>
  </si>
  <si>
    <t xml:space="preserve">https://filestore.fortinet.com/docs.fortinet.com/fsiem/Public_Resource_Access/7_6_0/rules/PH_RULE_VM_CPU_CRIT.htm</t>
  </si>
  <si>
    <t xml:space="preserve">PH_Rule_Perf_219</t>
  </si>
  <si>
    <t xml:space="preserve">Virtual Machine CPU Warning</t>
  </si>
  <si>
    <t xml:space="preserve">https://filestore.fortinet.com/docs.fortinet.com/fsiem/Public_Resource_Access/7_6_0/rules/PH_RULE_VM_CPU_WARN.htm</t>
  </si>
  <si>
    <t xml:space="preserve">PH_Rule_Perf_44</t>
  </si>
  <si>
    <t xml:space="preserve">Virtual Machine Health: Critical</t>
  </si>
  <si>
    <t xml:space="preserve">https://filestore.fortinet.com/docs.fortinet.com/fsiem/Public_Resource_Access/7_6_0/rules/PH_RULE_HEALTH_VM_CRITICAL.htm</t>
  </si>
  <si>
    <t xml:space="preserve">PH_Rule_Perf_43</t>
  </si>
  <si>
    <t xml:space="preserve">Virtual Machine Health: Warning</t>
  </si>
  <si>
    <t xml:space="preserve">https://filestore.fortinet.com/docs.fortinet.com/fsiem/Public_Resource_Access/7_6_0/rules/PH_RULE_HEALTH_VM_WATCH.htm</t>
  </si>
  <si>
    <t xml:space="preserve">PH_Rule_Perf_222</t>
  </si>
  <si>
    <t xml:space="preserve">Virtual Machine Memory Swapping Critical</t>
  </si>
  <si>
    <t xml:space="preserve">https://filestore.fortinet.com/docs.fortinet.com/fsiem/Public_Resource_Access/7_6_0/rules/PH_RULE_VM_MEM_CRIT.htm</t>
  </si>
  <si>
    <t xml:space="preserve">PH_Rule_Perf_221</t>
  </si>
  <si>
    <t xml:space="preserve">Virtual Machine Memory Swapping Warning</t>
  </si>
  <si>
    <t xml:space="preserve">https://filestore.fortinet.com/docs.fortinet.com/fsiem/Public_Resource_Access/7_6_0/rules/PH_RULE_VM_MEM_WARN.htm</t>
  </si>
  <si>
    <t xml:space="preserve">PH_Rule_Perf_224</t>
  </si>
  <si>
    <t xml:space="preserve">Virtual Machine SCSI Bus Reset</t>
  </si>
  <si>
    <t xml:space="preserve">https://filestore.fortinet.com/docs.fortinet.com/fsiem/Public_Resource_Access/7_6_0/rules/PH_RULE_VM_DISKIO_SCSI_BUS_RESET.htm</t>
  </si>
  <si>
    <t xml:space="preserve">PH_Rule_Trap_8</t>
  </si>
  <si>
    <t xml:space="preserve">Warning APC Trap</t>
  </si>
  <si>
    <t xml:space="preserve">https://filestore.fortinet.com/docs.fortinet.com/fsiem/Public_Resource_Access/7_6_0/rules/PH_RULE_APC_TRAP_WARN.htm</t>
  </si>
  <si>
    <t xml:space="preserve">PH_Rule_Trap_4</t>
  </si>
  <si>
    <t xml:space="preserve">Warning APC Trap: can be auto cleared</t>
  </si>
  <si>
    <t xml:space="preserve">https://filestore.fortinet.com/docs.fortinet.com/fsiem/Public_Resource_Access/7_6_0/rules/PH_RULE_APC_TRAP_WARN_CLEARABLE.htm</t>
  </si>
  <si>
    <t xml:space="preserve">PH_Rule_Trap_6</t>
  </si>
  <si>
    <t xml:space="preserve">Warning NetApp Trap</t>
  </si>
  <si>
    <t xml:space="preserve">https://filestore.fortinet.com/docs.fortinet.com/fsiem/Public_Resource_Access/7_6_0/rules/PH_RULE_NETAPP_TRAP_WARN.htm</t>
  </si>
  <si>
    <t xml:space="preserve">PH_Rule_Trap_2</t>
  </si>
  <si>
    <t xml:space="preserve">Warning NetApp Trap: can be auto cleared</t>
  </si>
  <si>
    <t xml:space="preserve">https://filestore.fortinet.com/docs.fortinet.com/fsiem/Public_Resource_Access/7_6_0/rules/PH_RULE_NETAPP_TRAP_WARN_CLEARABLE.htm</t>
  </si>
  <si>
    <t xml:space="preserve">PH_Rule_Vuln_27</t>
  </si>
  <si>
    <t xml:space="preserve">Web Traffic to Anomali ThreatStream Malicious URLs</t>
  </si>
  <si>
    <t xml:space="preserve">Checkpoint Firewall via Syslog or LEA; Microsoft IIS via Windows Collector; UserGate UTM Firewall via Syslog; Sophos Web Filter via Syslog; Barracuda WAF via Syslog; FortiProxy via Syslog; FortiGate via Syslog; NetScaler via Syslog; FortiWeb via Syslog; AWS ELB via Syslog; Apache via Syslog; Nginx via Syslog; F5 via Syslog</t>
  </si>
  <si>
    <t xml:space="preserve">https://filestore.fortinet.com/docs.fortinet.com/fsiem/Public_Resource_Access/7_6_0/rules/PH_RULE_WEB_THREATSTREAM_MALWARE_URL.htm</t>
  </si>
  <si>
    <t xml:space="preserve">PH_Rule_Vuln_28B</t>
  </si>
  <si>
    <t xml:space="preserve">Web Traffic to FortiGuard Malicious URLs</t>
  </si>
  <si>
    <t xml:space="preserve">https://filestore.fortinet.com/docs.fortinet.com/fsiem/Public_Resource_Access/7_6_0/rules/PH_RULE_WEB_FORTIGUARD_MALWARE_URL.htm</t>
  </si>
  <si>
    <t xml:space="preserve">PH_Rule_Vuln_28</t>
  </si>
  <si>
    <t xml:space="preserve">Web Traffic to FortiSandbox Malicious URLs</t>
  </si>
  <si>
    <t xml:space="preserve">https://filestore.fortinet.com/docs.fortinet.com/fsiem/Public_Resource_Access/7_6_0/rules/PH_RULE_WEB_FORTISANDBOX_MALWARE_URL.htm</t>
  </si>
  <si>
    <t xml:space="preserve">PH_RULE_WEB_POL_VIOLATION_MANY_SRC_SAME_DEST</t>
  </si>
  <si>
    <t xml:space="preserve">Website access policy violation: Multiple Sources and Same Destination</t>
  </si>
  <si>
    <t xml:space="preserve">TrendMicro Interscan Web Security via Syslog; Sophos Web Filter via Syslog; FortiProxy via Syslog; FortiGate via Syslog; FortiWeb via Syslog</t>
  </si>
  <si>
    <t xml:space="preserve">https://filestore.fortinet.com/docs.fortinet.com/fsiem/Public_Resource_Access/7_6_0/rules/PH_RULE_WEB_POL_VIOLATION_MANY_SRC_SAME_DEST.htm</t>
  </si>
  <si>
    <t xml:space="preserve">PH_RULE_WEB_POL_VIOLATION_SAME_SRC_SAME_DEST</t>
  </si>
  <si>
    <t xml:space="preserve">Website access policy violation: Same Source and Destination</t>
  </si>
  <si>
    <t xml:space="preserve">https://filestore.fortinet.com/docs.fortinet.com/fsiem/Public_Resource_Access/7_6_0/rules/PH_RULE_WEB_POL_VIOLATION_SAME_SRC_SAME_DEST.htm</t>
  </si>
  <si>
    <t xml:space="preserve">PH_RULE_WEB_POL_VIOLATION_SAME_SRC_MANY_CATEGORIES</t>
  </si>
  <si>
    <t xml:space="preserve">Website access policy violation: Same Source and Multiple Categories</t>
  </si>
  <si>
    <t xml:space="preserve">https://filestore.fortinet.com/docs.fortinet.com/fsiem/Public_Resource_Access/7_6_0/rules/PH_RULE_WEB_POL_VIOLATION_SAME_SRC_MANY_CATEGORIES.htm</t>
  </si>
  <si>
    <t xml:space="preserve">PH_Rule_IPS_15</t>
  </si>
  <si>
    <t xml:space="preserve">Website defacement attack</t>
  </si>
  <si>
    <t xml:space="preserve">https://filestore.fortinet.com/docs.fortinet.com/fsiem/Public_Resource_Access/7_6_0/rules/PH_RULE_WEB_DEFACEMENT_ATTACK.htm</t>
  </si>
  <si>
    <t xml:space="preserve">PH_Rule_Change_32</t>
  </si>
  <si>
    <t xml:space="preserve">Windows Collector FIM: File Changed From Baseline</t>
  </si>
  <si>
    <t xml:space="preserve">https://filestore.fortinet.com/docs.fortinet.com/fsiem/Public_Resource_Access/7_6_0/rules/PH_RULE_WIN_AGENT_FILE_BASELINE_CHANGE.htm</t>
  </si>
  <si>
    <t xml:space="preserve">PH_Rule_Change_28</t>
  </si>
  <si>
    <t xml:space="preserve">Windows Collector FIM: File Content Modified</t>
  </si>
  <si>
    <t xml:space="preserve">https://filestore.fortinet.com/docs.fortinet.com/fsiem/Public_Resource_Access/7_6_0/rules/PH_RULE_WIN_AGENT_FILE_MODIFY.htm</t>
  </si>
  <si>
    <t xml:space="preserve">PH_Rule_Change_31</t>
  </si>
  <si>
    <t xml:space="preserve">Windows Collector FIM: File or Directory Archive Bit Changed</t>
  </si>
  <si>
    <t xml:space="preserve">https://filestore.fortinet.com/docs.fortinet.com/fsiem/Public_Resource_Access/7_6_0/rules/PH_RULE_WIN_AGENT_FILE_ARCHIVEBIT_CHANGE.htm</t>
  </si>
  <si>
    <t xml:space="preserve">PH_Rule_Change_26</t>
  </si>
  <si>
    <t xml:space="preserve">Windows Collector FIM: File or Directory Created</t>
  </si>
  <si>
    <t xml:space="preserve">https://filestore.fortinet.com/docs.fortinet.com/fsiem/Public_Resource_Access/7_6_0/rules/PH_RULE_WIN_AGENT_FILE_CREATE.htm</t>
  </si>
  <si>
    <t xml:space="preserve">PH_Rule_Change_26B</t>
  </si>
  <si>
    <t xml:space="preserve">Windows Collector FIM: File or Directory Deleted</t>
  </si>
  <si>
    <t xml:space="preserve">https://filestore.fortinet.com/docs.fortinet.com/fsiem/Public_Resource_Access/7_6_0/rules/PH_RULE_WIN_AGENT_FILE_DELETE.htm</t>
  </si>
  <si>
    <t xml:space="preserve">PH_Rule_Change_30</t>
  </si>
  <si>
    <t xml:space="preserve">Windows Collector FIM: File Ownership Changed</t>
  </si>
  <si>
    <t xml:space="preserve">https://filestore.fortinet.com/docs.fortinet.com/fsiem/Public_Resource_Access/7_6_0/rules/PH_RULE_WIN_AGENT_FILE_OWNER_CHANGE.htm</t>
  </si>
  <si>
    <t xml:space="preserve">PH_Rule_Avail_38</t>
  </si>
  <si>
    <t xml:space="preserve">Windows Disk controller problem</t>
  </si>
  <si>
    <t xml:space="preserve">https://filestore.fortinet.com/docs.fortinet.com/fsiem/Public_Resource_Access/7_6_0/rules/PH_RULE_WIN_DISK_CONTROLLLER_PROBLEM.htm</t>
  </si>
  <si>
    <t xml:space="preserve">PH_RULE_WinDNSServer_SuspDNSTrafficResolved</t>
  </si>
  <si>
    <t xml:space="preserve">Windows DNS Server: Suspicious DNS Traffic Resolved</t>
  </si>
  <si>
    <t xml:space="preserve">Microsoft Windows DNS (with debug log enabled) via Windows Collector</t>
  </si>
  <si>
    <t xml:space="preserve">https://filestore.fortinet.com/docs.fortinet.com/fsiem/Public_Resource_Access/7_6_0/rules/PH_RULE_WinDNSServer_SuspDNSTrafficResolved.htm</t>
  </si>
  <si>
    <t xml:space="preserve">PH_Rule_DFSR_1</t>
  </si>
  <si>
    <t xml:space="preserve">Windows File System Replication Down</t>
  </si>
  <si>
    <t xml:space="preserve">https://filestore.fortinet.com/docs.fortinet.com/fsiem/Public_Resource_Access/7_6_0/rules/PH_RULE_DFSR_DOWN.htm</t>
  </si>
  <si>
    <t xml:space="preserve">PH_Rule_DFSR_4</t>
  </si>
  <si>
    <t xml:space="preserve">Windows File System Replication Service Communication Error</t>
  </si>
  <si>
    <t xml:space="preserve">Windows File System Replication</t>
  </si>
  <si>
    <t xml:space="preserve">https://filestore.fortinet.com/docs.fortinet.com/fsiem/Public_Resource_Access/7_6_0/rules/PH_RULE_DFSR_COMM_ERROR.htm</t>
  </si>
  <si>
    <t xml:space="preserve">PH_Rule_DFSR_5</t>
  </si>
  <si>
    <t xml:space="preserve">Windows File System Replication Service Fatal Internal Error</t>
  </si>
  <si>
    <t xml:space="preserve">https://filestore.fortinet.com/docs.fortinet.com/fsiem/Public_Resource_Access/7_6_0/rules/PH_RULE_DFSR_FATAL_INTERNAL_ERROR.htm</t>
  </si>
  <si>
    <t xml:space="preserve">PH_Rule_DFSR_2</t>
  </si>
  <si>
    <t xml:space="preserve">Windows File System Replication Sharing violation</t>
  </si>
  <si>
    <t xml:space="preserve">https://filestore.fortinet.com/docs.fortinet.com/fsiem/Public_Resource_Access/7_6_0/rules/PH_RULE_DFSR_SHARING_VIOLATION.htm</t>
  </si>
  <si>
    <t xml:space="preserve">PH_Rule_DFSR_3</t>
  </si>
  <si>
    <t xml:space="preserve">Windows File System Replication Staging quota too small</t>
  </si>
  <si>
    <t xml:space="preserve">https://filestore.fortinet.com/docs.fortinet.com/fsiem/Public_Resource_Access/7_6_0/rules/PH_RULE_DFSR_STAGING_QUOTA_TOO_SMALL.htm</t>
  </si>
  <si>
    <t xml:space="preserve">PH_Rule_OSQ_WIN_1</t>
  </si>
  <si>
    <t xml:space="preserve">Windows process communicating outbound to unusual ports</t>
  </si>
  <si>
    <t xml:space="preserve">https://filestore.fortinet.com/docs.fortinet.com/fsiem/Public_Resource_Access/7_6_0/rules/PH_RULE_Win_Public_Connection_Not_Web_DNS_Mail.htm</t>
  </si>
  <si>
    <t xml:space="preserve">PH_Rule_TH_9</t>
  </si>
  <si>
    <t xml:space="preserve">Windows Process Tampering Detected</t>
  </si>
  <si>
    <t xml:space="preserve">https://filestore.fortinet.com/docs.fortinet.com/fsiem/Public_Resource_Access/7_6_0/rules/PH_RULE_WIN_PROCESS_TAMPERING.htm</t>
  </si>
  <si>
    <t xml:space="preserve">PH_Rule_OSQ_WIN_2</t>
  </si>
  <si>
    <t xml:space="preserve">Windows Process with deleted binaries</t>
  </si>
  <si>
    <t xml:space="preserve">https://filestore.fortinet.com/docs.fortinet.com/fsiem/Public_Resource_Access/7_6_0/rules/PH_RULE_Win_Proc_Binary_Deleted.htm</t>
  </si>
  <si>
    <t xml:space="preserve">PH_Rule_PolicyViolation_35</t>
  </si>
  <si>
    <t xml:space="preserve">Windows Removable Media Inserts</t>
  </si>
  <si>
    <t xml:space="preserve">https://filestore.fortinet.com/docs.fortinet.com/fsiem/Public_Resource_Access/7_6_0/rules/PH_RULE_WIN_REM_MEDIA_INSERT.htm</t>
  </si>
  <si>
    <t xml:space="preserve">PH_Rule_Perf_22</t>
  </si>
  <si>
    <t xml:space="preserve">Windows Server Health: Critical</t>
  </si>
  <si>
    <t xml:space="preserve">https://filestore.fortinet.com/docs.fortinet.com/fsiem/Public_Resource_Access/7_6_0/rules/PH_RULE_HEALTH_WIN_SERVER_CRITICAL.htm</t>
  </si>
  <si>
    <t xml:space="preserve">PH_Rule_Perf_29</t>
  </si>
  <si>
    <t xml:space="preserve">Windows Server Health: Warning</t>
  </si>
  <si>
    <t xml:space="preserve">https://filestore.fortinet.com/docs.fortinet.com/fsiem/Public_Resource_Access/7_6_0/rules/PH_RULE_HEALTH_WIN_SERVER_WATCH.htm</t>
  </si>
  <si>
    <t xml:space="preserve">PH_Rule_Perf_249</t>
  </si>
  <si>
    <t xml:space="preserve">Windows Server Paging File Usage Critical</t>
  </si>
  <si>
    <t xml:space="preserve">https://filestore.fortinet.com/docs.fortinet.com/fsiem/Public_Resource_Access/7_6_0/rules/PH_RULE_SERVER_PAGING_FILE_CRIT.htm</t>
  </si>
  <si>
    <t xml:space="preserve">PH_Rule_Avail_56</t>
  </si>
  <si>
    <t xml:space="preserve">Windows Server Shutting Down</t>
  </si>
  <si>
    <t xml:space="preserve">https://filestore.fortinet.com/docs.fortinet.com/fsiem/Public_Resource_Access/7_6_0/rules/PH_RULE_WINDOWS_SERVER_DOWN.htm</t>
  </si>
  <si>
    <t xml:space="preserve">PH_Rule_Change_23</t>
  </si>
  <si>
    <t xml:space="preserve">Windows Server USB File Write</t>
  </si>
  <si>
    <t xml:space="preserve">https://filestore.fortinet.com/docs.fortinet.com/fsiem/Public_Resource_Access/7_6_0/rules/PH_RULE_WIN_USB_WRITE.htm</t>
  </si>
  <si>
    <t xml:space="preserve">PH_RULE_WinTaskScheduler_TaskRegistered</t>
  </si>
  <si>
    <t xml:space="preserve">Windows Task Scheduler: Task Registered</t>
  </si>
  <si>
    <t xml:space="preserve">Microsoft Windows Task Scheduler Operational Logs via Windows Collector</t>
  </si>
  <si>
    <t xml:space="preserve">https://filestore.fortinet.com/docs.fortinet.com/fsiem/Public_Resource_Access/7_6_0/rules/PH_RULE_WinTaskScheduler_TaskRegistered.htm</t>
  </si>
  <si>
    <t xml:space="preserve">PH_Rule_PolicyViolation_36</t>
  </si>
  <si>
    <t xml:space="preserve">Windows Torrent Client</t>
  </si>
  <si>
    <t xml:space="preserve">https://filestore.fortinet.com/docs.fortinet.com/fsiem/Public_Resource_Access/7_6_0/rules/PH_RULE_UEBA_WIN_TORRENT_CLIENT.htm</t>
  </si>
  <si>
    <t xml:space="preserve">PH_Rule_SIGMA_841</t>
  </si>
  <si>
    <t xml:space="preserve">Windows: .RDP File Created By Uncommon Application</t>
  </si>
  <si>
    <t xml:space="preserve">https://filestore.fortinet.com/docs.fortinet.com/fsiem/Public_Resource_Access/7_6_0/rules/PH_RULE_Rclone_Config_File_Creation.htm</t>
  </si>
  <si>
    <t xml:space="preserve">PH_Rule_SIGMA_2257</t>
  </si>
  <si>
    <t xml:space="preserve">Windows: 7Zip Compressing Dump Files</t>
  </si>
  <si>
    <t xml:space="preserve">https://filestore.fortinet.com/docs.fortinet.com/fsiem/Public_Resource_Access/7_6_0/rules/PH_RULE_7Zip_Compressing_Dump_Files.htm</t>
  </si>
  <si>
    <t xml:space="preserve">Microsoft Windows Powershell Operational Logs via Windows Collector [Corrected: Fortinet docs label this rule "CyberArk Enterprise Password Vault via Syslog"; source derived from its event types]</t>
  </si>
  <si>
    <t xml:space="preserve">PH_Rule_windows_SIGMA_3000</t>
  </si>
  <si>
    <t xml:space="preserve">Windows: Abusable DLL Potential Sideloading From Suspicious Location</t>
  </si>
  <si>
    <t xml:space="preserve">Microsoft Windows Sysmon via Windows Collector [Corrected: Fortinet docs label this rule "CyberArk Enterprise Password Vault via Syslog"; source derived from its event types]</t>
  </si>
  <si>
    <t xml:space="preserve">https://filestore.fortinet.com/docs.fortinet.com/fsiem/Public_Resource_Access/7_6_0/rules/PH_RULE_Abusable_DLL_Potential_Sideloading_From_Suspicious_Location.htm</t>
  </si>
  <si>
    <t xml:space="preserve">PH_Rule_SIGMA_2442</t>
  </si>
  <si>
    <t xml:space="preserve">Windows: Abuse of Service Permissions to Hide Services Via Set-Service</t>
  </si>
  <si>
    <t xml:space="preserve">https://filestore.fortinet.com/docs.fortinet.com/fsiem/Public_Resource_Access/7_6_0/rules/PH_RULE_Abuse_of_Service_Permissions_to_Hide_Services_Via_Set_Service.htm</t>
  </si>
  <si>
    <t xml:space="preserve">PH_Rule_windows_SIGMA_3270</t>
  </si>
  <si>
    <t xml:space="preserve">Windows: Abuse of Service Permissions to Hide Services Via Set-Service - PS</t>
  </si>
  <si>
    <t xml:space="preserve">https://filestore.fortinet.com/docs.fortinet.com/fsiem/Public_Resource_Access/7_6_0/rules/PH_RULE_Abuse_of_Service_Permissions_to_Hide_Services_Via_Set_Service_PS.htm</t>
  </si>
  <si>
    <t xml:space="preserve">PH_Rule_SIGMA_1744</t>
  </si>
  <si>
    <t xml:space="preserve">Windows: Abused Debug Privilege by Arbitrary Parent Processes</t>
  </si>
  <si>
    <t xml:space="preserve">https://filestore.fortinet.com/docs.fortinet.com/fsiem/Public_Resource_Access/7_6_0/rules/PH_RULE_Abused_Debug_Privilege_by_Arbitrary_Parent_Processes.htm</t>
  </si>
  <si>
    <t xml:space="preserve">PH_Rule_SIGMA_1378</t>
  </si>
  <si>
    <t xml:space="preserve">Windows: Abusing IEExec To Download Payloads</t>
  </si>
  <si>
    <t xml:space="preserve">https://filestore.fortinet.com/docs.fortinet.com/fsiem/Public_Resource_Access/7_6_0/rules/PH_RULE_Abusing_IEExec_To_Download_Payloads.htm</t>
  </si>
  <si>
    <t xml:space="preserve">PH_Rule_SIGMA_1605</t>
  </si>
  <si>
    <t xml:space="preserve">Windows: Abusing Print Executable</t>
  </si>
  <si>
    <t xml:space="preserve">https://filestore.fortinet.com/docs.fortinet.com/fsiem/Public_Resource_Access/7_6_0/rules/PH_RULE_Abusing_Print_Executable.htm</t>
  </si>
  <si>
    <t xml:space="preserve">PH_Rule_windows_SIGMA_3789</t>
  </si>
  <si>
    <t xml:space="preserve">Windows: Activate Suppression of Windows Security Center Notifications</t>
  </si>
  <si>
    <t xml:space="preserve">https://filestore.fortinet.com/docs.fortinet.com/fsiem/Public_Resource_Access/7_6_0/rules/PH_RULE_Activate_Suppression_of_Windows_Security_Center_Notifications.htm</t>
  </si>
  <si>
    <t xml:space="preserve">Microsoft Windows System Log via OMI or Windows Collector [Corrected: Fortinet docs label this rule "CyberArk Enterprise Password Vault via Syslog"; source derived from its event types]</t>
  </si>
  <si>
    <t xml:space="preserve">Microsoft Windows Powershell Operational Logs via Windows Collector; Microsoft Windows Security Log via OMI or Windows Collector; Microsoft Windows Sysmon via Windows Collector</t>
  </si>
  <si>
    <t xml:space="preserve">PH_Rule_windows_SIGMA_3626</t>
  </si>
  <si>
    <t xml:space="preserve">Windows: Add Debugger Entry To AeDebug For Persistence</t>
  </si>
  <si>
    <t xml:space="preserve">https://filestore.fortinet.com/docs.fortinet.com/fsiem/Public_Resource_Access/7_6_0/rules/PH_RULE_Add_Debugger_Entry_To_AeDebug_For_Persistence.htm</t>
  </si>
  <si>
    <t xml:space="preserve">PH_Rule_windows_SIGMA_3701</t>
  </si>
  <si>
    <t xml:space="preserve">Windows: Add Debugger Entry To Hangs Key For Persistence</t>
  </si>
  <si>
    <t xml:space="preserve">https://filestore.fortinet.com/docs.fortinet.com/fsiem/Public_Resource_Access/7_6_0/rules/PH_RULE_Add_Debugger_Entry_To_Hangs_Key_For_Persistence.htm</t>
  </si>
  <si>
    <t xml:space="preserve">PH_Rule_windows_SIGMA_3685</t>
  </si>
  <si>
    <t xml:space="preserve">Windows: Add DisallowRun Execution to Registry</t>
  </si>
  <si>
    <t xml:space="preserve">https://filestore.fortinet.com/docs.fortinet.com/fsiem/Public_Resource_Access/7_6_0/rules/PH_RULE_Add_DisallowRun_Execution_to_Registry.htm</t>
  </si>
  <si>
    <t xml:space="preserve">PH_Rule_SIGMA_2602</t>
  </si>
  <si>
    <t xml:space="preserve">Windows: Add Insecure Download Source To Winget</t>
  </si>
  <si>
    <t xml:space="preserve">https://filestore.fortinet.com/docs.fortinet.com/fsiem/Public_Resource_Access/7_6_0/rules/PH_RULE_Add_Insecure_Download_Source_To_Winget.htm</t>
  </si>
  <si>
    <t xml:space="preserve">PH_Rule_SIGMA_2601</t>
  </si>
  <si>
    <t xml:space="preserve">Windows: Add New Download Source To Winget</t>
  </si>
  <si>
    <t xml:space="preserve">https://filestore.fortinet.com/docs.fortinet.com/fsiem/Public_Resource_Access/7_6_0/rules/PH_RULE_Add_New_Download_Source_To_Winget.htm</t>
  </si>
  <si>
    <t xml:space="preserve">PH_Rule_windows_SIGMA_3625</t>
  </si>
  <si>
    <t xml:space="preserve">Windows: Add Port Monitor Persistence in Registry</t>
  </si>
  <si>
    <t xml:space="preserve">https://filestore.fortinet.com/docs.fortinet.com/fsiem/Public_Resource_Access/7_6_0/rules/PH_RULE_Add_Port_Monitor_Persistence_in_Registry.htm</t>
  </si>
  <si>
    <t xml:space="preserve">PH_Rule_SIGMA_2603</t>
  </si>
  <si>
    <t xml:space="preserve">Windows: Add Potential Suspicious New Download Source To Winget</t>
  </si>
  <si>
    <t xml:space="preserve">https://filestore.fortinet.com/docs.fortinet.com/fsiem/Public_Resource_Access/7_6_0/rules/PH_RULE_Add_Potential_Suspicious_New_Download_Source_To_Winget.htm</t>
  </si>
  <si>
    <t xml:space="preserve">PH_Rule_SIGMA_2479</t>
  </si>
  <si>
    <t xml:space="preserve">Windows: Add SafeBoot Keys Via Reg Utility</t>
  </si>
  <si>
    <t xml:space="preserve">https://filestore.fortinet.com/docs.fortinet.com/fsiem/Public_Resource_Access/7_6_0/rules/PH_RULE_Add_SafeBoot_Keys_Via_Reg_Utility.htm</t>
  </si>
  <si>
    <t xml:space="preserve">PH_Rule_SIGMA_2422</t>
  </si>
  <si>
    <t xml:space="preserve">Windows: Add Windows Capability Via PowerShell Cmdlet</t>
  </si>
  <si>
    <t xml:space="preserve">https://filestore.fortinet.com/docs.fortinet.com/fsiem/Public_Resource_Access/7_6_0/rules/PH_RULE_Add_Windows_Capability_Via_PowerShell_Cmdlet.htm</t>
  </si>
  <si>
    <t xml:space="preserve">PH_Rule_windows_SIGMA_3127</t>
  </si>
  <si>
    <t xml:space="preserve">Windows: Add Windows Capability Via PowerShell Script</t>
  </si>
  <si>
    <t xml:space="preserve">https://filestore.fortinet.com/docs.fortinet.com/fsiem/Public_Resource_Access/7_6_0/rules/PH_RULE_Add_Windows_Capability_Via_PowerShell_Script.htm</t>
  </si>
  <si>
    <t xml:space="preserve">PH_Rule_windows_SIGMA_3297</t>
  </si>
  <si>
    <t xml:space="preserve">Windows: AddinUtil.EXE Execution From Uncommon Directory</t>
  </si>
  <si>
    <t xml:space="preserve">https://filestore.fortinet.com/docs.fortinet.com/fsiem/Public_Resource_Access/7_6_0/rules/PH_RULE_AddinUtil_EXE_Execution_From_Uncommon_Directory.htm</t>
  </si>
  <si>
    <t xml:space="preserve">PH_Rule_windows_SIGMA_2943</t>
  </si>
  <si>
    <t xml:space="preserve">Windows: ADS Zone.Identifier Deleted By Uncommon Application</t>
  </si>
  <si>
    <t xml:space="preserve">https://filestore.fortinet.com/docs.fortinet.com/fsiem/Public_Resource_Access/7_6_0/rules/PH_RULE_ADS_Zone_Identifier_Deleted_By_Uncommon_Application.htm</t>
  </si>
  <si>
    <t xml:space="preserve">PH_Rule_windows_SIGMA_2945</t>
  </si>
  <si>
    <t xml:space="preserve">Windows: Advanced IP Scanner - File Event</t>
  </si>
  <si>
    <t xml:space="preserve">https://filestore.fortinet.com/docs.fortinet.com/fsiem/Public_Resource_Access/7_6_0/rules/PH_RULE_Advanced_IP_Scanner_File_Event.htm</t>
  </si>
  <si>
    <t xml:space="preserve">PH_Rule_windows_SIGMA_2959</t>
  </si>
  <si>
    <t xml:space="preserve">Windows: Adwind RAT / JRAT File Artifact</t>
  </si>
  <si>
    <t xml:space="preserve">https://filestore.fortinet.com/docs.fortinet.com/fsiem/Public_Resource_Access/7_6_0/rules/PH_RULE_Adwind_RAT_JRAT_File_Artifact.htm</t>
  </si>
  <si>
    <t xml:space="preserve">PH_Rule_SIGMA_2360</t>
  </si>
  <si>
    <t xml:space="preserve">Windows: AgentExecutor PowerShell Execution</t>
  </si>
  <si>
    <t xml:space="preserve">https://filestore.fortinet.com/docs.fortinet.com/fsiem/Public_Resource_Access/7_6_0/rules/PH_RULE_AgentExecutor_PowerShell_Execution.htm</t>
  </si>
  <si>
    <t xml:space="preserve">PH_Rule_windows_SIGMA_3579</t>
  </si>
  <si>
    <t xml:space="preserve">Windows: All Backups Deleted Via Wbadmin.EXE</t>
  </si>
  <si>
    <t xml:space="preserve">https://filestore.fortinet.com/docs.fortinet.com/fsiem/Public_Resource_Access/7_6_0/rules/PH_RULE_All_Backups_Deleted_Via_Wbadmin_EXE.htm</t>
  </si>
  <si>
    <t xml:space="preserve">PH_Rule_windows_SIGMA_3627</t>
  </si>
  <si>
    <t xml:space="preserve">Windows: Allow RDP Remote Assistance Feature</t>
  </si>
  <si>
    <t xml:space="preserve">https://filestore.fortinet.com/docs.fortinet.com/fsiem/Public_Resource_Access/7_6_0/rules/PH_RULE_Allow_RDP_Remote_Assistance_Feature.htm</t>
  </si>
  <si>
    <t xml:space="preserve">PH_Rule_SIGMA_2516</t>
  </si>
  <si>
    <t xml:space="preserve">Windows: Allow Service Access Using Security Descriptor Tampering Via Sc.EXE</t>
  </si>
  <si>
    <t xml:space="preserve">https://filestore.fortinet.com/docs.fortinet.com/fsiem/Public_Resource_Access/7_6_0/rules/PH_RULE_Allow_Service_Access_Using_Security_Descriptor_Tampering_Via_Sc_EXE.htm</t>
  </si>
  <si>
    <t xml:space="preserve">PH_Rule_windows_SIGMA_3091</t>
  </si>
  <si>
    <t xml:space="preserve">Windows: Alternate PowerShell Hosts - PowerShell Module</t>
  </si>
  <si>
    <t xml:space="preserve">https://filestore.fortinet.com/docs.fortinet.com/fsiem/Public_Resource_Access/7_6_0/rules/PH_RULE_Alternate_PowerShell_Hosts_PowerShell_Module.htm</t>
  </si>
  <si>
    <t xml:space="preserve">PH_Rule_windows_SIGMA_3069</t>
  </si>
  <si>
    <t xml:space="preserve">Windows: Alternate PowerShell Hosts Pipe</t>
  </si>
  <si>
    <t xml:space="preserve">https://filestore.fortinet.com/docs.fortinet.com/fsiem/Public_Resource_Access/7_6_0/rules/PH_RULE_Alternate_PowerShell_Hosts_Pipe.htm</t>
  </si>
  <si>
    <t xml:space="preserve">PH_Rule_windows_SIGMA_3129</t>
  </si>
  <si>
    <t xml:space="preserve">Windows: AMSI Bypass Pattern Assembly GetType</t>
  </si>
  <si>
    <t xml:space="preserve">https://filestore.fortinet.com/docs.fortinet.com/fsiem/Public_Resource_Access/7_6_0/rules/PH_RULE_AMSI_Bypass_Pattern_Assembly_GetType.htm</t>
  </si>
  <si>
    <t xml:space="preserve">PH_Rule_windows_SIGMA_3629</t>
  </si>
  <si>
    <t xml:space="preserve">Windows: AMSI Disabled via Registry Modification</t>
  </si>
  <si>
    <t xml:space="preserve">https://filestore.fortinet.com/docs.fortinet.com/fsiem/Public_Resource_Access/7_6_0/rules/PH_RULE_AMSI_Disabled_via_Registry_Modification.htm</t>
  </si>
  <si>
    <t xml:space="preserve">PH_Rule_windows_SIGMA_2993</t>
  </si>
  <si>
    <t xml:space="preserve">Windows: Amsi.DLL Loaded Via LOLBIN Process</t>
  </si>
  <si>
    <t xml:space="preserve">https://filestore.fortinet.com/docs.fortinet.com/fsiem/Public_Resource_Access/7_6_0/rules/PH_RULE_Amsi_DLL_Loaded_Via_LOLBIN_Process.htm</t>
  </si>
  <si>
    <t xml:space="preserve">PH_Rule_windows_SIGMA_3665</t>
  </si>
  <si>
    <t xml:space="preserve">Windows: Antivirus Filter Driver Disallowed On Dev Drive - Registry</t>
  </si>
  <si>
    <t xml:space="preserve">https://filestore.fortinet.com/docs.fortinet.com/fsiem/Public_Resource_Access/7_6_0/rules/PH_RULE_Antivirus_Filter_Driver_Disallowed_On_Dev_Drive_Registry.htm</t>
  </si>
  <si>
    <t xml:space="preserve">PH_Rule_SIGMA_1868</t>
  </si>
  <si>
    <t xml:space="preserve">Windows: Anydesk Remote Access Software Service Installation</t>
  </si>
  <si>
    <t xml:space="preserve">https://filestore.fortinet.com/docs.fortinet.com/fsiem/Public_Resource_Access/7_6_0/rules/PH_RULE_Anydesk_Remote_Access_Software_Service_Installation.htm</t>
  </si>
  <si>
    <t xml:space="preserve">PH_Rule_SIGMA_880</t>
  </si>
  <si>
    <t xml:space="preserve">Windows: Anydesk Temporary Artefact</t>
  </si>
  <si>
    <t xml:space="preserve">https://filestore.fortinet.com/docs.fortinet.com/fsiem/Public_Resource_Access/7_6_0/rules/PH_RULE_Anydesk_Temporary_Artefact.htm</t>
  </si>
  <si>
    <t xml:space="preserve">PH_Rule_SIGMA_826</t>
  </si>
  <si>
    <t xml:space="preserve">Windows: AppInstaller Attempts From URL by DNS</t>
  </si>
  <si>
    <t xml:space="preserve">https://filestore.fortinet.com/docs.fortinet.com/fsiem/Public_Resource_Access/7_6_0/rules/PH_RULE_AppInstaller_Attempts_From_URL_by_DNS.htm</t>
  </si>
  <si>
    <t xml:space="preserve">PH_Rule_SIGMA_1736</t>
  </si>
  <si>
    <t xml:space="preserve">Windows: Application Removed Via Wmic.EXE</t>
  </si>
  <si>
    <t xml:space="preserve">https://filestore.fortinet.com/docs.fortinet.com/fsiem/Public_Resource_Access/7_6_0/rules/PH_RULE_WMI_Uninstall_An_Application.htm</t>
  </si>
  <si>
    <t xml:space="preserve">PH_Rule_windows_SIGMA_3599</t>
  </si>
  <si>
    <t xml:space="preserve">Windows: Application Terminated Via Wmic.EXE</t>
  </si>
  <si>
    <t xml:space="preserve">https://filestore.fortinet.com/docs.fortinet.com/fsiem/Public_Resource_Access/7_6_0/rules/PH_RULE_Application_Terminated_Via_Wmic_EXE.htm</t>
  </si>
  <si>
    <t xml:space="preserve">PH_Rule_SIGMA_549</t>
  </si>
  <si>
    <t xml:space="preserve">Windows: Application Whitelisting Bypass via Dnx.exe</t>
  </si>
  <si>
    <t xml:space="preserve">https://filestore.fortinet.com/docs.fortinet.com/fsiem/Public_Resource_Access/7_6_0/rules/PH_RULE_Application_Whitelisting_Bypass_via_Dnx_exe.htm</t>
  </si>
  <si>
    <t xml:space="preserve">PH_Rule_SIGMA_551</t>
  </si>
  <si>
    <t xml:space="preserve">Windows: Application Whitelisting Bypass via Dxcap.exe</t>
  </si>
  <si>
    <t xml:space="preserve">https://filestore.fortinet.com/docs.fortinet.com/fsiem/Public_Resource_Access/7_6_0/rules/PH_RULE_Application_Whitelisting_Bypass_via_Dxcap_exe.htm</t>
  </si>
  <si>
    <t xml:space="preserve">PH_Rule_windows_SIGMA_2782</t>
  </si>
  <si>
    <t xml:space="preserve">Windows: AppLocker Prevented Application or Script from Running</t>
  </si>
  <si>
    <t xml:space="preserve">Microsoft Windows via Windows Collector [Corrected: Fortinet docs label this rule "CyberArk Enterprise Password Vault via Syslog"; source derived from its event types]</t>
  </si>
  <si>
    <t xml:space="preserve">https://filestore.fortinet.com/docs.fortinet.com/fsiem/Public_Resource_Access/7_6_0/rules/PH_RULE_AppLocker_Prevented_Application_or_Script_from_Running.htm</t>
  </si>
  <si>
    <t xml:space="preserve">PH_Rule_windows_SIGMA_2785</t>
  </si>
  <si>
    <t xml:space="preserve">Windows: AppX Located in Known Staging Directory Added to Deployment Pipeline</t>
  </si>
  <si>
    <t xml:space="preserve">Microsoft Windows AppX Deployment logs via Windows Collector [Corrected: Fortinet docs label this rule "CyberArk Enterprise Password Vault via Syslog"; source derived from its event types]</t>
  </si>
  <si>
    <t xml:space="preserve">https://filestore.fortinet.com/docs.fortinet.com/fsiem/Public_Resource_Access/7_6_0/rules/PH_RULE_AppX_Located_in_Known_Staging_Directory_Added_to_Deployment_Pipeline.htm</t>
  </si>
  <si>
    <t xml:space="preserve">PH_Rule_SIGMA_1810</t>
  </si>
  <si>
    <t xml:space="preserve">Windows: AppX Located in Uncommon Directory Added to Deployment Pipeline</t>
  </si>
  <si>
    <t xml:space="preserve">Microsoft Windows AppX Deployment logs via Windows Collector</t>
  </si>
  <si>
    <t xml:space="preserve">https://filestore.fortinet.com/docs.fortinet.com/fsiem/Public_Resource_Access/7_6_0/rules/PH_RULE_Uncommon_AppX_Package_Locations.htm</t>
  </si>
  <si>
    <t xml:space="preserve">PH_Rule_windows_SIGMA_2784</t>
  </si>
  <si>
    <t xml:space="preserve">Windows: AppX Package Deployment Failed Due to Signing Requirements</t>
  </si>
  <si>
    <t xml:space="preserve">https://filestore.fortinet.com/docs.fortinet.com/fsiem/Public_Resource_Access/7_6_0/rules/PH_RULE_AppX_Package_Deployment_Failed_Due_to_Signing_Requirements.htm</t>
  </si>
  <si>
    <t xml:space="preserve">PH_Rule_SIGMA_1571</t>
  </si>
  <si>
    <t xml:space="preserve">Windows: Arbitrary Binary Execution Using GUP Utility</t>
  </si>
  <si>
    <t xml:space="preserve">https://filestore.fortinet.com/docs.fortinet.com/fsiem/Public_Resource_Access/7_6_0/rules/PH_RULE_Execute_Arbitrary_Binaries_Using_GUP_Utility.htm</t>
  </si>
  <si>
    <t xml:space="preserve">PH_Rule_SIGMA_1313</t>
  </si>
  <si>
    <t xml:space="preserve">Windows: Arbitrary DLL or Csproj Code Execution Via Dotnet.EXE</t>
  </si>
  <si>
    <t xml:space="preserve">https://filestore.fortinet.com/docs.fortinet.com/fsiem/Public_Resource_Access/7_6_0/rules/PH_RULE_Dotnet_exe_Exec_Dll_and_Execute_Unsigned_Code_LOLBIN.htm</t>
  </si>
  <si>
    <t xml:space="preserve">PH_Rule_windows_SIGMA_3361</t>
  </si>
  <si>
    <t xml:space="preserve">Windows: Arbitrary File Download Via GfxDownloadWrapper.EXE</t>
  </si>
  <si>
    <t xml:space="preserve">https://filestore.fortinet.com/docs.fortinet.com/fsiem/Public_Resource_Access/7_6_0/rules/PH_RULE_Arbitrary_File_Download_Via_GfxDownloadWrapper_EXE.htm</t>
  </si>
  <si>
    <t xml:space="preserve">PH_Rule_windows_SIGMA_3389</t>
  </si>
  <si>
    <t xml:space="preserve">Windows: Arbitrary File Download Via IMEWDBLD.EXE</t>
  </si>
  <si>
    <t xml:space="preserve">https://filestore.fortinet.com/docs.fortinet.com/fsiem/Public_Resource_Access/7_6_0/rules/PH_RULE_Arbitrary_File_Download_Via_IMEWDBLD_EXE.htm</t>
  </si>
  <si>
    <t xml:space="preserve">PH_Rule_windows_SIGMA_3404</t>
  </si>
  <si>
    <t xml:space="preserve">Windows: Arbitrary File Download Via MSEDGE-PROXY.EXE</t>
  </si>
  <si>
    <t xml:space="preserve">https://filestore.fortinet.com/docs.fortinet.com/fsiem/Public_Resource_Access/7_6_0/rules/PH_RULE_Arbitrary_File_Download_Via_MSEDGE_PROXY_EXE.htm</t>
  </si>
  <si>
    <t xml:space="preserve">PH_Rule_SIGMA_2371</t>
  </si>
  <si>
    <t xml:space="preserve">Windows: Arbitrary File Download Via MSPUB.EXE</t>
  </si>
  <si>
    <t xml:space="preserve">https://filestore.fortinet.com/docs.fortinet.com/fsiem/Public_Resource_Access/7_6_0/rules/PH_RULE_Arbitrary_File_Download_Via_MSPUB_EXE.htm</t>
  </si>
  <si>
    <t xml:space="preserve">PH_Rule_SIGMA_1552</t>
  </si>
  <si>
    <t xml:space="preserve">Windows: Arbitrary MSI Download Via Devinit.EXE</t>
  </si>
  <si>
    <t xml:space="preserve">https://filestore.fortinet.com/docs.fortinet.com/fsiem/Public_Resource_Access/7_6_0/rules/PH_RULE_DevInit_Lolbin_Download.htm</t>
  </si>
  <si>
    <t xml:space="preserve">PH_Rule_SIGMA_1740</t>
  </si>
  <si>
    <t xml:space="preserve">Windows: Arbitrary Shell Command Execution Via Settingcontent-Ms</t>
  </si>
  <si>
    <t xml:space="preserve">https://filestore.fortinet.com/docs.fortinet.com/fsiem/Public_Resource_Access/7_6_0/rules/PH_RULE_Arbitrary_Shell_Command_Execution_Via_Settingcontent_Ms.htm</t>
  </si>
  <si>
    <t xml:space="preserve">PH_Rule_SIGMA_2022</t>
  </si>
  <si>
    <t xml:space="preserve">Windows: Aruba Network Service Potential DLL Sideloading</t>
  </si>
  <si>
    <t xml:space="preserve">https://filestore.fortinet.com/docs.fortinet.com/fsiem/Public_Resource_Access/7_6_0/rules/PH_RULE_Aruba_Network_Service_Potential_DLL_Sideloading.htm</t>
  </si>
  <si>
    <t xml:space="preserve">PH_Rule_windows_SIGMA_3301</t>
  </si>
  <si>
    <t xml:space="preserve">Windows: AspNetCompiler Execution</t>
  </si>
  <si>
    <t xml:space="preserve">https://filestore.fortinet.com/docs.fortinet.com/fsiem/Public_Resource_Access/7_6_0/rules/PH_RULE_AspNetCompiler_Execution.htm</t>
  </si>
  <si>
    <t xml:space="preserve">PH_Rule_windows_SIGMA_2947</t>
  </si>
  <si>
    <t xml:space="preserve">Windows: Assembly DLL Creation Via AspNetCompiler</t>
  </si>
  <si>
    <t xml:space="preserve">https://filestore.fortinet.com/docs.fortinet.com/fsiem/Public_Resource_Access/7_6_0/rules/PH_RULE_Assembly_DLL_Creation_Via_AspNetCompiler.htm</t>
  </si>
  <si>
    <t xml:space="preserve">PH_Rule_windows_SIGMA_3426</t>
  </si>
  <si>
    <t xml:space="preserve">Windows: Assembly Loading Via CL-LoadAssembly.ps1</t>
  </si>
  <si>
    <t xml:space="preserve">https://filestore.fortinet.com/docs.fortinet.com/fsiem/Public_Resource_Access/7_6_0/rules/PH_RULE_Assembly_Loading_Via_CL_LoadAssembly_ps1.htm</t>
  </si>
  <si>
    <t xml:space="preserve">PH_Rule_SIGMA_813</t>
  </si>
  <si>
    <t xml:space="preserve">Windows: Atbroker Registry Change</t>
  </si>
  <si>
    <t xml:space="preserve">https://filestore.fortinet.com/docs.fortinet.com/fsiem/Public_Resource_Access/7_6_0/rules/PH_RULE_Atbroker_Registry_Change.htm</t>
  </si>
  <si>
    <t xml:space="preserve">PH_Rule_SIGMA_480</t>
  </si>
  <si>
    <t xml:space="preserve">Windows: Audio Capture via PowerShell</t>
  </si>
  <si>
    <t xml:space="preserve">https://filestore.fortinet.com/docs.fortinet.com/fsiem/Public_Resource_Access/7_6_0/rules/PH_RULE_Audio_Capture_via_PowerShell.htm</t>
  </si>
  <si>
    <t xml:space="preserve">PH_Rule_SIGMA_518</t>
  </si>
  <si>
    <t xml:space="preserve">Windows: Audio Capture via SoundRecorder</t>
  </si>
  <si>
    <t xml:space="preserve">https://filestore.fortinet.com/docs.fortinet.com/fsiem/Public_Resource_Access/7_6_0/rules/PH_RULE_Audio_Capture_via_SoundRecorder.htm</t>
  </si>
  <si>
    <t xml:space="preserve">PH_Rule_SIGMA_1788</t>
  </si>
  <si>
    <t xml:space="preserve">Windows: Audit CVE Event</t>
  </si>
  <si>
    <t xml:space="preserve">https://filestore.fortinet.com/docs.fortinet.com/fsiem/Public_Resource_Access/7_6_0/rules/PH_RULE_Audit_CVE_Event.htm</t>
  </si>
  <si>
    <t xml:space="preserve">PH_Rule_SIGMA_1524</t>
  </si>
  <si>
    <t xml:space="preserve">Windows: Audit Policy Tampering Via Auditpol</t>
  </si>
  <si>
    <t xml:space="preserve">https://filestore.fortinet.com/docs.fortinet.com/fsiem/Public_Resource_Access/7_6_0/rules/PH_RULE_Suspicious_Auditpol_Usage.htm</t>
  </si>
  <si>
    <t xml:space="preserve">PH_Rule_SIGMA_1587</t>
  </si>
  <si>
    <t xml:space="preserve">Windows: Audit Policy Tampering Via NT Resource Kit Auditpol</t>
  </si>
  <si>
    <t xml:space="preserve">https://filestore.fortinet.com/docs.fortinet.com/fsiem/Public_Resource_Access/7_6_0/rules/PH_RULE_Suspicious_NT_Resource_Kit_Auditpol_Usage.htm</t>
  </si>
  <si>
    <t xml:space="preserve">PH_Rule_windows_SIGMA_3164</t>
  </si>
  <si>
    <t xml:space="preserve">Windows: Automated Collection Bookmarks Using Get-ChildItem PowerShell</t>
  </si>
  <si>
    <t xml:space="preserve">https://filestore.fortinet.com/docs.fortinet.com/fsiem/Public_Resource_Access/7_6_0/rules/PH_RULE_Automated_Collection_Bookmarks_Using_Get_ChildItem_PowerShell.htm</t>
  </si>
  <si>
    <t xml:space="preserve">PH_Rule_windows_SIGMA_3134</t>
  </si>
  <si>
    <t xml:space="preserve">Windows: Automated Collection Command PowerShell</t>
  </si>
  <si>
    <t xml:space="preserve">https://filestore.fortinet.com/docs.fortinet.com/fsiem/Public_Resource_Access/7_6_0/rules/PH_RULE_Automated_Collection_Command_PowerShell.htm</t>
  </si>
  <si>
    <t xml:space="preserve">PH_Rule_SIGMA_873</t>
  </si>
  <si>
    <t xml:space="preserve">Windows: AWL Bypass with Winrm.vbs and WsmPty.xsl/WsmTxt.xsl: Sysmon</t>
  </si>
  <si>
    <t xml:space="preserve">https://filestore.fortinet.com/docs.fortinet.com/fsiem/Public_Resource_Access/7_6_0/rules/PH_RULE_AWL_Bypass_with_Winrm_WsmPty_WsmTxt_SYSMON.htm</t>
  </si>
  <si>
    <t xml:space="preserve">PH_Rule_SIGMA_1689</t>
  </si>
  <si>
    <t xml:space="preserve">Windows: AWL Bypass with Winrm.vbs and WsmPty.xsl/WsmTxt.xsl: Sysmon2</t>
  </si>
  <si>
    <t xml:space="preserve">https://filestore.fortinet.com/docs.fortinet.com/fsiem/Public_Resource_Access/7_6_0/rules/PH_RULE_AWL_Bypass_with_Winrm_WsmPty_WsmTxt_SYSMON2.htm</t>
  </si>
  <si>
    <t xml:space="preserve">PH_Rule_SIGMA_68</t>
  </si>
  <si>
    <t xml:space="preserve">Windows: Backup Catalog Deleted</t>
  </si>
  <si>
    <t xml:space="preserve">https://filestore.fortinet.com/docs.fortinet.com/fsiem/Public_Resource_Access/7_6_0/rules/PH_RULE_Backup_Catalog_Deleted.htm</t>
  </si>
  <si>
    <t xml:space="preserve">PH_Rule_windows_SIGMA_2932</t>
  </si>
  <si>
    <t xml:space="preserve">Windows: Backup Files Deleted</t>
  </si>
  <si>
    <t xml:space="preserve">https://filestore.fortinet.com/docs.fortinet.com/fsiem/Public_Resource_Access/7_6_0/rules/PH_RULE_Backup_Files_Deleted.htm</t>
  </si>
  <si>
    <t xml:space="preserve">PH_Rule_SIGMA_1282</t>
  </si>
  <si>
    <t xml:space="preserve">Windows: Bad Opsec Defaults Sacrificial Processes With Improper Arguments</t>
  </si>
  <si>
    <t xml:space="preserve">https://filestore.fortinet.com/docs.fortinet.com/fsiem/Public_Resource_Access/7_6_0/rules/PH_RULE_Bad_Opsec_Defaults_Sacrificial_Processes_With_Improper_Arguments.htm</t>
  </si>
  <si>
    <t xml:space="preserve">PH_Rule_windows_SIGMA_3092</t>
  </si>
  <si>
    <t xml:space="preserve">Windows: Bad Opsec Powershell Code Artifacts</t>
  </si>
  <si>
    <t xml:space="preserve">https://filestore.fortinet.com/docs.fortinet.com/fsiem/Public_Resource_Access/7_6_0/rules/PH_RULE_Bad_Opsec_Powershell_Code_Artifacts.htm</t>
  </si>
  <si>
    <t xml:space="preserve">PH_Rule_SIGMA_2552</t>
  </si>
  <si>
    <t xml:space="preserve">Windows: Base64 MZ Header In CommandLine</t>
  </si>
  <si>
    <t xml:space="preserve">https://filestore.fortinet.com/docs.fortinet.com/fsiem/Public_Resource_Access/7_6_0/rules/PH_RULE_Base64_MZ_Header_In_CommandLine.htm</t>
  </si>
  <si>
    <t xml:space="preserve">PH_Rule_windows_SIGMA_3350</t>
  </si>
  <si>
    <t xml:space="preserve">Windows: Binary Proxy Execution Via Dotnet-Trace.EXE</t>
  </si>
  <si>
    <t xml:space="preserve">https://filestore.fortinet.com/docs.fortinet.com/fsiem/Public_Resource_Access/7_6_0/rules/PH_RULE_Binary_Proxy_Execution_Via_Dotnet_Trace_EXE.htm</t>
  </si>
  <si>
    <t xml:space="preserve">PH_Rule_windows_SIGMA_3312</t>
  </si>
  <si>
    <t xml:space="preserve">Windows: BitLockerTogo.EXE Execution</t>
  </si>
  <si>
    <t xml:space="preserve">https://filestore.fortinet.com/docs.fortinet.com/fsiem/Public_Resource_Access/7_6_0/rules/PH_RULE_BitLockerTogo_EXE_Execution.htm</t>
  </si>
  <si>
    <t xml:space="preserve">PH_Rule_SIGMA_1815</t>
  </si>
  <si>
    <t xml:space="preserve">Windows: BITS Transfer Job Download To Potential Suspicious Folder</t>
  </si>
  <si>
    <t xml:space="preserve">Microsoft Windows BitsClient logs via Windows Collector</t>
  </si>
  <si>
    <t xml:space="preserve">https://filestore.fortinet.com/docs.fortinet.com/fsiem/Public_Resource_Access/7_6_0/rules/PH_RULE_BITS_Transfer_Job_Download_To_Potential_Suspicious_Folder.htm</t>
  </si>
  <si>
    <t xml:space="preserve">PH_Rule_SIGMA_1814</t>
  </si>
  <si>
    <t xml:space="preserve">Windows: BITS Transfer Job With Uncommon Or Suspicious Remote TLD</t>
  </si>
  <si>
    <t xml:space="preserve">https://filestore.fortinet.com/docs.fortinet.com/fsiem/Public_Resource_Access/7_6_0/rules/PH_RULE_BITS_Transfer_Job_With_Uncommon_Or_Suspicious_Remote_TLD.htm</t>
  </si>
  <si>
    <t xml:space="preserve">PH_Rule_SIGMA_2260</t>
  </si>
  <si>
    <t xml:space="preserve">Windows: Boot Configuration Tampering Via Bcdedit.EXE</t>
  </si>
  <si>
    <t xml:space="preserve">https://filestore.fortinet.com/docs.fortinet.com/fsiem/Public_Resource_Access/7_6_0/rules/PH_RULE_Boot_Configuration_Tampering_Via_Bcdedit_EXE.htm</t>
  </si>
  <si>
    <t xml:space="preserve">PH_Rule_windows_SIGMA_3313</t>
  </si>
  <si>
    <t xml:space="preserve">Windows: Browser Execution In Headless Mode</t>
  </si>
  <si>
    <t xml:space="preserve">https://filestore.fortinet.com/docs.fortinet.com/fsiem/Public_Resource_Access/7_6_0/rules/PH_RULE_Browser_Execution_In_Headless_Mode.htm</t>
  </si>
  <si>
    <t xml:space="preserve">PH_Rule_SIGMA_2269</t>
  </si>
  <si>
    <t xml:space="preserve">Windows: Browser Started with Remote Debugging</t>
  </si>
  <si>
    <t xml:space="preserve">https://filestore.fortinet.com/docs.fortinet.com/fsiem/Public_Resource_Access/7_6_0/rules/PH_RULE_Browser_Started_with_Remote_Debugging.htm</t>
  </si>
  <si>
    <t xml:space="preserve">PH_Rule_windows_SIGMA_3647</t>
  </si>
  <si>
    <t xml:space="preserve">Windows: Bypass UAC Using Event Viewer</t>
  </si>
  <si>
    <t xml:space="preserve">https://filestore.fortinet.com/docs.fortinet.com/fsiem/Public_Resource_Access/7_6_0/rules/PH_RULE_Bypass_UAC_Using_Event_Viewer.htm</t>
  </si>
  <si>
    <t xml:space="preserve">PH_Rule_windows_SIGMA_3388</t>
  </si>
  <si>
    <t xml:space="preserve">Windows: C IL Code Compilation Via Ilasm.EXE</t>
  </si>
  <si>
    <t xml:space="preserve">https://filestore.fortinet.com/docs.fortinet.com/fsiem/Public_Resource_Access/7_6_0/rules/PH_RULE_C_IL_Code_Compilation_Via_Ilasm_EXE.htm</t>
  </si>
  <si>
    <t xml:space="preserve">PH_Rule_SIGMA_2625</t>
  </si>
  <si>
    <t xml:space="preserve">Windows: Cab File Extraction Via Wusa.EXE From Potentially Suspicious Paths</t>
  </si>
  <si>
    <t xml:space="preserve">https://filestore.fortinet.com/docs.fortinet.com/fsiem/Public_Resource_Access/7_6_0/rules/PH_RULE_Wusa_Extracting_Cab_Files_From_Suspicious_Paths.htm</t>
  </si>
  <si>
    <t xml:space="preserve">PH_Rule_SIGMA_1628</t>
  </si>
  <si>
    <t xml:space="preserve">Windows: Capture Credentials with Rpcping.exe</t>
  </si>
  <si>
    <t xml:space="preserve">https://filestore.fortinet.com/docs.fortinet.com/fsiem/Public_Resource_Access/7_6_0/rules/PH_RULE_Capture_Credentials_with_Rpcping_exe.htm</t>
  </si>
  <si>
    <t xml:space="preserve">PH_Rule_windows_SIGMA_2789</t>
  </si>
  <si>
    <t xml:space="preserve">Windows: Certificate Exported From Local Certificate Store</t>
  </si>
  <si>
    <t xml:space="preserve">https://filestore.fortinet.com/docs.fortinet.com/fsiem/Public_Resource_Access/7_6_0/rules/PH_RULE_Certificate_Exported_From_Local_Certificate_Store.htm</t>
  </si>
  <si>
    <t xml:space="preserve">PH_Rule_windows_SIGMA_2788</t>
  </si>
  <si>
    <t xml:space="preserve">Windows: Certificate Private Key Acquired</t>
  </si>
  <si>
    <t xml:space="preserve">https://filestore.fortinet.com/docs.fortinet.com/fsiem/Public_Resource_Access/7_6_0/rules/PH_RULE_Certificate_Private_Key_Acquired.htm</t>
  </si>
  <si>
    <t xml:space="preserve">PH_Rule_windows_SIGMA_2811</t>
  </si>
  <si>
    <t xml:space="preserve">Windows: Certificate Request Export to Exchange Webserver</t>
  </si>
  <si>
    <t xml:space="preserve">Microsoft Windows MSExchange Management Logs via Windows Collector [Corrected: Fortinet docs label this rule "CyberArk Enterprise Password Vault via Syslog"; source derived from its event types]</t>
  </si>
  <si>
    <t xml:space="preserve">https://filestore.fortinet.com/docs.fortinet.com/fsiem/Public_Resource_Access/7_6_0/rules/PH_RULE_Certificate_Request_Export_to_Exchange_Webserver.htm</t>
  </si>
  <si>
    <t xml:space="preserve">PH_Rule_SIGMA_2280</t>
  </si>
  <si>
    <t xml:space="preserve">Windows: Change Default File Association To Executable Via Assoc</t>
  </si>
  <si>
    <t xml:space="preserve">https://filestore.fortinet.com/docs.fortinet.com/fsiem/Public_Resource_Access/7_6_0/rules/PH_RULE_Change_Default_File_Association_To_Executable_Via_Assoc.htm</t>
  </si>
  <si>
    <t xml:space="preserve">PH_Rule_SIGMA_388</t>
  </si>
  <si>
    <t xml:space="preserve">Windows: Change Default File Association Via Assoc</t>
  </si>
  <si>
    <t xml:space="preserve">https://filestore.fortinet.com/docs.fortinet.com/fsiem/Public_Resource_Access/7_6_0/rules/PH_RULE_Change_Default_File_Association.htm</t>
  </si>
  <si>
    <t xml:space="preserve">PH_Rule_SIGMA_1516</t>
  </si>
  <si>
    <t xml:space="preserve">Windows: Change PowerShell Policies to an Insecure Level</t>
  </si>
  <si>
    <t xml:space="preserve">https://filestore.fortinet.com/docs.fortinet.com/fsiem/Public_Resource_Access/7_6_0/rules/PH_RULE_Change_PowerShell_Policies_to_an_Unsecure_Level.htm</t>
  </si>
  <si>
    <t xml:space="preserve">PH_Rule_windows_SIGMA_3215</t>
  </si>
  <si>
    <t xml:space="preserve">Windows: Change PowerShell Policies to an Insecure Level - PowerShell</t>
  </si>
  <si>
    <t xml:space="preserve">https://filestore.fortinet.com/docs.fortinet.com/fsiem/Public_Resource_Access/7_6_0/rules/PH_RULE_Change_PowerShell_Policies_to_an_Insecure_Level_PowerShell.htm</t>
  </si>
  <si>
    <t xml:space="preserve">PH_Rule_windows_SIGMA_3698</t>
  </si>
  <si>
    <t xml:space="preserve">Windows: Change the Fax Dll</t>
  </si>
  <si>
    <t xml:space="preserve">https://filestore.fortinet.com/docs.fortinet.com/fsiem/Public_Resource_Access/7_6_0/rules/PH_RULE_Change_the_Fax_Dll.htm</t>
  </si>
  <si>
    <t xml:space="preserve">PH_Rule_windows_SIGMA_3697</t>
  </si>
  <si>
    <t xml:space="preserve">Windows: Change User Account Associated with the FAX Service</t>
  </si>
  <si>
    <t xml:space="preserve">https://filestore.fortinet.com/docs.fortinet.com/fsiem/Public_Resource_Access/7_6_0/rules/PH_RULE_Change_User_Account_Associated_with_the_FAX_Service.htm</t>
  </si>
  <si>
    <t xml:space="preserve">PH_Rule_windows_SIGMA_3238</t>
  </si>
  <si>
    <t xml:space="preserve">Windows: Change User Agents with WebRequest</t>
  </si>
  <si>
    <t xml:space="preserve">https://filestore.fortinet.com/docs.fortinet.com/fsiem/Public_Resource_Access/7_6_0/rules/PH_RULE_Change_User_Agents_with_WebRequest.htm</t>
  </si>
  <si>
    <t xml:space="preserve">PH_Rule_windows_SIGMA_3652</t>
  </si>
  <si>
    <t xml:space="preserve">Windows: Change Winevt Channel Access Permission Via Registry</t>
  </si>
  <si>
    <t xml:space="preserve">https://filestore.fortinet.com/docs.fortinet.com/fsiem/Public_Resource_Access/7_6_0/rules/PH_RULE_Change_Winevt_Channel_Access_Permission_Via_Registry.htm</t>
  </si>
  <si>
    <t xml:space="preserve">PH_Rule_SIGMA_2594</t>
  </si>
  <si>
    <t xml:space="preserve">Windows: Chopper Webshell Process Pattern</t>
  </si>
  <si>
    <t xml:space="preserve">https://filestore.fortinet.com/docs.fortinet.com/fsiem/Public_Resource_Access/7_6_0/rules/PH_RULE_Chopper_Webshell_Process_Pattern.htm</t>
  </si>
  <si>
    <t xml:space="preserve">PH_Rule_windows_SIGMA_3315</t>
  </si>
  <si>
    <t xml:space="preserve">Windows: Chromium Browser Headless Execution To Mockbin Like Site</t>
  </si>
  <si>
    <t xml:space="preserve">https://filestore.fortinet.com/docs.fortinet.com/fsiem/Public_Resource_Access/7_6_0/rules/PH_RULE_Chromium_Browser_Headless_Execution_To_Mockbin_Like_Site.htm</t>
  </si>
  <si>
    <t xml:space="preserve">PH_Rule_windows_SIGMA_3314</t>
  </si>
  <si>
    <t xml:space="preserve">Windows: Chromium Browser Instance Executed With Custom Extension</t>
  </si>
  <si>
    <t xml:space="preserve">https://filestore.fortinet.com/docs.fortinet.com/fsiem/Public_Resource_Access/7_6_0/rules/PH_RULE_Chromium_Browser_Instance_Executed_With_Custom_Extension.htm</t>
  </si>
  <si>
    <t xml:space="preserve">PH_Rule_SIGMA_1290</t>
  </si>
  <si>
    <t xml:space="preserve">Windows: CleanWipe Usage</t>
  </si>
  <si>
    <t xml:space="preserve">https://filestore.fortinet.com/docs.fortinet.com/fsiem/Public_Resource_Access/7_6_0/rules/PH_RULE_CleanWipe_Usage.htm</t>
  </si>
  <si>
    <t xml:space="preserve">PH_Rule_windows_SIGMA_3136</t>
  </si>
  <si>
    <t xml:space="preserve">Windows: Clear PowerShell History - PowerShell</t>
  </si>
  <si>
    <t xml:space="preserve">https://filestore.fortinet.com/docs.fortinet.com/fsiem/Public_Resource_Access/7_6_0/rules/PH_RULE_Clear_PowerShell_History_PowerShell.htm</t>
  </si>
  <si>
    <t xml:space="preserve">PH_Rule_windows_SIGMA_3093</t>
  </si>
  <si>
    <t xml:space="preserve">Windows: Clear PowerShell History - PowerShell Module</t>
  </si>
  <si>
    <t xml:space="preserve">https://filestore.fortinet.com/docs.fortinet.com/fsiem/Public_Resource_Access/7_6_0/rules/PH_RULE_Clear_PowerShell_History_PowerShell_Module.htm</t>
  </si>
  <si>
    <t xml:space="preserve">PH_Rule_windows_SIGMA_3137</t>
  </si>
  <si>
    <t xml:space="preserve">Windows: Clearing Windows Console History</t>
  </si>
  <si>
    <t xml:space="preserve">https://filestore.fortinet.com/docs.fortinet.com/fsiem/Public_Resource_Access/7_6_0/rules/PH_RULE_Clearing_Windows_Console_History.htm</t>
  </si>
  <si>
    <t xml:space="preserve">PH_Rule_windows_SIGMA_2992</t>
  </si>
  <si>
    <t xml:space="preserve">Windows: Clfs.SYS Loaded By Process Located In a Potential Suspicious Location</t>
  </si>
  <si>
    <t xml:space="preserve">https://filestore.fortinet.com/docs.fortinet.com/fsiem/Public_Resource_Access/7_6_0/rules/PH_RULE_Clfs_SYS_Loaded_By_Process_Located_In_a_Potential_Suspicious_Location.htm</t>
  </si>
  <si>
    <t xml:space="preserve">PH_Rule_windows_SIGMA_3654</t>
  </si>
  <si>
    <t xml:space="preserve">Windows: ClickOnce Trust Prompt Tampering</t>
  </si>
  <si>
    <t xml:space="preserve">https://filestore.fortinet.com/docs.fortinet.com/fsiem/Public_Resource_Access/7_6_0/rules/PH_RULE_ClickOnce_Trust_Prompt_Tampering.htm</t>
  </si>
  <si>
    <t xml:space="preserve">PH_Rule_windows_SIGMA_3320</t>
  </si>
  <si>
    <t xml:space="preserve">Windows: Cloudflared Portable Execution</t>
  </si>
  <si>
    <t xml:space="preserve">https://filestore.fortinet.com/docs.fortinet.com/fsiem/Public_Resource_Access/7_6_0/rules/PH_RULE_Cloudflared_Portable_Execution.htm</t>
  </si>
  <si>
    <t xml:space="preserve">PH_Rule_windows_SIGMA_3322</t>
  </si>
  <si>
    <t xml:space="preserve">Windows: Cloudflared Tunnel Connections Cleanup</t>
  </si>
  <si>
    <t xml:space="preserve">https://filestore.fortinet.com/docs.fortinet.com/fsiem/Public_Resource_Access/7_6_0/rules/PH_RULE_Cloudflared_Tunnel_Connections_Cleanup.htm</t>
  </si>
  <si>
    <t xml:space="preserve">PH_Rule_windows_SIGMA_3323</t>
  </si>
  <si>
    <t xml:space="preserve">Windows: Cloudflared Tunnel Execution</t>
  </si>
  <si>
    <t xml:space="preserve">https://filestore.fortinet.com/docs.fortinet.com/fsiem/Public_Resource_Access/7_6_0/rules/PH_RULE_Cloudflared_Tunnel_Execution.htm</t>
  </si>
  <si>
    <t xml:space="preserve">PH_Rule_windows_SIGMA_2908</t>
  </si>
  <si>
    <t xml:space="preserve">Windows: Cloudflared Tunnels Related DNS Requests</t>
  </si>
  <si>
    <t xml:space="preserve">https://filestore.fortinet.com/docs.fortinet.com/fsiem/Public_Resource_Access/7_6_0/rules/PH_RULE_Cloudflared_Tunnels_Related_DNS_Requests.htm</t>
  </si>
  <si>
    <t xml:space="preserve">PH_Rule_SIGMA_336</t>
  </si>
  <si>
    <t xml:space="preserve">Windows: CLR DLL Loaded Via Office Applications</t>
  </si>
  <si>
    <t xml:space="preserve">https://filestore.fortinet.com/docs.fortinet.com/fsiem/Public_Resource_Access/7_6_0/rules/PH_RULE_CLR_DLL_Loaded_Via_Office_Applications.htm</t>
  </si>
  <si>
    <t xml:space="preserve">PH_Rule_windows_SIGMA_3324</t>
  </si>
  <si>
    <t xml:space="preserve">Windows: Cmd Launched with Hidden Start Flags to Suspicious Targets</t>
  </si>
  <si>
    <t xml:space="preserve">https://filestore.fortinet.com/docs.fortinet.com/fsiem/Public_Resource_Access/7_6_0/rules/PH_RULE_Cmd_Launched_with_Hidden_Start_Flags_to_Suspicious_Targets.htm</t>
  </si>
  <si>
    <t xml:space="preserve">PH_Rule_SIGMA_2285</t>
  </si>
  <si>
    <t xml:space="preserve">Windows: Cmd.EXE Missing Space Characters Execution Anomaly</t>
  </si>
  <si>
    <t xml:space="preserve">https://filestore.fortinet.com/docs.fortinet.com/fsiem/Public_Resource_Access/7_6_0/rules/PH_RULE_Cmd_EXE_Missing_Space_Characters_Execution_Anomaly.htm</t>
  </si>
  <si>
    <t xml:space="preserve">PH_Rule_SIGMA_1074</t>
  </si>
  <si>
    <t xml:space="preserve">Windows: CMSTP Execution Process Access</t>
  </si>
  <si>
    <t xml:space="preserve">https://filestore.fortinet.com/docs.fortinet.com/fsiem/Public_Resource_Access/7_6_0/rules/PH_RULE_CMSTP_Execution_Process_Access.htm</t>
  </si>
  <si>
    <t xml:space="preserve">PH_Rule_SIGMA_1295</t>
  </si>
  <si>
    <t xml:space="preserve">Windows: CMSTP Execution Process Creation</t>
  </si>
  <si>
    <t xml:space="preserve">https://filestore.fortinet.com/docs.fortinet.com/fsiem/Public_Resource_Access/7_6_0/rules/PH_RULE_CMSTP_Execution_Process_Creation.htm</t>
  </si>
  <si>
    <t xml:space="preserve">PH_Rule_SIGMA_797</t>
  </si>
  <si>
    <t xml:space="preserve">Windows: CMSTP Execution Registry Event</t>
  </si>
  <si>
    <t xml:space="preserve">https://filestore.fortinet.com/docs.fortinet.com/fsiem/Public_Resource_Access/7_6_0/rules/PH_RULE_CMSTP_Execution_Registry_Event.htm</t>
  </si>
  <si>
    <t xml:space="preserve">PH_Rule_SIGMA_1296</t>
  </si>
  <si>
    <t xml:space="preserve">Windows: Cobalt Strike Load by Rundll32</t>
  </si>
  <si>
    <t xml:space="preserve">https://filestore.fortinet.com/docs.fortinet.com/fsiem/Public_Resource_Access/7_6_0/rules/PH_RULE_CobaltStrike_Load_by_Rundll32.htm</t>
  </si>
  <si>
    <t xml:space="preserve">PH_Rule_SIGMA_1075</t>
  </si>
  <si>
    <t xml:space="preserve">Windows: CobaltStrike BOF Injection Pattern</t>
  </si>
  <si>
    <t xml:space="preserve">https://filestore.fortinet.com/docs.fortinet.com/fsiem/Public_Resource_Access/7_6_0/rules/PH_RULE_CobaltStrike_BOF_Injection_Pattern.htm</t>
  </si>
  <si>
    <t xml:space="preserve">PH_Rule_windows_SIGMA_3061</t>
  </si>
  <si>
    <t xml:space="preserve">Windows: CobaltStrike Named Pipe</t>
  </si>
  <si>
    <t xml:space="preserve">https://filestore.fortinet.com/docs.fortinet.com/fsiem/Public_Resource_Access/7_6_0/rules/PH_RULE_CobaltStrike_Named_Pipe.htm</t>
  </si>
  <si>
    <t xml:space="preserve">PH_Rule_windows_SIGMA_3062</t>
  </si>
  <si>
    <t xml:space="preserve">Windows: CobaltStrike Named Pipe Pattern Regex</t>
  </si>
  <si>
    <t xml:space="preserve">https://filestore.fortinet.com/docs.fortinet.com/fsiem/Public_Resource_Access/7_6_0/rules/PH_RULE_CobaltStrike_Named_Pipe_Pattern_Regex.htm</t>
  </si>
  <si>
    <t xml:space="preserve">PH_Rule_windows_SIGMA_3063</t>
  </si>
  <si>
    <t xml:space="preserve">Windows: CobaltStrike Named Pipe Patterns</t>
  </si>
  <si>
    <t xml:space="preserve">https://filestore.fortinet.com/docs.fortinet.com/fsiem/Public_Resource_Access/7_6_0/rules/PH_RULE_CobaltStrike_Named_Pipe_Patterns.htm</t>
  </si>
  <si>
    <t xml:space="preserve">PH_Rule_SIGMA_1125</t>
  </si>
  <si>
    <t xml:space="preserve">Windows: CobaltStrike Service Installations: System Log</t>
  </si>
  <si>
    <t xml:space="preserve">https://filestore.fortinet.com/docs.fortinet.com/fsiem/Public_Resource_Access/7_6_0/rules/PH_RULE_CobaltStrike_Service_Installations_SYSTEM_LOG.htm</t>
  </si>
  <si>
    <t xml:space="preserve">PH_Rule_windows_SIGMA_3196</t>
  </si>
  <si>
    <t xml:space="preserve">Windows: Code Executed Via Office Add-in XLL File</t>
  </si>
  <si>
    <t xml:space="preserve">https://filestore.fortinet.com/docs.fortinet.com/fsiem/Public_Resource_Access/7_6_0/rules/PH_RULE_Code_Executed_Via_Office_Add_in_XLL_File.htm</t>
  </si>
  <si>
    <t xml:space="preserve">PH_Rule_SIGMA_1592</t>
  </si>
  <si>
    <t xml:space="preserve">Windows: Code Execution via Pcwutl.dll</t>
  </si>
  <si>
    <t xml:space="preserve">https://filestore.fortinet.com/docs.fortinet.com/fsiem/Public_Resource_Access/7_6_0/rules/PH_RULE_Code_Execution_via_Pcwutl_dll.htm</t>
  </si>
  <si>
    <t xml:space="preserve">PH_Rule_SIGMA_1817</t>
  </si>
  <si>
    <t xml:space="preserve">Windows: Code Integrity Blocked Driver Load</t>
  </si>
  <si>
    <t xml:space="preserve">Microsoft Windows Code Integrity/Operational logs via Windows Collector</t>
  </si>
  <si>
    <t xml:space="preserve">https://filestore.fortinet.com/docs.fortinet.com/fsiem/Public_Resource_Access/7_6_0/rules/PH_RULE_Code_Integrity_Blocked_Driver_Load.htm</t>
  </si>
  <si>
    <t xml:space="preserve">PH_Rule_windows_SIGMA_2791</t>
  </si>
  <si>
    <t xml:space="preserve">Windows: CodeIntegrity - Blocked Driver Load With Revoked Certificate</t>
  </si>
  <si>
    <t xml:space="preserve">Microsoft Windows Code Integrity/Operational logs via Windows Collector [Corrected: Fortinet docs label this rule "CyberArk Enterprise Password Vault via Syslog"; source derived from its event types]</t>
  </si>
  <si>
    <t xml:space="preserve">https://filestore.fortinet.com/docs.fortinet.com/fsiem/Public_Resource_Access/7_6_0/rules/PH_RULE_CodeIntegrity_Blocked_Driver_Load_With_Revoked_Certificate.htm</t>
  </si>
  <si>
    <t xml:space="preserve">PH_Rule_windows_SIGMA_2793</t>
  </si>
  <si>
    <t xml:space="preserve">Windows: CodeIntegrity - Blocked Image Load With Revoked Certificate</t>
  </si>
  <si>
    <t xml:space="preserve">https://filestore.fortinet.com/docs.fortinet.com/fsiem/Public_Resource_Access/7_6_0/rules/PH_RULE_CodeIntegrity_Blocked_Image_Load_With_Revoked_Certificate.htm</t>
  </si>
  <si>
    <t xml:space="preserve">PH_Rule_windows_SIGMA_2790</t>
  </si>
  <si>
    <t xml:space="preserve">Windows: CodeIntegrity - Disallowed File For Protected Processes Has Been Blocked</t>
  </si>
  <si>
    <t xml:space="preserve">https://filestore.fortinet.com/docs.fortinet.com/fsiem/Public_Resource_Access/7_6_0/rules/PH_RULE_CodeIntegrity_Disallowed_File_For_Protected_Processes_Has_Been_Blocked.htm</t>
  </si>
  <si>
    <t xml:space="preserve">PH_Rule_windows_SIGMA_2794</t>
  </si>
  <si>
    <t xml:space="preserve">Windows: CodeIntegrity - Revoked Image Loaded</t>
  </si>
  <si>
    <t xml:space="preserve">https://filestore.fortinet.com/docs.fortinet.com/fsiem/Public_Resource_Access/7_6_0/rules/PH_RULE_CodeIntegrity_Revoked_Image_Loaded.htm</t>
  </si>
  <si>
    <t xml:space="preserve">PH_Rule_windows_SIGMA_2792</t>
  </si>
  <si>
    <t xml:space="preserve">Windows: CodeIntegrity - Revoked Kernel Driver Loaded</t>
  </si>
  <si>
    <t xml:space="preserve">https://filestore.fortinet.com/docs.fortinet.com/fsiem/Public_Resource_Access/7_6_0/rules/PH_RULE_CodeIntegrity_Revoked_Kernel_Driver_Loaded.htm</t>
  </si>
  <si>
    <t xml:space="preserve">PH_Rule_SIGMA_1816</t>
  </si>
  <si>
    <t xml:space="preserve">Windows: CodeIntegrity - Unmet Signing Level Requirements By File Under Validation</t>
  </si>
  <si>
    <t xml:space="preserve">https://filestore.fortinet.com/docs.fortinet.com/fsiem/Public_Resource_Access/7_6_0/rules/PH_RULE_Code_Integrity_Attempted_DLL_Load.htm</t>
  </si>
  <si>
    <t xml:space="preserve">PH_Rule_windows_SIGMA_2797</t>
  </si>
  <si>
    <t xml:space="preserve">Windows: CodeIntegrity - Unmet WHQL Requirements For Loaded Kernel Module</t>
  </si>
  <si>
    <t xml:space="preserve">https://filestore.fortinet.com/docs.fortinet.com/fsiem/Public_Resource_Access/7_6_0/rules/PH_RULE_CodeIntegrity_Unmet_WHQL_Requirements_For_Loaded_Kernel_Module.htm</t>
  </si>
  <si>
    <t xml:space="preserve">PH_Rule_windows_SIGMA_2796</t>
  </si>
  <si>
    <t xml:space="preserve">Windows: CodeIntegrity - Unsigned Image Loaded</t>
  </si>
  <si>
    <t xml:space="preserve">https://filestore.fortinet.com/docs.fortinet.com/fsiem/Public_Resource_Access/7_6_0/rules/PH_RULE_CodeIntegrity_Unsigned_Image_Loaded.htm</t>
  </si>
  <si>
    <t xml:space="preserve">PH_Rule_windows_SIGMA_2795</t>
  </si>
  <si>
    <t xml:space="preserve">Windows: CodeIntegrity - Unsigned Kernel Module Loaded</t>
  </si>
  <si>
    <t xml:space="preserve">https://filestore.fortinet.com/docs.fortinet.com/fsiem/Public_Resource_Access/7_6_0/rules/PH_RULE_CodeIntegrity_Unsigned_Kernel_Module_Loaded.htm</t>
  </si>
  <si>
    <t xml:space="preserve">PH_Rule_windows_SIGMA_3402</t>
  </si>
  <si>
    <t xml:space="preserve">Windows: CodePage Modification Via MODE.COM To Russian Language</t>
  </si>
  <si>
    <t xml:space="preserve">https://filestore.fortinet.com/docs.fortinet.com/fsiem/Public_Resource_Access/7_6_0/rules/PH_RULE_CodePage_Modification_Via_MODE_COM_To_Russian_Language.htm</t>
  </si>
  <si>
    <t xml:space="preserve">PH_Rule_windows_SIGMA_3656</t>
  </si>
  <si>
    <t xml:space="preserve">Windows: COM Hijack via Sdclt</t>
  </si>
  <si>
    <t xml:space="preserve">https://filestore.fortinet.com/docs.fortinet.com/fsiem/Public_Resource_Access/7_6_0/rules/PH_RULE_COM_Hijack_via_Sdclt.htm</t>
  </si>
  <si>
    <t xml:space="preserve">PH_Rule_windows_SIGMA_3809</t>
  </si>
  <si>
    <t xml:space="preserve">Windows: COM Hijacking via TreatAs</t>
  </si>
  <si>
    <t xml:space="preserve">https://filestore.fortinet.com/docs.fortinet.com/fsiem/Public_Resource_Access/7_6_0/rules/PH_RULE_COM_Hijacking_via_TreatAs.htm</t>
  </si>
  <si>
    <t xml:space="preserve">PH_Rule_windows_SIGMA_3607</t>
  </si>
  <si>
    <t xml:space="preserve">Windows: COM Object Execution via Xwizard.EXE</t>
  </si>
  <si>
    <t xml:space="preserve">https://filestore.fortinet.com/docs.fortinet.com/fsiem/Public_Resource_Access/7_6_0/rules/PH_RULE_COM_Object_Execution_via_Xwizard_EXE.htm</t>
  </si>
  <si>
    <t xml:space="preserve">PH_Rule_SIGMA_527</t>
  </si>
  <si>
    <t xml:space="preserve">Windows: Command Line Execution with Suspicious URL and AppData Strings</t>
  </si>
  <si>
    <t xml:space="preserve">https://filestore.fortinet.com/docs.fortinet.com/fsiem/Public_Resource_Access/7_6_0/rules/PH_RULE_Command_Line_Execution_with_Suspicious_URL_and_AppData_Strings.htm</t>
  </si>
  <si>
    <t xml:space="preserve">PH_Rule_windows_SIGMA_3043</t>
  </si>
  <si>
    <t xml:space="preserve">Windows: Communication To LocaltoNet Tunneling Service Initiated</t>
  </si>
  <si>
    <t xml:space="preserve">https://filestore.fortinet.com/docs.fortinet.com/fsiem/Public_Resource_Access/7_6_0/rules/PH_RULE_Communication_To_LocaltoNet_Tunneling_Service_Initiated.htm</t>
  </si>
  <si>
    <t xml:space="preserve">PH_Rule_SIGMA_2053</t>
  </si>
  <si>
    <t xml:space="preserve">Windows: Communication To Ngrok Tunneling Service</t>
  </si>
  <si>
    <t xml:space="preserve">https://filestore.fortinet.com/docs.fortinet.com/fsiem/Public_Resource_Access/7_6_0/rules/PH_RULE_Communication_To_Ngrok_Tunneling_Service.htm</t>
  </si>
  <si>
    <t xml:space="preserve">PH_Rule_windows_SIGMA_3057</t>
  </si>
  <si>
    <t xml:space="preserve">Windows: Communication To Uncommon Destination Ports</t>
  </si>
  <si>
    <t xml:space="preserve">https://filestore.fortinet.com/docs.fortinet.com/fsiem/Public_Resource_Access/7_6_0/rules/PH_RULE_Communication_To_Uncommon_Destination_Ports.htm</t>
  </si>
  <si>
    <t xml:space="preserve">PH_Rule_SIGMA_1525</t>
  </si>
  <si>
    <t xml:space="preserve">Windows: Compress Data and Lock With Password for Exfiltration With 7-ZIP</t>
  </si>
  <si>
    <t xml:space="preserve">https://filestore.fortinet.com/docs.fortinet.com/fsiem/Public_Resource_Access/7_6_0/rules/PH_RULE_Compress_Data_and_Lock_With_Password_for_Exfiltration_With_7_ZIP.htm</t>
  </si>
  <si>
    <t xml:space="preserve">PH_Rule_SIGMA_1691</t>
  </si>
  <si>
    <t xml:space="preserve">Windows: Compress Data and Lock With Password for Exfiltration With WINZIP</t>
  </si>
  <si>
    <t xml:space="preserve">https://filestore.fortinet.com/docs.fortinet.com/fsiem/Public_Resource_Access/7_6_0/rules/PH_RULE_Compress_Data_and_Lock_With_Password_for_Exfiltration_With_WINZIP.htm</t>
  </si>
  <si>
    <t xml:space="preserve">PH_Rule_windows_SIGMA_3561</t>
  </si>
  <si>
    <t xml:space="preserve">Windows: Compressed File Creation Via Tar.EXE</t>
  </si>
  <si>
    <t xml:space="preserve">https://filestore.fortinet.com/docs.fortinet.com/fsiem/Public_Resource_Access/7_6_0/rules/PH_RULE_Compressed_File_Creation_Via_Tar_EXE.htm</t>
  </si>
  <si>
    <t xml:space="preserve">PH_Rule_windows_SIGMA_3562</t>
  </si>
  <si>
    <t xml:space="preserve">Windows: Compressed File Extraction Via Tar.EXE</t>
  </si>
  <si>
    <t xml:space="preserve">https://filestore.fortinet.com/docs.fortinet.com/fsiem/Public_Resource_Access/7_6_0/rules/PH_RULE_Compressed_File_Extraction_Via_Tar_EXE.htm</t>
  </si>
  <si>
    <t xml:space="preserve">PH_Rule_SIGMA_2428</t>
  </si>
  <si>
    <t xml:space="preserve">Windows: Computer Discovery And Export Via Get-ADComputer Cmdlet</t>
  </si>
  <si>
    <t xml:space="preserve">https://filestore.fortinet.com/docs.fortinet.com/fsiem/Public_Resource_Access/7_6_0/rules/PH_RULE_Computer_Discovery_And_Export_Via_Get_ADComputer_Cmdlet.htm</t>
  </si>
  <si>
    <t xml:space="preserve">PH_Rule_windows_SIGMA_3139</t>
  </si>
  <si>
    <t xml:space="preserve">Windows: Computer Discovery And Export Via Get-ADComputer Cmdlet - PowerShell</t>
  </si>
  <si>
    <t xml:space="preserve">https://filestore.fortinet.com/docs.fortinet.com/fsiem/Public_Resource_Access/7_6_0/rules/PH_RULE_Computer_Discovery_And_Export_Via_Get_ADComputer_Cmdlet_PowerShell.htm</t>
  </si>
  <si>
    <t xml:space="preserve">PH_Rule_SIGMA_2608</t>
  </si>
  <si>
    <t xml:space="preserve">Windows: Computer System Reconnaissance Via Wmic.EXE</t>
  </si>
  <si>
    <t xml:space="preserve">https://filestore.fortinet.com/docs.fortinet.com/fsiem/Public_Resource_Access/7_6_0/rules/PH_RULE_Computer_System_Reconnaissance_Via_Wmic_EXE.htm</t>
  </si>
  <si>
    <t xml:space="preserve">Microsoft Windows Security Log via OMI or Windows Collector; Microsoft Windows Sysmon via Windows Collector</t>
  </si>
  <si>
    <t xml:space="preserve">PH_Rule_SIGMA_2292</t>
  </si>
  <si>
    <t xml:space="preserve">Windows: Conhost Spawned By Uncommon Parent Process</t>
  </si>
  <si>
    <t xml:space="preserve">https://filestore.fortinet.com/docs.fortinet.com/fsiem/Public_Resource_Access/7_6_0/rules/PH_RULE_Conhost_Spawned_By_Uncommon_Parent_Process.htm</t>
  </si>
  <si>
    <t xml:space="preserve">PH_Rule_SIGMA_1299</t>
  </si>
  <si>
    <t xml:space="preserve">Windows: Conhost.exe CommandLine Path Traversal</t>
  </si>
  <si>
    <t xml:space="preserve">https://filestore.fortinet.com/docs.fortinet.com/fsiem/Public_Resource_Access/7_6_0/rules/PH_RULE_Conhost_exe_CommandLine_Path_Traversal.htm</t>
  </si>
  <si>
    <t xml:space="preserve">PH_Rule_SIGMA_1541</t>
  </si>
  <si>
    <t xml:space="preserve">Windows: Console CodePage Lookup Via CHCP</t>
  </si>
  <si>
    <t xml:space="preserve">https://filestore.fortinet.com/docs.fortinet.com/fsiem/Public_Resource_Access/7_6_0/rules/PH_RULE_CHCP_CodePage_Locale_Lookup.htm</t>
  </si>
  <si>
    <t xml:space="preserve">PH_Rule_SIGMA_392</t>
  </si>
  <si>
    <t xml:space="preserve">Windows: Control Panel Items</t>
  </si>
  <si>
    <t xml:space="preserve">https://filestore.fortinet.com/docs.fortinet.com/fsiem/Public_Resource_Access/7_6_0/rules/PH_RULE_Control_Panel_Items.htm</t>
  </si>
  <si>
    <t xml:space="preserve">PH_Rule_SIGMA_2427</t>
  </si>
  <si>
    <t xml:space="preserve">Windows: ConvertTo-SecureString Cmdlet Usage Via CommandLine</t>
  </si>
  <si>
    <t xml:space="preserve">https://filestore.fortinet.com/docs.fortinet.com/fsiem/Public_Resource_Access/7_6_0/rules/PH_RULE_ConvertTo_SecureString_Cmdlet_Usage_Via_CommandLine.htm</t>
  </si>
  <si>
    <t xml:space="preserve">PH_Rule_SIGMA_2281</t>
  </si>
  <si>
    <t xml:space="preserve">Windows: Copy .DMP/.DUMP Files From Remote Share Via Cmd.EXE</t>
  </si>
  <si>
    <t xml:space="preserve">https://filestore.fortinet.com/docs.fortinet.com/fsiem/Public_Resource_Access/7_6_0/rules/PH_RULE_Copy_DMP_DUMP_Files_From_Remote_Share_Via_Cmd_EXE.htm</t>
  </si>
  <si>
    <t xml:space="preserve">PH_Rule_SIGMA_533</t>
  </si>
  <si>
    <t xml:space="preserve">Windows: Copy From Or To Admin Share Or Sysvol Folder</t>
  </si>
  <si>
    <t xml:space="preserve">https://filestore.fortinet.com/docs.fortinet.com/fsiem/Public_Resource_Access/7_6_0/rules/PH_RULE_Copy_from_Admin_Share.htm</t>
  </si>
  <si>
    <t xml:space="preserve">PH_Rule_SIGMA_1540</t>
  </si>
  <si>
    <t xml:space="preserve">Windows: Copy From VolumeShadowCopy Via Cmd.EXE</t>
  </si>
  <si>
    <t xml:space="preserve">https://filestore.fortinet.com/docs.fortinet.com/fsiem/Public_Resource_Access/7_6_0/rules/PH_RULE_Copy_from_Volume_Shadow_Copy.htm</t>
  </si>
  <si>
    <t xml:space="preserve">PH_Rule_windows_SIGMA_2858</t>
  </si>
  <si>
    <t xml:space="preserve">Windows: Crash Dump Created By Operating System</t>
  </si>
  <si>
    <t xml:space="preserve">Microsoft Windows Application Log via OMI or Windows Collector [Corrected: Fortinet docs label this rule "CyberArk Enterprise Password Vault via Syslog"; source derived from its event types]</t>
  </si>
  <si>
    <t xml:space="preserve">https://filestore.fortinet.com/docs.fortinet.com/fsiem/Public_Resource_Access/7_6_0/rules/PH_RULE_Crash_Dump_Created_By_Operating_System.htm</t>
  </si>
  <si>
    <t xml:space="preserve">PH_Rule_windows_SIGMA_3657</t>
  </si>
  <si>
    <t xml:space="preserve">Windows: CrashControl CrashDump Disabled</t>
  </si>
  <si>
    <t xml:space="preserve">https://filestore.fortinet.com/docs.fortinet.com/fsiem/Public_Resource_Access/7_6_0/rules/PH_RULE_CrashControl_CrashDump_Disabled.htm</t>
  </si>
  <si>
    <t xml:space="preserve">PH_Rule_SIGMA_848</t>
  </si>
  <si>
    <t xml:space="preserve">Windows: Created Files by Microsoft Sync Center</t>
  </si>
  <si>
    <t xml:space="preserve">https://filestore.fortinet.com/docs.fortinet.com/fsiem/Public_Resource_Access/7_6_0/rules/PH_RULE_Created_Files_by_Microsoft_Sync_Center.htm</t>
  </si>
  <si>
    <t xml:space="preserve">PH_Rule_SIGMA_885</t>
  </si>
  <si>
    <t xml:space="preserve">Windows: Creation Exe for Service with Unquoted Path</t>
  </si>
  <si>
    <t xml:space="preserve">https://filestore.fortinet.com/docs.fortinet.com/fsiem/Public_Resource_Access/7_6_0/rules/PH_RULE_Creation_Exe_for_Service_with_Unquoted_Path.htm</t>
  </si>
  <si>
    <t xml:space="preserve">PH_Rule_SIGMA_851</t>
  </si>
  <si>
    <t xml:space="preserve">Windows: Creation of a Diagcab</t>
  </si>
  <si>
    <t xml:space="preserve">https://filestore.fortinet.com/docs.fortinet.com/fsiem/Public_Resource_Access/7_6_0/rules/PH_RULE_Creation_of_a_Diagcab.htm</t>
  </si>
  <si>
    <t xml:space="preserve">PH_Rule_windows_SIGMA_2900</t>
  </si>
  <si>
    <t xml:space="preserve">Windows: Creation Of a Suspicious ADS File Outside a Browser Download</t>
  </si>
  <si>
    <t xml:space="preserve">https://filestore.fortinet.com/docs.fortinet.com/fsiem/Public_Resource_Access/7_6_0/rules/PH_RULE_Creation_Of_a_Suspicious_ADS_File_Outside_a_Browser_Download.htm</t>
  </si>
  <si>
    <t xml:space="preserve">PH_Rule_SIGMA_1951</t>
  </si>
  <si>
    <t xml:space="preserve">Windows: Creation Of Non-Existent System DLL</t>
  </si>
  <si>
    <t xml:space="preserve">https://filestore.fortinet.com/docs.fortinet.com/fsiem/Public_Resource_Access/7_6_0/rules/PH_RULE_Creation_Of_Non_Existent_System_DLL.htm</t>
  </si>
  <si>
    <t xml:space="preserve">PH_Rule_SIGMA_870</t>
  </si>
  <si>
    <t xml:space="preserve">Windows: Creation of WerFault.exe/Wer.dll in Unusual Folder</t>
  </si>
  <si>
    <t xml:space="preserve">https://filestore.fortinet.com/docs.fortinet.com/fsiem/Public_Resource_Access/7_6_0/rules/PH_RULE_Creation_of_an_WerFault_exe_in_Unusual_Folder.htm</t>
  </si>
  <si>
    <t xml:space="preserve">PH_Rule_windows_SIGMA_3291</t>
  </si>
  <si>
    <t xml:space="preserve">Windows: Credential Dumping Attempt Via Svchost</t>
  </si>
  <si>
    <t xml:space="preserve">https://filestore.fortinet.com/docs.fortinet.com/fsiem/Public_Resource_Access/7_6_0/rules/PH_RULE_Credential_Dumping_Attempt_Via_Svchost.htm</t>
  </si>
  <si>
    <t xml:space="preserve">PH_Rule_SIGMA_538</t>
  </si>
  <si>
    <t xml:space="preserve">Windows: Csc.EXE Execution Form Potentially Suspicious Parent</t>
  </si>
  <si>
    <t xml:space="preserve">https://filestore.fortinet.com/docs.fortinet.com/fsiem/Public_Resource_Access/7_6_0/rules/PH_RULE_Suspicious_Parent_of_Csc_exe.htm</t>
  </si>
  <si>
    <t xml:space="preserve">PH_Rule_windows_SIGMA_3601</t>
  </si>
  <si>
    <t xml:space="preserve">Windows: Cscript/Wscript Potentially Suspicious Child Process</t>
  </si>
  <si>
    <t xml:space="preserve">https://filestore.fortinet.com/docs.fortinet.com/fsiem/Public_Resource_Access/7_6_0/rules/PH_RULE_Cscript_Wscript_Potentially_Suspicious_Child_Process.htm</t>
  </si>
  <si>
    <t xml:space="preserve">PH_Rule_windows_SIGMA_3602</t>
  </si>
  <si>
    <t xml:space="preserve">Windows: Cscript/Wscript Uncommon Script Extension Execution</t>
  </si>
  <si>
    <t xml:space="preserve">https://filestore.fortinet.com/docs.fortinet.com/fsiem/Public_Resource_Access/7_6_0/rules/PH_RULE_Cscript_Wscript_Uncommon_Script_Extension_Execution.htm</t>
  </si>
  <si>
    <t xml:space="preserve">PH_Rule_windows_SIGMA_2951</t>
  </si>
  <si>
    <t xml:space="preserve">Windows: CSExec Service File Creation</t>
  </si>
  <si>
    <t xml:space="preserve">https://filestore.fortinet.com/docs.fortinet.com/fsiem/Public_Resource_Access/7_6_0/rules/PH_RULE_CSExec_Service_File_Creation.htm</t>
  </si>
  <si>
    <t xml:space="preserve">PH_Rule_windows_SIGMA_2863</t>
  </si>
  <si>
    <t xml:space="preserve">Windows: CSExec Service Installation</t>
  </si>
  <si>
    <t xml:space="preserve">https://filestore.fortinet.com/docs.fortinet.com/fsiem/Public_Resource_Access/7_6_0/rules/PH_RULE_CSExec_Service_Installation.htm</t>
  </si>
  <si>
    <t xml:space="preserve">PH_Rule_SIGMA_542</t>
  </si>
  <si>
    <t xml:space="preserve">Windows: Curl Download And Execute Combination</t>
  </si>
  <si>
    <t xml:space="preserve">https://filestore.fortinet.com/docs.fortinet.com/fsiem/Public_Resource_Access/7_6_0/rules/PH_RULE_Curl_Start_Combination.htm</t>
  </si>
  <si>
    <t xml:space="preserve">PH_Rule_windows_SIGMA_3334</t>
  </si>
  <si>
    <t xml:space="preserve">Windows: Curl Web Request With Potential Custom User-Agent</t>
  </si>
  <si>
    <t xml:space="preserve">https://filestore.fortinet.com/docs.fortinet.com/fsiem/Public_Resource_Access/7_6_0/rules/PH_RULE_Curl_Web_Request_With_Potential_Custom_User_Agent.htm</t>
  </si>
  <si>
    <t xml:space="preserve">PH_Rule_windows_SIGMA_3661</t>
  </si>
  <si>
    <t xml:space="preserve">Windows: Custom File Open Handler Executes PowerShell</t>
  </si>
  <si>
    <t xml:space="preserve">https://filestore.fortinet.com/docs.fortinet.com/fsiem/Public_Resource_Access/7_6_0/rules/PH_RULE_Custom_File_Open_Handler_Executes_PowerShell.htm</t>
  </si>
  <si>
    <t xml:space="preserve">PH_Rule_SIGMA_397</t>
  </si>
  <si>
    <t xml:space="preserve">Windows: Data Compressed - rar.exe</t>
  </si>
  <si>
    <t xml:space="preserve">https://filestore.fortinet.com/docs.fortinet.com/fsiem/Public_Resource_Access/7_6_0/rules/PH_RULE_Data_Compressed_rar_exe.htm</t>
  </si>
  <si>
    <t xml:space="preserve">PH_Rule_windows_SIGMA_3310</t>
  </si>
  <si>
    <t xml:space="preserve">Windows: Data Export From MSSQL Table Via BCP.EXE</t>
  </si>
  <si>
    <t xml:space="preserve">https://filestore.fortinet.com/docs.fortinet.com/fsiem/Public_Resource_Access/7_6_0/rules/PH_RULE_Data_Export_From_MSSQL_Table_Via_BCP_EXE.htm</t>
  </si>
  <si>
    <t xml:space="preserve">PH_Rule_windows_SIGMA_3649</t>
  </si>
  <si>
    <t xml:space="preserve">Windows: Default RDP Port Changed to Non Standard Port</t>
  </si>
  <si>
    <t xml:space="preserve">https://filestore.fortinet.com/docs.fortinet.com/fsiem/Public_Resource_Access/7_6_0/rules/PH_RULE_Default_RDP_Port_Changed_to_Non_Standard_Port.htm</t>
  </si>
  <si>
    <t xml:space="preserve">PH_Rule_SIGMA_2523</t>
  </si>
  <si>
    <t xml:space="preserve">Windows: Delete All Scheduled Tasks</t>
  </si>
  <si>
    <t xml:space="preserve">https://filestore.fortinet.com/docs.fortinet.com/fsiem/Public_Resource_Access/7_6_0/rules/PH_RULE_Delete_All_Scheduled_Tasks.htm</t>
  </si>
  <si>
    <t xml:space="preserve">PH_Rule_windows_SIGMA_3611</t>
  </si>
  <si>
    <t xml:space="preserve">Windows: Delete Defender Scan ShellEx Context Menu Registry Key</t>
  </si>
  <si>
    <t xml:space="preserve">https://filestore.fortinet.com/docs.fortinet.com/fsiem/Public_Resource_Access/7_6_0/rules/PH_RULE_Delete_Defender_Scan_ShellEx_Context_Menu_Registry_Key.htm</t>
  </si>
  <si>
    <t xml:space="preserve">PH_Rule_SIGMA_2522</t>
  </si>
  <si>
    <t xml:space="preserve">Windows: Delete Important Scheduled Task</t>
  </si>
  <si>
    <t xml:space="preserve">https://filestore.fortinet.com/docs.fortinet.com/fsiem/Public_Resource_Access/7_6_0/rules/PH_RULE_Delete_Important_Scheduled_Task.htm</t>
  </si>
  <si>
    <t xml:space="preserve">PH_Rule_windows_SIGMA_3078</t>
  </si>
  <si>
    <t xml:space="preserve">Windows: Delete Volume Shadow Copies Via WMI With PowerShell</t>
  </si>
  <si>
    <t xml:space="preserve">https://filestore.fortinet.com/docs.fortinet.com/fsiem/Public_Resource_Access/7_6_0/rules/PH_RULE_Delete_Volume_Shadow_Copies_Via_WMI_With_PowerShell.htm</t>
  </si>
  <si>
    <t xml:space="preserve">PH_Rule_SIGMA_1539</t>
  </si>
  <si>
    <t xml:space="preserve">Windows: Deleted Data Overwritten Via Cipher.EXE</t>
  </si>
  <si>
    <t xml:space="preserve">https://filestore.fortinet.com/docs.fortinet.com/fsiem/Public_Resource_Access/7_6_0/rules/PH_RULE_Overwrite_Deleted_Data_with_Cipher.htm</t>
  </si>
  <si>
    <t xml:space="preserve">PH_Rule_SIGMA_2452</t>
  </si>
  <si>
    <t xml:space="preserve">Windows: Deletion of Volume Shadow Copies via WMI with PowerShell</t>
  </si>
  <si>
    <t xml:space="preserve">https://filestore.fortinet.com/docs.fortinet.com/fsiem/Public_Resource_Access/7_6_0/rules/PH_RULE_Deletion_of_Volume_Shadow_Copies_via_WMI_with_PowerShell.htm</t>
  </si>
  <si>
    <t xml:space="preserve">PH_Rule_windows_SIGMA_3259</t>
  </si>
  <si>
    <t xml:space="preserve">Windows: Deletion of Volume Shadow Copies via WMI with PowerShell - PS Script</t>
  </si>
  <si>
    <t xml:space="preserve">https://filestore.fortinet.com/docs.fortinet.com/fsiem/Public_Resource_Access/7_6_0/rules/PH_RULE_Deletion_of_Volume_Shadow_Copies_via_WMI_with_PowerShell_PS_Script.htm</t>
  </si>
  <si>
    <t xml:space="preserve">PH_Rule_SIGMA_2517</t>
  </si>
  <si>
    <t xml:space="preserve">Windows: Deny Service Access Using Security Descriptor Tampering Via Sc.EXE</t>
  </si>
  <si>
    <t xml:space="preserve">https://filestore.fortinet.com/docs.fortinet.com/fsiem/Public_Resource_Access/7_6_0/rules/PH_RULE_Deny_Service_Access_Using_Security_Descriptor_Tampering_Via_Sc_EXE.htm</t>
  </si>
  <si>
    <t xml:space="preserve">PH_Rule_SIGMA_1804</t>
  </si>
  <si>
    <t xml:space="preserve">Windows: Deployment AppX Package Was Blocked By AppLocker</t>
  </si>
  <si>
    <t xml:space="preserve">https://filestore.fortinet.com/docs.fortinet.com/fsiem/Public_Resource_Access/7_6_0/rules/PH_RULE_Deployment_AppX_Package_Was_Blocked_By_AppLocker.htm</t>
  </si>
  <si>
    <t xml:space="preserve">PH_Rule_SIGMA_1806</t>
  </si>
  <si>
    <t xml:space="preserve">Windows: Deployment Of The AppX Package Was Blocked By The Policy</t>
  </si>
  <si>
    <t xml:space="preserve">https://filestore.fortinet.com/docs.fortinet.com/fsiem/Public_Resource_Access/7_6_0/rules/PH_RULE_Deployment_Of_The_AppX_Package_Was_Blocked_By_The_Policy.htm</t>
  </si>
  <si>
    <t xml:space="preserve">PH_Rule_windows_SIGMA_2952</t>
  </si>
  <si>
    <t xml:space="preserve">Windows: Desktop.INI Created by Uncommon Process</t>
  </si>
  <si>
    <t xml:space="preserve">https://filestore.fortinet.com/docs.fortinet.com/fsiem/Public_Resource_Access/7_6_0/rules/PH_RULE_Desktop_INI_Created_by_Uncommon_Process.htm</t>
  </si>
  <si>
    <t xml:space="preserve">PH_Rule_SIGMA_1502</t>
  </si>
  <si>
    <t xml:space="preserve">Windows: Detect Virtualbox Driver Installation OR Starting Of VMs</t>
  </si>
  <si>
    <t xml:space="preserve">https://filestore.fortinet.com/docs.fortinet.com/fsiem/Public_Resource_Access/7_6_0/rules/PH_RULE_Detect_Virtualbox_Driver_Installation_OR_Starting_Of_VMs.htm</t>
  </si>
  <si>
    <t xml:space="preserve">PH_Rule_SIGMA_1518</t>
  </si>
  <si>
    <t xml:space="preserve">Windows: Detected Windows Software Discovery</t>
  </si>
  <si>
    <t xml:space="preserve">https://filestore.fortinet.com/docs.fortinet.com/fsiem/Public_Resource_Access/7_6_0/rules/PH_RULE_Detected_Windows_Software_Discovery.htm</t>
  </si>
  <si>
    <t xml:space="preserve">PH_Rule_windows_SIGMA_3218</t>
  </si>
  <si>
    <t xml:space="preserve">Windows: Detected Windows Software Discovery - PowerShell</t>
  </si>
  <si>
    <t xml:space="preserve">https://filestore.fortinet.com/docs.fortinet.com/fsiem/Public_Resource_Access/7_6_0/rules/PH_RULE_Detected_Windows_Software_Discovery_PowerShell.htm</t>
  </si>
  <si>
    <t xml:space="preserve">PH_Rule_SIGMA_1674</t>
  </si>
  <si>
    <t xml:space="preserve">Windows: Detection of PowerShell Execution via Sqlps.exe</t>
  </si>
  <si>
    <t xml:space="preserve">https://filestore.fortinet.com/docs.fortinet.com/fsiem/Public_Resource_Access/7_6_0/rules/PH_RULE_Detection_of_PowerShell_Execution_via_Sqlps_exe.htm</t>
  </si>
  <si>
    <t xml:space="preserve">PH_Rule_windows_SIGMA_3343</t>
  </si>
  <si>
    <t xml:space="preserve">Windows: Devcon Execution Disabling VMware VMCI Device</t>
  </si>
  <si>
    <t xml:space="preserve">https://filestore.fortinet.com/docs.fortinet.com/fsiem/Public_Resource_Access/7_6_0/rules/PH_RULE_Devcon_Execution_Disabling_VMware_VMCI_Device.htm</t>
  </si>
  <si>
    <t xml:space="preserve">PH_Rule_SIGMA_545</t>
  </si>
  <si>
    <t xml:space="preserve">Windows: Devtoolslauncher.exe Executes Specified Binary</t>
  </si>
  <si>
    <t xml:space="preserve">https://filestore.fortinet.com/docs.fortinet.com/fsiem/Public_Resource_Access/7_6_0/rules/PH_RULE_Devtoolslauncher_exe_Executes_Specified_Binary.htm</t>
  </si>
  <si>
    <t xml:space="preserve">PH_Rule_windows_SIGMA_3668</t>
  </si>
  <si>
    <t xml:space="preserve">Windows: DHCP Callout DLL Installation</t>
  </si>
  <si>
    <t xml:space="preserve">https://filestore.fortinet.com/docs.fortinet.com/fsiem/Public_Resource_Access/7_6_0/rules/PH_RULE_DHCP_Callout_DLL_Installation.htm</t>
  </si>
  <si>
    <t xml:space="preserve">PH_Rule_SIGMA_1147</t>
  </si>
  <si>
    <t xml:space="preserve">Windows: DHCP Server Error Failed Loading the CallOut DLL</t>
  </si>
  <si>
    <t xml:space="preserve">https://filestore.fortinet.com/docs.fortinet.com/fsiem/Public_Resource_Access/7_6_0/rules/PH_RULE_DHCP_Server_Error_Failed_Loading_the_CallOut_DLL.htm</t>
  </si>
  <si>
    <t xml:space="preserve">PH_Rule_SIGMA_70</t>
  </si>
  <si>
    <t xml:space="preserve">Windows: DHCP Server Loaded the CallOut DLL</t>
  </si>
  <si>
    <t xml:space="preserve">https://filestore.fortinet.com/docs.fortinet.com/fsiem/Public_Resource_Access/7_6_0/rules/PH_RULE_DHCP_Server_Loaded_the_CallOut_DLL.htm</t>
  </si>
  <si>
    <t xml:space="preserve">PH_Rule_SIGMA_546</t>
  </si>
  <si>
    <t xml:space="preserve">Windows: Direct Autorun Keys Modification</t>
  </si>
  <si>
    <t xml:space="preserve">https://filestore.fortinet.com/docs.fortinet.com/fsiem/Public_Resource_Access/7_6_0/rules/PH_RULE_Direct_Autorun_Keys_Modification.htm</t>
  </si>
  <si>
    <t xml:space="preserve">PH_Rule_SIGMA_2288</t>
  </si>
  <si>
    <t xml:space="preserve">Windows: Directory Removal Via Rmdir</t>
  </si>
  <si>
    <t xml:space="preserve">https://filestore.fortinet.com/docs.fortinet.com/fsiem/Public_Resource_Access/7_6_0/rules/PH_RULE_Directory_Removal_Via_Rmdir.htm</t>
  </si>
  <si>
    <t xml:space="preserve">PH_Rule_SIGMA_2299</t>
  </si>
  <si>
    <t xml:space="preserve">Windows: DirLister Execution</t>
  </si>
  <si>
    <t xml:space="preserve">https://filestore.fortinet.com/docs.fortinet.com/fsiem/Public_Resource_Access/7_6_0/rules/PH_RULE_DirLister_Execution.htm</t>
  </si>
  <si>
    <t xml:space="preserve">PH_Rule_windows_SIGMA_3669</t>
  </si>
  <si>
    <t xml:space="preserve">Windows: Disable Administrative Share Creation at Startup</t>
  </si>
  <si>
    <t xml:space="preserve">https://filestore.fortinet.com/docs.fortinet.com/fsiem/Public_Resource_Access/7_6_0/rules/PH_RULE_Disable_Administrative_Share_Creation_at_Startup.htm</t>
  </si>
  <si>
    <t xml:space="preserve">PH_Rule_windows_SIGMA_3681</t>
  </si>
  <si>
    <t xml:space="preserve">Windows: Disable Exploit Guard Network Protection on Windows Defender</t>
  </si>
  <si>
    <t xml:space="preserve">https://filestore.fortinet.com/docs.fortinet.com/fsiem/Public_Resource_Access/7_6_0/rules/PH_RULE_Disable_Exploit_Guard_Network_Protection_on_Windows_Defender.htm</t>
  </si>
  <si>
    <t xml:space="preserve">PH_Rule_SIGMA_1642</t>
  </si>
  <si>
    <t xml:space="preserve">Windows: Disable Important Scheduled Task</t>
  </si>
  <si>
    <t xml:space="preserve">https://filestore.fortinet.com/docs.fortinet.com/fsiem/Public_Resource_Access/7_6_0/rules/PH_RULE_Disable_Important_Scheduled_Task.htm</t>
  </si>
  <si>
    <t xml:space="preserve">PH_Rule_windows_SIGMA_3672</t>
  </si>
  <si>
    <t xml:space="preserve">Windows: Disable Internal Tools or Feature in Registry</t>
  </si>
  <si>
    <t xml:space="preserve">https://filestore.fortinet.com/docs.fortinet.com/fsiem/Public_Resource_Access/7_6_0/rules/PH_RULE_Disable_Internal_Tools_or_Feature_in_Registry.htm</t>
  </si>
  <si>
    <t xml:space="preserve">PH_Rule_windows_SIGMA_3673</t>
  </si>
  <si>
    <t xml:space="preserve">Windows: Disable Macro Runtime Scan Scope</t>
  </si>
  <si>
    <t xml:space="preserve">https://filestore.fortinet.com/docs.fortinet.com/fsiem/Public_Resource_Access/7_6_0/rules/PH_RULE_Disable_Macro_Runtime_Scan_Scope.htm</t>
  </si>
  <si>
    <t xml:space="preserve">PH_Rule_windows_SIGMA_3671</t>
  </si>
  <si>
    <t xml:space="preserve">Windows: Disable Microsoft Defender Firewall via Registry</t>
  </si>
  <si>
    <t xml:space="preserve">https://filestore.fortinet.com/docs.fortinet.com/fsiem/Public_Resource_Access/7_6_0/rules/PH_RULE_Disable_Microsoft_Defender_Firewall_via_Registry.htm</t>
  </si>
  <si>
    <t xml:space="preserve">PH_Rule_SIGMA_404</t>
  </si>
  <si>
    <t xml:space="preserve">Windows: Disable of ETW Trace</t>
  </si>
  <si>
    <t xml:space="preserve">https://filestore.fortinet.com/docs.fortinet.com/fsiem/Public_Resource_Access/7_6_0/rules/PH_RULE_Disable_of_ETW_Trace.htm</t>
  </si>
  <si>
    <t xml:space="preserve">PH_Rule_windows_SIGMA_3157</t>
  </si>
  <si>
    <t xml:space="preserve">Windows: Disable of ETW Trace - Powershell</t>
  </si>
  <si>
    <t xml:space="preserve">https://filestore.fortinet.com/docs.fortinet.com/fsiem/Public_Resource_Access/7_6_0/rules/PH_RULE_Disable_of_ETW_Trace_Powershell.htm</t>
  </si>
  <si>
    <t xml:space="preserve">PH_Rule_windows_SIGMA_3148</t>
  </si>
  <si>
    <t xml:space="preserve">Windows: Disable Powershell Command History</t>
  </si>
  <si>
    <t xml:space="preserve">https://filestore.fortinet.com/docs.fortinet.com/fsiem/Public_Resource_Access/7_6_0/rules/PH_RULE_Disable_Powershell_Command_History.htm</t>
  </si>
  <si>
    <t xml:space="preserve">PH_Rule_windows_SIGMA_3674</t>
  </si>
  <si>
    <t xml:space="preserve">Windows: Disable Privacy Settings Experience in Registry</t>
  </si>
  <si>
    <t xml:space="preserve">https://filestore.fortinet.com/docs.fortinet.com/fsiem/Public_Resource_Access/7_6_0/rules/PH_RULE_Disable_Privacy_Settings_Experience_in_Registry.htm</t>
  </si>
  <si>
    <t xml:space="preserve">PH_Rule_windows_SIGMA_3683</t>
  </si>
  <si>
    <t xml:space="preserve">Windows: Disable PUA Protection on Windows Defender</t>
  </si>
  <si>
    <t xml:space="preserve">https://filestore.fortinet.com/docs.fortinet.com/fsiem/Public_Resource_Access/7_6_0/rules/PH_RULE_Disable_PUA_Protection_on_Windows_Defender.htm</t>
  </si>
  <si>
    <t xml:space="preserve">PH_Rule_SIGMA_646</t>
  </si>
  <si>
    <t xml:space="preserve">Windows: Disable Security Events Logging Adding Reg Key MiniNt</t>
  </si>
  <si>
    <t xml:space="preserve">https://filestore.fortinet.com/docs.fortinet.com/fsiem/Public_Resource_Access/7_6_0/rules/PH_RULE_Disable_Security_Events_Logging_Adding_Reg_Key_MiniNt.htm</t>
  </si>
  <si>
    <t xml:space="preserve">PH_Rule_windows_SIGMA_3684</t>
  </si>
  <si>
    <t xml:space="preserve">Windows: Disable Tamper Protection on Windows Defender</t>
  </si>
  <si>
    <t xml:space="preserve">https://filestore.fortinet.com/docs.fortinet.com/fsiem/Public_Resource_Access/7_6_0/rules/PH_RULE_Disable_Tamper_Protection_on_Windows_Defender.htm</t>
  </si>
  <si>
    <t xml:space="preserve">PH_Rule_SIGMA_1459</t>
  </si>
  <si>
    <t xml:space="preserve">Windows: Disable Windows Defender AV Security Monitoring</t>
  </si>
  <si>
    <t xml:space="preserve">https://filestore.fortinet.com/docs.fortinet.com/fsiem/Public_Resource_Access/7_6_0/rules/PH_RULE_Powershell_Used_To_Disable_Windows_Defender_AV_Security_Monitoring.htm</t>
  </si>
  <si>
    <t xml:space="preserve">PH_Rule_windows_SIGMA_3680</t>
  </si>
  <si>
    <t xml:space="preserve">Windows: Disable Windows Event Logging Via Registry</t>
  </si>
  <si>
    <t xml:space="preserve">https://filestore.fortinet.com/docs.fortinet.com/fsiem/Public_Resource_Access/7_6_0/rules/PH_RULE_Disable_Windows_Event_Logging_Via_Registry.htm</t>
  </si>
  <si>
    <t xml:space="preserve">PH_Rule_windows_SIGMA_3679</t>
  </si>
  <si>
    <t xml:space="preserve">Windows: Disable Windows Firewall by Registry</t>
  </si>
  <si>
    <t xml:space="preserve">https://filestore.fortinet.com/docs.fortinet.com/fsiem/Public_Resource_Access/7_6_0/rules/PH_RULE_Disable_Windows_Firewall_by_Registry.htm</t>
  </si>
  <si>
    <t xml:space="preserve">PH_Rule_SIGMA_1340</t>
  </si>
  <si>
    <t xml:space="preserve">Windows: Disable Windows IIS HTTP Logging</t>
  </si>
  <si>
    <t xml:space="preserve">https://filestore.fortinet.com/docs.fortinet.com/fsiem/Public_Resource_Access/7_6_0/rules/PH_RULE_Disable_Windows_IIS_HTTP_Logging.htm</t>
  </si>
  <si>
    <t xml:space="preserve">PH_Rule_windows_SIGMA_3675</t>
  </si>
  <si>
    <t xml:space="preserve">Windows: Disable Windows Security Center Notifications</t>
  </si>
  <si>
    <t xml:space="preserve">https://filestore.fortinet.com/docs.fortinet.com/fsiem/Public_Resource_Access/7_6_0/rules/PH_RULE_Disable_Windows_Security_Center_Notifications.htm</t>
  </si>
  <si>
    <t xml:space="preserve">PH_Rule_windows_SIGMA_3149</t>
  </si>
  <si>
    <t xml:space="preserve">Windows: Disable-WindowsOptionalFeature Command PowerShell</t>
  </si>
  <si>
    <t xml:space="preserve">https://filestore.fortinet.com/docs.fortinet.com/fsiem/Public_Resource_Access/7_6_0/rules/PH_RULE_Disable_WindowsOptionalFeature_Command_PowerShell.htm</t>
  </si>
  <si>
    <t xml:space="preserve">PH_Rule_SIGMA_547</t>
  </si>
  <si>
    <t xml:space="preserve">Windows: Disabled IE Security Features</t>
  </si>
  <si>
    <t xml:space="preserve">https://filestore.fortinet.com/docs.fortinet.com/fsiem/Public_Resource_Access/7_6_0/rules/PH_RULE_Disabled_IE_Security_Features.htm</t>
  </si>
  <si>
    <t xml:space="preserve">PH_Rule_SIGMA_1681</t>
  </si>
  <si>
    <t xml:space="preserve">Windows: Disabled Volume Snapshots</t>
  </si>
  <si>
    <t xml:space="preserve">https://filestore.fortinet.com/docs.fortinet.com/fsiem/Public_Resource_Access/7_6_0/rules/PH_RULE_Disabled_Volume_Snapshots.htm</t>
  </si>
  <si>
    <t xml:space="preserve">PH_Rule_windows_SIGMA_3682</t>
  </si>
  <si>
    <t xml:space="preserve">Windows: Disabled Windows Defender Eventlog</t>
  </si>
  <si>
    <t xml:space="preserve">https://filestore.fortinet.com/docs.fortinet.com/fsiem/Public_Resource_Access/7_6_0/rules/PH_RULE_Disabled_Windows_Defender_Eventlog.htm</t>
  </si>
  <si>
    <t xml:space="preserve">PH_Rule_windows_SIGMA_3463</t>
  </si>
  <si>
    <t xml:space="preserve">Windows: Disabling Windows Defender WMI Autologger Session via Reg.exe</t>
  </si>
  <si>
    <t xml:space="preserve">https://filestore.fortinet.com/docs.fortinet.com/fsiem/Public_Resource_Access/7_6_0/rules/PH_RULE_Disabling_Windows_Defender_WMI_Autologger_Session_via_Reg_exe.htm</t>
  </si>
  <si>
    <t xml:space="preserve">PH_Rule_SIGMA_498</t>
  </si>
  <si>
    <t xml:space="preserve">Windows: Discovery of a System Time</t>
  </si>
  <si>
    <t xml:space="preserve">https://filestore.fortinet.com/docs.fortinet.com/fsiem/Public_Resource_Access/7_6_0/rules/PH_RULE_Discovery_of_a_System_Time.htm</t>
  </si>
  <si>
    <t xml:space="preserve">PH_Rule_windows_SIGMA_3348</t>
  </si>
  <si>
    <t xml:space="preserve">Windows: Diskshadow Script Mode - Execution From Potential Suspicious Location</t>
  </si>
  <si>
    <t xml:space="preserve">https://filestore.fortinet.com/docs.fortinet.com/fsiem/Public_Resource_Access/7_6_0/rules/PH_RULE_Diskshadow_Script_Mode_Execution_From_Potential_Suspicious_Location.htm</t>
  </si>
  <si>
    <t xml:space="preserve">PH_Rule_windows_SIGMA_3347</t>
  </si>
  <si>
    <t xml:space="preserve">Windows: Diskshadow Script Mode - Uncommon Script Extension Execution</t>
  </si>
  <si>
    <t xml:space="preserve">https://filestore.fortinet.com/docs.fortinet.com/fsiem/Public_Resource_Access/7_6_0/rules/PH_RULE_Diskshadow_Script_Mode_Uncommon_Script_Extension_Execution.htm</t>
  </si>
  <si>
    <t xml:space="preserve">PH_Rule_SIGMA_1314</t>
  </si>
  <si>
    <t xml:space="preserve">Windows: Dism Remove Online Package</t>
  </si>
  <si>
    <t xml:space="preserve">https://filestore.fortinet.com/docs.fortinet.com/fsiem/Public_Resource_Access/7_6_0/rules/PH_RULE_Dism_Remove_Online_Package.htm</t>
  </si>
  <si>
    <t xml:space="preserve">PH_Rule_windows_SIGMA_3704</t>
  </si>
  <si>
    <t xml:space="preserve">Windows: Displaying Hidden Files Feature Disabled</t>
  </si>
  <si>
    <t xml:space="preserve">https://filestore.fortinet.com/docs.fortinet.com/fsiem/Public_Resource_Access/7_6_0/rules/PH_RULE_Displaying_Hidden_Files_Feature_Disabled.htm</t>
  </si>
  <si>
    <t xml:space="preserve">PH_Rule_SIGMA_1391</t>
  </si>
  <si>
    <t xml:space="preserve">Windows: DLL Execution via Rasautou.exe</t>
  </si>
  <si>
    <t xml:space="preserve">https://filestore.fortinet.com/docs.fortinet.com/fsiem/Public_Resource_Access/7_6_0/rules/PH_RULE_DLL_Execution_via_Rasautou_exe.htm</t>
  </si>
  <si>
    <t xml:space="preserve">PH_Rule_SIGMA_1621</t>
  </si>
  <si>
    <t xml:space="preserve">Windows: DLL Execution Via Register-cimprovider.exe</t>
  </si>
  <si>
    <t xml:space="preserve">https://filestore.fortinet.com/docs.fortinet.com/fsiem/Public_Resource_Access/7_6_0/rules/PH_RULE_DLL_Execution_Via_Register_cimprovider_exe.htm</t>
  </si>
  <si>
    <t xml:space="preserve">PH_Rule_SIGMA_2046</t>
  </si>
  <si>
    <t xml:space="preserve">Windows: DLL Load By System Process From Suspicious Locations</t>
  </si>
  <si>
    <t xml:space="preserve">https://filestore.fortinet.com/docs.fortinet.com/fsiem/Public_Resource_Access/7_6_0/rules/PH_RULE_DLL_Load_By_System_Process_From_Suspicious_Locations.htm</t>
  </si>
  <si>
    <t xml:space="preserve">PH_Rule_SIGMA_2008</t>
  </si>
  <si>
    <t xml:space="preserve">Windows: DLL Loaded From Suspicious Location Via Cmspt.EXE</t>
  </si>
  <si>
    <t xml:space="preserve">https://filestore.fortinet.com/docs.fortinet.com/fsiem/Public_Resource_Access/7_6_0/rules/PH_RULE_DLL_Loaded_From_Suspicious_Location_Via_Cmspt_EXE.htm</t>
  </si>
  <si>
    <t xml:space="preserve">PH_Rule_SIGMA_1287</t>
  </si>
  <si>
    <t xml:space="preserve">Windows: DLL Loaded via CertOC.EXE</t>
  </si>
  <si>
    <t xml:space="preserve">https://filestore.fortinet.com/docs.fortinet.com/fsiem/Public_Resource_Access/7_6_0/rules/PH_RULE_Suspicious_Load_DLL_via_CertOC_exe.htm</t>
  </si>
  <si>
    <t xml:space="preserve">PH_Rule_SIGMA_1952</t>
  </si>
  <si>
    <t xml:space="preserve">Windows: DLL Search Order Hijackig Via Additional Space in Path</t>
  </si>
  <si>
    <t xml:space="preserve">https://filestore.fortinet.com/docs.fortinet.com/fsiem/Public_Resource_Access/7_6_0/rules/PH_RULE_DLL_Search_Order_Hijackig_Via_Additional_Space_in_Path.htm</t>
  </si>
  <si>
    <t xml:space="preserve">PH_Rule_SIGMA_2300</t>
  </si>
  <si>
    <t xml:space="preserve">Windows: DLL Sideloading by VMware Xfer Utility</t>
  </si>
  <si>
    <t xml:space="preserve">https://filestore.fortinet.com/docs.fortinet.com/fsiem/Public_Resource_Access/7_6_0/rules/PH_RULE_DLL_Sideloading_by_VMware_Xfer_Utility.htm</t>
  </si>
  <si>
    <t xml:space="preserve">PH_Rule_SIGMA_2039</t>
  </si>
  <si>
    <t xml:space="preserve">Windows: DLL Sideloading Of ShellChromeAPI.DLL</t>
  </si>
  <si>
    <t xml:space="preserve">https://filestore.fortinet.com/docs.fortinet.com/fsiem/Public_Resource_Access/7_6_0/rules/PH_RULE_DLL_Sideloading_Of_ShellChromeAPI_DLL.htm</t>
  </si>
  <si>
    <t xml:space="preserve">PH_Rule_SIGMA_2301</t>
  </si>
  <si>
    <t xml:space="preserve">Windows: Dllhost.EXE Execution Anomaly</t>
  </si>
  <si>
    <t xml:space="preserve">https://filestore.fortinet.com/docs.fortinet.com/fsiem/Public_Resource_Access/7_6_0/rules/PH_RULE_Dllhost_EXE_Execution_Anomaly.htm</t>
  </si>
  <si>
    <t xml:space="preserve">PH_Rule_SIGMA_1435</t>
  </si>
  <si>
    <t xml:space="preserve">Windows: DllUnregisterServer Function Call Via Msiexec.EXE</t>
  </si>
  <si>
    <t xml:space="preserve">https://filestore.fortinet.com/docs.fortinet.com/fsiem/Public_Resource_Access/7_6_0/rules/PH_RULE_Suspicious_Msiexec_Load_DLL.htm</t>
  </si>
  <si>
    <t xml:space="preserve">PH_Rule_SIGMA_398</t>
  </si>
  <si>
    <t xml:space="preserve">Windows: DNS Exfiltration and Tunneling Tools Execution</t>
  </si>
  <si>
    <t xml:space="preserve">https://filestore.fortinet.com/docs.fortinet.com/fsiem/Public_Resource_Access/7_6_0/rules/PH_RULE_DNS_Exfiltration_and_Tunneling_Tools_Execution.htm</t>
  </si>
  <si>
    <t xml:space="preserve">PH_Rule_SIGMA_825</t>
  </si>
  <si>
    <t xml:space="preserve">Windows: DNS HybridConnectionManager Service Bus</t>
  </si>
  <si>
    <t xml:space="preserve">https://filestore.fortinet.com/docs.fortinet.com/fsiem/Public_Resource_Access/7_6_0/rules/PH_RULE_DNS_HybridConnectionManager_Service_Bus.htm</t>
  </si>
  <si>
    <t xml:space="preserve">PH_Rule_windows_SIGMA_2913</t>
  </si>
  <si>
    <t xml:space="preserve">Windows: DNS Query by Finger Utility</t>
  </si>
  <si>
    <t xml:space="preserve">https://filestore.fortinet.com/docs.fortinet.com/fsiem/Public_Resource_Access/7_6_0/rules/PH_RULE_DNS_Query_by_Finger_Utility.htm</t>
  </si>
  <si>
    <t xml:space="preserve">PH_Rule_SIGMA_1820</t>
  </si>
  <si>
    <t xml:space="preserve">Windows: DNS Query for Anonfiles.com Domain - DNS Client</t>
  </si>
  <si>
    <t xml:space="preserve">Microsoft Windows DNS via Windows Collector</t>
  </si>
  <si>
    <t xml:space="preserve">https://filestore.fortinet.com/docs.fortinet.com/fsiem/Public_Resource_Access/7_6_0/rules/PH_RULE_DNS_Query_for_Anonfiles_com_Domain_DNS_Client.htm</t>
  </si>
  <si>
    <t xml:space="preserve">PH_Rule_SIGMA_1916</t>
  </si>
  <si>
    <t xml:space="preserve">Windows: DNS Query for Anonfiles.com Domain - Sysmon</t>
  </si>
  <si>
    <t xml:space="preserve">https://filestore.fortinet.com/docs.fortinet.com/fsiem/Public_Resource_Access/7_6_0/rules/PH_RULE_DNS_Query_for_Anonfiles_com_Domain_Sysmon.htm</t>
  </si>
  <si>
    <t xml:space="preserve">PH_Rule_SIGMA_829</t>
  </si>
  <si>
    <t xml:space="preserve">Windows: DNS Query for MEGA.io Upload Domain</t>
  </si>
  <si>
    <t xml:space="preserve">https://filestore.fortinet.com/docs.fortinet.com/fsiem/Public_Resource_Access/7_6_0/rules/PH_RULE_DNS_Query_for_MEGA_io_Upload_Domain.htm</t>
  </si>
  <si>
    <t xml:space="preserve">PH_Rule_SIGMA_1821</t>
  </si>
  <si>
    <t xml:space="preserve">Windows: DNS Query for Ufile.io Upload Domain - DNS Client</t>
  </si>
  <si>
    <t xml:space="preserve">https://filestore.fortinet.com/docs.fortinet.com/fsiem/Public_Resource_Access/7_6_0/rules/PH_RULE_DNS_Query_for_Ufile_io_Upload_Domain_DNS_Client.htm</t>
  </si>
  <si>
    <t xml:space="preserve">PH_Rule_SIGMA_1919</t>
  </si>
  <si>
    <t xml:space="preserve">Windows: DNS Query for Ufile.io Upload Domain - Sysmon</t>
  </si>
  <si>
    <t xml:space="preserve">https://filestore.fortinet.com/docs.fortinet.com/fsiem/Public_Resource_Access/7_6_0/rules/PH_RULE_DNS_Query_for_Ufile_io_Upload_Domain_Sysmon.htm</t>
  </si>
  <si>
    <t xml:space="preserve">PH_Rule_windows_SIGMA_2916</t>
  </si>
  <si>
    <t xml:space="preserve">Windows: DNS Query Request To OneLaunch Update Service</t>
  </si>
  <si>
    <t xml:space="preserve">https://filestore.fortinet.com/docs.fortinet.com/fsiem/Public_Resource_Access/7_6_0/rules/PH_RULE_DNS_Query_Request_To_OneLaunch_Update_Service.htm</t>
  </si>
  <si>
    <t xml:space="preserve">PH_Rule_windows_SIGMA_2912</t>
  </si>
  <si>
    <t xml:space="preserve">Windows: DNS Query To AzureWebsites.NET By Non-Browser Process</t>
  </si>
  <si>
    <t xml:space="preserve">https://filestore.fortinet.com/docs.fortinet.com/fsiem/Public_Resource_Access/7_6_0/rules/PH_RULE_DNS_Query_To_AzureWebsites_NET_By_Non_Browser_Process.htm</t>
  </si>
  <si>
    <t xml:space="preserve">PH_Rule_windows_SIGMA_2909</t>
  </si>
  <si>
    <t xml:space="preserve">Windows: DNS Query To Common Malware Hosting and Shortener Services</t>
  </si>
  <si>
    <t xml:space="preserve">https://filestore.fortinet.com/docs.fortinet.com/fsiem/Public_Resource_Access/7_6_0/rules/PH_RULE_DNS_Query_To_Common_Malware_Hosting_and_Shortener_Services.htm</t>
  </si>
  <si>
    <t xml:space="preserve">PH_Rule_windows_SIGMA_2910</t>
  </si>
  <si>
    <t xml:space="preserve">Windows: DNS Query To Devtunnels Domain</t>
  </si>
  <si>
    <t xml:space="preserve">https://filestore.fortinet.com/docs.fortinet.com/fsiem/Public_Resource_Access/7_6_0/rules/PH_RULE_DNS_Query_To_Devtunnels_Domain.htm</t>
  </si>
  <si>
    <t xml:space="preserve">PH_Rule_windows_SIGMA_2799</t>
  </si>
  <si>
    <t xml:space="preserve">Windows: DNS Query To MEGA Hosting Website - DNS Client</t>
  </si>
  <si>
    <t xml:space="preserve">Microsoft Windows DNS via Windows Collector [Corrected: Fortinet docs label this rule "CyberArk Enterprise Password Vault via Syslog"; source derived from its event types]</t>
  </si>
  <si>
    <t xml:space="preserve">https://filestore.fortinet.com/docs.fortinet.com/fsiem/Public_Resource_Access/7_6_0/rules/PH_RULE_DNS_Query_To_MEGA_Hosting_Website_DNS_Client.htm</t>
  </si>
  <si>
    <t xml:space="preserve">PH_Rule_windows_SIGMA_2800</t>
  </si>
  <si>
    <t xml:space="preserve">Windows: DNS Query To Put.io - DNS Client</t>
  </si>
  <si>
    <t xml:space="preserve">https://filestore.fortinet.com/docs.fortinet.com/fsiem/Public_Resource_Access/7_6_0/rules/PH_RULE_DNS_Query_To_Put_io_DNS_Client.htm</t>
  </si>
  <si>
    <t xml:space="preserve">PH_Rule_windows_SIGMA_2919</t>
  </si>
  <si>
    <t xml:space="preserve">Windows: DNS Query To Visual Studio Code Tunnels Domain</t>
  </si>
  <si>
    <t xml:space="preserve">https://filestore.fortinet.com/docs.fortinet.com/fsiem/Public_Resource_Access/7_6_0/rules/PH_RULE_DNS_Query_To_Visual_Studio_Code_Tunnels_Domain.htm</t>
  </si>
  <si>
    <t xml:space="preserve">PH_Rule_SIGMA_833</t>
  </si>
  <si>
    <t xml:space="preserve">Windows: DNS Query Tor .Onion Address - Sysmon</t>
  </si>
  <si>
    <t xml:space="preserve">https://filestore.fortinet.com/docs.fortinet.com/fsiem/Public_Resource_Access/7_6_0/rules/PH_RULE_Query_Tor_Onion_Address.htm</t>
  </si>
  <si>
    <t xml:space="preserve">PH_Rule_windows_SIGMA_2803</t>
  </si>
  <si>
    <t xml:space="preserve">Windows: DNS Server Error Failed Loading the ServerLevelPluginDLL</t>
  </si>
  <si>
    <t xml:space="preserve">https://filestore.fortinet.com/docs.fortinet.com/fsiem/Public_Resource_Access/7_6_0/rules/PH_RULE_DNS_Server_Error_Failed_Loading_the_ServerLevelPluginDLL.htm</t>
  </si>
  <si>
    <t xml:space="preserve">PH_Rule_windows_SIGMA_3687</t>
  </si>
  <si>
    <t xml:space="preserve">Windows: DNS-over-HTTPS Enabled by Registry</t>
  </si>
  <si>
    <t xml:space="preserve">https://filestore.fortinet.com/docs.fortinet.com/fsiem/Public_Resource_Access/7_6_0/rules/PH_RULE_DNS_over_HTTPS_Enabled_by_Registry.htm</t>
  </si>
  <si>
    <t xml:space="preserve">PH_Rule_SIGMA_335</t>
  </si>
  <si>
    <t xml:space="preserve">Windows: DotNET Assembly DLL Loaded Via Office Application</t>
  </si>
  <si>
    <t xml:space="preserve">https://filestore.fortinet.com/docs.fortinet.com/fsiem/Public_Resource_Access/7_6_0/rules/PH_RULE_dotNET_DLL_Loaded_Via_Office_Applications.htm</t>
  </si>
  <si>
    <t xml:space="preserve">PH_Rule_SIGMA_1260</t>
  </si>
  <si>
    <t xml:space="preserve">Windows: DotNet CLR DLL Loaded By Scripting Applications</t>
  </si>
  <si>
    <t xml:space="preserve">https://filestore.fortinet.com/docs.fortinet.com/fsiem/Public_Resource_Access/7_6_0/rules/PH_RULE_CLR_DLL_Loaded_Via_Scripting_Applications.htm</t>
  </si>
  <si>
    <t xml:space="preserve">PH_Rule_SIGMA_1771</t>
  </si>
  <si>
    <t xml:space="preserve">Windows: Download a File with IMEWDBLD.exe</t>
  </si>
  <si>
    <t xml:space="preserve">https://filestore.fortinet.com/docs.fortinet.com/fsiem/Public_Resource_Access/7_6_0/rules/PH_RULE_Download_a_File_with_IMEWDBLD_exe.htm</t>
  </si>
  <si>
    <t xml:space="preserve">PH_Rule_SIGMA_2370</t>
  </si>
  <si>
    <t xml:space="preserve">Windows: Download Arbitrary Files Via MSOHTMED.EXE</t>
  </si>
  <si>
    <t xml:space="preserve">https://filestore.fortinet.com/docs.fortinet.com/fsiem/Public_Resource_Access/7_6_0/rules/PH_RULE_Download_Arbitrary_Files_Via_MSOHTMED_EXE.htm</t>
  </si>
  <si>
    <t xml:space="preserve">PH_Rule_SIGMA_2374</t>
  </si>
  <si>
    <t xml:space="preserve">Windows: Download Arbitrary Files Via PresentationHost.exe</t>
  </si>
  <si>
    <t xml:space="preserve">https://filestore.fortinet.com/docs.fortinet.com/fsiem/Public_Resource_Access/7_6_0/rules/PH_RULE_Download_Arbitrary_Files_Via_PresentationHost_exe.htm</t>
  </si>
  <si>
    <t xml:space="preserve">PH_Rule_SIGMA_1570</t>
  </si>
  <si>
    <t xml:space="preserve">Windows: Download Files Using Notepad GUP Utility</t>
  </si>
  <si>
    <t xml:space="preserve">https://filestore.fortinet.com/docs.fortinet.com/fsiem/Public_Resource_Access/7_6_0/rules/PH_RULE_Download_Files_Using_Notepad_GUP_Utility.htm</t>
  </si>
  <si>
    <t xml:space="preserve">PH_Rule_windows_SIGMA_3707</t>
  </si>
  <si>
    <t xml:space="preserve">Windows: Driver Added To Disallowed Images In HVCI - Registry</t>
  </si>
  <si>
    <t xml:space="preserve">https://filestore.fortinet.com/docs.fortinet.com/fsiem/Public_Resource_Access/7_6_0/rules/PH_RULE_Driver_Added_To_Disallowed_Images_In_HVCI_Registry.htm</t>
  </si>
  <si>
    <t xml:space="preserve">PH_Rule_windows_SIGMA_3413</t>
  </si>
  <si>
    <t xml:space="preserve">Windows: Driver/DLL Installation Via Odbcconf.EXE</t>
  </si>
  <si>
    <t xml:space="preserve">https://filestore.fortinet.com/docs.fortinet.com/fsiem/Public_Resource_Access/7_6_0/rules/PH_RULE_Driver_DLL_Installation_Via_Odbcconf_EXE.htm</t>
  </si>
  <si>
    <t xml:space="preserve">PH_Rule_SIGMA_2305</t>
  </si>
  <si>
    <t xml:space="preserve">Windows: DriverQuery.EXE Execution</t>
  </si>
  <si>
    <t xml:space="preserve">https://filestore.fortinet.com/docs.fortinet.com/fsiem/Public_Resource_Access/7_6_0/rules/PH_RULE_DriverQuery_EXE_Execution.htm</t>
  </si>
  <si>
    <t xml:space="preserve">PH_Rule_SIGMA_1994</t>
  </si>
  <si>
    <t xml:space="preserve">Windows: Drop Binaries Into Spool Drivers Color Folder</t>
  </si>
  <si>
    <t xml:space="preserve">https://filestore.fortinet.com/docs.fortinet.com/fsiem/Public_Resource_Access/7_6_0/rules/PH_RULE_Drop_Binaries_Into_Spool_Drivers_Color_Folder.htm</t>
  </si>
  <si>
    <t xml:space="preserve">PH_Rule_windows_SIGMA_3153</t>
  </si>
  <si>
    <t xml:space="preserve">Windows: Dump Credentials from Windows Credential Manager With PowerShell</t>
  </si>
  <si>
    <t xml:space="preserve">https://filestore.fortinet.com/docs.fortinet.com/fsiem/Public_Resource_Access/7_6_0/rules/PH_RULE_Dump_Credentials_from_Windows_Credential_Manager_With_PowerShell.htm</t>
  </si>
  <si>
    <t xml:space="preserve">PH_Rule_SIGMA_1315</t>
  </si>
  <si>
    <t xml:space="preserve">Windows: DumpStack.log Defender Evasion</t>
  </si>
  <si>
    <t xml:space="preserve">https://filestore.fortinet.com/docs.fortinet.com/fsiem/Public_Resource_Access/7_6_0/rules/PH_RULE_DumpStack_log_Defender_Evasion.htm</t>
  </si>
  <si>
    <t xml:space="preserve">PH_Rule_windows_SIGMA_3332</t>
  </si>
  <si>
    <t xml:space="preserve">Windows: Dynamic .NET Compilation Via Csc.EXE</t>
  </si>
  <si>
    <t xml:space="preserve">https://filestore.fortinet.com/docs.fortinet.com/fsiem/Public_Resource_Access/7_6_0/rules/PH_RULE_Dynamic_NET_Compilation_Via_Csc_EXE.htm</t>
  </si>
  <si>
    <t xml:space="preserve">PH_Rule_SIGMA_886</t>
  </si>
  <si>
    <t xml:space="preserve">Windows: Dynamic C Sharp Compile Artefact</t>
  </si>
  <si>
    <t xml:space="preserve">https://filestore.fortinet.com/docs.fortinet.com/fsiem/Public_Resource_Access/7_6_0/rules/PH_RULE_Dynamic_C_Sharp_Compile_Artefact.htm</t>
  </si>
  <si>
    <t xml:space="preserve">PH_Rule_windows_SIGMA_3535</t>
  </si>
  <si>
    <t xml:space="preserve">Windows: Elevated System Shell Spawned From Uncommon Parent Location</t>
  </si>
  <si>
    <t xml:space="preserve">https://filestore.fortinet.com/docs.fortinet.com/fsiem/Public_Resource_Access/7_6_0/rules/PH_RULE_Elevated_System_Shell_Spawned_From_Uncommon_Parent_Location.htm</t>
  </si>
  <si>
    <t xml:space="preserve">PH_Rule_SIGMA_2434</t>
  </si>
  <si>
    <t xml:space="preserve">Windows: Email Exifiltration Via Powershell</t>
  </si>
  <si>
    <t xml:space="preserve">https://filestore.fortinet.com/docs.fortinet.com/fsiem/Public_Resource_Access/7_6_0/rules/PH_RULE_Email_Exifiltration_Via_Powershell.htm</t>
  </si>
  <si>
    <t xml:space="preserve">PH_Rule_windows_SIGMA_3824</t>
  </si>
  <si>
    <t xml:space="preserve">Windows: Enable Local Manifest Installation With Winget</t>
  </si>
  <si>
    <t xml:space="preserve">https://filestore.fortinet.com/docs.fortinet.com/fsiem/Public_Resource_Access/7_6_0/rules/PH_RULE_Enable_Local_Manifest_Installation_With_Winget.htm</t>
  </si>
  <si>
    <t xml:space="preserve">PH_Rule_windows_SIGMA_3727</t>
  </si>
  <si>
    <t xml:space="preserve">Windows: Enable Microsoft Dynamic Data Exchange</t>
  </si>
  <si>
    <t xml:space="preserve">https://filestore.fortinet.com/docs.fortinet.com/fsiem/Public_Resource_Access/7_6_0/rules/PH_RULE_Enable_Microsoft_Dynamic_Data_Exchange.htm</t>
  </si>
  <si>
    <t xml:space="preserve">PH_Rule_windows_SIGMA_3623</t>
  </si>
  <si>
    <t xml:space="preserve">Windows: Enable Remote Connection Between Anonymous Computer - AllowAnonymousCallback</t>
  </si>
  <si>
    <t xml:space="preserve">https://filestore.fortinet.com/docs.fortinet.com/fsiem/Public_Resource_Access/7_6_0/rules/PH_RULE_Enable_Remote_Connection_Between_Anonymous_Computer_AllowAnonymousCallback.htm</t>
  </si>
  <si>
    <t xml:space="preserve">PH_Rule_windows_SIGMA_3693</t>
  </si>
  <si>
    <t xml:space="preserve">Windows: Enabling COR Profiler Environment Variables</t>
  </si>
  <si>
    <t xml:space="preserve">https://filestore.fortinet.com/docs.fortinet.com/fsiem/Public_Resource_Access/7_6_0/rules/PH_RULE_Enabling_COR_Profiler_Environment_Variables.htm</t>
  </si>
  <si>
    <t xml:space="preserve">PH_Rule_windows_SIGMA_3591</t>
  </si>
  <si>
    <t xml:space="preserve">Windows: Enumerate All Information With Whoami.EXE</t>
  </si>
  <si>
    <t xml:space="preserve">https://filestore.fortinet.com/docs.fortinet.com/fsiem/Public_Resource_Access/7_6_0/rules/PH_RULE_Enumerate_All_Information_With_Whoami_EXE.htm</t>
  </si>
  <si>
    <t xml:space="preserve">PH_Rule_windows_SIGMA_3156</t>
  </si>
  <si>
    <t xml:space="preserve">Windows: Enumerate Credentials from Windows Credential Manager With PowerShell</t>
  </si>
  <si>
    <t xml:space="preserve">https://filestore.fortinet.com/docs.fortinet.com/fsiem/Public_Resource_Access/7_6_0/rules/PH_RULE_Enumerate_Credentials_from_Windows_Credential_Manager_With_PowerShell.htm</t>
  </si>
  <si>
    <t xml:space="preserve">PH_Rule_SIGMA_1769</t>
  </si>
  <si>
    <t xml:space="preserve">Windows: Equation Editor Network Connection</t>
  </si>
  <si>
    <t xml:space="preserve">https://filestore.fortinet.com/docs.fortinet.com/fsiem/Public_Resource_Access/7_6_0/rules/PH_RULE_Equation_Editor_Network_Connection.htm</t>
  </si>
  <si>
    <t xml:space="preserve">PH_Rule_windows_SIGMA_3779</t>
  </si>
  <si>
    <t xml:space="preserve">Windows: ETW Logging Disabled For rpcrt4.dll</t>
  </si>
  <si>
    <t xml:space="preserve">https://filestore.fortinet.com/docs.fortinet.com/fsiem/Public_Resource_Access/7_6_0/rules/PH_RULE_ETW_Logging_Disabled_For_rpcrt4_dll.htm</t>
  </si>
  <si>
    <t xml:space="preserve">PH_Rule_windows_SIGMA_3784</t>
  </si>
  <si>
    <t xml:space="preserve">Windows: ETW Logging Disabled For SCM</t>
  </si>
  <si>
    <t xml:space="preserve">https://filestore.fortinet.com/docs.fortinet.com/fsiem/Public_Resource_Access/7_6_0/rules/PH_RULE_ETW_Logging_Disabled_For_SCM.htm</t>
  </si>
  <si>
    <t xml:space="preserve">Microsoft Windows Security Log via OMI or Windows Collector [Corrected: Fortinet docs label this rule "CyberArk Enterprise Password Vault via Syslog"; source derived from its event types]</t>
  </si>
  <si>
    <t xml:space="preserve">PH_Rule_windows_SIGMA_3689</t>
  </si>
  <si>
    <t xml:space="preserve">Windows: ETW Logging Disabled In .NET Processes - Sysmon Registry</t>
  </si>
  <si>
    <t xml:space="preserve">https://filestore.fortinet.com/docs.fortinet.com/fsiem/Public_Resource_Access/7_6_0/rules/PH_RULE_ETW_Logging_Disabled_In_NET_Processes_Sysmon_Registry.htm</t>
  </si>
  <si>
    <t xml:space="preserve">PH_Rule_SIGMA_403</t>
  </si>
  <si>
    <t xml:space="preserve">Windows: ETW Logging Tamper In .NET Processes</t>
  </si>
  <si>
    <t xml:space="preserve">https://filestore.fortinet.com/docs.fortinet.com/fsiem/Public_Resource_Access/7_6_0/rules/PH_RULE_COMPlus_ETWEnabled_Command_Line_Arguments.htm</t>
  </si>
  <si>
    <t xml:space="preserve">PH_Rule_windows_SIGMA_2806</t>
  </si>
  <si>
    <t xml:space="preserve">Windows: ETW Logging/Processing Option Disabled On IIS Server</t>
  </si>
  <si>
    <t xml:space="preserve">https://filestore.fortinet.com/docs.fortinet.com/fsiem/Public_Resource_Access/7_6_0/rules/PH_RULE_ETW_Logging_Processing_Option_Disabled_On_IIS_Server.htm</t>
  </si>
  <si>
    <t xml:space="preserve">PH_Rule_SIGMA_73</t>
  </si>
  <si>
    <t xml:space="preserve">Windows: Eventlog Cleared</t>
  </si>
  <si>
    <t xml:space="preserve">https://filestore.fortinet.com/docs.fortinet.com/fsiem/Public_Resource_Access/7_6_0/rules/PH_RULE_Eventlog_Cleared.htm</t>
  </si>
  <si>
    <t xml:space="preserve">PH_Rule_windows_SIGMA_2933</t>
  </si>
  <si>
    <t xml:space="preserve">Windows: EventLog EVTX File Deleted</t>
  </si>
  <si>
    <t xml:space="preserve">https://filestore.fortinet.com/docs.fortinet.com/fsiem/Public_Resource_Access/7_6_0/rules/PH_RULE_EventLog_EVTX_File_Deleted.htm</t>
  </si>
  <si>
    <t xml:space="preserve">PH_Rule_SIGMA_1950</t>
  </si>
  <si>
    <t xml:space="preserve">Windows: EVTX Created In Uncommon Location</t>
  </si>
  <si>
    <t xml:space="preserve">https://filestore.fortinet.com/docs.fortinet.com/fsiem/Public_Resource_Access/7_6_0/rules/PH_RULE_EVTX_Created_In_Uncommon_Location.htm</t>
  </si>
  <si>
    <t xml:space="preserve">PH_Rule_windows_SIGMA_2934</t>
  </si>
  <si>
    <t xml:space="preserve">Windows: Exchange PowerShell Cmdlet History Deleted</t>
  </si>
  <si>
    <t xml:space="preserve">https://filestore.fortinet.com/docs.fortinet.com/fsiem/Public_Resource_Access/7_6_0/rules/PH_RULE_Exchange_PowerShell_Cmdlet_History_Deleted.htm</t>
  </si>
  <si>
    <t xml:space="preserve">PH_Rule_SIGMA_1742</t>
  </si>
  <si>
    <t xml:space="preserve">Windows: Exchange PowerShell Snap-Ins Usage</t>
  </si>
  <si>
    <t xml:space="preserve">https://filestore.fortinet.com/docs.fortinet.com/fsiem/Public_Resource_Access/7_6_0/rules/PH_RULE_Exchange_PowerShell_Snap_Ins_Used_by_HAFNIUM.htm</t>
  </si>
  <si>
    <t xml:space="preserve">PH_Rule_windows_SIGMA_2814</t>
  </si>
  <si>
    <t xml:space="preserve">Windows: Exchange Set OabVirtualDirectory ExternalUrl Property</t>
  </si>
  <si>
    <t xml:space="preserve">https://filestore.fortinet.com/docs.fortinet.com/fsiem/Public_Resource_Access/7_6_0/rules/PH_RULE_Exchange_Set_OabVirtualDirectory_ExternalUrl_Property.htm</t>
  </si>
  <si>
    <t xml:space="preserve">PH_Rule_SIGMA_1431</t>
  </si>
  <si>
    <t xml:space="preserve">Windows: Execute Arbitrary Commands Using MSDT.EXE: V1</t>
  </si>
  <si>
    <t xml:space="preserve">https://filestore.fortinet.com/docs.fortinet.com/fsiem/Public_Resource_Access/7_6_0/rules/PH_RULE_Execute_Arbitrary_Commands_Using_MSDT_EXE_V1.htm</t>
  </si>
  <si>
    <t xml:space="preserve">PH_Rule_SIGMA_1593</t>
  </si>
  <si>
    <t xml:space="preserve">Windows: Execute Code with Pester.bat</t>
  </si>
  <si>
    <t xml:space="preserve">https://filestore.fortinet.com/docs.fortinet.com/fsiem/Public_Resource_Access/7_6_0/rules/PH_RULE_Execute_Code_with_Pester_bat.htm</t>
  </si>
  <si>
    <t xml:space="preserve">PH_Rule_windows_SIGMA_3396</t>
  </si>
  <si>
    <t xml:space="preserve">Windows: Execute Code with Pester.bat as Parent</t>
  </si>
  <si>
    <t xml:space="preserve">https://filestore.fortinet.com/docs.fortinet.com/fsiem/Public_Resource_Access/7_6_0/rules/PH_RULE_Execute_Code_with_Pester_bat_as_Parent.htm</t>
  </si>
  <si>
    <t xml:space="preserve">PH_Rule_SIGMA_1430</t>
  </si>
  <si>
    <t xml:space="preserve">Windows: Execute Files with Msdeploy.exe</t>
  </si>
  <si>
    <t xml:space="preserve">https://filestore.fortinet.com/docs.fortinet.com/fsiem/Public_Resource_Access/7_6_0/rules/PH_RULE_Execute_Files_with_Msdeploy_exe.htm</t>
  </si>
  <si>
    <t xml:space="preserve">PH_Rule_SIGMA_1749</t>
  </si>
  <si>
    <t xml:space="preserve">Windows: Execute From Alternate Data Streams</t>
  </si>
  <si>
    <t xml:space="preserve">https://filestore.fortinet.com/docs.fortinet.com/fsiem/Public_Resource_Access/7_6_0/rules/PH_RULE_Execute_From_Alternate_Data_Streams.htm</t>
  </si>
  <si>
    <t xml:space="preserve">PH_Rule_SIGMA_1387</t>
  </si>
  <si>
    <t xml:space="preserve">Windows: Execute Pcwrun.EXE To Leverage Follina</t>
  </si>
  <si>
    <t xml:space="preserve">https://filestore.fortinet.com/docs.fortinet.com/fsiem/Public_Resource_Access/7_6_0/rules/PH_RULE_Execute_Pcwrun_EXE_To_Leverage_Follina.htm</t>
  </si>
  <si>
    <t xml:space="preserve">PH_Rule_windows_SIGMA_3820</t>
  </si>
  <si>
    <t xml:space="preserve">Windows: Execution DLL of Choice Using WAB.EXE</t>
  </si>
  <si>
    <t xml:space="preserve">https://filestore.fortinet.com/docs.fortinet.com/fsiem/Public_Resource_Access/7_6_0/rules/PH_RULE_Execution_DLL_of_Choice_Using_WAB_EXE.htm</t>
  </si>
  <si>
    <t xml:space="preserve">PH_Rule_SIGMA_573</t>
  </si>
  <si>
    <t xml:space="preserve">Windows: Execution in Outlook Temp Folder</t>
  </si>
  <si>
    <t xml:space="preserve">https://filestore.fortinet.com/docs.fortinet.com/fsiem/Public_Resource_Access/7_6_0/rules/PH_RULE_Execution_in_Outlook_Temp_Folder.htm</t>
  </si>
  <si>
    <t xml:space="preserve">PH_Rule_SIGMA_1573</t>
  </si>
  <si>
    <t xml:space="preserve">Windows: Execution Of Non-Existing File</t>
  </si>
  <si>
    <t xml:space="preserve">https://filestore.fortinet.com/docs.fortinet.com/fsiem/Public_Resource_Access/7_6_0/rules/PH_RULE_Execution_Of_Non_Existing_File.htm</t>
  </si>
  <si>
    <t xml:space="preserve">PH_Rule_SIGMA_1461</t>
  </si>
  <si>
    <t xml:space="preserve">Windows: Execution of Powershell Script in Public Folder</t>
  </si>
  <si>
    <t xml:space="preserve">https://filestore.fortinet.com/docs.fortinet.com/fsiem/Public_Resource_Access/7_6_0/rules/PH_RULE_Execution_of_Powershell_Script_in_Public_Folder.htm</t>
  </si>
  <si>
    <t xml:space="preserve">PH_Rule_SIGMA_1586</t>
  </si>
  <si>
    <t xml:space="preserve">Windows: Execution of Suspicious File Type Extension</t>
  </si>
  <si>
    <t xml:space="preserve">https://filestore.fortinet.com/docs.fortinet.com/fsiem/Public_Resource_Access/7_6_0/rules/PH_RULE_Execution_of_Suspicious_File_Type_Extension.htm</t>
  </si>
  <si>
    <t xml:space="preserve">PH_Rule_SIGMA_1523</t>
  </si>
  <si>
    <t xml:space="preserve">Windows: Execution via stordiag.exe</t>
  </si>
  <si>
    <t xml:space="preserve">https://filestore.fortinet.com/docs.fortinet.com/fsiem/Public_Resource_Access/7_6_0/rules/PH_RULE_Execution_via_stordiag_exe.htm</t>
  </si>
  <si>
    <t xml:space="preserve">PH_Rule_SIGMA_1695</t>
  </si>
  <si>
    <t xml:space="preserve">Windows: Execution via WorkFolders.exe</t>
  </si>
  <si>
    <t xml:space="preserve">https://filestore.fortinet.com/docs.fortinet.com/fsiem/Public_Resource_Access/7_6_0/rules/PH_RULE_Execution_via_WorkFolders_exe.htm</t>
  </si>
  <si>
    <t xml:space="preserve">PH_Rule_SIGMA_2308</t>
  </si>
  <si>
    <t xml:space="preserve">Windows: Explorer Process Tree Break</t>
  </si>
  <si>
    <t xml:space="preserve">https://filestore.fortinet.com/docs.fortinet.com/fsiem/Public_Resource_Access/7_6_0/rules/PH_RULE_Explorer_Process_Tree_Break.htm</t>
  </si>
  <si>
    <t xml:space="preserve">PH_Rule_SIGMA_1484</t>
  </si>
  <si>
    <t xml:space="preserve">Windows: Exports Critical Registry Keys To a File</t>
  </si>
  <si>
    <t xml:space="preserve">https://filestore.fortinet.com/docs.fortinet.com/fsiem/Public_Resource_Access/7_6_0/rules/PH_RULE_Exports_Critical_Registry_Keys_To_a_File.htm</t>
  </si>
  <si>
    <t xml:space="preserve">PH_Rule_SIGMA_1485</t>
  </si>
  <si>
    <t xml:space="preserve">Windows: Exports Registry Key To a File</t>
  </si>
  <si>
    <t xml:space="preserve">https://filestore.fortinet.com/docs.fortinet.com/fsiem/Public_Resource_Access/7_6_0/rules/PH_RULE_Exports_Registry_Key_To_a_File.htm</t>
  </si>
  <si>
    <t xml:space="preserve">PH_Rule_windows_SIGMA_2904</t>
  </si>
  <si>
    <t xml:space="preserve">Windows: Exports Registry Key To an Alternate Data Stream</t>
  </si>
  <si>
    <t xml:space="preserve">https://filestore.fortinet.com/docs.fortinet.com/fsiem/Public_Resource_Access/7_6_0/rules/PH_RULE_Exports_Registry_Key_To_an_Alternate_Data_Stream.htm</t>
  </si>
  <si>
    <t xml:space="preserve">PH_Rule_SIGMA_1286</t>
  </si>
  <si>
    <t xml:space="preserve">Windows: F-Secure C3 Load by Rundll32</t>
  </si>
  <si>
    <t xml:space="preserve">https://filestore.fortinet.com/docs.fortinet.com/fsiem/Public_Resource_Access/7_6_0/rules/PH_RULE_F_Secure_C3_Load_by_Rundll32.htm</t>
  </si>
  <si>
    <t xml:space="preserve">PH_Rule_windows_SIGMA_2802</t>
  </si>
  <si>
    <t xml:space="preserve">Windows: Failed DNS Zone Transfer</t>
  </si>
  <si>
    <t xml:space="preserve">https://filestore.fortinet.com/docs.fortinet.com/fsiem/Public_Resource_Access/7_6_0/rules/PH_RULE_Failed_DNS_Zone_Transfer.htm</t>
  </si>
  <si>
    <t xml:space="preserve">PH_Rule_SIGMA_1832</t>
  </si>
  <si>
    <t xml:space="preserve">Windows: Failed MSExchange Transport Agent Installation</t>
  </si>
  <si>
    <t xml:space="preserve">Microsoft Windows MSExchange Management Logs via Windows Collector</t>
  </si>
  <si>
    <t xml:space="preserve">https://filestore.fortinet.com/docs.fortinet.com/fsiem/Public_Resource_Access/7_6_0/rules/PH_RULE_Failed_MSExchange_Transport_Agent_Installation.htm</t>
  </si>
  <si>
    <t xml:space="preserve">PH_Rule_SIGMA_333</t>
  </si>
  <si>
    <t xml:space="preserve">Windows: Fax Service DLL Search Order Hijack</t>
  </si>
  <si>
    <t xml:space="preserve">https://filestore.fortinet.com/docs.fortinet.com/fsiem/Public_Resource_Access/7_6_0/rules/PH_RULE_Fax_Service_DLL_Search_Order_Hijack.htm</t>
  </si>
  <si>
    <t xml:space="preserve">PH_Rule_SIGMA_1553</t>
  </si>
  <si>
    <t xml:space="preserve">Windows: File And SubFolder Enumeration Via Dir Command</t>
  </si>
  <si>
    <t xml:space="preserve">https://filestore.fortinet.com/docs.fortinet.com/fsiem/Public_Resource_Access/7_6_0/rules/PH_RULE_Suspicious_DIR_Execution.htm</t>
  </si>
  <si>
    <t xml:space="preserve">PH_Rule_SIGMA_1969</t>
  </si>
  <si>
    <t xml:space="preserve">Windows: File Creation In Suspicious Directory By Msdt.EXE</t>
  </si>
  <si>
    <t xml:space="preserve">https://filestore.fortinet.com/docs.fortinet.com/fsiem/Public_Resource_Access/7_6_0/rules/PH_RULE_File_Creation_In_Suspicious_Directory_By_Msdt_EXE.htm</t>
  </si>
  <si>
    <t xml:space="preserve">PH_Rule_windows_SIGMA_3363</t>
  </si>
  <si>
    <t xml:space="preserve">Windows: File Decryption Using Gpg4win</t>
  </si>
  <si>
    <t xml:space="preserve">https://filestore.fortinet.com/docs.fortinet.com/fsiem/Public_Resource_Access/7_6_0/rules/PH_RULE_File_Decryption_Using_Gpg4win.htm</t>
  </si>
  <si>
    <t xml:space="preserve">PH_Rule_windows_SIGMA_2941</t>
  </si>
  <si>
    <t xml:space="preserve">Windows: File Deleted Via Sysinternals SDelete</t>
  </si>
  <si>
    <t xml:space="preserve">https://filestore.fortinet.com/docs.fortinet.com/fsiem/Public_Resource_Access/7_6_0/rules/PH_RULE_File_Deleted_Via_Sysinternals_SDelete.htm</t>
  </si>
  <si>
    <t xml:space="preserve">PH_Rule_SIGMA_1551</t>
  </si>
  <si>
    <t xml:space="preserve">Windows: File Deletion Via Del</t>
  </si>
  <si>
    <t xml:space="preserve">https://filestore.fortinet.com/docs.fortinet.com/fsiem/Public_Resource_Access/7_6_0/rules/PH_RULE_Suspicious_Del_in_CommandLine.htm</t>
  </si>
  <si>
    <t xml:space="preserve">PH_Rule_windows_SIGMA_3316</t>
  </si>
  <si>
    <t xml:space="preserve">Windows: File Download From Browser Process Via Inline URL</t>
  </si>
  <si>
    <t xml:space="preserve">https://filestore.fortinet.com/docs.fortinet.com/fsiem/Public_Resource_Access/7_6_0/rules/PH_RULE_File_Download_From_Browser_Process_Via_Inline_URL.htm</t>
  </si>
  <si>
    <t xml:space="preserve">PH_Rule_windows_SIGMA_3317</t>
  </si>
  <si>
    <t xml:space="preserve">Windows: File Download From IP Based URL Via CertOC.EXE</t>
  </si>
  <si>
    <t xml:space="preserve">https://filestore.fortinet.com/docs.fortinet.com/fsiem/Public_Resource_Access/7_6_0/rules/PH_RULE_File_Download_From_IP_Based_URL_Via_CertOC_EXE.htm</t>
  </si>
  <si>
    <t xml:space="preserve">PH_Rule_windows_SIGMA_3335</t>
  </si>
  <si>
    <t xml:space="preserve">Windows: File Download From IP URL Via Curl.EXE</t>
  </si>
  <si>
    <t xml:space="preserve">https://filestore.fortinet.com/docs.fortinet.com/fsiem/Public_Resource_Access/7_6_0/rules/PH_RULE_File_Download_From_IP_URL_Via_Curl_EXE.htm</t>
  </si>
  <si>
    <t xml:space="preserve">PH_Rule_SIGMA_1469</t>
  </si>
  <si>
    <t xml:space="preserve">Windows: File Download Using ProtocolHandler.exe</t>
  </si>
  <si>
    <t xml:space="preserve">https://filestore.fortinet.com/docs.fortinet.com/fsiem/Public_Resource_Access/7_6_0/rules/PH_RULE_ProtocolHandler_exe_Downloaded_Suspicious_File.htm</t>
  </si>
  <si>
    <t xml:space="preserve">PH_Rule_SIGMA_491</t>
  </si>
  <si>
    <t xml:space="preserve">Windows: File Download Via Bitsadmin</t>
  </si>
  <si>
    <t xml:space="preserve">https://filestore.fortinet.com/docs.fortinet.com/fsiem/Public_Resource_Access/7_6_0/rules/PH_RULE_Bitsadmin_Download.htm</t>
  </si>
  <si>
    <t xml:space="preserve">PH_Rule_SIGMA_2264</t>
  </si>
  <si>
    <t xml:space="preserve">Windows: File Download Via Bitsadmin To A Suspicious Target Folder</t>
  </si>
  <si>
    <t xml:space="preserve">https://filestore.fortinet.com/docs.fortinet.com/fsiem/Public_Resource_Access/7_6_0/rules/PH_RULE_File_Download_Via_Bitsadmin_To_A_Suspicious_Target_Folder.htm</t>
  </si>
  <si>
    <t xml:space="preserve">PH_Rule_SIGMA_1358</t>
  </si>
  <si>
    <t xml:space="preserve">Windows: File Download via CertOC.EXE</t>
  </si>
  <si>
    <t xml:space="preserve">https://filestore.fortinet.com/docs.fortinet.com/fsiem/Public_Resource_Access/7_6_0/rules/PH_RULE_Suspicious_File_Download_via_CertOC_exe.htm</t>
  </si>
  <si>
    <t xml:space="preserve">PH_Rule_SIGMA_563</t>
  </si>
  <si>
    <t xml:space="preserve">Windows: File Download Via Windows Defender MpCmpRun.EXE</t>
  </si>
  <si>
    <t xml:space="preserve">https://filestore.fortinet.com/docs.fortinet.com/fsiem/Public_Resource_Access/7_6_0/rules/PH_RULE_Windows_Defender_Download_Activity.htm</t>
  </si>
  <si>
    <t xml:space="preserve">PH_Rule_SIGMA_1336</t>
  </si>
  <si>
    <t xml:space="preserve">Windows: File Download with Headless Browser</t>
  </si>
  <si>
    <t xml:space="preserve">https://filestore.fortinet.com/docs.fortinet.com/fsiem/Public_Resource_Access/7_6_0/rules/PH_RULE_File_Download_with_Headless_Browser.htm</t>
  </si>
  <si>
    <t xml:space="preserve">PH_Rule_windows_SIGMA_3364</t>
  </si>
  <si>
    <t xml:space="preserve">Windows: File Encryption Using Gpg4win</t>
  </si>
  <si>
    <t xml:space="preserve">https://filestore.fortinet.com/docs.fortinet.com/fsiem/Public_Resource_Access/7_6_0/rules/PH_RULE_File_Encryption_Using_Gpg4win.htm</t>
  </si>
  <si>
    <t xml:space="preserve">PH_Rule_windows_SIGMA_3366</t>
  </si>
  <si>
    <t xml:space="preserve">Windows: File Encryption/Decryption Via Gpg4win From Suspicious Locations</t>
  </si>
  <si>
    <t xml:space="preserve">https://filestore.fortinet.com/docs.fortinet.com/fsiem/Public_Resource_Access/7_6_0/rules/PH_RULE_File_Encryption_Decryption_Via_Gpg4win_From_Suspicious_Locations.htm</t>
  </si>
  <si>
    <t xml:space="preserve">PH_Rule_windows_SIGMA_3354</t>
  </si>
  <si>
    <t xml:space="preserve">Windows: File Explorer Folder Opened Using Explorer Folder Shortcut Via Shell</t>
  </si>
  <si>
    <t xml:space="preserve">https://filestore.fortinet.com/docs.fortinet.com/fsiem/Public_Resource_Access/7_6_0/rules/PH_RULE_File_Explorer_Folder_Opened_Using_Explorer_Folder_Shortcut_Via_Shell.htm</t>
  </si>
  <si>
    <t xml:space="preserve">PH_Rule_SIGMA_2263</t>
  </si>
  <si>
    <t xml:space="preserve">Windows: File With Suspicious Extension Downloaded Via Bitsadmin</t>
  </si>
  <si>
    <t xml:space="preserve">https://filestore.fortinet.com/docs.fortinet.com/fsiem/Public_Resource_Access/7_6_0/rules/PH_RULE_File_With_Suspicious_Extension_Downloaded_Via_Bitsadmin.htm</t>
  </si>
  <si>
    <t xml:space="preserve">PH_Rule_SIGMA_844</t>
  </si>
  <si>
    <t xml:space="preserve">Windows: File With Uncommon Extension Created By An Office Application</t>
  </si>
  <si>
    <t xml:space="preserve">https://filestore.fortinet.com/docs.fortinet.com/fsiem/Public_Resource_Access/7_6_0/rules/PH_RULE_Created_Files_by_Office_Applications.htm</t>
  </si>
  <si>
    <t xml:space="preserve">PH_Rule_windows_SIGMA_3700</t>
  </si>
  <si>
    <t xml:space="preserve">Windows: FileFix - Command Evidence in TypedPaths</t>
  </si>
  <si>
    <t xml:space="preserve">https://filestore.fortinet.com/docs.fortinet.com/fsiem/Public_Resource_Access/7_6_0/rules/PH_RULE_FileFix_Command_Evidence_in_TypedPaths.htm</t>
  </si>
  <si>
    <t xml:space="preserve">PH_Rule_windows_SIGMA_2950</t>
  </si>
  <si>
    <t xml:space="preserve">Windows: Files With System DLL Name In Unsuspected Locations</t>
  </si>
  <si>
    <t xml:space="preserve">https://filestore.fortinet.com/docs.fortinet.com/fsiem/Public_Resource_Access/7_6_0/rules/PH_RULE_Files_With_System_DLL_Name_In_Unsuspected_Locations.htm</t>
  </si>
  <si>
    <t xml:space="preserve">PH_Rule_SIGMA_317</t>
  </si>
  <si>
    <t xml:space="preserve">Windows: Files With System Process Name In Unsuspected Locations</t>
  </si>
  <si>
    <t xml:space="preserve">https://filestore.fortinet.com/docs.fortinet.com/fsiem/Public_Resource_Access/7_6_0/rules/PH_RULE_File_Created_with_System_Process_Name.htm</t>
  </si>
  <si>
    <t xml:space="preserve">PH_Rule_SIGMA_2311</t>
  </si>
  <si>
    <t xml:space="preserve">Windows: Filter Driver Unloaded Via Fltmc.EXE</t>
  </si>
  <si>
    <t xml:space="preserve">https://filestore.fortinet.com/docs.fortinet.com/fsiem/Public_Resource_Access/7_6_0/rules/PH_RULE_Filter_Driver_Unloaded_Via_Fltmc_EXE.htm</t>
  </si>
  <si>
    <t xml:space="preserve">PH_Rule_SIGMA_558</t>
  </si>
  <si>
    <t xml:space="preserve">Windows: Findstr Launching .lnk File</t>
  </si>
  <si>
    <t xml:space="preserve">https://filestore.fortinet.com/docs.fortinet.com/fsiem/Public_Resource_Access/7_6_0/rules/PH_RULE_Findstr_Launching_lnk_File.htm</t>
  </si>
  <si>
    <t xml:space="preserve">PH_Rule_SIGMA_1566</t>
  </si>
  <si>
    <t xml:space="preserve">Windows: Finger.exe Suspicious Invocation</t>
  </si>
  <si>
    <t xml:space="preserve">https://filestore.fortinet.com/docs.fortinet.com/fsiem/Public_Resource_Access/7_6_0/rules/PH_RULE_Finger_exe_Suspicious_Invocation.htm</t>
  </si>
  <si>
    <t xml:space="preserve">PH_Rule_windows_SIGMA_3409</t>
  </si>
  <si>
    <t xml:space="preserve">Windows: Firewall Configuration Discovery Via Netsh.EXE</t>
  </si>
  <si>
    <t xml:space="preserve">https://filestore.fortinet.com/docs.fortinet.com/fsiem/Public_Resource_Access/7_6_0/rules/PH_RULE_Firewall_Configuration_Discovery_Via_Netsh_EXE.htm</t>
  </si>
  <si>
    <t xml:space="preserve">PH_Rule_SIGMA_559</t>
  </si>
  <si>
    <t xml:space="preserve">Windows: Firewall Disabled via Netsh.EXE</t>
  </si>
  <si>
    <t xml:space="preserve">https://filestore.fortinet.com/docs.fortinet.com/fsiem/Public_Resource_Access/7_6_0/rules/PH_RULE_Firewall_Disabled_via_Netsh.htm</t>
  </si>
  <si>
    <t xml:space="preserve">PH_Rule_SIGMA_2403</t>
  </si>
  <si>
    <t xml:space="preserve">Windows: Firewall Rule Deleted Via Netsh.EXE</t>
  </si>
  <si>
    <t xml:space="preserve">https://filestore.fortinet.com/docs.fortinet.com/fsiem/Public_Resource_Access/7_6_0/rules/PH_RULE_Firewall_Rule_Deleted_Via_Netsh_EXE.htm</t>
  </si>
  <si>
    <t xml:space="preserve">PH_Rule_windows_SIGMA_3410</t>
  </si>
  <si>
    <t xml:space="preserve">Windows: Firewall Rule Update Via Netsh.EXE</t>
  </si>
  <si>
    <t xml:space="preserve">https://filestore.fortinet.com/docs.fortinet.com/fsiem/Public_Resource_Access/7_6_0/rules/PH_RULE_Firewall_Rule_Update_Via_Netsh_EXE.htm</t>
  </si>
  <si>
    <t xml:space="preserve">PH_Rule_SIGMA_1698</t>
  </si>
  <si>
    <t xml:space="preserve">Windows: Folder Compress To Potentially Suspicious Output Via Compress-Archive Cmdlet</t>
  </si>
  <si>
    <t xml:space="preserve">https://filestore.fortinet.com/docs.fortinet.com/fsiem/Public_Resource_Access/7_6_0/rules/PH_RULE_Zip_A_Folder_With_PowerShell_For_Staging_In_Temp.htm</t>
  </si>
  <si>
    <t xml:space="preserve">PH_Rule_windows_SIGMA_3614</t>
  </si>
  <si>
    <t xml:space="preserve">Windows: Folder Removed From Exploit Guard ProtectedFolders List - Registry</t>
  </si>
  <si>
    <t xml:space="preserve">https://filestore.fortinet.com/docs.fortinet.com/fsiem/Public_Resource_Access/7_6_0/rules/PH_RULE_Folder_Removed_From_Exploit_Guard_ProtectedFolders_List_Registry.htm</t>
  </si>
  <si>
    <t xml:space="preserve">PH_Rule_windows_SIGMA_3359</t>
  </si>
  <si>
    <t xml:space="preserve">Windows: Forfiles.EXE Child Process Masquerading</t>
  </si>
  <si>
    <t xml:space="preserve">https://filestore.fortinet.com/docs.fortinet.com/fsiem/Public_Resource_Access/7_6_0/rules/PH_RULE_Forfiles_EXE_Child_Process_Masquerading.htm</t>
  </si>
  <si>
    <t xml:space="preserve">PH_Rule_SIGMA_1567</t>
  </si>
  <si>
    <t xml:space="preserve">Windows: Format.com FileSystem LOLBIN</t>
  </si>
  <si>
    <t xml:space="preserve">https://filestore.fortinet.com/docs.fortinet.com/fsiem/Public_Resource_Access/7_6_0/rules/PH_RULE_Format_com_FileSystem_LOLBIN.htm</t>
  </si>
  <si>
    <t xml:space="preserve">PH_Rule_SIGMA_486</t>
  </si>
  <si>
    <t xml:space="preserve">Windows: FromBase64String Command Line</t>
  </si>
  <si>
    <t xml:space="preserve">https://filestore.fortinet.com/docs.fortinet.com/fsiem/Public_Resource_Access/7_6_0/rules/PH_RULE_FromBase64String_Command_Line.htm</t>
  </si>
  <si>
    <t xml:space="preserve">PH_Rule_SIGMA_1325</t>
  </si>
  <si>
    <t xml:space="preserve">Windows: Fsutil Drive Enumeration</t>
  </si>
  <si>
    <t xml:space="preserve">https://filestore.fortinet.com/docs.fortinet.com/fsiem/Public_Resource_Access/7_6_0/rules/PH_RULE_Fsutil_Drive_Enumeration.htm</t>
  </si>
  <si>
    <t xml:space="preserve">PH_Rule_SIGMA_560</t>
  </si>
  <si>
    <t xml:space="preserve">Windows: Fsutil Suspicious Invocation</t>
  </si>
  <si>
    <t xml:space="preserve">https://filestore.fortinet.com/docs.fortinet.com/fsiem/Public_Resource_Access/7_6_0/rules/PH_RULE_Fsutil_Suspicious_Invocation.htm</t>
  </si>
  <si>
    <t xml:space="preserve">PH_Rule_SIGMA_337</t>
  </si>
  <si>
    <t xml:space="preserve">Windows: GAC DLL Loaded Via Office Applications</t>
  </si>
  <si>
    <t xml:space="preserve">https://filestore.fortinet.com/docs.fortinet.com/fsiem/Public_Resource_Access/7_6_0/rules/PH_RULE_GAC_DLL_Loaded_Via_Office_Applications.htm</t>
  </si>
  <si>
    <t xml:space="preserve">PH_Rule_SIGMA_1966</t>
  </si>
  <si>
    <t xml:space="preserve">Windows: GatherNetworkInfo.VBS Reconnaissance Script Output</t>
  </si>
  <si>
    <t xml:space="preserve">https://filestore.fortinet.com/docs.fortinet.com/fsiem/Public_Resource_Access/7_6_0/rules/PH_RULE_GatherNetworkInfo_VBS_Reconnaissance_Script_Output.htm</t>
  </si>
  <si>
    <t xml:space="preserve">PH_Rule_windows_SIGMA_3362</t>
  </si>
  <si>
    <t xml:space="preserve">Windows: Github Self-Hosted Runner Execution</t>
  </si>
  <si>
    <t xml:space="preserve">https://filestore.fortinet.com/docs.fortinet.com/fsiem/Public_Resource_Access/7_6_0/rules/PH_RULE_Github_Self_Hosted_Runner_Execution.htm</t>
  </si>
  <si>
    <t xml:space="preserve">PH_Rule_SIGMA_894</t>
  </si>
  <si>
    <t xml:space="preserve">Windows: GoToAssist Temporary Installation Artefact</t>
  </si>
  <si>
    <t xml:space="preserve">https://filestore.fortinet.com/docs.fortinet.com/fsiem/Public_Resource_Access/7_6_0/rules/PH_RULE_GoToAssist_Temporary_Installation_Artefact.htm</t>
  </si>
  <si>
    <t xml:space="preserve">PH_Rule_SIGMA_2282</t>
  </si>
  <si>
    <t xml:space="preserve">Windows: Greedy File Deletion Using Del</t>
  </si>
  <si>
    <t xml:space="preserve">https://filestore.fortinet.com/docs.fortinet.com/fsiem/Public_Resource_Access/7_6_0/rules/PH_RULE_Greedy_File_Deletion_Using_Del.htm</t>
  </si>
  <si>
    <t xml:space="preserve">PH_Rule_SIGMA_2430</t>
  </si>
  <si>
    <t xml:space="preserve">Windows: Gzip Archive Decode Via PowerShell</t>
  </si>
  <si>
    <t xml:space="preserve">https://filestore.fortinet.com/docs.fortinet.com/fsiem/Public_Resource_Access/7_6_0/rules/PH_RULE_Gzip_Archive_Decode_Via_PowerShell.htm</t>
  </si>
  <si>
    <t xml:space="preserve">PH_Rule_windows_SIGMA_2888</t>
  </si>
  <si>
    <t xml:space="preserve">Windows: HackTool - CACTUSTORCH Remote Thread Creation</t>
  </si>
  <si>
    <t xml:space="preserve">https://filestore.fortinet.com/docs.fortinet.com/fsiem/Public_Resource_Access/7_6_0/rules/PH_RULE_HackTool_CACTUSTORCH_Remote_Thread_Creation.htm</t>
  </si>
  <si>
    <t xml:space="preserve">PH_Rule_windows_SIGMA_3368</t>
  </si>
  <si>
    <t xml:space="preserve">Windows: HackTool - CoercedPotato Execution</t>
  </si>
  <si>
    <t xml:space="preserve">https://filestore.fortinet.com/docs.fortinet.com/fsiem/Public_Resource_Access/7_6_0/rules/PH_RULE_HackTool_CoercedPotato_Execution.htm</t>
  </si>
  <si>
    <t xml:space="preserve">PH_Rule_windows_SIGMA_3064</t>
  </si>
  <si>
    <t xml:space="preserve">Windows: HackTool - CoercedPotato Named Pipe Creation</t>
  </si>
  <si>
    <t xml:space="preserve">https://filestore.fortinet.com/docs.fortinet.com/fsiem/Public_Resource_Access/7_6_0/rules/PH_RULE_HackTool_CoercedPotato_Named_Pipe_Creation.htm</t>
  </si>
  <si>
    <t xml:space="preserve">PH_Rule_SIGMA_535</t>
  </si>
  <si>
    <t xml:space="preserve">Windows: HackTool - Covenant PowerShell Launcher</t>
  </si>
  <si>
    <t xml:space="preserve">https://filestore.fortinet.com/docs.fortinet.com/fsiem/Public_Resource_Access/7_6_0/rules/PH_RULE_Covenant_Launcher_Indicators.htm</t>
  </si>
  <si>
    <t xml:space="preserve">PH_Rule_SIGMA_1547</t>
  </si>
  <si>
    <t xml:space="preserve">Windows: HackTool - CrackMapExec Execution</t>
  </si>
  <si>
    <t xml:space="preserve">https://filestore.fortinet.com/docs.fortinet.com/fsiem/Public_Resource_Access/7_6_0/rules/PH_RULE_CrackMapExec_Command_Line_Flags.htm</t>
  </si>
  <si>
    <t xml:space="preserve">PH_Rule_SIGMA_536</t>
  </si>
  <si>
    <t xml:space="preserve">Windows: HackTool - CrackMapExec Execution Patterns</t>
  </si>
  <si>
    <t xml:space="preserve">https://filestore.fortinet.com/docs.fortinet.com/fsiem/Public_Resource_Access/7_6_0/rules/PH_RULE_CrackMapExec_Command_Execution.htm</t>
  </si>
  <si>
    <t xml:space="preserve">PH_Rule_SIGMA_537</t>
  </si>
  <si>
    <t xml:space="preserve">Windows: HackTool - CrackMapExec PowerShell Obfuscation</t>
  </si>
  <si>
    <t xml:space="preserve">https://filestore.fortinet.com/docs.fortinet.com/fsiem/Public_Resource_Access/7_6_0/rules/PH_RULE_CrackMapExec_PowerShell_Obfuscation.htm</t>
  </si>
  <si>
    <t xml:space="preserve">PH_Rule_SIGMA_489</t>
  </si>
  <si>
    <t xml:space="preserve">Windows: HackTool - Default PowerSploit/Empire Scheduled Task Creation</t>
  </si>
  <si>
    <t xml:space="preserve">https://filestore.fortinet.com/docs.fortinet.com/fsiem/Public_Resource_Access/7_6_0/rules/PH_RULE_Default_PowerSploit_and_Empire_Schtasks_Persistence.htm</t>
  </si>
  <si>
    <t xml:space="preserve">PH_Rule_windows_SIGMA_3065</t>
  </si>
  <si>
    <t xml:space="preserve">Windows: HackTool - DiagTrackEoP Default Named Pipe</t>
  </si>
  <si>
    <t xml:space="preserve">https://filestore.fortinet.com/docs.fortinet.com/fsiem/Public_Resource_Access/7_6_0/rules/PH_RULE_HackTool_DiagTrackEoP_Default_Named_Pipe.htm</t>
  </si>
  <si>
    <t xml:space="preserve">PH_Rule_SIGMA_1310</t>
  </si>
  <si>
    <t xml:space="preserve">Windows: HackTool - DInjector PowerShell Cradle Execution</t>
  </si>
  <si>
    <t xml:space="preserve">https://filestore.fortinet.com/docs.fortinet.com/fsiem/Public_Resource_Access/7_6_0/rules/PH_RULE_DInject_PowerShell_Cradle_CommandLine_Flags.htm</t>
  </si>
  <si>
    <t xml:space="preserve">PH_Rule_windows_SIGMA_3370</t>
  </si>
  <si>
    <t xml:space="preserve">Windows: Hacktool - EDR-Freeze Execution</t>
  </si>
  <si>
    <t xml:space="preserve">https://filestore.fortinet.com/docs.fortinet.com/fsiem/Public_Resource_Access/7_6_0/rules/PH_RULE_Hacktool_EDR_Freeze_Execution.htm</t>
  </si>
  <si>
    <t xml:space="preserve">PH_Rule_windows_SIGMA_3371</t>
  </si>
  <si>
    <t xml:space="preserve">Windows: HackTool - EDRSilencer Execution</t>
  </si>
  <si>
    <t xml:space="preserve">https://filestore.fortinet.com/docs.fortinet.com/fsiem/Public_Resource_Access/7_6_0/rules/PH_RULE_HackTool_EDRSilencer_Execution.htm</t>
  </si>
  <si>
    <t xml:space="preserve">PH_Rule_windows_SIGMA_3066</t>
  </si>
  <si>
    <t xml:space="preserve">Windows: HackTool - EfsPotato Named Pipe Creation</t>
  </si>
  <si>
    <t xml:space="preserve">https://filestore.fortinet.com/docs.fortinet.com/fsiem/Public_Resource_Access/7_6_0/rules/PH_RULE_HackTool_EfsPotato_Named_Pipe_Creation.htm</t>
  </si>
  <si>
    <t xml:space="preserve">PH_Rule_SIGMA_575</t>
  </si>
  <si>
    <t xml:space="preserve">Windows: HackTool - Empire PowerShell Launch Parameters</t>
  </si>
  <si>
    <t xml:space="preserve">https://filestore.fortinet.com/docs.fortinet.com/fsiem/Public_Resource_Access/7_6_0/rules/PH_RULE_Empire_PowerShell_Launch_Parameters.htm</t>
  </si>
  <si>
    <t xml:space="preserve">PH_Rule_windows_SIGMA_3098</t>
  </si>
  <si>
    <t xml:space="preserve">Windows: HackTool - Evil-WinRm Execution - PowerShell Module</t>
  </si>
  <si>
    <t xml:space="preserve">https://filestore.fortinet.com/docs.fortinet.com/fsiem/Public_Resource_Access/7_6_0/rules/PH_RULE_HackTool_Evil_WinRm_Execution_PowerShell_Module.htm</t>
  </si>
  <si>
    <t xml:space="preserve">PH_Rule_SIGMA_2324</t>
  </si>
  <si>
    <t xml:space="preserve">Windows: HackTool - GMER Rootkit Detector and Remover Execution</t>
  </si>
  <si>
    <t xml:space="preserve">https://filestore.fortinet.com/docs.fortinet.com/fsiem/Public_Resource_Access/7_6_0/rules/PH_RULE_HackTool_GMER_Rootkit_Detector_and_Remover_Execution.htm</t>
  </si>
  <si>
    <t xml:space="preserve">PH_Rule_windows_SIGMA_3373</t>
  </si>
  <si>
    <t xml:space="preserve">Windows: HackTool - HollowReaper Execution</t>
  </si>
  <si>
    <t xml:space="preserve">https://filestore.fortinet.com/docs.fortinet.com/fsiem/Public_Resource_Access/7_6_0/rules/PH_RULE_HackTool_HollowReaper_Execution.htm</t>
  </si>
  <si>
    <t xml:space="preserve">PH_Rule_SIGMA_2326</t>
  </si>
  <si>
    <t xml:space="preserve">Windows: HackTool - Htran/NATBypass Execution</t>
  </si>
  <si>
    <t xml:space="preserve">https://filestore.fortinet.com/docs.fortinet.com/fsiem/Public_Resource_Access/7_6_0/rules/PH_RULE_HackTool_Htran_NATBypass_Execution.htm</t>
  </si>
  <si>
    <t xml:space="preserve">PH_Rule_SIGMA_2327</t>
  </si>
  <si>
    <t xml:space="preserve">Windows: HackTool - Impersonate Execution</t>
  </si>
  <si>
    <t xml:space="preserve">https://filestore.fortinet.com/docs.fortinet.com/fsiem/Public_Resource_Access/7_6_0/rules/PH_RULE_HackTool_Impersonate_Execution.htm</t>
  </si>
  <si>
    <t xml:space="preserve">PH_Rule_SIGMA_1353</t>
  </si>
  <si>
    <t xml:space="preserve">Windows: HackTool - Jlaive In-Memory Assembly Execution</t>
  </si>
  <si>
    <t xml:space="preserve">https://filestore.fortinet.com/docs.fortinet.com/fsiem/Public_Resource_Access/7_6_0/rules/PH_RULE_Jlaive_Usage_For_Assembly_Execution_In_Memory.htm</t>
  </si>
  <si>
    <t xml:space="preserve">PH_Rule_SIGMA_418</t>
  </si>
  <si>
    <t xml:space="preserve">Windows: HackTool - Koadic Execution</t>
  </si>
  <si>
    <t xml:space="preserve">https://filestore.fortinet.com/docs.fortinet.com/fsiem/Public_Resource_Access/7_6_0/rules/PH_RULE_Koadic_Execution.htm</t>
  </si>
  <si>
    <t xml:space="preserve">PH_Rule_windows_SIGMA_3375</t>
  </si>
  <si>
    <t xml:space="preserve">Windows: HackTool - LaZagne Execution</t>
  </si>
  <si>
    <t xml:space="preserve">https://filestore.fortinet.com/docs.fortinet.com/fsiem/Public_Resource_Access/7_6_0/rules/PH_RULE_HackTool_LaZagne_Execution.htm</t>
  </si>
  <si>
    <t xml:space="preserve">PH_Rule_SIGMA_2329</t>
  </si>
  <si>
    <t xml:space="preserve">Windows: HackTool - LocalPotato Execution</t>
  </si>
  <si>
    <t xml:space="preserve">https://filestore.fortinet.com/docs.fortinet.com/fsiem/Public_Resource_Access/7_6_0/rules/PH_RULE_HackTool_LocalPotato_Execution.htm</t>
  </si>
  <si>
    <t xml:space="preserve">PH_Rule_SIGMA_2330</t>
  </si>
  <si>
    <t xml:space="preserve">Windows: HackTool - PCHunter Execution</t>
  </si>
  <si>
    <t xml:space="preserve">https://filestore.fortinet.com/docs.fortinet.com/fsiem/Public_Resource_Access/7_6_0/rules/PH_RULE_HackTool_PCHunter_Execution.htm</t>
  </si>
  <si>
    <t xml:space="preserve">PH_Rule_windows_SIGMA_2889</t>
  </si>
  <si>
    <t xml:space="preserve">Windows: HackTool - Potential CobaltStrike Process Injection</t>
  </si>
  <si>
    <t xml:space="preserve">https://filestore.fortinet.com/docs.fortinet.com/fsiem/Public_Resource_Access/7_6_0/rules/PH_RULE_HackTool_Potential_CobaltStrike_Process_Injection.htm</t>
  </si>
  <si>
    <t xml:space="preserve">PH_Rule_SIGMA_428</t>
  </si>
  <si>
    <t xml:space="preserve">Windows: HackTool - Potential Impacket Lateral Movement Activity</t>
  </si>
  <si>
    <t xml:space="preserve">https://filestore.fortinet.com/docs.fortinet.com/fsiem/Public_Resource_Access/7_6_0/rules/PH_RULE_Impacket_Lateralization_Detection.htm</t>
  </si>
  <si>
    <t xml:space="preserve">PH_Rule_SIGMA_2331</t>
  </si>
  <si>
    <t xml:space="preserve">Windows: HackTool - PowerTool Execution</t>
  </si>
  <si>
    <t xml:space="preserve">https://filestore.fortinet.com/docs.fortinet.com/fsiem/Public_Resource_Access/7_6_0/rules/PH_RULE_HackTool_PowerTool_Execution.htm</t>
  </si>
  <si>
    <t xml:space="preserve">PH_Rule_SIGMA_2334</t>
  </si>
  <si>
    <t xml:space="preserve">Windows: HackTool - PPID Spoofing SelectMyParent Tool Execution</t>
  </si>
  <si>
    <t xml:space="preserve">https://filestore.fortinet.com/docs.fortinet.com/fsiem/Public_Resource_Access/7_6_0/rules/PH_RULE_HackTool_PPID_Spoofing_SelectMyParent_Tool_Execution.htm</t>
  </si>
  <si>
    <t xml:space="preserve">PH_Rule_SIGMA_1472</t>
  </si>
  <si>
    <t xml:space="preserve">Windows: HackTool - PurpleSharp Execution</t>
  </si>
  <si>
    <t xml:space="preserve">https://filestore.fortinet.com/docs.fortinet.com/fsiem/Public_Resource_Access/7_6_0/rules/PH_RULE_PurpleSharp_Indicator.htm</t>
  </si>
  <si>
    <t xml:space="preserve">PH_Rule_SIGMA_496</t>
  </si>
  <si>
    <t xml:space="preserve">Windows: HackTool - RedMimicry Winnti Playbook Execution</t>
  </si>
  <si>
    <t xml:space="preserve">https://filestore.fortinet.com/docs.fortinet.com/fsiem/Public_Resource_Access/7_6_0/rules/PH_RULE_RedMimicry_Winnti_Playbook_Execute.htm</t>
  </si>
  <si>
    <t xml:space="preserve">PH_Rule_windows_SIGMA_2956</t>
  </si>
  <si>
    <t xml:space="preserve">Windows: HackTool - RemoteKrbRelay SMB Relay Secrets Dump Module Indicators</t>
  </si>
  <si>
    <t xml:space="preserve">https://filestore.fortinet.com/docs.fortinet.com/fsiem/Public_Resource_Access/7_6_0/rules/PH_RULE_HackTool_RemoteKrbRelay_SMB_Relay_Secrets_Dump_Module_Indicators.htm</t>
  </si>
  <si>
    <t xml:space="preserve">PH_Rule_SIGMA_420</t>
  </si>
  <si>
    <t xml:space="preserve">Windows: HackTool - SecurityXploded Execution</t>
  </si>
  <si>
    <t xml:space="preserve">https://filestore.fortinet.com/docs.fortinet.com/fsiem/Public_Resource_Access/7_6_0/rules/PH_RULE_SecurityXploded_Tool.htm</t>
  </si>
  <si>
    <t xml:space="preserve">PH_Rule_SIGMA_2335</t>
  </si>
  <si>
    <t xml:space="preserve">Windows: HackTool - SharpChisel Execution</t>
  </si>
  <si>
    <t xml:space="preserve">https://filestore.fortinet.com/docs.fortinet.com/fsiem/Public_Resource_Access/7_6_0/rules/PH_RULE_HackTool_SharpChisel_Execution.htm</t>
  </si>
  <si>
    <t xml:space="preserve">PH_Rule_windows_SIGMA_3377</t>
  </si>
  <si>
    <t xml:space="preserve">Windows: HackTool - SharpDPAPI Execution</t>
  </si>
  <si>
    <t xml:space="preserve">https://filestore.fortinet.com/docs.fortinet.com/fsiem/Public_Resource_Access/7_6_0/rules/PH_RULE_HackTool_SharpDPAPI_Execution.htm</t>
  </si>
  <si>
    <t xml:space="preserve">PH_Rule_SIGMA_2338</t>
  </si>
  <si>
    <t xml:space="preserve">Windows: HackTool - SharPersist Execution</t>
  </si>
  <si>
    <t xml:space="preserve">https://filestore.fortinet.com/docs.fortinet.com/fsiem/Public_Resource_Access/7_6_0/rules/PH_RULE_HackTool_SharPersist_Execution.htm</t>
  </si>
  <si>
    <t xml:space="preserve">PH_Rule_SIGMA_2016</t>
  </si>
  <si>
    <t xml:space="preserve">Windows: HackTool - SharpEvtMute DLL Load</t>
  </si>
  <si>
    <t xml:space="preserve">https://filestore.fortinet.com/docs.fortinet.com/fsiem/Public_Resource_Access/7_6_0/rules/PH_RULE_HackTool_SharpEvtMute_DLL_Load.htm</t>
  </si>
  <si>
    <t xml:space="preserve">PH_Rule_SIGMA_2339</t>
  </si>
  <si>
    <t xml:space="preserve">Windows: HackTool - SharpEvtMute Execution</t>
  </si>
  <si>
    <t xml:space="preserve">https://filestore.fortinet.com/docs.fortinet.com/fsiem/Public_Resource_Access/7_6_0/rules/PH_RULE_HackTool_SharpEvtMute_Execution.htm</t>
  </si>
  <si>
    <t xml:space="preserve">PH_Rule_SIGMA_2336</t>
  </si>
  <si>
    <t xml:space="preserve">Windows: HackTool - SharpImpersonation Execution</t>
  </si>
  <si>
    <t xml:space="preserve">https://filestore.fortinet.com/docs.fortinet.com/fsiem/Public_Resource_Access/7_6_0/rules/PH_RULE_HackTool_SharpImpersonation_Execution.htm</t>
  </si>
  <si>
    <t xml:space="preserve">PH_Rule_SIGMA_2341</t>
  </si>
  <si>
    <t xml:space="preserve">Windows: HackTool - SharpUp PrivEsc Tool Execution</t>
  </si>
  <si>
    <t xml:space="preserve">https://filestore.fortinet.com/docs.fortinet.com/fsiem/Public_Resource_Access/7_6_0/rules/PH_RULE_HackTool_SharpUp_PrivEsc_Tool_Execution.htm</t>
  </si>
  <si>
    <t xml:space="preserve">PH_Rule_windows_SIGMA_3380</t>
  </si>
  <si>
    <t xml:space="preserve">Windows: HackTool - SharpView Execution</t>
  </si>
  <si>
    <t xml:space="preserve">https://filestore.fortinet.com/docs.fortinet.com/fsiem/Public_Resource_Access/7_6_0/rules/PH_RULE_HackTool_SharpView_Execution.htm</t>
  </si>
  <si>
    <t xml:space="preserve">PH_Rule_SIGMA_2017</t>
  </si>
  <si>
    <t xml:space="preserve">Windows: HackTool - SILENTTRINITY Stager DLL Load</t>
  </si>
  <si>
    <t xml:space="preserve">https://filestore.fortinet.com/docs.fortinet.com/fsiem/Public_Resource_Access/7_6_0/rules/PH_RULE_HackTool_SILENTTRINITY_Stager_DLL_Load.htm</t>
  </si>
  <si>
    <t xml:space="preserve">PH_Rule_SIGMA_514</t>
  </si>
  <si>
    <t xml:space="preserve">Windows: HackTool - SILENTTRINITY Stager Execution</t>
  </si>
  <si>
    <t xml:space="preserve">https://filestore.fortinet.com/docs.fortinet.com/fsiem/Public_Resource_Access/7_6_0/rules/PH_RULE_SILENTTRINITY_Stager_Execution.htm</t>
  </si>
  <si>
    <t xml:space="preserve">PH_Rule_SIGMA_2342</t>
  </si>
  <si>
    <t xml:space="preserve">Windows: HackTool - Sliver C2 Implant Activity Pattern</t>
  </si>
  <si>
    <t xml:space="preserve">https://filestore.fortinet.com/docs.fortinet.com/fsiem/Public_Resource_Access/7_6_0/rules/PH_RULE_HackTool_Sliver_C2_Implant_Activity_Pattern.htm</t>
  </si>
  <si>
    <t xml:space="preserve">PH_Rule_SIGMA_2343</t>
  </si>
  <si>
    <t xml:space="preserve">Windows: HackTool - Stracciatella Execution</t>
  </si>
  <si>
    <t xml:space="preserve">https://filestore.fortinet.com/docs.fortinet.com/fsiem/Public_Resource_Access/7_6_0/rules/PH_RULE_HackTool_Stracciatella_Execution.htm</t>
  </si>
  <si>
    <t xml:space="preserve">PH_Rule_SIGMA_2252</t>
  </si>
  <si>
    <t xml:space="preserve">Windows: HackTool - SysmonEnte Execution</t>
  </si>
  <si>
    <t xml:space="preserve">https://filestore.fortinet.com/docs.fortinet.com/fsiem/Public_Resource_Access/7_6_0/rules/PH_RULE_SysmonEnte_Usage.htm</t>
  </si>
  <si>
    <t xml:space="preserve">PH_Rule_SIGMA_2346</t>
  </si>
  <si>
    <t xml:space="preserve">Windows: HackTool - winPEAS Execution</t>
  </si>
  <si>
    <t xml:space="preserve">https://filestore.fortinet.com/docs.fortinet.com/fsiem/Public_Resource_Access/7_6_0/rules/PH_RULE_HackTool_winPEAS_Execution.htm</t>
  </si>
  <si>
    <t xml:space="preserve">PH_Rule_SIGMA_2347</t>
  </si>
  <si>
    <t xml:space="preserve">Windows: HackTool - Wmiexec Default Powershell Command</t>
  </si>
  <si>
    <t xml:space="preserve">https://filestore.fortinet.com/docs.fortinet.com/fsiem/Public_Resource_Access/7_6_0/rules/PH_RULE_HackTool_Wmiexec_Default_Powershell_Command.htm</t>
  </si>
  <si>
    <t xml:space="preserve">PH_Rule_windows_SIGMA_2864</t>
  </si>
  <si>
    <t xml:space="preserve">Windows: HackTool Service Registration or Execution</t>
  </si>
  <si>
    <t xml:space="preserve">https://filestore.fortinet.com/docs.fortinet.com/fsiem/Public_Resource_Access/7_6_0/rules/PH_RULE_HackTool_Service_Registration_or_Execution.htm</t>
  </si>
  <si>
    <t xml:space="preserve">PH_Rule_SIGMA_2609</t>
  </si>
  <si>
    <t xml:space="preserve">Windows: Hardware Model Reconnaissance Via Wmic.EXE</t>
  </si>
  <si>
    <t xml:space="preserve">https://filestore.fortinet.com/docs.fortinet.com/fsiem/Public_Resource_Access/7_6_0/rules/PH_RULE_Hardware_Model_Reconnaissance_Via_Wmic_EXE.htm</t>
  </si>
  <si>
    <t xml:space="preserve">PH_Rule_SIGMA_421</t>
  </si>
  <si>
    <t xml:space="preserve">Windows: HH.EXE Execution</t>
  </si>
  <si>
    <t xml:space="preserve">https://filestore.fortinet.com/docs.fortinet.com/fsiem/Public_Resource_Access/7_6_0/rules/PH_RULE_HH_exe_Execution.htm</t>
  </si>
  <si>
    <t xml:space="preserve">PH_Rule_windows_SIGMA_2899</t>
  </si>
  <si>
    <t xml:space="preserve">Windows: Hidden Executable In NTFS Alternate Data Stream</t>
  </si>
  <si>
    <t xml:space="preserve">https://filestore.fortinet.com/docs.fortinet.com/fsiem/Public_Resource_Access/7_6_0/rules/PH_RULE_Hidden_Executable_In_NTFS_Alternate_Data_Stream.htm</t>
  </si>
  <si>
    <t xml:space="preserve">PH_Rule_SIGMA_1316</t>
  </si>
  <si>
    <t xml:space="preserve">Windows: Hidden Powershell in Link File Pattern</t>
  </si>
  <si>
    <t xml:space="preserve">https://filestore.fortinet.com/docs.fortinet.com/fsiem/Public_Resource_Access/7_6_0/rules/PH_RULE_Hidden_Powershell_in_Link_File_Pattern.htm</t>
  </si>
  <si>
    <t xml:space="preserve">PH_Rule_windows_SIGMA_3706</t>
  </si>
  <si>
    <t xml:space="preserve">Windows: Hide Schedule Task Via Index Value Tamper</t>
  </si>
  <si>
    <t xml:space="preserve">https://filestore.fortinet.com/docs.fortinet.com/fsiem/Public_Resource_Access/7_6_0/rules/PH_RULE_Hide_Schedule_Task_Via_Index_Value_Tamper.htm</t>
  </si>
  <si>
    <t xml:space="preserve">PH_Rule_SIGMA_385</t>
  </si>
  <si>
    <t xml:space="preserve">Windows: Hiding Files with Attrib.exe</t>
  </si>
  <si>
    <t xml:space="preserve">https://filestore.fortinet.com/docs.fortinet.com/fsiem/Public_Resource_Access/7_6_0/rules/PH_RULE_Hiding_Files_with_Attrib_exe.htm</t>
  </si>
  <si>
    <t xml:space="preserve">PH_Rule_windows_SIGMA_3477</t>
  </si>
  <si>
    <t xml:space="preserve">Windows: Hiding User Account Via SpecialAccounts Registry Key - CommandLine</t>
  </si>
  <si>
    <t xml:space="preserve">https://filestore.fortinet.com/docs.fortinet.com/fsiem/Public_Resource_Access/7_6_0/rules/PH_RULE_Hiding_User_Account_Via_SpecialAccounts_Registry_Key_CommandLine.htm</t>
  </si>
  <si>
    <t xml:space="preserve">PH_Rule_SIGMA_2317</t>
  </si>
  <si>
    <t xml:space="preserve">Windows: HTML Help HH.EXE Suspicious Child Process</t>
  </si>
  <si>
    <t xml:space="preserve">https://filestore.fortinet.com/docs.fortinet.com/fsiem/Public_Resource_Access/7_6_0/rules/PH_RULE_HTML_Help_HH_EXE_Suspicious_Child_Process.htm</t>
  </si>
  <si>
    <t xml:space="preserve">PH_Rule_windows_SIGMA_2807</t>
  </si>
  <si>
    <t xml:space="preserve">Windows: HTTP Logging Disabled On IIS Server</t>
  </si>
  <si>
    <t xml:space="preserve">https://filestore.fortinet.com/docs.fortinet.com/fsiem/Public_Resource_Access/7_6_0/rules/PH_RULE_HTTP_Logging_Disabled_On_IIS_Server.htm</t>
  </si>
  <si>
    <t xml:space="preserve">PH_Rule_SIGMA_802</t>
  </si>
  <si>
    <t xml:space="preserve">Windows: HybridConnectionManager Service Installation: Sysmon</t>
  </si>
  <si>
    <t xml:space="preserve">https://filestore.fortinet.com/docs.fortinet.com/fsiem/Public_Resource_Access/7_6_0/rules/PH_RULE_HybridConnectionManager_Service_Installation_SYSMON.htm</t>
  </si>
  <si>
    <t xml:space="preserve">PH_Rule_windows_SIGMA_2851</t>
  </si>
  <si>
    <t xml:space="preserve">Windows: HybridConnectionManager Service Running</t>
  </si>
  <si>
    <t xml:space="preserve">https://filestore.fortinet.com/docs.fortinet.com/fsiem/Public_Resource_Access/7_6_0/rules/PH_RULE_HybridConnectionManager_Service_Running.htm</t>
  </si>
  <si>
    <t xml:space="preserve">PH_Rule_windows_SIGMA_3667</t>
  </si>
  <si>
    <t xml:space="preserve">Windows: Hypervisor Enforced Paging Translation Disabled</t>
  </si>
  <si>
    <t xml:space="preserve">https://filestore.fortinet.com/docs.fortinet.com/fsiem/Public_Resource_Access/7_6_0/rules/PH_RULE_Hypervisor_Enforced_Paging_Translation_Disabled.htm</t>
  </si>
  <si>
    <t xml:space="preserve">PH_Rule_windows_SIGMA_3385</t>
  </si>
  <si>
    <t xml:space="preserve">Windows: Hypervisor-protected Code Integrity HVCI Related Registry Tampering Via CommandLine</t>
  </si>
  <si>
    <t xml:space="preserve">https://filestore.fortinet.com/docs.fortinet.com/fsiem/Public_Resource_Access/7_6_0/rules/PH_RULE_Hypervisor_protected_Code_Integrity_HVCI_Related_Registry_Tampering_Via_CommandLine.htm</t>
  </si>
  <si>
    <t xml:space="preserve">PH_Rule_windows_SIGMA_3650</t>
  </si>
  <si>
    <t xml:space="preserve">Windows: IE Change Domain Zone</t>
  </si>
  <si>
    <t xml:space="preserve">https://filestore.fortinet.com/docs.fortinet.com/fsiem/Public_Resource_Access/7_6_0/rules/PH_RULE_IE_Change_Domain_Zone.htm</t>
  </si>
  <si>
    <t xml:space="preserve">PH_Rule_windows_SIGMA_3708</t>
  </si>
  <si>
    <t xml:space="preserve">Windows: IE ZoneMap Setting Downgraded To MyComputer Zone For HTTP Protocols</t>
  </si>
  <si>
    <t xml:space="preserve">https://filestore.fortinet.com/docs.fortinet.com/fsiem/Public_Resource_Access/7_6_0/rules/PH_RULE_IE_ZoneMap_Setting_Downgraded_To_MyComputer_Zone_For_HTTP_Protocols.htm</t>
  </si>
  <si>
    <t xml:space="preserve">PH_Rule_windows_SIGMA_3473</t>
  </si>
  <si>
    <t xml:space="preserve">Windows: IE ZoneMap Setting Downgraded To MyComputer Zone For HTTP Protocols Via CLI</t>
  </si>
  <si>
    <t xml:space="preserve">https://filestore.fortinet.com/docs.fortinet.com/fsiem/Public_Resource_Access/7_6_0/rules/PH_RULE_IE_ZoneMap_Setting_Downgraded_To_MyComputer_Zone_For_HTTP_Protocols_Via_CLI.htm</t>
  </si>
  <si>
    <t xml:space="preserve">PH_Rule_SIGMA_1377</t>
  </si>
  <si>
    <t xml:space="preserve">Windows: Ie4uinit Lolbin Use From Invalid Path</t>
  </si>
  <si>
    <t xml:space="preserve">https://filestore.fortinet.com/docs.fortinet.com/fsiem/Public_Resource_Access/7_6_0/rules/PH_RULE_Ie4uinit_Lolbin_Use_From_Invalid_Path.htm</t>
  </si>
  <si>
    <t xml:space="preserve">PH_Rule_SIGMA_562</t>
  </si>
  <si>
    <t xml:space="preserve">Windows: IIS Native-Code Module Command Line Installation</t>
  </si>
  <si>
    <t xml:space="preserve">https://filestore.fortinet.com/docs.fortinet.com/fsiem/Public_Resource_Access/7_6_0/rules/PH_RULE_IIS_Native_Code_Module_Command_Line_Installation.htm</t>
  </si>
  <si>
    <t xml:space="preserve">PH_Rule_windows_SIGMA_2935</t>
  </si>
  <si>
    <t xml:space="preserve">Windows: IIS WebServer Access Logs Deleted</t>
  </si>
  <si>
    <t xml:space="preserve">https://filestore.fortinet.com/docs.fortinet.com/fsiem/Public_Resource_Access/7_6_0/rules/PH_RULE_IIS_WebServer_Access_Logs_Deleted.htm</t>
  </si>
  <si>
    <t xml:space="preserve">PH_Rule_windows_SIGMA_3387</t>
  </si>
  <si>
    <t xml:space="preserve">Windows: IIS WebServer Log Deletion via CommandLine Utilities</t>
  </si>
  <si>
    <t xml:space="preserve">https://filestore.fortinet.com/docs.fortinet.com/fsiem/Public_Resource_Access/7_6_0/rules/PH_RULE_IIS_WebServer_Log_Deletion_via_CommandLine_Utilities.htm</t>
  </si>
  <si>
    <t xml:space="preserve">PH_Rule_SIGMA_2354</t>
  </si>
  <si>
    <t xml:space="preserve">Windows: ImagingDevices Unusual Parent/Child Processes</t>
  </si>
  <si>
    <t xml:space="preserve">https://filestore.fortinet.com/docs.fortinet.com/fsiem/Public_Resource_Access/7_6_0/rules/PH_RULE_ImagingDevices_Unusual_Parent_Child_Processes.htm</t>
  </si>
  <si>
    <t xml:space="preserve">PH_Rule_SIGMA_1341</t>
  </si>
  <si>
    <t xml:space="preserve">Windows: Impacket Tool Execution</t>
  </si>
  <si>
    <t xml:space="preserve">https://filestore.fortinet.com/docs.fortinet.com/fsiem/Public_Resource_Access/7_6_0/rules/PH_RULE_Impacket_Tool_Execution.htm</t>
  </si>
  <si>
    <t xml:space="preserve">PH_Rule_windows_SIGMA_3170</t>
  </si>
  <si>
    <t xml:space="preserve">Windows: Import PowerShell Modules From Suspicious Directories</t>
  </si>
  <si>
    <t xml:space="preserve">https://filestore.fortinet.com/docs.fortinet.com/fsiem/Public_Resource_Access/7_6_0/rules/PH_RULE_Import_PowerShell_Modules_From_Suspicious_Directories.htm</t>
  </si>
  <si>
    <t xml:space="preserve">PH_Rule_SIGMA_2443</t>
  </si>
  <si>
    <t xml:space="preserve">Windows: Import PowerShell Modules From Suspicious Directories - ProcCreation</t>
  </si>
  <si>
    <t xml:space="preserve">https://filestore.fortinet.com/docs.fortinet.com/fsiem/Public_Resource_Access/7_6_0/rules/PH_RULE_Import_PowerShell_Modules_From_Suspicious_Directories_ProcCreation.htm</t>
  </si>
  <si>
    <t xml:space="preserve">PH_Rule_windows_SIGMA_2870</t>
  </si>
  <si>
    <t xml:space="preserve">Windows: Important Scheduled Task Deleted or Disabled</t>
  </si>
  <si>
    <t xml:space="preserve">Microsoft Windows Task Scheduler Operational Logs via Windows Collector [Corrected: Fortinet docs label this rule "CyberArk Enterprise Password Vault via Syslog"; source derived from its event types]</t>
  </si>
  <si>
    <t xml:space="preserve">https://filestore.fortinet.com/docs.fortinet.com/fsiem/Public_Resource_Access/7_6_0/rules/PH_RULE_Important_Scheduled_Task_Deleted_or_Disabled.htm</t>
  </si>
  <si>
    <t xml:space="preserve">PH_Rule_SIGMA_1157</t>
  </si>
  <si>
    <t xml:space="preserve">Windows: Important Windows Eventlog Cleared</t>
  </si>
  <si>
    <t xml:space="preserve">https://filestore.fortinet.com/docs.fortinet.com/fsiem/Public_Resource_Access/7_6_0/rules/PH_RULE_System_Eventlog_Cleared.htm</t>
  </si>
  <si>
    <t xml:space="preserve">PH_Rule_SIGMA_1881</t>
  </si>
  <si>
    <t xml:space="preserve">Windows: Important Windows Service Terminated Unexpectedly</t>
  </si>
  <si>
    <t xml:space="preserve">https://filestore.fortinet.com/docs.fortinet.com/fsiem/Public_Resource_Access/7_6_0/rules/PH_RULE_Important_Windows_Service_Terminated_Unexpectedly.htm</t>
  </si>
  <si>
    <t xml:space="preserve">PH_Rule_SIGMA_1880</t>
  </si>
  <si>
    <t xml:space="preserve">Windows: Important Windows Service Terminated With Error</t>
  </si>
  <si>
    <t xml:space="preserve">https://filestore.fortinet.com/docs.fortinet.com/fsiem/Public_Resource_Access/7_6_0/rules/PH_RULE_Important_Windows_Service_Terminated_With_Error.htm</t>
  </si>
  <si>
    <t xml:space="preserve">PH_Rule_SIGMA_1486</t>
  </si>
  <si>
    <t xml:space="preserve">Windows: Imports Registry Key From a File</t>
  </si>
  <si>
    <t xml:space="preserve">https://filestore.fortinet.com/docs.fortinet.com/fsiem/Public_Resource_Access/7_6_0/rules/PH_RULE_Imports_Registry_Key_From_a_File.htm</t>
  </si>
  <si>
    <t xml:space="preserve">PH_Rule_SIGMA_1487</t>
  </si>
  <si>
    <t xml:space="preserve">Windows: Imports Registry Key From an ADS</t>
  </si>
  <si>
    <t xml:space="preserve">https://filestore.fortinet.com/docs.fortinet.com/fsiem/Public_Resource_Access/7_6_0/rules/PH_RULE_Imports_Registry_Key_From_an_ADS.htm</t>
  </si>
  <si>
    <t xml:space="preserve">PH_Rule_SIGMA_1386</t>
  </si>
  <si>
    <t xml:space="preserve">Windows: Indirect Command Execution By Program Compatibility Wizard</t>
  </si>
  <si>
    <t xml:space="preserve">https://filestore.fortinet.com/docs.fortinet.com/fsiem/Public_Resource_Access/7_6_0/rules/PH_RULE_Indirect_Command_Execution_By_Program_Compatibility_Wizard.htm</t>
  </si>
  <si>
    <t xml:space="preserve">PH_Rule_windows_SIGMA_3309</t>
  </si>
  <si>
    <t xml:space="preserve">Windows: Indirect Command Execution From Script File Via Bash.EXE</t>
  </si>
  <si>
    <t xml:space="preserve">https://filestore.fortinet.com/docs.fortinet.com/fsiem/Public_Resource_Access/7_6_0/rules/PH_RULE_Indirect_Command_Execution_From_Script_File_Via_Bash_EXE.htm</t>
  </si>
  <si>
    <t xml:space="preserve">PH_Rule_windows_SIGMA_3520</t>
  </si>
  <si>
    <t xml:space="preserve">Windows: Indirect Command Execution via SFTP ProxyCommand</t>
  </si>
  <si>
    <t xml:space="preserve">https://filestore.fortinet.com/docs.fortinet.com/fsiem/Public_Resource_Access/7_6_0/rules/PH_RULE_Indirect_Command_Execution_via_SFTP_ProxyCommand.htm</t>
  </si>
  <si>
    <t xml:space="preserve">PH_Rule_windows_SIGMA_3308</t>
  </si>
  <si>
    <t xml:space="preserve">Windows: Indirect Inline Command Execution Via Bash.EXE</t>
  </si>
  <si>
    <t xml:space="preserve">https://filestore.fortinet.com/docs.fortinet.com/fsiem/Public_Resource_Access/7_6_0/rules/PH_RULE_Indirect_Inline_Command_Execution_Via_Bash_EXE.htm</t>
  </si>
  <si>
    <t xml:space="preserve">PH_Rule_SIGMA_1342</t>
  </si>
  <si>
    <t xml:space="preserve">Windows: InfDefaultInstall.exe .inf Execution</t>
  </si>
  <si>
    <t xml:space="preserve">https://filestore.fortinet.com/docs.fortinet.com/fsiem/Public_Resource_Access/7_6_0/rules/PH_RULE_InfDefaultInstall_exe_inf_Execution.htm</t>
  </si>
  <si>
    <t xml:space="preserve">PH_Rule_windows_SIGMA_3338</t>
  </si>
  <si>
    <t xml:space="preserve">Windows: Insecure Proxy/DOH Transfer Via Curl.EXE</t>
  </si>
  <si>
    <t xml:space="preserve">https://filestore.fortinet.com/docs.fortinet.com/fsiem/Public_Resource_Access/7_6_0/rules/PH_RULE_Insecure_Proxy_DOH_Transfer_Via_Curl_EXE.htm</t>
  </si>
  <si>
    <t xml:space="preserve">PH_Rule_windows_SIGMA_3337</t>
  </si>
  <si>
    <t xml:space="preserve">Windows: Insecure Transfer Via Curl.EXE</t>
  </si>
  <si>
    <t xml:space="preserve">https://filestore.fortinet.com/docs.fortinet.com/fsiem/Public_Resource_Access/7_6_0/rules/PH_RULE_Insecure_Transfer_Via_Curl_EXE.htm</t>
  </si>
  <si>
    <t xml:space="preserve">PH_Rule_SIGMA_2604</t>
  </si>
  <si>
    <t xml:space="preserve">Windows: Install New Package Via Winget Local Manifest</t>
  </si>
  <si>
    <t xml:space="preserve">https://filestore.fortinet.com/docs.fortinet.com/fsiem/Public_Resource_Access/7_6_0/rules/PH_RULE_Install_New_Package_Via_Winget_Local_Manifest.htm</t>
  </si>
  <si>
    <t xml:space="preserve">PH_Rule_SIGMA_897</t>
  </si>
  <si>
    <t xml:space="preserve">Windows: Installation of TeamViewer Desktop</t>
  </si>
  <si>
    <t xml:space="preserve">https://filestore.fortinet.com/docs.fortinet.com/fsiem/Public_Resource_Access/7_6_0/rules/PH_RULE_Installation_of_TeamViewer_Desktop.htm</t>
  </si>
  <si>
    <t xml:space="preserve">PH_Rule_windows_SIGMA_3603</t>
  </si>
  <si>
    <t xml:space="preserve">Windows: Installation of WSL Kali-Linux</t>
  </si>
  <si>
    <t xml:space="preserve">https://filestore.fortinet.com/docs.fortinet.com/fsiem/Public_Resource_Access/7_6_0/rules/PH_RULE_Installation_of_WSL_Kali_Linux.htm</t>
  </si>
  <si>
    <t xml:space="preserve">PH_Rule_windows_SIGMA_3511</t>
  </si>
  <si>
    <t xml:space="preserve">Windows: Interesting Service Enumeration Via Sc.EXE</t>
  </si>
  <si>
    <t xml:space="preserve">https://filestore.fortinet.com/docs.fortinet.com/fsiem/Public_Resource_Access/7_6_0/rules/PH_RULE_Interesting_Service_Enumeration_Via_Sc_EXE.htm</t>
  </si>
  <si>
    <t xml:space="preserve">PH_Rule_windows_SIGMA_3712</t>
  </si>
  <si>
    <t xml:space="preserve">Windows: Internet Explorer DisableFirstRunCustomize Enabled</t>
  </si>
  <si>
    <t xml:space="preserve">https://filestore.fortinet.com/docs.fortinet.com/fsiem/Public_Resource_Access/7_6_0/rules/PH_RULE_Internet_Explorer_DisableFirstRunCustomize_Enabled.htm</t>
  </si>
  <si>
    <t xml:space="preserve">PH_Rule_SIGMA_1957</t>
  </si>
  <si>
    <t xml:space="preserve">Windows: Inveigh Execution Artefacts</t>
  </si>
  <si>
    <t xml:space="preserve">https://filestore.fortinet.com/docs.fortinet.com/fsiem/Public_Resource_Access/7_6_0/rules/PH_RULE_Inveigh_Execution_Artefacts.htm</t>
  </si>
  <si>
    <t xml:space="preserve">PH_Rule_windows_SIGMA_3174</t>
  </si>
  <si>
    <t xml:space="preserve">Windows: Invoke-Obfuscation CLIP Launcher - PowerShell</t>
  </si>
  <si>
    <t xml:space="preserve">https://filestore.fortinet.com/docs.fortinet.com/fsiem/Public_Resource_Access/7_6_0/rules/PH_RULE_Invoke_Obfuscation_CLIP_Launcher_PowerShell.htm</t>
  </si>
  <si>
    <t xml:space="preserve">PH_Rule_windows_SIGMA_3099</t>
  </si>
  <si>
    <t xml:space="preserve">Windows: Invoke-Obfuscation CLIP Launcher - PowerShell Module: Sysmon</t>
  </si>
  <si>
    <t xml:space="preserve">https://filestore.fortinet.com/docs.fortinet.com/fsiem/Public_Resource_Access/7_6_0/rules/PH_RULE_Invoke_Obfuscation_CLIP_Launcher_PowerShell_Module.htm</t>
  </si>
  <si>
    <t xml:space="preserve">PH_Rule_SIGMA_1343</t>
  </si>
  <si>
    <t xml:space="preserve">Windows: Invoke-Obfuscation CLIP Launcher: Sysmon</t>
  </si>
  <si>
    <t xml:space="preserve">https://filestore.fortinet.com/docs.fortinet.com/fsiem/Public_Resource_Access/7_6_0/rules/PH_RULE_Invoke_Obfuscation_CLIP_Launcher.htm</t>
  </si>
  <si>
    <t xml:space="preserve">PH_Rule_windows_SIGMA_2860</t>
  </si>
  <si>
    <t xml:space="preserve">Windows: Invoke-Obfuscation CLIP Launcher: System Log</t>
  </si>
  <si>
    <t xml:space="preserve">https://filestore.fortinet.com/docs.fortinet.com/fsiem/Public_Resource_Access/7_6_0/rules/PH_RULE_Invoke_Obfuscation_CLIP_Launcher_System.htm</t>
  </si>
  <si>
    <t xml:space="preserve">PH_Rule_windows_SIGMA_3178</t>
  </si>
  <si>
    <t xml:space="preserve">Windows: Invoke-Obfuscation COMPRESS OBFUSCATION - PowerShell</t>
  </si>
  <si>
    <t xml:space="preserve">https://filestore.fortinet.com/docs.fortinet.com/fsiem/Public_Resource_Access/7_6_0/rules/PH_RULE_Invoke_Obfuscation_COMPRESS_OBFUSCATION_PowerShell.htm</t>
  </si>
  <si>
    <t xml:space="preserve">PH_Rule_windows_SIGMA_3103</t>
  </si>
  <si>
    <t xml:space="preserve">Windows: Invoke-Obfuscation COMPRESS OBFUSCATION - PowerShell Module: Sysmon</t>
  </si>
  <si>
    <t xml:space="preserve">https://filestore.fortinet.com/docs.fortinet.com/fsiem/Public_Resource_Access/7_6_0/rules/PH_RULE_Invoke_Obfuscation_COMPRESS_OBFUSCATION_PowerShell_Module.htm</t>
  </si>
  <si>
    <t xml:space="preserve">PH_Rule_SIGMA_1346</t>
  </si>
  <si>
    <t xml:space="preserve">Windows: Invoke-Obfuscation COMPRESS OBFUSCATION: Sysmon</t>
  </si>
  <si>
    <t xml:space="preserve">https://filestore.fortinet.com/docs.fortinet.com/fsiem/Public_Resource_Access/7_6_0/rules/PH_RULE_Invoke_Obfuscation_COMPRESS_OBFUSCATION_SYSMON.htm</t>
  </si>
  <si>
    <t xml:space="preserve">PH_Rule_SIGMA_1130</t>
  </si>
  <si>
    <t xml:space="preserve">Windows: Invoke-Obfuscation COMPRESS OBFUSCATION: System Log</t>
  </si>
  <si>
    <t xml:space="preserve">https://filestore.fortinet.com/docs.fortinet.com/fsiem/Public_Resource_Access/7_6_0/rules/PH_RULE_Invoke_Obfuscation_COMPRESS_OBFUSCATION_SYSTEM_LOG.htm</t>
  </si>
  <si>
    <t xml:space="preserve">PH_Rule_windows_SIGMA_3175</t>
  </si>
  <si>
    <t xml:space="preserve">Windows: Invoke-Obfuscation Obfuscated IEX Invocation - PowerShell</t>
  </si>
  <si>
    <t xml:space="preserve">https://filestore.fortinet.com/docs.fortinet.com/fsiem/Public_Resource_Access/7_6_0/rules/PH_RULE_Invoke_Obfuscation_Obfuscated_IEX_Invocation_PowerShell.htm</t>
  </si>
  <si>
    <t xml:space="preserve">PH_Rule_windows_SIGMA_3100</t>
  </si>
  <si>
    <t xml:space="preserve">Windows: Invoke-Obfuscation Obfuscated IEX Invocation - PowerShell Module: Sysmon</t>
  </si>
  <si>
    <t xml:space="preserve">https://filestore.fortinet.com/docs.fortinet.com/fsiem/Public_Resource_Access/7_6_0/rules/PH_RULE_Invoke_Obfuscation_Obfuscated_IEX_Invocation_PowerShell_Module.htm</t>
  </si>
  <si>
    <t xml:space="preserve">PH_Rule_SIGMA_432</t>
  </si>
  <si>
    <t xml:space="preserve">Windows: Invoke-Obfuscation Obfuscated IEX Invocation: Sysmon</t>
  </si>
  <si>
    <t xml:space="preserve">https://filestore.fortinet.com/docs.fortinet.com/fsiem/Public_Resource_Access/7_6_0/rules/PH_RULE_Invoke_Obfuscation_Obfuscated_IEX_Invocation.htm</t>
  </si>
  <si>
    <t xml:space="preserve">PH_Rule_SIGMA_253</t>
  </si>
  <si>
    <t xml:space="preserve">Windows: Invoke-Obfuscation Obfuscated IEX Invocation: System Log</t>
  </si>
  <si>
    <t xml:space="preserve">https://filestore.fortinet.com/docs.fortinet.com/fsiem/Public_Resource_Access/7_6_0/rules/PH_RULE_Obfuscated_IEX_Invocation.htm</t>
  </si>
  <si>
    <t xml:space="preserve">PH_Rule_windows_SIGMA_3179</t>
  </si>
  <si>
    <t xml:space="preserve">Windows: Invoke-Obfuscation RUNDLL LAUNCHER - PowerShell</t>
  </si>
  <si>
    <t xml:space="preserve">https://filestore.fortinet.com/docs.fortinet.com/fsiem/Public_Resource_Access/7_6_0/rules/PH_RULE_Invoke_Obfuscation_RUNDLL_LAUNCHER_PowerShell.htm</t>
  </si>
  <si>
    <t xml:space="preserve">PH_Rule_windows_SIGMA_3104</t>
  </si>
  <si>
    <t xml:space="preserve">Windows: Invoke-Obfuscation RUNDLL LAUNCHER - PowerShell Module: Sysmon</t>
  </si>
  <si>
    <t xml:space="preserve">https://filestore.fortinet.com/docs.fortinet.com/fsiem/Public_Resource_Access/7_6_0/rules/PH_RULE_Invoke_Obfuscation_RUNDLL_LAUNCHER_PowerShell_Module.htm</t>
  </si>
  <si>
    <t xml:space="preserve">PH_Rule_SIGMA_1131</t>
  </si>
  <si>
    <t xml:space="preserve">Windows: Invoke-Obfuscation RUNDLL LAUNCHER: System Log</t>
  </si>
  <si>
    <t xml:space="preserve">https://filestore.fortinet.com/docs.fortinet.com/fsiem/Public_Resource_Access/7_6_0/rules/PH_RULE_Invoke_Obfuscation_RUNDLL_LAUNCHER_SYSTEM_LOG.htm</t>
  </si>
  <si>
    <t xml:space="preserve">PH_Rule_windows_SIGMA_3176</t>
  </si>
  <si>
    <t xml:space="preserve">Windows: Invoke-Obfuscation STDIN Launcher - Powershell</t>
  </si>
  <si>
    <t xml:space="preserve">https://filestore.fortinet.com/docs.fortinet.com/fsiem/Public_Resource_Access/7_6_0/rules/PH_RULE_Invoke_Obfuscation_STDIN_Launcher_Powershell.htm</t>
  </si>
  <si>
    <t xml:space="preserve">PH_Rule_windows_SIGMA_3101</t>
  </si>
  <si>
    <t xml:space="preserve">Windows: Invoke-Obfuscation STDIN Launcher - PowerShell Module: Sysmon</t>
  </si>
  <si>
    <t xml:space="preserve">https://filestore.fortinet.com/docs.fortinet.com/fsiem/Public_Resource_Access/7_6_0/rules/PH_RULE_Invoke_Obfuscation_STDIN_Launcher_PowerShell_Module.htm</t>
  </si>
  <si>
    <t xml:space="preserve">PH_Rule_SIGMA_1352</t>
  </si>
  <si>
    <t xml:space="preserve">Windows: Invoke-Obfuscation VAR LAUNCHER OBFUSCATION: Sysmon</t>
  </si>
  <si>
    <t xml:space="preserve">https://filestore.fortinet.com/docs.fortinet.com/fsiem/Public_Resource_Access/7_6_0/rules/PH_RULE_Invoke_Obfuscation_VAR_LAUNCHER_OBFUSCATION_SYSMON.htm</t>
  </si>
  <si>
    <t xml:space="preserve">PH_Rule_windows_SIGMA_2862</t>
  </si>
  <si>
    <t xml:space="preserve">Windows: Invoke-Obfuscation VAR LAUNCHER OBFUSCATION: System Log</t>
  </si>
  <si>
    <t xml:space="preserve">https://filestore.fortinet.com/docs.fortinet.com/fsiem/Public_Resource_Access/7_6_0/rules/PH_RULE_Invoke_Obfuscation_VAR_LAUNCHER_OBFUSCATION_System.htm</t>
  </si>
  <si>
    <t xml:space="preserve">PH_Rule_windows_SIGMA_2861</t>
  </si>
  <si>
    <t xml:space="preserve">Windows: Invoke-Obfuscation VAR Launcher: System Log</t>
  </si>
  <si>
    <t xml:space="preserve">https://filestore.fortinet.com/docs.fortinet.com/fsiem/Public_Resource_Access/7_6_0/rules/PH_RULE_Invoke_Obfuscation_VAR_Launcher_System.htm</t>
  </si>
  <si>
    <t xml:space="preserve">PH_Rule_windows_SIGMA_3180</t>
  </si>
  <si>
    <t xml:space="preserve">Windows: Invoke-Obfuscation Via Stdin - Powershell</t>
  </si>
  <si>
    <t xml:space="preserve">https://filestore.fortinet.com/docs.fortinet.com/fsiem/Public_Resource_Access/7_6_0/rules/PH_RULE_Invoke_Obfuscation_Via_Stdin_Powershell.htm</t>
  </si>
  <si>
    <t xml:space="preserve">PH_Rule_windows_SIGMA_3105</t>
  </si>
  <si>
    <t xml:space="preserve">Windows: Invoke-Obfuscation Via Stdin - PowerShell Module: Sysmon</t>
  </si>
  <si>
    <t xml:space="preserve">https://filestore.fortinet.com/docs.fortinet.com/fsiem/Public_Resource_Access/7_6_0/rules/PH_RULE_Invoke_Obfuscation_Via_Stdin_PowerShell_Module.htm</t>
  </si>
  <si>
    <t xml:space="preserve">PH_Rule_SIGMA_1348</t>
  </si>
  <si>
    <t xml:space="preserve">Windows: Invoke-Obfuscation Via Stdin: Sysmon</t>
  </si>
  <si>
    <t xml:space="preserve">https://filestore.fortinet.com/docs.fortinet.com/fsiem/Public_Resource_Access/7_6_0/rules/PH_RULE_Invoke_Obfuscation_Via_Stdin_SYSMON.htm</t>
  </si>
  <si>
    <t xml:space="preserve">PH_Rule_SIGMA_1132</t>
  </si>
  <si>
    <t xml:space="preserve">Windows: Invoke-Obfuscation Via Stdin: System Log</t>
  </si>
  <si>
    <t xml:space="preserve">https://filestore.fortinet.com/docs.fortinet.com/fsiem/Public_Resource_Access/7_6_0/rules/PH_RULE_Invoke_Obfuscation_Via_Stdin_SYSTEM_LOG.htm</t>
  </si>
  <si>
    <t xml:space="preserve">PH_Rule_windows_SIGMA_3181</t>
  </si>
  <si>
    <t xml:space="preserve">Windows: Invoke-Obfuscation Via Use Clip - Powershell</t>
  </si>
  <si>
    <t xml:space="preserve">https://filestore.fortinet.com/docs.fortinet.com/fsiem/Public_Resource_Access/7_6_0/rules/PH_RULE_Invoke_Obfuscation_Via_Use_Clip_Powershell.htm</t>
  </si>
  <si>
    <t xml:space="preserve">PH_Rule_windows_SIGMA_3106</t>
  </si>
  <si>
    <t xml:space="preserve">Windows: Invoke-Obfuscation Via Use Clip - PowerShell Module: Sysmon</t>
  </si>
  <si>
    <t xml:space="preserve">https://filestore.fortinet.com/docs.fortinet.com/fsiem/Public_Resource_Access/7_6_0/rules/PH_RULE_Invoke_Obfuscation_Via_Use_Clip_PowerShell_Module.htm</t>
  </si>
  <si>
    <t xml:space="preserve">PH_Rule_SIGMA_1349</t>
  </si>
  <si>
    <t xml:space="preserve">Windows: Invoke-Obfuscation Via Use Clip: Sysmon</t>
  </si>
  <si>
    <t xml:space="preserve">https://filestore.fortinet.com/docs.fortinet.com/fsiem/Public_Resource_Access/7_6_0/rules/PH_RULE_Invoke_Obfuscation_Via_Use_Clip_SYSMON.htm</t>
  </si>
  <si>
    <t xml:space="preserve">PH_Rule_SIGMA_1133</t>
  </si>
  <si>
    <t xml:space="preserve">Windows: Invoke-Obfuscation Via Use Clip: System Log</t>
  </si>
  <si>
    <t xml:space="preserve">https://filestore.fortinet.com/docs.fortinet.com/fsiem/Public_Resource_Access/7_6_0/rules/PH_RULE_Invoke_Obfuscation_Via_Use_Clip_SYSYEM_LOG.htm</t>
  </si>
  <si>
    <t xml:space="preserve">PH_Rule_windows_SIGMA_3182</t>
  </si>
  <si>
    <t xml:space="preserve">Windows: Invoke-Obfuscation Via Use MSHTA - PowerShell</t>
  </si>
  <si>
    <t xml:space="preserve">https://filestore.fortinet.com/docs.fortinet.com/fsiem/Public_Resource_Access/7_6_0/rules/PH_RULE_Invoke_Obfuscation_Via_Use_MSHTA_PowerShell.htm</t>
  </si>
  <si>
    <t xml:space="preserve">PH_Rule_windows_SIGMA_3107</t>
  </si>
  <si>
    <t xml:space="preserve">Windows: Invoke-Obfuscation Via Use MSHTA - PowerShell Module: Sysmon</t>
  </si>
  <si>
    <t xml:space="preserve">https://filestore.fortinet.com/docs.fortinet.com/fsiem/Public_Resource_Access/7_6_0/rules/PH_RULE_Invoke_Obfuscation_Via_Use_MSHTA_PowerShell_Module.htm</t>
  </si>
  <si>
    <t xml:space="preserve">PH_Rule_SIGMA_1350</t>
  </si>
  <si>
    <t xml:space="preserve">Windows: Invoke-Obfuscation Via Use MSHTA: Sysmon</t>
  </si>
  <si>
    <t xml:space="preserve">https://filestore.fortinet.com/docs.fortinet.com/fsiem/Public_Resource_Access/7_6_0/rules/PH_RULE_Invoke_Obfuscation_Via_Use_MSHTA_SYSMON.htm</t>
  </si>
  <si>
    <t xml:space="preserve">PH_Rule_SIGMA_1134</t>
  </si>
  <si>
    <t xml:space="preserve">Windows: Invoke-Obfuscation Via Use MSHTA: System Log</t>
  </si>
  <si>
    <t xml:space="preserve">https://filestore.fortinet.com/docs.fortinet.com/fsiem/Public_Resource_Access/7_6_0/rules/PH_RULE_Invoke_Obfuscation_Via_Use_MSHTA_SYSTEM_LOG.htm</t>
  </si>
  <si>
    <t xml:space="preserve">PH_Rule_windows_SIGMA_3183</t>
  </si>
  <si>
    <t xml:space="preserve">Windows: Invoke-Obfuscation Via Use Rundll32 - PowerShell</t>
  </si>
  <si>
    <t xml:space="preserve">https://filestore.fortinet.com/docs.fortinet.com/fsiem/Public_Resource_Access/7_6_0/rules/PH_RULE_Invoke_Obfuscation_Via_Use_Rundll32_PowerShell.htm</t>
  </si>
  <si>
    <t xml:space="preserve">PH_Rule_windows_SIGMA_3108</t>
  </si>
  <si>
    <t xml:space="preserve">Windows: Invoke-Obfuscation Via Use Rundll32 - PowerShell Module: Sysmon</t>
  </si>
  <si>
    <t xml:space="preserve">https://filestore.fortinet.com/docs.fortinet.com/fsiem/Public_Resource_Access/7_6_0/rules/PH_RULE_Invoke_Obfuscation_Via_Use_Rundll32_PowerShell_Module.htm</t>
  </si>
  <si>
    <t xml:space="preserve">PH_Rule_SIGMA_1135</t>
  </si>
  <si>
    <t xml:space="preserve">Windows: Invoke-Obfuscation Via Use Rundll32: System Log</t>
  </si>
  <si>
    <t xml:space="preserve">https://filestore.fortinet.com/docs.fortinet.com/fsiem/Public_Resource_Access/7_6_0/rules/PH_RULE_Invoke_Obfuscation_Via_Use_Rundll32_SYSTEM_LOG.htm</t>
  </si>
  <si>
    <t xml:space="preserve">PH_Rule_windows_SIGMA_2853</t>
  </si>
  <si>
    <t xml:space="preserve">Windows: ISATAP Router Address Was Set</t>
  </si>
  <si>
    <t xml:space="preserve">https://filestore.fortinet.com/docs.fortinet.com/fsiem/Public_Resource_Access/7_6_0/rules/PH_RULE_ISATAP_Router_Address_Was_Set.htm</t>
  </si>
  <si>
    <t xml:space="preserve">PH_Rule_SIGMA_1962</t>
  </si>
  <si>
    <t xml:space="preserve">Windows: ISO File Created Within Temp Folders</t>
  </si>
  <si>
    <t xml:space="preserve">https://filestore.fortinet.com/docs.fortinet.com/fsiem/Public_Resource_Access/7_6_0/rules/PH_RULE_ISO_File_Created_Within_Temp_Folders.htm</t>
  </si>
  <si>
    <t xml:space="preserve">PH_Rule_SIGMA_898</t>
  </si>
  <si>
    <t xml:space="preserve">Windows: ISO or Image Mount Indicator in Recent Files</t>
  </si>
  <si>
    <t xml:space="preserve">https://filestore.fortinet.com/docs.fortinet.com/fsiem/Public_Resource_Access/7_6_0/rules/PH_RULE_ISO_or_Image_Mount_Indicator_in_Recent_Files.htm</t>
  </si>
  <si>
    <t xml:space="preserve">PH_Rule_SIGMA_623</t>
  </si>
  <si>
    <t xml:space="preserve">Windows: Java Running with Remote Debugging</t>
  </si>
  <si>
    <t xml:space="preserve">https://filestore.fortinet.com/docs.fortinet.com/fsiem/Public_Resource_Access/7_6_0/rules/PH_RULE_Java_Running_with_Remote_Debugging.htm</t>
  </si>
  <si>
    <t xml:space="preserve">PH_Rule_windows_SIGMA_3390</t>
  </si>
  <si>
    <t xml:space="preserve">Windows: JScript Compiler Execution</t>
  </si>
  <si>
    <t xml:space="preserve">https://filestore.fortinet.com/docs.fortinet.com/fsiem/Public_Resource_Access/7_6_0/rules/PH_RULE_JScript_Compiler_Execution.htm</t>
  </si>
  <si>
    <t xml:space="preserve">PH_Rule_SIGMA_2368</t>
  </si>
  <si>
    <t xml:space="preserve">Windows: Kavremover Dropped Binary LOLBIN Usage</t>
  </si>
  <si>
    <t xml:space="preserve">https://filestore.fortinet.com/docs.fortinet.com/fsiem/Public_Resource_Access/7_6_0/rules/PH_RULE_Kavremover_Dropped_Binary_LOLBIN_Usage.htm</t>
  </si>
  <si>
    <t xml:space="preserve">PH_Rule_windows_SIGMA_3559</t>
  </si>
  <si>
    <t xml:space="preserve">Windows: Kernel Memory Dump Via LiveKD</t>
  </si>
  <si>
    <t xml:space="preserve">https://filestore.fortinet.com/docs.fortinet.com/fsiem/Public_Resource_Access/7_6_0/rules/PH_RULE_Kernel_Memory_Dump_Via_LiveKD.htm</t>
  </si>
  <si>
    <t xml:space="preserve">PH_Rule_SIGMA_2369</t>
  </si>
  <si>
    <t xml:space="preserve">Windows: Launch-VsDevShell.PS1 Proxy Execution</t>
  </si>
  <si>
    <t xml:space="preserve">https://filestore.fortinet.com/docs.fortinet.com/fsiem/Public_Resource_Access/7_6_0/rules/PH_RULE_Launch_VsDevShell_PS1_Proxy_Execution.htm</t>
  </si>
  <si>
    <t xml:space="preserve">PH_Rule_SIGMA_1963</t>
  </si>
  <si>
    <t xml:space="preserve">Windows: Legitimate Application Dropped Archive</t>
  </si>
  <si>
    <t xml:space="preserve">https://filestore.fortinet.com/docs.fortinet.com/fsiem/Public_Resource_Access/7_6_0/rules/PH_RULE_Legitimate_Application_Dropped_Archive.htm</t>
  </si>
  <si>
    <t xml:space="preserve">PH_Rule_SIGMA_1964</t>
  </si>
  <si>
    <t xml:space="preserve">Windows: Legitimate Application Dropped Executable</t>
  </si>
  <si>
    <t xml:space="preserve">https://filestore.fortinet.com/docs.fortinet.com/fsiem/Public_Resource_Access/7_6_0/rules/PH_RULE_Legitimate_Application_Dropped_Executable.htm</t>
  </si>
  <si>
    <t xml:space="preserve">PH_Rule_SIGMA_1965</t>
  </si>
  <si>
    <t xml:space="preserve">Windows: Legitimate Application Dropped Script</t>
  </si>
  <si>
    <t xml:space="preserve">https://filestore.fortinet.com/docs.fortinet.com/fsiem/Public_Resource_Access/7_6_0/rules/PH_RULE_Legitimate_Application_Dropped_Script.htm</t>
  </si>
  <si>
    <t xml:space="preserve">PH_Rule_windows_SIGMA_2975</t>
  </si>
  <si>
    <t xml:space="preserve">Windows: Legitimate Application Writing Files In Uncommon Location</t>
  </si>
  <si>
    <t xml:space="preserve">https://filestore.fortinet.com/docs.fortinet.com/fsiem/Public_Resource_Access/7_6_0/rules/PH_RULE_Legitimate_Application_Writing_Files_In_Uncommon_Location.htm</t>
  </si>
  <si>
    <t xml:space="preserve">PH_Rule_SIGMA_1077</t>
  </si>
  <si>
    <t xml:space="preserve">Windows: LittleCorporal Generated Maldoc Injection</t>
  </si>
  <si>
    <t xml:space="preserve">https://filestore.fortinet.com/docs.fortinet.com/fsiem/Public_Resource_Access/7_6_0/rules/PH_RULE_LittleCorporal_Generated_Maldoc_Injection.htm</t>
  </si>
  <si>
    <t xml:space="preserve">PH_Rule_windows_SIGMA_3190</t>
  </si>
  <si>
    <t xml:space="preserve">Windows: Live Memory Dump Using Powershell</t>
  </si>
  <si>
    <t xml:space="preserve">https://filestore.fortinet.com/docs.fortinet.com/fsiem/Public_Resource_Access/7_6_0/rules/PH_RULE_Live_Memory_Dump_Using_Powershell.htm</t>
  </si>
  <si>
    <t xml:space="preserve">PH_Rule_windows_SIGMA_2983</t>
  </si>
  <si>
    <t xml:space="preserve">Windows: LiveKD Driver Creation</t>
  </si>
  <si>
    <t xml:space="preserve">https://filestore.fortinet.com/docs.fortinet.com/fsiem/Public_Resource_Access/7_6_0/rules/PH_RULE_LiveKD_Driver_Creation.htm</t>
  </si>
  <si>
    <t xml:space="preserve">PH_Rule_windows_SIGMA_2984</t>
  </si>
  <si>
    <t xml:space="preserve">Windows: LiveKD Driver Creation By Uncommon Process</t>
  </si>
  <si>
    <t xml:space="preserve">https://filestore.fortinet.com/docs.fortinet.com/fsiem/Public_Resource_Access/7_6_0/rules/PH_RULE_LiveKD_Driver_Creation_By_Uncommon_Process.htm</t>
  </si>
  <si>
    <t xml:space="preserve">PH_Rule_windows_SIGMA_2982</t>
  </si>
  <si>
    <t xml:space="preserve">Windows: LiveKD Kernel Memory Dump File Created</t>
  </si>
  <si>
    <t xml:space="preserve">https://filestore.fortinet.com/docs.fortinet.com/fsiem/Public_Resource_Access/7_6_0/rules/PH_RULE_LiveKD_Kernel_Memory_Dump_File_Created.htm</t>
  </si>
  <si>
    <t xml:space="preserve">PH_Rule_windows_SIGMA_2994</t>
  </si>
  <si>
    <t xml:space="preserve">Windows: Load Of RstrtMgr.DLL By A Suspicious Process</t>
  </si>
  <si>
    <t xml:space="preserve">https://filestore.fortinet.com/docs.fortinet.com/fsiem/Public_Resource_Access/7_6_0/rules/PH_RULE_Load_Of_RstrtMgr_DLL_By_A_Suspicious_Process.htm</t>
  </si>
  <si>
    <t xml:space="preserve">PH_Rule_windows_SIGMA_2995</t>
  </si>
  <si>
    <t xml:space="preserve">Windows: Load Of RstrtMgr.DLL By An Uncommon Process</t>
  </si>
  <si>
    <t xml:space="preserve">https://filestore.fortinet.com/docs.fortinet.com/fsiem/Public_Resource_Access/7_6_0/rules/PH_RULE_Load_Of_RstrtMgr_DLL_By_An_Uncommon_Process.htm</t>
  </si>
  <si>
    <t xml:space="preserve">PH_Rule_windows_SIGMA_3563</t>
  </si>
  <si>
    <t xml:space="preserve">Windows: Loaded Module Enumeration Via Tasklist.EXE</t>
  </si>
  <si>
    <t xml:space="preserve">https://filestore.fortinet.com/docs.fortinet.com/fsiem/Public_Resource_Access/7_6_0/rules/PH_RULE_Loaded_Module_Enumeration_Via_Tasklist_EXE.htm</t>
  </si>
  <si>
    <t xml:space="preserve">PH_Rule_SIGMA_1819</t>
  </si>
  <si>
    <t xml:space="preserve">Windows: Loading Diagcab Package From Remote Path</t>
  </si>
  <si>
    <t xml:space="preserve">Microsoft Windows Diagnosis Scripted logs via Windows Collector</t>
  </si>
  <si>
    <t xml:space="preserve">https://filestore.fortinet.com/docs.fortinet.com/fsiem/Public_Resource_Access/7_6_0/rules/PH_RULE_Loading_Diagcab_Package_From_Remote_Path.htm</t>
  </si>
  <si>
    <t xml:space="preserve">PH_Rule_SIGMA_435</t>
  </si>
  <si>
    <t xml:space="preserve">Windows: Local Accounts Discovery</t>
  </si>
  <si>
    <t xml:space="preserve">https://filestore.fortinet.com/docs.fortinet.com/fsiem/Public_Resource_Access/7_6_0/rules/PH_RULE_Local_Accounts_Discovery.htm</t>
  </si>
  <si>
    <t xml:space="preserve">PH_Rule_windows_SIGMA_3339</t>
  </si>
  <si>
    <t xml:space="preserve">Windows: Local File Read Using Curl.EXE</t>
  </si>
  <si>
    <t xml:space="preserve">https://filestore.fortinet.com/docs.fortinet.com/fsiem/Public_Resource_Access/7_6_0/rules/PH_RULE_Local_File_Read_Using_Curl_EXE.htm</t>
  </si>
  <si>
    <t xml:space="preserve">PH_Rule_windows_SIGMA_3059</t>
  </si>
  <si>
    <t xml:space="preserve">Windows: Local Network Connection Initiated By Script Interpreter</t>
  </si>
  <si>
    <t xml:space="preserve">https://filestore.fortinet.com/docs.fortinet.com/fsiem/Public_Resource_Access/7_6_0/rules/PH_RULE_Local_Network_Connection_Initiated_By_Script_Interpreter.htm</t>
  </si>
  <si>
    <t xml:space="preserve">PH_Rule_SIGMA_1862</t>
  </si>
  <si>
    <t xml:space="preserve">Windows: Local Privilege Escalation Indicator TabTip</t>
  </si>
  <si>
    <t xml:space="preserve">https://filestore.fortinet.com/docs.fortinet.com/fsiem/Public_Resource_Access/7_6_0/rules/PH_RULE_Local_Privilege_Escalation_Indicator_TabTip.htm</t>
  </si>
  <si>
    <t xml:space="preserve">PH_Rule_windows_SIGMA_3533</t>
  </si>
  <si>
    <t xml:space="preserve">Windows: LOL-Binary Copied From System Directory</t>
  </si>
  <si>
    <t xml:space="preserve">https://filestore.fortinet.com/docs.fortinet.com/fsiem/Public_Resource_Access/7_6_0/rules/PH_RULE_LOL_Binary_Copied_From_System_Directory.htm</t>
  </si>
  <si>
    <t xml:space="preserve">PH_Rule_SIGMA_1365</t>
  </si>
  <si>
    <t xml:space="preserve">Windows: LOLBAS Data Exfiltration by DataSvcUtil.exe</t>
  </si>
  <si>
    <t xml:space="preserve">https://filestore.fortinet.com/docs.fortinet.com/fsiem/Public_Resource_Access/7_6_0/rules/PH_RULE_LOLBAS_Data_Exfiltration_by_DataSvcUtil_exe.htm</t>
  </si>
  <si>
    <t xml:space="preserve">PH_Rule_windows_SIGMA_3714</t>
  </si>
  <si>
    <t xml:space="preserve">Windows: Lolbas OneDriveStandaloneUpdater.exe Proxy Download</t>
  </si>
  <si>
    <t xml:space="preserve">https://filestore.fortinet.com/docs.fortinet.com/fsiem/Public_Resource_Access/7_6_0/rules/PH_RULE_Lolbas_OneDriveStandaloneUpdater_exe_Proxy_Download.htm</t>
  </si>
  <si>
    <t xml:space="preserve">PH_Rule_windows_SIGMA_3545</t>
  </si>
  <si>
    <t xml:space="preserve">Windows: LOLBIN Execution From Abnormal Drive</t>
  </si>
  <si>
    <t xml:space="preserve">https://filestore.fortinet.com/docs.fortinet.com/fsiem/Public_Resource_Access/7_6_0/rules/PH_RULE_LOLBIN_Execution_From_Abnormal_Drive.htm</t>
  </si>
  <si>
    <t xml:space="preserve">PH_Rule_SIGMA_2377</t>
  </si>
  <si>
    <t xml:space="preserve">Windows: Lolbin Runexehelper Use As Proxy</t>
  </si>
  <si>
    <t xml:space="preserve">https://filestore.fortinet.com/docs.fortinet.com/fsiem/Public_Resource_Access/7_6_0/rules/PH_RULE_Lolbin_Runexehelper_Use_As_Proxy.htm</t>
  </si>
  <si>
    <t xml:space="preserve">PH_Rule_SIGMA_2385</t>
  </si>
  <si>
    <t xml:space="preserve">Windows: Lolbin Unregmp2.exe Use As Proxy</t>
  </si>
  <si>
    <t xml:space="preserve">https://filestore.fortinet.com/docs.fortinet.com/fsiem/Public_Resource_Access/7_6_0/rules/PH_RULE_Lolbin_Unregmp2_exe_Use_As_Proxy.htm</t>
  </si>
  <si>
    <t xml:space="preserve">PH_Rule_windows_SIGMA_3398</t>
  </si>
  <si>
    <t xml:space="preserve">Windows: LSA PPL Protection Setting Modification via CommandLine</t>
  </si>
  <si>
    <t xml:space="preserve">https://filestore.fortinet.com/docs.fortinet.com/fsiem/Public_Resource_Access/7_6_0/rules/PH_RULE_LSA_PPL_Protection_Setting_Modification_via_CommandLine.htm</t>
  </si>
  <si>
    <t xml:space="preserve">PH_Rule_windows_SIGMA_3732</t>
  </si>
  <si>
    <t xml:space="preserve">Windows: Macro Enabled In A Potentially Suspicious Document</t>
  </si>
  <si>
    <t xml:space="preserve">https://filestore.fortinet.com/docs.fortinet.com/fsiem/Public_Resource_Access/7_6_0/rules/PH_RULE_Macro_Enabled_In_A_Potentially_Suspicious_Document.htm</t>
  </si>
  <si>
    <t xml:space="preserve">PH_Rule_windows_SIGMA_2812</t>
  </si>
  <si>
    <t xml:space="preserve">Windows: Mailbox Export to Exchange Webserver</t>
  </si>
  <si>
    <t xml:space="preserve">https://filestore.fortinet.com/docs.fortinet.com/fsiem/Public_Resource_Access/7_6_0/rules/PH_RULE_Mailbox_Export_to_Exchange_Webserver.htm</t>
  </si>
  <si>
    <t xml:space="preserve">PH_Rule_SIGMA_579</t>
  </si>
  <si>
    <t xml:space="preserve">Windows: Malicious Base64 Encoded PowerShell Keywords in Command Lines</t>
  </si>
  <si>
    <t xml:space="preserve">https://filestore.fortinet.com/docs.fortinet.com/fsiem/Public_Resource_Access/7_6_0/rules/PH_RULE_Malicious_Base64_Encoded_PowerShell_Keywords_in_Command_Lines.htm</t>
  </si>
  <si>
    <t xml:space="preserve">PH_Rule_SIGMA_1961</t>
  </si>
  <si>
    <t xml:space="preserve">Windows: Malicious DLL File Dropped in the Teams or OneDrive Folder</t>
  </si>
  <si>
    <t xml:space="preserve">https://filestore.fortinet.com/docs.fortinet.com/fsiem/Public_Resource_Access/7_6_0/rules/PH_RULE_Malicious_DLL_File_Dropped_in_the_Teams_or_OneDrive_Folder.htm</t>
  </si>
  <si>
    <t xml:space="preserve">PH_Rule_windows_SIGMA_2921</t>
  </si>
  <si>
    <t xml:space="preserve">Windows: Malicious Driver Load By Name</t>
  </si>
  <si>
    <t xml:space="preserve">https://filestore.fortinet.com/docs.fortinet.com/fsiem/Public_Resource_Access/7_6_0/rules/PH_RULE_Malicious_Driver_Load_By_Name.htm</t>
  </si>
  <si>
    <t xml:space="preserve">PH_Rule_windows_SIGMA_3075</t>
  </si>
  <si>
    <t xml:space="preserve">Windows: Malicious Named Pipe Created</t>
  </si>
  <si>
    <t xml:space="preserve">https://filestore.fortinet.com/docs.fortinet.com/fsiem/Public_Resource_Access/7_6_0/rules/PH_RULE_Malicious_Named_Pipe_Created.htm</t>
  </si>
  <si>
    <t xml:space="preserve">PH_Rule_windows_SIGMA_3194</t>
  </si>
  <si>
    <t xml:space="preserve">Windows: Malicious Nishang PowerShell Commandlets</t>
  </si>
  <si>
    <t xml:space="preserve">https://filestore.fortinet.com/docs.fortinet.com/fsiem/Public_Resource_Access/7_6_0/rules/PH_RULE_Malicious_Nishang_PowerShell_Commandlets.htm</t>
  </si>
  <si>
    <t xml:space="preserve">PH_Rule_SIGMA_1677</t>
  </si>
  <si>
    <t xml:space="preserve">Windows: Malicious PE Execution by Microsoft Visual Studio Debugger</t>
  </si>
  <si>
    <t xml:space="preserve">https://filestore.fortinet.com/docs.fortinet.com/fsiem/Public_Resource_Access/7_6_0/rules/PH_RULE_Malicious_PE_Execution_by_Microsoft_Visual_Studio_Debugger.htm</t>
  </si>
  <si>
    <t xml:space="preserve">PH_Rule_windows_SIGMA_3189</t>
  </si>
  <si>
    <t xml:space="preserve">Windows: Malicious PowerShell Keywords</t>
  </si>
  <si>
    <t xml:space="preserve">https://filestore.fortinet.com/docs.fortinet.com/fsiem/Public_Resource_Access/7_6_0/rules/PH_RULE_Malicious_PowerShell_Keywords.htm</t>
  </si>
  <si>
    <t xml:space="preserve">PH_Rule_windows_SIGMA_3217</t>
  </si>
  <si>
    <t xml:space="preserve">Windows: Malicious ShellIntel PowerShell Commandlets</t>
  </si>
  <si>
    <t xml:space="preserve">https://filestore.fortinet.com/docs.fortinet.com/fsiem/Public_Resource_Access/7_6_0/rules/PH_RULE_Malicious_ShellIntel_PowerShell_Commandlets.htm</t>
  </si>
  <si>
    <t xml:space="preserve">PH_Rule_SIGMA_1676</t>
  </si>
  <si>
    <t xml:space="preserve">Windows: Malicious Windows Script Components File Execution by TAEF Detection</t>
  </si>
  <si>
    <t xml:space="preserve">https://filestore.fortinet.com/docs.fortinet.com/fsiem/Public_Resource_Access/7_6_0/rules/PH_RULE_Malicious_Windows_Script_Components_File_Execution_by_TAEF_Detection.htm</t>
  </si>
  <si>
    <t xml:space="preserve">PH_Rule_SIGMA_1303</t>
  </si>
  <si>
    <t xml:space="preserve">Windows: Mavinject Inject DLL Into Running Process</t>
  </si>
  <si>
    <t xml:space="preserve">https://filestore.fortinet.com/docs.fortinet.com/fsiem/Public_Resource_Access/7_6_0/rules/PH_RULE_Mavinject_Inject_DLL_Into_Running_Process.htm</t>
  </si>
  <si>
    <t xml:space="preserve">PH_Rule_windows_SIGMA_3735</t>
  </si>
  <si>
    <t xml:space="preserve">Windows: MaxMpxCt Registry Value Changed</t>
  </si>
  <si>
    <t xml:space="preserve">https://filestore.fortinet.com/docs.fortinet.com/fsiem/Public_Resource_Access/7_6_0/rules/PH_RULE_MaxMpxCt_Registry_Value_Changed.htm</t>
  </si>
  <si>
    <t xml:space="preserve">PH_Rule_SIGMA_1869</t>
  </si>
  <si>
    <t xml:space="preserve">Windows: Mesh Agent Service Installation</t>
  </si>
  <si>
    <t xml:space="preserve">https://filestore.fortinet.com/docs.fortinet.com/fsiem/Public_Resource_Access/7_6_0/rules/PH_RULE_Mesh_Agent_Service_Installation.htm</t>
  </si>
  <si>
    <t xml:space="preserve">PH_Rule_SIGMA_40</t>
  </si>
  <si>
    <t xml:space="preserve">Windows: Meterpreter or Cobalt Strike Getsystem Service Installation - System</t>
  </si>
  <si>
    <t xml:space="preserve">https://filestore.fortinet.com/docs.fortinet.com/fsiem/Public_Resource_Access/7_6_0/rules/PH_RULE_Meterpreter_Cobalt_Strike_Installation_SYSTEM_LOG.htm</t>
  </si>
  <si>
    <t xml:space="preserve">PH_Rule_SIGMA_366</t>
  </si>
  <si>
    <t xml:space="preserve">Windows: Microsoft Binary Suspicious Communication Endpoint</t>
  </si>
  <si>
    <t xml:space="preserve">https://filestore.fortinet.com/docs.fortinet.com/fsiem/Public_Resource_Access/7_6_0/rules/PH_RULE_Microsoft_Binary_Suspicious_Communication_Endpoint.htm</t>
  </si>
  <si>
    <t xml:space="preserve">PH_Rule_windows_SIGMA_2884</t>
  </si>
  <si>
    <t xml:space="preserve">Windows: Microsoft Defender Tamper Protection Trigger</t>
  </si>
  <si>
    <t xml:space="preserve">https://filestore.fortinet.com/docs.fortinet.com/fsiem/Public_Resource_Access/7_6_0/rules/PH_RULE_Microsoft_Defender_Tamper_Protection_Trigger.htm</t>
  </si>
  <si>
    <t xml:space="preserve">PH_Rule_SIGMA_2019</t>
  </si>
  <si>
    <t xml:space="preserve">Windows: Microsoft Excel Add-In Loaded From Uncommon Location</t>
  </si>
  <si>
    <t xml:space="preserve">https://filestore.fortinet.com/docs.fortinet.com/fsiem/Public_Resource_Access/7_6_0/rules/PH_RULE_Microsoft_Excel_Add_In_Loaded_From_Uncommon_Location.htm</t>
  </si>
  <si>
    <t xml:space="preserve">PH_Rule_SIGMA_2352</t>
  </si>
  <si>
    <t xml:space="preserve">Windows: Microsoft IIS Connection Strings Decryption</t>
  </si>
  <si>
    <t xml:space="preserve">https://filestore.fortinet.com/docs.fortinet.com/fsiem/Public_Resource_Access/7_6_0/rules/PH_RULE_Microsoft_IIS_Connection_Strings_Decryption.htm</t>
  </si>
  <si>
    <t xml:space="preserve">PH_Rule_SIGMA_1801</t>
  </si>
  <si>
    <t xml:space="preserve">Windows: Microsoft Malware Protection Engine Crash - WER</t>
  </si>
  <si>
    <t xml:space="preserve">https://filestore.fortinet.com/docs.fortinet.com/fsiem/Public_Resource_Access/7_6_0/rules/PH_RULE_Microsoft_Malware_Protection_Engine_Crash_WER.htm</t>
  </si>
  <si>
    <t xml:space="preserve">PH_Rule_SIGMA_2036</t>
  </si>
  <si>
    <t xml:space="preserve">Windows: Microsoft Office DLL Sideload</t>
  </si>
  <si>
    <t xml:space="preserve">https://filestore.fortinet.com/docs.fortinet.com/fsiem/Public_Resource_Access/7_6_0/rules/PH_RULE_Microsoft_Office_DLL_Sideload.htm</t>
  </si>
  <si>
    <t xml:space="preserve">PH_Rule_SIGMA_1779</t>
  </si>
  <si>
    <t xml:space="preserve">Windows: Microsoft Sync Center Suspicious Network Connections</t>
  </si>
  <si>
    <t xml:space="preserve">https://filestore.fortinet.com/docs.fortinet.com/fsiem/Public_Resource_Access/7_6_0/rules/PH_RULE_Microsoft_Sync_Center_Suspicious_Network_Connections.htm</t>
  </si>
  <si>
    <t xml:space="preserve">PH_Rule_SIGMA_2020</t>
  </si>
  <si>
    <t xml:space="preserve">Windows: Microsoft VBA For Outlook Addin Loaded Via Outlook</t>
  </si>
  <si>
    <t xml:space="preserve">https://filestore.fortinet.com/docs.fortinet.com/fsiem/Public_Resource_Access/7_6_0/rules/PH_RULE_Microsoft_VBA_For_Outlook_Addin_Loaded_Via_Outlook.htm</t>
  </si>
  <si>
    <t xml:space="preserve">PH_Rule_windows_SIGMA_3401</t>
  </si>
  <si>
    <t xml:space="preserve">Windows: MMC Executing Files with Reversed Extensions Using RTLO Abuse</t>
  </si>
  <si>
    <t xml:space="preserve">https://filestore.fortinet.com/docs.fortinet.com/fsiem/Public_Resource_Access/7_6_0/rules/PH_RULE_MMC_Executing_Files_with_Reversed_Extensions_Using_RTLO_Abuse.htm</t>
  </si>
  <si>
    <t xml:space="preserve">PH_Rule_windows_SIGMA_3031</t>
  </si>
  <si>
    <t xml:space="preserve">Windows: MMC Loading Script Engines DLLs</t>
  </si>
  <si>
    <t xml:space="preserve">https://filestore.fortinet.com/docs.fortinet.com/fsiem/Public_Resource_Access/7_6_0/rules/PH_RULE_MMC_Loading_Script_Engines_DLLs.htm</t>
  </si>
  <si>
    <t xml:space="preserve">PH_Rule_windows_SIGMA_3748</t>
  </si>
  <si>
    <t xml:space="preserve">Windows: Modification of IE Registry Settings</t>
  </si>
  <si>
    <t xml:space="preserve">https://filestore.fortinet.com/docs.fortinet.com/fsiem/Public_Resource_Access/7_6_0/rules/PH_RULE_Modification_of_IE_Registry_Settings.htm</t>
  </si>
  <si>
    <t xml:space="preserve">PH_Rule_windows_SIGMA_3799</t>
  </si>
  <si>
    <t xml:space="preserve">Windows: Modify User Shell Folders Startup Value</t>
  </si>
  <si>
    <t xml:space="preserve">https://filestore.fortinet.com/docs.fortinet.com/fsiem/Public_Resource_Access/7_6_0/rules/PH_RULE_Modify_User_Shell_Folders_Startup_Value.htm</t>
  </si>
  <si>
    <t xml:space="preserve">PH_Rule_SIGMA_1429</t>
  </si>
  <si>
    <t xml:space="preserve">Windows: Monitoring For Persistence Via BITS</t>
  </si>
  <si>
    <t xml:space="preserve">https://filestore.fortinet.com/docs.fortinet.com/fsiem/Public_Resource_Access/7_6_0/rules/PH_RULE_Monitoring_For_Persistence_Via_BITS.htm</t>
  </si>
  <si>
    <t xml:space="preserve">PH_Rule_SIGMA_1138</t>
  </si>
  <si>
    <t xml:space="preserve">Windows: Moriya Rootkit: System Log</t>
  </si>
  <si>
    <t xml:space="preserve">https://filestore.fortinet.com/docs.fortinet.com/fsiem/Public_Resource_Access/7_6_0/rules/PH_RULE_Moriya_Rootkit_SYSTEM_LOG.htm</t>
  </si>
  <si>
    <t xml:space="preserve">PH_Rule_SIGMA_1578</t>
  </si>
  <si>
    <t xml:space="preserve">Windows: MpiExec Lolbin</t>
  </si>
  <si>
    <t xml:space="preserve">https://filestore.fortinet.com/docs.fortinet.com/fsiem/Public_Resource_Access/7_6_0/rules/PH_RULE_MpiExec_Lolbin.htm</t>
  </si>
  <si>
    <t xml:space="preserve">PH_Rule_windows_SIGMA_3403</t>
  </si>
  <si>
    <t xml:space="preserve">Windows: MSDT Execution Via Answer File</t>
  </si>
  <si>
    <t xml:space="preserve">https://filestore.fortinet.com/docs.fortinet.com/fsiem/Public_Resource_Access/7_6_0/rules/PH_RULE_MSDT_Execution_Via_Answer_File.htm</t>
  </si>
  <si>
    <t xml:space="preserve">PH_Rule_SIGMA_1252</t>
  </si>
  <si>
    <t xml:space="preserve">Windows: MSDT.exe Loading Diagnostic Library</t>
  </si>
  <si>
    <t xml:space="preserve">https://filestore.fortinet.com/docs.fortinet.com/fsiem/Public_Resource_Access/7_6_0/rules/PH_RULE_MSDT_exe_Loading_Diagnostic_Library.htm</t>
  </si>
  <si>
    <t xml:space="preserve">PH_Rule_SIGMA_1731</t>
  </si>
  <si>
    <t xml:space="preserve">Windows: MSExchange Transport Agent Installation</t>
  </si>
  <si>
    <t xml:space="preserve">https://filestore.fortinet.com/docs.fortinet.com/fsiem/Public_Resource_Access/7_6_0/rules/PH_RULE_MSExchange_Transport_Agent_Installation.htm</t>
  </si>
  <si>
    <t xml:space="preserve">PH_Rule_windows_SIGMA_2815</t>
  </si>
  <si>
    <t xml:space="preserve">Windows: MSExchange Transport Agent Installation - Builtin</t>
  </si>
  <si>
    <t xml:space="preserve">https://filestore.fortinet.com/docs.fortinet.com/fsiem/Public_Resource_Access/7_6_0/rules/PH_RULE_MSExchange_Transport_Agent_Installation_Builtin.htm</t>
  </si>
  <si>
    <t xml:space="preserve">PH_Rule_SIGMA_83</t>
  </si>
  <si>
    <t xml:space="preserve">Windows: MSHTA Execution with Suspicious File Extensions</t>
  </si>
  <si>
    <t xml:space="preserve">https://filestore.fortinet.com/docs.fortinet.com/fsiem/Public_Resource_Access/7_6_0/rules/PH_RULE_MSHTA_Suspicious_Execution_01.htm</t>
  </si>
  <si>
    <t xml:space="preserve">PH_Rule_SIGMA_2508</t>
  </si>
  <si>
    <t xml:space="preserve">Windows: Mshtml DLL RunHTMLApplication Abuse</t>
  </si>
  <si>
    <t xml:space="preserve">https://filestore.fortinet.com/docs.fortinet.com/fsiem/Public_Resource_Access/7_6_0/rules/PH_RULE_Mshtml_DLL_RunHTMLApplication_Abuse.htm</t>
  </si>
  <si>
    <t xml:space="preserve">PH_Rule_SIGMA_1791</t>
  </si>
  <si>
    <t xml:space="preserve">Windows: MSI Installation From Suspicious Locations</t>
  </si>
  <si>
    <t xml:space="preserve">https://filestore.fortinet.com/docs.fortinet.com/fsiem/Public_Resource_Access/7_6_0/rules/PH_RULE_MSI_Installation_From_Suspicious_Locations.htm</t>
  </si>
  <si>
    <t xml:space="preserve">PH_Rule_SIGMA_1792</t>
  </si>
  <si>
    <t xml:space="preserve">Windows: MSI Installation From Web</t>
  </si>
  <si>
    <t xml:space="preserve">https://filestore.fortinet.com/docs.fortinet.com/fsiem/Public_Resource_Access/7_6_0/rules/PH_RULE_MSI_Installation_From_Web.htm</t>
  </si>
  <si>
    <t xml:space="preserve">PH_Rule_SIGMA_1438</t>
  </si>
  <si>
    <t xml:space="preserve">Windows: Msiexec Quiet Installation</t>
  </si>
  <si>
    <t xml:space="preserve">https://filestore.fortinet.com/docs.fortinet.com/fsiem/Public_Resource_Access/7_6_0/rules/PH_RULE_Suspicious_Msiexec_Quiet_Install.htm</t>
  </si>
  <si>
    <t xml:space="preserve">PH_Rule_SIGMA_565</t>
  </si>
  <si>
    <t xml:space="preserve">Windows: MsiExec Web Install</t>
  </si>
  <si>
    <t xml:space="preserve">https://filestore.fortinet.com/docs.fortinet.com/fsiem/Public_Resource_Access/7_6_0/rules/PH_RULE_MsiExec_Web_Install.htm</t>
  </si>
  <si>
    <t xml:space="preserve">PH_Rule_windows_SIGMA_2777</t>
  </si>
  <si>
    <t xml:space="preserve">Windows: MSSQL Destructive Query</t>
  </si>
  <si>
    <t xml:space="preserve">https://filestore.fortinet.com/docs.fortinet.com/fsiem/Public_Resource_Access/7_6_0/rules/PH_RULE_MSSQL_Destructive_Query.htm</t>
  </si>
  <si>
    <t xml:space="preserve">PH_Rule_SIGMA_1796</t>
  </si>
  <si>
    <t xml:space="preserve">Windows: MSSQL Disable Audit Settings</t>
  </si>
  <si>
    <t xml:space="preserve">https://filestore.fortinet.com/docs.fortinet.com/fsiem/Public_Resource_Access/7_6_0/rules/PH_RULE_MSSQL_Disable_Audit_Settings.htm</t>
  </si>
  <si>
    <t xml:space="preserve">PH_Rule_windows_SIGMA_2778</t>
  </si>
  <si>
    <t xml:space="preserve">Windows: MSSQL Server Failed Logon</t>
  </si>
  <si>
    <t xml:space="preserve">https://filestore.fortinet.com/docs.fortinet.com/fsiem/Public_Resource_Access/7_6_0/rules/PH_RULE_MSSQL_Server_Failed_Logon.htm</t>
  </si>
  <si>
    <t xml:space="preserve">PH_Rule_windows_SIGMA_2779</t>
  </si>
  <si>
    <t xml:space="preserve">Windows: MSSQL Server Failed Logon From External Network</t>
  </si>
  <si>
    <t xml:space="preserve">https://filestore.fortinet.com/docs.fortinet.com/fsiem/Public_Resource_Access/7_6_0/rules/PH_RULE_MSSQL_Server_Failed_Logon_From_External_Network.htm</t>
  </si>
  <si>
    <t xml:space="preserve">PH_Rule_SIGMA_1798</t>
  </si>
  <si>
    <t xml:space="preserve">Windows: MSSQL SPProcoption Set</t>
  </si>
  <si>
    <t xml:space="preserve">https://filestore.fortinet.com/docs.fortinet.com/fsiem/Public_Resource_Access/7_6_0/rules/PH_RULE_MSSQL_SPProcoption_Set.htm</t>
  </si>
  <si>
    <t xml:space="preserve">PH_Rule_SIGMA_1800</t>
  </si>
  <si>
    <t xml:space="preserve">Windows: MSSQL XPCmdshell Option Change</t>
  </si>
  <si>
    <t xml:space="preserve">https://filestore.fortinet.com/docs.fortinet.com/fsiem/Public_Resource_Access/7_6_0/rules/PH_RULE_MSSQL_XPCmdshell_Option_Change.htm</t>
  </si>
  <si>
    <t xml:space="preserve">PH_Rule_SIGMA_1799</t>
  </si>
  <si>
    <t xml:space="preserve">Windows: MSSQL XPCmdshell Suspicious Execution</t>
  </si>
  <si>
    <t xml:space="preserve">https://filestore.fortinet.com/docs.fortinet.com/fsiem/Public_Resource_Access/7_6_0/rules/PH_RULE_MSSQL_XPCmdshell_Suspicious_Execution.htm</t>
  </si>
  <si>
    <t xml:space="preserve">PH_Rule_SIGMA_2396</t>
  </si>
  <si>
    <t xml:space="preserve">Windows: Mstsc.EXE Execution From Uncommon Parent</t>
  </si>
  <si>
    <t xml:space="preserve">https://filestore.fortinet.com/docs.fortinet.com/fsiem/Public_Resource_Access/7_6_0/rules/PH_RULE_Mstsc_EXE_Execution_From_Uncommon_Parent.htm</t>
  </si>
  <si>
    <t xml:space="preserve">PH_Rule_SIGMA_2394</t>
  </si>
  <si>
    <t xml:space="preserve">Windows: Mstsc.EXE Execution With Local RDP File</t>
  </si>
  <si>
    <t xml:space="preserve">https://filestore.fortinet.com/docs.fortinet.com/fsiem/Public_Resource_Access/7_6_0/rules/PH_RULE_Mstsc_EXE_Execution_With_Local_RDP_File.htm</t>
  </si>
  <si>
    <t xml:space="preserve">PH_Rule_windows_SIGMA_3406</t>
  </si>
  <si>
    <t xml:space="preserve">Windows: Msxsl.EXE Execution</t>
  </si>
  <si>
    <t xml:space="preserve">https://filestore.fortinet.com/docs.fortinet.com/fsiem/Public_Resource_Access/7_6_0/rules/PH_RULE_Msxsl_EXE_Execution.htm</t>
  </si>
  <si>
    <t xml:space="preserve">PH_Rule_SIGMA_654</t>
  </si>
  <si>
    <t xml:space="preserve">Windows: Narrator s Feedback-Hub Persistence</t>
  </si>
  <si>
    <t xml:space="preserve">https://filestore.fortinet.com/docs.fortinet.com/fsiem/Public_Resource_Access/7_6_0/rules/PH_RULE_Narrator_s_Feedback_Hub_Persistence.htm</t>
  </si>
  <si>
    <t xml:space="preserve">PH_Rule_windows_SIGMA_3717</t>
  </si>
  <si>
    <t xml:space="preserve">Windows: NET NGenAssemblyUsageLog Registry Key Tamper</t>
  </si>
  <si>
    <t xml:space="preserve">https://filestore.fortinet.com/docs.fortinet.com/fsiem/Public_Resource_Access/7_6_0/rules/PH_RULE_NET_NGenAssemblyUsageLog_Registry_Key_Tamper.htm</t>
  </si>
  <si>
    <t xml:space="preserve">PH_Rule_windows_SIGMA_3082</t>
  </si>
  <si>
    <t xml:space="preserve">Windows: Netcat The Powershell Version</t>
  </si>
  <si>
    <t xml:space="preserve">https://filestore.fortinet.com/docs.fortinet.com/fsiem/Public_Resource_Access/7_6_0/rules/PH_RULE_Netcat_The_Powershell_Version.htm</t>
  </si>
  <si>
    <t xml:space="preserve">PH_Rule_SIGMA_2644</t>
  </si>
  <si>
    <t xml:space="preserve">Windows: NetNTLM Downgrade Attack - Registry</t>
  </si>
  <si>
    <t xml:space="preserve">https://filestore.fortinet.com/docs.fortinet.com/fsiem/Public_Resource_Access/7_6_0/rules/PH_RULE_NetNTLM_Downgrade_Attack_Registry.htm</t>
  </si>
  <si>
    <t xml:space="preserve">PH_Rule_SIGMA_1870</t>
  </si>
  <si>
    <t xml:space="preserve">Windows: NetSupport Manager Service Install</t>
  </si>
  <si>
    <t xml:space="preserve">https://filestore.fortinet.com/docs.fortinet.com/fsiem/Public_Resource_Access/7_6_0/rules/PH_RULE_NetSupport_Manager_Service_Install.htm</t>
  </si>
  <si>
    <t xml:space="preserve">PH_Rule_windows_SIGMA_3046</t>
  </si>
  <si>
    <t xml:space="preserve">Windows: Network Communication Initiated To Portmap.IO Domain</t>
  </si>
  <si>
    <t xml:space="preserve">https://filestore.fortinet.com/docs.fortinet.com/fsiem/Public_Resource_Access/7_6_0/rules/PH_RULE_Network_Communication_Initiated_To_Portmap_IO_Domain.htm</t>
  </si>
  <si>
    <t xml:space="preserve">PH_Rule_SIGMA_1768</t>
  </si>
  <si>
    <t xml:space="preserve">Windows: Network Communication With Crypto Mining Pool</t>
  </si>
  <si>
    <t xml:space="preserve">https://filestore.fortinet.com/docs.fortinet.com/fsiem/Public_Resource_Access/7_6_0/rules/PH_RULE_Windows_Crypto_Mining_Pool_Connections.htm</t>
  </si>
  <si>
    <t xml:space="preserve">PH_Rule_windows_SIGMA_3034</t>
  </si>
  <si>
    <t xml:space="preserve">Windows: Network Connection Initiated By AddinUtil.EXE</t>
  </si>
  <si>
    <t xml:space="preserve">https://filestore.fortinet.com/docs.fortinet.com/fsiem/Public_Resource_Access/7_6_0/rules/PH_RULE_Network_Connection_Initiated_By_AddinUtil_EXE.htm</t>
  </si>
  <si>
    <t xml:space="preserve">PH_Rule_windows_SIGMA_3056</t>
  </si>
  <si>
    <t xml:space="preserve">Windows: Network Connection Initiated From Process Located In Potentially Suspicious Or Uncommon Location</t>
  </si>
  <si>
    <t xml:space="preserve">https://filestore.fortinet.com/docs.fortinet.com/fsiem/Public_Resource_Access/7_6_0/rules/PH_RULE_Network_Connection_Initiated_From_Process_Located_In_Potentially_Suspicious_Or_Uncommon_Location.htm</t>
  </si>
  <si>
    <t xml:space="preserve">PH_Rule_windows_SIGMA_3038</t>
  </si>
  <si>
    <t xml:space="preserve">Windows: Network Connection Initiated To AzureWebsites.NET By Non-Browser Process</t>
  </si>
  <si>
    <t xml:space="preserve">https://filestore.fortinet.com/docs.fortinet.com/fsiem/Public_Resource_Access/7_6_0/rules/PH_RULE_Network_Connection_Initiated_To_AzureWebsites_NET_By_Non_Browser_Process.htm</t>
  </si>
  <si>
    <t xml:space="preserve">PH_Rule_windows_SIGMA_3039</t>
  </si>
  <si>
    <t xml:space="preserve">Windows: Network Connection Initiated To BTunnels Domains</t>
  </si>
  <si>
    <t xml:space="preserve">https://filestore.fortinet.com/docs.fortinet.com/fsiem/Public_Resource_Access/7_6_0/rules/PH_RULE_Network_Connection_Initiated_To_BTunnels_Domains.htm</t>
  </si>
  <si>
    <t xml:space="preserve">PH_Rule_windows_SIGMA_3040</t>
  </si>
  <si>
    <t xml:space="preserve">Windows: Network Connection Initiated To Cloudflared Tunnels Domains</t>
  </si>
  <si>
    <t xml:space="preserve">https://filestore.fortinet.com/docs.fortinet.com/fsiem/Public_Resource_Access/7_6_0/rules/PH_RULE_Network_Connection_Initiated_To_Cloudflared_Tunnels_Domains.htm</t>
  </si>
  <si>
    <t xml:space="preserve">PH_Rule_windows_SIGMA_3042</t>
  </si>
  <si>
    <t xml:space="preserve">Windows: Network Connection Initiated To DevTunnels Domain</t>
  </si>
  <si>
    <t xml:space="preserve">https://filestore.fortinet.com/docs.fortinet.com/fsiem/Public_Resource_Access/7_6_0/rules/PH_RULE_Network_Connection_Initiated_To_DevTunnels_Domain.htm</t>
  </si>
  <si>
    <t xml:space="preserve">PH_Rule_windows_SIGMA_3044</t>
  </si>
  <si>
    <t xml:space="preserve">Windows: Network Connection Initiated To Mega.nz</t>
  </si>
  <si>
    <t xml:space="preserve">https://filestore.fortinet.com/docs.fortinet.com/fsiem/Public_Resource_Access/7_6_0/rules/PH_RULE_Network_Connection_Initiated_To_Mega_nz.htm</t>
  </si>
  <si>
    <t xml:space="preserve">PH_Rule_windows_SIGMA_3048</t>
  </si>
  <si>
    <t xml:space="preserve">Windows: Network Connection Initiated To Visual Studio Code Tunnels Domain</t>
  </si>
  <si>
    <t xml:space="preserve">https://filestore.fortinet.com/docs.fortinet.com/fsiem/Public_Resource_Access/7_6_0/rules/PH_RULE_Network_Connection_Initiated_To_Visual_Studio_Code_Tunnels_Domain.htm</t>
  </si>
  <si>
    <t xml:space="preserve">PH_Rule_windows_SIGMA_3049</t>
  </si>
  <si>
    <t xml:space="preserve">Windows: Network Connection Initiated via Finger.EXE</t>
  </si>
  <si>
    <t xml:space="preserve">https://filestore.fortinet.com/docs.fortinet.com/fsiem/Public_Resource_Access/7_6_0/rules/PH_RULE_Network_Connection_Initiated_via_Finger_EXE.htm</t>
  </si>
  <si>
    <t xml:space="preserve">PH_Rule_windows_SIGMA_3050</t>
  </si>
  <si>
    <t xml:space="preserve">Windows: Network Connection Initiated Via Notepad.EXE</t>
  </si>
  <si>
    <t xml:space="preserve">https://filestore.fortinet.com/docs.fortinet.com/fsiem/Public_Resource_Access/7_6_0/rules/PH_RULE_Network_Connection_Initiated_Via_Notepad_EXE.htm</t>
  </si>
  <si>
    <t xml:space="preserve">PH_Rule_SIGMA_1616</t>
  </si>
  <si>
    <t xml:space="preserve">Windows: Network Reconnaissance Activity</t>
  </si>
  <si>
    <t xml:space="preserve">https://filestore.fortinet.com/docs.fortinet.com/fsiem/Public_Resource_Access/7_6_0/rules/PH_RULE_Network_Reconnaissance_Activity.htm</t>
  </si>
  <si>
    <t xml:space="preserve">PH_Rule_SIGMA_1692</t>
  </si>
  <si>
    <t xml:space="preserve">Windows: New ActiveScriptEventConsumer Created Via Wmic.EXE</t>
  </si>
  <si>
    <t xml:space="preserve">https://filestore.fortinet.com/docs.fortinet.com/fsiem/Public_Resource_Access/7_6_0/rules/PH_RULE_Suspicious_WMIC_ActiveScriptEventConsumer_Creation.htm</t>
  </si>
  <si>
    <t xml:space="preserve">PH_Rule_windows_SIGMA_3720</t>
  </si>
  <si>
    <t xml:space="preserve">Windows: New Application in AppCompat</t>
  </si>
  <si>
    <t xml:space="preserve">https://filestore.fortinet.com/docs.fortinet.com/fsiem/Public_Resource_Access/7_6_0/rules/PH_RULE_New_Application_in_AppCompat.htm</t>
  </si>
  <si>
    <t xml:space="preserve">PH_Rule_windows_SIGMA_3643</t>
  </si>
  <si>
    <t xml:space="preserve">Windows: New BgInfo.EXE Custom DB Path Registry Configuration</t>
  </si>
  <si>
    <t xml:space="preserve">https://filestore.fortinet.com/docs.fortinet.com/fsiem/Public_Resource_Access/7_6_0/rules/PH_RULE_New_BgInfo_EXE_Custom_DB_Path_Registry_Configuration.htm</t>
  </si>
  <si>
    <t xml:space="preserve">PH_Rule_windows_SIGMA_3644</t>
  </si>
  <si>
    <t xml:space="preserve">Windows: New BgInfo.EXE Custom VBScript Registry Configuration</t>
  </si>
  <si>
    <t xml:space="preserve">https://filestore.fortinet.com/docs.fortinet.com/fsiem/Public_Resource_Access/7_6_0/rules/PH_RULE_New_BgInfo_EXE_Custom_VBScript_Registry_Configuration.htm</t>
  </si>
  <si>
    <t xml:space="preserve">PH_Rule_windows_SIGMA_3645</t>
  </si>
  <si>
    <t xml:space="preserve">Windows: New BgInfo.EXE Custom WMI Query Registry Configuration</t>
  </si>
  <si>
    <t xml:space="preserve">https://filestore.fortinet.com/docs.fortinet.com/fsiem/Public_Resource_Access/7_6_0/rules/PH_RULE_New_BgInfo_EXE_Custom_WMI_Query_Registry_Configuration.htm</t>
  </si>
  <si>
    <t xml:space="preserve">PH_Rule_SIGMA_883</t>
  </si>
  <si>
    <t xml:space="preserve">Windows: New Custom Shim Database Created</t>
  </si>
  <si>
    <t xml:space="preserve">https://filestore.fortinet.com/docs.fortinet.com/fsiem/Public_Resource_Access/7_6_0/rules/PH_RULE_New_Shim_Database_Created_in_the_Default_Directory.htm</t>
  </si>
  <si>
    <t xml:space="preserve">PH_Rule_SIGMA_655</t>
  </si>
  <si>
    <t xml:space="preserve">Windows: New DLL Added to AppCertDlls Registry Key</t>
  </si>
  <si>
    <t xml:space="preserve">https://filestore.fortinet.com/docs.fortinet.com/fsiem/Public_Resource_Access/7_6_0/rules/PH_RULE_New_DLL_Added_to_AppCertDlls_Registry_Key.htm</t>
  </si>
  <si>
    <t xml:space="preserve">PH_Rule_SIGMA_656</t>
  </si>
  <si>
    <t xml:space="preserve">Windows: New DLL Added to AppInit-DLLs Registry Key</t>
  </si>
  <si>
    <t xml:space="preserve">https://filestore.fortinet.com/docs.fortinet.com/fsiem/Public_Resource_Access/7_6_0/rules/PH_RULE_New_DLL_Added_to_AppInit_DLLs_Registry_Key.htm</t>
  </si>
  <si>
    <t xml:space="preserve">PH_Rule_windows_SIGMA_3416</t>
  </si>
  <si>
    <t xml:space="preserve">Windows: New DLL Registered Via Odbcconf.EXE</t>
  </si>
  <si>
    <t xml:space="preserve">https://filestore.fortinet.com/docs.fortinet.com/fsiem/Public_Resource_Access/7_6_0/rules/PH_RULE_New_DLL_Registered_Via_Odbcconf_EXE.htm</t>
  </si>
  <si>
    <t xml:space="preserve">PH_Rule_windows_SIGMA_3688</t>
  </si>
  <si>
    <t xml:space="preserve">Windows: New DNS ServerLevelPluginDll Installed</t>
  </si>
  <si>
    <t xml:space="preserve">https://filestore.fortinet.com/docs.fortinet.com/fsiem/Public_Resource_Access/7_6_0/rules/PH_RULE_New_DNS_ServerLevelPluginDll_Installed.htm</t>
  </si>
  <si>
    <t xml:space="preserve">PH_Rule_SIGMA_2303</t>
  </si>
  <si>
    <t xml:space="preserve">Windows: New DNS ServerLevelPluginDll Installed Via Dnscmd.EXE</t>
  </si>
  <si>
    <t xml:space="preserve">https://filestore.fortinet.com/docs.fortinet.com/fsiem/Public_Resource_Access/7_6_0/rules/PH_RULE_New_DNS_ServerLevelPluginDll_Installed_Via_Dnscmd_EXE.htm</t>
  </si>
  <si>
    <t xml:space="preserve">PH_Rule_windows_SIGMA_3699</t>
  </si>
  <si>
    <t xml:space="preserve">Windows: New File Association Using Exefile</t>
  </si>
  <si>
    <t xml:space="preserve">https://filestore.fortinet.com/docs.fortinet.com/fsiem/Public_Resource_Access/7_6_0/rules/PH_RULE_New_File_Association_Using_Exefile.htm</t>
  </si>
  <si>
    <t xml:space="preserve">PH_Rule_SIGMA_1824</t>
  </si>
  <si>
    <t xml:space="preserve">Windows: New Firewall Rule Added In Windows Firewall Exception List For Potential Suspicious Application</t>
  </si>
  <si>
    <t xml:space="preserve">Microsoft Windows Firewall with Advanced Security logs via Windows Collector</t>
  </si>
  <si>
    <t xml:space="preserve">https://filestore.fortinet.com/docs.fortinet.com/fsiem/Public_Resource_Access/7_6_0/rules/PH_RULE_New_Firewall_Exception_Rule_Added_For_A_Suspicious_Folder.htm</t>
  </si>
  <si>
    <t xml:space="preserve">PH_Rule_windows_SIGMA_2805</t>
  </si>
  <si>
    <t xml:space="preserve">Windows: New Firewall Rule Added In Windows Firewall Exception List Via WmiPrvSE.EXE</t>
  </si>
  <si>
    <t xml:space="preserve">Microsoft Windows Firewall with Advanced Security logs via Windows Collector [Corrected: Fortinet docs label this rule "CyberArk Enterprise Password Vault via Syslog"; source derived from its event types]</t>
  </si>
  <si>
    <t xml:space="preserve">https://filestore.fortinet.com/docs.fortinet.com/fsiem/Public_Resource_Access/7_6_0/rules/PH_RULE_New_Firewall_Rule_Added_In_Windows_Firewall_Exception_List_Via_WmiPrvSE_EXE.htm</t>
  </si>
  <si>
    <t xml:space="preserve">PH_Rule_SIGMA_465</t>
  </si>
  <si>
    <t xml:space="preserve">Windows: New Firewall Rule Added Via Netsh.EXE</t>
  </si>
  <si>
    <t xml:space="preserve">https://filestore.fortinet.com/docs.fortinet.com/fsiem/Public_Resource_Access/7_6_0/rules/PH_RULE_Netsh_Port_or_Application_Allowed.htm</t>
  </si>
  <si>
    <t xml:space="preserve">PH_Rule_SIGMA_2515</t>
  </si>
  <si>
    <t xml:space="preserve">Windows: New Kernel Driver Via SC.EXE</t>
  </si>
  <si>
    <t xml:space="preserve">https://filestore.fortinet.com/docs.fortinet.com/fsiem/Public_Resource_Access/7_6_0/rules/PH_RULE_New_Kernel_Driver_Via_SC_EXE.htm</t>
  </si>
  <si>
    <t xml:space="preserve">PH_Rule_windows_SIGMA_2808</t>
  </si>
  <si>
    <t xml:space="preserve">Windows: New Module Module Added To IIS Server</t>
  </si>
  <si>
    <t xml:space="preserve">https://filestore.fortinet.com/docs.fortinet.com/fsiem/Public_Resource_Access/7_6_0/rules/PH_RULE_New_Module_Module_Added_To_IIS_Server.htm</t>
  </si>
  <si>
    <t xml:space="preserve">PH_Rule_windows_SIGMA_3718</t>
  </si>
  <si>
    <t xml:space="preserve">Windows: New Netsh Helper DLL Registered From A Suspicious Location</t>
  </si>
  <si>
    <t xml:space="preserve">https://filestore.fortinet.com/docs.fortinet.com/fsiem/Public_Resource_Access/7_6_0/rules/PH_RULE_New_Netsh_Helper_DLL_Registered_From_A_Suspicious_Location.htm</t>
  </si>
  <si>
    <t xml:space="preserve">PH_Rule_windows_SIGMA_3722</t>
  </si>
  <si>
    <t xml:space="preserve">Windows: New ODBC Driver Registered</t>
  </si>
  <si>
    <t xml:space="preserve">https://filestore.fortinet.com/docs.fortinet.com/fsiem/Public_Resource_Access/7_6_0/rules/PH_RULE_New_ODBC_Driver_Registered.htm</t>
  </si>
  <si>
    <t xml:space="preserve">PH_Rule_SIGMA_835</t>
  </si>
  <si>
    <t xml:space="preserve">Windows: New Outlook Macro Created</t>
  </si>
  <si>
    <t xml:space="preserve">https://filestore.fortinet.com/docs.fortinet.com/fsiem/Public_Resource_Access/7_6_0/rules/PH_RULE_Outlook_C2_Macro_Creation.htm</t>
  </si>
  <si>
    <t xml:space="preserve">PH_Rule_SIGMA_1873</t>
  </si>
  <si>
    <t xml:space="preserve">Windows: New PDQDeploy Service - Client Side</t>
  </si>
  <si>
    <t xml:space="preserve">https://filestore.fortinet.com/docs.fortinet.com/fsiem/Public_Resource_Access/7_6_0/rules/PH_RULE_New_PDQDeploy_Service_Client_Side.htm</t>
  </si>
  <si>
    <t xml:space="preserve">PH_Rule_SIGMA_1872</t>
  </si>
  <si>
    <t xml:space="preserve">Windows: New PDQDeploy Service - Server Side</t>
  </si>
  <si>
    <t xml:space="preserve">https://filestore.fortinet.com/docs.fortinet.com/fsiem/Public_Resource_Access/7_6_0/rules/PH_RULE_New_PDQDeploy_Service_Server_Side.htm</t>
  </si>
  <si>
    <t xml:space="preserve">PH_Rule_SIGMA_468</t>
  </si>
  <si>
    <t xml:space="preserve">Windows: New Port Forwarding Rule Added Via Netsh.EXX</t>
  </si>
  <si>
    <t xml:space="preserve">https://filestore.fortinet.com/docs.fortinet.com/fsiem/Public_Resource_Access/7_6_0/rules/PH_RULE_Netsh_Port_Forwarding.htm</t>
  </si>
  <si>
    <t xml:space="preserve">PH_Rule_SIGMA_808</t>
  </si>
  <si>
    <t xml:space="preserve">Windows: New PortProxy Registry Entry Added</t>
  </si>
  <si>
    <t xml:space="preserve">https://filestore.fortinet.com/docs.fortinet.com/fsiem/Public_Resource_Access/7_6_0/rules/PH_RULE_PortProxy_Registry_Key.htm</t>
  </si>
  <si>
    <t xml:space="preserve">PH_Rule_windows_SIGMA_3070</t>
  </si>
  <si>
    <t xml:space="preserve">Windows: New PowerShell Instance Created</t>
  </si>
  <si>
    <t xml:space="preserve">https://filestore.fortinet.com/docs.fortinet.com/fsiem/Public_Resource_Access/7_6_0/rules/PH_RULE_New_PowerShell_Instance_Created.htm</t>
  </si>
  <si>
    <t xml:space="preserve">PH_Rule_SIGMA_606</t>
  </si>
  <si>
    <t xml:space="preserve">Windows: New Process Created Via Taskmgr.EXE</t>
  </si>
  <si>
    <t xml:space="preserve">https://filestore.fortinet.com/docs.fortinet.com/fsiem/Public_Resource_Access/7_6_0/rules/PH_RULE_Taskmgr_as_Parent.htm</t>
  </si>
  <si>
    <t xml:space="preserve">PH_Rule_SIGMA_2607</t>
  </si>
  <si>
    <t xml:space="preserve">Windows: New Process Created Via Wmic.EXE</t>
  </si>
  <si>
    <t xml:space="preserve">https://filestore.fortinet.com/docs.fortinet.com/fsiem/Public_Resource_Access/7_6_0/rules/PH_RULE_New_Process_Created_Via_Wmic_EXE.htm</t>
  </si>
  <si>
    <t xml:space="preserve">PH_Rule_SIGMA_2270</t>
  </si>
  <si>
    <t xml:space="preserve">Windows: New Root Certificate Installed Via CertMgr.EXE</t>
  </si>
  <si>
    <t xml:space="preserve">https://filestore.fortinet.com/docs.fortinet.com/fsiem/Public_Resource_Access/7_6_0/rules/PH_RULE_New_Root_Certificate_Installed_Via_CertMgr_EXE.htm</t>
  </si>
  <si>
    <t xml:space="preserve">PH_Rule_windows_SIGMA_3711</t>
  </si>
  <si>
    <t xml:space="preserve">Windows: New Root or CA or AuthRoot Certificate to Store</t>
  </si>
  <si>
    <t xml:space="preserve">https://filestore.fortinet.com/docs.fortinet.com/fsiem/Public_Resource_Access/7_6_0/rules/PH_RULE_New_Root_or_CA_or_AuthRoot_Certificate_to_Store.htm</t>
  </si>
  <si>
    <t xml:space="preserve">PH_Rule_windows_SIGMA_3794</t>
  </si>
  <si>
    <t xml:space="preserve">Windows: New RUN Key Pointing to Suspicious Folder</t>
  </si>
  <si>
    <t xml:space="preserve">https://filestore.fortinet.com/docs.fortinet.com/fsiem/Public_Resource_Access/7_6_0/rules/PH_RULE_New_RUN_Key_Pointing_to_Suspicious_Folder.htm</t>
  </si>
  <si>
    <t xml:space="preserve">PH_Rule_SIGMA_2429</t>
  </si>
  <si>
    <t xml:space="preserve">Windows: New Service Creation Using PowerShell</t>
  </si>
  <si>
    <t xml:space="preserve">https://filestore.fortinet.com/docs.fortinet.com/fsiem/Public_Resource_Access/7_6_0/rules/PH_RULE_New_Service_Creation_Using_PowerShell.htm</t>
  </si>
  <si>
    <t xml:space="preserve">PH_Rule_SIGMA_472</t>
  </si>
  <si>
    <t xml:space="preserve">Windows: New Service Creation Using Sc.EXE</t>
  </si>
  <si>
    <t xml:space="preserve">https://filestore.fortinet.com/docs.fortinet.com/fsiem/Public_Resource_Access/7_6_0/rules/PH_RULE_New_Service_Creation.htm</t>
  </si>
  <si>
    <t xml:space="preserve">PH_Rule_windows_SIGMA_3807</t>
  </si>
  <si>
    <t xml:space="preserve">Windows: New TimeProviders Registered With Uncommon DLL Name</t>
  </si>
  <si>
    <t xml:space="preserve">https://filestore.fortinet.com/docs.fortinet.com/fsiem/Public_Resource_Access/7_6_0/rules/PH_RULE_New_TimeProviders_Registered_With_Uncommon_DLL_Name.htm</t>
  </si>
  <si>
    <t xml:space="preserve">PH_Rule_windows_SIGMA_3564</t>
  </si>
  <si>
    <t xml:space="preserve">Windows: New Virtual Smart Card Created Via TpmVscMgr.EXE</t>
  </si>
  <si>
    <t xml:space="preserve">https://filestore.fortinet.com/docs.fortinet.com/fsiem/Public_Resource_Access/7_6_0/rules/PH_RULE_New_Virtual_Smart_Card_Created_Via_TpmVscMgr_EXE.htm</t>
  </si>
  <si>
    <t xml:space="preserve">PH_Rule_SIGMA_1243</t>
  </si>
  <si>
    <t xml:space="preserve">Windows: Ngrok Usage with Remote Desktop Service</t>
  </si>
  <si>
    <t xml:space="preserve">https://filestore.fortinet.com/docs.fortinet.com/fsiem/Public_Resource_Access/7_6_0/rules/PH_RULE_Ngrok_Usage_with_Remote_Desktop_Service.htm</t>
  </si>
  <si>
    <t xml:space="preserve">PH_Rule_SIGMA_1304</t>
  </si>
  <si>
    <t xml:space="preserve">Windows: Node Process Executions</t>
  </si>
  <si>
    <t xml:space="preserve">https://filestore.fortinet.com/docs.fortinet.com/fsiem/Public_Resource_Access/7_6_0/rules/PH_RULE_Node_Process_Executions.htm</t>
  </si>
  <si>
    <t xml:space="preserve">PH_Rule_windows_SIGMA_3517</t>
  </si>
  <si>
    <t xml:space="preserve">Windows: NodeJS Execution of JavaScript File</t>
  </si>
  <si>
    <t xml:space="preserve">https://filestore.fortinet.com/docs.fortinet.com/fsiem/Public_Resource_Access/7_6_0/rules/PH_RULE_NodeJS_Execution_of_JavaScript_File.htm</t>
  </si>
  <si>
    <t xml:space="preserve">PH_Rule_SIGMA_473</t>
  </si>
  <si>
    <t xml:space="preserve">Windows: Non Interactive PowerShell Process Spawned</t>
  </si>
  <si>
    <t xml:space="preserve">https://filestore.fortinet.com/docs.fortinet.com/fsiem/Public_Resource_Access/7_6_0/rules/PH_RULE_Non_Interactive_PowerShell.htm</t>
  </si>
  <si>
    <t xml:space="preserve">PH_Rule_SIGMA_1445</t>
  </si>
  <si>
    <t xml:space="preserve">Windows: Non-privileged Usage of Reg or Powershell</t>
  </si>
  <si>
    <t xml:space="preserve">https://filestore.fortinet.com/docs.fortinet.com/fsiem/Public_Resource_Access/7_6_0/rules/PH_RULE_Non_privileged_Usage_of_Reg_or_Powershell.htm</t>
  </si>
  <si>
    <t xml:space="preserve">PH_Rule_windows_SIGMA_3412</t>
  </si>
  <si>
    <t xml:space="preserve">Windows: Notepad Password Files Discovery</t>
  </si>
  <si>
    <t xml:space="preserve">https://filestore.fortinet.com/docs.fortinet.com/fsiem/Public_Resource_Access/7_6_0/rules/PH_RULE_Notepad_Password_Files_Discovery.htm</t>
  </si>
  <si>
    <t xml:space="preserve">PH_Rule_windows_SIGMA_2914</t>
  </si>
  <si>
    <t xml:space="preserve">Windows: Notepad Updater DNS Query to Uncommon Domains</t>
  </si>
  <si>
    <t xml:space="preserve">https://filestore.fortinet.com/docs.fortinet.com/fsiem/Public_Resource_Access/7_6_0/rules/PH_RULE_Notepad_Updater_DNS_Query_to_Uncommon_Domains.htm</t>
  </si>
  <si>
    <t xml:space="preserve">PH_Rule_windows_SIGMA_3077</t>
  </si>
  <si>
    <t xml:space="preserve">Windows: Nslookup PowerShell Download Cradle</t>
  </si>
  <si>
    <t xml:space="preserve">https://filestore.fortinet.com/docs.fortinet.com/fsiem/Public_Resource_Access/7_6_0/rules/PH_RULE_Nslookup_PowerShell_Download_Cradle.htm</t>
  </si>
  <si>
    <t xml:space="preserve">PH_Rule_SIGMA_2405</t>
  </si>
  <si>
    <t xml:space="preserve">Windows: Nslookup PowerShell Download Cradle - ProcessCreation</t>
  </si>
  <si>
    <t xml:space="preserve">https://filestore.fortinet.com/docs.fortinet.com/fsiem/Public_Resource_Access/7_6_0/rules/PH_RULE_Nslookup_PowerShell_Download_Cradle_ProcessCreation.htm</t>
  </si>
  <si>
    <t xml:space="preserve">PH_Rule_windows_SIGMA_3195</t>
  </si>
  <si>
    <t xml:space="preserve">Windows: NTFS Alternate Data Stream</t>
  </si>
  <si>
    <t xml:space="preserve">https://filestore.fortinet.com/docs.fortinet.com/fsiem/Public_Resource_Access/7_6_0/rules/PH_RULE_NTFS_Alternate_Data_Stream.htm</t>
  </si>
  <si>
    <t xml:space="preserve">PH_Rule_SIGMA_1139</t>
  </si>
  <si>
    <t xml:space="preserve">Windows: NTFS Vulnerability Exploitation</t>
  </si>
  <si>
    <t xml:space="preserve">https://filestore.fortinet.com/docs.fortinet.com/fsiem/Public_Resource_Access/7_6_0/rules/PH_RULE_NTFS_Vulnerability_Exploitation.htm</t>
  </si>
  <si>
    <t xml:space="preserve">PH_Rule_windows_SIGMA_2817</t>
  </si>
  <si>
    <t xml:space="preserve">Windows: NTLM Brute Force</t>
  </si>
  <si>
    <t xml:space="preserve">https://filestore.fortinet.com/docs.fortinet.com/fsiem/Public_Resource_Access/7_6_0/rules/PH_RULE_NTLM_Brute_Force.htm</t>
  </si>
  <si>
    <t xml:space="preserve">PH_Rule_windows_SIGMA_2816</t>
  </si>
  <si>
    <t xml:space="preserve">Windows: NTLM Logon</t>
  </si>
  <si>
    <t xml:space="preserve">https://filestore.fortinet.com/docs.fortinet.com/fsiem/Public_Resource_Access/7_6_0/rules/PH_RULE_NTLM_Logon.htm</t>
  </si>
  <si>
    <t xml:space="preserve">PH_Rule_SIGMA_1137</t>
  </si>
  <si>
    <t xml:space="preserve">Windows: NTLMv1 Logon Between Client and Server</t>
  </si>
  <si>
    <t xml:space="preserve">https://filestore.fortinet.com/docs.fortinet.com/fsiem/Public_Resource_Access/7_6_0/rules/PH_RULE_NTLMv1_Logon_Between_Client_and_Server.htm</t>
  </si>
  <si>
    <t xml:space="preserve">PH_Rule_SIGMA_2560</t>
  </si>
  <si>
    <t xml:space="preserve">Windows: Obfuscated IP Download Activity</t>
  </si>
  <si>
    <t xml:space="preserve">https://filestore.fortinet.com/docs.fortinet.com/fsiem/Public_Resource_Access/7_6_0/rules/PH_RULE_Obfuscated_IP_Download.htm</t>
  </si>
  <si>
    <t xml:space="preserve">PH_Rule_SIGMA_2561</t>
  </si>
  <si>
    <t xml:space="preserve">Windows: Obfuscated IP Via CLI</t>
  </si>
  <si>
    <t xml:space="preserve">https://filestore.fortinet.com/docs.fortinet.com/fsiem/Public_Resource_Access/7_6_0/rules/PH_RULE_Obfuscated_IP_Via_CLI.htm</t>
  </si>
  <si>
    <t xml:space="preserve">PH_Rule_windows_SIGMA_3428</t>
  </si>
  <si>
    <t xml:space="preserve">Windows: Obfuscated PowerShell MSI Install via WindowsInstaller COM</t>
  </si>
  <si>
    <t xml:space="preserve">https://filestore.fortinet.com/docs.fortinet.com/fsiem/Public_Resource_Access/7_6_0/rules/PH_RULE_Obfuscated_PowerShell_MSI_Install_via_WindowsInstaller_COM.htm</t>
  </si>
  <si>
    <t xml:space="preserve">PH_Rule_windows_SIGMA_3432</t>
  </si>
  <si>
    <t xml:space="preserve">Windows: Obfuscated PowerShell OneLiner Execution</t>
  </si>
  <si>
    <t xml:space="preserve">https://filestore.fortinet.com/docs.fortinet.com/fsiem/Public_Resource_Access/7_6_0/rules/PH_RULE_Obfuscated_PowerShell_OneLiner_Execution.htm</t>
  </si>
  <si>
    <t xml:space="preserve">PH_Rule_SIGMA_349</t>
  </si>
  <si>
    <t xml:space="preserve">Windows: Octopus Scanner Malware Detected</t>
  </si>
  <si>
    <t xml:space="preserve">https://filestore.fortinet.com/docs.fortinet.com/fsiem/Public_Resource_Access/7_6_0/rules/PH_RULE_Octopus_Scanner_Malware.htm</t>
  </si>
  <si>
    <t xml:space="preserve">PH_Rule_windows_SIGMA_3415</t>
  </si>
  <si>
    <t xml:space="preserve">Windows: Odbcconf.EXE Suspicious DLL Location</t>
  </si>
  <si>
    <t xml:space="preserve">https://filestore.fortinet.com/docs.fortinet.com/fsiem/Public_Resource_Access/7_6_0/rules/PH_RULE_Odbcconf_EXE_Suspicious_DLL_Location.htm</t>
  </si>
  <si>
    <t xml:space="preserve">PH_Rule_windows_SIGMA_3052</t>
  </si>
  <si>
    <t xml:space="preserve">Windows: Office Application Initiated Network Connection Over Uncommon Ports</t>
  </si>
  <si>
    <t xml:space="preserve">https://filestore.fortinet.com/docs.fortinet.com/fsiem/Public_Resource_Access/7_6_0/rules/PH_RULE_Office_Application_Initiated_Network_Connection_Over_Uncommon_Ports.htm</t>
  </si>
  <si>
    <t xml:space="preserve">PH_Rule_SIGMA_806</t>
  </si>
  <si>
    <t xml:space="preserve">Windows: Office Application Startup - Office Test</t>
  </si>
  <si>
    <t xml:space="preserve">https://filestore.fortinet.com/docs.fortinet.com/fsiem/Public_Resource_Access/7_6_0/rules/PH_RULE_Office_Application_Startup_Office_Test.htm</t>
  </si>
  <si>
    <t xml:space="preserve">PH_Rule_SIGMA_900</t>
  </si>
  <si>
    <t xml:space="preserve">Windows: Office Macro File Creation</t>
  </si>
  <si>
    <t xml:space="preserve">https://filestore.fortinet.com/docs.fortinet.com/fsiem/Public_Resource_Access/7_6_0/rules/PH_RULE_Dump_Office_Macro_Files_from_Commandline.htm</t>
  </si>
  <si>
    <t xml:space="preserve">PH_Rule_SIGMA_1976</t>
  </si>
  <si>
    <t xml:space="preserve">Windows: Office Macro File Creation From Suspicious Process</t>
  </si>
  <si>
    <t xml:space="preserve">https://filestore.fortinet.com/docs.fortinet.com/fsiem/Public_Resource_Access/7_6_0/rules/PH_RULE_Office_Macro_File_Creation_From_Suspicious_Process.htm</t>
  </si>
  <si>
    <t xml:space="preserve">PH_Rule_SIGMA_1975</t>
  </si>
  <si>
    <t xml:space="preserve">Windows: Office Macro File Download</t>
  </si>
  <si>
    <t xml:space="preserve">https://filestore.fortinet.com/docs.fortinet.com/fsiem/Public_Resource_Access/7_6_0/rules/PH_RULE_Office_Macro_File_Download.htm</t>
  </si>
  <si>
    <t xml:space="preserve">PH_Rule_windows_SIGMA_3808</t>
  </si>
  <si>
    <t xml:space="preserve">Windows: Old TLS1.0/TLS1.1 Protocol Version Enabled</t>
  </si>
  <si>
    <t xml:space="preserve">https://filestore.fortinet.com/docs.fortinet.com/fsiem/Public_Resource_Access/7_6_0/rules/PH_RULE_Old_TLS1_0_TLS1_1_Protocol_Version_Enabled.htm</t>
  </si>
  <si>
    <t xml:space="preserve">PH_Rule_SIGMA_1977</t>
  </si>
  <si>
    <t xml:space="preserve">Windows: OneNote Attachment File Dropped In Suspicious Location</t>
  </si>
  <si>
    <t xml:space="preserve">https://filestore.fortinet.com/docs.fortinet.com/fsiem/Public_Resource_Access/7_6_0/rules/PH_RULE_OneNote_Attachment_File_Dropped_In_Suspicious_Location.htm</t>
  </si>
  <si>
    <t xml:space="preserve">PH_Rule_windows_SIGMA_3423</t>
  </si>
  <si>
    <t xml:space="preserve">Windows: OneNote.EXE Execution of Malicious Embedded Scripts</t>
  </si>
  <si>
    <t xml:space="preserve">https://filestore.fortinet.com/docs.fortinet.com/fsiem/Public_Resource_Access/7_6_0/rules/PH_RULE_OneNote_EXE_Execution_of_Malicious_Embedded_Scripts.htm</t>
  </si>
  <si>
    <t xml:space="preserve">PH_Rule_windows_SIGMA_3327</t>
  </si>
  <si>
    <t xml:space="preserve">Windows: OpenEDR Spawning Command Shell</t>
  </si>
  <si>
    <t xml:space="preserve">https://filestore.fortinet.com/docs.fortinet.com/fsiem/Public_Resource_Access/7_6_0/rules/PH_RULE_OpenEDR_Spawning_Command_Shell.htm</t>
  </si>
  <si>
    <t xml:space="preserve">PH_Rule_SIGMA_571</t>
  </si>
  <si>
    <t xml:space="preserve">Windows: OpenWith.exe Executes Specified Binary</t>
  </si>
  <si>
    <t xml:space="preserve">https://filestore.fortinet.com/docs.fortinet.com/fsiem/Public_Resource_Access/7_6_0/rules/PH_RULE_OpenWith_exe_Executes_Specified_Binary.htm</t>
  </si>
  <si>
    <t xml:space="preserve">PH_Rule_SIGMA_2320</t>
  </si>
  <si>
    <t xml:space="preserve">Windows: Operator Bloopers Cobalt Strike Commands</t>
  </si>
  <si>
    <t xml:space="preserve">https://filestore.fortinet.com/docs.fortinet.com/fsiem/Public_Resource_Access/7_6_0/rules/PH_RULE_Operator_Bloopers_Cobalt_Strike_Commands.htm</t>
  </si>
  <si>
    <t xml:space="preserve">PH_Rule_SIGMA_2321</t>
  </si>
  <si>
    <t xml:space="preserve">Windows: Operator Bloopers Cobalt Strike Modules</t>
  </si>
  <si>
    <t xml:space="preserve">https://filestore.fortinet.com/docs.fortinet.com/fsiem/Public_Resource_Access/7_6_0/rules/PH_RULE_Operator_Bloopers_Cobalt_Strike_Modules.htm</t>
  </si>
  <si>
    <t xml:space="preserve">PH_Rule_windows_SIGMA_3036</t>
  </si>
  <si>
    <t xml:space="preserve">Windows: Outbound Network Connection Initiated By Cmstp.EXE</t>
  </si>
  <si>
    <t xml:space="preserve">https://filestore.fortinet.com/docs.fortinet.com/fsiem/Public_Resource_Access/7_6_0/rules/PH_RULE_Outbound_Network_Connection_Initiated_By_Cmstp_EXE.htm</t>
  </si>
  <si>
    <t xml:space="preserve">PH_Rule_windows_SIGMA_3037</t>
  </si>
  <si>
    <t xml:space="preserve">Windows: Outbound Network Connection Initiated By Microsoft Dialer</t>
  </si>
  <si>
    <t xml:space="preserve">https://filestore.fortinet.com/docs.fortinet.com/fsiem/Public_Resource_Access/7_6_0/rules/PH_RULE_Outbound_Network_Connection_Initiated_By_Microsoft_Dialer.htm</t>
  </si>
  <si>
    <t xml:space="preserve">PH_Rule_SIGMA_2063</t>
  </si>
  <si>
    <t xml:space="preserve">Windows: Outbound Network Connection To Public IP Via Winlogon</t>
  </si>
  <si>
    <t xml:space="preserve">https://filestore.fortinet.com/docs.fortinet.com/fsiem/Public_Resource_Access/7_6_0/rules/PH_RULE_Outbound_Network_Connection_To_Public_IP_Via_Winlogon.htm</t>
  </si>
  <si>
    <t xml:space="preserve">PH_Rule_SIGMA_2409</t>
  </si>
  <si>
    <t xml:space="preserve">Windows: Outlook EnableUnsafeClientMailRules Setting Enabled</t>
  </si>
  <si>
    <t xml:space="preserve">https://filestore.fortinet.com/docs.fortinet.com/fsiem/Public_Resource_Access/7_6_0/rules/PH_RULE_Outlook_EnableUnsafeClientMailRules_Setting_Enabled.htm</t>
  </si>
  <si>
    <t xml:space="preserve">PH_Rule_windows_SIGMA_3730</t>
  </si>
  <si>
    <t xml:space="preserve">Windows: Outlook EnableUnsafeClientMailRules Setting Enabled - Registry</t>
  </si>
  <si>
    <t xml:space="preserve">https://filestore.fortinet.com/docs.fortinet.com/fsiem/Public_Resource_Access/7_6_0/rules/PH_RULE_Outlook_EnableUnsafeClientMailRules_Setting_Enabled_Registry.htm</t>
  </si>
  <si>
    <t xml:space="preserve">PH_Rule_windows_SIGMA_3729</t>
  </si>
  <si>
    <t xml:space="preserve">Windows: Outlook Macro Execution Without Warning Setting Enabled</t>
  </si>
  <si>
    <t xml:space="preserve">https://filestore.fortinet.com/docs.fortinet.com/fsiem/Public_Resource_Access/7_6_0/rules/PH_RULE_Outlook_Macro_Execution_Without_Warning_Setting_Enabled.htm</t>
  </si>
  <si>
    <t xml:space="preserve">PH_Rule_windows_SIGMA_3731</t>
  </si>
  <si>
    <t xml:space="preserve">Windows: Outlook Security Settings Updated - Registry</t>
  </si>
  <si>
    <t xml:space="preserve">https://filestore.fortinet.com/docs.fortinet.com/fsiem/Public_Resource_Access/7_6_0/rules/PH_RULE_Outlook_Security_Settings_Updated_Registry.htm</t>
  </si>
  <si>
    <t xml:space="preserve">PH_Rule_SIGMA_1871</t>
  </si>
  <si>
    <t xml:space="preserve">Windows: PAExec Service Installation</t>
  </si>
  <si>
    <t xml:space="preserve">https://filestore.fortinet.com/docs.fortinet.com/fsiem/Public_Resource_Access/7_6_0/rules/PH_RULE_PAExec_Service_Installation.htm</t>
  </si>
  <si>
    <t xml:space="preserve">PH_Rule_SIGMA_1580</t>
  </si>
  <si>
    <t xml:space="preserve">Windows: Password Provided In Command Line Of Net.EXE</t>
  </si>
  <si>
    <t xml:space="preserve">https://filestore.fortinet.com/docs.fortinet.com/fsiem/Public_Resource_Access/7_6_0/rules/PH_RULE_Password_Provided_In_Command_Line_Of_Net_exe.htm</t>
  </si>
  <si>
    <t xml:space="preserve">PH_Rule_windows_SIGMA_3595</t>
  </si>
  <si>
    <t xml:space="preserve">Windows: Password Set to Never Expire via WMI</t>
  </si>
  <si>
    <t xml:space="preserve">https://filestore.fortinet.com/docs.fortinet.com/fsiem/Public_Resource_Access/7_6_0/rules/PH_RULE_Password_Set_to_Never_Expire_via_WMI.htm</t>
  </si>
  <si>
    <t xml:space="preserve">PH_Rule_SIGMA_804</t>
  </si>
  <si>
    <t xml:space="preserve">Windows: Path To Screensaver Binary Modified</t>
  </si>
  <si>
    <t xml:space="preserve">https://filestore.fortinet.com/docs.fortinet.com/fsiem/Public_Resource_Access/7_6_0/rules/PH_RULE_Path_To_Screensaver_Binary_Modified.htm</t>
  </si>
  <si>
    <t xml:space="preserve">PH_Rule_SIGMA_1253</t>
  </si>
  <si>
    <t xml:space="preserve">Windows: PCRE.NET Package Image Load</t>
  </si>
  <si>
    <t xml:space="preserve">https://filestore.fortinet.com/docs.fortinet.com/fsiem/Public_Resource_Access/7_6_0/rules/PH_RULE_PCRE_NET_Package_Image_Load.htm</t>
  </si>
  <si>
    <t xml:space="preserve">PH_Rule_SIGMA_837</t>
  </si>
  <si>
    <t xml:space="preserve">Windows: PCRE.NET Package Temp Files</t>
  </si>
  <si>
    <t xml:space="preserve">https://filestore.fortinet.com/docs.fortinet.com/fsiem/Public_Resource_Access/7_6_0/rules/PH_RULE_PCRE_NET_Package_Temp_Files.htm</t>
  </si>
  <si>
    <t xml:space="preserve">PH_Rule_windows_SIGMA_2967</t>
  </si>
  <si>
    <t xml:space="preserve">Windows: PDF File Created By RegEdit.EXE</t>
  </si>
  <si>
    <t xml:space="preserve">https://filestore.fortinet.com/docs.fortinet.com/fsiem/Public_Resource_Access/7_6_0/rules/PH_RULE_PDF_File_Created_By_RegEdit_EXE.htm</t>
  </si>
  <si>
    <t xml:space="preserve">PH_Rule_SIGMA_2414</t>
  </si>
  <si>
    <t xml:space="preserve">Windows: PDQ Deploy Remote Adminstartion Tool Execution</t>
  </si>
  <si>
    <t xml:space="preserve">https://filestore.fortinet.com/docs.fortinet.com/fsiem/Public_Resource_Access/7_6_0/rules/PH_RULE_PDQ_Deploy_Remote_Adminstartion_Tool_Execution.htm</t>
  </si>
  <si>
    <t xml:space="preserve">PH_Rule_windows_SIGMA_3691</t>
  </si>
  <si>
    <t xml:space="preserve">Windows: Periodic Backup For System Registry Hives Enabled</t>
  </si>
  <si>
    <t xml:space="preserve">https://filestore.fortinet.com/docs.fortinet.com/fsiem/Public_Resource_Access/7_6_0/rules/PH_RULE_Periodic_Backup_For_System_Registry_Hives_Enabled.htm</t>
  </si>
  <si>
    <t xml:space="preserve">PH_Rule_SIGMA_2416</t>
  </si>
  <si>
    <t xml:space="preserve">Windows: Perl Inline Command Execution</t>
  </si>
  <si>
    <t xml:space="preserve">https://filestore.fortinet.com/docs.fortinet.com/fsiem/Public_Resource_Access/7_6_0/rules/PH_RULE_Perl_Inline_Command_Execution.htm</t>
  </si>
  <si>
    <t xml:space="preserve">PH_Rule_SIGMA_1746</t>
  </si>
  <si>
    <t xml:space="preserve">Windows: Permission Check Via Accesschk.EXE</t>
  </si>
  <si>
    <t xml:space="preserve">https://filestore.fortinet.com/docs.fortinet.com/fsiem/Public_Resource_Access/7_6_0/rules/PH_RULE_Accesschk_Usage_After_Privilege_Escalation.htm</t>
  </si>
  <si>
    <t xml:space="preserve">PH_Rule_windows_SIGMA_3686</t>
  </si>
  <si>
    <t xml:space="preserve">Windows: Persistence Via Disk Cleanup Handler - Autorun</t>
  </si>
  <si>
    <t xml:space="preserve">https://filestore.fortinet.com/docs.fortinet.com/fsiem/Public_Resource_Access/7_6_0/rules/PH_RULE_Persistence_Via_Disk_Cleanup_Handler_Autorun.htm</t>
  </si>
  <si>
    <t xml:space="preserve">PH_Rule_windows_SIGMA_3702</t>
  </si>
  <si>
    <t xml:space="preserve">Windows: Persistence Via Hhctrl.ocx</t>
  </si>
  <si>
    <t xml:space="preserve">https://filestore.fortinet.com/docs.fortinet.com/fsiem/Public_Resource_Access/7_6_0/rules/PH_RULE_Persistence_Via_Hhctrl_ocx.htm</t>
  </si>
  <si>
    <t xml:space="preserve">PH_Rule_windows_SIGMA_3786</t>
  </si>
  <si>
    <t xml:space="preserve">Windows: Persistence Via New SIP Provider</t>
  </si>
  <si>
    <t xml:space="preserve">https://filestore.fortinet.com/docs.fortinet.com/fsiem/Public_Resource_Access/7_6_0/rules/PH_RULE_Persistence_Via_New_SIP_Provider.htm</t>
  </si>
  <si>
    <t xml:space="preserve">PH_Rule_SIGMA_1521</t>
  </si>
  <si>
    <t xml:space="preserve">Windows: Persistence Via Sticky Key Backdoor</t>
  </si>
  <si>
    <t xml:space="preserve">https://filestore.fortinet.com/docs.fortinet.com/fsiem/Public_Resource_Access/7_6_0/rules/PH_RULE_Sticky_Key_Backdoor_Copy_Cmd_exe.htm</t>
  </si>
  <si>
    <t xml:space="preserve">PH_Rule_SIGMA_2490</t>
  </si>
  <si>
    <t xml:space="preserve">Windows: Persistence Via TypedPaths - CommandLine</t>
  </si>
  <si>
    <t xml:space="preserve">https://filestore.fortinet.com/docs.fortinet.com/fsiem/Public_Resource_Access/7_6_0/rules/PH_RULE_Persistence_Via_TypedPaths_CommandLine.htm</t>
  </si>
  <si>
    <t xml:space="preserve">PH_Rule_SIGMA_1278</t>
  </si>
  <si>
    <t xml:space="preserve">Windows: Phishing Pattern ISO in Archive</t>
  </si>
  <si>
    <t xml:space="preserve">https://filestore.fortinet.com/docs.fortinet.com/fsiem/Public_Resource_Access/7_6_0/rules/PH_RULE_Phishing_Pattern_ISO_in_Archive.htm</t>
  </si>
  <si>
    <t xml:space="preserve">PH_Rule_SIGMA_2417</t>
  </si>
  <si>
    <t xml:space="preserve">Windows: Php Inline Command Execution</t>
  </si>
  <si>
    <t xml:space="preserve">https://filestore.fortinet.com/docs.fortinet.com/fsiem/Public_Resource_Access/7_6_0/rules/PH_RULE_Php_Inline_Command_Execution.htm</t>
  </si>
  <si>
    <t xml:space="preserve">PH_Rule_SIGMA_574</t>
  </si>
  <si>
    <t xml:space="preserve">Windows: Ping Hex IP</t>
  </si>
  <si>
    <t xml:space="preserve">https://filestore.fortinet.com/docs.fortinet.com/fsiem/Public_Resource_Access/7_6_0/rules/PH_RULE_Ping_Hex_IP.htm</t>
  </si>
  <si>
    <t xml:space="preserve">PH_Rule_SIGMA_2537</t>
  </si>
  <si>
    <t xml:space="preserve">Windows: Port Forwarding Activity Via SSH.EXE</t>
  </si>
  <si>
    <t xml:space="preserve">https://filestore.fortinet.com/docs.fortinet.com/fsiem/Public_Resource_Access/7_6_0/rules/PH_RULE_Port_Forwarding_Attempt_Via_SSH.htm</t>
  </si>
  <si>
    <t xml:space="preserve">PH_Rule_windows_SIGMA_3365</t>
  </si>
  <si>
    <t xml:space="preserve">Windows: Portable Gpg.EXE Execution</t>
  </si>
  <si>
    <t xml:space="preserve">https://filestore.fortinet.com/docs.fortinet.com/fsiem/Public_Resource_Access/7_6_0/rules/PH_RULE_Portable_Gpg_EXE_Execution.htm</t>
  </si>
  <si>
    <t xml:space="preserve">PH_Rule_SIGMA_622</t>
  </si>
  <si>
    <t xml:space="preserve">Windows: Possible Privilege Escalation via Weak Service Permissions</t>
  </si>
  <si>
    <t xml:space="preserve">https://filestore.fortinet.com/docs.fortinet.com/fsiem/Public_Resource_Access/7_6_0/rules/PH_RULE_Possible_Privilege_Escalation_via_Weak_Service_Permissions.htm</t>
  </si>
  <si>
    <t xml:space="preserve">PH_Rule_windows_SIGMA_2999</t>
  </si>
  <si>
    <t xml:space="preserve">Windows: Potential 7za.DLL Sideloading</t>
  </si>
  <si>
    <t xml:space="preserve">https://filestore.fortinet.com/docs.fortinet.com/fsiem/Public_Resource_Access/7_6_0/rules/PH_RULE_Potential_7za_DLL_Sideloading.htm</t>
  </si>
  <si>
    <t xml:space="preserve">PH_Rule_windows_SIGMA_3526</t>
  </si>
  <si>
    <t xml:space="preserve">Windows: Potential Amazon SSM Agent Hijacking</t>
  </si>
  <si>
    <t xml:space="preserve">https://filestore.fortinet.com/docs.fortinet.com/fsiem/Public_Resource_Access/7_6_0/rules/PH_RULE_Potential_Amazon_SSM_Agent_Hijacking.htm</t>
  </si>
  <si>
    <t xml:space="preserve">PH_Rule_windows_SIGMA_3130</t>
  </si>
  <si>
    <t xml:space="preserve">Windows: Potential AMSI Bypass Script Using NULL Bits</t>
  </si>
  <si>
    <t xml:space="preserve">https://filestore.fortinet.com/docs.fortinet.com/fsiem/Public_Resource_Access/7_6_0/rules/PH_RULE_Potential_AMSI_Bypass_Script_Using_NULL_Bits.htm</t>
  </si>
  <si>
    <t xml:space="preserve">PH_Rule_SIGMA_2423</t>
  </si>
  <si>
    <t xml:space="preserve">Windows: Potential AMSI Bypass Using NULL Bits</t>
  </si>
  <si>
    <t xml:space="preserve">https://filestore.fortinet.com/docs.fortinet.com/fsiem/Public_Resource_Access/7_6_0/rules/PH_RULE_Potential_AMSI_Bypass_Using_NULL_Bits.htm</t>
  </si>
  <si>
    <t xml:space="preserve">PH_Rule_SIGMA_479</t>
  </si>
  <si>
    <t xml:space="preserve">Windows: Potential AMSI Bypass Via .NET Reflection</t>
  </si>
  <si>
    <t xml:space="preserve">https://filestore.fortinet.com/docs.fortinet.com/fsiem/Public_Resource_Access/7_6_0/rules/PH_RULE_Powershell_AMSI_Bypass_via_NET_Reflection.htm</t>
  </si>
  <si>
    <t xml:space="preserve">PH_Rule_windows_SIGMA_3628</t>
  </si>
  <si>
    <t xml:space="preserve">Windows: Potential AMSI COM Server Hijacking</t>
  </si>
  <si>
    <t xml:space="preserve">https://filestore.fortinet.com/docs.fortinet.com/fsiem/Public_Resource_Access/7_6_0/rules/PH_RULE_Potential_AMSI_COM_Server_Hijacking.htm</t>
  </si>
  <si>
    <t xml:space="preserve">PH_Rule_SIGMA_2021</t>
  </si>
  <si>
    <t xml:space="preserve">Windows: Potential Antivirus Software DLL Sideloading</t>
  </si>
  <si>
    <t xml:space="preserve">https://filestore.fortinet.com/docs.fortinet.com/fsiem/Public_Resource_Access/7_6_0/rules/PH_RULE_Potential_Antivirus_Software_DLL_Sideloading.htm</t>
  </si>
  <si>
    <t xml:space="preserve">PH_Rule_windows_SIGMA_3001</t>
  </si>
  <si>
    <t xml:space="preserve">Windows: Potential appverifUI.DLL Sideloading</t>
  </si>
  <si>
    <t xml:space="preserve">https://filestore.fortinet.com/docs.fortinet.com/fsiem/Public_Resource_Access/7_6_0/rules/PH_RULE_Potential_appverifUI_DLL_Sideloading.htm</t>
  </si>
  <si>
    <t xml:space="preserve">PH_Rule_SIGMA_2404</t>
  </si>
  <si>
    <t xml:space="preserve">Windows: Potential Arbitrary Code Execution Via Node.EXE</t>
  </si>
  <si>
    <t xml:space="preserve">https://filestore.fortinet.com/docs.fortinet.com/fsiem/Public_Resource_Access/7_6_0/rules/PH_RULE_Potential_Arbitrary_Code_Execution_Via_Node_EXE.htm</t>
  </si>
  <si>
    <t xml:space="preserve">PH_Rule_SIGMA_1568</t>
  </si>
  <si>
    <t xml:space="preserve">Windows: Potential Arbitrary Command Execution Via FTP.EXE</t>
  </si>
  <si>
    <t xml:space="preserve">https://filestore.fortinet.com/docs.fortinet.com/fsiem/Public_Resource_Access/7_6_0/rules/PH_RULE_Suspicious_ftp_exe.htm</t>
  </si>
  <si>
    <t xml:space="preserve">PH_Rule_SIGMA_1732</t>
  </si>
  <si>
    <t xml:space="preserve">Windows: Potential Arbitrary DLL Load Using Winword</t>
  </si>
  <si>
    <t xml:space="preserve">https://filestore.fortinet.com/docs.fortinet.com/fsiem/Public_Resource_Access/7_6_0/rules/PH_RULE_Winword_exe_Loads_Suspicious_DLL.htm</t>
  </si>
  <si>
    <t xml:space="preserve">PH_Rule_SIGMA_2407</t>
  </si>
  <si>
    <t xml:space="preserve">Windows: Potential Arbitrary File Download Using Office Application</t>
  </si>
  <si>
    <t xml:space="preserve">https://filestore.fortinet.com/docs.fortinet.com/fsiem/Public_Resource_Access/7_6_0/rules/PH_RULE_Potential_Arbitrary_File_Download_Using_Office_Application.htm</t>
  </si>
  <si>
    <t xml:space="preserve">PH_Rule_windows_SIGMA_3326</t>
  </si>
  <si>
    <t xml:space="preserve">Windows: Potential Arbitrary File Download Via Cmdl32.EXE</t>
  </si>
  <si>
    <t xml:space="preserve">https://filestore.fortinet.com/docs.fortinet.com/fsiem/Public_Resource_Access/7_6_0/rules/PH_RULE_Potential_Arbitrary_File_Download_Via_Cmdl32_EXE.htm</t>
  </si>
  <si>
    <t xml:space="preserve">PH_Rule_windows_SIGMA_3765</t>
  </si>
  <si>
    <t xml:space="preserve">Windows: Potential Attachment Manager Settings Associations Tamper</t>
  </si>
  <si>
    <t xml:space="preserve">https://filestore.fortinet.com/docs.fortinet.com/fsiem/Public_Resource_Access/7_6_0/rules/PH_RULE_Potential_Attachment_Manager_Settings_Associations_Tamper.htm</t>
  </si>
  <si>
    <t xml:space="preserve">PH_Rule_windows_SIGMA_3766</t>
  </si>
  <si>
    <t xml:space="preserve">Windows: Potential Attachment Manager Settings Attachments Tamper</t>
  </si>
  <si>
    <t xml:space="preserve">https://filestore.fortinet.com/docs.fortinet.com/fsiem/Public_Resource_Access/7_6_0/rules/PH_RULE_Potential_Attachment_Manager_Settings_Attachments_Tamper.htm</t>
  </si>
  <si>
    <t xml:space="preserve">PH_Rule_windows_SIGMA_3670</t>
  </si>
  <si>
    <t xml:space="preserve">Windows: Potential AutoLogger Sessions Tampering</t>
  </si>
  <si>
    <t xml:space="preserve">https://filestore.fortinet.com/docs.fortinet.com/fsiem/Public_Resource_Access/7_6_0/rules/PH_RULE_Potential_AutoLogger_Sessions_Tampering.htm</t>
  </si>
  <si>
    <t xml:space="preserve">PH_Rule_windows_SIGMA_3002</t>
  </si>
  <si>
    <t xml:space="preserve">Windows: Potential AVKkid.DLL Sideloading</t>
  </si>
  <si>
    <t xml:space="preserve">https://filestore.fortinet.com/docs.fortinet.com/fsiem/Public_Resource_Access/7_6_0/rules/PH_RULE_Potential_AVKkid_DLL_Sideloading.htm</t>
  </si>
  <si>
    <t xml:space="preserve">PH_Rule_SIGMA_1982</t>
  </si>
  <si>
    <t xml:space="preserve">Windows: Potential Binary Or Script Dropper Via PowerShell</t>
  </si>
  <si>
    <t xml:space="preserve">https://filestore.fortinet.com/docs.fortinet.com/fsiem/Public_Resource_Access/7_6_0/rules/PH_RULE_Potential_Binary_Or_Script_Dropper_Via_PowerShell.htm</t>
  </si>
  <si>
    <t xml:space="preserve">PH_Rule_windows_SIGMA_3576</t>
  </si>
  <si>
    <t xml:space="preserve">Windows: Potential Binary Proxy Execution Via VSDiagnostics.EXE</t>
  </si>
  <si>
    <t xml:space="preserve">https://filestore.fortinet.com/docs.fortinet.com/fsiem/Public_Resource_Access/7_6_0/rules/PH_RULE_Potential_Binary_Proxy_Execution_Via_VSDiagnostics_EXE.htm</t>
  </si>
  <si>
    <t xml:space="preserve">PH_Rule_windows_SIGMA_3003</t>
  </si>
  <si>
    <t xml:space="preserve">Windows: Potential CCleanerDU.DLL Sideloading</t>
  </si>
  <si>
    <t xml:space="preserve">https://filestore.fortinet.com/docs.fortinet.com/fsiem/Public_Resource_Access/7_6_0/rules/PH_RULE_Potential_CCleanerDU_DLL_Sideloading.htm</t>
  </si>
  <si>
    <t xml:space="preserve">PH_Rule_windows_SIGMA_3004</t>
  </si>
  <si>
    <t xml:space="preserve">Windows: Potential CCleanerReactivator.DLL Sideloading</t>
  </si>
  <si>
    <t xml:space="preserve">https://filestore.fortinet.com/docs.fortinet.com/fsiem/Public_Resource_Access/7_6_0/rules/PH_RULE_Potential_CCleanerReactivator_DLL_Sideloading.htm</t>
  </si>
  <si>
    <t xml:space="preserve">PH_Rule_SIGMA_2023</t>
  </si>
  <si>
    <t xml:space="preserve">Windows: Potential Chrome Frame Helper DLL Sideloading</t>
  </si>
  <si>
    <t xml:space="preserve">https://filestore.fortinet.com/docs.fortinet.com/fsiem/Public_Resource_Access/7_6_0/rules/PH_RULE_Potential_Chrome_Frame_Helper_DLL_Sideloading.htm</t>
  </si>
  <si>
    <t xml:space="preserve">PH_Rule_windows_SIGMA_3767</t>
  </si>
  <si>
    <t xml:space="preserve">Windows: Potential ClickFix Execution Pattern - Registry</t>
  </si>
  <si>
    <t xml:space="preserve">https://filestore.fortinet.com/docs.fortinet.com/fsiem/Public_Resource_Access/7_6_0/rules/PH_RULE_Potential_ClickFix_Execution_Pattern_Registry.htm</t>
  </si>
  <si>
    <t xml:space="preserve">PH_Rule_SIGMA_1297</t>
  </si>
  <si>
    <t xml:space="preserve">Windows: Potential Cobalt Strike Process Patterns</t>
  </si>
  <si>
    <t xml:space="preserve">https://filestore.fortinet.com/docs.fortinet.com/fsiem/Public_Resource_Access/7_6_0/rules/PH_RULE_CobaltStrike_Process_Patterns.htm</t>
  </si>
  <si>
    <t xml:space="preserve">PH_Rule_windows_SIGMA_3655</t>
  </si>
  <si>
    <t xml:space="preserve">Windows: Potential CobaltStrike Service Installations - Registry</t>
  </si>
  <si>
    <t xml:space="preserve">https://filestore.fortinet.com/docs.fortinet.com/fsiem/Public_Resource_Access/7_6_0/rules/PH_RULE_Potential_CobaltStrike_Service_Installations_Registry.htm</t>
  </si>
  <si>
    <t xml:space="preserve">PH_Rule_windows_SIGMA_3743</t>
  </si>
  <si>
    <t xml:space="preserve">Windows: Potential COM Object Hijacking Via TreatAs Subkey - Registry</t>
  </si>
  <si>
    <t xml:space="preserve">https://filestore.fortinet.com/docs.fortinet.com/fsiem/Public_Resource_Access/7_6_0/rules/PH_RULE_Potential_COM_Object_Hijacking_Via_TreatAs_Subkey_Registry.htm</t>
  </si>
  <si>
    <t xml:space="preserve">PH_Rule_SIGMA_2432</t>
  </si>
  <si>
    <t xml:space="preserve">Windows: Potential COM Objects Download Cradles Usage - Process Creation</t>
  </si>
  <si>
    <t xml:space="preserve">https://filestore.fortinet.com/docs.fortinet.com/fsiem/Public_Resource_Access/7_6_0/rules/PH_RULE_Potential_COM_Objects_Download_Cradles_Usage_Process_Creation.htm</t>
  </si>
  <si>
    <t xml:space="preserve">PH_Rule_windows_SIGMA_3151</t>
  </si>
  <si>
    <t xml:space="preserve">Windows: Potential COM Objects Download Cradles Usage - PS Script</t>
  </si>
  <si>
    <t xml:space="preserve">https://filestore.fortinet.com/docs.fortinet.com/fsiem/Public_Resource_Access/7_6_0/rules/PH_RULE_Potential_COM_Objects_Download_Cradles_Usage_PS_Script.htm</t>
  </si>
  <si>
    <t xml:space="preserve">PH_Rule_SIGMA_1298</t>
  </si>
  <si>
    <t xml:space="preserve">Windows: Potential Command Line Path Traversal Evasion Attempt</t>
  </si>
  <si>
    <t xml:space="preserve">https://filestore.fortinet.com/docs.fortinet.com/fsiem/Public_Resource_Access/7_6_0/rules/PH_RULE_Command_Line_Path_Traversal_Evasion.htm</t>
  </si>
  <si>
    <t xml:space="preserve">PH_Rule_SIGMA_391</t>
  </si>
  <si>
    <t xml:space="preserve">Windows: Potential CommandLine Path Traversal Via Cmd.EXE</t>
  </si>
  <si>
    <t xml:space="preserve">https://filestore.fortinet.com/docs.fortinet.com/fsiem/Public_Resource_Access/7_6_0/rules/PH_RULE_Cmd_exe_CommandLine_Path_Traversal.htm</t>
  </si>
  <si>
    <t xml:space="preserve">PH_Rule_SIGMA_494</t>
  </si>
  <si>
    <t xml:space="preserve">Windows: Potential Configuration And Service Reconnaissance Via Reg.EXE</t>
  </si>
  <si>
    <t xml:space="preserve">https://filestore.fortinet.com/docs.fortinet.com/fsiem/Public_Resource_Access/7_6_0/rules/PH_RULE_Query_Registry.htm</t>
  </si>
  <si>
    <t xml:space="preserve">PH_Rule_windows_SIGMA_3333</t>
  </si>
  <si>
    <t xml:space="preserve">Windows: Potential Cookies Session Hijacking</t>
  </si>
  <si>
    <t xml:space="preserve">https://filestore.fortinet.com/docs.fortinet.com/fsiem/Public_Resource_Access/7_6_0/rules/PH_RULE_Potential_Cookies_Session_Hijacking.htm</t>
  </si>
  <si>
    <t xml:space="preserve">PH_Rule_SIGMA_2488</t>
  </si>
  <si>
    <t xml:space="preserve">Windows: Potential Credential Dumping Attempt Using New NetworkProvider - CLI</t>
  </si>
  <si>
    <t xml:space="preserve">https://filestore.fortinet.com/docs.fortinet.com/fsiem/Public_Resource_Access/7_6_0/rules/PH_RULE_Potential_Credential_Dumping_Attempt_Using_New_NetworkProvider_CLI.htm</t>
  </si>
  <si>
    <t xml:space="preserve">PH_Rule_windows_SIGMA_3721</t>
  </si>
  <si>
    <t xml:space="preserve">Windows: Potential Credential Dumping Attempt Using New NetworkProvider - REG</t>
  </si>
  <si>
    <t xml:space="preserve">https://filestore.fortinet.com/docs.fortinet.com/fsiem/Public_Resource_Access/7_6_0/rules/PH_RULE_Potential_Credential_Dumping_Attempt_Using_New_NetworkProvider_REG.htm</t>
  </si>
  <si>
    <t xml:space="preserve">PH_Rule_SIGMA_1306</t>
  </si>
  <si>
    <t xml:space="preserve">Windows: Potential Crypto Mining Activity</t>
  </si>
  <si>
    <t xml:space="preserve">https://filestore.fortinet.com/docs.fortinet.com/fsiem/Public_Resource_Access/7_6_0/rules/PH_RULE_Windows_Crypto_Mining_Indicators.htm</t>
  </si>
  <si>
    <t xml:space="preserve">PH_Rule_SIGMA_2546</t>
  </si>
  <si>
    <t xml:space="preserve">Windows: Potential Data Exfiltration Activity Via CommandLine Tools</t>
  </si>
  <si>
    <t xml:space="preserve">https://filestore.fortinet.com/docs.fortinet.com/fsiem/Public_Resource_Access/7_6_0/rules/PH_RULE_Potential_Data_Exfiltration_Activity_Via_CommandLine_Tools.htm</t>
  </si>
  <si>
    <t xml:space="preserve">PH_Rule_windows_SIGMA_3133</t>
  </si>
  <si>
    <t xml:space="preserve">Windows: Potential Data Exfiltration Via Audio File</t>
  </si>
  <si>
    <t xml:space="preserve">https://filestore.fortinet.com/docs.fortinet.com/fsiem/Public_Resource_Access/7_6_0/rules/PH_RULE_Potential_Data_Exfiltration_Via_Audio_File.htm</t>
  </si>
  <si>
    <t xml:space="preserve">PH_Rule_SIGMA_2266</t>
  </si>
  <si>
    <t xml:space="preserve">Windows: Potential Data Stealing Via Chromium Headless Debugging</t>
  </si>
  <si>
    <t xml:space="preserve">https://filestore.fortinet.com/docs.fortinet.com/fsiem/Public_Resource_Access/7_6_0/rules/PH_RULE_Potential_Data_Stealing_Via_Chromium_Headless_Debugging.htm</t>
  </si>
  <si>
    <t xml:space="preserve">PH_Rule_SIGMA_499</t>
  </si>
  <si>
    <t xml:space="preserve">Windows: Potential Defense Evasion Via Binary Rename</t>
  </si>
  <si>
    <t xml:space="preserve">https://filestore.fortinet.com/docs.fortinet.com/fsiem/Public_Resource_Access/7_6_0/rules/PH_RULE_Renamed_Binary.htm</t>
  </si>
  <si>
    <t xml:space="preserve">PH_Rule_windows_SIGMA_3609</t>
  </si>
  <si>
    <t xml:space="preserve">Windows: Potential Defense Evasion Via Raw Disk Access By Uncommon Tools</t>
  </si>
  <si>
    <t xml:space="preserve">https://filestore.fortinet.com/docs.fortinet.com/fsiem/Public_Resource_Access/7_6_0/rules/PH_RULE_Potential_Defense_Evasion_Via_Raw_Disk_Access_By_Uncommon_Tools.htm</t>
  </si>
  <si>
    <t xml:space="preserve">PH_Rule_SIGMA_500</t>
  </si>
  <si>
    <t xml:space="preserve">Windows: Potential Defense Evasion Via Rename Of Highly Relevant Binaries</t>
  </si>
  <si>
    <t xml:space="preserve">https://filestore.fortinet.com/docs.fortinet.com/fsiem/Public_Resource_Access/7_6_0/rules/PH_RULE_Highly_Relevant_Renamed_Binary.htm</t>
  </si>
  <si>
    <t xml:space="preserve">PH_Rule_SIGMA_2566</t>
  </si>
  <si>
    <t xml:space="preserve">Windows: Potential Defense Evasion Via Right-to-Left Override</t>
  </si>
  <si>
    <t xml:space="preserve">https://filestore.fortinet.com/docs.fortinet.com/fsiem/Public_Resource_Access/7_6_0/rules/PH_RULE_Potential_Defense_Evasion_Via_Right_to_Left_Override.htm</t>
  </si>
  <si>
    <t xml:space="preserve">PH_Rule_windows_SIGMA_3290</t>
  </si>
  <si>
    <t xml:space="preserve">Windows: Potential Direct Syscall of NtOpenProcess</t>
  </si>
  <si>
    <t xml:space="preserve">https://filestore.fortinet.com/docs.fortinet.com/fsiem/Public_Resource_Access/7_6_0/rules/PH_RULE_Potential_Direct_Syscall_of_NtOpenProcess.htm</t>
  </si>
  <si>
    <t xml:space="preserve">PH_Rule_SIGMA_2302</t>
  </si>
  <si>
    <t xml:space="preserve">Windows: Potential Discovery Activity Via Dnscmd.EXE</t>
  </si>
  <si>
    <t xml:space="preserve">https://filestore.fortinet.com/docs.fortinet.com/fsiem/Public_Resource_Access/7_6_0/rules/PH_RULE_Potential_Discovery_Activity_Via_Dnscmd_EXE.htm</t>
  </si>
  <si>
    <t xml:space="preserve">PH_Rule_SIGMA_2433</t>
  </si>
  <si>
    <t xml:space="preserve">Windows: Potential DLL File Download Via PowerShell Invoke-WebRequest</t>
  </si>
  <si>
    <t xml:space="preserve">https://filestore.fortinet.com/docs.fortinet.com/fsiem/Public_Resource_Access/7_6_0/rules/PH_RULE_Potential_DLL_File_Download_Via_PowerShell_Invoke_WebRequest.htm</t>
  </si>
  <si>
    <t xml:space="preserve">PH_Rule_SIGMA_1671</t>
  </si>
  <si>
    <t xml:space="preserve">Windows: Potential DLL Injection Or Execution Using Tracker.exe</t>
  </si>
  <si>
    <t xml:space="preserve">https://filestore.fortinet.com/docs.fortinet.com/fsiem/Public_Resource_Access/7_6_0/rules/PH_RULE_DLL_Injection_with_Tracker_exe.htm</t>
  </si>
  <si>
    <t xml:space="preserve">PH_Rule_windows_SIGMA_3293</t>
  </si>
  <si>
    <t xml:space="preserve">Windows: Potential DLL Injection Via AccCheckConsole</t>
  </si>
  <si>
    <t xml:space="preserve">https://filestore.fortinet.com/docs.fortinet.com/fsiem/Public_Resource_Access/7_6_0/rules/PH_RULE_Potential_DLL_Injection_Via_AccCheckConsole.htm</t>
  </si>
  <si>
    <t xml:space="preserve">PH_Rule_SIGMA_2027</t>
  </si>
  <si>
    <t xml:space="preserve">Windows: Potential DLL Sideloading Of DBGCORE.DLL</t>
  </si>
  <si>
    <t xml:space="preserve">https://filestore.fortinet.com/docs.fortinet.com/fsiem/Public_Resource_Access/7_6_0/rules/PH_RULE_Potential_DLL_Sideloading_Of_DBGCORE_DLL.htm</t>
  </si>
  <si>
    <t xml:space="preserve">PH_Rule_SIGMA_2028</t>
  </si>
  <si>
    <t xml:space="preserve">Windows: Potential DLL Sideloading Of DBGHELP.DLL</t>
  </si>
  <si>
    <t xml:space="preserve">https://filestore.fortinet.com/docs.fortinet.com/fsiem/Public_Resource_Access/7_6_0/rules/PH_RULE_Potential_DLL_Sideloading_Of_DBGHELP_DLL.htm</t>
  </si>
  <si>
    <t xml:space="preserve">PH_Rule_windows_SIGMA_3006</t>
  </si>
  <si>
    <t xml:space="preserve">Windows: Potential DLL Sideloading Of DbgModel.DLL</t>
  </si>
  <si>
    <t xml:space="preserve">https://filestore.fortinet.com/docs.fortinet.com/fsiem/Public_Resource_Access/7_6_0/rules/PH_RULE_Potential_DLL_Sideloading_Of_DbgModel_DLL.htm</t>
  </si>
  <si>
    <t xml:space="preserve">PH_Rule_windows_SIGMA_3011</t>
  </si>
  <si>
    <t xml:space="preserve">Windows: Potential DLL Sideloading Of KeyScramblerIE.DLL Via KeyScrambler.EXE</t>
  </si>
  <si>
    <t xml:space="preserve">https://filestore.fortinet.com/docs.fortinet.com/fsiem/Public_Resource_Access/7_6_0/rules/PH_RULE_Potential_DLL_Sideloading_Of_KeyScramblerIE_DLL_Via_KeyScrambler_EXE.htm</t>
  </si>
  <si>
    <t xml:space="preserve">PH_Rule_SIGMA_2031</t>
  </si>
  <si>
    <t xml:space="preserve">Windows: Potential DLL Sideloading Of Libcurl.DLL Via GUP.EXE</t>
  </si>
  <si>
    <t xml:space="preserve">https://filestore.fortinet.com/docs.fortinet.com/fsiem/Public_Resource_Access/7_6_0/rules/PH_RULE_Potential_DLL_Sideloading_Of_Libcurl_DLL_Via_GUP_EXE.htm</t>
  </si>
  <si>
    <t xml:space="preserve">PH_Rule_windows_SIGMA_3014</t>
  </si>
  <si>
    <t xml:space="preserve">Windows: Potential DLL Sideloading Of MpSvc.DLL</t>
  </si>
  <si>
    <t xml:space="preserve">https://filestore.fortinet.com/docs.fortinet.com/fsiem/Public_Resource_Access/7_6_0/rules/PH_RULE_Potential_DLL_Sideloading_Of_MpSvc_DLL.htm</t>
  </si>
  <si>
    <t xml:space="preserve">PH_Rule_windows_SIGMA_3015</t>
  </si>
  <si>
    <t xml:space="preserve">Windows: Potential DLL Sideloading Of MsCorSvc.DLL</t>
  </si>
  <si>
    <t xml:space="preserve">https://filestore.fortinet.com/docs.fortinet.com/fsiem/Public_Resource_Access/7_6_0/rules/PH_RULE_Potential_DLL_Sideloading_Of_MsCorSvc_DLL.htm</t>
  </si>
  <si>
    <t xml:space="preserve">PH_Rule_SIGMA_2035</t>
  </si>
  <si>
    <t xml:space="preserve">Windows: Potential DLL Sideloading Of Non-Existent DLLs From System Folders</t>
  </si>
  <si>
    <t xml:space="preserve">https://filestore.fortinet.com/docs.fortinet.com/fsiem/Public_Resource_Access/7_6_0/rules/PH_RULE_Potential_DLL_Sideloading_Of_Non_Existent_DLLs_From_System_Folders.htm</t>
  </si>
  <si>
    <t xml:space="preserve">PH_Rule_SIGMA_2026</t>
  </si>
  <si>
    <t xml:space="preserve">Windows: Potential DLL Sideloading Using Coregen.exe</t>
  </si>
  <si>
    <t xml:space="preserve">https://filestore.fortinet.com/docs.fortinet.com/fsiem/Public_Resource_Access/7_6_0/rules/PH_RULE_Potential_DLL_Sideloading_Using_Coregen_exe.htm</t>
  </si>
  <si>
    <t xml:space="preserve">PH_Rule_SIGMA_2024</t>
  </si>
  <si>
    <t xml:space="preserve">Windows: Potential DLL Sideloading Via ClassicExplorer32.dll</t>
  </si>
  <si>
    <t xml:space="preserve">https://filestore.fortinet.com/docs.fortinet.com/fsiem/Public_Resource_Access/7_6_0/rules/PH_RULE_Potential_DLL_Sideloading_Via_ClassicExplorer32_dll.htm</t>
  </si>
  <si>
    <t xml:space="preserve">PH_Rule_SIGMA_2025</t>
  </si>
  <si>
    <t xml:space="preserve">Windows: Potential DLL Sideloading Via comctl32.dll</t>
  </si>
  <si>
    <t xml:space="preserve">https://filestore.fortinet.com/docs.fortinet.com/fsiem/Public_Resource_Access/7_6_0/rules/PH_RULE_Potential_DLL_Sideloading_Via_comctl32_dll.htm</t>
  </si>
  <si>
    <t xml:space="preserve">PH_Rule_SIGMA_2298</t>
  </si>
  <si>
    <t xml:space="preserve">Windows: Potential DLL Sideloading Via DeviceEnroller.EXE</t>
  </si>
  <si>
    <t xml:space="preserve">https://filestore.fortinet.com/docs.fortinet.com/fsiem/Public_Resource_Access/7_6_0/rules/PH_RULE_Potential_DLL_Sideloading_Via_DeviceEnroller_EXE.htm</t>
  </si>
  <si>
    <t xml:space="preserve">PH_Rule_SIGMA_2033</t>
  </si>
  <si>
    <t xml:space="preserve">Windows: Potential DLL Sideloading Via JsSchHlp</t>
  </si>
  <si>
    <t xml:space="preserve">https://filestore.fortinet.com/docs.fortinet.com/fsiem/Public_Resource_Access/7_6_0/rules/PH_RULE_Potential_DLL_Sideloading_Via_JsSchHlp.htm</t>
  </si>
  <si>
    <t xml:space="preserve">PH_Rule_SIGMA_2043</t>
  </si>
  <si>
    <t xml:space="preserve">Windows: Potential DLL Sideloading Via VMware Xfer</t>
  </si>
  <si>
    <t xml:space="preserve">https://filestore.fortinet.com/docs.fortinet.com/fsiem/Public_Resource_Access/7_6_0/rules/PH_RULE_Potential_DLL_Sideloading_Via_VMware_Xfer.htm</t>
  </si>
  <si>
    <t xml:space="preserve">PH_Rule_SIGMA_1293</t>
  </si>
  <si>
    <t xml:space="preserve">Windows: Potential Dosfuscation Activity</t>
  </si>
  <si>
    <t xml:space="preserve">https://filestore.fortinet.com/docs.fortinet.com/fsiem/Public_Resource_Access/7_6_0/rules/PH_RULE_Suspicious_Dosfuscation_Character_in_Commandline.htm</t>
  </si>
  <si>
    <t xml:space="preserve">PH_Rule_SIGMA_2384</t>
  </si>
  <si>
    <t xml:space="preserve">Windows: Potential Download/Upload Activity Using Type Command</t>
  </si>
  <si>
    <t xml:space="preserve">https://filestore.fortinet.com/docs.fortinet.com/fsiem/Public_Resource_Access/7_6_0/rules/PH_RULE_Potential_Download_Upload_Activity_Using_Type_Command.htm</t>
  </si>
  <si>
    <t xml:space="preserve">PH_Rule_windows_SIGMA_3600</t>
  </si>
  <si>
    <t xml:space="preserve">Windows: Potential Dropper Script Execution Via WScript/CScript/MSHTA</t>
  </si>
  <si>
    <t xml:space="preserve">https://filestore.fortinet.com/docs.fortinet.com/fsiem/Public_Resource_Access/7_6_0/rules/PH_RULE_Potential_Dropper_Script_Execution_Via_WScript_CScript_MSHTA.htm</t>
  </si>
  <si>
    <t xml:space="preserve">PH_Rule_windows_SIGMA_3007</t>
  </si>
  <si>
    <t xml:space="preserve">Windows: Potential EACore.DLL Sideloading</t>
  </si>
  <si>
    <t xml:space="preserve">https://filestore.fortinet.com/docs.fortinet.com/fsiem/Public_Resource_Access/7_6_0/rules/PH_RULE_Potential_EACore_DLL_Sideloading.htm</t>
  </si>
  <si>
    <t xml:space="preserve">PH_Rule_windows_SIGMA_3008</t>
  </si>
  <si>
    <t xml:space="preserve">Windows: Potential Edputil.DLL Sideloading</t>
  </si>
  <si>
    <t xml:space="preserve">https://filestore.fortinet.com/docs.fortinet.com/fsiem/Public_Resource_Access/7_6_0/rules/PH_RULE_Potential_Edputil_DLL_Sideloading.htm</t>
  </si>
  <si>
    <t xml:space="preserve">PH_Rule_SIGMA_2437</t>
  </si>
  <si>
    <t xml:space="preserve">Windows: Potential Encoded PowerShell Patterns In CommandLine</t>
  </si>
  <si>
    <t xml:space="preserve">https://filestore.fortinet.com/docs.fortinet.com/fsiem/Public_Resource_Access/7_6_0/rules/PH_RULE_Potential_Encoded_PowerShell_Patterns_In_CommandLine.htm</t>
  </si>
  <si>
    <t xml:space="preserve">PH_Rule_windows_SIGMA_3695</t>
  </si>
  <si>
    <t xml:space="preserve">Windows: Potential EventLog File Location Tampering</t>
  </si>
  <si>
    <t xml:space="preserve">https://filestore.fortinet.com/docs.fortinet.com/fsiem/Public_Resource_Access/7_6_0/rules/PH_RULE_Potential_EventLog_File_Location_Tampering.htm</t>
  </si>
  <si>
    <t xml:space="preserve">PH_Rule_SIGMA_2573</t>
  </si>
  <si>
    <t xml:space="preserve">Windows: Potential Execution of Sysinternals Tools</t>
  </si>
  <si>
    <t xml:space="preserve">https://filestore.fortinet.com/docs.fortinet.com/fsiem/Public_Resource_Access/7_6_0/rules/PH_RULE_Potential_Execution_of_Sysinternals_Tools.htm</t>
  </si>
  <si>
    <t xml:space="preserve">PH_Rule_SIGMA_1309</t>
  </si>
  <si>
    <t xml:space="preserve">Windows: Potential Fake Instance Of Hxtsr.EXE Executed</t>
  </si>
  <si>
    <t xml:space="preserve">https://filestore.fortinet.com/docs.fortinet.com/fsiem/Public_Resource_Access/7_6_0/rules/PH_RULE_Detecting_Fake_Instances_Of_Hxtsr_exe.htm</t>
  </si>
  <si>
    <t xml:space="preserve">PH_Rule_windows_SIGMA_3547</t>
  </si>
  <si>
    <t xml:space="preserve">Windows: Potential File Download Via MS-AppInstaller Protocol Handler</t>
  </si>
  <si>
    <t xml:space="preserve">https://filestore.fortinet.com/docs.fortinet.com/fsiem/Public_Resource_Access/7_6_0/rules/PH_RULE_Potential_File_Download_Via_MS_AppInstaller_Protocol_Handler.htm</t>
  </si>
  <si>
    <t xml:space="preserve">PH_Rule_windows_SIGMA_2978</t>
  </si>
  <si>
    <t xml:space="preserve">Windows: Potential File Extension Spoofing Using Right-to-Left Override</t>
  </si>
  <si>
    <t xml:space="preserve">https://filestore.fortinet.com/docs.fortinet.com/fsiem/Public_Resource_Access/7_6_0/rules/PH_RULE_Potential_File_Extension_Spoofing_Using_Right_to_Left_Override.htm</t>
  </si>
  <si>
    <t xml:space="preserve">PH_Rule_SIGMA_1514</t>
  </si>
  <si>
    <t xml:space="preserve">Windows: Potential File Overwrite Via Sysinternals SDelete</t>
  </si>
  <si>
    <t xml:space="preserve">https://filestore.fortinet.com/docs.fortinet.com/fsiem/Public_Resource_Access/7_6_0/rules/PH_RULE_Sysinternals_SDelete_Delete_File.htm</t>
  </si>
  <si>
    <t xml:space="preserve">PH_Rule_SIGMA_2030</t>
  </si>
  <si>
    <t xml:space="preserve">Windows: Potential Goopdate.DLL Sideloading</t>
  </si>
  <si>
    <t xml:space="preserve">https://filestore.fortinet.com/docs.fortinet.com/fsiem/Public_Resource_Access/7_6_0/rules/PH_RULE_Potential_Goopdate_DLL_Sideloading.htm</t>
  </si>
  <si>
    <t xml:space="preserve">PH_Rule_windows_SIGMA_2974</t>
  </si>
  <si>
    <t xml:space="preserve">Windows: Potential Hidden Directory Creation Via NTFS INDEX-ALLOCATION Stream</t>
  </si>
  <si>
    <t xml:space="preserve">https://filestore.fortinet.com/docs.fortinet.com/fsiem/Public_Resource_Access/7_6_0/rules/PH_RULE_Potential_Hidden_Directory_Creation_Via_NTFS_INDEX_ALLOCATION_Stream.htm</t>
  </si>
  <si>
    <t xml:space="preserve">PH_Rule_windows_SIGMA_3542</t>
  </si>
  <si>
    <t xml:space="preserve">Windows: Potential Hidden Directory Creation Via NTFS INDEX-ALLOCATION Stream - CLI</t>
  </si>
  <si>
    <t xml:space="preserve">https://filestore.fortinet.com/docs.fortinet.com/fsiem/Public_Resource_Access/7_6_0/rules/PH_RULE_Potential_Hidden_Directory_Creation_Via_NTFS_INDEX_ALLOCATION_Stream_CLI.htm</t>
  </si>
  <si>
    <t xml:space="preserve">PH_Rule_SIGMA_2348</t>
  </si>
  <si>
    <t xml:space="preserve">Windows: Potential Homoglyph Attack Using Lookalike Characters</t>
  </si>
  <si>
    <t xml:space="preserve">https://filestore.fortinet.com/docs.fortinet.com/fsiem/Public_Resource_Access/7_6_0/rules/PH_RULE_Potential_Homoglyph_Attack_Using_Lookalike_Characters.htm</t>
  </si>
  <si>
    <t xml:space="preserve">PH_Rule_SIGMA_1992</t>
  </si>
  <si>
    <t xml:space="preserve">Windows: Potential Homoglyph Attack Using Lookalike Characters in Filename</t>
  </si>
  <si>
    <t xml:space="preserve">https://filestore.fortinet.com/docs.fortinet.com/fsiem/Public_Resource_Access/7_6_0/rules/PH_RULE_Potential_Homoglyph_Attack_Using_Lookalike_Characters_in_Filename.htm</t>
  </si>
  <si>
    <t xml:space="preserve">PH_Rule_windows_SIGMA_3150</t>
  </si>
  <si>
    <t xml:space="preserve">Windows: Potential In-Memory Execution Using Reflection.Assembly</t>
  </si>
  <si>
    <t xml:space="preserve">https://filestore.fortinet.com/docs.fortinet.com/fsiem/Public_Resource_Access/7_6_0/rules/PH_RULE_Potential_In_Memory_Execution_Using_Reflection_Assembly.htm</t>
  </si>
  <si>
    <t xml:space="preserve">PH_Rule_SIGMA_1960</t>
  </si>
  <si>
    <t xml:space="preserve">Windows: Potential Initial Access via DLL Search Order Hijacking</t>
  </si>
  <si>
    <t xml:space="preserve">https://filestore.fortinet.com/docs.fortinet.com/fsiem/Public_Resource_Access/7_6_0/rules/PH_RULE_Potential_Initial_Access_via_DLL_Search_Order_Hijacking.htm</t>
  </si>
  <si>
    <t xml:space="preserve">PH_Rule_windows_SIGMA_3198</t>
  </si>
  <si>
    <t xml:space="preserve">Windows: Potential Invoke-Mimikatz PowerShell Script</t>
  </si>
  <si>
    <t xml:space="preserve">https://filestore.fortinet.com/docs.fortinet.com/fsiem/Public_Resource_Access/7_6_0/rules/PH_RULE_Potential_Invoke_Mimikatz_PowerShell_Script.htm</t>
  </si>
  <si>
    <t xml:space="preserve">PH_Rule_SIGMA_2032</t>
  </si>
  <si>
    <t xml:space="preserve">Windows: Potential Iviewers.DLL Sideloading</t>
  </si>
  <si>
    <t xml:space="preserve">https://filestore.fortinet.com/docs.fortinet.com/fsiem/Public_Resource_Access/7_6_0/rules/PH_RULE_Potential_Iviewers_DLL_Sideloading.htm</t>
  </si>
  <si>
    <t xml:space="preserve">PH_Rule_windows_SIGMA_3010</t>
  </si>
  <si>
    <t xml:space="preserve">Windows: Potential JLI.dll Side-Loading</t>
  </si>
  <si>
    <t xml:space="preserve">https://filestore.fortinet.com/docs.fortinet.com/fsiem/Public_Resource_Access/7_6_0/rules/PH_RULE_Potential_JLI_dll_Side_Loading.htm</t>
  </si>
  <si>
    <t xml:space="preserve">PH_Rule_windows_SIGMA_3240</t>
  </si>
  <si>
    <t xml:space="preserve">Windows: Potential Keylogger Activity</t>
  </si>
  <si>
    <t xml:space="preserve">https://filestore.fortinet.com/docs.fortinet.com/fsiem/Public_Resource_Access/7_6_0/rules/PH_RULE_Potential_Keylogger_Activity.htm</t>
  </si>
  <si>
    <t xml:space="preserve">PH_Rule_SIGMA_434</t>
  </si>
  <si>
    <t xml:space="preserve">Windows: Potential LethalHTA Technique Execution</t>
  </si>
  <si>
    <t xml:space="preserve">https://filestore.fortinet.com/docs.fortinet.com/fsiem/Public_Resource_Access/7_6_0/rules/PH_RULE_MSHTA_Spwaned_by_SVCHOST.htm</t>
  </si>
  <si>
    <t xml:space="preserve">PH_Rule_SIGMA_2034</t>
  </si>
  <si>
    <t xml:space="preserve">Windows: Potential Libvlc.DLL Sideloading</t>
  </si>
  <si>
    <t xml:space="preserve">https://filestore.fortinet.com/docs.fortinet.com/fsiem/Public_Resource_Access/7_6_0/rules/PH_RULE_Potential_Libvlc_DLL_Sideloading.htm</t>
  </si>
  <si>
    <t xml:space="preserve">PH_Rule_SIGMA_1805</t>
  </si>
  <si>
    <t xml:space="preserve">Windows: Potential Malicious AppX Package Installation Attempts</t>
  </si>
  <si>
    <t xml:space="preserve">https://filestore.fortinet.com/docs.fortinet.com/fsiem/Public_Resource_Access/7_6_0/rules/PH_RULE_Potential_Malicious_AppX_Package_Installation_Attempts.htm</t>
  </si>
  <si>
    <t xml:space="preserve">PH_Rule_SIGMA_1427</t>
  </si>
  <si>
    <t xml:space="preserve">Windows: Potential Manage-bde.wsf Abuse To Proxy Execution</t>
  </si>
  <si>
    <t xml:space="preserve">https://filestore.fortinet.com/docs.fortinet.com/fsiem/Public_Resource_Access/7_6_0/rules/PH_RULE_Suspicious_Usage_of_the_Manage_bde_wsf_Script.htm</t>
  </si>
  <si>
    <t xml:space="preserve">PH_Rule_windows_SIGMA_3558</t>
  </si>
  <si>
    <t xml:space="preserve">Windows: Potential Memory Dumping Activity Via LiveKD</t>
  </si>
  <si>
    <t xml:space="preserve">https://filestore.fortinet.com/docs.fortinet.com/fsiem/Public_Resource_Access/7_6_0/rules/PH_RULE_Potential_Memory_Dumping_Activity_Via_LiveKD.htm</t>
  </si>
  <si>
    <t xml:space="preserve">PH_Rule_SIGMA_456</t>
  </si>
  <si>
    <t xml:space="preserve">Windows: Potential Meterpreter/CobaltStrike Activity</t>
  </si>
  <si>
    <t xml:space="preserve">https://filestore.fortinet.com/docs.fortinet.com/fsiem/Public_Resource_Access/7_6_0/rules/PH_RULE_Meterpreter_or_Cobalt_Strike_Getsystem_Service_Start.htm</t>
  </si>
  <si>
    <t xml:space="preserve">PH_Rule_windows_SIGMA_3012</t>
  </si>
  <si>
    <t xml:space="preserve">Windows: Potential Mfdetours.DLL Sideloading</t>
  </si>
  <si>
    <t xml:space="preserve">https://filestore.fortinet.com/docs.fortinet.com/fsiem/Public_Resource_Access/7_6_0/rules/PH_RULE_Potential_Mfdetours_DLL_Sideloading.htm</t>
  </si>
  <si>
    <t xml:space="preserve">PH_Rule_windows_SIGMA_3399</t>
  </si>
  <si>
    <t xml:space="preserve">Windows: Potential Mftrace.EXE Abuse</t>
  </si>
  <si>
    <t xml:space="preserve">https://filestore.fortinet.com/docs.fortinet.com/fsiem/Public_Resource_Access/7_6_0/rules/PH_RULE_Potential_Mftrace_EXE_Abuse.htm</t>
  </si>
  <si>
    <t xml:space="preserve">PH_Rule_SIGMA_2045</t>
  </si>
  <si>
    <t xml:space="preserve">Windows: Potential Mpclient.DLL Sideloading</t>
  </si>
  <si>
    <t xml:space="preserve">https://filestore.fortinet.com/docs.fortinet.com/fsiem/Public_Resource_Access/7_6_0/rules/PH_RULE_Microsoft_Defender_Loading_DLL_from_Nondefault_Path.htm</t>
  </si>
  <si>
    <t xml:space="preserve">PH_Rule_SIGMA_2387</t>
  </si>
  <si>
    <t xml:space="preserve">Windows: Potential Mpclient.DLL Sideloading Via Defender Binaries</t>
  </si>
  <si>
    <t xml:space="preserve">https://filestore.fortinet.com/docs.fortinet.com/fsiem/Public_Resource_Access/7_6_0/rules/PH_RULE_DLL_Sideloading_by_Microsoft_Defender.htm</t>
  </si>
  <si>
    <t xml:space="preserve">PH_Rule_windows_SIGMA_3424</t>
  </si>
  <si>
    <t xml:space="preserve">Windows: Potential Mpclient.DLL Sideloading Via OfflineScannerShell.EXE Execution</t>
  </si>
  <si>
    <t xml:space="preserve">https://filestore.fortinet.com/docs.fortinet.com/fsiem/Public_Resource_Access/7_6_0/rules/PH_RULE_Potential_Mpclient_DLL_Sideloading_Via_OfflineScannerShell_EXE_Execution.htm</t>
  </si>
  <si>
    <t xml:space="preserve">PH_Rule_SIGMA_564</t>
  </si>
  <si>
    <t xml:space="preserve">Windows: Potential MsiExec Masquerading</t>
  </si>
  <si>
    <t xml:space="preserve">https://filestore.fortinet.com/docs.fortinet.com/fsiem/Public_Resource_Access/7_6_0/rules/PH_RULE_Suspicious_MsiExec_Directory.htm</t>
  </si>
  <si>
    <t xml:space="preserve">PH_Rule_windows_SIGMA_3506</t>
  </si>
  <si>
    <t xml:space="preserve">Windows: Potential Obfuscated Ordinal Call Via Rundll32</t>
  </si>
  <si>
    <t xml:space="preserve">https://filestore.fortinet.com/docs.fortinet.com/fsiem/Public_Resource_Access/7_6_0/rules/PH_RULE_Potential_Obfuscated_Ordinal_Call_Via_Rundll32.htm</t>
  </si>
  <si>
    <t xml:space="preserve">PH_Rule_windows_SIGMA_3791</t>
  </si>
  <si>
    <t xml:space="preserve">Windows: Potential PendingFileRenameOperations Tampering</t>
  </si>
  <si>
    <t xml:space="preserve">https://filestore.fortinet.com/docs.fortinet.com/fsiem/Public_Resource_Access/7_6_0/rules/PH_RULE_Potential_PendingFileRenameOperations_Tampering.htm</t>
  </si>
  <si>
    <t xml:space="preserve">PH_Rule_SIGMA_1953</t>
  </si>
  <si>
    <t xml:space="preserve">Windows: Potential Persistence Attempt Via ErrorHandler.Cmd</t>
  </si>
  <si>
    <t xml:space="preserve">https://filestore.fortinet.com/docs.fortinet.com/fsiem/Public_Resource_Access/7_6_0/rules/PH_RULE_Potential_Persistence_Attempt_Via_ErrorHandler_Cmd.htm</t>
  </si>
  <si>
    <t xml:space="preserve">PH_Rule_SIGMA_2519</t>
  </si>
  <si>
    <t xml:space="preserve">Windows: Potential Persistence Attempt Via Existing Service Tampering</t>
  </si>
  <si>
    <t xml:space="preserve">https://filestore.fortinet.com/docs.fortinet.com/fsiem/Public_Resource_Access/7_6_0/rules/PH_RULE_Potential_Persistence_Attempt_Via_Existing_Service_Tampering.htm</t>
  </si>
  <si>
    <t xml:space="preserve">PH_Rule_SIGMA_1477</t>
  </si>
  <si>
    <t xml:space="preserve">Windows: Potential Persistence Attempt Via Run Keys Using Reg.EXE</t>
  </si>
  <si>
    <t xml:space="preserve">https://filestore.fortinet.com/docs.fortinet.com/fsiem/Public_Resource_Access/7_6_0/rules/PH_RULE_Reg_Add_RUN_Key.htm</t>
  </si>
  <si>
    <t xml:space="preserve">PH_Rule_windows_SIGMA_3739</t>
  </si>
  <si>
    <t xml:space="preserve">Windows: Potential Persistence Using DebugPath</t>
  </si>
  <si>
    <t xml:space="preserve">https://filestore.fortinet.com/docs.fortinet.com/fsiem/Public_Resource_Access/7_6_0/rules/PH_RULE_Potential_Persistence_Using_DebugPath.htm</t>
  </si>
  <si>
    <t xml:space="preserve">PH_Rule_windows_SIGMA_3738</t>
  </si>
  <si>
    <t xml:space="preserve">Windows: Potential Persistence Via App Paths Default Property</t>
  </si>
  <si>
    <t xml:space="preserve">https://filestore.fortinet.com/docs.fortinet.com/fsiem/Public_Resource_Access/7_6_0/rules/PH_RULE_Potential_Persistence_Via_App_Paths_Default_Property.htm</t>
  </si>
  <si>
    <t xml:space="preserve">PH_Rule_windows_SIGMA_3737</t>
  </si>
  <si>
    <t xml:space="preserve">Windows: Potential Persistence Via AppCompat RegisterAppRestart Layer</t>
  </si>
  <si>
    <t xml:space="preserve">https://filestore.fortinet.com/docs.fortinet.com/fsiem/Public_Resource_Access/7_6_0/rules/PH_RULE_Potential_Persistence_Via_AppCompat_RegisterAppRestart_Layer.htm</t>
  </si>
  <si>
    <t xml:space="preserve">PH_Rule_windows_SIGMA_3740</t>
  </si>
  <si>
    <t xml:space="preserve">Windows: Potential Persistence Via AutodialDLL</t>
  </si>
  <si>
    <t xml:space="preserve">https://filestore.fortinet.com/docs.fortinet.com/fsiem/Public_Resource_Access/7_6_0/rules/PH_RULE_Potential_Persistence_Via_AutodialDLL.htm</t>
  </si>
  <si>
    <t xml:space="preserve">PH_Rule_windows_SIGMA_3741</t>
  </si>
  <si>
    <t xml:space="preserve">Windows: Potential Persistence Via CHM Helper DLL</t>
  </si>
  <si>
    <t xml:space="preserve">https://filestore.fortinet.com/docs.fortinet.com/fsiem/Public_Resource_Access/7_6_0/rules/PH_RULE_Potential_Persistence_Via_CHM_Helper_DLL.htm</t>
  </si>
  <si>
    <t xml:space="preserve">PH_Rule_windows_SIGMA_3745</t>
  </si>
  <si>
    <t xml:space="preserve">Windows: Potential Persistence Via Custom Protocol Handler</t>
  </si>
  <si>
    <t xml:space="preserve">https://filestore.fortinet.com/docs.fortinet.com/fsiem/Public_Resource_Access/7_6_0/rules/PH_RULE_Potential_Persistence_Via_Custom_Protocol_Handler.htm</t>
  </si>
  <si>
    <t xml:space="preserve">PH_Rule_windows_SIGMA_3610</t>
  </si>
  <si>
    <t xml:space="preserve">Windows: Potential Persistence Via Disk Cleanup Handler - Registry</t>
  </si>
  <si>
    <t xml:space="preserve">https://filestore.fortinet.com/docs.fortinet.com/fsiem/Public_Resource_Access/7_6_0/rules/PH_RULE_Potential_Persistence_Via_Disk_Cleanup_Handler_Registry.htm</t>
  </si>
  <si>
    <t xml:space="preserve">PH_Rule_windows_SIGMA_3754</t>
  </si>
  <si>
    <t xml:space="preserve">Windows: Potential Persistence Via DLLPathOverride</t>
  </si>
  <si>
    <t xml:space="preserve">https://filestore.fortinet.com/docs.fortinet.com/fsiem/Public_Resource_Access/7_6_0/rules/PH_RULE_Potential_Persistence_Via_DLLPathOverride.htm</t>
  </si>
  <si>
    <t xml:space="preserve">PH_Rule_windows_SIGMA_3746</t>
  </si>
  <si>
    <t xml:space="preserve">Windows: Potential Persistence Via Event Viewer Events.asp</t>
  </si>
  <si>
    <t xml:space="preserve">https://filestore.fortinet.com/docs.fortinet.com/fsiem/Public_Resource_Access/7_6_0/rules/PH_RULE_Potential_Persistence_Via_Event_Viewer_Events_asp.htm</t>
  </si>
  <si>
    <t xml:space="preserve">PH_Rule_windows_SIGMA_3764</t>
  </si>
  <si>
    <t xml:space="preserve">Windows: Potential Persistence Via Excel Add-in - Registry</t>
  </si>
  <si>
    <t xml:space="preserve">https://filestore.fortinet.com/docs.fortinet.com/fsiem/Public_Resource_Access/7_6_0/rules/PH_RULE_Potential_Persistence_Via_Excel_Add_in_Registry.htm</t>
  </si>
  <si>
    <t xml:space="preserve">PH_Rule_windows_SIGMA_3474</t>
  </si>
  <si>
    <t xml:space="preserve">Windows: Potential Persistence Via Logon Scripts - CommandLine</t>
  </si>
  <si>
    <t xml:space="preserve">https://filestore.fortinet.com/docs.fortinet.com/fsiem/Public_Resource_Access/7_6_0/rules/PH_RULE_Potential_Persistence_Via_Logon_Scripts_CommandLine.htm</t>
  </si>
  <si>
    <t xml:space="preserve">PH_Rule_windows_SIGMA_3750</t>
  </si>
  <si>
    <t xml:space="preserve">Windows: Potential Persistence Via Logon Scripts - Registry</t>
  </si>
  <si>
    <t xml:space="preserve">https://filestore.fortinet.com/docs.fortinet.com/fsiem/Public_Resource_Access/7_6_0/rules/PH_RULE_Potential_Persistence_Via_Logon_Scripts_Registry.htm</t>
  </si>
  <si>
    <t xml:space="preserve">PH_Rule_windows_SIGMA_3751</t>
  </si>
  <si>
    <t xml:space="preserve">Windows: Potential Persistence Via LSA Extensions</t>
  </si>
  <si>
    <t xml:space="preserve">https://filestore.fortinet.com/docs.fortinet.com/fsiem/Public_Resource_Access/7_6_0/rules/PH_RULE_Potential_Persistence_Via_LSA_Extensions.htm</t>
  </si>
  <si>
    <t xml:space="preserve">PH_Rule_SIGMA_2526</t>
  </si>
  <si>
    <t xml:space="preserve">Windows: Potential Persistence Via Microsoft Compatibility Appraiser</t>
  </si>
  <si>
    <t xml:space="preserve">https://filestore.fortinet.com/docs.fortinet.com/fsiem/Public_Resource_Access/7_6_0/rules/PH_RULE_Potential_Persistence_Via_Microsoft_Compatibility_Appraiser.htm</t>
  </si>
  <si>
    <t xml:space="preserve">PH_Rule_SIGMA_1974</t>
  </si>
  <si>
    <t xml:space="preserve">Windows: Potential Persistence Via Microsoft Office Add-In</t>
  </si>
  <si>
    <t xml:space="preserve">https://filestore.fortinet.com/docs.fortinet.com/fsiem/Public_Resource_Access/7_6_0/rules/PH_RULE_Potential_Persistence_Via_Microsoft_Office_Add_In.htm</t>
  </si>
  <si>
    <t xml:space="preserve">PH_Rule_windows_SIGMA_2962</t>
  </si>
  <si>
    <t xml:space="preserve">Windows: Potential Persistence Via Microsoft Office Startup Folder</t>
  </si>
  <si>
    <t xml:space="preserve">https://filestore.fortinet.com/docs.fortinet.com/fsiem/Public_Resource_Access/7_6_0/rules/PH_RULE_Potential_Persistence_Via_Microsoft_Office_Startup_Folder.htm</t>
  </si>
  <si>
    <t xml:space="preserve">PH_Rule_windows_SIGMA_3752</t>
  </si>
  <si>
    <t xml:space="preserve">Windows: Potential Persistence Via Mpnotify</t>
  </si>
  <si>
    <t xml:space="preserve">https://filestore.fortinet.com/docs.fortinet.com/fsiem/Public_Resource_Access/7_6_0/rules/PH_RULE_Potential_Persistence_Via_Mpnotify.htm</t>
  </si>
  <si>
    <t xml:space="preserve">PH_Rule_windows_SIGMA_3753</t>
  </si>
  <si>
    <t xml:space="preserve">Windows: Potential Persistence Via MyComputer Registry Keys</t>
  </si>
  <si>
    <t xml:space="preserve">https://filestore.fortinet.com/docs.fortinet.com/fsiem/Public_Resource_Access/7_6_0/rules/PH_RULE_Potential_Persistence_Via_MyComputer_Registry_Keys.htm</t>
  </si>
  <si>
    <t xml:space="preserve">PH_Rule_SIGMA_568</t>
  </si>
  <si>
    <t xml:space="preserve">Windows: Potential Persistence Via Netsh Helper DLL</t>
  </si>
  <si>
    <t xml:space="preserve">https://filestore.fortinet.com/docs.fortinet.com/fsiem/Public_Resource_Access/7_6_0/rules/PH_RULE_Suspicious_Netsh_DLL_Persistence.htm</t>
  </si>
  <si>
    <t xml:space="preserve">PH_Rule_windows_SIGMA_3719</t>
  </si>
  <si>
    <t xml:space="preserve">Windows: Potential Persistence Via Netsh Helper DLL - Registry</t>
  </si>
  <si>
    <t xml:space="preserve">https://filestore.fortinet.com/docs.fortinet.com/fsiem/Public_Resource_Access/7_6_0/rules/PH_RULE_Potential_Persistence_Via_Netsh_Helper_DLL_Registry.htm</t>
  </si>
  <si>
    <t xml:space="preserve">PH_Rule_windows_SIGMA_3736</t>
  </si>
  <si>
    <t xml:space="preserve">Windows: Potential Persistence Via New AMSI Providers - Registry</t>
  </si>
  <si>
    <t xml:space="preserve">https://filestore.fortinet.com/docs.fortinet.com/fsiem/Public_Resource_Access/7_6_0/rules/PH_RULE_Potential_Persistence_Via_New_AMSI_Providers_Registry.htm</t>
  </si>
  <si>
    <t xml:space="preserve">PH_Rule_SIGMA_907</t>
  </si>
  <si>
    <t xml:space="preserve">Windows: Potential Persistence Via Notepad Plugins</t>
  </si>
  <si>
    <t xml:space="preserve">https://filestore.fortinet.com/docs.fortinet.com/fsiem/Public_Resource_Access/7_6_0/rules/PH_RULE_Persistence_Via_Notepad_Plugins.htm</t>
  </si>
  <si>
    <t xml:space="preserve">PH_Rule_SIGMA_836</t>
  </si>
  <si>
    <t xml:space="preserve">Windows: Potential Persistence Via Outlook Form</t>
  </si>
  <si>
    <t xml:space="preserve">https://filestore.fortinet.com/docs.fortinet.com/fsiem/Public_Resource_Access/7_6_0/rules/PH_RULE_Outlook_Form_Installation.htm</t>
  </si>
  <si>
    <t xml:space="preserve">PH_Rule_windows_SIGMA_3756</t>
  </si>
  <si>
    <t xml:space="preserve">Windows: Potential Persistence Via Outlook Home Page</t>
  </si>
  <si>
    <t xml:space="preserve">https://filestore.fortinet.com/docs.fortinet.com/fsiem/Public_Resource_Access/7_6_0/rules/PH_RULE_Potential_Persistence_Via_Outlook_Home_Page.htm</t>
  </si>
  <si>
    <t xml:space="preserve">PH_Rule_windows_SIGMA_3728</t>
  </si>
  <si>
    <t xml:space="preserve">Windows: Potential Persistence Via Outlook LoadMacroProviderOnBoot Setting</t>
  </si>
  <si>
    <t xml:space="preserve">https://filestore.fortinet.com/docs.fortinet.com/fsiem/Public_Resource_Access/7_6_0/rules/PH_RULE_Potential_Persistence_Via_Outlook_LoadMacroProviderOnBoot_Setting.htm</t>
  </si>
  <si>
    <t xml:space="preserve">PH_Rule_windows_SIGMA_3757</t>
  </si>
  <si>
    <t xml:space="preserve">Windows: Potential Persistence Via Outlook Today Page</t>
  </si>
  <si>
    <t xml:space="preserve">https://filestore.fortinet.com/docs.fortinet.com/fsiem/Public_Resource_Access/7_6_0/rules/PH_RULE_Potential_Persistence_Via_Outlook_Today_Page.htm</t>
  </si>
  <si>
    <t xml:space="preserve">PH_Rule_SIGMA_2527</t>
  </si>
  <si>
    <t xml:space="preserve">Windows: Potential Persistence Via Powershell Search Order Hijacking - Task</t>
  </si>
  <si>
    <t xml:space="preserve">https://filestore.fortinet.com/docs.fortinet.com/fsiem/Public_Resource_Access/7_6_0/rules/PH_RULE_Potential_Persistence_Via_Powershell_Search_Order_Hijacking_Task.htm</t>
  </si>
  <si>
    <t xml:space="preserve">PH_Rule_windows_SIGMA_3269</t>
  </si>
  <si>
    <t xml:space="preserve">Windows: Potential Persistence Via PowerShell User Profile Using Add-Content</t>
  </si>
  <si>
    <t xml:space="preserve">https://filestore.fortinet.com/docs.fortinet.com/fsiem/Public_Resource_Access/7_6_0/rules/PH_RULE_Potential_Persistence_Via_PowerShell_User_Profile_Using_Add_Content.htm</t>
  </si>
  <si>
    <t xml:space="preserve">PH_Rule_windows_SIGMA_3759</t>
  </si>
  <si>
    <t xml:space="preserve">Windows: Potential Persistence Via Scrobj.dll COM Hijacking</t>
  </si>
  <si>
    <t xml:space="preserve">https://filestore.fortinet.com/docs.fortinet.com/fsiem/Public_Resource_Access/7_6_0/rules/PH_RULE_Potential_Persistence_Via_Scrobj_dll_COM_Hijacking.htm</t>
  </si>
  <si>
    <t xml:space="preserve">PH_Rule_windows_SIGMA_3220</t>
  </si>
  <si>
    <t xml:space="preserve">Windows: Potential Persistence Via Security Descriptors - ScriptBlock</t>
  </si>
  <si>
    <t xml:space="preserve">https://filestore.fortinet.com/docs.fortinet.com/fsiem/Public_Resource_Access/7_6_0/rules/PH_RULE_Potential_Persistence_Via_Security_Descriptors_ScriptBlock.htm</t>
  </si>
  <si>
    <t xml:space="preserve">PH_Rule_windows_SIGMA_3762</t>
  </si>
  <si>
    <t xml:space="preserve">Windows: Potential Persistence Via Shim Database In Uncommon Location</t>
  </si>
  <si>
    <t xml:space="preserve">https://filestore.fortinet.com/docs.fortinet.com/fsiem/Public_Resource_Access/7_6_0/rules/PH_RULE_Potential_Persistence_Via_Shim_Database_In_Uncommon_Location.htm</t>
  </si>
  <si>
    <t xml:space="preserve">PH_Rule_windows_SIGMA_3760</t>
  </si>
  <si>
    <t xml:space="preserve">Windows: Potential Persistence Via Shim Database Modification</t>
  </si>
  <si>
    <t xml:space="preserve">https://filestore.fortinet.com/docs.fortinet.com/fsiem/Public_Resource_Access/7_6_0/rules/PH_RULE_Potential_Persistence_Via_Shim_Database_Modification.htm</t>
  </si>
  <si>
    <t xml:space="preserve">PH_Rule_windows_SIGMA_3763</t>
  </si>
  <si>
    <t xml:space="preserve">Windows: Potential Persistence Via TypedPaths</t>
  </si>
  <si>
    <t xml:space="preserve">https://filestore.fortinet.com/docs.fortinet.com/fsiem/Public_Resource_Access/7_6_0/rules/PH_RULE_Potential_Persistence_Via_TypedPaths.htm</t>
  </si>
  <si>
    <t xml:space="preserve">PH_Rule_windows_SIGMA_3755</t>
  </si>
  <si>
    <t xml:space="preserve">Windows: Potential Persistence Via Visual Studio Tools for Office</t>
  </si>
  <si>
    <t xml:space="preserve">https://filestore.fortinet.com/docs.fortinet.com/fsiem/Public_Resource_Access/7_6_0/rules/PH_RULE_Potential_Persistence_Via_Visual_Studio_Tools_for_Office.htm</t>
  </si>
  <si>
    <t xml:space="preserve">PH_Rule_windows_SIGMA_3570</t>
  </si>
  <si>
    <t xml:space="preserve">Windows: Potential Persistence Via VMwareToolBoxCmd.EXE VM State Change Script</t>
  </si>
  <si>
    <t xml:space="preserve">https://filestore.fortinet.com/docs.fortinet.com/fsiem/Public_Resource_Access/7_6_0/rules/PH_RULE_Potential_Persistence_Via_VMwareToolBoxCmd_EXE_VM_State_Change_Script.htm</t>
  </si>
  <si>
    <t xml:space="preserve">PH_Rule_SIGMA_1454</t>
  </si>
  <si>
    <t xml:space="preserve">Windows: Potential PowerShell Command Line Obfuscation</t>
  </si>
  <si>
    <t xml:space="preserve">https://filestore.fortinet.com/docs.fortinet.com/fsiem/Public_Resource_Access/7_6_0/rules/PH_RULE_Suspicious_PowerShell_Command_Line.htm</t>
  </si>
  <si>
    <t xml:space="preserve">PH_Rule_SIGMA_484</t>
  </si>
  <si>
    <t xml:space="preserve">Windows: Potential PowerShell Downgrade Attack</t>
  </si>
  <si>
    <t xml:space="preserve">https://filestore.fortinet.com/docs.fortinet.com/fsiem/Public_Resource_Access/7_6_0/rules/PH_RULE_PowerShell_Downgrade_Attack.htm</t>
  </si>
  <si>
    <t xml:space="preserve">PH_Rule_windows_SIGMA_3771</t>
  </si>
  <si>
    <t xml:space="preserve">Windows: Potential PowerShell Execution Policy Tampering</t>
  </si>
  <si>
    <t xml:space="preserve">https://filestore.fortinet.com/docs.fortinet.com/fsiem/Public_Resource_Access/7_6_0/rules/PH_RULE_Potential_PowerShell_Execution_Policy_Tampering.htm</t>
  </si>
  <si>
    <t xml:space="preserve">PH_Rule_SIGMA_2489</t>
  </si>
  <si>
    <t xml:space="preserve">Windows: Potential PowerShell Execution Policy Tampering - ProcCreation</t>
  </si>
  <si>
    <t xml:space="preserve">https://filestore.fortinet.com/docs.fortinet.com/fsiem/Public_Resource_Access/7_6_0/rules/PH_RULE_Potential_PowerShell_Execution_Policy_Tampering_ProcCreation.htm</t>
  </si>
  <si>
    <t xml:space="preserve">PH_Rule_SIGMA_483</t>
  </si>
  <si>
    <t xml:space="preserve">Windows: Potential PowerShell Execution Via DLL</t>
  </si>
  <si>
    <t xml:space="preserve">https://filestore.fortinet.com/docs.fortinet.com/fsiem/Public_Resource_Access/7_6_0/rules/PH_RULE_Detection_of_PowerShell_Execution_via_DLL.htm</t>
  </si>
  <si>
    <t xml:space="preserve">PH_Rule_windows_SIGMA_3252</t>
  </si>
  <si>
    <t xml:space="preserve">Windows: Potential PowerShell Obfuscation Using Alias Cmdlets</t>
  </si>
  <si>
    <t xml:space="preserve">https://filestore.fortinet.com/docs.fortinet.com/fsiem/Public_Resource_Access/7_6_0/rules/PH_RULE_Potential_PowerShell_Obfuscation_Using_Alias_Cmdlets.htm</t>
  </si>
  <si>
    <t xml:space="preserve">PH_Rule_windows_SIGMA_3222</t>
  </si>
  <si>
    <t xml:space="preserve">Windows: Potential PowerShell Obfuscation Using Character Join</t>
  </si>
  <si>
    <t xml:space="preserve">https://filestore.fortinet.com/docs.fortinet.com/fsiem/Public_Resource_Access/7_6_0/rules/PH_RULE_Potential_PowerShell_Obfuscation_Using_Character_Join.htm</t>
  </si>
  <si>
    <t xml:space="preserve">PH_Rule_SIGMA_1453</t>
  </si>
  <si>
    <t xml:space="preserve">Windows: Potential PowerShell Obfuscation Via Reversed Commands</t>
  </si>
  <si>
    <t xml:space="preserve">https://filestore.fortinet.com/docs.fortinet.com/fsiem/Public_Resource_Access/7_6_0/rules/PH_RULE_Suspicious_PowerShell_Cmdline.htm</t>
  </si>
  <si>
    <t xml:space="preserve">PH_Rule_SIGMA_578</t>
  </si>
  <si>
    <t xml:space="preserve">Windows: Potential PowerShell Obfuscation Via WCHAR/CHAR</t>
  </si>
  <si>
    <t xml:space="preserve">https://filestore.fortinet.com/docs.fortinet.com/fsiem/Public_Resource_Access/7_6_0/rules/PH_RULE_PowerShell_Encoded_Character_Syntax.htm</t>
  </si>
  <si>
    <t xml:space="preserve">PH_Rule_SIGMA_1462</t>
  </si>
  <si>
    <t xml:space="preserve">Windows: Potential Powershell ReverseShell Connection</t>
  </si>
  <si>
    <t xml:space="preserve">https://filestore.fortinet.com/docs.fortinet.com/fsiem/Public_Resource_Access/7_6_0/rules/PH_RULE_Powershell_Reverse_Shell_Connection.htm</t>
  </si>
  <si>
    <t xml:space="preserve">PH_Rule_SIGMA_2001</t>
  </si>
  <si>
    <t xml:space="preserve">Windows: Potential Privilege Escalation Attempt Via .Exe.Local Technique</t>
  </si>
  <si>
    <t xml:space="preserve">https://filestore.fortinet.com/docs.fortinet.com/fsiem/Public_Resource_Access/7_6_0/rules/PH_RULE_Potential_Privilege_Escalation_Attempt_Via_Exe_Local_Technique.htm</t>
  </si>
  <si>
    <t xml:space="preserve">PH_Rule_SIGMA_1610</t>
  </si>
  <si>
    <t xml:space="preserve">Windows: Potential Privilege Escalation To LOCAL SYSTEM</t>
  </si>
  <si>
    <t xml:space="preserve">https://filestore.fortinet.com/docs.fortinet.com/fsiem/Public_Resource_Access/7_6_0/rules/PH_RULE_PsExec_PAExec_Flags.htm</t>
  </si>
  <si>
    <t xml:space="preserve">PH_Rule_SIGMA_2283</t>
  </si>
  <si>
    <t xml:space="preserve">Windows: Potential Privilege Escalation Using Symlink Between Osk and Cmd</t>
  </si>
  <si>
    <t xml:space="preserve">https://filestore.fortinet.com/docs.fortinet.com/fsiem/Public_Resource_Access/7_6_0/rules/PH_RULE_Potential_Privilege_Escalation_Using_Symlink_Between_Osk_and_Cmd.htm</t>
  </si>
  <si>
    <t xml:space="preserve">PH_Rule_SIGMA_657</t>
  </si>
  <si>
    <t xml:space="preserve">Windows: Potential Privilege Escalation via Service Permissions Weakness</t>
  </si>
  <si>
    <t xml:space="preserve">https://filestore.fortinet.com/docs.fortinet.com/fsiem/Public_Resource_Access/7_6_0/rules/PH_RULE_Possible_Privilege_Escalation_via_Service_Permissions_Weakness.htm</t>
  </si>
  <si>
    <t xml:space="preserve">PH_Rule_windows_SIGMA_3425</t>
  </si>
  <si>
    <t xml:space="preserve">Windows: Potential Process Execution Proxy Via CL-Invocation.ps1</t>
  </si>
  <si>
    <t xml:space="preserve">https://filestore.fortinet.com/docs.fortinet.com/fsiem/Public_Resource_Access/7_6_0/rules/PH_RULE_Potential_Process_Execution_Proxy_Via_CL_Invocation_ps1.htm</t>
  </si>
  <si>
    <t xml:space="preserve">PH_Rule_windows_SIGMA_3608</t>
  </si>
  <si>
    <t xml:space="preserve">Windows: Potential Process Hollowing Activity</t>
  </si>
  <si>
    <t xml:space="preserve">https://filestore.fortinet.com/docs.fortinet.com/fsiem/Public_Resource_Access/7_6_0/rules/PH_RULE_Potential_Process_Hollowing_Activity.htm</t>
  </si>
  <si>
    <t xml:space="preserve">PH_Rule_SIGMA_2392</t>
  </si>
  <si>
    <t xml:space="preserve">Windows: Potential Process Injection Via Msra.EXE</t>
  </si>
  <si>
    <t xml:space="preserve">https://filestore.fortinet.com/docs.fortinet.com/fsiem/Public_Resource_Access/7_6_0/rules/PH_RULE_Potential_Process_Injection_Via_Msra_EXE.htm</t>
  </si>
  <si>
    <t xml:space="preserve">PH_Rule_SIGMA_2614</t>
  </si>
  <si>
    <t xml:space="preserve">Windows: Potential Product Class Reconnaissance Via Wmic.EXE</t>
  </si>
  <si>
    <t xml:space="preserve">https://filestore.fortinet.com/docs.fortinet.com/fsiem/Public_Resource_Access/7_6_0/rules/PH_RULE_Potential_Product_Class_Reconnaissance_Via_Wmic_EXE.htm</t>
  </si>
  <si>
    <t xml:space="preserve">PH_Rule_SIGMA_2613</t>
  </si>
  <si>
    <t xml:space="preserve">Windows: Potential Product Reconnaissance Via Wmic.EXE</t>
  </si>
  <si>
    <t xml:space="preserve">https://filestore.fortinet.com/docs.fortinet.com/fsiem/Public_Resource_Access/7_6_0/rules/PH_RULE_Potential_Product_Reconnaissance_Via_Wmic_EXE.htm</t>
  </si>
  <si>
    <t xml:space="preserve">PH_Rule_windows_SIGMA_3476</t>
  </si>
  <si>
    <t xml:space="preserve">Windows: Potential Provisioning Registry Key Abuse For Binary Proxy Execution</t>
  </si>
  <si>
    <t xml:space="preserve">https://filestore.fortinet.com/docs.fortinet.com/fsiem/Public_Resource_Access/7_6_0/rules/PH_RULE_Potential_Provisioning_Registry_Key_Abuse_For_Binary_Proxy_Execution.htm</t>
  </si>
  <si>
    <t xml:space="preserve">PH_Rule_windows_SIGMA_3774</t>
  </si>
  <si>
    <t xml:space="preserve">Windows: Potential Provisioning Registry Key Abuse For Binary Proxy Execution - REG</t>
  </si>
  <si>
    <t xml:space="preserve">https://filestore.fortinet.com/docs.fortinet.com/fsiem/Public_Resource_Access/7_6_0/rules/PH_RULE_Potential_Provisioning_Registry_Key_Abuse_For_Binary_Proxy_Execution_REG.htm</t>
  </si>
  <si>
    <t xml:space="preserve">PH_Rule_windows_SIGMA_3445</t>
  </si>
  <si>
    <t xml:space="preserve">Windows: Potential Provlaunch.EXE Binary Proxy Execution Abuse</t>
  </si>
  <si>
    <t xml:space="preserve">https://filestore.fortinet.com/docs.fortinet.com/fsiem/Public_Resource_Access/7_6_0/rules/PH_RULE_Potential_Provlaunch_EXE_Binary_Proxy_Execution_Abuse.htm</t>
  </si>
  <si>
    <t xml:space="preserve">PH_Rule_SIGMA_1608</t>
  </si>
  <si>
    <t xml:space="preserve">Windows: Potential PsExec Remote Execution</t>
  </si>
  <si>
    <t xml:space="preserve">https://filestore.fortinet.com/docs.fortinet.com/fsiem/Public_Resource_Access/7_6_0/rules/PH_RULE_Psexec_Accepteula_Condition.htm</t>
  </si>
  <si>
    <t xml:space="preserve">PH_Rule_windows_SIGMA_3744</t>
  </si>
  <si>
    <t xml:space="preserve">Windows: Potential PSFactoryBuffer COM Hijacking</t>
  </si>
  <si>
    <t xml:space="preserve">https://filestore.fortinet.com/docs.fortinet.com/fsiem/Public_Resource_Access/7_6_0/rules/PH_RULE_Potential_PSFactoryBuffer_COM_Hijacking.htm</t>
  </si>
  <si>
    <t xml:space="preserve">PH_Rule_windows_SIGMA_3016</t>
  </si>
  <si>
    <t xml:space="preserve">Windows: Potential Python DLL SideLoading</t>
  </si>
  <si>
    <t xml:space="preserve">https://filestore.fortinet.com/docs.fortinet.com/fsiem/Public_Resource_Access/7_6_0/rules/PH_RULE_Potential_Python_DLL_SideLoading.htm</t>
  </si>
  <si>
    <t xml:space="preserve">PH_Rule_SIGMA_2643</t>
  </si>
  <si>
    <t xml:space="preserve">Windows: Potential Qakbot Registry Activity</t>
  </si>
  <si>
    <t xml:space="preserve">https://filestore.fortinet.com/docs.fortinet.com/fsiem/Public_Resource_Access/7_6_0/rules/PH_RULE_Potential_Qakbot_Registry_Activity.htm</t>
  </si>
  <si>
    <t xml:space="preserve">PH_Rule_windows_SIGMA_3713</t>
  </si>
  <si>
    <t xml:space="preserve">Windows: Potential Ransomware Activity Using LegalNotice Message</t>
  </si>
  <si>
    <t xml:space="preserve">https://filestore.fortinet.com/docs.fortinet.com/fsiem/Public_Resource_Access/7_6_0/rules/PH_RULE_Potential_Ransomware_Activity_Using_LegalNotice_Message.htm</t>
  </si>
  <si>
    <t xml:space="preserve">PH_Rule_SIGMA_520</t>
  </si>
  <si>
    <t xml:space="preserve">Windows: Potential Ransomware or Unauthorized MBR Tampering Via Bcdedit.EXE</t>
  </si>
  <si>
    <t xml:space="preserve">https://filestore.fortinet.com/docs.fortinet.com/fsiem/Public_Resource_Access/7_6_0/rules/PH_RULE_Possible_Ransomware_or_Unauthorized_MBR_Modifications.htm</t>
  </si>
  <si>
    <t xml:space="preserve">PH_Rule_SIGMA_2037</t>
  </si>
  <si>
    <t xml:space="preserve">Windows: Potential Rcdll.DLL Sideloading</t>
  </si>
  <si>
    <t xml:space="preserve">https://filestore.fortinet.com/docs.fortinet.com/fsiem/Public_Resource_Access/7_6_0/rules/PH_RULE_Potential_Rcdll_DLL_Sideloading.htm</t>
  </si>
  <si>
    <t xml:space="preserve">PH_Rule_SIGMA_2583</t>
  </si>
  <si>
    <t xml:space="preserve">Windows: Potential RDP Session Hijacking Activity</t>
  </si>
  <si>
    <t xml:space="preserve">https://filestore.fortinet.com/docs.fortinet.com/fsiem/Public_Resource_Access/7_6_0/rules/PH_RULE_Potential_RDP_Session_Hijacking_Activity.htm</t>
  </si>
  <si>
    <t xml:space="preserve">PH_Rule_SIGMA_2418</t>
  </si>
  <si>
    <t xml:space="preserve">Windows: Potential RDP Tunneling Via Plink</t>
  </si>
  <si>
    <t xml:space="preserve">https://filestore.fortinet.com/docs.fortinet.com/fsiem/Public_Resource_Access/7_6_0/rules/PH_RULE_Potential_RDP_Tunneling_Via_SSH_Plink.htm</t>
  </si>
  <si>
    <t xml:space="preserve">PH_Rule_SIGMA_2538</t>
  </si>
  <si>
    <t xml:space="preserve">Windows: Potential RDP Tunneling Via SSH</t>
  </si>
  <si>
    <t xml:space="preserve">https://filestore.fortinet.com/docs.fortinet.com/fsiem/Public_Resource_Access/7_6_0/rules/PH_RULE_Potential_RDP_Tunneling_Via_SSH.htm</t>
  </si>
  <si>
    <t xml:space="preserve">PH_Rule_SIGMA_2304</t>
  </si>
  <si>
    <t xml:space="preserve">Windows: Potential Recon Activity Using DriverQuery.EXE</t>
  </si>
  <si>
    <t xml:space="preserve">https://filestore.fortinet.com/docs.fortinet.com/fsiem/Public_Resource_Access/7_6_0/rules/PH_RULE_Potential_Recon_Activity_Using_DriverQuery_EXE.htm</t>
  </si>
  <si>
    <t xml:space="preserve">PH_Rule_SIGMA_1444</t>
  </si>
  <si>
    <t xml:space="preserve">Windows: Potential Recon Activity Via Nltest.EXE</t>
  </si>
  <si>
    <t xml:space="preserve">https://filestore.fortinet.com/docs.fortinet.com/fsiem/Public_Resource_Access/7_6_0/rules/PH_RULE_Recon_Activity_with_NLTEST.htm</t>
  </si>
  <si>
    <t xml:space="preserve">PH_Rule_SIGMA_2366</t>
  </si>
  <si>
    <t xml:space="preserve">Windows: Potential Reconnaissance Activity Via GatherNetworkInfo.VBS</t>
  </si>
  <si>
    <t xml:space="preserve">https://filestore.fortinet.com/docs.fortinet.com/fsiem/Public_Resource_Access/7_6_0/rules/PH_RULE_Potential_Reconnaissance_Activity_Via_GatherNetworkInfo_VBS.htm</t>
  </si>
  <si>
    <t xml:space="preserve">PH_Rule_windows_SIGMA_3585</t>
  </si>
  <si>
    <t xml:space="preserve">Windows: Potential ReflectDebugger Content Execution Via WerFault.EXE</t>
  </si>
  <si>
    <t xml:space="preserve">https://filestore.fortinet.com/docs.fortinet.com/fsiem/Public_Resource_Access/7_6_0/rules/PH_RULE_Potential_ReflectDebugger_Content_Execution_Via_WerFault_EXE.htm</t>
  </si>
  <si>
    <t xml:space="preserve">PH_Rule_windows_SIGMA_3397</t>
  </si>
  <si>
    <t xml:space="preserve">Windows: Potential Register-App.Vbs LOLScript Abuse</t>
  </si>
  <si>
    <t xml:space="preserve">https://filestore.fortinet.com/docs.fortinet.com/fsiem/Public_Resource_Access/7_6_0/rules/PH_RULE_Potential_Register_App_Vbs_LOLScript_Abuse.htm</t>
  </si>
  <si>
    <t xml:space="preserve">PH_Rule_windows_SIGMA_3662</t>
  </si>
  <si>
    <t xml:space="preserve">Windows: Potential Registry Persistence Attempt Via DbgManagedDebugger</t>
  </si>
  <si>
    <t xml:space="preserve">https://filestore.fortinet.com/docs.fortinet.com/fsiem/Public_Resource_Access/7_6_0/rules/PH_RULE_Potential_Registry_Persistence_Attempt_Via_DbgManagedDebugger.htm</t>
  </si>
  <si>
    <t xml:space="preserve">PH_Rule_SIGMA_591</t>
  </si>
  <si>
    <t xml:space="preserve">Windows: Potential Regsvr32 Commandline Flag Anomaly</t>
  </si>
  <si>
    <t xml:space="preserve">https://filestore.fortinet.com/docs.fortinet.com/fsiem/Public_Resource_Access/7_6_0/rules/PH_RULE_Regsvr32_Flags_Anomaly.htm</t>
  </si>
  <si>
    <t xml:space="preserve">PH_Rule_SIGMA_1958</t>
  </si>
  <si>
    <t xml:space="preserve">Windows: Potential Remote Credential Dumping Activity</t>
  </si>
  <si>
    <t xml:space="preserve">https://filestore.fortinet.com/docs.fortinet.com/fsiem/Public_Resource_Access/7_6_0/rules/PH_RULE_Potential_Remote_Credential_Dumping_Activity.htm</t>
  </si>
  <si>
    <t xml:space="preserve">PH_Rule_windows_SIGMA_2818</t>
  </si>
  <si>
    <t xml:space="preserve">Windows: Potential Remote Desktop Connection to Non-Domain Host</t>
  </si>
  <si>
    <t xml:space="preserve">https://filestore.fortinet.com/docs.fortinet.com/fsiem/Public_Resource_Access/7_6_0/rules/PH_RULE_Potential_Remote_Desktop_Connection_to_Non_Domain_Host.htm</t>
  </si>
  <si>
    <t xml:space="preserve">PH_Rule_SIGMA_2565</t>
  </si>
  <si>
    <t xml:space="preserve">Windows: Potential Remote Desktop Tunneling</t>
  </si>
  <si>
    <t xml:space="preserve">https://filestore.fortinet.com/docs.fortinet.com/fsiem/Public_Resource_Access/7_6_0/rules/PH_RULE_Potential_Remote_Desktop_Tunneling.htm</t>
  </si>
  <si>
    <t xml:space="preserve">PH_Rule_SIGMA_387</t>
  </si>
  <si>
    <t xml:space="preserve">Windows: Potential Remote SquiblyTwo Technique Execution</t>
  </si>
  <si>
    <t xml:space="preserve">https://filestore.fortinet.com/docs.fortinet.com/fsiem/Public_Resource_Access/7_6_0/rules/PH_RULE_SquiblyTwo.htm</t>
  </si>
  <si>
    <t xml:space="preserve">PH_Rule_windows_SIGMA_3084</t>
  </si>
  <si>
    <t xml:space="preserve">Windows: Potential RemoteFXvGPUDisablement.EXE Abuse</t>
  </si>
  <si>
    <t xml:space="preserve">https://filestore.fortinet.com/docs.fortinet.com/fsiem/Public_Resource_Access/7_6_0/rules/PH_RULE_Potential_RemoteFXvGPUDisablement_EXE_Abuse.htm</t>
  </si>
  <si>
    <t xml:space="preserve">PH_Rule_windows_SIGMA_3112</t>
  </si>
  <si>
    <t xml:space="preserve">Windows: Potential RemoteFXvGPUDisablement.EXE Abuse - PowerShell Module</t>
  </si>
  <si>
    <t xml:space="preserve">https://filestore.fortinet.com/docs.fortinet.com/fsiem/Public_Resource_Access/7_6_0/rules/PH_RULE_Potential_RemoteFXvGPUDisablement_EXE_Abuse_PowerShell_Module.htm</t>
  </si>
  <si>
    <t xml:space="preserve">PH_Rule_windows_SIGMA_3206</t>
  </si>
  <si>
    <t xml:space="preserve">Windows: Potential RemoteFXvGPUDisablement.EXE Abuse - PowerShell ScriptBlock</t>
  </si>
  <si>
    <t xml:space="preserve">https://filestore.fortinet.com/docs.fortinet.com/fsiem/Public_Resource_Access/7_6_0/rules/PH_RULE_Potential_RemoteFXvGPUDisablement_EXE_Abuse_PowerShell_ScriptBlock.htm</t>
  </si>
  <si>
    <t xml:space="preserve">PH_Rule_SIGMA_1495</t>
  </si>
  <si>
    <t xml:space="preserve">Windows: Potential Renamed Rundll32 Execution</t>
  </si>
  <si>
    <t xml:space="preserve">https://filestore.fortinet.com/docs.fortinet.com/fsiem/Public_Resource_Access/7_6_0/rules/PH_RULE_Renamed_Rundll32_exe_Execution.htm</t>
  </si>
  <si>
    <t xml:space="preserve">PH_Rule_SIGMA_1988</t>
  </si>
  <si>
    <t xml:space="preserve">Windows: Potential RipZip Attack on Startup Folder</t>
  </si>
  <si>
    <t xml:space="preserve">https://filestore.fortinet.com/docs.fortinet.com/fsiem/Public_Resource_Access/7_6_0/rules/PH_RULE_Potential_RipZip_Attack_on_Startup_Folder.htm</t>
  </si>
  <si>
    <t xml:space="preserve">PH_Rule_windows_SIGMA_3017</t>
  </si>
  <si>
    <t xml:space="preserve">Windows: Potential RjvPlatform.DLL Sideloading From Default Location</t>
  </si>
  <si>
    <t xml:space="preserve">https://filestore.fortinet.com/docs.fortinet.com/fsiem/Public_Resource_Access/7_6_0/rules/PH_RULE_Potential_RjvPlatform_DLL_Sideloading_From_Default_Location.htm</t>
  </si>
  <si>
    <t xml:space="preserve">PH_Rule_windows_SIGMA_3018</t>
  </si>
  <si>
    <t xml:space="preserve">Windows: Potential RjvPlatform.DLL Sideloading From Non-Default Location</t>
  </si>
  <si>
    <t xml:space="preserve">https://filestore.fortinet.com/docs.fortinet.com/fsiem/Public_Resource_Access/7_6_0/rules/PH_RULE_Potential_RjvPlatform_DLL_Sideloading_From_Non_Default_Location.htm</t>
  </si>
  <si>
    <t xml:space="preserve">PH_Rule_SIGMA_2038</t>
  </si>
  <si>
    <t xml:space="preserve">Windows: Potential RoboForm.DLL Sideloading</t>
  </si>
  <si>
    <t xml:space="preserve">https://filestore.fortinet.com/docs.fortinet.com/fsiem/Public_Resource_Access/7_6_0/rules/PH_RULE_Potential_RoboForm_DLL_Sideloading.htm</t>
  </si>
  <si>
    <t xml:space="preserve">PH_Rule_SIGMA_2507</t>
  </si>
  <si>
    <t xml:space="preserve">Windows: Potential Rundll32 Execution With DLL Stored In ADS</t>
  </si>
  <si>
    <t xml:space="preserve">https://filestore.fortinet.com/docs.fortinet.com/fsiem/Public_Resource_Access/7_6_0/rules/PH_RULE_Potential_Rundll32_Execution_With_DLL_Stored_In_ADS.htm</t>
  </si>
  <si>
    <t xml:space="preserve">PH_Rule_windows_SIGMA_3427</t>
  </si>
  <si>
    <t xml:space="preserve">Windows: Potential Script Proxy Execution Via CL-Mutexverifiers.ps1</t>
  </si>
  <si>
    <t xml:space="preserve">https://filestore.fortinet.com/docs.fortinet.com/fsiem/Public_Resource_Access/7_6_0/rules/PH_RULE_Potential_Script_Proxy_Execution_Via_CL_Mutexverifiers_ps1.htm</t>
  </si>
  <si>
    <t xml:space="preserve">PH_Rule_windows_SIGMA_3782</t>
  </si>
  <si>
    <t xml:space="preserve">Windows: Potential SentinelOne Shell Context Menu Scan Command Tampering</t>
  </si>
  <si>
    <t xml:space="preserve">https://filestore.fortinet.com/docs.fortinet.com/fsiem/Public_Resource_Access/7_6_0/rules/PH_RULE_Potential_SentinelOne_Shell_Context_Menu_Scan_Command_Tampering.htm</t>
  </si>
  <si>
    <t xml:space="preserve">PH_Rule_windows_SIGMA_3507</t>
  </si>
  <si>
    <t xml:space="preserve">Windows: Potential ShellDispatch.DLL Functionality Abuse</t>
  </si>
  <si>
    <t xml:space="preserve">https://filestore.fortinet.com/docs.fortinet.com/fsiem/Public_Resource_Access/7_6_0/rules/PH_RULE_Potential_ShellDispatch_DLL_Functionality_Abuse.htm</t>
  </si>
  <si>
    <t xml:space="preserve">PH_Rule_windows_SIGMA_3019</t>
  </si>
  <si>
    <t xml:space="preserve">Windows: Potential ShellDispatch.DLL Sideloading</t>
  </si>
  <si>
    <t xml:space="preserve">https://filestore.fortinet.com/docs.fortinet.com/fsiem/Public_Resource_Access/7_6_0/rules/PH_RULE_Potential_ShellDispatch_DLL_Sideloading.htm</t>
  </si>
  <si>
    <t xml:space="preserve">PH_Rule_SIGMA_507</t>
  </si>
  <si>
    <t xml:space="preserve">Windows: Potential Shim Database Persistence via Sdbinst.EXE</t>
  </si>
  <si>
    <t xml:space="preserve">https://filestore.fortinet.com/docs.fortinet.com/fsiem/Public_Resource_Access/7_6_0/rules/PH_RULE_Possible_Shim_Database_Persistence_via_sdbinst_exe.htm</t>
  </si>
  <si>
    <t xml:space="preserve">PH_Rule_SIGMA_2580</t>
  </si>
  <si>
    <t xml:space="preserve">Windows: Potential Signing Bypass Via Windows Developer Features</t>
  </si>
  <si>
    <t xml:space="preserve">https://filestore.fortinet.com/docs.fortinet.com/fsiem/Public_Resource_Access/7_6_0/rules/PH_RULE_Potential_Signing_Bypass_Via_Windows_Developer_Features.htm</t>
  </si>
  <si>
    <t xml:space="preserve">PH_Rule_windows_SIGMA_3810</t>
  </si>
  <si>
    <t xml:space="preserve">Windows: Potential Signing Bypass Via Windows Developer Features - Registry</t>
  </si>
  <si>
    <t xml:space="preserve">https://filestore.fortinet.com/docs.fortinet.com/fsiem/Public_Resource_Access/7_6_0/rules/PH_RULE_Potential_Signing_Bypass_Via_Windows_Developer_Features_Registry.htm</t>
  </si>
  <si>
    <t xml:space="preserve">PH_Rule_windows_SIGMA_3020</t>
  </si>
  <si>
    <t xml:space="preserve">Windows: Potential SmadHook.DLL Sideloading</t>
  </si>
  <si>
    <t xml:space="preserve">https://filestore.fortinet.com/docs.fortinet.com/fsiem/Public_Resource_Access/7_6_0/rules/PH_RULE_Potential_SmadHook_DLL_Sideloading.htm</t>
  </si>
  <si>
    <t xml:space="preserve">PH_Rule_SIGMA_1708</t>
  </si>
  <si>
    <t xml:space="preserve">Windows: Potential SMB Relay Attack Tool Execution</t>
  </si>
  <si>
    <t xml:space="preserve">https://filestore.fortinet.com/docs.fortinet.com/fsiem/Public_Resource_Access/7_6_0/rules/PH_RULE_SMB_Relay_Attack_Tools.htm</t>
  </si>
  <si>
    <t xml:space="preserve">PH_Rule_SIGMA_2040</t>
  </si>
  <si>
    <t xml:space="preserve">Windows: Potential SolidPDFCreator.DLL Sideloading</t>
  </si>
  <si>
    <t xml:space="preserve">https://filestore.fortinet.com/docs.fortinet.com/fsiem/Public_Resource_Access/7_6_0/rules/PH_RULE_Potential_SolidPDFCreator_DLL_Sideloading.htm</t>
  </si>
  <si>
    <t xml:space="preserve">PH_Rule_windows_SIGMA_3513</t>
  </si>
  <si>
    <t xml:space="preserve">Windows: Potential SSH Tunnel Persistence Install Using A Scheduled Task</t>
  </si>
  <si>
    <t xml:space="preserve">https://filestore.fortinet.com/docs.fortinet.com/fsiem/Public_Resource_Access/7_6_0/rules/PH_RULE_Potential_SSH_Tunnel_Persistence_Install_Using_A_Scheduled_Task.htm</t>
  </si>
  <si>
    <t xml:space="preserve">PH_Rule_SIGMA_2533</t>
  </si>
  <si>
    <t xml:space="preserve">Windows: Potential Suspicious Activity Using SeCEdit</t>
  </si>
  <si>
    <t xml:space="preserve">https://filestore.fortinet.com/docs.fortinet.com/fsiem/Public_Resource_Access/7_6_0/rules/PH_RULE_Potential_Suspicious_Activity_Using_SeCEdit.htm</t>
  </si>
  <si>
    <t xml:space="preserve">PH_Rule_windows_SIGMA_3528</t>
  </si>
  <si>
    <t xml:space="preserve">Windows: Potential Suspicious Browser Launch From Document Reader Process</t>
  </si>
  <si>
    <t xml:space="preserve">https://filestore.fortinet.com/docs.fortinet.com/fsiem/Public_Resource_Access/7_6_0/rules/PH_RULE_Potential_Suspicious_Browser_Launch_From_Document_Reader_Process.htm</t>
  </si>
  <si>
    <t xml:space="preserve">PH_Rule_SIGMA_2386</t>
  </si>
  <si>
    <t xml:space="preserve">Windows: Potential Suspicious Mofcomp Execution</t>
  </si>
  <si>
    <t xml:space="preserve">https://filestore.fortinet.com/docs.fortinet.com/fsiem/Public_Resource_Access/7_6_0/rules/PH_RULE_Potential_Suspicious_Mofcomp_Execution.htm</t>
  </si>
  <si>
    <t xml:space="preserve">PH_Rule_windows_SIGMA_3241</t>
  </si>
  <si>
    <t xml:space="preserve">Windows: Potential Suspicious PowerShell Keywords</t>
  </si>
  <si>
    <t xml:space="preserve">https://filestore.fortinet.com/docs.fortinet.com/fsiem/Public_Resource_Access/7_6_0/rules/PH_RULE_Potential_Suspicious_PowerShell_Keywords.htm</t>
  </si>
  <si>
    <t xml:space="preserve">PH_Rule_SIGMA_1986</t>
  </si>
  <si>
    <t xml:space="preserve">Windows: Potential Suspicious PowerShell Module File Created</t>
  </si>
  <si>
    <t xml:space="preserve">https://filestore.fortinet.com/docs.fortinet.com/fsiem/Public_Resource_Access/7_6_0/rules/PH_RULE_Potential_Suspicious_PowerShell_Module_File_Created.htm</t>
  </si>
  <si>
    <t xml:space="preserve">PH_Rule_SIGMA_2483</t>
  </si>
  <si>
    <t xml:space="preserve">Windows: Potential Suspicious Registry File Imported Via Reg.EXE</t>
  </si>
  <si>
    <t xml:space="preserve">https://filestore.fortinet.com/docs.fortinet.com/fsiem/Public_Resource_Access/7_6_0/rules/PH_RULE_Potential_Suspicious_Registry_File_Imported_Via_Reg_EXE.htm</t>
  </si>
  <si>
    <t xml:space="preserve">PH_Rule_windows_SIGMA_3155</t>
  </si>
  <si>
    <t xml:space="preserve">Windows: Potential Suspicious Windows Feature Enabled</t>
  </si>
  <si>
    <t xml:space="preserve">https://filestore.fortinet.com/docs.fortinet.com/fsiem/Public_Resource_Access/7_6_0/rules/PH_RULE_Potential_Suspicious_Windows_Feature_Enabled.htm</t>
  </si>
  <si>
    <t xml:space="preserve">PH_Rule_SIGMA_2435</t>
  </si>
  <si>
    <t xml:space="preserve">Windows: Potential Suspicious Windows Feature Enabled - ProcCreation</t>
  </si>
  <si>
    <t xml:space="preserve">https://filestore.fortinet.com/docs.fortinet.com/fsiem/Public_Resource_Access/7_6_0/rules/PH_RULE_Potential_Suspicious_Windows_Feature_Enabled_ProcCreation.htm</t>
  </si>
  <si>
    <t xml:space="preserve">PH_Rule_windows_SIGMA_2906</t>
  </si>
  <si>
    <t xml:space="preserve">Windows: Potential Suspicious Winget Package Installation</t>
  </si>
  <si>
    <t xml:space="preserve">https://filestore.fortinet.com/docs.fortinet.com/fsiem/Public_Resource_Access/7_6_0/rules/PH_RULE_Potential_Suspicious_Winget_Package_Installation.htm</t>
  </si>
  <si>
    <t xml:space="preserve">PH_Rule_SIGMA_1481</t>
  </si>
  <si>
    <t xml:space="preserve">Windows: Potential Tampering With RDP Related Registry Keys Via Reg.EXE</t>
  </si>
  <si>
    <t xml:space="preserve">https://filestore.fortinet.com/docs.fortinet.com/fsiem/Public_Resource_Access/7_6_0/rules/PH_RULE_Enabling_RDP_Service_via_Reg_exe.htm</t>
  </si>
  <si>
    <t xml:space="preserve">PH_Rule_SIGMA_1694</t>
  </si>
  <si>
    <t xml:space="preserve">Windows: Potential Tampering With Security Products Via WMIC</t>
  </si>
  <si>
    <t xml:space="preserve">https://filestore.fortinet.com/docs.fortinet.com/fsiem/Public_Resource_Access/7_6_0/rules/PH_RULE_Wmic_Uninstall_Security_Product.htm</t>
  </si>
  <si>
    <t xml:space="preserve">PH_Rule_windows_SIGMA_3199</t>
  </si>
  <si>
    <t xml:space="preserve">Windows: Potential Unconstrained Delegation Discovery Via Get-ADComputer - ScriptBlock</t>
  </si>
  <si>
    <t xml:space="preserve">https://filestore.fortinet.com/docs.fortinet.com/fsiem/Public_Resource_Access/7_6_0/rules/PH_RULE_Potential_Unconstrained_Delegation_Discovery_Via_Get_ADComputer_ScriptBlock.htm</t>
  </si>
  <si>
    <t xml:space="preserve">PH_Rule_SIGMA_2616</t>
  </si>
  <si>
    <t xml:space="preserve">Windows: Potential Unquoted Service Path Reconnaissance Via Wmic.EXE</t>
  </si>
  <si>
    <t xml:space="preserve">https://filestore.fortinet.com/docs.fortinet.com/fsiem/Public_Resource_Access/7_6_0/rules/PH_RULE_Potential_Unquoted_Service_Path_Reconnaissance_Via_Wmic_EXE.htm</t>
  </si>
  <si>
    <t xml:space="preserve">PH_Rule_windows_SIGMA_3022</t>
  </si>
  <si>
    <t xml:space="preserve">Windows: Potential Vivaldi-elf.DLL Sideloading</t>
  </si>
  <si>
    <t xml:space="preserve">https://filestore.fortinet.com/docs.fortinet.com/fsiem/Public_Resource_Access/7_6_0/rules/PH_RULE_Potential_Vivaldi_elf_DLL_Sideloading.htm</t>
  </si>
  <si>
    <t xml:space="preserve">PH_Rule_windows_SIGMA_3025</t>
  </si>
  <si>
    <t xml:space="preserve">Windows: Potential Waveedit.DLL Sideloading</t>
  </si>
  <si>
    <t xml:space="preserve">https://filestore.fortinet.com/docs.fortinet.com/fsiem/Public_Resource_Access/7_6_0/rules/PH_RULE_Potential_Waveedit_DLL_Sideloading.htm</t>
  </si>
  <si>
    <t xml:space="preserve">PH_Rule_SIGMA_2044</t>
  </si>
  <si>
    <t xml:space="preserve">Windows: Potential Wazuh Security Platform DLL Sideloading</t>
  </si>
  <si>
    <t xml:space="preserve">https://filestore.fortinet.com/docs.fortinet.com/fsiem/Public_Resource_Access/7_6_0/rules/PH_RULE_Potential_Wazuh_Security_Platform_DLL_Sideloading.htm</t>
  </si>
  <si>
    <t xml:space="preserve">PH_Rule_windows_SIGMA_2988</t>
  </si>
  <si>
    <t xml:space="preserve">Windows: Potential Webshell Creation On Static Website</t>
  </si>
  <si>
    <t xml:space="preserve">https://filestore.fortinet.com/docs.fortinet.com/fsiem/Public_Resource_Access/7_6_0/rules/PH_RULE_Potential_Webshell_Creation_On_Static_Website.htm</t>
  </si>
  <si>
    <t xml:space="preserve">PH_Rule_windows_SIGMA_3758</t>
  </si>
  <si>
    <t xml:space="preserve">Windows: Potential WerFault ReflectDebugger Registry Value Abuse</t>
  </si>
  <si>
    <t xml:space="preserve">https://filestore.fortinet.com/docs.fortinet.com/fsiem/Public_Resource_Access/7_6_0/rules/PH_RULE_Potential_WerFault_ReflectDebugger_Registry_Value_Abuse.htm</t>
  </si>
  <si>
    <t xml:space="preserve">PH_Rule_SIGMA_2553</t>
  </si>
  <si>
    <t xml:space="preserve">Windows: Potential WinAPI Calls Via CommandLine</t>
  </si>
  <si>
    <t xml:space="preserve">https://filestore.fortinet.com/docs.fortinet.com/fsiem/Public_Resource_Access/7_6_0/rules/PH_RULE_Potential_WinAPI_Calls_Via_CommandLine.htm</t>
  </si>
  <si>
    <t xml:space="preserve">PH_Rule_windows_SIGMA_3276</t>
  </si>
  <si>
    <t xml:space="preserve">Windows: Potential WinAPI Calls Via PowerShell Scripts</t>
  </si>
  <si>
    <t xml:space="preserve">https://filestore.fortinet.com/docs.fortinet.com/fsiem/Public_Resource_Access/7_6_0/rules/PH_RULE_Potential_WinAPI_Calls_Via_PowerShell_Scripts.htm</t>
  </si>
  <si>
    <t xml:space="preserve">PH_Rule_SIGMA_2606</t>
  </si>
  <si>
    <t xml:space="preserve">Windows: Potential Windows Defender Tampering Via Wmic.EXE</t>
  </si>
  <si>
    <t xml:space="preserve">https://filestore.fortinet.com/docs.fortinet.com/fsiem/Public_Resource_Access/7_6_0/rules/PH_RULE_Potential_Windows_Defender_Tampering_Via_Wmic_EXE.htm</t>
  </si>
  <si>
    <t xml:space="preserve">PH_Rule_SIGMA_323</t>
  </si>
  <si>
    <t xml:space="preserve">Windows: Potential Winnti Dropper Activity</t>
  </si>
  <si>
    <t xml:space="preserve">https://filestore.fortinet.com/docs.fortinet.com/fsiem/Public_Resource_Access/7_6_0/rules/PH_RULE_RedMimicry_Winnti_Playbook_Dropped_File.htm</t>
  </si>
  <si>
    <t xml:space="preserve">PH_Rule_SIGMA_2620</t>
  </si>
  <si>
    <t xml:space="preserve">Windows: Potential WMI Lateral Movement WmiPrvSE Spawned PowerShell</t>
  </si>
  <si>
    <t xml:space="preserve">https://filestore.fortinet.com/docs.fortinet.com/fsiem/Public_Resource_Access/7_6_0/rules/PH_RULE_Potential_WMI_Lateral_Movement_WmiPrvSE_Spawned_PowerShell.htm</t>
  </si>
  <si>
    <t xml:space="preserve">PH_Rule_windows_SIGMA_3026</t>
  </si>
  <si>
    <t xml:space="preserve">Windows: Potential WWlib.DLL Sideloading</t>
  </si>
  <si>
    <t xml:space="preserve">https://filestore.fortinet.com/docs.fortinet.com/fsiem/Public_Resource_Access/7_6_0/rules/PH_RULE_Potential_WWlib_DLL_Sideloading.htm</t>
  </si>
  <si>
    <t xml:space="preserve">PH_Rule_SIGMA_2306</t>
  </si>
  <si>
    <t xml:space="preserve">Windows: Potentially Over Permissive Permissions Granted Using Dsacls.EXE</t>
  </si>
  <si>
    <t xml:space="preserve">https://filestore.fortinet.com/docs.fortinet.com/fsiem/Public_Resource_Access/7_6_0/rules/PH_RULE_Potentially_Over_Permissive_Permissions_Granted_Using_Dsacls_EXE.htm</t>
  </si>
  <si>
    <t xml:space="preserve">PH_Rule_windows_SIGMA_3303</t>
  </si>
  <si>
    <t xml:space="preserve">Windows: Potentially Suspicious ASP.NET Compilation Via AspNetCompiler</t>
  </si>
  <si>
    <t xml:space="preserve">https://filestore.fortinet.com/docs.fortinet.com/fsiem/Public_Resource_Access/7_6_0/rules/PH_RULE_Potentially_Suspicious_ASP_NET_Compilation_Via_AspNetCompiler.htm</t>
  </si>
  <si>
    <t xml:space="preserve">PH_Rule_SIGMA_1320</t>
  </si>
  <si>
    <t xml:space="preserve">Windows: Potentially Suspicious Cabinet File Expansion</t>
  </si>
  <si>
    <t xml:space="preserve">https://filestore.fortinet.com/docs.fortinet.com/fsiem/Public_Resource_Access/7_6_0/rules/PH_RULE_Cabinet_File_Expansion.htm</t>
  </si>
  <si>
    <t xml:space="preserve">PH_Rule_windows_SIGMA_3549</t>
  </si>
  <si>
    <t xml:space="preserve">Windows: Potentially Suspicious Call To Win32-NTEventlogFile Class</t>
  </si>
  <si>
    <t xml:space="preserve">https://filestore.fortinet.com/docs.fortinet.com/fsiem/Public_Resource_Access/7_6_0/rules/PH_RULE_Potentially_Suspicious_Call_To_Win32_NTEventlogFile_Class.htm</t>
  </si>
  <si>
    <t xml:space="preserve">PH_Rule_windows_SIGMA_3274</t>
  </si>
  <si>
    <t xml:space="preserve">Windows: Potentially Suspicious Call To Win32-NTEventlogFile Class - PSScript</t>
  </si>
  <si>
    <t xml:space="preserve">https://filestore.fortinet.com/docs.fortinet.com/fsiem/Public_Resource_Access/7_6_0/rules/PH_RULE_Potentially_Suspicious_Call_To_Win32_NTEventlogFile_Class_PSScript.htm</t>
  </si>
  <si>
    <t xml:space="preserve">PH_Rule_windows_SIGMA_3344</t>
  </si>
  <si>
    <t xml:space="preserve">Windows: Potentially Suspicious Child Process Of ClickOnce Application</t>
  </si>
  <si>
    <t xml:space="preserve">https://filestore.fortinet.com/docs.fortinet.com/fsiem/Public_Resource_Access/7_6_0/rules/PH_RULE_Potentially_Suspicious_Child_Process_Of_ClickOnce_Application.htm</t>
  </si>
  <si>
    <t xml:space="preserve">PH_Rule_windows_SIGMA_3346</t>
  </si>
  <si>
    <t xml:space="preserve">Windows: Potentially Suspicious Child Process Of DiskShadow.EXE</t>
  </si>
  <si>
    <t xml:space="preserve">https://filestore.fortinet.com/docs.fortinet.com/fsiem/Public_Resource_Access/7_6_0/rules/PH_RULE_Potentially_Suspicious_Child_Process_Of_DiskShadow_EXE.htm</t>
  </si>
  <si>
    <t xml:space="preserve">PH_Rule_windows_SIGMA_3393</t>
  </si>
  <si>
    <t xml:space="preserve">Windows: Potentially Suspicious Child Process of KeyScrambler.exe</t>
  </si>
  <si>
    <t xml:space="preserve">https://filestore.fortinet.com/docs.fortinet.com/fsiem/Public_Resource_Access/7_6_0/rules/PH_RULE_Potentially_Suspicious_Child_Process_of_KeyScrambler_exe.htm</t>
  </si>
  <si>
    <t xml:space="preserve">PH_Rule_SIGMA_2589</t>
  </si>
  <si>
    <t xml:space="preserve">Windows: Potentially Suspicious Child Process Of VsCode</t>
  </si>
  <si>
    <t xml:space="preserve">https://filestore.fortinet.com/docs.fortinet.com/fsiem/Public_Resource_Access/7_6_0/rules/PH_RULE_VsCode_Child_Process_Anomaly.htm</t>
  </si>
  <si>
    <t xml:space="preserve">PH_Rule_windows_SIGMA_3592</t>
  </si>
  <si>
    <t xml:space="preserve">Windows: Potentially Suspicious Child Process Of WinRAR.EXE</t>
  </si>
  <si>
    <t xml:space="preserve">https://filestore.fortinet.com/docs.fortinet.com/fsiem/Public_Resource_Access/7_6_0/rules/PH_RULE_Potentially_Suspicious_Child_Process_Of_WinRAR_EXE.htm</t>
  </si>
  <si>
    <t xml:space="preserve">PH_Rule_windows_SIGMA_3329</t>
  </si>
  <si>
    <t xml:space="preserve">Windows: Potentially Suspicious Child Processes Spawned by ConHost</t>
  </si>
  <si>
    <t xml:space="preserve">https://filestore.fortinet.com/docs.fortinet.com/fsiem/Public_Resource_Access/7_6_0/rules/PH_RULE_Potentially_Suspicious_Child_Processes_Spawned_by_ConHost.htm</t>
  </si>
  <si>
    <t xml:space="preserve">PH_Rule_SIGMA_2287</t>
  </si>
  <si>
    <t xml:space="preserve">Windows: Potentially Suspicious CMD Shell Output Redirect</t>
  </si>
  <si>
    <t xml:space="preserve">https://filestore.fortinet.com/docs.fortinet.com/fsiem/Public_Resource_Access/7_6_0/rules/PH_RULE_Suspicious_CMD_Shell_Output_Redirect.htm</t>
  </si>
  <si>
    <t xml:space="preserve">PH_Rule_windows_SIGMA_3780</t>
  </si>
  <si>
    <t xml:space="preserve">Windows: Potentially Suspicious Command Executed Via Run Dialog Box - Registry</t>
  </si>
  <si>
    <t xml:space="preserve">https://filestore.fortinet.com/docs.fortinet.com/fsiem/Public_Resource_Access/7_6_0/rules/PH_RULE_Potentially_Suspicious_Command_Executed_Via_Run_Dialog_Box_Registry.htm</t>
  </si>
  <si>
    <t xml:space="preserve">PH_Rule_windows_SIGMA_3462</t>
  </si>
  <si>
    <t xml:space="preserve">Windows: Potentially Suspicious Desktop Background Change Using Reg.EXE</t>
  </si>
  <si>
    <t xml:space="preserve">https://filestore.fortinet.com/docs.fortinet.com/fsiem/Public_Resource_Access/7_6_0/rules/PH_RULE_Potentially_Suspicious_Desktop_Background_Change_Using_Reg_EXE.htm</t>
  </si>
  <si>
    <t xml:space="preserve">PH_Rule_windows_SIGMA_3664</t>
  </si>
  <si>
    <t xml:space="preserve">Windows: Potentially Suspicious Desktop Background Change Via Registry</t>
  </si>
  <si>
    <t xml:space="preserve">https://filestore.fortinet.com/docs.fortinet.com/fsiem/Public_Resource_Access/7_6_0/rules/PH_RULE_Potentially_Suspicious_Desktop_Background_Change_Via_Registry.htm</t>
  </si>
  <si>
    <t xml:space="preserve">PH_Rule_windows_SIGMA_3417</t>
  </si>
  <si>
    <t xml:space="preserve">Windows: Potentially Suspicious DLL Registered Via Odbcconf.EXE</t>
  </si>
  <si>
    <t xml:space="preserve">https://filestore.fortinet.com/docs.fortinet.com/fsiem/Public_Resource_Access/7_6_0/rules/PH_RULE_Potentially_Suspicious_DLL_Registered_Via_Odbcconf_EXE.htm</t>
  </si>
  <si>
    <t xml:space="preserve">PH_Rule_windows_SIGMA_2953</t>
  </si>
  <si>
    <t xml:space="preserve">Windows: Potentially Suspicious DMP/HDMP File Creation</t>
  </si>
  <si>
    <t xml:space="preserve">https://filestore.fortinet.com/docs.fortinet.com/fsiem/Public_Resource_Access/7_6_0/rules/PH_RULE_Potentially_Suspicious_DMP_HDMP_File_Creation.htm</t>
  </si>
  <si>
    <t xml:space="preserve">PH_Rule_windows_SIGMA_3534</t>
  </si>
  <si>
    <t xml:space="preserve">Windows: Potentially Suspicious Electron Application CommandLine</t>
  </si>
  <si>
    <t xml:space="preserve">https://filestore.fortinet.com/docs.fortinet.com/fsiem/Public_Resource_Access/7_6_0/rules/PH_RULE_Potentially_Suspicious_Electron_Application_CommandLine.htm</t>
  </si>
  <si>
    <t xml:space="preserve">PH_Rule_windows_SIGMA_3540</t>
  </si>
  <si>
    <t xml:space="preserve">Windows: Potentially Suspicious EventLog Recon Activity Using Log Query Utilities</t>
  </si>
  <si>
    <t xml:space="preserve">https://filestore.fortinet.com/docs.fortinet.com/fsiem/Public_Resource_Access/7_6_0/rules/PH_RULE_Potentially_Suspicious_EventLog_Recon_Activity_Using_Log_Query_Utilities.htm</t>
  </si>
  <si>
    <t xml:space="preserve">PH_Rule_SIGMA_1471</t>
  </si>
  <si>
    <t xml:space="preserve">Windows: Potentially Suspicious Execution From Parent Process In Public Folder</t>
  </si>
  <si>
    <t xml:space="preserve">https://filestore.fortinet.com/docs.fortinet.com/fsiem/Public_Resource_Access/7_6_0/rules/PH_RULE_Parent_in_Public_Folder_Suspicious_Process.htm</t>
  </si>
  <si>
    <t xml:space="preserve">PH_Rule_SIGMA_2415</t>
  </si>
  <si>
    <t xml:space="preserve">Windows: Potentially Suspicious Execution Of PDQDeployRunner</t>
  </si>
  <si>
    <t xml:space="preserve">https://filestore.fortinet.com/docs.fortinet.com/fsiem/Public_Resource_Access/7_6_0/rules/PH_RULE_Suspicious_Execution_Of_PDQDeployRunner.htm</t>
  </si>
  <si>
    <t xml:space="preserve">PH_Rule_SIGMA_2375</t>
  </si>
  <si>
    <t xml:space="preserve">Windows: Potentially Suspicious Execution Of Regasm/Regsvcs From Uncommon Location</t>
  </si>
  <si>
    <t xml:space="preserve">https://filestore.fortinet.com/docs.fortinet.com/fsiem/Public_Resource_Access/7_6_0/rules/PH_RULE_Regasm_Regsvcs_Suspicious_Execution.htm</t>
  </si>
  <si>
    <t xml:space="preserve">PH_Rule_windows_SIGMA_3470</t>
  </si>
  <si>
    <t xml:space="preserve">Windows: Potentially Suspicious Execution Of Regasm/Regsvcs With Uncommon Extension</t>
  </si>
  <si>
    <t xml:space="preserve">https://filestore.fortinet.com/docs.fortinet.com/fsiem/Public_Resource_Access/7_6_0/rules/PH_RULE_Potentially_Suspicious_Execution_Of_Regasm_Regsvcs_With_Uncommon_Extension.htm</t>
  </si>
  <si>
    <t xml:space="preserve">PH_Rule_windows_SIGMA_3434</t>
  </si>
  <si>
    <t xml:space="preserve">Windows: Potentially Suspicious File Download From File Sharing Domain Via PowerShell.EXE</t>
  </si>
  <si>
    <t xml:space="preserve">https://filestore.fortinet.com/docs.fortinet.com/fsiem/Public_Resource_Access/7_6_0/rules/PH_RULE_Potentially_Suspicious_File_Download_From_File_Sharing_Domain_Via_PowerShell_EXE.htm</t>
  </si>
  <si>
    <t xml:space="preserve">PH_Rule_windows_SIGMA_2907</t>
  </si>
  <si>
    <t xml:space="preserve">Windows: Potentially Suspicious File Download From ZIP TLD</t>
  </si>
  <si>
    <t xml:space="preserve">https://filestore.fortinet.com/docs.fortinet.com/fsiem/Public_Resource_Access/7_6_0/rules/PH_RULE_Potentially_Suspicious_File_Download_From_ZIP_TLD.htm</t>
  </si>
  <si>
    <t xml:space="preserve">PH_Rule_SIGMA_2313</t>
  </si>
  <si>
    <t xml:space="preserve">Windows: Potentially Suspicious GoogleUpdate Child Process</t>
  </si>
  <si>
    <t xml:space="preserve">https://filestore.fortinet.com/docs.fortinet.com/fsiem/Public_Resource_Access/7_6_0/rules/PH_RULE_Potentially_Suspicious_GoogleUpdate_Child_Process.htm</t>
  </si>
  <si>
    <t xml:space="preserve">PH_Rule_windows_SIGMA_3543</t>
  </si>
  <si>
    <t xml:space="preserve">Windows: Potentially Suspicious Inline JavaScript Execution via NodeJS Binary</t>
  </si>
  <si>
    <t xml:space="preserve">https://filestore.fortinet.com/docs.fortinet.com/fsiem/Public_Resource_Access/7_6_0/rules/PH_RULE_Potentially_Suspicious_Inline_JavaScript_Execution_via_NodeJS_Binary.htm</t>
  </si>
  <si>
    <t xml:space="preserve">PH_Rule_SIGMA_352</t>
  </si>
  <si>
    <t xml:space="preserve">Windows: Potentially Suspicious Malware Callback Communication</t>
  </si>
  <si>
    <t xml:space="preserve">https://filestore.fortinet.com/docs.fortinet.com/fsiem/Public_Resource_Access/7_6_0/rules/PH_RULE_Suspicious_Typical_Malware_Back_Connect_Ports.htm</t>
  </si>
  <si>
    <t xml:space="preserve">PH_Rule_SIGMA_2054</t>
  </si>
  <si>
    <t xml:space="preserve">Windows: Potentially Suspicious Network Connection To Notion API</t>
  </si>
  <si>
    <t xml:space="preserve">https://filestore.fortinet.com/docs.fortinet.com/fsiem/Public_Resource_Access/7_6_0/rules/PH_RULE_Potentially_Suspicious_Network_Connection_To_Notion_API.htm</t>
  </si>
  <si>
    <t xml:space="preserve">PH_Rule_SIGMA_1326</t>
  </si>
  <si>
    <t xml:space="preserve">Windows: Potentially Suspicious NTFS Symlink Behavior Modification</t>
  </si>
  <si>
    <t xml:space="preserve">https://filestore.fortinet.com/docs.fortinet.com/fsiem/Public_Resource_Access/7_6_0/rules/PH_RULE_Fsutil_Behavior_Set_SymlinkEvaluation.htm</t>
  </si>
  <si>
    <t xml:space="preserve">PH_Rule_windows_SIGMA_3723</t>
  </si>
  <si>
    <t xml:space="preserve">Windows: Potentially Suspicious ODBC Driver Registered</t>
  </si>
  <si>
    <t xml:space="preserve">https://filestore.fortinet.com/docs.fortinet.com/fsiem/Public_Resource_Access/7_6_0/rules/PH_RULE_Potentially_Suspicious_ODBC_Driver_Registered.htm</t>
  </si>
  <si>
    <t xml:space="preserve">PH_Rule_windows_SIGMA_3422</t>
  </si>
  <si>
    <t xml:space="preserve">Windows: Potentially Suspicious Office Document Executed From Trusted Location</t>
  </si>
  <si>
    <t xml:space="preserve">https://filestore.fortinet.com/docs.fortinet.com/fsiem/Public_Resource_Access/7_6_0/rules/PH_RULE_Potentially_Suspicious_Office_Document_Executed_From_Trusted_Location.htm</t>
  </si>
  <si>
    <t xml:space="preserve">PH_Rule_windows_SIGMA_3325</t>
  </si>
  <si>
    <t xml:space="preserve">Windows: Potentially Suspicious Ping/Copy Command Combination</t>
  </si>
  <si>
    <t xml:space="preserve">https://filestore.fortinet.com/docs.fortinet.com/fsiem/Public_Resource_Access/7_6_0/rules/PH_RULE_Potentially_Suspicious_Ping_Copy_Command_Combination.htm</t>
  </si>
  <si>
    <t xml:space="preserve">PH_Rule_windows_SIGMA_3439</t>
  </si>
  <si>
    <t xml:space="preserve">Windows: Potentially Suspicious Powershell Script Execution From Temp Folder</t>
  </si>
  <si>
    <t xml:space="preserve">https://filestore.fortinet.com/docs.fortinet.com/fsiem/Public_Resource_Access/7_6_0/rules/PH_RULE_Potentially_Suspicious_Powershell_Script_Execution_From_Temp_Folder.htm</t>
  </si>
  <si>
    <t xml:space="preserve">PH_Rule_windows_SIGMA_3478</t>
  </si>
  <si>
    <t xml:space="preserve">Windows: Potentially Suspicious Regsvr32 HTTP IP Pattern</t>
  </si>
  <si>
    <t xml:space="preserve">https://filestore.fortinet.com/docs.fortinet.com/fsiem/Public_Resource_Access/7_6_0/rules/PH_RULE_Potentially_Suspicious_Regsvr32_HTTP_IP_Pattern.htm</t>
  </si>
  <si>
    <t xml:space="preserve">PH_Rule_SIGMA_1633</t>
  </si>
  <si>
    <t xml:space="preserve">Windows: Potentially Suspicious Rundll32 Activity</t>
  </si>
  <si>
    <t xml:space="preserve">https://filestore.fortinet.com/docs.fortinet.com/fsiem/Public_Resource_Access/7_6_0/rules/PH_RULE_Suspicious_Rundll32_Script_in_CommandLine.htm</t>
  </si>
  <si>
    <t xml:space="preserve">PH_Rule_windows_SIGMA_3509</t>
  </si>
  <si>
    <t xml:space="preserve">Windows: Potentially Suspicious Rundll32.EXE Execution of UDL File</t>
  </si>
  <si>
    <t xml:space="preserve">https://filestore.fortinet.com/docs.fortinet.com/fsiem/Public_Resource_Access/7_6_0/rules/PH_RULE_Potentially_Suspicious_Rundll32_EXE_Execution_of_UDL_File.htm</t>
  </si>
  <si>
    <t xml:space="preserve">PH_Rule_windows_SIGMA_2990</t>
  </si>
  <si>
    <t xml:space="preserve">Windows: Potentially Suspicious Self Extraction Directive File Created</t>
  </si>
  <si>
    <t xml:space="preserve">https://filestore.fortinet.com/docs.fortinet.com/fsiem/Public_Resource_Access/7_6_0/rules/PH_RULE_Potentially_Suspicious_Self_Extraction_Directive_File_Created.htm</t>
  </si>
  <si>
    <t xml:space="preserve">PH_Rule_windows_SIGMA_3457</t>
  </si>
  <si>
    <t xml:space="preserve">Windows: Potentially Suspicious Usage Of Qemu</t>
  </si>
  <si>
    <t xml:space="preserve">https://filestore.fortinet.com/docs.fortinet.com/fsiem/Public_Resource_Access/7_6_0/rules/PH_RULE_Potentially_Suspicious_Usage_Of_Qemu.htm</t>
  </si>
  <si>
    <t xml:space="preserve">PH_Rule_windows_SIGMA_2979</t>
  </si>
  <si>
    <t xml:space="preserve">Windows: Potentially Suspicious WDAC Policy File Creation</t>
  </si>
  <si>
    <t xml:space="preserve">https://filestore.fortinet.com/docs.fortinet.com/fsiem/Public_Resource_Access/7_6_0/rules/PH_RULE_Potentially_Suspicious_WDAC_Policy_File_Creation.htm</t>
  </si>
  <si>
    <t xml:space="preserve">PH_Rule_windows_SIGMA_3584</t>
  </si>
  <si>
    <t xml:space="preserve">Windows: Potentially Suspicious WebDAV LNK Execution</t>
  </si>
  <si>
    <t xml:space="preserve">https://filestore.fortinet.com/docs.fortinet.com/fsiem/Public_Resource_Access/7_6_0/rules/PH_RULE_Potentially_Suspicious_WebDAV_LNK_Execution.htm</t>
  </si>
  <si>
    <t xml:space="preserve">PH_Rule_SIGMA_2542</t>
  </si>
  <si>
    <t xml:space="preserve">Windows: Potentially Suspicious Windows App Activity</t>
  </si>
  <si>
    <t xml:space="preserve">https://filestore.fortinet.com/docs.fortinet.com/fsiem/Public_Resource_Access/7_6_0/rules/PH_RULE_Suspicious_Windows_App_Activity.htm</t>
  </si>
  <si>
    <t xml:space="preserve">PH_Rule_windows_SIGMA_3126</t>
  </si>
  <si>
    <t xml:space="preserve">Windows: Powershell Add Name Resolution Policy Table Rule</t>
  </si>
  <si>
    <t xml:space="preserve">https://filestore.fortinet.com/docs.fortinet.com/fsiem/Public_Resource_Access/7_6_0/rules/PH_RULE_Powershell_Add_Name_Resolution_Policy_Table_Rule.htm</t>
  </si>
  <si>
    <t xml:space="preserve">PH_Rule_windows_SIGMA_3769</t>
  </si>
  <si>
    <t xml:space="preserve">Windows: PowerShell as a Service in Registry</t>
  </si>
  <si>
    <t xml:space="preserve">https://filestore.fortinet.com/docs.fortinet.com/fsiem/Public_Resource_Access/7_6_0/rules/PH_RULE_PowerShell_as_a_Service_in_Registry.htm</t>
  </si>
  <si>
    <t xml:space="preserve">PH_Rule_SIGMA_401</t>
  </si>
  <si>
    <t xml:space="preserve">Windows: PowerShell Base64 Encoded FromBase64String Cmdlet</t>
  </si>
  <si>
    <t xml:space="preserve">https://filestore.fortinet.com/docs.fortinet.com/fsiem/Public_Resource_Access/7_6_0/rules/PH_RULE_Encoded_FromBase64String.htm</t>
  </si>
  <si>
    <t xml:space="preserve">PH_Rule_SIGMA_402</t>
  </si>
  <si>
    <t xml:space="preserve">Windows: PowerShell Base64 Encoded IEX Cmdlet</t>
  </si>
  <si>
    <t xml:space="preserve">https://filestore.fortinet.com/docs.fortinet.com/fsiem/Public_Resource_Access/7_6_0/rules/PH_RULE_Encoded_IEX.htm</t>
  </si>
  <si>
    <t xml:space="preserve">PH_Rule_SIGMA_1534</t>
  </si>
  <si>
    <t xml:space="preserve">Windows: PowerShell Base64 Encoded Invoke Keyword</t>
  </si>
  <si>
    <t xml:space="preserve">https://filestore.fortinet.com/docs.fortinet.com/fsiem/Public_Resource_Access/7_6_0/rules/PH_RULE_Suspicious_Base64_Encoded_Powershell_Invoke.htm</t>
  </si>
  <si>
    <t xml:space="preserve">PH_Rule_SIGMA_2424</t>
  </si>
  <si>
    <t xml:space="preserve">Windows: Powershell Base64 Encoded MpPreference Cmdlet</t>
  </si>
  <si>
    <t xml:space="preserve">https://filestore.fortinet.com/docs.fortinet.com/fsiem/Public_Resource_Access/7_6_0/rules/PH_RULE_Powershell_Base64_Encoded_MpPreference_Cmdlet.htm</t>
  </si>
  <si>
    <t xml:space="preserve">PH_Rule_SIGMA_1285</t>
  </si>
  <si>
    <t xml:space="preserve">Windows: PowerShell Base64 Encoded Reflective Assembly Load</t>
  </si>
  <si>
    <t xml:space="preserve">https://filestore.fortinet.com/docs.fortinet.com/fsiem/Public_Resource_Access/7_6_0/rules/PH_RULE_Base64_Encoded_Reflective_Assembly_Load.htm</t>
  </si>
  <si>
    <t xml:space="preserve">PH_Rule_SIGMA_2426</t>
  </si>
  <si>
    <t xml:space="preserve">Windows: PowerShell Base64 Encoded WMI Classes</t>
  </si>
  <si>
    <t xml:space="preserve">https://filestore.fortinet.com/docs.fortinet.com/fsiem/Public_Resource_Access/7_6_0/rules/PH_RULE_PowerShell_Base64_Encoded_WMI_Classes.htm</t>
  </si>
  <si>
    <t xml:space="preserve">PH_Rule_windows_SIGMA_3081</t>
  </si>
  <si>
    <t xml:space="preserve">Windows: PowerShell Called from an Executable Version Mismatch</t>
  </si>
  <si>
    <t xml:space="preserve">https://filestore.fortinet.com/docs.fortinet.com/fsiem/Public_Resource_Access/7_6_0/rules/PH_RULE_PowerShell_Called_from_an_Executable_Version_Mismatch.htm</t>
  </si>
  <si>
    <t xml:space="preserve">PH_Rule_windows_SIGMA_2937</t>
  </si>
  <si>
    <t xml:space="preserve">Windows: PowerShell Console History Logs Deleted</t>
  </si>
  <si>
    <t xml:space="preserve">https://filestore.fortinet.com/docs.fortinet.com/fsiem/Public_Resource_Access/7_6_0/rules/PH_RULE_PowerShell_Console_History_Logs_Deleted.htm</t>
  </si>
  <si>
    <t xml:space="preserve">PH_Rule_SIGMA_2013</t>
  </si>
  <si>
    <t xml:space="preserve">Windows: PowerShell Core DLL Loaded By Non PowerShell Process</t>
  </si>
  <si>
    <t xml:space="preserve">https://filestore.fortinet.com/docs.fortinet.com/fsiem/Public_Resource_Access/7_6_0/rules/PH_RULE_PowerShell_Core_DLL_Loaded_By_Non_PowerShell_Process.htm</t>
  </si>
  <si>
    <t xml:space="preserve">PH_Rule_windows_SIGMA_2997</t>
  </si>
  <si>
    <t xml:space="preserve">Windows: PowerShell Core DLL Loaded Via Office Application</t>
  </si>
  <si>
    <t xml:space="preserve">https://filestore.fortinet.com/docs.fortinet.com/fsiem/Public_Resource_Access/7_6_0/rules/PH_RULE_PowerShell_Core_DLL_Loaded_Via_Office_Application.htm</t>
  </si>
  <si>
    <t xml:space="preserve">PH_Rule_windows_SIGMA_3138</t>
  </si>
  <si>
    <t xml:space="preserve">Windows: Powershell Create Scheduled Task</t>
  </si>
  <si>
    <t xml:space="preserve">https://filestore.fortinet.com/docs.fortinet.com/fsiem/Public_Resource_Access/7_6_0/rules/PH_RULE_Powershell_Create_Scheduled_Task.htm</t>
  </si>
  <si>
    <t xml:space="preserve">PH_Rule_windows_SIGMA_3203</t>
  </si>
  <si>
    <t xml:space="preserve">Windows: PowerShell Credential Prompt</t>
  </si>
  <si>
    <t xml:space="preserve">https://filestore.fortinet.com/docs.fortinet.com/fsiem/Public_Resource_Access/7_6_0/rules/PH_RULE_PowerShell_Credential_Prompt.htm</t>
  </si>
  <si>
    <t xml:space="preserve">PH_Rule_windows_SIGMA_3094</t>
  </si>
  <si>
    <t xml:space="preserve">Windows: PowerShell Decompress Commands</t>
  </si>
  <si>
    <t xml:space="preserve">https://filestore.fortinet.com/docs.fortinet.com/fsiem/Public_Resource_Access/7_6_0/rules/PH_RULE_PowerShell_Decompress_Commands.htm</t>
  </si>
  <si>
    <t xml:space="preserve">PH_Rule_SIGMA_1457</t>
  </si>
  <si>
    <t xml:space="preserve">Windows: Powershell Defender Disable Scan Feature</t>
  </si>
  <si>
    <t xml:space="preserve">https://filestore.fortinet.com/docs.fortinet.com/fsiem/Public_Resource_Access/7_6_0/rules/PH_RULE_Powershell_Defender_Disable_Scan_Feature.htm</t>
  </si>
  <si>
    <t xml:space="preserve">PH_Rule_SIGMA_1458</t>
  </si>
  <si>
    <t xml:space="preserve">Windows: Powershell Defender Exclusion</t>
  </si>
  <si>
    <t xml:space="preserve">https://filestore.fortinet.com/docs.fortinet.com/fsiem/Public_Resource_Access/7_6_0/rules/PH_RULE_Powershell_Defender_Exclusion.htm</t>
  </si>
  <si>
    <t xml:space="preserve">PH_Rule_windows_SIGMA_3341</t>
  </si>
  <si>
    <t xml:space="preserve">Windows: PowerShell Defender Threat Severity Default Action Set to Allow or NoAction</t>
  </si>
  <si>
    <t xml:space="preserve">https://filestore.fortinet.com/docs.fortinet.com/fsiem/Public_Resource_Access/7_6_0/rules/PH_RULE_PowerShell_Defender_Threat_Severity_Default_Action_Set_to_Allow_or_NoAction_.htm</t>
  </si>
  <si>
    <t xml:space="preserve">PH_Rule_windows_SIGMA_3245</t>
  </si>
  <si>
    <t xml:space="preserve">Windows: PowerShell Deleted Mounted Share</t>
  </si>
  <si>
    <t xml:space="preserve">https://filestore.fortinet.com/docs.fortinet.com/fsiem/Public_Resource_Access/7_6_0/rules/PH_RULE_PowerShell_Deleted_Mounted_Share.htm</t>
  </si>
  <si>
    <t xml:space="preserve">PH_Rule_windows_SIGMA_3145</t>
  </si>
  <si>
    <t xml:space="preserve">Windows: Powershell Detect Virtualization Environment</t>
  </si>
  <si>
    <t xml:space="preserve">https://filestore.fortinet.com/docs.fortinet.com/fsiem/Public_Resource_Access/7_6_0/rules/PH_RULE_Powershell_Detect_Virtualization_Environment.htm</t>
  </si>
  <si>
    <t xml:space="preserve">PH_Rule_windows_SIGMA_3224</t>
  </si>
  <si>
    <t xml:space="preserve">Windows: Powershell Directory Enumeration</t>
  </si>
  <si>
    <t xml:space="preserve">https://filestore.fortinet.com/docs.fortinet.com/fsiem/Public_Resource_Access/7_6_0/rules/PH_RULE_Powershell_Directory_Enumeration.htm</t>
  </si>
  <si>
    <t xml:space="preserve">PH_Rule_windows_SIGMA_3173</t>
  </si>
  <si>
    <t xml:space="preserve">Windows: Powershell DNSExfiltration</t>
  </si>
  <si>
    <t xml:space="preserve">https://filestore.fortinet.com/docs.fortinet.com/fsiem/Public_Resource_Access/7_6_0/rules/PH_RULE_Powershell_DNSExfiltration.htm</t>
  </si>
  <si>
    <t xml:space="preserve">PH_Rule_windows_SIGMA_3079</t>
  </si>
  <si>
    <t xml:space="preserve">Windows: PowerShell Downgrade Attack - PowerShell</t>
  </si>
  <si>
    <t xml:space="preserve">https://filestore.fortinet.com/docs.fortinet.com/fsiem/Public_Resource_Access/7_6_0/rules/PH_RULE_PowerShell_Downgrade_Attack_PowerShell.htm</t>
  </si>
  <si>
    <t xml:space="preserve">PH_Rule_SIGMA_1597</t>
  </si>
  <si>
    <t xml:space="preserve">Windows: PowerShell Download and Execution Cradles</t>
  </si>
  <si>
    <t xml:space="preserve">https://filestore.fortinet.com/docs.fortinet.com/fsiem/Public_Resource_Access/7_6_0/rules/PH_RULE_PowerShell_Web_Download_and_Execution.htm</t>
  </si>
  <si>
    <t xml:space="preserve">PH_Rule_windows_SIGMA_3080</t>
  </si>
  <si>
    <t xml:space="preserve">Windows: PowerShell Download Via Net.WebClient - PowerShell Classic</t>
  </si>
  <si>
    <t xml:space="preserve">https://filestore.fortinet.com/docs.fortinet.com/fsiem/Public_Resource_Access/7_6_0/rules/PH_RULE_PowerShell_Download_Via_Net_WebClient_PowerShell_Classic.htm</t>
  </si>
  <si>
    <t xml:space="preserve">PH_Rule_windows_SIGMA_3226</t>
  </si>
  <si>
    <t xml:space="preserve">Windows: Powershell Execute Batch Script</t>
  </si>
  <si>
    <t xml:space="preserve">https://filestore.fortinet.com/docs.fortinet.com/fsiem/Public_Resource_Access/7_6_0/rules/PH_RULE_Powershell_Execute_Batch_Script.htm</t>
  </si>
  <si>
    <t xml:space="preserve">PH_Rule_windows_SIGMA_3328</t>
  </si>
  <si>
    <t xml:space="preserve">Windows: Powershell Executed From Headless ConHost Process</t>
  </si>
  <si>
    <t xml:space="preserve">https://filestore.fortinet.com/docs.fortinet.com/fsiem/Public_Resource_Access/7_6_0/rules/PH_RULE_Powershell_Executed_From_Headless_ConHost_Process.htm</t>
  </si>
  <si>
    <t xml:space="preserve">PH_Rule_windows_SIGMA_3431</t>
  </si>
  <si>
    <t xml:space="preserve">Windows: PowerShell Execution With Potential Decryption Capabilities</t>
  </si>
  <si>
    <t xml:space="preserve">https://filestore.fortinet.com/docs.fortinet.com/fsiem/Public_Resource_Access/7_6_0/rules/PH_RULE_PowerShell_Execution_With_Potential_Decryption_Capabilities.htm</t>
  </si>
  <si>
    <t xml:space="preserve">PH_Rule_windows_SIGMA_3097</t>
  </si>
  <si>
    <t xml:space="preserve">Windows: PowerShell Get Clipboard</t>
  </si>
  <si>
    <t xml:space="preserve">https://filestore.fortinet.com/docs.fortinet.com/fsiem/Public_Resource_Access/7_6_0/rules/PH_RULE_PowerShell_Get_Clipboard.htm</t>
  </si>
  <si>
    <t xml:space="preserve">PH_Rule_SIGMA_2440</t>
  </si>
  <si>
    <t xml:space="preserve">Windows: PowerShell Get-Clipboard Cmdlet Via CLI</t>
  </si>
  <si>
    <t xml:space="preserve">https://filestore.fortinet.com/docs.fortinet.com/fsiem/Public_Resource_Access/7_6_0/rules/PH_RULE_PowerShell_Get_Clipboard_Cmdlet_Via_CLI.htm</t>
  </si>
  <si>
    <t xml:space="preserve">PH_Rule_windows_SIGMA_3168</t>
  </si>
  <si>
    <t xml:space="preserve">Windows: PowerShell Hotfix Enumeration</t>
  </si>
  <si>
    <t xml:space="preserve">https://filestore.fortinet.com/docs.fortinet.com/fsiem/Public_Resource_Access/7_6_0/rules/PH_RULE_PowerShell_Hotfix_Enumeration.htm</t>
  </si>
  <si>
    <t xml:space="preserve">PH_Rule_windows_SIGMA_3169</t>
  </si>
  <si>
    <t xml:space="preserve">Windows: PowerShell ICMP Exfiltration</t>
  </si>
  <si>
    <t xml:space="preserve">https://filestore.fortinet.com/docs.fortinet.com/fsiem/Public_Resource_Access/7_6_0/rules/PH_RULE_PowerShell_ICMP_Exfiltration.htm</t>
  </si>
  <si>
    <t xml:space="preserve">PH_Rule_SIGMA_2438</t>
  </si>
  <si>
    <t xml:space="preserve">Windows: Powershell Inline Execution From A File</t>
  </si>
  <si>
    <t xml:space="preserve">https://filestore.fortinet.com/docs.fortinet.com/fsiem/Public_Resource_Access/7_6_0/rules/PH_RULE_Powershell_Inline_Execution_From_A_File.htm</t>
  </si>
  <si>
    <t xml:space="preserve">PH_Rule_windows_SIGMA_3185</t>
  </si>
  <si>
    <t xml:space="preserve">Windows: Powershell Keylogging</t>
  </si>
  <si>
    <t xml:space="preserve">https://filestore.fortinet.com/docs.fortinet.com/fsiem/Public_Resource_Access/7_6_0/rules/PH_RULE_Powershell_Keylogging.htm</t>
  </si>
  <si>
    <t xml:space="preserve">PH_Rule_windows_SIGMA_3243</t>
  </si>
  <si>
    <t xml:space="preserve">Windows: Powershell Local Email Collection</t>
  </si>
  <si>
    <t xml:space="preserve">https://filestore.fortinet.com/docs.fortinet.com/fsiem/Public_Resource_Access/7_6_0/rules/PH_RULE_Powershell_Local_Email_Collection.htm</t>
  </si>
  <si>
    <t xml:space="preserve">PH_Rule_windows_SIGMA_3186</t>
  </si>
  <si>
    <t xml:space="preserve">Windows: Powershell LocalAccount Manipulation</t>
  </si>
  <si>
    <t xml:space="preserve">https://filestore.fortinet.com/docs.fortinet.com/fsiem/Public_Resource_Access/7_6_0/rules/PH_RULE_Powershell_LocalAccount_Manipulation.htm</t>
  </si>
  <si>
    <t xml:space="preserve">PH_Rule_windows_SIGMA_3773</t>
  </si>
  <si>
    <t xml:space="preserve">Windows: PowerShell Logging Disabled Via Registry Key Tampering</t>
  </si>
  <si>
    <t xml:space="preserve">https://filestore.fortinet.com/docs.fortinet.com/fsiem/Public_Resource_Access/7_6_0/rules/PH_RULE_PowerShell_Logging_Disabled_Via_Registry_Key_Tampering.htm</t>
  </si>
  <si>
    <t xml:space="preserve">PH_Rule_SIGMA_1985</t>
  </si>
  <si>
    <t xml:space="preserve">Windows: PowerShell Module File Created</t>
  </si>
  <si>
    <t xml:space="preserve">https://filestore.fortinet.com/docs.fortinet.com/fsiem/Public_Resource_Access/7_6_0/rules/PH_RULE_PowerShell_Module_File_Created.htm</t>
  </si>
  <si>
    <t xml:space="preserve">PH_Rule_SIGMA_1987</t>
  </si>
  <si>
    <t xml:space="preserve">Windows: PowerShell Module File Created By Non-PowerShell Process</t>
  </si>
  <si>
    <t xml:space="preserve">https://filestore.fortinet.com/docs.fortinet.com/fsiem/Public_Resource_Access/7_6_0/rules/PH_RULE_PowerShell_Module_File_Created_By_Non_PowerShell_Process.htm</t>
  </si>
  <si>
    <t xml:space="preserve">PH_Rule_windows_SIGMA_3429</t>
  </si>
  <si>
    <t xml:space="preserve">Windows: PowerShell MSI Install via WindowsInstaller COM From Remote Location</t>
  </si>
  <si>
    <t xml:space="preserve">https://filestore.fortinet.com/docs.fortinet.com/fsiem/Public_Resource_Access/7_6_0/rules/PH_RULE_PowerShell_MSI_Install_via_WindowsInstaller_COM_From_Remote_Location.htm</t>
  </si>
  <si>
    <t xml:space="preserve">PH_Rule_windows_SIGMA_3193</t>
  </si>
  <si>
    <t xml:space="preserve">Windows: Powershell MsXml COM Object</t>
  </si>
  <si>
    <t xml:space="preserve">https://filestore.fortinet.com/docs.fortinet.com/fsiem/Public_Resource_Access/7_6_0/rules/PH_RULE_Powershell_MsXml_COM_Object.htm</t>
  </si>
  <si>
    <t xml:space="preserve">PH_Rule_TH_ES_WINDOWS_9</t>
  </si>
  <si>
    <t xml:space="preserve">Windows: Powershell opening TCP Connection</t>
  </si>
  <si>
    <t xml:space="preserve">https://filestore.fortinet.com/docs.fortinet.com/fsiem/Public_Resource_Access/7_6_0/rules/PH_RULE_HAFNIUM_NISHANG_CMDLET.htm</t>
  </si>
  <si>
    <t xml:space="preserve">PH_Rule_SIGMA_375</t>
  </si>
  <si>
    <t xml:space="preserve">Windows: PowerShell Profile Modification</t>
  </si>
  <si>
    <t xml:space="preserve">https://filestore.fortinet.com/docs.fortinet.com/fsiem/Public_Resource_Access/7_6_0/rules/PH_RULE_Powershell_Profile_ps1_Modification.htm</t>
  </si>
  <si>
    <t xml:space="preserve">PH_Rule_windows_SIGMA_3204</t>
  </si>
  <si>
    <t xml:space="preserve">Windows: PowerShell PSAttack</t>
  </si>
  <si>
    <t xml:space="preserve">https://filestore.fortinet.com/docs.fortinet.com/fsiem/Public_Resource_Access/7_6_0/rules/PH_RULE_PowerShell_PSAttack.htm</t>
  </si>
  <si>
    <t xml:space="preserve">PH_Rule_windows_SIGMA_3205</t>
  </si>
  <si>
    <t xml:space="preserve">Windows: PowerShell Remote Session Creation</t>
  </si>
  <si>
    <t xml:space="preserve">https://filestore.fortinet.com/docs.fortinet.com/fsiem/Public_Resource_Access/7_6_0/rules/PH_RULE_PowerShell_Remote_Session_Creation.htm</t>
  </si>
  <si>
    <t xml:space="preserve">PH_Rule_windows_SIGMA_3440</t>
  </si>
  <si>
    <t xml:space="preserve">Windows: PowerShell Script Change Permission Via Set-Acl</t>
  </si>
  <si>
    <t xml:space="preserve">https://filestore.fortinet.com/docs.fortinet.com/fsiem/Public_Resource_Access/7_6_0/rules/PH_RULE_PowerShell_Script_Change_Permission_Via_Set_Acl.htm</t>
  </si>
  <si>
    <t xml:space="preserve">PH_Rule_windows_SIGMA_3213</t>
  </si>
  <si>
    <t xml:space="preserve">Windows: PowerShell Script Change Permission Via Set-Acl - PsScript</t>
  </si>
  <si>
    <t xml:space="preserve">https://filestore.fortinet.com/docs.fortinet.com/fsiem/Public_Resource_Access/7_6_0/rules/PH_RULE_PowerShell_Script_Change_Permission_Via_Set_Acl_PsScript.htm</t>
  </si>
  <si>
    <t xml:space="preserve">PH_Rule_SIGMA_1983</t>
  </si>
  <si>
    <t xml:space="preserve">Windows: PowerShell Script Dropped Via PowerShell.EXE</t>
  </si>
  <si>
    <t xml:space="preserve">https://filestore.fortinet.com/docs.fortinet.com/fsiem/Public_Resource_Access/7_6_0/rules/PH_RULE_PowerShell_Script_Dropped_Via_PowerShell_EXE.htm</t>
  </si>
  <si>
    <t xml:space="preserve">PH_Rule_windows_SIGMA_3770</t>
  </si>
  <si>
    <t xml:space="preserve">Windows: PowerShell Script Execution Policy Enabled</t>
  </si>
  <si>
    <t xml:space="preserve">https://filestore.fortinet.com/docs.fortinet.com/fsiem/Public_Resource_Access/7_6_0/rules/PH_RULE_PowerShell_Script_Execution_Policy_Enabled.htm</t>
  </si>
  <si>
    <t xml:space="preserve">PH_Rule_SIGMA_584</t>
  </si>
  <si>
    <t xml:space="preserve">Windows: PowerShell Script Run in AppData</t>
  </si>
  <si>
    <t xml:space="preserve">https://filestore.fortinet.com/docs.fortinet.com/fsiem/Public_Resource_Access/7_6_0/rules/PH_RULE_PowerShell_Script_Run_in_AppData.htm</t>
  </si>
  <si>
    <t xml:space="preserve">PH_Rule_windows_SIGMA_3208</t>
  </si>
  <si>
    <t xml:space="preserve">Windows: PowerShell Script With File Hostname Resolving Capabilities</t>
  </si>
  <si>
    <t xml:space="preserve">https://filestore.fortinet.com/docs.fortinet.com/fsiem/Public_Resource_Access/7_6_0/rules/PH_RULE_PowerShell_Script_With_File_Hostname_Resolving_Capabilities.htm</t>
  </si>
  <si>
    <t xml:space="preserve">PH_Rule_windows_SIGMA_3211</t>
  </si>
  <si>
    <t xml:space="preserve">Windows: PowerShell Script With File Upload Capabilities</t>
  </si>
  <si>
    <t xml:space="preserve">https://filestore.fortinet.com/docs.fortinet.com/fsiem/Public_Resource_Access/7_6_0/rules/PH_RULE_PowerShell_Script_With_File_Upload_Capabilities.htm</t>
  </si>
  <si>
    <t xml:space="preserve">PH_Rule_SIGMA_1141</t>
  </si>
  <si>
    <t xml:space="preserve">Windows: PowerShell Scripts Installed as Services</t>
  </si>
  <si>
    <t xml:space="preserve">https://filestore.fortinet.com/docs.fortinet.com/fsiem/Public_Resource_Access/7_6_0/rules/PH_RULE_PowerShell_Scripts_Installed_as_Services.htm</t>
  </si>
  <si>
    <t xml:space="preserve">PH_Rule_windows_SIGMA_3212</t>
  </si>
  <si>
    <t xml:space="preserve">Windows: Powershell Sensitive File Discovery</t>
  </si>
  <si>
    <t xml:space="preserve">https://filestore.fortinet.com/docs.fortinet.com/fsiem/Public_Resource_Access/7_6_0/rules/PH_RULE_Powershell_Sensitive_File_Discovery.htm</t>
  </si>
  <si>
    <t xml:space="preserve">PH_Rule_windows_SIGMA_3441</t>
  </si>
  <si>
    <t xml:space="preserve">Windows: PowerShell Set-Acl On Windows Folder</t>
  </si>
  <si>
    <t xml:space="preserve">https://filestore.fortinet.com/docs.fortinet.com/fsiem/Public_Resource_Access/7_6_0/rules/PH_RULE_PowerShell_Set_Acl_On_Windows_Folder.htm</t>
  </si>
  <si>
    <t xml:space="preserve">PH_Rule_windows_SIGMA_3214</t>
  </si>
  <si>
    <t xml:space="preserve">Windows: PowerShell Set-Acl On Windows Folder - PsScript</t>
  </si>
  <si>
    <t xml:space="preserve">https://filestore.fortinet.com/docs.fortinet.com/fsiem/Public_Resource_Access/7_6_0/rules/PH_RULE_PowerShell_Set_Acl_On_Windows_Folder_PsScript.htm</t>
  </si>
  <si>
    <t xml:space="preserve">PH_Rule_windows_SIGMA_3216</t>
  </si>
  <si>
    <t xml:space="preserve">Windows: PowerShell ShellCode</t>
  </si>
  <si>
    <t xml:space="preserve">https://filestore.fortinet.com/docs.fortinet.com/fsiem/Public_Resource_Access/7_6_0/rules/PH_RULE_PowerShell_ShellCode.htm</t>
  </si>
  <si>
    <t xml:space="preserve">PH_Rule_windows_SIGMA_3219</t>
  </si>
  <si>
    <t xml:space="preserve">Windows: Powershell Store File In Alternate Data Stream</t>
  </si>
  <si>
    <t xml:space="preserve">https://filestore.fortinet.com/docs.fortinet.com/fsiem/Public_Resource_Access/7_6_0/rules/PH_RULE_Powershell_Store_File_In_Alternate_Data_Stream.htm</t>
  </si>
  <si>
    <t xml:space="preserve">PH_Rule_windows_SIGMA_3258</t>
  </si>
  <si>
    <t xml:space="preserve">Windows: Powershell Suspicious Win32-PnPEntity</t>
  </si>
  <si>
    <t xml:space="preserve">https://filestore.fortinet.com/docs.fortinet.com/fsiem/Public_Resource_Access/7_6_0/rules/PH_RULE_Powershell_Suspicious_Win32_PnPEntity.htm</t>
  </si>
  <si>
    <t xml:space="preserve">PH_Rule_windows_SIGMA_3267</t>
  </si>
  <si>
    <t xml:space="preserve">Windows: Powershell Timestomp</t>
  </si>
  <si>
    <t xml:space="preserve">https://filestore.fortinet.com/docs.fortinet.com/fsiem/Public_Resource_Access/7_6_0/rules/PH_RULE_Powershell_Timestomp.htm</t>
  </si>
  <si>
    <t xml:space="preserve">PH_Rule_SIGMA_2455</t>
  </si>
  <si>
    <t xml:space="preserve">Windows: Powershell Token Obfuscation - Process Creation</t>
  </si>
  <si>
    <t xml:space="preserve">https://filestore.fortinet.com/docs.fortinet.com/fsiem/Public_Resource_Access/7_6_0/rules/PH_RULE_Powershell_Token_Obfuscation_Process_Creation.htm</t>
  </si>
  <si>
    <t xml:space="preserve">PH_Rule_windows_SIGMA_3201</t>
  </si>
  <si>
    <t xml:space="preserve">Windows: PowerShell Web Access Installation - PsScript</t>
  </si>
  <si>
    <t xml:space="preserve">https://filestore.fortinet.com/docs.fortinet.com/fsiem/Public_Resource_Access/7_6_0/rules/PH_RULE_PowerShell_Web_Access_Installation_PsScript.htm</t>
  </si>
  <si>
    <t xml:space="preserve">PH_Rule_windows_SIGMA_3280</t>
  </si>
  <si>
    <t xml:space="preserve">Windows: Powershell WMI Persistence</t>
  </si>
  <si>
    <t xml:space="preserve">https://filestore.fortinet.com/docs.fortinet.com/fsiem/Public_Resource_Access/7_6_0/rules/PH_RULE_Powershell_WMI_Persistence.htm</t>
  </si>
  <si>
    <t xml:space="preserve">PH_Rule_windows_SIGMA_3275</t>
  </si>
  <si>
    <t xml:space="preserve">Windows: PowerShell WMI Win32-Product Install MSI</t>
  </si>
  <si>
    <t xml:space="preserve">https://filestore.fortinet.com/docs.fortinet.com/fsiem/Public_Resource_Access/7_6_0/rules/PH_RULE_PowerShell_WMI_Win32_Product_Install_MSI.htm</t>
  </si>
  <si>
    <t xml:space="preserve">PH_Rule_windows_SIGMA_3261</t>
  </si>
  <si>
    <t xml:space="preserve">Windows: PowerShell Write-EventLog Usage</t>
  </si>
  <si>
    <t xml:space="preserve">https://filestore.fortinet.com/docs.fortinet.com/fsiem/Public_Resource_Access/7_6_0/rules/PH_RULE_PowerShell_Write_EventLog_Usage.htm</t>
  </si>
  <si>
    <t xml:space="preserve">PH_Rule_SIGMA_840</t>
  </si>
  <si>
    <t xml:space="preserve">Windows: PowerShell Writing Startup Shortcuts</t>
  </si>
  <si>
    <t xml:space="preserve">https://filestore.fortinet.com/docs.fortinet.com/fsiem/Public_Resource_Access/7_6_0/rules/PH_RULE_PowerShell_Writing_Startup_Shortcuts.htm</t>
  </si>
  <si>
    <t xml:space="preserve">PH_Rule_windows_SIGMA_3284</t>
  </si>
  <si>
    <t xml:space="preserve">Windows: Powershell XML Execute Command</t>
  </si>
  <si>
    <t xml:space="preserve">https://filestore.fortinet.com/docs.fortinet.com/fsiem/Public_Resource_Access/7_6_0/rules/PH_RULE_Powershell_XML_Execute_Command.htm</t>
  </si>
  <si>
    <t xml:space="preserve">PH_Rule_SIGMA_893</t>
  </si>
  <si>
    <t xml:space="preserve">Windows: Powerup Write Hijack DLL</t>
  </si>
  <si>
    <t xml:space="preserve">https://filestore.fortinet.com/docs.fortinet.com/fsiem/Public_Resource_Access/7_6_0/rules/PH_RULE_Powerup_Write_Hijack_DLL.htm</t>
  </si>
  <si>
    <t xml:space="preserve">PH_Rule_windows_SIGMA_3202</t>
  </si>
  <si>
    <t xml:space="preserve">Windows: PowerView PowerShell Cmdlets - ScriptBlock</t>
  </si>
  <si>
    <t xml:space="preserve">https://filestore.fortinet.com/docs.fortinet.com/fsiem/Public_Resource_Access/7_6_0/rules/PH_RULE_PowerView_PowerShell_Cmdlets_ScriptBlock.htm</t>
  </si>
  <si>
    <t xml:space="preserve">PH_Rule_windows_SIGMA_2938</t>
  </si>
  <si>
    <t xml:space="preserve">Windows: Prefetch File Deleted</t>
  </si>
  <si>
    <t xml:space="preserve">https://filestore.fortinet.com/docs.fortinet.com/fsiem/Public_Resource_Access/7_6_0/rules/PH_RULE_Prefetch_File_Deleted.htm</t>
  </si>
  <si>
    <t xml:space="preserve">PH_Rule_windows_SIGMA_2809</t>
  </si>
  <si>
    <t xml:space="preserve">Windows: Previously Installed IIS Module Was Removed</t>
  </si>
  <si>
    <t xml:space="preserve">https://filestore.fortinet.com/docs.fortinet.com/fsiem/Public_Resource_Access/7_6_0/rules/PH_RULE_Previously_Installed_IIS_Module_Was_Removed.htm</t>
  </si>
  <si>
    <t xml:space="preserve">PH_Rule_SIGMA_1389</t>
  </si>
  <si>
    <t xml:space="preserve">Windows: PrintBrm ZIP Creation of Extraction</t>
  </si>
  <si>
    <t xml:space="preserve">https://filestore.fortinet.com/docs.fortinet.com/fsiem/Public_Resource_Access/7_6_0/rules/PH_RULE_PrintBrm_ZIP_Creation_of_Extraction.htm</t>
  </si>
  <si>
    <t xml:space="preserve">PH_Rule_SIGMA_2563</t>
  </si>
  <si>
    <t xml:space="preserve">Windows: Privilege Escalation via Named Pipe Impersonation</t>
  </si>
  <si>
    <t xml:space="preserve">https://filestore.fortinet.com/docs.fortinet.com/fsiem/Public_Resource_Access/7_6_0/rules/PH_RULE_Privilege_Escalation_via_Named_Pipe_Impersonation.htm</t>
  </si>
  <si>
    <t xml:space="preserve">PH_Rule_SIGMA_2569</t>
  </si>
  <si>
    <t xml:space="preserve">Windows: Process Creation Using Sysnative Folder</t>
  </si>
  <si>
    <t xml:space="preserve">https://filestore.fortinet.com/docs.fortinet.com/fsiem/Public_Resource_Access/7_6_0/rules/PH_RULE_Process_Creation_Using_Sysnative_Folder.htm</t>
  </si>
  <si>
    <t xml:space="preserve">PH_Rule_windows_SIGMA_2936</t>
  </si>
  <si>
    <t xml:space="preserve">Windows: Process Deletion of Its Own Executable</t>
  </si>
  <si>
    <t xml:space="preserve">https://filestore.fortinet.com/docs.fortinet.com/fsiem/Public_Resource_Access/7_6_0/rules/PH_RULE_Process_Deletion_of_Its_Own_Executable.htm</t>
  </si>
  <si>
    <t xml:space="preserve">PH_Rule_SIGMA_554</t>
  </si>
  <si>
    <t xml:space="preserve">Windows: Process Execution From A Potentially Suspicious Folder</t>
  </si>
  <si>
    <t xml:space="preserve">https://filestore.fortinet.com/docs.fortinet.com/fsiem/Public_Resource_Access/7_6_0/rules/PH_RULE_Execution_in_Non_Executable_Folder.htm</t>
  </si>
  <si>
    <t xml:space="preserve">PH_Rule_windows_SIGMA_3045</t>
  </si>
  <si>
    <t xml:space="preserve">Windows: Process Initiated Network Connection To Ngrok Domain</t>
  </si>
  <si>
    <t xml:space="preserve">https://filestore.fortinet.com/docs.fortinet.com/fsiem/Public_Resource_Access/7_6_0/rules/PH_RULE_Process_Initiated_Network_Connection_To_Ngrok_Domain.htm</t>
  </si>
  <si>
    <t xml:space="preserve">PH_Rule_windows_SIGMA_3548</t>
  </si>
  <si>
    <t xml:space="preserve">Windows: Process Launched Without Image Name</t>
  </si>
  <si>
    <t xml:space="preserve">https://filestore.fortinet.com/docs.fortinet.com/fsiem/Public_Resource_Access/7_6_0/rules/PH_RULE_Process_Launched_Without_Image_Name.htm</t>
  </si>
  <si>
    <t xml:space="preserve">PH_Rule_SIGMA_2612</t>
  </si>
  <si>
    <t xml:space="preserve">Windows: Process Reconnaissance Via Wmic.EXE</t>
  </si>
  <si>
    <t xml:space="preserve">https://filestore.fortinet.com/docs.fortinet.com/fsiem/Public_Resource_Access/7_6_0/rules/PH_RULE_Process_Reconnaissance_Via_Wmic_EXE.htm</t>
  </si>
  <si>
    <t xml:space="preserve">PH_Rule_SIGMA_1148</t>
  </si>
  <si>
    <t xml:space="preserve">Windows: ProcessHacker Privilege Elevation</t>
  </si>
  <si>
    <t xml:space="preserve">https://filestore.fortinet.com/docs.fortinet.com/fsiem/Public_Resource_Access/7_6_0/rules/PH_RULE_ProcessHacker_Privilege_Elevation.htm</t>
  </si>
  <si>
    <t xml:space="preserve">PH_Rule_SIGMA_2383</t>
  </si>
  <si>
    <t xml:space="preserve">Windows: Program Executed Using Proxy/Local Command Via SSH.EXE</t>
  </si>
  <si>
    <t xml:space="preserve">https://filestore.fortinet.com/docs.fortinet.com/fsiem/Public_Resource_Access/7_6_0/rules/PH_RULE_Lolbin_Ssh_exe_Use_As_Proxy.htm</t>
  </si>
  <si>
    <t xml:space="preserve">PH_Rule_windows_SIGMA_3577</t>
  </si>
  <si>
    <t xml:space="preserve">Windows: Proxy Execution via Vshadow</t>
  </si>
  <si>
    <t xml:space="preserve">https://filestore.fortinet.com/docs.fortinet.com/fsiem/Public_Resource_Access/7_6_0/rules/PH_RULE_Proxy_Execution_via_Vshadow.htm</t>
  </si>
  <si>
    <t xml:space="preserve">PH_Rule_SIGMA_1470</t>
  </si>
  <si>
    <t xml:space="preserve">Windows: Proxy Execution via Wuauclt</t>
  </si>
  <si>
    <t xml:space="preserve">https://filestore.fortinet.com/docs.fortinet.com/fsiem/Public_Resource_Access/7_6_0/rules/PH_RULE_Proxy_Execution_via_Wuauclt.htm</t>
  </si>
  <si>
    <t xml:space="preserve">PH_Rule_windows_SIGMA_2810</t>
  </si>
  <si>
    <t xml:space="preserve">Windows: ProxyLogon MSExchange OabVirtualDirectory</t>
  </si>
  <si>
    <t xml:space="preserve">https://filestore.fortinet.com/docs.fortinet.com/fsiem/Public_Resource_Access/7_6_0/rules/PH_RULE_ProxyLogon_MSExchange_OabVirtualDirectory.htm</t>
  </si>
  <si>
    <t xml:space="preserve">PH_Rule_windows_SIGMA_3200</t>
  </si>
  <si>
    <t xml:space="preserve">Windows: PSAsyncShell - Asynchronous TCP Reverse Shell</t>
  </si>
  <si>
    <t xml:space="preserve">https://filestore.fortinet.com/docs.fortinet.com/fsiem/Public_Resource_Access/7_6_0/rules/PH_RULE_PSAsyncShell_Asynchronous_TCP_Reverse_Shell.htm</t>
  </si>
  <si>
    <t xml:space="preserve">PH_Rule_windows_SIGMA_2873</t>
  </si>
  <si>
    <t xml:space="preserve">Windows: PSExec and WMI Process Creations Block</t>
  </si>
  <si>
    <t xml:space="preserve">https://filestore.fortinet.com/docs.fortinet.com/fsiem/Public_Resource_Access/7_6_0/rules/PH_RULE_PSExec_and_WMI_Process_Creations_Block.htm</t>
  </si>
  <si>
    <t xml:space="preserve">PH_Rule_SIGMA_493</t>
  </si>
  <si>
    <t xml:space="preserve">Windows: Psexec Execution</t>
  </si>
  <si>
    <t xml:space="preserve">https://filestore.fortinet.com/docs.fortinet.com/fsiem/Public_Resource_Access/7_6_0/rules/PH_RULE_PsExec_Service_Start.htm</t>
  </si>
  <si>
    <t xml:space="preserve">PH_Rule_SIGMA_2575</t>
  </si>
  <si>
    <t xml:space="preserve">Windows: PsExec Service Child Process Execution as LOCAL SYSTEM</t>
  </si>
  <si>
    <t xml:space="preserve">https://filestore.fortinet.com/docs.fortinet.com/fsiem/Public_Resource_Access/7_6_0/rules/PH_RULE_PsExec_Service_Child_Process_Execution_as_LOCAL_SYSTEM.htm</t>
  </si>
  <si>
    <t xml:space="preserve">PH_Rule_SIGMA_2574</t>
  </si>
  <si>
    <t xml:space="preserve">Windows: PsExec Service Execution</t>
  </si>
  <si>
    <t xml:space="preserve">https://filestore.fortinet.com/docs.fortinet.com/fsiem/Public_Resource_Access/7_6_0/rules/PH_RULE_PsExec_Service_Execution.htm</t>
  </si>
  <si>
    <t xml:space="preserve">PH_Rule_SIGMA_2002</t>
  </si>
  <si>
    <t xml:space="preserve">Windows: PsExec Service File Creation</t>
  </si>
  <si>
    <t xml:space="preserve">https://filestore.fortinet.com/docs.fortinet.com/fsiem/Public_Resource_Access/7_6_0/rules/PH_RULE_PsExec_Service_File_Creation.htm</t>
  </si>
  <si>
    <t xml:space="preserve">PH_Rule_windows_SIGMA_2867</t>
  </si>
  <si>
    <t xml:space="preserve">Windows: PsExec Service Installation</t>
  </si>
  <si>
    <t xml:space="preserve">https://filestore.fortinet.com/docs.fortinet.com/fsiem/Public_Resource_Access/7_6_0/rules/PH_RULE_PsExec_Service_Installation.htm</t>
  </si>
  <si>
    <t xml:space="preserve">PH_Rule_windows_SIGMA_3076</t>
  </si>
  <si>
    <t xml:space="preserve">Windows: PsExec Tool Execution From Suspicious Locations - PipeName</t>
  </si>
  <si>
    <t xml:space="preserve">https://filestore.fortinet.com/docs.fortinet.com/fsiem/Public_Resource_Access/7_6_0/rules/PH_RULE_PsExec_Tool_Execution_From_Suspicious_Locations_PipeName.htm</t>
  </si>
  <si>
    <t xml:space="preserve">PH_Rule_SIGMA_1609</t>
  </si>
  <si>
    <t xml:space="preserve">Windows: PsExec/PAExec Escalation to LOCAL SYSTEM</t>
  </si>
  <si>
    <t xml:space="preserve">https://filestore.fortinet.com/docs.fortinet.com/fsiem/Public_Resource_Access/7_6_0/rules/PH_RULE_PsExec_PAExec_Escalation_to_LOCAL_SYSTEM.htm</t>
  </si>
  <si>
    <t xml:space="preserve">PH_Rule_windows_SIGMA_2965</t>
  </si>
  <si>
    <t xml:space="preserve">Windows: PSScriptPolicyTest Creation By Uncommon Process</t>
  </si>
  <si>
    <t xml:space="preserve">https://filestore.fortinet.com/docs.fortinet.com/fsiem/Public_Resource_Access/7_6_0/rules/PH_RULE_PSScriptPolicyTest_Creation_By_Uncommon_Process.htm</t>
  </si>
  <si>
    <t xml:space="preserve">PH_Rule_SIGMA_2460</t>
  </si>
  <si>
    <t xml:space="preserve">Windows: PUA - 3Proxy Execution</t>
  </si>
  <si>
    <t xml:space="preserve">https://filestore.fortinet.com/docs.fortinet.com/fsiem/Public_Resource_Access/7_6_0/rules/PH_RULE_PUA_3Proxy_Execution.htm</t>
  </si>
  <si>
    <t xml:space="preserve">PH_Rule_SIGMA_1528</t>
  </si>
  <si>
    <t xml:space="preserve">Windows: PUA - AdFind Suspicious Execution</t>
  </si>
  <si>
    <t xml:space="preserve">https://filestore.fortinet.com/docs.fortinet.com/fsiem/Public_Resource_Access/7_6_0/rules/PH_RULE_Suspicious_AdFind_Execution.htm</t>
  </si>
  <si>
    <t xml:space="preserve">PH_Rule_SIGMA_879</t>
  </si>
  <si>
    <t xml:space="preserve">Windows: PUA - Advanced IP Scanner Execution</t>
  </si>
  <si>
    <t xml:space="preserve">https://filestore.fortinet.com/docs.fortinet.com/fsiem/Public_Resource_Access/7_6_0/rules/PH_RULE_Advanced_IP_Scanner.htm</t>
  </si>
  <si>
    <t xml:space="preserve">PH_Rule_SIGMA_1748</t>
  </si>
  <si>
    <t xml:space="preserve">Windows: PUA - Advanced Port Scanner Execution</t>
  </si>
  <si>
    <t xml:space="preserve">https://filestore.fortinet.com/docs.fortinet.com/fsiem/Public_Resource_Access/7_6_0/rules/PH_RULE_Advanced_Port_Scanner.htm</t>
  </si>
  <si>
    <t xml:space="preserve">PH_Rule_SIGMA_1531</t>
  </si>
  <si>
    <t xml:space="preserve">Windows: PUA - AdvancedRun Execution</t>
  </si>
  <si>
    <t xml:space="preserve">https://filestore.fortinet.com/docs.fortinet.com/fsiem/Public_Resource_Access/7_6_0/rules/PH_RULE_Suspicious_AdvancedRun_Execution.htm</t>
  </si>
  <si>
    <t xml:space="preserve">PH_Rule_SIGMA_1532</t>
  </si>
  <si>
    <t xml:space="preserve">Windows: PUA - AdvancedRun Suspicious Execution</t>
  </si>
  <si>
    <t xml:space="preserve">https://filestore.fortinet.com/docs.fortinet.com/fsiem/Public_Resource_Access/7_6_0/rules/PH_RULE_Suspicious_AdvancedRun_Runas_Priv_User.htm</t>
  </si>
  <si>
    <t xml:space="preserve">PH_Rule_SIGMA_2461</t>
  </si>
  <si>
    <t xml:space="preserve">Windows: PUA - Chisel Tunneling Tool Execution</t>
  </si>
  <si>
    <t xml:space="preserve">https://filestore.fortinet.com/docs.fortinet.com/fsiem/Public_Resource_Access/7_6_0/rules/PH_RULE_PUA_Chisel_Tunneling_Tool_Execution.htm</t>
  </si>
  <si>
    <t xml:space="preserve">PH_Rule_SIGMA_2462</t>
  </si>
  <si>
    <t xml:space="preserve">Windows: PUA - Crassus Execution</t>
  </si>
  <si>
    <t xml:space="preserve">https://filestore.fortinet.com/docs.fortinet.com/fsiem/Public_Resource_Access/7_6_0/rules/PH_RULE_PUA_Crassus_Execution.htm</t>
  </si>
  <si>
    <t xml:space="preserve">PH_Rule_SIGMA_2463</t>
  </si>
  <si>
    <t xml:space="preserve">Windows: PUA - CsExec Execution</t>
  </si>
  <si>
    <t xml:space="preserve">https://filestore.fortinet.com/docs.fortinet.com/fsiem/Public_Resource_Access/7_6_0/rules/PH_RULE_PUA_CsExec_Execution.htm</t>
  </si>
  <si>
    <t xml:space="preserve">PH_Rule_SIGMA_2464</t>
  </si>
  <si>
    <t xml:space="preserve">Windows: PUA - DefenderCheck Execution</t>
  </si>
  <si>
    <t xml:space="preserve">https://filestore.fortinet.com/docs.fortinet.com/fsiem/Public_Resource_Access/7_6_0/rules/PH_RULE_PUA_DefenderCheck_Execution.htm</t>
  </si>
  <si>
    <t xml:space="preserve">PH_Rule_SIGMA_2465</t>
  </si>
  <si>
    <t xml:space="preserve">Windows: PUA - Fast Reverse Proxy FRP Execution</t>
  </si>
  <si>
    <t xml:space="preserve">https://filestore.fortinet.com/docs.fortinet.com/fsiem/Public_Resource_Access/7_6_0/rules/PH_RULE_PUA_Fast_Reverse_Proxy_FRP_Execution.htm</t>
  </si>
  <si>
    <t xml:space="preserve">PH_Rule_windows_SIGMA_3448</t>
  </si>
  <si>
    <t xml:space="preserve">Windows: PUA - Kernel Driver Utility KDU Execution</t>
  </si>
  <si>
    <t xml:space="preserve">https://filestore.fortinet.com/docs.fortinet.com/fsiem/Public_Resource_Access/7_6_0/rules/PH_RULE_PUA_Kernel_Driver_Utility_KDU_Execution.htm</t>
  </si>
  <si>
    <t xml:space="preserve">PH_Rule_SIGMA_459</t>
  </si>
  <si>
    <t xml:space="preserve">Windows: PUA - Mouse Lock Execution</t>
  </si>
  <si>
    <t xml:space="preserve">https://filestore.fortinet.com/docs.fortinet.com/fsiem/Public_Resource_Access/7_6_0/rules/PH_RULE_Mouse_Lock_Credential_Gathering.htm</t>
  </si>
  <si>
    <t xml:space="preserve">PH_Rule_SIGMA_2467</t>
  </si>
  <si>
    <t xml:space="preserve">Windows: PUA - Netcat Suspicious Execution</t>
  </si>
  <si>
    <t xml:space="preserve">https://filestore.fortinet.com/docs.fortinet.com/fsiem/Public_Resource_Access/7_6_0/rules/PH_RULE_PUA_Netcat_Suspicious_Execution.htm</t>
  </si>
  <si>
    <t xml:space="preserve">PH_Rule_SIGMA_1584</t>
  </si>
  <si>
    <t xml:space="preserve">Windows: PUA - Ngrok Execution</t>
  </si>
  <si>
    <t xml:space="preserve">https://filestore.fortinet.com/docs.fortinet.com/fsiem/Public_Resource_Access/7_6_0/rules/PH_RULE_Ngrok_Usage.htm</t>
  </si>
  <si>
    <t xml:space="preserve">PH_Rule_SIGMA_2468</t>
  </si>
  <si>
    <t xml:space="preserve">Windows: PUA - Nimgrab Execution</t>
  </si>
  <si>
    <t xml:space="preserve">https://filestore.fortinet.com/docs.fortinet.com/fsiem/Public_Resource_Access/7_6_0/rules/PH_RULE_PUA_Nimgrab_Execution.htm</t>
  </si>
  <si>
    <t xml:space="preserve">PH_Rule_windows_SIGMA_3451</t>
  </si>
  <si>
    <t xml:space="preserve">Windows: PUA - NimScan Execution</t>
  </si>
  <si>
    <t xml:space="preserve">https://filestore.fortinet.com/docs.fortinet.com/fsiem/Public_Resource_Access/7_6_0/rules/PH_RULE_PUA_NimScan_Execution.htm</t>
  </si>
  <si>
    <t xml:space="preserve">PH_Rule_SIGMA_1703</t>
  </si>
  <si>
    <t xml:space="preserve">Windows: PUA - NirCmd Execution</t>
  </si>
  <si>
    <t xml:space="preserve">https://filestore.fortinet.com/docs.fortinet.com/fsiem/Public_Resource_Access/7_6_0/rules/PH_RULE_NirCmd_Tool_Execution.htm</t>
  </si>
  <si>
    <t xml:space="preserve">PH_Rule_SIGMA_1704</t>
  </si>
  <si>
    <t xml:space="preserve">Windows: PUA - NirCmd Execution As LOCAL SYSTEM</t>
  </si>
  <si>
    <t xml:space="preserve">https://filestore.fortinet.com/docs.fortinet.com/fsiem/Public_Resource_Access/7_6_0/rules/PH_RULE_NirCmd_Tool_Execution_As_LOCAL_SYSTEM.htm</t>
  </si>
  <si>
    <t xml:space="preserve">PH_Rule_SIGMA_1585</t>
  </si>
  <si>
    <t xml:space="preserve">Windows: PUA - Nmap/Zenmap Execution</t>
  </si>
  <si>
    <t xml:space="preserve">https://filestore.fortinet.com/docs.fortinet.com/fsiem/Public_Resource_Access/7_6_0/rules/PH_RULE_Suspicious_Nmap_Execution.htm</t>
  </si>
  <si>
    <t xml:space="preserve">PH_Rule_SIGMA_2469</t>
  </si>
  <si>
    <t xml:space="preserve">Windows: PUA - NPS Tunneling Tool Execution</t>
  </si>
  <si>
    <t xml:space="preserve">https://filestore.fortinet.com/docs.fortinet.com/fsiem/Public_Resource_Access/7_6_0/rules/PH_RULE_PUA_NPS_Tunneling_Tool_Execution.htm</t>
  </si>
  <si>
    <t xml:space="preserve">PH_Rule_SIGMA_1705</t>
  </si>
  <si>
    <t xml:space="preserve">Windows: PUA - NSudo Execution</t>
  </si>
  <si>
    <t xml:space="preserve">https://filestore.fortinet.com/docs.fortinet.com/fsiem/Public_Resource_Access/7_6_0/rules/PH_RULE_NSudo_Tool_Execution.htm</t>
  </si>
  <si>
    <t xml:space="preserve">PH_Rule_windows_SIGMA_3072</t>
  </si>
  <si>
    <t xml:space="preserve">Windows: PUA - PAExec Default Named Pipe</t>
  </si>
  <si>
    <t xml:space="preserve">https://filestore.fortinet.com/docs.fortinet.com/fsiem/Public_Resource_Access/7_6_0/rules/PH_RULE_PUA_PAExec_Default_Named_Pipe.htm</t>
  </si>
  <si>
    <t xml:space="preserve">PH_Rule_SIGMA_2471</t>
  </si>
  <si>
    <t xml:space="preserve">Windows: PUA - Potential PE Metadata Tamper Using Rcedit</t>
  </si>
  <si>
    <t xml:space="preserve">https://filestore.fortinet.com/docs.fortinet.com/fsiem/Public_Resource_Access/7_6_0/rules/PH_RULE_PUA_Potential_PE_Metadata_Tamper_Using_Rcedit.htm</t>
  </si>
  <si>
    <t xml:space="preserve">PH_Rule_SIGMA_1921</t>
  </si>
  <si>
    <t xml:space="preserve">Windows: PUA - Process Hacker Driver Load</t>
  </si>
  <si>
    <t xml:space="preserve">https://filestore.fortinet.com/docs.fortinet.com/fsiem/Public_Resource_Access/7_6_0/rules/PH_RULE_PUA_Process_Hacker_Driver_Load.htm</t>
  </si>
  <si>
    <t xml:space="preserve">PH_Rule_SIGMA_2470</t>
  </si>
  <si>
    <t xml:space="preserve">Windows: PUA - Process Hacker Execution</t>
  </si>
  <si>
    <t xml:space="preserve">https://filestore.fortinet.com/docs.fortinet.com/fsiem/Public_Resource_Access/7_6_0/rules/PH_RULE_PUA_Process_Hacker_Execution.htm</t>
  </si>
  <si>
    <t xml:space="preserve">PH_Rule_SIGMA_1614</t>
  </si>
  <si>
    <t xml:space="preserve">Windows: PUA - Rclone Execution</t>
  </si>
  <si>
    <t xml:space="preserve">https://filestore.fortinet.com/docs.fortinet.com/fsiem/Public_Resource_Access/7_6_0/rules/PH_RULE_Rclone_Execution_via_Command_Line_or_PowerShell.htm</t>
  </si>
  <si>
    <t xml:space="preserve">PH_Rule_windows_SIGMA_3454</t>
  </si>
  <si>
    <t xml:space="preserve">Windows: PUA - Restic Backup Tool Execution</t>
  </si>
  <si>
    <t xml:space="preserve">https://filestore.fortinet.com/docs.fortinet.com/fsiem/Public_Resource_Access/7_6_0/rules/PH_RULE_PUA_Restic_Backup_Tool_Execution.htm</t>
  </si>
  <si>
    <t xml:space="preserve">PH_Rule_SIGMA_1707</t>
  </si>
  <si>
    <t xml:space="preserve">Windows: PUA - RunXCmd Execution</t>
  </si>
  <si>
    <t xml:space="preserve">https://filestore.fortinet.com/docs.fortinet.com/fsiem/Public_Resource_Access/7_6_0/rules/PH_RULE_RunXCmd_Tool_Execution_As_System.htm</t>
  </si>
  <si>
    <t xml:space="preserve">PH_Rule_SIGMA_2472</t>
  </si>
  <si>
    <t xml:space="preserve">Windows: PUA - Seatbelt Execution</t>
  </si>
  <si>
    <t xml:space="preserve">https://filestore.fortinet.com/docs.fortinet.com/fsiem/Public_Resource_Access/7_6_0/rules/PH_RULE_PUA_Seatbelt_Execution.htm</t>
  </si>
  <si>
    <t xml:space="preserve">PH_Rule_windows_SIGMA_3450</t>
  </si>
  <si>
    <t xml:space="preserve">Windows: PUA - SoftPerfect Netscan Execution</t>
  </si>
  <si>
    <t xml:space="preserve">https://filestore.fortinet.com/docs.fortinet.com/fsiem/Public_Resource_Access/7_6_0/rules/PH_RULE_PUA_SoftPerfect_Netscan_Execution.htm</t>
  </si>
  <si>
    <t xml:space="preserve">PH_Rule_windows_SIGMA_3775</t>
  </si>
  <si>
    <t xml:space="preserve">Windows: PUA - Sysinternal Tool Execution - Registry</t>
  </si>
  <si>
    <t xml:space="preserve">https://filestore.fortinet.com/docs.fortinet.com/fsiem/Public_Resource_Access/7_6_0/rules/PH_RULE_PUA_Sysinternal_Tool_Execution_Registry.htm</t>
  </si>
  <si>
    <t xml:space="preserve">PH_Rule_SIGMA_1922</t>
  </si>
  <si>
    <t xml:space="preserve">Windows: PUA - System Informer Driver Load</t>
  </si>
  <si>
    <t xml:space="preserve">https://filestore.fortinet.com/docs.fortinet.com/fsiem/Public_Resource_Access/7_6_0/rules/PH_RULE_PUA_System_Informer_Driver_Load.htm</t>
  </si>
  <si>
    <t xml:space="preserve">PH_Rule_SIGMA_2473</t>
  </si>
  <si>
    <t xml:space="preserve">Windows: PUA - System Informer Execution</t>
  </si>
  <si>
    <t xml:space="preserve">https://filestore.fortinet.com/docs.fortinet.com/fsiem/Public_Resource_Access/7_6_0/rules/PH_RULE_PUA_System_Informer_Execution.htm</t>
  </si>
  <si>
    <t xml:space="preserve">PH_Rule_SIGMA_2475</t>
  </si>
  <si>
    <t xml:space="preserve">Windows: PUA - Wsudo Suspicious Execution</t>
  </si>
  <si>
    <t xml:space="preserve">https://filestore.fortinet.com/docs.fortinet.com/fsiem/Public_Resource_Access/7_6_0/rules/PH_RULE_PUA_Wsudo_Suspicious_Execution.htm</t>
  </si>
  <si>
    <t xml:space="preserve">PH_Rule_SIGMA_2466</t>
  </si>
  <si>
    <t xml:space="preserve">Windows: PUA- IOX Tunneling Tool Execution</t>
  </si>
  <si>
    <t xml:space="preserve">https://filestore.fortinet.com/docs.fortinet.com/fsiem/Public_Resource_Access/7_6_0/rules/PH_RULE_PUA_IOX_Tunneling_Tool_Execution.htm</t>
  </si>
  <si>
    <t xml:space="preserve">PH_Rule_SIGMA_1980</t>
  </si>
  <si>
    <t xml:space="preserve">Windows: Publisher Attachment File Dropped In Suspicious Location</t>
  </si>
  <si>
    <t xml:space="preserve">https://filestore.fortinet.com/docs.fortinet.com/fsiem/Public_Resource_Access/7_6_0/rules/PH_RULE_Publisher_Attachment_File_Dropped_In_Suspicious_Location.htm</t>
  </si>
  <si>
    <t xml:space="preserve">PH_Rule_SIGMA_1390</t>
  </si>
  <si>
    <t xml:space="preserve">Windows: Pubprn.vbs Proxy Execution</t>
  </si>
  <si>
    <t xml:space="preserve">https://filestore.fortinet.com/docs.fortinet.com/fsiem/Public_Resource_Access/7_6_0/rules/PH_RULE_Pubprn_vbs_Proxy_Execution.htm</t>
  </si>
  <si>
    <t xml:space="preserve">PH_Rule_windows_SIGMA_3475</t>
  </si>
  <si>
    <t xml:space="preserve">Windows: Python Function Execution Security Warning Disabled In Excel</t>
  </si>
  <si>
    <t xml:space="preserve">https://filestore.fortinet.com/docs.fortinet.com/fsiem/Public_Resource_Access/7_6_0/rules/PH_RULE_Python_Function_Execution_Security_Warning_Disabled_In_Excel.htm</t>
  </si>
  <si>
    <t xml:space="preserve">PH_Rule_windows_SIGMA_3726</t>
  </si>
  <si>
    <t xml:space="preserve">Windows: Python Function Execution Security Warning Disabled In Excel - Registry</t>
  </si>
  <si>
    <t xml:space="preserve">https://filestore.fortinet.com/docs.fortinet.com/fsiem/Public_Resource_Access/7_6_0/rules/PH_RULE_Python_Function_Execution_Security_Warning_Disabled_In_Excel_Registry.htm</t>
  </si>
  <si>
    <t xml:space="preserve">PH_Rule_SIGMA_1774</t>
  </si>
  <si>
    <t xml:space="preserve">Windows: Python Initiated Connection</t>
  </si>
  <si>
    <t xml:space="preserve">https://filestore.fortinet.com/docs.fortinet.com/fsiem/Public_Resource_Access/7_6_0/rules/PH_RULE_Python_Initiated_Connection.htm</t>
  </si>
  <si>
    <t xml:space="preserve">PH_Rule_SIGMA_2476</t>
  </si>
  <si>
    <t xml:space="preserve">Windows: Python Inline Command Execution</t>
  </si>
  <si>
    <t xml:space="preserve">https://filestore.fortinet.com/docs.fortinet.com/fsiem/Public_Resource_Access/7_6_0/rules/PH_RULE_Python_Inline_Command_Execution.htm</t>
  </si>
  <si>
    <t xml:space="preserve">PH_Rule_windows_SIGMA_3456</t>
  </si>
  <si>
    <t xml:space="preserve">Windows: Python One-Liners with Base64 Decoding</t>
  </si>
  <si>
    <t xml:space="preserve">https://filestore.fortinet.com/docs.fortinet.com/fsiem/Public_Resource_Access/7_6_0/rules/PH_RULE_Python_One_Liners_with_Base64_Decoding.htm</t>
  </si>
  <si>
    <t xml:space="preserve">PH_Rule_SIGMA_1259</t>
  </si>
  <si>
    <t xml:space="preserve">Windows: Python Py2Exe Image Load</t>
  </si>
  <si>
    <t xml:space="preserve">https://filestore.fortinet.com/docs.fortinet.com/fsiem/Public_Resource_Access/7_6_0/rules/PH_RULE_Python_Py2Exe_Image_Load.htm</t>
  </si>
  <si>
    <t xml:space="preserve">PH_Rule_SIGMA_1474</t>
  </si>
  <si>
    <t xml:space="preserve">Windows: Python Spawning Pretty TTY on Windows</t>
  </si>
  <si>
    <t xml:space="preserve">https://filestore.fortinet.com/docs.fortinet.com/fsiem/Public_Resource_Access/7_6_0/rules/PH_RULE_Python_Spawning_Pretty_TTY_on_Windows.htm</t>
  </si>
  <si>
    <t xml:space="preserve">PH_Rule_windows_SIGMA_2801</t>
  </si>
  <si>
    <t xml:space="preserve">Windows: Query Tor Onion Address - DNS Client</t>
  </si>
  <si>
    <t xml:space="preserve">https://filestore.fortinet.com/docs.fortinet.com/fsiem/Public_Resource_Access/7_6_0/rules/PH_RULE_Query_Tor_Onion_Address_DNS_Client.htm</t>
  </si>
  <si>
    <t xml:space="preserve">PH_Rule_SIGMA_2477</t>
  </si>
  <si>
    <t xml:space="preserve">Windows: Query Usage To Exfil Data</t>
  </si>
  <si>
    <t xml:space="preserve">https://filestore.fortinet.com/docs.fortinet.com/fsiem/Public_Resource_Access/7_6_0/rules/PH_RULE_Query_Usage_To_Exfil_Data.htm</t>
  </si>
  <si>
    <t xml:space="preserve">PH_Rule_windows_SIGMA_3458</t>
  </si>
  <si>
    <t xml:space="preserve">Windows: QuickAssist Execution</t>
  </si>
  <si>
    <t xml:space="preserve">https://filestore.fortinet.com/docs.fortinet.com/fsiem/Public_Resource_Access/7_6_0/rules/PH_RULE_QuickAssist_Execution.htm</t>
  </si>
  <si>
    <t xml:space="preserve">PH_Rule_SIGMA_1555</t>
  </si>
  <si>
    <t xml:space="preserve">Windows: Raccine Uninstall</t>
  </si>
  <si>
    <t xml:space="preserve">https://filestore.fortinet.com/docs.fortinet.com/fsiem/Public_Resource_Access/7_6_0/rules/PH_RULE_Raccine_Uninstall.htm</t>
  </si>
  <si>
    <t xml:space="preserve">PH_Rule_SIGMA_587</t>
  </si>
  <si>
    <t xml:space="preserve">Windows: Rar Usage with Password and Compression Level</t>
  </si>
  <si>
    <t xml:space="preserve">https://filestore.fortinet.com/docs.fortinet.com/fsiem/Public_Resource_Access/7_6_0/rules/PH_RULE_Rar_with_Password_or_Compression_Level.htm</t>
  </si>
  <si>
    <t xml:space="preserve">PH_Rule_windows_SIGMA_2895</t>
  </si>
  <si>
    <t xml:space="preserve">Windows: Rare Remote Thread Creation By Uncommon Source Image</t>
  </si>
  <si>
    <t xml:space="preserve">https://filestore.fortinet.com/docs.fortinet.com/fsiem/Public_Resource_Access/7_6_0/rules/PH_RULE_Rare_Remote_Thread_Creation_By_Uncommon_Source_Image.htm</t>
  </si>
  <si>
    <t xml:space="preserve">PH_Rule_SIGMA_464</t>
  </si>
  <si>
    <t xml:space="preserve">Windows: RDP Connection Allowed Via Netsh.EXE</t>
  </si>
  <si>
    <t xml:space="preserve">https://filestore.fortinet.com/docs.fortinet.com/fsiem/Public_Resource_Access/7_6_0/rules/PH_RULE_Netsh_RDP_Port_Opening.htm</t>
  </si>
  <si>
    <t xml:space="preserve">PH_Rule_windows_SIGMA_3459</t>
  </si>
  <si>
    <t xml:space="preserve">Windows: RDP Enable or Disable via Win32-TerminalServiceSetting WMI Class</t>
  </si>
  <si>
    <t xml:space="preserve">https://filestore.fortinet.com/docs.fortinet.com/fsiem/Public_Resource_Access/7_6_0/rules/PH_RULE_RDP_Enable_or_Disable_via_Win32_TerminalServiceSetting_WMI_Class.htm</t>
  </si>
  <si>
    <t xml:space="preserve">PH_Rule_SIGMA_355</t>
  </si>
  <si>
    <t xml:space="preserve">Windows: RDP Over Reverse SSH Tunnel</t>
  </si>
  <si>
    <t xml:space="preserve">https://filestore.fortinet.com/docs.fortinet.com/fsiem/Public_Resource_Access/7_6_0/rules/PH_RULE_RDP_Over_Reverse_SSH_Tunnel.htm</t>
  </si>
  <si>
    <t xml:space="preserve">PH_Rule_SIGMA_469</t>
  </si>
  <si>
    <t xml:space="preserve">Windows: RDP Port Forwarding Rule Added Via Netsh.EXE</t>
  </si>
  <si>
    <t xml:space="preserve">https://filestore.fortinet.com/docs.fortinet.com/fsiem/Public_Resource_Access/7_6_0/rules/PH_RULE_Netsh_RDP_Port_Forwarding.htm</t>
  </si>
  <si>
    <t xml:space="preserve">PH_Rule_windows_SIGMA_3805</t>
  </si>
  <si>
    <t xml:space="preserve">Windows: RDP Sensitive Settings Changed to Zero</t>
  </si>
  <si>
    <t xml:space="preserve">https://filestore.fortinet.com/docs.fortinet.com/fsiem/Public_Resource_Access/7_6_0/rules/PH_RULE_RDP_Sensitive_Settings_Changed_to_Zero.htm</t>
  </si>
  <si>
    <t xml:space="preserve">PH_Rule_SIGMA_1775</t>
  </si>
  <si>
    <t xml:space="preserve">Windows: RDP to HTTP or HTTPS Target Ports</t>
  </si>
  <si>
    <t xml:space="preserve">https://filestore.fortinet.com/docs.fortinet.com/fsiem/Public_Resource_Access/7_6_0/rules/PH_RULE_RDP_to_HTTP_or_HTTPS_Target_Ports.htm</t>
  </si>
  <si>
    <t xml:space="preserve">PH_Rule_SIGMA_2289</t>
  </si>
  <si>
    <t xml:space="preserve">Windows: Read Contents From Stdin Via Cmd.EXE</t>
  </si>
  <si>
    <t xml:space="preserve">https://filestore.fortinet.com/docs.fortinet.com/fsiem/Public_Resource_Access/7_6_0/rules/PH_RULE_Read_Contents_From_Stdin_Via_Cmd_EXE.htm</t>
  </si>
  <si>
    <t xml:space="preserve">PH_Rule_windows_SIGMA_3395</t>
  </si>
  <si>
    <t xml:space="preserve">Windows: Rebuild Performance Counter Values Via Lodctr.EXE</t>
  </si>
  <si>
    <t xml:space="preserve">https://filestore.fortinet.com/docs.fortinet.com/fsiem/Public_Resource_Access/7_6_0/rules/PH_RULE_Rebuild_Performance_Counter_Values_Via_Lodctr_EXE.htm</t>
  </si>
  <si>
    <t xml:space="preserve">PH_Rule_windows_SIGMA_3356</t>
  </si>
  <si>
    <t xml:space="preserve">Windows: Recon Command Output Piped To Findstr.EXE</t>
  </si>
  <si>
    <t xml:space="preserve">https://filestore.fortinet.com/docs.fortinet.com/fsiem/Public_Resource_Access/7_6_0/rules/PH_RULE_Recon_Command_Output_Piped_To_Findstr_EXE.htm</t>
  </si>
  <si>
    <t xml:space="preserve">PH_Rule_SIGMA_1615</t>
  </si>
  <si>
    <t xml:space="preserve">Windows: Recon Information for Export with Command Prompt</t>
  </si>
  <si>
    <t xml:space="preserve">https://filestore.fortinet.com/docs.fortinet.com/fsiem/Public_Resource_Access/7_6_0/rules/PH_RULE_Recon_Information_for_Export_with_Command_Prompt.htm</t>
  </si>
  <si>
    <t xml:space="preserve">PH_Rule_windows_SIGMA_3249</t>
  </si>
  <si>
    <t xml:space="preserve">Windows: Recon Information for Export with PowerShell</t>
  </si>
  <si>
    <t xml:space="preserve">https://filestore.fortinet.com/docs.fortinet.com/fsiem/Public_Resource_Access/7_6_0/rules/PH_RULE_Recon_Information_for_Export_with_PowerShell.htm</t>
  </si>
  <si>
    <t xml:space="preserve">PH_Rule_SIGMA_660</t>
  </si>
  <si>
    <t xml:space="preserve">Windows: RedMimicry Winnti Playbook Registry Manipulation</t>
  </si>
  <si>
    <t xml:space="preserve">https://filestore.fortinet.com/docs.fortinet.com/fsiem/Public_Resource_Access/7_6_0/rules/PH_RULE_RedMimicry_Winnti_Playbook_Registry_Manipulation.htm</t>
  </si>
  <si>
    <t xml:space="preserve">PH_Rule_SIGMA_2486</t>
  </si>
  <si>
    <t xml:space="preserve">Windows: Reg Add Suspicious Paths</t>
  </si>
  <si>
    <t xml:space="preserve">https://filestore.fortinet.com/docs.fortinet.com/fsiem/Public_Resource_Access/7_6_0/rules/PH_RULE_Reg_Add_Suspicious_Paths.htm</t>
  </si>
  <si>
    <t xml:space="preserve">PH_Rule_windows_SIGMA_3469</t>
  </si>
  <si>
    <t xml:space="preserve">Windows: RegAsm.EXE Execution Without CommandLine Flags or Files</t>
  </si>
  <si>
    <t xml:space="preserve">https://filestore.fortinet.com/docs.fortinet.com/fsiem/Public_Resource_Access/7_6_0/rules/PH_RULE_RegAsm_EXE_Execution_Without_CommandLine_Flags_or_Files.htm</t>
  </si>
  <si>
    <t xml:space="preserve">PH_Rule_windows_SIGMA_3054</t>
  </si>
  <si>
    <t xml:space="preserve">Windows: RegAsm.EXE Initiating Network Connection To Public IP</t>
  </si>
  <si>
    <t xml:space="preserve">https://filestore.fortinet.com/docs.fortinet.com/fsiem/Public_Resource_Access/7_6_0/rules/PH_RULE_RegAsm_EXE_Initiating_Network_Connection_To_Public_IP.htm</t>
  </si>
  <si>
    <t xml:space="preserve">PH_Rule_SIGMA_1620</t>
  </si>
  <si>
    <t xml:space="preserve">Windows: Regedit as Trusted Installer</t>
  </si>
  <si>
    <t xml:space="preserve">https://filestore.fortinet.com/docs.fortinet.com/fsiem/Public_Resource_Access/7_6_0/rules/PH_RULE_Regedit_as_Trusted_Installer.htm</t>
  </si>
  <si>
    <t xml:space="preserve">PH_Rule_windows_SIGMA_3749</t>
  </si>
  <si>
    <t xml:space="preserve">Windows: Register New IFiltre For Persistence</t>
  </si>
  <si>
    <t xml:space="preserve">https://filestore.fortinet.com/docs.fortinet.com/fsiem/Public_Resource_Access/7_6_0/rules/PH_RULE_Register_New_IFiltre_For_Persistence.htm</t>
  </si>
  <si>
    <t xml:space="preserve">PH_Rule_SIGMA_2376</t>
  </si>
  <si>
    <t xml:space="preserve">Windows: REGISTER-APP.VBS Proxy Execution</t>
  </si>
  <si>
    <t xml:space="preserve">https://filestore.fortinet.com/docs.fortinet.com/fsiem/Public_Resource_Access/7_6_0/rules/PH_RULE_REGISTER_APP_VBS_Proxy_Execution.htm</t>
  </si>
  <si>
    <t xml:space="preserve">PH_Rule_windows_SIGMA_3676</t>
  </si>
  <si>
    <t xml:space="preserve">Windows: Registry Disable System Restore</t>
  </si>
  <si>
    <t xml:space="preserve">https://filestore.fortinet.com/docs.fortinet.com/fsiem/Public_Resource_Access/7_6_0/rules/PH_RULE_Registry_Disable_System_Restore.htm</t>
  </si>
  <si>
    <t xml:space="preserve">PH_Rule_SIGMA_347</t>
  </si>
  <si>
    <t xml:space="preserve">Windows: Registry Entries For Azorult Malware</t>
  </si>
  <si>
    <t xml:space="preserve">https://filestore.fortinet.com/docs.fortinet.com/fsiem/Public_Resource_Access/7_6_0/rules/PH_RULE_Registy_Entries_For_Azorult_Malware.htm</t>
  </si>
  <si>
    <t xml:space="preserve">PH_Rule_windows_SIGMA_3785</t>
  </si>
  <si>
    <t xml:space="preserve">Windows: Registry Explorer Policy Modification</t>
  </si>
  <si>
    <t xml:space="preserve">https://filestore.fortinet.com/docs.fortinet.com/fsiem/Public_Resource_Access/7_6_0/rules/PH_RULE_Registry_Explorer_Policy_Modification.htm</t>
  </si>
  <si>
    <t xml:space="preserve">PH_Rule_windows_SIGMA_3705</t>
  </si>
  <si>
    <t xml:space="preserve">Windows: Registry Hide Function from User</t>
  </si>
  <si>
    <t xml:space="preserve">https://filestore.fortinet.com/docs.fortinet.com/fsiem/Public_Resource_Access/7_6_0/rules/PH_RULE_Registry_Hide_Function_from_User.htm</t>
  </si>
  <si>
    <t xml:space="preserve">PH_Rule_windows_SIGMA_3598</t>
  </si>
  <si>
    <t xml:space="preserve">Windows: Registry Manipulation via WMI Stdregprov</t>
  </si>
  <si>
    <t xml:space="preserve">https://filestore.fortinet.com/docs.fortinet.com/fsiem/Public_Resource_Access/7_6_0/rules/PH_RULE_Registry_Manipulation_via_WMI_Stdregprov.htm</t>
  </si>
  <si>
    <t xml:space="preserve">PH_Rule_windows_SIGMA_3569</t>
  </si>
  <si>
    <t xml:space="preserve">Windows: Registry Modification Attempt Via VBScript</t>
  </si>
  <si>
    <t xml:space="preserve">https://filestore.fortinet.com/docs.fortinet.com/fsiem/Public_Resource_Access/7_6_0/rules/PH_RULE_Registry_Modification_Attempt_Via_VBScript.htm</t>
  </si>
  <si>
    <t xml:space="preserve">PH_Rule_windows_SIGMA_3271</t>
  </si>
  <si>
    <t xml:space="preserve">Windows: Registry Modification Attempt Via VBScript - PowerShell</t>
  </si>
  <si>
    <t xml:space="preserve">https://filestore.fortinet.com/docs.fortinet.com/fsiem/Public_Resource_Access/7_6_0/rules/PH_RULE_Registry_Modification_Attempt_Via_VBScript_PowerShell.htm</t>
  </si>
  <si>
    <t xml:space="preserve">PH_Rule_windows_SIGMA_3768</t>
  </si>
  <si>
    <t xml:space="preserve">Windows: Registry Modification for OCI DLL Redirection</t>
  </si>
  <si>
    <t xml:space="preserve">https://filestore.fortinet.com/docs.fortinet.com/fsiem/Public_Resource_Access/7_6_0/rules/PH_RULE_Registry_Modification_for_OCI_DLL_Redirection.htm</t>
  </si>
  <si>
    <t xml:space="preserve">PH_Rule_windows_SIGMA_3703</t>
  </si>
  <si>
    <t xml:space="preserve">Windows: Registry Modification to Hidden File Extension</t>
  </si>
  <si>
    <t xml:space="preserve">https://filestore.fortinet.com/docs.fortinet.com/fsiem/Public_Resource_Access/7_6_0/rules/PH_RULE_Registry_Modification_to_Hidden_File_Extension.htm</t>
  </si>
  <si>
    <t xml:space="preserve">PH_Rule_SIGMA_1488</t>
  </si>
  <si>
    <t xml:space="preserve">Windows: Registry Modification Via Regini.EXE</t>
  </si>
  <si>
    <t xml:space="preserve">https://filestore.fortinet.com/docs.fortinet.com/fsiem/Public_Resource_Access/7_6_0/rules/PH_RULE_Modifies_the_Registry_From_a_File.htm</t>
  </si>
  <si>
    <t xml:space="preserve">PH_Rule_SIGMA_807</t>
  </si>
  <si>
    <t xml:space="preserve">Windows: Registry Persistence Mechanisms in Recycle Bin</t>
  </si>
  <si>
    <t xml:space="preserve">https://filestore.fortinet.com/docs.fortinet.com/fsiem/Public_Resource_Access/7_6_0/rules/PH_RULE_Registry_Persistence_Mechanisms_in_Recycle_Bin.htm</t>
  </si>
  <si>
    <t xml:space="preserve">PH_Rule_windows_SIGMA_3793</t>
  </si>
  <si>
    <t xml:space="preserve">Windows: Registry Persistence via Explorer Run Key</t>
  </si>
  <si>
    <t xml:space="preserve">https://filestore.fortinet.com/docs.fortinet.com/fsiem/Public_Resource_Access/7_6_0/rules/PH_RULE_Registry_Persistence_via_Explorer_Run_Key.htm</t>
  </si>
  <si>
    <t xml:space="preserve">PH_Rule_windows_SIGMA_3624</t>
  </si>
  <si>
    <t xml:space="preserve">Windows: Registry Persistence via Service in Safe Mode</t>
  </si>
  <si>
    <t xml:space="preserve">https://filestore.fortinet.com/docs.fortinet.com/fsiem/Public_Resource_Access/7_6_0/rules/PH_RULE_Registry_Persistence_via_Service_in_Safe_Mode.htm</t>
  </si>
  <si>
    <t xml:space="preserve">PH_Rule_windows_SIGMA_3622</t>
  </si>
  <si>
    <t xml:space="preserve">Windows: Registry Tampering by Potentially Suspicious Processes</t>
  </si>
  <si>
    <t xml:space="preserve">https://filestore.fortinet.com/docs.fortinet.com/fsiem/Public_Resource_Access/7_6_0/rules/PH_RULE_Registry_Tampering_by_Potentially_Suspicious_Processes.htm</t>
  </si>
  <si>
    <t xml:space="preserve">PH_Rule_windows_SIGMA_3141</t>
  </si>
  <si>
    <t xml:space="preserve">Windows: Registry-Free Process Scope COR-PROFILER</t>
  </si>
  <si>
    <t xml:space="preserve">https://filestore.fortinet.com/docs.fortinet.com/fsiem/Public_Resource_Access/7_6_0/rules/PH_RULE_Registry_Free_Process_Scope_COR_PROFILER.htm</t>
  </si>
  <si>
    <t xml:space="preserve">PH_Rule_windows_SIGMA_3484</t>
  </si>
  <si>
    <t xml:space="preserve">Windows: Regsvr32 DLL Execution With Uncommon Extension</t>
  </si>
  <si>
    <t xml:space="preserve">https://filestore.fortinet.com/docs.fortinet.com/fsiem/Public_Resource_Access/7_6_0/rules/PH_RULE_Regsvr32_DLL_Execution_With_Uncommon_Extension.htm</t>
  </si>
  <si>
    <t xml:space="preserve">PH_Rule_SIGMA_830</t>
  </si>
  <si>
    <t xml:space="preserve">Windows: Regsvr32 DNS Activity</t>
  </si>
  <si>
    <t xml:space="preserve">https://filestore.fortinet.com/docs.fortinet.com/fsiem/Public_Resource_Access/7_6_0/rules/PH_RULE_Regsvr32_DNS_Activity.htm</t>
  </si>
  <si>
    <t xml:space="preserve">PH_Rule_windows_SIGMA_3482</t>
  </si>
  <si>
    <t xml:space="preserve">Windows: Regsvr32 Execution From Highly Suspicious Location</t>
  </si>
  <si>
    <t xml:space="preserve">https://filestore.fortinet.com/docs.fortinet.com/fsiem/Public_Resource_Access/7_6_0/rules/PH_RULE_Regsvr32_Execution_From_Highly_Suspicious_Location.htm</t>
  </si>
  <si>
    <t xml:space="preserve">PH_Rule_SIGMA_356</t>
  </si>
  <si>
    <t xml:space="preserve">Windows: Regsvr32 Network Activity</t>
  </si>
  <si>
    <t xml:space="preserve">https://filestore.fortinet.com/docs.fortinet.com/fsiem/Public_Resource_Access/7_6_0/rules/PH_RULE_Regsvr32_Network_Activity.htm</t>
  </si>
  <si>
    <t xml:space="preserve">PH_Rule_windows_SIGMA_2968</t>
  </si>
  <si>
    <t xml:space="preserve">Windows: RemCom Service File Creation</t>
  </si>
  <si>
    <t xml:space="preserve">https://filestore.fortinet.com/docs.fortinet.com/fsiem/Public_Resource_Access/7_6_0/rules/PH_RULE_RemCom_Service_File_Creation.htm</t>
  </si>
  <si>
    <t xml:space="preserve">PH_Rule_windows_SIGMA_2865</t>
  </si>
  <si>
    <t xml:space="preserve">Windows: RemCom Service Installation</t>
  </si>
  <si>
    <t xml:space="preserve">https://filestore.fortinet.com/docs.fortinet.com/fsiem/Public_Resource_Access/7_6_0/rules/PH_RULE_RemCom_Service_Installation.htm</t>
  </si>
  <si>
    <t xml:space="preserve">PH_Rule_SIGMA_1753</t>
  </si>
  <si>
    <t xml:space="preserve">Windows: Remote Access Tool - AnyDesk Execution</t>
  </si>
  <si>
    <t xml:space="preserve">https://filestore.fortinet.com/docs.fortinet.com/fsiem/Public_Resource_Access/7_6_0/rules/PH_RULE_Use_of_Anydesk_Remote_Access_Software_from_Suspicious_Folder.htm</t>
  </si>
  <si>
    <t xml:space="preserve">PH_Rule_windows_SIGMA_3486</t>
  </si>
  <si>
    <t xml:space="preserve">Windows: Remote Access Tool - Anydesk Execution From Suspicious Folder</t>
  </si>
  <si>
    <t xml:space="preserve">https://filestore.fortinet.com/docs.fortinet.com/fsiem/Public_Resource_Access/7_6_0/rules/PH_RULE_Remote_Access_Tool_Anydesk_Execution_From_Suspicious_Folder.htm</t>
  </si>
  <si>
    <t xml:space="preserve">PH_Rule_windows_SIGMA_3485</t>
  </si>
  <si>
    <t xml:space="preserve">Windows: Remote Access Tool - AnyDesk Execution With Known Revoked Signing Certificate</t>
  </si>
  <si>
    <t xml:space="preserve">https://filestore.fortinet.com/docs.fortinet.com/fsiem/Public_Resource_Access/7_6_0/rules/PH_RULE_Remote_Access_Tool_AnyDesk_Execution_With_Known_Revoked_Signing_Certificate.htm</t>
  </si>
  <si>
    <t xml:space="preserve">PH_Rule_windows_SIGMA_3055</t>
  </si>
  <si>
    <t xml:space="preserve">Windows: Remote Access Tool - AnyDesk Incoming Connection</t>
  </si>
  <si>
    <t xml:space="preserve">https://filestore.fortinet.com/docs.fortinet.com/fsiem/Public_Resource_Access/7_6_0/rules/PH_RULE_Remote_Access_Tool_AnyDesk_Incoming_Connection.htm</t>
  </si>
  <si>
    <t xml:space="preserve">PH_Rule_SIGMA_1752</t>
  </si>
  <si>
    <t xml:space="preserve">Windows: Remote Access Tool - AnyDesk Silent Installation</t>
  </si>
  <si>
    <t xml:space="preserve">https://filestore.fortinet.com/docs.fortinet.com/fsiem/Public_Resource_Access/7_6_0/rules/PH_RULE_AnyDesk_Silent_Installation.htm</t>
  </si>
  <si>
    <t xml:space="preserve">PH_Rule_windows_SIGMA_3489</t>
  </si>
  <si>
    <t xml:space="preserve">Windows: Remote Access Tool - NetSupport Execution</t>
  </si>
  <si>
    <t xml:space="preserve">https://filestore.fortinet.com/docs.fortinet.com/fsiem/Public_Resource_Access/7_6_0/rules/PH_RULE_Remote_Access_Tool_NetSupport_Execution.htm</t>
  </si>
  <si>
    <t xml:space="preserve">PH_Rule_SIGMA_2493</t>
  </si>
  <si>
    <t xml:space="preserve">Windows: Remote Access Tool - NetSupport Execution From Unusual Location</t>
  </si>
  <si>
    <t xml:space="preserve">https://filestore.fortinet.com/docs.fortinet.com/fsiem/Public_Resource_Access/7_6_0/rules/PH_RULE_Remote_Access_Tool_NetSupport_Execution_From_Unusual_Location.htm</t>
  </si>
  <si>
    <t xml:space="preserve">PH_Rule_windows_SIGMA_3487</t>
  </si>
  <si>
    <t xml:space="preserve">Windows: Remote Access Tool - Potential MeshAgent Execution - Windows</t>
  </si>
  <si>
    <t xml:space="preserve">https://filestore.fortinet.com/docs.fortinet.com/fsiem/Public_Resource_Access/7_6_0/rules/PH_RULE_Remote_Access_Tool_Potential_MeshAgent_Execution_Windows.htm</t>
  </si>
  <si>
    <t xml:space="preserve">PH_Rule_windows_SIGMA_3490</t>
  </si>
  <si>
    <t xml:space="preserve">Windows: Remote Access Tool - Renamed MeshAgent Execution - Windows</t>
  </si>
  <si>
    <t xml:space="preserve">https://filestore.fortinet.com/docs.fortinet.com/fsiem/Public_Resource_Access/7_6_0/rules/PH_RULE_Remote_Access_Tool_Renamed_MeshAgent_Execution_Windows.htm</t>
  </si>
  <si>
    <t xml:space="preserve">PH_Rule_SIGMA_2494</t>
  </si>
  <si>
    <t xml:space="preserve">Windows: Remote Access Tool - RURAT Execution From Unusual Location</t>
  </si>
  <si>
    <t xml:space="preserve">https://filestore.fortinet.com/docs.fortinet.com/fsiem/Public_Resource_Access/7_6_0/rules/PH_RULE_Remote_Access_Tool_RURAT_Execution_From_Unusual_Location.htm</t>
  </si>
  <si>
    <t xml:space="preserve">PH_Rule_windows_SIGMA_2780</t>
  </si>
  <si>
    <t xml:space="preserve">Windows: Remote Access Tool - ScreenConnect Command Execution</t>
  </si>
  <si>
    <t xml:space="preserve">https://filestore.fortinet.com/docs.fortinet.com/fsiem/Public_Resource_Access/7_6_0/rules/PH_RULE_Remote_Access_Tool_ScreenConnect_Command_Execution.htm</t>
  </si>
  <si>
    <t xml:space="preserve">PH_Rule_windows_SIGMA_2781</t>
  </si>
  <si>
    <t xml:space="preserve">Windows: Remote Access Tool - ScreenConnect File Transfer</t>
  </si>
  <si>
    <t xml:space="preserve">https://filestore.fortinet.com/docs.fortinet.com/fsiem/Public_Resource_Access/7_6_0/rules/PH_RULE_Remote_Access_Tool_ScreenConnect_File_Transfer.htm</t>
  </si>
  <si>
    <t xml:space="preserve">PH_Rule_windows_SIGMA_3492</t>
  </si>
  <si>
    <t xml:space="preserve">Windows: Remote Access Tool - ScreenConnect Potential Suspicious Remote Command Execution</t>
  </si>
  <si>
    <t xml:space="preserve">https://filestore.fortinet.com/docs.fortinet.com/fsiem/Public_Resource_Access/7_6_0/rules/PH_RULE_Remote_Access_Tool_ScreenConnect_Potential_Suspicious_Remote_Command_Execution.htm</t>
  </si>
  <si>
    <t xml:space="preserve">PH_Rule_windows_SIGMA_3491</t>
  </si>
  <si>
    <t xml:space="preserve">Windows: Remote Access Tool - ScreenConnect Remote Command Execution</t>
  </si>
  <si>
    <t xml:space="preserve">https://filestore.fortinet.com/docs.fortinet.com/fsiem/Public_Resource_Access/7_6_0/rules/PH_RULE_Remote_Access_Tool_ScreenConnect_Remote_Command_Execution.htm</t>
  </si>
  <si>
    <t xml:space="preserve">PH_Rule_windows_SIGMA_3493</t>
  </si>
  <si>
    <t xml:space="preserve">Windows: Remote Access Tool - ScreenConnect Server Web Shell Execution</t>
  </si>
  <si>
    <t xml:space="preserve">https://filestore.fortinet.com/docs.fortinet.com/fsiem/Public_Resource_Access/7_6_0/rules/PH_RULE_Remote_Access_Tool_ScreenConnect_Server_Web_Shell_Execution.htm</t>
  </si>
  <si>
    <t xml:space="preserve">PH_Rule_SIGMA_1648</t>
  </si>
  <si>
    <t xml:space="preserve">Windows: Remote Access Tool - ScreenConnect Suspicious Execution</t>
  </si>
  <si>
    <t xml:space="preserve">https://filestore.fortinet.com/docs.fortinet.com/fsiem/Public_Resource_Access/7_6_0/rules/PH_RULE_ScreenConnect_Remote_Access.htm</t>
  </si>
  <si>
    <t xml:space="preserve">PH_Rule_windows_SIGMA_2969</t>
  </si>
  <si>
    <t xml:space="preserve">Windows: Remote Access Tool - ScreenConnect Temporary File</t>
  </si>
  <si>
    <t xml:space="preserve">https://filestore.fortinet.com/docs.fortinet.com/fsiem/Public_Resource_Access/7_6_0/rules/PH_RULE_Remote_Access_Tool_ScreenConnect_Temporary_File.htm</t>
  </si>
  <si>
    <t xml:space="preserve">PH_Rule_windows_SIGMA_3494</t>
  </si>
  <si>
    <t xml:space="preserve">Windows: Remote Access Tool - Simple Help Execution</t>
  </si>
  <si>
    <t xml:space="preserve">https://filestore.fortinet.com/docs.fortinet.com/fsiem/Public_Resource_Access/7_6_0/rules/PH_RULE_Remote_Access_Tool_Simple_Help_Execution.htm</t>
  </si>
  <si>
    <t xml:space="preserve">PH_Rule_windows_SIGMA_3495</t>
  </si>
  <si>
    <t xml:space="preserve">Windows: Remote Access Tool - TacticalRMM Agent Registration to Potentially Attacker-Controlled Server</t>
  </si>
  <si>
    <t xml:space="preserve">https://filestore.fortinet.com/docs.fortinet.com/fsiem/Public_Resource_Access/7_6_0/rules/PH_RULE_Remote_Access_Tool_TacticalRMM_Agent_Registration_to_Potentially_Attacker_Controlled_Server.htm</t>
  </si>
  <si>
    <t xml:space="preserve">PH_Rule_windows_SIGMA_3496</t>
  </si>
  <si>
    <t xml:space="preserve">Windows: Remote Access Tool - Team Viewer Session Started On Windows Host</t>
  </si>
  <si>
    <t xml:space="preserve">https://filestore.fortinet.com/docs.fortinet.com/fsiem/Public_Resource_Access/7_6_0/rules/PH_RULE_Remote_Access_Tool_Team_Viewer_Session_Started_On_Windows_Host.htm</t>
  </si>
  <si>
    <t xml:space="preserve">PH_Rule_SIGMA_1874</t>
  </si>
  <si>
    <t xml:space="preserve">Windows: Remote Access Tool Services Have Been Installed - System</t>
  </si>
  <si>
    <t xml:space="preserve">https://filestore.fortinet.com/docs.fortinet.com/fsiem/Public_Resource_Access/7_6_0/rules/PH_RULE_Remote_Access_Tool_Services_Have_Been_Installed_System.htm</t>
  </si>
  <si>
    <t xml:space="preserve">PH_Rule_windows_SIGMA_2783</t>
  </si>
  <si>
    <t xml:space="preserve">Windows: Remote AppX Package Downloaded from File Sharing or CDN Domain</t>
  </si>
  <si>
    <t xml:space="preserve">https://filestore.fortinet.com/docs.fortinet.com/fsiem/Public_Resource_Access/7_6_0/rules/PH_RULE_Remote_AppX_Package_Downloaded_from_File_Sharing_or_CDN_Domain.htm</t>
  </si>
  <si>
    <t xml:space="preserve">PH_Rule_SIGMA_2316</t>
  </si>
  <si>
    <t xml:space="preserve">Windows: Remote CHM File Download/Execution Via HH.EXE</t>
  </si>
  <si>
    <t xml:space="preserve">https://filestore.fortinet.com/docs.fortinet.com/fsiem/Public_Resource_Access/7_6_0/rules/PH_RULE_Remote_CHM_File_Download_Execution_Via_HH_EXE.htm</t>
  </si>
  <si>
    <t xml:space="preserve">PH_Rule_SIGMA_1690</t>
  </si>
  <si>
    <t xml:space="preserve">Windows: Remote Code Execute via Winrm.vbs</t>
  </si>
  <si>
    <t xml:space="preserve">https://filestore.fortinet.com/docs.fortinet.com/fsiem/Public_Resource_Access/7_6_0/rules/PH_RULE_Remote_Code_Execute_via_Winrm_vbs.htm</t>
  </si>
  <si>
    <t xml:space="preserve">Microsoft Windows Terminal Services LocalSessionManager/Operational logs via Windows Collector; Microsoft Windows Security Log via OMI or Windows Collector</t>
  </si>
  <si>
    <t xml:space="preserve">PH_Rule_windows_SIGMA_2998</t>
  </si>
  <si>
    <t xml:space="preserve">Windows: Remote DLL Load Via Rundll32.EXE</t>
  </si>
  <si>
    <t xml:space="preserve">https://filestore.fortinet.com/docs.fortinet.com/fsiem/Public_Resource_Access/7_6_0/rules/PH_RULE_Remote_DLL_Load_Via_Rundll32_EXE.htm</t>
  </si>
  <si>
    <t xml:space="preserve">PH_Rule_SIGMA_2605</t>
  </si>
  <si>
    <t xml:space="preserve">Windows: Remote PowerShell Session Host Process WinRM</t>
  </si>
  <si>
    <t xml:space="preserve">https://filestore.fortinet.com/docs.fortinet.com/fsiem/Public_Resource_Access/7_6_0/rules/PH_RULE_Remote_PowerShell_Session_Host_Process_WinRM_.htm</t>
  </si>
  <si>
    <t xml:space="preserve">PH_Rule_SIGMA_360</t>
  </si>
  <si>
    <t xml:space="preserve">Windows: Remote PowerShell Session Network</t>
  </si>
  <si>
    <t xml:space="preserve">https://filestore.fortinet.com/docs.fortinet.com/fsiem/Public_Resource_Access/7_6_0/rules/PH_RULE_Remote_PowerShell_Session.htm</t>
  </si>
  <si>
    <t xml:space="preserve">PH_Rule_windows_SIGMA_3083</t>
  </si>
  <si>
    <t xml:space="preserve">Windows: Remote PowerShell Session PS Classic</t>
  </si>
  <si>
    <t xml:space="preserve">https://filestore.fortinet.com/docs.fortinet.com/fsiem/Public_Resource_Access/7_6_0/rules/PH_RULE_Remote_PowerShell_Session_PS_Classic_.htm</t>
  </si>
  <si>
    <t xml:space="preserve">PH_Rule_windows_SIGMA_3111</t>
  </si>
  <si>
    <t xml:space="preserve">Windows: Remote PowerShell Session PS Module</t>
  </si>
  <si>
    <t xml:space="preserve">https://filestore.fortinet.com/docs.fortinet.com/fsiem/Public_Resource_Access/7_6_0/rules/PH_RULE_Remote_PowerShell_Session_PS_Module_.htm</t>
  </si>
  <si>
    <t xml:space="preserve">PH_Rule_windows_SIGMA_2896</t>
  </si>
  <si>
    <t xml:space="preserve">Windows: Remote Thread Creation By Uncommon Source Image</t>
  </si>
  <si>
    <t xml:space="preserve">https://filestore.fortinet.com/docs.fortinet.com/fsiem/Public_Resource_Access/7_6_0/rules/PH_RULE_Remote_Thread_Creation_By_Uncommon_Source_Image.htm</t>
  </si>
  <si>
    <t xml:space="preserve">PH_Rule_windows_SIGMA_2891</t>
  </si>
  <si>
    <t xml:space="preserve">Windows: Remote Thread Creation In Mstsc.Exe From Suspicious Location</t>
  </si>
  <si>
    <t xml:space="preserve">https://filestore.fortinet.com/docs.fortinet.com/fsiem/Public_Resource_Access/7_6_0/rules/PH_RULE_Remote_Thread_Creation_In_Mstsc_Exe_From_Suspicious_Location.htm</t>
  </si>
  <si>
    <t xml:space="preserve">PH_Rule_windows_SIGMA_2898</t>
  </si>
  <si>
    <t xml:space="preserve">Windows: Remote Thread Creation Ttdinject.exe Proxy</t>
  </si>
  <si>
    <t xml:space="preserve">https://filestore.fortinet.com/docs.fortinet.com/fsiem/Public_Resource_Access/7_6_0/rules/PH_RULE_Remote_Thread_Creation_Ttdinject_exe_Proxy.htm</t>
  </si>
  <si>
    <t xml:space="preserve">PH_Rule_windows_SIGMA_2893</t>
  </si>
  <si>
    <t xml:space="preserve">Windows: Remote Thread Creation Via PowerShell In Uncommon Target</t>
  </si>
  <si>
    <t xml:space="preserve">https://filestore.fortinet.com/docs.fortinet.com/fsiem/Public_Resource_Access/7_6_0/rules/PH_RULE_Remote_Thread_Creation_Via_PowerShell_In_Uncommon_Target.htm</t>
  </si>
  <si>
    <t xml:space="preserve">PH_Rule_SIGMA_1875</t>
  </si>
  <si>
    <t xml:space="preserve">Windows: Remote Utilities Host Service Install</t>
  </si>
  <si>
    <t xml:space="preserve">https://filestore.fortinet.com/docs.fortinet.com/fsiem/Public_Resource_Access/7_6_0/rules/PH_RULE_Remote_Utilities_Host_Service_Install.htm</t>
  </si>
  <si>
    <t xml:space="preserve">PH_Rule_windows_SIGMA_3407</t>
  </si>
  <si>
    <t xml:space="preserve">Windows: Remote XSL Execution Via Msxsl.EXE</t>
  </si>
  <si>
    <t xml:space="preserve">https://filestore.fortinet.com/docs.fortinet.com/fsiem/Public_Resource_Access/7_6_0/rules/PH_RULE_Remote_XSL_Execution_Via_Msxsl_EXE.htm</t>
  </si>
  <si>
    <t xml:space="preserve">PH_Rule_SIGMA_2449</t>
  </si>
  <si>
    <t xml:space="preserve">Windows: RemoteFXvGPUDisablement Abuse Via AtomicTestHarnesses</t>
  </si>
  <si>
    <t xml:space="preserve">https://filestore.fortinet.com/docs.fortinet.com/fsiem/Public_Resource_Access/7_6_0/rules/PH_RULE_RemoteFXvGPUDisablement_Abuse_Via_AtomicTestHarnesses.htm</t>
  </si>
  <si>
    <t xml:space="preserve">PH_Rule_SIGMA_2390</t>
  </si>
  <si>
    <t xml:space="preserve">Windows: Remotely Hosted HTA File Executed Via Mshta.EXE</t>
  </si>
  <si>
    <t xml:space="preserve">https://filestore.fortinet.com/docs.fortinet.com/fsiem/Public_Resource_Access/7_6_0/rules/PH_RULE_Remotely_Hosted_HTA_File_Executed_Via_Mshta_EXE.htm</t>
  </si>
  <si>
    <t xml:space="preserve">PH_Rule_windows_SIGMA_3616</t>
  </si>
  <si>
    <t xml:space="preserve">Windows: Removal Of AMSI Provider Registry Keys</t>
  </si>
  <si>
    <t xml:space="preserve">https://filestore.fortinet.com/docs.fortinet.com/fsiem/Public_Resource_Access/7_6_0/rules/PH_RULE_Removal_Of_AMSI_Provider_Registry_Keys.htm</t>
  </si>
  <si>
    <t xml:space="preserve">PH_Rule_windows_SIGMA_3619</t>
  </si>
  <si>
    <t xml:space="preserve">Windows: Removal Of Index Value to Hide Schedule Task - Registry</t>
  </si>
  <si>
    <t xml:space="preserve">https://filestore.fortinet.com/docs.fortinet.com/fsiem/Public_Resource_Access/7_6_0/rules/PH_RULE_Removal_Of_Index_Value_to_Hide_Schedule_Task_Registry.htm</t>
  </si>
  <si>
    <t xml:space="preserve">PH_Rule_windows_SIGMA_3617</t>
  </si>
  <si>
    <t xml:space="preserve">Windows: Removal of Potential COM Hijacking Registry Keys</t>
  </si>
  <si>
    <t xml:space="preserve">https://filestore.fortinet.com/docs.fortinet.com/fsiem/Public_Resource_Access/7_6_0/rules/PH_RULE_Removal_of_Potential_COM_Hijacking_Registry_Keys.htm</t>
  </si>
  <si>
    <t xml:space="preserve">PH_Rule_windows_SIGMA_3620</t>
  </si>
  <si>
    <t xml:space="preserve">Windows: Removal Of SD Value to Hide Schedule Task - Registry</t>
  </si>
  <si>
    <t xml:space="preserve">https://filestore.fortinet.com/docs.fortinet.com/fsiem/Public_Resource_Access/7_6_0/rules/PH_RULE_Removal_Of_SD_Value_to_Hide_Schedule_Task_Registry.htm</t>
  </si>
  <si>
    <t xml:space="preserve">PH_Rule_windows_SIGMA_2813</t>
  </si>
  <si>
    <t xml:space="preserve">Windows: Remove Exported Mailbox from Exchange Webserver</t>
  </si>
  <si>
    <t xml:space="preserve">https://filestore.fortinet.com/docs.fortinet.com/fsiem/Public_Resource_Access/7_6_0/rules/PH_RULE_Remove_Exported_Mailbox_from_Exchange_Webserver.htm</t>
  </si>
  <si>
    <t xml:space="preserve">PH_Rule_SIGMA_2496</t>
  </si>
  <si>
    <t xml:space="preserve">Windows: Renamed AutoHotkey.EXE Execution</t>
  </si>
  <si>
    <t xml:space="preserve">https://filestore.fortinet.com/docs.fortinet.com/fsiem/Public_Resource_Access/7_6_0/rules/PH_RULE_Renamed_AutoHotkey_EXE_Execution.htm</t>
  </si>
  <si>
    <t xml:space="preserve">PH_Rule_windows_SIGMA_3497</t>
  </si>
  <si>
    <t xml:space="preserve">Windows: Renamed AutoIt Execution</t>
  </si>
  <si>
    <t xml:space="preserve">https://filestore.fortinet.com/docs.fortinet.com/fsiem/Public_Resource_Access/7_6_0/rules/PH_RULE_Renamed_AutoIt_Execution.htm</t>
  </si>
  <si>
    <t xml:space="preserve">PH_Rule_windows_SIGMA_3498</t>
  </si>
  <si>
    <t xml:space="preserve">Windows: Renamed BOINC Client Execution</t>
  </si>
  <si>
    <t xml:space="preserve">https://filestore.fortinet.com/docs.fortinet.com/fsiem/Public_Resource_Access/7_6_0/rules/PH_RULE_Renamed_BOINC_Client_Execution.htm</t>
  </si>
  <si>
    <t xml:space="preserve">PH_Rule_windows_SIGMA_3471</t>
  </si>
  <si>
    <t xml:space="preserve">Windows: Renamed CURL.EXE Execution</t>
  </si>
  <si>
    <t xml:space="preserve">https://filestore.fortinet.com/docs.fortinet.com/fsiem/Public_Resource_Access/7_6_0/rules/PH_RULE_Renamed_CURL_EXE_Execution.htm</t>
  </si>
  <si>
    <t xml:space="preserve">PH_Rule_SIGMA_2498</t>
  </si>
  <si>
    <t xml:space="preserve">Windows: Renamed FTP.EXE Execution</t>
  </si>
  <si>
    <t xml:space="preserve">https://filestore.fortinet.com/docs.fortinet.com/fsiem/Public_Resource_Access/7_6_0/rules/PH_RULE_Renamed_FTP_EXE_Execution.htm</t>
  </si>
  <si>
    <t xml:space="preserve">PH_Rule_windows_SIGMA_3500</t>
  </si>
  <si>
    <t xml:space="preserve">Windows: Renamed Gpg.EXE Execution</t>
  </si>
  <si>
    <t xml:space="preserve">https://filestore.fortinet.com/docs.fortinet.com/fsiem/Public_Resource_Access/7_6_0/rules/PH_RULE_Renamed_Gpg_EXE_Execution.htm</t>
  </si>
  <si>
    <t xml:space="preserve">PH_Rule_SIGMA_501</t>
  </si>
  <si>
    <t xml:space="preserve">Windows: Renamed Jusched.EXE Execution</t>
  </si>
  <si>
    <t xml:space="preserve">https://filestore.fortinet.com/docs.fortinet.com/fsiem/Public_Resource_Access/7_6_0/rules/PH_RULE_Renamed_jusched_exe.htm</t>
  </si>
  <si>
    <t xml:space="preserve">PH_Rule_SIGMA_2499</t>
  </si>
  <si>
    <t xml:space="preserve">Windows: Renamed Mavinject.EXE Execution</t>
  </si>
  <si>
    <t xml:space="preserve">https://filestore.fortinet.com/docs.fortinet.com/fsiem/Public_Resource_Access/7_6_0/rules/PH_RULE_Renamed_Mavinject_EXE_Execution.htm</t>
  </si>
  <si>
    <t xml:space="preserve">PH_Rule_SIGMA_1492</t>
  </si>
  <si>
    <t xml:space="preserve">Windows: Renamed MegaSync Execution</t>
  </si>
  <si>
    <t xml:space="preserve">https://filestore.fortinet.com/docs.fortinet.com/fsiem/Public_Resource_Access/7_6_0/rules/PH_RULE_Renamed_MegaSync.htm</t>
  </si>
  <si>
    <t xml:space="preserve">PH_Rule_windows_SIGMA_3501</t>
  </si>
  <si>
    <t xml:space="preserve">Windows: Renamed Microsoft Teams Execution</t>
  </si>
  <si>
    <t xml:space="preserve">https://filestore.fortinet.com/docs.fortinet.com/fsiem/Public_Resource_Access/7_6_0/rules/PH_RULE_Renamed_Microsoft_Teams_Execution.htm</t>
  </si>
  <si>
    <t xml:space="preserve">PH_Rule_SIGMA_1493</t>
  </si>
  <si>
    <t xml:space="preserve">Windows: Renamed Msdt.EXE Execution</t>
  </si>
  <si>
    <t xml:space="preserve">https://filestore.fortinet.com/docs.fortinet.com/fsiem/Public_Resource_Access/7_6_0/rules/PH_RULE_Renamed_Msdt_exe.htm</t>
  </si>
  <si>
    <t xml:space="preserve">PH_Rule_SIGMA_2500</t>
  </si>
  <si>
    <t xml:space="preserve">Windows: Renamed NetSupport RAT Execution</t>
  </si>
  <si>
    <t xml:space="preserve">https://filestore.fortinet.com/docs.fortinet.com/fsiem/Public_Resource_Access/7_6_0/rules/PH_RULE_Renamed_NetSupport_RAT_Execution.htm</t>
  </si>
  <si>
    <t xml:space="preserve">PH_Rule_windows_SIGMA_3502</t>
  </si>
  <si>
    <t xml:space="preserve">Windows: Renamed NirCmd.EXE Execution</t>
  </si>
  <si>
    <t xml:space="preserve">https://filestore.fortinet.com/docs.fortinet.com/fsiem/Public_Resource_Access/7_6_0/rules/PH_RULE_Renamed_NirCmd_EXE_Execution.htm</t>
  </si>
  <si>
    <t xml:space="preserve">PH_Rule_SIGMA_2501</t>
  </si>
  <si>
    <t xml:space="preserve">Windows: Renamed Office Binary Execution</t>
  </si>
  <si>
    <t xml:space="preserve">https://filestore.fortinet.com/docs.fortinet.com/fsiem/Public_Resource_Access/7_6_0/rules/PH_RULE_Renamed_Office_Binary_Execution.htm</t>
  </si>
  <si>
    <t xml:space="preserve">PH_Rule_SIGMA_1627</t>
  </si>
  <si>
    <t xml:space="preserve">Windows: Renamed PAExec Execution</t>
  </si>
  <si>
    <t xml:space="preserve">https://filestore.fortinet.com/docs.fortinet.com/fsiem/Public_Resource_Access/7_6_0/rules/PH_RULE_Renamed_PAExec.htm</t>
  </si>
  <si>
    <t xml:space="preserve">PH_Rule_windows_SIGMA_3503</t>
  </si>
  <si>
    <t xml:space="preserve">Windows: Renamed PingCastle Binary Execution</t>
  </si>
  <si>
    <t xml:space="preserve">https://filestore.fortinet.com/docs.fortinet.com/fsiem/Public_Resource_Access/7_6_0/rules/PH_RULE_Renamed_PingCastle_Binary_Execution.htm</t>
  </si>
  <si>
    <t xml:space="preserve">PH_Rule_SIGMA_1494</t>
  </si>
  <si>
    <t xml:space="preserve">Windows: Renamed Plink Execution</t>
  </si>
  <si>
    <t xml:space="preserve">https://filestore.fortinet.com/docs.fortinet.com/fsiem/Public_Resource_Access/7_6_0/rules/PH_RULE_Execution_Of_Renamed_Plink_Binary.htm</t>
  </si>
  <si>
    <t xml:space="preserve">PH_Rule_windows_SIGMA_3085</t>
  </si>
  <si>
    <t xml:space="preserve">Windows: Renamed Powershell Under Powershell Channel</t>
  </si>
  <si>
    <t xml:space="preserve">https://filestore.fortinet.com/docs.fortinet.com/fsiem/Public_Resource_Access/7_6_0/rules/PH_RULE_Renamed_Powershell_Under_Powershell_Channel.htm</t>
  </si>
  <si>
    <t xml:space="preserve">PH_Rule_SIGMA_505</t>
  </si>
  <si>
    <t xml:space="preserve">Windows: Renamed PsExec Service Execution</t>
  </si>
  <si>
    <t xml:space="preserve">https://filestore.fortinet.com/docs.fortinet.com/fsiem/Public_Resource_Access/7_6_0/rules/PH_RULE_Renamed_PsExec.htm</t>
  </si>
  <si>
    <t xml:space="preserve">PH_Rule_SIGMA_2503</t>
  </si>
  <si>
    <t xml:space="preserve">Windows: Renamed Remote Utilities RAT RURAT Execution</t>
  </si>
  <si>
    <t xml:space="preserve">https://filestore.fortinet.com/docs.fortinet.com/fsiem/Public_Resource_Access/7_6_0/rules/PH_RULE_Renamed_Remote_Utilities_RAT_RURAT_Execution.htm</t>
  </si>
  <si>
    <t xml:space="preserve">PH_Rule_windows_SIGMA_3504</t>
  </si>
  <si>
    <t xml:space="preserve">Windows: Renamed Schtasks Execution</t>
  </si>
  <si>
    <t xml:space="preserve">https://filestore.fortinet.com/docs.fortinet.com/fsiem/Public_Resource_Access/7_6_0/rules/PH_RULE_Renamed_Schtasks_Execution.htm</t>
  </si>
  <si>
    <t xml:space="preserve">PH_Rule_SIGMA_593</t>
  </si>
  <si>
    <t xml:space="preserve">Windows: Renamed SysInternals DebugView Execution</t>
  </si>
  <si>
    <t xml:space="preserve">https://filestore.fortinet.com/docs.fortinet.com/fsiem/Public_Resource_Access/7_6_0/rules/PH_RULE_Renamed_SysInternals_Debug_View.htm</t>
  </si>
  <si>
    <t xml:space="preserve">PH_Rule_SIGMA_2504</t>
  </si>
  <si>
    <t xml:space="preserve">Windows: Renamed Sysinternals Sdelete Execution</t>
  </si>
  <si>
    <t xml:space="preserve">https://filestore.fortinet.com/docs.fortinet.com/fsiem/Public_Resource_Access/7_6_0/rules/PH_RULE_Renamed_Sysinternals_Sdelete_Execution.htm</t>
  </si>
  <si>
    <t xml:space="preserve">PH_Rule_windows_SIGMA_3574</t>
  </si>
  <si>
    <t xml:space="preserve">Windows: Renamed Visual Studio Code Tunnel Execution</t>
  </si>
  <si>
    <t xml:space="preserve">https://filestore.fortinet.com/docs.fortinet.com/fsiem/Public_Resource_Access/7_6_0/rules/PH_RULE_Renamed_Visual_Studio_Code_Tunnel_Execution.htm</t>
  </si>
  <si>
    <t xml:space="preserve">PH_Rule_SIGMA_2505</t>
  </si>
  <si>
    <t xml:space="preserve">Windows: Renamed Vmnat.exe Execution</t>
  </si>
  <si>
    <t xml:space="preserve">https://filestore.fortinet.com/docs.fortinet.com/fsiem/Public_Resource_Access/7_6_0/rules/PH_RULE_Renamed_Vmnat_exe_Execution.htm</t>
  </si>
  <si>
    <t xml:space="preserve">PH_Rule_windows_SIGMA_2987</t>
  </si>
  <si>
    <t xml:space="preserve">Windows: Renamed VsCode Code Tunnel Execution - File Indicator</t>
  </si>
  <si>
    <t xml:space="preserve">https://filestore.fortinet.com/docs.fortinet.com/fsiem/Public_Resource_Access/7_6_0/rules/PH_RULE_Renamed_VsCode_Code_Tunnel_Execution_File_Indicator.htm</t>
  </si>
  <si>
    <t xml:space="preserve">PH_Rule_SIGMA_1496</t>
  </si>
  <si>
    <t xml:space="preserve">Windows: Renamed Whoami Execution</t>
  </si>
  <si>
    <t xml:space="preserve">https://filestore.fortinet.com/docs.fortinet.com/fsiem/Public_Resource_Access/7_6_0/rules/PH_RULE_Renamed_Whoami_Execution.htm</t>
  </si>
  <si>
    <t xml:space="preserve">PH_Rule_windows_SIGMA_3257</t>
  </si>
  <si>
    <t xml:space="preserve">Windows: Replace Desktop Wallpaper by Powershell</t>
  </si>
  <si>
    <t xml:space="preserve">https://filestore.fortinet.com/docs.fortinet.com/fsiem/Public_Resource_Access/7_6_0/rules/PH_RULE_Replace_Desktop_Wallpaper_by_Powershell.htm</t>
  </si>
  <si>
    <t xml:space="preserve">PH_Rule_SIGMA_1393</t>
  </si>
  <si>
    <t xml:space="preserve">Windows: Replace.exe Usage</t>
  </si>
  <si>
    <t xml:space="preserve">https://filestore.fortinet.com/docs.fortinet.com/fsiem/Public_Resource_Access/7_6_0/rules/PH_RULE_Replace_exe_Usage.htm</t>
  </si>
  <si>
    <t xml:space="preserve">PH_Rule_SIGMA_1789</t>
  </si>
  <si>
    <t xml:space="preserve">Windows: Restricted Software Access By SRP</t>
  </si>
  <si>
    <t xml:space="preserve">https://filestore.fortinet.com/docs.fortinet.com/fsiem/Public_Resource_Access/7_6_0/rules/PH_RULE_Restricted_Software_Access_By_SRP.htm</t>
  </si>
  <si>
    <t xml:space="preserve">PH_Rule_windows_SIGMA_3715</t>
  </si>
  <si>
    <t xml:space="preserve">Windows: RestrictedAdminMode Registry Value Tampering</t>
  </si>
  <si>
    <t xml:space="preserve">https://filestore.fortinet.com/docs.fortinet.com/fsiem/Public_Resource_Access/7_6_0/rules/PH_RULE_RestrictedAdminMode_Registry_Value_Tampering.htm</t>
  </si>
  <si>
    <t xml:space="preserve">PH_Rule_SIGMA_2484</t>
  </si>
  <si>
    <t xml:space="preserve">Windows: RestrictedAdminMode Registry Value Tampering - ProcCreation</t>
  </si>
  <si>
    <t xml:space="preserve">https://filestore.fortinet.com/docs.fortinet.com/fsiem/Public_Resource_Access/7_6_0/rules/PH_RULE_Disabled_RestrictedAdminMode_For_RDS_ProcCreation.htm</t>
  </si>
  <si>
    <t xml:space="preserve">PH_Rule_windows_SIGMA_3209</t>
  </si>
  <si>
    <t xml:space="preserve">Windows: Root Certificate Installed - PowerShell</t>
  </si>
  <si>
    <t xml:space="preserve">https://filestore.fortinet.com/docs.fortinet.com/fsiem/Public_Resource_Access/7_6_0/rules/PH_RULE_Root_Certificate_Installed_PowerShell.htm</t>
  </si>
  <si>
    <t xml:space="preserve">PH_Rule_SIGMA_1497</t>
  </si>
  <si>
    <t xml:space="preserve">Windows: Root Certificate Installed From Susp Locations</t>
  </si>
  <si>
    <t xml:space="preserve">https://filestore.fortinet.com/docs.fortinet.com/fsiem/Public_Resource_Access/7_6_0/rules/PH_RULE_Root_Certificate_Installed.htm</t>
  </si>
  <si>
    <t xml:space="preserve">PH_Rule_SIGMA_1882</t>
  </si>
  <si>
    <t xml:space="preserve">Windows: RTCore Suspicious Service Installation</t>
  </si>
  <si>
    <t xml:space="preserve">https://filestore.fortinet.com/docs.fortinet.com/fsiem/Public_Resource_Access/7_6_0/rules/PH_RULE_RTCore_Suspicious_Service_Installation.htm</t>
  </si>
  <si>
    <t xml:space="preserve">PH_Rule_SIGMA_2506</t>
  </si>
  <si>
    <t xml:space="preserve">Windows: Ruby Inline Command Execution</t>
  </si>
  <si>
    <t xml:space="preserve">https://filestore.fortinet.com/docs.fortinet.com/fsiem/Public_Resource_Access/7_6_0/rules/PH_RULE_Ruby_Inline_Command_Execution.htm</t>
  </si>
  <si>
    <t xml:space="preserve">PH_Rule_SIGMA_810</t>
  </si>
  <si>
    <t xml:space="preserve">Windows: Run Once Task Configuration in Registry</t>
  </si>
  <si>
    <t xml:space="preserve">https://filestore.fortinet.com/docs.fortinet.com/fsiem/Public_Resource_Access/7_6_0/rules/PH_RULE_Run_Once_Task_Configuration_in_Registry.htm</t>
  </si>
  <si>
    <t xml:space="preserve">PH_Rule_SIGMA_1638</t>
  </si>
  <si>
    <t xml:space="preserve">Windows: Run Once Task Execution as Configured in Registry</t>
  </si>
  <si>
    <t xml:space="preserve">https://filestore.fortinet.com/docs.fortinet.com/fsiem/Public_Resource_Access/7_6_0/rules/PH_RULE_Run_Once_Task_Execution_as_Configured_in_Registry.htm</t>
  </si>
  <si>
    <t xml:space="preserve">PH_Rule_SIGMA_506</t>
  </si>
  <si>
    <t xml:space="preserve">Windows: Run PowerShell Script from ADS</t>
  </si>
  <si>
    <t xml:space="preserve">https://filestore.fortinet.com/docs.fortinet.com/fsiem/Public_Resource_Access/7_6_0/rules/PH_RULE_Run_PowerShell_Script_from_ADS.htm</t>
  </si>
  <si>
    <t xml:space="preserve">PH_Rule_SIGMA_1501</t>
  </si>
  <si>
    <t xml:space="preserve">Windows: Run PowerShell Script from Redirected Input Stream</t>
  </si>
  <si>
    <t xml:space="preserve">https://filestore.fortinet.com/docs.fortinet.com/fsiem/Public_Resource_Access/7_6_0/rules/PH_RULE_Run_PowerShell_Script_from_Redirected_Input_Stream.htm</t>
  </si>
  <si>
    <t xml:space="preserve">PH_Rule_windows_SIGMA_3510</t>
  </si>
  <si>
    <t xml:space="preserve">Windows: Rundll32 Execution With Uncommon DLL Extension</t>
  </si>
  <si>
    <t xml:space="preserve">https://filestore.fortinet.com/docs.fortinet.com/fsiem/Public_Resource_Access/7_6_0/rules/PH_RULE_Rundll32_Execution_With_Uncommon_DLL_Extension.htm</t>
  </si>
  <si>
    <t xml:space="preserve">PH_Rule_SIGMA_1632</t>
  </si>
  <si>
    <t xml:space="preserve">Windows: Rundll32 Execution Without CommandLine Parameters</t>
  </si>
  <si>
    <t xml:space="preserve">https://filestore.fortinet.com/docs.fortinet.com/fsiem/Public_Resource_Access/7_6_0/rules/PH_RULE_Suspicious_Rundll32_Without_Any_CommandLine_Params.htm</t>
  </si>
  <si>
    <t xml:space="preserve">PH_Rule_SIGMA_1394</t>
  </si>
  <si>
    <t xml:space="preserve">Windows: Rundll32 InstallScreenSaver Execution</t>
  </si>
  <si>
    <t xml:space="preserve">https://filestore.fortinet.com/docs.fortinet.com/fsiem/Public_Resource_Access/7_6_0/rules/PH_RULE_Rundll32_InstallScreenSaver_Execution.htm</t>
  </si>
  <si>
    <t xml:space="preserve">PH_Rule_SIGMA_361</t>
  </si>
  <si>
    <t xml:space="preserve">Windows: Rundll32 Internet Connection</t>
  </si>
  <si>
    <t xml:space="preserve">https://filestore.fortinet.com/docs.fortinet.com/fsiem/Public_Resource_Access/7_6_0/rules/PH_RULE_Rundll32_Internet_Connection.htm</t>
  </si>
  <si>
    <t xml:space="preserve">PH_Rule_SIGMA_2509</t>
  </si>
  <si>
    <t xml:space="preserve">Windows: Rundll32 Registered COM Objects</t>
  </si>
  <si>
    <t xml:space="preserve">https://filestore.fortinet.com/docs.fortinet.com/fsiem/Public_Resource_Access/7_6_0/rules/PH_RULE_Rundll32_Registered_COM_Objects.htm</t>
  </si>
  <si>
    <t xml:space="preserve">PH_Rule_SIGMA_1504</t>
  </si>
  <si>
    <t xml:space="preserve">Windows: Rundll32 Spawned Via Explorer.EXE</t>
  </si>
  <si>
    <t xml:space="preserve">https://filestore.fortinet.com/docs.fortinet.com/fsiem/Public_Resource_Access/7_6_0/rules/PH_RULE_Rundll32_With_Suspicious_Parent_Process.htm</t>
  </si>
  <si>
    <t xml:space="preserve">PH_Rule_SIGMA_1635</t>
  </si>
  <si>
    <t xml:space="preserve">Windows: RunDLL32 Spawning Explorer</t>
  </si>
  <si>
    <t xml:space="preserve">https://filestore.fortinet.com/docs.fortinet.com/fsiem/Public_Resource_Access/7_6_0/rules/PH_RULE_RunDLL32_Spawning_Explorer.htm</t>
  </si>
  <si>
    <t xml:space="preserve">PH_Rule_SIGMA_2512</t>
  </si>
  <si>
    <t xml:space="preserve">Windows: Rundll32 UNC Path Execution</t>
  </si>
  <si>
    <t xml:space="preserve">https://filestore.fortinet.com/docs.fortinet.com/fsiem/Public_Resource_Access/7_6_0/rules/PH_RULE_Rundll32_UNC_Path_Execution.htm</t>
  </si>
  <si>
    <t xml:space="preserve">PH_Rule_windows_SIGMA_3461</t>
  </si>
  <si>
    <t xml:space="preserve">Windows: RunMRU Registry Key Deletion</t>
  </si>
  <si>
    <t xml:space="preserve">https://filestore.fortinet.com/docs.fortinet.com/fsiem/Public_Resource_Access/7_6_0/rules/PH_RULE_RunMRU_Registry_Key_Deletion.htm</t>
  </si>
  <si>
    <t xml:space="preserve">PH_Rule_windows_SIGMA_3618</t>
  </si>
  <si>
    <t xml:space="preserve">Windows: RunMRU Registry Key Deletion - Registry</t>
  </si>
  <si>
    <t xml:space="preserve">https://filestore.fortinet.com/docs.fortinet.com/fsiem/Public_Resource_Access/7_6_0/rules/PH_RULE_RunMRU_Registry_Key_Deletion_Registry.htm</t>
  </si>
  <si>
    <t xml:space="preserve">PH_Rule_SIGMA_2480</t>
  </si>
  <si>
    <t xml:space="preserve">Windows: SafeBoot Registry Key Deleted Via Reg.EXE</t>
  </si>
  <si>
    <t xml:space="preserve">https://filestore.fortinet.com/docs.fortinet.com/fsiem/Public_Resource_Access/7_6_0/rules/PH_RULE_SafeBoot_Registry_Key_Deleted_Via_Reg_EXE.htm</t>
  </si>
  <si>
    <t xml:space="preserve">PH_Rule_SIGMA_1643</t>
  </si>
  <si>
    <t xml:space="preserve">Windows: Schedule Task Creation From Env Variable Or Potentially Suspicious Path Via Schtasks.EXE</t>
  </si>
  <si>
    <t xml:space="preserve">https://filestore.fortinet.com/docs.fortinet.com/fsiem/Public_Resource_Access/7_6_0/rules/PH_RULE_Suspicius_Schtasks_From_Env_Var_Folder.htm</t>
  </si>
  <si>
    <t xml:space="preserve">PH_Rule_windows_SIGMA_3515</t>
  </si>
  <si>
    <t xml:space="preserve">Windows: Scheduled Task Creation Masquerading as System Processes</t>
  </si>
  <si>
    <t xml:space="preserve">https://filestore.fortinet.com/docs.fortinet.com/fsiem/Public_Resource_Access/7_6_0/rules/PH_RULE_Scheduled_Task_Creation_Masquerading_as_System_Processes.htm</t>
  </si>
  <si>
    <t xml:space="preserve">PH_Rule_SIGMA_597</t>
  </si>
  <si>
    <t xml:space="preserve">Windows: Scheduled Task Creation Via Schtasks.EXE</t>
  </si>
  <si>
    <t xml:space="preserve">https://filestore.fortinet.com/docs.fortinet.com/fsiem/Public_Resource_Access/7_6_0/rules/PH_RULE_Scheduled_Task_Creation.htm</t>
  </si>
  <si>
    <t xml:space="preserve">PH_Rule_windows_SIGMA_3512</t>
  </si>
  <si>
    <t xml:space="preserve">Windows: Scheduled Task Creation with Curl and PowerShell Execution Combo</t>
  </si>
  <si>
    <t xml:space="preserve">https://filestore.fortinet.com/docs.fortinet.com/fsiem/Public_Resource_Access/7_6_0/rules/PH_RULE_Scheduled_Task_Creation_with_Curl_and_PowerShell_Execution_Combo.htm</t>
  </si>
  <si>
    <t xml:space="preserve">PH_Rule_windows_SIGMA_2868</t>
  </si>
  <si>
    <t xml:space="preserve">Windows: Scheduled Task Executed From A Suspicious Location</t>
  </si>
  <si>
    <t xml:space="preserve">https://filestore.fortinet.com/docs.fortinet.com/fsiem/Public_Resource_Access/7_6_0/rules/PH_RULE_Scheduled_Task_Executed_From_A_Suspicious_Location.htm</t>
  </si>
  <si>
    <t xml:space="preserve">PH_Rule_windows_SIGMA_2869</t>
  </si>
  <si>
    <t xml:space="preserve">Windows: Scheduled Task Executed Uncommon LOLBIN</t>
  </si>
  <si>
    <t xml:space="preserve">https://filestore.fortinet.com/docs.fortinet.com/fsiem/Public_Resource_Access/7_6_0/rules/PH_RULE_Scheduled_Task_Executed_Uncommon_LOLBIN.htm</t>
  </si>
  <si>
    <t xml:space="preserve">PH_Rule_windows_SIGMA_3514</t>
  </si>
  <si>
    <t xml:space="preserve">Windows: Scheduled Task Executing Encoded Payload from Registry</t>
  </si>
  <si>
    <t xml:space="preserve">https://filestore.fortinet.com/docs.fortinet.com/fsiem/Public_Resource_Access/7_6_0/rules/PH_RULE_Scheduled_Task_Executing_Encoded_Payload_from_Registry.htm</t>
  </si>
  <si>
    <t xml:space="preserve">PH_Rule_SIGMA_1509</t>
  </si>
  <si>
    <t xml:space="preserve">Windows: Scheduled Task Executing Payload from Registry</t>
  </si>
  <si>
    <t xml:space="preserve">https://filestore.fortinet.com/docs.fortinet.com/fsiem/Public_Resource_Access/7_6_0/rules/PH_RULE_Scheduled_Task_Executing_Powershell_Encoded_Payload_from_Registry.htm</t>
  </si>
  <si>
    <t xml:space="preserve">PH_Rule_windows_SIGMA_3803</t>
  </si>
  <si>
    <t xml:space="preserve">Windows: Scheduled TaskCache Change by Uncommon Program</t>
  </si>
  <si>
    <t xml:space="preserve">https://filestore.fortinet.com/docs.fortinet.com/fsiem/Public_Resource_Access/7_6_0/rules/PH_RULE_Scheduled_TaskCache_Change_by_Uncommon_Program.htm</t>
  </si>
  <si>
    <t xml:space="preserve">PH_Rule_SIGMA_2531</t>
  </si>
  <si>
    <t xml:space="preserve">Windows: Schtasks Creation Or Modification With SYSTEM Privileges</t>
  </si>
  <si>
    <t xml:space="preserve">https://filestore.fortinet.com/docs.fortinet.com/fsiem/Public_Resource_Access/7_6_0/rules/PH_RULE_Schtasks_Creation_Or_Modification_With_SYSTEM_Privileges.htm</t>
  </si>
  <si>
    <t xml:space="preserve">PH_Rule_SIGMA_1644</t>
  </si>
  <si>
    <t xml:space="preserve">Windows: Schtasks From Suspicious Folders</t>
  </si>
  <si>
    <t xml:space="preserve">https://filestore.fortinet.com/docs.fortinet.com/fsiem/Public_Resource_Access/7_6_0/rules/PH_RULE_Schtasks_From_Suspicious_Folders.htm</t>
  </si>
  <si>
    <t xml:space="preserve">PH_Rule_SIGMA_906</t>
  </si>
  <si>
    <t xml:space="preserve">Windows: SCR File Write Event</t>
  </si>
  <si>
    <t xml:space="preserve">https://filestore.fortinet.com/docs.fortinet.com/fsiem/Public_Resource_Access/7_6_0/rules/PH_RULE_SCR_File_Write_Event.htm</t>
  </si>
  <si>
    <t xml:space="preserve">PH_Rule_SIGMA_586</t>
  </si>
  <si>
    <t xml:space="preserve">Windows: Screen Capture Activity Via Psr.EXE</t>
  </si>
  <si>
    <t xml:space="preserve">https://filestore.fortinet.com/docs.fortinet.com/fsiem/Public_Resource_Access/7_6_0/rules/PH_RULE_Psr_exe_Capture_Screenshots.htm</t>
  </si>
  <si>
    <t xml:space="preserve">PH_Rule_SIGMA_843</t>
  </si>
  <si>
    <t xml:space="preserve">Windows: ScreenConnect Temporary Installation Artefact</t>
  </si>
  <si>
    <t xml:space="preserve">https://filestore.fortinet.com/docs.fortinet.com/fsiem/Public_Resource_Access/7_6_0/rules/PH_RULE_ScreenConnect_Temporary_Installation_Artefact.htm</t>
  </si>
  <si>
    <t xml:space="preserve">PH_Rule_windows_SIGMA_3781</t>
  </si>
  <si>
    <t xml:space="preserve">Windows: ScreenSaver Registry Key Set</t>
  </si>
  <si>
    <t xml:space="preserve">https://filestore.fortinet.com/docs.fortinet.com/fsiem/Public_Resource_Access/7_6_0/rules/PH_RULE_ScreenSaver_Registry_Key_Set.htm</t>
  </si>
  <si>
    <t xml:space="preserve">PH_Rule_SIGMA_1512</t>
  </si>
  <si>
    <t xml:space="preserve">Windows: Script Event Consumer Spawning Process</t>
  </si>
  <si>
    <t xml:space="preserve">https://filestore.fortinet.com/docs.fortinet.com/fsiem/Public_Resource_Access/7_6_0/rules/PH_RULE_Script_Event_Consumer_Spawning_Process.htm</t>
  </si>
  <si>
    <t xml:space="preserve">PH_Rule_SIGMA_2058</t>
  </si>
  <si>
    <t xml:space="preserve">Windows: Script Initiated Connection to Non-Local Network</t>
  </si>
  <si>
    <t xml:space="preserve">https://filestore.fortinet.com/docs.fortinet.com/fsiem/Public_Resource_Access/7_6_0/rules/PH_RULE_Script_Initiated_Connection_to_Non_Local_Network.htm</t>
  </si>
  <si>
    <t xml:space="preserve">PH_Rule_SIGMA_1650</t>
  </si>
  <si>
    <t xml:space="preserve">Windows: Script Interpreter Execution From Suspicious Folder</t>
  </si>
  <si>
    <t xml:space="preserve">https://filestore.fortinet.com/docs.fortinet.com/fsiem/Public_Resource_Access/7_6_0/rules/PH_RULE_Script_Interpreter_Execution_From_Suspicious_Folder.htm</t>
  </si>
  <si>
    <t xml:space="preserve">PH_Rule_windows_SIGMA_3553</t>
  </si>
  <si>
    <t xml:space="preserve">Windows: Script Interpreter Spawning Credential Scanner - Windows</t>
  </si>
  <si>
    <t xml:space="preserve">https://filestore.fortinet.com/docs.fortinet.com/fsiem/Public_Resource_Access/7_6_0/rules/PH_RULE_Script_Interpreter_Spawning_Credential_Scanner_Windows.htm</t>
  </si>
  <si>
    <t xml:space="preserve">PH_Rule_windows_SIGMA_3694</t>
  </si>
  <si>
    <t xml:space="preserve">Windows: Scripted Diagnostics Turn Off Check Enabled - Registry</t>
  </si>
  <si>
    <t xml:space="preserve">https://filestore.fortinet.com/docs.fortinet.com/fsiem/Public_Resource_Access/7_6_0/rules/PH_RULE_Scripted_Diagnostics_Turn_Off_Check_Enabled_Registry.htm</t>
  </si>
  <si>
    <t xml:space="preserve">PH_Rule_SIGMA_1515</t>
  </si>
  <si>
    <t xml:space="preserve">Windows: Sdiagnhost Calling Suspicious Child Process</t>
  </si>
  <si>
    <t xml:space="preserve">https://filestore.fortinet.com/docs.fortinet.com/fsiem/Public_Resource_Access/7_6_0/rules/PH_RULE_Sdiagnhost_Calling_Suspicious_Child_Process.htm</t>
  </si>
  <si>
    <t xml:space="preserve">PH_Rule_windows_SIGMA_3353</t>
  </si>
  <si>
    <t xml:space="preserve">Windows: Security Event Logging Disabled via MiniNt Registry Key - Process</t>
  </si>
  <si>
    <t xml:space="preserve">https://filestore.fortinet.com/docs.fortinet.com/fsiem/Public_Resource_Access/7_6_0/rules/PH_RULE_Security_Event_Logging_Disabled_via_MiniNt_Registry_Key_Process.htm</t>
  </si>
  <si>
    <t xml:space="preserve">PH_Rule_windows_SIGMA_3658</t>
  </si>
  <si>
    <t xml:space="preserve">Windows: Security Event Logging Disabled via MiniNt Registry Key - Registry Set</t>
  </si>
  <si>
    <t xml:space="preserve">https://filestore.fortinet.com/docs.fortinet.com/fsiem/Public_Resource_Access/7_6_0/rules/PH_RULE_Security_Event_Logging_Disabled_via_MiniNt_Registry_Key_Registry_Set.htm</t>
  </si>
  <si>
    <t xml:space="preserve">PH_Rule_SIGMA_1730</t>
  </si>
  <si>
    <t xml:space="preserve">Windows: Security Privileges Enumeration Via Whoami.EXE</t>
  </si>
  <si>
    <t xml:space="preserve">https://filestore.fortinet.com/docs.fortinet.com/fsiem/Public_Resource_Access/7_6_0/rules/PH_RULE_Run_Whoami_Showing_Privileges.htm</t>
  </si>
  <si>
    <t xml:space="preserve">PH_Rule_SIGMA_2482</t>
  </si>
  <si>
    <t xml:space="preserve">Windows: Security Service Disabled Via Reg.EXE</t>
  </si>
  <si>
    <t xml:space="preserve">https://filestore.fortinet.com/docs.fortinet.com/fsiem/Public_Resource_Access/7_6_0/rules/PH_RULE_Reg_Disable_Security_Service.htm</t>
  </si>
  <si>
    <t xml:space="preserve">PH_Rule_windows_SIGMA_3165</t>
  </si>
  <si>
    <t xml:space="preserve">Windows: Security Software Discovery Via Powershell Script</t>
  </si>
  <si>
    <t xml:space="preserve">https://filestore.fortinet.com/docs.fortinet.com/fsiem/Public_Resource_Access/7_6_0/rules/PH_RULE_Security_Software_Discovery_Via_Powershell_Script.htm</t>
  </si>
  <si>
    <t xml:space="preserve">PH_Rule_windows_SIGMA_3357</t>
  </si>
  <si>
    <t xml:space="preserve">Windows: Security Tools Keyword Lookup Via Findstr.EXE</t>
  </si>
  <si>
    <t xml:space="preserve">https://filestore.fortinet.com/docs.fortinet.com/fsiem/Public_Resource_Access/7_6_0/rules/PH_RULE_Security_Tools_Keyword_Lookup_Via_Findstr_EXE.htm</t>
  </si>
  <si>
    <t xml:space="preserve">PH_Rule_windows_SIGMA_3386</t>
  </si>
  <si>
    <t xml:space="preserve">Windows: Self Extracting Package Creation Via Iexpress.EXE From Potentially Suspicious Location</t>
  </si>
  <si>
    <t xml:space="preserve">https://filestore.fortinet.com/docs.fortinet.com/fsiem/Public_Resource_Access/7_6_0/rules/PH_RULE_Self_Extracting_Package_Creation_Via_Iexpress_EXE_From_Potentially_Suspicious_Location.htm</t>
  </si>
  <si>
    <t xml:space="preserve">PH_Rule_windows_SIGMA_2970</t>
  </si>
  <si>
    <t xml:space="preserve">Windows: Self Extraction Directive File Created In Potentially Suspicious Location</t>
  </si>
  <si>
    <t xml:space="preserve">https://filestore.fortinet.com/docs.fortinet.com/fsiem/Public_Resource_Access/7_6_0/rules/PH_RULE_Self_Extraction_Directive_File_Created_In_Potentially_Suspicious_Location.htm</t>
  </si>
  <si>
    <t xml:space="preserve">PH_Rule_SIGMA_2518</t>
  </si>
  <si>
    <t xml:space="preserve">Windows: Service DACL Abuse To Hide Services Via Sc.EXE</t>
  </si>
  <si>
    <t xml:space="preserve">https://filestore.fortinet.com/docs.fortinet.com/fsiem/Public_Resource_Access/7_6_0/rules/PH_RULE_Service_DACL_Abuse_To_Hide_Services_Via_Sc_EXE.htm</t>
  </si>
  <si>
    <t xml:space="preserve">PH_Rule_SIGMA_1483</t>
  </si>
  <si>
    <t xml:space="preserve">Windows: Service ImagePath Change with Reg.exe</t>
  </si>
  <si>
    <t xml:space="preserve">https://filestore.fortinet.com/docs.fortinet.com/fsiem/Public_Resource_Access/7_6_0/rules/PH_RULE_Service_ImagePath_Change_with_Reg_exe.htm</t>
  </si>
  <si>
    <t xml:space="preserve">PH_Rule_SIGMA_1151</t>
  </si>
  <si>
    <t xml:space="preserve">Windows: Service Installation in Suspicious Folder</t>
  </si>
  <si>
    <t xml:space="preserve">https://filestore.fortinet.com/docs.fortinet.com/fsiem/Public_Resource_Access/7_6_0/rules/PH_RULE_Service_Installation_in_Suspicious_Folder.htm</t>
  </si>
  <si>
    <t xml:space="preserve">PH_Rule_SIGMA_1152</t>
  </si>
  <si>
    <t xml:space="preserve">Windows: Service Installation with Suspicious Folder Pattern</t>
  </si>
  <si>
    <t xml:space="preserve">https://filestore.fortinet.com/docs.fortinet.com/fsiem/Public_Resource_Access/7_6_0/rules/PH_RULE_Service_Installation_with_Suspicious_Folder_Pattern.htm</t>
  </si>
  <si>
    <t xml:space="preserve">PH_Rule_SIGMA_1883</t>
  </si>
  <si>
    <t xml:space="preserve">Windows: Service Installed By Unusual Client - System</t>
  </si>
  <si>
    <t xml:space="preserve">https://filestore.fortinet.com/docs.fortinet.com/fsiem/Public_Resource_Access/7_6_0/rules/PH_RULE_Service_Installed_By_Unusual_Client_System.htm</t>
  </si>
  <si>
    <t xml:space="preserve">PH_Rule_SIGMA_1733</t>
  </si>
  <si>
    <t xml:space="preserve">Windows: Service Reconnaissance Via Wmic.EXE</t>
  </si>
  <si>
    <t xml:space="preserve">https://filestore.fortinet.com/docs.fortinet.com/fsiem/Public_Resource_Access/7_6_0/rules/PH_RULE_Suspicious_WMI_Reconnaissance.htm</t>
  </si>
  <si>
    <t xml:space="preserve">PH_Rule_SIGMA_2481</t>
  </si>
  <si>
    <t xml:space="preserve">Windows: Service Registry Key Deleted Via Reg.EXE</t>
  </si>
  <si>
    <t xml:space="preserve">https://filestore.fortinet.com/docs.fortinet.com/fsiem/Public_Resource_Access/7_6_0/rules/PH_RULE_Service_Registry_Key_Deleted_Via_Reg_EXE.htm</t>
  </si>
  <si>
    <t xml:space="preserve">PH_Rule_windows_SIGMA_3160</t>
  </si>
  <si>
    <t xml:space="preserve">Windows: Service Registry Permissions Weakness Check</t>
  </si>
  <si>
    <t xml:space="preserve">https://filestore.fortinet.com/docs.fortinet.com/fsiem/Public_Resource_Access/7_6_0/rules/PH_RULE_Service_Registry_Permissions_Weakness_Check.htm</t>
  </si>
  <si>
    <t xml:space="preserve">PH_Rule_SIGMA_1724</t>
  </si>
  <si>
    <t xml:space="preserve">Windows: Service Security Descriptor Tampering Via Sc.EXE</t>
  </si>
  <si>
    <t xml:space="preserve">https://filestore.fortinet.com/docs.fortinet.com/fsiem/Public_Resource_Access/7_6_0/rules/PH_RULE_Abuse_of_Service_Permissions_to_Hide_Services_in_Tools.htm</t>
  </si>
  <si>
    <t xml:space="preserve">PH_Rule_SIGMA_2617</t>
  </si>
  <si>
    <t xml:space="preserve">Windows: Service Started/Stopped Via Wmic.EXE</t>
  </si>
  <si>
    <t xml:space="preserve">https://filestore.fortinet.com/docs.fortinet.com/fsiem/Public_Resource_Access/7_6_0/rules/PH_RULE_Service_Started_Stopped_Via_Wmic_EXE.htm</t>
  </si>
  <si>
    <t xml:space="preserve">PH_Rule_windows_SIGMA_3597</t>
  </si>
  <si>
    <t xml:space="preserve">Windows: Service Startup Type Change Via Wmic.EXE</t>
  </si>
  <si>
    <t xml:space="preserve">https://filestore.fortinet.com/docs.fortinet.com/fsiem/Public_Resource_Access/7_6_0/rules/PH_RULE_Service_Startup_Type_Change_Via_Wmic_EXE.htm</t>
  </si>
  <si>
    <t xml:space="preserve">PH_Rule_SIGMA_2451</t>
  </si>
  <si>
    <t xml:space="preserve">Windows: Service StartupType Change Via PowerShell Set-Service</t>
  </si>
  <si>
    <t xml:space="preserve">https://filestore.fortinet.com/docs.fortinet.com/fsiem/Public_Resource_Access/7_6_0/rules/PH_RULE_Service_StartupType_Change_Via_PowerShell_Set_Service.htm</t>
  </si>
  <si>
    <t xml:space="preserve">PH_Rule_SIGMA_2514</t>
  </si>
  <si>
    <t xml:space="preserve">Windows: Service StartupType Change Via Sc.EXE</t>
  </si>
  <si>
    <t xml:space="preserve">https://filestore.fortinet.com/docs.fortinet.com/fsiem/Public_Resource_Access/7_6_0/rules/PH_RULE_Service_StartupType_Change_Via_Sc_EXE.htm</t>
  </si>
  <si>
    <t xml:space="preserve">PH_Rule_windows_SIGMA_3783</t>
  </si>
  <si>
    <t xml:space="preserve">Windows: ServiceDll Hijack</t>
  </si>
  <si>
    <t xml:space="preserve">https://filestore.fortinet.com/docs.fortinet.com/fsiem/Public_Resource_Access/7_6_0/rules/PH_RULE_ServiceDll_Hijack.htm</t>
  </si>
  <si>
    <t xml:space="preserve">PH_Rule_SIGMA_2259</t>
  </si>
  <si>
    <t xml:space="preserve">Windows: Set Suspicious Files as System Files Using Attrib.EXE</t>
  </si>
  <si>
    <t xml:space="preserve">https://filestore.fortinet.com/docs.fortinet.com/fsiem/Public_Resource_Access/7_6_0/rules/PH_RULE_Set_Suspicious_Files_as_System_Files_Using_Attrib_EXE.htm</t>
  </si>
  <si>
    <t xml:space="preserve">PH_Rule_windows_SIGMA_3519</t>
  </si>
  <si>
    <t xml:space="preserve">Windows: Setup16.EXE Execution With Custom .Lst File</t>
  </si>
  <si>
    <t xml:space="preserve">https://filestore.fortinet.com/docs.fortinet.com/fsiem/Public_Resource_Access/7_6_0/rules/PH_RULE_Setup16_EXE_Execution_With_Custom_Lst_File.htm</t>
  </si>
  <si>
    <t xml:space="preserve">PH_Rule_SIGMA_512</t>
  </si>
  <si>
    <t xml:space="preserve">Windows: Shadow Copies Deletion Using Operating Systems Utilities</t>
  </si>
  <si>
    <t xml:space="preserve">https://filestore.fortinet.com/docs.fortinet.com/fsiem/Public_Resource_Access/7_6_0/rules/PH_RULE_Shadow_Copies_Deletion_Using_Operating_Systems_Utilities.htm</t>
  </si>
  <si>
    <t xml:space="preserve">PH_Rule_SIGMA_463</t>
  </si>
  <si>
    <t xml:space="preserve">Windows: Share And Session Enumeration Using Net.EXE</t>
  </si>
  <si>
    <t xml:space="preserve">https://filestore.fortinet.com/docs.fortinet.com/fsiem/Public_Resource_Access/7_6_0/rules/PH_RULE_Windows_Network_Enumeration.htm</t>
  </si>
  <si>
    <t xml:space="preserve">PH_Rule_SIGMA_1658</t>
  </si>
  <si>
    <t xml:space="preserve">Windows: Shell Process Spawned by Java.EXE</t>
  </si>
  <si>
    <t xml:space="preserve">https://filestore.fortinet.com/docs.fortinet.com/fsiem/Public_Resource_Access/7_6_0/rules/PH_RULE_Suspicious_Shells_Spawn_by_Java.htm</t>
  </si>
  <si>
    <t xml:space="preserve">PH_Rule_SIGMA_1668</t>
  </si>
  <si>
    <t xml:space="preserve">Windows: Shell32 DLL Execution in Suspicious Directory</t>
  </si>
  <si>
    <t xml:space="preserve">https://filestore.fortinet.com/docs.fortinet.com/fsiem/Public_Resource_Access/7_6_0/rules/PH_RULE_Shell32_DLL_Execution_in_Suspicious_Directory.htm</t>
  </si>
  <si>
    <t xml:space="preserve">PH_Rule_SIGMA_1662</t>
  </si>
  <si>
    <t xml:space="preserve">Windows: ShimCache Flush</t>
  </si>
  <si>
    <t xml:space="preserve">https://filestore.fortinet.com/docs.fortinet.com/fsiem/Public_Resource_Access/7_6_0/rules/PH_RULE_ShimCache_Flush.htm</t>
  </si>
  <si>
    <t xml:space="preserve">PH_Rule_windows_SIGMA_3131</t>
  </si>
  <si>
    <t xml:space="preserve">Windows: Silence.EDA Detection</t>
  </si>
  <si>
    <t xml:space="preserve">https://filestore.fortinet.com/docs.fortinet.com/fsiem/Public_Resource_Access/7_6_0/rules/PH_RULE_Silence_EDA_Detection.htm</t>
  </si>
  <si>
    <t xml:space="preserve">PH_Rule_SIGMA_1776</t>
  </si>
  <si>
    <t xml:space="preserve">Windows: Silenttrinity Stager Msbuild Activity</t>
  </si>
  <si>
    <t xml:space="preserve">https://filestore.fortinet.com/docs.fortinet.com/fsiem/Public_Resource_Access/7_6_0/rules/PH_RULE_Silenttrinity_Stager_Msbuild_Activity.htm</t>
  </si>
  <si>
    <t xml:space="preserve">PH_Rule_SIGMA_1876</t>
  </si>
  <si>
    <t xml:space="preserve">Windows: Sliver C2 Default Service Installation</t>
  </si>
  <si>
    <t xml:space="preserve">https://filestore.fortinet.com/docs.fortinet.com/fsiem/Public_Resource_Access/7_6_0/rules/PH_RULE_Sliver_C2_Default_Service_Installation.htm</t>
  </si>
  <si>
    <t xml:space="preserve">PH_Rule_SIGMA_1675</t>
  </si>
  <si>
    <t xml:space="preserve">Windows: SQL Client Tools PowerShell Session Detection</t>
  </si>
  <si>
    <t xml:space="preserve">https://filestore.fortinet.com/docs.fortinet.com/fsiem/Public_Resource_Access/7_6_0/rules/PH_RULE_SQL_Client_Tools_PowerShell_Session_Detection.htm</t>
  </si>
  <si>
    <t xml:space="preserve">PH_Rule_SIGMA_2539</t>
  </si>
  <si>
    <t xml:space="preserve">Windows: Start of NT Virtual DOS Machine</t>
  </si>
  <si>
    <t xml:space="preserve">https://filestore.fortinet.com/docs.fortinet.com/fsiem/Public_Resource_Access/7_6_0/rules/PH_RULE_Start_of_NT_Virtual_DOS_Machine.htm</t>
  </si>
  <si>
    <t xml:space="preserve">PH_Rule_SIGMA_2398</t>
  </si>
  <si>
    <t xml:space="preserve">Windows: Start Windows Service Via Net.EXE</t>
  </si>
  <si>
    <t xml:space="preserve">https://filestore.fortinet.com/docs.fortinet.com/fsiem/Public_Resource_Access/7_6_0/rules/PH_RULE_Start_Windows_Service_Via_Net_EXE.htm</t>
  </si>
  <si>
    <t xml:space="preserve">PH_Rule_SIGMA_845</t>
  </si>
  <si>
    <t xml:space="preserve">Windows: Startup Folder File Write</t>
  </si>
  <si>
    <t xml:space="preserve">https://filestore.fortinet.com/docs.fortinet.com/fsiem/Public_Resource_Access/7_6_0/rules/PH_RULE_Startup_Folder_File_Write.htm</t>
  </si>
  <si>
    <t xml:space="preserve">PH_Rule_SIGMA_1522</t>
  </si>
  <si>
    <t xml:space="preserve">Windows: Sticky Key Like Backdoor Execution</t>
  </si>
  <si>
    <t xml:space="preserve">https://filestore.fortinet.com/docs.fortinet.com/fsiem/Public_Resource_Access/7_6_0/rules/PH_RULE_Sticky_Key_Like_Backdoor_Usage_SYSMON.htm</t>
  </si>
  <si>
    <t xml:space="preserve">PH_Rule_SIGMA_666</t>
  </si>
  <si>
    <t xml:space="preserve">Windows: Sticky Key Like Backdoor Usage - Registry</t>
  </si>
  <si>
    <t xml:space="preserve">https://filestore.fortinet.com/docs.fortinet.com/fsiem/Public_Resource_Access/7_6_0/rules/PH_RULE_Sticky_Key_Like_Backdoor_Usage_SYSMON_V2.htm</t>
  </si>
  <si>
    <t xml:space="preserve">PH_Rule_SIGMA_2399</t>
  </si>
  <si>
    <t xml:space="preserve">Windows: Stop Windows Service Via Net.EXE</t>
  </si>
  <si>
    <t xml:space="preserve">https://filestore.fortinet.com/docs.fortinet.com/fsiem/Public_Resource_Access/7_6_0/rules/PH_RULE_Stop_Windows_Service_Via_Net_EXE.htm</t>
  </si>
  <si>
    <t xml:space="preserve">PH_Rule_SIGMA_2453</t>
  </si>
  <si>
    <t xml:space="preserve">Windows: Stop Windows Service Via PowerShell Stop-Service</t>
  </si>
  <si>
    <t xml:space="preserve">https://filestore.fortinet.com/docs.fortinet.com/fsiem/Public_Resource_Access/7_6_0/rules/PH_RULE_Stop_Windows_Service_Via_PowerShell_Stop_Service.htm</t>
  </si>
  <si>
    <t xml:space="preserve">PH_Rule_SIGMA_2520</t>
  </si>
  <si>
    <t xml:space="preserve">Windows: Stop Windows Service Via Sc.EXE</t>
  </si>
  <si>
    <t xml:space="preserve">https://filestore.fortinet.com/docs.fortinet.com/fsiem/Public_Resource_Access/7_6_0/rules/PH_RULE_Stop_Windows_Service_Via_Sc_EXE.htm</t>
  </si>
  <si>
    <t xml:space="preserve">PH_Rule_SIGMA_602</t>
  </si>
  <si>
    <t xml:space="preserve">Windows: Suspect Svchost Activity</t>
  </si>
  <si>
    <t xml:space="preserve">https://filestore.fortinet.com/docs.fortinet.com/fsiem/Public_Resource_Access/7_6_0/rules/PH_RULE_Suspect_Svchost_Activity.htm</t>
  </si>
  <si>
    <t xml:space="preserve">PH_Rule_windows_SIGMA_3294</t>
  </si>
  <si>
    <t xml:space="preserve">Windows: Suspicious AddinUtil.EXE CommandLine Execution</t>
  </si>
  <si>
    <t xml:space="preserve">https://filestore.fortinet.com/docs.fortinet.com/fsiem/Public_Resource_Access/7_6_0/rules/PH_RULE_Suspicious_AddinUtil_EXE_CommandLine_Execution.htm</t>
  </si>
  <si>
    <t xml:space="preserve">PH_Rule_windows_SIGMA_3505</t>
  </si>
  <si>
    <t xml:space="preserve">Windows: Suspicious Advpack Call Via Rundll32.EXE</t>
  </si>
  <si>
    <t xml:space="preserve">https://filestore.fortinet.com/docs.fortinet.com/fsiem/Public_Resource_Access/7_6_0/rules/PH_RULE_Suspicious_Advpack_Call_Via_Rundll32_EXE.htm</t>
  </si>
  <si>
    <t xml:space="preserve">PH_Rule_SIGMA_2361</t>
  </si>
  <si>
    <t xml:space="preserve">Windows: Suspicious AgentExecutor PowerShell Execution</t>
  </si>
  <si>
    <t xml:space="preserve">https://filestore.fortinet.com/docs.fortinet.com/fsiem/Public_Resource_Access/7_6_0/rules/PH_RULE_Suspicious_AgentExecutor_PowerShell_Execution.htm</t>
  </si>
  <si>
    <t xml:space="preserve">PH_Rule_windows_SIGMA_3696</t>
  </si>
  <si>
    <t xml:space="preserve">Windows: Suspicious Application Allowed Through Exploit Guard</t>
  </si>
  <si>
    <t xml:space="preserve">https://filestore.fortinet.com/docs.fortinet.com/fsiem/Public_Resource_Access/7_6_0/rules/PH_RULE_Suspicious_Application_Allowed_Through_Exploit_Guard.htm</t>
  </si>
  <si>
    <t xml:space="preserve">PH_Rule_SIGMA_1861</t>
  </si>
  <si>
    <t xml:space="preserve">Windows: Suspicious Application Installed</t>
  </si>
  <si>
    <t xml:space="preserve">Microsoft Windows Shell Core logs via Windows Collector</t>
  </si>
  <si>
    <t xml:space="preserve">https://filestore.fortinet.com/docs.fortinet.com/fsiem/Public_Resource_Access/7_6_0/rules/PH_RULE_Suspicious_Application_Installed.htm</t>
  </si>
  <si>
    <t xml:space="preserve">PH_Rule_windows_SIGMA_3300</t>
  </si>
  <si>
    <t xml:space="preserve">Windows: Suspicious ArcSOC.exe Child Process</t>
  </si>
  <si>
    <t xml:space="preserve">https://filestore.fortinet.com/docs.fortinet.com/fsiem/Public_Resource_Access/7_6_0/rules/PH_RULE_Suspicious_ArcSOC_exe_Child_Process.htm</t>
  </si>
  <si>
    <t xml:space="preserve">PH_Rule_SIGMA_1954</t>
  </si>
  <si>
    <t xml:space="preserve">Windows: Suspicious ASPX File Drop by Exchange</t>
  </si>
  <si>
    <t xml:space="preserve">https://filestore.fortinet.com/docs.fortinet.com/fsiem/Public_Resource_Access/7_6_0/rules/PH_RULE_Suspicious_ASPX_File_Drop_by_Exchange.htm</t>
  </si>
  <si>
    <t xml:space="preserve">PH_Rule_windows_SIGMA_3306</t>
  </si>
  <si>
    <t xml:space="preserve">Windows: Suspicious Autorun Registry Modified via WMI</t>
  </si>
  <si>
    <t xml:space="preserve">https://filestore.fortinet.com/docs.fortinet.com/fsiem/Public_Resource_Access/7_6_0/rules/PH_RULE_Suspicious_Autorun_Registry_Modified_via_WMI.htm</t>
  </si>
  <si>
    <t xml:space="preserve">PH_Rule_windows_SIGMA_2976</t>
  </si>
  <si>
    <t xml:space="preserve">Windows: Suspicious Binaries and Scripts in Public Folder</t>
  </si>
  <si>
    <t xml:space="preserve">https://filestore.fortinet.com/docs.fortinet.com/fsiem/Public_Resource_Access/7_6_0/rules/PH_RULE_Suspicious_Binaries_and_Scripts_in_Public_Folder.htm</t>
  </si>
  <si>
    <t xml:space="preserve">PH_Rule_SIGMA_475</t>
  </si>
  <si>
    <t xml:space="preserve">Windows: Suspicious Binary In User Directory Spawned From Office Application</t>
  </si>
  <si>
    <t xml:space="preserve">https://filestore.fortinet.com/docs.fortinet.com/fsiem/Public_Resource_Access/7_6_0/rules/PH_RULE_MS_Office_Product_Spawning_Exe_in_User_Dir.htm</t>
  </si>
  <si>
    <t xml:space="preserve">PH_Rule_SIGMA_1948</t>
  </si>
  <si>
    <t xml:space="preserve">Windows: Suspicious Binary Writes Via AnyDesk</t>
  </si>
  <si>
    <t xml:space="preserve">https://filestore.fortinet.com/docs.fortinet.com/fsiem/Public_Resource_Access/7_6_0/rules/PH_RULE_Suspicious_Binary_Writes_Via_AnyDesk.htm</t>
  </si>
  <si>
    <t xml:space="preserve">PH_Rule_SIGMA_2389</t>
  </si>
  <si>
    <t xml:space="preserve">Windows: Suspicious Cabinet File Execution Via Msdt.EXE</t>
  </si>
  <si>
    <t xml:space="preserve">https://filestore.fortinet.com/docs.fortinet.com/fsiem/Public_Resource_Access/7_6_0/rules/PH_RULE_Suspicious_Cabinet_File_Execution_Via_Msdt_EXE.htm</t>
  </si>
  <si>
    <t xml:space="preserve">PH_Rule_SIGMA_522</t>
  </si>
  <si>
    <t xml:space="preserve">Windows: Suspicious Calculator Usage</t>
  </si>
  <si>
    <t xml:space="preserve">https://filestore.fortinet.com/docs.fortinet.com/fsiem/Public_Resource_Access/7_6_0/rules/PH_RULE_Suspicious_Calculator_Usage.htm</t>
  </si>
  <si>
    <t xml:space="preserve">PH_Rule_SIGMA_672</t>
  </si>
  <si>
    <t xml:space="preserve">Windows: Suspicious Camera and Microphone Access</t>
  </si>
  <si>
    <t xml:space="preserve">https://filestore.fortinet.com/docs.fortinet.com/fsiem/Public_Resource_Access/7_6_0/rules/PH_RULE_Suspicious_Camera_and_Microphone_Access.htm</t>
  </si>
  <si>
    <t xml:space="preserve">PH_Rule_SIGMA_2543</t>
  </si>
  <si>
    <t xml:space="preserve">Windows: Suspicious Child Process Created as System</t>
  </si>
  <si>
    <t xml:space="preserve">https://filestore.fortinet.com/docs.fortinet.com/fsiem/Public_Resource_Access/7_6_0/rules/PH_RULE_Suspicious_Child_Process_Created_as_System.htm</t>
  </si>
  <si>
    <t xml:space="preserve">PH_Rule_windows_SIGMA_3302</t>
  </si>
  <si>
    <t xml:space="preserve">Windows: Suspicious Child Process of AspNetCompiler</t>
  </si>
  <si>
    <t xml:space="preserve">https://filestore.fortinet.com/docs.fortinet.com/fsiem/Public_Resource_Access/7_6_0/rules/PH_RULE_Suspicious_Child_Process_of_AspNetCompiler.htm</t>
  </si>
  <si>
    <t xml:space="preserve">PH_Rule_windows_SIGMA_3311</t>
  </si>
  <si>
    <t xml:space="preserve">Windows: Suspicious Child Process Of BgInfo.EXE</t>
  </si>
  <si>
    <t xml:space="preserve">https://filestore.fortinet.com/docs.fortinet.com/fsiem/Public_Resource_Access/7_6_0/rules/PH_RULE_Suspicious_Child_Process_Of_BgInfo_EXE.htm</t>
  </si>
  <si>
    <t xml:space="preserve">PH_Rule_SIGMA_2555</t>
  </si>
  <si>
    <t xml:space="preserve">Windows: Suspicious Child Process Of Manage Engine ServiceDesk</t>
  </si>
  <si>
    <t xml:space="preserve">https://filestore.fortinet.com/docs.fortinet.com/fsiem/Public_Resource_Access/7_6_0/rules/PH_RULE_Manage_Engine_Java_Suspicious_Sub_Process.htm</t>
  </si>
  <si>
    <t xml:space="preserve">PH_Rule_windows_SIGMA_3367</t>
  </si>
  <si>
    <t xml:space="preserve">Windows: Suspicious Child Process of Notepad Updater - GUP.Exe</t>
  </si>
  <si>
    <t xml:space="preserve">https://filestore.fortinet.com/docs.fortinet.com/fsiem/Public_Resource_Access/7_6_0/rules/PH_RULE_Suspicious_Child_Process_of_Notepad_Updater_GUP_Exe.htm</t>
  </si>
  <si>
    <t xml:space="preserve">PH_Rule_SIGMA_1660</t>
  </si>
  <si>
    <t xml:space="preserve">Windows: Suspicious Child Process Of SQL Server</t>
  </si>
  <si>
    <t xml:space="preserve">https://filestore.fortinet.com/docs.fortinet.com/fsiem/Public_Resource_Access/7_6_0/rules/PH_RULE_Suspicious_Shells_Spawn_by_SQL_Server.htm</t>
  </si>
  <si>
    <t xml:space="preserve">PH_Rule_SIGMA_2393</t>
  </si>
  <si>
    <t xml:space="preserve">Windows: Suspicious Child Process Of Veeam Dabatase</t>
  </si>
  <si>
    <t xml:space="preserve">https://filestore.fortinet.com/docs.fortinet.com/fsiem/Public_Resource_Access/7_6_0/rules/PH_RULE_Suspicious_Child_Process_Of_Veeam_Dabatase.htm</t>
  </si>
  <si>
    <t xml:space="preserve">PH_Rule_SIGMA_2596</t>
  </si>
  <si>
    <t xml:space="preserve">Windows: Suspicious Child Process Of Wermgr.EXE</t>
  </si>
  <si>
    <t xml:space="preserve">https://filestore.fortinet.com/docs.fortinet.com/fsiem/Public_Resource_Access/7_6_0/rules/PH_RULE_Suspicious_WERMGR_Process_Patterns.htm</t>
  </si>
  <si>
    <t xml:space="preserve">PH_Rule_SIGMA_2267</t>
  </si>
  <si>
    <t xml:space="preserve">Windows: Suspicious Chromium Browser Instance Executed With Custom Extension</t>
  </si>
  <si>
    <t xml:space="preserve">https://filestore.fortinet.com/docs.fortinet.com/fsiem/Public_Resource_Access/7_6_0/rules/PH_RULE_Suspicious_Chromium_Browser_Instance_Executed_With_Custom_Extensions.htm</t>
  </si>
  <si>
    <t xml:space="preserve">PH_Rule_windows_SIGMA_3530</t>
  </si>
  <si>
    <t xml:space="preserve">Windows: Suspicious ClickFix/FileFix Execution Pattern</t>
  </si>
  <si>
    <t xml:space="preserve">https://filestore.fortinet.com/docs.fortinet.com/fsiem/Public_Resource_Access/7_6_0/rules/PH_RULE_Suspicious_ClickFix_FileFix_Execution_Pattern.htm</t>
  </si>
  <si>
    <t xml:space="preserve">PH_Rule_SIGMA_828</t>
  </si>
  <si>
    <t xml:space="preserve">Windows: Suspicious Cobalt Strike DNS Beaconing</t>
  </si>
  <si>
    <t xml:space="preserve">https://filestore.fortinet.com/docs.fortinet.com/fsiem/Public_Resource_Access/7_6_0/rules/PH_RULE_Suspicious_Cobalt_Strike_DNS_Beaconing.htm</t>
  </si>
  <si>
    <t xml:space="preserve">PH_Rule_windows_SIGMA_2798</t>
  </si>
  <si>
    <t xml:space="preserve">Windows: Suspicious Cobalt Strike DNS Beaconing - DNS Client</t>
  </si>
  <si>
    <t xml:space="preserve">https://filestore.fortinet.com/docs.fortinet.com/fsiem/Public_Resource_Access/7_6_0/rules/PH_RULE_Suspicious_Cobalt_Strike_DNS_Beaconing_DNS_Client.htm</t>
  </si>
  <si>
    <t xml:space="preserve">PH_Rule_SIGMA_2279</t>
  </si>
  <si>
    <t xml:space="preserve">Windows: Suspicious CodePage Switch Via CHCP</t>
  </si>
  <si>
    <t xml:space="preserve">https://filestore.fortinet.com/docs.fortinet.com/fsiem/Public_Resource_Access/7_6_0/rules/PH_RULE_Suspicious_CodePage_Switch_Via_CHCP.htm</t>
  </si>
  <si>
    <t xml:space="preserve">PH_Rule_SIGMA_1646</t>
  </si>
  <si>
    <t xml:space="preserve">Windows: Suspicious Command Patterns In Scheduled Task Creation</t>
  </si>
  <si>
    <t xml:space="preserve">https://filestore.fortinet.com/docs.fortinet.com/fsiem/Public_Resource_Access/7_6_0/rules/PH_RULE_Suspicious_Add_Scheduled_Command_Pattern.htm</t>
  </si>
  <si>
    <t xml:space="preserve">PH_Rule_SIGMA_526</t>
  </si>
  <si>
    <t xml:space="preserve">Windows: Suspicious Commandline Escape</t>
  </si>
  <si>
    <t xml:space="preserve">https://filestore.fortinet.com/docs.fortinet.com/fsiem/Public_Resource_Access/7_6_0/rules/PH_RULE_Suspicious_Commandline_Escape.htm</t>
  </si>
  <si>
    <t xml:space="preserve">PH_Rule_SIGMA_1363</t>
  </si>
  <si>
    <t xml:space="preserve">Windows: Suspicious ConfigSecurityPolicy Execution</t>
  </si>
  <si>
    <t xml:space="preserve">https://filestore.fortinet.com/docs.fortinet.com/fsiem/Public_Resource_Access/7_6_0/rules/PH_RULE_Suspicious_ConfigSecurityPolicy_Execution.htm</t>
  </si>
  <si>
    <t xml:space="preserve">PH_Rule_SIGMA_1546</t>
  </si>
  <si>
    <t xml:space="preserve">Windows: Suspicious Control Panel DLL Load</t>
  </si>
  <si>
    <t xml:space="preserve">https://filestore.fortinet.com/docs.fortinet.com/fsiem/Public_Resource_Access/7_6_0/rules/PH_RULE_Suspicious_Control_Panel_DLL_Load.htm</t>
  </si>
  <si>
    <t xml:space="preserve">PH_Rule_SIGMA_847</t>
  </si>
  <si>
    <t xml:space="preserve">Windows: Suspicious Creation with Colorcpl</t>
  </si>
  <si>
    <t xml:space="preserve">https://filestore.fortinet.com/docs.fortinet.com/fsiem/Public_Resource_Access/7_6_0/rules/PH_RULE_Suspicious_Creation_with_Colorcpl.htm</t>
  </si>
  <si>
    <t xml:space="preserve">PH_Rule_SIGMA_1549</t>
  </si>
  <si>
    <t xml:space="preserve">Windows: Suspicious Csi.exe Usage</t>
  </si>
  <si>
    <t xml:space="preserve">https://filestore.fortinet.com/docs.fortinet.com/fsiem/Public_Resource_Access/7_6_0/rules/PH_RULE_Suspicious_Csi_exe_Usage.htm</t>
  </si>
  <si>
    <t xml:space="preserve">PH_Rule_SIGMA_2296</t>
  </si>
  <si>
    <t xml:space="preserve">Windows: Suspicious Curl.EXE Download</t>
  </si>
  <si>
    <t xml:space="preserve">https://filestore.fortinet.com/docs.fortinet.com/fsiem/Public_Resource_Access/7_6_0/rules/PH_RULE_Suspicious_Curl_EXE_Download.htm</t>
  </si>
  <si>
    <t xml:space="preserve">PH_Rule_SIGMA_430</t>
  </si>
  <si>
    <t xml:space="preserve">Windows: Suspicious Debugger Registration Cmdline</t>
  </si>
  <si>
    <t xml:space="preserve">https://filestore.fortinet.com/docs.fortinet.com/fsiem/Public_Resource_Access/7_6_0/rules/PH_RULE_Suspicious_Debugger_Registration_Cmdline.htm</t>
  </si>
  <si>
    <t xml:space="preserve">PH_Rule_windows_SIGMA_2949</t>
  </si>
  <si>
    <t xml:space="preserve">Windows: Suspicious Deno File Written from Remote Source</t>
  </si>
  <si>
    <t xml:space="preserve">https://filestore.fortinet.com/docs.fortinet.com/fsiem/Public_Resource_Access/7_6_0/rules/PH_RULE_Suspicious_Deno_File_Written_from_Remote_Source.htm</t>
  </si>
  <si>
    <t xml:space="preserve">PH_Rule_SIGMA_544</t>
  </si>
  <si>
    <t xml:space="preserve">Windows: Suspicious Desktopimgdownldr Command</t>
  </si>
  <si>
    <t xml:space="preserve">https://filestore.fortinet.com/docs.fortinet.com/fsiem/Public_Resource_Access/7_6_0/rules/PH_RULE_Suspicious_Desktopimgdownldr_Command.htm</t>
  </si>
  <si>
    <t xml:space="preserve">PH_Rule_SIGMA_330</t>
  </si>
  <si>
    <t xml:space="preserve">Windows: Suspicious Desktopimgdownldr Target File</t>
  </si>
  <si>
    <t xml:space="preserve">https://filestore.fortinet.com/docs.fortinet.com/fsiem/Public_Resource_Access/7_6_0/rules/PH_RULE_Suspicious_Desktopimgdownldr_Target_File.htm</t>
  </si>
  <si>
    <t xml:space="preserve">PH_Rule_SIGMA_1366</t>
  </si>
  <si>
    <t xml:space="preserve">Windows: Suspicious Diantz Alternate Data Stream Execution</t>
  </si>
  <si>
    <t xml:space="preserve">https://filestore.fortinet.com/docs.fortinet.com/fsiem/Public_Resource_Access/7_6_0/rules/PH_RULE_Suspicious_Diantz_Alternate_Data_Stream_Execution.htm</t>
  </si>
  <si>
    <t xml:space="preserve">PH_Rule_SIGMA_1367</t>
  </si>
  <si>
    <t xml:space="preserve">Windows: Suspicious Diantz Download and Compress Into a CAB File</t>
  </si>
  <si>
    <t xml:space="preserve">https://filestore.fortinet.com/docs.fortinet.com/fsiem/Public_Resource_Access/7_6_0/rules/PH_RULE_Suspicious_Diantz_Download_and_Compress_Into_a_CAB_File.htm</t>
  </si>
  <si>
    <t xml:space="preserve">PH_Rule_SIGMA_1811</t>
  </si>
  <si>
    <t xml:space="preserve">Windows: Suspicious Digital Signature Of AppX Package</t>
  </si>
  <si>
    <t xml:space="preserve">https://filestore.fortinet.com/docs.fortinet.com/fsiem/Public_Resource_Access/7_6_0/rules/PH_RULE_Suspicious_Digital_Signature_Of_AppX_Package.htm</t>
  </si>
  <si>
    <t xml:space="preserve">PH_Rule_SIGMA_2271</t>
  </si>
  <si>
    <t xml:space="preserve">Windows: Suspicious DLL Loaded via CertOC.EXE</t>
  </si>
  <si>
    <t xml:space="preserve">https://filestore.fortinet.com/docs.fortinet.com/fsiem/Public_Resource_Access/7_6_0/rules/PH_RULE_Suspicious_DLL_Loaded_via_CertOC_EXE.htm</t>
  </si>
  <si>
    <t xml:space="preserve">PH_Rule_SIGMA_831</t>
  </si>
  <si>
    <t xml:space="preserve">Windows: Suspicious DNS Query for IP Lookup Service APIs</t>
  </si>
  <si>
    <t xml:space="preserve">https://filestore.fortinet.com/docs.fortinet.com/fsiem/Public_Resource_Access/7_6_0/rules/PH_RULE_Suspicious_DNS_Query_for_IP_Lookup_Service_APIs.htm</t>
  </si>
  <si>
    <t xml:space="preserve">PH_Rule_SIGMA_1970</t>
  </si>
  <si>
    <t xml:space="preserve">Windows: Suspicious DotNET CLR Usage Log Artifact</t>
  </si>
  <si>
    <t xml:space="preserve">https://filestore.fortinet.com/docs.fortinet.com/fsiem/Public_Resource_Access/7_6_0/rules/PH_RULE_Suspicious_DotNET_CLR_Usage_Log_Artifact.htm</t>
  </si>
  <si>
    <t xml:space="preserve">PH_Rule_SIGMA_550</t>
  </si>
  <si>
    <t xml:space="preserve">Windows: Suspicious Double Extension File Execution</t>
  </si>
  <si>
    <t xml:space="preserve">https://filestore.fortinet.com/docs.fortinet.com/fsiem/Public_Resource_Access/7_6_0/rules/PH_RULE_Suspicious_Double_Extension.htm</t>
  </si>
  <si>
    <t xml:space="preserve">PH_Rule_SIGMA_1990</t>
  </si>
  <si>
    <t xml:space="preserve">Windows: Suspicious Double Extension Files</t>
  </si>
  <si>
    <t xml:space="preserve">https://filestore.fortinet.com/docs.fortinet.com/fsiem/Public_Resource_Access/7_6_0/rules/PH_RULE_Suspicious_Double_Extension_Files.htm</t>
  </si>
  <si>
    <t xml:space="preserve">PH_Rule_SIGMA_2261</t>
  </si>
  <si>
    <t xml:space="preserve">Windows: Suspicious Download From Direct IP Via Bitsadmin</t>
  </si>
  <si>
    <t xml:space="preserve">https://filestore.fortinet.com/docs.fortinet.com/fsiem/Public_Resource_Access/7_6_0/rules/PH_RULE_Suspicious_Download_From_Direct_IP_Via_Bitsadmin.htm</t>
  </si>
  <si>
    <t xml:space="preserve">PH_Rule_SIGMA_2262</t>
  </si>
  <si>
    <t xml:space="preserve">Windows: Suspicious Download From File-Sharing Website Via Bitsadmin</t>
  </si>
  <si>
    <t xml:space="preserve">https://filestore.fortinet.com/docs.fortinet.com/fsiem/Public_Resource_Access/7_6_0/rules/PH_RULE_Suspicious_Download_From_File_Sharing_Website_Via_Bitsadmin.htm</t>
  </si>
  <si>
    <t xml:space="preserve">PH_Rule_SIGMA_1557</t>
  </si>
  <si>
    <t xml:space="preserve">Windows: Suspicious Download from Office Domain</t>
  </si>
  <si>
    <t xml:space="preserve">https://filestore.fortinet.com/docs.fortinet.com/fsiem/Public_Resource_Access/7_6_0/rules/PH_RULE_Suspicious_Download_from_Office_Domain.htm</t>
  </si>
  <si>
    <t xml:space="preserve">PH_Rule_SIGMA_1399</t>
  </si>
  <si>
    <t xml:space="preserve">Windows: Suspicious Driver Install by pnputil.exe</t>
  </si>
  <si>
    <t xml:space="preserve">https://filestore.fortinet.com/docs.fortinet.com/fsiem/Public_Resource_Access/7_6_0/rules/PH_RULE_Suspicious_Driver_Install_by_pnputil_exe.htm</t>
  </si>
  <si>
    <t xml:space="preserve">PH_Rule_SIGMA_316</t>
  </si>
  <si>
    <t xml:space="preserve">Windows: Suspicious Driver Load from Temp</t>
  </si>
  <si>
    <t xml:space="preserve">https://filestore.fortinet.com/docs.fortinet.com/fsiem/Public_Resource_Access/7_6_0/rules/PH_RULE_Suspicious_Driver_Load_from_Temp.htm</t>
  </si>
  <si>
    <t xml:space="preserve">PH_Rule_windows_SIGMA_3414</t>
  </si>
  <si>
    <t xml:space="preserve">Windows: Suspicious Driver/DLL Installation Via Odbcconf.EXE</t>
  </si>
  <si>
    <t xml:space="preserve">https://filestore.fortinet.com/docs.fortinet.com/fsiem/Public_Resource_Access/7_6_0/rules/PH_RULE_Suspicious_Driver_DLL_Installation_Via_Odbcconf_EXE.htm</t>
  </si>
  <si>
    <t xml:space="preserve">PH_Rule_SIGMA_1777</t>
  </si>
  <si>
    <t xml:space="preserve">Windows: Suspicious Dropbox API Usage</t>
  </si>
  <si>
    <t xml:space="preserve">https://filestore.fortinet.com/docs.fortinet.com/fsiem/Public_Resource_Access/7_6_0/rules/PH_RULE_Suspicious_Dropbox_API_Usage.htm</t>
  </si>
  <si>
    <t xml:space="preserve">PH_Rule_SIGMA_2548</t>
  </si>
  <si>
    <t xml:space="preserve">Windows: Suspicious Electron Application Child Processes</t>
  </si>
  <si>
    <t xml:space="preserve">https://filestore.fortinet.com/docs.fortinet.com/fsiem/Public_Resource_Access/7_6_0/rules/PH_RULE_Suspicious_Electron_Application_Child_Processes.htm</t>
  </si>
  <si>
    <t xml:space="preserve">PH_Rule_SIGMA_2425</t>
  </si>
  <si>
    <t xml:space="preserve">Windows: Suspicious Encoded And Obfuscated Reflection Assembly Load Function Call</t>
  </si>
  <si>
    <t xml:space="preserve">https://filestore.fortinet.com/docs.fortinet.com/fsiem/Public_Resource_Access/7_6_0/rules/PH_RULE_Suspicious_Encoded_And_Obfuscated_Reflection_Assembly_Load_Function_Call.htm</t>
  </si>
  <si>
    <t xml:space="preserve">PH_Rule_SIGMA_577</t>
  </si>
  <si>
    <t xml:space="preserve">Windows: Suspicious Encoded PowerShell Command Line</t>
  </si>
  <si>
    <t xml:space="preserve">https://filestore.fortinet.com/docs.fortinet.com/fsiem/Public_Resource_Access/7_6_0/rules/PH_RULE_Suspicious_Encoded_PowerShell_Command_Line.htm</t>
  </si>
  <si>
    <t xml:space="preserve">PH_Rule_windows_SIGMA_3831</t>
  </si>
  <si>
    <t xml:space="preserve">Windows: Suspicious Encoded Scripts in a WMI Consumer</t>
  </si>
  <si>
    <t xml:space="preserve">https://filestore.fortinet.com/docs.fortinet.com/fsiem/Public_Resource_Access/7_6_0/rules/PH_RULE_Suspicious_Encoded_Scripts_in_a_WMI_Consumer.htm</t>
  </si>
  <si>
    <t xml:space="preserve">PH_Rule_windows_SIGMA_3801</t>
  </si>
  <si>
    <t xml:space="preserve">Windows: Suspicious Environment Variable Has Been Registered</t>
  </si>
  <si>
    <t xml:space="preserve">https://filestore.fortinet.com/docs.fortinet.com/fsiem/Public_Resource_Access/7_6_0/rules/PH_RULE_Suspicious_Environment_Variable_Has_Been_Registered.htm</t>
  </si>
  <si>
    <t xml:space="preserve">PH_Rule_windows_SIGMA_3223</t>
  </si>
  <si>
    <t xml:space="preserve">Windows: Suspicious Eventlog Clear</t>
  </si>
  <si>
    <t xml:space="preserve">https://filestore.fortinet.com/docs.fortinet.com/fsiem/Public_Resource_Access/7_6_0/rules/PH_RULE_Suspicious_Eventlog_Clear.htm</t>
  </si>
  <si>
    <t xml:space="preserve">PH_Rule_SIGMA_552</t>
  </si>
  <si>
    <t xml:space="preserve">Windows: Suspicious Eventlog Clearing or Configuration Change Activity</t>
  </si>
  <si>
    <t xml:space="preserve">https://filestore.fortinet.com/docs.fortinet.com/fsiem/Public_Resource_Access/7_6_0/rules/PH_RULE_Suspicious_Eventlog_Clear_or_Configuration_Using_Wevtutil.htm</t>
  </si>
  <si>
    <t xml:space="preserve">PH_Rule_SIGMA_1991</t>
  </si>
  <si>
    <t xml:space="preserve">Windows: Suspicious Executable File Creation</t>
  </si>
  <si>
    <t xml:space="preserve">https://filestore.fortinet.com/docs.fortinet.com/fsiem/Public_Resource_Access/7_6_0/rules/PH_RULE_Suspicious_Executable_File_Creation.htm</t>
  </si>
  <si>
    <t xml:space="preserve">PH_Rule_windows_SIGMA_3587</t>
  </si>
  <si>
    <t xml:space="preserve">Windows: Suspicious Execution Location Of Wermgr.EXE</t>
  </si>
  <si>
    <t xml:space="preserve">https://filestore.fortinet.com/docs.fortinet.com/fsiem/Public_Resource_Access/7_6_0/rules/PH_RULE_Suspicious_Execution_Location_Of_Wermgr_EXE.htm</t>
  </si>
  <si>
    <t xml:space="preserve">PH_Rule_SIGMA_1572</t>
  </si>
  <si>
    <t xml:space="preserve">Windows: Suspicious Execution of Hostname</t>
  </si>
  <si>
    <t xml:space="preserve">https://filestore.fortinet.com/docs.fortinet.com/fsiem/Public_Resource_Access/7_6_0/rules/PH_RULE_Suspicious_Execution_of_Hostname.htm</t>
  </si>
  <si>
    <t xml:space="preserve">PH_Rule_SIGMA_2367</t>
  </si>
  <si>
    <t xml:space="preserve">Windows: Suspicious Execution of InstallUtil To Download</t>
  </si>
  <si>
    <t xml:space="preserve">https://filestore.fortinet.com/docs.fortinet.com/fsiem/Public_Resource_Access/7_6_0/rules/PH_RULE_Suspicious_Execution_of_InstallUtil_To_Download.htm</t>
  </si>
  <si>
    <t xml:space="preserve">PH_Rule_SIGMA_1574</t>
  </si>
  <si>
    <t xml:space="preserve">Windows: Suspicious Execution of InstallUtil Without Log</t>
  </si>
  <si>
    <t xml:space="preserve">https://filestore.fortinet.com/docs.fortinet.com/fsiem/Public_Resource_Access/7_6_0/rules/PH_RULE_Suspicious_Execution_of_InstallUtil_Without_Log.htm</t>
  </si>
  <si>
    <t xml:space="preserve">PH_Rule_SIGMA_1598</t>
  </si>
  <si>
    <t xml:space="preserve">Windows: Suspicious Execution of Powershell with Base64</t>
  </si>
  <si>
    <t xml:space="preserve">https://filestore.fortinet.com/docs.fortinet.com/fsiem/Public_Resource_Access/7_6_0/rules/PH_RULE_Suspicious_Execution_of_Powershell_with_Base64.htm</t>
  </si>
  <si>
    <t xml:space="preserve">PH_Rule_windows_SIGMA_3776</t>
  </si>
  <si>
    <t xml:space="preserve">Windows: Suspicious Execution Of Renamed Sysinternals Tools - Registry</t>
  </si>
  <si>
    <t xml:space="preserve">https://filestore.fortinet.com/docs.fortinet.com/fsiem/Public_Resource_Access/7_6_0/rules/PH_RULE_Suspicious_Execution_Of_Renamed_Sysinternals_Tools_Registry.htm</t>
  </si>
  <si>
    <t xml:space="preserve">PH_Rule_SIGMA_1663</t>
  </si>
  <si>
    <t xml:space="preserve">Windows: Suspicious Execution of Shutdown</t>
  </si>
  <si>
    <t xml:space="preserve">https://filestore.fortinet.com/docs.fortinet.com/fsiem/Public_Resource_Access/7_6_0/rules/PH_RULE_Suspicious_Execution_of_Shutdown.htm</t>
  </si>
  <si>
    <t xml:space="preserve">PH_Rule_SIGMA_2534</t>
  </si>
  <si>
    <t xml:space="preserve">Windows: Suspicious Execution of Shutdown to Log Out</t>
  </si>
  <si>
    <t xml:space="preserve">https://filestore.fortinet.com/docs.fortinet.com/fsiem/Public_Resource_Access/7_6_0/rules/PH_RULE_Suspicious_Execution_of_Shutdown_to_Log_Out.htm</t>
  </si>
  <si>
    <t xml:space="preserve">PH_Rule_SIGMA_1666</t>
  </si>
  <si>
    <t xml:space="preserve">Windows: Suspicious Execution of Systeminfo</t>
  </si>
  <si>
    <t xml:space="preserve">https://filestore.fortinet.com/docs.fortinet.com/fsiem/Public_Resource_Access/7_6_0/rules/PH_RULE_Suspicious_Execution_of_Systeminfo.htm</t>
  </si>
  <si>
    <t xml:space="preserve">PH_Rule_windows_SIGMA_3531</t>
  </si>
  <si>
    <t xml:space="preserve">Windows: Suspicious Explorer Process with Whitespace Padding - ClickFix/FileFix</t>
  </si>
  <si>
    <t xml:space="preserve">https://filestore.fortinet.com/docs.fortinet.com/fsiem/Public_Resource_Access/7_6_0/rules/PH_RULE_Suspicious_Explorer_Process_with_Whitespace_Padding_ClickFix_FileFix.htm</t>
  </si>
  <si>
    <t xml:space="preserve">PH_Rule_SIGMA_1373</t>
  </si>
  <si>
    <t xml:space="preserve">Windows: Suspicious Extrac32 Alternate Data Stream Execution</t>
  </si>
  <si>
    <t xml:space="preserve">https://filestore.fortinet.com/docs.fortinet.com/fsiem/Public_Resource_Access/7_6_0/rules/PH_RULE_Suspicious_Extrac32_Alternate_Data_Stream_Execution.htm</t>
  </si>
  <si>
    <t xml:space="preserve">PH_Rule_SIGMA_1372</t>
  </si>
  <si>
    <t xml:space="preserve">Windows: Suspicious Extrac32 Execution</t>
  </si>
  <si>
    <t xml:space="preserve">https://filestore.fortinet.com/docs.fortinet.com/fsiem/Public_Resource_Access/7_6_0/rules/PH_RULE_Suspicious_Extrac32_Execution.htm</t>
  </si>
  <si>
    <t xml:space="preserve">PH_Rule_SIGMA_557</t>
  </si>
  <si>
    <t xml:space="preserve">Windows: Suspicious File Characteristics Due to Missing Fields</t>
  </si>
  <si>
    <t xml:space="preserve">https://filestore.fortinet.com/docs.fortinet.com/fsiem/Public_Resource_Access/7_6_0/rules/PH_RULE_Suspicious_File_Characteristics_Due_to_Missing_Fields.htm</t>
  </si>
  <si>
    <t xml:space="preserve">PH_Rule_windows_SIGMA_2946</t>
  </si>
  <si>
    <t xml:space="preserve">Windows: Suspicious File Created by ArcSOC.exe</t>
  </si>
  <si>
    <t xml:space="preserve">https://filestore.fortinet.com/docs.fortinet.com/fsiem/Public_Resource_Access/7_6_0/rules/PH_RULE_Suspicious_File_Created_by_ArcSOC_exe.htm</t>
  </si>
  <si>
    <t xml:space="preserve">PH_Rule_SIGMA_1981</t>
  </si>
  <si>
    <t xml:space="preserve">Windows: Suspicious File Created In PerfLogs</t>
  </si>
  <si>
    <t xml:space="preserve">https://filestore.fortinet.com/docs.fortinet.com/fsiem/Public_Resource_Access/7_6_0/rules/PH_RULE_Suspicious_File_Created_In_PerfLogs.htm</t>
  </si>
  <si>
    <t xml:space="preserve">PH_Rule_SIGMA_1978</t>
  </si>
  <si>
    <t xml:space="preserve">Windows: Suspicious File Created Via OneNote Application</t>
  </si>
  <si>
    <t xml:space="preserve">https://filestore.fortinet.com/docs.fortinet.com/fsiem/Public_Resource_Access/7_6_0/rules/PH_RULE_Suspicious_File_Created_Via_OneNote_Application.htm</t>
  </si>
  <si>
    <t xml:space="preserve">PH_Rule_windows_SIGMA_2977</t>
  </si>
  <si>
    <t xml:space="preserve">Windows: Suspicious File Creation Activity From Fake Recycle.Bin Folder</t>
  </si>
  <si>
    <t xml:space="preserve">https://filestore.fortinet.com/docs.fortinet.com/fsiem/Public_Resource_Access/7_6_0/rules/PH_RULE_Suspicious_File_Creation_Activity_From_Fake_Recycle_Bin_Folder.htm</t>
  </si>
  <si>
    <t xml:space="preserve">PH_Rule_SIGMA_1971</t>
  </si>
  <si>
    <t xml:space="preserve">Windows: Suspicious File Creation In Uncommon AppData Folder</t>
  </si>
  <si>
    <t xml:space="preserve">https://filestore.fortinet.com/docs.fortinet.com/fsiem/Public_Resource_Access/7_6_0/rules/PH_RULE_Suspicious_File_Creation_In_Uncommon_AppData_Folder.htm</t>
  </si>
  <si>
    <t xml:space="preserve">PH_Rule_SIGMA_2294</t>
  </si>
  <si>
    <t xml:space="preserve">Windows: Suspicious File Download From File Sharing Domain Via Curl.EXE</t>
  </si>
  <si>
    <t xml:space="preserve">https://filestore.fortinet.com/docs.fortinet.com/fsiem/Public_Resource_Access/7_6_0/rules/PH_RULE_Suspicious_File_Download_From_File_Sharing_Domain_Via_Curl_EXE.htm</t>
  </si>
  <si>
    <t xml:space="preserve">PH_Rule_windows_SIGMA_3589</t>
  </si>
  <si>
    <t xml:space="preserve">Windows: Suspicious File Download From File Sharing Domain Via Wget.EXE</t>
  </si>
  <si>
    <t xml:space="preserve">https://filestore.fortinet.com/docs.fortinet.com/fsiem/Public_Resource_Access/7_6_0/rules/PH_RULE_Suspicious_File_Download_From_File_Sharing_Domain_Via_Wget_EXE.htm</t>
  </si>
  <si>
    <t xml:space="preserve">PH_Rule_windows_SIGMA_2901</t>
  </si>
  <si>
    <t xml:space="preserve">Windows: Suspicious File Download From File Sharing Websites - File Stream</t>
  </si>
  <si>
    <t xml:space="preserve">https://filestore.fortinet.com/docs.fortinet.com/fsiem/Public_Resource_Access/7_6_0/rules/PH_RULE_Suspicious_File_Download_From_File_Sharing_Websites_File_Stream.htm</t>
  </si>
  <si>
    <t xml:space="preserve">PH_Rule_windows_SIGMA_3336</t>
  </si>
  <si>
    <t xml:space="preserve">Windows: Suspicious File Download From IP Via Curl.EXE</t>
  </si>
  <si>
    <t xml:space="preserve">https://filestore.fortinet.com/docs.fortinet.com/fsiem/Public_Resource_Access/7_6_0/rules/PH_RULE_Suspicious_File_Download_From_IP_Via_Curl_EXE.htm</t>
  </si>
  <si>
    <t xml:space="preserve">PH_Rule_windows_SIGMA_3588</t>
  </si>
  <si>
    <t xml:space="preserve">Windows: Suspicious File Download From IP Via Wget.EXE</t>
  </si>
  <si>
    <t xml:space="preserve">https://filestore.fortinet.com/docs.fortinet.com/fsiem/Public_Resource_Access/7_6_0/rules/PH_RULE_Suspicious_File_Download_From_IP_Via_Wget_EXE.htm</t>
  </si>
  <si>
    <t xml:space="preserve">PH_Rule_windows_SIGMA_3590</t>
  </si>
  <si>
    <t xml:space="preserve">Windows: Suspicious File Download From IP Via Wget.EXE - Paths</t>
  </si>
  <si>
    <t xml:space="preserve">https://filestore.fortinet.com/docs.fortinet.com/fsiem/Public_Resource_Access/7_6_0/rules/PH_RULE_Suspicious_File_Download_From_IP_Via_Wget_EXE_Paths.htm</t>
  </si>
  <si>
    <t xml:space="preserve">PH_Rule_SIGMA_1955</t>
  </si>
  <si>
    <t xml:space="preserve">Windows: Suspicious File Drop by Exchange</t>
  </si>
  <si>
    <t xml:space="preserve">https://filestore.fortinet.com/docs.fortinet.com/fsiem/Public_Resource_Access/7_6_0/rules/PH_RULE_Suspicious_File_Drop_by_Exchange.htm</t>
  </si>
  <si>
    <t xml:space="preserve">PH_Rule_SIGMA_2284</t>
  </si>
  <si>
    <t xml:space="preserve">Windows: Suspicious File Execution From Internet Hosted WebDav Share</t>
  </si>
  <si>
    <t xml:space="preserve">https://filestore.fortinet.com/docs.fortinet.com/fsiem/Public_Resource_Access/7_6_0/rules/PH_RULE_Suspicious_File_Execution_From_Internet_Hosted_WebDav_Share.htm</t>
  </si>
  <si>
    <t xml:space="preserve">PH_Rule_windows_SIGMA_2973</t>
  </si>
  <si>
    <t xml:space="preserve">Windows: Suspicious File Write to SharePoint Layouts Directory</t>
  </si>
  <si>
    <t xml:space="preserve">https://filestore.fortinet.com/docs.fortinet.com/fsiem/Public_Resource_Access/7_6_0/rules/PH_RULE_Suspicious_File_Write_to_SharePoint_Layouts_Directory.htm</t>
  </si>
  <si>
    <t xml:space="preserve">PH_Rule_windows_SIGMA_2972</t>
  </si>
  <si>
    <t xml:space="preserve">Windows: Suspicious File Write to Webapps Root Directory</t>
  </si>
  <si>
    <t xml:space="preserve">https://filestore.fortinet.com/docs.fortinet.com/fsiem/Public_Resource_Access/7_6_0/rules/PH_RULE_Suspicious_File_Write_to_Webapps_Root_Directory.htm</t>
  </si>
  <si>
    <t xml:space="preserve">PH_Rule_SIGMA_2439</t>
  </si>
  <si>
    <t xml:space="preserve">Windows: Suspicious FromBase64String Usage On Gzip Archive - Process Creation</t>
  </si>
  <si>
    <t xml:space="preserve">https://filestore.fortinet.com/docs.fortinet.com/fsiem/Public_Resource_Access/7_6_0/rules/PH_RULE_Suspicious_FromBase64String_Usage_On_Gzip_Archive_Process_Creation.htm</t>
  </si>
  <si>
    <t xml:space="preserve">PH_Rule_windows_SIGMA_3159</t>
  </si>
  <si>
    <t xml:space="preserve">Windows: Suspicious FromBase64String Usage On Gzip Archive - Ps Script</t>
  </si>
  <si>
    <t xml:space="preserve">https://filestore.fortinet.com/docs.fortinet.com/fsiem/Public_Resource_Access/7_6_0/rules/PH_RULE_Suspicious_FromBase64String_Usage_On_Gzip_Archive_Ps_Script.htm</t>
  </si>
  <si>
    <t xml:space="preserve">PH_Rule_windows_SIGMA_3253</t>
  </si>
  <si>
    <t xml:space="preserve">Windows: Suspicious Get Information for SMB Share</t>
  </si>
  <si>
    <t xml:space="preserve">https://filestore.fortinet.com/docs.fortinet.com/fsiem/Public_Resource_Access/7_6_0/rules/PH_RULE_Suspicious_Get_Information_for_SMB_Share.htm</t>
  </si>
  <si>
    <t xml:space="preserve">PH_Rule_windows_SIGMA_3120</t>
  </si>
  <si>
    <t xml:space="preserve">Windows: Suspicious Get Information for SMB Share - PowerShell Module</t>
  </si>
  <si>
    <t xml:space="preserve">https://filestore.fortinet.com/docs.fortinet.com/fsiem/Public_Resource_Access/7_6_0/rules/PH_RULE_Suspicious_Get_Information_for_SMB_Share_PowerShell_Module.htm</t>
  </si>
  <si>
    <t xml:space="preserve">PH_Rule_windows_SIGMA_3118</t>
  </si>
  <si>
    <t xml:space="preserve">Windows: Suspicious Get Local Groups Information</t>
  </si>
  <si>
    <t xml:space="preserve">https://filestore.fortinet.com/docs.fortinet.com/fsiem/Public_Resource_Access/7_6_0/rules/PH_RULE_Suspicious_Get_Local_Groups_Information.htm</t>
  </si>
  <si>
    <t xml:space="preserve">PH_Rule_windows_SIGMA_3242</t>
  </si>
  <si>
    <t xml:space="preserve">Windows: Suspicious Get Local Groups Information - PowerShell</t>
  </si>
  <si>
    <t xml:space="preserve">https://filestore.fortinet.com/docs.fortinet.com/fsiem/Public_Resource_Access/7_6_0/rules/PH_RULE_Suspicious_Get_Local_Groups_Information_PowerShell.htm</t>
  </si>
  <si>
    <t xml:space="preserve">PH_Rule_SIGMA_854</t>
  </si>
  <si>
    <t xml:space="preserve">Windows: Suspicious Get-Variable.exe Creation</t>
  </si>
  <si>
    <t xml:space="preserve">https://filestore.fortinet.com/docs.fortinet.com/fsiem/Public_Resource_Access/7_6_0/rules/PH_RULE_Suspicious_Get_Variable_exe_Creation.htm</t>
  </si>
  <si>
    <t xml:space="preserve">PH_Rule_windows_SIGMA_3234</t>
  </si>
  <si>
    <t xml:space="preserve">Windows: Suspicious GetTypeFromCLSID ShellExecute</t>
  </si>
  <si>
    <t xml:space="preserve">https://filestore.fortinet.com/docs.fortinet.com/fsiem/Public_Resource_Access/7_6_0/rules/PH_RULE_Suspicious_GetTypeFromCLSID_ShellExecute.htm</t>
  </si>
  <si>
    <t xml:space="preserve">PH_Rule_SIGMA_2312</t>
  </si>
  <si>
    <t xml:space="preserve">Windows: Suspicious Git Clone</t>
  </si>
  <si>
    <t xml:space="preserve">https://filestore.fortinet.com/docs.fortinet.com/fsiem/Public_Resource_Access/7_6_0/rules/PH_RULE_Suspicious_Git_Clone.htm</t>
  </si>
  <si>
    <t xml:space="preserve">PH_Rule_SIGMA_2478</t>
  </si>
  <si>
    <t xml:space="preserve">Windows: Suspicious Greedy Compression Using Rar.EXE</t>
  </si>
  <si>
    <t xml:space="preserve">https://filestore.fortinet.com/docs.fortinet.com/fsiem/Public_Resource_Access/7_6_0/rules/PH_RULE_Suspicious_Greedy_Compression_Using_Rar_EXE.htm</t>
  </si>
  <si>
    <t xml:space="preserve">PH_Rule_windows_SIGMA_3408</t>
  </si>
  <si>
    <t xml:space="preserve">Windows: Suspicious Group And Account Reconnaissance Activity Using Net.EXE</t>
  </si>
  <si>
    <t xml:space="preserve">https://filestore.fortinet.com/docs.fortinet.com/fsiem/Public_Resource_Access/7_6_0/rules/PH_RULE_Suspicious_Group_And_Account_Reconnaissance_Activity_Using_Net_EXE.htm</t>
  </si>
  <si>
    <t xml:space="preserve">PH_Rule_SIGMA_1400</t>
  </si>
  <si>
    <t xml:space="preserve">Windows: Suspicious GrpConv Execution</t>
  </si>
  <si>
    <t xml:space="preserve">https://filestore.fortinet.com/docs.fortinet.com/fsiem/Public_Resource_Access/7_6_0/rules/PH_RULE_Suspicious_GrpConv_Execution.htm</t>
  </si>
  <si>
    <t xml:space="preserve">PH_Rule_SIGMA_561</t>
  </si>
  <si>
    <t xml:space="preserve">Windows: Suspicious GUP Usage</t>
  </si>
  <si>
    <t xml:space="preserve">https://filestore.fortinet.com/docs.fortinet.com/fsiem/Public_Resource_Access/7_6_0/rules/PH_RULE_Suspicious_GUP_Usage.htm</t>
  </si>
  <si>
    <t xml:space="preserve">PH_Rule_SIGMA_2323</t>
  </si>
  <si>
    <t xml:space="preserve">Windows: Suspicious Hacktool Execution - PE Metadata</t>
  </si>
  <si>
    <t xml:space="preserve">https://filestore.fortinet.com/docs.fortinet.com/fsiem/Public_Resource_Access/7_6_0/rules/PH_RULE_Suspicious_Hacktool_Execution_PE_Metadata.htm</t>
  </si>
  <si>
    <t xml:space="preserve">PH_Rule_SIGMA_2315</t>
  </si>
  <si>
    <t xml:space="preserve">Windows: Suspicious HH.EXE Execution</t>
  </si>
  <si>
    <t xml:space="preserve">https://filestore.fortinet.com/docs.fortinet.com/fsiem/Public_Resource_Access/7_6_0/rules/PH_RULE_Suspicious_HH_EXE_Execution.htm</t>
  </si>
  <si>
    <t xml:space="preserve">PH_Rule_SIGMA_1544</t>
  </si>
  <si>
    <t xml:space="preserve">Windows: Suspicious High IntegrityLevel Conhost Legacy Option</t>
  </si>
  <si>
    <t xml:space="preserve">https://filestore.fortinet.com/docs.fortinet.com/fsiem/Public_Resource_Access/7_6_0/rules/PH_RULE_Suspicious_Conhost_Legacy_Option.htm</t>
  </si>
  <si>
    <t xml:space="preserve">PH_Rule_SIGMA_427</t>
  </si>
  <si>
    <t xml:space="preserve">Windows: Suspicious HWP Sub Processes</t>
  </si>
  <si>
    <t xml:space="preserve">https://filestore.fortinet.com/docs.fortinet.com/fsiem/Public_Resource_Access/7_6_0/rules/PH_RULE_Suspicious_HWP_Sub_Processes.htm</t>
  </si>
  <si>
    <t xml:space="preserve">PH_Rule_windows_SIGMA_3235</t>
  </si>
  <si>
    <t xml:space="preserve">Windows: Suspicious Hyper-V Cmdlets</t>
  </si>
  <si>
    <t xml:space="preserve">https://filestore.fortinet.com/docs.fortinet.com/fsiem/Public_Resource_Access/7_6_0/rules/PH_RULE_Suspicious_Hyper_V_Cmdlets.htm</t>
  </si>
  <si>
    <t xml:space="preserve">PH_Rule_SIGMA_2353</t>
  </si>
  <si>
    <t xml:space="preserve">Windows: Suspicious IIS Module Registration</t>
  </si>
  <si>
    <t xml:space="preserve">https://filestore.fortinet.com/docs.fortinet.com/fsiem/Public_Resource_Access/7_6_0/rules/PH_RULE_Suspicious_IIS_Module_Registration.htm</t>
  </si>
  <si>
    <t xml:space="preserve">PH_Rule_SIGMA_2351</t>
  </si>
  <si>
    <t xml:space="preserve">Windows: Suspicious IIS URL GlobalRules Rewrite Via AppCmd</t>
  </si>
  <si>
    <t xml:space="preserve">https://filestore.fortinet.com/docs.fortinet.com/fsiem/Public_Resource_Access/7_6_0/rules/PH_RULE_Suspicious_IIS_URL_GlobalRules_Rewrite_Via_AppCmd.htm</t>
  </si>
  <si>
    <t xml:space="preserve">PH_Rule_SIGMA_857</t>
  </si>
  <si>
    <t xml:space="preserve">Windows: Suspicious Interactive PowerShell as SYSTEM</t>
  </si>
  <si>
    <t xml:space="preserve">https://filestore.fortinet.com/docs.fortinet.com/fsiem/Public_Resource_Access/7_6_0/rules/PH_RULE_Suspicious_Interactive_PowerShell_as_SYSTEM.htm</t>
  </si>
  <si>
    <t xml:space="preserve">PH_Rule_windows_SIGMA_3210</t>
  </si>
  <si>
    <t xml:space="preserve">Windows: Suspicious Invoke-Item From Mount-DiskImage</t>
  </si>
  <si>
    <t xml:space="preserve">https://filestore.fortinet.com/docs.fortinet.com/fsiem/Public_Resource_Access/7_6_0/rules/PH_RULE_Suspicious_Invoke_Item_From_Mount_DiskImage.htm</t>
  </si>
  <si>
    <t xml:space="preserve">PH_Rule_SIGMA_2447</t>
  </si>
  <si>
    <t xml:space="preserve">Windows: Suspicious Invoke-WebRequest Execution</t>
  </si>
  <si>
    <t xml:space="preserve">https://filestore.fortinet.com/docs.fortinet.com/fsiem/Public_Resource_Access/7_6_0/rules/PH_RULE_Suspicious_Invoke_WebRequest_Execution.htm</t>
  </si>
  <si>
    <t xml:space="preserve">PH_Rule_SIGMA_2446</t>
  </si>
  <si>
    <t xml:space="preserve">Windows: Suspicious Invoke-WebRequest Execution With DirectIP</t>
  </si>
  <si>
    <t xml:space="preserve">https://filestore.fortinet.com/docs.fortinet.com/fsiem/Public_Resource_Access/7_6_0/rules/PH_RULE_Suspicious_Invoke_WebRequest_Execution_With_DirectIP.htm</t>
  </si>
  <si>
    <t xml:space="preserve">PH_Rule_windows_SIGMA_3239</t>
  </si>
  <si>
    <t xml:space="preserve">Windows: Suspicious IO.FileStream</t>
  </si>
  <si>
    <t xml:space="preserve">https://filestore.fortinet.com/docs.fortinet.com/fsiem/Public_Resource_Access/7_6_0/rules/PH_RULE_Suspicious_IO_FileStream.htm</t>
  </si>
  <si>
    <t xml:space="preserve">PH_Rule_SIGMA_460</t>
  </si>
  <si>
    <t xml:space="preserve">Windows: Suspicious JavaScript Execution Via Mshta.EXE</t>
  </si>
  <si>
    <t xml:space="preserve">https://filestore.fortinet.com/docs.fortinet.com/fsiem/Public_Resource_Access/7_6_0/rules/PH_RULE_Mshta_JavaScript_Execution.htm</t>
  </si>
  <si>
    <t xml:space="preserve">PH_Rule_SIGMA_1558</t>
  </si>
  <si>
    <t xml:space="preserve">Windows: Suspicious Kernel Dump Using Dtrace</t>
  </si>
  <si>
    <t xml:space="preserve">https://filestore.fortinet.com/docs.fortinet.com/fsiem/Public_Resource_Access/7_6_0/rules/PH_RULE_Suspicious_Kernel_Dump_Using_Dtrace.htm</t>
  </si>
  <si>
    <t xml:space="preserve">PH_Rule_windows_SIGMA_3790</t>
  </si>
  <si>
    <t xml:space="preserve">Windows: Suspicious Keyboard Layout Load</t>
  </si>
  <si>
    <t xml:space="preserve">https://filestore.fortinet.com/docs.fortinet.com/fsiem/Public_Resource_Access/7_6_0/rules/PH_RULE_Suspicious_Keyboard_Layout_Load.htm</t>
  </si>
  <si>
    <t xml:space="preserve">PH_Rule_windows_SIGMA_3544</t>
  </si>
  <si>
    <t xml:space="preserve">Windows: Suspicious LNK Command-Line Padding with Whitespace Characters</t>
  </si>
  <si>
    <t xml:space="preserve">https://filestore.fortinet.com/docs.fortinet.com/fsiem/Public_Resource_Access/7_6_0/rules/PH_RULE_Suspicious_LNK_Command_Line_Padding_with_Whitespace_Characters.htm</t>
  </si>
  <si>
    <t xml:space="preserve">PH_Rule_SIGMA_1993</t>
  </si>
  <si>
    <t xml:space="preserve">Windows: Suspicious LNK Double Extension File</t>
  </si>
  <si>
    <t xml:space="preserve">https://filestore.fortinet.com/docs.fortinet.com/fsiem/Public_Resource_Access/7_6_0/rules/PH_RULE_Suspicious_LNK_Double_Extension_File.htm</t>
  </si>
  <si>
    <t xml:space="preserve">PH_Rule_windows_SIGMA_3032</t>
  </si>
  <si>
    <t xml:space="preserve">Windows: Suspicious Loading of Dbgcore/Dbghelp DLLs from Uncommon Location</t>
  </si>
  <si>
    <t xml:space="preserve">https://filestore.fortinet.com/docs.fortinet.com/fsiem/Public_Resource_Access/7_6_0/rules/PH_RULE_Suspicious_Loading_of_Dbgcore_Dbghelp_DLLs_from_Uncommon_Location.htm</t>
  </si>
  <si>
    <t xml:space="preserve">PH_Rule_SIGMA_2412</t>
  </si>
  <si>
    <t xml:space="preserve">Windows: Suspicious Microsoft Office Child Process</t>
  </si>
  <si>
    <t xml:space="preserve">https://filestore.fortinet.com/docs.fortinet.com/fsiem/Public_Resource_Access/7_6_0/rules/PH_RULE_Suspicious_Microsoft_Office_Child_Process.htm</t>
  </si>
  <si>
    <t xml:space="preserve">PH_Rule_SIGMA_2408</t>
  </si>
  <si>
    <t xml:space="preserve">Windows: Suspicious Microsoft OneNote Child Process</t>
  </si>
  <si>
    <t xml:space="preserve">https://filestore.fortinet.com/docs.fortinet.com/fsiem/Public_Resource_Access/7_6_0/rules/PH_RULE_Suspicious_Microsoft_OneNote_Child_Process.htm</t>
  </si>
  <si>
    <t xml:space="preserve">PH_Rule_SIGMA_2521</t>
  </si>
  <si>
    <t xml:space="preserve">Windows: Suspicious Modification Of Scheduled Tasks</t>
  </si>
  <si>
    <t xml:space="preserve">https://filestore.fortinet.com/docs.fortinet.com/fsiem/Public_Resource_Access/7_6_0/rules/PH_RULE_Suspicious_Modification_Of_Scheduled_Tasks.htm</t>
  </si>
  <si>
    <t xml:space="preserve">PH_Rule_windows_SIGMA_3244</t>
  </si>
  <si>
    <t xml:space="preserve">Windows: Suspicious Mount-DiskImage</t>
  </si>
  <si>
    <t xml:space="preserve">https://filestore.fortinet.com/docs.fortinet.com/fsiem/Public_Resource_Access/7_6_0/rules/PH_RULE_Suspicious_Mount_DiskImage.htm</t>
  </si>
  <si>
    <t xml:space="preserve">PH_Rule_SIGMA_2388</t>
  </si>
  <si>
    <t xml:space="preserve">Windows: Suspicious Msbuild Execution By Uncommon Parent Process</t>
  </si>
  <si>
    <t xml:space="preserve">https://filestore.fortinet.com/docs.fortinet.com/fsiem/Public_Resource_Access/7_6_0/rules/PH_RULE_Suspicious_Msbuild_Execution_By_Uncommon_Parent_Process.htm</t>
  </si>
  <si>
    <t xml:space="preserve">PH_Rule_SIGMA_1433</t>
  </si>
  <si>
    <t xml:space="preserve">Windows: Suspicious MSDT Parent Process</t>
  </si>
  <si>
    <t xml:space="preserve">https://filestore.fortinet.com/docs.fortinet.com/fsiem/Public_Resource_Access/7_6_0/rules/PH_RULE_MSDT_Executed_with_Suspicious_Parent.htm</t>
  </si>
  <si>
    <t xml:space="preserve">PH_Rule_SIGMA_853</t>
  </si>
  <si>
    <t xml:space="preserve">Windows: Suspicious MSExchangeMailboxReplication ASPX Write</t>
  </si>
  <si>
    <t xml:space="preserve">https://filestore.fortinet.com/docs.fortinet.com/fsiem/Public_Resource_Access/7_6_0/rules/PH_RULE_Suspicious_MSExchangeMailboxReplication_ASPX_Write.htm</t>
  </si>
  <si>
    <t xml:space="preserve">PH_Rule_SIGMA_461</t>
  </si>
  <si>
    <t xml:space="preserve">Windows: Suspicious MSHTA Child Process</t>
  </si>
  <si>
    <t xml:space="preserve">https://filestore.fortinet.com/docs.fortinet.com/fsiem/Public_Resource_Access/7_6_0/rules/PH_RULE_MSHTA_Spawning_Windows_Shell.htm</t>
  </si>
  <si>
    <t xml:space="preserve">PH_Rule_SIGMA_1579</t>
  </si>
  <si>
    <t xml:space="preserve">Windows: Suspicious Mshta.EXE Execution Patterns</t>
  </si>
  <si>
    <t xml:space="preserve">https://filestore.fortinet.com/docs.fortinet.com/fsiem/Public_Resource_Access/7_6_0/rules/PH_RULE_Suspicious_MSHTA_Process_Patterns.htm</t>
  </si>
  <si>
    <t xml:space="preserve">PH_Rule_SIGMA_1436</t>
  </si>
  <si>
    <t xml:space="preserve">Windows: Suspicious MsiExec Embedding Parent</t>
  </si>
  <si>
    <t xml:space="preserve">https://filestore.fortinet.com/docs.fortinet.com/fsiem/Public_Resource_Access/7_6_0/rules/PH_RULE_Suspicious_MsiExec_Embedding_Parent.htm</t>
  </si>
  <si>
    <t xml:space="preserve">PH_Rule_SIGMA_1437</t>
  </si>
  <si>
    <t xml:space="preserve">Windows: Suspicious Msiexec Execute Arbitrary DLL</t>
  </si>
  <si>
    <t xml:space="preserve">https://filestore.fortinet.com/docs.fortinet.com/fsiem/Public_Resource_Access/7_6_0/rules/PH_RULE_Suspicious_Msiexec_Execute_Arbitrary_DLL.htm</t>
  </si>
  <si>
    <t xml:space="preserve">PH_Rule_SIGMA_2391</t>
  </si>
  <si>
    <t xml:space="preserve">Windows: Suspicious Msiexec Quiet Install From Remote Location</t>
  </si>
  <si>
    <t xml:space="preserve">https://filestore.fortinet.com/docs.fortinet.com/fsiem/Public_Resource_Access/7_6_0/rules/PH_RULE_Suspicious_Msiexec_Quiet_Install_From_Remote_Location.htm</t>
  </si>
  <si>
    <t xml:space="preserve">PH_Rule_SIGMA_2395</t>
  </si>
  <si>
    <t xml:space="preserve">Windows: Suspicious Mstsc.EXE Execution With Local RDP File</t>
  </si>
  <si>
    <t xml:space="preserve">https://filestore.fortinet.com/docs.fortinet.com/fsiem/Public_Resource_Access/7_6_0/rules/PH_RULE_Suspicious_Mstsc_EXE_Execution_With_Local_RDP_File.htm</t>
  </si>
  <si>
    <t xml:space="preserve">PH_Rule_SIGMA_1582</t>
  </si>
  <si>
    <t xml:space="preserve">Windows: Suspicious Network Command</t>
  </si>
  <si>
    <t xml:space="preserve">https://filestore.fortinet.com/docs.fortinet.com/fsiem/Public_Resource_Access/7_6_0/rules/PH_RULE_Suspicious_Network_Command.htm</t>
  </si>
  <si>
    <t xml:space="preserve">PH_Rule_SIGMA_2059</t>
  </si>
  <si>
    <t xml:space="preserve">Windows: Suspicious Network Connection Binary No CommandLine</t>
  </si>
  <si>
    <t xml:space="preserve">https://filestore.fortinet.com/docs.fortinet.com/fsiem/Public_Resource_Access/7_6_0/rules/PH_RULE_Suspicious_Network_Connection_Binary_No_CommandLine.htm</t>
  </si>
  <si>
    <t xml:space="preserve">PH_Rule_SIGMA_2062</t>
  </si>
  <si>
    <t xml:space="preserve">Windows: Suspicious Network Connection to IP Lookup Service APIs</t>
  </si>
  <si>
    <t xml:space="preserve">https://filestore.fortinet.com/docs.fortinet.com/fsiem/Public_Resource_Access/7_6_0/rules/PH_RULE_Suspicious_Network_Connection_to_IP_Lookup_Service_APIs.htm</t>
  </si>
  <si>
    <t xml:space="preserve">PH_Rule_SIGMA_2567</t>
  </si>
  <si>
    <t xml:space="preserve">Windows: Suspicious New Service Creation</t>
  </si>
  <si>
    <t xml:space="preserve">https://filestore.fortinet.com/docs.fortinet.com/fsiem/Public_Resource_Access/7_6_0/rules/PH_RULE_Suspicious_New_Service_Creation.htm</t>
  </si>
  <si>
    <t xml:space="preserve">PH_Rule_windows_SIGMA_3089</t>
  </si>
  <si>
    <t xml:space="preserve">Windows: Suspicious Non PowerShell WSMAN COM Provider</t>
  </si>
  <si>
    <t xml:space="preserve">https://filestore.fortinet.com/docs.fortinet.com/fsiem/Public_Resource_Access/7_6_0/rules/PH_RULE_Suspicious_Non_PowerShell_WSMAN_COM_Provider.htm</t>
  </si>
  <si>
    <t xml:space="preserve">PH_Rule_SIGMA_2050</t>
  </si>
  <si>
    <t xml:space="preserve">Windows: Suspicious Non-Browser Network Communication With Google API</t>
  </si>
  <si>
    <t xml:space="preserve">https://filestore.fortinet.com/docs.fortinet.com/fsiem/Public_Resource_Access/7_6_0/rules/PH_RULE_Suspicious_Non_Browser_Network_Communication_With_Google_API.htm</t>
  </si>
  <si>
    <t xml:space="preserve">PH_Rule_windows_SIGMA_3047</t>
  </si>
  <si>
    <t xml:space="preserve">Windows: Suspicious Non-Browser Network Communication With Telegram API</t>
  </si>
  <si>
    <t xml:space="preserve">https://filestore.fortinet.com/docs.fortinet.com/fsiem/Public_Resource_Access/7_6_0/rules/PH_RULE_Suspicious_Non_Browser_Network_Communication_With_Telegram_API.htm</t>
  </si>
  <si>
    <t xml:space="preserve">PH_Rule_SIGMA_1588</t>
  </si>
  <si>
    <t xml:space="preserve">Windows: Suspicious Ntdll Pipe Redirection</t>
  </si>
  <si>
    <t xml:space="preserve">https://filestore.fortinet.com/docs.fortinet.com/fsiem/Public_Resource_Access/7_6_0/rules/PH_RULE_Suspicious_Ntdll_Pipe_Redirection.htm</t>
  </si>
  <si>
    <t xml:space="preserve">PH_Rule_SIGMA_2436</t>
  </si>
  <si>
    <t xml:space="preserve">Windows: Suspicious Obfuscated PowerShell Code</t>
  </si>
  <si>
    <t xml:space="preserve">https://filestore.fortinet.com/docs.fortinet.com/fsiem/Public_Resource_Access/7_6_0/rules/PH_RULE_Suspicious_Obfuscated_PowerShell_Code.htm</t>
  </si>
  <si>
    <t xml:space="preserve">PH_Rule_SIGMA_1780</t>
  </si>
  <si>
    <t xml:space="preserve">Windows: Suspicious Outbound SMTP Connections</t>
  </si>
  <si>
    <t xml:space="preserve">https://filestore.fortinet.com/docs.fortinet.com/fsiem/Public_Resource_Access/7_6_0/rules/PH_RULE_Suspicious_Outbound_SMTP_Connections.htm</t>
  </si>
  <si>
    <t xml:space="preserve">PH_Rule_SIGMA_2410</t>
  </si>
  <si>
    <t xml:space="preserve">Windows: Suspicious Outlook Child Process</t>
  </si>
  <si>
    <t xml:space="preserve">https://filestore.fortinet.com/docs.fortinet.com/fsiem/Public_Resource_Access/7_6_0/rules/PH_RULE_Suspicious_Outlook_Child_Process.htm</t>
  </si>
  <si>
    <t xml:space="preserve">PH_Rule_SIGMA_1979</t>
  </si>
  <si>
    <t xml:space="preserve">Windows: Suspicious Outlook Macro Created</t>
  </si>
  <si>
    <t xml:space="preserve">https://filestore.fortinet.com/docs.fortinet.com/fsiem/Public_Resource_Access/7_6_0/rules/PH_RULE_Suspicious_Outlook_Macro_Created.htm</t>
  </si>
  <si>
    <t xml:space="preserve">PH_Rule_SIGMA_2547</t>
  </si>
  <si>
    <t xml:space="preserve">Windows: Suspicious Parent Double Extension File Execution</t>
  </si>
  <si>
    <t xml:space="preserve">https://filestore.fortinet.com/docs.fortinet.com/fsiem/Public_Resource_Access/7_6_0/rules/PH_RULE_Suspicious_Parent_Double_Extension_File_Execution.htm</t>
  </si>
  <si>
    <t xml:space="preserve">PH_Rule_windows_SIGMA_3710</t>
  </si>
  <si>
    <t xml:space="preserve">Windows: Suspicious Path In Keyboard Layout IME File Registry Value</t>
  </si>
  <si>
    <t xml:space="preserve">https://filestore.fortinet.com/docs.fortinet.com/fsiem/Public_Resource_Access/7_6_0/rules/PH_RULE_Suspicious_Path_In_Keyboard_Layout_IME_File_Registry_Value.htm</t>
  </si>
  <si>
    <t xml:space="preserve">PH_Rule_windows_SIGMA_3571</t>
  </si>
  <si>
    <t xml:space="preserve">Windows: Suspicious Persistence Via VMwareToolBoxCmd.EXE VM State Change Script</t>
  </si>
  <si>
    <t xml:space="preserve">https://filestore.fortinet.com/docs.fortinet.com/fsiem/Public_Resource_Access/7_6_0/rules/PH_RULE_Suspicious_Persistence_Via_VMwareToolBoxCmd_EXE_VM_State_Change_Script.htm</t>
  </si>
  <si>
    <t xml:space="preserve">PH_Rule_SIGMA_2286</t>
  </si>
  <si>
    <t xml:space="preserve">Windows: Suspicious Ping/Del Command Combination</t>
  </si>
  <si>
    <t xml:space="preserve">https://filestore.fortinet.com/docs.fortinet.com/fsiem/Public_Resource_Access/7_6_0/rules/PH_RULE_Suspicious_Ping_Del_Command_Combination.htm</t>
  </si>
  <si>
    <t xml:space="preserve">PH_Rule_SIGMA_1594</t>
  </si>
  <si>
    <t xml:space="preserve">Windows: Suspicious Plink Port Forwarding</t>
  </si>
  <si>
    <t xml:space="preserve">https://filestore.fortinet.com/docs.fortinet.com/fsiem/Public_Resource_Access/7_6_0/rules/PH_RULE_Suspicious_Plink_Remote_Forwarding.htm</t>
  </si>
  <si>
    <t xml:space="preserve">PH_Rule_SIGMA_2419</t>
  </si>
  <si>
    <t xml:space="preserve">Windows: Suspicious Powercfg Execution To Change Lock Screen Timeout</t>
  </si>
  <si>
    <t xml:space="preserve">https://filestore.fortinet.com/docs.fortinet.com/fsiem/Public_Resource_Access/7_6_0/rules/PH_RULE_Suspicious_Powercfg_Execution_To_Change_Lock_Screen_Timeout.htm</t>
  </si>
  <si>
    <t xml:space="preserve">PH_Rule_windows_SIGMA_3114</t>
  </si>
  <si>
    <t xml:space="preserve">Windows: Suspicious PowerShell Download - PoshModule</t>
  </si>
  <si>
    <t xml:space="preserve">https://filestore.fortinet.com/docs.fortinet.com/fsiem/Public_Resource_Access/7_6_0/rules/PH_RULE_Suspicious_PowerShell_Download_PoshModule.htm</t>
  </si>
  <si>
    <t xml:space="preserve">PH_Rule_windows_SIGMA_3225</t>
  </si>
  <si>
    <t xml:space="preserve">Windows: Suspicious PowerShell Download - Powershell Script</t>
  </si>
  <si>
    <t xml:space="preserve">https://filestore.fortinet.com/docs.fortinet.com/fsiem/Public_Resource_Access/7_6_0/rules/PH_RULE_Suspicious_PowerShell_Download_Powershell_Script.htm</t>
  </si>
  <si>
    <t xml:space="preserve">PH_Rule_SIGMA_1460</t>
  </si>
  <si>
    <t xml:space="preserve">Windows: Suspicious PowerShell Download and Execute Pattern</t>
  </si>
  <si>
    <t xml:space="preserve">https://filestore.fortinet.com/docs.fortinet.com/fsiem/Public_Resource_Access/7_6_0/rules/PH_RULE_Suspicious_PowerShell_Download_and_Execute_Pattern.htm</t>
  </si>
  <si>
    <t xml:space="preserve">PH_Rule_SIGMA_1595</t>
  </si>
  <si>
    <t xml:space="preserve">Windows: Suspicious PowerShell Encoded Command Patterns</t>
  </si>
  <si>
    <t xml:space="preserve">https://filestore.fortinet.com/docs.fortinet.com/fsiem/Public_Resource_Access/7_6_0/rules/PH_RULE_Suspicious_PowerShell_Encoded_Command_Patterns.htm</t>
  </si>
  <si>
    <t xml:space="preserve">PH_Rule_windows_SIGMA_3230</t>
  </si>
  <si>
    <t xml:space="preserve">Windows: Suspicious PowerShell Get Current User</t>
  </si>
  <si>
    <t xml:space="preserve">https://filestore.fortinet.com/docs.fortinet.com/fsiem/Public_Resource_Access/7_6_0/rules/PH_RULE_Suspicious_PowerShell_Get_Current_User.htm</t>
  </si>
  <si>
    <t xml:space="preserve">PH_Rule_SIGMA_1600</t>
  </si>
  <si>
    <t xml:space="preserve">Windows: Suspicious PowerShell IEX Execution Patterns</t>
  </si>
  <si>
    <t xml:space="preserve">https://filestore.fortinet.com/docs.fortinet.com/fsiem/Public_Resource_Access/7_6_0/rules/PH_RULE_Suspicious_PowerShell_IEX_Execution_Patterns.htm</t>
  </si>
  <si>
    <t xml:space="preserve">PH_Rule_windows_SIGMA_3772</t>
  </si>
  <si>
    <t xml:space="preserve">Windows: Suspicious PowerShell In Registry Run Keys</t>
  </si>
  <si>
    <t xml:space="preserve">https://filestore.fortinet.com/docs.fortinet.com/fsiem/Public_Resource_Access/7_6_0/rules/PH_RULE_Suspicious_PowerShell_In_Registry_Run_Keys.htm</t>
  </si>
  <si>
    <t xml:space="preserve">PH_Rule_SIGMA_580</t>
  </si>
  <si>
    <t xml:space="preserve">Windows: Suspicious PowerShell Invocation From Script Engines</t>
  </si>
  <si>
    <t xml:space="preserve">https://filestore.fortinet.com/docs.fortinet.com/fsiem/Public_Resource_Access/7_6_0/rules/PH_RULE_Suspicious_PowerShell_Invocation_Based_on_Parent_Process.htm</t>
  </si>
  <si>
    <t xml:space="preserve">PH_Rule_windows_SIGMA_3236</t>
  </si>
  <si>
    <t xml:space="preserve">Windows: Suspicious PowerShell Invocations - Generic</t>
  </si>
  <si>
    <t xml:space="preserve">https://filestore.fortinet.com/docs.fortinet.com/fsiem/Public_Resource_Access/7_6_0/rules/PH_RULE_Suspicious_PowerShell_Invocations_Generic.htm</t>
  </si>
  <si>
    <t xml:space="preserve">PH_Rule_windows_SIGMA_3116</t>
  </si>
  <si>
    <t xml:space="preserve">Windows: Suspicious PowerShell Invocations - Generic - PowerShell Module</t>
  </si>
  <si>
    <t xml:space="preserve">https://filestore.fortinet.com/docs.fortinet.com/fsiem/Public_Resource_Access/7_6_0/rules/PH_RULE_Suspicious_PowerShell_Invocations_Generic_PowerShell_Module.htm</t>
  </si>
  <si>
    <t xml:space="preserve">PH_Rule_SIGMA_2445</t>
  </si>
  <si>
    <t xml:space="preserve">Windows: Suspicious PowerShell Invocations - Specific - ProcessCreation</t>
  </si>
  <si>
    <t xml:space="preserve">https://filestore.fortinet.com/docs.fortinet.com/fsiem/Public_Resource_Access/7_6_0/rules/PH_RULE_Suspicious_PowerShell_Invocations_Specific_ProcessCreation.htm</t>
  </si>
  <si>
    <t xml:space="preserve">PH_Rule_SIGMA_1417</t>
  </si>
  <si>
    <t xml:space="preserve">Windows: Suspicious PowerShell Mailbox Export to Share</t>
  </si>
  <si>
    <t xml:space="preserve">https://filestore.fortinet.com/docs.fortinet.com/fsiem/Public_Resource_Access/7_6_0/rules/PH_RULE_Suspicious_PowerShell_Mailbox_Export_to_Share.htm</t>
  </si>
  <si>
    <t xml:space="preserve">PH_Rule_windows_SIGMA_3187</t>
  </si>
  <si>
    <t xml:space="preserve">Windows: Suspicious PowerShell Mailbox Export to Share - PS</t>
  </si>
  <si>
    <t xml:space="preserve">https://filestore.fortinet.com/docs.fortinet.com/fsiem/Public_Resource_Access/7_6_0/rules/PH_RULE_Suspicious_PowerShell_Mailbox_Export_to_Share_PS.htm</t>
  </si>
  <si>
    <t xml:space="preserve">PH_Rule_SIGMA_487</t>
  </si>
  <si>
    <t xml:space="preserve">Windows: Suspicious PowerShell Parameter Substring</t>
  </si>
  <si>
    <t xml:space="preserve">https://filestore.fortinet.com/docs.fortinet.com/fsiem/Public_Resource_Access/7_6_0/rules/PH_RULE_Suspicious_PowerShell_Parameter_Substring.htm</t>
  </si>
  <si>
    <t xml:space="preserve">PH_Rule_SIGMA_581</t>
  </si>
  <si>
    <t xml:space="preserve">Windows: Suspicious PowerShell Parent Process</t>
  </si>
  <si>
    <t xml:space="preserve">https://filestore.fortinet.com/docs.fortinet.com/fsiem/Public_Resource_Access/7_6_0/rules/PH_RULE_Suspicious_PowerShell_Parent_Process.htm</t>
  </si>
  <si>
    <t xml:space="preserve">PH_Rule_windows_SIGMA_3260</t>
  </si>
  <si>
    <t xml:space="preserve">Windows: Suspicious PowerShell WindowStyle Option</t>
  </si>
  <si>
    <t xml:space="preserve">https://filestore.fortinet.com/docs.fortinet.com/fsiem/Public_Resource_Access/7_6_0/rules/PH_RULE_Suspicious_PowerShell_WindowStyle_Option.htm</t>
  </si>
  <si>
    <t xml:space="preserve">PH_Rule_windows_SIGMA_3792</t>
  </si>
  <si>
    <t xml:space="preserve">Windows: Suspicious Printer Driver Empty Manufacturer</t>
  </si>
  <si>
    <t xml:space="preserve">https://filestore.fortinet.com/docs.fortinet.com/fsiem/Public_Resource_Access/7_6_0/rules/PH_RULE_Suspicious_Printer_Driver_Empty_Manufacturer.htm</t>
  </si>
  <si>
    <t xml:space="preserve">PH_Rule_windows_SIGMA_3292</t>
  </si>
  <si>
    <t xml:space="preserve">Windows: Suspicious Process Access of MsMpEng by WerFaultSecure - EDR-Freeze</t>
  </si>
  <si>
    <t xml:space="preserve">https://filestore.fortinet.com/docs.fortinet.com/fsiem/Public_Resource_Access/7_6_0/rules/PH_RULE_Suspicious_Process_Access_of_MsMpEng_by_WerFaultSecure_EDR_Freeze.htm</t>
  </si>
  <si>
    <t xml:space="preserve">PH_Rule_SIGMA_626</t>
  </si>
  <si>
    <t xml:space="preserve">Windows: Suspicious Process By Web Server Process</t>
  </si>
  <si>
    <t xml:space="preserve">https://filestore.fortinet.com/docs.fortinet.com/fsiem/Public_Resource_Access/7_6_0/rules/PH_RULE_Shells_Spawned_by_Web_Servers.htm</t>
  </si>
  <si>
    <t xml:space="preserve">PH_Rule_SIGMA_2619</t>
  </si>
  <si>
    <t xml:space="preserve">Windows: Suspicious Process Created Via Wmic.EXE</t>
  </si>
  <si>
    <t xml:space="preserve">https://filestore.fortinet.com/docs.fortinet.com/fsiem/Public_Resource_Access/7_6_0/rules/PH_RULE_Suspicious_Process_Created_Via_Wmic_EXE.htm</t>
  </si>
  <si>
    <t xml:space="preserve">PH_Rule_windows_SIGMA_3232</t>
  </si>
  <si>
    <t xml:space="preserve">Windows: Suspicious Process Discovery With Get-Process</t>
  </si>
  <si>
    <t xml:space="preserve">https://filestore.fortinet.com/docs.fortinet.com/fsiem/Public_Resource_Access/7_6_0/rules/PH_RULE_Suspicious_Process_Discovery_With_Get_Process.htm</t>
  </si>
  <si>
    <t xml:space="preserve">PH_Rule_windows_SIGMA_3550</t>
  </si>
  <si>
    <t xml:space="preserve">Windows: Suspicious Process Execution From Fake Recycle.Bin Folder</t>
  </si>
  <si>
    <t xml:space="preserve">https://filestore.fortinet.com/docs.fortinet.com/fsiem/Public_Resource_Access/7_6_0/rules/PH_RULE_Suspicious_Process_Execution_From_Fake_Recycle_Bin_Folder.htm</t>
  </si>
  <si>
    <t xml:space="preserve">PH_Rule_windows_SIGMA_3556</t>
  </si>
  <si>
    <t xml:space="preserve">Windows: Suspicious Process Masquerading As SvcHost.EXE</t>
  </si>
  <si>
    <t xml:space="preserve">https://filestore.fortinet.com/docs.fortinet.com/fsiem/Public_Resource_Access/7_6_0/rules/PH_RULE_Suspicious_Process_Masquerading_As_SvcHost_EXE.htm</t>
  </si>
  <si>
    <t xml:space="preserve">PH_Rule_SIGMA_1591</t>
  </si>
  <si>
    <t xml:space="preserve">Windows: Suspicious Process Parents</t>
  </si>
  <si>
    <t xml:space="preserve">https://filestore.fortinet.com/docs.fortinet.com/fsiem/Public_Resource_Access/7_6_0/rules/PH_RULE_Suspicious_Process_Parents.htm</t>
  </si>
  <si>
    <t xml:space="preserve">PH_Rule_SIGMA_594</t>
  </si>
  <si>
    <t xml:space="preserve">Windows: Suspicious Process Start Locations</t>
  </si>
  <si>
    <t xml:space="preserve">https://filestore.fortinet.com/docs.fortinet.com/fsiem/Public_Resource_Access/7_6_0/rules/PH_RULE_Suspicious_Process_Start_Locations.htm</t>
  </si>
  <si>
    <t xml:space="preserve">PH_Rule_SIGMA_1517</t>
  </si>
  <si>
    <t xml:space="preserve">Windows: Suspicious Processes Spawned by Java.EXE</t>
  </si>
  <si>
    <t xml:space="preserve">https://filestore.fortinet.com/docs.fortinet.com/fsiem/Public_Resource_Access/7_6_0/rules/PH_RULE_Shells_Spawn_by_Java.htm</t>
  </si>
  <si>
    <t xml:space="preserve">PH_Rule_SIGMA_1661</t>
  </si>
  <si>
    <t xml:space="preserve">Windows: Suspicious Processes Spawned by WinRM</t>
  </si>
  <si>
    <t xml:space="preserve">https://filestore.fortinet.com/docs.fortinet.com/fsiem/Public_Resource_Access/7_6_0/rules/PH_RULE_Suspicious_Processes_Spawned_by_WinRM.htm</t>
  </si>
  <si>
    <t xml:space="preserve">PH_Rule_SIGMA_326</t>
  </si>
  <si>
    <t xml:space="preserve">Windows: Suspicious PROCEXP152.sys File Created In TMP</t>
  </si>
  <si>
    <t xml:space="preserve">https://filestore.fortinet.com/docs.fortinet.com/fsiem/Public_Resource_Access/7_6_0/rules/PH_RULE_Suspicious_PROCEXP152_sys_File_Created_In_TMP.htm</t>
  </si>
  <si>
    <t xml:space="preserve">PH_Rule_SIGMA_466</t>
  </si>
  <si>
    <t xml:space="preserve">Windows: Suspicious Program Location Whitelisted In Firewall Via Netsh.EXE</t>
  </si>
  <si>
    <t xml:space="preserve">https://filestore.fortinet.com/docs.fortinet.com/fsiem/Public_Resource_Access/7_6_0/rules/PH_RULE_Netsh_Program_Allowed_with_Suspcious_Location.htm</t>
  </si>
  <si>
    <t xml:space="preserve">PH_Rule_SIGMA_1607</t>
  </si>
  <si>
    <t xml:space="preserve">Windows: Suspicious Program Names</t>
  </si>
  <si>
    <t xml:space="preserve">https://filestore.fortinet.com/docs.fortinet.com/fsiem/Public_Resource_Access/7_6_0/rules/PH_RULE_Suspicious_Program_Names.htm</t>
  </si>
  <si>
    <t xml:space="preserve">PH_Rule_windows_SIGMA_3446</t>
  </si>
  <si>
    <t xml:space="preserve">Windows: Suspicious Provlaunch.EXE Child Process</t>
  </si>
  <si>
    <t xml:space="preserve">https://filestore.fortinet.com/docs.fortinet.com/fsiem/Public_Resource_Access/7_6_0/rules/PH_RULE_Suspicious_Provlaunch_EXE_Child_Process.htm</t>
  </si>
  <si>
    <t xml:space="preserve">PH_Rule_SIGMA_1576</t>
  </si>
  <si>
    <t xml:space="preserve">Windows: Suspicious Query of MachineGUID</t>
  </si>
  <si>
    <t xml:space="preserve">https://filestore.fortinet.com/docs.fortinet.com/fsiem/Public_Resource_Access/7_6_0/rules/PH_RULE_Suspicious_Query_of_MachineGUID.htm</t>
  </si>
  <si>
    <t xml:space="preserve">PH_Rule_SIGMA_588</t>
  </si>
  <si>
    <t xml:space="preserve">Windows: Suspicious RASdial Activity</t>
  </si>
  <si>
    <t xml:space="preserve">https://filestore.fortinet.com/docs.fortinet.com/fsiem/Public_Resource_Access/7_6_0/rules/PH_RULE_Suspicious_RASdial_Activity.htm</t>
  </si>
  <si>
    <t xml:space="preserve">PH_Rule_SIGMA_2441</t>
  </si>
  <si>
    <t xml:space="preserve">Windows: Suspicious Reconnaissance Activity Using Get-LocalGroupMember Cmdlet</t>
  </si>
  <si>
    <t xml:space="preserve">https://filestore.fortinet.com/docs.fortinet.com/fsiem/Public_Resource_Access/7_6_0/rules/PH_RULE_Suspicious_Reconnaissance_Activity_Using_Get_LocalGroupMember_Cmdlet.htm</t>
  </si>
  <si>
    <t xml:space="preserve">PH_Rule_SIGMA_2551</t>
  </si>
  <si>
    <t xml:space="preserve">Windows: Suspicious Reconnaissance Activity Via GatherNetworkInfo.VBS</t>
  </si>
  <si>
    <t xml:space="preserve">https://filestore.fortinet.com/docs.fortinet.com/fsiem/Public_Resource_Access/7_6_0/rules/PH_RULE_Suspicious_Reconnaissance_Activity_Via_GatherNetworkInfo_VBS.htm</t>
  </si>
  <si>
    <t xml:space="preserve">PH_Rule_SIGMA_1667</t>
  </si>
  <si>
    <t xml:space="preserve">Windows: Suspicious Recursif Takeown</t>
  </si>
  <si>
    <t xml:space="preserve">https://filestore.fortinet.com/docs.fortinet.com/fsiem/Public_Resource_Access/7_6_0/rules/PH_RULE_Suspicious_Recursif_Takeown.htm</t>
  </si>
  <si>
    <t xml:space="preserve">PH_Rule_windows_SIGMA_3551</t>
  </si>
  <si>
    <t xml:space="preserve">Windows: Suspicious Redirection to Local Admin Share</t>
  </si>
  <si>
    <t xml:space="preserve">https://filestore.fortinet.com/docs.fortinet.com/fsiem/Public_Resource_Access/7_6_0/rules/PH_RULE_Suspicious_Redirection_to_Local_Admin_Share.htm</t>
  </si>
  <si>
    <t xml:space="preserve">PH_Rule_SIGMA_1618</t>
  </si>
  <si>
    <t xml:space="preserve">Windows: Suspicious Reg Add BitLocker</t>
  </si>
  <si>
    <t xml:space="preserve">https://filestore.fortinet.com/docs.fortinet.com/fsiem/Public_Resource_Access/7_6_0/rules/PH_RULE_Suspicious_Reg_Add_BitLocker.htm</t>
  </si>
  <si>
    <t xml:space="preserve">PH_Rule_SIGMA_1489</t>
  </si>
  <si>
    <t xml:space="preserve">Windows: Suspicious Registry Modification From ADS Via Regini.EXE</t>
  </si>
  <si>
    <t xml:space="preserve">https://filestore.fortinet.com/docs.fortinet.com/fsiem/Public_Resource_Access/7_6_0/rules/PH_RULE_Modifies_the_Registry_From_a_ADS.htm</t>
  </si>
  <si>
    <t xml:space="preserve">PH_Rule_SIGMA_2491</t>
  </si>
  <si>
    <t xml:space="preserve">Windows: Suspicious Regsvr32 Execution From Remote Share</t>
  </si>
  <si>
    <t xml:space="preserve">https://filestore.fortinet.com/docs.fortinet.com/fsiem/Public_Resource_Access/7_6_0/rules/PH_RULE_Suspicious_Regsvr32_Execution_From_Remote_Share.htm</t>
  </si>
  <si>
    <t xml:space="preserve">PH_Rule_SIGMA_1625</t>
  </si>
  <si>
    <t xml:space="preserve">Windows: Suspicious Regsvr32 Execution With Image Extension</t>
  </si>
  <si>
    <t xml:space="preserve">https://filestore.fortinet.com/docs.fortinet.com/fsiem/Public_Resource_Access/7_6_0/rules/PH_RULE_Suspicious_Regsvr32_Execution_With_Image_Extension.htm</t>
  </si>
  <si>
    <t xml:space="preserve">PH_Rule_SIGMA_2411</t>
  </si>
  <si>
    <t xml:space="preserve">Windows: Suspicious Remote Child Process From Outlook</t>
  </si>
  <si>
    <t xml:space="preserve">https://filestore.fortinet.com/docs.fortinet.com/fsiem/Public_Resource_Access/7_6_0/rules/PH_RULE_Suspicious_Remote_Child_Process_From_Outlook.htm</t>
  </si>
  <si>
    <t xml:space="preserve">PH_Rule_SIGMA_670</t>
  </si>
  <si>
    <t xml:space="preserve">Windows: Suspicious Run Key from Download</t>
  </si>
  <si>
    <t xml:space="preserve">https://filestore.fortinet.com/docs.fortinet.com/fsiem/Public_Resource_Access/7_6_0/rules/PH_RULE_Suspicious_RUN_Key_from_Download.htm</t>
  </si>
  <si>
    <t xml:space="preserve">PH_Rule_SIGMA_2564</t>
  </si>
  <si>
    <t xml:space="preserve">Windows: Suspicious RunAs-Like Flag Combination</t>
  </si>
  <si>
    <t xml:space="preserve">https://filestore.fortinet.com/docs.fortinet.com/fsiem/Public_Resource_Access/7_6_0/rules/PH_RULE_Suspicious_RunAs_Like_Flag_Combination.htm</t>
  </si>
  <si>
    <t xml:space="preserve">PH_Rule_SIGMA_1636</t>
  </si>
  <si>
    <t xml:space="preserve">Windows: Suspicious Rundll32 Activity Invoking Sys File</t>
  </si>
  <si>
    <t xml:space="preserve">https://filestore.fortinet.com/docs.fortinet.com/fsiem/Public_Resource_Access/7_6_0/rules/PH_RULE_Suspicious_Rundll32_Activity_Invoking_Sys_File.htm</t>
  </si>
  <si>
    <t xml:space="preserve">PH_Rule_SIGMA_2510</t>
  </si>
  <si>
    <t xml:space="preserve">Windows: Suspicious Rundll32 Execution With Image Extension</t>
  </si>
  <si>
    <t xml:space="preserve">https://filestore.fortinet.com/docs.fortinet.com/fsiem/Public_Resource_Access/7_6_0/rules/PH_RULE_Suspicious_Rundll32_Execution_With_Image_Extension.htm</t>
  </si>
  <si>
    <t xml:space="preserve">PH_Rule_SIGMA_1629</t>
  </si>
  <si>
    <t xml:space="preserve">Windows: Suspicious Rundll32 Invoking Inline VBScript</t>
  </si>
  <si>
    <t xml:space="preserve">https://filestore.fortinet.com/docs.fortinet.com/fsiem/Public_Resource_Access/7_6_0/rules/PH_RULE_Suspicious_Rundll32_Invoking_Inline_VBScript.htm</t>
  </si>
  <si>
    <t xml:space="preserve">PH_Rule_SIGMA_1634</t>
  </si>
  <si>
    <t xml:space="preserve">Windows: Suspicious Rundll32 Setupapi.dll Activity</t>
  </si>
  <si>
    <t xml:space="preserve">https://filestore.fortinet.com/docs.fortinet.com/fsiem/Public_Resource_Access/7_6_0/rules/PH_RULE_Suspicious_Rundll32_Setupapi_dll_Activity.htm</t>
  </si>
  <si>
    <t xml:space="preserve">PH_Rule_SIGMA_1639</t>
  </si>
  <si>
    <t xml:space="preserve">Windows: Suspicious Runscripthelper.exe</t>
  </si>
  <si>
    <t xml:space="preserve">https://filestore.fortinet.com/docs.fortinet.com/fsiem/Public_Resource_Access/7_6_0/rules/PH_RULE_Suspicious_Runscripthelper_exe.htm</t>
  </si>
  <si>
    <t xml:space="preserve">PH_Rule_SIGMA_1443</t>
  </si>
  <si>
    <t xml:space="preserve">Windows: Suspicious Scan Loop Network</t>
  </si>
  <si>
    <t xml:space="preserve">https://filestore.fortinet.com/docs.fortinet.com/fsiem/Public_Resource_Access/7_6_0/rules/PH_RULE_Suspicious_Scan_Loop_Network.htm</t>
  </si>
  <si>
    <t xml:space="preserve">PH_Rule_SIGMA_1641</t>
  </si>
  <si>
    <t xml:space="preserve">Windows: Suspicious Scheduled Task Creation Involving Temp Folder</t>
  </si>
  <si>
    <t xml:space="preserve">https://filestore.fortinet.com/docs.fortinet.com/fsiem/Public_Resource_Access/7_6_0/rules/PH_RULE_Suspicious_Scheduled_Task_Creation_Involving_Temp_Folder.htm</t>
  </si>
  <si>
    <t xml:space="preserve">PH_Rule_SIGMA_2530</t>
  </si>
  <si>
    <t xml:space="preserve">Windows: Suspicious Scheduled Task Creation via Masqueraded XML File</t>
  </si>
  <si>
    <t xml:space="preserve">https://filestore.fortinet.com/docs.fortinet.com/fsiem/Public_Resource_Access/7_6_0/rules/PH_RULE_Suspicious_Scheduled_Task_Creation_via_Masqueraded_XML_File.htm</t>
  </si>
  <si>
    <t xml:space="preserve">PH_Rule_SIGMA_2524</t>
  </si>
  <si>
    <t xml:space="preserve">Windows: Suspicious Scheduled Task Name As GUID</t>
  </si>
  <si>
    <t xml:space="preserve">https://filestore.fortinet.com/docs.fortinet.com/fsiem/Public_Resource_Access/7_6_0/rules/PH_RULE_Suspicious_Scheduled_Task_Name_As_GUID.htm</t>
  </si>
  <si>
    <t xml:space="preserve">PH_Rule_SIGMA_858</t>
  </si>
  <si>
    <t xml:space="preserve">Windows: Suspicious Scheduled Task Write to System32 Tasks</t>
  </si>
  <si>
    <t xml:space="preserve">https://filestore.fortinet.com/docs.fortinet.com/fsiem/Public_Resource_Access/7_6_0/rules/PH_RULE_Suspicious_Scheduled_Task_Write_to_System32_Tasks.htm</t>
  </si>
  <si>
    <t xml:space="preserve">PH_Rule_SIGMA_1507</t>
  </si>
  <si>
    <t xml:space="preserve">Windows: Suspicious Schtasks Execution AppData Folder</t>
  </si>
  <si>
    <t xml:space="preserve">https://filestore.fortinet.com/docs.fortinet.com/fsiem/Public_Resource_Access/7_6_0/rules/PH_RULE_Suspicious_Schtasks_Execution_AppData_Folder.htm</t>
  </si>
  <si>
    <t xml:space="preserve">PH_Rule_SIGMA_2529</t>
  </si>
  <si>
    <t xml:space="preserve">Windows: Suspicious Schtasks Schedule Type With High Privileges</t>
  </si>
  <si>
    <t xml:space="preserve">https://filestore.fortinet.com/docs.fortinet.com/fsiem/Public_Resource_Access/7_6_0/rules/PH_RULE_Suspicious_Schtasks_Schedule_Type_With_High_Privileges.htm</t>
  </si>
  <si>
    <t xml:space="preserve">PH_Rule_SIGMA_2528</t>
  </si>
  <si>
    <t xml:space="preserve">Windows: Suspicious Schtasks Schedule Types</t>
  </si>
  <si>
    <t xml:space="preserve">https://filestore.fortinet.com/docs.fortinet.com/fsiem/Public_Resource_Access/7_6_0/rules/PH_RULE_Suspicious_Schtasks_Schedule_Types.htm</t>
  </si>
  <si>
    <t xml:space="preserve">PH_Rule_SIGMA_1649</t>
  </si>
  <si>
    <t xml:space="preserve">Windows: Suspicious ScreenSave Change by Reg.exe</t>
  </si>
  <si>
    <t xml:space="preserve">https://filestore.fortinet.com/docs.fortinet.com/fsiem/Public_Resource_Access/7_6_0/rules/PH_RULE_Suspicious_ScreenSave_Change_by_Reg_exe.htm</t>
  </si>
  <si>
    <t xml:space="preserve">PH_Rule_SIGMA_884</t>
  </si>
  <si>
    <t xml:space="preserve">Windows: Suspicious Screensaver Binary File Creation</t>
  </si>
  <si>
    <t xml:space="preserve">https://filestore.fortinet.com/docs.fortinet.com/fsiem/Public_Resource_Access/7_6_0/rules/PH_RULE_Suspicious_Screensaver_Binary_File_Creation.htm</t>
  </si>
  <si>
    <t xml:space="preserve">PH_Rule_windows_SIGMA_3832</t>
  </si>
  <si>
    <t xml:space="preserve">Windows: Suspicious Scripting in a WMI Consumer</t>
  </si>
  <si>
    <t xml:space="preserve">https://filestore.fortinet.com/docs.fortinet.com/fsiem/Public_Resource_Access/7_6_0/rules/PH_RULE_Suspicious_Scripting_in_a_WMI_Consumer.htm</t>
  </si>
  <si>
    <t xml:space="preserve">PH_Rule_SIGMA_1656</t>
  </si>
  <si>
    <t xml:space="preserve">Windows: Suspicious Serv-U Process Pattern</t>
  </si>
  <si>
    <t xml:space="preserve">https://filestore.fortinet.com/docs.fortinet.com/fsiem/Public_Resource_Access/7_6_0/rules/PH_RULE_Suspicious_Serv_U_Process_Pattern.htm</t>
  </si>
  <si>
    <t xml:space="preserve">PH_Rule_SIGMA_1653</t>
  </si>
  <si>
    <t xml:space="preserve">Windows: Suspicious Service Binary Directory</t>
  </si>
  <si>
    <t xml:space="preserve">https://filestore.fortinet.com/docs.fortinet.com/fsiem/Public_Resource_Access/7_6_0/rules/PH_RULE_Suspicious_Service_Binary_Directory.htm</t>
  </si>
  <si>
    <t xml:space="preserve">PH_Rule_SIGMA_2450</t>
  </si>
  <si>
    <t xml:space="preserve">Windows: Suspicious Service DACL Modification Via Set-Service Cmdlet</t>
  </si>
  <si>
    <t xml:space="preserve">https://filestore.fortinet.com/docs.fortinet.com/fsiem/Public_Resource_Access/7_6_0/rules/PH_RULE_Suspicious_Service_DACL_Modification_Via_Set_Service_Cmdlet.htm</t>
  </si>
  <si>
    <t xml:space="preserve">PH_Rule_windows_SIGMA_3251</t>
  </si>
  <si>
    <t xml:space="preserve">Windows: Suspicious Service DACL Modification Via Set-Service Cmdlet - PS</t>
  </si>
  <si>
    <t xml:space="preserve">https://filestore.fortinet.com/docs.fortinet.com/fsiem/Public_Resource_Access/7_6_0/rules/PH_RULE_Suspicious_Service_DACL_Modification_Via_Set_Service_Cmdlet_PS.htm</t>
  </si>
  <si>
    <t xml:space="preserve">PH_Rule_SIGMA_1150</t>
  </si>
  <si>
    <t xml:space="preserve">Windows: Suspicious Service Installation</t>
  </si>
  <si>
    <t xml:space="preserve">https://filestore.fortinet.com/docs.fortinet.com/fsiem/Public_Resource_Access/7_6_0/rules/PH_RULE_Suspicious_Service_Installation.htm</t>
  </si>
  <si>
    <t xml:space="preserve">PH_Rule_SIGMA_1153</t>
  </si>
  <si>
    <t xml:space="preserve">Windows: Suspicious Service Installation Script</t>
  </si>
  <si>
    <t xml:space="preserve">https://filestore.fortinet.com/docs.fortinet.com/fsiem/Public_Resource_Access/7_6_0/rules/PH_RULE_Suspicious_Service_Installation_Script.htm</t>
  </si>
  <si>
    <t xml:space="preserve">PH_Rule_windows_SIGMA_3796</t>
  </si>
  <si>
    <t xml:space="preserve">Windows: Suspicious Service Installed</t>
  </si>
  <si>
    <t xml:space="preserve">https://filestore.fortinet.com/docs.fortinet.com/fsiem/Public_Resource_Access/7_6_0/rules/PH_RULE_Suspicious_Service_Installed.htm</t>
  </si>
  <si>
    <t xml:space="preserve">PH_Rule_SIGMA_599</t>
  </si>
  <si>
    <t xml:space="preserve">Windows: Suspicious Service Path Modification</t>
  </si>
  <si>
    <t xml:space="preserve">https://filestore.fortinet.com/docs.fortinet.com/fsiem/Public_Resource_Access/7_6_0/rules/PH_RULE_Suspicious_Service_Path_Modification.htm</t>
  </si>
  <si>
    <t xml:space="preserve">PH_Rule_windows_SIGMA_3508</t>
  </si>
  <si>
    <t xml:space="preserve">Windows: Suspicious ShellExec-RunDLL Call Via Ordinal</t>
  </si>
  <si>
    <t xml:space="preserve">https://filestore.fortinet.com/docs.fortinet.com/fsiem/Public_Resource_Access/7_6_0/rules/PH_RULE_Suspicious_ShellExec_RunDLL_Call_Via_Ordinal.htm</t>
  </si>
  <si>
    <t xml:space="preserve">PH_Rule_SIGMA_1659</t>
  </si>
  <si>
    <t xml:space="preserve">Windows: Suspicious Shells Spawn by Java Utility Keytool</t>
  </si>
  <si>
    <t xml:space="preserve">https://filestore.fortinet.com/docs.fortinet.com/fsiem/Public_Resource_Access/7_6_0/rules/PH_RULE_Suspicious_Shells_Spawn_by_Java_Utility_Keytool.htm</t>
  </si>
  <si>
    <t xml:space="preserve">PH_Rule_windows_SIGMA_3761</t>
  </si>
  <si>
    <t xml:space="preserve">Windows: Suspicious Shim Database Patching Activity</t>
  </si>
  <si>
    <t xml:space="preserve">https://filestore.fortinet.com/docs.fortinet.com/fsiem/Public_Resource_Access/7_6_0/rules/PH_RULE_Suspicious_Shim_Database_Patching_Activity.htm</t>
  </si>
  <si>
    <t xml:space="preserve">PH_Rule_windows_SIGMA_3795</t>
  </si>
  <si>
    <t xml:space="preserve">Windows: Suspicious Space Characters in RunMRU Registry Path - ClickFix</t>
  </si>
  <si>
    <t xml:space="preserve">https://filestore.fortinet.com/docs.fortinet.com/fsiem/Public_Resource_Access/7_6_0/rules/PH_RULE_Suspicious_Space_Characters_in_RunMRU_Registry_Path_ClickFix.htm</t>
  </si>
  <si>
    <t xml:space="preserve">PH_Rule_windows_SIGMA_3798</t>
  </si>
  <si>
    <t xml:space="preserve">Windows: Suspicious Space Characters in TypedPaths Registry Path - FileFix</t>
  </si>
  <si>
    <t xml:space="preserve">https://filestore.fortinet.com/docs.fortinet.com/fsiem/Public_Resource_Access/7_6_0/rules/PH_RULE_Suspicious_Space_Characters_in_TypedPaths_Registry_Path_FileFix.htm</t>
  </si>
  <si>
    <t xml:space="preserve">PH_Rule_SIGMA_1664</t>
  </si>
  <si>
    <t xml:space="preserve">Windows: Suspicious Splwow64 Without Params</t>
  </si>
  <si>
    <t xml:space="preserve">https://filestore.fortinet.com/docs.fortinet.com/fsiem/Public_Resource_Access/7_6_0/rules/PH_RULE_Suspicious_Splwow64_Without_Params.htm</t>
  </si>
  <si>
    <t xml:space="preserve">PH_Rule_windows_SIGMA_3524</t>
  </si>
  <si>
    <t xml:space="preserve">Windows: Suspicious Spool Service Child Process</t>
  </si>
  <si>
    <t xml:space="preserve">https://filestore.fortinet.com/docs.fortinet.com/fsiem/Public_Resource_Access/7_6_0/rules/PH_RULE_Suspicious_Spool_Service_Child_Process.htm</t>
  </si>
  <si>
    <t xml:space="preserve">PH_Rule_windows_SIGMA_3254</t>
  </si>
  <si>
    <t xml:space="preserve">Windows: Suspicious SSL Connection</t>
  </si>
  <si>
    <t xml:space="preserve">https://filestore.fortinet.com/docs.fortinet.com/fsiem/Public_Resource_Access/7_6_0/rules/PH_RULE_Suspicious_SSL_Connection.htm</t>
  </si>
  <si>
    <t xml:space="preserve">PH_Rule_windows_SIGMA_3255</t>
  </si>
  <si>
    <t xml:space="preserve">Windows: Suspicious Start-Process PassThru</t>
  </si>
  <si>
    <t xml:space="preserve">https://filestore.fortinet.com/docs.fortinet.com/fsiem/Public_Resource_Access/7_6_0/rules/PH_RULE_Suspicious_Start_Process_PassThru.htm</t>
  </si>
  <si>
    <t xml:space="preserve">PH_Rule_SIGMA_1995</t>
  </si>
  <si>
    <t xml:space="preserve">Windows: Suspicious Startup Folder Persistence</t>
  </si>
  <si>
    <t xml:space="preserve">https://filestore.fortinet.com/docs.fortinet.com/fsiem/Public_Resource_Access/7_6_0/rules/PH_RULE_Suspicious_Startup_Folder_Persistence.htm</t>
  </si>
  <si>
    <t xml:space="preserve">PH_Rule_SIGMA_379</t>
  </si>
  <si>
    <t xml:space="preserve">Windows: Suspicious Svchost Process Access</t>
  </si>
  <si>
    <t xml:space="preserve">https://filestore.fortinet.com/docs.fortinet.com/fsiem/Public_Resource_Access/7_6_0/rules/PH_RULE_Suspect_Svchost_Memory_Asccess.htm</t>
  </si>
  <si>
    <t xml:space="preserve">PH_Rule_SIGMA_2355</t>
  </si>
  <si>
    <t xml:space="preserve">Windows: Suspicious SysAidServer Child</t>
  </si>
  <si>
    <t xml:space="preserve">https://filestore.fortinet.com/docs.fortinet.com/fsiem/Public_Resource_Access/7_6_0/rules/PH_RULE_Suspicious_SysAidServer_Child.htm</t>
  </si>
  <si>
    <t xml:space="preserve">PH_Rule_SIGMA_1665</t>
  </si>
  <si>
    <t xml:space="preserve">Windows: Suspicious SYSTEM User Process Creation</t>
  </si>
  <si>
    <t xml:space="preserve">https://filestore.fortinet.com/docs.fortinet.com/fsiem/Public_Resource_Access/7_6_0/rules/PH_RULE_Suspicious_SYSTEM_User_Process_Creation.htm</t>
  </si>
  <si>
    <t xml:space="preserve">PH_Rule_windows_SIGMA_3248</t>
  </si>
  <si>
    <t xml:space="preserve">Windows: Suspicious TCP Tunnel Via PowerShell Script</t>
  </si>
  <si>
    <t xml:space="preserve">https://filestore.fortinet.com/docs.fortinet.com/fsiem/Public_Resource_Access/7_6_0/rules/PH_RULE_Suspicious_TCP_Tunnel_Via_PowerShell_Script.htm</t>
  </si>
  <si>
    <t xml:space="preserve">PH_Rule_SIGMA_832</t>
  </si>
  <si>
    <t xml:space="preserve">Windows: Suspicious TeamViewer Domain Access</t>
  </si>
  <si>
    <t xml:space="preserve">https://filestore.fortinet.com/docs.fortinet.com/fsiem/Public_Resource_Access/7_6_0/rules/PH_RULE_Suspicious_TeamViewer_Domain_Access.htm</t>
  </si>
  <si>
    <t xml:space="preserve">PH_Rule_SIGMA_607</t>
  </si>
  <si>
    <t xml:space="preserve">Windows: Suspicious TSCON Start as SYSTEM</t>
  </si>
  <si>
    <t xml:space="preserve">https://filestore.fortinet.com/docs.fortinet.com/fsiem/Public_Resource_Access/7_6_0/rules/PH_RULE_Suspicious_TSCON_Start.htm</t>
  </si>
  <si>
    <t xml:space="preserve">PH_Rule_windows_SIGMA_3256</t>
  </si>
  <si>
    <t xml:space="preserve">Windows: Suspicious Unblock-File</t>
  </si>
  <si>
    <t xml:space="preserve">https://filestore.fortinet.com/docs.fortinet.com/fsiem/Public_Resource_Access/7_6_0/rules/PH_RULE_Suspicious_Unblock_File.htm</t>
  </si>
  <si>
    <t xml:space="preserve">PH_Rule_windows_SIGMA_3442</t>
  </si>
  <si>
    <t xml:space="preserve">Windows: Suspicious Uninstall of Windows Defender Feature via PowerShell</t>
  </si>
  <si>
    <t xml:space="preserve">https://filestore.fortinet.com/docs.fortinet.com/fsiem/Public_Resource_Access/7_6_0/rules/PH_RULE_Suspicious_Uninstall_of_Windows_Defender_Feature_via_PowerShell.htm</t>
  </si>
  <si>
    <t xml:space="preserve">PH_Rule_windows_SIGMA_3030</t>
  </si>
  <si>
    <t xml:space="preserve">Windows: Suspicious Unsigned Thor Scanner Execution</t>
  </si>
  <si>
    <t xml:space="preserve">https://filestore.fortinet.com/docs.fortinet.com/fsiem/Public_Resource_Access/7_6_0/rules/PH_RULE_Suspicious_Unsigned_Thor_Scanner_Execution.htm</t>
  </si>
  <si>
    <t xml:space="preserve">PH_Rule_windows_SIGMA_3532</t>
  </si>
  <si>
    <t xml:space="preserve">Windows: Suspicious Usage of For Loop with Recursive Directory Search in CMD</t>
  </si>
  <si>
    <t xml:space="preserve">https://filestore.fortinet.com/docs.fortinet.com/fsiem/Public_Resource_Access/7_6_0/rules/PH_RULE_Suspicious_Usage_of_For_Loop_with_Recursive_Directory_Search_in_CMD.htm</t>
  </si>
  <si>
    <t xml:space="preserve">PH_Rule_SIGMA_2511</t>
  </si>
  <si>
    <t xml:space="preserve">Windows: Suspicious Usage Of ShellExec-RunDLL</t>
  </si>
  <si>
    <t xml:space="preserve">https://filestore.fortinet.com/docs.fortinet.com/fsiem/Public_Resource_Access/7_6_0/rules/PH_RULE_Suspicious_Usage_Of_ShellExec_RunDLL.htm</t>
  </si>
  <si>
    <t xml:space="preserve">PH_Rule_SIGMA_609</t>
  </si>
  <si>
    <t xml:space="preserve">Windows: Suspicious Use of CSharp Interactive Console</t>
  </si>
  <si>
    <t xml:space="preserve">https://filestore.fortinet.com/docs.fortinet.com/fsiem/Public_Resource_Access/7_6_0/rules/PH_RULE_Suspicious_Use_of_CSharp_Interactive_Console.htm</t>
  </si>
  <si>
    <t xml:space="preserve">PH_Rule_SIGMA_1611</t>
  </si>
  <si>
    <t xml:space="preserve">Windows: Suspicious Use of PsLogList</t>
  </si>
  <si>
    <t xml:space="preserve">https://filestore.fortinet.com/docs.fortinet.com/fsiem/Public_Resource_Access/7_6_0/rules/PH_RULE_Suspicious_Use_of_PsLogList.htm</t>
  </si>
  <si>
    <t xml:space="preserve">PH_Rule_SIGMA_610</t>
  </si>
  <si>
    <t xml:space="preserve">Windows: Suspicious Userinit Child Process</t>
  </si>
  <si>
    <t xml:space="preserve">https://filestore.fortinet.com/docs.fortinet.com/fsiem/Public_Resource_Access/7_6_0/rules/PH_RULE_Suspicious_Userinit_Child_Process.htm</t>
  </si>
  <si>
    <t xml:space="preserve">PH_Rule_SIGMA_1679</t>
  </si>
  <si>
    <t xml:space="preserve">Windows: Suspicious VBoxDrvInst.exe Parameters</t>
  </si>
  <si>
    <t xml:space="preserve">https://filestore.fortinet.com/docs.fortinet.com/fsiem/Public_Resource_Access/7_6_0/rules/PH_RULE_Suspicious_VBoxDrvInst_exe_Parameters.htm</t>
  </si>
  <si>
    <t xml:space="preserve">PH_Rule_windows_SIGMA_3555</t>
  </si>
  <si>
    <t xml:space="preserve">Windows: Suspicious Velociraptor Child Process</t>
  </si>
  <si>
    <t xml:space="preserve">https://filestore.fortinet.com/docs.fortinet.com/fsiem/Public_Resource_Access/7_6_0/rules/PH_RULE_Suspicious_Velociraptor_Child_Process.htm</t>
  </si>
  <si>
    <t xml:space="preserve">PH_Rule_SIGMA_2590</t>
  </si>
  <si>
    <t xml:space="preserve">Windows: Suspicious Vsls-Agent Command With AgentExtensionPath Load</t>
  </si>
  <si>
    <t xml:space="preserve">https://filestore.fortinet.com/docs.fortinet.com/fsiem/Public_Resource_Access/7_6_0/rules/PH_RULE_Suspicious_Vsls_Agent_Command_With_AgentExtensionPath_Load.htm</t>
  </si>
  <si>
    <t xml:space="preserve">PH_Rule_SIGMA_2513</t>
  </si>
  <si>
    <t xml:space="preserve">Windows: Suspicious WebDav Client Execution</t>
  </si>
  <si>
    <t xml:space="preserve">https://filestore.fortinet.com/docs.fortinet.com/fsiem/Public_Resource_Access/7_6_0/rules/PH_RULE_Suspicious_WebDav_Client_Execution.htm</t>
  </si>
  <si>
    <t xml:space="preserve">PH_Rule_SIGMA_1684</t>
  </si>
  <si>
    <t xml:space="preserve">Windows: Suspicious Where Execution</t>
  </si>
  <si>
    <t xml:space="preserve">https://filestore.fortinet.com/docs.fortinet.com/fsiem/Public_Resource_Access/7_6_0/rules/PH_RULE_Suspicious_Where_Execution.htm</t>
  </si>
  <si>
    <t xml:space="preserve">PH_Rule_SIGMA_1729</t>
  </si>
  <si>
    <t xml:space="preserve">Windows: Suspicious Whoami.EXE Execution From Privileged Process</t>
  </si>
  <si>
    <t xml:space="preserve">https://filestore.fortinet.com/docs.fortinet.com/fsiem/Public_Resource_Access/7_6_0/rules/PH_RULE_Run_Whoami_as_Privileged_User.htm</t>
  </si>
  <si>
    <t xml:space="preserve">PH_Rule_SIGMA_1478</t>
  </si>
  <si>
    <t xml:space="preserve">Windows: Suspicious Windows Defender Folder Exclusion Added Via Reg.EXE</t>
  </si>
  <si>
    <t xml:space="preserve">https://filestore.fortinet.com/docs.fortinet.com/fsiem/Public_Resource_Access/7_6_0/rules/PH_RULE_Registry_Defender_Exclusions.htm</t>
  </si>
  <si>
    <t xml:space="preserve">PH_Rule_windows_SIGMA_3468</t>
  </si>
  <si>
    <t xml:space="preserve">Windows: Suspicious Windows Defender Registry Key Tampering Via Reg.EXE</t>
  </si>
  <si>
    <t xml:space="preserve">https://filestore.fortinet.com/docs.fortinet.com/fsiem/Public_Resource_Access/7_6_0/rules/PH_RULE_Suspicious_Windows_Defender_Registry_Key_Tampering_Via_Reg_EXE.htm</t>
  </si>
  <si>
    <t xml:space="preserve">PH_Rule_SIGMA_1554</t>
  </si>
  <si>
    <t xml:space="preserve">Windows: Suspicious Windows Trace ETW Session Tamper Via Logman.EXE</t>
  </si>
  <si>
    <t xml:space="preserve">https://filestore.fortinet.com/docs.fortinet.com/fsiem/Public_Resource_Access/7_6_0/rules/PH_RULE_Disable_or_Delete_Windows_Eventlog.htm</t>
  </si>
  <si>
    <t xml:space="preserve">PH_Rule_SIGMA_1697</t>
  </si>
  <si>
    <t xml:space="preserve">Windows: Suspicious Windows Update Agent Empty Cmdline</t>
  </si>
  <si>
    <t xml:space="preserve">https://filestore.fortinet.com/docs.fortinet.com/fsiem/Public_Resource_Access/7_6_0/rules/PH_RULE_Suspicious_Windows_Update_Agent_Empty_Cmdline.htm</t>
  </si>
  <si>
    <t xml:space="preserve">PH_Rule_SIGMA_2600</t>
  </si>
  <si>
    <t xml:space="preserve">Windows: Suspicious WindowsTerminal Child Processes</t>
  </si>
  <si>
    <t xml:space="preserve">https://filestore.fortinet.com/docs.fortinet.com/fsiem/Public_Resource_Access/7_6_0/rules/PH_RULE_Suspicious_WindowsTerminal_Child_Processes.htm</t>
  </si>
  <si>
    <t xml:space="preserve">PH_Rule_SIGMA_2618</t>
  </si>
  <si>
    <t xml:space="preserve">Windows: Suspicious WMIC Execution Via Office Process</t>
  </si>
  <si>
    <t xml:space="preserve">https://filestore.fortinet.com/docs.fortinet.com/fsiem/Public_Resource_Access/7_6_0/rules/PH_RULE_Suspicious_WMIC_Execution_Via_Office_Process.htm</t>
  </si>
  <si>
    <t xml:space="preserve">PH_Rule_SIGMA_1415</t>
  </si>
  <si>
    <t xml:space="preserve">Windows: Suspicious WmiPrvSE Child Process</t>
  </si>
  <si>
    <t xml:space="preserve">https://filestore.fortinet.com/docs.fortinet.com/fsiem/Public_Resource_Access/7_6_0/rules/PH_RULE_Lolbins_Process_Creation_with_WmiPrvse.htm</t>
  </si>
  <si>
    <t xml:space="preserve">PH_Rule_windows_SIGMA_3058</t>
  </si>
  <si>
    <t xml:space="preserve">Windows: Suspicious Wordpad Outbound Connections</t>
  </si>
  <si>
    <t xml:space="preserve">https://filestore.fortinet.com/docs.fortinet.com/fsiem/Public_Resource_Access/7_6_0/rules/PH_RULE_Suspicious_Wordpad_Outbound_Connections.htm</t>
  </si>
  <si>
    <t xml:space="preserve">PH_Rule_SIGMA_1637</t>
  </si>
  <si>
    <t xml:space="preserve">Windows: Suspicious Workstation Locking via Rundll32</t>
  </si>
  <si>
    <t xml:space="preserve">https://filestore.fortinet.com/docs.fortinet.com/fsiem/Public_Resource_Access/7_6_0/rules/PH_RULE_Suspicious_Workstation_Locking_via_Rundll32.htm</t>
  </si>
  <si>
    <t xml:space="preserve">PH_Rule_SIGMA_1269</t>
  </si>
  <si>
    <t xml:space="preserve">Windows: Suspicious WSMAN Provider Image Loads</t>
  </si>
  <si>
    <t xml:space="preserve">https://filestore.fortinet.com/docs.fortinet.com/fsiem/Public_Resource_Access/7_6_0/rules/PH_RULE_Suspicious_WSMAN_Provider_Image_Loads.htm</t>
  </si>
  <si>
    <t xml:space="preserve">PH_Rule_SIGMA_2458</t>
  </si>
  <si>
    <t xml:space="preserve">Windows: Suspicious X509Enrollment - Process Creation</t>
  </si>
  <si>
    <t xml:space="preserve">https://filestore.fortinet.com/docs.fortinet.com/fsiem/Public_Resource_Access/7_6_0/rules/PH_RULE_Suspicious_X509Enrollment_Process_Creation.htm</t>
  </si>
  <si>
    <t xml:space="preserve">PH_Rule_windows_SIGMA_3283</t>
  </si>
  <si>
    <t xml:space="preserve">Windows: Suspicious X509Enrollment - Ps Script</t>
  </si>
  <si>
    <t xml:space="preserve">https://filestore.fortinet.com/docs.fortinet.com/fsiem/Public_Resource_Access/7_6_0/rules/PH_RULE_Suspicious_X509Enrollment_Ps_Script.htm</t>
  </si>
  <si>
    <t xml:space="preserve">PH_Rule_SIGMA_488</t>
  </si>
  <si>
    <t xml:space="preserve">Windows: Suspicious XOR Encoded PowerShell Command</t>
  </si>
  <si>
    <t xml:space="preserve">https://filestore.fortinet.com/docs.fortinet.com/fsiem/Public_Resource_Access/7_6_0/rules/PH_RULE_Suspicious_XOR_Encoded_PowerShell_Command_Line.htm</t>
  </si>
  <si>
    <t xml:space="preserve">PH_Rule_SIGMA_1699</t>
  </si>
  <si>
    <t xml:space="preserve">Windows: Suspicious ZipExec Execution</t>
  </si>
  <si>
    <t xml:space="preserve">https://filestore.fortinet.com/docs.fortinet.com/fsiem/Public_Resource_Access/7_6_0/rules/PH_RULE_Suspicious_ZipExec_Execution.htm</t>
  </si>
  <si>
    <t xml:space="preserve">PH_Rule_windows_SIGMA_3122</t>
  </si>
  <si>
    <t xml:space="preserve">Windows: SyncAppvPublishingServer Bypass Powershell Restriction - PS Module</t>
  </si>
  <si>
    <t xml:space="preserve">https://filestore.fortinet.com/docs.fortinet.com/fsiem/Public_Resource_Access/7_6_0/rules/PH_RULE_SyncAppvPublishingServer_Bypass_Powershell_Restriction_PS_Module.htm</t>
  </si>
  <si>
    <t xml:space="preserve">PH_Rule_SIGMA_1403</t>
  </si>
  <si>
    <t xml:space="preserve">Windows: SyncAppvPublishingServer Execute Arbitrary PowerShell Code</t>
  </si>
  <si>
    <t xml:space="preserve">https://filestore.fortinet.com/docs.fortinet.com/fsiem/Public_Resource_Access/7_6_0/rules/PH_RULE_SyncAppvPublishingServer_Execute_Arbitrary_PowerShell_Code.htm</t>
  </si>
  <si>
    <t xml:space="preserve">PH_Rule_windows_SIGMA_3263</t>
  </si>
  <si>
    <t xml:space="preserve">Windows: SyncAppvPublishingServer Execution to Bypass Powershell Restriction</t>
  </si>
  <si>
    <t xml:space="preserve">https://filestore.fortinet.com/docs.fortinet.com/fsiem/Public_Resource_Access/7_6_0/rules/PH_RULE_SyncAppvPublishingServer_Execution_to_Bypass_Powershell_Restriction.htm</t>
  </si>
  <si>
    <t xml:space="preserve">PH_Rule_SIGMA_1404</t>
  </si>
  <si>
    <t xml:space="preserve">Windows: SyncAppvPublishingServer VBS Execute Arbitrary PowerShell Code</t>
  </si>
  <si>
    <t xml:space="preserve">https://filestore.fortinet.com/docs.fortinet.com/fsiem/Public_Resource_Access/7_6_0/rules/PH_RULE_SyncAppvPublishingServer_VBS_Execute_Arbitrary_PowerShell_Code.htm</t>
  </si>
  <si>
    <t xml:space="preserve">PH_Rule_SIGMA_2576</t>
  </si>
  <si>
    <t xml:space="preserve">Windows: Sysinternals PsSuspend Execution</t>
  </si>
  <si>
    <t xml:space="preserve">https://filestore.fortinet.com/docs.fortinet.com/fsiem/Public_Resource_Access/7_6_0/rules/PH_RULE_Sysinternals_PsSuspend_Execution.htm</t>
  </si>
  <si>
    <t xml:space="preserve">PH_Rule_SIGMA_2577</t>
  </si>
  <si>
    <t xml:space="preserve">Windows: Sysinternals PsSuspend Suspicious Execution</t>
  </si>
  <si>
    <t xml:space="preserve">https://filestore.fortinet.com/docs.fortinet.com/fsiem/Public_Resource_Access/7_6_0/rules/PH_RULE_Sysinternals_PsSuspend_Suspicious_Execution.htm</t>
  </si>
  <si>
    <t xml:space="preserve">PH_Rule_SIGMA_1803</t>
  </si>
  <si>
    <t xml:space="preserve">Windows: Sysinternals Tools AppX Versions Execution</t>
  </si>
  <si>
    <t xml:space="preserve">https://filestore.fortinet.com/docs.fortinet.com/fsiem/Public_Resource_Access/7_6_0/rules/PH_RULE_Sysinternals_Tools_AppX_Versions_Execution.htm</t>
  </si>
  <si>
    <t xml:space="preserve">PH_Rule_SIGMA_2773</t>
  </si>
  <si>
    <t xml:space="preserve">Windows: Sysmon Blocked Executable</t>
  </si>
  <si>
    <t xml:space="preserve">https://filestore.fortinet.com/docs.fortinet.com/fsiem/Public_Resource_Access/7_6_0/rules/PH_RULE_Sysmon_Blocked_Executable.htm</t>
  </si>
  <si>
    <t xml:space="preserve">PH_Rule_windows_SIGMA_3829</t>
  </si>
  <si>
    <t xml:space="preserve">Windows: Sysmon Blocked File Shredding</t>
  </si>
  <si>
    <t xml:space="preserve">https://filestore.fortinet.com/docs.fortinet.com/fsiem/Public_Resource_Access/7_6_0/rules/PH_RULE_Sysmon_Blocked_File_Shredding.htm</t>
  </si>
  <si>
    <t xml:space="preserve">PH_Rule_SIGMA_1090</t>
  </si>
  <si>
    <t xml:space="preserve">Windows: Sysmon Configuration Change</t>
  </si>
  <si>
    <t xml:space="preserve">https://filestore.fortinet.com/docs.fortinet.com/fsiem/Public_Resource_Access/7_6_0/rules/PH_RULE_Sysmon_Configuration_Change.htm</t>
  </si>
  <si>
    <t xml:space="preserve">PH_Rule_SIGMA_2578</t>
  </si>
  <si>
    <t xml:space="preserve">Windows: Sysmon Configuration Update</t>
  </si>
  <si>
    <t xml:space="preserve">https://filestore.fortinet.com/docs.fortinet.com/fsiem/Public_Resource_Access/7_6_0/rules/PH_RULE_Sysmon_Configuration_Update.htm</t>
  </si>
  <si>
    <t xml:space="preserve">PH_Rule_SIGMA_1565</t>
  </si>
  <si>
    <t xml:space="preserve">Windows: Sysmon Discovery Via Default Driver Altitude Using Findstr.EXE</t>
  </si>
  <si>
    <t xml:space="preserve">https://filestore.fortinet.com/docs.fortinet.com/fsiem/Public_Resource_Access/7_6_0/rules/PH_RULE_Suspicious_Findstr_385201_Execution.htm</t>
  </si>
  <si>
    <t xml:space="preserve">PH_Rule_windows_SIGMA_3651</t>
  </si>
  <si>
    <t xml:space="preserve">Windows: Sysmon Driver Altitude Change</t>
  </si>
  <si>
    <t xml:space="preserve">https://filestore.fortinet.com/docs.fortinet.com/fsiem/Public_Resource_Access/7_6_0/rules/PH_RULE_Sysmon_Driver_Altitude_Change.htm</t>
  </si>
  <si>
    <t xml:space="preserve">PH_Rule_SIGMA_613</t>
  </si>
  <si>
    <t xml:space="preserve">Windows: Sysmon Driver Unloaded Via Fltmc.EXE</t>
  </si>
  <si>
    <t xml:space="preserve">https://filestore.fortinet.com/docs.fortinet.com/fsiem/Public_Resource_Access/7_6_0/rules/PH_RULE_Sysmon_Driver_Unload.htm</t>
  </si>
  <si>
    <t xml:space="preserve">PH_Rule_windows_SIGMA_3830</t>
  </si>
  <si>
    <t xml:space="preserve">Windows: Sysmon File Executable Creation Detected</t>
  </si>
  <si>
    <t xml:space="preserve">https://filestore.fortinet.com/docs.fortinet.com/fsiem/Public_Resource_Access/7_6_0/rules/PH_RULE_Sysmon_File_Executable_Creation_Detected.htm</t>
  </si>
  <si>
    <t xml:space="preserve">PH_Rule_SIGMA_603</t>
  </si>
  <si>
    <t xml:space="preserve">Windows: Sysprep on AppData Folder</t>
  </si>
  <si>
    <t xml:space="preserve">https://filestore.fortinet.com/docs.fortinet.com/fsiem/Public_Resource_Access/7_6_0/rules/PH_RULE_Sysprep_on_AppData_Folder.htm</t>
  </si>
  <si>
    <t xml:space="preserve">PH_Rule_windows_SIGMA_3005</t>
  </si>
  <si>
    <t xml:space="preserve">Windows: System Control Panel Item Loaded From Uncommon Location</t>
  </si>
  <si>
    <t xml:space="preserve">https://filestore.fortinet.com/docs.fortinet.com/fsiem/Public_Resource_Access/7_6_0/rules/PH_RULE_System_Control_Panel_Item_Loaded_From_Uncommon_Location.htm</t>
  </si>
  <si>
    <t xml:space="preserve">PH_Rule_windows_SIGMA_3596</t>
  </si>
  <si>
    <t xml:space="preserve">Windows: System Disk And Volume Reconnaissance Via Wmic.EXE</t>
  </si>
  <si>
    <t xml:space="preserve">https://filestore.fortinet.com/docs.fortinet.com/fsiem/Public_Resource_Access/7_6_0/rules/PH_RULE_System_Disk_And_Volume_Reconnaissance_Via_Wmic_EXE.htm</t>
  </si>
  <si>
    <t xml:space="preserve">PH_Rule_SIGMA_614</t>
  </si>
  <si>
    <t xml:space="preserve">Windows: System File Execution Location Anomaly</t>
  </si>
  <si>
    <t xml:space="preserve">https://filestore.fortinet.com/docs.fortinet.com/fsiem/Public_Resource_Access/7_6_0/rules/PH_RULE_System_File_Execution_Location_Anomaly.htm</t>
  </si>
  <si>
    <t xml:space="preserve">PH_Rule_windows_SIGMA_3345</t>
  </si>
  <si>
    <t xml:space="preserve">Windows: System Information Discovery via Registry Queries</t>
  </si>
  <si>
    <t xml:space="preserve">https://filestore.fortinet.com/docs.fortinet.com/fsiem/Public_Resource_Access/7_6_0/rules/PH_RULE_System_Information_Discovery_via_Registry_Queries.htm</t>
  </si>
  <si>
    <t xml:space="preserve">PH_Rule_windows_SIGMA_3466</t>
  </si>
  <si>
    <t xml:space="preserve">Windows: System Language Discovery via Reg.Exe</t>
  </si>
  <si>
    <t xml:space="preserve">https://filestore.fortinet.com/docs.fortinet.com/fsiem/Public_Resource_Access/7_6_0/rules/PH_RULE_System_Language_Discovery_via_Reg_Exe.htm</t>
  </si>
  <si>
    <t xml:space="preserve">PH_Rule_SIGMA_1583</t>
  </si>
  <si>
    <t xml:space="preserve">Windows: System Network Connections Discovery Via Net.EXE</t>
  </si>
  <si>
    <t xml:space="preserve">https://filestore.fortinet.com/docs.fortinet.com/fsiem/Public_Resource_Access/7_6_0/rules/PH_RULE_Suspicious_Listing_of_Network_Connections.htm</t>
  </si>
  <si>
    <t xml:space="preserve">PH_Rule_windows_SIGMA_3467</t>
  </si>
  <si>
    <t xml:space="preserve">Windows: System Restore Registry Modification via CommandLine</t>
  </si>
  <si>
    <t xml:space="preserve">https://filestore.fortinet.com/docs.fortinet.com/fsiem/Public_Resource_Access/7_6_0/rules/PH_RULE_System_Restore_Registry_Modification_via_CommandLine.htm</t>
  </si>
  <si>
    <t xml:space="preserve">PH_Rule_SIGMA_1878</t>
  </si>
  <si>
    <t xml:space="preserve">Windows: TacticalRMM Service Installation</t>
  </si>
  <si>
    <t xml:space="preserve">https://filestore.fortinet.com/docs.fortinet.com/fsiem/Public_Resource_Access/7_6_0/rules/PH_RULE_TacticalRMM_Service_Installation.htm</t>
  </si>
  <si>
    <t xml:space="preserve">PH_Rule_windows_SIGMA_3088</t>
  </si>
  <si>
    <t xml:space="preserve">Windows: Tamper Windows Defender - PSClassic</t>
  </si>
  <si>
    <t xml:space="preserve">https://filestore.fortinet.com/docs.fortinet.com/fsiem/Public_Resource_Access/7_6_0/rules/PH_RULE_Tamper_Windows_Defender_PSClassic.htm</t>
  </si>
  <si>
    <t xml:space="preserve">PH_Rule_windows_SIGMA_3265</t>
  </si>
  <si>
    <t xml:space="preserve">Windows: Tamper Windows Defender - ScriptBlockLogging</t>
  </si>
  <si>
    <t xml:space="preserve">https://filestore.fortinet.com/docs.fortinet.com/fsiem/Public_Resource_Access/7_6_0/rules/PH_RULE_Tamper_Windows_Defender_ScriptBlockLogging.htm</t>
  </si>
  <si>
    <t xml:space="preserve">PH_Rule_SIGMA_2454</t>
  </si>
  <si>
    <t xml:space="preserve">Windows: Tamper Windows Defender Remove-MpPreference</t>
  </si>
  <si>
    <t xml:space="preserve">https://filestore.fortinet.com/docs.fortinet.com/fsiem/Public_Resource_Access/7_6_0/rules/PH_RULE_Tamper_Windows_Defender_Remove_MpPreference.htm</t>
  </si>
  <si>
    <t xml:space="preserve">PH_Rule_windows_SIGMA_3264</t>
  </si>
  <si>
    <t xml:space="preserve">Windows: Tamper Windows Defender Remove-MpPreference - ScriptBlockLogging</t>
  </si>
  <si>
    <t xml:space="preserve">https://filestore.fortinet.com/docs.fortinet.com/fsiem/Public_Resource_Access/7_6_0/rules/PH_RULE_Tamper_Windows_Defender_Remove_MpPreference_ScriptBlockLogging.htm</t>
  </si>
  <si>
    <t xml:space="preserve">PH_Rule_windows_SIGMA_3787</t>
  </si>
  <si>
    <t xml:space="preserve">Windows: Tamper With Sophos AV Registry Keys</t>
  </si>
  <si>
    <t xml:space="preserve">https://filestore.fortinet.com/docs.fortinet.com/fsiem/Public_Resource_Access/7_6_0/rules/PH_RULE_Tamper_With_Sophos_AV_Registry_Keys.htm</t>
  </si>
  <si>
    <t xml:space="preserve">PH_Rule_SIGMA_615</t>
  </si>
  <si>
    <t xml:space="preserve">Windows: Tap Installer Execution</t>
  </si>
  <si>
    <t xml:space="preserve">https://filestore.fortinet.com/docs.fortinet.com/fsiem/Public_Resource_Access/7_6_0/rules/PH_RULE_Tap_Installer_Execution.htm</t>
  </si>
  <si>
    <t xml:space="preserve">PH_Rule_SIGMA_2581</t>
  </si>
  <si>
    <t xml:space="preserve">Windows: Taskkill Symantec Endpoint Protection</t>
  </si>
  <si>
    <t xml:space="preserve">https://filestore.fortinet.com/docs.fortinet.com/fsiem/Public_Resource_Access/7_6_0/rules/PH_RULE_Taskkill_Symantec_Endpoint_Protection.htm</t>
  </si>
  <si>
    <t xml:space="preserve">PH_Rule_SIGMA_605</t>
  </si>
  <si>
    <t xml:space="preserve">Windows: Taskmgr as LOCAL-SYSTEM</t>
  </si>
  <si>
    <t xml:space="preserve">https://filestore.fortinet.com/docs.fortinet.com/fsiem/Public_Resource_Access/7_6_0/rules/PH_RULE_Taskmgr_as_LOCAL_SYSTEM.htm</t>
  </si>
  <si>
    <t xml:space="preserve">PH_Rule_SIGMA_616</t>
  </si>
  <si>
    <t xml:space="preserve">Windows: Tasks Folder Evasion</t>
  </si>
  <si>
    <t xml:space="preserve">https://filestore.fortinet.com/docs.fortinet.com/fsiem/Public_Resource_Access/7_6_0/rules/PH_RULE_Tasks_Folder_Evasion.htm</t>
  </si>
  <si>
    <t xml:space="preserve">PH_Rule_windows_SIGMA_2939</t>
  </si>
  <si>
    <t xml:space="preserve">Windows: TeamViewer Log File Deleted</t>
  </si>
  <si>
    <t xml:space="preserve">https://filestore.fortinet.com/docs.fortinet.com/fsiem/Public_Resource_Access/7_6_0/rules/PH_RULE_TeamViewer_Log_File_Deleted.htm</t>
  </si>
  <si>
    <t xml:space="preserve">PH_Rule_SIGMA_859</t>
  </si>
  <si>
    <t xml:space="preserve">Windows: TeamViewer Remote Session</t>
  </si>
  <si>
    <t xml:space="preserve">https://filestore.fortinet.com/docs.fortinet.com/fsiem/Public_Resource_Access/7_6_0/rules/PH_RULE_TeamViewer_Remote_Session.htm</t>
  </si>
  <si>
    <t xml:space="preserve">PH_Rule_windows_SIGMA_3615</t>
  </si>
  <si>
    <t xml:space="preserve">Windows: Terminal Server Client Connection History Cleared - Registry</t>
  </si>
  <si>
    <t xml:space="preserve">https://filestore.fortinet.com/docs.fortinet.com/fsiem/Public_Resource_Access/7_6_0/rules/PH_RULE_Terminal_Server_Client_Connection_History_Cleared_Registry.htm</t>
  </si>
  <si>
    <t xml:space="preserve">PH_Rule_windows_SIGMA_3266</t>
  </si>
  <si>
    <t xml:space="preserve">Windows: Testing Usage of Uncommonly Used Port</t>
  </si>
  <si>
    <t xml:space="preserve">https://filestore.fortinet.com/docs.fortinet.com/fsiem/Public_Resource_Access/7_6_0/rules/PH_RULE_Testing_Usage_of_Uncommonly_Used_Port.htm</t>
  </si>
  <si>
    <t xml:space="preserve">PH_Rule_SIGMA_2041</t>
  </si>
  <si>
    <t xml:space="preserve">Windows: Third Party Software DLL Sideloading</t>
  </si>
  <si>
    <t xml:space="preserve">https://filestore.fortinet.com/docs.fortinet.com/fsiem/Public_Resource_Access/7_6_0/rules/PH_RULE_Third_Party_Software_DLL_Sideloading.htm</t>
  </si>
  <si>
    <t xml:space="preserve">PH_Rule_windows_SIGMA_2940</t>
  </si>
  <si>
    <t xml:space="preserve">Windows: Tomcat WebServer Logs Deleted</t>
  </si>
  <si>
    <t xml:space="preserve">https://filestore.fortinet.com/docs.fortinet.com/fsiem/Public_Resource_Access/7_6_0/rules/PH_RULE_Tomcat_WebServer_Logs_Deleted.htm</t>
  </si>
  <si>
    <t xml:space="preserve">PH_Rule_SIGMA_1709</t>
  </si>
  <si>
    <t xml:space="preserve">Windows: Tor Client/Browser Execution</t>
  </si>
  <si>
    <t xml:space="preserve">https://filestore.fortinet.com/docs.fortinet.com/fsiem/Public_Resource_Access/7_6_0/rules/PH_RULE_Tor_Client_or_Tor_Browser_Use.htm</t>
  </si>
  <si>
    <t xml:space="preserve">PH_Rule_windows_SIGMA_3228</t>
  </si>
  <si>
    <t xml:space="preserve">Windows: Troubleshooting Pack Cmdlet Execution</t>
  </si>
  <si>
    <t xml:space="preserve">https://filestore.fortinet.com/docs.fortinet.com/fsiem/Public_Resource_Access/7_6_0/rules/PH_RULE_Troubleshooting_Pack_Cmdlet_Execution.htm</t>
  </si>
  <si>
    <t xml:space="preserve">PH_Rule_windows_SIGMA_3033</t>
  </si>
  <si>
    <t xml:space="preserve">Windows: Trusted Path Bypass via Windows Directory Spoofing</t>
  </si>
  <si>
    <t xml:space="preserve">https://filestore.fortinet.com/docs.fortinet.com/fsiem/Public_Resource_Access/7_6_0/rules/PH_RULE_Trusted_Path_Bypass_via_Windows_Directory_Spoofing.htm</t>
  </si>
  <si>
    <t xml:space="preserve">PH_Rule_SIGMA_2584</t>
  </si>
  <si>
    <t xml:space="preserve">Windows: UAC Bypass Using Event Viewer RecentViews</t>
  </si>
  <si>
    <t xml:space="preserve">https://filestore.fortinet.com/docs.fortinet.com/fsiem/Public_Resource_Access/7_6_0/rules/PH_RULE_UAC_Bypass_Using_Event_Viewer_RecentViews.htm</t>
  </si>
  <si>
    <t xml:space="preserve">PH_Rule_SIGMA_864</t>
  </si>
  <si>
    <t xml:space="preserve">Windows: UAC Bypass Using EventVwr</t>
  </si>
  <si>
    <t xml:space="preserve">https://filestore.fortinet.com/docs.fortinet.com/fsiem/Public_Resource_Access/7_6_0/rules/PH_RULE_UAC_Bypass_Using_EventVwr.htm</t>
  </si>
  <si>
    <t xml:space="preserve">PH_Rule_SIGMA_2585</t>
  </si>
  <si>
    <t xml:space="preserve">Windows: UAC Bypass via Windows Firewall Snap-In Hijack</t>
  </si>
  <si>
    <t xml:space="preserve">https://filestore.fortinet.com/docs.fortinet.com/fsiem/Public_Resource_Access/7_6_0/rules/PH_RULE_UAC_Bypass_via_Windows_Firewall_Snap_In_Hijack.htm</t>
  </si>
  <si>
    <t xml:space="preserve">PH_Rule_SIGMA_1264</t>
  </si>
  <si>
    <t xml:space="preserve">Windows: UAC Bypass With Fake DLL</t>
  </si>
  <si>
    <t xml:space="preserve">https://filestore.fortinet.com/docs.fortinet.com/fsiem/Public_Resource_Access/7_6_0/rules/PH_RULE_UAC_Bypass_With_Fake_DLL.htm</t>
  </si>
  <si>
    <t xml:space="preserve">PH_Rule_SIGMA_2005</t>
  </si>
  <si>
    <t xml:space="preserve">Windows: UEFI Persistence Via Wpbbin - FileCreation</t>
  </si>
  <si>
    <t xml:space="preserve">https://filestore.fortinet.com/docs.fortinet.com/fsiem/Public_Resource_Access/7_6_0/rules/PH_RULE_UEFI_Persistence_Via_Wpbbin_FileCreation.htm</t>
  </si>
  <si>
    <t xml:space="preserve">PH_Rule_SIGMA_2621</t>
  </si>
  <si>
    <t xml:space="preserve">Windows: UEFI Persistence Via Wpbbin - ProcessCreation</t>
  </si>
  <si>
    <t xml:space="preserve">https://filestore.fortinet.com/docs.fortinet.com/fsiem/Public_Resource_Access/7_6_0/rules/PH_RULE_UEFI_Persistence_Via_Wpbbin_ProcessCreation.htm</t>
  </si>
  <si>
    <t xml:space="preserve">PH_Rule_windows_SIGMA_3296</t>
  </si>
  <si>
    <t xml:space="preserve">Windows: Uncommon AddinUtil.EXE CommandLine Execution</t>
  </si>
  <si>
    <t xml:space="preserve">https://filestore.fortinet.com/docs.fortinet.com/fsiem/Public_Resource_Access/7_6_0/rules/PH_RULE_Uncommon_AddinUtil_EXE_CommandLine_Execution.htm</t>
  </si>
  <si>
    <t xml:space="preserve">PH_Rule_windows_SIGMA_3304</t>
  </si>
  <si>
    <t xml:space="preserve">Windows: Uncommon Assistive Technology Applications Execution Via AtBroker.EXE</t>
  </si>
  <si>
    <t xml:space="preserve">https://filestore.fortinet.com/docs.fortinet.com/fsiem/Public_Resource_Access/7_6_0/rules/PH_RULE_Uncommon__Assistive_Technology_Applications_Execution_Via_AtBroker_EXE.htm</t>
  </si>
  <si>
    <t xml:space="preserve">PH_Rule_windows_SIGMA_3295</t>
  </si>
  <si>
    <t xml:space="preserve">Windows: Uncommon Child Process Of AddinUtil.EXE</t>
  </si>
  <si>
    <t xml:space="preserve">https://filestore.fortinet.com/docs.fortinet.com/fsiem/Public_Resource_Access/7_6_0/rules/PH_RULE_Uncommon_Child_Process_Of_AddinUtil_EXE.htm</t>
  </si>
  <si>
    <t xml:space="preserve">PH_Rule_windows_SIGMA_3299</t>
  </si>
  <si>
    <t xml:space="preserve">Windows: Uncommon Child Process Of Appvlp.EXE</t>
  </si>
  <si>
    <t xml:space="preserve">https://filestore.fortinet.com/docs.fortinet.com/fsiem/Public_Resource_Access/7_6_0/rules/PH_RULE_Uncommon_Child_Process_Of_Appvlp_EXE.htm</t>
  </si>
  <si>
    <t xml:space="preserve">PH_Rule_SIGMA_521</t>
  </si>
  <si>
    <t xml:space="preserve">Windows: Uncommon Child Process Of BgInfo.EXE</t>
  </si>
  <si>
    <t xml:space="preserve">https://filestore.fortinet.com/docs.fortinet.com/fsiem/Public_Resource_Access/7_6_0/rules/PH_RULE_Application_Whitelisting_Bypass_via_Bginfo.htm</t>
  </si>
  <si>
    <t xml:space="preserve">PH_Rule_SIGMA_1543</t>
  </si>
  <si>
    <t xml:space="preserve">Windows: Uncommon Child Process Of Conhost.EXE</t>
  </si>
  <si>
    <t xml:space="preserve">https://filestore.fortinet.com/docs.fortinet.com/fsiem/Public_Resource_Access/7_6_0/rules/PH_RULE_Conhost_Parent_Process_Executions.htm</t>
  </si>
  <si>
    <t xml:space="preserve">PH_Rule_SIGMA_2363</t>
  </si>
  <si>
    <t xml:space="preserve">Windows: Uncommon Child Process Of Defaultpack.EXE</t>
  </si>
  <si>
    <t xml:space="preserve">https://filestore.fortinet.com/docs.fortinet.com/fsiem/Public_Resource_Access/7_6_0/rules/PH_RULE_Lolbin_Defaultpack_exe_Use_As_Proxy.htm</t>
  </si>
  <si>
    <t xml:space="preserve">PH_Rule_windows_SIGMA_3518</t>
  </si>
  <si>
    <t xml:space="preserve">Windows: Uncommon Child Process Of Setres.EXE</t>
  </si>
  <si>
    <t xml:space="preserve">https://filestore.fortinet.com/docs.fortinet.com/fsiem/Public_Resource_Access/7_6_0/rules/PH_RULE_Uncommon_Child_Process_Of_Setres_EXE.htm</t>
  </si>
  <si>
    <t xml:space="preserve">PH_Rule_windows_SIGMA_3420</t>
  </si>
  <si>
    <t xml:space="preserve">Windows: Uncommon Child Process Spawned By Odbcconf.EXE</t>
  </si>
  <si>
    <t xml:space="preserve">https://filestore.fortinet.com/docs.fortinet.com/fsiem/Public_Resource_Access/7_6_0/rules/PH_RULE_Uncommon_Child_Process_Spawned_By_Odbcconf_EXE.htm</t>
  </si>
  <si>
    <t xml:space="preserve">PH_Rule_windows_SIGMA_3522</t>
  </si>
  <si>
    <t xml:space="preserve">Windows: Uncommon Child Processes Of SndVol.exe</t>
  </si>
  <si>
    <t xml:space="preserve">https://filestore.fortinet.com/docs.fortinet.com/fsiem/Public_Resource_Access/7_6_0/rules/PH_RULE_Uncommon_Child_Processes_Of_SndVol_exe.htm</t>
  </si>
  <si>
    <t xml:space="preserve">PH_Rule_windows_SIGMA_3709</t>
  </si>
  <si>
    <t xml:space="preserve">Windows: Uncommon Extension In Keyboard Layout IME File Registry Value</t>
  </si>
  <si>
    <t xml:space="preserve">https://filestore.fortinet.com/docs.fortinet.com/fsiem/Public_Resource_Access/7_6_0/rules/PH_RULE_Uncommon_Extension_In_Keyboard_Layout_IME_File_Registry_Value.htm</t>
  </si>
  <si>
    <t xml:space="preserve">PH_Rule_windows_SIGMA_3516</t>
  </si>
  <si>
    <t xml:space="preserve">Windows: Uncommon Extension Shim Database Installation Via Sdbinst.EXE</t>
  </si>
  <si>
    <t xml:space="preserve">https://filestore.fortinet.com/docs.fortinet.com/fsiem/Public_Resource_Access/7_6_0/rules/PH_RULE_Uncommon_Extension_Shim_Database_Installation_Via_Sdbinst_EXE.htm</t>
  </si>
  <si>
    <t xml:space="preserve">PH_Rule_windows_SIGMA_2954</t>
  </si>
  <si>
    <t xml:space="preserve">Windows: Uncommon File Created by Notepad Updater Gup.EXE</t>
  </si>
  <si>
    <t xml:space="preserve">https://filestore.fortinet.com/docs.fortinet.com/fsiem/Public_Resource_Access/7_6_0/rules/PH_RULE_Uncommon_File_Created_by_Notepad_Updater_Gup_EXE.htm</t>
  </si>
  <si>
    <t xml:space="preserve">PH_Rule_windows_SIGMA_2963</t>
  </si>
  <si>
    <t xml:space="preserve">Windows: Uncommon File Created In Office Startup Folder</t>
  </si>
  <si>
    <t xml:space="preserve">https://filestore.fortinet.com/docs.fortinet.com/fsiem/Public_Resource_Access/7_6_0/rules/PH_RULE_Uncommon_File_Created_In_Office_Startup_Folder.htm</t>
  </si>
  <si>
    <t xml:space="preserve">PH_Rule_windows_SIGMA_2960</t>
  </si>
  <si>
    <t xml:space="preserve">Windows: Uncommon File Creation By Mysql Daemon Process</t>
  </si>
  <si>
    <t xml:space="preserve">https://filestore.fortinet.com/docs.fortinet.com/fsiem/Public_Resource_Access/7_6_0/rules/PH_RULE_Uncommon_File_Creation_By_Mysql_Daemon_Process.htm</t>
  </si>
  <si>
    <t xml:space="preserve">PH_Rule_windows_SIGMA_3394</t>
  </si>
  <si>
    <t xml:space="preserve">Windows: Uncommon Link.EXE Parent Process</t>
  </si>
  <si>
    <t xml:space="preserve">https://filestore.fortinet.com/docs.fortinet.com/fsiem/Public_Resource_Access/7_6_0/rules/PH_RULE_Uncommon_Link_EXE_Parent_Process.htm</t>
  </si>
  <si>
    <t xml:space="preserve">PH_Rule_windows_SIGMA_3733</t>
  </si>
  <si>
    <t xml:space="preserve">Windows: Uncommon Microsoft Office Trusted Location Added</t>
  </si>
  <si>
    <t xml:space="preserve">https://filestore.fortinet.com/docs.fortinet.com/fsiem/Public_Resource_Access/7_6_0/rules/PH_RULE_Uncommon_Microsoft_Office_Trusted_Location_Added.htm</t>
  </si>
  <si>
    <t xml:space="preserve">PH_Rule_SIGMA_2525</t>
  </si>
  <si>
    <t xml:space="preserve">Windows: Uncommon One Time Only Scheduled Task At 00:00</t>
  </si>
  <si>
    <t xml:space="preserve">https://filestore.fortinet.com/docs.fortinet.com/fsiem/Public_Resource_Access/7_6_0/rules/PH_RULE_Uncommon_One_Time_Only_Scheduled_Task_At_00_00.htm</t>
  </si>
  <si>
    <t xml:space="preserve">PH_Rule_windows_SIGMA_3288</t>
  </si>
  <si>
    <t xml:space="preserve">Windows: Uncommon Process Access Rights For Target Image</t>
  </si>
  <si>
    <t xml:space="preserve">https://filestore.fortinet.com/docs.fortinet.com/fsiem/Public_Resource_Access/7_6_0/rules/PH_RULE_Uncommon_Process_Access_Rights_For_Target_Image.htm</t>
  </si>
  <si>
    <t xml:space="preserve">PH_Rule_windows_SIGMA_3521</t>
  </si>
  <si>
    <t xml:space="preserve">Windows: Uncommon Sigverif.EXE Child Process</t>
  </si>
  <si>
    <t xml:space="preserve">https://filestore.fortinet.com/docs.fortinet.com/fsiem/Public_Resource_Access/7_6_0/rules/PH_RULE_Uncommon_Sigverif_EXE_Child_Process.htm</t>
  </si>
  <si>
    <t xml:space="preserve">PH_Rule_windows_SIGMA_3557</t>
  </si>
  <si>
    <t xml:space="preserve">Windows: Uncommon Svchost Command Line Parameter</t>
  </si>
  <si>
    <t xml:space="preserve">https://filestore.fortinet.com/docs.fortinet.com/fsiem/Public_Resource_Access/7_6_0/rules/PH_RULE_Uncommon_Svchost_Command_Line_Parameter.htm</t>
  </si>
  <si>
    <t xml:space="preserve">PH_Rule_SIGMA_601</t>
  </si>
  <si>
    <t xml:space="preserve">Windows: Uncommon Svchost Parent Process</t>
  </si>
  <si>
    <t xml:space="preserve">https://filestore.fortinet.com/docs.fortinet.com/fsiem/Public_Resource_Access/7_6_0/rules/PH_RULE_Suspicious_Svchost_Process.htm</t>
  </si>
  <si>
    <t xml:space="preserve">PH_Rule_SIGMA_2615</t>
  </si>
  <si>
    <t xml:space="preserve">Windows: Uncommon System Information Discovery Via Wmic.EXE</t>
  </si>
  <si>
    <t xml:space="preserve">https://filestore.fortinet.com/docs.fortinet.com/fsiem/Public_Resource_Access/7_6_0/rules/PH_RULE_Potential_System_Information_Discovery_Via_Wmic_EXE.htm</t>
  </si>
  <si>
    <t xml:space="preserve">PH_Rule_windows_SIGMA_3568</t>
  </si>
  <si>
    <t xml:space="preserve">Windows: Uncommon Userinit Child Process</t>
  </si>
  <si>
    <t xml:space="preserve">https://filestore.fortinet.com/docs.fortinet.com/fsiem/Public_Resource_Access/7_6_0/rules/PH_RULE_Uncommon_Userinit_Child_Process.htm</t>
  </si>
  <si>
    <t xml:space="preserve">PH_Rule_SIGMA_1722</t>
  </si>
  <si>
    <t xml:space="preserve">Windows: Uninstall Crowdstrike Falcon</t>
  </si>
  <si>
    <t xml:space="preserve">https://filestore.fortinet.com/docs.fortinet.com/fsiem/Public_Resource_Access/7_6_0/rules/PH_RULE_Uninstall_Crowdstrike_Falcon.htm</t>
  </si>
  <si>
    <t xml:space="preserve">PH_Rule_SIGMA_1723</t>
  </si>
  <si>
    <t xml:space="preserve">Windows: Uninstall Sysinternals Sysmon</t>
  </si>
  <si>
    <t xml:space="preserve">https://filestore.fortinet.com/docs.fortinet.com/fsiem/Public_Resource_Access/7_6_0/rules/PH_RULE_Uninstall_Sysinternals_Sysmon.htm</t>
  </si>
  <si>
    <t xml:space="preserve">PH_Rule_SIGMA_1577</t>
  </si>
  <si>
    <t xml:space="preserve">Windows: Unmount Share Via Net.EXE</t>
  </si>
  <si>
    <t xml:space="preserve">https://filestore.fortinet.com/docs.fortinet.com/fsiem/Public_Resource_Access/7_6_0/rules/PH_RULE_Mounted_Share_Deleted.htm</t>
  </si>
  <si>
    <t xml:space="preserve">PH_Rule_windows_SIGMA_2996</t>
  </si>
  <si>
    <t xml:space="preserve">Windows: Unsigned .node File Loaded</t>
  </si>
  <si>
    <t xml:space="preserve">https://filestore.fortinet.com/docs.fortinet.com/fsiem/Public_Resource_Access/7_6_0/rules/PH_RULE_Unsigned_node_File_Loaded.htm</t>
  </si>
  <si>
    <t xml:space="preserve">PH_Rule_SIGMA_2444</t>
  </si>
  <si>
    <t xml:space="preserve">Windows: Unsigned AppX Installation Attempt Using Add-AppxPackage</t>
  </si>
  <si>
    <t xml:space="preserve">https://filestore.fortinet.com/docs.fortinet.com/fsiem/Public_Resource_Access/7_6_0/rules/PH_RULE_Unsigned_AppX_Installation_Attempt_Using_Add_AppxPackage.htm</t>
  </si>
  <si>
    <t xml:space="preserve">PH_Rule_windows_SIGMA_3171</t>
  </si>
  <si>
    <t xml:space="preserve">Windows: Unsigned AppX Installation Attempt Using Add-AppxPackage - PsScript</t>
  </si>
  <si>
    <t xml:space="preserve">https://filestore.fortinet.com/docs.fortinet.com/fsiem/Public_Resource_Access/7_6_0/rules/PH_RULE_Unsigned_AppX_Installation_Attempt_Using_Add_AppxPackage_PsScript.htm</t>
  </si>
  <si>
    <t xml:space="preserve">PH_Rule_windows_SIGMA_3029</t>
  </si>
  <si>
    <t xml:space="preserve">Windows: Unsigned DLL Loaded by Windows Utility</t>
  </si>
  <si>
    <t xml:space="preserve">https://filestore.fortinet.com/docs.fortinet.com/fsiem/Public_Resource_Access/7_6_0/rules/PH_RULE_Unsigned_DLL_Loaded_by_Windows_Utility.htm</t>
  </si>
  <si>
    <t xml:space="preserve">PH_Rule_windows_SIGMA_3013</t>
  </si>
  <si>
    <t xml:space="preserve">Windows: Unsigned Mfdetours.DLL Sideloading</t>
  </si>
  <si>
    <t xml:space="preserve">https://filestore.fortinet.com/docs.fortinet.com/fsiem/Public_Resource_Access/7_6_0/rules/PH_RULE_Unsigned_Mfdetours_DLL_Sideloading.htm</t>
  </si>
  <si>
    <t xml:space="preserve">PH_Rule_windows_SIGMA_3028</t>
  </si>
  <si>
    <t xml:space="preserve">Windows: Unsigned Module Loaded by ClickOnce Application</t>
  </si>
  <si>
    <t xml:space="preserve">https://filestore.fortinet.com/docs.fortinet.com/fsiem/Public_Resource_Access/7_6_0/rules/PH_RULE_Unsigned_Module_Loaded_by_ClickOnce_Application.htm</t>
  </si>
  <si>
    <t xml:space="preserve">PH_Rule_SIGMA_414</t>
  </si>
  <si>
    <t xml:space="preserve">Windows: Unusual Child Process of dns.exe</t>
  </si>
  <si>
    <t xml:space="preserve">https://filestore.fortinet.com/docs.fortinet.com/fsiem/Public_Resource_Access/7_6_0/rules/PH_RULE_DNS_RCE_CVE_2020_1350.htm</t>
  </si>
  <si>
    <t xml:space="preserve">PH_Rule_windows_SIGMA_2942</t>
  </si>
  <si>
    <t xml:space="preserve">Windows: Unusual File Deletion by Dns.exe</t>
  </si>
  <si>
    <t xml:space="preserve">https://filestore.fortinet.com/docs.fortinet.com/fsiem/Public_Resource_Access/7_6_0/rules/PH_RULE_Unusual_File_Deletion_by_Dns_exe.htm</t>
  </si>
  <si>
    <t xml:space="preserve">PH_Rule_windows_SIGMA_2905</t>
  </si>
  <si>
    <t xml:space="preserve">Windows: Unusual File Download from Direct IP Address</t>
  </si>
  <si>
    <t xml:space="preserve">https://filestore.fortinet.com/docs.fortinet.com/fsiem/Public_Resource_Access/7_6_0/rules/PH_RULE_Unusual_File_Download_from_Direct_IP_Address.htm</t>
  </si>
  <si>
    <t xml:space="preserve">PH_Rule_windows_SIGMA_2902</t>
  </si>
  <si>
    <t xml:space="preserve">Windows: Unusual File Download From File Sharing Websites - File Stream</t>
  </si>
  <si>
    <t xml:space="preserve">https://filestore.fortinet.com/docs.fortinet.com/fsiem/Public_Resource_Access/7_6_0/rules/PH_RULE_Unusual_File_Download_From_File_Sharing_Websites_File_Stream.htm</t>
  </si>
  <si>
    <t xml:space="preserve">PH_Rule_SIGMA_2290</t>
  </si>
  <si>
    <t xml:space="preserve">Windows: Unusual Parent Process For Cmd.EXE</t>
  </si>
  <si>
    <t xml:space="preserve">https://filestore.fortinet.com/docs.fortinet.com/fsiem/Public_Resource_Access/7_6_0/rules/PH_RULE_Unusual_Parent_Process_For_Cmd_EXE.htm</t>
  </si>
  <si>
    <t xml:space="preserve">PH_Rule_windows_SIGMA_3778</t>
  </si>
  <si>
    <t xml:space="preserve">Windows: Usage of Renamed Sysinternals Tools - RegistrySet</t>
  </si>
  <si>
    <t xml:space="preserve">https://filestore.fortinet.com/docs.fortinet.com/fsiem/Public_Resource_Access/7_6_0/rules/PH_RULE_Usage_of_Renamed_Sysinternals_Tools_RegistrySet.htm</t>
  </si>
  <si>
    <t xml:space="preserve">PH_Rule_SIGMA_1682</t>
  </si>
  <si>
    <t xml:space="preserve">Windows: Usage Of Web Request Commands And Cmdlets</t>
  </si>
  <si>
    <t xml:space="preserve">https://filestore.fortinet.com/docs.fortinet.com/fsiem/Public_Resource_Access/7_6_0/rules/PH_RULE_Windows_Suspicious_Use_Of_Web_Request_in_CommandLine.htm</t>
  </si>
  <si>
    <t xml:space="preserve">PH_Rule_windows_SIGMA_3273</t>
  </si>
  <si>
    <t xml:space="preserve">Windows: Usage Of Web Request Commands And Cmdlets - ScriptBlock</t>
  </si>
  <si>
    <t xml:space="preserve">https://filestore.fortinet.com/docs.fortinet.com/fsiem/Public_Resource_Access/7_6_0/rules/PH_RULE_Usage_Of_Web_Request_Commands_And_Cmdlets_ScriptBlock.htm</t>
  </si>
  <si>
    <t xml:space="preserve">PH_Rule_windows_SIGMA_2804</t>
  </si>
  <si>
    <t xml:space="preserve">Windows: USB Device Plugged</t>
  </si>
  <si>
    <t xml:space="preserve">https://filestore.fortinet.com/docs.fortinet.com/fsiem/Public_Resource_Access/7_6_0/rules/PH_RULE_USB_Device_Plugged.htm</t>
  </si>
  <si>
    <t xml:space="preserve">PH_Rule_windows_SIGMA_3086</t>
  </si>
  <si>
    <t xml:space="preserve">Windows: Use Get-NetTCPConnection</t>
  </si>
  <si>
    <t xml:space="preserve">https://filestore.fortinet.com/docs.fortinet.com/fsiem/Public_Resource_Access/7_6_0/rules/PH_RULE_Use_Get_NetTCPConnection.htm</t>
  </si>
  <si>
    <t xml:space="preserve">PH_Rule_windows_SIGMA_3115</t>
  </si>
  <si>
    <t xml:space="preserve">Windows: Use Get-NetTCPConnection - PowerShell Module</t>
  </si>
  <si>
    <t xml:space="preserve">https://filestore.fortinet.com/docs.fortinet.com/fsiem/Public_Resource_Access/7_6_0/rules/PH_RULE_Use_Get_NetTCPConnection_PowerShell_Module.htm</t>
  </si>
  <si>
    <t xml:space="preserve">PH_Rule_SIGMA_2349</t>
  </si>
  <si>
    <t xml:space="preserve">Windows: Use Icacls to Hide File to Everyone</t>
  </si>
  <si>
    <t xml:space="preserve">https://filestore.fortinet.com/docs.fortinet.com/fsiem/Public_Resource_Access/7_6_0/rules/PH_RULE_Use_Icacls_to_Hide_File_to_Everyone.htm</t>
  </si>
  <si>
    <t xml:space="preserve">PH_Rule_SIGMA_2558</t>
  </si>
  <si>
    <t xml:space="preserve">Windows: Use NTFS Short Name in Command Line</t>
  </si>
  <si>
    <t xml:space="preserve">https://filestore.fortinet.com/docs.fortinet.com/fsiem/Public_Resource_Access/7_6_0/rules/PH_RULE_Use_NTFS_Short_Name_in_Command_Line.htm</t>
  </si>
  <si>
    <t xml:space="preserve">PH_Rule_SIGMA_2559</t>
  </si>
  <si>
    <t xml:space="preserve">Windows: Use NTFS Short Name in Image</t>
  </si>
  <si>
    <t xml:space="preserve">https://filestore.fortinet.com/docs.fortinet.com/fsiem/Public_Resource_Access/7_6_0/rules/PH_RULE_Use_NTFS_Short_Name_in_Image.htm</t>
  </si>
  <si>
    <t xml:space="preserve">PH_Rule_SIGMA_1291</t>
  </si>
  <si>
    <t xml:space="preserve">Windows: Use of CLIP</t>
  </si>
  <si>
    <t xml:space="preserve">https://filestore.fortinet.com/docs.fortinet.com/fsiem/Public_Resource_Access/7_6_0/rules/PH_RULE_Use_of_CLIP.htm</t>
  </si>
  <si>
    <t xml:space="preserve">PH_Rule_SIGMA_1374</t>
  </si>
  <si>
    <t xml:space="preserve">Windows: Use of Forfiles For Execution</t>
  </si>
  <si>
    <t xml:space="preserve">https://filestore.fortinet.com/docs.fortinet.com/fsiem/Public_Resource_Access/7_6_0/rules/PH_RULE_Use_of_Forfiles_For_Execution.htm</t>
  </si>
  <si>
    <t xml:space="preserve">PH_Rule_windows_SIGMA_3360</t>
  </si>
  <si>
    <t xml:space="preserve">Windows: Use of FSharp Interpreters</t>
  </si>
  <si>
    <t xml:space="preserve">https://filestore.fortinet.com/docs.fortinet.com/fsiem/Public_Resource_Access/7_6_0/rules/PH_RULE_Use_of_FSharp_Interpreters.htm</t>
  </si>
  <si>
    <t xml:space="preserve">PH_Rule_SIGMA_1327</t>
  </si>
  <si>
    <t xml:space="preserve">Windows: Use of GoToAssist Remote Access Software</t>
  </si>
  <si>
    <t xml:space="preserve">https://filestore.fortinet.com/docs.fortinet.com/fsiem/Public_Resource_Access/7_6_0/rules/PH_RULE_Use_of_GoToAssist_Remote_Access_Software.htm</t>
  </si>
  <si>
    <t xml:space="preserve">PH_Rule_SIGMA_1354</t>
  </si>
  <si>
    <t xml:space="preserve">Windows: Use of LogMeIn Remote Access Software</t>
  </si>
  <si>
    <t xml:space="preserve">https://filestore.fortinet.com/docs.fortinet.com/fsiem/Public_Resource_Access/7_6_0/rules/PH_RULE_Use_of_LogMeIn_Remote_Access_Software.htm</t>
  </si>
  <si>
    <t xml:space="preserve">PH_Rule_SIGMA_1384</t>
  </si>
  <si>
    <t xml:space="preserve">Windows: Use of OpenConsole</t>
  </si>
  <si>
    <t xml:space="preserve">https://filestore.fortinet.com/docs.fortinet.com/fsiem/Public_Resource_Access/7_6_0/rules/PH_RULE_Use_of_OpenConsole.htm</t>
  </si>
  <si>
    <t xml:space="preserve">PH_Rule_SIGMA_1385</t>
  </si>
  <si>
    <t xml:space="preserve">Windows: Use of Pcalua For Execution</t>
  </si>
  <si>
    <t xml:space="preserve">https://filestore.fortinet.com/docs.fortinet.com/fsiem/Public_Resource_Access/7_6_0/rules/PH_RULE_Use_of_Pcalua_For_Execution.htm</t>
  </si>
  <si>
    <t xml:space="preserve">PH_Rule_SIGMA_1392</t>
  </si>
  <si>
    <t xml:space="preserve">Windows: Use of Remote.exe</t>
  </si>
  <si>
    <t xml:space="preserve">https://filestore.fortinet.com/docs.fortinet.com/fsiem/Public_Resource_Access/7_6_0/rules/PH_RULE_Use_of_Remote_exe.htm</t>
  </si>
  <si>
    <t xml:space="preserve">PH_Rule_SIGMA_1510</t>
  </si>
  <si>
    <t xml:space="preserve">Windows: Use of ScreenConnect Remote Access Software</t>
  </si>
  <si>
    <t xml:space="preserve">https://filestore.fortinet.com/docs.fortinet.com/fsiem/Public_Resource_Access/7_6_0/rules/PH_RULE_Use_of_ScreenConnect_Remote_Access_Software.htm</t>
  </si>
  <si>
    <t xml:space="preserve">PH_Rule_SIGMA_2378</t>
  </si>
  <si>
    <t xml:space="preserve">Windows: Use of Scriptrunner.exe</t>
  </si>
  <si>
    <t xml:space="preserve">https://filestore.fortinet.com/docs.fortinet.com/fsiem/Public_Resource_Access/7_6_0/rules/PH_RULE_Use_of_Scriptrunner_exe.htm</t>
  </si>
  <si>
    <t xml:space="preserve">PH_Rule_SIGMA_1395</t>
  </si>
  <si>
    <t xml:space="preserve">Windows: Use of Squirrel.exe</t>
  </si>
  <si>
    <t xml:space="preserve">https://filestore.fortinet.com/docs.fortinet.com/fsiem/Public_Resource_Access/7_6_0/rules/PH_RULE_Use_of_Squirrel_exe.htm</t>
  </si>
  <si>
    <t xml:space="preserve">PH_Rule_SIGMA_1701</t>
  </si>
  <si>
    <t xml:space="preserve">Windows: Use of Sysinternals PsService</t>
  </si>
  <si>
    <t xml:space="preserve">https://filestore.fortinet.com/docs.fortinet.com/fsiem/Public_Resource_Access/7_6_0/rules/PH_RULE_Use_of_Sysinternals_PsService.htm</t>
  </si>
  <si>
    <t xml:space="preserve">PH_Rule_SIGMA_2380</t>
  </si>
  <si>
    <t xml:space="preserve">Windows: Use Of The SFTP.EXE Binary As A LOLBIN</t>
  </si>
  <si>
    <t xml:space="preserve">https://filestore.fortinet.com/docs.fortinet.com/fsiem/Public_Resource_Access/7_6_0/rules/PH_RULE_Use_Of_The_SFTP_EXE_Binary_As_A_LOLBIN.htm</t>
  </si>
  <si>
    <t xml:space="preserve">PH_Rule_SIGMA_1405</t>
  </si>
  <si>
    <t xml:space="preserve">Windows: Use of TTDInject.exe</t>
  </si>
  <si>
    <t xml:space="preserve">https://filestore.fortinet.com/docs.fortinet.com/fsiem/Public_Resource_Access/7_6_0/rules/PH_RULE_Use_of_TTDInject_exe.htm</t>
  </si>
  <si>
    <t xml:space="preserve">PH_Rule_SIGMA_1751</t>
  </si>
  <si>
    <t xml:space="preserve">Windows: Use of UltraViewer Remote Access Software</t>
  </si>
  <si>
    <t xml:space="preserve">https://filestore.fortinet.com/docs.fortinet.com/fsiem/Public_Resource_Access/7_6_0/rules/PH_RULE_Use_of_Anydesk_Remote_Access_Software.htm</t>
  </si>
  <si>
    <t xml:space="preserve">PH_Rule_SIGMA_2588</t>
  </si>
  <si>
    <t xml:space="preserve">Windows: Use of UltraVNC Remote Access Software</t>
  </si>
  <si>
    <t xml:space="preserve">https://filestore.fortinet.com/docs.fortinet.com/fsiem/Public_Resource_Access/7_6_0/rules/PH_RULE_Use_of_UltraVNC_Remote_Access_Software.htm</t>
  </si>
  <si>
    <t xml:space="preserve">PH_Rule_SIGMA_1409</t>
  </si>
  <si>
    <t xml:space="preserve">Windows: Use of VisualUiaVerifyNative.exe</t>
  </si>
  <si>
    <t xml:space="preserve">https://filestore.fortinet.com/docs.fortinet.com/fsiem/Public_Resource_Access/7_6_0/rules/PH_RULE_Use_of_VisualUiaVerifyNative_exe.htm</t>
  </si>
  <si>
    <t xml:space="preserve">PH_Rule_SIGMA_1410</t>
  </si>
  <si>
    <t xml:space="preserve">Windows: Use of VSIISExeLauncher.exe</t>
  </si>
  <si>
    <t xml:space="preserve">https://filestore.fortinet.com/docs.fortinet.com/fsiem/Public_Resource_Access/7_6_0/rules/PH_RULE_Use_of_VSIISExeLauncher_exe.htm</t>
  </si>
  <si>
    <t xml:space="preserve">PH_Rule_SIGMA_2591</t>
  </si>
  <si>
    <t xml:space="preserve">Windows: Use of W32tm as Timer</t>
  </si>
  <si>
    <t xml:space="preserve">https://filestore.fortinet.com/docs.fortinet.com/fsiem/Public_Resource_Access/7_6_0/rules/PH_RULE_Use_of_W32tm_as_Timer.htm</t>
  </si>
  <si>
    <t xml:space="preserve">PH_Rule_SIGMA_1411</t>
  </si>
  <si>
    <t xml:space="preserve">Windows: Use of Wfc.exe</t>
  </si>
  <si>
    <t xml:space="preserve">https://filestore.fortinet.com/docs.fortinet.com/fsiem/Public_Resource_Access/7_6_0/rules/PH_RULE_Use_of_Wfc_exe.htm</t>
  </si>
  <si>
    <t xml:space="preserve">PH_Rule_SIGMA_1612</t>
  </si>
  <si>
    <t xml:space="preserve">Windows: Use Radmin Viewer Utility</t>
  </si>
  <si>
    <t xml:space="preserve">https://filestore.fortinet.com/docs.fortinet.com/fsiem/Public_Resource_Access/7_6_0/rules/PH_RULE_Use_Radmin_Viewer_Utility.htm</t>
  </si>
  <si>
    <t xml:space="preserve">PH_Rule_SIGMA_2557</t>
  </si>
  <si>
    <t xml:space="preserve">Windows: Use Short Name Path in Image</t>
  </si>
  <si>
    <t xml:space="preserve">https://filestore.fortinet.com/docs.fortinet.com/fsiem/Public_Resource_Access/7_6_0/rules/PH_RULE_Use_Short_Name_Path_in_Image.htm</t>
  </si>
  <si>
    <t xml:space="preserve">PH_Rule_SIGMA_2456</t>
  </si>
  <si>
    <t xml:space="preserve">Windows: User Discovery And Export Via Get-ADUser Cmdlet</t>
  </si>
  <si>
    <t xml:space="preserve">https://filestore.fortinet.com/docs.fortinet.com/fsiem/Public_Resource_Access/7_6_0/rules/PH_RULE_User_Discovery_And_Export_Via_Get_ADUser_Cmdlet.htm</t>
  </si>
  <si>
    <t xml:space="preserve">PH_Rule_windows_SIGMA_3268</t>
  </si>
  <si>
    <t xml:space="preserve">Windows: User Discovery And Export Via Get-ADUser Cmdlet - PowerShell</t>
  </si>
  <si>
    <t xml:space="preserve">https://filestore.fortinet.com/docs.fortinet.com/fsiem/Public_Resource_Access/7_6_0/rules/PH_RULE_User_Discovery_And_Export_Via_Get_ADUser_Cmdlet_PowerShell.htm</t>
  </si>
  <si>
    <t xml:space="preserve">PH_Rule_windows_SIGMA_3567</t>
  </si>
  <si>
    <t xml:space="preserve">Windows: User Shell Folders Registry Modification via CommandLine</t>
  </si>
  <si>
    <t xml:space="preserve">https://filestore.fortinet.com/docs.fortinet.com/fsiem/Public_Resource_Access/7_6_0/rules/PH_RULE_User_Shell_Folders_Registry_Modification_via_CommandLine.htm</t>
  </si>
  <si>
    <t xml:space="preserve">PH_Rule_SIGMA_1725</t>
  </si>
  <si>
    <t xml:space="preserve">Windows: Using SettingSyncHost.exe as LOLBin</t>
  </si>
  <si>
    <t xml:space="preserve">https://filestore.fortinet.com/docs.fortinet.com/fsiem/Public_Resource_Access/7_6_0/rules/PH_RULE_Using_SettingSyncHost_exe_as_LOLBin.htm</t>
  </si>
  <si>
    <t xml:space="preserve">PH_Rule_SIGMA_1407</t>
  </si>
  <si>
    <t xml:space="preserve">Windows: UtilityFunctions.ps1 Proxy Dll</t>
  </si>
  <si>
    <t xml:space="preserve">https://filestore.fortinet.com/docs.fortinet.com/fsiem/Public_Resource_Access/7_6_0/rules/PH_RULE_UtilityFunctions_ps1_Proxy_Dll.htm</t>
  </si>
  <si>
    <t xml:space="preserve">PH_Rule_SIGMA_340</t>
  </si>
  <si>
    <t xml:space="preserve">Windows: VBA DLL Loaded Via Office Application</t>
  </si>
  <si>
    <t xml:space="preserve">https://filestore.fortinet.com/docs.fortinet.com/fsiem/Public_Resource_Access/7_6_0/rules/PH_RULE_VBA_DLL_Loaded_Via_Microsoft_Word.htm</t>
  </si>
  <si>
    <t xml:space="preserve">PH_Rule_windows_SIGMA_3818</t>
  </si>
  <si>
    <t xml:space="preserve">Windows: VBScript Payload Stored in Registry</t>
  </si>
  <si>
    <t xml:space="preserve">https://filestore.fortinet.com/docs.fortinet.com/fsiem/Public_Resource_Access/7_6_0/rules/PH_RULE_VBScript_Payload_Stored_in_Registry.htm</t>
  </si>
  <si>
    <t xml:space="preserve">PH_Rule_SIGMA_2535</t>
  </si>
  <si>
    <t xml:space="preserve">Windows: Veeam Backup Database Suspicious Query</t>
  </si>
  <si>
    <t xml:space="preserve">https://filestore.fortinet.com/docs.fortinet.com/fsiem/Public_Resource_Access/7_6_0/rules/PH_RULE_Veeam_Backup_Database_Suspicious_Query.htm</t>
  </si>
  <si>
    <t xml:space="preserve">PH_Rule_windows_SIGMA_3272</t>
  </si>
  <si>
    <t xml:space="preserve">Windows: Veeam Backup Servers Credential Dumping Script Execution</t>
  </si>
  <si>
    <t xml:space="preserve">https://filestore.fortinet.com/docs.fortinet.com/fsiem/Public_Resource_Access/7_6_0/rules/PH_RULE_Veeam_Backup_Servers_Credential_Dumping_Script_Execution.htm</t>
  </si>
  <si>
    <t xml:space="preserve">PH_Rule_SIGMA_1726</t>
  </si>
  <si>
    <t xml:space="preserve">Windows: Verclsid.exe Runs COM Object</t>
  </si>
  <si>
    <t xml:space="preserve">https://filestore.fortinet.com/docs.fortinet.com/fsiem/Public_Resource_Access/7_6_0/rules/PH_RULE_Verclsid_exe_Runs_COM_Object.htm</t>
  </si>
  <si>
    <t xml:space="preserve">PH_Rule_SIGMA_902</t>
  </si>
  <si>
    <t xml:space="preserve">Windows: VHD Image Download Via Browser</t>
  </si>
  <si>
    <t xml:space="preserve">https://filestore.fortinet.com/docs.fortinet.com/fsiem/Public_Resource_Access/7_6_0/rules/PH_RULE_Suspicious_VHD_Image_Download_From_Browser.htm</t>
  </si>
  <si>
    <t xml:space="preserve">PH_Rule_SIGMA_1408</t>
  </si>
  <si>
    <t xml:space="preserve">Windows: Visual Basic Command Line Compiler Usage</t>
  </si>
  <si>
    <t xml:space="preserve">https://filestore.fortinet.com/docs.fortinet.com/fsiem/Public_Resource_Access/7_6_0/rules/PH_RULE_Visual_Basic_Command_Line_Compiler_Usage.htm</t>
  </si>
  <si>
    <t xml:space="preserve">PH_Rule_windows_SIGMA_3572</t>
  </si>
  <si>
    <t xml:space="preserve">Windows: Visual Studio Code Tunnel Execution</t>
  </si>
  <si>
    <t xml:space="preserve">https://filestore.fortinet.com/docs.fortinet.com/fsiem/Public_Resource_Access/7_6_0/rules/PH_RULE_Visual_Studio_Code_Tunnel_Execution.htm</t>
  </si>
  <si>
    <t xml:space="preserve">PH_Rule_windows_SIGMA_2986</t>
  </si>
  <si>
    <t xml:space="preserve">Windows: Visual Studio Code Tunnel Remote File Creation</t>
  </si>
  <si>
    <t xml:space="preserve">https://filestore.fortinet.com/docs.fortinet.com/fsiem/Public_Resource_Access/7_6_0/rules/PH_RULE_Visual_Studio_Code_Tunnel_Remote_File_Creation.htm</t>
  </si>
  <si>
    <t xml:space="preserve">PH_Rule_windows_SIGMA_3575</t>
  </si>
  <si>
    <t xml:space="preserve">Windows: Visual Studio Code Tunnel Service Installation</t>
  </si>
  <si>
    <t xml:space="preserve">https://filestore.fortinet.com/docs.fortinet.com/fsiem/Public_Resource_Access/7_6_0/rules/PH_RULE_Visual_Studio_Code_Tunnel_Service_Installation.htm</t>
  </si>
  <si>
    <t xml:space="preserve">PH_Rule_windows_SIGMA_3573</t>
  </si>
  <si>
    <t xml:space="preserve">Windows: Visual Studio Code Tunnel Shell Execution</t>
  </si>
  <si>
    <t xml:space="preserve">https://filestore.fortinet.com/docs.fortinet.com/fsiem/Public_Resource_Access/7_6_0/rules/PH_RULE_Visual_Studio_Code_Tunnel_Shell_Execution.htm</t>
  </si>
  <si>
    <t xml:space="preserve">PH_Rule_SIGMA_2459</t>
  </si>
  <si>
    <t xml:space="preserve">Windows: Visual Studio NodejsTools PressAnyKey Arbitrary Binary Execution</t>
  </si>
  <si>
    <t xml:space="preserve">https://filestore.fortinet.com/docs.fortinet.com/fsiem/Public_Resource_Access/7_6_0/rules/PH_RULE_Visual_Studio_NodejsTools_PressAnyKey_Arbitrary_Binary_Execution.htm</t>
  </si>
  <si>
    <t xml:space="preserve">PH_Rule_SIGMA_2502</t>
  </si>
  <si>
    <t xml:space="preserve">Windows: Visual Studio NodejsTools PressAnyKey Renamed Execution</t>
  </si>
  <si>
    <t xml:space="preserve">https://filestore.fortinet.com/docs.fortinet.com/fsiem/Public_Resource_Access/7_6_0/rules/PH_RULE_Visual_Studio_NodejsTools_PressAnyKey_Renamed_Execution.htm</t>
  </si>
  <si>
    <t xml:space="preserve">PH_Rule_SIGMA_2042</t>
  </si>
  <si>
    <t xml:space="preserve">Windows: VMGuestLib DLL Sideload</t>
  </si>
  <si>
    <t xml:space="preserve">https://filestore.fortinet.com/docs.fortinet.com/fsiem/Public_Resource_Access/7_6_0/rules/PH_RULE_VMGuestLib_DLL_Sideload.htm</t>
  </si>
  <si>
    <t xml:space="preserve">PH_Rule_windows_SIGMA_3023</t>
  </si>
  <si>
    <t xml:space="preserve">Windows: VMMap Signed Dbghelp.DLL Potential Sideloading</t>
  </si>
  <si>
    <t xml:space="preserve">https://filestore.fortinet.com/docs.fortinet.com/fsiem/Public_Resource_Access/7_6_0/rules/PH_RULE_VMMap_Signed_Dbghelp_DLL_Potential_Sideloading.htm</t>
  </si>
  <si>
    <t xml:space="preserve">PH_Rule_windows_SIGMA_3024</t>
  </si>
  <si>
    <t xml:space="preserve">Windows: VMMap Unsigned Dbghelp.DLL Potential Sideloading</t>
  </si>
  <si>
    <t xml:space="preserve">https://filestore.fortinet.com/docs.fortinet.com/fsiem/Public_Resource_Access/7_6_0/rules/PH_RULE_VMMap_Unsigned_Dbghelp_DLL_Potential_Sideloading.htm</t>
  </si>
  <si>
    <t xml:space="preserve">PH_Rule_SIGMA_1727</t>
  </si>
  <si>
    <t xml:space="preserve">Windows: VMToolsd Suspicious Child Process</t>
  </si>
  <si>
    <t xml:space="preserve">https://filestore.fortinet.com/docs.fortinet.com/fsiem/Public_Resource_Access/7_6_0/rules/PH_RULE_VMToolsd_Suspicious_Child_Process.htm</t>
  </si>
  <si>
    <t xml:space="preserve">PH_Rule_SIGMA_1996</t>
  </si>
  <si>
    <t xml:space="preserve">Windows: VsCode Powershell Profile Modification</t>
  </si>
  <si>
    <t xml:space="preserve">https://filestore.fortinet.com/docs.fortinet.com/fsiem/Public_Resource_Access/7_6_0/rules/PH_RULE_VsCode_Powershell_Profile_Modification.htm</t>
  </si>
  <si>
    <t xml:space="preserve">PH_Rule_windows_SIGMA_3578</t>
  </si>
  <si>
    <t xml:space="preserve">Windows: Vulnerable Driver Blocklist Registry Tampering Via CommandLine</t>
  </si>
  <si>
    <t xml:space="preserve">https://filestore.fortinet.com/docs.fortinet.com/fsiem/Public_Resource_Access/7_6_0/rules/PH_RULE_Vulnerable_Driver_Blocklist_Registry_Tampering_Via_CommandLine.htm</t>
  </si>
  <si>
    <t xml:space="preserve">PH_Rule_SIGMA_1927</t>
  </si>
  <si>
    <t xml:space="preserve">Windows: Vulnerable HackSys Extreme Vulnerable Driver Load</t>
  </si>
  <si>
    <t xml:space="preserve">https://filestore.fortinet.com/docs.fortinet.com/fsiem/Public_Resource_Access/7_6_0/rules/PH_RULE_Vulnerable_HackSys_Extreme_Vulnerable_Driver_Load.htm</t>
  </si>
  <si>
    <t xml:space="preserve">PH_Rule_SIGMA_1159</t>
  </si>
  <si>
    <t xml:space="preserve">Windows: Vulnerable Netlogon Secure Channel Connection Allowed</t>
  </si>
  <si>
    <t xml:space="preserve">https://filestore.fortinet.com/docs.fortinet.com/fsiem/Public_Resource_Access/7_6_0/rules/PH_RULE_Vulnerable_Netlogon_Secure_Channel_Connection_Allowed.htm</t>
  </si>
  <si>
    <t xml:space="preserve">PH_Rule_SIGMA_1930</t>
  </si>
  <si>
    <t xml:space="preserve">Windows: Vulnerable WinRing0 Driver Load</t>
  </si>
  <si>
    <t xml:space="preserve">https://filestore.fortinet.com/docs.fortinet.com/fsiem/Public_Resource_Access/7_6_0/rules/PH_RULE_Vulnerable_WinRing0_Driver_Load.htm</t>
  </si>
  <si>
    <t xml:space="preserve">PH_Rule_SIGMA_2592</t>
  </si>
  <si>
    <t xml:space="preserve">Windows: Wab Execution From Non Default Location</t>
  </si>
  <si>
    <t xml:space="preserve">https://filestore.fortinet.com/docs.fortinet.com/fsiem/Public_Resource_Access/7_6_0/rules/PH_RULE_Wab_Execution_From_Non_Default_Location.htm</t>
  </si>
  <si>
    <t xml:space="preserve">PH_Rule_SIGMA_2593</t>
  </si>
  <si>
    <t xml:space="preserve">Windows: Wab/Wabmig Unusual Parent Or Child Processes</t>
  </si>
  <si>
    <t xml:space="preserve">https://filestore.fortinet.com/docs.fortinet.com/fsiem/Public_Resource_Access/7_6_0/rules/PH_RULE_Wab_Wabmig_Unusual_Parent_Or_Child_Processes.htm</t>
  </si>
  <si>
    <t xml:space="preserve">PH_Rule_SIGMA_800</t>
  </si>
  <si>
    <t xml:space="preserve">Windows: Wdigest CredGuard Registry Modification</t>
  </si>
  <si>
    <t xml:space="preserve">https://filestore.fortinet.com/docs.fortinet.com/fsiem/Public_Resource_Access/7_6_0/rules/PH_RULE_Wdigest_CredGuard_Registry_Modification.htm</t>
  </si>
  <si>
    <t xml:space="preserve">PH_Rule_windows_SIGMA_3821</t>
  </si>
  <si>
    <t xml:space="preserve">Windows: Wdigest Enable UseLogonCredential</t>
  </si>
  <si>
    <t xml:space="preserve">https://filestore.fortinet.com/docs.fortinet.com/fsiem/Public_Resource_Access/7_6_0/rules/PH_RULE_Wdigest_Enable_UseLogonCredential.htm</t>
  </si>
  <si>
    <t xml:space="preserve">PH_Rule_SIGMA_1683</t>
  </si>
  <si>
    <t xml:space="preserve">Windows: WebDav Client Execution Via Rundll32.EXE</t>
  </si>
  <si>
    <t xml:space="preserve">https://filestore.fortinet.com/docs.fortinet.com/fsiem/Public_Resource_Access/7_6_0/rules/PH_RULE_Suspicious_WebDav_Client_Execution_SYSMON_V2.htm</t>
  </si>
  <si>
    <t xml:space="preserve">PH_Rule_SIGMA_624</t>
  </si>
  <si>
    <t xml:space="preserve">Windows: Webshell Detection With Command Line Keywords</t>
  </si>
  <si>
    <t xml:space="preserve">https://filestore.fortinet.com/docs.fortinet.com/fsiem/Public_Resource_Access/7_6_0/rules/PH_RULE_Webshell_Detection_With_Command_Line_Keywords.htm</t>
  </si>
  <si>
    <t xml:space="preserve">PH_Rule_SIGMA_1728</t>
  </si>
  <si>
    <t xml:space="preserve">Windows: Webshell Hacking Activity Patterns</t>
  </si>
  <si>
    <t xml:space="preserve">https://filestore.fortinet.com/docs.fortinet.com/fsiem/Public_Resource_Access/7_6_0/rules/PH_RULE_Webshell_Hacking_Activity_Patterns.htm</t>
  </si>
  <si>
    <t xml:space="preserve">PH_Rule_SIGMA_625</t>
  </si>
  <si>
    <t xml:space="preserve">Windows: Webshell Recon Detection Via CommandLine Processes</t>
  </si>
  <si>
    <t xml:space="preserve">https://filestore.fortinet.com/docs.fortinet.com/fsiem/Public_Resource_Access/7_6_0/rules/PH_RULE_Webshell_Recon_Detection_Via_CommandLine_Processes.htm</t>
  </si>
  <si>
    <t xml:space="preserve">PH_Rule_windows_SIGMA_3800</t>
  </si>
  <si>
    <t xml:space="preserve">Windows: WFP Filter Added via Registry</t>
  </si>
  <si>
    <t xml:space="preserve">https://filestore.fortinet.com/docs.fortinet.com/fsiem/Public_Resource_Access/7_6_0/rules/PH_RULE_WFP_Filter_Added_via_Registry.htm</t>
  </si>
  <si>
    <t xml:space="preserve">PH_Rule_SIGMA_1686</t>
  </si>
  <si>
    <t xml:space="preserve">Windows: WhoAmI as Parameter</t>
  </si>
  <si>
    <t xml:space="preserve">https://filestore.fortinet.com/docs.fortinet.com/fsiem/Public_Resource_Access/7_6_0/rules/PH_RULE_WhoAmI_as_Parameter.htm</t>
  </si>
  <si>
    <t xml:space="preserve">PH_Rule_SIGMA_1685</t>
  </si>
  <si>
    <t xml:space="preserve">Windows: Whoami.EXE Execution Anomaly</t>
  </si>
  <si>
    <t xml:space="preserve">https://filestore.fortinet.com/docs.fortinet.com/fsiem/Public_Resource_Access/7_6_0/rules/PH_RULE_Whoami_Execution_Anomaly.htm</t>
  </si>
  <si>
    <t xml:space="preserve">PH_Rule_SIGMA_2599</t>
  </si>
  <si>
    <t xml:space="preserve">Windows: Whoami.EXE Execution With Output Option</t>
  </si>
  <si>
    <t xml:space="preserve">https://filestore.fortinet.com/docs.fortinet.com/fsiem/Public_Resource_Access/7_6_0/rules/PH_RULE_Suspicious_Whoami_EXE_Execution.htm</t>
  </si>
  <si>
    <t xml:space="preserve">PH_Rule_windows_SIGMA_2882</t>
  </si>
  <si>
    <t xml:space="preserve">Windows: Win Defender Restored Quarantine File</t>
  </si>
  <si>
    <t xml:space="preserve">https://filestore.fortinet.com/docs.fortinet.com/fsiem/Public_Resource_Access/7_6_0/rules/PH_RULE_Win_Defender_Restored_Quarantine_File.htm</t>
  </si>
  <si>
    <t xml:space="preserve">PH_Rule_SIGMA_523</t>
  </si>
  <si>
    <t xml:space="preserve">Windows: WinDbg/CDB LOLBIN Usage</t>
  </si>
  <si>
    <t xml:space="preserve">https://filestore.fortinet.com/docs.fortinet.com/fsiem/Public_Resource_Access/7_6_0/rules/PH_RULE_Possible_App_Whitelisting_Bypass_via_WinDbg_CDB_as_a_Shellcode_Runner.htm</t>
  </si>
  <si>
    <t xml:space="preserve">PH_Rule_SIGMA_913</t>
  </si>
  <si>
    <t xml:space="preserve">Windows: WinDivert Driver Load</t>
  </si>
  <si>
    <t xml:space="preserve">https://filestore.fortinet.com/docs.fortinet.com/fsiem/Public_Resource_Access/7_6_0/rules/PH_RULE_WinDivert_Driver_Load.htm</t>
  </si>
  <si>
    <t xml:space="preserve">PH_Rule_windows_SIGMA_3298</t>
  </si>
  <si>
    <t xml:space="preserve">Windows: Windows AMSI Related Registry Tampering Via CommandLine</t>
  </si>
  <si>
    <t xml:space="preserve">https://filestore.fortinet.com/docs.fortinet.com/fsiem/Public_Resource_Access/7_6_0/rules/PH_RULE_Windows_AMSI_Related_Registry_Tampering_Via_CommandLine.htm</t>
  </si>
  <si>
    <t xml:space="preserve">PH_Rule_windows_SIGMA_2787</t>
  </si>
  <si>
    <t xml:space="preserve">Windows: Windows AppX Deployment Unsigned Package Installation</t>
  </si>
  <si>
    <t xml:space="preserve">https://filestore.fortinet.com/docs.fortinet.com/fsiem/Public_Resource_Access/7_6_0/rules/PH_RULE_Windows_AppX_Deployment_Unsigned_Package_Installation.htm</t>
  </si>
  <si>
    <t xml:space="preserve">PH_Rule_windows_SIGMA_3580</t>
  </si>
  <si>
    <t xml:space="preserve">Windows: Windows Backup Deleted Via Wbadmin.EXE</t>
  </si>
  <si>
    <t xml:space="preserve">https://filestore.fortinet.com/docs.fortinet.com/fsiem/Public_Resource_Access/7_6_0/rules/PH_RULE_Windows_Backup_Deleted_Via_Wbadmin_EXE.htm</t>
  </si>
  <si>
    <t xml:space="preserve">PH_Rule_SIGMA_1989</t>
  </si>
  <si>
    <t xml:space="preserve">Windows: Windows Binaries Write Suspicious Extensions</t>
  </si>
  <si>
    <t xml:space="preserve">https://filestore.fortinet.com/docs.fortinet.com/fsiem/Public_Resource_Access/7_6_0/rules/PH_RULE_Windows_Binaries_Write_Suspicious_Extensions.htm</t>
  </si>
  <si>
    <t xml:space="preserve">PH_Rule_SIGMA_2623</t>
  </si>
  <si>
    <t xml:space="preserve">Windows: Windows Binary Executed From WSL</t>
  </si>
  <si>
    <t xml:space="preserve">https://filestore.fortinet.com/docs.fortinet.com/fsiem/Public_Resource_Access/7_6_0/rules/PH_RULE_Windows_Binary_Executed_From_WSL.htm</t>
  </si>
  <si>
    <t xml:space="preserve">PH_Rule_windows_SIGMA_2879</t>
  </si>
  <si>
    <t xml:space="preserve">Windows: Windows Defender AMSI Trigger Detected</t>
  </si>
  <si>
    <t xml:space="preserve">https://filestore.fortinet.com/docs.fortinet.com/fsiem/Public_Resource_Access/7_6_0/rules/PH_RULE_Windows_Defender_AMSI_Trigger_Detected.htm</t>
  </si>
  <si>
    <t xml:space="preserve">PH_Rule_windows_SIGMA_2883</t>
  </si>
  <si>
    <t xml:space="preserve">Windows: Windows Defender Configuration Changes</t>
  </si>
  <si>
    <t xml:space="preserve">https://filestore.fortinet.com/docs.fortinet.com/fsiem/Public_Resource_Access/7_6_0/rules/PH_RULE_Windows_Defender_Configuration_Changes.htm</t>
  </si>
  <si>
    <t xml:space="preserve">PH_Rule_windows_SIGMA_3342</t>
  </si>
  <si>
    <t xml:space="preserve">Windows: Windows Defender Context Menu Removed</t>
  </si>
  <si>
    <t xml:space="preserve">https://filestore.fortinet.com/docs.fortinet.com/fsiem/Public_Resource_Access/7_6_0/rules/PH_RULE_Windows_Defender_Context_Menu_Removed.htm</t>
  </si>
  <si>
    <t xml:space="preserve">PH_Rule_SIGMA_1490</t>
  </si>
  <si>
    <t xml:space="preserve">Windows: Windows Defender Definition Files Removed</t>
  </si>
  <si>
    <t xml:space="preserve">https://filestore.fortinet.com/docs.fortinet.com/fsiem/Public_Resource_Access/7_6_0/rules/PH_RULE_Remove_Windows_Defender_Definition_Files.htm</t>
  </si>
  <si>
    <t xml:space="preserve">PH_Rule_windows_SIGMA_2874</t>
  </si>
  <si>
    <t xml:space="preserve">Windows: Windows Defender Exclusions Added</t>
  </si>
  <si>
    <t xml:space="preserve">https://filestore.fortinet.com/docs.fortinet.com/fsiem/Public_Resource_Access/7_6_0/rules/PH_RULE_Windows_Defender_Exclusions_Added.htm</t>
  </si>
  <si>
    <t xml:space="preserve">PH_Rule_windows_SIGMA_3277</t>
  </si>
  <si>
    <t xml:space="preserve">Windows: Windows Defender Exclusions Added - PowerShell</t>
  </si>
  <si>
    <t xml:space="preserve">https://filestore.fortinet.com/docs.fortinet.com/fsiem/Public_Resource_Access/7_6_0/rules/PH_RULE_Windows_Defender_Exclusions_Added_PowerShell.htm</t>
  </si>
  <si>
    <t xml:space="preserve">PH_Rule_windows_SIGMA_3663</t>
  </si>
  <si>
    <t xml:space="preserve">Windows: Windows Defender Exclusions Added - Registry</t>
  </si>
  <si>
    <t xml:space="preserve">https://filestore.fortinet.com/docs.fortinet.com/fsiem/Public_Resource_Access/7_6_0/rules/PH_RULE_Windows_Defender_Exclusions_Added_Registry.htm</t>
  </si>
  <si>
    <t xml:space="preserve">PH_Rule_windows_SIGMA_2875</t>
  </si>
  <si>
    <t xml:space="preserve">Windows: Windows Defender Exploit Guard Tamper</t>
  </si>
  <si>
    <t xml:space="preserve">https://filestore.fortinet.com/docs.fortinet.com/fsiem/Public_Resource_Access/7_6_0/rules/PH_RULE_Windows_Defender_Exploit_Guard_Tamper.htm</t>
  </si>
  <si>
    <t xml:space="preserve">PH_Rule_windows_SIGMA_2877</t>
  </si>
  <si>
    <t xml:space="preserve">Windows: Windows Defender Malware Detection History Deletion</t>
  </si>
  <si>
    <t xml:space="preserve">https://filestore.fortinet.com/docs.fortinet.com/fsiem/Public_Resource_Access/7_6_0/rules/PH_RULE_Windows_Defender_Malware_Detection_History_Deletion.htm</t>
  </si>
  <si>
    <t xml:space="preserve">PH_Rule_windows_SIGMA_2881</t>
  </si>
  <si>
    <t xml:space="preserve">Windows: Windows Defender Real-Time Protection Failure/Restart</t>
  </si>
  <si>
    <t xml:space="preserve">https://filestore.fortinet.com/docs.fortinet.com/fsiem/Public_Resource_Access/7_6_0/rules/PH_RULE_Windows_Defender_Real_Time_Protection_Failure_Restart.htm</t>
  </si>
  <si>
    <t xml:space="preserve">PH_Rule_windows_SIGMA_3677</t>
  </si>
  <si>
    <t xml:space="preserve">Windows: Windows Defender Service Disabled - Registry</t>
  </si>
  <si>
    <t xml:space="preserve">https://filestore.fortinet.com/docs.fortinet.com/fsiem/Public_Resource_Access/7_6_0/rules/PH_RULE_Windows_Defender_Service_Disabled_Registry.htm</t>
  </si>
  <si>
    <t xml:space="preserve">PH_Rule_windows_SIGMA_2876</t>
  </si>
  <si>
    <t xml:space="preserve">Windows: Windows Defender Submit Sample Feature Disabled</t>
  </si>
  <si>
    <t xml:space="preserve">https://filestore.fortinet.com/docs.fortinet.com/fsiem/Public_Resource_Access/7_6_0/rules/PH_RULE_Windows_Defender_Submit_Sample_Feature_Disabled.htm</t>
  </si>
  <si>
    <t xml:space="preserve">PH_Rule_windows_SIGMA_2885</t>
  </si>
  <si>
    <t xml:space="preserve">Windows: Windows Defender Threat Detected</t>
  </si>
  <si>
    <t xml:space="preserve">https://filestore.fortinet.com/docs.fortinet.com/fsiem/Public_Resource_Access/7_6_0/rules/PH_RULE_Windows_Defender_Threat_Detected.htm</t>
  </si>
  <si>
    <t xml:space="preserve">PH_Rule_SIGMA_1156</t>
  </si>
  <si>
    <t xml:space="preserve">Windows: Windows Defender Threat Detection Service Disabled</t>
  </si>
  <si>
    <t xml:space="preserve">https://filestore.fortinet.com/docs.fortinet.com/fsiem/Public_Resource_Access/7_6_0/rules/PH_RULE_Windows_Defender_Threat_Detection_Disabled_Service.htm</t>
  </si>
  <si>
    <t xml:space="preserve">PH_Rule_windows_SIGMA_3621</t>
  </si>
  <si>
    <t xml:space="preserve">Windows: Windows Defender Threat Severity Default Action Modified</t>
  </si>
  <si>
    <t xml:space="preserve">https://filestore.fortinet.com/docs.fortinet.com/fsiem/Public_Resource_Access/7_6_0/rules/PH_RULE_Windows_Defender_Threat_Severity_Default_Action_Modified.htm</t>
  </si>
  <si>
    <t xml:space="preserve">PH_Rule_windows_SIGMA_3678</t>
  </si>
  <si>
    <t xml:space="preserve">Windows: Windows Event Log Access Tampering Via Registry</t>
  </si>
  <si>
    <t xml:space="preserve">https://filestore.fortinet.com/docs.fortinet.com/fsiem/Public_Resource_Access/7_6_0/rules/PH_RULE_Windows_Event_Log_Access_Tampering_Via_Registry.htm</t>
  </si>
  <si>
    <t xml:space="preserve">PH_Rule_windows_SIGMA_3305</t>
  </si>
  <si>
    <t xml:space="preserve">Windows: Windows EventLog Autologger Session Registry Modification Via CommandLine</t>
  </si>
  <si>
    <t xml:space="preserve">https://filestore.fortinet.com/docs.fortinet.com/fsiem/Public_Resource_Access/7_6_0/rules/PH_RULE_Windows_EventLog_Autologger_Session_Registry_Modification_Via_CommandLine.htm</t>
  </si>
  <si>
    <t xml:space="preserve">PH_Rule_SIGMA_2431</t>
  </si>
  <si>
    <t xml:space="preserve">Windows: Windows Firewall Disabled via PowerShell</t>
  </si>
  <si>
    <t xml:space="preserve">https://filestore.fortinet.com/docs.fortinet.com/fsiem/Public_Resource_Access/7_6_0/rules/PH_RULE_Windows_Firewall_Disabled_via_PowerShell.htm</t>
  </si>
  <si>
    <t xml:space="preserve">PH_Rule_windows_SIGMA_3278</t>
  </si>
  <si>
    <t xml:space="preserve">Windows: Windows Firewall Profile Disabled</t>
  </si>
  <si>
    <t xml:space="preserve">https://filestore.fortinet.com/docs.fortinet.com/fsiem/Public_Resource_Access/7_6_0/rules/PH_RULE_Windows_Firewall_Profile_Disabled.htm</t>
  </si>
  <si>
    <t xml:space="preserve">PH_Rule_SIGMA_2611</t>
  </si>
  <si>
    <t xml:space="preserve">Windows: Windows Hotfix Updates Reconnaissance Via Wmic.EXE</t>
  </si>
  <si>
    <t xml:space="preserve">https://filestore.fortinet.com/docs.fortinet.com/fsiem/Public_Resource_Access/7_6_0/rules/PH_RULE_Windows_Hotfix_Updates_Reconnaissance_Via_Wmic_EXE.htm</t>
  </si>
  <si>
    <t xml:space="preserve">PH_Rule_windows_SIGMA_3666</t>
  </si>
  <si>
    <t xml:space="preserve">Windows: Windows Hypervisor Enforced Code Integrity Disabled</t>
  </si>
  <si>
    <t xml:space="preserve">https://filestore.fortinet.com/docs.fortinet.com/fsiem/Public_Resource_Access/7_6_0/rules/PH_RULE_Windows_Hypervisor_Enforced_Code_Integrity_Disabled.htm</t>
  </si>
  <si>
    <t xml:space="preserve">PH_Rule_windows_SIGMA_3391</t>
  </si>
  <si>
    <t xml:space="preserve">Windows: Windows Kernel Debugger Execution</t>
  </si>
  <si>
    <t xml:space="preserve">https://filestore.fortinet.com/docs.fortinet.com/fsiem/Public_Resource_Access/7_6_0/rules/PH_RULE_Windows_Kernel_Debugger_Execution.htm</t>
  </si>
  <si>
    <t xml:space="preserve">PH_Rule_windows_SIGMA_3405</t>
  </si>
  <si>
    <t xml:space="preserve">Windows: Windows MSIX Package Support Framework AI-STUBS Execution</t>
  </si>
  <si>
    <t xml:space="preserve">https://filestore.fortinet.com/docs.fortinet.com/fsiem/Public_Resource_Access/7_6_0/rules/PH_RULE_Windows_MSIX_Package_Support_Framework_AI_STUBS_Execution.htm</t>
  </si>
  <si>
    <t xml:space="preserve">PH_Rule_SIGMA_490</t>
  </si>
  <si>
    <t xml:space="preserve">Windows: Windows Processes Suspicious Parent Directory</t>
  </si>
  <si>
    <t xml:space="preserve">https://filestore.fortinet.com/docs.fortinet.com/fsiem/Public_Resource_Access/7_6_0/rules/PH_RULE_Windows_Processes_Suspicious_Parent_Directory.htm</t>
  </si>
  <si>
    <t xml:space="preserve">PH_Rule_windows_SIGMA_3613</t>
  </si>
  <si>
    <t xml:space="preserve">Windows: Windows Recall Feature Enabled - DisableAIDataAnalysis Value Deleted</t>
  </si>
  <si>
    <t xml:space="preserve">https://filestore.fortinet.com/docs.fortinet.com/fsiem/Public_Resource_Access/7_6_0/rules/PH_RULE_Windows_Recall_Feature_Enabled_DisableAIDataAnalysis_Value_Deleted.htm</t>
  </si>
  <si>
    <t xml:space="preserve">PH_Rule_windows_SIGMA_3692</t>
  </si>
  <si>
    <t xml:space="preserve">Windows: Windows Recall Feature Enabled - Registry</t>
  </si>
  <si>
    <t xml:space="preserve">https://filestore.fortinet.com/docs.fortinet.com/fsiem/Public_Resource_Access/7_6_0/rules/PH_RULE_Windows_Recall_Feature_Enabled_Registry.htm</t>
  </si>
  <si>
    <t xml:space="preserve">PH_Rule_windows_SIGMA_3464</t>
  </si>
  <si>
    <t xml:space="preserve">Windows: Windows Recall Feature Enabled Via Reg.EXE</t>
  </si>
  <si>
    <t xml:space="preserve">https://filestore.fortinet.com/docs.fortinet.com/fsiem/Public_Resource_Access/7_6_0/rules/PH_RULE_Windows_Recall_Feature_Enabled_Via_Reg_EXE.htm</t>
  </si>
  <si>
    <t xml:space="preserve">PH_Rule_windows_SIGMA_3460</t>
  </si>
  <si>
    <t xml:space="preserve">Windows: Windows Recovery Environment Disabled Via Reagentc</t>
  </si>
  <si>
    <t xml:space="preserve">https://filestore.fortinet.com/docs.fortinet.com/fsiem/Public_Resource_Access/7_6_0/rules/PH_RULE_Windows_Recovery_Environment_Disabled_Via_Reagentc.htm</t>
  </si>
  <si>
    <t xml:space="preserve">PH_Rule_SIGMA_664</t>
  </si>
  <si>
    <t xml:space="preserve">Windows: Windows Registry Trust Record Modification</t>
  </si>
  <si>
    <t xml:space="preserve">https://filestore.fortinet.com/docs.fortinet.com/fsiem/Public_Resource_Access/7_6_0/rules/PH_RULE_Windows_Registry_Trust_Record_Modification.htm</t>
  </si>
  <si>
    <t xml:space="preserve">PH_Rule_windows_SIGMA_3135</t>
  </si>
  <si>
    <t xml:space="preserve">Windows: Windows Screen Capture with CopyFromScreen</t>
  </si>
  <si>
    <t xml:space="preserve">https://filestore.fortinet.com/docs.fortinet.com/fsiem/Public_Resource_Access/7_6_0/rules/PH_RULE_Windows_Screen_Capture_with_CopyFromScreen.htm</t>
  </si>
  <si>
    <t xml:space="preserve">PH_Rule_SIGMA_1879</t>
  </si>
  <si>
    <t xml:space="preserve">Windows: Windows Service Terminated With Error</t>
  </si>
  <si>
    <t xml:space="preserve">https://filestore.fortinet.com/docs.fortinet.com/fsiem/Public_Resource_Access/7_6_0/rules/PH_RULE_Windows_Service_Terminated_With_Error.htm</t>
  </si>
  <si>
    <t xml:space="preserve">PH_Rule_SIGMA_872</t>
  </si>
  <si>
    <t xml:space="preserve">Windows: Windows Shell/Scripting Application File Write to Suspicious Folder</t>
  </si>
  <si>
    <t xml:space="preserve">https://filestore.fortinet.com/docs.fortinet.com/fsiem/Public_Resource_Access/7_6_0/rules/PH_RULE_Windows_Shell_File_Write_to_Suspicious_Folder.htm</t>
  </si>
  <si>
    <t xml:space="preserve">PH_Rule_SIGMA_513</t>
  </si>
  <si>
    <t xml:space="preserve">Windows: Windows Shell/Scripting Processes Spawning Suspicious Programs</t>
  </si>
  <si>
    <t xml:space="preserve">https://filestore.fortinet.com/docs.fortinet.com/fsiem/Public_Resource_Access/7_6_0/rules/PH_RULE_Windows_Shell_Spawning_Suspicious_Program.htm</t>
  </si>
  <si>
    <t xml:space="preserve">PH_Rule_windows_SIGMA_2980</t>
  </si>
  <si>
    <t xml:space="preserve">Windows: Windows Terminal Profile Settings Modification By Uncommon Process</t>
  </si>
  <si>
    <t xml:space="preserve">https://filestore.fortinet.com/docs.fortinet.com/fsiem/Public_Resource_Access/7_6_0/rules/PH_RULE_Windows_Terminal_Profile_Settings_Modification_By_Uncommon_Process.htm</t>
  </si>
  <si>
    <t xml:space="preserve">PH_Rule_SIGMA_1154</t>
  </si>
  <si>
    <t xml:space="preserve">Windows: Windows Update Error</t>
  </si>
  <si>
    <t xml:space="preserve">https://filestore.fortinet.com/docs.fortinet.com/fsiem/Public_Resource_Access/7_6_0/rules/PH_RULE_Windows_Update_Error.htm</t>
  </si>
  <si>
    <t xml:space="preserve">PH_Rule_windows_SIGMA_3819</t>
  </si>
  <si>
    <t xml:space="preserve">Windows: Windows Vulnerable Driver Blocklist Disabled</t>
  </si>
  <si>
    <t xml:space="preserve">https://filestore.fortinet.com/docs.fortinet.com/fsiem/Public_Resource_Access/7_6_0/rules/PH_RULE_Windows_Vulnerable_Driver_Blocklist_Disabled.htm</t>
  </si>
  <si>
    <t xml:space="preserve">PH_Rule_SIGMA_809</t>
  </si>
  <si>
    <t xml:space="preserve">Windows: WINEKEY Registry Modification</t>
  </si>
  <si>
    <t xml:space="preserve">https://filestore.fortinet.com/docs.fortinet.com/fsiem/Public_Resource_Access/7_6_0/rules/PH_RULE_WINEKEY_Registry_Modification.htm</t>
  </si>
  <si>
    <t xml:space="preserve">PH_Rule_windows_SIGMA_3823</t>
  </si>
  <si>
    <t xml:space="preserve">Windows: Winget Admin Settings Modification</t>
  </si>
  <si>
    <t xml:space="preserve">https://filestore.fortinet.com/docs.fortinet.com/fsiem/Public_Resource_Access/7_6_0/rules/PH_RULE_Winget_Admin_Settings_Modification.htm</t>
  </si>
  <si>
    <t xml:space="preserve">PH_Rule_windows_SIGMA_3825</t>
  </si>
  <si>
    <t xml:space="preserve">Windows: Winlogon AllowMultipleTSSessions Enable</t>
  </si>
  <si>
    <t xml:space="preserve">https://filestore.fortinet.com/docs.fortinet.com/fsiem/Public_Resource_Access/7_6_0/rules/PH_RULE_Winlogon_AllowMultipleTSSessions_Enable.htm</t>
  </si>
  <si>
    <t xml:space="preserve">PH_Rule_windows_SIGMA_3279</t>
  </si>
  <si>
    <t xml:space="preserve">Windows: Winlogon Helper DLL</t>
  </si>
  <si>
    <t xml:space="preserve">https://filestore.fortinet.com/docs.fortinet.com/fsiem/Public_Resource_Access/7_6_0/rules/PH_RULE_Winlogon_Helper_DLL.htm</t>
  </si>
  <si>
    <t xml:space="preserve">PH_Rule_windows_SIGMA_3826</t>
  </si>
  <si>
    <t xml:space="preserve">Windows: Winlogon Notify Key Logon Persistence</t>
  </si>
  <si>
    <t xml:space="preserve">https://filestore.fortinet.com/docs.fortinet.com/fsiem/Public_Resource_Access/7_6_0/rules/PH_RULE_Winlogon_Notify_Key_Logon_Persistence.htm</t>
  </si>
  <si>
    <t xml:space="preserve">PH_Rule_SIGMA_1687</t>
  </si>
  <si>
    <t xml:space="preserve">Windows: Winrar Compressing Dump Files</t>
  </si>
  <si>
    <t xml:space="preserve">https://filestore.fortinet.com/docs.fortinet.com/fsiem/Public_Resource_Access/7_6_0/rules/PH_RULE_Winrar_Compressing_Dump_Files.htm</t>
  </si>
  <si>
    <t xml:space="preserve">PH_Rule_windows_SIGMA_2989</t>
  </si>
  <si>
    <t xml:space="preserve">Windows: WinRAR Creating Files in Startup Locations</t>
  </si>
  <si>
    <t xml:space="preserve">https://filestore.fortinet.com/docs.fortinet.com/fsiem/Public_Resource_Access/7_6_0/rules/PH_RULE_WinRAR_Creating_Files_in_Startup_Locations.htm</t>
  </si>
  <si>
    <t xml:space="preserve">PH_Rule_SIGMA_1688</t>
  </si>
  <si>
    <t xml:space="preserve">Windows: WinRAR Execution in Non-Standard Folder</t>
  </si>
  <si>
    <t xml:space="preserve">https://filestore.fortinet.com/docs.fortinet.com/fsiem/Public_Resource_Access/7_6_0/rules/PH_RULE_Winrar_Execution_in_Non_Standard_Folder.htm</t>
  </si>
  <si>
    <t xml:space="preserve">PH_Rule_windows_SIGMA_3639</t>
  </si>
  <si>
    <t xml:space="preserve">Windows: WinSock2 Autorun Keys Modification</t>
  </si>
  <si>
    <t xml:space="preserve">https://filestore.fortinet.com/docs.fortinet.com/fsiem/Public_Resource_Access/7_6_0/rules/PH_RULE_WinSock2_Autorun_Keys_Modification.htm</t>
  </si>
  <si>
    <t xml:space="preserve">PH_Rule_SIGMA_1997</t>
  </si>
  <si>
    <t xml:space="preserve">Windows: WinSxS Executable File Creation By Non-System Process</t>
  </si>
  <si>
    <t xml:space="preserve">https://filestore.fortinet.com/docs.fortinet.com/fsiem/Public_Resource_Access/7_6_0/rules/PH_RULE_WinSxS_Executable_File_Creation_By_Non_System_Process.htm</t>
  </si>
  <si>
    <t xml:space="preserve">PH_Rule_SIGMA_1413</t>
  </si>
  <si>
    <t xml:space="preserve">Windows: Wlrmdr.EXE Uncommon Argument Or Child Process</t>
  </si>
  <si>
    <t xml:space="preserve">https://filestore.fortinet.com/docs.fortinet.com/fsiem/Public_Resource_Access/7_6_0/rules/PH_RULE_Wlrmdr_Lolbin_Use_as_Laucher.htm</t>
  </si>
  <si>
    <t xml:space="preserve">PH_Rule_SIGMA_629</t>
  </si>
  <si>
    <t xml:space="preserve">Windows: WMI Backdoor Exchange Transport Agent</t>
  </si>
  <si>
    <t xml:space="preserve">https://filestore.fortinet.com/docs.fortinet.com/fsiem/Public_Resource_Access/7_6_0/rules/PH_RULE_WMI_Backdoor_Exchange_Transport_Agent.htm</t>
  </si>
  <si>
    <t xml:space="preserve">PH_Rule_windows_SIGMA_3074</t>
  </si>
  <si>
    <t xml:space="preserve">Windows: WMI Event Consumer Created Named Pipe</t>
  </si>
  <si>
    <t xml:space="preserve">https://filestore.fortinet.com/docs.fortinet.com/fsiem/Public_Resource_Access/7_6_0/rules/PH_RULE_WMI_Event_Consumer_Created_Named_Pipe.htm</t>
  </si>
  <si>
    <t xml:space="preserve">PH_Rule_SIGMA_705</t>
  </si>
  <si>
    <t xml:space="preserve">Windows: WMI Event Subscription</t>
  </si>
  <si>
    <t xml:space="preserve">https://filestore.fortinet.com/docs.fortinet.com/fsiem/Public_Resource_Access/7_6_0/rules/PH_RULE_WMI_Event_Subscription.htm</t>
  </si>
  <si>
    <t xml:space="preserve">PH_Rule_windows_SIGMA_2887</t>
  </si>
  <si>
    <t xml:space="preserve">Windows: WMI Persistence</t>
  </si>
  <si>
    <t xml:space="preserve">https://filestore.fortinet.com/docs.fortinet.com/fsiem/Public_Resource_Access/7_6_0/rules/PH_RULE_WMI_Persistence.htm</t>
  </si>
  <si>
    <t xml:space="preserve">PH_Rule_SIGMA_346</t>
  </si>
  <si>
    <t xml:space="preserve">Windows: WMI Persistence - Command Line Event Consumer</t>
  </si>
  <si>
    <t xml:space="preserve">https://filestore.fortinet.com/docs.fortinet.com/fsiem/Public_Resource_Access/7_6_0/rules/PH_RULE_WMI_Persistence_Command_Line_Event_Consumer.htm</t>
  </si>
  <si>
    <t xml:space="preserve">PH_Rule_SIGMA_630</t>
  </si>
  <si>
    <t xml:space="preserve">Windows: WMI Persistence - Script Event Consumer</t>
  </si>
  <si>
    <t xml:space="preserve">https://filestore.fortinet.com/docs.fortinet.com/fsiem/Public_Resource_Access/7_6_0/rules/PH_RULE_WMI_Persistence_Script_Event_Consumer.htm</t>
  </si>
  <si>
    <t xml:space="preserve">PH_Rule_SIGMA_329</t>
  </si>
  <si>
    <t xml:space="preserve">Windows: WMI Persistence - Script Event Consumer File Write</t>
  </si>
  <si>
    <t xml:space="preserve">https://filestore.fortinet.com/docs.fortinet.com/fsiem/Public_Resource_Access/7_6_0/rules/PH_RULE_WMI_Persistence_Script_Event_Consumer_File_Write.htm</t>
  </si>
  <si>
    <t xml:space="preserve">PH_Rule_SIGMA_1255</t>
  </si>
  <si>
    <t xml:space="preserve">Windows: WMI Script Host Process Image Loaded</t>
  </si>
  <si>
    <t xml:space="preserve">https://filestore.fortinet.com/docs.fortinet.com/fsiem/Public_Resource_Access/7_6_0/rules/PH_RULE_WMI_Script_Host_Process_Image_Loaded.htm</t>
  </si>
  <si>
    <t xml:space="preserve">PH_Rule_SIGMA_1267</t>
  </si>
  <si>
    <t xml:space="preserve">Windows: WMIC Loading Scripting Libraries</t>
  </si>
  <si>
    <t xml:space="preserve">https://filestore.fortinet.com/docs.fortinet.com/fsiem/Public_Resource_Access/7_6_0/rules/PH_RULE_WMIC_Loading_Scripting_Libraries.htm</t>
  </si>
  <si>
    <t xml:space="preserve">PH_Rule_SIGMA_1734</t>
  </si>
  <si>
    <t xml:space="preserve">Windows: WMIC Remote Command Execution</t>
  </si>
  <si>
    <t xml:space="preserve">https://filestore.fortinet.com/docs.fortinet.com/fsiem/Public_Resource_Access/7_6_0/rules/PH_RULE_WMI_Remote_Command_Execution.htm</t>
  </si>
  <si>
    <t xml:space="preserve">PH_Rule_windows_SIGMA_3281</t>
  </si>
  <si>
    <t xml:space="preserve">Windows: WMIC Unquoted Services Path Lookup - PowerShell</t>
  </si>
  <si>
    <t xml:space="preserve">https://filestore.fortinet.com/docs.fortinet.com/fsiem/Public_Resource_Access/7_6_0/rules/PH_RULE_WMIC_Unquoted_Services_Path_Lookup_PowerShell.htm</t>
  </si>
  <si>
    <t xml:space="preserve">PH_Rule_SIGMA_2004</t>
  </si>
  <si>
    <t xml:space="preserve">Windows: Wmiexec Default Output File</t>
  </si>
  <si>
    <t xml:space="preserve">https://filestore.fortinet.com/docs.fortinet.com/fsiem/Public_Resource_Access/7_6_0/rules/PH_RULE_Wmiexec_Default_Output_File.htm</t>
  </si>
  <si>
    <t xml:space="preserve">PH_Rule_windows_SIGMA_3282</t>
  </si>
  <si>
    <t xml:space="preserve">Windows: WMImplant Hack Tool</t>
  </si>
  <si>
    <t xml:space="preserve">https://filestore.fortinet.com/docs.fortinet.com/fsiem/Public_Resource_Access/7_6_0/rules/PH_RULE_WMImplant_Hack_Tool.htm</t>
  </si>
  <si>
    <t xml:space="preserve">PH_Rule_SIGMA_632</t>
  </si>
  <si>
    <t xml:space="preserve">Windows: WmiPrvSE Spawned A Process</t>
  </si>
  <si>
    <t xml:space="preserve">https://filestore.fortinet.com/docs.fortinet.com/fsiem/Public_Resource_Access/7_6_0/rules/PH_RULE_Wmiprvse_Spawning_Process.htm</t>
  </si>
  <si>
    <t xml:space="preserve">PH_Rule_SIGMA_875</t>
  </si>
  <si>
    <t xml:space="preserve">Windows: Wmiprvse Wbemcomn DLL Hijack: Sysmon</t>
  </si>
  <si>
    <t xml:space="preserve">https://filestore.fortinet.com/docs.fortinet.com/fsiem/Public_Resource_Access/7_6_0/rules/PH_RULE_Wmiprvse_Wbemcomn_DLL_Hijack_SYSMON.htm</t>
  </si>
  <si>
    <t xml:space="preserve">PH_Rule_SIGMA_1268</t>
  </si>
  <si>
    <t xml:space="preserve">Windows: Wmiprvse Wbemcomn DLL Hijack: Sysmon V2</t>
  </si>
  <si>
    <t xml:space="preserve">https://filestore.fortinet.com/docs.fortinet.com/fsiem/Public_Resource_Access/7_6_0/rules/PH_RULE_Wmiprvse_Wbemcomn_DLL_Hijack_SYSMON_V2.htm</t>
  </si>
  <si>
    <t xml:space="preserve">PH_Rule_SIGMA_1737</t>
  </si>
  <si>
    <t xml:space="preserve">Windows: Write Protect For Storage Disabled</t>
  </si>
  <si>
    <t xml:space="preserve">https://filestore.fortinet.com/docs.fortinet.com/fsiem/Public_Resource_Access/7_6_0/rules/PH_RULE_Write_Protect_For_Storage_Disabled.htm</t>
  </si>
  <si>
    <t xml:space="preserve">PH_Rule_SIGMA_877</t>
  </si>
  <si>
    <t xml:space="preserve">Windows: Writing Local Admin Share</t>
  </si>
  <si>
    <t xml:space="preserve">https://filestore.fortinet.com/docs.fortinet.com/fsiem/Public_Resource_Access/7_6_0/rules/PH_RULE_Writing_Local_Admin_Share.htm</t>
  </si>
  <si>
    <t xml:space="preserve">PH_Rule_SIGMA_1337</t>
  </si>
  <si>
    <t xml:space="preserve">Windows: Writing Of Malicious Files To The Fonts Folder</t>
  </si>
  <si>
    <t xml:space="preserve">https://filestore.fortinet.com/docs.fortinet.com/fsiem/Public_Resource_Access/7_6_0/rules/PH_RULE_Writing_Of_Malicious_Files_To_The_Fonts_Folder.htm</t>
  </si>
  <si>
    <t xml:space="preserve">PH_Rule_SIGMA_871</t>
  </si>
  <si>
    <t xml:space="preserve">Windows: WScript or CScript Dropper - File</t>
  </si>
  <si>
    <t xml:space="preserve">https://filestore.fortinet.com/docs.fortinet.com/fsiem/Public_Resource_Access/7_6_0/rules/PH_RULE_WScript_or_CScript_Dropper_SYSMON_V1.htm</t>
  </si>
  <si>
    <t xml:space="preserve">PH_Rule_SIGMA_2532</t>
  </si>
  <si>
    <t xml:space="preserve">Windows: Wscript Shell Run In CommandLine</t>
  </si>
  <si>
    <t xml:space="preserve">https://filestore.fortinet.com/docs.fortinet.com/fsiem/Public_Resource_Access/7_6_0/rules/PH_RULE_Wscript_Shell_Run_In_CommandLine.htm</t>
  </si>
  <si>
    <t xml:space="preserve">PH_Rule_SIGMA_2622</t>
  </si>
  <si>
    <t xml:space="preserve">Windows: WSL Child Process Anomaly</t>
  </si>
  <si>
    <t xml:space="preserve">https://filestore.fortinet.com/docs.fortinet.com/fsiem/Public_Resource_Access/7_6_0/rules/PH_RULE_WSL_Child_Process_Anomaly.htm</t>
  </si>
  <si>
    <t xml:space="preserve">PH_Rule_windows_SIGMA_3604</t>
  </si>
  <si>
    <t xml:space="preserve">Windows: WSL Kali-Linux Usage</t>
  </si>
  <si>
    <t xml:space="preserve">https://filestore.fortinet.com/docs.fortinet.com/fsiem/Public_Resource_Access/7_6_0/rules/PH_RULE_WSL_Kali_Linux_Usage.htm</t>
  </si>
  <si>
    <t xml:space="preserve">PH_Rule_SIGMA_1781</t>
  </si>
  <si>
    <t xml:space="preserve">Windows: Wuauclt Network Connection</t>
  </si>
  <si>
    <t xml:space="preserve">https://filestore.fortinet.com/docs.fortinet.com/fsiem/Public_Resource_Access/7_6_0/rules/PH_RULE_Wuauclt_Network_Connection.htm</t>
  </si>
  <si>
    <t xml:space="preserve">PH_Rule_windows_SIGMA_3605</t>
  </si>
  <si>
    <t xml:space="preserve">Windows: Wusa.EXE Executed By Parent Process Located In Suspicious Location</t>
  </si>
  <si>
    <t xml:space="preserve">https://filestore.fortinet.com/docs.fortinet.com/fsiem/Public_Resource_Access/7_6_0/rules/PH_RULE_Wusa_EXE_Executed_By_Parent_Process_Located_In_Suspicious_Location.htm</t>
  </si>
  <si>
    <t xml:space="preserve">PH_Rule_SIGMA_2373</t>
  </si>
  <si>
    <t xml:space="preserve">Windows: XBAP Execution From Uncommon Locations Via PresentationHost.EXE</t>
  </si>
  <si>
    <t xml:space="preserve">https://filestore.fortinet.com/docs.fortinet.com/fsiem/Public_Resource_Access/7_6_0/rules/PH_RULE_Application_Whitelisting_Bypass_via_PresentationHost_exe.htm</t>
  </si>
  <si>
    <t xml:space="preserve">PH_Rule_SIGMA_635</t>
  </si>
  <si>
    <t xml:space="preserve">Windows: XSL Script Execution Via WMIC.EXE</t>
  </si>
  <si>
    <t xml:space="preserve">https://filestore.fortinet.com/docs.fortinet.com/fsiem/Public_Resource_Access/7_6_0/rules/PH_RULE_XSL_Script_Processing.htm</t>
  </si>
  <si>
    <t xml:space="preserve">PH_Rule_windows_SIGMA_3606</t>
  </si>
  <si>
    <t xml:space="preserve">Windows: Xwizard.EXE Execution From Non-Default Location</t>
  </si>
  <si>
    <t xml:space="preserve">https://filestore.fortinet.com/docs.fortinet.com/fsiem/Public_Resource_Access/7_6_0/rules/PH_RULE_Xwizard_EXE_Execution_From_Non_Default_Location.htm</t>
  </si>
  <si>
    <t xml:space="preserve">PH_Rule_windows_SIGMA_3087</t>
  </si>
  <si>
    <t xml:space="preserve">Windows: Zip A Folder With PowerShell For Staging In Temp - PowerShell</t>
  </si>
  <si>
    <t xml:space="preserve">https://filestore.fortinet.com/docs.fortinet.com/fsiem/Public_Resource_Access/7_6_0/rules/PH_RULE_Zip_A_Folder_With_PowerShell_For_Staging_In_Temp_PowerShell.htm</t>
  </si>
  <si>
    <t xml:space="preserve">PH_Rule_windows_SIGMA_3121</t>
  </si>
  <si>
    <t xml:space="preserve">Windows: Zip A Folder With PowerShell For Staging In Temp - PowerShell Module</t>
  </si>
  <si>
    <t xml:space="preserve">https://filestore.fortinet.com/docs.fortinet.com/fsiem/Public_Resource_Access/7_6_0/rules/PH_RULE_Zip_A_Folder_With_PowerShell_For_Staging_In_Temp_PowerShell_Module.htm</t>
  </si>
  <si>
    <t xml:space="preserve">PH_Rule_windows_SIGMA_3262</t>
  </si>
  <si>
    <t xml:space="preserve">Windows: Zip A Folder With PowerShell For Staging In Temp - PowerShell Script</t>
  </si>
  <si>
    <t xml:space="preserve">https://filestore.fortinet.com/docs.fortinet.com/fsiem/Public_Resource_Access/7_6_0/rules/PH_RULE_Zip_A_Folder_With_PowerShell_For_Staging_In_Temp_PowerShell_Script.htm</t>
  </si>
  <si>
    <t xml:space="preserve">PH_Rule_PolicyViolation_16</t>
  </si>
  <si>
    <t xml:space="preserve">Wireless Host Blacklisted</t>
  </si>
  <si>
    <t xml:space="preserve">https://filestore.fortinet.com/docs.fortinet.com/fsiem/Public_Resource_Access/7_6_0/rules/PH_RULE_WLAN_HOST_BLACKLISTED.htm</t>
  </si>
  <si>
    <t xml:space="preserve">PH_Rule_ADV_16</t>
  </si>
  <si>
    <t xml:space="preserve">WLAN Scan</t>
  </si>
  <si>
    <t xml:space="preserve">https://filestore.fortinet.com/docs.fortinet.com/fsiem/Public_Resource_Access/7_6_0/rules/PH_RULE_SCAN_WLAN.htm</t>
  </si>
  <si>
    <t xml:space="preserve">PH_Rule_Avail_37</t>
  </si>
  <si>
    <t xml:space="preserve">WMI or OMI Service Unavailable</t>
  </si>
  <si>
    <t xml:space="preserve">https://filestore.fortinet.com/docs.fortinet.com/fsiem/Public_Resource_Access/7_6_0/rules/PH_RULE_WMI_DOWN.htm</t>
  </si>
  <si>
    <t xml:space="preserve">PH_RULE_ZSCALER_ZIA_CRIT_FW_TRAFFIC</t>
  </si>
  <si>
    <t xml:space="preserve">Zscaler ZIA: Critical Risk Firewall Traffic Allowed</t>
  </si>
  <si>
    <t xml:space="preserve">Zscaler ZIA via NSS Cloud Webhook Integration; Zscaler ZIA via NSS Syslog Integration</t>
  </si>
  <si>
    <t xml:space="preserve">https://filestore.fortinet.com/docs.fortinet.com/fsiem/Public_Resource_Access/7_6_0/rules/PH_RULE_ZSCALER_ZIA_CRIT_FW_TRAFFIC.htm</t>
  </si>
  <si>
    <t xml:space="preserve">PH_RULE_ZSCALER_ZIA_CRIT_WEB_TRAFFIC</t>
  </si>
  <si>
    <t xml:space="preserve">Zscaler ZIA: Critical Risk Web Traffic Allowed</t>
  </si>
  <si>
    <t xml:space="preserve">https://filestore.fortinet.com/docs.fortinet.com/fsiem/Public_Resource_Access/7_6_0/rules/PH_RULE_ZSCALER_ZIA_CRIT_WEB_TRAFFIC.htm</t>
  </si>
  <si>
    <t xml:space="preserve">PH_RULE_ZSCALER_ZIA_HIGH_FW_TRAFFIC</t>
  </si>
  <si>
    <t xml:space="preserve">Zscaler ZIA: High Risk Firewall Traffic Allowed</t>
  </si>
  <si>
    <t xml:space="preserve">https://filestore.fortinet.com/docs.fortinet.com/fsiem/Public_Resource_Access/7_6_0/rules/PH_RULE_ZSCALER_ZIA_HIGH_FW_TRAFFIC.htm</t>
  </si>
  <si>
    <t xml:space="preserve">PH_RULE_ZSCALER_ZIA_HIGH_WEB_TRAFFIC</t>
  </si>
  <si>
    <t xml:space="preserve">Zscaler ZIA: High Risk Web Traffic Allowed</t>
  </si>
  <si>
    <t xml:space="preserve">https://filestore.fortinet.com/docs.fortinet.com/fsiem/Public_Resource_Access/7_6_0/rules/PH_RULE_ZSCALER_ZIA_HIGH_WEB_TRAFFIC.htm</t>
  </si>
  <si>
    <t xml:space="preserve">PH_RULE_ZSCALER_ZIA_HIGH_EDLP_DETECT</t>
  </si>
  <si>
    <t xml:space="preserve">Zscaler ZIA: High Severity EDLP Detection Allowed</t>
  </si>
  <si>
    <t xml:space="preserve">https://filestore.fortinet.com/docs.fortinet.com/fsiem/Public_Resource_Access/7_6_0/rules/PH_RULE_ZSCALER_ZIA_HIGH_EDLP_DETECT.htm</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</si>
</sst>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b val="true"/>
      <sz val="11"/>
      <color rgb="FFFFFFFF"/>
      <name val="Arial"/>
      <family val="0"/>
      <charset val="1"/>
    </font>
    <font>
      <u val="single"/>
      <sz val="10"/>
      <color rgb="FF0563C1"/>
      <name val="Arial"/>
      <family val="0"/>
      <charset val="1"/>
    </font>
    <font>
      <b val="true"/>
      <sz val="11"/>
      <name val="Arial"/>
      <family val="0"/>
      <charset val="1"/>
    </font>
    <font>
      <i val="true"/>
      <sz val="9"/>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EDEDED"/>
        <bgColor rgb="FFE2EFDA"/>
      </patternFill>
    </fill>
    <fill>
      <patternFill patternType="solid">
        <fgColor rgb="FFE2EFDA"/>
        <bgColor rgb="FFEDEDED"/>
      </patternFill>
    </fill>
    <fill>
      <patternFill patternType="solid">
        <fgColor rgb="FFF8CBAD"/>
        <bgColor rgb="FFFCE4D6"/>
      </patternFill>
    </fill>
    <fill>
      <patternFill patternType="solid">
        <fgColor rgb="FFFCE4D6"/>
        <bgColor rgb="FFEDEDED"/>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5" fontId="6" fillId="0"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5" fillId="4" borderId="0" xfId="0" applyFont="true" applyBorder="false" applyAlignment="true" applyProtection="false">
      <alignment horizontal="general" vertical="top" textRotation="0" wrapText="false" indent="0" shrinkToFit="false"/>
      <protection locked="true" hidden="false"/>
    </xf>
    <xf numFmtId="164" fontId="5" fillId="5" borderId="0" xfId="0" applyFont="true" applyBorder="false" applyAlignment="true" applyProtection="false">
      <alignment horizontal="general" vertical="top" textRotation="0" wrapText="false" indent="0" shrinkToFit="false"/>
      <protection locked="true" hidden="false"/>
    </xf>
    <xf numFmtId="164" fontId="5" fillId="6"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F8CBAD"/>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DEDED"/>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Allrules3857Tbl" displayName="Allrules3857Tbl" ref="A1:K3858" headerRowCount="1" totalsRowCount="0" totalsRowShown="0">
  <autoFilter ref="A1:K3858"/>
  <tableColumns count="11">
    <tableColumn id="1" name="Rule ID"/>
    <tableColumn id="2" name="Rule name"/>
    <tableColumn id="3" name="ITDR status"/>
    <tableColumn id="4" name="Default status"/>
    <tableColumn id="5" name="Severity"/>
    <tableColumn id="6" name="MITRE tactics"/>
    <tableColumn id="7" name="FortiSIEM data source(s)"/>
    <tableColumn id="8" name="In scope?"/>
    <tableColumn id="9" name="Scope class"/>
    <tableColumn id="10" name="Scope tags"/>
    <tableColumn id="11" name="Rule page"/>
  </tableColumns>
</table>
</file>

<file path=xl/tables/table2.xml><?xml version="1.0" encoding="utf-8"?>
<table xmlns="http://schemas.openxmlformats.org/spreadsheetml/2006/main" id="2" name="CatalogueTbl" displayName="CatalogueTbl" ref="A1:AA1000" headerRowCount="1" totalsRowCount="0" totalsRowShown="0">
  <autoFilter ref="A1:AA1000"/>
  <tableColumns count="27">
    <tableColumn id="1" name="Rule ID"/>
    <tableColumn id="2" name="Rule name"/>
    <tableColumn id="3" name="ITDR status"/>
    <tableColumn id="4" name="Scope class"/>
    <tableColumn id="5" name="Scope tags"/>
    <tableColumn id="6" name="Default status"/>
    <tableColumn id="7" name="Severity"/>
    <tableColumn id="8" name="Severity label"/>
    <tableColumn id="9" name="Category"/>
    <tableColumn id="10" name="Detection technology"/>
    <tableColumn id="11" name="Rule mode"/>
    <tableColumn id="12" name="MITRE tactics"/>
    <tableColumn id="13" name="MITRE techniques"/>
    <tableColumn id="14" name="FortiSIEM data source(s)"/>
    <tableColumn id="15" name="Event types (all subpatterns)"/>
    <tableColumn id="16" name="Excluded event types"/>
    <tableColumn id="17" name="# subpatterns"/>
    <tableColumn id="18" name="Subpattern logic"/>
    <tableColumn id="19" name="Filters (non-eventType conditions)"/>
    <tableColumn id="20" name="Group-by attributes"/>
    <tableColumn id="21" name="Aggregate constraint(s)"/>
    <tableColumn id="22" name="Time window (s)"/>
    <tableColumn id="23" name="Global constraint"/>
    <tableColumn id="24" name="Log channel : event key (derived)"/>
    <tableColumn id="25" name="Sizing row(s) that carry it (derived)"/>
    <tableColumn id="26" name="Description"/>
    <tableColumn id="27" name="Rule page"/>
  </tableColumns>
</table>
</file>

<file path=xl/tables/table3.xml><?xml version="1.0" encoding="utf-8"?>
<table xmlns="http://schemas.openxmlformats.org/spreadsheetml/2006/main" id="3" name="Coverage57ITDRTbl" displayName="Coverage57ITDRTbl" ref="A1:M58" headerRowCount="1" totalsRowCount="0" totalsRowShown="0">
  <autoFilter ref="A1:M58"/>
  <tableColumns count="13">
    <tableColumn id="1" name="Rule"/>
    <tableColumn id="2" name="Rule ID"/>
    <tableColumn id="3" name="Severity"/>
    <tableColumn id="4" name="Default status"/>
    <tableColumn id="5" name="Dashboard tier"/>
    <tableColumn id="6" name="Dashboard row it assumed"/>
    <tableColumn id="7" name="Event types the rule actually reads (OR within a line)"/>
    <tableColumn id="8" name="Sizing row(s) that actually carry it"/>
    <tableColumn id="9" name="Event keys not in any sizing row"/>
    <tableColumn id="10" name="Coverage verdict"/>
    <tableColumn id="11" name="Dashboard attributed it to the wrong row?"/>
    <tableColumn id="12" name="Collect on"/>
    <tableColumn id="13" name="Notes"/>
  </tableColumns>
</table>
</file>

<file path=xl/tables/table4.xml><?xml version="1.0" encoding="utf-8"?>
<table xmlns="http://schemas.openxmlformats.org/spreadsheetml/2006/main" id="4" name="GapsTbl" displayName="GapsTbl" ref="A1:F16" headerRowCount="1" totalsRowCount="0" totalsRowShown="0">
  <autoFilter ref="A1:F16"/>
  <tableColumns count="6">
    <tableColumn id="1" name="Event source"/>
    <tableColumn id="2" name="Channel / integration"/>
    <tableColumn id="3" name="Type"/>
    <tableColumn id="4" name="Rules that need it"/>
    <tableColumn id="5" name="Collect on"/>
    <tableColumn id="6" name="Note"/>
  </tableColumns>
</table>
</file>

<file path=xl/tables/table5.xml><?xml version="1.0" encoding="utf-8"?>
<table xmlns="http://schemas.openxmlformats.org/spreadsheetml/2006/main" id="5" name="RuleDSmapTbl" displayName="RuleDSmapTbl" ref="A1:F1613" headerRowCount="1" totalsRowCount="0" totalsRowShown="0">
  <autoFilter ref="A1:F1613"/>
  <tableColumns count="6">
    <tableColumn id="1" name="Rule ID"/>
    <tableColumn id="2" name="Rule name"/>
    <tableColumn id="3" name="ITDR status"/>
    <tableColumn id="4" name="Scope class"/>
    <tableColumn id="5" name="Default status"/>
    <tableColumn id="6" name="FortiSIEM data source"/>
  </tableColumns>
</table>
</file>

<file path=xl/tables/table6.xml><?xml version="1.0" encoding="utf-8"?>
<table xmlns="http://schemas.openxmlformats.org/spreadsheetml/2006/main" id="6" name="RuleEventmapTbl" displayName="RuleEventmapTbl" ref="A1:I1477" headerRowCount="1" totalsRowCount="0" totalsRowShown="0">
  <autoFilter ref="A1:I1477"/>
  <tableColumns count="9">
    <tableColumn id="1" name="Rule ID"/>
    <tableColumn id="2" name="Rule name"/>
    <tableColumn id="3" name="ITDR status"/>
    <tableColumn id="4" name="Scope class"/>
    <tableColumn id="5" name="Default status"/>
    <tableColumn id="6" name="Log channel"/>
    <tableColumn id="7" name="Event key"/>
    <tableColumn id="8" name="Sizing row"/>
    <tableColumn id="9" name="Raw eventType value"/>
  </tableColumns>
</table>
</file>

<file path=xl/tables/table7.xml><?xml version="1.0" encoding="utf-8"?>
<table xmlns="http://schemas.openxmlformats.org/spreadsheetml/2006/main" id="7" name="RuleRowmapTbl" displayName="RuleRowmapTbl" ref="A1:E405" headerRowCount="1" totalsRowCount="0" totalsRowShown="0">
  <autoFilter ref="A1:E405"/>
  <tableColumns count="5">
    <tableColumn id="1" name="Rule ID"/>
    <tableColumn id="2" name="Rule name"/>
    <tableColumn id="3" name="ITDR status"/>
    <tableColumn id="4" name="Default status"/>
    <tableColumn id="5" name="Sizing row"/>
  </tableColumns>
</table>
</file>

<file path=xl/tables/table8.xml><?xml version="1.0" encoding="utf-8"?>
<table xmlns="http://schemas.openxmlformats.org/spreadsheetml/2006/main" id="8" name="SubpatternsTbl" displayName="SubpatternsTbl" ref="A1:L1023" headerRowCount="1" totalsRowCount="0" totalsRowShown="0">
  <autoFilter ref="A1:L1023"/>
  <tableColumns count="12">
    <tableColumn id="1" name="Rule ID"/>
    <tableColumn id="2" name="Rule name"/>
    <tableColumn id="3" name="ITDR status"/>
    <tableColumn id="4" name="Subpattern"/>
    <tableColumn id="5" name="Event types"/>
    <tableColumn id="6" name="Excluded event types"/>
    <tableColumn id="7" name="Filters (non-eventType)"/>
    <tableColumn id="8" name="Group-by"/>
    <tableColumn id="9" name="Aggregate"/>
    <tableColumn id="10" name="Full subpattern query"/>
    <tableColumn id="11" name="Trigger expression"/>
    <tableColumn id="12" name="Time window (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filestore.fortinet.com/docs.fortinet.com/fsiem/Public_Resource_Access/7_6_0/rules/PH_RULE_Azure_Entra_ID_Conditional_Access_Disabled.htm" TargetMode="External"/><Relationship Id="rId2" Type="http://schemas.openxmlformats.org/officeDocument/2006/relationships/hyperlink" Target="https://filestore.fortinet.com/docs.fortinet.com/fsiem/Public_Resource_Access/7_6_0/rules/PH_RULE_Azure_Entra_ID_Domain_Authentication_Changed.htm" TargetMode="External"/><Relationship Id="rId3" Type="http://schemas.openxmlformats.org/officeDocument/2006/relationships/hyperlink" Target="https://filestore.fortinet.com/docs.fortinet.com/fsiem/Public_Resource_Access/7_6_0/rules/PH_RULE_Azure_Entra_ID_External_User_Added_To_Privileged_Group.htm" TargetMode="External"/><Relationship Id="rId4" Type="http://schemas.openxmlformats.org/officeDocument/2006/relationships/hyperlink" Target="https://filestore.fortinet.com/docs.fortinet.com/fsiem/Public_Resource_Access/7_6_0/rules/PH_RULE_Azure_Entra_ID_MFA_Bypass.htm" TargetMode="External"/><Relationship Id="rId5" Type="http://schemas.openxmlformats.org/officeDocument/2006/relationships/hyperlink" Target="https://filestore.fortinet.com/docs.fortinet.com/fsiem/Public_Resource_Access/7_6_0/rules/PH_RULE_Azure_Entra_ID_New_Federation_Domain_Added.htm" TargetMode="External"/><Relationship Id="rId6" Type="http://schemas.openxmlformats.org/officeDocument/2006/relationships/hyperlink" Target="https://filestore.fortinet.com/docs.fortinet.com/fsiem/Public_Resource_Access/7_6_0/rules/PH_RULE_Azure_Entra_ID_OAuth_Secret_Added.htm" TargetMode="External"/><Relationship Id="rId7" Type="http://schemas.openxmlformats.org/officeDocument/2006/relationships/hyperlink" Target="https://filestore.fortinet.com/docs.fortinet.com/fsiem/Public_Resource_Access/7_6_0/rules/PH_RULE_Azure_Entra_ID_User_Added_To_Application_Admin.htm" TargetMode="External"/><Relationship Id="rId8" Type="http://schemas.openxmlformats.org/officeDocument/2006/relationships/hyperlink" Target="https://filestore.fortinet.com/docs.fortinet.com/fsiem/Public_Resource_Access/7_6_0/rules/PH_RULE_Azure_Entra_ID_User_Added_To_Exchange_Admin.htm" TargetMode="External"/><Relationship Id="rId9" Type="http://schemas.openxmlformats.org/officeDocument/2006/relationships/hyperlink" Target="https://filestore.fortinet.com/docs.fortinet.com/fsiem/Public_Resource_Access/7_6_0/rules/PH_RULE_Azure_Entra_ID_User_Added_To_Global_Admin.htm" TargetMode="External"/><Relationship Id="rId10" Type="http://schemas.openxmlformats.org/officeDocument/2006/relationships/hyperlink" Target="https://filestore.fortinet.com/docs.fortinet.com/fsiem/Public_Resource_Access/7_6_0/rules/PH_RULE_Azure_Entra_ID_User_Added_To_Privileged_Role_Admin.htm" TargetMode="External"/><Relationship Id="rId11" Type="http://schemas.openxmlformats.org/officeDocument/2006/relationships/hyperlink" Target="https://filestore.fortinet.com/docs.fortinet.com/fsiem/Public_Resource_Access/7_6_0/rules/PH_RULE_Azure_Entra_ID_User_Added_To_Security_Admin.htm" TargetMode="External"/><Relationship Id="rId12" Type="http://schemas.openxmlformats.org/officeDocument/2006/relationships/hyperlink" Target="https://filestore.fortinet.com/docs.fortinet.com/fsiem/Public_Resource_Access/7_6_0/rules/PH_RULE_Linux_etc_shadow_access.htm" TargetMode="External"/><Relationship Id="rId13" Type="http://schemas.openxmlformats.org/officeDocument/2006/relationships/hyperlink" Target="https://filestore.fortinet.com/docs.fortinet.com/fsiem/Public_Resource_Access/7_6_0/rules/PH_RULE_Linux_Root_Equivalent_Account_Command.htm" TargetMode="External"/><Relationship Id="rId14" Type="http://schemas.openxmlformats.org/officeDocument/2006/relationships/hyperlink" Target="https://filestore.fortinet.com/docs.fortinet.com/fsiem/Public_Resource_Access/7_6_0/rules/PH_RULE_Linux_PAM_Configuration_Modified.htm" TargetMode="External"/><Relationship Id="rId15" Type="http://schemas.openxmlformats.org/officeDocument/2006/relationships/hyperlink" Target="https://filestore.fortinet.com/docs.fortinet.com/fsiem/Public_Resource_Access/7_6_0/rules/PH_RULE_Win_Account_Created_Added_To_Privileged_Group.htm" TargetMode="External"/><Relationship Id="rId16" Type="http://schemas.openxmlformats.org/officeDocument/2006/relationships/hyperlink" Target="https://filestore.fortinet.com/docs.fortinet.com/fsiem/Public_Resource_Access/7_6_0/rules/PH_RULE_Win_ADCS_ESC10_Certificate_Mapping_Config_Command.htm" TargetMode="External"/><Relationship Id="rId17" Type="http://schemas.openxmlformats.org/officeDocument/2006/relationships/hyperlink" Target="https://filestore.fortinet.com/docs.fortinet.com/fsiem/Public_Resource_Access/7_6_0/rules/PH_RULE_Win_ADCS_ESC13_OID_Group_Link_Modified.htm" TargetMode="External"/><Relationship Id="rId18" Type="http://schemas.openxmlformats.org/officeDocument/2006/relationships/hyperlink" Target="https://filestore.fortinet.com/docs.fortinet.com/fsiem/Public_Resource_Access/7_6_0/rules/PH_RULE_Win_ADCS_ESC14_Explicit_Certificate_Mapping_Modified.htm" TargetMode="External"/><Relationship Id="rId19" Type="http://schemas.openxmlformats.org/officeDocument/2006/relationships/hyperlink" Target="https://filestore.fortinet.com/docs.fortinet.com/fsiem/Public_Resource_Access/7_6_0/rules/PH_RULE_Win_ADCS_ESC16_SID_Extension_Disabled_Command.htm" TargetMode="External"/><Relationship Id="rId20" Type="http://schemas.openxmlformats.org/officeDocument/2006/relationships/hyperlink" Target="https://filestore.fortinet.com/docs.fortinet.com/fsiem/Public_Resource_Access/7_6_0/rules/PH_RULE_Win_ADCS_ESC2_Any_Purpose_EKU_Added.htm" TargetMode="External"/><Relationship Id="rId21" Type="http://schemas.openxmlformats.org/officeDocument/2006/relationships/hyperlink" Target="https://filestore.fortinet.com/docs.fortinet.com/fsiem/Public_Resource_Access/7_6_0/rules/PH_RULE_Win_ADCS_ESC3_Enrollment_Agent_EKU_Added.htm" TargetMode="External"/><Relationship Id="rId22" Type="http://schemas.openxmlformats.org/officeDocument/2006/relationships/hyperlink" Target="https://filestore.fortinet.com/docs.fortinet.com/fsiem/Public_Resource_Access/7_6_0/rules/PH_RULE_Win_ADCS_ESC5_PKI_Object_ACL_Modified.htm" TargetMode="External"/><Relationship Id="rId23" Type="http://schemas.openxmlformats.org/officeDocument/2006/relationships/hyperlink" Target="https://filestore.fortinet.com/docs.fortinet.com/fsiem/Public_Resource_Access/7_6_0/rules/PH_RULE_Win_ADCS_ESC7_CA_Security_Permissions_Changed.htm" TargetMode="External"/><Relationship Id="rId24" Type="http://schemas.openxmlformats.org/officeDocument/2006/relationships/hyperlink" Target="https://filestore.fortinet.com/docs.fortinet.com/fsiem/Public_Resource_Access/7_6_0/rules/PH_RULE_Win_ADCS_Web_Enrollment_Certificate_Request.htm" TargetMode="External"/><Relationship Id="rId25" Type="http://schemas.openxmlformats.org/officeDocument/2006/relationships/hyperlink" Target="https://filestore.fortinet.com/docs.fortinet.com/fsiem/Public_Resource_Access/7_6_0/rules/PH_RULE_Win_AdminSDHolder_Modified.htm" TargetMode="External"/><Relationship Id="rId26" Type="http://schemas.openxmlformats.org/officeDocument/2006/relationships/hyperlink" Target="https://filestore.fortinet.com/docs.fortinet.com/fsiem/Public_Resource_Access/7_6_0/rules/PH_RULE_Win_Auth_Package_Modified.htm" TargetMode="External"/><Relationship Id="rId27" Type="http://schemas.openxmlformats.org/officeDocument/2006/relationships/hyperlink" Target="https://filestore.fortinet.com/docs.fortinet.com/fsiem/Public_Resource_Access/7_6_0/rules/PH_RULE_Win_BloodHound_SharpHound_Execution.htm" TargetMode="External"/><Relationship Id="rId28" Type="http://schemas.openxmlformats.org/officeDocument/2006/relationships/hyperlink" Target="https://filestore.fortinet.com/docs.fortinet.com/fsiem/Public_Resource_Access/7_6_0/rules/PH_RULE_Win_CA_Configuration_Changed.htm" TargetMode="External"/><Relationship Id="rId29" Type="http://schemas.openxmlformats.org/officeDocument/2006/relationships/hyperlink" Target="https://filestore.fortinet.com/docs.fortinet.com/fsiem/Public_Resource_Access/7_6_0/rules/PH_RULE_Win_Certificate_Template_Modified.htm" TargetMode="External"/><Relationship Id="rId30" Type="http://schemas.openxmlformats.org/officeDocument/2006/relationships/hyperlink" Target="https://filestore.fortinet.com/docs.fortinet.com/fsiem/Public_Resource_Access/7_6_0/rules/PH_RULE_Win_Certipy_Credential_Abuse.htm" TargetMode="External"/><Relationship Id="rId31" Type="http://schemas.openxmlformats.org/officeDocument/2006/relationships/hyperlink" Target="https://filestore.fortinet.com/docs.fortinet.com/fsiem/Public_Resource_Access/7_6_0/rules/PH_RULE_Win_Comsvcs_MiniDump_LSASS.htm" TargetMode="External"/><Relationship Id="rId32" Type="http://schemas.openxmlformats.org/officeDocument/2006/relationships/hyperlink" Target="https://filestore.fortinet.com/docs.fortinet.com/fsiem/Public_Resource_Access/7_6_0/rules/PH_RULE_Win_Domain_Trust_Modified.htm" TargetMode="External"/><Relationship Id="rId33" Type="http://schemas.openxmlformats.org/officeDocument/2006/relationships/hyperlink" Target="https://filestore.fortinet.com/docs.fortinet.com/fsiem/Public_Resource_Access/7_6_0/rules/PH_RULE_Win_ESC1_Relevant_Template_Attribute_Modified.htm" TargetMode="External"/><Relationship Id="rId34" Type="http://schemas.openxmlformats.org/officeDocument/2006/relationships/hyperlink" Target="https://filestore.fortinet.com/docs.fortinet.com/fsiem/Public_Resource_Access/7_6_0/rules/PH_RULE_Win_ESC4_Certificate_Template_ACL_Modified.htm" TargetMode="External"/><Relationship Id="rId35" Type="http://schemas.openxmlformats.org/officeDocument/2006/relationships/hyperlink" Target="https://filestore.fortinet.com/docs.fortinet.com/fsiem/Public_Resource_Access/7_6_0/rules/PH_RULE_Win_ESC6_EDITF_ATTRIBUTESUBJECTALTNAME2_Enabled.htm" TargetMode="External"/><Relationship Id="rId36" Type="http://schemas.openxmlformats.org/officeDocument/2006/relationships/hyperlink" Target="https://filestore.fortinet.com/docs.fortinet.com/fsiem/Public_Resource_Access/7_6_0/rules/PH_RULE_Win_Kerberoasting_Multiple_SPNs.htm" TargetMode="External"/><Relationship Id="rId37" Type="http://schemas.openxmlformats.org/officeDocument/2006/relationships/hyperlink" Target="https://filestore.fortinet.com/docs.fortinet.com/fsiem/Public_Resource_Access/7_6_0/rules/PH_RULE_Win_KRBTGT_Password_Reset.htm" TargetMode="External"/><Relationship Id="rId38" Type="http://schemas.openxmlformats.org/officeDocument/2006/relationships/hyperlink" Target="https://filestore.fortinet.com/docs.fortinet.com/fsiem/Public_Resource_Access/7_6_0/rules/PH_RULE_Win_LaZagne_Credential_Dumping.htm" TargetMode="External"/><Relationship Id="rId39" Type="http://schemas.openxmlformats.org/officeDocument/2006/relationships/hyperlink" Target="https://filestore.fortinet.com/docs.fortinet.com/fsiem/Public_Resource_Access/7_6_0/rules/PH_RULE_Win_LSASS_Access_By_Suspicious_Process.htm" TargetMode="External"/><Relationship Id="rId40" Type="http://schemas.openxmlformats.org/officeDocument/2006/relationships/hyperlink" Target="https://filestore.fortinet.com/docs.fortinet.com/fsiem/Public_Resource_Access/7_6_0/rules/PH_RULE_Win_Mass_Group_Membership_Changes.htm" TargetMode="External"/><Relationship Id="rId41" Type="http://schemas.openxmlformats.org/officeDocument/2006/relationships/hyperlink" Target="https://filestore.fortinet.com/docs.fortinet.com/fsiem/Public_Resource_Access/7_6_0/rules/PH_RULE_Win_Mass_User_Creation_By_One_Actor.htm" TargetMode="External"/><Relationship Id="rId42" Type="http://schemas.openxmlformats.org/officeDocument/2006/relationships/hyperlink" Target="https://filestore.fortinet.com/docs.fortinet.com/fsiem/Public_Resource_Access/7_6_0/rules/PH_RULE_Win_Mass_User_Disable_By_One_Actor.htm" TargetMode="External"/><Relationship Id="rId43" Type="http://schemas.openxmlformats.org/officeDocument/2006/relationships/hyperlink" Target="https://filestore.fortinet.com/docs.fortinet.com/fsiem/Public_Resource_Access/7_6_0/rules/PH_RULE_Win_Mimikatz_Command.htm" TargetMode="External"/><Relationship Id="rId44" Type="http://schemas.openxmlformats.org/officeDocument/2006/relationships/hyperlink" Target="https://filestore.fortinet.com/docs.fortinet.com/fsiem/Public_Resource_Access/7_6_0/rules/PH_RULE_Win_Nanodump_LSASS_Dumping.htm" TargetMode="External"/><Relationship Id="rId45" Type="http://schemas.openxmlformats.org/officeDocument/2006/relationships/hyperlink" Target="https://filestore.fortinet.com/docs.fortinet.com/fsiem/Public_Resource_Access/7_6_0/rules/PH_RULE_Win_Procdump_LSASS_Dump.htm" TargetMode="External"/><Relationship Id="rId46" Type="http://schemas.openxmlformats.org/officeDocument/2006/relationships/hyperlink" Target="https://filestore.fortinet.com/docs.fortinet.com/fsiem/Public_Resource_Access/7_6_0/rules/PH_RULE_Win_PsExec_Service_Creation.htm" TargetMode="External"/><Relationship Id="rId47" Type="http://schemas.openxmlformats.org/officeDocument/2006/relationships/hyperlink" Target="https://filestore.fortinet.com/docs.fortinet.com/fsiem/Public_Resource_Access/7_6_0/rules/PH_RULE_Win_Pypykatz_Credential_Dumping.htm" TargetMode="External"/><Relationship Id="rId48" Type="http://schemas.openxmlformats.org/officeDocument/2006/relationships/hyperlink" Target="https://filestore.fortinet.com/docs.fortinet.com/fsiem/Public_Resource_Access/7_6_0/rules/PH_RULE_Win_RBCD_Attribute_Modified.htm" TargetMode="External"/><Relationship Id="rId49" Type="http://schemas.openxmlformats.org/officeDocument/2006/relationships/hyperlink" Target="https://filestore.fortinet.com/docs.fortinet.com/fsiem/Public_Resource_Access/7_6_0/rules/PH_RULE_Win_Rubeus_Kerberos_Abuse.htm" TargetMode="External"/><Relationship Id="rId50" Type="http://schemas.openxmlformats.org/officeDocument/2006/relationships/hyperlink" Target="https://filestore.fortinet.com/docs.fortinet.com/fsiem/Public_Resource_Access/7_6_0/rules/PH_RULE_Win_SafetyKatz_Credential_Dumping.htm" TargetMode="External"/><Relationship Id="rId51" Type="http://schemas.openxmlformats.org/officeDocument/2006/relationships/hyperlink" Target="https://filestore.fortinet.com/docs.fortinet.com/fsiem/Public_Resource_Access/7_6_0/rules/PH_RULE_Win_Schema_Modification.htm" TargetMode="External"/><Relationship Id="rId52" Type="http://schemas.openxmlformats.org/officeDocument/2006/relationships/hyperlink" Target="https://filestore.fortinet.com/docs.fortinet.com/fsiem/Public_Resource_Access/7_6_0/rules/PH_RULE_Win_Secretsdump_Execution.htm" TargetMode="External"/><Relationship Id="rId53" Type="http://schemas.openxmlformats.org/officeDocument/2006/relationships/hyperlink" Target="https://filestore.fortinet.com/docs.fortinet.com/fsiem/Public_Resource_Access/7_6_0/rules/PH_RULE_Win_Sensitive_Registry_Hive_Save.htm" TargetMode="External"/><Relationship Id="rId54" Type="http://schemas.openxmlformats.org/officeDocument/2006/relationships/hyperlink" Target="https://filestore.fortinet.com/docs.fortinet.com/fsiem/Public_Resource_Access/7_6_0/rules/PH_RULE_Win_Shadow_Credentials_KeyCredentialLink_Modified.htm" TargetMode="External"/><Relationship Id="rId55" Type="http://schemas.openxmlformats.org/officeDocument/2006/relationships/hyperlink" Target="https://filestore.fortinet.com/docs.fortinet.com/fsiem/Public_Resource_Access/7_6_0/rules/PH_RULE_Win_SSP_Registration.htm" TargetMode="External"/><Relationship Id="rId56" Type="http://schemas.openxmlformats.org/officeDocument/2006/relationships/hyperlink" Target="https://filestore.fortinet.com/docs.fortinet.com/fsiem/Public_Resource_Access/7_6_0/rules/PH_RULE_Win_Suspicious_LSASS_Process_Access.htm" TargetMode="External"/><Relationship Id="rId57" Type="http://schemas.openxmlformats.org/officeDocument/2006/relationships/hyperlink" Target="https://filestore.fortinet.com/docs.fortinet.com/fsiem/Public_Resource_Access/7_6_0/rules/PH_RULE_Win_Token_Impersonation_Tool.htm" TargetMode="External"/><Relationship Id="rId58" Type="http://schemas.openxmlformats.org/officeDocument/2006/relationships/hyperlink" Target="https://filestore.fortinet.com/docs.fortinet.com/fsiem/Public_Resource_Access/7_6_0/rules/PH_RULE_ACCOUNT_LOCKOUT_DOMAIN.htm" TargetMode="External"/><Relationship Id="rId59" Type="http://schemas.openxmlformats.org/officeDocument/2006/relationships/hyperlink" Target="https://filestore.fortinet.com/docs.fortinet.com/fsiem/Public_Resource_Access/7_6_0/rules/PH_RULE_ACCOUNT_LOCKOUT_SYSTEM.htm" TargetMode="External"/><Relationship Id="rId60" Type="http://schemas.openxmlformats.org/officeDocument/2006/relationships/hyperlink" Target="https://filestore.fortinet.com/docs.fortinet.com/fsiem/Public_Resource_Access/7_6_0/rules/PH_RULE_ACCOUNT_LOCKOUT_NET_DEV.htm" TargetMode="External"/><Relationship Id="rId61" Type="http://schemas.openxmlformats.org/officeDocument/2006/relationships/hyperlink" Target="https://filestore.fortinet.com/docs.fortinet.com/fsiem/Public_Resource_Access/7_6_0/rules/PH_RULE_ACCOUNT_LOCKOUT_SERVER.htm" TargetMode="External"/><Relationship Id="rId62" Type="http://schemas.openxmlformats.org/officeDocument/2006/relationships/hyperlink" Target="https://filestore.fortinet.com/docs.fortinet.com/fsiem/Public_Resource_Access/7_6_0/rules/PH_RULE_AWS_IAM_Brute_Force_of_Assume_Role_Policy.htm" TargetMode="External"/><Relationship Id="rId63" Type="http://schemas.openxmlformats.org/officeDocument/2006/relationships/hyperlink" Target="https://filestore.fortinet.com/docs.fortinet.com/fsiem/Public_Resource_Access/7_6_0/rules/PH_RULE_AWS_IAM_Deactivation_of_MFA_Device.htm" TargetMode="External"/><Relationship Id="rId64" Type="http://schemas.openxmlformats.org/officeDocument/2006/relationships/hyperlink" Target="https://filestore.fortinet.com/docs.fortinet.com/fsiem/Public_Resource_Access/7_6_0/rules/PH_RULE_AWS_IAM_Password_Recovery_Requested.htm" TargetMode="External"/><Relationship Id="rId65" Type="http://schemas.openxmlformats.org/officeDocument/2006/relationships/hyperlink" Target="https://filestore.fortinet.com/docs.fortinet.com/fsiem/Public_Resource_Access/7_6_0/rules/PH_RULE_AWS_Management_Console_Brute_Force_of_Root_User_Identity.htm" TargetMode="External"/><Relationship Id="rId66" Type="http://schemas.openxmlformats.org/officeDocument/2006/relationships/hyperlink" Target="https://filestore.fortinet.com/docs.fortinet.com/fsiem/Public_Resource_Access/7_6_0/rules/PH_RULE_AWS_Root_Login_Without_MFA.htm" TargetMode="External"/><Relationship Id="rId67" Type="http://schemas.openxmlformats.org/officeDocument/2006/relationships/hyperlink" Target="https://filestore.fortinet.com/docs.fortinet.com/fsiem/Public_Resource_Access/7_6_0/rules/PH_RULE_AWS_SECHUB_TTP_CREDENTIAL_ACCESS.htm" TargetMode="External"/><Relationship Id="rId68" Type="http://schemas.openxmlformats.org/officeDocument/2006/relationships/hyperlink" Target="https://filestore.fortinet.com/docs.fortinet.com/fsiem/Public_Resource_Access/7_6_0/rules/PH_RULE_AWS_SECHUB_TTP_PRIV_ESCALATION.htm" TargetMode="External"/><Relationship Id="rId69" Type="http://schemas.openxmlformats.org/officeDocument/2006/relationships/hyperlink" Target="https://filestore.fortinet.com/docs.fortinet.com/fsiem/Public_Resource_Access/7_6_0/rules/PH_RULE_AWS_Access_Secret_in_Secrets_Manager.htm" TargetMode="External"/><Relationship Id="rId70" Type="http://schemas.openxmlformats.org/officeDocument/2006/relationships/hyperlink" Target="https://filestore.fortinet.com/docs.fortinet.com/fsiem/Public_Resource_Access/7_6_0/rules/PH_RULE_Azure_Global_Administrator_Role_Addition_to_PIM_User.htm" TargetMode="External"/><Relationship Id="rId71" Type="http://schemas.openxmlformats.org/officeDocument/2006/relationships/hyperlink" Target="https://filestore.fortinet.com/docs.fortinet.com/fsiem/Public_Resource_Access/7_6_0/rules/PH_RULE_BRUTEFORCE_APP_LOGON_SUCCESS.htm" TargetMode="External"/><Relationship Id="rId72" Type="http://schemas.openxmlformats.org/officeDocument/2006/relationships/hyperlink" Target="https://filestore.fortinet.com/docs.fortinet.com/fsiem/Public_Resource_Access/7_6_0/rules/PH_RULE_BRUTEFORCE_LOGON_SUCCESS.htm" TargetMode="External"/><Relationship Id="rId73" Type="http://schemas.openxmlformats.org/officeDocument/2006/relationships/hyperlink" Target="https://filestore.fortinet.com/docs.fortinet.com/fsiem/Public_Resource_Access/7_6_0/rules/PH_RULE_CONCURRENT_FAILED_AUTH_MULTI_COUNTRY.htm" TargetMode="External"/><Relationship Id="rId74" Type="http://schemas.openxmlformats.org/officeDocument/2006/relationships/hyperlink" Target="https://filestore.fortinet.com/docs.fortinet.com/fsiem/Public_Resource_Access/7_6_0/rules/PH_RULE_CONCURRENT_SUCCESS_AUTH_MULTI_COUNTRY.htm" TargetMode="External"/><Relationship Id="rId75" Type="http://schemas.openxmlformats.org/officeDocument/2006/relationships/hyperlink" Target="https://filestore.fortinet.com/docs.fortinet.com/fsiem/Public_Resource_Access/7_6_0/rules/PH_RULE_CONCURRENT_VPN_AUTH_MULTI_COUNTRY.htm" TargetMode="External"/><Relationship Id="rId76" Type="http://schemas.openxmlformats.org/officeDocument/2006/relationships/hyperlink" Target="https://filestore.fortinet.com/docs.fortinet.com/fsiem/Public_Resource_Access/7_6_0/rules/PH_RULE_CS_AUTH_BYPASS.htm" TargetMode="External"/><Relationship Id="rId77" Type="http://schemas.openxmlformats.org/officeDocument/2006/relationships/hyperlink" Target="https://filestore.fortinet.com/docs.fortinet.com/fsiem/Public_Resource_Access/7_6_0/rules/PH_RULE_CS_CRED_THEFT.htm" TargetMode="External"/><Relationship Id="rId78" Type="http://schemas.openxmlformats.org/officeDocument/2006/relationships/hyperlink" Target="https://filestore.fortinet.com/docs.fortinet.com/fsiem/Public_Resource_Access/7_6_0/rules/PH_RULE_CS_PRIV_ESCALATION.htm" TargetMode="External"/><Relationship Id="rId79" Type="http://schemas.openxmlformats.org/officeDocument/2006/relationships/hyperlink" Target="https://filestore.fortinet.com/docs.fortinet.com/fsiem/Public_Resource_Access/7_6_0/rules/PH_RULE_CYBERARK_BLOCKED_OPERATION.htm" TargetMode="External"/><Relationship Id="rId80" Type="http://schemas.openxmlformats.org/officeDocument/2006/relationships/hyperlink" Target="https://filestore.fortinet.com/docs.fortinet.com/fsiem/Public_Resource_Access/7_6_0/rules/PH_RULE_CYBERARK_EXCESS_PSM_CONN_FAILURE.htm" TargetMode="External"/><Relationship Id="rId81" Type="http://schemas.openxmlformats.org/officeDocument/2006/relationships/hyperlink" Target="https://filestore.fortinet.com/docs.fortinet.com/fsiem/Public_Resource_Access/7_6_0/rules/PH_RULE_CYBERARK_EXCESS_PSM_IMPERSONATIONS.htm" TargetMode="External"/><Relationship Id="rId82" Type="http://schemas.openxmlformats.org/officeDocument/2006/relationships/hyperlink" Target="https://filestore.fortinet.com/docs.fortinet.com/fsiem/Public_Resource_Access/7_6_0/rules/PH_RULE_CYBERARK_EXCESS_PWD_RELEASE_FAILURE.htm" TargetMode="External"/><Relationship Id="rId83" Type="http://schemas.openxmlformats.org/officeDocument/2006/relationships/hyperlink" Target="https://filestore.fortinet.com/docs.fortinet.com/fsiem/Public_Resource_Access/7_6_0/rules/PH_RULE_CYBERARK_EXCESS_PSM_LOGGING_FAILURE.htm" TargetMode="External"/><Relationship Id="rId84" Type="http://schemas.openxmlformats.org/officeDocument/2006/relationships/hyperlink" Target="https://filestore.fortinet.com/docs.fortinet.com/fsiem/Public_Resource_Access/7_6_0/rules/PH_RULE_CYBERARK_EXCESS_PSM_MONITOR_FAILURE.htm" TargetMode="External"/><Relationship Id="rId85" Type="http://schemas.openxmlformats.org/officeDocument/2006/relationships/hyperlink" Target="https://filestore.fortinet.com/docs.fortinet.com/fsiem/Public_Resource_Access/7_6_0/rules/PH_RULE_CYBERARK_FILE_OPERATION_FAILURE.htm" TargetMode="External"/><Relationship Id="rId86" Type="http://schemas.openxmlformats.org/officeDocument/2006/relationships/hyperlink" Target="https://filestore.fortinet.com/docs.fortinet.com/fsiem/Public_Resource_Access/7_6_0/rules/PH_RULE_CYBERARK_OBJECT_VALIDATION_FAILURE.htm" TargetMode="External"/><Relationship Id="rId87" Type="http://schemas.openxmlformats.org/officeDocument/2006/relationships/hyperlink" Target="https://filestore.fortinet.com/docs.fortinet.com/fsiem/Public_Resource_Access/7_6_0/rules/PH_RULE_CYBERARK_EXCESS_UNAUTH_USER.htm" TargetMode="External"/><Relationship Id="rId88" Type="http://schemas.openxmlformats.org/officeDocument/2006/relationships/hyperlink" Target="https://filestore.fortinet.com/docs.fortinet.com/fsiem/Public_Resource_Access/7_6_0/rules/PH_RULE_FML_Workspace_Sec_AdminUserAdded.htm" TargetMode="External"/><Relationship Id="rId89" Type="http://schemas.openxmlformats.org/officeDocument/2006/relationships/hyperlink" Target="https://filestore.fortinet.com/docs.fortinet.com/fsiem/Public_Resource_Access/7_6_0/rules/PH_RULE_LINUX_BUFFER_OVERFLOW.htm" TargetMode="External"/><Relationship Id="rId90" Type="http://schemas.openxmlformats.org/officeDocument/2006/relationships/hyperlink" Target="https://filestore.fortinet.com/docs.fortinet.com/fsiem/Public_Resource_Access/7_6_0/rules/PH_RULE_Linux_Discovery_of_Domain_Groups.htm" TargetMode="External"/><Relationship Id="rId91" Type="http://schemas.openxmlformats.org/officeDocument/2006/relationships/hyperlink" Target="https://filestore.fortinet.com/docs.fortinet.com/fsiem/Public_Resource_Access/7_6_0/rules/PH_RULE_Linux_Searching_for_Passwords_in_Files.htm" TargetMode="External"/><Relationship Id="rId92" Type="http://schemas.openxmlformats.org/officeDocument/2006/relationships/hyperlink" Target="https://filestore.fortinet.com/docs.fortinet.com/fsiem/Public_Resource_Access/7_6_0/rules/PH_RULE_TH_Linux_Setgid_Via_Chmod.htm" TargetMode="External"/><Relationship Id="rId93" Type="http://schemas.openxmlformats.org/officeDocument/2006/relationships/hyperlink" Target="https://filestore.fortinet.com/docs.fortinet.com/fsiem/Public_Resource_Access/7_6_0/rules/PH_RULE_TH_Linux_Setuid_Via_Chmod.htm" TargetMode="External"/><Relationship Id="rId94" Type="http://schemas.openxmlformats.org/officeDocument/2006/relationships/hyperlink" Target="https://filestore.fortinet.com/docs.fortinet.com/fsiem/Public_Resource_Access/7_6_0/rules/PH_RULE_Linux_Trap_Signals_Usage.htm" TargetMode="External"/><Relationship Id="rId95" Type="http://schemas.openxmlformats.org/officeDocument/2006/relationships/hyperlink" Target="https://filestore.fortinet.com/docs.fortinet.com/fsiem/Public_Resource_Access/7_6_0/rules/PH_RULE_EXCESS_FAILED_LOGON_2_NET_DEV.htm" TargetMode="External"/><Relationship Id="rId96" Type="http://schemas.openxmlformats.org/officeDocument/2006/relationships/hyperlink" Target="https://filestore.fortinet.com/docs.fortinet.com/fsiem/Public_Resource_Access/7_6_0/rules/PH_RULE_EXCESS_FAILED_LOGON_NET_DEV.htm" TargetMode="External"/><Relationship Id="rId97" Type="http://schemas.openxmlformats.org/officeDocument/2006/relationships/hyperlink" Target="https://filestore.fortinet.com/docs.fortinet.com/fsiem/Public_Resource_Access/7_6_0/rules/PH_RULE_EXCESS_FAILED_LOGON_DB.htm" TargetMode="External"/><Relationship Id="rId98" Type="http://schemas.openxmlformats.org/officeDocument/2006/relationships/hyperlink" Target="https://filestore.fortinet.com/docs.fortinet.com/fsiem/Public_Resource_Access/7_6_0/rules/PH_RULE_EXCESS_FAILED_LOGON_DOMAIN.htm" TargetMode="External"/><Relationship Id="rId99" Type="http://schemas.openxmlformats.org/officeDocument/2006/relationships/hyperlink" Target="https://filestore.fortinet.com/docs.fortinet.com/fsiem/Public_Resource_Access/7_6_0/rules/PH_RULE_EXCESS_FAILED_LOGON_APPL.htm" TargetMode="External"/><Relationship Id="rId100" Type="http://schemas.openxmlformats.org/officeDocument/2006/relationships/hyperlink" Target="https://filestore.fortinet.com/docs.fortinet.com/fsiem/Public_Resource_Access/7_6_0/rules/PH_RULE_FAILED_LOGON_MULTIPLE_ACCOUNTS.htm" TargetMode="External"/><Relationship Id="rId101" Type="http://schemas.openxmlformats.org/officeDocument/2006/relationships/hyperlink" Target="https://filestore.fortinet.com/docs.fortinet.com/fsiem/Public_Resource_Access/7_6_0/rules/PH_RULE_FAILED_LOGON_MULTIPLE_HOSTS.htm" TargetMode="External"/><Relationship Id="rId102" Type="http://schemas.openxmlformats.org/officeDocument/2006/relationships/hyperlink" Target="https://filestore.fortinet.com/docs.fortinet.com/fsiem/Public_Resource_Access/7_6_0/rules/PH_RULE_EXCESS_FAILED_LOGON_SERVER.htm" TargetMode="External"/><Relationship Id="rId103" Type="http://schemas.openxmlformats.org/officeDocument/2006/relationships/hyperlink" Target="https://filestore.fortinet.com/docs.fortinet.com/fsiem/Public_Resource_Access/7_6_0/rules/PH_RULE_EXCESS_FAILED_LOGON_VPN.htm" TargetMode="External"/><Relationship Id="rId104" Type="http://schemas.openxmlformats.org/officeDocument/2006/relationships/hyperlink" Target="https://filestore.fortinet.com/docs.fortinet.com/fsiem/Public_Resource_Access/7_6_0/rules/PH_RULE_EXCESS_FAILED_LOGON_WEB.htm" TargetMode="External"/><Relationship Id="rId105" Type="http://schemas.openxmlformats.org/officeDocument/2006/relationships/hyperlink" Target="https://filestore.fortinet.com/docs.fortinet.com/fsiem/Public_Resource_Access/7_6_0/rules/PH_RULE_EXCESS_FAILED_LOGON_WIRELESS.htm" TargetMode="External"/><Relationship Id="rId106" Type="http://schemas.openxmlformats.org/officeDocument/2006/relationships/hyperlink" Target="https://filestore.fortinet.com/docs.fortinet.com/fsiem/Public_Resource_Access/7_6_0/rules/PH_RULE_EXCESS_FAILED_PRIV_LOGON_SERVER.htm" TargetMode="External"/><Relationship Id="rId107" Type="http://schemas.openxmlformats.org/officeDocument/2006/relationships/hyperlink" Target="https://filestore.fortinet.com/docs.fortinet.com/fsiem/Public_Resource_Access/7_6_0/rules/PH_RULE_OracleOci_UserAddedToGroup.htm" TargetMode="External"/><Relationship Id="rId108" Type="http://schemas.openxmlformats.org/officeDocument/2006/relationships/hyperlink" Target="https://filestore.fortinet.com/docs.fortinet.com/fsiem/Public_Resource_Access/7_6_0/rules/PH_RULE_OracleOci_UserDisabledMFA.htm" TargetMode="External"/><Relationship Id="rId109" Type="http://schemas.openxmlformats.org/officeDocument/2006/relationships/hyperlink" Target="https://filestore.fortinet.com/docs.fortinet.com/fsiem/Public_Resource_Access/7_6_0/rules/PH_RULE_O365_BruteForceAttemptSameSource.htm" TargetMode="External"/><Relationship Id="rId110" Type="http://schemas.openxmlformats.org/officeDocument/2006/relationships/hyperlink" Target="https://filestore.fortinet.com/docs.fortinet.com/fsiem/Public_Resource_Access/7_6_0/rules/PH_RULE_O365_BruteForceAttemptSameUser.htm" TargetMode="External"/><Relationship Id="rId111" Type="http://schemas.openxmlformats.org/officeDocument/2006/relationships/hyperlink" Target="https://filestore.fortinet.com/docs.fortinet.com/fsiem/Public_Resource_Access/7_6_0/rules/PH_RULE_O365_BruteForceLogonSuccess.htm" TargetMode="External"/><Relationship Id="rId112" Type="http://schemas.openxmlformats.org/officeDocument/2006/relationships/hyperlink" Target="https://filestore.fortinet.com/docs.fortinet.com/fsiem/Public_Resource_Access/7_6_0/rules/PH_RULE_O365_AddMemberToRole.htm" TargetMode="External"/><Relationship Id="rId113" Type="http://schemas.openxmlformats.org/officeDocument/2006/relationships/hyperlink" Target="https://filestore.fortinet.com/docs.fortinet.com/fsiem/Public_Resource_Access/7_6_0/rules/PH_RULE_Password_Policy_Enumeration.htm" TargetMode="External"/><Relationship Id="rId114" Type="http://schemas.openxmlformats.org/officeDocument/2006/relationships/hyperlink" Target="https://filestore.fortinet.com/docs.fortinet.com/fsiem/Public_Resource_Access/7_6_0/rules/PH_RULE_Possible_Consent_Grant_Attack_via_Azure_Registered_Application.htm" TargetMode="External"/><Relationship Id="rId115" Type="http://schemas.openxmlformats.org/officeDocument/2006/relationships/hyperlink" Target="https://filestore.fortinet.com/docs.fortinet.com/fsiem/Public_Resource_Access/7_6_0/rules/PH_RULE_PRIV_ESCALATE_ATTACK.htm" TargetMode="External"/><Relationship Id="rId116" Type="http://schemas.openxmlformats.org/officeDocument/2006/relationships/hyperlink" Target="https://filestore.fortinet.com/docs.fortinet.com/fsiem/Public_Resource_Access/7_6_0/rules/PH_RULE_REPEAT_EXCESS_FAILED_LOGON_2_NET_DEV.htm" TargetMode="External"/><Relationship Id="rId117" Type="http://schemas.openxmlformats.org/officeDocument/2006/relationships/hyperlink" Target="https://filestore.fortinet.com/docs.fortinet.com/fsiem/Public_Resource_Access/7_6_0/rules/PH_RULE_REPEAT_EXCESS_FAILED_LOGON_DB.htm" TargetMode="External"/><Relationship Id="rId118" Type="http://schemas.openxmlformats.org/officeDocument/2006/relationships/hyperlink" Target="https://filestore.fortinet.com/docs.fortinet.com/fsiem/Public_Resource_Access/7_6_0/rules/PH_RULE_REPEAT_EXCESS_FAILED_LOGON_DOMAIN.htm" TargetMode="External"/><Relationship Id="rId119" Type="http://schemas.openxmlformats.org/officeDocument/2006/relationships/hyperlink" Target="https://filestore.fortinet.com/docs.fortinet.com/fsiem/Public_Resource_Access/7_6_0/rules/PH_RULE_REPEAT_EXCESS_FAILED_LOGON_APPL.htm" TargetMode="External"/><Relationship Id="rId120" Type="http://schemas.openxmlformats.org/officeDocument/2006/relationships/hyperlink" Target="https://filestore.fortinet.com/docs.fortinet.com/fsiem/Public_Resource_Access/7_6_0/rules/PH_RULE_REPEAT_EXCESS_FAILED_LOGON_SERVER.htm" TargetMode="External"/><Relationship Id="rId121" Type="http://schemas.openxmlformats.org/officeDocument/2006/relationships/hyperlink" Target="https://filestore.fortinet.com/docs.fortinet.com/fsiem/Public_Resource_Access/7_6_0/rules/PH_RULE_REPEAT_EXCESS_FAILED_LOGON_VPN.htm" TargetMode="External"/><Relationship Id="rId122" Type="http://schemas.openxmlformats.org/officeDocument/2006/relationships/hyperlink" Target="https://filestore.fortinet.com/docs.fortinet.com/fsiem/Public_Resource_Access/7_6_0/rules/PH_RULE_REPEAT_EXCESS_FAILED_LOGON_WEB.htm" TargetMode="External"/><Relationship Id="rId123" Type="http://schemas.openxmlformats.org/officeDocument/2006/relationships/hyperlink" Target="https://filestore.fortinet.com/docs.fortinet.com/fsiem/Public_Resource_Access/7_6_0/rules/PH_RULE_REPEAT_EXCESS_FAILED_LOGON_WIRELESS.htm" TargetMode="External"/><Relationship Id="rId124" Type="http://schemas.openxmlformats.org/officeDocument/2006/relationships/hyperlink" Target="https://filestore.fortinet.com/docs.fortinet.com/fsiem/Public_Resource_Access/7_6_0/rules/PH_RULE_SESSION_HIJACK_ATTACK.htm" TargetMode="External"/><Relationship Id="rId125" Type="http://schemas.openxmlformats.org/officeDocument/2006/relationships/hyperlink" Target="https://filestore.fortinet.com/docs.fortinet.com/fsiem/Public_Resource_Access/7_6_0/rules/PH_RULE_USER_MON_SUDDEN_LOC_CHANGE.htm" TargetMode="External"/><Relationship Id="rId126" Type="http://schemas.openxmlformats.org/officeDocument/2006/relationships/hyperlink" Target="https://filestore.fortinet.com/docs.fortinet.com/fsiem/Public_Resource_Access/7_6_0/rules/PH_RULE_SUSPICIOUS_FAILED_LOGON_NO_SUCCESS.htm" TargetMode="External"/><Relationship Id="rId127" Type="http://schemas.openxmlformats.org/officeDocument/2006/relationships/hyperlink" Target="https://filestore.fortinet.com/docs.fortinet.com/fsiem/Public_Resource_Access/7_6_0/rules/PH_RULE_User_Added_as_Owner_for_Azure_Application.htm" TargetMode="External"/><Relationship Id="rId128" Type="http://schemas.openxmlformats.org/officeDocument/2006/relationships/hyperlink" Target="https://filestore.fortinet.com/docs.fortinet.com/fsiem/Public_Resource_Access/7_6_0/rules/PH_RULE_User_Added_as_Owner_for_Azure_Service_Principal.htm" TargetMode="External"/><Relationship Id="rId129" Type="http://schemas.openxmlformats.org/officeDocument/2006/relationships/hyperlink" Target="https://filestore.fortinet.com/docs.fortinet.com/fsiem/Public_Resource_Access/7_6_0/rules/PH_RULE_VEEAM_MFA_BRUTE_FORCE.htm" TargetMode="External"/><Relationship Id="rId130" Type="http://schemas.openxmlformats.org/officeDocument/2006/relationships/hyperlink" Target="https://filestore.fortinet.com/docs.fortinet.com/fsiem/Public_Resource_Access/7_6_0/rules/PH_RULE_VEEAM_MFA_USER_DISABLED.htm" TargetMode="External"/><Relationship Id="rId131" Type="http://schemas.openxmlformats.org/officeDocument/2006/relationships/hyperlink" Target="https://filestore.fortinet.com/docs.fortinet.com/fsiem/Public_Resource_Access/7_6_0/rules/PH_RULE_Win_Accessibility_Backdoor.htm" TargetMode="External"/><Relationship Id="rId132" Type="http://schemas.openxmlformats.org/officeDocument/2006/relationships/hyperlink" Target="https://filestore.fortinet.com/docs.fortinet.com/fsiem/Public_Resource_Access/7_6_0/rules/PH_RULE_A_Member_Was_Added_to_a_Security_Enabled_Global_Group.htm" TargetMode="External"/><Relationship Id="rId133" Type="http://schemas.openxmlformats.org/officeDocument/2006/relationships/hyperlink" Target="https://filestore.fortinet.com/docs.fortinet.com/fsiem/Public_Resource_Access/7_6_0/rules/PH_RULE_Active_Directory_Database_Snapshot_Via_ADExplorer.htm" TargetMode="External"/><Relationship Id="rId134" Type="http://schemas.openxmlformats.org/officeDocument/2006/relationships/hyperlink" Target="https://filestore.fortinet.com/docs.fortinet.com/fsiem/Public_Resource_Access/7_6_0/rules/PH_RULE_Active_Directory_Replication_from_Non_Machine_Account.htm" TargetMode="External"/><Relationship Id="rId135" Type="http://schemas.openxmlformats.org/officeDocument/2006/relationships/hyperlink" Target="https://filestore.fortinet.com/docs.fortinet.com/fsiem/Public_Resource_Access/7_6_0/rules/PH_RULE_Active_Directory_User_Backdoors.htm" TargetMode="External"/><Relationship Id="rId136" Type="http://schemas.openxmlformats.org/officeDocument/2006/relationships/hyperlink" Target="https://filestore.fortinet.com/docs.fortinet.com/fsiem/Public_Resource_Access/7_6_0/rules/PH_RULE_Add_or_Remove_Computer_from_DC.htm" TargetMode="External"/><Relationship Id="rId137" Type="http://schemas.openxmlformats.org/officeDocument/2006/relationships/hyperlink" Target="https://filestore.fortinet.com/docs.fortinet.com/fsiem/Public_Resource_Access/7_6_0/rules/PH_RULE_Add_User_to_Local_Administrators_Group.htm" TargetMode="External"/><Relationship Id="rId138" Type="http://schemas.openxmlformats.org/officeDocument/2006/relationships/hyperlink" Target="https://filestore.fortinet.com/docs.fortinet.com/fsiem/Public_Resource_Access/7_6_0/rules/PH_RULE_Addition_of_SID_History_to_Active_Directory_Object.htm" TargetMode="External"/><Relationship Id="rId139" Type="http://schemas.openxmlformats.org/officeDocument/2006/relationships/hyperlink" Target="https://filestore.fortinet.com/docs.fortinet.com/fsiem/Public_Resource_Access/7_6_0/rules/PH_RULE_Automated_Collection_Command_Prompt.htm" TargetMode="External"/><Relationship Id="rId140" Type="http://schemas.openxmlformats.org/officeDocument/2006/relationships/hyperlink" Target="https://filestore.fortinet.com/docs.fortinet.com/fsiem/Public_Resource_Access/7_6_0/rules/PH_RULE_BloodHound_Collection_Files.htm" TargetMode="External"/><Relationship Id="rId141" Type="http://schemas.openxmlformats.org/officeDocument/2006/relationships/hyperlink" Target="https://filestore.fortinet.com/docs.fortinet.com/fsiem/Public_Resource_Access/7_6_0/rules/PH_RULE_Bypass_UAC_via_Fodhelper_exe.htm" TargetMode="External"/><Relationship Id="rId142" Type="http://schemas.openxmlformats.org/officeDocument/2006/relationships/hyperlink" Target="https://filestore.fortinet.com/docs.fortinet.com/fsiem/Public_Resource_Access/7_6_0/rules/PH_RULE_Computer_Password_Change_Via_Ksetup_EXE.htm" TargetMode="External"/><Relationship Id="rId143" Type="http://schemas.openxmlformats.org/officeDocument/2006/relationships/hyperlink" Target="https://filestore.fortinet.com/docs.fortinet.com/fsiem/Public_Resource_Access/7_6_0/rules/PH_RULE_Copying_Sensitive_Files_with_Credential_Data.htm" TargetMode="External"/><Relationship Id="rId144" Type="http://schemas.openxmlformats.org/officeDocument/2006/relationships/hyperlink" Target="https://filestore.fortinet.com/docs.fortinet.com/fsiem/Public_Resource_Access/7_6_0/rules/PH_RULE_CreateDump_Process_Dump.htm" TargetMode="External"/><Relationship Id="rId145" Type="http://schemas.openxmlformats.org/officeDocument/2006/relationships/hyperlink" Target="https://filestore.fortinet.com/docs.fortinet.com/fsiem/Public_Resource_Access/7_6_0/rules/PH_RULE_Cred_Dump_Tools_Dropped_Files.htm" TargetMode="External"/><Relationship Id="rId146" Type="http://schemas.openxmlformats.org/officeDocument/2006/relationships/hyperlink" Target="https://filestore.fortinet.com/docs.fortinet.com/fsiem/Public_Resource_Access/7_6_0/rules/PH_RULE_Credential_Dumping_Tools_Service_Execution_SECURITY_LOG.htm" TargetMode="External"/><Relationship Id="rId147" Type="http://schemas.openxmlformats.org/officeDocument/2006/relationships/hyperlink" Target="https://filestore.fortinet.com/docs.fortinet.com/fsiem/Public_Resource_Access/7_6_0/rules/PH_RULE_Credential_Dumping_Tools_Service_Execution_System.htm" TargetMode="External"/><Relationship Id="rId148" Type="http://schemas.openxmlformats.org/officeDocument/2006/relationships/hyperlink" Target="https://filestore.fortinet.com/docs.fortinet.com/fsiem/Public_Resource_Access/7_6_0/rules/PH_RULE_UIPromptForCredentials_DLLs.htm" TargetMode="External"/><Relationship Id="rId149" Type="http://schemas.openxmlformats.org/officeDocument/2006/relationships/hyperlink" Target="https://filestore.fortinet.com/docs.fortinet.com/fsiem/Public_Resource_Access/7_6_0/rules/PH_RULE_DLL_Load_via_LSASS.htm" TargetMode="External"/><Relationship Id="rId150" Type="http://schemas.openxmlformats.org/officeDocument/2006/relationships/hyperlink" Target="https://filestore.fortinet.com/docs.fortinet.com/fsiem/Public_Resource_Access/7_6_0/rules/PH_RULE_Domain_Trust_Discovery.htm" TargetMode="External"/><Relationship Id="rId151" Type="http://schemas.openxmlformats.org/officeDocument/2006/relationships/hyperlink" Target="https://filestore.fortinet.com/docs.fortinet.com/fsiem/Public_Resource_Access/7_6_0/rules/PH_RULE_DPAPI_Domain_Backup_Key_Extraction.htm" TargetMode="External"/><Relationship Id="rId152" Type="http://schemas.openxmlformats.org/officeDocument/2006/relationships/hyperlink" Target="https://filestore.fortinet.com/docs.fortinet.com/fsiem/Public_Resource_Access/7_6_0/rules/PH_RULE_DPAPI_Domain_Master_Key_Backup_Attempt.htm" TargetMode="External"/><Relationship Id="rId153" Type="http://schemas.openxmlformats.org/officeDocument/2006/relationships/hyperlink" Target="https://filestore.fortinet.com/docs.fortinet.com/fsiem/Public_Resource_Access/7_6_0/rules/PH_RULE_Dropping_Of_Password_Filter_DLL.htm" TargetMode="External"/><Relationship Id="rId154" Type="http://schemas.openxmlformats.org/officeDocument/2006/relationships/hyperlink" Target="https://filestore.fortinet.com/docs.fortinet.com/fsiem/Public_Resource_Access/7_6_0/rules/PH_RULE_Dump_Ntds_dit_To_Suspicious_Location.htm" TargetMode="External"/><Relationship Id="rId155" Type="http://schemas.openxmlformats.org/officeDocument/2006/relationships/hyperlink" Target="https://filestore.fortinet.com/docs.fortinet.com/fsiem/Public_Resource_Access/7_6_0/rules/PH_RULE_Grabbing_Sensitive_Hives_via_Reg_Utility.htm" TargetMode="External"/><Relationship Id="rId156" Type="http://schemas.openxmlformats.org/officeDocument/2006/relationships/hyperlink" Target="https://filestore.fortinet.com/docs.fortinet.com/fsiem/Public_Resource_Access/7_6_0/rules/PH_RULE_Dumping_Process_via_Sqldumper_exe.htm" TargetMode="External"/><Relationship Id="rId157" Type="http://schemas.openxmlformats.org/officeDocument/2006/relationships/hyperlink" Target="https://filestore.fortinet.com/docs.fortinet.com/fsiem/Public_Resource_Access/7_6_0/rules/PH_RULE_DumpMinitool_Usage.htm" TargetMode="External"/><Relationship Id="rId158" Type="http://schemas.openxmlformats.org/officeDocument/2006/relationships/hyperlink" Target="https://filestore.fortinet.com/docs.fortinet.com/fsiem/Public_Resource_Access/7_6_0/rules/PH_RULE_Enumeration_for_3rd_Party_Creds_From_CLI.htm" TargetMode="External"/><Relationship Id="rId159" Type="http://schemas.openxmlformats.org/officeDocument/2006/relationships/hyperlink" Target="https://filestore.fortinet.com/docs.fortinet.com/fsiem/Public_Resource_Access/7_6_0/rules/PH_RULE_Enumeration_for_Credentials_in_Registry.htm" TargetMode="External"/><Relationship Id="rId160" Type="http://schemas.openxmlformats.org/officeDocument/2006/relationships/hyperlink" Target="https://filestore.fortinet.com/docs.fortinet.com/fsiem/Public_Resource_Access/7_6_0/rules/PH_RULE_Esentutl_Gather_Credentials.htm" TargetMode="External"/><Relationship Id="rId161" Type="http://schemas.openxmlformats.org/officeDocument/2006/relationships/hyperlink" Target="https://filestore.fortinet.com/docs.fortinet.com/fsiem/Public_Resource_Access/7_6_0/rules/PH_RULE_Esentutl_Steals_Browser_Information.htm" TargetMode="External"/><Relationship Id="rId162" Type="http://schemas.openxmlformats.org/officeDocument/2006/relationships/hyperlink" Target="https://filestore.fortinet.com/docs.fortinet.com/fsiem/Public_Resource_Access/7_6_0/rules/PH_RULE_Esentutl_Volume_Shadow_Copy_Service_Keys.htm" TargetMode="External"/><Relationship Id="rId163" Type="http://schemas.openxmlformats.org/officeDocument/2006/relationships/hyperlink" Target="https://filestore.fortinet.com/docs.fortinet.com/fsiem/Public_Resource_Access/7_6_0/rules/PH_RULE_User_Couldnt_Call_a_Privileged_Service_LsaRegisterLogonProcess.htm" TargetMode="External"/><Relationship Id="rId164" Type="http://schemas.openxmlformats.org/officeDocument/2006/relationships/hyperlink" Target="https://filestore.fortinet.com/docs.fortinet.com/fsiem/Public_Resource_Access/7_6_0/rules/PH_RULE_Findstr_GPP_Passwords.htm" TargetMode="External"/><Relationship Id="rId165" Type="http://schemas.openxmlformats.org/officeDocument/2006/relationships/hyperlink" Target="https://filestore.fortinet.com/docs.fortinet.com/fsiem/Public_Resource_Access/7_6_0/rules/PH_RULE_Bloodhound_and_Sharphound_Hack_Tool.htm" TargetMode="External"/><Relationship Id="rId166" Type="http://schemas.openxmlformats.org/officeDocument/2006/relationships/hyperlink" Target="https://filestore.fortinet.com/docs.fortinet.com/fsiem/Public_Resource_Access/7_6_0/rules/PH_RULE_CrackMapExec_Process_Patterns.htm" TargetMode="External"/><Relationship Id="rId167" Type="http://schemas.openxmlformats.org/officeDocument/2006/relationships/hyperlink" Target="https://filestore.fortinet.com/docs.fortinet.com/fsiem/Public_Resource_Access/7_6_0/rules/PH_RULE_CreateMiniDump_Hacktool.htm" TargetMode="External"/><Relationship Id="rId168" Type="http://schemas.openxmlformats.org/officeDocument/2006/relationships/hyperlink" Target="https://filestore.fortinet.com/docs.fortinet.com/fsiem/Public_Resource_Access/7_6_0/rules/PH_RULE_HackTool_Dumpert_Process_Dumper_Default_File.htm" TargetMode="External"/><Relationship Id="rId169" Type="http://schemas.openxmlformats.org/officeDocument/2006/relationships/hyperlink" Target="https://filestore.fortinet.com/docs.fortinet.com/fsiem/Public_Resource_Access/7_6_0/rules/PH_RULE_Dumpert_Process_Dumper.htm" TargetMode="External"/><Relationship Id="rId170" Type="http://schemas.openxmlformats.org/officeDocument/2006/relationships/hyperlink" Target="https://filestore.fortinet.com/docs.fortinet.com/fsiem/Public_Resource_Access/7_6_0/rules/PH_RULE_HackTool_HandleKatz_LSASS_Dumper_Execution.htm" TargetMode="External"/><Relationship Id="rId171" Type="http://schemas.openxmlformats.org/officeDocument/2006/relationships/hyperlink" Target="https://filestore.fortinet.com/docs.fortinet.com/fsiem/Public_Resource_Access/7_6_0/rules/PH_RULE_HackTool_Inveigh_Execution.htm" TargetMode="External"/><Relationship Id="rId172" Type="http://schemas.openxmlformats.org/officeDocument/2006/relationships/hyperlink" Target="https://filestore.fortinet.com/docs.fortinet.com/fsiem/Public_Resource_Access/7_6_0/rules/PH_RULE_KrbRelay_Hack_Tool.htm" TargetMode="External"/><Relationship Id="rId173" Type="http://schemas.openxmlformats.org/officeDocument/2006/relationships/hyperlink" Target="https://filestore.fortinet.com/docs.fortinet.com/fsiem/Public_Resource_Access/7_6_0/rules/PH_RULE_KrbRelayUp_Hack_Tool.htm" TargetMode="External"/><Relationship Id="rId174" Type="http://schemas.openxmlformats.org/officeDocument/2006/relationships/hyperlink" Target="https://filestore.fortinet.com/docs.fortinet.com/fsiem/Public_Resource_Access/7_6_0/rules/PH_RULE_Mimikatz_Command_Line.htm" TargetMode="External"/><Relationship Id="rId175" Type="http://schemas.openxmlformats.org/officeDocument/2006/relationships/hyperlink" Target="https://filestore.fortinet.com/docs.fortinet.com/fsiem/Public_Resource_Access/7_6_0/rules/PH_RULE_HackTool_Quarks_PwDump_Execution.htm" TargetMode="External"/><Relationship Id="rId176" Type="http://schemas.openxmlformats.org/officeDocument/2006/relationships/hyperlink" Target="https://filestore.fortinet.com/docs.fortinet.com/fsiem/Public_Resource_Access/7_6_0/rules/PH_RULE_Rubeus_Hack_Tool.htm" TargetMode="External"/><Relationship Id="rId177" Type="http://schemas.openxmlformats.org/officeDocument/2006/relationships/hyperlink" Target="https://filestore.fortinet.com/docs.fortinet.com/fsiem/Public_Resource_Access/7_6_0/rules/PH_RULE_HackTool_SafetyKatz_Execution.htm" TargetMode="External"/><Relationship Id="rId178" Type="http://schemas.openxmlformats.org/officeDocument/2006/relationships/hyperlink" Target="https://filestore.fortinet.com/docs.fortinet.com/fsiem/Public_Resource_Access/7_6_0/rules/PH_RULE_Windows_Credential_Editor.htm" TargetMode="External"/><Relationship Id="rId179" Type="http://schemas.openxmlformats.org/officeDocument/2006/relationships/hyperlink" Target="https://filestore.fortinet.com/docs.fortinet.com/fsiem/Public_Resource_Access/7_6_0/rules/PH_RULE_HandleKatz_Duplicating_LSASS_Handle.htm" TargetMode="External"/><Relationship Id="rId180" Type="http://schemas.openxmlformats.org/officeDocument/2006/relationships/hyperlink" Target="https://filestore.fortinet.com/docs.fortinet.com/fsiem/Public_Resource_Access/7_6_0/rules/PH_RULE_Harvesting_of_Wifi_Credentials_Using_netsh_exe.htm" TargetMode="External"/><Relationship Id="rId181" Type="http://schemas.openxmlformats.org/officeDocument/2006/relationships/hyperlink" Target="https://filestore.fortinet.com/docs.fortinet.com/fsiem/Public_Resource_Access/7_6_0/rules/PH_RULE_Hijack_Legit_RDP_Session_to_Move_Laterally.htm" TargetMode="External"/><Relationship Id="rId182" Type="http://schemas.openxmlformats.org/officeDocument/2006/relationships/hyperlink" Target="https://filestore.fortinet.com/docs.fortinet.com/fsiem/Public_Resource_Access/7_6_0/rules/PH_RULE_Hydra_Password_Guessing_Hack_Tool.htm" TargetMode="External"/><Relationship Id="rId183" Type="http://schemas.openxmlformats.org/officeDocument/2006/relationships/hyperlink" Target="https://filestore.fortinet.com/docs.fortinet.com/fsiem/Public_Resource_Access/7_6_0/rules/PH_RULE_Interactive_AT_Job.htm" TargetMode="External"/><Relationship Id="rId184" Type="http://schemas.openxmlformats.org/officeDocument/2006/relationships/hyperlink" Target="https://filestore.fortinet.com/docs.fortinet.com/fsiem/Public_Resource_Access/7_6_0/rules/PH_RULE_Invocation_of_Active_Directory_Diagnostic_Tool_ntdsutil_exe.htm" TargetMode="External"/><Relationship Id="rId185" Type="http://schemas.openxmlformats.org/officeDocument/2006/relationships/hyperlink" Target="https://filestore.fortinet.com/docs.fortinet.com/fsiem/Public_Resource_Access/7_6_0/rules/PH_RULE_Kerberos_Manipulation.htm" TargetMode="External"/><Relationship Id="rId186" Type="http://schemas.openxmlformats.org/officeDocument/2006/relationships/hyperlink" Target="https://filestore.fortinet.com/docs.fortinet.com/fsiem/Public_Resource_Access/7_6_0/rules/PH_RULE_Local_Groups_Reconnaissance_Via_Wmic_EXE.htm" TargetMode="External"/><Relationship Id="rId187" Type="http://schemas.openxmlformats.org/officeDocument/2006/relationships/hyperlink" Target="https://filestore.fortinet.com/docs.fortinet.com/fsiem/Public_Resource_Access/7_6_0/rules/PH_RULE_Logged_On_User_Password_Change_Via_Ksetup_EXE.htm" TargetMode="External"/><Relationship Id="rId188" Type="http://schemas.openxmlformats.org/officeDocument/2006/relationships/hyperlink" Target="https://filestore.fortinet.com/docs.fortinet.com/fsiem/Public_Resource_Access/7_6_0/rules/PH_RULE_LSASS_Access_from_Non_System_Account.htm" TargetMode="External"/><Relationship Id="rId189" Type="http://schemas.openxmlformats.org/officeDocument/2006/relationships/hyperlink" Target="https://filestore.fortinet.com/docs.fortinet.com/fsiem/Public_Resource_Access/7_6_0/rules/PH_RULE_LSASS_Access_from_White_Listed_Processes.htm" TargetMode="External"/><Relationship Id="rId190" Type="http://schemas.openxmlformats.org/officeDocument/2006/relationships/hyperlink" Target="https://filestore.fortinet.com/docs.fortinet.com/fsiem/Public_Resource_Access/7_6_0/rules/PH_RULE_LSASS_Memory_Access_by_Tool_Named_Dump.htm" TargetMode="External"/><Relationship Id="rId191" Type="http://schemas.openxmlformats.org/officeDocument/2006/relationships/hyperlink" Target="https://filestore.fortinet.com/docs.fortinet.com/fsiem/Public_Resource_Access/7_6_0/rules/PH_RULE_Lsass_Memory_Dump_via_Comsvcs_DLL.htm" TargetMode="External"/><Relationship Id="rId192" Type="http://schemas.openxmlformats.org/officeDocument/2006/relationships/hyperlink" Target="https://filestore.fortinet.com/docs.fortinet.com/fsiem/Public_Resource_Access/7_6_0/rules/PH_RULE_LSASS_Process_Dump_Artefact_In_CrashDumps_Folder.htm" TargetMode="External"/><Relationship Id="rId193" Type="http://schemas.openxmlformats.org/officeDocument/2006/relationships/hyperlink" Target="https://filestore.fortinet.com/docs.fortinet.com/fsiem/Public_Resource_Access/7_6_0/rules/PH_RULE_LSASS_Process_Memory_Dump_Files.htm" TargetMode="External"/><Relationship Id="rId194" Type="http://schemas.openxmlformats.org/officeDocument/2006/relationships/hyperlink" Target="https://filestore.fortinet.com/docs.fortinet.com/fsiem/Public_Resource_Access/7_6_0/rules/PH_RULE_Findstr_LSASS.htm" TargetMode="External"/><Relationship Id="rId195" Type="http://schemas.openxmlformats.org/officeDocument/2006/relationships/hyperlink" Target="https://filestore.fortinet.com/docs.fortinet.com/fsiem/Public_Resource_Access/7_6_0/rules/PH_RULE_Microsoft_IIS_Service_Account_Password_Dumped.htm" TargetMode="External"/><Relationship Id="rId196" Type="http://schemas.openxmlformats.org/officeDocument/2006/relationships/hyperlink" Target="https://filestore.fortinet.com/docs.fortinet.com/fsiem/Public_Resource_Access/7_6_0/rules/PH_RULE_Mimikatz_DC_Sync.htm" TargetMode="External"/><Relationship Id="rId197" Type="http://schemas.openxmlformats.org/officeDocument/2006/relationships/hyperlink" Target="https://filestore.fortinet.com/docs.fortinet.com/fsiem/Public_Resource_Access/7_6_0/rules/PH_RULE_Mimikatz_Kirbi_File_Creation.htm" TargetMode="External"/><Relationship Id="rId198" Type="http://schemas.openxmlformats.org/officeDocument/2006/relationships/hyperlink" Target="https://filestore.fortinet.com/docs.fortinet.com/fsiem/Public_Resource_Access/7_6_0/rules/PH_RULE_MSSQL_Add_Account_To_Sysadmin_Role.htm" TargetMode="External"/><Relationship Id="rId199" Type="http://schemas.openxmlformats.org/officeDocument/2006/relationships/hyperlink" Target="https://filestore.fortinet.com/docs.fortinet.com/fsiem/Public_Resource_Access/7_6_0/rules/PH_RULE_New_Generic_Credentials_Added_Via_Cmdkey_EXE.htm" TargetMode="External"/><Relationship Id="rId200" Type="http://schemas.openxmlformats.org/officeDocument/2006/relationships/hyperlink" Target="https://filestore.fortinet.com/docs.fortinet.com/fsiem/Public_Resource_Access/7_6_0/rules/PH_RULE_Capture_a_Network_Trace_with_netsh_exe.htm" TargetMode="External"/><Relationship Id="rId201" Type="http://schemas.openxmlformats.org/officeDocument/2006/relationships/hyperlink" Target="https://filestore.fortinet.com/docs.fortinet.com/fsiem/Public_Resource_Access/7_6_0/rules/PH_RULE_Successful_Overpass_the_Hash_Attempt.htm" TargetMode="External"/><Relationship Id="rId202" Type="http://schemas.openxmlformats.org/officeDocument/2006/relationships/hyperlink" Target="https://filestore.fortinet.com/docs.fortinet.com/fsiem/Public_Resource_Access/7_6_0/rules/PH_RULE_NPPSpy_Hacktool_Usage.htm" TargetMode="External"/><Relationship Id="rId203" Type="http://schemas.openxmlformats.org/officeDocument/2006/relationships/hyperlink" Target="https://filestore.fortinet.com/docs.fortinet.com/fsiem/Public_Resource_Access/7_6_0/rules/PH_RULE_Suspicious_NTDS_DIT_Creation.htm" TargetMode="External"/><Relationship Id="rId204" Type="http://schemas.openxmlformats.org/officeDocument/2006/relationships/hyperlink" Target="https://filestore.fortinet.com/docs.fortinet.com/fsiem/Public_Resource_Access/7_6_0/rules/PH_RULE_NTDS_DIT_Creation_By_Uncommon_Parent_Process.htm" TargetMode="External"/><Relationship Id="rId205" Type="http://schemas.openxmlformats.org/officeDocument/2006/relationships/hyperlink" Target="https://filestore.fortinet.com/docs.fortinet.com/fsiem/Public_Resource_Access/7_6_0/rules/PH_RULE_NTDS_DIT_Creation_By_Uncommon_Process.htm" TargetMode="External"/><Relationship Id="rId206" Type="http://schemas.openxmlformats.org/officeDocument/2006/relationships/hyperlink" Target="https://filestore.fortinet.com/docs.fortinet.com/fsiem/Public_Resource_Access/7_6_0/rules/PH_RULE_Ntdsutil_Abuse.htm" TargetMode="External"/><Relationship Id="rId207" Type="http://schemas.openxmlformats.org/officeDocument/2006/relationships/hyperlink" Target="https://filestore.fortinet.com/docs.fortinet.com/fsiem/Public_Resource_Access/7_6_0/rules/PH_RULE_Password_Change_on_Directory_Service_Restore_Mode_DSRM_Account.htm" TargetMode="External"/><Relationship Id="rId208" Type="http://schemas.openxmlformats.org/officeDocument/2006/relationships/hyperlink" Target="https://filestore.fortinet.com/docs.fortinet.com/fsiem/Public_Resource_Access/7_6_0/rules/PH_RULE_Password_Cracking_with_Hashcat.htm" TargetMode="External"/><Relationship Id="rId209" Type="http://schemas.openxmlformats.org/officeDocument/2006/relationships/hyperlink" Target="https://filestore.fortinet.com/docs.fortinet.com/fsiem/Public_Resource_Access/7_6_0/rules/PH_RULE_Password_Dumper_Activity_on_LSASS.htm" TargetMode="External"/><Relationship Id="rId210" Type="http://schemas.openxmlformats.org/officeDocument/2006/relationships/hyperlink" Target="https://filestore.fortinet.com/docs.fortinet.com/fsiem/Public_Resource_Access/7_6_0/rules/PH_RULE_Permission_Misconfiguration_Reconnaissance_Via_Findstr_EXE.htm" TargetMode="External"/><Relationship Id="rId211" Type="http://schemas.openxmlformats.org/officeDocument/2006/relationships/hyperlink" Target="https://filestore.fortinet.com/docs.fortinet.com/fsiem/Public_Resource_Access/7_6_0/rules/PH_RULE_PetitPotam_Suspicious_Kerberos_TGT_Request.htm" TargetMode="External"/><Relationship Id="rId212" Type="http://schemas.openxmlformats.org/officeDocument/2006/relationships/hyperlink" Target="https://filestore.fortinet.com/docs.fortinet.com/fsiem/Public_Resource_Access/7_6_0/rules/PH_RULE_Possible_DC_Shadow.htm" TargetMode="External"/><Relationship Id="rId213" Type="http://schemas.openxmlformats.org/officeDocument/2006/relationships/hyperlink" Target="https://filestore.fortinet.com/docs.fortinet.com/fsiem/Public_Resource_Access/7_6_0/rules/PH_RULE_Possible_Impacket_SecretDump_Remote_Activity.htm" TargetMode="External"/><Relationship Id="rId214" Type="http://schemas.openxmlformats.org/officeDocument/2006/relationships/hyperlink" Target="https://filestore.fortinet.com/docs.fortinet.com/fsiem/Public_Resource_Access/7_6_0/rules/PH_RULE_Possible_PetitPotam_Coerce_Authentication_Attempt.htm" TargetMode="External"/><Relationship Id="rId215" Type="http://schemas.openxmlformats.org/officeDocument/2006/relationships/hyperlink" Target="https://filestore.fortinet.com/docs.fortinet.com/fsiem/Public_Resource_Access/7_6_0/rules/PH_RULE_Possible_Shadow_Credentials_Added.htm" TargetMode="External"/><Relationship Id="rId216" Type="http://schemas.openxmlformats.org/officeDocument/2006/relationships/hyperlink" Target="https://filestore.fortinet.com/docs.fortinet.com/fsiem/Public_Resource_Access/7_6_0/rules/PH_RULE_LDAP_Reconnaissance_Active_Directory_Enumeration.htm" TargetMode="External"/><Relationship Id="rId217" Type="http://schemas.openxmlformats.org/officeDocument/2006/relationships/hyperlink" Target="https://filestore.fortinet.com/docs.fortinet.com/fsiem/Public_Resource_Access/7_6_0/rules/PH_RULE_AD_User_Enumeration.htm" TargetMode="External"/><Relationship Id="rId218" Type="http://schemas.openxmlformats.org/officeDocument/2006/relationships/hyperlink" Target="https://filestore.fortinet.com/docs.fortinet.com/fsiem/Public_Resource_Access/7_6_0/rules/PH_RULE_Potential_Browser_Data_Stealing.htm" TargetMode="External"/><Relationship Id="rId219" Type="http://schemas.openxmlformats.org/officeDocument/2006/relationships/hyperlink" Target="https://filestore.fortinet.com/docs.fortinet.com/fsiem/Public_Resource_Access/7_6_0/rules/PH_RULE_LSASS_Memory_Dump.htm" TargetMode="External"/><Relationship Id="rId220" Type="http://schemas.openxmlformats.org/officeDocument/2006/relationships/hyperlink" Target="https://filestore.fortinet.com/docs.fortinet.com/fsiem/Public_Resource_Access/7_6_0/rules/PH_RULE_Potential_Credential_Dumping_Via_WER.htm" TargetMode="External"/><Relationship Id="rId221" Type="http://schemas.openxmlformats.org/officeDocument/2006/relationships/hyperlink" Target="https://filestore.fortinet.com/docs.fortinet.com/fsiem/Public_Resource_Access/7_6_0/rules/PH_RULE_Suspicious_Use_of_Procdump_on_LSASS.htm" TargetMode="External"/><Relationship Id="rId222" Type="http://schemas.openxmlformats.org/officeDocument/2006/relationships/hyperlink" Target="https://filestore.fortinet.com/docs.fortinet.com/fsiem/Public_Resource_Access/7_6_0/rules/PH_RULE_Network_Sniffing.htm" TargetMode="External"/><Relationship Id="rId223" Type="http://schemas.openxmlformats.org/officeDocument/2006/relationships/hyperlink" Target="https://filestore.fortinet.com/docs.fortinet.com/fsiem/Public_Resource_Access/7_6_0/rules/PH_RULE_Win_PassTheHash.htm" TargetMode="External"/><Relationship Id="rId224" Type="http://schemas.openxmlformats.org/officeDocument/2006/relationships/hyperlink" Target="https://filestore.fortinet.com/docs.fortinet.com/fsiem/Public_Resource_Access/7_6_0/rules/PH_RULE_Potential_Password_Spraying_Attempt_Using_Dsacls_EXE.htm" TargetMode="External"/><Relationship Id="rId225" Type="http://schemas.openxmlformats.org/officeDocument/2006/relationships/hyperlink" Target="https://filestore.fortinet.com/docs.fortinet.com/fsiem/Public_Resource_Access/7_6_0/rules/PH_RULE_Cmdkey_Cached_Credentials_Recon.htm" TargetMode="External"/><Relationship Id="rId226" Type="http://schemas.openxmlformats.org/officeDocument/2006/relationships/hyperlink" Target="https://filestore.fortinet.com/docs.fortinet.com/fsiem/Public_Resource_Access/7_6_0/rules/PH_RULE_SAM_Dump_File_Creation.htm" TargetMode="External"/><Relationship Id="rId227" Type="http://schemas.openxmlformats.org/officeDocument/2006/relationships/hyperlink" Target="https://filestore.fortinet.com/docs.fortinet.com/fsiem/Public_Resource_Access/7_6_0/rules/PH_RULE_Possible_SPN_Enumeration.htm" TargetMode="External"/><Relationship Id="rId228" Type="http://schemas.openxmlformats.org/officeDocument/2006/relationships/hyperlink" Target="https://filestore.fortinet.com/docs.fortinet.com/fsiem/Public_Resource_Access/7_6_0/rules/PH_RULE_Generic_Password_Dumper_Activity_on_LSASS.htm" TargetMode="External"/><Relationship Id="rId229" Type="http://schemas.openxmlformats.org/officeDocument/2006/relationships/hyperlink" Target="https://filestore.fortinet.com/docs.fortinet.com/fsiem/Public_Resource_Access/7_6_0/rules/PH_RULE_Suspicious_Office_Token_Search_Via_CLI.htm" TargetMode="External"/><Relationship Id="rId230" Type="http://schemas.openxmlformats.org/officeDocument/2006/relationships/hyperlink" Target="https://filestore.fortinet.com/docs.fortinet.com/fsiem/Public_Resource_Access/7_6_0/rules/PH_RULE_Suspicious_Volume_Shadow_Copy_Vsstrace_dll_Load.htm" TargetMode="External"/><Relationship Id="rId231" Type="http://schemas.openxmlformats.org/officeDocument/2006/relationships/hyperlink" Target="https://filestore.fortinet.com/docs.fortinet.com/fsiem/Public_Resource_Access/7_6_0/rules/PH_RULE_PowerShell_Get_Process_LSASS.htm" TargetMode="External"/><Relationship Id="rId232" Type="http://schemas.openxmlformats.org/officeDocument/2006/relationships/hyperlink" Target="https://filestore.fortinet.com/docs.fortinet.com/fsiem/Public_Resource_Access/7_6_0/rules/PH_RULE_PowerShell_SAM_Copy.htm" TargetMode="External"/><Relationship Id="rId233" Type="http://schemas.openxmlformats.org/officeDocument/2006/relationships/hyperlink" Target="https://filestore.fortinet.com/docs.fortinet.com/fsiem/Public_Resource_Access/7_6_0/rules/PH_RULE_Powerview_Add_DomainObjectAcl_DCSync_AD_Extend_Right.htm" TargetMode="External"/><Relationship Id="rId234" Type="http://schemas.openxmlformats.org/officeDocument/2006/relationships/hyperlink" Target="https://filestore.fortinet.com/docs.fortinet.com/fsiem/Public_Resource_Access/7_6_0/rules/PH_RULE_Discover_Private_Keys.htm" TargetMode="External"/><Relationship Id="rId235" Type="http://schemas.openxmlformats.org/officeDocument/2006/relationships/hyperlink" Target="https://filestore.fortinet.com/docs.fortinet.com/fsiem/Public_Resource_Access/7_6_0/rules/PH_RULE_Procdump_Evasion.htm" TargetMode="External"/><Relationship Id="rId236" Type="http://schemas.openxmlformats.org/officeDocument/2006/relationships/hyperlink" Target="https://filestore.fortinet.com/docs.fortinet.com/fsiem/Public_Resource_Access/7_6_0/rules/PH_RULE_Procdump_Usage.htm" TargetMode="External"/><Relationship Id="rId237" Type="http://schemas.openxmlformats.org/officeDocument/2006/relationships/hyperlink" Target="https://filestore.fortinet.com/docs.fortinet.com/fsiem/Public_Resource_Access/7_6_0/rules/PH_RULE_Process_Access_via_TrolleyExpress_Exclusion.htm" TargetMode="External"/><Relationship Id="rId238" Type="http://schemas.openxmlformats.org/officeDocument/2006/relationships/hyperlink" Target="https://filestore.fortinet.com/docs.fortinet.com/fsiem/Public_Resource_Access/7_6_0/rules/PH_RULE_Process_Dump_via_Comsvcs_DLL.htm" TargetMode="External"/><Relationship Id="rId239" Type="http://schemas.openxmlformats.org/officeDocument/2006/relationships/hyperlink" Target="https://filestore.fortinet.com/docs.fortinet.com/fsiem/Public_Resource_Access/7_6_0/rules/PH_RULE_Process_Explorer_Driver_Creation_By_Non_Sysinternals_Binary.htm" TargetMode="External"/><Relationship Id="rId240" Type="http://schemas.openxmlformats.org/officeDocument/2006/relationships/hyperlink" Target="https://filestore.fortinet.com/docs.fortinet.com/fsiem/Public_Resource_Access/7_6_0/rules/PH_RULE_Process_Memory_Dump_Via_Dotnet_Dump.htm" TargetMode="External"/><Relationship Id="rId241" Type="http://schemas.openxmlformats.org/officeDocument/2006/relationships/hyperlink" Target="https://filestore.fortinet.com/docs.fortinet.com/fsiem/Public_Resource_Access/7_6_0/rules/PH_RULE_RdrLeakDiag_Process_Dump.htm" TargetMode="External"/><Relationship Id="rId242" Type="http://schemas.openxmlformats.org/officeDocument/2006/relationships/hyperlink" Target="https://filestore.fortinet.com/docs.fortinet.com/fsiem/Public_Resource_Access/7_6_0/rules/PH_RULE_Process_Monitor_Driver_Creation_By_Non_Sysinternals_Binary.htm" TargetMode="External"/><Relationship Id="rId243" Type="http://schemas.openxmlformats.org/officeDocument/2006/relationships/hyperlink" Target="https://filestore.fortinet.com/docs.fortinet.com/fsiem/Public_Resource_Access/7_6_0/rules/PH_RULE_DIT_Snapshot_Viewer_Use.htm" TargetMode="External"/><Relationship Id="rId244" Type="http://schemas.openxmlformats.org/officeDocument/2006/relationships/hyperlink" Target="https://filestore.fortinet.com/docs.fortinet.com/fsiem/Public_Resource_Access/7_6_0/rules/PH_RULE_PUA_WebBrowserPassView_Execution.htm" TargetMode="External"/><Relationship Id="rId245" Type="http://schemas.openxmlformats.org/officeDocument/2006/relationships/hyperlink" Target="https://filestore.fortinet.com/docs.fortinet.com/fsiem/Public_Resource_Access/7_6_0/rules/PH_RULE_QuarksPwDump_Dump_File.htm" TargetMode="External"/><Relationship Id="rId246" Type="http://schemas.openxmlformats.org/officeDocument/2006/relationships/hyperlink" Target="https://filestore.fortinet.com/docs.fortinet.com/fsiem/Public_Resource_Access/7_6_0/rules/PH_RULE_Register_new_Logon_Process_by_Rubeus.htm" TargetMode="External"/><Relationship Id="rId247" Type="http://schemas.openxmlformats.org/officeDocument/2006/relationships/hyperlink" Target="https://filestore.fortinet.com/docs.fortinet.com/fsiem/Public_Resource_Access/7_6_0/rules/PH_RULE_Registry_Parse_with_Pypykatz.htm" TargetMode="External"/><Relationship Id="rId248" Type="http://schemas.openxmlformats.org/officeDocument/2006/relationships/hyperlink" Target="https://filestore.fortinet.com/docs.fortinet.com/fsiem/Public_Resource_Access/7_6_0/rules/PH_RULE_Remote_Access_Tool_AnyDesk_Piped_Password_Via_CLI.htm" TargetMode="External"/><Relationship Id="rId249" Type="http://schemas.openxmlformats.org/officeDocument/2006/relationships/hyperlink" Target="https://filestore.fortinet.com/docs.fortinet.com/fsiem/Public_Resource_Access/7_6_0/rules/PH_RULE_Mimikatz_through_Windows_Remote_Management.htm" TargetMode="External"/><Relationship Id="rId250" Type="http://schemas.openxmlformats.org/officeDocument/2006/relationships/hyperlink" Target="https://filestore.fortinet.com/docs.fortinet.com/fsiem/Public_Resource_Access/7_6_0/rules/PH_RULE_Renamed_AdFind_Execution.htm" TargetMode="External"/><Relationship Id="rId251" Type="http://schemas.openxmlformats.org/officeDocument/2006/relationships/hyperlink" Target="https://filestore.fortinet.com/docs.fortinet.com/fsiem/Public_Resource_Access/7_6_0/rules/PH_RULE_Process_Creation_with_Renamed_BrowserCore_exe.htm" TargetMode="External"/><Relationship Id="rId252" Type="http://schemas.openxmlformats.org/officeDocument/2006/relationships/hyperlink" Target="https://filestore.fortinet.com/docs.fortinet.com/fsiem/Public_Resource_Access/7_6_0/rules/PH_RULE_Renamed_CreateDump_Utility_Execution.htm" TargetMode="External"/><Relationship Id="rId253" Type="http://schemas.openxmlformats.org/officeDocument/2006/relationships/hyperlink" Target="https://filestore.fortinet.com/docs.fortinet.com/fsiem/Public_Resource_Access/7_6_0/rules/PH_RULE_Renamed_ProcDump.htm" TargetMode="External"/><Relationship Id="rId254" Type="http://schemas.openxmlformats.org/officeDocument/2006/relationships/hyperlink" Target="https://filestore.fortinet.com/docs.fortinet.com/fsiem/Public_Resource_Access/7_6_0/rules/PH_RULE_SafetyKatz_Default_Dump_Filename.htm" TargetMode="External"/><Relationship Id="rId255" Type="http://schemas.openxmlformats.org/officeDocument/2006/relationships/hyperlink" Target="https://filestore.fortinet.com/docs.fortinet.com/fsiem/Public_Resource_Access/7_6_0/rules/PH_RULE_SAM_Registry_Hive_Handle_Request.htm" TargetMode="External"/><Relationship Id="rId256" Type="http://schemas.openxmlformats.org/officeDocument/2006/relationships/hyperlink" Target="https://filestore.fortinet.com/docs.fortinet.com/fsiem/Public_Resource_Access/7_6_0/rules/PH_RULE_Security_Support_Provider_SSP_Added_to_LSA_Configuration.htm" TargetMode="External"/><Relationship Id="rId257" Type="http://schemas.openxmlformats.org/officeDocument/2006/relationships/hyperlink" Target="https://filestore.fortinet.com/docs.fortinet.com/fsiem/Public_Resource_Access/7_6_0/rules/PH_RULE_Sensitive_Registry_Access_via_Volume_Shadow_Copy.htm" TargetMode="External"/><Relationship Id="rId258" Type="http://schemas.openxmlformats.org/officeDocument/2006/relationships/hyperlink" Target="https://filestore.fortinet.com/docs.fortinet.com/fsiem/Public_Resource_Access/7_6_0/rules/PH_RULE_Shadow_Copies_Creation_Using_Operating_Systems_Utilities.htm" TargetMode="External"/><Relationship Id="rId259" Type="http://schemas.openxmlformats.org/officeDocument/2006/relationships/hyperlink" Target="https://filestore.fortinet.com/docs.fortinet.com/fsiem/Public_Resource_Access/7_6_0/rules/PH_RULE_SilentProcessExit_Monitor_Registrytion_for_LSASS.htm" TargetMode="External"/><Relationship Id="rId260" Type="http://schemas.openxmlformats.org/officeDocument/2006/relationships/hyperlink" Target="https://filestore.fortinet.com/docs.fortinet.com/fsiem/Public_Resource_Access/7_6_0/rules/PH_RULE_SQLite_Chromium_Profile_Data_DB_Access.htm" TargetMode="External"/><Relationship Id="rId261" Type="http://schemas.openxmlformats.org/officeDocument/2006/relationships/hyperlink" Target="https://filestore.fortinet.com/docs.fortinet.com/fsiem/Public_Resource_Access/7_6_0/rules/PH_RULE_SQLite_Firefox_Cookie_DB_Access.htm" TargetMode="External"/><Relationship Id="rId262" Type="http://schemas.openxmlformats.org/officeDocument/2006/relationships/hyperlink" Target="https://filestore.fortinet.com/docs.fortinet.com/fsiem/Public_Resource_Access/7_6_0/rules/PH_RULE_Suspicious_Active_Directory_Database_Snapshot_Via_ADExplorer.htm" TargetMode="External"/><Relationship Id="rId263" Type="http://schemas.openxmlformats.org/officeDocument/2006/relationships/hyperlink" Target="https://filestore.fortinet.com/docs.fortinet.com/fsiem/Public_Resource_Access/7_6_0/rules/PH_RULE_Suspicious_Add_User_to_Remote_Desktop_Users_Group.htm" TargetMode="External"/><Relationship Id="rId264" Type="http://schemas.openxmlformats.org/officeDocument/2006/relationships/hyperlink" Target="https://filestore.fortinet.com/docs.fortinet.com/fsiem/Public_Resource_Access/7_6_0/rules/PH_RULE_Suspicious_Command_With_Teams_Objects_Paths.htm" TargetMode="External"/><Relationship Id="rId265" Type="http://schemas.openxmlformats.org/officeDocument/2006/relationships/hyperlink" Target="https://filestore.fortinet.com/docs.fortinet.com/fsiem/Public_Resource_Access/7_6_0/rules/PH_RULE_Suspicious_Kerberos_RC4_Ticket_Encryption.htm" TargetMode="External"/><Relationship Id="rId266" Type="http://schemas.openxmlformats.org/officeDocument/2006/relationships/hyperlink" Target="https://filestore.fortinet.com/docs.fortinet.com/fsiem/Public_Resource_Access/7_6_0/rules/PH_RULE_Suspicious_Key_Manager_Access.htm" TargetMode="External"/><Relationship Id="rId267" Type="http://schemas.openxmlformats.org/officeDocument/2006/relationships/hyperlink" Target="https://filestore.fortinet.com/docs.fortinet.com/fsiem/Public_Resource_Access/7_6_0/rules/PH_RULE_Suspicious_LSASS_Access_Via_MalSecLogon.htm" TargetMode="External"/><Relationship Id="rId268" Type="http://schemas.openxmlformats.org/officeDocument/2006/relationships/hyperlink" Target="https://filestore.fortinet.com/docs.fortinet.com/fsiem/Public_Resource_Access/7_6_0/rules/PH_RULE_Suspicious_LSASS_Process_Clone.htm" TargetMode="External"/><Relationship Id="rId269" Type="http://schemas.openxmlformats.org/officeDocument/2006/relationships/hyperlink" Target="https://filestore.fortinet.com/docs.fortinet.com/fsiem/Public_Resource_Access/7_6_0/rules/PH_RULE_Suspicious_Manipulation_Of_Default_Accounts_Via_Net_EXE.htm" TargetMode="External"/><Relationship Id="rId270" Type="http://schemas.openxmlformats.org/officeDocument/2006/relationships/hyperlink" Target="https://filestore.fortinet.com/docs.fortinet.com/fsiem/Public_Resource_Access/7_6_0/rules/PH_RULE_Suspicious_NTDS_Exfil_Filename_Patterns.htm" TargetMode="External"/><Relationship Id="rId271" Type="http://schemas.openxmlformats.org/officeDocument/2006/relationships/hyperlink" Target="https://filestore.fortinet.com/docs.fortinet.com/fsiem/Public_Resource_Access/7_6_0/rules/PH_RULE_Suspicious_WebDav_Client_Execution_SYSMON.htm" TargetMode="External"/><Relationship Id="rId272" Type="http://schemas.openxmlformats.org/officeDocument/2006/relationships/hyperlink" Target="https://filestore.fortinet.com/docs.fortinet.com/fsiem/Public_Resource_Access/7_6_0/rules/PH_RULE_Suspicious_Process_Patterns_NTDS_DIT_Exfil.htm" TargetMode="External"/><Relationship Id="rId273" Type="http://schemas.openxmlformats.org/officeDocument/2006/relationships/hyperlink" Target="https://filestore.fortinet.com/docs.fortinet.com/fsiem/Public_Resource_Access/7_6_0/rules/PH_RULE_Suspicious_Rejected_SMB_Guest_Logon_From_IP.htm" TargetMode="External"/><Relationship Id="rId274" Type="http://schemas.openxmlformats.org/officeDocument/2006/relationships/hyperlink" Target="https://filestore.fortinet.com/docs.fortinet.com/fsiem/Public_Resource_Access/7_6_0/rules/PH_RULE_Suspicious_Renamed_Comsvcs_DLL_Loaded_By_Rundll32.htm" TargetMode="External"/><Relationship Id="rId275" Type="http://schemas.openxmlformats.org/officeDocument/2006/relationships/hyperlink" Target="https://filestore.fortinet.com/docs.fortinet.com/fsiem/Public_Resource_Access/7_6_0/rules/PH_RULE_Suspicious_SYSVOL_Domain_Group_Policy_Access.htm" TargetMode="External"/><Relationship Id="rId276" Type="http://schemas.openxmlformats.org/officeDocument/2006/relationships/hyperlink" Target="https://filestore.fortinet.com/docs.fortinet.com/fsiem/Public_Resource_Access/7_6_0/rules/PH_RULE_Suspicious_Teams_Application_Related_ObjectAcess_Event.htm" TargetMode="External"/><Relationship Id="rId277" Type="http://schemas.openxmlformats.org/officeDocument/2006/relationships/hyperlink" Target="https://filestore.fortinet.com/docs.fortinet.com/fsiem/Public_Resource_Access/7_6_0/rules/PH_RULE_Suspicious_Unsigned_Dbghelp_Dbgcore_DLL_Loaded.htm" TargetMode="External"/><Relationship Id="rId278" Type="http://schemas.openxmlformats.org/officeDocument/2006/relationships/hyperlink" Target="https://filestore.fortinet.com/docs.fortinet.com/fsiem/Public_Resource_Access/7_6_0/rules/PH_RULE_Suspicious_Usage_Of_Active_Directory_Diagnostic_Tool_ntdsutil_exe_.htm" TargetMode="External"/><Relationship Id="rId279" Type="http://schemas.openxmlformats.org/officeDocument/2006/relationships/hyperlink" Target="https://filestore.fortinet.com/docs.fortinet.com/fsiem/Public_Resource_Access/7_6_0/rules/PH_RULE_Image_Load_of_VSS_PS_dll_by_Uncommon_Executable.htm" TargetMode="External"/><Relationship Id="rId280" Type="http://schemas.openxmlformats.org/officeDocument/2006/relationships/hyperlink" Target="https://filestore.fortinet.com/docs.fortinet.com/fsiem/Public_Resource_Access/7_6_0/rules/PH_RULE_Suspicious_Volume_Shadow_Copy_Vssapi_dll_Load.htm" TargetMode="External"/><Relationship Id="rId281" Type="http://schemas.openxmlformats.org/officeDocument/2006/relationships/hyperlink" Target="https://filestore.fortinet.com/docs.fortinet.com/fsiem/Public_Resource_Access/7_6_0/rules/PH_RULE_Time_Travel_Debugging_Utility_Usage_SYSMON_V1.htm" TargetMode="External"/><Relationship Id="rId282" Type="http://schemas.openxmlformats.org/officeDocument/2006/relationships/hyperlink" Target="https://filestore.fortinet.com/docs.fortinet.com/fsiem/Public_Resource_Access/7_6_0/rules/PH_RULE_Time_Travel_Debugging_Utility_Usage_SYSMON_V2.htm" TargetMode="External"/><Relationship Id="rId283" Type="http://schemas.openxmlformats.org/officeDocument/2006/relationships/hyperlink" Target="https://filestore.fortinet.com/docs.fortinet.com/fsiem/Public_Resource_Access/7_6_0/rules/PH_RULE_Transfering_Files_with_Credential_Data_via_Network_Shares.htm" TargetMode="External"/><Relationship Id="rId284" Type="http://schemas.openxmlformats.org/officeDocument/2006/relationships/hyperlink" Target="https://filestore.fortinet.com/docs.fortinet.com/fsiem/Public_Resource_Access/7_6_0/rules/PH_RULE_Typical_HiveNightmare_SAM_File_Export.htm" TargetMode="External"/><Relationship Id="rId285" Type="http://schemas.openxmlformats.org/officeDocument/2006/relationships/hyperlink" Target="https://filestore.fortinet.com/docs.fortinet.com/fsiem/Public_Resource_Access/7_6_0/rules/PH_RULE_Unsigned_Image_Loaded_Into_LSASS_Process.htm" TargetMode="External"/><Relationship Id="rId286" Type="http://schemas.openxmlformats.org/officeDocument/2006/relationships/hyperlink" Target="https://filestore.fortinet.com/docs.fortinet.com/fsiem/Public_Resource_Access/7_6_0/rules/PH_RULE_Use_of_Adplus_exe.htm" TargetMode="External"/><Relationship Id="rId287" Type="http://schemas.openxmlformats.org/officeDocument/2006/relationships/hyperlink" Target="https://filestore.fortinet.com/docs.fortinet.com/fsiem/Public_Resource_Access/7_6_0/rules/PH_RULE_Use_of_PktMon_exe.htm" TargetMode="External"/><Relationship Id="rId288" Type="http://schemas.openxmlformats.org/officeDocument/2006/relationships/hyperlink" Target="https://filestore.fortinet.com/docs.fortinet.com/fsiem/Public_Resource_Access/7_6_0/rules/PH_RULE_User_Added_to_Local_Administrators.htm" TargetMode="External"/><Relationship Id="rId289" Type="http://schemas.openxmlformats.org/officeDocument/2006/relationships/hyperlink" Target="https://filestore.fortinet.com/docs.fortinet.com/fsiem/Public_Resource_Access/7_6_0/rules/PH_RULE_VeeamBackup_Database_Credentials_Dump.htm" TargetMode="External"/><Relationship Id="rId290" Type="http://schemas.openxmlformats.org/officeDocument/2006/relationships/hyperlink" Target="https://filestore.fortinet.com/docs.fortinet.com/fsiem/Public_Resource_Access/7_6_0/rules/PH_RULE_Volume_Shadow_Copy_Mount.htm" TargetMode="External"/><Relationship Id="rId291" Type="http://schemas.openxmlformats.org/officeDocument/2006/relationships/hyperlink" Target="https://filestore.fortinet.com/docs.fortinet.com/fsiem/Public_Resource_Access/7_6_0/rules/PH_RULE_Shadow_Copies_Access_via_Symlink.htm" TargetMode="External"/><Relationship Id="rId292" Type="http://schemas.openxmlformats.org/officeDocument/2006/relationships/hyperlink" Target="https://filestore.fortinet.com/docs.fortinet.com/fsiem/Public_Resource_Access/7_6_0/rules/PH_RULE_VSSAudit_Security_Event_Source_Registration.htm" TargetMode="External"/><Relationship Id="rId293" Type="http://schemas.openxmlformats.org/officeDocument/2006/relationships/hyperlink" Target="https://filestore.fortinet.com/docs.fortinet.com/fsiem/Public_Resource_Access/7_6_0/rules/PH_RULE_WCE_wceaux_dll_Access.htm" TargetMode="External"/><Relationship Id="rId294" Type="http://schemas.openxmlformats.org/officeDocument/2006/relationships/hyperlink" Target="https://filestore.fortinet.com/docs.fortinet.com/fsiem/Public_Resource_Access/7_6_0/rules/PH_RULE_Weak_or_Abused_Passwords_In_CLI.htm" TargetMode="External"/><Relationship Id="rId295" Type="http://schemas.openxmlformats.org/officeDocument/2006/relationships/hyperlink" Target="https://filestore.fortinet.com/docs.fortinet.com/fsiem/Public_Resource_Access/7_6_0/rules/PH_RULE_WerFault_Accassing_LSASS.htm" TargetMode="External"/><Relationship Id="rId296" Type="http://schemas.openxmlformats.org/officeDocument/2006/relationships/hyperlink" Target="https://filestore.fortinet.com/docs.fortinet.com/fsiem/Public_Resource_Access/7_6_0/rules/PH_RULE_WerFault_LSASS_Process_Memory_Dump.htm" TargetMode="External"/><Relationship Id="rId297" Type="http://schemas.openxmlformats.org/officeDocument/2006/relationships/hyperlink" Target="https://filestore.fortinet.com/docs.fortinet.com/fsiem/Public_Resource_Access/7_6_0/rules/PH_RULE_Windows_Credential_Editor_Install_Registry.htm" TargetMode="External"/><Relationship Id="rId298" Type="http://schemas.openxmlformats.org/officeDocument/2006/relationships/hyperlink" Target="https://filestore.fortinet.com/docs.fortinet.com/fsiem/Public_Resource_Access/7_6_0/rules/PH_RULE_Windows_Credential_Manager_Access_via_VaultCmd.htm" TargetMode="External"/><Relationship Id="rId299" Type="http://schemas.openxmlformats.org/officeDocument/2006/relationships/hyperlink" Target="https://filestore.fortinet.com/docs.fortinet.com/fsiem/Public_Resource_Access/7_6_0/rules/PH_RULE_Windows_Pcap_Drivers.htm" TargetMode="External"/><Relationship Id="rId300" Type="http://schemas.openxmlformats.org/officeDocument/2006/relationships/hyperlink" Target="https://filestore.fortinet.com/docs.fortinet.com/fsiem/Public_Resource_Access/7_6_0/rules/PH_RULE_XORDump_Use.htm" TargetMode="External"/><Relationship Id="rId301" Type="http://schemas.openxmlformats.org/officeDocument/2006/relationships/hyperlink" Target="https://filestore.fortinet.com/docs.fortinet.com/fsiem/Public_Resource_Access/7_6_0/rules/PH_RULE_WIRELESS_MITM_ATTACK.htm" TargetMode="External"/><Relationship Id="rId302" Type="http://schemas.openxmlformats.org/officeDocument/2006/relationships/hyperlink" Target="https://filestore.fortinet.com/docs.fortinet.com/fsiem/Public_Resource_Access/7_6_0/rules/PH_RULE_ArubaOS_CX_MultipleUsersDeleted.htm" TargetMode="External"/><Relationship Id="rId303" Type="http://schemas.openxmlformats.org/officeDocument/2006/relationships/hyperlink" Target="https://filestore.fortinet.com/docs.fortinet.com/fsiem/Public_Resource_Access/7_6_0/rules/PH_RULE_ArubaOS_CX_UserAdded.htm" TargetMode="External"/><Relationship Id="rId304" Type="http://schemas.openxmlformats.org/officeDocument/2006/relationships/hyperlink" Target="https://filestore.fortinet.com/docs.fortinet.com/fsiem/Public_Resource_Access/7_6_0/rules/PH_RULE_ArubaOS_CX_UserDeleted.htm" TargetMode="External"/><Relationship Id="rId305" Type="http://schemas.openxmlformats.org/officeDocument/2006/relationships/hyperlink" Target="https://filestore.fortinet.com/docs.fortinet.com/fsiem/Public_Resource_Access/7_6_0/rules/PH_RULE_SCH_ATTACK_CHAIN.htm" TargetMode="External"/><Relationship Id="rId306" Type="http://schemas.openxmlformats.org/officeDocument/2006/relationships/hyperlink" Target="https://filestore.fortinet.com/docs.fortinet.com/fsiem/Public_Resource_Access/7_6_0/rules/PH_RULE_AWS_EC2_Network_Access_Control_List_Creation.htm" TargetMode="External"/><Relationship Id="rId307" Type="http://schemas.openxmlformats.org/officeDocument/2006/relationships/hyperlink" Target="https://filestore.fortinet.com/docs.fortinet.com/fsiem/Public_Resource_Access/7_6_0/rules/PH_RULE_AWS_IAM_Assume_Role_Policy_Update.htm" TargetMode="External"/><Relationship Id="rId308" Type="http://schemas.openxmlformats.org/officeDocument/2006/relationships/hyperlink" Target="https://filestore.fortinet.com/docs.fortinet.com/fsiem/Public_Resource_Access/7_6_0/rules/PH_RULE_AWS_IAM_Group_Creation.htm" TargetMode="External"/><Relationship Id="rId309" Type="http://schemas.openxmlformats.org/officeDocument/2006/relationships/hyperlink" Target="https://filestore.fortinet.com/docs.fortinet.com/fsiem/Public_Resource_Access/7_6_0/rules/PH_RULE_AWS_IAM_Group_Deletion.htm" TargetMode="External"/><Relationship Id="rId310" Type="http://schemas.openxmlformats.org/officeDocument/2006/relationships/hyperlink" Target="https://filestore.fortinet.com/docs.fortinet.com/fsiem/Public_Resource_Access/7_6_0/rules/PH_RULE_AWS_IAM_User_Addition_to_Group.htm" TargetMode="External"/><Relationship Id="rId311" Type="http://schemas.openxmlformats.org/officeDocument/2006/relationships/hyperlink" Target="https://filestore.fortinet.com/docs.fortinet.com/fsiem/Public_Resource_Access/7_6_0/rules/PH_RULE_AWS_Management_Console_Root_Login.htm" TargetMode="External"/><Relationship Id="rId312" Type="http://schemas.openxmlformats.org/officeDocument/2006/relationships/hyperlink" Target="https://filestore.fortinet.com/docs.fortinet.com/fsiem/Public_Resource_Access/7_6_0/rules/PH_RULE_Azure_Automation_Account_Created.htm" TargetMode="External"/><Relationship Id="rId313" Type="http://schemas.openxmlformats.org/officeDocument/2006/relationships/hyperlink" Target="https://filestore.fortinet.com/docs.fortinet.com/fsiem/Public_Resource_Access/7_6_0/rules/PH_RULE_Azure_Conditional_Access_Policy_Modified.htm" TargetMode="External"/><Relationship Id="rId314" Type="http://schemas.openxmlformats.org/officeDocument/2006/relationships/hyperlink" Target="https://filestore.fortinet.com/docs.fortinet.com/fsiem/Public_Resource_Access/7_6_0/rules/PH_RULE_Azure_Event_Hub_Authorization_Rule_Created_or_Updated.htm" TargetMode="External"/><Relationship Id="rId315" Type="http://schemas.openxmlformats.org/officeDocument/2006/relationships/hyperlink" Target="https://filestore.fortinet.com/docs.fortinet.com/fsiem/Public_Resource_Access/7_6_0/rules/PH_RULE_Azure_External_Guest_User_Invitation.htm" TargetMode="External"/><Relationship Id="rId316" Type="http://schemas.openxmlformats.org/officeDocument/2006/relationships/hyperlink" Target="https://filestore.fortinet.com/docs.fortinet.com/fsiem/Public_Resource_Access/7_6_0/rules/PH_RULE_Azure_Privilege_Identity_Management_Role_Modified.htm" TargetMode="External"/><Relationship Id="rId317" Type="http://schemas.openxmlformats.org/officeDocument/2006/relationships/hyperlink" Target="https://filestore.fortinet.com/docs.fortinet.com/fsiem/Public_Resource_Access/7_6_0/rules/PH_RULE_CONCURRENT_FAILED_AUTH_MULTI_CITY.htm" TargetMode="External"/><Relationship Id="rId318" Type="http://schemas.openxmlformats.org/officeDocument/2006/relationships/hyperlink" Target="https://filestore.fortinet.com/docs.fortinet.com/fsiem/Public_Resource_Access/7_6_0/rules/PH_RULE_CONCURRENT_SUCCESS_AUTH_MULTI_CITY.htm" TargetMode="External"/><Relationship Id="rId319" Type="http://schemas.openxmlformats.org/officeDocument/2006/relationships/hyperlink" Target="https://filestore.fortinet.com/docs.fortinet.com/fsiem/Public_Resource_Access/7_6_0/rules/PH_RULE_Crowd_CorrRuleDetectionSummEvent.htm" TargetMode="External"/><Relationship Id="rId320" Type="http://schemas.openxmlformats.org/officeDocument/2006/relationships/hyperlink" Target="https://filestore.fortinet.com/docs.fortinet.com/fsiem/Public_Resource_Access/7_6_0/rules/PH_RULE_Crowd_FCS_DetectionSummaryEvent.htm" TargetMode="External"/><Relationship Id="rId321" Type="http://schemas.openxmlformats.org/officeDocument/2006/relationships/hyperlink" Target="https://filestore.fortinet.com/docs.fortinet.com/fsiem/Public_Resource_Access/7_6_0/rules/PH_RULE_Crowd_IdentityProtectionEvent.htm" TargetMode="External"/><Relationship Id="rId322" Type="http://schemas.openxmlformats.org/officeDocument/2006/relationships/hyperlink" Target="https://filestore.fortinet.com/docs.fortinet.com/fsiem/Public_Resource_Access/7_6_0/rules/PH_RULE_Crowd_IDP_Detections_Trigger.htm" TargetMode="External"/><Relationship Id="rId323" Type="http://schemas.openxmlformats.org/officeDocument/2006/relationships/hyperlink" Target="https://filestore.fortinet.com/docs.fortinet.com/fsiem/Public_Resource_Access/7_6_0/rules/PH_RULE_CHANGE_DB_USER.htm" TargetMode="External"/><Relationship Id="rId324" Type="http://schemas.openxmlformats.org/officeDocument/2006/relationships/hyperlink" Target="https://filestore.fortinet.com/docs.fortinet.com/fsiem/Public_Resource_Access/7_6_0/rules/PH_RULE_DISABLED_ACCOUNT_ACCESS.htm" TargetMode="External"/><Relationship Id="rId325" Type="http://schemas.openxmlformats.org/officeDocument/2006/relationships/hyperlink" Target="https://filestore.fortinet.com/docs.fortinet.com/fsiem/Public_Resource_Access/7_6_0/rules/PH_RULE_DEST_DC_REPL_FAILURE.htm" TargetMode="External"/><Relationship Id="rId326" Type="http://schemas.openxmlformats.org/officeDocument/2006/relationships/hyperlink" Target="https://filestore.fortinet.com/docs.fortinet.com/fsiem/Public_Resource_Access/7_6_0/rules/PH_RULE_RANSOMWARE_DETECTED.htm" TargetMode="External"/><Relationship Id="rId327" Type="http://schemas.openxmlformats.org/officeDocument/2006/relationships/hyperlink" Target="https://filestore.fortinet.com/docs.fortinet.com/fsiem/Public_Resource_Access/7_6_0/rules/PH_RULE_SRC_DC_REPL_FAILURE.htm" TargetMode="External"/><Relationship Id="rId328" Type="http://schemas.openxmlformats.org/officeDocument/2006/relationships/hyperlink" Target="https://filestore.fortinet.com/docs.fortinet.com/fsiem/Public_Resource_Access/7_6_0/rules/PH_RULE_FAILED_ACTIVITY_ON_DISABLED_ACCT.htm" TargetMode="External"/><Relationship Id="rId329" Type="http://schemas.openxmlformats.org/officeDocument/2006/relationships/hyperlink" Target="https://filestore.fortinet.com/docs.fortinet.com/fsiem/Public_Resource_Access/7_6_0/rules/PH_RULE_DC_DIAG_FAILURE.htm" TargetMode="External"/><Relationship Id="rId330" Type="http://schemas.openxmlformats.org/officeDocument/2006/relationships/hyperlink" Target="https://filestore.fortinet.com/docs.fortinet.com/fsiem/Public_Resource_Access/7_6_0/rules/PH_RULE_CUST_FILE_PERM_OWN_CHANGE.htm" TargetMode="External"/><Relationship Id="rId331" Type="http://schemas.openxmlformats.org/officeDocument/2006/relationships/hyperlink" Target="https://filestore.fortinet.com/docs.fortinet.com/fsiem/Public_Resource_Access/7_6_0/rules/PH_RULE_FGT_Admin_User_Added.htm" TargetMode="External"/><Relationship Id="rId332" Type="http://schemas.openxmlformats.org/officeDocument/2006/relationships/hyperlink" Target="https://filestore.fortinet.com/docs.fortinet.com/fsiem/Public_Resource_Access/7_6_0/rules/PH_RULE_FGT_Admin_User_Added_Console.htm" TargetMode="External"/><Relationship Id="rId333" Type="http://schemas.openxmlformats.org/officeDocument/2006/relationships/hyperlink" Target="https://filestore.fortinet.com/docs.fortinet.com/fsiem/Public_Resource_Access/7_6_0/rules/PH_RULE_FGT_Admin_User_Deleted.htm" TargetMode="External"/><Relationship Id="rId334" Type="http://schemas.openxmlformats.org/officeDocument/2006/relationships/hyperlink" Target="https://filestore.fortinet.com/docs.fortinet.com/fsiem/Public_Resource_Access/7_6_0/rules/PH_RULE_FGT_Admin_User_Deleted_Console.htm" TargetMode="External"/><Relationship Id="rId335" Type="http://schemas.openxmlformats.org/officeDocument/2006/relationships/hyperlink" Target="https://filestore.fortinet.com/docs.fortinet.com/fsiem/Public_Resource_Access/7_6_0/rules/PH_RULE_SYS_USER_CREATED.htm" TargetMode="External"/><Relationship Id="rId336" Type="http://schemas.openxmlformats.org/officeDocument/2006/relationships/hyperlink" Target="https://filestore.fortinet.com/docs.fortinet.com/fsiem/Public_Resource_Access/7_6_0/rules/PH_RULE_GCP_AUDIT_IAM_CUSTOM_ROLE_CREATED.htm" TargetMode="External"/><Relationship Id="rId337" Type="http://schemas.openxmlformats.org/officeDocument/2006/relationships/hyperlink" Target="https://filestore.fortinet.com/docs.fortinet.com/fsiem/Public_Resource_Access/7_6_0/rules/PH_RULE_GCP_AUDIT_IAM_CUSTOM_ROLE_DELETED.htm" TargetMode="External"/><Relationship Id="rId338" Type="http://schemas.openxmlformats.org/officeDocument/2006/relationships/hyperlink" Target="https://filestore.fortinet.com/docs.fortinet.com/fsiem/Public_Resource_Access/7_6_0/rules/PH_RULE_GCP_AUDIT_IAM_ROLE_ASSIGNED.htm" TargetMode="External"/><Relationship Id="rId339" Type="http://schemas.openxmlformats.org/officeDocument/2006/relationships/hyperlink" Target="https://filestore.fortinet.com/docs.fortinet.com/fsiem/Public_Resource_Access/7_6_0/rules/PH_RULE_GCP_AUDIT_SERVICE_ACCOUNT_KEY_CREATE.htm" TargetMode="External"/><Relationship Id="rId340" Type="http://schemas.openxmlformats.org/officeDocument/2006/relationships/hyperlink" Target="https://filestore.fortinet.com/docs.fortinet.com/fsiem/Public_Resource_Access/7_6_0/rules/PH_RULE_GCP_AUDIT_SERVICE_ACCOUNT_KEY_DELETE.htm" TargetMode="External"/><Relationship Id="rId341" Type="http://schemas.openxmlformats.org/officeDocument/2006/relationships/hyperlink" Target="https://filestore.fortinet.com/docs.fortinet.com/fsiem/Public_Resource_Access/7_6_0/rules/PH_RULE_GCP_AUDIT_SERVICE_ACCOUNT_CREATED.htm" TargetMode="External"/><Relationship Id="rId342" Type="http://schemas.openxmlformats.org/officeDocument/2006/relationships/hyperlink" Target="https://filestore.fortinet.com/docs.fortinet.com/fsiem/Public_Resource_Access/7_6_0/rules/PH_RULE_GCP_AUDIT_SERVICE_ACCOUNT_DELETED.htm" TargetMode="External"/><Relationship Id="rId343" Type="http://schemas.openxmlformats.org/officeDocument/2006/relationships/hyperlink" Target="https://filestore.fortinet.com/docs.fortinet.com/fsiem/Public_Resource_Access/7_6_0/rules/PH_RULE_GCP_AUDIT_SERVICE_ACCOUNT_DISABLED.htm" TargetMode="External"/><Relationship Id="rId344" Type="http://schemas.openxmlformats.org/officeDocument/2006/relationships/hyperlink" Target="https://filestore.fortinet.com/docs.fortinet.com/fsiem/Public_Resource_Access/7_6_0/rules/PH_RULE_Google_Workspace_API_AccessPermit.htm" TargetMode="External"/><Relationship Id="rId345" Type="http://schemas.openxmlformats.org/officeDocument/2006/relationships/hyperlink" Target="https://filestore.fortinet.com/docs.fortinet.com/fsiem/Public_Resource_Access/7_6_0/rules/PH_RULE_Google_Workspace_RoleAssigned.htm" TargetMode="External"/><Relationship Id="rId346" Type="http://schemas.openxmlformats.org/officeDocument/2006/relationships/hyperlink" Target="https://filestore.fortinet.com/docs.fortinet.com/fsiem/Public_Resource_Access/7_6_0/rules/PH_RULE_Google_Workspace_RoleCreated.htm" TargetMode="External"/><Relationship Id="rId347" Type="http://schemas.openxmlformats.org/officeDocument/2006/relationships/hyperlink" Target="https://filestore.fortinet.com/docs.fortinet.com/fsiem/Public_Resource_Access/7_6_0/rules/PH_RULE_Google_Workspace_RoleModified.htm" TargetMode="External"/><Relationship Id="rId348" Type="http://schemas.openxmlformats.org/officeDocument/2006/relationships/hyperlink" Target="https://filestore.fortinet.com/docs.fortinet.com/fsiem/Public_Resource_Access/7_6_0/rules/PH_RULE_GPO_Created.htm" TargetMode="External"/><Relationship Id="rId349" Type="http://schemas.openxmlformats.org/officeDocument/2006/relationships/hyperlink" Target="https://filestore.fortinet.com/docs.fortinet.com/fsiem/Public_Resource_Access/7_6_0/rules/PH_RULE_GPO_Modification.htm" TargetMode="External"/><Relationship Id="rId350" Type="http://schemas.openxmlformats.org/officeDocument/2006/relationships/hyperlink" Target="https://filestore.fortinet.com/docs.fortinet.com/fsiem/Public_Resource_Access/7_6_0/rules/PH_RULE_ICS_Data_from_Information_Repositories.htm" TargetMode="External"/><Relationship Id="rId351" Type="http://schemas.openxmlformats.org/officeDocument/2006/relationships/hyperlink" Target="https://filestore.fortinet.com/docs.fortinet.com/fsiem/Public_Resource_Access/7_6_0/rules/PH_RULE_ICS_Screen_Capture.htm" TargetMode="External"/><Relationship Id="rId352" Type="http://schemas.openxmlformats.org/officeDocument/2006/relationships/hyperlink" Target="https://filestore.fortinet.com/docs.fortinet.com/fsiem/Public_Resource_Access/7_6_0/rules/PH_RULE_Linux_Account_Discovery_via_Built_In_Tools.htm" TargetMode="External"/><Relationship Id="rId353" Type="http://schemas.openxmlformats.org/officeDocument/2006/relationships/hyperlink" Target="https://filestore.fortinet.com/docs.fortinet.com/fsiem/Public_Resource_Access/7_6_0/rules/PH_RULE_LINUX_USER_UNLOCKED.htm" TargetMode="External"/><Relationship Id="rId354" Type="http://schemas.openxmlformats.org/officeDocument/2006/relationships/hyperlink" Target="https://filestore.fortinet.com/docs.fortinet.com/fsiem/Public_Resource_Access/7_6_0/rules/PH_RULE_LINUX_AGENT_DIR_PERM_OWN_CHANGE.htm" TargetMode="External"/><Relationship Id="rId355" Type="http://schemas.openxmlformats.org/officeDocument/2006/relationships/hyperlink" Target="https://filestore.fortinet.com/docs.fortinet.com/fsiem/Public_Resource_Access/7_6_0/rules/PH_RULE_FILE_PERM_OWN_CHANGE.htm" TargetMode="External"/><Relationship Id="rId356" Type="http://schemas.openxmlformats.org/officeDocument/2006/relationships/hyperlink" Target="https://filestore.fortinet.com/docs.fortinet.com/fsiem/Public_Resource_Access/7_6_0/rules/PH_RULE_LINUX_USER_PROP_CHANGED.htm" TargetMode="External"/><Relationship Id="rId357" Type="http://schemas.openxmlformats.org/officeDocument/2006/relationships/hyperlink" Target="https://filestore.fortinet.com/docs.fortinet.com/fsiem/Public_Resource_Access/7_6_0/rules/PH_RULE_LINUX_USER_ADDED_TO_ADMIN_GROUP.htm" TargetMode="External"/><Relationship Id="rId358" Type="http://schemas.openxmlformats.org/officeDocument/2006/relationships/hyperlink" Target="https://filestore.fortinet.com/docs.fortinet.com/fsiem/Public_Resource_Access/7_6_0/rules/PH_RULE_LINUX_USER_ADDED_TO_GROUP.htm" TargetMode="External"/><Relationship Id="rId359" Type="http://schemas.openxmlformats.org/officeDocument/2006/relationships/hyperlink" Target="https://filestore.fortinet.com/docs.fortinet.com/fsiem/Public_Resource_Access/7_6_0/rules/PH_RULE_LINUX_USER_CREATED.htm" TargetMode="External"/><Relationship Id="rId360" Type="http://schemas.openxmlformats.org/officeDocument/2006/relationships/hyperlink" Target="https://filestore.fortinet.com/docs.fortinet.com/fsiem/Public_Resource_Access/7_6_0/rules/PH_RULE_LINUX_USER_DELETED.htm" TargetMode="External"/><Relationship Id="rId361" Type="http://schemas.openxmlformats.org/officeDocument/2006/relationships/hyperlink" Target="https://filestore.fortinet.com/docs.fortinet.com/fsiem/Public_Resource_Access/7_6_0/rules/PH_RULE_LINUX_USER_DELETED_FROM_ADMIN_GROUP.htm" TargetMode="External"/><Relationship Id="rId362" Type="http://schemas.openxmlformats.org/officeDocument/2006/relationships/hyperlink" Target="https://filestore.fortinet.com/docs.fortinet.com/fsiem/Public_Resource_Access/7_6_0/rules/PH_RULE_LINUX_USER_DELETED_FROM_GROUP.htm" TargetMode="External"/><Relationship Id="rId363" Type="http://schemas.openxmlformats.org/officeDocument/2006/relationships/hyperlink" Target="https://filestore.fortinet.com/docs.fortinet.com/fsiem/Public_Resource_Access/7_6_0/rules/PH_RULE_LINUX_USER_NAME_CHANGED.htm" TargetMode="External"/><Relationship Id="rId364" Type="http://schemas.openxmlformats.org/officeDocument/2006/relationships/hyperlink" Target="https://filestore.fortinet.com/docs.fortinet.com/fsiem/Public_Resource_Access/7_6_0/rules/PH_RULE_LINUX_USER_PWD_CHANGED.htm" TargetMode="External"/><Relationship Id="rId365" Type="http://schemas.openxmlformats.org/officeDocument/2006/relationships/hyperlink" Target="https://filestore.fortinet.com/docs.fortinet.com/fsiem/Public_Resource_Access/7_6_0/rules/PH_RULE_Linux_Creation_of_an_Archive_with_Common_Archivers.htm" TargetMode="External"/><Relationship Id="rId366" Type="http://schemas.openxmlformats.org/officeDocument/2006/relationships/hyperlink" Target="https://filestore.fortinet.com/docs.fortinet.com/fsiem/Public_Resource_Access/7_6_0/rules/PH_RULE_TH_Linux_sudoers_mod.htm" TargetMode="External"/><Relationship Id="rId367" Type="http://schemas.openxmlformats.org/officeDocument/2006/relationships/hyperlink" Target="https://filestore.fortinet.com/docs.fortinet.com/fsiem/Public_Resource_Access/7_6_0/rules/PH_RULE_LOGON_TIME_VIOLATION.htm" TargetMode="External"/><Relationship Id="rId368" Type="http://schemas.openxmlformats.org/officeDocument/2006/relationships/hyperlink" Target="https://filestore.fortinet.com/docs.fortinet.com/fsiem/Public_Resource_Access/7_6_0/rules/PH_RULE_MERAKI_NEW_SPLASH_USER.htm" TargetMode="External"/><Relationship Id="rId369" Type="http://schemas.openxmlformats.org/officeDocument/2006/relationships/hyperlink" Target="https://filestore.fortinet.com/docs.fortinet.com/fsiem/Public_Resource_Access/7_6_0/rules/PH_RULE_MS_Entra_IdentityProtectRiskyUser.htm" TargetMode="External"/><Relationship Id="rId370" Type="http://schemas.openxmlformats.org/officeDocument/2006/relationships/hyperlink" Target="https://filestore.fortinet.com/docs.fortinet.com/fsiem/Public_Resource_Access/7_6_0/rules/PH_RULE_Multi_Factor_Authentication_Disabled_for_an_Azure_User.htm" TargetMode="External"/><Relationship Id="rId371" Type="http://schemas.openxmlformats.org/officeDocument/2006/relationships/hyperlink" Target="https://filestore.fortinet.com/docs.fortinet.com/fsiem/Public_Resource_Access/7_6_0/rules/PH_RULE_MULTI_ACCOUNT_DISABLED.htm" TargetMode="External"/><Relationship Id="rId372" Type="http://schemas.openxmlformats.org/officeDocument/2006/relationships/hyperlink" Target="https://filestore.fortinet.com/docs.fortinet.com/fsiem/Public_Resource_Access/7_6_0/rules/PH_RULE_OracleOci_CustSecretKeyCreated.htm" TargetMode="External"/><Relationship Id="rId373" Type="http://schemas.openxmlformats.org/officeDocument/2006/relationships/hyperlink" Target="https://filestore.fortinet.com/docs.fortinet.com/fsiem/Public_Resource_Access/7_6_0/rules/PH_RULE_OracleOci_GroupCreated.htm" TargetMode="External"/><Relationship Id="rId374" Type="http://schemas.openxmlformats.org/officeDocument/2006/relationships/hyperlink" Target="https://filestore.fortinet.com/docs.fortinet.com/fsiem/Public_Resource_Access/7_6_0/rules/PH_RULE_OracleOci_UserApiKeyUploaded.htm" TargetMode="External"/><Relationship Id="rId375" Type="http://schemas.openxmlformats.org/officeDocument/2006/relationships/hyperlink" Target="https://filestore.fortinet.com/docs.fortinet.com/fsiem/Public_Resource_Access/7_6_0/rules/PH_RULE_OracleOci_UserAuthTokenCreated.htm" TargetMode="External"/><Relationship Id="rId376" Type="http://schemas.openxmlformats.org/officeDocument/2006/relationships/hyperlink" Target="https://filestore.fortinet.com/docs.fortinet.com/fsiem/Public_Resource_Access/7_6_0/rules/PH_RULE_OracleOci_UserCreated.htm" TargetMode="External"/><Relationship Id="rId377" Type="http://schemas.openxmlformats.org/officeDocument/2006/relationships/hyperlink" Target="https://filestore.fortinet.com/docs.fortinet.com/fsiem/Public_Resource_Access/7_6_0/rules/PH_RULE_OracleOci_UserDeleted.htm" TargetMode="External"/><Relationship Id="rId378" Type="http://schemas.openxmlformats.org/officeDocument/2006/relationships/hyperlink" Target="https://filestore.fortinet.com/docs.fortinet.com/fsiem/Public_Resource_Access/7_6_0/rules/PH_RULE_OracleOci_UserOAuthClientCredCreated.htm" TargetMode="External"/><Relationship Id="rId379" Type="http://schemas.openxmlformats.org/officeDocument/2006/relationships/hyperlink" Target="https://filestore.fortinet.com/docs.fortinet.com/fsiem/Public_Resource_Access/7_6_0/rules/PH_RULE_O365_AdminUserMailForwardRuleCreated.htm" TargetMode="External"/><Relationship Id="rId380" Type="http://schemas.openxmlformats.org/officeDocument/2006/relationships/hyperlink" Target="https://filestore.fortinet.com/docs.fortinet.com/fsiem/Public_Resource_Access/7_6_0/rules/PH_RULE_O365_StrongAuthDisabled.htm" TargetMode="External"/><Relationship Id="rId381" Type="http://schemas.openxmlformats.org/officeDocument/2006/relationships/hyperlink" Target="https://filestore.fortinet.com/docs.fortinet.com/fsiem/Public_Resource_Access/7_6_0/rules/PH_RULE_ActiveDirectory_PrivEscalExploit_Host.htm" TargetMode="External"/><Relationship Id="rId382" Type="http://schemas.openxmlformats.org/officeDocument/2006/relationships/hyperlink" Target="https://filestore.fortinet.com/docs.fortinet.com/fsiem/Public_Resource_Access/7_6_0/rules/PH_RULE_ActiveDirectory_PrivEscalExploit_Network.htm" TargetMode="External"/><Relationship Id="rId383" Type="http://schemas.openxmlformats.org/officeDocument/2006/relationships/hyperlink" Target="https://filestore.fortinet.com/docs.fortinet.com/fsiem/Public_Resource_Access/7_6_0/rules/PH_RULE_FAILED_PRIV_EXEC.htm" TargetMode="External"/><Relationship Id="rId384" Type="http://schemas.openxmlformats.org/officeDocument/2006/relationships/hyperlink" Target="https://filestore.fortinet.com/docs.fortinet.com/fsiem/Public_Resource_Access/7_6_0/rules/PH_RULE_RANSOMWARE_OUTBREAK_DETECTED.htm" TargetMode="External"/><Relationship Id="rId385" Type="http://schemas.openxmlformats.org/officeDocument/2006/relationships/hyperlink" Target="https://filestore.fortinet.com/docs.fortinet.com/fsiem/Public_Resource_Access/7_6_0/rules/PH_RULE_Cert_Mon_SelfSigned_Win_CertAdded.htm" TargetMode="External"/><Relationship Id="rId386" Type="http://schemas.openxmlformats.org/officeDocument/2006/relationships/hyperlink" Target="https://filestore.fortinet.com/docs.fortinet.com/fsiem/Public_Resource_Access/7_6_0/rules/PH_RULE_SUCCESS_ACTIVITY_ON_DISABLED_ACCT.htm" TargetMode="External"/><Relationship Id="rId387" Type="http://schemas.openxmlformats.org/officeDocument/2006/relationships/hyperlink" Target="https://filestore.fortinet.com/docs.fortinet.com/fsiem/Public_Resource_Access/7_6_0/rules/PH_RULE_DORMANT_USER_LOGON.htm" TargetMode="External"/><Relationship Id="rId388" Type="http://schemas.openxmlformats.org/officeDocument/2006/relationships/hyperlink" Target="https://filestore.fortinet.com/docs.fortinet.com/fsiem/Public_Resource_Access/7_6_0/rules/PH_RULE_ANOMALY_FAILED_LOGON.htm" TargetMode="External"/><Relationship Id="rId389" Type="http://schemas.openxmlformats.org/officeDocument/2006/relationships/hyperlink" Target="https://filestore.fortinet.com/docs.fortinet.com/fsiem/Public_Resource_Access/7_6_0/rules/PH_RULE_ANOMALY_SUCCESSFUL_LOGON.htm" TargetMode="External"/><Relationship Id="rId390" Type="http://schemas.openxmlformats.org/officeDocument/2006/relationships/hyperlink" Target="https://filestore.fortinet.com/docs.fortinet.com/fsiem/Public_Resource_Access/7_6_0/rules/PH_RULE_TRANSIENT_ACCT_USAGE.htm" TargetMode="External"/><Relationship Id="rId391" Type="http://schemas.openxmlformats.org/officeDocument/2006/relationships/hyperlink" Target="https://filestore.fortinet.com/docs.fortinet.com/fsiem/Public_Resource_Access/7_6_0/rules/PH_RULE_SCH_TRANSIENT_ACCT_USAGE.htm" TargetMode="External"/><Relationship Id="rId392" Type="http://schemas.openxmlformats.org/officeDocument/2006/relationships/hyperlink" Target="https://filestore.fortinet.com/docs.fortinet.com/fsiem/Public_Resource_Access/7_6_0/rules/PH_RULE_AWS_UNCOMMON_LOGIN.htm" TargetMode="External"/><Relationship Id="rId393" Type="http://schemas.openxmlformats.org/officeDocument/2006/relationships/hyperlink" Target="https://filestore.fortinet.com/docs.fortinet.com/fsiem/Public_Resource_Access/7_6_0/rules/PH_RULE_AZURE_PORTAL_UNCOMMON_LOGIN.htm" TargetMode="External"/><Relationship Id="rId394" Type="http://schemas.openxmlformats.org/officeDocument/2006/relationships/hyperlink" Target="https://filestore.fortinet.com/docs.fortinet.com/fsiem/Public_Resource_Access/7_6_0/rules/PH_RULE_GSUITE_UNCOMMON_LOGIN.htm" TargetMode="External"/><Relationship Id="rId395" Type="http://schemas.openxmlformats.org/officeDocument/2006/relationships/hyperlink" Target="https://filestore.fortinet.com/docs.fortinet.com/fsiem/Public_Resource_Access/7_6_0/rules/PH_RULE_LINUX_UNCOMMON_SSH.htm" TargetMode="External"/><Relationship Id="rId396" Type="http://schemas.openxmlformats.org/officeDocument/2006/relationships/hyperlink" Target="https://filestore.fortinet.com/docs.fortinet.com/fsiem/Public_Resource_Access/7_6_0/rules/PH_RULE_O365_MAIL_UNCOMMON_LOGIN.htm" TargetMode="External"/><Relationship Id="rId397" Type="http://schemas.openxmlformats.org/officeDocument/2006/relationships/hyperlink" Target="https://filestore.fortinet.com/docs.fortinet.com/fsiem/Public_Resource_Access/7_6_0/rules/PH_RULE_VPN_UNCOMMON_LOGIN.htm" TargetMode="External"/><Relationship Id="rId398" Type="http://schemas.openxmlformats.org/officeDocument/2006/relationships/hyperlink" Target="https://filestore.fortinet.com/docs.fortinet.com/fsiem/Public_Resource_Access/7_6_0/rules/PH_RULE_WINDOWS_UNCOMMON_RDP.htm" TargetMode="External"/><Relationship Id="rId399" Type="http://schemas.openxmlformats.org/officeDocument/2006/relationships/hyperlink" Target="https://filestore.fortinet.com/docs.fortinet.com/fsiem/Public_Resource_Access/7_6_0/rules/PH_RULE_ADD_WIN_ADMINISTRATOR.htm" TargetMode="External"/><Relationship Id="rId400" Type="http://schemas.openxmlformats.org/officeDocument/2006/relationships/hyperlink" Target="https://filestore.fortinet.com/docs.fortinet.com/fsiem/Public_Resource_Access/7_6_0/rules/PH_RULE_ADD_BACKUP_OPERATOR.htm" TargetMode="External"/><Relationship Id="rId401" Type="http://schemas.openxmlformats.org/officeDocument/2006/relationships/hyperlink" Target="https://filestore.fortinet.com/docs.fortinet.com/fsiem/Public_Resource_Access/7_6_0/rules/PH_RULE_ADD_DNS_ADMIN.htm" TargetMode="External"/><Relationship Id="rId402" Type="http://schemas.openxmlformats.org/officeDocument/2006/relationships/hyperlink" Target="https://filestore.fortinet.com/docs.fortinet.com/fsiem/Public_Resource_Access/7_6_0/rules/PH_RULE_ADD_DOMAIN_ADMIN.htm" TargetMode="External"/><Relationship Id="rId403" Type="http://schemas.openxmlformats.org/officeDocument/2006/relationships/hyperlink" Target="https://filestore.fortinet.com/docs.fortinet.com/fsiem/Public_Resource_Access/7_6_0/rules/PH_RULE_ADD_REMOTE_DESKTOP_USER.htm" TargetMode="External"/><Relationship Id="rId404" Type="http://schemas.openxmlformats.org/officeDocument/2006/relationships/hyperlink" Target="https://filestore.fortinet.com/docs.fortinet.com/fsiem/Public_Resource_Access/7_6_0/rules/PH_RULE_DELETE_WIN_ADMINISTRATOR.htm" TargetMode="External"/><Relationship Id="rId405" Type="http://schemas.openxmlformats.org/officeDocument/2006/relationships/hyperlink" Target="https://filestore.fortinet.com/docs.fortinet.com/fsiem/Public_Resource_Access/7_6_0/rules/PH_RULE_DELETE_BACKUP_OPERATOR.htm" TargetMode="External"/><Relationship Id="rId406" Type="http://schemas.openxmlformats.org/officeDocument/2006/relationships/hyperlink" Target="https://filestore.fortinet.com/docs.fortinet.com/fsiem/Public_Resource_Access/7_6_0/rules/PH_RULE_DELETE_DNS_ADMIN.htm" TargetMode="External"/><Relationship Id="rId407" Type="http://schemas.openxmlformats.org/officeDocument/2006/relationships/hyperlink" Target="https://filestore.fortinet.com/docs.fortinet.com/fsiem/Public_Resource_Access/7_6_0/rules/PH_RULE_DELETE_DOMAIN_ADMIN.htm" TargetMode="External"/><Relationship Id="rId408" Type="http://schemas.openxmlformats.org/officeDocument/2006/relationships/hyperlink" Target="https://filestore.fortinet.com/docs.fortinet.com/fsiem/Public_Resource_Access/7_6_0/rules/PH_RULE_DELETE_REMOTE_DESKTOP_USER.htm" TargetMode="External"/><Relationship Id="rId409" Type="http://schemas.openxmlformats.org/officeDocument/2006/relationships/hyperlink" Target="https://filestore.fortinet.com/docs.fortinet.com/fsiem/Public_Resource_Access/7_6_0/rules/PH_RULE_WIN_USER_UNLOCKED.htm" TargetMode="External"/><Relationship Id="rId410" Type="http://schemas.openxmlformats.org/officeDocument/2006/relationships/hyperlink" Target="https://filestore.fortinet.com/docs.fortinet.com/fsiem/Public_Resource_Access/7_6_0/rules/PH_RULE_AUDIT_DISABLED.htm" TargetMode="External"/><Relationship Id="rId411" Type="http://schemas.openxmlformats.org/officeDocument/2006/relationships/hyperlink" Target="https://filestore.fortinet.com/docs.fortinet.com/fsiem/Public_Resource_Access/7_6_0/rules/PH_RULE_WINDOWS_CLUSTER_MEMBERSHIP_ERROR.htm" TargetMode="External"/><Relationship Id="rId412" Type="http://schemas.openxmlformats.org/officeDocument/2006/relationships/hyperlink" Target="https://filestore.fortinet.com/docs.fortinet.com/fsiem/Public_Resource_Access/7_6_0/rules/PH_RULE_WINDOWS_CLUSTER_QUORUM_ERROR.htm" TargetMode="External"/><Relationship Id="rId413" Type="http://schemas.openxmlformats.org/officeDocument/2006/relationships/hyperlink" Target="https://filestore.fortinet.com/docs.fortinet.com/fsiem/Public_Resource_Access/7_6_0/rules/PH_RULE_WINDOWS_CLUSTER_STARTUP_ERROR.htm" TargetMode="External"/><Relationship Id="rId414" Type="http://schemas.openxmlformats.org/officeDocument/2006/relationships/hyperlink" Target="https://filestore.fortinet.com/docs.fortinet.com/fsiem/Public_Resource_Access/7_6_0/rules/PH_RULE_WIN_AGENT_FILE_PERM_CHANGE.htm" TargetMode="External"/><Relationship Id="rId415" Type="http://schemas.openxmlformats.org/officeDocument/2006/relationships/hyperlink" Target="https://filestore.fortinet.com/docs.fortinet.com/fsiem/Public_Resource_Access/7_6_0/rules/PH_RULE_DORMANT_USER_DETECTED.htm" TargetMode="External"/><Relationship Id="rId416" Type="http://schemas.openxmlformats.org/officeDocument/2006/relationships/hyperlink" Target="https://filestore.fortinet.com/docs.fortinet.com/fsiem/Public_Resource_Access/7_6_0/rules/PH_RULE_WINDOWS_FAILED_FILE_ACCESS.htm" TargetMode="External"/><Relationship Id="rId417" Type="http://schemas.openxmlformats.org/officeDocument/2006/relationships/hyperlink" Target="https://filestore.fortinet.com/docs.fortinet.com/fsiem/Public_Resource_Access/7_6_0/rules/PH_RULE_WIN_GROUP_CHANGED.htm" TargetMode="External"/><Relationship Id="rId418" Type="http://schemas.openxmlformats.org/officeDocument/2006/relationships/hyperlink" Target="https://filestore.fortinet.com/docs.fortinet.com/fsiem/Public_Resource_Access/7_6_0/rules/PH_RULE_WIN_GROUP_CREATED.htm" TargetMode="External"/><Relationship Id="rId419" Type="http://schemas.openxmlformats.org/officeDocument/2006/relationships/hyperlink" Target="https://filestore.fortinet.com/docs.fortinet.com/fsiem/Public_Resource_Access/7_6_0/rules/PH_RULE_WIN_GROUP_DELETED.htm" TargetMode="External"/><Relationship Id="rId420" Type="http://schemas.openxmlformats.org/officeDocument/2006/relationships/hyperlink" Target="https://filestore.fortinet.com/docs.fortinet.com/fsiem/Public_Resource_Access/7_6_0/rules/PH_RULE_WIN_SEC_LOG_SVC_SHUTDOWN.htm" TargetMode="External"/><Relationship Id="rId421" Type="http://schemas.openxmlformats.org/officeDocument/2006/relationships/hyperlink" Target="https://filestore.fortinet.com/docs.fortinet.com/fsiem/Public_Resource_Access/7_6_0/rules/PH_RULE_WIN_SEC_LOG_SVC_SHUTDOWN_NO_RESTART.htm" TargetMode="External"/><Relationship Id="rId422" Type="http://schemas.openxmlformats.org/officeDocument/2006/relationships/hyperlink" Target="https://filestore.fortinet.com/docs.fortinet.com/fsiem/Public_Resource_Access/7_6_0/rules/PH_RULE_WIN_SEC_LOG_CLEARED.htm" TargetMode="External"/><Relationship Id="rId423" Type="http://schemas.openxmlformats.org/officeDocument/2006/relationships/hyperlink" Target="https://filestore.fortinet.com/docs.fortinet.com/fsiem/Public_Resource_Access/7_6_0/rules/PH_RULE_WIN_SEC_LOG_FULL.htm" TargetMode="External"/><Relationship Id="rId424" Type="http://schemas.openxmlformats.org/officeDocument/2006/relationships/hyperlink" Target="https://filestore.fortinet.com/docs.fortinet.com/fsiem/Public_Resource_Access/7_6_0/rules/PH_RULE_WINDOWS_SUCCESS_FILE_ACCESS.htm" TargetMode="External"/><Relationship Id="rId425" Type="http://schemas.openxmlformats.org/officeDocument/2006/relationships/hyperlink" Target="https://filestore.fortinet.com/docs.fortinet.com/fsiem/Public_Resource_Access/7_6_0/rules/PH_RULE_WIN_USER_DISABLED.htm" TargetMode="External"/><Relationship Id="rId426" Type="http://schemas.openxmlformats.org/officeDocument/2006/relationships/hyperlink" Target="https://filestore.fortinet.com/docs.fortinet.com/fsiem/Public_Resource_Access/7_6_0/rules/PH_RULE_WIN_USER_ENABLED.htm" TargetMode="External"/><Relationship Id="rId427" Type="http://schemas.openxmlformats.org/officeDocument/2006/relationships/hyperlink" Target="https://filestore.fortinet.com/docs.fortinet.com/fsiem/Public_Resource_Access/7_6_0/rules/PH_RULE_WIN_USER_NAME_CHANGED.htm" TargetMode="External"/><Relationship Id="rId428" Type="http://schemas.openxmlformats.org/officeDocument/2006/relationships/hyperlink" Target="https://filestore.fortinet.com/docs.fortinet.com/fsiem/Public_Resource_Access/7_6_0/rules/PH_RULE_WIN_USER_PROP_CHANGED.htm" TargetMode="External"/><Relationship Id="rId429" Type="http://schemas.openxmlformats.org/officeDocument/2006/relationships/hyperlink" Target="https://filestore.fortinet.com/docs.fortinet.com/fsiem/Public_Resource_Access/7_6_0/rules/PH_RULE_WIN_USER_ADDED_TO_GROUP.htm" TargetMode="External"/><Relationship Id="rId430" Type="http://schemas.openxmlformats.org/officeDocument/2006/relationships/hyperlink" Target="https://filestore.fortinet.com/docs.fortinet.com/fsiem/Public_Resource_Access/7_6_0/rules/PH_RULE_WIN_USER_CREATED.htm" TargetMode="External"/><Relationship Id="rId431" Type="http://schemas.openxmlformats.org/officeDocument/2006/relationships/hyperlink" Target="https://filestore.fortinet.com/docs.fortinet.com/fsiem/Public_Resource_Access/7_6_0/rules/PH_RULE_WIN_USER_DELETED.htm" TargetMode="External"/><Relationship Id="rId432" Type="http://schemas.openxmlformats.org/officeDocument/2006/relationships/hyperlink" Target="https://filestore.fortinet.com/docs.fortinet.com/fsiem/Public_Resource_Access/7_6_0/rules/PH_RULE_CHANGE_DC_USER_GRP.htm" TargetMode="External"/><Relationship Id="rId433" Type="http://schemas.openxmlformats.org/officeDocument/2006/relationships/hyperlink" Target="https://filestore.fortinet.com/docs.fortinet.com/fsiem/Public_Resource_Access/7_6_0/rules/PH_RULE_WIN_USER_PWD_CHANGED.htm" TargetMode="External"/><Relationship Id="rId434" Type="http://schemas.openxmlformats.org/officeDocument/2006/relationships/hyperlink" Target="https://filestore.fortinet.com/docs.fortinet.com/fsiem/Public_Resource_Access/7_6_0/rules/PH_RULE_WIN_USER_REMOVED_GROUP.htm" TargetMode="External"/><Relationship Id="rId435" Type="http://schemas.openxmlformats.org/officeDocument/2006/relationships/hyperlink" Target="https://filestore.fortinet.com/docs.fortinet.com/fsiem/Public_Resource_Access/7_6_0/rules/PH_RULE_A_Member_Was_Removed_From_a_Security_Enabled_Global_Group.htm" TargetMode="External"/><Relationship Id="rId436" Type="http://schemas.openxmlformats.org/officeDocument/2006/relationships/hyperlink" Target="https://filestore.fortinet.com/docs.fortinet.com/fsiem/Public_Resource_Access/7_6_0/rules/PH_RULE_Delete_Rule_in_Windows_Firewall_with_Advanced_Security.htm" TargetMode="External"/><Relationship Id="rId437" Type="http://schemas.openxmlformats.org/officeDocument/2006/relationships/hyperlink" Target="https://filestore.fortinet.com/docs.fortinet.com/fsiem/Public_Resource_Access/7_6_0/rules/PH_RULE_A_Security_Enabled_Global_Group_Was_Deleted.htm" TargetMode="External"/><Relationship Id="rId438" Type="http://schemas.openxmlformats.org/officeDocument/2006/relationships/hyperlink" Target="https://filestore.fortinet.com/docs.fortinet.com/fsiem/Public_Resource_Access/7_6_0/rules/PH_RULE_AADInternals_PowerShell_Cmdlets_Execution_ProccessCreation.htm" TargetMode="External"/><Relationship Id="rId439" Type="http://schemas.openxmlformats.org/officeDocument/2006/relationships/hyperlink" Target="https://filestore.fortinet.com/docs.fortinet.com/fsiem/Public_Resource_Access/7_6_0/rules/PH_RULE_AADInternals_PowerShell_Cmdlets_Execution_PsScript.htm" TargetMode="External"/><Relationship Id="rId440" Type="http://schemas.openxmlformats.org/officeDocument/2006/relationships/hyperlink" Target="https://filestore.fortinet.com/docs.fortinet.com/fsiem/Public_Resource_Access/7_6_0/rules/PH_RULE_Access_to_ADMIN_Share.htm" TargetMode="External"/><Relationship Id="rId441" Type="http://schemas.openxmlformats.org/officeDocument/2006/relationships/hyperlink" Target="https://filestore.fortinet.com/docs.fortinet.com/fsiem/Public_Resource_Access/7_6_0/rules/PH_RULE_Account_Tampering_Suspicious_Failed_Logon_Reasons.htm" TargetMode="External"/><Relationship Id="rId442" Type="http://schemas.openxmlformats.org/officeDocument/2006/relationships/hyperlink" Target="https://filestore.fortinet.com/docs.fortinet.com/fsiem/Public_Resource_Access/7_6_0/rules/PH_RULE_Active_Directory_Certificate_Services_Denied_Certificate_Enrollment_Request.htm" TargetMode="External"/><Relationship Id="rId443" Type="http://schemas.openxmlformats.org/officeDocument/2006/relationships/hyperlink" Target="https://filestore.fortinet.com/docs.fortinet.com/fsiem/Public_Resource_Access/7_6_0/rules/PH_RULE_Active_Directory_Computers_Enumeration_With_Get_AdComputer.htm" TargetMode="External"/><Relationship Id="rId444" Type="http://schemas.openxmlformats.org/officeDocument/2006/relationships/hyperlink" Target="https://filestore.fortinet.com/docs.fortinet.com/fsiem/Public_Resource_Access/7_6_0/rules/PH_RULE_Active_Directory_Group_Enumeration_With_Get_AdGroup.htm" TargetMode="External"/><Relationship Id="rId445" Type="http://schemas.openxmlformats.org/officeDocument/2006/relationships/hyperlink" Target="https://filestore.fortinet.com/docs.fortinet.com/fsiem/Public_Resource_Access/7_6_0/rules/PH_RULE_Active_Directory_Structure_Export_Via_Csvde_EXE.htm" TargetMode="External"/><Relationship Id="rId446" Type="http://schemas.openxmlformats.org/officeDocument/2006/relationships/hyperlink" Target="https://filestore.fortinet.com/docs.fortinet.com/fsiem/Public_Resource_Access/7_6_0/rules/PH_RULE_Active_Directory_Structure_Export_Via_Ldifde_EXE.htm" TargetMode="External"/><Relationship Id="rId447" Type="http://schemas.openxmlformats.org/officeDocument/2006/relationships/hyperlink" Target="https://filestore.fortinet.com/docs.fortinet.com/fsiem/Public_Resource_Access/7_6_0/rules/PH_RULE_AD_Groups_Or_Users_Enumeration_Using_PowerShell_PoshModule.htm" TargetMode="External"/><Relationship Id="rId448" Type="http://schemas.openxmlformats.org/officeDocument/2006/relationships/hyperlink" Target="https://filestore.fortinet.com/docs.fortinet.com/fsiem/Public_Resource_Access/7_6_0/rules/PH_RULE_AD_Groups_Or_Users_Enumeration_Using_PowerShell_ScriptBlock.htm" TargetMode="External"/><Relationship Id="rId449" Type="http://schemas.openxmlformats.org/officeDocument/2006/relationships/hyperlink" Target="https://filestore.fortinet.com/docs.fortinet.com/fsiem/Public_Resource_Access/7_6_0/rules/PH_RULE_AD_Object_WriteDAC_Access.htm" TargetMode="External"/><Relationship Id="rId450" Type="http://schemas.openxmlformats.org/officeDocument/2006/relationships/hyperlink" Target="https://filestore.fortinet.com/docs.fortinet.com/fsiem/Public_Resource_Access/7_6_0/rules/PH_RULE_AD_Privileged_Users_or_Groups_Reconnaissance.htm" TargetMode="External"/><Relationship Id="rId451" Type="http://schemas.openxmlformats.org/officeDocument/2006/relationships/hyperlink" Target="https://filestore.fortinet.com/docs.fortinet.com/fsiem/Public_Resource_Access/7_6_0/rules/PH_RULE_ADCS_Certificate_Template_Configuration_Vulnerability.htm" TargetMode="External"/><Relationship Id="rId452" Type="http://schemas.openxmlformats.org/officeDocument/2006/relationships/hyperlink" Target="https://filestore.fortinet.com/docs.fortinet.com/fsiem/Public_Resource_Access/7_6_0/rules/PH_RULE_ADCS_Certificate_Template_Configuration_Vulnerability_with_Risky_EKU.htm" TargetMode="External"/><Relationship Id="rId453" Type="http://schemas.openxmlformats.org/officeDocument/2006/relationships/hyperlink" Target="https://filestore.fortinet.com/docs.fortinet.com/fsiem/Public_Resource_Access/7_6_0/rules/PH_RULE_Addition_of_Domain_Trusts.htm" TargetMode="External"/><Relationship Id="rId454" Type="http://schemas.openxmlformats.org/officeDocument/2006/relationships/hyperlink" Target="https://filestore.fortinet.com/docs.fortinet.com/fsiem/Public_Resource_Access/7_6_0/rules/PH_RULE_ADExplorer_Writing_Complete_AD_Snapshot_Into_dat_File.htm" TargetMode="External"/><Relationship Id="rId455" Type="http://schemas.openxmlformats.org/officeDocument/2006/relationships/hyperlink" Target="https://filestore.fortinet.com/docs.fortinet.com/fsiem/Public_Resource_Access/7_6_0/rules/PH_RULE_ADFS_Database_Named_Pipe_Connection_By_Uncommon_Tool.htm" TargetMode="External"/><Relationship Id="rId456" Type="http://schemas.openxmlformats.org/officeDocument/2006/relationships/hyperlink" Target="https://filestore.fortinet.com/docs.fortinet.com/fsiem/Public_Resource_Access/7_6_0/rules/PH_RULE_Admin_User_Remote_Logon.htm" TargetMode="External"/><Relationship Id="rId457" Type="http://schemas.openxmlformats.org/officeDocument/2006/relationships/hyperlink" Target="https://filestore.fortinet.com/docs.fortinet.com/fsiem/Public_Resource_Access/7_6_0/rules/PH_RULE_ADSI_Cache_File_Creation_By_Uncommon_Tool.htm" TargetMode="External"/><Relationship Id="rId458" Type="http://schemas.openxmlformats.org/officeDocument/2006/relationships/hyperlink" Target="https://filestore.fortinet.com/docs.fortinet.com/fsiem/Public_Resource_Access/7_6_0/rules/PH_RULE_All_Rules_Have_Been_Deleted_From_The_Windows_Firewall_Configuration.htm" TargetMode="External"/><Relationship Id="rId459" Type="http://schemas.openxmlformats.org/officeDocument/2006/relationships/hyperlink" Target="https://filestore.fortinet.com/docs.fortinet.com/fsiem/Public_Resource_Access/7_6_0/rules/PH_RULE_Always_Install_Elevated_MSI_Spawned_Cmd_And_Powershell.htm" TargetMode="External"/><Relationship Id="rId460" Type="http://schemas.openxmlformats.org/officeDocument/2006/relationships/hyperlink" Target="https://filestore.fortinet.com/docs.fortinet.com/fsiem/Public_Resource_Access/7_6_0/rules/PH_RULE_Always_Install_Elevated_Windows_Installer.htm" TargetMode="External"/><Relationship Id="rId461" Type="http://schemas.openxmlformats.org/officeDocument/2006/relationships/hyperlink" Target="https://filestore.fortinet.com/docs.fortinet.com/fsiem/Public_Resource_Access/7_6_0/rules/PH_RULE_An_Application_Is_Uninstall.htm" TargetMode="External"/><Relationship Id="rId462" Type="http://schemas.openxmlformats.org/officeDocument/2006/relationships/hyperlink" Target="https://filestore.fortinet.com/docs.fortinet.com/fsiem/Public_Resource_Access/7_6_0/rules/PH_RULE_Atera_Agent_Installation.htm" TargetMode="External"/><Relationship Id="rId463" Type="http://schemas.openxmlformats.org/officeDocument/2006/relationships/hyperlink" Target="https://filestore.fortinet.com/docs.fortinet.com/fsiem/Public_Resource_Access/7_6_0/rules/PH_RULE_Attempts_of_Kerberos_Coercion_Via_DNS_SPN_Spoofing.htm" TargetMode="External"/><Relationship Id="rId464" Type="http://schemas.openxmlformats.org/officeDocument/2006/relationships/hyperlink" Target="https://filestore.fortinet.com/docs.fortinet.com/fsiem/Public_Resource_Access/7_6_0/rules/PH_RULE_Azure_AD_Health_Monitoring_Agent_Registry_Keys_Access.htm" TargetMode="External"/><Relationship Id="rId465" Type="http://schemas.openxmlformats.org/officeDocument/2006/relationships/hyperlink" Target="https://filestore.fortinet.com/docs.fortinet.com/fsiem/Public_Resource_Access/7_6_0/rules/PH_RULE_Azure_AD_Health_Service_Agents_Registry_Keys_Access.htm" TargetMode="External"/><Relationship Id="rId466" Type="http://schemas.openxmlformats.org/officeDocument/2006/relationships/hyperlink" Target="https://filestore.fortinet.com/docs.fortinet.com/fsiem/Public_Resource_Access/7_6_0/rules/PH_RULE_BITS_Transfer_Job_Download_From_Direct_IP.htm" TargetMode="External"/><Relationship Id="rId467" Type="http://schemas.openxmlformats.org/officeDocument/2006/relationships/hyperlink" Target="https://filestore.fortinet.com/docs.fortinet.com/fsiem/Public_Resource_Access/7_6_0/rules/PH_RULE_Suspicious_Download_with_BITS_from_Suspicious_TLD.htm" TargetMode="External"/><Relationship Id="rId468" Type="http://schemas.openxmlformats.org/officeDocument/2006/relationships/hyperlink" Target="https://filestore.fortinet.com/docs.fortinet.com/fsiem/Public_Resource_Access/7_6_0/rules/PH_RULE_BITS_Transfer_Job_Downloading_File_Potential_Suspicious_Extension.htm" TargetMode="External"/><Relationship Id="rId469" Type="http://schemas.openxmlformats.org/officeDocument/2006/relationships/hyperlink" Target="https://filestore.fortinet.com/docs.fortinet.com/fsiem/Public_Resource_Access/7_6_0/rules/PH_RULE_Bypass_UAC_Using_DelegateExecute.htm" TargetMode="External"/><Relationship Id="rId470" Type="http://schemas.openxmlformats.org/officeDocument/2006/relationships/hyperlink" Target="https://filestore.fortinet.com/docs.fortinet.com/fsiem/Public_Resource_Access/7_6_0/rules/PH_RULE_Bypass_UAC_Using_SilentCleanup_Task.htm" TargetMode="External"/><Relationship Id="rId471" Type="http://schemas.openxmlformats.org/officeDocument/2006/relationships/hyperlink" Target="https://filestore.fortinet.com/docs.fortinet.com/fsiem/Public_Resource_Access/7_6_0/rules/PH_RULE_Bypass_UAC_via_CMSTP.htm" TargetMode="External"/><Relationship Id="rId472" Type="http://schemas.openxmlformats.org/officeDocument/2006/relationships/hyperlink" Target="https://filestore.fortinet.com/docs.fortinet.com/fsiem/Public_Resource_Access/7_6_0/rules/PH_RULE_Bypass_UAC_via_WSReset_exe.htm" TargetMode="External"/><Relationship Id="rId473" Type="http://schemas.openxmlformats.org/officeDocument/2006/relationships/hyperlink" Target="https://filestore.fortinet.com/docs.fortinet.com/fsiem/Public_Resource_Access/7_6_0/rules/PH_RULE_Certificate_Exported_Via_Certutil_EXE.htm" TargetMode="External"/><Relationship Id="rId474" Type="http://schemas.openxmlformats.org/officeDocument/2006/relationships/hyperlink" Target="https://filestore.fortinet.com/docs.fortinet.com/fsiem/Public_Resource_Access/7_6_0/rules/PH_RULE_Certificate_Use_With_No_Strong_Mapping.htm" TargetMode="External"/><Relationship Id="rId475" Type="http://schemas.openxmlformats.org/officeDocument/2006/relationships/hyperlink" Target="https://filestore.fortinet.com/docs.fortinet.com/fsiem/Public_Resource_Access/7_6_0/rules/PH_RULE_CMSTP_UAC_Bypass_via_COM_Object_Access.htm" TargetMode="External"/><Relationship Id="rId476" Type="http://schemas.openxmlformats.org/officeDocument/2006/relationships/hyperlink" Target="https://filestore.fortinet.com/docs.fortinet.com/fsiem/Public_Resource_Access/7_6_0/rules/PH_RULE_CobaltStrike_Service_Installations_SECURITY_LOG.htm" TargetMode="External"/><Relationship Id="rId477" Type="http://schemas.openxmlformats.org/officeDocument/2006/relationships/hyperlink" Target="https://filestore.fortinet.com/docs.fortinet.com/fsiem/Public_Resource_Access/7_6_0/rules/PH_RULE_Connection_Initiated_Via_Certutil_EXE.htm" TargetMode="External"/><Relationship Id="rId478" Type="http://schemas.openxmlformats.org/officeDocument/2006/relationships/hyperlink" Target="https://filestore.fortinet.com/docs.fortinet.com/fsiem/Public_Resource_Access/7_6_0/rules/PH_RULE_PolicyViolation_CrashOnAuditFail_Continue.htm" TargetMode="External"/><Relationship Id="rId479" Type="http://schemas.openxmlformats.org/officeDocument/2006/relationships/hyperlink" Target="https://filestore.fortinet.com/docs.fortinet.com/fsiem/Public_Resource_Access/7_6_0/rules/PH_RULE_PolicyViolation_CrashOnAuditFail_Halt.htm" TargetMode="External"/><Relationship Id="rId480" Type="http://schemas.openxmlformats.org/officeDocument/2006/relationships/hyperlink" Target="https://filestore.fortinet.com/docs.fortinet.com/fsiem/Public_Resource_Access/7_6_0/rules/PH_RULE_Create_Volume_Shadow_Copy_with_Powershell.htm" TargetMode="External"/><Relationship Id="rId481" Type="http://schemas.openxmlformats.org/officeDocument/2006/relationships/hyperlink" Target="https://filestore.fortinet.com/docs.fortinet.com/fsiem/Public_Resource_Access/7_6_0/rules/PH_RULE_Creation_of_a_Local_Hidden_User_Account_by_Registry.htm" TargetMode="External"/><Relationship Id="rId482" Type="http://schemas.openxmlformats.org/officeDocument/2006/relationships/hyperlink" Target="https://filestore.fortinet.com/docs.fortinet.com/fsiem/Public_Resource_Access/7_6_0/rules/PH_RULE_DCERPC_SMB_Spoolss_Named_Pipe.htm" TargetMode="External"/><Relationship Id="rId483" Type="http://schemas.openxmlformats.org/officeDocument/2006/relationships/hyperlink" Target="https://filestore.fortinet.com/docs.fortinet.com/fsiem/Public_Resource_Access/7_6_0/rules/PH_RULE_DCOM_InternetExplorer_Application_Iertutil_DLL_Hijack_SECURITY_LOG.htm" TargetMode="External"/><Relationship Id="rId484" Type="http://schemas.openxmlformats.org/officeDocument/2006/relationships/hyperlink" Target="https://filestore.fortinet.com/docs.fortinet.com/fsiem/Public_Resource_Access/7_6_0/rules/PH_RULE_Denied_Access_To_Remote_Desktop.htm" TargetMode="External"/><Relationship Id="rId485" Type="http://schemas.openxmlformats.org/officeDocument/2006/relationships/hyperlink" Target="https://filestore.fortinet.com/docs.fortinet.com/fsiem/Public_Resource_Access/7_6_0/rules/PH_RULE_Device_Installation_Blocked.htm" TargetMode="External"/><Relationship Id="rId486" Type="http://schemas.openxmlformats.org/officeDocument/2006/relationships/hyperlink" Target="https://filestore.fortinet.com/docs.fortinet.com/fsiem/Public_Resource_Access/7_6_0/rules/PH_RULE_DiagTrackEoP_Default_Login_Username.htm" TargetMode="External"/><Relationship Id="rId487" Type="http://schemas.openxmlformats.org/officeDocument/2006/relationships/hyperlink" Target="https://filestore.fortinet.com/docs.fortinet.com/fsiem/Public_Resource_Access/7_6_0/rules/PH_RULE_Directory_Service_Restore_Mode_DSRM_Registry_Value_Tampering.htm" TargetMode="External"/><Relationship Id="rId488" Type="http://schemas.openxmlformats.org/officeDocument/2006/relationships/hyperlink" Target="https://filestore.fortinet.com/docs.fortinet.com/fsiem/Public_Resource_Access/7_6_0/rules/PH_RULE_DirectorySearcher_Powershell_Exploitation.htm" TargetMode="External"/><Relationship Id="rId489" Type="http://schemas.openxmlformats.org/officeDocument/2006/relationships/hyperlink" Target="https://filestore.fortinet.com/docs.fortinet.com/fsiem/Public_Resource_Access/7_6_0/rules/PH_RULE_DMSA_Link_Attributes_Modified.htm" TargetMode="External"/><Relationship Id="rId490" Type="http://schemas.openxmlformats.org/officeDocument/2006/relationships/hyperlink" Target="https://filestore.fortinet.com/docs.fortinet.com/fsiem/Public_Resource_Access/7_6_0/rules/PH_RULE_DMSA_Service_Account_Created_in_Specific_OUs_PowerShell.htm" TargetMode="External"/><Relationship Id="rId491" Type="http://schemas.openxmlformats.org/officeDocument/2006/relationships/hyperlink" Target="https://filestore.fortinet.com/docs.fortinet.com/fsiem/Public_Resource_Access/7_6_0/rules/PH_RULE_DNS_Server_Discovery_Via_LDAP_Query.htm" TargetMode="External"/><Relationship Id="rId492" Type="http://schemas.openxmlformats.org/officeDocument/2006/relationships/hyperlink" Target="https://filestore.fortinet.com/docs.fortinet.com/fsiem/Public_Resource_Access/7_6_0/rules/PH_RULE_DSInternals_Suspicious_PowerShell_Cmdlets.htm" TargetMode="External"/><Relationship Id="rId493" Type="http://schemas.openxmlformats.org/officeDocument/2006/relationships/hyperlink" Target="https://filestore.fortinet.com/docs.fortinet.com/fsiem/Public_Resource_Access/7_6_0/rules/PH_RULE_DSInternals_Suspicious_PowerShell_Cmdlets_ScriptBlock.htm" TargetMode="External"/><Relationship Id="rId494" Type="http://schemas.openxmlformats.org/officeDocument/2006/relationships/hyperlink" Target="https://filestore.fortinet.com/docs.fortinet.com/fsiem/Public_Resource_Access/7_6_0/rules/PH_RULE_Empire_PowerShell_UAC_Bypass.htm" TargetMode="External"/><Relationship Id="rId495" Type="http://schemas.openxmlformats.org/officeDocument/2006/relationships/hyperlink" Target="https://filestore.fortinet.com/docs.fortinet.com/fsiem/Public_Resource_Access/7_6_0/rules/PH_RULE_Enable_LM_Hash_Storage.htm" TargetMode="External"/><Relationship Id="rId496" Type="http://schemas.openxmlformats.org/officeDocument/2006/relationships/hyperlink" Target="https://filestore.fortinet.com/docs.fortinet.com/fsiem/Public_Resource_Access/7_6_0/rules/PH_RULE_Enable_LM_Hash_Storage_ProcCreation.htm" TargetMode="External"/><Relationship Id="rId497" Type="http://schemas.openxmlformats.org/officeDocument/2006/relationships/hyperlink" Target="https://filestore.fortinet.com/docs.fortinet.com/fsiem/Public_Resource_Access/7_6_0/rules/PH_RULE_Enabled_User_Right_in_AD_to_Control_User_Objects.htm" TargetMode="External"/><Relationship Id="rId498" Type="http://schemas.openxmlformats.org/officeDocument/2006/relationships/hyperlink" Target="https://filestore.fortinet.com/docs.fortinet.com/fsiem/Public_Resource_Access/7_6_0/rules/PH_RULE_ETW_Logging_Disabled_In_NET_Processes_Registry.htm" TargetMode="External"/><Relationship Id="rId499" Type="http://schemas.openxmlformats.org/officeDocument/2006/relationships/hyperlink" Target="https://filestore.fortinet.com/docs.fortinet.com/fsiem/Public_Resource_Access/7_6_0/rules/PH_RULE_Explorer_NOUACCHECK_Flag.htm" TargetMode="External"/><Relationship Id="rId500" Type="http://schemas.openxmlformats.org/officeDocument/2006/relationships/hyperlink" Target="https://filestore.fortinet.com/docs.fortinet.com/fsiem/Public_Resource_Access/7_6_0/rules/PH_RULE_External_Disk_Drive_or_USB_Storage_Device.htm" TargetMode="External"/><Relationship Id="rId501" Type="http://schemas.openxmlformats.org/officeDocument/2006/relationships/hyperlink" Target="https://filestore.fortinet.com/docs.fortinet.com/fsiem/Public_Resource_Access/7_6_0/rules/PH_RULE_External_Remote_RDP_Logon_from_Public_IP.htm" TargetMode="External"/><Relationship Id="rId502" Type="http://schemas.openxmlformats.org/officeDocument/2006/relationships/hyperlink" Target="https://filestore.fortinet.com/docs.fortinet.com/fsiem/Public_Resource_Access/7_6_0/rules/PH_RULE_External_Remote_SMB_Logon_from_Public_IP.htm" TargetMode="External"/><Relationship Id="rId503" Type="http://schemas.openxmlformats.org/officeDocument/2006/relationships/hyperlink" Target="https://filestore.fortinet.com/docs.fortinet.com/fsiem/Public_Resource_Access/7_6_0/rules/PH_RULE_Failed_Code_Integrity_Checks.htm" TargetMode="External"/><Relationship Id="rId504" Type="http://schemas.openxmlformats.org/officeDocument/2006/relationships/hyperlink" Target="https://filestore.fortinet.com/docs.fortinet.com/fsiem/Public_Resource_Access/7_6_0/rules/PH_RULE_Failed_Logon_From_Public_IP.htm" TargetMode="External"/><Relationship Id="rId505" Type="http://schemas.openxmlformats.org/officeDocument/2006/relationships/hyperlink" Target="https://filestore.fortinet.com/docs.fortinet.com/fsiem/Public_Resource_Access/7_6_0/rules/PH_RULE_File_Access_Of_Signal_Desktop_Sensitive_Data.htm" TargetMode="External"/><Relationship Id="rId506" Type="http://schemas.openxmlformats.org/officeDocument/2006/relationships/hyperlink" Target="https://filestore.fortinet.com/docs.fortinet.com/fsiem/Public_Resource_Access/7_6_0/rules/PH_RULE_File_Decoded_From_Base64_Hex_Via_Certutil_EXE.htm" TargetMode="External"/><Relationship Id="rId507" Type="http://schemas.openxmlformats.org/officeDocument/2006/relationships/hyperlink" Target="https://filestore.fortinet.com/docs.fortinet.com/fsiem/Public_Resource_Access/7_6_0/rules/PH_RULE_Certutil_Encode.htm" TargetMode="External"/><Relationship Id="rId508" Type="http://schemas.openxmlformats.org/officeDocument/2006/relationships/hyperlink" Target="https://filestore.fortinet.com/docs.fortinet.com/fsiem/Public_Resource_Access/7_6_0/rules/PH_RULE_File_In_Suspicious_Location_Encoded_To_Base64_Via_Certutil_EXE.htm" TargetMode="External"/><Relationship Id="rId509" Type="http://schemas.openxmlformats.org/officeDocument/2006/relationships/hyperlink" Target="https://filestore.fortinet.com/docs.fortinet.com/fsiem/Public_Resource_Access/7_6_0/rules/PH_RULE_File_Recovery_From_Backup_Via_Wbadmin_EXE.htm" TargetMode="External"/><Relationship Id="rId510" Type="http://schemas.openxmlformats.org/officeDocument/2006/relationships/hyperlink" Target="https://filestore.fortinet.com/docs.fortinet.com/fsiem/Public_Resource_Access/7_6_0/rules/PH_RULE_First_Time_Seen_Remote_Named_Pipe.htm" TargetMode="External"/><Relationship Id="rId511" Type="http://schemas.openxmlformats.org/officeDocument/2006/relationships/hyperlink" Target="https://filestore.fortinet.com/docs.fortinet.com/fsiem/Public_Resource_Access/7_6_0/rules/PH_RULE_Get_ADUser_Enumeration_Using_UserAccountControl_Flags.htm" TargetMode="External"/><Relationship Id="rId512" Type="http://schemas.openxmlformats.org/officeDocument/2006/relationships/hyperlink" Target="https://filestore.fortinet.com/docs.fortinet.com/fsiem/Public_Resource_Access/7_6_0/rules/PH_RULE_Gpresult_Display_Group_Policy_Information.htm" TargetMode="External"/><Relationship Id="rId513" Type="http://schemas.openxmlformats.org/officeDocument/2006/relationships/hyperlink" Target="https://filestore.fortinet.com/docs.fortinet.com/fsiem/Public_Resource_Access/7_6_0/rules/PH_RULE_Gpscript_Execution.htm" TargetMode="External"/><Relationship Id="rId514" Type="http://schemas.openxmlformats.org/officeDocument/2006/relationships/hyperlink" Target="https://filestore.fortinet.com/docs.fortinet.com/fsiem/Public_Resource_Access/7_6_0/rules/PH_RULE_Group_Membership_Reconnaissance_Via_Whoami_EXE.htm" TargetMode="External"/><Relationship Id="rId515" Type="http://schemas.openxmlformats.org/officeDocument/2006/relationships/hyperlink" Target="https://filestore.fortinet.com/docs.fortinet.com/fsiem/Public_Resource_Access/7_6_0/rules/PH_RULE_Group_Policy_Abuse_for_Privilege_Addition.htm" TargetMode="External"/><Relationship Id="rId516" Type="http://schemas.openxmlformats.org/officeDocument/2006/relationships/hyperlink" Target="https://filestore.fortinet.com/docs.fortinet.com/fsiem/Public_Resource_Access/7_6_0/rules/PH_RULE_ADCSPwn_Hack_Tool.htm" TargetMode="External"/><Relationship Id="rId517" Type="http://schemas.openxmlformats.org/officeDocument/2006/relationships/hyperlink" Target="https://filestore.fortinet.com/docs.fortinet.com/fsiem/Public_Resource_Access/7_6_0/rules/PH_RULE_HackTool_Certify_Execution.htm" TargetMode="External"/><Relationship Id="rId518" Type="http://schemas.openxmlformats.org/officeDocument/2006/relationships/hyperlink" Target="https://filestore.fortinet.com/docs.fortinet.com/fsiem/Public_Resource_Access/7_6_0/rules/PH_RULE_HackTool_Certipy_Execution.htm" TargetMode="External"/><Relationship Id="rId519" Type="http://schemas.openxmlformats.org/officeDocument/2006/relationships/hyperlink" Target="https://filestore.fortinet.com/docs.fortinet.com/fsiem/Public_Resource_Access/7_6_0/rules/PH_RULE_HackTool_EDRSilencer_Execution_Filter_Added.htm" TargetMode="External"/><Relationship Id="rId520" Type="http://schemas.openxmlformats.org/officeDocument/2006/relationships/hyperlink" Target="https://filestore.fortinet.com/docs.fortinet.com/fsiem/Public_Resource_Access/7_6_0/rules/PH_RULE_HackTool_NetExec_Execution.htm" TargetMode="External"/><Relationship Id="rId521" Type="http://schemas.openxmlformats.org/officeDocument/2006/relationships/hyperlink" Target="https://filestore.fortinet.com/docs.fortinet.com/fsiem/Public_Resource_Access/7_6_0/rules/PH_RULE_HackTool_NetExec_File_Indicators.htm" TargetMode="External"/><Relationship Id="rId522" Type="http://schemas.openxmlformats.org/officeDocument/2006/relationships/hyperlink" Target="https://filestore.fortinet.com/docs.fortinet.com/fsiem/Public_Resource_Access/7_6_0/rules/PH_RULE_HackTool_NoFilter_Execution.htm" TargetMode="External"/><Relationship Id="rId523" Type="http://schemas.openxmlformats.org/officeDocument/2006/relationships/hyperlink" Target="https://filestore.fortinet.com/docs.fortinet.com/fsiem/Public_Resource_Access/7_6_0/rules/PH_RULE_HackTool_RemoteKrbRelay_Execution.htm" TargetMode="External"/><Relationship Id="rId524" Type="http://schemas.openxmlformats.org/officeDocument/2006/relationships/hyperlink" Target="https://filestore.fortinet.com/docs.fortinet.com/fsiem/Public_Resource_Access/7_6_0/rules/PH_RULE_HackTool_Rubeus_Execution_ScriptBlock.htm" TargetMode="External"/><Relationship Id="rId525" Type="http://schemas.openxmlformats.org/officeDocument/2006/relationships/hyperlink" Target="https://filestore.fortinet.com/docs.fortinet.com/fsiem/Public_Resource_Access/7_6_0/rules/PH_RULE_HackTool_SharpLDAPmonitor_Execution.htm" TargetMode="External"/><Relationship Id="rId526" Type="http://schemas.openxmlformats.org/officeDocument/2006/relationships/hyperlink" Target="https://filestore.fortinet.com/docs.fortinet.com/fsiem/Public_Resource_Access/7_6_0/rules/PH_RULE_HackTool_SharpLdapWhoami_Execution.htm" TargetMode="External"/><Relationship Id="rId527" Type="http://schemas.openxmlformats.org/officeDocument/2006/relationships/hyperlink" Target="https://filestore.fortinet.com/docs.fortinet.com/fsiem/Public_Resource_Access/7_6_0/rules/PH_RULE_HackTool_SOAPHound_Execution.htm" TargetMode="External"/><Relationship Id="rId528" Type="http://schemas.openxmlformats.org/officeDocument/2006/relationships/hyperlink" Target="https://filestore.fortinet.com/docs.fortinet.com/fsiem/Public_Resource_Access/7_6_0/rules/PH_RULE_HackTool_TruffleSnout_Execution.htm" TargetMode="External"/><Relationship Id="rId529" Type="http://schemas.openxmlformats.org/officeDocument/2006/relationships/hyperlink" Target="https://filestore.fortinet.com/docs.fortinet.com/fsiem/Public_Resource_Access/7_6_0/rules/PH_RULE_UAC_Bypass_Tool_UACMe_Akagi.htm" TargetMode="External"/><Relationship Id="rId530" Type="http://schemas.openxmlformats.org/officeDocument/2006/relationships/hyperlink" Target="https://filestore.fortinet.com/docs.fortinet.com/fsiem/Public_Resource_Access/7_6_0/rules/PH_RULE_HackTool_WinPwn_Execution.htm" TargetMode="External"/><Relationship Id="rId531" Type="http://schemas.openxmlformats.org/officeDocument/2006/relationships/hyperlink" Target="https://filestore.fortinet.com/docs.fortinet.com/fsiem/Public_Resource_Access/7_6_0/rules/PH_RULE_HackTool_WinPwn_Execution_ScriptBlock.htm" TargetMode="External"/><Relationship Id="rId532" Type="http://schemas.openxmlformats.org/officeDocument/2006/relationships/hyperlink" Target="https://filestore.fortinet.com/docs.fortinet.com/fsiem/Public_Resource_Access/7_6_0/rules/PH_RULE_Hacktool_Ruler.htm" TargetMode="External"/><Relationship Id="rId533" Type="http://schemas.openxmlformats.org/officeDocument/2006/relationships/hyperlink" Target="https://filestore.fortinet.com/docs.fortinet.com/fsiem/Public_Resource_Access/7_6_0/rules/PH_RULE_Hidden_Local_User_Creation.htm" TargetMode="External"/><Relationship Id="rId534" Type="http://schemas.openxmlformats.org/officeDocument/2006/relationships/hyperlink" Target="https://filestore.fortinet.com/docs.fortinet.com/fsiem/Public_Resource_Access/7_6_0/rules/PH_RULE_HKTL_SharpSuccessor_Privilege_Escalation_Tool_Execution.htm" TargetMode="External"/><Relationship Id="rId535" Type="http://schemas.openxmlformats.org/officeDocument/2006/relationships/hyperlink" Target="https://filestore.fortinet.com/docs.fortinet.com/fsiem/Public_Resource_Access/7_6_0/rules/PH_RULE_HybridConnectionManager_Service_Installation_SECURITY_LOG.htm" TargetMode="External"/><Relationship Id="rId536" Type="http://schemas.openxmlformats.org/officeDocument/2006/relationships/hyperlink" Target="https://filestore.fortinet.com/docs.fortinet.com/fsiem/Public_Resource_Access/7_6_0/rules/PH_RULE_Impacket_PsExec_Execution.htm" TargetMode="External"/><Relationship Id="rId537" Type="http://schemas.openxmlformats.org/officeDocument/2006/relationships/hyperlink" Target="https://filestore.fortinet.com/docs.fortinet.com/fsiem/Public_Resource_Access/7_6_0/rules/PH_RULE_Import_LDAP_Data_Interchange_Format_File_Via_Ldifde_EXE.htm" TargetMode="External"/><Relationship Id="rId538" Type="http://schemas.openxmlformats.org/officeDocument/2006/relationships/hyperlink" Target="https://filestore.fortinet.com/docs.fortinet.com/fsiem/Public_Resource_Access/7_6_0/rules/PH_RULE_Important_Scheduled_Task_Deleted_Disabled.htm" TargetMode="External"/><Relationship Id="rId539" Type="http://schemas.openxmlformats.org/officeDocument/2006/relationships/hyperlink" Target="https://filestore.fortinet.com/docs.fortinet.com/fsiem/Public_Resource_Access/7_6_0/rules/PH_RULE_Important_Windows_Event_Auditing_Disabled.htm" TargetMode="External"/><Relationship Id="rId540" Type="http://schemas.openxmlformats.org/officeDocument/2006/relationships/hyperlink" Target="https://filestore.fortinet.com/docs.fortinet.com/fsiem/Public_Resource_Access/7_6_0/rules/PH_RULE_Invoke_Obfuscation_CLIP_Launcher_Security.htm" TargetMode="External"/><Relationship Id="rId541" Type="http://schemas.openxmlformats.org/officeDocument/2006/relationships/hyperlink" Target="https://filestore.fortinet.com/docs.fortinet.com/fsiem/Public_Resource_Access/7_6_0/rules/PH_RULE_Invoke_Obfuscation_COMPRESS_OBFUSCATION_SECURITY_LOG.htm" TargetMode="External"/><Relationship Id="rId542" Type="http://schemas.openxmlformats.org/officeDocument/2006/relationships/hyperlink" Target="https://filestore.fortinet.com/docs.fortinet.com/fsiem/Public_Resource_Access/7_6_0/rules/PH_RULE_Invoke_Obfuscation_RUNDLL_LAUNCHER_Security.htm" TargetMode="External"/><Relationship Id="rId543" Type="http://schemas.openxmlformats.org/officeDocument/2006/relationships/hyperlink" Target="https://filestore.fortinet.com/docs.fortinet.com/fsiem/Public_Resource_Access/7_6_0/rules/PH_RULE_Invoke_Obfuscation_STDIN_Launcher.htm" TargetMode="External"/><Relationship Id="rId544" Type="http://schemas.openxmlformats.org/officeDocument/2006/relationships/hyperlink" Target="https://filestore.fortinet.com/docs.fortinet.com/fsiem/Public_Resource_Access/7_6_0/rules/PH_RULE_Invoke_Obfuscation_VAR_LAUNCHER_OBFUSCATION_Security.htm" TargetMode="External"/><Relationship Id="rId545" Type="http://schemas.openxmlformats.org/officeDocument/2006/relationships/hyperlink" Target="https://filestore.fortinet.com/docs.fortinet.com/fsiem/Public_Resource_Access/7_6_0/rules/PH_RULE_Invoke_Obfuscation_VAR_Launcher.htm" TargetMode="External"/><Relationship Id="rId546" Type="http://schemas.openxmlformats.org/officeDocument/2006/relationships/hyperlink" Target="https://filestore.fortinet.com/docs.fortinet.com/fsiem/Public_Resource_Access/7_6_0/rules/PH_RULE_Invoke_Obfuscation_Via_Stdin_SECURITY_LOG.htm" TargetMode="External"/><Relationship Id="rId547" Type="http://schemas.openxmlformats.org/officeDocument/2006/relationships/hyperlink" Target="https://filestore.fortinet.com/docs.fortinet.com/fsiem/Public_Resource_Access/7_6_0/rules/PH_RULE_Invoke_Obfuscation_Via_Use_Clip_SECURITY_LOG.htm" TargetMode="External"/><Relationship Id="rId548" Type="http://schemas.openxmlformats.org/officeDocument/2006/relationships/hyperlink" Target="https://filestore.fortinet.com/docs.fortinet.com/fsiem/Public_Resource_Access/7_6_0/rules/PH_RULE_Invoke_Obfuscation_Via_Use_MSHTA_SECURITY_LOG.htm" TargetMode="External"/><Relationship Id="rId549" Type="http://schemas.openxmlformats.org/officeDocument/2006/relationships/hyperlink" Target="https://filestore.fortinet.com/docs.fortinet.com/fsiem/Public_Resource_Access/7_6_0/rules/PH_RULE_Invoke_Obfuscation_Via_Use_Rundll32_SECURITY_LOG.htm" TargetMode="External"/><Relationship Id="rId550" Type="http://schemas.openxmlformats.org/officeDocument/2006/relationships/hyperlink" Target="https://filestore.fortinet.com/docs.fortinet.com/fsiem/Public_Resource_Access/7_6_0/rules/PH_RULE_ISO_Image_Mount.htm" TargetMode="External"/><Relationship Id="rId551" Type="http://schemas.openxmlformats.org/officeDocument/2006/relationships/hyperlink" Target="https://filestore.fortinet.com/docs.fortinet.com/fsiem/Public_Resource_Access/7_6_0/rules/PH_RULE_Kerberoasting_Activity_Initial_Query.htm" TargetMode="External"/><Relationship Id="rId552" Type="http://schemas.openxmlformats.org/officeDocument/2006/relationships/hyperlink" Target="https://filestore.fortinet.com/docs.fortinet.com/fsiem/Public_Resource_Access/7_6_0/rules/PH_RULE_KrbRelayUp_Service_Installation.htm" TargetMode="External"/><Relationship Id="rId553" Type="http://schemas.openxmlformats.org/officeDocument/2006/relationships/hyperlink" Target="https://filestore.fortinet.com/docs.fortinet.com/fsiem/Public_Resource_Access/7_6_0/rules/PH_RULE_Load_Undocumented_Autoelevated_COM_Interface.htm" TargetMode="External"/><Relationship Id="rId554" Type="http://schemas.openxmlformats.org/officeDocument/2006/relationships/hyperlink" Target="https://filestore.fortinet.com/docs.fortinet.com/fsiem/Public_Resource_Access/7_6_0/rules/PH_RULE_Local_User_Creation.htm" TargetMode="External"/><Relationship Id="rId555" Type="http://schemas.openxmlformats.org/officeDocument/2006/relationships/hyperlink" Target="https://filestore.fortinet.com/docs.fortinet.com/fsiem/Public_Resource_Access/7_6_0/rules/PH_RULE_Locked_Workstation.htm" TargetMode="External"/><Relationship Id="rId556" Type="http://schemas.openxmlformats.org/officeDocument/2006/relationships/hyperlink" Target="https://filestore.fortinet.com/docs.fortinet.com/fsiem/Public_Resource_Access/7_6_0/rules/PH_RULE_Login_with_WMI.htm" TargetMode="External"/><Relationship Id="rId557" Type="http://schemas.openxmlformats.org/officeDocument/2006/relationships/hyperlink" Target="https://filestore.fortinet.com/docs.fortinet.com/fsiem/Public_Resource_Access/7_6_0/rules/PH_RULE_ManageEngine_Endpoint_Central_Dctask64_EXE_Potential_Abuse.htm" TargetMode="External"/><Relationship Id="rId558" Type="http://schemas.openxmlformats.org/officeDocument/2006/relationships/hyperlink" Target="https://filestore.fortinet.com/docs.fortinet.com/fsiem/Public_Resource_Access/7_6_0/rules/PH_RULE_Manipulation_of_User_Computer_or_Group_Security_Principals_Across_AD.htm" TargetMode="External"/><Relationship Id="rId559" Type="http://schemas.openxmlformats.org/officeDocument/2006/relationships/hyperlink" Target="https://filestore.fortinet.com/docs.fortinet.com/fsiem/Public_Resource_Access/7_6_0/rules/PH_RULE_Metasploit_Or_Impacket_Service_Installation_Via_SMB_PsExec.htm" TargetMode="External"/><Relationship Id="rId560" Type="http://schemas.openxmlformats.org/officeDocument/2006/relationships/hyperlink" Target="https://filestore.fortinet.com/docs.fortinet.com/fsiem/Public_Resource_Access/7_6_0/rules/PH_RULE_Metasploit_SMB_Authentication.htm" TargetMode="External"/><Relationship Id="rId561" Type="http://schemas.openxmlformats.org/officeDocument/2006/relationships/hyperlink" Target="https://filestore.fortinet.com/docs.fortinet.com/fsiem/Public_Resource_Access/7_6_0/rules/PH_RULE_Meterpreter_Cobalt_Strike_Installation_SECURITY_LOG.htm" TargetMode="External"/><Relationship Id="rId562" Type="http://schemas.openxmlformats.org/officeDocument/2006/relationships/hyperlink" Target="https://filestore.fortinet.com/docs.fortinet.com/fsiem/Public_Resource_Access/7_6_0/rules/PH_RULE_Microsoft_Defender_Blocked_from_Loading_Unsigned_DLL.htm" TargetMode="External"/><Relationship Id="rId563" Type="http://schemas.openxmlformats.org/officeDocument/2006/relationships/hyperlink" Target="https://filestore.fortinet.com/docs.fortinet.com/fsiem/Public_Resource_Access/7_6_0/rules/PH_RULE_Modify_Group_Policy_Settings.htm" TargetMode="External"/><Relationship Id="rId564" Type="http://schemas.openxmlformats.org/officeDocument/2006/relationships/hyperlink" Target="https://filestore.fortinet.com/docs.fortinet.com/fsiem/Public_Resource_Access/7_6_0/rules/PH_RULE_Modify_Group_Policy_Settings_ScriptBlockLogging.htm" TargetMode="External"/><Relationship Id="rId565" Type="http://schemas.openxmlformats.org/officeDocument/2006/relationships/hyperlink" Target="https://filestore.fortinet.com/docs.fortinet.com/fsiem/Public_Resource_Access/7_6_0/rules/PH_RULE_NetNTLM_Downgrade_Attack.htm" TargetMode="External"/><Relationship Id="rId566" Type="http://schemas.openxmlformats.org/officeDocument/2006/relationships/hyperlink" Target="https://filestore.fortinet.com/docs.fortinet.com/fsiem/Public_Resource_Access/7_6_0/rules/PH_RULE_Netsh_Allow_Group_Policy_on_Microsoft_Defender_Firewall.htm" TargetMode="External"/><Relationship Id="rId567" Type="http://schemas.openxmlformats.org/officeDocument/2006/relationships/hyperlink" Target="https://filestore.fortinet.com/docs.fortinet.com/fsiem/Public_Resource_Access/7_6_0/rules/PH_RULE_Suspicious_Task_Added_by_Bitsadmin.htm" TargetMode="External"/><Relationship Id="rId568" Type="http://schemas.openxmlformats.org/officeDocument/2006/relationships/hyperlink" Target="https://filestore.fortinet.com/docs.fortinet.com/fsiem/Public_Resource_Access/7_6_0/rules/PH_RULE_New_DMSA_Service_Account_Created_in_Specific_OUs.htm" TargetMode="External"/><Relationship Id="rId569" Type="http://schemas.openxmlformats.org/officeDocument/2006/relationships/hyperlink" Target="https://filestore.fortinet.com/docs.fortinet.com/fsiem/Public_Resource_Access/7_6_0/rules/PH_RULE_New_or_Renamed_User_Account_with_dollar_in_Attribute_SamAccountName.htm" TargetMode="External"/><Relationship Id="rId570" Type="http://schemas.openxmlformats.org/officeDocument/2006/relationships/hyperlink" Target="https://filestore.fortinet.com/docs.fortinet.com/fsiem/Public_Resource_Access/7_6_0/rules/PH_RULE_New_Root_Certificate_Installed_Via_Certutil_EXE.htm" TargetMode="External"/><Relationship Id="rId571" Type="http://schemas.openxmlformats.org/officeDocument/2006/relationships/hyperlink" Target="https://filestore.fortinet.com/docs.fortinet.com/fsiem/Public_Resource_Access/7_6_0/rules/PH_RULE_Net_exe_User_Account_Creation.htm" TargetMode="External"/><Relationship Id="rId572" Type="http://schemas.openxmlformats.org/officeDocument/2006/relationships/hyperlink" Target="https://filestore.fortinet.com/docs.fortinet.com/fsiem/Public_Resource_Access/7_6_0/rules/PH_RULE_New_User_Created_Via_Net_EXE_With_Never_Expire_Option.htm" TargetMode="External"/><Relationship Id="rId573" Type="http://schemas.openxmlformats.org/officeDocument/2006/relationships/hyperlink" Target="https://filestore.fortinet.com/docs.fortinet.com/fsiem/Public_Resource_Access/7_6_0/rules/PH_RULE_No_Suitable_Encryption_Key_Found_For_Generating_Kerberos_Ticket.htm" TargetMode="External"/><Relationship Id="rId574" Type="http://schemas.openxmlformats.org/officeDocument/2006/relationships/hyperlink" Target="https://filestore.fortinet.com/docs.fortinet.com/fsiem/Public_Resource_Access/7_6_0/rules/PH_RULE_Outgoing_Logon_with_New_Credentials.htm" TargetMode="External"/><Relationship Id="rId575" Type="http://schemas.openxmlformats.org/officeDocument/2006/relationships/hyperlink" Target="https://filestore.fortinet.com/docs.fortinet.com/fsiem/Public_Resource_Access/7_6_0/rules/PH_RULE_Pass_the_Hash_Activity_2.htm" TargetMode="External"/><Relationship Id="rId576" Type="http://schemas.openxmlformats.org/officeDocument/2006/relationships/hyperlink" Target="https://filestore.fortinet.com/docs.fortinet.com/fsiem/Public_Resource_Access/7_6_0/rules/PH_RULE_Password_Policy_Discovery_With_Get_AdDefaultDomainPasswordPolicy.htm" TargetMode="External"/><Relationship Id="rId577" Type="http://schemas.openxmlformats.org/officeDocument/2006/relationships/hyperlink" Target="https://filestore.fortinet.com/docs.fortinet.com/fsiem/Public_Resource_Access/7_6_0/rules/PH_RULE_Password_Policy_Enumerated.htm" TargetMode="External"/><Relationship Id="rId578" Type="http://schemas.openxmlformats.org/officeDocument/2006/relationships/hyperlink" Target="https://filestore.fortinet.com/docs.fortinet.com/fsiem/Public_Resource_Access/7_6_0/rules/PH_RULE_Password_Protected_ZIP_File_Opened.htm" TargetMode="External"/><Relationship Id="rId579" Type="http://schemas.openxmlformats.org/officeDocument/2006/relationships/hyperlink" Target="https://filestore.fortinet.com/docs.fortinet.com/fsiem/Public_Resource_Access/7_6_0/rules/PH_RULE_Password_Protected_ZIP_File_Opened_Email_Attachment_.htm" TargetMode="External"/><Relationship Id="rId580" Type="http://schemas.openxmlformats.org/officeDocument/2006/relationships/hyperlink" Target="https://filestore.fortinet.com/docs.fortinet.com/fsiem/Public_Resource_Access/7_6_0/rules/PH_RULE_Password_Protected_ZIP_File_Opened_Suspicious_Filenames_.htm" TargetMode="External"/><Relationship Id="rId581" Type="http://schemas.openxmlformats.org/officeDocument/2006/relationships/hyperlink" Target="https://filestore.fortinet.com/docs.fortinet.com/fsiem/Public_Resource_Access/7_6_0/rules/PH_RULE_Persistence_and_Execution_at_Scale_via_GPO_Scheduled_Task.htm" TargetMode="External"/><Relationship Id="rId582" Type="http://schemas.openxmlformats.org/officeDocument/2006/relationships/hyperlink" Target="https://filestore.fortinet.com/docs.fortinet.com/fsiem/Public_Resource_Access/7_6_0/rules/PH_RULE_Potential_Access_Token_Abuse.htm" TargetMode="External"/><Relationship Id="rId583" Type="http://schemas.openxmlformats.org/officeDocument/2006/relationships/hyperlink" Target="https://filestore.fortinet.com/docs.fortinet.com/fsiem/Public_Resource_Access/7_6_0/rules/PH_RULE_Potential_Active_Directory_Enumeration_Using_AD_Module_ProcCreation.htm" TargetMode="External"/><Relationship Id="rId584" Type="http://schemas.openxmlformats.org/officeDocument/2006/relationships/hyperlink" Target="https://filestore.fortinet.com/docs.fortinet.com/fsiem/Public_Resource_Access/7_6_0/rules/PH_RULE_Potential_Active_Directory_Enumeration_Using_AD_Module_PsModule.htm" TargetMode="External"/><Relationship Id="rId585" Type="http://schemas.openxmlformats.org/officeDocument/2006/relationships/hyperlink" Target="https://filestore.fortinet.com/docs.fortinet.com/fsiem/Public_Resource_Access/7_6_0/rules/PH_RULE_Potential_Active_Directory_Enumeration_Using_AD_Module_PsScript.htm" TargetMode="External"/><Relationship Id="rId586" Type="http://schemas.openxmlformats.org/officeDocument/2006/relationships/hyperlink" Target="https://filestore.fortinet.com/docs.fortinet.com/fsiem/Public_Resource_Access/7_6_0/rules/PH_RULE_Potential_AS_REP_Roasting_via_Kerberos_TGT_Requests.htm" TargetMode="External"/><Relationship Id="rId587" Type="http://schemas.openxmlformats.org/officeDocument/2006/relationships/hyperlink" Target="https://filestore.fortinet.com/docs.fortinet.com/fsiem/Public_Resource_Access/7_6_0/rules/PH_RULE_Avusing_Azure_Browser_SSO.htm" TargetMode="External"/><Relationship Id="rId588" Type="http://schemas.openxmlformats.org/officeDocument/2006/relationships/hyperlink" Target="https://filestore.fortinet.com/docs.fortinet.com/fsiem/Public_Resource_Access/7_6_0/rules/PH_RULE_Potential_Kerberos_Coercion_by_Spoofing_SPNs_via_DNS_Manipulation.htm" TargetMode="External"/><Relationship Id="rId589" Type="http://schemas.openxmlformats.org/officeDocument/2006/relationships/hyperlink" Target="https://filestore.fortinet.com/docs.fortinet.com/fsiem/Public_Resource_Access/7_6_0/rules/PH_RULE_Potential_NTLM_Coercion_Via_Certutil_EXE.htm" TargetMode="External"/><Relationship Id="rId590" Type="http://schemas.openxmlformats.org/officeDocument/2006/relationships/hyperlink" Target="https://filestore.fortinet.com/docs.fortinet.com/fsiem/Public_Resource_Access/7_6_0/rules/PH_RULE_Potential_Privilege_Escalation_via_Local_Kerberos_Relay_over_LDAP.htm" TargetMode="External"/><Relationship Id="rId591" Type="http://schemas.openxmlformats.org/officeDocument/2006/relationships/hyperlink" Target="https://filestore.fortinet.com/docs.fortinet.com/fsiem/Public_Resource_Access/7_6_0/rules/PH_RULE_Suspicious_Driver_Loaded_By_User.htm" TargetMode="External"/><Relationship Id="rId592" Type="http://schemas.openxmlformats.org/officeDocument/2006/relationships/hyperlink" Target="https://filestore.fortinet.com/docs.fortinet.com/fsiem/Public_Resource_Access/7_6_0/rules/PH_RULE_Potential_Secure_Deletion_with_SDelete.htm" TargetMode="External"/><Relationship Id="rId593" Type="http://schemas.openxmlformats.org/officeDocument/2006/relationships/hyperlink" Target="https://filestore.fortinet.com/docs.fortinet.com/fsiem/Public_Resource_Access/7_6_0/rules/PH_RULE_High_Integrity_Sdclt_Process.htm" TargetMode="External"/><Relationship Id="rId594" Type="http://schemas.openxmlformats.org/officeDocument/2006/relationships/hyperlink" Target="https://filestore.fortinet.com/docs.fortinet.com/fsiem/Public_Resource_Access/7_6_0/rules/PH_RULE_UAC_Bypass_via_Event_Viewer_SYSMON2.htm" TargetMode="External"/><Relationship Id="rId595" Type="http://schemas.openxmlformats.org/officeDocument/2006/relationships/hyperlink" Target="https://filestore.fortinet.com/docs.fortinet.com/fsiem/Public_Resource_Access/7_6_0/rules/PH_RULE_PowerShell_ADRecon_Execution.htm" TargetMode="External"/><Relationship Id="rId596" Type="http://schemas.openxmlformats.org/officeDocument/2006/relationships/hyperlink" Target="https://filestore.fortinet.com/docs.fortinet.com/fsiem/Public_Resource_Access/7_6_0/rules/PH_RULE_PowerShell_Create_Local_User.htm" TargetMode="External"/><Relationship Id="rId597" Type="http://schemas.openxmlformats.org/officeDocument/2006/relationships/hyperlink" Target="https://filestore.fortinet.com/docs.fortinet.com/fsiem/Public_Resource_Access/7_6_0/rules/PH_RULE_Powershell_Install_a_DLL_in_System_Directory.htm" TargetMode="External"/><Relationship Id="rId598" Type="http://schemas.openxmlformats.org/officeDocument/2006/relationships/hyperlink" Target="https://filestore.fortinet.com/docs.fortinet.com/fsiem/Public_Resource_Access/7_6_0/rules/PH_RULE_PowerShell_Scripts_Installed_as_Services_Security.htm" TargetMode="External"/><Relationship Id="rId599" Type="http://schemas.openxmlformats.org/officeDocument/2006/relationships/hyperlink" Target="https://filestore.fortinet.com/docs.fortinet.com/fsiem/Public_Resource_Access/7_6_0/rules/PH_RULE_PowerShell_Web_Access_Feature_Enabled_Via_DISM.htm" TargetMode="External"/><Relationship Id="rId600" Type="http://schemas.openxmlformats.org/officeDocument/2006/relationships/hyperlink" Target="https://filestore.fortinet.com/docs.fortinet.com/fsiem/Public_Resource_Access/7_6_0/rules/PH_RULE_Processes_Accessing_the_Microphone_and_Webcam.htm" TargetMode="External"/><Relationship Id="rId601" Type="http://schemas.openxmlformats.org/officeDocument/2006/relationships/hyperlink" Target="https://filestore.fortinet.com/docs.fortinet.com/fsiem/Public_Resource_Access/7_6_0/rules/PH_RULE_Protected_Storage_Service_Access.htm" TargetMode="External"/><Relationship Id="rId602" Type="http://schemas.openxmlformats.org/officeDocument/2006/relationships/hyperlink" Target="https://filestore.fortinet.com/docs.fortinet.com/fsiem/Public_Resource_Access/7_6_0/rules/PH_RULE_PUA_AdFind_EXE_Execution.htm" TargetMode="External"/><Relationship Id="rId603" Type="http://schemas.openxmlformats.org/officeDocument/2006/relationships/hyperlink" Target="https://filestore.fortinet.com/docs.fortinet.com/fsiem/Public_Resource_Access/7_6_0/rules/PH_RULE_PUA_PingCastle_Execution_From_Potentially_Suspicious_Parent.htm" TargetMode="External"/><Relationship Id="rId604" Type="http://schemas.openxmlformats.org/officeDocument/2006/relationships/hyperlink" Target="https://filestore.fortinet.com/docs.fortinet.com/fsiem/Public_Resource_Access/7_6_0/rules/PH_RULE_Suspicious_AdFind_Enumerate.htm" TargetMode="External"/><Relationship Id="rId605" Type="http://schemas.openxmlformats.org/officeDocument/2006/relationships/hyperlink" Target="https://filestore.fortinet.com/docs.fortinet.com/fsiem/Public_Resource_Access/7_6_0/rules/PH_RULE_RDP_Login_from_Localhost.htm" TargetMode="External"/><Relationship Id="rId606" Type="http://schemas.openxmlformats.org/officeDocument/2006/relationships/hyperlink" Target="https://filestore.fortinet.com/docs.fortinet.com/fsiem/Public_Resource_Access/7_6_0/rules/PH_RULE_RDP_over_Reverse_SSH_Tunnel_WFP.htm" TargetMode="External"/><Relationship Id="rId607" Type="http://schemas.openxmlformats.org/officeDocument/2006/relationships/hyperlink" Target="https://filestore.fortinet.com/docs.fortinet.com/fsiem/Public_Resource_Access/7_6_0/rules/PH_RULE_Reconnaissance_Activity.htm" TargetMode="External"/><Relationship Id="rId608" Type="http://schemas.openxmlformats.org/officeDocument/2006/relationships/hyperlink" Target="https://filestore.fortinet.com/docs.fortinet.com/fsiem/Public_Resource_Access/7_6_0/rules/PH_RULE_Registry_Modification_of_MS_settings_Protocol_Handler.htm" TargetMode="External"/><Relationship Id="rId609" Type="http://schemas.openxmlformats.org/officeDocument/2006/relationships/hyperlink" Target="https://filestore.fortinet.com/docs.fortinet.com/fsiem/Public_Resource_Access/7_6_0/rules/PH_RULE_Remote_Access_Tool_MeshAgent_Command_Execution_via_MeshCentral.htm" TargetMode="External"/><Relationship Id="rId610" Type="http://schemas.openxmlformats.org/officeDocument/2006/relationships/hyperlink" Target="https://filestore.fortinet.com/docs.fortinet.com/fsiem/Public_Resource_Access/7_6_0/rules/PH_RULE_Remote_Access_Tool_Services_Have_Been_Installed_Security.htm" TargetMode="External"/><Relationship Id="rId611" Type="http://schemas.openxmlformats.org/officeDocument/2006/relationships/hyperlink" Target="https://filestore.fortinet.com/docs.fortinet.com/fsiem/Public_Resource_Access/7_6_0/rules/PH_Rule_WinTS_RDP_From_Internet.htm" TargetMode="External"/><Relationship Id="rId612" Type="http://schemas.openxmlformats.org/officeDocument/2006/relationships/hyperlink" Target="https://filestore.fortinet.com/docs.fortinet.com/fsiem/Public_Resource_Access/7_6_0/rules/PH_RULE_Remote_File_Download_via_Desktopimgdownldr_Utility.htm" TargetMode="External"/><Relationship Id="rId613" Type="http://schemas.openxmlformats.org/officeDocument/2006/relationships/hyperlink" Target="https://filestore.fortinet.com/docs.fortinet.com/fsiem/Public_Resource_Access/7_6_0/rules/PH_RULE_Remote_PowerShell_Sessions.htm" TargetMode="External"/><Relationship Id="rId614" Type="http://schemas.openxmlformats.org/officeDocument/2006/relationships/hyperlink" Target="https://filestore.fortinet.com/docs.fortinet.com/fsiem/Public_Resource_Access/7_6_0/rules/PH_RULE_Remote_Service_Activity_via_SVCCTL_Named_Pipe.htm" TargetMode="External"/><Relationship Id="rId615" Type="http://schemas.openxmlformats.org/officeDocument/2006/relationships/hyperlink" Target="https://filestore.fortinet.com/docs.fortinet.com/fsiem/Public_Resource_Access/7_6_0/rules/PH_RULE_Remote_Task_Creation_via_ATSVC_Named_Pipe.htm" TargetMode="External"/><Relationship Id="rId616" Type="http://schemas.openxmlformats.org/officeDocument/2006/relationships/hyperlink" Target="https://filestore.fortinet.com/docs.fortinet.com/fsiem/Public_Resource_Access/7_6_0/rules/PH_RULE_Remove_Account_From_Domain_Admin_Group.htm" TargetMode="External"/><Relationship Id="rId617" Type="http://schemas.openxmlformats.org/officeDocument/2006/relationships/hyperlink" Target="https://filestore.fortinet.com/docs.fortinet.com/fsiem/Public_Resource_Access/7_6_0/rules/PH_RULE_Renamed_ZOHO_Dctask64.htm" TargetMode="External"/><Relationship Id="rId618" Type="http://schemas.openxmlformats.org/officeDocument/2006/relationships/hyperlink" Target="https://filestore.fortinet.com/docs.fortinet.com/fsiem/Public_Resource_Access/7_6_0/rules/PH_RULE_Replay_Attack_Detected.htm" TargetMode="External"/><Relationship Id="rId619" Type="http://schemas.openxmlformats.org/officeDocument/2006/relationships/hyperlink" Target="https://filestore.fortinet.com/docs.fortinet.com/fsiem/Public_Resource_Access/7_6_0/rules/PH_RULE_RottenPotato_Like_Attack_Pattern.htm" TargetMode="External"/><Relationship Id="rId620" Type="http://schemas.openxmlformats.org/officeDocument/2006/relationships/hyperlink" Target="https://filestore.fortinet.com/docs.fortinet.com/fsiem/Public_Resource_Access/7_6_0/rules/PH_RULE_SCM_Database_Handle_Failure.htm" TargetMode="External"/><Relationship Id="rId621" Type="http://schemas.openxmlformats.org/officeDocument/2006/relationships/hyperlink" Target="https://filestore.fortinet.com/docs.fortinet.com/fsiem/Public_Resource_Access/7_6_0/rules/PH_RULE_SCM_Database_Privileged_Operation.htm" TargetMode="External"/><Relationship Id="rId622" Type="http://schemas.openxmlformats.org/officeDocument/2006/relationships/hyperlink" Target="https://filestore.fortinet.com/docs.fortinet.com/fsiem/Public_Resource_Access/7_6_0/rules/PH_RULE_Sdclt_Child_Processes.htm" TargetMode="External"/><Relationship Id="rId623" Type="http://schemas.openxmlformats.org/officeDocument/2006/relationships/hyperlink" Target="https://filestore.fortinet.com/docs.fortinet.com/fsiem/Public_Resource_Access/7_6_0/rules/PH_RULE_Sensitive_File_Dump_Via_Print_EXE.htm" TargetMode="External"/><Relationship Id="rId624" Type="http://schemas.openxmlformats.org/officeDocument/2006/relationships/hyperlink" Target="https://filestore.fortinet.com/docs.fortinet.com/fsiem/Public_Resource_Access/7_6_0/rules/PH_RULE_Sensitive_File_Dump_Via_Wbadmin_EXE.htm" TargetMode="External"/><Relationship Id="rId625" Type="http://schemas.openxmlformats.org/officeDocument/2006/relationships/hyperlink" Target="https://filestore.fortinet.com/docs.fortinet.com/fsiem/Public_Resource_Access/7_6_0/rules/PH_RULE_Sensitive_File_Recovery_From_Backup_Via_Wbadmin_EXE.htm" TargetMode="External"/><Relationship Id="rId626" Type="http://schemas.openxmlformats.org/officeDocument/2006/relationships/hyperlink" Target="https://filestore.fortinet.com/docs.fortinet.com/fsiem/Public_Resource_Access/7_6_0/rules/PH_RULE_Service_Installed_By_Unusual_Client_Security.htm" TargetMode="External"/><Relationship Id="rId627" Type="http://schemas.openxmlformats.org/officeDocument/2006/relationships/hyperlink" Target="https://filestore.fortinet.com/docs.fortinet.com/fsiem/Public_Resource_Access/7_6_0/rules/PH_RULE_Service_Registry_Key_Read_Access_Request.htm" TargetMode="External"/><Relationship Id="rId628" Type="http://schemas.openxmlformats.org/officeDocument/2006/relationships/hyperlink" Target="https://filestore.fortinet.com/docs.fortinet.com/fsiem/Public_Resource_Access/7_6_0/rules/PH_RULE_Shell_Open_Registry_Keys_Manipulation.htm" TargetMode="External"/><Relationship Id="rId629" Type="http://schemas.openxmlformats.org/officeDocument/2006/relationships/hyperlink" Target="https://filestore.fortinet.com/docs.fortinet.com/fsiem/Public_Resource_Access/7_6_0/rules/PH_RULE_SMB_Create_Remote_File_Admin_Share.htm" TargetMode="External"/><Relationship Id="rId630" Type="http://schemas.openxmlformats.org/officeDocument/2006/relationships/hyperlink" Target="https://filestore.fortinet.com/docs.fortinet.com/fsiem/Public_Resource_Access/7_6_0/rules/PH_RULE_Standard_User_In_High_Privileged_Group.htm" TargetMode="External"/><Relationship Id="rId631" Type="http://schemas.openxmlformats.org/officeDocument/2006/relationships/hyperlink" Target="https://filestore.fortinet.com/docs.fortinet.com/fsiem/Public_Resource_Access/7_6_0/rules/PH_RULE_Startup_Logon_Script_Added_to_Group_Policy_Object.htm" TargetMode="External"/><Relationship Id="rId632" Type="http://schemas.openxmlformats.org/officeDocument/2006/relationships/hyperlink" Target="https://filestore.fortinet.com/docs.fortinet.com/fsiem/Public_Resource_Access/7_6_0/rules/PH_RULE_Suspicious_Access_to_Sensitive_File_Extensions.htm" TargetMode="External"/><Relationship Id="rId633" Type="http://schemas.openxmlformats.org/officeDocument/2006/relationships/hyperlink" Target="https://filestore.fortinet.com/docs.fortinet.com/fsiem/Public_Resource_Access/7_6_0/rules/PH_RULE_Suspicious_Computer_Machine_Password_by_PowerShell.htm" TargetMode="External"/><Relationship Id="rId634" Type="http://schemas.openxmlformats.org/officeDocument/2006/relationships/hyperlink" Target="https://filestore.fortinet.com/docs.fortinet.com/fsiem/Public_Resource_Access/7_6_0/rules/PH_RULE_Suspicious_Copy_From_or_To_System32.htm" TargetMode="External"/><Relationship Id="rId635" Type="http://schemas.openxmlformats.org/officeDocument/2006/relationships/hyperlink" Target="https://filestore.fortinet.com/docs.fortinet.com/fsiem/Public_Resource_Access/7_6_0/rules/PH_RULE_Suspicious_DNS_Query_Indicating_Kerberos_Coercion_via_DNS_Object_SPN_Spoofing.htm" TargetMode="External"/><Relationship Id="rId636" Type="http://schemas.openxmlformats.org/officeDocument/2006/relationships/hyperlink" Target="https://filestore.fortinet.com/docs.fortinet.com/fsiem/Public_Resource_Access/7_6_0/rules/PH_RULE_Suspicious_Download_Via_Certutil_EXE.htm" TargetMode="External"/><Relationship Id="rId637" Type="http://schemas.openxmlformats.org/officeDocument/2006/relationships/hyperlink" Target="https://filestore.fortinet.com/docs.fortinet.com/fsiem/Public_Resource_Access/7_6_0/rules/PH_RULE_Suspicious_Execution_of_Adidnsdump.htm" TargetMode="External"/><Relationship Id="rId638" Type="http://schemas.openxmlformats.org/officeDocument/2006/relationships/hyperlink" Target="https://filestore.fortinet.com/docs.fortinet.com/fsiem/Public_Resource_Access/7_6_0/rules/PH_RULE_Suspicious_File_Downloaded_From_Direct_IP_Via_Certutil_EXE.htm" TargetMode="External"/><Relationship Id="rId639" Type="http://schemas.openxmlformats.org/officeDocument/2006/relationships/hyperlink" Target="https://filestore.fortinet.com/docs.fortinet.com/fsiem/Public_Resource_Access/7_6_0/rules/PH_RULE_Suspicious_File_Downloaded_From_File_Sharing_Website_Via_Certutil_EXE.htm" TargetMode="External"/><Relationship Id="rId640" Type="http://schemas.openxmlformats.org/officeDocument/2006/relationships/hyperlink" Target="https://filestore.fortinet.com/docs.fortinet.com/fsiem/Public_Resource_Access/7_6_0/rules/PH_RULE_Suspicious_File_Encoded_To_Base64_Via_Certutil_EXE.htm" TargetMode="External"/><Relationship Id="rId641" Type="http://schemas.openxmlformats.org/officeDocument/2006/relationships/hyperlink" Target="https://filestore.fortinet.com/docs.fortinet.com/fsiem/Public_Resource_Access/7_6_0/rules/PH_RULE_Suspicious_Files_in_Default_GPO_Folder.htm" TargetMode="External"/><Relationship Id="rId642" Type="http://schemas.openxmlformats.org/officeDocument/2006/relationships/hyperlink" Target="https://filestore.fortinet.com/docs.fortinet.com/fsiem/Public_Resource_Access/7_6_0/rules/PH_RULE_Suspicious_Get_ADDBAccount_Usage.htm" TargetMode="External"/><Relationship Id="rId643" Type="http://schemas.openxmlformats.org/officeDocument/2006/relationships/hyperlink" Target="https://filestore.fortinet.com/docs.fortinet.com/fsiem/Public_Resource_Access/7_6_0/rules/PH_RULE_Suspicious_Get_ADReplAccount.htm" TargetMode="External"/><Relationship Id="rId644" Type="http://schemas.openxmlformats.org/officeDocument/2006/relationships/hyperlink" Target="https://filestore.fortinet.com/docs.fortinet.com/fsiem/Public_Resource_Access/7_6_0/rules/PH_RULE_Suspicious_GPO_Discovery_With_Get_GPO.htm" TargetMode="External"/><Relationship Id="rId645" Type="http://schemas.openxmlformats.org/officeDocument/2006/relationships/hyperlink" Target="https://filestore.fortinet.com/docs.fortinet.com/fsiem/Public_Resource_Access/7_6_0/rules/PH_RULE_Suspicious_Kerberos_Ticket_Request_via_CLI.htm" TargetMode="External"/><Relationship Id="rId646" Type="http://schemas.openxmlformats.org/officeDocument/2006/relationships/hyperlink" Target="https://filestore.fortinet.com/docs.fortinet.com/fsiem/Public_Resource_Access/7_6_0/rules/PH_RULE_Suspicious_Kerberos_Ticket_Request_via_PowerShell_Script_ScriptBlock.htm" TargetMode="External"/><Relationship Id="rId647" Type="http://schemas.openxmlformats.org/officeDocument/2006/relationships/hyperlink" Target="https://filestore.fortinet.com/docs.fortinet.com/fsiem/Public_Resource_Access/7_6_0/rules/PH_RULE_Suspicious_LDAP_Attributes_Used.htm" TargetMode="External"/><Relationship Id="rId648" Type="http://schemas.openxmlformats.org/officeDocument/2006/relationships/hyperlink" Target="https://filestore.fortinet.com/docs.fortinet.com/fsiem/Public_Resource_Access/7_6_0/rules/PH_RULE_Suspicious_PsExec_Execution.htm" TargetMode="External"/><Relationship Id="rId649" Type="http://schemas.openxmlformats.org/officeDocument/2006/relationships/hyperlink" Target="https://filestore.fortinet.com/docs.fortinet.com/fsiem/Public_Resource_Access/7_6_0/rules/PH_RULE_Suspicious_Remote_Logon_with_Explicit_Credentials.htm" TargetMode="External"/><Relationship Id="rId650" Type="http://schemas.openxmlformats.org/officeDocument/2006/relationships/hyperlink" Target="https://filestore.fortinet.com/docs.fortinet.com/fsiem/Public_Resource_Access/7_6_0/rules/PH_RULE_Suspicious_Scheduled_Task_Creation.htm" TargetMode="External"/><Relationship Id="rId651" Type="http://schemas.openxmlformats.org/officeDocument/2006/relationships/hyperlink" Target="https://filestore.fortinet.com/docs.fortinet.com/fsiem/Public_Resource_Access/7_6_0/rules/PH_RULE_Suspicious_Scheduled_Task_Update.htm" TargetMode="External"/><Relationship Id="rId652" Type="http://schemas.openxmlformats.org/officeDocument/2006/relationships/hyperlink" Target="https://filestore.fortinet.com/docs.fortinet.com/fsiem/Public_Resource_Access/7_6_0/rules/PH_RULE_Suspicious_Shell_Open_Command_Registry_Modification.htm" TargetMode="External"/><Relationship Id="rId653" Type="http://schemas.openxmlformats.org/officeDocument/2006/relationships/hyperlink" Target="https://filestore.fortinet.com/docs.fortinet.com/fsiem/Public_Resource_Access/7_6_0/rules/PH_RULE_Suspicious_Task_Added_by_Powershell.htm" TargetMode="External"/><Relationship Id="rId654" Type="http://schemas.openxmlformats.org/officeDocument/2006/relationships/hyperlink" Target="https://filestore.fortinet.com/docs.fortinet.com/fsiem/Public_Resource_Access/7_6_0/rules/PH_RULE_Suspicious_Windows_ANONYMOUS_LOGON_Local_Account_Created.htm" TargetMode="External"/><Relationship Id="rId655" Type="http://schemas.openxmlformats.org/officeDocument/2006/relationships/hyperlink" Target="https://filestore.fortinet.com/docs.fortinet.com/fsiem/Public_Resource_Access/7_6_0/rules/PH_RULE_SysKey_Registry_Keys_Access.htm" TargetMode="External"/><Relationship Id="rId656" Type="http://schemas.openxmlformats.org/officeDocument/2006/relationships/hyperlink" Target="https://filestore.fortinet.com/docs.fortinet.com/fsiem/Public_Resource_Access/7_6_0/rules/PH_RULE_Sysmon_Crash.htm" TargetMode="External"/><Relationship Id="rId657" Type="http://schemas.openxmlformats.org/officeDocument/2006/relationships/hyperlink" Target="https://filestore.fortinet.com/docs.fortinet.com/fsiem/Public_Resource_Access/7_6_0/rules/PH_RULE_Sysmon_Channel_Reference_Deletion.htm" TargetMode="External"/><Relationship Id="rId658" Type="http://schemas.openxmlformats.org/officeDocument/2006/relationships/hyperlink" Target="https://filestore.fortinet.com/docs.fortinet.com/fsiem/Public_Resource_Access/7_6_0/rules/PH_RULE_PolicyViolation_CrashOnAuditFail_Crashed.htm" TargetMode="External"/><Relationship Id="rId659" Type="http://schemas.openxmlformats.org/officeDocument/2006/relationships/hyperlink" Target="https://filestore.fortinet.com/docs.fortinet.com/fsiem/Public_Resource_Access/7_6_0/rules/PH_RULE_T1047_Wmiprvse_Wbemcomn_DLL_Hijack.htm" TargetMode="External"/><Relationship Id="rId660" Type="http://schemas.openxmlformats.org/officeDocument/2006/relationships/hyperlink" Target="https://filestore.fortinet.com/docs.fortinet.com/fsiem/Public_Resource_Access/7_6_0/rules/PH_RULE_Tap_Driver_Installation_SECURITY_LOG.htm" TargetMode="External"/><Relationship Id="rId661" Type="http://schemas.openxmlformats.org/officeDocument/2006/relationships/hyperlink" Target="https://filestore.fortinet.com/docs.fortinet.com/fsiem/Public_Resource_Access/7_6_0/rules/PH_RULE_Tap_Driver_Installation_Security.htm" TargetMode="External"/><Relationship Id="rId662" Type="http://schemas.openxmlformats.org/officeDocument/2006/relationships/hyperlink" Target="https://filestore.fortinet.com/docs.fortinet.com/fsiem/Public_Resource_Access/7_6_0/rules/PH_RULE_Failed_to_Load_Policy_in_Windows_Firewall_with_Advanced_Security.htm" TargetMode="External"/><Relationship Id="rId663" Type="http://schemas.openxmlformats.org/officeDocument/2006/relationships/hyperlink" Target="https://filestore.fortinet.com/docs.fortinet.com/fsiem/Public_Resource_Access/7_6_0/rules/PH_RULE_TrustedPath_UAC_Bypass_Pattern.htm" TargetMode="External"/><Relationship Id="rId664" Type="http://schemas.openxmlformats.org/officeDocument/2006/relationships/hyperlink" Target="https://filestore.fortinet.com/docs.fortinet.com/fsiem/Public_Resource_Access/7_6_0/rules/PH_RULE_UAC_Bypass_Abusing_Winsat_Path_Parsing_File.htm" TargetMode="External"/><Relationship Id="rId665" Type="http://schemas.openxmlformats.org/officeDocument/2006/relationships/hyperlink" Target="https://filestore.fortinet.com/docs.fortinet.com/fsiem/Public_Resource_Access/7_6_0/rules/PH_RULE_UAC_Bypass_Abusing_Winsat_Path_Parsing_Process.htm" TargetMode="External"/><Relationship Id="rId666" Type="http://schemas.openxmlformats.org/officeDocument/2006/relationships/hyperlink" Target="https://filestore.fortinet.com/docs.fortinet.com/fsiem/Public_Resource_Access/7_6_0/rules/PH_RULE_UAC_Bypass_Abusing_Winsat_Path_Parsing_Registry.htm" TargetMode="External"/><Relationship Id="rId667" Type="http://schemas.openxmlformats.org/officeDocument/2006/relationships/hyperlink" Target="https://filestore.fortinet.com/docs.fortinet.com/fsiem/Public_Resource_Access/7_6_0/rules/PH_RULE_UAC_Bypass_Using_ComputerDefaults.htm" TargetMode="External"/><Relationship Id="rId668" Type="http://schemas.openxmlformats.org/officeDocument/2006/relationships/hyperlink" Target="https://filestore.fortinet.com/docs.fortinet.com/fsiem/Public_Resource_Access/7_6_0/rules/PH_RULE_UAC_Bypass_Using_NET_Code_Profiler_on_MMC.htm" TargetMode="External"/><Relationship Id="rId669" Type="http://schemas.openxmlformats.org/officeDocument/2006/relationships/hyperlink" Target="https://filestore.fortinet.com/docs.fortinet.com/fsiem/Public_Resource_Access/7_6_0/rules/PH_RULE_UAC_Bypass_Using_ChangePK_and_SLUI.htm" TargetMode="External"/><Relationship Id="rId670" Type="http://schemas.openxmlformats.org/officeDocument/2006/relationships/hyperlink" Target="https://filestore.fortinet.com/docs.fortinet.com/fsiem/Public_Resource_Access/7_6_0/rules/PH_RULE_UAC_Bypass_Using_Consent_and_Comctl32_File.htm" TargetMode="External"/><Relationship Id="rId671" Type="http://schemas.openxmlformats.org/officeDocument/2006/relationships/hyperlink" Target="https://filestore.fortinet.com/docs.fortinet.com/fsiem/Public_Resource_Access/7_6_0/rules/PH_RULE_UAC_Bypass_Using_Consent_and_Comctl32_Process.htm" TargetMode="External"/><Relationship Id="rId672" Type="http://schemas.openxmlformats.org/officeDocument/2006/relationships/hyperlink" Target="https://filestore.fortinet.com/docs.fortinet.com/fsiem/Public_Resource_Access/7_6_0/rules/PH_RULE_UAC_Bypass_Using_Disk_Cleanup.htm" TargetMode="External"/><Relationship Id="rId673" Type="http://schemas.openxmlformats.org/officeDocument/2006/relationships/hyperlink" Target="https://filestore.fortinet.com/docs.fortinet.com/fsiem/Public_Resource_Access/7_6_0/rules/PH_RULE_UAC_Bypass_Using_DismHost.htm" TargetMode="External"/><Relationship Id="rId674" Type="http://schemas.openxmlformats.org/officeDocument/2006/relationships/hyperlink" Target="https://filestore.fortinet.com/docs.fortinet.com/fsiem/Public_Resource_Access/7_6_0/rules/PH_RULE_UAC_Bypass_Using_IDiagnostic_Profile.htm" TargetMode="External"/><Relationship Id="rId675" Type="http://schemas.openxmlformats.org/officeDocument/2006/relationships/hyperlink" Target="https://filestore.fortinet.com/docs.fortinet.com/fsiem/Public_Resource_Access/7_6_0/rules/PH_RULE_UAC_Bypass_Using_IDiagnostic_Profile_File.htm" TargetMode="External"/><Relationship Id="rId676" Type="http://schemas.openxmlformats.org/officeDocument/2006/relationships/hyperlink" Target="https://filestore.fortinet.com/docs.fortinet.com/fsiem/Public_Resource_Access/7_6_0/rules/PH_RULE_UAC_Bypass_Using_IEInstal_File.htm" TargetMode="External"/><Relationship Id="rId677" Type="http://schemas.openxmlformats.org/officeDocument/2006/relationships/hyperlink" Target="https://filestore.fortinet.com/docs.fortinet.com/fsiem/Public_Resource_Access/7_6_0/rules/PH_RULE_UAC_Bypass_Using_IEInstal_Process.htm" TargetMode="External"/><Relationship Id="rId678" Type="http://schemas.openxmlformats.org/officeDocument/2006/relationships/hyperlink" Target="https://filestore.fortinet.com/docs.fortinet.com/fsiem/Public_Resource_Access/7_6_0/rules/PH_RULE_UAC_Bypass_Using_Iscsicpl_ImageLoad.htm" TargetMode="External"/><Relationship Id="rId679" Type="http://schemas.openxmlformats.org/officeDocument/2006/relationships/hyperlink" Target="https://filestore.fortinet.com/docs.fortinet.com/fsiem/Public_Resource_Access/7_6_0/rules/PH_RULE_UAC_Bypass_Using_MSConfig_Token_Modification_File.htm" TargetMode="External"/><Relationship Id="rId680" Type="http://schemas.openxmlformats.org/officeDocument/2006/relationships/hyperlink" Target="https://filestore.fortinet.com/docs.fortinet.com/fsiem/Public_Resource_Access/7_6_0/rules/PH_RULE_UAC_Bypass_Using_MSConfig_Token_Modification_Process.htm" TargetMode="External"/><Relationship Id="rId681" Type="http://schemas.openxmlformats.org/officeDocument/2006/relationships/hyperlink" Target="https://filestore.fortinet.com/docs.fortinet.com/fsiem/Public_Resource_Access/7_6_0/rules/PH_RULE_UAC_Bypass_Using_NTFS_Reparse_Point_File.htm" TargetMode="External"/><Relationship Id="rId682" Type="http://schemas.openxmlformats.org/officeDocument/2006/relationships/hyperlink" Target="https://filestore.fortinet.com/docs.fortinet.com/fsiem/Public_Resource_Access/7_6_0/rules/PH_RULE_UAC_Bypass_Using_NTFS_Reparse_Point_Process.htm" TargetMode="External"/><Relationship Id="rId683" Type="http://schemas.openxmlformats.org/officeDocument/2006/relationships/hyperlink" Target="https://filestore.fortinet.com/docs.fortinet.com/fsiem/Public_Resource_Access/7_6_0/rules/PH_RULE_UAC_Bypass_Using_PkgMgr_and_DISM.htm" TargetMode="External"/><Relationship Id="rId684" Type="http://schemas.openxmlformats.org/officeDocument/2006/relationships/hyperlink" Target="https://filestore.fortinet.com/docs.fortinet.com/fsiem/Public_Resource_Access/7_6_0/rules/PH_RULE_UAC_Bypass_Using_Windows_Media_Player_File.htm" TargetMode="External"/><Relationship Id="rId685" Type="http://schemas.openxmlformats.org/officeDocument/2006/relationships/hyperlink" Target="https://filestore.fortinet.com/docs.fortinet.com/fsiem/Public_Resource_Access/7_6_0/rules/PH_RULE_UAC_Bypass_Using_Windows_Media_Player_Process.htm" TargetMode="External"/><Relationship Id="rId686" Type="http://schemas.openxmlformats.org/officeDocument/2006/relationships/hyperlink" Target="https://filestore.fortinet.com/docs.fortinet.com/fsiem/Public_Resource_Access/7_6_0/rules/PH_RULE_UAC_Bypass_Using_Windows_Media_Player_Registry.htm" TargetMode="External"/><Relationship Id="rId687" Type="http://schemas.openxmlformats.org/officeDocument/2006/relationships/hyperlink" Target="https://filestore.fortinet.com/docs.fortinet.com/fsiem/Public_Resource_Access/7_6_0/rules/PH_RULE_UAC_Bypass_Using_WOW64_Logger_DLL_Hijack.htm" TargetMode="External"/><Relationship Id="rId688" Type="http://schemas.openxmlformats.org/officeDocument/2006/relationships/hyperlink" Target="https://filestore.fortinet.com/docs.fortinet.com/fsiem/Public_Resource_Access/7_6_0/rules/PH_RULE_UAC_Bypass_via_Event_Viewer.htm" TargetMode="External"/><Relationship Id="rId689" Type="http://schemas.openxmlformats.org/officeDocument/2006/relationships/hyperlink" Target="https://filestore.fortinet.com/docs.fortinet.com/fsiem/Public_Resource_Access/7_6_0/rules/PH_RULE_UAC_Bypass_via_ICMLuaUtil.htm" TargetMode="External"/><Relationship Id="rId690" Type="http://schemas.openxmlformats.org/officeDocument/2006/relationships/hyperlink" Target="https://filestore.fortinet.com/docs.fortinet.com/fsiem/Public_Resource_Access/7_6_0/rules/PH_RULE_UAC_Bypass_via_Sdclt.htm" TargetMode="External"/><Relationship Id="rId691" Type="http://schemas.openxmlformats.org/officeDocument/2006/relationships/hyperlink" Target="https://filestore.fortinet.com/docs.fortinet.com/fsiem/Public_Resource_Access/7_6_0/rules/PH_RULE_UAC_Bypass_Via_Wsreset.htm" TargetMode="External"/><Relationship Id="rId692" Type="http://schemas.openxmlformats.org/officeDocument/2006/relationships/hyperlink" Target="https://filestore.fortinet.com/docs.fortinet.com/fsiem/Public_Resource_Access/7_6_0/rules/PH_RULE_UAC_Bypass_WSReset.htm" TargetMode="External"/><Relationship Id="rId693" Type="http://schemas.openxmlformats.org/officeDocument/2006/relationships/hyperlink" Target="https://filestore.fortinet.com/docs.fortinet.com/fsiem/Public_Resource_Access/7_6_0/rules/PH_RULE_UAC_Disabled.htm" TargetMode="External"/><Relationship Id="rId694" Type="http://schemas.openxmlformats.org/officeDocument/2006/relationships/hyperlink" Target="https://filestore.fortinet.com/docs.fortinet.com/fsiem/Public_Resource_Access/7_6_0/rules/PH_RULE_UAC_Notification_Disabled.htm" TargetMode="External"/><Relationship Id="rId695" Type="http://schemas.openxmlformats.org/officeDocument/2006/relationships/hyperlink" Target="https://filestore.fortinet.com/docs.fortinet.com/fsiem/Public_Resource_Access/7_6_0/rules/PH_RULE_UAC_Secure_Desktop_Prompt_Disabled.htm" TargetMode="External"/><Relationship Id="rId696" Type="http://schemas.openxmlformats.org/officeDocument/2006/relationships/hyperlink" Target="https://filestore.fortinet.com/docs.fortinet.com/fsiem/Public_Resource_Access/7_6_0/rules/PH_RULE_Unauthorized_System_Time_Modification.htm" TargetMode="External"/><Relationship Id="rId697" Type="http://schemas.openxmlformats.org/officeDocument/2006/relationships/hyperlink" Target="https://filestore.fortinet.com/docs.fortinet.com/fsiem/Public_Resource_Access/7_6_0/rules/PH_RULE_Added_Rule_in_Windows_Firewall_with_Advanced_Security.htm" TargetMode="External"/><Relationship Id="rId698" Type="http://schemas.openxmlformats.org/officeDocument/2006/relationships/hyperlink" Target="https://filestore.fortinet.com/docs.fortinet.com/fsiem/Public_Resource_Access/7_6_0/rules/PH_RULE_Suspicious_Outbound_Kerberos_Connection.htm" TargetMode="External"/><Relationship Id="rId699" Type="http://schemas.openxmlformats.org/officeDocument/2006/relationships/hyperlink" Target="https://filestore.fortinet.com/docs.fortinet.com/fsiem/Public_Resource_Access/7_6_0/rules/PH_RULE_Uncommon_Outbound_Kerberos_Connection_Security.htm" TargetMode="External"/><Relationship Id="rId700" Type="http://schemas.openxmlformats.org/officeDocument/2006/relationships/hyperlink" Target="https://filestore.fortinet.com/docs.fortinet.com/fsiem/Public_Resource_Access/7_6_0/rules/PH_RULE_Unsigned_Binary_Loaded_From_Suspicious_Location.htm" TargetMode="External"/><Relationship Id="rId701" Type="http://schemas.openxmlformats.org/officeDocument/2006/relationships/hyperlink" Target="https://filestore.fortinet.com/docs.fortinet.com/fsiem/Public_Resource_Access/7_6_0/rules/PH_RULE_User_Added_To_Highly_Privileged_Group.htm" TargetMode="External"/><Relationship Id="rId702" Type="http://schemas.openxmlformats.org/officeDocument/2006/relationships/hyperlink" Target="https://filestore.fortinet.com/docs.fortinet.com/fsiem/Public_Resource_Access/7_6_0/rules/PH_RULE_User_Logoff_Event.htm" TargetMode="External"/><Relationship Id="rId703" Type="http://schemas.openxmlformats.org/officeDocument/2006/relationships/hyperlink" Target="https://filestore.fortinet.com/docs.fortinet.com/fsiem/Public_Resource_Access/7_6_0/rules/PH_RULE_Weak_Encryption_Enabled_and_Kerberoast.htm" TargetMode="External"/><Relationship Id="rId704" Type="http://schemas.openxmlformats.org/officeDocument/2006/relationships/hyperlink" Target="https://filestore.fortinet.com/docs.fortinet.com/fsiem/Public_Resource_Access/7_6_0/rules/PH_RULE_Windows_Credential_Guard_Disabled_Registry.htm" TargetMode="External"/><Relationship Id="rId705" Type="http://schemas.openxmlformats.org/officeDocument/2006/relationships/hyperlink" Target="https://filestore.fortinet.com/docs.fortinet.com/fsiem/Public_Resource_Access/7_6_0/rules/PH_RULE_Windows_Credential_Guard_Registry_Tampering_Via_CommandLine.htm" TargetMode="External"/><Relationship Id="rId706" Type="http://schemas.openxmlformats.org/officeDocument/2006/relationships/hyperlink" Target="https://filestore.fortinet.com/docs.fortinet.com/fsiem/Public_Resource_Access/7_6_0/rules/PH_RULE_Windows_Credential_Guard_Related_Registry_Value_Deleted_Registry.htm" TargetMode="External"/><Relationship Id="rId707" Type="http://schemas.openxmlformats.org/officeDocument/2006/relationships/hyperlink" Target="https://filestore.fortinet.com/docs.fortinet.com/fsiem/Public_Resource_Access/7_6_0/rules/PH_RULE_Windows_Default_Domain_GPO_Modification.htm" TargetMode="External"/><Relationship Id="rId708" Type="http://schemas.openxmlformats.org/officeDocument/2006/relationships/hyperlink" Target="https://filestore.fortinet.com/docs.fortinet.com/fsiem/Public_Resource_Access/7_6_0/rules/PH_RULE_Windows_Default_Domain_GPO_Modification_via_GPME.htm" TargetMode="External"/><Relationship Id="rId709" Type="http://schemas.openxmlformats.org/officeDocument/2006/relationships/hyperlink" Target="https://filestore.fortinet.com/docs.fortinet.com/fsiem/Public_Resource_Access/7_6_0/rules/PH_RULE_Windows_Defender_Exclusion_List_Modified.htm" TargetMode="External"/><Relationship Id="rId710" Type="http://schemas.openxmlformats.org/officeDocument/2006/relationships/hyperlink" Target="https://filestore.fortinet.com/docs.fortinet.com/fsiem/Public_Resource_Access/7_6_0/rules/PH_RULE_Windows_Defender_Exclusion_Registry_Key_Write_Access_Requested.htm" TargetMode="External"/><Relationship Id="rId711" Type="http://schemas.openxmlformats.org/officeDocument/2006/relationships/hyperlink" Target="https://filestore.fortinet.com/docs.fortinet.com/fsiem/Public_Resource_Access/7_6_0/rules/PH_RULE_Reset_to_Default_Configuration_Windows_Firewall_with_Advanced_Security.htm" TargetMode="External"/><Relationship Id="rId712" Type="http://schemas.openxmlformats.org/officeDocument/2006/relationships/hyperlink" Target="https://filestore.fortinet.com/docs.fortinet.com/fsiem/Public_Resource_Access/7_6_0/rules/PH_RULE_Windows_Event_Auditing_Disabled.htm" TargetMode="External"/><Relationship Id="rId713" Type="http://schemas.openxmlformats.org/officeDocument/2006/relationships/hyperlink" Target="https://filestore.fortinet.com/docs.fortinet.com/fsiem/Public_Resource_Access/7_6_0/rules/PH_RULE_Windows_Filtering_Platform_Blocked_Connection_From_EDR_Agent_Binary.htm" TargetMode="External"/><Relationship Id="rId714" Type="http://schemas.openxmlformats.org/officeDocument/2006/relationships/hyperlink" Target="https://filestore.fortinet.com/docs.fortinet.com/fsiem/Public_Resource_Access/7_6_0/rules/PH_RULE_Setting_Change_in_Windows_Firewall_with_Advanced_Security.htm" TargetMode="External"/><Relationship Id="rId715" Type="http://schemas.openxmlformats.org/officeDocument/2006/relationships/hyperlink" Target="https://filestore.fortinet.com/docs.fortinet.com/fsiem/Public_Resource_Access/7_6_0/rules/PH_RULE_Windows_Network_Access_Suspicious_desktop_ini_Action.htm" TargetMode="External"/><Relationship Id="rId716" Type="http://schemas.openxmlformats.org/officeDocument/2006/relationships/hyperlink" Target="https://filestore.fortinet.com/docs.fortinet.com/fsiem/Public_Resource_Access/7_6_0/rules/PH_RULE_ZSCALER_ZPA_ADMIN_CREATED.htm" TargetMode="External"/><Relationship Id="rId717" Type="http://schemas.openxmlformats.org/officeDocument/2006/relationships/hyperlink" Target="https://filestore.fortinet.com/docs.fortinet.com/fsiem/Public_Resource_Access/7_6_0/rules/PH_RULE_ARP_ATTACK.htm" TargetMode="External"/><Relationship Id="rId718" Type="http://schemas.openxmlformats.org/officeDocument/2006/relationships/hyperlink" Target="https://filestore.fortinet.com/docs.fortinet.com/fsiem/Public_Resource_Access/7_6_0/rules/PH_RULE_AWS_SECHUB_TTP_LATERAL_MOVEMENT.htm" TargetMode="External"/><Relationship Id="rId719" Type="http://schemas.openxmlformats.org/officeDocument/2006/relationships/hyperlink" Target="https://filestore.fortinet.com/docs.fortinet.com/fsiem/Public_Resource_Access/7_6_0/rules/PH_RULE_Azure_Key_Vault_Modified.htm" TargetMode="External"/><Relationship Id="rId720" Type="http://schemas.openxmlformats.org/officeDocument/2006/relationships/hyperlink" Target="https://filestore.fortinet.com/docs.fortinet.com/fsiem/Public_Resource_Access/7_6_0/rules/PH_RULE_Azure_Storage_Account_Key_Regenerated.htm" TargetMode="External"/><Relationship Id="rId721" Type="http://schemas.openxmlformats.org/officeDocument/2006/relationships/hyperlink" Target="https://filestore.fortinet.com/docs.fortinet.com/fsiem/Public_Resource_Access/7_6_0/rules/PH_RULE_CCM_EMCC_LOGIN_FAILURE.htm" TargetMode="External"/><Relationship Id="rId722" Type="http://schemas.openxmlformats.org/officeDocument/2006/relationships/hyperlink" Target="https://filestore.fortinet.com/docs.fortinet.com/fsiem/Public_Resource_Access/7_6_0/rules/PH_RULE_CCM_AUTH_FAILED.htm" TargetMode="External"/><Relationship Id="rId723" Type="http://schemas.openxmlformats.org/officeDocument/2006/relationships/hyperlink" Target="https://filestore.fortinet.com/docs.fortinet.com/fsiem/Public_Resource_Access/7_6_0/rules/PH_RULE_CYBERARK_PASSWORD_DISABLE.htm" TargetMode="External"/><Relationship Id="rId724" Type="http://schemas.openxmlformats.org/officeDocument/2006/relationships/hyperlink" Target="https://filestore.fortinet.com/docs.fortinet.com/fsiem/Public_Resource_Access/7_6_0/rules/PH_RULE_HostExposedService.htm" TargetMode="External"/><Relationship Id="rId725" Type="http://schemas.openxmlformats.org/officeDocument/2006/relationships/hyperlink" Target="https://filestore.fortinet.com/docs.fortinet.com/fsiem/Public_Resource_Access/7_6_0/rules/PH_RULE_VPN_FAILED_LOGON_OUTSIDE_COUNTRY.htm" TargetMode="External"/><Relationship Id="rId726" Type="http://schemas.openxmlformats.org/officeDocument/2006/relationships/hyperlink" Target="https://filestore.fortinet.com/docs.fortinet.com/fsiem/Public_Resource_Access/7_6_0/rules/PH_RULE_INBOUND_REMOTE_DESKTOP.htm" TargetMode="External"/><Relationship Id="rId727" Type="http://schemas.openxmlformats.org/officeDocument/2006/relationships/hyperlink" Target="https://filestore.fortinet.com/docs.fortinet.com/fsiem/Public_Resource_Access/7_6_0/rules/PH_RULE_FORTIDECEPTOR_IPS_ATTACK.htm" TargetMode="External"/><Relationship Id="rId728" Type="http://schemas.openxmlformats.org/officeDocument/2006/relationships/hyperlink" Target="https://filestore.fortinet.com/docs.fortinet.com/fsiem/Public_Resource_Access/7_6_0/rules/PH_RULE_FNDRCloud_HighDetectionTrigger.htm" TargetMode="External"/><Relationship Id="rId729" Type="http://schemas.openxmlformats.org/officeDocument/2006/relationships/hyperlink" Target="https://filestore.fortinet.com/docs.fortinet.com/fsiem/Public_Resource_Access/7_6_0/rules/PH_RULE_FNDRCloud_LowDetectionTrigger.htm" TargetMode="External"/><Relationship Id="rId730" Type="http://schemas.openxmlformats.org/officeDocument/2006/relationships/hyperlink" Target="https://filestore.fortinet.com/docs.fortinet.com/fsiem/Public_Resource_Access/7_6_0/rules/PH_RULE_FNDRCloud_ModerateDetectionTrigger.htm" TargetMode="External"/><Relationship Id="rId731" Type="http://schemas.openxmlformats.org/officeDocument/2006/relationships/hyperlink" Target="https://filestore.fortinet.com/docs.fortinet.com/fsiem/Public_Resource_Access/7_6_0/rules/PH_RULE_FortiRecon_CertIssue.htm" TargetMode="External"/><Relationship Id="rId732" Type="http://schemas.openxmlformats.org/officeDocument/2006/relationships/hyperlink" Target="https://filestore.fortinet.com/docs.fortinet.com/fsiem/Public_Resource_Access/7_6_0/rules/PH_RULE_FortiRecon_ReputationIssue.htm" TargetMode="External"/><Relationship Id="rId733" Type="http://schemas.openxmlformats.org/officeDocument/2006/relationships/hyperlink" Target="https://filestore.fortinet.com/docs.fortinet.com/fsiem/Public_Resource_Access/7_6_0/rules/PH_RULE_FORTISANDBOX_SAME_SRC_MULTIPLE_ATTACK.htm" TargetMode="External"/><Relationship Id="rId734" Type="http://schemas.openxmlformats.org/officeDocument/2006/relationships/hyperlink" Target="https://filestore.fortinet.com/docs.fortinet.com/fsiem/Public_Resource_Access/7_6_0/rules/PH_RULE_FortiWeb_Permitted_Inbound_Attack.htm" TargetMode="External"/><Relationship Id="rId735" Type="http://schemas.openxmlformats.org/officeDocument/2006/relationships/hyperlink" Target="https://filestore.fortinet.com/docs.fortinet.com/fsiem/Public_Resource_Access/7_6_0/rules/PH_RULE_SPOOF_ATTACK.htm" TargetMode="External"/><Relationship Id="rId736" Type="http://schemas.openxmlformats.org/officeDocument/2006/relationships/hyperlink" Target="https://filestore.fortinet.com/docs.fortinet.com/fsiem/Public_Resource_Access/7_6_0/rules/PH_RULE_CLEARTEXT_PWD_INBOUND.htm" TargetMode="External"/><Relationship Id="rId737" Type="http://schemas.openxmlformats.org/officeDocument/2006/relationships/hyperlink" Target="https://filestore.fortinet.com/docs.fortinet.com/fsiem/Public_Resource_Access/7_6_0/rules/PH_RULE_ANOMALY_LATERAL_MOVEMENT.htm" TargetMode="External"/><Relationship Id="rId738" Type="http://schemas.openxmlformats.org/officeDocument/2006/relationships/hyperlink" Target="https://filestore.fortinet.com/docs.fortinet.com/fsiem/Public_Resource_Access/7_6_0/rules/PH_RULE_TH_Linux_tcpdump.htm" TargetMode="External"/><Relationship Id="rId739" Type="http://schemas.openxmlformats.org/officeDocument/2006/relationships/hyperlink" Target="https://filestore.fortinet.com/docs.fortinet.com/fsiem/Public_Resource_Access/7_6_0/rules/PH_RULE_Linux_Remote_Terminal_Sessions.htm" TargetMode="External"/><Relationship Id="rId740" Type="http://schemas.openxmlformats.org/officeDocument/2006/relationships/hyperlink" Target="https://filestore.fortinet.com/docs.fortinet.com/fsiem/Public_Resource_Access/7_6_0/rules/PH_RULE_Log4j_Exploit_DetectByRegex.htm" TargetMode="External"/><Relationship Id="rId741" Type="http://schemas.openxmlformats.org/officeDocument/2006/relationships/hyperlink" Target="https://filestore.fortinet.com/docs.fortinet.com/fsiem/Public_Resource_Access/7_6_0/rules/PH_RULE_Log4j_Exploit_DetectByFortinet_Host.htm" TargetMode="External"/><Relationship Id="rId742" Type="http://schemas.openxmlformats.org/officeDocument/2006/relationships/hyperlink" Target="https://filestore.fortinet.com/docs.fortinet.com/fsiem/Public_Resource_Access/7_6_0/rules/PH_RULE_Log4j_Exploit_DetectByFortinet_Network.htm" TargetMode="External"/><Relationship Id="rId743" Type="http://schemas.openxmlformats.org/officeDocument/2006/relationships/hyperlink" Target="https://filestore.fortinet.com/docs.fortinet.com/fsiem/Public_Resource_Access/7_6_0/rules/PH_RULE_VIRUS_OUTBREAK.htm" TargetMode="External"/><Relationship Id="rId744" Type="http://schemas.openxmlformats.org/officeDocument/2006/relationships/hyperlink" Target="https://filestore.fortinet.com/docs.fortinet.com/fsiem/Public_Resource_Access/7_6_0/rules/PH_RULE_MS_DefenderXDR_Alert_CredentialAccess_High.htm" TargetMode="External"/><Relationship Id="rId745" Type="http://schemas.openxmlformats.org/officeDocument/2006/relationships/hyperlink" Target="https://filestore.fortinet.com/docs.fortinet.com/fsiem/Public_Resource_Access/7_6_0/rules/PH_RULE_MS_DefenderXDR_Alert_LateralMovement_High.htm" TargetMode="External"/><Relationship Id="rId746" Type="http://schemas.openxmlformats.org/officeDocument/2006/relationships/hyperlink" Target="https://filestore.fortinet.com/docs.fortinet.com/fsiem/Public_Resource_Access/7_6_0/rules/PH_RULE_MS_DefenderXDR_Alert_PrivilegeEscalation_High.htm" TargetMode="External"/><Relationship Id="rId747" Type="http://schemas.openxmlformats.org/officeDocument/2006/relationships/hyperlink" Target="https://filestore.fortinet.com/docs.fortinet.com/fsiem/Public_Resource_Access/7_6_0/rules/PH_RULE_MS_DefenderXDR_Alert_CredentialAccess_Medium.htm" TargetMode="External"/><Relationship Id="rId748" Type="http://schemas.openxmlformats.org/officeDocument/2006/relationships/hyperlink" Target="https://filestore.fortinet.com/docs.fortinet.com/fsiem/Public_Resource_Access/7_6_0/rules/PH_RULE_MS_DefenderXDR_Alert_LateralMovement_Medium.htm" TargetMode="External"/><Relationship Id="rId749" Type="http://schemas.openxmlformats.org/officeDocument/2006/relationships/hyperlink" Target="https://filestore.fortinet.com/docs.fortinet.com/fsiem/Public_Resource_Access/7_6_0/rules/PH_RULE_MS_DefenderXDR_Alert_PrivilegeEscalation_Medium.htm" TargetMode="External"/><Relationship Id="rId750" Type="http://schemas.openxmlformats.org/officeDocument/2006/relationships/hyperlink" Target="https://filestore.fortinet.com/docs.fortinet.com/fsiem/Public_Resource_Access/7_6_0/rules/PH_RULE_CLEARTEXT_PWD_OUTBOUND.htm" TargetMode="External"/><Relationship Id="rId751" Type="http://schemas.openxmlformats.org/officeDocument/2006/relationships/hyperlink" Target="https://filestore.fortinet.com/docs.fortinet.com/fsiem/Public_Resource_Access/7_6_0/rules/PH_RULE_3CX_Supply_Chain_Attack_Host.htm" TargetMode="External"/><Relationship Id="rId752" Type="http://schemas.openxmlformats.org/officeDocument/2006/relationships/hyperlink" Target="https://filestore.fortinet.com/docs.fortinet.com/fsiem/Public_Resource_Access/7_6_0/rules/PH_RULE_3CX_Supply_Chain_Attack_Network.htm" TargetMode="External"/><Relationship Id="rId753" Type="http://schemas.openxmlformats.org/officeDocument/2006/relationships/hyperlink" Target="https://filestore.fortinet.com/docs.fortinet.com/fsiem/Public_Resource_Access/7_6_0/rules/PH_RULE_ABBFlow_CVE_2022_0902_Vuln_Network.htm" TargetMode="External"/><Relationship Id="rId754" Type="http://schemas.openxmlformats.org/officeDocument/2006/relationships/hyperlink" Target="https://filestore.fortinet.com/docs.fortinet.com/fsiem/Public_Resource_Access/7_6_0/rules/PH_RULE_Adobe_ColdFusion_CVE_2023_38203_Host.htm" TargetMode="External"/><Relationship Id="rId755" Type="http://schemas.openxmlformats.org/officeDocument/2006/relationships/hyperlink" Target="https://filestore.fortinet.com/docs.fortinet.com/fsiem/Public_Resource_Access/7_6_0/rules/PH_RULE_Adobe_ColdFusion_CVE_2023_38203_Network.htm" TargetMode="External"/><Relationship Id="rId756" Type="http://schemas.openxmlformats.org/officeDocument/2006/relationships/hyperlink" Target="https://filestore.fortinet.com/docs.fortinet.com/fsiem/Public_Resource_Access/7_6_0/rules/PH_RULE_Adobe_ColdFusion_CVE_2023_26360_Host.htm" TargetMode="External"/><Relationship Id="rId757" Type="http://schemas.openxmlformats.org/officeDocument/2006/relationships/hyperlink" Target="https://filestore.fortinet.com/docs.fortinet.com/fsiem/Public_Resource_Access/7_6_0/rules/PH_RULE_Adobe_ColdFusion_CVE_2023_26360_Network.htm" TargetMode="External"/><Relationship Id="rId758" Type="http://schemas.openxmlformats.org/officeDocument/2006/relationships/hyperlink" Target="https://filestore.fortinet.com/docs.fortinet.com/fsiem/Public_Resource_Access/7_6_0/rules/PH_RULE_Agent_Tesla_MalwareAttack_CVE_2018_0802_Host.htm" TargetMode="External"/><Relationship Id="rId759" Type="http://schemas.openxmlformats.org/officeDocument/2006/relationships/hyperlink" Target="https://filestore.fortinet.com/docs.fortinet.com/fsiem/Public_Resource_Access/7_6_0/rules/PH_RULE_Agent_Tesla_MalwareAttack_CVE_2018_0802_Network.htm" TargetMode="External"/><Relationship Id="rId760" Type="http://schemas.openxmlformats.org/officeDocument/2006/relationships/hyperlink" Target="https://filestore.fortinet.com/docs.fortinet.com/fsiem/Public_Resource_Access/7_6_0/rules/PH_RULE_Akira_Ransomware_CVE_2023_20269_Host.htm" TargetMode="External"/><Relationship Id="rId761" Type="http://schemas.openxmlformats.org/officeDocument/2006/relationships/hyperlink" Target="https://filestore.fortinet.com/docs.fortinet.com/fsiem/Public_Resource_Access/7_6_0/rules/PH_RULE_Akira_Ransomware_CVE_2023_20269_Network.htm" TargetMode="External"/><Relationship Id="rId762" Type="http://schemas.openxmlformats.org/officeDocument/2006/relationships/hyperlink" Target="https://filestore.fortinet.com/docs.fortinet.com/fsiem/Public_Resource_Access/7_6_0/rules/PH_RULE_Androxgh0st_CVE_2021_41773_Host.htm" TargetMode="External"/><Relationship Id="rId763" Type="http://schemas.openxmlformats.org/officeDocument/2006/relationships/hyperlink" Target="https://filestore.fortinet.com/docs.fortinet.com/fsiem/Public_Resource_Access/7_6_0/rules/PH_RULE_Androxgh0st_CVE_2021_41773_Network.htm" TargetMode="External"/><Relationship Id="rId764" Type="http://schemas.openxmlformats.org/officeDocument/2006/relationships/hyperlink" Target="https://filestore.fortinet.com/docs.fortinet.com/fsiem/Public_Resource_Access/7_6_0/rules/PH_RULE_Apache_ActiveMQ_Attack_CVE_2023_46604_Host.htm" TargetMode="External"/><Relationship Id="rId765" Type="http://schemas.openxmlformats.org/officeDocument/2006/relationships/hyperlink" Target="https://filestore.fortinet.com/docs.fortinet.com/fsiem/Public_Resource_Access/7_6_0/rules/PH_RULE_Apache_ActiveMQ_Attack_CVE_2023_46604_Network.htm" TargetMode="External"/><Relationship Id="rId766" Type="http://schemas.openxmlformats.org/officeDocument/2006/relationships/hyperlink" Target="https://filestore.fortinet.com/docs.fortinet.com/fsiem/Public_Resource_Access/7_6_0/rules/PH_RULE_Apache_OFBiz_RCE_CVE_2024_38856_Network.htm" TargetMode="External"/><Relationship Id="rId767" Type="http://schemas.openxmlformats.org/officeDocument/2006/relationships/hyperlink" Target="https://filestore.fortinet.com/docs.fortinet.com/fsiem/Public_Resource_Access/7_6_0/rules/PH_RULE_ApacheVulnCVE_2021_42013_Host.htm" TargetMode="External"/><Relationship Id="rId768" Type="http://schemas.openxmlformats.org/officeDocument/2006/relationships/hyperlink" Target="https://filestore.fortinet.com/docs.fortinet.com/fsiem/Public_Resource_Access/7_6_0/rules/PH_RULE_ApacheVulnCVE_2021_42013_Network.htm" TargetMode="External"/><Relationship Id="rId769" Type="http://schemas.openxmlformats.org/officeDocument/2006/relationships/hyperlink" Target="https://filestore.fortinet.com/docs.fortinet.com/fsiem/Public_Resource_Access/7_6_0/rules/PH_RULE_Apache_RocketMQ_RCE_CVE_2023_33246_Network.htm" TargetMode="External"/><Relationship Id="rId770" Type="http://schemas.openxmlformats.org/officeDocument/2006/relationships/hyperlink" Target="https://filestore.fortinet.com/docs.fortinet.com/fsiem/Public_Resource_Access/7_6_0/rules/PH_RULE_Apache_Struts_2_RCE_CVE_2024_53677_Host.htm" TargetMode="External"/><Relationship Id="rId771" Type="http://schemas.openxmlformats.org/officeDocument/2006/relationships/hyperlink" Target="https://filestore.fortinet.com/docs.fortinet.com/fsiem/Public_Resource_Access/7_6_0/rules/PH_RULE_Apache_Struts_2_RCE_CVE_2024_53677_Network.htm" TargetMode="External"/><Relationship Id="rId772" Type="http://schemas.openxmlformats.org/officeDocument/2006/relationships/hyperlink" Target="https://filestore.fortinet.com/docs.fortinet.com/fsiem/Public_Resource_Access/7_6_0/rules/PH_RULE_Apache_Tomcat_RCE_CVE_2025_24813_Host.htm" TargetMode="External"/><Relationship Id="rId773" Type="http://schemas.openxmlformats.org/officeDocument/2006/relationships/hyperlink" Target="https://filestore.fortinet.com/docs.fortinet.com/fsiem/Public_Resource_Access/7_6_0/rules/PH_RULE_Apache_Tomcat_RCE_CVE_2025_24813_Network.htm" TargetMode="External"/><Relationship Id="rId774" Type="http://schemas.openxmlformats.org/officeDocument/2006/relationships/hyperlink" Target="https://filestore.fortinet.com/docs.fortinet.com/fsiem/Public_Resource_Access/7_6_0/rules/PH_RULE_Atlassian_Confluence_CVE_2022_26134_Vuln_Host.htm" TargetMode="External"/><Relationship Id="rId775" Type="http://schemas.openxmlformats.org/officeDocument/2006/relationships/hyperlink" Target="https://filestore.fortinet.com/docs.fortinet.com/fsiem/Public_Resource_Access/7_6_0/rules/PH_RULE_Atlassian_Confluence_CVE_2022_26134_Vuln_Network.htm" TargetMode="External"/><Relationship Id="rId776" Type="http://schemas.openxmlformats.org/officeDocument/2006/relationships/hyperlink" Target="https://filestore.fortinet.com/docs.fortinet.com/fsiem/Public_Resource_Access/7_6_0/rules/PH_RULE_Atlassian_PreAuthArbFileRead_CVE_2021_26085_Host.htm" TargetMode="External"/><Relationship Id="rId777" Type="http://schemas.openxmlformats.org/officeDocument/2006/relationships/hyperlink" Target="https://filestore.fortinet.com/docs.fortinet.com/fsiem/Public_Resource_Access/7_6_0/rules/PH_RULE_Atlassian_PreAuthArbFileRead_CVE_2021_26085_Net.htm" TargetMode="External"/><Relationship Id="rId778" Type="http://schemas.openxmlformats.org/officeDocument/2006/relationships/hyperlink" Target="https://filestore.fortinet.com/docs.fortinet.com/fsiem/Public_Resource_Access/7_6_0/rules/PH_RULE_Black_Basta_Ransomware_CVE_2024_1709_Host.htm" TargetMode="External"/><Relationship Id="rId779" Type="http://schemas.openxmlformats.org/officeDocument/2006/relationships/hyperlink" Target="https://filestore.fortinet.com/docs.fortinet.com/fsiem/Public_Resource_Access/7_6_0/rules/PH_RULE_Black_Basta_Ransomware_CVE_2024_1709_Network.htm" TargetMode="External"/><Relationship Id="rId780" Type="http://schemas.openxmlformats.org/officeDocument/2006/relationships/hyperlink" Target="https://filestore.fortinet.com/docs.fortinet.com/fsiem/Public_Resource_Access/7_6_0/rules/PH_RULE_Cacti_CommandInjectVuln_2022_Network.htm" TargetMode="External"/><Relationship Id="rId781" Type="http://schemas.openxmlformats.org/officeDocument/2006/relationships/hyperlink" Target="https://filestore.fortinet.com/docs.fortinet.com/fsiem/Public_Resource_Access/7_6_0/rules/PH_RULE_Cacti_CommandInjectVuln_2022_Host.htm" TargetMode="External"/><Relationship Id="rId782" Type="http://schemas.openxmlformats.org/officeDocument/2006/relationships/hyperlink" Target="https://filestore.fortinet.com/docs.fortinet.com/fsiem/Public_Resource_Access/7_6_0/rules/PH_RULE_CDATA_RCE_Attack_CVE_2022_4257_Host.htm" TargetMode="External"/><Relationship Id="rId783" Type="http://schemas.openxmlformats.org/officeDocument/2006/relationships/hyperlink" Target="https://filestore.fortinet.com/docs.fortinet.com/fsiem/Public_Resource_Access/7_6_0/rules/PH_RULE_CDATA_RCE_Attack_CVE_2022_4257_Network.htm" TargetMode="External"/><Relationship Id="rId784" Type="http://schemas.openxmlformats.org/officeDocument/2006/relationships/hyperlink" Target="https://filestore.fortinet.com/docs.fortinet.com/fsiem/Public_Resource_Access/7_6_0/rules/PH_RULE_CheckPoint_Info_CVE_2024_24919_Network.htm" TargetMode="External"/><Relationship Id="rId785" Type="http://schemas.openxmlformats.org/officeDocument/2006/relationships/hyperlink" Target="https://filestore.fortinet.com/docs.fortinet.com/fsiem/Public_Resource_Access/7_6_0/rules/PH_RULE_CISA_TOP_20_VULNS_Host.htm" TargetMode="External"/><Relationship Id="rId786" Type="http://schemas.openxmlformats.org/officeDocument/2006/relationships/hyperlink" Target="https://filestore.fortinet.com/docs.fortinet.com/fsiem/Public_Resource_Access/7_6_0/rules/PH_RULE_Cisco_ASA_FTD_FW_CVE_2025_20363_Network.htm" TargetMode="External"/><Relationship Id="rId787" Type="http://schemas.openxmlformats.org/officeDocument/2006/relationships/hyperlink" Target="https://filestore.fortinet.com/docs.fortinet.com/fsiem/Public_Resource_Access/7_6_0/rules/PH_RULE_Cisco_IOS_XE_Web_UI_Vuln_CVE_2023_20273_Network.htm" TargetMode="External"/><Relationship Id="rId788" Type="http://schemas.openxmlformats.org/officeDocument/2006/relationships/hyperlink" Target="https://filestore.fortinet.com/docs.fortinet.com/fsiem/Public_Resource_Access/7_6_0/rules/PH_RULE_Citrix_Bleed2_CVE_2025_5777_Network.htm" TargetMode="External"/><Relationship Id="rId789" Type="http://schemas.openxmlformats.org/officeDocument/2006/relationships/hyperlink" Target="https://filestore.fortinet.com/docs.fortinet.com/fsiem/Public_Resource_Access/7_6_0/rules/PH_RULE_Citrix_Bleed_Attack_CVE_2023_4966_Network.htm" TargetMode="External"/><Relationship Id="rId790" Type="http://schemas.openxmlformats.org/officeDocument/2006/relationships/hyperlink" Target="https://filestore.fortinet.com/docs.fortinet.com/fsiem/Public_Resource_Access/7_6_0/rules/PH_RULE_Citrix_NetScaler_MemOverread_CVE_2026_3055_Network.htm" TargetMode="External"/><Relationship Id="rId791" Type="http://schemas.openxmlformats.org/officeDocument/2006/relationships/hyperlink" Target="https://filestore.fortinet.com/docs.fortinet.com/fsiem/Public_Resource_Access/7_6_0/rules/PH_RULE_Commvault_CVE_2025_34028_Network.htm" TargetMode="External"/><Relationship Id="rId792" Type="http://schemas.openxmlformats.org/officeDocument/2006/relationships/hyperlink" Target="https://filestore.fortinet.com/docs.fortinet.com/fsiem/Public_Resource_Access/7_6_0/rules/PH_RULE_ConnectWise_ScreenConnect_CVE_2024_1709_Host.htm" TargetMode="External"/><Relationship Id="rId793" Type="http://schemas.openxmlformats.org/officeDocument/2006/relationships/hyperlink" Target="https://filestore.fortinet.com/docs.fortinet.com/fsiem/Public_Resource_Access/7_6_0/rules/PH_RULE_ConnectWise_ScreenConnect_CVE_2024_1709_Network.htm" TargetMode="External"/><Relationship Id="rId794" Type="http://schemas.openxmlformats.org/officeDocument/2006/relationships/hyperlink" Target="https://filestore.fortinet.com/docs.fortinet.com/fsiem/Public_Resource_Access/7_6_0/rules/PH_RULE_CosmicEnergy_Malware_Host.htm" TargetMode="External"/><Relationship Id="rId795" Type="http://schemas.openxmlformats.org/officeDocument/2006/relationships/hyperlink" Target="https://filestore.fortinet.com/docs.fortinet.com/fsiem/Public_Resource_Access/7_6_0/rules/PH_RULE_CosmicEnergy_Malware_Network.htm" TargetMode="External"/><Relationship Id="rId796" Type="http://schemas.openxmlformats.org/officeDocument/2006/relationships/hyperlink" Target="https://filestore.fortinet.com/docs.fortinet.com/fsiem/Public_Resource_Access/7_6_0/rules/PH_RULE_CrushFTP_Auth_Bypass_CVE_2025_31161_Host.htm" TargetMode="External"/><Relationship Id="rId797" Type="http://schemas.openxmlformats.org/officeDocument/2006/relationships/hyperlink" Target="https://filestore.fortinet.com/docs.fortinet.com/fsiem/Public_Resource_Access/7_6_0/rules/PH_RULE_CrushFTP_Auth_Bypass_CVE_2025_31161_Network.htm" TargetMode="External"/><Relationship Id="rId798" Type="http://schemas.openxmlformats.org/officeDocument/2006/relationships/hyperlink" Target="https://filestore.fortinet.com/docs.fortinet.com/fsiem/Public_Resource_Access/7_6_0/rules/PH_RULE_Dlink_MulDev_CVE_2024_3272_Network.htm" TargetMode="External"/><Relationship Id="rId799" Type="http://schemas.openxmlformats.org/officeDocument/2006/relationships/hyperlink" Target="https://filestore.fortinet.com/docs.fortinet.com/fsiem/Public_Resource_Access/7_6_0/rules/PH_RULE_Earth_Lamia_APT_Attack_CVE_2025_31324_Network.htm" TargetMode="External"/><Relationship Id="rId800" Type="http://schemas.openxmlformats.org/officeDocument/2006/relationships/hyperlink" Target="https://filestore.fortinet.com/docs.fortinet.com/fsiem/Public_Resource_Access/7_6_0/rules/PH_RULE_FGT_RCE_CVE2022_40684.htm" TargetMode="External"/><Relationship Id="rId801" Type="http://schemas.openxmlformats.org/officeDocument/2006/relationships/hyperlink" Target="https://filestore.fortinet.com/docs.fortinet.com/fsiem/Public_Resource_Access/7_6_0/rules/PH_RULE_CISA_TOP_20_VULNS_FGT_Network.htm" TargetMode="External"/><Relationship Id="rId802" Type="http://schemas.openxmlformats.org/officeDocument/2006/relationships/hyperlink" Target="https://filestore.fortinet.com/docs.fortinet.com/fsiem/Public_Resource_Access/7_6_0/rules/PH_RULE_FortiManager_RCE_CVE_2024_47575_Device.htm" TargetMode="External"/><Relationship Id="rId803" Type="http://schemas.openxmlformats.org/officeDocument/2006/relationships/hyperlink" Target="https://filestore.fortinet.com/docs.fortinet.com/fsiem/Public_Resource_Access/7_6_0/rules/PH_RULE_FortiManager_RCE_CVE_2024_47575_Network.htm" TargetMode="External"/><Relationship Id="rId804" Type="http://schemas.openxmlformats.org/officeDocument/2006/relationships/hyperlink" Target="https://filestore.fortinet.com/docs.fortinet.com/fsiem/Public_Resource_Access/7_6_0/rules/PH_RULE_FORTIOS_CVE_2022_42475.htm" TargetMode="External"/><Relationship Id="rId805" Type="http://schemas.openxmlformats.org/officeDocument/2006/relationships/hyperlink" Target="https://filestore.fortinet.com/docs.fortinet.com/fsiem/Public_Resource_Access/7_6_0/rules/PH_RULE_CISA_TOP_20_VULNS_FWB_Network.htm" TargetMode="External"/><Relationship Id="rId806" Type="http://schemas.openxmlformats.org/officeDocument/2006/relationships/hyperlink" Target="https://filestore.fortinet.com/docs.fortinet.com/fsiem/Public_Resource_Access/7_6_0/rules/PH_RULE_FWB_VMware_SpringCloud_RCE_CVE_2022_22963.htm" TargetMode="External"/><Relationship Id="rId807" Type="http://schemas.openxmlformats.org/officeDocument/2006/relationships/hyperlink" Target="https://filestore.fortinet.com/docs.fortinet.com/fsiem/Public_Resource_Access/7_6_0/rules/PH_RULE_FWB_ZerobotBotnetActivity.htm" TargetMode="External"/><Relationship Id="rId808" Type="http://schemas.openxmlformats.org/officeDocument/2006/relationships/hyperlink" Target="https://filestore.fortinet.com/docs.fortinet.com/fsiem/Public_Resource_Access/7_6_0/rules/PH_RULE_GoAnywhere_MFT_Attack_CVE_2025_10035_Host.htm" TargetMode="External"/><Relationship Id="rId809" Type="http://schemas.openxmlformats.org/officeDocument/2006/relationships/hyperlink" Target="https://filestore.fortinet.com/docs.fortinet.com/fsiem/Public_Resource_Access/7_6_0/rules/PH_RULE_GoAnywhere_MFT_Attack_CVE_2025_10035_Network.htm" TargetMode="External"/><Relationship Id="rId810" Type="http://schemas.openxmlformats.org/officeDocument/2006/relationships/hyperlink" Target="https://filestore.fortinet.com/docs.fortinet.com/fsiem/Public_Resource_Access/7_6_0/rules/PH_RULE_FortraGoAnywhere_MFT_RCE_Host.htm" TargetMode="External"/><Relationship Id="rId811" Type="http://schemas.openxmlformats.org/officeDocument/2006/relationships/hyperlink" Target="https://filestore.fortinet.com/docs.fortinet.com/fsiem/Public_Resource_Access/7_6_0/rules/PH_RULE_FortraGoAnywhere_MFT_RCE_Network.htm" TargetMode="External"/><Relationship Id="rId812" Type="http://schemas.openxmlformats.org/officeDocument/2006/relationships/hyperlink" Target="https://filestore.fortinet.com/docs.fortinet.com/fsiem/Public_Resource_Access/7_6_0/rules/PH_RULE_GeoServer_RCE_CVE_2024_36401_Network.htm" TargetMode="External"/><Relationship Id="rId813" Type="http://schemas.openxmlformats.org/officeDocument/2006/relationships/hyperlink" Target="https://filestore.fortinet.com/docs.fortinet.com/fsiem/Public_Resource_Access/7_6_0/rules/PH_RULE_Google_Chromium_BufferOverflow_CVE_2023_4863_Host.htm" TargetMode="External"/><Relationship Id="rId814" Type="http://schemas.openxmlformats.org/officeDocument/2006/relationships/hyperlink" Target="https://filestore.fortinet.com/docs.fortinet.com/fsiem/Public_Resource_Access/7_6_0/rules/PH_RULE_Google_Chromium_BufferOverflow_CVE_2023_4863_Network.htm" TargetMode="External"/><Relationship Id="rId815" Type="http://schemas.openxmlformats.org/officeDocument/2006/relationships/hyperlink" Target="https://filestore.fortinet.com/docs.fortinet.com/fsiem/Public_Resource_Access/7_6_0/rules/PH_RULE_HikvisionVuln_CVE2021_36260_Network.htm" TargetMode="External"/><Relationship Id="rId816" Type="http://schemas.openxmlformats.org/officeDocument/2006/relationships/hyperlink" Target="https://filestore.fortinet.com/docs.fortinet.com/fsiem/Public_Resource_Access/7_6_0/rules/PH_RULE_HiveRansomwareHost.htm" TargetMode="External"/><Relationship Id="rId817" Type="http://schemas.openxmlformats.org/officeDocument/2006/relationships/hyperlink" Target="https://filestore.fortinet.com/docs.fortinet.com/fsiem/Public_Resource_Access/7_6_0/rules/PH_RULE_HiveRansomwareNetwork.htm" TargetMode="External"/><Relationship Id="rId818" Type="http://schemas.openxmlformats.org/officeDocument/2006/relationships/hyperlink" Target="https://filestore.fortinet.com/docs.fortinet.com/fsiem/Public_Resource_Access/7_6_0/rules/PH_RULE_HTTP2_Bomb_DoS_CVE_2026_49975_Network.htm" TargetMode="External"/><Relationship Id="rId819" Type="http://schemas.openxmlformats.org/officeDocument/2006/relationships/hyperlink" Target="https://filestore.fortinet.com/docs.fortinet.com/fsiem/Public_Resource_Access/7_6_0/rules/PH_RULE_HTTP2_Rapid_Reset_CVE_2023_44487_Host.htm" TargetMode="External"/><Relationship Id="rId820" Type="http://schemas.openxmlformats.org/officeDocument/2006/relationships/hyperlink" Target="https://filestore.fortinet.com/docs.fortinet.com/fsiem/Public_Resource_Access/7_6_0/rules/PH_RULE_HTTP2_Rapid_Reset_CVE_2023_44487_Network.htm" TargetMode="External"/><Relationship Id="rId821" Type="http://schemas.openxmlformats.org/officeDocument/2006/relationships/hyperlink" Target="https://filestore.fortinet.com/docs.fortinet.com/fsiem/Public_Resource_Access/7_6_0/rules/PH_RULE_IBM_Aspera_Faspex_Code_Execution_Host.htm" TargetMode="External"/><Relationship Id="rId822" Type="http://schemas.openxmlformats.org/officeDocument/2006/relationships/hyperlink" Target="https://filestore.fortinet.com/docs.fortinet.com/fsiem/Public_Resource_Access/7_6_0/rules/PH_RULE_IBM_Aspera_Faspex_Code_Execution_Network.htm" TargetMode="External"/><Relationship Id="rId823" Type="http://schemas.openxmlformats.org/officeDocument/2006/relationships/hyperlink" Target="https://filestore.fortinet.com/docs.fortinet.com/fsiem/Public_Resource_Access/7_6_0/rules/PH_RULE_Interlock_Ransomware_CVE_2026_20131_Host.htm" TargetMode="External"/><Relationship Id="rId824" Type="http://schemas.openxmlformats.org/officeDocument/2006/relationships/hyperlink" Target="https://filestore.fortinet.com/docs.fortinet.com/fsiem/Public_Resource_Access/7_6_0/rules/PH_RULE_Interlock_Ransomware_CVE_2026_20131_Network.htm" TargetMode="External"/><Relationship Id="rId825" Type="http://schemas.openxmlformats.org/officeDocument/2006/relationships/hyperlink" Target="https://filestore.fortinet.com/docs.fortinet.com/fsiem/Public_Resource_Access/7_6_0/rules/PH_RULE_Ivanti_CSA_Zero_Day_Attack_CVE_2024_9379_Network.htm" TargetMode="External"/><Relationship Id="rId826" Type="http://schemas.openxmlformats.org/officeDocument/2006/relationships/hyperlink" Target="https://filestore.fortinet.com/docs.fortinet.com/fsiem/Public_Resource_Access/7_6_0/rules/PH_RULE_Ivanti_AuthBypass_CVE_2024_21887_Network.htm" TargetMode="External"/><Relationship Id="rId827" Type="http://schemas.openxmlformats.org/officeDocument/2006/relationships/hyperlink" Target="https://filestore.fortinet.com/docs.fortinet.com/fsiem/Public_Resource_Access/7_6_0/rules/PH_RULE_IvantiEPMM_AuthBypass_CVE_2023_35078_Host.htm" TargetMode="External"/><Relationship Id="rId828" Type="http://schemas.openxmlformats.org/officeDocument/2006/relationships/hyperlink" Target="https://filestore.fortinet.com/docs.fortinet.com/fsiem/Public_Resource_Access/7_6_0/rules/PH_RULE_IvantiEPMM_AuthBypass_CVE_2023_35078_Network.htm" TargetMode="External"/><Relationship Id="rId829" Type="http://schemas.openxmlformats.org/officeDocument/2006/relationships/hyperlink" Target="https://filestore.fortinet.com/docs.fortinet.com/fsiem/Public_Resource_Access/7_6_0/rules/PH_RULE_Ivanti_Sentry_CVE_2026_10520_Network.htm" TargetMode="External"/><Relationship Id="rId830" Type="http://schemas.openxmlformats.org/officeDocument/2006/relationships/hyperlink" Target="https://filestore.fortinet.com/docs.fortinet.com/fsiem/Public_Resource_Access/7_6_0/rules/PH_RULE_Jenkins_RCE_CVE_2024_23897_Host.htm" TargetMode="External"/><Relationship Id="rId831" Type="http://schemas.openxmlformats.org/officeDocument/2006/relationships/hyperlink" Target="https://filestore.fortinet.com/docs.fortinet.com/fsiem/Public_Resource_Access/7_6_0/rules/PH_RULE_Jenkins_RCE_CVE_2024_23897_Network.htm" TargetMode="External"/><Relationship Id="rId832" Type="http://schemas.openxmlformats.org/officeDocument/2006/relationships/hyperlink" Target="https://filestore.fortinet.com/docs.fortinet.com/fsiem/Public_Resource_Access/7_6_0/rules/PH_RULE_JetBrains_TeamCity_CVE_2023_42793_Host.htm" TargetMode="External"/><Relationship Id="rId833" Type="http://schemas.openxmlformats.org/officeDocument/2006/relationships/hyperlink" Target="https://filestore.fortinet.com/docs.fortinet.com/fsiem/Public_Resource_Access/7_6_0/rules/PH_RULE_JetBrains_TeamCity_CVE_2023_42793_Network.htm" TargetMode="External"/><Relationship Id="rId834" Type="http://schemas.openxmlformats.org/officeDocument/2006/relationships/hyperlink" Target="https://filestore.fortinet.com/docs.fortinet.com/fsiem/Public_Resource_Access/7_6_0/rules/PH_RULE_Joomla_Improper_Access_Check_Network.htm" TargetMode="External"/><Relationship Id="rId835" Type="http://schemas.openxmlformats.org/officeDocument/2006/relationships/hyperlink" Target="https://filestore.fortinet.com/docs.fortinet.com/fsiem/Public_Resource_Access/7_6_0/rules/PH_RULE_Joomla_SP_RCE_CVE_2026_48908_Network.htm" TargetMode="External"/><Relationship Id="rId836" Type="http://schemas.openxmlformats.org/officeDocument/2006/relationships/hyperlink" Target="https://filestore.fortinet.com/docs.fortinet.com/fsiem/Public_Resource_Access/7_6_0/rules/PH_RULE_Langflow_Unauth_RCE_CVE_2025_3248_Network.htm" TargetMode="External"/><Relationship Id="rId837" Type="http://schemas.openxmlformats.org/officeDocument/2006/relationships/hyperlink" Target="https://filestore.fortinet.com/docs.fortinet.com/fsiem/Public_Resource_Access/7_6_0/rules/PH_RULE_Lazarus_RAT_Attack_CVE_2021_44228_Host.htm" TargetMode="External"/><Relationship Id="rId838" Type="http://schemas.openxmlformats.org/officeDocument/2006/relationships/hyperlink" Target="https://filestore.fortinet.com/docs.fortinet.com/fsiem/Public_Resource_Access/7_6_0/rules/PH_RULE_Lazarus_RAT_Attack_CVE_2021_44228_Network.htm" TargetMode="External"/><Relationship Id="rId839" Type="http://schemas.openxmlformats.org/officeDocument/2006/relationships/hyperlink" Target="https://filestore.fortinet.com/docs.fortinet.com/fsiem/Public_Resource_Access/7_6_0/rules/PH_RULE_Mallox_Ransomware_CVE_2024_21338_Host.htm" TargetMode="External"/><Relationship Id="rId840" Type="http://schemas.openxmlformats.org/officeDocument/2006/relationships/hyperlink" Target="https://filestore.fortinet.com/docs.fortinet.com/fsiem/Public_Resource_Access/7_6_0/rules/PH_RULE_Mallox_Ransomware_CVE_2024_21338_Network.htm" TargetMode="External"/><Relationship Id="rId841" Type="http://schemas.openxmlformats.org/officeDocument/2006/relationships/hyperlink" Target="https://filestore.fortinet.com/docs.fortinet.com/fsiem/Public_Resource_Access/7_6_0/rules/PH_RULE_Microsoft_DOTNET_CVE_2024_29059_Host.htm" TargetMode="External"/><Relationship Id="rId842" Type="http://schemas.openxmlformats.org/officeDocument/2006/relationships/hyperlink" Target="https://filestore.fortinet.com/docs.fortinet.com/fsiem/Public_Resource_Access/7_6_0/rules/PH_RULE_Microsoft_DOTNET_CVE_2024_29059_Network.htm" TargetMode="External"/><Relationship Id="rId843" Type="http://schemas.openxmlformats.org/officeDocument/2006/relationships/hyperlink" Target="https://filestore.fortinet.com/docs.fortinet.com/fsiem/Public_Resource_Access/7_6_0/rules/PH_RULE_MS_RCE_CVE2022_26809_Activity_Host.htm" TargetMode="External"/><Relationship Id="rId844" Type="http://schemas.openxmlformats.org/officeDocument/2006/relationships/hyperlink" Target="https://filestore.fortinet.com/docs.fortinet.com/fsiem/Public_Resource_Access/7_6_0/rules/PH_RULE_MS_RCE_CVE2022_26809_Activity_Network.htm" TargetMode="External"/><Relationship Id="rId845" Type="http://schemas.openxmlformats.org/officeDocument/2006/relationships/hyperlink" Target="https://filestore.fortinet.com/docs.fortinet.com/fsiem/Public_Resource_Access/7_6_0/rules/PH_RULE_MSOffice_WindowsHTML_CVE_2023_36884_Host.htm" TargetMode="External"/><Relationship Id="rId846" Type="http://schemas.openxmlformats.org/officeDocument/2006/relationships/hyperlink" Target="https://filestore.fortinet.com/docs.fortinet.com/fsiem/Public_Resource_Access/7_6_0/rules/PH_RULE_MSOffice_WindowsHTML_CVE_2023_36884_Network.htm" TargetMode="External"/><Relationship Id="rId847" Type="http://schemas.openxmlformats.org/officeDocument/2006/relationships/hyperlink" Target="https://filestore.fortinet.com/docs.fortinet.com/fsiem/Public_Resource_Access/7_6_0/rules/PH_RULE_Microsoft_Outlook_Elevation_of_Privilege_Host.htm" TargetMode="External"/><Relationship Id="rId848" Type="http://schemas.openxmlformats.org/officeDocument/2006/relationships/hyperlink" Target="https://filestore.fortinet.com/docs.fortinet.com/fsiem/Public_Resource_Access/7_6_0/rules/PH_RULE_Microsoft_Outlook_Elevation_of_Privilege_Network.htm" TargetMode="External"/><Relationship Id="rId849" Type="http://schemas.openxmlformats.org/officeDocument/2006/relationships/hyperlink" Target="https://filestore.fortinet.com/docs.fortinet.com/fsiem/Public_Resource_Access/7_6_0/rules/PH_RULE_Microsoft_SharePoint_EoP_CVE_2023_29357_Host.htm" TargetMode="External"/><Relationship Id="rId850" Type="http://schemas.openxmlformats.org/officeDocument/2006/relationships/hyperlink" Target="https://filestore.fortinet.com/docs.fortinet.com/fsiem/Public_Resource_Access/7_6_0/rules/PH_RULE_Microsoft_SharePoint_EoP_CVE_2023_29357_Network.htm" TargetMode="External"/><Relationship Id="rId851" Type="http://schemas.openxmlformats.org/officeDocument/2006/relationships/hyperlink" Target="https://filestore.fortinet.com/docs.fortinet.com/fsiem/Public_Resource_Access/7_6_0/rules/PH_RULE_MS_SharePoint_ZeroDay_CVE_2025_49706_Host.htm" TargetMode="External"/><Relationship Id="rId852" Type="http://schemas.openxmlformats.org/officeDocument/2006/relationships/hyperlink" Target="https://filestore.fortinet.com/docs.fortinet.com/fsiem/Public_Resource_Access/7_6_0/rules/PH_RULE_MS_SharePoint_ZeroDay_CVE_2025_49706_Network.htm" TargetMode="External"/><Relationship Id="rId853" Type="http://schemas.openxmlformats.org/officeDocument/2006/relationships/hyperlink" Target="https://filestore.fortinet.com/docs.fortinet.com/fsiem/Public_Resource_Access/7_6_0/rules/PH_RULE_Mitel_MiCollab_Unauthorized_Access_CVE_2024_35286_Host.htm" TargetMode="External"/><Relationship Id="rId854" Type="http://schemas.openxmlformats.org/officeDocument/2006/relationships/hyperlink" Target="https://filestore.fortinet.com/docs.fortinet.com/fsiem/Public_Resource_Access/7_6_0/rules/PH_RULE_Mitel_MiCollab_Unauthorized_Access_CVE_2024_35286_Network.htm" TargetMode="External"/><Relationship Id="rId855" Type="http://schemas.openxmlformats.org/officeDocument/2006/relationships/hyperlink" Target="https://filestore.fortinet.com/docs.fortinet.com/fsiem/Public_Resource_Access/7_6_0/rules/PH_RULE_Multiple_Vendor_Camera_System_Attack_ArgusAxisJawsVacron_Network.htm" TargetMode="External"/><Relationship Id="rId856" Type="http://schemas.openxmlformats.org/officeDocument/2006/relationships/hyperlink" Target="https://filestore.fortinet.com/docs.fortinet.com/fsiem/Public_Resource_Access/7_6_0/rules/PH_RULE_NiceLinear_eMerge_CVE_2019_7256_Network.htm" TargetMode="External"/><Relationship Id="rId857" Type="http://schemas.openxmlformats.org/officeDocument/2006/relationships/hyperlink" Target="https://filestore.fortinet.com/docs.fortinet.com/fsiem/Public_Resource_Access/7_6_0/rules/PH_RULE_OracleEBS_RCE_CVE_2025_61882_Network.htm" TargetMode="External"/><Relationship Id="rId858" Type="http://schemas.openxmlformats.org/officeDocument/2006/relationships/hyperlink" Target="https://filestore.fortinet.com/docs.fortinet.com/fsiem/Public_Resource_Access/7_6_0/rules/PH_RULE_Oracle_WebLogic_Server_Vuln_CVE_2023_21839_Network.htm" TargetMode="External"/><Relationship Id="rId859" Type="http://schemas.openxmlformats.org/officeDocument/2006/relationships/hyperlink" Target="https://filestore.fortinet.com/docs.fortinet.com/fsiem/Public_Resource_Access/7_6_0/rules/PH_RULE_Palo_Alto_Expedition_Vul_CVE_2024_5910_Network.htm" TargetMode="External"/><Relationship Id="rId860" Type="http://schemas.openxmlformats.org/officeDocument/2006/relationships/hyperlink" Target="https://filestore.fortinet.com/docs.fortinet.com/fsiem/Public_Resource_Access/7_6_0/rules/PH_RULE_PAN_OS_Mgmt_Intf_Att_CVE_2024_0012_Network.htm" TargetMode="External"/><Relationship Id="rId861" Type="http://schemas.openxmlformats.org/officeDocument/2006/relationships/hyperlink" Target="https://filestore.fortinet.com/docs.fortinet.com/fsiem/Public_Resource_Access/7_6_0/rules/PH_RULE_PANOS_GP_AuthBypass_CVE_2026_0257_Network.htm" TargetMode="External"/><Relationship Id="rId862" Type="http://schemas.openxmlformats.org/officeDocument/2006/relationships/hyperlink" Target="https://filestore.fortinet.com/docs.fortinet.com/fsiem/Public_Resource_Access/7_6_0/rules/PH_RULE_PANOS_GlobalProtect_CVE_2024_3400_Host.htm" TargetMode="External"/><Relationship Id="rId863" Type="http://schemas.openxmlformats.org/officeDocument/2006/relationships/hyperlink" Target="https://filestore.fortinet.com/docs.fortinet.com/fsiem/Public_Resource_Access/7_6_0/rules/PH_RULE_PANOS_GlobalProtect_CVE_2024_3400_Network.htm" TargetMode="External"/><Relationship Id="rId864" Type="http://schemas.openxmlformats.org/officeDocument/2006/relationships/hyperlink" Target="https://filestore.fortinet.com/docs.fortinet.com/fsiem/Public_Resource_Access/7_6_0/rules/PH_RULE_PaperCut_CVE_2023_27350_Host.htm" TargetMode="External"/><Relationship Id="rId865" Type="http://schemas.openxmlformats.org/officeDocument/2006/relationships/hyperlink" Target="https://filestore.fortinet.com/docs.fortinet.com/fsiem/Public_Resource_Access/7_6_0/rules/PH_RULE_PaperCut_CVE_2023_27350_Network.htm" TargetMode="External"/><Relationship Id="rId866" Type="http://schemas.openxmlformats.org/officeDocument/2006/relationships/hyperlink" Target="https://filestore.fortinet.com/docs.fortinet.com/fsiem/Public_Resource_Access/7_6_0/rules/PH_RULE_PHP_RCE_Attack_CVE_2024_4577_Network.htm" TargetMode="External"/><Relationship Id="rId867" Type="http://schemas.openxmlformats.org/officeDocument/2006/relationships/hyperlink" Target="https://filestore.fortinet.com/docs.fortinet.com/fsiem/Public_Resource_Access/7_6_0/rules/PH_RULE_Kemp_LoadMaster_OS_Cmd_Inj_CVE_2024_1212_Network.htm" TargetMode="External"/><Relationship Id="rId868" Type="http://schemas.openxmlformats.org/officeDocument/2006/relationships/hyperlink" Target="https://filestore.fortinet.com/docs.fortinet.com/fsiem/Public_Resource_Access/7_6_0/rules/PH_RULE_Progress_MOVEit_Transfer_SQL_Injection_CVE_2023_34362_Host.htm" TargetMode="External"/><Relationship Id="rId869" Type="http://schemas.openxmlformats.org/officeDocument/2006/relationships/hyperlink" Target="https://filestore.fortinet.com/docs.fortinet.com/fsiem/Public_Resource_Access/7_6_0/rules/PH_RULE_Progress_MOVEit_Transfer_SQL_Injection_CVE_2023_34362_Network.htm" TargetMode="External"/><Relationship Id="rId870" Type="http://schemas.openxmlformats.org/officeDocument/2006/relationships/hyperlink" Target="https://filestore.fortinet.com/docs.fortinet.com/fsiem/Public_Resource_Access/7_6_0/rules/PH_RULE_Progress_Telerik_UI_Attack_Host.htm" TargetMode="External"/><Relationship Id="rId871" Type="http://schemas.openxmlformats.org/officeDocument/2006/relationships/hyperlink" Target="https://filestore.fortinet.com/docs.fortinet.com/fsiem/Public_Resource_Access/7_6_0/rules/PH_RULE_Progress_Telerik_UI_Attack_Network.htm" TargetMode="External"/><Relationship Id="rId872" Type="http://schemas.openxmlformats.org/officeDocument/2006/relationships/hyperlink" Target="https://filestore.fortinet.com/docs.fortinet.com/fsiem/Public_Resource_Access/7_6_0/rules/PH_RULE_PTZOptics_Cameras_Attack_CVE_2024_8957_Network.htm" TargetMode="External"/><Relationship Id="rId873" Type="http://schemas.openxmlformats.org/officeDocument/2006/relationships/hyperlink" Target="https://filestore.fortinet.com/docs.fortinet.com/fsiem/Public_Resource_Access/7_6_0/rules/PH_RULE_QUICKFOX_SUPPLYCHAIN_ATTK_Network.htm" TargetMode="External"/><Relationship Id="rId874" Type="http://schemas.openxmlformats.org/officeDocument/2006/relationships/hyperlink" Target="https://filestore.fortinet.com/docs.fortinet.com/fsiem/Public_Resource_Access/7_6_0/rules/PH_RULE_React2Shell_RCE_CVE_2025_55182_Network.htm" TargetMode="External"/><Relationship Id="rId875" Type="http://schemas.openxmlformats.org/officeDocument/2006/relationships/hyperlink" Target="https://filestore.fortinet.com/docs.fortinet.com/fsiem/Public_Resource_Access/7_6_0/rules/PH_RULE_RealtekSDK_CVE_2021_35394_Host.htm" TargetMode="External"/><Relationship Id="rId876" Type="http://schemas.openxmlformats.org/officeDocument/2006/relationships/hyperlink" Target="https://filestore.fortinet.com/docs.fortinet.com/fsiem/Public_Resource_Access/7_6_0/rules/PH_RULE_RealtekSDK_CVE_2021_35394_Network.htm" TargetMode="External"/><Relationship Id="rId877" Type="http://schemas.openxmlformats.org/officeDocument/2006/relationships/hyperlink" Target="https://filestore.fortinet.com/docs.fortinet.com/fsiem/Public_Resource_Access/7_6_0/rules/PH_RULE_Redigo_Host.htm" TargetMode="External"/><Relationship Id="rId878" Type="http://schemas.openxmlformats.org/officeDocument/2006/relationships/hyperlink" Target="https://filestore.fortinet.com/docs.fortinet.com/fsiem/Public_Resource_Access/7_6_0/rules/PH_RULE_Redigo_Net.htm" TargetMode="External"/><Relationship Id="rId879" Type="http://schemas.openxmlformats.org/officeDocument/2006/relationships/hyperlink" Target="https://filestore.fortinet.com/docs.fortinet.com/fsiem/Public_Resource_Access/7_6_0/rules/PH_RULE_RouterMalwareAttack_2023Feb_Host.htm" TargetMode="External"/><Relationship Id="rId880" Type="http://schemas.openxmlformats.org/officeDocument/2006/relationships/hyperlink" Target="https://filestore.fortinet.com/docs.fortinet.com/fsiem/Public_Resource_Access/7_6_0/rules/PH_RULE_RouterMalwareAttack_2023Feb_Network.htm" TargetMode="External"/><Relationship Id="rId881" Type="http://schemas.openxmlformats.org/officeDocument/2006/relationships/hyperlink" Target="https://filestore.fortinet.com/docs.fortinet.com/fsiem/Public_Resource_Access/7_6_0/rules/PH_RULE_Sandbreak_RCE_Vuln_Network.htm" TargetMode="External"/><Relationship Id="rId882" Type="http://schemas.openxmlformats.org/officeDocument/2006/relationships/hyperlink" Target="https://filestore.fortinet.com/docs.fortinet.com/fsiem/Public_Resource_Access/7_6_0/rules/PH_RULE_ServiceNow_RCE_CVE_2024_5217_Network.htm" TargetMode="External"/><Relationship Id="rId883" Type="http://schemas.openxmlformats.org/officeDocument/2006/relationships/hyperlink" Target="https://filestore.fortinet.com/docs.fortinet.com/fsiem/Public_Resource_Access/7_6_0/rules/PH_RULE_ShadowSilk_Data_Exfil_CVE_2024_27956_Network.htm" TargetMode="External"/><Relationship Id="rId884" Type="http://schemas.openxmlformats.org/officeDocument/2006/relationships/hyperlink" Target="https://filestore.fortinet.com/docs.fortinet.com/fsiem/Public_Resource_Access/7_6_0/rules/PH_RULE_SimpleHelp_Ransomware_Attack_CVE_2024_57727_Host.htm" TargetMode="External"/><Relationship Id="rId885" Type="http://schemas.openxmlformats.org/officeDocument/2006/relationships/hyperlink" Target="https://filestore.fortinet.com/docs.fortinet.com/fsiem/Public_Resource_Access/7_6_0/rules/PH_RULE_SimpleHelp_Ransomware_Attack_CVE_2024_57727_Network.htm" TargetMode="External"/><Relationship Id="rId886" Type="http://schemas.openxmlformats.org/officeDocument/2006/relationships/hyperlink" Target="https://filestore.fortinet.com/docs.fortinet.com/fsiem/Public_Resource_Access/7_6_0/rules/PH_RULE_SmarterMail_RCE_CVE_2025_52691_Network.htm" TargetMode="External"/><Relationship Id="rId887" Type="http://schemas.openxmlformats.org/officeDocument/2006/relationships/hyperlink" Target="https://filestore.fortinet.com/docs.fortinet.com/fsiem/Public_Resource_Access/7_6_0/rules/PH_RULE_SolarView_Compact_Command_Inj_CVE_2022_40881_Network.htm" TargetMode="External"/><Relationship Id="rId888" Type="http://schemas.openxmlformats.org/officeDocument/2006/relationships/hyperlink" Target="https://filestore.fortinet.com/docs.fortinet.com/fsiem/Public_Resource_Access/7_6_0/rules/PH_RULE_SonicWall_SMA_Attack_CVE_2024_38475_Network.htm" TargetMode="External"/><Relationship Id="rId889" Type="http://schemas.openxmlformats.org/officeDocument/2006/relationships/hyperlink" Target="https://filestore.fortinet.com/docs.fortinet.com/fsiem/Public_Resource_Access/7_6_0/rules/PH_RULE_Sunhillo_SureLine_CVE_2021_36380_Host.htm" TargetMode="External"/><Relationship Id="rId890" Type="http://schemas.openxmlformats.org/officeDocument/2006/relationships/hyperlink" Target="https://filestore.fortinet.com/docs.fortinet.com/fsiem/Public_Resource_Access/7_6_0/rules/PH_RULE_Sunhillo_SureLine_CVE_2021_36380_Network.htm" TargetMode="External"/><Relationship Id="rId891" Type="http://schemas.openxmlformats.org/officeDocument/2006/relationships/hyperlink" Target="https://filestore.fortinet.com/docs.fortinet.com/fsiem/Public_Resource_Access/7_6_0/rules/PH_RULE_Zimbra_RCE_CVE_2024_45519_Host.htm" TargetMode="External"/><Relationship Id="rId892" Type="http://schemas.openxmlformats.org/officeDocument/2006/relationships/hyperlink" Target="https://filestore.fortinet.com/docs.fortinet.com/fsiem/Public_Resource_Access/7_6_0/rules/PH_RULE_Zimbra_RCE_CVE_2024_45519_Network.htm" TargetMode="External"/><Relationship Id="rId893" Type="http://schemas.openxmlformats.org/officeDocument/2006/relationships/hyperlink" Target="https://filestore.fortinet.com/docs.fortinet.com/fsiem/Public_Resource_Access/7_6_0/rules/PH_RULE_TBK_DVR_Attack_CVE_2018_9995_Network.htm" TargetMode="External"/><Relationship Id="rId894" Type="http://schemas.openxmlformats.org/officeDocument/2006/relationships/hyperlink" Target="https://filestore.fortinet.com/docs.fortinet.com/fsiem/Public_Resource_Access/7_6_0/rules/PH_RULE_TBK_DVRs_Botnet_Attack_CVE_2024_3721_Network.htm" TargetMode="External"/><Relationship Id="rId895" Type="http://schemas.openxmlformats.org/officeDocument/2006/relationships/hyperlink" Target="https://filestore.fortinet.com/docs.fortinet.com/fsiem/Public_Resource_Access/7_6_0/rules/PH_RULE_GLPI_Remote_Code_Execution_Network.htm" TargetMode="External"/><Relationship Id="rId896" Type="http://schemas.openxmlformats.org/officeDocument/2006/relationships/hyperlink" Target="https://filestore.fortinet.com/docs.fortinet.com/fsiem/Public_Resource_Access/7_6_0/rules/PH_RULE_ThinkPHPRCE_CVE_2019_9082_Host.htm" TargetMode="External"/><Relationship Id="rId897" Type="http://schemas.openxmlformats.org/officeDocument/2006/relationships/hyperlink" Target="https://filestore.fortinet.com/docs.fortinet.com/fsiem/Public_Resource_Access/7_6_0/rules/PH_RULE_ThinkPHPRCE_CVE_2019_9082_Network.htm" TargetMode="External"/><Relationship Id="rId898" Type="http://schemas.openxmlformats.org/officeDocument/2006/relationships/hyperlink" Target="https://filestore.fortinet.com/docs.fortinet.com/fsiem/Public_Resource_Access/7_6_0/rules/PH_RULE_TP_Link_Archer_AX_21_CVE_2023_1389_Host.htm" TargetMode="External"/><Relationship Id="rId899" Type="http://schemas.openxmlformats.org/officeDocument/2006/relationships/hyperlink" Target="https://filestore.fortinet.com/docs.fortinet.com/fsiem/Public_Resource_Access/7_6_0/rules/PH_RULE_TP_Link_Archer_AX_21_CVE_2023_1389_Network.htm" TargetMode="External"/><Relationship Id="rId900" Type="http://schemas.openxmlformats.org/officeDocument/2006/relationships/hyperlink" Target="https://filestore.fortinet.com/docs.fortinet.com/fsiem/Public_Resource_Access/7_6_0/rules/PH_RULE_UNC1549_Espionage_Attack_CVE_2021_26855_Network.htm" TargetMode="External"/><Relationship Id="rId901" Type="http://schemas.openxmlformats.org/officeDocument/2006/relationships/hyperlink" Target="https://filestore.fortinet.com/docs.fortinet.com/fsiem/Public_Resource_Access/7_6_0/rules/PH_RULE_Versa_Concerto_AutheBypass_CVE_2025_34026_Network.htm" TargetMode="External"/><Relationship Id="rId902" Type="http://schemas.openxmlformats.org/officeDocument/2006/relationships/hyperlink" Target="https://filestore.fortinet.com/docs.fortinet.com/fsiem/Public_Resource_Access/7_6_0/rules/PH_RULE_VMware_Aria_CVE_2023_20887_Network.htm" TargetMode="External"/><Relationship Id="rId903" Type="http://schemas.openxmlformats.org/officeDocument/2006/relationships/hyperlink" Target="https://filestore.fortinet.com/docs.fortinet.com/fsiem/Public_Resource_Access/7_6_0/rules/PH_RULE_ESXIRansom_2023Feb_Network.htm" TargetMode="External"/><Relationship Id="rId904" Type="http://schemas.openxmlformats.org/officeDocument/2006/relationships/hyperlink" Target="https://filestore.fortinet.com/docs.fortinet.com/fsiem/Public_Resource_Access/7_6_0/rules/PH_RULE_VMware_SpringCloud_RCE_CVE_2022_22963_Net.htm" TargetMode="External"/><Relationship Id="rId905" Type="http://schemas.openxmlformats.org/officeDocument/2006/relationships/hyperlink" Target="https://filestore.fortinet.com/docs.fortinet.com/fsiem/Public_Resource_Access/7_6_0/rules/PH_RULE_VMWareWorkspaceONE_CVE_2022_22954_Net.htm" TargetMode="External"/><Relationship Id="rId906" Type="http://schemas.openxmlformats.org/officeDocument/2006/relationships/hyperlink" Target="https://filestore.fortinet.com/docs.fortinet.com/fsiem/Public_Resource_Access/7_6_0/rules/PH_RULE_Win32_Escalation_Detected_Host.htm" TargetMode="External"/><Relationship Id="rId907" Type="http://schemas.openxmlformats.org/officeDocument/2006/relationships/hyperlink" Target="https://filestore.fortinet.com/docs.fortinet.com/fsiem/Public_Resource_Access/7_6_0/rules/PH_RULE_Win32_Escalation_Detected_Network.htm" TargetMode="External"/><Relationship Id="rId908" Type="http://schemas.openxmlformats.org/officeDocument/2006/relationships/hyperlink" Target="https://filestore.fortinet.com/docs.fortinet.com/fsiem/Public_Resource_Access/7_6_0/rules/PH_RULE_WooCommerce_Payments_CVE_2023_28121_Host.htm" TargetMode="External"/><Relationship Id="rId909" Type="http://schemas.openxmlformats.org/officeDocument/2006/relationships/hyperlink" Target="https://filestore.fortinet.com/docs.fortinet.com/fsiem/Public_Resource_Access/7_6_0/rules/PH_RULE_WooCommerce_Payments_CVE_2023_28121_Network.htm" TargetMode="External"/><Relationship Id="rId910" Type="http://schemas.openxmlformats.org/officeDocument/2006/relationships/hyperlink" Target="https://filestore.fortinet.com/docs.fortinet.com/fsiem/Public_Resource_Access/7_6_0/rules/PH_RULE_WPGatewayVulnCVE_2022_3180_Network.htm" TargetMode="External"/><Relationship Id="rId911" Type="http://schemas.openxmlformats.org/officeDocument/2006/relationships/hyperlink" Target="https://filestore.fortinet.com/docs.fortinet.com/fsiem/Public_Resource_Access/7_6_0/rules/PH_RULE_WP2Shell_RCE_CVE_2026_63030_Network.htm" TargetMode="External"/><Relationship Id="rId912" Type="http://schemas.openxmlformats.org/officeDocument/2006/relationships/hyperlink" Target="https://filestore.fortinet.com/docs.fortinet.com/fsiem/Public_Resource_Access/7_6_0/rules/PH_RULE_ZerobotBotnetActivity_Host.htm" TargetMode="External"/><Relationship Id="rId913" Type="http://schemas.openxmlformats.org/officeDocument/2006/relationships/hyperlink" Target="https://filestore.fortinet.com/docs.fortinet.com/fsiem/Public_Resource_Access/7_6_0/rules/PH_RULE_ZerobotBotnetActivity_Network.htm" TargetMode="External"/><Relationship Id="rId914" Type="http://schemas.openxmlformats.org/officeDocument/2006/relationships/hyperlink" Target="https://filestore.fortinet.com/docs.fortinet.com/fsiem/Public_Resource_Access/7_6_0/rules/PH_RULE_Zimbra_Collab_CVE_2025_68645_Network.htm" TargetMode="External"/><Relationship Id="rId915" Type="http://schemas.openxmlformats.org/officeDocument/2006/relationships/hyperlink" Target="https://filestore.fortinet.com/docs.fortinet.com/fsiem/Public_Resource_Access/7_6_0/rules/PH_RULE_ZimbraMboxImportVuln_Host.htm" TargetMode="External"/><Relationship Id="rId916" Type="http://schemas.openxmlformats.org/officeDocument/2006/relationships/hyperlink" Target="https://filestore.fortinet.com/docs.fortinet.com/fsiem/Public_Resource_Access/7_6_0/rules/PH_RULE_ZimbraMboxImportVuln_Network.htm" TargetMode="External"/><Relationship Id="rId917" Type="http://schemas.openxmlformats.org/officeDocument/2006/relationships/hyperlink" Target="https://filestore.fortinet.com/docs.fortinet.com/fsiem/Public_Resource_Access/7_6_0/rules/PH_RULE_Zoho_ManageEngine_RCE_52571_Network.htm" TargetMode="External"/><Relationship Id="rId918" Type="http://schemas.openxmlformats.org/officeDocument/2006/relationships/hyperlink" Target="https://filestore.fortinet.com/docs.fortinet.com/fsiem/Public_Resource_Access/7_6_0/rules/PH_RULE_Zyxel_Multiple_Firewall_Vuln_CVE_2023_28771_Host.htm" TargetMode="External"/><Relationship Id="rId919" Type="http://schemas.openxmlformats.org/officeDocument/2006/relationships/hyperlink" Target="https://filestore.fortinet.com/docs.fortinet.com/fsiem/Public_Resource_Access/7_6_0/rules/PH_RULE_Zyxel_Multiple_Firewall_Vuln_CVE_2023_28771_Network.htm" TargetMode="External"/><Relationship Id="rId920" Type="http://schemas.openxmlformats.org/officeDocument/2006/relationships/hyperlink" Target="https://filestore.fortinet.com/docs.fortinet.com/fsiem/Public_Resource_Access/7_6_0/rules/PH_RULE_Zyxel_Router_CVE_2017_18368_Network.htm" TargetMode="External"/><Relationship Id="rId921" Type="http://schemas.openxmlformats.org/officeDocument/2006/relationships/hyperlink" Target="https://filestore.fortinet.com/docs.fortinet.com/fsiem/Public_Resource_Access/7_6_0/rules/PH_RULE_FROM_DRAGOS_WORLDVIEW_MALWARE_IP.htm" TargetMode="External"/><Relationship Id="rId922" Type="http://schemas.openxmlformats.org/officeDocument/2006/relationships/hyperlink" Target="https://filestore.fortinet.com/docs.fortinet.com/fsiem/Public_Resource_Access/7_6_0/rules/PH_RULE_WIN_POWERSHELL_DOWNGRADE_ATTACK.htm" TargetMode="External"/><Relationship Id="rId923" Type="http://schemas.openxmlformats.org/officeDocument/2006/relationships/hyperlink" Target="https://filestore.fortinet.com/docs.fortinet.com/fsiem/Public_Resource_Access/7_6_0/rules/PH_RULE_REPLAY_ATTACK.htm" TargetMode="External"/><Relationship Id="rId924" Type="http://schemas.openxmlformats.org/officeDocument/2006/relationships/hyperlink" Target="https://filestore.fortinet.com/docs.fortinet.com/fsiem/Public_Resource_Access/7_6_0/rules/PH_RULE_S1Singularity_CloudAlert_NewMaliciousThreatNotMitigated.htm" TargetMode="External"/><Relationship Id="rId925" Type="http://schemas.openxmlformats.org/officeDocument/2006/relationships/hyperlink" Target="https://filestore.fortinet.com/docs.fortinet.com/fsiem/Public_Resource_Access/7_6_0/rules/PH_RULE_S1Singularity_CloudAlert_NewSuspiciousThreatNotMitigated.htm" TargetMode="External"/><Relationship Id="rId926" Type="http://schemas.openxmlformats.org/officeDocument/2006/relationships/hyperlink" Target="https://filestore.fortinet.com/docs.fortinet.com/fsiem/Public_Resource_Access/7_6_0/rules/PH_RULE_S1Singularity_AnalystMarkedMaliciousThreatAsTruePositive.htm" TargetMode="External"/><Relationship Id="rId927" Type="http://schemas.openxmlformats.org/officeDocument/2006/relationships/hyperlink" Target="https://filestore.fortinet.com/docs.fortinet.com/fsiem/Public_Resource_Access/7_6_0/rules/PH_RULE_S1Singularity_NewMaliciousThreatNotMitigated.htm" TargetMode="External"/><Relationship Id="rId928" Type="http://schemas.openxmlformats.org/officeDocument/2006/relationships/hyperlink" Target="https://filestore.fortinet.com/docs.fortinet.com/fsiem/Public_Resource_Access/7_6_0/rules/PH_RULE_S1Singularity_NewSuspiciousThreatNotMitigated.htm" TargetMode="External"/><Relationship Id="rId929" Type="http://schemas.openxmlformats.org/officeDocument/2006/relationships/hyperlink" Target="https://filestore.fortinet.com/docs.fortinet.com/fsiem/Public_Resource_Access/7_6_0/rules/PH_RULE_S1Singularity_STAR_MarkedEventMalicious.htm" TargetMode="External"/><Relationship Id="rId930" Type="http://schemas.openxmlformats.org/officeDocument/2006/relationships/hyperlink" Target="https://filestore.fortinet.com/docs.fortinet.com/fsiem/Public_Resource_Access/7_6_0/rules/PH_RULE_S1Singularity_STAR_MarkedEventSuspicious.htm" TargetMode="External"/><Relationship Id="rId931" Type="http://schemas.openxmlformats.org/officeDocument/2006/relationships/hyperlink" Target="https://filestore.fortinet.com/docs.fortinet.com/fsiem/Public_Resource_Access/7_6_0/rules/PH_RULE_VPN_LOGON_SUCCESS_OUTSIDE_COUNTRY.htm" TargetMode="External"/><Relationship Id="rId932" Type="http://schemas.openxmlformats.org/officeDocument/2006/relationships/hyperlink" Target="https://filestore.fortinet.com/docs.fortinet.com/fsiem/Public_Resource_Access/7_6_0/rules/PH_RULE_SUSPICIOUS_LOGON.htm" TargetMode="External"/><Relationship Id="rId933" Type="http://schemas.openxmlformats.org/officeDocument/2006/relationships/hyperlink" Target="https://filestore.fortinet.com/docs.fortinet.com/fsiem/Public_Resource_Access/7_6_0/rules/PH_RULE_SCH_SUSPICIOUS_LOGON_ATTEMPT.htm" TargetMode="External"/><Relationship Id="rId934" Type="http://schemas.openxmlformats.org/officeDocument/2006/relationships/hyperlink" Target="https://filestore.fortinet.com/docs.fortinet.com/fsiem/Public_Resource_Access/7_6_0/rules/PH_RULE_TO_DRAGOS_WORLDVIEW_MALWARE_IP.htm" TargetMode="External"/><Relationship Id="rId935" Type="http://schemas.openxmlformats.org/officeDocument/2006/relationships/hyperlink" Target="https://filestore.fortinet.com/docs.fortinet.com/fsiem/Public_Resource_Access/7_6_0/rules/PH_RULE_INBOUND_VNC.htm" TargetMode="External"/><Relationship Id="rId936" Type="http://schemas.openxmlformats.org/officeDocument/2006/relationships/hyperlink" Target="https://filestore.fortinet.com/docs.fortinet.com/fsiem/Public_Resource_Access/7_6_0/rules/PH_RULE_BaaUpdate_exe_Suspicious_DLL_Load.htm" TargetMode="External"/><Relationship Id="rId937" Type="http://schemas.openxmlformats.org/officeDocument/2006/relationships/hyperlink" Target="https://filestore.fortinet.com/docs.fortinet.com/fsiem/Public_Resource_Access/7_6_0/rules/PH_RULE_Certificate_Exported_Via_PowerShell.htm" TargetMode="External"/><Relationship Id="rId938" Type="http://schemas.openxmlformats.org/officeDocument/2006/relationships/hyperlink" Target="https://filestore.fortinet.com/docs.fortinet.com/fsiem/Public_Resource_Access/7_6_0/rules/PH_RULE_Certificate_Exported_Via_PowerShell_ScriptBlock.htm" TargetMode="External"/><Relationship Id="rId939" Type="http://schemas.openxmlformats.org/officeDocument/2006/relationships/hyperlink" Target="https://filestore.fortinet.com/docs.fortinet.com/fsiem/Public_Resource_Access/7_6_0/rules/PH_RULE_DNS_Query_Request_By_QuickAssist_EXE.htm" TargetMode="External"/><Relationship Id="rId940" Type="http://schemas.openxmlformats.org/officeDocument/2006/relationships/hyperlink" Target="https://filestore.fortinet.com/docs.fortinet.com/fsiem/Public_Resource_Access/7_6_0/rules/PH_RULE_DPAPI_Backup_Keys_And_Certificate_Export_Activity_IOC.htm" TargetMode="External"/><Relationship Id="rId941" Type="http://schemas.openxmlformats.org/officeDocument/2006/relationships/hyperlink" Target="https://filestore.fortinet.com/docs.fortinet.com/fsiem/Public_Resource_Access/7_6_0/rules/PH_RULE_Enable_Windows_Remote_Management.htm" TargetMode="External"/><Relationship Id="rId942" Type="http://schemas.openxmlformats.org/officeDocument/2006/relationships/hyperlink" Target="https://filestore.fortinet.com/docs.fortinet.com/fsiem/Public_Resource_Access/7_6_0/rules/PH_RULE_Execute_Invoke_command_on_Remote_Host.htm" TargetMode="External"/><Relationship Id="rId943" Type="http://schemas.openxmlformats.org/officeDocument/2006/relationships/hyperlink" Target="https://filestore.fortinet.com/docs.fortinet.com/fsiem/Public_Resource_Access/7_6_0/rules/PH_RULE_Extracting_Information_with_PowerShell.htm" TargetMode="External"/><Relationship Id="rId944" Type="http://schemas.openxmlformats.org/officeDocument/2006/relationships/hyperlink" Target="https://filestore.fortinet.com/docs.fortinet.com/fsiem/Public_Resource_Access/7_6_0/rules/PH_RULE_HackTool_Credential_Dumping_Tools_Named_Pipe_Created.htm" TargetMode="External"/><Relationship Id="rId945" Type="http://schemas.openxmlformats.org/officeDocument/2006/relationships/hyperlink" Target="https://filestore.fortinet.com/docs.fortinet.com/fsiem/Public_Resource_Access/7_6_0/rules/PH_RULE_HackTool_Doppelanger_LSASS_Dumper_Execution.htm" TargetMode="External"/><Relationship Id="rId946" Type="http://schemas.openxmlformats.org/officeDocument/2006/relationships/hyperlink" Target="https://filestore.fortinet.com/docs.fortinet.com/fsiem/Public_Resource_Access/7_6_0/rules/PH_RULE_HackTool_Generic_Process_Access.htm" TargetMode="External"/><Relationship Id="rId947" Type="http://schemas.openxmlformats.org/officeDocument/2006/relationships/hyperlink" Target="https://filestore.fortinet.com/docs.fortinet.com/fsiem/Public_Resource_Access/7_6_0/rules/PH_RULE_HackTool_Impacket_File_Indicators.htm" TargetMode="External"/><Relationship Id="rId948" Type="http://schemas.openxmlformats.org/officeDocument/2006/relationships/hyperlink" Target="https://filestore.fortinet.com/docs.fortinet.com/fsiem/Public_Resource_Access/7_6_0/rules/PH_RULE_HackTool_Koh_Default_Named_Pipe.htm" TargetMode="External"/><Relationship Id="rId949" Type="http://schemas.openxmlformats.org/officeDocument/2006/relationships/hyperlink" Target="https://filestore.fortinet.com/docs.fortinet.com/fsiem/Public_Resource_Access/7_6_0/rules/PH_RULE_HackTool_SharpMove_Tool_Execution.htm" TargetMode="External"/><Relationship Id="rId950" Type="http://schemas.openxmlformats.org/officeDocument/2006/relationships/hyperlink" Target="https://filestore.fortinet.com/docs.fortinet.com/fsiem/Public_Resource_Access/7_6_0/rules/PH_RULE_HackTool_SharpWSUS_WSUSpendu_Execution.htm" TargetMode="External"/><Relationship Id="rId951" Type="http://schemas.openxmlformats.org/officeDocument/2006/relationships/hyperlink" Target="https://filestore.fortinet.com/docs.fortinet.com/fsiem/Public_Resource_Access/7_6_0/rules/PH_RULE_HackTool_SysmonEOP_Execution.htm" TargetMode="External"/><Relationship Id="rId952" Type="http://schemas.openxmlformats.org/officeDocument/2006/relationships/hyperlink" Target="https://filestore.fortinet.com/docs.fortinet.com/fsiem/Public_Resource_Access/7_6_0/rules/PH_RULE_HackTool_WSASS_Execution.htm" TargetMode="External"/><Relationship Id="rId953" Type="http://schemas.openxmlformats.org/officeDocument/2006/relationships/hyperlink" Target="https://filestore.fortinet.com/docs.fortinet.com/fsiem/Public_Resource_Access/7_6_0/rules/PH_RULE_LSASS_Access_Detected_via_Attack_Surface_Reduction.htm" TargetMode="External"/><Relationship Id="rId954" Type="http://schemas.openxmlformats.org/officeDocument/2006/relationships/hyperlink" Target="https://filestore.fortinet.com/docs.fortinet.com/fsiem/Public_Resource_Access/7_6_0/rules/PH_RULE_LSASS_Dump_Keyword_In_CommandLine.htm" TargetMode="External"/><Relationship Id="rId955" Type="http://schemas.openxmlformats.org/officeDocument/2006/relationships/hyperlink" Target="https://filestore.fortinet.com/docs.fortinet.com/fsiem/Public_Resource_Access/7_6_0/rules/PH_RULE_Lsass_Full_Dump_Request_Via_DumpType_Registry_Settings.htm" TargetMode="External"/><Relationship Id="rId956" Type="http://schemas.openxmlformats.org/officeDocument/2006/relationships/hyperlink" Target="https://filestore.fortinet.com/docs.fortinet.com/fsiem/Public_Resource_Access/7_6_0/rules/PH_RULE_LSASS_Process_Crashed_Application.htm" TargetMode="External"/><Relationship Id="rId957" Type="http://schemas.openxmlformats.org/officeDocument/2006/relationships/hyperlink" Target="https://filestore.fortinet.com/docs.fortinet.com/fsiem/Public_Resource_Access/7_6_0/rules/PH_RULE_LSASS_Process_Memory_Dump_Creation_Via_Taskmgr_EXE.htm" TargetMode="External"/><Relationship Id="rId958" Type="http://schemas.openxmlformats.org/officeDocument/2006/relationships/hyperlink" Target="https://filestore.fortinet.com/docs.fortinet.com/fsiem/Public_Resource_Access/7_6_0/rules/PH_RULE_Mimikatz_Use.htm" TargetMode="External"/><Relationship Id="rId959" Type="http://schemas.openxmlformats.org/officeDocument/2006/relationships/hyperlink" Target="https://filestore.fortinet.com/docs.fortinet.com/fsiem/Public_Resource_Access/7_6_0/rules/PH_RULE_MMC_Spawning_Windows_Shell.htm" TargetMode="External"/><Relationship Id="rId960" Type="http://schemas.openxmlformats.org/officeDocument/2006/relationships/hyperlink" Target="https://filestore.fortinet.com/docs.fortinet.com/fsiem/Public_Resource_Access/7_6_0/rules/PH_RULE_MMC20_Lateral_Movement.htm" TargetMode="External"/><Relationship Id="rId961" Type="http://schemas.openxmlformats.org/officeDocument/2006/relationships/hyperlink" Target="https://filestore.fortinet.com/docs.fortinet.com/fsiem/Public_Resource_Access/7_6_0/rules/PH_RULE_Remote_Desktop_Protocol_Use_Mstsc.htm" TargetMode="External"/><Relationship Id="rId962" Type="http://schemas.openxmlformats.org/officeDocument/2006/relationships/hyperlink" Target="https://filestore.fortinet.com/docs.fortinet.com/fsiem/Public_Resource_Access/7_6_0/rules/PH_RULE_OpenSSH_Server_Listening_On_Socket.htm" TargetMode="External"/><Relationship Id="rId963" Type="http://schemas.openxmlformats.org/officeDocument/2006/relationships/hyperlink" Target="https://filestore.fortinet.com/docs.fortinet.com/fsiem/Public_Resource_Access/7_6_0/rules/PH_RULE_Outbound_RDP_Connections_Over_Non_Standard_Tools.htm" TargetMode="External"/><Relationship Id="rId964" Type="http://schemas.openxmlformats.org/officeDocument/2006/relationships/hyperlink" Target="https://filestore.fortinet.com/docs.fortinet.com/fsiem/Public_Resource_Access/7_6_0/rules/PH_RULE_Password_Dumper_Remote_Thread_in_LSASS.htm" TargetMode="External"/><Relationship Id="rId965" Type="http://schemas.openxmlformats.org/officeDocument/2006/relationships/hyperlink" Target="https://filestore.fortinet.com/docs.fortinet.com/fsiem/Public_Resource_Access/7_6_0/rules/PH_RULE_DCOM_InternetExplorer_Application_Iertutil_DLL_Hijack_SYSMON.htm" TargetMode="External"/><Relationship Id="rId966" Type="http://schemas.openxmlformats.org/officeDocument/2006/relationships/hyperlink" Target="https://filestore.fortinet.com/docs.fortinet.com/fsiem/Public_Resource_Access/7_6_0/rules/PH_RULE_Potential_DCOM_InternetExplorer_Application_DLL_Hijack_Image_Load.htm" TargetMode="External"/><Relationship Id="rId967" Type="http://schemas.openxmlformats.org/officeDocument/2006/relationships/hyperlink" Target="https://filestore.fortinet.com/docs.fortinet.com/fsiem/Public_Resource_Access/7_6_0/rules/PH_RULE_Potential_Excel_EXE_DCOM_Lateral_Movement_Via_ActivateMicrosoftApp.htm" TargetMode="External"/><Relationship Id="rId968" Type="http://schemas.openxmlformats.org/officeDocument/2006/relationships/hyperlink" Target="https://filestore.fortinet.com/docs.fortinet.com/fsiem/Public_Resource_Access/7_6_0/rules/PH_RULE_Potential_Lateral_Movement_via_Windows_Remote_Shell.htm" TargetMode="External"/><Relationship Id="rId969" Type="http://schemas.openxmlformats.org/officeDocument/2006/relationships/hyperlink" Target="https://filestore.fortinet.com/docs.fortinet.com/fsiem/Public_Resource_Access/7_6_0/rules/PH_RULE_MSTSC_Shadowing.htm" TargetMode="External"/><Relationship Id="rId970" Type="http://schemas.openxmlformats.org/officeDocument/2006/relationships/hyperlink" Target="https://filestore.fortinet.com/docs.fortinet.com/fsiem/Public_Resource_Access/7_6_0/rules/PH_RULE_Potential_Packet_Capture_Activity_Via_Start_NetEventSession_ScriptBlock.htm" TargetMode="External"/><Relationship Id="rId971" Type="http://schemas.openxmlformats.org/officeDocument/2006/relationships/hyperlink" Target="https://filestore.fortinet.com/docs.fortinet.com/fsiem/Public_Resource_Access/7_6_0/rules/PH_RULE_Potential_PowerShell_Console_History_Access_Attempt_via_History_File.htm" TargetMode="External"/><Relationship Id="rId972" Type="http://schemas.openxmlformats.org/officeDocument/2006/relationships/hyperlink" Target="https://filestore.fortinet.com/docs.fortinet.com/fsiem/Public_Resource_Access/7_6_0/rules/PH_RULE_Potential_Windows_Defender_AV_Bypass_Via_Dump64_EXE_Rename.htm" TargetMode="External"/><Relationship Id="rId973" Type="http://schemas.openxmlformats.org/officeDocument/2006/relationships/hyperlink" Target="https://filestore.fortinet.com/docs.fortinet.com/fsiem/Public_Resource_Access/7_6_0/rules/PH_RULE_Potentially_Suspicious_File_Creation_by_OpenEDR_s_ITSMService.htm" TargetMode="External"/><Relationship Id="rId974" Type="http://schemas.openxmlformats.org/officeDocument/2006/relationships/hyperlink" Target="https://filestore.fortinet.com/docs.fortinet.com/fsiem/Public_Resource_Access/7_6_0/rules/PH_RULE_Potentially_Suspicious_GrantedAccess_Flags_On_LSASS.htm" TargetMode="External"/><Relationship Id="rId975" Type="http://schemas.openxmlformats.org/officeDocument/2006/relationships/hyperlink" Target="https://filestore.fortinet.com/docs.fortinet.com/fsiem/Public_Resource_Access/7_6_0/rules/PH_RULE_PowerShell_Get_Process_LSASS_in_ScriptBlock.htm" TargetMode="External"/><Relationship Id="rId976" Type="http://schemas.openxmlformats.org/officeDocument/2006/relationships/hyperlink" Target="https://filestore.fortinet.com/docs.fortinet.com/fsiem/Public_Resource_Access/7_6_0/rules/PH_RULE_PPL_Tampering_Via_WerFaultSecure.htm" TargetMode="External"/><Relationship Id="rId977" Type="http://schemas.openxmlformats.org/officeDocument/2006/relationships/hyperlink" Target="https://filestore.fortinet.com/docs.fortinet.com/fsiem/Public_Resource_Access/7_6_0/rules/PH_RULE_PSEXEC_Remote_Execution_File_Artefact.htm" TargetMode="External"/><Relationship Id="rId978" Type="http://schemas.openxmlformats.org/officeDocument/2006/relationships/hyperlink" Target="https://filestore.fortinet.com/docs.fortinet.com/fsiem/Public_Resource_Access/7_6_0/rules/PH_RULE_PUA_Memory_Dump_Mount_Via_MemProcFS.htm" TargetMode="External"/><Relationship Id="rId979" Type="http://schemas.openxmlformats.org/officeDocument/2006/relationships/hyperlink" Target="https://filestore.fortinet.com/docs.fortinet.com/fsiem/Public_Resource_Access/7_6_0/rules/PH_RULE_PUA_TruffleHog_Execution.htm" TargetMode="External"/><Relationship Id="rId980" Type="http://schemas.openxmlformats.org/officeDocument/2006/relationships/hyperlink" Target="https://filestore.fortinet.com/docs.fortinet.com/fsiem/Public_Resource_Access/7_6_0/rules/PH_RULE_Registry_Export_of_Third_Party_Credentials.htm" TargetMode="External"/><Relationship Id="rId981" Type="http://schemas.openxmlformats.org/officeDocument/2006/relationships/hyperlink" Target="https://filestore.fortinet.com/docs.fortinet.com/fsiem/Public_Resource_Access/7_6_0/rules/PH_RULE_Remote_Thread_Created_In_KeePass_EXE.htm" TargetMode="External"/><Relationship Id="rId982" Type="http://schemas.openxmlformats.org/officeDocument/2006/relationships/hyperlink" Target="https://filestore.fortinet.com/docs.fortinet.com/fsiem/Public_Resource_Access/7_6_0/rules/PH_RULE_Rundll32_Without_Parameters.htm" TargetMode="External"/><Relationship Id="rId983" Type="http://schemas.openxmlformats.org/officeDocument/2006/relationships/hyperlink" Target="https://filestore.fortinet.com/docs.fortinet.com/fsiem/Public_Resource_Access/7_6_0/rules/PH_RULE_smbexec_py_Service_Installation.htm" TargetMode="External"/><Relationship Id="rId984" Type="http://schemas.openxmlformats.org/officeDocument/2006/relationships/hyperlink" Target="https://filestore.fortinet.com/docs.fortinet.com/fsiem/Public_Resource_Access/7_6_0/rules/PH_RULE_Suspicious_BitLocker_Access_Agent_Update_Utility_Execution.htm" TargetMode="External"/><Relationship Id="rId985" Type="http://schemas.openxmlformats.org/officeDocument/2006/relationships/hyperlink" Target="https://filestore.fortinet.com/docs.fortinet.com/fsiem/Public_Resource_Access/7_6_0/rules/PH_RULE_Suspicious_Connection_to_Remote_Account.htm" TargetMode="External"/><Relationship Id="rId986" Type="http://schemas.openxmlformats.org/officeDocument/2006/relationships/hyperlink" Target="https://filestore.fortinet.com/docs.fortinet.com/fsiem/Public_Resource_Access/7_6_0/rules/PH_RULE_Suspicious_DumpMinitool_Execution.htm" TargetMode="External"/><Relationship Id="rId987" Type="http://schemas.openxmlformats.org/officeDocument/2006/relationships/hyperlink" Target="https://filestore.fortinet.com/docs.fortinet.com/fsiem/Public_Resource_Access/7_6_0/rules/PH_RULE_Suspicious_New_PSDrive_to_Admin_Share.htm" TargetMode="External"/><Relationship Id="rId988" Type="http://schemas.openxmlformats.org/officeDocument/2006/relationships/hyperlink" Target="https://filestore.fortinet.com/docs.fortinet.com/fsiem/Public_Resource_Access/7_6_0/rules/PH_RULE_Suspicious_Process_Access_to_LSASS_with_Dbgcore_Dbghelp_DLLs.htm" TargetMode="External"/><Relationship Id="rId989" Type="http://schemas.openxmlformats.org/officeDocument/2006/relationships/hyperlink" Target="https://filestore.fortinet.com/docs.fortinet.com/fsiem/Public_Resource_Access/7_6_0/rules/PH_RULE_Suspicious_RDP_Redirect_Using_TSCON.htm" TargetMode="External"/><Relationship Id="rId990" Type="http://schemas.openxmlformats.org/officeDocument/2006/relationships/hyperlink" Target="https://filestore.fortinet.com/docs.fortinet.com/fsiem/Public_Resource_Access/7_6_0/rules/PH_RULE_Suspicious_Speech_Runtime_Binary_Child_Process.htm" TargetMode="External"/><Relationship Id="rId991" Type="http://schemas.openxmlformats.org/officeDocument/2006/relationships/hyperlink" Target="https://filestore.fortinet.com/docs.fortinet.com/fsiem/Public_Resource_Access/7_6_0/rules/PH_RULE_Suspicious_UltraVNC_Execution.htm" TargetMode="External"/><Relationship Id="rId992" Type="http://schemas.openxmlformats.org/officeDocument/2006/relationships/hyperlink" Target="https://filestore.fortinet.com/docs.fortinet.com/fsiem/Public_Resource_Access/7_6_0/rules/PH_RULE_Terminal_Service_Process_Spawn.htm" TargetMode="External"/><Relationship Id="rId993" Type="http://schemas.openxmlformats.org/officeDocument/2006/relationships/hyperlink" Target="https://filestore.fortinet.com/docs.fortinet.com/fsiem/Public_Resource_Access/7_6_0/rules/PH_RULE_Unsigned_or_Unencrypted_SMB_Connection_to_Share_Established.htm" TargetMode="External"/><Relationship Id="rId994" Type="http://schemas.openxmlformats.org/officeDocument/2006/relationships/hyperlink" Target="https://filestore.fortinet.com/docs.fortinet.com/fsiem/Public_Resource_Access/7_6_0/rules/PH_RULE_Mounted_Windows_Admin_Shares_with_net_exe.htm" TargetMode="External"/><Relationship Id="rId995" Type="http://schemas.openxmlformats.org/officeDocument/2006/relationships/hyperlink" Target="https://filestore.fortinet.com/docs.fortinet.com/fsiem/Public_Resource_Access/7_6_0/rules/PH_RULE_Windows_Internet_Hosted_WebDav_Share_Mount_Via_Net_EXE.htm" TargetMode="External"/><Relationship Id="rId996" Type="http://schemas.openxmlformats.org/officeDocument/2006/relationships/hyperlink" Target="https://filestore.fortinet.com/docs.fortinet.com/fsiem/Public_Resource_Access/7_6_0/rules/PH_RULE_Windows_Share_Mount_Via_Net_EXE.htm" TargetMode="External"/><Relationship Id="rId997" Type="http://schemas.openxmlformats.org/officeDocument/2006/relationships/hyperlink" Target="https://filestore.fortinet.com/docs.fortinet.com/fsiem/Public_Resource_Access/7_6_0/rules/PH_RULE_WinRM_Access_with_Evil_WinRM.htm" TargetMode="External"/><Relationship Id="rId998" Type="http://schemas.openxmlformats.org/officeDocument/2006/relationships/hyperlink" Target="https://filestore.fortinet.com/docs.fortinet.com/fsiem/Public_Resource_Access/7_6_0/rules/PH_RULE_Winrs_Local_Command_Execution.htm" TargetMode="External"/><Relationship Id="rId999" Type="http://schemas.openxmlformats.org/officeDocument/2006/relationships/hyperlink" Target="https://filestore.fortinet.com/docs.fortinet.com/fsiem/Public_Resource_Access/7_6_0/rules/PH_RULE_Zerologon_Exploitation_Using_Well_known_Tools.htm" TargetMode="External"/><Relationship Id="rId1000"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8.xml"/>
</Relationships>
</file>

<file path=xl/worksheets/_rels/sheet4.xml.rels><?xml version="1.0" encoding="UTF-8"?>
<Relationships xmlns="http://schemas.openxmlformats.org/package/2006/relationships"><Relationship Id="rId1" Type="http://schemas.openxmlformats.org/officeDocument/2006/relationships/table" Target="../tables/table6.xml"/>
</Relationships>
</file>

<file path=xl/worksheets/_rels/sheet5.xml.rels><?xml version="1.0" encoding="UTF-8"?>
<Relationships xmlns="http://schemas.openxmlformats.org/package/2006/relationships"><Relationship Id="rId1" Type="http://schemas.openxmlformats.org/officeDocument/2006/relationships/table" Target="../tables/table7.xml"/>
</Relationships>
</file>

<file path=xl/worksheets/_rels/sheet6.xml.rels><?xml version="1.0" encoding="UTF-8"?>
<Relationships xmlns="http://schemas.openxmlformats.org/package/2006/relationships"><Relationship Id="rId1" Type="http://schemas.openxmlformats.org/officeDocument/2006/relationships/table" Target="../tables/table5.xml"/>
</Relationships>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table" Target="../tables/table3.xml"/>
</Relationships>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_rels/sheet11.xml.rels><?xml version="1.0" encoding="UTF-8"?>
<Relationships xmlns="http://schemas.openxmlformats.org/package/2006/relationships"><Relationship Id="rId1" Type="http://schemas.openxmlformats.org/officeDocument/2006/relationships/table" Target="../tables/table4.xml"/>
</Relationships>
</file>

<file path=xl/worksheets/_rels/sheet1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6.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23.85" hidden="false" customHeight="false" outlineLevel="0" collapsed="false">
      <c r="A4" s="2" t="s">
        <v>2</v>
      </c>
    </row>
    <row r="5" customFormat="false" ht="15" hidden="false" customHeight="false" outlineLevel="0" collapsed="false">
      <c r="A5" s="2" t="s">
        <v>3</v>
      </c>
    </row>
    <row r="6" customFormat="false" ht="23.85" hidden="false" customHeight="false" outlineLevel="0" collapsed="false">
      <c r="A6" s="2" t="s">
        <v>4</v>
      </c>
    </row>
    <row r="7" customFormat="false" ht="15" hidden="false" customHeight="false" outlineLevel="0" collapsed="false">
      <c r="A7" s="2"/>
    </row>
    <row r="8" customFormat="false" ht="15" hidden="false" customHeight="false" outlineLevel="0" collapsed="false">
      <c r="A8" s="3" t="s">
        <v>5</v>
      </c>
    </row>
    <row r="9" customFormat="false" ht="15" hidden="false" customHeight="false" outlineLevel="0" collapsed="false">
      <c r="A9" s="2" t="s">
        <v>6</v>
      </c>
    </row>
    <row r="10" customFormat="false" ht="15" hidden="false" customHeight="false" outlineLevel="0" collapsed="false">
      <c r="A10" s="2" t="s">
        <v>7</v>
      </c>
    </row>
    <row r="11" customFormat="false" ht="23.8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row>
    <row r="19" customFormat="false" ht="15" hidden="false" customHeight="false" outlineLevel="0" collapsed="false">
      <c r="A19" s="3" t="s">
        <v>15</v>
      </c>
    </row>
    <row r="20" customFormat="false" ht="46.25" hidden="false" customHeight="false" outlineLevel="0" collapsed="false">
      <c r="A20" s="2" t="s">
        <v>16</v>
      </c>
    </row>
    <row r="21" customFormat="false" ht="23.85" hidden="false" customHeight="false" outlineLevel="0" collapsed="false">
      <c r="A21" s="2" t="s">
        <v>17</v>
      </c>
    </row>
    <row r="22" customFormat="false" ht="15" hidden="false" customHeight="false" outlineLevel="0" collapsed="false">
      <c r="A22" s="2" t="s">
        <v>18</v>
      </c>
    </row>
    <row r="23" customFormat="false" ht="15" hidden="false" customHeight="false" outlineLevel="0" collapsed="false">
      <c r="A23" s="2"/>
    </row>
    <row r="24" customFormat="false" ht="15" hidden="false" customHeight="false" outlineLevel="0" collapsed="false">
      <c r="A24" s="3" t="s">
        <v>19</v>
      </c>
    </row>
    <row r="25" customFormat="false" ht="23.85" hidden="false" customHeight="false" outlineLevel="0" collapsed="false">
      <c r="A25" s="2" t="s">
        <v>20</v>
      </c>
    </row>
    <row r="26" customFormat="false" ht="23.85" hidden="false" customHeight="false" outlineLevel="0" collapsed="false">
      <c r="A26" s="2" t="s">
        <v>21</v>
      </c>
    </row>
    <row r="27" customFormat="false" ht="23.85" hidden="false" customHeight="false" outlineLevel="0" collapsed="false">
      <c r="A27" s="2" t="s">
        <v>22</v>
      </c>
    </row>
    <row r="28" customFormat="false" ht="15" hidden="false" customHeight="false" outlineLevel="0" collapsed="false">
      <c r="A28" s="2"/>
    </row>
    <row r="29" customFormat="false" ht="15" hidden="false" customHeight="false" outlineLevel="0" collapsed="false">
      <c r="A29" s="3" t="s">
        <v>23</v>
      </c>
    </row>
    <row r="30" customFormat="false" ht="35.05" hidden="false" customHeight="false" outlineLevel="0" collapsed="false">
      <c r="A30" s="2" t="s">
        <v>24</v>
      </c>
    </row>
    <row r="31" customFormat="false" ht="15" hidden="false" customHeight="false" outlineLevel="0" collapsed="false">
      <c r="A31" s="2"/>
    </row>
    <row r="32" customFormat="false" ht="15" hidden="false" customHeight="false" outlineLevel="0" collapsed="false">
      <c r="A32" s="3" t="s">
        <v>25</v>
      </c>
    </row>
    <row r="33" customFormat="false" ht="23.85" hidden="false" customHeight="false" outlineLevel="0" collapsed="false">
      <c r="A33" s="2" t="s">
        <v>26</v>
      </c>
    </row>
    <row r="34" customFormat="false" ht="23.85" hidden="false" customHeight="false" outlineLevel="0" collapsed="false">
      <c r="A34" s="2" t="s">
        <v>27</v>
      </c>
    </row>
    <row r="35" customFormat="false" ht="15" hidden="false" customHeight="false" outlineLevel="0" collapsed="false">
      <c r="A35" s="2"/>
    </row>
    <row r="36" customFormat="false" ht="15" hidden="false" customHeight="false" outlineLevel="0" collapsed="false">
      <c r="A36" s="3" t="s">
        <v>28</v>
      </c>
    </row>
    <row r="37" customFormat="false" ht="35.05" hidden="false" customHeight="false" outlineLevel="0" collapsed="false">
      <c r="A37" s="2"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0"/>
    <col collapsed="false" customWidth="true" hidden="false" outlineLevel="0" max="3" min="3" style="0" width="20"/>
    <col collapsed="false" customWidth="true" hidden="false" outlineLevel="0" max="4" min="4" style="0" width="16"/>
    <col collapsed="false" customWidth="true" hidden="false" outlineLevel="0" max="5" min="5" style="0" width="26"/>
    <col collapsed="false" customWidth="true" hidden="false" outlineLevel="0" max="6" min="6" style="0" width="10"/>
    <col collapsed="false" customWidth="true" hidden="false" outlineLevel="0" max="7" min="7" style="0" width="8"/>
    <col collapsed="false" customWidth="true" hidden="false" outlineLevel="0" max="8" min="8" style="0" width="9"/>
    <col collapsed="false" customWidth="true" hidden="false" outlineLevel="0" max="9" min="9" style="0" width="10"/>
    <col collapsed="false" customWidth="true" hidden="false" outlineLevel="0" max="10" min="10" style="0" width="14"/>
    <col collapsed="false" customWidth="true" hidden="false" outlineLevel="0" max="11" min="11" style="0" width="11"/>
    <col collapsed="false" customWidth="true" hidden="false" outlineLevel="0" max="12" min="12" style="0" width="22"/>
    <col collapsed="false" customWidth="true" hidden="false" outlineLevel="0" max="13" min="13" style="0" width="18"/>
    <col collapsed="false" customWidth="true" hidden="false" outlineLevel="0" max="14" min="14" style="0" width="34"/>
    <col collapsed="false" customWidth="true" hidden="false" outlineLevel="0" max="15" min="15" style="0" width="44"/>
    <col collapsed="false" customWidth="true" hidden="false" outlineLevel="0" max="16" min="16" style="0" width="22"/>
    <col collapsed="false" customWidth="true" hidden="false" outlineLevel="0" max="17" min="17" style="0" width="8"/>
    <col collapsed="false" customWidth="true" hidden="false" outlineLevel="0" max="18" min="18" style="0" width="22"/>
    <col collapsed="false" customWidth="true" hidden="false" outlineLevel="0" max="19" min="19" style="0" width="50"/>
    <col collapsed="false" customWidth="true" hidden="false" outlineLevel="0" max="20" min="20" style="0" width="30"/>
    <col collapsed="false" customWidth="true" hidden="false" outlineLevel="0" max="21" min="21" style="0" width="20"/>
    <col collapsed="false" customWidth="true" hidden="false" outlineLevel="0" max="22" min="22" style="0" width="10"/>
    <col collapsed="false" customWidth="true" hidden="false" outlineLevel="0" max="23" min="23" style="0" width="40"/>
    <col collapsed="false" customWidth="true" hidden="false" outlineLevel="0" max="24" min="24" style="0" width="36"/>
    <col collapsed="false" customWidth="true" hidden="false" outlineLevel="0" max="25" min="25" style="0" width="14"/>
    <col collapsed="false" customWidth="true" hidden="false" outlineLevel="0" max="26" min="26" style="0" width="60"/>
    <col collapsed="false" customWidth="true" hidden="false" outlineLevel="0" max="27" min="27" style="0" width="30"/>
  </cols>
  <sheetData>
    <row r="1" customFormat="false" ht="31.5" hidden="false" customHeight="true" outlineLevel="0" collapsed="false">
      <c r="A1" s="4" t="s">
        <v>30</v>
      </c>
      <c r="B1" s="4" t="s">
        <v>31</v>
      </c>
      <c r="C1" s="4" t="s">
        <v>32</v>
      </c>
      <c r="D1" s="4" t="s">
        <v>33</v>
      </c>
      <c r="E1" s="4" t="s">
        <v>34</v>
      </c>
      <c r="F1" s="4" t="s">
        <v>35</v>
      </c>
      <c r="G1" s="4" t="s">
        <v>36</v>
      </c>
      <c r="H1" s="4" t="s">
        <v>37</v>
      </c>
      <c r="I1" s="4" t="s">
        <v>38</v>
      </c>
      <c r="J1" s="4" t="s">
        <v>39</v>
      </c>
      <c r="K1" s="4" t="s">
        <v>40</v>
      </c>
      <c r="L1" s="4" t="s">
        <v>41</v>
      </c>
      <c r="M1" s="4" t="s">
        <v>42</v>
      </c>
      <c r="N1" s="4" t="s">
        <v>43</v>
      </c>
      <c r="O1" s="4" t="s">
        <v>44</v>
      </c>
      <c r="P1" s="4" t="s">
        <v>45</v>
      </c>
      <c r="Q1" s="4" t="s">
        <v>46</v>
      </c>
      <c r="R1" s="4" t="s">
        <v>47</v>
      </c>
      <c r="S1" s="4" t="s">
        <v>48</v>
      </c>
      <c r="T1" s="4" t="s">
        <v>49</v>
      </c>
      <c r="U1" s="4" t="s">
        <v>50</v>
      </c>
      <c r="V1" s="4" t="s">
        <v>51</v>
      </c>
      <c r="W1" s="4" t="s">
        <v>52</v>
      </c>
      <c r="X1" s="4" t="s">
        <v>53</v>
      </c>
      <c r="Y1" s="4" t="s">
        <v>54</v>
      </c>
      <c r="Z1" s="4" t="s">
        <v>55</v>
      </c>
      <c r="AA1" s="4" t="s">
        <v>56</v>
      </c>
    </row>
    <row r="2" customFormat="false" ht="35.05" hidden="false" customHeight="false" outlineLevel="0" collapsed="false">
      <c r="A2" s="5" t="s">
        <v>57</v>
      </c>
      <c r="B2" s="2" t="s">
        <v>58</v>
      </c>
      <c r="C2" s="5" t="s">
        <v>59</v>
      </c>
      <c r="D2" s="5" t="s">
        <v>60</v>
      </c>
      <c r="E2" s="2" t="s">
        <v>61</v>
      </c>
      <c r="F2" s="5" t="s">
        <v>62</v>
      </c>
      <c r="G2" s="5" t="n">
        <v>9</v>
      </c>
      <c r="H2" s="5" t="s">
        <v>63</v>
      </c>
      <c r="I2" s="5" t="s">
        <v>64</v>
      </c>
      <c r="J2" s="5" t="s">
        <v>65</v>
      </c>
      <c r="K2" s="5" t="s">
        <v>66</v>
      </c>
      <c r="L2" s="2" t="s">
        <v>67</v>
      </c>
      <c r="M2" s="2" t="s">
        <v>68</v>
      </c>
      <c r="N2" s="2" t="s">
        <v>69</v>
      </c>
      <c r="O2" s="2" t="s">
        <v>70</v>
      </c>
      <c r="P2" s="2"/>
      <c r="Q2" s="5" t="n">
        <v>1</v>
      </c>
      <c r="R2" s="2" t="s">
        <v>71</v>
      </c>
      <c r="S2" s="2" t="s">
        <v>72</v>
      </c>
      <c r="T2" s="2" t="s">
        <v>73</v>
      </c>
      <c r="U2" s="2" t="s">
        <v>74</v>
      </c>
      <c r="V2" s="5" t="n">
        <v>300</v>
      </c>
      <c r="W2" s="2"/>
      <c r="X2" s="2" t="s">
        <v>75</v>
      </c>
      <c r="Y2" s="5" t="s">
        <v>76</v>
      </c>
      <c r="Z2" s="2" t="s">
        <v>77</v>
      </c>
      <c r="AA2" s="6" t="s">
        <v>78</v>
      </c>
    </row>
    <row r="3" customFormat="false" ht="102.2" hidden="false" customHeight="false" outlineLevel="0" collapsed="false">
      <c r="A3" s="5" t="s">
        <v>79</v>
      </c>
      <c r="B3" s="2" t="s">
        <v>80</v>
      </c>
      <c r="C3" s="5" t="s">
        <v>59</v>
      </c>
      <c r="D3" s="5" t="s">
        <v>60</v>
      </c>
      <c r="E3" s="2" t="s">
        <v>61</v>
      </c>
      <c r="F3" s="5" t="s">
        <v>62</v>
      </c>
      <c r="G3" s="5" t="n">
        <v>10</v>
      </c>
      <c r="H3" s="5" t="s">
        <v>63</v>
      </c>
      <c r="I3" s="5" t="s">
        <v>64</v>
      </c>
      <c r="J3" s="5" t="s">
        <v>65</v>
      </c>
      <c r="K3" s="5" t="s">
        <v>66</v>
      </c>
      <c r="L3" s="2" t="s">
        <v>67</v>
      </c>
      <c r="M3" s="2" t="s">
        <v>81</v>
      </c>
      <c r="N3" s="2" t="s">
        <v>69</v>
      </c>
      <c r="O3" s="2" t="s">
        <v>82</v>
      </c>
      <c r="P3" s="2"/>
      <c r="Q3" s="5" t="n">
        <v>1</v>
      </c>
      <c r="R3" s="2" t="s">
        <v>71</v>
      </c>
      <c r="S3" s="2" t="s">
        <v>83</v>
      </c>
      <c r="T3" s="2" t="s">
        <v>84</v>
      </c>
      <c r="U3" s="2" t="s">
        <v>74</v>
      </c>
      <c r="V3" s="5" t="n">
        <v>300</v>
      </c>
      <c r="W3" s="2"/>
      <c r="X3" s="2" t="s">
        <v>75</v>
      </c>
      <c r="Y3" s="5" t="s">
        <v>76</v>
      </c>
      <c r="Z3" s="2" t="s">
        <v>85</v>
      </c>
      <c r="AA3" s="6" t="s">
        <v>86</v>
      </c>
    </row>
    <row r="4" customFormat="false" ht="102.2" hidden="false" customHeight="false" outlineLevel="0" collapsed="false">
      <c r="A4" s="5" t="s">
        <v>87</v>
      </c>
      <c r="B4" s="2" t="s">
        <v>88</v>
      </c>
      <c r="C4" s="5" t="s">
        <v>59</v>
      </c>
      <c r="D4" s="5" t="s">
        <v>60</v>
      </c>
      <c r="E4" s="2" t="s">
        <v>61</v>
      </c>
      <c r="F4" s="5" t="s">
        <v>62</v>
      </c>
      <c r="G4" s="5" t="n">
        <v>8</v>
      </c>
      <c r="H4" s="5" t="s">
        <v>89</v>
      </c>
      <c r="I4" s="5" t="s">
        <v>64</v>
      </c>
      <c r="J4" s="5" t="s">
        <v>65</v>
      </c>
      <c r="K4" s="5" t="s">
        <v>66</v>
      </c>
      <c r="L4" s="2" t="s">
        <v>90</v>
      </c>
      <c r="M4" s="2" t="s">
        <v>91</v>
      </c>
      <c r="N4" s="2" t="s">
        <v>69</v>
      </c>
      <c r="O4" s="2" t="s">
        <v>92</v>
      </c>
      <c r="P4" s="2"/>
      <c r="Q4" s="5" t="n">
        <v>1</v>
      </c>
      <c r="R4" s="2" t="s">
        <v>71</v>
      </c>
      <c r="S4" s="2" t="s">
        <v>93</v>
      </c>
      <c r="T4" s="2" t="s">
        <v>94</v>
      </c>
      <c r="U4" s="2" t="s">
        <v>74</v>
      </c>
      <c r="V4" s="5" t="n">
        <v>300</v>
      </c>
      <c r="W4" s="2"/>
      <c r="X4" s="2" t="s">
        <v>75</v>
      </c>
      <c r="Y4" s="5" t="s">
        <v>76</v>
      </c>
      <c r="Z4" s="2" t="s">
        <v>95</v>
      </c>
      <c r="AA4" s="6" t="s">
        <v>96</v>
      </c>
    </row>
    <row r="5" customFormat="false" ht="46.25" hidden="false" customHeight="false" outlineLevel="0" collapsed="false">
      <c r="A5" s="5" t="s">
        <v>97</v>
      </c>
      <c r="B5" s="2" t="s">
        <v>98</v>
      </c>
      <c r="C5" s="5" t="s">
        <v>59</v>
      </c>
      <c r="D5" s="5" t="s">
        <v>60</v>
      </c>
      <c r="E5" s="2" t="s">
        <v>99</v>
      </c>
      <c r="F5" s="5" t="s">
        <v>62</v>
      </c>
      <c r="G5" s="5" t="n">
        <v>9</v>
      </c>
      <c r="H5" s="5" t="s">
        <v>63</v>
      </c>
      <c r="I5" s="5" t="s">
        <v>64</v>
      </c>
      <c r="J5" s="5" t="s">
        <v>65</v>
      </c>
      <c r="K5" s="5" t="s">
        <v>66</v>
      </c>
      <c r="L5" s="2" t="s">
        <v>100</v>
      </c>
      <c r="M5" s="2" t="s">
        <v>68</v>
      </c>
      <c r="N5" s="2" t="s">
        <v>69</v>
      </c>
      <c r="O5" s="2" t="s">
        <v>101</v>
      </c>
      <c r="P5" s="2"/>
      <c r="Q5" s="5" t="n">
        <v>1</v>
      </c>
      <c r="R5" s="2" t="s">
        <v>71</v>
      </c>
      <c r="S5" s="2" t="s">
        <v>102</v>
      </c>
      <c r="T5" s="2" t="s">
        <v>103</v>
      </c>
      <c r="U5" s="2" t="s">
        <v>74</v>
      </c>
      <c r="V5" s="5" t="n">
        <v>300</v>
      </c>
      <c r="W5" s="2"/>
      <c r="X5" s="2" t="s">
        <v>104</v>
      </c>
      <c r="Y5" s="5" t="s">
        <v>105</v>
      </c>
      <c r="Z5" s="2" t="s">
        <v>106</v>
      </c>
      <c r="AA5" s="6" t="s">
        <v>107</v>
      </c>
    </row>
    <row r="6" customFormat="false" ht="91" hidden="false" customHeight="false" outlineLevel="0" collapsed="false">
      <c r="A6" s="5" t="s">
        <v>108</v>
      </c>
      <c r="B6" s="2" t="s">
        <v>109</v>
      </c>
      <c r="C6" s="5" t="s">
        <v>59</v>
      </c>
      <c r="D6" s="5" t="s">
        <v>60</v>
      </c>
      <c r="E6" s="2" t="s">
        <v>110</v>
      </c>
      <c r="F6" s="5" t="s">
        <v>62</v>
      </c>
      <c r="G6" s="5" t="n">
        <v>10</v>
      </c>
      <c r="H6" s="5" t="s">
        <v>63</v>
      </c>
      <c r="I6" s="5" t="s">
        <v>64</v>
      </c>
      <c r="J6" s="5" t="s">
        <v>65</v>
      </c>
      <c r="K6" s="5" t="s">
        <v>66</v>
      </c>
      <c r="L6" s="2" t="s">
        <v>67</v>
      </c>
      <c r="M6" s="2" t="s">
        <v>81</v>
      </c>
      <c r="N6" s="2" t="s">
        <v>69</v>
      </c>
      <c r="O6" s="2" t="s">
        <v>111</v>
      </c>
      <c r="P6" s="2"/>
      <c r="Q6" s="5" t="n">
        <v>1</v>
      </c>
      <c r="R6" s="2" t="s">
        <v>71</v>
      </c>
      <c r="S6" s="2" t="s">
        <v>83</v>
      </c>
      <c r="T6" s="2" t="s">
        <v>84</v>
      </c>
      <c r="U6" s="2" t="s">
        <v>74</v>
      </c>
      <c r="V6" s="5" t="n">
        <v>300</v>
      </c>
      <c r="W6" s="2"/>
      <c r="X6" s="2" t="s">
        <v>75</v>
      </c>
      <c r="Y6" s="5" t="s">
        <v>76</v>
      </c>
      <c r="Z6" s="2" t="s">
        <v>112</v>
      </c>
      <c r="AA6" s="6" t="s">
        <v>113</v>
      </c>
    </row>
    <row r="7" customFormat="false" ht="57.45" hidden="false" customHeight="false" outlineLevel="0" collapsed="false">
      <c r="A7" s="5" t="s">
        <v>114</v>
      </c>
      <c r="B7" s="2" t="s">
        <v>115</v>
      </c>
      <c r="C7" s="5" t="s">
        <v>59</v>
      </c>
      <c r="D7" s="5" t="s">
        <v>60</v>
      </c>
      <c r="E7" s="2" t="s">
        <v>61</v>
      </c>
      <c r="F7" s="5" t="s">
        <v>62</v>
      </c>
      <c r="G7" s="5" t="n">
        <v>9</v>
      </c>
      <c r="H7" s="5" t="s">
        <v>63</v>
      </c>
      <c r="I7" s="5" t="s">
        <v>64</v>
      </c>
      <c r="J7" s="5" t="s">
        <v>65</v>
      </c>
      <c r="K7" s="5" t="s">
        <v>66</v>
      </c>
      <c r="L7" s="2" t="s">
        <v>90</v>
      </c>
      <c r="M7" s="2" t="s">
        <v>116</v>
      </c>
      <c r="N7" s="2" t="s">
        <v>69</v>
      </c>
      <c r="O7" s="2" t="s">
        <v>117</v>
      </c>
      <c r="P7" s="2"/>
      <c r="Q7" s="5" t="n">
        <v>1</v>
      </c>
      <c r="R7" s="2" t="s">
        <v>71</v>
      </c>
      <c r="S7" s="2" t="s">
        <v>83</v>
      </c>
      <c r="T7" s="2" t="s">
        <v>118</v>
      </c>
      <c r="U7" s="2" t="s">
        <v>74</v>
      </c>
      <c r="V7" s="5" t="n">
        <v>300</v>
      </c>
      <c r="W7" s="2"/>
      <c r="X7" s="2" t="s">
        <v>75</v>
      </c>
      <c r="Y7" s="5" t="s">
        <v>76</v>
      </c>
      <c r="Z7" s="2" t="s">
        <v>119</v>
      </c>
      <c r="AA7" s="6" t="s">
        <v>120</v>
      </c>
    </row>
    <row r="8" customFormat="false" ht="91" hidden="false" customHeight="false" outlineLevel="0" collapsed="false">
      <c r="A8" s="5" t="s">
        <v>121</v>
      </c>
      <c r="B8" s="2" t="s">
        <v>122</v>
      </c>
      <c r="C8" s="5" t="s">
        <v>59</v>
      </c>
      <c r="D8" s="5" t="s">
        <v>60</v>
      </c>
      <c r="E8" s="2" t="s">
        <v>61</v>
      </c>
      <c r="F8" s="5" t="s">
        <v>62</v>
      </c>
      <c r="G8" s="5" t="n">
        <v>9</v>
      </c>
      <c r="H8" s="5" t="s">
        <v>63</v>
      </c>
      <c r="I8" s="5" t="s">
        <v>64</v>
      </c>
      <c r="J8" s="5" t="s">
        <v>65</v>
      </c>
      <c r="K8" s="5" t="s">
        <v>66</v>
      </c>
      <c r="L8" s="2" t="s">
        <v>90</v>
      </c>
      <c r="M8" s="2" t="s">
        <v>123</v>
      </c>
      <c r="N8" s="2" t="s">
        <v>69</v>
      </c>
      <c r="O8" s="2" t="s">
        <v>124</v>
      </c>
      <c r="P8" s="2"/>
      <c r="Q8" s="5" t="n">
        <v>1</v>
      </c>
      <c r="R8" s="2" t="s">
        <v>71</v>
      </c>
      <c r="S8" s="2" t="s">
        <v>125</v>
      </c>
      <c r="T8" s="2" t="s">
        <v>126</v>
      </c>
      <c r="U8" s="2" t="s">
        <v>74</v>
      </c>
      <c r="V8" s="5" t="n">
        <v>300</v>
      </c>
      <c r="W8" s="2"/>
      <c r="X8" s="2" t="s">
        <v>75</v>
      </c>
      <c r="Y8" s="5" t="s">
        <v>76</v>
      </c>
      <c r="Z8" s="2" t="s">
        <v>127</v>
      </c>
      <c r="AA8" s="6" t="s">
        <v>128</v>
      </c>
    </row>
    <row r="9" customFormat="false" ht="102.2" hidden="false" customHeight="false" outlineLevel="0" collapsed="false">
      <c r="A9" s="5" t="s">
        <v>129</v>
      </c>
      <c r="B9" s="2" t="s">
        <v>130</v>
      </c>
      <c r="C9" s="5" t="s">
        <v>59</v>
      </c>
      <c r="D9" s="5" t="s">
        <v>60</v>
      </c>
      <c r="E9" s="2" t="s">
        <v>61</v>
      </c>
      <c r="F9" s="5" t="s">
        <v>62</v>
      </c>
      <c r="G9" s="5" t="n">
        <v>9</v>
      </c>
      <c r="H9" s="5" t="s">
        <v>63</v>
      </c>
      <c r="I9" s="5" t="s">
        <v>64</v>
      </c>
      <c r="J9" s="5" t="s">
        <v>65</v>
      </c>
      <c r="K9" s="5" t="s">
        <v>66</v>
      </c>
      <c r="L9" s="2" t="s">
        <v>90</v>
      </c>
      <c r="M9" s="2" t="s">
        <v>123</v>
      </c>
      <c r="N9" s="2" t="s">
        <v>69</v>
      </c>
      <c r="O9" s="2" t="s">
        <v>124</v>
      </c>
      <c r="P9" s="2"/>
      <c r="Q9" s="5" t="n">
        <v>1</v>
      </c>
      <c r="R9" s="2" t="s">
        <v>71</v>
      </c>
      <c r="S9" s="2" t="s">
        <v>131</v>
      </c>
      <c r="T9" s="2" t="s">
        <v>126</v>
      </c>
      <c r="U9" s="2" t="s">
        <v>74</v>
      </c>
      <c r="V9" s="5" t="n">
        <v>300</v>
      </c>
      <c r="W9" s="2"/>
      <c r="X9" s="2" t="s">
        <v>75</v>
      </c>
      <c r="Y9" s="5" t="s">
        <v>76</v>
      </c>
      <c r="Z9" s="2" t="s">
        <v>132</v>
      </c>
      <c r="AA9" s="6" t="s">
        <v>133</v>
      </c>
    </row>
    <row r="10" customFormat="false" ht="102.2" hidden="false" customHeight="false" outlineLevel="0" collapsed="false">
      <c r="A10" s="5" t="s">
        <v>134</v>
      </c>
      <c r="B10" s="2" t="s">
        <v>135</v>
      </c>
      <c r="C10" s="5" t="s">
        <v>59</v>
      </c>
      <c r="D10" s="5" t="s">
        <v>60</v>
      </c>
      <c r="E10" s="2" t="s">
        <v>61</v>
      </c>
      <c r="F10" s="5" t="s">
        <v>62</v>
      </c>
      <c r="G10" s="5" t="n">
        <v>10</v>
      </c>
      <c r="H10" s="5" t="s">
        <v>63</v>
      </c>
      <c r="I10" s="5" t="s">
        <v>64</v>
      </c>
      <c r="J10" s="5" t="s">
        <v>65</v>
      </c>
      <c r="K10" s="5" t="s">
        <v>66</v>
      </c>
      <c r="L10" s="2" t="s">
        <v>90</v>
      </c>
      <c r="M10" s="2" t="s">
        <v>123</v>
      </c>
      <c r="N10" s="2" t="s">
        <v>69</v>
      </c>
      <c r="O10" s="2" t="s">
        <v>124</v>
      </c>
      <c r="P10" s="2"/>
      <c r="Q10" s="5" t="n">
        <v>1</v>
      </c>
      <c r="R10" s="2" t="s">
        <v>71</v>
      </c>
      <c r="S10" s="2" t="s">
        <v>136</v>
      </c>
      <c r="T10" s="2" t="s">
        <v>126</v>
      </c>
      <c r="U10" s="2" t="s">
        <v>74</v>
      </c>
      <c r="V10" s="5" t="n">
        <v>300</v>
      </c>
      <c r="W10" s="2"/>
      <c r="X10" s="2" t="s">
        <v>75</v>
      </c>
      <c r="Y10" s="5" t="s">
        <v>76</v>
      </c>
      <c r="Z10" s="2" t="s">
        <v>137</v>
      </c>
      <c r="AA10" s="6" t="s">
        <v>138</v>
      </c>
    </row>
    <row r="11" customFormat="false" ht="91" hidden="false" customHeight="false" outlineLevel="0" collapsed="false">
      <c r="A11" s="5" t="s">
        <v>139</v>
      </c>
      <c r="B11" s="2" t="s">
        <v>140</v>
      </c>
      <c r="C11" s="5" t="s">
        <v>59</v>
      </c>
      <c r="D11" s="5" t="s">
        <v>60</v>
      </c>
      <c r="E11" s="2" t="s">
        <v>61</v>
      </c>
      <c r="F11" s="5" t="s">
        <v>62</v>
      </c>
      <c r="G11" s="5" t="n">
        <v>10</v>
      </c>
      <c r="H11" s="5" t="s">
        <v>63</v>
      </c>
      <c r="I11" s="5" t="s">
        <v>64</v>
      </c>
      <c r="J11" s="5" t="s">
        <v>65</v>
      </c>
      <c r="K11" s="5" t="s">
        <v>66</v>
      </c>
      <c r="L11" s="2" t="s">
        <v>90</v>
      </c>
      <c r="M11" s="2" t="s">
        <v>123</v>
      </c>
      <c r="N11" s="2" t="s">
        <v>69</v>
      </c>
      <c r="O11" s="2" t="s">
        <v>124</v>
      </c>
      <c r="P11" s="2"/>
      <c r="Q11" s="5" t="n">
        <v>1</v>
      </c>
      <c r="R11" s="2" t="s">
        <v>71</v>
      </c>
      <c r="S11" s="2" t="s">
        <v>141</v>
      </c>
      <c r="T11" s="2" t="s">
        <v>126</v>
      </c>
      <c r="U11" s="2" t="s">
        <v>74</v>
      </c>
      <c r="V11" s="5" t="n">
        <v>300</v>
      </c>
      <c r="W11" s="2"/>
      <c r="X11" s="2" t="s">
        <v>75</v>
      </c>
      <c r="Y11" s="5" t="s">
        <v>76</v>
      </c>
      <c r="Z11" s="2" t="s">
        <v>142</v>
      </c>
      <c r="AA11" s="6" t="s">
        <v>143</v>
      </c>
    </row>
    <row r="12" customFormat="false" ht="91" hidden="false" customHeight="false" outlineLevel="0" collapsed="false">
      <c r="A12" s="5" t="s">
        <v>144</v>
      </c>
      <c r="B12" s="2" t="s">
        <v>145</v>
      </c>
      <c r="C12" s="5" t="s">
        <v>59</v>
      </c>
      <c r="D12" s="5" t="s">
        <v>60</v>
      </c>
      <c r="E12" s="2" t="s">
        <v>61</v>
      </c>
      <c r="F12" s="5" t="s">
        <v>62</v>
      </c>
      <c r="G12" s="5" t="n">
        <v>9</v>
      </c>
      <c r="H12" s="5" t="s">
        <v>63</v>
      </c>
      <c r="I12" s="5" t="s">
        <v>64</v>
      </c>
      <c r="J12" s="5" t="s">
        <v>65</v>
      </c>
      <c r="K12" s="5" t="s">
        <v>66</v>
      </c>
      <c r="L12" s="2" t="s">
        <v>90</v>
      </c>
      <c r="M12" s="2" t="s">
        <v>123</v>
      </c>
      <c r="N12" s="2" t="s">
        <v>69</v>
      </c>
      <c r="O12" s="2" t="s">
        <v>124</v>
      </c>
      <c r="P12" s="2"/>
      <c r="Q12" s="5" t="n">
        <v>1</v>
      </c>
      <c r="R12" s="2" t="s">
        <v>71</v>
      </c>
      <c r="S12" s="2" t="s">
        <v>146</v>
      </c>
      <c r="T12" s="2" t="s">
        <v>126</v>
      </c>
      <c r="U12" s="2" t="s">
        <v>74</v>
      </c>
      <c r="V12" s="5" t="n">
        <v>300</v>
      </c>
      <c r="W12" s="2"/>
      <c r="X12" s="2" t="s">
        <v>75</v>
      </c>
      <c r="Y12" s="5" t="s">
        <v>76</v>
      </c>
      <c r="Z12" s="2" t="s">
        <v>147</v>
      </c>
      <c r="AA12" s="6" t="s">
        <v>148</v>
      </c>
    </row>
    <row r="13" customFormat="false" ht="35.05" hidden="false" customHeight="false" outlineLevel="0" collapsed="false">
      <c r="A13" s="5" t="s">
        <v>149</v>
      </c>
      <c r="B13" s="2" t="s">
        <v>150</v>
      </c>
      <c r="C13" s="5" t="s">
        <v>59</v>
      </c>
      <c r="D13" s="5" t="s">
        <v>60</v>
      </c>
      <c r="E13" s="2" t="s">
        <v>100</v>
      </c>
      <c r="F13" s="5" t="s">
        <v>62</v>
      </c>
      <c r="G13" s="5" t="n">
        <v>9</v>
      </c>
      <c r="H13" s="5" t="s">
        <v>63</v>
      </c>
      <c r="I13" s="5" t="s">
        <v>64</v>
      </c>
      <c r="J13" s="5" t="s">
        <v>65</v>
      </c>
      <c r="K13" s="5" t="s">
        <v>66</v>
      </c>
      <c r="L13" s="2" t="s">
        <v>100</v>
      </c>
      <c r="M13" s="2" t="s">
        <v>151</v>
      </c>
      <c r="N13" s="2" t="s">
        <v>152</v>
      </c>
      <c r="O13" s="2" t="s">
        <v>153</v>
      </c>
      <c r="P13" s="2"/>
      <c r="Q13" s="5" t="n">
        <v>1</v>
      </c>
      <c r="R13" s="2" t="s">
        <v>71</v>
      </c>
      <c r="S13" s="2" t="s">
        <v>154</v>
      </c>
      <c r="T13" s="2" t="s">
        <v>155</v>
      </c>
      <c r="U13" s="2" t="s">
        <v>74</v>
      </c>
      <c r="V13" s="5" t="n">
        <v>300</v>
      </c>
      <c r="W13" s="2"/>
      <c r="X13" s="2" t="s">
        <v>156</v>
      </c>
      <c r="Y13" s="5"/>
      <c r="Z13" s="2" t="s">
        <v>157</v>
      </c>
      <c r="AA13" s="6" t="s">
        <v>158</v>
      </c>
    </row>
    <row r="14" customFormat="false" ht="91" hidden="false" customHeight="false" outlineLevel="0" collapsed="false">
      <c r="A14" s="5" t="s">
        <v>159</v>
      </c>
      <c r="B14" s="2" t="s">
        <v>160</v>
      </c>
      <c r="C14" s="5" t="s">
        <v>59</v>
      </c>
      <c r="D14" s="5" t="s">
        <v>60</v>
      </c>
      <c r="E14" s="2" t="s">
        <v>161</v>
      </c>
      <c r="F14" s="5" t="s">
        <v>62</v>
      </c>
      <c r="G14" s="5" t="n">
        <v>9</v>
      </c>
      <c r="H14" s="5" t="s">
        <v>63</v>
      </c>
      <c r="I14" s="5" t="s">
        <v>64</v>
      </c>
      <c r="J14" s="5" t="s">
        <v>162</v>
      </c>
      <c r="K14" s="5" t="s">
        <v>66</v>
      </c>
      <c r="L14" s="2" t="s">
        <v>90</v>
      </c>
      <c r="M14" s="2" t="s">
        <v>163</v>
      </c>
      <c r="N14" s="2" t="s">
        <v>152</v>
      </c>
      <c r="O14" s="2" t="s">
        <v>164</v>
      </c>
      <c r="P14" s="2"/>
      <c r="Q14" s="5" t="n">
        <v>1</v>
      </c>
      <c r="R14" s="2" t="s">
        <v>71</v>
      </c>
      <c r="S14" s="2" t="s">
        <v>165</v>
      </c>
      <c r="T14" s="2" t="s">
        <v>166</v>
      </c>
      <c r="U14" s="2" t="s">
        <v>74</v>
      </c>
      <c r="V14" s="5" t="n">
        <v>300</v>
      </c>
      <c r="W14" s="2"/>
      <c r="X14" s="2" t="s">
        <v>167</v>
      </c>
      <c r="Y14" s="5"/>
      <c r="Z14" s="2" t="s">
        <v>168</v>
      </c>
      <c r="AA14" s="6" t="s">
        <v>169</v>
      </c>
    </row>
    <row r="15" customFormat="false" ht="91" hidden="false" customHeight="false" outlineLevel="0" collapsed="false">
      <c r="A15" s="5" t="s">
        <v>170</v>
      </c>
      <c r="B15" s="2" t="s">
        <v>171</v>
      </c>
      <c r="C15" s="5" t="s">
        <v>59</v>
      </c>
      <c r="D15" s="5" t="s">
        <v>60</v>
      </c>
      <c r="E15" s="2" t="s">
        <v>161</v>
      </c>
      <c r="F15" s="5" t="s">
        <v>62</v>
      </c>
      <c r="G15" s="5" t="n">
        <v>8</v>
      </c>
      <c r="H15" s="5" t="s">
        <v>89</v>
      </c>
      <c r="I15" s="5" t="s">
        <v>64</v>
      </c>
      <c r="J15" s="5" t="s">
        <v>65</v>
      </c>
      <c r="K15" s="5" t="s">
        <v>66</v>
      </c>
      <c r="L15" s="2" t="s">
        <v>67</v>
      </c>
      <c r="M15" s="2" t="s">
        <v>172</v>
      </c>
      <c r="N15" s="2" t="s">
        <v>173</v>
      </c>
      <c r="O15" s="2" t="s">
        <v>174</v>
      </c>
      <c r="P15" s="2"/>
      <c r="Q15" s="5" t="n">
        <v>1</v>
      </c>
      <c r="R15" s="2" t="s">
        <v>71</v>
      </c>
      <c r="S15" s="2" t="s">
        <v>175</v>
      </c>
      <c r="T15" s="2" t="s">
        <v>176</v>
      </c>
      <c r="U15" s="2" t="s">
        <v>74</v>
      </c>
      <c r="V15" s="5" t="n">
        <v>300</v>
      </c>
      <c r="W15" s="2"/>
      <c r="X15" s="2" t="s">
        <v>177</v>
      </c>
      <c r="Y15" s="5"/>
      <c r="Z15" s="2" t="s">
        <v>178</v>
      </c>
      <c r="AA15" s="6" t="s">
        <v>179</v>
      </c>
    </row>
    <row r="16" customFormat="false" ht="169.4" hidden="false" customHeight="false" outlineLevel="0" collapsed="false">
      <c r="A16" s="5" t="s">
        <v>180</v>
      </c>
      <c r="B16" s="2" t="s">
        <v>181</v>
      </c>
      <c r="C16" s="5" t="s">
        <v>59</v>
      </c>
      <c r="D16" s="5" t="s">
        <v>60</v>
      </c>
      <c r="E16" s="2" t="s">
        <v>182</v>
      </c>
      <c r="F16" s="5" t="s">
        <v>62</v>
      </c>
      <c r="G16" s="5" t="n">
        <v>9</v>
      </c>
      <c r="H16" s="5" t="s">
        <v>63</v>
      </c>
      <c r="I16" s="5" t="s">
        <v>64</v>
      </c>
      <c r="J16" s="5" t="s">
        <v>65</v>
      </c>
      <c r="K16" s="5" t="s">
        <v>66</v>
      </c>
      <c r="L16" s="2" t="s">
        <v>90</v>
      </c>
      <c r="M16" s="2" t="s">
        <v>183</v>
      </c>
      <c r="N16" s="2" t="s">
        <v>184</v>
      </c>
      <c r="O16" s="2" t="s">
        <v>185</v>
      </c>
      <c r="P16" s="2"/>
      <c r="Q16" s="5" t="n">
        <v>2</v>
      </c>
      <c r="R16" s="2" t="s">
        <v>186</v>
      </c>
      <c r="S16" s="2" t="s">
        <v>187</v>
      </c>
      <c r="T16" s="2" t="s">
        <v>188</v>
      </c>
      <c r="U16" s="2" t="s">
        <v>189</v>
      </c>
      <c r="V16" s="5" t="n">
        <v>1800</v>
      </c>
      <c r="W16" s="2" t="s">
        <v>190</v>
      </c>
      <c r="X16" s="2" t="s">
        <v>191</v>
      </c>
      <c r="Y16" s="5" t="s">
        <v>192</v>
      </c>
      <c r="Z16" s="2" t="s">
        <v>193</v>
      </c>
      <c r="AA16" s="6" t="s">
        <v>194</v>
      </c>
    </row>
    <row r="17" customFormat="false" ht="68.65" hidden="false" customHeight="false" outlineLevel="0" collapsed="false">
      <c r="A17" s="5" t="s">
        <v>195</v>
      </c>
      <c r="B17" s="2" t="s">
        <v>196</v>
      </c>
      <c r="C17" s="5" t="s">
        <v>59</v>
      </c>
      <c r="D17" s="5" t="s">
        <v>60</v>
      </c>
      <c r="E17" s="2" t="s">
        <v>197</v>
      </c>
      <c r="F17" s="5" t="s">
        <v>62</v>
      </c>
      <c r="G17" s="5" t="n">
        <v>8</v>
      </c>
      <c r="H17" s="5" t="s">
        <v>89</v>
      </c>
      <c r="I17" s="5" t="s">
        <v>64</v>
      </c>
      <c r="J17" s="5" t="s">
        <v>65</v>
      </c>
      <c r="K17" s="5" t="s">
        <v>66</v>
      </c>
      <c r="L17" s="2" t="s">
        <v>67</v>
      </c>
      <c r="M17" s="2" t="s">
        <v>198</v>
      </c>
      <c r="N17" s="2" t="s">
        <v>199</v>
      </c>
      <c r="O17" s="2" t="s">
        <v>200</v>
      </c>
      <c r="P17" s="2"/>
      <c r="Q17" s="5" t="n">
        <v>1</v>
      </c>
      <c r="R17" s="2" t="s">
        <v>71</v>
      </c>
      <c r="S17" s="2" t="s">
        <v>201</v>
      </c>
      <c r="T17" s="2" t="s">
        <v>166</v>
      </c>
      <c r="U17" s="2" t="s">
        <v>74</v>
      </c>
      <c r="V17" s="5" t="n">
        <v>300</v>
      </c>
      <c r="W17" s="2"/>
      <c r="X17" s="2" t="s">
        <v>202</v>
      </c>
      <c r="Y17" s="5" t="s">
        <v>203</v>
      </c>
      <c r="Z17" s="2" t="s">
        <v>204</v>
      </c>
      <c r="AA17" s="6" t="s">
        <v>205</v>
      </c>
    </row>
    <row r="18" customFormat="false" ht="57.45" hidden="false" customHeight="false" outlineLevel="0" collapsed="false">
      <c r="A18" s="5" t="s">
        <v>206</v>
      </c>
      <c r="B18" s="2" t="s">
        <v>207</v>
      </c>
      <c r="C18" s="5" t="s">
        <v>59</v>
      </c>
      <c r="D18" s="5" t="s">
        <v>60</v>
      </c>
      <c r="E18" s="2" t="s">
        <v>208</v>
      </c>
      <c r="F18" s="5" t="s">
        <v>62</v>
      </c>
      <c r="G18" s="5" t="n">
        <v>8</v>
      </c>
      <c r="H18" s="5" t="s">
        <v>89</v>
      </c>
      <c r="I18" s="5" t="s">
        <v>64</v>
      </c>
      <c r="J18" s="5" t="s">
        <v>65</v>
      </c>
      <c r="K18" s="5" t="s">
        <v>66</v>
      </c>
      <c r="L18" s="2" t="s">
        <v>100</v>
      </c>
      <c r="M18" s="2" t="s">
        <v>209</v>
      </c>
      <c r="N18" s="2" t="s">
        <v>184</v>
      </c>
      <c r="O18" s="2" t="s">
        <v>210</v>
      </c>
      <c r="P18" s="2"/>
      <c r="Q18" s="5" t="n">
        <v>1</v>
      </c>
      <c r="R18" s="2" t="s">
        <v>71</v>
      </c>
      <c r="S18" s="2" t="s">
        <v>211</v>
      </c>
      <c r="T18" s="2" t="s">
        <v>212</v>
      </c>
      <c r="U18" s="2" t="s">
        <v>74</v>
      </c>
      <c r="V18" s="5" t="n">
        <v>300</v>
      </c>
      <c r="W18" s="2"/>
      <c r="X18" s="2" t="s">
        <v>213</v>
      </c>
      <c r="Y18" s="5" t="s">
        <v>214</v>
      </c>
      <c r="Z18" s="2" t="s">
        <v>215</v>
      </c>
      <c r="AA18" s="6" t="s">
        <v>216</v>
      </c>
    </row>
    <row r="19" customFormat="false" ht="57.45" hidden="false" customHeight="false" outlineLevel="0" collapsed="false">
      <c r="A19" s="5" t="s">
        <v>217</v>
      </c>
      <c r="B19" s="2" t="s">
        <v>218</v>
      </c>
      <c r="C19" s="5" t="s">
        <v>59</v>
      </c>
      <c r="D19" s="5" t="s">
        <v>60</v>
      </c>
      <c r="E19" s="2" t="s">
        <v>208</v>
      </c>
      <c r="F19" s="5" t="s">
        <v>62</v>
      </c>
      <c r="G19" s="5" t="n">
        <v>8</v>
      </c>
      <c r="H19" s="5" t="s">
        <v>89</v>
      </c>
      <c r="I19" s="5" t="s">
        <v>64</v>
      </c>
      <c r="J19" s="5" t="s">
        <v>65</v>
      </c>
      <c r="K19" s="5" t="s">
        <v>66</v>
      </c>
      <c r="L19" s="2" t="s">
        <v>100</v>
      </c>
      <c r="M19" s="2" t="s">
        <v>209</v>
      </c>
      <c r="N19" s="2" t="s">
        <v>184</v>
      </c>
      <c r="O19" s="2" t="s">
        <v>210</v>
      </c>
      <c r="P19" s="2"/>
      <c r="Q19" s="5" t="n">
        <v>1</v>
      </c>
      <c r="R19" s="2" t="s">
        <v>71</v>
      </c>
      <c r="S19" s="2" t="s">
        <v>219</v>
      </c>
      <c r="T19" s="2" t="s">
        <v>212</v>
      </c>
      <c r="U19" s="2" t="s">
        <v>74</v>
      </c>
      <c r="V19" s="5" t="n">
        <v>300</v>
      </c>
      <c r="W19" s="2"/>
      <c r="X19" s="2" t="s">
        <v>213</v>
      </c>
      <c r="Y19" s="5" t="s">
        <v>214</v>
      </c>
      <c r="Z19" s="2" t="s">
        <v>220</v>
      </c>
      <c r="AA19" s="6" t="s">
        <v>221</v>
      </c>
    </row>
    <row r="20" customFormat="false" ht="68.65" hidden="false" customHeight="false" outlineLevel="0" collapsed="false">
      <c r="A20" s="5" t="s">
        <v>222</v>
      </c>
      <c r="B20" s="2" t="s">
        <v>223</v>
      </c>
      <c r="C20" s="5" t="s">
        <v>59</v>
      </c>
      <c r="D20" s="5" t="s">
        <v>60</v>
      </c>
      <c r="E20" s="2" t="s">
        <v>197</v>
      </c>
      <c r="F20" s="5" t="s">
        <v>62</v>
      </c>
      <c r="G20" s="5" t="n">
        <v>9</v>
      </c>
      <c r="H20" s="5" t="s">
        <v>63</v>
      </c>
      <c r="I20" s="5" t="s">
        <v>64</v>
      </c>
      <c r="J20" s="5" t="s">
        <v>65</v>
      </c>
      <c r="K20" s="5" t="s">
        <v>66</v>
      </c>
      <c r="L20" s="2" t="s">
        <v>67</v>
      </c>
      <c r="M20" s="2" t="s">
        <v>198</v>
      </c>
      <c r="N20" s="2" t="s">
        <v>199</v>
      </c>
      <c r="O20" s="2" t="s">
        <v>200</v>
      </c>
      <c r="P20" s="2"/>
      <c r="Q20" s="5" t="n">
        <v>1</v>
      </c>
      <c r="R20" s="2" t="s">
        <v>71</v>
      </c>
      <c r="S20" s="2" t="s">
        <v>224</v>
      </c>
      <c r="T20" s="2" t="s">
        <v>166</v>
      </c>
      <c r="U20" s="2" t="s">
        <v>74</v>
      </c>
      <c r="V20" s="5" t="n">
        <v>300</v>
      </c>
      <c r="W20" s="2"/>
      <c r="X20" s="2" t="s">
        <v>202</v>
      </c>
      <c r="Y20" s="5" t="s">
        <v>203</v>
      </c>
      <c r="Z20" s="2" t="s">
        <v>225</v>
      </c>
      <c r="AA20" s="6" t="s">
        <v>226</v>
      </c>
    </row>
    <row r="21" customFormat="false" ht="68.65" hidden="false" customHeight="false" outlineLevel="0" collapsed="false">
      <c r="A21" s="5" t="s">
        <v>227</v>
      </c>
      <c r="B21" s="2" t="s">
        <v>228</v>
      </c>
      <c r="C21" s="5" t="s">
        <v>59</v>
      </c>
      <c r="D21" s="5" t="s">
        <v>60</v>
      </c>
      <c r="E21" s="2" t="s">
        <v>208</v>
      </c>
      <c r="F21" s="5" t="s">
        <v>62</v>
      </c>
      <c r="G21" s="5" t="n">
        <v>7</v>
      </c>
      <c r="H21" s="5" t="s">
        <v>89</v>
      </c>
      <c r="I21" s="5" t="s">
        <v>64</v>
      </c>
      <c r="J21" s="5" t="s">
        <v>65</v>
      </c>
      <c r="K21" s="5" t="s">
        <v>66</v>
      </c>
      <c r="L21" s="2" t="s">
        <v>100</v>
      </c>
      <c r="M21" s="2" t="s">
        <v>209</v>
      </c>
      <c r="N21" s="2" t="s">
        <v>184</v>
      </c>
      <c r="O21" s="2" t="s">
        <v>210</v>
      </c>
      <c r="P21" s="2"/>
      <c r="Q21" s="5" t="n">
        <v>1</v>
      </c>
      <c r="R21" s="2" t="s">
        <v>71</v>
      </c>
      <c r="S21" s="2" t="s">
        <v>229</v>
      </c>
      <c r="T21" s="2" t="s">
        <v>230</v>
      </c>
      <c r="U21" s="2" t="s">
        <v>74</v>
      </c>
      <c r="V21" s="5" t="n">
        <v>300</v>
      </c>
      <c r="W21" s="2"/>
      <c r="X21" s="2" t="s">
        <v>213</v>
      </c>
      <c r="Y21" s="5" t="s">
        <v>214</v>
      </c>
      <c r="Z21" s="2" t="s">
        <v>231</v>
      </c>
      <c r="AA21" s="6" t="s">
        <v>232</v>
      </c>
    </row>
    <row r="22" customFormat="false" ht="68.65" hidden="false" customHeight="false" outlineLevel="0" collapsed="false">
      <c r="A22" s="5" t="s">
        <v>233</v>
      </c>
      <c r="B22" s="2" t="s">
        <v>234</v>
      </c>
      <c r="C22" s="5" t="s">
        <v>59</v>
      </c>
      <c r="D22" s="5" t="s">
        <v>60</v>
      </c>
      <c r="E22" s="2" t="s">
        <v>208</v>
      </c>
      <c r="F22" s="5" t="s">
        <v>62</v>
      </c>
      <c r="G22" s="5" t="n">
        <v>8</v>
      </c>
      <c r="H22" s="5" t="s">
        <v>89</v>
      </c>
      <c r="I22" s="5" t="s">
        <v>64</v>
      </c>
      <c r="J22" s="5" t="s">
        <v>65</v>
      </c>
      <c r="K22" s="5" t="s">
        <v>66</v>
      </c>
      <c r="L22" s="2" t="s">
        <v>100</v>
      </c>
      <c r="M22" s="2" t="s">
        <v>209</v>
      </c>
      <c r="N22" s="2" t="s">
        <v>184</v>
      </c>
      <c r="O22" s="2" t="s">
        <v>210</v>
      </c>
      <c r="P22" s="2"/>
      <c r="Q22" s="5" t="n">
        <v>1</v>
      </c>
      <c r="R22" s="2" t="s">
        <v>71</v>
      </c>
      <c r="S22" s="2" t="s">
        <v>235</v>
      </c>
      <c r="T22" s="2" t="s">
        <v>230</v>
      </c>
      <c r="U22" s="2" t="s">
        <v>74</v>
      </c>
      <c r="V22" s="5" t="n">
        <v>300</v>
      </c>
      <c r="W22" s="2"/>
      <c r="X22" s="2" t="s">
        <v>213</v>
      </c>
      <c r="Y22" s="5" t="s">
        <v>214</v>
      </c>
      <c r="Z22" s="2" t="s">
        <v>236</v>
      </c>
      <c r="AA22" s="6" t="s">
        <v>237</v>
      </c>
    </row>
    <row r="23" customFormat="false" ht="57.45" hidden="false" customHeight="false" outlineLevel="0" collapsed="false">
      <c r="A23" s="5" t="s">
        <v>238</v>
      </c>
      <c r="B23" s="2" t="s">
        <v>239</v>
      </c>
      <c r="C23" s="5" t="s">
        <v>59</v>
      </c>
      <c r="D23" s="5" t="s">
        <v>60</v>
      </c>
      <c r="E23" s="2" t="s">
        <v>208</v>
      </c>
      <c r="F23" s="5" t="s">
        <v>62</v>
      </c>
      <c r="G23" s="5" t="n">
        <v>8</v>
      </c>
      <c r="H23" s="5" t="s">
        <v>89</v>
      </c>
      <c r="I23" s="5" t="s">
        <v>64</v>
      </c>
      <c r="J23" s="5" t="s">
        <v>65</v>
      </c>
      <c r="K23" s="5" t="s">
        <v>66</v>
      </c>
      <c r="L23" s="2" t="s">
        <v>100</v>
      </c>
      <c r="M23" s="2" t="s">
        <v>209</v>
      </c>
      <c r="N23" s="2" t="s">
        <v>184</v>
      </c>
      <c r="O23" s="2" t="s">
        <v>210</v>
      </c>
      <c r="P23" s="2"/>
      <c r="Q23" s="5" t="n">
        <v>1</v>
      </c>
      <c r="R23" s="2" t="s">
        <v>71</v>
      </c>
      <c r="S23" s="2" t="s">
        <v>240</v>
      </c>
      <c r="T23" s="2" t="s">
        <v>241</v>
      </c>
      <c r="U23" s="2" t="s">
        <v>74</v>
      </c>
      <c r="V23" s="5" t="n">
        <v>300</v>
      </c>
      <c r="W23" s="2"/>
      <c r="X23" s="2" t="s">
        <v>213</v>
      </c>
      <c r="Y23" s="5" t="s">
        <v>214</v>
      </c>
      <c r="Z23" s="2" t="s">
        <v>242</v>
      </c>
      <c r="AA23" s="6" t="s">
        <v>243</v>
      </c>
    </row>
    <row r="24" customFormat="false" ht="57.45" hidden="false" customHeight="false" outlineLevel="0" collapsed="false">
      <c r="A24" s="5" t="s">
        <v>244</v>
      </c>
      <c r="B24" s="2" t="s">
        <v>245</v>
      </c>
      <c r="C24" s="5" t="s">
        <v>59</v>
      </c>
      <c r="D24" s="5" t="s">
        <v>60</v>
      </c>
      <c r="E24" s="2" t="s">
        <v>208</v>
      </c>
      <c r="F24" s="5" t="s">
        <v>62</v>
      </c>
      <c r="G24" s="5" t="n">
        <v>8</v>
      </c>
      <c r="H24" s="5" t="s">
        <v>89</v>
      </c>
      <c r="I24" s="5" t="s">
        <v>64</v>
      </c>
      <c r="J24" s="5" t="s">
        <v>65</v>
      </c>
      <c r="K24" s="5" t="s">
        <v>66</v>
      </c>
      <c r="L24" s="2" t="s">
        <v>100</v>
      </c>
      <c r="M24" s="2" t="s">
        <v>209</v>
      </c>
      <c r="N24" s="2" t="s">
        <v>184</v>
      </c>
      <c r="O24" s="2" t="s">
        <v>246</v>
      </c>
      <c r="P24" s="2"/>
      <c r="Q24" s="5" t="n">
        <v>1</v>
      </c>
      <c r="R24" s="2" t="s">
        <v>71</v>
      </c>
      <c r="S24" s="2" t="s">
        <v>83</v>
      </c>
      <c r="T24" s="2" t="s">
        <v>247</v>
      </c>
      <c r="U24" s="2" t="s">
        <v>74</v>
      </c>
      <c r="V24" s="5" t="n">
        <v>300</v>
      </c>
      <c r="W24" s="2"/>
      <c r="X24" s="2" t="s">
        <v>248</v>
      </c>
      <c r="Y24" s="5" t="s">
        <v>249</v>
      </c>
      <c r="Z24" s="2" t="s">
        <v>250</v>
      </c>
      <c r="AA24" s="6" t="s">
        <v>251</v>
      </c>
    </row>
    <row r="25" customFormat="false" ht="79.85" hidden="false" customHeight="false" outlineLevel="0" collapsed="false">
      <c r="A25" s="5" t="s">
        <v>252</v>
      </c>
      <c r="B25" s="2" t="s">
        <v>253</v>
      </c>
      <c r="C25" s="5" t="s">
        <v>59</v>
      </c>
      <c r="D25" s="5" t="s">
        <v>60</v>
      </c>
      <c r="E25" s="2" t="s">
        <v>254</v>
      </c>
      <c r="F25" s="5" t="s">
        <v>62</v>
      </c>
      <c r="G25" s="5" t="n">
        <v>7</v>
      </c>
      <c r="H25" s="5" t="s">
        <v>89</v>
      </c>
      <c r="I25" s="5" t="s">
        <v>64</v>
      </c>
      <c r="J25" s="5" t="s">
        <v>65</v>
      </c>
      <c r="K25" s="5" t="s">
        <v>66</v>
      </c>
      <c r="L25" s="2" t="s">
        <v>100</v>
      </c>
      <c r="M25" s="2" t="s">
        <v>209</v>
      </c>
      <c r="N25" s="2" t="s">
        <v>255</v>
      </c>
      <c r="O25" s="2" t="s">
        <v>256</v>
      </c>
      <c r="P25" s="2"/>
      <c r="Q25" s="5" t="n">
        <v>1</v>
      </c>
      <c r="R25" s="2" t="s">
        <v>71</v>
      </c>
      <c r="S25" s="2" t="s">
        <v>257</v>
      </c>
      <c r="T25" s="2" t="s">
        <v>258</v>
      </c>
      <c r="U25" s="2" t="s">
        <v>74</v>
      </c>
      <c r="V25" s="5" t="n">
        <v>300</v>
      </c>
      <c r="W25" s="2"/>
      <c r="X25" s="2" t="s">
        <v>259</v>
      </c>
      <c r="Y25" s="5"/>
      <c r="Z25" s="2" t="s">
        <v>260</v>
      </c>
      <c r="AA25" s="6" t="s">
        <v>261</v>
      </c>
    </row>
    <row r="26" customFormat="false" ht="57.45" hidden="false" customHeight="false" outlineLevel="0" collapsed="false">
      <c r="A26" s="5" t="s">
        <v>262</v>
      </c>
      <c r="B26" s="2" t="s">
        <v>263</v>
      </c>
      <c r="C26" s="5" t="s">
        <v>59</v>
      </c>
      <c r="D26" s="5" t="s">
        <v>60</v>
      </c>
      <c r="E26" s="2" t="s">
        <v>182</v>
      </c>
      <c r="F26" s="5" t="s">
        <v>62</v>
      </c>
      <c r="G26" s="5" t="n">
        <v>9</v>
      </c>
      <c r="H26" s="5" t="s">
        <v>63</v>
      </c>
      <c r="I26" s="5" t="s">
        <v>64</v>
      </c>
      <c r="J26" s="5" t="s">
        <v>65</v>
      </c>
      <c r="K26" s="5" t="s">
        <v>66</v>
      </c>
      <c r="L26" s="2" t="s">
        <v>90</v>
      </c>
      <c r="M26" s="2" t="s">
        <v>116</v>
      </c>
      <c r="N26" s="2" t="s">
        <v>184</v>
      </c>
      <c r="O26" s="2" t="s">
        <v>210</v>
      </c>
      <c r="P26" s="2"/>
      <c r="Q26" s="5" t="n">
        <v>1</v>
      </c>
      <c r="R26" s="2" t="s">
        <v>71</v>
      </c>
      <c r="S26" s="2" t="s">
        <v>264</v>
      </c>
      <c r="T26" s="2" t="s">
        <v>230</v>
      </c>
      <c r="U26" s="2" t="s">
        <v>74</v>
      </c>
      <c r="V26" s="5" t="n">
        <v>300</v>
      </c>
      <c r="W26" s="2"/>
      <c r="X26" s="2" t="s">
        <v>213</v>
      </c>
      <c r="Y26" s="5" t="s">
        <v>214</v>
      </c>
      <c r="Z26" s="2" t="s">
        <v>265</v>
      </c>
      <c r="AA26" s="6" t="s">
        <v>266</v>
      </c>
    </row>
    <row r="27" customFormat="false" ht="68.65" hidden="false" customHeight="false" outlineLevel="0" collapsed="false">
      <c r="A27" s="5" t="s">
        <v>267</v>
      </c>
      <c r="B27" s="2" t="s">
        <v>268</v>
      </c>
      <c r="C27" s="5" t="s">
        <v>59</v>
      </c>
      <c r="D27" s="5" t="s">
        <v>60</v>
      </c>
      <c r="E27" s="2" t="s">
        <v>269</v>
      </c>
      <c r="F27" s="5" t="s">
        <v>62</v>
      </c>
      <c r="G27" s="5" t="n">
        <v>9</v>
      </c>
      <c r="H27" s="5" t="s">
        <v>63</v>
      </c>
      <c r="I27" s="5" t="s">
        <v>64</v>
      </c>
      <c r="J27" s="5" t="s">
        <v>65</v>
      </c>
      <c r="K27" s="5" t="s">
        <v>66</v>
      </c>
      <c r="L27" s="2" t="s">
        <v>90</v>
      </c>
      <c r="M27" s="2" t="s">
        <v>270</v>
      </c>
      <c r="N27" s="2" t="s">
        <v>199</v>
      </c>
      <c r="O27" s="2" t="s">
        <v>200</v>
      </c>
      <c r="P27" s="2"/>
      <c r="Q27" s="5" t="n">
        <v>1</v>
      </c>
      <c r="R27" s="2" t="s">
        <v>71</v>
      </c>
      <c r="S27" s="2" t="s">
        <v>271</v>
      </c>
      <c r="T27" s="2" t="s">
        <v>166</v>
      </c>
      <c r="U27" s="2" t="s">
        <v>74</v>
      </c>
      <c r="V27" s="5" t="n">
        <v>300</v>
      </c>
      <c r="W27" s="2"/>
      <c r="X27" s="2" t="s">
        <v>202</v>
      </c>
      <c r="Y27" s="5" t="s">
        <v>203</v>
      </c>
      <c r="Z27" s="2" t="s">
        <v>272</v>
      </c>
      <c r="AA27" s="6" t="s">
        <v>273</v>
      </c>
    </row>
    <row r="28" customFormat="false" ht="68.65" hidden="false" customHeight="false" outlineLevel="0" collapsed="false">
      <c r="A28" s="5" t="s">
        <v>274</v>
      </c>
      <c r="B28" s="2" t="s">
        <v>275</v>
      </c>
      <c r="C28" s="5" t="s">
        <v>59</v>
      </c>
      <c r="D28" s="5" t="s">
        <v>60</v>
      </c>
      <c r="E28" s="2" t="s">
        <v>276</v>
      </c>
      <c r="F28" s="5" t="s">
        <v>62</v>
      </c>
      <c r="G28" s="5" t="n">
        <v>9</v>
      </c>
      <c r="H28" s="5" t="s">
        <v>63</v>
      </c>
      <c r="I28" s="5" t="s">
        <v>64</v>
      </c>
      <c r="J28" s="5" t="s">
        <v>65</v>
      </c>
      <c r="K28" s="5" t="s">
        <v>66</v>
      </c>
      <c r="L28" s="2" t="s">
        <v>277</v>
      </c>
      <c r="M28" s="2" t="s">
        <v>278</v>
      </c>
      <c r="N28" s="2" t="s">
        <v>199</v>
      </c>
      <c r="O28" s="2" t="s">
        <v>200</v>
      </c>
      <c r="P28" s="2"/>
      <c r="Q28" s="5" t="n">
        <v>1</v>
      </c>
      <c r="R28" s="2" t="s">
        <v>71</v>
      </c>
      <c r="S28" s="2" t="s">
        <v>279</v>
      </c>
      <c r="T28" s="2" t="s">
        <v>166</v>
      </c>
      <c r="U28" s="2" t="s">
        <v>74</v>
      </c>
      <c r="V28" s="5" t="n">
        <v>300</v>
      </c>
      <c r="W28" s="2"/>
      <c r="X28" s="2" t="s">
        <v>202</v>
      </c>
      <c r="Y28" s="5" t="s">
        <v>203</v>
      </c>
      <c r="Z28" s="2" t="s">
        <v>280</v>
      </c>
      <c r="AA28" s="6" t="s">
        <v>281</v>
      </c>
    </row>
    <row r="29" customFormat="false" ht="79.85" hidden="false" customHeight="false" outlineLevel="0" collapsed="false">
      <c r="A29" s="5" t="s">
        <v>282</v>
      </c>
      <c r="B29" s="2" t="s">
        <v>283</v>
      </c>
      <c r="C29" s="5" t="s">
        <v>59</v>
      </c>
      <c r="D29" s="5" t="s">
        <v>60</v>
      </c>
      <c r="E29" s="2" t="s">
        <v>197</v>
      </c>
      <c r="F29" s="5" t="s">
        <v>62</v>
      </c>
      <c r="G29" s="5" t="n">
        <v>9</v>
      </c>
      <c r="H29" s="5" t="s">
        <v>63</v>
      </c>
      <c r="I29" s="5" t="s">
        <v>64</v>
      </c>
      <c r="J29" s="5" t="s">
        <v>65</v>
      </c>
      <c r="K29" s="5" t="s">
        <v>66</v>
      </c>
      <c r="L29" s="2" t="s">
        <v>284</v>
      </c>
      <c r="M29" s="2" t="s">
        <v>285</v>
      </c>
      <c r="N29" s="2" t="s">
        <v>184</v>
      </c>
      <c r="O29" s="2" t="s">
        <v>286</v>
      </c>
      <c r="P29" s="2"/>
      <c r="Q29" s="5" t="n">
        <v>1</v>
      </c>
      <c r="R29" s="2" t="s">
        <v>71</v>
      </c>
      <c r="S29" s="2" t="s">
        <v>83</v>
      </c>
      <c r="T29" s="2" t="s">
        <v>247</v>
      </c>
      <c r="U29" s="2" t="s">
        <v>74</v>
      </c>
      <c r="V29" s="5" t="n">
        <v>300</v>
      </c>
      <c r="W29" s="2"/>
      <c r="X29" s="2" t="s">
        <v>287</v>
      </c>
      <c r="Y29" s="5" t="s">
        <v>249</v>
      </c>
      <c r="Z29" s="2" t="s">
        <v>288</v>
      </c>
      <c r="AA29" s="6" t="s">
        <v>289</v>
      </c>
    </row>
    <row r="30" customFormat="false" ht="57.45" hidden="false" customHeight="false" outlineLevel="0" collapsed="false">
      <c r="A30" s="5" t="s">
        <v>290</v>
      </c>
      <c r="B30" s="2" t="s">
        <v>291</v>
      </c>
      <c r="C30" s="5" t="s">
        <v>59</v>
      </c>
      <c r="D30" s="5" t="s">
        <v>60</v>
      </c>
      <c r="E30" s="2" t="s">
        <v>208</v>
      </c>
      <c r="F30" s="5" t="s">
        <v>62</v>
      </c>
      <c r="G30" s="5" t="n">
        <v>8</v>
      </c>
      <c r="H30" s="5" t="s">
        <v>89</v>
      </c>
      <c r="I30" s="5" t="s">
        <v>64</v>
      </c>
      <c r="J30" s="5" t="s">
        <v>65</v>
      </c>
      <c r="K30" s="5" t="s">
        <v>66</v>
      </c>
      <c r="L30" s="2" t="s">
        <v>100</v>
      </c>
      <c r="M30" s="2" t="s">
        <v>209</v>
      </c>
      <c r="N30" s="2" t="s">
        <v>184</v>
      </c>
      <c r="O30" s="2" t="s">
        <v>210</v>
      </c>
      <c r="P30" s="2"/>
      <c r="Q30" s="5" t="n">
        <v>1</v>
      </c>
      <c r="R30" s="2" t="s">
        <v>71</v>
      </c>
      <c r="S30" s="2" t="s">
        <v>292</v>
      </c>
      <c r="T30" s="2" t="s">
        <v>293</v>
      </c>
      <c r="U30" s="2" t="s">
        <v>74</v>
      </c>
      <c r="V30" s="5" t="n">
        <v>300</v>
      </c>
      <c r="W30" s="2"/>
      <c r="X30" s="2" t="s">
        <v>213</v>
      </c>
      <c r="Y30" s="5" t="s">
        <v>214</v>
      </c>
      <c r="Z30" s="2" t="s">
        <v>294</v>
      </c>
      <c r="AA30" s="6" t="s">
        <v>295</v>
      </c>
    </row>
    <row r="31" customFormat="false" ht="68.65" hidden="false" customHeight="false" outlineLevel="0" collapsed="false">
      <c r="A31" s="5" t="s">
        <v>296</v>
      </c>
      <c r="B31" s="2" t="s">
        <v>297</v>
      </c>
      <c r="C31" s="5" t="s">
        <v>59</v>
      </c>
      <c r="D31" s="5" t="s">
        <v>60</v>
      </c>
      <c r="E31" s="2" t="s">
        <v>208</v>
      </c>
      <c r="F31" s="5" t="s">
        <v>62</v>
      </c>
      <c r="G31" s="5" t="n">
        <v>9</v>
      </c>
      <c r="H31" s="5" t="s">
        <v>63</v>
      </c>
      <c r="I31" s="5" t="s">
        <v>64</v>
      </c>
      <c r="J31" s="5" t="s">
        <v>65</v>
      </c>
      <c r="K31" s="5" t="s">
        <v>66</v>
      </c>
      <c r="L31" s="2" t="s">
        <v>100</v>
      </c>
      <c r="M31" s="2" t="s">
        <v>209</v>
      </c>
      <c r="N31" s="2" t="s">
        <v>199</v>
      </c>
      <c r="O31" s="2" t="s">
        <v>200</v>
      </c>
      <c r="P31" s="2"/>
      <c r="Q31" s="5" t="n">
        <v>1</v>
      </c>
      <c r="R31" s="2" t="s">
        <v>71</v>
      </c>
      <c r="S31" s="2" t="s">
        <v>298</v>
      </c>
      <c r="T31" s="2" t="s">
        <v>166</v>
      </c>
      <c r="U31" s="2" t="s">
        <v>74</v>
      </c>
      <c r="V31" s="5" t="n">
        <v>300</v>
      </c>
      <c r="W31" s="2"/>
      <c r="X31" s="2" t="s">
        <v>202</v>
      </c>
      <c r="Y31" s="5" t="s">
        <v>203</v>
      </c>
      <c r="Z31" s="2" t="s">
        <v>299</v>
      </c>
      <c r="AA31" s="6" t="s">
        <v>300</v>
      </c>
    </row>
    <row r="32" customFormat="false" ht="46.25" hidden="false" customHeight="false" outlineLevel="0" collapsed="false">
      <c r="A32" s="5" t="s">
        <v>301</v>
      </c>
      <c r="B32" s="2" t="s">
        <v>302</v>
      </c>
      <c r="C32" s="5" t="s">
        <v>59</v>
      </c>
      <c r="D32" s="5" t="s">
        <v>60</v>
      </c>
      <c r="E32" s="2" t="s">
        <v>303</v>
      </c>
      <c r="F32" s="5" t="s">
        <v>62</v>
      </c>
      <c r="G32" s="5" t="n">
        <v>9</v>
      </c>
      <c r="H32" s="5" t="s">
        <v>63</v>
      </c>
      <c r="I32" s="5" t="s">
        <v>64</v>
      </c>
      <c r="J32" s="5" t="s">
        <v>65</v>
      </c>
      <c r="K32" s="5" t="s">
        <v>66</v>
      </c>
      <c r="L32" s="2" t="s">
        <v>100</v>
      </c>
      <c r="M32" s="2" t="s">
        <v>304</v>
      </c>
      <c r="N32" s="2" t="s">
        <v>305</v>
      </c>
      <c r="O32" s="2" t="s">
        <v>306</v>
      </c>
      <c r="P32" s="2"/>
      <c r="Q32" s="5" t="n">
        <v>1</v>
      </c>
      <c r="R32" s="2" t="s">
        <v>71</v>
      </c>
      <c r="S32" s="2" t="s">
        <v>307</v>
      </c>
      <c r="T32" s="2" t="s">
        <v>166</v>
      </c>
      <c r="U32" s="2" t="s">
        <v>74</v>
      </c>
      <c r="V32" s="5" t="n">
        <v>300</v>
      </c>
      <c r="W32" s="2"/>
      <c r="X32" s="2" t="s">
        <v>308</v>
      </c>
      <c r="Y32" s="5" t="s">
        <v>309</v>
      </c>
      <c r="Z32" s="2" t="s">
        <v>310</v>
      </c>
      <c r="AA32" s="6" t="s">
        <v>311</v>
      </c>
    </row>
    <row r="33" customFormat="false" ht="46.25" hidden="false" customHeight="false" outlineLevel="0" collapsed="false">
      <c r="A33" s="5" t="s">
        <v>312</v>
      </c>
      <c r="B33" s="2" t="s">
        <v>313</v>
      </c>
      <c r="C33" s="5" t="s">
        <v>59</v>
      </c>
      <c r="D33" s="5" t="s">
        <v>60</v>
      </c>
      <c r="E33" s="2" t="s">
        <v>276</v>
      </c>
      <c r="F33" s="5" t="s">
        <v>62</v>
      </c>
      <c r="G33" s="5" t="n">
        <v>9</v>
      </c>
      <c r="H33" s="5" t="s">
        <v>63</v>
      </c>
      <c r="I33" s="5" t="s">
        <v>64</v>
      </c>
      <c r="J33" s="5" t="s">
        <v>65</v>
      </c>
      <c r="K33" s="5" t="s">
        <v>66</v>
      </c>
      <c r="L33" s="2" t="s">
        <v>277</v>
      </c>
      <c r="M33" s="2" t="s">
        <v>314</v>
      </c>
      <c r="N33" s="2" t="s">
        <v>184</v>
      </c>
      <c r="O33" s="2" t="s">
        <v>315</v>
      </c>
      <c r="P33" s="2"/>
      <c r="Q33" s="5" t="n">
        <v>1</v>
      </c>
      <c r="R33" s="2" t="s">
        <v>71</v>
      </c>
      <c r="S33" s="2" t="s">
        <v>316</v>
      </c>
      <c r="T33" s="2" t="s">
        <v>317</v>
      </c>
      <c r="U33" s="2" t="s">
        <v>74</v>
      </c>
      <c r="V33" s="5" t="n">
        <v>300</v>
      </c>
      <c r="W33" s="2"/>
      <c r="X33" s="2" t="s">
        <v>318</v>
      </c>
      <c r="Y33" s="5" t="s">
        <v>214</v>
      </c>
      <c r="Z33" s="2" t="s">
        <v>319</v>
      </c>
      <c r="AA33" s="6" t="s">
        <v>320</v>
      </c>
    </row>
    <row r="34" customFormat="false" ht="57.45" hidden="false" customHeight="false" outlineLevel="0" collapsed="false">
      <c r="A34" s="5" t="s">
        <v>321</v>
      </c>
      <c r="B34" s="2" t="s">
        <v>322</v>
      </c>
      <c r="C34" s="5" t="s">
        <v>59</v>
      </c>
      <c r="D34" s="5" t="s">
        <v>60</v>
      </c>
      <c r="E34" s="2" t="s">
        <v>208</v>
      </c>
      <c r="F34" s="5" t="s">
        <v>62</v>
      </c>
      <c r="G34" s="5" t="n">
        <v>9</v>
      </c>
      <c r="H34" s="5" t="s">
        <v>63</v>
      </c>
      <c r="I34" s="5" t="s">
        <v>64</v>
      </c>
      <c r="J34" s="5" t="s">
        <v>65</v>
      </c>
      <c r="K34" s="5" t="s">
        <v>66</v>
      </c>
      <c r="L34" s="2" t="s">
        <v>100</v>
      </c>
      <c r="M34" s="2" t="s">
        <v>209</v>
      </c>
      <c r="N34" s="2" t="s">
        <v>184</v>
      </c>
      <c r="O34" s="2" t="s">
        <v>210</v>
      </c>
      <c r="P34" s="2"/>
      <c r="Q34" s="5" t="n">
        <v>1</v>
      </c>
      <c r="R34" s="2" t="s">
        <v>71</v>
      </c>
      <c r="S34" s="2" t="s">
        <v>323</v>
      </c>
      <c r="T34" s="2" t="s">
        <v>230</v>
      </c>
      <c r="U34" s="2" t="s">
        <v>74</v>
      </c>
      <c r="V34" s="5" t="n">
        <v>300</v>
      </c>
      <c r="W34" s="2"/>
      <c r="X34" s="2" t="s">
        <v>213</v>
      </c>
      <c r="Y34" s="5" t="s">
        <v>214</v>
      </c>
      <c r="Z34" s="2" t="s">
        <v>324</v>
      </c>
      <c r="AA34" s="6" t="s">
        <v>325</v>
      </c>
    </row>
    <row r="35" customFormat="false" ht="68.65" hidden="false" customHeight="false" outlineLevel="0" collapsed="false">
      <c r="A35" s="5" t="s">
        <v>326</v>
      </c>
      <c r="B35" s="2" t="s">
        <v>327</v>
      </c>
      <c r="C35" s="5" t="s">
        <v>59</v>
      </c>
      <c r="D35" s="5" t="s">
        <v>60</v>
      </c>
      <c r="E35" s="2" t="s">
        <v>208</v>
      </c>
      <c r="F35" s="5" t="s">
        <v>62</v>
      </c>
      <c r="G35" s="5" t="n">
        <v>9</v>
      </c>
      <c r="H35" s="5" t="s">
        <v>63</v>
      </c>
      <c r="I35" s="5" t="s">
        <v>64</v>
      </c>
      <c r="J35" s="5" t="s">
        <v>65</v>
      </c>
      <c r="K35" s="5" t="s">
        <v>66</v>
      </c>
      <c r="L35" s="2" t="s">
        <v>100</v>
      </c>
      <c r="M35" s="2" t="s">
        <v>209</v>
      </c>
      <c r="N35" s="2" t="s">
        <v>184</v>
      </c>
      <c r="O35" s="2" t="s">
        <v>210</v>
      </c>
      <c r="P35" s="2"/>
      <c r="Q35" s="5" t="n">
        <v>1</v>
      </c>
      <c r="R35" s="2" t="s">
        <v>71</v>
      </c>
      <c r="S35" s="2" t="s">
        <v>328</v>
      </c>
      <c r="T35" s="2" t="s">
        <v>293</v>
      </c>
      <c r="U35" s="2" t="s">
        <v>74</v>
      </c>
      <c r="V35" s="5" t="n">
        <v>300</v>
      </c>
      <c r="W35" s="2"/>
      <c r="X35" s="2" t="s">
        <v>213</v>
      </c>
      <c r="Y35" s="5" t="s">
        <v>214</v>
      </c>
      <c r="Z35" s="2" t="s">
        <v>329</v>
      </c>
      <c r="AA35" s="6" t="s">
        <v>330</v>
      </c>
    </row>
    <row r="36" customFormat="false" ht="68.65" hidden="false" customHeight="false" outlineLevel="0" collapsed="false">
      <c r="A36" s="5" t="s">
        <v>331</v>
      </c>
      <c r="B36" s="2" t="s">
        <v>332</v>
      </c>
      <c r="C36" s="5" t="s">
        <v>59</v>
      </c>
      <c r="D36" s="5" t="s">
        <v>60</v>
      </c>
      <c r="E36" s="2" t="s">
        <v>333</v>
      </c>
      <c r="F36" s="5" t="s">
        <v>62</v>
      </c>
      <c r="G36" s="5" t="n">
        <v>10</v>
      </c>
      <c r="H36" s="5" t="s">
        <v>63</v>
      </c>
      <c r="I36" s="5" t="s">
        <v>64</v>
      </c>
      <c r="J36" s="5" t="s">
        <v>65</v>
      </c>
      <c r="K36" s="5" t="s">
        <v>66</v>
      </c>
      <c r="L36" s="2" t="s">
        <v>100</v>
      </c>
      <c r="M36" s="2" t="s">
        <v>209</v>
      </c>
      <c r="N36" s="2" t="s">
        <v>199</v>
      </c>
      <c r="O36" s="2" t="s">
        <v>200</v>
      </c>
      <c r="P36" s="2"/>
      <c r="Q36" s="5" t="n">
        <v>1</v>
      </c>
      <c r="R36" s="2" t="s">
        <v>71</v>
      </c>
      <c r="S36" s="2" t="s">
        <v>334</v>
      </c>
      <c r="T36" s="2" t="s">
        <v>166</v>
      </c>
      <c r="U36" s="2" t="s">
        <v>74</v>
      </c>
      <c r="V36" s="5" t="n">
        <v>300</v>
      </c>
      <c r="W36" s="2"/>
      <c r="X36" s="2" t="s">
        <v>202</v>
      </c>
      <c r="Y36" s="5" t="s">
        <v>203</v>
      </c>
      <c r="Z36" s="2" t="s">
        <v>335</v>
      </c>
      <c r="AA36" s="6" t="s">
        <v>336</v>
      </c>
    </row>
    <row r="37" customFormat="false" ht="91" hidden="false" customHeight="false" outlineLevel="0" collapsed="false">
      <c r="A37" s="5" t="s">
        <v>337</v>
      </c>
      <c r="B37" s="2" t="s">
        <v>338</v>
      </c>
      <c r="C37" s="5" t="s">
        <v>59</v>
      </c>
      <c r="D37" s="5" t="s">
        <v>60</v>
      </c>
      <c r="E37" s="2" t="s">
        <v>339</v>
      </c>
      <c r="F37" s="5" t="s">
        <v>62</v>
      </c>
      <c r="G37" s="5" t="n">
        <v>7</v>
      </c>
      <c r="H37" s="5" t="s">
        <v>89</v>
      </c>
      <c r="I37" s="5" t="s">
        <v>64</v>
      </c>
      <c r="J37" s="5" t="s">
        <v>65</v>
      </c>
      <c r="K37" s="5" t="s">
        <v>66</v>
      </c>
      <c r="L37" s="2" t="s">
        <v>100</v>
      </c>
      <c r="M37" s="2" t="s">
        <v>340</v>
      </c>
      <c r="N37" s="2" t="s">
        <v>184</v>
      </c>
      <c r="O37" s="2" t="s">
        <v>341</v>
      </c>
      <c r="P37" s="2"/>
      <c r="Q37" s="5" t="n">
        <v>1</v>
      </c>
      <c r="R37" s="2" t="s">
        <v>71</v>
      </c>
      <c r="S37" s="2" t="s">
        <v>342</v>
      </c>
      <c r="T37" s="2" t="s">
        <v>343</v>
      </c>
      <c r="U37" s="2" t="s">
        <v>344</v>
      </c>
      <c r="V37" s="5" t="n">
        <v>600</v>
      </c>
      <c r="W37" s="2"/>
      <c r="X37" s="2" t="s">
        <v>345</v>
      </c>
      <c r="Y37" s="5" t="s">
        <v>346</v>
      </c>
      <c r="Z37" s="2" t="s">
        <v>347</v>
      </c>
      <c r="AA37" s="6" t="s">
        <v>348</v>
      </c>
    </row>
    <row r="38" customFormat="false" ht="79.85" hidden="false" customHeight="false" outlineLevel="0" collapsed="false">
      <c r="A38" s="5" t="s">
        <v>349</v>
      </c>
      <c r="B38" s="2" t="s">
        <v>350</v>
      </c>
      <c r="C38" s="5" t="s">
        <v>59</v>
      </c>
      <c r="D38" s="5" t="s">
        <v>60</v>
      </c>
      <c r="E38" s="2" t="s">
        <v>351</v>
      </c>
      <c r="F38" s="5" t="s">
        <v>62</v>
      </c>
      <c r="G38" s="5" t="n">
        <v>10</v>
      </c>
      <c r="H38" s="5" t="s">
        <v>63</v>
      </c>
      <c r="I38" s="5" t="s">
        <v>64</v>
      </c>
      <c r="J38" s="5" t="s">
        <v>65</v>
      </c>
      <c r="K38" s="5" t="s">
        <v>66</v>
      </c>
      <c r="L38" s="2" t="s">
        <v>100</v>
      </c>
      <c r="M38" s="2" t="s">
        <v>352</v>
      </c>
      <c r="N38" s="2" t="s">
        <v>184</v>
      </c>
      <c r="O38" s="2" t="s">
        <v>353</v>
      </c>
      <c r="P38" s="2"/>
      <c r="Q38" s="5" t="n">
        <v>1</v>
      </c>
      <c r="R38" s="2" t="s">
        <v>71</v>
      </c>
      <c r="S38" s="2" t="s">
        <v>354</v>
      </c>
      <c r="T38" s="2" t="s">
        <v>355</v>
      </c>
      <c r="U38" s="2" t="s">
        <v>74</v>
      </c>
      <c r="V38" s="5" t="n">
        <v>300</v>
      </c>
      <c r="W38" s="2"/>
      <c r="X38" s="2" t="s">
        <v>356</v>
      </c>
      <c r="Y38" s="5" t="s">
        <v>192</v>
      </c>
      <c r="Z38" s="2" t="s">
        <v>357</v>
      </c>
      <c r="AA38" s="6" t="s">
        <v>358</v>
      </c>
    </row>
    <row r="39" customFormat="false" ht="68.65" hidden="false" customHeight="false" outlineLevel="0" collapsed="false">
      <c r="A39" s="5" t="s">
        <v>359</v>
      </c>
      <c r="B39" s="2" t="s">
        <v>360</v>
      </c>
      <c r="C39" s="5" t="s">
        <v>59</v>
      </c>
      <c r="D39" s="5" t="s">
        <v>60</v>
      </c>
      <c r="E39" s="2" t="s">
        <v>303</v>
      </c>
      <c r="F39" s="5" t="s">
        <v>62</v>
      </c>
      <c r="G39" s="5" t="n">
        <v>9</v>
      </c>
      <c r="H39" s="5" t="s">
        <v>63</v>
      </c>
      <c r="I39" s="5" t="s">
        <v>64</v>
      </c>
      <c r="J39" s="5" t="s">
        <v>65</v>
      </c>
      <c r="K39" s="5" t="s">
        <v>66</v>
      </c>
      <c r="L39" s="2" t="s">
        <v>100</v>
      </c>
      <c r="M39" s="2" t="s">
        <v>361</v>
      </c>
      <c r="N39" s="2" t="s">
        <v>199</v>
      </c>
      <c r="O39" s="2" t="s">
        <v>200</v>
      </c>
      <c r="P39" s="2"/>
      <c r="Q39" s="5" t="n">
        <v>1</v>
      </c>
      <c r="R39" s="2" t="s">
        <v>71</v>
      </c>
      <c r="S39" s="2" t="s">
        <v>362</v>
      </c>
      <c r="T39" s="2" t="s">
        <v>166</v>
      </c>
      <c r="U39" s="2" t="s">
        <v>74</v>
      </c>
      <c r="V39" s="5" t="n">
        <v>300</v>
      </c>
      <c r="W39" s="2"/>
      <c r="X39" s="2" t="s">
        <v>202</v>
      </c>
      <c r="Y39" s="5" t="s">
        <v>203</v>
      </c>
      <c r="Z39" s="2" t="s">
        <v>363</v>
      </c>
      <c r="AA39" s="6" t="s">
        <v>364</v>
      </c>
    </row>
    <row r="40" customFormat="false" ht="57.45" hidden="false" customHeight="false" outlineLevel="0" collapsed="false">
      <c r="A40" s="5" t="s">
        <v>365</v>
      </c>
      <c r="B40" s="2" t="s">
        <v>366</v>
      </c>
      <c r="C40" s="5" t="s">
        <v>59</v>
      </c>
      <c r="D40" s="5" t="s">
        <v>60</v>
      </c>
      <c r="E40" s="2" t="s">
        <v>100</v>
      </c>
      <c r="F40" s="5" t="s">
        <v>62</v>
      </c>
      <c r="G40" s="5" t="n">
        <v>9</v>
      </c>
      <c r="H40" s="5" t="s">
        <v>63</v>
      </c>
      <c r="I40" s="5" t="s">
        <v>64</v>
      </c>
      <c r="J40" s="5" t="s">
        <v>65</v>
      </c>
      <c r="K40" s="5" t="s">
        <v>66</v>
      </c>
      <c r="L40" s="2" t="s">
        <v>100</v>
      </c>
      <c r="M40" s="2" t="s">
        <v>304</v>
      </c>
      <c r="N40" s="2" t="s">
        <v>367</v>
      </c>
      <c r="O40" s="2" t="s">
        <v>368</v>
      </c>
      <c r="P40" s="2"/>
      <c r="Q40" s="5" t="n">
        <v>1</v>
      </c>
      <c r="R40" s="2" t="s">
        <v>71</v>
      </c>
      <c r="S40" s="2" t="s">
        <v>369</v>
      </c>
      <c r="T40" s="2" t="s">
        <v>370</v>
      </c>
      <c r="U40" s="2" t="s">
        <v>74</v>
      </c>
      <c r="V40" s="5" t="n">
        <v>300</v>
      </c>
      <c r="W40" s="2"/>
      <c r="X40" s="2" t="s">
        <v>371</v>
      </c>
      <c r="Y40" s="5" t="s">
        <v>372</v>
      </c>
      <c r="Z40" s="2" t="s">
        <v>373</v>
      </c>
      <c r="AA40" s="6" t="s">
        <v>374</v>
      </c>
    </row>
    <row r="41" customFormat="false" ht="91" hidden="false" customHeight="false" outlineLevel="0" collapsed="false">
      <c r="A41" s="5" t="s">
        <v>375</v>
      </c>
      <c r="B41" s="2" t="s">
        <v>376</v>
      </c>
      <c r="C41" s="5" t="s">
        <v>59</v>
      </c>
      <c r="D41" s="5" t="s">
        <v>60</v>
      </c>
      <c r="E41" s="2" t="s">
        <v>182</v>
      </c>
      <c r="F41" s="5" t="s">
        <v>62</v>
      </c>
      <c r="G41" s="5" t="n">
        <v>7</v>
      </c>
      <c r="H41" s="5" t="s">
        <v>89</v>
      </c>
      <c r="I41" s="5" t="s">
        <v>64</v>
      </c>
      <c r="J41" s="5" t="s">
        <v>65</v>
      </c>
      <c r="K41" s="5" t="s">
        <v>66</v>
      </c>
      <c r="L41" s="2" t="s">
        <v>90</v>
      </c>
      <c r="M41" s="2" t="s">
        <v>91</v>
      </c>
      <c r="N41" s="2" t="s">
        <v>184</v>
      </c>
      <c r="O41" s="2" t="s">
        <v>377</v>
      </c>
      <c r="P41" s="2"/>
      <c r="Q41" s="5" t="n">
        <v>1</v>
      </c>
      <c r="R41" s="2" t="s">
        <v>71</v>
      </c>
      <c r="S41" s="2" t="s">
        <v>83</v>
      </c>
      <c r="T41" s="2" t="s">
        <v>378</v>
      </c>
      <c r="U41" s="2" t="s">
        <v>379</v>
      </c>
      <c r="V41" s="5" t="n">
        <v>600</v>
      </c>
      <c r="W41" s="2"/>
      <c r="X41" s="2" t="s">
        <v>380</v>
      </c>
      <c r="Y41" s="5" t="s">
        <v>192</v>
      </c>
      <c r="Z41" s="2" t="s">
        <v>381</v>
      </c>
      <c r="AA41" s="6" t="s">
        <v>382</v>
      </c>
    </row>
    <row r="42" customFormat="false" ht="79.85" hidden="false" customHeight="false" outlineLevel="0" collapsed="false">
      <c r="A42" s="5" t="s">
        <v>383</v>
      </c>
      <c r="B42" s="2" t="s">
        <v>384</v>
      </c>
      <c r="C42" s="5" t="s">
        <v>59</v>
      </c>
      <c r="D42" s="5" t="s">
        <v>60</v>
      </c>
      <c r="E42" s="2" t="s">
        <v>182</v>
      </c>
      <c r="F42" s="5" t="s">
        <v>62</v>
      </c>
      <c r="G42" s="5" t="n">
        <v>7</v>
      </c>
      <c r="H42" s="5" t="s">
        <v>89</v>
      </c>
      <c r="I42" s="5" t="s">
        <v>64</v>
      </c>
      <c r="J42" s="5" t="s">
        <v>65</v>
      </c>
      <c r="K42" s="5" t="s">
        <v>66</v>
      </c>
      <c r="L42" s="2" t="s">
        <v>90</v>
      </c>
      <c r="M42" s="2" t="s">
        <v>163</v>
      </c>
      <c r="N42" s="2" t="s">
        <v>184</v>
      </c>
      <c r="O42" s="2" t="s">
        <v>385</v>
      </c>
      <c r="P42" s="2"/>
      <c r="Q42" s="5" t="n">
        <v>1</v>
      </c>
      <c r="R42" s="2" t="s">
        <v>71</v>
      </c>
      <c r="S42" s="2" t="s">
        <v>83</v>
      </c>
      <c r="T42" s="2" t="s">
        <v>378</v>
      </c>
      <c r="U42" s="2" t="s">
        <v>379</v>
      </c>
      <c r="V42" s="5" t="n">
        <v>600</v>
      </c>
      <c r="W42" s="2"/>
      <c r="X42" s="2" t="s">
        <v>386</v>
      </c>
      <c r="Y42" s="5" t="s">
        <v>192</v>
      </c>
      <c r="Z42" s="2" t="s">
        <v>387</v>
      </c>
      <c r="AA42" s="6" t="s">
        <v>388</v>
      </c>
    </row>
    <row r="43" customFormat="false" ht="91" hidden="false" customHeight="false" outlineLevel="0" collapsed="false">
      <c r="A43" s="5" t="s">
        <v>389</v>
      </c>
      <c r="B43" s="2" t="s">
        <v>390</v>
      </c>
      <c r="C43" s="5" t="s">
        <v>59</v>
      </c>
      <c r="D43" s="5" t="s">
        <v>60</v>
      </c>
      <c r="E43" s="2" t="s">
        <v>182</v>
      </c>
      <c r="F43" s="5" t="s">
        <v>62</v>
      </c>
      <c r="G43" s="5" t="n">
        <v>7</v>
      </c>
      <c r="H43" s="5" t="s">
        <v>89</v>
      </c>
      <c r="I43" s="5" t="s">
        <v>64</v>
      </c>
      <c r="J43" s="5" t="s">
        <v>65</v>
      </c>
      <c r="K43" s="5" t="s">
        <v>66</v>
      </c>
      <c r="L43" s="2" t="s">
        <v>90</v>
      </c>
      <c r="M43" s="2" t="s">
        <v>91</v>
      </c>
      <c r="N43" s="2" t="s">
        <v>184</v>
      </c>
      <c r="O43" s="2" t="s">
        <v>391</v>
      </c>
      <c r="P43" s="2"/>
      <c r="Q43" s="5" t="n">
        <v>1</v>
      </c>
      <c r="R43" s="2" t="s">
        <v>71</v>
      </c>
      <c r="S43" s="2" t="s">
        <v>83</v>
      </c>
      <c r="T43" s="2" t="s">
        <v>378</v>
      </c>
      <c r="U43" s="2" t="s">
        <v>379</v>
      </c>
      <c r="V43" s="5" t="n">
        <v>600</v>
      </c>
      <c r="W43" s="2"/>
      <c r="X43" s="2" t="s">
        <v>392</v>
      </c>
      <c r="Y43" s="5" t="s">
        <v>192</v>
      </c>
      <c r="Z43" s="2" t="s">
        <v>393</v>
      </c>
      <c r="AA43" s="6" t="s">
        <v>394</v>
      </c>
    </row>
    <row r="44" customFormat="false" ht="68.65" hidden="false" customHeight="false" outlineLevel="0" collapsed="false">
      <c r="A44" s="5" t="s">
        <v>395</v>
      </c>
      <c r="B44" s="2" t="s">
        <v>396</v>
      </c>
      <c r="C44" s="5" t="s">
        <v>59</v>
      </c>
      <c r="D44" s="5" t="s">
        <v>60</v>
      </c>
      <c r="E44" s="2" t="s">
        <v>397</v>
      </c>
      <c r="F44" s="5" t="s">
        <v>62</v>
      </c>
      <c r="G44" s="5" t="n">
        <v>9</v>
      </c>
      <c r="H44" s="5" t="s">
        <v>63</v>
      </c>
      <c r="I44" s="5" t="s">
        <v>64</v>
      </c>
      <c r="J44" s="5" t="s">
        <v>65</v>
      </c>
      <c r="K44" s="5" t="s">
        <v>66</v>
      </c>
      <c r="L44" s="2" t="s">
        <v>100</v>
      </c>
      <c r="M44" s="2" t="s">
        <v>304</v>
      </c>
      <c r="N44" s="2" t="s">
        <v>199</v>
      </c>
      <c r="O44" s="2" t="s">
        <v>200</v>
      </c>
      <c r="P44" s="2"/>
      <c r="Q44" s="5" t="n">
        <v>1</v>
      </c>
      <c r="R44" s="2" t="s">
        <v>71</v>
      </c>
      <c r="S44" s="2" t="s">
        <v>398</v>
      </c>
      <c r="T44" s="2" t="s">
        <v>166</v>
      </c>
      <c r="U44" s="2" t="s">
        <v>74</v>
      </c>
      <c r="V44" s="5" t="n">
        <v>300</v>
      </c>
      <c r="W44" s="2"/>
      <c r="X44" s="2" t="s">
        <v>202</v>
      </c>
      <c r="Y44" s="5" t="s">
        <v>203</v>
      </c>
      <c r="Z44" s="2" t="s">
        <v>399</v>
      </c>
      <c r="AA44" s="6" t="s">
        <v>400</v>
      </c>
    </row>
    <row r="45" customFormat="false" ht="68.65" hidden="false" customHeight="false" outlineLevel="0" collapsed="false">
      <c r="A45" s="5" t="s">
        <v>401</v>
      </c>
      <c r="B45" s="2" t="s">
        <v>402</v>
      </c>
      <c r="C45" s="5" t="s">
        <v>59</v>
      </c>
      <c r="D45" s="5" t="s">
        <v>60</v>
      </c>
      <c r="E45" s="2" t="s">
        <v>397</v>
      </c>
      <c r="F45" s="5" t="s">
        <v>62</v>
      </c>
      <c r="G45" s="5" t="n">
        <v>9</v>
      </c>
      <c r="H45" s="5" t="s">
        <v>63</v>
      </c>
      <c r="I45" s="5" t="s">
        <v>64</v>
      </c>
      <c r="J45" s="5" t="s">
        <v>65</v>
      </c>
      <c r="K45" s="5" t="s">
        <v>66</v>
      </c>
      <c r="L45" s="2" t="s">
        <v>100</v>
      </c>
      <c r="M45" s="2" t="s">
        <v>304</v>
      </c>
      <c r="N45" s="2" t="s">
        <v>199</v>
      </c>
      <c r="O45" s="2" t="s">
        <v>200</v>
      </c>
      <c r="P45" s="2"/>
      <c r="Q45" s="5" t="n">
        <v>1</v>
      </c>
      <c r="R45" s="2" t="s">
        <v>71</v>
      </c>
      <c r="S45" s="2" t="s">
        <v>403</v>
      </c>
      <c r="T45" s="2" t="s">
        <v>166</v>
      </c>
      <c r="U45" s="2" t="s">
        <v>74</v>
      </c>
      <c r="V45" s="5" t="n">
        <v>300</v>
      </c>
      <c r="W45" s="2"/>
      <c r="X45" s="2" t="s">
        <v>202</v>
      </c>
      <c r="Y45" s="5" t="s">
        <v>203</v>
      </c>
      <c r="Z45" s="2" t="s">
        <v>404</v>
      </c>
      <c r="AA45" s="6" t="s">
        <v>405</v>
      </c>
    </row>
    <row r="46" customFormat="false" ht="46.25" hidden="false" customHeight="false" outlineLevel="0" collapsed="false">
      <c r="A46" s="5" t="s">
        <v>406</v>
      </c>
      <c r="B46" s="2" t="s">
        <v>407</v>
      </c>
      <c r="C46" s="5" t="s">
        <v>59</v>
      </c>
      <c r="D46" s="5" t="s">
        <v>60</v>
      </c>
      <c r="E46" s="2" t="s">
        <v>397</v>
      </c>
      <c r="F46" s="5" t="s">
        <v>62</v>
      </c>
      <c r="G46" s="5" t="n">
        <v>9</v>
      </c>
      <c r="H46" s="5" t="s">
        <v>63</v>
      </c>
      <c r="I46" s="5" t="s">
        <v>64</v>
      </c>
      <c r="J46" s="5" t="s">
        <v>65</v>
      </c>
      <c r="K46" s="5" t="s">
        <v>66</v>
      </c>
      <c r="L46" s="2" t="s">
        <v>100</v>
      </c>
      <c r="M46" s="2" t="s">
        <v>304</v>
      </c>
      <c r="N46" s="2" t="s">
        <v>305</v>
      </c>
      <c r="O46" s="2" t="s">
        <v>306</v>
      </c>
      <c r="P46" s="2"/>
      <c r="Q46" s="5" t="n">
        <v>1</v>
      </c>
      <c r="R46" s="2" t="s">
        <v>71</v>
      </c>
      <c r="S46" s="2" t="s">
        <v>408</v>
      </c>
      <c r="T46" s="2" t="s">
        <v>166</v>
      </c>
      <c r="U46" s="2" t="s">
        <v>74</v>
      </c>
      <c r="V46" s="5" t="n">
        <v>300</v>
      </c>
      <c r="W46" s="2"/>
      <c r="X46" s="2" t="s">
        <v>308</v>
      </c>
      <c r="Y46" s="5" t="s">
        <v>309</v>
      </c>
      <c r="Z46" s="2" t="s">
        <v>409</v>
      </c>
      <c r="AA46" s="6" t="s">
        <v>410</v>
      </c>
    </row>
    <row r="47" customFormat="false" ht="46.25" hidden="false" customHeight="false" outlineLevel="0" collapsed="false">
      <c r="A47" s="5" t="s">
        <v>411</v>
      </c>
      <c r="B47" s="2" t="s">
        <v>412</v>
      </c>
      <c r="C47" s="5" t="s">
        <v>59</v>
      </c>
      <c r="D47" s="5" t="s">
        <v>60</v>
      </c>
      <c r="E47" s="2"/>
      <c r="F47" s="5" t="s">
        <v>62</v>
      </c>
      <c r="G47" s="5" t="n">
        <v>9</v>
      </c>
      <c r="H47" s="5" t="s">
        <v>63</v>
      </c>
      <c r="I47" s="5" t="s">
        <v>64</v>
      </c>
      <c r="J47" s="5" t="s">
        <v>65</v>
      </c>
      <c r="K47" s="5" t="s">
        <v>66</v>
      </c>
      <c r="L47" s="2" t="s">
        <v>413</v>
      </c>
      <c r="M47" s="2" t="s">
        <v>414</v>
      </c>
      <c r="N47" s="2" t="s">
        <v>415</v>
      </c>
      <c r="O47" s="2" t="s">
        <v>416</v>
      </c>
      <c r="P47" s="2"/>
      <c r="Q47" s="5" t="n">
        <v>1</v>
      </c>
      <c r="R47" s="2" t="s">
        <v>71</v>
      </c>
      <c r="S47" s="2" t="s">
        <v>417</v>
      </c>
      <c r="T47" s="2" t="s">
        <v>418</v>
      </c>
      <c r="U47" s="2" t="s">
        <v>74</v>
      </c>
      <c r="V47" s="5" t="n">
        <v>300</v>
      </c>
      <c r="W47" s="2"/>
      <c r="X47" s="2" t="s">
        <v>419</v>
      </c>
      <c r="Y47" s="5"/>
      <c r="Z47" s="2" t="s">
        <v>420</v>
      </c>
      <c r="AA47" s="6" t="s">
        <v>421</v>
      </c>
    </row>
    <row r="48" customFormat="false" ht="68.65" hidden="false" customHeight="false" outlineLevel="0" collapsed="false">
      <c r="A48" s="5" t="s">
        <v>422</v>
      </c>
      <c r="B48" s="2" t="s">
        <v>423</v>
      </c>
      <c r="C48" s="5" t="s">
        <v>59</v>
      </c>
      <c r="D48" s="5" t="s">
        <v>60</v>
      </c>
      <c r="E48" s="2" t="s">
        <v>303</v>
      </c>
      <c r="F48" s="5" t="s">
        <v>62</v>
      </c>
      <c r="G48" s="5" t="n">
        <v>9</v>
      </c>
      <c r="H48" s="5" t="s">
        <v>63</v>
      </c>
      <c r="I48" s="5" t="s">
        <v>64</v>
      </c>
      <c r="J48" s="5" t="s">
        <v>65</v>
      </c>
      <c r="K48" s="5" t="s">
        <v>66</v>
      </c>
      <c r="L48" s="2" t="s">
        <v>100</v>
      </c>
      <c r="M48" s="2" t="s">
        <v>304</v>
      </c>
      <c r="N48" s="2" t="s">
        <v>199</v>
      </c>
      <c r="O48" s="2" t="s">
        <v>200</v>
      </c>
      <c r="P48" s="2"/>
      <c r="Q48" s="5" t="n">
        <v>1</v>
      </c>
      <c r="R48" s="2" t="s">
        <v>71</v>
      </c>
      <c r="S48" s="2" t="s">
        <v>424</v>
      </c>
      <c r="T48" s="2" t="s">
        <v>166</v>
      </c>
      <c r="U48" s="2" t="s">
        <v>74</v>
      </c>
      <c r="V48" s="5" t="n">
        <v>300</v>
      </c>
      <c r="W48" s="2"/>
      <c r="X48" s="2" t="s">
        <v>202</v>
      </c>
      <c r="Y48" s="5" t="s">
        <v>203</v>
      </c>
      <c r="Z48" s="2" t="s">
        <v>425</v>
      </c>
      <c r="AA48" s="6" t="s">
        <v>426</v>
      </c>
    </row>
    <row r="49" customFormat="false" ht="46.25" hidden="false" customHeight="false" outlineLevel="0" collapsed="false">
      <c r="A49" s="5" t="s">
        <v>427</v>
      </c>
      <c r="B49" s="2" t="s">
        <v>428</v>
      </c>
      <c r="C49" s="5" t="s">
        <v>59</v>
      </c>
      <c r="D49" s="5" t="s">
        <v>60</v>
      </c>
      <c r="E49" s="2" t="s">
        <v>182</v>
      </c>
      <c r="F49" s="5" t="s">
        <v>62</v>
      </c>
      <c r="G49" s="5" t="n">
        <v>9</v>
      </c>
      <c r="H49" s="5" t="s">
        <v>63</v>
      </c>
      <c r="I49" s="5" t="s">
        <v>64</v>
      </c>
      <c r="J49" s="5" t="s">
        <v>65</v>
      </c>
      <c r="K49" s="5" t="s">
        <v>66</v>
      </c>
      <c r="L49" s="2" t="s">
        <v>90</v>
      </c>
      <c r="M49" s="2" t="s">
        <v>91</v>
      </c>
      <c r="N49" s="2" t="s">
        <v>184</v>
      </c>
      <c r="O49" s="2" t="s">
        <v>210</v>
      </c>
      <c r="P49" s="2"/>
      <c r="Q49" s="5" t="n">
        <v>1</v>
      </c>
      <c r="R49" s="2" t="s">
        <v>71</v>
      </c>
      <c r="S49" s="2" t="s">
        <v>429</v>
      </c>
      <c r="T49" s="2" t="s">
        <v>293</v>
      </c>
      <c r="U49" s="2" t="s">
        <v>74</v>
      </c>
      <c r="V49" s="5" t="n">
        <v>300</v>
      </c>
      <c r="W49" s="2"/>
      <c r="X49" s="2" t="s">
        <v>213</v>
      </c>
      <c r="Y49" s="5" t="s">
        <v>214</v>
      </c>
      <c r="Z49" s="2" t="s">
        <v>430</v>
      </c>
      <c r="AA49" s="6" t="s">
        <v>431</v>
      </c>
    </row>
    <row r="50" customFormat="false" ht="68.65" hidden="false" customHeight="false" outlineLevel="0" collapsed="false">
      <c r="A50" s="5" t="s">
        <v>432</v>
      </c>
      <c r="B50" s="2" t="s">
        <v>433</v>
      </c>
      <c r="C50" s="5" t="s">
        <v>59</v>
      </c>
      <c r="D50" s="5" t="s">
        <v>60</v>
      </c>
      <c r="E50" s="2" t="s">
        <v>397</v>
      </c>
      <c r="F50" s="5" t="s">
        <v>62</v>
      </c>
      <c r="G50" s="5" t="n">
        <v>9</v>
      </c>
      <c r="H50" s="5" t="s">
        <v>63</v>
      </c>
      <c r="I50" s="5" t="s">
        <v>64</v>
      </c>
      <c r="J50" s="5" t="s">
        <v>65</v>
      </c>
      <c r="K50" s="5" t="s">
        <v>66</v>
      </c>
      <c r="L50" s="2" t="s">
        <v>100</v>
      </c>
      <c r="M50" s="2" t="s">
        <v>340</v>
      </c>
      <c r="N50" s="2" t="s">
        <v>199</v>
      </c>
      <c r="O50" s="2" t="s">
        <v>200</v>
      </c>
      <c r="P50" s="2"/>
      <c r="Q50" s="5" t="n">
        <v>1</v>
      </c>
      <c r="R50" s="2" t="s">
        <v>71</v>
      </c>
      <c r="S50" s="2" t="s">
        <v>434</v>
      </c>
      <c r="T50" s="2" t="s">
        <v>166</v>
      </c>
      <c r="U50" s="2" t="s">
        <v>74</v>
      </c>
      <c r="V50" s="5" t="n">
        <v>300</v>
      </c>
      <c r="W50" s="2"/>
      <c r="X50" s="2" t="s">
        <v>202</v>
      </c>
      <c r="Y50" s="5" t="s">
        <v>203</v>
      </c>
      <c r="Z50" s="2" t="s">
        <v>435</v>
      </c>
      <c r="AA50" s="6" t="s">
        <v>436</v>
      </c>
    </row>
    <row r="51" customFormat="false" ht="68.65" hidden="false" customHeight="false" outlineLevel="0" collapsed="false">
      <c r="A51" s="5" t="s">
        <v>437</v>
      </c>
      <c r="B51" s="2" t="s">
        <v>438</v>
      </c>
      <c r="C51" s="5" t="s">
        <v>59</v>
      </c>
      <c r="D51" s="5" t="s">
        <v>60</v>
      </c>
      <c r="E51" s="2" t="s">
        <v>303</v>
      </c>
      <c r="F51" s="5" t="s">
        <v>62</v>
      </c>
      <c r="G51" s="5" t="n">
        <v>9</v>
      </c>
      <c r="H51" s="5" t="s">
        <v>63</v>
      </c>
      <c r="I51" s="5" t="s">
        <v>64</v>
      </c>
      <c r="J51" s="5" t="s">
        <v>65</v>
      </c>
      <c r="K51" s="5" t="s">
        <v>66</v>
      </c>
      <c r="L51" s="2" t="s">
        <v>100</v>
      </c>
      <c r="M51" s="2" t="s">
        <v>304</v>
      </c>
      <c r="N51" s="2" t="s">
        <v>199</v>
      </c>
      <c r="O51" s="2" t="s">
        <v>200</v>
      </c>
      <c r="P51" s="2"/>
      <c r="Q51" s="5" t="n">
        <v>1</v>
      </c>
      <c r="R51" s="2" t="s">
        <v>71</v>
      </c>
      <c r="S51" s="2" t="s">
        <v>439</v>
      </c>
      <c r="T51" s="2" t="s">
        <v>166</v>
      </c>
      <c r="U51" s="2" t="s">
        <v>74</v>
      </c>
      <c r="V51" s="5" t="n">
        <v>300</v>
      </c>
      <c r="W51" s="2"/>
      <c r="X51" s="2" t="s">
        <v>202</v>
      </c>
      <c r="Y51" s="5" t="s">
        <v>203</v>
      </c>
      <c r="Z51" s="2" t="s">
        <v>440</v>
      </c>
      <c r="AA51" s="6" t="s">
        <v>441</v>
      </c>
    </row>
    <row r="52" customFormat="false" ht="46.25" hidden="false" customHeight="false" outlineLevel="0" collapsed="false">
      <c r="A52" s="5" t="s">
        <v>442</v>
      </c>
      <c r="B52" s="2" t="s">
        <v>443</v>
      </c>
      <c r="C52" s="5" t="s">
        <v>59</v>
      </c>
      <c r="D52" s="5" t="s">
        <v>60</v>
      </c>
      <c r="E52" s="2" t="s">
        <v>182</v>
      </c>
      <c r="F52" s="5" t="s">
        <v>62</v>
      </c>
      <c r="G52" s="5" t="n">
        <v>9</v>
      </c>
      <c r="H52" s="5" t="s">
        <v>63</v>
      </c>
      <c r="I52" s="5" t="s">
        <v>64</v>
      </c>
      <c r="J52" s="5" t="s">
        <v>65</v>
      </c>
      <c r="K52" s="5" t="s">
        <v>66</v>
      </c>
      <c r="L52" s="2" t="s">
        <v>90</v>
      </c>
      <c r="M52" s="2" t="s">
        <v>116</v>
      </c>
      <c r="N52" s="2" t="s">
        <v>184</v>
      </c>
      <c r="O52" s="2" t="s">
        <v>210</v>
      </c>
      <c r="P52" s="2"/>
      <c r="Q52" s="5" t="n">
        <v>1</v>
      </c>
      <c r="R52" s="2" t="s">
        <v>71</v>
      </c>
      <c r="S52" s="2" t="s">
        <v>444</v>
      </c>
      <c r="T52" s="2" t="s">
        <v>230</v>
      </c>
      <c r="U52" s="2" t="s">
        <v>74</v>
      </c>
      <c r="V52" s="5" t="n">
        <v>300</v>
      </c>
      <c r="W52" s="2"/>
      <c r="X52" s="2" t="s">
        <v>213</v>
      </c>
      <c r="Y52" s="5" t="s">
        <v>214</v>
      </c>
      <c r="Z52" s="2" t="s">
        <v>445</v>
      </c>
      <c r="AA52" s="6" t="s">
        <v>446</v>
      </c>
    </row>
    <row r="53" customFormat="false" ht="68.65" hidden="false" customHeight="false" outlineLevel="0" collapsed="false">
      <c r="A53" s="5" t="s">
        <v>447</v>
      </c>
      <c r="B53" s="2" t="s">
        <v>448</v>
      </c>
      <c r="C53" s="5" t="s">
        <v>59</v>
      </c>
      <c r="D53" s="5" t="s">
        <v>60</v>
      </c>
      <c r="E53" s="2" t="s">
        <v>449</v>
      </c>
      <c r="F53" s="5" t="s">
        <v>62</v>
      </c>
      <c r="G53" s="5" t="n">
        <v>9</v>
      </c>
      <c r="H53" s="5" t="s">
        <v>63</v>
      </c>
      <c r="I53" s="5" t="s">
        <v>64</v>
      </c>
      <c r="J53" s="5" t="s">
        <v>65</v>
      </c>
      <c r="K53" s="5" t="s">
        <v>66</v>
      </c>
      <c r="L53" s="2" t="s">
        <v>100</v>
      </c>
      <c r="M53" s="2" t="s">
        <v>450</v>
      </c>
      <c r="N53" s="2" t="s">
        <v>199</v>
      </c>
      <c r="O53" s="2" t="s">
        <v>200</v>
      </c>
      <c r="P53" s="2"/>
      <c r="Q53" s="5" t="n">
        <v>1</v>
      </c>
      <c r="R53" s="2" t="s">
        <v>71</v>
      </c>
      <c r="S53" s="2" t="s">
        <v>451</v>
      </c>
      <c r="T53" s="2" t="s">
        <v>166</v>
      </c>
      <c r="U53" s="2" t="s">
        <v>74</v>
      </c>
      <c r="V53" s="5" t="n">
        <v>300</v>
      </c>
      <c r="W53" s="2"/>
      <c r="X53" s="2" t="s">
        <v>202</v>
      </c>
      <c r="Y53" s="5" t="s">
        <v>203</v>
      </c>
      <c r="Z53" s="2" t="s">
        <v>452</v>
      </c>
      <c r="AA53" s="6" t="s">
        <v>453</v>
      </c>
    </row>
    <row r="54" customFormat="false" ht="57.45" hidden="false" customHeight="false" outlineLevel="0" collapsed="false">
      <c r="A54" s="5" t="s">
        <v>454</v>
      </c>
      <c r="B54" s="2" t="s">
        <v>455</v>
      </c>
      <c r="C54" s="5" t="s">
        <v>59</v>
      </c>
      <c r="D54" s="5" t="s">
        <v>60</v>
      </c>
      <c r="E54" s="2" t="s">
        <v>303</v>
      </c>
      <c r="F54" s="5" t="s">
        <v>62</v>
      </c>
      <c r="G54" s="5" t="n">
        <v>9</v>
      </c>
      <c r="H54" s="5" t="s">
        <v>63</v>
      </c>
      <c r="I54" s="5" t="s">
        <v>64</v>
      </c>
      <c r="J54" s="5" t="s">
        <v>65</v>
      </c>
      <c r="K54" s="5" t="s">
        <v>66</v>
      </c>
      <c r="L54" s="2" t="s">
        <v>100</v>
      </c>
      <c r="M54" s="2" t="s">
        <v>456</v>
      </c>
      <c r="N54" s="2" t="s">
        <v>305</v>
      </c>
      <c r="O54" s="2" t="s">
        <v>306</v>
      </c>
      <c r="P54" s="2"/>
      <c r="Q54" s="5" t="n">
        <v>1</v>
      </c>
      <c r="R54" s="2" t="s">
        <v>71</v>
      </c>
      <c r="S54" s="2" t="s">
        <v>457</v>
      </c>
      <c r="T54" s="2" t="s">
        <v>166</v>
      </c>
      <c r="U54" s="2" t="s">
        <v>74</v>
      </c>
      <c r="V54" s="5" t="n">
        <v>300</v>
      </c>
      <c r="W54" s="2"/>
      <c r="X54" s="2" t="s">
        <v>308</v>
      </c>
      <c r="Y54" s="5" t="s">
        <v>309</v>
      </c>
      <c r="Z54" s="2" t="s">
        <v>458</v>
      </c>
      <c r="AA54" s="6" t="s">
        <v>459</v>
      </c>
    </row>
    <row r="55" customFormat="false" ht="79.85" hidden="false" customHeight="false" outlineLevel="0" collapsed="false">
      <c r="A55" s="5" t="s">
        <v>460</v>
      </c>
      <c r="B55" s="2" t="s">
        <v>461</v>
      </c>
      <c r="C55" s="5" t="s">
        <v>59</v>
      </c>
      <c r="D55" s="5" t="s">
        <v>60</v>
      </c>
      <c r="E55" s="2" t="s">
        <v>449</v>
      </c>
      <c r="F55" s="5" t="s">
        <v>62</v>
      </c>
      <c r="G55" s="5" t="n">
        <v>10</v>
      </c>
      <c r="H55" s="5" t="s">
        <v>63</v>
      </c>
      <c r="I55" s="5" t="s">
        <v>64</v>
      </c>
      <c r="J55" s="5" t="s">
        <v>65</v>
      </c>
      <c r="K55" s="5" t="s">
        <v>66</v>
      </c>
      <c r="L55" s="2" t="s">
        <v>100</v>
      </c>
      <c r="M55" s="2" t="s">
        <v>209</v>
      </c>
      <c r="N55" s="2" t="s">
        <v>184</v>
      </c>
      <c r="O55" s="2" t="s">
        <v>210</v>
      </c>
      <c r="P55" s="2"/>
      <c r="Q55" s="5" t="n">
        <v>1</v>
      </c>
      <c r="R55" s="2" t="s">
        <v>71</v>
      </c>
      <c r="S55" s="2" t="s">
        <v>462</v>
      </c>
      <c r="T55" s="2" t="s">
        <v>293</v>
      </c>
      <c r="U55" s="2" t="s">
        <v>74</v>
      </c>
      <c r="V55" s="5" t="n">
        <v>300</v>
      </c>
      <c r="W55" s="2"/>
      <c r="X55" s="2" t="s">
        <v>213</v>
      </c>
      <c r="Y55" s="5" t="s">
        <v>214</v>
      </c>
      <c r="Z55" s="2" t="s">
        <v>463</v>
      </c>
      <c r="AA55" s="6" t="s">
        <v>464</v>
      </c>
    </row>
    <row r="56" customFormat="false" ht="68.65" hidden="false" customHeight="false" outlineLevel="0" collapsed="false">
      <c r="A56" s="5" t="s">
        <v>465</v>
      </c>
      <c r="B56" s="2" t="s">
        <v>466</v>
      </c>
      <c r="C56" s="5" t="s">
        <v>59</v>
      </c>
      <c r="D56" s="5" t="s">
        <v>60</v>
      </c>
      <c r="E56" s="2" t="s">
        <v>269</v>
      </c>
      <c r="F56" s="5" t="s">
        <v>62</v>
      </c>
      <c r="G56" s="5" t="n">
        <v>9</v>
      </c>
      <c r="H56" s="5" t="s">
        <v>63</v>
      </c>
      <c r="I56" s="5" t="s">
        <v>64</v>
      </c>
      <c r="J56" s="5" t="s">
        <v>65</v>
      </c>
      <c r="K56" s="5" t="s">
        <v>66</v>
      </c>
      <c r="L56" s="2" t="s">
        <v>90</v>
      </c>
      <c r="M56" s="2" t="s">
        <v>467</v>
      </c>
      <c r="N56" s="2" t="s">
        <v>199</v>
      </c>
      <c r="O56" s="2" t="s">
        <v>200</v>
      </c>
      <c r="P56" s="2"/>
      <c r="Q56" s="5" t="n">
        <v>1</v>
      </c>
      <c r="R56" s="2" t="s">
        <v>71</v>
      </c>
      <c r="S56" s="2" t="s">
        <v>468</v>
      </c>
      <c r="T56" s="2" t="s">
        <v>166</v>
      </c>
      <c r="U56" s="2" t="s">
        <v>74</v>
      </c>
      <c r="V56" s="5" t="n">
        <v>300</v>
      </c>
      <c r="W56" s="2"/>
      <c r="X56" s="2" t="s">
        <v>202</v>
      </c>
      <c r="Y56" s="5" t="s">
        <v>203</v>
      </c>
      <c r="Z56" s="2" t="s">
        <v>469</v>
      </c>
      <c r="AA56" s="6" t="s">
        <v>470</v>
      </c>
    </row>
    <row r="57" customFormat="false" ht="91" hidden="false" customHeight="false" outlineLevel="0" collapsed="false">
      <c r="A57" s="5" t="s">
        <v>471</v>
      </c>
      <c r="B57" s="2" t="s">
        <v>472</v>
      </c>
      <c r="C57" s="5" t="s">
        <v>59</v>
      </c>
      <c r="D57" s="5" t="s">
        <v>60</v>
      </c>
      <c r="E57" s="2" t="s">
        <v>100</v>
      </c>
      <c r="F57" s="5" t="s">
        <v>62</v>
      </c>
      <c r="G57" s="5" t="n">
        <v>9</v>
      </c>
      <c r="H57" s="5" t="s">
        <v>63</v>
      </c>
      <c r="I57" s="5" t="s">
        <v>64</v>
      </c>
      <c r="J57" s="5" t="s">
        <v>65</v>
      </c>
      <c r="K57" s="5" t="s">
        <v>66</v>
      </c>
      <c r="L57" s="2" t="s">
        <v>100</v>
      </c>
      <c r="M57" s="2" t="s">
        <v>304</v>
      </c>
      <c r="N57" s="2" t="s">
        <v>367</v>
      </c>
      <c r="O57" s="2" t="s">
        <v>368</v>
      </c>
      <c r="P57" s="2"/>
      <c r="Q57" s="5" t="n">
        <v>1</v>
      </c>
      <c r="R57" s="2" t="s">
        <v>473</v>
      </c>
      <c r="S57" s="2" t="s">
        <v>474</v>
      </c>
      <c r="T57" s="2" t="s">
        <v>475</v>
      </c>
      <c r="U57" s="2" t="s">
        <v>74</v>
      </c>
      <c r="V57" s="5" t="n">
        <v>300</v>
      </c>
      <c r="W57" s="2"/>
      <c r="X57" s="2" t="s">
        <v>371</v>
      </c>
      <c r="Y57" s="5" t="s">
        <v>372</v>
      </c>
      <c r="Z57" s="2" t="s">
        <v>476</v>
      </c>
      <c r="AA57" s="6" t="s">
        <v>477</v>
      </c>
    </row>
    <row r="58" customFormat="false" ht="68.65" hidden="false" customHeight="false" outlineLevel="0" collapsed="false">
      <c r="A58" s="5" t="s">
        <v>478</v>
      </c>
      <c r="B58" s="2" t="s">
        <v>479</v>
      </c>
      <c r="C58" s="5" t="s">
        <v>59</v>
      </c>
      <c r="D58" s="5" t="s">
        <v>60</v>
      </c>
      <c r="E58" s="2" t="s">
        <v>480</v>
      </c>
      <c r="F58" s="5" t="s">
        <v>62</v>
      </c>
      <c r="G58" s="5" t="n">
        <v>9</v>
      </c>
      <c r="H58" s="5" t="s">
        <v>63</v>
      </c>
      <c r="I58" s="5" t="s">
        <v>64</v>
      </c>
      <c r="J58" s="5" t="s">
        <v>65</v>
      </c>
      <c r="K58" s="5" t="s">
        <v>66</v>
      </c>
      <c r="L58" s="2" t="s">
        <v>481</v>
      </c>
      <c r="M58" s="2" t="s">
        <v>482</v>
      </c>
      <c r="N58" s="2" t="s">
        <v>199</v>
      </c>
      <c r="O58" s="2" t="s">
        <v>200</v>
      </c>
      <c r="P58" s="2"/>
      <c r="Q58" s="5" t="n">
        <v>1</v>
      </c>
      <c r="R58" s="2" t="s">
        <v>71</v>
      </c>
      <c r="S58" s="2" t="s">
        <v>483</v>
      </c>
      <c r="T58" s="2" t="s">
        <v>166</v>
      </c>
      <c r="U58" s="2" t="s">
        <v>74</v>
      </c>
      <c r="V58" s="5" t="n">
        <v>300</v>
      </c>
      <c r="W58" s="2"/>
      <c r="X58" s="2" t="s">
        <v>202</v>
      </c>
      <c r="Y58" s="5" t="s">
        <v>203</v>
      </c>
      <c r="Z58" s="2" t="s">
        <v>484</v>
      </c>
      <c r="AA58" s="6" t="s">
        <v>485</v>
      </c>
    </row>
    <row r="59" customFormat="false" ht="46.25" hidden="false" customHeight="false" outlineLevel="0" collapsed="false">
      <c r="A59" s="5" t="s">
        <v>486</v>
      </c>
      <c r="B59" s="2" t="s">
        <v>487</v>
      </c>
      <c r="C59" s="5" t="s">
        <v>488</v>
      </c>
      <c r="D59" s="5" t="s">
        <v>60</v>
      </c>
      <c r="E59" s="2" t="s">
        <v>489</v>
      </c>
      <c r="F59" s="5" t="s">
        <v>490</v>
      </c>
      <c r="G59" s="5" t="n">
        <v>6</v>
      </c>
      <c r="H59" s="5" t="s">
        <v>89</v>
      </c>
      <c r="I59" s="5" t="s">
        <v>64</v>
      </c>
      <c r="J59" s="5" t="s">
        <v>65</v>
      </c>
      <c r="K59" s="5" t="s">
        <v>66</v>
      </c>
      <c r="L59" s="2" t="s">
        <v>100</v>
      </c>
      <c r="M59" s="2" t="s">
        <v>491</v>
      </c>
      <c r="N59" s="2" t="s">
        <v>492</v>
      </c>
      <c r="O59" s="2" t="s">
        <v>493</v>
      </c>
      <c r="P59" s="2"/>
      <c r="Q59" s="5" t="n">
        <v>1</v>
      </c>
      <c r="R59" s="2" t="s">
        <v>494</v>
      </c>
      <c r="S59" s="2" t="s">
        <v>83</v>
      </c>
      <c r="T59" s="2" t="s">
        <v>495</v>
      </c>
      <c r="U59" s="2" t="s">
        <v>496</v>
      </c>
      <c r="V59" s="5" t="n">
        <v>600</v>
      </c>
      <c r="W59" s="2"/>
      <c r="X59" s="2" t="s">
        <v>497</v>
      </c>
      <c r="Y59" s="5"/>
      <c r="Z59" s="2" t="s">
        <v>498</v>
      </c>
      <c r="AA59" s="6" t="s">
        <v>499</v>
      </c>
    </row>
    <row r="60" customFormat="false" ht="23.85" hidden="false" customHeight="false" outlineLevel="0" collapsed="false">
      <c r="A60" s="5" t="s">
        <v>500</v>
      </c>
      <c r="B60" s="2" t="s">
        <v>501</v>
      </c>
      <c r="C60" s="5" t="s">
        <v>488</v>
      </c>
      <c r="D60" s="5" t="s">
        <v>60</v>
      </c>
      <c r="E60" s="2" t="s">
        <v>100</v>
      </c>
      <c r="F60" s="5" t="s">
        <v>62</v>
      </c>
      <c r="G60" s="5" t="n">
        <v>9</v>
      </c>
      <c r="H60" s="5" t="s">
        <v>63</v>
      </c>
      <c r="I60" s="5" t="s">
        <v>64</v>
      </c>
      <c r="J60" s="5" t="s">
        <v>65</v>
      </c>
      <c r="K60" s="5" t="s">
        <v>66</v>
      </c>
      <c r="L60" s="2" t="s">
        <v>100</v>
      </c>
      <c r="M60" s="2" t="s">
        <v>491</v>
      </c>
      <c r="N60" s="2" t="s">
        <v>502</v>
      </c>
      <c r="O60" s="2" t="s">
        <v>503</v>
      </c>
      <c r="P60" s="2"/>
      <c r="Q60" s="5" t="n">
        <v>1</v>
      </c>
      <c r="R60" s="2" t="s">
        <v>504</v>
      </c>
      <c r="S60" s="2" t="s">
        <v>83</v>
      </c>
      <c r="T60" s="2" t="s">
        <v>505</v>
      </c>
      <c r="U60" s="2" t="s">
        <v>496</v>
      </c>
      <c r="V60" s="5" t="n">
        <v>600</v>
      </c>
      <c r="W60" s="2"/>
      <c r="X60" s="2" t="s">
        <v>506</v>
      </c>
      <c r="Y60" s="5"/>
      <c r="Z60" s="2" t="s">
        <v>507</v>
      </c>
      <c r="AA60" s="6" t="s">
        <v>508</v>
      </c>
    </row>
    <row r="61" customFormat="false" ht="68.65" hidden="false" customHeight="false" outlineLevel="0" collapsed="false">
      <c r="A61" s="5" t="s">
        <v>509</v>
      </c>
      <c r="B61" s="2" t="s">
        <v>510</v>
      </c>
      <c r="C61" s="5" t="s">
        <v>488</v>
      </c>
      <c r="D61" s="5" t="s">
        <v>60</v>
      </c>
      <c r="E61" s="2" t="s">
        <v>489</v>
      </c>
      <c r="F61" s="5" t="s">
        <v>62</v>
      </c>
      <c r="G61" s="5" t="n">
        <v>9</v>
      </c>
      <c r="H61" s="5" t="s">
        <v>63</v>
      </c>
      <c r="I61" s="5" t="s">
        <v>64</v>
      </c>
      <c r="J61" s="5" t="s">
        <v>65</v>
      </c>
      <c r="K61" s="5" t="s">
        <v>66</v>
      </c>
      <c r="L61" s="2" t="s">
        <v>100</v>
      </c>
      <c r="M61" s="2" t="s">
        <v>491</v>
      </c>
      <c r="N61" s="2" t="s">
        <v>511</v>
      </c>
      <c r="O61" s="2" t="s">
        <v>512</v>
      </c>
      <c r="P61" s="2"/>
      <c r="Q61" s="5" t="n">
        <v>1</v>
      </c>
      <c r="R61" s="2" t="s">
        <v>513</v>
      </c>
      <c r="S61" s="2" t="s">
        <v>514</v>
      </c>
      <c r="T61" s="2" t="s">
        <v>515</v>
      </c>
      <c r="U61" s="2" t="s">
        <v>496</v>
      </c>
      <c r="V61" s="5" t="n">
        <v>600</v>
      </c>
      <c r="W61" s="2"/>
      <c r="X61" s="2" t="s">
        <v>516</v>
      </c>
      <c r="Y61" s="5"/>
      <c r="Z61" s="2" t="s">
        <v>498</v>
      </c>
      <c r="AA61" s="6" t="s">
        <v>517</v>
      </c>
    </row>
    <row r="62" customFormat="false" ht="46.25" hidden="false" customHeight="false" outlineLevel="0" collapsed="false">
      <c r="A62" s="5" t="s">
        <v>518</v>
      </c>
      <c r="B62" s="2" t="s">
        <v>519</v>
      </c>
      <c r="C62" s="5" t="s">
        <v>488</v>
      </c>
      <c r="D62" s="5" t="s">
        <v>60</v>
      </c>
      <c r="E62" s="2" t="s">
        <v>489</v>
      </c>
      <c r="F62" s="5" t="s">
        <v>62</v>
      </c>
      <c r="G62" s="5" t="n">
        <v>8</v>
      </c>
      <c r="H62" s="5" t="s">
        <v>89</v>
      </c>
      <c r="I62" s="5" t="s">
        <v>64</v>
      </c>
      <c r="J62" s="5" t="s">
        <v>65</v>
      </c>
      <c r="K62" s="5" t="s">
        <v>66</v>
      </c>
      <c r="L62" s="2" t="s">
        <v>100</v>
      </c>
      <c r="M62" s="2" t="s">
        <v>491</v>
      </c>
      <c r="N62" s="2" t="s">
        <v>520</v>
      </c>
      <c r="O62" s="2" t="s">
        <v>512</v>
      </c>
      <c r="P62" s="2" t="s">
        <v>503</v>
      </c>
      <c r="Q62" s="5" t="n">
        <v>1</v>
      </c>
      <c r="R62" s="2" t="s">
        <v>521</v>
      </c>
      <c r="S62" s="2" t="s">
        <v>522</v>
      </c>
      <c r="T62" s="2" t="s">
        <v>495</v>
      </c>
      <c r="U62" s="2" t="s">
        <v>496</v>
      </c>
      <c r="V62" s="5" t="n">
        <v>600</v>
      </c>
      <c r="W62" s="2"/>
      <c r="X62" s="2" t="s">
        <v>516</v>
      </c>
      <c r="Y62" s="5"/>
      <c r="Z62" s="2" t="s">
        <v>498</v>
      </c>
      <c r="AA62" s="6" t="s">
        <v>523</v>
      </c>
    </row>
    <row r="63" customFormat="false" ht="57.45" hidden="false" customHeight="false" outlineLevel="0" collapsed="false">
      <c r="A63" s="5" t="s">
        <v>524</v>
      </c>
      <c r="B63" s="2" t="s">
        <v>525</v>
      </c>
      <c r="C63" s="5" t="s">
        <v>488</v>
      </c>
      <c r="D63" s="5" t="s">
        <v>60</v>
      </c>
      <c r="E63" s="2" t="s">
        <v>100</v>
      </c>
      <c r="F63" s="5" t="s">
        <v>62</v>
      </c>
      <c r="G63" s="5" t="n">
        <v>7</v>
      </c>
      <c r="H63" s="5" t="s">
        <v>89</v>
      </c>
      <c r="I63" s="5" t="s">
        <v>64</v>
      </c>
      <c r="J63" s="5" t="s">
        <v>65</v>
      </c>
      <c r="K63" s="5" t="s">
        <v>66</v>
      </c>
      <c r="L63" s="2" t="s">
        <v>100</v>
      </c>
      <c r="M63" s="2" t="s">
        <v>491</v>
      </c>
      <c r="N63" s="2" t="s">
        <v>526</v>
      </c>
      <c r="O63" s="2" t="s">
        <v>527</v>
      </c>
      <c r="P63" s="2"/>
      <c r="Q63" s="5" t="n">
        <v>1</v>
      </c>
      <c r="R63" s="2" t="s">
        <v>71</v>
      </c>
      <c r="S63" s="2" t="s">
        <v>528</v>
      </c>
      <c r="T63" s="2" t="s">
        <v>529</v>
      </c>
      <c r="U63" s="2" t="s">
        <v>530</v>
      </c>
      <c r="V63" s="5" t="n">
        <v>300</v>
      </c>
      <c r="W63" s="2"/>
      <c r="X63" s="2" t="s">
        <v>531</v>
      </c>
      <c r="Y63" s="5"/>
      <c r="Z63" s="2" t="s">
        <v>532</v>
      </c>
      <c r="AA63" s="6" t="s">
        <v>533</v>
      </c>
    </row>
    <row r="64" customFormat="false" ht="46.25" hidden="false" customHeight="false" outlineLevel="0" collapsed="false">
      <c r="A64" s="5" t="s">
        <v>534</v>
      </c>
      <c r="B64" s="2" t="s">
        <v>535</v>
      </c>
      <c r="C64" s="5" t="s">
        <v>488</v>
      </c>
      <c r="D64" s="5" t="s">
        <v>60</v>
      </c>
      <c r="E64" s="2" t="s">
        <v>161</v>
      </c>
      <c r="F64" s="5" t="s">
        <v>62</v>
      </c>
      <c r="G64" s="5" t="n">
        <v>9</v>
      </c>
      <c r="H64" s="5" t="s">
        <v>63</v>
      </c>
      <c r="I64" s="5" t="s">
        <v>64</v>
      </c>
      <c r="J64" s="5" t="s">
        <v>65</v>
      </c>
      <c r="K64" s="5" t="s">
        <v>66</v>
      </c>
      <c r="L64" s="2" t="s">
        <v>536</v>
      </c>
      <c r="M64" s="2" t="s">
        <v>537</v>
      </c>
      <c r="N64" s="2" t="s">
        <v>526</v>
      </c>
      <c r="O64" s="2" t="s">
        <v>538</v>
      </c>
      <c r="P64" s="2"/>
      <c r="Q64" s="5" t="n">
        <v>1</v>
      </c>
      <c r="R64" s="2" t="s">
        <v>71</v>
      </c>
      <c r="S64" s="2" t="s">
        <v>83</v>
      </c>
      <c r="T64" s="2" t="s">
        <v>529</v>
      </c>
      <c r="U64" s="2" t="s">
        <v>74</v>
      </c>
      <c r="V64" s="5" t="n">
        <v>300</v>
      </c>
      <c r="W64" s="2"/>
      <c r="X64" s="2" t="s">
        <v>539</v>
      </c>
      <c r="Y64" s="5"/>
      <c r="Z64" s="2" t="s">
        <v>540</v>
      </c>
      <c r="AA64" s="6" t="s">
        <v>541</v>
      </c>
    </row>
    <row r="65" customFormat="false" ht="35.05" hidden="false" customHeight="false" outlineLevel="0" collapsed="false">
      <c r="A65" s="5" t="s">
        <v>542</v>
      </c>
      <c r="B65" s="2" t="s">
        <v>543</v>
      </c>
      <c r="C65" s="5" t="s">
        <v>488</v>
      </c>
      <c r="D65" s="5" t="s">
        <v>60</v>
      </c>
      <c r="E65" s="2" t="s">
        <v>161</v>
      </c>
      <c r="F65" s="5" t="s">
        <v>62</v>
      </c>
      <c r="G65" s="5" t="n">
        <v>9</v>
      </c>
      <c r="H65" s="5" t="s">
        <v>63</v>
      </c>
      <c r="I65" s="5" t="s">
        <v>64</v>
      </c>
      <c r="J65" s="5" t="s">
        <v>65</v>
      </c>
      <c r="K65" s="5" t="s">
        <v>66</v>
      </c>
      <c r="L65" s="2" t="s">
        <v>544</v>
      </c>
      <c r="M65" s="2" t="s">
        <v>545</v>
      </c>
      <c r="N65" s="2" t="s">
        <v>526</v>
      </c>
      <c r="O65" s="2" t="s">
        <v>546</v>
      </c>
      <c r="P65" s="2"/>
      <c r="Q65" s="5" t="n">
        <v>1</v>
      </c>
      <c r="R65" s="2" t="s">
        <v>71</v>
      </c>
      <c r="S65" s="2" t="s">
        <v>83</v>
      </c>
      <c r="T65" s="2" t="s">
        <v>529</v>
      </c>
      <c r="U65" s="2" t="s">
        <v>74</v>
      </c>
      <c r="V65" s="5" t="n">
        <v>300</v>
      </c>
      <c r="W65" s="2"/>
      <c r="X65" s="2" t="s">
        <v>547</v>
      </c>
      <c r="Y65" s="5"/>
      <c r="Z65" s="2" t="s">
        <v>548</v>
      </c>
      <c r="AA65" s="6" t="s">
        <v>549</v>
      </c>
    </row>
    <row r="66" customFormat="false" ht="46.25" hidden="false" customHeight="false" outlineLevel="0" collapsed="false">
      <c r="A66" s="5" t="s">
        <v>550</v>
      </c>
      <c r="B66" s="2" t="s">
        <v>551</v>
      </c>
      <c r="C66" s="5" t="s">
        <v>488</v>
      </c>
      <c r="D66" s="5" t="s">
        <v>60</v>
      </c>
      <c r="E66" s="2" t="s">
        <v>100</v>
      </c>
      <c r="F66" s="5" t="s">
        <v>490</v>
      </c>
      <c r="G66" s="5" t="n">
        <v>10</v>
      </c>
      <c r="H66" s="5" t="s">
        <v>63</v>
      </c>
      <c r="I66" s="5" t="s">
        <v>64</v>
      </c>
      <c r="J66" s="5" t="s">
        <v>65</v>
      </c>
      <c r="K66" s="5" t="s">
        <v>66</v>
      </c>
      <c r="L66" s="2" t="s">
        <v>100</v>
      </c>
      <c r="M66" s="2" t="s">
        <v>491</v>
      </c>
      <c r="N66" s="2" t="s">
        <v>526</v>
      </c>
      <c r="O66" s="2" t="s">
        <v>552</v>
      </c>
      <c r="P66" s="2"/>
      <c r="Q66" s="5" t="n">
        <v>1</v>
      </c>
      <c r="R66" s="2" t="s">
        <v>71</v>
      </c>
      <c r="S66" s="2" t="s">
        <v>553</v>
      </c>
      <c r="T66" s="2" t="s">
        <v>554</v>
      </c>
      <c r="U66" s="2" t="s">
        <v>530</v>
      </c>
      <c r="V66" s="5" t="n">
        <v>300</v>
      </c>
      <c r="W66" s="2"/>
      <c r="X66" s="2" t="s">
        <v>555</v>
      </c>
      <c r="Y66" s="5"/>
      <c r="Z66" s="2" t="s">
        <v>556</v>
      </c>
      <c r="AA66" s="6" t="s">
        <v>557</v>
      </c>
    </row>
    <row r="67" customFormat="false" ht="35.05" hidden="false" customHeight="false" outlineLevel="0" collapsed="false">
      <c r="A67" s="5" t="s">
        <v>558</v>
      </c>
      <c r="B67" s="2" t="s">
        <v>559</v>
      </c>
      <c r="C67" s="5" t="s">
        <v>488</v>
      </c>
      <c r="D67" s="5" t="s">
        <v>60</v>
      </c>
      <c r="E67" s="2" t="s">
        <v>161</v>
      </c>
      <c r="F67" s="5" t="s">
        <v>62</v>
      </c>
      <c r="G67" s="5" t="n">
        <v>10</v>
      </c>
      <c r="H67" s="5" t="s">
        <v>63</v>
      </c>
      <c r="I67" s="5" t="s">
        <v>64</v>
      </c>
      <c r="J67" s="5" t="s">
        <v>65</v>
      </c>
      <c r="K67" s="5" t="s">
        <v>66</v>
      </c>
      <c r="L67" s="2" t="s">
        <v>544</v>
      </c>
      <c r="M67" s="2" t="s">
        <v>545</v>
      </c>
      <c r="N67" s="2" t="s">
        <v>526</v>
      </c>
      <c r="O67" s="2" t="s">
        <v>560</v>
      </c>
      <c r="P67" s="2"/>
      <c r="Q67" s="5" t="n">
        <v>1</v>
      </c>
      <c r="R67" s="2" t="s">
        <v>71</v>
      </c>
      <c r="S67" s="2" t="s">
        <v>561</v>
      </c>
      <c r="T67" s="2" t="s">
        <v>562</v>
      </c>
      <c r="U67" s="2" t="s">
        <v>74</v>
      </c>
      <c r="V67" s="5" t="n">
        <v>300</v>
      </c>
      <c r="W67" s="2"/>
      <c r="X67" s="2" t="s">
        <v>563</v>
      </c>
      <c r="Y67" s="5"/>
      <c r="Z67" s="2" t="s">
        <v>564</v>
      </c>
      <c r="AA67" s="6" t="s">
        <v>565</v>
      </c>
    </row>
    <row r="68" customFormat="false" ht="23.85" hidden="false" customHeight="false" outlineLevel="0" collapsed="false">
      <c r="A68" s="5" t="s">
        <v>566</v>
      </c>
      <c r="B68" s="2" t="s">
        <v>567</v>
      </c>
      <c r="C68" s="5" t="s">
        <v>488</v>
      </c>
      <c r="D68" s="5" t="s">
        <v>60</v>
      </c>
      <c r="E68" s="2" t="s">
        <v>100</v>
      </c>
      <c r="F68" s="5" t="s">
        <v>62</v>
      </c>
      <c r="G68" s="5" t="n">
        <v>8</v>
      </c>
      <c r="H68" s="5" t="s">
        <v>89</v>
      </c>
      <c r="I68" s="5" t="s">
        <v>64</v>
      </c>
      <c r="J68" s="5" t="s">
        <v>65</v>
      </c>
      <c r="K68" s="5" t="s">
        <v>66</v>
      </c>
      <c r="L68" s="2" t="s">
        <v>100</v>
      </c>
      <c r="M68" s="2"/>
      <c r="N68" s="2" t="s">
        <v>568</v>
      </c>
      <c r="O68" s="2" t="s">
        <v>569</v>
      </c>
      <c r="P68" s="2"/>
      <c r="Q68" s="5" t="n">
        <v>1</v>
      </c>
      <c r="R68" s="2" t="s">
        <v>570</v>
      </c>
      <c r="S68" s="2" t="s">
        <v>83</v>
      </c>
      <c r="T68" s="2" t="s">
        <v>571</v>
      </c>
      <c r="U68" s="2" t="s">
        <v>74</v>
      </c>
      <c r="V68" s="5" t="n">
        <v>300</v>
      </c>
      <c r="W68" s="2"/>
      <c r="X68" s="2" t="s">
        <v>572</v>
      </c>
      <c r="Y68" s="5"/>
      <c r="Z68" s="2" t="s">
        <v>573</v>
      </c>
      <c r="AA68" s="6" t="s">
        <v>574</v>
      </c>
    </row>
    <row r="69" customFormat="false" ht="23.85" hidden="false" customHeight="false" outlineLevel="0" collapsed="false">
      <c r="A69" s="5" t="s">
        <v>575</v>
      </c>
      <c r="B69" s="2" t="s">
        <v>576</v>
      </c>
      <c r="C69" s="5" t="s">
        <v>488</v>
      </c>
      <c r="D69" s="5" t="s">
        <v>60</v>
      </c>
      <c r="E69" s="2" t="s">
        <v>577</v>
      </c>
      <c r="F69" s="5" t="s">
        <v>62</v>
      </c>
      <c r="G69" s="5" t="n">
        <v>9</v>
      </c>
      <c r="H69" s="5" t="s">
        <v>63</v>
      </c>
      <c r="I69" s="5" t="s">
        <v>64</v>
      </c>
      <c r="J69" s="5" t="s">
        <v>65</v>
      </c>
      <c r="K69" s="5" t="s">
        <v>66</v>
      </c>
      <c r="L69" s="2" t="s">
        <v>481</v>
      </c>
      <c r="M69" s="2" t="s">
        <v>578</v>
      </c>
      <c r="N69" s="2" t="s">
        <v>568</v>
      </c>
      <c r="O69" s="2" t="s">
        <v>579</v>
      </c>
      <c r="P69" s="2"/>
      <c r="Q69" s="5" t="n">
        <v>1</v>
      </c>
      <c r="R69" s="2" t="s">
        <v>570</v>
      </c>
      <c r="S69" s="2" t="s">
        <v>83</v>
      </c>
      <c r="T69" s="2" t="s">
        <v>571</v>
      </c>
      <c r="U69" s="2" t="s">
        <v>74</v>
      </c>
      <c r="V69" s="5" t="n">
        <v>300</v>
      </c>
      <c r="W69" s="2"/>
      <c r="X69" s="2" t="s">
        <v>580</v>
      </c>
      <c r="Y69" s="5"/>
      <c r="Z69" s="2" t="s">
        <v>581</v>
      </c>
      <c r="AA69" s="6" t="s">
        <v>582</v>
      </c>
    </row>
    <row r="70" customFormat="false" ht="23.85" hidden="false" customHeight="false" outlineLevel="0" collapsed="false">
      <c r="A70" s="5" t="s">
        <v>583</v>
      </c>
      <c r="B70" s="2" t="s">
        <v>584</v>
      </c>
      <c r="C70" s="5" t="s">
        <v>488</v>
      </c>
      <c r="D70" s="5" t="s">
        <v>60</v>
      </c>
      <c r="E70" s="2" t="s">
        <v>100</v>
      </c>
      <c r="F70" s="5" t="s">
        <v>62</v>
      </c>
      <c r="G70" s="5" t="n">
        <v>7</v>
      </c>
      <c r="H70" s="5" t="s">
        <v>89</v>
      </c>
      <c r="I70" s="5" t="s">
        <v>64</v>
      </c>
      <c r="J70" s="5" t="s">
        <v>65</v>
      </c>
      <c r="K70" s="5" t="s">
        <v>66</v>
      </c>
      <c r="L70" s="2" t="s">
        <v>100</v>
      </c>
      <c r="M70" s="2" t="s">
        <v>585</v>
      </c>
      <c r="N70" s="2" t="s">
        <v>526</v>
      </c>
      <c r="O70" s="2" t="s">
        <v>586</v>
      </c>
      <c r="P70" s="2"/>
      <c r="Q70" s="5" t="n">
        <v>1</v>
      </c>
      <c r="R70" s="2" t="s">
        <v>71</v>
      </c>
      <c r="S70" s="2" t="s">
        <v>587</v>
      </c>
      <c r="T70" s="2" t="s">
        <v>529</v>
      </c>
      <c r="U70" s="2" t="s">
        <v>74</v>
      </c>
      <c r="V70" s="5" t="n">
        <v>300</v>
      </c>
      <c r="W70" s="2"/>
      <c r="X70" s="2" t="s">
        <v>588</v>
      </c>
      <c r="Y70" s="5"/>
      <c r="Z70" s="2" t="s">
        <v>589</v>
      </c>
      <c r="AA70" s="6" t="s">
        <v>590</v>
      </c>
    </row>
    <row r="71" customFormat="false" ht="68.65" hidden="false" customHeight="false" outlineLevel="0" collapsed="false">
      <c r="A71" s="5" t="s">
        <v>591</v>
      </c>
      <c r="B71" s="2" t="s">
        <v>592</v>
      </c>
      <c r="C71" s="5" t="s">
        <v>488</v>
      </c>
      <c r="D71" s="5" t="s">
        <v>60</v>
      </c>
      <c r="E71" s="2" t="s">
        <v>110</v>
      </c>
      <c r="F71" s="5" t="s">
        <v>62</v>
      </c>
      <c r="G71" s="5" t="n">
        <v>9</v>
      </c>
      <c r="H71" s="5" t="s">
        <v>63</v>
      </c>
      <c r="I71" s="5" t="s">
        <v>64</v>
      </c>
      <c r="J71" s="5" t="s">
        <v>65</v>
      </c>
      <c r="K71" s="5" t="s">
        <v>66</v>
      </c>
      <c r="L71" s="2" t="s">
        <v>90</v>
      </c>
      <c r="M71" s="2" t="s">
        <v>116</v>
      </c>
      <c r="N71" s="2" t="s">
        <v>593</v>
      </c>
      <c r="O71" s="2" t="s">
        <v>594</v>
      </c>
      <c r="P71" s="2"/>
      <c r="Q71" s="5" t="n">
        <v>1</v>
      </c>
      <c r="R71" s="2" t="s">
        <v>71</v>
      </c>
      <c r="S71" s="2" t="s">
        <v>595</v>
      </c>
      <c r="T71" s="2" t="s">
        <v>596</v>
      </c>
      <c r="U71" s="2" t="s">
        <v>74</v>
      </c>
      <c r="V71" s="5" t="n">
        <v>300</v>
      </c>
      <c r="W71" s="2"/>
      <c r="X71" s="2" t="s">
        <v>597</v>
      </c>
      <c r="Y71" s="5"/>
      <c r="Z71" s="2" t="s">
        <v>598</v>
      </c>
      <c r="AA71" s="6" t="s">
        <v>599</v>
      </c>
    </row>
    <row r="72" customFormat="false" ht="527.6" hidden="false" customHeight="false" outlineLevel="0" collapsed="false">
      <c r="A72" s="5" t="s">
        <v>600</v>
      </c>
      <c r="B72" s="2" t="s">
        <v>601</v>
      </c>
      <c r="C72" s="5" t="s">
        <v>488</v>
      </c>
      <c r="D72" s="5" t="s">
        <v>60</v>
      </c>
      <c r="E72" s="2" t="s">
        <v>100</v>
      </c>
      <c r="F72" s="5" t="s">
        <v>62</v>
      </c>
      <c r="G72" s="5" t="n">
        <v>9</v>
      </c>
      <c r="H72" s="5" t="s">
        <v>63</v>
      </c>
      <c r="I72" s="5" t="s">
        <v>64</v>
      </c>
      <c r="J72" s="5" t="s">
        <v>65</v>
      </c>
      <c r="K72" s="5" t="s">
        <v>66</v>
      </c>
      <c r="L72" s="2" t="s">
        <v>100</v>
      </c>
      <c r="M72" s="2" t="s">
        <v>491</v>
      </c>
      <c r="N72" s="2" t="s">
        <v>602</v>
      </c>
      <c r="O72" s="2" t="s">
        <v>603</v>
      </c>
      <c r="P72" s="2"/>
      <c r="Q72" s="5" t="n">
        <v>3</v>
      </c>
      <c r="R72" s="2" t="s">
        <v>604</v>
      </c>
      <c r="S72" s="2" t="s">
        <v>605</v>
      </c>
      <c r="T72" s="2" t="s">
        <v>606</v>
      </c>
      <c r="U72" s="2" t="s">
        <v>607</v>
      </c>
      <c r="V72" s="5" t="n">
        <v>900</v>
      </c>
      <c r="W72" s="2" t="s">
        <v>608</v>
      </c>
      <c r="X72" s="2" t="s">
        <v>609</v>
      </c>
      <c r="Y72" s="5"/>
      <c r="Z72" s="2" t="s">
        <v>610</v>
      </c>
      <c r="AA72" s="6" t="s">
        <v>611</v>
      </c>
    </row>
    <row r="73" customFormat="false" ht="359.7" hidden="false" customHeight="false" outlineLevel="0" collapsed="false">
      <c r="A73" s="5" t="s">
        <v>612</v>
      </c>
      <c r="B73" s="2" t="s">
        <v>613</v>
      </c>
      <c r="C73" s="5" t="s">
        <v>488</v>
      </c>
      <c r="D73" s="5" t="s">
        <v>60</v>
      </c>
      <c r="E73" s="2" t="s">
        <v>489</v>
      </c>
      <c r="F73" s="5" t="s">
        <v>62</v>
      </c>
      <c r="G73" s="5" t="n">
        <v>9</v>
      </c>
      <c r="H73" s="5" t="s">
        <v>63</v>
      </c>
      <c r="I73" s="5" t="s">
        <v>64</v>
      </c>
      <c r="J73" s="5" t="s">
        <v>65</v>
      </c>
      <c r="K73" s="5" t="s">
        <v>66</v>
      </c>
      <c r="L73" s="2" t="s">
        <v>100</v>
      </c>
      <c r="M73" s="2" t="s">
        <v>491</v>
      </c>
      <c r="N73" s="2" t="s">
        <v>614</v>
      </c>
      <c r="O73" s="2" t="s">
        <v>615</v>
      </c>
      <c r="P73" s="2"/>
      <c r="Q73" s="5" t="n">
        <v>3</v>
      </c>
      <c r="R73" s="2" t="s">
        <v>604</v>
      </c>
      <c r="S73" s="2" t="s">
        <v>605</v>
      </c>
      <c r="T73" s="2" t="s">
        <v>606</v>
      </c>
      <c r="U73" s="2" t="s">
        <v>607</v>
      </c>
      <c r="V73" s="5" t="n">
        <v>900</v>
      </c>
      <c r="W73" s="2" t="s">
        <v>608</v>
      </c>
      <c r="X73" s="2" t="s">
        <v>616</v>
      </c>
      <c r="Y73" s="5"/>
      <c r="Z73" s="2" t="s">
        <v>617</v>
      </c>
      <c r="AA73" s="6" t="s">
        <v>618</v>
      </c>
    </row>
    <row r="74" customFormat="false" ht="281.3" hidden="false" customHeight="false" outlineLevel="0" collapsed="false">
      <c r="A74" s="5" t="s">
        <v>619</v>
      </c>
      <c r="B74" s="2" t="s">
        <v>620</v>
      </c>
      <c r="C74" s="5" t="s">
        <v>488</v>
      </c>
      <c r="D74" s="5" t="s">
        <v>60</v>
      </c>
      <c r="E74" s="2" t="s">
        <v>489</v>
      </c>
      <c r="F74" s="5" t="s">
        <v>62</v>
      </c>
      <c r="G74" s="5" t="n">
        <v>9</v>
      </c>
      <c r="H74" s="5" t="s">
        <v>63</v>
      </c>
      <c r="I74" s="5" t="s">
        <v>64</v>
      </c>
      <c r="J74" s="5" t="s">
        <v>65</v>
      </c>
      <c r="K74" s="5" t="s">
        <v>66</v>
      </c>
      <c r="L74" s="2" t="s">
        <v>100</v>
      </c>
      <c r="M74" s="2" t="s">
        <v>491</v>
      </c>
      <c r="N74" s="2" t="s">
        <v>614</v>
      </c>
      <c r="O74" s="2" t="s">
        <v>621</v>
      </c>
      <c r="P74" s="2"/>
      <c r="Q74" s="5" t="n">
        <v>1</v>
      </c>
      <c r="R74" s="2" t="s">
        <v>622</v>
      </c>
      <c r="S74" s="2" t="s">
        <v>623</v>
      </c>
      <c r="T74" s="2" t="s">
        <v>624</v>
      </c>
      <c r="U74" s="2" t="s">
        <v>625</v>
      </c>
      <c r="V74" s="5" t="n">
        <v>3600</v>
      </c>
      <c r="W74" s="2"/>
      <c r="X74" s="2" t="s">
        <v>626</v>
      </c>
      <c r="Y74" s="5"/>
      <c r="Z74" s="2" t="s">
        <v>627</v>
      </c>
      <c r="AA74" s="6" t="s">
        <v>628</v>
      </c>
    </row>
    <row r="75" customFormat="false" ht="281.3" hidden="false" customHeight="false" outlineLevel="0" collapsed="false">
      <c r="A75" s="5" t="s">
        <v>629</v>
      </c>
      <c r="B75" s="2" t="s">
        <v>630</v>
      </c>
      <c r="C75" s="5" t="s">
        <v>488</v>
      </c>
      <c r="D75" s="5" t="s">
        <v>60</v>
      </c>
      <c r="E75" s="2" t="s">
        <v>489</v>
      </c>
      <c r="F75" s="5" t="s">
        <v>62</v>
      </c>
      <c r="G75" s="5" t="n">
        <v>9</v>
      </c>
      <c r="H75" s="5" t="s">
        <v>63</v>
      </c>
      <c r="I75" s="5" t="s">
        <v>64</v>
      </c>
      <c r="J75" s="5" t="s">
        <v>65</v>
      </c>
      <c r="K75" s="5" t="s">
        <v>66</v>
      </c>
      <c r="L75" s="2" t="s">
        <v>100</v>
      </c>
      <c r="M75" s="2" t="s">
        <v>491</v>
      </c>
      <c r="N75" s="2" t="s">
        <v>614</v>
      </c>
      <c r="O75" s="2" t="s">
        <v>631</v>
      </c>
      <c r="P75" s="2"/>
      <c r="Q75" s="5" t="n">
        <v>1</v>
      </c>
      <c r="R75" s="2" t="s">
        <v>622</v>
      </c>
      <c r="S75" s="2" t="s">
        <v>623</v>
      </c>
      <c r="T75" s="2" t="s">
        <v>624</v>
      </c>
      <c r="U75" s="2" t="s">
        <v>625</v>
      </c>
      <c r="V75" s="5" t="n">
        <v>3600</v>
      </c>
      <c r="W75" s="2"/>
      <c r="X75" s="2" t="s">
        <v>632</v>
      </c>
      <c r="Y75" s="5"/>
      <c r="Z75" s="2" t="s">
        <v>633</v>
      </c>
      <c r="AA75" s="6" t="s">
        <v>634</v>
      </c>
    </row>
    <row r="76" customFormat="false" ht="147" hidden="false" customHeight="false" outlineLevel="0" collapsed="false">
      <c r="A76" s="5" t="s">
        <v>635</v>
      </c>
      <c r="B76" s="2" t="s">
        <v>636</v>
      </c>
      <c r="C76" s="5" t="s">
        <v>488</v>
      </c>
      <c r="D76" s="5" t="s">
        <v>60</v>
      </c>
      <c r="E76" s="2" t="s">
        <v>100</v>
      </c>
      <c r="F76" s="5" t="s">
        <v>62</v>
      </c>
      <c r="G76" s="5" t="n">
        <v>9</v>
      </c>
      <c r="H76" s="5" t="s">
        <v>63</v>
      </c>
      <c r="I76" s="5" t="s">
        <v>64</v>
      </c>
      <c r="J76" s="5" t="s">
        <v>65</v>
      </c>
      <c r="K76" s="5" t="s">
        <v>66</v>
      </c>
      <c r="L76" s="2" t="s">
        <v>100</v>
      </c>
      <c r="M76" s="2" t="s">
        <v>491</v>
      </c>
      <c r="N76" s="2" t="s">
        <v>637</v>
      </c>
      <c r="O76" s="2" t="s">
        <v>638</v>
      </c>
      <c r="P76" s="2"/>
      <c r="Q76" s="5" t="n">
        <v>1</v>
      </c>
      <c r="R76" s="2" t="s">
        <v>639</v>
      </c>
      <c r="S76" s="2" t="s">
        <v>640</v>
      </c>
      <c r="T76" s="2" t="s">
        <v>641</v>
      </c>
      <c r="U76" s="2" t="s">
        <v>642</v>
      </c>
      <c r="V76" s="5" t="n">
        <v>3600</v>
      </c>
      <c r="W76" s="2"/>
      <c r="X76" s="2" t="s">
        <v>643</v>
      </c>
      <c r="Y76" s="5"/>
      <c r="Z76" s="2" t="s">
        <v>644</v>
      </c>
      <c r="AA76" s="6" t="s">
        <v>645</v>
      </c>
    </row>
    <row r="77" customFormat="false" ht="68.65" hidden="false" customHeight="false" outlineLevel="0" collapsed="false">
      <c r="A77" s="5" t="s">
        <v>646</v>
      </c>
      <c r="B77" s="2" t="s">
        <v>647</v>
      </c>
      <c r="C77" s="5" t="s">
        <v>488</v>
      </c>
      <c r="D77" s="5" t="s">
        <v>60</v>
      </c>
      <c r="E77" s="2" t="s">
        <v>481</v>
      </c>
      <c r="F77" s="5" t="s">
        <v>62</v>
      </c>
      <c r="G77" s="5" t="n">
        <v>8</v>
      </c>
      <c r="H77" s="5" t="s">
        <v>89</v>
      </c>
      <c r="I77" s="5" t="s">
        <v>64</v>
      </c>
      <c r="J77" s="5" t="s">
        <v>65</v>
      </c>
      <c r="K77" s="5" t="s">
        <v>66</v>
      </c>
      <c r="L77" s="2" t="s">
        <v>481</v>
      </c>
      <c r="M77" s="2"/>
      <c r="N77" s="2" t="s">
        <v>648</v>
      </c>
      <c r="O77" s="2" t="s">
        <v>649</v>
      </c>
      <c r="P77" s="2"/>
      <c r="Q77" s="5" t="n">
        <v>1</v>
      </c>
      <c r="R77" s="2" t="s">
        <v>650</v>
      </c>
      <c r="S77" s="2" t="s">
        <v>83</v>
      </c>
      <c r="T77" s="2" t="s">
        <v>651</v>
      </c>
      <c r="U77" s="2" t="s">
        <v>74</v>
      </c>
      <c r="V77" s="5" t="n">
        <v>300</v>
      </c>
      <c r="W77" s="2"/>
      <c r="X77" s="2" t="s">
        <v>652</v>
      </c>
      <c r="Y77" s="5"/>
      <c r="Z77" s="2" t="s">
        <v>653</v>
      </c>
      <c r="AA77" s="6" t="s">
        <v>654</v>
      </c>
    </row>
    <row r="78" customFormat="false" ht="102.2" hidden="false" customHeight="false" outlineLevel="0" collapsed="false">
      <c r="A78" s="5" t="s">
        <v>655</v>
      </c>
      <c r="B78" s="2" t="s">
        <v>656</v>
      </c>
      <c r="C78" s="5" t="s">
        <v>488</v>
      </c>
      <c r="D78" s="5" t="s">
        <v>60</v>
      </c>
      <c r="E78" s="2" t="s">
        <v>100</v>
      </c>
      <c r="F78" s="5" t="s">
        <v>62</v>
      </c>
      <c r="G78" s="5" t="n">
        <v>8</v>
      </c>
      <c r="H78" s="5" t="s">
        <v>89</v>
      </c>
      <c r="I78" s="5" t="s">
        <v>64</v>
      </c>
      <c r="J78" s="5" t="s">
        <v>65</v>
      </c>
      <c r="K78" s="5" t="s">
        <v>66</v>
      </c>
      <c r="L78" s="2" t="s">
        <v>100</v>
      </c>
      <c r="M78" s="2"/>
      <c r="N78" s="2" t="s">
        <v>648</v>
      </c>
      <c r="O78" s="2" t="s">
        <v>657</v>
      </c>
      <c r="P78" s="2"/>
      <c r="Q78" s="5" t="n">
        <v>1</v>
      </c>
      <c r="R78" s="2" t="s">
        <v>650</v>
      </c>
      <c r="S78" s="2" t="s">
        <v>83</v>
      </c>
      <c r="T78" s="2" t="s">
        <v>651</v>
      </c>
      <c r="U78" s="2" t="s">
        <v>74</v>
      </c>
      <c r="V78" s="5" t="n">
        <v>300</v>
      </c>
      <c r="W78" s="2"/>
      <c r="X78" s="2" t="s">
        <v>658</v>
      </c>
      <c r="Y78" s="5"/>
      <c r="Z78" s="2" t="s">
        <v>659</v>
      </c>
      <c r="AA78" s="6" t="s">
        <v>660</v>
      </c>
    </row>
    <row r="79" customFormat="false" ht="102.2" hidden="false" customHeight="false" outlineLevel="0" collapsed="false">
      <c r="A79" s="5" t="s">
        <v>661</v>
      </c>
      <c r="B79" s="2" t="s">
        <v>662</v>
      </c>
      <c r="C79" s="5" t="s">
        <v>488</v>
      </c>
      <c r="D79" s="5" t="s">
        <v>60</v>
      </c>
      <c r="E79" s="2" t="s">
        <v>577</v>
      </c>
      <c r="F79" s="5" t="s">
        <v>62</v>
      </c>
      <c r="G79" s="5" t="n">
        <v>8</v>
      </c>
      <c r="H79" s="5" t="s">
        <v>89</v>
      </c>
      <c r="I79" s="5" t="s">
        <v>64</v>
      </c>
      <c r="J79" s="5" t="s">
        <v>65</v>
      </c>
      <c r="K79" s="5" t="s">
        <v>66</v>
      </c>
      <c r="L79" s="2" t="s">
        <v>481</v>
      </c>
      <c r="M79" s="2" t="s">
        <v>663</v>
      </c>
      <c r="N79" s="2" t="s">
        <v>648</v>
      </c>
      <c r="O79" s="2" t="s">
        <v>664</v>
      </c>
      <c r="P79" s="2"/>
      <c r="Q79" s="5" t="n">
        <v>1</v>
      </c>
      <c r="R79" s="2" t="s">
        <v>650</v>
      </c>
      <c r="S79" s="2" t="s">
        <v>83</v>
      </c>
      <c r="T79" s="2" t="s">
        <v>651</v>
      </c>
      <c r="U79" s="2" t="s">
        <v>74</v>
      </c>
      <c r="V79" s="5" t="n">
        <v>300</v>
      </c>
      <c r="W79" s="2"/>
      <c r="X79" s="2" t="s">
        <v>665</v>
      </c>
      <c r="Y79" s="5"/>
      <c r="Z79" s="2" t="s">
        <v>666</v>
      </c>
      <c r="AA79" s="6" t="s">
        <v>667</v>
      </c>
    </row>
    <row r="80" customFormat="false" ht="35.05" hidden="false" customHeight="false" outlineLevel="0" collapsed="false">
      <c r="A80" s="5" t="s">
        <v>668</v>
      </c>
      <c r="B80" s="2" t="s">
        <v>669</v>
      </c>
      <c r="C80" s="5" t="s">
        <v>488</v>
      </c>
      <c r="D80" s="5" t="s">
        <v>60</v>
      </c>
      <c r="E80" s="2" t="s">
        <v>100</v>
      </c>
      <c r="F80" s="5" t="s">
        <v>62</v>
      </c>
      <c r="G80" s="5" t="n">
        <v>8</v>
      </c>
      <c r="H80" s="5" t="s">
        <v>89</v>
      </c>
      <c r="I80" s="5" t="s">
        <v>64</v>
      </c>
      <c r="J80" s="5" t="s">
        <v>65</v>
      </c>
      <c r="K80" s="5" t="s">
        <v>66</v>
      </c>
      <c r="L80" s="2" t="s">
        <v>100</v>
      </c>
      <c r="M80" s="2"/>
      <c r="N80" s="2" t="s">
        <v>670</v>
      </c>
      <c r="O80" s="2" t="s">
        <v>671</v>
      </c>
      <c r="P80" s="2"/>
      <c r="Q80" s="5" t="n">
        <v>1</v>
      </c>
      <c r="R80" s="2" t="s">
        <v>672</v>
      </c>
      <c r="S80" s="2" t="s">
        <v>83</v>
      </c>
      <c r="T80" s="2" t="s">
        <v>673</v>
      </c>
      <c r="U80" s="2" t="s">
        <v>674</v>
      </c>
      <c r="V80" s="5" t="n">
        <v>600</v>
      </c>
      <c r="W80" s="2"/>
      <c r="X80" s="2" t="s">
        <v>675</v>
      </c>
      <c r="Y80" s="5"/>
      <c r="Z80" s="2" t="s">
        <v>676</v>
      </c>
      <c r="AA80" s="6" t="s">
        <v>677</v>
      </c>
    </row>
    <row r="81" customFormat="false" ht="35.05" hidden="false" customHeight="false" outlineLevel="0" collapsed="false">
      <c r="A81" s="5" t="s">
        <v>678</v>
      </c>
      <c r="B81" s="2" t="s">
        <v>679</v>
      </c>
      <c r="C81" s="5" t="s">
        <v>488</v>
      </c>
      <c r="D81" s="5" t="s">
        <v>60</v>
      </c>
      <c r="E81" s="2" t="s">
        <v>100</v>
      </c>
      <c r="F81" s="5" t="s">
        <v>62</v>
      </c>
      <c r="G81" s="5" t="n">
        <v>8</v>
      </c>
      <c r="H81" s="5" t="s">
        <v>89</v>
      </c>
      <c r="I81" s="5" t="s">
        <v>64</v>
      </c>
      <c r="J81" s="5" t="s">
        <v>65</v>
      </c>
      <c r="K81" s="5" t="s">
        <v>66</v>
      </c>
      <c r="L81" s="2" t="s">
        <v>100</v>
      </c>
      <c r="M81" s="2"/>
      <c r="N81" s="2" t="s">
        <v>670</v>
      </c>
      <c r="O81" s="2" t="s">
        <v>680</v>
      </c>
      <c r="P81" s="2"/>
      <c r="Q81" s="5" t="n">
        <v>1</v>
      </c>
      <c r="R81" s="2" t="s">
        <v>672</v>
      </c>
      <c r="S81" s="2" t="s">
        <v>83</v>
      </c>
      <c r="T81" s="2" t="s">
        <v>673</v>
      </c>
      <c r="U81" s="2" t="s">
        <v>681</v>
      </c>
      <c r="V81" s="5" t="n">
        <v>600</v>
      </c>
      <c r="W81" s="2"/>
      <c r="X81" s="2" t="s">
        <v>682</v>
      </c>
      <c r="Y81" s="5"/>
      <c r="Z81" s="2" t="s">
        <v>683</v>
      </c>
      <c r="AA81" s="6" t="s">
        <v>684</v>
      </c>
    </row>
    <row r="82" customFormat="false" ht="23.85" hidden="false" customHeight="false" outlineLevel="0" collapsed="false">
      <c r="A82" s="5" t="s">
        <v>685</v>
      </c>
      <c r="B82" s="2" t="s">
        <v>686</v>
      </c>
      <c r="C82" s="5" t="s">
        <v>488</v>
      </c>
      <c r="D82" s="5" t="s">
        <v>60</v>
      </c>
      <c r="E82" s="2" t="s">
        <v>100</v>
      </c>
      <c r="F82" s="5" t="s">
        <v>62</v>
      </c>
      <c r="G82" s="5" t="n">
        <v>8</v>
      </c>
      <c r="H82" s="5" t="s">
        <v>89</v>
      </c>
      <c r="I82" s="5" t="s">
        <v>64</v>
      </c>
      <c r="J82" s="5" t="s">
        <v>65</v>
      </c>
      <c r="K82" s="5" t="s">
        <v>66</v>
      </c>
      <c r="L82" s="2" t="s">
        <v>100</v>
      </c>
      <c r="M82" s="2"/>
      <c r="N82" s="2" t="s">
        <v>670</v>
      </c>
      <c r="O82" s="2" t="s">
        <v>687</v>
      </c>
      <c r="P82" s="2"/>
      <c r="Q82" s="5" t="n">
        <v>1</v>
      </c>
      <c r="R82" s="2" t="s">
        <v>672</v>
      </c>
      <c r="S82" s="2" t="s">
        <v>83</v>
      </c>
      <c r="T82" s="2" t="s">
        <v>688</v>
      </c>
      <c r="U82" s="2" t="s">
        <v>681</v>
      </c>
      <c r="V82" s="5" t="n">
        <v>600</v>
      </c>
      <c r="W82" s="2"/>
      <c r="X82" s="2" t="s">
        <v>689</v>
      </c>
      <c r="Y82" s="5"/>
      <c r="Z82" s="2" t="s">
        <v>690</v>
      </c>
      <c r="AA82" s="6" t="s">
        <v>691</v>
      </c>
    </row>
    <row r="83" customFormat="false" ht="35.05" hidden="false" customHeight="false" outlineLevel="0" collapsed="false">
      <c r="A83" s="5" t="s">
        <v>692</v>
      </c>
      <c r="B83" s="2" t="s">
        <v>693</v>
      </c>
      <c r="C83" s="5" t="s">
        <v>488</v>
      </c>
      <c r="D83" s="5" t="s">
        <v>60</v>
      </c>
      <c r="E83" s="2" t="s">
        <v>694</v>
      </c>
      <c r="F83" s="5" t="s">
        <v>62</v>
      </c>
      <c r="G83" s="5" t="n">
        <v>8</v>
      </c>
      <c r="H83" s="5" t="s">
        <v>89</v>
      </c>
      <c r="I83" s="5" t="s">
        <v>64</v>
      </c>
      <c r="J83" s="5" t="s">
        <v>65</v>
      </c>
      <c r="K83" s="5" t="s">
        <v>66</v>
      </c>
      <c r="L83" s="2" t="s">
        <v>100</v>
      </c>
      <c r="M83" s="2" t="s">
        <v>491</v>
      </c>
      <c r="N83" s="2" t="s">
        <v>670</v>
      </c>
      <c r="O83" s="2" t="s">
        <v>695</v>
      </c>
      <c r="P83" s="2"/>
      <c r="Q83" s="5" t="n">
        <v>1</v>
      </c>
      <c r="R83" s="2" t="s">
        <v>672</v>
      </c>
      <c r="S83" s="2" t="s">
        <v>83</v>
      </c>
      <c r="T83" s="2" t="s">
        <v>673</v>
      </c>
      <c r="U83" s="2" t="s">
        <v>681</v>
      </c>
      <c r="V83" s="5" t="n">
        <v>600</v>
      </c>
      <c r="W83" s="2"/>
      <c r="X83" s="2" t="s">
        <v>696</v>
      </c>
      <c r="Y83" s="5"/>
      <c r="Z83" s="2" t="s">
        <v>697</v>
      </c>
      <c r="AA83" s="6" t="s">
        <v>698</v>
      </c>
    </row>
    <row r="84" customFormat="false" ht="35.05" hidden="false" customHeight="false" outlineLevel="0" collapsed="false">
      <c r="A84" s="5" t="s">
        <v>699</v>
      </c>
      <c r="B84" s="2" t="s">
        <v>700</v>
      </c>
      <c r="C84" s="5" t="s">
        <v>488</v>
      </c>
      <c r="D84" s="5" t="s">
        <v>60</v>
      </c>
      <c r="E84" s="2" t="s">
        <v>100</v>
      </c>
      <c r="F84" s="5" t="s">
        <v>62</v>
      </c>
      <c r="G84" s="5" t="n">
        <v>8</v>
      </c>
      <c r="H84" s="5" t="s">
        <v>89</v>
      </c>
      <c r="I84" s="5" t="s">
        <v>64</v>
      </c>
      <c r="J84" s="5" t="s">
        <v>65</v>
      </c>
      <c r="K84" s="5" t="s">
        <v>66</v>
      </c>
      <c r="L84" s="2" t="s">
        <v>100</v>
      </c>
      <c r="M84" s="2"/>
      <c r="N84" s="2" t="s">
        <v>670</v>
      </c>
      <c r="O84" s="2" t="s">
        <v>701</v>
      </c>
      <c r="P84" s="2"/>
      <c r="Q84" s="5" t="n">
        <v>1</v>
      </c>
      <c r="R84" s="2" t="s">
        <v>672</v>
      </c>
      <c r="S84" s="2" t="s">
        <v>83</v>
      </c>
      <c r="T84" s="2" t="s">
        <v>673</v>
      </c>
      <c r="U84" s="2" t="s">
        <v>681</v>
      </c>
      <c r="V84" s="5" t="n">
        <v>600</v>
      </c>
      <c r="W84" s="2"/>
      <c r="X84" s="2" t="s">
        <v>702</v>
      </c>
      <c r="Y84" s="5"/>
      <c r="Z84" s="2" t="s">
        <v>703</v>
      </c>
      <c r="AA84" s="6" t="s">
        <v>704</v>
      </c>
    </row>
    <row r="85" customFormat="false" ht="35.05" hidden="false" customHeight="false" outlineLevel="0" collapsed="false">
      <c r="A85" s="5" t="s">
        <v>705</v>
      </c>
      <c r="B85" s="2" t="s">
        <v>706</v>
      </c>
      <c r="C85" s="5" t="s">
        <v>488</v>
      </c>
      <c r="D85" s="5" t="s">
        <v>60</v>
      </c>
      <c r="E85" s="2" t="s">
        <v>100</v>
      </c>
      <c r="F85" s="5" t="s">
        <v>62</v>
      </c>
      <c r="G85" s="5" t="n">
        <v>8</v>
      </c>
      <c r="H85" s="5" t="s">
        <v>89</v>
      </c>
      <c r="I85" s="5" t="s">
        <v>64</v>
      </c>
      <c r="J85" s="5" t="s">
        <v>65</v>
      </c>
      <c r="K85" s="5" t="s">
        <v>66</v>
      </c>
      <c r="L85" s="2" t="s">
        <v>100</v>
      </c>
      <c r="M85" s="2" t="s">
        <v>491</v>
      </c>
      <c r="N85" s="2" t="s">
        <v>670</v>
      </c>
      <c r="O85" s="2" t="s">
        <v>707</v>
      </c>
      <c r="P85" s="2"/>
      <c r="Q85" s="5" t="n">
        <v>1</v>
      </c>
      <c r="R85" s="2" t="s">
        <v>672</v>
      </c>
      <c r="S85" s="2" t="s">
        <v>83</v>
      </c>
      <c r="T85" s="2" t="s">
        <v>673</v>
      </c>
      <c r="U85" s="2" t="s">
        <v>681</v>
      </c>
      <c r="V85" s="5" t="n">
        <v>600</v>
      </c>
      <c r="W85" s="2"/>
      <c r="X85" s="2" t="s">
        <v>708</v>
      </c>
      <c r="Y85" s="5"/>
      <c r="Z85" s="2" t="s">
        <v>690</v>
      </c>
      <c r="AA85" s="6" t="s">
        <v>709</v>
      </c>
    </row>
    <row r="86" customFormat="false" ht="35.05" hidden="false" customHeight="false" outlineLevel="0" collapsed="false">
      <c r="A86" s="5" t="s">
        <v>710</v>
      </c>
      <c r="B86" s="2" t="s">
        <v>711</v>
      </c>
      <c r="C86" s="5" t="s">
        <v>488</v>
      </c>
      <c r="D86" s="5" t="s">
        <v>60</v>
      </c>
      <c r="E86" s="2" t="s">
        <v>100</v>
      </c>
      <c r="F86" s="5" t="s">
        <v>62</v>
      </c>
      <c r="G86" s="5" t="n">
        <v>8</v>
      </c>
      <c r="H86" s="5" t="s">
        <v>89</v>
      </c>
      <c r="I86" s="5" t="s">
        <v>64</v>
      </c>
      <c r="J86" s="5" t="s">
        <v>65</v>
      </c>
      <c r="K86" s="5" t="s">
        <v>66</v>
      </c>
      <c r="L86" s="2" t="s">
        <v>100</v>
      </c>
      <c r="M86" s="2"/>
      <c r="N86" s="2" t="s">
        <v>670</v>
      </c>
      <c r="O86" s="2" t="s">
        <v>712</v>
      </c>
      <c r="P86" s="2"/>
      <c r="Q86" s="5" t="n">
        <v>1</v>
      </c>
      <c r="R86" s="2" t="s">
        <v>672</v>
      </c>
      <c r="S86" s="2" t="s">
        <v>83</v>
      </c>
      <c r="T86" s="2" t="s">
        <v>673</v>
      </c>
      <c r="U86" s="2" t="s">
        <v>674</v>
      </c>
      <c r="V86" s="5" t="n">
        <v>600</v>
      </c>
      <c r="W86" s="2"/>
      <c r="X86" s="2" t="s">
        <v>713</v>
      </c>
      <c r="Y86" s="5"/>
      <c r="Z86" s="2" t="s">
        <v>714</v>
      </c>
      <c r="AA86" s="6" t="s">
        <v>715</v>
      </c>
    </row>
    <row r="87" customFormat="false" ht="35.05" hidden="false" customHeight="false" outlineLevel="0" collapsed="false">
      <c r="A87" s="5" t="s">
        <v>716</v>
      </c>
      <c r="B87" s="2" t="s">
        <v>717</v>
      </c>
      <c r="C87" s="5" t="s">
        <v>488</v>
      </c>
      <c r="D87" s="5" t="s">
        <v>60</v>
      </c>
      <c r="E87" s="2" t="s">
        <v>100</v>
      </c>
      <c r="F87" s="5" t="s">
        <v>62</v>
      </c>
      <c r="G87" s="5" t="n">
        <v>8</v>
      </c>
      <c r="H87" s="5" t="s">
        <v>89</v>
      </c>
      <c r="I87" s="5" t="s">
        <v>64</v>
      </c>
      <c r="J87" s="5" t="s">
        <v>65</v>
      </c>
      <c r="K87" s="5" t="s">
        <v>66</v>
      </c>
      <c r="L87" s="2" t="s">
        <v>100</v>
      </c>
      <c r="M87" s="2"/>
      <c r="N87" s="2" t="s">
        <v>670</v>
      </c>
      <c r="O87" s="2" t="s">
        <v>718</v>
      </c>
      <c r="P87" s="2"/>
      <c r="Q87" s="5" t="n">
        <v>1</v>
      </c>
      <c r="R87" s="2" t="s">
        <v>672</v>
      </c>
      <c r="S87" s="2" t="s">
        <v>83</v>
      </c>
      <c r="T87" s="2" t="s">
        <v>673</v>
      </c>
      <c r="U87" s="2" t="s">
        <v>674</v>
      </c>
      <c r="V87" s="5" t="n">
        <v>600</v>
      </c>
      <c r="W87" s="2"/>
      <c r="X87" s="2" t="s">
        <v>719</v>
      </c>
      <c r="Y87" s="5"/>
      <c r="Z87" s="2" t="s">
        <v>720</v>
      </c>
      <c r="AA87" s="6" t="s">
        <v>721</v>
      </c>
    </row>
    <row r="88" customFormat="false" ht="23.85" hidden="false" customHeight="false" outlineLevel="0" collapsed="false">
      <c r="A88" s="5" t="s">
        <v>722</v>
      </c>
      <c r="B88" s="2" t="s">
        <v>723</v>
      </c>
      <c r="C88" s="5" t="s">
        <v>488</v>
      </c>
      <c r="D88" s="5" t="s">
        <v>60</v>
      </c>
      <c r="E88" s="2" t="s">
        <v>100</v>
      </c>
      <c r="F88" s="5" t="s">
        <v>62</v>
      </c>
      <c r="G88" s="5" t="n">
        <v>8</v>
      </c>
      <c r="H88" s="5" t="s">
        <v>89</v>
      </c>
      <c r="I88" s="5" t="s">
        <v>64</v>
      </c>
      <c r="J88" s="5" t="s">
        <v>65</v>
      </c>
      <c r="K88" s="5" t="s">
        <v>66</v>
      </c>
      <c r="L88" s="2" t="s">
        <v>100</v>
      </c>
      <c r="M88" s="2"/>
      <c r="N88" s="2" t="s">
        <v>670</v>
      </c>
      <c r="O88" s="2" t="s">
        <v>724</v>
      </c>
      <c r="P88" s="2"/>
      <c r="Q88" s="5" t="n">
        <v>1</v>
      </c>
      <c r="R88" s="2" t="s">
        <v>672</v>
      </c>
      <c r="S88" s="2" t="s">
        <v>83</v>
      </c>
      <c r="T88" s="2" t="s">
        <v>688</v>
      </c>
      <c r="U88" s="2" t="s">
        <v>681</v>
      </c>
      <c r="V88" s="5" t="n">
        <v>600</v>
      </c>
      <c r="W88" s="2"/>
      <c r="X88" s="2" t="s">
        <v>725</v>
      </c>
      <c r="Y88" s="5"/>
      <c r="Z88" s="2" t="s">
        <v>726</v>
      </c>
      <c r="AA88" s="6" t="s">
        <v>727</v>
      </c>
    </row>
    <row r="89" customFormat="false" ht="23.85" hidden="false" customHeight="false" outlineLevel="0" collapsed="false">
      <c r="A89" s="5" t="s">
        <v>728</v>
      </c>
      <c r="B89" s="2" t="s">
        <v>729</v>
      </c>
      <c r="C89" s="5" t="s">
        <v>488</v>
      </c>
      <c r="D89" s="5" t="s">
        <v>60</v>
      </c>
      <c r="E89" s="2" t="s">
        <v>161</v>
      </c>
      <c r="F89" s="5" t="s">
        <v>62</v>
      </c>
      <c r="G89" s="5" t="n">
        <v>9</v>
      </c>
      <c r="H89" s="5" t="s">
        <v>63</v>
      </c>
      <c r="I89" s="5" t="s">
        <v>64</v>
      </c>
      <c r="J89" s="5" t="s">
        <v>65</v>
      </c>
      <c r="K89" s="5" t="s">
        <v>66</v>
      </c>
      <c r="L89" s="2" t="s">
        <v>90</v>
      </c>
      <c r="M89" s="2" t="s">
        <v>545</v>
      </c>
      <c r="N89" s="2" t="s">
        <v>730</v>
      </c>
      <c r="O89" s="2" t="s">
        <v>731</v>
      </c>
      <c r="P89" s="2"/>
      <c r="Q89" s="5" t="n">
        <v>1</v>
      </c>
      <c r="R89" s="2" t="s">
        <v>732</v>
      </c>
      <c r="S89" s="2" t="s">
        <v>83</v>
      </c>
      <c r="T89" s="2" t="s">
        <v>733</v>
      </c>
      <c r="U89" s="2" t="s">
        <v>734</v>
      </c>
      <c r="V89" s="5" t="n">
        <v>300</v>
      </c>
      <c r="W89" s="2"/>
      <c r="X89" s="2" t="s">
        <v>735</v>
      </c>
      <c r="Y89" s="5"/>
      <c r="Z89" s="2" t="s">
        <v>736</v>
      </c>
      <c r="AA89" s="6" t="s">
        <v>737</v>
      </c>
    </row>
    <row r="90" customFormat="false" ht="68.65" hidden="false" customHeight="false" outlineLevel="0" collapsed="false">
      <c r="A90" s="5" t="s">
        <v>738</v>
      </c>
      <c r="B90" s="2" t="s">
        <v>739</v>
      </c>
      <c r="C90" s="5" t="s">
        <v>488</v>
      </c>
      <c r="D90" s="5" t="s">
        <v>60</v>
      </c>
      <c r="E90" s="2" t="s">
        <v>481</v>
      </c>
      <c r="F90" s="5" t="s">
        <v>62</v>
      </c>
      <c r="G90" s="5" t="n">
        <v>9</v>
      </c>
      <c r="H90" s="5" t="s">
        <v>63</v>
      </c>
      <c r="I90" s="5" t="s">
        <v>64</v>
      </c>
      <c r="J90" s="5" t="s">
        <v>65</v>
      </c>
      <c r="K90" s="5" t="s">
        <v>66</v>
      </c>
      <c r="L90" s="2" t="s">
        <v>481</v>
      </c>
      <c r="M90" s="2" t="s">
        <v>740</v>
      </c>
      <c r="N90" s="2" t="s">
        <v>741</v>
      </c>
      <c r="O90" s="2" t="s">
        <v>742</v>
      </c>
      <c r="P90" s="2"/>
      <c r="Q90" s="5" t="n">
        <v>1</v>
      </c>
      <c r="R90" s="2" t="s">
        <v>743</v>
      </c>
      <c r="S90" s="2" t="s">
        <v>744</v>
      </c>
      <c r="T90" s="2" t="s">
        <v>745</v>
      </c>
      <c r="U90" s="2" t="s">
        <v>74</v>
      </c>
      <c r="V90" s="5" t="n">
        <v>300</v>
      </c>
      <c r="W90" s="2"/>
      <c r="X90" s="2" t="s">
        <v>746</v>
      </c>
      <c r="Y90" s="5"/>
      <c r="Z90" s="2" t="s">
        <v>747</v>
      </c>
      <c r="AA90" s="6" t="s">
        <v>748</v>
      </c>
    </row>
    <row r="91" customFormat="false" ht="23.85" hidden="false" customHeight="false" outlineLevel="0" collapsed="false">
      <c r="A91" s="5" t="s">
        <v>749</v>
      </c>
      <c r="B91" s="2" t="s">
        <v>750</v>
      </c>
      <c r="C91" s="5" t="s">
        <v>488</v>
      </c>
      <c r="D91" s="5" t="s">
        <v>60</v>
      </c>
      <c r="E91" s="2" t="s">
        <v>751</v>
      </c>
      <c r="F91" s="5" t="s">
        <v>62</v>
      </c>
      <c r="G91" s="5" t="n">
        <v>5</v>
      </c>
      <c r="H91" s="5" t="s">
        <v>89</v>
      </c>
      <c r="I91" s="5" t="s">
        <v>64</v>
      </c>
      <c r="J91" s="5" t="s">
        <v>65</v>
      </c>
      <c r="K91" s="5" t="s">
        <v>66</v>
      </c>
      <c r="L91" s="2" t="s">
        <v>277</v>
      </c>
      <c r="M91" s="2" t="s">
        <v>752</v>
      </c>
      <c r="N91" s="2" t="s">
        <v>152</v>
      </c>
      <c r="O91" s="2" t="s">
        <v>753</v>
      </c>
      <c r="P91" s="2"/>
      <c r="Q91" s="5" t="n">
        <v>1</v>
      </c>
      <c r="R91" s="2" t="s">
        <v>71</v>
      </c>
      <c r="S91" s="2" t="s">
        <v>754</v>
      </c>
      <c r="T91" s="2" t="s">
        <v>755</v>
      </c>
      <c r="U91" s="2" t="s">
        <v>74</v>
      </c>
      <c r="V91" s="5" t="n">
        <v>300</v>
      </c>
      <c r="W91" s="2"/>
      <c r="X91" s="2" t="s">
        <v>756</v>
      </c>
      <c r="Y91" s="5"/>
      <c r="Z91" s="2" t="s">
        <v>757</v>
      </c>
      <c r="AA91" s="6" t="s">
        <v>758</v>
      </c>
    </row>
    <row r="92" customFormat="false" ht="23.85" hidden="false" customHeight="false" outlineLevel="0" collapsed="false">
      <c r="A92" s="5" t="s">
        <v>759</v>
      </c>
      <c r="B92" s="2" t="s">
        <v>760</v>
      </c>
      <c r="C92" s="5" t="s">
        <v>488</v>
      </c>
      <c r="D92" s="5" t="s">
        <v>60</v>
      </c>
      <c r="E92" s="2" t="s">
        <v>100</v>
      </c>
      <c r="F92" s="5" t="s">
        <v>62</v>
      </c>
      <c r="G92" s="5" t="n">
        <v>5</v>
      </c>
      <c r="H92" s="5" t="s">
        <v>89</v>
      </c>
      <c r="I92" s="5" t="s">
        <v>64</v>
      </c>
      <c r="J92" s="5" t="s">
        <v>65</v>
      </c>
      <c r="K92" s="5" t="s">
        <v>66</v>
      </c>
      <c r="L92" s="2" t="s">
        <v>100</v>
      </c>
      <c r="M92" s="2" t="s">
        <v>761</v>
      </c>
      <c r="N92" s="2" t="s">
        <v>152</v>
      </c>
      <c r="O92" s="2" t="s">
        <v>753</v>
      </c>
      <c r="P92" s="2"/>
      <c r="Q92" s="5" t="n">
        <v>1</v>
      </c>
      <c r="R92" s="2" t="s">
        <v>71</v>
      </c>
      <c r="S92" s="2" t="s">
        <v>762</v>
      </c>
      <c r="T92" s="2" t="s">
        <v>755</v>
      </c>
      <c r="U92" s="2" t="s">
        <v>74</v>
      </c>
      <c r="V92" s="5" t="n">
        <v>300</v>
      </c>
      <c r="W92" s="2"/>
      <c r="X92" s="2" t="s">
        <v>756</v>
      </c>
      <c r="Y92" s="5"/>
      <c r="Z92" s="2" t="s">
        <v>763</v>
      </c>
      <c r="AA92" s="6" t="s">
        <v>764</v>
      </c>
    </row>
    <row r="93" customFormat="false" ht="91" hidden="false" customHeight="false" outlineLevel="0" collapsed="false">
      <c r="A93" s="5" t="s">
        <v>765</v>
      </c>
      <c r="B93" s="2" t="s">
        <v>766</v>
      </c>
      <c r="C93" s="5" t="s">
        <v>488</v>
      </c>
      <c r="D93" s="5" t="s">
        <v>60</v>
      </c>
      <c r="E93" s="2" t="s">
        <v>577</v>
      </c>
      <c r="F93" s="5" t="s">
        <v>62</v>
      </c>
      <c r="G93" s="5" t="n">
        <v>7</v>
      </c>
      <c r="H93" s="5" t="s">
        <v>89</v>
      </c>
      <c r="I93" s="5" t="s">
        <v>64</v>
      </c>
      <c r="J93" s="5" t="s">
        <v>65</v>
      </c>
      <c r="K93" s="5" t="s">
        <v>66</v>
      </c>
      <c r="L93" s="2" t="s">
        <v>481</v>
      </c>
      <c r="M93" s="2" t="s">
        <v>767</v>
      </c>
      <c r="N93" s="2" t="s">
        <v>152</v>
      </c>
      <c r="O93" s="2" t="s">
        <v>753</v>
      </c>
      <c r="P93" s="2"/>
      <c r="Q93" s="5" t="n">
        <v>1</v>
      </c>
      <c r="R93" s="2" t="s">
        <v>71</v>
      </c>
      <c r="S93" s="2" t="s">
        <v>768</v>
      </c>
      <c r="T93" s="2" t="s">
        <v>769</v>
      </c>
      <c r="U93" s="2" t="s">
        <v>74</v>
      </c>
      <c r="V93" s="5" t="n">
        <v>300</v>
      </c>
      <c r="W93" s="2"/>
      <c r="X93" s="2" t="s">
        <v>756</v>
      </c>
      <c r="Y93" s="5"/>
      <c r="Z93" s="2" t="s">
        <v>770</v>
      </c>
      <c r="AA93" s="6" t="s">
        <v>771</v>
      </c>
    </row>
    <row r="94" customFormat="false" ht="91" hidden="false" customHeight="false" outlineLevel="0" collapsed="false">
      <c r="A94" s="5" t="s">
        <v>772</v>
      </c>
      <c r="B94" s="2" t="s">
        <v>773</v>
      </c>
      <c r="C94" s="5" t="s">
        <v>488</v>
      </c>
      <c r="D94" s="5" t="s">
        <v>60</v>
      </c>
      <c r="E94" s="2" t="s">
        <v>577</v>
      </c>
      <c r="F94" s="5" t="s">
        <v>62</v>
      </c>
      <c r="G94" s="5" t="n">
        <v>7</v>
      </c>
      <c r="H94" s="5" t="s">
        <v>89</v>
      </c>
      <c r="I94" s="5" t="s">
        <v>64</v>
      </c>
      <c r="J94" s="5" t="s">
        <v>65</v>
      </c>
      <c r="K94" s="5" t="s">
        <v>66</v>
      </c>
      <c r="L94" s="2" t="s">
        <v>481</v>
      </c>
      <c r="M94" s="2" t="s">
        <v>767</v>
      </c>
      <c r="N94" s="2" t="s">
        <v>152</v>
      </c>
      <c r="O94" s="2" t="s">
        <v>753</v>
      </c>
      <c r="P94" s="2"/>
      <c r="Q94" s="5" t="n">
        <v>1</v>
      </c>
      <c r="R94" s="2" t="s">
        <v>71</v>
      </c>
      <c r="S94" s="2" t="s">
        <v>774</v>
      </c>
      <c r="T94" s="2" t="s">
        <v>769</v>
      </c>
      <c r="U94" s="2" t="s">
        <v>74</v>
      </c>
      <c r="V94" s="5" t="n">
        <v>300</v>
      </c>
      <c r="W94" s="2"/>
      <c r="X94" s="2" t="s">
        <v>756</v>
      </c>
      <c r="Y94" s="5"/>
      <c r="Z94" s="2" t="s">
        <v>775</v>
      </c>
      <c r="AA94" s="6" t="s">
        <v>776</v>
      </c>
    </row>
    <row r="95" customFormat="false" ht="35.05" hidden="false" customHeight="false" outlineLevel="0" collapsed="false">
      <c r="A95" s="5" t="s">
        <v>777</v>
      </c>
      <c r="B95" s="2" t="s">
        <v>778</v>
      </c>
      <c r="C95" s="5" t="s">
        <v>488</v>
      </c>
      <c r="D95" s="5" t="s">
        <v>60</v>
      </c>
      <c r="E95" s="2" t="s">
        <v>481</v>
      </c>
      <c r="F95" s="5" t="s">
        <v>62</v>
      </c>
      <c r="G95" s="5" t="n">
        <v>5</v>
      </c>
      <c r="H95" s="5" t="s">
        <v>89</v>
      </c>
      <c r="I95" s="5" t="s">
        <v>64</v>
      </c>
      <c r="J95" s="5" t="s">
        <v>65</v>
      </c>
      <c r="K95" s="5" t="s">
        <v>66</v>
      </c>
      <c r="L95" s="2" t="s">
        <v>481</v>
      </c>
      <c r="M95" s="2" t="s">
        <v>779</v>
      </c>
      <c r="N95" s="2" t="s">
        <v>152</v>
      </c>
      <c r="O95" s="2" t="s">
        <v>753</v>
      </c>
      <c r="P95" s="2"/>
      <c r="Q95" s="5" t="n">
        <v>1</v>
      </c>
      <c r="R95" s="2" t="s">
        <v>71</v>
      </c>
      <c r="S95" s="2" t="s">
        <v>780</v>
      </c>
      <c r="T95" s="2" t="s">
        <v>755</v>
      </c>
      <c r="U95" s="2" t="s">
        <v>74</v>
      </c>
      <c r="V95" s="5" t="n">
        <v>300</v>
      </c>
      <c r="W95" s="2"/>
      <c r="X95" s="2" t="s">
        <v>756</v>
      </c>
      <c r="Y95" s="5"/>
      <c r="Z95" s="2" t="s">
        <v>781</v>
      </c>
      <c r="AA95" s="6" t="s">
        <v>782</v>
      </c>
    </row>
    <row r="96" customFormat="false" ht="169.4" hidden="false" customHeight="false" outlineLevel="0" collapsed="false">
      <c r="A96" s="5" t="s">
        <v>783</v>
      </c>
      <c r="B96" s="2" t="s">
        <v>784</v>
      </c>
      <c r="C96" s="5" t="s">
        <v>488</v>
      </c>
      <c r="D96" s="5" t="s">
        <v>60</v>
      </c>
      <c r="E96" s="2" t="s">
        <v>489</v>
      </c>
      <c r="F96" s="5" t="s">
        <v>62</v>
      </c>
      <c r="G96" s="5" t="n">
        <v>9</v>
      </c>
      <c r="H96" s="5" t="s">
        <v>63</v>
      </c>
      <c r="I96" s="5" t="s">
        <v>64</v>
      </c>
      <c r="J96" s="5" t="s">
        <v>65</v>
      </c>
      <c r="K96" s="5" t="s">
        <v>66</v>
      </c>
      <c r="L96" s="2" t="s">
        <v>100</v>
      </c>
      <c r="M96" s="2" t="s">
        <v>491</v>
      </c>
      <c r="N96" s="2" t="s">
        <v>785</v>
      </c>
      <c r="O96" s="2" t="s">
        <v>786</v>
      </c>
      <c r="P96" s="2"/>
      <c r="Q96" s="5" t="n">
        <v>2</v>
      </c>
      <c r="R96" s="2" t="s">
        <v>787</v>
      </c>
      <c r="S96" s="2" t="s">
        <v>788</v>
      </c>
      <c r="T96" s="2" t="s">
        <v>789</v>
      </c>
      <c r="U96" s="2" t="s">
        <v>790</v>
      </c>
      <c r="V96" s="5" t="n">
        <v>600</v>
      </c>
      <c r="W96" s="2" t="s">
        <v>791</v>
      </c>
      <c r="X96" s="2" t="s">
        <v>792</v>
      </c>
      <c r="Y96" s="5"/>
      <c r="Z96" s="2" t="s">
        <v>793</v>
      </c>
      <c r="AA96" s="6" t="s">
        <v>794</v>
      </c>
    </row>
    <row r="97" customFormat="false" ht="91" hidden="false" customHeight="false" outlineLevel="0" collapsed="false">
      <c r="A97" s="5" t="s">
        <v>795</v>
      </c>
      <c r="B97" s="2" t="s">
        <v>796</v>
      </c>
      <c r="C97" s="5" t="s">
        <v>488</v>
      </c>
      <c r="D97" s="5" t="s">
        <v>60</v>
      </c>
      <c r="E97" s="2" t="s">
        <v>489</v>
      </c>
      <c r="F97" s="5" t="s">
        <v>62</v>
      </c>
      <c r="G97" s="5" t="n">
        <v>9</v>
      </c>
      <c r="H97" s="5" t="s">
        <v>63</v>
      </c>
      <c r="I97" s="5" t="s">
        <v>64</v>
      </c>
      <c r="J97" s="5" t="s">
        <v>65</v>
      </c>
      <c r="K97" s="5" t="s">
        <v>66</v>
      </c>
      <c r="L97" s="2" t="s">
        <v>100</v>
      </c>
      <c r="M97" s="2" t="s">
        <v>491</v>
      </c>
      <c r="N97" s="2" t="s">
        <v>797</v>
      </c>
      <c r="O97" s="2" t="s">
        <v>786</v>
      </c>
      <c r="P97" s="2"/>
      <c r="Q97" s="5" t="n">
        <v>2</v>
      </c>
      <c r="R97" s="2" t="s">
        <v>787</v>
      </c>
      <c r="S97" s="2" t="s">
        <v>798</v>
      </c>
      <c r="T97" s="2" t="s">
        <v>799</v>
      </c>
      <c r="U97" s="2" t="s">
        <v>790</v>
      </c>
      <c r="V97" s="5" t="n">
        <v>600</v>
      </c>
      <c r="W97" s="2" t="s">
        <v>800</v>
      </c>
      <c r="X97" s="2" t="s">
        <v>792</v>
      </c>
      <c r="Y97" s="5"/>
      <c r="Z97" s="2" t="s">
        <v>801</v>
      </c>
      <c r="AA97" s="6" t="s">
        <v>802</v>
      </c>
    </row>
    <row r="98" customFormat="false" ht="57.45" hidden="false" customHeight="false" outlineLevel="0" collapsed="false">
      <c r="A98" s="5" t="s">
        <v>803</v>
      </c>
      <c r="B98" s="2" t="s">
        <v>804</v>
      </c>
      <c r="C98" s="5" t="s">
        <v>488</v>
      </c>
      <c r="D98" s="5" t="s">
        <v>60</v>
      </c>
      <c r="E98" s="2" t="s">
        <v>100</v>
      </c>
      <c r="F98" s="5" t="s">
        <v>62</v>
      </c>
      <c r="G98" s="5" t="n">
        <v>9</v>
      </c>
      <c r="H98" s="5" t="s">
        <v>63</v>
      </c>
      <c r="I98" s="5" t="s">
        <v>64</v>
      </c>
      <c r="J98" s="5" t="s">
        <v>65</v>
      </c>
      <c r="K98" s="5" t="s">
        <v>66</v>
      </c>
      <c r="L98" s="2" t="s">
        <v>100</v>
      </c>
      <c r="M98" s="2" t="s">
        <v>491</v>
      </c>
      <c r="N98" s="2" t="s">
        <v>805</v>
      </c>
      <c r="O98" s="2" t="s">
        <v>806</v>
      </c>
      <c r="P98" s="2"/>
      <c r="Q98" s="5" t="n">
        <v>2</v>
      </c>
      <c r="R98" s="2" t="s">
        <v>807</v>
      </c>
      <c r="S98" s="2" t="s">
        <v>808</v>
      </c>
      <c r="T98" s="2" t="s">
        <v>809</v>
      </c>
      <c r="U98" s="2" t="s">
        <v>810</v>
      </c>
      <c r="V98" s="5" t="n">
        <v>600</v>
      </c>
      <c r="W98" s="2" t="s">
        <v>811</v>
      </c>
      <c r="X98" s="2" t="s">
        <v>812</v>
      </c>
      <c r="Y98" s="5"/>
      <c r="Z98" s="2" t="s">
        <v>813</v>
      </c>
      <c r="AA98" s="6" t="s">
        <v>814</v>
      </c>
    </row>
    <row r="99" customFormat="false" ht="46.25" hidden="false" customHeight="false" outlineLevel="0" collapsed="false">
      <c r="A99" s="5" t="s">
        <v>815</v>
      </c>
      <c r="B99" s="2" t="s">
        <v>816</v>
      </c>
      <c r="C99" s="5" t="s">
        <v>488</v>
      </c>
      <c r="D99" s="5" t="s">
        <v>60</v>
      </c>
      <c r="E99" s="2" t="s">
        <v>489</v>
      </c>
      <c r="F99" s="5" t="s">
        <v>490</v>
      </c>
      <c r="G99" s="5" t="n">
        <v>4</v>
      </c>
      <c r="H99" s="5" t="s">
        <v>817</v>
      </c>
      <c r="I99" s="5" t="s">
        <v>64</v>
      </c>
      <c r="J99" s="5" t="s">
        <v>65</v>
      </c>
      <c r="K99" s="5" t="s">
        <v>66</v>
      </c>
      <c r="L99" s="2" t="s">
        <v>100</v>
      </c>
      <c r="M99" s="2" t="s">
        <v>491</v>
      </c>
      <c r="N99" s="2" t="s">
        <v>492</v>
      </c>
      <c r="O99" s="2" t="s">
        <v>818</v>
      </c>
      <c r="P99" s="2"/>
      <c r="Q99" s="5" t="n">
        <v>1</v>
      </c>
      <c r="R99" s="2" t="s">
        <v>819</v>
      </c>
      <c r="S99" s="2" t="s">
        <v>820</v>
      </c>
      <c r="T99" s="2" t="s">
        <v>821</v>
      </c>
      <c r="U99" s="2" t="s">
        <v>822</v>
      </c>
      <c r="V99" s="5" t="n">
        <v>600</v>
      </c>
      <c r="W99" s="2"/>
      <c r="X99" s="2" t="s">
        <v>823</v>
      </c>
      <c r="Y99" s="5"/>
      <c r="Z99" s="2" t="s">
        <v>824</v>
      </c>
      <c r="AA99" s="6" t="s">
        <v>825</v>
      </c>
    </row>
    <row r="100" customFormat="false" ht="57.45" hidden="false" customHeight="false" outlineLevel="0" collapsed="false">
      <c r="A100" s="5" t="s">
        <v>826</v>
      </c>
      <c r="B100" s="2" t="s">
        <v>827</v>
      </c>
      <c r="C100" s="5" t="s">
        <v>488</v>
      </c>
      <c r="D100" s="5" t="s">
        <v>60</v>
      </c>
      <c r="E100" s="2" t="s">
        <v>100</v>
      </c>
      <c r="F100" s="5" t="s">
        <v>62</v>
      </c>
      <c r="G100" s="5" t="n">
        <v>6</v>
      </c>
      <c r="H100" s="5" t="s">
        <v>89</v>
      </c>
      <c r="I100" s="5" t="s">
        <v>64</v>
      </c>
      <c r="J100" s="5" t="s">
        <v>65</v>
      </c>
      <c r="K100" s="5" t="s">
        <v>66</v>
      </c>
      <c r="L100" s="2" t="s">
        <v>100</v>
      </c>
      <c r="M100" s="2" t="s">
        <v>491</v>
      </c>
      <c r="N100" s="2" t="s">
        <v>805</v>
      </c>
      <c r="O100" s="2" t="s">
        <v>828</v>
      </c>
      <c r="P100" s="2" t="s">
        <v>829</v>
      </c>
      <c r="Q100" s="5" t="n">
        <v>2</v>
      </c>
      <c r="R100" s="2" t="s">
        <v>830</v>
      </c>
      <c r="S100" s="2" t="s">
        <v>831</v>
      </c>
      <c r="T100" s="2" t="s">
        <v>832</v>
      </c>
      <c r="U100" s="2" t="s">
        <v>833</v>
      </c>
      <c r="V100" s="5" t="n">
        <v>600</v>
      </c>
      <c r="W100" s="2"/>
      <c r="X100" s="2" t="s">
        <v>834</v>
      </c>
      <c r="Y100" s="5"/>
      <c r="Z100" s="2" t="s">
        <v>835</v>
      </c>
      <c r="AA100" s="6" t="s">
        <v>836</v>
      </c>
    </row>
    <row r="101" customFormat="false" ht="281.3" hidden="false" customHeight="false" outlineLevel="0" collapsed="false">
      <c r="A101" s="5" t="s">
        <v>837</v>
      </c>
      <c r="B101" s="2" t="s">
        <v>838</v>
      </c>
      <c r="C101" s="5" t="s">
        <v>488</v>
      </c>
      <c r="D101" s="5" t="s">
        <v>60</v>
      </c>
      <c r="E101" s="2" t="s">
        <v>489</v>
      </c>
      <c r="F101" s="5" t="s">
        <v>62</v>
      </c>
      <c r="G101" s="5" t="n">
        <v>9</v>
      </c>
      <c r="H101" s="5" t="s">
        <v>63</v>
      </c>
      <c r="I101" s="5" t="s">
        <v>64</v>
      </c>
      <c r="J101" s="5" t="s">
        <v>65</v>
      </c>
      <c r="K101" s="5" t="s">
        <v>66</v>
      </c>
      <c r="L101" s="2" t="s">
        <v>100</v>
      </c>
      <c r="M101" s="2" t="s">
        <v>491</v>
      </c>
      <c r="N101" s="2" t="s">
        <v>614</v>
      </c>
      <c r="O101" s="2" t="s">
        <v>839</v>
      </c>
      <c r="P101" s="2"/>
      <c r="Q101" s="5" t="n">
        <v>1</v>
      </c>
      <c r="R101" s="2" t="s">
        <v>840</v>
      </c>
      <c r="S101" s="2" t="s">
        <v>83</v>
      </c>
      <c r="T101" s="2" t="s">
        <v>841</v>
      </c>
      <c r="U101" s="2" t="s">
        <v>842</v>
      </c>
      <c r="V101" s="5" t="n">
        <v>3600</v>
      </c>
      <c r="W101" s="2"/>
      <c r="X101" s="2" t="s">
        <v>843</v>
      </c>
      <c r="Y101" s="5"/>
      <c r="Z101" s="2" t="s">
        <v>844</v>
      </c>
      <c r="AA101" s="6" t="s">
        <v>845</v>
      </c>
    </row>
    <row r="102" customFormat="false" ht="281.3" hidden="false" customHeight="false" outlineLevel="0" collapsed="false">
      <c r="A102" s="5" t="s">
        <v>846</v>
      </c>
      <c r="B102" s="2" t="s">
        <v>847</v>
      </c>
      <c r="C102" s="5" t="s">
        <v>488</v>
      </c>
      <c r="D102" s="5" t="s">
        <v>60</v>
      </c>
      <c r="E102" s="2" t="s">
        <v>489</v>
      </c>
      <c r="F102" s="5" t="s">
        <v>62</v>
      </c>
      <c r="G102" s="5" t="n">
        <v>9</v>
      </c>
      <c r="H102" s="5" t="s">
        <v>63</v>
      </c>
      <c r="I102" s="5" t="s">
        <v>64</v>
      </c>
      <c r="J102" s="5" t="s">
        <v>65</v>
      </c>
      <c r="K102" s="5" t="s">
        <v>66</v>
      </c>
      <c r="L102" s="2" t="s">
        <v>100</v>
      </c>
      <c r="M102" s="2" t="s">
        <v>491</v>
      </c>
      <c r="N102" s="2" t="s">
        <v>614</v>
      </c>
      <c r="O102" s="2" t="s">
        <v>839</v>
      </c>
      <c r="P102" s="2"/>
      <c r="Q102" s="5" t="n">
        <v>1</v>
      </c>
      <c r="R102" s="2" t="s">
        <v>848</v>
      </c>
      <c r="S102" s="2" t="s">
        <v>83</v>
      </c>
      <c r="T102" s="2" t="s">
        <v>849</v>
      </c>
      <c r="U102" s="2" t="s">
        <v>850</v>
      </c>
      <c r="V102" s="5" t="n">
        <v>3600</v>
      </c>
      <c r="W102" s="2"/>
      <c r="X102" s="2" t="s">
        <v>843</v>
      </c>
      <c r="Y102" s="5"/>
      <c r="Z102" s="2" t="s">
        <v>851</v>
      </c>
      <c r="AA102" s="6" t="s">
        <v>852</v>
      </c>
    </row>
    <row r="103" customFormat="false" ht="91" hidden="false" customHeight="false" outlineLevel="0" collapsed="false">
      <c r="A103" s="5" t="s">
        <v>853</v>
      </c>
      <c r="B103" s="2" t="s">
        <v>854</v>
      </c>
      <c r="C103" s="5" t="s">
        <v>488</v>
      </c>
      <c r="D103" s="5" t="s">
        <v>60</v>
      </c>
      <c r="E103" s="2" t="s">
        <v>489</v>
      </c>
      <c r="F103" s="5" t="s">
        <v>62</v>
      </c>
      <c r="G103" s="5" t="n">
        <v>7</v>
      </c>
      <c r="H103" s="5" t="s">
        <v>89</v>
      </c>
      <c r="I103" s="5" t="s">
        <v>64</v>
      </c>
      <c r="J103" s="5" t="s">
        <v>65</v>
      </c>
      <c r="K103" s="5" t="s">
        <v>66</v>
      </c>
      <c r="L103" s="2" t="s">
        <v>100</v>
      </c>
      <c r="M103" s="2" t="s">
        <v>491</v>
      </c>
      <c r="N103" s="2" t="s">
        <v>855</v>
      </c>
      <c r="O103" s="2" t="s">
        <v>786</v>
      </c>
      <c r="P103" s="2"/>
      <c r="Q103" s="5" t="n">
        <v>2</v>
      </c>
      <c r="R103" s="2" t="s">
        <v>856</v>
      </c>
      <c r="S103" s="2" t="s">
        <v>857</v>
      </c>
      <c r="T103" s="2" t="s">
        <v>858</v>
      </c>
      <c r="U103" s="2" t="s">
        <v>859</v>
      </c>
      <c r="V103" s="5" t="n">
        <v>600</v>
      </c>
      <c r="W103" s="2" t="s">
        <v>860</v>
      </c>
      <c r="X103" s="2" t="s">
        <v>792</v>
      </c>
      <c r="Y103" s="5"/>
      <c r="Z103" s="2" t="s">
        <v>861</v>
      </c>
      <c r="AA103" s="6" t="s">
        <v>862</v>
      </c>
    </row>
    <row r="104" customFormat="false" ht="147" hidden="false" customHeight="false" outlineLevel="0" collapsed="false">
      <c r="A104" s="5" t="s">
        <v>863</v>
      </c>
      <c r="B104" s="2" t="s">
        <v>864</v>
      </c>
      <c r="C104" s="5" t="s">
        <v>488</v>
      </c>
      <c r="D104" s="5" t="s">
        <v>60</v>
      </c>
      <c r="E104" s="2" t="s">
        <v>100</v>
      </c>
      <c r="F104" s="5" t="s">
        <v>62</v>
      </c>
      <c r="G104" s="5" t="n">
        <v>6</v>
      </c>
      <c r="H104" s="5" t="s">
        <v>89</v>
      </c>
      <c r="I104" s="5" t="s">
        <v>64</v>
      </c>
      <c r="J104" s="5" t="s">
        <v>65</v>
      </c>
      <c r="K104" s="5" t="s">
        <v>66</v>
      </c>
      <c r="L104" s="2" t="s">
        <v>100</v>
      </c>
      <c r="M104" s="2" t="s">
        <v>491</v>
      </c>
      <c r="N104" s="2" t="s">
        <v>637</v>
      </c>
      <c r="O104" s="2" t="s">
        <v>865</v>
      </c>
      <c r="P104" s="2"/>
      <c r="Q104" s="5" t="n">
        <v>1</v>
      </c>
      <c r="R104" s="2" t="s">
        <v>866</v>
      </c>
      <c r="S104" s="2" t="s">
        <v>83</v>
      </c>
      <c r="T104" s="2" t="s">
        <v>515</v>
      </c>
      <c r="U104" s="2" t="s">
        <v>822</v>
      </c>
      <c r="V104" s="5" t="n">
        <v>600</v>
      </c>
      <c r="W104" s="2"/>
      <c r="X104" s="2" t="s">
        <v>867</v>
      </c>
      <c r="Y104" s="5"/>
      <c r="Z104" s="2" t="s">
        <v>868</v>
      </c>
      <c r="AA104" s="6" t="s">
        <v>869</v>
      </c>
    </row>
    <row r="105" customFormat="false" ht="68.65" hidden="false" customHeight="false" outlineLevel="0" collapsed="false">
      <c r="A105" s="5" t="s">
        <v>870</v>
      </c>
      <c r="B105" s="2" t="s">
        <v>871</v>
      </c>
      <c r="C105" s="5" t="s">
        <v>488</v>
      </c>
      <c r="D105" s="5" t="s">
        <v>60</v>
      </c>
      <c r="E105" s="2" t="s">
        <v>100</v>
      </c>
      <c r="F105" s="5" t="s">
        <v>62</v>
      </c>
      <c r="G105" s="5" t="n">
        <v>7</v>
      </c>
      <c r="H105" s="5" t="s">
        <v>89</v>
      </c>
      <c r="I105" s="5" t="s">
        <v>64</v>
      </c>
      <c r="J105" s="5" t="s">
        <v>65</v>
      </c>
      <c r="K105" s="5" t="s">
        <v>66</v>
      </c>
      <c r="L105" s="2" t="s">
        <v>100</v>
      </c>
      <c r="M105" s="2" t="s">
        <v>491</v>
      </c>
      <c r="N105" s="2" t="s">
        <v>855</v>
      </c>
      <c r="O105" s="2" t="s">
        <v>872</v>
      </c>
      <c r="P105" s="2"/>
      <c r="Q105" s="5" t="n">
        <v>1</v>
      </c>
      <c r="R105" s="2" t="s">
        <v>873</v>
      </c>
      <c r="S105" s="2" t="s">
        <v>874</v>
      </c>
      <c r="T105" s="2" t="s">
        <v>515</v>
      </c>
      <c r="U105" s="2" t="s">
        <v>822</v>
      </c>
      <c r="V105" s="5" t="n">
        <v>900</v>
      </c>
      <c r="W105" s="2"/>
      <c r="X105" s="2" t="s">
        <v>875</v>
      </c>
      <c r="Y105" s="5"/>
      <c r="Z105" s="2" t="s">
        <v>876</v>
      </c>
      <c r="AA105" s="6" t="s">
        <v>877</v>
      </c>
    </row>
    <row r="106" customFormat="false" ht="68.65" hidden="false" customHeight="false" outlineLevel="0" collapsed="false">
      <c r="A106" s="5" t="s">
        <v>878</v>
      </c>
      <c r="B106" s="2" t="s">
        <v>879</v>
      </c>
      <c r="C106" s="5" t="s">
        <v>488</v>
      </c>
      <c r="D106" s="5" t="s">
        <v>60</v>
      </c>
      <c r="E106" s="2" t="s">
        <v>100</v>
      </c>
      <c r="F106" s="5" t="s">
        <v>62</v>
      </c>
      <c r="G106" s="5" t="n">
        <v>6</v>
      </c>
      <c r="H106" s="5" t="s">
        <v>89</v>
      </c>
      <c r="I106" s="5" t="s">
        <v>64</v>
      </c>
      <c r="J106" s="5" t="s">
        <v>65</v>
      </c>
      <c r="K106" s="5" t="s">
        <v>66</v>
      </c>
      <c r="L106" s="2" t="s">
        <v>100</v>
      </c>
      <c r="M106" s="2" t="s">
        <v>491</v>
      </c>
      <c r="N106" s="2" t="s">
        <v>880</v>
      </c>
      <c r="O106" s="2" t="s">
        <v>881</v>
      </c>
      <c r="P106" s="2"/>
      <c r="Q106" s="5" t="n">
        <v>1</v>
      </c>
      <c r="R106" s="2" t="s">
        <v>882</v>
      </c>
      <c r="S106" s="2" t="s">
        <v>83</v>
      </c>
      <c r="T106" s="2" t="s">
        <v>883</v>
      </c>
      <c r="U106" s="2" t="s">
        <v>822</v>
      </c>
      <c r="V106" s="5" t="n">
        <v>600</v>
      </c>
      <c r="W106" s="2"/>
      <c r="X106" s="2" t="s">
        <v>884</v>
      </c>
      <c r="Y106" s="5"/>
      <c r="Z106" s="2" t="s">
        <v>885</v>
      </c>
      <c r="AA106" s="6" t="s">
        <v>886</v>
      </c>
    </row>
    <row r="107" customFormat="false" ht="113.4" hidden="false" customHeight="false" outlineLevel="0" collapsed="false">
      <c r="A107" s="5" t="s">
        <v>887</v>
      </c>
      <c r="B107" s="2" t="s">
        <v>888</v>
      </c>
      <c r="C107" s="5" t="s">
        <v>488</v>
      </c>
      <c r="D107" s="5" t="s">
        <v>60</v>
      </c>
      <c r="E107" s="2" t="s">
        <v>489</v>
      </c>
      <c r="F107" s="5" t="s">
        <v>62</v>
      </c>
      <c r="G107" s="5" t="n">
        <v>9</v>
      </c>
      <c r="H107" s="5" t="s">
        <v>63</v>
      </c>
      <c r="I107" s="5" t="s">
        <v>64</v>
      </c>
      <c r="J107" s="5" t="s">
        <v>65</v>
      </c>
      <c r="K107" s="5" t="s">
        <v>66</v>
      </c>
      <c r="L107" s="2" t="s">
        <v>100</v>
      </c>
      <c r="M107" s="2" t="s">
        <v>491</v>
      </c>
      <c r="N107" s="2" t="s">
        <v>855</v>
      </c>
      <c r="O107" s="2" t="s">
        <v>889</v>
      </c>
      <c r="P107" s="2"/>
      <c r="Q107" s="5" t="n">
        <v>1</v>
      </c>
      <c r="R107" s="2" t="s">
        <v>890</v>
      </c>
      <c r="S107" s="2" t="s">
        <v>891</v>
      </c>
      <c r="T107" s="2" t="s">
        <v>892</v>
      </c>
      <c r="U107" s="2" t="s">
        <v>681</v>
      </c>
      <c r="V107" s="5" t="n">
        <v>600</v>
      </c>
      <c r="W107" s="2"/>
      <c r="X107" s="2" t="s">
        <v>893</v>
      </c>
      <c r="Y107" s="5"/>
      <c r="Z107" s="2" t="s">
        <v>894</v>
      </c>
      <c r="AA107" s="6" t="s">
        <v>895</v>
      </c>
    </row>
    <row r="108" customFormat="false" ht="23.85" hidden="false" customHeight="false" outlineLevel="0" collapsed="false">
      <c r="A108" s="5" t="s">
        <v>896</v>
      </c>
      <c r="B108" s="2" t="s">
        <v>897</v>
      </c>
      <c r="C108" s="5" t="s">
        <v>488</v>
      </c>
      <c r="D108" s="5" t="s">
        <v>60</v>
      </c>
      <c r="E108" s="2" t="s">
        <v>161</v>
      </c>
      <c r="F108" s="5" t="s">
        <v>62</v>
      </c>
      <c r="G108" s="5" t="n">
        <v>9</v>
      </c>
      <c r="H108" s="5" t="s">
        <v>63</v>
      </c>
      <c r="I108" s="5" t="s">
        <v>64</v>
      </c>
      <c r="J108" s="5" t="s">
        <v>65</v>
      </c>
      <c r="K108" s="5" t="s">
        <v>66</v>
      </c>
      <c r="L108" s="2" t="s">
        <v>90</v>
      </c>
      <c r="M108" s="2" t="s">
        <v>116</v>
      </c>
      <c r="N108" s="2" t="s">
        <v>898</v>
      </c>
      <c r="O108" s="2" t="s">
        <v>899</v>
      </c>
      <c r="P108" s="2"/>
      <c r="Q108" s="5" t="n">
        <v>1</v>
      </c>
      <c r="R108" s="2" t="s">
        <v>900</v>
      </c>
      <c r="S108" s="2" t="s">
        <v>83</v>
      </c>
      <c r="T108" s="2" t="s">
        <v>901</v>
      </c>
      <c r="U108" s="2" t="s">
        <v>74</v>
      </c>
      <c r="V108" s="5" t="n">
        <v>120</v>
      </c>
      <c r="W108" s="2"/>
      <c r="X108" s="2" t="s">
        <v>902</v>
      </c>
      <c r="Y108" s="5"/>
      <c r="Z108" s="2" t="s">
        <v>903</v>
      </c>
      <c r="AA108" s="6" t="s">
        <v>904</v>
      </c>
    </row>
    <row r="109" customFormat="false" ht="23.85" hidden="false" customHeight="false" outlineLevel="0" collapsed="false">
      <c r="A109" s="5" t="s">
        <v>905</v>
      </c>
      <c r="B109" s="2" t="s">
        <v>906</v>
      </c>
      <c r="C109" s="5" t="s">
        <v>488</v>
      </c>
      <c r="D109" s="5" t="s">
        <v>60</v>
      </c>
      <c r="E109" s="2" t="s">
        <v>161</v>
      </c>
      <c r="F109" s="5" t="s">
        <v>62</v>
      </c>
      <c r="G109" s="5" t="n">
        <v>9</v>
      </c>
      <c r="H109" s="5" t="s">
        <v>63</v>
      </c>
      <c r="I109" s="5" t="s">
        <v>64</v>
      </c>
      <c r="J109" s="5" t="s">
        <v>65</v>
      </c>
      <c r="K109" s="5" t="s">
        <v>66</v>
      </c>
      <c r="L109" s="2" t="s">
        <v>90</v>
      </c>
      <c r="M109" s="2" t="s">
        <v>116</v>
      </c>
      <c r="N109" s="2" t="s">
        <v>898</v>
      </c>
      <c r="O109" s="2" t="s">
        <v>907</v>
      </c>
      <c r="P109" s="2"/>
      <c r="Q109" s="5" t="n">
        <v>1</v>
      </c>
      <c r="R109" s="2" t="s">
        <v>908</v>
      </c>
      <c r="S109" s="2" t="s">
        <v>83</v>
      </c>
      <c r="T109" s="2" t="s">
        <v>909</v>
      </c>
      <c r="U109" s="2" t="s">
        <v>74</v>
      </c>
      <c r="V109" s="5" t="n">
        <v>120</v>
      </c>
      <c r="W109" s="2"/>
      <c r="X109" s="2" t="s">
        <v>910</v>
      </c>
      <c r="Y109" s="5"/>
      <c r="Z109" s="2" t="s">
        <v>911</v>
      </c>
      <c r="AA109" s="6" t="s">
        <v>912</v>
      </c>
    </row>
    <row r="110" customFormat="false" ht="23.85" hidden="false" customHeight="false" outlineLevel="0" collapsed="false">
      <c r="A110" s="5" t="s">
        <v>913</v>
      </c>
      <c r="B110" s="2" t="s">
        <v>914</v>
      </c>
      <c r="C110" s="5" t="s">
        <v>488</v>
      </c>
      <c r="D110" s="5" t="s">
        <v>60</v>
      </c>
      <c r="E110" s="2" t="s">
        <v>694</v>
      </c>
      <c r="F110" s="5" t="s">
        <v>62</v>
      </c>
      <c r="G110" s="5" t="n">
        <v>7</v>
      </c>
      <c r="H110" s="5" t="s">
        <v>89</v>
      </c>
      <c r="I110" s="5" t="s">
        <v>64</v>
      </c>
      <c r="J110" s="5" t="s">
        <v>65</v>
      </c>
      <c r="K110" s="5" t="s">
        <v>66</v>
      </c>
      <c r="L110" s="2" t="s">
        <v>100</v>
      </c>
      <c r="M110" s="2" t="s">
        <v>915</v>
      </c>
      <c r="N110" s="2" t="s">
        <v>916</v>
      </c>
      <c r="O110" s="2" t="s">
        <v>917</v>
      </c>
      <c r="P110" s="2"/>
      <c r="Q110" s="5" t="n">
        <v>1</v>
      </c>
      <c r="R110" s="2" t="s">
        <v>918</v>
      </c>
      <c r="S110" s="2" t="s">
        <v>83</v>
      </c>
      <c r="T110" s="2" t="s">
        <v>849</v>
      </c>
      <c r="U110" s="2" t="s">
        <v>530</v>
      </c>
      <c r="V110" s="5" t="n">
        <v>900</v>
      </c>
      <c r="W110" s="2"/>
      <c r="X110" s="2" t="s">
        <v>919</v>
      </c>
      <c r="Y110" s="5"/>
      <c r="Z110" s="2" t="s">
        <v>920</v>
      </c>
      <c r="AA110" s="6" t="s">
        <v>921</v>
      </c>
    </row>
    <row r="111" customFormat="false" ht="35.05" hidden="false" customHeight="false" outlineLevel="0" collapsed="false">
      <c r="A111" s="5" t="s">
        <v>922</v>
      </c>
      <c r="B111" s="2" t="s">
        <v>923</v>
      </c>
      <c r="C111" s="5" t="s">
        <v>488</v>
      </c>
      <c r="D111" s="5" t="s">
        <v>60</v>
      </c>
      <c r="E111" s="2" t="s">
        <v>694</v>
      </c>
      <c r="F111" s="5" t="s">
        <v>62</v>
      </c>
      <c r="G111" s="5" t="n">
        <v>7</v>
      </c>
      <c r="H111" s="5" t="s">
        <v>89</v>
      </c>
      <c r="I111" s="5" t="s">
        <v>64</v>
      </c>
      <c r="J111" s="5" t="s">
        <v>65</v>
      </c>
      <c r="K111" s="5" t="s">
        <v>66</v>
      </c>
      <c r="L111" s="2" t="s">
        <v>100</v>
      </c>
      <c r="M111" s="2" t="s">
        <v>491</v>
      </c>
      <c r="N111" s="2" t="s">
        <v>916</v>
      </c>
      <c r="O111" s="2" t="s">
        <v>917</v>
      </c>
      <c r="P111" s="2"/>
      <c r="Q111" s="5" t="n">
        <v>1</v>
      </c>
      <c r="R111" s="2" t="s">
        <v>918</v>
      </c>
      <c r="S111" s="2" t="s">
        <v>83</v>
      </c>
      <c r="T111" s="2" t="s">
        <v>641</v>
      </c>
      <c r="U111" s="2" t="s">
        <v>924</v>
      </c>
      <c r="V111" s="5" t="n">
        <v>900</v>
      </c>
      <c r="W111" s="2"/>
      <c r="X111" s="2" t="s">
        <v>919</v>
      </c>
      <c r="Y111" s="5"/>
      <c r="Z111" s="2" t="s">
        <v>925</v>
      </c>
      <c r="AA111" s="6" t="s">
        <v>926</v>
      </c>
    </row>
    <row r="112" customFormat="false" ht="35.05" hidden="false" customHeight="false" outlineLevel="0" collapsed="false">
      <c r="A112" s="5" t="s">
        <v>927</v>
      </c>
      <c r="B112" s="2" t="s">
        <v>928</v>
      </c>
      <c r="C112" s="5" t="s">
        <v>488</v>
      </c>
      <c r="D112" s="5" t="s">
        <v>60</v>
      </c>
      <c r="E112" s="2" t="s">
        <v>100</v>
      </c>
      <c r="F112" s="5" t="s">
        <v>62</v>
      </c>
      <c r="G112" s="5" t="n">
        <v>9</v>
      </c>
      <c r="H112" s="5" t="s">
        <v>63</v>
      </c>
      <c r="I112" s="5" t="s">
        <v>64</v>
      </c>
      <c r="J112" s="5" t="s">
        <v>65</v>
      </c>
      <c r="K112" s="5" t="s">
        <v>66</v>
      </c>
      <c r="L112" s="2" t="s">
        <v>100</v>
      </c>
      <c r="M112" s="2" t="s">
        <v>915</v>
      </c>
      <c r="N112" s="2" t="s">
        <v>916</v>
      </c>
      <c r="O112" s="2" t="s">
        <v>929</v>
      </c>
      <c r="P112" s="2"/>
      <c r="Q112" s="5" t="n">
        <v>1</v>
      </c>
      <c r="R112" s="2" t="s">
        <v>918</v>
      </c>
      <c r="S112" s="2" t="s">
        <v>83</v>
      </c>
      <c r="T112" s="2" t="s">
        <v>849</v>
      </c>
      <c r="U112" s="2" t="s">
        <v>74</v>
      </c>
      <c r="V112" s="5" t="n">
        <v>300</v>
      </c>
      <c r="W112" s="2"/>
      <c r="X112" s="2" t="s">
        <v>919</v>
      </c>
      <c r="Y112" s="5"/>
      <c r="Z112" s="2" t="s">
        <v>930</v>
      </c>
      <c r="AA112" s="6" t="s">
        <v>931</v>
      </c>
    </row>
    <row r="113" customFormat="false" ht="23.85" hidden="false" customHeight="false" outlineLevel="0" collapsed="false">
      <c r="A113" s="5" t="s">
        <v>932</v>
      </c>
      <c r="B113" s="2" t="s">
        <v>933</v>
      </c>
      <c r="C113" s="5" t="s">
        <v>488</v>
      </c>
      <c r="D113" s="5" t="s">
        <v>60</v>
      </c>
      <c r="E113" s="2" t="s">
        <v>61</v>
      </c>
      <c r="F113" s="5" t="s">
        <v>62</v>
      </c>
      <c r="G113" s="5" t="n">
        <v>6</v>
      </c>
      <c r="H113" s="5" t="s">
        <v>89</v>
      </c>
      <c r="I113" s="5" t="s">
        <v>64</v>
      </c>
      <c r="J113" s="5" t="s">
        <v>65</v>
      </c>
      <c r="K113" s="5" t="s">
        <v>66</v>
      </c>
      <c r="L113" s="2" t="s">
        <v>90</v>
      </c>
      <c r="M113" s="2" t="s">
        <v>163</v>
      </c>
      <c r="N113" s="2" t="s">
        <v>916</v>
      </c>
      <c r="O113" s="2" t="s">
        <v>934</v>
      </c>
      <c r="P113" s="2"/>
      <c r="Q113" s="5" t="n">
        <v>1</v>
      </c>
      <c r="R113" s="2" t="s">
        <v>935</v>
      </c>
      <c r="S113" s="2" t="s">
        <v>936</v>
      </c>
      <c r="T113" s="2" t="s">
        <v>937</v>
      </c>
      <c r="U113" s="2" t="s">
        <v>74</v>
      </c>
      <c r="V113" s="5" t="n">
        <v>300</v>
      </c>
      <c r="W113" s="2"/>
      <c r="X113" s="2" t="s">
        <v>919</v>
      </c>
      <c r="Y113" s="5"/>
      <c r="Z113" s="2" t="s">
        <v>938</v>
      </c>
      <c r="AA113" s="6" t="s">
        <v>939</v>
      </c>
    </row>
    <row r="114" customFormat="false" ht="35.05" hidden="false" customHeight="false" outlineLevel="0" collapsed="false">
      <c r="A114" s="5" t="s">
        <v>940</v>
      </c>
      <c r="B114" s="2" t="s">
        <v>941</v>
      </c>
      <c r="C114" s="5" t="s">
        <v>488</v>
      </c>
      <c r="D114" s="5" t="s">
        <v>60</v>
      </c>
      <c r="E114" s="2"/>
      <c r="F114" s="5" t="s">
        <v>62</v>
      </c>
      <c r="G114" s="5" t="n">
        <v>5</v>
      </c>
      <c r="H114" s="5" t="s">
        <v>89</v>
      </c>
      <c r="I114" s="5" t="s">
        <v>64</v>
      </c>
      <c r="J114" s="5" t="s">
        <v>65</v>
      </c>
      <c r="K114" s="5" t="s">
        <v>66</v>
      </c>
      <c r="L114" s="2" t="s">
        <v>277</v>
      </c>
      <c r="M114" s="2" t="s">
        <v>942</v>
      </c>
      <c r="N114" s="2" t="s">
        <v>152</v>
      </c>
      <c r="O114" s="2" t="s">
        <v>753</v>
      </c>
      <c r="P114" s="2"/>
      <c r="Q114" s="5" t="n">
        <v>1</v>
      </c>
      <c r="R114" s="2" t="s">
        <v>71</v>
      </c>
      <c r="S114" s="2" t="s">
        <v>943</v>
      </c>
      <c r="T114" s="2" t="s">
        <v>755</v>
      </c>
      <c r="U114" s="2" t="s">
        <v>74</v>
      </c>
      <c r="V114" s="5" t="n">
        <v>300</v>
      </c>
      <c r="W114" s="2"/>
      <c r="X114" s="2" t="s">
        <v>756</v>
      </c>
      <c r="Y114" s="5"/>
      <c r="Z114" s="2" t="s">
        <v>944</v>
      </c>
      <c r="AA114" s="6" t="s">
        <v>945</v>
      </c>
    </row>
    <row r="115" customFormat="false" ht="46.25" hidden="false" customHeight="false" outlineLevel="0" collapsed="false">
      <c r="A115" s="5" t="s">
        <v>946</v>
      </c>
      <c r="B115" s="2" t="s">
        <v>947</v>
      </c>
      <c r="C115" s="5" t="s">
        <v>488</v>
      </c>
      <c r="D115" s="5" t="s">
        <v>60</v>
      </c>
      <c r="E115" s="2" t="s">
        <v>948</v>
      </c>
      <c r="F115" s="5" t="s">
        <v>62</v>
      </c>
      <c r="G115" s="5" t="n">
        <v>7</v>
      </c>
      <c r="H115" s="5" t="s">
        <v>89</v>
      </c>
      <c r="I115" s="5" t="s">
        <v>64</v>
      </c>
      <c r="J115" s="5" t="s">
        <v>65</v>
      </c>
      <c r="K115" s="5" t="s">
        <v>66</v>
      </c>
      <c r="L115" s="2" t="s">
        <v>100</v>
      </c>
      <c r="M115" s="2" t="s">
        <v>585</v>
      </c>
      <c r="N115" s="2" t="s">
        <v>593</v>
      </c>
      <c r="O115" s="2" t="s">
        <v>949</v>
      </c>
      <c r="P115" s="2"/>
      <c r="Q115" s="5" t="n">
        <v>1</v>
      </c>
      <c r="R115" s="2" t="s">
        <v>71</v>
      </c>
      <c r="S115" s="2" t="s">
        <v>83</v>
      </c>
      <c r="T115" s="2" t="s">
        <v>641</v>
      </c>
      <c r="U115" s="2" t="s">
        <v>74</v>
      </c>
      <c r="V115" s="5" t="n">
        <v>300</v>
      </c>
      <c r="W115" s="2"/>
      <c r="X115" s="2" t="s">
        <v>950</v>
      </c>
      <c r="Y115" s="5"/>
      <c r="Z115" s="2" t="s">
        <v>951</v>
      </c>
      <c r="AA115" s="6" t="s">
        <v>952</v>
      </c>
    </row>
    <row r="116" customFormat="false" ht="46.25" hidden="false" customHeight="false" outlineLevel="0" collapsed="false">
      <c r="A116" s="5" t="s">
        <v>953</v>
      </c>
      <c r="B116" s="2" t="s">
        <v>954</v>
      </c>
      <c r="C116" s="5" t="s">
        <v>488</v>
      </c>
      <c r="D116" s="5" t="s">
        <v>60</v>
      </c>
      <c r="E116" s="2" t="s">
        <v>955</v>
      </c>
      <c r="F116" s="5" t="s">
        <v>62</v>
      </c>
      <c r="G116" s="5" t="n">
        <v>7</v>
      </c>
      <c r="H116" s="5" t="s">
        <v>89</v>
      </c>
      <c r="I116" s="5" t="s">
        <v>64</v>
      </c>
      <c r="J116" s="5" t="s">
        <v>65</v>
      </c>
      <c r="K116" s="5" t="s">
        <v>66</v>
      </c>
      <c r="L116" s="2" t="s">
        <v>481</v>
      </c>
      <c r="M116" s="2" t="s">
        <v>663</v>
      </c>
      <c r="N116" s="2" t="s">
        <v>956</v>
      </c>
      <c r="O116" s="2" t="s">
        <v>957</v>
      </c>
      <c r="P116" s="2"/>
      <c r="Q116" s="5" t="n">
        <v>1</v>
      </c>
      <c r="R116" s="2" t="s">
        <v>958</v>
      </c>
      <c r="S116" s="2" t="s">
        <v>959</v>
      </c>
      <c r="T116" s="2" t="s">
        <v>960</v>
      </c>
      <c r="U116" s="2" t="s">
        <v>496</v>
      </c>
      <c r="V116" s="5" t="n">
        <v>300</v>
      </c>
      <c r="W116" s="2"/>
      <c r="X116" s="2" t="s">
        <v>961</v>
      </c>
      <c r="Y116" s="5"/>
      <c r="Z116" s="2" t="s">
        <v>962</v>
      </c>
      <c r="AA116" s="6" t="s">
        <v>963</v>
      </c>
    </row>
    <row r="117" customFormat="false" ht="191.75" hidden="false" customHeight="false" outlineLevel="0" collapsed="false">
      <c r="A117" s="5" t="s">
        <v>964</v>
      </c>
      <c r="B117" s="2" t="s">
        <v>965</v>
      </c>
      <c r="C117" s="5" t="s">
        <v>488</v>
      </c>
      <c r="D117" s="5" t="s">
        <v>60</v>
      </c>
      <c r="E117" s="2" t="s">
        <v>100</v>
      </c>
      <c r="F117" s="5" t="s">
        <v>490</v>
      </c>
      <c r="G117" s="5" t="n">
        <v>9</v>
      </c>
      <c r="H117" s="5" t="s">
        <v>63</v>
      </c>
      <c r="I117" s="5" t="s">
        <v>64</v>
      </c>
      <c r="J117" s="5" t="s">
        <v>65</v>
      </c>
      <c r="K117" s="5" t="s">
        <v>66</v>
      </c>
      <c r="L117" s="2" t="s">
        <v>100</v>
      </c>
      <c r="M117" s="2" t="s">
        <v>491</v>
      </c>
      <c r="N117" s="2" t="s">
        <v>966</v>
      </c>
      <c r="O117" s="2" t="s">
        <v>967</v>
      </c>
      <c r="P117" s="2"/>
      <c r="Q117" s="5" t="n">
        <v>1</v>
      </c>
      <c r="R117" s="2" t="s">
        <v>968</v>
      </c>
      <c r="S117" s="2" t="s">
        <v>83</v>
      </c>
      <c r="T117" s="2" t="s">
        <v>969</v>
      </c>
      <c r="U117" s="2" t="s">
        <v>681</v>
      </c>
      <c r="V117" s="5" t="n">
        <v>86400</v>
      </c>
      <c r="W117" s="2"/>
      <c r="X117" s="2" t="s">
        <v>970</v>
      </c>
      <c r="Y117" s="5"/>
      <c r="Z117" s="2" t="s">
        <v>971</v>
      </c>
      <c r="AA117" s="6" t="s">
        <v>972</v>
      </c>
    </row>
    <row r="118" customFormat="false" ht="57.45" hidden="false" customHeight="false" outlineLevel="0" collapsed="false">
      <c r="A118" s="5" t="s">
        <v>973</v>
      </c>
      <c r="B118" s="2" t="s">
        <v>974</v>
      </c>
      <c r="C118" s="5" t="s">
        <v>488</v>
      </c>
      <c r="D118" s="5" t="s">
        <v>60</v>
      </c>
      <c r="E118" s="2" t="s">
        <v>100</v>
      </c>
      <c r="F118" s="5" t="s">
        <v>490</v>
      </c>
      <c r="G118" s="5" t="n">
        <v>9</v>
      </c>
      <c r="H118" s="5" t="s">
        <v>63</v>
      </c>
      <c r="I118" s="5" t="s">
        <v>64</v>
      </c>
      <c r="J118" s="5" t="s">
        <v>65</v>
      </c>
      <c r="K118" s="5" t="s">
        <v>66</v>
      </c>
      <c r="L118" s="2" t="s">
        <v>100</v>
      </c>
      <c r="M118" s="2" t="s">
        <v>491</v>
      </c>
      <c r="N118" s="2" t="s">
        <v>805</v>
      </c>
      <c r="O118" s="2" t="s">
        <v>975</v>
      </c>
      <c r="P118" s="2"/>
      <c r="Q118" s="5" t="n">
        <v>2</v>
      </c>
      <c r="R118" s="2" t="s">
        <v>976</v>
      </c>
      <c r="S118" s="2" t="s">
        <v>977</v>
      </c>
      <c r="T118" s="2" t="s">
        <v>978</v>
      </c>
      <c r="U118" s="2" t="s">
        <v>979</v>
      </c>
      <c r="V118" s="5" t="n">
        <v>86400</v>
      </c>
      <c r="W118" s="2" t="s">
        <v>980</v>
      </c>
      <c r="X118" s="2" t="s">
        <v>981</v>
      </c>
      <c r="Y118" s="5"/>
      <c r="Z118" s="2" t="s">
        <v>982</v>
      </c>
      <c r="AA118" s="6" t="s">
        <v>983</v>
      </c>
    </row>
    <row r="119" customFormat="false" ht="35.05" hidden="false" customHeight="false" outlineLevel="0" collapsed="false">
      <c r="A119" s="5" t="s">
        <v>984</v>
      </c>
      <c r="B119" s="2" t="s">
        <v>985</v>
      </c>
      <c r="C119" s="5" t="s">
        <v>488</v>
      </c>
      <c r="D119" s="5" t="s">
        <v>60</v>
      </c>
      <c r="E119" s="2" t="s">
        <v>100</v>
      </c>
      <c r="F119" s="5" t="s">
        <v>490</v>
      </c>
      <c r="G119" s="5" t="n">
        <v>9</v>
      </c>
      <c r="H119" s="5" t="s">
        <v>63</v>
      </c>
      <c r="I119" s="5" t="s">
        <v>64</v>
      </c>
      <c r="J119" s="5" t="s">
        <v>65</v>
      </c>
      <c r="K119" s="5" t="s">
        <v>66</v>
      </c>
      <c r="L119" s="2" t="s">
        <v>100</v>
      </c>
      <c r="M119" s="2" t="s">
        <v>491</v>
      </c>
      <c r="N119" s="2" t="s">
        <v>492</v>
      </c>
      <c r="O119" s="2" t="s">
        <v>986</v>
      </c>
      <c r="P119" s="2"/>
      <c r="Q119" s="5" t="n">
        <v>1</v>
      </c>
      <c r="R119" s="2" t="s">
        <v>987</v>
      </c>
      <c r="S119" s="2" t="s">
        <v>83</v>
      </c>
      <c r="T119" s="2" t="s">
        <v>969</v>
      </c>
      <c r="U119" s="2" t="s">
        <v>681</v>
      </c>
      <c r="V119" s="5" t="n">
        <v>86400</v>
      </c>
      <c r="W119" s="2"/>
      <c r="X119" s="2" t="s">
        <v>988</v>
      </c>
      <c r="Y119" s="5"/>
      <c r="Z119" s="2" t="s">
        <v>989</v>
      </c>
      <c r="AA119" s="6" t="s">
        <v>990</v>
      </c>
    </row>
    <row r="120" customFormat="false" ht="91" hidden="false" customHeight="false" outlineLevel="0" collapsed="false">
      <c r="A120" s="5" t="s">
        <v>991</v>
      </c>
      <c r="B120" s="2" t="s">
        <v>992</v>
      </c>
      <c r="C120" s="5" t="s">
        <v>488</v>
      </c>
      <c r="D120" s="5" t="s">
        <v>60</v>
      </c>
      <c r="E120" s="2" t="s">
        <v>100</v>
      </c>
      <c r="F120" s="5" t="s">
        <v>490</v>
      </c>
      <c r="G120" s="5" t="n">
        <v>9</v>
      </c>
      <c r="H120" s="5" t="s">
        <v>63</v>
      </c>
      <c r="I120" s="5" t="s">
        <v>64</v>
      </c>
      <c r="J120" s="5" t="s">
        <v>65</v>
      </c>
      <c r="K120" s="5" t="s">
        <v>66</v>
      </c>
      <c r="L120" s="2" t="s">
        <v>100</v>
      </c>
      <c r="M120" s="2" t="s">
        <v>491</v>
      </c>
      <c r="N120" s="2" t="s">
        <v>993</v>
      </c>
      <c r="O120" s="2" t="s">
        <v>994</v>
      </c>
      <c r="P120" s="2"/>
      <c r="Q120" s="5" t="n">
        <v>2</v>
      </c>
      <c r="R120" s="2" t="s">
        <v>995</v>
      </c>
      <c r="S120" s="2" t="s">
        <v>996</v>
      </c>
      <c r="T120" s="2" t="s">
        <v>997</v>
      </c>
      <c r="U120" s="2" t="s">
        <v>998</v>
      </c>
      <c r="V120" s="5" t="n">
        <v>86400</v>
      </c>
      <c r="W120" s="2"/>
      <c r="X120" s="2" t="s">
        <v>999</v>
      </c>
      <c r="Y120" s="5"/>
      <c r="Z120" s="2" t="s">
        <v>1000</v>
      </c>
      <c r="AA120" s="6" t="s">
        <v>1001</v>
      </c>
    </row>
    <row r="121" customFormat="false" ht="68.65" hidden="false" customHeight="false" outlineLevel="0" collapsed="false">
      <c r="A121" s="5" t="s">
        <v>1002</v>
      </c>
      <c r="B121" s="2" t="s">
        <v>1003</v>
      </c>
      <c r="C121" s="5" t="s">
        <v>488</v>
      </c>
      <c r="D121" s="5" t="s">
        <v>60</v>
      </c>
      <c r="E121" s="2" t="s">
        <v>100</v>
      </c>
      <c r="F121" s="5" t="s">
        <v>490</v>
      </c>
      <c r="G121" s="5" t="n">
        <v>9</v>
      </c>
      <c r="H121" s="5" t="s">
        <v>63</v>
      </c>
      <c r="I121" s="5" t="s">
        <v>64</v>
      </c>
      <c r="J121" s="5" t="s">
        <v>65</v>
      </c>
      <c r="K121" s="5" t="s">
        <v>66</v>
      </c>
      <c r="L121" s="2" t="s">
        <v>100</v>
      </c>
      <c r="M121" s="2" t="s">
        <v>491</v>
      </c>
      <c r="N121" s="2" t="s">
        <v>855</v>
      </c>
      <c r="O121" s="2" t="s">
        <v>1004</v>
      </c>
      <c r="P121" s="2"/>
      <c r="Q121" s="5" t="n">
        <v>1</v>
      </c>
      <c r="R121" s="2" t="s">
        <v>1005</v>
      </c>
      <c r="S121" s="2" t="s">
        <v>83</v>
      </c>
      <c r="T121" s="2" t="s">
        <v>1006</v>
      </c>
      <c r="U121" s="2" t="s">
        <v>681</v>
      </c>
      <c r="V121" s="5" t="n">
        <v>86400</v>
      </c>
      <c r="W121" s="2"/>
      <c r="X121" s="2" t="s">
        <v>1007</v>
      </c>
      <c r="Y121" s="5"/>
      <c r="Z121" s="2" t="s">
        <v>1008</v>
      </c>
      <c r="AA121" s="6" t="s">
        <v>1009</v>
      </c>
    </row>
    <row r="122" customFormat="false" ht="135.8" hidden="false" customHeight="false" outlineLevel="0" collapsed="false">
      <c r="A122" s="5" t="s">
        <v>1010</v>
      </c>
      <c r="B122" s="2" t="s">
        <v>1011</v>
      </c>
      <c r="C122" s="5" t="s">
        <v>488</v>
      </c>
      <c r="D122" s="5" t="s">
        <v>60</v>
      </c>
      <c r="E122" s="2" t="s">
        <v>100</v>
      </c>
      <c r="F122" s="5" t="s">
        <v>490</v>
      </c>
      <c r="G122" s="5" t="n">
        <v>9</v>
      </c>
      <c r="H122" s="5" t="s">
        <v>63</v>
      </c>
      <c r="I122" s="5" t="s">
        <v>64</v>
      </c>
      <c r="J122" s="5" t="s">
        <v>65</v>
      </c>
      <c r="K122" s="5" t="s">
        <v>66</v>
      </c>
      <c r="L122" s="2" t="s">
        <v>100</v>
      </c>
      <c r="M122" s="2" t="s">
        <v>491</v>
      </c>
      <c r="N122" s="2" t="s">
        <v>1012</v>
      </c>
      <c r="O122" s="2" t="s">
        <v>1013</v>
      </c>
      <c r="P122" s="2"/>
      <c r="Q122" s="5" t="n">
        <v>1</v>
      </c>
      <c r="R122" s="2" t="s">
        <v>1014</v>
      </c>
      <c r="S122" s="2" t="s">
        <v>83</v>
      </c>
      <c r="T122" s="2" t="s">
        <v>1006</v>
      </c>
      <c r="U122" s="2" t="s">
        <v>681</v>
      </c>
      <c r="V122" s="5" t="n">
        <v>86400</v>
      </c>
      <c r="W122" s="2"/>
      <c r="X122" s="2" t="s">
        <v>1015</v>
      </c>
      <c r="Y122" s="5"/>
      <c r="Z122" s="2" t="s">
        <v>1016</v>
      </c>
      <c r="AA122" s="6" t="s">
        <v>1017</v>
      </c>
    </row>
    <row r="123" customFormat="false" ht="68.65" hidden="false" customHeight="false" outlineLevel="0" collapsed="false">
      <c r="A123" s="5" t="s">
        <v>1018</v>
      </c>
      <c r="B123" s="2" t="s">
        <v>1019</v>
      </c>
      <c r="C123" s="5" t="s">
        <v>488</v>
      </c>
      <c r="D123" s="5" t="s">
        <v>60</v>
      </c>
      <c r="E123" s="2" t="s">
        <v>100</v>
      </c>
      <c r="F123" s="5" t="s">
        <v>490</v>
      </c>
      <c r="G123" s="5" t="n">
        <v>9</v>
      </c>
      <c r="H123" s="5" t="s">
        <v>63</v>
      </c>
      <c r="I123" s="5" t="s">
        <v>64</v>
      </c>
      <c r="J123" s="5" t="s">
        <v>65</v>
      </c>
      <c r="K123" s="5" t="s">
        <v>66</v>
      </c>
      <c r="L123" s="2" t="s">
        <v>100</v>
      </c>
      <c r="M123" s="2" t="s">
        <v>491</v>
      </c>
      <c r="N123" s="2" t="s">
        <v>855</v>
      </c>
      <c r="O123" s="2" t="s">
        <v>994</v>
      </c>
      <c r="P123" s="2"/>
      <c r="Q123" s="5" t="n">
        <v>1</v>
      </c>
      <c r="R123" s="2" t="s">
        <v>873</v>
      </c>
      <c r="S123" s="2" t="s">
        <v>83</v>
      </c>
      <c r="T123" s="2" t="s">
        <v>1006</v>
      </c>
      <c r="U123" s="2" t="s">
        <v>681</v>
      </c>
      <c r="V123" s="5" t="n">
        <v>86400</v>
      </c>
      <c r="W123" s="2"/>
      <c r="X123" s="2" t="s">
        <v>999</v>
      </c>
      <c r="Y123" s="5"/>
      <c r="Z123" s="2" t="s">
        <v>1020</v>
      </c>
      <c r="AA123" s="6" t="s">
        <v>1021</v>
      </c>
    </row>
    <row r="124" customFormat="false" ht="68.65" hidden="false" customHeight="false" outlineLevel="0" collapsed="false">
      <c r="A124" s="5" t="s">
        <v>1022</v>
      </c>
      <c r="B124" s="2" t="s">
        <v>1023</v>
      </c>
      <c r="C124" s="5" t="s">
        <v>488</v>
      </c>
      <c r="D124" s="5" t="s">
        <v>60</v>
      </c>
      <c r="E124" s="2" t="s">
        <v>100</v>
      </c>
      <c r="F124" s="5" t="s">
        <v>490</v>
      </c>
      <c r="G124" s="5" t="n">
        <v>9</v>
      </c>
      <c r="H124" s="5" t="s">
        <v>63</v>
      </c>
      <c r="I124" s="5" t="s">
        <v>64</v>
      </c>
      <c r="J124" s="5" t="s">
        <v>65</v>
      </c>
      <c r="K124" s="5" t="s">
        <v>66</v>
      </c>
      <c r="L124" s="2" t="s">
        <v>100</v>
      </c>
      <c r="M124" s="2" t="s">
        <v>491</v>
      </c>
      <c r="N124" s="2" t="s">
        <v>880</v>
      </c>
      <c r="O124" s="2" t="s">
        <v>1024</v>
      </c>
      <c r="P124" s="2"/>
      <c r="Q124" s="5" t="n">
        <v>1</v>
      </c>
      <c r="R124" s="2" t="s">
        <v>1025</v>
      </c>
      <c r="S124" s="2" t="s">
        <v>83</v>
      </c>
      <c r="T124" s="2" t="s">
        <v>1026</v>
      </c>
      <c r="U124" s="2" t="s">
        <v>681</v>
      </c>
      <c r="V124" s="5" t="n">
        <v>86400</v>
      </c>
      <c r="W124" s="2"/>
      <c r="X124" s="2" t="s">
        <v>1027</v>
      </c>
      <c r="Y124" s="5"/>
      <c r="Z124" s="2" t="s">
        <v>1028</v>
      </c>
      <c r="AA124" s="6" t="s">
        <v>1029</v>
      </c>
    </row>
    <row r="125" customFormat="false" ht="46.25" hidden="false" customHeight="false" outlineLevel="0" collapsed="false">
      <c r="A125" s="5" t="s">
        <v>1030</v>
      </c>
      <c r="B125" s="2" t="s">
        <v>1031</v>
      </c>
      <c r="C125" s="5" t="s">
        <v>488</v>
      </c>
      <c r="D125" s="5" t="s">
        <v>60</v>
      </c>
      <c r="E125" s="2" t="s">
        <v>100</v>
      </c>
      <c r="F125" s="5" t="s">
        <v>62</v>
      </c>
      <c r="G125" s="5" t="n">
        <v>7</v>
      </c>
      <c r="H125" s="5" t="s">
        <v>89</v>
      </c>
      <c r="I125" s="5" t="s">
        <v>64</v>
      </c>
      <c r="J125" s="5" t="s">
        <v>65</v>
      </c>
      <c r="K125" s="5" t="s">
        <v>66</v>
      </c>
      <c r="L125" s="2" t="s">
        <v>100</v>
      </c>
      <c r="M125" s="2" t="s">
        <v>1032</v>
      </c>
      <c r="N125" s="2" t="s">
        <v>956</v>
      </c>
      <c r="O125" s="2" t="s">
        <v>1033</v>
      </c>
      <c r="P125" s="2"/>
      <c r="Q125" s="5" t="n">
        <v>1</v>
      </c>
      <c r="R125" s="2" t="s">
        <v>958</v>
      </c>
      <c r="S125" s="2" t="s">
        <v>959</v>
      </c>
      <c r="T125" s="2" t="s">
        <v>960</v>
      </c>
      <c r="U125" s="2" t="s">
        <v>496</v>
      </c>
      <c r="V125" s="5" t="n">
        <v>300</v>
      </c>
      <c r="W125" s="2"/>
      <c r="X125" s="2" t="s">
        <v>1034</v>
      </c>
      <c r="Y125" s="5"/>
      <c r="Z125" s="2" t="s">
        <v>1035</v>
      </c>
      <c r="AA125" s="6" t="s">
        <v>1036</v>
      </c>
    </row>
    <row r="126" customFormat="false" ht="382.05" hidden="false" customHeight="false" outlineLevel="0" collapsed="false">
      <c r="A126" s="5" t="s">
        <v>1037</v>
      </c>
      <c r="B126" s="2" t="s">
        <v>1038</v>
      </c>
      <c r="C126" s="5" t="s">
        <v>488</v>
      </c>
      <c r="D126" s="5" t="s">
        <v>60</v>
      </c>
      <c r="E126" s="2" t="s">
        <v>100</v>
      </c>
      <c r="F126" s="5" t="s">
        <v>62</v>
      </c>
      <c r="G126" s="5" t="n">
        <v>9</v>
      </c>
      <c r="H126" s="5" t="s">
        <v>63</v>
      </c>
      <c r="I126" s="5" t="s">
        <v>64</v>
      </c>
      <c r="J126" s="5" t="s">
        <v>1039</v>
      </c>
      <c r="K126" s="5" t="s">
        <v>66</v>
      </c>
      <c r="L126" s="2" t="s">
        <v>100</v>
      </c>
      <c r="M126" s="2"/>
      <c r="N126" s="2" t="s">
        <v>1040</v>
      </c>
      <c r="O126" s="2" t="s">
        <v>1041</v>
      </c>
      <c r="P126" s="2"/>
      <c r="Q126" s="5" t="n">
        <v>1</v>
      </c>
      <c r="R126" s="2" t="s">
        <v>1042</v>
      </c>
      <c r="S126" s="2" t="s">
        <v>83</v>
      </c>
      <c r="T126" s="2" t="s">
        <v>1043</v>
      </c>
      <c r="U126" s="2" t="s">
        <v>1044</v>
      </c>
      <c r="V126" s="5" t="n">
        <v>3600</v>
      </c>
      <c r="W126" s="2"/>
      <c r="X126" s="2" t="s">
        <v>1045</v>
      </c>
      <c r="Y126" s="5"/>
      <c r="Z126" s="2" t="s">
        <v>1046</v>
      </c>
      <c r="AA126" s="6" t="s">
        <v>1047</v>
      </c>
    </row>
    <row r="127" customFormat="false" ht="561.15" hidden="false" customHeight="false" outlineLevel="0" collapsed="false">
      <c r="A127" s="5" t="s">
        <v>1048</v>
      </c>
      <c r="B127" s="2" t="s">
        <v>1049</v>
      </c>
      <c r="C127" s="5" t="s">
        <v>488</v>
      </c>
      <c r="D127" s="5" t="s">
        <v>60</v>
      </c>
      <c r="E127" s="2" t="s">
        <v>489</v>
      </c>
      <c r="F127" s="5" t="s">
        <v>62</v>
      </c>
      <c r="G127" s="5" t="n">
        <v>8</v>
      </c>
      <c r="H127" s="5" t="s">
        <v>89</v>
      </c>
      <c r="I127" s="5" t="s">
        <v>64</v>
      </c>
      <c r="J127" s="5" t="s">
        <v>65</v>
      </c>
      <c r="K127" s="5" t="s">
        <v>66</v>
      </c>
      <c r="L127" s="2" t="s">
        <v>100</v>
      </c>
      <c r="M127" s="2" t="s">
        <v>491</v>
      </c>
      <c r="N127" s="2" t="s">
        <v>614</v>
      </c>
      <c r="O127" s="2" t="s">
        <v>1050</v>
      </c>
      <c r="P127" s="2"/>
      <c r="Q127" s="5" t="n">
        <v>2</v>
      </c>
      <c r="R127" s="2" t="s">
        <v>1051</v>
      </c>
      <c r="S127" s="2" t="s">
        <v>1052</v>
      </c>
      <c r="T127" s="2" t="s">
        <v>1053</v>
      </c>
      <c r="U127" s="2" t="s">
        <v>1054</v>
      </c>
      <c r="V127" s="5" t="n">
        <v>7200</v>
      </c>
      <c r="W127" s="2" t="s">
        <v>1055</v>
      </c>
      <c r="X127" s="2" t="s">
        <v>1056</v>
      </c>
      <c r="Y127" s="5"/>
      <c r="Z127" s="2" t="s">
        <v>1057</v>
      </c>
      <c r="AA127" s="6" t="s">
        <v>1058</v>
      </c>
    </row>
    <row r="128" customFormat="false" ht="46.25" hidden="false" customHeight="false" outlineLevel="0" collapsed="false">
      <c r="A128" s="5" t="s">
        <v>1059</v>
      </c>
      <c r="B128" s="2" t="s">
        <v>1060</v>
      </c>
      <c r="C128" s="5" t="s">
        <v>488</v>
      </c>
      <c r="D128" s="5" t="s">
        <v>60</v>
      </c>
      <c r="E128" s="2" t="s">
        <v>161</v>
      </c>
      <c r="F128" s="5" t="s">
        <v>62</v>
      </c>
      <c r="G128" s="5" t="n">
        <v>9</v>
      </c>
      <c r="H128" s="5" t="s">
        <v>63</v>
      </c>
      <c r="I128" s="5" t="s">
        <v>64</v>
      </c>
      <c r="J128" s="5" t="s">
        <v>65</v>
      </c>
      <c r="K128" s="5" t="s">
        <v>66</v>
      </c>
      <c r="L128" s="2" t="s">
        <v>544</v>
      </c>
      <c r="M128" s="2" t="s">
        <v>545</v>
      </c>
      <c r="N128" s="2" t="s">
        <v>593</v>
      </c>
      <c r="O128" s="2" t="s">
        <v>1061</v>
      </c>
      <c r="P128" s="2"/>
      <c r="Q128" s="5" t="n">
        <v>1</v>
      </c>
      <c r="R128" s="2" t="s">
        <v>71</v>
      </c>
      <c r="S128" s="2" t="s">
        <v>83</v>
      </c>
      <c r="T128" s="2" t="s">
        <v>641</v>
      </c>
      <c r="U128" s="2" t="s">
        <v>74</v>
      </c>
      <c r="V128" s="5" t="n">
        <v>300</v>
      </c>
      <c r="W128" s="2"/>
      <c r="X128" s="2" t="s">
        <v>1062</v>
      </c>
      <c r="Y128" s="5"/>
      <c r="Z128" s="2" t="s">
        <v>1063</v>
      </c>
      <c r="AA128" s="6" t="s">
        <v>1064</v>
      </c>
    </row>
    <row r="129" customFormat="false" ht="91" hidden="false" customHeight="false" outlineLevel="0" collapsed="false">
      <c r="A129" s="5" t="s">
        <v>1065</v>
      </c>
      <c r="B129" s="2" t="s">
        <v>1066</v>
      </c>
      <c r="C129" s="5" t="s">
        <v>488</v>
      </c>
      <c r="D129" s="5" t="s">
        <v>60</v>
      </c>
      <c r="E129" s="2" t="s">
        <v>110</v>
      </c>
      <c r="F129" s="5" t="s">
        <v>62</v>
      </c>
      <c r="G129" s="5" t="n">
        <v>9</v>
      </c>
      <c r="H129" s="5" t="s">
        <v>63</v>
      </c>
      <c r="I129" s="5" t="s">
        <v>64</v>
      </c>
      <c r="J129" s="5" t="s">
        <v>65</v>
      </c>
      <c r="K129" s="5" t="s">
        <v>66</v>
      </c>
      <c r="L129" s="2" t="s">
        <v>544</v>
      </c>
      <c r="M129" s="2" t="s">
        <v>545</v>
      </c>
      <c r="N129" s="2" t="s">
        <v>593</v>
      </c>
      <c r="O129" s="2" t="s">
        <v>1067</v>
      </c>
      <c r="P129" s="2"/>
      <c r="Q129" s="5" t="n">
        <v>1</v>
      </c>
      <c r="R129" s="2" t="s">
        <v>71</v>
      </c>
      <c r="S129" s="2" t="s">
        <v>83</v>
      </c>
      <c r="T129" s="2" t="s">
        <v>641</v>
      </c>
      <c r="U129" s="2" t="s">
        <v>74</v>
      </c>
      <c r="V129" s="5" t="n">
        <v>300</v>
      </c>
      <c r="W129" s="2"/>
      <c r="X129" s="2" t="s">
        <v>1068</v>
      </c>
      <c r="Y129" s="5"/>
      <c r="Z129" s="2" t="s">
        <v>1069</v>
      </c>
      <c r="AA129" s="6" t="s">
        <v>1070</v>
      </c>
    </row>
    <row r="130" customFormat="false" ht="23.85" hidden="false" customHeight="false" outlineLevel="0" collapsed="false">
      <c r="A130" s="5" t="s">
        <v>1071</v>
      </c>
      <c r="B130" s="2" t="s">
        <v>1072</v>
      </c>
      <c r="C130" s="5" t="s">
        <v>488</v>
      </c>
      <c r="D130" s="5" t="s">
        <v>60</v>
      </c>
      <c r="E130" s="2" t="s">
        <v>100</v>
      </c>
      <c r="F130" s="5" t="s">
        <v>62</v>
      </c>
      <c r="G130" s="5" t="n">
        <v>10</v>
      </c>
      <c r="H130" s="5" t="s">
        <v>63</v>
      </c>
      <c r="I130" s="5" t="s">
        <v>64</v>
      </c>
      <c r="J130" s="5" t="s">
        <v>65</v>
      </c>
      <c r="K130" s="5" t="s">
        <v>66</v>
      </c>
      <c r="L130" s="2" t="s">
        <v>100</v>
      </c>
      <c r="M130" s="2"/>
      <c r="N130" s="2" t="s">
        <v>1073</v>
      </c>
      <c r="O130" s="2" t="s">
        <v>1074</v>
      </c>
      <c r="P130" s="2"/>
      <c r="Q130" s="5" t="n">
        <v>1</v>
      </c>
      <c r="R130" s="2" t="s">
        <v>1075</v>
      </c>
      <c r="S130" s="2" t="s">
        <v>83</v>
      </c>
      <c r="T130" s="2" t="s">
        <v>247</v>
      </c>
      <c r="U130" s="2" t="s">
        <v>74</v>
      </c>
      <c r="V130" s="5" t="n">
        <v>300</v>
      </c>
      <c r="W130" s="2"/>
      <c r="X130" s="2" t="s">
        <v>1076</v>
      </c>
      <c r="Y130" s="5"/>
      <c r="Z130" s="2" t="s">
        <v>1077</v>
      </c>
      <c r="AA130" s="6" t="s">
        <v>1078</v>
      </c>
    </row>
    <row r="131" customFormat="false" ht="23.85" hidden="false" customHeight="false" outlineLevel="0" collapsed="false">
      <c r="A131" s="5" t="s">
        <v>1079</v>
      </c>
      <c r="B131" s="2" t="s">
        <v>1080</v>
      </c>
      <c r="C131" s="5" t="s">
        <v>488</v>
      </c>
      <c r="D131" s="5" t="s">
        <v>60</v>
      </c>
      <c r="E131" s="2"/>
      <c r="F131" s="5" t="s">
        <v>62</v>
      </c>
      <c r="G131" s="5" t="n">
        <v>10</v>
      </c>
      <c r="H131" s="5" t="s">
        <v>63</v>
      </c>
      <c r="I131" s="5" t="s">
        <v>64</v>
      </c>
      <c r="J131" s="5" t="s">
        <v>65</v>
      </c>
      <c r="K131" s="5" t="s">
        <v>66</v>
      </c>
      <c r="L131" s="2" t="s">
        <v>67</v>
      </c>
      <c r="M131" s="2"/>
      <c r="N131" s="2" t="s">
        <v>1073</v>
      </c>
      <c r="O131" s="2" t="s">
        <v>1081</v>
      </c>
      <c r="P131" s="2"/>
      <c r="Q131" s="5" t="n">
        <v>1</v>
      </c>
      <c r="R131" s="2" t="s">
        <v>1075</v>
      </c>
      <c r="S131" s="2" t="s">
        <v>83</v>
      </c>
      <c r="T131" s="2" t="s">
        <v>247</v>
      </c>
      <c r="U131" s="2" t="s">
        <v>74</v>
      </c>
      <c r="V131" s="5" t="n">
        <v>300</v>
      </c>
      <c r="W131" s="2"/>
      <c r="X131" s="2" t="s">
        <v>1082</v>
      </c>
      <c r="Y131" s="5"/>
      <c r="Z131" s="2" t="s">
        <v>1083</v>
      </c>
      <c r="AA131" s="6" t="s">
        <v>1084</v>
      </c>
    </row>
    <row r="132" customFormat="false" ht="68.65" hidden="false" customHeight="false" outlineLevel="0" collapsed="false">
      <c r="A132" s="5" t="s">
        <v>1085</v>
      </c>
      <c r="B132" s="2" t="s">
        <v>1086</v>
      </c>
      <c r="C132" s="5" t="s">
        <v>488</v>
      </c>
      <c r="D132" s="5" t="s">
        <v>60</v>
      </c>
      <c r="E132" s="2" t="s">
        <v>481</v>
      </c>
      <c r="F132" s="5" t="s">
        <v>62</v>
      </c>
      <c r="G132" s="5" t="n">
        <v>8</v>
      </c>
      <c r="H132" s="5" t="s">
        <v>89</v>
      </c>
      <c r="I132" s="5" t="s">
        <v>64</v>
      </c>
      <c r="J132" s="5" t="s">
        <v>65</v>
      </c>
      <c r="K132" s="5" t="s">
        <v>66</v>
      </c>
      <c r="L132" s="2" t="s">
        <v>481</v>
      </c>
      <c r="M132" s="2" t="s">
        <v>1087</v>
      </c>
      <c r="N132" s="2" t="s">
        <v>1088</v>
      </c>
      <c r="O132" s="2" t="s">
        <v>1089</v>
      </c>
      <c r="P132" s="2"/>
      <c r="Q132" s="5" t="n">
        <v>1</v>
      </c>
      <c r="R132" s="2" t="s">
        <v>71</v>
      </c>
      <c r="S132" s="2" t="s">
        <v>1090</v>
      </c>
      <c r="T132" s="2" t="s">
        <v>1091</v>
      </c>
      <c r="U132" s="2" t="s">
        <v>74</v>
      </c>
      <c r="V132" s="5" t="n">
        <v>300</v>
      </c>
      <c r="W132" s="2"/>
      <c r="X132" s="2" t="s">
        <v>1092</v>
      </c>
      <c r="Y132" s="5"/>
      <c r="Z132" s="2" t="s">
        <v>1093</v>
      </c>
      <c r="AA132" s="6" t="s">
        <v>1094</v>
      </c>
    </row>
    <row r="133" customFormat="false" ht="57.45" hidden="false" customHeight="false" outlineLevel="0" collapsed="false">
      <c r="A133" s="5" t="s">
        <v>1095</v>
      </c>
      <c r="B133" s="2" t="s">
        <v>1096</v>
      </c>
      <c r="C133" s="5" t="s">
        <v>488</v>
      </c>
      <c r="D133" s="5" t="s">
        <v>60</v>
      </c>
      <c r="E133" s="2" t="s">
        <v>182</v>
      </c>
      <c r="F133" s="5" t="s">
        <v>62</v>
      </c>
      <c r="G133" s="5" t="n">
        <v>3</v>
      </c>
      <c r="H133" s="5" t="s">
        <v>817</v>
      </c>
      <c r="I133" s="5" t="s">
        <v>64</v>
      </c>
      <c r="J133" s="5" t="s">
        <v>65</v>
      </c>
      <c r="K133" s="5" t="s">
        <v>66</v>
      </c>
      <c r="L133" s="2" t="s">
        <v>90</v>
      </c>
      <c r="M133" s="2"/>
      <c r="N133" s="2" t="s">
        <v>184</v>
      </c>
      <c r="O133" s="2" t="s">
        <v>1097</v>
      </c>
      <c r="P133" s="2"/>
      <c r="Q133" s="5" t="n">
        <v>1</v>
      </c>
      <c r="R133" s="2" t="s">
        <v>71</v>
      </c>
      <c r="S133" s="2" t="s">
        <v>83</v>
      </c>
      <c r="T133" s="2" t="s">
        <v>1098</v>
      </c>
      <c r="U133" s="2" t="s">
        <v>74</v>
      </c>
      <c r="V133" s="5" t="n">
        <v>300</v>
      </c>
      <c r="W133" s="2"/>
      <c r="X133" s="2" t="s">
        <v>1099</v>
      </c>
      <c r="Y133" s="5" t="s">
        <v>192</v>
      </c>
      <c r="Z133" s="2" t="s">
        <v>1100</v>
      </c>
      <c r="AA133" s="6" t="s">
        <v>1101</v>
      </c>
    </row>
    <row r="134" customFormat="false" ht="102.2" hidden="false" customHeight="false" outlineLevel="0" collapsed="false">
      <c r="A134" s="5" t="s">
        <v>1102</v>
      </c>
      <c r="B134" s="2" t="s">
        <v>1103</v>
      </c>
      <c r="C134" s="5" t="s">
        <v>488</v>
      </c>
      <c r="D134" s="5" t="s">
        <v>60</v>
      </c>
      <c r="E134" s="2" t="s">
        <v>1104</v>
      </c>
      <c r="F134" s="5" t="s">
        <v>62</v>
      </c>
      <c r="G134" s="5" t="n">
        <v>5</v>
      </c>
      <c r="H134" s="5" t="s">
        <v>89</v>
      </c>
      <c r="I134" s="5" t="s">
        <v>64</v>
      </c>
      <c r="J134" s="5" t="s">
        <v>65</v>
      </c>
      <c r="K134" s="5" t="s">
        <v>66</v>
      </c>
      <c r="L134" s="2" t="s">
        <v>100</v>
      </c>
      <c r="M134" s="2" t="s">
        <v>761</v>
      </c>
      <c r="N134" s="2" t="s">
        <v>367</v>
      </c>
      <c r="O134" s="2" t="s">
        <v>1105</v>
      </c>
      <c r="P134" s="2"/>
      <c r="Q134" s="5" t="n">
        <v>1</v>
      </c>
      <c r="R134" s="2" t="s">
        <v>71</v>
      </c>
      <c r="S134" s="2" t="s">
        <v>1106</v>
      </c>
      <c r="T134" s="2" t="s">
        <v>1107</v>
      </c>
      <c r="U134" s="2" t="s">
        <v>74</v>
      </c>
      <c r="V134" s="5" t="n">
        <v>300</v>
      </c>
      <c r="W134" s="2"/>
      <c r="X134" s="2" t="s">
        <v>1108</v>
      </c>
      <c r="Y134" s="5" t="s">
        <v>309</v>
      </c>
      <c r="Z134" s="2" t="s">
        <v>1109</v>
      </c>
      <c r="AA134" s="6" t="s">
        <v>1110</v>
      </c>
    </row>
    <row r="135" customFormat="false" ht="57.45" hidden="false" customHeight="false" outlineLevel="0" collapsed="false">
      <c r="A135" s="5" t="s">
        <v>1111</v>
      </c>
      <c r="B135" s="2" t="s">
        <v>1112</v>
      </c>
      <c r="C135" s="5" t="s">
        <v>488</v>
      </c>
      <c r="D135" s="5" t="s">
        <v>60</v>
      </c>
      <c r="E135" s="2" t="s">
        <v>449</v>
      </c>
      <c r="F135" s="5" t="s">
        <v>62</v>
      </c>
      <c r="G135" s="5" t="n">
        <v>9</v>
      </c>
      <c r="H135" s="5" t="s">
        <v>63</v>
      </c>
      <c r="I135" s="5" t="s">
        <v>64</v>
      </c>
      <c r="J135" s="5" t="s">
        <v>65</v>
      </c>
      <c r="K135" s="5" t="s">
        <v>66</v>
      </c>
      <c r="L135" s="2" t="s">
        <v>100</v>
      </c>
      <c r="M135" s="2" t="s">
        <v>1113</v>
      </c>
      <c r="N135" s="2" t="s">
        <v>184</v>
      </c>
      <c r="O135" s="2" t="s">
        <v>1114</v>
      </c>
      <c r="P135" s="2"/>
      <c r="Q135" s="5" t="n">
        <v>1</v>
      </c>
      <c r="R135" s="2" t="s">
        <v>71</v>
      </c>
      <c r="S135" s="2" t="s">
        <v>1115</v>
      </c>
      <c r="T135" s="2" t="s">
        <v>1116</v>
      </c>
      <c r="U135" s="2" t="s">
        <v>74</v>
      </c>
      <c r="V135" s="5" t="n">
        <v>300</v>
      </c>
      <c r="W135" s="2"/>
      <c r="X135" s="2" t="s">
        <v>1117</v>
      </c>
      <c r="Y135" s="5" t="s">
        <v>1118</v>
      </c>
      <c r="Z135" s="2" t="s">
        <v>1119</v>
      </c>
      <c r="AA135" s="6" t="s">
        <v>1120</v>
      </c>
    </row>
    <row r="136" customFormat="false" ht="91" hidden="false" customHeight="false" outlineLevel="0" collapsed="false">
      <c r="A136" s="5" t="s">
        <v>1121</v>
      </c>
      <c r="B136" s="2" t="s">
        <v>1122</v>
      </c>
      <c r="C136" s="5" t="s">
        <v>488</v>
      </c>
      <c r="D136" s="5" t="s">
        <v>60</v>
      </c>
      <c r="E136" s="2" t="s">
        <v>182</v>
      </c>
      <c r="F136" s="5" t="s">
        <v>62</v>
      </c>
      <c r="G136" s="5" t="n">
        <v>7</v>
      </c>
      <c r="H136" s="5" t="s">
        <v>89</v>
      </c>
      <c r="I136" s="5" t="s">
        <v>64</v>
      </c>
      <c r="J136" s="5" t="s">
        <v>65</v>
      </c>
      <c r="K136" s="5" t="s">
        <v>66</v>
      </c>
      <c r="L136" s="2" t="s">
        <v>90</v>
      </c>
      <c r="M136" s="2"/>
      <c r="N136" s="2" t="s">
        <v>184</v>
      </c>
      <c r="O136" s="2" t="s">
        <v>1123</v>
      </c>
      <c r="P136" s="2"/>
      <c r="Q136" s="5" t="n">
        <v>1</v>
      </c>
      <c r="R136" s="2" t="s">
        <v>71</v>
      </c>
      <c r="S136" s="2" t="s">
        <v>1124</v>
      </c>
      <c r="T136" s="2" t="s">
        <v>1125</v>
      </c>
      <c r="U136" s="2" t="s">
        <v>74</v>
      </c>
      <c r="V136" s="5" t="n">
        <v>300</v>
      </c>
      <c r="W136" s="2"/>
      <c r="X136" s="2" t="s">
        <v>1126</v>
      </c>
      <c r="Y136" s="5" t="s">
        <v>1127</v>
      </c>
      <c r="Z136" s="2" t="s">
        <v>1128</v>
      </c>
      <c r="AA136" s="6" t="s">
        <v>1129</v>
      </c>
    </row>
    <row r="137" customFormat="false" ht="57.45" hidden="false" customHeight="false" outlineLevel="0" collapsed="false">
      <c r="A137" s="5" t="s">
        <v>1130</v>
      </c>
      <c r="B137" s="2" t="s">
        <v>1131</v>
      </c>
      <c r="C137" s="5" t="s">
        <v>488</v>
      </c>
      <c r="D137" s="5" t="s">
        <v>60</v>
      </c>
      <c r="E137" s="2" t="s">
        <v>182</v>
      </c>
      <c r="F137" s="5" t="s">
        <v>62</v>
      </c>
      <c r="G137" s="5" t="n">
        <v>3</v>
      </c>
      <c r="H137" s="5" t="s">
        <v>817</v>
      </c>
      <c r="I137" s="5" t="s">
        <v>64</v>
      </c>
      <c r="J137" s="5" t="s">
        <v>65</v>
      </c>
      <c r="K137" s="5" t="s">
        <v>66</v>
      </c>
      <c r="L137" s="2" t="s">
        <v>90</v>
      </c>
      <c r="M137" s="2"/>
      <c r="N137" s="2" t="s">
        <v>184</v>
      </c>
      <c r="O137" s="2" t="s">
        <v>1132</v>
      </c>
      <c r="P137" s="2"/>
      <c r="Q137" s="5" t="n">
        <v>1</v>
      </c>
      <c r="R137" s="2" t="s">
        <v>71</v>
      </c>
      <c r="S137" s="2" t="s">
        <v>83</v>
      </c>
      <c r="T137" s="2" t="s">
        <v>1098</v>
      </c>
      <c r="U137" s="2" t="s">
        <v>74</v>
      </c>
      <c r="V137" s="5" t="n">
        <v>300</v>
      </c>
      <c r="W137" s="2"/>
      <c r="X137" s="2" t="s">
        <v>1133</v>
      </c>
      <c r="Y137" s="5"/>
      <c r="Z137" s="2" t="s">
        <v>1134</v>
      </c>
      <c r="AA137" s="6" t="s">
        <v>1135</v>
      </c>
    </row>
    <row r="138" customFormat="false" ht="57.45" hidden="false" customHeight="false" outlineLevel="0" collapsed="false">
      <c r="A138" s="5" t="s">
        <v>1136</v>
      </c>
      <c r="B138" s="2" t="s">
        <v>1137</v>
      </c>
      <c r="C138" s="5" t="s">
        <v>488</v>
      </c>
      <c r="D138" s="5" t="s">
        <v>60</v>
      </c>
      <c r="E138" s="2"/>
      <c r="F138" s="5" t="s">
        <v>62</v>
      </c>
      <c r="G138" s="5" t="n">
        <v>5</v>
      </c>
      <c r="H138" s="5" t="s">
        <v>89</v>
      </c>
      <c r="I138" s="5" t="s">
        <v>64</v>
      </c>
      <c r="J138" s="5" t="s">
        <v>65</v>
      </c>
      <c r="K138" s="5" t="s">
        <v>66</v>
      </c>
      <c r="L138" s="2" t="s">
        <v>90</v>
      </c>
      <c r="M138" s="2"/>
      <c r="N138" s="2" t="s">
        <v>367</v>
      </c>
      <c r="O138" s="2" t="s">
        <v>1105</v>
      </c>
      <c r="P138" s="2"/>
      <c r="Q138" s="5" t="n">
        <v>1</v>
      </c>
      <c r="R138" s="2" t="s">
        <v>71</v>
      </c>
      <c r="S138" s="2" t="s">
        <v>1138</v>
      </c>
      <c r="T138" s="2" t="s">
        <v>1139</v>
      </c>
      <c r="U138" s="2" t="s">
        <v>74</v>
      </c>
      <c r="V138" s="5" t="n">
        <v>300</v>
      </c>
      <c r="W138" s="2"/>
      <c r="X138" s="2" t="s">
        <v>1108</v>
      </c>
      <c r="Y138" s="5" t="s">
        <v>309</v>
      </c>
      <c r="Z138" s="2" t="s">
        <v>1140</v>
      </c>
      <c r="AA138" s="6" t="s">
        <v>1141</v>
      </c>
    </row>
    <row r="139" customFormat="false" ht="46.25" hidden="false" customHeight="false" outlineLevel="0" collapsed="false">
      <c r="A139" s="5" t="s">
        <v>1142</v>
      </c>
      <c r="B139" s="2" t="s">
        <v>1143</v>
      </c>
      <c r="C139" s="5" t="s">
        <v>488</v>
      </c>
      <c r="D139" s="5" t="s">
        <v>60</v>
      </c>
      <c r="E139" s="2" t="s">
        <v>1144</v>
      </c>
      <c r="F139" s="5" t="s">
        <v>62</v>
      </c>
      <c r="G139" s="5" t="n">
        <v>5</v>
      </c>
      <c r="H139" s="5" t="s">
        <v>89</v>
      </c>
      <c r="I139" s="5" t="s">
        <v>64</v>
      </c>
      <c r="J139" s="5" t="s">
        <v>65</v>
      </c>
      <c r="K139" s="5" t="s">
        <v>66</v>
      </c>
      <c r="L139" s="2" t="s">
        <v>481</v>
      </c>
      <c r="M139" s="2" t="s">
        <v>1145</v>
      </c>
      <c r="N139" s="2" t="s">
        <v>184</v>
      </c>
      <c r="O139" s="2" t="s">
        <v>1146</v>
      </c>
      <c r="P139" s="2"/>
      <c r="Q139" s="5" t="n">
        <v>1</v>
      </c>
      <c r="R139" s="2" t="s">
        <v>71</v>
      </c>
      <c r="S139" s="2" t="s">
        <v>1147</v>
      </c>
      <c r="T139" s="2" t="s">
        <v>1148</v>
      </c>
      <c r="U139" s="2" t="s">
        <v>74</v>
      </c>
      <c r="V139" s="5" t="n">
        <v>300</v>
      </c>
      <c r="W139" s="2"/>
      <c r="X139" s="2" t="s">
        <v>1149</v>
      </c>
      <c r="Y139" s="5" t="s">
        <v>192</v>
      </c>
      <c r="Z139" s="2" t="s">
        <v>1150</v>
      </c>
      <c r="AA139" s="6" t="s">
        <v>1151</v>
      </c>
    </row>
    <row r="140" customFormat="false" ht="68.65" hidden="false" customHeight="false" outlineLevel="0" collapsed="false">
      <c r="A140" s="5" t="s">
        <v>1152</v>
      </c>
      <c r="B140" s="2" t="s">
        <v>1153</v>
      </c>
      <c r="C140" s="5" t="s">
        <v>488</v>
      </c>
      <c r="D140" s="5" t="s">
        <v>60</v>
      </c>
      <c r="E140" s="2" t="s">
        <v>100</v>
      </c>
      <c r="F140" s="5" t="s">
        <v>62</v>
      </c>
      <c r="G140" s="5" t="n">
        <v>5</v>
      </c>
      <c r="H140" s="5" t="s">
        <v>89</v>
      </c>
      <c r="I140" s="5" t="s">
        <v>64</v>
      </c>
      <c r="J140" s="5" t="s">
        <v>65</v>
      </c>
      <c r="K140" s="5" t="s">
        <v>66</v>
      </c>
      <c r="L140" s="2" t="s">
        <v>100</v>
      </c>
      <c r="M140" s="2" t="s">
        <v>761</v>
      </c>
      <c r="N140" s="2" t="s">
        <v>367</v>
      </c>
      <c r="O140" s="2" t="s">
        <v>1105</v>
      </c>
      <c r="P140" s="2"/>
      <c r="Q140" s="5" t="n">
        <v>1</v>
      </c>
      <c r="R140" s="2" t="s">
        <v>71</v>
      </c>
      <c r="S140" s="2" t="s">
        <v>1154</v>
      </c>
      <c r="T140" s="2" t="s">
        <v>1155</v>
      </c>
      <c r="U140" s="2" t="s">
        <v>74</v>
      </c>
      <c r="V140" s="5" t="n">
        <v>300</v>
      </c>
      <c r="W140" s="2"/>
      <c r="X140" s="2" t="s">
        <v>1108</v>
      </c>
      <c r="Y140" s="5" t="s">
        <v>309</v>
      </c>
      <c r="Z140" s="2" t="s">
        <v>1156</v>
      </c>
      <c r="AA140" s="6" t="s">
        <v>1157</v>
      </c>
    </row>
    <row r="141" customFormat="false" ht="68.65" hidden="false" customHeight="false" outlineLevel="0" collapsed="false">
      <c r="A141" s="5" t="s">
        <v>1158</v>
      </c>
      <c r="B141" s="2" t="s">
        <v>1159</v>
      </c>
      <c r="C141" s="5" t="s">
        <v>488</v>
      </c>
      <c r="D141" s="5" t="s">
        <v>60</v>
      </c>
      <c r="E141" s="2" t="s">
        <v>751</v>
      </c>
      <c r="F141" s="5" t="s">
        <v>62</v>
      </c>
      <c r="G141" s="5" t="n">
        <v>7</v>
      </c>
      <c r="H141" s="5" t="s">
        <v>89</v>
      </c>
      <c r="I141" s="5" t="s">
        <v>64</v>
      </c>
      <c r="J141" s="5" t="s">
        <v>65</v>
      </c>
      <c r="K141" s="5" t="s">
        <v>66</v>
      </c>
      <c r="L141" s="2" t="s">
        <v>277</v>
      </c>
      <c r="M141" s="2" t="s">
        <v>314</v>
      </c>
      <c r="N141" s="2" t="s">
        <v>367</v>
      </c>
      <c r="O141" s="2" t="s">
        <v>1160</v>
      </c>
      <c r="P141" s="2"/>
      <c r="Q141" s="5" t="n">
        <v>1</v>
      </c>
      <c r="R141" s="2" t="s">
        <v>71</v>
      </c>
      <c r="S141" s="2" t="s">
        <v>1161</v>
      </c>
      <c r="T141" s="2" t="s">
        <v>1162</v>
      </c>
      <c r="U141" s="2" t="s">
        <v>74</v>
      </c>
      <c r="V141" s="5" t="n">
        <v>300</v>
      </c>
      <c r="W141" s="2"/>
      <c r="X141" s="2" t="s">
        <v>1163</v>
      </c>
      <c r="Y141" s="5"/>
      <c r="Z141" s="2" t="s">
        <v>1164</v>
      </c>
      <c r="AA141" s="6" t="s">
        <v>1165</v>
      </c>
    </row>
    <row r="142" customFormat="false" ht="91" hidden="false" customHeight="false" outlineLevel="0" collapsed="false">
      <c r="A142" s="5" t="s">
        <v>1166</v>
      </c>
      <c r="B142" s="2" t="s">
        <v>1167</v>
      </c>
      <c r="C142" s="5" t="s">
        <v>488</v>
      </c>
      <c r="D142" s="5" t="s">
        <v>60</v>
      </c>
      <c r="E142" s="2" t="s">
        <v>577</v>
      </c>
      <c r="F142" s="5" t="s">
        <v>62</v>
      </c>
      <c r="G142" s="5" t="n">
        <v>7</v>
      </c>
      <c r="H142" s="5" t="s">
        <v>89</v>
      </c>
      <c r="I142" s="5" t="s">
        <v>64</v>
      </c>
      <c r="J142" s="5" t="s">
        <v>65</v>
      </c>
      <c r="K142" s="5" t="s">
        <v>66</v>
      </c>
      <c r="L142" s="2" t="s">
        <v>481</v>
      </c>
      <c r="M142" s="2" t="s">
        <v>578</v>
      </c>
      <c r="N142" s="2" t="s">
        <v>367</v>
      </c>
      <c r="O142" s="2" t="s">
        <v>1105</v>
      </c>
      <c r="P142" s="2"/>
      <c r="Q142" s="5" t="n">
        <v>1</v>
      </c>
      <c r="R142" s="2" t="s">
        <v>71</v>
      </c>
      <c r="S142" s="2" t="s">
        <v>1168</v>
      </c>
      <c r="T142" s="2" t="s">
        <v>1169</v>
      </c>
      <c r="U142" s="2" t="s">
        <v>74</v>
      </c>
      <c r="V142" s="5" t="n">
        <v>300</v>
      </c>
      <c r="W142" s="2"/>
      <c r="X142" s="2" t="s">
        <v>1108</v>
      </c>
      <c r="Y142" s="5" t="s">
        <v>309</v>
      </c>
      <c r="Z142" s="2" t="s">
        <v>1170</v>
      </c>
      <c r="AA142" s="6" t="s">
        <v>1171</v>
      </c>
    </row>
    <row r="143" customFormat="false" ht="46.25" hidden="false" customHeight="false" outlineLevel="0" collapsed="false">
      <c r="A143" s="5" t="s">
        <v>1172</v>
      </c>
      <c r="B143" s="2" t="s">
        <v>1173</v>
      </c>
      <c r="C143" s="5" t="s">
        <v>488</v>
      </c>
      <c r="D143" s="5" t="s">
        <v>60</v>
      </c>
      <c r="E143" s="2" t="s">
        <v>1174</v>
      </c>
      <c r="F143" s="5" t="s">
        <v>62</v>
      </c>
      <c r="G143" s="5" t="n">
        <v>5</v>
      </c>
      <c r="H143" s="5" t="s">
        <v>89</v>
      </c>
      <c r="I143" s="5" t="s">
        <v>64</v>
      </c>
      <c r="J143" s="5" t="s">
        <v>65</v>
      </c>
      <c r="K143" s="5" t="s">
        <v>66</v>
      </c>
      <c r="L143" s="2" t="s">
        <v>90</v>
      </c>
      <c r="M143" s="2"/>
      <c r="N143" s="2" t="s">
        <v>367</v>
      </c>
      <c r="O143" s="2" t="s">
        <v>1105</v>
      </c>
      <c r="P143" s="2"/>
      <c r="Q143" s="5" t="n">
        <v>1</v>
      </c>
      <c r="R143" s="2" t="s">
        <v>71</v>
      </c>
      <c r="S143" s="2" t="s">
        <v>1175</v>
      </c>
      <c r="T143" s="2" t="s">
        <v>1176</v>
      </c>
      <c r="U143" s="2" t="s">
        <v>74</v>
      </c>
      <c r="V143" s="5" t="n">
        <v>300</v>
      </c>
      <c r="W143" s="2"/>
      <c r="X143" s="2" t="s">
        <v>1108</v>
      </c>
      <c r="Y143" s="5" t="s">
        <v>309</v>
      </c>
      <c r="Z143" s="2" t="s">
        <v>1177</v>
      </c>
      <c r="AA143" s="6" t="s">
        <v>1178</v>
      </c>
    </row>
    <row r="144" customFormat="false" ht="91" hidden="false" customHeight="false" outlineLevel="0" collapsed="false">
      <c r="A144" s="5" t="s">
        <v>1179</v>
      </c>
      <c r="B144" s="2" t="s">
        <v>1180</v>
      </c>
      <c r="C144" s="5" t="s">
        <v>488</v>
      </c>
      <c r="D144" s="5" t="s">
        <v>60</v>
      </c>
      <c r="E144" s="2" t="s">
        <v>100</v>
      </c>
      <c r="F144" s="5" t="s">
        <v>62</v>
      </c>
      <c r="G144" s="5" t="n">
        <v>7</v>
      </c>
      <c r="H144" s="5" t="s">
        <v>89</v>
      </c>
      <c r="I144" s="5" t="s">
        <v>64</v>
      </c>
      <c r="J144" s="5" t="s">
        <v>65</v>
      </c>
      <c r="K144" s="5" t="s">
        <v>66</v>
      </c>
      <c r="L144" s="2" t="s">
        <v>100</v>
      </c>
      <c r="M144" s="2" t="s">
        <v>450</v>
      </c>
      <c r="N144" s="2" t="s">
        <v>367</v>
      </c>
      <c r="O144" s="2" t="s">
        <v>1105</v>
      </c>
      <c r="P144" s="2"/>
      <c r="Q144" s="5" t="n">
        <v>1</v>
      </c>
      <c r="R144" s="2" t="s">
        <v>71</v>
      </c>
      <c r="S144" s="2" t="s">
        <v>1181</v>
      </c>
      <c r="T144" s="2" t="s">
        <v>1176</v>
      </c>
      <c r="U144" s="2" t="s">
        <v>74</v>
      </c>
      <c r="V144" s="5" t="n">
        <v>300</v>
      </c>
      <c r="W144" s="2"/>
      <c r="X144" s="2" t="s">
        <v>1108</v>
      </c>
      <c r="Y144" s="5" t="s">
        <v>309</v>
      </c>
      <c r="Z144" s="2" t="s">
        <v>1182</v>
      </c>
      <c r="AA144" s="6" t="s">
        <v>1183</v>
      </c>
    </row>
    <row r="145" customFormat="false" ht="79.85" hidden="false" customHeight="false" outlineLevel="0" collapsed="false">
      <c r="A145" s="5" t="s">
        <v>1184</v>
      </c>
      <c r="B145" s="2" t="s">
        <v>1185</v>
      </c>
      <c r="C145" s="5" t="s">
        <v>488</v>
      </c>
      <c r="D145" s="5" t="s">
        <v>60</v>
      </c>
      <c r="E145" s="2" t="s">
        <v>100</v>
      </c>
      <c r="F145" s="5" t="s">
        <v>62</v>
      </c>
      <c r="G145" s="5" t="n">
        <v>7</v>
      </c>
      <c r="H145" s="5" t="s">
        <v>89</v>
      </c>
      <c r="I145" s="5" t="s">
        <v>64</v>
      </c>
      <c r="J145" s="5" t="s">
        <v>65</v>
      </c>
      <c r="K145" s="5" t="s">
        <v>66</v>
      </c>
      <c r="L145" s="2" t="s">
        <v>100</v>
      </c>
      <c r="M145" s="2" t="s">
        <v>304</v>
      </c>
      <c r="N145" s="2" t="s">
        <v>367</v>
      </c>
      <c r="O145" s="2" t="s">
        <v>1105</v>
      </c>
      <c r="P145" s="2"/>
      <c r="Q145" s="5" t="n">
        <v>1</v>
      </c>
      <c r="R145" s="2" t="s">
        <v>71</v>
      </c>
      <c r="S145" s="2" t="s">
        <v>1186</v>
      </c>
      <c r="T145" s="2" t="s">
        <v>1176</v>
      </c>
      <c r="U145" s="2" t="s">
        <v>74</v>
      </c>
      <c r="V145" s="5" t="n">
        <v>300</v>
      </c>
      <c r="W145" s="2"/>
      <c r="X145" s="2" t="s">
        <v>1108</v>
      </c>
      <c r="Y145" s="5" t="s">
        <v>309</v>
      </c>
      <c r="Z145" s="2" t="s">
        <v>1187</v>
      </c>
      <c r="AA145" s="6" t="s">
        <v>1188</v>
      </c>
    </row>
    <row r="146" customFormat="false" ht="102.2" hidden="false" customHeight="false" outlineLevel="0" collapsed="false">
      <c r="A146" s="5" t="s">
        <v>1189</v>
      </c>
      <c r="B146" s="2" t="s">
        <v>1190</v>
      </c>
      <c r="C146" s="5" t="s">
        <v>488</v>
      </c>
      <c r="D146" s="5" t="s">
        <v>60</v>
      </c>
      <c r="E146" s="2" t="s">
        <v>100</v>
      </c>
      <c r="F146" s="5" t="s">
        <v>62</v>
      </c>
      <c r="G146" s="5" t="n">
        <v>7</v>
      </c>
      <c r="H146" s="5" t="s">
        <v>89</v>
      </c>
      <c r="I146" s="5" t="s">
        <v>64</v>
      </c>
      <c r="J146" s="5" t="s">
        <v>65</v>
      </c>
      <c r="K146" s="5" t="s">
        <v>66</v>
      </c>
      <c r="L146" s="2" t="s">
        <v>100</v>
      </c>
      <c r="M146" s="2" t="s">
        <v>1191</v>
      </c>
      <c r="N146" s="2" t="s">
        <v>367</v>
      </c>
      <c r="O146" s="2" t="s">
        <v>1160</v>
      </c>
      <c r="P146" s="2"/>
      <c r="Q146" s="5" t="n">
        <v>1</v>
      </c>
      <c r="R146" s="2" t="s">
        <v>71</v>
      </c>
      <c r="S146" s="2" t="s">
        <v>1192</v>
      </c>
      <c r="T146" s="2" t="s">
        <v>1193</v>
      </c>
      <c r="U146" s="2" t="s">
        <v>74</v>
      </c>
      <c r="V146" s="5" t="n">
        <v>300</v>
      </c>
      <c r="W146" s="2"/>
      <c r="X146" s="2" t="s">
        <v>1163</v>
      </c>
      <c r="Y146" s="5"/>
      <c r="Z146" s="2" t="s">
        <v>1194</v>
      </c>
      <c r="AA146" s="6" t="s">
        <v>1195</v>
      </c>
    </row>
    <row r="147" customFormat="false" ht="46.25" hidden="false" customHeight="false" outlineLevel="0" collapsed="false">
      <c r="A147" s="5" t="s">
        <v>1196</v>
      </c>
      <c r="B147" s="2" t="s">
        <v>1197</v>
      </c>
      <c r="C147" s="5" t="s">
        <v>488</v>
      </c>
      <c r="D147" s="5" t="s">
        <v>60</v>
      </c>
      <c r="E147" s="2" t="s">
        <v>269</v>
      </c>
      <c r="F147" s="5" t="s">
        <v>62</v>
      </c>
      <c r="G147" s="5" t="n">
        <v>7</v>
      </c>
      <c r="H147" s="5" t="s">
        <v>89</v>
      </c>
      <c r="I147" s="5" t="s">
        <v>64</v>
      </c>
      <c r="J147" s="5" t="s">
        <v>65</v>
      </c>
      <c r="K147" s="5" t="s">
        <v>66</v>
      </c>
      <c r="L147" s="2" t="s">
        <v>413</v>
      </c>
      <c r="M147" s="2" t="s">
        <v>414</v>
      </c>
      <c r="N147" s="2" t="s">
        <v>184</v>
      </c>
      <c r="O147" s="2" t="s">
        <v>1198</v>
      </c>
      <c r="P147" s="2"/>
      <c r="Q147" s="5" t="n">
        <v>1</v>
      </c>
      <c r="R147" s="2" t="s">
        <v>71</v>
      </c>
      <c r="S147" s="2" t="s">
        <v>1199</v>
      </c>
      <c r="T147" s="2" t="s">
        <v>1200</v>
      </c>
      <c r="U147" s="2" t="s">
        <v>74</v>
      </c>
      <c r="V147" s="5" t="n">
        <v>300</v>
      </c>
      <c r="W147" s="2"/>
      <c r="X147" s="2" t="s">
        <v>1201</v>
      </c>
      <c r="Y147" s="5"/>
      <c r="Z147" s="2" t="s">
        <v>1202</v>
      </c>
      <c r="AA147" s="6" t="s">
        <v>1203</v>
      </c>
    </row>
    <row r="148" customFormat="false" ht="46.25" hidden="false" customHeight="false" outlineLevel="0" collapsed="false">
      <c r="A148" s="5" t="s">
        <v>1204</v>
      </c>
      <c r="B148" s="2" t="s">
        <v>1205</v>
      </c>
      <c r="C148" s="5" t="s">
        <v>488</v>
      </c>
      <c r="D148" s="5" t="s">
        <v>60</v>
      </c>
      <c r="E148" s="2"/>
      <c r="F148" s="5" t="s">
        <v>62</v>
      </c>
      <c r="G148" s="5" t="n">
        <v>7</v>
      </c>
      <c r="H148" s="5" t="s">
        <v>89</v>
      </c>
      <c r="I148" s="5" t="s">
        <v>64</v>
      </c>
      <c r="J148" s="5" t="s">
        <v>65</v>
      </c>
      <c r="K148" s="5" t="s">
        <v>66</v>
      </c>
      <c r="L148" s="2" t="s">
        <v>413</v>
      </c>
      <c r="M148" s="2" t="s">
        <v>414</v>
      </c>
      <c r="N148" s="2" t="s">
        <v>415</v>
      </c>
      <c r="O148" s="2" t="s">
        <v>416</v>
      </c>
      <c r="P148" s="2"/>
      <c r="Q148" s="5" t="n">
        <v>1</v>
      </c>
      <c r="R148" s="2" t="s">
        <v>71</v>
      </c>
      <c r="S148" s="2" t="s">
        <v>1199</v>
      </c>
      <c r="T148" s="2" t="s">
        <v>1200</v>
      </c>
      <c r="U148" s="2" t="s">
        <v>74</v>
      </c>
      <c r="V148" s="5" t="n">
        <v>300</v>
      </c>
      <c r="W148" s="2"/>
      <c r="X148" s="2" t="s">
        <v>419</v>
      </c>
      <c r="Y148" s="5"/>
      <c r="Z148" s="2" t="s">
        <v>1206</v>
      </c>
      <c r="AA148" s="6" t="s">
        <v>1207</v>
      </c>
    </row>
    <row r="149" customFormat="false" ht="169.4" hidden="false" customHeight="false" outlineLevel="0" collapsed="false">
      <c r="A149" s="5" t="s">
        <v>1208</v>
      </c>
      <c r="B149" s="2" t="s">
        <v>1209</v>
      </c>
      <c r="C149" s="5" t="s">
        <v>488</v>
      </c>
      <c r="D149" s="5" t="s">
        <v>60</v>
      </c>
      <c r="E149" s="2"/>
      <c r="F149" s="5" t="s">
        <v>62</v>
      </c>
      <c r="G149" s="5" t="n">
        <v>5</v>
      </c>
      <c r="H149" s="5" t="s">
        <v>89</v>
      </c>
      <c r="I149" s="5" t="s">
        <v>64</v>
      </c>
      <c r="J149" s="5" t="s">
        <v>65</v>
      </c>
      <c r="K149" s="5" t="s">
        <v>66</v>
      </c>
      <c r="L149" s="2" t="s">
        <v>1210</v>
      </c>
      <c r="M149" s="2" t="s">
        <v>1211</v>
      </c>
      <c r="N149" s="2" t="s">
        <v>367</v>
      </c>
      <c r="O149" s="2" t="s">
        <v>1212</v>
      </c>
      <c r="P149" s="2"/>
      <c r="Q149" s="5" t="n">
        <v>1</v>
      </c>
      <c r="R149" s="2" t="s">
        <v>71</v>
      </c>
      <c r="S149" s="2" t="s">
        <v>1213</v>
      </c>
      <c r="T149" s="2" t="s">
        <v>1214</v>
      </c>
      <c r="U149" s="2" t="s">
        <v>74</v>
      </c>
      <c r="V149" s="5" t="n">
        <v>300</v>
      </c>
      <c r="W149" s="2"/>
      <c r="X149" s="2" t="s">
        <v>1215</v>
      </c>
      <c r="Y149" s="5"/>
      <c r="Z149" s="2" t="s">
        <v>1216</v>
      </c>
      <c r="AA149" s="6" t="s">
        <v>1217</v>
      </c>
    </row>
    <row r="150" customFormat="false" ht="68.65" hidden="false" customHeight="false" outlineLevel="0" collapsed="false">
      <c r="A150" s="5" t="s">
        <v>1218</v>
      </c>
      <c r="B150" s="2" t="s">
        <v>1219</v>
      </c>
      <c r="C150" s="5" t="s">
        <v>488</v>
      </c>
      <c r="D150" s="5" t="s">
        <v>60</v>
      </c>
      <c r="E150" s="2"/>
      <c r="F150" s="5" t="s">
        <v>62</v>
      </c>
      <c r="G150" s="5" t="n">
        <v>7</v>
      </c>
      <c r="H150" s="5" t="s">
        <v>89</v>
      </c>
      <c r="I150" s="5" t="s">
        <v>64</v>
      </c>
      <c r="J150" s="5" t="s">
        <v>65</v>
      </c>
      <c r="K150" s="5" t="s">
        <v>66</v>
      </c>
      <c r="L150" s="2" t="s">
        <v>90</v>
      </c>
      <c r="M150" s="2" t="s">
        <v>1220</v>
      </c>
      <c r="N150" s="2" t="s">
        <v>367</v>
      </c>
      <c r="O150" s="2" t="s">
        <v>1221</v>
      </c>
      <c r="P150" s="2"/>
      <c r="Q150" s="5" t="n">
        <v>1</v>
      </c>
      <c r="R150" s="2" t="s">
        <v>71</v>
      </c>
      <c r="S150" s="2" t="s">
        <v>1222</v>
      </c>
      <c r="T150" s="2" t="s">
        <v>1223</v>
      </c>
      <c r="U150" s="2" t="s">
        <v>74</v>
      </c>
      <c r="V150" s="5" t="n">
        <v>300</v>
      </c>
      <c r="W150" s="2"/>
      <c r="X150" s="2" t="s">
        <v>1224</v>
      </c>
      <c r="Y150" s="5" t="s">
        <v>1225</v>
      </c>
      <c r="Z150" s="2" t="s">
        <v>1226</v>
      </c>
      <c r="AA150" s="6" t="s">
        <v>1227</v>
      </c>
    </row>
    <row r="151" customFormat="false" ht="46.25" hidden="false" customHeight="false" outlineLevel="0" collapsed="false">
      <c r="A151" s="5" t="s">
        <v>1228</v>
      </c>
      <c r="B151" s="2" t="s">
        <v>1229</v>
      </c>
      <c r="C151" s="5" t="s">
        <v>488</v>
      </c>
      <c r="D151" s="5" t="s">
        <v>60</v>
      </c>
      <c r="E151" s="2" t="s">
        <v>751</v>
      </c>
      <c r="F151" s="5" t="s">
        <v>62</v>
      </c>
      <c r="G151" s="5" t="n">
        <v>5</v>
      </c>
      <c r="H151" s="5" t="s">
        <v>89</v>
      </c>
      <c r="I151" s="5" t="s">
        <v>64</v>
      </c>
      <c r="J151" s="5" t="s">
        <v>65</v>
      </c>
      <c r="K151" s="5" t="s">
        <v>66</v>
      </c>
      <c r="L151" s="2" t="s">
        <v>277</v>
      </c>
      <c r="M151" s="2" t="s">
        <v>314</v>
      </c>
      <c r="N151" s="2" t="s">
        <v>367</v>
      </c>
      <c r="O151" s="2" t="s">
        <v>1105</v>
      </c>
      <c r="P151" s="2"/>
      <c r="Q151" s="5" t="n">
        <v>1</v>
      </c>
      <c r="R151" s="2" t="s">
        <v>71</v>
      </c>
      <c r="S151" s="2" t="s">
        <v>1230</v>
      </c>
      <c r="T151" s="2" t="s">
        <v>1176</v>
      </c>
      <c r="U151" s="2" t="s">
        <v>74</v>
      </c>
      <c r="V151" s="5" t="n">
        <v>300</v>
      </c>
      <c r="W151" s="2"/>
      <c r="X151" s="2" t="s">
        <v>1108</v>
      </c>
      <c r="Y151" s="5" t="s">
        <v>309</v>
      </c>
      <c r="Z151" s="2" t="s">
        <v>1231</v>
      </c>
      <c r="AA151" s="6" t="s">
        <v>1232</v>
      </c>
    </row>
    <row r="152" customFormat="false" ht="46.25" hidden="false" customHeight="false" outlineLevel="0" collapsed="false">
      <c r="A152" s="5" t="s">
        <v>1233</v>
      </c>
      <c r="B152" s="2" t="s">
        <v>1234</v>
      </c>
      <c r="C152" s="5" t="s">
        <v>488</v>
      </c>
      <c r="D152" s="5" t="s">
        <v>60</v>
      </c>
      <c r="E152" s="2" t="s">
        <v>449</v>
      </c>
      <c r="F152" s="5" t="s">
        <v>62</v>
      </c>
      <c r="G152" s="5" t="n">
        <v>7</v>
      </c>
      <c r="H152" s="5" t="s">
        <v>89</v>
      </c>
      <c r="I152" s="5" t="s">
        <v>64</v>
      </c>
      <c r="J152" s="5" t="s">
        <v>65</v>
      </c>
      <c r="K152" s="5" t="s">
        <v>66</v>
      </c>
      <c r="L152" s="2" t="s">
        <v>100</v>
      </c>
      <c r="M152" s="2" t="s">
        <v>1235</v>
      </c>
      <c r="N152" s="2" t="s">
        <v>184</v>
      </c>
      <c r="O152" s="2" t="s">
        <v>1114</v>
      </c>
      <c r="P152" s="2"/>
      <c r="Q152" s="5" t="n">
        <v>1</v>
      </c>
      <c r="R152" s="2" t="s">
        <v>71</v>
      </c>
      <c r="S152" s="2" t="s">
        <v>1236</v>
      </c>
      <c r="T152" s="2" t="s">
        <v>1237</v>
      </c>
      <c r="U152" s="2" t="s">
        <v>74</v>
      </c>
      <c r="V152" s="5" t="n">
        <v>300</v>
      </c>
      <c r="W152" s="2"/>
      <c r="X152" s="2" t="s">
        <v>1117</v>
      </c>
      <c r="Y152" s="5" t="s">
        <v>1118</v>
      </c>
      <c r="Z152" s="2" t="s">
        <v>1238</v>
      </c>
      <c r="AA152" s="6" t="s">
        <v>1239</v>
      </c>
    </row>
    <row r="153" customFormat="false" ht="57.45" hidden="false" customHeight="false" outlineLevel="0" collapsed="false">
      <c r="A153" s="5" t="s">
        <v>1240</v>
      </c>
      <c r="B153" s="2" t="s">
        <v>1241</v>
      </c>
      <c r="C153" s="5" t="s">
        <v>488</v>
      </c>
      <c r="D153" s="5" t="s">
        <v>60</v>
      </c>
      <c r="E153" s="2" t="s">
        <v>449</v>
      </c>
      <c r="F153" s="5" t="s">
        <v>62</v>
      </c>
      <c r="G153" s="5" t="n">
        <v>5</v>
      </c>
      <c r="H153" s="5" t="s">
        <v>89</v>
      </c>
      <c r="I153" s="5" t="s">
        <v>64</v>
      </c>
      <c r="J153" s="5" t="s">
        <v>65</v>
      </c>
      <c r="K153" s="5" t="s">
        <v>66</v>
      </c>
      <c r="L153" s="2" t="s">
        <v>100</v>
      </c>
      <c r="M153" s="2" t="s">
        <v>1235</v>
      </c>
      <c r="N153" s="2" t="s">
        <v>184</v>
      </c>
      <c r="O153" s="2" t="s">
        <v>1242</v>
      </c>
      <c r="P153" s="2"/>
      <c r="Q153" s="5" t="n">
        <v>1</v>
      </c>
      <c r="R153" s="2" t="s">
        <v>71</v>
      </c>
      <c r="S153" s="2" t="s">
        <v>83</v>
      </c>
      <c r="T153" s="2" t="s">
        <v>1098</v>
      </c>
      <c r="U153" s="2" t="s">
        <v>74</v>
      </c>
      <c r="V153" s="5" t="n">
        <v>300</v>
      </c>
      <c r="W153" s="2"/>
      <c r="X153" s="2" t="s">
        <v>1243</v>
      </c>
      <c r="Y153" s="5"/>
      <c r="Z153" s="2" t="s">
        <v>1244</v>
      </c>
      <c r="AA153" s="6" t="s">
        <v>1245</v>
      </c>
    </row>
    <row r="154" customFormat="false" ht="68.65" hidden="false" customHeight="false" outlineLevel="0" collapsed="false">
      <c r="A154" s="5" t="s">
        <v>1246</v>
      </c>
      <c r="B154" s="2" t="s">
        <v>1247</v>
      </c>
      <c r="C154" s="5" t="s">
        <v>488</v>
      </c>
      <c r="D154" s="5" t="s">
        <v>60</v>
      </c>
      <c r="E154" s="2" t="s">
        <v>948</v>
      </c>
      <c r="F154" s="5" t="s">
        <v>62</v>
      </c>
      <c r="G154" s="5" t="n">
        <v>5</v>
      </c>
      <c r="H154" s="5" t="s">
        <v>89</v>
      </c>
      <c r="I154" s="5" t="s">
        <v>64</v>
      </c>
      <c r="J154" s="5" t="s">
        <v>65</v>
      </c>
      <c r="K154" s="5" t="s">
        <v>66</v>
      </c>
      <c r="L154" s="2" t="s">
        <v>100</v>
      </c>
      <c r="M154" s="2" t="s">
        <v>1248</v>
      </c>
      <c r="N154" s="2" t="s">
        <v>367</v>
      </c>
      <c r="O154" s="2" t="s">
        <v>1105</v>
      </c>
      <c r="P154" s="2"/>
      <c r="Q154" s="5" t="n">
        <v>1</v>
      </c>
      <c r="R154" s="2" t="s">
        <v>71</v>
      </c>
      <c r="S154" s="2" t="s">
        <v>1249</v>
      </c>
      <c r="T154" s="2" t="s">
        <v>1139</v>
      </c>
      <c r="U154" s="2" t="s">
        <v>74</v>
      </c>
      <c r="V154" s="5" t="n">
        <v>300</v>
      </c>
      <c r="W154" s="2"/>
      <c r="X154" s="2" t="s">
        <v>1108</v>
      </c>
      <c r="Y154" s="5" t="s">
        <v>309</v>
      </c>
      <c r="Z154" s="2" t="s">
        <v>1250</v>
      </c>
      <c r="AA154" s="6" t="s">
        <v>1251</v>
      </c>
    </row>
    <row r="155" customFormat="false" ht="46.25" hidden="false" customHeight="false" outlineLevel="0" collapsed="false">
      <c r="A155" s="5" t="s">
        <v>1252</v>
      </c>
      <c r="B155" s="2" t="s">
        <v>1253</v>
      </c>
      <c r="C155" s="5" t="s">
        <v>488</v>
      </c>
      <c r="D155" s="5" t="s">
        <v>60</v>
      </c>
      <c r="E155" s="2" t="s">
        <v>751</v>
      </c>
      <c r="F155" s="5" t="s">
        <v>62</v>
      </c>
      <c r="G155" s="5" t="n">
        <v>5</v>
      </c>
      <c r="H155" s="5" t="s">
        <v>89</v>
      </c>
      <c r="I155" s="5" t="s">
        <v>64</v>
      </c>
      <c r="J155" s="5" t="s">
        <v>65</v>
      </c>
      <c r="K155" s="5" t="s">
        <v>66</v>
      </c>
      <c r="L155" s="2" t="s">
        <v>90</v>
      </c>
      <c r="M155" s="2"/>
      <c r="N155" s="2" t="s">
        <v>1254</v>
      </c>
      <c r="O155" s="2" t="s">
        <v>1255</v>
      </c>
      <c r="P155" s="2"/>
      <c r="Q155" s="5" t="n">
        <v>1</v>
      </c>
      <c r="R155" s="2" t="s">
        <v>71</v>
      </c>
      <c r="S155" s="2" t="s">
        <v>1256</v>
      </c>
      <c r="T155" s="2" t="s">
        <v>1257</v>
      </c>
      <c r="U155" s="2" t="s">
        <v>74</v>
      </c>
      <c r="V155" s="5" t="n">
        <v>300</v>
      </c>
      <c r="W155" s="2"/>
      <c r="X155" s="2" t="s">
        <v>1258</v>
      </c>
      <c r="Y155" s="5"/>
      <c r="Z155" s="2" t="s">
        <v>1259</v>
      </c>
      <c r="AA155" s="6" t="s">
        <v>1260</v>
      </c>
    </row>
    <row r="156" customFormat="false" ht="91" hidden="false" customHeight="false" outlineLevel="0" collapsed="false">
      <c r="A156" s="5" t="s">
        <v>1261</v>
      </c>
      <c r="B156" s="2" t="s">
        <v>1262</v>
      </c>
      <c r="C156" s="5" t="s">
        <v>488</v>
      </c>
      <c r="D156" s="5" t="s">
        <v>60</v>
      </c>
      <c r="E156" s="2" t="s">
        <v>100</v>
      </c>
      <c r="F156" s="5" t="s">
        <v>62</v>
      </c>
      <c r="G156" s="5" t="n">
        <v>7</v>
      </c>
      <c r="H156" s="5" t="s">
        <v>89</v>
      </c>
      <c r="I156" s="5" t="s">
        <v>64</v>
      </c>
      <c r="J156" s="5" t="s">
        <v>65</v>
      </c>
      <c r="K156" s="5" t="s">
        <v>66</v>
      </c>
      <c r="L156" s="2" t="s">
        <v>100</v>
      </c>
      <c r="M156" s="2" t="s">
        <v>1191</v>
      </c>
      <c r="N156" s="2" t="s">
        <v>367</v>
      </c>
      <c r="O156" s="2" t="s">
        <v>1105</v>
      </c>
      <c r="P156" s="2"/>
      <c r="Q156" s="5" t="n">
        <v>1</v>
      </c>
      <c r="R156" s="2" t="s">
        <v>71</v>
      </c>
      <c r="S156" s="2" t="s">
        <v>1263</v>
      </c>
      <c r="T156" s="2" t="s">
        <v>1176</v>
      </c>
      <c r="U156" s="2" t="s">
        <v>74</v>
      </c>
      <c r="V156" s="5" t="n">
        <v>300</v>
      </c>
      <c r="W156" s="2"/>
      <c r="X156" s="2" t="s">
        <v>1108</v>
      </c>
      <c r="Y156" s="5" t="s">
        <v>309</v>
      </c>
      <c r="Z156" s="2" t="s">
        <v>1264</v>
      </c>
      <c r="AA156" s="6" t="s">
        <v>1265</v>
      </c>
    </row>
    <row r="157" customFormat="false" ht="68.65" hidden="false" customHeight="false" outlineLevel="0" collapsed="false">
      <c r="A157" s="5" t="s">
        <v>1266</v>
      </c>
      <c r="B157" s="2" t="s">
        <v>1267</v>
      </c>
      <c r="C157" s="5" t="s">
        <v>488</v>
      </c>
      <c r="D157" s="5" t="s">
        <v>60</v>
      </c>
      <c r="E157" s="2" t="s">
        <v>100</v>
      </c>
      <c r="F157" s="5" t="s">
        <v>62</v>
      </c>
      <c r="G157" s="5" t="n">
        <v>5</v>
      </c>
      <c r="H157" s="5" t="s">
        <v>89</v>
      </c>
      <c r="I157" s="5" t="s">
        <v>64</v>
      </c>
      <c r="J157" s="5" t="s">
        <v>65</v>
      </c>
      <c r="K157" s="5" t="s">
        <v>66</v>
      </c>
      <c r="L157" s="2" t="s">
        <v>100</v>
      </c>
      <c r="M157" s="2" t="s">
        <v>304</v>
      </c>
      <c r="N157" s="2" t="s">
        <v>367</v>
      </c>
      <c r="O157" s="2" t="s">
        <v>1105</v>
      </c>
      <c r="P157" s="2"/>
      <c r="Q157" s="5" t="n">
        <v>1</v>
      </c>
      <c r="R157" s="2" t="s">
        <v>71</v>
      </c>
      <c r="S157" s="2" t="s">
        <v>1268</v>
      </c>
      <c r="T157" s="2" t="s">
        <v>1269</v>
      </c>
      <c r="U157" s="2" t="s">
        <v>74</v>
      </c>
      <c r="V157" s="5" t="n">
        <v>300</v>
      </c>
      <c r="W157" s="2"/>
      <c r="X157" s="2" t="s">
        <v>1108</v>
      </c>
      <c r="Y157" s="5" t="s">
        <v>309</v>
      </c>
      <c r="Z157" s="2" t="s">
        <v>1270</v>
      </c>
      <c r="AA157" s="6" t="s">
        <v>1271</v>
      </c>
    </row>
    <row r="158" customFormat="false" ht="68.65" hidden="false" customHeight="false" outlineLevel="0" collapsed="false">
      <c r="A158" s="5" t="s">
        <v>1272</v>
      </c>
      <c r="B158" s="2" t="s">
        <v>1273</v>
      </c>
      <c r="C158" s="5" t="s">
        <v>488</v>
      </c>
      <c r="D158" s="5" t="s">
        <v>60</v>
      </c>
      <c r="E158" s="2" t="s">
        <v>100</v>
      </c>
      <c r="F158" s="5" t="s">
        <v>62</v>
      </c>
      <c r="G158" s="5" t="n">
        <v>5</v>
      </c>
      <c r="H158" s="5" t="s">
        <v>89</v>
      </c>
      <c r="I158" s="5" t="s">
        <v>64</v>
      </c>
      <c r="J158" s="5" t="s">
        <v>65</v>
      </c>
      <c r="K158" s="5" t="s">
        <v>66</v>
      </c>
      <c r="L158" s="2" t="s">
        <v>100</v>
      </c>
      <c r="M158" s="2" t="s">
        <v>304</v>
      </c>
      <c r="N158" s="2" t="s">
        <v>367</v>
      </c>
      <c r="O158" s="2" t="s">
        <v>1105</v>
      </c>
      <c r="P158" s="2"/>
      <c r="Q158" s="5" t="n">
        <v>1</v>
      </c>
      <c r="R158" s="2" t="s">
        <v>71</v>
      </c>
      <c r="S158" s="2" t="s">
        <v>1274</v>
      </c>
      <c r="T158" s="2" t="s">
        <v>1176</v>
      </c>
      <c r="U158" s="2" t="s">
        <v>74</v>
      </c>
      <c r="V158" s="5" t="n">
        <v>300</v>
      </c>
      <c r="W158" s="2"/>
      <c r="X158" s="2" t="s">
        <v>1108</v>
      </c>
      <c r="Y158" s="5" t="s">
        <v>309</v>
      </c>
      <c r="Z158" s="2" t="s">
        <v>1275</v>
      </c>
      <c r="AA158" s="6" t="s">
        <v>1276</v>
      </c>
    </row>
    <row r="159" customFormat="false" ht="169.4" hidden="false" customHeight="false" outlineLevel="0" collapsed="false">
      <c r="A159" s="5" t="s">
        <v>1277</v>
      </c>
      <c r="B159" s="2" t="s">
        <v>1278</v>
      </c>
      <c r="C159" s="5" t="s">
        <v>488</v>
      </c>
      <c r="D159" s="5" t="s">
        <v>60</v>
      </c>
      <c r="E159" s="2" t="s">
        <v>100</v>
      </c>
      <c r="F159" s="5" t="s">
        <v>62</v>
      </c>
      <c r="G159" s="5" t="n">
        <v>5</v>
      </c>
      <c r="H159" s="5" t="s">
        <v>89</v>
      </c>
      <c r="I159" s="5" t="s">
        <v>64</v>
      </c>
      <c r="J159" s="5" t="s">
        <v>65</v>
      </c>
      <c r="K159" s="5" t="s">
        <v>66</v>
      </c>
      <c r="L159" s="2" t="s">
        <v>100</v>
      </c>
      <c r="M159" s="2" t="s">
        <v>1279</v>
      </c>
      <c r="N159" s="2" t="s">
        <v>367</v>
      </c>
      <c r="O159" s="2" t="s">
        <v>1105</v>
      </c>
      <c r="P159" s="2"/>
      <c r="Q159" s="5" t="n">
        <v>1</v>
      </c>
      <c r="R159" s="2" t="s">
        <v>71</v>
      </c>
      <c r="S159" s="2" t="s">
        <v>1280</v>
      </c>
      <c r="T159" s="2" t="s">
        <v>1269</v>
      </c>
      <c r="U159" s="2" t="s">
        <v>74</v>
      </c>
      <c r="V159" s="5" t="n">
        <v>300</v>
      </c>
      <c r="W159" s="2"/>
      <c r="X159" s="2" t="s">
        <v>1108</v>
      </c>
      <c r="Y159" s="5" t="s">
        <v>309</v>
      </c>
      <c r="Z159" s="2" t="s">
        <v>1281</v>
      </c>
      <c r="AA159" s="6" t="s">
        <v>1282</v>
      </c>
    </row>
    <row r="160" customFormat="false" ht="102.2" hidden="false" customHeight="false" outlineLevel="0" collapsed="false">
      <c r="A160" s="5" t="s">
        <v>1283</v>
      </c>
      <c r="B160" s="2" t="s">
        <v>1284</v>
      </c>
      <c r="C160" s="5" t="s">
        <v>488</v>
      </c>
      <c r="D160" s="5" t="s">
        <v>60</v>
      </c>
      <c r="E160" s="2" t="s">
        <v>100</v>
      </c>
      <c r="F160" s="5" t="s">
        <v>62</v>
      </c>
      <c r="G160" s="5" t="n">
        <v>5</v>
      </c>
      <c r="H160" s="5" t="s">
        <v>89</v>
      </c>
      <c r="I160" s="5" t="s">
        <v>64</v>
      </c>
      <c r="J160" s="5" t="s">
        <v>65</v>
      </c>
      <c r="K160" s="5" t="s">
        <v>66</v>
      </c>
      <c r="L160" s="2" t="s">
        <v>100</v>
      </c>
      <c r="M160" s="2" t="s">
        <v>1279</v>
      </c>
      <c r="N160" s="2" t="s">
        <v>367</v>
      </c>
      <c r="O160" s="2" t="s">
        <v>1105</v>
      </c>
      <c r="P160" s="2"/>
      <c r="Q160" s="5" t="n">
        <v>1</v>
      </c>
      <c r="R160" s="2" t="s">
        <v>71</v>
      </c>
      <c r="S160" s="2" t="s">
        <v>1285</v>
      </c>
      <c r="T160" s="2" t="s">
        <v>1269</v>
      </c>
      <c r="U160" s="2" t="s">
        <v>74</v>
      </c>
      <c r="V160" s="5" t="n">
        <v>300</v>
      </c>
      <c r="W160" s="2"/>
      <c r="X160" s="2" t="s">
        <v>1108</v>
      </c>
      <c r="Y160" s="5" t="s">
        <v>309</v>
      </c>
      <c r="Z160" s="2" t="s">
        <v>1286</v>
      </c>
      <c r="AA160" s="6" t="s">
        <v>1287</v>
      </c>
    </row>
    <row r="161" customFormat="false" ht="91" hidden="false" customHeight="false" outlineLevel="0" collapsed="false">
      <c r="A161" s="5" t="s">
        <v>1288</v>
      </c>
      <c r="B161" s="2" t="s">
        <v>1289</v>
      </c>
      <c r="C161" s="5" t="s">
        <v>488</v>
      </c>
      <c r="D161" s="5" t="s">
        <v>60</v>
      </c>
      <c r="E161" s="2" t="s">
        <v>1104</v>
      </c>
      <c r="F161" s="5" t="s">
        <v>62</v>
      </c>
      <c r="G161" s="5" t="n">
        <v>5</v>
      </c>
      <c r="H161" s="5" t="s">
        <v>89</v>
      </c>
      <c r="I161" s="5" t="s">
        <v>64</v>
      </c>
      <c r="J161" s="5" t="s">
        <v>65</v>
      </c>
      <c r="K161" s="5" t="s">
        <v>66</v>
      </c>
      <c r="L161" s="2" t="s">
        <v>100</v>
      </c>
      <c r="M161" s="2" t="s">
        <v>450</v>
      </c>
      <c r="N161" s="2" t="s">
        <v>367</v>
      </c>
      <c r="O161" s="2" t="s">
        <v>1105</v>
      </c>
      <c r="P161" s="2"/>
      <c r="Q161" s="5" t="n">
        <v>1</v>
      </c>
      <c r="R161" s="2" t="s">
        <v>71</v>
      </c>
      <c r="S161" s="2" t="s">
        <v>1290</v>
      </c>
      <c r="T161" s="2" t="s">
        <v>1139</v>
      </c>
      <c r="U161" s="2" t="s">
        <v>74</v>
      </c>
      <c r="V161" s="5" t="n">
        <v>300</v>
      </c>
      <c r="W161" s="2"/>
      <c r="X161" s="2" t="s">
        <v>1108</v>
      </c>
      <c r="Y161" s="5" t="s">
        <v>309</v>
      </c>
      <c r="Z161" s="2" t="s">
        <v>1291</v>
      </c>
      <c r="AA161" s="6" t="s">
        <v>1292</v>
      </c>
    </row>
    <row r="162" customFormat="false" ht="57.45" hidden="false" customHeight="false" outlineLevel="0" collapsed="false">
      <c r="A162" s="5" t="s">
        <v>1293</v>
      </c>
      <c r="B162" s="2" t="s">
        <v>1294</v>
      </c>
      <c r="C162" s="5" t="s">
        <v>488</v>
      </c>
      <c r="D162" s="5" t="s">
        <v>60</v>
      </c>
      <c r="E162" s="2"/>
      <c r="F162" s="5" t="s">
        <v>62</v>
      </c>
      <c r="G162" s="5" t="n">
        <v>5</v>
      </c>
      <c r="H162" s="5" t="s">
        <v>89</v>
      </c>
      <c r="I162" s="5" t="s">
        <v>64</v>
      </c>
      <c r="J162" s="5" t="s">
        <v>65</v>
      </c>
      <c r="K162" s="5" t="s">
        <v>66</v>
      </c>
      <c r="L162" s="2" t="s">
        <v>1210</v>
      </c>
      <c r="M162" s="2" t="s">
        <v>1295</v>
      </c>
      <c r="N162" s="2" t="s">
        <v>367</v>
      </c>
      <c r="O162" s="2" t="s">
        <v>1105</v>
      </c>
      <c r="P162" s="2"/>
      <c r="Q162" s="5" t="n">
        <v>1</v>
      </c>
      <c r="R162" s="2" t="s">
        <v>71</v>
      </c>
      <c r="S162" s="2" t="s">
        <v>1296</v>
      </c>
      <c r="T162" s="2" t="s">
        <v>1176</v>
      </c>
      <c r="U162" s="2" t="s">
        <v>74</v>
      </c>
      <c r="V162" s="5" t="n">
        <v>300</v>
      </c>
      <c r="W162" s="2"/>
      <c r="X162" s="2" t="s">
        <v>1108</v>
      </c>
      <c r="Y162" s="5" t="s">
        <v>309</v>
      </c>
      <c r="Z162" s="2" t="s">
        <v>1297</v>
      </c>
      <c r="AA162" s="6" t="s">
        <v>1298</v>
      </c>
    </row>
    <row r="163" customFormat="false" ht="102.2" hidden="false" customHeight="false" outlineLevel="0" collapsed="false">
      <c r="A163" s="5" t="s">
        <v>1299</v>
      </c>
      <c r="B163" s="2" t="s">
        <v>1300</v>
      </c>
      <c r="C163" s="5" t="s">
        <v>488</v>
      </c>
      <c r="D163" s="5" t="s">
        <v>60</v>
      </c>
      <c r="E163" s="2" t="s">
        <v>100</v>
      </c>
      <c r="F163" s="5" t="s">
        <v>62</v>
      </c>
      <c r="G163" s="5" t="n">
        <v>7</v>
      </c>
      <c r="H163" s="5" t="s">
        <v>89</v>
      </c>
      <c r="I163" s="5" t="s">
        <v>64</v>
      </c>
      <c r="J163" s="5" t="s">
        <v>65</v>
      </c>
      <c r="K163" s="5" t="s">
        <v>66</v>
      </c>
      <c r="L163" s="2" t="s">
        <v>100</v>
      </c>
      <c r="M163" s="2" t="s">
        <v>456</v>
      </c>
      <c r="N163" s="2" t="s">
        <v>367</v>
      </c>
      <c r="O163" s="2" t="s">
        <v>1221</v>
      </c>
      <c r="P163" s="2"/>
      <c r="Q163" s="5" t="n">
        <v>1</v>
      </c>
      <c r="R163" s="2" t="s">
        <v>71</v>
      </c>
      <c r="S163" s="2" t="s">
        <v>1301</v>
      </c>
      <c r="T163" s="2" t="s">
        <v>1302</v>
      </c>
      <c r="U163" s="2" t="s">
        <v>74</v>
      </c>
      <c r="V163" s="5" t="n">
        <v>300</v>
      </c>
      <c r="W163" s="2"/>
      <c r="X163" s="2" t="s">
        <v>1224</v>
      </c>
      <c r="Y163" s="5" t="s">
        <v>1225</v>
      </c>
      <c r="Z163" s="2" t="s">
        <v>1303</v>
      </c>
      <c r="AA163" s="6" t="s">
        <v>1304</v>
      </c>
    </row>
    <row r="164" customFormat="false" ht="91" hidden="false" customHeight="false" outlineLevel="0" collapsed="false">
      <c r="A164" s="5" t="s">
        <v>1305</v>
      </c>
      <c r="B164" s="2" t="s">
        <v>1306</v>
      </c>
      <c r="C164" s="5" t="s">
        <v>488</v>
      </c>
      <c r="D164" s="5" t="s">
        <v>60</v>
      </c>
      <c r="E164" s="2" t="s">
        <v>397</v>
      </c>
      <c r="F164" s="5" t="s">
        <v>62</v>
      </c>
      <c r="G164" s="5" t="n">
        <v>7</v>
      </c>
      <c r="H164" s="5" t="s">
        <v>89</v>
      </c>
      <c r="I164" s="5" t="s">
        <v>64</v>
      </c>
      <c r="J164" s="5" t="s">
        <v>65</v>
      </c>
      <c r="K164" s="5" t="s">
        <v>66</v>
      </c>
      <c r="L164" s="2" t="s">
        <v>100</v>
      </c>
      <c r="M164" s="2" t="s">
        <v>340</v>
      </c>
      <c r="N164" s="2" t="s">
        <v>184</v>
      </c>
      <c r="O164" s="2" t="s">
        <v>1307</v>
      </c>
      <c r="P164" s="2"/>
      <c r="Q164" s="5" t="n">
        <v>1</v>
      </c>
      <c r="R164" s="2" t="s">
        <v>71</v>
      </c>
      <c r="S164" s="2" t="s">
        <v>1308</v>
      </c>
      <c r="T164" s="2" t="s">
        <v>1309</v>
      </c>
      <c r="U164" s="2" t="s">
        <v>74</v>
      </c>
      <c r="V164" s="5" t="n">
        <v>300</v>
      </c>
      <c r="W164" s="2"/>
      <c r="X164" s="2" t="s">
        <v>1310</v>
      </c>
      <c r="Y164" s="5" t="s">
        <v>1311</v>
      </c>
      <c r="Z164" s="2" t="s">
        <v>1312</v>
      </c>
      <c r="AA164" s="6" t="s">
        <v>1313</v>
      </c>
    </row>
    <row r="165" customFormat="false" ht="57.45" hidden="false" customHeight="false" outlineLevel="0" collapsed="false">
      <c r="A165" s="5" t="s">
        <v>1314</v>
      </c>
      <c r="B165" s="2" t="s">
        <v>1315</v>
      </c>
      <c r="C165" s="5" t="s">
        <v>488</v>
      </c>
      <c r="D165" s="5" t="s">
        <v>60</v>
      </c>
      <c r="E165" s="2" t="s">
        <v>1104</v>
      </c>
      <c r="F165" s="5" t="s">
        <v>62</v>
      </c>
      <c r="G165" s="5" t="n">
        <v>7</v>
      </c>
      <c r="H165" s="5" t="s">
        <v>89</v>
      </c>
      <c r="I165" s="5" t="s">
        <v>64</v>
      </c>
      <c r="J165" s="5" t="s">
        <v>65</v>
      </c>
      <c r="K165" s="5" t="s">
        <v>66</v>
      </c>
      <c r="L165" s="2" t="s">
        <v>100</v>
      </c>
      <c r="M165" s="2" t="s">
        <v>1316</v>
      </c>
      <c r="N165" s="2" t="s">
        <v>367</v>
      </c>
      <c r="O165" s="2" t="s">
        <v>1105</v>
      </c>
      <c r="P165" s="2"/>
      <c r="Q165" s="5" t="n">
        <v>1</v>
      </c>
      <c r="R165" s="2" t="s">
        <v>71</v>
      </c>
      <c r="S165" s="2" t="s">
        <v>1317</v>
      </c>
      <c r="T165" s="2" t="s">
        <v>1176</v>
      </c>
      <c r="U165" s="2" t="s">
        <v>74</v>
      </c>
      <c r="V165" s="5" t="n">
        <v>300</v>
      </c>
      <c r="W165" s="2"/>
      <c r="X165" s="2" t="s">
        <v>1108</v>
      </c>
      <c r="Y165" s="5" t="s">
        <v>309</v>
      </c>
      <c r="Z165" s="2" t="s">
        <v>1318</v>
      </c>
      <c r="AA165" s="6" t="s">
        <v>1319</v>
      </c>
    </row>
    <row r="166" customFormat="false" ht="124.6" hidden="false" customHeight="false" outlineLevel="0" collapsed="false">
      <c r="A166" s="5" t="s">
        <v>1320</v>
      </c>
      <c r="B166" s="2" t="s">
        <v>1321</v>
      </c>
      <c r="C166" s="5" t="s">
        <v>488</v>
      </c>
      <c r="D166" s="5" t="s">
        <v>60</v>
      </c>
      <c r="E166" s="2" t="s">
        <v>751</v>
      </c>
      <c r="F166" s="5" t="s">
        <v>62</v>
      </c>
      <c r="G166" s="5" t="n">
        <v>7</v>
      </c>
      <c r="H166" s="5" t="s">
        <v>89</v>
      </c>
      <c r="I166" s="5" t="s">
        <v>64</v>
      </c>
      <c r="J166" s="5" t="s">
        <v>65</v>
      </c>
      <c r="K166" s="5" t="s">
        <v>66</v>
      </c>
      <c r="L166" s="2" t="s">
        <v>277</v>
      </c>
      <c r="M166" s="2" t="s">
        <v>314</v>
      </c>
      <c r="N166" s="2" t="s">
        <v>367</v>
      </c>
      <c r="O166" s="2" t="s">
        <v>1105</v>
      </c>
      <c r="P166" s="2"/>
      <c r="Q166" s="5" t="n">
        <v>1</v>
      </c>
      <c r="R166" s="2" t="s">
        <v>71</v>
      </c>
      <c r="S166" s="2" t="s">
        <v>1322</v>
      </c>
      <c r="T166" s="2" t="s">
        <v>1323</v>
      </c>
      <c r="U166" s="2" t="s">
        <v>74</v>
      </c>
      <c r="V166" s="5" t="n">
        <v>300</v>
      </c>
      <c r="W166" s="2"/>
      <c r="X166" s="2" t="s">
        <v>1108</v>
      </c>
      <c r="Y166" s="5" t="s">
        <v>309</v>
      </c>
      <c r="Z166" s="2" t="s">
        <v>1324</v>
      </c>
      <c r="AA166" s="6" t="s">
        <v>1325</v>
      </c>
    </row>
    <row r="167" customFormat="false" ht="113.4" hidden="false" customHeight="false" outlineLevel="0" collapsed="false">
      <c r="A167" s="5" t="s">
        <v>1326</v>
      </c>
      <c r="B167" s="2" t="s">
        <v>1327</v>
      </c>
      <c r="C167" s="5" t="s">
        <v>488</v>
      </c>
      <c r="D167" s="5" t="s">
        <v>60</v>
      </c>
      <c r="E167" s="2" t="s">
        <v>100</v>
      </c>
      <c r="F167" s="5" t="s">
        <v>62</v>
      </c>
      <c r="G167" s="5" t="n">
        <v>7</v>
      </c>
      <c r="H167" s="5" t="s">
        <v>89</v>
      </c>
      <c r="I167" s="5" t="s">
        <v>64</v>
      </c>
      <c r="J167" s="5" t="s">
        <v>65</v>
      </c>
      <c r="K167" s="5" t="s">
        <v>66</v>
      </c>
      <c r="L167" s="2" t="s">
        <v>100</v>
      </c>
      <c r="M167" s="2" t="s">
        <v>304</v>
      </c>
      <c r="N167" s="2" t="s">
        <v>367</v>
      </c>
      <c r="O167" s="2" t="s">
        <v>1105</v>
      </c>
      <c r="P167" s="2"/>
      <c r="Q167" s="5" t="n">
        <v>1</v>
      </c>
      <c r="R167" s="2" t="s">
        <v>71</v>
      </c>
      <c r="S167" s="2" t="s">
        <v>1328</v>
      </c>
      <c r="T167" s="2" t="s">
        <v>1329</v>
      </c>
      <c r="U167" s="2" t="s">
        <v>74</v>
      </c>
      <c r="V167" s="5" t="n">
        <v>300</v>
      </c>
      <c r="W167" s="2"/>
      <c r="X167" s="2" t="s">
        <v>1108</v>
      </c>
      <c r="Y167" s="5" t="s">
        <v>309</v>
      </c>
      <c r="Z167" s="2" t="s">
        <v>1330</v>
      </c>
      <c r="AA167" s="6" t="s">
        <v>1331</v>
      </c>
    </row>
    <row r="168" customFormat="false" ht="57.45" hidden="false" customHeight="false" outlineLevel="0" collapsed="false">
      <c r="A168" s="5" t="s">
        <v>1332</v>
      </c>
      <c r="B168" s="2" t="s">
        <v>1333</v>
      </c>
      <c r="C168" s="5" t="s">
        <v>488</v>
      </c>
      <c r="D168" s="5" t="s">
        <v>60</v>
      </c>
      <c r="E168" s="2" t="s">
        <v>100</v>
      </c>
      <c r="F168" s="5" t="s">
        <v>62</v>
      </c>
      <c r="G168" s="5" t="n">
        <v>7</v>
      </c>
      <c r="H168" s="5" t="s">
        <v>89</v>
      </c>
      <c r="I168" s="5" t="s">
        <v>64</v>
      </c>
      <c r="J168" s="5" t="s">
        <v>65</v>
      </c>
      <c r="K168" s="5" t="s">
        <v>66</v>
      </c>
      <c r="L168" s="2" t="s">
        <v>100</v>
      </c>
      <c r="M168" s="2" t="s">
        <v>304</v>
      </c>
      <c r="N168" s="2" t="s">
        <v>367</v>
      </c>
      <c r="O168" s="2" t="s">
        <v>1105</v>
      </c>
      <c r="P168" s="2"/>
      <c r="Q168" s="5" t="n">
        <v>1</v>
      </c>
      <c r="R168" s="2" t="s">
        <v>71</v>
      </c>
      <c r="S168" s="2" t="s">
        <v>1334</v>
      </c>
      <c r="T168" s="2" t="s">
        <v>1335</v>
      </c>
      <c r="U168" s="2" t="s">
        <v>74</v>
      </c>
      <c r="V168" s="5" t="n">
        <v>300</v>
      </c>
      <c r="W168" s="2"/>
      <c r="X168" s="2" t="s">
        <v>1108</v>
      </c>
      <c r="Y168" s="5" t="s">
        <v>309</v>
      </c>
      <c r="Z168" s="2" t="s">
        <v>1336</v>
      </c>
      <c r="AA168" s="6" t="s">
        <v>1337</v>
      </c>
    </row>
    <row r="169" customFormat="false" ht="68.65" hidden="false" customHeight="false" outlineLevel="0" collapsed="false">
      <c r="A169" s="5" t="s">
        <v>1338</v>
      </c>
      <c r="B169" s="2" t="s">
        <v>1339</v>
      </c>
      <c r="C169" s="5" t="s">
        <v>488</v>
      </c>
      <c r="D169" s="5" t="s">
        <v>60</v>
      </c>
      <c r="E169" s="2" t="s">
        <v>100</v>
      </c>
      <c r="F169" s="5" t="s">
        <v>62</v>
      </c>
      <c r="G169" s="5" t="n">
        <v>9</v>
      </c>
      <c r="H169" s="5" t="s">
        <v>63</v>
      </c>
      <c r="I169" s="5" t="s">
        <v>64</v>
      </c>
      <c r="J169" s="5" t="s">
        <v>65</v>
      </c>
      <c r="K169" s="5" t="s">
        <v>66</v>
      </c>
      <c r="L169" s="2" t="s">
        <v>100</v>
      </c>
      <c r="M169" s="2" t="s">
        <v>304</v>
      </c>
      <c r="N169" s="2" t="s">
        <v>367</v>
      </c>
      <c r="O169" s="2" t="s">
        <v>1160</v>
      </c>
      <c r="P169" s="2"/>
      <c r="Q169" s="5" t="n">
        <v>1</v>
      </c>
      <c r="R169" s="2" t="s">
        <v>71</v>
      </c>
      <c r="S169" s="2" t="s">
        <v>1340</v>
      </c>
      <c r="T169" s="2" t="s">
        <v>1193</v>
      </c>
      <c r="U169" s="2" t="s">
        <v>74</v>
      </c>
      <c r="V169" s="5" t="n">
        <v>300</v>
      </c>
      <c r="W169" s="2"/>
      <c r="X169" s="2" t="s">
        <v>1163</v>
      </c>
      <c r="Y169" s="5"/>
      <c r="Z169" s="2" t="s">
        <v>1341</v>
      </c>
      <c r="AA169" s="6" t="s">
        <v>1342</v>
      </c>
    </row>
    <row r="170" customFormat="false" ht="46.25" hidden="false" customHeight="false" outlineLevel="0" collapsed="false">
      <c r="A170" s="5" t="s">
        <v>1343</v>
      </c>
      <c r="B170" s="2" t="s">
        <v>1344</v>
      </c>
      <c r="C170" s="5" t="s">
        <v>488</v>
      </c>
      <c r="D170" s="5" t="s">
        <v>60</v>
      </c>
      <c r="E170" s="2" t="s">
        <v>100</v>
      </c>
      <c r="F170" s="5" t="s">
        <v>62</v>
      </c>
      <c r="G170" s="5" t="n">
        <v>9</v>
      </c>
      <c r="H170" s="5" t="s">
        <v>63</v>
      </c>
      <c r="I170" s="5" t="s">
        <v>64</v>
      </c>
      <c r="J170" s="5" t="s">
        <v>65</v>
      </c>
      <c r="K170" s="5" t="s">
        <v>66</v>
      </c>
      <c r="L170" s="2" t="s">
        <v>100</v>
      </c>
      <c r="M170" s="2" t="s">
        <v>304</v>
      </c>
      <c r="N170" s="2" t="s">
        <v>367</v>
      </c>
      <c r="O170" s="2" t="s">
        <v>1105</v>
      </c>
      <c r="P170" s="2"/>
      <c r="Q170" s="5" t="n">
        <v>1</v>
      </c>
      <c r="R170" s="2" t="s">
        <v>71</v>
      </c>
      <c r="S170" s="2" t="s">
        <v>1345</v>
      </c>
      <c r="T170" s="2" t="s">
        <v>1346</v>
      </c>
      <c r="U170" s="2" t="s">
        <v>74</v>
      </c>
      <c r="V170" s="5" t="n">
        <v>300</v>
      </c>
      <c r="W170" s="2"/>
      <c r="X170" s="2" t="s">
        <v>1108</v>
      </c>
      <c r="Y170" s="5" t="s">
        <v>309</v>
      </c>
      <c r="Z170" s="2" t="s">
        <v>1347</v>
      </c>
      <c r="AA170" s="6" t="s">
        <v>1348</v>
      </c>
    </row>
    <row r="171" customFormat="false" ht="68.65" hidden="false" customHeight="false" outlineLevel="0" collapsed="false">
      <c r="A171" s="5" t="s">
        <v>1349</v>
      </c>
      <c r="B171" s="2" t="s">
        <v>1350</v>
      </c>
      <c r="C171" s="5" t="s">
        <v>488</v>
      </c>
      <c r="D171" s="5" t="s">
        <v>60</v>
      </c>
      <c r="E171" s="2" t="s">
        <v>100</v>
      </c>
      <c r="F171" s="5" t="s">
        <v>62</v>
      </c>
      <c r="G171" s="5" t="n">
        <v>7</v>
      </c>
      <c r="H171" s="5" t="s">
        <v>89</v>
      </c>
      <c r="I171" s="5" t="s">
        <v>64</v>
      </c>
      <c r="J171" s="5" t="s">
        <v>65</v>
      </c>
      <c r="K171" s="5" t="s">
        <v>66</v>
      </c>
      <c r="L171" s="2" t="s">
        <v>100</v>
      </c>
      <c r="M171" s="2" t="s">
        <v>304</v>
      </c>
      <c r="N171" s="2" t="s">
        <v>367</v>
      </c>
      <c r="O171" s="2" t="s">
        <v>1105</v>
      </c>
      <c r="P171" s="2"/>
      <c r="Q171" s="5" t="n">
        <v>1</v>
      </c>
      <c r="R171" s="2" t="s">
        <v>71</v>
      </c>
      <c r="S171" s="2" t="s">
        <v>1351</v>
      </c>
      <c r="T171" s="2" t="s">
        <v>1352</v>
      </c>
      <c r="U171" s="2" t="s">
        <v>74</v>
      </c>
      <c r="V171" s="5" t="n">
        <v>300</v>
      </c>
      <c r="W171" s="2"/>
      <c r="X171" s="2" t="s">
        <v>1108</v>
      </c>
      <c r="Y171" s="5" t="s">
        <v>309</v>
      </c>
      <c r="Z171" s="2" t="s">
        <v>1353</v>
      </c>
      <c r="AA171" s="6" t="s">
        <v>1354</v>
      </c>
    </row>
    <row r="172" customFormat="false" ht="102.2" hidden="false" customHeight="false" outlineLevel="0" collapsed="false">
      <c r="A172" s="5" t="s">
        <v>1355</v>
      </c>
      <c r="B172" s="2" t="s">
        <v>1356</v>
      </c>
      <c r="C172" s="5" t="s">
        <v>488</v>
      </c>
      <c r="D172" s="5" t="s">
        <v>60</v>
      </c>
      <c r="E172" s="2" t="s">
        <v>100</v>
      </c>
      <c r="F172" s="5" t="s">
        <v>62</v>
      </c>
      <c r="G172" s="5" t="n">
        <v>9</v>
      </c>
      <c r="H172" s="5" t="s">
        <v>63</v>
      </c>
      <c r="I172" s="5" t="s">
        <v>64</v>
      </c>
      <c r="J172" s="5" t="s">
        <v>65</v>
      </c>
      <c r="K172" s="5" t="s">
        <v>66</v>
      </c>
      <c r="L172" s="2" t="s">
        <v>100</v>
      </c>
      <c r="M172" s="2" t="s">
        <v>304</v>
      </c>
      <c r="N172" s="2" t="s">
        <v>367</v>
      </c>
      <c r="O172" s="2" t="s">
        <v>1105</v>
      </c>
      <c r="P172" s="2"/>
      <c r="Q172" s="5" t="n">
        <v>1</v>
      </c>
      <c r="R172" s="2" t="s">
        <v>71</v>
      </c>
      <c r="S172" s="2" t="s">
        <v>1357</v>
      </c>
      <c r="T172" s="2" t="s">
        <v>1358</v>
      </c>
      <c r="U172" s="2" t="s">
        <v>74</v>
      </c>
      <c r="V172" s="5" t="n">
        <v>300</v>
      </c>
      <c r="W172" s="2"/>
      <c r="X172" s="2" t="s">
        <v>1108</v>
      </c>
      <c r="Y172" s="5" t="s">
        <v>309</v>
      </c>
      <c r="Z172" s="2" t="s">
        <v>1359</v>
      </c>
      <c r="AA172" s="6" t="s">
        <v>1360</v>
      </c>
    </row>
    <row r="173" customFormat="false" ht="91" hidden="false" customHeight="false" outlineLevel="0" collapsed="false">
      <c r="A173" s="5" t="s">
        <v>1361</v>
      </c>
      <c r="B173" s="2" t="s">
        <v>1362</v>
      </c>
      <c r="C173" s="5" t="s">
        <v>488</v>
      </c>
      <c r="D173" s="5" t="s">
        <v>60</v>
      </c>
      <c r="E173" s="2" t="s">
        <v>1363</v>
      </c>
      <c r="F173" s="5" t="s">
        <v>62</v>
      </c>
      <c r="G173" s="5" t="n">
        <v>7</v>
      </c>
      <c r="H173" s="5" t="s">
        <v>89</v>
      </c>
      <c r="I173" s="5" t="s">
        <v>64</v>
      </c>
      <c r="J173" s="5" t="s">
        <v>65</v>
      </c>
      <c r="K173" s="5" t="s">
        <v>66</v>
      </c>
      <c r="L173" s="2" t="s">
        <v>100</v>
      </c>
      <c r="M173" s="2" t="s">
        <v>340</v>
      </c>
      <c r="N173" s="2" t="s">
        <v>367</v>
      </c>
      <c r="O173" s="2" t="s">
        <v>1105</v>
      </c>
      <c r="P173" s="2"/>
      <c r="Q173" s="5" t="n">
        <v>1</v>
      </c>
      <c r="R173" s="2" t="s">
        <v>71</v>
      </c>
      <c r="S173" s="2" t="s">
        <v>1364</v>
      </c>
      <c r="T173" s="2" t="s">
        <v>1176</v>
      </c>
      <c r="U173" s="2" t="s">
        <v>74</v>
      </c>
      <c r="V173" s="5" t="n">
        <v>300</v>
      </c>
      <c r="W173" s="2"/>
      <c r="X173" s="2" t="s">
        <v>1108</v>
      </c>
      <c r="Y173" s="5" t="s">
        <v>309</v>
      </c>
      <c r="Z173" s="2" t="s">
        <v>1365</v>
      </c>
      <c r="AA173" s="6" t="s">
        <v>1366</v>
      </c>
    </row>
    <row r="174" customFormat="false" ht="91" hidden="false" customHeight="false" outlineLevel="0" collapsed="false">
      <c r="A174" s="5" t="s">
        <v>1367</v>
      </c>
      <c r="B174" s="2" t="s">
        <v>1368</v>
      </c>
      <c r="C174" s="5" t="s">
        <v>488</v>
      </c>
      <c r="D174" s="5" t="s">
        <v>60</v>
      </c>
      <c r="E174" s="2" t="s">
        <v>1363</v>
      </c>
      <c r="F174" s="5" t="s">
        <v>62</v>
      </c>
      <c r="G174" s="5" t="n">
        <v>7</v>
      </c>
      <c r="H174" s="5" t="s">
        <v>89</v>
      </c>
      <c r="I174" s="5" t="s">
        <v>64</v>
      </c>
      <c r="J174" s="5" t="s">
        <v>65</v>
      </c>
      <c r="K174" s="5" t="s">
        <v>66</v>
      </c>
      <c r="L174" s="2" t="s">
        <v>100</v>
      </c>
      <c r="M174" s="2" t="s">
        <v>340</v>
      </c>
      <c r="N174" s="2" t="s">
        <v>367</v>
      </c>
      <c r="O174" s="2" t="s">
        <v>1105</v>
      </c>
      <c r="P174" s="2"/>
      <c r="Q174" s="5" t="n">
        <v>1</v>
      </c>
      <c r="R174" s="2" t="s">
        <v>71</v>
      </c>
      <c r="S174" s="2" t="s">
        <v>1369</v>
      </c>
      <c r="T174" s="2" t="s">
        <v>1176</v>
      </c>
      <c r="U174" s="2" t="s">
        <v>74</v>
      </c>
      <c r="V174" s="5" t="n">
        <v>300</v>
      </c>
      <c r="W174" s="2"/>
      <c r="X174" s="2" t="s">
        <v>1108</v>
      </c>
      <c r="Y174" s="5" t="s">
        <v>309</v>
      </c>
      <c r="Z174" s="2" t="s">
        <v>1370</v>
      </c>
      <c r="AA174" s="6" t="s">
        <v>1371</v>
      </c>
    </row>
    <row r="175" customFormat="false" ht="79.85" hidden="false" customHeight="false" outlineLevel="0" collapsed="false">
      <c r="A175" s="5" t="s">
        <v>1372</v>
      </c>
      <c r="B175" s="2" t="s">
        <v>1373</v>
      </c>
      <c r="C175" s="5" t="s">
        <v>488</v>
      </c>
      <c r="D175" s="5" t="s">
        <v>60</v>
      </c>
      <c r="E175" s="2" t="s">
        <v>100</v>
      </c>
      <c r="F175" s="5" t="s">
        <v>62</v>
      </c>
      <c r="G175" s="5" t="n">
        <v>7</v>
      </c>
      <c r="H175" s="5" t="s">
        <v>89</v>
      </c>
      <c r="I175" s="5" t="s">
        <v>64</v>
      </c>
      <c r="J175" s="5" t="s">
        <v>65</v>
      </c>
      <c r="K175" s="5" t="s">
        <v>66</v>
      </c>
      <c r="L175" s="2" t="s">
        <v>100</v>
      </c>
      <c r="M175" s="2" t="s">
        <v>1113</v>
      </c>
      <c r="N175" s="2" t="s">
        <v>367</v>
      </c>
      <c r="O175" s="2" t="s">
        <v>1105</v>
      </c>
      <c r="P175" s="2"/>
      <c r="Q175" s="5" t="n">
        <v>1</v>
      </c>
      <c r="R175" s="2" t="s">
        <v>71</v>
      </c>
      <c r="S175" s="2" t="s">
        <v>1374</v>
      </c>
      <c r="T175" s="2" t="s">
        <v>1139</v>
      </c>
      <c r="U175" s="2" t="s">
        <v>74</v>
      </c>
      <c r="V175" s="5" t="n">
        <v>300</v>
      </c>
      <c r="W175" s="2"/>
      <c r="X175" s="2" t="s">
        <v>1108</v>
      </c>
      <c r="Y175" s="5" t="s">
        <v>309</v>
      </c>
      <c r="Z175" s="2" t="s">
        <v>1375</v>
      </c>
      <c r="AA175" s="6" t="s">
        <v>1376</v>
      </c>
    </row>
    <row r="176" customFormat="false" ht="57.45" hidden="false" customHeight="false" outlineLevel="0" collapsed="false">
      <c r="A176" s="5" t="s">
        <v>1377</v>
      </c>
      <c r="B176" s="2" t="s">
        <v>1378</v>
      </c>
      <c r="C176" s="5" t="s">
        <v>488</v>
      </c>
      <c r="D176" s="5" t="s">
        <v>60</v>
      </c>
      <c r="E176" s="2" t="s">
        <v>100</v>
      </c>
      <c r="F176" s="5" t="s">
        <v>62</v>
      </c>
      <c r="G176" s="5" t="n">
        <v>7</v>
      </c>
      <c r="H176" s="5" t="s">
        <v>89</v>
      </c>
      <c r="I176" s="5" t="s">
        <v>64</v>
      </c>
      <c r="J176" s="5" t="s">
        <v>65</v>
      </c>
      <c r="K176" s="5" t="s">
        <v>66</v>
      </c>
      <c r="L176" s="2" t="s">
        <v>100</v>
      </c>
      <c r="M176" s="2" t="s">
        <v>456</v>
      </c>
      <c r="N176" s="2" t="s">
        <v>367</v>
      </c>
      <c r="O176" s="2" t="s">
        <v>1105</v>
      </c>
      <c r="P176" s="2"/>
      <c r="Q176" s="5" t="n">
        <v>1</v>
      </c>
      <c r="R176" s="2" t="s">
        <v>71</v>
      </c>
      <c r="S176" s="2" t="s">
        <v>1379</v>
      </c>
      <c r="T176" s="2" t="s">
        <v>1269</v>
      </c>
      <c r="U176" s="2" t="s">
        <v>74</v>
      </c>
      <c r="V176" s="5" t="n">
        <v>300</v>
      </c>
      <c r="W176" s="2"/>
      <c r="X176" s="2" t="s">
        <v>1108</v>
      </c>
      <c r="Y176" s="5" t="s">
        <v>309</v>
      </c>
      <c r="Z176" s="2" t="s">
        <v>1380</v>
      </c>
      <c r="AA176" s="6" t="s">
        <v>1381</v>
      </c>
    </row>
    <row r="177" customFormat="false" ht="91" hidden="false" customHeight="false" outlineLevel="0" collapsed="false">
      <c r="A177" s="5" t="s">
        <v>1382</v>
      </c>
      <c r="B177" s="2" t="s">
        <v>1383</v>
      </c>
      <c r="C177" s="5" t="s">
        <v>488</v>
      </c>
      <c r="D177" s="5" t="s">
        <v>60</v>
      </c>
      <c r="E177" s="2" t="s">
        <v>1384</v>
      </c>
      <c r="F177" s="5" t="s">
        <v>62</v>
      </c>
      <c r="G177" s="5" t="n">
        <v>9</v>
      </c>
      <c r="H177" s="5" t="s">
        <v>63</v>
      </c>
      <c r="I177" s="5" t="s">
        <v>64</v>
      </c>
      <c r="J177" s="5" t="s">
        <v>65</v>
      </c>
      <c r="K177" s="5" t="s">
        <v>66</v>
      </c>
      <c r="L177" s="2" t="s">
        <v>100</v>
      </c>
      <c r="M177" s="2" t="s">
        <v>340</v>
      </c>
      <c r="N177" s="2" t="s">
        <v>367</v>
      </c>
      <c r="O177" s="2" t="s">
        <v>1105</v>
      </c>
      <c r="P177" s="2"/>
      <c r="Q177" s="5" t="n">
        <v>1</v>
      </c>
      <c r="R177" s="2" t="s">
        <v>71</v>
      </c>
      <c r="S177" s="2" t="s">
        <v>1385</v>
      </c>
      <c r="T177" s="2" t="s">
        <v>1358</v>
      </c>
      <c r="U177" s="2" t="s">
        <v>74</v>
      </c>
      <c r="V177" s="5" t="n">
        <v>300</v>
      </c>
      <c r="W177" s="2"/>
      <c r="X177" s="2" t="s">
        <v>1108</v>
      </c>
      <c r="Y177" s="5" t="s">
        <v>309</v>
      </c>
      <c r="Z177" s="2" t="s">
        <v>1386</v>
      </c>
      <c r="AA177" s="6" t="s">
        <v>1387</v>
      </c>
    </row>
    <row r="178" customFormat="false" ht="57.45" hidden="false" customHeight="false" outlineLevel="0" collapsed="false">
      <c r="A178" s="5" t="s">
        <v>1388</v>
      </c>
      <c r="B178" s="2" t="s">
        <v>1389</v>
      </c>
      <c r="C178" s="5" t="s">
        <v>488</v>
      </c>
      <c r="D178" s="5" t="s">
        <v>60</v>
      </c>
      <c r="E178" s="2" t="s">
        <v>100</v>
      </c>
      <c r="F178" s="5" t="s">
        <v>62</v>
      </c>
      <c r="G178" s="5" t="n">
        <v>9</v>
      </c>
      <c r="H178" s="5" t="s">
        <v>63</v>
      </c>
      <c r="I178" s="5" t="s">
        <v>64</v>
      </c>
      <c r="J178" s="5" t="s">
        <v>65</v>
      </c>
      <c r="K178" s="5" t="s">
        <v>66</v>
      </c>
      <c r="L178" s="2" t="s">
        <v>100</v>
      </c>
      <c r="M178" s="2" t="s">
        <v>304</v>
      </c>
      <c r="N178" s="2" t="s">
        <v>367</v>
      </c>
      <c r="O178" s="2" t="s">
        <v>1105</v>
      </c>
      <c r="P178" s="2"/>
      <c r="Q178" s="5" t="n">
        <v>1</v>
      </c>
      <c r="R178" s="2" t="s">
        <v>71</v>
      </c>
      <c r="S178" s="2" t="s">
        <v>1390</v>
      </c>
      <c r="T178" s="2" t="s">
        <v>1391</v>
      </c>
      <c r="U178" s="2" t="s">
        <v>74</v>
      </c>
      <c r="V178" s="5" t="n">
        <v>300</v>
      </c>
      <c r="W178" s="2"/>
      <c r="X178" s="2" t="s">
        <v>1108</v>
      </c>
      <c r="Y178" s="5" t="s">
        <v>309</v>
      </c>
      <c r="Z178" s="2" t="s">
        <v>1392</v>
      </c>
      <c r="AA178" s="6" t="s">
        <v>1393</v>
      </c>
    </row>
    <row r="179" customFormat="false" ht="102.2" hidden="false" customHeight="false" outlineLevel="0" collapsed="false">
      <c r="A179" s="5" t="s">
        <v>1394</v>
      </c>
      <c r="B179" s="2" t="s">
        <v>1395</v>
      </c>
      <c r="C179" s="5" t="s">
        <v>488</v>
      </c>
      <c r="D179" s="5" t="s">
        <v>60</v>
      </c>
      <c r="E179" s="2" t="s">
        <v>1384</v>
      </c>
      <c r="F179" s="5" t="s">
        <v>62</v>
      </c>
      <c r="G179" s="5" t="n">
        <v>9</v>
      </c>
      <c r="H179" s="5" t="s">
        <v>63</v>
      </c>
      <c r="I179" s="5" t="s">
        <v>64</v>
      </c>
      <c r="J179" s="5" t="s">
        <v>65</v>
      </c>
      <c r="K179" s="5" t="s">
        <v>66</v>
      </c>
      <c r="L179" s="2" t="s">
        <v>100</v>
      </c>
      <c r="M179" s="2" t="s">
        <v>304</v>
      </c>
      <c r="N179" s="2" t="s">
        <v>367</v>
      </c>
      <c r="O179" s="2" t="s">
        <v>1105</v>
      </c>
      <c r="P179" s="2"/>
      <c r="Q179" s="5" t="n">
        <v>1</v>
      </c>
      <c r="R179" s="2" t="s">
        <v>71</v>
      </c>
      <c r="S179" s="2" t="s">
        <v>1396</v>
      </c>
      <c r="T179" s="2" t="s">
        <v>1397</v>
      </c>
      <c r="U179" s="2" t="s">
        <v>74</v>
      </c>
      <c r="V179" s="5" t="n">
        <v>300</v>
      </c>
      <c r="W179" s="2"/>
      <c r="X179" s="2" t="s">
        <v>1108</v>
      </c>
      <c r="Y179" s="5" t="s">
        <v>309</v>
      </c>
      <c r="Z179" s="2" t="s">
        <v>1398</v>
      </c>
      <c r="AA179" s="6" t="s">
        <v>1399</v>
      </c>
    </row>
    <row r="180" customFormat="false" ht="46.25" hidden="false" customHeight="false" outlineLevel="0" collapsed="false">
      <c r="A180" s="5" t="s">
        <v>1400</v>
      </c>
      <c r="B180" s="2" t="s">
        <v>1401</v>
      </c>
      <c r="C180" s="5" t="s">
        <v>488</v>
      </c>
      <c r="D180" s="5" t="s">
        <v>60</v>
      </c>
      <c r="E180" s="2"/>
      <c r="F180" s="5" t="s">
        <v>62</v>
      </c>
      <c r="G180" s="5" t="n">
        <v>7</v>
      </c>
      <c r="H180" s="5" t="s">
        <v>89</v>
      </c>
      <c r="I180" s="5" t="s">
        <v>64</v>
      </c>
      <c r="J180" s="5" t="s">
        <v>65</v>
      </c>
      <c r="K180" s="5" t="s">
        <v>66</v>
      </c>
      <c r="L180" s="2" t="s">
        <v>413</v>
      </c>
      <c r="M180" s="2" t="s">
        <v>1402</v>
      </c>
      <c r="N180" s="2" t="s">
        <v>367</v>
      </c>
      <c r="O180" s="2" t="s">
        <v>368</v>
      </c>
      <c r="P180" s="2"/>
      <c r="Q180" s="5" t="n">
        <v>1</v>
      </c>
      <c r="R180" s="2" t="s">
        <v>71</v>
      </c>
      <c r="S180" s="2" t="s">
        <v>1403</v>
      </c>
      <c r="T180" s="2" t="s">
        <v>1404</v>
      </c>
      <c r="U180" s="2" t="s">
        <v>74</v>
      </c>
      <c r="V180" s="5" t="n">
        <v>300</v>
      </c>
      <c r="W180" s="2"/>
      <c r="X180" s="2" t="s">
        <v>371</v>
      </c>
      <c r="Y180" s="5" t="s">
        <v>372</v>
      </c>
      <c r="Z180" s="2" t="s">
        <v>1405</v>
      </c>
      <c r="AA180" s="6" t="s">
        <v>1406</v>
      </c>
    </row>
    <row r="181" customFormat="false" ht="57.45" hidden="false" customHeight="false" outlineLevel="0" collapsed="false">
      <c r="A181" s="5" t="s">
        <v>1407</v>
      </c>
      <c r="B181" s="2" t="s">
        <v>1408</v>
      </c>
      <c r="C181" s="5" t="s">
        <v>488</v>
      </c>
      <c r="D181" s="5" t="s">
        <v>60</v>
      </c>
      <c r="E181" s="2" t="s">
        <v>100</v>
      </c>
      <c r="F181" s="5" t="s">
        <v>62</v>
      </c>
      <c r="G181" s="5" t="n">
        <v>5</v>
      </c>
      <c r="H181" s="5" t="s">
        <v>89</v>
      </c>
      <c r="I181" s="5" t="s">
        <v>64</v>
      </c>
      <c r="J181" s="5" t="s">
        <v>65</v>
      </c>
      <c r="K181" s="5" t="s">
        <v>66</v>
      </c>
      <c r="L181" s="2" t="s">
        <v>100</v>
      </c>
      <c r="M181" s="2" t="s">
        <v>1409</v>
      </c>
      <c r="N181" s="2" t="s">
        <v>367</v>
      </c>
      <c r="O181" s="2" t="s">
        <v>1105</v>
      </c>
      <c r="P181" s="2"/>
      <c r="Q181" s="5" t="n">
        <v>1</v>
      </c>
      <c r="R181" s="2" t="s">
        <v>71</v>
      </c>
      <c r="S181" s="2" t="s">
        <v>1410</v>
      </c>
      <c r="T181" s="2" t="s">
        <v>1176</v>
      </c>
      <c r="U181" s="2" t="s">
        <v>74</v>
      </c>
      <c r="V181" s="5" t="n">
        <v>300</v>
      </c>
      <c r="W181" s="2"/>
      <c r="X181" s="2" t="s">
        <v>1108</v>
      </c>
      <c r="Y181" s="5" t="s">
        <v>309</v>
      </c>
      <c r="Z181" s="2" t="s">
        <v>1411</v>
      </c>
      <c r="AA181" s="6" t="s">
        <v>1412</v>
      </c>
    </row>
    <row r="182" customFormat="false" ht="68.65" hidden="false" customHeight="false" outlineLevel="0" collapsed="false">
      <c r="A182" s="5" t="s">
        <v>1413</v>
      </c>
      <c r="B182" s="2" t="s">
        <v>1414</v>
      </c>
      <c r="C182" s="5" t="s">
        <v>488</v>
      </c>
      <c r="D182" s="5" t="s">
        <v>60</v>
      </c>
      <c r="E182" s="2" t="s">
        <v>100</v>
      </c>
      <c r="F182" s="5" t="s">
        <v>62</v>
      </c>
      <c r="G182" s="5" t="n">
        <v>7</v>
      </c>
      <c r="H182" s="5" t="s">
        <v>89</v>
      </c>
      <c r="I182" s="5" t="s">
        <v>64</v>
      </c>
      <c r="J182" s="5" t="s">
        <v>65</v>
      </c>
      <c r="K182" s="5" t="s">
        <v>66</v>
      </c>
      <c r="L182" s="2" t="s">
        <v>100</v>
      </c>
      <c r="M182" s="2" t="s">
        <v>1032</v>
      </c>
      <c r="N182" s="2" t="s">
        <v>367</v>
      </c>
      <c r="O182" s="2" t="s">
        <v>1160</v>
      </c>
      <c r="P182" s="2"/>
      <c r="Q182" s="5" t="n">
        <v>1</v>
      </c>
      <c r="R182" s="2" t="s">
        <v>71</v>
      </c>
      <c r="S182" s="2" t="s">
        <v>1415</v>
      </c>
      <c r="T182" s="2" t="s">
        <v>1162</v>
      </c>
      <c r="U182" s="2" t="s">
        <v>74</v>
      </c>
      <c r="V182" s="5" t="n">
        <v>300</v>
      </c>
      <c r="W182" s="2"/>
      <c r="X182" s="2" t="s">
        <v>1163</v>
      </c>
      <c r="Y182" s="5"/>
      <c r="Z182" s="2" t="s">
        <v>1416</v>
      </c>
      <c r="AA182" s="6" t="s">
        <v>1417</v>
      </c>
    </row>
    <row r="183" customFormat="false" ht="46.25" hidden="false" customHeight="false" outlineLevel="0" collapsed="false">
      <c r="A183" s="5" t="s">
        <v>1418</v>
      </c>
      <c r="B183" s="2" t="s">
        <v>1419</v>
      </c>
      <c r="C183" s="5" t="s">
        <v>488</v>
      </c>
      <c r="D183" s="5" t="s">
        <v>60</v>
      </c>
      <c r="E183" s="2" t="s">
        <v>100</v>
      </c>
      <c r="F183" s="5" t="s">
        <v>62</v>
      </c>
      <c r="G183" s="5" t="n">
        <v>7</v>
      </c>
      <c r="H183" s="5" t="s">
        <v>89</v>
      </c>
      <c r="I183" s="5" t="s">
        <v>64</v>
      </c>
      <c r="J183" s="5" t="s">
        <v>65</v>
      </c>
      <c r="K183" s="5" t="s">
        <v>66</v>
      </c>
      <c r="L183" s="2" t="s">
        <v>100</v>
      </c>
      <c r="M183" s="2" t="s">
        <v>491</v>
      </c>
      <c r="N183" s="2" t="s">
        <v>367</v>
      </c>
      <c r="O183" s="2" t="s">
        <v>1105</v>
      </c>
      <c r="P183" s="2"/>
      <c r="Q183" s="5" t="n">
        <v>1</v>
      </c>
      <c r="R183" s="2" t="s">
        <v>71</v>
      </c>
      <c r="S183" s="2" t="s">
        <v>1420</v>
      </c>
      <c r="T183" s="2" t="s">
        <v>1139</v>
      </c>
      <c r="U183" s="2" t="s">
        <v>74</v>
      </c>
      <c r="V183" s="5" t="n">
        <v>300</v>
      </c>
      <c r="W183" s="2"/>
      <c r="X183" s="2" t="s">
        <v>1108</v>
      </c>
      <c r="Y183" s="5" t="s">
        <v>309</v>
      </c>
      <c r="Z183" s="2" t="s">
        <v>1421</v>
      </c>
      <c r="AA183" s="6" t="s">
        <v>1422</v>
      </c>
    </row>
    <row r="184" customFormat="false" ht="46.25" hidden="false" customHeight="false" outlineLevel="0" collapsed="false">
      <c r="A184" s="5" t="s">
        <v>1423</v>
      </c>
      <c r="B184" s="2" t="s">
        <v>1424</v>
      </c>
      <c r="C184" s="5" t="s">
        <v>488</v>
      </c>
      <c r="D184" s="5" t="s">
        <v>60</v>
      </c>
      <c r="E184" s="2"/>
      <c r="F184" s="5" t="s">
        <v>62</v>
      </c>
      <c r="G184" s="5" t="n">
        <v>7</v>
      </c>
      <c r="H184" s="5" t="s">
        <v>89</v>
      </c>
      <c r="I184" s="5" t="s">
        <v>64</v>
      </c>
      <c r="J184" s="5" t="s">
        <v>65</v>
      </c>
      <c r="K184" s="5" t="s">
        <v>66</v>
      </c>
      <c r="L184" s="2" t="s">
        <v>413</v>
      </c>
      <c r="M184" s="2" t="s">
        <v>1425</v>
      </c>
      <c r="N184" s="2" t="s">
        <v>367</v>
      </c>
      <c r="O184" s="2" t="s">
        <v>1105</v>
      </c>
      <c r="P184" s="2"/>
      <c r="Q184" s="5" t="n">
        <v>1</v>
      </c>
      <c r="R184" s="2" t="s">
        <v>71</v>
      </c>
      <c r="S184" s="2" t="s">
        <v>1426</v>
      </c>
      <c r="T184" s="2" t="s">
        <v>1269</v>
      </c>
      <c r="U184" s="2" t="s">
        <v>74</v>
      </c>
      <c r="V184" s="5" t="n">
        <v>300</v>
      </c>
      <c r="W184" s="2"/>
      <c r="X184" s="2" t="s">
        <v>1108</v>
      </c>
      <c r="Y184" s="5" t="s">
        <v>309</v>
      </c>
      <c r="Z184" s="2" t="s">
        <v>1427</v>
      </c>
      <c r="AA184" s="6" t="s">
        <v>1428</v>
      </c>
    </row>
    <row r="185" customFormat="false" ht="91" hidden="false" customHeight="false" outlineLevel="0" collapsed="false">
      <c r="A185" s="5" t="s">
        <v>1429</v>
      </c>
      <c r="B185" s="2" t="s">
        <v>1430</v>
      </c>
      <c r="C185" s="5" t="s">
        <v>488</v>
      </c>
      <c r="D185" s="5" t="s">
        <v>60</v>
      </c>
      <c r="E185" s="2" t="s">
        <v>1104</v>
      </c>
      <c r="F185" s="5" t="s">
        <v>62</v>
      </c>
      <c r="G185" s="5" t="n">
        <v>5</v>
      </c>
      <c r="H185" s="5" t="s">
        <v>89</v>
      </c>
      <c r="I185" s="5" t="s">
        <v>64</v>
      </c>
      <c r="J185" s="5" t="s">
        <v>65</v>
      </c>
      <c r="K185" s="5" t="s">
        <v>66</v>
      </c>
      <c r="L185" s="2" t="s">
        <v>100</v>
      </c>
      <c r="M185" s="2" t="s">
        <v>450</v>
      </c>
      <c r="N185" s="2" t="s">
        <v>367</v>
      </c>
      <c r="O185" s="2" t="s">
        <v>1105</v>
      </c>
      <c r="P185" s="2"/>
      <c r="Q185" s="5" t="n">
        <v>1</v>
      </c>
      <c r="R185" s="2" t="s">
        <v>71</v>
      </c>
      <c r="S185" s="2" t="s">
        <v>1431</v>
      </c>
      <c r="T185" s="2" t="s">
        <v>1432</v>
      </c>
      <c r="U185" s="2" t="s">
        <v>74</v>
      </c>
      <c r="V185" s="5" t="n">
        <v>300</v>
      </c>
      <c r="W185" s="2"/>
      <c r="X185" s="2" t="s">
        <v>1108</v>
      </c>
      <c r="Y185" s="5" t="s">
        <v>309</v>
      </c>
      <c r="Z185" s="2" t="s">
        <v>1433</v>
      </c>
      <c r="AA185" s="6" t="s">
        <v>1434</v>
      </c>
    </row>
    <row r="186" customFormat="false" ht="68.65" hidden="false" customHeight="false" outlineLevel="0" collapsed="false">
      <c r="A186" s="5" t="s">
        <v>1435</v>
      </c>
      <c r="B186" s="2" t="s">
        <v>1436</v>
      </c>
      <c r="C186" s="5" t="s">
        <v>488</v>
      </c>
      <c r="D186" s="5" t="s">
        <v>60</v>
      </c>
      <c r="E186" s="2" t="s">
        <v>397</v>
      </c>
      <c r="F186" s="5" t="s">
        <v>62</v>
      </c>
      <c r="G186" s="5" t="n">
        <v>7</v>
      </c>
      <c r="H186" s="5" t="s">
        <v>89</v>
      </c>
      <c r="I186" s="5" t="s">
        <v>64</v>
      </c>
      <c r="J186" s="5" t="s">
        <v>65</v>
      </c>
      <c r="K186" s="5" t="s">
        <v>66</v>
      </c>
      <c r="L186" s="2" t="s">
        <v>100</v>
      </c>
      <c r="M186" s="2" t="s">
        <v>1437</v>
      </c>
      <c r="N186" s="2" t="s">
        <v>184</v>
      </c>
      <c r="O186" s="2" t="s">
        <v>1438</v>
      </c>
      <c r="P186" s="2"/>
      <c r="Q186" s="5" t="n">
        <v>1</v>
      </c>
      <c r="R186" s="2" t="s">
        <v>71</v>
      </c>
      <c r="S186" s="2" t="s">
        <v>1439</v>
      </c>
      <c r="T186" s="2" t="s">
        <v>1440</v>
      </c>
      <c r="U186" s="2" t="s">
        <v>74</v>
      </c>
      <c r="V186" s="5" t="n">
        <v>300</v>
      </c>
      <c r="W186" s="2"/>
      <c r="X186" s="2" t="s">
        <v>1441</v>
      </c>
      <c r="Y186" s="5" t="s">
        <v>346</v>
      </c>
      <c r="Z186" s="2" t="s">
        <v>1442</v>
      </c>
      <c r="AA186" s="6" t="s">
        <v>1443</v>
      </c>
    </row>
    <row r="187" customFormat="false" ht="102.2" hidden="false" customHeight="false" outlineLevel="0" collapsed="false">
      <c r="A187" s="5" t="s">
        <v>1444</v>
      </c>
      <c r="B187" s="2" t="s">
        <v>1445</v>
      </c>
      <c r="C187" s="5" t="s">
        <v>488</v>
      </c>
      <c r="D187" s="5" t="s">
        <v>60</v>
      </c>
      <c r="E187" s="2"/>
      <c r="F187" s="5" t="s">
        <v>62</v>
      </c>
      <c r="G187" s="5" t="n">
        <v>3</v>
      </c>
      <c r="H187" s="5" t="s">
        <v>817</v>
      </c>
      <c r="I187" s="5" t="s">
        <v>64</v>
      </c>
      <c r="J187" s="5" t="s">
        <v>65</v>
      </c>
      <c r="K187" s="5" t="s">
        <v>66</v>
      </c>
      <c r="L187" s="2" t="s">
        <v>277</v>
      </c>
      <c r="M187" s="2" t="s">
        <v>1446</v>
      </c>
      <c r="N187" s="2" t="s">
        <v>367</v>
      </c>
      <c r="O187" s="2" t="s">
        <v>1105</v>
      </c>
      <c r="P187" s="2"/>
      <c r="Q187" s="5" t="n">
        <v>1</v>
      </c>
      <c r="R187" s="2" t="s">
        <v>71</v>
      </c>
      <c r="S187" s="2" t="s">
        <v>1447</v>
      </c>
      <c r="T187" s="2" t="s">
        <v>1176</v>
      </c>
      <c r="U187" s="2" t="s">
        <v>74</v>
      </c>
      <c r="V187" s="5" t="n">
        <v>300</v>
      </c>
      <c r="W187" s="2"/>
      <c r="X187" s="2" t="s">
        <v>1108</v>
      </c>
      <c r="Y187" s="5" t="s">
        <v>309</v>
      </c>
      <c r="Z187" s="2" t="s">
        <v>1448</v>
      </c>
      <c r="AA187" s="6" t="s">
        <v>1449</v>
      </c>
    </row>
    <row r="188" customFormat="false" ht="46.25" hidden="false" customHeight="false" outlineLevel="0" collapsed="false">
      <c r="A188" s="5" t="s">
        <v>1450</v>
      </c>
      <c r="B188" s="2" t="s">
        <v>1451</v>
      </c>
      <c r="C188" s="5" t="s">
        <v>488</v>
      </c>
      <c r="D188" s="5" t="s">
        <v>60</v>
      </c>
      <c r="E188" s="2" t="s">
        <v>161</v>
      </c>
      <c r="F188" s="5" t="s">
        <v>62</v>
      </c>
      <c r="G188" s="5" t="n">
        <v>5</v>
      </c>
      <c r="H188" s="5" t="s">
        <v>89</v>
      </c>
      <c r="I188" s="5" t="s">
        <v>64</v>
      </c>
      <c r="J188" s="5" t="s">
        <v>65</v>
      </c>
      <c r="K188" s="5" t="s">
        <v>66</v>
      </c>
      <c r="L188" s="2" t="s">
        <v>90</v>
      </c>
      <c r="M188" s="2"/>
      <c r="N188" s="2" t="s">
        <v>367</v>
      </c>
      <c r="O188" s="2" t="s">
        <v>1105</v>
      </c>
      <c r="P188" s="2"/>
      <c r="Q188" s="5" t="n">
        <v>1</v>
      </c>
      <c r="R188" s="2" t="s">
        <v>71</v>
      </c>
      <c r="S188" s="2" t="s">
        <v>1452</v>
      </c>
      <c r="T188" s="2" t="s">
        <v>1176</v>
      </c>
      <c r="U188" s="2" t="s">
        <v>74</v>
      </c>
      <c r="V188" s="5" t="n">
        <v>300</v>
      </c>
      <c r="W188" s="2"/>
      <c r="X188" s="2" t="s">
        <v>1108</v>
      </c>
      <c r="Y188" s="5" t="s">
        <v>309</v>
      </c>
      <c r="Z188" s="2" t="s">
        <v>1453</v>
      </c>
      <c r="AA188" s="6" t="s">
        <v>1454</v>
      </c>
    </row>
    <row r="189" customFormat="false" ht="113.4" hidden="false" customHeight="false" outlineLevel="0" collapsed="false">
      <c r="A189" s="5" t="s">
        <v>1455</v>
      </c>
      <c r="B189" s="2" t="s">
        <v>1456</v>
      </c>
      <c r="C189" s="5" t="s">
        <v>488</v>
      </c>
      <c r="D189" s="5" t="s">
        <v>60</v>
      </c>
      <c r="E189" s="2" t="s">
        <v>303</v>
      </c>
      <c r="F189" s="5" t="s">
        <v>62</v>
      </c>
      <c r="G189" s="5" t="n">
        <v>7</v>
      </c>
      <c r="H189" s="5" t="s">
        <v>89</v>
      </c>
      <c r="I189" s="5" t="s">
        <v>64</v>
      </c>
      <c r="J189" s="5" t="s">
        <v>65</v>
      </c>
      <c r="K189" s="5" t="s">
        <v>66</v>
      </c>
      <c r="L189" s="2" t="s">
        <v>100</v>
      </c>
      <c r="M189" s="2" t="s">
        <v>304</v>
      </c>
      <c r="N189" s="2" t="s">
        <v>184</v>
      </c>
      <c r="O189" s="2" t="s">
        <v>1457</v>
      </c>
      <c r="P189" s="2"/>
      <c r="Q189" s="5" t="n">
        <v>1</v>
      </c>
      <c r="R189" s="2" t="s">
        <v>71</v>
      </c>
      <c r="S189" s="2" t="s">
        <v>1458</v>
      </c>
      <c r="T189" s="2" t="s">
        <v>1459</v>
      </c>
      <c r="U189" s="2" t="s">
        <v>74</v>
      </c>
      <c r="V189" s="5" t="n">
        <v>300</v>
      </c>
      <c r="W189" s="2"/>
      <c r="X189" s="2" t="s">
        <v>1460</v>
      </c>
      <c r="Y189" s="5"/>
      <c r="Z189" s="2" t="s">
        <v>1461</v>
      </c>
      <c r="AA189" s="6" t="s">
        <v>1462</v>
      </c>
    </row>
    <row r="190" customFormat="false" ht="68.65" hidden="false" customHeight="false" outlineLevel="0" collapsed="false">
      <c r="A190" s="5" t="s">
        <v>1463</v>
      </c>
      <c r="B190" s="2" t="s">
        <v>1464</v>
      </c>
      <c r="C190" s="5" t="s">
        <v>488</v>
      </c>
      <c r="D190" s="5" t="s">
        <v>60</v>
      </c>
      <c r="E190" s="2" t="s">
        <v>100</v>
      </c>
      <c r="F190" s="5" t="s">
        <v>62</v>
      </c>
      <c r="G190" s="5" t="n">
        <v>7</v>
      </c>
      <c r="H190" s="5" t="s">
        <v>89</v>
      </c>
      <c r="I190" s="5" t="s">
        <v>64</v>
      </c>
      <c r="J190" s="5" t="s">
        <v>65</v>
      </c>
      <c r="K190" s="5" t="s">
        <v>66</v>
      </c>
      <c r="L190" s="2" t="s">
        <v>100</v>
      </c>
      <c r="M190" s="2" t="s">
        <v>304</v>
      </c>
      <c r="N190" s="2" t="s">
        <v>367</v>
      </c>
      <c r="O190" s="2" t="s">
        <v>368</v>
      </c>
      <c r="P190" s="2"/>
      <c r="Q190" s="5" t="n">
        <v>1</v>
      </c>
      <c r="R190" s="2" t="s">
        <v>71</v>
      </c>
      <c r="S190" s="2" t="s">
        <v>1465</v>
      </c>
      <c r="T190" s="2" t="s">
        <v>1466</v>
      </c>
      <c r="U190" s="2" t="s">
        <v>74</v>
      </c>
      <c r="V190" s="5" t="n">
        <v>300</v>
      </c>
      <c r="W190" s="2"/>
      <c r="X190" s="2" t="s">
        <v>371</v>
      </c>
      <c r="Y190" s="5" t="s">
        <v>372</v>
      </c>
      <c r="Z190" s="2" t="s">
        <v>1467</v>
      </c>
      <c r="AA190" s="6" t="s">
        <v>1468</v>
      </c>
    </row>
    <row r="191" customFormat="false" ht="68.65" hidden="false" customHeight="false" outlineLevel="0" collapsed="false">
      <c r="A191" s="5" t="s">
        <v>1469</v>
      </c>
      <c r="B191" s="2" t="s">
        <v>1470</v>
      </c>
      <c r="C191" s="5" t="s">
        <v>488</v>
      </c>
      <c r="D191" s="5" t="s">
        <v>60</v>
      </c>
      <c r="E191" s="2" t="s">
        <v>100</v>
      </c>
      <c r="F191" s="5" t="s">
        <v>62</v>
      </c>
      <c r="G191" s="5" t="n">
        <v>7</v>
      </c>
      <c r="H191" s="5" t="s">
        <v>89</v>
      </c>
      <c r="I191" s="5" t="s">
        <v>64</v>
      </c>
      <c r="J191" s="5" t="s">
        <v>65</v>
      </c>
      <c r="K191" s="5" t="s">
        <v>66</v>
      </c>
      <c r="L191" s="2" t="s">
        <v>100</v>
      </c>
      <c r="M191" s="2" t="s">
        <v>304</v>
      </c>
      <c r="N191" s="2" t="s">
        <v>367</v>
      </c>
      <c r="O191" s="2" t="s">
        <v>368</v>
      </c>
      <c r="P191" s="2"/>
      <c r="Q191" s="5" t="n">
        <v>1</v>
      </c>
      <c r="R191" s="2" t="s">
        <v>71</v>
      </c>
      <c r="S191" s="2" t="s">
        <v>1471</v>
      </c>
      <c r="T191" s="2" t="s">
        <v>1466</v>
      </c>
      <c r="U191" s="2" t="s">
        <v>74</v>
      </c>
      <c r="V191" s="5" t="n">
        <v>300</v>
      </c>
      <c r="W191" s="2"/>
      <c r="X191" s="2" t="s">
        <v>371</v>
      </c>
      <c r="Y191" s="5" t="s">
        <v>372</v>
      </c>
      <c r="Z191" s="2" t="s">
        <v>1472</v>
      </c>
      <c r="AA191" s="6" t="s">
        <v>1473</v>
      </c>
    </row>
    <row r="192" customFormat="false" ht="57.45" hidden="false" customHeight="false" outlineLevel="0" collapsed="false">
      <c r="A192" s="5" t="s">
        <v>1474</v>
      </c>
      <c r="B192" s="2" t="s">
        <v>1475</v>
      </c>
      <c r="C192" s="5" t="s">
        <v>488</v>
      </c>
      <c r="D192" s="5" t="s">
        <v>60</v>
      </c>
      <c r="E192" s="2" t="s">
        <v>100</v>
      </c>
      <c r="F192" s="5" t="s">
        <v>62</v>
      </c>
      <c r="G192" s="5" t="n">
        <v>9</v>
      </c>
      <c r="H192" s="5" t="s">
        <v>63</v>
      </c>
      <c r="I192" s="5" t="s">
        <v>64</v>
      </c>
      <c r="J192" s="5" t="s">
        <v>65</v>
      </c>
      <c r="K192" s="5" t="s">
        <v>66</v>
      </c>
      <c r="L192" s="2" t="s">
        <v>100</v>
      </c>
      <c r="M192" s="2" t="s">
        <v>304</v>
      </c>
      <c r="N192" s="2" t="s">
        <v>367</v>
      </c>
      <c r="O192" s="2" t="s">
        <v>368</v>
      </c>
      <c r="P192" s="2"/>
      <c r="Q192" s="5" t="n">
        <v>1</v>
      </c>
      <c r="R192" s="2" t="s">
        <v>71</v>
      </c>
      <c r="S192" s="2" t="s">
        <v>1476</v>
      </c>
      <c r="T192" s="2" t="s">
        <v>1477</v>
      </c>
      <c r="U192" s="2" t="s">
        <v>74</v>
      </c>
      <c r="V192" s="5" t="n">
        <v>300</v>
      </c>
      <c r="W192" s="2"/>
      <c r="X192" s="2" t="s">
        <v>371</v>
      </c>
      <c r="Y192" s="5" t="s">
        <v>372</v>
      </c>
      <c r="Z192" s="2" t="s">
        <v>1478</v>
      </c>
      <c r="AA192" s="6" t="s">
        <v>1479</v>
      </c>
    </row>
    <row r="193" customFormat="false" ht="68.65" hidden="false" customHeight="false" outlineLevel="0" collapsed="false">
      <c r="A193" s="5" t="s">
        <v>1480</v>
      </c>
      <c r="B193" s="2" t="s">
        <v>1481</v>
      </c>
      <c r="C193" s="5" t="s">
        <v>488</v>
      </c>
      <c r="D193" s="5" t="s">
        <v>60</v>
      </c>
      <c r="E193" s="2" t="s">
        <v>100</v>
      </c>
      <c r="F193" s="5" t="s">
        <v>62</v>
      </c>
      <c r="G193" s="5" t="n">
        <v>7</v>
      </c>
      <c r="H193" s="5" t="s">
        <v>89</v>
      </c>
      <c r="I193" s="5" t="s">
        <v>64</v>
      </c>
      <c r="J193" s="5" t="s">
        <v>65</v>
      </c>
      <c r="K193" s="5" t="s">
        <v>66</v>
      </c>
      <c r="L193" s="2" t="s">
        <v>100</v>
      </c>
      <c r="M193" s="2" t="s">
        <v>304</v>
      </c>
      <c r="N193" s="2" t="s">
        <v>367</v>
      </c>
      <c r="O193" s="2" t="s">
        <v>1160</v>
      </c>
      <c r="P193" s="2"/>
      <c r="Q193" s="5" t="n">
        <v>1</v>
      </c>
      <c r="R193" s="2" t="s">
        <v>71</v>
      </c>
      <c r="S193" s="2" t="s">
        <v>1482</v>
      </c>
      <c r="T193" s="2" t="s">
        <v>1193</v>
      </c>
      <c r="U193" s="2" t="s">
        <v>74</v>
      </c>
      <c r="V193" s="5" t="n">
        <v>300</v>
      </c>
      <c r="W193" s="2"/>
      <c r="X193" s="2" t="s">
        <v>1163</v>
      </c>
      <c r="Y193" s="5"/>
      <c r="Z193" s="2" t="s">
        <v>1483</v>
      </c>
      <c r="AA193" s="6" t="s">
        <v>1484</v>
      </c>
    </row>
    <row r="194" customFormat="false" ht="91" hidden="false" customHeight="false" outlineLevel="0" collapsed="false">
      <c r="A194" s="5" t="s">
        <v>1485</v>
      </c>
      <c r="B194" s="2" t="s">
        <v>1486</v>
      </c>
      <c r="C194" s="5" t="s">
        <v>488</v>
      </c>
      <c r="D194" s="5" t="s">
        <v>60</v>
      </c>
      <c r="E194" s="2" t="s">
        <v>100</v>
      </c>
      <c r="F194" s="5" t="s">
        <v>62</v>
      </c>
      <c r="G194" s="5" t="n">
        <v>7</v>
      </c>
      <c r="H194" s="5" t="s">
        <v>89</v>
      </c>
      <c r="I194" s="5" t="s">
        <v>64</v>
      </c>
      <c r="J194" s="5" t="s">
        <v>65</v>
      </c>
      <c r="K194" s="5" t="s">
        <v>66</v>
      </c>
      <c r="L194" s="2" t="s">
        <v>100</v>
      </c>
      <c r="M194" s="2" t="s">
        <v>304</v>
      </c>
      <c r="N194" s="2" t="s">
        <v>367</v>
      </c>
      <c r="O194" s="2" t="s">
        <v>1160</v>
      </c>
      <c r="P194" s="2"/>
      <c r="Q194" s="5" t="n">
        <v>1</v>
      </c>
      <c r="R194" s="2" t="s">
        <v>71</v>
      </c>
      <c r="S194" s="2" t="s">
        <v>1487</v>
      </c>
      <c r="T194" s="2" t="s">
        <v>1193</v>
      </c>
      <c r="U194" s="2" t="s">
        <v>74</v>
      </c>
      <c r="V194" s="5" t="n">
        <v>300</v>
      </c>
      <c r="W194" s="2"/>
      <c r="X194" s="2" t="s">
        <v>1163</v>
      </c>
      <c r="Y194" s="5"/>
      <c r="Z194" s="2" t="s">
        <v>1488</v>
      </c>
      <c r="AA194" s="6" t="s">
        <v>1489</v>
      </c>
    </row>
    <row r="195" customFormat="false" ht="102.2" hidden="false" customHeight="false" outlineLevel="0" collapsed="false">
      <c r="A195" s="5" t="s">
        <v>1490</v>
      </c>
      <c r="B195" s="2" t="s">
        <v>1491</v>
      </c>
      <c r="C195" s="5" t="s">
        <v>488</v>
      </c>
      <c r="D195" s="5" t="s">
        <v>60</v>
      </c>
      <c r="E195" s="2" t="s">
        <v>100</v>
      </c>
      <c r="F195" s="5" t="s">
        <v>62</v>
      </c>
      <c r="G195" s="5" t="n">
        <v>7</v>
      </c>
      <c r="H195" s="5" t="s">
        <v>89</v>
      </c>
      <c r="I195" s="5" t="s">
        <v>64</v>
      </c>
      <c r="J195" s="5" t="s">
        <v>65</v>
      </c>
      <c r="K195" s="5" t="s">
        <v>66</v>
      </c>
      <c r="L195" s="2" t="s">
        <v>100</v>
      </c>
      <c r="M195" s="2" t="s">
        <v>1316</v>
      </c>
      <c r="N195" s="2" t="s">
        <v>367</v>
      </c>
      <c r="O195" s="2" t="s">
        <v>1105</v>
      </c>
      <c r="P195" s="2"/>
      <c r="Q195" s="5" t="n">
        <v>1</v>
      </c>
      <c r="R195" s="2" t="s">
        <v>71</v>
      </c>
      <c r="S195" s="2" t="s">
        <v>1492</v>
      </c>
      <c r="T195" s="2" t="s">
        <v>1176</v>
      </c>
      <c r="U195" s="2" t="s">
        <v>74</v>
      </c>
      <c r="V195" s="5" t="n">
        <v>300</v>
      </c>
      <c r="W195" s="2"/>
      <c r="X195" s="2" t="s">
        <v>1108</v>
      </c>
      <c r="Y195" s="5" t="s">
        <v>309</v>
      </c>
      <c r="Z195" s="2" t="s">
        <v>1493</v>
      </c>
      <c r="AA195" s="6" t="s">
        <v>1494</v>
      </c>
    </row>
    <row r="196" customFormat="false" ht="57.45" hidden="false" customHeight="false" outlineLevel="0" collapsed="false">
      <c r="A196" s="5" t="s">
        <v>1495</v>
      </c>
      <c r="B196" s="2" t="s">
        <v>1496</v>
      </c>
      <c r="C196" s="5" t="s">
        <v>488</v>
      </c>
      <c r="D196" s="5" t="s">
        <v>60</v>
      </c>
      <c r="E196" s="2"/>
      <c r="F196" s="5" t="s">
        <v>62</v>
      </c>
      <c r="G196" s="5" t="n">
        <v>7</v>
      </c>
      <c r="H196" s="5" t="s">
        <v>89</v>
      </c>
      <c r="I196" s="5" t="s">
        <v>64</v>
      </c>
      <c r="J196" s="5" t="s">
        <v>65</v>
      </c>
      <c r="K196" s="5" t="s">
        <v>66</v>
      </c>
      <c r="L196" s="2" t="s">
        <v>90</v>
      </c>
      <c r="M196" s="2"/>
      <c r="N196" s="2" t="s">
        <v>367</v>
      </c>
      <c r="O196" s="2" t="s">
        <v>1105</v>
      </c>
      <c r="P196" s="2"/>
      <c r="Q196" s="5" t="n">
        <v>1</v>
      </c>
      <c r="R196" s="2" t="s">
        <v>71</v>
      </c>
      <c r="S196" s="2" t="s">
        <v>1497</v>
      </c>
      <c r="T196" s="2" t="s">
        <v>1176</v>
      </c>
      <c r="U196" s="2" t="s">
        <v>74</v>
      </c>
      <c r="V196" s="5" t="n">
        <v>300</v>
      </c>
      <c r="W196" s="2"/>
      <c r="X196" s="2" t="s">
        <v>1108</v>
      </c>
      <c r="Y196" s="5" t="s">
        <v>309</v>
      </c>
      <c r="Z196" s="2" t="s">
        <v>1498</v>
      </c>
      <c r="AA196" s="6" t="s">
        <v>1499</v>
      </c>
    </row>
    <row r="197" customFormat="false" ht="102.2" hidden="false" customHeight="false" outlineLevel="0" collapsed="false">
      <c r="A197" s="5" t="s">
        <v>1500</v>
      </c>
      <c r="B197" s="2" t="s">
        <v>1501</v>
      </c>
      <c r="C197" s="5" t="s">
        <v>488</v>
      </c>
      <c r="D197" s="5" t="s">
        <v>60</v>
      </c>
      <c r="E197" s="2" t="s">
        <v>449</v>
      </c>
      <c r="F197" s="5" t="s">
        <v>62</v>
      </c>
      <c r="G197" s="5" t="n">
        <v>7</v>
      </c>
      <c r="H197" s="5" t="s">
        <v>89</v>
      </c>
      <c r="I197" s="5" t="s">
        <v>64</v>
      </c>
      <c r="J197" s="5" t="s">
        <v>65</v>
      </c>
      <c r="K197" s="5" t="s">
        <v>66</v>
      </c>
      <c r="L197" s="2" t="s">
        <v>100</v>
      </c>
      <c r="M197" s="2" t="s">
        <v>1113</v>
      </c>
      <c r="N197" s="2" t="s">
        <v>184</v>
      </c>
      <c r="O197" s="2" t="s">
        <v>1114</v>
      </c>
      <c r="P197" s="2"/>
      <c r="Q197" s="5" t="n">
        <v>1</v>
      </c>
      <c r="R197" s="2" t="s">
        <v>71</v>
      </c>
      <c r="S197" s="2" t="s">
        <v>1502</v>
      </c>
      <c r="T197" s="2" t="s">
        <v>1503</v>
      </c>
      <c r="U197" s="2" t="s">
        <v>74</v>
      </c>
      <c r="V197" s="5" t="n">
        <v>300</v>
      </c>
      <c r="W197" s="2"/>
      <c r="X197" s="2" t="s">
        <v>1117</v>
      </c>
      <c r="Y197" s="5" t="s">
        <v>1118</v>
      </c>
      <c r="Z197" s="2" t="s">
        <v>1504</v>
      </c>
      <c r="AA197" s="6" t="s">
        <v>1505</v>
      </c>
    </row>
    <row r="198" customFormat="false" ht="79.85" hidden="false" customHeight="false" outlineLevel="0" collapsed="false">
      <c r="A198" s="5" t="s">
        <v>1506</v>
      </c>
      <c r="B198" s="2" t="s">
        <v>1507</v>
      </c>
      <c r="C198" s="5" t="s">
        <v>488</v>
      </c>
      <c r="D198" s="5" t="s">
        <v>60</v>
      </c>
      <c r="E198" s="2"/>
      <c r="F198" s="5" t="s">
        <v>62</v>
      </c>
      <c r="G198" s="5" t="n">
        <v>9</v>
      </c>
      <c r="H198" s="5" t="s">
        <v>63</v>
      </c>
      <c r="I198" s="5" t="s">
        <v>64</v>
      </c>
      <c r="J198" s="5" t="s">
        <v>65</v>
      </c>
      <c r="K198" s="5" t="s">
        <v>66</v>
      </c>
      <c r="L198" s="2" t="s">
        <v>90</v>
      </c>
      <c r="M198" s="2"/>
      <c r="N198" s="2" t="s">
        <v>367</v>
      </c>
      <c r="O198" s="2" t="s">
        <v>1160</v>
      </c>
      <c r="P198" s="2"/>
      <c r="Q198" s="5" t="n">
        <v>1</v>
      </c>
      <c r="R198" s="2" t="s">
        <v>71</v>
      </c>
      <c r="S198" s="2" t="s">
        <v>1508</v>
      </c>
      <c r="T198" s="2" t="s">
        <v>1193</v>
      </c>
      <c r="U198" s="2" t="s">
        <v>74</v>
      </c>
      <c r="V198" s="5" t="n">
        <v>300</v>
      </c>
      <c r="W198" s="2"/>
      <c r="X198" s="2" t="s">
        <v>1163</v>
      </c>
      <c r="Y198" s="5"/>
      <c r="Z198" s="2" t="s">
        <v>1509</v>
      </c>
      <c r="AA198" s="6" t="s">
        <v>1510</v>
      </c>
    </row>
    <row r="199" customFormat="false" ht="57.45" hidden="false" customHeight="false" outlineLevel="0" collapsed="false">
      <c r="A199" s="5" t="s">
        <v>1511</v>
      </c>
      <c r="B199" s="2" t="s">
        <v>1512</v>
      </c>
      <c r="C199" s="5" t="s">
        <v>488</v>
      </c>
      <c r="D199" s="5" t="s">
        <v>60</v>
      </c>
      <c r="E199" s="2" t="s">
        <v>161</v>
      </c>
      <c r="F199" s="5" t="s">
        <v>62</v>
      </c>
      <c r="G199" s="5" t="n">
        <v>7</v>
      </c>
      <c r="H199" s="5" t="s">
        <v>89</v>
      </c>
      <c r="I199" s="5" t="s">
        <v>64</v>
      </c>
      <c r="J199" s="5" t="s">
        <v>65</v>
      </c>
      <c r="K199" s="5" t="s">
        <v>66</v>
      </c>
      <c r="L199" s="2" t="s">
        <v>90</v>
      </c>
      <c r="M199" s="2"/>
      <c r="N199" s="2" t="s">
        <v>1513</v>
      </c>
      <c r="O199" s="2" t="s">
        <v>1514</v>
      </c>
      <c r="P199" s="2"/>
      <c r="Q199" s="5" t="n">
        <v>1</v>
      </c>
      <c r="R199" s="2" t="s">
        <v>71</v>
      </c>
      <c r="S199" s="2" t="s">
        <v>1515</v>
      </c>
      <c r="T199" s="2" t="s">
        <v>1257</v>
      </c>
      <c r="U199" s="2" t="s">
        <v>74</v>
      </c>
      <c r="V199" s="5" t="n">
        <v>300</v>
      </c>
      <c r="W199" s="2"/>
      <c r="X199" s="2" t="s">
        <v>1516</v>
      </c>
      <c r="Y199" s="5"/>
      <c r="Z199" s="2" t="s">
        <v>1517</v>
      </c>
      <c r="AA199" s="6" t="s">
        <v>1518</v>
      </c>
    </row>
    <row r="200" customFormat="false" ht="57.45" hidden="false" customHeight="false" outlineLevel="0" collapsed="false">
      <c r="A200" s="5" t="s">
        <v>1519</v>
      </c>
      <c r="B200" s="2" t="s">
        <v>1520</v>
      </c>
      <c r="C200" s="5" t="s">
        <v>488</v>
      </c>
      <c r="D200" s="5" t="s">
        <v>60</v>
      </c>
      <c r="E200" s="2" t="s">
        <v>100</v>
      </c>
      <c r="F200" s="5" t="s">
        <v>62</v>
      </c>
      <c r="G200" s="5" t="n">
        <v>5</v>
      </c>
      <c r="H200" s="5" t="s">
        <v>89</v>
      </c>
      <c r="I200" s="5" t="s">
        <v>64</v>
      </c>
      <c r="J200" s="5" t="s">
        <v>65</v>
      </c>
      <c r="K200" s="5" t="s">
        <v>66</v>
      </c>
      <c r="L200" s="2" t="s">
        <v>100</v>
      </c>
      <c r="M200" s="2" t="s">
        <v>1191</v>
      </c>
      <c r="N200" s="2" t="s">
        <v>367</v>
      </c>
      <c r="O200" s="2" t="s">
        <v>1105</v>
      </c>
      <c r="P200" s="2"/>
      <c r="Q200" s="5" t="n">
        <v>1</v>
      </c>
      <c r="R200" s="2" t="s">
        <v>71</v>
      </c>
      <c r="S200" s="2" t="s">
        <v>1521</v>
      </c>
      <c r="T200" s="2" t="s">
        <v>1176</v>
      </c>
      <c r="U200" s="2" t="s">
        <v>74</v>
      </c>
      <c r="V200" s="5" t="n">
        <v>300</v>
      </c>
      <c r="W200" s="2"/>
      <c r="X200" s="2" t="s">
        <v>1108</v>
      </c>
      <c r="Y200" s="5" t="s">
        <v>309</v>
      </c>
      <c r="Z200" s="2" t="s">
        <v>1522</v>
      </c>
      <c r="AA200" s="6" t="s">
        <v>1523</v>
      </c>
    </row>
    <row r="201" customFormat="false" ht="68.65" hidden="false" customHeight="false" outlineLevel="0" collapsed="false">
      <c r="A201" s="5" t="s">
        <v>1524</v>
      </c>
      <c r="B201" s="2" t="s">
        <v>1525</v>
      </c>
      <c r="C201" s="5" t="s">
        <v>488</v>
      </c>
      <c r="D201" s="5" t="s">
        <v>60</v>
      </c>
      <c r="E201" s="2" t="s">
        <v>100</v>
      </c>
      <c r="F201" s="5" t="s">
        <v>62</v>
      </c>
      <c r="G201" s="5" t="n">
        <v>5</v>
      </c>
      <c r="H201" s="5" t="s">
        <v>89</v>
      </c>
      <c r="I201" s="5" t="s">
        <v>64</v>
      </c>
      <c r="J201" s="5" t="s">
        <v>65</v>
      </c>
      <c r="K201" s="5" t="s">
        <v>66</v>
      </c>
      <c r="L201" s="2" t="s">
        <v>100</v>
      </c>
      <c r="M201" s="2" t="s">
        <v>1409</v>
      </c>
      <c r="N201" s="2" t="s">
        <v>367</v>
      </c>
      <c r="O201" s="2" t="s">
        <v>1105</v>
      </c>
      <c r="P201" s="2"/>
      <c r="Q201" s="5" t="n">
        <v>1</v>
      </c>
      <c r="R201" s="2" t="s">
        <v>71</v>
      </c>
      <c r="S201" s="2" t="s">
        <v>1526</v>
      </c>
      <c r="T201" s="2" t="s">
        <v>1176</v>
      </c>
      <c r="U201" s="2" t="s">
        <v>74</v>
      </c>
      <c r="V201" s="5" t="n">
        <v>300</v>
      </c>
      <c r="W201" s="2"/>
      <c r="X201" s="2" t="s">
        <v>1108</v>
      </c>
      <c r="Y201" s="5" t="s">
        <v>309</v>
      </c>
      <c r="Z201" s="2" t="s">
        <v>1527</v>
      </c>
      <c r="AA201" s="6" t="s">
        <v>1528</v>
      </c>
    </row>
    <row r="202" customFormat="false" ht="57.45" hidden="false" customHeight="false" outlineLevel="0" collapsed="false">
      <c r="A202" s="5" t="s">
        <v>1529</v>
      </c>
      <c r="B202" s="2" t="s">
        <v>1530</v>
      </c>
      <c r="C202" s="5" t="s">
        <v>488</v>
      </c>
      <c r="D202" s="5" t="s">
        <v>60</v>
      </c>
      <c r="E202" s="2" t="s">
        <v>1531</v>
      </c>
      <c r="F202" s="5" t="s">
        <v>62</v>
      </c>
      <c r="G202" s="5" t="n">
        <v>7</v>
      </c>
      <c r="H202" s="5" t="s">
        <v>89</v>
      </c>
      <c r="I202" s="5" t="s">
        <v>64</v>
      </c>
      <c r="J202" s="5" t="s">
        <v>65</v>
      </c>
      <c r="K202" s="5" t="s">
        <v>66</v>
      </c>
      <c r="L202" s="2" t="s">
        <v>67</v>
      </c>
      <c r="M202" s="2" t="s">
        <v>1532</v>
      </c>
      <c r="N202" s="2" t="s">
        <v>184</v>
      </c>
      <c r="O202" s="2" t="s">
        <v>1533</v>
      </c>
      <c r="P202" s="2"/>
      <c r="Q202" s="5" t="n">
        <v>1</v>
      </c>
      <c r="R202" s="2" t="s">
        <v>71</v>
      </c>
      <c r="S202" s="2" t="s">
        <v>1534</v>
      </c>
      <c r="T202" s="2" t="s">
        <v>1535</v>
      </c>
      <c r="U202" s="2" t="s">
        <v>74</v>
      </c>
      <c r="V202" s="5" t="n">
        <v>300</v>
      </c>
      <c r="W202" s="2"/>
      <c r="X202" s="2" t="s">
        <v>1536</v>
      </c>
      <c r="Y202" s="5" t="s">
        <v>1537</v>
      </c>
      <c r="Z202" s="2" t="s">
        <v>1538</v>
      </c>
      <c r="AA202" s="6" t="s">
        <v>1539</v>
      </c>
    </row>
    <row r="203" customFormat="false" ht="46.25" hidden="false" customHeight="false" outlineLevel="0" collapsed="false">
      <c r="A203" s="5" t="s">
        <v>1540</v>
      </c>
      <c r="B203" s="2" t="s">
        <v>1541</v>
      </c>
      <c r="C203" s="5" t="s">
        <v>488</v>
      </c>
      <c r="D203" s="5" t="s">
        <v>60</v>
      </c>
      <c r="E203" s="2"/>
      <c r="F203" s="5" t="s">
        <v>62</v>
      </c>
      <c r="G203" s="5" t="n">
        <v>7</v>
      </c>
      <c r="H203" s="5" t="s">
        <v>89</v>
      </c>
      <c r="I203" s="5" t="s">
        <v>64</v>
      </c>
      <c r="J203" s="5" t="s">
        <v>65</v>
      </c>
      <c r="K203" s="5" t="s">
        <v>66</v>
      </c>
      <c r="L203" s="2" t="s">
        <v>90</v>
      </c>
      <c r="M203" s="2"/>
      <c r="N203" s="2" t="s">
        <v>367</v>
      </c>
      <c r="O203" s="2" t="s">
        <v>1160</v>
      </c>
      <c r="P203" s="2"/>
      <c r="Q203" s="5" t="n">
        <v>1</v>
      </c>
      <c r="R203" s="2" t="s">
        <v>71</v>
      </c>
      <c r="S203" s="2" t="s">
        <v>1542</v>
      </c>
      <c r="T203" s="2" t="s">
        <v>1193</v>
      </c>
      <c r="U203" s="2" t="s">
        <v>74</v>
      </c>
      <c r="V203" s="5" t="n">
        <v>300</v>
      </c>
      <c r="W203" s="2"/>
      <c r="X203" s="2" t="s">
        <v>1163</v>
      </c>
      <c r="Y203" s="5"/>
      <c r="Z203" s="2" t="s">
        <v>1543</v>
      </c>
      <c r="AA203" s="6" t="s">
        <v>1544</v>
      </c>
    </row>
    <row r="204" customFormat="false" ht="68.65" hidden="false" customHeight="false" outlineLevel="0" collapsed="false">
      <c r="A204" s="5" t="s">
        <v>1545</v>
      </c>
      <c r="B204" s="2" t="s">
        <v>1546</v>
      </c>
      <c r="C204" s="5" t="s">
        <v>488</v>
      </c>
      <c r="D204" s="5" t="s">
        <v>60</v>
      </c>
      <c r="E204" s="2" t="s">
        <v>1104</v>
      </c>
      <c r="F204" s="5" t="s">
        <v>62</v>
      </c>
      <c r="G204" s="5" t="n">
        <v>3</v>
      </c>
      <c r="H204" s="5" t="s">
        <v>817</v>
      </c>
      <c r="I204" s="5" t="s">
        <v>64</v>
      </c>
      <c r="J204" s="5" t="s">
        <v>65</v>
      </c>
      <c r="K204" s="5" t="s">
        <v>66</v>
      </c>
      <c r="L204" s="2" t="s">
        <v>100</v>
      </c>
      <c r="M204" s="2" t="s">
        <v>450</v>
      </c>
      <c r="N204" s="2" t="s">
        <v>367</v>
      </c>
      <c r="O204" s="2" t="s">
        <v>1160</v>
      </c>
      <c r="P204" s="2"/>
      <c r="Q204" s="5" t="n">
        <v>1</v>
      </c>
      <c r="R204" s="2" t="s">
        <v>71</v>
      </c>
      <c r="S204" s="2" t="s">
        <v>1547</v>
      </c>
      <c r="T204" s="2" t="s">
        <v>1193</v>
      </c>
      <c r="U204" s="2" t="s">
        <v>74</v>
      </c>
      <c r="V204" s="5" t="n">
        <v>300</v>
      </c>
      <c r="W204" s="2"/>
      <c r="X204" s="2" t="s">
        <v>1163</v>
      </c>
      <c r="Y204" s="5"/>
      <c r="Z204" s="2" t="s">
        <v>1548</v>
      </c>
      <c r="AA204" s="6" t="s">
        <v>1549</v>
      </c>
    </row>
    <row r="205" customFormat="false" ht="68.65" hidden="false" customHeight="false" outlineLevel="0" collapsed="false">
      <c r="A205" s="5" t="s">
        <v>1550</v>
      </c>
      <c r="B205" s="2" t="s">
        <v>1551</v>
      </c>
      <c r="C205" s="5" t="s">
        <v>488</v>
      </c>
      <c r="D205" s="5" t="s">
        <v>60</v>
      </c>
      <c r="E205" s="2" t="s">
        <v>1104</v>
      </c>
      <c r="F205" s="5" t="s">
        <v>62</v>
      </c>
      <c r="G205" s="5" t="n">
        <v>7</v>
      </c>
      <c r="H205" s="5" t="s">
        <v>89</v>
      </c>
      <c r="I205" s="5" t="s">
        <v>64</v>
      </c>
      <c r="J205" s="5" t="s">
        <v>65</v>
      </c>
      <c r="K205" s="5" t="s">
        <v>66</v>
      </c>
      <c r="L205" s="2" t="s">
        <v>100</v>
      </c>
      <c r="M205" s="2" t="s">
        <v>450</v>
      </c>
      <c r="N205" s="2" t="s">
        <v>367</v>
      </c>
      <c r="O205" s="2" t="s">
        <v>1160</v>
      </c>
      <c r="P205" s="2"/>
      <c r="Q205" s="5" t="n">
        <v>1</v>
      </c>
      <c r="R205" s="2" t="s">
        <v>71</v>
      </c>
      <c r="S205" s="2" t="s">
        <v>1552</v>
      </c>
      <c r="T205" s="2" t="s">
        <v>1553</v>
      </c>
      <c r="U205" s="2" t="s">
        <v>74</v>
      </c>
      <c r="V205" s="5" t="n">
        <v>300</v>
      </c>
      <c r="W205" s="2"/>
      <c r="X205" s="2" t="s">
        <v>1163</v>
      </c>
      <c r="Y205" s="5"/>
      <c r="Z205" s="2" t="s">
        <v>1554</v>
      </c>
      <c r="AA205" s="6" t="s">
        <v>1555</v>
      </c>
    </row>
    <row r="206" customFormat="false" ht="68.65" hidden="false" customHeight="false" outlineLevel="0" collapsed="false">
      <c r="A206" s="5" t="s">
        <v>1556</v>
      </c>
      <c r="B206" s="2" t="s">
        <v>1557</v>
      </c>
      <c r="C206" s="5" t="s">
        <v>488</v>
      </c>
      <c r="D206" s="5" t="s">
        <v>60</v>
      </c>
      <c r="E206" s="2" t="s">
        <v>1104</v>
      </c>
      <c r="F206" s="5" t="s">
        <v>62</v>
      </c>
      <c r="G206" s="5" t="n">
        <v>7</v>
      </c>
      <c r="H206" s="5" t="s">
        <v>89</v>
      </c>
      <c r="I206" s="5" t="s">
        <v>64</v>
      </c>
      <c r="J206" s="5" t="s">
        <v>65</v>
      </c>
      <c r="K206" s="5" t="s">
        <v>66</v>
      </c>
      <c r="L206" s="2" t="s">
        <v>100</v>
      </c>
      <c r="M206" s="2" t="s">
        <v>450</v>
      </c>
      <c r="N206" s="2" t="s">
        <v>367</v>
      </c>
      <c r="O206" s="2" t="s">
        <v>1160</v>
      </c>
      <c r="P206" s="2"/>
      <c r="Q206" s="5" t="n">
        <v>1</v>
      </c>
      <c r="R206" s="2" t="s">
        <v>71</v>
      </c>
      <c r="S206" s="2" t="s">
        <v>1558</v>
      </c>
      <c r="T206" s="2" t="s">
        <v>1162</v>
      </c>
      <c r="U206" s="2" t="s">
        <v>74</v>
      </c>
      <c r="V206" s="5" t="n">
        <v>300</v>
      </c>
      <c r="W206" s="2"/>
      <c r="X206" s="2" t="s">
        <v>1163</v>
      </c>
      <c r="Y206" s="5"/>
      <c r="Z206" s="2" t="s">
        <v>1559</v>
      </c>
      <c r="AA206" s="6" t="s">
        <v>1560</v>
      </c>
    </row>
    <row r="207" customFormat="false" ht="46.25" hidden="false" customHeight="false" outlineLevel="0" collapsed="false">
      <c r="A207" s="5" t="s">
        <v>1561</v>
      </c>
      <c r="B207" s="2" t="s">
        <v>1562</v>
      </c>
      <c r="C207" s="5" t="s">
        <v>488</v>
      </c>
      <c r="D207" s="5" t="s">
        <v>60</v>
      </c>
      <c r="E207" s="2" t="s">
        <v>751</v>
      </c>
      <c r="F207" s="5" t="s">
        <v>62</v>
      </c>
      <c r="G207" s="5" t="n">
        <v>5</v>
      </c>
      <c r="H207" s="5" t="s">
        <v>89</v>
      </c>
      <c r="I207" s="5" t="s">
        <v>64</v>
      </c>
      <c r="J207" s="5" t="s">
        <v>65</v>
      </c>
      <c r="K207" s="5" t="s">
        <v>66</v>
      </c>
      <c r="L207" s="2" t="s">
        <v>90</v>
      </c>
      <c r="M207" s="2"/>
      <c r="N207" s="2" t="s">
        <v>1254</v>
      </c>
      <c r="O207" s="2" t="s">
        <v>1563</v>
      </c>
      <c r="P207" s="2"/>
      <c r="Q207" s="5" t="n">
        <v>1</v>
      </c>
      <c r="R207" s="2" t="s">
        <v>71</v>
      </c>
      <c r="S207" s="2" t="s">
        <v>1564</v>
      </c>
      <c r="T207" s="2" t="s">
        <v>1257</v>
      </c>
      <c r="U207" s="2" t="s">
        <v>74</v>
      </c>
      <c r="V207" s="5" t="n">
        <v>300</v>
      </c>
      <c r="W207" s="2"/>
      <c r="X207" s="2" t="s">
        <v>1258</v>
      </c>
      <c r="Y207" s="5"/>
      <c r="Z207" s="2" t="s">
        <v>1565</v>
      </c>
      <c r="AA207" s="6" t="s">
        <v>1566</v>
      </c>
    </row>
    <row r="208" customFormat="false" ht="57.45" hidden="false" customHeight="false" outlineLevel="0" collapsed="false">
      <c r="A208" s="5" t="s">
        <v>1567</v>
      </c>
      <c r="B208" s="2" t="s">
        <v>1568</v>
      </c>
      <c r="C208" s="5" t="s">
        <v>488</v>
      </c>
      <c r="D208" s="5" t="s">
        <v>60</v>
      </c>
      <c r="E208" s="2" t="s">
        <v>182</v>
      </c>
      <c r="F208" s="5" t="s">
        <v>62</v>
      </c>
      <c r="G208" s="5" t="n">
        <v>7</v>
      </c>
      <c r="H208" s="5" t="s">
        <v>89</v>
      </c>
      <c r="I208" s="5" t="s">
        <v>64</v>
      </c>
      <c r="J208" s="5" t="s">
        <v>65</v>
      </c>
      <c r="K208" s="5" t="s">
        <v>66</v>
      </c>
      <c r="L208" s="2" t="s">
        <v>90</v>
      </c>
      <c r="M208" s="2" t="s">
        <v>123</v>
      </c>
      <c r="N208" s="2" t="s">
        <v>184</v>
      </c>
      <c r="O208" s="2" t="s">
        <v>1569</v>
      </c>
      <c r="P208" s="2"/>
      <c r="Q208" s="5" t="n">
        <v>1</v>
      </c>
      <c r="R208" s="2" t="s">
        <v>71</v>
      </c>
      <c r="S208" s="2" t="s">
        <v>83</v>
      </c>
      <c r="T208" s="2" t="s">
        <v>1098</v>
      </c>
      <c r="U208" s="2" t="s">
        <v>74</v>
      </c>
      <c r="V208" s="5" t="n">
        <v>300</v>
      </c>
      <c r="W208" s="2"/>
      <c r="X208" s="2" t="s">
        <v>1570</v>
      </c>
      <c r="Y208" s="5"/>
      <c r="Z208" s="2" t="s">
        <v>1571</v>
      </c>
      <c r="AA208" s="6" t="s">
        <v>1572</v>
      </c>
    </row>
    <row r="209" customFormat="false" ht="57.45" hidden="false" customHeight="false" outlineLevel="0" collapsed="false">
      <c r="A209" s="5" t="s">
        <v>1573</v>
      </c>
      <c r="B209" s="2" t="s">
        <v>1574</v>
      </c>
      <c r="C209" s="5" t="s">
        <v>488</v>
      </c>
      <c r="D209" s="5" t="s">
        <v>60</v>
      </c>
      <c r="E209" s="2" t="s">
        <v>100</v>
      </c>
      <c r="F209" s="5" t="s">
        <v>62</v>
      </c>
      <c r="G209" s="5" t="n">
        <v>7</v>
      </c>
      <c r="H209" s="5" t="s">
        <v>89</v>
      </c>
      <c r="I209" s="5" t="s">
        <v>64</v>
      </c>
      <c r="J209" s="5" t="s">
        <v>65</v>
      </c>
      <c r="K209" s="5" t="s">
        <v>66</v>
      </c>
      <c r="L209" s="2" t="s">
        <v>100</v>
      </c>
      <c r="M209" s="2" t="s">
        <v>1575</v>
      </c>
      <c r="N209" s="2" t="s">
        <v>367</v>
      </c>
      <c r="O209" s="2" t="s">
        <v>1105</v>
      </c>
      <c r="P209" s="2"/>
      <c r="Q209" s="5" t="n">
        <v>1</v>
      </c>
      <c r="R209" s="2" t="s">
        <v>71</v>
      </c>
      <c r="S209" s="2" t="s">
        <v>1576</v>
      </c>
      <c r="T209" s="2" t="s">
        <v>1269</v>
      </c>
      <c r="U209" s="2" t="s">
        <v>74</v>
      </c>
      <c r="V209" s="5" t="n">
        <v>300</v>
      </c>
      <c r="W209" s="2"/>
      <c r="X209" s="2" t="s">
        <v>1108</v>
      </c>
      <c r="Y209" s="5" t="s">
        <v>309</v>
      </c>
      <c r="Z209" s="2" t="s">
        <v>1577</v>
      </c>
      <c r="AA209" s="6" t="s">
        <v>1578</v>
      </c>
    </row>
    <row r="210" customFormat="false" ht="68.65" hidden="false" customHeight="false" outlineLevel="0" collapsed="false">
      <c r="A210" s="5" t="s">
        <v>1579</v>
      </c>
      <c r="B210" s="2" t="s">
        <v>1580</v>
      </c>
      <c r="C210" s="5" t="s">
        <v>488</v>
      </c>
      <c r="D210" s="5" t="s">
        <v>60</v>
      </c>
      <c r="E210" s="2" t="s">
        <v>303</v>
      </c>
      <c r="F210" s="5" t="s">
        <v>62</v>
      </c>
      <c r="G210" s="5" t="n">
        <v>7</v>
      </c>
      <c r="H210" s="5" t="s">
        <v>89</v>
      </c>
      <c r="I210" s="5" t="s">
        <v>64</v>
      </c>
      <c r="J210" s="5" t="s">
        <v>65</v>
      </c>
      <c r="K210" s="5" t="s">
        <v>66</v>
      </c>
      <c r="L210" s="2" t="s">
        <v>100</v>
      </c>
      <c r="M210" s="2" t="s">
        <v>304</v>
      </c>
      <c r="N210" s="2" t="s">
        <v>184</v>
      </c>
      <c r="O210" s="2" t="s">
        <v>1581</v>
      </c>
      <c r="P210" s="2"/>
      <c r="Q210" s="5" t="n">
        <v>1</v>
      </c>
      <c r="R210" s="2" t="s">
        <v>71</v>
      </c>
      <c r="S210" s="2" t="s">
        <v>1582</v>
      </c>
      <c r="T210" s="2" t="s">
        <v>1583</v>
      </c>
      <c r="U210" s="2" t="s">
        <v>74</v>
      </c>
      <c r="V210" s="5" t="n">
        <v>300</v>
      </c>
      <c r="W210" s="2"/>
      <c r="X210" s="2" t="s">
        <v>1584</v>
      </c>
      <c r="Y210" s="5"/>
      <c r="Z210" s="2" t="s">
        <v>1585</v>
      </c>
      <c r="AA210" s="6" t="s">
        <v>1586</v>
      </c>
    </row>
    <row r="211" customFormat="false" ht="68.65" hidden="false" customHeight="false" outlineLevel="0" collapsed="false">
      <c r="A211" s="5" t="s">
        <v>1587</v>
      </c>
      <c r="B211" s="2" t="s">
        <v>1588</v>
      </c>
      <c r="C211" s="5" t="s">
        <v>488</v>
      </c>
      <c r="D211" s="5" t="s">
        <v>60</v>
      </c>
      <c r="E211" s="2" t="s">
        <v>100</v>
      </c>
      <c r="F211" s="5" t="s">
        <v>62</v>
      </c>
      <c r="G211" s="5" t="n">
        <v>5</v>
      </c>
      <c r="H211" s="5" t="s">
        <v>89</v>
      </c>
      <c r="I211" s="5" t="s">
        <v>64</v>
      </c>
      <c r="J211" s="5" t="s">
        <v>65</v>
      </c>
      <c r="K211" s="5" t="s">
        <v>66</v>
      </c>
      <c r="L211" s="2" t="s">
        <v>100</v>
      </c>
      <c r="M211" s="2" t="s">
        <v>1316</v>
      </c>
      <c r="N211" s="2" t="s">
        <v>367</v>
      </c>
      <c r="O211" s="2" t="s">
        <v>1105</v>
      </c>
      <c r="P211" s="2"/>
      <c r="Q211" s="5" t="n">
        <v>1</v>
      </c>
      <c r="R211" s="2" t="s">
        <v>71</v>
      </c>
      <c r="S211" s="2" t="s">
        <v>1589</v>
      </c>
      <c r="T211" s="2" t="s">
        <v>1176</v>
      </c>
      <c r="U211" s="2" t="s">
        <v>74</v>
      </c>
      <c r="V211" s="5" t="n">
        <v>300</v>
      </c>
      <c r="W211" s="2"/>
      <c r="X211" s="2" t="s">
        <v>1108</v>
      </c>
      <c r="Y211" s="5" t="s">
        <v>309</v>
      </c>
      <c r="Z211" s="2" t="s">
        <v>1590</v>
      </c>
      <c r="AA211" s="6" t="s">
        <v>1591</v>
      </c>
    </row>
    <row r="212" customFormat="false" ht="124.6" hidden="false" customHeight="false" outlineLevel="0" collapsed="false">
      <c r="A212" s="5" t="s">
        <v>1592</v>
      </c>
      <c r="B212" s="2" t="s">
        <v>1593</v>
      </c>
      <c r="C212" s="5" t="s">
        <v>488</v>
      </c>
      <c r="D212" s="5" t="s">
        <v>60</v>
      </c>
      <c r="E212" s="2" t="s">
        <v>339</v>
      </c>
      <c r="F212" s="5" t="s">
        <v>62</v>
      </c>
      <c r="G212" s="5" t="n">
        <v>7</v>
      </c>
      <c r="H212" s="5" t="s">
        <v>89</v>
      </c>
      <c r="I212" s="5" t="s">
        <v>64</v>
      </c>
      <c r="J212" s="5" t="s">
        <v>65</v>
      </c>
      <c r="K212" s="5" t="s">
        <v>66</v>
      </c>
      <c r="L212" s="2" t="s">
        <v>100</v>
      </c>
      <c r="M212" s="2" t="s">
        <v>1594</v>
      </c>
      <c r="N212" s="2" t="s">
        <v>184</v>
      </c>
      <c r="O212" s="2" t="s">
        <v>1595</v>
      </c>
      <c r="P212" s="2"/>
      <c r="Q212" s="5" t="n">
        <v>1</v>
      </c>
      <c r="R212" s="2" t="s">
        <v>71</v>
      </c>
      <c r="S212" s="2" t="s">
        <v>1596</v>
      </c>
      <c r="T212" s="2" t="s">
        <v>1597</v>
      </c>
      <c r="U212" s="2" t="s">
        <v>74</v>
      </c>
      <c r="V212" s="5" t="n">
        <v>300</v>
      </c>
      <c r="W212" s="2"/>
      <c r="X212" s="2" t="s">
        <v>1598</v>
      </c>
      <c r="Y212" s="5" t="s">
        <v>346</v>
      </c>
      <c r="Z212" s="2" t="s">
        <v>1599</v>
      </c>
      <c r="AA212" s="6" t="s">
        <v>1600</v>
      </c>
    </row>
    <row r="213" customFormat="false" ht="35.05" hidden="false" customHeight="false" outlineLevel="0" collapsed="false">
      <c r="A213" s="5" t="s">
        <v>1601</v>
      </c>
      <c r="B213" s="2" t="s">
        <v>1602</v>
      </c>
      <c r="C213" s="5" t="s">
        <v>488</v>
      </c>
      <c r="D213" s="5" t="s">
        <v>60</v>
      </c>
      <c r="E213" s="2" t="s">
        <v>182</v>
      </c>
      <c r="F213" s="5" t="s">
        <v>62</v>
      </c>
      <c r="G213" s="5" t="n">
        <v>5</v>
      </c>
      <c r="H213" s="5" t="s">
        <v>89</v>
      </c>
      <c r="I213" s="5" t="s">
        <v>64</v>
      </c>
      <c r="J213" s="5" t="s">
        <v>65</v>
      </c>
      <c r="K213" s="5" t="s">
        <v>66</v>
      </c>
      <c r="L213" s="2" t="s">
        <v>67</v>
      </c>
      <c r="M213" s="2" t="s">
        <v>1603</v>
      </c>
      <c r="N213" s="2" t="s">
        <v>184</v>
      </c>
      <c r="O213" s="2" t="s">
        <v>1604</v>
      </c>
      <c r="P213" s="2"/>
      <c r="Q213" s="5" t="n">
        <v>1</v>
      </c>
      <c r="R213" s="2" t="s">
        <v>71</v>
      </c>
      <c r="S213" s="2" t="s">
        <v>1605</v>
      </c>
      <c r="T213" s="2" t="s">
        <v>1606</v>
      </c>
      <c r="U213" s="2" t="s">
        <v>74</v>
      </c>
      <c r="V213" s="5" t="n">
        <v>300</v>
      </c>
      <c r="W213" s="2"/>
      <c r="X213" s="2" t="s">
        <v>1607</v>
      </c>
      <c r="Y213" s="5" t="s">
        <v>214</v>
      </c>
      <c r="Z213" s="2" t="s">
        <v>1608</v>
      </c>
      <c r="AA213" s="6" t="s">
        <v>1609</v>
      </c>
    </row>
    <row r="214" customFormat="false" ht="57.45" hidden="false" customHeight="false" outlineLevel="0" collapsed="false">
      <c r="A214" s="5" t="s">
        <v>1610</v>
      </c>
      <c r="B214" s="2" t="s">
        <v>1611</v>
      </c>
      <c r="C214" s="5" t="s">
        <v>488</v>
      </c>
      <c r="D214" s="5" t="s">
        <v>60</v>
      </c>
      <c r="E214" s="2" t="s">
        <v>449</v>
      </c>
      <c r="F214" s="5" t="s">
        <v>62</v>
      </c>
      <c r="G214" s="5" t="n">
        <v>7</v>
      </c>
      <c r="H214" s="5" t="s">
        <v>89</v>
      </c>
      <c r="I214" s="5" t="s">
        <v>64</v>
      </c>
      <c r="J214" s="5" t="s">
        <v>65</v>
      </c>
      <c r="K214" s="5" t="s">
        <v>66</v>
      </c>
      <c r="L214" s="2" t="s">
        <v>100</v>
      </c>
      <c r="M214" s="2" t="s">
        <v>1235</v>
      </c>
      <c r="N214" s="2" t="s">
        <v>184</v>
      </c>
      <c r="O214" s="2" t="s">
        <v>1612</v>
      </c>
      <c r="P214" s="2"/>
      <c r="Q214" s="5" t="n">
        <v>1</v>
      </c>
      <c r="R214" s="2" t="s">
        <v>71</v>
      </c>
      <c r="S214" s="2" t="s">
        <v>1613</v>
      </c>
      <c r="T214" s="2" t="s">
        <v>1614</v>
      </c>
      <c r="U214" s="2" t="s">
        <v>74</v>
      </c>
      <c r="V214" s="5" t="n">
        <v>300</v>
      </c>
      <c r="W214" s="2"/>
      <c r="X214" s="2" t="s">
        <v>1615</v>
      </c>
      <c r="Y214" s="5"/>
      <c r="Z214" s="2" t="s">
        <v>1616</v>
      </c>
      <c r="AA214" s="6" t="s">
        <v>1617</v>
      </c>
    </row>
    <row r="215" customFormat="false" ht="46.25" hidden="false" customHeight="false" outlineLevel="0" collapsed="false">
      <c r="A215" s="5" t="s">
        <v>1618</v>
      </c>
      <c r="B215" s="2" t="s">
        <v>1619</v>
      </c>
      <c r="C215" s="5" t="s">
        <v>488</v>
      </c>
      <c r="D215" s="5" t="s">
        <v>60</v>
      </c>
      <c r="E215" s="2" t="s">
        <v>303</v>
      </c>
      <c r="F215" s="5" t="s">
        <v>62</v>
      </c>
      <c r="G215" s="5" t="n">
        <v>7</v>
      </c>
      <c r="H215" s="5" t="s">
        <v>89</v>
      </c>
      <c r="I215" s="5" t="s">
        <v>64</v>
      </c>
      <c r="J215" s="5" t="s">
        <v>65</v>
      </c>
      <c r="K215" s="5" t="s">
        <v>66</v>
      </c>
      <c r="L215" s="2" t="s">
        <v>100</v>
      </c>
      <c r="M215" s="2" t="s">
        <v>1594</v>
      </c>
      <c r="N215" s="2" t="s">
        <v>184</v>
      </c>
      <c r="O215" s="2" t="s">
        <v>1612</v>
      </c>
      <c r="P215" s="2"/>
      <c r="Q215" s="5" t="n">
        <v>1</v>
      </c>
      <c r="R215" s="2" t="s">
        <v>71</v>
      </c>
      <c r="S215" s="2" t="s">
        <v>1620</v>
      </c>
      <c r="T215" s="2" t="s">
        <v>1621</v>
      </c>
      <c r="U215" s="2" t="s">
        <v>74</v>
      </c>
      <c r="V215" s="5" t="n">
        <v>300</v>
      </c>
      <c r="W215" s="2"/>
      <c r="X215" s="2" t="s">
        <v>1615</v>
      </c>
      <c r="Y215" s="5"/>
      <c r="Z215" s="2" t="s">
        <v>1622</v>
      </c>
      <c r="AA215" s="6" t="s">
        <v>1623</v>
      </c>
    </row>
    <row r="216" customFormat="false" ht="46.25" hidden="false" customHeight="false" outlineLevel="0" collapsed="false">
      <c r="A216" s="5" t="s">
        <v>1624</v>
      </c>
      <c r="B216" s="2" t="s">
        <v>1625</v>
      </c>
      <c r="C216" s="5" t="s">
        <v>488</v>
      </c>
      <c r="D216" s="5" t="s">
        <v>60</v>
      </c>
      <c r="E216" s="2" t="s">
        <v>276</v>
      </c>
      <c r="F216" s="5" t="s">
        <v>62</v>
      </c>
      <c r="G216" s="5" t="n">
        <v>7</v>
      </c>
      <c r="H216" s="5" t="s">
        <v>89</v>
      </c>
      <c r="I216" s="5" t="s">
        <v>64</v>
      </c>
      <c r="J216" s="5" t="s">
        <v>65</v>
      </c>
      <c r="K216" s="5" t="s">
        <v>66</v>
      </c>
      <c r="L216" s="2" t="s">
        <v>90</v>
      </c>
      <c r="M216" s="2"/>
      <c r="N216" s="2" t="s">
        <v>184</v>
      </c>
      <c r="O216" s="2" t="s">
        <v>210</v>
      </c>
      <c r="P216" s="2"/>
      <c r="Q216" s="5" t="n">
        <v>1</v>
      </c>
      <c r="R216" s="2" t="s">
        <v>71</v>
      </c>
      <c r="S216" s="2" t="s">
        <v>1626</v>
      </c>
      <c r="T216" s="2" t="s">
        <v>1627</v>
      </c>
      <c r="U216" s="2" t="s">
        <v>74</v>
      </c>
      <c r="V216" s="5" t="n">
        <v>300</v>
      </c>
      <c r="W216" s="2"/>
      <c r="X216" s="2" t="s">
        <v>213</v>
      </c>
      <c r="Y216" s="5" t="s">
        <v>214</v>
      </c>
      <c r="Z216" s="2" t="s">
        <v>1628</v>
      </c>
      <c r="AA216" s="6" t="s">
        <v>1629</v>
      </c>
    </row>
    <row r="217" customFormat="false" ht="471.6" hidden="false" customHeight="false" outlineLevel="0" collapsed="false">
      <c r="A217" s="5" t="s">
        <v>1630</v>
      </c>
      <c r="B217" s="2" t="s">
        <v>1631</v>
      </c>
      <c r="C217" s="5" t="s">
        <v>488</v>
      </c>
      <c r="D217" s="5" t="s">
        <v>60</v>
      </c>
      <c r="E217" s="2" t="s">
        <v>276</v>
      </c>
      <c r="F217" s="5" t="s">
        <v>62</v>
      </c>
      <c r="G217" s="5" t="n">
        <v>5</v>
      </c>
      <c r="H217" s="5" t="s">
        <v>89</v>
      </c>
      <c r="I217" s="5" t="s">
        <v>64</v>
      </c>
      <c r="J217" s="5" t="s">
        <v>65</v>
      </c>
      <c r="K217" s="5" t="s">
        <v>66</v>
      </c>
      <c r="L217" s="2" t="s">
        <v>277</v>
      </c>
      <c r="M217" s="2" t="s">
        <v>314</v>
      </c>
      <c r="N217" s="2" t="s">
        <v>184</v>
      </c>
      <c r="O217" s="2" t="s">
        <v>1632</v>
      </c>
      <c r="P217" s="2" t="s">
        <v>1632</v>
      </c>
      <c r="Q217" s="5" t="n">
        <v>1</v>
      </c>
      <c r="R217" s="2" t="s">
        <v>71</v>
      </c>
      <c r="S217" s="2" t="s">
        <v>1633</v>
      </c>
      <c r="T217" s="2" t="s">
        <v>1634</v>
      </c>
      <c r="U217" s="2" t="s">
        <v>74</v>
      </c>
      <c r="V217" s="5" t="n">
        <v>300</v>
      </c>
      <c r="W217" s="2"/>
      <c r="X217" s="2" t="s">
        <v>1635</v>
      </c>
      <c r="Y217" s="5"/>
      <c r="Z217" s="2" t="s">
        <v>1636</v>
      </c>
      <c r="AA217" s="6" t="s">
        <v>1637</v>
      </c>
    </row>
    <row r="218" customFormat="false" ht="46.25" hidden="false" customHeight="false" outlineLevel="0" collapsed="false">
      <c r="A218" s="5" t="s">
        <v>1638</v>
      </c>
      <c r="B218" s="2" t="s">
        <v>1639</v>
      </c>
      <c r="C218" s="5" t="s">
        <v>488</v>
      </c>
      <c r="D218" s="5" t="s">
        <v>60</v>
      </c>
      <c r="E218" s="2" t="s">
        <v>276</v>
      </c>
      <c r="F218" s="5" t="s">
        <v>62</v>
      </c>
      <c r="G218" s="5" t="n">
        <v>5</v>
      </c>
      <c r="H218" s="5" t="s">
        <v>89</v>
      </c>
      <c r="I218" s="5" t="s">
        <v>64</v>
      </c>
      <c r="J218" s="5" t="s">
        <v>65</v>
      </c>
      <c r="K218" s="5" t="s">
        <v>66</v>
      </c>
      <c r="L218" s="2" t="s">
        <v>277</v>
      </c>
      <c r="M218" s="2" t="s">
        <v>278</v>
      </c>
      <c r="N218" s="2" t="s">
        <v>184</v>
      </c>
      <c r="O218" s="2" t="s">
        <v>1114</v>
      </c>
      <c r="P218" s="2"/>
      <c r="Q218" s="5" t="n">
        <v>1</v>
      </c>
      <c r="R218" s="2" t="s">
        <v>71</v>
      </c>
      <c r="S218" s="2" t="s">
        <v>1640</v>
      </c>
      <c r="T218" s="2" t="s">
        <v>1641</v>
      </c>
      <c r="U218" s="2" t="s">
        <v>74</v>
      </c>
      <c r="V218" s="5" t="n">
        <v>300</v>
      </c>
      <c r="W218" s="2"/>
      <c r="X218" s="2" t="s">
        <v>1117</v>
      </c>
      <c r="Y218" s="5" t="s">
        <v>1118</v>
      </c>
      <c r="Z218" s="2" t="s">
        <v>1642</v>
      </c>
      <c r="AA218" s="6" t="s">
        <v>1643</v>
      </c>
    </row>
    <row r="219" customFormat="false" ht="191.75" hidden="false" customHeight="false" outlineLevel="0" collapsed="false">
      <c r="A219" s="5" t="s">
        <v>1644</v>
      </c>
      <c r="B219" s="2" t="s">
        <v>1645</v>
      </c>
      <c r="C219" s="5" t="s">
        <v>488</v>
      </c>
      <c r="D219" s="5" t="s">
        <v>60</v>
      </c>
      <c r="E219" s="2" t="s">
        <v>100</v>
      </c>
      <c r="F219" s="5" t="s">
        <v>62</v>
      </c>
      <c r="G219" s="5" t="n">
        <v>5</v>
      </c>
      <c r="H219" s="5" t="s">
        <v>89</v>
      </c>
      <c r="I219" s="5" t="s">
        <v>64</v>
      </c>
      <c r="J219" s="5" t="s">
        <v>65</v>
      </c>
      <c r="K219" s="5" t="s">
        <v>66</v>
      </c>
      <c r="L219" s="2" t="s">
        <v>100</v>
      </c>
      <c r="M219" s="2" t="s">
        <v>1646</v>
      </c>
      <c r="N219" s="2" t="s">
        <v>367</v>
      </c>
      <c r="O219" s="2" t="s">
        <v>1105</v>
      </c>
      <c r="P219" s="2"/>
      <c r="Q219" s="5" t="n">
        <v>1</v>
      </c>
      <c r="R219" s="2" t="s">
        <v>71</v>
      </c>
      <c r="S219" s="2" t="s">
        <v>1647</v>
      </c>
      <c r="T219" s="2" t="s">
        <v>1176</v>
      </c>
      <c r="U219" s="2" t="s">
        <v>74</v>
      </c>
      <c r="V219" s="5" t="n">
        <v>300</v>
      </c>
      <c r="W219" s="2"/>
      <c r="X219" s="2" t="s">
        <v>1108</v>
      </c>
      <c r="Y219" s="5" t="s">
        <v>309</v>
      </c>
      <c r="Z219" s="2" t="s">
        <v>1648</v>
      </c>
      <c r="AA219" s="6" t="s">
        <v>1649</v>
      </c>
    </row>
    <row r="220" customFormat="false" ht="102.2" hidden="false" customHeight="false" outlineLevel="0" collapsed="false">
      <c r="A220" s="5" t="s">
        <v>1650</v>
      </c>
      <c r="B220" s="2" t="s">
        <v>1651</v>
      </c>
      <c r="C220" s="5" t="s">
        <v>488</v>
      </c>
      <c r="D220" s="5" t="s">
        <v>60</v>
      </c>
      <c r="E220" s="2" t="s">
        <v>100</v>
      </c>
      <c r="F220" s="5" t="s">
        <v>62</v>
      </c>
      <c r="G220" s="5" t="n">
        <v>7</v>
      </c>
      <c r="H220" s="5" t="s">
        <v>89</v>
      </c>
      <c r="I220" s="5" t="s">
        <v>64</v>
      </c>
      <c r="J220" s="5" t="s">
        <v>65</v>
      </c>
      <c r="K220" s="5" t="s">
        <v>66</v>
      </c>
      <c r="L220" s="2" t="s">
        <v>100</v>
      </c>
      <c r="M220" s="2" t="s">
        <v>304</v>
      </c>
      <c r="N220" s="2" t="s">
        <v>367</v>
      </c>
      <c r="O220" s="2" t="s">
        <v>368</v>
      </c>
      <c r="P220" s="2"/>
      <c r="Q220" s="5" t="n">
        <v>1</v>
      </c>
      <c r="R220" s="2" t="s">
        <v>71</v>
      </c>
      <c r="S220" s="2" t="s">
        <v>1652</v>
      </c>
      <c r="T220" s="2" t="s">
        <v>1653</v>
      </c>
      <c r="U220" s="2" t="s">
        <v>74</v>
      </c>
      <c r="V220" s="5" t="n">
        <v>300</v>
      </c>
      <c r="W220" s="2"/>
      <c r="X220" s="2" t="s">
        <v>371</v>
      </c>
      <c r="Y220" s="5" t="s">
        <v>372</v>
      </c>
      <c r="Z220" s="2" t="s">
        <v>1654</v>
      </c>
      <c r="AA220" s="6" t="s">
        <v>1655</v>
      </c>
    </row>
    <row r="221" customFormat="false" ht="79.85" hidden="false" customHeight="false" outlineLevel="0" collapsed="false">
      <c r="A221" s="5" t="s">
        <v>1656</v>
      </c>
      <c r="B221" s="2" t="s">
        <v>1657</v>
      </c>
      <c r="C221" s="5" t="s">
        <v>488</v>
      </c>
      <c r="D221" s="5" t="s">
        <v>60</v>
      </c>
      <c r="E221" s="2" t="s">
        <v>100</v>
      </c>
      <c r="F221" s="5" t="s">
        <v>62</v>
      </c>
      <c r="G221" s="5" t="n">
        <v>7</v>
      </c>
      <c r="H221" s="5" t="s">
        <v>89</v>
      </c>
      <c r="I221" s="5" t="s">
        <v>64</v>
      </c>
      <c r="J221" s="5" t="s">
        <v>65</v>
      </c>
      <c r="K221" s="5" t="s">
        <v>66</v>
      </c>
      <c r="L221" s="2" t="s">
        <v>100</v>
      </c>
      <c r="M221" s="2" t="s">
        <v>304</v>
      </c>
      <c r="N221" s="2" t="s">
        <v>367</v>
      </c>
      <c r="O221" s="2" t="s">
        <v>1105</v>
      </c>
      <c r="P221" s="2"/>
      <c r="Q221" s="5" t="n">
        <v>1</v>
      </c>
      <c r="R221" s="2" t="s">
        <v>71</v>
      </c>
      <c r="S221" s="2" t="s">
        <v>1658</v>
      </c>
      <c r="T221" s="2" t="s">
        <v>1659</v>
      </c>
      <c r="U221" s="2" t="s">
        <v>74</v>
      </c>
      <c r="V221" s="5" t="n">
        <v>300</v>
      </c>
      <c r="W221" s="2"/>
      <c r="X221" s="2" t="s">
        <v>1108</v>
      </c>
      <c r="Y221" s="5" t="s">
        <v>309</v>
      </c>
      <c r="Z221" s="2" t="s">
        <v>1660</v>
      </c>
      <c r="AA221" s="6" t="s">
        <v>1661</v>
      </c>
    </row>
    <row r="222" customFormat="false" ht="113.4" hidden="false" customHeight="false" outlineLevel="0" collapsed="false">
      <c r="A222" s="5" t="s">
        <v>1662</v>
      </c>
      <c r="B222" s="2" t="s">
        <v>1663</v>
      </c>
      <c r="C222" s="5" t="s">
        <v>488</v>
      </c>
      <c r="D222" s="5" t="s">
        <v>60</v>
      </c>
      <c r="E222" s="2" t="s">
        <v>1384</v>
      </c>
      <c r="F222" s="5" t="s">
        <v>62</v>
      </c>
      <c r="G222" s="5" t="n">
        <v>7</v>
      </c>
      <c r="H222" s="5" t="s">
        <v>89</v>
      </c>
      <c r="I222" s="5" t="s">
        <v>64</v>
      </c>
      <c r="J222" s="5" t="s">
        <v>65</v>
      </c>
      <c r="K222" s="5" t="s">
        <v>66</v>
      </c>
      <c r="L222" s="2" t="s">
        <v>100</v>
      </c>
      <c r="M222" s="2" t="s">
        <v>304</v>
      </c>
      <c r="N222" s="2" t="s">
        <v>367</v>
      </c>
      <c r="O222" s="2" t="s">
        <v>1105</v>
      </c>
      <c r="P222" s="2"/>
      <c r="Q222" s="5" t="n">
        <v>1</v>
      </c>
      <c r="R222" s="2" t="s">
        <v>71</v>
      </c>
      <c r="S222" s="2" t="s">
        <v>1664</v>
      </c>
      <c r="T222" s="2" t="s">
        <v>1139</v>
      </c>
      <c r="U222" s="2" t="s">
        <v>74</v>
      </c>
      <c r="V222" s="5" t="n">
        <v>300</v>
      </c>
      <c r="W222" s="2"/>
      <c r="X222" s="2" t="s">
        <v>1108</v>
      </c>
      <c r="Y222" s="5" t="s">
        <v>309</v>
      </c>
      <c r="Z222" s="2" t="s">
        <v>1665</v>
      </c>
      <c r="AA222" s="6" t="s">
        <v>1666</v>
      </c>
    </row>
    <row r="223" customFormat="false" ht="102.2" hidden="false" customHeight="false" outlineLevel="0" collapsed="false">
      <c r="A223" s="5" t="s">
        <v>1667</v>
      </c>
      <c r="B223" s="2" t="s">
        <v>1668</v>
      </c>
      <c r="C223" s="5" t="s">
        <v>488</v>
      </c>
      <c r="D223" s="5" t="s">
        <v>60</v>
      </c>
      <c r="E223" s="2" t="s">
        <v>100</v>
      </c>
      <c r="F223" s="5" t="s">
        <v>62</v>
      </c>
      <c r="G223" s="5" t="n">
        <v>5</v>
      </c>
      <c r="H223" s="5" t="s">
        <v>89</v>
      </c>
      <c r="I223" s="5" t="s">
        <v>64</v>
      </c>
      <c r="J223" s="5" t="s">
        <v>65</v>
      </c>
      <c r="K223" s="5" t="s">
        <v>66</v>
      </c>
      <c r="L223" s="2" t="s">
        <v>100</v>
      </c>
      <c r="M223" s="2" t="s">
        <v>1409</v>
      </c>
      <c r="N223" s="2" t="s">
        <v>367</v>
      </c>
      <c r="O223" s="2" t="s">
        <v>1105</v>
      </c>
      <c r="P223" s="2"/>
      <c r="Q223" s="5" t="n">
        <v>1</v>
      </c>
      <c r="R223" s="2" t="s">
        <v>71</v>
      </c>
      <c r="S223" s="2" t="s">
        <v>1669</v>
      </c>
      <c r="T223" s="2" t="s">
        <v>1269</v>
      </c>
      <c r="U223" s="2" t="s">
        <v>74</v>
      </c>
      <c r="V223" s="5" t="n">
        <v>300</v>
      </c>
      <c r="W223" s="2"/>
      <c r="X223" s="2" t="s">
        <v>1108</v>
      </c>
      <c r="Y223" s="5" t="s">
        <v>309</v>
      </c>
      <c r="Z223" s="2" t="s">
        <v>1670</v>
      </c>
      <c r="AA223" s="6" t="s">
        <v>1671</v>
      </c>
    </row>
    <row r="224" customFormat="false" ht="102.2" hidden="false" customHeight="false" outlineLevel="0" collapsed="false">
      <c r="A224" s="5" t="s">
        <v>1672</v>
      </c>
      <c r="B224" s="2" t="s">
        <v>1673</v>
      </c>
      <c r="C224" s="5" t="s">
        <v>488</v>
      </c>
      <c r="D224" s="5" t="s">
        <v>60</v>
      </c>
      <c r="E224" s="2" t="s">
        <v>269</v>
      </c>
      <c r="F224" s="5" t="s">
        <v>62</v>
      </c>
      <c r="G224" s="5" t="n">
        <v>9</v>
      </c>
      <c r="H224" s="5" t="s">
        <v>63</v>
      </c>
      <c r="I224" s="5" t="s">
        <v>64</v>
      </c>
      <c r="J224" s="5" t="s">
        <v>65</v>
      </c>
      <c r="K224" s="5" t="s">
        <v>66</v>
      </c>
      <c r="L224" s="2" t="s">
        <v>67</v>
      </c>
      <c r="M224" s="2" t="s">
        <v>1532</v>
      </c>
      <c r="N224" s="2" t="s">
        <v>184</v>
      </c>
      <c r="O224" s="2" t="s">
        <v>1533</v>
      </c>
      <c r="P224" s="2"/>
      <c r="Q224" s="5" t="n">
        <v>2</v>
      </c>
      <c r="R224" s="2" t="s">
        <v>1674</v>
      </c>
      <c r="S224" s="2" t="s">
        <v>1675</v>
      </c>
      <c r="T224" s="2" t="s">
        <v>1676</v>
      </c>
      <c r="U224" s="2" t="s">
        <v>1677</v>
      </c>
      <c r="V224" s="5" t="n">
        <v>300</v>
      </c>
      <c r="W224" s="2" t="s">
        <v>1678</v>
      </c>
      <c r="X224" s="2" t="s">
        <v>1536</v>
      </c>
      <c r="Y224" s="5" t="s">
        <v>1537</v>
      </c>
      <c r="Z224" s="2" t="s">
        <v>1679</v>
      </c>
      <c r="AA224" s="6" t="s">
        <v>1680</v>
      </c>
    </row>
    <row r="225" customFormat="false" ht="46.25" hidden="false" customHeight="false" outlineLevel="0" collapsed="false">
      <c r="A225" s="5" t="s">
        <v>1681</v>
      </c>
      <c r="B225" s="2" t="s">
        <v>1682</v>
      </c>
      <c r="C225" s="5" t="s">
        <v>488</v>
      </c>
      <c r="D225" s="5" t="s">
        <v>60</v>
      </c>
      <c r="E225" s="2"/>
      <c r="F225" s="5" t="s">
        <v>62</v>
      </c>
      <c r="G225" s="5" t="n">
        <v>5</v>
      </c>
      <c r="H225" s="5" t="s">
        <v>89</v>
      </c>
      <c r="I225" s="5" t="s">
        <v>64</v>
      </c>
      <c r="J225" s="5" t="s">
        <v>65</v>
      </c>
      <c r="K225" s="5" t="s">
        <v>66</v>
      </c>
      <c r="L225" s="2" t="s">
        <v>90</v>
      </c>
      <c r="M225" s="2"/>
      <c r="N225" s="2" t="s">
        <v>367</v>
      </c>
      <c r="O225" s="2" t="s">
        <v>1105</v>
      </c>
      <c r="P225" s="2"/>
      <c r="Q225" s="5" t="n">
        <v>1</v>
      </c>
      <c r="R225" s="2" t="s">
        <v>71</v>
      </c>
      <c r="S225" s="2" t="s">
        <v>1683</v>
      </c>
      <c r="T225" s="2" t="s">
        <v>1176</v>
      </c>
      <c r="U225" s="2" t="s">
        <v>74</v>
      </c>
      <c r="V225" s="5" t="n">
        <v>300</v>
      </c>
      <c r="W225" s="2"/>
      <c r="X225" s="2" t="s">
        <v>1108</v>
      </c>
      <c r="Y225" s="5" t="s">
        <v>309</v>
      </c>
      <c r="Z225" s="2" t="s">
        <v>1684</v>
      </c>
      <c r="AA225" s="6" t="s">
        <v>1685</v>
      </c>
    </row>
    <row r="226" customFormat="false" ht="79.85" hidden="false" customHeight="false" outlineLevel="0" collapsed="false">
      <c r="A226" s="5" t="s">
        <v>1686</v>
      </c>
      <c r="B226" s="2" t="s">
        <v>1687</v>
      </c>
      <c r="C226" s="5" t="s">
        <v>488</v>
      </c>
      <c r="D226" s="5" t="s">
        <v>60</v>
      </c>
      <c r="E226" s="2" t="s">
        <v>100</v>
      </c>
      <c r="F226" s="5" t="s">
        <v>62</v>
      </c>
      <c r="G226" s="5" t="n">
        <v>7</v>
      </c>
      <c r="H226" s="5" t="s">
        <v>89</v>
      </c>
      <c r="I226" s="5" t="s">
        <v>64</v>
      </c>
      <c r="J226" s="5" t="s">
        <v>65</v>
      </c>
      <c r="K226" s="5" t="s">
        <v>66</v>
      </c>
      <c r="L226" s="2" t="s">
        <v>100</v>
      </c>
      <c r="M226" s="2" t="s">
        <v>1191</v>
      </c>
      <c r="N226" s="2" t="s">
        <v>367</v>
      </c>
      <c r="O226" s="2" t="s">
        <v>1105</v>
      </c>
      <c r="P226" s="2"/>
      <c r="Q226" s="5" t="n">
        <v>1</v>
      </c>
      <c r="R226" s="2" t="s">
        <v>71</v>
      </c>
      <c r="S226" s="2" t="s">
        <v>1688</v>
      </c>
      <c r="T226" s="2" t="s">
        <v>1176</v>
      </c>
      <c r="U226" s="2" t="s">
        <v>74</v>
      </c>
      <c r="V226" s="5" t="n">
        <v>300</v>
      </c>
      <c r="W226" s="2"/>
      <c r="X226" s="2" t="s">
        <v>1108</v>
      </c>
      <c r="Y226" s="5" t="s">
        <v>309</v>
      </c>
      <c r="Z226" s="2" t="s">
        <v>1689</v>
      </c>
      <c r="AA226" s="6" t="s">
        <v>1690</v>
      </c>
    </row>
    <row r="227" customFormat="false" ht="91" hidden="false" customHeight="false" outlineLevel="0" collapsed="false">
      <c r="A227" s="5" t="s">
        <v>1691</v>
      </c>
      <c r="B227" s="2" t="s">
        <v>1692</v>
      </c>
      <c r="C227" s="5" t="s">
        <v>488</v>
      </c>
      <c r="D227" s="5" t="s">
        <v>60</v>
      </c>
      <c r="E227" s="2" t="s">
        <v>100</v>
      </c>
      <c r="F227" s="5" t="s">
        <v>62</v>
      </c>
      <c r="G227" s="5" t="n">
        <v>7</v>
      </c>
      <c r="H227" s="5" t="s">
        <v>89</v>
      </c>
      <c r="I227" s="5" t="s">
        <v>64</v>
      </c>
      <c r="J227" s="5" t="s">
        <v>65</v>
      </c>
      <c r="K227" s="5" t="s">
        <v>66</v>
      </c>
      <c r="L227" s="2" t="s">
        <v>100</v>
      </c>
      <c r="M227" s="2" t="s">
        <v>456</v>
      </c>
      <c r="N227" s="2" t="s">
        <v>367</v>
      </c>
      <c r="O227" s="2" t="s">
        <v>1160</v>
      </c>
      <c r="P227" s="2"/>
      <c r="Q227" s="5" t="n">
        <v>1</v>
      </c>
      <c r="R227" s="2" t="s">
        <v>71</v>
      </c>
      <c r="S227" s="2" t="s">
        <v>1693</v>
      </c>
      <c r="T227" s="2" t="s">
        <v>1193</v>
      </c>
      <c r="U227" s="2" t="s">
        <v>74</v>
      </c>
      <c r="V227" s="5" t="n">
        <v>300</v>
      </c>
      <c r="W227" s="2"/>
      <c r="X227" s="2" t="s">
        <v>1163</v>
      </c>
      <c r="Y227" s="5"/>
      <c r="Z227" s="2" t="s">
        <v>1694</v>
      </c>
      <c r="AA227" s="6" t="s">
        <v>1695</v>
      </c>
    </row>
    <row r="228" customFormat="false" ht="46.25" hidden="false" customHeight="false" outlineLevel="0" collapsed="false">
      <c r="A228" s="5" t="s">
        <v>1696</v>
      </c>
      <c r="B228" s="2" t="s">
        <v>1697</v>
      </c>
      <c r="C228" s="5" t="s">
        <v>488</v>
      </c>
      <c r="D228" s="5" t="s">
        <v>60</v>
      </c>
      <c r="E228" s="2" t="s">
        <v>1363</v>
      </c>
      <c r="F228" s="5" t="s">
        <v>62</v>
      </c>
      <c r="G228" s="5" t="n">
        <v>5</v>
      </c>
      <c r="H228" s="5" t="s">
        <v>89</v>
      </c>
      <c r="I228" s="5" t="s">
        <v>64</v>
      </c>
      <c r="J228" s="5" t="s">
        <v>65</v>
      </c>
      <c r="K228" s="5" t="s">
        <v>66</v>
      </c>
      <c r="L228" s="2" t="s">
        <v>100</v>
      </c>
      <c r="M228" s="2" t="s">
        <v>340</v>
      </c>
      <c r="N228" s="2" t="s">
        <v>367</v>
      </c>
      <c r="O228" s="2" t="s">
        <v>1105</v>
      </c>
      <c r="P228" s="2"/>
      <c r="Q228" s="5" t="n">
        <v>1</v>
      </c>
      <c r="R228" s="2" t="s">
        <v>71</v>
      </c>
      <c r="S228" s="2" t="s">
        <v>1698</v>
      </c>
      <c r="T228" s="2" t="s">
        <v>1358</v>
      </c>
      <c r="U228" s="2" t="s">
        <v>74</v>
      </c>
      <c r="V228" s="5" t="n">
        <v>300</v>
      </c>
      <c r="W228" s="2"/>
      <c r="X228" s="2" t="s">
        <v>1108</v>
      </c>
      <c r="Y228" s="5" t="s">
        <v>309</v>
      </c>
      <c r="Z228" s="2" t="s">
        <v>1699</v>
      </c>
      <c r="AA228" s="6" t="s">
        <v>1700</v>
      </c>
    </row>
    <row r="229" customFormat="false" ht="460.4" hidden="false" customHeight="false" outlineLevel="0" collapsed="false">
      <c r="A229" s="5" t="s">
        <v>1701</v>
      </c>
      <c r="B229" s="2" t="s">
        <v>1702</v>
      </c>
      <c r="C229" s="5" t="s">
        <v>488</v>
      </c>
      <c r="D229" s="5" t="s">
        <v>60</v>
      </c>
      <c r="E229" s="2" t="s">
        <v>303</v>
      </c>
      <c r="F229" s="5" t="s">
        <v>62</v>
      </c>
      <c r="G229" s="5" t="n">
        <v>7</v>
      </c>
      <c r="H229" s="5" t="s">
        <v>89</v>
      </c>
      <c r="I229" s="5" t="s">
        <v>64</v>
      </c>
      <c r="J229" s="5" t="s">
        <v>65</v>
      </c>
      <c r="K229" s="5" t="s">
        <v>66</v>
      </c>
      <c r="L229" s="2" t="s">
        <v>100</v>
      </c>
      <c r="M229" s="2" t="s">
        <v>304</v>
      </c>
      <c r="N229" s="2" t="s">
        <v>184</v>
      </c>
      <c r="O229" s="2" t="s">
        <v>1457</v>
      </c>
      <c r="P229" s="2"/>
      <c r="Q229" s="5" t="n">
        <v>1</v>
      </c>
      <c r="R229" s="2" t="s">
        <v>71</v>
      </c>
      <c r="S229" s="2" t="s">
        <v>1703</v>
      </c>
      <c r="T229" s="2" t="s">
        <v>1704</v>
      </c>
      <c r="U229" s="2" t="s">
        <v>74</v>
      </c>
      <c r="V229" s="5" t="n">
        <v>300</v>
      </c>
      <c r="W229" s="2"/>
      <c r="X229" s="2" t="s">
        <v>1460</v>
      </c>
      <c r="Y229" s="5"/>
      <c r="Z229" s="2" t="s">
        <v>1705</v>
      </c>
      <c r="AA229" s="6" t="s">
        <v>1706</v>
      </c>
    </row>
    <row r="230" customFormat="false" ht="91" hidden="false" customHeight="false" outlineLevel="0" collapsed="false">
      <c r="A230" s="5" t="s">
        <v>1707</v>
      </c>
      <c r="B230" s="2" t="s">
        <v>1708</v>
      </c>
      <c r="C230" s="5" t="s">
        <v>488</v>
      </c>
      <c r="D230" s="5" t="s">
        <v>60</v>
      </c>
      <c r="E230" s="2" t="s">
        <v>100</v>
      </c>
      <c r="F230" s="5" t="s">
        <v>62</v>
      </c>
      <c r="G230" s="5" t="n">
        <v>5</v>
      </c>
      <c r="H230" s="5" t="s">
        <v>89</v>
      </c>
      <c r="I230" s="5" t="s">
        <v>64</v>
      </c>
      <c r="J230" s="5" t="s">
        <v>65</v>
      </c>
      <c r="K230" s="5" t="s">
        <v>66</v>
      </c>
      <c r="L230" s="2" t="s">
        <v>100</v>
      </c>
      <c r="M230" s="2" t="s">
        <v>585</v>
      </c>
      <c r="N230" s="2" t="s">
        <v>367</v>
      </c>
      <c r="O230" s="2" t="s">
        <v>1105</v>
      </c>
      <c r="P230" s="2"/>
      <c r="Q230" s="5" t="n">
        <v>1</v>
      </c>
      <c r="R230" s="2" t="s">
        <v>71</v>
      </c>
      <c r="S230" s="2" t="s">
        <v>1709</v>
      </c>
      <c r="T230" s="2" t="s">
        <v>1139</v>
      </c>
      <c r="U230" s="2" t="s">
        <v>74</v>
      </c>
      <c r="V230" s="5" t="n">
        <v>300</v>
      </c>
      <c r="W230" s="2"/>
      <c r="X230" s="2" t="s">
        <v>1108</v>
      </c>
      <c r="Y230" s="5" t="s">
        <v>309</v>
      </c>
      <c r="Z230" s="2" t="s">
        <v>1710</v>
      </c>
      <c r="AA230" s="6" t="s">
        <v>1711</v>
      </c>
    </row>
    <row r="231" customFormat="false" ht="124.6" hidden="false" customHeight="false" outlineLevel="0" collapsed="false">
      <c r="A231" s="5" t="s">
        <v>1712</v>
      </c>
      <c r="B231" s="2" t="s">
        <v>1713</v>
      </c>
      <c r="C231" s="5" t="s">
        <v>488</v>
      </c>
      <c r="D231" s="5" t="s">
        <v>60</v>
      </c>
      <c r="E231" s="2"/>
      <c r="F231" s="5" t="s">
        <v>62</v>
      </c>
      <c r="G231" s="5" t="n">
        <v>7</v>
      </c>
      <c r="H231" s="5" t="s">
        <v>89</v>
      </c>
      <c r="I231" s="5" t="s">
        <v>64</v>
      </c>
      <c r="J231" s="5" t="s">
        <v>65</v>
      </c>
      <c r="K231" s="5" t="s">
        <v>66</v>
      </c>
      <c r="L231" s="2" t="s">
        <v>536</v>
      </c>
      <c r="M231" s="2" t="s">
        <v>1714</v>
      </c>
      <c r="N231" s="2" t="s">
        <v>367</v>
      </c>
      <c r="O231" s="2" t="s">
        <v>1212</v>
      </c>
      <c r="P231" s="2"/>
      <c r="Q231" s="5" t="n">
        <v>1</v>
      </c>
      <c r="R231" s="2" t="s">
        <v>71</v>
      </c>
      <c r="S231" s="2" t="s">
        <v>1715</v>
      </c>
      <c r="T231" s="2" t="s">
        <v>1716</v>
      </c>
      <c r="U231" s="2" t="s">
        <v>74</v>
      </c>
      <c r="V231" s="5" t="n">
        <v>300</v>
      </c>
      <c r="W231" s="2"/>
      <c r="X231" s="2" t="s">
        <v>1215</v>
      </c>
      <c r="Y231" s="5"/>
      <c r="Z231" s="2" t="s">
        <v>1717</v>
      </c>
      <c r="AA231" s="6" t="s">
        <v>1718</v>
      </c>
    </row>
    <row r="232" customFormat="false" ht="68.65" hidden="false" customHeight="false" outlineLevel="0" collapsed="false">
      <c r="A232" s="5" t="s">
        <v>1719</v>
      </c>
      <c r="B232" s="2" t="s">
        <v>1720</v>
      </c>
      <c r="C232" s="5" t="s">
        <v>488</v>
      </c>
      <c r="D232" s="5" t="s">
        <v>60</v>
      </c>
      <c r="E232" s="2" t="s">
        <v>100</v>
      </c>
      <c r="F232" s="5" t="s">
        <v>62</v>
      </c>
      <c r="G232" s="5" t="n">
        <v>7</v>
      </c>
      <c r="H232" s="5" t="s">
        <v>89</v>
      </c>
      <c r="I232" s="5" t="s">
        <v>64</v>
      </c>
      <c r="J232" s="5" t="s">
        <v>65</v>
      </c>
      <c r="K232" s="5" t="s">
        <v>66</v>
      </c>
      <c r="L232" s="2" t="s">
        <v>100</v>
      </c>
      <c r="M232" s="2" t="s">
        <v>1721</v>
      </c>
      <c r="N232" s="2" t="s">
        <v>367</v>
      </c>
      <c r="O232" s="2" t="s">
        <v>1105</v>
      </c>
      <c r="P232" s="2"/>
      <c r="Q232" s="5" t="n">
        <v>1</v>
      </c>
      <c r="R232" s="2" t="s">
        <v>71</v>
      </c>
      <c r="S232" s="2" t="s">
        <v>1722</v>
      </c>
      <c r="T232" s="2" t="s">
        <v>1139</v>
      </c>
      <c r="U232" s="2" t="s">
        <v>74</v>
      </c>
      <c r="V232" s="5" t="n">
        <v>300</v>
      </c>
      <c r="W232" s="2"/>
      <c r="X232" s="2" t="s">
        <v>1108</v>
      </c>
      <c r="Y232" s="5" t="s">
        <v>309</v>
      </c>
      <c r="Z232" s="2" t="s">
        <v>1723</v>
      </c>
      <c r="AA232" s="6" t="s">
        <v>1724</v>
      </c>
    </row>
    <row r="233" customFormat="false" ht="57.45" hidden="false" customHeight="false" outlineLevel="0" collapsed="false">
      <c r="A233" s="5" t="s">
        <v>1725</v>
      </c>
      <c r="B233" s="2" t="s">
        <v>1726</v>
      </c>
      <c r="C233" s="5" t="s">
        <v>488</v>
      </c>
      <c r="D233" s="5" t="s">
        <v>60</v>
      </c>
      <c r="E233" s="2" t="s">
        <v>100</v>
      </c>
      <c r="F233" s="5" t="s">
        <v>62</v>
      </c>
      <c r="G233" s="5" t="n">
        <v>7</v>
      </c>
      <c r="H233" s="5" t="s">
        <v>89</v>
      </c>
      <c r="I233" s="5" t="s">
        <v>64</v>
      </c>
      <c r="J233" s="5" t="s">
        <v>65</v>
      </c>
      <c r="K233" s="5" t="s">
        <v>66</v>
      </c>
      <c r="L233" s="2" t="s">
        <v>100</v>
      </c>
      <c r="M233" s="2" t="s">
        <v>456</v>
      </c>
      <c r="N233" s="2" t="s">
        <v>367</v>
      </c>
      <c r="O233" s="2" t="s">
        <v>1105</v>
      </c>
      <c r="P233" s="2"/>
      <c r="Q233" s="5" t="n">
        <v>1</v>
      </c>
      <c r="R233" s="2" t="s">
        <v>71</v>
      </c>
      <c r="S233" s="2" t="s">
        <v>1727</v>
      </c>
      <c r="T233" s="2" t="s">
        <v>1139</v>
      </c>
      <c r="U233" s="2" t="s">
        <v>74</v>
      </c>
      <c r="V233" s="5" t="n">
        <v>300</v>
      </c>
      <c r="W233" s="2"/>
      <c r="X233" s="2" t="s">
        <v>1108</v>
      </c>
      <c r="Y233" s="5" t="s">
        <v>309</v>
      </c>
      <c r="Z233" s="2" t="s">
        <v>1728</v>
      </c>
      <c r="AA233" s="6" t="s">
        <v>1729</v>
      </c>
    </row>
    <row r="234" customFormat="false" ht="68.65" hidden="false" customHeight="false" outlineLevel="0" collapsed="false">
      <c r="A234" s="5" t="s">
        <v>1730</v>
      </c>
      <c r="B234" s="2" t="s">
        <v>1731</v>
      </c>
      <c r="C234" s="5" t="s">
        <v>488</v>
      </c>
      <c r="D234" s="5" t="s">
        <v>60</v>
      </c>
      <c r="E234" s="2" t="s">
        <v>276</v>
      </c>
      <c r="F234" s="5" t="s">
        <v>62</v>
      </c>
      <c r="G234" s="5" t="n">
        <v>7</v>
      </c>
      <c r="H234" s="5" t="s">
        <v>89</v>
      </c>
      <c r="I234" s="5" t="s">
        <v>64</v>
      </c>
      <c r="J234" s="5" t="s">
        <v>65</v>
      </c>
      <c r="K234" s="5" t="s">
        <v>66</v>
      </c>
      <c r="L234" s="2" t="s">
        <v>90</v>
      </c>
      <c r="M234" s="2"/>
      <c r="N234" s="2" t="s">
        <v>184</v>
      </c>
      <c r="O234" s="2" t="s">
        <v>210</v>
      </c>
      <c r="P234" s="2"/>
      <c r="Q234" s="5" t="n">
        <v>1</v>
      </c>
      <c r="R234" s="2" t="s">
        <v>71</v>
      </c>
      <c r="S234" s="2" t="s">
        <v>1732</v>
      </c>
      <c r="T234" s="2" t="s">
        <v>1733</v>
      </c>
      <c r="U234" s="2" t="s">
        <v>74</v>
      </c>
      <c r="V234" s="5" t="n">
        <v>300</v>
      </c>
      <c r="W234" s="2"/>
      <c r="X234" s="2" t="s">
        <v>213</v>
      </c>
      <c r="Y234" s="5" t="s">
        <v>214</v>
      </c>
      <c r="Z234" s="2" t="s">
        <v>1734</v>
      </c>
      <c r="AA234" s="6" t="s">
        <v>1735</v>
      </c>
    </row>
    <row r="235" customFormat="false" ht="102.2" hidden="false" customHeight="false" outlineLevel="0" collapsed="false">
      <c r="A235" s="5" t="s">
        <v>1736</v>
      </c>
      <c r="B235" s="2" t="s">
        <v>1737</v>
      </c>
      <c r="C235" s="5" t="s">
        <v>488</v>
      </c>
      <c r="D235" s="5" t="s">
        <v>60</v>
      </c>
      <c r="E235" s="2" t="s">
        <v>100</v>
      </c>
      <c r="F235" s="5" t="s">
        <v>62</v>
      </c>
      <c r="G235" s="5" t="n">
        <v>5</v>
      </c>
      <c r="H235" s="5" t="s">
        <v>89</v>
      </c>
      <c r="I235" s="5" t="s">
        <v>64</v>
      </c>
      <c r="J235" s="5" t="s">
        <v>65</v>
      </c>
      <c r="K235" s="5" t="s">
        <v>66</v>
      </c>
      <c r="L235" s="2" t="s">
        <v>100</v>
      </c>
      <c r="M235" s="2" t="s">
        <v>1721</v>
      </c>
      <c r="N235" s="2" t="s">
        <v>367</v>
      </c>
      <c r="O235" s="2" t="s">
        <v>1105</v>
      </c>
      <c r="P235" s="2"/>
      <c r="Q235" s="5" t="n">
        <v>1</v>
      </c>
      <c r="R235" s="2" t="s">
        <v>71</v>
      </c>
      <c r="S235" s="2" t="s">
        <v>1738</v>
      </c>
      <c r="T235" s="2" t="s">
        <v>1176</v>
      </c>
      <c r="U235" s="2" t="s">
        <v>74</v>
      </c>
      <c r="V235" s="5" t="n">
        <v>300</v>
      </c>
      <c r="W235" s="2"/>
      <c r="X235" s="2" t="s">
        <v>1108</v>
      </c>
      <c r="Y235" s="5" t="s">
        <v>309</v>
      </c>
      <c r="Z235" s="2" t="s">
        <v>1739</v>
      </c>
      <c r="AA235" s="6" t="s">
        <v>1740</v>
      </c>
    </row>
    <row r="236" customFormat="false" ht="91" hidden="false" customHeight="false" outlineLevel="0" collapsed="false">
      <c r="A236" s="5" t="s">
        <v>1741</v>
      </c>
      <c r="B236" s="2" t="s">
        <v>1742</v>
      </c>
      <c r="C236" s="5" t="s">
        <v>488</v>
      </c>
      <c r="D236" s="5" t="s">
        <v>60</v>
      </c>
      <c r="E236" s="2" t="s">
        <v>1384</v>
      </c>
      <c r="F236" s="5" t="s">
        <v>62</v>
      </c>
      <c r="G236" s="5" t="n">
        <v>7</v>
      </c>
      <c r="H236" s="5" t="s">
        <v>89</v>
      </c>
      <c r="I236" s="5" t="s">
        <v>64</v>
      </c>
      <c r="J236" s="5" t="s">
        <v>65</v>
      </c>
      <c r="K236" s="5" t="s">
        <v>66</v>
      </c>
      <c r="L236" s="2" t="s">
        <v>100</v>
      </c>
      <c r="M236" s="2" t="s">
        <v>304</v>
      </c>
      <c r="N236" s="2" t="s">
        <v>367</v>
      </c>
      <c r="O236" s="2" t="s">
        <v>1105</v>
      </c>
      <c r="P236" s="2"/>
      <c r="Q236" s="5" t="n">
        <v>1</v>
      </c>
      <c r="R236" s="2" t="s">
        <v>71</v>
      </c>
      <c r="S236" s="2" t="s">
        <v>1743</v>
      </c>
      <c r="T236" s="2" t="s">
        <v>1139</v>
      </c>
      <c r="U236" s="2" t="s">
        <v>74</v>
      </c>
      <c r="V236" s="5" t="n">
        <v>300</v>
      </c>
      <c r="W236" s="2"/>
      <c r="X236" s="2" t="s">
        <v>1108</v>
      </c>
      <c r="Y236" s="5" t="s">
        <v>309</v>
      </c>
      <c r="Z236" s="2" t="s">
        <v>1744</v>
      </c>
      <c r="AA236" s="6" t="s">
        <v>1745</v>
      </c>
    </row>
    <row r="237" customFormat="false" ht="79.85" hidden="false" customHeight="false" outlineLevel="0" collapsed="false">
      <c r="A237" s="5" t="s">
        <v>1746</v>
      </c>
      <c r="B237" s="2" t="s">
        <v>1747</v>
      </c>
      <c r="C237" s="5" t="s">
        <v>488</v>
      </c>
      <c r="D237" s="5" t="s">
        <v>60</v>
      </c>
      <c r="E237" s="2" t="s">
        <v>1384</v>
      </c>
      <c r="F237" s="5" t="s">
        <v>62</v>
      </c>
      <c r="G237" s="5" t="n">
        <v>5</v>
      </c>
      <c r="H237" s="5" t="s">
        <v>89</v>
      </c>
      <c r="I237" s="5" t="s">
        <v>64</v>
      </c>
      <c r="J237" s="5" t="s">
        <v>65</v>
      </c>
      <c r="K237" s="5" t="s">
        <v>66</v>
      </c>
      <c r="L237" s="2" t="s">
        <v>100</v>
      </c>
      <c r="M237" s="2" t="s">
        <v>304</v>
      </c>
      <c r="N237" s="2" t="s">
        <v>367</v>
      </c>
      <c r="O237" s="2" t="s">
        <v>1105</v>
      </c>
      <c r="P237" s="2"/>
      <c r="Q237" s="5" t="n">
        <v>1</v>
      </c>
      <c r="R237" s="2" t="s">
        <v>71</v>
      </c>
      <c r="S237" s="2" t="s">
        <v>1748</v>
      </c>
      <c r="T237" s="2" t="s">
        <v>1432</v>
      </c>
      <c r="U237" s="2" t="s">
        <v>74</v>
      </c>
      <c r="V237" s="5" t="n">
        <v>300</v>
      </c>
      <c r="W237" s="2"/>
      <c r="X237" s="2" t="s">
        <v>1108</v>
      </c>
      <c r="Y237" s="5" t="s">
        <v>309</v>
      </c>
      <c r="Z237" s="2" t="s">
        <v>1749</v>
      </c>
      <c r="AA237" s="6" t="s">
        <v>1750</v>
      </c>
    </row>
    <row r="238" customFormat="false" ht="68.65" hidden="false" customHeight="false" outlineLevel="0" collapsed="false">
      <c r="A238" s="5" t="s">
        <v>1751</v>
      </c>
      <c r="B238" s="2" t="s">
        <v>1752</v>
      </c>
      <c r="C238" s="5" t="s">
        <v>488</v>
      </c>
      <c r="D238" s="5" t="s">
        <v>60</v>
      </c>
      <c r="E238" s="2"/>
      <c r="F238" s="5" t="s">
        <v>62</v>
      </c>
      <c r="G238" s="5" t="n">
        <v>7</v>
      </c>
      <c r="H238" s="5" t="s">
        <v>89</v>
      </c>
      <c r="I238" s="5" t="s">
        <v>64</v>
      </c>
      <c r="J238" s="5" t="s">
        <v>65</v>
      </c>
      <c r="K238" s="5" t="s">
        <v>66</v>
      </c>
      <c r="L238" s="2" t="s">
        <v>67</v>
      </c>
      <c r="M238" s="2" t="s">
        <v>1753</v>
      </c>
      <c r="N238" s="2" t="s">
        <v>367</v>
      </c>
      <c r="O238" s="2" t="s">
        <v>1105</v>
      </c>
      <c r="P238" s="2"/>
      <c r="Q238" s="5" t="n">
        <v>1</v>
      </c>
      <c r="R238" s="2" t="s">
        <v>71</v>
      </c>
      <c r="S238" s="2" t="s">
        <v>1754</v>
      </c>
      <c r="T238" s="2" t="s">
        <v>1176</v>
      </c>
      <c r="U238" s="2" t="s">
        <v>74</v>
      </c>
      <c r="V238" s="5" t="n">
        <v>300</v>
      </c>
      <c r="W238" s="2"/>
      <c r="X238" s="2" t="s">
        <v>1108</v>
      </c>
      <c r="Y238" s="5" t="s">
        <v>309</v>
      </c>
      <c r="Z238" s="2" t="s">
        <v>1755</v>
      </c>
      <c r="AA238" s="6" t="s">
        <v>1756</v>
      </c>
    </row>
    <row r="239" customFormat="false" ht="68.65" hidden="false" customHeight="false" outlineLevel="0" collapsed="false">
      <c r="A239" s="5" t="s">
        <v>1757</v>
      </c>
      <c r="B239" s="2" t="s">
        <v>1758</v>
      </c>
      <c r="C239" s="5" t="s">
        <v>488</v>
      </c>
      <c r="D239" s="5" t="s">
        <v>60</v>
      </c>
      <c r="E239" s="2" t="s">
        <v>100</v>
      </c>
      <c r="F239" s="5" t="s">
        <v>62</v>
      </c>
      <c r="G239" s="5" t="n">
        <v>7</v>
      </c>
      <c r="H239" s="5" t="s">
        <v>89</v>
      </c>
      <c r="I239" s="5" t="s">
        <v>64</v>
      </c>
      <c r="J239" s="5" t="s">
        <v>65</v>
      </c>
      <c r="K239" s="5" t="s">
        <v>66</v>
      </c>
      <c r="L239" s="2" t="s">
        <v>100</v>
      </c>
      <c r="M239" s="2" t="s">
        <v>304</v>
      </c>
      <c r="N239" s="2" t="s">
        <v>367</v>
      </c>
      <c r="O239" s="2" t="s">
        <v>1105</v>
      </c>
      <c r="P239" s="2"/>
      <c r="Q239" s="5" t="n">
        <v>1</v>
      </c>
      <c r="R239" s="2" t="s">
        <v>71</v>
      </c>
      <c r="S239" s="2" t="s">
        <v>1759</v>
      </c>
      <c r="T239" s="2" t="s">
        <v>1176</v>
      </c>
      <c r="U239" s="2" t="s">
        <v>74</v>
      </c>
      <c r="V239" s="5" t="n">
        <v>300</v>
      </c>
      <c r="W239" s="2"/>
      <c r="X239" s="2" t="s">
        <v>1108</v>
      </c>
      <c r="Y239" s="5" t="s">
        <v>309</v>
      </c>
      <c r="Z239" s="2" t="s">
        <v>1760</v>
      </c>
      <c r="AA239" s="6" t="s">
        <v>1761</v>
      </c>
    </row>
    <row r="240" customFormat="false" ht="79.85" hidden="false" customHeight="false" outlineLevel="0" collapsed="false">
      <c r="A240" s="5" t="s">
        <v>1762</v>
      </c>
      <c r="B240" s="2" t="s">
        <v>1763</v>
      </c>
      <c r="C240" s="5" t="s">
        <v>488</v>
      </c>
      <c r="D240" s="5" t="s">
        <v>60</v>
      </c>
      <c r="E240" s="2" t="s">
        <v>481</v>
      </c>
      <c r="F240" s="5" t="s">
        <v>62</v>
      </c>
      <c r="G240" s="5" t="n">
        <v>7</v>
      </c>
      <c r="H240" s="5" t="s">
        <v>89</v>
      </c>
      <c r="I240" s="5" t="s">
        <v>64</v>
      </c>
      <c r="J240" s="5" t="s">
        <v>65</v>
      </c>
      <c r="K240" s="5" t="s">
        <v>66</v>
      </c>
      <c r="L240" s="2" t="s">
        <v>481</v>
      </c>
      <c r="M240" s="2" t="s">
        <v>1764</v>
      </c>
      <c r="N240" s="2" t="s">
        <v>367</v>
      </c>
      <c r="O240" s="2" t="s">
        <v>1160</v>
      </c>
      <c r="P240" s="2"/>
      <c r="Q240" s="5" t="n">
        <v>1</v>
      </c>
      <c r="R240" s="2" t="s">
        <v>71</v>
      </c>
      <c r="S240" s="2" t="s">
        <v>1765</v>
      </c>
      <c r="T240" s="2" t="s">
        <v>1162</v>
      </c>
      <c r="U240" s="2" t="s">
        <v>74</v>
      </c>
      <c r="V240" s="5" t="n">
        <v>300</v>
      </c>
      <c r="W240" s="2"/>
      <c r="X240" s="2" t="s">
        <v>1163</v>
      </c>
      <c r="Y240" s="5"/>
      <c r="Z240" s="2" t="s">
        <v>1766</v>
      </c>
      <c r="AA240" s="6" t="s">
        <v>1767</v>
      </c>
    </row>
    <row r="241" customFormat="false" ht="57.45" hidden="false" customHeight="false" outlineLevel="0" collapsed="false">
      <c r="A241" s="5" t="s">
        <v>1768</v>
      </c>
      <c r="B241" s="2" t="s">
        <v>1769</v>
      </c>
      <c r="C241" s="5" t="s">
        <v>488</v>
      </c>
      <c r="D241" s="5" t="s">
        <v>60</v>
      </c>
      <c r="E241" s="2"/>
      <c r="F241" s="5" t="s">
        <v>62</v>
      </c>
      <c r="G241" s="5" t="n">
        <v>5</v>
      </c>
      <c r="H241" s="5" t="s">
        <v>89</v>
      </c>
      <c r="I241" s="5" t="s">
        <v>64</v>
      </c>
      <c r="J241" s="5" t="s">
        <v>65</v>
      </c>
      <c r="K241" s="5" t="s">
        <v>66</v>
      </c>
      <c r="L241" s="2" t="s">
        <v>90</v>
      </c>
      <c r="M241" s="2"/>
      <c r="N241" s="2" t="s">
        <v>367</v>
      </c>
      <c r="O241" s="2" t="s">
        <v>1105</v>
      </c>
      <c r="P241" s="2"/>
      <c r="Q241" s="5" t="n">
        <v>1</v>
      </c>
      <c r="R241" s="2" t="s">
        <v>71</v>
      </c>
      <c r="S241" s="2" t="s">
        <v>1770</v>
      </c>
      <c r="T241" s="2" t="s">
        <v>1176</v>
      </c>
      <c r="U241" s="2" t="s">
        <v>74</v>
      </c>
      <c r="V241" s="5" t="n">
        <v>300</v>
      </c>
      <c r="W241" s="2"/>
      <c r="X241" s="2" t="s">
        <v>1108</v>
      </c>
      <c r="Y241" s="5" t="s">
        <v>309</v>
      </c>
      <c r="Z241" s="2" t="s">
        <v>1771</v>
      </c>
      <c r="AA241" s="6" t="s">
        <v>1772</v>
      </c>
    </row>
    <row r="242" customFormat="false" ht="79.85" hidden="false" customHeight="false" outlineLevel="0" collapsed="false">
      <c r="A242" s="5" t="s">
        <v>1773</v>
      </c>
      <c r="B242" s="2" t="s">
        <v>1774</v>
      </c>
      <c r="C242" s="5" t="s">
        <v>488</v>
      </c>
      <c r="D242" s="5" t="s">
        <v>60</v>
      </c>
      <c r="E242" s="2" t="s">
        <v>1384</v>
      </c>
      <c r="F242" s="5" t="s">
        <v>62</v>
      </c>
      <c r="G242" s="5" t="n">
        <v>7</v>
      </c>
      <c r="H242" s="5" t="s">
        <v>89</v>
      </c>
      <c r="I242" s="5" t="s">
        <v>64</v>
      </c>
      <c r="J242" s="5" t="s">
        <v>65</v>
      </c>
      <c r="K242" s="5" t="s">
        <v>66</v>
      </c>
      <c r="L242" s="2" t="s">
        <v>100</v>
      </c>
      <c r="M242" s="2" t="s">
        <v>304</v>
      </c>
      <c r="N242" s="2" t="s">
        <v>367</v>
      </c>
      <c r="O242" s="2" t="s">
        <v>1105</v>
      </c>
      <c r="P242" s="2"/>
      <c r="Q242" s="5" t="n">
        <v>1</v>
      </c>
      <c r="R242" s="2" t="s">
        <v>71</v>
      </c>
      <c r="S242" s="2" t="s">
        <v>1775</v>
      </c>
      <c r="T242" s="2" t="s">
        <v>1176</v>
      </c>
      <c r="U242" s="2" t="s">
        <v>74</v>
      </c>
      <c r="V242" s="5" t="n">
        <v>300</v>
      </c>
      <c r="W242" s="2"/>
      <c r="X242" s="2" t="s">
        <v>1108</v>
      </c>
      <c r="Y242" s="5" t="s">
        <v>309</v>
      </c>
      <c r="Z242" s="2" t="s">
        <v>1776</v>
      </c>
      <c r="AA242" s="6" t="s">
        <v>1777</v>
      </c>
    </row>
    <row r="243" customFormat="false" ht="46.25" hidden="false" customHeight="false" outlineLevel="0" collapsed="false">
      <c r="A243" s="5" t="s">
        <v>1778</v>
      </c>
      <c r="B243" s="2" t="s">
        <v>1779</v>
      </c>
      <c r="C243" s="5" t="s">
        <v>488</v>
      </c>
      <c r="D243" s="5" t="s">
        <v>60</v>
      </c>
      <c r="E243" s="2" t="s">
        <v>481</v>
      </c>
      <c r="F243" s="5" t="s">
        <v>62</v>
      </c>
      <c r="G243" s="5" t="n">
        <v>5</v>
      </c>
      <c r="H243" s="5" t="s">
        <v>89</v>
      </c>
      <c r="I243" s="5" t="s">
        <v>64</v>
      </c>
      <c r="J243" s="5" t="s">
        <v>65</v>
      </c>
      <c r="K243" s="5" t="s">
        <v>66</v>
      </c>
      <c r="L243" s="2" t="s">
        <v>481</v>
      </c>
      <c r="M243" s="2" t="s">
        <v>1764</v>
      </c>
      <c r="N243" s="2" t="s">
        <v>367</v>
      </c>
      <c r="O243" s="2" t="s">
        <v>1160</v>
      </c>
      <c r="P243" s="2"/>
      <c r="Q243" s="5" t="n">
        <v>1</v>
      </c>
      <c r="R243" s="2" t="s">
        <v>71</v>
      </c>
      <c r="S243" s="2" t="s">
        <v>1780</v>
      </c>
      <c r="T243" s="2" t="s">
        <v>1162</v>
      </c>
      <c r="U243" s="2" t="s">
        <v>74</v>
      </c>
      <c r="V243" s="5" t="n">
        <v>300</v>
      </c>
      <c r="W243" s="2"/>
      <c r="X243" s="2" t="s">
        <v>1163</v>
      </c>
      <c r="Y243" s="5"/>
      <c r="Z243" s="2" t="s">
        <v>1781</v>
      </c>
      <c r="AA243" s="6" t="s">
        <v>1782</v>
      </c>
    </row>
    <row r="244" customFormat="false" ht="46.25" hidden="false" customHeight="false" outlineLevel="0" collapsed="false">
      <c r="A244" s="5" t="s">
        <v>1783</v>
      </c>
      <c r="B244" s="2" t="s">
        <v>1784</v>
      </c>
      <c r="C244" s="5" t="s">
        <v>488</v>
      </c>
      <c r="D244" s="5" t="s">
        <v>60</v>
      </c>
      <c r="E244" s="2" t="s">
        <v>1104</v>
      </c>
      <c r="F244" s="5" t="s">
        <v>62</v>
      </c>
      <c r="G244" s="5" t="n">
        <v>7</v>
      </c>
      <c r="H244" s="5" t="s">
        <v>89</v>
      </c>
      <c r="I244" s="5" t="s">
        <v>64</v>
      </c>
      <c r="J244" s="5" t="s">
        <v>65</v>
      </c>
      <c r="K244" s="5" t="s">
        <v>66</v>
      </c>
      <c r="L244" s="2" t="s">
        <v>100</v>
      </c>
      <c r="M244" s="2" t="s">
        <v>450</v>
      </c>
      <c r="N244" s="2" t="s">
        <v>367</v>
      </c>
      <c r="O244" s="2" t="s">
        <v>1105</v>
      </c>
      <c r="P244" s="2"/>
      <c r="Q244" s="5" t="n">
        <v>1</v>
      </c>
      <c r="R244" s="2" t="s">
        <v>71</v>
      </c>
      <c r="S244" s="2" t="s">
        <v>1785</v>
      </c>
      <c r="T244" s="2" t="s">
        <v>1269</v>
      </c>
      <c r="U244" s="2" t="s">
        <v>74</v>
      </c>
      <c r="V244" s="5" t="n">
        <v>300</v>
      </c>
      <c r="W244" s="2"/>
      <c r="X244" s="2" t="s">
        <v>1108</v>
      </c>
      <c r="Y244" s="5" t="s">
        <v>309</v>
      </c>
      <c r="Z244" s="2" t="s">
        <v>1786</v>
      </c>
      <c r="AA244" s="6" t="s">
        <v>1787</v>
      </c>
    </row>
    <row r="245" customFormat="false" ht="68.65" hidden="false" customHeight="false" outlineLevel="0" collapsed="false">
      <c r="A245" s="5" t="s">
        <v>1788</v>
      </c>
      <c r="B245" s="2" t="s">
        <v>1789</v>
      </c>
      <c r="C245" s="5" t="s">
        <v>488</v>
      </c>
      <c r="D245" s="5" t="s">
        <v>60</v>
      </c>
      <c r="E245" s="2" t="s">
        <v>100</v>
      </c>
      <c r="F245" s="5" t="s">
        <v>62</v>
      </c>
      <c r="G245" s="5" t="n">
        <v>5</v>
      </c>
      <c r="H245" s="5" t="s">
        <v>89</v>
      </c>
      <c r="I245" s="5" t="s">
        <v>64</v>
      </c>
      <c r="J245" s="5" t="s">
        <v>65</v>
      </c>
      <c r="K245" s="5" t="s">
        <v>66</v>
      </c>
      <c r="L245" s="2" t="s">
        <v>100</v>
      </c>
      <c r="M245" s="2" t="s">
        <v>1646</v>
      </c>
      <c r="N245" s="2" t="s">
        <v>367</v>
      </c>
      <c r="O245" s="2" t="s">
        <v>1105</v>
      </c>
      <c r="P245" s="2"/>
      <c r="Q245" s="5" t="n">
        <v>1</v>
      </c>
      <c r="R245" s="2" t="s">
        <v>71</v>
      </c>
      <c r="S245" s="2" t="s">
        <v>1790</v>
      </c>
      <c r="T245" s="2" t="s">
        <v>1791</v>
      </c>
      <c r="U245" s="2" t="s">
        <v>74</v>
      </c>
      <c r="V245" s="5" t="n">
        <v>300</v>
      </c>
      <c r="W245" s="2"/>
      <c r="X245" s="2" t="s">
        <v>1108</v>
      </c>
      <c r="Y245" s="5" t="s">
        <v>309</v>
      </c>
      <c r="Z245" s="2" t="s">
        <v>1792</v>
      </c>
      <c r="AA245" s="6" t="s">
        <v>1793</v>
      </c>
    </row>
    <row r="246" customFormat="false" ht="68.65" hidden="false" customHeight="false" outlineLevel="0" collapsed="false">
      <c r="A246" s="5" t="s">
        <v>1794</v>
      </c>
      <c r="B246" s="2" t="s">
        <v>1795</v>
      </c>
      <c r="C246" s="5" t="s">
        <v>488</v>
      </c>
      <c r="D246" s="5" t="s">
        <v>60</v>
      </c>
      <c r="E246" s="2" t="s">
        <v>1104</v>
      </c>
      <c r="F246" s="5" t="s">
        <v>62</v>
      </c>
      <c r="G246" s="5" t="n">
        <v>9</v>
      </c>
      <c r="H246" s="5" t="s">
        <v>63</v>
      </c>
      <c r="I246" s="5" t="s">
        <v>64</v>
      </c>
      <c r="J246" s="5" t="s">
        <v>65</v>
      </c>
      <c r="K246" s="5" t="s">
        <v>66</v>
      </c>
      <c r="L246" s="2" t="s">
        <v>100</v>
      </c>
      <c r="M246" s="2" t="s">
        <v>456</v>
      </c>
      <c r="N246" s="2" t="s">
        <v>367</v>
      </c>
      <c r="O246" s="2" t="s">
        <v>1160</v>
      </c>
      <c r="P246" s="2"/>
      <c r="Q246" s="5" t="n">
        <v>1</v>
      </c>
      <c r="R246" s="2" t="s">
        <v>71</v>
      </c>
      <c r="S246" s="2" t="s">
        <v>1796</v>
      </c>
      <c r="T246" s="2" t="s">
        <v>1193</v>
      </c>
      <c r="U246" s="2" t="s">
        <v>74</v>
      </c>
      <c r="V246" s="5" t="n">
        <v>300</v>
      </c>
      <c r="W246" s="2"/>
      <c r="X246" s="2" t="s">
        <v>1163</v>
      </c>
      <c r="Y246" s="5"/>
      <c r="Z246" s="2" t="s">
        <v>1797</v>
      </c>
      <c r="AA246" s="6" t="s">
        <v>1798</v>
      </c>
    </row>
    <row r="247" customFormat="false" ht="57.45" hidden="false" customHeight="false" outlineLevel="0" collapsed="false">
      <c r="A247" s="5" t="s">
        <v>1799</v>
      </c>
      <c r="B247" s="2" t="s">
        <v>1800</v>
      </c>
      <c r="C247" s="5" t="s">
        <v>488</v>
      </c>
      <c r="D247" s="5" t="s">
        <v>60</v>
      </c>
      <c r="E247" s="2" t="s">
        <v>397</v>
      </c>
      <c r="F247" s="5" t="s">
        <v>62</v>
      </c>
      <c r="G247" s="5" t="n">
        <v>9</v>
      </c>
      <c r="H247" s="5" t="s">
        <v>63</v>
      </c>
      <c r="I247" s="5" t="s">
        <v>64</v>
      </c>
      <c r="J247" s="5" t="s">
        <v>65</v>
      </c>
      <c r="K247" s="5" t="s">
        <v>66</v>
      </c>
      <c r="L247" s="2" t="s">
        <v>100</v>
      </c>
      <c r="M247" s="2" t="s">
        <v>340</v>
      </c>
      <c r="N247" s="2" t="s">
        <v>184</v>
      </c>
      <c r="O247" s="2" t="s">
        <v>1801</v>
      </c>
      <c r="P247" s="2"/>
      <c r="Q247" s="5" t="n">
        <v>1</v>
      </c>
      <c r="R247" s="2" t="s">
        <v>71</v>
      </c>
      <c r="S247" s="2" t="s">
        <v>1802</v>
      </c>
      <c r="T247" s="2" t="s">
        <v>1803</v>
      </c>
      <c r="U247" s="2" t="s">
        <v>74</v>
      </c>
      <c r="V247" s="5" t="n">
        <v>300</v>
      </c>
      <c r="W247" s="2"/>
      <c r="X247" s="2" t="s">
        <v>1804</v>
      </c>
      <c r="Y247" s="5"/>
      <c r="Z247" s="2" t="s">
        <v>1805</v>
      </c>
      <c r="AA247" s="6" t="s">
        <v>1806</v>
      </c>
    </row>
    <row r="248" customFormat="false" ht="68.65" hidden="false" customHeight="false" outlineLevel="0" collapsed="false">
      <c r="A248" s="5" t="s">
        <v>1807</v>
      </c>
      <c r="B248" s="2" t="s">
        <v>1808</v>
      </c>
      <c r="C248" s="5" t="s">
        <v>488</v>
      </c>
      <c r="D248" s="5" t="s">
        <v>60</v>
      </c>
      <c r="E248" s="2" t="s">
        <v>100</v>
      </c>
      <c r="F248" s="5" t="s">
        <v>62</v>
      </c>
      <c r="G248" s="5" t="n">
        <v>7</v>
      </c>
      <c r="H248" s="5" t="s">
        <v>89</v>
      </c>
      <c r="I248" s="5" t="s">
        <v>64</v>
      </c>
      <c r="J248" s="5" t="s">
        <v>65</v>
      </c>
      <c r="K248" s="5" t="s">
        <v>66</v>
      </c>
      <c r="L248" s="2" t="s">
        <v>100</v>
      </c>
      <c r="M248" s="2" t="s">
        <v>456</v>
      </c>
      <c r="N248" s="2" t="s">
        <v>367</v>
      </c>
      <c r="O248" s="2" t="s">
        <v>1105</v>
      </c>
      <c r="P248" s="2"/>
      <c r="Q248" s="5" t="n">
        <v>1</v>
      </c>
      <c r="R248" s="2" t="s">
        <v>71</v>
      </c>
      <c r="S248" s="2" t="s">
        <v>1809</v>
      </c>
      <c r="T248" s="2" t="s">
        <v>1269</v>
      </c>
      <c r="U248" s="2" t="s">
        <v>74</v>
      </c>
      <c r="V248" s="5" t="n">
        <v>300</v>
      </c>
      <c r="W248" s="2"/>
      <c r="X248" s="2" t="s">
        <v>1108</v>
      </c>
      <c r="Y248" s="5" t="s">
        <v>309</v>
      </c>
      <c r="Z248" s="2" t="s">
        <v>1810</v>
      </c>
      <c r="AA248" s="6" t="s">
        <v>1811</v>
      </c>
    </row>
    <row r="249" customFormat="false" ht="68.65" hidden="false" customHeight="false" outlineLevel="0" collapsed="false">
      <c r="A249" s="5" t="s">
        <v>1812</v>
      </c>
      <c r="B249" s="2" t="s">
        <v>1813</v>
      </c>
      <c r="C249" s="5" t="s">
        <v>488</v>
      </c>
      <c r="D249" s="5" t="s">
        <v>60</v>
      </c>
      <c r="E249" s="2"/>
      <c r="F249" s="5" t="s">
        <v>62</v>
      </c>
      <c r="G249" s="5" t="n">
        <v>5</v>
      </c>
      <c r="H249" s="5" t="s">
        <v>89</v>
      </c>
      <c r="I249" s="5" t="s">
        <v>64</v>
      </c>
      <c r="J249" s="5" t="s">
        <v>65</v>
      </c>
      <c r="K249" s="5" t="s">
        <v>66</v>
      </c>
      <c r="L249" s="2" t="s">
        <v>1814</v>
      </c>
      <c r="M249" s="2" t="s">
        <v>1815</v>
      </c>
      <c r="N249" s="2" t="s">
        <v>367</v>
      </c>
      <c r="O249" s="2" t="s">
        <v>1105</v>
      </c>
      <c r="P249" s="2"/>
      <c r="Q249" s="5" t="n">
        <v>1</v>
      </c>
      <c r="R249" s="2" t="s">
        <v>71</v>
      </c>
      <c r="S249" s="2" t="s">
        <v>1816</v>
      </c>
      <c r="T249" s="2" t="s">
        <v>1139</v>
      </c>
      <c r="U249" s="2" t="s">
        <v>74</v>
      </c>
      <c r="V249" s="5" t="n">
        <v>300</v>
      </c>
      <c r="W249" s="2"/>
      <c r="X249" s="2" t="s">
        <v>1108</v>
      </c>
      <c r="Y249" s="5" t="s">
        <v>309</v>
      </c>
      <c r="Z249" s="2" t="s">
        <v>1817</v>
      </c>
      <c r="AA249" s="6" t="s">
        <v>1818</v>
      </c>
    </row>
    <row r="250" customFormat="false" ht="57.45" hidden="false" customHeight="false" outlineLevel="0" collapsed="false">
      <c r="A250" s="5" t="s">
        <v>1819</v>
      </c>
      <c r="B250" s="2" t="s">
        <v>1820</v>
      </c>
      <c r="C250" s="5" t="s">
        <v>488</v>
      </c>
      <c r="D250" s="5" t="s">
        <v>60</v>
      </c>
      <c r="E250" s="2"/>
      <c r="F250" s="5" t="s">
        <v>62</v>
      </c>
      <c r="G250" s="5" t="n">
        <v>7</v>
      </c>
      <c r="H250" s="5" t="s">
        <v>89</v>
      </c>
      <c r="I250" s="5" t="s">
        <v>64</v>
      </c>
      <c r="J250" s="5" t="s">
        <v>65</v>
      </c>
      <c r="K250" s="5" t="s">
        <v>66</v>
      </c>
      <c r="L250" s="2" t="s">
        <v>413</v>
      </c>
      <c r="M250" s="2" t="s">
        <v>1821</v>
      </c>
      <c r="N250" s="2" t="s">
        <v>367</v>
      </c>
      <c r="O250" s="2" t="s">
        <v>368</v>
      </c>
      <c r="P250" s="2"/>
      <c r="Q250" s="5" t="n">
        <v>1</v>
      </c>
      <c r="R250" s="2" t="s">
        <v>71</v>
      </c>
      <c r="S250" s="2" t="s">
        <v>1822</v>
      </c>
      <c r="T250" s="2" t="s">
        <v>1466</v>
      </c>
      <c r="U250" s="2" t="s">
        <v>74</v>
      </c>
      <c r="V250" s="5" t="n">
        <v>300</v>
      </c>
      <c r="W250" s="2"/>
      <c r="X250" s="2" t="s">
        <v>371</v>
      </c>
      <c r="Y250" s="5" t="s">
        <v>372</v>
      </c>
      <c r="Z250" s="2" t="s">
        <v>1823</v>
      </c>
      <c r="AA250" s="6" t="s">
        <v>1824</v>
      </c>
    </row>
    <row r="251" customFormat="false" ht="158.2" hidden="false" customHeight="false" outlineLevel="0" collapsed="false">
      <c r="A251" s="5" t="s">
        <v>1825</v>
      </c>
      <c r="B251" s="2" t="s">
        <v>1826</v>
      </c>
      <c r="C251" s="5" t="s">
        <v>488</v>
      </c>
      <c r="D251" s="5" t="s">
        <v>60</v>
      </c>
      <c r="E251" s="2" t="s">
        <v>751</v>
      </c>
      <c r="F251" s="5" t="s">
        <v>62</v>
      </c>
      <c r="G251" s="5" t="n">
        <v>7</v>
      </c>
      <c r="H251" s="5" t="s">
        <v>89</v>
      </c>
      <c r="I251" s="5" t="s">
        <v>64</v>
      </c>
      <c r="J251" s="5" t="s">
        <v>65</v>
      </c>
      <c r="K251" s="5" t="s">
        <v>66</v>
      </c>
      <c r="L251" s="2" t="s">
        <v>277</v>
      </c>
      <c r="M251" s="2" t="s">
        <v>314</v>
      </c>
      <c r="N251" s="2" t="s">
        <v>367</v>
      </c>
      <c r="O251" s="2" t="s">
        <v>1105</v>
      </c>
      <c r="P251" s="2"/>
      <c r="Q251" s="5" t="n">
        <v>1</v>
      </c>
      <c r="R251" s="2" t="s">
        <v>71</v>
      </c>
      <c r="S251" s="2" t="s">
        <v>1827</v>
      </c>
      <c r="T251" s="2" t="s">
        <v>1828</v>
      </c>
      <c r="U251" s="2" t="s">
        <v>74</v>
      </c>
      <c r="V251" s="5" t="n">
        <v>300</v>
      </c>
      <c r="W251" s="2"/>
      <c r="X251" s="2" t="s">
        <v>1108</v>
      </c>
      <c r="Y251" s="5" t="s">
        <v>309</v>
      </c>
      <c r="Z251" s="2" t="s">
        <v>1829</v>
      </c>
      <c r="AA251" s="6" t="s">
        <v>1830</v>
      </c>
    </row>
    <row r="252" customFormat="false" ht="68.65" hidden="false" customHeight="false" outlineLevel="0" collapsed="false">
      <c r="A252" s="5" t="s">
        <v>1831</v>
      </c>
      <c r="B252" s="2" t="s">
        <v>1832</v>
      </c>
      <c r="C252" s="5" t="s">
        <v>488</v>
      </c>
      <c r="D252" s="5" t="s">
        <v>60</v>
      </c>
      <c r="E252" s="2" t="s">
        <v>100</v>
      </c>
      <c r="F252" s="5" t="s">
        <v>62</v>
      </c>
      <c r="G252" s="5" t="n">
        <v>7</v>
      </c>
      <c r="H252" s="5" t="s">
        <v>89</v>
      </c>
      <c r="I252" s="5" t="s">
        <v>64</v>
      </c>
      <c r="J252" s="5" t="s">
        <v>65</v>
      </c>
      <c r="K252" s="5" t="s">
        <v>66</v>
      </c>
      <c r="L252" s="2" t="s">
        <v>100</v>
      </c>
      <c r="M252" s="2" t="s">
        <v>585</v>
      </c>
      <c r="N252" s="2" t="s">
        <v>367</v>
      </c>
      <c r="O252" s="2" t="s">
        <v>1105</v>
      </c>
      <c r="P252" s="2"/>
      <c r="Q252" s="5" t="n">
        <v>1</v>
      </c>
      <c r="R252" s="2" t="s">
        <v>71</v>
      </c>
      <c r="S252" s="2" t="s">
        <v>1833</v>
      </c>
      <c r="T252" s="2" t="s">
        <v>1834</v>
      </c>
      <c r="U252" s="2" t="s">
        <v>74</v>
      </c>
      <c r="V252" s="5" t="n">
        <v>300</v>
      </c>
      <c r="W252" s="2"/>
      <c r="X252" s="2" t="s">
        <v>1108</v>
      </c>
      <c r="Y252" s="5" t="s">
        <v>309</v>
      </c>
      <c r="Z252" s="2" t="s">
        <v>1835</v>
      </c>
      <c r="AA252" s="6" t="s">
        <v>1836</v>
      </c>
    </row>
    <row r="253" customFormat="false" ht="68.65" hidden="false" customHeight="false" outlineLevel="0" collapsed="false">
      <c r="A253" s="5" t="s">
        <v>1837</v>
      </c>
      <c r="B253" s="2" t="s">
        <v>1838</v>
      </c>
      <c r="C253" s="5" t="s">
        <v>488</v>
      </c>
      <c r="D253" s="5" t="s">
        <v>60</v>
      </c>
      <c r="E253" s="2" t="s">
        <v>100</v>
      </c>
      <c r="F253" s="5" t="s">
        <v>62</v>
      </c>
      <c r="G253" s="5" t="n">
        <v>7</v>
      </c>
      <c r="H253" s="5" t="s">
        <v>89</v>
      </c>
      <c r="I253" s="5" t="s">
        <v>64</v>
      </c>
      <c r="J253" s="5" t="s">
        <v>65</v>
      </c>
      <c r="K253" s="5" t="s">
        <v>66</v>
      </c>
      <c r="L253" s="2" t="s">
        <v>100</v>
      </c>
      <c r="M253" s="2" t="s">
        <v>304</v>
      </c>
      <c r="N253" s="2" t="s">
        <v>367</v>
      </c>
      <c r="O253" s="2" t="s">
        <v>1105</v>
      </c>
      <c r="P253" s="2"/>
      <c r="Q253" s="5" t="n">
        <v>1</v>
      </c>
      <c r="R253" s="2" t="s">
        <v>71</v>
      </c>
      <c r="S253" s="2" t="s">
        <v>1839</v>
      </c>
      <c r="T253" s="2" t="s">
        <v>1176</v>
      </c>
      <c r="U253" s="2" t="s">
        <v>74</v>
      </c>
      <c r="V253" s="5" t="n">
        <v>300</v>
      </c>
      <c r="W253" s="2"/>
      <c r="X253" s="2" t="s">
        <v>1108</v>
      </c>
      <c r="Y253" s="5" t="s">
        <v>309</v>
      </c>
      <c r="Z253" s="2" t="s">
        <v>1840</v>
      </c>
      <c r="AA253" s="6" t="s">
        <v>1841</v>
      </c>
    </row>
    <row r="254" customFormat="false" ht="57.45" hidden="false" customHeight="false" outlineLevel="0" collapsed="false">
      <c r="A254" s="5" t="s">
        <v>1842</v>
      </c>
      <c r="B254" s="2" t="s">
        <v>1843</v>
      </c>
      <c r="C254" s="5" t="s">
        <v>488</v>
      </c>
      <c r="D254" s="5" t="s">
        <v>60</v>
      </c>
      <c r="E254" s="2"/>
      <c r="F254" s="5" t="s">
        <v>62</v>
      </c>
      <c r="G254" s="5" t="n">
        <v>7</v>
      </c>
      <c r="H254" s="5" t="s">
        <v>89</v>
      </c>
      <c r="I254" s="5" t="s">
        <v>64</v>
      </c>
      <c r="J254" s="5" t="s">
        <v>65</v>
      </c>
      <c r="K254" s="5" t="s">
        <v>66</v>
      </c>
      <c r="L254" s="2" t="s">
        <v>67</v>
      </c>
      <c r="M254" s="2" t="s">
        <v>1844</v>
      </c>
      <c r="N254" s="2" t="s">
        <v>367</v>
      </c>
      <c r="O254" s="2" t="s">
        <v>1105</v>
      </c>
      <c r="P254" s="2"/>
      <c r="Q254" s="5" t="n">
        <v>1</v>
      </c>
      <c r="R254" s="2" t="s">
        <v>71</v>
      </c>
      <c r="S254" s="2" t="s">
        <v>1845</v>
      </c>
      <c r="T254" s="2" t="s">
        <v>1176</v>
      </c>
      <c r="U254" s="2" t="s">
        <v>74</v>
      </c>
      <c r="V254" s="5" t="n">
        <v>300</v>
      </c>
      <c r="W254" s="2"/>
      <c r="X254" s="2" t="s">
        <v>1108</v>
      </c>
      <c r="Y254" s="5" t="s">
        <v>309</v>
      </c>
      <c r="Z254" s="2" t="s">
        <v>1846</v>
      </c>
      <c r="AA254" s="6" t="s">
        <v>1847</v>
      </c>
    </row>
    <row r="255" customFormat="false" ht="57.45" hidden="false" customHeight="false" outlineLevel="0" collapsed="false">
      <c r="A255" s="5" t="s">
        <v>1848</v>
      </c>
      <c r="B255" s="2" t="s">
        <v>1849</v>
      </c>
      <c r="C255" s="5" t="s">
        <v>488</v>
      </c>
      <c r="D255" s="5" t="s">
        <v>60</v>
      </c>
      <c r="E255" s="2" t="s">
        <v>100</v>
      </c>
      <c r="F255" s="5" t="s">
        <v>62</v>
      </c>
      <c r="G255" s="5" t="n">
        <v>7</v>
      </c>
      <c r="H255" s="5" t="s">
        <v>89</v>
      </c>
      <c r="I255" s="5" t="s">
        <v>64</v>
      </c>
      <c r="J255" s="5" t="s">
        <v>65</v>
      </c>
      <c r="K255" s="5" t="s">
        <v>66</v>
      </c>
      <c r="L255" s="2" t="s">
        <v>100</v>
      </c>
      <c r="M255" s="2" t="s">
        <v>304</v>
      </c>
      <c r="N255" s="2" t="s">
        <v>367</v>
      </c>
      <c r="O255" s="2" t="s">
        <v>1160</v>
      </c>
      <c r="P255" s="2"/>
      <c r="Q255" s="5" t="n">
        <v>1</v>
      </c>
      <c r="R255" s="2" t="s">
        <v>71</v>
      </c>
      <c r="S255" s="2" t="s">
        <v>1850</v>
      </c>
      <c r="T255" s="2" t="s">
        <v>1193</v>
      </c>
      <c r="U255" s="2" t="s">
        <v>74</v>
      </c>
      <c r="V255" s="5" t="n">
        <v>300</v>
      </c>
      <c r="W255" s="2"/>
      <c r="X255" s="2" t="s">
        <v>1163</v>
      </c>
      <c r="Y255" s="5"/>
      <c r="Z255" s="2" t="s">
        <v>1851</v>
      </c>
      <c r="AA255" s="6" t="s">
        <v>1852</v>
      </c>
    </row>
    <row r="256" customFormat="false" ht="68.65" hidden="false" customHeight="false" outlineLevel="0" collapsed="false">
      <c r="A256" s="5" t="s">
        <v>1853</v>
      </c>
      <c r="B256" s="2" t="s">
        <v>1854</v>
      </c>
      <c r="C256" s="5" t="s">
        <v>488</v>
      </c>
      <c r="D256" s="5" t="s">
        <v>60</v>
      </c>
      <c r="E256" s="2" t="s">
        <v>303</v>
      </c>
      <c r="F256" s="5" t="s">
        <v>62</v>
      </c>
      <c r="G256" s="5" t="n">
        <v>9</v>
      </c>
      <c r="H256" s="5" t="s">
        <v>63</v>
      </c>
      <c r="I256" s="5" t="s">
        <v>64</v>
      </c>
      <c r="J256" s="5" t="s">
        <v>65</v>
      </c>
      <c r="K256" s="5" t="s">
        <v>66</v>
      </c>
      <c r="L256" s="2" t="s">
        <v>100</v>
      </c>
      <c r="M256" s="2" t="s">
        <v>1855</v>
      </c>
      <c r="N256" s="2" t="s">
        <v>184</v>
      </c>
      <c r="O256" s="2" t="s">
        <v>1581</v>
      </c>
      <c r="P256" s="2"/>
      <c r="Q256" s="5" t="n">
        <v>1</v>
      </c>
      <c r="R256" s="2" t="s">
        <v>71</v>
      </c>
      <c r="S256" s="2" t="s">
        <v>1856</v>
      </c>
      <c r="T256" s="2" t="s">
        <v>1857</v>
      </c>
      <c r="U256" s="2" t="s">
        <v>74</v>
      </c>
      <c r="V256" s="5" t="n">
        <v>300</v>
      </c>
      <c r="W256" s="2"/>
      <c r="X256" s="2" t="s">
        <v>1584</v>
      </c>
      <c r="Y256" s="5"/>
      <c r="Z256" s="2" t="s">
        <v>1858</v>
      </c>
      <c r="AA256" s="6" t="s">
        <v>1859</v>
      </c>
    </row>
    <row r="257" customFormat="false" ht="57.45" hidden="false" customHeight="false" outlineLevel="0" collapsed="false">
      <c r="A257" s="5" t="s">
        <v>1860</v>
      </c>
      <c r="B257" s="2" t="s">
        <v>1861</v>
      </c>
      <c r="C257" s="5" t="s">
        <v>488</v>
      </c>
      <c r="D257" s="5" t="s">
        <v>60</v>
      </c>
      <c r="E257" s="2"/>
      <c r="F257" s="5" t="s">
        <v>62</v>
      </c>
      <c r="G257" s="5" t="n">
        <v>9</v>
      </c>
      <c r="H257" s="5" t="s">
        <v>63</v>
      </c>
      <c r="I257" s="5" t="s">
        <v>64</v>
      </c>
      <c r="J257" s="5" t="s">
        <v>65</v>
      </c>
      <c r="K257" s="5" t="s">
        <v>66</v>
      </c>
      <c r="L257" s="2" t="s">
        <v>90</v>
      </c>
      <c r="M257" s="2" t="s">
        <v>467</v>
      </c>
      <c r="N257" s="2" t="s">
        <v>367</v>
      </c>
      <c r="O257" s="2" t="s">
        <v>1221</v>
      </c>
      <c r="P257" s="2"/>
      <c r="Q257" s="5" t="n">
        <v>1</v>
      </c>
      <c r="R257" s="2" t="s">
        <v>71</v>
      </c>
      <c r="S257" s="2" t="s">
        <v>1862</v>
      </c>
      <c r="T257" s="2" t="s">
        <v>1302</v>
      </c>
      <c r="U257" s="2" t="s">
        <v>74</v>
      </c>
      <c r="V257" s="5" t="n">
        <v>300</v>
      </c>
      <c r="W257" s="2"/>
      <c r="X257" s="2" t="s">
        <v>1224</v>
      </c>
      <c r="Y257" s="5" t="s">
        <v>1225</v>
      </c>
      <c r="Z257" s="2" t="s">
        <v>1863</v>
      </c>
      <c r="AA257" s="6" t="s">
        <v>1864</v>
      </c>
    </row>
    <row r="258" customFormat="false" ht="57.45" hidden="false" customHeight="false" outlineLevel="0" collapsed="false">
      <c r="A258" s="5" t="s">
        <v>1865</v>
      </c>
      <c r="B258" s="2" t="s">
        <v>1866</v>
      </c>
      <c r="C258" s="5" t="s">
        <v>488</v>
      </c>
      <c r="D258" s="5" t="s">
        <v>60</v>
      </c>
      <c r="E258" s="2" t="s">
        <v>751</v>
      </c>
      <c r="F258" s="5" t="s">
        <v>62</v>
      </c>
      <c r="G258" s="5" t="n">
        <v>7</v>
      </c>
      <c r="H258" s="5" t="s">
        <v>89</v>
      </c>
      <c r="I258" s="5" t="s">
        <v>64</v>
      </c>
      <c r="J258" s="5" t="s">
        <v>65</v>
      </c>
      <c r="K258" s="5" t="s">
        <v>66</v>
      </c>
      <c r="L258" s="2" t="s">
        <v>536</v>
      </c>
      <c r="M258" s="2" t="s">
        <v>1714</v>
      </c>
      <c r="N258" s="2" t="s">
        <v>367</v>
      </c>
      <c r="O258" s="2" t="s">
        <v>1105</v>
      </c>
      <c r="P258" s="2"/>
      <c r="Q258" s="5" t="n">
        <v>1</v>
      </c>
      <c r="R258" s="2" t="s">
        <v>71</v>
      </c>
      <c r="S258" s="2" t="s">
        <v>1867</v>
      </c>
      <c r="T258" s="2" t="s">
        <v>1139</v>
      </c>
      <c r="U258" s="2" t="s">
        <v>74</v>
      </c>
      <c r="V258" s="5" t="n">
        <v>300</v>
      </c>
      <c r="W258" s="2"/>
      <c r="X258" s="2" t="s">
        <v>1108</v>
      </c>
      <c r="Y258" s="5" t="s">
        <v>309</v>
      </c>
      <c r="Z258" s="2" t="s">
        <v>1868</v>
      </c>
      <c r="AA258" s="6" t="s">
        <v>1869</v>
      </c>
    </row>
    <row r="259" customFormat="false" ht="57.45" hidden="false" customHeight="false" outlineLevel="0" collapsed="false">
      <c r="A259" s="5" t="s">
        <v>1870</v>
      </c>
      <c r="B259" s="2" t="s">
        <v>1871</v>
      </c>
      <c r="C259" s="5" t="s">
        <v>488</v>
      </c>
      <c r="D259" s="5" t="s">
        <v>60</v>
      </c>
      <c r="E259" s="2" t="s">
        <v>100</v>
      </c>
      <c r="F259" s="5" t="s">
        <v>62</v>
      </c>
      <c r="G259" s="5" t="n">
        <v>5</v>
      </c>
      <c r="H259" s="5" t="s">
        <v>89</v>
      </c>
      <c r="I259" s="5" t="s">
        <v>64</v>
      </c>
      <c r="J259" s="5" t="s">
        <v>65</v>
      </c>
      <c r="K259" s="5" t="s">
        <v>66</v>
      </c>
      <c r="L259" s="2" t="s">
        <v>100</v>
      </c>
      <c r="M259" s="2" t="s">
        <v>450</v>
      </c>
      <c r="N259" s="2" t="s">
        <v>367</v>
      </c>
      <c r="O259" s="2" t="s">
        <v>1105</v>
      </c>
      <c r="P259" s="2"/>
      <c r="Q259" s="5" t="n">
        <v>1</v>
      </c>
      <c r="R259" s="2" t="s">
        <v>71</v>
      </c>
      <c r="S259" s="2" t="s">
        <v>1872</v>
      </c>
      <c r="T259" s="2" t="s">
        <v>1176</v>
      </c>
      <c r="U259" s="2" t="s">
        <v>74</v>
      </c>
      <c r="V259" s="5" t="n">
        <v>300</v>
      </c>
      <c r="W259" s="2"/>
      <c r="X259" s="2" t="s">
        <v>1108</v>
      </c>
      <c r="Y259" s="5" t="s">
        <v>309</v>
      </c>
      <c r="Z259" s="2" t="s">
        <v>1873</v>
      </c>
      <c r="AA259" s="6" t="s">
        <v>1874</v>
      </c>
    </row>
    <row r="260" customFormat="false" ht="68.65" hidden="false" customHeight="false" outlineLevel="0" collapsed="false">
      <c r="A260" s="5" t="s">
        <v>1875</v>
      </c>
      <c r="B260" s="2" t="s">
        <v>1876</v>
      </c>
      <c r="C260" s="5" t="s">
        <v>488</v>
      </c>
      <c r="D260" s="5" t="s">
        <v>60</v>
      </c>
      <c r="E260" s="2" t="s">
        <v>100</v>
      </c>
      <c r="F260" s="5" t="s">
        <v>62</v>
      </c>
      <c r="G260" s="5" t="n">
        <v>9</v>
      </c>
      <c r="H260" s="5" t="s">
        <v>63</v>
      </c>
      <c r="I260" s="5" t="s">
        <v>64</v>
      </c>
      <c r="J260" s="5" t="s">
        <v>65</v>
      </c>
      <c r="K260" s="5" t="s">
        <v>66</v>
      </c>
      <c r="L260" s="2" t="s">
        <v>100</v>
      </c>
      <c r="M260" s="2" t="s">
        <v>1877</v>
      </c>
      <c r="N260" s="2" t="s">
        <v>367</v>
      </c>
      <c r="O260" s="2" t="s">
        <v>1221</v>
      </c>
      <c r="P260" s="2"/>
      <c r="Q260" s="5" t="n">
        <v>1</v>
      </c>
      <c r="R260" s="2" t="s">
        <v>71</v>
      </c>
      <c r="S260" s="2" t="s">
        <v>1878</v>
      </c>
      <c r="T260" s="2" t="s">
        <v>1879</v>
      </c>
      <c r="U260" s="2" t="s">
        <v>74</v>
      </c>
      <c r="V260" s="5" t="n">
        <v>300</v>
      </c>
      <c r="W260" s="2"/>
      <c r="X260" s="2" t="s">
        <v>1224</v>
      </c>
      <c r="Y260" s="5" t="s">
        <v>1225</v>
      </c>
      <c r="Z260" s="2" t="s">
        <v>1880</v>
      </c>
      <c r="AA260" s="6" t="s">
        <v>1881</v>
      </c>
    </row>
    <row r="261" customFormat="false" ht="68.65" hidden="false" customHeight="false" outlineLevel="0" collapsed="false">
      <c r="A261" s="5" t="s">
        <v>1882</v>
      </c>
      <c r="B261" s="2" t="s">
        <v>1883</v>
      </c>
      <c r="C261" s="5" t="s">
        <v>488</v>
      </c>
      <c r="D261" s="5" t="s">
        <v>60</v>
      </c>
      <c r="E261" s="2" t="s">
        <v>100</v>
      </c>
      <c r="F261" s="5" t="s">
        <v>62</v>
      </c>
      <c r="G261" s="5" t="n">
        <v>7</v>
      </c>
      <c r="H261" s="5" t="s">
        <v>89</v>
      </c>
      <c r="I261" s="5" t="s">
        <v>64</v>
      </c>
      <c r="J261" s="5" t="s">
        <v>65</v>
      </c>
      <c r="K261" s="5" t="s">
        <v>66</v>
      </c>
      <c r="L261" s="2" t="s">
        <v>100</v>
      </c>
      <c r="M261" s="2" t="s">
        <v>1646</v>
      </c>
      <c r="N261" s="2" t="s">
        <v>367</v>
      </c>
      <c r="O261" s="2" t="s">
        <v>1105</v>
      </c>
      <c r="P261" s="2"/>
      <c r="Q261" s="5" t="n">
        <v>1</v>
      </c>
      <c r="R261" s="2" t="s">
        <v>71</v>
      </c>
      <c r="S261" s="2" t="s">
        <v>1884</v>
      </c>
      <c r="T261" s="2" t="s">
        <v>1885</v>
      </c>
      <c r="U261" s="2" t="s">
        <v>74</v>
      </c>
      <c r="V261" s="5" t="n">
        <v>300</v>
      </c>
      <c r="W261" s="2"/>
      <c r="X261" s="2" t="s">
        <v>1108</v>
      </c>
      <c r="Y261" s="5" t="s">
        <v>309</v>
      </c>
      <c r="Z261" s="2" t="s">
        <v>1886</v>
      </c>
      <c r="AA261" s="6" t="s">
        <v>1887</v>
      </c>
    </row>
    <row r="262" customFormat="false" ht="57.45" hidden="false" customHeight="false" outlineLevel="0" collapsed="false">
      <c r="A262" s="5" t="s">
        <v>1888</v>
      </c>
      <c r="B262" s="2" t="s">
        <v>1889</v>
      </c>
      <c r="C262" s="5" t="s">
        <v>488</v>
      </c>
      <c r="D262" s="5" t="s">
        <v>60</v>
      </c>
      <c r="E262" s="2" t="s">
        <v>100</v>
      </c>
      <c r="F262" s="5" t="s">
        <v>62</v>
      </c>
      <c r="G262" s="5" t="n">
        <v>7</v>
      </c>
      <c r="H262" s="5" t="s">
        <v>89</v>
      </c>
      <c r="I262" s="5" t="s">
        <v>64</v>
      </c>
      <c r="J262" s="5" t="s">
        <v>65</v>
      </c>
      <c r="K262" s="5" t="s">
        <v>66</v>
      </c>
      <c r="L262" s="2" t="s">
        <v>100</v>
      </c>
      <c r="M262" s="2" t="s">
        <v>1890</v>
      </c>
      <c r="N262" s="2" t="s">
        <v>367</v>
      </c>
      <c r="O262" s="2" t="s">
        <v>1105</v>
      </c>
      <c r="P262" s="2"/>
      <c r="Q262" s="5" t="n">
        <v>1</v>
      </c>
      <c r="R262" s="2" t="s">
        <v>71</v>
      </c>
      <c r="S262" s="2" t="s">
        <v>1891</v>
      </c>
      <c r="T262" s="2" t="s">
        <v>1885</v>
      </c>
      <c r="U262" s="2" t="s">
        <v>74</v>
      </c>
      <c r="V262" s="5" t="n">
        <v>300</v>
      </c>
      <c r="W262" s="2"/>
      <c r="X262" s="2" t="s">
        <v>1108</v>
      </c>
      <c r="Y262" s="5" t="s">
        <v>309</v>
      </c>
      <c r="Z262" s="2" t="s">
        <v>1892</v>
      </c>
      <c r="AA262" s="6" t="s">
        <v>1893</v>
      </c>
    </row>
    <row r="263" customFormat="false" ht="102.2" hidden="false" customHeight="false" outlineLevel="0" collapsed="false">
      <c r="A263" s="5" t="s">
        <v>1894</v>
      </c>
      <c r="B263" s="2" t="s">
        <v>1895</v>
      </c>
      <c r="C263" s="5" t="s">
        <v>488</v>
      </c>
      <c r="D263" s="5" t="s">
        <v>60</v>
      </c>
      <c r="E263" s="2" t="s">
        <v>1104</v>
      </c>
      <c r="F263" s="5" t="s">
        <v>62</v>
      </c>
      <c r="G263" s="5" t="n">
        <v>7</v>
      </c>
      <c r="H263" s="5" t="s">
        <v>89</v>
      </c>
      <c r="I263" s="5" t="s">
        <v>64</v>
      </c>
      <c r="J263" s="5" t="s">
        <v>65</v>
      </c>
      <c r="K263" s="5" t="s">
        <v>66</v>
      </c>
      <c r="L263" s="2" t="s">
        <v>100</v>
      </c>
      <c r="M263" s="2" t="s">
        <v>761</v>
      </c>
      <c r="N263" s="2" t="s">
        <v>367</v>
      </c>
      <c r="O263" s="2" t="s">
        <v>1105</v>
      </c>
      <c r="P263" s="2"/>
      <c r="Q263" s="5" t="n">
        <v>1</v>
      </c>
      <c r="R263" s="2" t="s">
        <v>71</v>
      </c>
      <c r="S263" s="2" t="s">
        <v>1896</v>
      </c>
      <c r="T263" s="2" t="s">
        <v>1107</v>
      </c>
      <c r="U263" s="2" t="s">
        <v>74</v>
      </c>
      <c r="V263" s="5" t="n">
        <v>300</v>
      </c>
      <c r="W263" s="2"/>
      <c r="X263" s="2" t="s">
        <v>1108</v>
      </c>
      <c r="Y263" s="5" t="s">
        <v>309</v>
      </c>
      <c r="Z263" s="2" t="s">
        <v>1897</v>
      </c>
      <c r="AA263" s="6" t="s">
        <v>1898</v>
      </c>
    </row>
    <row r="264" customFormat="false" ht="68.65" hidden="false" customHeight="false" outlineLevel="0" collapsed="false">
      <c r="A264" s="5" t="s">
        <v>1899</v>
      </c>
      <c r="B264" s="2" t="s">
        <v>1900</v>
      </c>
      <c r="C264" s="5" t="s">
        <v>488</v>
      </c>
      <c r="D264" s="5" t="s">
        <v>60</v>
      </c>
      <c r="E264" s="2" t="s">
        <v>161</v>
      </c>
      <c r="F264" s="5" t="s">
        <v>62</v>
      </c>
      <c r="G264" s="5" t="n">
        <v>7</v>
      </c>
      <c r="H264" s="5" t="s">
        <v>89</v>
      </c>
      <c r="I264" s="5" t="s">
        <v>64</v>
      </c>
      <c r="J264" s="5" t="s">
        <v>65</v>
      </c>
      <c r="K264" s="5" t="s">
        <v>66</v>
      </c>
      <c r="L264" s="2" t="s">
        <v>90</v>
      </c>
      <c r="M264" s="2" t="s">
        <v>163</v>
      </c>
      <c r="N264" s="2" t="s">
        <v>367</v>
      </c>
      <c r="O264" s="2" t="s">
        <v>1105</v>
      </c>
      <c r="P264" s="2"/>
      <c r="Q264" s="5" t="n">
        <v>1</v>
      </c>
      <c r="R264" s="2" t="s">
        <v>71</v>
      </c>
      <c r="S264" s="2" t="s">
        <v>1901</v>
      </c>
      <c r="T264" s="2" t="s">
        <v>1139</v>
      </c>
      <c r="U264" s="2" t="s">
        <v>74</v>
      </c>
      <c r="V264" s="5" t="n">
        <v>300</v>
      </c>
      <c r="W264" s="2"/>
      <c r="X264" s="2" t="s">
        <v>1108</v>
      </c>
      <c r="Y264" s="5" t="s">
        <v>309</v>
      </c>
      <c r="Z264" s="2" t="s">
        <v>1902</v>
      </c>
      <c r="AA264" s="6" t="s">
        <v>1903</v>
      </c>
    </row>
    <row r="265" customFormat="false" ht="79.85" hidden="false" customHeight="false" outlineLevel="0" collapsed="false">
      <c r="A265" s="5" t="s">
        <v>1904</v>
      </c>
      <c r="B265" s="2" t="s">
        <v>1905</v>
      </c>
      <c r="C265" s="5" t="s">
        <v>488</v>
      </c>
      <c r="D265" s="5" t="s">
        <v>60</v>
      </c>
      <c r="E265" s="2" t="s">
        <v>100</v>
      </c>
      <c r="F265" s="5" t="s">
        <v>62</v>
      </c>
      <c r="G265" s="5" t="n">
        <v>7</v>
      </c>
      <c r="H265" s="5" t="s">
        <v>89</v>
      </c>
      <c r="I265" s="5" t="s">
        <v>64</v>
      </c>
      <c r="J265" s="5" t="s">
        <v>65</v>
      </c>
      <c r="K265" s="5" t="s">
        <v>66</v>
      </c>
      <c r="L265" s="2" t="s">
        <v>100</v>
      </c>
      <c r="M265" s="2" t="s">
        <v>585</v>
      </c>
      <c r="N265" s="2" t="s">
        <v>367</v>
      </c>
      <c r="O265" s="2" t="s">
        <v>1105</v>
      </c>
      <c r="P265" s="2"/>
      <c r="Q265" s="5" t="n">
        <v>1</v>
      </c>
      <c r="R265" s="2" t="s">
        <v>71</v>
      </c>
      <c r="S265" s="2" t="s">
        <v>1906</v>
      </c>
      <c r="T265" s="2" t="s">
        <v>1269</v>
      </c>
      <c r="U265" s="2" t="s">
        <v>74</v>
      </c>
      <c r="V265" s="5" t="n">
        <v>300</v>
      </c>
      <c r="W265" s="2"/>
      <c r="X265" s="2" t="s">
        <v>1108</v>
      </c>
      <c r="Y265" s="5" t="s">
        <v>309</v>
      </c>
      <c r="Z265" s="2" t="s">
        <v>1907</v>
      </c>
      <c r="AA265" s="6" t="s">
        <v>1908</v>
      </c>
    </row>
    <row r="266" customFormat="false" ht="113.4" hidden="false" customHeight="false" outlineLevel="0" collapsed="false">
      <c r="A266" s="5" t="s">
        <v>1909</v>
      </c>
      <c r="B266" s="2" t="s">
        <v>1910</v>
      </c>
      <c r="C266" s="5" t="s">
        <v>488</v>
      </c>
      <c r="D266" s="5" t="s">
        <v>60</v>
      </c>
      <c r="E266" s="2" t="s">
        <v>339</v>
      </c>
      <c r="F266" s="5" t="s">
        <v>62</v>
      </c>
      <c r="G266" s="5" t="n">
        <v>5</v>
      </c>
      <c r="H266" s="5" t="s">
        <v>89</v>
      </c>
      <c r="I266" s="5" t="s">
        <v>64</v>
      </c>
      <c r="J266" s="5" t="s">
        <v>65</v>
      </c>
      <c r="K266" s="5" t="s">
        <v>66</v>
      </c>
      <c r="L266" s="2" t="s">
        <v>100</v>
      </c>
      <c r="M266" s="2" t="s">
        <v>340</v>
      </c>
      <c r="N266" s="2" t="s">
        <v>184</v>
      </c>
      <c r="O266" s="2" t="s">
        <v>1911</v>
      </c>
      <c r="P266" s="2"/>
      <c r="Q266" s="5" t="n">
        <v>1</v>
      </c>
      <c r="R266" s="2" t="s">
        <v>71</v>
      </c>
      <c r="S266" s="2" t="s">
        <v>1912</v>
      </c>
      <c r="T266" s="2" t="s">
        <v>1913</v>
      </c>
      <c r="U266" s="2" t="s">
        <v>74</v>
      </c>
      <c r="V266" s="5" t="n">
        <v>300</v>
      </c>
      <c r="W266" s="2"/>
      <c r="X266" s="2" t="s">
        <v>345</v>
      </c>
      <c r="Y266" s="5" t="s">
        <v>346</v>
      </c>
      <c r="Z266" s="2" t="s">
        <v>1914</v>
      </c>
      <c r="AA266" s="6" t="s">
        <v>1915</v>
      </c>
    </row>
    <row r="267" customFormat="false" ht="68.65" hidden="false" customHeight="false" outlineLevel="0" collapsed="false">
      <c r="A267" s="5" t="s">
        <v>1916</v>
      </c>
      <c r="B267" s="2" t="s">
        <v>1917</v>
      </c>
      <c r="C267" s="5" t="s">
        <v>488</v>
      </c>
      <c r="D267" s="5" t="s">
        <v>60</v>
      </c>
      <c r="E267" s="2" t="s">
        <v>100</v>
      </c>
      <c r="F267" s="5" t="s">
        <v>62</v>
      </c>
      <c r="G267" s="5" t="n">
        <v>7</v>
      </c>
      <c r="H267" s="5" t="s">
        <v>89</v>
      </c>
      <c r="I267" s="5" t="s">
        <v>64</v>
      </c>
      <c r="J267" s="5" t="s">
        <v>65</v>
      </c>
      <c r="K267" s="5" t="s">
        <v>66</v>
      </c>
      <c r="L267" s="2" t="s">
        <v>100</v>
      </c>
      <c r="M267" s="2" t="s">
        <v>1918</v>
      </c>
      <c r="N267" s="2" t="s">
        <v>367</v>
      </c>
      <c r="O267" s="2" t="s">
        <v>1105</v>
      </c>
      <c r="P267" s="2"/>
      <c r="Q267" s="5" t="n">
        <v>1</v>
      </c>
      <c r="R267" s="2" t="s">
        <v>71</v>
      </c>
      <c r="S267" s="2" t="s">
        <v>1919</v>
      </c>
      <c r="T267" s="2" t="s">
        <v>1176</v>
      </c>
      <c r="U267" s="2" t="s">
        <v>74</v>
      </c>
      <c r="V267" s="5" t="n">
        <v>300</v>
      </c>
      <c r="W267" s="2"/>
      <c r="X267" s="2" t="s">
        <v>1108</v>
      </c>
      <c r="Y267" s="5" t="s">
        <v>309</v>
      </c>
      <c r="Z267" s="2" t="s">
        <v>1920</v>
      </c>
      <c r="AA267" s="6" t="s">
        <v>1921</v>
      </c>
    </row>
    <row r="268" customFormat="false" ht="91" hidden="false" customHeight="false" outlineLevel="0" collapsed="false">
      <c r="A268" s="5" t="s">
        <v>1922</v>
      </c>
      <c r="B268" s="2" t="s">
        <v>1923</v>
      </c>
      <c r="C268" s="5" t="s">
        <v>488</v>
      </c>
      <c r="D268" s="5" t="s">
        <v>60</v>
      </c>
      <c r="E268" s="2" t="s">
        <v>100</v>
      </c>
      <c r="F268" s="5" t="s">
        <v>62</v>
      </c>
      <c r="G268" s="5" t="n">
        <v>7</v>
      </c>
      <c r="H268" s="5" t="s">
        <v>89</v>
      </c>
      <c r="I268" s="5" t="s">
        <v>64</v>
      </c>
      <c r="J268" s="5" t="s">
        <v>65</v>
      </c>
      <c r="K268" s="5" t="s">
        <v>66</v>
      </c>
      <c r="L268" s="2" t="s">
        <v>100</v>
      </c>
      <c r="M268" s="2" t="s">
        <v>304</v>
      </c>
      <c r="N268" s="2" t="s">
        <v>367</v>
      </c>
      <c r="O268" s="2" t="s">
        <v>368</v>
      </c>
      <c r="P268" s="2"/>
      <c r="Q268" s="5" t="n">
        <v>1</v>
      </c>
      <c r="R268" s="2" t="s">
        <v>71</v>
      </c>
      <c r="S268" s="2" t="s">
        <v>1924</v>
      </c>
      <c r="T268" s="2" t="s">
        <v>1925</v>
      </c>
      <c r="U268" s="2" t="s">
        <v>74</v>
      </c>
      <c r="V268" s="5" t="n">
        <v>300</v>
      </c>
      <c r="W268" s="2"/>
      <c r="X268" s="2" t="s">
        <v>371</v>
      </c>
      <c r="Y268" s="5" t="s">
        <v>372</v>
      </c>
      <c r="Z268" s="2" t="s">
        <v>1926</v>
      </c>
      <c r="AA268" s="6" t="s">
        <v>1927</v>
      </c>
    </row>
    <row r="269" customFormat="false" ht="68.65" hidden="false" customHeight="false" outlineLevel="0" collapsed="false">
      <c r="A269" s="5" t="s">
        <v>1928</v>
      </c>
      <c r="B269" s="2" t="s">
        <v>1929</v>
      </c>
      <c r="C269" s="5" t="s">
        <v>488</v>
      </c>
      <c r="D269" s="5" t="s">
        <v>60</v>
      </c>
      <c r="E269" s="2" t="s">
        <v>100</v>
      </c>
      <c r="F269" s="5" t="s">
        <v>62</v>
      </c>
      <c r="G269" s="5" t="n">
        <v>9</v>
      </c>
      <c r="H269" s="5" t="s">
        <v>63</v>
      </c>
      <c r="I269" s="5" t="s">
        <v>64</v>
      </c>
      <c r="J269" s="5" t="s">
        <v>65</v>
      </c>
      <c r="K269" s="5" t="s">
        <v>66</v>
      </c>
      <c r="L269" s="2" t="s">
        <v>100</v>
      </c>
      <c r="M269" s="2" t="s">
        <v>304</v>
      </c>
      <c r="N269" s="2" t="s">
        <v>367</v>
      </c>
      <c r="O269" s="2" t="s">
        <v>1105</v>
      </c>
      <c r="P269" s="2"/>
      <c r="Q269" s="5" t="n">
        <v>1</v>
      </c>
      <c r="R269" s="2" t="s">
        <v>71</v>
      </c>
      <c r="S269" s="2" t="s">
        <v>1930</v>
      </c>
      <c r="T269" s="2" t="s">
        <v>1931</v>
      </c>
      <c r="U269" s="2" t="s">
        <v>74</v>
      </c>
      <c r="V269" s="5" t="n">
        <v>300</v>
      </c>
      <c r="W269" s="2"/>
      <c r="X269" s="2" t="s">
        <v>1108</v>
      </c>
      <c r="Y269" s="5" t="s">
        <v>309</v>
      </c>
      <c r="Z269" s="2" t="s">
        <v>1932</v>
      </c>
      <c r="AA269" s="6" t="s">
        <v>1933</v>
      </c>
    </row>
    <row r="270" customFormat="false" ht="124.6" hidden="false" customHeight="false" outlineLevel="0" collapsed="false">
      <c r="A270" s="5" t="s">
        <v>1934</v>
      </c>
      <c r="B270" s="2" t="s">
        <v>1935</v>
      </c>
      <c r="C270" s="5" t="s">
        <v>488</v>
      </c>
      <c r="D270" s="5" t="s">
        <v>60</v>
      </c>
      <c r="E270" s="2"/>
      <c r="F270" s="5" t="s">
        <v>62</v>
      </c>
      <c r="G270" s="5" t="n">
        <v>7</v>
      </c>
      <c r="H270" s="5" t="s">
        <v>89</v>
      </c>
      <c r="I270" s="5" t="s">
        <v>64</v>
      </c>
      <c r="J270" s="5" t="s">
        <v>65</v>
      </c>
      <c r="K270" s="5" t="s">
        <v>66</v>
      </c>
      <c r="L270" s="2" t="s">
        <v>1210</v>
      </c>
      <c r="M270" s="2" t="s">
        <v>1936</v>
      </c>
      <c r="N270" s="2" t="s">
        <v>367</v>
      </c>
      <c r="O270" s="2" t="s">
        <v>1105</v>
      </c>
      <c r="P270" s="2"/>
      <c r="Q270" s="5" t="n">
        <v>1</v>
      </c>
      <c r="R270" s="2" t="s">
        <v>71</v>
      </c>
      <c r="S270" s="2" t="s">
        <v>1937</v>
      </c>
      <c r="T270" s="2" t="s">
        <v>1176</v>
      </c>
      <c r="U270" s="2" t="s">
        <v>74</v>
      </c>
      <c r="V270" s="5" t="n">
        <v>300</v>
      </c>
      <c r="W270" s="2"/>
      <c r="X270" s="2" t="s">
        <v>1108</v>
      </c>
      <c r="Y270" s="5" t="s">
        <v>309</v>
      </c>
      <c r="Z270" s="2" t="s">
        <v>1938</v>
      </c>
      <c r="AA270" s="6" t="s">
        <v>1939</v>
      </c>
    </row>
    <row r="271" customFormat="false" ht="68.65" hidden="false" customHeight="false" outlineLevel="0" collapsed="false">
      <c r="A271" s="5" t="s">
        <v>1940</v>
      </c>
      <c r="B271" s="2" t="s">
        <v>1941</v>
      </c>
      <c r="C271" s="5" t="s">
        <v>488</v>
      </c>
      <c r="D271" s="5" t="s">
        <v>60</v>
      </c>
      <c r="E271" s="2" t="s">
        <v>1104</v>
      </c>
      <c r="F271" s="5" t="s">
        <v>62</v>
      </c>
      <c r="G271" s="5" t="n">
        <v>7</v>
      </c>
      <c r="H271" s="5" t="s">
        <v>89</v>
      </c>
      <c r="I271" s="5" t="s">
        <v>64</v>
      </c>
      <c r="J271" s="5" t="s">
        <v>65</v>
      </c>
      <c r="K271" s="5" t="s">
        <v>66</v>
      </c>
      <c r="L271" s="2" t="s">
        <v>100</v>
      </c>
      <c r="M271" s="2" t="s">
        <v>450</v>
      </c>
      <c r="N271" s="2" t="s">
        <v>367</v>
      </c>
      <c r="O271" s="2" t="s">
        <v>1160</v>
      </c>
      <c r="P271" s="2"/>
      <c r="Q271" s="5" t="n">
        <v>1</v>
      </c>
      <c r="R271" s="2" t="s">
        <v>71</v>
      </c>
      <c r="S271" s="2" t="s">
        <v>1942</v>
      </c>
      <c r="T271" s="2" t="s">
        <v>1193</v>
      </c>
      <c r="U271" s="2" t="s">
        <v>74</v>
      </c>
      <c r="V271" s="5" t="n">
        <v>300</v>
      </c>
      <c r="W271" s="2"/>
      <c r="X271" s="2" t="s">
        <v>1163</v>
      </c>
      <c r="Y271" s="5"/>
      <c r="Z271" s="2" t="s">
        <v>1943</v>
      </c>
      <c r="AA271" s="6" t="s">
        <v>1944</v>
      </c>
    </row>
    <row r="272" customFormat="false" ht="68.65" hidden="false" customHeight="false" outlineLevel="0" collapsed="false">
      <c r="A272" s="5" t="s">
        <v>1945</v>
      </c>
      <c r="B272" s="2" t="s">
        <v>1946</v>
      </c>
      <c r="C272" s="5" t="s">
        <v>488</v>
      </c>
      <c r="D272" s="5" t="s">
        <v>60</v>
      </c>
      <c r="E272" s="2" t="s">
        <v>100</v>
      </c>
      <c r="F272" s="5" t="s">
        <v>62</v>
      </c>
      <c r="G272" s="5" t="n">
        <v>7</v>
      </c>
      <c r="H272" s="5" t="s">
        <v>89</v>
      </c>
      <c r="I272" s="5" t="s">
        <v>64</v>
      </c>
      <c r="J272" s="5" t="s">
        <v>65</v>
      </c>
      <c r="K272" s="5" t="s">
        <v>66</v>
      </c>
      <c r="L272" s="2" t="s">
        <v>100</v>
      </c>
      <c r="M272" s="2" t="s">
        <v>1437</v>
      </c>
      <c r="N272" s="2" t="s">
        <v>367</v>
      </c>
      <c r="O272" s="2" t="s">
        <v>1105</v>
      </c>
      <c r="P272" s="2"/>
      <c r="Q272" s="5" t="n">
        <v>1</v>
      </c>
      <c r="R272" s="2" t="s">
        <v>71</v>
      </c>
      <c r="S272" s="2" t="s">
        <v>1947</v>
      </c>
      <c r="T272" s="2" t="s">
        <v>1176</v>
      </c>
      <c r="U272" s="2" t="s">
        <v>74</v>
      </c>
      <c r="V272" s="5" t="n">
        <v>300</v>
      </c>
      <c r="W272" s="2"/>
      <c r="X272" s="2" t="s">
        <v>1108</v>
      </c>
      <c r="Y272" s="5" t="s">
        <v>309</v>
      </c>
      <c r="Z272" s="2" t="s">
        <v>1948</v>
      </c>
      <c r="AA272" s="6" t="s">
        <v>1949</v>
      </c>
    </row>
    <row r="273" customFormat="false" ht="169.4" hidden="false" customHeight="false" outlineLevel="0" collapsed="false">
      <c r="A273" s="5" t="s">
        <v>1950</v>
      </c>
      <c r="B273" s="2" t="s">
        <v>1951</v>
      </c>
      <c r="C273" s="5" t="s">
        <v>488</v>
      </c>
      <c r="D273" s="5" t="s">
        <v>60</v>
      </c>
      <c r="E273" s="2" t="s">
        <v>1104</v>
      </c>
      <c r="F273" s="5" t="s">
        <v>62</v>
      </c>
      <c r="G273" s="5" t="n">
        <v>7</v>
      </c>
      <c r="H273" s="5" t="s">
        <v>89</v>
      </c>
      <c r="I273" s="5" t="s">
        <v>64</v>
      </c>
      <c r="J273" s="5" t="s">
        <v>65</v>
      </c>
      <c r="K273" s="5" t="s">
        <v>66</v>
      </c>
      <c r="L273" s="2" t="s">
        <v>100</v>
      </c>
      <c r="M273" s="2" t="s">
        <v>450</v>
      </c>
      <c r="N273" s="2" t="s">
        <v>367</v>
      </c>
      <c r="O273" s="2" t="s">
        <v>1105</v>
      </c>
      <c r="P273" s="2"/>
      <c r="Q273" s="5" t="n">
        <v>1</v>
      </c>
      <c r="R273" s="2" t="s">
        <v>71</v>
      </c>
      <c r="S273" s="2" t="s">
        <v>1952</v>
      </c>
      <c r="T273" s="2" t="s">
        <v>1953</v>
      </c>
      <c r="U273" s="2" t="s">
        <v>74</v>
      </c>
      <c r="V273" s="5" t="n">
        <v>300</v>
      </c>
      <c r="W273" s="2"/>
      <c r="X273" s="2" t="s">
        <v>1108</v>
      </c>
      <c r="Y273" s="5" t="s">
        <v>309</v>
      </c>
      <c r="Z273" s="2" t="s">
        <v>1954</v>
      </c>
      <c r="AA273" s="6" t="s">
        <v>1955</v>
      </c>
    </row>
    <row r="274" customFormat="false" ht="46.25" hidden="false" customHeight="false" outlineLevel="0" collapsed="false">
      <c r="A274" s="5" t="s">
        <v>1956</v>
      </c>
      <c r="B274" s="2" t="s">
        <v>1957</v>
      </c>
      <c r="C274" s="5" t="s">
        <v>488</v>
      </c>
      <c r="D274" s="5" t="s">
        <v>60</v>
      </c>
      <c r="E274" s="2" t="s">
        <v>303</v>
      </c>
      <c r="F274" s="5" t="s">
        <v>62</v>
      </c>
      <c r="G274" s="5" t="n">
        <v>5</v>
      </c>
      <c r="H274" s="5" t="s">
        <v>89</v>
      </c>
      <c r="I274" s="5" t="s">
        <v>64</v>
      </c>
      <c r="J274" s="5" t="s">
        <v>65</v>
      </c>
      <c r="K274" s="5" t="s">
        <v>66</v>
      </c>
      <c r="L274" s="2" t="s">
        <v>100</v>
      </c>
      <c r="M274" s="2" t="s">
        <v>491</v>
      </c>
      <c r="N274" s="2" t="s">
        <v>184</v>
      </c>
      <c r="O274" s="2" t="s">
        <v>1958</v>
      </c>
      <c r="P274" s="2"/>
      <c r="Q274" s="5" t="n">
        <v>1</v>
      </c>
      <c r="R274" s="2" t="s">
        <v>71</v>
      </c>
      <c r="S274" s="2" t="s">
        <v>1959</v>
      </c>
      <c r="T274" s="2" t="s">
        <v>1960</v>
      </c>
      <c r="U274" s="2" t="s">
        <v>74</v>
      </c>
      <c r="V274" s="5" t="n">
        <v>300</v>
      </c>
      <c r="W274" s="2"/>
      <c r="X274" s="2" t="s">
        <v>1635</v>
      </c>
      <c r="Y274" s="5"/>
      <c r="Z274" s="2" t="s">
        <v>1961</v>
      </c>
      <c r="AA274" s="6" t="s">
        <v>1962</v>
      </c>
    </row>
    <row r="275" customFormat="false" ht="68.65" hidden="false" customHeight="false" outlineLevel="0" collapsed="false">
      <c r="A275" s="5" t="s">
        <v>1963</v>
      </c>
      <c r="B275" s="2" t="s">
        <v>1964</v>
      </c>
      <c r="C275" s="5" t="s">
        <v>488</v>
      </c>
      <c r="D275" s="5" t="s">
        <v>60</v>
      </c>
      <c r="E275" s="2" t="s">
        <v>100</v>
      </c>
      <c r="F275" s="5" t="s">
        <v>62</v>
      </c>
      <c r="G275" s="5" t="n">
        <v>7</v>
      </c>
      <c r="H275" s="5" t="s">
        <v>89</v>
      </c>
      <c r="I275" s="5" t="s">
        <v>64</v>
      </c>
      <c r="J275" s="5" t="s">
        <v>65</v>
      </c>
      <c r="K275" s="5" t="s">
        <v>66</v>
      </c>
      <c r="L275" s="2" t="s">
        <v>100</v>
      </c>
      <c r="M275" s="2" t="s">
        <v>304</v>
      </c>
      <c r="N275" s="2" t="s">
        <v>367</v>
      </c>
      <c r="O275" s="2" t="s">
        <v>1212</v>
      </c>
      <c r="P275" s="2"/>
      <c r="Q275" s="5" t="n">
        <v>1</v>
      </c>
      <c r="R275" s="2" t="s">
        <v>71</v>
      </c>
      <c r="S275" s="2" t="s">
        <v>1965</v>
      </c>
      <c r="T275" s="2" t="s">
        <v>1966</v>
      </c>
      <c r="U275" s="2" t="s">
        <v>74</v>
      </c>
      <c r="V275" s="5" t="n">
        <v>300</v>
      </c>
      <c r="W275" s="2"/>
      <c r="X275" s="2" t="s">
        <v>1215</v>
      </c>
      <c r="Y275" s="5"/>
      <c r="Z275" s="2" t="s">
        <v>1967</v>
      </c>
      <c r="AA275" s="6" t="s">
        <v>1968</v>
      </c>
    </row>
    <row r="276" customFormat="false" ht="46.25" hidden="false" customHeight="false" outlineLevel="0" collapsed="false">
      <c r="A276" s="5" t="s">
        <v>1969</v>
      </c>
      <c r="B276" s="2" t="s">
        <v>1970</v>
      </c>
      <c r="C276" s="5" t="s">
        <v>488</v>
      </c>
      <c r="D276" s="5" t="s">
        <v>60</v>
      </c>
      <c r="E276" s="2" t="s">
        <v>1104</v>
      </c>
      <c r="F276" s="5" t="s">
        <v>62</v>
      </c>
      <c r="G276" s="5" t="n">
        <v>5</v>
      </c>
      <c r="H276" s="5" t="s">
        <v>89</v>
      </c>
      <c r="I276" s="5" t="s">
        <v>64</v>
      </c>
      <c r="J276" s="5" t="s">
        <v>65</v>
      </c>
      <c r="K276" s="5" t="s">
        <v>66</v>
      </c>
      <c r="L276" s="2" t="s">
        <v>100</v>
      </c>
      <c r="M276" s="2" t="s">
        <v>1316</v>
      </c>
      <c r="N276" s="2" t="s">
        <v>367</v>
      </c>
      <c r="O276" s="2" t="s">
        <v>1105</v>
      </c>
      <c r="P276" s="2"/>
      <c r="Q276" s="5" t="n">
        <v>1</v>
      </c>
      <c r="R276" s="2" t="s">
        <v>71</v>
      </c>
      <c r="S276" s="2" t="s">
        <v>1971</v>
      </c>
      <c r="T276" s="2" t="s">
        <v>1139</v>
      </c>
      <c r="U276" s="2" t="s">
        <v>74</v>
      </c>
      <c r="V276" s="5" t="n">
        <v>300</v>
      </c>
      <c r="W276" s="2"/>
      <c r="X276" s="2" t="s">
        <v>1108</v>
      </c>
      <c r="Y276" s="5" t="s">
        <v>309</v>
      </c>
      <c r="Z276" s="2" t="s">
        <v>1972</v>
      </c>
      <c r="AA276" s="6" t="s">
        <v>1973</v>
      </c>
    </row>
    <row r="277" customFormat="false" ht="68.65" hidden="false" customHeight="false" outlineLevel="0" collapsed="false">
      <c r="A277" s="5" t="s">
        <v>1974</v>
      </c>
      <c r="B277" s="2" t="s">
        <v>1975</v>
      </c>
      <c r="C277" s="5" t="s">
        <v>488</v>
      </c>
      <c r="D277" s="5" t="s">
        <v>60</v>
      </c>
      <c r="E277" s="2" t="s">
        <v>303</v>
      </c>
      <c r="F277" s="5" t="s">
        <v>62</v>
      </c>
      <c r="G277" s="5" t="n">
        <v>7</v>
      </c>
      <c r="H277" s="5" t="s">
        <v>89</v>
      </c>
      <c r="I277" s="5" t="s">
        <v>64</v>
      </c>
      <c r="J277" s="5" t="s">
        <v>65</v>
      </c>
      <c r="K277" s="5" t="s">
        <v>66</v>
      </c>
      <c r="L277" s="2" t="s">
        <v>100</v>
      </c>
      <c r="M277" s="2" t="s">
        <v>585</v>
      </c>
      <c r="N277" s="2" t="s">
        <v>184</v>
      </c>
      <c r="O277" s="2" t="s">
        <v>1976</v>
      </c>
      <c r="P277" s="2"/>
      <c r="Q277" s="5" t="n">
        <v>1</v>
      </c>
      <c r="R277" s="2" t="s">
        <v>71</v>
      </c>
      <c r="S277" s="2" t="s">
        <v>1977</v>
      </c>
      <c r="T277" s="2" t="s">
        <v>1978</v>
      </c>
      <c r="U277" s="2" t="s">
        <v>74</v>
      </c>
      <c r="V277" s="5" t="n">
        <v>300</v>
      </c>
      <c r="W277" s="2"/>
      <c r="X277" s="2" t="s">
        <v>1979</v>
      </c>
      <c r="Y277" s="5"/>
      <c r="Z277" s="2" t="s">
        <v>1980</v>
      </c>
      <c r="AA277" s="6" t="s">
        <v>1981</v>
      </c>
    </row>
    <row r="278" customFormat="false" ht="91" hidden="false" customHeight="false" outlineLevel="0" collapsed="false">
      <c r="A278" s="5" t="s">
        <v>1982</v>
      </c>
      <c r="B278" s="2" t="s">
        <v>1983</v>
      </c>
      <c r="C278" s="5" t="s">
        <v>488</v>
      </c>
      <c r="D278" s="5" t="s">
        <v>60</v>
      </c>
      <c r="E278" s="2" t="s">
        <v>100</v>
      </c>
      <c r="F278" s="5" t="s">
        <v>62</v>
      </c>
      <c r="G278" s="5" t="n">
        <v>7</v>
      </c>
      <c r="H278" s="5" t="s">
        <v>89</v>
      </c>
      <c r="I278" s="5" t="s">
        <v>64</v>
      </c>
      <c r="J278" s="5" t="s">
        <v>65</v>
      </c>
      <c r="K278" s="5" t="s">
        <v>66</v>
      </c>
      <c r="L278" s="2" t="s">
        <v>100</v>
      </c>
      <c r="M278" s="2" t="s">
        <v>304</v>
      </c>
      <c r="N278" s="2" t="s">
        <v>367</v>
      </c>
      <c r="O278" s="2" t="s">
        <v>1212</v>
      </c>
      <c r="P278" s="2"/>
      <c r="Q278" s="5" t="n">
        <v>1</v>
      </c>
      <c r="R278" s="2" t="s">
        <v>71</v>
      </c>
      <c r="S278" s="2" t="s">
        <v>1984</v>
      </c>
      <c r="T278" s="2" t="s">
        <v>1985</v>
      </c>
      <c r="U278" s="2" t="s">
        <v>74</v>
      </c>
      <c r="V278" s="5" t="n">
        <v>300</v>
      </c>
      <c r="W278" s="2"/>
      <c r="X278" s="2" t="s">
        <v>1215</v>
      </c>
      <c r="Y278" s="5"/>
      <c r="Z278" s="2" t="s">
        <v>1986</v>
      </c>
      <c r="AA278" s="6" t="s">
        <v>1987</v>
      </c>
    </row>
    <row r="279" customFormat="false" ht="57.45" hidden="false" customHeight="false" outlineLevel="0" collapsed="false">
      <c r="A279" s="5" t="s">
        <v>1988</v>
      </c>
      <c r="B279" s="2" t="s">
        <v>1989</v>
      </c>
      <c r="C279" s="5" t="s">
        <v>488</v>
      </c>
      <c r="D279" s="5" t="s">
        <v>60</v>
      </c>
      <c r="E279" s="2" t="s">
        <v>1104</v>
      </c>
      <c r="F279" s="5" t="s">
        <v>62</v>
      </c>
      <c r="G279" s="5" t="n">
        <v>5</v>
      </c>
      <c r="H279" s="5" t="s">
        <v>89</v>
      </c>
      <c r="I279" s="5" t="s">
        <v>64</v>
      </c>
      <c r="J279" s="5" t="s">
        <v>65</v>
      </c>
      <c r="K279" s="5" t="s">
        <v>66</v>
      </c>
      <c r="L279" s="2" t="s">
        <v>100</v>
      </c>
      <c r="M279" s="2" t="s">
        <v>450</v>
      </c>
      <c r="N279" s="2" t="s">
        <v>367</v>
      </c>
      <c r="O279" s="2" t="s">
        <v>1105</v>
      </c>
      <c r="P279" s="2"/>
      <c r="Q279" s="5" t="n">
        <v>1</v>
      </c>
      <c r="R279" s="2" t="s">
        <v>71</v>
      </c>
      <c r="S279" s="2" t="s">
        <v>1990</v>
      </c>
      <c r="T279" s="2" t="s">
        <v>1176</v>
      </c>
      <c r="U279" s="2" t="s">
        <v>74</v>
      </c>
      <c r="V279" s="5" t="n">
        <v>300</v>
      </c>
      <c r="W279" s="2"/>
      <c r="X279" s="2" t="s">
        <v>1108</v>
      </c>
      <c r="Y279" s="5" t="s">
        <v>309</v>
      </c>
      <c r="Z279" s="2" t="s">
        <v>1991</v>
      </c>
      <c r="AA279" s="6" t="s">
        <v>1992</v>
      </c>
    </row>
    <row r="280" customFormat="false" ht="147" hidden="false" customHeight="false" outlineLevel="0" collapsed="false">
      <c r="A280" s="5" t="s">
        <v>1993</v>
      </c>
      <c r="B280" s="2" t="s">
        <v>1994</v>
      </c>
      <c r="C280" s="5" t="s">
        <v>488</v>
      </c>
      <c r="D280" s="5" t="s">
        <v>60</v>
      </c>
      <c r="E280" s="2"/>
      <c r="F280" s="5" t="s">
        <v>62</v>
      </c>
      <c r="G280" s="5" t="n">
        <v>7</v>
      </c>
      <c r="H280" s="5" t="s">
        <v>89</v>
      </c>
      <c r="I280" s="5" t="s">
        <v>64</v>
      </c>
      <c r="J280" s="5" t="s">
        <v>65</v>
      </c>
      <c r="K280" s="5" t="s">
        <v>66</v>
      </c>
      <c r="L280" s="2" t="s">
        <v>536</v>
      </c>
      <c r="M280" s="2" t="s">
        <v>1714</v>
      </c>
      <c r="N280" s="2" t="s">
        <v>367</v>
      </c>
      <c r="O280" s="2" t="s">
        <v>1212</v>
      </c>
      <c r="P280" s="2"/>
      <c r="Q280" s="5" t="n">
        <v>1</v>
      </c>
      <c r="R280" s="2" t="s">
        <v>71</v>
      </c>
      <c r="S280" s="2" t="s">
        <v>1995</v>
      </c>
      <c r="T280" s="2" t="s">
        <v>1996</v>
      </c>
      <c r="U280" s="2" t="s">
        <v>74</v>
      </c>
      <c r="V280" s="5" t="n">
        <v>300</v>
      </c>
      <c r="W280" s="2"/>
      <c r="X280" s="2" t="s">
        <v>1215</v>
      </c>
      <c r="Y280" s="5"/>
      <c r="Z280" s="2" t="s">
        <v>1997</v>
      </c>
      <c r="AA280" s="6" t="s">
        <v>1998</v>
      </c>
    </row>
    <row r="281" customFormat="false" ht="124.6" hidden="false" customHeight="false" outlineLevel="0" collapsed="false">
      <c r="A281" s="5" t="s">
        <v>1999</v>
      </c>
      <c r="B281" s="2" t="s">
        <v>2000</v>
      </c>
      <c r="C281" s="5" t="s">
        <v>488</v>
      </c>
      <c r="D281" s="5" t="s">
        <v>60</v>
      </c>
      <c r="E281" s="2"/>
      <c r="F281" s="5" t="s">
        <v>62</v>
      </c>
      <c r="G281" s="5" t="n">
        <v>7</v>
      </c>
      <c r="H281" s="5" t="s">
        <v>89</v>
      </c>
      <c r="I281" s="5" t="s">
        <v>64</v>
      </c>
      <c r="J281" s="5" t="s">
        <v>65</v>
      </c>
      <c r="K281" s="5" t="s">
        <v>66</v>
      </c>
      <c r="L281" s="2" t="s">
        <v>536</v>
      </c>
      <c r="M281" s="2" t="s">
        <v>1714</v>
      </c>
      <c r="N281" s="2" t="s">
        <v>367</v>
      </c>
      <c r="O281" s="2" t="s">
        <v>1212</v>
      </c>
      <c r="P281" s="2"/>
      <c r="Q281" s="5" t="n">
        <v>1</v>
      </c>
      <c r="R281" s="2" t="s">
        <v>71</v>
      </c>
      <c r="S281" s="2" t="s">
        <v>2001</v>
      </c>
      <c r="T281" s="2" t="s">
        <v>1716</v>
      </c>
      <c r="U281" s="2" t="s">
        <v>74</v>
      </c>
      <c r="V281" s="5" t="n">
        <v>300</v>
      </c>
      <c r="W281" s="2"/>
      <c r="X281" s="2" t="s">
        <v>1215</v>
      </c>
      <c r="Y281" s="5"/>
      <c r="Z281" s="2" t="s">
        <v>2002</v>
      </c>
      <c r="AA281" s="6" t="s">
        <v>2003</v>
      </c>
    </row>
    <row r="282" customFormat="false" ht="79.85" hidden="false" customHeight="false" outlineLevel="0" collapsed="false">
      <c r="A282" s="5" t="s">
        <v>2004</v>
      </c>
      <c r="B282" s="2" t="s">
        <v>2005</v>
      </c>
      <c r="C282" s="5" t="s">
        <v>488</v>
      </c>
      <c r="D282" s="5" t="s">
        <v>60</v>
      </c>
      <c r="E282" s="2" t="s">
        <v>100</v>
      </c>
      <c r="F282" s="5" t="s">
        <v>62</v>
      </c>
      <c r="G282" s="5" t="n">
        <v>7</v>
      </c>
      <c r="H282" s="5" t="s">
        <v>89</v>
      </c>
      <c r="I282" s="5" t="s">
        <v>64</v>
      </c>
      <c r="J282" s="5" t="s">
        <v>65</v>
      </c>
      <c r="K282" s="5" t="s">
        <v>66</v>
      </c>
      <c r="L282" s="2" t="s">
        <v>100</v>
      </c>
      <c r="M282" s="2" t="s">
        <v>304</v>
      </c>
      <c r="N282" s="2" t="s">
        <v>367</v>
      </c>
      <c r="O282" s="2" t="s">
        <v>1212</v>
      </c>
      <c r="P282" s="2"/>
      <c r="Q282" s="5" t="n">
        <v>1</v>
      </c>
      <c r="R282" s="2" t="s">
        <v>71</v>
      </c>
      <c r="S282" s="2" t="s">
        <v>2006</v>
      </c>
      <c r="T282" s="2" t="s">
        <v>2007</v>
      </c>
      <c r="U282" s="2" t="s">
        <v>74</v>
      </c>
      <c r="V282" s="5" t="n">
        <v>300</v>
      </c>
      <c r="W282" s="2"/>
      <c r="X282" s="2" t="s">
        <v>1215</v>
      </c>
      <c r="Y282" s="5"/>
      <c r="Z282" s="2" t="s">
        <v>2008</v>
      </c>
      <c r="AA282" s="6" t="s">
        <v>2009</v>
      </c>
    </row>
    <row r="283" customFormat="false" ht="79.85" hidden="false" customHeight="false" outlineLevel="0" collapsed="false">
      <c r="A283" s="5" t="s">
        <v>2010</v>
      </c>
      <c r="B283" s="2" t="s">
        <v>2011</v>
      </c>
      <c r="C283" s="5" t="s">
        <v>488</v>
      </c>
      <c r="D283" s="5" t="s">
        <v>60</v>
      </c>
      <c r="E283" s="2" t="s">
        <v>100</v>
      </c>
      <c r="F283" s="5" t="s">
        <v>62</v>
      </c>
      <c r="G283" s="5" t="n">
        <v>7</v>
      </c>
      <c r="H283" s="5" t="s">
        <v>89</v>
      </c>
      <c r="I283" s="5" t="s">
        <v>64</v>
      </c>
      <c r="J283" s="5" t="s">
        <v>65</v>
      </c>
      <c r="K283" s="5" t="s">
        <v>66</v>
      </c>
      <c r="L283" s="2" t="s">
        <v>100</v>
      </c>
      <c r="M283" s="2" t="s">
        <v>304</v>
      </c>
      <c r="N283" s="2" t="s">
        <v>367</v>
      </c>
      <c r="O283" s="2" t="s">
        <v>1105</v>
      </c>
      <c r="P283" s="2"/>
      <c r="Q283" s="5" t="n">
        <v>1</v>
      </c>
      <c r="R283" s="2" t="s">
        <v>71</v>
      </c>
      <c r="S283" s="2" t="s">
        <v>2012</v>
      </c>
      <c r="T283" s="2" t="s">
        <v>1169</v>
      </c>
      <c r="U283" s="2" t="s">
        <v>74</v>
      </c>
      <c r="V283" s="5" t="n">
        <v>300</v>
      </c>
      <c r="W283" s="2"/>
      <c r="X283" s="2" t="s">
        <v>1108</v>
      </c>
      <c r="Y283" s="5" t="s">
        <v>309</v>
      </c>
      <c r="Z283" s="2" t="s">
        <v>2013</v>
      </c>
      <c r="AA283" s="6" t="s">
        <v>2014</v>
      </c>
    </row>
    <row r="284" customFormat="false" ht="57.45" hidden="false" customHeight="false" outlineLevel="0" collapsed="false">
      <c r="A284" s="5" t="s">
        <v>2015</v>
      </c>
      <c r="B284" s="2" t="s">
        <v>2016</v>
      </c>
      <c r="C284" s="5" t="s">
        <v>488</v>
      </c>
      <c r="D284" s="5" t="s">
        <v>60</v>
      </c>
      <c r="E284" s="2" t="s">
        <v>303</v>
      </c>
      <c r="F284" s="5" t="s">
        <v>62</v>
      </c>
      <c r="G284" s="5" t="n">
        <v>5</v>
      </c>
      <c r="H284" s="5" t="s">
        <v>89</v>
      </c>
      <c r="I284" s="5" t="s">
        <v>64</v>
      </c>
      <c r="J284" s="5" t="s">
        <v>65</v>
      </c>
      <c r="K284" s="5" t="s">
        <v>66</v>
      </c>
      <c r="L284" s="2" t="s">
        <v>100</v>
      </c>
      <c r="M284" s="2" t="s">
        <v>2017</v>
      </c>
      <c r="N284" s="2" t="s">
        <v>184</v>
      </c>
      <c r="O284" s="2" t="s">
        <v>1612</v>
      </c>
      <c r="P284" s="2"/>
      <c r="Q284" s="5" t="n">
        <v>1</v>
      </c>
      <c r="R284" s="2" t="s">
        <v>71</v>
      </c>
      <c r="S284" s="2" t="s">
        <v>2018</v>
      </c>
      <c r="T284" s="2" t="s">
        <v>2019</v>
      </c>
      <c r="U284" s="2" t="s">
        <v>74</v>
      </c>
      <c r="V284" s="5" t="n">
        <v>300</v>
      </c>
      <c r="W284" s="2"/>
      <c r="X284" s="2" t="s">
        <v>1615</v>
      </c>
      <c r="Y284" s="5"/>
      <c r="Z284" s="2" t="s">
        <v>2020</v>
      </c>
      <c r="AA284" s="6" t="s">
        <v>2021</v>
      </c>
    </row>
    <row r="285" customFormat="false" ht="113.4" hidden="false" customHeight="false" outlineLevel="0" collapsed="false">
      <c r="A285" s="5" t="s">
        <v>2022</v>
      </c>
      <c r="B285" s="2" t="s">
        <v>2023</v>
      </c>
      <c r="C285" s="5" t="s">
        <v>488</v>
      </c>
      <c r="D285" s="5" t="s">
        <v>60</v>
      </c>
      <c r="E285" s="2" t="s">
        <v>100</v>
      </c>
      <c r="F285" s="5" t="s">
        <v>62</v>
      </c>
      <c r="G285" s="5" t="n">
        <v>7</v>
      </c>
      <c r="H285" s="5" t="s">
        <v>89</v>
      </c>
      <c r="I285" s="5" t="s">
        <v>64</v>
      </c>
      <c r="J285" s="5" t="s">
        <v>65</v>
      </c>
      <c r="K285" s="5" t="s">
        <v>66</v>
      </c>
      <c r="L285" s="2" t="s">
        <v>100</v>
      </c>
      <c r="M285" s="2" t="s">
        <v>761</v>
      </c>
      <c r="N285" s="2" t="s">
        <v>367</v>
      </c>
      <c r="O285" s="2" t="s">
        <v>1160</v>
      </c>
      <c r="P285" s="2"/>
      <c r="Q285" s="5" t="n">
        <v>1</v>
      </c>
      <c r="R285" s="2" t="s">
        <v>71</v>
      </c>
      <c r="S285" s="2" t="s">
        <v>2024</v>
      </c>
      <c r="T285" s="2" t="s">
        <v>1193</v>
      </c>
      <c r="U285" s="2" t="s">
        <v>74</v>
      </c>
      <c r="V285" s="5" t="n">
        <v>300</v>
      </c>
      <c r="W285" s="2"/>
      <c r="X285" s="2" t="s">
        <v>1163</v>
      </c>
      <c r="Y285" s="5"/>
      <c r="Z285" s="2" t="s">
        <v>2025</v>
      </c>
      <c r="AA285" s="6" t="s">
        <v>2026</v>
      </c>
    </row>
    <row r="286" customFormat="false" ht="57.45" hidden="false" customHeight="false" outlineLevel="0" collapsed="false">
      <c r="A286" s="5" t="s">
        <v>2027</v>
      </c>
      <c r="B286" s="2" t="s">
        <v>2028</v>
      </c>
      <c r="C286" s="5" t="s">
        <v>488</v>
      </c>
      <c r="D286" s="5" t="s">
        <v>60</v>
      </c>
      <c r="E286" s="2" t="s">
        <v>100</v>
      </c>
      <c r="F286" s="5" t="s">
        <v>62</v>
      </c>
      <c r="G286" s="5" t="n">
        <v>5</v>
      </c>
      <c r="H286" s="5" t="s">
        <v>89</v>
      </c>
      <c r="I286" s="5" t="s">
        <v>64</v>
      </c>
      <c r="J286" s="5" t="s">
        <v>65</v>
      </c>
      <c r="K286" s="5" t="s">
        <v>66</v>
      </c>
      <c r="L286" s="2" t="s">
        <v>100</v>
      </c>
      <c r="M286" s="2" t="s">
        <v>304</v>
      </c>
      <c r="N286" s="2" t="s">
        <v>367</v>
      </c>
      <c r="O286" s="2" t="s">
        <v>1212</v>
      </c>
      <c r="P286" s="2"/>
      <c r="Q286" s="5" t="n">
        <v>1</v>
      </c>
      <c r="R286" s="2" t="s">
        <v>71</v>
      </c>
      <c r="S286" s="2" t="s">
        <v>2029</v>
      </c>
      <c r="T286" s="2" t="s">
        <v>2030</v>
      </c>
      <c r="U286" s="2" t="s">
        <v>74</v>
      </c>
      <c r="V286" s="5" t="n">
        <v>300</v>
      </c>
      <c r="W286" s="2"/>
      <c r="X286" s="2" t="s">
        <v>1215</v>
      </c>
      <c r="Y286" s="5"/>
      <c r="Z286" s="2" t="s">
        <v>2031</v>
      </c>
      <c r="AA286" s="6" t="s">
        <v>2032</v>
      </c>
    </row>
    <row r="287" customFormat="false" ht="113.4" hidden="false" customHeight="false" outlineLevel="0" collapsed="false">
      <c r="A287" s="5" t="s">
        <v>2033</v>
      </c>
      <c r="B287" s="2" t="s">
        <v>2034</v>
      </c>
      <c r="C287" s="5" t="s">
        <v>488</v>
      </c>
      <c r="D287" s="5" t="s">
        <v>60</v>
      </c>
      <c r="E287" s="2" t="s">
        <v>100</v>
      </c>
      <c r="F287" s="5" t="s">
        <v>62</v>
      </c>
      <c r="G287" s="5" t="n">
        <v>5</v>
      </c>
      <c r="H287" s="5" t="s">
        <v>89</v>
      </c>
      <c r="I287" s="5" t="s">
        <v>64</v>
      </c>
      <c r="J287" s="5" t="s">
        <v>65</v>
      </c>
      <c r="K287" s="5" t="s">
        <v>66</v>
      </c>
      <c r="L287" s="2" t="s">
        <v>100</v>
      </c>
      <c r="M287" s="2" t="s">
        <v>304</v>
      </c>
      <c r="N287" s="2" t="s">
        <v>367</v>
      </c>
      <c r="O287" s="2" t="s">
        <v>1105</v>
      </c>
      <c r="P287" s="2"/>
      <c r="Q287" s="5" t="n">
        <v>1</v>
      </c>
      <c r="R287" s="2" t="s">
        <v>71</v>
      </c>
      <c r="S287" s="2" t="s">
        <v>2035</v>
      </c>
      <c r="T287" s="2" t="s">
        <v>1176</v>
      </c>
      <c r="U287" s="2" t="s">
        <v>74</v>
      </c>
      <c r="V287" s="5" t="n">
        <v>300</v>
      </c>
      <c r="W287" s="2"/>
      <c r="X287" s="2" t="s">
        <v>1108</v>
      </c>
      <c r="Y287" s="5" t="s">
        <v>309</v>
      </c>
      <c r="Z287" s="2" t="s">
        <v>2036</v>
      </c>
      <c r="AA287" s="6" t="s">
        <v>2037</v>
      </c>
    </row>
    <row r="288" customFormat="false" ht="46.25" hidden="false" customHeight="false" outlineLevel="0" collapsed="false">
      <c r="A288" s="5" t="s">
        <v>2038</v>
      </c>
      <c r="B288" s="2" t="s">
        <v>2039</v>
      </c>
      <c r="C288" s="5" t="s">
        <v>488</v>
      </c>
      <c r="D288" s="5" t="s">
        <v>60</v>
      </c>
      <c r="E288" s="2" t="s">
        <v>100</v>
      </c>
      <c r="F288" s="5" t="s">
        <v>490</v>
      </c>
      <c r="G288" s="5" t="n">
        <v>5</v>
      </c>
      <c r="H288" s="5" t="s">
        <v>89</v>
      </c>
      <c r="I288" s="5" t="s">
        <v>64</v>
      </c>
      <c r="J288" s="5" t="s">
        <v>65</v>
      </c>
      <c r="K288" s="5" t="s">
        <v>66</v>
      </c>
      <c r="L288" s="2" t="s">
        <v>100</v>
      </c>
      <c r="M288" s="2" t="s">
        <v>1409</v>
      </c>
      <c r="N288" s="2" t="s">
        <v>367</v>
      </c>
      <c r="O288" s="2" t="s">
        <v>1105</v>
      </c>
      <c r="P288" s="2"/>
      <c r="Q288" s="5" t="n">
        <v>1</v>
      </c>
      <c r="R288" s="2" t="s">
        <v>71</v>
      </c>
      <c r="S288" s="2" t="s">
        <v>2040</v>
      </c>
      <c r="T288" s="2" t="s">
        <v>1834</v>
      </c>
      <c r="U288" s="2" t="s">
        <v>74</v>
      </c>
      <c r="V288" s="5" t="n">
        <v>300</v>
      </c>
      <c r="W288" s="2"/>
      <c r="X288" s="2" t="s">
        <v>1108</v>
      </c>
      <c r="Y288" s="5" t="s">
        <v>309</v>
      </c>
      <c r="Z288" s="2" t="s">
        <v>2041</v>
      </c>
      <c r="AA288" s="6" t="s">
        <v>2042</v>
      </c>
    </row>
    <row r="289" customFormat="false" ht="57.45" hidden="false" customHeight="false" outlineLevel="0" collapsed="false">
      <c r="A289" s="5" t="s">
        <v>2043</v>
      </c>
      <c r="B289" s="2" t="s">
        <v>2044</v>
      </c>
      <c r="C289" s="5" t="s">
        <v>488</v>
      </c>
      <c r="D289" s="5" t="s">
        <v>60</v>
      </c>
      <c r="E289" s="2" t="s">
        <v>182</v>
      </c>
      <c r="F289" s="5" t="s">
        <v>62</v>
      </c>
      <c r="G289" s="5" t="n">
        <v>5</v>
      </c>
      <c r="H289" s="5" t="s">
        <v>89</v>
      </c>
      <c r="I289" s="5" t="s">
        <v>64</v>
      </c>
      <c r="J289" s="5" t="s">
        <v>65</v>
      </c>
      <c r="K289" s="5" t="s">
        <v>66</v>
      </c>
      <c r="L289" s="2" t="s">
        <v>90</v>
      </c>
      <c r="M289" s="2"/>
      <c r="N289" s="2" t="s">
        <v>184</v>
      </c>
      <c r="O289" s="2" t="s">
        <v>2045</v>
      </c>
      <c r="P289" s="2"/>
      <c r="Q289" s="5" t="n">
        <v>1</v>
      </c>
      <c r="R289" s="2" t="s">
        <v>71</v>
      </c>
      <c r="S289" s="2" t="s">
        <v>2046</v>
      </c>
      <c r="T289" s="2" t="s">
        <v>2047</v>
      </c>
      <c r="U289" s="2" t="s">
        <v>74</v>
      </c>
      <c r="V289" s="5" t="n">
        <v>300</v>
      </c>
      <c r="W289" s="2"/>
      <c r="X289" s="2" t="s">
        <v>2048</v>
      </c>
      <c r="Y289" s="5" t="s">
        <v>192</v>
      </c>
      <c r="Z289" s="2" t="s">
        <v>2049</v>
      </c>
      <c r="AA289" s="6" t="s">
        <v>2050</v>
      </c>
    </row>
    <row r="290" customFormat="false" ht="46.25" hidden="false" customHeight="false" outlineLevel="0" collapsed="false">
      <c r="A290" s="5" t="s">
        <v>2051</v>
      </c>
      <c r="B290" s="2" t="s">
        <v>2052</v>
      </c>
      <c r="C290" s="5" t="s">
        <v>488</v>
      </c>
      <c r="D290" s="5" t="s">
        <v>60</v>
      </c>
      <c r="E290" s="2"/>
      <c r="F290" s="5" t="s">
        <v>62</v>
      </c>
      <c r="G290" s="5" t="n">
        <v>7</v>
      </c>
      <c r="H290" s="5" t="s">
        <v>89</v>
      </c>
      <c r="I290" s="5" t="s">
        <v>64</v>
      </c>
      <c r="J290" s="5" t="s">
        <v>65</v>
      </c>
      <c r="K290" s="5" t="s">
        <v>66</v>
      </c>
      <c r="L290" s="2" t="s">
        <v>1210</v>
      </c>
      <c r="M290" s="2" t="s">
        <v>1295</v>
      </c>
      <c r="N290" s="2" t="s">
        <v>367</v>
      </c>
      <c r="O290" s="2" t="s">
        <v>1105</v>
      </c>
      <c r="P290" s="2"/>
      <c r="Q290" s="5" t="n">
        <v>1</v>
      </c>
      <c r="R290" s="2" t="s">
        <v>71</v>
      </c>
      <c r="S290" s="2" t="s">
        <v>2053</v>
      </c>
      <c r="T290" s="2" t="s">
        <v>1269</v>
      </c>
      <c r="U290" s="2" t="s">
        <v>74</v>
      </c>
      <c r="V290" s="5" t="n">
        <v>300</v>
      </c>
      <c r="W290" s="2"/>
      <c r="X290" s="2" t="s">
        <v>1108</v>
      </c>
      <c r="Y290" s="5" t="s">
        <v>309</v>
      </c>
      <c r="Z290" s="2" t="s">
        <v>2054</v>
      </c>
      <c r="AA290" s="6" t="s">
        <v>2055</v>
      </c>
    </row>
    <row r="291" customFormat="false" ht="68.65" hidden="false" customHeight="false" outlineLevel="0" collapsed="false">
      <c r="A291" s="5" t="s">
        <v>2056</v>
      </c>
      <c r="B291" s="2" t="s">
        <v>2057</v>
      </c>
      <c r="C291" s="5" t="s">
        <v>488</v>
      </c>
      <c r="D291" s="5" t="s">
        <v>60</v>
      </c>
      <c r="E291" s="2" t="s">
        <v>1104</v>
      </c>
      <c r="F291" s="5" t="s">
        <v>62</v>
      </c>
      <c r="G291" s="5" t="n">
        <v>3</v>
      </c>
      <c r="H291" s="5" t="s">
        <v>817</v>
      </c>
      <c r="I291" s="5" t="s">
        <v>64</v>
      </c>
      <c r="J291" s="5" t="s">
        <v>65</v>
      </c>
      <c r="K291" s="5" t="s">
        <v>66</v>
      </c>
      <c r="L291" s="2" t="s">
        <v>100</v>
      </c>
      <c r="M291" s="2" t="s">
        <v>456</v>
      </c>
      <c r="N291" s="2" t="s">
        <v>415</v>
      </c>
      <c r="O291" s="2" t="s">
        <v>2058</v>
      </c>
      <c r="P291" s="2"/>
      <c r="Q291" s="5" t="n">
        <v>1</v>
      </c>
      <c r="R291" s="2" t="s">
        <v>71</v>
      </c>
      <c r="S291" s="2" t="s">
        <v>2059</v>
      </c>
      <c r="T291" s="2" t="s">
        <v>1098</v>
      </c>
      <c r="U291" s="2" t="s">
        <v>74</v>
      </c>
      <c r="V291" s="5" t="n">
        <v>300</v>
      </c>
      <c r="W291" s="2"/>
      <c r="X291" s="2" t="s">
        <v>2060</v>
      </c>
      <c r="Y291" s="5"/>
      <c r="Z291" s="2" t="s">
        <v>2061</v>
      </c>
      <c r="AA291" s="6" t="s">
        <v>2062</v>
      </c>
    </row>
    <row r="292" customFormat="false" ht="79.85" hidden="false" customHeight="false" outlineLevel="0" collapsed="false">
      <c r="A292" s="5" t="s">
        <v>2063</v>
      </c>
      <c r="B292" s="2" t="s">
        <v>2064</v>
      </c>
      <c r="C292" s="5" t="s">
        <v>488</v>
      </c>
      <c r="D292" s="5" t="s">
        <v>60</v>
      </c>
      <c r="E292" s="2" t="s">
        <v>1104</v>
      </c>
      <c r="F292" s="5" t="s">
        <v>62</v>
      </c>
      <c r="G292" s="5" t="n">
        <v>7</v>
      </c>
      <c r="H292" s="5" t="s">
        <v>89</v>
      </c>
      <c r="I292" s="5" t="s">
        <v>64</v>
      </c>
      <c r="J292" s="5" t="s">
        <v>65</v>
      </c>
      <c r="K292" s="5" t="s">
        <v>66</v>
      </c>
      <c r="L292" s="2" t="s">
        <v>100</v>
      </c>
      <c r="M292" s="2" t="s">
        <v>450</v>
      </c>
      <c r="N292" s="2" t="s">
        <v>367</v>
      </c>
      <c r="O292" s="2" t="s">
        <v>1105</v>
      </c>
      <c r="P292" s="2"/>
      <c r="Q292" s="5" t="n">
        <v>1</v>
      </c>
      <c r="R292" s="2" t="s">
        <v>71</v>
      </c>
      <c r="S292" s="2" t="s">
        <v>2065</v>
      </c>
      <c r="T292" s="2" t="s">
        <v>1139</v>
      </c>
      <c r="U292" s="2" t="s">
        <v>74</v>
      </c>
      <c r="V292" s="5" t="n">
        <v>300</v>
      </c>
      <c r="W292" s="2"/>
      <c r="X292" s="2" t="s">
        <v>1108</v>
      </c>
      <c r="Y292" s="5" t="s">
        <v>309</v>
      </c>
      <c r="Z292" s="2" t="s">
        <v>2066</v>
      </c>
      <c r="AA292" s="6" t="s">
        <v>2067</v>
      </c>
    </row>
    <row r="293" customFormat="false" ht="68.65" hidden="false" customHeight="false" outlineLevel="0" collapsed="false">
      <c r="A293" s="5" t="s">
        <v>2068</v>
      </c>
      <c r="B293" s="2" t="s">
        <v>2069</v>
      </c>
      <c r="C293" s="5" t="s">
        <v>488</v>
      </c>
      <c r="D293" s="5" t="s">
        <v>60</v>
      </c>
      <c r="E293" s="2" t="s">
        <v>449</v>
      </c>
      <c r="F293" s="5" t="s">
        <v>62</v>
      </c>
      <c r="G293" s="5" t="n">
        <v>1</v>
      </c>
      <c r="H293" s="5" t="s">
        <v>817</v>
      </c>
      <c r="I293" s="5" t="s">
        <v>64</v>
      </c>
      <c r="J293" s="5" t="s">
        <v>65</v>
      </c>
      <c r="K293" s="5" t="s">
        <v>66</v>
      </c>
      <c r="L293" s="2" t="s">
        <v>100</v>
      </c>
      <c r="M293" s="2" t="s">
        <v>456</v>
      </c>
      <c r="N293" s="2" t="s">
        <v>184</v>
      </c>
      <c r="O293" s="2" t="s">
        <v>2070</v>
      </c>
      <c r="P293" s="2"/>
      <c r="Q293" s="5" t="n">
        <v>1</v>
      </c>
      <c r="R293" s="2" t="s">
        <v>71</v>
      </c>
      <c r="S293" s="2" t="s">
        <v>2071</v>
      </c>
      <c r="T293" s="2" t="s">
        <v>2072</v>
      </c>
      <c r="U293" s="2" t="s">
        <v>74</v>
      </c>
      <c r="V293" s="5" t="n">
        <v>300</v>
      </c>
      <c r="W293" s="2"/>
      <c r="X293" s="2" t="s">
        <v>2073</v>
      </c>
      <c r="Y293" s="5"/>
      <c r="Z293" s="2" t="s">
        <v>2074</v>
      </c>
      <c r="AA293" s="6" t="s">
        <v>2075</v>
      </c>
    </row>
    <row r="294" customFormat="false" ht="46.25" hidden="false" customHeight="false" outlineLevel="0" collapsed="false">
      <c r="A294" s="5" t="s">
        <v>2076</v>
      </c>
      <c r="B294" s="2" t="s">
        <v>2077</v>
      </c>
      <c r="C294" s="5" t="s">
        <v>488</v>
      </c>
      <c r="D294" s="5" t="s">
        <v>60</v>
      </c>
      <c r="E294" s="2" t="s">
        <v>2078</v>
      </c>
      <c r="F294" s="5" t="s">
        <v>62</v>
      </c>
      <c r="G294" s="5" t="n">
        <v>9</v>
      </c>
      <c r="H294" s="5" t="s">
        <v>63</v>
      </c>
      <c r="I294" s="5" t="s">
        <v>64</v>
      </c>
      <c r="J294" s="5" t="s">
        <v>65</v>
      </c>
      <c r="K294" s="5" t="s">
        <v>66</v>
      </c>
      <c r="L294" s="2" t="s">
        <v>2079</v>
      </c>
      <c r="M294" s="2" t="s">
        <v>1532</v>
      </c>
      <c r="N294" s="2" t="s">
        <v>184</v>
      </c>
      <c r="O294" s="2" t="s">
        <v>1457</v>
      </c>
      <c r="P294" s="2"/>
      <c r="Q294" s="5" t="n">
        <v>1</v>
      </c>
      <c r="R294" s="2" t="s">
        <v>71</v>
      </c>
      <c r="S294" s="2" t="s">
        <v>2080</v>
      </c>
      <c r="T294" s="2" t="s">
        <v>2081</v>
      </c>
      <c r="U294" s="2" t="s">
        <v>74</v>
      </c>
      <c r="V294" s="5" t="n">
        <v>300</v>
      </c>
      <c r="W294" s="2"/>
      <c r="X294" s="2" t="s">
        <v>1460</v>
      </c>
      <c r="Y294" s="5"/>
      <c r="Z294" s="2" t="s">
        <v>2082</v>
      </c>
      <c r="AA294" s="6" t="s">
        <v>2083</v>
      </c>
    </row>
    <row r="295" customFormat="false" ht="68.65" hidden="false" customHeight="false" outlineLevel="0" collapsed="false">
      <c r="A295" s="5" t="s">
        <v>2084</v>
      </c>
      <c r="B295" s="2" t="s">
        <v>2085</v>
      </c>
      <c r="C295" s="5" t="s">
        <v>488</v>
      </c>
      <c r="D295" s="5" t="s">
        <v>60</v>
      </c>
      <c r="E295" s="2"/>
      <c r="F295" s="5" t="s">
        <v>62</v>
      </c>
      <c r="G295" s="5" t="n">
        <v>5</v>
      </c>
      <c r="H295" s="5" t="s">
        <v>89</v>
      </c>
      <c r="I295" s="5" t="s">
        <v>64</v>
      </c>
      <c r="J295" s="5" t="s">
        <v>65</v>
      </c>
      <c r="K295" s="5" t="s">
        <v>66</v>
      </c>
      <c r="L295" s="2" t="s">
        <v>90</v>
      </c>
      <c r="M295" s="2"/>
      <c r="N295" s="2" t="s">
        <v>367</v>
      </c>
      <c r="O295" s="2" t="s">
        <v>1105</v>
      </c>
      <c r="P295" s="2"/>
      <c r="Q295" s="5" t="n">
        <v>1</v>
      </c>
      <c r="R295" s="2" t="s">
        <v>71</v>
      </c>
      <c r="S295" s="2" t="s">
        <v>2086</v>
      </c>
      <c r="T295" s="2" t="s">
        <v>1139</v>
      </c>
      <c r="U295" s="2" t="s">
        <v>74</v>
      </c>
      <c r="V295" s="5" t="n">
        <v>300</v>
      </c>
      <c r="W295" s="2"/>
      <c r="X295" s="2" t="s">
        <v>1108</v>
      </c>
      <c r="Y295" s="5" t="s">
        <v>309</v>
      </c>
      <c r="Z295" s="2" t="s">
        <v>2087</v>
      </c>
      <c r="AA295" s="6" t="s">
        <v>2088</v>
      </c>
    </row>
    <row r="296" customFormat="false" ht="102.2" hidden="false" customHeight="false" outlineLevel="0" collapsed="false">
      <c r="A296" s="5" t="s">
        <v>2089</v>
      </c>
      <c r="B296" s="2" t="s">
        <v>2090</v>
      </c>
      <c r="C296" s="5" t="s">
        <v>488</v>
      </c>
      <c r="D296" s="5" t="s">
        <v>60</v>
      </c>
      <c r="E296" s="2" t="s">
        <v>100</v>
      </c>
      <c r="F296" s="5" t="s">
        <v>62</v>
      </c>
      <c r="G296" s="5" t="n">
        <v>7</v>
      </c>
      <c r="H296" s="5" t="s">
        <v>89</v>
      </c>
      <c r="I296" s="5" t="s">
        <v>64</v>
      </c>
      <c r="J296" s="5" t="s">
        <v>65</v>
      </c>
      <c r="K296" s="5" t="s">
        <v>66</v>
      </c>
      <c r="L296" s="2" t="s">
        <v>100</v>
      </c>
      <c r="M296" s="2" t="s">
        <v>304</v>
      </c>
      <c r="N296" s="2" t="s">
        <v>367</v>
      </c>
      <c r="O296" s="2" t="s">
        <v>368</v>
      </c>
      <c r="P296" s="2"/>
      <c r="Q296" s="5" t="n">
        <v>1</v>
      </c>
      <c r="R296" s="2" t="s">
        <v>71</v>
      </c>
      <c r="S296" s="2" t="s">
        <v>2091</v>
      </c>
      <c r="T296" s="2" t="s">
        <v>1466</v>
      </c>
      <c r="U296" s="2" t="s">
        <v>74</v>
      </c>
      <c r="V296" s="5" t="n">
        <v>300</v>
      </c>
      <c r="W296" s="2"/>
      <c r="X296" s="2" t="s">
        <v>371</v>
      </c>
      <c r="Y296" s="5" t="s">
        <v>372</v>
      </c>
      <c r="Z296" s="2" t="s">
        <v>2092</v>
      </c>
      <c r="AA296" s="6" t="s">
        <v>2093</v>
      </c>
    </row>
    <row r="297" customFormat="false" ht="57.45" hidden="false" customHeight="false" outlineLevel="0" collapsed="false">
      <c r="A297" s="5" t="s">
        <v>2094</v>
      </c>
      <c r="B297" s="2" t="s">
        <v>2095</v>
      </c>
      <c r="C297" s="5" t="s">
        <v>488</v>
      </c>
      <c r="D297" s="5" t="s">
        <v>60</v>
      </c>
      <c r="E297" s="2" t="s">
        <v>100</v>
      </c>
      <c r="F297" s="5" t="s">
        <v>62</v>
      </c>
      <c r="G297" s="5" t="n">
        <v>7</v>
      </c>
      <c r="H297" s="5" t="s">
        <v>89</v>
      </c>
      <c r="I297" s="5" t="s">
        <v>64</v>
      </c>
      <c r="J297" s="5" t="s">
        <v>65</v>
      </c>
      <c r="K297" s="5" t="s">
        <v>66</v>
      </c>
      <c r="L297" s="2" t="s">
        <v>100</v>
      </c>
      <c r="M297" s="2" t="s">
        <v>304</v>
      </c>
      <c r="N297" s="2" t="s">
        <v>367</v>
      </c>
      <c r="O297" s="2" t="s">
        <v>1160</v>
      </c>
      <c r="P297" s="2"/>
      <c r="Q297" s="5" t="n">
        <v>1</v>
      </c>
      <c r="R297" s="2" t="s">
        <v>71</v>
      </c>
      <c r="S297" s="2" t="s">
        <v>2096</v>
      </c>
      <c r="T297" s="2" t="s">
        <v>1162</v>
      </c>
      <c r="U297" s="2" t="s">
        <v>74</v>
      </c>
      <c r="V297" s="5" t="n">
        <v>300</v>
      </c>
      <c r="W297" s="2"/>
      <c r="X297" s="2" t="s">
        <v>1163</v>
      </c>
      <c r="Y297" s="5"/>
      <c r="Z297" s="2" t="s">
        <v>2097</v>
      </c>
      <c r="AA297" s="6" t="s">
        <v>2098</v>
      </c>
    </row>
    <row r="298" customFormat="false" ht="79.85" hidden="false" customHeight="false" outlineLevel="0" collapsed="false">
      <c r="A298" s="5" t="s">
        <v>2099</v>
      </c>
      <c r="B298" s="2" t="s">
        <v>2100</v>
      </c>
      <c r="C298" s="5" t="s">
        <v>488</v>
      </c>
      <c r="D298" s="5" t="s">
        <v>60</v>
      </c>
      <c r="E298" s="2" t="s">
        <v>1384</v>
      </c>
      <c r="F298" s="5" t="s">
        <v>62</v>
      </c>
      <c r="G298" s="5" t="n">
        <v>9</v>
      </c>
      <c r="H298" s="5" t="s">
        <v>63</v>
      </c>
      <c r="I298" s="5" t="s">
        <v>64</v>
      </c>
      <c r="J298" s="5" t="s">
        <v>65</v>
      </c>
      <c r="K298" s="5" t="s">
        <v>66</v>
      </c>
      <c r="L298" s="2" t="s">
        <v>100</v>
      </c>
      <c r="M298" s="2" t="s">
        <v>304</v>
      </c>
      <c r="N298" s="2" t="s">
        <v>367</v>
      </c>
      <c r="O298" s="2" t="s">
        <v>1221</v>
      </c>
      <c r="P298" s="2"/>
      <c r="Q298" s="5" t="n">
        <v>1</v>
      </c>
      <c r="R298" s="2" t="s">
        <v>71</v>
      </c>
      <c r="S298" s="2" t="s">
        <v>2101</v>
      </c>
      <c r="T298" s="2" t="s">
        <v>1879</v>
      </c>
      <c r="U298" s="2" t="s">
        <v>74</v>
      </c>
      <c r="V298" s="5" t="n">
        <v>300</v>
      </c>
      <c r="W298" s="2"/>
      <c r="X298" s="2" t="s">
        <v>1224</v>
      </c>
      <c r="Y298" s="5" t="s">
        <v>1225</v>
      </c>
      <c r="Z298" s="2" t="s">
        <v>2102</v>
      </c>
      <c r="AA298" s="6" t="s">
        <v>2103</v>
      </c>
    </row>
    <row r="299" customFormat="false" ht="68.65" hidden="false" customHeight="false" outlineLevel="0" collapsed="false">
      <c r="A299" s="5" t="s">
        <v>2104</v>
      </c>
      <c r="B299" s="2" t="s">
        <v>2105</v>
      </c>
      <c r="C299" s="5" t="s">
        <v>488</v>
      </c>
      <c r="D299" s="5" t="s">
        <v>60</v>
      </c>
      <c r="E299" s="2" t="s">
        <v>100</v>
      </c>
      <c r="F299" s="5" t="s">
        <v>62</v>
      </c>
      <c r="G299" s="5" t="n">
        <v>5</v>
      </c>
      <c r="H299" s="5" t="s">
        <v>89</v>
      </c>
      <c r="I299" s="5" t="s">
        <v>64</v>
      </c>
      <c r="J299" s="5" t="s">
        <v>65</v>
      </c>
      <c r="K299" s="5" t="s">
        <v>66</v>
      </c>
      <c r="L299" s="2" t="s">
        <v>100</v>
      </c>
      <c r="M299" s="2" t="s">
        <v>1918</v>
      </c>
      <c r="N299" s="2" t="s">
        <v>367</v>
      </c>
      <c r="O299" s="2" t="s">
        <v>1105</v>
      </c>
      <c r="P299" s="2"/>
      <c r="Q299" s="5" t="n">
        <v>1</v>
      </c>
      <c r="R299" s="2" t="s">
        <v>71</v>
      </c>
      <c r="S299" s="2" t="s">
        <v>2106</v>
      </c>
      <c r="T299" s="2" t="s">
        <v>1176</v>
      </c>
      <c r="U299" s="2" t="s">
        <v>74</v>
      </c>
      <c r="V299" s="5" t="n">
        <v>300</v>
      </c>
      <c r="W299" s="2"/>
      <c r="X299" s="2" t="s">
        <v>1108</v>
      </c>
      <c r="Y299" s="5" t="s">
        <v>309</v>
      </c>
      <c r="Z299" s="2" t="s">
        <v>2107</v>
      </c>
      <c r="AA299" s="6" t="s">
        <v>2108</v>
      </c>
    </row>
    <row r="300" customFormat="false" ht="57.45" hidden="false" customHeight="false" outlineLevel="0" collapsed="false">
      <c r="A300" s="5" t="s">
        <v>2109</v>
      </c>
      <c r="B300" s="2" t="s">
        <v>2110</v>
      </c>
      <c r="C300" s="5" t="s">
        <v>488</v>
      </c>
      <c r="D300" s="5" t="s">
        <v>60</v>
      </c>
      <c r="E300" s="2" t="s">
        <v>303</v>
      </c>
      <c r="F300" s="5" t="s">
        <v>62</v>
      </c>
      <c r="G300" s="5" t="n">
        <v>5</v>
      </c>
      <c r="H300" s="5" t="s">
        <v>89</v>
      </c>
      <c r="I300" s="5" t="s">
        <v>64</v>
      </c>
      <c r="J300" s="5" t="s">
        <v>65</v>
      </c>
      <c r="K300" s="5" t="s">
        <v>66</v>
      </c>
      <c r="L300" s="2" t="s">
        <v>100</v>
      </c>
      <c r="M300" s="2" t="s">
        <v>1409</v>
      </c>
      <c r="N300" s="2" t="s">
        <v>184</v>
      </c>
      <c r="O300" s="2" t="s">
        <v>1198</v>
      </c>
      <c r="P300" s="2"/>
      <c r="Q300" s="5" t="n">
        <v>1</v>
      </c>
      <c r="R300" s="2" t="s">
        <v>71</v>
      </c>
      <c r="S300" s="2" t="s">
        <v>2111</v>
      </c>
      <c r="T300" s="2" t="s">
        <v>1200</v>
      </c>
      <c r="U300" s="2" t="s">
        <v>74</v>
      </c>
      <c r="V300" s="5" t="n">
        <v>300</v>
      </c>
      <c r="W300" s="2"/>
      <c r="X300" s="2" t="s">
        <v>1201</v>
      </c>
      <c r="Y300" s="5"/>
      <c r="Z300" s="2" t="s">
        <v>2112</v>
      </c>
      <c r="AA300" s="6" t="s">
        <v>2113</v>
      </c>
    </row>
    <row r="301" customFormat="false" ht="68.65" hidden="false" customHeight="false" outlineLevel="0" collapsed="false">
      <c r="A301" s="5" t="s">
        <v>2114</v>
      </c>
      <c r="B301" s="2" t="s">
        <v>2115</v>
      </c>
      <c r="C301" s="5" t="s">
        <v>488</v>
      </c>
      <c r="D301" s="5" t="s">
        <v>60</v>
      </c>
      <c r="E301" s="2" t="s">
        <v>100</v>
      </c>
      <c r="F301" s="5" t="s">
        <v>62</v>
      </c>
      <c r="G301" s="5" t="n">
        <v>7</v>
      </c>
      <c r="H301" s="5" t="s">
        <v>89</v>
      </c>
      <c r="I301" s="5" t="s">
        <v>64</v>
      </c>
      <c r="J301" s="5" t="s">
        <v>65</v>
      </c>
      <c r="K301" s="5" t="s">
        <v>66</v>
      </c>
      <c r="L301" s="2" t="s">
        <v>100</v>
      </c>
      <c r="M301" s="2" t="s">
        <v>304</v>
      </c>
      <c r="N301" s="2" t="s">
        <v>367</v>
      </c>
      <c r="O301" s="2" t="s">
        <v>1105</v>
      </c>
      <c r="P301" s="2"/>
      <c r="Q301" s="5" t="n">
        <v>1</v>
      </c>
      <c r="R301" s="2" t="s">
        <v>71</v>
      </c>
      <c r="S301" s="2" t="s">
        <v>2116</v>
      </c>
      <c r="T301" s="2" t="s">
        <v>1269</v>
      </c>
      <c r="U301" s="2" t="s">
        <v>74</v>
      </c>
      <c r="V301" s="5" t="n">
        <v>300</v>
      </c>
      <c r="W301" s="2"/>
      <c r="X301" s="2" t="s">
        <v>1108</v>
      </c>
      <c r="Y301" s="5" t="s">
        <v>309</v>
      </c>
      <c r="Z301" s="2" t="s">
        <v>2117</v>
      </c>
      <c r="AA301" s="6" t="s">
        <v>2118</v>
      </c>
    </row>
    <row r="302" customFormat="false" ht="46.25" hidden="false" customHeight="false" outlineLevel="0" collapsed="false">
      <c r="A302" s="5" t="s">
        <v>2119</v>
      </c>
      <c r="B302" s="2" t="s">
        <v>2120</v>
      </c>
      <c r="C302" s="5" t="s">
        <v>488</v>
      </c>
      <c r="D302" s="5" t="s">
        <v>60</v>
      </c>
      <c r="E302" s="2" t="s">
        <v>100</v>
      </c>
      <c r="F302" s="5" t="s">
        <v>62</v>
      </c>
      <c r="G302" s="5" t="n">
        <v>9</v>
      </c>
      <c r="H302" s="5" t="s">
        <v>63</v>
      </c>
      <c r="I302" s="5" t="s">
        <v>64</v>
      </c>
      <c r="J302" s="5" t="s">
        <v>65</v>
      </c>
      <c r="K302" s="5" t="s">
        <v>66</v>
      </c>
      <c r="L302" s="2" t="s">
        <v>100</v>
      </c>
      <c r="M302" s="2" t="s">
        <v>1032</v>
      </c>
      <c r="N302" s="2" t="s">
        <v>956</v>
      </c>
      <c r="O302" s="2" t="s">
        <v>2121</v>
      </c>
      <c r="P302" s="2"/>
      <c r="Q302" s="5" t="n">
        <v>1</v>
      </c>
      <c r="R302" s="2" t="s">
        <v>958</v>
      </c>
      <c r="S302" s="2" t="s">
        <v>959</v>
      </c>
      <c r="T302" s="2" t="s">
        <v>2122</v>
      </c>
      <c r="U302" s="2" t="s">
        <v>496</v>
      </c>
      <c r="V302" s="5" t="n">
        <v>300</v>
      </c>
      <c r="W302" s="2"/>
      <c r="X302" s="2" t="s">
        <v>2123</v>
      </c>
      <c r="Y302" s="5"/>
      <c r="Z302" s="2" t="s">
        <v>2124</v>
      </c>
      <c r="AA302" s="6" t="s">
        <v>2125</v>
      </c>
    </row>
    <row r="303" customFormat="false" ht="23.85" hidden="false" customHeight="false" outlineLevel="0" collapsed="false">
      <c r="A303" s="5" t="s">
        <v>2126</v>
      </c>
      <c r="B303" s="2" t="s">
        <v>2127</v>
      </c>
      <c r="C303" s="5" t="s">
        <v>2128</v>
      </c>
      <c r="D303" s="5" t="s">
        <v>60</v>
      </c>
      <c r="E303" s="2" t="s">
        <v>161</v>
      </c>
      <c r="F303" s="5" t="s">
        <v>62</v>
      </c>
      <c r="G303" s="5" t="n">
        <v>9</v>
      </c>
      <c r="H303" s="5" t="s">
        <v>63</v>
      </c>
      <c r="I303" s="5" t="s">
        <v>1042</v>
      </c>
      <c r="J303" s="5" t="s">
        <v>65</v>
      </c>
      <c r="K303" s="5" t="s">
        <v>66</v>
      </c>
      <c r="L303" s="2" t="s">
        <v>536</v>
      </c>
      <c r="M303" s="2" t="s">
        <v>537</v>
      </c>
      <c r="N303" s="2" t="s">
        <v>2129</v>
      </c>
      <c r="O303" s="2" t="s">
        <v>2130</v>
      </c>
      <c r="P303" s="2"/>
      <c r="Q303" s="5" t="n">
        <v>1</v>
      </c>
      <c r="R303" s="2" t="s">
        <v>2131</v>
      </c>
      <c r="S303" s="2" t="s">
        <v>83</v>
      </c>
      <c r="T303" s="2" t="s">
        <v>641</v>
      </c>
      <c r="U303" s="2" t="s">
        <v>2132</v>
      </c>
      <c r="V303" s="5" t="n">
        <v>900</v>
      </c>
      <c r="W303" s="2"/>
      <c r="X303" s="2" t="s">
        <v>2133</v>
      </c>
      <c r="Y303" s="5"/>
      <c r="Z303" s="2" t="s">
        <v>2134</v>
      </c>
      <c r="AA303" s="6" t="s">
        <v>2135</v>
      </c>
    </row>
    <row r="304" customFormat="false" ht="15" hidden="false" customHeight="false" outlineLevel="0" collapsed="false">
      <c r="A304" s="5" t="s">
        <v>2136</v>
      </c>
      <c r="B304" s="2" t="s">
        <v>2137</v>
      </c>
      <c r="C304" s="5" t="s">
        <v>2128</v>
      </c>
      <c r="D304" s="5" t="s">
        <v>60</v>
      </c>
      <c r="E304" s="2" t="s">
        <v>161</v>
      </c>
      <c r="F304" s="5" t="s">
        <v>62</v>
      </c>
      <c r="G304" s="5" t="n">
        <v>9</v>
      </c>
      <c r="H304" s="5" t="s">
        <v>63</v>
      </c>
      <c r="I304" s="5" t="s">
        <v>1042</v>
      </c>
      <c r="J304" s="5" t="s">
        <v>65</v>
      </c>
      <c r="K304" s="5" t="s">
        <v>66</v>
      </c>
      <c r="L304" s="2" t="s">
        <v>90</v>
      </c>
      <c r="M304" s="2" t="s">
        <v>163</v>
      </c>
      <c r="N304" s="2" t="s">
        <v>2129</v>
      </c>
      <c r="O304" s="2" t="s">
        <v>2138</v>
      </c>
      <c r="P304" s="2"/>
      <c r="Q304" s="5" t="n">
        <v>1</v>
      </c>
      <c r="R304" s="2" t="s">
        <v>2139</v>
      </c>
      <c r="S304" s="2" t="s">
        <v>83</v>
      </c>
      <c r="T304" s="2" t="s">
        <v>2140</v>
      </c>
      <c r="U304" s="2" t="s">
        <v>74</v>
      </c>
      <c r="V304" s="5" t="n">
        <v>300</v>
      </c>
      <c r="W304" s="2"/>
      <c r="X304" s="2" t="s">
        <v>2141</v>
      </c>
      <c r="Y304" s="5"/>
      <c r="Z304" s="2" t="s">
        <v>2142</v>
      </c>
      <c r="AA304" s="6" t="s">
        <v>2143</v>
      </c>
    </row>
    <row r="305" customFormat="false" ht="15" hidden="false" customHeight="false" outlineLevel="0" collapsed="false">
      <c r="A305" s="5" t="s">
        <v>2144</v>
      </c>
      <c r="B305" s="2" t="s">
        <v>2145</v>
      </c>
      <c r="C305" s="5" t="s">
        <v>2128</v>
      </c>
      <c r="D305" s="5" t="s">
        <v>60</v>
      </c>
      <c r="E305" s="2" t="s">
        <v>161</v>
      </c>
      <c r="F305" s="5" t="s">
        <v>62</v>
      </c>
      <c r="G305" s="5" t="n">
        <v>9</v>
      </c>
      <c r="H305" s="5" t="s">
        <v>63</v>
      </c>
      <c r="I305" s="5" t="s">
        <v>1042</v>
      </c>
      <c r="J305" s="5" t="s">
        <v>65</v>
      </c>
      <c r="K305" s="5" t="s">
        <v>66</v>
      </c>
      <c r="L305" s="2" t="s">
        <v>536</v>
      </c>
      <c r="M305" s="2" t="s">
        <v>537</v>
      </c>
      <c r="N305" s="2" t="s">
        <v>2129</v>
      </c>
      <c r="O305" s="2" t="s">
        <v>2130</v>
      </c>
      <c r="P305" s="2"/>
      <c r="Q305" s="5" t="n">
        <v>1</v>
      </c>
      <c r="R305" s="2" t="s">
        <v>2146</v>
      </c>
      <c r="S305" s="2" t="s">
        <v>83</v>
      </c>
      <c r="T305" s="2" t="s">
        <v>2147</v>
      </c>
      <c r="U305" s="2" t="s">
        <v>74</v>
      </c>
      <c r="V305" s="5" t="n">
        <v>900</v>
      </c>
      <c r="W305" s="2"/>
      <c r="X305" s="2" t="s">
        <v>2133</v>
      </c>
      <c r="Y305" s="5"/>
      <c r="Z305" s="2" t="s">
        <v>2148</v>
      </c>
      <c r="AA305" s="6" t="s">
        <v>2149</v>
      </c>
    </row>
    <row r="306" customFormat="false" ht="46.25" hidden="false" customHeight="false" outlineLevel="0" collapsed="false">
      <c r="A306" s="5" t="s">
        <v>2150</v>
      </c>
      <c r="B306" s="2" t="s">
        <v>2151</v>
      </c>
      <c r="C306" s="5" t="s">
        <v>2128</v>
      </c>
      <c r="D306" s="5" t="s">
        <v>60</v>
      </c>
      <c r="E306" s="2" t="s">
        <v>269</v>
      </c>
      <c r="F306" s="5" t="s">
        <v>490</v>
      </c>
      <c r="G306" s="5" t="n">
        <v>9</v>
      </c>
      <c r="H306" s="5" t="s">
        <v>63</v>
      </c>
      <c r="I306" s="5" t="s">
        <v>64</v>
      </c>
      <c r="J306" s="5" t="s">
        <v>2152</v>
      </c>
      <c r="K306" s="5" t="s">
        <v>2153</v>
      </c>
      <c r="L306" s="2" t="s">
        <v>2154</v>
      </c>
      <c r="M306" s="2"/>
      <c r="N306" s="2" t="s">
        <v>2155</v>
      </c>
      <c r="O306" s="2"/>
      <c r="P306" s="2"/>
      <c r="Q306" s="5" t="n">
        <v>2</v>
      </c>
      <c r="R306" s="2" t="s">
        <v>2156</v>
      </c>
      <c r="S306" s="2" t="s">
        <v>2157</v>
      </c>
      <c r="T306" s="2" t="s">
        <v>2158</v>
      </c>
      <c r="U306" s="2" t="s">
        <v>2159</v>
      </c>
      <c r="V306" s="5" t="n">
        <v>7200</v>
      </c>
      <c r="W306" s="2" t="s">
        <v>2160</v>
      </c>
      <c r="X306" s="2"/>
      <c r="Y306" s="5"/>
      <c r="Z306" s="2" t="s">
        <v>2161</v>
      </c>
      <c r="AA306" s="6" t="s">
        <v>2162</v>
      </c>
    </row>
    <row r="307" customFormat="false" ht="46.25" hidden="false" customHeight="false" outlineLevel="0" collapsed="false">
      <c r="A307" s="5" t="s">
        <v>2163</v>
      </c>
      <c r="B307" s="2" t="s">
        <v>2164</v>
      </c>
      <c r="C307" s="5" t="s">
        <v>2128</v>
      </c>
      <c r="D307" s="5" t="s">
        <v>60</v>
      </c>
      <c r="E307" s="2" t="s">
        <v>161</v>
      </c>
      <c r="F307" s="5" t="s">
        <v>62</v>
      </c>
      <c r="G307" s="5" t="n">
        <v>3</v>
      </c>
      <c r="H307" s="5" t="s">
        <v>817</v>
      </c>
      <c r="I307" s="5" t="s">
        <v>64</v>
      </c>
      <c r="J307" s="5" t="s">
        <v>65</v>
      </c>
      <c r="K307" s="5" t="s">
        <v>66</v>
      </c>
      <c r="L307" s="2" t="s">
        <v>544</v>
      </c>
      <c r="M307" s="2" t="s">
        <v>545</v>
      </c>
      <c r="N307" s="2" t="s">
        <v>526</v>
      </c>
      <c r="O307" s="2" t="s">
        <v>2165</v>
      </c>
      <c r="P307" s="2"/>
      <c r="Q307" s="5" t="n">
        <v>1</v>
      </c>
      <c r="R307" s="2" t="s">
        <v>71</v>
      </c>
      <c r="S307" s="2" t="s">
        <v>83</v>
      </c>
      <c r="T307" s="2" t="s">
        <v>529</v>
      </c>
      <c r="U307" s="2" t="s">
        <v>74</v>
      </c>
      <c r="V307" s="5" t="n">
        <v>300</v>
      </c>
      <c r="W307" s="2"/>
      <c r="X307" s="2" t="s">
        <v>2166</v>
      </c>
      <c r="Y307" s="5"/>
      <c r="Z307" s="2" t="s">
        <v>2167</v>
      </c>
      <c r="AA307" s="6" t="s">
        <v>2168</v>
      </c>
    </row>
    <row r="308" customFormat="false" ht="35.05" hidden="false" customHeight="false" outlineLevel="0" collapsed="false">
      <c r="A308" s="5" t="s">
        <v>2169</v>
      </c>
      <c r="B308" s="2" t="s">
        <v>2170</v>
      </c>
      <c r="C308" s="5" t="s">
        <v>2128</v>
      </c>
      <c r="D308" s="5" t="s">
        <v>60</v>
      </c>
      <c r="E308" s="2" t="s">
        <v>161</v>
      </c>
      <c r="F308" s="5" t="s">
        <v>62</v>
      </c>
      <c r="G308" s="5" t="n">
        <v>6</v>
      </c>
      <c r="H308" s="5" t="s">
        <v>89</v>
      </c>
      <c r="I308" s="5" t="s">
        <v>64</v>
      </c>
      <c r="J308" s="5" t="s">
        <v>65</v>
      </c>
      <c r="K308" s="5" t="s">
        <v>66</v>
      </c>
      <c r="L308" s="2" t="s">
        <v>544</v>
      </c>
      <c r="M308" s="2" t="s">
        <v>545</v>
      </c>
      <c r="N308" s="2" t="s">
        <v>526</v>
      </c>
      <c r="O308" s="2" t="s">
        <v>527</v>
      </c>
      <c r="P308" s="2"/>
      <c r="Q308" s="5" t="n">
        <v>1</v>
      </c>
      <c r="R308" s="2" t="s">
        <v>71</v>
      </c>
      <c r="S308" s="2" t="s">
        <v>83</v>
      </c>
      <c r="T308" s="2" t="s">
        <v>529</v>
      </c>
      <c r="U308" s="2" t="s">
        <v>74</v>
      </c>
      <c r="V308" s="5" t="n">
        <v>300</v>
      </c>
      <c r="W308" s="2"/>
      <c r="X308" s="2" t="s">
        <v>531</v>
      </c>
      <c r="Y308" s="5"/>
      <c r="Z308" s="2" t="s">
        <v>2171</v>
      </c>
      <c r="AA308" s="6" t="s">
        <v>2172</v>
      </c>
    </row>
    <row r="309" customFormat="false" ht="46.25" hidden="false" customHeight="false" outlineLevel="0" collapsed="false">
      <c r="A309" s="5" t="s">
        <v>2173</v>
      </c>
      <c r="B309" s="2" t="s">
        <v>2174</v>
      </c>
      <c r="C309" s="5" t="s">
        <v>2128</v>
      </c>
      <c r="D309" s="5" t="s">
        <v>60</v>
      </c>
      <c r="E309" s="2" t="s">
        <v>161</v>
      </c>
      <c r="F309" s="5" t="s">
        <v>62</v>
      </c>
      <c r="G309" s="5" t="n">
        <v>3</v>
      </c>
      <c r="H309" s="5" t="s">
        <v>817</v>
      </c>
      <c r="I309" s="5" t="s">
        <v>64</v>
      </c>
      <c r="J309" s="5" t="s">
        <v>65</v>
      </c>
      <c r="K309" s="5" t="s">
        <v>66</v>
      </c>
      <c r="L309" s="2" t="s">
        <v>544</v>
      </c>
      <c r="M309" s="2" t="s">
        <v>545</v>
      </c>
      <c r="N309" s="2" t="s">
        <v>526</v>
      </c>
      <c r="O309" s="2" t="s">
        <v>2175</v>
      </c>
      <c r="P309" s="2"/>
      <c r="Q309" s="5" t="n">
        <v>1</v>
      </c>
      <c r="R309" s="2" t="s">
        <v>71</v>
      </c>
      <c r="S309" s="2" t="s">
        <v>83</v>
      </c>
      <c r="T309" s="2" t="s">
        <v>529</v>
      </c>
      <c r="U309" s="2" t="s">
        <v>74</v>
      </c>
      <c r="V309" s="5" t="n">
        <v>300</v>
      </c>
      <c r="W309" s="2"/>
      <c r="X309" s="2" t="s">
        <v>2176</v>
      </c>
      <c r="Y309" s="5"/>
      <c r="Z309" s="2" t="s">
        <v>2177</v>
      </c>
      <c r="AA309" s="6" t="s">
        <v>2178</v>
      </c>
    </row>
    <row r="310" customFormat="false" ht="46.25" hidden="false" customHeight="false" outlineLevel="0" collapsed="false">
      <c r="A310" s="5" t="s">
        <v>2179</v>
      </c>
      <c r="B310" s="2" t="s">
        <v>2180</v>
      </c>
      <c r="C310" s="5" t="s">
        <v>2128</v>
      </c>
      <c r="D310" s="5" t="s">
        <v>60</v>
      </c>
      <c r="E310" s="2" t="s">
        <v>161</v>
      </c>
      <c r="F310" s="5" t="s">
        <v>62</v>
      </c>
      <c r="G310" s="5" t="n">
        <v>3</v>
      </c>
      <c r="H310" s="5" t="s">
        <v>817</v>
      </c>
      <c r="I310" s="5" t="s">
        <v>64</v>
      </c>
      <c r="J310" s="5" t="s">
        <v>65</v>
      </c>
      <c r="K310" s="5" t="s">
        <v>66</v>
      </c>
      <c r="L310" s="2" t="s">
        <v>536</v>
      </c>
      <c r="M310" s="2" t="s">
        <v>537</v>
      </c>
      <c r="N310" s="2" t="s">
        <v>526</v>
      </c>
      <c r="O310" s="2" t="s">
        <v>2181</v>
      </c>
      <c r="P310" s="2"/>
      <c r="Q310" s="5" t="n">
        <v>1</v>
      </c>
      <c r="R310" s="2" t="s">
        <v>71</v>
      </c>
      <c r="S310" s="2" t="s">
        <v>83</v>
      </c>
      <c r="T310" s="2" t="s">
        <v>529</v>
      </c>
      <c r="U310" s="2" t="s">
        <v>74</v>
      </c>
      <c r="V310" s="5" t="n">
        <v>300</v>
      </c>
      <c r="W310" s="2"/>
      <c r="X310" s="2" t="s">
        <v>2182</v>
      </c>
      <c r="Y310" s="5"/>
      <c r="Z310" s="2" t="s">
        <v>2183</v>
      </c>
      <c r="AA310" s="6" t="s">
        <v>2184</v>
      </c>
    </row>
    <row r="311" customFormat="false" ht="23.85" hidden="false" customHeight="false" outlineLevel="0" collapsed="false">
      <c r="A311" s="5" t="s">
        <v>2185</v>
      </c>
      <c r="B311" s="2" t="s">
        <v>2186</v>
      </c>
      <c r="C311" s="5" t="s">
        <v>2128</v>
      </c>
      <c r="D311" s="5" t="s">
        <v>60</v>
      </c>
      <c r="E311" s="2" t="s">
        <v>161</v>
      </c>
      <c r="F311" s="5" t="s">
        <v>62</v>
      </c>
      <c r="G311" s="5" t="n">
        <v>9</v>
      </c>
      <c r="H311" s="5" t="s">
        <v>63</v>
      </c>
      <c r="I311" s="5" t="s">
        <v>64</v>
      </c>
      <c r="J311" s="5" t="s">
        <v>65</v>
      </c>
      <c r="K311" s="5" t="s">
        <v>66</v>
      </c>
      <c r="L311" s="2" t="s">
        <v>90</v>
      </c>
      <c r="M311" s="2" t="s">
        <v>116</v>
      </c>
      <c r="N311" s="2" t="s">
        <v>526</v>
      </c>
      <c r="O311" s="2" t="s">
        <v>2187</v>
      </c>
      <c r="P311" s="2"/>
      <c r="Q311" s="5" t="n">
        <v>1</v>
      </c>
      <c r="R311" s="2" t="s">
        <v>71</v>
      </c>
      <c r="S311" s="2" t="s">
        <v>83</v>
      </c>
      <c r="T311" s="2" t="s">
        <v>2188</v>
      </c>
      <c r="U311" s="2" t="s">
        <v>74</v>
      </c>
      <c r="V311" s="5" t="n">
        <v>300</v>
      </c>
      <c r="W311" s="2"/>
      <c r="X311" s="2" t="s">
        <v>2189</v>
      </c>
      <c r="Y311" s="5"/>
      <c r="Z311" s="2" t="s">
        <v>2190</v>
      </c>
      <c r="AA311" s="6" t="s">
        <v>2191</v>
      </c>
    </row>
    <row r="312" customFormat="false" ht="23.85" hidden="false" customHeight="false" outlineLevel="0" collapsed="false">
      <c r="A312" s="5" t="s">
        <v>2192</v>
      </c>
      <c r="B312" s="2" t="s">
        <v>2193</v>
      </c>
      <c r="C312" s="5" t="s">
        <v>2128</v>
      </c>
      <c r="D312" s="5" t="s">
        <v>60</v>
      </c>
      <c r="E312" s="2" t="s">
        <v>161</v>
      </c>
      <c r="F312" s="5" t="s">
        <v>62</v>
      </c>
      <c r="G312" s="5" t="n">
        <v>9</v>
      </c>
      <c r="H312" s="5" t="s">
        <v>63</v>
      </c>
      <c r="I312" s="5" t="s">
        <v>64</v>
      </c>
      <c r="J312" s="5" t="s">
        <v>65</v>
      </c>
      <c r="K312" s="5" t="s">
        <v>66</v>
      </c>
      <c r="L312" s="2" t="s">
        <v>544</v>
      </c>
      <c r="M312" s="2" t="s">
        <v>545</v>
      </c>
      <c r="N312" s="2" t="s">
        <v>526</v>
      </c>
      <c r="O312" s="2" t="s">
        <v>552</v>
      </c>
      <c r="P312" s="2"/>
      <c r="Q312" s="5" t="n">
        <v>1</v>
      </c>
      <c r="R312" s="2" t="s">
        <v>71</v>
      </c>
      <c r="S312" s="2" t="s">
        <v>2194</v>
      </c>
      <c r="T312" s="2" t="s">
        <v>529</v>
      </c>
      <c r="U312" s="2" t="s">
        <v>74</v>
      </c>
      <c r="V312" s="5" t="n">
        <v>300</v>
      </c>
      <c r="W312" s="2"/>
      <c r="X312" s="2" t="s">
        <v>555</v>
      </c>
      <c r="Y312" s="5"/>
      <c r="Z312" s="2" t="s">
        <v>2195</v>
      </c>
      <c r="AA312" s="6" t="s">
        <v>2196</v>
      </c>
    </row>
    <row r="313" customFormat="false" ht="57.45" hidden="false" customHeight="false" outlineLevel="0" collapsed="false">
      <c r="A313" s="5" t="s">
        <v>2197</v>
      </c>
      <c r="B313" s="2" t="s">
        <v>2198</v>
      </c>
      <c r="C313" s="5" t="s">
        <v>2128</v>
      </c>
      <c r="D313" s="5" t="s">
        <v>60</v>
      </c>
      <c r="E313" s="2" t="s">
        <v>161</v>
      </c>
      <c r="F313" s="5" t="s">
        <v>62</v>
      </c>
      <c r="G313" s="5" t="n">
        <v>7</v>
      </c>
      <c r="H313" s="5" t="s">
        <v>89</v>
      </c>
      <c r="I313" s="5" t="s">
        <v>64</v>
      </c>
      <c r="J313" s="5" t="s">
        <v>65</v>
      </c>
      <c r="K313" s="5" t="s">
        <v>66</v>
      </c>
      <c r="L313" s="2" t="s">
        <v>544</v>
      </c>
      <c r="M313" s="2" t="s">
        <v>545</v>
      </c>
      <c r="N313" s="2" t="s">
        <v>593</v>
      </c>
      <c r="O313" s="2" t="s">
        <v>2199</v>
      </c>
      <c r="P313" s="2"/>
      <c r="Q313" s="5" t="n">
        <v>1</v>
      </c>
      <c r="R313" s="2" t="s">
        <v>71</v>
      </c>
      <c r="S313" s="2" t="s">
        <v>83</v>
      </c>
      <c r="T313" s="2" t="s">
        <v>2200</v>
      </c>
      <c r="U313" s="2" t="s">
        <v>74</v>
      </c>
      <c r="V313" s="5" t="n">
        <v>300</v>
      </c>
      <c r="W313" s="2"/>
      <c r="X313" s="2" t="s">
        <v>2201</v>
      </c>
      <c r="Y313" s="5"/>
      <c r="Z313" s="2" t="s">
        <v>2202</v>
      </c>
      <c r="AA313" s="6" t="s">
        <v>2203</v>
      </c>
    </row>
    <row r="314" customFormat="false" ht="68.65" hidden="false" customHeight="false" outlineLevel="0" collapsed="false">
      <c r="A314" s="5" t="s">
        <v>2204</v>
      </c>
      <c r="B314" s="2" t="s">
        <v>2205</v>
      </c>
      <c r="C314" s="5" t="s">
        <v>2128</v>
      </c>
      <c r="D314" s="5" t="s">
        <v>60</v>
      </c>
      <c r="E314" s="2" t="s">
        <v>61</v>
      </c>
      <c r="F314" s="5" t="s">
        <v>62</v>
      </c>
      <c r="G314" s="5" t="n">
        <v>8</v>
      </c>
      <c r="H314" s="5" t="s">
        <v>89</v>
      </c>
      <c r="I314" s="5" t="s">
        <v>64</v>
      </c>
      <c r="J314" s="5" t="s">
        <v>65</v>
      </c>
      <c r="K314" s="5" t="s">
        <v>66</v>
      </c>
      <c r="L314" s="2" t="s">
        <v>90</v>
      </c>
      <c r="M314" s="2" t="s">
        <v>116</v>
      </c>
      <c r="N314" s="2" t="s">
        <v>593</v>
      </c>
      <c r="O314" s="2" t="s">
        <v>2206</v>
      </c>
      <c r="P314" s="2"/>
      <c r="Q314" s="5" t="n">
        <v>1</v>
      </c>
      <c r="R314" s="2" t="s">
        <v>71</v>
      </c>
      <c r="S314" s="2" t="s">
        <v>83</v>
      </c>
      <c r="T314" s="2" t="s">
        <v>641</v>
      </c>
      <c r="U314" s="2" t="s">
        <v>74</v>
      </c>
      <c r="V314" s="5" t="n">
        <v>300</v>
      </c>
      <c r="W314" s="2"/>
      <c r="X314" s="2" t="s">
        <v>2207</v>
      </c>
      <c r="Y314" s="5"/>
      <c r="Z314" s="2" t="s">
        <v>2208</v>
      </c>
      <c r="AA314" s="6" t="s">
        <v>2209</v>
      </c>
    </row>
    <row r="315" customFormat="false" ht="79.85" hidden="false" customHeight="false" outlineLevel="0" collapsed="false">
      <c r="A315" s="5" t="s">
        <v>2210</v>
      </c>
      <c r="B315" s="2" t="s">
        <v>2211</v>
      </c>
      <c r="C315" s="5" t="s">
        <v>2128</v>
      </c>
      <c r="D315" s="5" t="s">
        <v>60</v>
      </c>
      <c r="E315" s="2" t="s">
        <v>161</v>
      </c>
      <c r="F315" s="5" t="s">
        <v>62</v>
      </c>
      <c r="G315" s="5" t="n">
        <v>7</v>
      </c>
      <c r="H315" s="5" t="s">
        <v>89</v>
      </c>
      <c r="I315" s="5" t="s">
        <v>64</v>
      </c>
      <c r="J315" s="5" t="s">
        <v>65</v>
      </c>
      <c r="K315" s="5" t="s">
        <v>66</v>
      </c>
      <c r="L315" s="2" t="s">
        <v>544</v>
      </c>
      <c r="M315" s="2" t="s">
        <v>545</v>
      </c>
      <c r="N315" s="2" t="s">
        <v>593</v>
      </c>
      <c r="O315" s="2" t="s">
        <v>2212</v>
      </c>
      <c r="P315" s="2"/>
      <c r="Q315" s="5" t="n">
        <v>1</v>
      </c>
      <c r="R315" s="2" t="s">
        <v>71</v>
      </c>
      <c r="S315" s="2" t="s">
        <v>83</v>
      </c>
      <c r="T315" s="2" t="s">
        <v>641</v>
      </c>
      <c r="U315" s="2" t="s">
        <v>74</v>
      </c>
      <c r="V315" s="5" t="n">
        <v>300</v>
      </c>
      <c r="W315" s="2"/>
      <c r="X315" s="2" t="s">
        <v>2213</v>
      </c>
      <c r="Y315" s="5"/>
      <c r="Z315" s="2" t="s">
        <v>2214</v>
      </c>
      <c r="AA315" s="6" t="s">
        <v>2215</v>
      </c>
    </row>
    <row r="316" customFormat="false" ht="68.65" hidden="false" customHeight="false" outlineLevel="0" collapsed="false">
      <c r="A316" s="5" t="s">
        <v>2216</v>
      </c>
      <c r="B316" s="2" t="s">
        <v>2217</v>
      </c>
      <c r="C316" s="5" t="s">
        <v>2128</v>
      </c>
      <c r="D316" s="5" t="s">
        <v>60</v>
      </c>
      <c r="E316" s="2" t="s">
        <v>110</v>
      </c>
      <c r="F316" s="5" t="s">
        <v>62</v>
      </c>
      <c r="G316" s="5" t="n">
        <v>3</v>
      </c>
      <c r="H316" s="5" t="s">
        <v>817</v>
      </c>
      <c r="I316" s="5" t="s">
        <v>64</v>
      </c>
      <c r="J316" s="5" t="s">
        <v>65</v>
      </c>
      <c r="K316" s="5" t="s">
        <v>66</v>
      </c>
      <c r="L316" s="2" t="s">
        <v>544</v>
      </c>
      <c r="M316" s="2" t="s">
        <v>545</v>
      </c>
      <c r="N316" s="2" t="s">
        <v>593</v>
      </c>
      <c r="O316" s="2" t="s">
        <v>2218</v>
      </c>
      <c r="P316" s="2"/>
      <c r="Q316" s="5" t="n">
        <v>1</v>
      </c>
      <c r="R316" s="2" t="s">
        <v>71</v>
      </c>
      <c r="S316" s="2" t="s">
        <v>2219</v>
      </c>
      <c r="T316" s="2" t="s">
        <v>2220</v>
      </c>
      <c r="U316" s="2" t="s">
        <v>74</v>
      </c>
      <c r="V316" s="5" t="n">
        <v>300</v>
      </c>
      <c r="W316" s="2"/>
      <c r="X316" s="2" t="s">
        <v>2221</v>
      </c>
      <c r="Y316" s="5"/>
      <c r="Z316" s="2" t="s">
        <v>2222</v>
      </c>
      <c r="AA316" s="6" t="s">
        <v>2223</v>
      </c>
    </row>
    <row r="317" customFormat="false" ht="79.85" hidden="false" customHeight="false" outlineLevel="0" collapsed="false">
      <c r="A317" s="5" t="s">
        <v>2224</v>
      </c>
      <c r="B317" s="2" t="s">
        <v>2225</v>
      </c>
      <c r="C317" s="5" t="s">
        <v>2128</v>
      </c>
      <c r="D317" s="5" t="s">
        <v>60</v>
      </c>
      <c r="E317" s="2" t="s">
        <v>110</v>
      </c>
      <c r="F317" s="5" t="s">
        <v>62</v>
      </c>
      <c r="G317" s="5" t="n">
        <v>7</v>
      </c>
      <c r="H317" s="5" t="s">
        <v>89</v>
      </c>
      <c r="I317" s="5" t="s">
        <v>64</v>
      </c>
      <c r="J317" s="5" t="s">
        <v>65</v>
      </c>
      <c r="K317" s="5" t="s">
        <v>66</v>
      </c>
      <c r="L317" s="2" t="s">
        <v>90</v>
      </c>
      <c r="M317" s="2" t="s">
        <v>116</v>
      </c>
      <c r="N317" s="2" t="s">
        <v>593</v>
      </c>
      <c r="O317" s="2" t="s">
        <v>2226</v>
      </c>
      <c r="P317" s="2"/>
      <c r="Q317" s="5" t="n">
        <v>1</v>
      </c>
      <c r="R317" s="2" t="s">
        <v>71</v>
      </c>
      <c r="S317" s="2" t="s">
        <v>83</v>
      </c>
      <c r="T317" s="2" t="s">
        <v>641</v>
      </c>
      <c r="U317" s="2" t="s">
        <v>74</v>
      </c>
      <c r="V317" s="5" t="n">
        <v>300</v>
      </c>
      <c r="W317" s="2"/>
      <c r="X317" s="2" t="s">
        <v>2227</v>
      </c>
      <c r="Y317" s="5"/>
      <c r="Z317" s="2" t="s">
        <v>2228</v>
      </c>
      <c r="AA317" s="6" t="s">
        <v>2229</v>
      </c>
    </row>
    <row r="318" customFormat="false" ht="281.3" hidden="false" customHeight="false" outlineLevel="0" collapsed="false">
      <c r="A318" s="5" t="s">
        <v>2230</v>
      </c>
      <c r="B318" s="2" t="s">
        <v>2231</v>
      </c>
      <c r="C318" s="5" t="s">
        <v>2128</v>
      </c>
      <c r="D318" s="5" t="s">
        <v>60</v>
      </c>
      <c r="E318" s="2" t="s">
        <v>489</v>
      </c>
      <c r="F318" s="5" t="s">
        <v>62</v>
      </c>
      <c r="G318" s="5" t="n">
        <v>7</v>
      </c>
      <c r="H318" s="5" t="s">
        <v>89</v>
      </c>
      <c r="I318" s="5" t="s">
        <v>64</v>
      </c>
      <c r="J318" s="5" t="s">
        <v>65</v>
      </c>
      <c r="K318" s="5" t="s">
        <v>66</v>
      </c>
      <c r="L318" s="2" t="s">
        <v>100</v>
      </c>
      <c r="M318" s="2" t="s">
        <v>491</v>
      </c>
      <c r="N318" s="2" t="s">
        <v>614</v>
      </c>
      <c r="O318" s="2" t="s">
        <v>621</v>
      </c>
      <c r="P318" s="2"/>
      <c r="Q318" s="5" t="n">
        <v>1</v>
      </c>
      <c r="R318" s="2" t="s">
        <v>2232</v>
      </c>
      <c r="S318" s="2" t="s">
        <v>2233</v>
      </c>
      <c r="T318" s="2" t="s">
        <v>2234</v>
      </c>
      <c r="U318" s="2" t="s">
        <v>2235</v>
      </c>
      <c r="V318" s="5" t="n">
        <v>3600</v>
      </c>
      <c r="W318" s="2"/>
      <c r="X318" s="2" t="s">
        <v>626</v>
      </c>
      <c r="Y318" s="5"/>
      <c r="Z318" s="2" t="s">
        <v>2236</v>
      </c>
      <c r="AA318" s="6" t="s">
        <v>2237</v>
      </c>
    </row>
    <row r="319" customFormat="false" ht="281.3" hidden="false" customHeight="false" outlineLevel="0" collapsed="false">
      <c r="A319" s="5" t="s">
        <v>2238</v>
      </c>
      <c r="B319" s="2" t="s">
        <v>2239</v>
      </c>
      <c r="C319" s="5" t="s">
        <v>2128</v>
      </c>
      <c r="D319" s="5" t="s">
        <v>60</v>
      </c>
      <c r="E319" s="2" t="s">
        <v>489</v>
      </c>
      <c r="F319" s="5" t="s">
        <v>62</v>
      </c>
      <c r="G319" s="5" t="n">
        <v>7</v>
      </c>
      <c r="H319" s="5" t="s">
        <v>89</v>
      </c>
      <c r="I319" s="5" t="s">
        <v>64</v>
      </c>
      <c r="J319" s="5" t="s">
        <v>65</v>
      </c>
      <c r="K319" s="5" t="s">
        <v>66</v>
      </c>
      <c r="L319" s="2" t="s">
        <v>100</v>
      </c>
      <c r="M319" s="2" t="s">
        <v>491</v>
      </c>
      <c r="N319" s="2" t="s">
        <v>614</v>
      </c>
      <c r="O319" s="2" t="s">
        <v>631</v>
      </c>
      <c r="P319" s="2"/>
      <c r="Q319" s="5" t="n">
        <v>1</v>
      </c>
      <c r="R319" s="2" t="s">
        <v>2232</v>
      </c>
      <c r="S319" s="2" t="s">
        <v>2233</v>
      </c>
      <c r="T319" s="2" t="s">
        <v>2234</v>
      </c>
      <c r="U319" s="2" t="s">
        <v>2240</v>
      </c>
      <c r="V319" s="5" t="n">
        <v>3600</v>
      </c>
      <c r="W319" s="2"/>
      <c r="X319" s="2" t="s">
        <v>632</v>
      </c>
      <c r="Y319" s="5"/>
      <c r="Z319" s="2" t="s">
        <v>2241</v>
      </c>
      <c r="AA319" s="6" t="s">
        <v>2242</v>
      </c>
    </row>
    <row r="320" customFormat="false" ht="46.25" hidden="false" customHeight="false" outlineLevel="0" collapsed="false">
      <c r="A320" s="5" t="s">
        <v>2243</v>
      </c>
      <c r="B320" s="2" t="s">
        <v>2244</v>
      </c>
      <c r="C320" s="5" t="s">
        <v>2245</v>
      </c>
      <c r="D320" s="5" t="s">
        <v>60</v>
      </c>
      <c r="E320" s="2" t="s">
        <v>577</v>
      </c>
      <c r="F320" s="5" t="s">
        <v>62</v>
      </c>
      <c r="G320" s="5" t="n">
        <v>8</v>
      </c>
      <c r="H320" s="5" t="s">
        <v>89</v>
      </c>
      <c r="I320" s="5" t="s">
        <v>64</v>
      </c>
      <c r="J320" s="5" t="s">
        <v>65</v>
      </c>
      <c r="K320" s="5" t="s">
        <v>66</v>
      </c>
      <c r="L320" s="2" t="s">
        <v>481</v>
      </c>
      <c r="M320" s="2" t="s">
        <v>545</v>
      </c>
      <c r="N320" s="2" t="s">
        <v>2246</v>
      </c>
      <c r="O320" s="2" t="s">
        <v>2247</v>
      </c>
      <c r="P320" s="2"/>
      <c r="Q320" s="5" t="n">
        <v>1</v>
      </c>
      <c r="R320" s="2" t="s">
        <v>2248</v>
      </c>
      <c r="S320" s="2" t="s">
        <v>83</v>
      </c>
      <c r="T320" s="2" t="s">
        <v>2249</v>
      </c>
      <c r="U320" s="2" t="s">
        <v>734</v>
      </c>
      <c r="V320" s="5" t="n">
        <v>300</v>
      </c>
      <c r="W320" s="2"/>
      <c r="X320" s="2" t="s">
        <v>2250</v>
      </c>
      <c r="Y320" s="5"/>
      <c r="Z320" s="2" t="s">
        <v>2251</v>
      </c>
      <c r="AA320" s="6" t="s">
        <v>2252</v>
      </c>
    </row>
    <row r="321" customFormat="false" ht="35.05" hidden="false" customHeight="false" outlineLevel="0" collapsed="false">
      <c r="A321" s="5" t="s">
        <v>2253</v>
      </c>
      <c r="B321" s="2" t="s">
        <v>2254</v>
      </c>
      <c r="C321" s="5" t="s">
        <v>2245</v>
      </c>
      <c r="D321" s="5" t="s">
        <v>60</v>
      </c>
      <c r="E321" s="2" t="s">
        <v>577</v>
      </c>
      <c r="F321" s="5" t="s">
        <v>62</v>
      </c>
      <c r="G321" s="5" t="n">
        <v>8</v>
      </c>
      <c r="H321" s="5" t="s">
        <v>89</v>
      </c>
      <c r="I321" s="5" t="s">
        <v>64</v>
      </c>
      <c r="J321" s="5" t="s">
        <v>65</v>
      </c>
      <c r="K321" s="5" t="s">
        <v>66</v>
      </c>
      <c r="L321" s="2" t="s">
        <v>481</v>
      </c>
      <c r="M321" s="2" t="s">
        <v>545</v>
      </c>
      <c r="N321" s="2" t="s">
        <v>2246</v>
      </c>
      <c r="O321" s="2" t="s">
        <v>2255</v>
      </c>
      <c r="P321" s="2"/>
      <c r="Q321" s="5" t="n">
        <v>1</v>
      </c>
      <c r="R321" s="2" t="s">
        <v>2248</v>
      </c>
      <c r="S321" s="2" t="s">
        <v>83</v>
      </c>
      <c r="T321" s="2" t="s">
        <v>2256</v>
      </c>
      <c r="U321" s="2" t="s">
        <v>734</v>
      </c>
      <c r="V321" s="5" t="n">
        <v>300</v>
      </c>
      <c r="W321" s="2"/>
      <c r="X321" s="2" t="s">
        <v>2257</v>
      </c>
      <c r="Y321" s="5"/>
      <c r="Z321" s="2" t="s">
        <v>2258</v>
      </c>
      <c r="AA321" s="6" t="s">
        <v>2259</v>
      </c>
    </row>
    <row r="322" customFormat="false" ht="35.05" hidden="false" customHeight="false" outlineLevel="0" collapsed="false">
      <c r="A322" s="5" t="s">
        <v>2260</v>
      </c>
      <c r="B322" s="2" t="s">
        <v>2261</v>
      </c>
      <c r="C322" s="5" t="s">
        <v>2245</v>
      </c>
      <c r="D322" s="5" t="s">
        <v>60</v>
      </c>
      <c r="E322" s="2" t="s">
        <v>577</v>
      </c>
      <c r="F322" s="5" t="s">
        <v>62</v>
      </c>
      <c r="G322" s="5" t="n">
        <v>8</v>
      </c>
      <c r="H322" s="5" t="s">
        <v>89</v>
      </c>
      <c r="I322" s="5" t="s">
        <v>64</v>
      </c>
      <c r="J322" s="5" t="s">
        <v>65</v>
      </c>
      <c r="K322" s="5" t="s">
        <v>66</v>
      </c>
      <c r="L322" s="2" t="s">
        <v>481</v>
      </c>
      <c r="M322" s="2" t="s">
        <v>545</v>
      </c>
      <c r="N322" s="2" t="s">
        <v>2246</v>
      </c>
      <c r="O322" s="2" t="s">
        <v>2262</v>
      </c>
      <c r="P322" s="2"/>
      <c r="Q322" s="5" t="n">
        <v>1</v>
      </c>
      <c r="R322" s="2" t="s">
        <v>2248</v>
      </c>
      <c r="S322" s="2" t="s">
        <v>83</v>
      </c>
      <c r="T322" s="2" t="s">
        <v>2263</v>
      </c>
      <c r="U322" s="2" t="s">
        <v>734</v>
      </c>
      <c r="V322" s="5" t="n">
        <v>300</v>
      </c>
      <c r="W322" s="2"/>
      <c r="X322" s="2" t="s">
        <v>2264</v>
      </c>
      <c r="Y322" s="5"/>
      <c r="Z322" s="2" t="s">
        <v>2265</v>
      </c>
      <c r="AA322" s="6" t="s">
        <v>2266</v>
      </c>
    </row>
    <row r="323" customFormat="false" ht="35.05" hidden="false" customHeight="false" outlineLevel="0" collapsed="false">
      <c r="A323" s="5" t="s">
        <v>2267</v>
      </c>
      <c r="B323" s="2" t="s">
        <v>2268</v>
      </c>
      <c r="C323" s="5" t="s">
        <v>2245</v>
      </c>
      <c r="D323" s="5" t="s">
        <v>60</v>
      </c>
      <c r="E323" s="2" t="s">
        <v>577</v>
      </c>
      <c r="F323" s="5" t="s">
        <v>62</v>
      </c>
      <c r="G323" s="5" t="n">
        <v>8</v>
      </c>
      <c r="H323" s="5" t="s">
        <v>89</v>
      </c>
      <c r="I323" s="5" t="s">
        <v>64</v>
      </c>
      <c r="J323" s="5" t="s">
        <v>65</v>
      </c>
      <c r="K323" s="5" t="s">
        <v>66</v>
      </c>
      <c r="L323" s="2" t="s">
        <v>481</v>
      </c>
      <c r="M323" s="2" t="s">
        <v>545</v>
      </c>
      <c r="N323" s="2" t="s">
        <v>2246</v>
      </c>
      <c r="O323" s="2" t="s">
        <v>2269</v>
      </c>
      <c r="P323" s="2"/>
      <c r="Q323" s="5" t="n">
        <v>1</v>
      </c>
      <c r="R323" s="2" t="s">
        <v>2248</v>
      </c>
      <c r="S323" s="2" t="s">
        <v>83</v>
      </c>
      <c r="T323" s="2" t="s">
        <v>2270</v>
      </c>
      <c r="U323" s="2" t="s">
        <v>734</v>
      </c>
      <c r="V323" s="5" t="n">
        <v>300</v>
      </c>
      <c r="W323" s="2"/>
      <c r="X323" s="2" t="s">
        <v>2271</v>
      </c>
      <c r="Y323" s="5"/>
      <c r="Z323" s="2" t="s">
        <v>2272</v>
      </c>
      <c r="AA323" s="6" t="s">
        <v>2273</v>
      </c>
    </row>
    <row r="324" customFormat="false" ht="57.45" hidden="false" customHeight="false" outlineLevel="0" collapsed="false">
      <c r="A324" s="5" t="s">
        <v>2274</v>
      </c>
      <c r="B324" s="2" t="s">
        <v>2275</v>
      </c>
      <c r="C324" s="5" t="s">
        <v>2128</v>
      </c>
      <c r="D324" s="5" t="s">
        <v>60</v>
      </c>
      <c r="E324" s="2" t="s">
        <v>161</v>
      </c>
      <c r="F324" s="5" t="s">
        <v>62</v>
      </c>
      <c r="G324" s="5" t="n">
        <v>7</v>
      </c>
      <c r="H324" s="5" t="s">
        <v>89</v>
      </c>
      <c r="I324" s="5" t="s">
        <v>1042</v>
      </c>
      <c r="J324" s="5" t="s">
        <v>65</v>
      </c>
      <c r="K324" s="5" t="s">
        <v>66</v>
      </c>
      <c r="L324" s="2" t="s">
        <v>90</v>
      </c>
      <c r="M324" s="2" t="s">
        <v>116</v>
      </c>
      <c r="N324" s="2" t="s">
        <v>805</v>
      </c>
      <c r="O324" s="2" t="s">
        <v>2276</v>
      </c>
      <c r="P324" s="2"/>
      <c r="Q324" s="5" t="n">
        <v>1</v>
      </c>
      <c r="R324" s="2" t="s">
        <v>2277</v>
      </c>
      <c r="S324" s="2" t="s">
        <v>83</v>
      </c>
      <c r="T324" s="2" t="s">
        <v>2278</v>
      </c>
      <c r="U324" s="2" t="s">
        <v>496</v>
      </c>
      <c r="V324" s="5" t="n">
        <v>300</v>
      </c>
      <c r="W324" s="2"/>
      <c r="X324" s="2" t="s">
        <v>2279</v>
      </c>
      <c r="Y324" s="5"/>
      <c r="Z324" s="2" t="s">
        <v>2280</v>
      </c>
      <c r="AA324" s="6" t="s">
        <v>2281</v>
      </c>
    </row>
    <row r="325" customFormat="false" ht="23.85" hidden="false" customHeight="false" outlineLevel="0" collapsed="false">
      <c r="A325" s="5" t="s">
        <v>2282</v>
      </c>
      <c r="B325" s="2" t="s">
        <v>2283</v>
      </c>
      <c r="C325" s="5" t="s">
        <v>2128</v>
      </c>
      <c r="D325" s="5" t="s">
        <v>60</v>
      </c>
      <c r="E325" s="2" t="s">
        <v>303</v>
      </c>
      <c r="F325" s="5" t="s">
        <v>62</v>
      </c>
      <c r="G325" s="5" t="n">
        <v>9</v>
      </c>
      <c r="H325" s="5" t="s">
        <v>63</v>
      </c>
      <c r="I325" s="5" t="s">
        <v>64</v>
      </c>
      <c r="J325" s="5" t="s">
        <v>65</v>
      </c>
      <c r="K325" s="5" t="s">
        <v>66</v>
      </c>
      <c r="L325" s="2" t="s">
        <v>100</v>
      </c>
      <c r="M325" s="2" t="s">
        <v>491</v>
      </c>
      <c r="N325" s="2" t="s">
        <v>184</v>
      </c>
      <c r="O325" s="2" t="s">
        <v>2284</v>
      </c>
      <c r="P325" s="2"/>
      <c r="Q325" s="5" t="n">
        <v>1</v>
      </c>
      <c r="R325" s="2" t="s">
        <v>2285</v>
      </c>
      <c r="S325" s="2" t="s">
        <v>2286</v>
      </c>
      <c r="T325" s="2" t="s">
        <v>495</v>
      </c>
      <c r="U325" s="2" t="s">
        <v>681</v>
      </c>
      <c r="V325" s="5" t="n">
        <v>600</v>
      </c>
      <c r="W325" s="2"/>
      <c r="X325" s="2" t="s">
        <v>2287</v>
      </c>
      <c r="Y325" s="5" t="s">
        <v>1537</v>
      </c>
      <c r="Z325" s="2" t="s">
        <v>2288</v>
      </c>
      <c r="AA325" s="6" t="s">
        <v>2289</v>
      </c>
    </row>
    <row r="326" customFormat="false" ht="23.85" hidden="false" customHeight="false" outlineLevel="0" collapsed="false">
      <c r="A326" s="5" t="s">
        <v>2290</v>
      </c>
      <c r="B326" s="2" t="s">
        <v>2291</v>
      </c>
      <c r="C326" s="5" t="s">
        <v>2128</v>
      </c>
      <c r="D326" s="5" t="s">
        <v>60</v>
      </c>
      <c r="E326" s="2" t="s">
        <v>751</v>
      </c>
      <c r="F326" s="5" t="s">
        <v>62</v>
      </c>
      <c r="G326" s="5" t="n">
        <v>9</v>
      </c>
      <c r="H326" s="5" t="s">
        <v>63</v>
      </c>
      <c r="I326" s="5" t="s">
        <v>2292</v>
      </c>
      <c r="J326" s="5" t="s">
        <v>65</v>
      </c>
      <c r="K326" s="5" t="s">
        <v>66</v>
      </c>
      <c r="L326" s="2" t="s">
        <v>2293</v>
      </c>
      <c r="M326" s="2"/>
      <c r="N326" s="2" t="s">
        <v>1513</v>
      </c>
      <c r="O326" s="2" t="s">
        <v>2294</v>
      </c>
      <c r="P326" s="2"/>
      <c r="Q326" s="5" t="n">
        <v>1</v>
      </c>
      <c r="R326" s="2" t="s">
        <v>2295</v>
      </c>
      <c r="S326" s="2" t="s">
        <v>83</v>
      </c>
      <c r="T326" s="2" t="s">
        <v>2296</v>
      </c>
      <c r="U326" s="2" t="s">
        <v>2297</v>
      </c>
      <c r="V326" s="5" t="n">
        <v>120</v>
      </c>
      <c r="W326" s="2"/>
      <c r="X326" s="2" t="s">
        <v>2298</v>
      </c>
      <c r="Y326" s="5"/>
      <c r="Z326" s="2" t="s">
        <v>2299</v>
      </c>
      <c r="AA326" s="6" t="s">
        <v>2300</v>
      </c>
    </row>
    <row r="327" customFormat="false" ht="147" hidden="false" customHeight="false" outlineLevel="0" collapsed="false">
      <c r="A327" s="5" t="s">
        <v>2301</v>
      </c>
      <c r="B327" s="2" t="s">
        <v>2302</v>
      </c>
      <c r="C327" s="5" t="s">
        <v>2128</v>
      </c>
      <c r="D327" s="5" t="s">
        <v>60</v>
      </c>
      <c r="E327" s="2" t="s">
        <v>269</v>
      </c>
      <c r="F327" s="5" t="s">
        <v>62</v>
      </c>
      <c r="G327" s="5" t="n">
        <v>8</v>
      </c>
      <c r="H327" s="5" t="s">
        <v>89</v>
      </c>
      <c r="I327" s="5" t="s">
        <v>64</v>
      </c>
      <c r="J327" s="5" t="s">
        <v>65</v>
      </c>
      <c r="K327" s="5" t="s">
        <v>66</v>
      </c>
      <c r="L327" s="2" t="s">
        <v>536</v>
      </c>
      <c r="M327" s="2" t="s">
        <v>2303</v>
      </c>
      <c r="N327" s="2" t="s">
        <v>184</v>
      </c>
      <c r="O327" s="2" t="s">
        <v>2304</v>
      </c>
      <c r="P327" s="2"/>
      <c r="Q327" s="5" t="n">
        <v>1</v>
      </c>
      <c r="R327" s="2" t="s">
        <v>71</v>
      </c>
      <c r="S327" s="2" t="s">
        <v>2305</v>
      </c>
      <c r="T327" s="2" t="s">
        <v>2306</v>
      </c>
      <c r="U327" s="2" t="s">
        <v>2307</v>
      </c>
      <c r="V327" s="5" t="n">
        <v>300</v>
      </c>
      <c r="W327" s="2"/>
      <c r="X327" s="2" t="s">
        <v>2308</v>
      </c>
      <c r="Y327" s="5"/>
      <c r="Z327" s="2" t="s">
        <v>2309</v>
      </c>
      <c r="AA327" s="6" t="s">
        <v>2310</v>
      </c>
    </row>
    <row r="328" customFormat="false" ht="23.85" hidden="false" customHeight="false" outlineLevel="0" collapsed="false">
      <c r="A328" s="5" t="s">
        <v>2311</v>
      </c>
      <c r="B328" s="2" t="s">
        <v>2312</v>
      </c>
      <c r="C328" s="5" t="s">
        <v>2128</v>
      </c>
      <c r="D328" s="5" t="s">
        <v>60</v>
      </c>
      <c r="E328" s="2" t="s">
        <v>751</v>
      </c>
      <c r="F328" s="5" t="s">
        <v>62</v>
      </c>
      <c r="G328" s="5" t="n">
        <v>9</v>
      </c>
      <c r="H328" s="5" t="s">
        <v>63</v>
      </c>
      <c r="I328" s="5" t="s">
        <v>2292</v>
      </c>
      <c r="J328" s="5" t="s">
        <v>65</v>
      </c>
      <c r="K328" s="5" t="s">
        <v>66</v>
      </c>
      <c r="L328" s="2" t="s">
        <v>2293</v>
      </c>
      <c r="M328" s="2"/>
      <c r="N328" s="2" t="s">
        <v>1513</v>
      </c>
      <c r="O328" s="2" t="s">
        <v>2313</v>
      </c>
      <c r="P328" s="2"/>
      <c r="Q328" s="5" t="n">
        <v>1</v>
      </c>
      <c r="R328" s="2" t="s">
        <v>2295</v>
      </c>
      <c r="S328" s="2" t="s">
        <v>83</v>
      </c>
      <c r="T328" s="2" t="s">
        <v>2314</v>
      </c>
      <c r="U328" s="2" t="s">
        <v>2297</v>
      </c>
      <c r="V328" s="5" t="n">
        <v>120</v>
      </c>
      <c r="W328" s="2"/>
      <c r="X328" s="2" t="s">
        <v>2315</v>
      </c>
      <c r="Y328" s="5"/>
      <c r="Z328" s="2" t="s">
        <v>2299</v>
      </c>
      <c r="AA328" s="6" t="s">
        <v>2316</v>
      </c>
    </row>
    <row r="329" customFormat="false" ht="113.4" hidden="false" customHeight="false" outlineLevel="0" collapsed="false">
      <c r="A329" s="5" t="s">
        <v>2317</v>
      </c>
      <c r="B329" s="2" t="s">
        <v>2318</v>
      </c>
      <c r="C329" s="5" t="s">
        <v>2128</v>
      </c>
      <c r="D329" s="5" t="s">
        <v>60</v>
      </c>
      <c r="E329" s="2" t="s">
        <v>2319</v>
      </c>
      <c r="F329" s="5" t="s">
        <v>62</v>
      </c>
      <c r="G329" s="5" t="n">
        <v>8</v>
      </c>
      <c r="H329" s="5" t="s">
        <v>89</v>
      </c>
      <c r="I329" s="5" t="s">
        <v>64</v>
      </c>
      <c r="J329" s="5" t="s">
        <v>65</v>
      </c>
      <c r="K329" s="5" t="s">
        <v>66</v>
      </c>
      <c r="L329" s="2" t="s">
        <v>100</v>
      </c>
      <c r="M329" s="2" t="s">
        <v>491</v>
      </c>
      <c r="N329" s="2" t="s">
        <v>184</v>
      </c>
      <c r="O329" s="2" t="s">
        <v>2320</v>
      </c>
      <c r="P329" s="2"/>
      <c r="Q329" s="5" t="n">
        <v>2</v>
      </c>
      <c r="R329" s="2" t="s">
        <v>2321</v>
      </c>
      <c r="S329" s="2" t="s">
        <v>2322</v>
      </c>
      <c r="T329" s="2" t="s">
        <v>2323</v>
      </c>
      <c r="U329" s="2" t="s">
        <v>2324</v>
      </c>
      <c r="V329" s="5" t="n">
        <v>86400</v>
      </c>
      <c r="W329" s="2" t="s">
        <v>2325</v>
      </c>
      <c r="X329" s="2" t="s">
        <v>2326</v>
      </c>
      <c r="Y329" s="5" t="s">
        <v>192</v>
      </c>
      <c r="Z329" s="2" t="s">
        <v>2327</v>
      </c>
      <c r="AA329" s="6" t="s">
        <v>2328</v>
      </c>
    </row>
    <row r="330" customFormat="false" ht="23.85" hidden="false" customHeight="false" outlineLevel="0" collapsed="false">
      <c r="A330" s="5" t="s">
        <v>2329</v>
      </c>
      <c r="B330" s="2" t="s">
        <v>2330</v>
      </c>
      <c r="C330" s="5" t="s">
        <v>2128</v>
      </c>
      <c r="D330" s="5" t="s">
        <v>60</v>
      </c>
      <c r="E330" s="2" t="s">
        <v>751</v>
      </c>
      <c r="F330" s="5" t="s">
        <v>490</v>
      </c>
      <c r="G330" s="5" t="n">
        <v>9</v>
      </c>
      <c r="H330" s="5" t="s">
        <v>63</v>
      </c>
      <c r="I330" s="5" t="s">
        <v>2292</v>
      </c>
      <c r="J330" s="5" t="s">
        <v>65</v>
      </c>
      <c r="K330" s="5" t="s">
        <v>66</v>
      </c>
      <c r="L330" s="2" t="s">
        <v>2293</v>
      </c>
      <c r="M330" s="2"/>
      <c r="N330" s="2" t="s">
        <v>1513</v>
      </c>
      <c r="O330" s="2" t="s">
        <v>2331</v>
      </c>
      <c r="P330" s="2"/>
      <c r="Q330" s="5" t="n">
        <v>1</v>
      </c>
      <c r="R330" s="2" t="s">
        <v>2295</v>
      </c>
      <c r="S330" s="2" t="s">
        <v>2332</v>
      </c>
      <c r="T330" s="2" t="s">
        <v>2333</v>
      </c>
      <c r="U330" s="2" t="s">
        <v>74</v>
      </c>
      <c r="V330" s="5" t="n">
        <v>120</v>
      </c>
      <c r="W330" s="2"/>
      <c r="X330" s="2" t="s">
        <v>2334</v>
      </c>
      <c r="Y330" s="5"/>
      <c r="Z330" s="2" t="s">
        <v>2335</v>
      </c>
      <c r="AA330" s="6" t="s">
        <v>2336</v>
      </c>
    </row>
    <row r="331" customFormat="false" ht="35.05" hidden="false" customHeight="false" outlineLevel="0" collapsed="false">
      <c r="A331" s="5" t="s">
        <v>2337</v>
      </c>
      <c r="B331" s="2" t="s">
        <v>2338</v>
      </c>
      <c r="C331" s="5" t="s">
        <v>2128</v>
      </c>
      <c r="D331" s="5" t="s">
        <v>60</v>
      </c>
      <c r="E331" s="2" t="s">
        <v>161</v>
      </c>
      <c r="F331" s="5" t="s">
        <v>62</v>
      </c>
      <c r="G331" s="5" t="n">
        <v>9</v>
      </c>
      <c r="H331" s="5" t="s">
        <v>63</v>
      </c>
      <c r="I331" s="5" t="s">
        <v>1042</v>
      </c>
      <c r="J331" s="5" t="s">
        <v>65</v>
      </c>
      <c r="K331" s="5" t="s">
        <v>66</v>
      </c>
      <c r="L331" s="2" t="s">
        <v>67</v>
      </c>
      <c r="M331" s="2" t="s">
        <v>2339</v>
      </c>
      <c r="N331" s="2" t="s">
        <v>2340</v>
      </c>
      <c r="O331" s="2" t="s">
        <v>2341</v>
      </c>
      <c r="P331" s="2"/>
      <c r="Q331" s="5" t="n">
        <v>1</v>
      </c>
      <c r="R331" s="2" t="s">
        <v>2342</v>
      </c>
      <c r="S331" s="2" t="s">
        <v>83</v>
      </c>
      <c r="T331" s="2" t="s">
        <v>2343</v>
      </c>
      <c r="U331" s="2" t="s">
        <v>496</v>
      </c>
      <c r="V331" s="5" t="n">
        <v>300</v>
      </c>
      <c r="W331" s="2"/>
      <c r="X331" s="2" t="s">
        <v>2344</v>
      </c>
      <c r="Y331" s="5"/>
      <c r="Z331" s="2" t="s">
        <v>2345</v>
      </c>
      <c r="AA331" s="6" t="s">
        <v>2346</v>
      </c>
    </row>
    <row r="332" customFormat="false" ht="23.85" hidden="false" customHeight="false" outlineLevel="0" collapsed="false">
      <c r="A332" s="5" t="s">
        <v>2347</v>
      </c>
      <c r="B332" s="2" t="s">
        <v>2348</v>
      </c>
      <c r="C332" s="5" t="s">
        <v>2128</v>
      </c>
      <c r="D332" s="5" t="s">
        <v>60</v>
      </c>
      <c r="E332" s="2" t="s">
        <v>161</v>
      </c>
      <c r="F332" s="5" t="s">
        <v>62</v>
      </c>
      <c r="G332" s="5" t="n">
        <v>9</v>
      </c>
      <c r="H332" s="5" t="s">
        <v>63</v>
      </c>
      <c r="I332" s="5" t="s">
        <v>1042</v>
      </c>
      <c r="J332" s="5" t="s">
        <v>65</v>
      </c>
      <c r="K332" s="5" t="s">
        <v>66</v>
      </c>
      <c r="L332" s="2" t="s">
        <v>90</v>
      </c>
      <c r="M332" s="2" t="s">
        <v>163</v>
      </c>
      <c r="N332" s="2" t="s">
        <v>2349</v>
      </c>
      <c r="O332" s="2" t="s">
        <v>2350</v>
      </c>
      <c r="P332" s="2"/>
      <c r="Q332" s="5" t="n">
        <v>1</v>
      </c>
      <c r="R332" s="2" t="s">
        <v>2351</v>
      </c>
      <c r="S332" s="2" t="s">
        <v>83</v>
      </c>
      <c r="T332" s="2" t="s">
        <v>2352</v>
      </c>
      <c r="U332" s="2" t="s">
        <v>74</v>
      </c>
      <c r="V332" s="5" t="n">
        <v>300</v>
      </c>
      <c r="W332" s="2"/>
      <c r="X332" s="2" t="s">
        <v>2353</v>
      </c>
      <c r="Y332" s="5"/>
      <c r="Z332" s="2" t="s">
        <v>2354</v>
      </c>
      <c r="AA332" s="6" t="s">
        <v>2355</v>
      </c>
    </row>
    <row r="333" customFormat="false" ht="23.85" hidden="false" customHeight="false" outlineLevel="0" collapsed="false">
      <c r="A333" s="5" t="s">
        <v>2356</v>
      </c>
      <c r="B333" s="2" t="s">
        <v>2357</v>
      </c>
      <c r="C333" s="5" t="s">
        <v>2128</v>
      </c>
      <c r="D333" s="5" t="s">
        <v>60</v>
      </c>
      <c r="E333" s="2" t="s">
        <v>161</v>
      </c>
      <c r="F333" s="5" t="s">
        <v>62</v>
      </c>
      <c r="G333" s="5" t="n">
        <v>9</v>
      </c>
      <c r="H333" s="5" t="s">
        <v>63</v>
      </c>
      <c r="I333" s="5" t="s">
        <v>1042</v>
      </c>
      <c r="J333" s="5" t="s">
        <v>65</v>
      </c>
      <c r="K333" s="5" t="s">
        <v>66</v>
      </c>
      <c r="L333" s="2" t="s">
        <v>90</v>
      </c>
      <c r="M333" s="2" t="s">
        <v>163</v>
      </c>
      <c r="N333" s="2" t="s">
        <v>2349</v>
      </c>
      <c r="O333" s="2" t="s">
        <v>2350</v>
      </c>
      <c r="P333" s="2"/>
      <c r="Q333" s="5" t="n">
        <v>1</v>
      </c>
      <c r="R333" s="2" t="s">
        <v>2351</v>
      </c>
      <c r="S333" s="2" t="s">
        <v>2358</v>
      </c>
      <c r="T333" s="2" t="s">
        <v>2359</v>
      </c>
      <c r="U333" s="2" t="s">
        <v>74</v>
      </c>
      <c r="V333" s="5" t="n">
        <v>300</v>
      </c>
      <c r="W333" s="2"/>
      <c r="X333" s="2" t="s">
        <v>2353</v>
      </c>
      <c r="Y333" s="5"/>
      <c r="Z333" s="2" t="s">
        <v>2360</v>
      </c>
      <c r="AA333" s="6" t="s">
        <v>2361</v>
      </c>
    </row>
    <row r="334" customFormat="false" ht="23.85" hidden="false" customHeight="false" outlineLevel="0" collapsed="false">
      <c r="A334" s="5" t="s">
        <v>2362</v>
      </c>
      <c r="B334" s="2" t="s">
        <v>2363</v>
      </c>
      <c r="C334" s="5" t="s">
        <v>2128</v>
      </c>
      <c r="D334" s="5" t="s">
        <v>60</v>
      </c>
      <c r="E334" s="2" t="s">
        <v>161</v>
      </c>
      <c r="F334" s="5" t="s">
        <v>62</v>
      </c>
      <c r="G334" s="5" t="n">
        <v>9</v>
      </c>
      <c r="H334" s="5" t="s">
        <v>63</v>
      </c>
      <c r="I334" s="5" t="s">
        <v>1042</v>
      </c>
      <c r="J334" s="5" t="s">
        <v>65</v>
      </c>
      <c r="K334" s="5" t="s">
        <v>66</v>
      </c>
      <c r="L334" s="2" t="s">
        <v>536</v>
      </c>
      <c r="M334" s="2" t="s">
        <v>537</v>
      </c>
      <c r="N334" s="2" t="s">
        <v>2349</v>
      </c>
      <c r="O334" s="2" t="s">
        <v>2364</v>
      </c>
      <c r="P334" s="2"/>
      <c r="Q334" s="5" t="n">
        <v>1</v>
      </c>
      <c r="R334" s="2" t="s">
        <v>2365</v>
      </c>
      <c r="S334" s="2" t="s">
        <v>83</v>
      </c>
      <c r="T334" s="2" t="s">
        <v>2352</v>
      </c>
      <c r="U334" s="2" t="s">
        <v>74</v>
      </c>
      <c r="V334" s="5" t="n">
        <v>300</v>
      </c>
      <c r="W334" s="2"/>
      <c r="X334" s="2" t="s">
        <v>2366</v>
      </c>
      <c r="Y334" s="5"/>
      <c r="Z334" s="2" t="s">
        <v>2367</v>
      </c>
      <c r="AA334" s="6" t="s">
        <v>2368</v>
      </c>
    </row>
    <row r="335" customFormat="false" ht="23.85" hidden="false" customHeight="false" outlineLevel="0" collapsed="false">
      <c r="A335" s="5" t="s">
        <v>2369</v>
      </c>
      <c r="B335" s="2" t="s">
        <v>2370</v>
      </c>
      <c r="C335" s="5" t="s">
        <v>2128</v>
      </c>
      <c r="D335" s="5" t="s">
        <v>60</v>
      </c>
      <c r="E335" s="2" t="s">
        <v>161</v>
      </c>
      <c r="F335" s="5" t="s">
        <v>62</v>
      </c>
      <c r="G335" s="5" t="n">
        <v>9</v>
      </c>
      <c r="H335" s="5" t="s">
        <v>63</v>
      </c>
      <c r="I335" s="5" t="s">
        <v>1042</v>
      </c>
      <c r="J335" s="5" t="s">
        <v>65</v>
      </c>
      <c r="K335" s="5" t="s">
        <v>66</v>
      </c>
      <c r="L335" s="2" t="s">
        <v>536</v>
      </c>
      <c r="M335" s="2" t="s">
        <v>537</v>
      </c>
      <c r="N335" s="2" t="s">
        <v>2349</v>
      </c>
      <c r="O335" s="2" t="s">
        <v>2364</v>
      </c>
      <c r="P335" s="2"/>
      <c r="Q335" s="5" t="n">
        <v>1</v>
      </c>
      <c r="R335" s="2" t="s">
        <v>2365</v>
      </c>
      <c r="S335" s="2" t="s">
        <v>2358</v>
      </c>
      <c r="T335" s="2" t="s">
        <v>2371</v>
      </c>
      <c r="U335" s="2" t="s">
        <v>74</v>
      </c>
      <c r="V335" s="5" t="n">
        <v>300</v>
      </c>
      <c r="W335" s="2"/>
      <c r="X335" s="2" t="s">
        <v>2366</v>
      </c>
      <c r="Y335" s="5"/>
      <c r="Z335" s="2" t="s">
        <v>2372</v>
      </c>
      <c r="AA335" s="6" t="s">
        <v>2373</v>
      </c>
    </row>
    <row r="336" customFormat="false" ht="23.85" hidden="false" customHeight="false" outlineLevel="0" collapsed="false">
      <c r="A336" s="5" t="s">
        <v>2374</v>
      </c>
      <c r="B336" s="2" t="s">
        <v>2375</v>
      </c>
      <c r="C336" s="5" t="s">
        <v>2128</v>
      </c>
      <c r="D336" s="5" t="s">
        <v>60</v>
      </c>
      <c r="E336" s="2" t="s">
        <v>161</v>
      </c>
      <c r="F336" s="5" t="s">
        <v>62</v>
      </c>
      <c r="G336" s="5" t="n">
        <v>7</v>
      </c>
      <c r="H336" s="5" t="s">
        <v>89</v>
      </c>
      <c r="I336" s="5" t="s">
        <v>1042</v>
      </c>
      <c r="J336" s="5" t="s">
        <v>65</v>
      </c>
      <c r="K336" s="5" t="s">
        <v>66</v>
      </c>
      <c r="L336" s="2" t="s">
        <v>90</v>
      </c>
      <c r="M336" s="2" t="s">
        <v>163</v>
      </c>
      <c r="N336" s="2" t="s">
        <v>2376</v>
      </c>
      <c r="O336" s="2" t="s">
        <v>2377</v>
      </c>
      <c r="P336" s="2"/>
      <c r="Q336" s="5" t="n">
        <v>1</v>
      </c>
      <c r="R336" s="2" t="s">
        <v>2378</v>
      </c>
      <c r="S336" s="2" t="s">
        <v>83</v>
      </c>
      <c r="T336" s="2" t="s">
        <v>2379</v>
      </c>
      <c r="U336" s="2" t="s">
        <v>2380</v>
      </c>
      <c r="V336" s="5" t="n">
        <v>300</v>
      </c>
      <c r="W336" s="2"/>
      <c r="X336" s="2" t="s">
        <v>2381</v>
      </c>
      <c r="Y336" s="5"/>
      <c r="Z336" s="2" t="s">
        <v>2382</v>
      </c>
      <c r="AA336" s="6" t="s">
        <v>2383</v>
      </c>
    </row>
    <row r="337" customFormat="false" ht="15" hidden="false" customHeight="false" outlineLevel="0" collapsed="false">
      <c r="A337" s="5" t="s">
        <v>2384</v>
      </c>
      <c r="B337" s="2" t="s">
        <v>2385</v>
      </c>
      <c r="C337" s="5" t="s">
        <v>2128</v>
      </c>
      <c r="D337" s="5" t="s">
        <v>60</v>
      </c>
      <c r="E337" s="2" t="s">
        <v>161</v>
      </c>
      <c r="F337" s="5" t="s">
        <v>62</v>
      </c>
      <c r="G337" s="5" t="n">
        <v>9</v>
      </c>
      <c r="H337" s="5" t="s">
        <v>63</v>
      </c>
      <c r="I337" s="5" t="s">
        <v>1042</v>
      </c>
      <c r="J337" s="5" t="s">
        <v>65</v>
      </c>
      <c r="K337" s="5" t="s">
        <v>66</v>
      </c>
      <c r="L337" s="2" t="s">
        <v>90</v>
      </c>
      <c r="M337" s="2" t="s">
        <v>545</v>
      </c>
      <c r="N337" s="2" t="s">
        <v>2386</v>
      </c>
      <c r="O337" s="2" t="s">
        <v>2387</v>
      </c>
      <c r="P337" s="2"/>
      <c r="Q337" s="5" t="n">
        <v>1</v>
      </c>
      <c r="R337" s="2" t="s">
        <v>2388</v>
      </c>
      <c r="S337" s="2" t="s">
        <v>83</v>
      </c>
      <c r="T337" s="2" t="s">
        <v>2389</v>
      </c>
      <c r="U337" s="2" t="s">
        <v>74</v>
      </c>
      <c r="V337" s="5" t="n">
        <v>300</v>
      </c>
      <c r="W337" s="2"/>
      <c r="X337" s="2" t="s">
        <v>2390</v>
      </c>
      <c r="Y337" s="5"/>
      <c r="Z337" s="2" t="s">
        <v>2391</v>
      </c>
      <c r="AA337" s="6" t="s">
        <v>2392</v>
      </c>
    </row>
    <row r="338" customFormat="false" ht="15" hidden="false" customHeight="false" outlineLevel="0" collapsed="false">
      <c r="A338" s="5" t="s">
        <v>2393</v>
      </c>
      <c r="B338" s="2" t="s">
        <v>2394</v>
      </c>
      <c r="C338" s="5" t="s">
        <v>2128</v>
      </c>
      <c r="D338" s="5" t="s">
        <v>60</v>
      </c>
      <c r="E338" s="2" t="s">
        <v>161</v>
      </c>
      <c r="F338" s="5" t="s">
        <v>62</v>
      </c>
      <c r="G338" s="5" t="n">
        <v>9</v>
      </c>
      <c r="H338" s="5" t="s">
        <v>63</v>
      </c>
      <c r="I338" s="5" t="s">
        <v>1042</v>
      </c>
      <c r="J338" s="5" t="s">
        <v>65</v>
      </c>
      <c r="K338" s="5" t="s">
        <v>66</v>
      </c>
      <c r="L338" s="2" t="s">
        <v>536</v>
      </c>
      <c r="M338" s="2" t="s">
        <v>537</v>
      </c>
      <c r="N338" s="2" t="s">
        <v>2386</v>
      </c>
      <c r="O338" s="2" t="s">
        <v>2395</v>
      </c>
      <c r="P338" s="2"/>
      <c r="Q338" s="5" t="n">
        <v>1</v>
      </c>
      <c r="R338" s="2" t="s">
        <v>2388</v>
      </c>
      <c r="S338" s="2" t="s">
        <v>83</v>
      </c>
      <c r="T338" s="2" t="s">
        <v>2389</v>
      </c>
      <c r="U338" s="2" t="s">
        <v>74</v>
      </c>
      <c r="V338" s="5" t="n">
        <v>300</v>
      </c>
      <c r="W338" s="2"/>
      <c r="X338" s="2" t="s">
        <v>2396</v>
      </c>
      <c r="Y338" s="5"/>
      <c r="Z338" s="2" t="s">
        <v>2397</v>
      </c>
      <c r="AA338" s="6" t="s">
        <v>2398</v>
      </c>
    </row>
    <row r="339" customFormat="false" ht="23.85" hidden="false" customHeight="false" outlineLevel="0" collapsed="false">
      <c r="A339" s="5" t="s">
        <v>2399</v>
      </c>
      <c r="B339" s="2" t="s">
        <v>2400</v>
      </c>
      <c r="C339" s="5" t="s">
        <v>2128</v>
      </c>
      <c r="D339" s="5" t="s">
        <v>60</v>
      </c>
      <c r="E339" s="2" t="s">
        <v>161</v>
      </c>
      <c r="F339" s="5" t="s">
        <v>62</v>
      </c>
      <c r="G339" s="5" t="n">
        <v>9</v>
      </c>
      <c r="H339" s="5" t="s">
        <v>63</v>
      </c>
      <c r="I339" s="5" t="s">
        <v>1042</v>
      </c>
      <c r="J339" s="5" t="s">
        <v>65</v>
      </c>
      <c r="K339" s="5" t="s">
        <v>66</v>
      </c>
      <c r="L339" s="2" t="s">
        <v>90</v>
      </c>
      <c r="M339" s="2" t="s">
        <v>116</v>
      </c>
      <c r="N339" s="2" t="s">
        <v>2386</v>
      </c>
      <c r="O339" s="2" t="s">
        <v>2401</v>
      </c>
      <c r="P339" s="2"/>
      <c r="Q339" s="5" t="n">
        <v>1</v>
      </c>
      <c r="R339" s="2" t="s">
        <v>2402</v>
      </c>
      <c r="S339" s="2" t="s">
        <v>2403</v>
      </c>
      <c r="T339" s="2" t="s">
        <v>2404</v>
      </c>
      <c r="U339" s="2" t="s">
        <v>74</v>
      </c>
      <c r="V339" s="5" t="n">
        <v>300</v>
      </c>
      <c r="W339" s="2"/>
      <c r="X339" s="2" t="s">
        <v>2405</v>
      </c>
      <c r="Y339" s="5"/>
      <c r="Z339" s="2" t="s">
        <v>2406</v>
      </c>
      <c r="AA339" s="6" t="s">
        <v>2407</v>
      </c>
    </row>
    <row r="340" customFormat="false" ht="35.05" hidden="false" customHeight="false" outlineLevel="0" collapsed="false">
      <c r="A340" s="5" t="s">
        <v>2408</v>
      </c>
      <c r="B340" s="2" t="s">
        <v>2409</v>
      </c>
      <c r="C340" s="5" t="s">
        <v>2128</v>
      </c>
      <c r="D340" s="5" t="s">
        <v>60</v>
      </c>
      <c r="E340" s="2" t="s">
        <v>161</v>
      </c>
      <c r="F340" s="5" t="s">
        <v>62</v>
      </c>
      <c r="G340" s="5" t="n">
        <v>9</v>
      </c>
      <c r="H340" s="5" t="s">
        <v>63</v>
      </c>
      <c r="I340" s="5" t="s">
        <v>1042</v>
      </c>
      <c r="J340" s="5" t="s">
        <v>65</v>
      </c>
      <c r="K340" s="5" t="s">
        <v>66</v>
      </c>
      <c r="L340" s="2" t="s">
        <v>90</v>
      </c>
      <c r="M340" s="2" t="s">
        <v>116</v>
      </c>
      <c r="N340" s="2" t="s">
        <v>2386</v>
      </c>
      <c r="O340" s="2" t="s">
        <v>2410</v>
      </c>
      <c r="P340" s="2"/>
      <c r="Q340" s="5" t="n">
        <v>1</v>
      </c>
      <c r="R340" s="2" t="s">
        <v>2411</v>
      </c>
      <c r="S340" s="2" t="s">
        <v>83</v>
      </c>
      <c r="T340" s="2" t="s">
        <v>2412</v>
      </c>
      <c r="U340" s="2" t="s">
        <v>74</v>
      </c>
      <c r="V340" s="5" t="n">
        <v>300</v>
      </c>
      <c r="W340" s="2"/>
      <c r="X340" s="2" t="s">
        <v>2413</v>
      </c>
      <c r="Y340" s="5"/>
      <c r="Z340" s="2" t="s">
        <v>2414</v>
      </c>
      <c r="AA340" s="6" t="s">
        <v>2415</v>
      </c>
    </row>
    <row r="341" customFormat="false" ht="35.05" hidden="false" customHeight="false" outlineLevel="0" collapsed="false">
      <c r="A341" s="5" t="s">
        <v>2416</v>
      </c>
      <c r="B341" s="2" t="s">
        <v>2417</v>
      </c>
      <c r="C341" s="5" t="s">
        <v>2128</v>
      </c>
      <c r="D341" s="5" t="s">
        <v>60</v>
      </c>
      <c r="E341" s="2" t="s">
        <v>161</v>
      </c>
      <c r="F341" s="5" t="s">
        <v>62</v>
      </c>
      <c r="G341" s="5" t="n">
        <v>6</v>
      </c>
      <c r="H341" s="5" t="s">
        <v>89</v>
      </c>
      <c r="I341" s="5" t="s">
        <v>1042</v>
      </c>
      <c r="J341" s="5" t="s">
        <v>65</v>
      </c>
      <c r="K341" s="5" t="s">
        <v>66</v>
      </c>
      <c r="L341" s="2" t="s">
        <v>536</v>
      </c>
      <c r="M341" s="2" t="s">
        <v>537</v>
      </c>
      <c r="N341" s="2" t="s">
        <v>2386</v>
      </c>
      <c r="O341" s="2" t="s">
        <v>2418</v>
      </c>
      <c r="P341" s="2"/>
      <c r="Q341" s="5" t="n">
        <v>1</v>
      </c>
      <c r="R341" s="2" t="s">
        <v>2419</v>
      </c>
      <c r="S341" s="2" t="s">
        <v>83</v>
      </c>
      <c r="T341" s="2" t="s">
        <v>2420</v>
      </c>
      <c r="U341" s="2" t="s">
        <v>74</v>
      </c>
      <c r="V341" s="5" t="n">
        <v>300</v>
      </c>
      <c r="W341" s="2"/>
      <c r="X341" s="2" t="s">
        <v>2421</v>
      </c>
      <c r="Y341" s="5"/>
      <c r="Z341" s="2" t="s">
        <v>2422</v>
      </c>
      <c r="AA341" s="6" t="s">
        <v>2423</v>
      </c>
    </row>
    <row r="342" customFormat="false" ht="23.85" hidden="false" customHeight="false" outlineLevel="0" collapsed="false">
      <c r="A342" s="5" t="s">
        <v>2424</v>
      </c>
      <c r="B342" s="2" t="s">
        <v>2425</v>
      </c>
      <c r="C342" s="5" t="s">
        <v>2128</v>
      </c>
      <c r="D342" s="5" t="s">
        <v>60</v>
      </c>
      <c r="E342" s="2" t="s">
        <v>161</v>
      </c>
      <c r="F342" s="5" t="s">
        <v>62</v>
      </c>
      <c r="G342" s="5" t="n">
        <v>9</v>
      </c>
      <c r="H342" s="5" t="s">
        <v>63</v>
      </c>
      <c r="I342" s="5" t="s">
        <v>1042</v>
      </c>
      <c r="J342" s="5" t="s">
        <v>65</v>
      </c>
      <c r="K342" s="5" t="s">
        <v>66</v>
      </c>
      <c r="L342" s="2" t="s">
        <v>90</v>
      </c>
      <c r="M342" s="2" t="s">
        <v>2426</v>
      </c>
      <c r="N342" s="2" t="s">
        <v>2386</v>
      </c>
      <c r="O342" s="2" t="s">
        <v>2427</v>
      </c>
      <c r="P342" s="2"/>
      <c r="Q342" s="5" t="n">
        <v>1</v>
      </c>
      <c r="R342" s="2" t="s">
        <v>2428</v>
      </c>
      <c r="S342" s="2" t="s">
        <v>83</v>
      </c>
      <c r="T342" s="2" t="s">
        <v>2420</v>
      </c>
      <c r="U342" s="2" t="s">
        <v>74</v>
      </c>
      <c r="V342" s="5" t="n">
        <v>300</v>
      </c>
      <c r="W342" s="2"/>
      <c r="X342" s="2" t="s">
        <v>2429</v>
      </c>
      <c r="Y342" s="5"/>
      <c r="Z342" s="2" t="s">
        <v>2430</v>
      </c>
      <c r="AA342" s="6" t="s">
        <v>2431</v>
      </c>
    </row>
    <row r="343" customFormat="false" ht="23.85" hidden="false" customHeight="false" outlineLevel="0" collapsed="false">
      <c r="A343" s="5" t="s">
        <v>2432</v>
      </c>
      <c r="B343" s="2" t="s">
        <v>2433</v>
      </c>
      <c r="C343" s="5" t="s">
        <v>2128</v>
      </c>
      <c r="D343" s="5" t="s">
        <v>60</v>
      </c>
      <c r="E343" s="2" t="s">
        <v>161</v>
      </c>
      <c r="F343" s="5" t="s">
        <v>62</v>
      </c>
      <c r="G343" s="5" t="n">
        <v>9</v>
      </c>
      <c r="H343" s="5" t="s">
        <v>63</v>
      </c>
      <c r="I343" s="5" t="s">
        <v>1042</v>
      </c>
      <c r="J343" s="5" t="s">
        <v>65</v>
      </c>
      <c r="K343" s="5" t="s">
        <v>66</v>
      </c>
      <c r="L343" s="2" t="s">
        <v>536</v>
      </c>
      <c r="M343" s="2" t="s">
        <v>537</v>
      </c>
      <c r="N343" s="2" t="s">
        <v>2386</v>
      </c>
      <c r="O343" s="2" t="s">
        <v>2434</v>
      </c>
      <c r="P343" s="2"/>
      <c r="Q343" s="5" t="n">
        <v>1</v>
      </c>
      <c r="R343" s="2" t="s">
        <v>2435</v>
      </c>
      <c r="S343" s="2" t="s">
        <v>83</v>
      </c>
      <c r="T343" s="2" t="s">
        <v>2420</v>
      </c>
      <c r="U343" s="2" t="s">
        <v>74</v>
      </c>
      <c r="V343" s="5" t="n">
        <v>300</v>
      </c>
      <c r="W343" s="2"/>
      <c r="X343" s="2" t="s">
        <v>2436</v>
      </c>
      <c r="Y343" s="5"/>
      <c r="Z343" s="2" t="s">
        <v>2437</v>
      </c>
      <c r="AA343" s="6" t="s">
        <v>2438</v>
      </c>
    </row>
    <row r="344" customFormat="false" ht="23.85" hidden="false" customHeight="false" outlineLevel="0" collapsed="false">
      <c r="A344" s="5" t="s">
        <v>2439</v>
      </c>
      <c r="B344" s="2" t="s">
        <v>2440</v>
      </c>
      <c r="C344" s="5" t="s">
        <v>2128</v>
      </c>
      <c r="D344" s="5" t="s">
        <v>60</v>
      </c>
      <c r="E344" s="2" t="s">
        <v>161</v>
      </c>
      <c r="F344" s="5" t="s">
        <v>62</v>
      </c>
      <c r="G344" s="5" t="n">
        <v>8</v>
      </c>
      <c r="H344" s="5" t="s">
        <v>89</v>
      </c>
      <c r="I344" s="5" t="s">
        <v>1042</v>
      </c>
      <c r="J344" s="5" t="s">
        <v>65</v>
      </c>
      <c r="K344" s="5" t="s">
        <v>66</v>
      </c>
      <c r="L344" s="2" t="s">
        <v>536</v>
      </c>
      <c r="M344" s="2" t="s">
        <v>537</v>
      </c>
      <c r="N344" s="2" t="s">
        <v>2386</v>
      </c>
      <c r="O344" s="2" t="s">
        <v>2441</v>
      </c>
      <c r="P344" s="2"/>
      <c r="Q344" s="5" t="n">
        <v>1</v>
      </c>
      <c r="R344" s="2" t="s">
        <v>2442</v>
      </c>
      <c r="S344" s="2" t="s">
        <v>83</v>
      </c>
      <c r="T344" s="2" t="s">
        <v>2412</v>
      </c>
      <c r="U344" s="2" t="s">
        <v>74</v>
      </c>
      <c r="V344" s="5" t="n">
        <v>300</v>
      </c>
      <c r="W344" s="2"/>
      <c r="X344" s="2" t="s">
        <v>2443</v>
      </c>
      <c r="Y344" s="5"/>
      <c r="Z344" s="2" t="s">
        <v>2444</v>
      </c>
      <c r="AA344" s="6" t="s">
        <v>2445</v>
      </c>
    </row>
    <row r="345" customFormat="false" ht="35.05" hidden="false" customHeight="false" outlineLevel="0" collapsed="false">
      <c r="A345" s="5" t="s">
        <v>2446</v>
      </c>
      <c r="B345" s="2" t="s">
        <v>2447</v>
      </c>
      <c r="C345" s="5" t="s">
        <v>2128</v>
      </c>
      <c r="D345" s="5" t="s">
        <v>60</v>
      </c>
      <c r="E345" s="2" t="s">
        <v>161</v>
      </c>
      <c r="F345" s="5" t="s">
        <v>62</v>
      </c>
      <c r="G345" s="5" t="n">
        <v>7</v>
      </c>
      <c r="H345" s="5" t="s">
        <v>89</v>
      </c>
      <c r="I345" s="5" t="s">
        <v>1042</v>
      </c>
      <c r="J345" s="5" t="s">
        <v>65</v>
      </c>
      <c r="K345" s="5" t="s">
        <v>66</v>
      </c>
      <c r="L345" s="2" t="s">
        <v>90</v>
      </c>
      <c r="M345" s="2" t="s">
        <v>116</v>
      </c>
      <c r="N345" s="2" t="s">
        <v>2448</v>
      </c>
      <c r="O345" s="2" t="s">
        <v>2449</v>
      </c>
      <c r="P345" s="2"/>
      <c r="Q345" s="5" t="n">
        <v>1</v>
      </c>
      <c r="R345" s="2" t="s">
        <v>2450</v>
      </c>
      <c r="S345" s="2" t="s">
        <v>83</v>
      </c>
      <c r="T345" s="2" t="s">
        <v>2451</v>
      </c>
      <c r="U345" s="2" t="s">
        <v>74</v>
      </c>
      <c r="V345" s="5" t="n">
        <v>300</v>
      </c>
      <c r="W345" s="2"/>
      <c r="X345" s="2" t="s">
        <v>2452</v>
      </c>
      <c r="Y345" s="5"/>
      <c r="Z345" s="2" t="s">
        <v>2453</v>
      </c>
      <c r="AA345" s="6" t="s">
        <v>2454</v>
      </c>
    </row>
    <row r="346" customFormat="false" ht="35.05" hidden="false" customHeight="false" outlineLevel="0" collapsed="false">
      <c r="A346" s="5" t="s">
        <v>2455</v>
      </c>
      <c r="B346" s="2" t="s">
        <v>2456</v>
      </c>
      <c r="C346" s="5" t="s">
        <v>2128</v>
      </c>
      <c r="D346" s="5" t="s">
        <v>60</v>
      </c>
      <c r="E346" s="2" t="s">
        <v>161</v>
      </c>
      <c r="F346" s="5" t="s">
        <v>62</v>
      </c>
      <c r="G346" s="5" t="n">
        <v>9</v>
      </c>
      <c r="H346" s="5" t="s">
        <v>63</v>
      </c>
      <c r="I346" s="5" t="s">
        <v>1042</v>
      </c>
      <c r="J346" s="5" t="s">
        <v>65</v>
      </c>
      <c r="K346" s="5" t="s">
        <v>66</v>
      </c>
      <c r="L346" s="2" t="s">
        <v>90</v>
      </c>
      <c r="M346" s="2" t="s">
        <v>116</v>
      </c>
      <c r="N346" s="2" t="s">
        <v>2448</v>
      </c>
      <c r="O346" s="2" t="s">
        <v>2457</v>
      </c>
      <c r="P346" s="2"/>
      <c r="Q346" s="5" t="n">
        <v>1</v>
      </c>
      <c r="R346" s="2" t="s">
        <v>2458</v>
      </c>
      <c r="S346" s="2" t="s">
        <v>83</v>
      </c>
      <c r="T346" s="2" t="s">
        <v>2140</v>
      </c>
      <c r="U346" s="2" t="s">
        <v>74</v>
      </c>
      <c r="V346" s="5" t="n">
        <v>300</v>
      </c>
      <c r="W346" s="2"/>
      <c r="X346" s="2" t="s">
        <v>2459</v>
      </c>
      <c r="Y346" s="5"/>
      <c r="Z346" s="2" t="s">
        <v>2460</v>
      </c>
      <c r="AA346" s="6" t="s">
        <v>2461</v>
      </c>
    </row>
    <row r="347" customFormat="false" ht="35.05" hidden="false" customHeight="false" outlineLevel="0" collapsed="false">
      <c r="A347" s="5" t="s">
        <v>2462</v>
      </c>
      <c r="B347" s="2" t="s">
        <v>2463</v>
      </c>
      <c r="C347" s="5" t="s">
        <v>2128</v>
      </c>
      <c r="D347" s="5" t="s">
        <v>60</v>
      </c>
      <c r="E347" s="2" t="s">
        <v>161</v>
      </c>
      <c r="F347" s="5" t="s">
        <v>62</v>
      </c>
      <c r="G347" s="5" t="n">
        <v>9</v>
      </c>
      <c r="H347" s="5" t="s">
        <v>63</v>
      </c>
      <c r="I347" s="5" t="s">
        <v>1042</v>
      </c>
      <c r="J347" s="5" t="s">
        <v>65</v>
      </c>
      <c r="K347" s="5" t="s">
        <v>66</v>
      </c>
      <c r="L347" s="2" t="s">
        <v>90</v>
      </c>
      <c r="M347" s="2" t="s">
        <v>116</v>
      </c>
      <c r="N347" s="2" t="s">
        <v>2448</v>
      </c>
      <c r="O347" s="2" t="s">
        <v>2464</v>
      </c>
      <c r="P347" s="2"/>
      <c r="Q347" s="5" t="n">
        <v>1</v>
      </c>
      <c r="R347" s="2" t="s">
        <v>2465</v>
      </c>
      <c r="S347" s="2" t="s">
        <v>83</v>
      </c>
      <c r="T347" s="2" t="s">
        <v>2466</v>
      </c>
      <c r="U347" s="2" t="s">
        <v>74</v>
      </c>
      <c r="V347" s="5" t="n">
        <v>300</v>
      </c>
      <c r="W347" s="2"/>
      <c r="X347" s="2" t="s">
        <v>2467</v>
      </c>
      <c r="Y347" s="5"/>
      <c r="Z347" s="2" t="s">
        <v>2468</v>
      </c>
      <c r="AA347" s="6" t="s">
        <v>2469</v>
      </c>
    </row>
    <row r="348" customFormat="false" ht="35.05" hidden="false" customHeight="false" outlineLevel="0" collapsed="false">
      <c r="A348" s="5" t="s">
        <v>2470</v>
      </c>
      <c r="B348" s="2" t="s">
        <v>2471</v>
      </c>
      <c r="C348" s="5" t="s">
        <v>2128</v>
      </c>
      <c r="D348" s="5" t="s">
        <v>60</v>
      </c>
      <c r="E348" s="2" t="s">
        <v>161</v>
      </c>
      <c r="F348" s="5" t="s">
        <v>62</v>
      </c>
      <c r="G348" s="5" t="n">
        <v>9</v>
      </c>
      <c r="H348" s="5" t="s">
        <v>63</v>
      </c>
      <c r="I348" s="5" t="s">
        <v>1042</v>
      </c>
      <c r="J348" s="5" t="s">
        <v>65</v>
      </c>
      <c r="K348" s="5" t="s">
        <v>66</v>
      </c>
      <c r="L348" s="2" t="s">
        <v>90</v>
      </c>
      <c r="M348" s="2" t="s">
        <v>116</v>
      </c>
      <c r="N348" s="2" t="s">
        <v>2448</v>
      </c>
      <c r="O348" s="2" t="s">
        <v>2472</v>
      </c>
      <c r="P348" s="2"/>
      <c r="Q348" s="5" t="n">
        <v>1</v>
      </c>
      <c r="R348" s="2" t="s">
        <v>2473</v>
      </c>
      <c r="S348" s="2" t="s">
        <v>83</v>
      </c>
      <c r="T348" s="2" t="s">
        <v>2466</v>
      </c>
      <c r="U348" s="2" t="s">
        <v>74</v>
      </c>
      <c r="V348" s="5" t="n">
        <v>300</v>
      </c>
      <c r="W348" s="2"/>
      <c r="X348" s="2" t="s">
        <v>2474</v>
      </c>
      <c r="Y348" s="5"/>
      <c r="Z348" s="2" t="s">
        <v>2475</v>
      </c>
      <c r="AA348" s="6" t="s">
        <v>2476</v>
      </c>
    </row>
    <row r="349" customFormat="false" ht="35.05" hidden="false" customHeight="false" outlineLevel="0" collapsed="false">
      <c r="A349" s="5" t="s">
        <v>2477</v>
      </c>
      <c r="B349" s="2" t="s">
        <v>2478</v>
      </c>
      <c r="C349" s="5" t="s">
        <v>2128</v>
      </c>
      <c r="D349" s="5" t="s">
        <v>60</v>
      </c>
      <c r="E349" s="2" t="s">
        <v>182</v>
      </c>
      <c r="F349" s="5" t="s">
        <v>62</v>
      </c>
      <c r="G349" s="5" t="n">
        <v>7</v>
      </c>
      <c r="H349" s="5" t="s">
        <v>89</v>
      </c>
      <c r="I349" s="5" t="s">
        <v>64</v>
      </c>
      <c r="J349" s="5" t="s">
        <v>65</v>
      </c>
      <c r="K349" s="5" t="s">
        <v>66</v>
      </c>
      <c r="L349" s="2" t="s">
        <v>67</v>
      </c>
      <c r="M349" s="2" t="s">
        <v>2479</v>
      </c>
      <c r="N349" s="2" t="s">
        <v>184</v>
      </c>
      <c r="O349" s="2" t="s">
        <v>2480</v>
      </c>
      <c r="P349" s="2"/>
      <c r="Q349" s="5" t="n">
        <v>1</v>
      </c>
      <c r="R349" s="2" t="s">
        <v>71</v>
      </c>
      <c r="S349" s="2" t="s">
        <v>83</v>
      </c>
      <c r="T349" s="2" t="s">
        <v>2481</v>
      </c>
      <c r="U349" s="2" t="s">
        <v>74</v>
      </c>
      <c r="V349" s="5" t="n">
        <v>300</v>
      </c>
      <c r="W349" s="2"/>
      <c r="X349" s="2" t="s">
        <v>2482</v>
      </c>
      <c r="Y349" s="5" t="s">
        <v>214</v>
      </c>
      <c r="Z349" s="2" t="s">
        <v>2483</v>
      </c>
      <c r="AA349" s="6" t="s">
        <v>2484</v>
      </c>
    </row>
    <row r="350" customFormat="false" ht="35.05" hidden="false" customHeight="false" outlineLevel="0" collapsed="false">
      <c r="A350" s="5" t="s">
        <v>2485</v>
      </c>
      <c r="B350" s="2" t="s">
        <v>2486</v>
      </c>
      <c r="C350" s="5" t="s">
        <v>2128</v>
      </c>
      <c r="D350" s="5" t="s">
        <v>60</v>
      </c>
      <c r="E350" s="2" t="s">
        <v>182</v>
      </c>
      <c r="F350" s="5" t="s">
        <v>62</v>
      </c>
      <c r="G350" s="5" t="n">
        <v>7</v>
      </c>
      <c r="H350" s="5" t="s">
        <v>89</v>
      </c>
      <c r="I350" s="5" t="s">
        <v>64</v>
      </c>
      <c r="J350" s="5" t="s">
        <v>65</v>
      </c>
      <c r="K350" s="5" t="s">
        <v>66</v>
      </c>
      <c r="L350" s="2" t="s">
        <v>67</v>
      </c>
      <c r="M350" s="2" t="s">
        <v>2479</v>
      </c>
      <c r="N350" s="2" t="s">
        <v>184</v>
      </c>
      <c r="O350" s="2" t="s">
        <v>210</v>
      </c>
      <c r="P350" s="2"/>
      <c r="Q350" s="5" t="n">
        <v>1</v>
      </c>
      <c r="R350" s="2" t="s">
        <v>71</v>
      </c>
      <c r="S350" s="2" t="s">
        <v>83</v>
      </c>
      <c r="T350" s="2" t="s">
        <v>2487</v>
      </c>
      <c r="U350" s="2" t="s">
        <v>74</v>
      </c>
      <c r="V350" s="5" t="n">
        <v>300</v>
      </c>
      <c r="W350" s="2"/>
      <c r="X350" s="2" t="s">
        <v>213</v>
      </c>
      <c r="Y350" s="5" t="s">
        <v>214</v>
      </c>
      <c r="Z350" s="2" t="s">
        <v>2488</v>
      </c>
      <c r="AA350" s="6" t="s">
        <v>2489</v>
      </c>
    </row>
    <row r="351" customFormat="false" ht="46.25" hidden="false" customHeight="false" outlineLevel="0" collapsed="false">
      <c r="A351" s="5" t="s">
        <v>2490</v>
      </c>
      <c r="B351" s="2" t="s">
        <v>2491</v>
      </c>
      <c r="C351" s="5" t="s">
        <v>2128</v>
      </c>
      <c r="D351" s="5" t="s">
        <v>60</v>
      </c>
      <c r="E351" s="2" t="s">
        <v>751</v>
      </c>
      <c r="F351" s="5" t="s">
        <v>62</v>
      </c>
      <c r="G351" s="5" t="n">
        <v>8</v>
      </c>
      <c r="H351" s="5" t="s">
        <v>89</v>
      </c>
      <c r="I351" s="5" t="s">
        <v>64</v>
      </c>
      <c r="J351" s="5" t="s">
        <v>65</v>
      </c>
      <c r="K351" s="5" t="s">
        <v>66</v>
      </c>
      <c r="L351" s="2" t="s">
        <v>2492</v>
      </c>
      <c r="M351" s="2"/>
      <c r="N351" s="2" t="s">
        <v>2493</v>
      </c>
      <c r="O351" s="2" t="s">
        <v>2494</v>
      </c>
      <c r="P351" s="2"/>
      <c r="Q351" s="5" t="n">
        <v>1</v>
      </c>
      <c r="R351" s="2" t="s">
        <v>2495</v>
      </c>
      <c r="S351" s="2" t="s">
        <v>2496</v>
      </c>
      <c r="T351" s="2" t="s">
        <v>2497</v>
      </c>
      <c r="U351" s="2" t="s">
        <v>74</v>
      </c>
      <c r="V351" s="5" t="n">
        <v>300</v>
      </c>
      <c r="W351" s="2"/>
      <c r="X351" s="2" t="s">
        <v>2498</v>
      </c>
      <c r="Y351" s="5"/>
      <c r="Z351" s="2" t="s">
        <v>2499</v>
      </c>
      <c r="AA351" s="6" t="s">
        <v>2500</v>
      </c>
    </row>
    <row r="352" customFormat="false" ht="57.45" hidden="false" customHeight="false" outlineLevel="0" collapsed="false">
      <c r="A352" s="5" t="s">
        <v>2501</v>
      </c>
      <c r="B352" s="2" t="s">
        <v>2502</v>
      </c>
      <c r="C352" s="5" t="s">
        <v>2128</v>
      </c>
      <c r="D352" s="5" t="s">
        <v>60</v>
      </c>
      <c r="E352" s="2" t="s">
        <v>751</v>
      </c>
      <c r="F352" s="5" t="s">
        <v>62</v>
      </c>
      <c r="G352" s="5" t="n">
        <v>8</v>
      </c>
      <c r="H352" s="5" t="s">
        <v>89</v>
      </c>
      <c r="I352" s="5" t="s">
        <v>64</v>
      </c>
      <c r="J352" s="5" t="s">
        <v>65</v>
      </c>
      <c r="K352" s="5" t="s">
        <v>66</v>
      </c>
      <c r="L352" s="2" t="s">
        <v>2492</v>
      </c>
      <c r="M352" s="2"/>
      <c r="N352" s="2" t="s">
        <v>2493</v>
      </c>
      <c r="O352" s="2" t="s">
        <v>2494</v>
      </c>
      <c r="P352" s="2"/>
      <c r="Q352" s="5" t="n">
        <v>1</v>
      </c>
      <c r="R352" s="2" t="s">
        <v>2495</v>
      </c>
      <c r="S352" s="2" t="s">
        <v>2503</v>
      </c>
      <c r="T352" s="2" t="s">
        <v>2497</v>
      </c>
      <c r="U352" s="2" t="s">
        <v>74</v>
      </c>
      <c r="V352" s="5" t="n">
        <v>300</v>
      </c>
      <c r="W352" s="2"/>
      <c r="X352" s="2" t="s">
        <v>2498</v>
      </c>
      <c r="Y352" s="5"/>
      <c r="Z352" s="2" t="s">
        <v>2504</v>
      </c>
      <c r="AA352" s="6" t="s">
        <v>2505</v>
      </c>
    </row>
    <row r="353" customFormat="false" ht="68.65" hidden="false" customHeight="false" outlineLevel="0" collapsed="false">
      <c r="A353" s="5" t="s">
        <v>2506</v>
      </c>
      <c r="B353" s="2" t="s">
        <v>2507</v>
      </c>
      <c r="C353" s="5" t="s">
        <v>2128</v>
      </c>
      <c r="D353" s="5" t="s">
        <v>60</v>
      </c>
      <c r="E353" s="2" t="s">
        <v>751</v>
      </c>
      <c r="F353" s="5" t="s">
        <v>62</v>
      </c>
      <c r="G353" s="5" t="n">
        <v>5</v>
      </c>
      <c r="H353" s="5" t="s">
        <v>89</v>
      </c>
      <c r="I353" s="5" t="s">
        <v>64</v>
      </c>
      <c r="J353" s="5" t="s">
        <v>65</v>
      </c>
      <c r="K353" s="5" t="s">
        <v>66</v>
      </c>
      <c r="L353" s="2" t="s">
        <v>277</v>
      </c>
      <c r="M353" s="2" t="s">
        <v>2508</v>
      </c>
      <c r="N353" s="2" t="s">
        <v>152</v>
      </c>
      <c r="O353" s="2" t="s">
        <v>753</v>
      </c>
      <c r="P353" s="2"/>
      <c r="Q353" s="5" t="n">
        <v>1</v>
      </c>
      <c r="R353" s="2" t="s">
        <v>71</v>
      </c>
      <c r="S353" s="2" t="s">
        <v>2509</v>
      </c>
      <c r="T353" s="2" t="s">
        <v>755</v>
      </c>
      <c r="U353" s="2" t="s">
        <v>74</v>
      </c>
      <c r="V353" s="5" t="n">
        <v>300</v>
      </c>
      <c r="W353" s="2"/>
      <c r="X353" s="2" t="s">
        <v>756</v>
      </c>
      <c r="Y353" s="5"/>
      <c r="Z353" s="2" t="s">
        <v>2510</v>
      </c>
      <c r="AA353" s="6" t="s">
        <v>2511</v>
      </c>
    </row>
    <row r="354" customFormat="false" ht="23.85" hidden="false" customHeight="false" outlineLevel="0" collapsed="false">
      <c r="A354" s="5" t="s">
        <v>2512</v>
      </c>
      <c r="B354" s="2" t="s">
        <v>2513</v>
      </c>
      <c r="C354" s="5" t="s">
        <v>2128</v>
      </c>
      <c r="D354" s="5" t="s">
        <v>60</v>
      </c>
      <c r="E354" s="2" t="s">
        <v>161</v>
      </c>
      <c r="F354" s="5" t="s">
        <v>62</v>
      </c>
      <c r="G354" s="5" t="n">
        <v>7</v>
      </c>
      <c r="H354" s="5" t="s">
        <v>89</v>
      </c>
      <c r="I354" s="5" t="s">
        <v>1042</v>
      </c>
      <c r="J354" s="5" t="s">
        <v>65</v>
      </c>
      <c r="K354" s="5" t="s">
        <v>66</v>
      </c>
      <c r="L354" s="2" t="s">
        <v>90</v>
      </c>
      <c r="M354" s="2" t="s">
        <v>116</v>
      </c>
      <c r="N354" s="2" t="s">
        <v>741</v>
      </c>
      <c r="O354" s="2" t="s">
        <v>2514</v>
      </c>
      <c r="P354" s="2"/>
      <c r="Q354" s="5" t="n">
        <v>1</v>
      </c>
      <c r="R354" s="2" t="s">
        <v>2515</v>
      </c>
      <c r="S354" s="2" t="s">
        <v>83</v>
      </c>
      <c r="T354" s="2" t="s">
        <v>2516</v>
      </c>
      <c r="U354" s="2" t="s">
        <v>74</v>
      </c>
      <c r="V354" s="5" t="n">
        <v>300</v>
      </c>
      <c r="W354" s="2"/>
      <c r="X354" s="2" t="s">
        <v>2517</v>
      </c>
      <c r="Y354" s="5"/>
      <c r="Z354" s="2" t="s">
        <v>2518</v>
      </c>
      <c r="AA354" s="6" t="s">
        <v>2519</v>
      </c>
    </row>
    <row r="355" customFormat="false" ht="35.05" hidden="false" customHeight="false" outlineLevel="0" collapsed="false">
      <c r="A355" s="5" t="s">
        <v>2520</v>
      </c>
      <c r="B355" s="2" t="s">
        <v>2521</v>
      </c>
      <c r="C355" s="5" t="s">
        <v>2128</v>
      </c>
      <c r="D355" s="5" t="s">
        <v>60</v>
      </c>
      <c r="E355" s="2" t="s">
        <v>161</v>
      </c>
      <c r="F355" s="5" t="s">
        <v>62</v>
      </c>
      <c r="G355" s="5" t="n">
        <v>7</v>
      </c>
      <c r="H355" s="5" t="s">
        <v>89</v>
      </c>
      <c r="I355" s="5" t="s">
        <v>1042</v>
      </c>
      <c r="J355" s="5" t="s">
        <v>65</v>
      </c>
      <c r="K355" s="5" t="s">
        <v>66</v>
      </c>
      <c r="L355" s="2" t="s">
        <v>67</v>
      </c>
      <c r="M355" s="2" t="s">
        <v>2339</v>
      </c>
      <c r="N355" s="2" t="s">
        <v>2522</v>
      </c>
      <c r="O355" s="2" t="s">
        <v>2523</v>
      </c>
      <c r="P355" s="2"/>
      <c r="Q355" s="5" t="n">
        <v>1</v>
      </c>
      <c r="R355" s="2" t="s">
        <v>2342</v>
      </c>
      <c r="S355" s="2" t="s">
        <v>2524</v>
      </c>
      <c r="T355" s="2" t="s">
        <v>2525</v>
      </c>
      <c r="U355" s="2" t="s">
        <v>496</v>
      </c>
      <c r="V355" s="5" t="n">
        <v>300</v>
      </c>
      <c r="W355" s="2"/>
      <c r="X355" s="2" t="s">
        <v>2526</v>
      </c>
      <c r="Y355" s="5"/>
      <c r="Z355" s="2" t="s">
        <v>2527</v>
      </c>
      <c r="AA355" s="6" t="s">
        <v>2528</v>
      </c>
    </row>
    <row r="356" customFormat="false" ht="35.05" hidden="false" customHeight="false" outlineLevel="0" collapsed="false">
      <c r="A356" s="5" t="s">
        <v>2529</v>
      </c>
      <c r="B356" s="2" t="s">
        <v>2530</v>
      </c>
      <c r="C356" s="5" t="s">
        <v>2128</v>
      </c>
      <c r="D356" s="5" t="s">
        <v>60</v>
      </c>
      <c r="E356" s="2" t="s">
        <v>161</v>
      </c>
      <c r="F356" s="5" t="s">
        <v>62</v>
      </c>
      <c r="G356" s="5" t="n">
        <v>9</v>
      </c>
      <c r="H356" s="5" t="s">
        <v>63</v>
      </c>
      <c r="I356" s="5" t="s">
        <v>1042</v>
      </c>
      <c r="J356" s="5" t="s">
        <v>65</v>
      </c>
      <c r="K356" s="5" t="s">
        <v>66</v>
      </c>
      <c r="L356" s="2" t="s">
        <v>67</v>
      </c>
      <c r="M356" s="2" t="s">
        <v>2339</v>
      </c>
      <c r="N356" s="2" t="s">
        <v>2522</v>
      </c>
      <c r="O356" s="2" t="s">
        <v>2523</v>
      </c>
      <c r="P356" s="2"/>
      <c r="Q356" s="5" t="n">
        <v>1</v>
      </c>
      <c r="R356" s="2" t="s">
        <v>2342</v>
      </c>
      <c r="S356" s="2" t="s">
        <v>2531</v>
      </c>
      <c r="T356" s="2" t="s">
        <v>2525</v>
      </c>
      <c r="U356" s="2" t="s">
        <v>496</v>
      </c>
      <c r="V356" s="5" t="n">
        <v>300</v>
      </c>
      <c r="W356" s="2"/>
      <c r="X356" s="2" t="s">
        <v>2526</v>
      </c>
      <c r="Y356" s="5"/>
      <c r="Z356" s="2" t="s">
        <v>2532</v>
      </c>
      <c r="AA356" s="6" t="s">
        <v>2533</v>
      </c>
    </row>
    <row r="357" customFormat="false" ht="23.85" hidden="false" customHeight="false" outlineLevel="0" collapsed="false">
      <c r="A357" s="5" t="s">
        <v>2534</v>
      </c>
      <c r="B357" s="2" t="s">
        <v>2535</v>
      </c>
      <c r="C357" s="5" t="s">
        <v>2128</v>
      </c>
      <c r="D357" s="5" t="s">
        <v>60</v>
      </c>
      <c r="E357" s="2" t="s">
        <v>161</v>
      </c>
      <c r="F357" s="5" t="s">
        <v>62</v>
      </c>
      <c r="G357" s="5" t="n">
        <v>7</v>
      </c>
      <c r="H357" s="5" t="s">
        <v>89</v>
      </c>
      <c r="I357" s="5" t="s">
        <v>1042</v>
      </c>
      <c r="J357" s="5" t="s">
        <v>65</v>
      </c>
      <c r="K357" s="5" t="s">
        <v>66</v>
      </c>
      <c r="L357" s="2" t="s">
        <v>90</v>
      </c>
      <c r="M357" s="2" t="s">
        <v>116</v>
      </c>
      <c r="N357" s="2" t="s">
        <v>741</v>
      </c>
      <c r="O357" s="2" t="s">
        <v>2536</v>
      </c>
      <c r="P357" s="2" t="s">
        <v>2537</v>
      </c>
      <c r="Q357" s="5" t="n">
        <v>1</v>
      </c>
      <c r="R357" s="2" t="s">
        <v>2515</v>
      </c>
      <c r="S357" s="2" t="s">
        <v>83</v>
      </c>
      <c r="T357" s="2" t="s">
        <v>2516</v>
      </c>
      <c r="U357" s="2" t="s">
        <v>74</v>
      </c>
      <c r="V357" s="5" t="n">
        <v>300</v>
      </c>
      <c r="W357" s="2"/>
      <c r="X357" s="2" t="s">
        <v>2538</v>
      </c>
      <c r="Y357" s="5"/>
      <c r="Z357" s="2" t="s">
        <v>2539</v>
      </c>
      <c r="AA357" s="6" t="s">
        <v>2540</v>
      </c>
    </row>
    <row r="358" customFormat="false" ht="15" hidden="false" customHeight="false" outlineLevel="0" collapsed="false">
      <c r="A358" s="5" t="s">
        <v>2541</v>
      </c>
      <c r="B358" s="2" t="s">
        <v>2542</v>
      </c>
      <c r="C358" s="5" t="s">
        <v>2128</v>
      </c>
      <c r="D358" s="5" t="s">
        <v>60</v>
      </c>
      <c r="E358" s="2" t="s">
        <v>161</v>
      </c>
      <c r="F358" s="5" t="s">
        <v>62</v>
      </c>
      <c r="G358" s="5" t="n">
        <v>9</v>
      </c>
      <c r="H358" s="5" t="s">
        <v>63</v>
      </c>
      <c r="I358" s="5" t="s">
        <v>1042</v>
      </c>
      <c r="J358" s="5" t="s">
        <v>65</v>
      </c>
      <c r="K358" s="5" t="s">
        <v>66</v>
      </c>
      <c r="L358" s="2" t="s">
        <v>90</v>
      </c>
      <c r="M358" s="2" t="s">
        <v>116</v>
      </c>
      <c r="N358" s="2" t="s">
        <v>741</v>
      </c>
      <c r="O358" s="2" t="s">
        <v>2543</v>
      </c>
      <c r="P358" s="2"/>
      <c r="Q358" s="5" t="n">
        <v>1</v>
      </c>
      <c r="R358" s="2" t="s">
        <v>2515</v>
      </c>
      <c r="S358" s="2" t="s">
        <v>2544</v>
      </c>
      <c r="T358" s="2" t="s">
        <v>2545</v>
      </c>
      <c r="U358" s="2" t="s">
        <v>74</v>
      </c>
      <c r="V358" s="5" t="n">
        <v>300</v>
      </c>
      <c r="W358" s="2"/>
      <c r="X358" s="2" t="s">
        <v>2546</v>
      </c>
      <c r="Y358" s="5"/>
      <c r="Z358" s="2" t="s">
        <v>2547</v>
      </c>
      <c r="AA358" s="6" t="s">
        <v>2548</v>
      </c>
    </row>
    <row r="359" customFormat="false" ht="15" hidden="false" customHeight="false" outlineLevel="0" collapsed="false">
      <c r="A359" s="5" t="s">
        <v>2549</v>
      </c>
      <c r="B359" s="2" t="s">
        <v>2550</v>
      </c>
      <c r="C359" s="5" t="s">
        <v>2128</v>
      </c>
      <c r="D359" s="5" t="s">
        <v>60</v>
      </c>
      <c r="E359" s="2" t="s">
        <v>161</v>
      </c>
      <c r="F359" s="5" t="s">
        <v>62</v>
      </c>
      <c r="G359" s="5" t="n">
        <v>7</v>
      </c>
      <c r="H359" s="5" t="s">
        <v>89</v>
      </c>
      <c r="I359" s="5" t="s">
        <v>1042</v>
      </c>
      <c r="J359" s="5" t="s">
        <v>65</v>
      </c>
      <c r="K359" s="5" t="s">
        <v>66</v>
      </c>
      <c r="L359" s="2" t="s">
        <v>90</v>
      </c>
      <c r="M359" s="2" t="s">
        <v>116</v>
      </c>
      <c r="N359" s="2" t="s">
        <v>741</v>
      </c>
      <c r="O359" s="2" t="s">
        <v>2543</v>
      </c>
      <c r="P359" s="2"/>
      <c r="Q359" s="5" t="n">
        <v>1</v>
      </c>
      <c r="R359" s="2" t="s">
        <v>2515</v>
      </c>
      <c r="S359" s="2" t="s">
        <v>2551</v>
      </c>
      <c r="T359" s="2" t="s">
        <v>2545</v>
      </c>
      <c r="U359" s="2" t="s">
        <v>74</v>
      </c>
      <c r="V359" s="5" t="n">
        <v>300</v>
      </c>
      <c r="W359" s="2"/>
      <c r="X359" s="2" t="s">
        <v>2546</v>
      </c>
      <c r="Y359" s="5"/>
      <c r="Z359" s="2" t="s">
        <v>2552</v>
      </c>
      <c r="AA359" s="6" t="s">
        <v>2553</v>
      </c>
    </row>
    <row r="360" customFormat="false" ht="15" hidden="false" customHeight="false" outlineLevel="0" collapsed="false">
      <c r="A360" s="5" t="s">
        <v>2554</v>
      </c>
      <c r="B360" s="2" t="s">
        <v>2555</v>
      </c>
      <c r="C360" s="5" t="s">
        <v>2128</v>
      </c>
      <c r="D360" s="5" t="s">
        <v>60</v>
      </c>
      <c r="E360" s="2" t="s">
        <v>161</v>
      </c>
      <c r="F360" s="5" t="s">
        <v>62</v>
      </c>
      <c r="G360" s="5" t="n">
        <v>8</v>
      </c>
      <c r="H360" s="5" t="s">
        <v>89</v>
      </c>
      <c r="I360" s="5" t="s">
        <v>1042</v>
      </c>
      <c r="J360" s="5" t="s">
        <v>65</v>
      </c>
      <c r="K360" s="5" t="s">
        <v>66</v>
      </c>
      <c r="L360" s="2" t="s">
        <v>90</v>
      </c>
      <c r="M360" s="2" t="s">
        <v>163</v>
      </c>
      <c r="N360" s="2" t="s">
        <v>741</v>
      </c>
      <c r="O360" s="2" t="s">
        <v>2556</v>
      </c>
      <c r="P360" s="2"/>
      <c r="Q360" s="5" t="n">
        <v>1</v>
      </c>
      <c r="R360" s="2" t="s">
        <v>2515</v>
      </c>
      <c r="S360" s="2" t="s">
        <v>83</v>
      </c>
      <c r="T360" s="2" t="s">
        <v>2516</v>
      </c>
      <c r="U360" s="2" t="s">
        <v>74</v>
      </c>
      <c r="V360" s="5" t="n">
        <v>300</v>
      </c>
      <c r="W360" s="2"/>
      <c r="X360" s="2" t="s">
        <v>2557</v>
      </c>
      <c r="Y360" s="5"/>
      <c r="Z360" s="2" t="s">
        <v>2558</v>
      </c>
      <c r="AA360" s="6" t="s">
        <v>2559</v>
      </c>
    </row>
    <row r="361" customFormat="false" ht="15" hidden="false" customHeight="false" outlineLevel="0" collapsed="false">
      <c r="A361" s="5" t="s">
        <v>2560</v>
      </c>
      <c r="B361" s="2" t="s">
        <v>2561</v>
      </c>
      <c r="C361" s="5" t="s">
        <v>2128</v>
      </c>
      <c r="D361" s="5" t="s">
        <v>60</v>
      </c>
      <c r="E361" s="2" t="s">
        <v>161</v>
      </c>
      <c r="F361" s="5" t="s">
        <v>62</v>
      </c>
      <c r="G361" s="5" t="n">
        <v>7</v>
      </c>
      <c r="H361" s="5" t="s">
        <v>89</v>
      </c>
      <c r="I361" s="5" t="s">
        <v>1042</v>
      </c>
      <c r="J361" s="5" t="s">
        <v>65</v>
      </c>
      <c r="K361" s="5" t="s">
        <v>66</v>
      </c>
      <c r="L361" s="2" t="s">
        <v>90</v>
      </c>
      <c r="M361" s="2" t="s">
        <v>116</v>
      </c>
      <c r="N361" s="2" t="s">
        <v>741</v>
      </c>
      <c r="O361" s="2" t="s">
        <v>2562</v>
      </c>
      <c r="P361" s="2"/>
      <c r="Q361" s="5" t="n">
        <v>1</v>
      </c>
      <c r="R361" s="2" t="s">
        <v>2515</v>
      </c>
      <c r="S361" s="2" t="s">
        <v>83</v>
      </c>
      <c r="T361" s="2" t="s">
        <v>2516</v>
      </c>
      <c r="U361" s="2" t="s">
        <v>74</v>
      </c>
      <c r="V361" s="5" t="n">
        <v>300</v>
      </c>
      <c r="W361" s="2"/>
      <c r="X361" s="2" t="s">
        <v>2563</v>
      </c>
      <c r="Y361" s="5"/>
      <c r="Z361" s="2" t="s">
        <v>2564</v>
      </c>
      <c r="AA361" s="6" t="s">
        <v>2565</v>
      </c>
    </row>
    <row r="362" customFormat="false" ht="15" hidden="false" customHeight="false" outlineLevel="0" collapsed="false">
      <c r="A362" s="5" t="s">
        <v>2566</v>
      </c>
      <c r="B362" s="2" t="s">
        <v>2567</v>
      </c>
      <c r="C362" s="5" t="s">
        <v>2128</v>
      </c>
      <c r="D362" s="5" t="s">
        <v>60</v>
      </c>
      <c r="E362" s="2" t="s">
        <v>161</v>
      </c>
      <c r="F362" s="5" t="s">
        <v>62</v>
      </c>
      <c r="G362" s="5" t="n">
        <v>9</v>
      </c>
      <c r="H362" s="5" t="s">
        <v>63</v>
      </c>
      <c r="I362" s="5" t="s">
        <v>1042</v>
      </c>
      <c r="J362" s="5" t="s">
        <v>65</v>
      </c>
      <c r="K362" s="5" t="s">
        <v>66</v>
      </c>
      <c r="L362" s="2" t="s">
        <v>90</v>
      </c>
      <c r="M362" s="2" t="s">
        <v>116</v>
      </c>
      <c r="N362" s="2" t="s">
        <v>741</v>
      </c>
      <c r="O362" s="2" t="s">
        <v>2568</v>
      </c>
      <c r="P362" s="2"/>
      <c r="Q362" s="5" t="n">
        <v>1</v>
      </c>
      <c r="R362" s="2" t="s">
        <v>2515</v>
      </c>
      <c r="S362" s="2" t="s">
        <v>2544</v>
      </c>
      <c r="T362" s="2" t="s">
        <v>2545</v>
      </c>
      <c r="U362" s="2" t="s">
        <v>74</v>
      </c>
      <c r="V362" s="5" t="n">
        <v>300</v>
      </c>
      <c r="W362" s="2"/>
      <c r="X362" s="2" t="s">
        <v>2569</v>
      </c>
      <c r="Y362" s="5"/>
      <c r="Z362" s="2" t="s">
        <v>2570</v>
      </c>
      <c r="AA362" s="6" t="s">
        <v>2571</v>
      </c>
    </row>
    <row r="363" customFormat="false" ht="15" hidden="false" customHeight="false" outlineLevel="0" collapsed="false">
      <c r="A363" s="5" t="s">
        <v>2572</v>
      </c>
      <c r="B363" s="2" t="s">
        <v>2573</v>
      </c>
      <c r="C363" s="5" t="s">
        <v>2128</v>
      </c>
      <c r="D363" s="5" t="s">
        <v>60</v>
      </c>
      <c r="E363" s="2" t="s">
        <v>161</v>
      </c>
      <c r="F363" s="5" t="s">
        <v>62</v>
      </c>
      <c r="G363" s="5" t="n">
        <v>7</v>
      </c>
      <c r="H363" s="5" t="s">
        <v>89</v>
      </c>
      <c r="I363" s="5" t="s">
        <v>1042</v>
      </c>
      <c r="J363" s="5" t="s">
        <v>65</v>
      </c>
      <c r="K363" s="5" t="s">
        <v>66</v>
      </c>
      <c r="L363" s="2" t="s">
        <v>90</v>
      </c>
      <c r="M363" s="2" t="s">
        <v>116</v>
      </c>
      <c r="N363" s="2" t="s">
        <v>741</v>
      </c>
      <c r="O363" s="2" t="s">
        <v>2574</v>
      </c>
      <c r="P363" s="2"/>
      <c r="Q363" s="5" t="n">
        <v>1</v>
      </c>
      <c r="R363" s="2" t="s">
        <v>2515</v>
      </c>
      <c r="S363" s="2" t="s">
        <v>2551</v>
      </c>
      <c r="T363" s="2" t="s">
        <v>2545</v>
      </c>
      <c r="U363" s="2" t="s">
        <v>74</v>
      </c>
      <c r="V363" s="5" t="n">
        <v>300</v>
      </c>
      <c r="W363" s="2"/>
      <c r="X363" s="2" t="s">
        <v>2569</v>
      </c>
      <c r="Y363" s="5"/>
      <c r="Z363" s="2" t="s">
        <v>2575</v>
      </c>
      <c r="AA363" s="6" t="s">
        <v>2576</v>
      </c>
    </row>
    <row r="364" customFormat="false" ht="15" hidden="false" customHeight="false" outlineLevel="0" collapsed="false">
      <c r="A364" s="5" t="s">
        <v>2577</v>
      </c>
      <c r="B364" s="2" t="s">
        <v>2578</v>
      </c>
      <c r="C364" s="5" t="s">
        <v>2128</v>
      </c>
      <c r="D364" s="5" t="s">
        <v>60</v>
      </c>
      <c r="E364" s="2" t="s">
        <v>161</v>
      </c>
      <c r="F364" s="5" t="s">
        <v>62</v>
      </c>
      <c r="G364" s="5" t="n">
        <v>7</v>
      </c>
      <c r="H364" s="5" t="s">
        <v>89</v>
      </c>
      <c r="I364" s="5" t="s">
        <v>1042</v>
      </c>
      <c r="J364" s="5" t="s">
        <v>65</v>
      </c>
      <c r="K364" s="5" t="s">
        <v>66</v>
      </c>
      <c r="L364" s="2" t="s">
        <v>90</v>
      </c>
      <c r="M364" s="2" t="s">
        <v>116</v>
      </c>
      <c r="N364" s="2" t="s">
        <v>741</v>
      </c>
      <c r="O364" s="2" t="s">
        <v>2537</v>
      </c>
      <c r="P364" s="2"/>
      <c r="Q364" s="5" t="n">
        <v>1</v>
      </c>
      <c r="R364" s="2" t="s">
        <v>2515</v>
      </c>
      <c r="S364" s="2" t="s">
        <v>83</v>
      </c>
      <c r="T364" s="2" t="s">
        <v>2579</v>
      </c>
      <c r="U364" s="2" t="s">
        <v>74</v>
      </c>
      <c r="V364" s="5" t="n">
        <v>300</v>
      </c>
      <c r="W364" s="2"/>
      <c r="X364" s="2" t="s">
        <v>2580</v>
      </c>
      <c r="Y364" s="5"/>
      <c r="Z364" s="2" t="s">
        <v>2581</v>
      </c>
      <c r="AA364" s="6" t="s">
        <v>2582</v>
      </c>
    </row>
    <row r="365" customFormat="false" ht="23.85" hidden="false" customHeight="false" outlineLevel="0" collapsed="false">
      <c r="A365" s="5" t="s">
        <v>2583</v>
      </c>
      <c r="B365" s="2" t="s">
        <v>2584</v>
      </c>
      <c r="C365" s="5" t="s">
        <v>2128</v>
      </c>
      <c r="D365" s="5" t="s">
        <v>60</v>
      </c>
      <c r="E365" s="2" t="s">
        <v>161</v>
      </c>
      <c r="F365" s="5" t="s">
        <v>62</v>
      </c>
      <c r="G365" s="5" t="n">
        <v>7</v>
      </c>
      <c r="H365" s="5" t="s">
        <v>89</v>
      </c>
      <c r="I365" s="5" t="s">
        <v>1042</v>
      </c>
      <c r="J365" s="5" t="s">
        <v>65</v>
      </c>
      <c r="K365" s="5" t="s">
        <v>66</v>
      </c>
      <c r="L365" s="2" t="s">
        <v>90</v>
      </c>
      <c r="M365" s="2" t="s">
        <v>116</v>
      </c>
      <c r="N365" s="2" t="s">
        <v>741</v>
      </c>
      <c r="O365" s="2" t="s">
        <v>2585</v>
      </c>
      <c r="P365" s="2"/>
      <c r="Q365" s="5" t="n">
        <v>1</v>
      </c>
      <c r="R365" s="2" t="s">
        <v>2515</v>
      </c>
      <c r="S365" s="2" t="s">
        <v>83</v>
      </c>
      <c r="T365" s="2" t="s">
        <v>2516</v>
      </c>
      <c r="U365" s="2" t="s">
        <v>74</v>
      </c>
      <c r="V365" s="5" t="n">
        <v>300</v>
      </c>
      <c r="W365" s="2"/>
      <c r="X365" s="2" t="s">
        <v>2586</v>
      </c>
      <c r="Y365" s="5"/>
      <c r="Z365" s="2" t="s">
        <v>2587</v>
      </c>
      <c r="AA365" s="6" t="s">
        <v>2588</v>
      </c>
    </row>
    <row r="366" customFormat="false" ht="23.85" hidden="false" customHeight="false" outlineLevel="0" collapsed="false">
      <c r="A366" s="5" t="s">
        <v>2589</v>
      </c>
      <c r="B366" s="2" t="s">
        <v>2590</v>
      </c>
      <c r="C366" s="5" t="s">
        <v>2128</v>
      </c>
      <c r="D366" s="5" t="s">
        <v>60</v>
      </c>
      <c r="E366" s="2" t="s">
        <v>2591</v>
      </c>
      <c r="F366" s="5" t="s">
        <v>490</v>
      </c>
      <c r="G366" s="5" t="n">
        <v>5</v>
      </c>
      <c r="H366" s="5" t="s">
        <v>89</v>
      </c>
      <c r="I366" s="5" t="s">
        <v>64</v>
      </c>
      <c r="J366" s="5" t="s">
        <v>65</v>
      </c>
      <c r="K366" s="5" t="s">
        <v>66</v>
      </c>
      <c r="L366" s="2" t="s">
        <v>1210</v>
      </c>
      <c r="M366" s="2" t="s">
        <v>2592</v>
      </c>
      <c r="N366" s="2" t="s">
        <v>152</v>
      </c>
      <c r="O366" s="2" t="s">
        <v>2593</v>
      </c>
      <c r="P366" s="2"/>
      <c r="Q366" s="5" t="n">
        <v>1</v>
      </c>
      <c r="R366" s="2" t="s">
        <v>71</v>
      </c>
      <c r="S366" s="2" t="s">
        <v>2594</v>
      </c>
      <c r="T366" s="2" t="s">
        <v>2595</v>
      </c>
      <c r="U366" s="2" t="s">
        <v>74</v>
      </c>
      <c r="V366" s="5" t="n">
        <v>300</v>
      </c>
      <c r="W366" s="2"/>
      <c r="X366" s="2" t="s">
        <v>2596</v>
      </c>
      <c r="Y366" s="5"/>
      <c r="Z366" s="2" t="s">
        <v>2597</v>
      </c>
      <c r="AA366" s="6" t="s">
        <v>2598</v>
      </c>
    </row>
    <row r="367" customFormat="false" ht="57.45" hidden="false" customHeight="false" outlineLevel="0" collapsed="false">
      <c r="A367" s="5" t="s">
        <v>2599</v>
      </c>
      <c r="B367" s="2" t="s">
        <v>2600</v>
      </c>
      <c r="C367" s="5" t="s">
        <v>2128</v>
      </c>
      <c r="D367" s="5" t="s">
        <v>60</v>
      </c>
      <c r="E367" s="2" t="s">
        <v>577</v>
      </c>
      <c r="F367" s="5" t="s">
        <v>62</v>
      </c>
      <c r="G367" s="5" t="n">
        <v>9</v>
      </c>
      <c r="H367" s="5" t="s">
        <v>63</v>
      </c>
      <c r="I367" s="5" t="s">
        <v>64</v>
      </c>
      <c r="J367" s="5" t="s">
        <v>65</v>
      </c>
      <c r="K367" s="5" t="s">
        <v>66</v>
      </c>
      <c r="L367" s="2" t="s">
        <v>481</v>
      </c>
      <c r="M367" s="2" t="s">
        <v>2601</v>
      </c>
      <c r="N367" s="2" t="s">
        <v>173</v>
      </c>
      <c r="O367" s="2" t="s">
        <v>174</v>
      </c>
      <c r="P367" s="2"/>
      <c r="Q367" s="5" t="n">
        <v>1</v>
      </c>
      <c r="R367" s="2" t="s">
        <v>71</v>
      </c>
      <c r="S367" s="2" t="s">
        <v>2602</v>
      </c>
      <c r="T367" s="2" t="s">
        <v>2603</v>
      </c>
      <c r="U367" s="2" t="s">
        <v>74</v>
      </c>
      <c r="V367" s="5" t="n">
        <v>300</v>
      </c>
      <c r="W367" s="2"/>
      <c r="X367" s="2" t="s">
        <v>177</v>
      </c>
      <c r="Y367" s="5"/>
      <c r="Z367" s="2" t="s">
        <v>2604</v>
      </c>
      <c r="AA367" s="6" t="s">
        <v>2605</v>
      </c>
    </row>
    <row r="368" customFormat="false" ht="23.85" hidden="false" customHeight="false" outlineLevel="0" collapsed="false">
      <c r="A368" s="5" t="s">
        <v>2606</v>
      </c>
      <c r="B368" s="2" t="s">
        <v>2607</v>
      </c>
      <c r="C368" s="5" t="s">
        <v>2128</v>
      </c>
      <c r="D368" s="5" t="s">
        <v>60</v>
      </c>
      <c r="E368" s="2" t="s">
        <v>303</v>
      </c>
      <c r="F368" s="5" t="s">
        <v>62</v>
      </c>
      <c r="G368" s="5" t="n">
        <v>8</v>
      </c>
      <c r="H368" s="5" t="s">
        <v>89</v>
      </c>
      <c r="I368" s="5" t="s">
        <v>64</v>
      </c>
      <c r="J368" s="5" t="s">
        <v>65</v>
      </c>
      <c r="K368" s="5" t="s">
        <v>66</v>
      </c>
      <c r="L368" s="2" t="s">
        <v>100</v>
      </c>
      <c r="M368" s="2" t="s">
        <v>491</v>
      </c>
      <c r="N368" s="2" t="s">
        <v>184</v>
      </c>
      <c r="O368" s="2" t="s">
        <v>2608</v>
      </c>
      <c r="P368" s="2"/>
      <c r="Q368" s="5" t="n">
        <v>1</v>
      </c>
      <c r="R368" s="2" t="s">
        <v>2609</v>
      </c>
      <c r="S368" s="2" t="s">
        <v>2610</v>
      </c>
      <c r="T368" s="2" t="s">
        <v>495</v>
      </c>
      <c r="U368" s="2" t="s">
        <v>681</v>
      </c>
      <c r="V368" s="5" t="n">
        <v>600</v>
      </c>
      <c r="W368" s="2"/>
      <c r="X368" s="2" t="s">
        <v>2611</v>
      </c>
      <c r="Y368" s="5" t="s">
        <v>1537</v>
      </c>
      <c r="Z368" s="2" t="s">
        <v>2612</v>
      </c>
      <c r="AA368" s="6" t="s">
        <v>2613</v>
      </c>
    </row>
    <row r="369" customFormat="false" ht="23.85" hidden="false" customHeight="false" outlineLevel="0" collapsed="false">
      <c r="A369" s="5" t="s">
        <v>2614</v>
      </c>
      <c r="B369" s="2" t="s">
        <v>2615</v>
      </c>
      <c r="C369" s="5" t="s">
        <v>2128</v>
      </c>
      <c r="D369" s="5" t="s">
        <v>60</v>
      </c>
      <c r="E369" s="2" t="s">
        <v>161</v>
      </c>
      <c r="F369" s="5" t="s">
        <v>62</v>
      </c>
      <c r="G369" s="5" t="n">
        <v>7</v>
      </c>
      <c r="H369" s="5" t="s">
        <v>89</v>
      </c>
      <c r="I369" s="5" t="s">
        <v>64</v>
      </c>
      <c r="J369" s="5" t="s">
        <v>65</v>
      </c>
      <c r="K369" s="5" t="s">
        <v>66</v>
      </c>
      <c r="L369" s="2" t="s">
        <v>90</v>
      </c>
      <c r="M369" s="2" t="s">
        <v>116</v>
      </c>
      <c r="N369" s="2" t="s">
        <v>2616</v>
      </c>
      <c r="O369" s="2" t="s">
        <v>2617</v>
      </c>
      <c r="P369" s="2"/>
      <c r="Q369" s="5" t="n">
        <v>1</v>
      </c>
      <c r="R369" s="2" t="s">
        <v>2618</v>
      </c>
      <c r="S369" s="2" t="s">
        <v>83</v>
      </c>
      <c r="T369" s="2" t="s">
        <v>2619</v>
      </c>
      <c r="U369" s="2" t="s">
        <v>496</v>
      </c>
      <c r="V369" s="5" t="n">
        <v>600</v>
      </c>
      <c r="W369" s="2"/>
      <c r="X369" s="2" t="s">
        <v>2620</v>
      </c>
      <c r="Y369" s="5"/>
      <c r="Z369" s="2" t="s">
        <v>2621</v>
      </c>
      <c r="AA369" s="6" t="s">
        <v>2622</v>
      </c>
    </row>
    <row r="370" customFormat="false" ht="91" hidden="false" customHeight="false" outlineLevel="0" collapsed="false">
      <c r="A370" s="5" t="s">
        <v>2623</v>
      </c>
      <c r="B370" s="2" t="s">
        <v>2624</v>
      </c>
      <c r="C370" s="5" t="s">
        <v>2128</v>
      </c>
      <c r="D370" s="5" t="s">
        <v>60</v>
      </c>
      <c r="E370" s="2" t="s">
        <v>2591</v>
      </c>
      <c r="F370" s="5" t="s">
        <v>62</v>
      </c>
      <c r="G370" s="5" t="n">
        <v>9</v>
      </c>
      <c r="H370" s="5" t="s">
        <v>63</v>
      </c>
      <c r="I370" s="5" t="s">
        <v>64</v>
      </c>
      <c r="J370" s="5" t="s">
        <v>65</v>
      </c>
      <c r="K370" s="5" t="s">
        <v>66</v>
      </c>
      <c r="L370" s="2" t="s">
        <v>284</v>
      </c>
      <c r="M370" s="2" t="s">
        <v>2625</v>
      </c>
      <c r="N370" s="2" t="s">
        <v>2626</v>
      </c>
      <c r="O370" s="2" t="s">
        <v>2627</v>
      </c>
      <c r="P370" s="2"/>
      <c r="Q370" s="5" t="n">
        <v>1</v>
      </c>
      <c r="R370" s="2" t="s">
        <v>2628</v>
      </c>
      <c r="S370" s="2" t="s">
        <v>2629</v>
      </c>
      <c r="T370" s="2" t="s">
        <v>2630</v>
      </c>
      <c r="U370" s="2" t="s">
        <v>74</v>
      </c>
      <c r="V370" s="5" t="n">
        <v>300</v>
      </c>
      <c r="W370" s="2"/>
      <c r="X370" s="2" t="s">
        <v>2631</v>
      </c>
      <c r="Y370" s="5" t="s">
        <v>2632</v>
      </c>
      <c r="Z370" s="2" t="s">
        <v>2633</v>
      </c>
      <c r="AA370" s="6" t="s">
        <v>2634</v>
      </c>
    </row>
    <row r="371" customFormat="false" ht="35.05" hidden="false" customHeight="false" outlineLevel="0" collapsed="false">
      <c r="A371" s="5" t="s">
        <v>2635</v>
      </c>
      <c r="B371" s="2" t="s">
        <v>2636</v>
      </c>
      <c r="C371" s="5" t="s">
        <v>2128</v>
      </c>
      <c r="D371" s="5" t="s">
        <v>60</v>
      </c>
      <c r="E371" s="2" t="s">
        <v>161</v>
      </c>
      <c r="F371" s="5" t="s">
        <v>62</v>
      </c>
      <c r="G371" s="5" t="n">
        <v>9</v>
      </c>
      <c r="H371" s="5" t="s">
        <v>63</v>
      </c>
      <c r="I371" s="5" t="s">
        <v>64</v>
      </c>
      <c r="J371" s="5" t="s">
        <v>65</v>
      </c>
      <c r="K371" s="5" t="s">
        <v>66</v>
      </c>
      <c r="L371" s="2" t="s">
        <v>536</v>
      </c>
      <c r="M371" s="2" t="s">
        <v>2637</v>
      </c>
      <c r="N371" s="2" t="s">
        <v>593</v>
      </c>
      <c r="O371" s="2" t="s">
        <v>2638</v>
      </c>
      <c r="P371" s="2"/>
      <c r="Q371" s="5" t="n">
        <v>1</v>
      </c>
      <c r="R371" s="2" t="s">
        <v>71</v>
      </c>
      <c r="S371" s="2" t="s">
        <v>83</v>
      </c>
      <c r="T371" s="2" t="s">
        <v>641</v>
      </c>
      <c r="U371" s="2" t="s">
        <v>74</v>
      </c>
      <c r="V371" s="5" t="n">
        <v>300</v>
      </c>
      <c r="W371" s="2"/>
      <c r="X371" s="2" t="s">
        <v>2639</v>
      </c>
      <c r="Y371" s="5"/>
      <c r="Z371" s="2" t="s">
        <v>2640</v>
      </c>
      <c r="AA371" s="6" t="s">
        <v>2641</v>
      </c>
    </row>
    <row r="372" customFormat="false" ht="35.05" hidden="false" customHeight="false" outlineLevel="0" collapsed="false">
      <c r="A372" s="5" t="s">
        <v>2642</v>
      </c>
      <c r="B372" s="2" t="s">
        <v>2643</v>
      </c>
      <c r="C372" s="5" t="s">
        <v>2128</v>
      </c>
      <c r="D372" s="5" t="s">
        <v>60</v>
      </c>
      <c r="E372" s="2" t="s">
        <v>182</v>
      </c>
      <c r="F372" s="5" t="s">
        <v>62</v>
      </c>
      <c r="G372" s="5" t="n">
        <v>9</v>
      </c>
      <c r="H372" s="5" t="s">
        <v>63</v>
      </c>
      <c r="I372" s="5" t="s">
        <v>64</v>
      </c>
      <c r="J372" s="5" t="s">
        <v>65</v>
      </c>
      <c r="K372" s="5" t="s">
        <v>66</v>
      </c>
      <c r="L372" s="2" t="s">
        <v>67</v>
      </c>
      <c r="M372" s="2"/>
      <c r="N372" s="2" t="s">
        <v>184</v>
      </c>
      <c r="O372" s="2" t="s">
        <v>2644</v>
      </c>
      <c r="P372" s="2"/>
      <c r="Q372" s="5" t="n">
        <v>1</v>
      </c>
      <c r="R372" s="2" t="s">
        <v>2645</v>
      </c>
      <c r="S372" s="2" t="s">
        <v>83</v>
      </c>
      <c r="T372" s="2" t="s">
        <v>2516</v>
      </c>
      <c r="U372" s="2" t="s">
        <v>2646</v>
      </c>
      <c r="V372" s="5" t="n">
        <v>600</v>
      </c>
      <c r="W372" s="2"/>
      <c r="X372" s="2" t="s">
        <v>2647</v>
      </c>
      <c r="Y372" s="5" t="s">
        <v>192</v>
      </c>
      <c r="Z372" s="2" t="s">
        <v>2648</v>
      </c>
      <c r="AA372" s="6" t="s">
        <v>2649</v>
      </c>
    </row>
    <row r="373" customFormat="false" ht="46.25" hidden="false" customHeight="false" outlineLevel="0" collapsed="false">
      <c r="A373" s="5" t="s">
        <v>2650</v>
      </c>
      <c r="B373" s="2" t="s">
        <v>2651</v>
      </c>
      <c r="C373" s="5" t="s">
        <v>2128</v>
      </c>
      <c r="D373" s="5" t="s">
        <v>60</v>
      </c>
      <c r="E373" s="2" t="s">
        <v>161</v>
      </c>
      <c r="F373" s="5" t="s">
        <v>62</v>
      </c>
      <c r="G373" s="5" t="n">
        <v>9</v>
      </c>
      <c r="H373" s="5" t="s">
        <v>63</v>
      </c>
      <c r="I373" s="5" t="s">
        <v>64</v>
      </c>
      <c r="J373" s="5" t="s">
        <v>65</v>
      </c>
      <c r="K373" s="5" t="s">
        <v>66</v>
      </c>
      <c r="L373" s="2" t="s">
        <v>90</v>
      </c>
      <c r="M373" s="2" t="s">
        <v>116</v>
      </c>
      <c r="N373" s="2" t="s">
        <v>898</v>
      </c>
      <c r="O373" s="2" t="s">
        <v>2652</v>
      </c>
      <c r="P373" s="2"/>
      <c r="Q373" s="5" t="n">
        <v>1</v>
      </c>
      <c r="R373" s="2" t="s">
        <v>2653</v>
      </c>
      <c r="S373" s="2" t="s">
        <v>83</v>
      </c>
      <c r="T373" s="2" t="s">
        <v>2654</v>
      </c>
      <c r="U373" s="2" t="s">
        <v>74</v>
      </c>
      <c r="V373" s="5" t="n">
        <v>120</v>
      </c>
      <c r="W373" s="2"/>
      <c r="X373" s="2" t="s">
        <v>2655</v>
      </c>
      <c r="Y373" s="5"/>
      <c r="Z373" s="2" t="s">
        <v>2656</v>
      </c>
      <c r="AA373" s="6" t="s">
        <v>2657</v>
      </c>
    </row>
    <row r="374" customFormat="false" ht="23.85" hidden="false" customHeight="false" outlineLevel="0" collapsed="false">
      <c r="A374" s="5" t="s">
        <v>2658</v>
      </c>
      <c r="B374" s="2" t="s">
        <v>2659</v>
      </c>
      <c r="C374" s="5" t="s">
        <v>2128</v>
      </c>
      <c r="D374" s="5" t="s">
        <v>60</v>
      </c>
      <c r="E374" s="2" t="s">
        <v>161</v>
      </c>
      <c r="F374" s="5" t="s">
        <v>62</v>
      </c>
      <c r="G374" s="5" t="n">
        <v>7</v>
      </c>
      <c r="H374" s="5" t="s">
        <v>89</v>
      </c>
      <c r="I374" s="5" t="s">
        <v>64</v>
      </c>
      <c r="J374" s="5" t="s">
        <v>65</v>
      </c>
      <c r="K374" s="5" t="s">
        <v>66</v>
      </c>
      <c r="L374" s="2" t="s">
        <v>90</v>
      </c>
      <c r="M374" s="2" t="s">
        <v>116</v>
      </c>
      <c r="N374" s="2" t="s">
        <v>898</v>
      </c>
      <c r="O374" s="2" t="s">
        <v>2660</v>
      </c>
      <c r="P374" s="2"/>
      <c r="Q374" s="5" t="n">
        <v>1</v>
      </c>
      <c r="R374" s="2" t="s">
        <v>2661</v>
      </c>
      <c r="S374" s="2" t="s">
        <v>83</v>
      </c>
      <c r="T374" s="2" t="s">
        <v>2662</v>
      </c>
      <c r="U374" s="2" t="s">
        <v>74</v>
      </c>
      <c r="V374" s="5" t="n">
        <v>120</v>
      </c>
      <c r="W374" s="2"/>
      <c r="X374" s="2" t="s">
        <v>2663</v>
      </c>
      <c r="Y374" s="5"/>
      <c r="Z374" s="2" t="s">
        <v>2664</v>
      </c>
      <c r="AA374" s="6" t="s">
        <v>2665</v>
      </c>
    </row>
    <row r="375" customFormat="false" ht="57.45" hidden="false" customHeight="false" outlineLevel="0" collapsed="false">
      <c r="A375" s="5" t="s">
        <v>2666</v>
      </c>
      <c r="B375" s="2" t="s">
        <v>2667</v>
      </c>
      <c r="C375" s="5" t="s">
        <v>2128</v>
      </c>
      <c r="D375" s="5" t="s">
        <v>60</v>
      </c>
      <c r="E375" s="2" t="s">
        <v>161</v>
      </c>
      <c r="F375" s="5" t="s">
        <v>62</v>
      </c>
      <c r="G375" s="5" t="n">
        <v>7</v>
      </c>
      <c r="H375" s="5" t="s">
        <v>89</v>
      </c>
      <c r="I375" s="5" t="s">
        <v>64</v>
      </c>
      <c r="J375" s="5" t="s">
        <v>65</v>
      </c>
      <c r="K375" s="5" t="s">
        <v>66</v>
      </c>
      <c r="L375" s="2" t="s">
        <v>90</v>
      </c>
      <c r="M375" s="2" t="s">
        <v>116</v>
      </c>
      <c r="N375" s="2" t="s">
        <v>898</v>
      </c>
      <c r="O375" s="2" t="s">
        <v>2668</v>
      </c>
      <c r="P375" s="2"/>
      <c r="Q375" s="5" t="n">
        <v>1</v>
      </c>
      <c r="R375" s="2" t="s">
        <v>2669</v>
      </c>
      <c r="S375" s="2" t="s">
        <v>83</v>
      </c>
      <c r="T375" s="2" t="s">
        <v>2654</v>
      </c>
      <c r="U375" s="2" t="s">
        <v>74</v>
      </c>
      <c r="V375" s="5" t="n">
        <v>120</v>
      </c>
      <c r="W375" s="2"/>
      <c r="X375" s="2" t="s">
        <v>2670</v>
      </c>
      <c r="Y375" s="5"/>
      <c r="Z375" s="2" t="s">
        <v>2671</v>
      </c>
      <c r="AA375" s="6" t="s">
        <v>2672</v>
      </c>
    </row>
    <row r="376" customFormat="false" ht="46.25" hidden="false" customHeight="false" outlineLevel="0" collapsed="false">
      <c r="A376" s="5" t="s">
        <v>2673</v>
      </c>
      <c r="B376" s="2" t="s">
        <v>2674</v>
      </c>
      <c r="C376" s="5" t="s">
        <v>2128</v>
      </c>
      <c r="D376" s="5" t="s">
        <v>60</v>
      </c>
      <c r="E376" s="2" t="s">
        <v>161</v>
      </c>
      <c r="F376" s="5" t="s">
        <v>62</v>
      </c>
      <c r="G376" s="5" t="n">
        <v>7</v>
      </c>
      <c r="H376" s="5" t="s">
        <v>89</v>
      </c>
      <c r="I376" s="5" t="s">
        <v>64</v>
      </c>
      <c r="J376" s="5" t="s">
        <v>65</v>
      </c>
      <c r="K376" s="5" t="s">
        <v>66</v>
      </c>
      <c r="L376" s="2" t="s">
        <v>90</v>
      </c>
      <c r="M376" s="2" t="s">
        <v>116</v>
      </c>
      <c r="N376" s="2" t="s">
        <v>898</v>
      </c>
      <c r="O376" s="2" t="s">
        <v>2675</v>
      </c>
      <c r="P376" s="2"/>
      <c r="Q376" s="5" t="n">
        <v>1</v>
      </c>
      <c r="R376" s="2" t="s">
        <v>2676</v>
      </c>
      <c r="S376" s="2" t="s">
        <v>83</v>
      </c>
      <c r="T376" s="2" t="s">
        <v>2654</v>
      </c>
      <c r="U376" s="2" t="s">
        <v>74</v>
      </c>
      <c r="V376" s="5" t="n">
        <v>120</v>
      </c>
      <c r="W376" s="2"/>
      <c r="X376" s="2" t="s">
        <v>2677</v>
      </c>
      <c r="Y376" s="5"/>
      <c r="Z376" s="2" t="s">
        <v>2678</v>
      </c>
      <c r="AA376" s="6" t="s">
        <v>2679</v>
      </c>
    </row>
    <row r="377" customFormat="false" ht="46.25" hidden="false" customHeight="false" outlineLevel="0" collapsed="false">
      <c r="A377" s="5" t="s">
        <v>2680</v>
      </c>
      <c r="B377" s="2" t="s">
        <v>2681</v>
      </c>
      <c r="C377" s="5" t="s">
        <v>2128</v>
      </c>
      <c r="D377" s="5" t="s">
        <v>60</v>
      </c>
      <c r="E377" s="2" t="s">
        <v>161</v>
      </c>
      <c r="F377" s="5" t="s">
        <v>62</v>
      </c>
      <c r="G377" s="5" t="n">
        <v>9</v>
      </c>
      <c r="H377" s="5" t="s">
        <v>63</v>
      </c>
      <c r="I377" s="5" t="s">
        <v>64</v>
      </c>
      <c r="J377" s="5" t="s">
        <v>65</v>
      </c>
      <c r="K377" s="5" t="s">
        <v>66</v>
      </c>
      <c r="L377" s="2" t="s">
        <v>90</v>
      </c>
      <c r="M377" s="2" t="s">
        <v>2426</v>
      </c>
      <c r="N377" s="2" t="s">
        <v>898</v>
      </c>
      <c r="O377" s="2" t="s">
        <v>2682</v>
      </c>
      <c r="P377" s="2"/>
      <c r="Q377" s="5" t="n">
        <v>1</v>
      </c>
      <c r="R377" s="2" t="s">
        <v>2683</v>
      </c>
      <c r="S377" s="2" t="s">
        <v>83</v>
      </c>
      <c r="T377" s="2" t="s">
        <v>2684</v>
      </c>
      <c r="U377" s="2" t="s">
        <v>74</v>
      </c>
      <c r="V377" s="5" t="n">
        <v>120</v>
      </c>
      <c r="W377" s="2"/>
      <c r="X377" s="2" t="s">
        <v>2685</v>
      </c>
      <c r="Y377" s="5"/>
      <c r="Z377" s="2" t="s">
        <v>2686</v>
      </c>
      <c r="AA377" s="6" t="s">
        <v>2687</v>
      </c>
    </row>
    <row r="378" customFormat="false" ht="46.25" hidden="false" customHeight="false" outlineLevel="0" collapsed="false">
      <c r="A378" s="5" t="s">
        <v>2688</v>
      </c>
      <c r="B378" s="2" t="s">
        <v>2689</v>
      </c>
      <c r="C378" s="5" t="s">
        <v>2128</v>
      </c>
      <c r="D378" s="5" t="s">
        <v>60</v>
      </c>
      <c r="E378" s="2" t="s">
        <v>161</v>
      </c>
      <c r="F378" s="5" t="s">
        <v>62</v>
      </c>
      <c r="G378" s="5" t="n">
        <v>9</v>
      </c>
      <c r="H378" s="5" t="s">
        <v>63</v>
      </c>
      <c r="I378" s="5" t="s">
        <v>64</v>
      </c>
      <c r="J378" s="5" t="s">
        <v>65</v>
      </c>
      <c r="K378" s="5" t="s">
        <v>66</v>
      </c>
      <c r="L378" s="2" t="s">
        <v>536</v>
      </c>
      <c r="M378" s="2" t="s">
        <v>537</v>
      </c>
      <c r="N378" s="2" t="s">
        <v>898</v>
      </c>
      <c r="O378" s="2" t="s">
        <v>2690</v>
      </c>
      <c r="P378" s="2"/>
      <c r="Q378" s="5" t="n">
        <v>1</v>
      </c>
      <c r="R378" s="2" t="s">
        <v>2146</v>
      </c>
      <c r="S378" s="2" t="s">
        <v>83</v>
      </c>
      <c r="T378" s="2" t="s">
        <v>2691</v>
      </c>
      <c r="U378" s="2" t="s">
        <v>74</v>
      </c>
      <c r="V378" s="5" t="n">
        <v>120</v>
      </c>
      <c r="W378" s="2"/>
      <c r="X378" s="2" t="s">
        <v>2692</v>
      </c>
      <c r="Y378" s="5"/>
      <c r="Z378" s="2" t="s">
        <v>2693</v>
      </c>
      <c r="AA378" s="6" t="s">
        <v>2694</v>
      </c>
    </row>
    <row r="379" customFormat="false" ht="46.25" hidden="false" customHeight="false" outlineLevel="0" collapsed="false">
      <c r="A379" s="5" t="s">
        <v>2695</v>
      </c>
      <c r="B379" s="2" t="s">
        <v>2696</v>
      </c>
      <c r="C379" s="5" t="s">
        <v>2128</v>
      </c>
      <c r="D379" s="5" t="s">
        <v>60</v>
      </c>
      <c r="E379" s="2" t="s">
        <v>161</v>
      </c>
      <c r="F379" s="5" t="s">
        <v>62</v>
      </c>
      <c r="G379" s="5" t="n">
        <v>9</v>
      </c>
      <c r="H379" s="5" t="s">
        <v>63</v>
      </c>
      <c r="I379" s="5" t="s">
        <v>64</v>
      </c>
      <c r="J379" s="5" t="s">
        <v>65</v>
      </c>
      <c r="K379" s="5" t="s">
        <v>66</v>
      </c>
      <c r="L379" s="2" t="s">
        <v>90</v>
      </c>
      <c r="M379" s="2" t="s">
        <v>116</v>
      </c>
      <c r="N379" s="2" t="s">
        <v>898</v>
      </c>
      <c r="O379" s="2" t="s">
        <v>2697</v>
      </c>
      <c r="P379" s="2"/>
      <c r="Q379" s="5" t="n">
        <v>1</v>
      </c>
      <c r="R379" s="2" t="s">
        <v>2698</v>
      </c>
      <c r="S379" s="2" t="s">
        <v>83</v>
      </c>
      <c r="T379" s="2" t="s">
        <v>2699</v>
      </c>
      <c r="U379" s="2" t="s">
        <v>74</v>
      </c>
      <c r="V379" s="5" t="n">
        <v>120</v>
      </c>
      <c r="W379" s="2"/>
      <c r="X379" s="2" t="s">
        <v>2700</v>
      </c>
      <c r="Y379" s="5"/>
      <c r="Z379" s="2" t="s">
        <v>2701</v>
      </c>
      <c r="AA379" s="6" t="s">
        <v>2702</v>
      </c>
    </row>
    <row r="380" customFormat="false" ht="46.25" hidden="false" customHeight="false" outlineLevel="0" collapsed="false">
      <c r="A380" s="5" t="s">
        <v>2703</v>
      </c>
      <c r="B380" s="2" t="s">
        <v>2704</v>
      </c>
      <c r="C380" s="5" t="s">
        <v>2128</v>
      </c>
      <c r="D380" s="5" t="s">
        <v>60</v>
      </c>
      <c r="E380" s="2" t="s">
        <v>161</v>
      </c>
      <c r="F380" s="5" t="s">
        <v>62</v>
      </c>
      <c r="G380" s="5" t="n">
        <v>9</v>
      </c>
      <c r="H380" s="5" t="s">
        <v>63</v>
      </c>
      <c r="I380" s="5" t="s">
        <v>64</v>
      </c>
      <c r="J380" s="5" t="s">
        <v>65</v>
      </c>
      <c r="K380" s="5" t="s">
        <v>66</v>
      </c>
      <c r="L380" s="2" t="s">
        <v>1210</v>
      </c>
      <c r="M380" s="2" t="s">
        <v>2705</v>
      </c>
      <c r="N380" s="2" t="s">
        <v>916</v>
      </c>
      <c r="O380" s="2" t="s">
        <v>2706</v>
      </c>
      <c r="P380" s="2"/>
      <c r="Q380" s="5" t="n">
        <v>1</v>
      </c>
      <c r="R380" s="2" t="s">
        <v>2707</v>
      </c>
      <c r="S380" s="2" t="s">
        <v>2708</v>
      </c>
      <c r="T380" s="2" t="s">
        <v>2709</v>
      </c>
      <c r="U380" s="2" t="s">
        <v>74</v>
      </c>
      <c r="V380" s="5" t="n">
        <v>300</v>
      </c>
      <c r="W380" s="2"/>
      <c r="X380" s="2" t="s">
        <v>919</v>
      </c>
      <c r="Y380" s="5"/>
      <c r="Z380" s="2" t="s">
        <v>2710</v>
      </c>
      <c r="AA380" s="6" t="s">
        <v>2711</v>
      </c>
    </row>
    <row r="381" customFormat="false" ht="35.05" hidden="false" customHeight="false" outlineLevel="0" collapsed="false">
      <c r="A381" s="5" t="s">
        <v>2712</v>
      </c>
      <c r="B381" s="2" t="s">
        <v>2713</v>
      </c>
      <c r="C381" s="5" t="s">
        <v>2128</v>
      </c>
      <c r="D381" s="5" t="s">
        <v>60</v>
      </c>
      <c r="E381" s="2" t="s">
        <v>2591</v>
      </c>
      <c r="F381" s="5" t="s">
        <v>62</v>
      </c>
      <c r="G381" s="5" t="n">
        <v>9</v>
      </c>
      <c r="H381" s="5" t="s">
        <v>63</v>
      </c>
      <c r="I381" s="5" t="s">
        <v>64</v>
      </c>
      <c r="J381" s="5" t="s">
        <v>65</v>
      </c>
      <c r="K381" s="5" t="s">
        <v>66</v>
      </c>
      <c r="L381" s="2" t="s">
        <v>284</v>
      </c>
      <c r="M381" s="2" t="s">
        <v>2625</v>
      </c>
      <c r="N381" s="2" t="s">
        <v>916</v>
      </c>
      <c r="O381" s="2" t="s">
        <v>2714</v>
      </c>
      <c r="P381" s="2"/>
      <c r="Q381" s="5" t="n">
        <v>1</v>
      </c>
      <c r="R381" s="2" t="s">
        <v>2715</v>
      </c>
      <c r="S381" s="2" t="s">
        <v>83</v>
      </c>
      <c r="T381" s="2" t="s">
        <v>2147</v>
      </c>
      <c r="U381" s="2" t="s">
        <v>74</v>
      </c>
      <c r="V381" s="5" t="n">
        <v>300</v>
      </c>
      <c r="W381" s="2"/>
      <c r="X381" s="2" t="s">
        <v>919</v>
      </c>
      <c r="Y381" s="5"/>
      <c r="Z381" s="2" t="s">
        <v>2716</v>
      </c>
      <c r="AA381" s="6" t="s">
        <v>2717</v>
      </c>
    </row>
    <row r="382" customFormat="false" ht="46.25" hidden="false" customHeight="false" outlineLevel="0" collapsed="false">
      <c r="A382" s="5" t="s">
        <v>2718</v>
      </c>
      <c r="B382" s="2" t="s">
        <v>2719</v>
      </c>
      <c r="C382" s="5" t="s">
        <v>2128</v>
      </c>
      <c r="D382" s="5" t="s">
        <v>60</v>
      </c>
      <c r="E382" s="2" t="s">
        <v>751</v>
      </c>
      <c r="F382" s="5" t="s">
        <v>62</v>
      </c>
      <c r="G382" s="5" t="n">
        <v>9</v>
      </c>
      <c r="H382" s="5" t="s">
        <v>63</v>
      </c>
      <c r="I382" s="5" t="s">
        <v>64</v>
      </c>
      <c r="J382" s="5" t="s">
        <v>65</v>
      </c>
      <c r="K382" s="5" t="s">
        <v>66</v>
      </c>
      <c r="L382" s="2" t="s">
        <v>284</v>
      </c>
      <c r="M382" s="2" t="s">
        <v>2720</v>
      </c>
      <c r="N382" s="2" t="s">
        <v>2721</v>
      </c>
      <c r="O382" s="2" t="s">
        <v>2722</v>
      </c>
      <c r="P382" s="2"/>
      <c r="Q382" s="5" t="n">
        <v>1</v>
      </c>
      <c r="R382" s="2" t="s">
        <v>2723</v>
      </c>
      <c r="S382" s="2" t="s">
        <v>2724</v>
      </c>
      <c r="T382" s="2" t="s">
        <v>2725</v>
      </c>
      <c r="U382" s="2" t="s">
        <v>74</v>
      </c>
      <c r="V382" s="5" t="n">
        <v>300</v>
      </c>
      <c r="W382" s="2"/>
      <c r="X382" s="2" t="s">
        <v>2726</v>
      </c>
      <c r="Y382" s="5"/>
      <c r="Z382" s="2" t="s">
        <v>2727</v>
      </c>
      <c r="AA382" s="6" t="s">
        <v>2728</v>
      </c>
    </row>
    <row r="383" customFormat="false" ht="23.85" hidden="false" customHeight="false" outlineLevel="0" collapsed="false">
      <c r="A383" s="5" t="s">
        <v>2729</v>
      </c>
      <c r="B383" s="2" t="s">
        <v>2730</v>
      </c>
      <c r="C383" s="5" t="s">
        <v>2128</v>
      </c>
      <c r="D383" s="5" t="s">
        <v>60</v>
      </c>
      <c r="E383" s="2" t="s">
        <v>751</v>
      </c>
      <c r="F383" s="5" t="s">
        <v>62</v>
      </c>
      <c r="G383" s="5" t="n">
        <v>9</v>
      </c>
      <c r="H383" s="5" t="s">
        <v>63</v>
      </c>
      <c r="I383" s="5" t="s">
        <v>64</v>
      </c>
      <c r="J383" s="5" t="s">
        <v>65</v>
      </c>
      <c r="K383" s="5" t="s">
        <v>66</v>
      </c>
      <c r="L383" s="2" t="s">
        <v>284</v>
      </c>
      <c r="M383" s="2" t="s">
        <v>2720</v>
      </c>
      <c r="N383" s="2" t="s">
        <v>2731</v>
      </c>
      <c r="O383" s="2" t="s">
        <v>2732</v>
      </c>
      <c r="P383" s="2"/>
      <c r="Q383" s="5" t="n">
        <v>1</v>
      </c>
      <c r="R383" s="2" t="s">
        <v>2723</v>
      </c>
      <c r="S383" s="2" t="s">
        <v>83</v>
      </c>
      <c r="T383" s="2" t="s">
        <v>2733</v>
      </c>
      <c r="U383" s="2" t="s">
        <v>74</v>
      </c>
      <c r="V383" s="5" t="n">
        <v>300</v>
      </c>
      <c r="W383" s="2"/>
      <c r="X383" s="2" t="s">
        <v>2734</v>
      </c>
      <c r="Y383" s="5"/>
      <c r="Z383" s="2" t="s">
        <v>2735</v>
      </c>
      <c r="AA383" s="6" t="s">
        <v>2736</v>
      </c>
    </row>
    <row r="384" customFormat="false" ht="46.25" hidden="false" customHeight="false" outlineLevel="0" collapsed="false">
      <c r="A384" s="5" t="s">
        <v>2737</v>
      </c>
      <c r="B384" s="2" t="s">
        <v>2738</v>
      </c>
      <c r="C384" s="5" t="s">
        <v>2128</v>
      </c>
      <c r="D384" s="5" t="s">
        <v>60</v>
      </c>
      <c r="E384" s="2" t="s">
        <v>955</v>
      </c>
      <c r="F384" s="5" t="s">
        <v>62</v>
      </c>
      <c r="G384" s="5" t="n">
        <v>9</v>
      </c>
      <c r="H384" s="5" t="s">
        <v>63</v>
      </c>
      <c r="I384" s="5" t="s">
        <v>64</v>
      </c>
      <c r="J384" s="5" t="s">
        <v>65</v>
      </c>
      <c r="K384" s="5" t="s">
        <v>66</v>
      </c>
      <c r="L384" s="2" t="s">
        <v>481</v>
      </c>
      <c r="M384" s="2" t="s">
        <v>578</v>
      </c>
      <c r="N384" s="2" t="s">
        <v>2739</v>
      </c>
      <c r="O384" s="2" t="s">
        <v>2740</v>
      </c>
      <c r="P384" s="2"/>
      <c r="Q384" s="5" t="n">
        <v>1</v>
      </c>
      <c r="R384" s="2" t="s">
        <v>2741</v>
      </c>
      <c r="S384" s="2" t="s">
        <v>522</v>
      </c>
      <c r="T384" s="2" t="s">
        <v>495</v>
      </c>
      <c r="U384" s="2" t="s">
        <v>496</v>
      </c>
      <c r="V384" s="5" t="n">
        <v>600</v>
      </c>
      <c r="W384" s="2"/>
      <c r="X384" s="2" t="s">
        <v>2742</v>
      </c>
      <c r="Y384" s="5"/>
      <c r="Z384" s="2" t="s">
        <v>2743</v>
      </c>
      <c r="AA384" s="6" t="s">
        <v>2744</v>
      </c>
    </row>
    <row r="385" customFormat="false" ht="23.85" hidden="false" customHeight="false" outlineLevel="0" collapsed="false">
      <c r="A385" s="5" t="s">
        <v>2745</v>
      </c>
      <c r="B385" s="2" t="s">
        <v>2746</v>
      </c>
      <c r="C385" s="5" t="s">
        <v>2128</v>
      </c>
      <c r="D385" s="5" t="s">
        <v>60</v>
      </c>
      <c r="E385" s="2" t="s">
        <v>269</v>
      </c>
      <c r="F385" s="5" t="s">
        <v>62</v>
      </c>
      <c r="G385" s="5" t="n">
        <v>10</v>
      </c>
      <c r="H385" s="5" t="s">
        <v>63</v>
      </c>
      <c r="I385" s="5" t="s">
        <v>64</v>
      </c>
      <c r="J385" s="5" t="s">
        <v>65</v>
      </c>
      <c r="K385" s="5" t="s">
        <v>66</v>
      </c>
      <c r="L385" s="2" t="s">
        <v>536</v>
      </c>
      <c r="M385" s="2" t="s">
        <v>2303</v>
      </c>
      <c r="N385" s="2" t="s">
        <v>184</v>
      </c>
      <c r="O385" s="2" t="s">
        <v>2301</v>
      </c>
      <c r="P385" s="2"/>
      <c r="Q385" s="5" t="n">
        <v>1</v>
      </c>
      <c r="R385" s="2" t="s">
        <v>71</v>
      </c>
      <c r="S385" s="2" t="s">
        <v>83</v>
      </c>
      <c r="T385" s="2" t="s">
        <v>2747</v>
      </c>
      <c r="U385" s="2" t="s">
        <v>2748</v>
      </c>
      <c r="V385" s="5" t="n">
        <v>1800</v>
      </c>
      <c r="W385" s="2"/>
      <c r="X385" s="2" t="s">
        <v>2749</v>
      </c>
      <c r="Y385" s="5"/>
      <c r="Z385" s="2" t="s">
        <v>2750</v>
      </c>
      <c r="AA385" s="6" t="s">
        <v>2751</v>
      </c>
    </row>
    <row r="386" customFormat="false" ht="35.05" hidden="false" customHeight="false" outlineLevel="0" collapsed="false">
      <c r="A386" s="5" t="s">
        <v>2752</v>
      </c>
      <c r="B386" s="2" t="s">
        <v>2753</v>
      </c>
      <c r="C386" s="5" t="s">
        <v>2128</v>
      </c>
      <c r="D386" s="5" t="s">
        <v>60</v>
      </c>
      <c r="E386" s="2" t="s">
        <v>2754</v>
      </c>
      <c r="F386" s="5" t="s">
        <v>490</v>
      </c>
      <c r="G386" s="5" t="n">
        <v>6</v>
      </c>
      <c r="H386" s="5" t="s">
        <v>89</v>
      </c>
      <c r="I386" s="5" t="s">
        <v>1042</v>
      </c>
      <c r="J386" s="5" t="s">
        <v>65</v>
      </c>
      <c r="K386" s="5" t="s">
        <v>66</v>
      </c>
      <c r="L386" s="2"/>
      <c r="M386" s="2"/>
      <c r="N386" s="2" t="s">
        <v>2755</v>
      </c>
      <c r="O386" s="2" t="s">
        <v>2756</v>
      </c>
      <c r="P386" s="2"/>
      <c r="Q386" s="5" t="n">
        <v>1</v>
      </c>
      <c r="R386" s="2" t="s">
        <v>2757</v>
      </c>
      <c r="S386" s="2" t="s">
        <v>2758</v>
      </c>
      <c r="T386" s="2" t="s">
        <v>2759</v>
      </c>
      <c r="U386" s="2" t="s">
        <v>496</v>
      </c>
      <c r="V386" s="5" t="n">
        <v>300</v>
      </c>
      <c r="W386" s="2"/>
      <c r="X386" s="2" t="s">
        <v>2760</v>
      </c>
      <c r="Y386" s="5"/>
      <c r="Z386" s="2" t="s">
        <v>2761</v>
      </c>
      <c r="AA386" s="6" t="s">
        <v>2762</v>
      </c>
    </row>
    <row r="387" customFormat="false" ht="113.4" hidden="false" customHeight="false" outlineLevel="0" collapsed="false">
      <c r="A387" s="5" t="s">
        <v>2763</v>
      </c>
      <c r="B387" s="2" t="s">
        <v>2764</v>
      </c>
      <c r="C387" s="5" t="s">
        <v>2128</v>
      </c>
      <c r="D387" s="5" t="s">
        <v>60</v>
      </c>
      <c r="E387" s="2" t="s">
        <v>2319</v>
      </c>
      <c r="F387" s="5" t="s">
        <v>62</v>
      </c>
      <c r="G387" s="5" t="n">
        <v>8</v>
      </c>
      <c r="H387" s="5" t="s">
        <v>89</v>
      </c>
      <c r="I387" s="5" t="s">
        <v>64</v>
      </c>
      <c r="J387" s="5" t="s">
        <v>65</v>
      </c>
      <c r="K387" s="5" t="s">
        <v>66</v>
      </c>
      <c r="L387" s="2" t="s">
        <v>100</v>
      </c>
      <c r="M387" s="2" t="s">
        <v>491</v>
      </c>
      <c r="N387" s="2" t="s">
        <v>184</v>
      </c>
      <c r="O387" s="2" t="s">
        <v>2765</v>
      </c>
      <c r="P387" s="2"/>
      <c r="Q387" s="5" t="n">
        <v>2</v>
      </c>
      <c r="R387" s="2" t="s">
        <v>2766</v>
      </c>
      <c r="S387" s="2" t="s">
        <v>2767</v>
      </c>
      <c r="T387" s="2" t="s">
        <v>2768</v>
      </c>
      <c r="U387" s="2" t="s">
        <v>2769</v>
      </c>
      <c r="V387" s="5" t="n">
        <v>86400</v>
      </c>
      <c r="W387" s="2" t="s">
        <v>2770</v>
      </c>
      <c r="X387" s="2" t="s">
        <v>2771</v>
      </c>
      <c r="Y387" s="5" t="s">
        <v>192</v>
      </c>
      <c r="Z387" s="2" t="s">
        <v>2772</v>
      </c>
      <c r="AA387" s="6" t="s">
        <v>2773</v>
      </c>
    </row>
    <row r="388" customFormat="false" ht="91" hidden="false" customHeight="false" outlineLevel="0" collapsed="false">
      <c r="A388" s="5" t="s">
        <v>2774</v>
      </c>
      <c r="B388" s="2" t="s">
        <v>2775</v>
      </c>
      <c r="C388" s="5" t="s">
        <v>2128</v>
      </c>
      <c r="D388" s="5" t="s">
        <v>60</v>
      </c>
      <c r="E388" s="2" t="s">
        <v>2776</v>
      </c>
      <c r="F388" s="5" t="s">
        <v>62</v>
      </c>
      <c r="G388" s="5" t="n">
        <v>9</v>
      </c>
      <c r="H388" s="5" t="s">
        <v>63</v>
      </c>
      <c r="I388" s="5" t="s">
        <v>64</v>
      </c>
      <c r="J388" s="5" t="s">
        <v>65</v>
      </c>
      <c r="K388" s="5" t="s">
        <v>66</v>
      </c>
      <c r="L388" s="2" t="s">
        <v>100</v>
      </c>
      <c r="M388" s="2" t="s">
        <v>491</v>
      </c>
      <c r="N388" s="2" t="s">
        <v>2777</v>
      </c>
      <c r="O388" s="2" t="s">
        <v>631</v>
      </c>
      <c r="P388" s="2"/>
      <c r="Q388" s="5" t="n">
        <v>1</v>
      </c>
      <c r="R388" s="2" t="s">
        <v>2778</v>
      </c>
      <c r="S388" s="2" t="s">
        <v>2779</v>
      </c>
      <c r="T388" s="2" t="s">
        <v>641</v>
      </c>
      <c r="U388" s="2" t="s">
        <v>74</v>
      </c>
      <c r="V388" s="5" t="n">
        <v>300</v>
      </c>
      <c r="W388" s="2"/>
      <c r="X388" s="2" t="s">
        <v>632</v>
      </c>
      <c r="Y388" s="5"/>
      <c r="Z388" s="2" t="s">
        <v>2780</v>
      </c>
      <c r="AA388" s="6" t="s">
        <v>2781</v>
      </c>
    </row>
    <row r="389" customFormat="false" ht="46.25" hidden="false" customHeight="false" outlineLevel="0" collapsed="false">
      <c r="A389" s="5" t="s">
        <v>2782</v>
      </c>
      <c r="B389" s="2" t="s">
        <v>2783</v>
      </c>
      <c r="C389" s="5" t="s">
        <v>2128</v>
      </c>
      <c r="D389" s="5" t="s">
        <v>60</v>
      </c>
      <c r="E389" s="2" t="s">
        <v>2784</v>
      </c>
      <c r="F389" s="5" t="s">
        <v>62</v>
      </c>
      <c r="G389" s="5" t="n">
        <v>7</v>
      </c>
      <c r="H389" s="5" t="s">
        <v>89</v>
      </c>
      <c r="I389" s="5" t="s">
        <v>64</v>
      </c>
      <c r="J389" s="5" t="s">
        <v>1039</v>
      </c>
      <c r="K389" s="5" t="s">
        <v>66</v>
      </c>
      <c r="L389" s="2" t="s">
        <v>544</v>
      </c>
      <c r="M389" s="2" t="s">
        <v>2785</v>
      </c>
      <c r="N389" s="2" t="s">
        <v>2786</v>
      </c>
      <c r="O389" s="2" t="s">
        <v>839</v>
      </c>
      <c r="P389" s="2"/>
      <c r="Q389" s="5" t="n">
        <v>1</v>
      </c>
      <c r="R389" s="2" t="s">
        <v>2787</v>
      </c>
      <c r="S389" s="2" t="s">
        <v>83</v>
      </c>
      <c r="T389" s="2" t="s">
        <v>2788</v>
      </c>
      <c r="U389" s="2" t="s">
        <v>2789</v>
      </c>
      <c r="V389" s="5" t="n">
        <v>1800</v>
      </c>
      <c r="W389" s="2"/>
      <c r="X389" s="2" t="s">
        <v>843</v>
      </c>
      <c r="Y389" s="5"/>
      <c r="Z389" s="2" t="s">
        <v>2790</v>
      </c>
      <c r="AA389" s="6" t="s">
        <v>2791</v>
      </c>
    </row>
    <row r="390" customFormat="false" ht="46.25" hidden="false" customHeight="false" outlineLevel="0" collapsed="false">
      <c r="A390" s="5" t="s">
        <v>2792</v>
      </c>
      <c r="B390" s="2" t="s">
        <v>2793</v>
      </c>
      <c r="C390" s="5" t="s">
        <v>2128</v>
      </c>
      <c r="D390" s="5" t="s">
        <v>60</v>
      </c>
      <c r="E390" s="2" t="s">
        <v>2784</v>
      </c>
      <c r="F390" s="5" t="s">
        <v>62</v>
      </c>
      <c r="G390" s="5" t="n">
        <v>7</v>
      </c>
      <c r="H390" s="5" t="s">
        <v>89</v>
      </c>
      <c r="I390" s="5" t="s">
        <v>64</v>
      </c>
      <c r="J390" s="5" t="s">
        <v>1039</v>
      </c>
      <c r="K390" s="5" t="s">
        <v>66</v>
      </c>
      <c r="L390" s="2" t="s">
        <v>544</v>
      </c>
      <c r="M390" s="2" t="s">
        <v>2785</v>
      </c>
      <c r="N390" s="2" t="s">
        <v>2786</v>
      </c>
      <c r="O390" s="2" t="s">
        <v>2794</v>
      </c>
      <c r="P390" s="2"/>
      <c r="Q390" s="5" t="n">
        <v>1</v>
      </c>
      <c r="R390" s="2" t="s">
        <v>2787</v>
      </c>
      <c r="S390" s="2" t="s">
        <v>83</v>
      </c>
      <c r="T390" s="2" t="s">
        <v>2788</v>
      </c>
      <c r="U390" s="2" t="s">
        <v>2795</v>
      </c>
      <c r="V390" s="5" t="n">
        <v>1800</v>
      </c>
      <c r="W390" s="2"/>
      <c r="X390" s="2" t="s">
        <v>2796</v>
      </c>
      <c r="Y390" s="5"/>
      <c r="Z390" s="2" t="s">
        <v>2797</v>
      </c>
      <c r="AA390" s="6" t="s">
        <v>2798</v>
      </c>
    </row>
    <row r="391" customFormat="false" ht="158.2" hidden="false" customHeight="false" outlineLevel="0" collapsed="false">
      <c r="A391" s="5" t="s">
        <v>2799</v>
      </c>
      <c r="B391" s="2" t="s">
        <v>2800</v>
      </c>
      <c r="C391" s="5" t="s">
        <v>2128</v>
      </c>
      <c r="D391" s="5" t="s">
        <v>60</v>
      </c>
      <c r="E391" s="2" t="s">
        <v>2801</v>
      </c>
      <c r="F391" s="5" t="s">
        <v>62</v>
      </c>
      <c r="G391" s="5" t="n">
        <v>9</v>
      </c>
      <c r="H391" s="5" t="s">
        <v>63</v>
      </c>
      <c r="I391" s="5" t="s">
        <v>64</v>
      </c>
      <c r="J391" s="5" t="s">
        <v>65</v>
      </c>
      <c r="K391" s="5" t="s">
        <v>66</v>
      </c>
      <c r="L391" s="2" t="s">
        <v>2154</v>
      </c>
      <c r="M391" s="2"/>
      <c r="N391" s="2" t="s">
        <v>184</v>
      </c>
      <c r="O391" s="2" t="s">
        <v>2802</v>
      </c>
      <c r="P391" s="2"/>
      <c r="Q391" s="5" t="n">
        <v>3</v>
      </c>
      <c r="R391" s="2" t="s">
        <v>2803</v>
      </c>
      <c r="S391" s="2" t="s">
        <v>2804</v>
      </c>
      <c r="T391" s="2" t="s">
        <v>2805</v>
      </c>
      <c r="U391" s="2" t="s">
        <v>2806</v>
      </c>
      <c r="V391" s="5" t="n">
        <v>3600</v>
      </c>
      <c r="W391" s="2" t="s">
        <v>2807</v>
      </c>
      <c r="X391" s="2" t="s">
        <v>2808</v>
      </c>
      <c r="Y391" s="5"/>
      <c r="Z391" s="2" t="s">
        <v>2809</v>
      </c>
      <c r="AA391" s="6" t="s">
        <v>2810</v>
      </c>
    </row>
    <row r="392" customFormat="false" ht="158.2" hidden="false" customHeight="false" outlineLevel="0" collapsed="false">
      <c r="A392" s="5" t="s">
        <v>2811</v>
      </c>
      <c r="B392" s="2" t="s">
        <v>2812</v>
      </c>
      <c r="C392" s="5" t="s">
        <v>2128</v>
      </c>
      <c r="D392" s="5" t="s">
        <v>60</v>
      </c>
      <c r="E392" s="2" t="s">
        <v>2813</v>
      </c>
      <c r="F392" s="5" t="s">
        <v>490</v>
      </c>
      <c r="G392" s="5" t="n">
        <v>9</v>
      </c>
      <c r="H392" s="5" t="s">
        <v>63</v>
      </c>
      <c r="I392" s="5" t="s">
        <v>64</v>
      </c>
      <c r="J392" s="5" t="s">
        <v>2152</v>
      </c>
      <c r="K392" s="5" t="s">
        <v>2153</v>
      </c>
      <c r="L392" s="2" t="s">
        <v>90</v>
      </c>
      <c r="M392" s="2" t="s">
        <v>116</v>
      </c>
      <c r="N392" s="2" t="s">
        <v>2155</v>
      </c>
      <c r="O392" s="2" t="s">
        <v>2802</v>
      </c>
      <c r="P392" s="2"/>
      <c r="Q392" s="5" t="n">
        <v>3</v>
      </c>
      <c r="R392" s="2" t="s">
        <v>2803</v>
      </c>
      <c r="S392" s="2" t="s">
        <v>2804</v>
      </c>
      <c r="T392" s="2" t="s">
        <v>2805</v>
      </c>
      <c r="U392" s="2" t="s">
        <v>2814</v>
      </c>
      <c r="V392" s="5" t="n">
        <v>7200</v>
      </c>
      <c r="W392" s="2" t="s">
        <v>2815</v>
      </c>
      <c r="X392" s="2" t="s">
        <v>2808</v>
      </c>
      <c r="Y392" s="5"/>
      <c r="Z392" s="2" t="s">
        <v>2816</v>
      </c>
      <c r="AA392" s="6" t="s">
        <v>2817</v>
      </c>
    </row>
    <row r="393" customFormat="false" ht="35.05" hidden="false" customHeight="false" outlineLevel="0" collapsed="false">
      <c r="A393" s="5" t="s">
        <v>2818</v>
      </c>
      <c r="B393" s="2" t="s">
        <v>2819</v>
      </c>
      <c r="C393" s="5" t="s">
        <v>2128</v>
      </c>
      <c r="D393" s="5" t="s">
        <v>60</v>
      </c>
      <c r="E393" s="2" t="s">
        <v>161</v>
      </c>
      <c r="F393" s="5" t="s">
        <v>490</v>
      </c>
      <c r="G393" s="5" t="n">
        <v>7</v>
      </c>
      <c r="H393" s="5" t="s">
        <v>89</v>
      </c>
      <c r="I393" s="5" t="s">
        <v>64</v>
      </c>
      <c r="J393" s="5" t="s">
        <v>2820</v>
      </c>
      <c r="K393" s="5" t="s">
        <v>66</v>
      </c>
      <c r="L393" s="2" t="s">
        <v>544</v>
      </c>
      <c r="M393" s="2" t="s">
        <v>545</v>
      </c>
      <c r="N393" s="2" t="s">
        <v>526</v>
      </c>
      <c r="O393" s="2" t="s">
        <v>560</v>
      </c>
      <c r="P393" s="2"/>
      <c r="Q393" s="5" t="n">
        <v>1</v>
      </c>
      <c r="R393" s="2" t="s">
        <v>71</v>
      </c>
      <c r="S393" s="2" t="s">
        <v>2821</v>
      </c>
      <c r="T393" s="2" t="s">
        <v>2822</v>
      </c>
      <c r="U393" s="2" t="s">
        <v>74</v>
      </c>
      <c r="V393" s="5" t="n">
        <v>300</v>
      </c>
      <c r="W393" s="2"/>
      <c r="X393" s="2" t="s">
        <v>563</v>
      </c>
      <c r="Y393" s="5"/>
      <c r="Z393" s="2" t="s">
        <v>2823</v>
      </c>
      <c r="AA393" s="6" t="s">
        <v>2824</v>
      </c>
    </row>
    <row r="394" customFormat="false" ht="35.05" hidden="false" customHeight="false" outlineLevel="0" collapsed="false">
      <c r="A394" s="5" t="s">
        <v>2825</v>
      </c>
      <c r="B394" s="2" t="s">
        <v>2826</v>
      </c>
      <c r="C394" s="5" t="s">
        <v>2128</v>
      </c>
      <c r="D394" s="5" t="s">
        <v>60</v>
      </c>
      <c r="E394" s="2" t="s">
        <v>61</v>
      </c>
      <c r="F394" s="5" t="s">
        <v>490</v>
      </c>
      <c r="G394" s="5" t="n">
        <v>7</v>
      </c>
      <c r="H394" s="5" t="s">
        <v>89</v>
      </c>
      <c r="I394" s="5" t="s">
        <v>64</v>
      </c>
      <c r="J394" s="5" t="s">
        <v>2820</v>
      </c>
      <c r="K394" s="5" t="s">
        <v>66</v>
      </c>
      <c r="L394" s="2" t="s">
        <v>544</v>
      </c>
      <c r="M394" s="2" t="s">
        <v>545</v>
      </c>
      <c r="N394" s="2" t="s">
        <v>916</v>
      </c>
      <c r="O394" s="2" t="s">
        <v>2827</v>
      </c>
      <c r="P394" s="2"/>
      <c r="Q394" s="5" t="n">
        <v>1</v>
      </c>
      <c r="R394" s="2" t="s">
        <v>71</v>
      </c>
      <c r="S394" s="2" t="s">
        <v>2828</v>
      </c>
      <c r="T394" s="2" t="s">
        <v>2829</v>
      </c>
      <c r="U394" s="2" t="s">
        <v>74</v>
      </c>
      <c r="V394" s="5" t="n">
        <v>300</v>
      </c>
      <c r="W394" s="2"/>
      <c r="X394" s="2" t="s">
        <v>919</v>
      </c>
      <c r="Y394" s="5"/>
      <c r="Z394" s="2" t="s">
        <v>2830</v>
      </c>
      <c r="AA394" s="6" t="s">
        <v>2831</v>
      </c>
    </row>
    <row r="395" customFormat="false" ht="35.05" hidden="false" customHeight="false" outlineLevel="0" collapsed="false">
      <c r="A395" s="5" t="s">
        <v>2832</v>
      </c>
      <c r="B395" s="2" t="s">
        <v>2833</v>
      </c>
      <c r="C395" s="5" t="s">
        <v>2128</v>
      </c>
      <c r="D395" s="5" t="s">
        <v>60</v>
      </c>
      <c r="E395" s="2" t="s">
        <v>161</v>
      </c>
      <c r="F395" s="5" t="s">
        <v>490</v>
      </c>
      <c r="G395" s="5" t="n">
        <v>7</v>
      </c>
      <c r="H395" s="5" t="s">
        <v>89</v>
      </c>
      <c r="I395" s="5" t="s">
        <v>64</v>
      </c>
      <c r="J395" s="5" t="s">
        <v>2820</v>
      </c>
      <c r="K395" s="5" t="s">
        <v>66</v>
      </c>
      <c r="L395" s="2" t="s">
        <v>544</v>
      </c>
      <c r="M395" s="2" t="s">
        <v>545</v>
      </c>
      <c r="N395" s="2" t="s">
        <v>2448</v>
      </c>
      <c r="O395" s="2" t="s">
        <v>2834</v>
      </c>
      <c r="P395" s="2"/>
      <c r="Q395" s="5" t="n">
        <v>1</v>
      </c>
      <c r="R395" s="2" t="s">
        <v>71</v>
      </c>
      <c r="S395" s="2" t="s">
        <v>2835</v>
      </c>
      <c r="T395" s="2" t="s">
        <v>2829</v>
      </c>
      <c r="U395" s="2" t="s">
        <v>74</v>
      </c>
      <c r="V395" s="5" t="n">
        <v>300</v>
      </c>
      <c r="W395" s="2"/>
      <c r="X395" s="2" t="s">
        <v>2836</v>
      </c>
      <c r="Y395" s="5"/>
      <c r="Z395" s="2" t="s">
        <v>2837</v>
      </c>
      <c r="AA395" s="6" t="s">
        <v>2838</v>
      </c>
    </row>
    <row r="396" customFormat="false" ht="35.05" hidden="false" customHeight="false" outlineLevel="0" collapsed="false">
      <c r="A396" s="5" t="s">
        <v>2839</v>
      </c>
      <c r="B396" s="2" t="s">
        <v>2840</v>
      </c>
      <c r="C396" s="5" t="s">
        <v>2128</v>
      </c>
      <c r="D396" s="5" t="s">
        <v>60</v>
      </c>
      <c r="E396" s="2" t="s">
        <v>161</v>
      </c>
      <c r="F396" s="5" t="s">
        <v>490</v>
      </c>
      <c r="G396" s="5" t="n">
        <v>7</v>
      </c>
      <c r="H396" s="5" t="s">
        <v>89</v>
      </c>
      <c r="I396" s="5" t="s">
        <v>64</v>
      </c>
      <c r="J396" s="5" t="s">
        <v>2820</v>
      </c>
      <c r="K396" s="5" t="s">
        <v>66</v>
      </c>
      <c r="L396" s="2" t="s">
        <v>544</v>
      </c>
      <c r="M396" s="2" t="s">
        <v>2841</v>
      </c>
      <c r="N396" s="2" t="s">
        <v>2786</v>
      </c>
      <c r="O396" s="2" t="s">
        <v>2842</v>
      </c>
      <c r="P396" s="2"/>
      <c r="Q396" s="5" t="n">
        <v>1</v>
      </c>
      <c r="R396" s="2" t="s">
        <v>71</v>
      </c>
      <c r="S396" s="2" t="s">
        <v>2843</v>
      </c>
      <c r="T396" s="2" t="s">
        <v>2516</v>
      </c>
      <c r="U396" s="2" t="s">
        <v>74</v>
      </c>
      <c r="V396" s="5" t="n">
        <v>300</v>
      </c>
      <c r="W396" s="2"/>
      <c r="X396" s="2" t="s">
        <v>2844</v>
      </c>
      <c r="Y396" s="5"/>
      <c r="Z396" s="2" t="s">
        <v>2845</v>
      </c>
      <c r="AA396" s="6" t="s">
        <v>2846</v>
      </c>
    </row>
    <row r="397" customFormat="false" ht="35.05" hidden="false" customHeight="false" outlineLevel="0" collapsed="false">
      <c r="A397" s="5" t="s">
        <v>2847</v>
      </c>
      <c r="B397" s="2" t="s">
        <v>2848</v>
      </c>
      <c r="C397" s="5" t="s">
        <v>2128</v>
      </c>
      <c r="D397" s="5" t="s">
        <v>60</v>
      </c>
      <c r="E397" s="2" t="s">
        <v>61</v>
      </c>
      <c r="F397" s="5" t="s">
        <v>490</v>
      </c>
      <c r="G397" s="5" t="n">
        <v>7</v>
      </c>
      <c r="H397" s="5" t="s">
        <v>89</v>
      </c>
      <c r="I397" s="5" t="s">
        <v>64</v>
      </c>
      <c r="J397" s="5" t="s">
        <v>2820</v>
      </c>
      <c r="K397" s="5" t="s">
        <v>66</v>
      </c>
      <c r="L397" s="2" t="s">
        <v>544</v>
      </c>
      <c r="M397" s="2" t="s">
        <v>545</v>
      </c>
      <c r="N397" s="2" t="s">
        <v>916</v>
      </c>
      <c r="O397" s="2" t="s">
        <v>2827</v>
      </c>
      <c r="P397" s="2"/>
      <c r="Q397" s="5" t="n">
        <v>1</v>
      </c>
      <c r="R397" s="2" t="s">
        <v>71</v>
      </c>
      <c r="S397" s="2" t="s">
        <v>2849</v>
      </c>
      <c r="T397" s="2" t="s">
        <v>2829</v>
      </c>
      <c r="U397" s="2" t="s">
        <v>74</v>
      </c>
      <c r="V397" s="5" t="n">
        <v>300</v>
      </c>
      <c r="W397" s="2"/>
      <c r="X397" s="2" t="s">
        <v>919</v>
      </c>
      <c r="Y397" s="5"/>
      <c r="Z397" s="2" t="s">
        <v>2850</v>
      </c>
      <c r="AA397" s="6" t="s">
        <v>2851</v>
      </c>
    </row>
    <row r="398" customFormat="false" ht="46.25" hidden="false" customHeight="false" outlineLevel="0" collapsed="false">
      <c r="A398" s="5" t="s">
        <v>2852</v>
      </c>
      <c r="B398" s="2" t="s">
        <v>2853</v>
      </c>
      <c r="C398" s="5" t="s">
        <v>2128</v>
      </c>
      <c r="D398" s="5" t="s">
        <v>60</v>
      </c>
      <c r="E398" s="2" t="s">
        <v>161</v>
      </c>
      <c r="F398" s="5" t="s">
        <v>490</v>
      </c>
      <c r="G398" s="5" t="n">
        <v>7</v>
      </c>
      <c r="H398" s="5" t="s">
        <v>89</v>
      </c>
      <c r="I398" s="5" t="s">
        <v>64</v>
      </c>
      <c r="J398" s="5" t="s">
        <v>2820</v>
      </c>
      <c r="K398" s="5" t="s">
        <v>66</v>
      </c>
      <c r="L398" s="2" t="s">
        <v>544</v>
      </c>
      <c r="M398" s="2" t="s">
        <v>2841</v>
      </c>
      <c r="N398" s="2" t="s">
        <v>2786</v>
      </c>
      <c r="O398" s="2" t="s">
        <v>638</v>
      </c>
      <c r="P398" s="2"/>
      <c r="Q398" s="5" t="n">
        <v>1</v>
      </c>
      <c r="R398" s="2" t="s">
        <v>71</v>
      </c>
      <c r="S398" s="2" t="s">
        <v>2854</v>
      </c>
      <c r="T398" s="2" t="s">
        <v>2829</v>
      </c>
      <c r="U398" s="2" t="s">
        <v>74</v>
      </c>
      <c r="V398" s="5" t="n">
        <v>300</v>
      </c>
      <c r="W398" s="2"/>
      <c r="X398" s="2" t="s">
        <v>643</v>
      </c>
      <c r="Y398" s="5"/>
      <c r="Z398" s="2" t="s">
        <v>2855</v>
      </c>
      <c r="AA398" s="6" t="s">
        <v>2856</v>
      </c>
    </row>
    <row r="399" customFormat="false" ht="35.05" hidden="false" customHeight="false" outlineLevel="0" collapsed="false">
      <c r="A399" s="5" t="s">
        <v>2857</v>
      </c>
      <c r="B399" s="2" t="s">
        <v>2858</v>
      </c>
      <c r="C399" s="5" t="s">
        <v>2128</v>
      </c>
      <c r="D399" s="5" t="s">
        <v>60</v>
      </c>
      <c r="E399" s="2" t="s">
        <v>2859</v>
      </c>
      <c r="F399" s="5" t="s">
        <v>490</v>
      </c>
      <c r="G399" s="5" t="n">
        <v>7</v>
      </c>
      <c r="H399" s="5" t="s">
        <v>89</v>
      </c>
      <c r="I399" s="5" t="s">
        <v>64</v>
      </c>
      <c r="J399" s="5" t="s">
        <v>2820</v>
      </c>
      <c r="K399" s="5" t="s">
        <v>66</v>
      </c>
      <c r="L399" s="2" t="s">
        <v>544</v>
      </c>
      <c r="M399" s="2" t="s">
        <v>2841</v>
      </c>
      <c r="N399" s="2" t="s">
        <v>2786</v>
      </c>
      <c r="O399" s="2" t="s">
        <v>1533</v>
      </c>
      <c r="P399" s="2"/>
      <c r="Q399" s="5" t="n">
        <v>1</v>
      </c>
      <c r="R399" s="2" t="s">
        <v>71</v>
      </c>
      <c r="S399" s="2" t="s">
        <v>2860</v>
      </c>
      <c r="T399" s="2" t="s">
        <v>2516</v>
      </c>
      <c r="U399" s="2" t="s">
        <v>74</v>
      </c>
      <c r="V399" s="5" t="n">
        <v>300</v>
      </c>
      <c r="W399" s="2"/>
      <c r="X399" s="2" t="s">
        <v>1536</v>
      </c>
      <c r="Y399" s="5" t="s">
        <v>1537</v>
      </c>
      <c r="Z399" s="2" t="s">
        <v>2861</v>
      </c>
      <c r="AA399" s="6" t="s">
        <v>2862</v>
      </c>
    </row>
    <row r="400" customFormat="false" ht="46.25" hidden="false" customHeight="false" outlineLevel="0" collapsed="false">
      <c r="A400" s="5" t="s">
        <v>2863</v>
      </c>
      <c r="B400" s="2" t="s">
        <v>2864</v>
      </c>
      <c r="C400" s="5" t="s">
        <v>2128</v>
      </c>
      <c r="D400" s="5" t="s">
        <v>60</v>
      </c>
      <c r="E400" s="2" t="s">
        <v>2813</v>
      </c>
      <c r="F400" s="5" t="s">
        <v>62</v>
      </c>
      <c r="G400" s="5" t="n">
        <v>9</v>
      </c>
      <c r="H400" s="5" t="s">
        <v>63</v>
      </c>
      <c r="I400" s="5" t="s">
        <v>1042</v>
      </c>
      <c r="J400" s="5" t="s">
        <v>65</v>
      </c>
      <c r="K400" s="5" t="s">
        <v>66</v>
      </c>
      <c r="L400" s="2" t="s">
        <v>90</v>
      </c>
      <c r="M400" s="2" t="s">
        <v>163</v>
      </c>
      <c r="N400" s="2" t="s">
        <v>184</v>
      </c>
      <c r="O400" s="2" t="s">
        <v>2865</v>
      </c>
      <c r="P400" s="2"/>
      <c r="Q400" s="5" t="n">
        <v>1</v>
      </c>
      <c r="R400" s="2" t="s">
        <v>2866</v>
      </c>
      <c r="S400" s="2" t="s">
        <v>2867</v>
      </c>
      <c r="T400" s="2" t="s">
        <v>2868</v>
      </c>
      <c r="U400" s="2" t="s">
        <v>74</v>
      </c>
      <c r="V400" s="5" t="n">
        <v>300</v>
      </c>
      <c r="W400" s="2"/>
      <c r="X400" s="2" t="s">
        <v>2869</v>
      </c>
      <c r="Y400" s="5"/>
      <c r="Z400" s="2" t="s">
        <v>2870</v>
      </c>
      <c r="AA400" s="6" t="s">
        <v>2871</v>
      </c>
    </row>
    <row r="401" customFormat="false" ht="46.25" hidden="false" customHeight="false" outlineLevel="0" collapsed="false">
      <c r="A401" s="5" t="s">
        <v>2872</v>
      </c>
      <c r="B401" s="2" t="s">
        <v>2873</v>
      </c>
      <c r="C401" s="5" t="s">
        <v>2128</v>
      </c>
      <c r="D401" s="5" t="s">
        <v>60</v>
      </c>
      <c r="E401" s="2" t="s">
        <v>2813</v>
      </c>
      <c r="F401" s="5" t="s">
        <v>62</v>
      </c>
      <c r="G401" s="5" t="n">
        <v>6</v>
      </c>
      <c r="H401" s="5" t="s">
        <v>89</v>
      </c>
      <c r="I401" s="5" t="s">
        <v>1042</v>
      </c>
      <c r="J401" s="5" t="s">
        <v>65</v>
      </c>
      <c r="K401" s="5" t="s">
        <v>66</v>
      </c>
      <c r="L401" s="2" t="s">
        <v>90</v>
      </c>
      <c r="M401" s="2" t="s">
        <v>163</v>
      </c>
      <c r="N401" s="2" t="s">
        <v>184</v>
      </c>
      <c r="O401" s="2" t="s">
        <v>2865</v>
      </c>
      <c r="P401" s="2"/>
      <c r="Q401" s="5" t="n">
        <v>1</v>
      </c>
      <c r="R401" s="2" t="s">
        <v>2866</v>
      </c>
      <c r="S401" s="2" t="s">
        <v>2874</v>
      </c>
      <c r="T401" s="2" t="s">
        <v>2875</v>
      </c>
      <c r="U401" s="2" t="s">
        <v>74</v>
      </c>
      <c r="V401" s="5" t="n">
        <v>300</v>
      </c>
      <c r="W401" s="2"/>
      <c r="X401" s="2" t="s">
        <v>2869</v>
      </c>
      <c r="Y401" s="5"/>
      <c r="Z401" s="2" t="s">
        <v>2876</v>
      </c>
      <c r="AA401" s="6" t="s">
        <v>2877</v>
      </c>
    </row>
    <row r="402" customFormat="false" ht="46.25" hidden="false" customHeight="false" outlineLevel="0" collapsed="false">
      <c r="A402" s="5" t="s">
        <v>2878</v>
      </c>
      <c r="B402" s="2" t="s">
        <v>2879</v>
      </c>
      <c r="C402" s="5" t="s">
        <v>2128</v>
      </c>
      <c r="D402" s="5" t="s">
        <v>60</v>
      </c>
      <c r="E402" s="2" t="s">
        <v>2813</v>
      </c>
      <c r="F402" s="5" t="s">
        <v>62</v>
      </c>
      <c r="G402" s="5" t="n">
        <v>9</v>
      </c>
      <c r="H402" s="5" t="s">
        <v>63</v>
      </c>
      <c r="I402" s="5" t="s">
        <v>1042</v>
      </c>
      <c r="J402" s="5" t="s">
        <v>65</v>
      </c>
      <c r="K402" s="5" t="s">
        <v>66</v>
      </c>
      <c r="L402" s="2" t="s">
        <v>90</v>
      </c>
      <c r="M402" s="2" t="s">
        <v>163</v>
      </c>
      <c r="N402" s="2" t="s">
        <v>184</v>
      </c>
      <c r="O402" s="2" t="s">
        <v>2865</v>
      </c>
      <c r="P402" s="2"/>
      <c r="Q402" s="5" t="n">
        <v>1</v>
      </c>
      <c r="R402" s="2" t="s">
        <v>2866</v>
      </c>
      <c r="S402" s="2" t="s">
        <v>2880</v>
      </c>
      <c r="T402" s="2" t="s">
        <v>2868</v>
      </c>
      <c r="U402" s="2" t="s">
        <v>74</v>
      </c>
      <c r="V402" s="5" t="n">
        <v>300</v>
      </c>
      <c r="W402" s="2"/>
      <c r="X402" s="2" t="s">
        <v>2869</v>
      </c>
      <c r="Y402" s="5"/>
      <c r="Z402" s="2" t="s">
        <v>2881</v>
      </c>
      <c r="AA402" s="6" t="s">
        <v>2882</v>
      </c>
    </row>
    <row r="403" customFormat="false" ht="46.25" hidden="false" customHeight="false" outlineLevel="0" collapsed="false">
      <c r="A403" s="5" t="s">
        <v>2883</v>
      </c>
      <c r="B403" s="2" t="s">
        <v>2884</v>
      </c>
      <c r="C403" s="5" t="s">
        <v>2128</v>
      </c>
      <c r="D403" s="5" t="s">
        <v>60</v>
      </c>
      <c r="E403" s="2" t="s">
        <v>2885</v>
      </c>
      <c r="F403" s="5" t="s">
        <v>62</v>
      </c>
      <c r="G403" s="5" t="n">
        <v>9</v>
      </c>
      <c r="H403" s="5" t="s">
        <v>63</v>
      </c>
      <c r="I403" s="5" t="s">
        <v>1042</v>
      </c>
      <c r="J403" s="5" t="s">
        <v>65</v>
      </c>
      <c r="K403" s="5" t="s">
        <v>66</v>
      </c>
      <c r="L403" s="2" t="s">
        <v>90</v>
      </c>
      <c r="M403" s="2" t="s">
        <v>163</v>
      </c>
      <c r="N403" s="2" t="s">
        <v>184</v>
      </c>
      <c r="O403" s="2" t="s">
        <v>2865</v>
      </c>
      <c r="P403" s="2"/>
      <c r="Q403" s="5" t="n">
        <v>1</v>
      </c>
      <c r="R403" s="2" t="s">
        <v>2866</v>
      </c>
      <c r="S403" s="2" t="s">
        <v>2886</v>
      </c>
      <c r="T403" s="2" t="s">
        <v>2887</v>
      </c>
      <c r="U403" s="2" t="s">
        <v>74</v>
      </c>
      <c r="V403" s="5" t="n">
        <v>300</v>
      </c>
      <c r="W403" s="2"/>
      <c r="X403" s="2" t="s">
        <v>2869</v>
      </c>
      <c r="Y403" s="5"/>
      <c r="Z403" s="2" t="s">
        <v>2888</v>
      </c>
      <c r="AA403" s="6" t="s">
        <v>2889</v>
      </c>
    </row>
    <row r="404" customFormat="false" ht="46.25" hidden="false" customHeight="false" outlineLevel="0" collapsed="false">
      <c r="A404" s="5" t="s">
        <v>2890</v>
      </c>
      <c r="B404" s="2" t="s">
        <v>2891</v>
      </c>
      <c r="C404" s="5" t="s">
        <v>2128</v>
      </c>
      <c r="D404" s="5" t="s">
        <v>60</v>
      </c>
      <c r="E404" s="2" t="s">
        <v>2813</v>
      </c>
      <c r="F404" s="5" t="s">
        <v>62</v>
      </c>
      <c r="G404" s="5" t="n">
        <v>9</v>
      </c>
      <c r="H404" s="5" t="s">
        <v>63</v>
      </c>
      <c r="I404" s="5" t="s">
        <v>1042</v>
      </c>
      <c r="J404" s="5" t="s">
        <v>65</v>
      </c>
      <c r="K404" s="5" t="s">
        <v>66</v>
      </c>
      <c r="L404" s="2" t="s">
        <v>90</v>
      </c>
      <c r="M404" s="2" t="s">
        <v>163</v>
      </c>
      <c r="N404" s="2" t="s">
        <v>184</v>
      </c>
      <c r="O404" s="2" t="s">
        <v>2865</v>
      </c>
      <c r="P404" s="2"/>
      <c r="Q404" s="5" t="n">
        <v>1</v>
      </c>
      <c r="R404" s="2" t="s">
        <v>2866</v>
      </c>
      <c r="S404" s="2" t="s">
        <v>2892</v>
      </c>
      <c r="T404" s="2" t="s">
        <v>2887</v>
      </c>
      <c r="U404" s="2" t="s">
        <v>74</v>
      </c>
      <c r="V404" s="5" t="n">
        <v>300</v>
      </c>
      <c r="W404" s="2"/>
      <c r="X404" s="2" t="s">
        <v>2869</v>
      </c>
      <c r="Y404" s="5"/>
      <c r="Z404" s="2" t="s">
        <v>2893</v>
      </c>
      <c r="AA404" s="6" t="s">
        <v>2894</v>
      </c>
    </row>
    <row r="405" customFormat="false" ht="46.25" hidden="false" customHeight="false" outlineLevel="0" collapsed="false">
      <c r="A405" s="5" t="s">
        <v>2895</v>
      </c>
      <c r="B405" s="2" t="s">
        <v>2896</v>
      </c>
      <c r="C405" s="5" t="s">
        <v>2128</v>
      </c>
      <c r="D405" s="5" t="s">
        <v>60</v>
      </c>
      <c r="E405" s="2" t="s">
        <v>2813</v>
      </c>
      <c r="F405" s="5" t="s">
        <v>62</v>
      </c>
      <c r="G405" s="5" t="n">
        <v>9</v>
      </c>
      <c r="H405" s="5" t="s">
        <v>63</v>
      </c>
      <c r="I405" s="5" t="s">
        <v>1042</v>
      </c>
      <c r="J405" s="5" t="s">
        <v>65</v>
      </c>
      <c r="K405" s="5" t="s">
        <v>66</v>
      </c>
      <c r="L405" s="2" t="s">
        <v>536</v>
      </c>
      <c r="M405" s="2" t="s">
        <v>537</v>
      </c>
      <c r="N405" s="2" t="s">
        <v>184</v>
      </c>
      <c r="O405" s="2" t="s">
        <v>2897</v>
      </c>
      <c r="P405" s="2"/>
      <c r="Q405" s="5" t="n">
        <v>1</v>
      </c>
      <c r="R405" s="2" t="s">
        <v>2866</v>
      </c>
      <c r="S405" s="2" t="s">
        <v>2898</v>
      </c>
      <c r="T405" s="2" t="s">
        <v>2875</v>
      </c>
      <c r="U405" s="2" t="s">
        <v>74</v>
      </c>
      <c r="V405" s="5" t="n">
        <v>300</v>
      </c>
      <c r="W405" s="2"/>
      <c r="X405" s="2" t="s">
        <v>2899</v>
      </c>
      <c r="Y405" s="5"/>
      <c r="Z405" s="2" t="s">
        <v>2900</v>
      </c>
      <c r="AA405" s="6" t="s">
        <v>2901</v>
      </c>
    </row>
    <row r="406" customFormat="false" ht="46.25" hidden="false" customHeight="false" outlineLevel="0" collapsed="false">
      <c r="A406" s="5" t="s">
        <v>2902</v>
      </c>
      <c r="B406" s="2" t="s">
        <v>2903</v>
      </c>
      <c r="C406" s="5" t="s">
        <v>2128</v>
      </c>
      <c r="D406" s="5" t="s">
        <v>60</v>
      </c>
      <c r="E406" s="2" t="s">
        <v>2813</v>
      </c>
      <c r="F406" s="5" t="s">
        <v>62</v>
      </c>
      <c r="G406" s="5" t="n">
        <v>6</v>
      </c>
      <c r="H406" s="5" t="s">
        <v>89</v>
      </c>
      <c r="I406" s="5" t="s">
        <v>1042</v>
      </c>
      <c r="J406" s="5" t="s">
        <v>65</v>
      </c>
      <c r="K406" s="5" t="s">
        <v>66</v>
      </c>
      <c r="L406" s="2" t="s">
        <v>536</v>
      </c>
      <c r="M406" s="2" t="s">
        <v>537</v>
      </c>
      <c r="N406" s="2" t="s">
        <v>184</v>
      </c>
      <c r="O406" s="2" t="s">
        <v>2897</v>
      </c>
      <c r="P406" s="2"/>
      <c r="Q406" s="5" t="n">
        <v>1</v>
      </c>
      <c r="R406" s="2" t="s">
        <v>2866</v>
      </c>
      <c r="S406" s="2" t="s">
        <v>2874</v>
      </c>
      <c r="T406" s="2" t="s">
        <v>2868</v>
      </c>
      <c r="U406" s="2" t="s">
        <v>74</v>
      </c>
      <c r="V406" s="5" t="n">
        <v>300</v>
      </c>
      <c r="W406" s="2"/>
      <c r="X406" s="2" t="s">
        <v>2899</v>
      </c>
      <c r="Y406" s="5"/>
      <c r="Z406" s="2" t="s">
        <v>2904</v>
      </c>
      <c r="AA406" s="6" t="s">
        <v>2905</v>
      </c>
    </row>
    <row r="407" customFormat="false" ht="46.25" hidden="false" customHeight="false" outlineLevel="0" collapsed="false">
      <c r="A407" s="5" t="s">
        <v>2906</v>
      </c>
      <c r="B407" s="2" t="s">
        <v>2907</v>
      </c>
      <c r="C407" s="5" t="s">
        <v>2128</v>
      </c>
      <c r="D407" s="5" t="s">
        <v>60</v>
      </c>
      <c r="E407" s="2" t="s">
        <v>2813</v>
      </c>
      <c r="F407" s="5" t="s">
        <v>62</v>
      </c>
      <c r="G407" s="5" t="n">
        <v>9</v>
      </c>
      <c r="H407" s="5" t="s">
        <v>63</v>
      </c>
      <c r="I407" s="5" t="s">
        <v>1042</v>
      </c>
      <c r="J407" s="5" t="s">
        <v>65</v>
      </c>
      <c r="K407" s="5" t="s">
        <v>66</v>
      </c>
      <c r="L407" s="2" t="s">
        <v>536</v>
      </c>
      <c r="M407" s="2" t="s">
        <v>537</v>
      </c>
      <c r="N407" s="2" t="s">
        <v>184</v>
      </c>
      <c r="O407" s="2" t="s">
        <v>2897</v>
      </c>
      <c r="P407" s="2"/>
      <c r="Q407" s="5" t="n">
        <v>1</v>
      </c>
      <c r="R407" s="2" t="s">
        <v>2866</v>
      </c>
      <c r="S407" s="2" t="s">
        <v>2880</v>
      </c>
      <c r="T407" s="2" t="s">
        <v>2868</v>
      </c>
      <c r="U407" s="2" t="s">
        <v>74</v>
      </c>
      <c r="V407" s="5" t="n">
        <v>300</v>
      </c>
      <c r="W407" s="2"/>
      <c r="X407" s="2" t="s">
        <v>2899</v>
      </c>
      <c r="Y407" s="5"/>
      <c r="Z407" s="2" t="s">
        <v>2904</v>
      </c>
      <c r="AA407" s="6" t="s">
        <v>2908</v>
      </c>
    </row>
    <row r="408" customFormat="false" ht="46.25" hidden="false" customHeight="false" outlineLevel="0" collapsed="false">
      <c r="A408" s="5" t="s">
        <v>2909</v>
      </c>
      <c r="B408" s="2" t="s">
        <v>2910</v>
      </c>
      <c r="C408" s="5" t="s">
        <v>2128</v>
      </c>
      <c r="D408" s="5" t="s">
        <v>60</v>
      </c>
      <c r="E408" s="2" t="s">
        <v>2885</v>
      </c>
      <c r="F408" s="5" t="s">
        <v>62</v>
      </c>
      <c r="G408" s="5" t="n">
        <v>6</v>
      </c>
      <c r="H408" s="5" t="s">
        <v>89</v>
      </c>
      <c r="I408" s="5" t="s">
        <v>1042</v>
      </c>
      <c r="J408" s="5" t="s">
        <v>65</v>
      </c>
      <c r="K408" s="5" t="s">
        <v>66</v>
      </c>
      <c r="L408" s="2" t="s">
        <v>536</v>
      </c>
      <c r="M408" s="2" t="s">
        <v>537</v>
      </c>
      <c r="N408" s="2" t="s">
        <v>184</v>
      </c>
      <c r="O408" s="2" t="s">
        <v>2897</v>
      </c>
      <c r="P408" s="2"/>
      <c r="Q408" s="5" t="n">
        <v>1</v>
      </c>
      <c r="R408" s="2" t="s">
        <v>2866</v>
      </c>
      <c r="S408" s="2" t="s">
        <v>2886</v>
      </c>
      <c r="T408" s="2" t="s">
        <v>2887</v>
      </c>
      <c r="U408" s="2" t="s">
        <v>74</v>
      </c>
      <c r="V408" s="5" t="n">
        <v>300</v>
      </c>
      <c r="W408" s="2"/>
      <c r="X408" s="2" t="s">
        <v>2899</v>
      </c>
      <c r="Y408" s="5"/>
      <c r="Z408" s="2" t="s">
        <v>2911</v>
      </c>
      <c r="AA408" s="6" t="s">
        <v>2912</v>
      </c>
    </row>
    <row r="409" customFormat="false" ht="46.25" hidden="false" customHeight="false" outlineLevel="0" collapsed="false">
      <c r="A409" s="5" t="s">
        <v>2913</v>
      </c>
      <c r="B409" s="2" t="s">
        <v>2914</v>
      </c>
      <c r="C409" s="5" t="s">
        <v>2128</v>
      </c>
      <c r="D409" s="5" t="s">
        <v>60</v>
      </c>
      <c r="E409" s="2" t="s">
        <v>2813</v>
      </c>
      <c r="F409" s="5" t="s">
        <v>62</v>
      </c>
      <c r="G409" s="5" t="n">
        <v>9</v>
      </c>
      <c r="H409" s="5" t="s">
        <v>63</v>
      </c>
      <c r="I409" s="5" t="s">
        <v>1042</v>
      </c>
      <c r="J409" s="5" t="s">
        <v>65</v>
      </c>
      <c r="K409" s="5" t="s">
        <v>66</v>
      </c>
      <c r="L409" s="2" t="s">
        <v>536</v>
      </c>
      <c r="M409" s="2" t="s">
        <v>537</v>
      </c>
      <c r="N409" s="2" t="s">
        <v>184</v>
      </c>
      <c r="O409" s="2" t="s">
        <v>2897</v>
      </c>
      <c r="P409" s="2"/>
      <c r="Q409" s="5" t="n">
        <v>1</v>
      </c>
      <c r="R409" s="2" t="s">
        <v>2866</v>
      </c>
      <c r="S409" s="2" t="s">
        <v>2892</v>
      </c>
      <c r="T409" s="2" t="s">
        <v>2887</v>
      </c>
      <c r="U409" s="2" t="s">
        <v>74</v>
      </c>
      <c r="V409" s="5" t="n">
        <v>300</v>
      </c>
      <c r="W409" s="2"/>
      <c r="X409" s="2" t="s">
        <v>2899</v>
      </c>
      <c r="Y409" s="5"/>
      <c r="Z409" s="2" t="s">
        <v>2915</v>
      </c>
      <c r="AA409" s="6" t="s">
        <v>2916</v>
      </c>
    </row>
    <row r="410" customFormat="false" ht="35.05" hidden="false" customHeight="false" outlineLevel="0" collapsed="false">
      <c r="A410" s="5" t="s">
        <v>2917</v>
      </c>
      <c r="B410" s="2" t="s">
        <v>2918</v>
      </c>
      <c r="C410" s="5" t="s">
        <v>2128</v>
      </c>
      <c r="D410" s="5" t="s">
        <v>60</v>
      </c>
      <c r="E410" s="2" t="s">
        <v>182</v>
      </c>
      <c r="F410" s="5" t="s">
        <v>62</v>
      </c>
      <c r="G410" s="5" t="n">
        <v>7</v>
      </c>
      <c r="H410" s="5" t="s">
        <v>89</v>
      </c>
      <c r="I410" s="5" t="s">
        <v>1042</v>
      </c>
      <c r="J410" s="5" t="s">
        <v>65</v>
      </c>
      <c r="K410" s="5" t="s">
        <v>66</v>
      </c>
      <c r="L410" s="2" t="s">
        <v>90</v>
      </c>
      <c r="M410" s="2" t="s">
        <v>116</v>
      </c>
      <c r="N410" s="2" t="s">
        <v>184</v>
      </c>
      <c r="O410" s="2" t="s">
        <v>2919</v>
      </c>
      <c r="P410" s="2"/>
      <c r="Q410" s="5" t="n">
        <v>1</v>
      </c>
      <c r="R410" s="2" t="s">
        <v>2515</v>
      </c>
      <c r="S410" s="2" t="s">
        <v>83</v>
      </c>
      <c r="T410" s="2" t="s">
        <v>2920</v>
      </c>
      <c r="U410" s="2" t="s">
        <v>74</v>
      </c>
      <c r="V410" s="5" t="n">
        <v>300</v>
      </c>
      <c r="W410" s="2"/>
      <c r="X410" s="2" t="s">
        <v>2921</v>
      </c>
      <c r="Y410" s="5"/>
      <c r="Z410" s="2" t="s">
        <v>2922</v>
      </c>
      <c r="AA410" s="6" t="s">
        <v>2923</v>
      </c>
    </row>
    <row r="411" customFormat="false" ht="23.85" hidden="false" customHeight="false" outlineLevel="0" collapsed="false">
      <c r="A411" s="5" t="s">
        <v>2924</v>
      </c>
      <c r="B411" s="2" t="s">
        <v>2925</v>
      </c>
      <c r="C411" s="5" t="s">
        <v>2128</v>
      </c>
      <c r="D411" s="5" t="s">
        <v>60</v>
      </c>
      <c r="E411" s="2" t="s">
        <v>269</v>
      </c>
      <c r="F411" s="5" t="s">
        <v>62</v>
      </c>
      <c r="G411" s="5" t="n">
        <v>7</v>
      </c>
      <c r="H411" s="5" t="s">
        <v>89</v>
      </c>
      <c r="I411" s="5" t="s">
        <v>64</v>
      </c>
      <c r="J411" s="5" t="s">
        <v>65</v>
      </c>
      <c r="K411" s="5" t="s">
        <v>66</v>
      </c>
      <c r="L411" s="2" t="s">
        <v>67</v>
      </c>
      <c r="M411" s="2" t="s">
        <v>2926</v>
      </c>
      <c r="N411" s="2" t="s">
        <v>184</v>
      </c>
      <c r="O411" s="2" t="s">
        <v>2927</v>
      </c>
      <c r="P411" s="2"/>
      <c r="Q411" s="5" t="n">
        <v>1</v>
      </c>
      <c r="R411" s="2" t="s">
        <v>2928</v>
      </c>
      <c r="S411" s="2" t="s">
        <v>2929</v>
      </c>
      <c r="T411" s="2" t="s">
        <v>2516</v>
      </c>
      <c r="U411" s="2" t="s">
        <v>74</v>
      </c>
      <c r="V411" s="5" t="n">
        <v>600</v>
      </c>
      <c r="W411" s="2"/>
      <c r="X411" s="2" t="s">
        <v>2930</v>
      </c>
      <c r="Y411" s="5"/>
      <c r="Z411" s="2" t="s">
        <v>2931</v>
      </c>
      <c r="AA411" s="6" t="s">
        <v>2932</v>
      </c>
    </row>
    <row r="412" customFormat="false" ht="46.25" hidden="false" customHeight="false" outlineLevel="0" collapsed="false">
      <c r="A412" s="5" t="s">
        <v>2933</v>
      </c>
      <c r="B412" s="2" t="s">
        <v>2934</v>
      </c>
      <c r="C412" s="5" t="s">
        <v>2128</v>
      </c>
      <c r="D412" s="5" t="s">
        <v>60</v>
      </c>
      <c r="E412" s="2" t="s">
        <v>2784</v>
      </c>
      <c r="F412" s="5" t="s">
        <v>62</v>
      </c>
      <c r="G412" s="5" t="n">
        <v>9</v>
      </c>
      <c r="H412" s="5" t="s">
        <v>63</v>
      </c>
      <c r="I412" s="5" t="s">
        <v>2292</v>
      </c>
      <c r="J412" s="5" t="s">
        <v>65</v>
      </c>
      <c r="K412" s="5" t="s">
        <v>66</v>
      </c>
      <c r="L412" s="2" t="s">
        <v>2935</v>
      </c>
      <c r="M412" s="2"/>
      <c r="N412" s="2" t="s">
        <v>1513</v>
      </c>
      <c r="O412" s="2" t="s">
        <v>2936</v>
      </c>
      <c r="P412" s="2"/>
      <c r="Q412" s="5" t="n">
        <v>1</v>
      </c>
      <c r="R412" s="2" t="s">
        <v>2937</v>
      </c>
      <c r="S412" s="2" t="s">
        <v>83</v>
      </c>
      <c r="T412" s="2" t="s">
        <v>2788</v>
      </c>
      <c r="U412" s="2" t="s">
        <v>74</v>
      </c>
      <c r="V412" s="5" t="n">
        <v>180</v>
      </c>
      <c r="W412" s="2"/>
      <c r="X412" s="2" t="s">
        <v>2938</v>
      </c>
      <c r="Y412" s="5"/>
      <c r="Z412" s="2" t="s">
        <v>2939</v>
      </c>
      <c r="AA412" s="6" t="s">
        <v>2940</v>
      </c>
    </row>
    <row r="413" customFormat="false" ht="46.25" hidden="false" customHeight="false" outlineLevel="0" collapsed="false">
      <c r="A413" s="5" t="s">
        <v>2941</v>
      </c>
      <c r="B413" s="2" t="s">
        <v>2942</v>
      </c>
      <c r="C413" s="5" t="s">
        <v>2128</v>
      </c>
      <c r="D413" s="5" t="s">
        <v>60</v>
      </c>
      <c r="E413" s="2" t="s">
        <v>2784</v>
      </c>
      <c r="F413" s="5" t="s">
        <v>62</v>
      </c>
      <c r="G413" s="5" t="n">
        <v>9</v>
      </c>
      <c r="H413" s="5" t="s">
        <v>63</v>
      </c>
      <c r="I413" s="5" t="s">
        <v>2292</v>
      </c>
      <c r="J413" s="5" t="s">
        <v>65</v>
      </c>
      <c r="K413" s="5" t="s">
        <v>66</v>
      </c>
      <c r="L413" s="2" t="s">
        <v>2935</v>
      </c>
      <c r="M413" s="2"/>
      <c r="N413" s="2" t="s">
        <v>1513</v>
      </c>
      <c r="O413" s="2" t="s">
        <v>2943</v>
      </c>
      <c r="P413" s="2"/>
      <c r="Q413" s="5" t="n">
        <v>1</v>
      </c>
      <c r="R413" s="2" t="s">
        <v>2937</v>
      </c>
      <c r="S413" s="2" t="s">
        <v>83</v>
      </c>
      <c r="T413" s="2" t="s">
        <v>2788</v>
      </c>
      <c r="U413" s="2" t="s">
        <v>74</v>
      </c>
      <c r="V413" s="5" t="n">
        <v>180</v>
      </c>
      <c r="W413" s="2"/>
      <c r="X413" s="2" t="s">
        <v>2944</v>
      </c>
      <c r="Y413" s="5"/>
      <c r="Z413" s="2" t="s">
        <v>2945</v>
      </c>
      <c r="AA413" s="6" t="s">
        <v>2946</v>
      </c>
    </row>
    <row r="414" customFormat="false" ht="46.25" hidden="false" customHeight="false" outlineLevel="0" collapsed="false">
      <c r="A414" s="5" t="s">
        <v>2947</v>
      </c>
      <c r="B414" s="2" t="s">
        <v>2948</v>
      </c>
      <c r="C414" s="5" t="s">
        <v>2128</v>
      </c>
      <c r="D414" s="5" t="s">
        <v>60</v>
      </c>
      <c r="E414" s="2" t="s">
        <v>2784</v>
      </c>
      <c r="F414" s="5" t="s">
        <v>62</v>
      </c>
      <c r="G414" s="5" t="n">
        <v>9</v>
      </c>
      <c r="H414" s="5" t="s">
        <v>63</v>
      </c>
      <c r="I414" s="5" t="s">
        <v>2292</v>
      </c>
      <c r="J414" s="5" t="s">
        <v>65</v>
      </c>
      <c r="K414" s="5" t="s">
        <v>66</v>
      </c>
      <c r="L414" s="2" t="s">
        <v>2935</v>
      </c>
      <c r="M414" s="2"/>
      <c r="N414" s="2" t="s">
        <v>1513</v>
      </c>
      <c r="O414" s="2" t="s">
        <v>2949</v>
      </c>
      <c r="P414" s="2"/>
      <c r="Q414" s="5" t="n">
        <v>1</v>
      </c>
      <c r="R414" s="2" t="s">
        <v>2937</v>
      </c>
      <c r="S414" s="2" t="s">
        <v>83</v>
      </c>
      <c r="T414" s="2" t="s">
        <v>2788</v>
      </c>
      <c r="U414" s="2" t="s">
        <v>74</v>
      </c>
      <c r="V414" s="5" t="n">
        <v>180</v>
      </c>
      <c r="W414" s="2"/>
      <c r="X414" s="2" t="s">
        <v>2950</v>
      </c>
      <c r="Y414" s="5"/>
      <c r="Z414" s="2" t="s">
        <v>2951</v>
      </c>
      <c r="AA414" s="6" t="s">
        <v>2952</v>
      </c>
    </row>
    <row r="415" customFormat="false" ht="23.85" hidden="false" customHeight="false" outlineLevel="0" collapsed="false">
      <c r="A415" s="5" t="s">
        <v>2953</v>
      </c>
      <c r="B415" s="2" t="s">
        <v>2954</v>
      </c>
      <c r="C415" s="5" t="s">
        <v>2128</v>
      </c>
      <c r="D415" s="5" t="s">
        <v>60</v>
      </c>
      <c r="E415" s="2" t="s">
        <v>161</v>
      </c>
      <c r="F415" s="5" t="s">
        <v>62</v>
      </c>
      <c r="G415" s="5" t="n">
        <v>7</v>
      </c>
      <c r="H415" s="5" t="s">
        <v>89</v>
      </c>
      <c r="I415" s="5" t="s">
        <v>1042</v>
      </c>
      <c r="J415" s="5" t="s">
        <v>65</v>
      </c>
      <c r="K415" s="5" t="s">
        <v>66</v>
      </c>
      <c r="L415" s="2" t="s">
        <v>67</v>
      </c>
      <c r="M415" s="2" t="s">
        <v>2955</v>
      </c>
      <c r="N415" s="2" t="s">
        <v>2956</v>
      </c>
      <c r="O415" s="2" t="s">
        <v>2957</v>
      </c>
      <c r="P415" s="2"/>
      <c r="Q415" s="5" t="n">
        <v>1</v>
      </c>
      <c r="R415" s="2" t="s">
        <v>2958</v>
      </c>
      <c r="S415" s="2" t="s">
        <v>83</v>
      </c>
      <c r="T415" s="2" t="s">
        <v>2959</v>
      </c>
      <c r="U415" s="2" t="s">
        <v>74</v>
      </c>
      <c r="V415" s="5" t="n">
        <v>300</v>
      </c>
      <c r="W415" s="2"/>
      <c r="X415" s="2" t="s">
        <v>2960</v>
      </c>
      <c r="Y415" s="5"/>
      <c r="Z415" s="2" t="s">
        <v>2961</v>
      </c>
      <c r="AA415" s="6" t="s">
        <v>2962</v>
      </c>
    </row>
    <row r="416" customFormat="false" ht="46.25" hidden="false" customHeight="false" outlineLevel="0" collapsed="false">
      <c r="A416" s="5" t="s">
        <v>2963</v>
      </c>
      <c r="B416" s="2" t="s">
        <v>2964</v>
      </c>
      <c r="C416" s="5" t="s">
        <v>2128</v>
      </c>
      <c r="D416" s="5" t="s">
        <v>60</v>
      </c>
      <c r="E416" s="2" t="s">
        <v>1104</v>
      </c>
      <c r="F416" s="5" t="s">
        <v>62</v>
      </c>
      <c r="G416" s="5" t="n">
        <v>4</v>
      </c>
      <c r="H416" s="5" t="s">
        <v>817</v>
      </c>
      <c r="I416" s="5" t="s">
        <v>64</v>
      </c>
      <c r="J416" s="5" t="s">
        <v>65</v>
      </c>
      <c r="K416" s="5" t="s">
        <v>66</v>
      </c>
      <c r="L416" s="2" t="s">
        <v>100</v>
      </c>
      <c r="M416" s="2" t="s">
        <v>491</v>
      </c>
      <c r="N416" s="2" t="s">
        <v>2777</v>
      </c>
      <c r="O416" s="2" t="s">
        <v>2965</v>
      </c>
      <c r="P416" s="2"/>
      <c r="Q416" s="5" t="n">
        <v>1</v>
      </c>
      <c r="R416" s="2" t="s">
        <v>2966</v>
      </c>
      <c r="S416" s="2" t="s">
        <v>2967</v>
      </c>
      <c r="T416" s="2" t="s">
        <v>2968</v>
      </c>
      <c r="U416" s="2" t="s">
        <v>74</v>
      </c>
      <c r="V416" s="5" t="n">
        <v>300</v>
      </c>
      <c r="W416" s="2"/>
      <c r="X416" s="2" t="s">
        <v>2969</v>
      </c>
      <c r="Y416" s="5"/>
      <c r="Z416" s="2" t="s">
        <v>2970</v>
      </c>
      <c r="AA416" s="6" t="s">
        <v>2971</v>
      </c>
    </row>
    <row r="417" customFormat="false" ht="35.05" hidden="false" customHeight="false" outlineLevel="0" collapsed="false">
      <c r="A417" s="5" t="s">
        <v>2972</v>
      </c>
      <c r="B417" s="2" t="s">
        <v>2973</v>
      </c>
      <c r="C417" s="5" t="s">
        <v>2128</v>
      </c>
      <c r="D417" s="5" t="s">
        <v>60</v>
      </c>
      <c r="E417" s="2" t="s">
        <v>269</v>
      </c>
      <c r="F417" s="5" t="s">
        <v>490</v>
      </c>
      <c r="G417" s="5" t="n">
        <v>7</v>
      </c>
      <c r="H417" s="5" t="s">
        <v>89</v>
      </c>
      <c r="I417" s="5" t="s">
        <v>64</v>
      </c>
      <c r="J417" s="5" t="s">
        <v>65</v>
      </c>
      <c r="K417" s="5" t="s">
        <v>66</v>
      </c>
      <c r="L417" s="2" t="s">
        <v>1210</v>
      </c>
      <c r="M417" s="2" t="s">
        <v>2974</v>
      </c>
      <c r="N417" s="2" t="s">
        <v>184</v>
      </c>
      <c r="O417" s="2" t="s">
        <v>2975</v>
      </c>
      <c r="P417" s="2"/>
      <c r="Q417" s="5" t="n">
        <v>1</v>
      </c>
      <c r="R417" s="2" t="s">
        <v>2976</v>
      </c>
      <c r="S417" s="2" t="s">
        <v>2977</v>
      </c>
      <c r="T417" s="2" t="s">
        <v>2978</v>
      </c>
      <c r="U417" s="2" t="s">
        <v>74</v>
      </c>
      <c r="V417" s="5" t="n">
        <v>300</v>
      </c>
      <c r="W417" s="2"/>
      <c r="X417" s="2" t="s">
        <v>2979</v>
      </c>
      <c r="Y417" s="5"/>
      <c r="Z417" s="2" t="s">
        <v>2980</v>
      </c>
      <c r="AA417" s="6" t="s">
        <v>2981</v>
      </c>
    </row>
    <row r="418" customFormat="false" ht="46.25" hidden="false" customHeight="false" outlineLevel="0" collapsed="false">
      <c r="A418" s="5" t="s">
        <v>2982</v>
      </c>
      <c r="B418" s="2" t="s">
        <v>2983</v>
      </c>
      <c r="C418" s="5" t="s">
        <v>2128</v>
      </c>
      <c r="D418" s="5" t="s">
        <v>60</v>
      </c>
      <c r="E418" s="2" t="s">
        <v>2813</v>
      </c>
      <c r="F418" s="5" t="s">
        <v>62</v>
      </c>
      <c r="G418" s="5" t="n">
        <v>7</v>
      </c>
      <c r="H418" s="5" t="s">
        <v>89</v>
      </c>
      <c r="I418" s="5" t="s">
        <v>1042</v>
      </c>
      <c r="J418" s="5" t="s">
        <v>65</v>
      </c>
      <c r="K418" s="5" t="s">
        <v>66</v>
      </c>
      <c r="L418" s="2" t="s">
        <v>90</v>
      </c>
      <c r="M418" s="2" t="s">
        <v>116</v>
      </c>
      <c r="N418" s="2" t="s">
        <v>184</v>
      </c>
      <c r="O418" s="2" t="s">
        <v>2984</v>
      </c>
      <c r="P418" s="2"/>
      <c r="Q418" s="5" t="n">
        <v>1</v>
      </c>
      <c r="R418" s="2" t="s">
        <v>2515</v>
      </c>
      <c r="S418" s="2" t="s">
        <v>83</v>
      </c>
      <c r="T418" s="2" t="s">
        <v>2985</v>
      </c>
      <c r="U418" s="2" t="s">
        <v>74</v>
      </c>
      <c r="V418" s="5" t="n">
        <v>300</v>
      </c>
      <c r="W418" s="2"/>
      <c r="X418" s="2" t="s">
        <v>2986</v>
      </c>
      <c r="Y418" s="5"/>
      <c r="Z418" s="2" t="s">
        <v>2987</v>
      </c>
      <c r="AA418" s="6" t="s">
        <v>2988</v>
      </c>
    </row>
    <row r="419" customFormat="false" ht="46.25" hidden="false" customHeight="false" outlineLevel="0" collapsed="false">
      <c r="A419" s="5" t="s">
        <v>2989</v>
      </c>
      <c r="B419" s="2" t="s">
        <v>2990</v>
      </c>
      <c r="C419" s="5" t="s">
        <v>2128</v>
      </c>
      <c r="D419" s="5" t="s">
        <v>60</v>
      </c>
      <c r="E419" s="2" t="s">
        <v>2813</v>
      </c>
      <c r="F419" s="5" t="s">
        <v>62</v>
      </c>
      <c r="G419" s="5" t="n">
        <v>7</v>
      </c>
      <c r="H419" s="5" t="s">
        <v>89</v>
      </c>
      <c r="I419" s="5" t="s">
        <v>1042</v>
      </c>
      <c r="J419" s="5" t="s">
        <v>65</v>
      </c>
      <c r="K419" s="5" t="s">
        <v>66</v>
      </c>
      <c r="L419" s="2" t="s">
        <v>90</v>
      </c>
      <c r="M419" s="2" t="s">
        <v>163</v>
      </c>
      <c r="N419" s="2" t="s">
        <v>184</v>
      </c>
      <c r="O419" s="2" t="s">
        <v>2991</v>
      </c>
      <c r="P419" s="2"/>
      <c r="Q419" s="5" t="n">
        <v>1</v>
      </c>
      <c r="R419" s="2" t="s">
        <v>2515</v>
      </c>
      <c r="S419" s="2" t="s">
        <v>83</v>
      </c>
      <c r="T419" s="2" t="s">
        <v>2985</v>
      </c>
      <c r="U419" s="2" t="s">
        <v>74</v>
      </c>
      <c r="V419" s="5" t="n">
        <v>300</v>
      </c>
      <c r="W419" s="2"/>
      <c r="X419" s="2" t="s">
        <v>2992</v>
      </c>
      <c r="Y419" s="5"/>
      <c r="Z419" s="2" t="s">
        <v>2993</v>
      </c>
      <c r="AA419" s="6" t="s">
        <v>2994</v>
      </c>
    </row>
    <row r="420" customFormat="false" ht="46.25" hidden="false" customHeight="false" outlineLevel="0" collapsed="false">
      <c r="A420" s="5" t="s">
        <v>2995</v>
      </c>
      <c r="B420" s="2" t="s">
        <v>2996</v>
      </c>
      <c r="C420" s="5" t="s">
        <v>2128</v>
      </c>
      <c r="D420" s="5" t="s">
        <v>60</v>
      </c>
      <c r="E420" s="2" t="s">
        <v>2813</v>
      </c>
      <c r="F420" s="5" t="s">
        <v>62</v>
      </c>
      <c r="G420" s="5" t="n">
        <v>7</v>
      </c>
      <c r="H420" s="5" t="s">
        <v>89</v>
      </c>
      <c r="I420" s="5" t="s">
        <v>1042</v>
      </c>
      <c r="J420" s="5" t="s">
        <v>65</v>
      </c>
      <c r="K420" s="5" t="s">
        <v>66</v>
      </c>
      <c r="L420" s="2" t="s">
        <v>90</v>
      </c>
      <c r="M420" s="2" t="s">
        <v>116</v>
      </c>
      <c r="N420" s="2" t="s">
        <v>184</v>
      </c>
      <c r="O420" s="2" t="s">
        <v>2997</v>
      </c>
      <c r="P420" s="2"/>
      <c r="Q420" s="5" t="n">
        <v>1</v>
      </c>
      <c r="R420" s="2" t="s">
        <v>2515</v>
      </c>
      <c r="S420" s="2" t="s">
        <v>83</v>
      </c>
      <c r="T420" s="2" t="s">
        <v>2985</v>
      </c>
      <c r="U420" s="2" t="s">
        <v>74</v>
      </c>
      <c r="V420" s="5" t="n">
        <v>300</v>
      </c>
      <c r="W420" s="2"/>
      <c r="X420" s="2" t="s">
        <v>2998</v>
      </c>
      <c r="Y420" s="5"/>
      <c r="Z420" s="2" t="s">
        <v>2999</v>
      </c>
      <c r="AA420" s="6" t="s">
        <v>3000</v>
      </c>
    </row>
    <row r="421" customFormat="false" ht="23.85" hidden="false" customHeight="false" outlineLevel="0" collapsed="false">
      <c r="A421" s="5" t="s">
        <v>3001</v>
      </c>
      <c r="B421" s="2" t="s">
        <v>3002</v>
      </c>
      <c r="C421" s="5" t="s">
        <v>2128</v>
      </c>
      <c r="D421" s="5" t="s">
        <v>60</v>
      </c>
      <c r="E421" s="2" t="s">
        <v>269</v>
      </c>
      <c r="F421" s="5" t="s">
        <v>490</v>
      </c>
      <c r="G421" s="5" t="n">
        <v>9</v>
      </c>
      <c r="H421" s="5" t="s">
        <v>63</v>
      </c>
      <c r="I421" s="5" t="s">
        <v>64</v>
      </c>
      <c r="J421" s="5" t="s">
        <v>65</v>
      </c>
      <c r="K421" s="5" t="s">
        <v>66</v>
      </c>
      <c r="L421" s="2" t="s">
        <v>67</v>
      </c>
      <c r="M421" s="2" t="s">
        <v>3003</v>
      </c>
      <c r="N421" s="2" t="s">
        <v>184</v>
      </c>
      <c r="O421" s="2" t="s">
        <v>3004</v>
      </c>
      <c r="P421" s="2"/>
      <c r="Q421" s="5" t="n">
        <v>1</v>
      </c>
      <c r="R421" s="2" t="s">
        <v>3005</v>
      </c>
      <c r="S421" s="2" t="s">
        <v>83</v>
      </c>
      <c r="T421" s="2" t="s">
        <v>3006</v>
      </c>
      <c r="U421" s="2" t="s">
        <v>74</v>
      </c>
      <c r="V421" s="5" t="n">
        <v>600</v>
      </c>
      <c r="W421" s="2"/>
      <c r="X421" s="2" t="s">
        <v>3007</v>
      </c>
      <c r="Y421" s="5"/>
      <c r="Z421" s="2" t="s">
        <v>3008</v>
      </c>
      <c r="AA421" s="6" t="s">
        <v>3009</v>
      </c>
    </row>
    <row r="422" customFormat="false" ht="35.05" hidden="false" customHeight="false" outlineLevel="0" collapsed="false">
      <c r="A422" s="5" t="s">
        <v>3010</v>
      </c>
      <c r="B422" s="2" t="s">
        <v>3011</v>
      </c>
      <c r="C422" s="5" t="s">
        <v>2128</v>
      </c>
      <c r="D422" s="5" t="s">
        <v>60</v>
      </c>
      <c r="E422" s="2" t="s">
        <v>269</v>
      </c>
      <c r="F422" s="5" t="s">
        <v>62</v>
      </c>
      <c r="G422" s="5" t="n">
        <v>9</v>
      </c>
      <c r="H422" s="5" t="s">
        <v>63</v>
      </c>
      <c r="I422" s="5" t="s">
        <v>64</v>
      </c>
      <c r="J422" s="5" t="s">
        <v>65</v>
      </c>
      <c r="K422" s="5" t="s">
        <v>66</v>
      </c>
      <c r="L422" s="2" t="s">
        <v>67</v>
      </c>
      <c r="M422" s="2" t="s">
        <v>3003</v>
      </c>
      <c r="N422" s="2" t="s">
        <v>184</v>
      </c>
      <c r="O422" s="2" t="s">
        <v>3012</v>
      </c>
      <c r="P422" s="2"/>
      <c r="Q422" s="5" t="n">
        <v>2</v>
      </c>
      <c r="R422" s="2" t="s">
        <v>3013</v>
      </c>
      <c r="S422" s="2" t="s">
        <v>3014</v>
      </c>
      <c r="T422" s="2" t="s">
        <v>3015</v>
      </c>
      <c r="U422" s="2" t="s">
        <v>3016</v>
      </c>
      <c r="V422" s="5" t="n">
        <v>900</v>
      </c>
      <c r="W422" s="2" t="s">
        <v>3017</v>
      </c>
      <c r="X422" s="2" t="s">
        <v>3018</v>
      </c>
      <c r="Y422" s="5"/>
      <c r="Z422" s="2" t="s">
        <v>3019</v>
      </c>
      <c r="AA422" s="6" t="s">
        <v>3020</v>
      </c>
    </row>
    <row r="423" customFormat="false" ht="23.85" hidden="false" customHeight="false" outlineLevel="0" collapsed="false">
      <c r="A423" s="5" t="s">
        <v>3021</v>
      </c>
      <c r="B423" s="2" t="s">
        <v>3022</v>
      </c>
      <c r="C423" s="5" t="s">
        <v>2128</v>
      </c>
      <c r="D423" s="5" t="s">
        <v>60</v>
      </c>
      <c r="E423" s="2" t="s">
        <v>269</v>
      </c>
      <c r="F423" s="5" t="s">
        <v>62</v>
      </c>
      <c r="G423" s="5" t="n">
        <v>9</v>
      </c>
      <c r="H423" s="5" t="s">
        <v>63</v>
      </c>
      <c r="I423" s="5" t="s">
        <v>64</v>
      </c>
      <c r="J423" s="5" t="s">
        <v>65</v>
      </c>
      <c r="K423" s="5" t="s">
        <v>66</v>
      </c>
      <c r="L423" s="2" t="s">
        <v>67</v>
      </c>
      <c r="M423" s="2" t="s">
        <v>3023</v>
      </c>
      <c r="N423" s="2" t="s">
        <v>184</v>
      </c>
      <c r="O423" s="2" t="s">
        <v>3024</v>
      </c>
      <c r="P423" s="2"/>
      <c r="Q423" s="5" t="n">
        <v>1</v>
      </c>
      <c r="R423" s="2" t="s">
        <v>3025</v>
      </c>
      <c r="S423" s="2" t="s">
        <v>83</v>
      </c>
      <c r="T423" s="2" t="s">
        <v>3006</v>
      </c>
      <c r="U423" s="2" t="s">
        <v>74</v>
      </c>
      <c r="V423" s="5" t="n">
        <v>600</v>
      </c>
      <c r="W423" s="2"/>
      <c r="X423" s="2" t="s">
        <v>3026</v>
      </c>
      <c r="Y423" s="5"/>
      <c r="Z423" s="2" t="s">
        <v>3027</v>
      </c>
      <c r="AA423" s="6" t="s">
        <v>3028</v>
      </c>
    </row>
    <row r="424" customFormat="false" ht="23.85" hidden="false" customHeight="false" outlineLevel="0" collapsed="false">
      <c r="A424" s="5" t="s">
        <v>3029</v>
      </c>
      <c r="B424" s="2" t="s">
        <v>3030</v>
      </c>
      <c r="C424" s="5" t="s">
        <v>2128</v>
      </c>
      <c r="D424" s="5" t="s">
        <v>60</v>
      </c>
      <c r="E424" s="2" t="s">
        <v>269</v>
      </c>
      <c r="F424" s="5" t="s">
        <v>62</v>
      </c>
      <c r="G424" s="5" t="n">
        <v>9</v>
      </c>
      <c r="H424" s="5" t="s">
        <v>63</v>
      </c>
      <c r="I424" s="5" t="s">
        <v>64</v>
      </c>
      <c r="J424" s="5" t="s">
        <v>65</v>
      </c>
      <c r="K424" s="5" t="s">
        <v>66</v>
      </c>
      <c r="L424" s="2" t="s">
        <v>67</v>
      </c>
      <c r="M424" s="2" t="s">
        <v>3023</v>
      </c>
      <c r="N424" s="2" t="s">
        <v>184</v>
      </c>
      <c r="O424" s="2" t="s">
        <v>3031</v>
      </c>
      <c r="P424" s="2"/>
      <c r="Q424" s="5" t="n">
        <v>1</v>
      </c>
      <c r="R424" s="2" t="s">
        <v>3005</v>
      </c>
      <c r="S424" s="2" t="s">
        <v>83</v>
      </c>
      <c r="T424" s="2" t="s">
        <v>3032</v>
      </c>
      <c r="U424" s="2" t="s">
        <v>74</v>
      </c>
      <c r="V424" s="5" t="n">
        <v>600</v>
      </c>
      <c r="W424" s="2"/>
      <c r="X424" s="2" t="s">
        <v>3033</v>
      </c>
      <c r="Y424" s="5"/>
      <c r="Z424" s="2" t="s">
        <v>3034</v>
      </c>
      <c r="AA424" s="6" t="s">
        <v>3035</v>
      </c>
    </row>
    <row r="425" customFormat="false" ht="35.05" hidden="false" customHeight="false" outlineLevel="0" collapsed="false">
      <c r="A425" s="5" t="s">
        <v>3036</v>
      </c>
      <c r="B425" s="2" t="s">
        <v>3037</v>
      </c>
      <c r="C425" s="5" t="s">
        <v>2128</v>
      </c>
      <c r="D425" s="5" t="s">
        <v>60</v>
      </c>
      <c r="E425" s="2" t="s">
        <v>269</v>
      </c>
      <c r="F425" s="5" t="s">
        <v>490</v>
      </c>
      <c r="G425" s="5" t="n">
        <v>5</v>
      </c>
      <c r="H425" s="5" t="s">
        <v>89</v>
      </c>
      <c r="I425" s="5" t="s">
        <v>64</v>
      </c>
      <c r="J425" s="5" t="s">
        <v>65</v>
      </c>
      <c r="K425" s="5" t="s">
        <v>66</v>
      </c>
      <c r="L425" s="2" t="s">
        <v>1210</v>
      </c>
      <c r="M425" s="2" t="s">
        <v>2974</v>
      </c>
      <c r="N425" s="2" t="s">
        <v>184</v>
      </c>
      <c r="O425" s="2" t="s">
        <v>2975</v>
      </c>
      <c r="P425" s="2"/>
      <c r="Q425" s="5" t="n">
        <v>1</v>
      </c>
      <c r="R425" s="2" t="s">
        <v>3038</v>
      </c>
      <c r="S425" s="2" t="s">
        <v>3039</v>
      </c>
      <c r="T425" s="2" t="s">
        <v>2978</v>
      </c>
      <c r="U425" s="2" t="s">
        <v>74</v>
      </c>
      <c r="V425" s="5" t="n">
        <v>300</v>
      </c>
      <c r="W425" s="2"/>
      <c r="X425" s="2" t="s">
        <v>2979</v>
      </c>
      <c r="Y425" s="5"/>
      <c r="Z425" s="2" t="s">
        <v>3040</v>
      </c>
      <c r="AA425" s="6" t="s">
        <v>3041</v>
      </c>
    </row>
    <row r="426" customFormat="false" ht="35.05" hidden="false" customHeight="false" outlineLevel="0" collapsed="false">
      <c r="A426" s="5" t="s">
        <v>3042</v>
      </c>
      <c r="B426" s="2" t="s">
        <v>3043</v>
      </c>
      <c r="C426" s="5" t="s">
        <v>2128</v>
      </c>
      <c r="D426" s="5" t="s">
        <v>60</v>
      </c>
      <c r="E426" s="2" t="s">
        <v>182</v>
      </c>
      <c r="F426" s="5" t="s">
        <v>62</v>
      </c>
      <c r="G426" s="5" t="n">
        <v>7</v>
      </c>
      <c r="H426" s="5" t="s">
        <v>89</v>
      </c>
      <c r="I426" s="5" t="s">
        <v>1042</v>
      </c>
      <c r="J426" s="5" t="s">
        <v>65</v>
      </c>
      <c r="K426" s="5" t="s">
        <v>66</v>
      </c>
      <c r="L426" s="2" t="s">
        <v>90</v>
      </c>
      <c r="M426" s="2" t="s">
        <v>116</v>
      </c>
      <c r="N426" s="2" t="s">
        <v>184</v>
      </c>
      <c r="O426" s="2" t="s">
        <v>391</v>
      </c>
      <c r="P426" s="2"/>
      <c r="Q426" s="5" t="n">
        <v>1</v>
      </c>
      <c r="R426" s="2" t="s">
        <v>2515</v>
      </c>
      <c r="S426" s="2" t="s">
        <v>83</v>
      </c>
      <c r="T426" s="2" t="s">
        <v>2920</v>
      </c>
      <c r="U426" s="2" t="s">
        <v>74</v>
      </c>
      <c r="V426" s="5" t="n">
        <v>300</v>
      </c>
      <c r="W426" s="2"/>
      <c r="X426" s="2" t="s">
        <v>392</v>
      </c>
      <c r="Y426" s="5" t="s">
        <v>192</v>
      </c>
      <c r="Z426" s="2" t="s">
        <v>3044</v>
      </c>
      <c r="AA426" s="6" t="s">
        <v>3045</v>
      </c>
    </row>
    <row r="427" customFormat="false" ht="35.05" hidden="false" customHeight="false" outlineLevel="0" collapsed="false">
      <c r="A427" s="5" t="s">
        <v>3046</v>
      </c>
      <c r="B427" s="2" t="s">
        <v>3047</v>
      </c>
      <c r="C427" s="5" t="s">
        <v>2128</v>
      </c>
      <c r="D427" s="5" t="s">
        <v>60</v>
      </c>
      <c r="E427" s="2" t="s">
        <v>182</v>
      </c>
      <c r="F427" s="5" t="s">
        <v>62</v>
      </c>
      <c r="G427" s="5" t="n">
        <v>7</v>
      </c>
      <c r="H427" s="5" t="s">
        <v>89</v>
      </c>
      <c r="I427" s="5" t="s">
        <v>1042</v>
      </c>
      <c r="J427" s="5" t="s">
        <v>65</v>
      </c>
      <c r="K427" s="5" t="s">
        <v>66</v>
      </c>
      <c r="L427" s="2" t="s">
        <v>90</v>
      </c>
      <c r="M427" s="2" t="s">
        <v>116</v>
      </c>
      <c r="N427" s="2" t="s">
        <v>184</v>
      </c>
      <c r="O427" s="2" t="s">
        <v>3048</v>
      </c>
      <c r="P427" s="2"/>
      <c r="Q427" s="5" t="n">
        <v>1</v>
      </c>
      <c r="R427" s="2" t="s">
        <v>2515</v>
      </c>
      <c r="S427" s="2" t="s">
        <v>83</v>
      </c>
      <c r="T427" s="2" t="s">
        <v>2920</v>
      </c>
      <c r="U427" s="2" t="s">
        <v>74</v>
      </c>
      <c r="V427" s="5" t="n">
        <v>300</v>
      </c>
      <c r="W427" s="2"/>
      <c r="X427" s="2" t="s">
        <v>3049</v>
      </c>
      <c r="Y427" s="5" t="s">
        <v>192</v>
      </c>
      <c r="Z427" s="2" t="s">
        <v>3050</v>
      </c>
      <c r="AA427" s="6" t="s">
        <v>3051</v>
      </c>
    </row>
    <row r="428" customFormat="false" ht="35.05" hidden="false" customHeight="false" outlineLevel="0" collapsed="false">
      <c r="A428" s="5" t="s">
        <v>3052</v>
      </c>
      <c r="B428" s="2" t="s">
        <v>3053</v>
      </c>
      <c r="C428" s="5" t="s">
        <v>2128</v>
      </c>
      <c r="D428" s="5" t="s">
        <v>60</v>
      </c>
      <c r="E428" s="2" t="s">
        <v>182</v>
      </c>
      <c r="F428" s="5" t="s">
        <v>62</v>
      </c>
      <c r="G428" s="5" t="n">
        <v>7</v>
      </c>
      <c r="H428" s="5" t="s">
        <v>89</v>
      </c>
      <c r="I428" s="5" t="s">
        <v>1042</v>
      </c>
      <c r="J428" s="5" t="s">
        <v>65</v>
      </c>
      <c r="K428" s="5" t="s">
        <v>66</v>
      </c>
      <c r="L428" s="2" t="s">
        <v>90</v>
      </c>
      <c r="M428" s="2" t="s">
        <v>116</v>
      </c>
      <c r="N428" s="2" t="s">
        <v>184</v>
      </c>
      <c r="O428" s="2" t="s">
        <v>3054</v>
      </c>
      <c r="P428" s="2"/>
      <c r="Q428" s="5" t="n">
        <v>1</v>
      </c>
      <c r="R428" s="2" t="s">
        <v>2515</v>
      </c>
      <c r="S428" s="2" t="s">
        <v>83</v>
      </c>
      <c r="T428" s="2" t="s">
        <v>2920</v>
      </c>
      <c r="U428" s="2" t="s">
        <v>74</v>
      </c>
      <c r="V428" s="5" t="n">
        <v>300</v>
      </c>
      <c r="W428" s="2"/>
      <c r="X428" s="2" t="s">
        <v>3055</v>
      </c>
      <c r="Y428" s="5"/>
      <c r="Z428" s="2" t="s">
        <v>3056</v>
      </c>
      <c r="AA428" s="6" t="s">
        <v>3057</v>
      </c>
    </row>
    <row r="429" customFormat="false" ht="35.05" hidden="false" customHeight="false" outlineLevel="0" collapsed="false">
      <c r="A429" s="5" t="s">
        <v>3058</v>
      </c>
      <c r="B429" s="2" t="s">
        <v>3059</v>
      </c>
      <c r="C429" s="5" t="s">
        <v>2128</v>
      </c>
      <c r="D429" s="5" t="s">
        <v>60</v>
      </c>
      <c r="E429" s="2" t="s">
        <v>182</v>
      </c>
      <c r="F429" s="5" t="s">
        <v>62</v>
      </c>
      <c r="G429" s="5" t="n">
        <v>7</v>
      </c>
      <c r="H429" s="5" t="s">
        <v>89</v>
      </c>
      <c r="I429" s="5" t="s">
        <v>1042</v>
      </c>
      <c r="J429" s="5" t="s">
        <v>65</v>
      </c>
      <c r="K429" s="5" t="s">
        <v>66</v>
      </c>
      <c r="L429" s="2" t="s">
        <v>90</v>
      </c>
      <c r="M429" s="2" t="s">
        <v>116</v>
      </c>
      <c r="N429" s="2" t="s">
        <v>184</v>
      </c>
      <c r="O429" s="2" t="s">
        <v>3060</v>
      </c>
      <c r="P429" s="2"/>
      <c r="Q429" s="5" t="n">
        <v>1</v>
      </c>
      <c r="R429" s="2" t="s">
        <v>2515</v>
      </c>
      <c r="S429" s="2" t="s">
        <v>83</v>
      </c>
      <c r="T429" s="2" t="s">
        <v>2920</v>
      </c>
      <c r="U429" s="2" t="s">
        <v>74</v>
      </c>
      <c r="V429" s="5" t="n">
        <v>300</v>
      </c>
      <c r="W429" s="2"/>
      <c r="X429" s="2" t="s">
        <v>3061</v>
      </c>
      <c r="Y429" s="5" t="s">
        <v>192</v>
      </c>
      <c r="Z429" s="2" t="s">
        <v>3062</v>
      </c>
      <c r="AA429" s="6" t="s">
        <v>3063</v>
      </c>
    </row>
    <row r="430" customFormat="false" ht="57.45" hidden="false" customHeight="false" outlineLevel="0" collapsed="false">
      <c r="A430" s="5" t="s">
        <v>3064</v>
      </c>
      <c r="B430" s="2" t="s">
        <v>3065</v>
      </c>
      <c r="C430" s="5" t="s">
        <v>2128</v>
      </c>
      <c r="D430" s="5" t="s">
        <v>60</v>
      </c>
      <c r="E430" s="2" t="s">
        <v>2813</v>
      </c>
      <c r="F430" s="5" t="s">
        <v>62</v>
      </c>
      <c r="G430" s="5" t="n">
        <v>7</v>
      </c>
      <c r="H430" s="5" t="s">
        <v>89</v>
      </c>
      <c r="I430" s="5" t="s">
        <v>1042</v>
      </c>
      <c r="J430" s="5" t="s">
        <v>65</v>
      </c>
      <c r="K430" s="5" t="s">
        <v>66</v>
      </c>
      <c r="L430" s="2" t="s">
        <v>90</v>
      </c>
      <c r="M430" s="2" t="s">
        <v>116</v>
      </c>
      <c r="N430" s="2" t="s">
        <v>184</v>
      </c>
      <c r="O430" s="2" t="s">
        <v>3066</v>
      </c>
      <c r="P430" s="2"/>
      <c r="Q430" s="5" t="n">
        <v>1</v>
      </c>
      <c r="R430" s="2" t="s">
        <v>2515</v>
      </c>
      <c r="S430" s="2" t="s">
        <v>83</v>
      </c>
      <c r="T430" s="2" t="s">
        <v>3067</v>
      </c>
      <c r="U430" s="2" t="s">
        <v>74</v>
      </c>
      <c r="V430" s="5" t="n">
        <v>300</v>
      </c>
      <c r="W430" s="2"/>
      <c r="X430" s="2" t="s">
        <v>3068</v>
      </c>
      <c r="Y430" s="5"/>
      <c r="Z430" s="2" t="s">
        <v>3069</v>
      </c>
      <c r="AA430" s="6" t="s">
        <v>3070</v>
      </c>
    </row>
    <row r="431" customFormat="false" ht="35.05" hidden="false" customHeight="false" outlineLevel="0" collapsed="false">
      <c r="A431" s="5" t="s">
        <v>3071</v>
      </c>
      <c r="B431" s="2" t="s">
        <v>3072</v>
      </c>
      <c r="C431" s="5" t="s">
        <v>2128</v>
      </c>
      <c r="D431" s="5" t="s">
        <v>60</v>
      </c>
      <c r="E431" s="2" t="s">
        <v>182</v>
      </c>
      <c r="F431" s="5" t="s">
        <v>62</v>
      </c>
      <c r="G431" s="5" t="n">
        <v>7</v>
      </c>
      <c r="H431" s="5" t="s">
        <v>89</v>
      </c>
      <c r="I431" s="5" t="s">
        <v>1042</v>
      </c>
      <c r="J431" s="5" t="s">
        <v>65</v>
      </c>
      <c r="K431" s="5" t="s">
        <v>66</v>
      </c>
      <c r="L431" s="2" t="s">
        <v>90</v>
      </c>
      <c r="M431" s="2" t="s">
        <v>163</v>
      </c>
      <c r="N431" s="2" t="s">
        <v>184</v>
      </c>
      <c r="O431" s="2" t="s">
        <v>385</v>
      </c>
      <c r="P431" s="2"/>
      <c r="Q431" s="5" t="n">
        <v>1</v>
      </c>
      <c r="R431" s="2" t="s">
        <v>2515</v>
      </c>
      <c r="S431" s="2" t="s">
        <v>83</v>
      </c>
      <c r="T431" s="2" t="s">
        <v>2920</v>
      </c>
      <c r="U431" s="2" t="s">
        <v>74</v>
      </c>
      <c r="V431" s="5" t="n">
        <v>300</v>
      </c>
      <c r="W431" s="2"/>
      <c r="X431" s="2" t="s">
        <v>386</v>
      </c>
      <c r="Y431" s="5" t="s">
        <v>192</v>
      </c>
      <c r="Z431" s="2" t="s">
        <v>3073</v>
      </c>
      <c r="AA431" s="6" t="s">
        <v>3074</v>
      </c>
    </row>
    <row r="432" customFormat="false" ht="35.05" hidden="false" customHeight="false" outlineLevel="0" collapsed="false">
      <c r="A432" s="5" t="s">
        <v>3075</v>
      </c>
      <c r="B432" s="2" t="s">
        <v>3076</v>
      </c>
      <c r="C432" s="5" t="s">
        <v>2128</v>
      </c>
      <c r="D432" s="5" t="s">
        <v>60</v>
      </c>
      <c r="E432" s="2" t="s">
        <v>182</v>
      </c>
      <c r="F432" s="5" t="s">
        <v>62</v>
      </c>
      <c r="G432" s="5" t="n">
        <v>7</v>
      </c>
      <c r="H432" s="5" t="s">
        <v>89</v>
      </c>
      <c r="I432" s="5" t="s">
        <v>1042</v>
      </c>
      <c r="J432" s="5" t="s">
        <v>65</v>
      </c>
      <c r="K432" s="5" t="s">
        <v>66</v>
      </c>
      <c r="L432" s="2" t="s">
        <v>90</v>
      </c>
      <c r="M432" s="2" t="s">
        <v>116</v>
      </c>
      <c r="N432" s="2" t="s">
        <v>184</v>
      </c>
      <c r="O432" s="2" t="s">
        <v>3077</v>
      </c>
      <c r="P432" s="2"/>
      <c r="Q432" s="5" t="n">
        <v>1</v>
      </c>
      <c r="R432" s="2" t="s">
        <v>2515</v>
      </c>
      <c r="S432" s="2" t="s">
        <v>83</v>
      </c>
      <c r="T432" s="2" t="s">
        <v>2920</v>
      </c>
      <c r="U432" s="2" t="s">
        <v>74</v>
      </c>
      <c r="V432" s="5" t="n">
        <v>300</v>
      </c>
      <c r="W432" s="2"/>
      <c r="X432" s="2" t="s">
        <v>3078</v>
      </c>
      <c r="Y432" s="5"/>
      <c r="Z432" s="2" t="s">
        <v>3079</v>
      </c>
      <c r="AA432" s="6" t="s">
        <v>3080</v>
      </c>
    </row>
    <row r="433" customFormat="false" ht="46.25" hidden="false" customHeight="false" outlineLevel="0" collapsed="false">
      <c r="A433" s="5" t="s">
        <v>3081</v>
      </c>
      <c r="B433" s="2" t="s">
        <v>3082</v>
      </c>
      <c r="C433" s="5" t="s">
        <v>2128</v>
      </c>
      <c r="D433" s="5" t="s">
        <v>60</v>
      </c>
      <c r="E433" s="2" t="s">
        <v>2885</v>
      </c>
      <c r="F433" s="5" t="s">
        <v>490</v>
      </c>
      <c r="G433" s="5" t="n">
        <v>6</v>
      </c>
      <c r="H433" s="5" t="s">
        <v>89</v>
      </c>
      <c r="I433" s="5" t="s">
        <v>1042</v>
      </c>
      <c r="J433" s="5" t="s">
        <v>65</v>
      </c>
      <c r="K433" s="5" t="s">
        <v>66</v>
      </c>
      <c r="L433" s="2" t="s">
        <v>90</v>
      </c>
      <c r="M433" s="2" t="s">
        <v>91</v>
      </c>
      <c r="N433" s="2" t="s">
        <v>184</v>
      </c>
      <c r="O433" s="2" t="s">
        <v>3083</v>
      </c>
      <c r="P433" s="2"/>
      <c r="Q433" s="5" t="n">
        <v>1</v>
      </c>
      <c r="R433" s="2" t="s">
        <v>2866</v>
      </c>
      <c r="S433" s="2" t="s">
        <v>3084</v>
      </c>
      <c r="T433" s="2" t="s">
        <v>3085</v>
      </c>
      <c r="U433" s="2" t="s">
        <v>74</v>
      </c>
      <c r="V433" s="5" t="n">
        <v>300</v>
      </c>
      <c r="W433" s="2"/>
      <c r="X433" s="2" t="s">
        <v>3086</v>
      </c>
      <c r="Y433" s="5"/>
      <c r="Z433" s="2" t="s">
        <v>3087</v>
      </c>
      <c r="AA433" s="6" t="s">
        <v>3088</v>
      </c>
    </row>
    <row r="434" customFormat="false" ht="35.05" hidden="false" customHeight="false" outlineLevel="0" collapsed="false">
      <c r="A434" s="5" t="s">
        <v>3089</v>
      </c>
      <c r="B434" s="2" t="s">
        <v>3090</v>
      </c>
      <c r="C434" s="5" t="s">
        <v>2128</v>
      </c>
      <c r="D434" s="5" t="s">
        <v>60</v>
      </c>
      <c r="E434" s="2" t="s">
        <v>182</v>
      </c>
      <c r="F434" s="5" t="s">
        <v>62</v>
      </c>
      <c r="G434" s="5" t="n">
        <v>7</v>
      </c>
      <c r="H434" s="5" t="s">
        <v>89</v>
      </c>
      <c r="I434" s="5" t="s">
        <v>1042</v>
      </c>
      <c r="J434" s="5" t="s">
        <v>65</v>
      </c>
      <c r="K434" s="5" t="s">
        <v>66</v>
      </c>
      <c r="L434" s="2" t="s">
        <v>90</v>
      </c>
      <c r="M434" s="2" t="s">
        <v>116</v>
      </c>
      <c r="N434" s="2" t="s">
        <v>184</v>
      </c>
      <c r="O434" s="2" t="s">
        <v>3091</v>
      </c>
      <c r="P434" s="2"/>
      <c r="Q434" s="5" t="n">
        <v>1</v>
      </c>
      <c r="R434" s="2" t="s">
        <v>2515</v>
      </c>
      <c r="S434" s="2" t="s">
        <v>83</v>
      </c>
      <c r="T434" s="2" t="s">
        <v>2920</v>
      </c>
      <c r="U434" s="2" t="s">
        <v>74</v>
      </c>
      <c r="V434" s="5" t="n">
        <v>300</v>
      </c>
      <c r="W434" s="2"/>
      <c r="X434" s="2" t="s">
        <v>3092</v>
      </c>
      <c r="Y434" s="5" t="s">
        <v>192</v>
      </c>
      <c r="Z434" s="2" t="s">
        <v>3093</v>
      </c>
      <c r="AA434" s="6" t="s">
        <v>3094</v>
      </c>
    </row>
    <row r="435" customFormat="false" ht="57.45" hidden="false" customHeight="false" outlineLevel="0" collapsed="false">
      <c r="A435" s="5" t="s">
        <v>3095</v>
      </c>
      <c r="B435" s="2" t="s">
        <v>3096</v>
      </c>
      <c r="C435" s="5" t="s">
        <v>2128</v>
      </c>
      <c r="D435" s="5" t="s">
        <v>60</v>
      </c>
      <c r="E435" s="2" t="s">
        <v>2813</v>
      </c>
      <c r="F435" s="5" t="s">
        <v>62</v>
      </c>
      <c r="G435" s="5" t="n">
        <v>7</v>
      </c>
      <c r="H435" s="5" t="s">
        <v>89</v>
      </c>
      <c r="I435" s="5" t="s">
        <v>1042</v>
      </c>
      <c r="J435" s="5" t="s">
        <v>65</v>
      </c>
      <c r="K435" s="5" t="s">
        <v>66</v>
      </c>
      <c r="L435" s="2" t="s">
        <v>90</v>
      </c>
      <c r="M435" s="2" t="s">
        <v>116</v>
      </c>
      <c r="N435" s="2" t="s">
        <v>184</v>
      </c>
      <c r="O435" s="2" t="s">
        <v>3097</v>
      </c>
      <c r="P435" s="2"/>
      <c r="Q435" s="5" t="n">
        <v>1</v>
      </c>
      <c r="R435" s="2" t="s">
        <v>2515</v>
      </c>
      <c r="S435" s="2" t="s">
        <v>83</v>
      </c>
      <c r="T435" s="2" t="s">
        <v>3067</v>
      </c>
      <c r="U435" s="2" t="s">
        <v>74</v>
      </c>
      <c r="V435" s="5" t="n">
        <v>300</v>
      </c>
      <c r="W435" s="2"/>
      <c r="X435" s="2" t="s">
        <v>3098</v>
      </c>
      <c r="Y435" s="5"/>
      <c r="Z435" s="2" t="s">
        <v>3099</v>
      </c>
      <c r="AA435" s="6" t="s">
        <v>3100</v>
      </c>
    </row>
    <row r="436" customFormat="false" ht="57.45" hidden="false" customHeight="false" outlineLevel="0" collapsed="false">
      <c r="A436" s="5" t="s">
        <v>3101</v>
      </c>
      <c r="B436" s="2" t="s">
        <v>3102</v>
      </c>
      <c r="C436" s="5" t="s">
        <v>2128</v>
      </c>
      <c r="D436" s="5" t="s">
        <v>60</v>
      </c>
      <c r="E436" s="2" t="s">
        <v>182</v>
      </c>
      <c r="F436" s="5" t="s">
        <v>62</v>
      </c>
      <c r="G436" s="5" t="n">
        <v>3</v>
      </c>
      <c r="H436" s="5" t="s">
        <v>817</v>
      </c>
      <c r="I436" s="5" t="s">
        <v>64</v>
      </c>
      <c r="J436" s="5" t="s">
        <v>65</v>
      </c>
      <c r="K436" s="5" t="s">
        <v>66</v>
      </c>
      <c r="L436" s="2" t="s">
        <v>90</v>
      </c>
      <c r="M436" s="2"/>
      <c r="N436" s="2" t="s">
        <v>184</v>
      </c>
      <c r="O436" s="2" t="s">
        <v>3103</v>
      </c>
      <c r="P436" s="2"/>
      <c r="Q436" s="5" t="n">
        <v>1</v>
      </c>
      <c r="R436" s="2" t="s">
        <v>71</v>
      </c>
      <c r="S436" s="2" t="s">
        <v>83</v>
      </c>
      <c r="T436" s="2" t="s">
        <v>1098</v>
      </c>
      <c r="U436" s="2" t="s">
        <v>74</v>
      </c>
      <c r="V436" s="5" t="n">
        <v>300</v>
      </c>
      <c r="W436" s="2"/>
      <c r="X436" s="2" t="s">
        <v>3104</v>
      </c>
      <c r="Y436" s="5" t="s">
        <v>192</v>
      </c>
      <c r="Z436" s="2" t="s">
        <v>3105</v>
      </c>
      <c r="AA436" s="6" t="s">
        <v>3106</v>
      </c>
    </row>
    <row r="437" customFormat="false" ht="68.65" hidden="false" customHeight="false" outlineLevel="0" collapsed="false">
      <c r="A437" s="5" t="s">
        <v>3107</v>
      </c>
      <c r="B437" s="2" t="s">
        <v>3108</v>
      </c>
      <c r="C437" s="5" t="s">
        <v>2128</v>
      </c>
      <c r="D437" s="5" t="s">
        <v>60</v>
      </c>
      <c r="E437" s="2" t="s">
        <v>269</v>
      </c>
      <c r="F437" s="5" t="s">
        <v>62</v>
      </c>
      <c r="G437" s="5" t="n">
        <v>5</v>
      </c>
      <c r="H437" s="5" t="s">
        <v>89</v>
      </c>
      <c r="I437" s="5" t="s">
        <v>64</v>
      </c>
      <c r="J437" s="5" t="s">
        <v>65</v>
      </c>
      <c r="K437" s="5" t="s">
        <v>66</v>
      </c>
      <c r="L437" s="2" t="s">
        <v>90</v>
      </c>
      <c r="M437" s="2"/>
      <c r="N437" s="2" t="s">
        <v>184</v>
      </c>
      <c r="O437" s="2" t="s">
        <v>3109</v>
      </c>
      <c r="P437" s="2"/>
      <c r="Q437" s="5" t="n">
        <v>1</v>
      </c>
      <c r="R437" s="2" t="s">
        <v>71</v>
      </c>
      <c r="S437" s="2" t="s">
        <v>3110</v>
      </c>
      <c r="T437" s="2" t="s">
        <v>3111</v>
      </c>
      <c r="U437" s="2" t="s">
        <v>74</v>
      </c>
      <c r="V437" s="5" t="n">
        <v>300</v>
      </c>
      <c r="W437" s="2"/>
      <c r="X437" s="2" t="s">
        <v>3112</v>
      </c>
      <c r="Y437" s="5"/>
      <c r="Z437" s="2" t="s">
        <v>3113</v>
      </c>
      <c r="AA437" s="6" t="s">
        <v>3114</v>
      </c>
    </row>
    <row r="438" customFormat="false" ht="57.45" hidden="false" customHeight="false" outlineLevel="0" collapsed="false">
      <c r="A438" s="5" t="s">
        <v>3115</v>
      </c>
      <c r="B438" s="2" t="s">
        <v>3116</v>
      </c>
      <c r="C438" s="5" t="s">
        <v>2128</v>
      </c>
      <c r="D438" s="5" t="s">
        <v>60</v>
      </c>
      <c r="E438" s="2" t="s">
        <v>182</v>
      </c>
      <c r="F438" s="5" t="s">
        <v>62</v>
      </c>
      <c r="G438" s="5" t="n">
        <v>3</v>
      </c>
      <c r="H438" s="5" t="s">
        <v>817</v>
      </c>
      <c r="I438" s="5" t="s">
        <v>64</v>
      </c>
      <c r="J438" s="5" t="s">
        <v>65</v>
      </c>
      <c r="K438" s="5" t="s">
        <v>66</v>
      </c>
      <c r="L438" s="2" t="s">
        <v>90</v>
      </c>
      <c r="M438" s="2"/>
      <c r="N438" s="2" t="s">
        <v>184</v>
      </c>
      <c r="O438" s="2" t="s">
        <v>3117</v>
      </c>
      <c r="P438" s="2"/>
      <c r="Q438" s="5" t="n">
        <v>1</v>
      </c>
      <c r="R438" s="2" t="s">
        <v>71</v>
      </c>
      <c r="S438" s="2" t="s">
        <v>83</v>
      </c>
      <c r="T438" s="2" t="s">
        <v>1098</v>
      </c>
      <c r="U438" s="2" t="s">
        <v>74</v>
      </c>
      <c r="V438" s="5" t="n">
        <v>300</v>
      </c>
      <c r="W438" s="2"/>
      <c r="X438" s="2" t="s">
        <v>3118</v>
      </c>
      <c r="Y438" s="5"/>
      <c r="Z438" s="2" t="s">
        <v>3119</v>
      </c>
      <c r="AA438" s="6" t="s">
        <v>3120</v>
      </c>
    </row>
    <row r="439" customFormat="false" ht="113.4" hidden="false" customHeight="false" outlineLevel="0" collapsed="false">
      <c r="A439" s="5" t="s">
        <v>3121</v>
      </c>
      <c r="B439" s="2" t="s">
        <v>3122</v>
      </c>
      <c r="C439" s="5" t="s">
        <v>2128</v>
      </c>
      <c r="D439" s="5" t="s">
        <v>60</v>
      </c>
      <c r="E439" s="2" t="s">
        <v>3123</v>
      </c>
      <c r="F439" s="5" t="s">
        <v>62</v>
      </c>
      <c r="G439" s="5" t="n">
        <v>7</v>
      </c>
      <c r="H439" s="5" t="s">
        <v>89</v>
      </c>
      <c r="I439" s="5" t="s">
        <v>64</v>
      </c>
      <c r="J439" s="5" t="s">
        <v>65</v>
      </c>
      <c r="K439" s="5" t="s">
        <v>66</v>
      </c>
      <c r="L439" s="2" t="s">
        <v>90</v>
      </c>
      <c r="M439" s="2"/>
      <c r="N439" s="2" t="s">
        <v>367</v>
      </c>
      <c r="O439" s="2" t="s">
        <v>1105</v>
      </c>
      <c r="P439" s="2"/>
      <c r="Q439" s="5" t="n">
        <v>1</v>
      </c>
      <c r="R439" s="2" t="s">
        <v>71</v>
      </c>
      <c r="S439" s="2" t="s">
        <v>3124</v>
      </c>
      <c r="T439" s="2" t="s">
        <v>1176</v>
      </c>
      <c r="U439" s="2" t="s">
        <v>74</v>
      </c>
      <c r="V439" s="5" t="n">
        <v>300</v>
      </c>
      <c r="W439" s="2"/>
      <c r="X439" s="2" t="s">
        <v>1108</v>
      </c>
      <c r="Y439" s="5" t="s">
        <v>309</v>
      </c>
      <c r="Z439" s="2" t="s">
        <v>3125</v>
      </c>
      <c r="AA439" s="6" t="s">
        <v>3126</v>
      </c>
    </row>
    <row r="440" customFormat="false" ht="91" hidden="false" customHeight="false" outlineLevel="0" collapsed="false">
      <c r="A440" s="5" t="s">
        <v>3127</v>
      </c>
      <c r="B440" s="2" t="s">
        <v>3128</v>
      </c>
      <c r="C440" s="5" t="s">
        <v>2245</v>
      </c>
      <c r="D440" s="5" t="s">
        <v>60</v>
      </c>
      <c r="E440" s="2" t="s">
        <v>3123</v>
      </c>
      <c r="F440" s="5" t="s">
        <v>62</v>
      </c>
      <c r="G440" s="5" t="n">
        <v>7</v>
      </c>
      <c r="H440" s="5" t="s">
        <v>89</v>
      </c>
      <c r="I440" s="5" t="s">
        <v>64</v>
      </c>
      <c r="J440" s="5" t="s">
        <v>65</v>
      </c>
      <c r="K440" s="5" t="s">
        <v>66</v>
      </c>
      <c r="L440" s="2" t="s">
        <v>90</v>
      </c>
      <c r="M440" s="2"/>
      <c r="N440" s="2" t="s">
        <v>3129</v>
      </c>
      <c r="O440" s="2" t="s">
        <v>3130</v>
      </c>
      <c r="P440" s="2"/>
      <c r="Q440" s="5" t="n">
        <v>1</v>
      </c>
      <c r="R440" s="2" t="s">
        <v>71</v>
      </c>
      <c r="S440" s="2" t="s">
        <v>3131</v>
      </c>
      <c r="T440" s="2" t="s">
        <v>3132</v>
      </c>
      <c r="U440" s="2" t="s">
        <v>74</v>
      </c>
      <c r="V440" s="5" t="n">
        <v>300</v>
      </c>
      <c r="W440" s="2"/>
      <c r="X440" s="2" t="s">
        <v>3133</v>
      </c>
      <c r="Y440" s="5" t="s">
        <v>3134</v>
      </c>
      <c r="Z440" s="2" t="s">
        <v>3135</v>
      </c>
      <c r="AA440" s="6" t="s">
        <v>3136</v>
      </c>
    </row>
    <row r="441" customFormat="false" ht="35.05" hidden="false" customHeight="false" outlineLevel="0" collapsed="false">
      <c r="A441" s="5" t="s">
        <v>3137</v>
      </c>
      <c r="B441" s="2" t="s">
        <v>3138</v>
      </c>
      <c r="C441" s="5" t="s">
        <v>2128</v>
      </c>
      <c r="D441" s="5" t="s">
        <v>60</v>
      </c>
      <c r="E441" s="2" t="s">
        <v>2078</v>
      </c>
      <c r="F441" s="5" t="s">
        <v>62</v>
      </c>
      <c r="G441" s="5" t="n">
        <v>3</v>
      </c>
      <c r="H441" s="5" t="s">
        <v>817</v>
      </c>
      <c r="I441" s="5" t="s">
        <v>64</v>
      </c>
      <c r="J441" s="5" t="s">
        <v>65</v>
      </c>
      <c r="K441" s="5" t="s">
        <v>66</v>
      </c>
      <c r="L441" s="2" t="s">
        <v>2079</v>
      </c>
      <c r="M441" s="2" t="s">
        <v>3139</v>
      </c>
      <c r="N441" s="2" t="s">
        <v>184</v>
      </c>
      <c r="O441" s="2" t="s">
        <v>3140</v>
      </c>
      <c r="P441" s="2"/>
      <c r="Q441" s="5" t="n">
        <v>1</v>
      </c>
      <c r="R441" s="2" t="s">
        <v>71</v>
      </c>
      <c r="S441" s="2" t="s">
        <v>3141</v>
      </c>
      <c r="T441" s="2" t="s">
        <v>3142</v>
      </c>
      <c r="U441" s="2" t="s">
        <v>74</v>
      </c>
      <c r="V441" s="5" t="n">
        <v>300</v>
      </c>
      <c r="W441" s="2"/>
      <c r="X441" s="2" t="s">
        <v>3143</v>
      </c>
      <c r="Y441" s="5"/>
      <c r="Z441" s="2" t="s">
        <v>3144</v>
      </c>
      <c r="AA441" s="6" t="s">
        <v>3145</v>
      </c>
    </row>
    <row r="442" customFormat="false" ht="68.65" hidden="false" customHeight="false" outlineLevel="0" collapsed="false">
      <c r="A442" s="5" t="s">
        <v>3146</v>
      </c>
      <c r="B442" s="2" t="s">
        <v>3147</v>
      </c>
      <c r="C442" s="5" t="s">
        <v>2128</v>
      </c>
      <c r="D442" s="5" t="s">
        <v>60</v>
      </c>
      <c r="E442" s="2" t="s">
        <v>269</v>
      </c>
      <c r="F442" s="5" t="s">
        <v>62</v>
      </c>
      <c r="G442" s="5" t="n">
        <v>5</v>
      </c>
      <c r="H442" s="5" t="s">
        <v>89</v>
      </c>
      <c r="I442" s="5" t="s">
        <v>64</v>
      </c>
      <c r="J442" s="5" t="s">
        <v>65</v>
      </c>
      <c r="K442" s="5" t="s">
        <v>66</v>
      </c>
      <c r="L442" s="2" t="s">
        <v>90</v>
      </c>
      <c r="M442" s="2"/>
      <c r="N442" s="2" t="s">
        <v>184</v>
      </c>
      <c r="O442" s="2" t="s">
        <v>3148</v>
      </c>
      <c r="P442" s="2"/>
      <c r="Q442" s="5" t="n">
        <v>1</v>
      </c>
      <c r="R442" s="2" t="s">
        <v>71</v>
      </c>
      <c r="S442" s="2" t="s">
        <v>3149</v>
      </c>
      <c r="T442" s="2" t="s">
        <v>3150</v>
      </c>
      <c r="U442" s="2" t="s">
        <v>74</v>
      </c>
      <c r="V442" s="5" t="n">
        <v>300</v>
      </c>
      <c r="W442" s="2"/>
      <c r="X442" s="2" t="s">
        <v>3151</v>
      </c>
      <c r="Y442" s="5" t="s">
        <v>1537</v>
      </c>
      <c r="Z442" s="2" t="s">
        <v>3152</v>
      </c>
      <c r="AA442" s="6" t="s">
        <v>3153</v>
      </c>
    </row>
    <row r="443" customFormat="false" ht="68.65" hidden="false" customHeight="false" outlineLevel="0" collapsed="false">
      <c r="A443" s="5" t="s">
        <v>3154</v>
      </c>
      <c r="B443" s="2" t="s">
        <v>3155</v>
      </c>
      <c r="C443" s="5" t="s">
        <v>2245</v>
      </c>
      <c r="D443" s="5" t="s">
        <v>60</v>
      </c>
      <c r="E443" s="2" t="s">
        <v>3156</v>
      </c>
      <c r="F443" s="5" t="s">
        <v>490</v>
      </c>
      <c r="G443" s="5" t="n">
        <v>3</v>
      </c>
      <c r="H443" s="5" t="s">
        <v>817</v>
      </c>
      <c r="I443" s="5" t="s">
        <v>64</v>
      </c>
      <c r="J443" s="5" t="s">
        <v>65</v>
      </c>
      <c r="K443" s="5" t="s">
        <v>66</v>
      </c>
      <c r="L443" s="2" t="s">
        <v>67</v>
      </c>
      <c r="M443" s="2" t="s">
        <v>198</v>
      </c>
      <c r="N443" s="2" t="s">
        <v>3157</v>
      </c>
      <c r="O443" s="2" t="s">
        <v>3158</v>
      </c>
      <c r="P443" s="2"/>
      <c r="Q443" s="5" t="n">
        <v>1</v>
      </c>
      <c r="R443" s="2" t="s">
        <v>71</v>
      </c>
      <c r="S443" s="2" t="s">
        <v>83</v>
      </c>
      <c r="T443" s="2" t="s">
        <v>1098</v>
      </c>
      <c r="U443" s="2" t="s">
        <v>74</v>
      </c>
      <c r="V443" s="5" t="n">
        <v>300</v>
      </c>
      <c r="W443" s="2"/>
      <c r="X443" s="2" t="s">
        <v>2060</v>
      </c>
      <c r="Y443" s="5"/>
      <c r="Z443" s="2" t="s">
        <v>3159</v>
      </c>
      <c r="AA443" s="6" t="s">
        <v>3160</v>
      </c>
    </row>
    <row r="444" customFormat="false" ht="68.65" hidden="false" customHeight="false" outlineLevel="0" collapsed="false">
      <c r="A444" s="5" t="s">
        <v>3161</v>
      </c>
      <c r="B444" s="2" t="s">
        <v>3162</v>
      </c>
      <c r="C444" s="5" t="s">
        <v>2245</v>
      </c>
      <c r="D444" s="5" t="s">
        <v>60</v>
      </c>
      <c r="E444" s="2" t="s">
        <v>751</v>
      </c>
      <c r="F444" s="5" t="s">
        <v>62</v>
      </c>
      <c r="G444" s="5" t="n">
        <v>3</v>
      </c>
      <c r="H444" s="5" t="s">
        <v>817</v>
      </c>
      <c r="I444" s="5" t="s">
        <v>64</v>
      </c>
      <c r="J444" s="5" t="s">
        <v>65</v>
      </c>
      <c r="K444" s="5" t="s">
        <v>66</v>
      </c>
      <c r="L444" s="2" t="s">
        <v>277</v>
      </c>
      <c r="M444" s="2" t="s">
        <v>278</v>
      </c>
      <c r="N444" s="2" t="s">
        <v>3129</v>
      </c>
      <c r="O444" s="2" t="s">
        <v>3130</v>
      </c>
      <c r="P444" s="2"/>
      <c r="Q444" s="5" t="n">
        <v>1</v>
      </c>
      <c r="R444" s="2" t="s">
        <v>71</v>
      </c>
      <c r="S444" s="2" t="s">
        <v>3163</v>
      </c>
      <c r="T444" s="2" t="s">
        <v>3132</v>
      </c>
      <c r="U444" s="2" t="s">
        <v>74</v>
      </c>
      <c r="V444" s="5" t="n">
        <v>300</v>
      </c>
      <c r="W444" s="2"/>
      <c r="X444" s="2" t="s">
        <v>3133</v>
      </c>
      <c r="Y444" s="5" t="s">
        <v>3134</v>
      </c>
      <c r="Z444" s="2" t="s">
        <v>3164</v>
      </c>
      <c r="AA444" s="6" t="s">
        <v>3165</v>
      </c>
    </row>
    <row r="445" customFormat="false" ht="68.65" hidden="false" customHeight="false" outlineLevel="0" collapsed="false">
      <c r="A445" s="5" t="s">
        <v>3166</v>
      </c>
      <c r="B445" s="2" t="s">
        <v>3167</v>
      </c>
      <c r="C445" s="5" t="s">
        <v>2245</v>
      </c>
      <c r="D445" s="5" t="s">
        <v>60</v>
      </c>
      <c r="E445" s="2" t="s">
        <v>751</v>
      </c>
      <c r="F445" s="5" t="s">
        <v>62</v>
      </c>
      <c r="G445" s="5" t="n">
        <v>3</v>
      </c>
      <c r="H445" s="5" t="s">
        <v>817</v>
      </c>
      <c r="I445" s="5" t="s">
        <v>64</v>
      </c>
      <c r="J445" s="5" t="s">
        <v>65</v>
      </c>
      <c r="K445" s="5" t="s">
        <v>66</v>
      </c>
      <c r="L445" s="2" t="s">
        <v>277</v>
      </c>
      <c r="M445" s="2" t="s">
        <v>752</v>
      </c>
      <c r="N445" s="2" t="s">
        <v>3129</v>
      </c>
      <c r="O445" s="2" t="s">
        <v>3130</v>
      </c>
      <c r="P445" s="2"/>
      <c r="Q445" s="5" t="n">
        <v>1</v>
      </c>
      <c r="R445" s="2" t="s">
        <v>71</v>
      </c>
      <c r="S445" s="2" t="s">
        <v>3168</v>
      </c>
      <c r="T445" s="2" t="s">
        <v>3132</v>
      </c>
      <c r="U445" s="2" t="s">
        <v>74</v>
      </c>
      <c r="V445" s="5" t="n">
        <v>300</v>
      </c>
      <c r="W445" s="2"/>
      <c r="X445" s="2" t="s">
        <v>3133</v>
      </c>
      <c r="Y445" s="5" t="s">
        <v>3134</v>
      </c>
      <c r="Z445" s="2" t="s">
        <v>3169</v>
      </c>
      <c r="AA445" s="6" t="s">
        <v>3170</v>
      </c>
    </row>
    <row r="446" customFormat="false" ht="46.25" hidden="false" customHeight="false" outlineLevel="0" collapsed="false">
      <c r="A446" s="5" t="s">
        <v>3171</v>
      </c>
      <c r="B446" s="2" t="s">
        <v>3172</v>
      </c>
      <c r="C446" s="5" t="s">
        <v>2128</v>
      </c>
      <c r="D446" s="5" t="s">
        <v>60</v>
      </c>
      <c r="E446" s="2" t="s">
        <v>751</v>
      </c>
      <c r="F446" s="5" t="s">
        <v>62</v>
      </c>
      <c r="G446" s="5" t="n">
        <v>5</v>
      </c>
      <c r="H446" s="5" t="s">
        <v>89</v>
      </c>
      <c r="I446" s="5" t="s">
        <v>64</v>
      </c>
      <c r="J446" s="5" t="s">
        <v>65</v>
      </c>
      <c r="K446" s="5" t="s">
        <v>66</v>
      </c>
      <c r="L446" s="2" t="s">
        <v>90</v>
      </c>
      <c r="M446" s="2"/>
      <c r="N446" s="2" t="s">
        <v>367</v>
      </c>
      <c r="O446" s="2" t="s">
        <v>1105</v>
      </c>
      <c r="P446" s="2"/>
      <c r="Q446" s="5" t="n">
        <v>1</v>
      </c>
      <c r="R446" s="2" t="s">
        <v>71</v>
      </c>
      <c r="S446" s="2" t="s">
        <v>3173</v>
      </c>
      <c r="T446" s="2" t="s">
        <v>1176</v>
      </c>
      <c r="U446" s="2" t="s">
        <v>74</v>
      </c>
      <c r="V446" s="5" t="n">
        <v>300</v>
      </c>
      <c r="W446" s="2"/>
      <c r="X446" s="2" t="s">
        <v>1108</v>
      </c>
      <c r="Y446" s="5" t="s">
        <v>309</v>
      </c>
      <c r="Z446" s="2" t="s">
        <v>3174</v>
      </c>
      <c r="AA446" s="6" t="s">
        <v>3175</v>
      </c>
    </row>
    <row r="447" customFormat="false" ht="46.25" hidden="false" customHeight="false" outlineLevel="0" collapsed="false">
      <c r="A447" s="5" t="s">
        <v>3176</v>
      </c>
      <c r="B447" s="2" t="s">
        <v>3177</v>
      </c>
      <c r="C447" s="5" t="s">
        <v>2128</v>
      </c>
      <c r="D447" s="5" t="s">
        <v>60</v>
      </c>
      <c r="E447" s="2" t="s">
        <v>751</v>
      </c>
      <c r="F447" s="5" t="s">
        <v>62</v>
      </c>
      <c r="G447" s="5" t="n">
        <v>5</v>
      </c>
      <c r="H447" s="5" t="s">
        <v>89</v>
      </c>
      <c r="I447" s="5" t="s">
        <v>64</v>
      </c>
      <c r="J447" s="5" t="s">
        <v>65</v>
      </c>
      <c r="K447" s="5" t="s">
        <v>66</v>
      </c>
      <c r="L447" s="2" t="s">
        <v>90</v>
      </c>
      <c r="M447" s="2"/>
      <c r="N447" s="2" t="s">
        <v>367</v>
      </c>
      <c r="O447" s="2" t="s">
        <v>1105</v>
      </c>
      <c r="P447" s="2"/>
      <c r="Q447" s="5" t="n">
        <v>1</v>
      </c>
      <c r="R447" s="2" t="s">
        <v>71</v>
      </c>
      <c r="S447" s="2" t="s">
        <v>3178</v>
      </c>
      <c r="T447" s="2" t="s">
        <v>1176</v>
      </c>
      <c r="U447" s="2" t="s">
        <v>74</v>
      </c>
      <c r="V447" s="5" t="n">
        <v>300</v>
      </c>
      <c r="W447" s="2"/>
      <c r="X447" s="2" t="s">
        <v>1108</v>
      </c>
      <c r="Y447" s="5" t="s">
        <v>309</v>
      </c>
      <c r="Z447" s="2" t="s">
        <v>3179</v>
      </c>
      <c r="AA447" s="6" t="s">
        <v>3180</v>
      </c>
    </row>
    <row r="448" customFormat="false" ht="102.2" hidden="false" customHeight="false" outlineLevel="0" collapsed="false">
      <c r="A448" s="5" t="s">
        <v>3181</v>
      </c>
      <c r="B448" s="2" t="s">
        <v>3182</v>
      </c>
      <c r="C448" s="5" t="s">
        <v>2245</v>
      </c>
      <c r="D448" s="5" t="s">
        <v>60</v>
      </c>
      <c r="E448" s="2" t="s">
        <v>751</v>
      </c>
      <c r="F448" s="5" t="s">
        <v>62</v>
      </c>
      <c r="G448" s="5" t="n">
        <v>3</v>
      </c>
      <c r="H448" s="5" t="s">
        <v>817</v>
      </c>
      <c r="I448" s="5" t="s">
        <v>64</v>
      </c>
      <c r="J448" s="5" t="s">
        <v>65</v>
      </c>
      <c r="K448" s="5" t="s">
        <v>66</v>
      </c>
      <c r="L448" s="2" t="s">
        <v>277</v>
      </c>
      <c r="M448" s="2" t="s">
        <v>1446</v>
      </c>
      <c r="N448" s="2" t="s">
        <v>3129</v>
      </c>
      <c r="O448" s="2" t="s">
        <v>3183</v>
      </c>
      <c r="P448" s="2"/>
      <c r="Q448" s="5" t="n">
        <v>1</v>
      </c>
      <c r="R448" s="2" t="s">
        <v>71</v>
      </c>
      <c r="S448" s="2" t="s">
        <v>3184</v>
      </c>
      <c r="T448" s="2" t="s">
        <v>3185</v>
      </c>
      <c r="U448" s="2" t="s">
        <v>74</v>
      </c>
      <c r="V448" s="5" t="n">
        <v>300</v>
      </c>
      <c r="W448" s="2"/>
      <c r="X448" s="2" t="s">
        <v>3186</v>
      </c>
      <c r="Y448" s="5"/>
      <c r="Z448" s="2" t="s">
        <v>3187</v>
      </c>
      <c r="AA448" s="6" t="s">
        <v>3188</v>
      </c>
    </row>
    <row r="449" customFormat="false" ht="91" hidden="false" customHeight="false" outlineLevel="0" collapsed="false">
      <c r="A449" s="5" t="s">
        <v>3189</v>
      </c>
      <c r="B449" s="2" t="s">
        <v>3190</v>
      </c>
      <c r="C449" s="5" t="s">
        <v>2245</v>
      </c>
      <c r="D449" s="5" t="s">
        <v>60</v>
      </c>
      <c r="E449" s="2" t="s">
        <v>751</v>
      </c>
      <c r="F449" s="5" t="s">
        <v>62</v>
      </c>
      <c r="G449" s="5" t="n">
        <v>3</v>
      </c>
      <c r="H449" s="5" t="s">
        <v>817</v>
      </c>
      <c r="I449" s="5" t="s">
        <v>64</v>
      </c>
      <c r="J449" s="5" t="s">
        <v>65</v>
      </c>
      <c r="K449" s="5" t="s">
        <v>66</v>
      </c>
      <c r="L449" s="2" t="s">
        <v>277</v>
      </c>
      <c r="M449" s="2" t="s">
        <v>1446</v>
      </c>
      <c r="N449" s="2" t="s">
        <v>3129</v>
      </c>
      <c r="O449" s="2" t="s">
        <v>3130</v>
      </c>
      <c r="P449" s="2"/>
      <c r="Q449" s="5" t="n">
        <v>1</v>
      </c>
      <c r="R449" s="2" t="s">
        <v>71</v>
      </c>
      <c r="S449" s="2" t="s">
        <v>3191</v>
      </c>
      <c r="T449" s="2" t="s">
        <v>3132</v>
      </c>
      <c r="U449" s="2" t="s">
        <v>74</v>
      </c>
      <c r="V449" s="5" t="n">
        <v>300</v>
      </c>
      <c r="W449" s="2"/>
      <c r="X449" s="2" t="s">
        <v>3133</v>
      </c>
      <c r="Y449" s="5" t="s">
        <v>3134</v>
      </c>
      <c r="Z449" s="2" t="s">
        <v>3192</v>
      </c>
      <c r="AA449" s="6" t="s">
        <v>3193</v>
      </c>
    </row>
    <row r="450" customFormat="false" ht="46.25" hidden="false" customHeight="false" outlineLevel="0" collapsed="false">
      <c r="A450" s="5" t="s">
        <v>3194</v>
      </c>
      <c r="B450" s="2" t="s">
        <v>3195</v>
      </c>
      <c r="C450" s="5" t="s">
        <v>2128</v>
      </c>
      <c r="D450" s="5" t="s">
        <v>60</v>
      </c>
      <c r="E450" s="2" t="s">
        <v>276</v>
      </c>
      <c r="F450" s="5" t="s">
        <v>62</v>
      </c>
      <c r="G450" s="5" t="n">
        <v>9</v>
      </c>
      <c r="H450" s="5" t="s">
        <v>63</v>
      </c>
      <c r="I450" s="5" t="s">
        <v>64</v>
      </c>
      <c r="J450" s="5" t="s">
        <v>65</v>
      </c>
      <c r="K450" s="5" t="s">
        <v>66</v>
      </c>
      <c r="L450" s="2" t="s">
        <v>67</v>
      </c>
      <c r="M450" s="2" t="s">
        <v>3196</v>
      </c>
      <c r="N450" s="2" t="s">
        <v>184</v>
      </c>
      <c r="O450" s="2" t="s">
        <v>1114</v>
      </c>
      <c r="P450" s="2"/>
      <c r="Q450" s="5" t="n">
        <v>1</v>
      </c>
      <c r="R450" s="2" t="s">
        <v>71</v>
      </c>
      <c r="S450" s="2" t="s">
        <v>3197</v>
      </c>
      <c r="T450" s="2" t="s">
        <v>3198</v>
      </c>
      <c r="U450" s="2" t="s">
        <v>74</v>
      </c>
      <c r="V450" s="5" t="n">
        <v>300</v>
      </c>
      <c r="W450" s="2"/>
      <c r="X450" s="2" t="s">
        <v>1117</v>
      </c>
      <c r="Y450" s="5" t="s">
        <v>1118</v>
      </c>
      <c r="Z450" s="2" t="s">
        <v>3199</v>
      </c>
      <c r="AA450" s="6" t="s">
        <v>3200</v>
      </c>
    </row>
    <row r="451" customFormat="false" ht="46.25" hidden="false" customHeight="false" outlineLevel="0" collapsed="false">
      <c r="A451" s="5" t="s">
        <v>3201</v>
      </c>
      <c r="B451" s="2" t="s">
        <v>3202</v>
      </c>
      <c r="C451" s="5" t="s">
        <v>2128</v>
      </c>
      <c r="D451" s="5" t="s">
        <v>60</v>
      </c>
      <c r="E451" s="2" t="s">
        <v>276</v>
      </c>
      <c r="F451" s="5" t="s">
        <v>62</v>
      </c>
      <c r="G451" s="5" t="n">
        <v>7</v>
      </c>
      <c r="H451" s="5" t="s">
        <v>89</v>
      </c>
      <c r="I451" s="5" t="s">
        <v>64</v>
      </c>
      <c r="J451" s="5" t="s">
        <v>65</v>
      </c>
      <c r="K451" s="5" t="s">
        <v>66</v>
      </c>
      <c r="L451" s="2" t="s">
        <v>277</v>
      </c>
      <c r="M451" s="2" t="s">
        <v>278</v>
      </c>
      <c r="N451" s="2" t="s">
        <v>184</v>
      </c>
      <c r="O451" s="2" t="s">
        <v>3203</v>
      </c>
      <c r="P451" s="2"/>
      <c r="Q451" s="5" t="n">
        <v>1</v>
      </c>
      <c r="R451" s="2" t="s">
        <v>71</v>
      </c>
      <c r="S451" s="2" t="s">
        <v>3204</v>
      </c>
      <c r="T451" s="2" t="s">
        <v>3205</v>
      </c>
      <c r="U451" s="2" t="s">
        <v>74</v>
      </c>
      <c r="V451" s="5" t="n">
        <v>300</v>
      </c>
      <c r="W451" s="2"/>
      <c r="X451" s="2" t="s">
        <v>3206</v>
      </c>
      <c r="Y451" s="5"/>
      <c r="Z451" s="2" t="s">
        <v>3207</v>
      </c>
      <c r="AA451" s="6" t="s">
        <v>3208</v>
      </c>
    </row>
    <row r="452" customFormat="false" ht="57.45" hidden="false" customHeight="false" outlineLevel="0" collapsed="false">
      <c r="A452" s="5" t="s">
        <v>3209</v>
      </c>
      <c r="B452" s="2" t="s">
        <v>3210</v>
      </c>
      <c r="C452" s="5" t="s">
        <v>2128</v>
      </c>
      <c r="D452" s="5" t="s">
        <v>60</v>
      </c>
      <c r="E452" s="2" t="s">
        <v>3211</v>
      </c>
      <c r="F452" s="5" t="s">
        <v>62</v>
      </c>
      <c r="G452" s="5" t="n">
        <v>3</v>
      </c>
      <c r="H452" s="5" t="s">
        <v>817</v>
      </c>
      <c r="I452" s="5" t="s">
        <v>64</v>
      </c>
      <c r="J452" s="5" t="s">
        <v>65</v>
      </c>
      <c r="K452" s="5" t="s">
        <v>66</v>
      </c>
      <c r="L452" s="2" t="s">
        <v>90</v>
      </c>
      <c r="M452" s="2"/>
      <c r="N452" s="2" t="s">
        <v>184</v>
      </c>
      <c r="O452" s="2" t="s">
        <v>3212</v>
      </c>
      <c r="P452" s="2"/>
      <c r="Q452" s="5" t="n">
        <v>1</v>
      </c>
      <c r="R452" s="2" t="s">
        <v>71</v>
      </c>
      <c r="S452" s="2" t="s">
        <v>3213</v>
      </c>
      <c r="T452" s="2" t="s">
        <v>3214</v>
      </c>
      <c r="U452" s="2" t="s">
        <v>74</v>
      </c>
      <c r="V452" s="5" t="n">
        <v>300</v>
      </c>
      <c r="W452" s="2"/>
      <c r="X452" s="2" t="s">
        <v>3215</v>
      </c>
      <c r="Y452" s="5" t="s">
        <v>249</v>
      </c>
      <c r="Z452" s="2" t="s">
        <v>3216</v>
      </c>
      <c r="AA452" s="6" t="s">
        <v>3217</v>
      </c>
    </row>
    <row r="453" customFormat="false" ht="113.4" hidden="false" customHeight="false" outlineLevel="0" collapsed="false">
      <c r="A453" s="5" t="s">
        <v>3218</v>
      </c>
      <c r="B453" s="2" t="s">
        <v>3219</v>
      </c>
      <c r="C453" s="5" t="s">
        <v>2128</v>
      </c>
      <c r="D453" s="5" t="s">
        <v>60</v>
      </c>
      <c r="E453" s="2" t="s">
        <v>3211</v>
      </c>
      <c r="F453" s="5" t="s">
        <v>62</v>
      </c>
      <c r="G453" s="5" t="n">
        <v>7</v>
      </c>
      <c r="H453" s="5" t="s">
        <v>89</v>
      </c>
      <c r="I453" s="5" t="s">
        <v>64</v>
      </c>
      <c r="J453" s="5" t="s">
        <v>65</v>
      </c>
      <c r="K453" s="5" t="s">
        <v>66</v>
      </c>
      <c r="L453" s="2" t="s">
        <v>90</v>
      </c>
      <c r="M453" s="2"/>
      <c r="N453" s="2" t="s">
        <v>184</v>
      </c>
      <c r="O453" s="2" t="s">
        <v>3212</v>
      </c>
      <c r="P453" s="2"/>
      <c r="Q453" s="5" t="n">
        <v>1</v>
      </c>
      <c r="R453" s="2" t="s">
        <v>71</v>
      </c>
      <c r="S453" s="2" t="s">
        <v>3220</v>
      </c>
      <c r="T453" s="2" t="s">
        <v>3214</v>
      </c>
      <c r="U453" s="2" t="s">
        <v>74</v>
      </c>
      <c r="V453" s="5" t="n">
        <v>300</v>
      </c>
      <c r="W453" s="2"/>
      <c r="X453" s="2" t="s">
        <v>3215</v>
      </c>
      <c r="Y453" s="5" t="s">
        <v>249</v>
      </c>
      <c r="Z453" s="2" t="s">
        <v>3221</v>
      </c>
      <c r="AA453" s="6" t="s">
        <v>3222</v>
      </c>
    </row>
    <row r="454" customFormat="false" ht="46.25" hidden="false" customHeight="false" outlineLevel="0" collapsed="false">
      <c r="A454" s="5" t="s">
        <v>3223</v>
      </c>
      <c r="B454" s="2" t="s">
        <v>3224</v>
      </c>
      <c r="C454" s="5" t="s">
        <v>2128</v>
      </c>
      <c r="D454" s="5" t="s">
        <v>60</v>
      </c>
      <c r="E454" s="2" t="s">
        <v>276</v>
      </c>
      <c r="F454" s="5" t="s">
        <v>62</v>
      </c>
      <c r="G454" s="5" t="n">
        <v>5</v>
      </c>
      <c r="H454" s="5" t="s">
        <v>89</v>
      </c>
      <c r="I454" s="5" t="s">
        <v>64</v>
      </c>
      <c r="J454" s="5" t="s">
        <v>65</v>
      </c>
      <c r="K454" s="5" t="s">
        <v>66</v>
      </c>
      <c r="L454" s="2" t="s">
        <v>544</v>
      </c>
      <c r="M454" s="2" t="s">
        <v>3225</v>
      </c>
      <c r="N454" s="2" t="s">
        <v>184</v>
      </c>
      <c r="O454" s="2" t="s">
        <v>3226</v>
      </c>
      <c r="P454" s="2"/>
      <c r="Q454" s="5" t="n">
        <v>1</v>
      </c>
      <c r="R454" s="2" t="s">
        <v>71</v>
      </c>
      <c r="S454" s="2" t="s">
        <v>83</v>
      </c>
      <c r="T454" s="2" t="s">
        <v>1098</v>
      </c>
      <c r="U454" s="2" t="s">
        <v>74</v>
      </c>
      <c r="V454" s="5" t="n">
        <v>300</v>
      </c>
      <c r="W454" s="2"/>
      <c r="X454" s="2" t="s">
        <v>3227</v>
      </c>
      <c r="Y454" s="5" t="s">
        <v>214</v>
      </c>
      <c r="Z454" s="2" t="s">
        <v>3228</v>
      </c>
      <c r="AA454" s="6" t="s">
        <v>3229</v>
      </c>
    </row>
    <row r="455" customFormat="false" ht="91" hidden="false" customHeight="false" outlineLevel="0" collapsed="false">
      <c r="A455" s="5" t="s">
        <v>3230</v>
      </c>
      <c r="B455" s="2" t="s">
        <v>3231</v>
      </c>
      <c r="C455" s="5" t="s">
        <v>2245</v>
      </c>
      <c r="D455" s="5" t="s">
        <v>60</v>
      </c>
      <c r="E455" s="2" t="s">
        <v>751</v>
      </c>
      <c r="F455" s="5" t="s">
        <v>490</v>
      </c>
      <c r="G455" s="5" t="n">
        <v>5</v>
      </c>
      <c r="H455" s="5" t="s">
        <v>89</v>
      </c>
      <c r="I455" s="5" t="s">
        <v>64</v>
      </c>
      <c r="J455" s="5" t="s">
        <v>65</v>
      </c>
      <c r="K455" s="5" t="s">
        <v>66</v>
      </c>
      <c r="L455" s="2" t="s">
        <v>277</v>
      </c>
      <c r="M455" s="2" t="s">
        <v>314</v>
      </c>
      <c r="N455" s="2" t="s">
        <v>3232</v>
      </c>
      <c r="O455" s="2" t="s">
        <v>1160</v>
      </c>
      <c r="P455" s="2"/>
      <c r="Q455" s="5" t="n">
        <v>1</v>
      </c>
      <c r="R455" s="2" t="s">
        <v>71</v>
      </c>
      <c r="S455" s="2" t="s">
        <v>3233</v>
      </c>
      <c r="T455" s="2" t="s">
        <v>1162</v>
      </c>
      <c r="U455" s="2" t="s">
        <v>74</v>
      </c>
      <c r="V455" s="5" t="n">
        <v>300</v>
      </c>
      <c r="W455" s="2"/>
      <c r="X455" s="2" t="s">
        <v>1163</v>
      </c>
      <c r="Y455" s="5"/>
      <c r="Z455" s="2" t="s">
        <v>3234</v>
      </c>
      <c r="AA455" s="6" t="s">
        <v>3235</v>
      </c>
    </row>
    <row r="456" customFormat="false" ht="113.4" hidden="false" customHeight="false" outlineLevel="0" collapsed="false">
      <c r="A456" s="5" t="s">
        <v>3236</v>
      </c>
      <c r="B456" s="2" t="s">
        <v>3237</v>
      </c>
      <c r="C456" s="5" t="s">
        <v>2245</v>
      </c>
      <c r="D456" s="5" t="s">
        <v>60</v>
      </c>
      <c r="E456" s="2" t="s">
        <v>751</v>
      </c>
      <c r="F456" s="5" t="s">
        <v>62</v>
      </c>
      <c r="G456" s="5" t="n">
        <v>5</v>
      </c>
      <c r="H456" s="5" t="s">
        <v>89</v>
      </c>
      <c r="I456" s="5" t="s">
        <v>64</v>
      </c>
      <c r="J456" s="5" t="s">
        <v>65</v>
      </c>
      <c r="K456" s="5" t="s">
        <v>66</v>
      </c>
      <c r="L456" s="2" t="s">
        <v>1210</v>
      </c>
      <c r="M456" s="2" t="s">
        <v>1295</v>
      </c>
      <c r="N456" s="2" t="s">
        <v>3232</v>
      </c>
      <c r="O456" s="2" t="s">
        <v>3238</v>
      </c>
      <c r="P456" s="2"/>
      <c r="Q456" s="5" t="n">
        <v>1</v>
      </c>
      <c r="R456" s="2" t="s">
        <v>71</v>
      </c>
      <c r="S456" s="2" t="s">
        <v>3239</v>
      </c>
      <c r="T456" s="2" t="s">
        <v>3240</v>
      </c>
      <c r="U456" s="2" t="s">
        <v>74</v>
      </c>
      <c r="V456" s="5" t="n">
        <v>300</v>
      </c>
      <c r="W456" s="2"/>
      <c r="X456" s="2" t="s">
        <v>3241</v>
      </c>
      <c r="Y456" s="5"/>
      <c r="Z456" s="2" t="s">
        <v>3242</v>
      </c>
      <c r="AA456" s="6" t="s">
        <v>3243</v>
      </c>
    </row>
    <row r="457" customFormat="false" ht="46.25" hidden="false" customHeight="false" outlineLevel="0" collapsed="false">
      <c r="A457" s="5" t="s">
        <v>3244</v>
      </c>
      <c r="B457" s="2" t="s">
        <v>3245</v>
      </c>
      <c r="C457" s="5" t="s">
        <v>2128</v>
      </c>
      <c r="D457" s="5" t="s">
        <v>60</v>
      </c>
      <c r="E457" s="2" t="s">
        <v>269</v>
      </c>
      <c r="F457" s="5" t="s">
        <v>62</v>
      </c>
      <c r="G457" s="5" t="n">
        <v>3</v>
      </c>
      <c r="H457" s="5" t="s">
        <v>817</v>
      </c>
      <c r="I457" s="5" t="s">
        <v>64</v>
      </c>
      <c r="J457" s="5" t="s">
        <v>65</v>
      </c>
      <c r="K457" s="5" t="s">
        <v>66</v>
      </c>
      <c r="L457" s="2" t="s">
        <v>67</v>
      </c>
      <c r="M457" s="2" t="s">
        <v>2785</v>
      </c>
      <c r="N457" s="2" t="s">
        <v>184</v>
      </c>
      <c r="O457" s="2" t="s">
        <v>1533</v>
      </c>
      <c r="P457" s="2"/>
      <c r="Q457" s="5" t="n">
        <v>1</v>
      </c>
      <c r="R457" s="2" t="s">
        <v>71</v>
      </c>
      <c r="S457" s="2" t="s">
        <v>3246</v>
      </c>
      <c r="T457" s="2" t="s">
        <v>3247</v>
      </c>
      <c r="U457" s="2" t="s">
        <v>74</v>
      </c>
      <c r="V457" s="5" t="n">
        <v>300</v>
      </c>
      <c r="W457" s="2"/>
      <c r="X457" s="2" t="s">
        <v>1536</v>
      </c>
      <c r="Y457" s="5" t="s">
        <v>1537</v>
      </c>
      <c r="Z457" s="2" t="s">
        <v>3248</v>
      </c>
      <c r="AA457" s="6" t="s">
        <v>3249</v>
      </c>
    </row>
    <row r="458" customFormat="false" ht="202.95" hidden="false" customHeight="false" outlineLevel="0" collapsed="false">
      <c r="A458" s="5" t="s">
        <v>3250</v>
      </c>
      <c r="B458" s="2" t="s">
        <v>3251</v>
      </c>
      <c r="C458" s="5" t="s">
        <v>2245</v>
      </c>
      <c r="D458" s="5" t="s">
        <v>60</v>
      </c>
      <c r="E458" s="2" t="s">
        <v>751</v>
      </c>
      <c r="F458" s="5" t="s">
        <v>62</v>
      </c>
      <c r="G458" s="5" t="n">
        <v>5</v>
      </c>
      <c r="H458" s="5" t="s">
        <v>89</v>
      </c>
      <c r="I458" s="5" t="s">
        <v>64</v>
      </c>
      <c r="J458" s="5" t="s">
        <v>65</v>
      </c>
      <c r="K458" s="5" t="s">
        <v>66</v>
      </c>
      <c r="L458" s="2" t="s">
        <v>1814</v>
      </c>
      <c r="M458" s="2" t="s">
        <v>3252</v>
      </c>
      <c r="N458" s="2" t="s">
        <v>3232</v>
      </c>
      <c r="O458" s="2" t="s">
        <v>1160</v>
      </c>
      <c r="P458" s="2"/>
      <c r="Q458" s="5" t="n">
        <v>1</v>
      </c>
      <c r="R458" s="2" t="s">
        <v>71</v>
      </c>
      <c r="S458" s="2" t="s">
        <v>3253</v>
      </c>
      <c r="T458" s="2" t="s">
        <v>1162</v>
      </c>
      <c r="U458" s="2" t="s">
        <v>74</v>
      </c>
      <c r="V458" s="5" t="n">
        <v>300</v>
      </c>
      <c r="W458" s="2"/>
      <c r="X458" s="2" t="s">
        <v>1163</v>
      </c>
      <c r="Y458" s="5"/>
      <c r="Z458" s="2" t="s">
        <v>3254</v>
      </c>
      <c r="AA458" s="6" t="s">
        <v>3255</v>
      </c>
    </row>
    <row r="459" customFormat="false" ht="46.25" hidden="false" customHeight="false" outlineLevel="0" collapsed="false">
      <c r="A459" s="5" t="s">
        <v>3256</v>
      </c>
      <c r="B459" s="2" t="s">
        <v>3257</v>
      </c>
      <c r="C459" s="5" t="s">
        <v>2128</v>
      </c>
      <c r="D459" s="5" t="s">
        <v>60</v>
      </c>
      <c r="E459" s="2" t="s">
        <v>269</v>
      </c>
      <c r="F459" s="5" t="s">
        <v>62</v>
      </c>
      <c r="G459" s="5" t="n">
        <v>7</v>
      </c>
      <c r="H459" s="5" t="s">
        <v>89</v>
      </c>
      <c r="I459" s="5" t="s">
        <v>64</v>
      </c>
      <c r="J459" s="5" t="s">
        <v>65</v>
      </c>
      <c r="K459" s="5" t="s">
        <v>66</v>
      </c>
      <c r="L459" s="2" t="s">
        <v>90</v>
      </c>
      <c r="M459" s="2"/>
      <c r="N459" s="2" t="s">
        <v>184</v>
      </c>
      <c r="O459" s="2" t="s">
        <v>3258</v>
      </c>
      <c r="P459" s="2"/>
      <c r="Q459" s="5" t="n">
        <v>1</v>
      </c>
      <c r="R459" s="2" t="s">
        <v>71</v>
      </c>
      <c r="S459" s="2" t="s">
        <v>3259</v>
      </c>
      <c r="T459" s="2" t="s">
        <v>3111</v>
      </c>
      <c r="U459" s="2" t="s">
        <v>74</v>
      </c>
      <c r="V459" s="5" t="n">
        <v>300</v>
      </c>
      <c r="W459" s="2"/>
      <c r="X459" s="2" t="s">
        <v>3112</v>
      </c>
      <c r="Y459" s="5"/>
      <c r="Z459" s="2" t="s">
        <v>3260</v>
      </c>
      <c r="AA459" s="6" t="s">
        <v>3261</v>
      </c>
    </row>
    <row r="460" customFormat="false" ht="68.65" hidden="false" customHeight="false" outlineLevel="0" collapsed="false">
      <c r="A460" s="5" t="s">
        <v>3262</v>
      </c>
      <c r="B460" s="2" t="s">
        <v>3263</v>
      </c>
      <c r="C460" s="5" t="s">
        <v>2128</v>
      </c>
      <c r="D460" s="5" t="s">
        <v>60</v>
      </c>
      <c r="E460" s="2" t="s">
        <v>161</v>
      </c>
      <c r="F460" s="5" t="s">
        <v>62</v>
      </c>
      <c r="G460" s="5" t="n">
        <v>5</v>
      </c>
      <c r="H460" s="5" t="s">
        <v>89</v>
      </c>
      <c r="I460" s="5" t="s">
        <v>64</v>
      </c>
      <c r="J460" s="5" t="s">
        <v>65</v>
      </c>
      <c r="K460" s="5" t="s">
        <v>66</v>
      </c>
      <c r="L460" s="2" t="s">
        <v>67</v>
      </c>
      <c r="M460" s="2" t="s">
        <v>578</v>
      </c>
      <c r="N460" s="2" t="s">
        <v>367</v>
      </c>
      <c r="O460" s="2" t="s">
        <v>1105</v>
      </c>
      <c r="P460" s="2"/>
      <c r="Q460" s="5" t="n">
        <v>1</v>
      </c>
      <c r="R460" s="2" t="s">
        <v>71</v>
      </c>
      <c r="S460" s="2" t="s">
        <v>3264</v>
      </c>
      <c r="T460" s="2" t="s">
        <v>3265</v>
      </c>
      <c r="U460" s="2" t="s">
        <v>74</v>
      </c>
      <c r="V460" s="5" t="n">
        <v>300</v>
      </c>
      <c r="W460" s="2"/>
      <c r="X460" s="2" t="s">
        <v>1108</v>
      </c>
      <c r="Y460" s="5" t="s">
        <v>309</v>
      </c>
      <c r="Z460" s="2" t="s">
        <v>3266</v>
      </c>
      <c r="AA460" s="6" t="s">
        <v>3267</v>
      </c>
    </row>
    <row r="461" customFormat="false" ht="169.4" hidden="false" customHeight="false" outlineLevel="0" collapsed="false">
      <c r="A461" s="5" t="s">
        <v>3268</v>
      </c>
      <c r="B461" s="2" t="s">
        <v>3269</v>
      </c>
      <c r="C461" s="5" t="s">
        <v>2128</v>
      </c>
      <c r="D461" s="5" t="s">
        <v>60</v>
      </c>
      <c r="E461" s="2" t="s">
        <v>161</v>
      </c>
      <c r="F461" s="5" t="s">
        <v>62</v>
      </c>
      <c r="G461" s="5" t="n">
        <v>5</v>
      </c>
      <c r="H461" s="5" t="s">
        <v>89</v>
      </c>
      <c r="I461" s="5" t="s">
        <v>64</v>
      </c>
      <c r="J461" s="5" t="s">
        <v>65</v>
      </c>
      <c r="K461" s="5" t="s">
        <v>66</v>
      </c>
      <c r="L461" s="2" t="s">
        <v>67</v>
      </c>
      <c r="M461" s="2" t="s">
        <v>578</v>
      </c>
      <c r="N461" s="2" t="s">
        <v>367</v>
      </c>
      <c r="O461" s="2" t="s">
        <v>1105</v>
      </c>
      <c r="P461" s="2"/>
      <c r="Q461" s="5" t="n">
        <v>1</v>
      </c>
      <c r="R461" s="2" t="s">
        <v>71</v>
      </c>
      <c r="S461" s="2" t="s">
        <v>3270</v>
      </c>
      <c r="T461" s="2" t="s">
        <v>3271</v>
      </c>
      <c r="U461" s="2" t="s">
        <v>74</v>
      </c>
      <c r="V461" s="5" t="n">
        <v>300</v>
      </c>
      <c r="W461" s="2"/>
      <c r="X461" s="2" t="s">
        <v>1108</v>
      </c>
      <c r="Y461" s="5" t="s">
        <v>309</v>
      </c>
      <c r="Z461" s="2" t="s">
        <v>3272</v>
      </c>
      <c r="AA461" s="6" t="s">
        <v>3273</v>
      </c>
    </row>
    <row r="462" customFormat="false" ht="46.25" hidden="false" customHeight="false" outlineLevel="0" collapsed="false">
      <c r="A462" s="5" t="s">
        <v>3274</v>
      </c>
      <c r="B462" s="2" t="s">
        <v>3275</v>
      </c>
      <c r="C462" s="5" t="s">
        <v>2128</v>
      </c>
      <c r="D462" s="5" t="s">
        <v>60</v>
      </c>
      <c r="E462" s="2" t="s">
        <v>269</v>
      </c>
      <c r="F462" s="5" t="s">
        <v>62</v>
      </c>
      <c r="G462" s="5" t="n">
        <v>3</v>
      </c>
      <c r="H462" s="5" t="s">
        <v>817</v>
      </c>
      <c r="I462" s="5" t="s">
        <v>64</v>
      </c>
      <c r="J462" s="5" t="s">
        <v>65</v>
      </c>
      <c r="K462" s="5" t="s">
        <v>66</v>
      </c>
      <c r="L462" s="2" t="s">
        <v>536</v>
      </c>
      <c r="M462" s="2" t="s">
        <v>3276</v>
      </c>
      <c r="N462" s="2" t="s">
        <v>184</v>
      </c>
      <c r="O462" s="2" t="s">
        <v>3277</v>
      </c>
      <c r="P462" s="2"/>
      <c r="Q462" s="5" t="n">
        <v>1</v>
      </c>
      <c r="R462" s="2" t="s">
        <v>71</v>
      </c>
      <c r="S462" s="2" t="s">
        <v>83</v>
      </c>
      <c r="T462" s="2" t="s">
        <v>1098</v>
      </c>
      <c r="U462" s="2" t="s">
        <v>74</v>
      </c>
      <c r="V462" s="5" t="n">
        <v>300</v>
      </c>
      <c r="W462" s="2"/>
      <c r="X462" s="2" t="s">
        <v>1516</v>
      </c>
      <c r="Y462" s="5"/>
      <c r="Z462" s="2" t="s">
        <v>3278</v>
      </c>
      <c r="AA462" s="6" t="s">
        <v>3279</v>
      </c>
    </row>
    <row r="463" customFormat="false" ht="57.45" hidden="false" customHeight="false" outlineLevel="0" collapsed="false">
      <c r="A463" s="5" t="s">
        <v>3280</v>
      </c>
      <c r="B463" s="2" t="s">
        <v>3281</v>
      </c>
      <c r="C463" s="5" t="s">
        <v>2128</v>
      </c>
      <c r="D463" s="5" t="s">
        <v>60</v>
      </c>
      <c r="E463" s="2" t="s">
        <v>269</v>
      </c>
      <c r="F463" s="5" t="s">
        <v>62</v>
      </c>
      <c r="G463" s="5" t="n">
        <v>7</v>
      </c>
      <c r="H463" s="5" t="s">
        <v>89</v>
      </c>
      <c r="I463" s="5" t="s">
        <v>64</v>
      </c>
      <c r="J463" s="5" t="s">
        <v>65</v>
      </c>
      <c r="K463" s="5" t="s">
        <v>66</v>
      </c>
      <c r="L463" s="2" t="s">
        <v>1814</v>
      </c>
      <c r="M463" s="2" t="s">
        <v>1815</v>
      </c>
      <c r="N463" s="2" t="s">
        <v>184</v>
      </c>
      <c r="O463" s="2" t="s">
        <v>3282</v>
      </c>
      <c r="P463" s="2"/>
      <c r="Q463" s="5" t="n">
        <v>1</v>
      </c>
      <c r="R463" s="2" t="s">
        <v>71</v>
      </c>
      <c r="S463" s="2" t="s">
        <v>3283</v>
      </c>
      <c r="T463" s="2" t="s">
        <v>3284</v>
      </c>
      <c r="U463" s="2" t="s">
        <v>74</v>
      </c>
      <c r="V463" s="5" t="n">
        <v>300</v>
      </c>
      <c r="W463" s="2"/>
      <c r="X463" s="2" t="s">
        <v>1516</v>
      </c>
      <c r="Y463" s="5"/>
      <c r="Z463" s="2" t="s">
        <v>3285</v>
      </c>
      <c r="AA463" s="6" t="s">
        <v>3286</v>
      </c>
    </row>
    <row r="464" customFormat="false" ht="158.2" hidden="false" customHeight="false" outlineLevel="0" collapsed="false">
      <c r="A464" s="5" t="s">
        <v>3287</v>
      </c>
      <c r="B464" s="2" t="s">
        <v>3288</v>
      </c>
      <c r="C464" s="5" t="s">
        <v>2245</v>
      </c>
      <c r="D464" s="5" t="s">
        <v>60</v>
      </c>
      <c r="E464" s="2" t="s">
        <v>3289</v>
      </c>
      <c r="F464" s="5" t="s">
        <v>490</v>
      </c>
      <c r="G464" s="5" t="n">
        <v>7</v>
      </c>
      <c r="H464" s="5" t="s">
        <v>89</v>
      </c>
      <c r="I464" s="5" t="s">
        <v>64</v>
      </c>
      <c r="J464" s="5" t="s">
        <v>65</v>
      </c>
      <c r="K464" s="5" t="s">
        <v>66</v>
      </c>
      <c r="L464" s="2" t="s">
        <v>1210</v>
      </c>
      <c r="M464" s="2" t="s">
        <v>3290</v>
      </c>
      <c r="N464" s="2" t="s">
        <v>3232</v>
      </c>
      <c r="O464" s="2" t="s">
        <v>1105</v>
      </c>
      <c r="P464" s="2"/>
      <c r="Q464" s="5" t="n">
        <v>1</v>
      </c>
      <c r="R464" s="2" t="s">
        <v>71</v>
      </c>
      <c r="S464" s="2" t="s">
        <v>3291</v>
      </c>
      <c r="T464" s="2" t="s">
        <v>1139</v>
      </c>
      <c r="U464" s="2" t="s">
        <v>74</v>
      </c>
      <c r="V464" s="5" t="n">
        <v>300</v>
      </c>
      <c r="W464" s="2"/>
      <c r="X464" s="2" t="s">
        <v>1108</v>
      </c>
      <c r="Y464" s="5" t="s">
        <v>309</v>
      </c>
      <c r="Z464" s="2" t="s">
        <v>3292</v>
      </c>
      <c r="AA464" s="6" t="s">
        <v>3293</v>
      </c>
    </row>
    <row r="465" customFormat="false" ht="102.2" hidden="false" customHeight="false" outlineLevel="0" collapsed="false">
      <c r="A465" s="5" t="s">
        <v>3294</v>
      </c>
      <c r="B465" s="2" t="s">
        <v>3295</v>
      </c>
      <c r="C465" s="5" t="s">
        <v>2128</v>
      </c>
      <c r="D465" s="5" t="s">
        <v>60</v>
      </c>
      <c r="E465" s="2" t="s">
        <v>3296</v>
      </c>
      <c r="F465" s="5" t="s">
        <v>62</v>
      </c>
      <c r="G465" s="5" t="n">
        <v>5</v>
      </c>
      <c r="H465" s="5" t="s">
        <v>89</v>
      </c>
      <c r="I465" s="5" t="s">
        <v>64</v>
      </c>
      <c r="J465" s="5" t="s">
        <v>65</v>
      </c>
      <c r="K465" s="5" t="s">
        <v>66</v>
      </c>
      <c r="L465" s="2" t="s">
        <v>277</v>
      </c>
      <c r="M465" s="2" t="s">
        <v>3297</v>
      </c>
      <c r="N465" s="2" t="s">
        <v>184</v>
      </c>
      <c r="O465" s="2" t="s">
        <v>1457</v>
      </c>
      <c r="P465" s="2"/>
      <c r="Q465" s="5" t="n">
        <v>1</v>
      </c>
      <c r="R465" s="2" t="s">
        <v>71</v>
      </c>
      <c r="S465" s="2" t="s">
        <v>3298</v>
      </c>
      <c r="T465" s="2" t="s">
        <v>3299</v>
      </c>
      <c r="U465" s="2" t="s">
        <v>74</v>
      </c>
      <c r="V465" s="5" t="n">
        <v>300</v>
      </c>
      <c r="W465" s="2"/>
      <c r="X465" s="2" t="s">
        <v>1460</v>
      </c>
      <c r="Y465" s="5"/>
      <c r="Z465" s="2" t="s">
        <v>3300</v>
      </c>
      <c r="AA465" s="6" t="s">
        <v>3301</v>
      </c>
    </row>
    <row r="466" customFormat="false" ht="124.6" hidden="false" customHeight="false" outlineLevel="0" collapsed="false">
      <c r="A466" s="5" t="s">
        <v>3302</v>
      </c>
      <c r="B466" s="2" t="s">
        <v>3303</v>
      </c>
      <c r="C466" s="5" t="s">
        <v>2128</v>
      </c>
      <c r="D466" s="5" t="s">
        <v>60</v>
      </c>
      <c r="E466" s="2" t="s">
        <v>3296</v>
      </c>
      <c r="F466" s="5" t="s">
        <v>62</v>
      </c>
      <c r="G466" s="5" t="n">
        <v>5</v>
      </c>
      <c r="H466" s="5" t="s">
        <v>89</v>
      </c>
      <c r="I466" s="5" t="s">
        <v>64</v>
      </c>
      <c r="J466" s="5" t="s">
        <v>65</v>
      </c>
      <c r="K466" s="5" t="s">
        <v>66</v>
      </c>
      <c r="L466" s="2" t="s">
        <v>277</v>
      </c>
      <c r="M466" s="2" t="s">
        <v>3297</v>
      </c>
      <c r="N466" s="2" t="s">
        <v>184</v>
      </c>
      <c r="O466" s="2" t="s">
        <v>1457</v>
      </c>
      <c r="P466" s="2"/>
      <c r="Q466" s="5" t="n">
        <v>1</v>
      </c>
      <c r="R466" s="2" t="s">
        <v>71</v>
      </c>
      <c r="S466" s="2" t="s">
        <v>3304</v>
      </c>
      <c r="T466" s="2" t="s">
        <v>3299</v>
      </c>
      <c r="U466" s="2" t="s">
        <v>74</v>
      </c>
      <c r="V466" s="5" t="n">
        <v>300</v>
      </c>
      <c r="W466" s="2"/>
      <c r="X466" s="2" t="s">
        <v>1460</v>
      </c>
      <c r="Y466" s="5"/>
      <c r="Z466" s="2" t="s">
        <v>3305</v>
      </c>
      <c r="AA466" s="6" t="s">
        <v>3306</v>
      </c>
    </row>
    <row r="467" customFormat="false" ht="102.2" hidden="false" customHeight="false" outlineLevel="0" collapsed="false">
      <c r="A467" s="5" t="s">
        <v>3307</v>
      </c>
      <c r="B467" s="2" t="s">
        <v>3308</v>
      </c>
      <c r="C467" s="5" t="s">
        <v>2128</v>
      </c>
      <c r="D467" s="5" t="s">
        <v>60</v>
      </c>
      <c r="E467" s="2" t="s">
        <v>269</v>
      </c>
      <c r="F467" s="5" t="s">
        <v>62</v>
      </c>
      <c r="G467" s="5" t="n">
        <v>7</v>
      </c>
      <c r="H467" s="5" t="s">
        <v>89</v>
      </c>
      <c r="I467" s="5" t="s">
        <v>64</v>
      </c>
      <c r="J467" s="5" t="s">
        <v>65</v>
      </c>
      <c r="K467" s="5" t="s">
        <v>66</v>
      </c>
      <c r="L467" s="2" t="s">
        <v>67</v>
      </c>
      <c r="M467" s="2" t="s">
        <v>3309</v>
      </c>
      <c r="N467" s="2" t="s">
        <v>184</v>
      </c>
      <c r="O467" s="2" t="s">
        <v>3310</v>
      </c>
      <c r="P467" s="2"/>
      <c r="Q467" s="5" t="n">
        <v>1</v>
      </c>
      <c r="R467" s="2" t="s">
        <v>71</v>
      </c>
      <c r="S467" s="2" t="s">
        <v>3311</v>
      </c>
      <c r="T467" s="2" t="s">
        <v>2019</v>
      </c>
      <c r="U467" s="2" t="s">
        <v>74</v>
      </c>
      <c r="V467" s="5" t="n">
        <v>300</v>
      </c>
      <c r="W467" s="2"/>
      <c r="X467" s="2" t="s">
        <v>1516</v>
      </c>
      <c r="Y467" s="5"/>
      <c r="Z467" s="2" t="s">
        <v>3312</v>
      </c>
      <c r="AA467" s="6" t="s">
        <v>3313</v>
      </c>
    </row>
    <row r="468" customFormat="false" ht="113.4" hidden="false" customHeight="false" outlineLevel="0" collapsed="false">
      <c r="A468" s="5" t="s">
        <v>3314</v>
      </c>
      <c r="B468" s="2" t="s">
        <v>3315</v>
      </c>
      <c r="C468" s="5" t="s">
        <v>2128</v>
      </c>
      <c r="D468" s="5" t="s">
        <v>60</v>
      </c>
      <c r="E468" s="2" t="s">
        <v>269</v>
      </c>
      <c r="F468" s="5" t="s">
        <v>62</v>
      </c>
      <c r="G468" s="5" t="n">
        <v>7</v>
      </c>
      <c r="H468" s="5" t="s">
        <v>89</v>
      </c>
      <c r="I468" s="5" t="s">
        <v>64</v>
      </c>
      <c r="J468" s="5" t="s">
        <v>65</v>
      </c>
      <c r="K468" s="5" t="s">
        <v>66</v>
      </c>
      <c r="L468" s="2" t="s">
        <v>67</v>
      </c>
      <c r="M468" s="2" t="s">
        <v>3309</v>
      </c>
      <c r="N468" s="2" t="s">
        <v>184</v>
      </c>
      <c r="O468" s="2" t="s">
        <v>3310</v>
      </c>
      <c r="P468" s="2"/>
      <c r="Q468" s="5" t="n">
        <v>1</v>
      </c>
      <c r="R468" s="2" t="s">
        <v>71</v>
      </c>
      <c r="S468" s="2" t="s">
        <v>3316</v>
      </c>
      <c r="T468" s="2" t="s">
        <v>2019</v>
      </c>
      <c r="U468" s="2" t="s">
        <v>74</v>
      </c>
      <c r="V468" s="5" t="n">
        <v>300</v>
      </c>
      <c r="W468" s="2"/>
      <c r="X468" s="2" t="s">
        <v>1516</v>
      </c>
      <c r="Y468" s="5"/>
      <c r="Z468" s="2" t="s">
        <v>3317</v>
      </c>
      <c r="AA468" s="6" t="s">
        <v>3318</v>
      </c>
    </row>
    <row r="469" customFormat="false" ht="46.25" hidden="false" customHeight="false" outlineLevel="0" collapsed="false">
      <c r="A469" s="5" t="s">
        <v>3319</v>
      </c>
      <c r="B469" s="2" t="s">
        <v>3320</v>
      </c>
      <c r="C469" s="5" t="s">
        <v>2128</v>
      </c>
      <c r="D469" s="5" t="s">
        <v>60</v>
      </c>
      <c r="E469" s="2" t="s">
        <v>269</v>
      </c>
      <c r="F469" s="5" t="s">
        <v>62</v>
      </c>
      <c r="G469" s="5" t="n">
        <v>5</v>
      </c>
      <c r="H469" s="5" t="s">
        <v>89</v>
      </c>
      <c r="I469" s="5" t="s">
        <v>64</v>
      </c>
      <c r="J469" s="5" t="s">
        <v>65</v>
      </c>
      <c r="K469" s="5" t="s">
        <v>66</v>
      </c>
      <c r="L469" s="2" t="s">
        <v>67</v>
      </c>
      <c r="M469" s="2" t="s">
        <v>3309</v>
      </c>
      <c r="N469" s="2" t="s">
        <v>184</v>
      </c>
      <c r="O469" s="2" t="s">
        <v>3310</v>
      </c>
      <c r="P469" s="2"/>
      <c r="Q469" s="5" t="n">
        <v>1</v>
      </c>
      <c r="R469" s="2" t="s">
        <v>71</v>
      </c>
      <c r="S469" s="2" t="s">
        <v>3321</v>
      </c>
      <c r="T469" s="2" t="s">
        <v>3322</v>
      </c>
      <c r="U469" s="2" t="s">
        <v>74</v>
      </c>
      <c r="V469" s="5" t="n">
        <v>300</v>
      </c>
      <c r="W469" s="2"/>
      <c r="X469" s="2" t="s">
        <v>1516</v>
      </c>
      <c r="Y469" s="5"/>
      <c r="Z469" s="2" t="s">
        <v>3323</v>
      </c>
      <c r="AA469" s="6" t="s">
        <v>3324</v>
      </c>
    </row>
    <row r="470" customFormat="false" ht="68.65" hidden="false" customHeight="false" outlineLevel="0" collapsed="false">
      <c r="A470" s="5" t="s">
        <v>3325</v>
      </c>
      <c r="B470" s="2" t="s">
        <v>3326</v>
      </c>
      <c r="C470" s="5" t="s">
        <v>2245</v>
      </c>
      <c r="D470" s="5" t="s">
        <v>60</v>
      </c>
      <c r="E470" s="2" t="s">
        <v>161</v>
      </c>
      <c r="F470" s="5" t="s">
        <v>62</v>
      </c>
      <c r="G470" s="5" t="n">
        <v>7</v>
      </c>
      <c r="H470" s="5" t="s">
        <v>89</v>
      </c>
      <c r="I470" s="5" t="s">
        <v>64</v>
      </c>
      <c r="J470" s="5" t="s">
        <v>65</v>
      </c>
      <c r="K470" s="5" t="s">
        <v>66</v>
      </c>
      <c r="L470" s="2" t="s">
        <v>67</v>
      </c>
      <c r="M470" s="2" t="s">
        <v>578</v>
      </c>
      <c r="N470" s="2" t="s">
        <v>3232</v>
      </c>
      <c r="O470" s="2" t="s">
        <v>3327</v>
      </c>
      <c r="P470" s="2"/>
      <c r="Q470" s="5" t="n">
        <v>1</v>
      </c>
      <c r="R470" s="2" t="s">
        <v>71</v>
      </c>
      <c r="S470" s="2" t="s">
        <v>3328</v>
      </c>
      <c r="T470" s="2" t="s">
        <v>3329</v>
      </c>
      <c r="U470" s="2" t="s">
        <v>74</v>
      </c>
      <c r="V470" s="5" t="n">
        <v>300</v>
      </c>
      <c r="W470" s="2"/>
      <c r="X470" s="2" t="s">
        <v>3330</v>
      </c>
      <c r="Y470" s="5" t="s">
        <v>1225</v>
      </c>
      <c r="Z470" s="2" t="s">
        <v>3331</v>
      </c>
      <c r="AA470" s="6" t="s">
        <v>3332</v>
      </c>
    </row>
    <row r="471" customFormat="false" ht="91" hidden="false" customHeight="false" outlineLevel="0" collapsed="false">
      <c r="A471" s="5" t="s">
        <v>3333</v>
      </c>
      <c r="B471" s="2" t="s">
        <v>3334</v>
      </c>
      <c r="C471" s="5" t="s">
        <v>2245</v>
      </c>
      <c r="D471" s="5" t="s">
        <v>60</v>
      </c>
      <c r="E471" s="2" t="s">
        <v>161</v>
      </c>
      <c r="F471" s="5" t="s">
        <v>62</v>
      </c>
      <c r="G471" s="5" t="n">
        <v>7</v>
      </c>
      <c r="H471" s="5" t="s">
        <v>89</v>
      </c>
      <c r="I471" s="5" t="s">
        <v>64</v>
      </c>
      <c r="J471" s="5" t="s">
        <v>65</v>
      </c>
      <c r="K471" s="5" t="s">
        <v>66</v>
      </c>
      <c r="L471" s="2" t="s">
        <v>67</v>
      </c>
      <c r="M471" s="2" t="s">
        <v>578</v>
      </c>
      <c r="N471" s="2" t="s">
        <v>3232</v>
      </c>
      <c r="O471" s="2" t="s">
        <v>3327</v>
      </c>
      <c r="P471" s="2"/>
      <c r="Q471" s="5" t="n">
        <v>1</v>
      </c>
      <c r="R471" s="2" t="s">
        <v>71</v>
      </c>
      <c r="S471" s="2" t="s">
        <v>3335</v>
      </c>
      <c r="T471" s="2" t="s">
        <v>3329</v>
      </c>
      <c r="U471" s="2" t="s">
        <v>74</v>
      </c>
      <c r="V471" s="5" t="n">
        <v>300</v>
      </c>
      <c r="W471" s="2"/>
      <c r="X471" s="2" t="s">
        <v>3330</v>
      </c>
      <c r="Y471" s="5" t="s">
        <v>1225</v>
      </c>
      <c r="Z471" s="2" t="s">
        <v>3336</v>
      </c>
      <c r="AA471" s="6" t="s">
        <v>3337</v>
      </c>
    </row>
    <row r="472" customFormat="false" ht="57.45" hidden="false" customHeight="false" outlineLevel="0" collapsed="false">
      <c r="A472" s="5" t="s">
        <v>3338</v>
      </c>
      <c r="B472" s="2" t="s">
        <v>3339</v>
      </c>
      <c r="C472" s="5" t="s">
        <v>2128</v>
      </c>
      <c r="D472" s="5" t="s">
        <v>60</v>
      </c>
      <c r="E472" s="2" t="s">
        <v>161</v>
      </c>
      <c r="F472" s="5" t="s">
        <v>62</v>
      </c>
      <c r="G472" s="5" t="n">
        <v>7</v>
      </c>
      <c r="H472" s="5" t="s">
        <v>89</v>
      </c>
      <c r="I472" s="5" t="s">
        <v>64</v>
      </c>
      <c r="J472" s="5" t="s">
        <v>65</v>
      </c>
      <c r="K472" s="5" t="s">
        <v>66</v>
      </c>
      <c r="L472" s="2" t="s">
        <v>67</v>
      </c>
      <c r="M472" s="2" t="s">
        <v>578</v>
      </c>
      <c r="N472" s="2" t="s">
        <v>367</v>
      </c>
      <c r="O472" s="2" t="s">
        <v>1105</v>
      </c>
      <c r="P472" s="2"/>
      <c r="Q472" s="5" t="n">
        <v>1</v>
      </c>
      <c r="R472" s="2" t="s">
        <v>71</v>
      </c>
      <c r="S472" s="2" t="s">
        <v>3340</v>
      </c>
      <c r="T472" s="2" t="s">
        <v>1176</v>
      </c>
      <c r="U472" s="2" t="s">
        <v>74</v>
      </c>
      <c r="V472" s="5" t="n">
        <v>300</v>
      </c>
      <c r="W472" s="2"/>
      <c r="X472" s="2" t="s">
        <v>1108</v>
      </c>
      <c r="Y472" s="5" t="s">
        <v>309</v>
      </c>
      <c r="Z472" s="2" t="s">
        <v>3341</v>
      </c>
      <c r="AA472" s="6" t="s">
        <v>3342</v>
      </c>
    </row>
    <row r="473" customFormat="false" ht="57.45" hidden="false" customHeight="false" outlineLevel="0" collapsed="false">
      <c r="A473" s="5" t="s">
        <v>3343</v>
      </c>
      <c r="B473" s="2" t="s">
        <v>3344</v>
      </c>
      <c r="C473" s="5" t="s">
        <v>2128</v>
      </c>
      <c r="D473" s="5" t="s">
        <v>60</v>
      </c>
      <c r="E473" s="2" t="s">
        <v>161</v>
      </c>
      <c r="F473" s="5" t="s">
        <v>62</v>
      </c>
      <c r="G473" s="5" t="n">
        <v>7</v>
      </c>
      <c r="H473" s="5" t="s">
        <v>89</v>
      </c>
      <c r="I473" s="5" t="s">
        <v>64</v>
      </c>
      <c r="J473" s="5" t="s">
        <v>65</v>
      </c>
      <c r="K473" s="5" t="s">
        <v>66</v>
      </c>
      <c r="L473" s="2" t="s">
        <v>67</v>
      </c>
      <c r="M473" s="2" t="s">
        <v>578</v>
      </c>
      <c r="N473" s="2" t="s">
        <v>367</v>
      </c>
      <c r="O473" s="2" t="s">
        <v>1105</v>
      </c>
      <c r="P473" s="2"/>
      <c r="Q473" s="5" t="n">
        <v>1</v>
      </c>
      <c r="R473" s="2" t="s">
        <v>71</v>
      </c>
      <c r="S473" s="2" t="s">
        <v>3345</v>
      </c>
      <c r="T473" s="2" t="s">
        <v>3265</v>
      </c>
      <c r="U473" s="2" t="s">
        <v>74</v>
      </c>
      <c r="V473" s="5" t="n">
        <v>300</v>
      </c>
      <c r="W473" s="2"/>
      <c r="X473" s="2" t="s">
        <v>1108</v>
      </c>
      <c r="Y473" s="5" t="s">
        <v>309</v>
      </c>
      <c r="Z473" s="2" t="s">
        <v>3346</v>
      </c>
      <c r="AA473" s="6" t="s">
        <v>3347</v>
      </c>
    </row>
    <row r="474" customFormat="false" ht="46.25" hidden="false" customHeight="false" outlineLevel="0" collapsed="false">
      <c r="A474" s="5" t="s">
        <v>3348</v>
      </c>
      <c r="B474" s="2" t="s">
        <v>3349</v>
      </c>
      <c r="C474" s="5" t="s">
        <v>2128</v>
      </c>
      <c r="D474" s="5" t="s">
        <v>60</v>
      </c>
      <c r="E474" s="2" t="s">
        <v>2754</v>
      </c>
      <c r="F474" s="5" t="s">
        <v>62</v>
      </c>
      <c r="G474" s="5" t="n">
        <v>5</v>
      </c>
      <c r="H474" s="5" t="s">
        <v>89</v>
      </c>
      <c r="I474" s="5" t="s">
        <v>64</v>
      </c>
      <c r="J474" s="5" t="s">
        <v>65</v>
      </c>
      <c r="K474" s="5" t="s">
        <v>66</v>
      </c>
      <c r="L474" s="2" t="s">
        <v>90</v>
      </c>
      <c r="M474" s="2"/>
      <c r="N474" s="2" t="s">
        <v>367</v>
      </c>
      <c r="O474" s="2" t="s">
        <v>1105</v>
      </c>
      <c r="P474" s="2"/>
      <c r="Q474" s="5" t="n">
        <v>1</v>
      </c>
      <c r="R474" s="2" t="s">
        <v>71</v>
      </c>
      <c r="S474" s="2" t="s">
        <v>3350</v>
      </c>
      <c r="T474" s="2" t="s">
        <v>1176</v>
      </c>
      <c r="U474" s="2" t="s">
        <v>74</v>
      </c>
      <c r="V474" s="5" t="n">
        <v>300</v>
      </c>
      <c r="W474" s="2"/>
      <c r="X474" s="2" t="s">
        <v>1108</v>
      </c>
      <c r="Y474" s="5" t="s">
        <v>309</v>
      </c>
      <c r="Z474" s="2" t="s">
        <v>3351</v>
      </c>
      <c r="AA474" s="6" t="s">
        <v>3352</v>
      </c>
    </row>
    <row r="475" customFormat="false" ht="124.6" hidden="false" customHeight="false" outlineLevel="0" collapsed="false">
      <c r="A475" s="5" t="s">
        <v>3353</v>
      </c>
      <c r="B475" s="2" t="s">
        <v>3354</v>
      </c>
      <c r="C475" s="5" t="s">
        <v>2245</v>
      </c>
      <c r="D475" s="5" t="s">
        <v>60</v>
      </c>
      <c r="E475" s="2" t="s">
        <v>3355</v>
      </c>
      <c r="F475" s="5" t="s">
        <v>490</v>
      </c>
      <c r="G475" s="5" t="n">
        <v>5</v>
      </c>
      <c r="H475" s="5" t="s">
        <v>89</v>
      </c>
      <c r="I475" s="5" t="s">
        <v>64</v>
      </c>
      <c r="J475" s="5" t="s">
        <v>65</v>
      </c>
      <c r="K475" s="5" t="s">
        <v>66</v>
      </c>
      <c r="L475" s="2" t="s">
        <v>90</v>
      </c>
      <c r="M475" s="2"/>
      <c r="N475" s="2" t="s">
        <v>3157</v>
      </c>
      <c r="O475" s="2" t="s">
        <v>3356</v>
      </c>
      <c r="P475" s="2"/>
      <c r="Q475" s="5" t="n">
        <v>1</v>
      </c>
      <c r="R475" s="2" t="s">
        <v>71</v>
      </c>
      <c r="S475" s="2" t="s">
        <v>83</v>
      </c>
      <c r="T475" s="2" t="s">
        <v>1098</v>
      </c>
      <c r="U475" s="2" t="s">
        <v>74</v>
      </c>
      <c r="V475" s="5" t="n">
        <v>300</v>
      </c>
      <c r="W475" s="2"/>
      <c r="X475" s="2" t="s">
        <v>2060</v>
      </c>
      <c r="Y475" s="5"/>
      <c r="Z475" s="2" t="s">
        <v>3357</v>
      </c>
      <c r="AA475" s="6" t="s">
        <v>3358</v>
      </c>
    </row>
    <row r="476" customFormat="false" ht="91" hidden="false" customHeight="false" outlineLevel="0" collapsed="false">
      <c r="A476" s="5" t="s">
        <v>3359</v>
      </c>
      <c r="B476" s="2" t="s">
        <v>3360</v>
      </c>
      <c r="C476" s="5" t="s">
        <v>2128</v>
      </c>
      <c r="D476" s="5" t="s">
        <v>60</v>
      </c>
      <c r="E476" s="2" t="s">
        <v>161</v>
      </c>
      <c r="F476" s="5" t="s">
        <v>62</v>
      </c>
      <c r="G476" s="5" t="n">
        <v>7</v>
      </c>
      <c r="H476" s="5" t="s">
        <v>89</v>
      </c>
      <c r="I476" s="5" t="s">
        <v>64</v>
      </c>
      <c r="J476" s="5" t="s">
        <v>65</v>
      </c>
      <c r="K476" s="5" t="s">
        <v>66</v>
      </c>
      <c r="L476" s="2" t="s">
        <v>67</v>
      </c>
      <c r="M476" s="2" t="s">
        <v>578</v>
      </c>
      <c r="N476" s="2" t="s">
        <v>367</v>
      </c>
      <c r="O476" s="2" t="s">
        <v>1105</v>
      </c>
      <c r="P476" s="2"/>
      <c r="Q476" s="5" t="n">
        <v>1</v>
      </c>
      <c r="R476" s="2" t="s">
        <v>71</v>
      </c>
      <c r="S476" s="2" t="s">
        <v>3361</v>
      </c>
      <c r="T476" s="2" t="s">
        <v>3362</v>
      </c>
      <c r="U476" s="2" t="s">
        <v>74</v>
      </c>
      <c r="V476" s="5" t="n">
        <v>300</v>
      </c>
      <c r="W476" s="2"/>
      <c r="X476" s="2" t="s">
        <v>1108</v>
      </c>
      <c r="Y476" s="5" t="s">
        <v>309</v>
      </c>
      <c r="Z476" s="2" t="s">
        <v>3363</v>
      </c>
      <c r="AA476" s="6" t="s">
        <v>3364</v>
      </c>
    </row>
    <row r="477" customFormat="false" ht="147" hidden="false" customHeight="false" outlineLevel="0" collapsed="false">
      <c r="A477" s="5" t="s">
        <v>3365</v>
      </c>
      <c r="B477" s="2" t="s">
        <v>3366</v>
      </c>
      <c r="C477" s="5" t="s">
        <v>2128</v>
      </c>
      <c r="D477" s="5" t="s">
        <v>60</v>
      </c>
      <c r="E477" s="2" t="s">
        <v>269</v>
      </c>
      <c r="F477" s="5" t="s">
        <v>62</v>
      </c>
      <c r="G477" s="5" t="n">
        <v>7</v>
      </c>
      <c r="H477" s="5" t="s">
        <v>89</v>
      </c>
      <c r="I477" s="5" t="s">
        <v>64</v>
      </c>
      <c r="J477" s="5" t="s">
        <v>65</v>
      </c>
      <c r="K477" s="5" t="s">
        <v>66</v>
      </c>
      <c r="L477" s="2" t="s">
        <v>413</v>
      </c>
      <c r="M477" s="2" t="s">
        <v>414</v>
      </c>
      <c r="N477" s="2" t="s">
        <v>184</v>
      </c>
      <c r="O477" s="2" t="s">
        <v>1198</v>
      </c>
      <c r="P477" s="2"/>
      <c r="Q477" s="5" t="n">
        <v>1</v>
      </c>
      <c r="R477" s="2" t="s">
        <v>71</v>
      </c>
      <c r="S477" s="2" t="s">
        <v>3367</v>
      </c>
      <c r="T477" s="2" t="s">
        <v>1200</v>
      </c>
      <c r="U477" s="2" t="s">
        <v>74</v>
      </c>
      <c r="V477" s="5" t="n">
        <v>300</v>
      </c>
      <c r="W477" s="2"/>
      <c r="X477" s="2" t="s">
        <v>1201</v>
      </c>
      <c r="Y477" s="5"/>
      <c r="Z477" s="2" t="s">
        <v>3368</v>
      </c>
      <c r="AA477" s="6" t="s">
        <v>3369</v>
      </c>
    </row>
    <row r="478" customFormat="false" ht="57.45" hidden="false" customHeight="false" outlineLevel="0" collapsed="false">
      <c r="A478" s="5" t="s">
        <v>3370</v>
      </c>
      <c r="B478" s="2" t="s">
        <v>3371</v>
      </c>
      <c r="C478" s="5" t="s">
        <v>2128</v>
      </c>
      <c r="D478" s="5" t="s">
        <v>60</v>
      </c>
      <c r="E478" s="2" t="s">
        <v>2754</v>
      </c>
      <c r="F478" s="5" t="s">
        <v>62</v>
      </c>
      <c r="G478" s="5" t="n">
        <v>7</v>
      </c>
      <c r="H478" s="5" t="s">
        <v>89</v>
      </c>
      <c r="I478" s="5" t="s">
        <v>64</v>
      </c>
      <c r="J478" s="5" t="s">
        <v>65</v>
      </c>
      <c r="K478" s="5" t="s">
        <v>66</v>
      </c>
      <c r="L478" s="2" t="s">
        <v>1814</v>
      </c>
      <c r="M478" s="2" t="s">
        <v>3372</v>
      </c>
      <c r="N478" s="2" t="s">
        <v>367</v>
      </c>
      <c r="O478" s="2" t="s">
        <v>3373</v>
      </c>
      <c r="P478" s="2"/>
      <c r="Q478" s="5" t="n">
        <v>1</v>
      </c>
      <c r="R478" s="2" t="s">
        <v>71</v>
      </c>
      <c r="S478" s="2" t="s">
        <v>3374</v>
      </c>
      <c r="T478" s="2" t="s">
        <v>3375</v>
      </c>
      <c r="U478" s="2" t="s">
        <v>74</v>
      </c>
      <c r="V478" s="5" t="n">
        <v>300</v>
      </c>
      <c r="W478" s="2"/>
      <c r="X478" s="2" t="s">
        <v>3376</v>
      </c>
      <c r="Y478" s="5"/>
      <c r="Z478" s="2" t="s">
        <v>3377</v>
      </c>
      <c r="AA478" s="6" t="s">
        <v>3378</v>
      </c>
    </row>
    <row r="479" customFormat="false" ht="57.45" hidden="false" customHeight="false" outlineLevel="0" collapsed="false">
      <c r="A479" s="5" t="s">
        <v>3379</v>
      </c>
      <c r="B479" s="2" t="s">
        <v>3380</v>
      </c>
      <c r="C479" s="5" t="s">
        <v>2128</v>
      </c>
      <c r="D479" s="5" t="s">
        <v>60</v>
      </c>
      <c r="E479" s="2" t="s">
        <v>269</v>
      </c>
      <c r="F479" s="5" t="s">
        <v>62</v>
      </c>
      <c r="G479" s="5" t="n">
        <v>7</v>
      </c>
      <c r="H479" s="5" t="s">
        <v>89</v>
      </c>
      <c r="I479" s="5" t="s">
        <v>64</v>
      </c>
      <c r="J479" s="5" t="s">
        <v>65</v>
      </c>
      <c r="K479" s="5" t="s">
        <v>66</v>
      </c>
      <c r="L479" s="2" t="s">
        <v>67</v>
      </c>
      <c r="M479" s="2" t="s">
        <v>2926</v>
      </c>
      <c r="N479" s="2" t="s">
        <v>184</v>
      </c>
      <c r="O479" s="2" t="s">
        <v>3381</v>
      </c>
      <c r="P479" s="2"/>
      <c r="Q479" s="5" t="n">
        <v>1</v>
      </c>
      <c r="R479" s="2" t="s">
        <v>71</v>
      </c>
      <c r="S479" s="2" t="s">
        <v>3382</v>
      </c>
      <c r="T479" s="2" t="s">
        <v>1098</v>
      </c>
      <c r="U479" s="2" t="s">
        <v>74</v>
      </c>
      <c r="V479" s="5" t="n">
        <v>300</v>
      </c>
      <c r="W479" s="2"/>
      <c r="X479" s="2" t="s">
        <v>3383</v>
      </c>
      <c r="Y479" s="5"/>
      <c r="Z479" s="2" t="s">
        <v>3384</v>
      </c>
      <c r="AA479" s="6" t="s">
        <v>3385</v>
      </c>
    </row>
    <row r="480" customFormat="false" ht="46.25" hidden="false" customHeight="false" outlineLevel="0" collapsed="false">
      <c r="A480" s="5" t="s">
        <v>3386</v>
      </c>
      <c r="B480" s="2" t="s">
        <v>3387</v>
      </c>
      <c r="C480" s="5" t="s">
        <v>2128</v>
      </c>
      <c r="D480" s="5" t="s">
        <v>60</v>
      </c>
      <c r="E480" s="2" t="s">
        <v>269</v>
      </c>
      <c r="F480" s="5" t="s">
        <v>62</v>
      </c>
      <c r="G480" s="5" t="n">
        <v>7</v>
      </c>
      <c r="H480" s="5" t="s">
        <v>89</v>
      </c>
      <c r="I480" s="5" t="s">
        <v>64</v>
      </c>
      <c r="J480" s="5" t="s">
        <v>65</v>
      </c>
      <c r="K480" s="5" t="s">
        <v>66</v>
      </c>
      <c r="L480" s="2" t="s">
        <v>3005</v>
      </c>
      <c r="M480" s="2"/>
      <c r="N480" s="2" t="s">
        <v>184</v>
      </c>
      <c r="O480" s="2" t="s">
        <v>3381</v>
      </c>
      <c r="P480" s="2"/>
      <c r="Q480" s="5" t="n">
        <v>1</v>
      </c>
      <c r="R480" s="2" t="s">
        <v>71</v>
      </c>
      <c r="S480" s="2" t="s">
        <v>3388</v>
      </c>
      <c r="T480" s="2" t="s">
        <v>1098</v>
      </c>
      <c r="U480" s="2" t="s">
        <v>74</v>
      </c>
      <c r="V480" s="5" t="n">
        <v>300</v>
      </c>
      <c r="W480" s="2"/>
      <c r="X480" s="2" t="s">
        <v>3383</v>
      </c>
      <c r="Y480" s="5"/>
      <c r="Z480" s="2" t="s">
        <v>3389</v>
      </c>
      <c r="AA480" s="6" t="s">
        <v>3390</v>
      </c>
    </row>
    <row r="481" customFormat="false" ht="68.65" hidden="false" customHeight="false" outlineLevel="0" collapsed="false">
      <c r="A481" s="5" t="s">
        <v>3391</v>
      </c>
      <c r="B481" s="2" t="s">
        <v>3392</v>
      </c>
      <c r="C481" s="5" t="s">
        <v>2245</v>
      </c>
      <c r="D481" s="5" t="s">
        <v>60</v>
      </c>
      <c r="E481" s="2" t="s">
        <v>1104</v>
      </c>
      <c r="F481" s="5" t="s">
        <v>62</v>
      </c>
      <c r="G481" s="5" t="n">
        <v>7</v>
      </c>
      <c r="H481" s="5" t="s">
        <v>89</v>
      </c>
      <c r="I481" s="5" t="s">
        <v>64</v>
      </c>
      <c r="J481" s="5" t="s">
        <v>65</v>
      </c>
      <c r="K481" s="5" t="s">
        <v>66</v>
      </c>
      <c r="L481" s="2" t="s">
        <v>100</v>
      </c>
      <c r="M481" s="2" t="s">
        <v>450</v>
      </c>
      <c r="N481" s="2" t="s">
        <v>3129</v>
      </c>
      <c r="O481" s="2" t="s">
        <v>3130</v>
      </c>
      <c r="P481" s="2"/>
      <c r="Q481" s="5" t="n">
        <v>1</v>
      </c>
      <c r="R481" s="2" t="s">
        <v>71</v>
      </c>
      <c r="S481" s="2" t="s">
        <v>3393</v>
      </c>
      <c r="T481" s="2" t="s">
        <v>3132</v>
      </c>
      <c r="U481" s="2" t="s">
        <v>74</v>
      </c>
      <c r="V481" s="5" t="n">
        <v>300</v>
      </c>
      <c r="W481" s="2"/>
      <c r="X481" s="2" t="s">
        <v>3133</v>
      </c>
      <c r="Y481" s="5" t="s">
        <v>3134</v>
      </c>
      <c r="Z481" s="2" t="s">
        <v>3394</v>
      </c>
      <c r="AA481" s="6" t="s">
        <v>3395</v>
      </c>
    </row>
    <row r="482" customFormat="false" ht="46.25" hidden="false" customHeight="false" outlineLevel="0" collapsed="false">
      <c r="A482" s="5" t="s">
        <v>3396</v>
      </c>
      <c r="B482" s="2" t="s">
        <v>3397</v>
      </c>
      <c r="C482" s="5" t="s">
        <v>2128</v>
      </c>
      <c r="D482" s="5" t="s">
        <v>60</v>
      </c>
      <c r="E482" s="2" t="s">
        <v>161</v>
      </c>
      <c r="F482" s="5" t="s">
        <v>62</v>
      </c>
      <c r="G482" s="5" t="n">
        <v>7</v>
      </c>
      <c r="H482" s="5" t="s">
        <v>89</v>
      </c>
      <c r="I482" s="5" t="s">
        <v>64</v>
      </c>
      <c r="J482" s="5" t="s">
        <v>65</v>
      </c>
      <c r="K482" s="5" t="s">
        <v>66</v>
      </c>
      <c r="L482" s="2" t="s">
        <v>90</v>
      </c>
      <c r="M482" s="2" t="s">
        <v>163</v>
      </c>
      <c r="N482" s="2" t="s">
        <v>367</v>
      </c>
      <c r="O482" s="2" t="s">
        <v>1221</v>
      </c>
      <c r="P482" s="2"/>
      <c r="Q482" s="5" t="n">
        <v>1</v>
      </c>
      <c r="R482" s="2" t="s">
        <v>71</v>
      </c>
      <c r="S482" s="2" t="s">
        <v>3398</v>
      </c>
      <c r="T482" s="2" t="s">
        <v>1302</v>
      </c>
      <c r="U482" s="2" t="s">
        <v>74</v>
      </c>
      <c r="V482" s="5" t="n">
        <v>300</v>
      </c>
      <c r="W482" s="2"/>
      <c r="X482" s="2" t="s">
        <v>1224</v>
      </c>
      <c r="Y482" s="5" t="s">
        <v>1225</v>
      </c>
      <c r="Z482" s="2" t="s">
        <v>3399</v>
      </c>
      <c r="AA482" s="6" t="s">
        <v>3400</v>
      </c>
    </row>
    <row r="483" customFormat="false" ht="57.45" hidden="false" customHeight="false" outlineLevel="0" collapsed="false">
      <c r="A483" s="5" t="s">
        <v>3401</v>
      </c>
      <c r="B483" s="2" t="s">
        <v>3402</v>
      </c>
      <c r="C483" s="5" t="s">
        <v>2128</v>
      </c>
      <c r="D483" s="5" t="s">
        <v>60</v>
      </c>
      <c r="E483" s="2" t="s">
        <v>2078</v>
      </c>
      <c r="F483" s="5" t="s">
        <v>62</v>
      </c>
      <c r="G483" s="5" t="n">
        <v>5</v>
      </c>
      <c r="H483" s="5" t="s">
        <v>89</v>
      </c>
      <c r="I483" s="5" t="s">
        <v>64</v>
      </c>
      <c r="J483" s="5" t="s">
        <v>65</v>
      </c>
      <c r="K483" s="5" t="s">
        <v>66</v>
      </c>
      <c r="L483" s="2" t="s">
        <v>2079</v>
      </c>
      <c r="M483" s="2" t="s">
        <v>3139</v>
      </c>
      <c r="N483" s="2" t="s">
        <v>184</v>
      </c>
      <c r="O483" s="2" t="s">
        <v>1612</v>
      </c>
      <c r="P483" s="2"/>
      <c r="Q483" s="5" t="n">
        <v>1</v>
      </c>
      <c r="R483" s="2" t="s">
        <v>71</v>
      </c>
      <c r="S483" s="2" t="s">
        <v>3403</v>
      </c>
      <c r="T483" s="2" t="s">
        <v>1614</v>
      </c>
      <c r="U483" s="2" t="s">
        <v>74</v>
      </c>
      <c r="V483" s="5" t="n">
        <v>300</v>
      </c>
      <c r="W483" s="2"/>
      <c r="X483" s="2" t="s">
        <v>1615</v>
      </c>
      <c r="Y483" s="5"/>
      <c r="Z483" s="2" t="s">
        <v>3404</v>
      </c>
      <c r="AA483" s="6" t="s">
        <v>3405</v>
      </c>
    </row>
    <row r="484" customFormat="false" ht="57.45" hidden="false" customHeight="false" outlineLevel="0" collapsed="false">
      <c r="A484" s="5" t="s">
        <v>3406</v>
      </c>
      <c r="B484" s="2" t="s">
        <v>3407</v>
      </c>
      <c r="C484" s="5" t="s">
        <v>2128</v>
      </c>
      <c r="D484" s="5" t="s">
        <v>60</v>
      </c>
      <c r="E484" s="2" t="s">
        <v>2078</v>
      </c>
      <c r="F484" s="5" t="s">
        <v>62</v>
      </c>
      <c r="G484" s="5" t="n">
        <v>7</v>
      </c>
      <c r="H484" s="5" t="s">
        <v>89</v>
      </c>
      <c r="I484" s="5" t="s">
        <v>64</v>
      </c>
      <c r="J484" s="5" t="s">
        <v>65</v>
      </c>
      <c r="K484" s="5" t="s">
        <v>66</v>
      </c>
      <c r="L484" s="2" t="s">
        <v>2079</v>
      </c>
      <c r="M484" s="2" t="s">
        <v>3408</v>
      </c>
      <c r="N484" s="2" t="s">
        <v>184</v>
      </c>
      <c r="O484" s="2" t="s">
        <v>1612</v>
      </c>
      <c r="P484" s="2"/>
      <c r="Q484" s="5" t="n">
        <v>1</v>
      </c>
      <c r="R484" s="2" t="s">
        <v>71</v>
      </c>
      <c r="S484" s="2" t="s">
        <v>3409</v>
      </c>
      <c r="T484" s="2" t="s">
        <v>3410</v>
      </c>
      <c r="U484" s="2" t="s">
        <v>74</v>
      </c>
      <c r="V484" s="5" t="n">
        <v>300</v>
      </c>
      <c r="W484" s="2"/>
      <c r="X484" s="2" t="s">
        <v>1615</v>
      </c>
      <c r="Y484" s="5"/>
      <c r="Z484" s="2" t="s">
        <v>3411</v>
      </c>
      <c r="AA484" s="6" t="s">
        <v>3412</v>
      </c>
    </row>
    <row r="485" customFormat="false" ht="68.65" hidden="false" customHeight="false" outlineLevel="0" collapsed="false">
      <c r="A485" s="5" t="s">
        <v>3413</v>
      </c>
      <c r="B485" s="2" t="s">
        <v>3414</v>
      </c>
      <c r="C485" s="5" t="s">
        <v>2128</v>
      </c>
      <c r="D485" s="5" t="s">
        <v>60</v>
      </c>
      <c r="E485" s="2" t="s">
        <v>2078</v>
      </c>
      <c r="F485" s="5" t="s">
        <v>62</v>
      </c>
      <c r="G485" s="5" t="n">
        <v>5</v>
      </c>
      <c r="H485" s="5" t="s">
        <v>89</v>
      </c>
      <c r="I485" s="5" t="s">
        <v>64</v>
      </c>
      <c r="J485" s="5" t="s">
        <v>65</v>
      </c>
      <c r="K485" s="5" t="s">
        <v>66</v>
      </c>
      <c r="L485" s="2" t="s">
        <v>2079</v>
      </c>
      <c r="M485" s="2" t="s">
        <v>3415</v>
      </c>
      <c r="N485" s="2" t="s">
        <v>184</v>
      </c>
      <c r="O485" s="2" t="s">
        <v>3416</v>
      </c>
      <c r="P485" s="2"/>
      <c r="Q485" s="5" t="n">
        <v>1</v>
      </c>
      <c r="R485" s="2" t="s">
        <v>71</v>
      </c>
      <c r="S485" s="2" t="s">
        <v>83</v>
      </c>
      <c r="T485" s="2" t="s">
        <v>3417</v>
      </c>
      <c r="U485" s="2" t="s">
        <v>74</v>
      </c>
      <c r="V485" s="5" t="n">
        <v>300</v>
      </c>
      <c r="W485" s="2"/>
      <c r="X485" s="2" t="s">
        <v>3418</v>
      </c>
      <c r="Y485" s="5"/>
      <c r="Z485" s="2" t="s">
        <v>3419</v>
      </c>
      <c r="AA485" s="6" t="s">
        <v>3420</v>
      </c>
    </row>
    <row r="486" customFormat="false" ht="46.25" hidden="false" customHeight="false" outlineLevel="0" collapsed="false">
      <c r="A486" s="5" t="s">
        <v>3421</v>
      </c>
      <c r="B486" s="2" t="s">
        <v>3422</v>
      </c>
      <c r="C486" s="5" t="s">
        <v>2128</v>
      </c>
      <c r="D486" s="5" t="s">
        <v>60</v>
      </c>
      <c r="E486" s="2" t="s">
        <v>269</v>
      </c>
      <c r="F486" s="5" t="s">
        <v>62</v>
      </c>
      <c r="G486" s="5" t="n">
        <v>5</v>
      </c>
      <c r="H486" s="5" t="s">
        <v>89</v>
      </c>
      <c r="I486" s="5" t="s">
        <v>64</v>
      </c>
      <c r="J486" s="5" t="s">
        <v>65</v>
      </c>
      <c r="K486" s="5" t="s">
        <v>66</v>
      </c>
      <c r="L486" s="2" t="s">
        <v>90</v>
      </c>
      <c r="M486" s="2"/>
      <c r="N486" s="2" t="s">
        <v>184</v>
      </c>
      <c r="O486" s="2" t="s">
        <v>3423</v>
      </c>
      <c r="P486" s="2"/>
      <c r="Q486" s="5" t="n">
        <v>1</v>
      </c>
      <c r="R486" s="2" t="s">
        <v>71</v>
      </c>
      <c r="S486" s="2" t="s">
        <v>83</v>
      </c>
      <c r="T486" s="2" t="s">
        <v>1098</v>
      </c>
      <c r="U486" s="2" t="s">
        <v>74</v>
      </c>
      <c r="V486" s="5" t="n">
        <v>300</v>
      </c>
      <c r="W486" s="2"/>
      <c r="X486" s="2" t="s">
        <v>3424</v>
      </c>
      <c r="Y486" s="5"/>
      <c r="Z486" s="2" t="s">
        <v>3425</v>
      </c>
      <c r="AA486" s="6" t="s">
        <v>3426</v>
      </c>
    </row>
    <row r="487" customFormat="false" ht="57.45" hidden="false" customHeight="false" outlineLevel="0" collapsed="false">
      <c r="A487" s="5" t="s">
        <v>3427</v>
      </c>
      <c r="B487" s="2" t="s">
        <v>3428</v>
      </c>
      <c r="C487" s="5" t="s">
        <v>2128</v>
      </c>
      <c r="D487" s="5" t="s">
        <v>60</v>
      </c>
      <c r="E487" s="2" t="s">
        <v>269</v>
      </c>
      <c r="F487" s="5" t="s">
        <v>62</v>
      </c>
      <c r="G487" s="5" t="n">
        <v>9</v>
      </c>
      <c r="H487" s="5" t="s">
        <v>63</v>
      </c>
      <c r="I487" s="5" t="s">
        <v>64</v>
      </c>
      <c r="J487" s="5" t="s">
        <v>65</v>
      </c>
      <c r="K487" s="5" t="s">
        <v>66</v>
      </c>
      <c r="L487" s="2" t="s">
        <v>90</v>
      </c>
      <c r="M487" s="2"/>
      <c r="N487" s="2" t="s">
        <v>184</v>
      </c>
      <c r="O487" s="2" t="s">
        <v>1533</v>
      </c>
      <c r="P487" s="2"/>
      <c r="Q487" s="5" t="n">
        <v>1</v>
      </c>
      <c r="R487" s="2" t="s">
        <v>71</v>
      </c>
      <c r="S487" s="2" t="s">
        <v>3429</v>
      </c>
      <c r="T487" s="2" t="s">
        <v>3430</v>
      </c>
      <c r="U487" s="2" t="s">
        <v>74</v>
      </c>
      <c r="V487" s="5" t="n">
        <v>300</v>
      </c>
      <c r="W487" s="2"/>
      <c r="X487" s="2" t="s">
        <v>1536</v>
      </c>
      <c r="Y487" s="5" t="s">
        <v>1537</v>
      </c>
      <c r="Z487" s="2" t="s">
        <v>3431</v>
      </c>
      <c r="AA487" s="6" t="s">
        <v>3432</v>
      </c>
    </row>
    <row r="488" customFormat="false" ht="169.4" hidden="false" customHeight="false" outlineLevel="0" collapsed="false">
      <c r="A488" s="5" t="s">
        <v>3433</v>
      </c>
      <c r="B488" s="2" t="s">
        <v>3434</v>
      </c>
      <c r="C488" s="5" t="s">
        <v>2245</v>
      </c>
      <c r="D488" s="5" t="s">
        <v>60</v>
      </c>
      <c r="E488" s="2" t="s">
        <v>751</v>
      </c>
      <c r="F488" s="5" t="s">
        <v>62</v>
      </c>
      <c r="G488" s="5" t="n">
        <v>7</v>
      </c>
      <c r="H488" s="5" t="s">
        <v>89</v>
      </c>
      <c r="I488" s="5" t="s">
        <v>64</v>
      </c>
      <c r="J488" s="5" t="s">
        <v>65</v>
      </c>
      <c r="K488" s="5" t="s">
        <v>66</v>
      </c>
      <c r="L488" s="2" t="s">
        <v>90</v>
      </c>
      <c r="M488" s="2"/>
      <c r="N488" s="2" t="s">
        <v>3232</v>
      </c>
      <c r="O488" s="2" t="s">
        <v>3327</v>
      </c>
      <c r="P488" s="2"/>
      <c r="Q488" s="5" t="n">
        <v>1</v>
      </c>
      <c r="R488" s="2" t="s">
        <v>71</v>
      </c>
      <c r="S488" s="2" t="s">
        <v>3435</v>
      </c>
      <c r="T488" s="2" t="s">
        <v>3329</v>
      </c>
      <c r="U488" s="2" t="s">
        <v>74</v>
      </c>
      <c r="V488" s="5" t="n">
        <v>300</v>
      </c>
      <c r="W488" s="2"/>
      <c r="X488" s="2" t="s">
        <v>3330</v>
      </c>
      <c r="Y488" s="5" t="s">
        <v>1225</v>
      </c>
      <c r="Z488" s="2" t="s">
        <v>3436</v>
      </c>
      <c r="AA488" s="6" t="s">
        <v>3437</v>
      </c>
    </row>
    <row r="489" customFormat="false" ht="68.65" hidden="false" customHeight="false" outlineLevel="0" collapsed="false">
      <c r="A489" s="5" t="s">
        <v>3438</v>
      </c>
      <c r="B489" s="2" t="s">
        <v>3439</v>
      </c>
      <c r="C489" s="5" t="s">
        <v>2245</v>
      </c>
      <c r="D489" s="5" t="s">
        <v>60</v>
      </c>
      <c r="E489" s="2" t="s">
        <v>751</v>
      </c>
      <c r="F489" s="5" t="s">
        <v>62</v>
      </c>
      <c r="G489" s="5" t="n">
        <v>5</v>
      </c>
      <c r="H489" s="5" t="s">
        <v>89</v>
      </c>
      <c r="I489" s="5" t="s">
        <v>64</v>
      </c>
      <c r="J489" s="5" t="s">
        <v>65</v>
      </c>
      <c r="K489" s="5" t="s">
        <v>66</v>
      </c>
      <c r="L489" s="2" t="s">
        <v>277</v>
      </c>
      <c r="M489" s="2" t="s">
        <v>3440</v>
      </c>
      <c r="N489" s="2" t="s">
        <v>3129</v>
      </c>
      <c r="O489" s="2" t="s">
        <v>3130</v>
      </c>
      <c r="P489" s="2"/>
      <c r="Q489" s="5" t="n">
        <v>1</v>
      </c>
      <c r="R489" s="2" t="s">
        <v>71</v>
      </c>
      <c r="S489" s="2" t="s">
        <v>3441</v>
      </c>
      <c r="T489" s="2" t="s">
        <v>3132</v>
      </c>
      <c r="U489" s="2" t="s">
        <v>74</v>
      </c>
      <c r="V489" s="5" t="n">
        <v>300</v>
      </c>
      <c r="W489" s="2"/>
      <c r="X489" s="2" t="s">
        <v>3133</v>
      </c>
      <c r="Y489" s="5" t="s">
        <v>3134</v>
      </c>
      <c r="Z489" s="2" t="s">
        <v>3442</v>
      </c>
      <c r="AA489" s="6" t="s">
        <v>3443</v>
      </c>
    </row>
    <row r="490" customFormat="false" ht="79.85" hidden="false" customHeight="false" outlineLevel="0" collapsed="false">
      <c r="A490" s="5" t="s">
        <v>3444</v>
      </c>
      <c r="B490" s="2" t="s">
        <v>3445</v>
      </c>
      <c r="C490" s="5" t="s">
        <v>2245</v>
      </c>
      <c r="D490" s="5" t="s">
        <v>60</v>
      </c>
      <c r="E490" s="2" t="s">
        <v>161</v>
      </c>
      <c r="F490" s="5" t="s">
        <v>490</v>
      </c>
      <c r="G490" s="5" t="n">
        <v>3</v>
      </c>
      <c r="H490" s="5" t="s">
        <v>817</v>
      </c>
      <c r="I490" s="5" t="s">
        <v>64</v>
      </c>
      <c r="J490" s="5" t="s">
        <v>65</v>
      </c>
      <c r="K490" s="5" t="s">
        <v>66</v>
      </c>
      <c r="L490" s="2" t="s">
        <v>67</v>
      </c>
      <c r="M490" s="2" t="s">
        <v>2841</v>
      </c>
      <c r="N490" s="2" t="s">
        <v>3129</v>
      </c>
      <c r="O490" s="2" t="s">
        <v>3130</v>
      </c>
      <c r="P490" s="2"/>
      <c r="Q490" s="5" t="n">
        <v>1</v>
      </c>
      <c r="R490" s="2" t="s">
        <v>71</v>
      </c>
      <c r="S490" s="2" t="s">
        <v>3446</v>
      </c>
      <c r="T490" s="2" t="s">
        <v>3447</v>
      </c>
      <c r="U490" s="2" t="s">
        <v>74</v>
      </c>
      <c r="V490" s="5" t="n">
        <v>300</v>
      </c>
      <c r="W490" s="2"/>
      <c r="X490" s="2" t="s">
        <v>3133</v>
      </c>
      <c r="Y490" s="5" t="s">
        <v>3134</v>
      </c>
      <c r="Z490" s="2" t="s">
        <v>3448</v>
      </c>
      <c r="AA490" s="6" t="s">
        <v>3449</v>
      </c>
    </row>
    <row r="491" customFormat="false" ht="135.8" hidden="false" customHeight="false" outlineLevel="0" collapsed="false">
      <c r="A491" s="5" t="s">
        <v>3450</v>
      </c>
      <c r="B491" s="2" t="s">
        <v>3451</v>
      </c>
      <c r="C491" s="5" t="s">
        <v>2245</v>
      </c>
      <c r="D491" s="5" t="s">
        <v>60</v>
      </c>
      <c r="E491" s="2" t="s">
        <v>1174</v>
      </c>
      <c r="F491" s="5" t="s">
        <v>490</v>
      </c>
      <c r="G491" s="5" t="n">
        <v>5</v>
      </c>
      <c r="H491" s="5" t="s">
        <v>89</v>
      </c>
      <c r="I491" s="5" t="s">
        <v>64</v>
      </c>
      <c r="J491" s="5" t="s">
        <v>65</v>
      </c>
      <c r="K491" s="5" t="s">
        <v>66</v>
      </c>
      <c r="L491" s="2" t="s">
        <v>67</v>
      </c>
      <c r="M491" s="2" t="s">
        <v>2841</v>
      </c>
      <c r="N491" s="2" t="s">
        <v>3129</v>
      </c>
      <c r="O491" s="2" t="s">
        <v>3130</v>
      </c>
      <c r="P491" s="2"/>
      <c r="Q491" s="5" t="n">
        <v>1</v>
      </c>
      <c r="R491" s="2" t="s">
        <v>71</v>
      </c>
      <c r="S491" s="2" t="s">
        <v>3452</v>
      </c>
      <c r="T491" s="2" t="s">
        <v>3447</v>
      </c>
      <c r="U491" s="2" t="s">
        <v>74</v>
      </c>
      <c r="V491" s="5" t="n">
        <v>300</v>
      </c>
      <c r="W491" s="2"/>
      <c r="X491" s="2" t="s">
        <v>3133</v>
      </c>
      <c r="Y491" s="5" t="s">
        <v>3134</v>
      </c>
      <c r="Z491" s="2" t="s">
        <v>3453</v>
      </c>
      <c r="AA491" s="6" t="s">
        <v>3454</v>
      </c>
    </row>
    <row r="492" customFormat="false" ht="91" hidden="false" customHeight="false" outlineLevel="0" collapsed="false">
      <c r="A492" s="5" t="s">
        <v>3455</v>
      </c>
      <c r="B492" s="2" t="s">
        <v>3456</v>
      </c>
      <c r="C492" s="5" t="s">
        <v>2245</v>
      </c>
      <c r="D492" s="5" t="s">
        <v>60</v>
      </c>
      <c r="E492" s="2" t="s">
        <v>751</v>
      </c>
      <c r="F492" s="5" t="s">
        <v>62</v>
      </c>
      <c r="G492" s="5" t="n">
        <v>3</v>
      </c>
      <c r="H492" s="5" t="s">
        <v>817</v>
      </c>
      <c r="I492" s="5" t="s">
        <v>64</v>
      </c>
      <c r="J492" s="5" t="s">
        <v>65</v>
      </c>
      <c r="K492" s="5" t="s">
        <v>66</v>
      </c>
      <c r="L492" s="2" t="s">
        <v>277</v>
      </c>
      <c r="M492" s="2" t="s">
        <v>314</v>
      </c>
      <c r="N492" s="2" t="s">
        <v>3232</v>
      </c>
      <c r="O492" s="2" t="s">
        <v>3457</v>
      </c>
      <c r="P492" s="2"/>
      <c r="Q492" s="5" t="n">
        <v>1</v>
      </c>
      <c r="R492" s="2" t="s">
        <v>71</v>
      </c>
      <c r="S492" s="2" t="s">
        <v>3458</v>
      </c>
      <c r="T492" s="2" t="s">
        <v>3459</v>
      </c>
      <c r="U492" s="2" t="s">
        <v>74</v>
      </c>
      <c r="V492" s="5" t="n">
        <v>300</v>
      </c>
      <c r="W492" s="2"/>
      <c r="X492" s="2" t="s">
        <v>3460</v>
      </c>
      <c r="Y492" s="5"/>
      <c r="Z492" s="2" t="s">
        <v>3461</v>
      </c>
      <c r="AA492" s="6" t="s">
        <v>3462</v>
      </c>
    </row>
    <row r="493" customFormat="false" ht="337.3" hidden="false" customHeight="false" outlineLevel="0" collapsed="false">
      <c r="A493" s="5" t="s">
        <v>3463</v>
      </c>
      <c r="B493" s="2" t="s">
        <v>3464</v>
      </c>
      <c r="C493" s="5" t="s">
        <v>2245</v>
      </c>
      <c r="D493" s="5" t="s">
        <v>60</v>
      </c>
      <c r="E493" s="2" t="s">
        <v>3123</v>
      </c>
      <c r="F493" s="5" t="s">
        <v>62</v>
      </c>
      <c r="G493" s="5" t="n">
        <v>7</v>
      </c>
      <c r="H493" s="5" t="s">
        <v>89</v>
      </c>
      <c r="I493" s="5" t="s">
        <v>64</v>
      </c>
      <c r="J493" s="5" t="s">
        <v>65</v>
      </c>
      <c r="K493" s="5" t="s">
        <v>66</v>
      </c>
      <c r="L493" s="2" t="s">
        <v>413</v>
      </c>
      <c r="M493" s="2" t="s">
        <v>1821</v>
      </c>
      <c r="N493" s="2" t="s">
        <v>3232</v>
      </c>
      <c r="O493" s="2" t="s">
        <v>1105</v>
      </c>
      <c r="P493" s="2"/>
      <c r="Q493" s="5" t="n">
        <v>1</v>
      </c>
      <c r="R493" s="2" t="s">
        <v>71</v>
      </c>
      <c r="S493" s="2" t="s">
        <v>3465</v>
      </c>
      <c r="T493" s="2" t="s">
        <v>1139</v>
      </c>
      <c r="U493" s="2" t="s">
        <v>74</v>
      </c>
      <c r="V493" s="5" t="n">
        <v>300</v>
      </c>
      <c r="W493" s="2"/>
      <c r="X493" s="2" t="s">
        <v>1108</v>
      </c>
      <c r="Y493" s="5" t="s">
        <v>309</v>
      </c>
      <c r="Z493" s="2" t="s">
        <v>3466</v>
      </c>
      <c r="AA493" s="6" t="s">
        <v>3467</v>
      </c>
    </row>
    <row r="494" customFormat="false" ht="337.3" hidden="false" customHeight="false" outlineLevel="0" collapsed="false">
      <c r="A494" s="5" t="s">
        <v>3468</v>
      </c>
      <c r="B494" s="2" t="s">
        <v>3469</v>
      </c>
      <c r="C494" s="5" t="s">
        <v>2245</v>
      </c>
      <c r="D494" s="5" t="s">
        <v>60</v>
      </c>
      <c r="E494" s="2" t="s">
        <v>3123</v>
      </c>
      <c r="F494" s="5" t="s">
        <v>62</v>
      </c>
      <c r="G494" s="5" t="n">
        <v>7</v>
      </c>
      <c r="H494" s="5" t="s">
        <v>89</v>
      </c>
      <c r="I494" s="5" t="s">
        <v>64</v>
      </c>
      <c r="J494" s="5" t="s">
        <v>65</v>
      </c>
      <c r="K494" s="5" t="s">
        <v>66</v>
      </c>
      <c r="L494" s="2" t="s">
        <v>413</v>
      </c>
      <c r="M494" s="2" t="s">
        <v>1821</v>
      </c>
      <c r="N494" s="2" t="s">
        <v>3129</v>
      </c>
      <c r="O494" s="2" t="s">
        <v>3130</v>
      </c>
      <c r="P494" s="2"/>
      <c r="Q494" s="5" t="n">
        <v>1</v>
      </c>
      <c r="R494" s="2" t="s">
        <v>71</v>
      </c>
      <c r="S494" s="2" t="s">
        <v>3470</v>
      </c>
      <c r="T494" s="2" t="s">
        <v>3132</v>
      </c>
      <c r="U494" s="2" t="s">
        <v>74</v>
      </c>
      <c r="V494" s="5" t="n">
        <v>300</v>
      </c>
      <c r="W494" s="2"/>
      <c r="X494" s="2" t="s">
        <v>3133</v>
      </c>
      <c r="Y494" s="5" t="s">
        <v>3134</v>
      </c>
      <c r="Z494" s="2" t="s">
        <v>3471</v>
      </c>
      <c r="AA494" s="6" t="s">
        <v>3472</v>
      </c>
    </row>
    <row r="495" customFormat="false" ht="46.25" hidden="false" customHeight="false" outlineLevel="0" collapsed="false">
      <c r="A495" s="5" t="s">
        <v>3473</v>
      </c>
      <c r="B495" s="2" t="s">
        <v>3474</v>
      </c>
      <c r="C495" s="5" t="s">
        <v>2128</v>
      </c>
      <c r="D495" s="5" t="s">
        <v>60</v>
      </c>
      <c r="E495" s="2" t="s">
        <v>161</v>
      </c>
      <c r="F495" s="5" t="s">
        <v>62</v>
      </c>
      <c r="G495" s="5" t="n">
        <v>9</v>
      </c>
      <c r="H495" s="5" t="s">
        <v>63</v>
      </c>
      <c r="I495" s="5" t="s">
        <v>64</v>
      </c>
      <c r="J495" s="5" t="s">
        <v>65</v>
      </c>
      <c r="K495" s="5" t="s">
        <v>66</v>
      </c>
      <c r="L495" s="2" t="s">
        <v>67</v>
      </c>
      <c r="M495" s="2" t="s">
        <v>578</v>
      </c>
      <c r="N495" s="2" t="s">
        <v>367</v>
      </c>
      <c r="O495" s="2" t="s">
        <v>1105</v>
      </c>
      <c r="P495" s="2"/>
      <c r="Q495" s="5" t="n">
        <v>1</v>
      </c>
      <c r="R495" s="2" t="s">
        <v>71</v>
      </c>
      <c r="S495" s="2" t="s">
        <v>3475</v>
      </c>
      <c r="T495" s="2" t="s">
        <v>1139</v>
      </c>
      <c r="U495" s="2" t="s">
        <v>74</v>
      </c>
      <c r="V495" s="5" t="n">
        <v>300</v>
      </c>
      <c r="W495" s="2"/>
      <c r="X495" s="2" t="s">
        <v>1108</v>
      </c>
      <c r="Y495" s="5" t="s">
        <v>309</v>
      </c>
      <c r="Z495" s="2" t="s">
        <v>3476</v>
      </c>
      <c r="AA495" s="6" t="s">
        <v>3477</v>
      </c>
    </row>
    <row r="496" customFormat="false" ht="79.85" hidden="false" customHeight="false" outlineLevel="0" collapsed="false">
      <c r="A496" s="5" t="s">
        <v>3478</v>
      </c>
      <c r="B496" s="2" t="s">
        <v>3479</v>
      </c>
      <c r="C496" s="5" t="s">
        <v>2245</v>
      </c>
      <c r="D496" s="5" t="s">
        <v>60</v>
      </c>
      <c r="E496" s="2" t="s">
        <v>751</v>
      </c>
      <c r="F496" s="5" t="s">
        <v>62</v>
      </c>
      <c r="G496" s="5" t="n">
        <v>7</v>
      </c>
      <c r="H496" s="5" t="s">
        <v>89</v>
      </c>
      <c r="I496" s="5" t="s">
        <v>64</v>
      </c>
      <c r="J496" s="5" t="s">
        <v>65</v>
      </c>
      <c r="K496" s="5" t="s">
        <v>66</v>
      </c>
      <c r="L496" s="2" t="s">
        <v>67</v>
      </c>
      <c r="M496" s="2" t="s">
        <v>3480</v>
      </c>
      <c r="N496" s="2" t="s">
        <v>3232</v>
      </c>
      <c r="O496" s="2" t="s">
        <v>3327</v>
      </c>
      <c r="P496" s="2"/>
      <c r="Q496" s="5" t="n">
        <v>1</v>
      </c>
      <c r="R496" s="2" t="s">
        <v>71</v>
      </c>
      <c r="S496" s="2" t="s">
        <v>3481</v>
      </c>
      <c r="T496" s="2" t="s">
        <v>3329</v>
      </c>
      <c r="U496" s="2" t="s">
        <v>74</v>
      </c>
      <c r="V496" s="5" t="n">
        <v>300</v>
      </c>
      <c r="W496" s="2"/>
      <c r="X496" s="2" t="s">
        <v>3330</v>
      </c>
      <c r="Y496" s="5" t="s">
        <v>1225</v>
      </c>
      <c r="Z496" s="2" t="s">
        <v>3482</v>
      </c>
      <c r="AA496" s="6" t="s">
        <v>3483</v>
      </c>
    </row>
    <row r="497" customFormat="false" ht="79.85" hidden="false" customHeight="false" outlineLevel="0" collapsed="false">
      <c r="A497" s="5" t="s">
        <v>3484</v>
      </c>
      <c r="B497" s="2" t="s">
        <v>3485</v>
      </c>
      <c r="C497" s="5" t="s">
        <v>2245</v>
      </c>
      <c r="D497" s="5" t="s">
        <v>60</v>
      </c>
      <c r="E497" s="2" t="s">
        <v>751</v>
      </c>
      <c r="F497" s="5" t="s">
        <v>62</v>
      </c>
      <c r="G497" s="5" t="n">
        <v>7</v>
      </c>
      <c r="H497" s="5" t="s">
        <v>89</v>
      </c>
      <c r="I497" s="5" t="s">
        <v>64</v>
      </c>
      <c r="J497" s="5" t="s">
        <v>65</v>
      </c>
      <c r="K497" s="5" t="s">
        <v>66</v>
      </c>
      <c r="L497" s="2" t="s">
        <v>67</v>
      </c>
      <c r="M497" s="2" t="s">
        <v>3480</v>
      </c>
      <c r="N497" s="2" t="s">
        <v>3232</v>
      </c>
      <c r="O497" s="2" t="s">
        <v>1105</v>
      </c>
      <c r="P497" s="2"/>
      <c r="Q497" s="5" t="n">
        <v>1</v>
      </c>
      <c r="R497" s="2" t="s">
        <v>71</v>
      </c>
      <c r="S497" s="2" t="s">
        <v>3486</v>
      </c>
      <c r="T497" s="2" t="s">
        <v>1139</v>
      </c>
      <c r="U497" s="2" t="s">
        <v>74</v>
      </c>
      <c r="V497" s="5" t="n">
        <v>300</v>
      </c>
      <c r="W497" s="2"/>
      <c r="X497" s="2" t="s">
        <v>1108</v>
      </c>
      <c r="Y497" s="5" t="s">
        <v>309</v>
      </c>
      <c r="Z497" s="2" t="s">
        <v>3487</v>
      </c>
      <c r="AA497" s="6" t="s">
        <v>3488</v>
      </c>
    </row>
    <row r="498" customFormat="false" ht="57.45" hidden="false" customHeight="false" outlineLevel="0" collapsed="false">
      <c r="A498" s="5" t="s">
        <v>3489</v>
      </c>
      <c r="B498" s="2" t="s">
        <v>3490</v>
      </c>
      <c r="C498" s="5" t="s">
        <v>2128</v>
      </c>
      <c r="D498" s="5" t="s">
        <v>60</v>
      </c>
      <c r="E498" s="2" t="s">
        <v>182</v>
      </c>
      <c r="F498" s="5" t="s">
        <v>62</v>
      </c>
      <c r="G498" s="5" t="n">
        <v>7</v>
      </c>
      <c r="H498" s="5" t="s">
        <v>89</v>
      </c>
      <c r="I498" s="5" t="s">
        <v>64</v>
      </c>
      <c r="J498" s="5" t="s">
        <v>65</v>
      </c>
      <c r="K498" s="5" t="s">
        <v>66</v>
      </c>
      <c r="L498" s="2" t="s">
        <v>90</v>
      </c>
      <c r="M498" s="2"/>
      <c r="N498" s="2" t="s">
        <v>184</v>
      </c>
      <c r="O498" s="2" t="s">
        <v>3491</v>
      </c>
      <c r="P498" s="2"/>
      <c r="Q498" s="5" t="n">
        <v>1</v>
      </c>
      <c r="R498" s="2" t="s">
        <v>71</v>
      </c>
      <c r="S498" s="2" t="s">
        <v>3492</v>
      </c>
      <c r="T498" s="2" t="s">
        <v>3493</v>
      </c>
      <c r="U498" s="2" t="s">
        <v>74</v>
      </c>
      <c r="V498" s="5" t="n">
        <v>300</v>
      </c>
      <c r="W498" s="2"/>
      <c r="X498" s="2" t="s">
        <v>3494</v>
      </c>
      <c r="Y498" s="5"/>
      <c r="Z498" s="2" t="s">
        <v>3495</v>
      </c>
      <c r="AA498" s="6" t="s">
        <v>3496</v>
      </c>
    </row>
    <row r="499" customFormat="false" ht="68.65" hidden="false" customHeight="false" outlineLevel="0" collapsed="false">
      <c r="A499" s="5" t="s">
        <v>3497</v>
      </c>
      <c r="B499" s="2" t="s">
        <v>3498</v>
      </c>
      <c r="C499" s="5" t="s">
        <v>2245</v>
      </c>
      <c r="D499" s="5" t="s">
        <v>60</v>
      </c>
      <c r="E499" s="2" t="s">
        <v>269</v>
      </c>
      <c r="F499" s="5" t="s">
        <v>62</v>
      </c>
      <c r="G499" s="5" t="n">
        <v>7</v>
      </c>
      <c r="H499" s="5" t="s">
        <v>89</v>
      </c>
      <c r="I499" s="5" t="s">
        <v>64</v>
      </c>
      <c r="J499" s="5" t="s">
        <v>65</v>
      </c>
      <c r="K499" s="5" t="s">
        <v>66</v>
      </c>
      <c r="L499" s="2" t="s">
        <v>67</v>
      </c>
      <c r="M499" s="2" t="s">
        <v>3480</v>
      </c>
      <c r="N499" s="2" t="s">
        <v>3499</v>
      </c>
      <c r="O499" s="2" t="s">
        <v>3500</v>
      </c>
      <c r="P499" s="2"/>
      <c r="Q499" s="5" t="n">
        <v>1</v>
      </c>
      <c r="R499" s="2" t="s">
        <v>71</v>
      </c>
      <c r="S499" s="2" t="s">
        <v>3501</v>
      </c>
      <c r="T499" s="2" t="s">
        <v>3502</v>
      </c>
      <c r="U499" s="2" t="s">
        <v>74</v>
      </c>
      <c r="V499" s="5" t="n">
        <v>300</v>
      </c>
      <c r="W499" s="2"/>
      <c r="X499" s="2" t="s">
        <v>3503</v>
      </c>
      <c r="Y499" s="5"/>
      <c r="Z499" s="2" t="s">
        <v>3504</v>
      </c>
      <c r="AA499" s="6" t="s">
        <v>3505</v>
      </c>
    </row>
    <row r="500" customFormat="false" ht="57.45" hidden="false" customHeight="false" outlineLevel="0" collapsed="false">
      <c r="A500" s="5" t="s">
        <v>3506</v>
      </c>
      <c r="B500" s="2" t="s">
        <v>3507</v>
      </c>
      <c r="C500" s="5" t="s">
        <v>2128</v>
      </c>
      <c r="D500" s="5" t="s">
        <v>60</v>
      </c>
      <c r="E500" s="2" t="s">
        <v>161</v>
      </c>
      <c r="F500" s="5" t="s">
        <v>62</v>
      </c>
      <c r="G500" s="5" t="n">
        <v>7</v>
      </c>
      <c r="H500" s="5" t="s">
        <v>89</v>
      </c>
      <c r="I500" s="5" t="s">
        <v>64</v>
      </c>
      <c r="J500" s="5" t="s">
        <v>65</v>
      </c>
      <c r="K500" s="5" t="s">
        <v>66</v>
      </c>
      <c r="L500" s="2" t="s">
        <v>67</v>
      </c>
      <c r="M500" s="2" t="s">
        <v>578</v>
      </c>
      <c r="N500" s="2" t="s">
        <v>367</v>
      </c>
      <c r="O500" s="2" t="s">
        <v>1105</v>
      </c>
      <c r="P500" s="2"/>
      <c r="Q500" s="5" t="n">
        <v>1</v>
      </c>
      <c r="R500" s="2" t="s">
        <v>71</v>
      </c>
      <c r="S500" s="2" t="s">
        <v>3508</v>
      </c>
      <c r="T500" s="2" t="s">
        <v>3509</v>
      </c>
      <c r="U500" s="2" t="s">
        <v>74</v>
      </c>
      <c r="V500" s="5" t="n">
        <v>300</v>
      </c>
      <c r="W500" s="2"/>
      <c r="X500" s="2" t="s">
        <v>1108</v>
      </c>
      <c r="Y500" s="5" t="s">
        <v>309</v>
      </c>
      <c r="Z500" s="2" t="s">
        <v>3510</v>
      </c>
      <c r="AA500" s="6" t="s">
        <v>3511</v>
      </c>
    </row>
    <row r="501" customFormat="false" ht="46.25" hidden="false" customHeight="false" outlineLevel="0" collapsed="false">
      <c r="A501" s="5" t="s">
        <v>3512</v>
      </c>
      <c r="B501" s="2" t="s">
        <v>3513</v>
      </c>
      <c r="C501" s="5" t="s">
        <v>2128</v>
      </c>
      <c r="D501" s="5" t="s">
        <v>60</v>
      </c>
      <c r="E501" s="2" t="s">
        <v>269</v>
      </c>
      <c r="F501" s="5" t="s">
        <v>62</v>
      </c>
      <c r="G501" s="5" t="n">
        <v>3</v>
      </c>
      <c r="H501" s="5" t="s">
        <v>817</v>
      </c>
      <c r="I501" s="5" t="s">
        <v>64</v>
      </c>
      <c r="J501" s="5" t="s">
        <v>65</v>
      </c>
      <c r="K501" s="5" t="s">
        <v>66</v>
      </c>
      <c r="L501" s="2" t="s">
        <v>544</v>
      </c>
      <c r="M501" s="2" t="s">
        <v>3514</v>
      </c>
      <c r="N501" s="2" t="s">
        <v>184</v>
      </c>
      <c r="O501" s="2" t="s">
        <v>3515</v>
      </c>
      <c r="P501" s="2"/>
      <c r="Q501" s="5" t="n">
        <v>1</v>
      </c>
      <c r="R501" s="2" t="s">
        <v>71</v>
      </c>
      <c r="S501" s="2" t="s">
        <v>3516</v>
      </c>
      <c r="T501" s="2" t="s">
        <v>3517</v>
      </c>
      <c r="U501" s="2" t="s">
        <v>74</v>
      </c>
      <c r="V501" s="5" t="n">
        <v>300</v>
      </c>
      <c r="W501" s="2"/>
      <c r="X501" s="2" t="s">
        <v>3518</v>
      </c>
      <c r="Y501" s="5"/>
      <c r="Z501" s="2" t="s">
        <v>3519</v>
      </c>
      <c r="AA501" s="6" t="s">
        <v>3520</v>
      </c>
    </row>
    <row r="502" customFormat="false" ht="57.45" hidden="false" customHeight="false" outlineLevel="0" collapsed="false">
      <c r="A502" s="5" t="s">
        <v>3521</v>
      </c>
      <c r="B502" s="2" t="s">
        <v>3522</v>
      </c>
      <c r="C502" s="5" t="s">
        <v>2128</v>
      </c>
      <c r="D502" s="5" t="s">
        <v>60</v>
      </c>
      <c r="E502" s="2" t="s">
        <v>269</v>
      </c>
      <c r="F502" s="5" t="s">
        <v>62</v>
      </c>
      <c r="G502" s="5" t="n">
        <v>5</v>
      </c>
      <c r="H502" s="5" t="s">
        <v>89</v>
      </c>
      <c r="I502" s="5" t="s">
        <v>64</v>
      </c>
      <c r="J502" s="5" t="s">
        <v>65</v>
      </c>
      <c r="K502" s="5" t="s">
        <v>66</v>
      </c>
      <c r="L502" s="2" t="s">
        <v>544</v>
      </c>
      <c r="M502" s="2" t="s">
        <v>3523</v>
      </c>
      <c r="N502" s="2" t="s">
        <v>184</v>
      </c>
      <c r="O502" s="2" t="s">
        <v>1533</v>
      </c>
      <c r="P502" s="2"/>
      <c r="Q502" s="5" t="n">
        <v>1</v>
      </c>
      <c r="R502" s="2" t="s">
        <v>71</v>
      </c>
      <c r="S502" s="2" t="s">
        <v>3524</v>
      </c>
      <c r="T502" s="2" t="s">
        <v>3525</v>
      </c>
      <c r="U502" s="2" t="s">
        <v>74</v>
      </c>
      <c r="V502" s="5" t="n">
        <v>300</v>
      </c>
      <c r="W502" s="2"/>
      <c r="X502" s="2" t="s">
        <v>1536</v>
      </c>
      <c r="Y502" s="5" t="s">
        <v>1537</v>
      </c>
      <c r="Z502" s="2" t="s">
        <v>3526</v>
      </c>
      <c r="AA502" s="6" t="s">
        <v>3527</v>
      </c>
    </row>
    <row r="503" customFormat="false" ht="57.45" hidden="false" customHeight="false" outlineLevel="0" collapsed="false">
      <c r="A503" s="5" t="s">
        <v>3528</v>
      </c>
      <c r="B503" s="2" t="s">
        <v>3529</v>
      </c>
      <c r="C503" s="5" t="s">
        <v>2128</v>
      </c>
      <c r="D503" s="5" t="s">
        <v>60</v>
      </c>
      <c r="E503" s="2" t="s">
        <v>269</v>
      </c>
      <c r="F503" s="5" t="s">
        <v>62</v>
      </c>
      <c r="G503" s="5" t="n">
        <v>7</v>
      </c>
      <c r="H503" s="5" t="s">
        <v>89</v>
      </c>
      <c r="I503" s="5" t="s">
        <v>64</v>
      </c>
      <c r="J503" s="5" t="s">
        <v>65</v>
      </c>
      <c r="K503" s="5" t="s">
        <v>66</v>
      </c>
      <c r="L503" s="2" t="s">
        <v>544</v>
      </c>
      <c r="M503" s="2" t="s">
        <v>3523</v>
      </c>
      <c r="N503" s="2" t="s">
        <v>184</v>
      </c>
      <c r="O503" s="2" t="s">
        <v>1533</v>
      </c>
      <c r="P503" s="2"/>
      <c r="Q503" s="5" t="n">
        <v>1</v>
      </c>
      <c r="R503" s="2" t="s">
        <v>71</v>
      </c>
      <c r="S503" s="2" t="s">
        <v>3530</v>
      </c>
      <c r="T503" s="2" t="s">
        <v>3525</v>
      </c>
      <c r="U503" s="2" t="s">
        <v>74</v>
      </c>
      <c r="V503" s="5" t="n">
        <v>300</v>
      </c>
      <c r="W503" s="2"/>
      <c r="X503" s="2" t="s">
        <v>1536</v>
      </c>
      <c r="Y503" s="5" t="s">
        <v>1537</v>
      </c>
      <c r="Z503" s="2" t="s">
        <v>3531</v>
      </c>
      <c r="AA503" s="6" t="s">
        <v>3532</v>
      </c>
    </row>
    <row r="504" customFormat="false" ht="68.65" hidden="false" customHeight="false" outlineLevel="0" collapsed="false">
      <c r="A504" s="5" t="s">
        <v>3533</v>
      </c>
      <c r="B504" s="2" t="s">
        <v>3534</v>
      </c>
      <c r="C504" s="5" t="s">
        <v>2245</v>
      </c>
      <c r="D504" s="5" t="s">
        <v>60</v>
      </c>
      <c r="E504" s="2" t="s">
        <v>269</v>
      </c>
      <c r="F504" s="5" t="s">
        <v>62</v>
      </c>
      <c r="G504" s="5" t="n">
        <v>1</v>
      </c>
      <c r="H504" s="5" t="s">
        <v>817</v>
      </c>
      <c r="I504" s="5" t="s">
        <v>64</v>
      </c>
      <c r="J504" s="5" t="s">
        <v>65</v>
      </c>
      <c r="K504" s="5" t="s">
        <v>66</v>
      </c>
      <c r="L504" s="2" t="s">
        <v>67</v>
      </c>
      <c r="M504" s="2" t="s">
        <v>3535</v>
      </c>
      <c r="N504" s="2" t="s">
        <v>3499</v>
      </c>
      <c r="O504" s="2" t="s">
        <v>3536</v>
      </c>
      <c r="P504" s="2"/>
      <c r="Q504" s="5" t="n">
        <v>1</v>
      </c>
      <c r="R504" s="2" t="s">
        <v>71</v>
      </c>
      <c r="S504" s="2" t="s">
        <v>3537</v>
      </c>
      <c r="T504" s="2" t="s">
        <v>3538</v>
      </c>
      <c r="U504" s="2" t="s">
        <v>74</v>
      </c>
      <c r="V504" s="5" t="n">
        <v>300</v>
      </c>
      <c r="W504" s="2"/>
      <c r="X504" s="2" t="s">
        <v>3539</v>
      </c>
      <c r="Y504" s="5"/>
      <c r="Z504" s="2" t="s">
        <v>3540</v>
      </c>
      <c r="AA504" s="6" t="s">
        <v>3541</v>
      </c>
    </row>
    <row r="505" customFormat="false" ht="57.45" hidden="false" customHeight="false" outlineLevel="0" collapsed="false">
      <c r="A505" s="5" t="s">
        <v>3542</v>
      </c>
      <c r="B505" s="2" t="s">
        <v>3543</v>
      </c>
      <c r="C505" s="5" t="s">
        <v>2128</v>
      </c>
      <c r="D505" s="5" t="s">
        <v>60</v>
      </c>
      <c r="E505" s="2" t="s">
        <v>269</v>
      </c>
      <c r="F505" s="5" t="s">
        <v>62</v>
      </c>
      <c r="G505" s="5" t="n">
        <v>5</v>
      </c>
      <c r="H505" s="5" t="s">
        <v>89</v>
      </c>
      <c r="I505" s="5" t="s">
        <v>64</v>
      </c>
      <c r="J505" s="5" t="s">
        <v>65</v>
      </c>
      <c r="K505" s="5" t="s">
        <v>66</v>
      </c>
      <c r="L505" s="2" t="s">
        <v>544</v>
      </c>
      <c r="M505" s="2" t="s">
        <v>3544</v>
      </c>
      <c r="N505" s="2" t="s">
        <v>184</v>
      </c>
      <c r="O505" s="2" t="s">
        <v>3545</v>
      </c>
      <c r="P505" s="2"/>
      <c r="Q505" s="5" t="n">
        <v>1</v>
      </c>
      <c r="R505" s="2" t="s">
        <v>71</v>
      </c>
      <c r="S505" s="2" t="s">
        <v>3546</v>
      </c>
      <c r="T505" s="2" t="s">
        <v>3547</v>
      </c>
      <c r="U505" s="2" t="s">
        <v>74</v>
      </c>
      <c r="V505" s="5" t="n">
        <v>300</v>
      </c>
      <c r="W505" s="2"/>
      <c r="X505" s="2" t="s">
        <v>3548</v>
      </c>
      <c r="Y505" s="5" t="s">
        <v>1537</v>
      </c>
      <c r="Z505" s="2" t="s">
        <v>3549</v>
      </c>
      <c r="AA505" s="6" t="s">
        <v>3550</v>
      </c>
    </row>
    <row r="506" customFormat="false" ht="135.8" hidden="false" customHeight="false" outlineLevel="0" collapsed="false">
      <c r="A506" s="5" t="s">
        <v>3551</v>
      </c>
      <c r="B506" s="2" t="s">
        <v>3552</v>
      </c>
      <c r="C506" s="5" t="s">
        <v>2245</v>
      </c>
      <c r="D506" s="5" t="s">
        <v>60</v>
      </c>
      <c r="E506" s="2" t="s">
        <v>269</v>
      </c>
      <c r="F506" s="5" t="s">
        <v>490</v>
      </c>
      <c r="G506" s="5" t="n">
        <v>5</v>
      </c>
      <c r="H506" s="5" t="s">
        <v>89</v>
      </c>
      <c r="I506" s="5" t="s">
        <v>64</v>
      </c>
      <c r="J506" s="5" t="s">
        <v>65</v>
      </c>
      <c r="K506" s="5" t="s">
        <v>66</v>
      </c>
      <c r="L506" s="2" t="s">
        <v>90</v>
      </c>
      <c r="M506" s="2"/>
      <c r="N506" s="2" t="s">
        <v>3499</v>
      </c>
      <c r="O506" s="2" t="s">
        <v>1976</v>
      </c>
      <c r="P506" s="2"/>
      <c r="Q506" s="5" t="n">
        <v>1</v>
      </c>
      <c r="R506" s="2" t="s">
        <v>71</v>
      </c>
      <c r="S506" s="2" t="s">
        <v>3553</v>
      </c>
      <c r="T506" s="2" t="s">
        <v>3299</v>
      </c>
      <c r="U506" s="2" t="s">
        <v>74</v>
      </c>
      <c r="V506" s="5" t="n">
        <v>300</v>
      </c>
      <c r="W506" s="2"/>
      <c r="X506" s="2" t="s">
        <v>1979</v>
      </c>
      <c r="Y506" s="5"/>
      <c r="Z506" s="2" t="s">
        <v>3554</v>
      </c>
      <c r="AA506" s="6" t="s">
        <v>3555</v>
      </c>
    </row>
    <row r="507" customFormat="false" ht="68.65" hidden="false" customHeight="false" outlineLevel="0" collapsed="false">
      <c r="A507" s="5" t="s">
        <v>3556</v>
      </c>
      <c r="B507" s="2" t="s">
        <v>3557</v>
      </c>
      <c r="C507" s="5" t="s">
        <v>2128</v>
      </c>
      <c r="D507" s="5" t="s">
        <v>60</v>
      </c>
      <c r="E507" s="2" t="s">
        <v>2754</v>
      </c>
      <c r="F507" s="5" t="s">
        <v>62</v>
      </c>
      <c r="G507" s="5" t="n">
        <v>5</v>
      </c>
      <c r="H507" s="5" t="s">
        <v>89</v>
      </c>
      <c r="I507" s="5" t="s">
        <v>64</v>
      </c>
      <c r="J507" s="5" t="s">
        <v>65</v>
      </c>
      <c r="K507" s="5" t="s">
        <v>66</v>
      </c>
      <c r="L507" s="2" t="s">
        <v>90</v>
      </c>
      <c r="M507" s="2"/>
      <c r="N507" s="2" t="s">
        <v>367</v>
      </c>
      <c r="O507" s="2" t="s">
        <v>1105</v>
      </c>
      <c r="P507" s="2"/>
      <c r="Q507" s="5" t="n">
        <v>1</v>
      </c>
      <c r="R507" s="2" t="s">
        <v>71</v>
      </c>
      <c r="S507" s="2" t="s">
        <v>3558</v>
      </c>
      <c r="T507" s="2" t="s">
        <v>1176</v>
      </c>
      <c r="U507" s="2" t="s">
        <v>74</v>
      </c>
      <c r="V507" s="5" t="n">
        <v>300</v>
      </c>
      <c r="W507" s="2"/>
      <c r="X507" s="2" t="s">
        <v>1108</v>
      </c>
      <c r="Y507" s="5" t="s">
        <v>309</v>
      </c>
      <c r="Z507" s="2" t="s">
        <v>3559</v>
      </c>
      <c r="AA507" s="6" t="s">
        <v>3560</v>
      </c>
    </row>
    <row r="508" customFormat="false" ht="57.45" hidden="false" customHeight="false" outlineLevel="0" collapsed="false">
      <c r="A508" s="5" t="s">
        <v>3561</v>
      </c>
      <c r="B508" s="2" t="s">
        <v>3562</v>
      </c>
      <c r="C508" s="5" t="s">
        <v>2128</v>
      </c>
      <c r="D508" s="5" t="s">
        <v>60</v>
      </c>
      <c r="E508" s="2" t="s">
        <v>2754</v>
      </c>
      <c r="F508" s="5" t="s">
        <v>62</v>
      </c>
      <c r="G508" s="5" t="n">
        <v>5</v>
      </c>
      <c r="H508" s="5" t="s">
        <v>89</v>
      </c>
      <c r="I508" s="5" t="s">
        <v>64</v>
      </c>
      <c r="J508" s="5" t="s">
        <v>65</v>
      </c>
      <c r="K508" s="5" t="s">
        <v>66</v>
      </c>
      <c r="L508" s="2" t="s">
        <v>90</v>
      </c>
      <c r="M508" s="2"/>
      <c r="N508" s="2" t="s">
        <v>367</v>
      </c>
      <c r="O508" s="2" t="s">
        <v>1105</v>
      </c>
      <c r="P508" s="2"/>
      <c r="Q508" s="5" t="n">
        <v>1</v>
      </c>
      <c r="R508" s="2" t="s">
        <v>71</v>
      </c>
      <c r="S508" s="2" t="s">
        <v>3563</v>
      </c>
      <c r="T508" s="2" t="s">
        <v>1176</v>
      </c>
      <c r="U508" s="2" t="s">
        <v>74</v>
      </c>
      <c r="V508" s="5" t="n">
        <v>300</v>
      </c>
      <c r="W508" s="2"/>
      <c r="X508" s="2" t="s">
        <v>1108</v>
      </c>
      <c r="Y508" s="5" t="s">
        <v>309</v>
      </c>
      <c r="Z508" s="2" t="s">
        <v>3564</v>
      </c>
      <c r="AA508" s="6" t="s">
        <v>3565</v>
      </c>
    </row>
    <row r="509" customFormat="false" ht="68.65" hidden="false" customHeight="false" outlineLevel="0" collapsed="false">
      <c r="A509" s="5" t="s">
        <v>3566</v>
      </c>
      <c r="B509" s="2" t="s">
        <v>3567</v>
      </c>
      <c r="C509" s="5" t="s">
        <v>2245</v>
      </c>
      <c r="D509" s="5" t="s">
        <v>60</v>
      </c>
      <c r="E509" s="2" t="s">
        <v>2754</v>
      </c>
      <c r="F509" s="5" t="s">
        <v>62</v>
      </c>
      <c r="G509" s="5" t="n">
        <v>7</v>
      </c>
      <c r="H509" s="5" t="s">
        <v>89</v>
      </c>
      <c r="I509" s="5" t="s">
        <v>64</v>
      </c>
      <c r="J509" s="5" t="s">
        <v>65</v>
      </c>
      <c r="K509" s="5" t="s">
        <v>66</v>
      </c>
      <c r="L509" s="2" t="s">
        <v>90</v>
      </c>
      <c r="M509" s="2"/>
      <c r="N509" s="2" t="s">
        <v>3232</v>
      </c>
      <c r="O509" s="2" t="s">
        <v>1105</v>
      </c>
      <c r="P509" s="2"/>
      <c r="Q509" s="5" t="n">
        <v>1</v>
      </c>
      <c r="R509" s="2" t="s">
        <v>71</v>
      </c>
      <c r="S509" s="2" t="s">
        <v>3568</v>
      </c>
      <c r="T509" s="2" t="s">
        <v>1176</v>
      </c>
      <c r="U509" s="2" t="s">
        <v>74</v>
      </c>
      <c r="V509" s="5" t="n">
        <v>300</v>
      </c>
      <c r="W509" s="2"/>
      <c r="X509" s="2" t="s">
        <v>1108</v>
      </c>
      <c r="Y509" s="5" t="s">
        <v>309</v>
      </c>
      <c r="Z509" s="2" t="s">
        <v>3569</v>
      </c>
      <c r="AA509" s="6" t="s">
        <v>3570</v>
      </c>
    </row>
    <row r="510" customFormat="false" ht="68.65" hidden="false" customHeight="false" outlineLevel="0" collapsed="false">
      <c r="A510" s="5" t="s">
        <v>3571</v>
      </c>
      <c r="B510" s="2" t="s">
        <v>3572</v>
      </c>
      <c r="C510" s="5" t="s">
        <v>2245</v>
      </c>
      <c r="D510" s="5" t="s">
        <v>60</v>
      </c>
      <c r="E510" s="2" t="s">
        <v>751</v>
      </c>
      <c r="F510" s="5" t="s">
        <v>62</v>
      </c>
      <c r="G510" s="5" t="n">
        <v>5</v>
      </c>
      <c r="H510" s="5" t="s">
        <v>89</v>
      </c>
      <c r="I510" s="5" t="s">
        <v>64</v>
      </c>
      <c r="J510" s="5" t="s">
        <v>65</v>
      </c>
      <c r="K510" s="5" t="s">
        <v>66</v>
      </c>
      <c r="L510" s="2" t="s">
        <v>536</v>
      </c>
      <c r="M510" s="2" t="s">
        <v>1714</v>
      </c>
      <c r="N510" s="2" t="s">
        <v>3232</v>
      </c>
      <c r="O510" s="2" t="s">
        <v>1105</v>
      </c>
      <c r="P510" s="2"/>
      <c r="Q510" s="5" t="n">
        <v>1</v>
      </c>
      <c r="R510" s="2" t="s">
        <v>71</v>
      </c>
      <c r="S510" s="2" t="s">
        <v>3573</v>
      </c>
      <c r="T510" s="2" t="s">
        <v>1176</v>
      </c>
      <c r="U510" s="2" t="s">
        <v>74</v>
      </c>
      <c r="V510" s="5" t="n">
        <v>300</v>
      </c>
      <c r="W510" s="2"/>
      <c r="X510" s="2" t="s">
        <v>1108</v>
      </c>
      <c r="Y510" s="5" t="s">
        <v>309</v>
      </c>
      <c r="Z510" s="2" t="s">
        <v>3574</v>
      </c>
      <c r="AA510" s="6" t="s">
        <v>3575</v>
      </c>
    </row>
    <row r="511" customFormat="false" ht="57.45" hidden="false" customHeight="false" outlineLevel="0" collapsed="false">
      <c r="A511" s="5" t="s">
        <v>3576</v>
      </c>
      <c r="B511" s="2" t="s">
        <v>3577</v>
      </c>
      <c r="C511" s="5" t="s">
        <v>2128</v>
      </c>
      <c r="D511" s="5" t="s">
        <v>60</v>
      </c>
      <c r="E511" s="2" t="s">
        <v>2078</v>
      </c>
      <c r="F511" s="5" t="s">
        <v>62</v>
      </c>
      <c r="G511" s="5" t="n">
        <v>7</v>
      </c>
      <c r="H511" s="5" t="s">
        <v>89</v>
      </c>
      <c r="I511" s="5" t="s">
        <v>64</v>
      </c>
      <c r="J511" s="5" t="s">
        <v>65</v>
      </c>
      <c r="K511" s="5" t="s">
        <v>66</v>
      </c>
      <c r="L511" s="2" t="s">
        <v>2079</v>
      </c>
      <c r="M511" s="2" t="s">
        <v>3139</v>
      </c>
      <c r="N511" s="2" t="s">
        <v>184</v>
      </c>
      <c r="O511" s="2" t="s">
        <v>1612</v>
      </c>
      <c r="P511" s="2"/>
      <c r="Q511" s="5" t="n">
        <v>1</v>
      </c>
      <c r="R511" s="2" t="s">
        <v>71</v>
      </c>
      <c r="S511" s="2" t="s">
        <v>3578</v>
      </c>
      <c r="T511" s="2" t="s">
        <v>1614</v>
      </c>
      <c r="U511" s="2" t="s">
        <v>74</v>
      </c>
      <c r="V511" s="5" t="n">
        <v>300</v>
      </c>
      <c r="W511" s="2"/>
      <c r="X511" s="2" t="s">
        <v>1615</v>
      </c>
      <c r="Y511" s="5"/>
      <c r="Z511" s="2" t="s">
        <v>3579</v>
      </c>
      <c r="AA511" s="6" t="s">
        <v>3580</v>
      </c>
    </row>
    <row r="512" customFormat="false" ht="68.65" hidden="false" customHeight="false" outlineLevel="0" collapsed="false">
      <c r="A512" s="5" t="s">
        <v>3581</v>
      </c>
      <c r="B512" s="2" t="s">
        <v>3582</v>
      </c>
      <c r="C512" s="5" t="s">
        <v>2245</v>
      </c>
      <c r="D512" s="5" t="s">
        <v>60</v>
      </c>
      <c r="E512" s="2" t="s">
        <v>3355</v>
      </c>
      <c r="F512" s="5" t="s">
        <v>62</v>
      </c>
      <c r="G512" s="5" t="n">
        <v>5</v>
      </c>
      <c r="H512" s="5" t="s">
        <v>89</v>
      </c>
      <c r="I512" s="5" t="s">
        <v>64</v>
      </c>
      <c r="J512" s="5" t="s">
        <v>65</v>
      </c>
      <c r="K512" s="5" t="s">
        <v>66</v>
      </c>
      <c r="L512" s="2" t="s">
        <v>277</v>
      </c>
      <c r="M512" s="2" t="s">
        <v>3583</v>
      </c>
      <c r="N512" s="2" t="s">
        <v>3129</v>
      </c>
      <c r="O512" s="2" t="s">
        <v>3130</v>
      </c>
      <c r="P512" s="2"/>
      <c r="Q512" s="5" t="n">
        <v>1</v>
      </c>
      <c r="R512" s="2" t="s">
        <v>71</v>
      </c>
      <c r="S512" s="2" t="s">
        <v>3584</v>
      </c>
      <c r="T512" s="2" t="s">
        <v>3132</v>
      </c>
      <c r="U512" s="2" t="s">
        <v>74</v>
      </c>
      <c r="V512" s="5" t="n">
        <v>300</v>
      </c>
      <c r="W512" s="2"/>
      <c r="X512" s="2" t="s">
        <v>3133</v>
      </c>
      <c r="Y512" s="5" t="s">
        <v>3134</v>
      </c>
      <c r="Z512" s="2" t="s">
        <v>3585</v>
      </c>
      <c r="AA512" s="6" t="s">
        <v>3586</v>
      </c>
    </row>
    <row r="513" customFormat="false" ht="57.45" hidden="false" customHeight="false" outlineLevel="0" collapsed="false">
      <c r="A513" s="5" t="s">
        <v>3587</v>
      </c>
      <c r="B513" s="2" t="s">
        <v>3588</v>
      </c>
      <c r="C513" s="5" t="s">
        <v>2128</v>
      </c>
      <c r="D513" s="5" t="s">
        <v>60</v>
      </c>
      <c r="E513" s="2" t="s">
        <v>751</v>
      </c>
      <c r="F513" s="5" t="s">
        <v>62</v>
      </c>
      <c r="G513" s="5" t="n">
        <v>5</v>
      </c>
      <c r="H513" s="5" t="s">
        <v>89</v>
      </c>
      <c r="I513" s="5" t="s">
        <v>64</v>
      </c>
      <c r="J513" s="5" t="s">
        <v>65</v>
      </c>
      <c r="K513" s="5" t="s">
        <v>66</v>
      </c>
      <c r="L513" s="2" t="s">
        <v>90</v>
      </c>
      <c r="M513" s="2"/>
      <c r="N513" s="2" t="s">
        <v>367</v>
      </c>
      <c r="O513" s="2" t="s">
        <v>1105</v>
      </c>
      <c r="P513" s="2"/>
      <c r="Q513" s="5" t="n">
        <v>1</v>
      </c>
      <c r="R513" s="2" t="s">
        <v>71</v>
      </c>
      <c r="S513" s="2" t="s">
        <v>3589</v>
      </c>
      <c r="T513" s="2" t="s">
        <v>1269</v>
      </c>
      <c r="U513" s="2" t="s">
        <v>74</v>
      </c>
      <c r="V513" s="5" t="n">
        <v>300</v>
      </c>
      <c r="W513" s="2"/>
      <c r="X513" s="2" t="s">
        <v>1108</v>
      </c>
      <c r="Y513" s="5" t="s">
        <v>309</v>
      </c>
      <c r="Z513" s="2" t="s">
        <v>3590</v>
      </c>
      <c r="AA513" s="6" t="s">
        <v>3591</v>
      </c>
    </row>
    <row r="514" customFormat="false" ht="46.25" hidden="false" customHeight="false" outlineLevel="0" collapsed="false">
      <c r="A514" s="5" t="s">
        <v>3592</v>
      </c>
      <c r="B514" s="2" t="s">
        <v>3593</v>
      </c>
      <c r="C514" s="5" t="s">
        <v>2128</v>
      </c>
      <c r="D514" s="5" t="s">
        <v>60</v>
      </c>
      <c r="E514" s="2" t="s">
        <v>751</v>
      </c>
      <c r="F514" s="5" t="s">
        <v>62</v>
      </c>
      <c r="G514" s="5" t="n">
        <v>5</v>
      </c>
      <c r="H514" s="5" t="s">
        <v>89</v>
      </c>
      <c r="I514" s="5" t="s">
        <v>64</v>
      </c>
      <c r="J514" s="5" t="s">
        <v>65</v>
      </c>
      <c r="K514" s="5" t="s">
        <v>66</v>
      </c>
      <c r="L514" s="2" t="s">
        <v>90</v>
      </c>
      <c r="M514" s="2"/>
      <c r="N514" s="2" t="s">
        <v>367</v>
      </c>
      <c r="O514" s="2" t="s">
        <v>1105</v>
      </c>
      <c r="P514" s="2"/>
      <c r="Q514" s="5" t="n">
        <v>1</v>
      </c>
      <c r="R514" s="2" t="s">
        <v>71</v>
      </c>
      <c r="S514" s="2" t="s">
        <v>3594</v>
      </c>
      <c r="T514" s="2" t="s">
        <v>3595</v>
      </c>
      <c r="U514" s="2" t="s">
        <v>74</v>
      </c>
      <c r="V514" s="5" t="n">
        <v>300</v>
      </c>
      <c r="W514" s="2"/>
      <c r="X514" s="2" t="s">
        <v>1108</v>
      </c>
      <c r="Y514" s="5" t="s">
        <v>309</v>
      </c>
      <c r="Z514" s="2" t="s">
        <v>3596</v>
      </c>
      <c r="AA514" s="6" t="s">
        <v>3597</v>
      </c>
    </row>
    <row r="515" customFormat="false" ht="57.45" hidden="false" customHeight="false" outlineLevel="0" collapsed="false">
      <c r="A515" s="5" t="s">
        <v>3598</v>
      </c>
      <c r="B515" s="2" t="s">
        <v>3599</v>
      </c>
      <c r="C515" s="5" t="s">
        <v>2128</v>
      </c>
      <c r="D515" s="5" t="s">
        <v>60</v>
      </c>
      <c r="E515" s="2" t="s">
        <v>161</v>
      </c>
      <c r="F515" s="5" t="s">
        <v>62</v>
      </c>
      <c r="G515" s="5" t="n">
        <v>5</v>
      </c>
      <c r="H515" s="5" t="s">
        <v>89</v>
      </c>
      <c r="I515" s="5" t="s">
        <v>64</v>
      </c>
      <c r="J515" s="5" t="s">
        <v>65</v>
      </c>
      <c r="K515" s="5" t="s">
        <v>66</v>
      </c>
      <c r="L515" s="2" t="s">
        <v>277</v>
      </c>
      <c r="M515" s="2" t="s">
        <v>3583</v>
      </c>
      <c r="N515" s="2" t="s">
        <v>367</v>
      </c>
      <c r="O515" s="2" t="s">
        <v>1105</v>
      </c>
      <c r="P515" s="2"/>
      <c r="Q515" s="5" t="n">
        <v>1</v>
      </c>
      <c r="R515" s="2" t="s">
        <v>71</v>
      </c>
      <c r="S515" s="2" t="s">
        <v>3600</v>
      </c>
      <c r="T515" s="2" t="s">
        <v>1176</v>
      </c>
      <c r="U515" s="2" t="s">
        <v>74</v>
      </c>
      <c r="V515" s="5" t="n">
        <v>300</v>
      </c>
      <c r="W515" s="2"/>
      <c r="X515" s="2" t="s">
        <v>1108</v>
      </c>
      <c r="Y515" s="5" t="s">
        <v>309</v>
      </c>
      <c r="Z515" s="2" t="s">
        <v>3601</v>
      </c>
      <c r="AA515" s="6" t="s">
        <v>3602</v>
      </c>
    </row>
    <row r="516" customFormat="false" ht="68.65" hidden="false" customHeight="false" outlineLevel="0" collapsed="false">
      <c r="A516" s="5" t="s">
        <v>3603</v>
      </c>
      <c r="B516" s="2" t="s">
        <v>3604</v>
      </c>
      <c r="C516" s="5" t="s">
        <v>2245</v>
      </c>
      <c r="D516" s="5" t="s">
        <v>60</v>
      </c>
      <c r="E516" s="2" t="s">
        <v>182</v>
      </c>
      <c r="F516" s="5" t="s">
        <v>62</v>
      </c>
      <c r="G516" s="5" t="n">
        <v>5</v>
      </c>
      <c r="H516" s="5" t="s">
        <v>89</v>
      </c>
      <c r="I516" s="5" t="s">
        <v>64</v>
      </c>
      <c r="J516" s="5" t="s">
        <v>65</v>
      </c>
      <c r="K516" s="5" t="s">
        <v>66</v>
      </c>
      <c r="L516" s="2" t="s">
        <v>67</v>
      </c>
      <c r="M516" s="2" t="s">
        <v>2479</v>
      </c>
      <c r="N516" s="2" t="s">
        <v>3499</v>
      </c>
      <c r="O516" s="2" t="s">
        <v>210</v>
      </c>
      <c r="P516" s="2"/>
      <c r="Q516" s="5" t="n">
        <v>1</v>
      </c>
      <c r="R516" s="2" t="s">
        <v>71</v>
      </c>
      <c r="S516" s="2" t="s">
        <v>3605</v>
      </c>
      <c r="T516" s="2" t="s">
        <v>3606</v>
      </c>
      <c r="U516" s="2" t="s">
        <v>74</v>
      </c>
      <c r="V516" s="5" t="n">
        <v>300</v>
      </c>
      <c r="W516" s="2"/>
      <c r="X516" s="2" t="s">
        <v>213</v>
      </c>
      <c r="Y516" s="5" t="s">
        <v>214</v>
      </c>
      <c r="Z516" s="2" t="s">
        <v>3607</v>
      </c>
      <c r="AA516" s="6" t="s">
        <v>3608</v>
      </c>
    </row>
    <row r="517" customFormat="false" ht="68.65" hidden="false" customHeight="false" outlineLevel="0" collapsed="false">
      <c r="A517" s="5" t="s">
        <v>3609</v>
      </c>
      <c r="B517" s="2" t="s">
        <v>3610</v>
      </c>
      <c r="C517" s="5" t="s">
        <v>2128</v>
      </c>
      <c r="D517" s="5" t="s">
        <v>60</v>
      </c>
      <c r="E517" s="2" t="s">
        <v>751</v>
      </c>
      <c r="F517" s="5" t="s">
        <v>62</v>
      </c>
      <c r="G517" s="5" t="n">
        <v>7</v>
      </c>
      <c r="H517" s="5" t="s">
        <v>89</v>
      </c>
      <c r="I517" s="5" t="s">
        <v>64</v>
      </c>
      <c r="J517" s="5" t="s">
        <v>65</v>
      </c>
      <c r="K517" s="5" t="s">
        <v>66</v>
      </c>
      <c r="L517" s="2" t="s">
        <v>1210</v>
      </c>
      <c r="M517" s="2" t="s">
        <v>3290</v>
      </c>
      <c r="N517" s="2" t="s">
        <v>367</v>
      </c>
      <c r="O517" s="2" t="s">
        <v>1105</v>
      </c>
      <c r="P517" s="2"/>
      <c r="Q517" s="5" t="n">
        <v>1</v>
      </c>
      <c r="R517" s="2" t="s">
        <v>71</v>
      </c>
      <c r="S517" s="2" t="s">
        <v>3611</v>
      </c>
      <c r="T517" s="2" t="s">
        <v>1139</v>
      </c>
      <c r="U517" s="2" t="s">
        <v>74</v>
      </c>
      <c r="V517" s="5" t="n">
        <v>300</v>
      </c>
      <c r="W517" s="2"/>
      <c r="X517" s="2" t="s">
        <v>1108</v>
      </c>
      <c r="Y517" s="5" t="s">
        <v>309</v>
      </c>
      <c r="Z517" s="2" t="s">
        <v>3612</v>
      </c>
      <c r="AA517" s="6" t="s">
        <v>3613</v>
      </c>
    </row>
    <row r="518" customFormat="false" ht="68.65" hidden="false" customHeight="false" outlineLevel="0" collapsed="false">
      <c r="A518" s="5" t="s">
        <v>3614</v>
      </c>
      <c r="B518" s="2" t="s">
        <v>3615</v>
      </c>
      <c r="C518" s="5" t="s">
        <v>2128</v>
      </c>
      <c r="D518" s="5" t="s">
        <v>60</v>
      </c>
      <c r="E518" s="2" t="s">
        <v>3156</v>
      </c>
      <c r="F518" s="5" t="s">
        <v>62</v>
      </c>
      <c r="G518" s="5" t="n">
        <v>7</v>
      </c>
      <c r="H518" s="5" t="s">
        <v>89</v>
      </c>
      <c r="I518" s="5" t="s">
        <v>64</v>
      </c>
      <c r="J518" s="5" t="s">
        <v>65</v>
      </c>
      <c r="K518" s="5" t="s">
        <v>66</v>
      </c>
      <c r="L518" s="2" t="s">
        <v>90</v>
      </c>
      <c r="M518" s="2"/>
      <c r="N518" s="2" t="s">
        <v>367</v>
      </c>
      <c r="O518" s="2" t="s">
        <v>1105</v>
      </c>
      <c r="P518" s="2"/>
      <c r="Q518" s="5" t="n">
        <v>1</v>
      </c>
      <c r="R518" s="2" t="s">
        <v>71</v>
      </c>
      <c r="S518" s="2" t="s">
        <v>3616</v>
      </c>
      <c r="T518" s="2" t="s">
        <v>1358</v>
      </c>
      <c r="U518" s="2" t="s">
        <v>74</v>
      </c>
      <c r="V518" s="5" t="n">
        <v>300</v>
      </c>
      <c r="W518" s="2"/>
      <c r="X518" s="2" t="s">
        <v>1108</v>
      </c>
      <c r="Y518" s="5" t="s">
        <v>309</v>
      </c>
      <c r="Z518" s="2" t="s">
        <v>3617</v>
      </c>
      <c r="AA518" s="6" t="s">
        <v>3618</v>
      </c>
    </row>
    <row r="519" customFormat="false" ht="79.85" hidden="false" customHeight="false" outlineLevel="0" collapsed="false">
      <c r="A519" s="5" t="s">
        <v>3619</v>
      </c>
      <c r="B519" s="2" t="s">
        <v>3620</v>
      </c>
      <c r="C519" s="5" t="s">
        <v>2128</v>
      </c>
      <c r="D519" s="5" t="s">
        <v>60</v>
      </c>
      <c r="E519" s="2" t="s">
        <v>3156</v>
      </c>
      <c r="F519" s="5" t="s">
        <v>62</v>
      </c>
      <c r="G519" s="5" t="n">
        <v>7</v>
      </c>
      <c r="H519" s="5" t="s">
        <v>89</v>
      </c>
      <c r="I519" s="5" t="s">
        <v>64</v>
      </c>
      <c r="J519" s="5" t="s">
        <v>65</v>
      </c>
      <c r="K519" s="5" t="s">
        <v>66</v>
      </c>
      <c r="L519" s="2" t="s">
        <v>90</v>
      </c>
      <c r="M519" s="2"/>
      <c r="N519" s="2" t="s">
        <v>367</v>
      </c>
      <c r="O519" s="2" t="s">
        <v>1105</v>
      </c>
      <c r="P519" s="2"/>
      <c r="Q519" s="5" t="n">
        <v>1</v>
      </c>
      <c r="R519" s="2" t="s">
        <v>71</v>
      </c>
      <c r="S519" s="2" t="s">
        <v>3621</v>
      </c>
      <c r="T519" s="2" t="s">
        <v>1358</v>
      </c>
      <c r="U519" s="2" t="s">
        <v>74</v>
      </c>
      <c r="V519" s="5" t="n">
        <v>300</v>
      </c>
      <c r="W519" s="2"/>
      <c r="X519" s="2" t="s">
        <v>1108</v>
      </c>
      <c r="Y519" s="5" t="s">
        <v>309</v>
      </c>
      <c r="Z519" s="2" t="s">
        <v>3622</v>
      </c>
      <c r="AA519" s="6" t="s">
        <v>3623</v>
      </c>
    </row>
    <row r="520" customFormat="false" ht="68.65" hidden="false" customHeight="false" outlineLevel="0" collapsed="false">
      <c r="A520" s="5" t="s">
        <v>3624</v>
      </c>
      <c r="B520" s="2" t="s">
        <v>3625</v>
      </c>
      <c r="C520" s="5" t="s">
        <v>2245</v>
      </c>
      <c r="D520" s="5" t="s">
        <v>60</v>
      </c>
      <c r="E520" s="2" t="s">
        <v>269</v>
      </c>
      <c r="F520" s="5" t="s">
        <v>62</v>
      </c>
      <c r="G520" s="5" t="n">
        <v>7</v>
      </c>
      <c r="H520" s="5" t="s">
        <v>89</v>
      </c>
      <c r="I520" s="5" t="s">
        <v>64</v>
      </c>
      <c r="J520" s="5" t="s">
        <v>65</v>
      </c>
      <c r="K520" s="5" t="s">
        <v>66</v>
      </c>
      <c r="L520" s="2" t="s">
        <v>90</v>
      </c>
      <c r="M520" s="2"/>
      <c r="N520" s="2" t="s">
        <v>3499</v>
      </c>
      <c r="O520" s="2" t="s">
        <v>3626</v>
      </c>
      <c r="P520" s="2"/>
      <c r="Q520" s="5" t="n">
        <v>1</v>
      </c>
      <c r="R520" s="2" t="s">
        <v>71</v>
      </c>
      <c r="S520" s="2" t="s">
        <v>3627</v>
      </c>
      <c r="T520" s="2" t="s">
        <v>3628</v>
      </c>
      <c r="U520" s="2" t="s">
        <v>74</v>
      </c>
      <c r="V520" s="5" t="n">
        <v>300</v>
      </c>
      <c r="W520" s="2"/>
      <c r="X520" s="2" t="s">
        <v>3629</v>
      </c>
      <c r="Y520" s="5"/>
      <c r="Z520" s="2" t="s">
        <v>3630</v>
      </c>
      <c r="AA520" s="6" t="s">
        <v>3631</v>
      </c>
    </row>
    <row r="521" customFormat="false" ht="113.4" hidden="false" customHeight="false" outlineLevel="0" collapsed="false">
      <c r="A521" s="5" t="s">
        <v>3632</v>
      </c>
      <c r="B521" s="2" t="s">
        <v>3633</v>
      </c>
      <c r="C521" s="5" t="s">
        <v>2245</v>
      </c>
      <c r="D521" s="5" t="s">
        <v>60</v>
      </c>
      <c r="E521" s="2" t="s">
        <v>751</v>
      </c>
      <c r="F521" s="5" t="s">
        <v>490</v>
      </c>
      <c r="G521" s="5" t="n">
        <v>7</v>
      </c>
      <c r="H521" s="5" t="s">
        <v>89</v>
      </c>
      <c r="I521" s="5" t="s">
        <v>64</v>
      </c>
      <c r="J521" s="5" t="s">
        <v>65</v>
      </c>
      <c r="K521" s="5" t="s">
        <v>66</v>
      </c>
      <c r="L521" s="2" t="s">
        <v>277</v>
      </c>
      <c r="M521" s="2" t="s">
        <v>3440</v>
      </c>
      <c r="N521" s="2" t="s">
        <v>3232</v>
      </c>
      <c r="O521" s="2" t="s">
        <v>1105</v>
      </c>
      <c r="P521" s="2"/>
      <c r="Q521" s="5" t="n">
        <v>1</v>
      </c>
      <c r="R521" s="2" t="s">
        <v>71</v>
      </c>
      <c r="S521" s="2" t="s">
        <v>3634</v>
      </c>
      <c r="T521" s="2" t="s">
        <v>1269</v>
      </c>
      <c r="U521" s="2" t="s">
        <v>74</v>
      </c>
      <c r="V521" s="5" t="n">
        <v>300</v>
      </c>
      <c r="W521" s="2"/>
      <c r="X521" s="2" t="s">
        <v>1108</v>
      </c>
      <c r="Y521" s="5" t="s">
        <v>309</v>
      </c>
      <c r="Z521" s="2" t="s">
        <v>3635</v>
      </c>
      <c r="AA521" s="6" t="s">
        <v>3636</v>
      </c>
    </row>
    <row r="522" customFormat="false" ht="124.6" hidden="false" customHeight="false" outlineLevel="0" collapsed="false">
      <c r="A522" s="5" t="s">
        <v>3637</v>
      </c>
      <c r="B522" s="2" t="s">
        <v>3638</v>
      </c>
      <c r="C522" s="5" t="s">
        <v>2245</v>
      </c>
      <c r="D522" s="5" t="s">
        <v>60</v>
      </c>
      <c r="E522" s="2" t="s">
        <v>751</v>
      </c>
      <c r="F522" s="5" t="s">
        <v>490</v>
      </c>
      <c r="G522" s="5" t="n">
        <v>7</v>
      </c>
      <c r="H522" s="5" t="s">
        <v>89</v>
      </c>
      <c r="I522" s="5" t="s">
        <v>64</v>
      </c>
      <c r="J522" s="5" t="s">
        <v>65</v>
      </c>
      <c r="K522" s="5" t="s">
        <v>66</v>
      </c>
      <c r="L522" s="2" t="s">
        <v>413</v>
      </c>
      <c r="M522" s="2" t="s">
        <v>3639</v>
      </c>
      <c r="N522" s="2" t="s">
        <v>3232</v>
      </c>
      <c r="O522" s="2" t="s">
        <v>1160</v>
      </c>
      <c r="P522" s="2"/>
      <c r="Q522" s="5" t="n">
        <v>1</v>
      </c>
      <c r="R522" s="2" t="s">
        <v>71</v>
      </c>
      <c r="S522" s="2" t="s">
        <v>3640</v>
      </c>
      <c r="T522" s="2" t="s">
        <v>1162</v>
      </c>
      <c r="U522" s="2" t="s">
        <v>74</v>
      </c>
      <c r="V522" s="5" t="n">
        <v>300</v>
      </c>
      <c r="W522" s="2"/>
      <c r="X522" s="2" t="s">
        <v>1163</v>
      </c>
      <c r="Y522" s="5"/>
      <c r="Z522" s="2" t="s">
        <v>3641</v>
      </c>
      <c r="AA522" s="6" t="s">
        <v>3642</v>
      </c>
    </row>
    <row r="523" customFormat="false" ht="68.65" hidden="false" customHeight="false" outlineLevel="0" collapsed="false">
      <c r="A523" s="5" t="s">
        <v>3643</v>
      </c>
      <c r="B523" s="2" t="s">
        <v>3644</v>
      </c>
      <c r="C523" s="5" t="s">
        <v>2245</v>
      </c>
      <c r="D523" s="5" t="s">
        <v>60</v>
      </c>
      <c r="E523" s="2" t="s">
        <v>269</v>
      </c>
      <c r="F523" s="5" t="s">
        <v>62</v>
      </c>
      <c r="G523" s="5" t="n">
        <v>7</v>
      </c>
      <c r="H523" s="5" t="s">
        <v>89</v>
      </c>
      <c r="I523" s="5" t="s">
        <v>64</v>
      </c>
      <c r="J523" s="5" t="s">
        <v>65</v>
      </c>
      <c r="K523" s="5" t="s">
        <v>66</v>
      </c>
      <c r="L523" s="2" t="s">
        <v>67</v>
      </c>
      <c r="M523" s="2" t="s">
        <v>482</v>
      </c>
      <c r="N523" s="2" t="s">
        <v>3499</v>
      </c>
      <c r="O523" s="2" t="s">
        <v>3645</v>
      </c>
      <c r="P523" s="2"/>
      <c r="Q523" s="5" t="n">
        <v>1</v>
      </c>
      <c r="R523" s="2" t="s">
        <v>71</v>
      </c>
      <c r="S523" s="2" t="s">
        <v>3646</v>
      </c>
      <c r="T523" s="2" t="s">
        <v>3647</v>
      </c>
      <c r="U523" s="2" t="s">
        <v>74</v>
      </c>
      <c r="V523" s="5" t="n">
        <v>300</v>
      </c>
      <c r="W523" s="2"/>
      <c r="X523" s="2" t="s">
        <v>3648</v>
      </c>
      <c r="Y523" s="5"/>
      <c r="Z523" s="2" t="s">
        <v>3649</v>
      </c>
      <c r="AA523" s="6" t="s">
        <v>3650</v>
      </c>
    </row>
    <row r="524" customFormat="false" ht="135.8" hidden="false" customHeight="false" outlineLevel="0" collapsed="false">
      <c r="A524" s="5" t="s">
        <v>3651</v>
      </c>
      <c r="B524" s="2" t="s">
        <v>3652</v>
      </c>
      <c r="C524" s="5" t="s">
        <v>2245</v>
      </c>
      <c r="D524" s="5" t="s">
        <v>60</v>
      </c>
      <c r="E524" s="2" t="s">
        <v>1384</v>
      </c>
      <c r="F524" s="5" t="s">
        <v>62</v>
      </c>
      <c r="G524" s="5" t="n">
        <v>7</v>
      </c>
      <c r="H524" s="5" t="s">
        <v>89</v>
      </c>
      <c r="I524" s="5" t="s">
        <v>64</v>
      </c>
      <c r="J524" s="5" t="s">
        <v>65</v>
      </c>
      <c r="K524" s="5" t="s">
        <v>66</v>
      </c>
      <c r="L524" s="2" t="s">
        <v>100</v>
      </c>
      <c r="M524" s="2" t="s">
        <v>340</v>
      </c>
      <c r="N524" s="2" t="s">
        <v>3232</v>
      </c>
      <c r="O524" s="2" t="s">
        <v>1105</v>
      </c>
      <c r="P524" s="2"/>
      <c r="Q524" s="5" t="n">
        <v>1</v>
      </c>
      <c r="R524" s="2" t="s">
        <v>71</v>
      </c>
      <c r="S524" s="2" t="s">
        <v>3653</v>
      </c>
      <c r="T524" s="2" t="s">
        <v>1176</v>
      </c>
      <c r="U524" s="2" t="s">
        <v>74</v>
      </c>
      <c r="V524" s="5" t="n">
        <v>300</v>
      </c>
      <c r="W524" s="2"/>
      <c r="X524" s="2" t="s">
        <v>1108</v>
      </c>
      <c r="Y524" s="5" t="s">
        <v>309</v>
      </c>
      <c r="Z524" s="2" t="s">
        <v>3654</v>
      </c>
      <c r="AA524" s="6" t="s">
        <v>3655</v>
      </c>
    </row>
    <row r="525" customFormat="false" ht="68.65" hidden="false" customHeight="false" outlineLevel="0" collapsed="false">
      <c r="A525" s="5" t="s">
        <v>3656</v>
      </c>
      <c r="B525" s="2" t="s">
        <v>3657</v>
      </c>
      <c r="C525" s="5" t="s">
        <v>2245</v>
      </c>
      <c r="D525" s="5" t="s">
        <v>60</v>
      </c>
      <c r="E525" s="2" t="s">
        <v>1384</v>
      </c>
      <c r="F525" s="5" t="s">
        <v>62</v>
      </c>
      <c r="G525" s="5" t="n">
        <v>7</v>
      </c>
      <c r="H525" s="5" t="s">
        <v>89</v>
      </c>
      <c r="I525" s="5" t="s">
        <v>64</v>
      </c>
      <c r="J525" s="5" t="s">
        <v>65</v>
      </c>
      <c r="K525" s="5" t="s">
        <v>66</v>
      </c>
      <c r="L525" s="2" t="s">
        <v>100</v>
      </c>
      <c r="M525" s="2" t="s">
        <v>340</v>
      </c>
      <c r="N525" s="2" t="s">
        <v>3129</v>
      </c>
      <c r="O525" s="2" t="s">
        <v>3130</v>
      </c>
      <c r="P525" s="2"/>
      <c r="Q525" s="5" t="n">
        <v>1</v>
      </c>
      <c r="R525" s="2" t="s">
        <v>71</v>
      </c>
      <c r="S525" s="2" t="s">
        <v>3658</v>
      </c>
      <c r="T525" s="2" t="s">
        <v>3132</v>
      </c>
      <c r="U525" s="2" t="s">
        <v>74</v>
      </c>
      <c r="V525" s="5" t="n">
        <v>300</v>
      </c>
      <c r="W525" s="2"/>
      <c r="X525" s="2" t="s">
        <v>3133</v>
      </c>
      <c r="Y525" s="5" t="s">
        <v>3134</v>
      </c>
      <c r="Z525" s="2" t="s">
        <v>3659</v>
      </c>
      <c r="AA525" s="6" t="s">
        <v>3660</v>
      </c>
    </row>
    <row r="526" customFormat="false" ht="46.25" hidden="false" customHeight="false" outlineLevel="0" collapsed="false">
      <c r="A526" s="5" t="s">
        <v>3661</v>
      </c>
      <c r="B526" s="2" t="s">
        <v>3662</v>
      </c>
      <c r="C526" s="5" t="s">
        <v>2128</v>
      </c>
      <c r="D526" s="5" t="s">
        <v>60</v>
      </c>
      <c r="E526" s="2" t="s">
        <v>751</v>
      </c>
      <c r="F526" s="5" t="s">
        <v>62</v>
      </c>
      <c r="G526" s="5" t="n">
        <v>5</v>
      </c>
      <c r="H526" s="5" t="s">
        <v>89</v>
      </c>
      <c r="I526" s="5" t="s">
        <v>64</v>
      </c>
      <c r="J526" s="5" t="s">
        <v>65</v>
      </c>
      <c r="K526" s="5" t="s">
        <v>66</v>
      </c>
      <c r="L526" s="2" t="s">
        <v>90</v>
      </c>
      <c r="M526" s="2"/>
      <c r="N526" s="2" t="s">
        <v>367</v>
      </c>
      <c r="O526" s="2" t="s">
        <v>1105</v>
      </c>
      <c r="P526" s="2"/>
      <c r="Q526" s="5" t="n">
        <v>1</v>
      </c>
      <c r="R526" s="2" t="s">
        <v>71</v>
      </c>
      <c r="S526" s="2" t="s">
        <v>3663</v>
      </c>
      <c r="T526" s="2" t="s">
        <v>1176</v>
      </c>
      <c r="U526" s="2" t="s">
        <v>74</v>
      </c>
      <c r="V526" s="5" t="n">
        <v>300</v>
      </c>
      <c r="W526" s="2"/>
      <c r="X526" s="2" t="s">
        <v>1108</v>
      </c>
      <c r="Y526" s="5" t="s">
        <v>309</v>
      </c>
      <c r="Z526" s="2" t="s">
        <v>3664</v>
      </c>
      <c r="AA526" s="6" t="s">
        <v>3665</v>
      </c>
    </row>
    <row r="527" customFormat="false" ht="57.45" hidden="false" customHeight="false" outlineLevel="0" collapsed="false">
      <c r="A527" s="5" t="s">
        <v>3666</v>
      </c>
      <c r="B527" s="2" t="s">
        <v>3667</v>
      </c>
      <c r="C527" s="5" t="s">
        <v>2128</v>
      </c>
      <c r="D527" s="5" t="s">
        <v>60</v>
      </c>
      <c r="E527" s="2" t="s">
        <v>751</v>
      </c>
      <c r="F527" s="5" t="s">
        <v>62</v>
      </c>
      <c r="G527" s="5" t="n">
        <v>7</v>
      </c>
      <c r="H527" s="5" t="s">
        <v>89</v>
      </c>
      <c r="I527" s="5" t="s">
        <v>64</v>
      </c>
      <c r="J527" s="5" t="s">
        <v>65</v>
      </c>
      <c r="K527" s="5" t="s">
        <v>66</v>
      </c>
      <c r="L527" s="2" t="s">
        <v>277</v>
      </c>
      <c r="M527" s="2" t="s">
        <v>3583</v>
      </c>
      <c r="N527" s="2" t="s">
        <v>367</v>
      </c>
      <c r="O527" s="2" t="s">
        <v>1105</v>
      </c>
      <c r="P527" s="2"/>
      <c r="Q527" s="5" t="n">
        <v>1</v>
      </c>
      <c r="R527" s="2" t="s">
        <v>71</v>
      </c>
      <c r="S527" s="2" t="s">
        <v>3668</v>
      </c>
      <c r="T527" s="2" t="s">
        <v>3669</v>
      </c>
      <c r="U527" s="2" t="s">
        <v>74</v>
      </c>
      <c r="V527" s="5" t="n">
        <v>300</v>
      </c>
      <c r="W527" s="2"/>
      <c r="X527" s="2" t="s">
        <v>1108</v>
      </c>
      <c r="Y527" s="5" t="s">
        <v>309</v>
      </c>
      <c r="Z527" s="2" t="s">
        <v>3670</v>
      </c>
      <c r="AA527" s="6" t="s">
        <v>3671</v>
      </c>
    </row>
    <row r="528" customFormat="false" ht="68.65" hidden="false" customHeight="false" outlineLevel="0" collapsed="false">
      <c r="A528" s="5" t="s">
        <v>3672</v>
      </c>
      <c r="B528" s="2" t="s">
        <v>3673</v>
      </c>
      <c r="C528" s="5" t="s">
        <v>2245</v>
      </c>
      <c r="D528" s="5" t="s">
        <v>60</v>
      </c>
      <c r="E528" s="2" t="s">
        <v>751</v>
      </c>
      <c r="F528" s="5" t="s">
        <v>62</v>
      </c>
      <c r="G528" s="5" t="n">
        <v>7</v>
      </c>
      <c r="H528" s="5" t="s">
        <v>89</v>
      </c>
      <c r="I528" s="5" t="s">
        <v>64</v>
      </c>
      <c r="J528" s="5" t="s">
        <v>65</v>
      </c>
      <c r="K528" s="5" t="s">
        <v>66</v>
      </c>
      <c r="L528" s="2" t="s">
        <v>90</v>
      </c>
      <c r="M528" s="2"/>
      <c r="N528" s="2" t="s">
        <v>3232</v>
      </c>
      <c r="O528" s="2" t="s">
        <v>1105</v>
      </c>
      <c r="P528" s="2"/>
      <c r="Q528" s="5" t="n">
        <v>1</v>
      </c>
      <c r="R528" s="2" t="s">
        <v>71</v>
      </c>
      <c r="S528" s="2" t="s">
        <v>3674</v>
      </c>
      <c r="T528" s="2" t="s">
        <v>1139</v>
      </c>
      <c r="U528" s="2" t="s">
        <v>74</v>
      </c>
      <c r="V528" s="5" t="n">
        <v>300</v>
      </c>
      <c r="W528" s="2"/>
      <c r="X528" s="2" t="s">
        <v>1108</v>
      </c>
      <c r="Y528" s="5" t="s">
        <v>309</v>
      </c>
      <c r="Z528" s="2" t="s">
        <v>3675</v>
      </c>
      <c r="AA528" s="6" t="s">
        <v>3676</v>
      </c>
    </row>
    <row r="529" customFormat="false" ht="57.45" hidden="false" customHeight="false" outlineLevel="0" collapsed="false">
      <c r="A529" s="5" t="s">
        <v>3677</v>
      </c>
      <c r="B529" s="2" t="s">
        <v>3678</v>
      </c>
      <c r="C529" s="5" t="s">
        <v>2128</v>
      </c>
      <c r="D529" s="5" t="s">
        <v>60</v>
      </c>
      <c r="E529" s="2" t="s">
        <v>751</v>
      </c>
      <c r="F529" s="5" t="s">
        <v>62</v>
      </c>
      <c r="G529" s="5" t="n">
        <v>7</v>
      </c>
      <c r="H529" s="5" t="s">
        <v>89</v>
      </c>
      <c r="I529" s="5" t="s">
        <v>64</v>
      </c>
      <c r="J529" s="5" t="s">
        <v>65</v>
      </c>
      <c r="K529" s="5" t="s">
        <v>66</v>
      </c>
      <c r="L529" s="2" t="s">
        <v>277</v>
      </c>
      <c r="M529" s="2" t="s">
        <v>314</v>
      </c>
      <c r="N529" s="2" t="s">
        <v>367</v>
      </c>
      <c r="O529" s="2" t="s">
        <v>1105</v>
      </c>
      <c r="P529" s="2"/>
      <c r="Q529" s="5" t="n">
        <v>1</v>
      </c>
      <c r="R529" s="2" t="s">
        <v>71</v>
      </c>
      <c r="S529" s="2" t="s">
        <v>3679</v>
      </c>
      <c r="T529" s="2" t="s">
        <v>1834</v>
      </c>
      <c r="U529" s="2" t="s">
        <v>74</v>
      </c>
      <c r="V529" s="5" t="n">
        <v>300</v>
      </c>
      <c r="W529" s="2"/>
      <c r="X529" s="2" t="s">
        <v>1108</v>
      </c>
      <c r="Y529" s="5" t="s">
        <v>309</v>
      </c>
      <c r="Z529" s="2" t="s">
        <v>3680</v>
      </c>
      <c r="AA529" s="6" t="s">
        <v>3681</v>
      </c>
    </row>
    <row r="530" customFormat="false" ht="169.4" hidden="false" customHeight="false" outlineLevel="0" collapsed="false">
      <c r="A530" s="5" t="s">
        <v>3682</v>
      </c>
      <c r="B530" s="2" t="s">
        <v>3683</v>
      </c>
      <c r="C530" s="5" t="s">
        <v>2128</v>
      </c>
      <c r="D530" s="5" t="s">
        <v>60</v>
      </c>
      <c r="E530" s="2" t="s">
        <v>161</v>
      </c>
      <c r="F530" s="5" t="s">
        <v>62</v>
      </c>
      <c r="G530" s="5" t="n">
        <v>7</v>
      </c>
      <c r="H530" s="5" t="s">
        <v>89</v>
      </c>
      <c r="I530" s="5" t="s">
        <v>64</v>
      </c>
      <c r="J530" s="5" t="s">
        <v>65</v>
      </c>
      <c r="K530" s="5" t="s">
        <v>66</v>
      </c>
      <c r="L530" s="2" t="s">
        <v>67</v>
      </c>
      <c r="M530" s="2" t="s">
        <v>578</v>
      </c>
      <c r="N530" s="2" t="s">
        <v>367</v>
      </c>
      <c r="O530" s="2" t="s">
        <v>1105</v>
      </c>
      <c r="P530" s="2"/>
      <c r="Q530" s="5" t="n">
        <v>1</v>
      </c>
      <c r="R530" s="2" t="s">
        <v>71</v>
      </c>
      <c r="S530" s="2" t="s">
        <v>3684</v>
      </c>
      <c r="T530" s="2" t="s">
        <v>3685</v>
      </c>
      <c r="U530" s="2" t="s">
        <v>74</v>
      </c>
      <c r="V530" s="5" t="n">
        <v>300</v>
      </c>
      <c r="W530" s="2"/>
      <c r="X530" s="2" t="s">
        <v>1108</v>
      </c>
      <c r="Y530" s="5" t="s">
        <v>309</v>
      </c>
      <c r="Z530" s="2" t="s">
        <v>3686</v>
      </c>
      <c r="AA530" s="6" t="s">
        <v>3687</v>
      </c>
    </row>
    <row r="531" customFormat="false" ht="68.65" hidden="false" customHeight="false" outlineLevel="0" collapsed="false">
      <c r="A531" s="5" t="s">
        <v>3688</v>
      </c>
      <c r="B531" s="2" t="s">
        <v>3689</v>
      </c>
      <c r="C531" s="5" t="s">
        <v>2245</v>
      </c>
      <c r="D531" s="5" t="s">
        <v>60</v>
      </c>
      <c r="E531" s="2" t="s">
        <v>1104</v>
      </c>
      <c r="F531" s="5" t="s">
        <v>62</v>
      </c>
      <c r="G531" s="5" t="n">
        <v>7</v>
      </c>
      <c r="H531" s="5" t="s">
        <v>89</v>
      </c>
      <c r="I531" s="5" t="s">
        <v>64</v>
      </c>
      <c r="J531" s="5" t="s">
        <v>65</v>
      </c>
      <c r="K531" s="5" t="s">
        <v>66</v>
      </c>
      <c r="L531" s="2" t="s">
        <v>100</v>
      </c>
      <c r="M531" s="2" t="s">
        <v>1646</v>
      </c>
      <c r="N531" s="2" t="s">
        <v>3232</v>
      </c>
      <c r="O531" s="2" t="s">
        <v>1105</v>
      </c>
      <c r="P531" s="2"/>
      <c r="Q531" s="5" t="n">
        <v>1</v>
      </c>
      <c r="R531" s="2" t="s">
        <v>71</v>
      </c>
      <c r="S531" s="2" t="s">
        <v>3690</v>
      </c>
      <c r="T531" s="2" t="s">
        <v>1139</v>
      </c>
      <c r="U531" s="2" t="s">
        <v>74</v>
      </c>
      <c r="V531" s="5" t="n">
        <v>300</v>
      </c>
      <c r="W531" s="2"/>
      <c r="X531" s="2" t="s">
        <v>1108</v>
      </c>
      <c r="Y531" s="5" t="s">
        <v>309</v>
      </c>
      <c r="Z531" s="2" t="s">
        <v>3691</v>
      </c>
      <c r="AA531" s="6" t="s">
        <v>3692</v>
      </c>
    </row>
    <row r="532" customFormat="false" ht="68.65" hidden="false" customHeight="false" outlineLevel="0" collapsed="false">
      <c r="A532" s="5" t="s">
        <v>3693</v>
      </c>
      <c r="B532" s="2" t="s">
        <v>3694</v>
      </c>
      <c r="C532" s="5" t="s">
        <v>2245</v>
      </c>
      <c r="D532" s="5" t="s">
        <v>60</v>
      </c>
      <c r="E532" s="2" t="s">
        <v>1104</v>
      </c>
      <c r="F532" s="5" t="s">
        <v>62</v>
      </c>
      <c r="G532" s="5" t="n">
        <v>7</v>
      </c>
      <c r="H532" s="5" t="s">
        <v>89</v>
      </c>
      <c r="I532" s="5" t="s">
        <v>64</v>
      </c>
      <c r="J532" s="5" t="s">
        <v>65</v>
      </c>
      <c r="K532" s="5" t="s">
        <v>66</v>
      </c>
      <c r="L532" s="2" t="s">
        <v>100</v>
      </c>
      <c r="M532" s="2" t="s">
        <v>1646</v>
      </c>
      <c r="N532" s="2" t="s">
        <v>3129</v>
      </c>
      <c r="O532" s="2" t="s">
        <v>3130</v>
      </c>
      <c r="P532" s="2"/>
      <c r="Q532" s="5" t="n">
        <v>1</v>
      </c>
      <c r="R532" s="2" t="s">
        <v>71</v>
      </c>
      <c r="S532" s="2" t="s">
        <v>3695</v>
      </c>
      <c r="T532" s="2" t="s">
        <v>3132</v>
      </c>
      <c r="U532" s="2" t="s">
        <v>74</v>
      </c>
      <c r="V532" s="5" t="n">
        <v>300</v>
      </c>
      <c r="W532" s="2"/>
      <c r="X532" s="2" t="s">
        <v>3133</v>
      </c>
      <c r="Y532" s="5" t="s">
        <v>3134</v>
      </c>
      <c r="Z532" s="2" t="s">
        <v>3696</v>
      </c>
      <c r="AA532" s="6" t="s">
        <v>3697</v>
      </c>
    </row>
    <row r="533" customFormat="false" ht="46.25" hidden="false" customHeight="false" outlineLevel="0" collapsed="false">
      <c r="A533" s="5" t="s">
        <v>3698</v>
      </c>
      <c r="B533" s="2" t="s">
        <v>3699</v>
      </c>
      <c r="C533" s="5" t="s">
        <v>2128</v>
      </c>
      <c r="D533" s="5" t="s">
        <v>60</v>
      </c>
      <c r="E533" s="2" t="s">
        <v>269</v>
      </c>
      <c r="F533" s="5" t="s">
        <v>62</v>
      </c>
      <c r="G533" s="5" t="n">
        <v>7</v>
      </c>
      <c r="H533" s="5" t="s">
        <v>89</v>
      </c>
      <c r="I533" s="5" t="s">
        <v>64</v>
      </c>
      <c r="J533" s="5" t="s">
        <v>65</v>
      </c>
      <c r="K533" s="5" t="s">
        <v>66</v>
      </c>
      <c r="L533" s="2" t="s">
        <v>67</v>
      </c>
      <c r="M533" s="2" t="s">
        <v>1532</v>
      </c>
      <c r="N533" s="2" t="s">
        <v>184</v>
      </c>
      <c r="O533" s="2" t="s">
        <v>3700</v>
      </c>
      <c r="P533" s="2"/>
      <c r="Q533" s="5" t="n">
        <v>1</v>
      </c>
      <c r="R533" s="2" t="s">
        <v>71</v>
      </c>
      <c r="S533" s="2" t="s">
        <v>3701</v>
      </c>
      <c r="T533" s="2" t="s">
        <v>2314</v>
      </c>
      <c r="U533" s="2" t="s">
        <v>74</v>
      </c>
      <c r="V533" s="5" t="n">
        <v>300</v>
      </c>
      <c r="W533" s="2"/>
      <c r="X533" s="2" t="s">
        <v>3702</v>
      </c>
      <c r="Y533" s="5" t="s">
        <v>1537</v>
      </c>
      <c r="Z533" s="2" t="s">
        <v>3703</v>
      </c>
      <c r="AA533" s="6" t="s">
        <v>3704</v>
      </c>
    </row>
    <row r="534" customFormat="false" ht="46.25" hidden="false" customHeight="false" outlineLevel="0" collapsed="false">
      <c r="A534" s="5" t="s">
        <v>3705</v>
      </c>
      <c r="B534" s="2" t="s">
        <v>3706</v>
      </c>
      <c r="C534" s="5" t="s">
        <v>2128</v>
      </c>
      <c r="D534" s="5" t="s">
        <v>60</v>
      </c>
      <c r="E534" s="2" t="s">
        <v>182</v>
      </c>
      <c r="F534" s="5" t="s">
        <v>62</v>
      </c>
      <c r="G534" s="5" t="n">
        <v>7</v>
      </c>
      <c r="H534" s="5" t="s">
        <v>89</v>
      </c>
      <c r="I534" s="5" t="s">
        <v>64</v>
      </c>
      <c r="J534" s="5" t="s">
        <v>65</v>
      </c>
      <c r="K534" s="5" t="s">
        <v>66</v>
      </c>
      <c r="L534" s="2" t="s">
        <v>90</v>
      </c>
      <c r="M534" s="2" t="s">
        <v>163</v>
      </c>
      <c r="N534" s="2" t="s">
        <v>184</v>
      </c>
      <c r="O534" s="2" t="s">
        <v>385</v>
      </c>
      <c r="P534" s="2"/>
      <c r="Q534" s="5" t="n">
        <v>1</v>
      </c>
      <c r="R534" s="2" t="s">
        <v>71</v>
      </c>
      <c r="S534" s="2" t="s">
        <v>3707</v>
      </c>
      <c r="T534" s="2" t="s">
        <v>247</v>
      </c>
      <c r="U534" s="2" t="s">
        <v>74</v>
      </c>
      <c r="V534" s="5" t="n">
        <v>300</v>
      </c>
      <c r="W534" s="2"/>
      <c r="X534" s="2" t="s">
        <v>386</v>
      </c>
      <c r="Y534" s="5" t="s">
        <v>192</v>
      </c>
      <c r="Z534" s="2" t="s">
        <v>3708</v>
      </c>
      <c r="AA534" s="6" t="s">
        <v>3709</v>
      </c>
    </row>
    <row r="535" customFormat="false" ht="79.85" hidden="false" customHeight="false" outlineLevel="0" collapsed="false">
      <c r="A535" s="5" t="s">
        <v>3710</v>
      </c>
      <c r="B535" s="2" t="s">
        <v>3711</v>
      </c>
      <c r="C535" s="5" t="s">
        <v>2245</v>
      </c>
      <c r="D535" s="5" t="s">
        <v>60</v>
      </c>
      <c r="E535" s="2" t="s">
        <v>3712</v>
      </c>
      <c r="F535" s="5" t="s">
        <v>490</v>
      </c>
      <c r="G535" s="5" t="n">
        <v>7</v>
      </c>
      <c r="H535" s="5" t="s">
        <v>89</v>
      </c>
      <c r="I535" s="5" t="s">
        <v>64</v>
      </c>
      <c r="J535" s="5" t="s">
        <v>65</v>
      </c>
      <c r="K535" s="5" t="s">
        <v>66</v>
      </c>
      <c r="L535" s="2" t="s">
        <v>481</v>
      </c>
      <c r="M535" s="2" t="s">
        <v>1764</v>
      </c>
      <c r="N535" s="2" t="s">
        <v>3232</v>
      </c>
      <c r="O535" s="2" t="s">
        <v>1105</v>
      </c>
      <c r="P535" s="2"/>
      <c r="Q535" s="5" t="n">
        <v>1</v>
      </c>
      <c r="R535" s="2" t="s">
        <v>71</v>
      </c>
      <c r="S535" s="2" t="s">
        <v>3713</v>
      </c>
      <c r="T535" s="2" t="s">
        <v>1176</v>
      </c>
      <c r="U535" s="2" t="s">
        <v>74</v>
      </c>
      <c r="V535" s="5" t="n">
        <v>300</v>
      </c>
      <c r="W535" s="2"/>
      <c r="X535" s="2" t="s">
        <v>1108</v>
      </c>
      <c r="Y535" s="5" t="s">
        <v>309</v>
      </c>
      <c r="Z535" s="2" t="s">
        <v>3714</v>
      </c>
      <c r="AA535" s="6" t="s">
        <v>3715</v>
      </c>
    </row>
    <row r="536" customFormat="false" ht="46.25" hidden="false" customHeight="false" outlineLevel="0" collapsed="false">
      <c r="A536" s="5" t="s">
        <v>3716</v>
      </c>
      <c r="B536" s="2" t="s">
        <v>3717</v>
      </c>
      <c r="C536" s="5" t="s">
        <v>2128</v>
      </c>
      <c r="D536" s="5" t="s">
        <v>60</v>
      </c>
      <c r="E536" s="2" t="s">
        <v>269</v>
      </c>
      <c r="F536" s="5" t="s">
        <v>62</v>
      </c>
      <c r="G536" s="5" t="n">
        <v>7</v>
      </c>
      <c r="H536" s="5" t="s">
        <v>89</v>
      </c>
      <c r="I536" s="5" t="s">
        <v>64</v>
      </c>
      <c r="J536" s="5" t="s">
        <v>65</v>
      </c>
      <c r="K536" s="5" t="s">
        <v>66</v>
      </c>
      <c r="L536" s="2" t="s">
        <v>90</v>
      </c>
      <c r="M536" s="2" t="s">
        <v>3718</v>
      </c>
      <c r="N536" s="2" t="s">
        <v>184</v>
      </c>
      <c r="O536" s="2" t="s">
        <v>1198</v>
      </c>
      <c r="P536" s="2"/>
      <c r="Q536" s="5" t="n">
        <v>1</v>
      </c>
      <c r="R536" s="2" t="s">
        <v>71</v>
      </c>
      <c r="S536" s="2" t="s">
        <v>3719</v>
      </c>
      <c r="T536" s="2" t="s">
        <v>3720</v>
      </c>
      <c r="U536" s="2" t="s">
        <v>74</v>
      </c>
      <c r="V536" s="5" t="n">
        <v>300</v>
      </c>
      <c r="W536" s="2"/>
      <c r="X536" s="2" t="s">
        <v>1201</v>
      </c>
      <c r="Y536" s="5"/>
      <c r="Z536" s="2" t="s">
        <v>3721</v>
      </c>
      <c r="AA536" s="6" t="s">
        <v>3722</v>
      </c>
    </row>
    <row r="537" customFormat="false" ht="68.65" hidden="false" customHeight="false" outlineLevel="0" collapsed="false">
      <c r="A537" s="5" t="s">
        <v>3723</v>
      </c>
      <c r="B537" s="2" t="s">
        <v>3724</v>
      </c>
      <c r="C537" s="5" t="s">
        <v>2128</v>
      </c>
      <c r="D537" s="5" t="s">
        <v>60</v>
      </c>
      <c r="E537" s="2" t="s">
        <v>2078</v>
      </c>
      <c r="F537" s="5" t="s">
        <v>62</v>
      </c>
      <c r="G537" s="5" t="n">
        <v>7</v>
      </c>
      <c r="H537" s="5" t="s">
        <v>89</v>
      </c>
      <c r="I537" s="5" t="s">
        <v>64</v>
      </c>
      <c r="J537" s="5" t="s">
        <v>65</v>
      </c>
      <c r="K537" s="5" t="s">
        <v>66</v>
      </c>
      <c r="L537" s="2" t="s">
        <v>2079</v>
      </c>
      <c r="M537" s="2" t="s">
        <v>3139</v>
      </c>
      <c r="N537" s="2" t="s">
        <v>184</v>
      </c>
      <c r="O537" s="2" t="s">
        <v>1612</v>
      </c>
      <c r="P537" s="2"/>
      <c r="Q537" s="5" t="n">
        <v>1</v>
      </c>
      <c r="R537" s="2" t="s">
        <v>71</v>
      </c>
      <c r="S537" s="2" t="s">
        <v>3725</v>
      </c>
      <c r="T537" s="2" t="s">
        <v>1614</v>
      </c>
      <c r="U537" s="2" t="s">
        <v>74</v>
      </c>
      <c r="V537" s="5" t="n">
        <v>300</v>
      </c>
      <c r="W537" s="2"/>
      <c r="X537" s="2" t="s">
        <v>1615</v>
      </c>
      <c r="Y537" s="5"/>
      <c r="Z537" s="2" t="s">
        <v>3726</v>
      </c>
      <c r="AA537" s="6" t="s">
        <v>3727</v>
      </c>
    </row>
    <row r="538" customFormat="false" ht="57.45" hidden="false" customHeight="false" outlineLevel="0" collapsed="false">
      <c r="A538" s="5" t="s">
        <v>3728</v>
      </c>
      <c r="B538" s="2" t="s">
        <v>3729</v>
      </c>
      <c r="C538" s="5" t="s">
        <v>2128</v>
      </c>
      <c r="D538" s="5" t="s">
        <v>60</v>
      </c>
      <c r="E538" s="2" t="s">
        <v>751</v>
      </c>
      <c r="F538" s="5" t="s">
        <v>62</v>
      </c>
      <c r="G538" s="5" t="n">
        <v>5</v>
      </c>
      <c r="H538" s="5" t="s">
        <v>89</v>
      </c>
      <c r="I538" s="5" t="s">
        <v>64</v>
      </c>
      <c r="J538" s="5" t="s">
        <v>65</v>
      </c>
      <c r="K538" s="5" t="s">
        <v>66</v>
      </c>
      <c r="L538" s="2" t="s">
        <v>1814</v>
      </c>
      <c r="M538" s="2" t="s">
        <v>3372</v>
      </c>
      <c r="N538" s="2" t="s">
        <v>367</v>
      </c>
      <c r="O538" s="2" t="s">
        <v>1105</v>
      </c>
      <c r="P538" s="2"/>
      <c r="Q538" s="5" t="n">
        <v>1</v>
      </c>
      <c r="R538" s="2" t="s">
        <v>71</v>
      </c>
      <c r="S538" s="2" t="s">
        <v>3730</v>
      </c>
      <c r="T538" s="2" t="s">
        <v>1176</v>
      </c>
      <c r="U538" s="2" t="s">
        <v>74</v>
      </c>
      <c r="V538" s="5" t="n">
        <v>300</v>
      </c>
      <c r="W538" s="2"/>
      <c r="X538" s="2" t="s">
        <v>1108</v>
      </c>
      <c r="Y538" s="5" t="s">
        <v>309</v>
      </c>
      <c r="Z538" s="2" t="s">
        <v>3731</v>
      </c>
      <c r="AA538" s="6" t="s">
        <v>3732</v>
      </c>
    </row>
    <row r="539" customFormat="false" ht="79.85" hidden="false" customHeight="false" outlineLevel="0" collapsed="false">
      <c r="A539" s="5" t="s">
        <v>3733</v>
      </c>
      <c r="B539" s="2" t="s">
        <v>3734</v>
      </c>
      <c r="C539" s="5" t="s">
        <v>2128</v>
      </c>
      <c r="D539" s="5" t="s">
        <v>60</v>
      </c>
      <c r="E539" s="2" t="s">
        <v>269</v>
      </c>
      <c r="F539" s="5" t="s">
        <v>62</v>
      </c>
      <c r="G539" s="5" t="n">
        <v>7</v>
      </c>
      <c r="H539" s="5" t="s">
        <v>89</v>
      </c>
      <c r="I539" s="5" t="s">
        <v>64</v>
      </c>
      <c r="J539" s="5" t="s">
        <v>65</v>
      </c>
      <c r="K539" s="5" t="s">
        <v>66</v>
      </c>
      <c r="L539" s="2" t="s">
        <v>413</v>
      </c>
      <c r="M539" s="2" t="s">
        <v>3735</v>
      </c>
      <c r="N539" s="2" t="s">
        <v>184</v>
      </c>
      <c r="O539" s="2" t="s">
        <v>3736</v>
      </c>
      <c r="P539" s="2" t="s">
        <v>3737</v>
      </c>
      <c r="Q539" s="5" t="n">
        <v>1</v>
      </c>
      <c r="R539" s="2" t="s">
        <v>71</v>
      </c>
      <c r="S539" s="2" t="s">
        <v>3738</v>
      </c>
      <c r="T539" s="2" t="s">
        <v>3739</v>
      </c>
      <c r="U539" s="2" t="s">
        <v>74</v>
      </c>
      <c r="V539" s="5" t="n">
        <v>300</v>
      </c>
      <c r="W539" s="2"/>
      <c r="X539" s="2" t="s">
        <v>3740</v>
      </c>
      <c r="Y539" s="5"/>
      <c r="Z539" s="2" t="s">
        <v>3741</v>
      </c>
      <c r="AA539" s="6" t="s">
        <v>3742</v>
      </c>
    </row>
    <row r="540" customFormat="false" ht="191.75" hidden="false" customHeight="false" outlineLevel="0" collapsed="false">
      <c r="A540" s="5" t="s">
        <v>3743</v>
      </c>
      <c r="B540" s="2" t="s">
        <v>3744</v>
      </c>
      <c r="C540" s="5" t="s">
        <v>2245</v>
      </c>
      <c r="D540" s="5" t="s">
        <v>60</v>
      </c>
      <c r="E540" s="2" t="s">
        <v>269</v>
      </c>
      <c r="F540" s="5" t="s">
        <v>62</v>
      </c>
      <c r="G540" s="5" t="n">
        <v>7</v>
      </c>
      <c r="H540" s="5" t="s">
        <v>89</v>
      </c>
      <c r="I540" s="5" t="s">
        <v>64</v>
      </c>
      <c r="J540" s="5" t="s">
        <v>65</v>
      </c>
      <c r="K540" s="5" t="s">
        <v>66</v>
      </c>
      <c r="L540" s="2" t="s">
        <v>90</v>
      </c>
      <c r="M540" s="2"/>
      <c r="N540" s="2" t="s">
        <v>3499</v>
      </c>
      <c r="O540" s="2" t="s">
        <v>3745</v>
      </c>
      <c r="P540" s="2"/>
      <c r="Q540" s="5" t="n">
        <v>1</v>
      </c>
      <c r="R540" s="2" t="s">
        <v>71</v>
      </c>
      <c r="S540" s="2" t="s">
        <v>3746</v>
      </c>
      <c r="T540" s="2" t="s">
        <v>3747</v>
      </c>
      <c r="U540" s="2" t="s">
        <v>74</v>
      </c>
      <c r="V540" s="5" t="n">
        <v>300</v>
      </c>
      <c r="W540" s="2"/>
      <c r="X540" s="2" t="s">
        <v>3748</v>
      </c>
      <c r="Y540" s="5"/>
      <c r="Z540" s="2" t="s">
        <v>3749</v>
      </c>
      <c r="AA540" s="6" t="s">
        <v>3750</v>
      </c>
    </row>
    <row r="541" customFormat="false" ht="68.65" hidden="false" customHeight="false" outlineLevel="0" collapsed="false">
      <c r="A541" s="5" t="s">
        <v>3751</v>
      </c>
      <c r="B541" s="2" t="s">
        <v>3752</v>
      </c>
      <c r="C541" s="5" t="s">
        <v>2245</v>
      </c>
      <c r="D541" s="5" t="s">
        <v>60</v>
      </c>
      <c r="E541" s="2" t="s">
        <v>269</v>
      </c>
      <c r="F541" s="5" t="s">
        <v>62</v>
      </c>
      <c r="G541" s="5" t="n">
        <v>7</v>
      </c>
      <c r="H541" s="5" t="s">
        <v>89</v>
      </c>
      <c r="I541" s="5" t="s">
        <v>64</v>
      </c>
      <c r="J541" s="5" t="s">
        <v>65</v>
      </c>
      <c r="K541" s="5" t="s">
        <v>66</v>
      </c>
      <c r="L541" s="2" t="s">
        <v>413</v>
      </c>
      <c r="M541" s="2" t="s">
        <v>1821</v>
      </c>
      <c r="N541" s="2" t="s">
        <v>3499</v>
      </c>
      <c r="O541" s="2" t="s">
        <v>1198</v>
      </c>
      <c r="P541" s="2"/>
      <c r="Q541" s="5" t="n">
        <v>1</v>
      </c>
      <c r="R541" s="2" t="s">
        <v>71</v>
      </c>
      <c r="S541" s="2" t="s">
        <v>3753</v>
      </c>
      <c r="T541" s="2" t="s">
        <v>1200</v>
      </c>
      <c r="U541" s="2" t="s">
        <v>74</v>
      </c>
      <c r="V541" s="5" t="n">
        <v>300</v>
      </c>
      <c r="W541" s="2"/>
      <c r="X541" s="2" t="s">
        <v>1201</v>
      </c>
      <c r="Y541" s="5"/>
      <c r="Z541" s="2" t="s">
        <v>3754</v>
      </c>
      <c r="AA541" s="6" t="s">
        <v>3755</v>
      </c>
    </row>
    <row r="542" customFormat="false" ht="68.65" hidden="false" customHeight="false" outlineLevel="0" collapsed="false">
      <c r="A542" s="5" t="s">
        <v>3756</v>
      </c>
      <c r="B542" s="2" t="s">
        <v>3757</v>
      </c>
      <c r="C542" s="5" t="s">
        <v>2128</v>
      </c>
      <c r="D542" s="5" t="s">
        <v>60</v>
      </c>
      <c r="E542" s="2" t="s">
        <v>269</v>
      </c>
      <c r="F542" s="5" t="s">
        <v>62</v>
      </c>
      <c r="G542" s="5" t="n">
        <v>5</v>
      </c>
      <c r="H542" s="5" t="s">
        <v>89</v>
      </c>
      <c r="I542" s="5" t="s">
        <v>64</v>
      </c>
      <c r="J542" s="5" t="s">
        <v>65</v>
      </c>
      <c r="K542" s="5" t="s">
        <v>66</v>
      </c>
      <c r="L542" s="2" t="s">
        <v>413</v>
      </c>
      <c r="M542" s="2" t="s">
        <v>1821</v>
      </c>
      <c r="N542" s="2" t="s">
        <v>184</v>
      </c>
      <c r="O542" s="2" t="s">
        <v>1198</v>
      </c>
      <c r="P542" s="2"/>
      <c r="Q542" s="5" t="n">
        <v>1</v>
      </c>
      <c r="R542" s="2" t="s">
        <v>71</v>
      </c>
      <c r="S542" s="2" t="s">
        <v>3758</v>
      </c>
      <c r="T542" s="2" t="s">
        <v>1200</v>
      </c>
      <c r="U542" s="2" t="s">
        <v>74</v>
      </c>
      <c r="V542" s="5" t="n">
        <v>300</v>
      </c>
      <c r="W542" s="2"/>
      <c r="X542" s="2" t="s">
        <v>1201</v>
      </c>
      <c r="Y542" s="5"/>
      <c r="Z542" s="2" t="s">
        <v>3759</v>
      </c>
      <c r="AA542" s="6" t="s">
        <v>3760</v>
      </c>
    </row>
    <row r="543" customFormat="false" ht="68.65" hidden="false" customHeight="false" outlineLevel="0" collapsed="false">
      <c r="A543" s="5" t="s">
        <v>3761</v>
      </c>
      <c r="B543" s="2" t="s">
        <v>3762</v>
      </c>
      <c r="C543" s="5" t="s">
        <v>2245</v>
      </c>
      <c r="D543" s="5" t="s">
        <v>60</v>
      </c>
      <c r="E543" s="2" t="s">
        <v>269</v>
      </c>
      <c r="F543" s="5" t="s">
        <v>62</v>
      </c>
      <c r="G543" s="5" t="n">
        <v>5</v>
      </c>
      <c r="H543" s="5" t="s">
        <v>89</v>
      </c>
      <c r="I543" s="5" t="s">
        <v>64</v>
      </c>
      <c r="J543" s="5" t="s">
        <v>65</v>
      </c>
      <c r="K543" s="5" t="s">
        <v>66</v>
      </c>
      <c r="L543" s="2" t="s">
        <v>413</v>
      </c>
      <c r="M543" s="2" t="s">
        <v>1821</v>
      </c>
      <c r="N543" s="2" t="s">
        <v>3499</v>
      </c>
      <c r="O543" s="2" t="s">
        <v>1198</v>
      </c>
      <c r="P543" s="2"/>
      <c r="Q543" s="5" t="n">
        <v>1</v>
      </c>
      <c r="R543" s="2" t="s">
        <v>71</v>
      </c>
      <c r="S543" s="2" t="s">
        <v>3763</v>
      </c>
      <c r="T543" s="2" t="s">
        <v>1200</v>
      </c>
      <c r="U543" s="2" t="s">
        <v>74</v>
      </c>
      <c r="V543" s="5" t="n">
        <v>300</v>
      </c>
      <c r="W543" s="2"/>
      <c r="X543" s="2" t="s">
        <v>1201</v>
      </c>
      <c r="Y543" s="5"/>
      <c r="Z543" s="2" t="s">
        <v>3764</v>
      </c>
      <c r="AA543" s="6" t="s">
        <v>3765</v>
      </c>
    </row>
    <row r="544" customFormat="false" ht="46.25" hidden="false" customHeight="false" outlineLevel="0" collapsed="false">
      <c r="A544" s="5" t="s">
        <v>3766</v>
      </c>
      <c r="B544" s="2" t="s">
        <v>3767</v>
      </c>
      <c r="C544" s="5" t="s">
        <v>2128</v>
      </c>
      <c r="D544" s="5" t="s">
        <v>60</v>
      </c>
      <c r="E544" s="2" t="s">
        <v>269</v>
      </c>
      <c r="F544" s="5" t="s">
        <v>62</v>
      </c>
      <c r="G544" s="5" t="n">
        <v>7</v>
      </c>
      <c r="H544" s="5" t="s">
        <v>89</v>
      </c>
      <c r="I544" s="5" t="s">
        <v>64</v>
      </c>
      <c r="J544" s="5" t="s">
        <v>65</v>
      </c>
      <c r="K544" s="5" t="s">
        <v>66</v>
      </c>
      <c r="L544" s="2" t="s">
        <v>413</v>
      </c>
      <c r="M544" s="2" t="s">
        <v>1821</v>
      </c>
      <c r="N544" s="2" t="s">
        <v>184</v>
      </c>
      <c r="O544" s="2" t="s">
        <v>1198</v>
      </c>
      <c r="P544" s="2"/>
      <c r="Q544" s="5" t="n">
        <v>1</v>
      </c>
      <c r="R544" s="2" t="s">
        <v>71</v>
      </c>
      <c r="S544" s="2" t="s">
        <v>3768</v>
      </c>
      <c r="T544" s="2" t="s">
        <v>1200</v>
      </c>
      <c r="U544" s="2" t="s">
        <v>74</v>
      </c>
      <c r="V544" s="5" t="n">
        <v>300</v>
      </c>
      <c r="W544" s="2"/>
      <c r="X544" s="2" t="s">
        <v>1201</v>
      </c>
      <c r="Y544" s="5"/>
      <c r="Z544" s="2" t="s">
        <v>3769</v>
      </c>
      <c r="AA544" s="6" t="s">
        <v>3770</v>
      </c>
    </row>
    <row r="545" customFormat="false" ht="68.65" hidden="false" customHeight="false" outlineLevel="0" collapsed="false">
      <c r="A545" s="5" t="s">
        <v>3771</v>
      </c>
      <c r="B545" s="2" t="s">
        <v>3772</v>
      </c>
      <c r="C545" s="5" t="s">
        <v>2245</v>
      </c>
      <c r="D545" s="5" t="s">
        <v>60</v>
      </c>
      <c r="E545" s="2" t="s">
        <v>269</v>
      </c>
      <c r="F545" s="5" t="s">
        <v>62</v>
      </c>
      <c r="G545" s="5" t="n">
        <v>7</v>
      </c>
      <c r="H545" s="5" t="s">
        <v>89</v>
      </c>
      <c r="I545" s="5" t="s">
        <v>64</v>
      </c>
      <c r="J545" s="5" t="s">
        <v>65</v>
      </c>
      <c r="K545" s="5" t="s">
        <v>66</v>
      </c>
      <c r="L545" s="2" t="s">
        <v>413</v>
      </c>
      <c r="M545" s="2" t="s">
        <v>1821</v>
      </c>
      <c r="N545" s="2" t="s">
        <v>3499</v>
      </c>
      <c r="O545" s="2" t="s">
        <v>1198</v>
      </c>
      <c r="P545" s="2"/>
      <c r="Q545" s="5" t="n">
        <v>1</v>
      </c>
      <c r="R545" s="2" t="s">
        <v>71</v>
      </c>
      <c r="S545" s="2" t="s">
        <v>3773</v>
      </c>
      <c r="T545" s="2" t="s">
        <v>1200</v>
      </c>
      <c r="U545" s="2" t="s">
        <v>74</v>
      </c>
      <c r="V545" s="5" t="n">
        <v>300</v>
      </c>
      <c r="W545" s="2"/>
      <c r="X545" s="2" t="s">
        <v>1201</v>
      </c>
      <c r="Y545" s="5"/>
      <c r="Z545" s="2" t="s">
        <v>3774</v>
      </c>
      <c r="AA545" s="6" t="s">
        <v>3775</v>
      </c>
    </row>
    <row r="546" customFormat="false" ht="46.25" hidden="false" customHeight="false" outlineLevel="0" collapsed="false">
      <c r="A546" s="5" t="s">
        <v>3776</v>
      </c>
      <c r="B546" s="2" t="s">
        <v>3777</v>
      </c>
      <c r="C546" s="5" t="s">
        <v>2128</v>
      </c>
      <c r="D546" s="5" t="s">
        <v>60</v>
      </c>
      <c r="E546" s="2" t="s">
        <v>269</v>
      </c>
      <c r="F546" s="5" t="s">
        <v>62</v>
      </c>
      <c r="G546" s="5" t="n">
        <v>7</v>
      </c>
      <c r="H546" s="5" t="s">
        <v>89</v>
      </c>
      <c r="I546" s="5" t="s">
        <v>64</v>
      </c>
      <c r="J546" s="5" t="s">
        <v>65</v>
      </c>
      <c r="K546" s="5" t="s">
        <v>66</v>
      </c>
      <c r="L546" s="2" t="s">
        <v>413</v>
      </c>
      <c r="M546" s="2" t="s">
        <v>1821</v>
      </c>
      <c r="N546" s="2" t="s">
        <v>184</v>
      </c>
      <c r="O546" s="2" t="s">
        <v>1198</v>
      </c>
      <c r="P546" s="2"/>
      <c r="Q546" s="5" t="n">
        <v>1</v>
      </c>
      <c r="R546" s="2" t="s">
        <v>71</v>
      </c>
      <c r="S546" s="2" t="s">
        <v>3778</v>
      </c>
      <c r="T546" s="2" t="s">
        <v>1200</v>
      </c>
      <c r="U546" s="2" t="s">
        <v>74</v>
      </c>
      <c r="V546" s="5" t="n">
        <v>300</v>
      </c>
      <c r="W546" s="2"/>
      <c r="X546" s="2" t="s">
        <v>1201</v>
      </c>
      <c r="Y546" s="5"/>
      <c r="Z546" s="2" t="s">
        <v>3779</v>
      </c>
      <c r="AA546" s="6" t="s">
        <v>3780</v>
      </c>
    </row>
    <row r="547" customFormat="false" ht="46.25" hidden="false" customHeight="false" outlineLevel="0" collapsed="false">
      <c r="A547" s="5" t="s">
        <v>3781</v>
      </c>
      <c r="B547" s="2" t="s">
        <v>3782</v>
      </c>
      <c r="C547" s="5" t="s">
        <v>2128</v>
      </c>
      <c r="D547" s="5" t="s">
        <v>60</v>
      </c>
      <c r="E547" s="2" t="s">
        <v>269</v>
      </c>
      <c r="F547" s="5" t="s">
        <v>62</v>
      </c>
      <c r="G547" s="5" t="n">
        <v>7</v>
      </c>
      <c r="H547" s="5" t="s">
        <v>89</v>
      </c>
      <c r="I547" s="5" t="s">
        <v>64</v>
      </c>
      <c r="J547" s="5" t="s">
        <v>65</v>
      </c>
      <c r="K547" s="5" t="s">
        <v>66</v>
      </c>
      <c r="L547" s="2" t="s">
        <v>413</v>
      </c>
      <c r="M547" s="2" t="s">
        <v>1821</v>
      </c>
      <c r="N547" s="2" t="s">
        <v>184</v>
      </c>
      <c r="O547" s="2" t="s">
        <v>1198</v>
      </c>
      <c r="P547" s="2"/>
      <c r="Q547" s="5" t="n">
        <v>1</v>
      </c>
      <c r="R547" s="2" t="s">
        <v>71</v>
      </c>
      <c r="S547" s="2" t="s">
        <v>3783</v>
      </c>
      <c r="T547" s="2" t="s">
        <v>1200</v>
      </c>
      <c r="U547" s="2" t="s">
        <v>74</v>
      </c>
      <c r="V547" s="5" t="n">
        <v>300</v>
      </c>
      <c r="W547" s="2"/>
      <c r="X547" s="2" t="s">
        <v>1201</v>
      </c>
      <c r="Y547" s="5"/>
      <c r="Z547" s="2" t="s">
        <v>3784</v>
      </c>
      <c r="AA547" s="6" t="s">
        <v>3785</v>
      </c>
    </row>
    <row r="548" customFormat="false" ht="57.45" hidden="false" customHeight="false" outlineLevel="0" collapsed="false">
      <c r="A548" s="5" t="s">
        <v>3786</v>
      </c>
      <c r="B548" s="2" t="s">
        <v>3787</v>
      </c>
      <c r="C548" s="5" t="s">
        <v>2128</v>
      </c>
      <c r="D548" s="5" t="s">
        <v>60</v>
      </c>
      <c r="E548" s="2" t="s">
        <v>269</v>
      </c>
      <c r="F548" s="5" t="s">
        <v>62</v>
      </c>
      <c r="G548" s="5" t="n">
        <v>7</v>
      </c>
      <c r="H548" s="5" t="s">
        <v>89</v>
      </c>
      <c r="I548" s="5" t="s">
        <v>64</v>
      </c>
      <c r="J548" s="5" t="s">
        <v>65</v>
      </c>
      <c r="K548" s="5" t="s">
        <v>66</v>
      </c>
      <c r="L548" s="2" t="s">
        <v>413</v>
      </c>
      <c r="M548" s="2" t="s">
        <v>1821</v>
      </c>
      <c r="N548" s="2" t="s">
        <v>184</v>
      </c>
      <c r="O548" s="2" t="s">
        <v>1198</v>
      </c>
      <c r="P548" s="2"/>
      <c r="Q548" s="5" t="n">
        <v>1</v>
      </c>
      <c r="R548" s="2" t="s">
        <v>71</v>
      </c>
      <c r="S548" s="2" t="s">
        <v>3788</v>
      </c>
      <c r="T548" s="2" t="s">
        <v>1200</v>
      </c>
      <c r="U548" s="2" t="s">
        <v>74</v>
      </c>
      <c r="V548" s="5" t="n">
        <v>300</v>
      </c>
      <c r="W548" s="2"/>
      <c r="X548" s="2" t="s">
        <v>1201</v>
      </c>
      <c r="Y548" s="5"/>
      <c r="Z548" s="2" t="s">
        <v>3789</v>
      </c>
      <c r="AA548" s="6" t="s">
        <v>3790</v>
      </c>
    </row>
    <row r="549" customFormat="false" ht="57.45" hidden="false" customHeight="false" outlineLevel="0" collapsed="false">
      <c r="A549" s="5" t="s">
        <v>3791</v>
      </c>
      <c r="B549" s="2" t="s">
        <v>3792</v>
      </c>
      <c r="C549" s="5" t="s">
        <v>2128</v>
      </c>
      <c r="D549" s="5" t="s">
        <v>60</v>
      </c>
      <c r="E549" s="2" t="s">
        <v>269</v>
      </c>
      <c r="F549" s="5" t="s">
        <v>62</v>
      </c>
      <c r="G549" s="5" t="n">
        <v>7</v>
      </c>
      <c r="H549" s="5" t="s">
        <v>89</v>
      </c>
      <c r="I549" s="5" t="s">
        <v>64</v>
      </c>
      <c r="J549" s="5" t="s">
        <v>65</v>
      </c>
      <c r="K549" s="5" t="s">
        <v>66</v>
      </c>
      <c r="L549" s="2" t="s">
        <v>413</v>
      </c>
      <c r="M549" s="2" t="s">
        <v>1821</v>
      </c>
      <c r="N549" s="2" t="s">
        <v>184</v>
      </c>
      <c r="O549" s="2" t="s">
        <v>1198</v>
      </c>
      <c r="P549" s="2"/>
      <c r="Q549" s="5" t="n">
        <v>1</v>
      </c>
      <c r="R549" s="2" t="s">
        <v>71</v>
      </c>
      <c r="S549" s="2" t="s">
        <v>3793</v>
      </c>
      <c r="T549" s="2" t="s">
        <v>1200</v>
      </c>
      <c r="U549" s="2" t="s">
        <v>74</v>
      </c>
      <c r="V549" s="5" t="n">
        <v>300</v>
      </c>
      <c r="W549" s="2"/>
      <c r="X549" s="2" t="s">
        <v>1201</v>
      </c>
      <c r="Y549" s="5"/>
      <c r="Z549" s="2" t="s">
        <v>3794</v>
      </c>
      <c r="AA549" s="6" t="s">
        <v>3795</v>
      </c>
    </row>
    <row r="550" customFormat="false" ht="57.45" hidden="false" customHeight="false" outlineLevel="0" collapsed="false">
      <c r="A550" s="5" t="s">
        <v>3796</v>
      </c>
      <c r="B550" s="2" t="s">
        <v>3797</v>
      </c>
      <c r="C550" s="5" t="s">
        <v>2128</v>
      </c>
      <c r="D550" s="5" t="s">
        <v>60</v>
      </c>
      <c r="E550" s="2" t="s">
        <v>269</v>
      </c>
      <c r="F550" s="5" t="s">
        <v>62</v>
      </c>
      <c r="G550" s="5" t="n">
        <v>7</v>
      </c>
      <c r="H550" s="5" t="s">
        <v>89</v>
      </c>
      <c r="I550" s="5" t="s">
        <v>64</v>
      </c>
      <c r="J550" s="5" t="s">
        <v>65</v>
      </c>
      <c r="K550" s="5" t="s">
        <v>66</v>
      </c>
      <c r="L550" s="2" t="s">
        <v>413</v>
      </c>
      <c r="M550" s="2" t="s">
        <v>1821</v>
      </c>
      <c r="N550" s="2" t="s">
        <v>184</v>
      </c>
      <c r="O550" s="2" t="s">
        <v>1198</v>
      </c>
      <c r="P550" s="2"/>
      <c r="Q550" s="5" t="n">
        <v>1</v>
      </c>
      <c r="R550" s="2" t="s">
        <v>71</v>
      </c>
      <c r="S550" s="2" t="s">
        <v>3798</v>
      </c>
      <c r="T550" s="2" t="s">
        <v>1200</v>
      </c>
      <c r="U550" s="2" t="s">
        <v>74</v>
      </c>
      <c r="V550" s="5" t="n">
        <v>300</v>
      </c>
      <c r="W550" s="2"/>
      <c r="X550" s="2" t="s">
        <v>1201</v>
      </c>
      <c r="Y550" s="5"/>
      <c r="Z550" s="2" t="s">
        <v>3799</v>
      </c>
      <c r="AA550" s="6" t="s">
        <v>3800</v>
      </c>
    </row>
    <row r="551" customFormat="false" ht="46.25" hidden="false" customHeight="false" outlineLevel="0" collapsed="false">
      <c r="A551" s="5" t="s">
        <v>3801</v>
      </c>
      <c r="B551" s="2" t="s">
        <v>3802</v>
      </c>
      <c r="C551" s="5" t="s">
        <v>2128</v>
      </c>
      <c r="D551" s="5" t="s">
        <v>60</v>
      </c>
      <c r="E551" s="2" t="s">
        <v>269</v>
      </c>
      <c r="F551" s="5" t="s">
        <v>62</v>
      </c>
      <c r="G551" s="5" t="n">
        <v>5</v>
      </c>
      <c r="H551" s="5" t="s">
        <v>89</v>
      </c>
      <c r="I551" s="5" t="s">
        <v>64</v>
      </c>
      <c r="J551" s="5" t="s">
        <v>65</v>
      </c>
      <c r="K551" s="5" t="s">
        <v>66</v>
      </c>
      <c r="L551" s="2" t="s">
        <v>544</v>
      </c>
      <c r="M551" s="2" t="s">
        <v>3803</v>
      </c>
      <c r="N551" s="2" t="s">
        <v>184</v>
      </c>
      <c r="O551" s="2" t="s">
        <v>1976</v>
      </c>
      <c r="P551" s="2"/>
      <c r="Q551" s="5" t="n">
        <v>1</v>
      </c>
      <c r="R551" s="2" t="s">
        <v>71</v>
      </c>
      <c r="S551" s="2" t="s">
        <v>3804</v>
      </c>
      <c r="T551" s="2" t="s">
        <v>3805</v>
      </c>
      <c r="U551" s="2" t="s">
        <v>74</v>
      </c>
      <c r="V551" s="5" t="n">
        <v>300</v>
      </c>
      <c r="W551" s="2"/>
      <c r="X551" s="2" t="s">
        <v>1979</v>
      </c>
      <c r="Y551" s="5"/>
      <c r="Z551" s="2" t="s">
        <v>3806</v>
      </c>
      <c r="AA551" s="6" t="s">
        <v>3807</v>
      </c>
    </row>
    <row r="552" customFormat="false" ht="91" hidden="false" customHeight="false" outlineLevel="0" collapsed="false">
      <c r="A552" s="5" t="s">
        <v>3808</v>
      </c>
      <c r="B552" s="2" t="s">
        <v>3809</v>
      </c>
      <c r="C552" s="5" t="s">
        <v>2245</v>
      </c>
      <c r="D552" s="5" t="s">
        <v>60</v>
      </c>
      <c r="E552" s="2" t="s">
        <v>397</v>
      </c>
      <c r="F552" s="5" t="s">
        <v>62</v>
      </c>
      <c r="G552" s="5" t="n">
        <v>5</v>
      </c>
      <c r="H552" s="5" t="s">
        <v>89</v>
      </c>
      <c r="I552" s="5" t="s">
        <v>64</v>
      </c>
      <c r="J552" s="5" t="s">
        <v>65</v>
      </c>
      <c r="K552" s="5" t="s">
        <v>66</v>
      </c>
      <c r="L552" s="2" t="s">
        <v>100</v>
      </c>
      <c r="M552" s="2" t="s">
        <v>340</v>
      </c>
      <c r="N552" s="2" t="s">
        <v>3499</v>
      </c>
      <c r="O552" s="2" t="s">
        <v>1911</v>
      </c>
      <c r="P552" s="2"/>
      <c r="Q552" s="5" t="n">
        <v>1</v>
      </c>
      <c r="R552" s="2" t="s">
        <v>71</v>
      </c>
      <c r="S552" s="2" t="s">
        <v>3810</v>
      </c>
      <c r="T552" s="2" t="s">
        <v>3811</v>
      </c>
      <c r="U552" s="2" t="s">
        <v>74</v>
      </c>
      <c r="V552" s="5" t="n">
        <v>300</v>
      </c>
      <c r="W552" s="2"/>
      <c r="X552" s="2" t="s">
        <v>345</v>
      </c>
      <c r="Y552" s="5" t="s">
        <v>346</v>
      </c>
      <c r="Z552" s="2" t="s">
        <v>3812</v>
      </c>
      <c r="AA552" s="6" t="s">
        <v>3813</v>
      </c>
    </row>
    <row r="553" customFormat="false" ht="68.65" hidden="false" customHeight="false" outlineLevel="0" collapsed="false">
      <c r="A553" s="5" t="s">
        <v>3814</v>
      </c>
      <c r="B553" s="2" t="s">
        <v>3815</v>
      </c>
      <c r="C553" s="5" t="s">
        <v>2128</v>
      </c>
      <c r="D553" s="5" t="s">
        <v>60</v>
      </c>
      <c r="E553" s="2" t="s">
        <v>751</v>
      </c>
      <c r="F553" s="5" t="s">
        <v>62</v>
      </c>
      <c r="G553" s="5" t="n">
        <v>7</v>
      </c>
      <c r="H553" s="5" t="s">
        <v>89</v>
      </c>
      <c r="I553" s="5" t="s">
        <v>64</v>
      </c>
      <c r="J553" s="5" t="s">
        <v>65</v>
      </c>
      <c r="K553" s="5" t="s">
        <v>66</v>
      </c>
      <c r="L553" s="2" t="s">
        <v>90</v>
      </c>
      <c r="M553" s="2"/>
      <c r="N553" s="2" t="s">
        <v>415</v>
      </c>
      <c r="O553" s="2" t="s">
        <v>416</v>
      </c>
      <c r="P553" s="2"/>
      <c r="Q553" s="5" t="n">
        <v>1</v>
      </c>
      <c r="R553" s="2" t="s">
        <v>71</v>
      </c>
      <c r="S553" s="2" t="s">
        <v>3816</v>
      </c>
      <c r="T553" s="2" t="s">
        <v>3817</v>
      </c>
      <c r="U553" s="2" t="s">
        <v>74</v>
      </c>
      <c r="V553" s="5" t="n">
        <v>300</v>
      </c>
      <c r="W553" s="2"/>
      <c r="X553" s="2" t="s">
        <v>419</v>
      </c>
      <c r="Y553" s="5"/>
      <c r="Z553" s="2" t="s">
        <v>3818</v>
      </c>
      <c r="AA553" s="6" t="s">
        <v>3819</v>
      </c>
    </row>
    <row r="554" customFormat="false" ht="46.25" hidden="false" customHeight="false" outlineLevel="0" collapsed="false">
      <c r="A554" s="5" t="s">
        <v>3820</v>
      </c>
      <c r="B554" s="2" t="s">
        <v>3821</v>
      </c>
      <c r="C554" s="5" t="s">
        <v>2128</v>
      </c>
      <c r="D554" s="5" t="s">
        <v>60</v>
      </c>
      <c r="E554" s="2" t="s">
        <v>161</v>
      </c>
      <c r="F554" s="5" t="s">
        <v>62</v>
      </c>
      <c r="G554" s="5" t="n">
        <v>7</v>
      </c>
      <c r="H554" s="5" t="s">
        <v>89</v>
      </c>
      <c r="I554" s="5" t="s">
        <v>64</v>
      </c>
      <c r="J554" s="5" t="s">
        <v>65</v>
      </c>
      <c r="K554" s="5" t="s">
        <v>66</v>
      </c>
      <c r="L554" s="2" t="s">
        <v>67</v>
      </c>
      <c r="M554" s="2" t="s">
        <v>578</v>
      </c>
      <c r="N554" s="2" t="s">
        <v>367</v>
      </c>
      <c r="O554" s="2" t="s">
        <v>368</v>
      </c>
      <c r="P554" s="2"/>
      <c r="Q554" s="5" t="n">
        <v>1</v>
      </c>
      <c r="R554" s="2" t="s">
        <v>71</v>
      </c>
      <c r="S554" s="2" t="s">
        <v>3822</v>
      </c>
      <c r="T554" s="2" t="s">
        <v>3823</v>
      </c>
      <c r="U554" s="2" t="s">
        <v>74</v>
      </c>
      <c r="V554" s="5" t="n">
        <v>300</v>
      </c>
      <c r="W554" s="2"/>
      <c r="X554" s="2" t="s">
        <v>371</v>
      </c>
      <c r="Y554" s="5" t="s">
        <v>372</v>
      </c>
      <c r="Z554" s="2" t="s">
        <v>3824</v>
      </c>
      <c r="AA554" s="6" t="s">
        <v>3825</v>
      </c>
    </row>
    <row r="555" customFormat="false" ht="57.45" hidden="false" customHeight="false" outlineLevel="0" collapsed="false">
      <c r="A555" s="5" t="s">
        <v>3826</v>
      </c>
      <c r="B555" s="2" t="s">
        <v>3827</v>
      </c>
      <c r="C555" s="5" t="s">
        <v>2128</v>
      </c>
      <c r="D555" s="5" t="s">
        <v>60</v>
      </c>
      <c r="E555" s="2" t="s">
        <v>182</v>
      </c>
      <c r="F555" s="5" t="s">
        <v>62</v>
      </c>
      <c r="G555" s="5" t="n">
        <v>3</v>
      </c>
      <c r="H555" s="5" t="s">
        <v>817</v>
      </c>
      <c r="I555" s="5" t="s">
        <v>64</v>
      </c>
      <c r="J555" s="5" t="s">
        <v>65</v>
      </c>
      <c r="K555" s="5" t="s">
        <v>66</v>
      </c>
      <c r="L555" s="2" t="s">
        <v>90</v>
      </c>
      <c r="M555" s="2" t="s">
        <v>163</v>
      </c>
      <c r="N555" s="2" t="s">
        <v>184</v>
      </c>
      <c r="O555" s="2" t="s">
        <v>385</v>
      </c>
      <c r="P555" s="2"/>
      <c r="Q555" s="5" t="n">
        <v>1</v>
      </c>
      <c r="R555" s="2" t="s">
        <v>71</v>
      </c>
      <c r="S555" s="2" t="s">
        <v>83</v>
      </c>
      <c r="T555" s="2" t="s">
        <v>1098</v>
      </c>
      <c r="U555" s="2" t="s">
        <v>74</v>
      </c>
      <c r="V555" s="5" t="n">
        <v>300</v>
      </c>
      <c r="W555" s="2"/>
      <c r="X555" s="2" t="s">
        <v>386</v>
      </c>
      <c r="Y555" s="5" t="s">
        <v>192</v>
      </c>
      <c r="Z555" s="2" t="s">
        <v>3828</v>
      </c>
      <c r="AA555" s="6" t="s">
        <v>3829</v>
      </c>
    </row>
    <row r="556" customFormat="false" ht="68.65" hidden="false" customHeight="false" outlineLevel="0" collapsed="false">
      <c r="A556" s="5" t="s">
        <v>3830</v>
      </c>
      <c r="B556" s="2" t="s">
        <v>3831</v>
      </c>
      <c r="C556" s="5" t="s">
        <v>2128</v>
      </c>
      <c r="D556" s="5" t="s">
        <v>60</v>
      </c>
      <c r="E556" s="2" t="s">
        <v>269</v>
      </c>
      <c r="F556" s="5" t="s">
        <v>62</v>
      </c>
      <c r="G556" s="5" t="n">
        <v>3</v>
      </c>
      <c r="H556" s="5" t="s">
        <v>817</v>
      </c>
      <c r="I556" s="5" t="s">
        <v>64</v>
      </c>
      <c r="J556" s="5" t="s">
        <v>65</v>
      </c>
      <c r="K556" s="5" t="s">
        <v>66</v>
      </c>
      <c r="L556" s="2" t="s">
        <v>90</v>
      </c>
      <c r="M556" s="2"/>
      <c r="N556" s="2" t="s">
        <v>184</v>
      </c>
      <c r="O556" s="2" t="s">
        <v>3832</v>
      </c>
      <c r="P556" s="2"/>
      <c r="Q556" s="5" t="n">
        <v>1</v>
      </c>
      <c r="R556" s="2" t="s">
        <v>71</v>
      </c>
      <c r="S556" s="2" t="s">
        <v>83</v>
      </c>
      <c r="T556" s="2" t="s">
        <v>1098</v>
      </c>
      <c r="U556" s="2" t="s">
        <v>74</v>
      </c>
      <c r="V556" s="5" t="n">
        <v>300</v>
      </c>
      <c r="W556" s="2"/>
      <c r="X556" s="2" t="s">
        <v>3833</v>
      </c>
      <c r="Y556" s="5"/>
      <c r="Z556" s="2" t="s">
        <v>3834</v>
      </c>
      <c r="AA556" s="6" t="s">
        <v>3835</v>
      </c>
    </row>
    <row r="557" customFormat="false" ht="35.05" hidden="false" customHeight="false" outlineLevel="0" collapsed="false">
      <c r="A557" s="5" t="s">
        <v>3836</v>
      </c>
      <c r="B557" s="2" t="s">
        <v>3837</v>
      </c>
      <c r="C557" s="5" t="s">
        <v>2128</v>
      </c>
      <c r="D557" s="5" t="s">
        <v>60</v>
      </c>
      <c r="E557" s="2" t="s">
        <v>269</v>
      </c>
      <c r="F557" s="5" t="s">
        <v>62</v>
      </c>
      <c r="G557" s="5" t="n">
        <v>3</v>
      </c>
      <c r="H557" s="5" t="s">
        <v>817</v>
      </c>
      <c r="I557" s="5" t="s">
        <v>64</v>
      </c>
      <c r="J557" s="5" t="s">
        <v>65</v>
      </c>
      <c r="K557" s="5" t="s">
        <v>66</v>
      </c>
      <c r="L557" s="2" t="s">
        <v>413</v>
      </c>
      <c r="M557" s="2" t="s">
        <v>3838</v>
      </c>
      <c r="N557" s="2" t="s">
        <v>184</v>
      </c>
      <c r="O557" s="2" t="s">
        <v>1533</v>
      </c>
      <c r="P557" s="2"/>
      <c r="Q557" s="5" t="n">
        <v>1</v>
      </c>
      <c r="R557" s="2" t="s">
        <v>71</v>
      </c>
      <c r="S557" s="2" t="s">
        <v>3839</v>
      </c>
      <c r="T557" s="2" t="s">
        <v>1432</v>
      </c>
      <c r="U557" s="2" t="s">
        <v>74</v>
      </c>
      <c r="V557" s="5" t="n">
        <v>300</v>
      </c>
      <c r="W557" s="2"/>
      <c r="X557" s="2" t="s">
        <v>1536</v>
      </c>
      <c r="Y557" s="5" t="s">
        <v>1537</v>
      </c>
      <c r="Z557" s="2" t="s">
        <v>3840</v>
      </c>
      <c r="AA557" s="6" t="s">
        <v>3841</v>
      </c>
    </row>
    <row r="558" customFormat="false" ht="79.85" hidden="false" customHeight="false" outlineLevel="0" collapsed="false">
      <c r="A558" s="5" t="s">
        <v>3842</v>
      </c>
      <c r="B558" s="2" t="s">
        <v>3843</v>
      </c>
      <c r="C558" s="5" t="s">
        <v>2245</v>
      </c>
      <c r="D558" s="5" t="s">
        <v>60</v>
      </c>
      <c r="E558" s="2" t="s">
        <v>2591</v>
      </c>
      <c r="F558" s="5" t="s">
        <v>62</v>
      </c>
      <c r="G558" s="5" t="n">
        <v>7</v>
      </c>
      <c r="H558" s="5" t="s">
        <v>89</v>
      </c>
      <c r="I558" s="5" t="s">
        <v>64</v>
      </c>
      <c r="J558" s="5" t="s">
        <v>65</v>
      </c>
      <c r="K558" s="5" t="s">
        <v>66</v>
      </c>
      <c r="L558" s="2" t="s">
        <v>67</v>
      </c>
      <c r="M558" s="2" t="s">
        <v>3844</v>
      </c>
      <c r="N558" s="2" t="s">
        <v>3232</v>
      </c>
      <c r="O558" s="2" t="s">
        <v>1105</v>
      </c>
      <c r="P558" s="2"/>
      <c r="Q558" s="5" t="n">
        <v>1</v>
      </c>
      <c r="R558" s="2" t="s">
        <v>71</v>
      </c>
      <c r="S558" s="2" t="s">
        <v>3845</v>
      </c>
      <c r="T558" s="2" t="s">
        <v>1352</v>
      </c>
      <c r="U558" s="2" t="s">
        <v>74</v>
      </c>
      <c r="V558" s="5" t="n">
        <v>300</v>
      </c>
      <c r="W558" s="2"/>
      <c r="X558" s="2" t="s">
        <v>1108</v>
      </c>
      <c r="Y558" s="5" t="s">
        <v>309</v>
      </c>
      <c r="Z558" s="2" t="s">
        <v>3846</v>
      </c>
      <c r="AA558" s="6" t="s">
        <v>3847</v>
      </c>
    </row>
    <row r="559" customFormat="false" ht="79.85" hidden="false" customHeight="false" outlineLevel="0" collapsed="false">
      <c r="A559" s="5" t="s">
        <v>3848</v>
      </c>
      <c r="B559" s="2" t="s">
        <v>3849</v>
      </c>
      <c r="C559" s="5" t="s">
        <v>2245</v>
      </c>
      <c r="D559" s="5" t="s">
        <v>60</v>
      </c>
      <c r="E559" s="2" t="s">
        <v>1174</v>
      </c>
      <c r="F559" s="5" t="s">
        <v>62</v>
      </c>
      <c r="G559" s="5" t="n">
        <v>5</v>
      </c>
      <c r="H559" s="5" t="s">
        <v>89</v>
      </c>
      <c r="I559" s="5" t="s">
        <v>64</v>
      </c>
      <c r="J559" s="5" t="s">
        <v>65</v>
      </c>
      <c r="K559" s="5" t="s">
        <v>66</v>
      </c>
      <c r="L559" s="2" t="s">
        <v>90</v>
      </c>
      <c r="M559" s="2" t="s">
        <v>3850</v>
      </c>
      <c r="N559" s="2" t="s">
        <v>3129</v>
      </c>
      <c r="O559" s="2" t="s">
        <v>3130</v>
      </c>
      <c r="P559" s="2"/>
      <c r="Q559" s="5" t="n">
        <v>1</v>
      </c>
      <c r="R559" s="2" t="s">
        <v>71</v>
      </c>
      <c r="S559" s="2" t="s">
        <v>3851</v>
      </c>
      <c r="T559" s="2" t="s">
        <v>3132</v>
      </c>
      <c r="U559" s="2" t="s">
        <v>74</v>
      </c>
      <c r="V559" s="5" t="n">
        <v>300</v>
      </c>
      <c r="W559" s="2"/>
      <c r="X559" s="2" t="s">
        <v>3133</v>
      </c>
      <c r="Y559" s="5" t="s">
        <v>3134</v>
      </c>
      <c r="Z559" s="2" t="s">
        <v>3852</v>
      </c>
      <c r="AA559" s="6" t="s">
        <v>3853</v>
      </c>
    </row>
    <row r="560" customFormat="false" ht="91" hidden="false" customHeight="false" outlineLevel="0" collapsed="false">
      <c r="A560" s="5" t="s">
        <v>3854</v>
      </c>
      <c r="B560" s="2" t="s">
        <v>3855</v>
      </c>
      <c r="C560" s="5" t="s">
        <v>2128</v>
      </c>
      <c r="D560" s="5" t="s">
        <v>60</v>
      </c>
      <c r="E560" s="2" t="s">
        <v>2078</v>
      </c>
      <c r="F560" s="5" t="s">
        <v>62</v>
      </c>
      <c r="G560" s="5" t="n">
        <v>7</v>
      </c>
      <c r="H560" s="5" t="s">
        <v>89</v>
      </c>
      <c r="I560" s="5" t="s">
        <v>64</v>
      </c>
      <c r="J560" s="5" t="s">
        <v>65</v>
      </c>
      <c r="K560" s="5" t="s">
        <v>66</v>
      </c>
      <c r="L560" s="2" t="s">
        <v>2079</v>
      </c>
      <c r="M560" s="2" t="s">
        <v>3856</v>
      </c>
      <c r="N560" s="2" t="s">
        <v>184</v>
      </c>
      <c r="O560" s="2" t="s">
        <v>1198</v>
      </c>
      <c r="P560" s="2"/>
      <c r="Q560" s="5" t="n">
        <v>1</v>
      </c>
      <c r="R560" s="2" t="s">
        <v>71</v>
      </c>
      <c r="S560" s="2" t="s">
        <v>3857</v>
      </c>
      <c r="T560" s="2" t="s">
        <v>3858</v>
      </c>
      <c r="U560" s="2" t="s">
        <v>74</v>
      </c>
      <c r="V560" s="5" t="n">
        <v>300</v>
      </c>
      <c r="W560" s="2"/>
      <c r="X560" s="2" t="s">
        <v>1201</v>
      </c>
      <c r="Y560" s="5"/>
      <c r="Z560" s="2" t="s">
        <v>3859</v>
      </c>
      <c r="AA560" s="6" t="s">
        <v>3860</v>
      </c>
    </row>
    <row r="561" customFormat="false" ht="46.25" hidden="false" customHeight="false" outlineLevel="0" collapsed="false">
      <c r="A561" s="5" t="s">
        <v>3861</v>
      </c>
      <c r="B561" s="2" t="s">
        <v>3862</v>
      </c>
      <c r="C561" s="5" t="s">
        <v>2128</v>
      </c>
      <c r="D561" s="5" t="s">
        <v>60</v>
      </c>
      <c r="E561" s="2" t="s">
        <v>2078</v>
      </c>
      <c r="F561" s="5" t="s">
        <v>490</v>
      </c>
      <c r="G561" s="5" t="n">
        <v>7</v>
      </c>
      <c r="H561" s="5" t="s">
        <v>89</v>
      </c>
      <c r="I561" s="5" t="s">
        <v>64</v>
      </c>
      <c r="J561" s="5" t="s">
        <v>65</v>
      </c>
      <c r="K561" s="5" t="s">
        <v>66</v>
      </c>
      <c r="L561" s="2" t="s">
        <v>2079</v>
      </c>
      <c r="M561" s="2" t="s">
        <v>3139</v>
      </c>
      <c r="N561" s="2" t="s">
        <v>184</v>
      </c>
      <c r="O561" s="2" t="s">
        <v>3700</v>
      </c>
      <c r="P561" s="2"/>
      <c r="Q561" s="5" t="n">
        <v>1</v>
      </c>
      <c r="R561" s="2" t="s">
        <v>71</v>
      </c>
      <c r="S561" s="2" t="s">
        <v>3863</v>
      </c>
      <c r="T561" s="2" t="s">
        <v>3864</v>
      </c>
      <c r="U561" s="2" t="s">
        <v>74</v>
      </c>
      <c r="V561" s="5" t="n">
        <v>300</v>
      </c>
      <c r="W561" s="2"/>
      <c r="X561" s="2" t="s">
        <v>3865</v>
      </c>
      <c r="Y561" s="5" t="s">
        <v>1537</v>
      </c>
      <c r="Z561" s="2" t="s">
        <v>3866</v>
      </c>
      <c r="AA561" s="6" t="s">
        <v>3867</v>
      </c>
    </row>
    <row r="562" customFormat="false" ht="68.65" hidden="false" customHeight="false" outlineLevel="0" collapsed="false">
      <c r="A562" s="5" t="s">
        <v>3868</v>
      </c>
      <c r="B562" s="2" t="s">
        <v>3869</v>
      </c>
      <c r="C562" s="5" t="s">
        <v>2128</v>
      </c>
      <c r="D562" s="5" t="s">
        <v>60</v>
      </c>
      <c r="E562" s="2" t="s">
        <v>269</v>
      </c>
      <c r="F562" s="5" t="s">
        <v>62</v>
      </c>
      <c r="G562" s="5" t="n">
        <v>9</v>
      </c>
      <c r="H562" s="5" t="s">
        <v>63</v>
      </c>
      <c r="I562" s="5" t="s">
        <v>64</v>
      </c>
      <c r="J562" s="5" t="s">
        <v>65</v>
      </c>
      <c r="K562" s="5" t="s">
        <v>66</v>
      </c>
      <c r="L562" s="2" t="s">
        <v>67</v>
      </c>
      <c r="M562" s="2" t="s">
        <v>3870</v>
      </c>
      <c r="N562" s="2" t="s">
        <v>184</v>
      </c>
      <c r="O562" s="2" t="s">
        <v>1198</v>
      </c>
      <c r="P562" s="2"/>
      <c r="Q562" s="5" t="n">
        <v>1</v>
      </c>
      <c r="R562" s="2" t="s">
        <v>71</v>
      </c>
      <c r="S562" s="2" t="s">
        <v>3871</v>
      </c>
      <c r="T562" s="2" t="s">
        <v>1200</v>
      </c>
      <c r="U562" s="2" t="s">
        <v>74</v>
      </c>
      <c r="V562" s="5" t="n">
        <v>300</v>
      </c>
      <c r="W562" s="2"/>
      <c r="X562" s="2" t="s">
        <v>1201</v>
      </c>
      <c r="Y562" s="5"/>
      <c r="Z562" s="2" t="s">
        <v>3872</v>
      </c>
      <c r="AA562" s="6" t="s">
        <v>3873</v>
      </c>
    </row>
    <row r="563" customFormat="false" ht="68.65" hidden="false" customHeight="false" outlineLevel="0" collapsed="false">
      <c r="A563" s="5" t="s">
        <v>3874</v>
      </c>
      <c r="B563" s="2" t="s">
        <v>3875</v>
      </c>
      <c r="C563" s="5" t="s">
        <v>2128</v>
      </c>
      <c r="D563" s="5" t="s">
        <v>60</v>
      </c>
      <c r="E563" s="2" t="s">
        <v>269</v>
      </c>
      <c r="F563" s="5" t="s">
        <v>62</v>
      </c>
      <c r="G563" s="5" t="n">
        <v>7</v>
      </c>
      <c r="H563" s="5" t="s">
        <v>89</v>
      </c>
      <c r="I563" s="5" t="s">
        <v>64</v>
      </c>
      <c r="J563" s="5" t="s">
        <v>65</v>
      </c>
      <c r="K563" s="5" t="s">
        <v>66</v>
      </c>
      <c r="L563" s="2" t="s">
        <v>67</v>
      </c>
      <c r="M563" s="2" t="s">
        <v>1087</v>
      </c>
      <c r="N563" s="2" t="s">
        <v>184</v>
      </c>
      <c r="O563" s="2" t="s">
        <v>3876</v>
      </c>
      <c r="P563" s="2"/>
      <c r="Q563" s="5" t="n">
        <v>1</v>
      </c>
      <c r="R563" s="2" t="s">
        <v>71</v>
      </c>
      <c r="S563" s="2" t="s">
        <v>3877</v>
      </c>
      <c r="T563" s="2" t="s">
        <v>3823</v>
      </c>
      <c r="U563" s="2" t="s">
        <v>74</v>
      </c>
      <c r="V563" s="5" t="n">
        <v>300</v>
      </c>
      <c r="W563" s="2"/>
      <c r="X563" s="2" t="s">
        <v>3878</v>
      </c>
      <c r="Y563" s="5"/>
      <c r="Z563" s="2" t="s">
        <v>3879</v>
      </c>
      <c r="AA563" s="6" t="s">
        <v>3880</v>
      </c>
    </row>
    <row r="564" customFormat="false" ht="91" hidden="false" customHeight="false" outlineLevel="0" collapsed="false">
      <c r="A564" s="5" t="s">
        <v>3881</v>
      </c>
      <c r="B564" s="2" t="s">
        <v>3882</v>
      </c>
      <c r="C564" s="5" t="s">
        <v>2128</v>
      </c>
      <c r="D564" s="5" t="s">
        <v>60</v>
      </c>
      <c r="E564" s="2" t="s">
        <v>1174</v>
      </c>
      <c r="F564" s="5" t="s">
        <v>62</v>
      </c>
      <c r="G564" s="5" t="n">
        <v>5</v>
      </c>
      <c r="H564" s="5" t="s">
        <v>89</v>
      </c>
      <c r="I564" s="5" t="s">
        <v>64</v>
      </c>
      <c r="J564" s="5" t="s">
        <v>65</v>
      </c>
      <c r="K564" s="5" t="s">
        <v>66</v>
      </c>
      <c r="L564" s="2" t="s">
        <v>67</v>
      </c>
      <c r="M564" s="2" t="s">
        <v>2479</v>
      </c>
      <c r="N564" s="2" t="s">
        <v>367</v>
      </c>
      <c r="O564" s="2" t="s">
        <v>1105</v>
      </c>
      <c r="P564" s="2"/>
      <c r="Q564" s="5" t="n">
        <v>1</v>
      </c>
      <c r="R564" s="2" t="s">
        <v>71</v>
      </c>
      <c r="S564" s="2" t="s">
        <v>3883</v>
      </c>
      <c r="T564" s="2" t="s">
        <v>1176</v>
      </c>
      <c r="U564" s="2" t="s">
        <v>74</v>
      </c>
      <c r="V564" s="5" t="n">
        <v>300</v>
      </c>
      <c r="W564" s="2"/>
      <c r="X564" s="2" t="s">
        <v>1108</v>
      </c>
      <c r="Y564" s="5" t="s">
        <v>309</v>
      </c>
      <c r="Z564" s="2" t="s">
        <v>3884</v>
      </c>
      <c r="AA564" s="6" t="s">
        <v>3885</v>
      </c>
    </row>
    <row r="565" customFormat="false" ht="68.65" hidden="false" customHeight="false" outlineLevel="0" collapsed="false">
      <c r="A565" s="5" t="s">
        <v>3886</v>
      </c>
      <c r="B565" s="2" t="s">
        <v>3887</v>
      </c>
      <c r="C565" s="5" t="s">
        <v>2245</v>
      </c>
      <c r="D565" s="5" t="s">
        <v>60</v>
      </c>
      <c r="E565" s="2" t="s">
        <v>1174</v>
      </c>
      <c r="F565" s="5" t="s">
        <v>62</v>
      </c>
      <c r="G565" s="5" t="n">
        <v>5</v>
      </c>
      <c r="H565" s="5" t="s">
        <v>89</v>
      </c>
      <c r="I565" s="5" t="s">
        <v>64</v>
      </c>
      <c r="J565" s="5" t="s">
        <v>65</v>
      </c>
      <c r="K565" s="5" t="s">
        <v>66</v>
      </c>
      <c r="L565" s="2" t="s">
        <v>67</v>
      </c>
      <c r="M565" s="2" t="s">
        <v>2479</v>
      </c>
      <c r="N565" s="2" t="s">
        <v>3129</v>
      </c>
      <c r="O565" s="2" t="s">
        <v>3130</v>
      </c>
      <c r="P565" s="2"/>
      <c r="Q565" s="5" t="n">
        <v>1</v>
      </c>
      <c r="R565" s="2" t="s">
        <v>71</v>
      </c>
      <c r="S565" s="2" t="s">
        <v>3888</v>
      </c>
      <c r="T565" s="2" t="s">
        <v>3132</v>
      </c>
      <c r="U565" s="2" t="s">
        <v>74</v>
      </c>
      <c r="V565" s="5" t="n">
        <v>300</v>
      </c>
      <c r="W565" s="2"/>
      <c r="X565" s="2" t="s">
        <v>3133</v>
      </c>
      <c r="Y565" s="5" t="s">
        <v>3134</v>
      </c>
      <c r="Z565" s="2" t="s">
        <v>3889</v>
      </c>
      <c r="AA565" s="6" t="s">
        <v>3890</v>
      </c>
    </row>
    <row r="566" customFormat="false" ht="57.45" hidden="false" customHeight="false" outlineLevel="0" collapsed="false">
      <c r="A566" s="5" t="s">
        <v>3891</v>
      </c>
      <c r="B566" s="2" t="s">
        <v>3892</v>
      </c>
      <c r="C566" s="5" t="s">
        <v>2128</v>
      </c>
      <c r="D566" s="5" t="s">
        <v>60</v>
      </c>
      <c r="E566" s="2" t="s">
        <v>269</v>
      </c>
      <c r="F566" s="5" t="s">
        <v>62</v>
      </c>
      <c r="G566" s="5" t="n">
        <v>7</v>
      </c>
      <c r="H566" s="5" t="s">
        <v>89</v>
      </c>
      <c r="I566" s="5" t="s">
        <v>64</v>
      </c>
      <c r="J566" s="5" t="s">
        <v>65</v>
      </c>
      <c r="K566" s="5" t="s">
        <v>66</v>
      </c>
      <c r="L566" s="2" t="s">
        <v>67</v>
      </c>
      <c r="M566" s="2" t="s">
        <v>3893</v>
      </c>
      <c r="N566" s="2" t="s">
        <v>367</v>
      </c>
      <c r="O566" s="2" t="s">
        <v>3500</v>
      </c>
      <c r="P566" s="2"/>
      <c r="Q566" s="5" t="n">
        <v>1</v>
      </c>
      <c r="R566" s="2" t="s">
        <v>71</v>
      </c>
      <c r="S566" s="2" t="s">
        <v>3894</v>
      </c>
      <c r="T566" s="2" t="s">
        <v>3895</v>
      </c>
      <c r="U566" s="2" t="s">
        <v>74</v>
      </c>
      <c r="V566" s="5" t="n">
        <v>300</v>
      </c>
      <c r="W566" s="2"/>
      <c r="X566" s="2" t="s">
        <v>3503</v>
      </c>
      <c r="Y566" s="5"/>
      <c r="Z566" s="2" t="s">
        <v>3896</v>
      </c>
      <c r="AA566" s="6" t="s">
        <v>3897</v>
      </c>
    </row>
    <row r="567" customFormat="false" ht="79.85" hidden="false" customHeight="false" outlineLevel="0" collapsed="false">
      <c r="A567" s="5" t="s">
        <v>3898</v>
      </c>
      <c r="B567" s="2" t="s">
        <v>3899</v>
      </c>
      <c r="C567" s="5" t="s">
        <v>2128</v>
      </c>
      <c r="D567" s="5" t="s">
        <v>60</v>
      </c>
      <c r="E567" s="2" t="s">
        <v>751</v>
      </c>
      <c r="F567" s="5" t="s">
        <v>62</v>
      </c>
      <c r="G567" s="5" t="n">
        <v>5</v>
      </c>
      <c r="H567" s="5" t="s">
        <v>89</v>
      </c>
      <c r="I567" s="5" t="s">
        <v>64</v>
      </c>
      <c r="J567" s="5" t="s">
        <v>65</v>
      </c>
      <c r="K567" s="5" t="s">
        <v>66</v>
      </c>
      <c r="L567" s="2" t="s">
        <v>67</v>
      </c>
      <c r="M567" s="2" t="s">
        <v>3900</v>
      </c>
      <c r="N567" s="2" t="s">
        <v>367</v>
      </c>
      <c r="O567" s="2" t="s">
        <v>1105</v>
      </c>
      <c r="P567" s="2"/>
      <c r="Q567" s="5" t="n">
        <v>1</v>
      </c>
      <c r="R567" s="2" t="s">
        <v>71</v>
      </c>
      <c r="S567" s="2" t="s">
        <v>3901</v>
      </c>
      <c r="T567" s="2" t="s">
        <v>1176</v>
      </c>
      <c r="U567" s="2" t="s">
        <v>74</v>
      </c>
      <c r="V567" s="5" t="n">
        <v>300</v>
      </c>
      <c r="W567" s="2"/>
      <c r="X567" s="2" t="s">
        <v>1108</v>
      </c>
      <c r="Y567" s="5" t="s">
        <v>309</v>
      </c>
      <c r="Z567" s="2" t="s">
        <v>3902</v>
      </c>
      <c r="AA567" s="6" t="s">
        <v>3903</v>
      </c>
    </row>
    <row r="568" customFormat="false" ht="46.25" hidden="false" customHeight="false" outlineLevel="0" collapsed="false">
      <c r="A568" s="5" t="s">
        <v>3904</v>
      </c>
      <c r="B568" s="2" t="s">
        <v>3905</v>
      </c>
      <c r="C568" s="5" t="s">
        <v>2128</v>
      </c>
      <c r="D568" s="5" t="s">
        <v>60</v>
      </c>
      <c r="E568" s="2" t="s">
        <v>269</v>
      </c>
      <c r="F568" s="5" t="s">
        <v>62</v>
      </c>
      <c r="G568" s="5" t="n">
        <v>3</v>
      </c>
      <c r="H568" s="5" t="s">
        <v>817</v>
      </c>
      <c r="I568" s="5" t="s">
        <v>64</v>
      </c>
      <c r="J568" s="5" t="s">
        <v>65</v>
      </c>
      <c r="K568" s="5" t="s">
        <v>66</v>
      </c>
      <c r="L568" s="2" t="s">
        <v>67</v>
      </c>
      <c r="M568" s="2" t="s">
        <v>3309</v>
      </c>
      <c r="N568" s="2" t="s">
        <v>184</v>
      </c>
      <c r="O568" s="2" t="s">
        <v>3906</v>
      </c>
      <c r="P568" s="2"/>
      <c r="Q568" s="5" t="n">
        <v>1</v>
      </c>
      <c r="R568" s="2" t="s">
        <v>71</v>
      </c>
      <c r="S568" s="2" t="s">
        <v>3907</v>
      </c>
      <c r="T568" s="2" t="s">
        <v>1432</v>
      </c>
      <c r="U568" s="2" t="s">
        <v>74</v>
      </c>
      <c r="V568" s="5" t="n">
        <v>300</v>
      </c>
      <c r="W568" s="2"/>
      <c r="X568" s="2" t="s">
        <v>1516</v>
      </c>
      <c r="Y568" s="5"/>
      <c r="Z568" s="2" t="s">
        <v>3908</v>
      </c>
      <c r="AA568" s="6" t="s">
        <v>3909</v>
      </c>
    </row>
    <row r="569" customFormat="false" ht="135.8" hidden="false" customHeight="false" outlineLevel="0" collapsed="false">
      <c r="A569" s="5" t="s">
        <v>3910</v>
      </c>
      <c r="B569" s="2" t="s">
        <v>3911</v>
      </c>
      <c r="C569" s="5" t="s">
        <v>2245</v>
      </c>
      <c r="D569" s="5" t="s">
        <v>60</v>
      </c>
      <c r="E569" s="2" t="s">
        <v>1174</v>
      </c>
      <c r="F569" s="5" t="s">
        <v>490</v>
      </c>
      <c r="G569" s="5" t="n">
        <v>5</v>
      </c>
      <c r="H569" s="5" t="s">
        <v>89</v>
      </c>
      <c r="I569" s="5" t="s">
        <v>64</v>
      </c>
      <c r="J569" s="5" t="s">
        <v>65</v>
      </c>
      <c r="K569" s="5" t="s">
        <v>66</v>
      </c>
      <c r="L569" s="2" t="s">
        <v>67</v>
      </c>
      <c r="M569" s="2" t="s">
        <v>2841</v>
      </c>
      <c r="N569" s="2" t="s">
        <v>3232</v>
      </c>
      <c r="O569" s="2" t="s">
        <v>1105</v>
      </c>
      <c r="P569" s="2"/>
      <c r="Q569" s="5" t="n">
        <v>1</v>
      </c>
      <c r="R569" s="2" t="s">
        <v>71</v>
      </c>
      <c r="S569" s="2" t="s">
        <v>3912</v>
      </c>
      <c r="T569" s="2" t="s">
        <v>1176</v>
      </c>
      <c r="U569" s="2" t="s">
        <v>74</v>
      </c>
      <c r="V569" s="5" t="n">
        <v>300</v>
      </c>
      <c r="W569" s="2"/>
      <c r="X569" s="2" t="s">
        <v>1108</v>
      </c>
      <c r="Y569" s="5" t="s">
        <v>309</v>
      </c>
      <c r="Z569" s="2" t="s">
        <v>3913</v>
      </c>
      <c r="AA569" s="6" t="s">
        <v>3914</v>
      </c>
    </row>
    <row r="570" customFormat="false" ht="57.45" hidden="false" customHeight="false" outlineLevel="0" collapsed="false">
      <c r="A570" s="5" t="s">
        <v>3915</v>
      </c>
      <c r="B570" s="2" t="s">
        <v>3916</v>
      </c>
      <c r="C570" s="5" t="s">
        <v>2128</v>
      </c>
      <c r="D570" s="5" t="s">
        <v>60</v>
      </c>
      <c r="E570" s="2" t="s">
        <v>182</v>
      </c>
      <c r="F570" s="5" t="s">
        <v>62</v>
      </c>
      <c r="G570" s="5" t="n">
        <v>7</v>
      </c>
      <c r="H570" s="5" t="s">
        <v>89</v>
      </c>
      <c r="I570" s="5" t="s">
        <v>64</v>
      </c>
      <c r="J570" s="5" t="s">
        <v>65</v>
      </c>
      <c r="K570" s="5" t="s">
        <v>66</v>
      </c>
      <c r="L570" s="2" t="s">
        <v>90</v>
      </c>
      <c r="M570" s="2"/>
      <c r="N570" s="2" t="s">
        <v>184</v>
      </c>
      <c r="O570" s="2" t="s">
        <v>3917</v>
      </c>
      <c r="P570" s="2" t="s">
        <v>385</v>
      </c>
      <c r="Q570" s="5" t="n">
        <v>1</v>
      </c>
      <c r="R570" s="2" t="s">
        <v>71</v>
      </c>
      <c r="S570" s="2" t="s">
        <v>3918</v>
      </c>
      <c r="T570" s="2" t="s">
        <v>3919</v>
      </c>
      <c r="U570" s="2" t="s">
        <v>74</v>
      </c>
      <c r="V570" s="5" t="n">
        <v>300</v>
      </c>
      <c r="W570" s="2"/>
      <c r="X570" s="2" t="s">
        <v>3920</v>
      </c>
      <c r="Y570" s="5" t="s">
        <v>192</v>
      </c>
      <c r="Z570" s="2" t="s">
        <v>3921</v>
      </c>
      <c r="AA570" s="6" t="s">
        <v>3922</v>
      </c>
    </row>
    <row r="571" customFormat="false" ht="68.65" hidden="false" customHeight="false" outlineLevel="0" collapsed="false">
      <c r="A571" s="5" t="s">
        <v>3923</v>
      </c>
      <c r="B571" s="2" t="s">
        <v>3924</v>
      </c>
      <c r="C571" s="5" t="s">
        <v>2128</v>
      </c>
      <c r="D571" s="5" t="s">
        <v>60</v>
      </c>
      <c r="E571" s="2" t="s">
        <v>2754</v>
      </c>
      <c r="F571" s="5" t="s">
        <v>62</v>
      </c>
      <c r="G571" s="5" t="n">
        <v>5</v>
      </c>
      <c r="H571" s="5" t="s">
        <v>89</v>
      </c>
      <c r="I571" s="5" t="s">
        <v>64</v>
      </c>
      <c r="J571" s="5" t="s">
        <v>65</v>
      </c>
      <c r="K571" s="5" t="s">
        <v>66</v>
      </c>
      <c r="L571" s="2" t="s">
        <v>67</v>
      </c>
      <c r="M571" s="2" t="s">
        <v>198</v>
      </c>
      <c r="N571" s="2" t="s">
        <v>367</v>
      </c>
      <c r="O571" s="2" t="s">
        <v>1105</v>
      </c>
      <c r="P571" s="2"/>
      <c r="Q571" s="5" t="n">
        <v>1</v>
      </c>
      <c r="R571" s="2" t="s">
        <v>71</v>
      </c>
      <c r="S571" s="2" t="s">
        <v>3925</v>
      </c>
      <c r="T571" s="2" t="s">
        <v>1176</v>
      </c>
      <c r="U571" s="2" t="s">
        <v>74</v>
      </c>
      <c r="V571" s="5" t="n">
        <v>300</v>
      </c>
      <c r="W571" s="2"/>
      <c r="X571" s="2" t="s">
        <v>1108</v>
      </c>
      <c r="Y571" s="5" t="s">
        <v>309</v>
      </c>
      <c r="Z571" s="2" t="s">
        <v>3926</v>
      </c>
      <c r="AA571" s="6" t="s">
        <v>3927</v>
      </c>
    </row>
    <row r="572" customFormat="false" ht="46.25" hidden="false" customHeight="false" outlineLevel="0" collapsed="false">
      <c r="A572" s="5" t="s">
        <v>3928</v>
      </c>
      <c r="B572" s="2" t="s">
        <v>3929</v>
      </c>
      <c r="C572" s="5" t="s">
        <v>2128</v>
      </c>
      <c r="D572" s="5" t="s">
        <v>60</v>
      </c>
      <c r="E572" s="2" t="s">
        <v>161</v>
      </c>
      <c r="F572" s="5" t="s">
        <v>62</v>
      </c>
      <c r="G572" s="5" t="n">
        <v>5</v>
      </c>
      <c r="H572" s="5" t="s">
        <v>89</v>
      </c>
      <c r="I572" s="5" t="s">
        <v>64</v>
      </c>
      <c r="J572" s="5" t="s">
        <v>65</v>
      </c>
      <c r="K572" s="5" t="s">
        <v>66</v>
      </c>
      <c r="L572" s="2" t="s">
        <v>90</v>
      </c>
      <c r="M572" s="2" t="s">
        <v>163</v>
      </c>
      <c r="N572" s="2" t="s">
        <v>367</v>
      </c>
      <c r="O572" s="2" t="s">
        <v>1105</v>
      </c>
      <c r="P572" s="2"/>
      <c r="Q572" s="5" t="n">
        <v>1</v>
      </c>
      <c r="R572" s="2" t="s">
        <v>71</v>
      </c>
      <c r="S572" s="2" t="s">
        <v>3930</v>
      </c>
      <c r="T572" s="2" t="s">
        <v>1176</v>
      </c>
      <c r="U572" s="2" t="s">
        <v>74</v>
      </c>
      <c r="V572" s="5" t="n">
        <v>300</v>
      </c>
      <c r="W572" s="2"/>
      <c r="X572" s="2" t="s">
        <v>1108</v>
      </c>
      <c r="Y572" s="5" t="s">
        <v>309</v>
      </c>
      <c r="Z572" s="2" t="s">
        <v>3931</v>
      </c>
      <c r="AA572" s="6" t="s">
        <v>3932</v>
      </c>
    </row>
    <row r="573" customFormat="false" ht="46.25" hidden="false" customHeight="false" outlineLevel="0" collapsed="false">
      <c r="A573" s="5" t="s">
        <v>3933</v>
      </c>
      <c r="B573" s="2" t="s">
        <v>3934</v>
      </c>
      <c r="C573" s="5" t="s">
        <v>2128</v>
      </c>
      <c r="D573" s="5" t="s">
        <v>60</v>
      </c>
      <c r="E573" s="2" t="s">
        <v>161</v>
      </c>
      <c r="F573" s="5" t="s">
        <v>62</v>
      </c>
      <c r="G573" s="5" t="n">
        <v>7</v>
      </c>
      <c r="H573" s="5" t="s">
        <v>89</v>
      </c>
      <c r="I573" s="5" t="s">
        <v>64</v>
      </c>
      <c r="J573" s="5" t="s">
        <v>65</v>
      </c>
      <c r="K573" s="5" t="s">
        <v>66</v>
      </c>
      <c r="L573" s="2" t="s">
        <v>90</v>
      </c>
      <c r="M573" s="2" t="s">
        <v>163</v>
      </c>
      <c r="N573" s="2" t="s">
        <v>367</v>
      </c>
      <c r="O573" s="2" t="s">
        <v>1105</v>
      </c>
      <c r="P573" s="2"/>
      <c r="Q573" s="5" t="n">
        <v>1</v>
      </c>
      <c r="R573" s="2" t="s">
        <v>71</v>
      </c>
      <c r="S573" s="2" t="s">
        <v>3935</v>
      </c>
      <c r="T573" s="2" t="s">
        <v>1176</v>
      </c>
      <c r="U573" s="2" t="s">
        <v>74</v>
      </c>
      <c r="V573" s="5" t="n">
        <v>300</v>
      </c>
      <c r="W573" s="2"/>
      <c r="X573" s="2" t="s">
        <v>1108</v>
      </c>
      <c r="Y573" s="5" t="s">
        <v>309</v>
      </c>
      <c r="Z573" s="2" t="s">
        <v>3936</v>
      </c>
      <c r="AA573" s="6" t="s">
        <v>3937</v>
      </c>
    </row>
    <row r="574" customFormat="false" ht="102.2" hidden="false" customHeight="false" outlineLevel="0" collapsed="false">
      <c r="A574" s="5" t="s">
        <v>3938</v>
      </c>
      <c r="B574" s="2" t="s">
        <v>3939</v>
      </c>
      <c r="C574" s="5" t="s">
        <v>2245</v>
      </c>
      <c r="D574" s="5" t="s">
        <v>60</v>
      </c>
      <c r="E574" s="2" t="s">
        <v>1384</v>
      </c>
      <c r="F574" s="5" t="s">
        <v>490</v>
      </c>
      <c r="G574" s="5" t="n">
        <v>3</v>
      </c>
      <c r="H574" s="5" t="s">
        <v>817</v>
      </c>
      <c r="I574" s="5" t="s">
        <v>64</v>
      </c>
      <c r="J574" s="5" t="s">
        <v>65</v>
      </c>
      <c r="K574" s="5" t="s">
        <v>66</v>
      </c>
      <c r="L574" s="2" t="s">
        <v>100</v>
      </c>
      <c r="M574" s="2" t="s">
        <v>340</v>
      </c>
      <c r="N574" s="2" t="s">
        <v>3157</v>
      </c>
      <c r="O574" s="2" t="s">
        <v>3940</v>
      </c>
      <c r="P574" s="2"/>
      <c r="Q574" s="5" t="n">
        <v>1</v>
      </c>
      <c r="R574" s="2" t="s">
        <v>71</v>
      </c>
      <c r="S574" s="2" t="s">
        <v>83</v>
      </c>
      <c r="T574" s="2" t="s">
        <v>1098</v>
      </c>
      <c r="U574" s="2" t="s">
        <v>74</v>
      </c>
      <c r="V574" s="5" t="n">
        <v>300</v>
      </c>
      <c r="W574" s="2"/>
      <c r="X574" s="2" t="s">
        <v>2060</v>
      </c>
      <c r="Y574" s="5"/>
      <c r="Z574" s="2" t="s">
        <v>3941</v>
      </c>
      <c r="AA574" s="6" t="s">
        <v>3942</v>
      </c>
    </row>
    <row r="575" customFormat="false" ht="68.65" hidden="false" customHeight="false" outlineLevel="0" collapsed="false">
      <c r="A575" s="5" t="s">
        <v>3943</v>
      </c>
      <c r="B575" s="2" t="s">
        <v>3944</v>
      </c>
      <c r="C575" s="5" t="s">
        <v>2245</v>
      </c>
      <c r="D575" s="5" t="s">
        <v>60</v>
      </c>
      <c r="E575" s="2" t="s">
        <v>269</v>
      </c>
      <c r="F575" s="5" t="s">
        <v>62</v>
      </c>
      <c r="G575" s="5" t="n">
        <v>3</v>
      </c>
      <c r="H575" s="5" t="s">
        <v>817</v>
      </c>
      <c r="I575" s="5" t="s">
        <v>64</v>
      </c>
      <c r="J575" s="5" t="s">
        <v>65</v>
      </c>
      <c r="K575" s="5" t="s">
        <v>66</v>
      </c>
      <c r="L575" s="2" t="s">
        <v>90</v>
      </c>
      <c r="M575" s="2"/>
      <c r="N575" s="2" t="s">
        <v>3499</v>
      </c>
      <c r="O575" s="2" t="s">
        <v>1533</v>
      </c>
      <c r="P575" s="2"/>
      <c r="Q575" s="5" t="n">
        <v>1</v>
      </c>
      <c r="R575" s="2" t="s">
        <v>71</v>
      </c>
      <c r="S575" s="2" t="s">
        <v>3945</v>
      </c>
      <c r="T575" s="2" t="s">
        <v>3946</v>
      </c>
      <c r="U575" s="2" t="s">
        <v>74</v>
      </c>
      <c r="V575" s="5" t="n">
        <v>300</v>
      </c>
      <c r="W575" s="2"/>
      <c r="X575" s="2" t="s">
        <v>1536</v>
      </c>
      <c r="Y575" s="5" t="s">
        <v>1537</v>
      </c>
      <c r="Z575" s="2" t="s">
        <v>3947</v>
      </c>
      <c r="AA575" s="6" t="s">
        <v>3948</v>
      </c>
    </row>
    <row r="576" customFormat="false" ht="68.65" hidden="false" customHeight="false" outlineLevel="0" collapsed="false">
      <c r="A576" s="5" t="s">
        <v>3949</v>
      </c>
      <c r="B576" s="2" t="s">
        <v>3950</v>
      </c>
      <c r="C576" s="5" t="s">
        <v>2245</v>
      </c>
      <c r="D576" s="5" t="s">
        <v>60</v>
      </c>
      <c r="E576" s="2" t="s">
        <v>269</v>
      </c>
      <c r="F576" s="5" t="s">
        <v>62</v>
      </c>
      <c r="G576" s="5" t="n">
        <v>5</v>
      </c>
      <c r="H576" s="5" t="s">
        <v>89</v>
      </c>
      <c r="I576" s="5" t="s">
        <v>64</v>
      </c>
      <c r="J576" s="5" t="s">
        <v>65</v>
      </c>
      <c r="K576" s="5" t="s">
        <v>66</v>
      </c>
      <c r="L576" s="2" t="s">
        <v>67</v>
      </c>
      <c r="M576" s="2" t="s">
        <v>1532</v>
      </c>
      <c r="N576" s="2" t="s">
        <v>3499</v>
      </c>
      <c r="O576" s="2" t="s">
        <v>1533</v>
      </c>
      <c r="P576" s="2"/>
      <c r="Q576" s="5" t="n">
        <v>1</v>
      </c>
      <c r="R576" s="2" t="s">
        <v>71</v>
      </c>
      <c r="S576" s="2" t="s">
        <v>3951</v>
      </c>
      <c r="T576" s="2" t="s">
        <v>3952</v>
      </c>
      <c r="U576" s="2" t="s">
        <v>74</v>
      </c>
      <c r="V576" s="5" t="n">
        <v>300</v>
      </c>
      <c r="W576" s="2"/>
      <c r="X576" s="2" t="s">
        <v>1536</v>
      </c>
      <c r="Y576" s="5" t="s">
        <v>1537</v>
      </c>
      <c r="Z576" s="2" t="s">
        <v>3953</v>
      </c>
      <c r="AA576" s="6" t="s">
        <v>3954</v>
      </c>
    </row>
    <row r="577" customFormat="false" ht="68.65" hidden="false" customHeight="false" outlineLevel="0" collapsed="false">
      <c r="A577" s="5" t="s">
        <v>3955</v>
      </c>
      <c r="B577" s="2" t="s">
        <v>3956</v>
      </c>
      <c r="C577" s="5" t="s">
        <v>2245</v>
      </c>
      <c r="D577" s="5" t="s">
        <v>60</v>
      </c>
      <c r="E577" s="2" t="s">
        <v>751</v>
      </c>
      <c r="F577" s="5" t="s">
        <v>62</v>
      </c>
      <c r="G577" s="5" t="n">
        <v>3</v>
      </c>
      <c r="H577" s="5" t="s">
        <v>817</v>
      </c>
      <c r="I577" s="5" t="s">
        <v>64</v>
      </c>
      <c r="J577" s="5" t="s">
        <v>65</v>
      </c>
      <c r="K577" s="5" t="s">
        <v>66</v>
      </c>
      <c r="L577" s="2" t="s">
        <v>277</v>
      </c>
      <c r="M577" s="2" t="s">
        <v>942</v>
      </c>
      <c r="N577" s="2" t="s">
        <v>3129</v>
      </c>
      <c r="O577" s="2" t="s">
        <v>3130</v>
      </c>
      <c r="P577" s="2"/>
      <c r="Q577" s="5" t="n">
        <v>1</v>
      </c>
      <c r="R577" s="2" t="s">
        <v>71</v>
      </c>
      <c r="S577" s="2" t="s">
        <v>3957</v>
      </c>
      <c r="T577" s="2" t="s">
        <v>3132</v>
      </c>
      <c r="U577" s="2" t="s">
        <v>74</v>
      </c>
      <c r="V577" s="5" t="n">
        <v>300</v>
      </c>
      <c r="W577" s="2"/>
      <c r="X577" s="2" t="s">
        <v>3133</v>
      </c>
      <c r="Y577" s="5" t="s">
        <v>3134</v>
      </c>
      <c r="Z577" s="2" t="s">
        <v>3958</v>
      </c>
      <c r="AA577" s="6" t="s">
        <v>3959</v>
      </c>
    </row>
    <row r="578" customFormat="false" ht="68.65" hidden="false" customHeight="false" outlineLevel="0" collapsed="false">
      <c r="A578" s="5" t="s">
        <v>3960</v>
      </c>
      <c r="B578" s="2" t="s">
        <v>3961</v>
      </c>
      <c r="C578" s="5" t="s">
        <v>2245</v>
      </c>
      <c r="D578" s="5" t="s">
        <v>60</v>
      </c>
      <c r="E578" s="2" t="s">
        <v>269</v>
      </c>
      <c r="F578" s="5" t="s">
        <v>62</v>
      </c>
      <c r="G578" s="5" t="n">
        <v>5</v>
      </c>
      <c r="H578" s="5" t="s">
        <v>89</v>
      </c>
      <c r="I578" s="5" t="s">
        <v>64</v>
      </c>
      <c r="J578" s="5" t="s">
        <v>65</v>
      </c>
      <c r="K578" s="5" t="s">
        <v>66</v>
      </c>
      <c r="L578" s="2" t="s">
        <v>277</v>
      </c>
      <c r="M578" s="2" t="s">
        <v>942</v>
      </c>
      <c r="N578" s="2" t="s">
        <v>3499</v>
      </c>
      <c r="O578" s="2" t="s">
        <v>3203</v>
      </c>
      <c r="P578" s="2"/>
      <c r="Q578" s="5" t="n">
        <v>1</v>
      </c>
      <c r="R578" s="2" t="s">
        <v>71</v>
      </c>
      <c r="S578" s="2" t="s">
        <v>3962</v>
      </c>
      <c r="T578" s="2" t="s">
        <v>3963</v>
      </c>
      <c r="U578" s="2" t="s">
        <v>74</v>
      </c>
      <c r="V578" s="5" t="n">
        <v>300</v>
      </c>
      <c r="W578" s="2"/>
      <c r="X578" s="2" t="s">
        <v>3206</v>
      </c>
      <c r="Y578" s="5"/>
      <c r="Z578" s="2" t="s">
        <v>3964</v>
      </c>
      <c r="AA578" s="6" t="s">
        <v>3965</v>
      </c>
    </row>
    <row r="579" customFormat="false" ht="57.45" hidden="false" customHeight="false" outlineLevel="0" collapsed="false">
      <c r="A579" s="5" t="s">
        <v>3966</v>
      </c>
      <c r="B579" s="2" t="s">
        <v>3967</v>
      </c>
      <c r="C579" s="5" t="s">
        <v>2128</v>
      </c>
      <c r="D579" s="5" t="s">
        <v>60</v>
      </c>
      <c r="E579" s="2" t="s">
        <v>269</v>
      </c>
      <c r="F579" s="5" t="s">
        <v>62</v>
      </c>
      <c r="G579" s="5" t="n">
        <v>5</v>
      </c>
      <c r="H579" s="5" t="s">
        <v>89</v>
      </c>
      <c r="I579" s="5" t="s">
        <v>64</v>
      </c>
      <c r="J579" s="5" t="s">
        <v>65</v>
      </c>
      <c r="K579" s="5" t="s">
        <v>66</v>
      </c>
      <c r="L579" s="2" t="s">
        <v>90</v>
      </c>
      <c r="M579" s="2"/>
      <c r="N579" s="2" t="s">
        <v>184</v>
      </c>
      <c r="O579" s="2" t="s">
        <v>3968</v>
      </c>
      <c r="P579" s="2"/>
      <c r="Q579" s="5" t="n">
        <v>1</v>
      </c>
      <c r="R579" s="2" t="s">
        <v>71</v>
      </c>
      <c r="S579" s="2" t="s">
        <v>3969</v>
      </c>
      <c r="T579" s="2" t="s">
        <v>2019</v>
      </c>
      <c r="U579" s="2" t="s">
        <v>74</v>
      </c>
      <c r="V579" s="5" t="n">
        <v>300</v>
      </c>
      <c r="W579" s="2"/>
      <c r="X579" s="2" t="s">
        <v>3970</v>
      </c>
      <c r="Y579" s="5"/>
      <c r="Z579" s="2" t="s">
        <v>3971</v>
      </c>
      <c r="AA579" s="6" t="s">
        <v>3972</v>
      </c>
    </row>
    <row r="580" customFormat="false" ht="57.45" hidden="false" customHeight="false" outlineLevel="0" collapsed="false">
      <c r="A580" s="5" t="s">
        <v>3973</v>
      </c>
      <c r="B580" s="2" t="s">
        <v>3974</v>
      </c>
      <c r="C580" s="5" t="s">
        <v>2128</v>
      </c>
      <c r="D580" s="5" t="s">
        <v>60</v>
      </c>
      <c r="E580" s="2" t="s">
        <v>269</v>
      </c>
      <c r="F580" s="5" t="s">
        <v>62</v>
      </c>
      <c r="G580" s="5" t="n">
        <v>7</v>
      </c>
      <c r="H580" s="5" t="s">
        <v>89</v>
      </c>
      <c r="I580" s="5" t="s">
        <v>64</v>
      </c>
      <c r="J580" s="5" t="s">
        <v>65</v>
      </c>
      <c r="K580" s="5" t="s">
        <v>66</v>
      </c>
      <c r="L580" s="2" t="s">
        <v>90</v>
      </c>
      <c r="M580" s="2"/>
      <c r="N580" s="2" t="s">
        <v>184</v>
      </c>
      <c r="O580" s="2" t="s">
        <v>3968</v>
      </c>
      <c r="P580" s="2"/>
      <c r="Q580" s="5" t="n">
        <v>1</v>
      </c>
      <c r="R580" s="2" t="s">
        <v>71</v>
      </c>
      <c r="S580" s="2" t="s">
        <v>3975</v>
      </c>
      <c r="T580" s="2" t="s">
        <v>2019</v>
      </c>
      <c r="U580" s="2" t="s">
        <v>74</v>
      </c>
      <c r="V580" s="5" t="n">
        <v>300</v>
      </c>
      <c r="W580" s="2"/>
      <c r="X580" s="2" t="s">
        <v>3970</v>
      </c>
      <c r="Y580" s="5"/>
      <c r="Z580" s="2" t="s">
        <v>3976</v>
      </c>
      <c r="AA580" s="6" t="s">
        <v>3977</v>
      </c>
    </row>
    <row r="581" customFormat="false" ht="57.45" hidden="false" customHeight="false" outlineLevel="0" collapsed="false">
      <c r="A581" s="5" t="s">
        <v>3978</v>
      </c>
      <c r="B581" s="2" t="s">
        <v>3979</v>
      </c>
      <c r="C581" s="5" t="s">
        <v>2128</v>
      </c>
      <c r="D581" s="5" t="s">
        <v>60</v>
      </c>
      <c r="E581" s="2" t="s">
        <v>269</v>
      </c>
      <c r="F581" s="5" t="s">
        <v>62</v>
      </c>
      <c r="G581" s="5" t="n">
        <v>7</v>
      </c>
      <c r="H581" s="5" t="s">
        <v>89</v>
      </c>
      <c r="I581" s="5" t="s">
        <v>64</v>
      </c>
      <c r="J581" s="5" t="s">
        <v>65</v>
      </c>
      <c r="K581" s="5" t="s">
        <v>66</v>
      </c>
      <c r="L581" s="2" t="s">
        <v>90</v>
      </c>
      <c r="M581" s="2"/>
      <c r="N581" s="2" t="s">
        <v>184</v>
      </c>
      <c r="O581" s="2" t="s">
        <v>3968</v>
      </c>
      <c r="P581" s="2"/>
      <c r="Q581" s="5" t="n">
        <v>1</v>
      </c>
      <c r="R581" s="2" t="s">
        <v>71</v>
      </c>
      <c r="S581" s="2" t="s">
        <v>3980</v>
      </c>
      <c r="T581" s="2" t="s">
        <v>2019</v>
      </c>
      <c r="U581" s="2" t="s">
        <v>74</v>
      </c>
      <c r="V581" s="5" t="n">
        <v>300</v>
      </c>
      <c r="W581" s="2"/>
      <c r="X581" s="2" t="s">
        <v>3970</v>
      </c>
      <c r="Y581" s="5"/>
      <c r="Z581" s="2" t="s">
        <v>3981</v>
      </c>
      <c r="AA581" s="6" t="s">
        <v>3982</v>
      </c>
    </row>
    <row r="582" customFormat="false" ht="79.85" hidden="false" customHeight="false" outlineLevel="0" collapsed="false">
      <c r="A582" s="5" t="s">
        <v>3983</v>
      </c>
      <c r="B582" s="2" t="s">
        <v>3984</v>
      </c>
      <c r="C582" s="5" t="s">
        <v>2128</v>
      </c>
      <c r="D582" s="5" t="s">
        <v>60</v>
      </c>
      <c r="E582" s="2" t="s">
        <v>276</v>
      </c>
      <c r="F582" s="5" t="s">
        <v>62</v>
      </c>
      <c r="G582" s="5" t="n">
        <v>7</v>
      </c>
      <c r="H582" s="5" t="s">
        <v>89</v>
      </c>
      <c r="I582" s="5" t="s">
        <v>64</v>
      </c>
      <c r="J582" s="5" t="s">
        <v>65</v>
      </c>
      <c r="K582" s="5" t="s">
        <v>66</v>
      </c>
      <c r="L582" s="2" t="s">
        <v>413</v>
      </c>
      <c r="M582" s="2" t="s">
        <v>3735</v>
      </c>
      <c r="N582" s="2" t="s">
        <v>184</v>
      </c>
      <c r="O582" s="2" t="s">
        <v>3985</v>
      </c>
      <c r="P582" s="2"/>
      <c r="Q582" s="5" t="n">
        <v>1</v>
      </c>
      <c r="R582" s="2" t="s">
        <v>71</v>
      </c>
      <c r="S582" s="2" t="s">
        <v>3986</v>
      </c>
      <c r="T582" s="2" t="s">
        <v>3987</v>
      </c>
      <c r="U582" s="2" t="s">
        <v>74</v>
      </c>
      <c r="V582" s="5" t="n">
        <v>300</v>
      </c>
      <c r="W582" s="2"/>
      <c r="X582" s="2" t="s">
        <v>3988</v>
      </c>
      <c r="Y582" s="5" t="s">
        <v>214</v>
      </c>
      <c r="Z582" s="2" t="s">
        <v>3989</v>
      </c>
      <c r="AA582" s="6" t="s">
        <v>3990</v>
      </c>
    </row>
    <row r="583" customFormat="false" ht="68.65" hidden="false" customHeight="false" outlineLevel="0" collapsed="false">
      <c r="A583" s="5" t="s">
        <v>3991</v>
      </c>
      <c r="B583" s="2" t="s">
        <v>3992</v>
      </c>
      <c r="C583" s="5" t="s">
        <v>2128</v>
      </c>
      <c r="D583" s="5" t="s">
        <v>60</v>
      </c>
      <c r="E583" s="2" t="s">
        <v>269</v>
      </c>
      <c r="F583" s="5" t="s">
        <v>62</v>
      </c>
      <c r="G583" s="5" t="n">
        <v>5</v>
      </c>
      <c r="H583" s="5" t="s">
        <v>89</v>
      </c>
      <c r="I583" s="5" t="s">
        <v>64</v>
      </c>
      <c r="J583" s="5" t="s">
        <v>65</v>
      </c>
      <c r="K583" s="5" t="s">
        <v>66</v>
      </c>
      <c r="L583" s="2" t="s">
        <v>67</v>
      </c>
      <c r="M583" s="2" t="s">
        <v>482</v>
      </c>
      <c r="N583" s="2" t="s">
        <v>184</v>
      </c>
      <c r="O583" s="2" t="s">
        <v>1533</v>
      </c>
      <c r="P583" s="2"/>
      <c r="Q583" s="5" t="n">
        <v>1</v>
      </c>
      <c r="R583" s="2" t="s">
        <v>71</v>
      </c>
      <c r="S583" s="2" t="s">
        <v>3993</v>
      </c>
      <c r="T583" s="2" t="s">
        <v>3994</v>
      </c>
      <c r="U583" s="2" t="s">
        <v>74</v>
      </c>
      <c r="V583" s="5" t="n">
        <v>300</v>
      </c>
      <c r="W583" s="2"/>
      <c r="X583" s="2" t="s">
        <v>1536</v>
      </c>
      <c r="Y583" s="5" t="s">
        <v>1537</v>
      </c>
      <c r="Z583" s="2" t="s">
        <v>3995</v>
      </c>
      <c r="AA583" s="6" t="s">
        <v>3996</v>
      </c>
    </row>
    <row r="584" customFormat="false" ht="68.65" hidden="false" customHeight="false" outlineLevel="0" collapsed="false">
      <c r="A584" s="5" t="s">
        <v>3997</v>
      </c>
      <c r="B584" s="2" t="s">
        <v>3998</v>
      </c>
      <c r="C584" s="5" t="s">
        <v>2128</v>
      </c>
      <c r="D584" s="5" t="s">
        <v>60</v>
      </c>
      <c r="E584" s="2" t="s">
        <v>751</v>
      </c>
      <c r="F584" s="5" t="s">
        <v>62</v>
      </c>
      <c r="G584" s="5" t="n">
        <v>5</v>
      </c>
      <c r="H584" s="5" t="s">
        <v>89</v>
      </c>
      <c r="I584" s="5" t="s">
        <v>64</v>
      </c>
      <c r="J584" s="5" t="s">
        <v>65</v>
      </c>
      <c r="K584" s="5" t="s">
        <v>66</v>
      </c>
      <c r="L584" s="2" t="s">
        <v>90</v>
      </c>
      <c r="M584" s="2"/>
      <c r="N584" s="2" t="s">
        <v>367</v>
      </c>
      <c r="O584" s="2" t="s">
        <v>1105</v>
      </c>
      <c r="P584" s="2"/>
      <c r="Q584" s="5" t="n">
        <v>1</v>
      </c>
      <c r="R584" s="2" t="s">
        <v>71</v>
      </c>
      <c r="S584" s="2" t="s">
        <v>3999</v>
      </c>
      <c r="T584" s="2" t="s">
        <v>1176</v>
      </c>
      <c r="U584" s="2" t="s">
        <v>74</v>
      </c>
      <c r="V584" s="5" t="n">
        <v>300</v>
      </c>
      <c r="W584" s="2"/>
      <c r="X584" s="2" t="s">
        <v>1108</v>
      </c>
      <c r="Y584" s="5" t="s">
        <v>309</v>
      </c>
      <c r="Z584" s="2" t="s">
        <v>4000</v>
      </c>
      <c r="AA584" s="6" t="s">
        <v>4001</v>
      </c>
    </row>
    <row r="585" customFormat="false" ht="68.65" hidden="false" customHeight="false" outlineLevel="0" collapsed="false">
      <c r="A585" s="5" t="s">
        <v>4002</v>
      </c>
      <c r="B585" s="2" t="s">
        <v>4003</v>
      </c>
      <c r="C585" s="5" t="s">
        <v>2245</v>
      </c>
      <c r="D585" s="5" t="s">
        <v>60</v>
      </c>
      <c r="E585" s="2" t="s">
        <v>751</v>
      </c>
      <c r="F585" s="5" t="s">
        <v>62</v>
      </c>
      <c r="G585" s="5" t="n">
        <v>5</v>
      </c>
      <c r="H585" s="5" t="s">
        <v>89</v>
      </c>
      <c r="I585" s="5" t="s">
        <v>64</v>
      </c>
      <c r="J585" s="5" t="s">
        <v>65</v>
      </c>
      <c r="K585" s="5" t="s">
        <v>66</v>
      </c>
      <c r="L585" s="2" t="s">
        <v>90</v>
      </c>
      <c r="M585" s="2"/>
      <c r="N585" s="2" t="s">
        <v>3129</v>
      </c>
      <c r="O585" s="2" t="s">
        <v>3183</v>
      </c>
      <c r="P585" s="2"/>
      <c r="Q585" s="5" t="n">
        <v>1</v>
      </c>
      <c r="R585" s="2" t="s">
        <v>71</v>
      </c>
      <c r="S585" s="2" t="s">
        <v>4004</v>
      </c>
      <c r="T585" s="2" t="s">
        <v>3185</v>
      </c>
      <c r="U585" s="2" t="s">
        <v>74</v>
      </c>
      <c r="V585" s="5" t="n">
        <v>300</v>
      </c>
      <c r="W585" s="2"/>
      <c r="X585" s="2" t="s">
        <v>3186</v>
      </c>
      <c r="Y585" s="5"/>
      <c r="Z585" s="2" t="s">
        <v>4005</v>
      </c>
      <c r="AA585" s="6" t="s">
        <v>4006</v>
      </c>
    </row>
    <row r="586" customFormat="false" ht="68.65" hidden="false" customHeight="false" outlineLevel="0" collapsed="false">
      <c r="A586" s="5" t="s">
        <v>4007</v>
      </c>
      <c r="B586" s="2" t="s">
        <v>4008</v>
      </c>
      <c r="C586" s="5" t="s">
        <v>2245</v>
      </c>
      <c r="D586" s="5" t="s">
        <v>60</v>
      </c>
      <c r="E586" s="2" t="s">
        <v>751</v>
      </c>
      <c r="F586" s="5" t="s">
        <v>62</v>
      </c>
      <c r="G586" s="5" t="n">
        <v>5</v>
      </c>
      <c r="H586" s="5" t="s">
        <v>89</v>
      </c>
      <c r="I586" s="5" t="s">
        <v>64</v>
      </c>
      <c r="J586" s="5" t="s">
        <v>65</v>
      </c>
      <c r="K586" s="5" t="s">
        <v>66</v>
      </c>
      <c r="L586" s="2" t="s">
        <v>90</v>
      </c>
      <c r="M586" s="2"/>
      <c r="N586" s="2" t="s">
        <v>3129</v>
      </c>
      <c r="O586" s="2" t="s">
        <v>3130</v>
      </c>
      <c r="P586" s="2"/>
      <c r="Q586" s="5" t="n">
        <v>1</v>
      </c>
      <c r="R586" s="2" t="s">
        <v>71</v>
      </c>
      <c r="S586" s="2" t="s">
        <v>4009</v>
      </c>
      <c r="T586" s="2" t="s">
        <v>3132</v>
      </c>
      <c r="U586" s="2" t="s">
        <v>74</v>
      </c>
      <c r="V586" s="5" t="n">
        <v>300</v>
      </c>
      <c r="W586" s="2"/>
      <c r="X586" s="2" t="s">
        <v>3133</v>
      </c>
      <c r="Y586" s="5" t="s">
        <v>3134</v>
      </c>
      <c r="Z586" s="2" t="s">
        <v>4010</v>
      </c>
      <c r="AA586" s="6" t="s">
        <v>4011</v>
      </c>
    </row>
    <row r="587" customFormat="false" ht="91" hidden="false" customHeight="false" outlineLevel="0" collapsed="false">
      <c r="A587" s="5" t="s">
        <v>4012</v>
      </c>
      <c r="B587" s="2" t="s">
        <v>4013</v>
      </c>
      <c r="C587" s="5" t="s">
        <v>2245</v>
      </c>
      <c r="D587" s="5" t="s">
        <v>60</v>
      </c>
      <c r="E587" s="2" t="s">
        <v>1531</v>
      </c>
      <c r="F587" s="5" t="s">
        <v>490</v>
      </c>
      <c r="G587" s="5" t="n">
        <v>5</v>
      </c>
      <c r="H587" s="5" t="s">
        <v>89</v>
      </c>
      <c r="I587" s="5" t="s">
        <v>64</v>
      </c>
      <c r="J587" s="5" t="s">
        <v>65</v>
      </c>
      <c r="K587" s="5" t="s">
        <v>66</v>
      </c>
      <c r="L587" s="2" t="s">
        <v>90</v>
      </c>
      <c r="M587" s="2"/>
      <c r="N587" s="2" t="s">
        <v>3499</v>
      </c>
      <c r="O587" s="2" t="s">
        <v>1595</v>
      </c>
      <c r="P587" s="2"/>
      <c r="Q587" s="5" t="n">
        <v>1</v>
      </c>
      <c r="R587" s="2" t="s">
        <v>71</v>
      </c>
      <c r="S587" s="2" t="s">
        <v>4014</v>
      </c>
      <c r="T587" s="2" t="s">
        <v>4015</v>
      </c>
      <c r="U587" s="2" t="s">
        <v>74</v>
      </c>
      <c r="V587" s="5" t="n">
        <v>300</v>
      </c>
      <c r="W587" s="2"/>
      <c r="X587" s="2" t="s">
        <v>1598</v>
      </c>
      <c r="Y587" s="5" t="s">
        <v>346</v>
      </c>
      <c r="Z587" s="2" t="s">
        <v>4016</v>
      </c>
      <c r="AA587" s="6" t="s">
        <v>4017</v>
      </c>
    </row>
    <row r="588" customFormat="false" ht="247.75" hidden="false" customHeight="false" outlineLevel="0" collapsed="false">
      <c r="A588" s="5" t="s">
        <v>4018</v>
      </c>
      <c r="B588" s="2" t="s">
        <v>4019</v>
      </c>
      <c r="C588" s="5" t="s">
        <v>2128</v>
      </c>
      <c r="D588" s="5" t="s">
        <v>60</v>
      </c>
      <c r="E588" s="2" t="s">
        <v>3123</v>
      </c>
      <c r="F588" s="5" t="s">
        <v>62</v>
      </c>
      <c r="G588" s="5" t="n">
        <v>3</v>
      </c>
      <c r="H588" s="5" t="s">
        <v>817</v>
      </c>
      <c r="I588" s="5" t="s">
        <v>64</v>
      </c>
      <c r="J588" s="5" t="s">
        <v>65</v>
      </c>
      <c r="K588" s="5" t="s">
        <v>66</v>
      </c>
      <c r="L588" s="2" t="s">
        <v>67</v>
      </c>
      <c r="M588" s="2" t="s">
        <v>1087</v>
      </c>
      <c r="N588" s="2" t="s">
        <v>367</v>
      </c>
      <c r="O588" s="2" t="s">
        <v>1212</v>
      </c>
      <c r="P588" s="2"/>
      <c r="Q588" s="5" t="n">
        <v>1</v>
      </c>
      <c r="R588" s="2" t="s">
        <v>71</v>
      </c>
      <c r="S588" s="2" t="s">
        <v>4020</v>
      </c>
      <c r="T588" s="2" t="s">
        <v>1716</v>
      </c>
      <c r="U588" s="2" t="s">
        <v>74</v>
      </c>
      <c r="V588" s="5" t="n">
        <v>300</v>
      </c>
      <c r="W588" s="2"/>
      <c r="X588" s="2" t="s">
        <v>1215</v>
      </c>
      <c r="Y588" s="5"/>
      <c r="Z588" s="2" t="s">
        <v>4021</v>
      </c>
      <c r="AA588" s="6" t="s">
        <v>4022</v>
      </c>
    </row>
    <row r="589" customFormat="false" ht="158.2" hidden="false" customHeight="false" outlineLevel="0" collapsed="false">
      <c r="A589" s="5" t="s">
        <v>4023</v>
      </c>
      <c r="B589" s="2" t="s">
        <v>4024</v>
      </c>
      <c r="C589" s="5" t="s">
        <v>2245</v>
      </c>
      <c r="D589" s="5" t="s">
        <v>60</v>
      </c>
      <c r="E589" s="2" t="s">
        <v>4025</v>
      </c>
      <c r="F589" s="5" t="s">
        <v>490</v>
      </c>
      <c r="G589" s="5" t="n">
        <v>7</v>
      </c>
      <c r="H589" s="5" t="s">
        <v>89</v>
      </c>
      <c r="I589" s="5" t="s">
        <v>64</v>
      </c>
      <c r="J589" s="5" t="s">
        <v>65</v>
      </c>
      <c r="K589" s="5" t="s">
        <v>66</v>
      </c>
      <c r="L589" s="2" t="s">
        <v>90</v>
      </c>
      <c r="M589" s="2"/>
      <c r="N589" s="2" t="s">
        <v>3499</v>
      </c>
      <c r="O589" s="2" t="s">
        <v>4026</v>
      </c>
      <c r="P589" s="2"/>
      <c r="Q589" s="5" t="n">
        <v>1</v>
      </c>
      <c r="R589" s="2" t="s">
        <v>71</v>
      </c>
      <c r="S589" s="2" t="s">
        <v>4027</v>
      </c>
      <c r="T589" s="2" t="s">
        <v>4028</v>
      </c>
      <c r="U589" s="2" t="s">
        <v>74</v>
      </c>
      <c r="V589" s="5" t="n">
        <v>300</v>
      </c>
      <c r="W589" s="2"/>
      <c r="X589" s="2" t="s">
        <v>4029</v>
      </c>
      <c r="Y589" s="5" t="s">
        <v>4030</v>
      </c>
      <c r="Z589" s="2" t="s">
        <v>4031</v>
      </c>
      <c r="AA589" s="6" t="s">
        <v>4032</v>
      </c>
    </row>
    <row r="590" customFormat="false" ht="46.25" hidden="false" customHeight="false" outlineLevel="0" collapsed="false">
      <c r="A590" s="5" t="s">
        <v>4033</v>
      </c>
      <c r="B590" s="2" t="s">
        <v>4034</v>
      </c>
      <c r="C590" s="5" t="s">
        <v>2128</v>
      </c>
      <c r="D590" s="5" t="s">
        <v>60</v>
      </c>
      <c r="E590" s="2" t="s">
        <v>2754</v>
      </c>
      <c r="F590" s="5" t="s">
        <v>62</v>
      </c>
      <c r="G590" s="5" t="n">
        <v>7</v>
      </c>
      <c r="H590" s="5" t="s">
        <v>89</v>
      </c>
      <c r="I590" s="5" t="s">
        <v>64</v>
      </c>
      <c r="J590" s="5" t="s">
        <v>65</v>
      </c>
      <c r="K590" s="5" t="s">
        <v>66</v>
      </c>
      <c r="L590" s="2" t="s">
        <v>90</v>
      </c>
      <c r="M590" s="2"/>
      <c r="N590" s="2" t="s">
        <v>367</v>
      </c>
      <c r="O590" s="2" t="s">
        <v>1105</v>
      </c>
      <c r="P590" s="2"/>
      <c r="Q590" s="5" t="n">
        <v>1</v>
      </c>
      <c r="R590" s="2" t="s">
        <v>71</v>
      </c>
      <c r="S590" s="2" t="s">
        <v>4035</v>
      </c>
      <c r="T590" s="2" t="s">
        <v>1176</v>
      </c>
      <c r="U590" s="2" t="s">
        <v>74</v>
      </c>
      <c r="V590" s="5" t="n">
        <v>300</v>
      </c>
      <c r="W590" s="2"/>
      <c r="X590" s="2" t="s">
        <v>1108</v>
      </c>
      <c r="Y590" s="5" t="s">
        <v>309</v>
      </c>
      <c r="Z590" s="2" t="s">
        <v>4036</v>
      </c>
      <c r="AA590" s="6" t="s">
        <v>4037</v>
      </c>
    </row>
    <row r="591" customFormat="false" ht="102.2" hidden="false" customHeight="false" outlineLevel="0" collapsed="false">
      <c r="A591" s="5" t="s">
        <v>4038</v>
      </c>
      <c r="B591" s="2" t="s">
        <v>4039</v>
      </c>
      <c r="C591" s="5" t="s">
        <v>2245</v>
      </c>
      <c r="D591" s="5" t="s">
        <v>60</v>
      </c>
      <c r="E591" s="2" t="s">
        <v>4025</v>
      </c>
      <c r="F591" s="5" t="s">
        <v>62</v>
      </c>
      <c r="G591" s="5" t="n">
        <v>7</v>
      </c>
      <c r="H591" s="5" t="s">
        <v>89</v>
      </c>
      <c r="I591" s="5" t="s">
        <v>64</v>
      </c>
      <c r="J591" s="5" t="s">
        <v>65</v>
      </c>
      <c r="K591" s="5" t="s">
        <v>66</v>
      </c>
      <c r="L591" s="2" t="s">
        <v>90</v>
      </c>
      <c r="M591" s="2"/>
      <c r="N591" s="2" t="s">
        <v>3499</v>
      </c>
      <c r="O591" s="2" t="s">
        <v>1533</v>
      </c>
      <c r="P591" s="2"/>
      <c r="Q591" s="5" t="n">
        <v>1</v>
      </c>
      <c r="R591" s="2" t="s">
        <v>71</v>
      </c>
      <c r="S591" s="2" t="s">
        <v>4040</v>
      </c>
      <c r="T591" s="2" t="s">
        <v>4041</v>
      </c>
      <c r="U591" s="2" t="s">
        <v>74</v>
      </c>
      <c r="V591" s="5" t="n">
        <v>300</v>
      </c>
      <c r="W591" s="2"/>
      <c r="X591" s="2" t="s">
        <v>1536</v>
      </c>
      <c r="Y591" s="5" t="s">
        <v>1537</v>
      </c>
      <c r="Z591" s="2" t="s">
        <v>4042</v>
      </c>
      <c r="AA591" s="6" t="s">
        <v>4043</v>
      </c>
    </row>
    <row r="592" customFormat="false" ht="214.15" hidden="false" customHeight="false" outlineLevel="0" collapsed="false">
      <c r="A592" s="5" t="s">
        <v>4044</v>
      </c>
      <c r="B592" s="2" t="s">
        <v>4045</v>
      </c>
      <c r="C592" s="5" t="s">
        <v>2128</v>
      </c>
      <c r="D592" s="5" t="s">
        <v>60</v>
      </c>
      <c r="E592" s="2" t="s">
        <v>269</v>
      </c>
      <c r="F592" s="5" t="s">
        <v>62</v>
      </c>
      <c r="G592" s="5" t="n">
        <v>5</v>
      </c>
      <c r="H592" s="5" t="s">
        <v>89</v>
      </c>
      <c r="I592" s="5" t="s">
        <v>64</v>
      </c>
      <c r="J592" s="5" t="s">
        <v>65</v>
      </c>
      <c r="K592" s="5" t="s">
        <v>66</v>
      </c>
      <c r="L592" s="2" t="s">
        <v>67</v>
      </c>
      <c r="M592" s="2" t="s">
        <v>3893</v>
      </c>
      <c r="N592" s="2" t="s">
        <v>184</v>
      </c>
      <c r="O592" s="2" t="s">
        <v>1307</v>
      </c>
      <c r="P592" s="2"/>
      <c r="Q592" s="5" t="n">
        <v>1</v>
      </c>
      <c r="R592" s="2" t="s">
        <v>71</v>
      </c>
      <c r="S592" s="2" t="s">
        <v>4046</v>
      </c>
      <c r="T592" s="2" t="s">
        <v>4047</v>
      </c>
      <c r="U592" s="2" t="s">
        <v>74</v>
      </c>
      <c r="V592" s="5" t="n">
        <v>300</v>
      </c>
      <c r="W592" s="2"/>
      <c r="X592" s="2" t="s">
        <v>1310</v>
      </c>
      <c r="Y592" s="5" t="s">
        <v>1311</v>
      </c>
      <c r="Z592" s="2" t="s">
        <v>4048</v>
      </c>
      <c r="AA592" s="6" t="s">
        <v>4049</v>
      </c>
    </row>
    <row r="593" customFormat="false" ht="68.65" hidden="false" customHeight="false" outlineLevel="0" collapsed="false">
      <c r="A593" s="5" t="s">
        <v>4050</v>
      </c>
      <c r="B593" s="2" t="s">
        <v>4051</v>
      </c>
      <c r="C593" s="5" t="s">
        <v>2245</v>
      </c>
      <c r="D593" s="5" t="s">
        <v>60</v>
      </c>
      <c r="E593" s="2" t="s">
        <v>269</v>
      </c>
      <c r="F593" s="5" t="s">
        <v>62</v>
      </c>
      <c r="G593" s="5" t="n">
        <v>5</v>
      </c>
      <c r="H593" s="5" t="s">
        <v>89</v>
      </c>
      <c r="I593" s="5" t="s">
        <v>64</v>
      </c>
      <c r="J593" s="5" t="s">
        <v>65</v>
      </c>
      <c r="K593" s="5" t="s">
        <v>66</v>
      </c>
      <c r="L593" s="2" t="s">
        <v>67</v>
      </c>
      <c r="M593" s="2" t="s">
        <v>4052</v>
      </c>
      <c r="N593" s="2" t="s">
        <v>3499</v>
      </c>
      <c r="O593" s="2" t="s">
        <v>4053</v>
      </c>
      <c r="P593" s="2"/>
      <c r="Q593" s="5" t="n">
        <v>1</v>
      </c>
      <c r="R593" s="2" t="s">
        <v>71</v>
      </c>
      <c r="S593" s="2" t="s">
        <v>4054</v>
      </c>
      <c r="T593" s="2" t="s">
        <v>2081</v>
      </c>
      <c r="U593" s="2" t="s">
        <v>74</v>
      </c>
      <c r="V593" s="5" t="n">
        <v>300</v>
      </c>
      <c r="W593" s="2"/>
      <c r="X593" s="2" t="s">
        <v>4055</v>
      </c>
      <c r="Y593" s="5"/>
      <c r="Z593" s="2" t="s">
        <v>4056</v>
      </c>
      <c r="AA593" s="6" t="s">
        <v>4057</v>
      </c>
    </row>
    <row r="594" customFormat="false" ht="57.45" hidden="false" customHeight="false" outlineLevel="0" collapsed="false">
      <c r="A594" s="5" t="s">
        <v>4058</v>
      </c>
      <c r="B594" s="2" t="s">
        <v>4059</v>
      </c>
      <c r="C594" s="5" t="s">
        <v>2128</v>
      </c>
      <c r="D594" s="5" t="s">
        <v>60</v>
      </c>
      <c r="E594" s="2" t="s">
        <v>161</v>
      </c>
      <c r="F594" s="5" t="s">
        <v>62</v>
      </c>
      <c r="G594" s="5" t="n">
        <v>5</v>
      </c>
      <c r="H594" s="5" t="s">
        <v>89</v>
      </c>
      <c r="I594" s="5" t="s">
        <v>64</v>
      </c>
      <c r="J594" s="5" t="s">
        <v>65</v>
      </c>
      <c r="K594" s="5" t="s">
        <v>66</v>
      </c>
      <c r="L594" s="2" t="s">
        <v>67</v>
      </c>
      <c r="M594" s="2" t="s">
        <v>578</v>
      </c>
      <c r="N594" s="2" t="s">
        <v>367</v>
      </c>
      <c r="O594" s="2" t="s">
        <v>1105</v>
      </c>
      <c r="P594" s="2"/>
      <c r="Q594" s="5" t="n">
        <v>1</v>
      </c>
      <c r="R594" s="2" t="s">
        <v>71</v>
      </c>
      <c r="S594" s="2" t="s">
        <v>4060</v>
      </c>
      <c r="T594" s="2" t="s">
        <v>4061</v>
      </c>
      <c r="U594" s="2" t="s">
        <v>74</v>
      </c>
      <c r="V594" s="5" t="n">
        <v>300</v>
      </c>
      <c r="W594" s="2"/>
      <c r="X594" s="2" t="s">
        <v>1108</v>
      </c>
      <c r="Y594" s="5" t="s">
        <v>309</v>
      </c>
      <c r="Z594" s="2" t="s">
        <v>4062</v>
      </c>
      <c r="AA594" s="6" t="s">
        <v>4063</v>
      </c>
    </row>
    <row r="595" customFormat="false" ht="46.25" hidden="false" customHeight="false" outlineLevel="0" collapsed="false">
      <c r="A595" s="5" t="s">
        <v>4064</v>
      </c>
      <c r="B595" s="2" t="s">
        <v>4065</v>
      </c>
      <c r="C595" s="5" t="s">
        <v>2128</v>
      </c>
      <c r="D595" s="5" t="s">
        <v>60</v>
      </c>
      <c r="E595" s="2" t="s">
        <v>161</v>
      </c>
      <c r="F595" s="5" t="s">
        <v>62</v>
      </c>
      <c r="G595" s="5" t="n">
        <v>7</v>
      </c>
      <c r="H595" s="5" t="s">
        <v>89</v>
      </c>
      <c r="I595" s="5" t="s">
        <v>64</v>
      </c>
      <c r="J595" s="5" t="s">
        <v>65</v>
      </c>
      <c r="K595" s="5" t="s">
        <v>66</v>
      </c>
      <c r="L595" s="2" t="s">
        <v>67</v>
      </c>
      <c r="M595" s="2" t="s">
        <v>578</v>
      </c>
      <c r="N595" s="2" t="s">
        <v>367</v>
      </c>
      <c r="O595" s="2" t="s">
        <v>1105</v>
      </c>
      <c r="P595" s="2"/>
      <c r="Q595" s="5" t="n">
        <v>1</v>
      </c>
      <c r="R595" s="2" t="s">
        <v>71</v>
      </c>
      <c r="S595" s="2" t="s">
        <v>4066</v>
      </c>
      <c r="T595" s="2" t="s">
        <v>1931</v>
      </c>
      <c r="U595" s="2" t="s">
        <v>74</v>
      </c>
      <c r="V595" s="5" t="n">
        <v>300</v>
      </c>
      <c r="W595" s="2"/>
      <c r="X595" s="2" t="s">
        <v>1108</v>
      </c>
      <c r="Y595" s="5" t="s">
        <v>309</v>
      </c>
      <c r="Z595" s="2" t="s">
        <v>4067</v>
      </c>
      <c r="AA595" s="6" t="s">
        <v>4068</v>
      </c>
    </row>
    <row r="596" customFormat="false" ht="68.65" hidden="false" customHeight="false" outlineLevel="0" collapsed="false">
      <c r="A596" s="5" t="s">
        <v>4069</v>
      </c>
      <c r="B596" s="2" t="s">
        <v>4070</v>
      </c>
      <c r="C596" s="5" t="s">
        <v>2245</v>
      </c>
      <c r="D596" s="5" t="s">
        <v>60</v>
      </c>
      <c r="E596" s="2" t="s">
        <v>751</v>
      </c>
      <c r="F596" s="5" t="s">
        <v>62</v>
      </c>
      <c r="G596" s="5" t="n">
        <v>7</v>
      </c>
      <c r="H596" s="5" t="s">
        <v>89</v>
      </c>
      <c r="I596" s="5" t="s">
        <v>64</v>
      </c>
      <c r="J596" s="5" t="s">
        <v>65</v>
      </c>
      <c r="K596" s="5" t="s">
        <v>66</v>
      </c>
      <c r="L596" s="2" t="s">
        <v>413</v>
      </c>
      <c r="M596" s="2" t="s">
        <v>1821</v>
      </c>
      <c r="N596" s="2" t="s">
        <v>3129</v>
      </c>
      <c r="O596" s="2" t="s">
        <v>3130</v>
      </c>
      <c r="P596" s="2"/>
      <c r="Q596" s="5" t="n">
        <v>1</v>
      </c>
      <c r="R596" s="2" t="s">
        <v>71</v>
      </c>
      <c r="S596" s="2" t="s">
        <v>4071</v>
      </c>
      <c r="T596" s="2" t="s">
        <v>3132</v>
      </c>
      <c r="U596" s="2" t="s">
        <v>74</v>
      </c>
      <c r="V596" s="5" t="n">
        <v>300</v>
      </c>
      <c r="W596" s="2"/>
      <c r="X596" s="2" t="s">
        <v>3133</v>
      </c>
      <c r="Y596" s="5" t="s">
        <v>3134</v>
      </c>
      <c r="Z596" s="2" t="s">
        <v>4072</v>
      </c>
      <c r="AA596" s="6" t="s">
        <v>4073</v>
      </c>
    </row>
    <row r="597" customFormat="false" ht="68.65" hidden="false" customHeight="false" outlineLevel="0" collapsed="false">
      <c r="A597" s="5" t="s">
        <v>4074</v>
      </c>
      <c r="B597" s="2" t="s">
        <v>4075</v>
      </c>
      <c r="C597" s="5" t="s">
        <v>2245</v>
      </c>
      <c r="D597" s="5" t="s">
        <v>60</v>
      </c>
      <c r="E597" s="2" t="s">
        <v>161</v>
      </c>
      <c r="F597" s="5" t="s">
        <v>62</v>
      </c>
      <c r="G597" s="5" t="n">
        <v>5</v>
      </c>
      <c r="H597" s="5" t="s">
        <v>89</v>
      </c>
      <c r="I597" s="5" t="s">
        <v>64</v>
      </c>
      <c r="J597" s="5" t="s">
        <v>65</v>
      </c>
      <c r="K597" s="5" t="s">
        <v>66</v>
      </c>
      <c r="L597" s="2" t="s">
        <v>90</v>
      </c>
      <c r="M597" s="2" t="s">
        <v>163</v>
      </c>
      <c r="N597" s="2" t="s">
        <v>3129</v>
      </c>
      <c r="O597" s="2" t="s">
        <v>3130</v>
      </c>
      <c r="P597" s="2"/>
      <c r="Q597" s="5" t="n">
        <v>1</v>
      </c>
      <c r="R597" s="2" t="s">
        <v>71</v>
      </c>
      <c r="S597" s="2" t="s">
        <v>4076</v>
      </c>
      <c r="T597" s="2" t="s">
        <v>3132</v>
      </c>
      <c r="U597" s="2" t="s">
        <v>74</v>
      </c>
      <c r="V597" s="5" t="n">
        <v>300</v>
      </c>
      <c r="W597" s="2"/>
      <c r="X597" s="2" t="s">
        <v>3133</v>
      </c>
      <c r="Y597" s="5" t="s">
        <v>3134</v>
      </c>
      <c r="Z597" s="2" t="s">
        <v>4077</v>
      </c>
      <c r="AA597" s="6" t="s">
        <v>4078</v>
      </c>
    </row>
    <row r="598" customFormat="false" ht="68.65" hidden="false" customHeight="false" outlineLevel="0" collapsed="false">
      <c r="A598" s="5" t="s">
        <v>4079</v>
      </c>
      <c r="B598" s="2" t="s">
        <v>4080</v>
      </c>
      <c r="C598" s="5" t="s">
        <v>2245</v>
      </c>
      <c r="D598" s="5" t="s">
        <v>60</v>
      </c>
      <c r="E598" s="2" t="s">
        <v>948</v>
      </c>
      <c r="F598" s="5" t="s">
        <v>62</v>
      </c>
      <c r="G598" s="5" t="n">
        <v>7</v>
      </c>
      <c r="H598" s="5" t="s">
        <v>89</v>
      </c>
      <c r="I598" s="5" t="s">
        <v>64</v>
      </c>
      <c r="J598" s="5" t="s">
        <v>65</v>
      </c>
      <c r="K598" s="5" t="s">
        <v>66</v>
      </c>
      <c r="L598" s="2" t="s">
        <v>100</v>
      </c>
      <c r="M598" s="2" t="s">
        <v>1248</v>
      </c>
      <c r="N598" s="2" t="s">
        <v>3129</v>
      </c>
      <c r="O598" s="2" t="s">
        <v>3130</v>
      </c>
      <c r="P598" s="2"/>
      <c r="Q598" s="5" t="n">
        <v>1</v>
      </c>
      <c r="R598" s="2" t="s">
        <v>71</v>
      </c>
      <c r="S598" s="2" t="s">
        <v>4081</v>
      </c>
      <c r="T598" s="2" t="s">
        <v>3132</v>
      </c>
      <c r="U598" s="2" t="s">
        <v>74</v>
      </c>
      <c r="V598" s="5" t="n">
        <v>300</v>
      </c>
      <c r="W598" s="2"/>
      <c r="X598" s="2" t="s">
        <v>3133</v>
      </c>
      <c r="Y598" s="5" t="s">
        <v>3134</v>
      </c>
      <c r="Z598" s="2" t="s">
        <v>4082</v>
      </c>
      <c r="AA598" s="6" t="s">
        <v>4083</v>
      </c>
    </row>
    <row r="599" customFormat="false" ht="68.65" hidden="false" customHeight="false" outlineLevel="0" collapsed="false">
      <c r="A599" s="5" t="s">
        <v>4084</v>
      </c>
      <c r="B599" s="2" t="s">
        <v>4085</v>
      </c>
      <c r="C599" s="5" t="s">
        <v>2245</v>
      </c>
      <c r="D599" s="5" t="s">
        <v>60</v>
      </c>
      <c r="E599" s="2" t="s">
        <v>269</v>
      </c>
      <c r="F599" s="5" t="s">
        <v>62</v>
      </c>
      <c r="G599" s="5" t="n">
        <v>7</v>
      </c>
      <c r="H599" s="5" t="s">
        <v>89</v>
      </c>
      <c r="I599" s="5" t="s">
        <v>64</v>
      </c>
      <c r="J599" s="5" t="s">
        <v>65</v>
      </c>
      <c r="K599" s="5" t="s">
        <v>66</v>
      </c>
      <c r="L599" s="2" t="s">
        <v>413</v>
      </c>
      <c r="M599" s="2" t="s">
        <v>414</v>
      </c>
      <c r="N599" s="2" t="s">
        <v>3499</v>
      </c>
      <c r="O599" s="2" t="s">
        <v>1198</v>
      </c>
      <c r="P599" s="2"/>
      <c r="Q599" s="5" t="n">
        <v>1</v>
      </c>
      <c r="R599" s="2" t="s">
        <v>71</v>
      </c>
      <c r="S599" s="2" t="s">
        <v>4086</v>
      </c>
      <c r="T599" s="2" t="s">
        <v>1200</v>
      </c>
      <c r="U599" s="2" t="s">
        <v>74</v>
      </c>
      <c r="V599" s="5" t="n">
        <v>300</v>
      </c>
      <c r="W599" s="2"/>
      <c r="X599" s="2" t="s">
        <v>1201</v>
      </c>
      <c r="Y599" s="5"/>
      <c r="Z599" s="2" t="s">
        <v>4087</v>
      </c>
      <c r="AA599" s="6" t="s">
        <v>4088</v>
      </c>
    </row>
    <row r="600" customFormat="false" ht="68.65" hidden="false" customHeight="false" outlineLevel="0" collapsed="false">
      <c r="A600" s="5" t="s">
        <v>4089</v>
      </c>
      <c r="B600" s="2" t="s">
        <v>4090</v>
      </c>
      <c r="C600" s="5" t="s">
        <v>2245</v>
      </c>
      <c r="D600" s="5" t="s">
        <v>60</v>
      </c>
      <c r="E600" s="2" t="s">
        <v>161</v>
      </c>
      <c r="F600" s="5" t="s">
        <v>62</v>
      </c>
      <c r="G600" s="5" t="n">
        <v>7</v>
      </c>
      <c r="H600" s="5" t="s">
        <v>89</v>
      </c>
      <c r="I600" s="5" t="s">
        <v>64</v>
      </c>
      <c r="J600" s="5" t="s">
        <v>65</v>
      </c>
      <c r="K600" s="5" t="s">
        <v>66</v>
      </c>
      <c r="L600" s="2" t="s">
        <v>67</v>
      </c>
      <c r="M600" s="2" t="s">
        <v>578</v>
      </c>
      <c r="N600" s="2" t="s">
        <v>3232</v>
      </c>
      <c r="O600" s="2" t="s">
        <v>1105</v>
      </c>
      <c r="P600" s="2"/>
      <c r="Q600" s="5" t="n">
        <v>1</v>
      </c>
      <c r="R600" s="2" t="s">
        <v>71</v>
      </c>
      <c r="S600" s="2" t="s">
        <v>4091</v>
      </c>
      <c r="T600" s="2" t="s">
        <v>1176</v>
      </c>
      <c r="U600" s="2" t="s">
        <v>74</v>
      </c>
      <c r="V600" s="5" t="n">
        <v>300</v>
      </c>
      <c r="W600" s="2"/>
      <c r="X600" s="2" t="s">
        <v>1108</v>
      </c>
      <c r="Y600" s="5" t="s">
        <v>309</v>
      </c>
      <c r="Z600" s="2" t="s">
        <v>4092</v>
      </c>
      <c r="AA600" s="6" t="s">
        <v>4093</v>
      </c>
    </row>
    <row r="601" customFormat="false" ht="57.45" hidden="false" customHeight="false" outlineLevel="0" collapsed="false">
      <c r="A601" s="5" t="s">
        <v>4094</v>
      </c>
      <c r="B601" s="2" t="s">
        <v>4095</v>
      </c>
      <c r="C601" s="5" t="s">
        <v>2128</v>
      </c>
      <c r="D601" s="5" t="s">
        <v>60</v>
      </c>
      <c r="E601" s="2" t="s">
        <v>269</v>
      </c>
      <c r="F601" s="5" t="s">
        <v>62</v>
      </c>
      <c r="G601" s="5" t="n">
        <v>5</v>
      </c>
      <c r="H601" s="5" t="s">
        <v>89</v>
      </c>
      <c r="I601" s="5" t="s">
        <v>64</v>
      </c>
      <c r="J601" s="5" t="s">
        <v>65</v>
      </c>
      <c r="K601" s="5" t="s">
        <v>66</v>
      </c>
      <c r="L601" s="2" t="s">
        <v>1210</v>
      </c>
      <c r="M601" s="2" t="s">
        <v>4096</v>
      </c>
      <c r="N601" s="2" t="s">
        <v>184</v>
      </c>
      <c r="O601" s="2" t="s">
        <v>4097</v>
      </c>
      <c r="P601" s="2"/>
      <c r="Q601" s="5" t="n">
        <v>1</v>
      </c>
      <c r="R601" s="2" t="s">
        <v>71</v>
      </c>
      <c r="S601" s="2" t="s">
        <v>4098</v>
      </c>
      <c r="T601" s="2" t="s">
        <v>2081</v>
      </c>
      <c r="U601" s="2" t="s">
        <v>74</v>
      </c>
      <c r="V601" s="5" t="n">
        <v>300</v>
      </c>
      <c r="W601" s="2"/>
      <c r="X601" s="2" t="s">
        <v>4099</v>
      </c>
      <c r="Y601" s="5"/>
      <c r="Z601" s="2" t="s">
        <v>4100</v>
      </c>
      <c r="AA601" s="6" t="s">
        <v>4101</v>
      </c>
    </row>
    <row r="602" customFormat="false" ht="57.45" hidden="false" customHeight="false" outlineLevel="0" collapsed="false">
      <c r="A602" s="5" t="s">
        <v>4102</v>
      </c>
      <c r="B602" s="2" t="s">
        <v>4103</v>
      </c>
      <c r="C602" s="5" t="s">
        <v>2128</v>
      </c>
      <c r="D602" s="5" t="s">
        <v>60</v>
      </c>
      <c r="E602" s="2" t="s">
        <v>4104</v>
      </c>
      <c r="F602" s="5" t="s">
        <v>62</v>
      </c>
      <c r="G602" s="5" t="n">
        <v>7</v>
      </c>
      <c r="H602" s="5" t="s">
        <v>89</v>
      </c>
      <c r="I602" s="5" t="s">
        <v>64</v>
      </c>
      <c r="J602" s="5" t="s">
        <v>65</v>
      </c>
      <c r="K602" s="5" t="s">
        <v>66</v>
      </c>
      <c r="L602" s="2" t="s">
        <v>2079</v>
      </c>
      <c r="M602" s="2" t="s">
        <v>3139</v>
      </c>
      <c r="N602" s="2" t="s">
        <v>184</v>
      </c>
      <c r="O602" s="2" t="s">
        <v>1612</v>
      </c>
      <c r="P602" s="2"/>
      <c r="Q602" s="5" t="n">
        <v>1</v>
      </c>
      <c r="R602" s="2" t="s">
        <v>71</v>
      </c>
      <c r="S602" s="2" t="s">
        <v>4105</v>
      </c>
      <c r="T602" s="2" t="s">
        <v>1614</v>
      </c>
      <c r="U602" s="2" t="s">
        <v>74</v>
      </c>
      <c r="V602" s="5" t="n">
        <v>300</v>
      </c>
      <c r="W602" s="2"/>
      <c r="X602" s="2" t="s">
        <v>1615</v>
      </c>
      <c r="Y602" s="5"/>
      <c r="Z602" s="2" t="s">
        <v>4106</v>
      </c>
      <c r="AA602" s="6" t="s">
        <v>4107</v>
      </c>
    </row>
    <row r="603" customFormat="false" ht="113.4" hidden="false" customHeight="false" outlineLevel="0" collapsed="false">
      <c r="A603" s="5" t="s">
        <v>4108</v>
      </c>
      <c r="B603" s="2" t="s">
        <v>4109</v>
      </c>
      <c r="C603" s="5" t="s">
        <v>2245</v>
      </c>
      <c r="D603" s="5" t="s">
        <v>60</v>
      </c>
      <c r="E603" s="2" t="s">
        <v>751</v>
      </c>
      <c r="F603" s="5" t="s">
        <v>490</v>
      </c>
      <c r="G603" s="5" t="n">
        <v>5</v>
      </c>
      <c r="H603" s="5" t="s">
        <v>89</v>
      </c>
      <c r="I603" s="5" t="s">
        <v>64</v>
      </c>
      <c r="J603" s="5" t="s">
        <v>65</v>
      </c>
      <c r="K603" s="5" t="s">
        <v>66</v>
      </c>
      <c r="L603" s="2" t="s">
        <v>277</v>
      </c>
      <c r="M603" s="2" t="s">
        <v>278</v>
      </c>
      <c r="N603" s="2" t="s">
        <v>3232</v>
      </c>
      <c r="O603" s="2" t="s">
        <v>1105</v>
      </c>
      <c r="P603" s="2"/>
      <c r="Q603" s="5" t="n">
        <v>1</v>
      </c>
      <c r="R603" s="2" t="s">
        <v>71</v>
      </c>
      <c r="S603" s="2" t="s">
        <v>4110</v>
      </c>
      <c r="T603" s="2" t="s">
        <v>4111</v>
      </c>
      <c r="U603" s="2" t="s">
        <v>74</v>
      </c>
      <c r="V603" s="5" t="n">
        <v>300</v>
      </c>
      <c r="W603" s="2"/>
      <c r="X603" s="2" t="s">
        <v>1108</v>
      </c>
      <c r="Y603" s="5" t="s">
        <v>309</v>
      </c>
      <c r="Z603" s="2" t="s">
        <v>4112</v>
      </c>
      <c r="AA603" s="6" t="s">
        <v>4113</v>
      </c>
    </row>
    <row r="604" customFormat="false" ht="258.95" hidden="false" customHeight="false" outlineLevel="0" collapsed="false">
      <c r="A604" s="5" t="s">
        <v>4114</v>
      </c>
      <c r="B604" s="2" t="s">
        <v>4115</v>
      </c>
      <c r="C604" s="5" t="s">
        <v>2245</v>
      </c>
      <c r="D604" s="5" t="s">
        <v>60</v>
      </c>
      <c r="E604" s="2" t="s">
        <v>751</v>
      </c>
      <c r="F604" s="5" t="s">
        <v>62</v>
      </c>
      <c r="G604" s="5" t="n">
        <v>7</v>
      </c>
      <c r="H604" s="5" t="s">
        <v>89</v>
      </c>
      <c r="I604" s="5" t="s">
        <v>64</v>
      </c>
      <c r="J604" s="5" t="s">
        <v>65</v>
      </c>
      <c r="K604" s="5" t="s">
        <v>66</v>
      </c>
      <c r="L604" s="2" t="s">
        <v>90</v>
      </c>
      <c r="M604" s="2"/>
      <c r="N604" s="2" t="s">
        <v>3232</v>
      </c>
      <c r="O604" s="2" t="s">
        <v>1105</v>
      </c>
      <c r="P604" s="2"/>
      <c r="Q604" s="5" t="n">
        <v>1</v>
      </c>
      <c r="R604" s="2" t="s">
        <v>71</v>
      </c>
      <c r="S604" s="2" t="s">
        <v>4116</v>
      </c>
      <c r="T604" s="2" t="s">
        <v>4117</v>
      </c>
      <c r="U604" s="2" t="s">
        <v>74</v>
      </c>
      <c r="V604" s="5" t="n">
        <v>300</v>
      </c>
      <c r="W604" s="2"/>
      <c r="X604" s="2" t="s">
        <v>1108</v>
      </c>
      <c r="Y604" s="5" t="s">
        <v>309</v>
      </c>
      <c r="Z604" s="2" t="s">
        <v>4118</v>
      </c>
      <c r="AA604" s="6" t="s">
        <v>4119</v>
      </c>
    </row>
    <row r="605" customFormat="false" ht="68.65" hidden="false" customHeight="false" outlineLevel="0" collapsed="false">
      <c r="A605" s="5" t="s">
        <v>4120</v>
      </c>
      <c r="B605" s="2" t="s">
        <v>4121</v>
      </c>
      <c r="C605" s="5" t="s">
        <v>2128</v>
      </c>
      <c r="D605" s="5" t="s">
        <v>60</v>
      </c>
      <c r="E605" s="2" t="s">
        <v>751</v>
      </c>
      <c r="F605" s="5" t="s">
        <v>62</v>
      </c>
      <c r="G605" s="5" t="n">
        <v>7</v>
      </c>
      <c r="H605" s="5" t="s">
        <v>89</v>
      </c>
      <c r="I605" s="5" t="s">
        <v>64</v>
      </c>
      <c r="J605" s="5" t="s">
        <v>65</v>
      </c>
      <c r="K605" s="5" t="s">
        <v>66</v>
      </c>
      <c r="L605" s="2" t="s">
        <v>277</v>
      </c>
      <c r="M605" s="2" t="s">
        <v>278</v>
      </c>
      <c r="N605" s="2" t="s">
        <v>367</v>
      </c>
      <c r="O605" s="2" t="s">
        <v>1105</v>
      </c>
      <c r="P605" s="2"/>
      <c r="Q605" s="5" t="n">
        <v>1</v>
      </c>
      <c r="R605" s="2" t="s">
        <v>71</v>
      </c>
      <c r="S605" s="2" t="s">
        <v>4122</v>
      </c>
      <c r="T605" s="2" t="s">
        <v>1139</v>
      </c>
      <c r="U605" s="2" t="s">
        <v>74</v>
      </c>
      <c r="V605" s="5" t="n">
        <v>300</v>
      </c>
      <c r="W605" s="2"/>
      <c r="X605" s="2" t="s">
        <v>1108</v>
      </c>
      <c r="Y605" s="5" t="s">
        <v>309</v>
      </c>
      <c r="Z605" s="2" t="s">
        <v>4123</v>
      </c>
      <c r="AA605" s="6" t="s">
        <v>4124</v>
      </c>
    </row>
    <row r="606" customFormat="false" ht="46.25" hidden="false" customHeight="false" outlineLevel="0" collapsed="false">
      <c r="A606" s="5" t="s">
        <v>4125</v>
      </c>
      <c r="B606" s="2" t="s">
        <v>4126</v>
      </c>
      <c r="C606" s="5" t="s">
        <v>2128</v>
      </c>
      <c r="D606" s="5" t="s">
        <v>60</v>
      </c>
      <c r="E606" s="2" t="s">
        <v>2078</v>
      </c>
      <c r="F606" s="5" t="s">
        <v>62</v>
      </c>
      <c r="G606" s="5" t="n">
        <v>7</v>
      </c>
      <c r="H606" s="5" t="s">
        <v>89</v>
      </c>
      <c r="I606" s="5" t="s">
        <v>64</v>
      </c>
      <c r="J606" s="5" t="s">
        <v>65</v>
      </c>
      <c r="K606" s="5" t="s">
        <v>66</v>
      </c>
      <c r="L606" s="2" t="s">
        <v>2079</v>
      </c>
      <c r="M606" s="2" t="s">
        <v>3415</v>
      </c>
      <c r="N606" s="2" t="s">
        <v>184</v>
      </c>
      <c r="O606" s="2" t="s">
        <v>1533</v>
      </c>
      <c r="P606" s="2"/>
      <c r="Q606" s="5" t="n">
        <v>1</v>
      </c>
      <c r="R606" s="2" t="s">
        <v>71</v>
      </c>
      <c r="S606" s="2" t="s">
        <v>4127</v>
      </c>
      <c r="T606" s="2" t="s">
        <v>3525</v>
      </c>
      <c r="U606" s="2" t="s">
        <v>74</v>
      </c>
      <c r="V606" s="5" t="n">
        <v>300</v>
      </c>
      <c r="W606" s="2"/>
      <c r="X606" s="2" t="s">
        <v>1536</v>
      </c>
      <c r="Y606" s="5" t="s">
        <v>1537</v>
      </c>
      <c r="Z606" s="2" t="s">
        <v>4128</v>
      </c>
      <c r="AA606" s="6" t="s">
        <v>4129</v>
      </c>
    </row>
    <row r="607" customFormat="false" ht="68.65" hidden="false" customHeight="false" outlineLevel="0" collapsed="false">
      <c r="A607" s="5" t="s">
        <v>4130</v>
      </c>
      <c r="B607" s="2" t="s">
        <v>4131</v>
      </c>
      <c r="C607" s="5" t="s">
        <v>2128</v>
      </c>
      <c r="D607" s="5" t="s">
        <v>60</v>
      </c>
      <c r="E607" s="2" t="s">
        <v>269</v>
      </c>
      <c r="F607" s="5" t="s">
        <v>62</v>
      </c>
      <c r="G607" s="5" t="n">
        <v>7</v>
      </c>
      <c r="H607" s="5" t="s">
        <v>89</v>
      </c>
      <c r="I607" s="5" t="s">
        <v>64</v>
      </c>
      <c r="J607" s="5" t="s">
        <v>65</v>
      </c>
      <c r="K607" s="5" t="s">
        <v>66</v>
      </c>
      <c r="L607" s="2" t="s">
        <v>1814</v>
      </c>
      <c r="M607" s="2" t="s">
        <v>4132</v>
      </c>
      <c r="N607" s="2" t="s">
        <v>184</v>
      </c>
      <c r="O607" s="2" t="s">
        <v>4133</v>
      </c>
      <c r="P607" s="2"/>
      <c r="Q607" s="5" t="n">
        <v>1</v>
      </c>
      <c r="R607" s="2" t="s">
        <v>71</v>
      </c>
      <c r="S607" s="2" t="s">
        <v>4134</v>
      </c>
      <c r="T607" s="2" t="s">
        <v>4135</v>
      </c>
      <c r="U607" s="2" t="s">
        <v>74</v>
      </c>
      <c r="V607" s="5" t="n">
        <v>300</v>
      </c>
      <c r="W607" s="2"/>
      <c r="X607" s="2" t="s">
        <v>4136</v>
      </c>
      <c r="Y607" s="5"/>
      <c r="Z607" s="2" t="s">
        <v>4137</v>
      </c>
      <c r="AA607" s="6" t="s">
        <v>4138</v>
      </c>
    </row>
    <row r="608" customFormat="false" ht="46.25" hidden="false" customHeight="false" outlineLevel="0" collapsed="false">
      <c r="A608" s="5" t="s">
        <v>4139</v>
      </c>
      <c r="B608" s="2" t="s">
        <v>4140</v>
      </c>
      <c r="C608" s="5" t="s">
        <v>2128</v>
      </c>
      <c r="D608" s="5" t="s">
        <v>60</v>
      </c>
      <c r="E608" s="2" t="s">
        <v>276</v>
      </c>
      <c r="F608" s="5" t="s">
        <v>62</v>
      </c>
      <c r="G608" s="5" t="n">
        <v>7</v>
      </c>
      <c r="H608" s="5" t="s">
        <v>89</v>
      </c>
      <c r="I608" s="5" t="s">
        <v>64</v>
      </c>
      <c r="J608" s="5" t="s">
        <v>65</v>
      </c>
      <c r="K608" s="5" t="s">
        <v>66</v>
      </c>
      <c r="L608" s="2" t="s">
        <v>277</v>
      </c>
      <c r="M608" s="2" t="s">
        <v>278</v>
      </c>
      <c r="N608" s="2" t="s">
        <v>184</v>
      </c>
      <c r="O608" s="2" t="s">
        <v>3203</v>
      </c>
      <c r="P608" s="2"/>
      <c r="Q608" s="5" t="n">
        <v>1</v>
      </c>
      <c r="R608" s="2" t="s">
        <v>71</v>
      </c>
      <c r="S608" s="2" t="s">
        <v>4141</v>
      </c>
      <c r="T608" s="2" t="s">
        <v>1237</v>
      </c>
      <c r="U608" s="2" t="s">
        <v>74</v>
      </c>
      <c r="V608" s="5" t="n">
        <v>300</v>
      </c>
      <c r="W608" s="2"/>
      <c r="X608" s="2" t="s">
        <v>3206</v>
      </c>
      <c r="Y608" s="5"/>
      <c r="Z608" s="2" t="s">
        <v>4142</v>
      </c>
      <c r="AA608" s="6" t="s">
        <v>4143</v>
      </c>
    </row>
    <row r="609" customFormat="false" ht="91" hidden="false" customHeight="false" outlineLevel="0" collapsed="false">
      <c r="A609" s="5" t="s">
        <v>4144</v>
      </c>
      <c r="B609" s="2" t="s">
        <v>4145</v>
      </c>
      <c r="C609" s="5" t="s">
        <v>2245</v>
      </c>
      <c r="D609" s="5" t="s">
        <v>60</v>
      </c>
      <c r="E609" s="2" t="s">
        <v>161</v>
      </c>
      <c r="F609" s="5" t="s">
        <v>62</v>
      </c>
      <c r="G609" s="5" t="n">
        <v>5</v>
      </c>
      <c r="H609" s="5" t="s">
        <v>89</v>
      </c>
      <c r="I609" s="5" t="s">
        <v>64</v>
      </c>
      <c r="J609" s="5" t="s">
        <v>65</v>
      </c>
      <c r="K609" s="5" t="s">
        <v>66</v>
      </c>
      <c r="L609" s="2" t="s">
        <v>67</v>
      </c>
      <c r="M609" s="2" t="s">
        <v>578</v>
      </c>
      <c r="N609" s="2" t="s">
        <v>3232</v>
      </c>
      <c r="O609" s="2" t="s">
        <v>1105</v>
      </c>
      <c r="P609" s="2"/>
      <c r="Q609" s="5" t="n">
        <v>1</v>
      </c>
      <c r="R609" s="2" t="s">
        <v>71</v>
      </c>
      <c r="S609" s="2" t="s">
        <v>4146</v>
      </c>
      <c r="T609" s="2" t="s">
        <v>1176</v>
      </c>
      <c r="U609" s="2" t="s">
        <v>74</v>
      </c>
      <c r="V609" s="5" t="n">
        <v>300</v>
      </c>
      <c r="W609" s="2"/>
      <c r="X609" s="2" t="s">
        <v>1108</v>
      </c>
      <c r="Y609" s="5" t="s">
        <v>309</v>
      </c>
      <c r="Z609" s="2" t="s">
        <v>4147</v>
      </c>
      <c r="AA609" s="6" t="s">
        <v>4148</v>
      </c>
    </row>
    <row r="610" customFormat="false" ht="91" hidden="false" customHeight="false" outlineLevel="0" collapsed="false">
      <c r="A610" s="5" t="s">
        <v>4149</v>
      </c>
      <c r="B610" s="2" t="s">
        <v>4150</v>
      </c>
      <c r="C610" s="5" t="s">
        <v>2245</v>
      </c>
      <c r="D610" s="5" t="s">
        <v>60</v>
      </c>
      <c r="E610" s="2" t="s">
        <v>2591</v>
      </c>
      <c r="F610" s="5" t="s">
        <v>62</v>
      </c>
      <c r="G610" s="5" t="n">
        <v>5</v>
      </c>
      <c r="H610" s="5" t="s">
        <v>89</v>
      </c>
      <c r="I610" s="5" t="s">
        <v>64</v>
      </c>
      <c r="J610" s="5" t="s">
        <v>65</v>
      </c>
      <c r="K610" s="5" t="s">
        <v>66</v>
      </c>
      <c r="L610" s="2" t="s">
        <v>90</v>
      </c>
      <c r="M610" s="2"/>
      <c r="N610" s="2" t="s">
        <v>3232</v>
      </c>
      <c r="O610" s="2" t="s">
        <v>1105</v>
      </c>
      <c r="P610" s="2"/>
      <c r="Q610" s="5" t="n">
        <v>1</v>
      </c>
      <c r="R610" s="2" t="s">
        <v>71</v>
      </c>
      <c r="S610" s="2" t="s">
        <v>4151</v>
      </c>
      <c r="T610" s="2" t="s">
        <v>1931</v>
      </c>
      <c r="U610" s="2" t="s">
        <v>74</v>
      </c>
      <c r="V610" s="5" t="n">
        <v>300</v>
      </c>
      <c r="W610" s="2"/>
      <c r="X610" s="2" t="s">
        <v>1108</v>
      </c>
      <c r="Y610" s="5" t="s">
        <v>309</v>
      </c>
      <c r="Z610" s="2" t="s">
        <v>4152</v>
      </c>
      <c r="AA610" s="6" t="s">
        <v>4153</v>
      </c>
    </row>
    <row r="611" customFormat="false" ht="79.85" hidden="false" customHeight="false" outlineLevel="0" collapsed="false">
      <c r="A611" s="5" t="s">
        <v>4154</v>
      </c>
      <c r="B611" s="2" t="s">
        <v>4155</v>
      </c>
      <c r="C611" s="5" t="s">
        <v>2128</v>
      </c>
      <c r="D611" s="5" t="s">
        <v>60</v>
      </c>
      <c r="E611" s="2" t="s">
        <v>269</v>
      </c>
      <c r="F611" s="5" t="s">
        <v>62</v>
      </c>
      <c r="G611" s="5" t="n">
        <v>5</v>
      </c>
      <c r="H611" s="5" t="s">
        <v>89</v>
      </c>
      <c r="I611" s="5" t="s">
        <v>64</v>
      </c>
      <c r="J611" s="5" t="s">
        <v>65</v>
      </c>
      <c r="K611" s="5" t="s">
        <v>66</v>
      </c>
      <c r="L611" s="2" t="s">
        <v>413</v>
      </c>
      <c r="M611" s="2" t="s">
        <v>414</v>
      </c>
      <c r="N611" s="2" t="s">
        <v>184</v>
      </c>
      <c r="O611" s="2" t="s">
        <v>1198</v>
      </c>
      <c r="P611" s="2"/>
      <c r="Q611" s="5" t="n">
        <v>1</v>
      </c>
      <c r="R611" s="2" t="s">
        <v>71</v>
      </c>
      <c r="S611" s="2" t="s">
        <v>4156</v>
      </c>
      <c r="T611" s="2" t="s">
        <v>3817</v>
      </c>
      <c r="U611" s="2" t="s">
        <v>74</v>
      </c>
      <c r="V611" s="5" t="n">
        <v>300</v>
      </c>
      <c r="W611" s="2"/>
      <c r="X611" s="2" t="s">
        <v>1201</v>
      </c>
      <c r="Y611" s="5"/>
      <c r="Z611" s="2" t="s">
        <v>4157</v>
      </c>
      <c r="AA611" s="6" t="s">
        <v>4158</v>
      </c>
    </row>
    <row r="612" customFormat="false" ht="102.2" hidden="false" customHeight="false" outlineLevel="0" collapsed="false">
      <c r="A612" s="5" t="s">
        <v>4159</v>
      </c>
      <c r="B612" s="2" t="s">
        <v>4160</v>
      </c>
      <c r="C612" s="5" t="s">
        <v>2128</v>
      </c>
      <c r="D612" s="5" t="s">
        <v>60</v>
      </c>
      <c r="E612" s="2" t="s">
        <v>4161</v>
      </c>
      <c r="F612" s="5" t="s">
        <v>62</v>
      </c>
      <c r="G612" s="5" t="n">
        <v>9</v>
      </c>
      <c r="H612" s="5" t="s">
        <v>63</v>
      </c>
      <c r="I612" s="5" t="s">
        <v>64</v>
      </c>
      <c r="J612" s="5" t="s">
        <v>65</v>
      </c>
      <c r="K612" s="5" t="s">
        <v>66</v>
      </c>
      <c r="L612" s="2" t="s">
        <v>2079</v>
      </c>
      <c r="M612" s="2" t="s">
        <v>4162</v>
      </c>
      <c r="N612" s="2" t="s">
        <v>4163</v>
      </c>
      <c r="O612" s="2" t="s">
        <v>4164</v>
      </c>
      <c r="P612" s="2"/>
      <c r="Q612" s="5" t="n">
        <v>1</v>
      </c>
      <c r="R612" s="2" t="s">
        <v>4165</v>
      </c>
      <c r="S612" s="2" t="s">
        <v>4166</v>
      </c>
      <c r="T612" s="2" t="s">
        <v>688</v>
      </c>
      <c r="U612" s="2" t="s">
        <v>74</v>
      </c>
      <c r="V612" s="5" t="n">
        <v>600</v>
      </c>
      <c r="W612" s="2"/>
      <c r="X612" s="2" t="s">
        <v>4167</v>
      </c>
      <c r="Y612" s="5"/>
      <c r="Z612" s="2" t="s">
        <v>4168</v>
      </c>
      <c r="AA612" s="6" t="s">
        <v>4169</v>
      </c>
    </row>
    <row r="613" customFormat="false" ht="57.45" hidden="false" customHeight="false" outlineLevel="0" collapsed="false">
      <c r="A613" s="5" t="s">
        <v>4170</v>
      </c>
      <c r="B613" s="2" t="s">
        <v>4171</v>
      </c>
      <c r="C613" s="5" t="s">
        <v>2128</v>
      </c>
      <c r="D613" s="5" t="s">
        <v>60</v>
      </c>
      <c r="E613" s="2" t="s">
        <v>2754</v>
      </c>
      <c r="F613" s="5" t="s">
        <v>62</v>
      </c>
      <c r="G613" s="5" t="n">
        <v>5</v>
      </c>
      <c r="H613" s="5" t="s">
        <v>89</v>
      </c>
      <c r="I613" s="5" t="s">
        <v>64</v>
      </c>
      <c r="J613" s="5" t="s">
        <v>65</v>
      </c>
      <c r="K613" s="5" t="s">
        <v>66</v>
      </c>
      <c r="L613" s="2" t="s">
        <v>1814</v>
      </c>
      <c r="M613" s="2" t="s">
        <v>3372</v>
      </c>
      <c r="N613" s="2" t="s">
        <v>367</v>
      </c>
      <c r="O613" s="2" t="s">
        <v>1105</v>
      </c>
      <c r="P613" s="2"/>
      <c r="Q613" s="5" t="n">
        <v>1</v>
      </c>
      <c r="R613" s="2" t="s">
        <v>71</v>
      </c>
      <c r="S613" s="2" t="s">
        <v>4172</v>
      </c>
      <c r="T613" s="2" t="s">
        <v>1953</v>
      </c>
      <c r="U613" s="2" t="s">
        <v>74</v>
      </c>
      <c r="V613" s="5" t="n">
        <v>300</v>
      </c>
      <c r="W613" s="2"/>
      <c r="X613" s="2" t="s">
        <v>1108</v>
      </c>
      <c r="Y613" s="5" t="s">
        <v>309</v>
      </c>
      <c r="Z613" s="2" t="s">
        <v>4173</v>
      </c>
      <c r="AA613" s="6" t="s">
        <v>4174</v>
      </c>
    </row>
    <row r="614" customFormat="false" ht="46.25" hidden="false" customHeight="false" outlineLevel="0" collapsed="false">
      <c r="A614" s="5" t="s">
        <v>4175</v>
      </c>
      <c r="B614" s="2" t="s">
        <v>4176</v>
      </c>
      <c r="C614" s="5" t="s">
        <v>2128</v>
      </c>
      <c r="D614" s="5" t="s">
        <v>60</v>
      </c>
      <c r="E614" s="2" t="s">
        <v>269</v>
      </c>
      <c r="F614" s="5" t="s">
        <v>62</v>
      </c>
      <c r="G614" s="5" t="n">
        <v>7</v>
      </c>
      <c r="H614" s="5" t="s">
        <v>89</v>
      </c>
      <c r="I614" s="5" t="s">
        <v>64</v>
      </c>
      <c r="J614" s="5" t="s">
        <v>65</v>
      </c>
      <c r="K614" s="5" t="s">
        <v>66</v>
      </c>
      <c r="L614" s="2" t="s">
        <v>413</v>
      </c>
      <c r="M614" s="2" t="s">
        <v>1821</v>
      </c>
      <c r="N614" s="2" t="s">
        <v>184</v>
      </c>
      <c r="O614" s="2" t="s">
        <v>4133</v>
      </c>
      <c r="P614" s="2"/>
      <c r="Q614" s="5" t="n">
        <v>1</v>
      </c>
      <c r="R614" s="2" t="s">
        <v>71</v>
      </c>
      <c r="S614" s="2" t="s">
        <v>4177</v>
      </c>
      <c r="T614" s="2" t="s">
        <v>4178</v>
      </c>
      <c r="U614" s="2" t="s">
        <v>74</v>
      </c>
      <c r="V614" s="5" t="n">
        <v>300</v>
      </c>
      <c r="W614" s="2"/>
      <c r="X614" s="2" t="s">
        <v>4136</v>
      </c>
      <c r="Y614" s="5"/>
      <c r="Z614" s="2" t="s">
        <v>4179</v>
      </c>
      <c r="AA614" s="6" t="s">
        <v>4180</v>
      </c>
    </row>
    <row r="615" customFormat="false" ht="46.25" hidden="false" customHeight="false" outlineLevel="0" collapsed="false">
      <c r="A615" s="5" t="s">
        <v>4181</v>
      </c>
      <c r="B615" s="2" t="s">
        <v>4182</v>
      </c>
      <c r="C615" s="5" t="s">
        <v>2128</v>
      </c>
      <c r="D615" s="5" t="s">
        <v>60</v>
      </c>
      <c r="E615" s="2" t="s">
        <v>2078</v>
      </c>
      <c r="F615" s="5" t="s">
        <v>62</v>
      </c>
      <c r="G615" s="5" t="n">
        <v>5</v>
      </c>
      <c r="H615" s="5" t="s">
        <v>89</v>
      </c>
      <c r="I615" s="5" t="s">
        <v>64</v>
      </c>
      <c r="J615" s="5" t="s">
        <v>65</v>
      </c>
      <c r="K615" s="5" t="s">
        <v>66</v>
      </c>
      <c r="L615" s="2" t="s">
        <v>2079</v>
      </c>
      <c r="M615" s="2" t="s">
        <v>3139</v>
      </c>
      <c r="N615" s="2" t="s">
        <v>184</v>
      </c>
      <c r="O615" s="2" t="s">
        <v>1612</v>
      </c>
      <c r="P615" s="2"/>
      <c r="Q615" s="5" t="n">
        <v>1</v>
      </c>
      <c r="R615" s="2" t="s">
        <v>71</v>
      </c>
      <c r="S615" s="2" t="s">
        <v>4183</v>
      </c>
      <c r="T615" s="2" t="s">
        <v>4184</v>
      </c>
      <c r="U615" s="2" t="s">
        <v>74</v>
      </c>
      <c r="V615" s="5" t="n">
        <v>300</v>
      </c>
      <c r="W615" s="2"/>
      <c r="X615" s="2" t="s">
        <v>1615</v>
      </c>
      <c r="Y615" s="5"/>
      <c r="Z615" s="2" t="s">
        <v>4185</v>
      </c>
      <c r="AA615" s="6" t="s">
        <v>4186</v>
      </c>
    </row>
    <row r="616" customFormat="false" ht="46.25" hidden="false" customHeight="false" outlineLevel="0" collapsed="false">
      <c r="A616" s="5" t="s">
        <v>4187</v>
      </c>
      <c r="B616" s="2" t="s">
        <v>4188</v>
      </c>
      <c r="C616" s="5" t="s">
        <v>2128</v>
      </c>
      <c r="D616" s="5" t="s">
        <v>60</v>
      </c>
      <c r="E616" s="2" t="s">
        <v>269</v>
      </c>
      <c r="F616" s="5" t="s">
        <v>62</v>
      </c>
      <c r="G616" s="5" t="n">
        <v>5</v>
      </c>
      <c r="H616" s="5" t="s">
        <v>89</v>
      </c>
      <c r="I616" s="5" t="s">
        <v>64</v>
      </c>
      <c r="J616" s="5" t="s">
        <v>65</v>
      </c>
      <c r="K616" s="5" t="s">
        <v>66</v>
      </c>
      <c r="L616" s="2" t="s">
        <v>413</v>
      </c>
      <c r="M616" s="2" t="s">
        <v>1425</v>
      </c>
      <c r="N616" s="2" t="s">
        <v>184</v>
      </c>
      <c r="O616" s="2" t="s">
        <v>1612</v>
      </c>
      <c r="P616" s="2"/>
      <c r="Q616" s="5" t="n">
        <v>1</v>
      </c>
      <c r="R616" s="2" t="s">
        <v>71</v>
      </c>
      <c r="S616" s="2" t="s">
        <v>4189</v>
      </c>
      <c r="T616" s="2" t="s">
        <v>4184</v>
      </c>
      <c r="U616" s="2" t="s">
        <v>74</v>
      </c>
      <c r="V616" s="5" t="n">
        <v>300</v>
      </c>
      <c r="W616" s="2"/>
      <c r="X616" s="2" t="s">
        <v>1615</v>
      </c>
      <c r="Y616" s="5"/>
      <c r="Z616" s="2" t="s">
        <v>4190</v>
      </c>
      <c r="AA616" s="6" t="s">
        <v>4191</v>
      </c>
    </row>
    <row r="617" customFormat="false" ht="68.65" hidden="false" customHeight="false" outlineLevel="0" collapsed="false">
      <c r="A617" s="5" t="s">
        <v>4192</v>
      </c>
      <c r="B617" s="2" t="s">
        <v>4193</v>
      </c>
      <c r="C617" s="5" t="s">
        <v>2245</v>
      </c>
      <c r="D617" s="5" t="s">
        <v>60</v>
      </c>
      <c r="E617" s="2" t="s">
        <v>1174</v>
      </c>
      <c r="F617" s="5" t="s">
        <v>62</v>
      </c>
      <c r="G617" s="5" t="n">
        <v>5</v>
      </c>
      <c r="H617" s="5" t="s">
        <v>89</v>
      </c>
      <c r="I617" s="5" t="s">
        <v>64</v>
      </c>
      <c r="J617" s="5" t="s">
        <v>65</v>
      </c>
      <c r="K617" s="5" t="s">
        <v>66</v>
      </c>
      <c r="L617" s="2" t="s">
        <v>536</v>
      </c>
      <c r="M617" s="2" t="s">
        <v>537</v>
      </c>
      <c r="N617" s="2" t="s">
        <v>3129</v>
      </c>
      <c r="O617" s="2" t="s">
        <v>3130</v>
      </c>
      <c r="P617" s="2"/>
      <c r="Q617" s="5" t="n">
        <v>1</v>
      </c>
      <c r="R617" s="2" t="s">
        <v>71</v>
      </c>
      <c r="S617" s="2" t="s">
        <v>4194</v>
      </c>
      <c r="T617" s="2" t="s">
        <v>3132</v>
      </c>
      <c r="U617" s="2" t="s">
        <v>74</v>
      </c>
      <c r="V617" s="5" t="n">
        <v>300</v>
      </c>
      <c r="W617" s="2"/>
      <c r="X617" s="2" t="s">
        <v>3133</v>
      </c>
      <c r="Y617" s="5" t="s">
        <v>3134</v>
      </c>
      <c r="Z617" s="2" t="s">
        <v>4195</v>
      </c>
      <c r="AA617" s="6" t="s">
        <v>4196</v>
      </c>
    </row>
    <row r="618" customFormat="false" ht="68.65" hidden="false" customHeight="false" outlineLevel="0" collapsed="false">
      <c r="A618" s="5" t="s">
        <v>4197</v>
      </c>
      <c r="B618" s="2" t="s">
        <v>4198</v>
      </c>
      <c r="C618" s="5" t="s">
        <v>2128</v>
      </c>
      <c r="D618" s="5" t="s">
        <v>60</v>
      </c>
      <c r="E618" s="2" t="s">
        <v>2591</v>
      </c>
      <c r="F618" s="5" t="s">
        <v>62</v>
      </c>
      <c r="G618" s="5" t="n">
        <v>7</v>
      </c>
      <c r="H618" s="5" t="s">
        <v>89</v>
      </c>
      <c r="I618" s="5" t="s">
        <v>64</v>
      </c>
      <c r="J618" s="5" t="s">
        <v>65</v>
      </c>
      <c r="K618" s="5" t="s">
        <v>66</v>
      </c>
      <c r="L618" s="2" t="s">
        <v>67</v>
      </c>
      <c r="M618" s="2" t="s">
        <v>4199</v>
      </c>
      <c r="N618" s="2" t="s">
        <v>367</v>
      </c>
      <c r="O618" s="2" t="s">
        <v>1105</v>
      </c>
      <c r="P618" s="2"/>
      <c r="Q618" s="5" t="n">
        <v>1</v>
      </c>
      <c r="R618" s="2" t="s">
        <v>71</v>
      </c>
      <c r="S618" s="2" t="s">
        <v>4200</v>
      </c>
      <c r="T618" s="2" t="s">
        <v>1335</v>
      </c>
      <c r="U618" s="2" t="s">
        <v>74</v>
      </c>
      <c r="V618" s="5" t="n">
        <v>300</v>
      </c>
      <c r="W618" s="2"/>
      <c r="X618" s="2" t="s">
        <v>1108</v>
      </c>
      <c r="Y618" s="5" t="s">
        <v>309</v>
      </c>
      <c r="Z618" s="2" t="s">
        <v>4201</v>
      </c>
      <c r="AA618" s="6" t="s">
        <v>4202</v>
      </c>
    </row>
    <row r="619" customFormat="false" ht="57.45" hidden="false" customHeight="false" outlineLevel="0" collapsed="false">
      <c r="A619" s="5" t="s">
        <v>4203</v>
      </c>
      <c r="B619" s="2" t="s">
        <v>4204</v>
      </c>
      <c r="C619" s="5" t="s">
        <v>2128</v>
      </c>
      <c r="D619" s="5" t="s">
        <v>60</v>
      </c>
      <c r="E619" s="2" t="s">
        <v>4025</v>
      </c>
      <c r="F619" s="5" t="s">
        <v>62</v>
      </c>
      <c r="G619" s="5" t="n">
        <v>7</v>
      </c>
      <c r="H619" s="5" t="s">
        <v>89</v>
      </c>
      <c r="I619" s="5" t="s">
        <v>64</v>
      </c>
      <c r="J619" s="5" t="s">
        <v>65</v>
      </c>
      <c r="K619" s="5" t="s">
        <v>66</v>
      </c>
      <c r="L619" s="2" t="s">
        <v>90</v>
      </c>
      <c r="M619" s="2"/>
      <c r="N619" s="2" t="s">
        <v>184</v>
      </c>
      <c r="O619" s="2" t="s">
        <v>4205</v>
      </c>
      <c r="P619" s="2"/>
      <c r="Q619" s="5" t="n">
        <v>1</v>
      </c>
      <c r="R619" s="2" t="s">
        <v>71</v>
      </c>
      <c r="S619" s="2" t="s">
        <v>83</v>
      </c>
      <c r="T619" s="2" t="s">
        <v>1098</v>
      </c>
      <c r="U619" s="2" t="s">
        <v>74</v>
      </c>
      <c r="V619" s="5" t="n">
        <v>300</v>
      </c>
      <c r="W619" s="2"/>
      <c r="X619" s="2" t="s">
        <v>4206</v>
      </c>
      <c r="Y619" s="5"/>
      <c r="Z619" s="2" t="s">
        <v>4207</v>
      </c>
      <c r="AA619" s="6" t="s">
        <v>4208</v>
      </c>
    </row>
    <row r="620" customFormat="false" ht="46.25" hidden="false" customHeight="false" outlineLevel="0" collapsed="false">
      <c r="A620" s="5" t="s">
        <v>4209</v>
      </c>
      <c r="B620" s="2" t="s">
        <v>4210</v>
      </c>
      <c r="C620" s="5" t="s">
        <v>2128</v>
      </c>
      <c r="D620" s="5" t="s">
        <v>60</v>
      </c>
      <c r="E620" s="2" t="s">
        <v>269</v>
      </c>
      <c r="F620" s="5" t="s">
        <v>62</v>
      </c>
      <c r="G620" s="5" t="n">
        <v>7</v>
      </c>
      <c r="H620" s="5" t="s">
        <v>89</v>
      </c>
      <c r="I620" s="5" t="s">
        <v>64</v>
      </c>
      <c r="J620" s="5" t="s">
        <v>65</v>
      </c>
      <c r="K620" s="5" t="s">
        <v>66</v>
      </c>
      <c r="L620" s="2" t="s">
        <v>1210</v>
      </c>
      <c r="M620" s="2" t="s">
        <v>3290</v>
      </c>
      <c r="N620" s="2" t="s">
        <v>184</v>
      </c>
      <c r="O620" s="2" t="s">
        <v>1533</v>
      </c>
      <c r="P620" s="2"/>
      <c r="Q620" s="5" t="n">
        <v>1</v>
      </c>
      <c r="R620" s="2" t="s">
        <v>71</v>
      </c>
      <c r="S620" s="2" t="s">
        <v>4211</v>
      </c>
      <c r="T620" s="2" t="s">
        <v>4212</v>
      </c>
      <c r="U620" s="2" t="s">
        <v>74</v>
      </c>
      <c r="V620" s="5" t="n">
        <v>300</v>
      </c>
      <c r="W620" s="2"/>
      <c r="X620" s="2" t="s">
        <v>1536</v>
      </c>
      <c r="Y620" s="5" t="s">
        <v>1537</v>
      </c>
      <c r="Z620" s="2" t="s">
        <v>4213</v>
      </c>
      <c r="AA620" s="6" t="s">
        <v>4214</v>
      </c>
    </row>
    <row r="621" customFormat="false" ht="46.25" hidden="false" customHeight="false" outlineLevel="0" collapsed="false">
      <c r="A621" s="5" t="s">
        <v>4215</v>
      </c>
      <c r="B621" s="2" t="s">
        <v>4216</v>
      </c>
      <c r="C621" s="5" t="s">
        <v>2128</v>
      </c>
      <c r="D621" s="5" t="s">
        <v>60</v>
      </c>
      <c r="E621" s="2" t="s">
        <v>269</v>
      </c>
      <c r="F621" s="5" t="s">
        <v>62</v>
      </c>
      <c r="G621" s="5" t="n">
        <v>5</v>
      </c>
      <c r="H621" s="5" t="s">
        <v>89</v>
      </c>
      <c r="I621" s="5" t="s">
        <v>64</v>
      </c>
      <c r="J621" s="5" t="s">
        <v>65</v>
      </c>
      <c r="K621" s="5" t="s">
        <v>66</v>
      </c>
      <c r="L621" s="2" t="s">
        <v>277</v>
      </c>
      <c r="M621" s="2" t="s">
        <v>4217</v>
      </c>
      <c r="N621" s="2" t="s">
        <v>184</v>
      </c>
      <c r="O621" s="2" t="s">
        <v>1581</v>
      </c>
      <c r="P621" s="2"/>
      <c r="Q621" s="5" t="n">
        <v>1</v>
      </c>
      <c r="R621" s="2" t="s">
        <v>71</v>
      </c>
      <c r="S621" s="2" t="s">
        <v>4218</v>
      </c>
      <c r="T621" s="2" t="s">
        <v>4219</v>
      </c>
      <c r="U621" s="2" t="s">
        <v>74</v>
      </c>
      <c r="V621" s="5" t="n">
        <v>300</v>
      </c>
      <c r="W621" s="2"/>
      <c r="X621" s="2" t="s">
        <v>1584</v>
      </c>
      <c r="Y621" s="5"/>
      <c r="Z621" s="2" t="s">
        <v>4220</v>
      </c>
      <c r="AA621" s="6" t="s">
        <v>4221</v>
      </c>
    </row>
    <row r="622" customFormat="false" ht="57.45" hidden="false" customHeight="false" outlineLevel="0" collapsed="false">
      <c r="A622" s="5" t="s">
        <v>4222</v>
      </c>
      <c r="B622" s="2" t="s">
        <v>4223</v>
      </c>
      <c r="C622" s="5" t="s">
        <v>2128</v>
      </c>
      <c r="D622" s="5" t="s">
        <v>60</v>
      </c>
      <c r="E622" s="2" t="s">
        <v>269</v>
      </c>
      <c r="F622" s="5" t="s">
        <v>62</v>
      </c>
      <c r="G622" s="5" t="n">
        <v>5</v>
      </c>
      <c r="H622" s="5" t="s">
        <v>89</v>
      </c>
      <c r="I622" s="5" t="s">
        <v>64</v>
      </c>
      <c r="J622" s="5" t="s">
        <v>65</v>
      </c>
      <c r="K622" s="5" t="s">
        <v>66</v>
      </c>
      <c r="L622" s="2" t="s">
        <v>90</v>
      </c>
      <c r="M622" s="2"/>
      <c r="N622" s="2" t="s">
        <v>184</v>
      </c>
      <c r="O622" s="2" t="s">
        <v>4224</v>
      </c>
      <c r="P622" s="2"/>
      <c r="Q622" s="5" t="n">
        <v>1</v>
      </c>
      <c r="R622" s="2" t="s">
        <v>71</v>
      </c>
      <c r="S622" s="2" t="s">
        <v>4225</v>
      </c>
      <c r="T622" s="2" t="s">
        <v>4226</v>
      </c>
      <c r="U622" s="2" t="s">
        <v>74</v>
      </c>
      <c r="V622" s="5" t="n">
        <v>300</v>
      </c>
      <c r="W622" s="2"/>
      <c r="X622" s="2" t="s">
        <v>4227</v>
      </c>
      <c r="Y622" s="5"/>
      <c r="Z622" s="2" t="s">
        <v>4228</v>
      </c>
      <c r="AA622" s="6" t="s">
        <v>4229</v>
      </c>
    </row>
    <row r="623" customFormat="false" ht="57.45" hidden="false" customHeight="false" outlineLevel="0" collapsed="false">
      <c r="A623" s="5" t="s">
        <v>4230</v>
      </c>
      <c r="B623" s="2" t="s">
        <v>4231</v>
      </c>
      <c r="C623" s="5" t="s">
        <v>2128</v>
      </c>
      <c r="D623" s="5" t="s">
        <v>60</v>
      </c>
      <c r="E623" s="2" t="s">
        <v>161</v>
      </c>
      <c r="F623" s="5" t="s">
        <v>62</v>
      </c>
      <c r="G623" s="5" t="n">
        <v>5</v>
      </c>
      <c r="H623" s="5" t="s">
        <v>89</v>
      </c>
      <c r="I623" s="5" t="s">
        <v>64</v>
      </c>
      <c r="J623" s="5" t="s">
        <v>65</v>
      </c>
      <c r="K623" s="5" t="s">
        <v>66</v>
      </c>
      <c r="L623" s="2" t="s">
        <v>67</v>
      </c>
      <c r="M623" s="2" t="s">
        <v>578</v>
      </c>
      <c r="N623" s="2" t="s">
        <v>367</v>
      </c>
      <c r="O623" s="2" t="s">
        <v>1105</v>
      </c>
      <c r="P623" s="2"/>
      <c r="Q623" s="5" t="n">
        <v>1</v>
      </c>
      <c r="R623" s="2" t="s">
        <v>71</v>
      </c>
      <c r="S623" s="2" t="s">
        <v>4232</v>
      </c>
      <c r="T623" s="2" t="s">
        <v>1169</v>
      </c>
      <c r="U623" s="2" t="s">
        <v>74</v>
      </c>
      <c r="V623" s="5" t="n">
        <v>300</v>
      </c>
      <c r="W623" s="2"/>
      <c r="X623" s="2" t="s">
        <v>1108</v>
      </c>
      <c r="Y623" s="5" t="s">
        <v>309</v>
      </c>
      <c r="Z623" s="2" t="s">
        <v>4233</v>
      </c>
      <c r="AA623" s="6" t="s">
        <v>4234</v>
      </c>
    </row>
    <row r="624" customFormat="false" ht="68.65" hidden="false" customHeight="false" outlineLevel="0" collapsed="false">
      <c r="A624" s="5" t="s">
        <v>4235</v>
      </c>
      <c r="B624" s="2" t="s">
        <v>4236</v>
      </c>
      <c r="C624" s="5" t="s">
        <v>2245</v>
      </c>
      <c r="D624" s="5" t="s">
        <v>60</v>
      </c>
      <c r="E624" s="2" t="s">
        <v>1104</v>
      </c>
      <c r="F624" s="5" t="s">
        <v>62</v>
      </c>
      <c r="G624" s="5" t="n">
        <v>7</v>
      </c>
      <c r="H624" s="5" t="s">
        <v>89</v>
      </c>
      <c r="I624" s="5" t="s">
        <v>64</v>
      </c>
      <c r="J624" s="5" t="s">
        <v>65</v>
      </c>
      <c r="K624" s="5" t="s">
        <v>66</v>
      </c>
      <c r="L624" s="2" t="s">
        <v>100</v>
      </c>
      <c r="M624" s="2" t="s">
        <v>450</v>
      </c>
      <c r="N624" s="2" t="s">
        <v>3232</v>
      </c>
      <c r="O624" s="2" t="s">
        <v>1105</v>
      </c>
      <c r="P624" s="2"/>
      <c r="Q624" s="5" t="n">
        <v>1</v>
      </c>
      <c r="R624" s="2" t="s">
        <v>71</v>
      </c>
      <c r="S624" s="2" t="s">
        <v>4237</v>
      </c>
      <c r="T624" s="2" t="s">
        <v>1176</v>
      </c>
      <c r="U624" s="2" t="s">
        <v>74</v>
      </c>
      <c r="V624" s="5" t="n">
        <v>300</v>
      </c>
      <c r="W624" s="2"/>
      <c r="X624" s="2" t="s">
        <v>1108</v>
      </c>
      <c r="Y624" s="5" t="s">
        <v>309</v>
      </c>
      <c r="Z624" s="2" t="s">
        <v>4238</v>
      </c>
      <c r="AA624" s="6" t="s">
        <v>4239</v>
      </c>
    </row>
    <row r="625" customFormat="false" ht="68.65" hidden="false" customHeight="false" outlineLevel="0" collapsed="false">
      <c r="A625" s="5" t="s">
        <v>4240</v>
      </c>
      <c r="B625" s="2" t="s">
        <v>4241</v>
      </c>
      <c r="C625" s="5" t="s">
        <v>2245</v>
      </c>
      <c r="D625" s="5" t="s">
        <v>60</v>
      </c>
      <c r="E625" s="2" t="s">
        <v>1104</v>
      </c>
      <c r="F625" s="5" t="s">
        <v>62</v>
      </c>
      <c r="G625" s="5" t="n">
        <v>7</v>
      </c>
      <c r="H625" s="5" t="s">
        <v>89</v>
      </c>
      <c r="I625" s="5" t="s">
        <v>64</v>
      </c>
      <c r="J625" s="5" t="s">
        <v>65</v>
      </c>
      <c r="K625" s="5" t="s">
        <v>66</v>
      </c>
      <c r="L625" s="2" t="s">
        <v>100</v>
      </c>
      <c r="M625" s="2" t="s">
        <v>450</v>
      </c>
      <c r="N625" s="2" t="s">
        <v>3232</v>
      </c>
      <c r="O625" s="2" t="s">
        <v>1105</v>
      </c>
      <c r="P625" s="2"/>
      <c r="Q625" s="5" t="n">
        <v>1</v>
      </c>
      <c r="R625" s="2" t="s">
        <v>71</v>
      </c>
      <c r="S625" s="2" t="s">
        <v>4242</v>
      </c>
      <c r="T625" s="2" t="s">
        <v>1176</v>
      </c>
      <c r="U625" s="2" t="s">
        <v>74</v>
      </c>
      <c r="V625" s="5" t="n">
        <v>300</v>
      </c>
      <c r="W625" s="2"/>
      <c r="X625" s="2" t="s">
        <v>1108</v>
      </c>
      <c r="Y625" s="5" t="s">
        <v>309</v>
      </c>
      <c r="Z625" s="2" t="s">
        <v>4243</v>
      </c>
      <c r="AA625" s="6" t="s">
        <v>4244</v>
      </c>
    </row>
    <row r="626" customFormat="false" ht="68.65" hidden="false" customHeight="false" outlineLevel="0" collapsed="false">
      <c r="A626" s="5" t="s">
        <v>4245</v>
      </c>
      <c r="B626" s="2" t="s">
        <v>4246</v>
      </c>
      <c r="C626" s="5" t="s">
        <v>2245</v>
      </c>
      <c r="D626" s="5" t="s">
        <v>60</v>
      </c>
      <c r="E626" s="2" t="s">
        <v>1104</v>
      </c>
      <c r="F626" s="5" t="s">
        <v>62</v>
      </c>
      <c r="G626" s="5" t="n">
        <v>7</v>
      </c>
      <c r="H626" s="5" t="s">
        <v>89</v>
      </c>
      <c r="I626" s="5" t="s">
        <v>64</v>
      </c>
      <c r="J626" s="5" t="s">
        <v>65</v>
      </c>
      <c r="K626" s="5" t="s">
        <v>66</v>
      </c>
      <c r="L626" s="2" t="s">
        <v>100</v>
      </c>
      <c r="M626" s="2" t="s">
        <v>450</v>
      </c>
      <c r="N626" s="2" t="s">
        <v>3232</v>
      </c>
      <c r="O626" s="2" t="s">
        <v>1105</v>
      </c>
      <c r="P626" s="2"/>
      <c r="Q626" s="5" t="n">
        <v>1</v>
      </c>
      <c r="R626" s="2" t="s">
        <v>71</v>
      </c>
      <c r="S626" s="2" t="s">
        <v>4247</v>
      </c>
      <c r="T626" s="2" t="s">
        <v>1176</v>
      </c>
      <c r="U626" s="2" t="s">
        <v>74</v>
      </c>
      <c r="V626" s="5" t="n">
        <v>300</v>
      </c>
      <c r="W626" s="2"/>
      <c r="X626" s="2" t="s">
        <v>1108</v>
      </c>
      <c r="Y626" s="5" t="s">
        <v>309</v>
      </c>
      <c r="Z626" s="2" t="s">
        <v>4248</v>
      </c>
      <c r="AA626" s="6" t="s">
        <v>4249</v>
      </c>
    </row>
    <row r="627" customFormat="false" ht="46.25" hidden="false" customHeight="false" outlineLevel="0" collapsed="false">
      <c r="A627" s="5" t="s">
        <v>4250</v>
      </c>
      <c r="B627" s="2" t="s">
        <v>4251</v>
      </c>
      <c r="C627" s="5" t="s">
        <v>2128</v>
      </c>
      <c r="D627" s="5" t="s">
        <v>60</v>
      </c>
      <c r="E627" s="2" t="s">
        <v>269</v>
      </c>
      <c r="F627" s="5" t="s">
        <v>490</v>
      </c>
      <c r="G627" s="5" t="n">
        <v>7</v>
      </c>
      <c r="H627" s="5" t="s">
        <v>89</v>
      </c>
      <c r="I627" s="5" t="s">
        <v>64</v>
      </c>
      <c r="J627" s="5" t="s">
        <v>65</v>
      </c>
      <c r="K627" s="5" t="s">
        <v>66</v>
      </c>
      <c r="L627" s="2" t="s">
        <v>90</v>
      </c>
      <c r="M627" s="2"/>
      <c r="N627" s="2" t="s">
        <v>184</v>
      </c>
      <c r="O627" s="2" t="s">
        <v>1198</v>
      </c>
      <c r="P627" s="2"/>
      <c r="Q627" s="5" t="n">
        <v>1</v>
      </c>
      <c r="R627" s="2" t="s">
        <v>71</v>
      </c>
      <c r="S627" s="2" t="s">
        <v>4252</v>
      </c>
      <c r="T627" s="2" t="s">
        <v>4253</v>
      </c>
      <c r="U627" s="2" t="s">
        <v>74</v>
      </c>
      <c r="V627" s="5" t="n">
        <v>300</v>
      </c>
      <c r="W627" s="2"/>
      <c r="X627" s="2" t="s">
        <v>1201</v>
      </c>
      <c r="Y627" s="5"/>
      <c r="Z627" s="2" t="s">
        <v>4254</v>
      </c>
      <c r="AA627" s="6" t="s">
        <v>4255</v>
      </c>
    </row>
    <row r="628" customFormat="false" ht="91" hidden="false" customHeight="false" outlineLevel="0" collapsed="false">
      <c r="A628" s="5" t="s">
        <v>4256</v>
      </c>
      <c r="B628" s="2" t="s">
        <v>4257</v>
      </c>
      <c r="C628" s="5" t="s">
        <v>2245</v>
      </c>
      <c r="D628" s="5" t="s">
        <v>60</v>
      </c>
      <c r="E628" s="2" t="s">
        <v>269</v>
      </c>
      <c r="F628" s="5" t="s">
        <v>62</v>
      </c>
      <c r="G628" s="5" t="n">
        <v>3</v>
      </c>
      <c r="H628" s="5" t="s">
        <v>817</v>
      </c>
      <c r="I628" s="5" t="s">
        <v>64</v>
      </c>
      <c r="J628" s="5" t="s">
        <v>65</v>
      </c>
      <c r="K628" s="5" t="s">
        <v>66</v>
      </c>
      <c r="L628" s="2" t="s">
        <v>67</v>
      </c>
      <c r="M628" s="2" t="s">
        <v>4258</v>
      </c>
      <c r="N628" s="2" t="s">
        <v>3499</v>
      </c>
      <c r="O628" s="2" t="s">
        <v>1976</v>
      </c>
      <c r="P628" s="2"/>
      <c r="Q628" s="5" t="n">
        <v>1</v>
      </c>
      <c r="R628" s="2" t="s">
        <v>71</v>
      </c>
      <c r="S628" s="2" t="s">
        <v>4259</v>
      </c>
      <c r="T628" s="2" t="s">
        <v>4260</v>
      </c>
      <c r="U628" s="2" t="s">
        <v>74</v>
      </c>
      <c r="V628" s="5" t="n">
        <v>300</v>
      </c>
      <c r="W628" s="2"/>
      <c r="X628" s="2" t="s">
        <v>1979</v>
      </c>
      <c r="Y628" s="5"/>
      <c r="Z628" s="2" t="s">
        <v>4261</v>
      </c>
      <c r="AA628" s="6" t="s">
        <v>4262</v>
      </c>
    </row>
    <row r="629" customFormat="false" ht="102.2" hidden="false" customHeight="false" outlineLevel="0" collapsed="false">
      <c r="A629" s="5" t="s">
        <v>4263</v>
      </c>
      <c r="B629" s="2" t="s">
        <v>4264</v>
      </c>
      <c r="C629" s="5" t="s">
        <v>2128</v>
      </c>
      <c r="D629" s="5" t="s">
        <v>60</v>
      </c>
      <c r="E629" s="2" t="s">
        <v>161</v>
      </c>
      <c r="F629" s="5" t="s">
        <v>62</v>
      </c>
      <c r="G629" s="5" t="n">
        <v>7</v>
      </c>
      <c r="H629" s="5" t="s">
        <v>89</v>
      </c>
      <c r="I629" s="5" t="s">
        <v>64</v>
      </c>
      <c r="J629" s="5" t="s">
        <v>65</v>
      </c>
      <c r="K629" s="5" t="s">
        <v>66</v>
      </c>
      <c r="L629" s="2" t="s">
        <v>67</v>
      </c>
      <c r="M629" s="2" t="s">
        <v>578</v>
      </c>
      <c r="N629" s="2" t="s">
        <v>367</v>
      </c>
      <c r="O629" s="2" t="s">
        <v>1221</v>
      </c>
      <c r="P629" s="2"/>
      <c r="Q629" s="5" t="n">
        <v>1</v>
      </c>
      <c r="R629" s="2" t="s">
        <v>71</v>
      </c>
      <c r="S629" s="2" t="s">
        <v>4265</v>
      </c>
      <c r="T629" s="2" t="s">
        <v>4266</v>
      </c>
      <c r="U629" s="2" t="s">
        <v>74</v>
      </c>
      <c r="V629" s="5" t="n">
        <v>300</v>
      </c>
      <c r="W629" s="2"/>
      <c r="X629" s="2" t="s">
        <v>1224</v>
      </c>
      <c r="Y629" s="5" t="s">
        <v>1225</v>
      </c>
      <c r="Z629" s="2" t="s">
        <v>4267</v>
      </c>
      <c r="AA629" s="6" t="s">
        <v>4268</v>
      </c>
    </row>
    <row r="630" customFormat="false" ht="46.25" hidden="false" customHeight="false" outlineLevel="0" collapsed="false">
      <c r="A630" s="5" t="s">
        <v>4269</v>
      </c>
      <c r="B630" s="2" t="s">
        <v>4270</v>
      </c>
      <c r="C630" s="5" t="s">
        <v>2128</v>
      </c>
      <c r="D630" s="5" t="s">
        <v>60</v>
      </c>
      <c r="E630" s="2" t="s">
        <v>2078</v>
      </c>
      <c r="F630" s="5" t="s">
        <v>62</v>
      </c>
      <c r="G630" s="5" t="n">
        <v>7</v>
      </c>
      <c r="H630" s="5" t="s">
        <v>89</v>
      </c>
      <c r="I630" s="5" t="s">
        <v>64</v>
      </c>
      <c r="J630" s="5" t="s">
        <v>65</v>
      </c>
      <c r="K630" s="5" t="s">
        <v>66</v>
      </c>
      <c r="L630" s="2" t="s">
        <v>2079</v>
      </c>
      <c r="M630" s="2" t="s">
        <v>3139</v>
      </c>
      <c r="N630" s="2" t="s">
        <v>184</v>
      </c>
      <c r="O630" s="2" t="s">
        <v>1612</v>
      </c>
      <c r="P630" s="2"/>
      <c r="Q630" s="5" t="n">
        <v>1</v>
      </c>
      <c r="R630" s="2" t="s">
        <v>71</v>
      </c>
      <c r="S630" s="2" t="s">
        <v>4271</v>
      </c>
      <c r="T630" s="2" t="s">
        <v>4272</v>
      </c>
      <c r="U630" s="2" t="s">
        <v>74</v>
      </c>
      <c r="V630" s="5" t="n">
        <v>300</v>
      </c>
      <c r="W630" s="2"/>
      <c r="X630" s="2" t="s">
        <v>1615</v>
      </c>
      <c r="Y630" s="5"/>
      <c r="Z630" s="2" t="s">
        <v>4273</v>
      </c>
      <c r="AA630" s="6" t="s">
        <v>4274</v>
      </c>
    </row>
    <row r="631" customFormat="false" ht="46.25" hidden="false" customHeight="false" outlineLevel="0" collapsed="false">
      <c r="A631" s="5" t="s">
        <v>4275</v>
      </c>
      <c r="B631" s="2" t="s">
        <v>4276</v>
      </c>
      <c r="C631" s="5" t="s">
        <v>2128</v>
      </c>
      <c r="D631" s="5" t="s">
        <v>60</v>
      </c>
      <c r="E631" s="2" t="s">
        <v>2859</v>
      </c>
      <c r="F631" s="5" t="s">
        <v>62</v>
      </c>
      <c r="G631" s="5" t="n">
        <v>5</v>
      </c>
      <c r="H631" s="5" t="s">
        <v>89</v>
      </c>
      <c r="I631" s="5" t="s">
        <v>64</v>
      </c>
      <c r="J631" s="5" t="s">
        <v>65</v>
      </c>
      <c r="K631" s="5" t="s">
        <v>66</v>
      </c>
      <c r="L631" s="2" t="s">
        <v>90</v>
      </c>
      <c r="M631" s="2"/>
      <c r="N631" s="2" t="s">
        <v>184</v>
      </c>
      <c r="O631" s="2" t="s">
        <v>4277</v>
      </c>
      <c r="P631" s="2"/>
      <c r="Q631" s="5" t="n">
        <v>1</v>
      </c>
      <c r="R631" s="2" t="s">
        <v>71</v>
      </c>
      <c r="S631" s="2" t="s">
        <v>4278</v>
      </c>
      <c r="T631" s="2" t="s">
        <v>4279</v>
      </c>
      <c r="U631" s="2" t="s">
        <v>74</v>
      </c>
      <c r="V631" s="5" t="n">
        <v>300</v>
      </c>
      <c r="W631" s="2"/>
      <c r="X631" s="2" t="s">
        <v>1635</v>
      </c>
      <c r="Y631" s="5"/>
      <c r="Z631" s="2" t="s">
        <v>4280</v>
      </c>
      <c r="AA631" s="6" t="s">
        <v>4281</v>
      </c>
    </row>
    <row r="632" customFormat="false" ht="91" hidden="false" customHeight="false" outlineLevel="0" collapsed="false">
      <c r="A632" s="5" t="s">
        <v>4282</v>
      </c>
      <c r="B632" s="2" t="s">
        <v>4283</v>
      </c>
      <c r="C632" s="5" t="s">
        <v>2245</v>
      </c>
      <c r="D632" s="5" t="s">
        <v>60</v>
      </c>
      <c r="E632" s="2" t="s">
        <v>182</v>
      </c>
      <c r="F632" s="5" t="s">
        <v>62</v>
      </c>
      <c r="G632" s="5" t="n">
        <v>5</v>
      </c>
      <c r="H632" s="5" t="s">
        <v>89</v>
      </c>
      <c r="I632" s="5" t="s">
        <v>64</v>
      </c>
      <c r="J632" s="5" t="s">
        <v>65</v>
      </c>
      <c r="K632" s="5" t="s">
        <v>66</v>
      </c>
      <c r="L632" s="2" t="s">
        <v>67</v>
      </c>
      <c r="M632" s="2" t="s">
        <v>2479</v>
      </c>
      <c r="N632" s="2" t="s">
        <v>3499</v>
      </c>
      <c r="O632" s="2" t="s">
        <v>3985</v>
      </c>
      <c r="P632" s="2"/>
      <c r="Q632" s="5" t="n">
        <v>1</v>
      </c>
      <c r="R632" s="2" t="s">
        <v>71</v>
      </c>
      <c r="S632" s="2" t="s">
        <v>4284</v>
      </c>
      <c r="T632" s="2" t="s">
        <v>3987</v>
      </c>
      <c r="U632" s="2" t="s">
        <v>74</v>
      </c>
      <c r="V632" s="5" t="n">
        <v>300</v>
      </c>
      <c r="W632" s="2"/>
      <c r="X632" s="2" t="s">
        <v>3988</v>
      </c>
      <c r="Y632" s="5" t="s">
        <v>214</v>
      </c>
      <c r="Z632" s="2" t="s">
        <v>4285</v>
      </c>
      <c r="AA632" s="6" t="s">
        <v>4286</v>
      </c>
    </row>
    <row r="633" customFormat="false" ht="46.25" hidden="false" customHeight="false" outlineLevel="0" collapsed="false">
      <c r="A633" s="5" t="s">
        <v>4287</v>
      </c>
      <c r="B633" s="2" t="s">
        <v>4288</v>
      </c>
      <c r="C633" s="5" t="s">
        <v>2128</v>
      </c>
      <c r="D633" s="5" t="s">
        <v>60</v>
      </c>
      <c r="E633" s="2" t="s">
        <v>269</v>
      </c>
      <c r="F633" s="5" t="s">
        <v>62</v>
      </c>
      <c r="G633" s="5" t="n">
        <v>5</v>
      </c>
      <c r="H633" s="5" t="s">
        <v>89</v>
      </c>
      <c r="I633" s="5" t="s">
        <v>64</v>
      </c>
      <c r="J633" s="5" t="s">
        <v>65</v>
      </c>
      <c r="K633" s="5" t="s">
        <v>66</v>
      </c>
      <c r="L633" s="2" t="s">
        <v>1210</v>
      </c>
      <c r="M633" s="2" t="s">
        <v>4289</v>
      </c>
      <c r="N633" s="2" t="s">
        <v>184</v>
      </c>
      <c r="O633" s="2" t="s">
        <v>1612</v>
      </c>
      <c r="P633" s="2"/>
      <c r="Q633" s="5" t="n">
        <v>1</v>
      </c>
      <c r="R633" s="2" t="s">
        <v>71</v>
      </c>
      <c r="S633" s="2" t="s">
        <v>4290</v>
      </c>
      <c r="T633" s="2" t="s">
        <v>2019</v>
      </c>
      <c r="U633" s="2" t="s">
        <v>74</v>
      </c>
      <c r="V633" s="5" t="n">
        <v>300</v>
      </c>
      <c r="W633" s="2"/>
      <c r="X633" s="2" t="s">
        <v>1615</v>
      </c>
      <c r="Y633" s="5"/>
      <c r="Z633" s="2" t="s">
        <v>4291</v>
      </c>
      <c r="AA633" s="6" t="s">
        <v>4292</v>
      </c>
    </row>
    <row r="634" customFormat="false" ht="79.85" hidden="false" customHeight="false" outlineLevel="0" collapsed="false">
      <c r="A634" s="5" t="s">
        <v>4293</v>
      </c>
      <c r="B634" s="2" t="s">
        <v>4294</v>
      </c>
      <c r="C634" s="5" t="s">
        <v>2245</v>
      </c>
      <c r="D634" s="5" t="s">
        <v>60</v>
      </c>
      <c r="E634" s="2" t="s">
        <v>751</v>
      </c>
      <c r="F634" s="5" t="s">
        <v>62</v>
      </c>
      <c r="G634" s="5" t="n">
        <v>5</v>
      </c>
      <c r="H634" s="5" t="s">
        <v>89</v>
      </c>
      <c r="I634" s="5" t="s">
        <v>64</v>
      </c>
      <c r="J634" s="5" t="s">
        <v>65</v>
      </c>
      <c r="K634" s="5" t="s">
        <v>66</v>
      </c>
      <c r="L634" s="2" t="s">
        <v>90</v>
      </c>
      <c r="M634" s="2"/>
      <c r="N634" s="2" t="s">
        <v>3129</v>
      </c>
      <c r="O634" s="2" t="s">
        <v>3183</v>
      </c>
      <c r="P634" s="2"/>
      <c r="Q634" s="5" t="n">
        <v>1</v>
      </c>
      <c r="R634" s="2" t="s">
        <v>71</v>
      </c>
      <c r="S634" s="2" t="s">
        <v>4295</v>
      </c>
      <c r="T634" s="2" t="s">
        <v>3185</v>
      </c>
      <c r="U634" s="2" t="s">
        <v>74</v>
      </c>
      <c r="V634" s="5" t="n">
        <v>300</v>
      </c>
      <c r="W634" s="2"/>
      <c r="X634" s="2" t="s">
        <v>3186</v>
      </c>
      <c r="Y634" s="5"/>
      <c r="Z634" s="2" t="s">
        <v>4296</v>
      </c>
      <c r="AA634" s="6" t="s">
        <v>4297</v>
      </c>
    </row>
    <row r="635" customFormat="false" ht="135.8" hidden="false" customHeight="false" outlineLevel="0" collapsed="false">
      <c r="A635" s="5" t="s">
        <v>4298</v>
      </c>
      <c r="B635" s="2" t="s">
        <v>4299</v>
      </c>
      <c r="C635" s="5" t="s">
        <v>2128</v>
      </c>
      <c r="D635" s="5" t="s">
        <v>60</v>
      </c>
      <c r="E635" s="2" t="s">
        <v>2754</v>
      </c>
      <c r="F635" s="5" t="s">
        <v>62</v>
      </c>
      <c r="G635" s="5" t="n">
        <v>5</v>
      </c>
      <c r="H635" s="5" t="s">
        <v>89</v>
      </c>
      <c r="I635" s="5" t="s">
        <v>64</v>
      </c>
      <c r="J635" s="5" t="s">
        <v>65</v>
      </c>
      <c r="K635" s="5" t="s">
        <v>66</v>
      </c>
      <c r="L635" s="2" t="s">
        <v>67</v>
      </c>
      <c r="M635" s="2" t="s">
        <v>1844</v>
      </c>
      <c r="N635" s="2" t="s">
        <v>367</v>
      </c>
      <c r="O635" s="2" t="s">
        <v>1105</v>
      </c>
      <c r="P635" s="2"/>
      <c r="Q635" s="5" t="n">
        <v>1</v>
      </c>
      <c r="R635" s="2" t="s">
        <v>71</v>
      </c>
      <c r="S635" s="2" t="s">
        <v>4300</v>
      </c>
      <c r="T635" s="2" t="s">
        <v>1176</v>
      </c>
      <c r="U635" s="2" t="s">
        <v>74</v>
      </c>
      <c r="V635" s="5" t="n">
        <v>300</v>
      </c>
      <c r="W635" s="2"/>
      <c r="X635" s="2" t="s">
        <v>1108</v>
      </c>
      <c r="Y635" s="5" t="s">
        <v>309</v>
      </c>
      <c r="Z635" s="2" t="s">
        <v>4301</v>
      </c>
      <c r="AA635" s="6" t="s">
        <v>4302</v>
      </c>
    </row>
    <row r="636" customFormat="false" ht="124.6" hidden="false" customHeight="false" outlineLevel="0" collapsed="false">
      <c r="A636" s="5" t="s">
        <v>4303</v>
      </c>
      <c r="B636" s="2" t="s">
        <v>4304</v>
      </c>
      <c r="C636" s="5" t="s">
        <v>2128</v>
      </c>
      <c r="D636" s="5" t="s">
        <v>60</v>
      </c>
      <c r="E636" s="2" t="s">
        <v>3289</v>
      </c>
      <c r="F636" s="5" t="s">
        <v>490</v>
      </c>
      <c r="G636" s="5" t="n">
        <v>7</v>
      </c>
      <c r="H636" s="5" t="s">
        <v>89</v>
      </c>
      <c r="I636" s="5" t="s">
        <v>64</v>
      </c>
      <c r="J636" s="5" t="s">
        <v>65</v>
      </c>
      <c r="K636" s="5" t="s">
        <v>66</v>
      </c>
      <c r="L636" s="2" t="s">
        <v>1210</v>
      </c>
      <c r="M636" s="2" t="s">
        <v>3290</v>
      </c>
      <c r="N636" s="2" t="s">
        <v>3232</v>
      </c>
      <c r="O636" s="2" t="s">
        <v>3457</v>
      </c>
      <c r="P636" s="2"/>
      <c r="Q636" s="5" t="n">
        <v>1</v>
      </c>
      <c r="R636" s="2" t="s">
        <v>71</v>
      </c>
      <c r="S636" s="2" t="s">
        <v>4305</v>
      </c>
      <c r="T636" s="2" t="s">
        <v>4306</v>
      </c>
      <c r="U636" s="2" t="s">
        <v>74</v>
      </c>
      <c r="V636" s="5" t="n">
        <v>300</v>
      </c>
      <c r="W636" s="2"/>
      <c r="X636" s="2" t="s">
        <v>3460</v>
      </c>
      <c r="Y636" s="5"/>
      <c r="Z636" s="2" t="s">
        <v>4307</v>
      </c>
      <c r="AA636" s="6" t="s">
        <v>4308</v>
      </c>
    </row>
    <row r="637" customFormat="false" ht="46.25" hidden="false" customHeight="false" outlineLevel="0" collapsed="false">
      <c r="A637" s="5" t="s">
        <v>4309</v>
      </c>
      <c r="B637" s="2" t="s">
        <v>4310</v>
      </c>
      <c r="C637" s="5" t="s">
        <v>2128</v>
      </c>
      <c r="D637" s="5" t="s">
        <v>60</v>
      </c>
      <c r="E637" s="2" t="s">
        <v>2754</v>
      </c>
      <c r="F637" s="5" t="s">
        <v>62</v>
      </c>
      <c r="G637" s="5" t="n">
        <v>5</v>
      </c>
      <c r="H637" s="5" t="s">
        <v>89</v>
      </c>
      <c r="I637" s="5" t="s">
        <v>64</v>
      </c>
      <c r="J637" s="5" t="s">
        <v>65</v>
      </c>
      <c r="K637" s="5" t="s">
        <v>66</v>
      </c>
      <c r="L637" s="2" t="s">
        <v>90</v>
      </c>
      <c r="M637" s="2"/>
      <c r="N637" s="2" t="s">
        <v>367</v>
      </c>
      <c r="O637" s="2" t="s">
        <v>1105</v>
      </c>
      <c r="P637" s="2"/>
      <c r="Q637" s="5" t="n">
        <v>1</v>
      </c>
      <c r="R637" s="2" t="s">
        <v>71</v>
      </c>
      <c r="S637" s="2" t="s">
        <v>4311</v>
      </c>
      <c r="T637" s="2" t="s">
        <v>1176</v>
      </c>
      <c r="U637" s="2" t="s">
        <v>74</v>
      </c>
      <c r="V637" s="5" t="n">
        <v>300</v>
      </c>
      <c r="W637" s="2"/>
      <c r="X637" s="2" t="s">
        <v>1108</v>
      </c>
      <c r="Y637" s="5" t="s">
        <v>309</v>
      </c>
      <c r="Z637" s="2" t="s">
        <v>4312</v>
      </c>
      <c r="AA637" s="6" t="s">
        <v>4313</v>
      </c>
    </row>
    <row r="638" customFormat="false" ht="68.65" hidden="false" customHeight="false" outlineLevel="0" collapsed="false">
      <c r="A638" s="5" t="s">
        <v>4314</v>
      </c>
      <c r="B638" s="2" t="s">
        <v>4315</v>
      </c>
      <c r="C638" s="5" t="s">
        <v>2128</v>
      </c>
      <c r="D638" s="5" t="s">
        <v>60</v>
      </c>
      <c r="E638" s="2" t="s">
        <v>751</v>
      </c>
      <c r="F638" s="5" t="s">
        <v>62</v>
      </c>
      <c r="G638" s="5" t="n">
        <v>3</v>
      </c>
      <c r="H638" s="5" t="s">
        <v>817</v>
      </c>
      <c r="I638" s="5" t="s">
        <v>64</v>
      </c>
      <c r="J638" s="5" t="s">
        <v>65</v>
      </c>
      <c r="K638" s="5" t="s">
        <v>66</v>
      </c>
      <c r="L638" s="2" t="s">
        <v>277</v>
      </c>
      <c r="M638" s="2" t="s">
        <v>3440</v>
      </c>
      <c r="N638" s="2" t="s">
        <v>367</v>
      </c>
      <c r="O638" s="2" t="s">
        <v>1105</v>
      </c>
      <c r="P638" s="2"/>
      <c r="Q638" s="5" t="n">
        <v>1</v>
      </c>
      <c r="R638" s="2" t="s">
        <v>71</v>
      </c>
      <c r="S638" s="2" t="s">
        <v>4316</v>
      </c>
      <c r="T638" s="2" t="s">
        <v>1269</v>
      </c>
      <c r="U638" s="2" t="s">
        <v>74</v>
      </c>
      <c r="V638" s="5" t="n">
        <v>300</v>
      </c>
      <c r="W638" s="2"/>
      <c r="X638" s="2" t="s">
        <v>1108</v>
      </c>
      <c r="Y638" s="5" t="s">
        <v>309</v>
      </c>
      <c r="Z638" s="2" t="s">
        <v>4317</v>
      </c>
      <c r="AA638" s="6" t="s">
        <v>4318</v>
      </c>
    </row>
    <row r="639" customFormat="false" ht="57.45" hidden="false" customHeight="false" outlineLevel="0" collapsed="false">
      <c r="A639" s="5" t="s">
        <v>4319</v>
      </c>
      <c r="B639" s="2" t="s">
        <v>4320</v>
      </c>
      <c r="C639" s="5" t="s">
        <v>2128</v>
      </c>
      <c r="D639" s="5" t="s">
        <v>60</v>
      </c>
      <c r="E639" s="2" t="s">
        <v>2754</v>
      </c>
      <c r="F639" s="5" t="s">
        <v>62</v>
      </c>
      <c r="G639" s="5" t="n">
        <v>7</v>
      </c>
      <c r="H639" s="5" t="s">
        <v>89</v>
      </c>
      <c r="I639" s="5" t="s">
        <v>64</v>
      </c>
      <c r="J639" s="5" t="s">
        <v>65</v>
      </c>
      <c r="K639" s="5" t="s">
        <v>66</v>
      </c>
      <c r="L639" s="2" t="s">
        <v>90</v>
      </c>
      <c r="M639" s="2"/>
      <c r="N639" s="2" t="s">
        <v>367</v>
      </c>
      <c r="O639" s="2" t="s">
        <v>1105</v>
      </c>
      <c r="P639" s="2"/>
      <c r="Q639" s="5" t="n">
        <v>1</v>
      </c>
      <c r="R639" s="2" t="s">
        <v>71</v>
      </c>
      <c r="S639" s="2" t="s">
        <v>4321</v>
      </c>
      <c r="T639" s="2" t="s">
        <v>1176</v>
      </c>
      <c r="U639" s="2" t="s">
        <v>74</v>
      </c>
      <c r="V639" s="5" t="n">
        <v>300</v>
      </c>
      <c r="W639" s="2"/>
      <c r="X639" s="2" t="s">
        <v>1108</v>
      </c>
      <c r="Y639" s="5" t="s">
        <v>309</v>
      </c>
      <c r="Z639" s="2" t="s">
        <v>4322</v>
      </c>
      <c r="AA639" s="6" t="s">
        <v>4323</v>
      </c>
    </row>
    <row r="640" customFormat="false" ht="135.8" hidden="false" customHeight="false" outlineLevel="0" collapsed="false">
      <c r="A640" s="5" t="s">
        <v>4324</v>
      </c>
      <c r="B640" s="2" t="s">
        <v>4325</v>
      </c>
      <c r="C640" s="5" t="s">
        <v>2128</v>
      </c>
      <c r="D640" s="5" t="s">
        <v>60</v>
      </c>
      <c r="E640" s="2" t="s">
        <v>2754</v>
      </c>
      <c r="F640" s="5" t="s">
        <v>62</v>
      </c>
      <c r="G640" s="5" t="n">
        <v>7</v>
      </c>
      <c r="H640" s="5" t="s">
        <v>89</v>
      </c>
      <c r="I640" s="5" t="s">
        <v>64</v>
      </c>
      <c r="J640" s="5" t="s">
        <v>65</v>
      </c>
      <c r="K640" s="5" t="s">
        <v>66</v>
      </c>
      <c r="L640" s="2" t="s">
        <v>90</v>
      </c>
      <c r="M640" s="2"/>
      <c r="N640" s="2" t="s">
        <v>367</v>
      </c>
      <c r="O640" s="2" t="s">
        <v>1105</v>
      </c>
      <c r="P640" s="2"/>
      <c r="Q640" s="5" t="n">
        <v>1</v>
      </c>
      <c r="R640" s="2" t="s">
        <v>71</v>
      </c>
      <c r="S640" s="2" t="s">
        <v>4326</v>
      </c>
      <c r="T640" s="2" t="s">
        <v>1176</v>
      </c>
      <c r="U640" s="2" t="s">
        <v>74</v>
      </c>
      <c r="V640" s="5" t="n">
        <v>300</v>
      </c>
      <c r="W640" s="2"/>
      <c r="X640" s="2" t="s">
        <v>1108</v>
      </c>
      <c r="Y640" s="5" t="s">
        <v>309</v>
      </c>
      <c r="Z640" s="2" t="s">
        <v>4327</v>
      </c>
      <c r="AA640" s="6" t="s">
        <v>4328</v>
      </c>
    </row>
    <row r="641" customFormat="false" ht="68.65" hidden="false" customHeight="false" outlineLevel="0" collapsed="false">
      <c r="A641" s="5" t="s">
        <v>4329</v>
      </c>
      <c r="B641" s="2" t="s">
        <v>4330</v>
      </c>
      <c r="C641" s="5" t="s">
        <v>2245</v>
      </c>
      <c r="D641" s="5" t="s">
        <v>60</v>
      </c>
      <c r="E641" s="2" t="s">
        <v>2754</v>
      </c>
      <c r="F641" s="5" t="s">
        <v>62</v>
      </c>
      <c r="G641" s="5" t="n">
        <v>7</v>
      </c>
      <c r="H641" s="5" t="s">
        <v>89</v>
      </c>
      <c r="I641" s="5" t="s">
        <v>64</v>
      </c>
      <c r="J641" s="5" t="s">
        <v>65</v>
      </c>
      <c r="K641" s="5" t="s">
        <v>66</v>
      </c>
      <c r="L641" s="2" t="s">
        <v>90</v>
      </c>
      <c r="M641" s="2"/>
      <c r="N641" s="2" t="s">
        <v>3232</v>
      </c>
      <c r="O641" s="2" t="s">
        <v>1105</v>
      </c>
      <c r="P641" s="2"/>
      <c r="Q641" s="5" t="n">
        <v>1</v>
      </c>
      <c r="R641" s="2" t="s">
        <v>71</v>
      </c>
      <c r="S641" s="2" t="s">
        <v>4331</v>
      </c>
      <c r="T641" s="2" t="s">
        <v>1176</v>
      </c>
      <c r="U641" s="2" t="s">
        <v>74</v>
      </c>
      <c r="V641" s="5" t="n">
        <v>300</v>
      </c>
      <c r="W641" s="2"/>
      <c r="X641" s="2" t="s">
        <v>1108</v>
      </c>
      <c r="Y641" s="5" t="s">
        <v>309</v>
      </c>
      <c r="Z641" s="2" t="s">
        <v>4332</v>
      </c>
      <c r="AA641" s="6" t="s">
        <v>4333</v>
      </c>
    </row>
    <row r="642" customFormat="false" ht="46.25" hidden="false" customHeight="false" outlineLevel="0" collapsed="false">
      <c r="A642" s="5" t="s">
        <v>4334</v>
      </c>
      <c r="B642" s="2" t="s">
        <v>4335</v>
      </c>
      <c r="C642" s="5" t="s">
        <v>2128</v>
      </c>
      <c r="D642" s="5" t="s">
        <v>60</v>
      </c>
      <c r="E642" s="2" t="s">
        <v>751</v>
      </c>
      <c r="F642" s="5" t="s">
        <v>62</v>
      </c>
      <c r="G642" s="5" t="n">
        <v>5</v>
      </c>
      <c r="H642" s="5" t="s">
        <v>89</v>
      </c>
      <c r="I642" s="5" t="s">
        <v>64</v>
      </c>
      <c r="J642" s="5" t="s">
        <v>65</v>
      </c>
      <c r="K642" s="5" t="s">
        <v>66</v>
      </c>
      <c r="L642" s="2" t="s">
        <v>67</v>
      </c>
      <c r="M642" s="2" t="s">
        <v>4336</v>
      </c>
      <c r="N642" s="2" t="s">
        <v>367</v>
      </c>
      <c r="O642" s="2" t="s">
        <v>1160</v>
      </c>
      <c r="P642" s="2"/>
      <c r="Q642" s="5" t="n">
        <v>1</v>
      </c>
      <c r="R642" s="2" t="s">
        <v>71</v>
      </c>
      <c r="S642" s="2" t="s">
        <v>4337</v>
      </c>
      <c r="T642" s="2" t="s">
        <v>1193</v>
      </c>
      <c r="U642" s="2" t="s">
        <v>74</v>
      </c>
      <c r="V642" s="5" t="n">
        <v>300</v>
      </c>
      <c r="W642" s="2"/>
      <c r="X642" s="2" t="s">
        <v>1163</v>
      </c>
      <c r="Y642" s="5"/>
      <c r="Z642" s="2" t="s">
        <v>4338</v>
      </c>
      <c r="AA642" s="6" t="s">
        <v>4339</v>
      </c>
    </row>
    <row r="643" customFormat="false" ht="68.65" hidden="false" customHeight="false" outlineLevel="0" collapsed="false">
      <c r="A643" s="5" t="s">
        <v>4340</v>
      </c>
      <c r="B643" s="2" t="s">
        <v>4341</v>
      </c>
      <c r="C643" s="5" t="s">
        <v>2245</v>
      </c>
      <c r="D643" s="5" t="s">
        <v>60</v>
      </c>
      <c r="E643" s="2" t="s">
        <v>1104</v>
      </c>
      <c r="F643" s="5" t="s">
        <v>62</v>
      </c>
      <c r="G643" s="5" t="n">
        <v>7</v>
      </c>
      <c r="H643" s="5" t="s">
        <v>89</v>
      </c>
      <c r="I643" s="5" t="s">
        <v>64</v>
      </c>
      <c r="J643" s="5" t="s">
        <v>65</v>
      </c>
      <c r="K643" s="5" t="s">
        <v>66</v>
      </c>
      <c r="L643" s="2" t="s">
        <v>100</v>
      </c>
      <c r="M643" s="2" t="s">
        <v>450</v>
      </c>
      <c r="N643" s="2" t="s">
        <v>3129</v>
      </c>
      <c r="O643" s="2" t="s">
        <v>3183</v>
      </c>
      <c r="P643" s="2"/>
      <c r="Q643" s="5" t="n">
        <v>1</v>
      </c>
      <c r="R643" s="2" t="s">
        <v>71</v>
      </c>
      <c r="S643" s="2" t="s">
        <v>4342</v>
      </c>
      <c r="T643" s="2" t="s">
        <v>3185</v>
      </c>
      <c r="U643" s="2" t="s">
        <v>74</v>
      </c>
      <c r="V643" s="5" t="n">
        <v>300</v>
      </c>
      <c r="W643" s="2"/>
      <c r="X643" s="2" t="s">
        <v>3186</v>
      </c>
      <c r="Y643" s="5"/>
      <c r="Z643" s="2" t="s">
        <v>4343</v>
      </c>
      <c r="AA643" s="6" t="s">
        <v>4344</v>
      </c>
    </row>
    <row r="644" customFormat="false" ht="79.85" hidden="false" customHeight="false" outlineLevel="0" collapsed="false">
      <c r="A644" s="5" t="s">
        <v>4345</v>
      </c>
      <c r="B644" s="2" t="s">
        <v>4346</v>
      </c>
      <c r="C644" s="5" t="s">
        <v>2245</v>
      </c>
      <c r="D644" s="5" t="s">
        <v>60</v>
      </c>
      <c r="E644" s="2" t="s">
        <v>4347</v>
      </c>
      <c r="F644" s="5" t="s">
        <v>62</v>
      </c>
      <c r="G644" s="5" t="n">
        <v>5</v>
      </c>
      <c r="H644" s="5" t="s">
        <v>89</v>
      </c>
      <c r="I644" s="5" t="s">
        <v>64</v>
      </c>
      <c r="J644" s="5" t="s">
        <v>65</v>
      </c>
      <c r="K644" s="5" t="s">
        <v>66</v>
      </c>
      <c r="L644" s="2" t="s">
        <v>100</v>
      </c>
      <c r="M644" s="2" t="s">
        <v>1113</v>
      </c>
      <c r="N644" s="2" t="s">
        <v>3129</v>
      </c>
      <c r="O644" s="2" t="s">
        <v>3130</v>
      </c>
      <c r="P644" s="2"/>
      <c r="Q644" s="5" t="n">
        <v>1</v>
      </c>
      <c r="R644" s="2" t="s">
        <v>71</v>
      </c>
      <c r="S644" s="2" t="s">
        <v>4348</v>
      </c>
      <c r="T644" s="2" t="s">
        <v>3132</v>
      </c>
      <c r="U644" s="2" t="s">
        <v>74</v>
      </c>
      <c r="V644" s="5" t="n">
        <v>300</v>
      </c>
      <c r="W644" s="2"/>
      <c r="X644" s="2" t="s">
        <v>3133</v>
      </c>
      <c r="Y644" s="5" t="s">
        <v>3134</v>
      </c>
      <c r="Z644" s="2" t="s">
        <v>4349</v>
      </c>
      <c r="AA644" s="6" t="s">
        <v>4350</v>
      </c>
    </row>
    <row r="645" customFormat="false" ht="68.65" hidden="false" customHeight="false" outlineLevel="0" collapsed="false">
      <c r="A645" s="5" t="s">
        <v>4351</v>
      </c>
      <c r="B645" s="2" t="s">
        <v>4352</v>
      </c>
      <c r="C645" s="5" t="s">
        <v>2245</v>
      </c>
      <c r="D645" s="5" t="s">
        <v>60</v>
      </c>
      <c r="E645" s="2" t="s">
        <v>751</v>
      </c>
      <c r="F645" s="5" t="s">
        <v>62</v>
      </c>
      <c r="G645" s="5" t="n">
        <v>3</v>
      </c>
      <c r="H645" s="5" t="s">
        <v>817</v>
      </c>
      <c r="I645" s="5" t="s">
        <v>64</v>
      </c>
      <c r="J645" s="5" t="s">
        <v>65</v>
      </c>
      <c r="K645" s="5" t="s">
        <v>66</v>
      </c>
      <c r="L645" s="2" t="s">
        <v>90</v>
      </c>
      <c r="M645" s="2"/>
      <c r="N645" s="2" t="s">
        <v>3129</v>
      </c>
      <c r="O645" s="2" t="s">
        <v>3130</v>
      </c>
      <c r="P645" s="2"/>
      <c r="Q645" s="5" t="n">
        <v>1</v>
      </c>
      <c r="R645" s="2" t="s">
        <v>71</v>
      </c>
      <c r="S645" s="2" t="s">
        <v>4353</v>
      </c>
      <c r="T645" s="2" t="s">
        <v>3132</v>
      </c>
      <c r="U645" s="2" t="s">
        <v>74</v>
      </c>
      <c r="V645" s="5" t="n">
        <v>300</v>
      </c>
      <c r="W645" s="2"/>
      <c r="X645" s="2" t="s">
        <v>3133</v>
      </c>
      <c r="Y645" s="5" t="s">
        <v>3134</v>
      </c>
      <c r="Z645" s="2" t="s">
        <v>4354</v>
      </c>
      <c r="AA645" s="6" t="s">
        <v>4355</v>
      </c>
    </row>
    <row r="646" customFormat="false" ht="113.4" hidden="false" customHeight="false" outlineLevel="0" collapsed="false">
      <c r="A646" s="5" t="s">
        <v>4356</v>
      </c>
      <c r="B646" s="2" t="s">
        <v>4357</v>
      </c>
      <c r="C646" s="5" t="s">
        <v>2245</v>
      </c>
      <c r="D646" s="5" t="s">
        <v>60</v>
      </c>
      <c r="E646" s="2" t="s">
        <v>1384</v>
      </c>
      <c r="F646" s="5" t="s">
        <v>490</v>
      </c>
      <c r="G646" s="5" t="n">
        <v>7</v>
      </c>
      <c r="H646" s="5" t="s">
        <v>89</v>
      </c>
      <c r="I646" s="5" t="s">
        <v>64</v>
      </c>
      <c r="J646" s="5" t="s">
        <v>65</v>
      </c>
      <c r="K646" s="5" t="s">
        <v>66</v>
      </c>
      <c r="L646" s="2" t="s">
        <v>100</v>
      </c>
      <c r="M646" s="2" t="s">
        <v>340</v>
      </c>
      <c r="N646" s="2" t="s">
        <v>3232</v>
      </c>
      <c r="O646" s="2" t="s">
        <v>1105</v>
      </c>
      <c r="P646" s="2"/>
      <c r="Q646" s="5" t="n">
        <v>1</v>
      </c>
      <c r="R646" s="2" t="s">
        <v>71</v>
      </c>
      <c r="S646" s="2" t="s">
        <v>4358</v>
      </c>
      <c r="T646" s="2" t="s">
        <v>1176</v>
      </c>
      <c r="U646" s="2" t="s">
        <v>74</v>
      </c>
      <c r="V646" s="5" t="n">
        <v>300</v>
      </c>
      <c r="W646" s="2"/>
      <c r="X646" s="2" t="s">
        <v>1108</v>
      </c>
      <c r="Y646" s="5" t="s">
        <v>309</v>
      </c>
      <c r="Z646" s="2" t="s">
        <v>4359</v>
      </c>
      <c r="AA646" s="6" t="s">
        <v>4360</v>
      </c>
    </row>
    <row r="647" customFormat="false" ht="68.65" hidden="false" customHeight="false" outlineLevel="0" collapsed="false">
      <c r="A647" s="5" t="s">
        <v>4361</v>
      </c>
      <c r="B647" s="2" t="s">
        <v>4362</v>
      </c>
      <c r="C647" s="5" t="s">
        <v>2245</v>
      </c>
      <c r="D647" s="5" t="s">
        <v>60</v>
      </c>
      <c r="E647" s="2" t="s">
        <v>1384</v>
      </c>
      <c r="F647" s="5" t="s">
        <v>62</v>
      </c>
      <c r="G647" s="5" t="n">
        <v>7</v>
      </c>
      <c r="H647" s="5" t="s">
        <v>89</v>
      </c>
      <c r="I647" s="5" t="s">
        <v>64</v>
      </c>
      <c r="J647" s="5" t="s">
        <v>65</v>
      </c>
      <c r="K647" s="5" t="s">
        <v>66</v>
      </c>
      <c r="L647" s="2" t="s">
        <v>100</v>
      </c>
      <c r="M647" s="2" t="s">
        <v>340</v>
      </c>
      <c r="N647" s="2" t="s">
        <v>3129</v>
      </c>
      <c r="O647" s="2" t="s">
        <v>3130</v>
      </c>
      <c r="P647" s="2"/>
      <c r="Q647" s="5" t="n">
        <v>1</v>
      </c>
      <c r="R647" s="2" t="s">
        <v>71</v>
      </c>
      <c r="S647" s="2" t="s">
        <v>4363</v>
      </c>
      <c r="T647" s="2" t="s">
        <v>3132</v>
      </c>
      <c r="U647" s="2" t="s">
        <v>74</v>
      </c>
      <c r="V647" s="5" t="n">
        <v>300</v>
      </c>
      <c r="W647" s="2"/>
      <c r="X647" s="2" t="s">
        <v>3133</v>
      </c>
      <c r="Y647" s="5" t="s">
        <v>3134</v>
      </c>
      <c r="Z647" s="2" t="s">
        <v>4364</v>
      </c>
      <c r="AA647" s="6" t="s">
        <v>4365</v>
      </c>
    </row>
    <row r="648" customFormat="false" ht="57.45" hidden="false" customHeight="false" outlineLevel="0" collapsed="false">
      <c r="A648" s="5" t="s">
        <v>4366</v>
      </c>
      <c r="B648" s="2" t="s">
        <v>4367</v>
      </c>
      <c r="C648" s="5" t="s">
        <v>2128</v>
      </c>
      <c r="D648" s="5" t="s">
        <v>60</v>
      </c>
      <c r="E648" s="2" t="s">
        <v>276</v>
      </c>
      <c r="F648" s="5" t="s">
        <v>62</v>
      </c>
      <c r="G648" s="5" t="n">
        <v>7</v>
      </c>
      <c r="H648" s="5" t="s">
        <v>89</v>
      </c>
      <c r="I648" s="5" t="s">
        <v>64</v>
      </c>
      <c r="J648" s="5" t="s">
        <v>65</v>
      </c>
      <c r="K648" s="5" t="s">
        <v>66</v>
      </c>
      <c r="L648" s="2" t="s">
        <v>1814</v>
      </c>
      <c r="M648" s="2" t="s">
        <v>3252</v>
      </c>
      <c r="N648" s="2" t="s">
        <v>184</v>
      </c>
      <c r="O648" s="2" t="s">
        <v>210</v>
      </c>
      <c r="P648" s="2"/>
      <c r="Q648" s="5" t="n">
        <v>1</v>
      </c>
      <c r="R648" s="2" t="s">
        <v>71</v>
      </c>
      <c r="S648" s="2" t="s">
        <v>4368</v>
      </c>
      <c r="T648" s="2" t="s">
        <v>3606</v>
      </c>
      <c r="U648" s="2" t="s">
        <v>74</v>
      </c>
      <c r="V648" s="5" t="n">
        <v>300</v>
      </c>
      <c r="W648" s="2"/>
      <c r="X648" s="2" t="s">
        <v>213</v>
      </c>
      <c r="Y648" s="5" t="s">
        <v>214</v>
      </c>
      <c r="Z648" s="2" t="s">
        <v>4369</v>
      </c>
      <c r="AA648" s="6" t="s">
        <v>4370</v>
      </c>
    </row>
    <row r="649" customFormat="false" ht="68.65" hidden="false" customHeight="false" outlineLevel="0" collapsed="false">
      <c r="A649" s="5" t="s">
        <v>4371</v>
      </c>
      <c r="B649" s="2" t="s">
        <v>4372</v>
      </c>
      <c r="C649" s="5" t="s">
        <v>2128</v>
      </c>
      <c r="D649" s="5" t="s">
        <v>60</v>
      </c>
      <c r="E649" s="2" t="s">
        <v>2078</v>
      </c>
      <c r="F649" s="5" t="s">
        <v>62</v>
      </c>
      <c r="G649" s="5" t="n">
        <v>7</v>
      </c>
      <c r="H649" s="5" t="s">
        <v>89</v>
      </c>
      <c r="I649" s="5" t="s">
        <v>64</v>
      </c>
      <c r="J649" s="5" t="s">
        <v>65</v>
      </c>
      <c r="K649" s="5" t="s">
        <v>66</v>
      </c>
      <c r="L649" s="2" t="s">
        <v>2079</v>
      </c>
      <c r="M649" s="2" t="s">
        <v>3139</v>
      </c>
      <c r="N649" s="2" t="s">
        <v>184</v>
      </c>
      <c r="O649" s="2" t="s">
        <v>1612</v>
      </c>
      <c r="P649" s="2"/>
      <c r="Q649" s="5" t="n">
        <v>1</v>
      </c>
      <c r="R649" s="2" t="s">
        <v>71</v>
      </c>
      <c r="S649" s="2" t="s">
        <v>4373</v>
      </c>
      <c r="T649" s="2" t="s">
        <v>1614</v>
      </c>
      <c r="U649" s="2" t="s">
        <v>74</v>
      </c>
      <c r="V649" s="5" t="n">
        <v>300</v>
      </c>
      <c r="W649" s="2"/>
      <c r="X649" s="2" t="s">
        <v>1615</v>
      </c>
      <c r="Y649" s="5"/>
      <c r="Z649" s="2" t="s">
        <v>4374</v>
      </c>
      <c r="AA649" s="6" t="s">
        <v>4375</v>
      </c>
    </row>
    <row r="650" customFormat="false" ht="46.25" hidden="false" customHeight="false" outlineLevel="0" collapsed="false">
      <c r="A650" s="5" t="s">
        <v>4376</v>
      </c>
      <c r="B650" s="2" t="s">
        <v>4377</v>
      </c>
      <c r="C650" s="5" t="s">
        <v>2128</v>
      </c>
      <c r="D650" s="5" t="s">
        <v>60</v>
      </c>
      <c r="E650" s="2" t="s">
        <v>269</v>
      </c>
      <c r="F650" s="5" t="s">
        <v>62</v>
      </c>
      <c r="G650" s="5" t="n">
        <v>5</v>
      </c>
      <c r="H650" s="5" t="s">
        <v>89</v>
      </c>
      <c r="I650" s="5" t="s">
        <v>64</v>
      </c>
      <c r="J650" s="5" t="s">
        <v>65</v>
      </c>
      <c r="K650" s="5" t="s">
        <v>66</v>
      </c>
      <c r="L650" s="2" t="s">
        <v>90</v>
      </c>
      <c r="M650" s="2"/>
      <c r="N650" s="2" t="s">
        <v>184</v>
      </c>
      <c r="O650" s="2" t="s">
        <v>4378</v>
      </c>
      <c r="P650" s="2"/>
      <c r="Q650" s="5" t="n">
        <v>1</v>
      </c>
      <c r="R650" s="2" t="s">
        <v>71</v>
      </c>
      <c r="S650" s="2" t="s">
        <v>4379</v>
      </c>
      <c r="T650" s="2" t="s">
        <v>4380</v>
      </c>
      <c r="U650" s="2" t="s">
        <v>74</v>
      </c>
      <c r="V650" s="5" t="n">
        <v>300</v>
      </c>
      <c r="W650" s="2"/>
      <c r="X650" s="2" t="s">
        <v>4381</v>
      </c>
      <c r="Y650" s="5"/>
      <c r="Z650" s="2" t="s">
        <v>4382</v>
      </c>
      <c r="AA650" s="6" t="s">
        <v>4383</v>
      </c>
    </row>
    <row r="651" customFormat="false" ht="124.6" hidden="false" customHeight="false" outlineLevel="0" collapsed="false">
      <c r="A651" s="5" t="s">
        <v>4384</v>
      </c>
      <c r="B651" s="2" t="s">
        <v>4385</v>
      </c>
      <c r="C651" s="5" t="s">
        <v>2128</v>
      </c>
      <c r="D651" s="5" t="s">
        <v>60</v>
      </c>
      <c r="E651" s="2" t="s">
        <v>269</v>
      </c>
      <c r="F651" s="5" t="s">
        <v>62</v>
      </c>
      <c r="G651" s="5" t="n">
        <v>7</v>
      </c>
      <c r="H651" s="5" t="s">
        <v>89</v>
      </c>
      <c r="I651" s="5" t="s">
        <v>64</v>
      </c>
      <c r="J651" s="5" t="s">
        <v>65</v>
      </c>
      <c r="K651" s="5" t="s">
        <v>66</v>
      </c>
      <c r="L651" s="2" t="s">
        <v>413</v>
      </c>
      <c r="M651" s="2" t="s">
        <v>3735</v>
      </c>
      <c r="N651" s="2" t="s">
        <v>184</v>
      </c>
      <c r="O651" s="2" t="s">
        <v>4386</v>
      </c>
      <c r="P651" s="2"/>
      <c r="Q651" s="5" t="n">
        <v>1</v>
      </c>
      <c r="R651" s="2" t="s">
        <v>71</v>
      </c>
      <c r="S651" s="2" t="s">
        <v>4387</v>
      </c>
      <c r="T651" s="2" t="s">
        <v>4388</v>
      </c>
      <c r="U651" s="2" t="s">
        <v>74</v>
      </c>
      <c r="V651" s="5" t="n">
        <v>300</v>
      </c>
      <c r="W651" s="2"/>
      <c r="X651" s="2" t="s">
        <v>4389</v>
      </c>
      <c r="Y651" s="5"/>
      <c r="Z651" s="2" t="s">
        <v>4390</v>
      </c>
      <c r="AA651" s="6" t="s">
        <v>4391</v>
      </c>
    </row>
    <row r="652" customFormat="false" ht="124.6" hidden="false" customHeight="false" outlineLevel="0" collapsed="false">
      <c r="A652" s="5" t="s">
        <v>4392</v>
      </c>
      <c r="B652" s="2" t="s">
        <v>4393</v>
      </c>
      <c r="C652" s="5" t="s">
        <v>2128</v>
      </c>
      <c r="D652" s="5" t="s">
        <v>60</v>
      </c>
      <c r="E652" s="2" t="s">
        <v>269</v>
      </c>
      <c r="F652" s="5" t="s">
        <v>62</v>
      </c>
      <c r="G652" s="5" t="n">
        <v>7</v>
      </c>
      <c r="H652" s="5" t="s">
        <v>89</v>
      </c>
      <c r="I652" s="5" t="s">
        <v>64</v>
      </c>
      <c r="J652" s="5" t="s">
        <v>65</v>
      </c>
      <c r="K652" s="5" t="s">
        <v>66</v>
      </c>
      <c r="L652" s="2" t="s">
        <v>413</v>
      </c>
      <c r="M652" s="2" t="s">
        <v>3735</v>
      </c>
      <c r="N652" s="2" t="s">
        <v>184</v>
      </c>
      <c r="O652" s="2" t="s">
        <v>4394</v>
      </c>
      <c r="P652" s="2"/>
      <c r="Q652" s="5" t="n">
        <v>1</v>
      </c>
      <c r="R652" s="2" t="s">
        <v>71</v>
      </c>
      <c r="S652" s="2" t="s">
        <v>4387</v>
      </c>
      <c r="T652" s="2" t="s">
        <v>4388</v>
      </c>
      <c r="U652" s="2" t="s">
        <v>74</v>
      </c>
      <c r="V652" s="5" t="n">
        <v>300</v>
      </c>
      <c r="W652" s="2"/>
      <c r="X652" s="2" t="s">
        <v>4395</v>
      </c>
      <c r="Y652" s="5"/>
      <c r="Z652" s="2" t="s">
        <v>4396</v>
      </c>
      <c r="AA652" s="6" t="s">
        <v>4397</v>
      </c>
    </row>
    <row r="653" customFormat="false" ht="102.2" hidden="false" customHeight="false" outlineLevel="0" collapsed="false">
      <c r="A653" s="5" t="s">
        <v>4398</v>
      </c>
      <c r="B653" s="2" t="s">
        <v>4399</v>
      </c>
      <c r="C653" s="5" t="s">
        <v>2245</v>
      </c>
      <c r="D653" s="5" t="s">
        <v>60</v>
      </c>
      <c r="E653" s="2" t="s">
        <v>161</v>
      </c>
      <c r="F653" s="5" t="s">
        <v>490</v>
      </c>
      <c r="G653" s="5" t="n">
        <v>5</v>
      </c>
      <c r="H653" s="5" t="s">
        <v>89</v>
      </c>
      <c r="I653" s="5" t="s">
        <v>64</v>
      </c>
      <c r="J653" s="5" t="s">
        <v>65</v>
      </c>
      <c r="K653" s="5" t="s">
        <v>66</v>
      </c>
      <c r="L653" s="2" t="s">
        <v>67</v>
      </c>
      <c r="M653" s="2" t="s">
        <v>578</v>
      </c>
      <c r="N653" s="2" t="s">
        <v>3232</v>
      </c>
      <c r="O653" s="2" t="s">
        <v>3327</v>
      </c>
      <c r="P653" s="2"/>
      <c r="Q653" s="5" t="n">
        <v>1</v>
      </c>
      <c r="R653" s="2" t="s">
        <v>71</v>
      </c>
      <c r="S653" s="2" t="s">
        <v>4400</v>
      </c>
      <c r="T653" s="2" t="s">
        <v>3329</v>
      </c>
      <c r="U653" s="2" t="s">
        <v>74</v>
      </c>
      <c r="V653" s="5" t="n">
        <v>300</v>
      </c>
      <c r="W653" s="2"/>
      <c r="X653" s="2" t="s">
        <v>3330</v>
      </c>
      <c r="Y653" s="5" t="s">
        <v>1225</v>
      </c>
      <c r="Z653" s="2" t="s">
        <v>4401</v>
      </c>
      <c r="AA653" s="6" t="s">
        <v>4402</v>
      </c>
    </row>
    <row r="654" customFormat="false" ht="46.25" hidden="false" customHeight="false" outlineLevel="0" collapsed="false">
      <c r="A654" s="5" t="s">
        <v>4403</v>
      </c>
      <c r="B654" s="2" t="s">
        <v>4404</v>
      </c>
      <c r="C654" s="5" t="s">
        <v>2128</v>
      </c>
      <c r="D654" s="5" t="s">
        <v>60</v>
      </c>
      <c r="E654" s="2" t="s">
        <v>269</v>
      </c>
      <c r="F654" s="5" t="s">
        <v>62</v>
      </c>
      <c r="G654" s="5" t="n">
        <v>3</v>
      </c>
      <c r="H654" s="5" t="s">
        <v>817</v>
      </c>
      <c r="I654" s="5" t="s">
        <v>64</v>
      </c>
      <c r="J654" s="5" t="s">
        <v>65</v>
      </c>
      <c r="K654" s="5" t="s">
        <v>66</v>
      </c>
      <c r="L654" s="2" t="s">
        <v>67</v>
      </c>
      <c r="M654" s="2" t="s">
        <v>3309</v>
      </c>
      <c r="N654" s="2" t="s">
        <v>184</v>
      </c>
      <c r="O654" s="2" t="s">
        <v>3906</v>
      </c>
      <c r="P654" s="2"/>
      <c r="Q654" s="5" t="n">
        <v>1</v>
      </c>
      <c r="R654" s="2" t="s">
        <v>71</v>
      </c>
      <c r="S654" s="2" t="s">
        <v>4405</v>
      </c>
      <c r="T654" s="2" t="s">
        <v>1432</v>
      </c>
      <c r="U654" s="2" t="s">
        <v>74</v>
      </c>
      <c r="V654" s="5" t="n">
        <v>300</v>
      </c>
      <c r="W654" s="2"/>
      <c r="X654" s="2" t="s">
        <v>1516</v>
      </c>
      <c r="Y654" s="5"/>
      <c r="Z654" s="2" t="s">
        <v>4406</v>
      </c>
      <c r="AA654" s="6" t="s">
        <v>4407</v>
      </c>
    </row>
    <row r="655" customFormat="false" ht="68.65" hidden="false" customHeight="false" outlineLevel="0" collapsed="false">
      <c r="A655" s="5" t="s">
        <v>4408</v>
      </c>
      <c r="B655" s="2" t="s">
        <v>4409</v>
      </c>
      <c r="C655" s="5" t="s">
        <v>2128</v>
      </c>
      <c r="D655" s="5" t="s">
        <v>60</v>
      </c>
      <c r="E655" s="2" t="s">
        <v>182</v>
      </c>
      <c r="F655" s="5" t="s">
        <v>62</v>
      </c>
      <c r="G655" s="5" t="n">
        <v>7</v>
      </c>
      <c r="H655" s="5" t="s">
        <v>89</v>
      </c>
      <c r="I655" s="5" t="s">
        <v>64</v>
      </c>
      <c r="J655" s="5" t="s">
        <v>65</v>
      </c>
      <c r="K655" s="5" t="s">
        <v>66</v>
      </c>
      <c r="L655" s="2" t="s">
        <v>90</v>
      </c>
      <c r="M655" s="2" t="s">
        <v>3850</v>
      </c>
      <c r="N655" s="2" t="s">
        <v>184</v>
      </c>
      <c r="O655" s="2" t="s">
        <v>385</v>
      </c>
      <c r="P655" s="2"/>
      <c r="Q655" s="5" t="n">
        <v>1</v>
      </c>
      <c r="R655" s="2" t="s">
        <v>71</v>
      </c>
      <c r="S655" s="2" t="s">
        <v>4410</v>
      </c>
      <c r="T655" s="2" t="s">
        <v>4411</v>
      </c>
      <c r="U655" s="2" t="s">
        <v>74</v>
      </c>
      <c r="V655" s="5" t="n">
        <v>300</v>
      </c>
      <c r="W655" s="2"/>
      <c r="X655" s="2" t="s">
        <v>386</v>
      </c>
      <c r="Y655" s="5" t="s">
        <v>192</v>
      </c>
      <c r="Z655" s="2" t="s">
        <v>4412</v>
      </c>
      <c r="AA655" s="6" t="s">
        <v>4413</v>
      </c>
    </row>
    <row r="656" customFormat="false" ht="46.25" hidden="false" customHeight="false" outlineLevel="0" collapsed="false">
      <c r="A656" s="5" t="s">
        <v>4414</v>
      </c>
      <c r="B656" s="2" t="s">
        <v>4415</v>
      </c>
      <c r="C656" s="5" t="s">
        <v>2128</v>
      </c>
      <c r="D656" s="5" t="s">
        <v>60</v>
      </c>
      <c r="E656" s="2" t="s">
        <v>269</v>
      </c>
      <c r="F656" s="5" t="s">
        <v>62</v>
      </c>
      <c r="G656" s="5" t="n">
        <v>9</v>
      </c>
      <c r="H656" s="5" t="s">
        <v>63</v>
      </c>
      <c r="I656" s="5" t="s">
        <v>64</v>
      </c>
      <c r="J656" s="5" t="s">
        <v>65</v>
      </c>
      <c r="K656" s="5" t="s">
        <v>66</v>
      </c>
      <c r="L656" s="2" t="s">
        <v>277</v>
      </c>
      <c r="M656" s="2" t="s">
        <v>3297</v>
      </c>
      <c r="N656" s="2" t="s">
        <v>184</v>
      </c>
      <c r="O656" s="2" t="s">
        <v>1457</v>
      </c>
      <c r="P656" s="2"/>
      <c r="Q656" s="5" t="n">
        <v>1</v>
      </c>
      <c r="R656" s="2" t="s">
        <v>71</v>
      </c>
      <c r="S656" s="2" t="s">
        <v>4416</v>
      </c>
      <c r="T656" s="2" t="s">
        <v>1857</v>
      </c>
      <c r="U656" s="2" t="s">
        <v>74</v>
      </c>
      <c r="V656" s="5" t="n">
        <v>300</v>
      </c>
      <c r="W656" s="2"/>
      <c r="X656" s="2" t="s">
        <v>1460</v>
      </c>
      <c r="Y656" s="5"/>
      <c r="Z656" s="2" t="s">
        <v>4417</v>
      </c>
      <c r="AA656" s="6" t="s">
        <v>4418</v>
      </c>
    </row>
    <row r="657" customFormat="false" ht="46.25" hidden="false" customHeight="false" outlineLevel="0" collapsed="false">
      <c r="A657" s="5" t="s">
        <v>4419</v>
      </c>
      <c r="B657" s="2" t="s">
        <v>4420</v>
      </c>
      <c r="C657" s="5" t="s">
        <v>2128</v>
      </c>
      <c r="D657" s="5" t="s">
        <v>60</v>
      </c>
      <c r="E657" s="2" t="s">
        <v>269</v>
      </c>
      <c r="F657" s="5" t="s">
        <v>62</v>
      </c>
      <c r="G657" s="5" t="n">
        <v>7</v>
      </c>
      <c r="H657" s="5" t="s">
        <v>89</v>
      </c>
      <c r="I657" s="5" t="s">
        <v>64</v>
      </c>
      <c r="J657" s="5" t="s">
        <v>65</v>
      </c>
      <c r="K657" s="5" t="s">
        <v>66</v>
      </c>
      <c r="L657" s="2" t="s">
        <v>90</v>
      </c>
      <c r="M657" s="2"/>
      <c r="N657" s="2" t="s">
        <v>184</v>
      </c>
      <c r="O657" s="2" t="s">
        <v>4421</v>
      </c>
      <c r="P657" s="2"/>
      <c r="Q657" s="5" t="n">
        <v>1</v>
      </c>
      <c r="R657" s="2" t="s">
        <v>71</v>
      </c>
      <c r="S657" s="2" t="s">
        <v>4422</v>
      </c>
      <c r="T657" s="2" t="s">
        <v>4423</v>
      </c>
      <c r="U657" s="2" t="s">
        <v>74</v>
      </c>
      <c r="V657" s="5" t="n">
        <v>300</v>
      </c>
      <c r="W657" s="2"/>
      <c r="X657" s="2" t="s">
        <v>2060</v>
      </c>
      <c r="Y657" s="5"/>
      <c r="Z657" s="2" t="s">
        <v>4424</v>
      </c>
      <c r="AA657" s="6" t="s">
        <v>4425</v>
      </c>
    </row>
    <row r="658" customFormat="false" ht="91" hidden="false" customHeight="false" outlineLevel="0" collapsed="false">
      <c r="A658" s="5" t="s">
        <v>4426</v>
      </c>
      <c r="B658" s="2" t="s">
        <v>4427</v>
      </c>
      <c r="C658" s="5" t="s">
        <v>2128</v>
      </c>
      <c r="D658" s="5" t="s">
        <v>60</v>
      </c>
      <c r="E658" s="2" t="s">
        <v>269</v>
      </c>
      <c r="F658" s="5" t="s">
        <v>62</v>
      </c>
      <c r="G658" s="5" t="n">
        <v>7</v>
      </c>
      <c r="H658" s="5" t="s">
        <v>89</v>
      </c>
      <c r="I658" s="5" t="s">
        <v>64</v>
      </c>
      <c r="J658" s="5" t="s">
        <v>65</v>
      </c>
      <c r="K658" s="5" t="s">
        <v>66</v>
      </c>
      <c r="L658" s="2" t="s">
        <v>67</v>
      </c>
      <c r="M658" s="2" t="s">
        <v>3480</v>
      </c>
      <c r="N658" s="2" t="s">
        <v>184</v>
      </c>
      <c r="O658" s="2" t="s">
        <v>4428</v>
      </c>
      <c r="P658" s="2"/>
      <c r="Q658" s="5" t="n">
        <v>1</v>
      </c>
      <c r="R658" s="2" t="s">
        <v>71</v>
      </c>
      <c r="S658" s="2" t="s">
        <v>4429</v>
      </c>
      <c r="T658" s="2" t="s">
        <v>4430</v>
      </c>
      <c r="U658" s="2" t="s">
        <v>74</v>
      </c>
      <c r="V658" s="5" t="n">
        <v>300</v>
      </c>
      <c r="W658" s="2"/>
      <c r="X658" s="2" t="s">
        <v>4431</v>
      </c>
      <c r="Y658" s="5"/>
      <c r="Z658" s="2" t="s">
        <v>4432</v>
      </c>
      <c r="AA658" s="6" t="s">
        <v>4433</v>
      </c>
    </row>
    <row r="659" customFormat="false" ht="35.05" hidden="false" customHeight="false" outlineLevel="0" collapsed="false">
      <c r="A659" s="5" t="s">
        <v>4434</v>
      </c>
      <c r="B659" s="2" t="s">
        <v>4435</v>
      </c>
      <c r="C659" s="5" t="s">
        <v>2128</v>
      </c>
      <c r="D659" s="5" t="s">
        <v>60</v>
      </c>
      <c r="E659" s="2" t="s">
        <v>269</v>
      </c>
      <c r="F659" s="5" t="s">
        <v>62</v>
      </c>
      <c r="G659" s="5" t="n">
        <v>10</v>
      </c>
      <c r="H659" s="5" t="s">
        <v>63</v>
      </c>
      <c r="I659" s="5" t="s">
        <v>64</v>
      </c>
      <c r="J659" s="5" t="s">
        <v>65</v>
      </c>
      <c r="K659" s="5" t="s">
        <v>66</v>
      </c>
      <c r="L659" s="2" t="s">
        <v>67</v>
      </c>
      <c r="M659" s="2" t="s">
        <v>2926</v>
      </c>
      <c r="N659" s="2" t="s">
        <v>184</v>
      </c>
      <c r="O659" s="2" t="s">
        <v>3381</v>
      </c>
      <c r="P659" s="2"/>
      <c r="Q659" s="5" t="n">
        <v>1</v>
      </c>
      <c r="R659" s="2" t="s">
        <v>71</v>
      </c>
      <c r="S659" s="2" t="s">
        <v>4436</v>
      </c>
      <c r="T659" s="2" t="s">
        <v>1098</v>
      </c>
      <c r="U659" s="2" t="s">
        <v>74</v>
      </c>
      <c r="V659" s="5" t="n">
        <v>300</v>
      </c>
      <c r="W659" s="2"/>
      <c r="X659" s="2" t="s">
        <v>3383</v>
      </c>
      <c r="Y659" s="5"/>
      <c r="Z659" s="2" t="s">
        <v>4437</v>
      </c>
      <c r="AA659" s="6" t="s">
        <v>4438</v>
      </c>
    </row>
    <row r="660" customFormat="false" ht="57.45" hidden="false" customHeight="false" outlineLevel="0" collapsed="false">
      <c r="A660" s="5" t="s">
        <v>4439</v>
      </c>
      <c r="B660" s="2" t="s">
        <v>4440</v>
      </c>
      <c r="C660" s="5" t="s">
        <v>2128</v>
      </c>
      <c r="D660" s="5" t="s">
        <v>60</v>
      </c>
      <c r="E660" s="2" t="s">
        <v>269</v>
      </c>
      <c r="F660" s="5" t="s">
        <v>62</v>
      </c>
      <c r="G660" s="5" t="n">
        <v>7</v>
      </c>
      <c r="H660" s="5" t="s">
        <v>89</v>
      </c>
      <c r="I660" s="5" t="s">
        <v>64</v>
      </c>
      <c r="J660" s="5" t="s">
        <v>65</v>
      </c>
      <c r="K660" s="5" t="s">
        <v>66</v>
      </c>
      <c r="L660" s="2" t="s">
        <v>413</v>
      </c>
      <c r="M660" s="2" t="s">
        <v>3838</v>
      </c>
      <c r="N660" s="2" t="s">
        <v>184</v>
      </c>
      <c r="O660" s="2" t="s">
        <v>1612</v>
      </c>
      <c r="P660" s="2"/>
      <c r="Q660" s="5" t="n">
        <v>1</v>
      </c>
      <c r="R660" s="2" t="s">
        <v>71</v>
      </c>
      <c r="S660" s="2" t="s">
        <v>4441</v>
      </c>
      <c r="T660" s="2" t="s">
        <v>3410</v>
      </c>
      <c r="U660" s="2" t="s">
        <v>74</v>
      </c>
      <c r="V660" s="5" t="n">
        <v>300</v>
      </c>
      <c r="W660" s="2"/>
      <c r="X660" s="2" t="s">
        <v>1615</v>
      </c>
      <c r="Y660" s="5"/>
      <c r="Z660" s="2" t="s">
        <v>4442</v>
      </c>
      <c r="AA660" s="6" t="s">
        <v>4443</v>
      </c>
    </row>
    <row r="661" customFormat="false" ht="57.45" hidden="false" customHeight="false" outlineLevel="0" collapsed="false">
      <c r="A661" s="5" t="s">
        <v>4444</v>
      </c>
      <c r="B661" s="2" t="s">
        <v>4445</v>
      </c>
      <c r="C661" s="5" t="s">
        <v>2128</v>
      </c>
      <c r="D661" s="5" t="s">
        <v>60</v>
      </c>
      <c r="E661" s="2" t="s">
        <v>269</v>
      </c>
      <c r="F661" s="5" t="s">
        <v>62</v>
      </c>
      <c r="G661" s="5" t="n">
        <v>5</v>
      </c>
      <c r="H661" s="5" t="s">
        <v>89</v>
      </c>
      <c r="I661" s="5" t="s">
        <v>64</v>
      </c>
      <c r="J661" s="5" t="s">
        <v>65</v>
      </c>
      <c r="K661" s="5" t="s">
        <v>66</v>
      </c>
      <c r="L661" s="2" t="s">
        <v>90</v>
      </c>
      <c r="M661" s="2"/>
      <c r="N661" s="2" t="s">
        <v>184</v>
      </c>
      <c r="O661" s="2" t="s">
        <v>416</v>
      </c>
      <c r="P661" s="2"/>
      <c r="Q661" s="5" t="n">
        <v>1</v>
      </c>
      <c r="R661" s="2" t="s">
        <v>71</v>
      </c>
      <c r="S661" s="2" t="s">
        <v>4446</v>
      </c>
      <c r="T661" s="2" t="s">
        <v>1200</v>
      </c>
      <c r="U661" s="2" t="s">
        <v>74</v>
      </c>
      <c r="V661" s="5" t="n">
        <v>300</v>
      </c>
      <c r="W661" s="2"/>
      <c r="X661" s="2" t="s">
        <v>419</v>
      </c>
      <c r="Y661" s="5"/>
      <c r="Z661" s="2" t="s">
        <v>4447</v>
      </c>
      <c r="AA661" s="6" t="s">
        <v>4448</v>
      </c>
    </row>
    <row r="662" customFormat="false" ht="68.65" hidden="false" customHeight="false" outlineLevel="0" collapsed="false">
      <c r="A662" s="5" t="s">
        <v>4449</v>
      </c>
      <c r="B662" s="2" t="s">
        <v>4450</v>
      </c>
      <c r="C662" s="5" t="s">
        <v>2245</v>
      </c>
      <c r="D662" s="5" t="s">
        <v>60</v>
      </c>
      <c r="E662" s="2" t="s">
        <v>269</v>
      </c>
      <c r="F662" s="5" t="s">
        <v>62</v>
      </c>
      <c r="G662" s="5" t="n">
        <v>3</v>
      </c>
      <c r="H662" s="5" t="s">
        <v>817</v>
      </c>
      <c r="I662" s="5" t="s">
        <v>64</v>
      </c>
      <c r="J662" s="5" t="s">
        <v>65</v>
      </c>
      <c r="K662" s="5" t="s">
        <v>66</v>
      </c>
      <c r="L662" s="2" t="s">
        <v>90</v>
      </c>
      <c r="M662" s="2"/>
      <c r="N662" s="2" t="s">
        <v>3499</v>
      </c>
      <c r="O662" s="2" t="s">
        <v>1198</v>
      </c>
      <c r="P662" s="2"/>
      <c r="Q662" s="5" t="n">
        <v>1</v>
      </c>
      <c r="R662" s="2" t="s">
        <v>71</v>
      </c>
      <c r="S662" s="2" t="s">
        <v>4451</v>
      </c>
      <c r="T662" s="2" t="s">
        <v>1200</v>
      </c>
      <c r="U662" s="2" t="s">
        <v>74</v>
      </c>
      <c r="V662" s="5" t="n">
        <v>300</v>
      </c>
      <c r="W662" s="2"/>
      <c r="X662" s="2" t="s">
        <v>1201</v>
      </c>
      <c r="Y662" s="5"/>
      <c r="Z662" s="2" t="s">
        <v>4452</v>
      </c>
      <c r="AA662" s="6" t="s">
        <v>4453</v>
      </c>
    </row>
    <row r="663" customFormat="false" ht="46.25" hidden="false" customHeight="false" outlineLevel="0" collapsed="false">
      <c r="A663" s="5" t="s">
        <v>4454</v>
      </c>
      <c r="B663" s="2" t="s">
        <v>4455</v>
      </c>
      <c r="C663" s="5" t="s">
        <v>2128</v>
      </c>
      <c r="D663" s="5" t="s">
        <v>60</v>
      </c>
      <c r="E663" s="2" t="s">
        <v>276</v>
      </c>
      <c r="F663" s="5" t="s">
        <v>62</v>
      </c>
      <c r="G663" s="5" t="n">
        <v>3</v>
      </c>
      <c r="H663" s="5" t="s">
        <v>817</v>
      </c>
      <c r="I663" s="5" t="s">
        <v>64</v>
      </c>
      <c r="J663" s="5" t="s">
        <v>65</v>
      </c>
      <c r="K663" s="5" t="s">
        <v>66</v>
      </c>
      <c r="L663" s="2" t="s">
        <v>90</v>
      </c>
      <c r="M663" s="2"/>
      <c r="N663" s="2" t="s">
        <v>184</v>
      </c>
      <c r="O663" s="2" t="s">
        <v>4456</v>
      </c>
      <c r="P663" s="2"/>
      <c r="Q663" s="5" t="n">
        <v>1</v>
      </c>
      <c r="R663" s="2" t="s">
        <v>71</v>
      </c>
      <c r="S663" s="2" t="s">
        <v>83</v>
      </c>
      <c r="T663" s="2" t="s">
        <v>1098</v>
      </c>
      <c r="U663" s="2" t="s">
        <v>74</v>
      </c>
      <c r="V663" s="5" t="n">
        <v>300</v>
      </c>
      <c r="W663" s="2"/>
      <c r="X663" s="2" t="s">
        <v>3112</v>
      </c>
      <c r="Y663" s="5"/>
      <c r="Z663" s="2" t="s">
        <v>4457</v>
      </c>
      <c r="AA663" s="6" t="s">
        <v>4458</v>
      </c>
    </row>
    <row r="664" customFormat="false" ht="46.25" hidden="false" customHeight="false" outlineLevel="0" collapsed="false">
      <c r="A664" s="5" t="s">
        <v>4459</v>
      </c>
      <c r="B664" s="2" t="s">
        <v>4460</v>
      </c>
      <c r="C664" s="5" t="s">
        <v>2128</v>
      </c>
      <c r="D664" s="5" t="s">
        <v>60</v>
      </c>
      <c r="E664" s="2" t="s">
        <v>161</v>
      </c>
      <c r="F664" s="5" t="s">
        <v>62</v>
      </c>
      <c r="G664" s="5" t="n">
        <v>9</v>
      </c>
      <c r="H664" s="5" t="s">
        <v>63</v>
      </c>
      <c r="I664" s="5" t="s">
        <v>64</v>
      </c>
      <c r="J664" s="5" t="s">
        <v>65</v>
      </c>
      <c r="K664" s="5" t="s">
        <v>66</v>
      </c>
      <c r="L664" s="2" t="s">
        <v>67</v>
      </c>
      <c r="M664" s="2" t="s">
        <v>578</v>
      </c>
      <c r="N664" s="2" t="s">
        <v>367</v>
      </c>
      <c r="O664" s="2" t="s">
        <v>1105</v>
      </c>
      <c r="P664" s="2"/>
      <c r="Q664" s="5" t="n">
        <v>1</v>
      </c>
      <c r="R664" s="2" t="s">
        <v>71</v>
      </c>
      <c r="S664" s="2" t="s">
        <v>4461</v>
      </c>
      <c r="T664" s="2" t="s">
        <v>1432</v>
      </c>
      <c r="U664" s="2" t="s">
        <v>74</v>
      </c>
      <c r="V664" s="5" t="n">
        <v>300</v>
      </c>
      <c r="W664" s="2"/>
      <c r="X664" s="2" t="s">
        <v>1108</v>
      </c>
      <c r="Y664" s="5" t="s">
        <v>309</v>
      </c>
      <c r="Z664" s="2" t="s">
        <v>4462</v>
      </c>
      <c r="AA664" s="6" t="s">
        <v>4463</v>
      </c>
    </row>
    <row r="665" customFormat="false" ht="46.25" hidden="false" customHeight="false" outlineLevel="0" collapsed="false">
      <c r="A665" s="5" t="s">
        <v>4464</v>
      </c>
      <c r="B665" s="2" t="s">
        <v>4465</v>
      </c>
      <c r="C665" s="5" t="s">
        <v>2128</v>
      </c>
      <c r="D665" s="5" t="s">
        <v>60</v>
      </c>
      <c r="E665" s="2" t="s">
        <v>161</v>
      </c>
      <c r="F665" s="5" t="s">
        <v>62</v>
      </c>
      <c r="G665" s="5" t="n">
        <v>7</v>
      </c>
      <c r="H665" s="5" t="s">
        <v>89</v>
      </c>
      <c r="I665" s="5" t="s">
        <v>64</v>
      </c>
      <c r="J665" s="5" t="s">
        <v>65</v>
      </c>
      <c r="K665" s="5" t="s">
        <v>66</v>
      </c>
      <c r="L665" s="2" t="s">
        <v>67</v>
      </c>
      <c r="M665" s="2" t="s">
        <v>578</v>
      </c>
      <c r="N665" s="2" t="s">
        <v>367</v>
      </c>
      <c r="O665" s="2" t="s">
        <v>1160</v>
      </c>
      <c r="P665" s="2"/>
      <c r="Q665" s="5" t="n">
        <v>1</v>
      </c>
      <c r="R665" s="2" t="s">
        <v>71</v>
      </c>
      <c r="S665" s="2" t="s">
        <v>4466</v>
      </c>
      <c r="T665" s="2" t="s">
        <v>1193</v>
      </c>
      <c r="U665" s="2" t="s">
        <v>74</v>
      </c>
      <c r="V665" s="5" t="n">
        <v>300</v>
      </c>
      <c r="W665" s="2"/>
      <c r="X665" s="2" t="s">
        <v>1163</v>
      </c>
      <c r="Y665" s="5"/>
      <c r="Z665" s="2" t="s">
        <v>4467</v>
      </c>
      <c r="AA665" s="6" t="s">
        <v>4468</v>
      </c>
    </row>
    <row r="666" customFormat="false" ht="68.65" hidden="false" customHeight="false" outlineLevel="0" collapsed="false">
      <c r="A666" s="5" t="s">
        <v>4469</v>
      </c>
      <c r="B666" s="2" t="s">
        <v>4470</v>
      </c>
      <c r="C666" s="5" t="s">
        <v>2245</v>
      </c>
      <c r="D666" s="5" t="s">
        <v>60</v>
      </c>
      <c r="E666" s="2" t="s">
        <v>161</v>
      </c>
      <c r="F666" s="5" t="s">
        <v>62</v>
      </c>
      <c r="G666" s="5" t="n">
        <v>7</v>
      </c>
      <c r="H666" s="5" t="s">
        <v>89</v>
      </c>
      <c r="I666" s="5" t="s">
        <v>64</v>
      </c>
      <c r="J666" s="5" t="s">
        <v>65</v>
      </c>
      <c r="K666" s="5" t="s">
        <v>66</v>
      </c>
      <c r="L666" s="2" t="s">
        <v>67</v>
      </c>
      <c r="M666" s="2" t="s">
        <v>578</v>
      </c>
      <c r="N666" s="2" t="s">
        <v>3232</v>
      </c>
      <c r="O666" s="2" t="s">
        <v>1105</v>
      </c>
      <c r="P666" s="2"/>
      <c r="Q666" s="5" t="n">
        <v>1</v>
      </c>
      <c r="R666" s="2" t="s">
        <v>71</v>
      </c>
      <c r="S666" s="2" t="s">
        <v>4471</v>
      </c>
      <c r="T666" s="2" t="s">
        <v>3362</v>
      </c>
      <c r="U666" s="2" t="s">
        <v>74</v>
      </c>
      <c r="V666" s="5" t="n">
        <v>300</v>
      </c>
      <c r="W666" s="2"/>
      <c r="X666" s="2" t="s">
        <v>1108</v>
      </c>
      <c r="Y666" s="5" t="s">
        <v>309</v>
      </c>
      <c r="Z666" s="2" t="s">
        <v>4472</v>
      </c>
      <c r="AA666" s="6" t="s">
        <v>4473</v>
      </c>
    </row>
    <row r="667" customFormat="false" ht="68.65" hidden="false" customHeight="false" outlineLevel="0" collapsed="false">
      <c r="A667" s="5" t="s">
        <v>4474</v>
      </c>
      <c r="B667" s="2" t="s">
        <v>4475</v>
      </c>
      <c r="C667" s="5" t="s">
        <v>2245</v>
      </c>
      <c r="D667" s="5" t="s">
        <v>60</v>
      </c>
      <c r="E667" s="2" t="s">
        <v>161</v>
      </c>
      <c r="F667" s="5" t="s">
        <v>62</v>
      </c>
      <c r="G667" s="5" t="n">
        <v>7</v>
      </c>
      <c r="H667" s="5" t="s">
        <v>89</v>
      </c>
      <c r="I667" s="5" t="s">
        <v>64</v>
      </c>
      <c r="J667" s="5" t="s">
        <v>65</v>
      </c>
      <c r="K667" s="5" t="s">
        <v>66</v>
      </c>
      <c r="L667" s="2" t="s">
        <v>67</v>
      </c>
      <c r="M667" s="2" t="s">
        <v>578</v>
      </c>
      <c r="N667" s="2" t="s">
        <v>3232</v>
      </c>
      <c r="O667" s="2" t="s">
        <v>3327</v>
      </c>
      <c r="P667" s="2"/>
      <c r="Q667" s="5" t="n">
        <v>1</v>
      </c>
      <c r="R667" s="2" t="s">
        <v>71</v>
      </c>
      <c r="S667" s="2" t="s">
        <v>4476</v>
      </c>
      <c r="T667" s="2" t="s">
        <v>3329</v>
      </c>
      <c r="U667" s="2" t="s">
        <v>74</v>
      </c>
      <c r="V667" s="5" t="n">
        <v>300</v>
      </c>
      <c r="W667" s="2"/>
      <c r="X667" s="2" t="s">
        <v>3330</v>
      </c>
      <c r="Y667" s="5" t="s">
        <v>1225</v>
      </c>
      <c r="Z667" s="2" t="s">
        <v>4477</v>
      </c>
      <c r="AA667" s="6" t="s">
        <v>4478</v>
      </c>
    </row>
    <row r="668" customFormat="false" ht="46.25" hidden="false" customHeight="false" outlineLevel="0" collapsed="false">
      <c r="A668" s="5" t="s">
        <v>4479</v>
      </c>
      <c r="B668" s="2" t="s">
        <v>4480</v>
      </c>
      <c r="C668" s="5" t="s">
        <v>2128</v>
      </c>
      <c r="D668" s="5" t="s">
        <v>60</v>
      </c>
      <c r="E668" s="2" t="s">
        <v>161</v>
      </c>
      <c r="F668" s="5" t="s">
        <v>62</v>
      </c>
      <c r="G668" s="5" t="n">
        <v>7</v>
      </c>
      <c r="H668" s="5" t="s">
        <v>89</v>
      </c>
      <c r="I668" s="5" t="s">
        <v>64</v>
      </c>
      <c r="J668" s="5" t="s">
        <v>65</v>
      </c>
      <c r="K668" s="5" t="s">
        <v>66</v>
      </c>
      <c r="L668" s="2" t="s">
        <v>67</v>
      </c>
      <c r="M668" s="2" t="s">
        <v>578</v>
      </c>
      <c r="N668" s="2" t="s">
        <v>367</v>
      </c>
      <c r="O668" s="2" t="s">
        <v>1105</v>
      </c>
      <c r="P668" s="2"/>
      <c r="Q668" s="5" t="n">
        <v>1</v>
      </c>
      <c r="R668" s="2" t="s">
        <v>71</v>
      </c>
      <c r="S668" s="2" t="s">
        <v>4481</v>
      </c>
      <c r="T668" s="2" t="s">
        <v>4482</v>
      </c>
      <c r="U668" s="2" t="s">
        <v>74</v>
      </c>
      <c r="V668" s="5" t="n">
        <v>300</v>
      </c>
      <c r="W668" s="2"/>
      <c r="X668" s="2" t="s">
        <v>1108</v>
      </c>
      <c r="Y668" s="5" t="s">
        <v>309</v>
      </c>
      <c r="Z668" s="2" t="s">
        <v>4483</v>
      </c>
      <c r="AA668" s="6" t="s">
        <v>4484</v>
      </c>
    </row>
    <row r="669" customFormat="false" ht="46.25" hidden="false" customHeight="false" outlineLevel="0" collapsed="false">
      <c r="A669" s="5" t="s">
        <v>4485</v>
      </c>
      <c r="B669" s="2" t="s">
        <v>4486</v>
      </c>
      <c r="C669" s="5" t="s">
        <v>2128</v>
      </c>
      <c r="D669" s="5" t="s">
        <v>60</v>
      </c>
      <c r="E669" s="2" t="s">
        <v>161</v>
      </c>
      <c r="F669" s="5" t="s">
        <v>62</v>
      </c>
      <c r="G669" s="5" t="n">
        <v>7</v>
      </c>
      <c r="H669" s="5" t="s">
        <v>89</v>
      </c>
      <c r="I669" s="5" t="s">
        <v>64</v>
      </c>
      <c r="J669" s="5" t="s">
        <v>65</v>
      </c>
      <c r="K669" s="5" t="s">
        <v>66</v>
      </c>
      <c r="L669" s="2" t="s">
        <v>67</v>
      </c>
      <c r="M669" s="2" t="s">
        <v>578</v>
      </c>
      <c r="N669" s="2" t="s">
        <v>367</v>
      </c>
      <c r="O669" s="2" t="s">
        <v>1160</v>
      </c>
      <c r="P669" s="2"/>
      <c r="Q669" s="5" t="n">
        <v>1</v>
      </c>
      <c r="R669" s="2" t="s">
        <v>71</v>
      </c>
      <c r="S669" s="2" t="s">
        <v>4487</v>
      </c>
      <c r="T669" s="2" t="s">
        <v>1193</v>
      </c>
      <c r="U669" s="2" t="s">
        <v>74</v>
      </c>
      <c r="V669" s="5" t="n">
        <v>300</v>
      </c>
      <c r="W669" s="2"/>
      <c r="X669" s="2" t="s">
        <v>1163</v>
      </c>
      <c r="Y669" s="5"/>
      <c r="Z669" s="2" t="s">
        <v>4488</v>
      </c>
      <c r="AA669" s="6" t="s">
        <v>4489</v>
      </c>
    </row>
    <row r="670" customFormat="false" ht="46.25" hidden="false" customHeight="false" outlineLevel="0" collapsed="false">
      <c r="A670" s="5" t="s">
        <v>4490</v>
      </c>
      <c r="B670" s="2" t="s">
        <v>4491</v>
      </c>
      <c r="C670" s="5" t="s">
        <v>2128</v>
      </c>
      <c r="D670" s="5" t="s">
        <v>60</v>
      </c>
      <c r="E670" s="2" t="s">
        <v>161</v>
      </c>
      <c r="F670" s="5" t="s">
        <v>62</v>
      </c>
      <c r="G670" s="5" t="n">
        <v>7</v>
      </c>
      <c r="H670" s="5" t="s">
        <v>89</v>
      </c>
      <c r="I670" s="5" t="s">
        <v>64</v>
      </c>
      <c r="J670" s="5" t="s">
        <v>65</v>
      </c>
      <c r="K670" s="5" t="s">
        <v>66</v>
      </c>
      <c r="L670" s="2" t="s">
        <v>67</v>
      </c>
      <c r="M670" s="2" t="s">
        <v>578</v>
      </c>
      <c r="N670" s="2" t="s">
        <v>367</v>
      </c>
      <c r="O670" s="2" t="s">
        <v>1105</v>
      </c>
      <c r="P670" s="2"/>
      <c r="Q670" s="5" t="n">
        <v>1</v>
      </c>
      <c r="R670" s="2" t="s">
        <v>71</v>
      </c>
      <c r="S670" s="2" t="s">
        <v>4492</v>
      </c>
      <c r="T670" s="2" t="s">
        <v>4482</v>
      </c>
      <c r="U670" s="2" t="s">
        <v>74</v>
      </c>
      <c r="V670" s="5" t="n">
        <v>300</v>
      </c>
      <c r="W670" s="2"/>
      <c r="X670" s="2" t="s">
        <v>1108</v>
      </c>
      <c r="Y670" s="5" t="s">
        <v>309</v>
      </c>
      <c r="Z670" s="2" t="s">
        <v>4493</v>
      </c>
      <c r="AA670" s="6" t="s">
        <v>4494</v>
      </c>
    </row>
    <row r="671" customFormat="false" ht="46.25" hidden="false" customHeight="false" outlineLevel="0" collapsed="false">
      <c r="A671" s="5" t="s">
        <v>4495</v>
      </c>
      <c r="B671" s="2" t="s">
        <v>4496</v>
      </c>
      <c r="C671" s="5" t="s">
        <v>2128</v>
      </c>
      <c r="D671" s="5" t="s">
        <v>60</v>
      </c>
      <c r="E671" s="2" t="s">
        <v>161</v>
      </c>
      <c r="F671" s="5" t="s">
        <v>62</v>
      </c>
      <c r="G671" s="5" t="n">
        <v>7</v>
      </c>
      <c r="H671" s="5" t="s">
        <v>89</v>
      </c>
      <c r="I671" s="5" t="s">
        <v>64</v>
      </c>
      <c r="J671" s="5" t="s">
        <v>65</v>
      </c>
      <c r="K671" s="5" t="s">
        <v>66</v>
      </c>
      <c r="L671" s="2" t="s">
        <v>67</v>
      </c>
      <c r="M671" s="2" t="s">
        <v>578</v>
      </c>
      <c r="N671" s="2" t="s">
        <v>367</v>
      </c>
      <c r="O671" s="2" t="s">
        <v>1160</v>
      </c>
      <c r="P671" s="2"/>
      <c r="Q671" s="5" t="n">
        <v>1</v>
      </c>
      <c r="R671" s="2" t="s">
        <v>71</v>
      </c>
      <c r="S671" s="2" t="s">
        <v>4497</v>
      </c>
      <c r="T671" s="2" t="s">
        <v>1193</v>
      </c>
      <c r="U671" s="2" t="s">
        <v>74</v>
      </c>
      <c r="V671" s="5" t="n">
        <v>300</v>
      </c>
      <c r="W671" s="2"/>
      <c r="X671" s="2" t="s">
        <v>1163</v>
      </c>
      <c r="Y671" s="5"/>
      <c r="Z671" s="2" t="s">
        <v>4498</v>
      </c>
      <c r="AA671" s="6" t="s">
        <v>4499</v>
      </c>
    </row>
    <row r="672" customFormat="false" ht="46.25" hidden="false" customHeight="false" outlineLevel="0" collapsed="false">
      <c r="A672" s="5" t="s">
        <v>4500</v>
      </c>
      <c r="B672" s="2" t="s">
        <v>4501</v>
      </c>
      <c r="C672" s="5" t="s">
        <v>2128</v>
      </c>
      <c r="D672" s="5" t="s">
        <v>60</v>
      </c>
      <c r="E672" s="2" t="s">
        <v>161</v>
      </c>
      <c r="F672" s="5" t="s">
        <v>62</v>
      </c>
      <c r="G672" s="5" t="n">
        <v>7</v>
      </c>
      <c r="H672" s="5" t="s">
        <v>89</v>
      </c>
      <c r="I672" s="5" t="s">
        <v>64</v>
      </c>
      <c r="J672" s="5" t="s">
        <v>65</v>
      </c>
      <c r="K672" s="5" t="s">
        <v>66</v>
      </c>
      <c r="L672" s="2" t="s">
        <v>67</v>
      </c>
      <c r="M672" s="2" t="s">
        <v>578</v>
      </c>
      <c r="N672" s="2" t="s">
        <v>367</v>
      </c>
      <c r="O672" s="2" t="s">
        <v>1105</v>
      </c>
      <c r="P672" s="2"/>
      <c r="Q672" s="5" t="n">
        <v>1</v>
      </c>
      <c r="R672" s="2" t="s">
        <v>71</v>
      </c>
      <c r="S672" s="2" t="s">
        <v>4502</v>
      </c>
      <c r="T672" s="2" t="s">
        <v>4482</v>
      </c>
      <c r="U672" s="2" t="s">
        <v>74</v>
      </c>
      <c r="V672" s="5" t="n">
        <v>300</v>
      </c>
      <c r="W672" s="2"/>
      <c r="X672" s="2" t="s">
        <v>1108</v>
      </c>
      <c r="Y672" s="5" t="s">
        <v>309</v>
      </c>
      <c r="Z672" s="2" t="s">
        <v>4503</v>
      </c>
      <c r="AA672" s="6" t="s">
        <v>4504</v>
      </c>
    </row>
    <row r="673" customFormat="false" ht="57.45" hidden="false" customHeight="false" outlineLevel="0" collapsed="false">
      <c r="A673" s="5" t="s">
        <v>4505</v>
      </c>
      <c r="B673" s="2" t="s">
        <v>4506</v>
      </c>
      <c r="C673" s="5" t="s">
        <v>2128</v>
      </c>
      <c r="D673" s="5" t="s">
        <v>60</v>
      </c>
      <c r="E673" s="2" t="s">
        <v>161</v>
      </c>
      <c r="F673" s="5" t="s">
        <v>62</v>
      </c>
      <c r="G673" s="5" t="n">
        <v>7</v>
      </c>
      <c r="H673" s="5" t="s">
        <v>89</v>
      </c>
      <c r="I673" s="5" t="s">
        <v>64</v>
      </c>
      <c r="J673" s="5" t="s">
        <v>65</v>
      </c>
      <c r="K673" s="5" t="s">
        <v>66</v>
      </c>
      <c r="L673" s="2" t="s">
        <v>67</v>
      </c>
      <c r="M673" s="2" t="s">
        <v>578</v>
      </c>
      <c r="N673" s="2" t="s">
        <v>367</v>
      </c>
      <c r="O673" s="2" t="s">
        <v>1105</v>
      </c>
      <c r="P673" s="2"/>
      <c r="Q673" s="5" t="n">
        <v>1</v>
      </c>
      <c r="R673" s="2" t="s">
        <v>71</v>
      </c>
      <c r="S673" s="2" t="s">
        <v>4507</v>
      </c>
      <c r="T673" s="2" t="s">
        <v>4508</v>
      </c>
      <c r="U673" s="2" t="s">
        <v>74</v>
      </c>
      <c r="V673" s="5" t="n">
        <v>300</v>
      </c>
      <c r="W673" s="2"/>
      <c r="X673" s="2" t="s">
        <v>1108</v>
      </c>
      <c r="Y673" s="5" t="s">
        <v>309</v>
      </c>
      <c r="Z673" s="2" t="s">
        <v>4509</v>
      </c>
      <c r="AA673" s="6" t="s">
        <v>4510</v>
      </c>
    </row>
    <row r="674" customFormat="false" ht="57.45" hidden="false" customHeight="false" outlineLevel="0" collapsed="false">
      <c r="A674" s="5" t="s">
        <v>4511</v>
      </c>
      <c r="B674" s="2" t="s">
        <v>4512</v>
      </c>
      <c r="C674" s="5" t="s">
        <v>2128</v>
      </c>
      <c r="D674" s="5" t="s">
        <v>60</v>
      </c>
      <c r="E674" s="2" t="s">
        <v>161</v>
      </c>
      <c r="F674" s="5" t="s">
        <v>62</v>
      </c>
      <c r="G674" s="5" t="n">
        <v>7</v>
      </c>
      <c r="H674" s="5" t="s">
        <v>89</v>
      </c>
      <c r="I674" s="5" t="s">
        <v>64</v>
      </c>
      <c r="J674" s="5" t="s">
        <v>65</v>
      </c>
      <c r="K674" s="5" t="s">
        <v>66</v>
      </c>
      <c r="L674" s="2" t="s">
        <v>67</v>
      </c>
      <c r="M674" s="2" t="s">
        <v>578</v>
      </c>
      <c r="N674" s="2" t="s">
        <v>367</v>
      </c>
      <c r="O674" s="2" t="s">
        <v>1105</v>
      </c>
      <c r="P674" s="2"/>
      <c r="Q674" s="5" t="n">
        <v>1</v>
      </c>
      <c r="R674" s="2" t="s">
        <v>71</v>
      </c>
      <c r="S674" s="2" t="s">
        <v>4513</v>
      </c>
      <c r="T674" s="2" t="s">
        <v>4514</v>
      </c>
      <c r="U674" s="2" t="s">
        <v>74</v>
      </c>
      <c r="V674" s="5" t="n">
        <v>300</v>
      </c>
      <c r="W674" s="2"/>
      <c r="X674" s="2" t="s">
        <v>1108</v>
      </c>
      <c r="Y674" s="5" t="s">
        <v>309</v>
      </c>
      <c r="Z674" s="2" t="s">
        <v>4515</v>
      </c>
      <c r="AA674" s="6" t="s">
        <v>4516</v>
      </c>
    </row>
    <row r="675" customFormat="false" ht="46.25" hidden="false" customHeight="false" outlineLevel="0" collapsed="false">
      <c r="A675" s="5" t="s">
        <v>4517</v>
      </c>
      <c r="B675" s="2" t="s">
        <v>4518</v>
      </c>
      <c r="C675" s="5" t="s">
        <v>2128</v>
      </c>
      <c r="D675" s="5" t="s">
        <v>60</v>
      </c>
      <c r="E675" s="2" t="s">
        <v>161</v>
      </c>
      <c r="F675" s="5" t="s">
        <v>62</v>
      </c>
      <c r="G675" s="5" t="n">
        <v>7</v>
      </c>
      <c r="H675" s="5" t="s">
        <v>89</v>
      </c>
      <c r="I675" s="5" t="s">
        <v>64</v>
      </c>
      <c r="J675" s="5" t="s">
        <v>65</v>
      </c>
      <c r="K675" s="5" t="s">
        <v>66</v>
      </c>
      <c r="L675" s="2" t="s">
        <v>67</v>
      </c>
      <c r="M675" s="2" t="s">
        <v>578</v>
      </c>
      <c r="N675" s="2" t="s">
        <v>367</v>
      </c>
      <c r="O675" s="2" t="s">
        <v>1105</v>
      </c>
      <c r="P675" s="2"/>
      <c r="Q675" s="5" t="n">
        <v>1</v>
      </c>
      <c r="R675" s="2" t="s">
        <v>71</v>
      </c>
      <c r="S675" s="2" t="s">
        <v>4519</v>
      </c>
      <c r="T675" s="2" t="s">
        <v>3362</v>
      </c>
      <c r="U675" s="2" t="s">
        <v>74</v>
      </c>
      <c r="V675" s="5" t="n">
        <v>300</v>
      </c>
      <c r="W675" s="2"/>
      <c r="X675" s="2" t="s">
        <v>1108</v>
      </c>
      <c r="Y675" s="5" t="s">
        <v>309</v>
      </c>
      <c r="Z675" s="2" t="s">
        <v>4520</v>
      </c>
      <c r="AA675" s="6" t="s">
        <v>4521</v>
      </c>
    </row>
    <row r="676" customFormat="false" ht="46.25" hidden="false" customHeight="false" outlineLevel="0" collapsed="false">
      <c r="A676" s="5" t="s">
        <v>4522</v>
      </c>
      <c r="B676" s="2" t="s">
        <v>4523</v>
      </c>
      <c r="C676" s="5" t="s">
        <v>2128</v>
      </c>
      <c r="D676" s="5" t="s">
        <v>60</v>
      </c>
      <c r="E676" s="2" t="s">
        <v>161</v>
      </c>
      <c r="F676" s="5" t="s">
        <v>62</v>
      </c>
      <c r="G676" s="5" t="n">
        <v>7</v>
      </c>
      <c r="H676" s="5" t="s">
        <v>89</v>
      </c>
      <c r="I676" s="5" t="s">
        <v>64</v>
      </c>
      <c r="J676" s="5" t="s">
        <v>65</v>
      </c>
      <c r="K676" s="5" t="s">
        <v>66</v>
      </c>
      <c r="L676" s="2" t="s">
        <v>67</v>
      </c>
      <c r="M676" s="2" t="s">
        <v>578</v>
      </c>
      <c r="N676" s="2" t="s">
        <v>367</v>
      </c>
      <c r="O676" s="2" t="s">
        <v>1160</v>
      </c>
      <c r="P676" s="2"/>
      <c r="Q676" s="5" t="n">
        <v>1</v>
      </c>
      <c r="R676" s="2" t="s">
        <v>71</v>
      </c>
      <c r="S676" s="2" t="s">
        <v>4524</v>
      </c>
      <c r="T676" s="2" t="s">
        <v>1162</v>
      </c>
      <c r="U676" s="2" t="s">
        <v>74</v>
      </c>
      <c r="V676" s="5" t="n">
        <v>300</v>
      </c>
      <c r="W676" s="2"/>
      <c r="X676" s="2" t="s">
        <v>1163</v>
      </c>
      <c r="Y676" s="5"/>
      <c r="Z676" s="2" t="s">
        <v>4525</v>
      </c>
      <c r="AA676" s="6" t="s">
        <v>4526</v>
      </c>
    </row>
    <row r="677" customFormat="false" ht="46.25" hidden="false" customHeight="false" outlineLevel="0" collapsed="false">
      <c r="A677" s="5" t="s">
        <v>4527</v>
      </c>
      <c r="B677" s="2" t="s">
        <v>4528</v>
      </c>
      <c r="C677" s="5" t="s">
        <v>2128</v>
      </c>
      <c r="D677" s="5" t="s">
        <v>60</v>
      </c>
      <c r="E677" s="2" t="s">
        <v>161</v>
      </c>
      <c r="F677" s="5" t="s">
        <v>62</v>
      </c>
      <c r="G677" s="5" t="n">
        <v>7</v>
      </c>
      <c r="H677" s="5" t="s">
        <v>89</v>
      </c>
      <c r="I677" s="5" t="s">
        <v>64</v>
      </c>
      <c r="J677" s="5" t="s">
        <v>65</v>
      </c>
      <c r="K677" s="5" t="s">
        <v>66</v>
      </c>
      <c r="L677" s="2" t="s">
        <v>67</v>
      </c>
      <c r="M677" s="2" t="s">
        <v>578</v>
      </c>
      <c r="N677" s="2" t="s">
        <v>367</v>
      </c>
      <c r="O677" s="2" t="s">
        <v>1160</v>
      </c>
      <c r="P677" s="2"/>
      <c r="Q677" s="5" t="n">
        <v>1</v>
      </c>
      <c r="R677" s="2" t="s">
        <v>71</v>
      </c>
      <c r="S677" s="2" t="s">
        <v>4529</v>
      </c>
      <c r="T677" s="2" t="s">
        <v>1162</v>
      </c>
      <c r="U677" s="2" t="s">
        <v>74</v>
      </c>
      <c r="V677" s="5" t="n">
        <v>300</v>
      </c>
      <c r="W677" s="2"/>
      <c r="X677" s="2" t="s">
        <v>1163</v>
      </c>
      <c r="Y677" s="5"/>
      <c r="Z677" s="2" t="s">
        <v>4530</v>
      </c>
      <c r="AA677" s="6" t="s">
        <v>4531</v>
      </c>
    </row>
    <row r="678" customFormat="false" ht="46.25" hidden="false" customHeight="false" outlineLevel="0" collapsed="false">
      <c r="A678" s="5" t="s">
        <v>4532</v>
      </c>
      <c r="B678" s="2" t="s">
        <v>4533</v>
      </c>
      <c r="C678" s="5" t="s">
        <v>2128</v>
      </c>
      <c r="D678" s="5" t="s">
        <v>60</v>
      </c>
      <c r="E678" s="2" t="s">
        <v>161</v>
      </c>
      <c r="F678" s="5" t="s">
        <v>62</v>
      </c>
      <c r="G678" s="5" t="n">
        <v>7</v>
      </c>
      <c r="H678" s="5" t="s">
        <v>89</v>
      </c>
      <c r="I678" s="5" t="s">
        <v>64</v>
      </c>
      <c r="J678" s="5" t="s">
        <v>65</v>
      </c>
      <c r="K678" s="5" t="s">
        <v>66</v>
      </c>
      <c r="L678" s="2" t="s">
        <v>67</v>
      </c>
      <c r="M678" s="2" t="s">
        <v>578</v>
      </c>
      <c r="N678" s="2" t="s">
        <v>367</v>
      </c>
      <c r="O678" s="2" t="s">
        <v>1105</v>
      </c>
      <c r="P678" s="2"/>
      <c r="Q678" s="5" t="n">
        <v>1</v>
      </c>
      <c r="R678" s="2" t="s">
        <v>71</v>
      </c>
      <c r="S678" s="2" t="s">
        <v>4534</v>
      </c>
      <c r="T678" s="2" t="s">
        <v>4482</v>
      </c>
      <c r="U678" s="2" t="s">
        <v>74</v>
      </c>
      <c r="V678" s="5" t="n">
        <v>300</v>
      </c>
      <c r="W678" s="2"/>
      <c r="X678" s="2" t="s">
        <v>1108</v>
      </c>
      <c r="Y678" s="5" t="s">
        <v>309</v>
      </c>
      <c r="Z678" s="2" t="s">
        <v>4535</v>
      </c>
      <c r="AA678" s="6" t="s">
        <v>4536</v>
      </c>
    </row>
    <row r="679" customFormat="false" ht="68.65" hidden="false" customHeight="false" outlineLevel="0" collapsed="false">
      <c r="A679" s="5" t="s">
        <v>4537</v>
      </c>
      <c r="B679" s="2" t="s">
        <v>4538</v>
      </c>
      <c r="C679" s="5" t="s">
        <v>2128</v>
      </c>
      <c r="D679" s="5" t="s">
        <v>60</v>
      </c>
      <c r="E679" s="2" t="s">
        <v>161</v>
      </c>
      <c r="F679" s="5" t="s">
        <v>62</v>
      </c>
      <c r="G679" s="5" t="n">
        <v>7</v>
      </c>
      <c r="H679" s="5" t="s">
        <v>89</v>
      </c>
      <c r="I679" s="5" t="s">
        <v>64</v>
      </c>
      <c r="J679" s="5" t="s">
        <v>65</v>
      </c>
      <c r="K679" s="5" t="s">
        <v>66</v>
      </c>
      <c r="L679" s="2" t="s">
        <v>67</v>
      </c>
      <c r="M679" s="2" t="s">
        <v>578</v>
      </c>
      <c r="N679" s="2" t="s">
        <v>367</v>
      </c>
      <c r="O679" s="2" t="s">
        <v>1212</v>
      </c>
      <c r="P679" s="2"/>
      <c r="Q679" s="5" t="n">
        <v>1</v>
      </c>
      <c r="R679" s="2" t="s">
        <v>71</v>
      </c>
      <c r="S679" s="2" t="s">
        <v>4539</v>
      </c>
      <c r="T679" s="2" t="s">
        <v>1716</v>
      </c>
      <c r="U679" s="2" t="s">
        <v>74</v>
      </c>
      <c r="V679" s="5" t="n">
        <v>300</v>
      </c>
      <c r="W679" s="2"/>
      <c r="X679" s="2" t="s">
        <v>1215</v>
      </c>
      <c r="Y679" s="5"/>
      <c r="Z679" s="2" t="s">
        <v>4540</v>
      </c>
      <c r="AA679" s="6" t="s">
        <v>4541</v>
      </c>
    </row>
    <row r="680" customFormat="false" ht="46.25" hidden="false" customHeight="false" outlineLevel="0" collapsed="false">
      <c r="A680" s="5" t="s">
        <v>4542</v>
      </c>
      <c r="B680" s="2" t="s">
        <v>4543</v>
      </c>
      <c r="C680" s="5" t="s">
        <v>2128</v>
      </c>
      <c r="D680" s="5" t="s">
        <v>60</v>
      </c>
      <c r="E680" s="2" t="s">
        <v>161</v>
      </c>
      <c r="F680" s="5" t="s">
        <v>62</v>
      </c>
      <c r="G680" s="5" t="n">
        <v>7</v>
      </c>
      <c r="H680" s="5" t="s">
        <v>89</v>
      </c>
      <c r="I680" s="5" t="s">
        <v>64</v>
      </c>
      <c r="J680" s="5" t="s">
        <v>65</v>
      </c>
      <c r="K680" s="5" t="s">
        <v>66</v>
      </c>
      <c r="L680" s="2" t="s">
        <v>67</v>
      </c>
      <c r="M680" s="2" t="s">
        <v>578</v>
      </c>
      <c r="N680" s="2" t="s">
        <v>367</v>
      </c>
      <c r="O680" s="2" t="s">
        <v>1160</v>
      </c>
      <c r="P680" s="2"/>
      <c r="Q680" s="5" t="n">
        <v>1</v>
      </c>
      <c r="R680" s="2" t="s">
        <v>71</v>
      </c>
      <c r="S680" s="2" t="s">
        <v>4544</v>
      </c>
      <c r="T680" s="2" t="s">
        <v>1193</v>
      </c>
      <c r="U680" s="2" t="s">
        <v>74</v>
      </c>
      <c r="V680" s="5" t="n">
        <v>300</v>
      </c>
      <c r="W680" s="2"/>
      <c r="X680" s="2" t="s">
        <v>1163</v>
      </c>
      <c r="Y680" s="5"/>
      <c r="Z680" s="2" t="s">
        <v>4545</v>
      </c>
      <c r="AA680" s="6" t="s">
        <v>4546</v>
      </c>
    </row>
    <row r="681" customFormat="false" ht="46.25" hidden="false" customHeight="false" outlineLevel="0" collapsed="false">
      <c r="A681" s="5" t="s">
        <v>4547</v>
      </c>
      <c r="B681" s="2" t="s">
        <v>4548</v>
      </c>
      <c r="C681" s="5" t="s">
        <v>2128</v>
      </c>
      <c r="D681" s="5" t="s">
        <v>60</v>
      </c>
      <c r="E681" s="2" t="s">
        <v>161</v>
      </c>
      <c r="F681" s="5" t="s">
        <v>62</v>
      </c>
      <c r="G681" s="5" t="n">
        <v>7</v>
      </c>
      <c r="H681" s="5" t="s">
        <v>89</v>
      </c>
      <c r="I681" s="5" t="s">
        <v>64</v>
      </c>
      <c r="J681" s="5" t="s">
        <v>65</v>
      </c>
      <c r="K681" s="5" t="s">
        <v>66</v>
      </c>
      <c r="L681" s="2" t="s">
        <v>67</v>
      </c>
      <c r="M681" s="2" t="s">
        <v>578</v>
      </c>
      <c r="N681" s="2" t="s">
        <v>367</v>
      </c>
      <c r="O681" s="2" t="s">
        <v>1105</v>
      </c>
      <c r="P681" s="2"/>
      <c r="Q681" s="5" t="n">
        <v>1</v>
      </c>
      <c r="R681" s="2" t="s">
        <v>71</v>
      </c>
      <c r="S681" s="2" t="s">
        <v>4549</v>
      </c>
      <c r="T681" s="2" t="s">
        <v>4550</v>
      </c>
      <c r="U681" s="2" t="s">
        <v>74</v>
      </c>
      <c r="V681" s="5" t="n">
        <v>300</v>
      </c>
      <c r="W681" s="2"/>
      <c r="X681" s="2" t="s">
        <v>1108</v>
      </c>
      <c r="Y681" s="5" t="s">
        <v>309</v>
      </c>
      <c r="Z681" s="2" t="s">
        <v>4551</v>
      </c>
      <c r="AA681" s="6" t="s">
        <v>4552</v>
      </c>
    </row>
    <row r="682" customFormat="false" ht="46.25" hidden="false" customHeight="false" outlineLevel="0" collapsed="false">
      <c r="A682" s="5" t="s">
        <v>4553</v>
      </c>
      <c r="B682" s="2" t="s">
        <v>4554</v>
      </c>
      <c r="C682" s="5" t="s">
        <v>2128</v>
      </c>
      <c r="D682" s="5" t="s">
        <v>60</v>
      </c>
      <c r="E682" s="2" t="s">
        <v>161</v>
      </c>
      <c r="F682" s="5" t="s">
        <v>62</v>
      </c>
      <c r="G682" s="5" t="n">
        <v>7</v>
      </c>
      <c r="H682" s="5" t="s">
        <v>89</v>
      </c>
      <c r="I682" s="5" t="s">
        <v>64</v>
      </c>
      <c r="J682" s="5" t="s">
        <v>65</v>
      </c>
      <c r="K682" s="5" t="s">
        <v>66</v>
      </c>
      <c r="L682" s="2" t="s">
        <v>67</v>
      </c>
      <c r="M682" s="2" t="s">
        <v>578</v>
      </c>
      <c r="N682" s="2" t="s">
        <v>367</v>
      </c>
      <c r="O682" s="2" t="s">
        <v>1160</v>
      </c>
      <c r="P682" s="2"/>
      <c r="Q682" s="5" t="n">
        <v>1</v>
      </c>
      <c r="R682" s="2" t="s">
        <v>71</v>
      </c>
      <c r="S682" s="2" t="s">
        <v>4555</v>
      </c>
      <c r="T682" s="2" t="s">
        <v>1193</v>
      </c>
      <c r="U682" s="2" t="s">
        <v>74</v>
      </c>
      <c r="V682" s="5" t="n">
        <v>300</v>
      </c>
      <c r="W682" s="2"/>
      <c r="X682" s="2" t="s">
        <v>1163</v>
      </c>
      <c r="Y682" s="5"/>
      <c r="Z682" s="2" t="s">
        <v>4556</v>
      </c>
      <c r="AA682" s="6" t="s">
        <v>4557</v>
      </c>
    </row>
    <row r="683" customFormat="false" ht="124.6" hidden="false" customHeight="false" outlineLevel="0" collapsed="false">
      <c r="A683" s="5" t="s">
        <v>4558</v>
      </c>
      <c r="B683" s="2" t="s">
        <v>4559</v>
      </c>
      <c r="C683" s="5" t="s">
        <v>2128</v>
      </c>
      <c r="D683" s="5" t="s">
        <v>60</v>
      </c>
      <c r="E683" s="2" t="s">
        <v>161</v>
      </c>
      <c r="F683" s="5" t="s">
        <v>62</v>
      </c>
      <c r="G683" s="5" t="n">
        <v>7</v>
      </c>
      <c r="H683" s="5" t="s">
        <v>89</v>
      </c>
      <c r="I683" s="5" t="s">
        <v>64</v>
      </c>
      <c r="J683" s="5" t="s">
        <v>65</v>
      </c>
      <c r="K683" s="5" t="s">
        <v>66</v>
      </c>
      <c r="L683" s="2" t="s">
        <v>67</v>
      </c>
      <c r="M683" s="2" t="s">
        <v>578</v>
      </c>
      <c r="N683" s="2" t="s">
        <v>367</v>
      </c>
      <c r="O683" s="2" t="s">
        <v>1105</v>
      </c>
      <c r="P683" s="2"/>
      <c r="Q683" s="5" t="n">
        <v>1</v>
      </c>
      <c r="R683" s="2" t="s">
        <v>71</v>
      </c>
      <c r="S683" s="2" t="s">
        <v>4560</v>
      </c>
      <c r="T683" s="2" t="s">
        <v>4561</v>
      </c>
      <c r="U683" s="2" t="s">
        <v>74</v>
      </c>
      <c r="V683" s="5" t="n">
        <v>300</v>
      </c>
      <c r="W683" s="2"/>
      <c r="X683" s="2" t="s">
        <v>1108</v>
      </c>
      <c r="Y683" s="5" t="s">
        <v>309</v>
      </c>
      <c r="Z683" s="2" t="s">
        <v>4562</v>
      </c>
      <c r="AA683" s="6" t="s">
        <v>4563</v>
      </c>
    </row>
    <row r="684" customFormat="false" ht="46.25" hidden="false" customHeight="false" outlineLevel="0" collapsed="false">
      <c r="A684" s="5" t="s">
        <v>4564</v>
      </c>
      <c r="B684" s="2" t="s">
        <v>4565</v>
      </c>
      <c r="C684" s="5" t="s">
        <v>2128</v>
      </c>
      <c r="D684" s="5" t="s">
        <v>60</v>
      </c>
      <c r="E684" s="2" t="s">
        <v>161</v>
      </c>
      <c r="F684" s="5" t="s">
        <v>62</v>
      </c>
      <c r="G684" s="5" t="n">
        <v>7</v>
      </c>
      <c r="H684" s="5" t="s">
        <v>89</v>
      </c>
      <c r="I684" s="5" t="s">
        <v>64</v>
      </c>
      <c r="J684" s="5" t="s">
        <v>65</v>
      </c>
      <c r="K684" s="5" t="s">
        <v>66</v>
      </c>
      <c r="L684" s="2" t="s">
        <v>67</v>
      </c>
      <c r="M684" s="2" t="s">
        <v>578</v>
      </c>
      <c r="N684" s="2" t="s">
        <v>367</v>
      </c>
      <c r="O684" s="2" t="s">
        <v>1105</v>
      </c>
      <c r="P684" s="2"/>
      <c r="Q684" s="5" t="n">
        <v>1</v>
      </c>
      <c r="R684" s="2" t="s">
        <v>71</v>
      </c>
      <c r="S684" s="2" t="s">
        <v>4566</v>
      </c>
      <c r="T684" s="2" t="s">
        <v>4482</v>
      </c>
      <c r="U684" s="2" t="s">
        <v>74</v>
      </c>
      <c r="V684" s="5" t="n">
        <v>300</v>
      </c>
      <c r="W684" s="2"/>
      <c r="X684" s="2" t="s">
        <v>1108</v>
      </c>
      <c r="Y684" s="5" t="s">
        <v>309</v>
      </c>
      <c r="Z684" s="2" t="s">
        <v>4567</v>
      </c>
      <c r="AA684" s="6" t="s">
        <v>4568</v>
      </c>
    </row>
    <row r="685" customFormat="false" ht="57.45" hidden="false" customHeight="false" outlineLevel="0" collapsed="false">
      <c r="A685" s="5" t="s">
        <v>4569</v>
      </c>
      <c r="B685" s="2" t="s">
        <v>4570</v>
      </c>
      <c r="C685" s="5" t="s">
        <v>2128</v>
      </c>
      <c r="D685" s="5" t="s">
        <v>60</v>
      </c>
      <c r="E685" s="2" t="s">
        <v>161</v>
      </c>
      <c r="F685" s="5" t="s">
        <v>62</v>
      </c>
      <c r="G685" s="5" t="n">
        <v>7</v>
      </c>
      <c r="H685" s="5" t="s">
        <v>89</v>
      </c>
      <c r="I685" s="5" t="s">
        <v>64</v>
      </c>
      <c r="J685" s="5" t="s">
        <v>65</v>
      </c>
      <c r="K685" s="5" t="s">
        <v>66</v>
      </c>
      <c r="L685" s="2" t="s">
        <v>67</v>
      </c>
      <c r="M685" s="2" t="s">
        <v>578</v>
      </c>
      <c r="N685" s="2" t="s">
        <v>367</v>
      </c>
      <c r="O685" s="2" t="s">
        <v>1160</v>
      </c>
      <c r="P685" s="2"/>
      <c r="Q685" s="5" t="n">
        <v>1</v>
      </c>
      <c r="R685" s="2" t="s">
        <v>71</v>
      </c>
      <c r="S685" s="2" t="s">
        <v>4571</v>
      </c>
      <c r="T685" s="2" t="s">
        <v>1162</v>
      </c>
      <c r="U685" s="2" t="s">
        <v>74</v>
      </c>
      <c r="V685" s="5" t="n">
        <v>300</v>
      </c>
      <c r="W685" s="2"/>
      <c r="X685" s="2" t="s">
        <v>1163</v>
      </c>
      <c r="Y685" s="5"/>
      <c r="Z685" s="2" t="s">
        <v>4572</v>
      </c>
      <c r="AA685" s="6" t="s">
        <v>4573</v>
      </c>
    </row>
    <row r="686" customFormat="false" ht="68.65" hidden="false" customHeight="false" outlineLevel="0" collapsed="false">
      <c r="A686" s="5" t="s">
        <v>4574</v>
      </c>
      <c r="B686" s="2" t="s">
        <v>4575</v>
      </c>
      <c r="C686" s="5" t="s">
        <v>2245</v>
      </c>
      <c r="D686" s="5" t="s">
        <v>60</v>
      </c>
      <c r="E686" s="2" t="s">
        <v>161</v>
      </c>
      <c r="F686" s="5" t="s">
        <v>62</v>
      </c>
      <c r="G686" s="5" t="n">
        <v>7</v>
      </c>
      <c r="H686" s="5" t="s">
        <v>89</v>
      </c>
      <c r="I686" s="5" t="s">
        <v>64</v>
      </c>
      <c r="J686" s="5" t="s">
        <v>65</v>
      </c>
      <c r="K686" s="5" t="s">
        <v>66</v>
      </c>
      <c r="L686" s="2" t="s">
        <v>67</v>
      </c>
      <c r="M686" s="2" t="s">
        <v>578</v>
      </c>
      <c r="N686" s="2" t="s">
        <v>3232</v>
      </c>
      <c r="O686" s="2" t="s">
        <v>1105</v>
      </c>
      <c r="P686" s="2"/>
      <c r="Q686" s="5" t="n">
        <v>1</v>
      </c>
      <c r="R686" s="2" t="s">
        <v>71</v>
      </c>
      <c r="S686" s="2" t="s">
        <v>4576</v>
      </c>
      <c r="T686" s="2" t="s">
        <v>4577</v>
      </c>
      <c r="U686" s="2" t="s">
        <v>74</v>
      </c>
      <c r="V686" s="5" t="n">
        <v>300</v>
      </c>
      <c r="W686" s="2"/>
      <c r="X686" s="2" t="s">
        <v>1108</v>
      </c>
      <c r="Y686" s="5" t="s">
        <v>309</v>
      </c>
      <c r="Z686" s="2" t="s">
        <v>4578</v>
      </c>
      <c r="AA686" s="6" t="s">
        <v>4579</v>
      </c>
    </row>
    <row r="687" customFormat="false" ht="68.65" hidden="false" customHeight="false" outlineLevel="0" collapsed="false">
      <c r="A687" s="5" t="s">
        <v>4580</v>
      </c>
      <c r="B687" s="2" t="s">
        <v>4581</v>
      </c>
      <c r="C687" s="5" t="s">
        <v>2245</v>
      </c>
      <c r="D687" s="5" t="s">
        <v>60</v>
      </c>
      <c r="E687" s="2" t="s">
        <v>161</v>
      </c>
      <c r="F687" s="5" t="s">
        <v>62</v>
      </c>
      <c r="G687" s="5" t="n">
        <v>7</v>
      </c>
      <c r="H687" s="5" t="s">
        <v>89</v>
      </c>
      <c r="I687" s="5" t="s">
        <v>64</v>
      </c>
      <c r="J687" s="5" t="s">
        <v>65</v>
      </c>
      <c r="K687" s="5" t="s">
        <v>66</v>
      </c>
      <c r="L687" s="2" t="s">
        <v>67</v>
      </c>
      <c r="M687" s="2" t="s">
        <v>578</v>
      </c>
      <c r="N687" s="2" t="s">
        <v>3232</v>
      </c>
      <c r="O687" s="2" t="s">
        <v>3327</v>
      </c>
      <c r="P687" s="2"/>
      <c r="Q687" s="5" t="n">
        <v>1</v>
      </c>
      <c r="R687" s="2" t="s">
        <v>71</v>
      </c>
      <c r="S687" s="2" t="s">
        <v>4582</v>
      </c>
      <c r="T687" s="2" t="s">
        <v>3329</v>
      </c>
      <c r="U687" s="2" t="s">
        <v>74</v>
      </c>
      <c r="V687" s="5" t="n">
        <v>300</v>
      </c>
      <c r="W687" s="2"/>
      <c r="X687" s="2" t="s">
        <v>3330</v>
      </c>
      <c r="Y687" s="5" t="s">
        <v>1225</v>
      </c>
      <c r="Z687" s="2" t="s">
        <v>4583</v>
      </c>
      <c r="AA687" s="6" t="s">
        <v>4584</v>
      </c>
    </row>
    <row r="688" customFormat="false" ht="46.25" hidden="false" customHeight="false" outlineLevel="0" collapsed="false">
      <c r="A688" s="5" t="s">
        <v>4585</v>
      </c>
      <c r="B688" s="2" t="s">
        <v>4586</v>
      </c>
      <c r="C688" s="5" t="s">
        <v>2128</v>
      </c>
      <c r="D688" s="5" t="s">
        <v>60</v>
      </c>
      <c r="E688" s="2" t="s">
        <v>161</v>
      </c>
      <c r="F688" s="5" t="s">
        <v>62</v>
      </c>
      <c r="G688" s="5" t="n">
        <v>7</v>
      </c>
      <c r="H688" s="5" t="s">
        <v>89</v>
      </c>
      <c r="I688" s="5" t="s">
        <v>64</v>
      </c>
      <c r="J688" s="5" t="s">
        <v>65</v>
      </c>
      <c r="K688" s="5" t="s">
        <v>66</v>
      </c>
      <c r="L688" s="2" t="s">
        <v>67</v>
      </c>
      <c r="M688" s="2" t="s">
        <v>578</v>
      </c>
      <c r="N688" s="2" t="s">
        <v>367</v>
      </c>
      <c r="O688" s="2" t="s">
        <v>368</v>
      </c>
      <c r="P688" s="2"/>
      <c r="Q688" s="5" t="n">
        <v>1</v>
      </c>
      <c r="R688" s="2" t="s">
        <v>71</v>
      </c>
      <c r="S688" s="2" t="s">
        <v>4587</v>
      </c>
      <c r="T688" s="2" t="s">
        <v>4588</v>
      </c>
      <c r="U688" s="2" t="s">
        <v>74</v>
      </c>
      <c r="V688" s="5" t="n">
        <v>300</v>
      </c>
      <c r="W688" s="2"/>
      <c r="X688" s="2" t="s">
        <v>371</v>
      </c>
      <c r="Y688" s="5" t="s">
        <v>372</v>
      </c>
      <c r="Z688" s="2" t="s">
        <v>4589</v>
      </c>
      <c r="AA688" s="6" t="s">
        <v>4590</v>
      </c>
    </row>
    <row r="689" customFormat="false" ht="68.65" hidden="false" customHeight="false" outlineLevel="0" collapsed="false">
      <c r="A689" s="5" t="s">
        <v>4591</v>
      </c>
      <c r="B689" s="2" t="s">
        <v>4592</v>
      </c>
      <c r="C689" s="5" t="s">
        <v>2245</v>
      </c>
      <c r="D689" s="5" t="s">
        <v>60</v>
      </c>
      <c r="E689" s="2" t="s">
        <v>161</v>
      </c>
      <c r="F689" s="5" t="s">
        <v>62</v>
      </c>
      <c r="G689" s="5" t="n">
        <v>7</v>
      </c>
      <c r="H689" s="5" t="s">
        <v>89</v>
      </c>
      <c r="I689" s="5" t="s">
        <v>64</v>
      </c>
      <c r="J689" s="5" t="s">
        <v>65</v>
      </c>
      <c r="K689" s="5" t="s">
        <v>66</v>
      </c>
      <c r="L689" s="2" t="s">
        <v>67</v>
      </c>
      <c r="M689" s="2" t="s">
        <v>578</v>
      </c>
      <c r="N689" s="2" t="s">
        <v>3232</v>
      </c>
      <c r="O689" s="2" t="s">
        <v>3327</v>
      </c>
      <c r="P689" s="2"/>
      <c r="Q689" s="5" t="n">
        <v>1</v>
      </c>
      <c r="R689" s="2" t="s">
        <v>71</v>
      </c>
      <c r="S689" s="2" t="s">
        <v>4593</v>
      </c>
      <c r="T689" s="2" t="s">
        <v>1879</v>
      </c>
      <c r="U689" s="2" t="s">
        <v>74</v>
      </c>
      <c r="V689" s="5" t="n">
        <v>300</v>
      </c>
      <c r="W689" s="2"/>
      <c r="X689" s="2" t="s">
        <v>3330</v>
      </c>
      <c r="Y689" s="5" t="s">
        <v>1225</v>
      </c>
      <c r="Z689" s="2" t="s">
        <v>4594</v>
      </c>
      <c r="AA689" s="6" t="s">
        <v>4595</v>
      </c>
    </row>
    <row r="690" customFormat="false" ht="68.65" hidden="false" customHeight="false" outlineLevel="0" collapsed="false">
      <c r="A690" s="5" t="s">
        <v>4596</v>
      </c>
      <c r="B690" s="2" t="s">
        <v>4597</v>
      </c>
      <c r="C690" s="5" t="s">
        <v>2128</v>
      </c>
      <c r="D690" s="5" t="s">
        <v>60</v>
      </c>
      <c r="E690" s="2" t="s">
        <v>161</v>
      </c>
      <c r="F690" s="5" t="s">
        <v>62</v>
      </c>
      <c r="G690" s="5" t="n">
        <v>7</v>
      </c>
      <c r="H690" s="5" t="s">
        <v>89</v>
      </c>
      <c r="I690" s="5" t="s">
        <v>64</v>
      </c>
      <c r="J690" s="5" t="s">
        <v>65</v>
      </c>
      <c r="K690" s="5" t="s">
        <v>66</v>
      </c>
      <c r="L690" s="2" t="s">
        <v>67</v>
      </c>
      <c r="M690" s="2" t="s">
        <v>578</v>
      </c>
      <c r="N690" s="2" t="s">
        <v>367</v>
      </c>
      <c r="O690" s="2" t="s">
        <v>1105</v>
      </c>
      <c r="P690" s="2"/>
      <c r="Q690" s="5" t="n">
        <v>1</v>
      </c>
      <c r="R690" s="2" t="s">
        <v>71</v>
      </c>
      <c r="S690" s="2" t="s">
        <v>4598</v>
      </c>
      <c r="T690" s="2" t="s">
        <v>4599</v>
      </c>
      <c r="U690" s="2" t="s">
        <v>74</v>
      </c>
      <c r="V690" s="5" t="n">
        <v>300</v>
      </c>
      <c r="W690" s="2"/>
      <c r="X690" s="2" t="s">
        <v>1108</v>
      </c>
      <c r="Y690" s="5" t="s">
        <v>309</v>
      </c>
      <c r="Z690" s="2" t="s">
        <v>4600</v>
      </c>
      <c r="AA690" s="6" t="s">
        <v>4601</v>
      </c>
    </row>
    <row r="691" customFormat="false" ht="68.65" hidden="false" customHeight="false" outlineLevel="0" collapsed="false">
      <c r="A691" s="5" t="s">
        <v>4602</v>
      </c>
      <c r="B691" s="2" t="s">
        <v>4603</v>
      </c>
      <c r="C691" s="5" t="s">
        <v>2245</v>
      </c>
      <c r="D691" s="5" t="s">
        <v>60</v>
      </c>
      <c r="E691" s="2" t="s">
        <v>161</v>
      </c>
      <c r="F691" s="5" t="s">
        <v>62</v>
      </c>
      <c r="G691" s="5" t="n">
        <v>7</v>
      </c>
      <c r="H691" s="5" t="s">
        <v>89</v>
      </c>
      <c r="I691" s="5" t="s">
        <v>64</v>
      </c>
      <c r="J691" s="5" t="s">
        <v>65</v>
      </c>
      <c r="K691" s="5" t="s">
        <v>66</v>
      </c>
      <c r="L691" s="2" t="s">
        <v>67</v>
      </c>
      <c r="M691" s="2" t="s">
        <v>578</v>
      </c>
      <c r="N691" s="2" t="s">
        <v>3232</v>
      </c>
      <c r="O691" s="2" t="s">
        <v>3327</v>
      </c>
      <c r="P691" s="2"/>
      <c r="Q691" s="5" t="n">
        <v>1</v>
      </c>
      <c r="R691" s="2" t="s">
        <v>71</v>
      </c>
      <c r="S691" s="2" t="s">
        <v>4604</v>
      </c>
      <c r="T691" s="2" t="s">
        <v>3329</v>
      </c>
      <c r="U691" s="2" t="s">
        <v>74</v>
      </c>
      <c r="V691" s="5" t="n">
        <v>300</v>
      </c>
      <c r="W691" s="2"/>
      <c r="X691" s="2" t="s">
        <v>3330</v>
      </c>
      <c r="Y691" s="5" t="s">
        <v>1225</v>
      </c>
      <c r="Z691" s="2" t="s">
        <v>4605</v>
      </c>
      <c r="AA691" s="6" t="s">
        <v>4606</v>
      </c>
    </row>
    <row r="692" customFormat="false" ht="57.45" hidden="false" customHeight="false" outlineLevel="0" collapsed="false">
      <c r="A692" s="5" t="s">
        <v>4607</v>
      </c>
      <c r="B692" s="2" t="s">
        <v>4608</v>
      </c>
      <c r="C692" s="5" t="s">
        <v>2128</v>
      </c>
      <c r="D692" s="5" t="s">
        <v>60</v>
      </c>
      <c r="E692" s="2" t="s">
        <v>161</v>
      </c>
      <c r="F692" s="5" t="s">
        <v>62</v>
      </c>
      <c r="G692" s="5" t="n">
        <v>7</v>
      </c>
      <c r="H692" s="5" t="s">
        <v>89</v>
      </c>
      <c r="I692" s="5" t="s">
        <v>64</v>
      </c>
      <c r="J692" s="5" t="s">
        <v>65</v>
      </c>
      <c r="K692" s="5" t="s">
        <v>66</v>
      </c>
      <c r="L692" s="2" t="s">
        <v>67</v>
      </c>
      <c r="M692" s="2" t="s">
        <v>578</v>
      </c>
      <c r="N692" s="2" t="s">
        <v>367</v>
      </c>
      <c r="O692" s="2" t="s">
        <v>1221</v>
      </c>
      <c r="P692" s="2"/>
      <c r="Q692" s="5" t="n">
        <v>1</v>
      </c>
      <c r="R692" s="2" t="s">
        <v>71</v>
      </c>
      <c r="S692" s="2" t="s">
        <v>4609</v>
      </c>
      <c r="T692" s="2" t="s">
        <v>1879</v>
      </c>
      <c r="U692" s="2" t="s">
        <v>74</v>
      </c>
      <c r="V692" s="5" t="n">
        <v>300</v>
      </c>
      <c r="W692" s="2"/>
      <c r="X692" s="2" t="s">
        <v>1224</v>
      </c>
      <c r="Y692" s="5" t="s">
        <v>1225</v>
      </c>
      <c r="Z692" s="2" t="s">
        <v>4610</v>
      </c>
      <c r="AA692" s="6" t="s">
        <v>4611</v>
      </c>
    </row>
    <row r="693" customFormat="false" ht="46.25" hidden="false" customHeight="false" outlineLevel="0" collapsed="false">
      <c r="A693" s="5" t="s">
        <v>4612</v>
      </c>
      <c r="B693" s="2" t="s">
        <v>4613</v>
      </c>
      <c r="C693" s="5" t="s">
        <v>2128</v>
      </c>
      <c r="D693" s="5" t="s">
        <v>60</v>
      </c>
      <c r="E693" s="2" t="s">
        <v>161</v>
      </c>
      <c r="F693" s="5" t="s">
        <v>62</v>
      </c>
      <c r="G693" s="5" t="n">
        <v>7</v>
      </c>
      <c r="H693" s="5" t="s">
        <v>89</v>
      </c>
      <c r="I693" s="5" t="s">
        <v>64</v>
      </c>
      <c r="J693" s="5" t="s">
        <v>65</v>
      </c>
      <c r="K693" s="5" t="s">
        <v>66</v>
      </c>
      <c r="L693" s="2" t="s">
        <v>67</v>
      </c>
      <c r="M693" s="2" t="s">
        <v>578</v>
      </c>
      <c r="N693" s="2" t="s">
        <v>367</v>
      </c>
      <c r="O693" s="2" t="s">
        <v>1105</v>
      </c>
      <c r="P693" s="2"/>
      <c r="Q693" s="5" t="n">
        <v>1</v>
      </c>
      <c r="R693" s="2" t="s">
        <v>71</v>
      </c>
      <c r="S693" s="2" t="s">
        <v>4614</v>
      </c>
      <c r="T693" s="2" t="s">
        <v>4061</v>
      </c>
      <c r="U693" s="2" t="s">
        <v>74</v>
      </c>
      <c r="V693" s="5" t="n">
        <v>300</v>
      </c>
      <c r="W693" s="2"/>
      <c r="X693" s="2" t="s">
        <v>1108</v>
      </c>
      <c r="Y693" s="5" t="s">
        <v>309</v>
      </c>
      <c r="Z693" s="2" t="s">
        <v>4615</v>
      </c>
      <c r="AA693" s="6" t="s">
        <v>4616</v>
      </c>
    </row>
    <row r="694" customFormat="false" ht="68.65" hidden="false" customHeight="false" outlineLevel="0" collapsed="false">
      <c r="A694" s="5" t="s">
        <v>4617</v>
      </c>
      <c r="B694" s="2" t="s">
        <v>4618</v>
      </c>
      <c r="C694" s="5" t="s">
        <v>2245</v>
      </c>
      <c r="D694" s="5" t="s">
        <v>60</v>
      </c>
      <c r="E694" s="2" t="s">
        <v>161</v>
      </c>
      <c r="F694" s="5" t="s">
        <v>62</v>
      </c>
      <c r="G694" s="5" t="n">
        <v>5</v>
      </c>
      <c r="H694" s="5" t="s">
        <v>89</v>
      </c>
      <c r="I694" s="5" t="s">
        <v>64</v>
      </c>
      <c r="J694" s="5" t="s">
        <v>65</v>
      </c>
      <c r="K694" s="5" t="s">
        <v>66</v>
      </c>
      <c r="L694" s="2" t="s">
        <v>67</v>
      </c>
      <c r="M694" s="2" t="s">
        <v>578</v>
      </c>
      <c r="N694" s="2" t="s">
        <v>3232</v>
      </c>
      <c r="O694" s="2" t="s">
        <v>3327</v>
      </c>
      <c r="P694" s="2"/>
      <c r="Q694" s="5" t="n">
        <v>1</v>
      </c>
      <c r="R694" s="2" t="s">
        <v>71</v>
      </c>
      <c r="S694" s="2" t="s">
        <v>4619</v>
      </c>
      <c r="T694" s="2" t="s">
        <v>3329</v>
      </c>
      <c r="U694" s="2" t="s">
        <v>74</v>
      </c>
      <c r="V694" s="5" t="n">
        <v>300</v>
      </c>
      <c r="W694" s="2"/>
      <c r="X694" s="2" t="s">
        <v>3330</v>
      </c>
      <c r="Y694" s="5" t="s">
        <v>1225</v>
      </c>
      <c r="Z694" s="2" t="s">
        <v>4620</v>
      </c>
      <c r="AA694" s="6" t="s">
        <v>4621</v>
      </c>
    </row>
    <row r="695" customFormat="false" ht="113.4" hidden="false" customHeight="false" outlineLevel="0" collapsed="false">
      <c r="A695" s="5" t="s">
        <v>4622</v>
      </c>
      <c r="B695" s="2" t="s">
        <v>4623</v>
      </c>
      <c r="C695" s="5" t="s">
        <v>2245</v>
      </c>
      <c r="D695" s="5" t="s">
        <v>60</v>
      </c>
      <c r="E695" s="2" t="s">
        <v>161</v>
      </c>
      <c r="F695" s="5" t="s">
        <v>62</v>
      </c>
      <c r="G695" s="5" t="n">
        <v>5</v>
      </c>
      <c r="H695" s="5" t="s">
        <v>89</v>
      </c>
      <c r="I695" s="5" t="s">
        <v>64</v>
      </c>
      <c r="J695" s="5" t="s">
        <v>65</v>
      </c>
      <c r="K695" s="5" t="s">
        <v>66</v>
      </c>
      <c r="L695" s="2" t="s">
        <v>67</v>
      </c>
      <c r="M695" s="2" t="s">
        <v>578</v>
      </c>
      <c r="N695" s="2" t="s">
        <v>3232</v>
      </c>
      <c r="O695" s="2" t="s">
        <v>3327</v>
      </c>
      <c r="P695" s="2"/>
      <c r="Q695" s="5" t="n">
        <v>1</v>
      </c>
      <c r="R695" s="2" t="s">
        <v>71</v>
      </c>
      <c r="S695" s="2" t="s">
        <v>4624</v>
      </c>
      <c r="T695" s="2" t="s">
        <v>3329</v>
      </c>
      <c r="U695" s="2" t="s">
        <v>74</v>
      </c>
      <c r="V695" s="5" t="n">
        <v>300</v>
      </c>
      <c r="W695" s="2"/>
      <c r="X695" s="2" t="s">
        <v>3330</v>
      </c>
      <c r="Y695" s="5" t="s">
        <v>1225</v>
      </c>
      <c r="Z695" s="2" t="s">
        <v>4625</v>
      </c>
      <c r="AA695" s="6" t="s">
        <v>4626</v>
      </c>
    </row>
    <row r="696" customFormat="false" ht="147" hidden="false" customHeight="false" outlineLevel="0" collapsed="false">
      <c r="A696" s="5" t="s">
        <v>4627</v>
      </c>
      <c r="B696" s="2" t="s">
        <v>4628</v>
      </c>
      <c r="C696" s="5" t="s">
        <v>2245</v>
      </c>
      <c r="D696" s="5" t="s">
        <v>60</v>
      </c>
      <c r="E696" s="2" t="s">
        <v>161</v>
      </c>
      <c r="F696" s="5" t="s">
        <v>62</v>
      </c>
      <c r="G696" s="5" t="n">
        <v>5</v>
      </c>
      <c r="H696" s="5" t="s">
        <v>89</v>
      </c>
      <c r="I696" s="5" t="s">
        <v>64</v>
      </c>
      <c r="J696" s="5" t="s">
        <v>65</v>
      </c>
      <c r="K696" s="5" t="s">
        <v>66</v>
      </c>
      <c r="L696" s="2" t="s">
        <v>67</v>
      </c>
      <c r="M696" s="2" t="s">
        <v>578</v>
      </c>
      <c r="N696" s="2" t="s">
        <v>3232</v>
      </c>
      <c r="O696" s="2" t="s">
        <v>3327</v>
      </c>
      <c r="P696" s="2"/>
      <c r="Q696" s="5" t="n">
        <v>1</v>
      </c>
      <c r="R696" s="2" t="s">
        <v>71</v>
      </c>
      <c r="S696" s="2" t="s">
        <v>4629</v>
      </c>
      <c r="T696" s="2" t="s">
        <v>3329</v>
      </c>
      <c r="U696" s="2" t="s">
        <v>74</v>
      </c>
      <c r="V696" s="5" t="n">
        <v>300</v>
      </c>
      <c r="W696" s="2"/>
      <c r="X696" s="2" t="s">
        <v>3330</v>
      </c>
      <c r="Y696" s="5" t="s">
        <v>1225</v>
      </c>
      <c r="Z696" s="2" t="s">
        <v>4630</v>
      </c>
      <c r="AA696" s="6" t="s">
        <v>4631</v>
      </c>
    </row>
    <row r="697" customFormat="false" ht="68.65" hidden="false" customHeight="false" outlineLevel="0" collapsed="false">
      <c r="A697" s="5" t="s">
        <v>4632</v>
      </c>
      <c r="B697" s="2" t="s">
        <v>4633</v>
      </c>
      <c r="C697" s="5" t="s">
        <v>2128</v>
      </c>
      <c r="D697" s="5" t="s">
        <v>60</v>
      </c>
      <c r="E697" s="2" t="s">
        <v>269</v>
      </c>
      <c r="F697" s="5" t="s">
        <v>62</v>
      </c>
      <c r="G697" s="5" t="n">
        <v>3</v>
      </c>
      <c r="H697" s="5" t="s">
        <v>817</v>
      </c>
      <c r="I697" s="5" t="s">
        <v>64</v>
      </c>
      <c r="J697" s="5" t="s">
        <v>65</v>
      </c>
      <c r="K697" s="5" t="s">
        <v>66</v>
      </c>
      <c r="L697" s="2" t="s">
        <v>67</v>
      </c>
      <c r="M697" s="2" t="s">
        <v>4634</v>
      </c>
      <c r="N697" s="2" t="s">
        <v>184</v>
      </c>
      <c r="O697" s="2" t="s">
        <v>4635</v>
      </c>
      <c r="P697" s="2"/>
      <c r="Q697" s="5" t="n">
        <v>1</v>
      </c>
      <c r="R697" s="2" t="s">
        <v>71</v>
      </c>
      <c r="S697" s="2" t="s">
        <v>4636</v>
      </c>
      <c r="T697" s="2" t="s">
        <v>4637</v>
      </c>
      <c r="U697" s="2" t="s">
        <v>74</v>
      </c>
      <c r="V697" s="5" t="n">
        <v>300</v>
      </c>
      <c r="W697" s="2"/>
      <c r="X697" s="2" t="s">
        <v>4638</v>
      </c>
      <c r="Y697" s="5"/>
      <c r="Z697" s="2" t="s">
        <v>4639</v>
      </c>
      <c r="AA697" s="6" t="s">
        <v>4640</v>
      </c>
    </row>
    <row r="698" customFormat="false" ht="202.95" hidden="false" customHeight="false" outlineLevel="0" collapsed="false">
      <c r="A698" s="5" t="s">
        <v>4641</v>
      </c>
      <c r="B698" s="2" t="s">
        <v>4642</v>
      </c>
      <c r="C698" s="5" t="s">
        <v>2128</v>
      </c>
      <c r="D698" s="5" t="s">
        <v>60</v>
      </c>
      <c r="E698" s="2" t="s">
        <v>269</v>
      </c>
      <c r="F698" s="5" t="s">
        <v>62</v>
      </c>
      <c r="G698" s="5" t="n">
        <v>5</v>
      </c>
      <c r="H698" s="5" t="s">
        <v>89</v>
      </c>
      <c r="I698" s="5" t="s">
        <v>64</v>
      </c>
      <c r="J698" s="5" t="s">
        <v>65</v>
      </c>
      <c r="K698" s="5" t="s">
        <v>66</v>
      </c>
      <c r="L698" s="2" t="s">
        <v>90</v>
      </c>
      <c r="M698" s="2"/>
      <c r="N698" s="2" t="s">
        <v>184</v>
      </c>
      <c r="O698" s="2" t="s">
        <v>4643</v>
      </c>
      <c r="P698" s="2"/>
      <c r="Q698" s="5" t="n">
        <v>1</v>
      </c>
      <c r="R698" s="2" t="s">
        <v>71</v>
      </c>
      <c r="S698" s="2" t="s">
        <v>4644</v>
      </c>
      <c r="T698" s="2" t="s">
        <v>4645</v>
      </c>
      <c r="U698" s="2" t="s">
        <v>74</v>
      </c>
      <c r="V698" s="5" t="n">
        <v>300</v>
      </c>
      <c r="W698" s="2"/>
      <c r="X698" s="2" t="s">
        <v>3112</v>
      </c>
      <c r="Y698" s="5"/>
      <c r="Z698" s="2" t="s">
        <v>4646</v>
      </c>
      <c r="AA698" s="6" t="s">
        <v>4647</v>
      </c>
    </row>
    <row r="699" customFormat="false" ht="91" hidden="false" customHeight="false" outlineLevel="0" collapsed="false">
      <c r="A699" s="5" t="s">
        <v>4648</v>
      </c>
      <c r="B699" s="2" t="s">
        <v>4649</v>
      </c>
      <c r="C699" s="5" t="s">
        <v>2128</v>
      </c>
      <c r="D699" s="5" t="s">
        <v>60</v>
      </c>
      <c r="E699" s="2" t="s">
        <v>3355</v>
      </c>
      <c r="F699" s="5" t="s">
        <v>62</v>
      </c>
      <c r="G699" s="5" t="n">
        <v>7</v>
      </c>
      <c r="H699" s="5" t="s">
        <v>89</v>
      </c>
      <c r="I699" s="5" t="s">
        <v>64</v>
      </c>
      <c r="J699" s="5" t="s">
        <v>65</v>
      </c>
      <c r="K699" s="5" t="s">
        <v>66</v>
      </c>
      <c r="L699" s="2" t="s">
        <v>67</v>
      </c>
      <c r="M699" s="2" t="s">
        <v>4650</v>
      </c>
      <c r="N699" s="2" t="s">
        <v>367</v>
      </c>
      <c r="O699" s="2" t="s">
        <v>3373</v>
      </c>
      <c r="P699" s="2"/>
      <c r="Q699" s="5" t="n">
        <v>1</v>
      </c>
      <c r="R699" s="2" t="s">
        <v>71</v>
      </c>
      <c r="S699" s="2" t="s">
        <v>4651</v>
      </c>
      <c r="T699" s="2" t="s">
        <v>3375</v>
      </c>
      <c r="U699" s="2" t="s">
        <v>74</v>
      </c>
      <c r="V699" s="5" t="n">
        <v>300</v>
      </c>
      <c r="W699" s="2"/>
      <c r="X699" s="2" t="s">
        <v>3376</v>
      </c>
      <c r="Y699" s="5"/>
      <c r="Z699" s="2" t="s">
        <v>4652</v>
      </c>
      <c r="AA699" s="6" t="s">
        <v>4653</v>
      </c>
    </row>
    <row r="700" customFormat="false" ht="124.6" hidden="false" customHeight="false" outlineLevel="0" collapsed="false">
      <c r="A700" s="5" t="s">
        <v>4654</v>
      </c>
      <c r="B700" s="2" t="s">
        <v>4655</v>
      </c>
      <c r="C700" s="5" t="s">
        <v>2245</v>
      </c>
      <c r="D700" s="5" t="s">
        <v>60</v>
      </c>
      <c r="E700" s="2" t="s">
        <v>397</v>
      </c>
      <c r="F700" s="5" t="s">
        <v>62</v>
      </c>
      <c r="G700" s="5" t="n">
        <v>5</v>
      </c>
      <c r="H700" s="5" t="s">
        <v>89</v>
      </c>
      <c r="I700" s="5" t="s">
        <v>64</v>
      </c>
      <c r="J700" s="5" t="s">
        <v>65</v>
      </c>
      <c r="K700" s="5" t="s">
        <v>66</v>
      </c>
      <c r="L700" s="2" t="s">
        <v>100</v>
      </c>
      <c r="M700" s="2" t="s">
        <v>340</v>
      </c>
      <c r="N700" s="2" t="s">
        <v>3499</v>
      </c>
      <c r="O700" s="2" t="s">
        <v>4133</v>
      </c>
      <c r="P700" s="2"/>
      <c r="Q700" s="5" t="n">
        <v>1</v>
      </c>
      <c r="R700" s="2" t="s">
        <v>71</v>
      </c>
      <c r="S700" s="2" t="s">
        <v>4656</v>
      </c>
      <c r="T700" s="2" t="s">
        <v>4657</v>
      </c>
      <c r="U700" s="2" t="s">
        <v>74</v>
      </c>
      <c r="V700" s="5" t="n">
        <v>300</v>
      </c>
      <c r="W700" s="2"/>
      <c r="X700" s="2" t="s">
        <v>4136</v>
      </c>
      <c r="Y700" s="5"/>
      <c r="Z700" s="2" t="s">
        <v>4658</v>
      </c>
      <c r="AA700" s="6" t="s">
        <v>4659</v>
      </c>
    </row>
    <row r="701" customFormat="false" ht="57.45" hidden="false" customHeight="false" outlineLevel="0" collapsed="false">
      <c r="A701" s="5" t="s">
        <v>4660</v>
      </c>
      <c r="B701" s="2" t="s">
        <v>4661</v>
      </c>
      <c r="C701" s="5" t="s">
        <v>2128</v>
      </c>
      <c r="D701" s="5" t="s">
        <v>60</v>
      </c>
      <c r="E701" s="2" t="s">
        <v>269</v>
      </c>
      <c r="F701" s="5" t="s">
        <v>62</v>
      </c>
      <c r="G701" s="5" t="n">
        <v>7</v>
      </c>
      <c r="H701" s="5" t="s">
        <v>89</v>
      </c>
      <c r="I701" s="5" t="s">
        <v>64</v>
      </c>
      <c r="J701" s="5" t="s">
        <v>65</v>
      </c>
      <c r="K701" s="5" t="s">
        <v>66</v>
      </c>
      <c r="L701" s="2" t="s">
        <v>67</v>
      </c>
      <c r="M701" s="2" t="s">
        <v>1087</v>
      </c>
      <c r="N701" s="2" t="s">
        <v>184</v>
      </c>
      <c r="O701" s="2" t="s">
        <v>3876</v>
      </c>
      <c r="P701" s="2"/>
      <c r="Q701" s="5" t="n">
        <v>1</v>
      </c>
      <c r="R701" s="2" t="s">
        <v>71</v>
      </c>
      <c r="S701" s="2" t="s">
        <v>4662</v>
      </c>
      <c r="T701" s="2" t="s">
        <v>1432</v>
      </c>
      <c r="U701" s="2" t="s">
        <v>74</v>
      </c>
      <c r="V701" s="5" t="n">
        <v>300</v>
      </c>
      <c r="W701" s="2"/>
      <c r="X701" s="2" t="s">
        <v>3878</v>
      </c>
      <c r="Y701" s="5"/>
      <c r="Z701" s="2" t="s">
        <v>4663</v>
      </c>
      <c r="AA701" s="6" t="s">
        <v>4664</v>
      </c>
    </row>
    <row r="702" customFormat="false" ht="68.65" hidden="false" customHeight="false" outlineLevel="0" collapsed="false">
      <c r="A702" s="5" t="s">
        <v>4665</v>
      </c>
      <c r="B702" s="2" t="s">
        <v>4666</v>
      </c>
      <c r="C702" s="5" t="s">
        <v>2245</v>
      </c>
      <c r="D702" s="5" t="s">
        <v>60</v>
      </c>
      <c r="E702" s="2" t="s">
        <v>161</v>
      </c>
      <c r="F702" s="5" t="s">
        <v>62</v>
      </c>
      <c r="G702" s="5" t="n">
        <v>7</v>
      </c>
      <c r="H702" s="5" t="s">
        <v>89</v>
      </c>
      <c r="I702" s="5" t="s">
        <v>64</v>
      </c>
      <c r="J702" s="5" t="s">
        <v>65</v>
      </c>
      <c r="K702" s="5" t="s">
        <v>66</v>
      </c>
      <c r="L702" s="2" t="s">
        <v>90</v>
      </c>
      <c r="M702" s="2"/>
      <c r="N702" s="2" t="s">
        <v>3232</v>
      </c>
      <c r="O702" s="2" t="s">
        <v>1105</v>
      </c>
      <c r="P702" s="2"/>
      <c r="Q702" s="5" t="n">
        <v>1</v>
      </c>
      <c r="R702" s="2" t="s">
        <v>71</v>
      </c>
      <c r="S702" s="2" t="s">
        <v>4667</v>
      </c>
      <c r="T702" s="2" t="s">
        <v>1139</v>
      </c>
      <c r="U702" s="2" t="s">
        <v>74</v>
      </c>
      <c r="V702" s="5" t="n">
        <v>300</v>
      </c>
      <c r="W702" s="2"/>
      <c r="X702" s="2" t="s">
        <v>1108</v>
      </c>
      <c r="Y702" s="5" t="s">
        <v>309</v>
      </c>
      <c r="Z702" s="2" t="s">
        <v>4668</v>
      </c>
      <c r="AA702" s="6" t="s">
        <v>4669</v>
      </c>
    </row>
    <row r="703" customFormat="false" ht="68.65" hidden="false" customHeight="false" outlineLevel="0" collapsed="false">
      <c r="A703" s="5" t="s">
        <v>4670</v>
      </c>
      <c r="B703" s="2" t="s">
        <v>4671</v>
      </c>
      <c r="C703" s="5" t="s">
        <v>2245</v>
      </c>
      <c r="D703" s="5" t="s">
        <v>60</v>
      </c>
      <c r="E703" s="2" t="s">
        <v>2859</v>
      </c>
      <c r="F703" s="5" t="s">
        <v>490</v>
      </c>
      <c r="G703" s="5" t="n">
        <v>1</v>
      </c>
      <c r="H703" s="5" t="s">
        <v>817</v>
      </c>
      <c r="I703" s="5" t="s">
        <v>64</v>
      </c>
      <c r="J703" s="5" t="s">
        <v>65</v>
      </c>
      <c r="K703" s="5" t="s">
        <v>66</v>
      </c>
      <c r="L703" s="2" t="s">
        <v>536</v>
      </c>
      <c r="M703" s="2" t="s">
        <v>537</v>
      </c>
      <c r="N703" s="2" t="s">
        <v>3499</v>
      </c>
      <c r="O703" s="2" t="s">
        <v>4672</v>
      </c>
      <c r="P703" s="2"/>
      <c r="Q703" s="5" t="n">
        <v>1</v>
      </c>
      <c r="R703" s="2" t="s">
        <v>71</v>
      </c>
      <c r="S703" s="2" t="s">
        <v>83</v>
      </c>
      <c r="T703" s="2" t="s">
        <v>247</v>
      </c>
      <c r="U703" s="2" t="s">
        <v>74</v>
      </c>
      <c r="V703" s="5" t="n">
        <v>300</v>
      </c>
      <c r="W703" s="2"/>
      <c r="X703" s="2" t="s">
        <v>4673</v>
      </c>
      <c r="Y703" s="5" t="s">
        <v>1537</v>
      </c>
      <c r="Z703" s="2" t="s">
        <v>4674</v>
      </c>
      <c r="AA703" s="6" t="s">
        <v>4675</v>
      </c>
    </row>
    <row r="704" customFormat="false" ht="91" hidden="false" customHeight="false" outlineLevel="0" collapsed="false">
      <c r="A704" s="5" t="s">
        <v>4676</v>
      </c>
      <c r="B704" s="2" t="s">
        <v>4677</v>
      </c>
      <c r="C704" s="5" t="s">
        <v>2245</v>
      </c>
      <c r="D704" s="5" t="s">
        <v>60</v>
      </c>
      <c r="E704" s="2" t="s">
        <v>4678</v>
      </c>
      <c r="F704" s="5" t="s">
        <v>62</v>
      </c>
      <c r="G704" s="5" t="n">
        <v>7</v>
      </c>
      <c r="H704" s="5" t="s">
        <v>89</v>
      </c>
      <c r="I704" s="5" t="s">
        <v>64</v>
      </c>
      <c r="J704" s="5" t="s">
        <v>65</v>
      </c>
      <c r="K704" s="5" t="s">
        <v>66</v>
      </c>
      <c r="L704" s="2" t="s">
        <v>90</v>
      </c>
      <c r="M704" s="2"/>
      <c r="N704" s="2" t="s">
        <v>3499</v>
      </c>
      <c r="O704" s="2" t="s">
        <v>3060</v>
      </c>
      <c r="P704" s="2"/>
      <c r="Q704" s="5" t="n">
        <v>1</v>
      </c>
      <c r="R704" s="2" t="s">
        <v>71</v>
      </c>
      <c r="S704" s="2" t="s">
        <v>4679</v>
      </c>
      <c r="T704" s="2" t="s">
        <v>4680</v>
      </c>
      <c r="U704" s="2" t="s">
        <v>74</v>
      </c>
      <c r="V704" s="5" t="n">
        <v>300</v>
      </c>
      <c r="W704" s="2"/>
      <c r="X704" s="2" t="s">
        <v>3061</v>
      </c>
      <c r="Y704" s="5" t="s">
        <v>192</v>
      </c>
      <c r="Z704" s="2" t="s">
        <v>4681</v>
      </c>
      <c r="AA704" s="6" t="s">
        <v>4682</v>
      </c>
    </row>
    <row r="705" customFormat="false" ht="102.2" hidden="false" customHeight="false" outlineLevel="0" collapsed="false">
      <c r="A705" s="5" t="s">
        <v>4683</v>
      </c>
      <c r="B705" s="2" t="s">
        <v>4684</v>
      </c>
      <c r="C705" s="5" t="s">
        <v>2245</v>
      </c>
      <c r="D705" s="5" t="s">
        <v>60</v>
      </c>
      <c r="E705" s="2" t="s">
        <v>3355</v>
      </c>
      <c r="F705" s="5" t="s">
        <v>490</v>
      </c>
      <c r="G705" s="5" t="n">
        <v>7</v>
      </c>
      <c r="H705" s="5" t="s">
        <v>89</v>
      </c>
      <c r="I705" s="5" t="s">
        <v>64</v>
      </c>
      <c r="J705" s="5" t="s">
        <v>65</v>
      </c>
      <c r="K705" s="5" t="s">
        <v>66</v>
      </c>
      <c r="L705" s="2" t="s">
        <v>90</v>
      </c>
      <c r="M705" s="2"/>
      <c r="N705" s="2" t="s">
        <v>3232</v>
      </c>
      <c r="O705" s="2" t="s">
        <v>3327</v>
      </c>
      <c r="P705" s="2"/>
      <c r="Q705" s="5" t="n">
        <v>1</v>
      </c>
      <c r="R705" s="2" t="s">
        <v>71</v>
      </c>
      <c r="S705" s="2" t="s">
        <v>4685</v>
      </c>
      <c r="T705" s="2" t="s">
        <v>3329</v>
      </c>
      <c r="U705" s="2" t="s">
        <v>74</v>
      </c>
      <c r="V705" s="5" t="n">
        <v>300</v>
      </c>
      <c r="W705" s="2"/>
      <c r="X705" s="2" t="s">
        <v>3330</v>
      </c>
      <c r="Y705" s="5" t="s">
        <v>1225</v>
      </c>
      <c r="Z705" s="2" t="s">
        <v>4686</v>
      </c>
      <c r="AA705" s="6" t="s">
        <v>4687</v>
      </c>
    </row>
    <row r="706" customFormat="false" ht="169.4" hidden="false" customHeight="false" outlineLevel="0" collapsed="false">
      <c r="A706" s="5" t="s">
        <v>4688</v>
      </c>
      <c r="B706" s="2" t="s">
        <v>4689</v>
      </c>
      <c r="C706" s="5" t="s">
        <v>2245</v>
      </c>
      <c r="D706" s="5" t="s">
        <v>60</v>
      </c>
      <c r="E706" s="2" t="s">
        <v>3355</v>
      </c>
      <c r="F706" s="5" t="s">
        <v>490</v>
      </c>
      <c r="G706" s="5" t="n">
        <v>7</v>
      </c>
      <c r="H706" s="5" t="s">
        <v>89</v>
      </c>
      <c r="I706" s="5" t="s">
        <v>64</v>
      </c>
      <c r="J706" s="5" t="s">
        <v>65</v>
      </c>
      <c r="K706" s="5" t="s">
        <v>66</v>
      </c>
      <c r="L706" s="2" t="s">
        <v>90</v>
      </c>
      <c r="M706" s="2"/>
      <c r="N706" s="2" t="s">
        <v>3232</v>
      </c>
      <c r="O706" s="2" t="s">
        <v>1105</v>
      </c>
      <c r="P706" s="2"/>
      <c r="Q706" s="5" t="n">
        <v>1</v>
      </c>
      <c r="R706" s="2" t="s">
        <v>71</v>
      </c>
      <c r="S706" s="2" t="s">
        <v>4690</v>
      </c>
      <c r="T706" s="2" t="s">
        <v>1176</v>
      </c>
      <c r="U706" s="2" t="s">
        <v>74</v>
      </c>
      <c r="V706" s="5" t="n">
        <v>300</v>
      </c>
      <c r="W706" s="2"/>
      <c r="X706" s="2" t="s">
        <v>1108</v>
      </c>
      <c r="Y706" s="5" t="s">
        <v>309</v>
      </c>
      <c r="Z706" s="2" t="s">
        <v>4691</v>
      </c>
      <c r="AA706" s="6" t="s">
        <v>4692</v>
      </c>
    </row>
    <row r="707" customFormat="false" ht="102.2" hidden="false" customHeight="false" outlineLevel="0" collapsed="false">
      <c r="A707" s="5" t="s">
        <v>4693</v>
      </c>
      <c r="B707" s="2" t="s">
        <v>4694</v>
      </c>
      <c r="C707" s="5" t="s">
        <v>2245</v>
      </c>
      <c r="D707" s="5" t="s">
        <v>60</v>
      </c>
      <c r="E707" s="2" t="s">
        <v>3355</v>
      </c>
      <c r="F707" s="5" t="s">
        <v>490</v>
      </c>
      <c r="G707" s="5" t="n">
        <v>7</v>
      </c>
      <c r="H707" s="5" t="s">
        <v>89</v>
      </c>
      <c r="I707" s="5" t="s">
        <v>64</v>
      </c>
      <c r="J707" s="5" t="s">
        <v>65</v>
      </c>
      <c r="K707" s="5" t="s">
        <v>66</v>
      </c>
      <c r="L707" s="2" t="s">
        <v>90</v>
      </c>
      <c r="M707" s="2"/>
      <c r="N707" s="2" t="s">
        <v>3232</v>
      </c>
      <c r="O707" s="2" t="s">
        <v>4695</v>
      </c>
      <c r="P707" s="2"/>
      <c r="Q707" s="5" t="n">
        <v>1</v>
      </c>
      <c r="R707" s="2" t="s">
        <v>71</v>
      </c>
      <c r="S707" s="2" t="s">
        <v>4696</v>
      </c>
      <c r="T707" s="2" t="s">
        <v>1879</v>
      </c>
      <c r="U707" s="2" t="s">
        <v>74</v>
      </c>
      <c r="V707" s="5" t="n">
        <v>300</v>
      </c>
      <c r="W707" s="2"/>
      <c r="X707" s="2" t="s">
        <v>1224</v>
      </c>
      <c r="Y707" s="5" t="s">
        <v>1225</v>
      </c>
      <c r="Z707" s="2" t="s">
        <v>4697</v>
      </c>
      <c r="AA707" s="6" t="s">
        <v>4698</v>
      </c>
    </row>
    <row r="708" customFormat="false" ht="68.65" hidden="false" customHeight="false" outlineLevel="0" collapsed="false">
      <c r="A708" s="5" t="s">
        <v>4699</v>
      </c>
      <c r="B708" s="2" t="s">
        <v>4700</v>
      </c>
      <c r="C708" s="5" t="s">
        <v>2245</v>
      </c>
      <c r="D708" s="5" t="s">
        <v>60</v>
      </c>
      <c r="E708" s="2" t="s">
        <v>182</v>
      </c>
      <c r="F708" s="5" t="s">
        <v>490</v>
      </c>
      <c r="G708" s="5" t="n">
        <v>5</v>
      </c>
      <c r="H708" s="5" t="s">
        <v>89</v>
      </c>
      <c r="I708" s="5" t="s">
        <v>64</v>
      </c>
      <c r="J708" s="5" t="s">
        <v>65</v>
      </c>
      <c r="K708" s="5" t="s">
        <v>66</v>
      </c>
      <c r="L708" s="2" t="s">
        <v>67</v>
      </c>
      <c r="M708" s="2" t="s">
        <v>2479</v>
      </c>
      <c r="N708" s="2" t="s">
        <v>3499</v>
      </c>
      <c r="O708" s="2" t="s">
        <v>210</v>
      </c>
      <c r="P708" s="2"/>
      <c r="Q708" s="5" t="n">
        <v>1</v>
      </c>
      <c r="R708" s="2" t="s">
        <v>71</v>
      </c>
      <c r="S708" s="2" t="s">
        <v>4701</v>
      </c>
      <c r="T708" s="2" t="s">
        <v>4702</v>
      </c>
      <c r="U708" s="2" t="s">
        <v>74</v>
      </c>
      <c r="V708" s="5" t="n">
        <v>300</v>
      </c>
      <c r="W708" s="2"/>
      <c r="X708" s="2" t="s">
        <v>213</v>
      </c>
      <c r="Y708" s="5" t="s">
        <v>214</v>
      </c>
      <c r="Z708" s="2" t="s">
        <v>4703</v>
      </c>
      <c r="AA708" s="6" t="s">
        <v>4704</v>
      </c>
    </row>
    <row r="709" customFormat="false" ht="102.2" hidden="false" customHeight="false" outlineLevel="0" collapsed="false">
      <c r="A709" s="5" t="s">
        <v>4705</v>
      </c>
      <c r="B709" s="2" t="s">
        <v>4706</v>
      </c>
      <c r="C709" s="5" t="s">
        <v>2245</v>
      </c>
      <c r="D709" s="5" t="s">
        <v>60</v>
      </c>
      <c r="E709" s="2" t="s">
        <v>1174</v>
      </c>
      <c r="F709" s="5" t="s">
        <v>490</v>
      </c>
      <c r="G709" s="5" t="n">
        <v>5</v>
      </c>
      <c r="H709" s="5" t="s">
        <v>89</v>
      </c>
      <c r="I709" s="5" t="s">
        <v>64</v>
      </c>
      <c r="J709" s="5" t="s">
        <v>65</v>
      </c>
      <c r="K709" s="5" t="s">
        <v>66</v>
      </c>
      <c r="L709" s="2" t="s">
        <v>67</v>
      </c>
      <c r="M709" s="2" t="s">
        <v>2479</v>
      </c>
      <c r="N709" s="2" t="s">
        <v>3232</v>
      </c>
      <c r="O709" s="2" t="s">
        <v>1105</v>
      </c>
      <c r="P709" s="2"/>
      <c r="Q709" s="5" t="n">
        <v>1</v>
      </c>
      <c r="R709" s="2" t="s">
        <v>71</v>
      </c>
      <c r="S709" s="2" t="s">
        <v>4707</v>
      </c>
      <c r="T709" s="2" t="s">
        <v>1176</v>
      </c>
      <c r="U709" s="2" t="s">
        <v>74</v>
      </c>
      <c r="V709" s="5" t="n">
        <v>300</v>
      </c>
      <c r="W709" s="2"/>
      <c r="X709" s="2" t="s">
        <v>1108</v>
      </c>
      <c r="Y709" s="5" t="s">
        <v>309</v>
      </c>
      <c r="Z709" s="2" t="s">
        <v>4708</v>
      </c>
      <c r="AA709" s="6" t="s">
        <v>4709</v>
      </c>
    </row>
    <row r="710" customFormat="false" ht="79.85" hidden="false" customHeight="false" outlineLevel="0" collapsed="false">
      <c r="A710" s="5" t="s">
        <v>4710</v>
      </c>
      <c r="B710" s="2" t="s">
        <v>4711</v>
      </c>
      <c r="C710" s="5" t="s">
        <v>2245</v>
      </c>
      <c r="D710" s="5" t="s">
        <v>60</v>
      </c>
      <c r="E710" s="2" t="s">
        <v>269</v>
      </c>
      <c r="F710" s="5" t="s">
        <v>62</v>
      </c>
      <c r="G710" s="5" t="n">
        <v>5</v>
      </c>
      <c r="H710" s="5" t="s">
        <v>89</v>
      </c>
      <c r="I710" s="5" t="s">
        <v>64</v>
      </c>
      <c r="J710" s="5" t="s">
        <v>65</v>
      </c>
      <c r="K710" s="5" t="s">
        <v>66</v>
      </c>
      <c r="L710" s="2" t="s">
        <v>90</v>
      </c>
      <c r="M710" s="2"/>
      <c r="N710" s="2" t="s">
        <v>3499</v>
      </c>
      <c r="O710" s="2" t="s">
        <v>3500</v>
      </c>
      <c r="P710" s="2"/>
      <c r="Q710" s="5" t="n">
        <v>1</v>
      </c>
      <c r="R710" s="2" t="s">
        <v>71</v>
      </c>
      <c r="S710" s="2" t="s">
        <v>4712</v>
      </c>
      <c r="T710" s="2" t="s">
        <v>2081</v>
      </c>
      <c r="U710" s="2" t="s">
        <v>74</v>
      </c>
      <c r="V710" s="5" t="n">
        <v>300</v>
      </c>
      <c r="W710" s="2"/>
      <c r="X710" s="2" t="s">
        <v>3503</v>
      </c>
      <c r="Y710" s="5"/>
      <c r="Z710" s="2" t="s">
        <v>4713</v>
      </c>
      <c r="AA710" s="6" t="s">
        <v>4714</v>
      </c>
    </row>
    <row r="711" customFormat="false" ht="68.65" hidden="false" customHeight="false" outlineLevel="0" collapsed="false">
      <c r="A711" s="5" t="s">
        <v>4715</v>
      </c>
      <c r="B711" s="2" t="s">
        <v>4716</v>
      </c>
      <c r="C711" s="5" t="s">
        <v>2245</v>
      </c>
      <c r="D711" s="5" t="s">
        <v>60</v>
      </c>
      <c r="E711" s="2" t="s">
        <v>269</v>
      </c>
      <c r="F711" s="5" t="s">
        <v>62</v>
      </c>
      <c r="G711" s="5" t="n">
        <v>5</v>
      </c>
      <c r="H711" s="5" t="s">
        <v>89</v>
      </c>
      <c r="I711" s="5" t="s">
        <v>64</v>
      </c>
      <c r="J711" s="5" t="s">
        <v>65</v>
      </c>
      <c r="K711" s="5" t="s">
        <v>66</v>
      </c>
      <c r="L711" s="2" t="s">
        <v>90</v>
      </c>
      <c r="M711" s="2"/>
      <c r="N711" s="2" t="s">
        <v>3499</v>
      </c>
      <c r="O711" s="2" t="s">
        <v>1457</v>
      </c>
      <c r="P711" s="2"/>
      <c r="Q711" s="5" t="n">
        <v>1</v>
      </c>
      <c r="R711" s="2" t="s">
        <v>71</v>
      </c>
      <c r="S711" s="2" t="s">
        <v>4717</v>
      </c>
      <c r="T711" s="2" t="s">
        <v>4260</v>
      </c>
      <c r="U711" s="2" t="s">
        <v>74</v>
      </c>
      <c r="V711" s="5" t="n">
        <v>300</v>
      </c>
      <c r="W711" s="2"/>
      <c r="X711" s="2" t="s">
        <v>1460</v>
      </c>
      <c r="Y711" s="5"/>
      <c r="Z711" s="2" t="s">
        <v>4718</v>
      </c>
      <c r="AA711" s="6" t="s">
        <v>4719</v>
      </c>
    </row>
    <row r="712" customFormat="false" ht="46.25" hidden="false" customHeight="false" outlineLevel="0" collapsed="false">
      <c r="A712" s="5" t="s">
        <v>4720</v>
      </c>
      <c r="B712" s="2" t="s">
        <v>4721</v>
      </c>
      <c r="C712" s="5" t="s">
        <v>2128</v>
      </c>
      <c r="D712" s="5" t="s">
        <v>60</v>
      </c>
      <c r="E712" s="2" t="s">
        <v>269</v>
      </c>
      <c r="F712" s="5" t="s">
        <v>62</v>
      </c>
      <c r="G712" s="5" t="n">
        <v>3</v>
      </c>
      <c r="H712" s="5" t="s">
        <v>817</v>
      </c>
      <c r="I712" s="5" t="s">
        <v>64</v>
      </c>
      <c r="J712" s="5" t="s">
        <v>65</v>
      </c>
      <c r="K712" s="5" t="s">
        <v>66</v>
      </c>
      <c r="L712" s="2" t="s">
        <v>90</v>
      </c>
      <c r="M712" s="2"/>
      <c r="N712" s="2" t="s">
        <v>184</v>
      </c>
      <c r="O712" s="2" t="s">
        <v>4722</v>
      </c>
      <c r="P712" s="2"/>
      <c r="Q712" s="5" t="n">
        <v>1</v>
      </c>
      <c r="R712" s="2" t="s">
        <v>71</v>
      </c>
      <c r="S712" s="2" t="s">
        <v>83</v>
      </c>
      <c r="T712" s="2" t="s">
        <v>1098</v>
      </c>
      <c r="U712" s="2" t="s">
        <v>74</v>
      </c>
      <c r="V712" s="5" t="n">
        <v>300</v>
      </c>
      <c r="W712" s="2"/>
      <c r="X712" s="2" t="s">
        <v>3112</v>
      </c>
      <c r="Y712" s="5"/>
      <c r="Z712" s="2" t="s">
        <v>4723</v>
      </c>
      <c r="AA712" s="6" t="s">
        <v>4724</v>
      </c>
    </row>
    <row r="713" customFormat="false" ht="191.75" hidden="false" customHeight="false" outlineLevel="0" collapsed="false">
      <c r="A713" s="5" t="s">
        <v>4725</v>
      </c>
      <c r="B713" s="2" t="s">
        <v>4726</v>
      </c>
      <c r="C713" s="5" t="s">
        <v>2245</v>
      </c>
      <c r="D713" s="5" t="s">
        <v>60</v>
      </c>
      <c r="E713" s="2" t="s">
        <v>276</v>
      </c>
      <c r="F713" s="5" t="s">
        <v>62</v>
      </c>
      <c r="G713" s="5" t="n">
        <v>3</v>
      </c>
      <c r="H713" s="5" t="s">
        <v>817</v>
      </c>
      <c r="I713" s="5" t="s">
        <v>64</v>
      </c>
      <c r="J713" s="5" t="s">
        <v>65</v>
      </c>
      <c r="K713" s="5" t="s">
        <v>66</v>
      </c>
      <c r="L713" s="2" t="s">
        <v>90</v>
      </c>
      <c r="M713" s="2"/>
      <c r="N713" s="2" t="s">
        <v>3499</v>
      </c>
      <c r="O713" s="2" t="s">
        <v>3745</v>
      </c>
      <c r="P713" s="2"/>
      <c r="Q713" s="5" t="n">
        <v>1</v>
      </c>
      <c r="R713" s="2" t="s">
        <v>71</v>
      </c>
      <c r="S713" s="2" t="s">
        <v>4727</v>
      </c>
      <c r="T713" s="2" t="s">
        <v>3747</v>
      </c>
      <c r="U713" s="2" t="s">
        <v>74</v>
      </c>
      <c r="V713" s="5" t="n">
        <v>300</v>
      </c>
      <c r="W713" s="2"/>
      <c r="X713" s="2" t="s">
        <v>3748</v>
      </c>
      <c r="Y713" s="5"/>
      <c r="Z713" s="2" t="s">
        <v>4728</v>
      </c>
      <c r="AA713" s="6" t="s">
        <v>4729</v>
      </c>
    </row>
    <row r="714" customFormat="false" ht="326.1" hidden="false" customHeight="false" outlineLevel="0" collapsed="false">
      <c r="A714" s="5" t="s">
        <v>4730</v>
      </c>
      <c r="B714" s="2" t="s">
        <v>4731</v>
      </c>
      <c r="C714" s="5" t="s">
        <v>2245</v>
      </c>
      <c r="D714" s="5" t="s">
        <v>60</v>
      </c>
      <c r="E714" s="2" t="s">
        <v>269</v>
      </c>
      <c r="F714" s="5" t="s">
        <v>62</v>
      </c>
      <c r="G714" s="5" t="n">
        <v>7</v>
      </c>
      <c r="H714" s="5" t="s">
        <v>89</v>
      </c>
      <c r="I714" s="5" t="s">
        <v>64</v>
      </c>
      <c r="J714" s="5" t="s">
        <v>65</v>
      </c>
      <c r="K714" s="5" t="s">
        <v>66</v>
      </c>
      <c r="L714" s="2" t="s">
        <v>90</v>
      </c>
      <c r="M714" s="2"/>
      <c r="N714" s="2" t="s">
        <v>3499</v>
      </c>
      <c r="O714" s="2" t="s">
        <v>4732</v>
      </c>
      <c r="P714" s="2"/>
      <c r="Q714" s="5" t="n">
        <v>1</v>
      </c>
      <c r="R714" s="2" t="s">
        <v>71</v>
      </c>
      <c r="S714" s="2" t="s">
        <v>4733</v>
      </c>
      <c r="T714" s="2" t="s">
        <v>3111</v>
      </c>
      <c r="U714" s="2" t="s">
        <v>74</v>
      </c>
      <c r="V714" s="5" t="n">
        <v>300</v>
      </c>
      <c r="W714" s="2"/>
      <c r="X714" s="2" t="s">
        <v>4734</v>
      </c>
      <c r="Y714" s="5"/>
      <c r="Z714" s="2" t="s">
        <v>4735</v>
      </c>
      <c r="AA714" s="6" t="s">
        <v>4736</v>
      </c>
    </row>
    <row r="715" customFormat="false" ht="57.45" hidden="false" customHeight="false" outlineLevel="0" collapsed="false">
      <c r="A715" s="5" t="s">
        <v>4737</v>
      </c>
      <c r="B715" s="2" t="s">
        <v>4738</v>
      </c>
      <c r="C715" s="5" t="s">
        <v>2128</v>
      </c>
      <c r="D715" s="5" t="s">
        <v>60</v>
      </c>
      <c r="E715" s="2" t="s">
        <v>269</v>
      </c>
      <c r="F715" s="5" t="s">
        <v>62</v>
      </c>
      <c r="G715" s="5" t="n">
        <v>3</v>
      </c>
      <c r="H715" s="5" t="s">
        <v>817</v>
      </c>
      <c r="I715" s="5" t="s">
        <v>64</v>
      </c>
      <c r="J715" s="5" t="s">
        <v>65</v>
      </c>
      <c r="K715" s="5" t="s">
        <v>66</v>
      </c>
      <c r="L715" s="2" t="s">
        <v>90</v>
      </c>
      <c r="M715" s="2"/>
      <c r="N715" s="2" t="s">
        <v>184</v>
      </c>
      <c r="O715" s="2" t="s">
        <v>4739</v>
      </c>
      <c r="P715" s="2"/>
      <c r="Q715" s="5" t="n">
        <v>1</v>
      </c>
      <c r="R715" s="2" t="s">
        <v>71</v>
      </c>
      <c r="S715" s="2" t="s">
        <v>83</v>
      </c>
      <c r="T715" s="2" t="s">
        <v>1098</v>
      </c>
      <c r="U715" s="2" t="s">
        <v>74</v>
      </c>
      <c r="V715" s="5" t="n">
        <v>300</v>
      </c>
      <c r="W715" s="2"/>
      <c r="X715" s="2" t="s">
        <v>3112</v>
      </c>
      <c r="Y715" s="5"/>
      <c r="Z715" s="2" t="s">
        <v>4740</v>
      </c>
      <c r="AA715" s="6" t="s">
        <v>4741</v>
      </c>
    </row>
    <row r="716" customFormat="false" ht="68.65" hidden="false" customHeight="false" outlineLevel="0" collapsed="false">
      <c r="A716" s="5" t="s">
        <v>4742</v>
      </c>
      <c r="B716" s="2" t="s">
        <v>4743</v>
      </c>
      <c r="C716" s="5" t="s">
        <v>2128</v>
      </c>
      <c r="D716" s="5" t="s">
        <v>60</v>
      </c>
      <c r="E716" s="2" t="s">
        <v>269</v>
      </c>
      <c r="F716" s="5" t="s">
        <v>62</v>
      </c>
      <c r="G716" s="5" t="n">
        <v>5</v>
      </c>
      <c r="H716" s="5" t="s">
        <v>89</v>
      </c>
      <c r="I716" s="5" t="s">
        <v>64</v>
      </c>
      <c r="J716" s="5" t="s">
        <v>65</v>
      </c>
      <c r="K716" s="5" t="s">
        <v>66</v>
      </c>
      <c r="L716" s="2" t="s">
        <v>90</v>
      </c>
      <c r="M716" s="2" t="s">
        <v>740</v>
      </c>
      <c r="N716" s="2" t="s">
        <v>184</v>
      </c>
      <c r="O716" s="2" t="s">
        <v>1612</v>
      </c>
      <c r="P716" s="2"/>
      <c r="Q716" s="5" t="n">
        <v>1</v>
      </c>
      <c r="R716" s="2" t="s">
        <v>71</v>
      </c>
      <c r="S716" s="2" t="s">
        <v>4744</v>
      </c>
      <c r="T716" s="2" t="s">
        <v>4745</v>
      </c>
      <c r="U716" s="2" t="s">
        <v>74</v>
      </c>
      <c r="V716" s="5" t="n">
        <v>300</v>
      </c>
      <c r="W716" s="2"/>
      <c r="X716" s="2" t="s">
        <v>1615</v>
      </c>
      <c r="Y716" s="5"/>
      <c r="Z716" s="2" t="s">
        <v>4746</v>
      </c>
      <c r="AA716" s="6" t="s">
        <v>4747</v>
      </c>
    </row>
    <row r="717" customFormat="false" ht="23.85" hidden="false" customHeight="false" outlineLevel="0" collapsed="false">
      <c r="A717" s="5" t="s">
        <v>4748</v>
      </c>
      <c r="B717" s="2" t="s">
        <v>4749</v>
      </c>
      <c r="C717" s="5" t="s">
        <v>2128</v>
      </c>
      <c r="D717" s="5" t="s">
        <v>60</v>
      </c>
      <c r="E717" s="2" t="s">
        <v>161</v>
      </c>
      <c r="F717" s="5" t="s">
        <v>62</v>
      </c>
      <c r="G717" s="5" t="n">
        <v>9</v>
      </c>
      <c r="H717" s="5" t="s">
        <v>63</v>
      </c>
      <c r="I717" s="5" t="s">
        <v>64</v>
      </c>
      <c r="J717" s="5" t="s">
        <v>65</v>
      </c>
      <c r="K717" s="5" t="s">
        <v>66</v>
      </c>
      <c r="L717" s="2" t="s">
        <v>90</v>
      </c>
      <c r="M717" s="2" t="s">
        <v>545</v>
      </c>
      <c r="N717" s="2" t="s">
        <v>4750</v>
      </c>
      <c r="O717" s="2" t="s">
        <v>4751</v>
      </c>
      <c r="P717" s="2"/>
      <c r="Q717" s="5" t="n">
        <v>1</v>
      </c>
      <c r="R717" s="2" t="s">
        <v>4752</v>
      </c>
      <c r="S717" s="2" t="s">
        <v>4753</v>
      </c>
      <c r="T717" s="2" t="s">
        <v>2200</v>
      </c>
      <c r="U717" s="2" t="s">
        <v>4754</v>
      </c>
      <c r="V717" s="5" t="n">
        <v>300</v>
      </c>
      <c r="W717" s="2"/>
      <c r="X717" s="2" t="s">
        <v>4755</v>
      </c>
      <c r="Y717" s="5"/>
      <c r="Z717" s="2" t="s">
        <v>4756</v>
      </c>
      <c r="AA717" s="6" t="s">
        <v>4757</v>
      </c>
    </row>
    <row r="718" customFormat="false" ht="46.25" hidden="false" customHeight="false" outlineLevel="0" collapsed="false">
      <c r="A718" s="5" t="s">
        <v>4758</v>
      </c>
      <c r="B718" s="2" t="s">
        <v>4759</v>
      </c>
      <c r="C718" s="5" t="s">
        <v>2128</v>
      </c>
      <c r="D718" s="5" t="s">
        <v>4760</v>
      </c>
      <c r="E718" s="2" t="s">
        <v>100</v>
      </c>
      <c r="F718" s="5" t="s">
        <v>62</v>
      </c>
      <c r="G718" s="5" t="n">
        <v>7</v>
      </c>
      <c r="H718" s="5" t="s">
        <v>89</v>
      </c>
      <c r="I718" s="5" t="s">
        <v>64</v>
      </c>
      <c r="J718" s="5" t="s">
        <v>65</v>
      </c>
      <c r="K718" s="5" t="s">
        <v>66</v>
      </c>
      <c r="L718" s="2" t="s">
        <v>100</v>
      </c>
      <c r="M718" s="2" t="s">
        <v>1032</v>
      </c>
      <c r="N718" s="2" t="s">
        <v>956</v>
      </c>
      <c r="O718" s="2" t="s">
        <v>4761</v>
      </c>
      <c r="P718" s="2"/>
      <c r="Q718" s="5" t="n">
        <v>1</v>
      </c>
      <c r="R718" s="2" t="s">
        <v>958</v>
      </c>
      <c r="S718" s="2" t="s">
        <v>959</v>
      </c>
      <c r="T718" s="2" t="s">
        <v>960</v>
      </c>
      <c r="U718" s="2" t="s">
        <v>496</v>
      </c>
      <c r="V718" s="5" t="n">
        <v>300</v>
      </c>
      <c r="W718" s="2"/>
      <c r="X718" s="2" t="s">
        <v>4762</v>
      </c>
      <c r="Y718" s="5"/>
      <c r="Z718" s="2" t="s">
        <v>4763</v>
      </c>
      <c r="AA718" s="6" t="s">
        <v>4764</v>
      </c>
    </row>
    <row r="719" customFormat="false" ht="23.85" hidden="false" customHeight="false" outlineLevel="0" collapsed="false">
      <c r="A719" s="5" t="s">
        <v>4765</v>
      </c>
      <c r="B719" s="2" t="s">
        <v>4766</v>
      </c>
      <c r="C719" s="5" t="s">
        <v>2128</v>
      </c>
      <c r="D719" s="5" t="s">
        <v>4760</v>
      </c>
      <c r="E719" s="2" t="s">
        <v>2079</v>
      </c>
      <c r="F719" s="5" t="s">
        <v>62</v>
      </c>
      <c r="G719" s="5" t="n">
        <v>8</v>
      </c>
      <c r="H719" s="5" t="s">
        <v>89</v>
      </c>
      <c r="I719" s="5" t="s">
        <v>64</v>
      </c>
      <c r="J719" s="5" t="s">
        <v>65</v>
      </c>
      <c r="K719" s="5" t="s">
        <v>66</v>
      </c>
      <c r="L719" s="2" t="s">
        <v>2079</v>
      </c>
      <c r="M719" s="2"/>
      <c r="N719" s="2" t="s">
        <v>568</v>
      </c>
      <c r="O719" s="2" t="s">
        <v>4767</v>
      </c>
      <c r="P719" s="2"/>
      <c r="Q719" s="5" t="n">
        <v>1</v>
      </c>
      <c r="R719" s="2" t="s">
        <v>570</v>
      </c>
      <c r="S719" s="2" t="s">
        <v>83</v>
      </c>
      <c r="T719" s="2" t="s">
        <v>571</v>
      </c>
      <c r="U719" s="2" t="s">
        <v>74</v>
      </c>
      <c r="V719" s="5" t="n">
        <v>300</v>
      </c>
      <c r="W719" s="2"/>
      <c r="X719" s="2" t="s">
        <v>4768</v>
      </c>
      <c r="Y719" s="5"/>
      <c r="Z719" s="2" t="s">
        <v>4769</v>
      </c>
      <c r="AA719" s="6" t="s">
        <v>4770</v>
      </c>
    </row>
    <row r="720" customFormat="false" ht="57.45" hidden="false" customHeight="false" outlineLevel="0" collapsed="false">
      <c r="A720" s="5" t="s">
        <v>4771</v>
      </c>
      <c r="B720" s="2" t="s">
        <v>4772</v>
      </c>
      <c r="C720" s="5" t="s">
        <v>2128</v>
      </c>
      <c r="D720" s="5" t="s">
        <v>4760</v>
      </c>
      <c r="E720" s="2" t="s">
        <v>100</v>
      </c>
      <c r="F720" s="5" t="s">
        <v>62</v>
      </c>
      <c r="G720" s="5" t="n">
        <v>9</v>
      </c>
      <c r="H720" s="5" t="s">
        <v>63</v>
      </c>
      <c r="I720" s="5" t="s">
        <v>64</v>
      </c>
      <c r="J720" s="5" t="s">
        <v>65</v>
      </c>
      <c r="K720" s="5" t="s">
        <v>66</v>
      </c>
      <c r="L720" s="2" t="s">
        <v>100</v>
      </c>
      <c r="M720" s="2" t="s">
        <v>761</v>
      </c>
      <c r="N720" s="2" t="s">
        <v>593</v>
      </c>
      <c r="O720" s="2" t="s">
        <v>4773</v>
      </c>
      <c r="P720" s="2"/>
      <c r="Q720" s="5" t="n">
        <v>1</v>
      </c>
      <c r="R720" s="2" t="s">
        <v>71</v>
      </c>
      <c r="S720" s="2" t="s">
        <v>83</v>
      </c>
      <c r="T720" s="2" t="s">
        <v>641</v>
      </c>
      <c r="U720" s="2" t="s">
        <v>74</v>
      </c>
      <c r="V720" s="5" t="n">
        <v>300</v>
      </c>
      <c r="W720" s="2"/>
      <c r="X720" s="2" t="s">
        <v>4774</v>
      </c>
      <c r="Y720" s="5"/>
      <c r="Z720" s="2" t="s">
        <v>4775</v>
      </c>
      <c r="AA720" s="6" t="s">
        <v>4776</v>
      </c>
    </row>
    <row r="721" customFormat="false" ht="57.45" hidden="false" customHeight="false" outlineLevel="0" collapsed="false">
      <c r="A721" s="5" t="s">
        <v>4777</v>
      </c>
      <c r="B721" s="2" t="s">
        <v>4778</v>
      </c>
      <c r="C721" s="5" t="s">
        <v>2128</v>
      </c>
      <c r="D721" s="5" t="s">
        <v>4760</v>
      </c>
      <c r="E721" s="2" t="s">
        <v>100</v>
      </c>
      <c r="F721" s="5" t="s">
        <v>62</v>
      </c>
      <c r="G721" s="5" t="n">
        <v>3</v>
      </c>
      <c r="H721" s="5" t="s">
        <v>817</v>
      </c>
      <c r="I721" s="5" t="s">
        <v>64</v>
      </c>
      <c r="J721" s="5" t="s">
        <v>65</v>
      </c>
      <c r="K721" s="5" t="s">
        <v>66</v>
      </c>
      <c r="L721" s="2" t="s">
        <v>100</v>
      </c>
      <c r="M721" s="2" t="s">
        <v>585</v>
      </c>
      <c r="N721" s="2" t="s">
        <v>593</v>
      </c>
      <c r="O721" s="2" t="s">
        <v>4779</v>
      </c>
      <c r="P721" s="2"/>
      <c r="Q721" s="5" t="n">
        <v>1</v>
      </c>
      <c r="R721" s="2" t="s">
        <v>71</v>
      </c>
      <c r="S721" s="2" t="s">
        <v>83</v>
      </c>
      <c r="T721" s="2" t="s">
        <v>641</v>
      </c>
      <c r="U721" s="2" t="s">
        <v>74</v>
      </c>
      <c r="V721" s="5" t="n">
        <v>300</v>
      </c>
      <c r="W721" s="2"/>
      <c r="X721" s="2" t="s">
        <v>4780</v>
      </c>
      <c r="Y721" s="5"/>
      <c r="Z721" s="2" t="s">
        <v>4781</v>
      </c>
      <c r="AA721" s="6" t="s">
        <v>4782</v>
      </c>
    </row>
    <row r="722" customFormat="false" ht="23.85" hidden="false" customHeight="false" outlineLevel="0" collapsed="false">
      <c r="A722" s="5" t="s">
        <v>4783</v>
      </c>
      <c r="B722" s="2" t="s">
        <v>4784</v>
      </c>
      <c r="C722" s="5" t="s">
        <v>2128</v>
      </c>
      <c r="D722" s="5" t="s">
        <v>4760</v>
      </c>
      <c r="E722" s="2" t="s">
        <v>100</v>
      </c>
      <c r="F722" s="5" t="s">
        <v>62</v>
      </c>
      <c r="G722" s="5" t="n">
        <v>7</v>
      </c>
      <c r="H722" s="5" t="s">
        <v>89</v>
      </c>
      <c r="I722" s="5" t="s">
        <v>64</v>
      </c>
      <c r="J722" s="5" t="s">
        <v>65</v>
      </c>
      <c r="K722" s="5" t="s">
        <v>66</v>
      </c>
      <c r="L722" s="2" t="s">
        <v>100</v>
      </c>
      <c r="M722" s="2" t="s">
        <v>491</v>
      </c>
      <c r="N722" s="2" t="s">
        <v>4785</v>
      </c>
      <c r="O722" s="2" t="s">
        <v>4786</v>
      </c>
      <c r="P722" s="2"/>
      <c r="Q722" s="5" t="n">
        <v>1</v>
      </c>
      <c r="R722" s="2" t="s">
        <v>4787</v>
      </c>
      <c r="S722" s="2" t="s">
        <v>83</v>
      </c>
      <c r="T722" s="2" t="s">
        <v>745</v>
      </c>
      <c r="U722" s="2" t="s">
        <v>496</v>
      </c>
      <c r="V722" s="5" t="n">
        <v>300</v>
      </c>
      <c r="W722" s="2"/>
      <c r="X722" s="2" t="s">
        <v>4788</v>
      </c>
      <c r="Y722" s="5"/>
      <c r="Z722" s="2" t="s">
        <v>4789</v>
      </c>
      <c r="AA722" s="6" t="s">
        <v>4790</v>
      </c>
    </row>
    <row r="723" customFormat="false" ht="23.85" hidden="false" customHeight="false" outlineLevel="0" collapsed="false">
      <c r="A723" s="5" t="s">
        <v>4791</v>
      </c>
      <c r="B723" s="2" t="s">
        <v>4792</v>
      </c>
      <c r="C723" s="5" t="s">
        <v>2128</v>
      </c>
      <c r="D723" s="5" t="s">
        <v>4760</v>
      </c>
      <c r="E723" s="2" t="s">
        <v>100</v>
      </c>
      <c r="F723" s="5" t="s">
        <v>62</v>
      </c>
      <c r="G723" s="5" t="n">
        <v>7</v>
      </c>
      <c r="H723" s="5" t="s">
        <v>89</v>
      </c>
      <c r="I723" s="5" t="s">
        <v>64</v>
      </c>
      <c r="J723" s="5" t="s">
        <v>65</v>
      </c>
      <c r="K723" s="5" t="s">
        <v>66</v>
      </c>
      <c r="L723" s="2" t="s">
        <v>100</v>
      </c>
      <c r="M723" s="2" t="s">
        <v>491</v>
      </c>
      <c r="N723" s="2" t="s">
        <v>4785</v>
      </c>
      <c r="O723" s="2" t="s">
        <v>4793</v>
      </c>
      <c r="P723" s="2"/>
      <c r="Q723" s="5" t="n">
        <v>1</v>
      </c>
      <c r="R723" s="2" t="s">
        <v>4787</v>
      </c>
      <c r="S723" s="2" t="s">
        <v>83</v>
      </c>
      <c r="T723" s="2" t="s">
        <v>745</v>
      </c>
      <c r="U723" s="2" t="s">
        <v>496</v>
      </c>
      <c r="V723" s="5" t="n">
        <v>300</v>
      </c>
      <c r="W723" s="2"/>
      <c r="X723" s="2" t="s">
        <v>4794</v>
      </c>
      <c r="Y723" s="5"/>
      <c r="Z723" s="2" t="s">
        <v>4795</v>
      </c>
      <c r="AA723" s="6" t="s">
        <v>4796</v>
      </c>
    </row>
    <row r="724" customFormat="false" ht="35.05" hidden="false" customHeight="false" outlineLevel="0" collapsed="false">
      <c r="A724" s="5" t="s">
        <v>4797</v>
      </c>
      <c r="B724" s="2" t="s">
        <v>4798</v>
      </c>
      <c r="C724" s="5" t="s">
        <v>2128</v>
      </c>
      <c r="D724" s="5" t="s">
        <v>4760</v>
      </c>
      <c r="E724" s="2" t="s">
        <v>100</v>
      </c>
      <c r="F724" s="5" t="s">
        <v>62</v>
      </c>
      <c r="G724" s="5" t="n">
        <v>8</v>
      </c>
      <c r="H724" s="5" t="s">
        <v>89</v>
      </c>
      <c r="I724" s="5" t="s">
        <v>64</v>
      </c>
      <c r="J724" s="5" t="s">
        <v>65</v>
      </c>
      <c r="K724" s="5" t="s">
        <v>66</v>
      </c>
      <c r="L724" s="2" t="s">
        <v>100</v>
      </c>
      <c r="M724" s="2"/>
      <c r="N724" s="2" t="s">
        <v>670</v>
      </c>
      <c r="O724" s="2" t="s">
        <v>4799</v>
      </c>
      <c r="P724" s="2"/>
      <c r="Q724" s="5" t="n">
        <v>1</v>
      </c>
      <c r="R724" s="2" t="s">
        <v>672</v>
      </c>
      <c r="S724" s="2" t="s">
        <v>83</v>
      </c>
      <c r="T724" s="2" t="s">
        <v>673</v>
      </c>
      <c r="U724" s="2" t="s">
        <v>496</v>
      </c>
      <c r="V724" s="5" t="n">
        <v>600</v>
      </c>
      <c r="W724" s="2"/>
      <c r="X724" s="2" t="s">
        <v>4800</v>
      </c>
      <c r="Y724" s="5"/>
      <c r="Z724" s="2" t="s">
        <v>4801</v>
      </c>
      <c r="AA724" s="6" t="s">
        <v>4802</v>
      </c>
    </row>
    <row r="725" customFormat="false" ht="35.05" hidden="false" customHeight="false" outlineLevel="0" collapsed="false">
      <c r="A725" s="5" t="s">
        <v>4803</v>
      </c>
      <c r="B725" s="2" t="s">
        <v>4804</v>
      </c>
      <c r="C725" s="5" t="s">
        <v>2128</v>
      </c>
      <c r="D725" s="5" t="s">
        <v>4760</v>
      </c>
      <c r="E725" s="2" t="s">
        <v>2079</v>
      </c>
      <c r="F725" s="5" t="s">
        <v>62</v>
      </c>
      <c r="G725" s="5" t="n">
        <v>9</v>
      </c>
      <c r="H725" s="5" t="s">
        <v>63</v>
      </c>
      <c r="I725" s="5" t="s">
        <v>64</v>
      </c>
      <c r="J725" s="5" t="s">
        <v>65</v>
      </c>
      <c r="K725" s="5" t="s">
        <v>66</v>
      </c>
      <c r="L725" s="2" t="s">
        <v>2079</v>
      </c>
      <c r="M725" s="2" t="s">
        <v>4805</v>
      </c>
      <c r="N725" s="2" t="s">
        <v>4806</v>
      </c>
      <c r="O725" s="2" t="s">
        <v>4807</v>
      </c>
      <c r="P725" s="2"/>
      <c r="Q725" s="5" t="n">
        <v>1</v>
      </c>
      <c r="R725" s="2" t="s">
        <v>4808</v>
      </c>
      <c r="S725" s="2" t="s">
        <v>83</v>
      </c>
      <c r="T725" s="2" t="s">
        <v>4809</v>
      </c>
      <c r="U725" s="2" t="s">
        <v>74</v>
      </c>
      <c r="V725" s="5" t="n">
        <v>300</v>
      </c>
      <c r="W725" s="2"/>
      <c r="X725" s="2" t="s">
        <v>4810</v>
      </c>
      <c r="Y725" s="5"/>
      <c r="Z725" s="2" t="s">
        <v>4811</v>
      </c>
      <c r="AA725" s="6" t="s">
        <v>4812</v>
      </c>
    </row>
    <row r="726" customFormat="false" ht="147" hidden="false" customHeight="false" outlineLevel="0" collapsed="false">
      <c r="A726" s="5" t="s">
        <v>4813</v>
      </c>
      <c r="B726" s="2" t="s">
        <v>4814</v>
      </c>
      <c r="C726" s="5" t="s">
        <v>2128</v>
      </c>
      <c r="D726" s="5" t="s">
        <v>4760</v>
      </c>
      <c r="E726" s="2" t="s">
        <v>100</v>
      </c>
      <c r="F726" s="5" t="s">
        <v>62</v>
      </c>
      <c r="G726" s="5" t="n">
        <v>7</v>
      </c>
      <c r="H726" s="5" t="s">
        <v>89</v>
      </c>
      <c r="I726" s="5" t="s">
        <v>64</v>
      </c>
      <c r="J726" s="5" t="s">
        <v>65</v>
      </c>
      <c r="K726" s="5" t="s">
        <v>66</v>
      </c>
      <c r="L726" s="2" t="s">
        <v>100</v>
      </c>
      <c r="M726" s="2" t="s">
        <v>491</v>
      </c>
      <c r="N726" s="2" t="s">
        <v>637</v>
      </c>
      <c r="O726" s="2" t="s">
        <v>865</v>
      </c>
      <c r="P726" s="2"/>
      <c r="Q726" s="5" t="n">
        <v>1</v>
      </c>
      <c r="R726" s="2" t="s">
        <v>4815</v>
      </c>
      <c r="S726" s="2" t="s">
        <v>4816</v>
      </c>
      <c r="T726" s="2" t="s">
        <v>4817</v>
      </c>
      <c r="U726" s="2" t="s">
        <v>681</v>
      </c>
      <c r="V726" s="5" t="n">
        <v>600</v>
      </c>
      <c r="W726" s="2"/>
      <c r="X726" s="2" t="s">
        <v>867</v>
      </c>
      <c r="Y726" s="5"/>
      <c r="Z726" s="2" t="s">
        <v>4818</v>
      </c>
      <c r="AA726" s="6" t="s">
        <v>4819</v>
      </c>
    </row>
    <row r="727" customFormat="false" ht="102.2" hidden="false" customHeight="false" outlineLevel="0" collapsed="false">
      <c r="A727" s="5" t="s">
        <v>4820</v>
      </c>
      <c r="B727" s="2" t="s">
        <v>4821</v>
      </c>
      <c r="C727" s="5" t="s">
        <v>2128</v>
      </c>
      <c r="D727" s="5" t="s">
        <v>4760</v>
      </c>
      <c r="E727" s="2" t="s">
        <v>2079</v>
      </c>
      <c r="F727" s="5" t="s">
        <v>62</v>
      </c>
      <c r="G727" s="5" t="n">
        <v>9</v>
      </c>
      <c r="H727" s="5" t="s">
        <v>63</v>
      </c>
      <c r="I727" s="5" t="s">
        <v>64</v>
      </c>
      <c r="J727" s="5" t="s">
        <v>65</v>
      </c>
      <c r="K727" s="5" t="s">
        <v>66</v>
      </c>
      <c r="L727" s="2" t="s">
        <v>2079</v>
      </c>
      <c r="M727" s="2" t="s">
        <v>4162</v>
      </c>
      <c r="N727" s="2" t="s">
        <v>4822</v>
      </c>
      <c r="O727" s="2" t="s">
        <v>4823</v>
      </c>
      <c r="P727" s="2"/>
      <c r="Q727" s="5" t="n">
        <v>1</v>
      </c>
      <c r="R727" s="2" t="s">
        <v>4165</v>
      </c>
      <c r="S727" s="2" t="s">
        <v>4824</v>
      </c>
      <c r="T727" s="2" t="s">
        <v>2733</v>
      </c>
      <c r="U727" s="2" t="s">
        <v>74</v>
      </c>
      <c r="V727" s="5" t="n">
        <v>600</v>
      </c>
      <c r="W727" s="2"/>
      <c r="X727" s="2" t="s">
        <v>4825</v>
      </c>
      <c r="Y727" s="5"/>
      <c r="Z727" s="2" t="s">
        <v>4826</v>
      </c>
      <c r="AA727" s="6" t="s">
        <v>4827</v>
      </c>
    </row>
    <row r="728" customFormat="false" ht="35.05" hidden="false" customHeight="false" outlineLevel="0" collapsed="false">
      <c r="A728" s="5" t="s">
        <v>4828</v>
      </c>
      <c r="B728" s="2" t="s">
        <v>4829</v>
      </c>
      <c r="C728" s="5" t="s">
        <v>2128</v>
      </c>
      <c r="D728" s="5" t="s">
        <v>4760</v>
      </c>
      <c r="E728" s="2" t="s">
        <v>2079</v>
      </c>
      <c r="F728" s="5" t="s">
        <v>62</v>
      </c>
      <c r="G728" s="5" t="n">
        <v>9</v>
      </c>
      <c r="H728" s="5" t="s">
        <v>63</v>
      </c>
      <c r="I728" s="5" t="s">
        <v>64</v>
      </c>
      <c r="J728" s="5" t="s">
        <v>65</v>
      </c>
      <c r="K728" s="5" t="s">
        <v>66</v>
      </c>
      <c r="L728" s="2" t="s">
        <v>2079</v>
      </c>
      <c r="M728" s="2"/>
      <c r="N728" s="2" t="s">
        <v>4830</v>
      </c>
      <c r="O728" s="2" t="s">
        <v>4831</v>
      </c>
      <c r="P728" s="2"/>
      <c r="Q728" s="5" t="n">
        <v>1</v>
      </c>
      <c r="R728" s="2" t="s">
        <v>71</v>
      </c>
      <c r="S728" s="2" t="s">
        <v>4832</v>
      </c>
      <c r="T728" s="2" t="s">
        <v>4833</v>
      </c>
      <c r="U728" s="2" t="s">
        <v>496</v>
      </c>
      <c r="V728" s="5" t="n">
        <v>300</v>
      </c>
      <c r="W728" s="2"/>
      <c r="X728" s="2" t="s">
        <v>4834</v>
      </c>
      <c r="Y728" s="5"/>
      <c r="Z728" s="2" t="s">
        <v>4835</v>
      </c>
      <c r="AA728" s="6" t="s">
        <v>4836</v>
      </c>
    </row>
    <row r="729" customFormat="false" ht="35.05" hidden="false" customHeight="false" outlineLevel="0" collapsed="false">
      <c r="A729" s="5" t="s">
        <v>4837</v>
      </c>
      <c r="B729" s="2" t="s">
        <v>4838</v>
      </c>
      <c r="C729" s="5" t="s">
        <v>2128</v>
      </c>
      <c r="D729" s="5" t="s">
        <v>4760</v>
      </c>
      <c r="E729" s="2" t="s">
        <v>481</v>
      </c>
      <c r="F729" s="5" t="s">
        <v>62</v>
      </c>
      <c r="G729" s="5" t="n">
        <v>9</v>
      </c>
      <c r="H729" s="5" t="s">
        <v>63</v>
      </c>
      <c r="I729" s="5" t="s">
        <v>64</v>
      </c>
      <c r="J729" s="5" t="s">
        <v>65</v>
      </c>
      <c r="K729" s="5" t="s">
        <v>66</v>
      </c>
      <c r="L729" s="2" t="s">
        <v>481</v>
      </c>
      <c r="M729" s="2" t="s">
        <v>1764</v>
      </c>
      <c r="N729" s="2" t="s">
        <v>4839</v>
      </c>
      <c r="O729" s="2" t="s">
        <v>4840</v>
      </c>
      <c r="P729" s="2"/>
      <c r="Q729" s="5" t="n">
        <v>1</v>
      </c>
      <c r="R729" s="2" t="s">
        <v>2248</v>
      </c>
      <c r="S729" s="2" t="s">
        <v>4841</v>
      </c>
      <c r="T729" s="2" t="s">
        <v>4842</v>
      </c>
      <c r="U729" s="2" t="s">
        <v>74</v>
      </c>
      <c r="V729" s="5" t="n">
        <v>300</v>
      </c>
      <c r="W729" s="2"/>
      <c r="X729" s="2" t="s">
        <v>4843</v>
      </c>
      <c r="Y729" s="5"/>
      <c r="Z729" s="2" t="s">
        <v>4844</v>
      </c>
      <c r="AA729" s="6" t="s">
        <v>4845</v>
      </c>
    </row>
    <row r="730" customFormat="false" ht="35.05" hidden="false" customHeight="false" outlineLevel="0" collapsed="false">
      <c r="A730" s="5" t="s">
        <v>4846</v>
      </c>
      <c r="B730" s="2" t="s">
        <v>4847</v>
      </c>
      <c r="C730" s="5" t="s">
        <v>2128</v>
      </c>
      <c r="D730" s="5" t="s">
        <v>4760</v>
      </c>
      <c r="E730" s="2" t="s">
        <v>481</v>
      </c>
      <c r="F730" s="5" t="s">
        <v>62</v>
      </c>
      <c r="G730" s="5" t="n">
        <v>4</v>
      </c>
      <c r="H730" s="5" t="s">
        <v>817</v>
      </c>
      <c r="I730" s="5" t="s">
        <v>64</v>
      </c>
      <c r="J730" s="5" t="s">
        <v>65</v>
      </c>
      <c r="K730" s="5" t="s">
        <v>66</v>
      </c>
      <c r="L730" s="2" t="s">
        <v>481</v>
      </c>
      <c r="M730" s="2" t="s">
        <v>1764</v>
      </c>
      <c r="N730" s="2" t="s">
        <v>4839</v>
      </c>
      <c r="O730" s="2" t="s">
        <v>4840</v>
      </c>
      <c r="P730" s="2"/>
      <c r="Q730" s="5" t="n">
        <v>1</v>
      </c>
      <c r="R730" s="2" t="s">
        <v>2248</v>
      </c>
      <c r="S730" s="2" t="s">
        <v>4848</v>
      </c>
      <c r="T730" s="2" t="s">
        <v>4842</v>
      </c>
      <c r="U730" s="2" t="s">
        <v>74</v>
      </c>
      <c r="V730" s="5" t="n">
        <v>300</v>
      </c>
      <c r="W730" s="2"/>
      <c r="X730" s="2" t="s">
        <v>4843</v>
      </c>
      <c r="Y730" s="5"/>
      <c r="Z730" s="2" t="s">
        <v>4849</v>
      </c>
      <c r="AA730" s="6" t="s">
        <v>4850</v>
      </c>
    </row>
    <row r="731" customFormat="false" ht="46.25" hidden="false" customHeight="false" outlineLevel="0" collapsed="false">
      <c r="A731" s="5" t="s">
        <v>4851</v>
      </c>
      <c r="B731" s="2" t="s">
        <v>4852</v>
      </c>
      <c r="C731" s="5" t="s">
        <v>2128</v>
      </c>
      <c r="D731" s="5" t="s">
        <v>4760</v>
      </c>
      <c r="E731" s="2" t="s">
        <v>481</v>
      </c>
      <c r="F731" s="5" t="s">
        <v>62</v>
      </c>
      <c r="G731" s="5" t="n">
        <v>7</v>
      </c>
      <c r="H731" s="5" t="s">
        <v>89</v>
      </c>
      <c r="I731" s="5" t="s">
        <v>64</v>
      </c>
      <c r="J731" s="5" t="s">
        <v>65</v>
      </c>
      <c r="K731" s="5" t="s">
        <v>66</v>
      </c>
      <c r="L731" s="2" t="s">
        <v>481</v>
      </c>
      <c r="M731" s="2" t="s">
        <v>1764</v>
      </c>
      <c r="N731" s="2" t="s">
        <v>4839</v>
      </c>
      <c r="O731" s="2" t="s">
        <v>4840</v>
      </c>
      <c r="P731" s="2"/>
      <c r="Q731" s="5" t="n">
        <v>1</v>
      </c>
      <c r="R731" s="2" t="s">
        <v>2248</v>
      </c>
      <c r="S731" s="2" t="s">
        <v>4853</v>
      </c>
      <c r="T731" s="2" t="s">
        <v>4842</v>
      </c>
      <c r="U731" s="2" t="s">
        <v>74</v>
      </c>
      <c r="V731" s="5" t="n">
        <v>300</v>
      </c>
      <c r="W731" s="2"/>
      <c r="X731" s="2" t="s">
        <v>4843</v>
      </c>
      <c r="Y731" s="5"/>
      <c r="Z731" s="2" t="s">
        <v>4854</v>
      </c>
      <c r="AA731" s="6" t="s">
        <v>4855</v>
      </c>
    </row>
    <row r="732" customFormat="false" ht="23.85" hidden="false" customHeight="false" outlineLevel="0" collapsed="false">
      <c r="A732" s="5" t="s">
        <v>4856</v>
      </c>
      <c r="B732" s="2" t="s">
        <v>4857</v>
      </c>
      <c r="C732" s="5" t="s">
        <v>2128</v>
      </c>
      <c r="D732" s="5" t="s">
        <v>4760</v>
      </c>
      <c r="E732" s="2" t="s">
        <v>2079</v>
      </c>
      <c r="F732" s="5" t="s">
        <v>62</v>
      </c>
      <c r="G732" s="5" t="n">
        <v>9</v>
      </c>
      <c r="H732" s="5" t="s">
        <v>63</v>
      </c>
      <c r="I732" s="5" t="s">
        <v>64</v>
      </c>
      <c r="J732" s="5" t="s">
        <v>65</v>
      </c>
      <c r="K732" s="5" t="s">
        <v>66</v>
      </c>
      <c r="L732" s="2" t="s">
        <v>2079</v>
      </c>
      <c r="M732" s="2" t="s">
        <v>4805</v>
      </c>
      <c r="N732" s="2" t="s">
        <v>4806</v>
      </c>
      <c r="O732" s="2" t="s">
        <v>4858</v>
      </c>
      <c r="P732" s="2"/>
      <c r="Q732" s="5" t="n">
        <v>1</v>
      </c>
      <c r="R732" s="2" t="s">
        <v>4808</v>
      </c>
      <c r="S732" s="2" t="s">
        <v>83</v>
      </c>
      <c r="T732" s="2" t="s">
        <v>4859</v>
      </c>
      <c r="U732" s="2" t="s">
        <v>74</v>
      </c>
      <c r="V732" s="5" t="n">
        <v>300</v>
      </c>
      <c r="W732" s="2"/>
      <c r="X732" s="2" t="s">
        <v>4860</v>
      </c>
      <c r="Y732" s="5"/>
      <c r="Z732" s="2" t="s">
        <v>4861</v>
      </c>
      <c r="AA732" s="6" t="s">
        <v>4862</v>
      </c>
    </row>
    <row r="733" customFormat="false" ht="23.85" hidden="false" customHeight="false" outlineLevel="0" collapsed="false">
      <c r="A733" s="5" t="s">
        <v>4863</v>
      </c>
      <c r="B733" s="2" t="s">
        <v>4864</v>
      </c>
      <c r="C733" s="5" t="s">
        <v>2128</v>
      </c>
      <c r="D733" s="5" t="s">
        <v>4760</v>
      </c>
      <c r="E733" s="2" t="s">
        <v>2079</v>
      </c>
      <c r="F733" s="5" t="s">
        <v>62</v>
      </c>
      <c r="G733" s="5" t="n">
        <v>9</v>
      </c>
      <c r="H733" s="5" t="s">
        <v>63</v>
      </c>
      <c r="I733" s="5" t="s">
        <v>64</v>
      </c>
      <c r="J733" s="5" t="s">
        <v>65</v>
      </c>
      <c r="K733" s="5" t="s">
        <v>66</v>
      </c>
      <c r="L733" s="2" t="s">
        <v>2079</v>
      </c>
      <c r="M733" s="2" t="s">
        <v>4805</v>
      </c>
      <c r="N733" s="2" t="s">
        <v>4806</v>
      </c>
      <c r="O733" s="2" t="s">
        <v>4865</v>
      </c>
      <c r="P733" s="2"/>
      <c r="Q733" s="5" t="n">
        <v>1</v>
      </c>
      <c r="R733" s="2" t="s">
        <v>4808</v>
      </c>
      <c r="S733" s="2" t="s">
        <v>4866</v>
      </c>
      <c r="T733" s="2" t="s">
        <v>4867</v>
      </c>
      <c r="U733" s="2" t="s">
        <v>74</v>
      </c>
      <c r="V733" s="5" t="n">
        <v>300</v>
      </c>
      <c r="W733" s="2"/>
      <c r="X733" s="2" t="s">
        <v>4868</v>
      </c>
      <c r="Y733" s="5"/>
      <c r="Z733" s="2" t="s">
        <v>4869</v>
      </c>
      <c r="AA733" s="6" t="s">
        <v>4870</v>
      </c>
    </row>
    <row r="734" customFormat="false" ht="46.25" hidden="false" customHeight="false" outlineLevel="0" collapsed="false">
      <c r="A734" s="5" t="s">
        <v>4871</v>
      </c>
      <c r="B734" s="2" t="s">
        <v>4872</v>
      </c>
      <c r="C734" s="5" t="s">
        <v>2128</v>
      </c>
      <c r="D734" s="5" t="s">
        <v>4760</v>
      </c>
      <c r="E734" s="2" t="s">
        <v>2079</v>
      </c>
      <c r="F734" s="5" t="s">
        <v>62</v>
      </c>
      <c r="G734" s="5" t="n">
        <v>9</v>
      </c>
      <c r="H734" s="5" t="s">
        <v>63</v>
      </c>
      <c r="I734" s="5" t="s">
        <v>64</v>
      </c>
      <c r="J734" s="5" t="s">
        <v>65</v>
      </c>
      <c r="K734" s="5" t="s">
        <v>66</v>
      </c>
      <c r="L734" s="2" t="s">
        <v>2079</v>
      </c>
      <c r="M734" s="2"/>
      <c r="N734" s="2" t="s">
        <v>4873</v>
      </c>
      <c r="O734" s="2" t="s">
        <v>4874</v>
      </c>
      <c r="P734" s="2"/>
      <c r="Q734" s="5" t="n">
        <v>1</v>
      </c>
      <c r="R734" s="2" t="s">
        <v>4875</v>
      </c>
      <c r="S734" s="2" t="s">
        <v>83</v>
      </c>
      <c r="T734" s="2" t="s">
        <v>849</v>
      </c>
      <c r="U734" s="2" t="s">
        <v>4876</v>
      </c>
      <c r="V734" s="5" t="n">
        <v>600</v>
      </c>
      <c r="W734" s="2"/>
      <c r="X734" s="2" t="s">
        <v>4877</v>
      </c>
      <c r="Y734" s="5"/>
      <c r="Z734" s="2" t="s">
        <v>4878</v>
      </c>
      <c r="AA734" s="6" t="s">
        <v>4879</v>
      </c>
    </row>
    <row r="735" customFormat="false" ht="79.85" hidden="false" customHeight="false" outlineLevel="0" collapsed="false">
      <c r="A735" s="5" t="s">
        <v>4880</v>
      </c>
      <c r="B735" s="2" t="s">
        <v>4881</v>
      </c>
      <c r="C735" s="5" t="s">
        <v>2128</v>
      </c>
      <c r="D735" s="5" t="s">
        <v>4760</v>
      </c>
      <c r="E735" s="2" t="s">
        <v>2079</v>
      </c>
      <c r="F735" s="5" t="s">
        <v>62</v>
      </c>
      <c r="G735" s="5" t="n">
        <v>9</v>
      </c>
      <c r="H735" s="5" t="s">
        <v>63</v>
      </c>
      <c r="I735" s="5" t="s">
        <v>64</v>
      </c>
      <c r="J735" s="5" t="s">
        <v>65</v>
      </c>
      <c r="K735" s="5" t="s">
        <v>66</v>
      </c>
      <c r="L735" s="2" t="s">
        <v>2079</v>
      </c>
      <c r="M735" s="2" t="s">
        <v>4805</v>
      </c>
      <c r="N735" s="2" t="s">
        <v>4882</v>
      </c>
      <c r="O735" s="2" t="s">
        <v>4883</v>
      </c>
      <c r="P735" s="2"/>
      <c r="Q735" s="5" t="n">
        <v>1</v>
      </c>
      <c r="R735" s="2" t="s">
        <v>4884</v>
      </c>
      <c r="S735" s="2" t="s">
        <v>4885</v>
      </c>
      <c r="T735" s="2" t="s">
        <v>2733</v>
      </c>
      <c r="U735" s="2" t="s">
        <v>734</v>
      </c>
      <c r="V735" s="5" t="n">
        <v>300</v>
      </c>
      <c r="W735" s="2"/>
      <c r="X735" s="2" t="s">
        <v>4886</v>
      </c>
      <c r="Y735" s="5"/>
      <c r="Z735" s="2" t="s">
        <v>4887</v>
      </c>
      <c r="AA735" s="6" t="s">
        <v>4888</v>
      </c>
    </row>
    <row r="736" customFormat="false" ht="46.25" hidden="false" customHeight="false" outlineLevel="0" collapsed="false">
      <c r="A736" s="5" t="s">
        <v>4889</v>
      </c>
      <c r="B736" s="2" t="s">
        <v>4890</v>
      </c>
      <c r="C736" s="5" t="s">
        <v>2128</v>
      </c>
      <c r="D736" s="5" t="s">
        <v>4760</v>
      </c>
      <c r="E736" s="2" t="s">
        <v>100</v>
      </c>
      <c r="F736" s="5" t="s">
        <v>62</v>
      </c>
      <c r="G736" s="5" t="n">
        <v>7</v>
      </c>
      <c r="H736" s="5" t="s">
        <v>89</v>
      </c>
      <c r="I736" s="5" t="s">
        <v>64</v>
      </c>
      <c r="J736" s="5" t="s">
        <v>65</v>
      </c>
      <c r="K736" s="5" t="s">
        <v>66</v>
      </c>
      <c r="L736" s="2" t="s">
        <v>100</v>
      </c>
      <c r="M736" s="2" t="s">
        <v>1032</v>
      </c>
      <c r="N736" s="2" t="s">
        <v>956</v>
      </c>
      <c r="O736" s="2" t="s">
        <v>4891</v>
      </c>
      <c r="P736" s="2"/>
      <c r="Q736" s="5" t="n">
        <v>1</v>
      </c>
      <c r="R736" s="2" t="s">
        <v>958</v>
      </c>
      <c r="S736" s="2" t="s">
        <v>959</v>
      </c>
      <c r="T736" s="2" t="s">
        <v>960</v>
      </c>
      <c r="U736" s="2" t="s">
        <v>496</v>
      </c>
      <c r="V736" s="5" t="n">
        <v>300</v>
      </c>
      <c r="W736" s="2"/>
      <c r="X736" s="2" t="s">
        <v>4892</v>
      </c>
      <c r="Y736" s="5"/>
      <c r="Z736" s="2" t="s">
        <v>4893</v>
      </c>
      <c r="AA736" s="6" t="s">
        <v>4894</v>
      </c>
    </row>
    <row r="737" customFormat="false" ht="102.2" hidden="false" customHeight="false" outlineLevel="0" collapsed="false">
      <c r="A737" s="5" t="s">
        <v>4895</v>
      </c>
      <c r="B737" s="2" t="s">
        <v>4896</v>
      </c>
      <c r="C737" s="5" t="s">
        <v>2128</v>
      </c>
      <c r="D737" s="5" t="s">
        <v>4760</v>
      </c>
      <c r="E737" s="2" t="s">
        <v>100</v>
      </c>
      <c r="F737" s="5" t="s">
        <v>62</v>
      </c>
      <c r="G737" s="5" t="n">
        <v>7</v>
      </c>
      <c r="H737" s="5" t="s">
        <v>89</v>
      </c>
      <c r="I737" s="5" t="s">
        <v>64</v>
      </c>
      <c r="J737" s="5" t="s">
        <v>65</v>
      </c>
      <c r="K737" s="5" t="s">
        <v>66</v>
      </c>
      <c r="L737" s="2" t="s">
        <v>100</v>
      </c>
      <c r="M737" s="2" t="s">
        <v>761</v>
      </c>
      <c r="N737" s="2" t="s">
        <v>4822</v>
      </c>
      <c r="O737" s="2" t="s">
        <v>4823</v>
      </c>
      <c r="P737" s="2"/>
      <c r="Q737" s="5" t="n">
        <v>1</v>
      </c>
      <c r="R737" s="2" t="s">
        <v>4897</v>
      </c>
      <c r="S737" s="2" t="s">
        <v>4898</v>
      </c>
      <c r="T737" s="2" t="s">
        <v>4899</v>
      </c>
      <c r="U737" s="2" t="s">
        <v>74</v>
      </c>
      <c r="V737" s="5" t="n">
        <v>600</v>
      </c>
      <c r="W737" s="2"/>
      <c r="X737" s="2" t="s">
        <v>4825</v>
      </c>
      <c r="Y737" s="5"/>
      <c r="Z737" s="2" t="s">
        <v>4900</v>
      </c>
      <c r="AA737" s="6" t="s">
        <v>4901</v>
      </c>
    </row>
    <row r="738" customFormat="false" ht="281.3" hidden="false" customHeight="false" outlineLevel="0" collapsed="false">
      <c r="A738" s="5" t="s">
        <v>4902</v>
      </c>
      <c r="B738" s="2" t="s">
        <v>4903</v>
      </c>
      <c r="C738" s="5" t="s">
        <v>2128</v>
      </c>
      <c r="D738" s="5" t="s">
        <v>4760</v>
      </c>
      <c r="E738" s="2" t="s">
        <v>2079</v>
      </c>
      <c r="F738" s="5" t="s">
        <v>490</v>
      </c>
      <c r="G738" s="5" t="n">
        <v>9</v>
      </c>
      <c r="H738" s="5" t="s">
        <v>63</v>
      </c>
      <c r="I738" s="5" t="s">
        <v>64</v>
      </c>
      <c r="J738" s="5" t="s">
        <v>65</v>
      </c>
      <c r="K738" s="5" t="s">
        <v>66</v>
      </c>
      <c r="L738" s="2" t="s">
        <v>2079</v>
      </c>
      <c r="M738" s="2"/>
      <c r="N738" s="2" t="s">
        <v>614</v>
      </c>
      <c r="O738" s="2" t="s">
        <v>4904</v>
      </c>
      <c r="P738" s="2"/>
      <c r="Q738" s="5" t="n">
        <v>1</v>
      </c>
      <c r="R738" s="2" t="s">
        <v>4905</v>
      </c>
      <c r="S738" s="2" t="s">
        <v>83</v>
      </c>
      <c r="T738" s="2" t="s">
        <v>4906</v>
      </c>
      <c r="U738" s="2" t="s">
        <v>74</v>
      </c>
      <c r="V738" s="5" t="n">
        <v>3600</v>
      </c>
      <c r="W738" s="2"/>
      <c r="X738" s="2" t="s">
        <v>4907</v>
      </c>
      <c r="Y738" s="5"/>
      <c r="Z738" s="2" t="s">
        <v>4908</v>
      </c>
      <c r="AA738" s="6" t="s">
        <v>4909</v>
      </c>
    </row>
    <row r="739" customFormat="false" ht="79.85" hidden="false" customHeight="false" outlineLevel="0" collapsed="false">
      <c r="A739" s="5" t="s">
        <v>4910</v>
      </c>
      <c r="B739" s="2" t="s">
        <v>4911</v>
      </c>
      <c r="C739" s="5" t="s">
        <v>2128</v>
      </c>
      <c r="D739" s="5" t="s">
        <v>4760</v>
      </c>
      <c r="E739" s="2" t="s">
        <v>100</v>
      </c>
      <c r="F739" s="5" t="s">
        <v>62</v>
      </c>
      <c r="G739" s="5" t="n">
        <v>5</v>
      </c>
      <c r="H739" s="5" t="s">
        <v>89</v>
      </c>
      <c r="I739" s="5" t="s">
        <v>64</v>
      </c>
      <c r="J739" s="5" t="s">
        <v>65</v>
      </c>
      <c r="K739" s="5" t="s">
        <v>66</v>
      </c>
      <c r="L739" s="2" t="s">
        <v>100</v>
      </c>
      <c r="M739" s="2" t="s">
        <v>1409</v>
      </c>
      <c r="N739" s="2" t="s">
        <v>152</v>
      </c>
      <c r="O739" s="2" t="s">
        <v>753</v>
      </c>
      <c r="P739" s="2"/>
      <c r="Q739" s="5" t="n">
        <v>1</v>
      </c>
      <c r="R739" s="2" t="s">
        <v>71</v>
      </c>
      <c r="S739" s="2" t="s">
        <v>4912</v>
      </c>
      <c r="T739" s="2" t="s">
        <v>4913</v>
      </c>
      <c r="U739" s="2" t="s">
        <v>74</v>
      </c>
      <c r="V739" s="5" t="n">
        <v>300</v>
      </c>
      <c r="W739" s="2"/>
      <c r="X739" s="2" t="s">
        <v>756</v>
      </c>
      <c r="Y739" s="5"/>
      <c r="Z739" s="2" t="s">
        <v>4914</v>
      </c>
      <c r="AA739" s="6" t="s">
        <v>4915</v>
      </c>
    </row>
    <row r="740" customFormat="false" ht="23.85" hidden="false" customHeight="false" outlineLevel="0" collapsed="false">
      <c r="A740" s="5" t="s">
        <v>4916</v>
      </c>
      <c r="B740" s="2" t="s">
        <v>4917</v>
      </c>
      <c r="C740" s="5" t="s">
        <v>2128</v>
      </c>
      <c r="D740" s="5" t="s">
        <v>4760</v>
      </c>
      <c r="E740" s="2" t="s">
        <v>2079</v>
      </c>
      <c r="F740" s="5" t="s">
        <v>62</v>
      </c>
      <c r="G740" s="5" t="n">
        <v>5</v>
      </c>
      <c r="H740" s="5" t="s">
        <v>89</v>
      </c>
      <c r="I740" s="5" t="s">
        <v>64</v>
      </c>
      <c r="J740" s="5" t="s">
        <v>65</v>
      </c>
      <c r="K740" s="5" t="s">
        <v>66</v>
      </c>
      <c r="L740" s="2" t="s">
        <v>2079</v>
      </c>
      <c r="M740" s="2" t="s">
        <v>4918</v>
      </c>
      <c r="N740" s="2" t="s">
        <v>152</v>
      </c>
      <c r="O740" s="2" t="s">
        <v>753</v>
      </c>
      <c r="P740" s="2"/>
      <c r="Q740" s="5" t="n">
        <v>1</v>
      </c>
      <c r="R740" s="2" t="s">
        <v>71</v>
      </c>
      <c r="S740" s="2" t="s">
        <v>4919</v>
      </c>
      <c r="T740" s="2" t="s">
        <v>1432</v>
      </c>
      <c r="U740" s="2" t="s">
        <v>74</v>
      </c>
      <c r="V740" s="5" t="n">
        <v>300</v>
      </c>
      <c r="W740" s="2"/>
      <c r="X740" s="2" t="s">
        <v>756</v>
      </c>
      <c r="Y740" s="5"/>
      <c r="Z740" s="2" t="s">
        <v>4920</v>
      </c>
      <c r="AA740" s="6" t="s">
        <v>4921</v>
      </c>
    </row>
    <row r="741" customFormat="false" ht="180.55" hidden="false" customHeight="false" outlineLevel="0" collapsed="false">
      <c r="A741" s="5" t="s">
        <v>4922</v>
      </c>
      <c r="B741" s="2" t="s">
        <v>4923</v>
      </c>
      <c r="C741" s="5" t="s">
        <v>2128</v>
      </c>
      <c r="D741" s="5" t="s">
        <v>4760</v>
      </c>
      <c r="E741" s="2" t="s">
        <v>2079</v>
      </c>
      <c r="F741" s="5" t="s">
        <v>490</v>
      </c>
      <c r="G741" s="5" t="n">
        <v>7</v>
      </c>
      <c r="H741" s="5" t="s">
        <v>89</v>
      </c>
      <c r="I741" s="5" t="s">
        <v>64</v>
      </c>
      <c r="J741" s="5" t="s">
        <v>65</v>
      </c>
      <c r="K741" s="5" t="s">
        <v>66</v>
      </c>
      <c r="L741" s="2" t="s">
        <v>2079</v>
      </c>
      <c r="M741" s="2" t="s">
        <v>4805</v>
      </c>
      <c r="N741" s="2" t="s">
        <v>4822</v>
      </c>
      <c r="O741" s="2" t="s">
        <v>4924</v>
      </c>
      <c r="P741" s="2"/>
      <c r="Q741" s="5" t="n">
        <v>1</v>
      </c>
      <c r="R741" s="2" t="s">
        <v>4925</v>
      </c>
      <c r="S741" s="2" t="s">
        <v>4926</v>
      </c>
      <c r="T741" s="2" t="s">
        <v>2733</v>
      </c>
      <c r="U741" s="2" t="s">
        <v>74</v>
      </c>
      <c r="V741" s="5" t="n">
        <v>300</v>
      </c>
      <c r="W741" s="2"/>
      <c r="X741" s="2" t="s">
        <v>4927</v>
      </c>
      <c r="Y741" s="5"/>
      <c r="Z741" s="2" t="s">
        <v>4928</v>
      </c>
      <c r="AA741" s="6" t="s">
        <v>4929</v>
      </c>
    </row>
    <row r="742" customFormat="false" ht="35.05" hidden="false" customHeight="false" outlineLevel="0" collapsed="false">
      <c r="A742" s="5" t="s">
        <v>4930</v>
      </c>
      <c r="B742" s="2" t="s">
        <v>4931</v>
      </c>
      <c r="C742" s="5" t="s">
        <v>2128</v>
      </c>
      <c r="D742" s="5" t="s">
        <v>4760</v>
      </c>
      <c r="E742" s="2" t="s">
        <v>2079</v>
      </c>
      <c r="F742" s="5" t="s">
        <v>490</v>
      </c>
      <c r="G742" s="5" t="n">
        <v>10</v>
      </c>
      <c r="H742" s="5" t="s">
        <v>63</v>
      </c>
      <c r="I742" s="5" t="s">
        <v>64</v>
      </c>
      <c r="J742" s="5" t="s">
        <v>65</v>
      </c>
      <c r="K742" s="5" t="s">
        <v>66</v>
      </c>
      <c r="L742" s="2" t="s">
        <v>2079</v>
      </c>
      <c r="M742" s="2" t="s">
        <v>4805</v>
      </c>
      <c r="N742" s="2" t="s">
        <v>2721</v>
      </c>
      <c r="O742" s="2" t="s">
        <v>4932</v>
      </c>
      <c r="P742" s="2"/>
      <c r="Q742" s="5" t="n">
        <v>1</v>
      </c>
      <c r="R742" s="2" t="s">
        <v>4925</v>
      </c>
      <c r="S742" s="2" t="s">
        <v>4933</v>
      </c>
      <c r="T742" s="2" t="s">
        <v>2725</v>
      </c>
      <c r="U742" s="2" t="s">
        <v>74</v>
      </c>
      <c r="V742" s="5" t="n">
        <v>300</v>
      </c>
      <c r="W742" s="2"/>
      <c r="X742" s="2" t="s">
        <v>4934</v>
      </c>
      <c r="Y742" s="5"/>
      <c r="Z742" s="2" t="s">
        <v>4935</v>
      </c>
      <c r="AA742" s="6" t="s">
        <v>4936</v>
      </c>
    </row>
    <row r="743" customFormat="false" ht="91" hidden="false" customHeight="false" outlineLevel="0" collapsed="false">
      <c r="A743" s="5" t="s">
        <v>4937</v>
      </c>
      <c r="B743" s="2" t="s">
        <v>4938</v>
      </c>
      <c r="C743" s="5" t="s">
        <v>2128</v>
      </c>
      <c r="D743" s="5" t="s">
        <v>4760</v>
      </c>
      <c r="E743" s="2" t="s">
        <v>2079</v>
      </c>
      <c r="F743" s="5" t="s">
        <v>490</v>
      </c>
      <c r="G743" s="5" t="n">
        <v>10</v>
      </c>
      <c r="H743" s="5" t="s">
        <v>63</v>
      </c>
      <c r="I743" s="5" t="s">
        <v>64</v>
      </c>
      <c r="J743" s="5" t="s">
        <v>65</v>
      </c>
      <c r="K743" s="5" t="s">
        <v>66</v>
      </c>
      <c r="L743" s="2" t="s">
        <v>2079</v>
      </c>
      <c r="M743" s="2" t="s">
        <v>4805</v>
      </c>
      <c r="N743" s="2" t="s">
        <v>2731</v>
      </c>
      <c r="O743" s="2" t="s">
        <v>4939</v>
      </c>
      <c r="P743" s="2"/>
      <c r="Q743" s="5" t="n">
        <v>1</v>
      </c>
      <c r="R743" s="2" t="s">
        <v>4925</v>
      </c>
      <c r="S743" s="2" t="s">
        <v>4940</v>
      </c>
      <c r="T743" s="2" t="s">
        <v>2733</v>
      </c>
      <c r="U743" s="2" t="s">
        <v>74</v>
      </c>
      <c r="V743" s="5" t="n">
        <v>300</v>
      </c>
      <c r="W743" s="2"/>
      <c r="X743" s="2" t="s">
        <v>4941</v>
      </c>
      <c r="Y743" s="5"/>
      <c r="Z743" s="2" t="s">
        <v>4942</v>
      </c>
      <c r="AA743" s="6" t="s">
        <v>4943</v>
      </c>
    </row>
    <row r="744" customFormat="false" ht="225.35" hidden="false" customHeight="false" outlineLevel="0" collapsed="false">
      <c r="A744" s="5" t="s">
        <v>4944</v>
      </c>
      <c r="B744" s="2" t="s">
        <v>4945</v>
      </c>
      <c r="C744" s="5" t="s">
        <v>2128</v>
      </c>
      <c r="D744" s="5" t="s">
        <v>4760</v>
      </c>
      <c r="E744" s="2" t="s">
        <v>2079</v>
      </c>
      <c r="F744" s="5" t="s">
        <v>62</v>
      </c>
      <c r="G744" s="5" t="n">
        <v>9</v>
      </c>
      <c r="H744" s="5" t="s">
        <v>63</v>
      </c>
      <c r="I744" s="5" t="s">
        <v>64</v>
      </c>
      <c r="J744" s="5" t="s">
        <v>65</v>
      </c>
      <c r="K744" s="5" t="s">
        <v>66</v>
      </c>
      <c r="L744" s="2" t="s">
        <v>2079</v>
      </c>
      <c r="M744" s="2"/>
      <c r="N744" s="2" t="s">
        <v>4946</v>
      </c>
      <c r="O744" s="2" t="s">
        <v>4947</v>
      </c>
      <c r="P744" s="2"/>
      <c r="Q744" s="5" t="n">
        <v>1</v>
      </c>
      <c r="R744" s="2" t="s">
        <v>4948</v>
      </c>
      <c r="S744" s="2" t="s">
        <v>4949</v>
      </c>
      <c r="T744" s="2" t="s">
        <v>4950</v>
      </c>
      <c r="U744" s="2" t="s">
        <v>4951</v>
      </c>
      <c r="V744" s="5" t="n">
        <v>900</v>
      </c>
      <c r="W744" s="2"/>
      <c r="X744" s="2" t="s">
        <v>4952</v>
      </c>
      <c r="Y744" s="5"/>
      <c r="Z744" s="2" t="s">
        <v>4953</v>
      </c>
      <c r="AA744" s="6" t="s">
        <v>4954</v>
      </c>
    </row>
    <row r="745" customFormat="false" ht="46.25" hidden="false" customHeight="false" outlineLevel="0" collapsed="false">
      <c r="A745" s="5" t="s">
        <v>4955</v>
      </c>
      <c r="B745" s="2" t="s">
        <v>4956</v>
      </c>
      <c r="C745" s="5" t="s">
        <v>2128</v>
      </c>
      <c r="D745" s="5" t="s">
        <v>4760</v>
      </c>
      <c r="E745" s="2" t="s">
        <v>100</v>
      </c>
      <c r="F745" s="5" t="s">
        <v>62</v>
      </c>
      <c r="G745" s="5" t="n">
        <v>9</v>
      </c>
      <c r="H745" s="5" t="s">
        <v>63</v>
      </c>
      <c r="I745" s="5" t="s">
        <v>64</v>
      </c>
      <c r="J745" s="5" t="s">
        <v>65</v>
      </c>
      <c r="K745" s="5" t="s">
        <v>66</v>
      </c>
      <c r="L745" s="2" t="s">
        <v>100</v>
      </c>
      <c r="M745" s="2" t="s">
        <v>304</v>
      </c>
      <c r="N745" s="2" t="s">
        <v>4957</v>
      </c>
      <c r="O745" s="2" t="s">
        <v>4958</v>
      </c>
      <c r="P745" s="2"/>
      <c r="Q745" s="5" t="n">
        <v>1</v>
      </c>
      <c r="R745" s="2" t="s">
        <v>4959</v>
      </c>
      <c r="S745" s="2" t="s">
        <v>4960</v>
      </c>
      <c r="T745" s="2" t="s">
        <v>4961</v>
      </c>
      <c r="U745" s="2" t="s">
        <v>74</v>
      </c>
      <c r="V745" s="5" t="n">
        <v>300</v>
      </c>
      <c r="W745" s="2"/>
      <c r="X745" s="2" t="s">
        <v>4962</v>
      </c>
      <c r="Y745" s="5"/>
      <c r="Z745" s="2" t="s">
        <v>4963</v>
      </c>
      <c r="AA745" s="6" t="s">
        <v>4964</v>
      </c>
    </row>
    <row r="746" customFormat="false" ht="46.25" hidden="false" customHeight="false" outlineLevel="0" collapsed="false">
      <c r="A746" s="5" t="s">
        <v>4965</v>
      </c>
      <c r="B746" s="2" t="s">
        <v>4966</v>
      </c>
      <c r="C746" s="5" t="s">
        <v>2128</v>
      </c>
      <c r="D746" s="5" t="s">
        <v>4760</v>
      </c>
      <c r="E746" s="2" t="s">
        <v>2079</v>
      </c>
      <c r="F746" s="5" t="s">
        <v>62</v>
      </c>
      <c r="G746" s="5" t="n">
        <v>9</v>
      </c>
      <c r="H746" s="5" t="s">
        <v>63</v>
      </c>
      <c r="I746" s="5" t="s">
        <v>64</v>
      </c>
      <c r="J746" s="5" t="s">
        <v>65</v>
      </c>
      <c r="K746" s="5" t="s">
        <v>66</v>
      </c>
      <c r="L746" s="2" t="s">
        <v>2079</v>
      </c>
      <c r="M746" s="2" t="s">
        <v>3415</v>
      </c>
      <c r="N746" s="2" t="s">
        <v>4957</v>
      </c>
      <c r="O746" s="2" t="s">
        <v>4967</v>
      </c>
      <c r="P746" s="2"/>
      <c r="Q746" s="5" t="n">
        <v>1</v>
      </c>
      <c r="R746" s="2" t="s">
        <v>4959</v>
      </c>
      <c r="S746" s="2" t="s">
        <v>4960</v>
      </c>
      <c r="T746" s="2" t="s">
        <v>4961</v>
      </c>
      <c r="U746" s="2" t="s">
        <v>74</v>
      </c>
      <c r="V746" s="5" t="n">
        <v>300</v>
      </c>
      <c r="W746" s="2"/>
      <c r="X746" s="2" t="s">
        <v>4968</v>
      </c>
      <c r="Y746" s="5"/>
      <c r="Z746" s="2" t="s">
        <v>4969</v>
      </c>
      <c r="AA746" s="6" t="s">
        <v>4970</v>
      </c>
    </row>
    <row r="747" customFormat="false" ht="46.25" hidden="false" customHeight="false" outlineLevel="0" collapsed="false">
      <c r="A747" s="5" t="s">
        <v>4971</v>
      </c>
      <c r="B747" s="2" t="s">
        <v>4972</v>
      </c>
      <c r="C747" s="5" t="s">
        <v>2128</v>
      </c>
      <c r="D747" s="5" t="s">
        <v>4760</v>
      </c>
      <c r="E747" s="2" t="s">
        <v>481</v>
      </c>
      <c r="F747" s="5" t="s">
        <v>62</v>
      </c>
      <c r="G747" s="5" t="n">
        <v>9</v>
      </c>
      <c r="H747" s="5" t="s">
        <v>63</v>
      </c>
      <c r="I747" s="5" t="s">
        <v>64</v>
      </c>
      <c r="J747" s="5" t="s">
        <v>65</v>
      </c>
      <c r="K747" s="5" t="s">
        <v>66</v>
      </c>
      <c r="L747" s="2" t="s">
        <v>481</v>
      </c>
      <c r="M747" s="2" t="s">
        <v>1764</v>
      </c>
      <c r="N747" s="2" t="s">
        <v>4957</v>
      </c>
      <c r="O747" s="2" t="s">
        <v>4973</v>
      </c>
      <c r="P747" s="2"/>
      <c r="Q747" s="5" t="n">
        <v>1</v>
      </c>
      <c r="R747" s="2" t="s">
        <v>4959</v>
      </c>
      <c r="S747" s="2" t="s">
        <v>4960</v>
      </c>
      <c r="T747" s="2" t="s">
        <v>4961</v>
      </c>
      <c r="U747" s="2" t="s">
        <v>74</v>
      </c>
      <c r="V747" s="5" t="n">
        <v>300</v>
      </c>
      <c r="W747" s="2"/>
      <c r="X747" s="2" t="s">
        <v>4974</v>
      </c>
      <c r="Y747" s="5"/>
      <c r="Z747" s="2" t="s">
        <v>4975</v>
      </c>
      <c r="AA747" s="6" t="s">
        <v>4976</v>
      </c>
    </row>
    <row r="748" customFormat="false" ht="46.25" hidden="false" customHeight="false" outlineLevel="0" collapsed="false">
      <c r="A748" s="5" t="s">
        <v>4977</v>
      </c>
      <c r="B748" s="2" t="s">
        <v>4978</v>
      </c>
      <c r="C748" s="5" t="s">
        <v>2128</v>
      </c>
      <c r="D748" s="5" t="s">
        <v>4760</v>
      </c>
      <c r="E748" s="2" t="s">
        <v>100</v>
      </c>
      <c r="F748" s="5" t="s">
        <v>62</v>
      </c>
      <c r="G748" s="5" t="n">
        <v>6</v>
      </c>
      <c r="H748" s="5" t="s">
        <v>89</v>
      </c>
      <c r="I748" s="5" t="s">
        <v>64</v>
      </c>
      <c r="J748" s="5" t="s">
        <v>65</v>
      </c>
      <c r="K748" s="5" t="s">
        <v>66</v>
      </c>
      <c r="L748" s="2" t="s">
        <v>100</v>
      </c>
      <c r="M748" s="2" t="s">
        <v>304</v>
      </c>
      <c r="N748" s="2" t="s">
        <v>4957</v>
      </c>
      <c r="O748" s="2" t="s">
        <v>4958</v>
      </c>
      <c r="P748" s="2"/>
      <c r="Q748" s="5" t="n">
        <v>1</v>
      </c>
      <c r="R748" s="2" t="s">
        <v>4959</v>
      </c>
      <c r="S748" s="2" t="s">
        <v>4979</v>
      </c>
      <c r="T748" s="2" t="s">
        <v>4961</v>
      </c>
      <c r="U748" s="2" t="s">
        <v>74</v>
      </c>
      <c r="V748" s="5" t="n">
        <v>300</v>
      </c>
      <c r="W748" s="2"/>
      <c r="X748" s="2" t="s">
        <v>4962</v>
      </c>
      <c r="Y748" s="5"/>
      <c r="Z748" s="2" t="s">
        <v>4980</v>
      </c>
      <c r="AA748" s="6" t="s">
        <v>4981</v>
      </c>
    </row>
    <row r="749" customFormat="false" ht="46.25" hidden="false" customHeight="false" outlineLevel="0" collapsed="false">
      <c r="A749" s="5" t="s">
        <v>4982</v>
      </c>
      <c r="B749" s="2" t="s">
        <v>4983</v>
      </c>
      <c r="C749" s="5" t="s">
        <v>2128</v>
      </c>
      <c r="D749" s="5" t="s">
        <v>4760</v>
      </c>
      <c r="E749" s="2" t="s">
        <v>2079</v>
      </c>
      <c r="F749" s="5" t="s">
        <v>62</v>
      </c>
      <c r="G749" s="5" t="n">
        <v>6</v>
      </c>
      <c r="H749" s="5" t="s">
        <v>89</v>
      </c>
      <c r="I749" s="5" t="s">
        <v>64</v>
      </c>
      <c r="J749" s="5" t="s">
        <v>65</v>
      </c>
      <c r="K749" s="5" t="s">
        <v>66</v>
      </c>
      <c r="L749" s="2" t="s">
        <v>2079</v>
      </c>
      <c r="M749" s="2" t="s">
        <v>3415</v>
      </c>
      <c r="N749" s="2" t="s">
        <v>4957</v>
      </c>
      <c r="O749" s="2" t="s">
        <v>4967</v>
      </c>
      <c r="P749" s="2"/>
      <c r="Q749" s="5" t="n">
        <v>1</v>
      </c>
      <c r="R749" s="2" t="s">
        <v>4959</v>
      </c>
      <c r="S749" s="2" t="s">
        <v>4979</v>
      </c>
      <c r="T749" s="2" t="s">
        <v>4961</v>
      </c>
      <c r="U749" s="2" t="s">
        <v>74</v>
      </c>
      <c r="V749" s="5" t="n">
        <v>300</v>
      </c>
      <c r="W749" s="2"/>
      <c r="X749" s="2" t="s">
        <v>4968</v>
      </c>
      <c r="Y749" s="5"/>
      <c r="Z749" s="2" t="s">
        <v>4984</v>
      </c>
      <c r="AA749" s="6" t="s">
        <v>4985</v>
      </c>
    </row>
    <row r="750" customFormat="false" ht="46.25" hidden="false" customHeight="false" outlineLevel="0" collapsed="false">
      <c r="A750" s="5" t="s">
        <v>4986</v>
      </c>
      <c r="B750" s="2" t="s">
        <v>4987</v>
      </c>
      <c r="C750" s="5" t="s">
        <v>2128</v>
      </c>
      <c r="D750" s="5" t="s">
        <v>4760</v>
      </c>
      <c r="E750" s="2" t="s">
        <v>481</v>
      </c>
      <c r="F750" s="5" t="s">
        <v>62</v>
      </c>
      <c r="G750" s="5" t="n">
        <v>6</v>
      </c>
      <c r="H750" s="5" t="s">
        <v>89</v>
      </c>
      <c r="I750" s="5" t="s">
        <v>64</v>
      </c>
      <c r="J750" s="5" t="s">
        <v>65</v>
      </c>
      <c r="K750" s="5" t="s">
        <v>66</v>
      </c>
      <c r="L750" s="2" t="s">
        <v>481</v>
      </c>
      <c r="M750" s="2" t="s">
        <v>1764</v>
      </c>
      <c r="N750" s="2" t="s">
        <v>4957</v>
      </c>
      <c r="O750" s="2" t="s">
        <v>4973</v>
      </c>
      <c r="P750" s="2"/>
      <c r="Q750" s="5" t="n">
        <v>1</v>
      </c>
      <c r="R750" s="2" t="s">
        <v>4959</v>
      </c>
      <c r="S750" s="2" t="s">
        <v>4979</v>
      </c>
      <c r="T750" s="2" t="s">
        <v>4961</v>
      </c>
      <c r="U750" s="2" t="s">
        <v>74</v>
      </c>
      <c r="V750" s="5" t="n">
        <v>300</v>
      </c>
      <c r="W750" s="2"/>
      <c r="X750" s="2" t="s">
        <v>4974</v>
      </c>
      <c r="Y750" s="5"/>
      <c r="Z750" s="2" t="s">
        <v>4988</v>
      </c>
      <c r="AA750" s="6" t="s">
        <v>4989</v>
      </c>
    </row>
    <row r="751" customFormat="false" ht="102.2" hidden="false" customHeight="false" outlineLevel="0" collapsed="false">
      <c r="A751" s="5" t="s">
        <v>4990</v>
      </c>
      <c r="B751" s="2" t="s">
        <v>4991</v>
      </c>
      <c r="C751" s="5" t="s">
        <v>2128</v>
      </c>
      <c r="D751" s="5" t="s">
        <v>4760</v>
      </c>
      <c r="E751" s="2" t="s">
        <v>100</v>
      </c>
      <c r="F751" s="5" t="s">
        <v>62</v>
      </c>
      <c r="G751" s="5" t="n">
        <v>7</v>
      </c>
      <c r="H751" s="5" t="s">
        <v>89</v>
      </c>
      <c r="I751" s="5" t="s">
        <v>64</v>
      </c>
      <c r="J751" s="5" t="s">
        <v>65</v>
      </c>
      <c r="K751" s="5" t="s">
        <v>66</v>
      </c>
      <c r="L751" s="2" t="s">
        <v>100</v>
      </c>
      <c r="M751" s="2" t="s">
        <v>761</v>
      </c>
      <c r="N751" s="2" t="s">
        <v>4822</v>
      </c>
      <c r="O751" s="2" t="s">
        <v>4823</v>
      </c>
      <c r="P751" s="2"/>
      <c r="Q751" s="5" t="n">
        <v>1</v>
      </c>
      <c r="R751" s="2" t="s">
        <v>4897</v>
      </c>
      <c r="S751" s="2" t="s">
        <v>4992</v>
      </c>
      <c r="T751" s="2" t="s">
        <v>4899</v>
      </c>
      <c r="U751" s="2" t="s">
        <v>74</v>
      </c>
      <c r="V751" s="5" t="n">
        <v>600</v>
      </c>
      <c r="W751" s="2"/>
      <c r="X751" s="2" t="s">
        <v>4825</v>
      </c>
      <c r="Y751" s="5"/>
      <c r="Z751" s="2" t="s">
        <v>4993</v>
      </c>
      <c r="AA751" s="6" t="s">
        <v>4994</v>
      </c>
    </row>
    <row r="752" customFormat="false" ht="46.25" hidden="false" customHeight="false" outlineLevel="0" collapsed="false">
      <c r="A752" s="5" t="s">
        <v>4995</v>
      </c>
      <c r="B752" s="2" t="s">
        <v>4996</v>
      </c>
      <c r="C752" s="5" t="s">
        <v>2128</v>
      </c>
      <c r="D752" s="5" t="s">
        <v>4760</v>
      </c>
      <c r="E752" s="2" t="s">
        <v>2079</v>
      </c>
      <c r="F752" s="5" t="s">
        <v>62</v>
      </c>
      <c r="G752" s="5" t="n">
        <v>9</v>
      </c>
      <c r="H752" s="5" t="s">
        <v>63</v>
      </c>
      <c r="I752" s="5" t="s">
        <v>64</v>
      </c>
      <c r="J752" s="5" t="s">
        <v>65</v>
      </c>
      <c r="K752" s="5" t="s">
        <v>66</v>
      </c>
      <c r="L752" s="2" t="s">
        <v>2079</v>
      </c>
      <c r="M752" s="2" t="s">
        <v>4805</v>
      </c>
      <c r="N752" s="2" t="s">
        <v>2721</v>
      </c>
      <c r="O752" s="2" t="s">
        <v>2722</v>
      </c>
      <c r="P752" s="2"/>
      <c r="Q752" s="5" t="n">
        <v>1</v>
      </c>
      <c r="R752" s="2" t="s">
        <v>4997</v>
      </c>
      <c r="S752" s="2" t="s">
        <v>4998</v>
      </c>
      <c r="T752" s="2" t="s">
        <v>2725</v>
      </c>
      <c r="U752" s="2" t="s">
        <v>74</v>
      </c>
      <c r="V752" s="5" t="n">
        <v>300</v>
      </c>
      <c r="W752" s="2"/>
      <c r="X752" s="2" t="s">
        <v>2726</v>
      </c>
      <c r="Y752" s="5"/>
      <c r="Z752" s="2" t="s">
        <v>4999</v>
      </c>
      <c r="AA752" s="6" t="s">
        <v>5000</v>
      </c>
    </row>
    <row r="753" customFormat="false" ht="68.65" hidden="false" customHeight="false" outlineLevel="0" collapsed="false">
      <c r="A753" s="5" t="s">
        <v>5001</v>
      </c>
      <c r="B753" s="2" t="s">
        <v>5002</v>
      </c>
      <c r="C753" s="5" t="s">
        <v>2128</v>
      </c>
      <c r="D753" s="5" t="s">
        <v>4760</v>
      </c>
      <c r="E753" s="2" t="s">
        <v>2079</v>
      </c>
      <c r="F753" s="5" t="s">
        <v>62</v>
      </c>
      <c r="G753" s="5" t="n">
        <v>9</v>
      </c>
      <c r="H753" s="5" t="s">
        <v>63</v>
      </c>
      <c r="I753" s="5" t="s">
        <v>64</v>
      </c>
      <c r="J753" s="5" t="s">
        <v>65</v>
      </c>
      <c r="K753" s="5" t="s">
        <v>66</v>
      </c>
      <c r="L753" s="2" t="s">
        <v>2079</v>
      </c>
      <c r="M753" s="2" t="s">
        <v>4805</v>
      </c>
      <c r="N753" s="2" t="s">
        <v>2731</v>
      </c>
      <c r="O753" s="2" t="s">
        <v>5003</v>
      </c>
      <c r="P753" s="2"/>
      <c r="Q753" s="5" t="n">
        <v>1</v>
      </c>
      <c r="R753" s="2" t="s">
        <v>4997</v>
      </c>
      <c r="S753" s="2" t="s">
        <v>5004</v>
      </c>
      <c r="T753" s="2" t="s">
        <v>2733</v>
      </c>
      <c r="U753" s="2" t="s">
        <v>74</v>
      </c>
      <c r="V753" s="5" t="n">
        <v>300</v>
      </c>
      <c r="W753" s="2"/>
      <c r="X753" s="2" t="s">
        <v>5005</v>
      </c>
      <c r="Y753" s="5"/>
      <c r="Z753" s="2" t="s">
        <v>5006</v>
      </c>
      <c r="AA753" s="6" t="s">
        <v>5007</v>
      </c>
    </row>
    <row r="754" customFormat="false" ht="91" hidden="false" customHeight="false" outlineLevel="0" collapsed="false">
      <c r="A754" s="5" t="s">
        <v>5008</v>
      </c>
      <c r="B754" s="2" t="s">
        <v>5009</v>
      </c>
      <c r="C754" s="5" t="s">
        <v>2128</v>
      </c>
      <c r="D754" s="5" t="s">
        <v>4760</v>
      </c>
      <c r="E754" s="2" t="s">
        <v>2079</v>
      </c>
      <c r="F754" s="5" t="s">
        <v>490</v>
      </c>
      <c r="G754" s="5" t="n">
        <v>9</v>
      </c>
      <c r="H754" s="5" t="s">
        <v>63</v>
      </c>
      <c r="I754" s="5" t="s">
        <v>64</v>
      </c>
      <c r="J754" s="5" t="s">
        <v>65</v>
      </c>
      <c r="K754" s="5" t="s">
        <v>66</v>
      </c>
      <c r="L754" s="2" t="s">
        <v>2079</v>
      </c>
      <c r="M754" s="2" t="s">
        <v>4805</v>
      </c>
      <c r="N754" s="2" t="s">
        <v>2731</v>
      </c>
      <c r="O754" s="2" t="s">
        <v>5010</v>
      </c>
      <c r="P754" s="2"/>
      <c r="Q754" s="5" t="n">
        <v>1</v>
      </c>
      <c r="R754" s="2" t="s">
        <v>4997</v>
      </c>
      <c r="S754" s="2" t="s">
        <v>5011</v>
      </c>
      <c r="T754" s="2" t="s">
        <v>2733</v>
      </c>
      <c r="U754" s="2" t="s">
        <v>74</v>
      </c>
      <c r="V754" s="5" t="n">
        <v>300</v>
      </c>
      <c r="W754" s="2"/>
      <c r="X754" s="2" t="s">
        <v>5012</v>
      </c>
      <c r="Y754" s="5"/>
      <c r="Z754" s="2" t="s">
        <v>5013</v>
      </c>
      <c r="AA754" s="6" t="s">
        <v>5014</v>
      </c>
    </row>
    <row r="755" customFormat="false" ht="46.25" hidden="false" customHeight="false" outlineLevel="0" collapsed="false">
      <c r="A755" s="5" t="s">
        <v>5015</v>
      </c>
      <c r="B755" s="2" t="s">
        <v>5016</v>
      </c>
      <c r="C755" s="5" t="s">
        <v>2128</v>
      </c>
      <c r="D755" s="5" t="s">
        <v>4760</v>
      </c>
      <c r="E755" s="2" t="s">
        <v>2079</v>
      </c>
      <c r="F755" s="5" t="s">
        <v>62</v>
      </c>
      <c r="G755" s="5" t="n">
        <v>9</v>
      </c>
      <c r="H755" s="5" t="s">
        <v>63</v>
      </c>
      <c r="I755" s="5" t="s">
        <v>64</v>
      </c>
      <c r="J755" s="5" t="s">
        <v>65</v>
      </c>
      <c r="K755" s="5" t="s">
        <v>66</v>
      </c>
      <c r="L755" s="2" t="s">
        <v>2079</v>
      </c>
      <c r="M755" s="2" t="s">
        <v>4805</v>
      </c>
      <c r="N755" s="2" t="s">
        <v>2721</v>
      </c>
      <c r="O755" s="2" t="s">
        <v>4932</v>
      </c>
      <c r="P755" s="2"/>
      <c r="Q755" s="5" t="n">
        <v>1</v>
      </c>
      <c r="R755" s="2" t="s">
        <v>4997</v>
      </c>
      <c r="S755" s="2" t="s">
        <v>5017</v>
      </c>
      <c r="T755" s="2" t="s">
        <v>2725</v>
      </c>
      <c r="U755" s="2" t="s">
        <v>74</v>
      </c>
      <c r="V755" s="5" t="n">
        <v>300</v>
      </c>
      <c r="W755" s="2"/>
      <c r="X755" s="2" t="s">
        <v>4934</v>
      </c>
      <c r="Y755" s="5"/>
      <c r="Z755" s="2" t="s">
        <v>5018</v>
      </c>
      <c r="AA755" s="6" t="s">
        <v>5019</v>
      </c>
    </row>
    <row r="756" customFormat="false" ht="68.65" hidden="false" customHeight="false" outlineLevel="0" collapsed="false">
      <c r="A756" s="5" t="s">
        <v>5020</v>
      </c>
      <c r="B756" s="2" t="s">
        <v>5021</v>
      </c>
      <c r="C756" s="5" t="s">
        <v>2128</v>
      </c>
      <c r="D756" s="5" t="s">
        <v>4760</v>
      </c>
      <c r="E756" s="2" t="s">
        <v>2079</v>
      </c>
      <c r="F756" s="5" t="s">
        <v>62</v>
      </c>
      <c r="G756" s="5" t="n">
        <v>9</v>
      </c>
      <c r="H756" s="5" t="s">
        <v>63</v>
      </c>
      <c r="I756" s="5" t="s">
        <v>64</v>
      </c>
      <c r="J756" s="5" t="s">
        <v>65</v>
      </c>
      <c r="K756" s="5" t="s">
        <v>66</v>
      </c>
      <c r="L756" s="2" t="s">
        <v>2079</v>
      </c>
      <c r="M756" s="2" t="s">
        <v>4805</v>
      </c>
      <c r="N756" s="2" t="s">
        <v>2731</v>
      </c>
      <c r="O756" s="2" t="s">
        <v>5022</v>
      </c>
      <c r="P756" s="2"/>
      <c r="Q756" s="5" t="n">
        <v>1</v>
      </c>
      <c r="R756" s="2" t="s">
        <v>4997</v>
      </c>
      <c r="S756" s="2" t="s">
        <v>5023</v>
      </c>
      <c r="T756" s="2" t="s">
        <v>2733</v>
      </c>
      <c r="U756" s="2" t="s">
        <v>74</v>
      </c>
      <c r="V756" s="5" t="n">
        <v>300</v>
      </c>
      <c r="W756" s="2"/>
      <c r="X756" s="2" t="s">
        <v>5024</v>
      </c>
      <c r="Y756" s="5"/>
      <c r="Z756" s="2" t="s">
        <v>5025</v>
      </c>
      <c r="AA756" s="6" t="s">
        <v>5026</v>
      </c>
    </row>
    <row r="757" customFormat="false" ht="46.25" hidden="false" customHeight="false" outlineLevel="0" collapsed="false">
      <c r="A757" s="5" t="s">
        <v>5027</v>
      </c>
      <c r="B757" s="2" t="s">
        <v>5028</v>
      </c>
      <c r="C757" s="5" t="s">
        <v>2128</v>
      </c>
      <c r="D757" s="5" t="s">
        <v>4760</v>
      </c>
      <c r="E757" s="2" t="s">
        <v>2079</v>
      </c>
      <c r="F757" s="5" t="s">
        <v>62</v>
      </c>
      <c r="G757" s="5" t="n">
        <v>9</v>
      </c>
      <c r="H757" s="5" t="s">
        <v>63</v>
      </c>
      <c r="I757" s="5" t="s">
        <v>64</v>
      </c>
      <c r="J757" s="5" t="s">
        <v>65</v>
      </c>
      <c r="K757" s="5" t="s">
        <v>66</v>
      </c>
      <c r="L757" s="2" t="s">
        <v>2079</v>
      </c>
      <c r="M757" s="2" t="s">
        <v>4805</v>
      </c>
      <c r="N757" s="2" t="s">
        <v>2721</v>
      </c>
      <c r="O757" s="2" t="s">
        <v>2722</v>
      </c>
      <c r="P757" s="2"/>
      <c r="Q757" s="5" t="n">
        <v>1</v>
      </c>
      <c r="R757" s="2" t="s">
        <v>4997</v>
      </c>
      <c r="S757" s="2" t="s">
        <v>5029</v>
      </c>
      <c r="T757" s="2" t="s">
        <v>2725</v>
      </c>
      <c r="U757" s="2" t="s">
        <v>74</v>
      </c>
      <c r="V757" s="5" t="n">
        <v>300</v>
      </c>
      <c r="W757" s="2"/>
      <c r="X757" s="2" t="s">
        <v>2726</v>
      </c>
      <c r="Y757" s="5"/>
      <c r="Z757" s="2" t="s">
        <v>5030</v>
      </c>
      <c r="AA757" s="6" t="s">
        <v>5031</v>
      </c>
    </row>
    <row r="758" customFormat="false" ht="68.65" hidden="false" customHeight="false" outlineLevel="0" collapsed="false">
      <c r="A758" s="5" t="s">
        <v>5032</v>
      </c>
      <c r="B758" s="2" t="s">
        <v>5033</v>
      </c>
      <c r="C758" s="5" t="s">
        <v>2128</v>
      </c>
      <c r="D758" s="5" t="s">
        <v>4760</v>
      </c>
      <c r="E758" s="2" t="s">
        <v>2079</v>
      </c>
      <c r="F758" s="5" t="s">
        <v>62</v>
      </c>
      <c r="G758" s="5" t="n">
        <v>9</v>
      </c>
      <c r="H758" s="5" t="s">
        <v>63</v>
      </c>
      <c r="I758" s="5" t="s">
        <v>64</v>
      </c>
      <c r="J758" s="5" t="s">
        <v>65</v>
      </c>
      <c r="K758" s="5" t="s">
        <v>66</v>
      </c>
      <c r="L758" s="2" t="s">
        <v>2079</v>
      </c>
      <c r="M758" s="2" t="s">
        <v>4805</v>
      </c>
      <c r="N758" s="2" t="s">
        <v>2731</v>
      </c>
      <c r="O758" s="2" t="s">
        <v>5034</v>
      </c>
      <c r="P758" s="2"/>
      <c r="Q758" s="5" t="n">
        <v>1</v>
      </c>
      <c r="R758" s="2" t="s">
        <v>4997</v>
      </c>
      <c r="S758" s="2" t="s">
        <v>5035</v>
      </c>
      <c r="T758" s="2" t="s">
        <v>2733</v>
      </c>
      <c r="U758" s="2" t="s">
        <v>74</v>
      </c>
      <c r="V758" s="5" t="n">
        <v>300</v>
      </c>
      <c r="W758" s="2"/>
      <c r="X758" s="2" t="s">
        <v>5036</v>
      </c>
      <c r="Y758" s="5"/>
      <c r="Z758" s="2" t="s">
        <v>5037</v>
      </c>
      <c r="AA758" s="6" t="s">
        <v>5038</v>
      </c>
    </row>
    <row r="759" customFormat="false" ht="68.65" hidden="false" customHeight="false" outlineLevel="0" collapsed="false">
      <c r="A759" s="5" t="s">
        <v>5039</v>
      </c>
      <c r="B759" s="2" t="s">
        <v>5040</v>
      </c>
      <c r="C759" s="5" t="s">
        <v>2128</v>
      </c>
      <c r="D759" s="5" t="s">
        <v>4760</v>
      </c>
      <c r="E759" s="2" t="s">
        <v>2079</v>
      </c>
      <c r="F759" s="5" t="s">
        <v>62</v>
      </c>
      <c r="G759" s="5" t="n">
        <v>9</v>
      </c>
      <c r="H759" s="5" t="s">
        <v>63</v>
      </c>
      <c r="I759" s="5" t="s">
        <v>64</v>
      </c>
      <c r="J759" s="5" t="s">
        <v>65</v>
      </c>
      <c r="K759" s="5" t="s">
        <v>66</v>
      </c>
      <c r="L759" s="2" t="s">
        <v>2079</v>
      </c>
      <c r="M759" s="2" t="s">
        <v>4805</v>
      </c>
      <c r="N759" s="2" t="s">
        <v>2721</v>
      </c>
      <c r="O759" s="2" t="s">
        <v>5041</v>
      </c>
      <c r="P759" s="2"/>
      <c r="Q759" s="5" t="n">
        <v>1</v>
      </c>
      <c r="R759" s="2" t="s">
        <v>4997</v>
      </c>
      <c r="S759" s="2" t="s">
        <v>5042</v>
      </c>
      <c r="T759" s="2" t="s">
        <v>2725</v>
      </c>
      <c r="U759" s="2" t="s">
        <v>74</v>
      </c>
      <c r="V759" s="5" t="n">
        <v>300</v>
      </c>
      <c r="W759" s="2"/>
      <c r="X759" s="2" t="s">
        <v>5043</v>
      </c>
      <c r="Y759" s="5"/>
      <c r="Z759" s="2" t="s">
        <v>5044</v>
      </c>
      <c r="AA759" s="6" t="s">
        <v>5045</v>
      </c>
    </row>
    <row r="760" customFormat="false" ht="79.85" hidden="false" customHeight="false" outlineLevel="0" collapsed="false">
      <c r="A760" s="5" t="s">
        <v>5046</v>
      </c>
      <c r="B760" s="2" t="s">
        <v>5047</v>
      </c>
      <c r="C760" s="5" t="s">
        <v>2128</v>
      </c>
      <c r="D760" s="5" t="s">
        <v>4760</v>
      </c>
      <c r="E760" s="2" t="s">
        <v>2079</v>
      </c>
      <c r="F760" s="5" t="s">
        <v>62</v>
      </c>
      <c r="G760" s="5" t="n">
        <v>9</v>
      </c>
      <c r="H760" s="5" t="s">
        <v>63</v>
      </c>
      <c r="I760" s="5" t="s">
        <v>64</v>
      </c>
      <c r="J760" s="5" t="s">
        <v>65</v>
      </c>
      <c r="K760" s="5" t="s">
        <v>66</v>
      </c>
      <c r="L760" s="2" t="s">
        <v>2079</v>
      </c>
      <c r="M760" s="2" t="s">
        <v>4805</v>
      </c>
      <c r="N760" s="2" t="s">
        <v>2731</v>
      </c>
      <c r="O760" s="2" t="s">
        <v>5048</v>
      </c>
      <c r="P760" s="2"/>
      <c r="Q760" s="5" t="n">
        <v>1</v>
      </c>
      <c r="R760" s="2" t="s">
        <v>4997</v>
      </c>
      <c r="S760" s="2" t="s">
        <v>5049</v>
      </c>
      <c r="T760" s="2" t="s">
        <v>2733</v>
      </c>
      <c r="U760" s="2" t="s">
        <v>74</v>
      </c>
      <c r="V760" s="5" t="n">
        <v>300</v>
      </c>
      <c r="W760" s="2"/>
      <c r="X760" s="2" t="s">
        <v>5050</v>
      </c>
      <c r="Y760" s="5"/>
      <c r="Z760" s="2" t="s">
        <v>5051</v>
      </c>
      <c r="AA760" s="6" t="s">
        <v>5052</v>
      </c>
    </row>
    <row r="761" customFormat="false" ht="46.25" hidden="false" customHeight="false" outlineLevel="0" collapsed="false">
      <c r="A761" s="5" t="s">
        <v>5053</v>
      </c>
      <c r="B761" s="2" t="s">
        <v>5054</v>
      </c>
      <c r="C761" s="5" t="s">
        <v>2128</v>
      </c>
      <c r="D761" s="5" t="s">
        <v>4760</v>
      </c>
      <c r="E761" s="2" t="s">
        <v>2079</v>
      </c>
      <c r="F761" s="5" t="s">
        <v>62</v>
      </c>
      <c r="G761" s="5" t="n">
        <v>9</v>
      </c>
      <c r="H761" s="5" t="s">
        <v>63</v>
      </c>
      <c r="I761" s="5" t="s">
        <v>64</v>
      </c>
      <c r="J761" s="5" t="s">
        <v>65</v>
      </c>
      <c r="K761" s="5" t="s">
        <v>66</v>
      </c>
      <c r="L761" s="2" t="s">
        <v>2079</v>
      </c>
      <c r="M761" s="2" t="s">
        <v>4805</v>
      </c>
      <c r="N761" s="2" t="s">
        <v>2721</v>
      </c>
      <c r="O761" s="2" t="s">
        <v>2722</v>
      </c>
      <c r="P761" s="2"/>
      <c r="Q761" s="5" t="n">
        <v>1</v>
      </c>
      <c r="R761" s="2" t="s">
        <v>4997</v>
      </c>
      <c r="S761" s="2" t="s">
        <v>5055</v>
      </c>
      <c r="T761" s="2" t="s">
        <v>2725</v>
      </c>
      <c r="U761" s="2" t="s">
        <v>74</v>
      </c>
      <c r="V761" s="5" t="n">
        <v>300</v>
      </c>
      <c r="W761" s="2"/>
      <c r="X761" s="2" t="s">
        <v>2726</v>
      </c>
      <c r="Y761" s="5"/>
      <c r="Z761" s="2" t="s">
        <v>5056</v>
      </c>
      <c r="AA761" s="6" t="s">
        <v>5057</v>
      </c>
    </row>
    <row r="762" customFormat="false" ht="68.65" hidden="false" customHeight="false" outlineLevel="0" collapsed="false">
      <c r="A762" s="5" t="s">
        <v>5058</v>
      </c>
      <c r="B762" s="2" t="s">
        <v>5059</v>
      </c>
      <c r="C762" s="5" t="s">
        <v>2128</v>
      </c>
      <c r="D762" s="5" t="s">
        <v>4760</v>
      </c>
      <c r="E762" s="2" t="s">
        <v>2079</v>
      </c>
      <c r="F762" s="5" t="s">
        <v>62</v>
      </c>
      <c r="G762" s="5" t="n">
        <v>9</v>
      </c>
      <c r="H762" s="5" t="s">
        <v>63</v>
      </c>
      <c r="I762" s="5" t="s">
        <v>64</v>
      </c>
      <c r="J762" s="5" t="s">
        <v>65</v>
      </c>
      <c r="K762" s="5" t="s">
        <v>66</v>
      </c>
      <c r="L762" s="2" t="s">
        <v>2079</v>
      </c>
      <c r="M762" s="2" t="s">
        <v>4805</v>
      </c>
      <c r="N762" s="2" t="s">
        <v>2731</v>
      </c>
      <c r="O762" s="2" t="s">
        <v>5060</v>
      </c>
      <c r="P762" s="2"/>
      <c r="Q762" s="5" t="n">
        <v>1</v>
      </c>
      <c r="R762" s="2" t="s">
        <v>4997</v>
      </c>
      <c r="S762" s="2" t="s">
        <v>5061</v>
      </c>
      <c r="T762" s="2" t="s">
        <v>2733</v>
      </c>
      <c r="U762" s="2" t="s">
        <v>74</v>
      </c>
      <c r="V762" s="5" t="n">
        <v>300</v>
      </c>
      <c r="W762" s="2"/>
      <c r="X762" s="2" t="s">
        <v>5062</v>
      </c>
      <c r="Y762" s="5"/>
      <c r="Z762" s="2" t="s">
        <v>5063</v>
      </c>
      <c r="AA762" s="6" t="s">
        <v>5064</v>
      </c>
    </row>
    <row r="763" customFormat="false" ht="46.25" hidden="false" customHeight="false" outlineLevel="0" collapsed="false">
      <c r="A763" s="5" t="s">
        <v>5065</v>
      </c>
      <c r="B763" s="2" t="s">
        <v>5066</v>
      </c>
      <c r="C763" s="5" t="s">
        <v>2128</v>
      </c>
      <c r="D763" s="5" t="s">
        <v>4760</v>
      </c>
      <c r="E763" s="2" t="s">
        <v>2079</v>
      </c>
      <c r="F763" s="5" t="s">
        <v>62</v>
      </c>
      <c r="G763" s="5" t="n">
        <v>9</v>
      </c>
      <c r="H763" s="5" t="s">
        <v>63</v>
      </c>
      <c r="I763" s="5" t="s">
        <v>64</v>
      </c>
      <c r="J763" s="5" t="s">
        <v>65</v>
      </c>
      <c r="K763" s="5" t="s">
        <v>66</v>
      </c>
      <c r="L763" s="2" t="s">
        <v>2079</v>
      </c>
      <c r="M763" s="2" t="s">
        <v>4805</v>
      </c>
      <c r="N763" s="2" t="s">
        <v>2721</v>
      </c>
      <c r="O763" s="2" t="s">
        <v>2722</v>
      </c>
      <c r="P763" s="2"/>
      <c r="Q763" s="5" t="n">
        <v>1</v>
      </c>
      <c r="R763" s="2" t="s">
        <v>4997</v>
      </c>
      <c r="S763" s="2" t="s">
        <v>5067</v>
      </c>
      <c r="T763" s="2" t="s">
        <v>2725</v>
      </c>
      <c r="U763" s="2" t="s">
        <v>74</v>
      </c>
      <c r="V763" s="5" t="n">
        <v>300</v>
      </c>
      <c r="W763" s="2"/>
      <c r="X763" s="2" t="s">
        <v>2726</v>
      </c>
      <c r="Y763" s="5"/>
      <c r="Z763" s="2" t="s">
        <v>5068</v>
      </c>
      <c r="AA763" s="6" t="s">
        <v>5069</v>
      </c>
    </row>
    <row r="764" customFormat="false" ht="135.8" hidden="false" customHeight="false" outlineLevel="0" collapsed="false">
      <c r="A764" s="5" t="s">
        <v>5070</v>
      </c>
      <c r="B764" s="2" t="s">
        <v>5071</v>
      </c>
      <c r="C764" s="5" t="s">
        <v>2128</v>
      </c>
      <c r="D764" s="5" t="s">
        <v>4760</v>
      </c>
      <c r="E764" s="2" t="s">
        <v>2079</v>
      </c>
      <c r="F764" s="5" t="s">
        <v>62</v>
      </c>
      <c r="G764" s="5" t="n">
        <v>9</v>
      </c>
      <c r="H764" s="5" t="s">
        <v>63</v>
      </c>
      <c r="I764" s="5" t="s">
        <v>64</v>
      </c>
      <c r="J764" s="5" t="s">
        <v>65</v>
      </c>
      <c r="K764" s="5" t="s">
        <v>66</v>
      </c>
      <c r="L764" s="2" t="s">
        <v>2079</v>
      </c>
      <c r="M764" s="2" t="s">
        <v>4805</v>
      </c>
      <c r="N764" s="2" t="s">
        <v>2731</v>
      </c>
      <c r="O764" s="2" t="s">
        <v>5072</v>
      </c>
      <c r="P764" s="2"/>
      <c r="Q764" s="5" t="n">
        <v>1</v>
      </c>
      <c r="R764" s="2" t="s">
        <v>4997</v>
      </c>
      <c r="S764" s="2" t="s">
        <v>5073</v>
      </c>
      <c r="T764" s="2" t="s">
        <v>2733</v>
      </c>
      <c r="U764" s="2" t="s">
        <v>74</v>
      </c>
      <c r="V764" s="5" t="n">
        <v>300</v>
      </c>
      <c r="W764" s="2"/>
      <c r="X764" s="2" t="s">
        <v>5074</v>
      </c>
      <c r="Y764" s="5"/>
      <c r="Z764" s="2" t="s">
        <v>5075</v>
      </c>
      <c r="AA764" s="6" t="s">
        <v>5076</v>
      </c>
    </row>
    <row r="765" customFormat="false" ht="68.65" hidden="false" customHeight="false" outlineLevel="0" collapsed="false">
      <c r="A765" s="5" t="s">
        <v>5077</v>
      </c>
      <c r="B765" s="2" t="s">
        <v>5078</v>
      </c>
      <c r="C765" s="5" t="s">
        <v>2128</v>
      </c>
      <c r="D765" s="5" t="s">
        <v>4760</v>
      </c>
      <c r="E765" s="2" t="s">
        <v>2079</v>
      </c>
      <c r="F765" s="5" t="s">
        <v>62</v>
      </c>
      <c r="G765" s="5" t="n">
        <v>10</v>
      </c>
      <c r="H765" s="5" t="s">
        <v>63</v>
      </c>
      <c r="I765" s="5" t="s">
        <v>64</v>
      </c>
      <c r="J765" s="5" t="s">
        <v>65</v>
      </c>
      <c r="K765" s="5" t="s">
        <v>66</v>
      </c>
      <c r="L765" s="2" t="s">
        <v>2079</v>
      </c>
      <c r="M765" s="2" t="s">
        <v>4805</v>
      </c>
      <c r="N765" s="2" t="s">
        <v>2721</v>
      </c>
      <c r="O765" s="2" t="s">
        <v>5041</v>
      </c>
      <c r="P765" s="2"/>
      <c r="Q765" s="5" t="n">
        <v>1</v>
      </c>
      <c r="R765" s="2" t="s">
        <v>4997</v>
      </c>
      <c r="S765" s="2" t="s">
        <v>5079</v>
      </c>
      <c r="T765" s="2" t="s">
        <v>2725</v>
      </c>
      <c r="U765" s="2" t="s">
        <v>74</v>
      </c>
      <c r="V765" s="5" t="n">
        <v>300</v>
      </c>
      <c r="W765" s="2"/>
      <c r="X765" s="2" t="s">
        <v>5043</v>
      </c>
      <c r="Y765" s="5"/>
      <c r="Z765" s="2" t="s">
        <v>5080</v>
      </c>
      <c r="AA765" s="6" t="s">
        <v>5081</v>
      </c>
    </row>
    <row r="766" customFormat="false" ht="91" hidden="false" customHeight="false" outlineLevel="0" collapsed="false">
      <c r="A766" s="5" t="s">
        <v>5082</v>
      </c>
      <c r="B766" s="2" t="s">
        <v>5083</v>
      </c>
      <c r="C766" s="5" t="s">
        <v>2128</v>
      </c>
      <c r="D766" s="5" t="s">
        <v>4760</v>
      </c>
      <c r="E766" s="2" t="s">
        <v>2079</v>
      </c>
      <c r="F766" s="5" t="s">
        <v>62</v>
      </c>
      <c r="G766" s="5" t="n">
        <v>10</v>
      </c>
      <c r="H766" s="5" t="s">
        <v>63</v>
      </c>
      <c r="I766" s="5" t="s">
        <v>64</v>
      </c>
      <c r="J766" s="5" t="s">
        <v>65</v>
      </c>
      <c r="K766" s="5" t="s">
        <v>66</v>
      </c>
      <c r="L766" s="2" t="s">
        <v>2079</v>
      </c>
      <c r="M766" s="2" t="s">
        <v>4805</v>
      </c>
      <c r="N766" s="2" t="s">
        <v>2731</v>
      </c>
      <c r="O766" s="2" t="s">
        <v>5084</v>
      </c>
      <c r="P766" s="2"/>
      <c r="Q766" s="5" t="n">
        <v>1</v>
      </c>
      <c r="R766" s="2" t="s">
        <v>4997</v>
      </c>
      <c r="S766" s="2" t="s">
        <v>5085</v>
      </c>
      <c r="T766" s="2" t="s">
        <v>2733</v>
      </c>
      <c r="U766" s="2" t="s">
        <v>74</v>
      </c>
      <c r="V766" s="5" t="n">
        <v>300</v>
      </c>
      <c r="W766" s="2"/>
      <c r="X766" s="2" t="s">
        <v>5086</v>
      </c>
      <c r="Y766" s="5"/>
      <c r="Z766" s="2" t="s">
        <v>5087</v>
      </c>
      <c r="AA766" s="6" t="s">
        <v>5088</v>
      </c>
    </row>
    <row r="767" customFormat="false" ht="68.65" hidden="false" customHeight="false" outlineLevel="0" collapsed="false">
      <c r="A767" s="5" t="s">
        <v>5089</v>
      </c>
      <c r="B767" s="2" t="s">
        <v>5090</v>
      </c>
      <c r="C767" s="5" t="s">
        <v>2128</v>
      </c>
      <c r="D767" s="5" t="s">
        <v>4760</v>
      </c>
      <c r="E767" s="2" t="s">
        <v>2079</v>
      </c>
      <c r="F767" s="5" t="s">
        <v>62</v>
      </c>
      <c r="G767" s="5" t="n">
        <v>9</v>
      </c>
      <c r="H767" s="5" t="s">
        <v>63</v>
      </c>
      <c r="I767" s="5" t="s">
        <v>64</v>
      </c>
      <c r="J767" s="5" t="s">
        <v>65</v>
      </c>
      <c r="K767" s="5" t="s">
        <v>66</v>
      </c>
      <c r="L767" s="2" t="s">
        <v>2079</v>
      </c>
      <c r="M767" s="2" t="s">
        <v>4805</v>
      </c>
      <c r="N767" s="2" t="s">
        <v>2731</v>
      </c>
      <c r="O767" s="2" t="s">
        <v>5091</v>
      </c>
      <c r="P767" s="2"/>
      <c r="Q767" s="5" t="n">
        <v>1</v>
      </c>
      <c r="R767" s="2" t="s">
        <v>4997</v>
      </c>
      <c r="S767" s="2" t="s">
        <v>5023</v>
      </c>
      <c r="T767" s="2" t="s">
        <v>2733</v>
      </c>
      <c r="U767" s="2" t="s">
        <v>74</v>
      </c>
      <c r="V767" s="5" t="n">
        <v>300</v>
      </c>
      <c r="W767" s="2"/>
      <c r="X767" s="2" t="s">
        <v>5092</v>
      </c>
      <c r="Y767" s="5"/>
      <c r="Z767" s="2" t="s">
        <v>5093</v>
      </c>
      <c r="AA767" s="6" t="s">
        <v>5094</v>
      </c>
    </row>
    <row r="768" customFormat="false" ht="23.85" hidden="false" customHeight="false" outlineLevel="0" collapsed="false">
      <c r="A768" s="5" t="s">
        <v>5095</v>
      </c>
      <c r="B768" s="2" t="s">
        <v>5096</v>
      </c>
      <c r="C768" s="5" t="s">
        <v>2128</v>
      </c>
      <c r="D768" s="5" t="s">
        <v>4760</v>
      </c>
      <c r="E768" s="2" t="s">
        <v>2079</v>
      </c>
      <c r="F768" s="5" t="s">
        <v>62</v>
      </c>
      <c r="G768" s="5" t="n">
        <v>9</v>
      </c>
      <c r="H768" s="5" t="s">
        <v>63</v>
      </c>
      <c r="I768" s="5" t="s">
        <v>64</v>
      </c>
      <c r="J768" s="5" t="s">
        <v>65</v>
      </c>
      <c r="K768" s="5" t="s">
        <v>66</v>
      </c>
      <c r="L768" s="2" t="s">
        <v>2079</v>
      </c>
      <c r="M768" s="2" t="s">
        <v>4805</v>
      </c>
      <c r="N768" s="2" t="s">
        <v>2721</v>
      </c>
      <c r="O768" s="2" t="s">
        <v>4932</v>
      </c>
      <c r="P768" s="2"/>
      <c r="Q768" s="5" t="n">
        <v>1</v>
      </c>
      <c r="R768" s="2" t="s">
        <v>4997</v>
      </c>
      <c r="S768" s="2" t="s">
        <v>5097</v>
      </c>
      <c r="T768" s="2" t="s">
        <v>2725</v>
      </c>
      <c r="U768" s="2" t="s">
        <v>74</v>
      </c>
      <c r="V768" s="5" t="n">
        <v>300</v>
      </c>
      <c r="W768" s="2"/>
      <c r="X768" s="2" t="s">
        <v>4934</v>
      </c>
      <c r="Y768" s="5"/>
      <c r="Z768" s="2" t="s">
        <v>5098</v>
      </c>
      <c r="AA768" s="6" t="s">
        <v>5099</v>
      </c>
    </row>
    <row r="769" customFormat="false" ht="68.65" hidden="false" customHeight="false" outlineLevel="0" collapsed="false">
      <c r="A769" s="5" t="s">
        <v>5100</v>
      </c>
      <c r="B769" s="2" t="s">
        <v>5101</v>
      </c>
      <c r="C769" s="5" t="s">
        <v>2128</v>
      </c>
      <c r="D769" s="5" t="s">
        <v>4760</v>
      </c>
      <c r="E769" s="2" t="s">
        <v>2079</v>
      </c>
      <c r="F769" s="5" t="s">
        <v>62</v>
      </c>
      <c r="G769" s="5" t="n">
        <v>9</v>
      </c>
      <c r="H769" s="5" t="s">
        <v>63</v>
      </c>
      <c r="I769" s="5" t="s">
        <v>64</v>
      </c>
      <c r="J769" s="5" t="s">
        <v>65</v>
      </c>
      <c r="K769" s="5" t="s">
        <v>66</v>
      </c>
      <c r="L769" s="2" t="s">
        <v>2079</v>
      </c>
      <c r="M769" s="2" t="s">
        <v>4805</v>
      </c>
      <c r="N769" s="2" t="s">
        <v>2731</v>
      </c>
      <c r="O769" s="2" t="s">
        <v>5102</v>
      </c>
      <c r="P769" s="2"/>
      <c r="Q769" s="5" t="n">
        <v>1</v>
      </c>
      <c r="R769" s="2" t="s">
        <v>4997</v>
      </c>
      <c r="S769" s="2" t="s">
        <v>5011</v>
      </c>
      <c r="T769" s="2" t="s">
        <v>2733</v>
      </c>
      <c r="U769" s="2" t="s">
        <v>74</v>
      </c>
      <c r="V769" s="5" t="n">
        <v>300</v>
      </c>
      <c r="W769" s="2"/>
      <c r="X769" s="2" t="s">
        <v>5103</v>
      </c>
      <c r="Y769" s="5"/>
      <c r="Z769" s="2" t="s">
        <v>5104</v>
      </c>
      <c r="AA769" s="6" t="s">
        <v>5105</v>
      </c>
    </row>
    <row r="770" customFormat="false" ht="68.65" hidden="false" customHeight="false" outlineLevel="0" collapsed="false">
      <c r="A770" s="5" t="s">
        <v>5106</v>
      </c>
      <c r="B770" s="2" t="s">
        <v>5107</v>
      </c>
      <c r="C770" s="5" t="s">
        <v>2128</v>
      </c>
      <c r="D770" s="5" t="s">
        <v>4760</v>
      </c>
      <c r="E770" s="2" t="s">
        <v>2079</v>
      </c>
      <c r="F770" s="5" t="s">
        <v>62</v>
      </c>
      <c r="G770" s="5" t="n">
        <v>9</v>
      </c>
      <c r="H770" s="5" t="s">
        <v>63</v>
      </c>
      <c r="I770" s="5" t="s">
        <v>64</v>
      </c>
      <c r="J770" s="5" t="s">
        <v>65</v>
      </c>
      <c r="K770" s="5" t="s">
        <v>66</v>
      </c>
      <c r="L770" s="2" t="s">
        <v>2079</v>
      </c>
      <c r="M770" s="2" t="s">
        <v>4805</v>
      </c>
      <c r="N770" s="2" t="s">
        <v>5108</v>
      </c>
      <c r="O770" s="2" t="s">
        <v>5109</v>
      </c>
      <c r="P770" s="2"/>
      <c r="Q770" s="5" t="n">
        <v>1</v>
      </c>
      <c r="R770" s="2" t="s">
        <v>4997</v>
      </c>
      <c r="S770" s="2" t="s">
        <v>5011</v>
      </c>
      <c r="T770" s="2" t="s">
        <v>2733</v>
      </c>
      <c r="U770" s="2" t="s">
        <v>74</v>
      </c>
      <c r="V770" s="5" t="n">
        <v>300</v>
      </c>
      <c r="W770" s="2"/>
      <c r="X770" s="2" t="s">
        <v>5110</v>
      </c>
      <c r="Y770" s="5"/>
      <c r="Z770" s="2" t="s">
        <v>5111</v>
      </c>
      <c r="AA770" s="6" t="s">
        <v>5112</v>
      </c>
    </row>
    <row r="771" customFormat="false" ht="35.05" hidden="false" customHeight="false" outlineLevel="0" collapsed="false">
      <c r="A771" s="5" t="s">
        <v>5113</v>
      </c>
      <c r="B771" s="2" t="s">
        <v>5114</v>
      </c>
      <c r="C771" s="5" t="s">
        <v>2128</v>
      </c>
      <c r="D771" s="5" t="s">
        <v>4760</v>
      </c>
      <c r="E771" s="2" t="s">
        <v>2079</v>
      </c>
      <c r="F771" s="5" t="s">
        <v>62</v>
      </c>
      <c r="G771" s="5" t="n">
        <v>9</v>
      </c>
      <c r="H771" s="5" t="s">
        <v>63</v>
      </c>
      <c r="I771" s="5" t="s">
        <v>64</v>
      </c>
      <c r="J771" s="5" t="s">
        <v>65</v>
      </c>
      <c r="K771" s="5" t="s">
        <v>66</v>
      </c>
      <c r="L771" s="2" t="s">
        <v>2079</v>
      </c>
      <c r="M771" s="2" t="s">
        <v>4805</v>
      </c>
      <c r="N771" s="2" t="s">
        <v>2721</v>
      </c>
      <c r="O771" s="2" t="s">
        <v>4932</v>
      </c>
      <c r="P771" s="2"/>
      <c r="Q771" s="5" t="n">
        <v>1</v>
      </c>
      <c r="R771" s="2" t="s">
        <v>4997</v>
      </c>
      <c r="S771" s="2" t="s">
        <v>5115</v>
      </c>
      <c r="T771" s="2" t="s">
        <v>2725</v>
      </c>
      <c r="U771" s="2" t="s">
        <v>4754</v>
      </c>
      <c r="V771" s="5" t="n">
        <v>300</v>
      </c>
      <c r="W771" s="2"/>
      <c r="X771" s="2" t="s">
        <v>4934</v>
      </c>
      <c r="Y771" s="5"/>
      <c r="Z771" s="2" t="s">
        <v>5116</v>
      </c>
      <c r="AA771" s="6" t="s">
        <v>5117</v>
      </c>
    </row>
    <row r="772" customFormat="false" ht="68.65" hidden="false" customHeight="false" outlineLevel="0" collapsed="false">
      <c r="A772" s="5" t="s">
        <v>5118</v>
      </c>
      <c r="B772" s="2" t="s">
        <v>5119</v>
      </c>
      <c r="C772" s="5" t="s">
        <v>2128</v>
      </c>
      <c r="D772" s="5" t="s">
        <v>4760</v>
      </c>
      <c r="E772" s="2" t="s">
        <v>2079</v>
      </c>
      <c r="F772" s="5" t="s">
        <v>62</v>
      </c>
      <c r="G772" s="5" t="n">
        <v>9</v>
      </c>
      <c r="H772" s="5" t="s">
        <v>63</v>
      </c>
      <c r="I772" s="5" t="s">
        <v>64</v>
      </c>
      <c r="J772" s="5" t="s">
        <v>65</v>
      </c>
      <c r="K772" s="5" t="s">
        <v>66</v>
      </c>
      <c r="L772" s="2" t="s">
        <v>2079</v>
      </c>
      <c r="M772" s="2" t="s">
        <v>4805</v>
      </c>
      <c r="N772" s="2" t="s">
        <v>2731</v>
      </c>
      <c r="O772" s="2" t="s">
        <v>5120</v>
      </c>
      <c r="P772" s="2"/>
      <c r="Q772" s="5" t="n">
        <v>1</v>
      </c>
      <c r="R772" s="2" t="s">
        <v>4997</v>
      </c>
      <c r="S772" s="2" t="s">
        <v>5023</v>
      </c>
      <c r="T772" s="2" t="s">
        <v>2733</v>
      </c>
      <c r="U772" s="2" t="s">
        <v>4754</v>
      </c>
      <c r="V772" s="5" t="n">
        <v>300</v>
      </c>
      <c r="W772" s="2"/>
      <c r="X772" s="2" t="s">
        <v>5121</v>
      </c>
      <c r="Y772" s="5"/>
      <c r="Z772" s="2" t="s">
        <v>5122</v>
      </c>
      <c r="AA772" s="6" t="s">
        <v>5123</v>
      </c>
    </row>
    <row r="773" customFormat="false" ht="23.85" hidden="false" customHeight="false" outlineLevel="0" collapsed="false">
      <c r="A773" s="5" t="s">
        <v>5124</v>
      </c>
      <c r="B773" s="2" t="s">
        <v>5125</v>
      </c>
      <c r="C773" s="5" t="s">
        <v>2128</v>
      </c>
      <c r="D773" s="5" t="s">
        <v>4760</v>
      </c>
      <c r="E773" s="2" t="s">
        <v>2079</v>
      </c>
      <c r="F773" s="5" t="s">
        <v>62</v>
      </c>
      <c r="G773" s="5" t="n">
        <v>9</v>
      </c>
      <c r="H773" s="5" t="s">
        <v>63</v>
      </c>
      <c r="I773" s="5" t="s">
        <v>64</v>
      </c>
      <c r="J773" s="5" t="s">
        <v>65</v>
      </c>
      <c r="K773" s="5" t="s">
        <v>66</v>
      </c>
      <c r="L773" s="2" t="s">
        <v>2079</v>
      </c>
      <c r="M773" s="2" t="s">
        <v>4805</v>
      </c>
      <c r="N773" s="2" t="s">
        <v>2721</v>
      </c>
      <c r="O773" s="2" t="s">
        <v>4932</v>
      </c>
      <c r="P773" s="2"/>
      <c r="Q773" s="5" t="n">
        <v>1</v>
      </c>
      <c r="R773" s="2" t="s">
        <v>4997</v>
      </c>
      <c r="S773" s="2" t="s">
        <v>5126</v>
      </c>
      <c r="T773" s="2" t="s">
        <v>2725</v>
      </c>
      <c r="U773" s="2" t="s">
        <v>74</v>
      </c>
      <c r="V773" s="5" t="n">
        <v>300</v>
      </c>
      <c r="W773" s="2"/>
      <c r="X773" s="2" t="s">
        <v>4934</v>
      </c>
      <c r="Y773" s="5"/>
      <c r="Z773" s="2" t="s">
        <v>5127</v>
      </c>
      <c r="AA773" s="6" t="s">
        <v>5128</v>
      </c>
    </row>
    <row r="774" customFormat="false" ht="68.65" hidden="false" customHeight="false" outlineLevel="0" collapsed="false">
      <c r="A774" s="5" t="s">
        <v>5129</v>
      </c>
      <c r="B774" s="2" t="s">
        <v>5130</v>
      </c>
      <c r="C774" s="5" t="s">
        <v>2128</v>
      </c>
      <c r="D774" s="5" t="s">
        <v>4760</v>
      </c>
      <c r="E774" s="2" t="s">
        <v>2079</v>
      </c>
      <c r="F774" s="5" t="s">
        <v>62</v>
      </c>
      <c r="G774" s="5" t="n">
        <v>9</v>
      </c>
      <c r="H774" s="5" t="s">
        <v>63</v>
      </c>
      <c r="I774" s="5" t="s">
        <v>64</v>
      </c>
      <c r="J774" s="5" t="s">
        <v>65</v>
      </c>
      <c r="K774" s="5" t="s">
        <v>66</v>
      </c>
      <c r="L774" s="2" t="s">
        <v>2079</v>
      </c>
      <c r="M774" s="2" t="s">
        <v>4805</v>
      </c>
      <c r="N774" s="2" t="s">
        <v>2731</v>
      </c>
      <c r="O774" s="2" t="s">
        <v>5131</v>
      </c>
      <c r="P774" s="2"/>
      <c r="Q774" s="5" t="n">
        <v>1</v>
      </c>
      <c r="R774" s="2" t="s">
        <v>4997</v>
      </c>
      <c r="S774" s="2" t="s">
        <v>5023</v>
      </c>
      <c r="T774" s="2" t="s">
        <v>2733</v>
      </c>
      <c r="U774" s="2" t="s">
        <v>74</v>
      </c>
      <c r="V774" s="5" t="n">
        <v>300</v>
      </c>
      <c r="W774" s="2"/>
      <c r="X774" s="2" t="s">
        <v>5132</v>
      </c>
      <c r="Y774" s="5"/>
      <c r="Z774" s="2" t="s">
        <v>5133</v>
      </c>
      <c r="AA774" s="6" t="s">
        <v>5134</v>
      </c>
    </row>
    <row r="775" customFormat="false" ht="23.85" hidden="false" customHeight="false" outlineLevel="0" collapsed="false">
      <c r="A775" s="5" t="s">
        <v>5135</v>
      </c>
      <c r="B775" s="2" t="s">
        <v>5136</v>
      </c>
      <c r="C775" s="5" t="s">
        <v>2128</v>
      </c>
      <c r="D775" s="5" t="s">
        <v>4760</v>
      </c>
      <c r="E775" s="2" t="s">
        <v>2079</v>
      </c>
      <c r="F775" s="5" t="s">
        <v>490</v>
      </c>
      <c r="G775" s="5" t="n">
        <v>9</v>
      </c>
      <c r="H775" s="5" t="s">
        <v>63</v>
      </c>
      <c r="I775" s="5" t="s">
        <v>64</v>
      </c>
      <c r="J775" s="5" t="s">
        <v>65</v>
      </c>
      <c r="K775" s="5" t="s">
        <v>66</v>
      </c>
      <c r="L775" s="2" t="s">
        <v>2079</v>
      </c>
      <c r="M775" s="2" t="s">
        <v>4805</v>
      </c>
      <c r="N775" s="2" t="s">
        <v>2721</v>
      </c>
      <c r="O775" s="2" t="s">
        <v>4932</v>
      </c>
      <c r="P775" s="2"/>
      <c r="Q775" s="5" t="n">
        <v>1</v>
      </c>
      <c r="R775" s="2" t="s">
        <v>5137</v>
      </c>
      <c r="S775" s="2" t="s">
        <v>5138</v>
      </c>
      <c r="T775" s="2" t="s">
        <v>2725</v>
      </c>
      <c r="U775" s="2" t="s">
        <v>74</v>
      </c>
      <c r="V775" s="5" t="n">
        <v>300</v>
      </c>
      <c r="W775" s="2"/>
      <c r="X775" s="2" t="s">
        <v>4934</v>
      </c>
      <c r="Y775" s="5"/>
      <c r="Z775" s="2" t="s">
        <v>5139</v>
      </c>
      <c r="AA775" s="6" t="s">
        <v>5140</v>
      </c>
    </row>
    <row r="776" customFormat="false" ht="68.65" hidden="false" customHeight="false" outlineLevel="0" collapsed="false">
      <c r="A776" s="5" t="s">
        <v>5141</v>
      </c>
      <c r="B776" s="2" t="s">
        <v>5142</v>
      </c>
      <c r="C776" s="5" t="s">
        <v>2128</v>
      </c>
      <c r="D776" s="5" t="s">
        <v>4760</v>
      </c>
      <c r="E776" s="2" t="s">
        <v>2079</v>
      </c>
      <c r="F776" s="5" t="s">
        <v>490</v>
      </c>
      <c r="G776" s="5" t="n">
        <v>9</v>
      </c>
      <c r="H776" s="5" t="s">
        <v>63</v>
      </c>
      <c r="I776" s="5" t="s">
        <v>64</v>
      </c>
      <c r="J776" s="5" t="s">
        <v>65</v>
      </c>
      <c r="K776" s="5" t="s">
        <v>66</v>
      </c>
      <c r="L776" s="2" t="s">
        <v>2079</v>
      </c>
      <c r="M776" s="2" t="s">
        <v>4805</v>
      </c>
      <c r="N776" s="2" t="s">
        <v>2731</v>
      </c>
      <c r="O776" s="2" t="s">
        <v>5143</v>
      </c>
      <c r="P776" s="2"/>
      <c r="Q776" s="5" t="n">
        <v>1</v>
      </c>
      <c r="R776" s="2" t="s">
        <v>5137</v>
      </c>
      <c r="S776" s="2" t="s">
        <v>5011</v>
      </c>
      <c r="T776" s="2" t="s">
        <v>2733</v>
      </c>
      <c r="U776" s="2" t="s">
        <v>74</v>
      </c>
      <c r="V776" s="5" t="n">
        <v>300</v>
      </c>
      <c r="W776" s="2"/>
      <c r="X776" s="2" t="s">
        <v>5144</v>
      </c>
      <c r="Y776" s="5"/>
      <c r="Z776" s="2" t="s">
        <v>5145</v>
      </c>
      <c r="AA776" s="6" t="s">
        <v>5146</v>
      </c>
    </row>
    <row r="777" customFormat="false" ht="23.85" hidden="false" customHeight="false" outlineLevel="0" collapsed="false">
      <c r="A777" s="5" t="s">
        <v>5147</v>
      </c>
      <c r="B777" s="2" t="s">
        <v>5148</v>
      </c>
      <c r="C777" s="5" t="s">
        <v>2128</v>
      </c>
      <c r="D777" s="5" t="s">
        <v>4760</v>
      </c>
      <c r="E777" s="2" t="s">
        <v>2079</v>
      </c>
      <c r="F777" s="5" t="s">
        <v>490</v>
      </c>
      <c r="G777" s="5" t="n">
        <v>9</v>
      </c>
      <c r="H777" s="5" t="s">
        <v>63</v>
      </c>
      <c r="I777" s="5" t="s">
        <v>64</v>
      </c>
      <c r="J777" s="5" t="s">
        <v>65</v>
      </c>
      <c r="K777" s="5" t="s">
        <v>66</v>
      </c>
      <c r="L777" s="2" t="s">
        <v>2079</v>
      </c>
      <c r="M777" s="2" t="s">
        <v>4805</v>
      </c>
      <c r="N777" s="2" t="s">
        <v>2721</v>
      </c>
      <c r="O777" s="2" t="s">
        <v>4932</v>
      </c>
      <c r="P777" s="2"/>
      <c r="Q777" s="5" t="n">
        <v>1</v>
      </c>
      <c r="R777" s="2" t="s">
        <v>4997</v>
      </c>
      <c r="S777" s="2" t="s">
        <v>5149</v>
      </c>
      <c r="T777" s="2" t="s">
        <v>2725</v>
      </c>
      <c r="U777" s="2" t="s">
        <v>74</v>
      </c>
      <c r="V777" s="5" t="n">
        <v>300</v>
      </c>
      <c r="W777" s="2"/>
      <c r="X777" s="2" t="s">
        <v>4934</v>
      </c>
      <c r="Y777" s="5"/>
      <c r="Z777" s="2" t="s">
        <v>5150</v>
      </c>
      <c r="AA777" s="6" t="s">
        <v>5151</v>
      </c>
    </row>
    <row r="778" customFormat="false" ht="68.65" hidden="false" customHeight="false" outlineLevel="0" collapsed="false">
      <c r="A778" s="5" t="s">
        <v>5152</v>
      </c>
      <c r="B778" s="2" t="s">
        <v>5153</v>
      </c>
      <c r="C778" s="5" t="s">
        <v>2128</v>
      </c>
      <c r="D778" s="5" t="s">
        <v>4760</v>
      </c>
      <c r="E778" s="2" t="s">
        <v>2079</v>
      </c>
      <c r="F778" s="5" t="s">
        <v>490</v>
      </c>
      <c r="G778" s="5" t="n">
        <v>9</v>
      </c>
      <c r="H778" s="5" t="s">
        <v>63</v>
      </c>
      <c r="I778" s="5" t="s">
        <v>64</v>
      </c>
      <c r="J778" s="5" t="s">
        <v>65</v>
      </c>
      <c r="K778" s="5" t="s">
        <v>66</v>
      </c>
      <c r="L778" s="2" t="s">
        <v>2079</v>
      </c>
      <c r="M778" s="2" t="s">
        <v>4805</v>
      </c>
      <c r="N778" s="2" t="s">
        <v>2731</v>
      </c>
      <c r="O778" s="2" t="s">
        <v>5154</v>
      </c>
      <c r="P778" s="2"/>
      <c r="Q778" s="5" t="n">
        <v>1</v>
      </c>
      <c r="R778" s="2" t="s">
        <v>4997</v>
      </c>
      <c r="S778" s="2" t="s">
        <v>5011</v>
      </c>
      <c r="T778" s="2" t="s">
        <v>2733</v>
      </c>
      <c r="U778" s="2" t="s">
        <v>74</v>
      </c>
      <c r="V778" s="5" t="n">
        <v>300</v>
      </c>
      <c r="W778" s="2"/>
      <c r="X778" s="2" t="s">
        <v>5155</v>
      </c>
      <c r="Y778" s="5"/>
      <c r="Z778" s="2" t="s">
        <v>5156</v>
      </c>
      <c r="AA778" s="6" t="s">
        <v>5157</v>
      </c>
    </row>
    <row r="779" customFormat="false" ht="91" hidden="false" customHeight="false" outlineLevel="0" collapsed="false">
      <c r="A779" s="5" t="s">
        <v>5158</v>
      </c>
      <c r="B779" s="2" t="s">
        <v>5159</v>
      </c>
      <c r="C779" s="5" t="s">
        <v>2128</v>
      </c>
      <c r="D779" s="5" t="s">
        <v>4760</v>
      </c>
      <c r="E779" s="2" t="s">
        <v>2079</v>
      </c>
      <c r="F779" s="5" t="s">
        <v>62</v>
      </c>
      <c r="G779" s="5" t="n">
        <v>9</v>
      </c>
      <c r="H779" s="5" t="s">
        <v>63</v>
      </c>
      <c r="I779" s="5" t="s">
        <v>64</v>
      </c>
      <c r="J779" s="5" t="s">
        <v>65</v>
      </c>
      <c r="K779" s="5" t="s">
        <v>66</v>
      </c>
      <c r="L779" s="2" t="s">
        <v>2079</v>
      </c>
      <c r="M779" s="2" t="s">
        <v>4805</v>
      </c>
      <c r="N779" s="2" t="s">
        <v>2721</v>
      </c>
      <c r="O779" s="2" t="s">
        <v>5041</v>
      </c>
      <c r="P779" s="2"/>
      <c r="Q779" s="5" t="n">
        <v>1</v>
      </c>
      <c r="R779" s="2" t="s">
        <v>4997</v>
      </c>
      <c r="S779" s="2" t="s">
        <v>5160</v>
      </c>
      <c r="T779" s="2" t="s">
        <v>2725</v>
      </c>
      <c r="U779" s="2" t="s">
        <v>74</v>
      </c>
      <c r="V779" s="5" t="n">
        <v>300</v>
      </c>
      <c r="W779" s="2"/>
      <c r="X779" s="2" t="s">
        <v>5043</v>
      </c>
      <c r="Y779" s="5"/>
      <c r="Z779" s="2" t="s">
        <v>5161</v>
      </c>
      <c r="AA779" s="6" t="s">
        <v>5162</v>
      </c>
    </row>
    <row r="780" customFormat="false" ht="135.8" hidden="false" customHeight="false" outlineLevel="0" collapsed="false">
      <c r="A780" s="5" t="s">
        <v>5163</v>
      </c>
      <c r="B780" s="2" t="s">
        <v>5164</v>
      </c>
      <c r="C780" s="5" t="s">
        <v>2128</v>
      </c>
      <c r="D780" s="5" t="s">
        <v>4760</v>
      </c>
      <c r="E780" s="2" t="s">
        <v>2079</v>
      </c>
      <c r="F780" s="5" t="s">
        <v>62</v>
      </c>
      <c r="G780" s="5" t="n">
        <v>9</v>
      </c>
      <c r="H780" s="5" t="s">
        <v>63</v>
      </c>
      <c r="I780" s="5" t="s">
        <v>64</v>
      </c>
      <c r="J780" s="5" t="s">
        <v>65</v>
      </c>
      <c r="K780" s="5" t="s">
        <v>66</v>
      </c>
      <c r="L780" s="2" t="s">
        <v>2079</v>
      </c>
      <c r="M780" s="2" t="s">
        <v>4805</v>
      </c>
      <c r="N780" s="2" t="s">
        <v>2731</v>
      </c>
      <c r="O780" s="2" t="s">
        <v>5165</v>
      </c>
      <c r="P780" s="2"/>
      <c r="Q780" s="5" t="n">
        <v>1</v>
      </c>
      <c r="R780" s="2" t="s">
        <v>4997</v>
      </c>
      <c r="S780" s="2" t="s">
        <v>5166</v>
      </c>
      <c r="T780" s="2" t="s">
        <v>2733</v>
      </c>
      <c r="U780" s="2" t="s">
        <v>74</v>
      </c>
      <c r="V780" s="5" t="n">
        <v>300</v>
      </c>
      <c r="W780" s="2"/>
      <c r="X780" s="2" t="s">
        <v>5167</v>
      </c>
      <c r="Y780" s="5"/>
      <c r="Z780" s="2" t="s">
        <v>5168</v>
      </c>
      <c r="AA780" s="6" t="s">
        <v>5169</v>
      </c>
    </row>
    <row r="781" customFormat="false" ht="68.65" hidden="false" customHeight="false" outlineLevel="0" collapsed="false">
      <c r="A781" s="5" t="s">
        <v>5170</v>
      </c>
      <c r="B781" s="2" t="s">
        <v>5171</v>
      </c>
      <c r="C781" s="5" t="s">
        <v>2128</v>
      </c>
      <c r="D781" s="5" t="s">
        <v>4760</v>
      </c>
      <c r="E781" s="2" t="s">
        <v>2079</v>
      </c>
      <c r="F781" s="5" t="s">
        <v>490</v>
      </c>
      <c r="G781" s="5" t="n">
        <v>9</v>
      </c>
      <c r="H781" s="5" t="s">
        <v>63</v>
      </c>
      <c r="I781" s="5" t="s">
        <v>64</v>
      </c>
      <c r="J781" s="5" t="s">
        <v>65</v>
      </c>
      <c r="K781" s="5" t="s">
        <v>66</v>
      </c>
      <c r="L781" s="2" t="s">
        <v>2079</v>
      </c>
      <c r="M781" s="2" t="s">
        <v>4805</v>
      </c>
      <c r="N781" s="2" t="s">
        <v>2731</v>
      </c>
      <c r="O781" s="2" t="s">
        <v>5172</v>
      </c>
      <c r="P781" s="2"/>
      <c r="Q781" s="5" t="n">
        <v>1</v>
      </c>
      <c r="R781" s="2" t="s">
        <v>4997</v>
      </c>
      <c r="S781" s="2" t="s">
        <v>5011</v>
      </c>
      <c r="T781" s="2" t="s">
        <v>2733</v>
      </c>
      <c r="U781" s="2" t="s">
        <v>74</v>
      </c>
      <c r="V781" s="5" t="n">
        <v>300</v>
      </c>
      <c r="W781" s="2"/>
      <c r="X781" s="2" t="s">
        <v>5173</v>
      </c>
      <c r="Y781" s="5"/>
      <c r="Z781" s="2" t="s">
        <v>5174</v>
      </c>
      <c r="AA781" s="6" t="s">
        <v>5175</v>
      </c>
    </row>
    <row r="782" customFormat="false" ht="35.05" hidden="false" customHeight="false" outlineLevel="0" collapsed="false">
      <c r="A782" s="5" t="s">
        <v>5176</v>
      </c>
      <c r="B782" s="2" t="s">
        <v>5177</v>
      </c>
      <c r="C782" s="5" t="s">
        <v>2128</v>
      </c>
      <c r="D782" s="5" t="s">
        <v>4760</v>
      </c>
      <c r="E782" s="2" t="s">
        <v>2079</v>
      </c>
      <c r="F782" s="5" t="s">
        <v>490</v>
      </c>
      <c r="G782" s="5" t="n">
        <v>9</v>
      </c>
      <c r="H782" s="5" t="s">
        <v>63</v>
      </c>
      <c r="I782" s="5" t="s">
        <v>64</v>
      </c>
      <c r="J782" s="5" t="s">
        <v>65</v>
      </c>
      <c r="K782" s="5" t="s">
        <v>66</v>
      </c>
      <c r="L782" s="2" t="s">
        <v>2079</v>
      </c>
      <c r="M782" s="2" t="s">
        <v>4805</v>
      </c>
      <c r="N782" s="2" t="s">
        <v>2721</v>
      </c>
      <c r="O782" s="2" t="s">
        <v>4932</v>
      </c>
      <c r="P782" s="2"/>
      <c r="Q782" s="5" t="n">
        <v>1</v>
      </c>
      <c r="R782" s="2" t="s">
        <v>4997</v>
      </c>
      <c r="S782" s="2" t="s">
        <v>5178</v>
      </c>
      <c r="T782" s="2" t="s">
        <v>2725</v>
      </c>
      <c r="U782" s="2" t="s">
        <v>74</v>
      </c>
      <c r="V782" s="5" t="n">
        <v>300</v>
      </c>
      <c r="W782" s="2"/>
      <c r="X782" s="2" t="s">
        <v>4934</v>
      </c>
      <c r="Y782" s="5"/>
      <c r="Z782" s="2" t="s">
        <v>5179</v>
      </c>
      <c r="AA782" s="6" t="s">
        <v>5180</v>
      </c>
    </row>
    <row r="783" customFormat="false" ht="46.25" hidden="false" customHeight="false" outlineLevel="0" collapsed="false">
      <c r="A783" s="5" t="s">
        <v>5181</v>
      </c>
      <c r="B783" s="2" t="s">
        <v>5182</v>
      </c>
      <c r="C783" s="5" t="s">
        <v>2128</v>
      </c>
      <c r="D783" s="5" t="s">
        <v>4760</v>
      </c>
      <c r="E783" s="2" t="s">
        <v>2079</v>
      </c>
      <c r="F783" s="5" t="s">
        <v>62</v>
      </c>
      <c r="G783" s="5" t="n">
        <v>9</v>
      </c>
      <c r="H783" s="5" t="s">
        <v>63</v>
      </c>
      <c r="I783" s="5" t="s">
        <v>64</v>
      </c>
      <c r="J783" s="5" t="s">
        <v>65</v>
      </c>
      <c r="K783" s="5" t="s">
        <v>66</v>
      </c>
      <c r="L783" s="2" t="s">
        <v>2079</v>
      </c>
      <c r="M783" s="2" t="s">
        <v>4805</v>
      </c>
      <c r="N783" s="2" t="s">
        <v>2721</v>
      </c>
      <c r="O783" s="2" t="s">
        <v>2722</v>
      </c>
      <c r="P783" s="2"/>
      <c r="Q783" s="5" t="n">
        <v>1</v>
      </c>
      <c r="R783" s="2" t="s">
        <v>4997</v>
      </c>
      <c r="S783" s="2" t="s">
        <v>5183</v>
      </c>
      <c r="T783" s="2" t="s">
        <v>2725</v>
      </c>
      <c r="U783" s="2" t="s">
        <v>74</v>
      </c>
      <c r="V783" s="5" t="n">
        <v>300</v>
      </c>
      <c r="W783" s="2"/>
      <c r="X783" s="2" t="s">
        <v>2726</v>
      </c>
      <c r="Y783" s="5"/>
      <c r="Z783" s="2" t="s">
        <v>5184</v>
      </c>
      <c r="AA783" s="6" t="s">
        <v>5185</v>
      </c>
    </row>
    <row r="784" customFormat="false" ht="91" hidden="false" customHeight="false" outlineLevel="0" collapsed="false">
      <c r="A784" s="5" t="s">
        <v>5186</v>
      </c>
      <c r="B784" s="2" t="s">
        <v>5187</v>
      </c>
      <c r="C784" s="5" t="s">
        <v>2128</v>
      </c>
      <c r="D784" s="5" t="s">
        <v>4760</v>
      </c>
      <c r="E784" s="2" t="s">
        <v>2079</v>
      </c>
      <c r="F784" s="5" t="s">
        <v>62</v>
      </c>
      <c r="G784" s="5" t="n">
        <v>9</v>
      </c>
      <c r="H784" s="5" t="s">
        <v>63</v>
      </c>
      <c r="I784" s="5" t="s">
        <v>64</v>
      </c>
      <c r="J784" s="5" t="s">
        <v>65</v>
      </c>
      <c r="K784" s="5" t="s">
        <v>66</v>
      </c>
      <c r="L784" s="2" t="s">
        <v>2079</v>
      </c>
      <c r="M784" s="2" t="s">
        <v>4805</v>
      </c>
      <c r="N784" s="2" t="s">
        <v>2731</v>
      </c>
      <c r="O784" s="2" t="s">
        <v>5188</v>
      </c>
      <c r="P784" s="2"/>
      <c r="Q784" s="5" t="n">
        <v>1</v>
      </c>
      <c r="R784" s="2" t="s">
        <v>4997</v>
      </c>
      <c r="S784" s="2" t="s">
        <v>5189</v>
      </c>
      <c r="T784" s="2" t="s">
        <v>2733</v>
      </c>
      <c r="U784" s="2" t="s">
        <v>74</v>
      </c>
      <c r="V784" s="5" t="n">
        <v>300</v>
      </c>
      <c r="W784" s="2"/>
      <c r="X784" s="2" t="s">
        <v>5190</v>
      </c>
      <c r="Y784" s="5"/>
      <c r="Z784" s="2" t="s">
        <v>5191</v>
      </c>
      <c r="AA784" s="6" t="s">
        <v>5192</v>
      </c>
    </row>
    <row r="785" customFormat="false" ht="68.65" hidden="false" customHeight="false" outlineLevel="0" collapsed="false">
      <c r="A785" s="5" t="s">
        <v>5193</v>
      </c>
      <c r="B785" s="2" t="s">
        <v>5194</v>
      </c>
      <c r="C785" s="5" t="s">
        <v>2128</v>
      </c>
      <c r="D785" s="5" t="s">
        <v>4760</v>
      </c>
      <c r="E785" s="2" t="s">
        <v>2079</v>
      </c>
      <c r="F785" s="5" t="s">
        <v>62</v>
      </c>
      <c r="G785" s="5" t="n">
        <v>9</v>
      </c>
      <c r="H785" s="5" t="s">
        <v>63</v>
      </c>
      <c r="I785" s="5" t="s">
        <v>64</v>
      </c>
      <c r="J785" s="5" t="s">
        <v>65</v>
      </c>
      <c r="K785" s="5" t="s">
        <v>66</v>
      </c>
      <c r="L785" s="2" t="s">
        <v>2079</v>
      </c>
      <c r="M785" s="2" t="s">
        <v>4805</v>
      </c>
      <c r="N785" s="2" t="s">
        <v>2731</v>
      </c>
      <c r="O785" s="2" t="s">
        <v>5195</v>
      </c>
      <c r="P785" s="2"/>
      <c r="Q785" s="5" t="n">
        <v>1</v>
      </c>
      <c r="R785" s="2" t="s">
        <v>4997</v>
      </c>
      <c r="S785" s="2" t="s">
        <v>5023</v>
      </c>
      <c r="T785" s="2" t="s">
        <v>2733</v>
      </c>
      <c r="U785" s="2" t="s">
        <v>74</v>
      </c>
      <c r="V785" s="5" t="n">
        <v>300</v>
      </c>
      <c r="W785" s="2"/>
      <c r="X785" s="2" t="s">
        <v>5196</v>
      </c>
      <c r="Y785" s="5"/>
      <c r="Z785" s="2" t="s">
        <v>5197</v>
      </c>
      <c r="AA785" s="6" t="s">
        <v>5198</v>
      </c>
    </row>
    <row r="786" customFormat="false" ht="35.05" hidden="false" customHeight="false" outlineLevel="0" collapsed="false">
      <c r="A786" s="5" t="s">
        <v>5199</v>
      </c>
      <c r="B786" s="2" t="s">
        <v>5200</v>
      </c>
      <c r="C786" s="5" t="s">
        <v>2128</v>
      </c>
      <c r="D786" s="5" t="s">
        <v>4760</v>
      </c>
      <c r="E786" s="2" t="s">
        <v>2079</v>
      </c>
      <c r="F786" s="5" t="s">
        <v>62</v>
      </c>
      <c r="G786" s="5" t="n">
        <v>9</v>
      </c>
      <c r="H786" s="5" t="s">
        <v>63</v>
      </c>
      <c r="I786" s="5" t="s">
        <v>64</v>
      </c>
      <c r="J786" s="5" t="s">
        <v>65</v>
      </c>
      <c r="K786" s="5" t="s">
        <v>66</v>
      </c>
      <c r="L786" s="2" t="s">
        <v>2079</v>
      </c>
      <c r="M786" s="2" t="s">
        <v>4805</v>
      </c>
      <c r="N786" s="2" t="s">
        <v>2721</v>
      </c>
      <c r="O786" s="2" t="s">
        <v>4932</v>
      </c>
      <c r="P786" s="2"/>
      <c r="Q786" s="5" t="n">
        <v>1</v>
      </c>
      <c r="R786" s="2" t="s">
        <v>4997</v>
      </c>
      <c r="S786" s="2" t="s">
        <v>5201</v>
      </c>
      <c r="T786" s="2" t="s">
        <v>2725</v>
      </c>
      <c r="U786" s="2" t="s">
        <v>74</v>
      </c>
      <c r="V786" s="5" t="n">
        <v>300</v>
      </c>
      <c r="W786" s="2"/>
      <c r="X786" s="2" t="s">
        <v>4934</v>
      </c>
      <c r="Y786" s="5"/>
      <c r="Z786" s="2" t="s">
        <v>5202</v>
      </c>
      <c r="AA786" s="6" t="s">
        <v>5203</v>
      </c>
    </row>
    <row r="787" customFormat="false" ht="68.65" hidden="false" customHeight="false" outlineLevel="0" collapsed="false">
      <c r="A787" s="5" t="s">
        <v>5204</v>
      </c>
      <c r="B787" s="2" t="s">
        <v>5205</v>
      </c>
      <c r="C787" s="5" t="s">
        <v>2128</v>
      </c>
      <c r="D787" s="5" t="s">
        <v>4760</v>
      </c>
      <c r="E787" s="2" t="s">
        <v>2079</v>
      </c>
      <c r="F787" s="5" t="s">
        <v>62</v>
      </c>
      <c r="G787" s="5" t="n">
        <v>9</v>
      </c>
      <c r="H787" s="5" t="s">
        <v>63</v>
      </c>
      <c r="I787" s="5" t="s">
        <v>64</v>
      </c>
      <c r="J787" s="5" t="s">
        <v>65</v>
      </c>
      <c r="K787" s="5" t="s">
        <v>66</v>
      </c>
      <c r="L787" s="2" t="s">
        <v>2079</v>
      </c>
      <c r="M787" s="2" t="s">
        <v>4805</v>
      </c>
      <c r="N787" s="2" t="s">
        <v>2731</v>
      </c>
      <c r="O787" s="2" t="s">
        <v>5206</v>
      </c>
      <c r="P787" s="2"/>
      <c r="Q787" s="5" t="n">
        <v>1</v>
      </c>
      <c r="R787" s="2" t="s">
        <v>4997</v>
      </c>
      <c r="S787" s="2" t="s">
        <v>5023</v>
      </c>
      <c r="T787" s="2" t="s">
        <v>5207</v>
      </c>
      <c r="U787" s="2" t="s">
        <v>74</v>
      </c>
      <c r="V787" s="5" t="n">
        <v>300</v>
      </c>
      <c r="W787" s="2"/>
      <c r="X787" s="2" t="s">
        <v>5208</v>
      </c>
      <c r="Y787" s="5"/>
      <c r="Z787" s="2" t="s">
        <v>5209</v>
      </c>
      <c r="AA787" s="6" t="s">
        <v>5210</v>
      </c>
    </row>
    <row r="788" customFormat="false" ht="68.65" hidden="false" customHeight="false" outlineLevel="0" collapsed="false">
      <c r="A788" s="5" t="s">
        <v>5211</v>
      </c>
      <c r="B788" s="2" t="s">
        <v>5212</v>
      </c>
      <c r="C788" s="5" t="s">
        <v>2128</v>
      </c>
      <c r="D788" s="5" t="s">
        <v>4760</v>
      </c>
      <c r="E788" s="2" t="s">
        <v>2079</v>
      </c>
      <c r="F788" s="5" t="s">
        <v>62</v>
      </c>
      <c r="G788" s="5" t="n">
        <v>9</v>
      </c>
      <c r="H788" s="5" t="s">
        <v>63</v>
      </c>
      <c r="I788" s="5" t="s">
        <v>64</v>
      </c>
      <c r="J788" s="5" t="s">
        <v>65</v>
      </c>
      <c r="K788" s="5" t="s">
        <v>66</v>
      </c>
      <c r="L788" s="2" t="s">
        <v>2079</v>
      </c>
      <c r="M788" s="2" t="s">
        <v>5213</v>
      </c>
      <c r="N788" s="2" t="s">
        <v>2731</v>
      </c>
      <c r="O788" s="2" t="s">
        <v>5214</v>
      </c>
      <c r="P788" s="2"/>
      <c r="Q788" s="5" t="n">
        <v>1</v>
      </c>
      <c r="R788" s="2" t="s">
        <v>4997</v>
      </c>
      <c r="S788" s="2" t="s">
        <v>5023</v>
      </c>
      <c r="T788" s="2" t="s">
        <v>2733</v>
      </c>
      <c r="U788" s="2" t="s">
        <v>74</v>
      </c>
      <c r="V788" s="5" t="n">
        <v>300</v>
      </c>
      <c r="W788" s="2"/>
      <c r="X788" s="2" t="s">
        <v>5215</v>
      </c>
      <c r="Y788" s="5"/>
      <c r="Z788" s="2" t="s">
        <v>5216</v>
      </c>
      <c r="AA788" s="6" t="s">
        <v>5217</v>
      </c>
    </row>
    <row r="789" customFormat="false" ht="68.65" hidden="false" customHeight="false" outlineLevel="0" collapsed="false">
      <c r="A789" s="5" t="s">
        <v>5218</v>
      </c>
      <c r="B789" s="2" t="s">
        <v>5219</v>
      </c>
      <c r="C789" s="5" t="s">
        <v>2128</v>
      </c>
      <c r="D789" s="5" t="s">
        <v>4760</v>
      </c>
      <c r="E789" s="2" t="s">
        <v>2079</v>
      </c>
      <c r="F789" s="5" t="s">
        <v>62</v>
      </c>
      <c r="G789" s="5" t="n">
        <v>9</v>
      </c>
      <c r="H789" s="5" t="s">
        <v>63</v>
      </c>
      <c r="I789" s="5" t="s">
        <v>64</v>
      </c>
      <c r="J789" s="5" t="s">
        <v>65</v>
      </c>
      <c r="K789" s="5" t="s">
        <v>66</v>
      </c>
      <c r="L789" s="2" t="s">
        <v>2079</v>
      </c>
      <c r="M789" s="2" t="s">
        <v>4805</v>
      </c>
      <c r="N789" s="2" t="s">
        <v>2731</v>
      </c>
      <c r="O789" s="2" t="s">
        <v>5220</v>
      </c>
      <c r="P789" s="2"/>
      <c r="Q789" s="5" t="n">
        <v>1</v>
      </c>
      <c r="R789" s="2" t="s">
        <v>4997</v>
      </c>
      <c r="S789" s="2" t="s">
        <v>5023</v>
      </c>
      <c r="T789" s="2" t="s">
        <v>2733</v>
      </c>
      <c r="U789" s="2" t="s">
        <v>74</v>
      </c>
      <c r="V789" s="5" t="n">
        <v>300</v>
      </c>
      <c r="W789" s="2"/>
      <c r="X789" s="2" t="s">
        <v>5221</v>
      </c>
      <c r="Y789" s="5"/>
      <c r="Z789" s="2" t="s">
        <v>5222</v>
      </c>
      <c r="AA789" s="6" t="s">
        <v>5223</v>
      </c>
    </row>
    <row r="790" customFormat="false" ht="68.65" hidden="false" customHeight="false" outlineLevel="0" collapsed="false">
      <c r="A790" s="5" t="s">
        <v>5224</v>
      </c>
      <c r="B790" s="2" t="s">
        <v>5225</v>
      </c>
      <c r="C790" s="5" t="s">
        <v>2128</v>
      </c>
      <c r="D790" s="5" t="s">
        <v>4760</v>
      </c>
      <c r="E790" s="2" t="s">
        <v>2079</v>
      </c>
      <c r="F790" s="5" t="s">
        <v>62</v>
      </c>
      <c r="G790" s="5" t="n">
        <v>9</v>
      </c>
      <c r="H790" s="5" t="s">
        <v>63</v>
      </c>
      <c r="I790" s="5" t="s">
        <v>64</v>
      </c>
      <c r="J790" s="5" t="s">
        <v>65</v>
      </c>
      <c r="K790" s="5" t="s">
        <v>66</v>
      </c>
      <c r="L790" s="2" t="s">
        <v>2079</v>
      </c>
      <c r="M790" s="2" t="s">
        <v>4805</v>
      </c>
      <c r="N790" s="2" t="s">
        <v>2731</v>
      </c>
      <c r="O790" s="2" t="s">
        <v>5226</v>
      </c>
      <c r="P790" s="2"/>
      <c r="Q790" s="5" t="n">
        <v>1</v>
      </c>
      <c r="R790" s="2" t="s">
        <v>4997</v>
      </c>
      <c r="S790" s="2" t="s">
        <v>5023</v>
      </c>
      <c r="T790" s="2" t="s">
        <v>2733</v>
      </c>
      <c r="U790" s="2" t="s">
        <v>74</v>
      </c>
      <c r="V790" s="5" t="n">
        <v>300</v>
      </c>
      <c r="W790" s="2"/>
      <c r="X790" s="2" t="s">
        <v>5227</v>
      </c>
      <c r="Y790" s="5"/>
      <c r="Z790" s="2" t="s">
        <v>5228</v>
      </c>
      <c r="AA790" s="6" t="s">
        <v>5229</v>
      </c>
    </row>
    <row r="791" customFormat="false" ht="68.65" hidden="false" customHeight="false" outlineLevel="0" collapsed="false">
      <c r="A791" s="5" t="s">
        <v>5230</v>
      </c>
      <c r="B791" s="2" t="s">
        <v>5231</v>
      </c>
      <c r="C791" s="5" t="s">
        <v>2245</v>
      </c>
      <c r="D791" s="5" t="s">
        <v>4760</v>
      </c>
      <c r="E791" s="2" t="s">
        <v>2079</v>
      </c>
      <c r="F791" s="5" t="s">
        <v>62</v>
      </c>
      <c r="G791" s="5" t="n">
        <v>9</v>
      </c>
      <c r="H791" s="5" t="s">
        <v>63</v>
      </c>
      <c r="I791" s="5" t="s">
        <v>64</v>
      </c>
      <c r="J791" s="5" t="s">
        <v>65</v>
      </c>
      <c r="K791" s="5" t="s">
        <v>66</v>
      </c>
      <c r="L791" s="2" t="s">
        <v>2079</v>
      </c>
      <c r="M791" s="2" t="s">
        <v>4805</v>
      </c>
      <c r="N791" s="2" t="s">
        <v>2731</v>
      </c>
      <c r="O791" s="2" t="s">
        <v>5232</v>
      </c>
      <c r="P791" s="2"/>
      <c r="Q791" s="5" t="n">
        <v>1</v>
      </c>
      <c r="R791" s="2" t="s">
        <v>4997</v>
      </c>
      <c r="S791" s="2" t="s">
        <v>5023</v>
      </c>
      <c r="T791" s="2" t="s">
        <v>5207</v>
      </c>
      <c r="U791" s="2" t="s">
        <v>74</v>
      </c>
      <c r="V791" s="5" t="n">
        <v>300</v>
      </c>
      <c r="W791" s="2"/>
      <c r="X791" s="2" t="s">
        <v>5233</v>
      </c>
      <c r="Y791" s="5"/>
      <c r="Z791" s="2" t="s">
        <v>5234</v>
      </c>
      <c r="AA791" s="6" t="s">
        <v>5235</v>
      </c>
    </row>
    <row r="792" customFormat="false" ht="68.65" hidden="false" customHeight="false" outlineLevel="0" collapsed="false">
      <c r="A792" s="5" t="s">
        <v>5236</v>
      </c>
      <c r="B792" s="2" t="s">
        <v>5237</v>
      </c>
      <c r="C792" s="5" t="s">
        <v>2128</v>
      </c>
      <c r="D792" s="5" t="s">
        <v>4760</v>
      </c>
      <c r="E792" s="2" t="s">
        <v>2079</v>
      </c>
      <c r="F792" s="5" t="s">
        <v>62</v>
      </c>
      <c r="G792" s="5" t="n">
        <v>9</v>
      </c>
      <c r="H792" s="5" t="s">
        <v>63</v>
      </c>
      <c r="I792" s="5" t="s">
        <v>64</v>
      </c>
      <c r="J792" s="5" t="s">
        <v>65</v>
      </c>
      <c r="K792" s="5" t="s">
        <v>66</v>
      </c>
      <c r="L792" s="2" t="s">
        <v>2079</v>
      </c>
      <c r="M792" s="2" t="s">
        <v>4805</v>
      </c>
      <c r="N792" s="2" t="s">
        <v>2731</v>
      </c>
      <c r="O792" s="2" t="s">
        <v>5238</v>
      </c>
      <c r="P792" s="2"/>
      <c r="Q792" s="5" t="n">
        <v>1</v>
      </c>
      <c r="R792" s="2" t="s">
        <v>4997</v>
      </c>
      <c r="S792" s="2" t="s">
        <v>5023</v>
      </c>
      <c r="T792" s="2" t="s">
        <v>2733</v>
      </c>
      <c r="U792" s="2" t="s">
        <v>74</v>
      </c>
      <c r="V792" s="5" t="n">
        <v>300</v>
      </c>
      <c r="W792" s="2"/>
      <c r="X792" s="2" t="s">
        <v>5239</v>
      </c>
      <c r="Y792" s="5"/>
      <c r="Z792" s="2" t="s">
        <v>5240</v>
      </c>
      <c r="AA792" s="6" t="s">
        <v>5241</v>
      </c>
    </row>
    <row r="793" customFormat="false" ht="68.65" hidden="false" customHeight="false" outlineLevel="0" collapsed="false">
      <c r="A793" s="5" t="s">
        <v>5242</v>
      </c>
      <c r="B793" s="2" t="s">
        <v>5243</v>
      </c>
      <c r="C793" s="5" t="s">
        <v>2128</v>
      </c>
      <c r="D793" s="5" t="s">
        <v>4760</v>
      </c>
      <c r="E793" s="2" t="s">
        <v>2079</v>
      </c>
      <c r="F793" s="5" t="s">
        <v>62</v>
      </c>
      <c r="G793" s="5" t="n">
        <v>9</v>
      </c>
      <c r="H793" s="5" t="s">
        <v>63</v>
      </c>
      <c r="I793" s="5" t="s">
        <v>64</v>
      </c>
      <c r="J793" s="5" t="s">
        <v>65</v>
      </c>
      <c r="K793" s="5" t="s">
        <v>66</v>
      </c>
      <c r="L793" s="2" t="s">
        <v>2079</v>
      </c>
      <c r="M793" s="2" t="s">
        <v>4805</v>
      </c>
      <c r="N793" s="2" t="s">
        <v>2721</v>
      </c>
      <c r="O793" s="2" t="s">
        <v>5041</v>
      </c>
      <c r="P793" s="2"/>
      <c r="Q793" s="5" t="n">
        <v>1</v>
      </c>
      <c r="R793" s="2" t="s">
        <v>4997</v>
      </c>
      <c r="S793" s="2" t="s">
        <v>5244</v>
      </c>
      <c r="T793" s="2" t="s">
        <v>2725</v>
      </c>
      <c r="U793" s="2" t="s">
        <v>74</v>
      </c>
      <c r="V793" s="5" t="n">
        <v>300</v>
      </c>
      <c r="W793" s="2"/>
      <c r="X793" s="2" t="s">
        <v>5043</v>
      </c>
      <c r="Y793" s="5"/>
      <c r="Z793" s="2" t="s">
        <v>5245</v>
      </c>
      <c r="AA793" s="6" t="s">
        <v>5246</v>
      </c>
    </row>
    <row r="794" customFormat="false" ht="79.85" hidden="false" customHeight="false" outlineLevel="0" collapsed="false">
      <c r="A794" s="5" t="s">
        <v>5247</v>
      </c>
      <c r="B794" s="2" t="s">
        <v>5248</v>
      </c>
      <c r="C794" s="5" t="s">
        <v>2128</v>
      </c>
      <c r="D794" s="5" t="s">
        <v>4760</v>
      </c>
      <c r="E794" s="2" t="s">
        <v>2079</v>
      </c>
      <c r="F794" s="5" t="s">
        <v>62</v>
      </c>
      <c r="G794" s="5" t="n">
        <v>9</v>
      </c>
      <c r="H794" s="5" t="s">
        <v>63</v>
      </c>
      <c r="I794" s="5" t="s">
        <v>64</v>
      </c>
      <c r="J794" s="5" t="s">
        <v>65</v>
      </c>
      <c r="K794" s="5" t="s">
        <v>66</v>
      </c>
      <c r="L794" s="2" t="s">
        <v>2079</v>
      </c>
      <c r="M794" s="2" t="s">
        <v>4805</v>
      </c>
      <c r="N794" s="2" t="s">
        <v>2731</v>
      </c>
      <c r="O794" s="2" t="s">
        <v>5249</v>
      </c>
      <c r="P794" s="2"/>
      <c r="Q794" s="5" t="n">
        <v>1</v>
      </c>
      <c r="R794" s="2" t="s">
        <v>4997</v>
      </c>
      <c r="S794" s="2" t="s">
        <v>5250</v>
      </c>
      <c r="T794" s="2" t="s">
        <v>2733</v>
      </c>
      <c r="U794" s="2" t="s">
        <v>74</v>
      </c>
      <c r="V794" s="5" t="n">
        <v>300</v>
      </c>
      <c r="W794" s="2"/>
      <c r="X794" s="2" t="s">
        <v>5251</v>
      </c>
      <c r="Y794" s="5"/>
      <c r="Z794" s="2" t="s">
        <v>5252</v>
      </c>
      <c r="AA794" s="6" t="s">
        <v>5253</v>
      </c>
    </row>
    <row r="795" customFormat="false" ht="46.25" hidden="false" customHeight="false" outlineLevel="0" collapsed="false">
      <c r="A795" s="5" t="s">
        <v>5254</v>
      </c>
      <c r="B795" s="2" t="s">
        <v>5255</v>
      </c>
      <c r="C795" s="5" t="s">
        <v>2128</v>
      </c>
      <c r="D795" s="5" t="s">
        <v>4760</v>
      </c>
      <c r="E795" s="2" t="s">
        <v>2079</v>
      </c>
      <c r="F795" s="5" t="s">
        <v>62</v>
      </c>
      <c r="G795" s="5" t="n">
        <v>9</v>
      </c>
      <c r="H795" s="5" t="s">
        <v>63</v>
      </c>
      <c r="I795" s="5" t="s">
        <v>64</v>
      </c>
      <c r="J795" s="5" t="s">
        <v>65</v>
      </c>
      <c r="K795" s="5" t="s">
        <v>66</v>
      </c>
      <c r="L795" s="2" t="s">
        <v>2079</v>
      </c>
      <c r="M795" s="2" t="s">
        <v>4805</v>
      </c>
      <c r="N795" s="2" t="s">
        <v>2721</v>
      </c>
      <c r="O795" s="2" t="s">
        <v>2722</v>
      </c>
      <c r="P795" s="2"/>
      <c r="Q795" s="5" t="n">
        <v>1</v>
      </c>
      <c r="R795" s="2" t="s">
        <v>4997</v>
      </c>
      <c r="S795" s="2" t="s">
        <v>5256</v>
      </c>
      <c r="T795" s="2" t="s">
        <v>2725</v>
      </c>
      <c r="U795" s="2" t="s">
        <v>74</v>
      </c>
      <c r="V795" s="5" t="n">
        <v>300</v>
      </c>
      <c r="W795" s="2"/>
      <c r="X795" s="2" t="s">
        <v>2726</v>
      </c>
      <c r="Y795" s="5"/>
      <c r="Z795" s="2" t="s">
        <v>5257</v>
      </c>
      <c r="AA795" s="6" t="s">
        <v>5258</v>
      </c>
    </row>
    <row r="796" customFormat="false" ht="68.65" hidden="false" customHeight="false" outlineLevel="0" collapsed="false">
      <c r="A796" s="5" t="s">
        <v>5259</v>
      </c>
      <c r="B796" s="2" t="s">
        <v>5260</v>
      </c>
      <c r="C796" s="5" t="s">
        <v>2128</v>
      </c>
      <c r="D796" s="5" t="s">
        <v>4760</v>
      </c>
      <c r="E796" s="2" t="s">
        <v>2079</v>
      </c>
      <c r="F796" s="5" t="s">
        <v>62</v>
      </c>
      <c r="G796" s="5" t="n">
        <v>9</v>
      </c>
      <c r="H796" s="5" t="s">
        <v>63</v>
      </c>
      <c r="I796" s="5" t="s">
        <v>64</v>
      </c>
      <c r="J796" s="5" t="s">
        <v>65</v>
      </c>
      <c r="K796" s="5" t="s">
        <v>66</v>
      </c>
      <c r="L796" s="2" t="s">
        <v>2079</v>
      </c>
      <c r="M796" s="2" t="s">
        <v>4805</v>
      </c>
      <c r="N796" s="2" t="s">
        <v>2731</v>
      </c>
      <c r="O796" s="2" t="s">
        <v>5060</v>
      </c>
      <c r="P796" s="2"/>
      <c r="Q796" s="5" t="n">
        <v>1</v>
      </c>
      <c r="R796" s="2" t="s">
        <v>4997</v>
      </c>
      <c r="S796" s="2" t="s">
        <v>5261</v>
      </c>
      <c r="T796" s="2" t="s">
        <v>2733</v>
      </c>
      <c r="U796" s="2" t="s">
        <v>74</v>
      </c>
      <c r="V796" s="5" t="n">
        <v>300</v>
      </c>
      <c r="W796" s="2"/>
      <c r="X796" s="2" t="s">
        <v>5062</v>
      </c>
      <c r="Y796" s="5"/>
      <c r="Z796" s="2" t="s">
        <v>5262</v>
      </c>
      <c r="AA796" s="6" t="s">
        <v>5263</v>
      </c>
    </row>
    <row r="797" customFormat="false" ht="68.65" hidden="false" customHeight="false" outlineLevel="0" collapsed="false">
      <c r="A797" s="5" t="s">
        <v>5264</v>
      </c>
      <c r="B797" s="2" t="s">
        <v>5265</v>
      </c>
      <c r="C797" s="5" t="s">
        <v>2128</v>
      </c>
      <c r="D797" s="5" t="s">
        <v>4760</v>
      </c>
      <c r="E797" s="2" t="s">
        <v>2079</v>
      </c>
      <c r="F797" s="5" t="s">
        <v>62</v>
      </c>
      <c r="G797" s="5" t="n">
        <v>9</v>
      </c>
      <c r="H797" s="5" t="s">
        <v>63</v>
      </c>
      <c r="I797" s="5" t="s">
        <v>64</v>
      </c>
      <c r="J797" s="5" t="s">
        <v>65</v>
      </c>
      <c r="K797" s="5" t="s">
        <v>66</v>
      </c>
      <c r="L797" s="2" t="s">
        <v>2079</v>
      </c>
      <c r="M797" s="2" t="s">
        <v>4805</v>
      </c>
      <c r="N797" s="2" t="s">
        <v>2721</v>
      </c>
      <c r="O797" s="2" t="s">
        <v>5041</v>
      </c>
      <c r="P797" s="2"/>
      <c r="Q797" s="5" t="n">
        <v>1</v>
      </c>
      <c r="R797" s="2" t="s">
        <v>4997</v>
      </c>
      <c r="S797" s="2" t="s">
        <v>5266</v>
      </c>
      <c r="T797" s="2" t="s">
        <v>2725</v>
      </c>
      <c r="U797" s="2" t="s">
        <v>74</v>
      </c>
      <c r="V797" s="5" t="n">
        <v>300</v>
      </c>
      <c r="W797" s="2"/>
      <c r="X797" s="2" t="s">
        <v>5043</v>
      </c>
      <c r="Y797" s="5"/>
      <c r="Z797" s="2" t="s">
        <v>5267</v>
      </c>
      <c r="AA797" s="6" t="s">
        <v>5268</v>
      </c>
    </row>
    <row r="798" customFormat="false" ht="68.65" hidden="false" customHeight="false" outlineLevel="0" collapsed="false">
      <c r="A798" s="5" t="s">
        <v>5269</v>
      </c>
      <c r="B798" s="2" t="s">
        <v>5270</v>
      </c>
      <c r="C798" s="5" t="s">
        <v>2128</v>
      </c>
      <c r="D798" s="5" t="s">
        <v>4760</v>
      </c>
      <c r="E798" s="2" t="s">
        <v>2079</v>
      </c>
      <c r="F798" s="5" t="s">
        <v>62</v>
      </c>
      <c r="G798" s="5" t="n">
        <v>9</v>
      </c>
      <c r="H798" s="5" t="s">
        <v>63</v>
      </c>
      <c r="I798" s="5" t="s">
        <v>64</v>
      </c>
      <c r="J798" s="5" t="s">
        <v>65</v>
      </c>
      <c r="K798" s="5" t="s">
        <v>66</v>
      </c>
      <c r="L798" s="2" t="s">
        <v>2079</v>
      </c>
      <c r="M798" s="2" t="s">
        <v>4805</v>
      </c>
      <c r="N798" s="2" t="s">
        <v>2731</v>
      </c>
      <c r="O798" s="2" t="s">
        <v>5271</v>
      </c>
      <c r="P798" s="2"/>
      <c r="Q798" s="5" t="n">
        <v>1</v>
      </c>
      <c r="R798" s="2" t="s">
        <v>4997</v>
      </c>
      <c r="S798" s="2" t="s">
        <v>5272</v>
      </c>
      <c r="T798" s="2" t="s">
        <v>2733</v>
      </c>
      <c r="U798" s="2" t="s">
        <v>74</v>
      </c>
      <c r="V798" s="5" t="n">
        <v>300</v>
      </c>
      <c r="W798" s="2"/>
      <c r="X798" s="2" t="s">
        <v>5273</v>
      </c>
      <c r="Y798" s="5"/>
      <c r="Z798" s="2" t="s">
        <v>5274</v>
      </c>
      <c r="AA798" s="6" t="s">
        <v>5275</v>
      </c>
    </row>
    <row r="799" customFormat="false" ht="91" hidden="false" customHeight="false" outlineLevel="0" collapsed="false">
      <c r="A799" s="5" t="s">
        <v>5276</v>
      </c>
      <c r="B799" s="2" t="s">
        <v>5277</v>
      </c>
      <c r="C799" s="5" t="s">
        <v>2128</v>
      </c>
      <c r="D799" s="5" t="s">
        <v>4760</v>
      </c>
      <c r="E799" s="2" t="s">
        <v>2079</v>
      </c>
      <c r="F799" s="5" t="s">
        <v>62</v>
      </c>
      <c r="G799" s="5" t="n">
        <v>9</v>
      </c>
      <c r="H799" s="5" t="s">
        <v>63</v>
      </c>
      <c r="I799" s="5" t="s">
        <v>64</v>
      </c>
      <c r="J799" s="5" t="s">
        <v>65</v>
      </c>
      <c r="K799" s="5" t="s">
        <v>66</v>
      </c>
      <c r="L799" s="2" t="s">
        <v>2079</v>
      </c>
      <c r="M799" s="2" t="s">
        <v>4805</v>
      </c>
      <c r="N799" s="2" t="s">
        <v>2731</v>
      </c>
      <c r="O799" s="2" t="s">
        <v>5278</v>
      </c>
      <c r="P799" s="2"/>
      <c r="Q799" s="5" t="n">
        <v>1</v>
      </c>
      <c r="R799" s="2" t="s">
        <v>4997</v>
      </c>
      <c r="S799" s="2" t="s">
        <v>5023</v>
      </c>
      <c r="T799" s="2" t="s">
        <v>2733</v>
      </c>
      <c r="U799" s="2" t="s">
        <v>74</v>
      </c>
      <c r="V799" s="5" t="n">
        <v>300</v>
      </c>
      <c r="W799" s="2"/>
      <c r="X799" s="2" t="s">
        <v>5279</v>
      </c>
      <c r="Y799" s="5"/>
      <c r="Z799" s="2" t="s">
        <v>5280</v>
      </c>
      <c r="AA799" s="6" t="s">
        <v>5281</v>
      </c>
    </row>
    <row r="800" customFormat="false" ht="225.35" hidden="false" customHeight="false" outlineLevel="0" collapsed="false">
      <c r="A800" s="5" t="s">
        <v>5282</v>
      </c>
      <c r="B800" s="2" t="s">
        <v>5283</v>
      </c>
      <c r="C800" s="5" t="s">
        <v>2128</v>
      </c>
      <c r="D800" s="5" t="s">
        <v>4760</v>
      </c>
      <c r="E800" s="2" t="s">
        <v>2079</v>
      </c>
      <c r="F800" s="5" t="s">
        <v>62</v>
      </c>
      <c r="G800" s="5" t="n">
        <v>9</v>
      </c>
      <c r="H800" s="5" t="s">
        <v>63</v>
      </c>
      <c r="I800" s="5" t="s">
        <v>64</v>
      </c>
      <c r="J800" s="5" t="s">
        <v>65</v>
      </c>
      <c r="K800" s="5" t="s">
        <v>66</v>
      </c>
      <c r="L800" s="2" t="s">
        <v>2079</v>
      </c>
      <c r="M800" s="2" t="s">
        <v>4805</v>
      </c>
      <c r="N800" s="2" t="s">
        <v>2731</v>
      </c>
      <c r="O800" s="2" t="s">
        <v>5284</v>
      </c>
      <c r="P800" s="2"/>
      <c r="Q800" s="5" t="n">
        <v>1</v>
      </c>
      <c r="R800" s="2" t="s">
        <v>4997</v>
      </c>
      <c r="S800" s="2" t="s">
        <v>5285</v>
      </c>
      <c r="T800" s="2" t="s">
        <v>2733</v>
      </c>
      <c r="U800" s="2" t="s">
        <v>74</v>
      </c>
      <c r="V800" s="5" t="n">
        <v>300</v>
      </c>
      <c r="W800" s="2"/>
      <c r="X800" s="2" t="s">
        <v>5286</v>
      </c>
      <c r="Y800" s="5"/>
      <c r="Z800" s="2" t="s">
        <v>5287</v>
      </c>
      <c r="AA800" s="6" t="s">
        <v>5288</v>
      </c>
    </row>
    <row r="801" customFormat="false" ht="35.05" hidden="false" customHeight="false" outlineLevel="0" collapsed="false">
      <c r="A801" s="5" t="s">
        <v>5289</v>
      </c>
      <c r="B801" s="2" t="s">
        <v>5290</v>
      </c>
      <c r="C801" s="5" t="s">
        <v>2128</v>
      </c>
      <c r="D801" s="5" t="s">
        <v>4760</v>
      </c>
      <c r="E801" s="2" t="s">
        <v>2079</v>
      </c>
      <c r="F801" s="5" t="s">
        <v>490</v>
      </c>
      <c r="G801" s="5" t="n">
        <v>10</v>
      </c>
      <c r="H801" s="5" t="s">
        <v>63</v>
      </c>
      <c r="I801" s="5" t="s">
        <v>64</v>
      </c>
      <c r="J801" s="5" t="s">
        <v>65</v>
      </c>
      <c r="K801" s="5" t="s">
        <v>66</v>
      </c>
      <c r="L801" s="2" t="s">
        <v>2079</v>
      </c>
      <c r="M801" s="2" t="s">
        <v>4805</v>
      </c>
      <c r="N801" s="2" t="s">
        <v>2731</v>
      </c>
      <c r="O801" s="2" t="s">
        <v>5291</v>
      </c>
      <c r="P801" s="2"/>
      <c r="Q801" s="5" t="n">
        <v>1</v>
      </c>
      <c r="R801" s="2" t="s">
        <v>4997</v>
      </c>
      <c r="S801" s="2" t="s">
        <v>5292</v>
      </c>
      <c r="T801" s="2" t="s">
        <v>5293</v>
      </c>
      <c r="U801" s="2" t="s">
        <v>74</v>
      </c>
      <c r="V801" s="5" t="n">
        <v>300</v>
      </c>
      <c r="W801" s="2"/>
      <c r="X801" s="2" t="s">
        <v>5294</v>
      </c>
      <c r="Y801" s="5"/>
      <c r="Z801" s="2" t="s">
        <v>5295</v>
      </c>
      <c r="AA801" s="6" t="s">
        <v>5296</v>
      </c>
    </row>
    <row r="802" customFormat="false" ht="68.65" hidden="false" customHeight="false" outlineLevel="0" collapsed="false">
      <c r="A802" s="5" t="s">
        <v>5297</v>
      </c>
      <c r="B802" s="2" t="s">
        <v>5298</v>
      </c>
      <c r="C802" s="5" t="s">
        <v>2128</v>
      </c>
      <c r="D802" s="5" t="s">
        <v>4760</v>
      </c>
      <c r="E802" s="2" t="s">
        <v>2079</v>
      </c>
      <c r="F802" s="5" t="s">
        <v>62</v>
      </c>
      <c r="G802" s="5" t="n">
        <v>9</v>
      </c>
      <c r="H802" s="5" t="s">
        <v>63</v>
      </c>
      <c r="I802" s="5" t="s">
        <v>64</v>
      </c>
      <c r="J802" s="5" t="s">
        <v>65</v>
      </c>
      <c r="K802" s="5" t="s">
        <v>66</v>
      </c>
      <c r="L802" s="2" t="s">
        <v>2079</v>
      </c>
      <c r="M802" s="2" t="s">
        <v>4805</v>
      </c>
      <c r="N802" s="2" t="s">
        <v>4822</v>
      </c>
      <c r="O802" s="2" t="s">
        <v>5299</v>
      </c>
      <c r="P802" s="2"/>
      <c r="Q802" s="5" t="n">
        <v>1</v>
      </c>
      <c r="R802" s="2" t="s">
        <v>4997</v>
      </c>
      <c r="S802" s="2" t="s">
        <v>5011</v>
      </c>
      <c r="T802" s="2" t="s">
        <v>2733</v>
      </c>
      <c r="U802" s="2" t="s">
        <v>74</v>
      </c>
      <c r="V802" s="5" t="n">
        <v>300</v>
      </c>
      <c r="W802" s="2"/>
      <c r="X802" s="2" t="s">
        <v>5300</v>
      </c>
      <c r="Y802" s="5"/>
      <c r="Z802" s="2" t="s">
        <v>5301</v>
      </c>
      <c r="AA802" s="6" t="s">
        <v>5302</v>
      </c>
    </row>
    <row r="803" customFormat="false" ht="68.65" hidden="false" customHeight="false" outlineLevel="0" collapsed="false">
      <c r="A803" s="5" t="s">
        <v>5303</v>
      </c>
      <c r="B803" s="2" t="s">
        <v>5304</v>
      </c>
      <c r="C803" s="5" t="s">
        <v>2128</v>
      </c>
      <c r="D803" s="5" t="s">
        <v>4760</v>
      </c>
      <c r="E803" s="2" t="s">
        <v>2079</v>
      </c>
      <c r="F803" s="5" t="s">
        <v>62</v>
      </c>
      <c r="G803" s="5" t="n">
        <v>9</v>
      </c>
      <c r="H803" s="5" t="s">
        <v>63</v>
      </c>
      <c r="I803" s="5" t="s">
        <v>64</v>
      </c>
      <c r="J803" s="5" t="s">
        <v>65</v>
      </c>
      <c r="K803" s="5" t="s">
        <v>66</v>
      </c>
      <c r="L803" s="2" t="s">
        <v>2079</v>
      </c>
      <c r="M803" s="2" t="s">
        <v>4805</v>
      </c>
      <c r="N803" s="2" t="s">
        <v>5305</v>
      </c>
      <c r="O803" s="2" t="s">
        <v>5306</v>
      </c>
      <c r="P803" s="2"/>
      <c r="Q803" s="5" t="n">
        <v>1</v>
      </c>
      <c r="R803" s="2" t="s">
        <v>4997</v>
      </c>
      <c r="S803" s="2" t="s">
        <v>5307</v>
      </c>
      <c r="T803" s="2" t="s">
        <v>5308</v>
      </c>
      <c r="U803" s="2" t="s">
        <v>74</v>
      </c>
      <c r="V803" s="5" t="n">
        <v>300</v>
      </c>
      <c r="W803" s="2"/>
      <c r="X803" s="2" t="s">
        <v>5309</v>
      </c>
      <c r="Y803" s="5"/>
      <c r="Z803" s="2" t="s">
        <v>5310</v>
      </c>
      <c r="AA803" s="6" t="s">
        <v>5311</v>
      </c>
    </row>
    <row r="804" customFormat="false" ht="79.85" hidden="false" customHeight="false" outlineLevel="0" collapsed="false">
      <c r="A804" s="5" t="s">
        <v>5312</v>
      </c>
      <c r="B804" s="2" t="s">
        <v>5313</v>
      </c>
      <c r="C804" s="5" t="s">
        <v>2128</v>
      </c>
      <c r="D804" s="5" t="s">
        <v>4760</v>
      </c>
      <c r="E804" s="2" t="s">
        <v>2079</v>
      </c>
      <c r="F804" s="5" t="s">
        <v>62</v>
      </c>
      <c r="G804" s="5" t="n">
        <v>9</v>
      </c>
      <c r="H804" s="5" t="s">
        <v>63</v>
      </c>
      <c r="I804" s="5" t="s">
        <v>64</v>
      </c>
      <c r="J804" s="5" t="s">
        <v>65</v>
      </c>
      <c r="K804" s="5" t="s">
        <v>66</v>
      </c>
      <c r="L804" s="2" t="s">
        <v>2079</v>
      </c>
      <c r="M804" s="2" t="s">
        <v>4805</v>
      </c>
      <c r="N804" s="2" t="s">
        <v>5305</v>
      </c>
      <c r="O804" s="2" t="s">
        <v>5314</v>
      </c>
      <c r="P804" s="2"/>
      <c r="Q804" s="5" t="n">
        <v>1</v>
      </c>
      <c r="R804" s="2" t="s">
        <v>4997</v>
      </c>
      <c r="S804" s="2" t="s">
        <v>5315</v>
      </c>
      <c r="T804" s="2" t="s">
        <v>5316</v>
      </c>
      <c r="U804" s="2" t="s">
        <v>74</v>
      </c>
      <c r="V804" s="5" t="n">
        <v>300</v>
      </c>
      <c r="W804" s="2"/>
      <c r="X804" s="2" t="s">
        <v>5317</v>
      </c>
      <c r="Y804" s="5"/>
      <c r="Z804" s="2" t="s">
        <v>5318</v>
      </c>
      <c r="AA804" s="6" t="s">
        <v>5319</v>
      </c>
    </row>
    <row r="805" customFormat="false" ht="68.65" hidden="false" customHeight="false" outlineLevel="0" collapsed="false">
      <c r="A805" s="5" t="s">
        <v>5320</v>
      </c>
      <c r="B805" s="2" t="s">
        <v>5321</v>
      </c>
      <c r="C805" s="5" t="s">
        <v>2128</v>
      </c>
      <c r="D805" s="5" t="s">
        <v>4760</v>
      </c>
      <c r="E805" s="2" t="s">
        <v>2079</v>
      </c>
      <c r="F805" s="5" t="s">
        <v>62</v>
      </c>
      <c r="G805" s="5" t="n">
        <v>9</v>
      </c>
      <c r="H805" s="5" t="s">
        <v>63</v>
      </c>
      <c r="I805" s="5" t="s">
        <v>64</v>
      </c>
      <c r="J805" s="5" t="s">
        <v>65</v>
      </c>
      <c r="K805" s="5" t="s">
        <v>66</v>
      </c>
      <c r="L805" s="2" t="s">
        <v>2079</v>
      </c>
      <c r="M805" s="2" t="s">
        <v>4805</v>
      </c>
      <c r="N805" s="2" t="s">
        <v>2731</v>
      </c>
      <c r="O805" s="2" t="s">
        <v>5322</v>
      </c>
      <c r="P805" s="2"/>
      <c r="Q805" s="5" t="n">
        <v>1</v>
      </c>
      <c r="R805" s="2" t="s">
        <v>4997</v>
      </c>
      <c r="S805" s="2" t="s">
        <v>5011</v>
      </c>
      <c r="T805" s="2" t="s">
        <v>2733</v>
      </c>
      <c r="U805" s="2" t="s">
        <v>74</v>
      </c>
      <c r="V805" s="5" t="n">
        <v>300</v>
      </c>
      <c r="W805" s="2"/>
      <c r="X805" s="2" t="s">
        <v>5323</v>
      </c>
      <c r="Y805" s="5"/>
      <c r="Z805" s="2" t="s">
        <v>5324</v>
      </c>
      <c r="AA805" s="6" t="s">
        <v>5325</v>
      </c>
    </row>
    <row r="806" customFormat="false" ht="113.4" hidden="false" customHeight="false" outlineLevel="0" collapsed="false">
      <c r="A806" s="5" t="s">
        <v>5326</v>
      </c>
      <c r="B806" s="2" t="s">
        <v>5327</v>
      </c>
      <c r="C806" s="5" t="s">
        <v>2128</v>
      </c>
      <c r="D806" s="5" t="s">
        <v>4760</v>
      </c>
      <c r="E806" s="2" t="s">
        <v>2079</v>
      </c>
      <c r="F806" s="5" t="s">
        <v>62</v>
      </c>
      <c r="G806" s="5" t="n">
        <v>9</v>
      </c>
      <c r="H806" s="5" t="s">
        <v>63</v>
      </c>
      <c r="I806" s="5" t="s">
        <v>64</v>
      </c>
      <c r="J806" s="5" t="s">
        <v>65</v>
      </c>
      <c r="K806" s="5" t="s">
        <v>66</v>
      </c>
      <c r="L806" s="2" t="s">
        <v>2079</v>
      </c>
      <c r="M806" s="2" t="s">
        <v>4805</v>
      </c>
      <c r="N806" s="2" t="s">
        <v>5328</v>
      </c>
      <c r="O806" s="2" t="s">
        <v>5329</v>
      </c>
      <c r="P806" s="2"/>
      <c r="Q806" s="5" t="n">
        <v>1</v>
      </c>
      <c r="R806" s="2" t="s">
        <v>4997</v>
      </c>
      <c r="S806" s="2" t="s">
        <v>5330</v>
      </c>
      <c r="T806" s="2" t="s">
        <v>2733</v>
      </c>
      <c r="U806" s="2" t="s">
        <v>74</v>
      </c>
      <c r="V806" s="5" t="n">
        <v>300</v>
      </c>
      <c r="W806" s="2"/>
      <c r="X806" s="2" t="s">
        <v>5331</v>
      </c>
      <c r="Y806" s="5"/>
      <c r="Z806" s="2" t="s">
        <v>5301</v>
      </c>
      <c r="AA806" s="6" t="s">
        <v>5332</v>
      </c>
    </row>
    <row r="807" customFormat="false" ht="79.85" hidden="false" customHeight="false" outlineLevel="0" collapsed="false">
      <c r="A807" s="5" t="s">
        <v>5333</v>
      </c>
      <c r="B807" s="2" t="s">
        <v>5334</v>
      </c>
      <c r="C807" s="5" t="s">
        <v>2128</v>
      </c>
      <c r="D807" s="5" t="s">
        <v>4760</v>
      </c>
      <c r="E807" s="2" t="s">
        <v>2079</v>
      </c>
      <c r="F807" s="5" t="s">
        <v>490</v>
      </c>
      <c r="G807" s="5" t="n">
        <v>9</v>
      </c>
      <c r="H807" s="5" t="s">
        <v>63</v>
      </c>
      <c r="I807" s="5" t="s">
        <v>64</v>
      </c>
      <c r="J807" s="5" t="s">
        <v>65</v>
      </c>
      <c r="K807" s="5" t="s">
        <v>66</v>
      </c>
      <c r="L807" s="2" t="s">
        <v>2079</v>
      </c>
      <c r="M807" s="2" t="s">
        <v>4805</v>
      </c>
      <c r="N807" s="2" t="s">
        <v>5328</v>
      </c>
      <c r="O807" s="2" t="s">
        <v>5329</v>
      </c>
      <c r="P807" s="2"/>
      <c r="Q807" s="5" t="n">
        <v>1</v>
      </c>
      <c r="R807" s="2" t="s">
        <v>4997</v>
      </c>
      <c r="S807" s="2" t="s">
        <v>5335</v>
      </c>
      <c r="T807" s="2" t="s">
        <v>2733</v>
      </c>
      <c r="U807" s="2" t="s">
        <v>74</v>
      </c>
      <c r="V807" s="5" t="n">
        <v>300</v>
      </c>
      <c r="W807" s="2"/>
      <c r="X807" s="2" t="s">
        <v>5331</v>
      </c>
      <c r="Y807" s="5"/>
      <c r="Z807" s="2" t="s">
        <v>5336</v>
      </c>
      <c r="AA807" s="6" t="s">
        <v>5337</v>
      </c>
    </row>
    <row r="808" customFormat="false" ht="79.85" hidden="false" customHeight="false" outlineLevel="0" collapsed="false">
      <c r="A808" s="5" t="s">
        <v>5338</v>
      </c>
      <c r="B808" s="2" t="s">
        <v>5339</v>
      </c>
      <c r="C808" s="5" t="s">
        <v>2128</v>
      </c>
      <c r="D808" s="5" t="s">
        <v>4760</v>
      </c>
      <c r="E808" s="2" t="s">
        <v>2079</v>
      </c>
      <c r="F808" s="5" t="s">
        <v>490</v>
      </c>
      <c r="G808" s="5" t="n">
        <v>9</v>
      </c>
      <c r="H808" s="5" t="s">
        <v>63</v>
      </c>
      <c r="I808" s="5" t="s">
        <v>64</v>
      </c>
      <c r="J808" s="5" t="s">
        <v>65</v>
      </c>
      <c r="K808" s="5" t="s">
        <v>66</v>
      </c>
      <c r="L808" s="2" t="s">
        <v>2079</v>
      </c>
      <c r="M808" s="2" t="s">
        <v>4805</v>
      </c>
      <c r="N808" s="2" t="s">
        <v>5328</v>
      </c>
      <c r="O808" s="2" t="s">
        <v>5329</v>
      </c>
      <c r="P808" s="2"/>
      <c r="Q808" s="5" t="n">
        <v>1</v>
      </c>
      <c r="R808" s="2" t="s">
        <v>4997</v>
      </c>
      <c r="S808" s="2" t="s">
        <v>5340</v>
      </c>
      <c r="T808" s="2" t="s">
        <v>2733</v>
      </c>
      <c r="U808" s="2" t="s">
        <v>74</v>
      </c>
      <c r="V808" s="5" t="n">
        <v>300</v>
      </c>
      <c r="W808" s="2"/>
      <c r="X808" s="2" t="s">
        <v>5331</v>
      </c>
      <c r="Y808" s="5"/>
      <c r="Z808" s="2" t="s">
        <v>5341</v>
      </c>
      <c r="AA808" s="6" t="s">
        <v>5342</v>
      </c>
    </row>
    <row r="809" customFormat="false" ht="23.85" hidden="false" customHeight="false" outlineLevel="0" collapsed="false">
      <c r="A809" s="5" t="s">
        <v>5343</v>
      </c>
      <c r="B809" s="2" t="s">
        <v>5344</v>
      </c>
      <c r="C809" s="5" t="s">
        <v>2128</v>
      </c>
      <c r="D809" s="5" t="s">
        <v>4760</v>
      </c>
      <c r="E809" s="2" t="s">
        <v>2079</v>
      </c>
      <c r="F809" s="5" t="s">
        <v>62</v>
      </c>
      <c r="G809" s="5" t="n">
        <v>9</v>
      </c>
      <c r="H809" s="5" t="s">
        <v>63</v>
      </c>
      <c r="I809" s="5" t="s">
        <v>64</v>
      </c>
      <c r="J809" s="5" t="s">
        <v>65</v>
      </c>
      <c r="K809" s="5" t="s">
        <v>66</v>
      </c>
      <c r="L809" s="2" t="s">
        <v>2079</v>
      </c>
      <c r="M809" s="2" t="s">
        <v>4805</v>
      </c>
      <c r="N809" s="2" t="s">
        <v>2721</v>
      </c>
      <c r="O809" s="2" t="s">
        <v>4932</v>
      </c>
      <c r="P809" s="2"/>
      <c r="Q809" s="5" t="n">
        <v>1</v>
      </c>
      <c r="R809" s="2" t="s">
        <v>4997</v>
      </c>
      <c r="S809" s="2" t="s">
        <v>5345</v>
      </c>
      <c r="T809" s="2" t="s">
        <v>2725</v>
      </c>
      <c r="U809" s="2" t="s">
        <v>74</v>
      </c>
      <c r="V809" s="5" t="n">
        <v>300</v>
      </c>
      <c r="W809" s="2"/>
      <c r="X809" s="2" t="s">
        <v>4934</v>
      </c>
      <c r="Y809" s="5"/>
      <c r="Z809" s="2" t="s">
        <v>5346</v>
      </c>
      <c r="AA809" s="6" t="s">
        <v>5347</v>
      </c>
    </row>
    <row r="810" customFormat="false" ht="68.65" hidden="false" customHeight="false" outlineLevel="0" collapsed="false">
      <c r="A810" s="5" t="s">
        <v>5348</v>
      </c>
      <c r="B810" s="2" t="s">
        <v>5349</v>
      </c>
      <c r="C810" s="5" t="s">
        <v>2128</v>
      </c>
      <c r="D810" s="5" t="s">
        <v>4760</v>
      </c>
      <c r="E810" s="2" t="s">
        <v>2079</v>
      </c>
      <c r="F810" s="5" t="s">
        <v>62</v>
      </c>
      <c r="G810" s="5" t="n">
        <v>9</v>
      </c>
      <c r="H810" s="5" t="s">
        <v>63</v>
      </c>
      <c r="I810" s="5" t="s">
        <v>64</v>
      </c>
      <c r="J810" s="5" t="s">
        <v>65</v>
      </c>
      <c r="K810" s="5" t="s">
        <v>66</v>
      </c>
      <c r="L810" s="2" t="s">
        <v>2079</v>
      </c>
      <c r="M810" s="2" t="s">
        <v>4805</v>
      </c>
      <c r="N810" s="2" t="s">
        <v>2731</v>
      </c>
      <c r="O810" s="2" t="s">
        <v>5350</v>
      </c>
      <c r="P810" s="2"/>
      <c r="Q810" s="5" t="n">
        <v>1</v>
      </c>
      <c r="R810" s="2" t="s">
        <v>4997</v>
      </c>
      <c r="S810" s="2" t="s">
        <v>5023</v>
      </c>
      <c r="T810" s="2" t="s">
        <v>5207</v>
      </c>
      <c r="U810" s="2" t="s">
        <v>74</v>
      </c>
      <c r="V810" s="5" t="n">
        <v>300</v>
      </c>
      <c r="W810" s="2"/>
      <c r="X810" s="2" t="s">
        <v>5351</v>
      </c>
      <c r="Y810" s="5"/>
      <c r="Z810" s="2" t="s">
        <v>5352</v>
      </c>
      <c r="AA810" s="6" t="s">
        <v>5353</v>
      </c>
    </row>
    <row r="811" customFormat="false" ht="35.05" hidden="false" customHeight="false" outlineLevel="0" collapsed="false">
      <c r="A811" s="5" t="s">
        <v>5354</v>
      </c>
      <c r="B811" s="2" t="s">
        <v>5355</v>
      </c>
      <c r="C811" s="5" t="s">
        <v>2128</v>
      </c>
      <c r="D811" s="5" t="s">
        <v>4760</v>
      </c>
      <c r="E811" s="2" t="s">
        <v>2079</v>
      </c>
      <c r="F811" s="5" t="s">
        <v>62</v>
      </c>
      <c r="G811" s="5" t="n">
        <v>9</v>
      </c>
      <c r="H811" s="5" t="s">
        <v>63</v>
      </c>
      <c r="I811" s="5" t="s">
        <v>64</v>
      </c>
      <c r="J811" s="5" t="s">
        <v>65</v>
      </c>
      <c r="K811" s="5" t="s">
        <v>66</v>
      </c>
      <c r="L811" s="2" t="s">
        <v>2079</v>
      </c>
      <c r="M811" s="2" t="s">
        <v>4805</v>
      </c>
      <c r="N811" s="2" t="s">
        <v>2721</v>
      </c>
      <c r="O811" s="2" t="s">
        <v>4932</v>
      </c>
      <c r="P811" s="2"/>
      <c r="Q811" s="5" t="n">
        <v>1</v>
      </c>
      <c r="R811" s="2" t="s">
        <v>4997</v>
      </c>
      <c r="S811" s="2" t="s">
        <v>5356</v>
      </c>
      <c r="T811" s="2" t="s">
        <v>2725</v>
      </c>
      <c r="U811" s="2" t="s">
        <v>74</v>
      </c>
      <c r="V811" s="5" t="n">
        <v>300</v>
      </c>
      <c r="W811" s="2"/>
      <c r="X811" s="2" t="s">
        <v>4934</v>
      </c>
      <c r="Y811" s="5"/>
      <c r="Z811" s="2" t="s">
        <v>5357</v>
      </c>
      <c r="AA811" s="6" t="s">
        <v>5358</v>
      </c>
    </row>
    <row r="812" customFormat="false" ht="68.65" hidden="false" customHeight="false" outlineLevel="0" collapsed="false">
      <c r="A812" s="5" t="s">
        <v>5359</v>
      </c>
      <c r="B812" s="2" t="s">
        <v>5360</v>
      </c>
      <c r="C812" s="5" t="s">
        <v>2128</v>
      </c>
      <c r="D812" s="5" t="s">
        <v>4760</v>
      </c>
      <c r="E812" s="2" t="s">
        <v>2079</v>
      </c>
      <c r="F812" s="5" t="s">
        <v>62</v>
      </c>
      <c r="G812" s="5" t="n">
        <v>9</v>
      </c>
      <c r="H812" s="5" t="s">
        <v>63</v>
      </c>
      <c r="I812" s="5" t="s">
        <v>64</v>
      </c>
      <c r="J812" s="5" t="s">
        <v>65</v>
      </c>
      <c r="K812" s="5" t="s">
        <v>66</v>
      </c>
      <c r="L812" s="2" t="s">
        <v>2079</v>
      </c>
      <c r="M812" s="2" t="s">
        <v>4805</v>
      </c>
      <c r="N812" s="2" t="s">
        <v>2731</v>
      </c>
      <c r="O812" s="2" t="s">
        <v>5361</v>
      </c>
      <c r="P812" s="2"/>
      <c r="Q812" s="5" t="n">
        <v>1</v>
      </c>
      <c r="R812" s="2" t="s">
        <v>4997</v>
      </c>
      <c r="S812" s="2" t="s">
        <v>5011</v>
      </c>
      <c r="T812" s="2" t="s">
        <v>2733</v>
      </c>
      <c r="U812" s="2" t="s">
        <v>74</v>
      </c>
      <c r="V812" s="5" t="n">
        <v>300</v>
      </c>
      <c r="W812" s="2"/>
      <c r="X812" s="2" t="s">
        <v>5362</v>
      </c>
      <c r="Y812" s="5"/>
      <c r="Z812" s="2" t="s">
        <v>5363</v>
      </c>
      <c r="AA812" s="6" t="s">
        <v>5364</v>
      </c>
    </row>
    <row r="813" customFormat="false" ht="68.65" hidden="false" customHeight="false" outlineLevel="0" collapsed="false">
      <c r="A813" s="5" t="s">
        <v>5365</v>
      </c>
      <c r="B813" s="2" t="s">
        <v>5366</v>
      </c>
      <c r="C813" s="5" t="s">
        <v>2128</v>
      </c>
      <c r="D813" s="5" t="s">
        <v>4760</v>
      </c>
      <c r="E813" s="2" t="s">
        <v>2079</v>
      </c>
      <c r="F813" s="5" t="s">
        <v>62</v>
      </c>
      <c r="G813" s="5" t="n">
        <v>9</v>
      </c>
      <c r="H813" s="5" t="s">
        <v>63</v>
      </c>
      <c r="I813" s="5" t="s">
        <v>64</v>
      </c>
      <c r="J813" s="5" t="s">
        <v>65</v>
      </c>
      <c r="K813" s="5" t="s">
        <v>66</v>
      </c>
      <c r="L813" s="2" t="s">
        <v>2079</v>
      </c>
      <c r="M813" s="2" t="s">
        <v>4805</v>
      </c>
      <c r="N813" s="2" t="s">
        <v>2731</v>
      </c>
      <c r="O813" s="2" t="s">
        <v>5367</v>
      </c>
      <c r="P813" s="2"/>
      <c r="Q813" s="5" t="n">
        <v>1</v>
      </c>
      <c r="R813" s="2" t="s">
        <v>4997</v>
      </c>
      <c r="S813" s="2" t="s">
        <v>5023</v>
      </c>
      <c r="T813" s="2" t="s">
        <v>2733</v>
      </c>
      <c r="U813" s="2" t="s">
        <v>74</v>
      </c>
      <c r="V813" s="5" t="n">
        <v>300</v>
      </c>
      <c r="W813" s="2"/>
      <c r="X813" s="2" t="s">
        <v>5368</v>
      </c>
      <c r="Y813" s="5"/>
      <c r="Z813" s="2" t="s">
        <v>5369</v>
      </c>
      <c r="AA813" s="6" t="s">
        <v>5370</v>
      </c>
    </row>
    <row r="814" customFormat="false" ht="35.05" hidden="false" customHeight="false" outlineLevel="0" collapsed="false">
      <c r="A814" s="5" t="s">
        <v>5371</v>
      </c>
      <c r="B814" s="2" t="s">
        <v>5372</v>
      </c>
      <c r="C814" s="5" t="s">
        <v>2128</v>
      </c>
      <c r="D814" s="5" t="s">
        <v>4760</v>
      </c>
      <c r="E814" s="2" t="s">
        <v>2079</v>
      </c>
      <c r="F814" s="5" t="s">
        <v>62</v>
      </c>
      <c r="G814" s="5" t="n">
        <v>9</v>
      </c>
      <c r="H814" s="5" t="s">
        <v>63</v>
      </c>
      <c r="I814" s="5" t="s">
        <v>64</v>
      </c>
      <c r="J814" s="5" t="s">
        <v>65</v>
      </c>
      <c r="K814" s="5" t="s">
        <v>66</v>
      </c>
      <c r="L814" s="2" t="s">
        <v>2079</v>
      </c>
      <c r="M814" s="2" t="s">
        <v>4805</v>
      </c>
      <c r="N814" s="2" t="s">
        <v>2721</v>
      </c>
      <c r="O814" s="2" t="s">
        <v>4932</v>
      </c>
      <c r="P814" s="2"/>
      <c r="Q814" s="5" t="n">
        <v>1</v>
      </c>
      <c r="R814" s="2" t="s">
        <v>4997</v>
      </c>
      <c r="S814" s="2" t="s">
        <v>5373</v>
      </c>
      <c r="T814" s="2" t="s">
        <v>2725</v>
      </c>
      <c r="U814" s="2" t="s">
        <v>74</v>
      </c>
      <c r="V814" s="5" t="n">
        <v>300</v>
      </c>
      <c r="W814" s="2"/>
      <c r="X814" s="2" t="s">
        <v>4934</v>
      </c>
      <c r="Y814" s="5"/>
      <c r="Z814" s="2" t="s">
        <v>5374</v>
      </c>
      <c r="AA814" s="6" t="s">
        <v>5375</v>
      </c>
    </row>
    <row r="815" customFormat="false" ht="68.65" hidden="false" customHeight="false" outlineLevel="0" collapsed="false">
      <c r="A815" s="5" t="s">
        <v>5376</v>
      </c>
      <c r="B815" s="2" t="s">
        <v>5377</v>
      </c>
      <c r="C815" s="5" t="s">
        <v>2128</v>
      </c>
      <c r="D815" s="5" t="s">
        <v>4760</v>
      </c>
      <c r="E815" s="2" t="s">
        <v>2079</v>
      </c>
      <c r="F815" s="5" t="s">
        <v>62</v>
      </c>
      <c r="G815" s="5" t="n">
        <v>9</v>
      </c>
      <c r="H815" s="5" t="s">
        <v>63</v>
      </c>
      <c r="I815" s="5" t="s">
        <v>64</v>
      </c>
      <c r="J815" s="5" t="s">
        <v>65</v>
      </c>
      <c r="K815" s="5" t="s">
        <v>66</v>
      </c>
      <c r="L815" s="2" t="s">
        <v>2079</v>
      </c>
      <c r="M815" s="2" t="s">
        <v>4805</v>
      </c>
      <c r="N815" s="2" t="s">
        <v>2731</v>
      </c>
      <c r="O815" s="2" t="s">
        <v>5378</v>
      </c>
      <c r="P815" s="2"/>
      <c r="Q815" s="5" t="n">
        <v>1</v>
      </c>
      <c r="R815" s="2" t="s">
        <v>4997</v>
      </c>
      <c r="S815" s="2" t="s">
        <v>5023</v>
      </c>
      <c r="T815" s="2" t="s">
        <v>2733</v>
      </c>
      <c r="U815" s="2" t="s">
        <v>74</v>
      </c>
      <c r="V815" s="5" t="n">
        <v>300</v>
      </c>
      <c r="W815" s="2"/>
      <c r="X815" s="2" t="s">
        <v>5379</v>
      </c>
      <c r="Y815" s="5"/>
      <c r="Z815" s="2" t="s">
        <v>5380</v>
      </c>
      <c r="AA815" s="6" t="s">
        <v>5381</v>
      </c>
    </row>
    <row r="816" customFormat="false" ht="91" hidden="false" customHeight="false" outlineLevel="0" collapsed="false">
      <c r="A816" s="5" t="s">
        <v>5382</v>
      </c>
      <c r="B816" s="2" t="s">
        <v>5383</v>
      </c>
      <c r="C816" s="5" t="s">
        <v>2128</v>
      </c>
      <c r="D816" s="5" t="s">
        <v>4760</v>
      </c>
      <c r="E816" s="2" t="s">
        <v>2079</v>
      </c>
      <c r="F816" s="5" t="s">
        <v>490</v>
      </c>
      <c r="G816" s="5" t="n">
        <v>9</v>
      </c>
      <c r="H816" s="5" t="s">
        <v>63</v>
      </c>
      <c r="I816" s="5" t="s">
        <v>64</v>
      </c>
      <c r="J816" s="5" t="s">
        <v>65</v>
      </c>
      <c r="K816" s="5" t="s">
        <v>66</v>
      </c>
      <c r="L816" s="2" t="s">
        <v>2079</v>
      </c>
      <c r="M816" s="2" t="s">
        <v>4805</v>
      </c>
      <c r="N816" s="2" t="s">
        <v>2731</v>
      </c>
      <c r="O816" s="2" t="s">
        <v>5384</v>
      </c>
      <c r="P816" s="2"/>
      <c r="Q816" s="5" t="n">
        <v>1</v>
      </c>
      <c r="R816" s="2" t="s">
        <v>4997</v>
      </c>
      <c r="S816" s="2" t="s">
        <v>5385</v>
      </c>
      <c r="T816" s="2" t="s">
        <v>2733</v>
      </c>
      <c r="U816" s="2" t="s">
        <v>74</v>
      </c>
      <c r="V816" s="5" t="n">
        <v>300</v>
      </c>
      <c r="W816" s="2"/>
      <c r="X816" s="2" t="s">
        <v>5386</v>
      </c>
      <c r="Y816" s="5"/>
      <c r="Z816" s="2" t="s">
        <v>5387</v>
      </c>
      <c r="AA816" s="6" t="s">
        <v>5388</v>
      </c>
    </row>
    <row r="817" customFormat="false" ht="68.65" hidden="false" customHeight="false" outlineLevel="0" collapsed="false">
      <c r="A817" s="5" t="s">
        <v>5389</v>
      </c>
      <c r="B817" s="2" t="s">
        <v>5390</v>
      </c>
      <c r="C817" s="5" t="s">
        <v>2128</v>
      </c>
      <c r="D817" s="5" t="s">
        <v>4760</v>
      </c>
      <c r="E817" s="2" t="s">
        <v>2079</v>
      </c>
      <c r="F817" s="5" t="s">
        <v>490</v>
      </c>
      <c r="G817" s="5" t="n">
        <v>9</v>
      </c>
      <c r="H817" s="5" t="s">
        <v>63</v>
      </c>
      <c r="I817" s="5" t="s">
        <v>64</v>
      </c>
      <c r="J817" s="5" t="s">
        <v>65</v>
      </c>
      <c r="K817" s="5" t="s">
        <v>66</v>
      </c>
      <c r="L817" s="2" t="s">
        <v>2079</v>
      </c>
      <c r="M817" s="2" t="s">
        <v>4805</v>
      </c>
      <c r="N817" s="2" t="s">
        <v>2721</v>
      </c>
      <c r="O817" s="2" t="s">
        <v>5041</v>
      </c>
      <c r="P817" s="2"/>
      <c r="Q817" s="5" t="n">
        <v>1</v>
      </c>
      <c r="R817" s="2" t="s">
        <v>4997</v>
      </c>
      <c r="S817" s="2" t="s">
        <v>5391</v>
      </c>
      <c r="T817" s="2" t="s">
        <v>2725</v>
      </c>
      <c r="U817" s="2" t="s">
        <v>74</v>
      </c>
      <c r="V817" s="5" t="n">
        <v>300</v>
      </c>
      <c r="W817" s="2"/>
      <c r="X817" s="2" t="s">
        <v>5043</v>
      </c>
      <c r="Y817" s="5"/>
      <c r="Z817" s="2" t="s">
        <v>5392</v>
      </c>
      <c r="AA817" s="6" t="s">
        <v>5393</v>
      </c>
    </row>
    <row r="818" customFormat="false" ht="135.8" hidden="false" customHeight="false" outlineLevel="0" collapsed="false">
      <c r="A818" s="5" t="s">
        <v>5394</v>
      </c>
      <c r="B818" s="2" t="s">
        <v>5395</v>
      </c>
      <c r="C818" s="5" t="s">
        <v>2128</v>
      </c>
      <c r="D818" s="5" t="s">
        <v>4760</v>
      </c>
      <c r="E818" s="2" t="s">
        <v>2079</v>
      </c>
      <c r="F818" s="5" t="s">
        <v>490</v>
      </c>
      <c r="G818" s="5" t="n">
        <v>9</v>
      </c>
      <c r="H818" s="5" t="s">
        <v>63</v>
      </c>
      <c r="I818" s="5" t="s">
        <v>64</v>
      </c>
      <c r="J818" s="5" t="s">
        <v>65</v>
      </c>
      <c r="K818" s="5" t="s">
        <v>66</v>
      </c>
      <c r="L818" s="2" t="s">
        <v>2079</v>
      </c>
      <c r="M818" s="2" t="s">
        <v>4805</v>
      </c>
      <c r="N818" s="2" t="s">
        <v>2731</v>
      </c>
      <c r="O818" s="2" t="s">
        <v>5396</v>
      </c>
      <c r="P818" s="2"/>
      <c r="Q818" s="5" t="n">
        <v>1</v>
      </c>
      <c r="R818" s="2" t="s">
        <v>4997</v>
      </c>
      <c r="S818" s="2" t="s">
        <v>5397</v>
      </c>
      <c r="T818" s="2" t="s">
        <v>2733</v>
      </c>
      <c r="U818" s="2" t="s">
        <v>74</v>
      </c>
      <c r="V818" s="5" t="n">
        <v>300</v>
      </c>
      <c r="W818" s="2"/>
      <c r="X818" s="2" t="s">
        <v>5398</v>
      </c>
      <c r="Y818" s="5"/>
      <c r="Z818" s="2" t="s">
        <v>5399</v>
      </c>
      <c r="AA818" s="6" t="s">
        <v>5400</v>
      </c>
    </row>
    <row r="819" customFormat="false" ht="68.65" hidden="false" customHeight="false" outlineLevel="0" collapsed="false">
      <c r="A819" s="5" t="s">
        <v>5401</v>
      </c>
      <c r="B819" s="2" t="s">
        <v>5402</v>
      </c>
      <c r="C819" s="5" t="s">
        <v>2245</v>
      </c>
      <c r="D819" s="5" t="s">
        <v>4760</v>
      </c>
      <c r="E819" s="2" t="s">
        <v>2079</v>
      </c>
      <c r="F819" s="5" t="s">
        <v>62</v>
      </c>
      <c r="G819" s="5" t="n">
        <v>9</v>
      </c>
      <c r="H819" s="5" t="s">
        <v>63</v>
      </c>
      <c r="I819" s="5" t="s">
        <v>64</v>
      </c>
      <c r="J819" s="5" t="s">
        <v>65</v>
      </c>
      <c r="K819" s="5" t="s">
        <v>66</v>
      </c>
      <c r="L819" s="2" t="s">
        <v>2079</v>
      </c>
      <c r="M819" s="2" t="s">
        <v>4805</v>
      </c>
      <c r="N819" s="2" t="s">
        <v>2731</v>
      </c>
      <c r="O819" s="2" t="s">
        <v>5403</v>
      </c>
      <c r="P819" s="2"/>
      <c r="Q819" s="5" t="n">
        <v>1</v>
      </c>
      <c r="R819" s="2" t="s">
        <v>4997</v>
      </c>
      <c r="S819" s="2" t="s">
        <v>5023</v>
      </c>
      <c r="T819" s="2" t="s">
        <v>5207</v>
      </c>
      <c r="U819" s="2" t="s">
        <v>74</v>
      </c>
      <c r="V819" s="5" t="n">
        <v>300</v>
      </c>
      <c r="W819" s="2"/>
      <c r="X819" s="2" t="s">
        <v>5404</v>
      </c>
      <c r="Y819" s="5"/>
      <c r="Z819" s="2" t="s">
        <v>5405</v>
      </c>
      <c r="AA819" s="6" t="s">
        <v>5406</v>
      </c>
    </row>
    <row r="820" customFormat="false" ht="23.85" hidden="false" customHeight="false" outlineLevel="0" collapsed="false">
      <c r="A820" s="5" t="s">
        <v>5407</v>
      </c>
      <c r="B820" s="2" t="s">
        <v>5408</v>
      </c>
      <c r="C820" s="5" t="s">
        <v>2128</v>
      </c>
      <c r="D820" s="5" t="s">
        <v>4760</v>
      </c>
      <c r="E820" s="2" t="s">
        <v>2079</v>
      </c>
      <c r="F820" s="5" t="s">
        <v>62</v>
      </c>
      <c r="G820" s="5" t="n">
        <v>9</v>
      </c>
      <c r="H820" s="5" t="s">
        <v>63</v>
      </c>
      <c r="I820" s="5" t="s">
        <v>64</v>
      </c>
      <c r="J820" s="5" t="s">
        <v>65</v>
      </c>
      <c r="K820" s="5" t="s">
        <v>66</v>
      </c>
      <c r="L820" s="2" t="s">
        <v>2079</v>
      </c>
      <c r="M820" s="2" t="s">
        <v>4805</v>
      </c>
      <c r="N820" s="2" t="s">
        <v>2731</v>
      </c>
      <c r="O820" s="2" t="s">
        <v>4932</v>
      </c>
      <c r="P820" s="2"/>
      <c r="Q820" s="5" t="n">
        <v>1</v>
      </c>
      <c r="R820" s="2" t="s">
        <v>4997</v>
      </c>
      <c r="S820" s="2" t="s">
        <v>5409</v>
      </c>
      <c r="T820" s="2" t="s">
        <v>2725</v>
      </c>
      <c r="U820" s="2" t="s">
        <v>74</v>
      </c>
      <c r="V820" s="5" t="n">
        <v>300</v>
      </c>
      <c r="W820" s="2"/>
      <c r="X820" s="2" t="s">
        <v>4934</v>
      </c>
      <c r="Y820" s="5"/>
      <c r="Z820" s="2" t="s">
        <v>5410</v>
      </c>
      <c r="AA820" s="6" t="s">
        <v>5411</v>
      </c>
    </row>
    <row r="821" customFormat="false" ht="68.65" hidden="false" customHeight="false" outlineLevel="0" collapsed="false">
      <c r="A821" s="5" t="s">
        <v>5412</v>
      </c>
      <c r="B821" s="2" t="s">
        <v>5413</v>
      </c>
      <c r="C821" s="5" t="s">
        <v>2128</v>
      </c>
      <c r="D821" s="5" t="s">
        <v>4760</v>
      </c>
      <c r="E821" s="2" t="s">
        <v>2079</v>
      </c>
      <c r="F821" s="5" t="s">
        <v>62</v>
      </c>
      <c r="G821" s="5" t="n">
        <v>9</v>
      </c>
      <c r="H821" s="5" t="s">
        <v>63</v>
      </c>
      <c r="I821" s="5" t="s">
        <v>64</v>
      </c>
      <c r="J821" s="5" t="s">
        <v>65</v>
      </c>
      <c r="K821" s="5" t="s">
        <v>66</v>
      </c>
      <c r="L821" s="2" t="s">
        <v>2079</v>
      </c>
      <c r="M821" s="2" t="s">
        <v>4805</v>
      </c>
      <c r="N821" s="2" t="s">
        <v>2731</v>
      </c>
      <c r="O821" s="2" t="s">
        <v>5414</v>
      </c>
      <c r="P821" s="2"/>
      <c r="Q821" s="5" t="n">
        <v>1</v>
      </c>
      <c r="R821" s="2" t="s">
        <v>4997</v>
      </c>
      <c r="S821" s="2" t="s">
        <v>5023</v>
      </c>
      <c r="T821" s="2" t="s">
        <v>2733</v>
      </c>
      <c r="U821" s="2" t="s">
        <v>74</v>
      </c>
      <c r="V821" s="5" t="n">
        <v>300</v>
      </c>
      <c r="W821" s="2"/>
      <c r="X821" s="2" t="s">
        <v>5415</v>
      </c>
      <c r="Y821" s="5"/>
      <c r="Z821" s="2" t="s">
        <v>5416</v>
      </c>
      <c r="AA821" s="6" t="s">
        <v>5417</v>
      </c>
    </row>
    <row r="822" customFormat="false" ht="35.05" hidden="false" customHeight="false" outlineLevel="0" collapsed="false">
      <c r="A822" s="5" t="s">
        <v>5418</v>
      </c>
      <c r="B822" s="2" t="s">
        <v>5419</v>
      </c>
      <c r="C822" s="5" t="s">
        <v>2128</v>
      </c>
      <c r="D822" s="5" t="s">
        <v>4760</v>
      </c>
      <c r="E822" s="2" t="s">
        <v>2079</v>
      </c>
      <c r="F822" s="5" t="s">
        <v>490</v>
      </c>
      <c r="G822" s="5" t="n">
        <v>9</v>
      </c>
      <c r="H822" s="5" t="s">
        <v>63</v>
      </c>
      <c r="I822" s="5" t="s">
        <v>64</v>
      </c>
      <c r="J822" s="5" t="s">
        <v>65</v>
      </c>
      <c r="K822" s="5" t="s">
        <v>66</v>
      </c>
      <c r="L822" s="2" t="s">
        <v>2079</v>
      </c>
      <c r="M822" s="2" t="s">
        <v>4805</v>
      </c>
      <c r="N822" s="2" t="s">
        <v>2721</v>
      </c>
      <c r="O822" s="2" t="s">
        <v>4932</v>
      </c>
      <c r="P822" s="2"/>
      <c r="Q822" s="5" t="n">
        <v>1</v>
      </c>
      <c r="R822" s="2" t="s">
        <v>4997</v>
      </c>
      <c r="S822" s="2" t="s">
        <v>5420</v>
      </c>
      <c r="T822" s="2" t="s">
        <v>2725</v>
      </c>
      <c r="U822" s="2" t="s">
        <v>74</v>
      </c>
      <c r="V822" s="5" t="n">
        <v>300</v>
      </c>
      <c r="W822" s="2"/>
      <c r="X822" s="2" t="s">
        <v>4934</v>
      </c>
      <c r="Y822" s="5"/>
      <c r="Z822" s="2" t="s">
        <v>5421</v>
      </c>
      <c r="AA822" s="6" t="s">
        <v>5422</v>
      </c>
    </row>
    <row r="823" customFormat="false" ht="68.65" hidden="false" customHeight="false" outlineLevel="0" collapsed="false">
      <c r="A823" s="5" t="s">
        <v>5423</v>
      </c>
      <c r="B823" s="2" t="s">
        <v>5424</v>
      </c>
      <c r="C823" s="5" t="s">
        <v>2128</v>
      </c>
      <c r="D823" s="5" t="s">
        <v>4760</v>
      </c>
      <c r="E823" s="2" t="s">
        <v>2079</v>
      </c>
      <c r="F823" s="5" t="s">
        <v>490</v>
      </c>
      <c r="G823" s="5" t="n">
        <v>9</v>
      </c>
      <c r="H823" s="5" t="s">
        <v>63</v>
      </c>
      <c r="I823" s="5" t="s">
        <v>64</v>
      </c>
      <c r="J823" s="5" t="s">
        <v>65</v>
      </c>
      <c r="K823" s="5" t="s">
        <v>66</v>
      </c>
      <c r="L823" s="2" t="s">
        <v>2079</v>
      </c>
      <c r="M823" s="2" t="s">
        <v>4805</v>
      </c>
      <c r="N823" s="2" t="s">
        <v>2731</v>
      </c>
      <c r="O823" s="2" t="s">
        <v>5425</v>
      </c>
      <c r="P823" s="2"/>
      <c r="Q823" s="5" t="n">
        <v>1</v>
      </c>
      <c r="R823" s="2" t="s">
        <v>4997</v>
      </c>
      <c r="S823" s="2" t="s">
        <v>5011</v>
      </c>
      <c r="T823" s="2" t="s">
        <v>2733</v>
      </c>
      <c r="U823" s="2" t="s">
        <v>74</v>
      </c>
      <c r="V823" s="5" t="n">
        <v>300</v>
      </c>
      <c r="W823" s="2"/>
      <c r="X823" s="2" t="s">
        <v>5426</v>
      </c>
      <c r="Y823" s="5"/>
      <c r="Z823" s="2" t="s">
        <v>5427</v>
      </c>
      <c r="AA823" s="6" t="s">
        <v>5428</v>
      </c>
    </row>
    <row r="824" customFormat="false" ht="57.45" hidden="false" customHeight="false" outlineLevel="0" collapsed="false">
      <c r="A824" s="5" t="s">
        <v>5429</v>
      </c>
      <c r="B824" s="2" t="s">
        <v>5430</v>
      </c>
      <c r="C824" s="5" t="s">
        <v>2128</v>
      </c>
      <c r="D824" s="5" t="s">
        <v>4760</v>
      </c>
      <c r="E824" s="2" t="s">
        <v>2079</v>
      </c>
      <c r="F824" s="5" t="s">
        <v>62</v>
      </c>
      <c r="G824" s="5" t="n">
        <v>9</v>
      </c>
      <c r="H824" s="5" t="s">
        <v>63</v>
      </c>
      <c r="I824" s="5" t="s">
        <v>64</v>
      </c>
      <c r="J824" s="5" t="s">
        <v>65</v>
      </c>
      <c r="K824" s="5" t="s">
        <v>66</v>
      </c>
      <c r="L824" s="2" t="s">
        <v>2079</v>
      </c>
      <c r="M824" s="2" t="s">
        <v>4805</v>
      </c>
      <c r="N824" s="2" t="s">
        <v>2721</v>
      </c>
      <c r="O824" s="2" t="s">
        <v>2722</v>
      </c>
      <c r="P824" s="2"/>
      <c r="Q824" s="5" t="n">
        <v>1</v>
      </c>
      <c r="R824" s="2" t="s">
        <v>4997</v>
      </c>
      <c r="S824" s="2" t="s">
        <v>5431</v>
      </c>
      <c r="T824" s="2" t="s">
        <v>2725</v>
      </c>
      <c r="U824" s="2" t="s">
        <v>74</v>
      </c>
      <c r="V824" s="5" t="n">
        <v>300</v>
      </c>
      <c r="W824" s="2"/>
      <c r="X824" s="2" t="s">
        <v>2726</v>
      </c>
      <c r="Y824" s="5"/>
      <c r="Z824" s="2" t="s">
        <v>5432</v>
      </c>
      <c r="AA824" s="6" t="s">
        <v>5433</v>
      </c>
    </row>
    <row r="825" customFormat="false" ht="91" hidden="false" customHeight="false" outlineLevel="0" collapsed="false">
      <c r="A825" s="5" t="s">
        <v>5434</v>
      </c>
      <c r="B825" s="2" t="s">
        <v>5435</v>
      </c>
      <c r="C825" s="5" t="s">
        <v>2128</v>
      </c>
      <c r="D825" s="5" t="s">
        <v>4760</v>
      </c>
      <c r="E825" s="2" t="s">
        <v>2079</v>
      </c>
      <c r="F825" s="5" t="s">
        <v>62</v>
      </c>
      <c r="G825" s="5" t="n">
        <v>9</v>
      </c>
      <c r="H825" s="5" t="s">
        <v>63</v>
      </c>
      <c r="I825" s="5" t="s">
        <v>64</v>
      </c>
      <c r="J825" s="5" t="s">
        <v>65</v>
      </c>
      <c r="K825" s="5" t="s">
        <v>66</v>
      </c>
      <c r="L825" s="2" t="s">
        <v>2079</v>
      </c>
      <c r="M825" s="2" t="s">
        <v>4805</v>
      </c>
      <c r="N825" s="2" t="s">
        <v>2731</v>
      </c>
      <c r="O825" s="2" t="s">
        <v>5060</v>
      </c>
      <c r="P825" s="2"/>
      <c r="Q825" s="5" t="n">
        <v>1</v>
      </c>
      <c r="R825" s="2" t="s">
        <v>4997</v>
      </c>
      <c r="S825" s="2" t="s">
        <v>5436</v>
      </c>
      <c r="T825" s="2" t="s">
        <v>5207</v>
      </c>
      <c r="U825" s="2" t="s">
        <v>74</v>
      </c>
      <c r="V825" s="5" t="n">
        <v>300</v>
      </c>
      <c r="W825" s="2"/>
      <c r="X825" s="2" t="s">
        <v>5062</v>
      </c>
      <c r="Y825" s="5"/>
      <c r="Z825" s="2" t="s">
        <v>5437</v>
      </c>
      <c r="AA825" s="6" t="s">
        <v>5438</v>
      </c>
    </row>
    <row r="826" customFormat="false" ht="113.4" hidden="false" customHeight="false" outlineLevel="0" collapsed="false">
      <c r="A826" s="5" t="s">
        <v>5439</v>
      </c>
      <c r="B826" s="2" t="s">
        <v>5440</v>
      </c>
      <c r="C826" s="5" t="s">
        <v>2128</v>
      </c>
      <c r="D826" s="5" t="s">
        <v>4760</v>
      </c>
      <c r="E826" s="2" t="s">
        <v>2079</v>
      </c>
      <c r="F826" s="5" t="s">
        <v>62</v>
      </c>
      <c r="G826" s="5" t="n">
        <v>9</v>
      </c>
      <c r="H826" s="5" t="s">
        <v>63</v>
      </c>
      <c r="I826" s="5" t="s">
        <v>64</v>
      </c>
      <c r="J826" s="5" t="s">
        <v>65</v>
      </c>
      <c r="K826" s="5" t="s">
        <v>66</v>
      </c>
      <c r="L826" s="2" t="s">
        <v>2079</v>
      </c>
      <c r="M826" s="2" t="s">
        <v>4805</v>
      </c>
      <c r="N826" s="2" t="s">
        <v>2731</v>
      </c>
      <c r="O826" s="2" t="s">
        <v>5441</v>
      </c>
      <c r="P826" s="2"/>
      <c r="Q826" s="5" t="n">
        <v>1</v>
      </c>
      <c r="R826" s="2" t="s">
        <v>4997</v>
      </c>
      <c r="S826" s="2" t="s">
        <v>5442</v>
      </c>
      <c r="T826" s="2" t="s">
        <v>2733</v>
      </c>
      <c r="U826" s="2" t="s">
        <v>74</v>
      </c>
      <c r="V826" s="5" t="n">
        <v>300</v>
      </c>
      <c r="W826" s="2"/>
      <c r="X826" s="2" t="s">
        <v>5443</v>
      </c>
      <c r="Y826" s="5"/>
      <c r="Z826" s="2" t="s">
        <v>5444</v>
      </c>
      <c r="AA826" s="6" t="s">
        <v>5445</v>
      </c>
    </row>
    <row r="827" customFormat="false" ht="68.65" hidden="false" customHeight="false" outlineLevel="0" collapsed="false">
      <c r="A827" s="5" t="s">
        <v>5446</v>
      </c>
      <c r="B827" s="2" t="s">
        <v>5447</v>
      </c>
      <c r="C827" s="5" t="s">
        <v>2128</v>
      </c>
      <c r="D827" s="5" t="s">
        <v>4760</v>
      </c>
      <c r="E827" s="2" t="s">
        <v>2079</v>
      </c>
      <c r="F827" s="5" t="s">
        <v>62</v>
      </c>
      <c r="G827" s="5" t="n">
        <v>9</v>
      </c>
      <c r="H827" s="5" t="s">
        <v>63</v>
      </c>
      <c r="I827" s="5" t="s">
        <v>64</v>
      </c>
      <c r="J827" s="5" t="s">
        <v>65</v>
      </c>
      <c r="K827" s="5" t="s">
        <v>66</v>
      </c>
      <c r="L827" s="2" t="s">
        <v>2079</v>
      </c>
      <c r="M827" s="2" t="s">
        <v>4805</v>
      </c>
      <c r="N827" s="2" t="s">
        <v>2731</v>
      </c>
      <c r="O827" s="2" t="s">
        <v>5448</v>
      </c>
      <c r="P827" s="2"/>
      <c r="Q827" s="5" t="n">
        <v>1</v>
      </c>
      <c r="R827" s="2" t="s">
        <v>4997</v>
      </c>
      <c r="S827" s="2" t="s">
        <v>5023</v>
      </c>
      <c r="T827" s="2" t="s">
        <v>2733</v>
      </c>
      <c r="U827" s="2" t="s">
        <v>74</v>
      </c>
      <c r="V827" s="5" t="n">
        <v>300</v>
      </c>
      <c r="W827" s="2"/>
      <c r="X827" s="2" t="s">
        <v>5449</v>
      </c>
      <c r="Y827" s="5"/>
      <c r="Z827" s="2" t="s">
        <v>5450</v>
      </c>
      <c r="AA827" s="6" t="s">
        <v>5451</v>
      </c>
    </row>
    <row r="828" customFormat="false" ht="46.25" hidden="false" customHeight="false" outlineLevel="0" collapsed="false">
      <c r="A828" s="5" t="s">
        <v>5452</v>
      </c>
      <c r="B828" s="2" t="s">
        <v>5453</v>
      </c>
      <c r="C828" s="5" t="s">
        <v>2128</v>
      </c>
      <c r="D828" s="5" t="s">
        <v>4760</v>
      </c>
      <c r="E828" s="2" t="s">
        <v>2079</v>
      </c>
      <c r="F828" s="5" t="s">
        <v>62</v>
      </c>
      <c r="G828" s="5" t="n">
        <v>9</v>
      </c>
      <c r="H828" s="5" t="s">
        <v>63</v>
      </c>
      <c r="I828" s="5" t="s">
        <v>64</v>
      </c>
      <c r="J828" s="5" t="s">
        <v>65</v>
      </c>
      <c r="K828" s="5" t="s">
        <v>66</v>
      </c>
      <c r="L828" s="2" t="s">
        <v>2079</v>
      </c>
      <c r="M828" s="2" t="s">
        <v>4805</v>
      </c>
      <c r="N828" s="2" t="s">
        <v>2721</v>
      </c>
      <c r="O828" s="2" t="s">
        <v>2722</v>
      </c>
      <c r="P828" s="2"/>
      <c r="Q828" s="5" t="n">
        <v>1</v>
      </c>
      <c r="R828" s="2" t="s">
        <v>4997</v>
      </c>
      <c r="S828" s="2" t="s">
        <v>5454</v>
      </c>
      <c r="T828" s="2" t="s">
        <v>2725</v>
      </c>
      <c r="U828" s="2" t="s">
        <v>74</v>
      </c>
      <c r="V828" s="5" t="n">
        <v>300</v>
      </c>
      <c r="W828" s="2"/>
      <c r="X828" s="2" t="s">
        <v>2726</v>
      </c>
      <c r="Y828" s="5"/>
      <c r="Z828" s="2" t="s">
        <v>5455</v>
      </c>
      <c r="AA828" s="6" t="s">
        <v>5456</v>
      </c>
    </row>
    <row r="829" customFormat="false" ht="68.65" hidden="false" customHeight="false" outlineLevel="0" collapsed="false">
      <c r="A829" s="5" t="s">
        <v>5457</v>
      </c>
      <c r="B829" s="2" t="s">
        <v>5458</v>
      </c>
      <c r="C829" s="5" t="s">
        <v>2128</v>
      </c>
      <c r="D829" s="5" t="s">
        <v>4760</v>
      </c>
      <c r="E829" s="2" t="s">
        <v>2079</v>
      </c>
      <c r="F829" s="5" t="s">
        <v>62</v>
      </c>
      <c r="G829" s="5" t="n">
        <v>9</v>
      </c>
      <c r="H829" s="5" t="s">
        <v>63</v>
      </c>
      <c r="I829" s="5" t="s">
        <v>64</v>
      </c>
      <c r="J829" s="5" t="s">
        <v>65</v>
      </c>
      <c r="K829" s="5" t="s">
        <v>66</v>
      </c>
      <c r="L829" s="2" t="s">
        <v>2079</v>
      </c>
      <c r="M829" s="2" t="s">
        <v>4805</v>
      </c>
      <c r="N829" s="2" t="s">
        <v>2731</v>
      </c>
      <c r="O829" s="2" t="s">
        <v>5459</v>
      </c>
      <c r="P829" s="2"/>
      <c r="Q829" s="5" t="n">
        <v>1</v>
      </c>
      <c r="R829" s="2" t="s">
        <v>4997</v>
      </c>
      <c r="S829" s="2" t="s">
        <v>5460</v>
      </c>
      <c r="T829" s="2" t="s">
        <v>2733</v>
      </c>
      <c r="U829" s="2" t="s">
        <v>74</v>
      </c>
      <c r="V829" s="5" t="n">
        <v>300</v>
      </c>
      <c r="W829" s="2"/>
      <c r="X829" s="2" t="s">
        <v>5461</v>
      </c>
      <c r="Y829" s="5"/>
      <c r="Z829" s="2" t="s">
        <v>5462</v>
      </c>
      <c r="AA829" s="6" t="s">
        <v>5463</v>
      </c>
    </row>
    <row r="830" customFormat="false" ht="68.65" hidden="false" customHeight="false" outlineLevel="0" collapsed="false">
      <c r="A830" s="5" t="s">
        <v>5464</v>
      </c>
      <c r="B830" s="2" t="s">
        <v>5465</v>
      </c>
      <c r="C830" s="5" t="s">
        <v>2245</v>
      </c>
      <c r="D830" s="5" t="s">
        <v>4760</v>
      </c>
      <c r="E830" s="2" t="s">
        <v>2079</v>
      </c>
      <c r="F830" s="5" t="s">
        <v>62</v>
      </c>
      <c r="G830" s="5" t="n">
        <v>9</v>
      </c>
      <c r="H830" s="5" t="s">
        <v>63</v>
      </c>
      <c r="I830" s="5" t="s">
        <v>64</v>
      </c>
      <c r="J830" s="5" t="s">
        <v>65</v>
      </c>
      <c r="K830" s="5" t="s">
        <v>66</v>
      </c>
      <c r="L830" s="2" t="s">
        <v>2079</v>
      </c>
      <c r="M830" s="2" t="s">
        <v>4805</v>
      </c>
      <c r="N830" s="2" t="s">
        <v>2731</v>
      </c>
      <c r="O830" s="2" t="s">
        <v>5466</v>
      </c>
      <c r="P830" s="2"/>
      <c r="Q830" s="5" t="n">
        <v>1</v>
      </c>
      <c r="R830" s="2" t="s">
        <v>4997</v>
      </c>
      <c r="S830" s="2" t="s">
        <v>5023</v>
      </c>
      <c r="T830" s="2" t="s">
        <v>5207</v>
      </c>
      <c r="U830" s="2" t="s">
        <v>74</v>
      </c>
      <c r="V830" s="5" t="n">
        <v>300</v>
      </c>
      <c r="W830" s="2"/>
      <c r="X830" s="2" t="s">
        <v>5467</v>
      </c>
      <c r="Y830" s="5"/>
      <c r="Z830" s="2" t="s">
        <v>5468</v>
      </c>
      <c r="AA830" s="6" t="s">
        <v>5469</v>
      </c>
    </row>
    <row r="831" customFormat="false" ht="68.65" hidden="false" customHeight="false" outlineLevel="0" collapsed="false">
      <c r="A831" s="5" t="s">
        <v>5470</v>
      </c>
      <c r="B831" s="2" t="s">
        <v>5471</v>
      </c>
      <c r="C831" s="5" t="s">
        <v>2128</v>
      </c>
      <c r="D831" s="5" t="s">
        <v>4760</v>
      </c>
      <c r="E831" s="2" t="s">
        <v>2079</v>
      </c>
      <c r="F831" s="5" t="s">
        <v>62</v>
      </c>
      <c r="G831" s="5" t="n">
        <v>9</v>
      </c>
      <c r="H831" s="5" t="s">
        <v>63</v>
      </c>
      <c r="I831" s="5" t="s">
        <v>64</v>
      </c>
      <c r="J831" s="5" t="s">
        <v>65</v>
      </c>
      <c r="K831" s="5" t="s">
        <v>66</v>
      </c>
      <c r="L831" s="2" t="s">
        <v>2079</v>
      </c>
      <c r="M831" s="2" t="s">
        <v>4805</v>
      </c>
      <c r="N831" s="2" t="s">
        <v>2721</v>
      </c>
      <c r="O831" s="2" t="s">
        <v>5041</v>
      </c>
      <c r="P831" s="2"/>
      <c r="Q831" s="5" t="n">
        <v>1</v>
      </c>
      <c r="R831" s="2" t="s">
        <v>4997</v>
      </c>
      <c r="S831" s="2" t="s">
        <v>5472</v>
      </c>
      <c r="T831" s="2" t="s">
        <v>2725</v>
      </c>
      <c r="U831" s="2" t="s">
        <v>74</v>
      </c>
      <c r="V831" s="5" t="n">
        <v>300</v>
      </c>
      <c r="W831" s="2"/>
      <c r="X831" s="2" t="s">
        <v>5043</v>
      </c>
      <c r="Y831" s="5"/>
      <c r="Z831" s="2" t="s">
        <v>5473</v>
      </c>
      <c r="AA831" s="6" t="s">
        <v>5474</v>
      </c>
    </row>
    <row r="832" customFormat="false" ht="91" hidden="false" customHeight="false" outlineLevel="0" collapsed="false">
      <c r="A832" s="5" t="s">
        <v>5475</v>
      </c>
      <c r="B832" s="2" t="s">
        <v>5476</v>
      </c>
      <c r="C832" s="5" t="s">
        <v>2128</v>
      </c>
      <c r="D832" s="5" t="s">
        <v>4760</v>
      </c>
      <c r="E832" s="2" t="s">
        <v>2079</v>
      </c>
      <c r="F832" s="5" t="s">
        <v>62</v>
      </c>
      <c r="G832" s="5" t="n">
        <v>9</v>
      </c>
      <c r="H832" s="5" t="s">
        <v>63</v>
      </c>
      <c r="I832" s="5" t="s">
        <v>64</v>
      </c>
      <c r="J832" s="5" t="s">
        <v>65</v>
      </c>
      <c r="K832" s="5" t="s">
        <v>66</v>
      </c>
      <c r="L832" s="2" t="s">
        <v>2079</v>
      </c>
      <c r="M832" s="2" t="s">
        <v>4805</v>
      </c>
      <c r="N832" s="2" t="s">
        <v>2731</v>
      </c>
      <c r="O832" s="2" t="s">
        <v>5477</v>
      </c>
      <c r="P832" s="2"/>
      <c r="Q832" s="5" t="n">
        <v>1</v>
      </c>
      <c r="R832" s="2" t="s">
        <v>4997</v>
      </c>
      <c r="S832" s="2" t="s">
        <v>5478</v>
      </c>
      <c r="T832" s="2" t="s">
        <v>2733</v>
      </c>
      <c r="U832" s="2" t="s">
        <v>74</v>
      </c>
      <c r="V832" s="5" t="n">
        <v>300</v>
      </c>
      <c r="W832" s="2"/>
      <c r="X832" s="2" t="s">
        <v>5479</v>
      </c>
      <c r="Y832" s="5"/>
      <c r="Z832" s="2" t="s">
        <v>5480</v>
      </c>
      <c r="AA832" s="6" t="s">
        <v>5481</v>
      </c>
    </row>
    <row r="833" customFormat="false" ht="35.05" hidden="false" customHeight="false" outlineLevel="0" collapsed="false">
      <c r="A833" s="5" t="s">
        <v>5482</v>
      </c>
      <c r="B833" s="2" t="s">
        <v>5483</v>
      </c>
      <c r="C833" s="5" t="s">
        <v>2128</v>
      </c>
      <c r="D833" s="5" t="s">
        <v>4760</v>
      </c>
      <c r="E833" s="2" t="s">
        <v>2079</v>
      </c>
      <c r="F833" s="5" t="s">
        <v>62</v>
      </c>
      <c r="G833" s="5" t="n">
        <v>9</v>
      </c>
      <c r="H833" s="5" t="s">
        <v>63</v>
      </c>
      <c r="I833" s="5" t="s">
        <v>64</v>
      </c>
      <c r="J833" s="5" t="s">
        <v>65</v>
      </c>
      <c r="K833" s="5" t="s">
        <v>66</v>
      </c>
      <c r="L833" s="2" t="s">
        <v>2079</v>
      </c>
      <c r="M833" s="2" t="s">
        <v>4805</v>
      </c>
      <c r="N833" s="2" t="s">
        <v>2721</v>
      </c>
      <c r="O833" s="2" t="s">
        <v>4932</v>
      </c>
      <c r="P833" s="2"/>
      <c r="Q833" s="5" t="n">
        <v>1</v>
      </c>
      <c r="R833" s="2" t="s">
        <v>4997</v>
      </c>
      <c r="S833" s="2" t="s">
        <v>5484</v>
      </c>
      <c r="T833" s="2" t="s">
        <v>2725</v>
      </c>
      <c r="U833" s="2" t="s">
        <v>74</v>
      </c>
      <c r="V833" s="5" t="n">
        <v>300</v>
      </c>
      <c r="W833" s="2"/>
      <c r="X833" s="2" t="s">
        <v>4934</v>
      </c>
      <c r="Y833" s="5"/>
      <c r="Z833" s="2" t="s">
        <v>5485</v>
      </c>
      <c r="AA833" s="6" t="s">
        <v>5486</v>
      </c>
    </row>
    <row r="834" customFormat="false" ht="91" hidden="false" customHeight="false" outlineLevel="0" collapsed="false">
      <c r="A834" s="5" t="s">
        <v>5487</v>
      </c>
      <c r="B834" s="2" t="s">
        <v>5488</v>
      </c>
      <c r="C834" s="5" t="s">
        <v>2128</v>
      </c>
      <c r="D834" s="5" t="s">
        <v>4760</v>
      </c>
      <c r="E834" s="2" t="s">
        <v>2079</v>
      </c>
      <c r="F834" s="5" t="s">
        <v>62</v>
      </c>
      <c r="G834" s="5" t="n">
        <v>9</v>
      </c>
      <c r="H834" s="5" t="s">
        <v>63</v>
      </c>
      <c r="I834" s="5" t="s">
        <v>64</v>
      </c>
      <c r="J834" s="5" t="s">
        <v>65</v>
      </c>
      <c r="K834" s="5" t="s">
        <v>66</v>
      </c>
      <c r="L834" s="2" t="s">
        <v>2079</v>
      </c>
      <c r="M834" s="2" t="s">
        <v>4805</v>
      </c>
      <c r="N834" s="2" t="s">
        <v>2731</v>
      </c>
      <c r="O834" s="2" t="s">
        <v>5489</v>
      </c>
      <c r="P834" s="2"/>
      <c r="Q834" s="5" t="n">
        <v>1</v>
      </c>
      <c r="R834" s="2" t="s">
        <v>4997</v>
      </c>
      <c r="S834" s="2" t="s">
        <v>5490</v>
      </c>
      <c r="T834" s="2" t="s">
        <v>2733</v>
      </c>
      <c r="U834" s="2" t="s">
        <v>74</v>
      </c>
      <c r="V834" s="5" t="n">
        <v>300</v>
      </c>
      <c r="W834" s="2"/>
      <c r="X834" s="2" t="s">
        <v>5491</v>
      </c>
      <c r="Y834" s="5"/>
      <c r="Z834" s="2" t="s">
        <v>5492</v>
      </c>
      <c r="AA834" s="6" t="s">
        <v>5493</v>
      </c>
    </row>
    <row r="835" customFormat="false" ht="68.65" hidden="false" customHeight="false" outlineLevel="0" collapsed="false">
      <c r="A835" s="5" t="s">
        <v>5494</v>
      </c>
      <c r="B835" s="2" t="s">
        <v>5495</v>
      </c>
      <c r="C835" s="5" t="s">
        <v>2128</v>
      </c>
      <c r="D835" s="5" t="s">
        <v>4760</v>
      </c>
      <c r="E835" s="2" t="s">
        <v>2079</v>
      </c>
      <c r="F835" s="5" t="s">
        <v>62</v>
      </c>
      <c r="G835" s="5" t="n">
        <v>9</v>
      </c>
      <c r="H835" s="5" t="s">
        <v>63</v>
      </c>
      <c r="I835" s="5" t="s">
        <v>64</v>
      </c>
      <c r="J835" s="5" t="s">
        <v>65</v>
      </c>
      <c r="K835" s="5" t="s">
        <v>66</v>
      </c>
      <c r="L835" s="2" t="s">
        <v>2079</v>
      </c>
      <c r="M835" s="2" t="s">
        <v>4805</v>
      </c>
      <c r="N835" s="2" t="s">
        <v>2731</v>
      </c>
      <c r="O835" s="2" t="s">
        <v>5496</v>
      </c>
      <c r="P835" s="2"/>
      <c r="Q835" s="5" t="n">
        <v>1</v>
      </c>
      <c r="R835" s="2" t="s">
        <v>4997</v>
      </c>
      <c r="S835" s="2" t="s">
        <v>5011</v>
      </c>
      <c r="T835" s="2" t="s">
        <v>2733</v>
      </c>
      <c r="U835" s="2" t="s">
        <v>74</v>
      </c>
      <c r="V835" s="5" t="n">
        <v>300</v>
      </c>
      <c r="W835" s="2"/>
      <c r="X835" s="2" t="s">
        <v>5497</v>
      </c>
      <c r="Y835" s="5"/>
      <c r="Z835" s="2" t="s">
        <v>5498</v>
      </c>
      <c r="AA835" s="6" t="s">
        <v>5499</v>
      </c>
    </row>
    <row r="836" customFormat="false" ht="68.65" hidden="false" customHeight="false" outlineLevel="0" collapsed="false">
      <c r="A836" s="5" t="s">
        <v>5500</v>
      </c>
      <c r="B836" s="2" t="s">
        <v>5501</v>
      </c>
      <c r="C836" s="5" t="s">
        <v>2245</v>
      </c>
      <c r="D836" s="5" t="s">
        <v>4760</v>
      </c>
      <c r="E836" s="2" t="s">
        <v>2079</v>
      </c>
      <c r="F836" s="5" t="s">
        <v>62</v>
      </c>
      <c r="G836" s="5" t="n">
        <v>9</v>
      </c>
      <c r="H836" s="5" t="s">
        <v>63</v>
      </c>
      <c r="I836" s="5" t="s">
        <v>64</v>
      </c>
      <c r="J836" s="5" t="s">
        <v>65</v>
      </c>
      <c r="K836" s="5" t="s">
        <v>66</v>
      </c>
      <c r="L836" s="2" t="s">
        <v>2079</v>
      </c>
      <c r="M836" s="2" t="s">
        <v>4805</v>
      </c>
      <c r="N836" s="2" t="s">
        <v>2731</v>
      </c>
      <c r="O836" s="2" t="s">
        <v>5502</v>
      </c>
      <c r="P836" s="2"/>
      <c r="Q836" s="5" t="n">
        <v>1</v>
      </c>
      <c r="R836" s="2" t="s">
        <v>4997</v>
      </c>
      <c r="S836" s="2" t="s">
        <v>5023</v>
      </c>
      <c r="T836" s="2" t="s">
        <v>5207</v>
      </c>
      <c r="U836" s="2" t="s">
        <v>74</v>
      </c>
      <c r="V836" s="5" t="n">
        <v>300</v>
      </c>
      <c r="W836" s="2"/>
      <c r="X836" s="2" t="s">
        <v>5503</v>
      </c>
      <c r="Y836" s="5"/>
      <c r="Z836" s="2" t="s">
        <v>5504</v>
      </c>
      <c r="AA836" s="6" t="s">
        <v>5505</v>
      </c>
    </row>
    <row r="837" customFormat="false" ht="68.65" hidden="false" customHeight="false" outlineLevel="0" collapsed="false">
      <c r="A837" s="5" t="s">
        <v>5506</v>
      </c>
      <c r="B837" s="2" t="s">
        <v>5507</v>
      </c>
      <c r="C837" s="5" t="s">
        <v>2128</v>
      </c>
      <c r="D837" s="5" t="s">
        <v>4760</v>
      </c>
      <c r="E837" s="2" t="s">
        <v>2079</v>
      </c>
      <c r="F837" s="5" t="s">
        <v>62</v>
      </c>
      <c r="G837" s="5" t="n">
        <v>9</v>
      </c>
      <c r="H837" s="5" t="s">
        <v>63</v>
      </c>
      <c r="I837" s="5" t="s">
        <v>64</v>
      </c>
      <c r="J837" s="5" t="s">
        <v>65</v>
      </c>
      <c r="K837" s="5" t="s">
        <v>66</v>
      </c>
      <c r="L837" s="2" t="s">
        <v>2079</v>
      </c>
      <c r="M837" s="2" t="s">
        <v>4805</v>
      </c>
      <c r="N837" s="2" t="s">
        <v>2731</v>
      </c>
      <c r="O837" s="2" t="s">
        <v>5508</v>
      </c>
      <c r="P837" s="2"/>
      <c r="Q837" s="5" t="n">
        <v>1</v>
      </c>
      <c r="R837" s="2" t="s">
        <v>4997</v>
      </c>
      <c r="S837" s="2" t="s">
        <v>5023</v>
      </c>
      <c r="T837" s="2" t="s">
        <v>2733</v>
      </c>
      <c r="U837" s="2" t="s">
        <v>74</v>
      </c>
      <c r="V837" s="5" t="n">
        <v>300</v>
      </c>
      <c r="W837" s="2"/>
      <c r="X837" s="2" t="s">
        <v>5509</v>
      </c>
      <c r="Y837" s="5"/>
      <c r="Z837" s="2" t="s">
        <v>5510</v>
      </c>
      <c r="AA837" s="6" t="s">
        <v>5511</v>
      </c>
    </row>
    <row r="838" customFormat="false" ht="68.65" hidden="false" customHeight="false" outlineLevel="0" collapsed="false">
      <c r="A838" s="5" t="s">
        <v>5512</v>
      </c>
      <c r="B838" s="2" t="s">
        <v>5513</v>
      </c>
      <c r="C838" s="5" t="s">
        <v>2128</v>
      </c>
      <c r="D838" s="5" t="s">
        <v>4760</v>
      </c>
      <c r="E838" s="2" t="s">
        <v>2079</v>
      </c>
      <c r="F838" s="5" t="s">
        <v>62</v>
      </c>
      <c r="G838" s="5" t="n">
        <v>9</v>
      </c>
      <c r="H838" s="5" t="s">
        <v>63</v>
      </c>
      <c r="I838" s="5" t="s">
        <v>64</v>
      </c>
      <c r="J838" s="5" t="s">
        <v>65</v>
      </c>
      <c r="K838" s="5" t="s">
        <v>66</v>
      </c>
      <c r="L838" s="2" t="s">
        <v>2079</v>
      </c>
      <c r="M838" s="2" t="s">
        <v>4805</v>
      </c>
      <c r="N838" s="2" t="s">
        <v>2721</v>
      </c>
      <c r="O838" s="2" t="s">
        <v>5041</v>
      </c>
      <c r="P838" s="2"/>
      <c r="Q838" s="5" t="n">
        <v>1</v>
      </c>
      <c r="R838" s="2" t="s">
        <v>4997</v>
      </c>
      <c r="S838" s="2" t="s">
        <v>5514</v>
      </c>
      <c r="T838" s="2" t="s">
        <v>2725</v>
      </c>
      <c r="U838" s="2" t="s">
        <v>74</v>
      </c>
      <c r="V838" s="5" t="n">
        <v>300</v>
      </c>
      <c r="W838" s="2"/>
      <c r="X838" s="2" t="s">
        <v>5043</v>
      </c>
      <c r="Y838" s="5"/>
      <c r="Z838" s="2" t="s">
        <v>5515</v>
      </c>
      <c r="AA838" s="6" t="s">
        <v>5516</v>
      </c>
    </row>
    <row r="839" customFormat="false" ht="79.85" hidden="false" customHeight="false" outlineLevel="0" collapsed="false">
      <c r="A839" s="5" t="s">
        <v>5517</v>
      </c>
      <c r="B839" s="2" t="s">
        <v>5518</v>
      </c>
      <c r="C839" s="5" t="s">
        <v>2128</v>
      </c>
      <c r="D839" s="5" t="s">
        <v>4760</v>
      </c>
      <c r="E839" s="2" t="s">
        <v>2079</v>
      </c>
      <c r="F839" s="5" t="s">
        <v>62</v>
      </c>
      <c r="G839" s="5" t="n">
        <v>9</v>
      </c>
      <c r="H839" s="5" t="s">
        <v>63</v>
      </c>
      <c r="I839" s="5" t="s">
        <v>64</v>
      </c>
      <c r="J839" s="5" t="s">
        <v>65</v>
      </c>
      <c r="K839" s="5" t="s">
        <v>66</v>
      </c>
      <c r="L839" s="2" t="s">
        <v>2079</v>
      </c>
      <c r="M839" s="2" t="s">
        <v>4805</v>
      </c>
      <c r="N839" s="2" t="s">
        <v>2731</v>
      </c>
      <c r="O839" s="2" t="s">
        <v>5519</v>
      </c>
      <c r="P839" s="2"/>
      <c r="Q839" s="5" t="n">
        <v>1</v>
      </c>
      <c r="R839" s="2" t="s">
        <v>4997</v>
      </c>
      <c r="S839" s="2" t="s">
        <v>5520</v>
      </c>
      <c r="T839" s="2" t="s">
        <v>2733</v>
      </c>
      <c r="U839" s="2" t="s">
        <v>74</v>
      </c>
      <c r="V839" s="5" t="n">
        <v>300</v>
      </c>
      <c r="W839" s="2"/>
      <c r="X839" s="2" t="s">
        <v>5521</v>
      </c>
      <c r="Y839" s="5"/>
      <c r="Z839" s="2" t="s">
        <v>5522</v>
      </c>
      <c r="AA839" s="6" t="s">
        <v>5523</v>
      </c>
    </row>
    <row r="840" customFormat="false" ht="46.25" hidden="false" customHeight="false" outlineLevel="0" collapsed="false">
      <c r="A840" s="5" t="s">
        <v>5524</v>
      </c>
      <c r="B840" s="2" t="s">
        <v>5525</v>
      </c>
      <c r="C840" s="5" t="s">
        <v>2128</v>
      </c>
      <c r="D840" s="5" t="s">
        <v>4760</v>
      </c>
      <c r="E840" s="2" t="s">
        <v>2079</v>
      </c>
      <c r="F840" s="5" t="s">
        <v>62</v>
      </c>
      <c r="G840" s="5" t="n">
        <v>9</v>
      </c>
      <c r="H840" s="5" t="s">
        <v>63</v>
      </c>
      <c r="I840" s="5" t="s">
        <v>64</v>
      </c>
      <c r="J840" s="5" t="s">
        <v>65</v>
      </c>
      <c r="K840" s="5" t="s">
        <v>66</v>
      </c>
      <c r="L840" s="2" t="s">
        <v>2079</v>
      </c>
      <c r="M840" s="2" t="s">
        <v>4805</v>
      </c>
      <c r="N840" s="2" t="s">
        <v>2721</v>
      </c>
      <c r="O840" s="2" t="s">
        <v>2722</v>
      </c>
      <c r="P840" s="2"/>
      <c r="Q840" s="5" t="n">
        <v>1</v>
      </c>
      <c r="R840" s="2" t="s">
        <v>4997</v>
      </c>
      <c r="S840" s="2" t="s">
        <v>5526</v>
      </c>
      <c r="T840" s="2" t="s">
        <v>2725</v>
      </c>
      <c r="U840" s="2" t="s">
        <v>74</v>
      </c>
      <c r="V840" s="5" t="n">
        <v>300</v>
      </c>
      <c r="W840" s="2"/>
      <c r="X840" s="2" t="s">
        <v>2726</v>
      </c>
      <c r="Y840" s="5"/>
      <c r="Z840" s="2" t="s">
        <v>5527</v>
      </c>
      <c r="AA840" s="6" t="s">
        <v>5528</v>
      </c>
    </row>
    <row r="841" customFormat="false" ht="113.4" hidden="false" customHeight="false" outlineLevel="0" collapsed="false">
      <c r="A841" s="5" t="s">
        <v>5529</v>
      </c>
      <c r="B841" s="2" t="s">
        <v>5530</v>
      </c>
      <c r="C841" s="5" t="s">
        <v>2128</v>
      </c>
      <c r="D841" s="5" t="s">
        <v>4760</v>
      </c>
      <c r="E841" s="2" t="s">
        <v>2079</v>
      </c>
      <c r="F841" s="5" t="s">
        <v>62</v>
      </c>
      <c r="G841" s="5" t="n">
        <v>9</v>
      </c>
      <c r="H841" s="5" t="s">
        <v>63</v>
      </c>
      <c r="I841" s="5" t="s">
        <v>64</v>
      </c>
      <c r="J841" s="5" t="s">
        <v>65</v>
      </c>
      <c r="K841" s="5" t="s">
        <v>66</v>
      </c>
      <c r="L841" s="2" t="s">
        <v>2079</v>
      </c>
      <c r="M841" s="2" t="s">
        <v>4805</v>
      </c>
      <c r="N841" s="2" t="s">
        <v>2731</v>
      </c>
      <c r="O841" s="2" t="s">
        <v>5531</v>
      </c>
      <c r="P841" s="2"/>
      <c r="Q841" s="5" t="n">
        <v>1</v>
      </c>
      <c r="R841" s="2" t="s">
        <v>4997</v>
      </c>
      <c r="S841" s="2" t="s">
        <v>5532</v>
      </c>
      <c r="T841" s="2" t="s">
        <v>2733</v>
      </c>
      <c r="U841" s="2" t="s">
        <v>74</v>
      </c>
      <c r="V841" s="5" t="n">
        <v>300</v>
      </c>
      <c r="W841" s="2"/>
      <c r="X841" s="2" t="s">
        <v>5533</v>
      </c>
      <c r="Y841" s="5"/>
      <c r="Z841" s="2" t="s">
        <v>5534</v>
      </c>
      <c r="AA841" s="6" t="s">
        <v>5535</v>
      </c>
    </row>
    <row r="842" customFormat="false" ht="46.25" hidden="false" customHeight="false" outlineLevel="0" collapsed="false">
      <c r="A842" s="5" t="s">
        <v>5536</v>
      </c>
      <c r="B842" s="2" t="s">
        <v>5537</v>
      </c>
      <c r="C842" s="5" t="s">
        <v>2128</v>
      </c>
      <c r="D842" s="5" t="s">
        <v>4760</v>
      </c>
      <c r="E842" s="2" t="s">
        <v>2079</v>
      </c>
      <c r="F842" s="5" t="s">
        <v>62</v>
      </c>
      <c r="G842" s="5" t="n">
        <v>9</v>
      </c>
      <c r="H842" s="5" t="s">
        <v>63</v>
      </c>
      <c r="I842" s="5" t="s">
        <v>64</v>
      </c>
      <c r="J842" s="5" t="s">
        <v>65</v>
      </c>
      <c r="K842" s="5" t="s">
        <v>66</v>
      </c>
      <c r="L842" s="2" t="s">
        <v>2079</v>
      </c>
      <c r="M842" s="2" t="s">
        <v>4805</v>
      </c>
      <c r="N842" s="2" t="s">
        <v>2721</v>
      </c>
      <c r="O842" s="2" t="s">
        <v>4932</v>
      </c>
      <c r="P842" s="2"/>
      <c r="Q842" s="5" t="n">
        <v>1</v>
      </c>
      <c r="R842" s="2" t="s">
        <v>4997</v>
      </c>
      <c r="S842" s="2" t="s">
        <v>5538</v>
      </c>
      <c r="T842" s="2" t="s">
        <v>2725</v>
      </c>
      <c r="U842" s="2" t="s">
        <v>74</v>
      </c>
      <c r="V842" s="5" t="n">
        <v>300</v>
      </c>
      <c r="W842" s="2"/>
      <c r="X842" s="2" t="s">
        <v>4934</v>
      </c>
      <c r="Y842" s="5"/>
      <c r="Z842" s="2" t="s">
        <v>5539</v>
      </c>
      <c r="AA842" s="6" t="s">
        <v>5540</v>
      </c>
    </row>
    <row r="843" customFormat="false" ht="68.65" hidden="false" customHeight="false" outlineLevel="0" collapsed="false">
      <c r="A843" s="5" t="s">
        <v>5541</v>
      </c>
      <c r="B843" s="2" t="s">
        <v>5542</v>
      </c>
      <c r="C843" s="5" t="s">
        <v>2128</v>
      </c>
      <c r="D843" s="5" t="s">
        <v>4760</v>
      </c>
      <c r="E843" s="2" t="s">
        <v>2079</v>
      </c>
      <c r="F843" s="5" t="s">
        <v>62</v>
      </c>
      <c r="G843" s="5" t="n">
        <v>9</v>
      </c>
      <c r="H843" s="5" t="s">
        <v>63</v>
      </c>
      <c r="I843" s="5" t="s">
        <v>64</v>
      </c>
      <c r="J843" s="5" t="s">
        <v>65</v>
      </c>
      <c r="K843" s="5" t="s">
        <v>66</v>
      </c>
      <c r="L843" s="2" t="s">
        <v>2079</v>
      </c>
      <c r="M843" s="2" t="s">
        <v>4805</v>
      </c>
      <c r="N843" s="2" t="s">
        <v>2731</v>
      </c>
      <c r="O843" s="2" t="s">
        <v>5543</v>
      </c>
      <c r="P843" s="2"/>
      <c r="Q843" s="5" t="n">
        <v>1</v>
      </c>
      <c r="R843" s="2" t="s">
        <v>4997</v>
      </c>
      <c r="S843" s="2" t="s">
        <v>5023</v>
      </c>
      <c r="T843" s="2" t="s">
        <v>2733</v>
      </c>
      <c r="U843" s="2" t="s">
        <v>74</v>
      </c>
      <c r="V843" s="5" t="n">
        <v>300</v>
      </c>
      <c r="W843" s="2"/>
      <c r="X843" s="2" t="s">
        <v>5544</v>
      </c>
      <c r="Y843" s="5"/>
      <c r="Z843" s="2" t="s">
        <v>5545</v>
      </c>
      <c r="AA843" s="6" t="s">
        <v>5546</v>
      </c>
    </row>
    <row r="844" customFormat="false" ht="23.85" hidden="false" customHeight="false" outlineLevel="0" collapsed="false">
      <c r="A844" s="5" t="s">
        <v>5547</v>
      </c>
      <c r="B844" s="2" t="s">
        <v>5548</v>
      </c>
      <c r="C844" s="5" t="s">
        <v>2128</v>
      </c>
      <c r="D844" s="5" t="s">
        <v>4760</v>
      </c>
      <c r="E844" s="2" t="s">
        <v>2079</v>
      </c>
      <c r="F844" s="5" t="s">
        <v>62</v>
      </c>
      <c r="G844" s="5" t="n">
        <v>9</v>
      </c>
      <c r="H844" s="5" t="s">
        <v>63</v>
      </c>
      <c r="I844" s="5" t="s">
        <v>64</v>
      </c>
      <c r="J844" s="5" t="s">
        <v>65</v>
      </c>
      <c r="K844" s="5" t="s">
        <v>66</v>
      </c>
      <c r="L844" s="2" t="s">
        <v>2079</v>
      </c>
      <c r="M844" s="2" t="s">
        <v>3139</v>
      </c>
      <c r="N844" s="2" t="s">
        <v>2721</v>
      </c>
      <c r="O844" s="2" t="s">
        <v>4932</v>
      </c>
      <c r="P844" s="2"/>
      <c r="Q844" s="5" t="n">
        <v>1</v>
      </c>
      <c r="R844" s="2" t="s">
        <v>5549</v>
      </c>
      <c r="S844" s="2" t="s">
        <v>5550</v>
      </c>
      <c r="T844" s="2" t="s">
        <v>2725</v>
      </c>
      <c r="U844" s="2" t="s">
        <v>74</v>
      </c>
      <c r="V844" s="5" t="n">
        <v>300</v>
      </c>
      <c r="W844" s="2"/>
      <c r="X844" s="2" t="s">
        <v>4934</v>
      </c>
      <c r="Y844" s="5"/>
      <c r="Z844" s="2" t="s">
        <v>5551</v>
      </c>
      <c r="AA844" s="6" t="s">
        <v>5552</v>
      </c>
    </row>
    <row r="845" customFormat="false" ht="23.85" hidden="false" customHeight="false" outlineLevel="0" collapsed="false">
      <c r="A845" s="5" t="s">
        <v>5553</v>
      </c>
      <c r="B845" s="2" t="s">
        <v>5554</v>
      </c>
      <c r="C845" s="5" t="s">
        <v>2128</v>
      </c>
      <c r="D845" s="5" t="s">
        <v>4760</v>
      </c>
      <c r="E845" s="2" t="s">
        <v>2079</v>
      </c>
      <c r="F845" s="5" t="s">
        <v>62</v>
      </c>
      <c r="G845" s="5" t="n">
        <v>9</v>
      </c>
      <c r="H845" s="5" t="s">
        <v>63</v>
      </c>
      <c r="I845" s="5" t="s">
        <v>64</v>
      </c>
      <c r="J845" s="5" t="s">
        <v>65</v>
      </c>
      <c r="K845" s="5" t="s">
        <v>66</v>
      </c>
      <c r="L845" s="2" t="s">
        <v>2079</v>
      </c>
      <c r="M845" s="2" t="s">
        <v>3139</v>
      </c>
      <c r="N845" s="2" t="s">
        <v>2731</v>
      </c>
      <c r="O845" s="2" t="s">
        <v>5555</v>
      </c>
      <c r="P845" s="2"/>
      <c r="Q845" s="5" t="n">
        <v>1</v>
      </c>
      <c r="R845" s="2" t="s">
        <v>5549</v>
      </c>
      <c r="S845" s="2" t="s">
        <v>83</v>
      </c>
      <c r="T845" s="2" t="s">
        <v>2733</v>
      </c>
      <c r="U845" s="2" t="s">
        <v>74</v>
      </c>
      <c r="V845" s="5" t="n">
        <v>300</v>
      </c>
      <c r="W845" s="2"/>
      <c r="X845" s="2" t="s">
        <v>5556</v>
      </c>
      <c r="Y845" s="5"/>
      <c r="Z845" s="2" t="s">
        <v>5557</v>
      </c>
      <c r="AA845" s="6" t="s">
        <v>5558</v>
      </c>
    </row>
    <row r="846" customFormat="false" ht="46.25" hidden="false" customHeight="false" outlineLevel="0" collapsed="false">
      <c r="A846" s="5" t="s">
        <v>5559</v>
      </c>
      <c r="B846" s="2" t="s">
        <v>5560</v>
      </c>
      <c r="C846" s="5" t="s">
        <v>2128</v>
      </c>
      <c r="D846" s="5" t="s">
        <v>4760</v>
      </c>
      <c r="E846" s="2" t="s">
        <v>2079</v>
      </c>
      <c r="F846" s="5" t="s">
        <v>62</v>
      </c>
      <c r="G846" s="5" t="n">
        <v>9</v>
      </c>
      <c r="H846" s="5" t="s">
        <v>63</v>
      </c>
      <c r="I846" s="5" t="s">
        <v>64</v>
      </c>
      <c r="J846" s="5" t="s">
        <v>65</v>
      </c>
      <c r="K846" s="5" t="s">
        <v>66</v>
      </c>
      <c r="L846" s="2" t="s">
        <v>2079</v>
      </c>
      <c r="M846" s="2" t="s">
        <v>4805</v>
      </c>
      <c r="N846" s="2" t="s">
        <v>2721</v>
      </c>
      <c r="O846" s="2" t="s">
        <v>2722</v>
      </c>
      <c r="P846" s="2"/>
      <c r="Q846" s="5" t="n">
        <v>1</v>
      </c>
      <c r="R846" s="2" t="s">
        <v>4997</v>
      </c>
      <c r="S846" s="2" t="s">
        <v>5561</v>
      </c>
      <c r="T846" s="2" t="s">
        <v>2725</v>
      </c>
      <c r="U846" s="2" t="s">
        <v>74</v>
      </c>
      <c r="V846" s="5" t="n">
        <v>300</v>
      </c>
      <c r="W846" s="2"/>
      <c r="X846" s="2" t="s">
        <v>2726</v>
      </c>
      <c r="Y846" s="5"/>
      <c r="Z846" s="2" t="s">
        <v>5562</v>
      </c>
      <c r="AA846" s="6" t="s">
        <v>5563</v>
      </c>
    </row>
    <row r="847" customFormat="false" ht="91" hidden="false" customHeight="false" outlineLevel="0" collapsed="false">
      <c r="A847" s="5" t="s">
        <v>5564</v>
      </c>
      <c r="B847" s="2" t="s">
        <v>5565</v>
      </c>
      <c r="C847" s="5" t="s">
        <v>2128</v>
      </c>
      <c r="D847" s="5" t="s">
        <v>4760</v>
      </c>
      <c r="E847" s="2" t="s">
        <v>2079</v>
      </c>
      <c r="F847" s="5" t="s">
        <v>62</v>
      </c>
      <c r="G847" s="5" t="n">
        <v>9</v>
      </c>
      <c r="H847" s="5" t="s">
        <v>63</v>
      </c>
      <c r="I847" s="5" t="s">
        <v>64</v>
      </c>
      <c r="J847" s="5" t="s">
        <v>65</v>
      </c>
      <c r="K847" s="5" t="s">
        <v>66</v>
      </c>
      <c r="L847" s="2" t="s">
        <v>2079</v>
      </c>
      <c r="M847" s="2" t="s">
        <v>4805</v>
      </c>
      <c r="N847" s="2" t="s">
        <v>2731</v>
      </c>
      <c r="O847" s="2" t="s">
        <v>5566</v>
      </c>
      <c r="P847" s="2"/>
      <c r="Q847" s="5" t="n">
        <v>1</v>
      </c>
      <c r="R847" s="2" t="s">
        <v>4997</v>
      </c>
      <c r="S847" s="2" t="s">
        <v>5567</v>
      </c>
      <c r="T847" s="2" t="s">
        <v>2733</v>
      </c>
      <c r="U847" s="2" t="s">
        <v>74</v>
      </c>
      <c r="V847" s="5" t="n">
        <v>300</v>
      </c>
      <c r="W847" s="2"/>
      <c r="X847" s="2" t="s">
        <v>5568</v>
      </c>
      <c r="Y847" s="5"/>
      <c r="Z847" s="2" t="s">
        <v>5569</v>
      </c>
      <c r="AA847" s="6" t="s">
        <v>5570</v>
      </c>
    </row>
    <row r="848" customFormat="false" ht="68.65" hidden="false" customHeight="false" outlineLevel="0" collapsed="false">
      <c r="A848" s="5" t="s">
        <v>5571</v>
      </c>
      <c r="B848" s="2" t="s">
        <v>5572</v>
      </c>
      <c r="C848" s="5" t="s">
        <v>2128</v>
      </c>
      <c r="D848" s="5" t="s">
        <v>4760</v>
      </c>
      <c r="E848" s="2" t="s">
        <v>2079</v>
      </c>
      <c r="F848" s="5" t="s">
        <v>62</v>
      </c>
      <c r="G848" s="5" t="n">
        <v>9</v>
      </c>
      <c r="H848" s="5" t="s">
        <v>63</v>
      </c>
      <c r="I848" s="5" t="s">
        <v>64</v>
      </c>
      <c r="J848" s="5" t="s">
        <v>65</v>
      </c>
      <c r="K848" s="5" t="s">
        <v>66</v>
      </c>
      <c r="L848" s="2" t="s">
        <v>2079</v>
      </c>
      <c r="M848" s="2" t="s">
        <v>4805</v>
      </c>
      <c r="N848" s="2" t="s">
        <v>2721</v>
      </c>
      <c r="O848" s="2" t="s">
        <v>5041</v>
      </c>
      <c r="P848" s="2"/>
      <c r="Q848" s="5" t="n">
        <v>1</v>
      </c>
      <c r="R848" s="2" t="s">
        <v>4997</v>
      </c>
      <c r="S848" s="2" t="s">
        <v>5573</v>
      </c>
      <c r="T848" s="2" t="s">
        <v>2725</v>
      </c>
      <c r="U848" s="2" t="s">
        <v>74</v>
      </c>
      <c r="V848" s="5" t="n">
        <v>300</v>
      </c>
      <c r="W848" s="2"/>
      <c r="X848" s="2" t="s">
        <v>5043</v>
      </c>
      <c r="Y848" s="5"/>
      <c r="Z848" s="2" t="s">
        <v>5574</v>
      </c>
      <c r="AA848" s="6" t="s">
        <v>5575</v>
      </c>
    </row>
    <row r="849" customFormat="false" ht="91" hidden="false" customHeight="false" outlineLevel="0" collapsed="false">
      <c r="A849" s="5" t="s">
        <v>5576</v>
      </c>
      <c r="B849" s="2" t="s">
        <v>5577</v>
      </c>
      <c r="C849" s="5" t="s">
        <v>2128</v>
      </c>
      <c r="D849" s="5" t="s">
        <v>4760</v>
      </c>
      <c r="E849" s="2" t="s">
        <v>2079</v>
      </c>
      <c r="F849" s="5" t="s">
        <v>62</v>
      </c>
      <c r="G849" s="5" t="n">
        <v>9</v>
      </c>
      <c r="H849" s="5" t="s">
        <v>63</v>
      </c>
      <c r="I849" s="5" t="s">
        <v>64</v>
      </c>
      <c r="J849" s="5" t="s">
        <v>65</v>
      </c>
      <c r="K849" s="5" t="s">
        <v>66</v>
      </c>
      <c r="L849" s="2" t="s">
        <v>2079</v>
      </c>
      <c r="M849" s="2" t="s">
        <v>4805</v>
      </c>
      <c r="N849" s="2" t="s">
        <v>2731</v>
      </c>
      <c r="O849" s="2" t="s">
        <v>5578</v>
      </c>
      <c r="P849" s="2"/>
      <c r="Q849" s="5" t="n">
        <v>1</v>
      </c>
      <c r="R849" s="2" t="s">
        <v>4997</v>
      </c>
      <c r="S849" s="2" t="s">
        <v>5579</v>
      </c>
      <c r="T849" s="2" t="s">
        <v>2733</v>
      </c>
      <c r="U849" s="2" t="s">
        <v>74</v>
      </c>
      <c r="V849" s="5" t="n">
        <v>300</v>
      </c>
      <c r="W849" s="2"/>
      <c r="X849" s="2" t="s">
        <v>5580</v>
      </c>
      <c r="Y849" s="5"/>
      <c r="Z849" s="2" t="s">
        <v>5581</v>
      </c>
      <c r="AA849" s="6" t="s">
        <v>5582</v>
      </c>
    </row>
    <row r="850" customFormat="false" ht="35.05" hidden="false" customHeight="false" outlineLevel="0" collapsed="false">
      <c r="A850" s="5" t="s">
        <v>5583</v>
      </c>
      <c r="B850" s="2" t="s">
        <v>5584</v>
      </c>
      <c r="C850" s="5" t="s">
        <v>2128</v>
      </c>
      <c r="D850" s="5" t="s">
        <v>4760</v>
      </c>
      <c r="E850" s="2" t="s">
        <v>2079</v>
      </c>
      <c r="F850" s="5" t="s">
        <v>62</v>
      </c>
      <c r="G850" s="5" t="n">
        <v>9</v>
      </c>
      <c r="H850" s="5" t="s">
        <v>63</v>
      </c>
      <c r="I850" s="5" t="s">
        <v>64</v>
      </c>
      <c r="J850" s="5" t="s">
        <v>65</v>
      </c>
      <c r="K850" s="5" t="s">
        <v>66</v>
      </c>
      <c r="L850" s="2" t="s">
        <v>2079</v>
      </c>
      <c r="M850" s="2" t="s">
        <v>4805</v>
      </c>
      <c r="N850" s="2" t="s">
        <v>2721</v>
      </c>
      <c r="O850" s="2" t="s">
        <v>4932</v>
      </c>
      <c r="P850" s="2"/>
      <c r="Q850" s="5" t="n">
        <v>1</v>
      </c>
      <c r="R850" s="2" t="s">
        <v>4997</v>
      </c>
      <c r="S850" s="2" t="s">
        <v>5585</v>
      </c>
      <c r="T850" s="2" t="s">
        <v>2725</v>
      </c>
      <c r="U850" s="2" t="s">
        <v>74</v>
      </c>
      <c r="V850" s="5" t="n">
        <v>300</v>
      </c>
      <c r="W850" s="2"/>
      <c r="X850" s="2" t="s">
        <v>4934</v>
      </c>
      <c r="Y850" s="5"/>
      <c r="Z850" s="2" t="s">
        <v>5586</v>
      </c>
      <c r="AA850" s="6" t="s">
        <v>5587</v>
      </c>
    </row>
    <row r="851" customFormat="false" ht="68.65" hidden="false" customHeight="false" outlineLevel="0" collapsed="false">
      <c r="A851" s="5" t="s">
        <v>5588</v>
      </c>
      <c r="B851" s="2" t="s">
        <v>5589</v>
      </c>
      <c r="C851" s="5" t="s">
        <v>2128</v>
      </c>
      <c r="D851" s="5" t="s">
        <v>4760</v>
      </c>
      <c r="E851" s="2" t="s">
        <v>2079</v>
      </c>
      <c r="F851" s="5" t="s">
        <v>62</v>
      </c>
      <c r="G851" s="5" t="n">
        <v>9</v>
      </c>
      <c r="H851" s="5" t="s">
        <v>63</v>
      </c>
      <c r="I851" s="5" t="s">
        <v>64</v>
      </c>
      <c r="J851" s="5" t="s">
        <v>65</v>
      </c>
      <c r="K851" s="5" t="s">
        <v>66</v>
      </c>
      <c r="L851" s="2" t="s">
        <v>2079</v>
      </c>
      <c r="M851" s="2" t="s">
        <v>4805</v>
      </c>
      <c r="N851" s="2" t="s">
        <v>2731</v>
      </c>
      <c r="O851" s="2" t="s">
        <v>5590</v>
      </c>
      <c r="P851" s="2"/>
      <c r="Q851" s="5" t="n">
        <v>1</v>
      </c>
      <c r="R851" s="2" t="s">
        <v>4997</v>
      </c>
      <c r="S851" s="2" t="s">
        <v>5023</v>
      </c>
      <c r="T851" s="2" t="s">
        <v>2733</v>
      </c>
      <c r="U851" s="2" t="s">
        <v>74</v>
      </c>
      <c r="V851" s="5" t="n">
        <v>300</v>
      </c>
      <c r="W851" s="2"/>
      <c r="X851" s="2" t="s">
        <v>5591</v>
      </c>
      <c r="Y851" s="5"/>
      <c r="Z851" s="2" t="s">
        <v>5592</v>
      </c>
      <c r="AA851" s="6" t="s">
        <v>5593</v>
      </c>
    </row>
    <row r="852" customFormat="false" ht="35.05" hidden="false" customHeight="false" outlineLevel="0" collapsed="false">
      <c r="A852" s="5" t="s">
        <v>5594</v>
      </c>
      <c r="B852" s="2" t="s">
        <v>5595</v>
      </c>
      <c r="C852" s="5" t="s">
        <v>2128</v>
      </c>
      <c r="D852" s="5" t="s">
        <v>4760</v>
      </c>
      <c r="E852" s="2" t="s">
        <v>2079</v>
      </c>
      <c r="F852" s="5" t="s">
        <v>62</v>
      </c>
      <c r="G852" s="5" t="n">
        <v>9</v>
      </c>
      <c r="H852" s="5" t="s">
        <v>63</v>
      </c>
      <c r="I852" s="5" t="s">
        <v>64</v>
      </c>
      <c r="J852" s="5" t="s">
        <v>65</v>
      </c>
      <c r="K852" s="5" t="s">
        <v>66</v>
      </c>
      <c r="L852" s="2" t="s">
        <v>2079</v>
      </c>
      <c r="M852" s="2" t="s">
        <v>4805</v>
      </c>
      <c r="N852" s="2" t="s">
        <v>2721</v>
      </c>
      <c r="O852" s="2" t="s">
        <v>4932</v>
      </c>
      <c r="P852" s="2"/>
      <c r="Q852" s="5" t="n">
        <v>1</v>
      </c>
      <c r="R852" s="2" t="s">
        <v>4997</v>
      </c>
      <c r="S852" s="2" t="s">
        <v>5596</v>
      </c>
      <c r="T852" s="2" t="s">
        <v>2725</v>
      </c>
      <c r="U852" s="2" t="s">
        <v>74</v>
      </c>
      <c r="V852" s="5" t="n">
        <v>300</v>
      </c>
      <c r="W852" s="2"/>
      <c r="X852" s="2" t="s">
        <v>4934</v>
      </c>
      <c r="Y852" s="5"/>
      <c r="Z852" s="2" t="s">
        <v>5597</v>
      </c>
      <c r="AA852" s="6" t="s">
        <v>5598</v>
      </c>
    </row>
    <row r="853" customFormat="false" ht="79.85" hidden="false" customHeight="false" outlineLevel="0" collapsed="false">
      <c r="A853" s="5" t="s">
        <v>5599</v>
      </c>
      <c r="B853" s="2" t="s">
        <v>5600</v>
      </c>
      <c r="C853" s="5" t="s">
        <v>2128</v>
      </c>
      <c r="D853" s="5" t="s">
        <v>4760</v>
      </c>
      <c r="E853" s="2" t="s">
        <v>2079</v>
      </c>
      <c r="F853" s="5" t="s">
        <v>62</v>
      </c>
      <c r="G853" s="5" t="n">
        <v>9</v>
      </c>
      <c r="H853" s="5" t="s">
        <v>63</v>
      </c>
      <c r="I853" s="5" t="s">
        <v>64</v>
      </c>
      <c r="J853" s="5" t="s">
        <v>65</v>
      </c>
      <c r="K853" s="5" t="s">
        <v>66</v>
      </c>
      <c r="L853" s="2" t="s">
        <v>2079</v>
      </c>
      <c r="M853" s="2" t="s">
        <v>4805</v>
      </c>
      <c r="N853" s="2" t="s">
        <v>2731</v>
      </c>
      <c r="O853" s="2" t="s">
        <v>5601</v>
      </c>
      <c r="P853" s="2"/>
      <c r="Q853" s="5" t="n">
        <v>1</v>
      </c>
      <c r="R853" s="2" t="s">
        <v>4997</v>
      </c>
      <c r="S853" s="2" t="s">
        <v>5602</v>
      </c>
      <c r="T853" s="2" t="s">
        <v>2733</v>
      </c>
      <c r="U853" s="2" t="s">
        <v>74</v>
      </c>
      <c r="V853" s="5" t="n">
        <v>300</v>
      </c>
      <c r="W853" s="2"/>
      <c r="X853" s="2" t="s">
        <v>5603</v>
      </c>
      <c r="Y853" s="5"/>
      <c r="Z853" s="2" t="s">
        <v>5604</v>
      </c>
      <c r="AA853" s="6" t="s">
        <v>5605</v>
      </c>
    </row>
    <row r="854" customFormat="false" ht="46.25" hidden="false" customHeight="false" outlineLevel="0" collapsed="false">
      <c r="A854" s="5" t="s">
        <v>5606</v>
      </c>
      <c r="B854" s="2" t="s">
        <v>5607</v>
      </c>
      <c r="C854" s="5" t="s">
        <v>2128</v>
      </c>
      <c r="D854" s="5" t="s">
        <v>4760</v>
      </c>
      <c r="E854" s="2" t="s">
        <v>2079</v>
      </c>
      <c r="F854" s="5" t="s">
        <v>62</v>
      </c>
      <c r="G854" s="5" t="n">
        <v>9</v>
      </c>
      <c r="H854" s="5" t="s">
        <v>63</v>
      </c>
      <c r="I854" s="5" t="s">
        <v>64</v>
      </c>
      <c r="J854" s="5" t="s">
        <v>65</v>
      </c>
      <c r="K854" s="5" t="s">
        <v>66</v>
      </c>
      <c r="L854" s="2" t="s">
        <v>2079</v>
      </c>
      <c r="M854" s="2" t="s">
        <v>4805</v>
      </c>
      <c r="N854" s="2" t="s">
        <v>2721</v>
      </c>
      <c r="O854" s="2" t="s">
        <v>4932</v>
      </c>
      <c r="P854" s="2"/>
      <c r="Q854" s="5" t="n">
        <v>1</v>
      </c>
      <c r="R854" s="2" t="s">
        <v>4997</v>
      </c>
      <c r="S854" s="2" t="s">
        <v>5608</v>
      </c>
      <c r="T854" s="2" t="s">
        <v>2725</v>
      </c>
      <c r="U854" s="2" t="s">
        <v>4754</v>
      </c>
      <c r="V854" s="5" t="n">
        <v>300</v>
      </c>
      <c r="W854" s="2"/>
      <c r="X854" s="2" t="s">
        <v>4934</v>
      </c>
      <c r="Y854" s="5"/>
      <c r="Z854" s="2" t="s">
        <v>5609</v>
      </c>
      <c r="AA854" s="6" t="s">
        <v>5610</v>
      </c>
    </row>
    <row r="855" customFormat="false" ht="68.65" hidden="false" customHeight="false" outlineLevel="0" collapsed="false">
      <c r="A855" s="5" t="s">
        <v>5611</v>
      </c>
      <c r="B855" s="2" t="s">
        <v>5612</v>
      </c>
      <c r="C855" s="5" t="s">
        <v>2128</v>
      </c>
      <c r="D855" s="5" t="s">
        <v>4760</v>
      </c>
      <c r="E855" s="2" t="s">
        <v>2079</v>
      </c>
      <c r="F855" s="5" t="s">
        <v>62</v>
      </c>
      <c r="G855" s="5" t="n">
        <v>9</v>
      </c>
      <c r="H855" s="5" t="s">
        <v>63</v>
      </c>
      <c r="I855" s="5" t="s">
        <v>64</v>
      </c>
      <c r="J855" s="5" t="s">
        <v>65</v>
      </c>
      <c r="K855" s="5" t="s">
        <v>66</v>
      </c>
      <c r="L855" s="2" t="s">
        <v>2079</v>
      </c>
      <c r="M855" s="2" t="s">
        <v>4805</v>
      </c>
      <c r="N855" s="2" t="s">
        <v>2731</v>
      </c>
      <c r="O855" s="2" t="s">
        <v>5613</v>
      </c>
      <c r="P855" s="2"/>
      <c r="Q855" s="5" t="n">
        <v>1</v>
      </c>
      <c r="R855" s="2" t="s">
        <v>4997</v>
      </c>
      <c r="S855" s="2" t="s">
        <v>5023</v>
      </c>
      <c r="T855" s="2" t="s">
        <v>2733</v>
      </c>
      <c r="U855" s="2" t="s">
        <v>4754</v>
      </c>
      <c r="V855" s="5" t="n">
        <v>300</v>
      </c>
      <c r="W855" s="2"/>
      <c r="X855" s="2" t="s">
        <v>5614</v>
      </c>
      <c r="Y855" s="5"/>
      <c r="Z855" s="2" t="s">
        <v>5615</v>
      </c>
      <c r="AA855" s="6" t="s">
        <v>5616</v>
      </c>
    </row>
    <row r="856" customFormat="false" ht="91" hidden="false" customHeight="false" outlineLevel="0" collapsed="false">
      <c r="A856" s="5" t="s">
        <v>5617</v>
      </c>
      <c r="B856" s="2" t="s">
        <v>5618</v>
      </c>
      <c r="C856" s="5" t="s">
        <v>2128</v>
      </c>
      <c r="D856" s="5" t="s">
        <v>4760</v>
      </c>
      <c r="E856" s="2" t="s">
        <v>2079</v>
      </c>
      <c r="F856" s="5" t="s">
        <v>62</v>
      </c>
      <c r="G856" s="5" t="n">
        <v>9</v>
      </c>
      <c r="H856" s="5" t="s">
        <v>63</v>
      </c>
      <c r="I856" s="5" t="s">
        <v>64</v>
      </c>
      <c r="J856" s="5" t="s">
        <v>65</v>
      </c>
      <c r="K856" s="5" t="s">
        <v>66</v>
      </c>
      <c r="L856" s="2" t="s">
        <v>2079</v>
      </c>
      <c r="M856" s="2" t="s">
        <v>4805</v>
      </c>
      <c r="N856" s="2" t="s">
        <v>5108</v>
      </c>
      <c r="O856" s="2" t="s">
        <v>5619</v>
      </c>
      <c r="P856" s="2"/>
      <c r="Q856" s="5" t="n">
        <v>1</v>
      </c>
      <c r="R856" s="2" t="s">
        <v>4997</v>
      </c>
      <c r="S856" s="2" t="s">
        <v>5011</v>
      </c>
      <c r="T856" s="2" t="s">
        <v>2733</v>
      </c>
      <c r="U856" s="2" t="s">
        <v>74</v>
      </c>
      <c r="V856" s="5" t="n">
        <v>300</v>
      </c>
      <c r="W856" s="2"/>
      <c r="X856" s="2" t="s">
        <v>5620</v>
      </c>
      <c r="Y856" s="5"/>
      <c r="Z856" s="2" t="s">
        <v>5621</v>
      </c>
      <c r="AA856" s="6" t="s">
        <v>5622</v>
      </c>
    </row>
    <row r="857" customFormat="false" ht="68.65" hidden="false" customHeight="false" outlineLevel="0" collapsed="false">
      <c r="A857" s="5" t="s">
        <v>5623</v>
      </c>
      <c r="B857" s="2" t="s">
        <v>5624</v>
      </c>
      <c r="C857" s="5" t="s">
        <v>2128</v>
      </c>
      <c r="D857" s="5" t="s">
        <v>4760</v>
      </c>
      <c r="E857" s="2" t="s">
        <v>2079</v>
      </c>
      <c r="F857" s="5" t="s">
        <v>62</v>
      </c>
      <c r="G857" s="5" t="n">
        <v>9</v>
      </c>
      <c r="H857" s="5" t="s">
        <v>63</v>
      </c>
      <c r="I857" s="5" t="s">
        <v>64</v>
      </c>
      <c r="J857" s="5" t="s">
        <v>65</v>
      </c>
      <c r="K857" s="5" t="s">
        <v>66</v>
      </c>
      <c r="L857" s="2" t="s">
        <v>2079</v>
      </c>
      <c r="M857" s="2" t="s">
        <v>4805</v>
      </c>
      <c r="N857" s="2" t="s">
        <v>5108</v>
      </c>
      <c r="O857" s="2" t="s">
        <v>5625</v>
      </c>
      <c r="P857" s="2"/>
      <c r="Q857" s="5" t="n">
        <v>1</v>
      </c>
      <c r="R857" s="2" t="s">
        <v>4997</v>
      </c>
      <c r="S857" s="2" t="s">
        <v>5023</v>
      </c>
      <c r="T857" s="2" t="s">
        <v>2733</v>
      </c>
      <c r="U857" s="2" t="s">
        <v>74</v>
      </c>
      <c r="V857" s="5" t="n">
        <v>300</v>
      </c>
      <c r="W857" s="2"/>
      <c r="X857" s="2" t="s">
        <v>5626</v>
      </c>
      <c r="Y857" s="5"/>
      <c r="Z857" s="2" t="s">
        <v>5627</v>
      </c>
      <c r="AA857" s="6" t="s">
        <v>5628</v>
      </c>
    </row>
    <row r="858" customFormat="false" ht="79.85" hidden="false" customHeight="false" outlineLevel="0" collapsed="false">
      <c r="A858" s="5" t="s">
        <v>5629</v>
      </c>
      <c r="B858" s="2" t="s">
        <v>5630</v>
      </c>
      <c r="C858" s="5" t="s">
        <v>2128</v>
      </c>
      <c r="D858" s="5" t="s">
        <v>4760</v>
      </c>
      <c r="E858" s="2" t="s">
        <v>2079</v>
      </c>
      <c r="F858" s="5" t="s">
        <v>62</v>
      </c>
      <c r="G858" s="5" t="n">
        <v>9</v>
      </c>
      <c r="H858" s="5" t="s">
        <v>63</v>
      </c>
      <c r="I858" s="5" t="s">
        <v>64</v>
      </c>
      <c r="J858" s="5" t="s">
        <v>65</v>
      </c>
      <c r="K858" s="5" t="s">
        <v>66</v>
      </c>
      <c r="L858" s="2" t="s">
        <v>2079</v>
      </c>
      <c r="M858" s="2" t="s">
        <v>4805</v>
      </c>
      <c r="N858" s="2" t="s">
        <v>2731</v>
      </c>
      <c r="O858" s="2" t="s">
        <v>5631</v>
      </c>
      <c r="P858" s="2"/>
      <c r="Q858" s="5" t="n">
        <v>1</v>
      </c>
      <c r="R858" s="2" t="s">
        <v>4997</v>
      </c>
      <c r="S858" s="2" t="s">
        <v>5632</v>
      </c>
      <c r="T858" s="2" t="s">
        <v>5207</v>
      </c>
      <c r="U858" s="2" t="s">
        <v>74</v>
      </c>
      <c r="V858" s="5" t="n">
        <v>300</v>
      </c>
      <c r="W858" s="2"/>
      <c r="X858" s="2" t="s">
        <v>5633</v>
      </c>
      <c r="Y858" s="5"/>
      <c r="Z858" s="2" t="s">
        <v>5634</v>
      </c>
      <c r="AA858" s="6" t="s">
        <v>5635</v>
      </c>
    </row>
    <row r="859" customFormat="false" ht="68.65" hidden="false" customHeight="false" outlineLevel="0" collapsed="false">
      <c r="A859" s="5" t="s">
        <v>5636</v>
      </c>
      <c r="B859" s="2" t="s">
        <v>5637</v>
      </c>
      <c r="C859" s="5" t="s">
        <v>2128</v>
      </c>
      <c r="D859" s="5" t="s">
        <v>4760</v>
      </c>
      <c r="E859" s="2" t="s">
        <v>2079</v>
      </c>
      <c r="F859" s="5" t="s">
        <v>62</v>
      </c>
      <c r="G859" s="5" t="n">
        <v>9</v>
      </c>
      <c r="H859" s="5" t="s">
        <v>63</v>
      </c>
      <c r="I859" s="5" t="s">
        <v>64</v>
      </c>
      <c r="J859" s="5" t="s">
        <v>65</v>
      </c>
      <c r="K859" s="5" t="s">
        <v>66</v>
      </c>
      <c r="L859" s="2" t="s">
        <v>2079</v>
      </c>
      <c r="M859" s="2" t="s">
        <v>4805</v>
      </c>
      <c r="N859" s="2" t="s">
        <v>2731</v>
      </c>
      <c r="O859" s="2" t="s">
        <v>5638</v>
      </c>
      <c r="P859" s="2"/>
      <c r="Q859" s="5" t="n">
        <v>1</v>
      </c>
      <c r="R859" s="2" t="s">
        <v>4997</v>
      </c>
      <c r="S859" s="2" t="s">
        <v>5011</v>
      </c>
      <c r="T859" s="2" t="s">
        <v>2733</v>
      </c>
      <c r="U859" s="2" t="s">
        <v>74</v>
      </c>
      <c r="V859" s="5" t="n">
        <v>300</v>
      </c>
      <c r="W859" s="2"/>
      <c r="X859" s="2" t="s">
        <v>5639</v>
      </c>
      <c r="Y859" s="5"/>
      <c r="Z859" s="2" t="s">
        <v>5640</v>
      </c>
      <c r="AA859" s="6" t="s">
        <v>5641</v>
      </c>
    </row>
    <row r="860" customFormat="false" ht="68.65" hidden="false" customHeight="false" outlineLevel="0" collapsed="false">
      <c r="A860" s="5" t="s">
        <v>5642</v>
      </c>
      <c r="B860" s="2" t="s">
        <v>5643</v>
      </c>
      <c r="C860" s="5" t="s">
        <v>2128</v>
      </c>
      <c r="D860" s="5" t="s">
        <v>4760</v>
      </c>
      <c r="E860" s="2" t="s">
        <v>2079</v>
      </c>
      <c r="F860" s="5" t="s">
        <v>62</v>
      </c>
      <c r="G860" s="5" t="n">
        <v>9</v>
      </c>
      <c r="H860" s="5" t="s">
        <v>63</v>
      </c>
      <c r="I860" s="5" t="s">
        <v>64</v>
      </c>
      <c r="J860" s="5" t="s">
        <v>65</v>
      </c>
      <c r="K860" s="5" t="s">
        <v>66</v>
      </c>
      <c r="L860" s="2" t="s">
        <v>2079</v>
      </c>
      <c r="M860" s="2" t="s">
        <v>4805</v>
      </c>
      <c r="N860" s="2" t="s">
        <v>2731</v>
      </c>
      <c r="O860" s="2" t="s">
        <v>5644</v>
      </c>
      <c r="P860" s="2"/>
      <c r="Q860" s="5" t="n">
        <v>1</v>
      </c>
      <c r="R860" s="2" t="s">
        <v>4997</v>
      </c>
      <c r="S860" s="2" t="s">
        <v>5023</v>
      </c>
      <c r="T860" s="2" t="s">
        <v>2733</v>
      </c>
      <c r="U860" s="2" t="s">
        <v>74</v>
      </c>
      <c r="V860" s="5" t="n">
        <v>300</v>
      </c>
      <c r="W860" s="2"/>
      <c r="X860" s="2" t="s">
        <v>5645</v>
      </c>
      <c r="Y860" s="5"/>
      <c r="Z860" s="2" t="s">
        <v>5646</v>
      </c>
      <c r="AA860" s="6" t="s">
        <v>5647</v>
      </c>
    </row>
    <row r="861" customFormat="false" ht="68.65" hidden="false" customHeight="false" outlineLevel="0" collapsed="false">
      <c r="A861" s="5" t="s">
        <v>5648</v>
      </c>
      <c r="B861" s="2" t="s">
        <v>5649</v>
      </c>
      <c r="C861" s="5" t="s">
        <v>2128</v>
      </c>
      <c r="D861" s="5" t="s">
        <v>4760</v>
      </c>
      <c r="E861" s="2" t="s">
        <v>2079</v>
      </c>
      <c r="F861" s="5" t="s">
        <v>62</v>
      </c>
      <c r="G861" s="5" t="n">
        <v>9</v>
      </c>
      <c r="H861" s="5" t="s">
        <v>63</v>
      </c>
      <c r="I861" s="5" t="s">
        <v>64</v>
      </c>
      <c r="J861" s="5" t="s">
        <v>65</v>
      </c>
      <c r="K861" s="5" t="s">
        <v>66</v>
      </c>
      <c r="L861" s="2" t="s">
        <v>2079</v>
      </c>
      <c r="M861" s="2" t="s">
        <v>4805</v>
      </c>
      <c r="N861" s="2" t="s">
        <v>2731</v>
      </c>
      <c r="O861" s="2" t="s">
        <v>5650</v>
      </c>
      <c r="P861" s="2"/>
      <c r="Q861" s="5" t="n">
        <v>1</v>
      </c>
      <c r="R861" s="2" t="s">
        <v>4997</v>
      </c>
      <c r="S861" s="2" t="s">
        <v>5023</v>
      </c>
      <c r="T861" s="2" t="s">
        <v>2733</v>
      </c>
      <c r="U861" s="2" t="s">
        <v>4754</v>
      </c>
      <c r="V861" s="5" t="n">
        <v>300</v>
      </c>
      <c r="W861" s="2"/>
      <c r="X861" s="2" t="s">
        <v>5651</v>
      </c>
      <c r="Y861" s="5"/>
      <c r="Z861" s="2" t="s">
        <v>5652</v>
      </c>
      <c r="AA861" s="6" t="s">
        <v>5653</v>
      </c>
    </row>
    <row r="862" customFormat="false" ht="68.65" hidden="false" customHeight="false" outlineLevel="0" collapsed="false">
      <c r="A862" s="5" t="s">
        <v>5654</v>
      </c>
      <c r="B862" s="2" t="s">
        <v>5655</v>
      </c>
      <c r="C862" s="5" t="s">
        <v>2245</v>
      </c>
      <c r="D862" s="5" t="s">
        <v>4760</v>
      </c>
      <c r="E862" s="2" t="s">
        <v>2079</v>
      </c>
      <c r="F862" s="5" t="s">
        <v>62</v>
      </c>
      <c r="G862" s="5" t="n">
        <v>9</v>
      </c>
      <c r="H862" s="5" t="s">
        <v>63</v>
      </c>
      <c r="I862" s="5" t="s">
        <v>64</v>
      </c>
      <c r="J862" s="5" t="s">
        <v>65</v>
      </c>
      <c r="K862" s="5" t="s">
        <v>66</v>
      </c>
      <c r="L862" s="2" t="s">
        <v>2079</v>
      </c>
      <c r="M862" s="2" t="s">
        <v>4805</v>
      </c>
      <c r="N862" s="2" t="s">
        <v>2731</v>
      </c>
      <c r="O862" s="2" t="s">
        <v>5656</v>
      </c>
      <c r="P862" s="2"/>
      <c r="Q862" s="5" t="n">
        <v>1</v>
      </c>
      <c r="R862" s="2" t="s">
        <v>4997</v>
      </c>
      <c r="S862" s="2" t="s">
        <v>5023</v>
      </c>
      <c r="T862" s="2" t="s">
        <v>5207</v>
      </c>
      <c r="U862" s="2" t="s">
        <v>74</v>
      </c>
      <c r="V862" s="5" t="n">
        <v>300</v>
      </c>
      <c r="W862" s="2"/>
      <c r="X862" s="2" t="s">
        <v>5657</v>
      </c>
      <c r="Y862" s="5"/>
      <c r="Z862" s="2" t="s">
        <v>5658</v>
      </c>
      <c r="AA862" s="6" t="s">
        <v>5659</v>
      </c>
    </row>
    <row r="863" customFormat="false" ht="46.25" hidden="false" customHeight="false" outlineLevel="0" collapsed="false">
      <c r="A863" s="5" t="s">
        <v>5660</v>
      </c>
      <c r="B863" s="2" t="s">
        <v>5661</v>
      </c>
      <c r="C863" s="5" t="s">
        <v>2128</v>
      </c>
      <c r="D863" s="5" t="s">
        <v>4760</v>
      </c>
      <c r="E863" s="2" t="s">
        <v>2079</v>
      </c>
      <c r="F863" s="5" t="s">
        <v>62</v>
      </c>
      <c r="G863" s="5" t="n">
        <v>9</v>
      </c>
      <c r="H863" s="5" t="s">
        <v>63</v>
      </c>
      <c r="I863" s="5" t="s">
        <v>64</v>
      </c>
      <c r="J863" s="5" t="s">
        <v>65</v>
      </c>
      <c r="K863" s="5" t="s">
        <v>66</v>
      </c>
      <c r="L863" s="2" t="s">
        <v>2079</v>
      </c>
      <c r="M863" s="2" t="s">
        <v>4805</v>
      </c>
      <c r="N863" s="2" t="s">
        <v>2721</v>
      </c>
      <c r="O863" s="2" t="s">
        <v>2722</v>
      </c>
      <c r="P863" s="2"/>
      <c r="Q863" s="5" t="n">
        <v>1</v>
      </c>
      <c r="R863" s="2" t="s">
        <v>4997</v>
      </c>
      <c r="S863" s="2" t="s">
        <v>5662</v>
      </c>
      <c r="T863" s="2" t="s">
        <v>2725</v>
      </c>
      <c r="U863" s="2" t="s">
        <v>74</v>
      </c>
      <c r="V863" s="5" t="n">
        <v>300</v>
      </c>
      <c r="W863" s="2"/>
      <c r="X863" s="2" t="s">
        <v>2726</v>
      </c>
      <c r="Y863" s="5"/>
      <c r="Z863" s="2" t="s">
        <v>5663</v>
      </c>
      <c r="AA863" s="6" t="s">
        <v>5664</v>
      </c>
    </row>
    <row r="864" customFormat="false" ht="79.85" hidden="false" customHeight="false" outlineLevel="0" collapsed="false">
      <c r="A864" s="5" t="s">
        <v>5665</v>
      </c>
      <c r="B864" s="2" t="s">
        <v>5666</v>
      </c>
      <c r="C864" s="5" t="s">
        <v>2128</v>
      </c>
      <c r="D864" s="5" t="s">
        <v>4760</v>
      </c>
      <c r="E864" s="2" t="s">
        <v>2079</v>
      </c>
      <c r="F864" s="5" t="s">
        <v>62</v>
      </c>
      <c r="G864" s="5" t="n">
        <v>9</v>
      </c>
      <c r="H864" s="5" t="s">
        <v>63</v>
      </c>
      <c r="I864" s="5" t="s">
        <v>64</v>
      </c>
      <c r="J864" s="5" t="s">
        <v>65</v>
      </c>
      <c r="K864" s="5" t="s">
        <v>66</v>
      </c>
      <c r="L864" s="2" t="s">
        <v>2079</v>
      </c>
      <c r="M864" s="2" t="s">
        <v>4805</v>
      </c>
      <c r="N864" s="2" t="s">
        <v>2731</v>
      </c>
      <c r="O864" s="2" t="s">
        <v>5667</v>
      </c>
      <c r="P864" s="2"/>
      <c r="Q864" s="5" t="n">
        <v>1</v>
      </c>
      <c r="R864" s="2" t="s">
        <v>4997</v>
      </c>
      <c r="S864" s="2" t="s">
        <v>5668</v>
      </c>
      <c r="T864" s="2" t="s">
        <v>2733</v>
      </c>
      <c r="U864" s="2" t="s">
        <v>74</v>
      </c>
      <c r="V864" s="5" t="n">
        <v>300</v>
      </c>
      <c r="W864" s="2"/>
      <c r="X864" s="2" t="s">
        <v>5669</v>
      </c>
      <c r="Y864" s="5"/>
      <c r="Z864" s="2" t="s">
        <v>5670</v>
      </c>
      <c r="AA864" s="6" t="s">
        <v>5671</v>
      </c>
    </row>
    <row r="865" customFormat="false" ht="68.65" hidden="false" customHeight="false" outlineLevel="0" collapsed="false">
      <c r="A865" s="5" t="s">
        <v>5672</v>
      </c>
      <c r="B865" s="2" t="s">
        <v>5673</v>
      </c>
      <c r="C865" s="5" t="s">
        <v>2128</v>
      </c>
      <c r="D865" s="5" t="s">
        <v>4760</v>
      </c>
      <c r="E865" s="2" t="s">
        <v>2079</v>
      </c>
      <c r="F865" s="5" t="s">
        <v>62</v>
      </c>
      <c r="G865" s="5" t="n">
        <v>9</v>
      </c>
      <c r="H865" s="5" t="s">
        <v>63</v>
      </c>
      <c r="I865" s="5" t="s">
        <v>64</v>
      </c>
      <c r="J865" s="5" t="s">
        <v>65</v>
      </c>
      <c r="K865" s="5" t="s">
        <v>66</v>
      </c>
      <c r="L865" s="2" t="s">
        <v>2079</v>
      </c>
      <c r="M865" s="2" t="s">
        <v>4805</v>
      </c>
      <c r="N865" s="2" t="s">
        <v>2721</v>
      </c>
      <c r="O865" s="2" t="s">
        <v>5041</v>
      </c>
      <c r="P865" s="2"/>
      <c r="Q865" s="5" t="n">
        <v>1</v>
      </c>
      <c r="R865" s="2" t="s">
        <v>4997</v>
      </c>
      <c r="S865" s="2" t="s">
        <v>5674</v>
      </c>
      <c r="T865" s="2" t="s">
        <v>2725</v>
      </c>
      <c r="U865" s="2" t="s">
        <v>74</v>
      </c>
      <c r="V865" s="5" t="n">
        <v>300</v>
      </c>
      <c r="W865" s="2"/>
      <c r="X865" s="2" t="s">
        <v>5043</v>
      </c>
      <c r="Y865" s="5"/>
      <c r="Z865" s="2" t="s">
        <v>5675</v>
      </c>
      <c r="AA865" s="6" t="s">
        <v>5676</v>
      </c>
    </row>
    <row r="866" customFormat="false" ht="68.65" hidden="false" customHeight="false" outlineLevel="0" collapsed="false">
      <c r="A866" s="5" t="s">
        <v>5677</v>
      </c>
      <c r="B866" s="2" t="s">
        <v>5678</v>
      </c>
      <c r="C866" s="5" t="s">
        <v>2128</v>
      </c>
      <c r="D866" s="5" t="s">
        <v>4760</v>
      </c>
      <c r="E866" s="2" t="s">
        <v>2079</v>
      </c>
      <c r="F866" s="5" t="s">
        <v>62</v>
      </c>
      <c r="G866" s="5" t="n">
        <v>9</v>
      </c>
      <c r="H866" s="5" t="s">
        <v>63</v>
      </c>
      <c r="I866" s="5" t="s">
        <v>64</v>
      </c>
      <c r="J866" s="5" t="s">
        <v>65</v>
      </c>
      <c r="K866" s="5" t="s">
        <v>66</v>
      </c>
      <c r="L866" s="2" t="s">
        <v>2079</v>
      </c>
      <c r="M866" s="2" t="s">
        <v>4805</v>
      </c>
      <c r="N866" s="2" t="s">
        <v>2731</v>
      </c>
      <c r="O866" s="2" t="s">
        <v>5679</v>
      </c>
      <c r="P866" s="2"/>
      <c r="Q866" s="5" t="n">
        <v>1</v>
      </c>
      <c r="R866" s="2" t="s">
        <v>4997</v>
      </c>
      <c r="S866" s="2" t="s">
        <v>5680</v>
      </c>
      <c r="T866" s="2" t="s">
        <v>2733</v>
      </c>
      <c r="U866" s="2" t="s">
        <v>74</v>
      </c>
      <c r="V866" s="5" t="n">
        <v>300</v>
      </c>
      <c r="W866" s="2"/>
      <c r="X866" s="2" t="s">
        <v>5681</v>
      </c>
      <c r="Y866" s="5"/>
      <c r="Z866" s="2" t="s">
        <v>5682</v>
      </c>
      <c r="AA866" s="6" t="s">
        <v>5683</v>
      </c>
    </row>
    <row r="867" customFormat="false" ht="79.85" hidden="false" customHeight="false" outlineLevel="0" collapsed="false">
      <c r="A867" s="5" t="s">
        <v>5684</v>
      </c>
      <c r="B867" s="2" t="s">
        <v>5685</v>
      </c>
      <c r="C867" s="5" t="s">
        <v>2128</v>
      </c>
      <c r="D867" s="5" t="s">
        <v>4760</v>
      </c>
      <c r="E867" s="2" t="s">
        <v>2079</v>
      </c>
      <c r="F867" s="5" t="s">
        <v>62</v>
      </c>
      <c r="G867" s="5" t="n">
        <v>9</v>
      </c>
      <c r="H867" s="5" t="s">
        <v>63</v>
      </c>
      <c r="I867" s="5" t="s">
        <v>64</v>
      </c>
      <c r="J867" s="5" t="s">
        <v>65</v>
      </c>
      <c r="K867" s="5" t="s">
        <v>66</v>
      </c>
      <c r="L867" s="2" t="s">
        <v>2079</v>
      </c>
      <c r="M867" s="2" t="s">
        <v>4805</v>
      </c>
      <c r="N867" s="2" t="s">
        <v>2731</v>
      </c>
      <c r="O867" s="2" t="s">
        <v>5686</v>
      </c>
      <c r="P867" s="2"/>
      <c r="Q867" s="5" t="n">
        <v>1</v>
      </c>
      <c r="R867" s="2" t="s">
        <v>4997</v>
      </c>
      <c r="S867" s="2" t="s">
        <v>5687</v>
      </c>
      <c r="T867" s="2" t="s">
        <v>2733</v>
      </c>
      <c r="U867" s="2" t="s">
        <v>74</v>
      </c>
      <c r="V867" s="5" t="n">
        <v>300</v>
      </c>
      <c r="W867" s="2"/>
      <c r="X867" s="2" t="s">
        <v>5688</v>
      </c>
      <c r="Y867" s="5"/>
      <c r="Z867" s="2" t="s">
        <v>5689</v>
      </c>
      <c r="AA867" s="6" t="s">
        <v>5690</v>
      </c>
    </row>
    <row r="868" customFormat="false" ht="68.65" hidden="false" customHeight="false" outlineLevel="0" collapsed="false">
      <c r="A868" s="5" t="s">
        <v>5691</v>
      </c>
      <c r="B868" s="2" t="s">
        <v>5692</v>
      </c>
      <c r="C868" s="5" t="s">
        <v>2128</v>
      </c>
      <c r="D868" s="5" t="s">
        <v>4760</v>
      </c>
      <c r="E868" s="2" t="s">
        <v>2079</v>
      </c>
      <c r="F868" s="5" t="s">
        <v>62</v>
      </c>
      <c r="G868" s="5" t="n">
        <v>9</v>
      </c>
      <c r="H868" s="5" t="s">
        <v>63</v>
      </c>
      <c r="I868" s="5" t="s">
        <v>64</v>
      </c>
      <c r="J868" s="5" t="s">
        <v>65</v>
      </c>
      <c r="K868" s="5" t="s">
        <v>66</v>
      </c>
      <c r="L868" s="2" t="s">
        <v>2079</v>
      </c>
      <c r="M868" s="2" t="s">
        <v>4805</v>
      </c>
      <c r="N868" s="2" t="s">
        <v>2731</v>
      </c>
      <c r="O868" s="2" t="s">
        <v>5693</v>
      </c>
      <c r="P868" s="2"/>
      <c r="Q868" s="5" t="n">
        <v>1</v>
      </c>
      <c r="R868" s="2" t="s">
        <v>4997</v>
      </c>
      <c r="S868" s="2" t="s">
        <v>5023</v>
      </c>
      <c r="T868" s="2" t="s">
        <v>2733</v>
      </c>
      <c r="U868" s="2" t="s">
        <v>4754</v>
      </c>
      <c r="V868" s="5" t="n">
        <v>300</v>
      </c>
      <c r="W868" s="2"/>
      <c r="X868" s="2" t="s">
        <v>5694</v>
      </c>
      <c r="Y868" s="5"/>
      <c r="Z868" s="2" t="s">
        <v>5695</v>
      </c>
      <c r="AA868" s="6" t="s">
        <v>5696</v>
      </c>
    </row>
    <row r="869" customFormat="false" ht="46.25" hidden="false" customHeight="false" outlineLevel="0" collapsed="false">
      <c r="A869" s="5" t="s">
        <v>5697</v>
      </c>
      <c r="B869" s="2" t="s">
        <v>5698</v>
      </c>
      <c r="C869" s="5" t="s">
        <v>2128</v>
      </c>
      <c r="D869" s="5" t="s">
        <v>4760</v>
      </c>
      <c r="E869" s="2" t="s">
        <v>2079</v>
      </c>
      <c r="F869" s="5" t="s">
        <v>62</v>
      </c>
      <c r="G869" s="5" t="n">
        <v>9</v>
      </c>
      <c r="H869" s="5" t="s">
        <v>63</v>
      </c>
      <c r="I869" s="5" t="s">
        <v>64</v>
      </c>
      <c r="J869" s="5" t="s">
        <v>65</v>
      </c>
      <c r="K869" s="5" t="s">
        <v>66</v>
      </c>
      <c r="L869" s="2" t="s">
        <v>2079</v>
      </c>
      <c r="M869" s="2" t="s">
        <v>4805</v>
      </c>
      <c r="N869" s="2" t="s">
        <v>2721</v>
      </c>
      <c r="O869" s="2" t="s">
        <v>4932</v>
      </c>
      <c r="P869" s="2"/>
      <c r="Q869" s="5" t="n">
        <v>1</v>
      </c>
      <c r="R869" s="2" t="s">
        <v>4997</v>
      </c>
      <c r="S869" s="2" t="s">
        <v>5699</v>
      </c>
      <c r="T869" s="2" t="s">
        <v>2725</v>
      </c>
      <c r="U869" s="2" t="s">
        <v>74</v>
      </c>
      <c r="V869" s="5" t="n">
        <v>300</v>
      </c>
      <c r="W869" s="2"/>
      <c r="X869" s="2" t="s">
        <v>4934</v>
      </c>
      <c r="Y869" s="5"/>
      <c r="Z869" s="2" t="s">
        <v>5700</v>
      </c>
      <c r="AA869" s="6" t="s">
        <v>5701</v>
      </c>
    </row>
    <row r="870" customFormat="false" ht="91" hidden="false" customHeight="false" outlineLevel="0" collapsed="false">
      <c r="A870" s="5" t="s">
        <v>5702</v>
      </c>
      <c r="B870" s="2" t="s">
        <v>5703</v>
      </c>
      <c r="C870" s="5" t="s">
        <v>2128</v>
      </c>
      <c r="D870" s="5" t="s">
        <v>4760</v>
      </c>
      <c r="E870" s="2" t="s">
        <v>2079</v>
      </c>
      <c r="F870" s="5" t="s">
        <v>62</v>
      </c>
      <c r="G870" s="5" t="n">
        <v>9</v>
      </c>
      <c r="H870" s="5" t="s">
        <v>63</v>
      </c>
      <c r="I870" s="5" t="s">
        <v>64</v>
      </c>
      <c r="J870" s="5" t="s">
        <v>65</v>
      </c>
      <c r="K870" s="5" t="s">
        <v>66</v>
      </c>
      <c r="L870" s="2" t="s">
        <v>2079</v>
      </c>
      <c r="M870" s="2" t="s">
        <v>4805</v>
      </c>
      <c r="N870" s="2" t="s">
        <v>2731</v>
      </c>
      <c r="O870" s="2" t="s">
        <v>5704</v>
      </c>
      <c r="P870" s="2"/>
      <c r="Q870" s="5" t="n">
        <v>1</v>
      </c>
      <c r="R870" s="2" t="s">
        <v>4997</v>
      </c>
      <c r="S870" s="2" t="s">
        <v>5705</v>
      </c>
      <c r="T870" s="2" t="s">
        <v>2733</v>
      </c>
      <c r="U870" s="2" t="s">
        <v>74</v>
      </c>
      <c r="V870" s="5" t="n">
        <v>300</v>
      </c>
      <c r="W870" s="2"/>
      <c r="X870" s="2" t="s">
        <v>5706</v>
      </c>
      <c r="Y870" s="5"/>
      <c r="Z870" s="2" t="s">
        <v>5707</v>
      </c>
      <c r="AA870" s="6" t="s">
        <v>5708</v>
      </c>
    </row>
    <row r="871" customFormat="false" ht="68.65" hidden="false" customHeight="false" outlineLevel="0" collapsed="false">
      <c r="A871" s="5" t="s">
        <v>5709</v>
      </c>
      <c r="B871" s="2" t="s">
        <v>5710</v>
      </c>
      <c r="C871" s="5" t="s">
        <v>2128</v>
      </c>
      <c r="D871" s="5" t="s">
        <v>4760</v>
      </c>
      <c r="E871" s="2" t="s">
        <v>2079</v>
      </c>
      <c r="F871" s="5" t="s">
        <v>490</v>
      </c>
      <c r="G871" s="5" t="n">
        <v>9</v>
      </c>
      <c r="H871" s="5" t="s">
        <v>63</v>
      </c>
      <c r="I871" s="5" t="s">
        <v>64</v>
      </c>
      <c r="J871" s="5" t="s">
        <v>65</v>
      </c>
      <c r="K871" s="5" t="s">
        <v>66</v>
      </c>
      <c r="L871" s="2" t="s">
        <v>2079</v>
      </c>
      <c r="M871" s="2" t="s">
        <v>4805</v>
      </c>
      <c r="N871" s="2" t="s">
        <v>2721</v>
      </c>
      <c r="O871" s="2" t="s">
        <v>5041</v>
      </c>
      <c r="P871" s="2"/>
      <c r="Q871" s="5" t="n">
        <v>1</v>
      </c>
      <c r="R871" s="2" t="s">
        <v>4997</v>
      </c>
      <c r="S871" s="2" t="s">
        <v>5711</v>
      </c>
      <c r="T871" s="2" t="s">
        <v>2725</v>
      </c>
      <c r="U871" s="2" t="s">
        <v>74</v>
      </c>
      <c r="V871" s="5" t="n">
        <v>300</v>
      </c>
      <c r="W871" s="2"/>
      <c r="X871" s="2" t="s">
        <v>5043</v>
      </c>
      <c r="Y871" s="5"/>
      <c r="Z871" s="2" t="s">
        <v>5712</v>
      </c>
      <c r="AA871" s="6" t="s">
        <v>5713</v>
      </c>
    </row>
    <row r="872" customFormat="false" ht="79.85" hidden="false" customHeight="false" outlineLevel="0" collapsed="false">
      <c r="A872" s="5" t="s">
        <v>5714</v>
      </c>
      <c r="B872" s="2" t="s">
        <v>5715</v>
      </c>
      <c r="C872" s="5" t="s">
        <v>2128</v>
      </c>
      <c r="D872" s="5" t="s">
        <v>4760</v>
      </c>
      <c r="E872" s="2" t="s">
        <v>2079</v>
      </c>
      <c r="F872" s="5" t="s">
        <v>490</v>
      </c>
      <c r="G872" s="5" t="n">
        <v>9</v>
      </c>
      <c r="H872" s="5" t="s">
        <v>63</v>
      </c>
      <c r="I872" s="5" t="s">
        <v>64</v>
      </c>
      <c r="J872" s="5" t="s">
        <v>65</v>
      </c>
      <c r="K872" s="5" t="s">
        <v>66</v>
      </c>
      <c r="L872" s="2" t="s">
        <v>2079</v>
      </c>
      <c r="M872" s="2" t="s">
        <v>4805</v>
      </c>
      <c r="N872" s="2" t="s">
        <v>2731</v>
      </c>
      <c r="O872" s="2" t="s">
        <v>5716</v>
      </c>
      <c r="P872" s="2"/>
      <c r="Q872" s="5" t="n">
        <v>1</v>
      </c>
      <c r="R872" s="2" t="s">
        <v>4997</v>
      </c>
      <c r="S872" s="2" t="s">
        <v>5717</v>
      </c>
      <c r="T872" s="2" t="s">
        <v>2733</v>
      </c>
      <c r="U872" s="2" t="s">
        <v>74</v>
      </c>
      <c r="V872" s="5" t="n">
        <v>300</v>
      </c>
      <c r="W872" s="2"/>
      <c r="X872" s="2" t="s">
        <v>5718</v>
      </c>
      <c r="Y872" s="5"/>
      <c r="Z872" s="2" t="s">
        <v>5719</v>
      </c>
      <c r="AA872" s="6" t="s">
        <v>5720</v>
      </c>
    </row>
    <row r="873" customFormat="false" ht="68.65" hidden="false" customHeight="false" outlineLevel="0" collapsed="false">
      <c r="A873" s="5" t="s">
        <v>5721</v>
      </c>
      <c r="B873" s="2" t="s">
        <v>5722</v>
      </c>
      <c r="C873" s="5" t="s">
        <v>2128</v>
      </c>
      <c r="D873" s="5" t="s">
        <v>4760</v>
      </c>
      <c r="E873" s="2" t="s">
        <v>2079</v>
      </c>
      <c r="F873" s="5" t="s">
        <v>62</v>
      </c>
      <c r="G873" s="5" t="n">
        <v>9</v>
      </c>
      <c r="H873" s="5" t="s">
        <v>63</v>
      </c>
      <c r="I873" s="5" t="s">
        <v>64</v>
      </c>
      <c r="J873" s="5" t="s">
        <v>65</v>
      </c>
      <c r="K873" s="5" t="s">
        <v>66</v>
      </c>
      <c r="L873" s="2" t="s">
        <v>2079</v>
      </c>
      <c r="M873" s="2" t="s">
        <v>4805</v>
      </c>
      <c r="N873" s="2" t="s">
        <v>2731</v>
      </c>
      <c r="O873" s="2" t="s">
        <v>5723</v>
      </c>
      <c r="P873" s="2"/>
      <c r="Q873" s="5" t="n">
        <v>1</v>
      </c>
      <c r="R873" s="2" t="s">
        <v>4997</v>
      </c>
      <c r="S873" s="2" t="s">
        <v>5023</v>
      </c>
      <c r="T873" s="2" t="s">
        <v>2733</v>
      </c>
      <c r="U873" s="2" t="s">
        <v>74</v>
      </c>
      <c r="V873" s="5" t="n">
        <v>300</v>
      </c>
      <c r="W873" s="2"/>
      <c r="X873" s="2" t="s">
        <v>5724</v>
      </c>
      <c r="Y873" s="5"/>
      <c r="Z873" s="2" t="s">
        <v>5725</v>
      </c>
      <c r="AA873" s="6" t="s">
        <v>5726</v>
      </c>
    </row>
    <row r="874" customFormat="false" ht="460.4" hidden="false" customHeight="false" outlineLevel="0" collapsed="false">
      <c r="A874" s="5" t="s">
        <v>5727</v>
      </c>
      <c r="B874" s="2" t="s">
        <v>5728</v>
      </c>
      <c r="C874" s="5" t="s">
        <v>2245</v>
      </c>
      <c r="D874" s="5" t="s">
        <v>4760</v>
      </c>
      <c r="E874" s="2" t="s">
        <v>2079</v>
      </c>
      <c r="F874" s="5" t="s">
        <v>62</v>
      </c>
      <c r="G874" s="5" t="n">
        <v>9</v>
      </c>
      <c r="H874" s="5" t="s">
        <v>63</v>
      </c>
      <c r="I874" s="5" t="s">
        <v>64</v>
      </c>
      <c r="J874" s="5" t="s">
        <v>65</v>
      </c>
      <c r="K874" s="5" t="s">
        <v>66</v>
      </c>
      <c r="L874" s="2" t="s">
        <v>2079</v>
      </c>
      <c r="M874" s="2" t="s">
        <v>4805</v>
      </c>
      <c r="N874" s="2" t="s">
        <v>2731</v>
      </c>
      <c r="O874" s="2" t="s">
        <v>5314</v>
      </c>
      <c r="P874" s="2"/>
      <c r="Q874" s="5" t="n">
        <v>1</v>
      </c>
      <c r="R874" s="2" t="s">
        <v>4997</v>
      </c>
      <c r="S874" s="2" t="s">
        <v>5729</v>
      </c>
      <c r="T874" s="2" t="s">
        <v>5730</v>
      </c>
      <c r="U874" s="2" t="s">
        <v>74</v>
      </c>
      <c r="V874" s="5" t="n">
        <v>300</v>
      </c>
      <c r="W874" s="2"/>
      <c r="X874" s="2" t="s">
        <v>5317</v>
      </c>
      <c r="Y874" s="5"/>
      <c r="Z874" s="2" t="s">
        <v>5731</v>
      </c>
      <c r="AA874" s="6" t="s">
        <v>5732</v>
      </c>
    </row>
    <row r="875" customFormat="false" ht="68.65" hidden="false" customHeight="false" outlineLevel="0" collapsed="false">
      <c r="A875" s="5" t="s">
        <v>5733</v>
      </c>
      <c r="B875" s="2" t="s">
        <v>5734</v>
      </c>
      <c r="C875" s="5" t="s">
        <v>2128</v>
      </c>
      <c r="D875" s="5" t="s">
        <v>4760</v>
      </c>
      <c r="E875" s="2" t="s">
        <v>2079</v>
      </c>
      <c r="F875" s="5" t="s">
        <v>62</v>
      </c>
      <c r="G875" s="5" t="n">
        <v>9</v>
      </c>
      <c r="H875" s="5" t="s">
        <v>63</v>
      </c>
      <c r="I875" s="5" t="s">
        <v>64</v>
      </c>
      <c r="J875" s="5" t="s">
        <v>65</v>
      </c>
      <c r="K875" s="5" t="s">
        <v>66</v>
      </c>
      <c r="L875" s="2" t="s">
        <v>2079</v>
      </c>
      <c r="M875" s="2" t="s">
        <v>4805</v>
      </c>
      <c r="N875" s="2" t="s">
        <v>2731</v>
      </c>
      <c r="O875" s="2" t="s">
        <v>5735</v>
      </c>
      <c r="P875" s="2"/>
      <c r="Q875" s="5" t="n">
        <v>1</v>
      </c>
      <c r="R875" s="2" t="s">
        <v>4997</v>
      </c>
      <c r="S875" s="2" t="s">
        <v>5023</v>
      </c>
      <c r="T875" s="2" t="s">
        <v>5207</v>
      </c>
      <c r="U875" s="2" t="s">
        <v>74</v>
      </c>
      <c r="V875" s="5" t="n">
        <v>300</v>
      </c>
      <c r="W875" s="2"/>
      <c r="X875" s="2" t="s">
        <v>5736</v>
      </c>
      <c r="Y875" s="5"/>
      <c r="Z875" s="2" t="s">
        <v>5737</v>
      </c>
      <c r="AA875" s="6" t="s">
        <v>5738</v>
      </c>
    </row>
    <row r="876" customFormat="false" ht="46.25" hidden="false" customHeight="false" outlineLevel="0" collapsed="false">
      <c r="A876" s="5" t="s">
        <v>5739</v>
      </c>
      <c r="B876" s="2" t="s">
        <v>5740</v>
      </c>
      <c r="C876" s="5" t="s">
        <v>2128</v>
      </c>
      <c r="D876" s="5" t="s">
        <v>4760</v>
      </c>
      <c r="E876" s="2" t="s">
        <v>2079</v>
      </c>
      <c r="F876" s="5" t="s">
        <v>62</v>
      </c>
      <c r="G876" s="5" t="n">
        <v>9</v>
      </c>
      <c r="H876" s="5" t="s">
        <v>63</v>
      </c>
      <c r="I876" s="5" t="s">
        <v>64</v>
      </c>
      <c r="J876" s="5" t="s">
        <v>65</v>
      </c>
      <c r="K876" s="5" t="s">
        <v>66</v>
      </c>
      <c r="L876" s="2" t="s">
        <v>2079</v>
      </c>
      <c r="M876" s="2" t="s">
        <v>4805</v>
      </c>
      <c r="N876" s="2" t="s">
        <v>2721</v>
      </c>
      <c r="O876" s="2" t="s">
        <v>2722</v>
      </c>
      <c r="P876" s="2"/>
      <c r="Q876" s="5" t="n">
        <v>1</v>
      </c>
      <c r="R876" s="2" t="s">
        <v>4997</v>
      </c>
      <c r="S876" s="2" t="s">
        <v>5741</v>
      </c>
      <c r="T876" s="2" t="s">
        <v>2725</v>
      </c>
      <c r="U876" s="2" t="s">
        <v>74</v>
      </c>
      <c r="V876" s="5" t="n">
        <v>300</v>
      </c>
      <c r="W876" s="2"/>
      <c r="X876" s="2" t="s">
        <v>2726</v>
      </c>
      <c r="Y876" s="5"/>
      <c r="Z876" s="2" t="s">
        <v>5742</v>
      </c>
      <c r="AA876" s="6" t="s">
        <v>5743</v>
      </c>
    </row>
    <row r="877" customFormat="false" ht="91" hidden="false" customHeight="false" outlineLevel="0" collapsed="false">
      <c r="A877" s="5" t="s">
        <v>5744</v>
      </c>
      <c r="B877" s="2" t="s">
        <v>5745</v>
      </c>
      <c r="C877" s="5" t="s">
        <v>2128</v>
      </c>
      <c r="D877" s="5" t="s">
        <v>4760</v>
      </c>
      <c r="E877" s="2" t="s">
        <v>2079</v>
      </c>
      <c r="F877" s="5" t="s">
        <v>62</v>
      </c>
      <c r="G877" s="5" t="n">
        <v>9</v>
      </c>
      <c r="H877" s="5" t="s">
        <v>63</v>
      </c>
      <c r="I877" s="5" t="s">
        <v>64</v>
      </c>
      <c r="J877" s="5" t="s">
        <v>65</v>
      </c>
      <c r="K877" s="5" t="s">
        <v>66</v>
      </c>
      <c r="L877" s="2" t="s">
        <v>2079</v>
      </c>
      <c r="M877" s="2" t="s">
        <v>4805</v>
      </c>
      <c r="N877" s="2" t="s">
        <v>2731</v>
      </c>
      <c r="O877" s="2" t="s">
        <v>5746</v>
      </c>
      <c r="P877" s="2"/>
      <c r="Q877" s="5" t="n">
        <v>1</v>
      </c>
      <c r="R877" s="2" t="s">
        <v>4997</v>
      </c>
      <c r="S877" s="2" t="s">
        <v>5747</v>
      </c>
      <c r="T877" s="2" t="s">
        <v>2733</v>
      </c>
      <c r="U877" s="2" t="s">
        <v>74</v>
      </c>
      <c r="V877" s="5" t="n">
        <v>300</v>
      </c>
      <c r="W877" s="2"/>
      <c r="X877" s="2" t="s">
        <v>5748</v>
      </c>
      <c r="Y877" s="5"/>
      <c r="Z877" s="2" t="s">
        <v>5749</v>
      </c>
      <c r="AA877" s="6" t="s">
        <v>5750</v>
      </c>
    </row>
    <row r="878" customFormat="false" ht="23.85" hidden="false" customHeight="false" outlineLevel="0" collapsed="false">
      <c r="A878" s="5" t="s">
        <v>5751</v>
      </c>
      <c r="B878" s="2" t="s">
        <v>5752</v>
      </c>
      <c r="C878" s="5" t="s">
        <v>2128</v>
      </c>
      <c r="D878" s="5" t="s">
        <v>4760</v>
      </c>
      <c r="E878" s="2" t="s">
        <v>2079</v>
      </c>
      <c r="F878" s="5" t="s">
        <v>490</v>
      </c>
      <c r="G878" s="5" t="n">
        <v>9</v>
      </c>
      <c r="H878" s="5" t="s">
        <v>63</v>
      </c>
      <c r="I878" s="5" t="s">
        <v>64</v>
      </c>
      <c r="J878" s="5" t="s">
        <v>65</v>
      </c>
      <c r="K878" s="5" t="s">
        <v>66</v>
      </c>
      <c r="L878" s="2" t="s">
        <v>2079</v>
      </c>
      <c r="M878" s="2" t="s">
        <v>4805</v>
      </c>
      <c r="N878" s="2" t="s">
        <v>2721</v>
      </c>
      <c r="O878" s="2" t="s">
        <v>4932</v>
      </c>
      <c r="P878" s="2"/>
      <c r="Q878" s="5" t="n">
        <v>1</v>
      </c>
      <c r="R878" s="2" t="s">
        <v>4997</v>
      </c>
      <c r="S878" s="2" t="s">
        <v>5753</v>
      </c>
      <c r="T878" s="2" t="s">
        <v>2725</v>
      </c>
      <c r="U878" s="2" t="s">
        <v>74</v>
      </c>
      <c r="V878" s="5" t="n">
        <v>300</v>
      </c>
      <c r="W878" s="2"/>
      <c r="X878" s="2" t="s">
        <v>4934</v>
      </c>
      <c r="Y878" s="5"/>
      <c r="Z878" s="2" t="s">
        <v>5754</v>
      </c>
      <c r="AA878" s="6" t="s">
        <v>5755</v>
      </c>
    </row>
    <row r="879" customFormat="false" ht="68.65" hidden="false" customHeight="false" outlineLevel="0" collapsed="false">
      <c r="A879" s="5" t="s">
        <v>5756</v>
      </c>
      <c r="B879" s="2" t="s">
        <v>5757</v>
      </c>
      <c r="C879" s="5" t="s">
        <v>2128</v>
      </c>
      <c r="D879" s="5" t="s">
        <v>4760</v>
      </c>
      <c r="E879" s="2" t="s">
        <v>2079</v>
      </c>
      <c r="F879" s="5" t="s">
        <v>490</v>
      </c>
      <c r="G879" s="5" t="n">
        <v>9</v>
      </c>
      <c r="H879" s="5" t="s">
        <v>63</v>
      </c>
      <c r="I879" s="5" t="s">
        <v>64</v>
      </c>
      <c r="J879" s="5" t="s">
        <v>65</v>
      </c>
      <c r="K879" s="5" t="s">
        <v>66</v>
      </c>
      <c r="L879" s="2" t="s">
        <v>2079</v>
      </c>
      <c r="M879" s="2" t="s">
        <v>4805</v>
      </c>
      <c r="N879" s="2" t="s">
        <v>2731</v>
      </c>
      <c r="O879" s="2" t="s">
        <v>5758</v>
      </c>
      <c r="P879" s="2"/>
      <c r="Q879" s="5" t="n">
        <v>1</v>
      </c>
      <c r="R879" s="2" t="s">
        <v>4997</v>
      </c>
      <c r="S879" s="2" t="s">
        <v>5759</v>
      </c>
      <c r="T879" s="2" t="s">
        <v>2733</v>
      </c>
      <c r="U879" s="2" t="s">
        <v>74</v>
      </c>
      <c r="V879" s="5" t="n">
        <v>300</v>
      </c>
      <c r="W879" s="2"/>
      <c r="X879" s="2" t="s">
        <v>5760</v>
      </c>
      <c r="Y879" s="5"/>
      <c r="Z879" s="2" t="s">
        <v>5761</v>
      </c>
      <c r="AA879" s="6" t="s">
        <v>5762</v>
      </c>
    </row>
    <row r="880" customFormat="false" ht="46.25" hidden="false" customHeight="false" outlineLevel="0" collapsed="false">
      <c r="A880" s="5" t="s">
        <v>5763</v>
      </c>
      <c r="B880" s="2" t="s">
        <v>5764</v>
      </c>
      <c r="C880" s="5" t="s">
        <v>2128</v>
      </c>
      <c r="D880" s="5" t="s">
        <v>4760</v>
      </c>
      <c r="E880" s="2" t="s">
        <v>481</v>
      </c>
      <c r="F880" s="5" t="s">
        <v>490</v>
      </c>
      <c r="G880" s="5" t="n">
        <v>9</v>
      </c>
      <c r="H880" s="5" t="s">
        <v>63</v>
      </c>
      <c r="I880" s="5" t="s">
        <v>64</v>
      </c>
      <c r="J880" s="5" t="s">
        <v>65</v>
      </c>
      <c r="K880" s="5" t="s">
        <v>66</v>
      </c>
      <c r="L880" s="2" t="s">
        <v>481</v>
      </c>
      <c r="M880" s="2" t="s">
        <v>1764</v>
      </c>
      <c r="N880" s="2" t="s">
        <v>2721</v>
      </c>
      <c r="O880" s="2" t="s">
        <v>2722</v>
      </c>
      <c r="P880" s="2"/>
      <c r="Q880" s="5" t="n">
        <v>1</v>
      </c>
      <c r="R880" s="2" t="s">
        <v>4997</v>
      </c>
      <c r="S880" s="2" t="s">
        <v>5765</v>
      </c>
      <c r="T880" s="2" t="s">
        <v>2725</v>
      </c>
      <c r="U880" s="2" t="s">
        <v>74</v>
      </c>
      <c r="V880" s="5" t="n">
        <v>300</v>
      </c>
      <c r="W880" s="2"/>
      <c r="X880" s="2" t="s">
        <v>2726</v>
      </c>
      <c r="Y880" s="5"/>
      <c r="Z880" s="2" t="s">
        <v>5766</v>
      </c>
      <c r="AA880" s="6" t="s">
        <v>5767</v>
      </c>
    </row>
    <row r="881" customFormat="false" ht="158.2" hidden="false" customHeight="false" outlineLevel="0" collapsed="false">
      <c r="A881" s="5" t="s">
        <v>5768</v>
      </c>
      <c r="B881" s="2" t="s">
        <v>5769</v>
      </c>
      <c r="C881" s="5" t="s">
        <v>2128</v>
      </c>
      <c r="D881" s="5" t="s">
        <v>4760</v>
      </c>
      <c r="E881" s="2" t="s">
        <v>481</v>
      </c>
      <c r="F881" s="5" t="s">
        <v>62</v>
      </c>
      <c r="G881" s="5" t="n">
        <v>9</v>
      </c>
      <c r="H881" s="5" t="s">
        <v>63</v>
      </c>
      <c r="I881" s="5" t="s">
        <v>64</v>
      </c>
      <c r="J881" s="5" t="s">
        <v>65</v>
      </c>
      <c r="K881" s="5" t="s">
        <v>66</v>
      </c>
      <c r="L881" s="2" t="s">
        <v>481</v>
      </c>
      <c r="M881" s="2" t="s">
        <v>1764</v>
      </c>
      <c r="N881" s="2" t="s">
        <v>2731</v>
      </c>
      <c r="O881" s="2" t="s">
        <v>5770</v>
      </c>
      <c r="P881" s="2"/>
      <c r="Q881" s="5" t="n">
        <v>1</v>
      </c>
      <c r="R881" s="2" t="s">
        <v>4997</v>
      </c>
      <c r="S881" s="2" t="s">
        <v>5771</v>
      </c>
      <c r="T881" s="2" t="s">
        <v>2733</v>
      </c>
      <c r="U881" s="2" t="s">
        <v>74</v>
      </c>
      <c r="V881" s="5" t="n">
        <v>300</v>
      </c>
      <c r="W881" s="2"/>
      <c r="X881" s="2" t="s">
        <v>5772</v>
      </c>
      <c r="Y881" s="5"/>
      <c r="Z881" s="2" t="s">
        <v>5773</v>
      </c>
      <c r="AA881" s="6" t="s">
        <v>5774</v>
      </c>
    </row>
    <row r="882" customFormat="false" ht="68.65" hidden="false" customHeight="false" outlineLevel="0" collapsed="false">
      <c r="A882" s="5" t="s">
        <v>5775</v>
      </c>
      <c r="B882" s="2" t="s">
        <v>5776</v>
      </c>
      <c r="C882" s="5" t="s">
        <v>2128</v>
      </c>
      <c r="D882" s="5" t="s">
        <v>4760</v>
      </c>
      <c r="E882" s="2" t="s">
        <v>2079</v>
      </c>
      <c r="F882" s="5" t="s">
        <v>490</v>
      </c>
      <c r="G882" s="5" t="n">
        <v>9</v>
      </c>
      <c r="H882" s="5" t="s">
        <v>63</v>
      </c>
      <c r="I882" s="5" t="s">
        <v>64</v>
      </c>
      <c r="J882" s="5" t="s">
        <v>65</v>
      </c>
      <c r="K882" s="5" t="s">
        <v>66</v>
      </c>
      <c r="L882" s="2" t="s">
        <v>2079</v>
      </c>
      <c r="M882" s="2" t="s">
        <v>4805</v>
      </c>
      <c r="N882" s="2" t="s">
        <v>2731</v>
      </c>
      <c r="O882" s="2" t="s">
        <v>5777</v>
      </c>
      <c r="P882" s="2"/>
      <c r="Q882" s="5" t="n">
        <v>1</v>
      </c>
      <c r="R882" s="2" t="s">
        <v>4997</v>
      </c>
      <c r="S882" s="2" t="s">
        <v>5778</v>
      </c>
      <c r="T882" s="2" t="s">
        <v>2733</v>
      </c>
      <c r="U882" s="2" t="s">
        <v>74</v>
      </c>
      <c r="V882" s="5" t="n">
        <v>300</v>
      </c>
      <c r="W882" s="2"/>
      <c r="X882" s="2" t="s">
        <v>5779</v>
      </c>
      <c r="Y882" s="5"/>
      <c r="Z882" s="2" t="s">
        <v>5780</v>
      </c>
      <c r="AA882" s="6" t="s">
        <v>5781</v>
      </c>
    </row>
    <row r="883" customFormat="false" ht="68.65" hidden="false" customHeight="false" outlineLevel="0" collapsed="false">
      <c r="A883" s="5" t="s">
        <v>5782</v>
      </c>
      <c r="B883" s="2" t="s">
        <v>5783</v>
      </c>
      <c r="C883" s="5" t="s">
        <v>2128</v>
      </c>
      <c r="D883" s="5" t="s">
        <v>4760</v>
      </c>
      <c r="E883" s="2" t="s">
        <v>2079</v>
      </c>
      <c r="F883" s="5" t="s">
        <v>62</v>
      </c>
      <c r="G883" s="5" t="n">
        <v>9</v>
      </c>
      <c r="H883" s="5" t="s">
        <v>63</v>
      </c>
      <c r="I883" s="5" t="s">
        <v>64</v>
      </c>
      <c r="J883" s="5" t="s">
        <v>65</v>
      </c>
      <c r="K883" s="5" t="s">
        <v>66</v>
      </c>
      <c r="L883" s="2" t="s">
        <v>2079</v>
      </c>
      <c r="M883" s="2" t="s">
        <v>4805</v>
      </c>
      <c r="N883" s="2" t="s">
        <v>2731</v>
      </c>
      <c r="O883" s="2" t="s">
        <v>5784</v>
      </c>
      <c r="P883" s="2"/>
      <c r="Q883" s="5" t="n">
        <v>1</v>
      </c>
      <c r="R883" s="2" t="s">
        <v>4997</v>
      </c>
      <c r="S883" s="2" t="s">
        <v>5023</v>
      </c>
      <c r="T883" s="2" t="s">
        <v>2733</v>
      </c>
      <c r="U883" s="2" t="s">
        <v>74</v>
      </c>
      <c r="V883" s="5" t="n">
        <v>300</v>
      </c>
      <c r="W883" s="2"/>
      <c r="X883" s="2" t="s">
        <v>5785</v>
      </c>
      <c r="Y883" s="5"/>
      <c r="Z883" s="2" t="s">
        <v>5786</v>
      </c>
      <c r="AA883" s="6" t="s">
        <v>5787</v>
      </c>
    </row>
    <row r="884" customFormat="false" ht="113.4" hidden="false" customHeight="false" outlineLevel="0" collapsed="false">
      <c r="A884" s="5" t="s">
        <v>5788</v>
      </c>
      <c r="B884" s="2" t="s">
        <v>5789</v>
      </c>
      <c r="C884" s="5" t="s">
        <v>2128</v>
      </c>
      <c r="D884" s="5" t="s">
        <v>4760</v>
      </c>
      <c r="E884" s="2" t="s">
        <v>2079</v>
      </c>
      <c r="F884" s="5" t="s">
        <v>62</v>
      </c>
      <c r="G884" s="5" t="n">
        <v>9</v>
      </c>
      <c r="H884" s="5" t="s">
        <v>63</v>
      </c>
      <c r="I884" s="5" t="s">
        <v>64</v>
      </c>
      <c r="J884" s="5" t="s">
        <v>65</v>
      </c>
      <c r="K884" s="5" t="s">
        <v>66</v>
      </c>
      <c r="L884" s="2" t="s">
        <v>2079</v>
      </c>
      <c r="M884" s="2" t="s">
        <v>4805</v>
      </c>
      <c r="N884" s="2" t="s">
        <v>2731</v>
      </c>
      <c r="O884" s="2" t="s">
        <v>5790</v>
      </c>
      <c r="P884" s="2"/>
      <c r="Q884" s="5" t="n">
        <v>1</v>
      </c>
      <c r="R884" s="2" t="s">
        <v>4997</v>
      </c>
      <c r="S884" s="2" t="s">
        <v>5791</v>
      </c>
      <c r="T884" s="2" t="s">
        <v>2733</v>
      </c>
      <c r="U884" s="2" t="s">
        <v>74</v>
      </c>
      <c r="V884" s="5" t="n">
        <v>300</v>
      </c>
      <c r="W884" s="2"/>
      <c r="X884" s="2" t="s">
        <v>5792</v>
      </c>
      <c r="Y884" s="5"/>
      <c r="Z884" s="2" t="s">
        <v>5793</v>
      </c>
      <c r="AA884" s="6" t="s">
        <v>5794</v>
      </c>
    </row>
    <row r="885" customFormat="false" ht="35.05" hidden="false" customHeight="false" outlineLevel="0" collapsed="false">
      <c r="A885" s="5" t="s">
        <v>5795</v>
      </c>
      <c r="B885" s="2" t="s">
        <v>5796</v>
      </c>
      <c r="C885" s="5" t="s">
        <v>2128</v>
      </c>
      <c r="D885" s="5" t="s">
        <v>4760</v>
      </c>
      <c r="E885" s="2" t="s">
        <v>2079</v>
      </c>
      <c r="F885" s="5" t="s">
        <v>62</v>
      </c>
      <c r="G885" s="5" t="n">
        <v>10</v>
      </c>
      <c r="H885" s="5" t="s">
        <v>63</v>
      </c>
      <c r="I885" s="5" t="s">
        <v>64</v>
      </c>
      <c r="J885" s="5" t="s">
        <v>65</v>
      </c>
      <c r="K885" s="5" t="s">
        <v>66</v>
      </c>
      <c r="L885" s="2" t="s">
        <v>2079</v>
      </c>
      <c r="M885" s="2" t="s">
        <v>4805</v>
      </c>
      <c r="N885" s="2" t="s">
        <v>2721</v>
      </c>
      <c r="O885" s="2" t="s">
        <v>4932</v>
      </c>
      <c r="P885" s="2"/>
      <c r="Q885" s="5" t="n">
        <v>1</v>
      </c>
      <c r="R885" s="2" t="s">
        <v>4997</v>
      </c>
      <c r="S885" s="2" t="s">
        <v>5797</v>
      </c>
      <c r="T885" s="2" t="s">
        <v>2725</v>
      </c>
      <c r="U885" s="2" t="s">
        <v>74</v>
      </c>
      <c r="V885" s="5" t="n">
        <v>300</v>
      </c>
      <c r="W885" s="2"/>
      <c r="X885" s="2" t="s">
        <v>4934</v>
      </c>
      <c r="Y885" s="5"/>
      <c r="Z885" s="2" t="s">
        <v>5798</v>
      </c>
      <c r="AA885" s="6" t="s">
        <v>5799</v>
      </c>
    </row>
    <row r="886" customFormat="false" ht="68.65" hidden="false" customHeight="false" outlineLevel="0" collapsed="false">
      <c r="A886" s="5" t="s">
        <v>5800</v>
      </c>
      <c r="B886" s="2" t="s">
        <v>5801</v>
      </c>
      <c r="C886" s="5" t="s">
        <v>2128</v>
      </c>
      <c r="D886" s="5" t="s">
        <v>4760</v>
      </c>
      <c r="E886" s="2" t="s">
        <v>2079</v>
      </c>
      <c r="F886" s="5" t="s">
        <v>62</v>
      </c>
      <c r="G886" s="5" t="n">
        <v>10</v>
      </c>
      <c r="H886" s="5" t="s">
        <v>63</v>
      </c>
      <c r="I886" s="5" t="s">
        <v>64</v>
      </c>
      <c r="J886" s="5" t="s">
        <v>65</v>
      </c>
      <c r="K886" s="5" t="s">
        <v>66</v>
      </c>
      <c r="L886" s="2" t="s">
        <v>2079</v>
      </c>
      <c r="M886" s="2" t="s">
        <v>4805</v>
      </c>
      <c r="N886" s="2" t="s">
        <v>2731</v>
      </c>
      <c r="O886" s="2" t="s">
        <v>5802</v>
      </c>
      <c r="P886" s="2"/>
      <c r="Q886" s="5" t="n">
        <v>1</v>
      </c>
      <c r="R886" s="2" t="s">
        <v>4997</v>
      </c>
      <c r="S886" s="2" t="s">
        <v>5803</v>
      </c>
      <c r="T886" s="2" t="s">
        <v>2733</v>
      </c>
      <c r="U886" s="2" t="s">
        <v>74</v>
      </c>
      <c r="V886" s="5" t="n">
        <v>300</v>
      </c>
      <c r="W886" s="2"/>
      <c r="X886" s="2" t="s">
        <v>5804</v>
      </c>
      <c r="Y886" s="5"/>
      <c r="Z886" s="2" t="s">
        <v>5805</v>
      </c>
      <c r="AA886" s="6" t="s">
        <v>5806</v>
      </c>
    </row>
    <row r="887" customFormat="false" ht="68.65" hidden="false" customHeight="false" outlineLevel="0" collapsed="false">
      <c r="A887" s="5" t="s">
        <v>5807</v>
      </c>
      <c r="B887" s="2" t="s">
        <v>5808</v>
      </c>
      <c r="C887" s="5" t="s">
        <v>2128</v>
      </c>
      <c r="D887" s="5" t="s">
        <v>4760</v>
      </c>
      <c r="E887" s="2" t="s">
        <v>2079</v>
      </c>
      <c r="F887" s="5" t="s">
        <v>62</v>
      </c>
      <c r="G887" s="5" t="n">
        <v>9</v>
      </c>
      <c r="H887" s="5" t="s">
        <v>63</v>
      </c>
      <c r="I887" s="5" t="s">
        <v>64</v>
      </c>
      <c r="J887" s="5" t="s">
        <v>65</v>
      </c>
      <c r="K887" s="5" t="s">
        <v>66</v>
      </c>
      <c r="L887" s="2" t="s">
        <v>2079</v>
      </c>
      <c r="M887" s="2" t="s">
        <v>4805</v>
      </c>
      <c r="N887" s="2" t="s">
        <v>2731</v>
      </c>
      <c r="O887" s="2" t="s">
        <v>5809</v>
      </c>
      <c r="P887" s="2"/>
      <c r="Q887" s="5" t="n">
        <v>1</v>
      </c>
      <c r="R887" s="2" t="s">
        <v>4997</v>
      </c>
      <c r="S887" s="2" t="s">
        <v>5023</v>
      </c>
      <c r="T887" s="2" t="s">
        <v>5207</v>
      </c>
      <c r="U887" s="2" t="s">
        <v>74</v>
      </c>
      <c r="V887" s="5" t="n">
        <v>300</v>
      </c>
      <c r="W887" s="2"/>
      <c r="X887" s="2" t="s">
        <v>5810</v>
      </c>
      <c r="Y887" s="5"/>
      <c r="Z887" s="2" t="s">
        <v>5811</v>
      </c>
      <c r="AA887" s="6" t="s">
        <v>5812</v>
      </c>
    </row>
    <row r="888" customFormat="false" ht="68.65" hidden="false" customHeight="false" outlineLevel="0" collapsed="false">
      <c r="A888" s="5" t="s">
        <v>5813</v>
      </c>
      <c r="B888" s="2" t="s">
        <v>5814</v>
      </c>
      <c r="C888" s="5" t="s">
        <v>2128</v>
      </c>
      <c r="D888" s="5" t="s">
        <v>4760</v>
      </c>
      <c r="E888" s="2" t="s">
        <v>2079</v>
      </c>
      <c r="F888" s="5" t="s">
        <v>62</v>
      </c>
      <c r="G888" s="5" t="n">
        <v>9</v>
      </c>
      <c r="H888" s="5" t="s">
        <v>63</v>
      </c>
      <c r="I888" s="5" t="s">
        <v>64</v>
      </c>
      <c r="J888" s="5" t="s">
        <v>65</v>
      </c>
      <c r="K888" s="5" t="s">
        <v>66</v>
      </c>
      <c r="L888" s="2" t="s">
        <v>2079</v>
      </c>
      <c r="M888" s="2" t="s">
        <v>4805</v>
      </c>
      <c r="N888" s="2" t="s">
        <v>5108</v>
      </c>
      <c r="O888" s="2" t="s">
        <v>5815</v>
      </c>
      <c r="P888" s="2"/>
      <c r="Q888" s="5" t="n">
        <v>1</v>
      </c>
      <c r="R888" s="2" t="s">
        <v>4997</v>
      </c>
      <c r="S888" s="2" t="s">
        <v>5011</v>
      </c>
      <c r="T888" s="2" t="s">
        <v>2733</v>
      </c>
      <c r="U888" s="2" t="s">
        <v>74</v>
      </c>
      <c r="V888" s="5" t="n">
        <v>300</v>
      </c>
      <c r="W888" s="2"/>
      <c r="X888" s="2" t="s">
        <v>5816</v>
      </c>
      <c r="Y888" s="5"/>
      <c r="Z888" s="2" t="s">
        <v>5817</v>
      </c>
      <c r="AA888" s="6" t="s">
        <v>5818</v>
      </c>
    </row>
    <row r="889" customFormat="false" ht="91" hidden="false" customHeight="false" outlineLevel="0" collapsed="false">
      <c r="A889" s="5" t="s">
        <v>5819</v>
      </c>
      <c r="B889" s="2" t="s">
        <v>5820</v>
      </c>
      <c r="C889" s="5" t="s">
        <v>2128</v>
      </c>
      <c r="D889" s="5" t="s">
        <v>4760</v>
      </c>
      <c r="E889" s="2" t="s">
        <v>2079</v>
      </c>
      <c r="F889" s="5" t="s">
        <v>62</v>
      </c>
      <c r="G889" s="5" t="n">
        <v>9</v>
      </c>
      <c r="H889" s="5" t="s">
        <v>63</v>
      </c>
      <c r="I889" s="5" t="s">
        <v>64</v>
      </c>
      <c r="J889" s="5" t="s">
        <v>65</v>
      </c>
      <c r="K889" s="5" t="s">
        <v>66</v>
      </c>
      <c r="L889" s="2" t="s">
        <v>2079</v>
      </c>
      <c r="M889" s="2" t="s">
        <v>4805</v>
      </c>
      <c r="N889" s="2" t="s">
        <v>2731</v>
      </c>
      <c r="O889" s="2" t="s">
        <v>5821</v>
      </c>
      <c r="P889" s="2"/>
      <c r="Q889" s="5" t="n">
        <v>1</v>
      </c>
      <c r="R889" s="2" t="s">
        <v>4997</v>
      </c>
      <c r="S889" s="2" t="s">
        <v>5023</v>
      </c>
      <c r="T889" s="2" t="s">
        <v>2733</v>
      </c>
      <c r="U889" s="2" t="s">
        <v>74</v>
      </c>
      <c r="V889" s="5" t="n">
        <v>300</v>
      </c>
      <c r="W889" s="2"/>
      <c r="X889" s="2" t="s">
        <v>5822</v>
      </c>
      <c r="Y889" s="5"/>
      <c r="Z889" s="2" t="s">
        <v>5823</v>
      </c>
      <c r="AA889" s="6" t="s">
        <v>5824</v>
      </c>
    </row>
    <row r="890" customFormat="false" ht="46.25" hidden="false" customHeight="false" outlineLevel="0" collapsed="false">
      <c r="A890" s="5" t="s">
        <v>5825</v>
      </c>
      <c r="B890" s="2" t="s">
        <v>5826</v>
      </c>
      <c r="C890" s="5" t="s">
        <v>2128</v>
      </c>
      <c r="D890" s="5" t="s">
        <v>4760</v>
      </c>
      <c r="E890" s="2" t="s">
        <v>2079</v>
      </c>
      <c r="F890" s="5" t="s">
        <v>62</v>
      </c>
      <c r="G890" s="5" t="n">
        <v>9</v>
      </c>
      <c r="H890" s="5" t="s">
        <v>63</v>
      </c>
      <c r="I890" s="5" t="s">
        <v>64</v>
      </c>
      <c r="J890" s="5" t="s">
        <v>65</v>
      </c>
      <c r="K890" s="5" t="s">
        <v>66</v>
      </c>
      <c r="L890" s="2" t="s">
        <v>2079</v>
      </c>
      <c r="M890" s="2" t="s">
        <v>4805</v>
      </c>
      <c r="N890" s="2" t="s">
        <v>2721</v>
      </c>
      <c r="O890" s="2" t="s">
        <v>2722</v>
      </c>
      <c r="P890" s="2"/>
      <c r="Q890" s="5" t="n">
        <v>1</v>
      </c>
      <c r="R890" s="2" t="s">
        <v>4997</v>
      </c>
      <c r="S890" s="2" t="s">
        <v>5827</v>
      </c>
      <c r="T890" s="2" t="s">
        <v>2725</v>
      </c>
      <c r="U890" s="2" t="s">
        <v>74</v>
      </c>
      <c r="V890" s="5" t="n">
        <v>300</v>
      </c>
      <c r="W890" s="2"/>
      <c r="X890" s="2" t="s">
        <v>2726</v>
      </c>
      <c r="Y890" s="5"/>
      <c r="Z890" s="2" t="s">
        <v>5828</v>
      </c>
      <c r="AA890" s="6" t="s">
        <v>5829</v>
      </c>
    </row>
    <row r="891" customFormat="false" ht="91" hidden="false" customHeight="false" outlineLevel="0" collapsed="false">
      <c r="A891" s="5" t="s">
        <v>5830</v>
      </c>
      <c r="B891" s="2" t="s">
        <v>5831</v>
      </c>
      <c r="C891" s="5" t="s">
        <v>2128</v>
      </c>
      <c r="D891" s="5" t="s">
        <v>4760</v>
      </c>
      <c r="E891" s="2" t="s">
        <v>2079</v>
      </c>
      <c r="F891" s="5" t="s">
        <v>62</v>
      </c>
      <c r="G891" s="5" t="n">
        <v>9</v>
      </c>
      <c r="H891" s="5" t="s">
        <v>63</v>
      </c>
      <c r="I891" s="5" t="s">
        <v>64</v>
      </c>
      <c r="J891" s="5" t="s">
        <v>65</v>
      </c>
      <c r="K891" s="5" t="s">
        <v>66</v>
      </c>
      <c r="L891" s="2" t="s">
        <v>2079</v>
      </c>
      <c r="M891" s="2" t="s">
        <v>4805</v>
      </c>
      <c r="N891" s="2" t="s">
        <v>2731</v>
      </c>
      <c r="O891" s="2" t="s">
        <v>5832</v>
      </c>
      <c r="P891" s="2"/>
      <c r="Q891" s="5" t="n">
        <v>1</v>
      </c>
      <c r="R891" s="2" t="s">
        <v>4997</v>
      </c>
      <c r="S891" s="2" t="s">
        <v>5833</v>
      </c>
      <c r="T891" s="2" t="s">
        <v>2733</v>
      </c>
      <c r="U891" s="2" t="s">
        <v>74</v>
      </c>
      <c r="V891" s="5" t="n">
        <v>300</v>
      </c>
      <c r="W891" s="2"/>
      <c r="X891" s="2" t="s">
        <v>5834</v>
      </c>
      <c r="Y891" s="5"/>
      <c r="Z891" s="2" t="s">
        <v>5835</v>
      </c>
      <c r="AA891" s="6" t="s">
        <v>5836</v>
      </c>
    </row>
    <row r="892" customFormat="false" ht="46.25" hidden="false" customHeight="false" outlineLevel="0" collapsed="false">
      <c r="A892" s="5" t="s">
        <v>5837</v>
      </c>
      <c r="B892" s="2" t="s">
        <v>5838</v>
      </c>
      <c r="C892" s="5" t="s">
        <v>2128</v>
      </c>
      <c r="D892" s="5" t="s">
        <v>4760</v>
      </c>
      <c r="E892" s="2" t="s">
        <v>2079</v>
      </c>
      <c r="F892" s="5" t="s">
        <v>62</v>
      </c>
      <c r="G892" s="5" t="n">
        <v>9</v>
      </c>
      <c r="H892" s="5" t="s">
        <v>63</v>
      </c>
      <c r="I892" s="5" t="s">
        <v>64</v>
      </c>
      <c r="J892" s="5" t="s">
        <v>65</v>
      </c>
      <c r="K892" s="5" t="s">
        <v>66</v>
      </c>
      <c r="L892" s="2" t="s">
        <v>2079</v>
      </c>
      <c r="M892" s="2" t="s">
        <v>4805</v>
      </c>
      <c r="N892" s="2" t="s">
        <v>2721</v>
      </c>
      <c r="O892" s="2" t="s">
        <v>2722</v>
      </c>
      <c r="P892" s="2"/>
      <c r="Q892" s="5" t="n">
        <v>1</v>
      </c>
      <c r="R892" s="2" t="s">
        <v>4997</v>
      </c>
      <c r="S892" s="2" t="s">
        <v>5839</v>
      </c>
      <c r="T892" s="2" t="s">
        <v>2725</v>
      </c>
      <c r="U892" s="2" t="s">
        <v>74</v>
      </c>
      <c r="V892" s="5" t="n">
        <v>300</v>
      </c>
      <c r="W892" s="2"/>
      <c r="X892" s="2" t="s">
        <v>2726</v>
      </c>
      <c r="Y892" s="5"/>
      <c r="Z892" s="2" t="s">
        <v>5840</v>
      </c>
      <c r="AA892" s="6" t="s">
        <v>5841</v>
      </c>
    </row>
    <row r="893" customFormat="false" ht="68.65" hidden="false" customHeight="false" outlineLevel="0" collapsed="false">
      <c r="A893" s="5" t="s">
        <v>5842</v>
      </c>
      <c r="B893" s="2" t="s">
        <v>5843</v>
      </c>
      <c r="C893" s="5" t="s">
        <v>2128</v>
      </c>
      <c r="D893" s="5" t="s">
        <v>4760</v>
      </c>
      <c r="E893" s="2" t="s">
        <v>2079</v>
      </c>
      <c r="F893" s="5" t="s">
        <v>62</v>
      </c>
      <c r="G893" s="5" t="n">
        <v>9</v>
      </c>
      <c r="H893" s="5" t="s">
        <v>63</v>
      </c>
      <c r="I893" s="5" t="s">
        <v>64</v>
      </c>
      <c r="J893" s="5" t="s">
        <v>65</v>
      </c>
      <c r="K893" s="5" t="s">
        <v>66</v>
      </c>
      <c r="L893" s="2" t="s">
        <v>2079</v>
      </c>
      <c r="M893" s="2" t="s">
        <v>4805</v>
      </c>
      <c r="N893" s="2" t="s">
        <v>2731</v>
      </c>
      <c r="O893" s="2" t="s">
        <v>5844</v>
      </c>
      <c r="P893" s="2"/>
      <c r="Q893" s="5" t="n">
        <v>1</v>
      </c>
      <c r="R893" s="2" t="s">
        <v>4997</v>
      </c>
      <c r="S893" s="2" t="s">
        <v>5845</v>
      </c>
      <c r="T893" s="2" t="s">
        <v>2733</v>
      </c>
      <c r="U893" s="2" t="s">
        <v>74</v>
      </c>
      <c r="V893" s="5" t="n">
        <v>300</v>
      </c>
      <c r="W893" s="2"/>
      <c r="X893" s="2" t="s">
        <v>5846</v>
      </c>
      <c r="Y893" s="5"/>
      <c r="Z893" s="2" t="s">
        <v>5847</v>
      </c>
      <c r="AA893" s="6" t="s">
        <v>5848</v>
      </c>
    </row>
    <row r="894" customFormat="false" ht="68.65" hidden="false" customHeight="false" outlineLevel="0" collapsed="false">
      <c r="A894" s="5" t="s">
        <v>5849</v>
      </c>
      <c r="B894" s="2" t="s">
        <v>5850</v>
      </c>
      <c r="C894" s="5" t="s">
        <v>2128</v>
      </c>
      <c r="D894" s="5" t="s">
        <v>4760</v>
      </c>
      <c r="E894" s="2" t="s">
        <v>2079</v>
      </c>
      <c r="F894" s="5" t="s">
        <v>62</v>
      </c>
      <c r="G894" s="5" t="n">
        <v>9</v>
      </c>
      <c r="H894" s="5" t="s">
        <v>63</v>
      </c>
      <c r="I894" s="5" t="s">
        <v>64</v>
      </c>
      <c r="J894" s="5" t="s">
        <v>65</v>
      </c>
      <c r="K894" s="5" t="s">
        <v>66</v>
      </c>
      <c r="L894" s="2" t="s">
        <v>2079</v>
      </c>
      <c r="M894" s="2" t="s">
        <v>4805</v>
      </c>
      <c r="N894" s="2" t="s">
        <v>2731</v>
      </c>
      <c r="O894" s="2" t="s">
        <v>5851</v>
      </c>
      <c r="P894" s="2"/>
      <c r="Q894" s="5" t="n">
        <v>1</v>
      </c>
      <c r="R894" s="2" t="s">
        <v>4997</v>
      </c>
      <c r="S894" s="2" t="s">
        <v>5011</v>
      </c>
      <c r="T894" s="2" t="s">
        <v>2733</v>
      </c>
      <c r="U894" s="2" t="s">
        <v>74</v>
      </c>
      <c r="V894" s="5" t="n">
        <v>300</v>
      </c>
      <c r="W894" s="2"/>
      <c r="X894" s="2" t="s">
        <v>5852</v>
      </c>
      <c r="Y894" s="5"/>
      <c r="Z894" s="2" t="s">
        <v>5853</v>
      </c>
      <c r="AA894" s="6" t="s">
        <v>5854</v>
      </c>
    </row>
    <row r="895" customFormat="false" ht="91" hidden="false" customHeight="false" outlineLevel="0" collapsed="false">
      <c r="A895" s="5" t="s">
        <v>5855</v>
      </c>
      <c r="B895" s="2" t="s">
        <v>5856</v>
      </c>
      <c r="C895" s="5" t="s">
        <v>2128</v>
      </c>
      <c r="D895" s="5" t="s">
        <v>4760</v>
      </c>
      <c r="E895" s="2" t="s">
        <v>2079</v>
      </c>
      <c r="F895" s="5" t="s">
        <v>62</v>
      </c>
      <c r="G895" s="5" t="n">
        <v>9</v>
      </c>
      <c r="H895" s="5" t="s">
        <v>63</v>
      </c>
      <c r="I895" s="5" t="s">
        <v>64</v>
      </c>
      <c r="J895" s="5" t="s">
        <v>65</v>
      </c>
      <c r="K895" s="5" t="s">
        <v>66</v>
      </c>
      <c r="L895" s="2" t="s">
        <v>2079</v>
      </c>
      <c r="M895" s="2" t="s">
        <v>4805</v>
      </c>
      <c r="N895" s="2" t="s">
        <v>2731</v>
      </c>
      <c r="O895" s="2" t="s">
        <v>5857</v>
      </c>
      <c r="P895" s="2"/>
      <c r="Q895" s="5" t="n">
        <v>1</v>
      </c>
      <c r="R895" s="2" t="s">
        <v>4997</v>
      </c>
      <c r="S895" s="2" t="s">
        <v>5858</v>
      </c>
      <c r="T895" s="2" t="s">
        <v>2733</v>
      </c>
      <c r="U895" s="2" t="s">
        <v>74</v>
      </c>
      <c r="V895" s="5" t="n">
        <v>300</v>
      </c>
      <c r="W895" s="2"/>
      <c r="X895" s="2" t="s">
        <v>5859</v>
      </c>
      <c r="Y895" s="5"/>
      <c r="Z895" s="2" t="s">
        <v>5860</v>
      </c>
      <c r="AA895" s="6" t="s">
        <v>5861</v>
      </c>
    </row>
    <row r="896" customFormat="false" ht="68.65" hidden="false" customHeight="false" outlineLevel="0" collapsed="false">
      <c r="A896" s="5" t="s">
        <v>5862</v>
      </c>
      <c r="B896" s="2" t="s">
        <v>5863</v>
      </c>
      <c r="C896" s="5" t="s">
        <v>2128</v>
      </c>
      <c r="D896" s="5" t="s">
        <v>4760</v>
      </c>
      <c r="E896" s="2" t="s">
        <v>2079</v>
      </c>
      <c r="F896" s="5" t="s">
        <v>490</v>
      </c>
      <c r="G896" s="5" t="n">
        <v>9</v>
      </c>
      <c r="H896" s="5" t="s">
        <v>63</v>
      </c>
      <c r="I896" s="5" t="s">
        <v>64</v>
      </c>
      <c r="J896" s="5" t="s">
        <v>65</v>
      </c>
      <c r="K896" s="5" t="s">
        <v>66</v>
      </c>
      <c r="L896" s="2" t="s">
        <v>2079</v>
      </c>
      <c r="M896" s="2" t="s">
        <v>4805</v>
      </c>
      <c r="N896" s="2" t="s">
        <v>2731</v>
      </c>
      <c r="O896" s="2" t="s">
        <v>5864</v>
      </c>
      <c r="P896" s="2"/>
      <c r="Q896" s="5" t="n">
        <v>1</v>
      </c>
      <c r="R896" s="2" t="s">
        <v>4997</v>
      </c>
      <c r="S896" s="2" t="s">
        <v>5011</v>
      </c>
      <c r="T896" s="2" t="s">
        <v>2733</v>
      </c>
      <c r="U896" s="2" t="s">
        <v>74</v>
      </c>
      <c r="V896" s="5" t="n">
        <v>300</v>
      </c>
      <c r="W896" s="2"/>
      <c r="X896" s="2" t="s">
        <v>5865</v>
      </c>
      <c r="Y896" s="5"/>
      <c r="Z896" s="2" t="s">
        <v>5866</v>
      </c>
      <c r="AA896" s="6" t="s">
        <v>5867</v>
      </c>
    </row>
    <row r="897" customFormat="false" ht="46.25" hidden="false" customHeight="false" outlineLevel="0" collapsed="false">
      <c r="A897" s="5" t="s">
        <v>5868</v>
      </c>
      <c r="B897" s="2" t="s">
        <v>5869</v>
      </c>
      <c r="C897" s="5" t="s">
        <v>2128</v>
      </c>
      <c r="D897" s="5" t="s">
        <v>4760</v>
      </c>
      <c r="E897" s="2" t="s">
        <v>2079</v>
      </c>
      <c r="F897" s="5" t="s">
        <v>62</v>
      </c>
      <c r="G897" s="5" t="n">
        <v>9</v>
      </c>
      <c r="H897" s="5" t="s">
        <v>63</v>
      </c>
      <c r="I897" s="5" t="s">
        <v>64</v>
      </c>
      <c r="J897" s="5" t="s">
        <v>65</v>
      </c>
      <c r="K897" s="5" t="s">
        <v>66</v>
      </c>
      <c r="L897" s="2" t="s">
        <v>2079</v>
      </c>
      <c r="M897" s="2" t="s">
        <v>4805</v>
      </c>
      <c r="N897" s="2" t="s">
        <v>2721</v>
      </c>
      <c r="O897" s="2" t="s">
        <v>2722</v>
      </c>
      <c r="P897" s="2"/>
      <c r="Q897" s="5" t="n">
        <v>1</v>
      </c>
      <c r="R897" s="2" t="s">
        <v>4997</v>
      </c>
      <c r="S897" s="2" t="s">
        <v>5870</v>
      </c>
      <c r="T897" s="2" t="s">
        <v>2725</v>
      </c>
      <c r="U897" s="2" t="s">
        <v>74</v>
      </c>
      <c r="V897" s="5" t="n">
        <v>300</v>
      </c>
      <c r="W897" s="2"/>
      <c r="X897" s="2" t="s">
        <v>2726</v>
      </c>
      <c r="Y897" s="5"/>
      <c r="Z897" s="2" t="s">
        <v>5871</v>
      </c>
      <c r="AA897" s="6" t="s">
        <v>5872</v>
      </c>
    </row>
    <row r="898" customFormat="false" ht="68.65" hidden="false" customHeight="false" outlineLevel="0" collapsed="false">
      <c r="A898" s="5" t="s">
        <v>5873</v>
      </c>
      <c r="B898" s="2" t="s">
        <v>5874</v>
      </c>
      <c r="C898" s="5" t="s">
        <v>2128</v>
      </c>
      <c r="D898" s="5" t="s">
        <v>4760</v>
      </c>
      <c r="E898" s="2" t="s">
        <v>2079</v>
      </c>
      <c r="F898" s="5" t="s">
        <v>62</v>
      </c>
      <c r="G898" s="5" t="n">
        <v>9</v>
      </c>
      <c r="H898" s="5" t="s">
        <v>63</v>
      </c>
      <c r="I898" s="5" t="s">
        <v>64</v>
      </c>
      <c r="J898" s="5" t="s">
        <v>65</v>
      </c>
      <c r="K898" s="5" t="s">
        <v>66</v>
      </c>
      <c r="L898" s="2" t="s">
        <v>2079</v>
      </c>
      <c r="M898" s="2" t="s">
        <v>4805</v>
      </c>
      <c r="N898" s="2" t="s">
        <v>2731</v>
      </c>
      <c r="O898" s="2" t="s">
        <v>5875</v>
      </c>
      <c r="P898" s="2"/>
      <c r="Q898" s="5" t="n">
        <v>1</v>
      </c>
      <c r="R898" s="2" t="s">
        <v>4997</v>
      </c>
      <c r="S898" s="2" t="s">
        <v>5011</v>
      </c>
      <c r="T898" s="2" t="s">
        <v>2733</v>
      </c>
      <c r="U898" s="2" t="s">
        <v>74</v>
      </c>
      <c r="V898" s="5" t="n">
        <v>300</v>
      </c>
      <c r="W898" s="2"/>
      <c r="X898" s="2" t="s">
        <v>5876</v>
      </c>
      <c r="Y898" s="5"/>
      <c r="Z898" s="2" t="s">
        <v>5877</v>
      </c>
      <c r="AA898" s="6" t="s">
        <v>5878</v>
      </c>
    </row>
    <row r="899" customFormat="false" ht="46.25" hidden="false" customHeight="false" outlineLevel="0" collapsed="false">
      <c r="A899" s="5" t="s">
        <v>5879</v>
      </c>
      <c r="B899" s="2" t="s">
        <v>5880</v>
      </c>
      <c r="C899" s="5" t="s">
        <v>2128</v>
      </c>
      <c r="D899" s="5" t="s">
        <v>4760</v>
      </c>
      <c r="E899" s="2" t="s">
        <v>2079</v>
      </c>
      <c r="F899" s="5" t="s">
        <v>62</v>
      </c>
      <c r="G899" s="5" t="n">
        <v>9</v>
      </c>
      <c r="H899" s="5" t="s">
        <v>63</v>
      </c>
      <c r="I899" s="5" t="s">
        <v>64</v>
      </c>
      <c r="J899" s="5" t="s">
        <v>65</v>
      </c>
      <c r="K899" s="5" t="s">
        <v>66</v>
      </c>
      <c r="L899" s="2" t="s">
        <v>2079</v>
      </c>
      <c r="M899" s="2" t="s">
        <v>4805</v>
      </c>
      <c r="N899" s="2" t="s">
        <v>2721</v>
      </c>
      <c r="O899" s="2" t="s">
        <v>2722</v>
      </c>
      <c r="P899" s="2"/>
      <c r="Q899" s="5" t="n">
        <v>1</v>
      </c>
      <c r="R899" s="2" t="s">
        <v>4997</v>
      </c>
      <c r="S899" s="2" t="s">
        <v>5881</v>
      </c>
      <c r="T899" s="2" t="s">
        <v>2725</v>
      </c>
      <c r="U899" s="2" t="s">
        <v>74</v>
      </c>
      <c r="V899" s="5" t="n">
        <v>300</v>
      </c>
      <c r="W899" s="2"/>
      <c r="X899" s="2" t="s">
        <v>2726</v>
      </c>
      <c r="Y899" s="5"/>
      <c r="Z899" s="2" t="s">
        <v>5882</v>
      </c>
      <c r="AA899" s="6" t="s">
        <v>5883</v>
      </c>
    </row>
    <row r="900" customFormat="false" ht="91" hidden="false" customHeight="false" outlineLevel="0" collapsed="false">
      <c r="A900" s="5" t="s">
        <v>5884</v>
      </c>
      <c r="B900" s="2" t="s">
        <v>5885</v>
      </c>
      <c r="C900" s="5" t="s">
        <v>2128</v>
      </c>
      <c r="D900" s="5" t="s">
        <v>4760</v>
      </c>
      <c r="E900" s="2" t="s">
        <v>2079</v>
      </c>
      <c r="F900" s="5" t="s">
        <v>62</v>
      </c>
      <c r="G900" s="5" t="n">
        <v>9</v>
      </c>
      <c r="H900" s="5" t="s">
        <v>63</v>
      </c>
      <c r="I900" s="5" t="s">
        <v>64</v>
      </c>
      <c r="J900" s="5" t="s">
        <v>65</v>
      </c>
      <c r="K900" s="5" t="s">
        <v>66</v>
      </c>
      <c r="L900" s="2" t="s">
        <v>2079</v>
      </c>
      <c r="M900" s="2" t="s">
        <v>4805</v>
      </c>
      <c r="N900" s="2" t="s">
        <v>2731</v>
      </c>
      <c r="O900" s="2" t="s">
        <v>5886</v>
      </c>
      <c r="P900" s="2"/>
      <c r="Q900" s="5" t="n">
        <v>1</v>
      </c>
      <c r="R900" s="2" t="s">
        <v>4997</v>
      </c>
      <c r="S900" s="2" t="s">
        <v>5887</v>
      </c>
      <c r="T900" s="2" t="s">
        <v>2733</v>
      </c>
      <c r="U900" s="2" t="s">
        <v>74</v>
      </c>
      <c r="V900" s="5" t="n">
        <v>300</v>
      </c>
      <c r="W900" s="2"/>
      <c r="X900" s="2" t="s">
        <v>5888</v>
      </c>
      <c r="Y900" s="5"/>
      <c r="Z900" s="2" t="s">
        <v>5889</v>
      </c>
      <c r="AA900" s="6" t="s">
        <v>5890</v>
      </c>
    </row>
    <row r="901" customFormat="false" ht="91" hidden="false" customHeight="false" outlineLevel="0" collapsed="false">
      <c r="A901" s="5" t="s">
        <v>5891</v>
      </c>
      <c r="B901" s="2" t="s">
        <v>5892</v>
      </c>
      <c r="C901" s="5" t="s">
        <v>2128</v>
      </c>
      <c r="D901" s="5" t="s">
        <v>4760</v>
      </c>
      <c r="E901" s="2" t="s">
        <v>2079</v>
      </c>
      <c r="F901" s="5" t="s">
        <v>62</v>
      </c>
      <c r="G901" s="5" t="n">
        <v>9</v>
      </c>
      <c r="H901" s="5" t="s">
        <v>63</v>
      </c>
      <c r="I901" s="5" t="s">
        <v>64</v>
      </c>
      <c r="J901" s="5" t="s">
        <v>65</v>
      </c>
      <c r="K901" s="5" t="s">
        <v>66</v>
      </c>
      <c r="L901" s="2" t="s">
        <v>2079</v>
      </c>
      <c r="M901" s="2" t="s">
        <v>4805</v>
      </c>
      <c r="N901" s="2" t="s">
        <v>2731</v>
      </c>
      <c r="O901" s="2" t="s">
        <v>5893</v>
      </c>
      <c r="P901" s="2"/>
      <c r="Q901" s="5" t="n">
        <v>1</v>
      </c>
      <c r="R901" s="2" t="s">
        <v>4997</v>
      </c>
      <c r="S901" s="2" t="s">
        <v>5894</v>
      </c>
      <c r="T901" s="2" t="s">
        <v>5207</v>
      </c>
      <c r="U901" s="2" t="s">
        <v>74</v>
      </c>
      <c r="V901" s="5" t="n">
        <v>300</v>
      </c>
      <c r="W901" s="2"/>
      <c r="X901" s="2" t="s">
        <v>5895</v>
      </c>
      <c r="Y901" s="5"/>
      <c r="Z901" s="2" t="s">
        <v>5896</v>
      </c>
      <c r="AA901" s="6" t="s">
        <v>5897</v>
      </c>
    </row>
    <row r="902" customFormat="false" ht="68.65" hidden="false" customHeight="false" outlineLevel="0" collapsed="false">
      <c r="A902" s="5" t="s">
        <v>5898</v>
      </c>
      <c r="B902" s="2" t="s">
        <v>5899</v>
      </c>
      <c r="C902" s="5" t="s">
        <v>2128</v>
      </c>
      <c r="D902" s="5" t="s">
        <v>4760</v>
      </c>
      <c r="E902" s="2" t="s">
        <v>2079</v>
      </c>
      <c r="F902" s="5" t="s">
        <v>62</v>
      </c>
      <c r="G902" s="5" t="n">
        <v>9</v>
      </c>
      <c r="H902" s="5" t="s">
        <v>63</v>
      </c>
      <c r="I902" s="5" t="s">
        <v>64</v>
      </c>
      <c r="J902" s="5" t="s">
        <v>65</v>
      </c>
      <c r="K902" s="5" t="s">
        <v>66</v>
      </c>
      <c r="L902" s="2" t="s">
        <v>2079</v>
      </c>
      <c r="M902" s="2" t="s">
        <v>4805</v>
      </c>
      <c r="N902" s="2" t="s">
        <v>2731</v>
      </c>
      <c r="O902" s="2" t="s">
        <v>5900</v>
      </c>
      <c r="P902" s="2"/>
      <c r="Q902" s="5" t="n">
        <v>1</v>
      </c>
      <c r="R902" s="2" t="s">
        <v>4997</v>
      </c>
      <c r="S902" s="2" t="s">
        <v>5023</v>
      </c>
      <c r="T902" s="2" t="s">
        <v>5207</v>
      </c>
      <c r="U902" s="2" t="s">
        <v>74</v>
      </c>
      <c r="V902" s="5" t="n">
        <v>300</v>
      </c>
      <c r="W902" s="2"/>
      <c r="X902" s="2" t="s">
        <v>5901</v>
      </c>
      <c r="Y902" s="5"/>
      <c r="Z902" s="2" t="s">
        <v>5902</v>
      </c>
      <c r="AA902" s="6" t="s">
        <v>5903</v>
      </c>
    </row>
    <row r="903" customFormat="false" ht="68.65" hidden="false" customHeight="false" outlineLevel="0" collapsed="false">
      <c r="A903" s="5" t="s">
        <v>5904</v>
      </c>
      <c r="B903" s="2" t="s">
        <v>5905</v>
      </c>
      <c r="C903" s="5" t="s">
        <v>2128</v>
      </c>
      <c r="D903" s="5" t="s">
        <v>4760</v>
      </c>
      <c r="E903" s="2" t="s">
        <v>2079</v>
      </c>
      <c r="F903" s="5" t="s">
        <v>62</v>
      </c>
      <c r="G903" s="5" t="n">
        <v>9</v>
      </c>
      <c r="H903" s="5" t="s">
        <v>63</v>
      </c>
      <c r="I903" s="5" t="s">
        <v>64</v>
      </c>
      <c r="J903" s="5" t="s">
        <v>65</v>
      </c>
      <c r="K903" s="5" t="s">
        <v>66</v>
      </c>
      <c r="L903" s="2" t="s">
        <v>2079</v>
      </c>
      <c r="M903" s="2" t="s">
        <v>4805</v>
      </c>
      <c r="N903" s="2" t="s">
        <v>5108</v>
      </c>
      <c r="O903" s="2" t="s">
        <v>5906</v>
      </c>
      <c r="P903" s="2"/>
      <c r="Q903" s="5" t="n">
        <v>1</v>
      </c>
      <c r="R903" s="2" t="s">
        <v>4997</v>
      </c>
      <c r="S903" s="2" t="s">
        <v>5011</v>
      </c>
      <c r="T903" s="2" t="s">
        <v>2733</v>
      </c>
      <c r="U903" s="2" t="s">
        <v>74</v>
      </c>
      <c r="V903" s="5" t="n">
        <v>300</v>
      </c>
      <c r="W903" s="2"/>
      <c r="X903" s="2" t="s">
        <v>5907</v>
      </c>
      <c r="Y903" s="5"/>
      <c r="Z903" s="2" t="s">
        <v>5908</v>
      </c>
      <c r="AA903" s="6" t="s">
        <v>5909</v>
      </c>
    </row>
    <row r="904" customFormat="false" ht="91" hidden="false" customHeight="false" outlineLevel="0" collapsed="false">
      <c r="A904" s="5" t="s">
        <v>5910</v>
      </c>
      <c r="B904" s="2" t="s">
        <v>5911</v>
      </c>
      <c r="C904" s="5" t="s">
        <v>2128</v>
      </c>
      <c r="D904" s="5" t="s">
        <v>4760</v>
      </c>
      <c r="E904" s="2" t="s">
        <v>481</v>
      </c>
      <c r="F904" s="5" t="s">
        <v>490</v>
      </c>
      <c r="G904" s="5" t="n">
        <v>9</v>
      </c>
      <c r="H904" s="5" t="s">
        <v>63</v>
      </c>
      <c r="I904" s="5" t="s">
        <v>64</v>
      </c>
      <c r="J904" s="5" t="s">
        <v>65</v>
      </c>
      <c r="K904" s="5" t="s">
        <v>66</v>
      </c>
      <c r="L904" s="2" t="s">
        <v>481</v>
      </c>
      <c r="M904" s="2" t="s">
        <v>1764</v>
      </c>
      <c r="N904" s="2" t="s">
        <v>2731</v>
      </c>
      <c r="O904" s="2" t="s">
        <v>5912</v>
      </c>
      <c r="P904" s="2"/>
      <c r="Q904" s="5" t="n">
        <v>1</v>
      </c>
      <c r="R904" s="2" t="s">
        <v>4997</v>
      </c>
      <c r="S904" s="2" t="s">
        <v>5913</v>
      </c>
      <c r="T904" s="2" t="s">
        <v>2733</v>
      </c>
      <c r="U904" s="2" t="s">
        <v>74</v>
      </c>
      <c r="V904" s="5" t="n">
        <v>300</v>
      </c>
      <c r="W904" s="2"/>
      <c r="X904" s="2" t="s">
        <v>5914</v>
      </c>
      <c r="Y904" s="5"/>
      <c r="Z904" s="2" t="s">
        <v>5915</v>
      </c>
      <c r="AA904" s="6" t="s">
        <v>5916</v>
      </c>
    </row>
    <row r="905" customFormat="false" ht="68.65" hidden="false" customHeight="false" outlineLevel="0" collapsed="false">
      <c r="A905" s="5" t="s">
        <v>5917</v>
      </c>
      <c r="B905" s="2" t="s">
        <v>5918</v>
      </c>
      <c r="C905" s="5" t="s">
        <v>2128</v>
      </c>
      <c r="D905" s="5" t="s">
        <v>4760</v>
      </c>
      <c r="E905" s="2" t="s">
        <v>2079</v>
      </c>
      <c r="F905" s="5" t="s">
        <v>490</v>
      </c>
      <c r="G905" s="5" t="n">
        <v>9</v>
      </c>
      <c r="H905" s="5" t="s">
        <v>63</v>
      </c>
      <c r="I905" s="5" t="s">
        <v>64</v>
      </c>
      <c r="J905" s="5" t="s">
        <v>65</v>
      </c>
      <c r="K905" s="5" t="s">
        <v>66</v>
      </c>
      <c r="L905" s="2" t="s">
        <v>2079</v>
      </c>
      <c r="M905" s="2" t="s">
        <v>4805</v>
      </c>
      <c r="N905" s="2" t="s">
        <v>2731</v>
      </c>
      <c r="O905" s="2" t="s">
        <v>5919</v>
      </c>
      <c r="P905" s="2"/>
      <c r="Q905" s="5" t="n">
        <v>1</v>
      </c>
      <c r="R905" s="2" t="s">
        <v>4997</v>
      </c>
      <c r="S905" s="2" t="s">
        <v>5011</v>
      </c>
      <c r="T905" s="2" t="s">
        <v>2733</v>
      </c>
      <c r="U905" s="2" t="s">
        <v>74</v>
      </c>
      <c r="V905" s="5" t="n">
        <v>300</v>
      </c>
      <c r="W905" s="2"/>
      <c r="X905" s="2" t="s">
        <v>5920</v>
      </c>
      <c r="Y905" s="5"/>
      <c r="Z905" s="2" t="s">
        <v>5336</v>
      </c>
      <c r="AA905" s="6" t="s">
        <v>5921</v>
      </c>
    </row>
    <row r="906" customFormat="false" ht="91" hidden="false" customHeight="false" outlineLevel="0" collapsed="false">
      <c r="A906" s="5" t="s">
        <v>5922</v>
      </c>
      <c r="B906" s="2" t="s">
        <v>5923</v>
      </c>
      <c r="C906" s="5" t="s">
        <v>2128</v>
      </c>
      <c r="D906" s="5" t="s">
        <v>4760</v>
      </c>
      <c r="E906" s="2" t="s">
        <v>2079</v>
      </c>
      <c r="F906" s="5" t="s">
        <v>490</v>
      </c>
      <c r="G906" s="5" t="n">
        <v>9</v>
      </c>
      <c r="H906" s="5" t="s">
        <v>63</v>
      </c>
      <c r="I906" s="5" t="s">
        <v>64</v>
      </c>
      <c r="J906" s="5" t="s">
        <v>65</v>
      </c>
      <c r="K906" s="5" t="s">
        <v>66</v>
      </c>
      <c r="L906" s="2" t="s">
        <v>2079</v>
      </c>
      <c r="M906" s="2" t="s">
        <v>4805</v>
      </c>
      <c r="N906" s="2" t="s">
        <v>2731</v>
      </c>
      <c r="O906" s="2" t="s">
        <v>5924</v>
      </c>
      <c r="P906" s="2"/>
      <c r="Q906" s="5" t="n">
        <v>1</v>
      </c>
      <c r="R906" s="2" t="s">
        <v>4997</v>
      </c>
      <c r="S906" s="2" t="s">
        <v>5925</v>
      </c>
      <c r="T906" s="2" t="s">
        <v>2733</v>
      </c>
      <c r="U906" s="2" t="s">
        <v>74</v>
      </c>
      <c r="V906" s="5" t="n">
        <v>300</v>
      </c>
      <c r="W906" s="2"/>
      <c r="X906" s="2" t="s">
        <v>5926</v>
      </c>
      <c r="Y906" s="5"/>
      <c r="Z906" s="2" t="s">
        <v>5927</v>
      </c>
      <c r="AA906" s="6" t="s">
        <v>5928</v>
      </c>
    </row>
    <row r="907" customFormat="false" ht="23.85" hidden="false" customHeight="false" outlineLevel="0" collapsed="false">
      <c r="A907" s="5" t="s">
        <v>5929</v>
      </c>
      <c r="B907" s="2" t="s">
        <v>5930</v>
      </c>
      <c r="C907" s="5" t="s">
        <v>2128</v>
      </c>
      <c r="D907" s="5" t="s">
        <v>4760</v>
      </c>
      <c r="E907" s="2" t="s">
        <v>481</v>
      </c>
      <c r="F907" s="5" t="s">
        <v>62</v>
      </c>
      <c r="G907" s="5" t="n">
        <v>9</v>
      </c>
      <c r="H907" s="5" t="s">
        <v>63</v>
      </c>
      <c r="I907" s="5" t="s">
        <v>64</v>
      </c>
      <c r="J907" s="5" t="s">
        <v>65</v>
      </c>
      <c r="K907" s="5" t="s">
        <v>66</v>
      </c>
      <c r="L907" s="2" t="s">
        <v>481</v>
      </c>
      <c r="M907" s="2" t="s">
        <v>1764</v>
      </c>
      <c r="N907" s="2" t="s">
        <v>2721</v>
      </c>
      <c r="O907" s="2" t="s">
        <v>4932</v>
      </c>
      <c r="P907" s="2"/>
      <c r="Q907" s="5" t="n">
        <v>1</v>
      </c>
      <c r="R907" s="2" t="s">
        <v>5931</v>
      </c>
      <c r="S907" s="2" t="s">
        <v>5932</v>
      </c>
      <c r="T907" s="2" t="s">
        <v>2725</v>
      </c>
      <c r="U907" s="2" t="s">
        <v>74</v>
      </c>
      <c r="V907" s="5" t="n">
        <v>300</v>
      </c>
      <c r="W907" s="2"/>
      <c r="X907" s="2" t="s">
        <v>4934</v>
      </c>
      <c r="Y907" s="5"/>
      <c r="Z907" s="2" t="s">
        <v>5933</v>
      </c>
      <c r="AA907" s="6" t="s">
        <v>5934</v>
      </c>
    </row>
    <row r="908" customFormat="false" ht="23.85" hidden="false" customHeight="false" outlineLevel="0" collapsed="false">
      <c r="A908" s="5" t="s">
        <v>5935</v>
      </c>
      <c r="B908" s="2" t="s">
        <v>5936</v>
      </c>
      <c r="C908" s="5" t="s">
        <v>2128</v>
      </c>
      <c r="D908" s="5" t="s">
        <v>4760</v>
      </c>
      <c r="E908" s="2" t="s">
        <v>481</v>
      </c>
      <c r="F908" s="5" t="s">
        <v>62</v>
      </c>
      <c r="G908" s="5" t="n">
        <v>9</v>
      </c>
      <c r="H908" s="5" t="s">
        <v>63</v>
      </c>
      <c r="I908" s="5" t="s">
        <v>64</v>
      </c>
      <c r="J908" s="5" t="s">
        <v>65</v>
      </c>
      <c r="K908" s="5" t="s">
        <v>66</v>
      </c>
      <c r="L908" s="2" t="s">
        <v>481</v>
      </c>
      <c r="M908" s="2" t="s">
        <v>1764</v>
      </c>
      <c r="N908" s="2" t="s">
        <v>2731</v>
      </c>
      <c r="O908" s="2" t="s">
        <v>5937</v>
      </c>
      <c r="P908" s="2"/>
      <c r="Q908" s="5" t="n">
        <v>1</v>
      </c>
      <c r="R908" s="2" t="s">
        <v>5931</v>
      </c>
      <c r="S908" s="2" t="s">
        <v>83</v>
      </c>
      <c r="T908" s="2" t="s">
        <v>5938</v>
      </c>
      <c r="U908" s="2" t="s">
        <v>74</v>
      </c>
      <c r="V908" s="5" t="n">
        <v>300</v>
      </c>
      <c r="W908" s="2"/>
      <c r="X908" s="2" t="s">
        <v>5939</v>
      </c>
      <c r="Y908" s="5"/>
      <c r="Z908" s="2" t="s">
        <v>5940</v>
      </c>
      <c r="AA908" s="6" t="s">
        <v>5941</v>
      </c>
    </row>
    <row r="909" customFormat="false" ht="46.25" hidden="false" customHeight="false" outlineLevel="0" collapsed="false">
      <c r="A909" s="5" t="s">
        <v>5942</v>
      </c>
      <c r="B909" s="2" t="s">
        <v>5943</v>
      </c>
      <c r="C909" s="5" t="s">
        <v>2128</v>
      </c>
      <c r="D909" s="5" t="s">
        <v>4760</v>
      </c>
      <c r="E909" s="2" t="s">
        <v>2079</v>
      </c>
      <c r="F909" s="5" t="s">
        <v>62</v>
      </c>
      <c r="G909" s="5" t="n">
        <v>9</v>
      </c>
      <c r="H909" s="5" t="s">
        <v>63</v>
      </c>
      <c r="I909" s="5" t="s">
        <v>64</v>
      </c>
      <c r="J909" s="5" t="s">
        <v>65</v>
      </c>
      <c r="K909" s="5" t="s">
        <v>66</v>
      </c>
      <c r="L909" s="2" t="s">
        <v>2079</v>
      </c>
      <c r="M909" s="2" t="s">
        <v>4805</v>
      </c>
      <c r="N909" s="2" t="s">
        <v>2721</v>
      </c>
      <c r="O909" s="2" t="s">
        <v>2722</v>
      </c>
      <c r="P909" s="2"/>
      <c r="Q909" s="5" t="n">
        <v>1</v>
      </c>
      <c r="R909" s="2" t="s">
        <v>4997</v>
      </c>
      <c r="S909" s="2" t="s">
        <v>5944</v>
      </c>
      <c r="T909" s="2" t="s">
        <v>2725</v>
      </c>
      <c r="U909" s="2" t="s">
        <v>74</v>
      </c>
      <c r="V909" s="5" t="n">
        <v>300</v>
      </c>
      <c r="W909" s="2"/>
      <c r="X909" s="2" t="s">
        <v>2726</v>
      </c>
      <c r="Y909" s="5"/>
      <c r="Z909" s="2" t="s">
        <v>5945</v>
      </c>
      <c r="AA909" s="6" t="s">
        <v>5946</v>
      </c>
    </row>
    <row r="910" customFormat="false" ht="68.65" hidden="false" customHeight="false" outlineLevel="0" collapsed="false">
      <c r="A910" s="5" t="s">
        <v>5947</v>
      </c>
      <c r="B910" s="2" t="s">
        <v>5948</v>
      </c>
      <c r="C910" s="5" t="s">
        <v>2128</v>
      </c>
      <c r="D910" s="5" t="s">
        <v>4760</v>
      </c>
      <c r="E910" s="2" t="s">
        <v>2079</v>
      </c>
      <c r="F910" s="5" t="s">
        <v>62</v>
      </c>
      <c r="G910" s="5" t="n">
        <v>9</v>
      </c>
      <c r="H910" s="5" t="s">
        <v>63</v>
      </c>
      <c r="I910" s="5" t="s">
        <v>64</v>
      </c>
      <c r="J910" s="5" t="s">
        <v>65</v>
      </c>
      <c r="K910" s="5" t="s">
        <v>66</v>
      </c>
      <c r="L910" s="2" t="s">
        <v>2079</v>
      </c>
      <c r="M910" s="2" t="s">
        <v>4805</v>
      </c>
      <c r="N910" s="2" t="s">
        <v>2731</v>
      </c>
      <c r="O910" s="2" t="s">
        <v>5949</v>
      </c>
      <c r="P910" s="2"/>
      <c r="Q910" s="5" t="n">
        <v>1</v>
      </c>
      <c r="R910" s="2" t="s">
        <v>4997</v>
      </c>
      <c r="S910" s="2" t="s">
        <v>5950</v>
      </c>
      <c r="T910" s="2" t="s">
        <v>2733</v>
      </c>
      <c r="U910" s="2" t="s">
        <v>74</v>
      </c>
      <c r="V910" s="5" t="n">
        <v>300</v>
      </c>
      <c r="W910" s="2"/>
      <c r="X910" s="2" t="s">
        <v>5951</v>
      </c>
      <c r="Y910" s="5"/>
      <c r="Z910" s="2" t="s">
        <v>5952</v>
      </c>
      <c r="AA910" s="6" t="s">
        <v>5953</v>
      </c>
    </row>
    <row r="911" customFormat="false" ht="68.65" hidden="false" customHeight="false" outlineLevel="0" collapsed="false">
      <c r="A911" s="5" t="s">
        <v>5954</v>
      </c>
      <c r="B911" s="2" t="s">
        <v>5955</v>
      </c>
      <c r="C911" s="5" t="s">
        <v>2128</v>
      </c>
      <c r="D911" s="5" t="s">
        <v>4760</v>
      </c>
      <c r="E911" s="2" t="s">
        <v>2079</v>
      </c>
      <c r="F911" s="5" t="s">
        <v>490</v>
      </c>
      <c r="G911" s="5" t="n">
        <v>9</v>
      </c>
      <c r="H911" s="5" t="s">
        <v>63</v>
      </c>
      <c r="I911" s="5" t="s">
        <v>64</v>
      </c>
      <c r="J911" s="5" t="s">
        <v>65</v>
      </c>
      <c r="K911" s="5" t="s">
        <v>66</v>
      </c>
      <c r="L911" s="2" t="s">
        <v>2079</v>
      </c>
      <c r="M911" s="2" t="s">
        <v>4805</v>
      </c>
      <c r="N911" s="2" t="s">
        <v>2731</v>
      </c>
      <c r="O911" s="2" t="s">
        <v>5956</v>
      </c>
      <c r="P911" s="2"/>
      <c r="Q911" s="5" t="n">
        <v>1</v>
      </c>
      <c r="R911" s="2" t="s">
        <v>4997</v>
      </c>
      <c r="S911" s="2" t="s">
        <v>5011</v>
      </c>
      <c r="T911" s="2" t="s">
        <v>2733</v>
      </c>
      <c r="U911" s="2" t="s">
        <v>74</v>
      </c>
      <c r="V911" s="5" t="n">
        <v>300</v>
      </c>
      <c r="W911" s="2"/>
      <c r="X911" s="2" t="s">
        <v>5957</v>
      </c>
      <c r="Y911" s="5"/>
      <c r="Z911" s="2" t="s">
        <v>5958</v>
      </c>
      <c r="AA911" s="6" t="s">
        <v>5959</v>
      </c>
    </row>
    <row r="912" customFormat="false" ht="68.65" hidden="false" customHeight="false" outlineLevel="0" collapsed="false">
      <c r="A912" s="5" t="s">
        <v>5960</v>
      </c>
      <c r="B912" s="2" t="s">
        <v>5961</v>
      </c>
      <c r="C912" s="5" t="s">
        <v>2245</v>
      </c>
      <c r="D912" s="5" t="s">
        <v>4760</v>
      </c>
      <c r="E912" s="2" t="s">
        <v>2079</v>
      </c>
      <c r="F912" s="5" t="s">
        <v>62</v>
      </c>
      <c r="G912" s="5" t="n">
        <v>9</v>
      </c>
      <c r="H912" s="5" t="s">
        <v>63</v>
      </c>
      <c r="I912" s="5" t="s">
        <v>64</v>
      </c>
      <c r="J912" s="5" t="s">
        <v>65</v>
      </c>
      <c r="K912" s="5" t="s">
        <v>66</v>
      </c>
      <c r="L912" s="2" t="s">
        <v>2079</v>
      </c>
      <c r="M912" s="2" t="s">
        <v>4805</v>
      </c>
      <c r="N912" s="2" t="s">
        <v>2731</v>
      </c>
      <c r="O912" s="2" t="s">
        <v>5962</v>
      </c>
      <c r="P912" s="2"/>
      <c r="Q912" s="5" t="n">
        <v>1</v>
      </c>
      <c r="R912" s="2" t="s">
        <v>4997</v>
      </c>
      <c r="S912" s="2" t="s">
        <v>5023</v>
      </c>
      <c r="T912" s="2" t="s">
        <v>5207</v>
      </c>
      <c r="U912" s="2" t="s">
        <v>74</v>
      </c>
      <c r="V912" s="5" t="n">
        <v>300</v>
      </c>
      <c r="W912" s="2"/>
      <c r="X912" s="2" t="s">
        <v>5963</v>
      </c>
      <c r="Y912" s="5"/>
      <c r="Z912" s="2" t="s">
        <v>5964</v>
      </c>
      <c r="AA912" s="6" t="s">
        <v>5965</v>
      </c>
    </row>
    <row r="913" customFormat="false" ht="46.25" hidden="false" customHeight="false" outlineLevel="0" collapsed="false">
      <c r="A913" s="5" t="s">
        <v>5966</v>
      </c>
      <c r="B913" s="2" t="s">
        <v>5967</v>
      </c>
      <c r="C913" s="5" t="s">
        <v>2128</v>
      </c>
      <c r="D913" s="5" t="s">
        <v>4760</v>
      </c>
      <c r="E913" s="2" t="s">
        <v>2079</v>
      </c>
      <c r="F913" s="5" t="s">
        <v>490</v>
      </c>
      <c r="G913" s="5" t="n">
        <v>9</v>
      </c>
      <c r="H913" s="5" t="s">
        <v>63</v>
      </c>
      <c r="I913" s="5" t="s">
        <v>64</v>
      </c>
      <c r="J913" s="5" t="s">
        <v>65</v>
      </c>
      <c r="K913" s="5" t="s">
        <v>66</v>
      </c>
      <c r="L913" s="2" t="s">
        <v>2079</v>
      </c>
      <c r="M913" s="2" t="s">
        <v>4805</v>
      </c>
      <c r="N913" s="2" t="s">
        <v>2721</v>
      </c>
      <c r="O913" s="2" t="s">
        <v>2722</v>
      </c>
      <c r="P913" s="2"/>
      <c r="Q913" s="5" t="n">
        <v>1</v>
      </c>
      <c r="R913" s="2" t="s">
        <v>4997</v>
      </c>
      <c r="S913" s="2" t="s">
        <v>5968</v>
      </c>
      <c r="T913" s="2" t="s">
        <v>2725</v>
      </c>
      <c r="U913" s="2" t="s">
        <v>74</v>
      </c>
      <c r="V913" s="5" t="n">
        <v>300</v>
      </c>
      <c r="W913" s="2"/>
      <c r="X913" s="2" t="s">
        <v>2726</v>
      </c>
      <c r="Y913" s="5"/>
      <c r="Z913" s="2" t="s">
        <v>5969</v>
      </c>
      <c r="AA913" s="6" t="s">
        <v>5970</v>
      </c>
    </row>
    <row r="914" customFormat="false" ht="158.2" hidden="false" customHeight="false" outlineLevel="0" collapsed="false">
      <c r="A914" s="5" t="s">
        <v>5971</v>
      </c>
      <c r="B914" s="2" t="s">
        <v>5972</v>
      </c>
      <c r="C914" s="5" t="s">
        <v>2128</v>
      </c>
      <c r="D914" s="5" t="s">
        <v>4760</v>
      </c>
      <c r="E914" s="2" t="s">
        <v>2079</v>
      </c>
      <c r="F914" s="5" t="s">
        <v>490</v>
      </c>
      <c r="G914" s="5" t="n">
        <v>9</v>
      </c>
      <c r="H914" s="5" t="s">
        <v>63</v>
      </c>
      <c r="I914" s="5" t="s">
        <v>64</v>
      </c>
      <c r="J914" s="5" t="s">
        <v>65</v>
      </c>
      <c r="K914" s="5" t="s">
        <v>66</v>
      </c>
      <c r="L914" s="2" t="s">
        <v>2079</v>
      </c>
      <c r="M914" s="2" t="s">
        <v>4805</v>
      </c>
      <c r="N914" s="2" t="s">
        <v>2731</v>
      </c>
      <c r="O914" s="2" t="s">
        <v>5973</v>
      </c>
      <c r="P914" s="2"/>
      <c r="Q914" s="5" t="n">
        <v>1</v>
      </c>
      <c r="R914" s="2" t="s">
        <v>4997</v>
      </c>
      <c r="S914" s="2" t="s">
        <v>5974</v>
      </c>
      <c r="T914" s="2" t="s">
        <v>2733</v>
      </c>
      <c r="U914" s="2" t="s">
        <v>74</v>
      </c>
      <c r="V914" s="5" t="n">
        <v>300</v>
      </c>
      <c r="W914" s="2"/>
      <c r="X914" s="2" t="s">
        <v>5975</v>
      </c>
      <c r="Y914" s="5"/>
      <c r="Z914" s="2" t="s">
        <v>5341</v>
      </c>
      <c r="AA914" s="6" t="s">
        <v>5976</v>
      </c>
    </row>
    <row r="915" customFormat="false" ht="68.65" hidden="false" customHeight="false" outlineLevel="0" collapsed="false">
      <c r="A915" s="5" t="s">
        <v>5977</v>
      </c>
      <c r="B915" s="2" t="s">
        <v>5978</v>
      </c>
      <c r="C915" s="5" t="s">
        <v>2128</v>
      </c>
      <c r="D915" s="5" t="s">
        <v>4760</v>
      </c>
      <c r="E915" s="2" t="s">
        <v>2079</v>
      </c>
      <c r="F915" s="5" t="s">
        <v>62</v>
      </c>
      <c r="G915" s="5" t="n">
        <v>9</v>
      </c>
      <c r="H915" s="5" t="s">
        <v>63</v>
      </c>
      <c r="I915" s="5" t="s">
        <v>64</v>
      </c>
      <c r="J915" s="5" t="s">
        <v>65</v>
      </c>
      <c r="K915" s="5" t="s">
        <v>66</v>
      </c>
      <c r="L915" s="2" t="s">
        <v>2079</v>
      </c>
      <c r="M915" s="2" t="s">
        <v>4805</v>
      </c>
      <c r="N915" s="2" t="s">
        <v>2731</v>
      </c>
      <c r="O915" s="2" t="s">
        <v>5979</v>
      </c>
      <c r="P915" s="2"/>
      <c r="Q915" s="5" t="n">
        <v>1</v>
      </c>
      <c r="R915" s="2" t="s">
        <v>4997</v>
      </c>
      <c r="S915" s="2" t="s">
        <v>5023</v>
      </c>
      <c r="T915" s="2" t="s">
        <v>5207</v>
      </c>
      <c r="U915" s="2" t="s">
        <v>74</v>
      </c>
      <c r="V915" s="5" t="n">
        <v>300</v>
      </c>
      <c r="W915" s="2"/>
      <c r="X915" s="2" t="s">
        <v>5980</v>
      </c>
      <c r="Y915" s="5"/>
      <c r="Z915" s="2" t="s">
        <v>5981</v>
      </c>
      <c r="AA915" s="6" t="s">
        <v>5982</v>
      </c>
    </row>
    <row r="916" customFormat="false" ht="46.25" hidden="false" customHeight="false" outlineLevel="0" collapsed="false">
      <c r="A916" s="5" t="s">
        <v>5983</v>
      </c>
      <c r="B916" s="2" t="s">
        <v>5984</v>
      </c>
      <c r="C916" s="5" t="s">
        <v>2128</v>
      </c>
      <c r="D916" s="5" t="s">
        <v>4760</v>
      </c>
      <c r="E916" s="2" t="s">
        <v>481</v>
      </c>
      <c r="F916" s="5" t="s">
        <v>490</v>
      </c>
      <c r="G916" s="5" t="n">
        <v>9</v>
      </c>
      <c r="H916" s="5" t="s">
        <v>63</v>
      </c>
      <c r="I916" s="5" t="s">
        <v>64</v>
      </c>
      <c r="J916" s="5" t="s">
        <v>65</v>
      </c>
      <c r="K916" s="5" t="s">
        <v>66</v>
      </c>
      <c r="L916" s="2" t="s">
        <v>481</v>
      </c>
      <c r="M916" s="2" t="s">
        <v>1764</v>
      </c>
      <c r="N916" s="2" t="s">
        <v>2721</v>
      </c>
      <c r="O916" s="2" t="s">
        <v>2722</v>
      </c>
      <c r="P916" s="2"/>
      <c r="Q916" s="5" t="n">
        <v>1</v>
      </c>
      <c r="R916" s="2" t="s">
        <v>4997</v>
      </c>
      <c r="S916" s="2" t="s">
        <v>5985</v>
      </c>
      <c r="T916" s="2" t="s">
        <v>2725</v>
      </c>
      <c r="U916" s="2" t="s">
        <v>74</v>
      </c>
      <c r="V916" s="5" t="n">
        <v>300</v>
      </c>
      <c r="W916" s="2"/>
      <c r="X916" s="2" t="s">
        <v>2726</v>
      </c>
      <c r="Y916" s="5"/>
      <c r="Z916" s="2" t="s">
        <v>5986</v>
      </c>
      <c r="AA916" s="6" t="s">
        <v>5987</v>
      </c>
    </row>
    <row r="917" customFormat="false" ht="79.85" hidden="false" customHeight="false" outlineLevel="0" collapsed="false">
      <c r="A917" s="5" t="s">
        <v>5988</v>
      </c>
      <c r="B917" s="2" t="s">
        <v>5989</v>
      </c>
      <c r="C917" s="5" t="s">
        <v>2128</v>
      </c>
      <c r="D917" s="5" t="s">
        <v>4760</v>
      </c>
      <c r="E917" s="2" t="s">
        <v>481</v>
      </c>
      <c r="F917" s="5" t="s">
        <v>490</v>
      </c>
      <c r="G917" s="5" t="n">
        <v>9</v>
      </c>
      <c r="H917" s="5" t="s">
        <v>63</v>
      </c>
      <c r="I917" s="5" t="s">
        <v>64</v>
      </c>
      <c r="J917" s="5" t="s">
        <v>65</v>
      </c>
      <c r="K917" s="5" t="s">
        <v>66</v>
      </c>
      <c r="L917" s="2" t="s">
        <v>481</v>
      </c>
      <c r="M917" s="2" t="s">
        <v>1764</v>
      </c>
      <c r="N917" s="2" t="s">
        <v>2731</v>
      </c>
      <c r="O917" s="2" t="s">
        <v>5990</v>
      </c>
      <c r="P917" s="2"/>
      <c r="Q917" s="5" t="n">
        <v>1</v>
      </c>
      <c r="R917" s="2" t="s">
        <v>4997</v>
      </c>
      <c r="S917" s="2" t="s">
        <v>5991</v>
      </c>
      <c r="T917" s="2" t="s">
        <v>2733</v>
      </c>
      <c r="U917" s="2" t="s">
        <v>74</v>
      </c>
      <c r="V917" s="5" t="n">
        <v>300</v>
      </c>
      <c r="W917" s="2"/>
      <c r="X917" s="2" t="s">
        <v>5992</v>
      </c>
      <c r="Y917" s="5"/>
      <c r="Z917" s="2" t="s">
        <v>5993</v>
      </c>
      <c r="AA917" s="6" t="s">
        <v>5994</v>
      </c>
    </row>
    <row r="918" customFormat="false" ht="68.65" hidden="false" customHeight="false" outlineLevel="0" collapsed="false">
      <c r="A918" s="5" t="s">
        <v>5995</v>
      </c>
      <c r="B918" s="2" t="s">
        <v>5996</v>
      </c>
      <c r="C918" s="5" t="s">
        <v>2128</v>
      </c>
      <c r="D918" s="5" t="s">
        <v>4760</v>
      </c>
      <c r="E918" s="2" t="s">
        <v>2079</v>
      </c>
      <c r="F918" s="5" t="s">
        <v>62</v>
      </c>
      <c r="G918" s="5" t="n">
        <v>9</v>
      </c>
      <c r="H918" s="5" t="s">
        <v>63</v>
      </c>
      <c r="I918" s="5" t="s">
        <v>64</v>
      </c>
      <c r="J918" s="5" t="s">
        <v>65</v>
      </c>
      <c r="K918" s="5" t="s">
        <v>66</v>
      </c>
      <c r="L918" s="2" t="s">
        <v>2079</v>
      </c>
      <c r="M918" s="2" t="s">
        <v>4805</v>
      </c>
      <c r="N918" s="2" t="s">
        <v>2731</v>
      </c>
      <c r="O918" s="2" t="s">
        <v>5997</v>
      </c>
      <c r="P918" s="2"/>
      <c r="Q918" s="5" t="n">
        <v>1</v>
      </c>
      <c r="R918" s="2" t="s">
        <v>4997</v>
      </c>
      <c r="S918" s="2" t="s">
        <v>5011</v>
      </c>
      <c r="T918" s="2" t="s">
        <v>2733</v>
      </c>
      <c r="U918" s="2" t="s">
        <v>74</v>
      </c>
      <c r="V918" s="5" t="n">
        <v>300</v>
      </c>
      <c r="W918" s="2"/>
      <c r="X918" s="2" t="s">
        <v>5998</v>
      </c>
      <c r="Y918" s="5"/>
      <c r="Z918" s="2" t="s">
        <v>5999</v>
      </c>
      <c r="AA918" s="6" t="s">
        <v>6000</v>
      </c>
    </row>
    <row r="919" customFormat="false" ht="46.25" hidden="false" customHeight="false" outlineLevel="0" collapsed="false">
      <c r="A919" s="5" t="s">
        <v>6001</v>
      </c>
      <c r="B919" s="2" t="s">
        <v>6002</v>
      </c>
      <c r="C919" s="5" t="s">
        <v>2128</v>
      </c>
      <c r="D919" s="5" t="s">
        <v>4760</v>
      </c>
      <c r="E919" s="2" t="s">
        <v>2079</v>
      </c>
      <c r="F919" s="5" t="s">
        <v>62</v>
      </c>
      <c r="G919" s="5" t="n">
        <v>9</v>
      </c>
      <c r="H919" s="5" t="s">
        <v>63</v>
      </c>
      <c r="I919" s="5" t="s">
        <v>64</v>
      </c>
      <c r="J919" s="5" t="s">
        <v>65</v>
      </c>
      <c r="K919" s="5" t="s">
        <v>66</v>
      </c>
      <c r="L919" s="2" t="s">
        <v>2079</v>
      </c>
      <c r="M919" s="2" t="s">
        <v>4805</v>
      </c>
      <c r="N919" s="2" t="s">
        <v>2721</v>
      </c>
      <c r="O919" s="2" t="s">
        <v>2722</v>
      </c>
      <c r="P919" s="2"/>
      <c r="Q919" s="5" t="n">
        <v>1</v>
      </c>
      <c r="R919" s="2" t="s">
        <v>4997</v>
      </c>
      <c r="S919" s="2" t="s">
        <v>6003</v>
      </c>
      <c r="T919" s="2" t="s">
        <v>2725</v>
      </c>
      <c r="U919" s="2" t="s">
        <v>74</v>
      </c>
      <c r="V919" s="5" t="n">
        <v>300</v>
      </c>
      <c r="W919" s="2"/>
      <c r="X919" s="2" t="s">
        <v>2726</v>
      </c>
      <c r="Y919" s="5"/>
      <c r="Z919" s="2" t="s">
        <v>6004</v>
      </c>
      <c r="AA919" s="6" t="s">
        <v>6005</v>
      </c>
    </row>
    <row r="920" customFormat="false" ht="91" hidden="false" customHeight="false" outlineLevel="0" collapsed="false">
      <c r="A920" s="5" t="s">
        <v>6006</v>
      </c>
      <c r="B920" s="2" t="s">
        <v>6007</v>
      </c>
      <c r="C920" s="5" t="s">
        <v>2128</v>
      </c>
      <c r="D920" s="5" t="s">
        <v>4760</v>
      </c>
      <c r="E920" s="2" t="s">
        <v>2079</v>
      </c>
      <c r="F920" s="5" t="s">
        <v>62</v>
      </c>
      <c r="G920" s="5" t="n">
        <v>9</v>
      </c>
      <c r="H920" s="5" t="s">
        <v>63</v>
      </c>
      <c r="I920" s="5" t="s">
        <v>64</v>
      </c>
      <c r="J920" s="5" t="s">
        <v>65</v>
      </c>
      <c r="K920" s="5" t="s">
        <v>66</v>
      </c>
      <c r="L920" s="2" t="s">
        <v>2079</v>
      </c>
      <c r="M920" s="2" t="s">
        <v>4805</v>
      </c>
      <c r="N920" s="2" t="s">
        <v>2731</v>
      </c>
      <c r="O920" s="2" t="s">
        <v>6008</v>
      </c>
      <c r="P920" s="2"/>
      <c r="Q920" s="5" t="n">
        <v>1</v>
      </c>
      <c r="R920" s="2" t="s">
        <v>4997</v>
      </c>
      <c r="S920" s="2" t="s">
        <v>6009</v>
      </c>
      <c r="T920" s="2" t="s">
        <v>2733</v>
      </c>
      <c r="U920" s="2" t="s">
        <v>74</v>
      </c>
      <c r="V920" s="5" t="n">
        <v>300</v>
      </c>
      <c r="W920" s="2"/>
      <c r="X920" s="2" t="s">
        <v>6010</v>
      </c>
      <c r="Y920" s="5"/>
      <c r="Z920" s="2" t="s">
        <v>6011</v>
      </c>
      <c r="AA920" s="6" t="s">
        <v>6012</v>
      </c>
    </row>
    <row r="921" customFormat="false" ht="68.65" hidden="false" customHeight="false" outlineLevel="0" collapsed="false">
      <c r="A921" s="5" t="s">
        <v>6013</v>
      </c>
      <c r="B921" s="2" t="s">
        <v>6014</v>
      </c>
      <c r="C921" s="5" t="s">
        <v>2128</v>
      </c>
      <c r="D921" s="5" t="s">
        <v>4760</v>
      </c>
      <c r="E921" s="2" t="s">
        <v>2079</v>
      </c>
      <c r="F921" s="5" t="s">
        <v>62</v>
      </c>
      <c r="G921" s="5" t="n">
        <v>9</v>
      </c>
      <c r="H921" s="5" t="s">
        <v>63</v>
      </c>
      <c r="I921" s="5" t="s">
        <v>64</v>
      </c>
      <c r="J921" s="5" t="s">
        <v>65</v>
      </c>
      <c r="K921" s="5" t="s">
        <v>66</v>
      </c>
      <c r="L921" s="2" t="s">
        <v>2079</v>
      </c>
      <c r="M921" s="2" t="s">
        <v>4805</v>
      </c>
      <c r="N921" s="2" t="s">
        <v>2731</v>
      </c>
      <c r="O921" s="2" t="s">
        <v>6015</v>
      </c>
      <c r="P921" s="2"/>
      <c r="Q921" s="5" t="n">
        <v>1</v>
      </c>
      <c r="R921" s="2" t="s">
        <v>4997</v>
      </c>
      <c r="S921" s="2" t="s">
        <v>5023</v>
      </c>
      <c r="T921" s="2" t="s">
        <v>2733</v>
      </c>
      <c r="U921" s="2" t="s">
        <v>74</v>
      </c>
      <c r="V921" s="5" t="n">
        <v>300</v>
      </c>
      <c r="W921" s="2"/>
      <c r="X921" s="2" t="s">
        <v>6016</v>
      </c>
      <c r="Y921" s="5"/>
      <c r="Z921" s="2" t="s">
        <v>6017</v>
      </c>
      <c r="AA921" s="6" t="s">
        <v>6018</v>
      </c>
    </row>
    <row r="922" customFormat="false" ht="102.2" hidden="false" customHeight="false" outlineLevel="0" collapsed="false">
      <c r="A922" s="5" t="s">
        <v>6019</v>
      </c>
      <c r="B922" s="2" t="s">
        <v>6020</v>
      </c>
      <c r="C922" s="5" t="s">
        <v>2128</v>
      </c>
      <c r="D922" s="5" t="s">
        <v>4760</v>
      </c>
      <c r="E922" s="2" t="s">
        <v>2079</v>
      </c>
      <c r="F922" s="5" t="s">
        <v>62</v>
      </c>
      <c r="G922" s="5" t="n">
        <v>9</v>
      </c>
      <c r="H922" s="5" t="s">
        <v>63</v>
      </c>
      <c r="I922" s="5" t="s">
        <v>64</v>
      </c>
      <c r="J922" s="5" t="s">
        <v>65</v>
      </c>
      <c r="K922" s="5" t="s">
        <v>66</v>
      </c>
      <c r="L922" s="2" t="s">
        <v>2079</v>
      </c>
      <c r="M922" s="2" t="s">
        <v>4805</v>
      </c>
      <c r="N922" s="2" t="s">
        <v>4822</v>
      </c>
      <c r="O922" s="2" t="s">
        <v>4823</v>
      </c>
      <c r="P922" s="2"/>
      <c r="Q922" s="5" t="n">
        <v>1</v>
      </c>
      <c r="R922" s="2" t="s">
        <v>6021</v>
      </c>
      <c r="S922" s="2" t="s">
        <v>6022</v>
      </c>
      <c r="T922" s="2" t="s">
        <v>2733</v>
      </c>
      <c r="U922" s="2" t="s">
        <v>74</v>
      </c>
      <c r="V922" s="5" t="n">
        <v>600</v>
      </c>
      <c r="W922" s="2"/>
      <c r="X922" s="2" t="s">
        <v>4825</v>
      </c>
      <c r="Y922" s="5"/>
      <c r="Z922" s="2" t="s">
        <v>6023</v>
      </c>
      <c r="AA922" s="6" t="s">
        <v>6024</v>
      </c>
    </row>
    <row r="923" customFormat="false" ht="57.45" hidden="false" customHeight="false" outlineLevel="0" collapsed="false">
      <c r="A923" s="5" t="s">
        <v>6025</v>
      </c>
      <c r="B923" s="2" t="s">
        <v>6026</v>
      </c>
      <c r="C923" s="5" t="s">
        <v>2128</v>
      </c>
      <c r="D923" s="5" t="s">
        <v>4760</v>
      </c>
      <c r="E923" s="2" t="s">
        <v>2079</v>
      </c>
      <c r="F923" s="5" t="s">
        <v>490</v>
      </c>
      <c r="G923" s="5" t="n">
        <v>8</v>
      </c>
      <c r="H923" s="5" t="s">
        <v>89</v>
      </c>
      <c r="I923" s="5" t="s">
        <v>64</v>
      </c>
      <c r="J923" s="5" t="s">
        <v>65</v>
      </c>
      <c r="K923" s="5" t="s">
        <v>66</v>
      </c>
      <c r="L923" s="2" t="s">
        <v>2079</v>
      </c>
      <c r="M923" s="2" t="s">
        <v>4805</v>
      </c>
      <c r="N923" s="2" t="s">
        <v>6027</v>
      </c>
      <c r="O923" s="2" t="s">
        <v>6028</v>
      </c>
      <c r="P923" s="2"/>
      <c r="Q923" s="5" t="n">
        <v>1</v>
      </c>
      <c r="R923" s="2" t="s">
        <v>71</v>
      </c>
      <c r="S923" s="2" t="s">
        <v>6029</v>
      </c>
      <c r="T923" s="2" t="s">
        <v>6030</v>
      </c>
      <c r="U923" s="2" t="s">
        <v>74</v>
      </c>
      <c r="V923" s="5" t="n">
        <v>300</v>
      </c>
      <c r="W923" s="2"/>
      <c r="X923" s="2" t="s">
        <v>6031</v>
      </c>
      <c r="Y923" s="5"/>
      <c r="Z923" s="2" t="s">
        <v>6032</v>
      </c>
      <c r="AA923" s="6" t="s">
        <v>6033</v>
      </c>
    </row>
    <row r="924" customFormat="false" ht="46.25" hidden="false" customHeight="false" outlineLevel="0" collapsed="false">
      <c r="A924" s="5" t="s">
        <v>6034</v>
      </c>
      <c r="B924" s="2" t="s">
        <v>6035</v>
      </c>
      <c r="C924" s="5" t="s">
        <v>2128</v>
      </c>
      <c r="D924" s="5" t="s">
        <v>4760</v>
      </c>
      <c r="E924" s="2" t="s">
        <v>100</v>
      </c>
      <c r="F924" s="5" t="s">
        <v>62</v>
      </c>
      <c r="G924" s="5" t="n">
        <v>7</v>
      </c>
      <c r="H924" s="5" t="s">
        <v>89</v>
      </c>
      <c r="I924" s="5" t="s">
        <v>64</v>
      </c>
      <c r="J924" s="5" t="s">
        <v>65</v>
      </c>
      <c r="K924" s="5" t="s">
        <v>66</v>
      </c>
      <c r="L924" s="2" t="s">
        <v>100</v>
      </c>
      <c r="M924" s="2" t="s">
        <v>1032</v>
      </c>
      <c r="N924" s="2" t="s">
        <v>956</v>
      </c>
      <c r="O924" s="2" t="s">
        <v>6036</v>
      </c>
      <c r="P924" s="2"/>
      <c r="Q924" s="5" t="n">
        <v>1</v>
      </c>
      <c r="R924" s="2" t="s">
        <v>958</v>
      </c>
      <c r="S924" s="2" t="s">
        <v>959</v>
      </c>
      <c r="T924" s="2" t="s">
        <v>960</v>
      </c>
      <c r="U924" s="2" t="s">
        <v>496</v>
      </c>
      <c r="V924" s="5" t="n">
        <v>300</v>
      </c>
      <c r="W924" s="2"/>
      <c r="X924" s="2" t="s">
        <v>6037</v>
      </c>
      <c r="Y924" s="5"/>
      <c r="Z924" s="2" t="s">
        <v>6038</v>
      </c>
      <c r="AA924" s="6" t="s">
        <v>6039</v>
      </c>
    </row>
    <row r="925" customFormat="false" ht="57.45" hidden="false" customHeight="false" outlineLevel="0" collapsed="false">
      <c r="A925" s="5" t="s">
        <v>6040</v>
      </c>
      <c r="B925" s="2" t="s">
        <v>6041</v>
      </c>
      <c r="C925" s="5" t="s">
        <v>2128</v>
      </c>
      <c r="D925" s="5" t="s">
        <v>4760</v>
      </c>
      <c r="E925" s="2" t="s">
        <v>481</v>
      </c>
      <c r="F925" s="5" t="s">
        <v>62</v>
      </c>
      <c r="G925" s="5" t="n">
        <v>9</v>
      </c>
      <c r="H925" s="5" t="s">
        <v>63</v>
      </c>
      <c r="I925" s="5" t="s">
        <v>64</v>
      </c>
      <c r="J925" s="5" t="s">
        <v>65</v>
      </c>
      <c r="K925" s="5" t="s">
        <v>66</v>
      </c>
      <c r="L925" s="2" t="s">
        <v>481</v>
      </c>
      <c r="M925" s="2" t="s">
        <v>1764</v>
      </c>
      <c r="N925" s="2" t="s">
        <v>6042</v>
      </c>
      <c r="O925" s="2" t="s">
        <v>6043</v>
      </c>
      <c r="P925" s="2"/>
      <c r="Q925" s="5" t="n">
        <v>1</v>
      </c>
      <c r="R925" s="2" t="s">
        <v>6044</v>
      </c>
      <c r="S925" s="2" t="s">
        <v>83</v>
      </c>
      <c r="T925" s="2" t="s">
        <v>6045</v>
      </c>
      <c r="U925" s="2" t="s">
        <v>4754</v>
      </c>
      <c r="V925" s="5" t="n">
        <v>300</v>
      </c>
      <c r="W925" s="2"/>
      <c r="X925" s="2" t="s">
        <v>6046</v>
      </c>
      <c r="Y925" s="5"/>
      <c r="Z925" s="2" t="s">
        <v>6047</v>
      </c>
      <c r="AA925" s="6" t="s">
        <v>6048</v>
      </c>
    </row>
    <row r="926" customFormat="false" ht="57.45" hidden="false" customHeight="false" outlineLevel="0" collapsed="false">
      <c r="A926" s="5" t="s">
        <v>6049</v>
      </c>
      <c r="B926" s="2" t="s">
        <v>6050</v>
      </c>
      <c r="C926" s="5" t="s">
        <v>2128</v>
      </c>
      <c r="D926" s="5" t="s">
        <v>4760</v>
      </c>
      <c r="E926" s="2" t="s">
        <v>481</v>
      </c>
      <c r="F926" s="5" t="s">
        <v>62</v>
      </c>
      <c r="G926" s="5" t="n">
        <v>8</v>
      </c>
      <c r="H926" s="5" t="s">
        <v>89</v>
      </c>
      <c r="I926" s="5" t="s">
        <v>64</v>
      </c>
      <c r="J926" s="5" t="s">
        <v>65</v>
      </c>
      <c r="K926" s="5" t="s">
        <v>66</v>
      </c>
      <c r="L926" s="2" t="s">
        <v>481</v>
      </c>
      <c r="M926" s="2" t="s">
        <v>1764</v>
      </c>
      <c r="N926" s="2" t="s">
        <v>6042</v>
      </c>
      <c r="O926" s="2" t="s">
        <v>6051</v>
      </c>
      <c r="P926" s="2"/>
      <c r="Q926" s="5" t="n">
        <v>1</v>
      </c>
      <c r="R926" s="2" t="s">
        <v>6052</v>
      </c>
      <c r="S926" s="2" t="s">
        <v>83</v>
      </c>
      <c r="T926" s="2" t="s">
        <v>6045</v>
      </c>
      <c r="U926" s="2" t="s">
        <v>4754</v>
      </c>
      <c r="V926" s="5" t="n">
        <v>300</v>
      </c>
      <c r="W926" s="2"/>
      <c r="X926" s="2" t="s">
        <v>6053</v>
      </c>
      <c r="Y926" s="5"/>
      <c r="Z926" s="2" t="s">
        <v>6054</v>
      </c>
      <c r="AA926" s="6" t="s">
        <v>6055</v>
      </c>
    </row>
    <row r="927" customFormat="false" ht="46.25" hidden="false" customHeight="false" outlineLevel="0" collapsed="false">
      <c r="A927" s="5" t="s">
        <v>6056</v>
      </c>
      <c r="B927" s="2" t="s">
        <v>6057</v>
      </c>
      <c r="C927" s="5" t="s">
        <v>2128</v>
      </c>
      <c r="D927" s="5" t="s">
        <v>4760</v>
      </c>
      <c r="E927" s="2" t="s">
        <v>481</v>
      </c>
      <c r="F927" s="5" t="s">
        <v>62</v>
      </c>
      <c r="G927" s="5" t="n">
        <v>10</v>
      </c>
      <c r="H927" s="5" t="s">
        <v>63</v>
      </c>
      <c r="I927" s="5" t="s">
        <v>64</v>
      </c>
      <c r="J927" s="5" t="s">
        <v>65</v>
      </c>
      <c r="K927" s="5" t="s">
        <v>66</v>
      </c>
      <c r="L927" s="2" t="s">
        <v>481</v>
      </c>
      <c r="M927" s="2" t="s">
        <v>1764</v>
      </c>
      <c r="N927" s="2" t="s">
        <v>6042</v>
      </c>
      <c r="O927" s="2" t="s">
        <v>6058</v>
      </c>
      <c r="P927" s="2"/>
      <c r="Q927" s="5" t="n">
        <v>1</v>
      </c>
      <c r="R927" s="2" t="s">
        <v>6044</v>
      </c>
      <c r="S927" s="2" t="s">
        <v>6059</v>
      </c>
      <c r="T927" s="2" t="s">
        <v>6060</v>
      </c>
      <c r="U927" s="2" t="s">
        <v>4754</v>
      </c>
      <c r="V927" s="5" t="n">
        <v>300</v>
      </c>
      <c r="W927" s="2"/>
      <c r="X927" s="2" t="s">
        <v>6061</v>
      </c>
      <c r="Y927" s="5"/>
      <c r="Z927" s="2" t="s">
        <v>6062</v>
      </c>
      <c r="AA927" s="6" t="s">
        <v>6063</v>
      </c>
    </row>
    <row r="928" customFormat="false" ht="35.05" hidden="false" customHeight="false" outlineLevel="0" collapsed="false">
      <c r="A928" s="5" t="s">
        <v>6064</v>
      </c>
      <c r="B928" s="2" t="s">
        <v>6065</v>
      </c>
      <c r="C928" s="5" t="s">
        <v>2128</v>
      </c>
      <c r="D928" s="5" t="s">
        <v>4760</v>
      </c>
      <c r="E928" s="2" t="s">
        <v>481</v>
      </c>
      <c r="F928" s="5" t="s">
        <v>62</v>
      </c>
      <c r="G928" s="5" t="n">
        <v>9</v>
      </c>
      <c r="H928" s="5" t="s">
        <v>63</v>
      </c>
      <c r="I928" s="5" t="s">
        <v>64</v>
      </c>
      <c r="J928" s="5" t="s">
        <v>65</v>
      </c>
      <c r="K928" s="5" t="s">
        <v>66</v>
      </c>
      <c r="L928" s="2" t="s">
        <v>481</v>
      </c>
      <c r="M928" s="2" t="s">
        <v>1764</v>
      </c>
      <c r="N928" s="2" t="s">
        <v>6042</v>
      </c>
      <c r="O928" s="2" t="s">
        <v>6066</v>
      </c>
      <c r="P928" s="2"/>
      <c r="Q928" s="5" t="n">
        <v>1</v>
      </c>
      <c r="R928" s="2" t="s">
        <v>6044</v>
      </c>
      <c r="S928" s="2" t="s">
        <v>83</v>
      </c>
      <c r="T928" s="2" t="s">
        <v>6067</v>
      </c>
      <c r="U928" s="2" t="s">
        <v>4754</v>
      </c>
      <c r="V928" s="5" t="n">
        <v>300</v>
      </c>
      <c r="W928" s="2"/>
      <c r="X928" s="2" t="s">
        <v>6068</v>
      </c>
      <c r="Y928" s="5"/>
      <c r="Z928" s="2" t="s">
        <v>6069</v>
      </c>
      <c r="AA928" s="6" t="s">
        <v>6070</v>
      </c>
    </row>
    <row r="929" customFormat="false" ht="35.05" hidden="false" customHeight="false" outlineLevel="0" collapsed="false">
      <c r="A929" s="5" t="s">
        <v>6071</v>
      </c>
      <c r="B929" s="2" t="s">
        <v>6072</v>
      </c>
      <c r="C929" s="5" t="s">
        <v>2128</v>
      </c>
      <c r="D929" s="5" t="s">
        <v>4760</v>
      </c>
      <c r="E929" s="2" t="s">
        <v>481</v>
      </c>
      <c r="F929" s="5" t="s">
        <v>62</v>
      </c>
      <c r="G929" s="5" t="n">
        <v>8</v>
      </c>
      <c r="H929" s="5" t="s">
        <v>89</v>
      </c>
      <c r="I929" s="5" t="s">
        <v>64</v>
      </c>
      <c r="J929" s="5" t="s">
        <v>65</v>
      </c>
      <c r="K929" s="5" t="s">
        <v>66</v>
      </c>
      <c r="L929" s="2" t="s">
        <v>481</v>
      </c>
      <c r="M929" s="2" t="s">
        <v>1764</v>
      </c>
      <c r="N929" s="2" t="s">
        <v>6042</v>
      </c>
      <c r="O929" s="2" t="s">
        <v>6073</v>
      </c>
      <c r="P929" s="2"/>
      <c r="Q929" s="5" t="n">
        <v>1</v>
      </c>
      <c r="R929" s="2" t="s">
        <v>6052</v>
      </c>
      <c r="S929" s="2" t="s">
        <v>83</v>
      </c>
      <c r="T929" s="2" t="s">
        <v>6067</v>
      </c>
      <c r="U929" s="2" t="s">
        <v>4754</v>
      </c>
      <c r="V929" s="5" t="n">
        <v>300</v>
      </c>
      <c r="W929" s="2"/>
      <c r="X929" s="2" t="s">
        <v>6074</v>
      </c>
      <c r="Y929" s="5"/>
      <c r="Z929" s="2" t="s">
        <v>6075</v>
      </c>
      <c r="AA929" s="6" t="s">
        <v>6076</v>
      </c>
    </row>
    <row r="930" customFormat="false" ht="57.45" hidden="false" customHeight="false" outlineLevel="0" collapsed="false">
      <c r="A930" s="5" t="s">
        <v>6077</v>
      </c>
      <c r="B930" s="2" t="s">
        <v>6078</v>
      </c>
      <c r="C930" s="5" t="s">
        <v>2128</v>
      </c>
      <c r="D930" s="5" t="s">
        <v>4760</v>
      </c>
      <c r="E930" s="2" t="s">
        <v>481</v>
      </c>
      <c r="F930" s="5" t="s">
        <v>62</v>
      </c>
      <c r="G930" s="5" t="n">
        <v>9</v>
      </c>
      <c r="H930" s="5" t="s">
        <v>63</v>
      </c>
      <c r="I930" s="5" t="s">
        <v>64</v>
      </c>
      <c r="J930" s="5" t="s">
        <v>65</v>
      </c>
      <c r="K930" s="5" t="s">
        <v>66</v>
      </c>
      <c r="L930" s="2" t="s">
        <v>481</v>
      </c>
      <c r="M930" s="2" t="s">
        <v>1764</v>
      </c>
      <c r="N930" s="2" t="s">
        <v>6042</v>
      </c>
      <c r="O930" s="2" t="s">
        <v>6079</v>
      </c>
      <c r="P930" s="2"/>
      <c r="Q930" s="5" t="n">
        <v>1</v>
      </c>
      <c r="R930" s="2" t="s">
        <v>6044</v>
      </c>
      <c r="S930" s="2" t="s">
        <v>83</v>
      </c>
      <c r="T930" s="2" t="s">
        <v>6080</v>
      </c>
      <c r="U930" s="2" t="s">
        <v>4754</v>
      </c>
      <c r="V930" s="5" t="n">
        <v>300</v>
      </c>
      <c r="W930" s="2"/>
      <c r="X930" s="2" t="s">
        <v>6081</v>
      </c>
      <c r="Y930" s="5"/>
      <c r="Z930" s="2" t="s">
        <v>6082</v>
      </c>
      <c r="AA930" s="6" t="s">
        <v>6083</v>
      </c>
    </row>
    <row r="931" customFormat="false" ht="57.45" hidden="false" customHeight="false" outlineLevel="0" collapsed="false">
      <c r="A931" s="5" t="s">
        <v>6084</v>
      </c>
      <c r="B931" s="2" t="s">
        <v>6085</v>
      </c>
      <c r="C931" s="5" t="s">
        <v>2128</v>
      </c>
      <c r="D931" s="5" t="s">
        <v>4760</v>
      </c>
      <c r="E931" s="2" t="s">
        <v>481</v>
      </c>
      <c r="F931" s="5" t="s">
        <v>62</v>
      </c>
      <c r="G931" s="5" t="n">
        <v>8</v>
      </c>
      <c r="H931" s="5" t="s">
        <v>89</v>
      </c>
      <c r="I931" s="5" t="s">
        <v>64</v>
      </c>
      <c r="J931" s="5" t="s">
        <v>65</v>
      </c>
      <c r="K931" s="5" t="s">
        <v>66</v>
      </c>
      <c r="L931" s="2" t="s">
        <v>481</v>
      </c>
      <c r="M931" s="2" t="s">
        <v>1764</v>
      </c>
      <c r="N931" s="2" t="s">
        <v>6042</v>
      </c>
      <c r="O931" s="2" t="s">
        <v>6086</v>
      </c>
      <c r="P931" s="2"/>
      <c r="Q931" s="5" t="n">
        <v>1</v>
      </c>
      <c r="R931" s="2" t="s">
        <v>6052</v>
      </c>
      <c r="S931" s="2" t="s">
        <v>83</v>
      </c>
      <c r="T931" s="2" t="s">
        <v>6080</v>
      </c>
      <c r="U931" s="2" t="s">
        <v>4754</v>
      </c>
      <c r="V931" s="5" t="n">
        <v>300</v>
      </c>
      <c r="W931" s="2"/>
      <c r="X931" s="2" t="s">
        <v>6087</v>
      </c>
      <c r="Y931" s="5"/>
      <c r="Z931" s="2" t="s">
        <v>6088</v>
      </c>
      <c r="AA931" s="6" t="s">
        <v>6089</v>
      </c>
    </row>
    <row r="932" customFormat="false" ht="147" hidden="false" customHeight="false" outlineLevel="0" collapsed="false">
      <c r="A932" s="5" t="s">
        <v>6090</v>
      </c>
      <c r="B932" s="2" t="s">
        <v>6091</v>
      </c>
      <c r="C932" s="5" t="s">
        <v>2128</v>
      </c>
      <c r="D932" s="5" t="s">
        <v>4760</v>
      </c>
      <c r="E932" s="2" t="s">
        <v>100</v>
      </c>
      <c r="F932" s="5" t="s">
        <v>62</v>
      </c>
      <c r="G932" s="5" t="n">
        <v>7</v>
      </c>
      <c r="H932" s="5" t="s">
        <v>89</v>
      </c>
      <c r="I932" s="5" t="s">
        <v>64</v>
      </c>
      <c r="J932" s="5" t="s">
        <v>65</v>
      </c>
      <c r="K932" s="5" t="s">
        <v>66</v>
      </c>
      <c r="L932" s="2" t="s">
        <v>100</v>
      </c>
      <c r="M932" s="2" t="s">
        <v>491</v>
      </c>
      <c r="N932" s="2" t="s">
        <v>637</v>
      </c>
      <c r="O932" s="2" t="s">
        <v>6092</v>
      </c>
      <c r="P932" s="2" t="s">
        <v>6093</v>
      </c>
      <c r="Q932" s="5" t="n">
        <v>1</v>
      </c>
      <c r="R932" s="2" t="s">
        <v>4815</v>
      </c>
      <c r="S932" s="2" t="s">
        <v>4816</v>
      </c>
      <c r="T932" s="2" t="s">
        <v>4817</v>
      </c>
      <c r="U932" s="2" t="s">
        <v>496</v>
      </c>
      <c r="V932" s="5" t="n">
        <v>600</v>
      </c>
      <c r="W932" s="2"/>
      <c r="X932" s="2" t="s">
        <v>6094</v>
      </c>
      <c r="Y932" s="5"/>
      <c r="Z932" s="2" t="s">
        <v>6095</v>
      </c>
      <c r="AA932" s="6" t="s">
        <v>6096</v>
      </c>
    </row>
    <row r="933" customFormat="false" ht="46.25" hidden="false" customHeight="false" outlineLevel="0" collapsed="false">
      <c r="A933" s="5" t="s">
        <v>6097</v>
      </c>
      <c r="B933" s="2" t="s">
        <v>6098</v>
      </c>
      <c r="C933" s="5" t="s">
        <v>2128</v>
      </c>
      <c r="D933" s="5" t="s">
        <v>4760</v>
      </c>
      <c r="E933" s="2" t="s">
        <v>100</v>
      </c>
      <c r="F933" s="5" t="s">
        <v>62</v>
      </c>
      <c r="G933" s="5" t="n">
        <v>9</v>
      </c>
      <c r="H933" s="5" t="s">
        <v>63</v>
      </c>
      <c r="I933" s="5" t="s">
        <v>64</v>
      </c>
      <c r="J933" s="5" t="s">
        <v>65</v>
      </c>
      <c r="K933" s="5" t="s">
        <v>66</v>
      </c>
      <c r="L933" s="2" t="s">
        <v>100</v>
      </c>
      <c r="M933" s="2" t="s">
        <v>491</v>
      </c>
      <c r="N933" s="2" t="s">
        <v>6099</v>
      </c>
      <c r="O933" s="2" t="s">
        <v>6100</v>
      </c>
      <c r="P933" s="2"/>
      <c r="Q933" s="5" t="n">
        <v>1</v>
      </c>
      <c r="R933" s="2" t="s">
        <v>6101</v>
      </c>
      <c r="S933" s="2" t="s">
        <v>83</v>
      </c>
      <c r="T933" s="2" t="s">
        <v>6102</v>
      </c>
      <c r="U933" s="2" t="s">
        <v>496</v>
      </c>
      <c r="V933" s="5" t="n">
        <v>600</v>
      </c>
      <c r="W933" s="2"/>
      <c r="X933" s="2" t="s">
        <v>6103</v>
      </c>
      <c r="Y933" s="5"/>
      <c r="Z933" s="2" t="s">
        <v>6104</v>
      </c>
      <c r="AA933" s="6" t="s">
        <v>6105</v>
      </c>
    </row>
    <row r="934" customFormat="false" ht="270.1" hidden="false" customHeight="false" outlineLevel="0" collapsed="false">
      <c r="A934" s="5" t="s">
        <v>6106</v>
      </c>
      <c r="B934" s="2" t="s">
        <v>6107</v>
      </c>
      <c r="C934" s="5" t="s">
        <v>2128</v>
      </c>
      <c r="D934" s="5" t="s">
        <v>4760</v>
      </c>
      <c r="E934" s="2" t="s">
        <v>100</v>
      </c>
      <c r="F934" s="5" t="s">
        <v>490</v>
      </c>
      <c r="G934" s="5" t="n">
        <v>8</v>
      </c>
      <c r="H934" s="5" t="s">
        <v>89</v>
      </c>
      <c r="I934" s="5" t="s">
        <v>64</v>
      </c>
      <c r="J934" s="5" t="s">
        <v>2152</v>
      </c>
      <c r="K934" s="5" t="s">
        <v>2153</v>
      </c>
      <c r="L934" s="2" t="s">
        <v>100</v>
      </c>
      <c r="M934" s="2" t="s">
        <v>491</v>
      </c>
      <c r="N934" s="2" t="s">
        <v>6108</v>
      </c>
      <c r="O934" s="2" t="s">
        <v>6109</v>
      </c>
      <c r="P934" s="2"/>
      <c r="Q934" s="5" t="n">
        <v>2</v>
      </c>
      <c r="R934" s="2" t="s">
        <v>1051</v>
      </c>
      <c r="S934" s="2" t="s">
        <v>6110</v>
      </c>
      <c r="T934" s="2" t="s">
        <v>6111</v>
      </c>
      <c r="U934" s="2" t="s">
        <v>6112</v>
      </c>
      <c r="V934" s="5" t="n">
        <v>86400</v>
      </c>
      <c r="W934" s="2" t="s">
        <v>6113</v>
      </c>
      <c r="X934" s="2" t="s">
        <v>6114</v>
      </c>
      <c r="Y934" s="5"/>
      <c r="Z934" s="2" t="s">
        <v>6115</v>
      </c>
      <c r="AA934" s="6" t="s">
        <v>6116</v>
      </c>
    </row>
    <row r="935" customFormat="false" ht="135.8" hidden="false" customHeight="false" outlineLevel="0" collapsed="false">
      <c r="A935" s="5" t="s">
        <v>6117</v>
      </c>
      <c r="B935" s="2" t="s">
        <v>6118</v>
      </c>
      <c r="C935" s="5" t="s">
        <v>2128</v>
      </c>
      <c r="D935" s="5" t="s">
        <v>4760</v>
      </c>
      <c r="E935" s="2" t="s">
        <v>2079</v>
      </c>
      <c r="F935" s="5" t="s">
        <v>62</v>
      </c>
      <c r="G935" s="5" t="n">
        <v>9</v>
      </c>
      <c r="H935" s="5" t="s">
        <v>63</v>
      </c>
      <c r="I935" s="5" t="s">
        <v>64</v>
      </c>
      <c r="J935" s="5" t="s">
        <v>65</v>
      </c>
      <c r="K935" s="5" t="s">
        <v>66</v>
      </c>
      <c r="L935" s="2" t="s">
        <v>2079</v>
      </c>
      <c r="M935" s="2" t="s">
        <v>4805</v>
      </c>
      <c r="N935" s="2" t="s">
        <v>4822</v>
      </c>
      <c r="O935" s="2" t="s">
        <v>6119</v>
      </c>
      <c r="P935" s="2"/>
      <c r="Q935" s="5" t="n">
        <v>1</v>
      </c>
      <c r="R935" s="2" t="s">
        <v>6021</v>
      </c>
      <c r="S935" s="2" t="s">
        <v>6120</v>
      </c>
      <c r="T935" s="2" t="s">
        <v>2733</v>
      </c>
      <c r="U935" s="2" t="s">
        <v>74</v>
      </c>
      <c r="V935" s="5" t="n">
        <v>600</v>
      </c>
      <c r="W935" s="2"/>
      <c r="X935" s="2" t="s">
        <v>6121</v>
      </c>
      <c r="Y935" s="5"/>
      <c r="Z935" s="2" t="s">
        <v>6122</v>
      </c>
      <c r="AA935" s="6" t="s">
        <v>6123</v>
      </c>
    </row>
    <row r="936" customFormat="false" ht="102.2" hidden="false" customHeight="false" outlineLevel="0" collapsed="false">
      <c r="A936" s="5" t="s">
        <v>6124</v>
      </c>
      <c r="B936" s="2" t="s">
        <v>6125</v>
      </c>
      <c r="C936" s="5" t="s">
        <v>2128</v>
      </c>
      <c r="D936" s="5" t="s">
        <v>4760</v>
      </c>
      <c r="E936" s="2" t="s">
        <v>2079</v>
      </c>
      <c r="F936" s="5" t="s">
        <v>62</v>
      </c>
      <c r="G936" s="5" t="n">
        <v>9</v>
      </c>
      <c r="H936" s="5" t="s">
        <v>63</v>
      </c>
      <c r="I936" s="5" t="s">
        <v>64</v>
      </c>
      <c r="J936" s="5" t="s">
        <v>65</v>
      </c>
      <c r="K936" s="5" t="s">
        <v>66</v>
      </c>
      <c r="L936" s="2" t="s">
        <v>2079</v>
      </c>
      <c r="M936" s="2" t="s">
        <v>6126</v>
      </c>
      <c r="N936" s="2" t="s">
        <v>4822</v>
      </c>
      <c r="O936" s="2" t="s">
        <v>4823</v>
      </c>
      <c r="P936" s="2"/>
      <c r="Q936" s="5" t="n">
        <v>1</v>
      </c>
      <c r="R936" s="2" t="s">
        <v>6127</v>
      </c>
      <c r="S936" s="2" t="s">
        <v>6128</v>
      </c>
      <c r="T936" s="2" t="s">
        <v>2733</v>
      </c>
      <c r="U936" s="2" t="s">
        <v>74</v>
      </c>
      <c r="V936" s="5" t="n">
        <v>600</v>
      </c>
      <c r="W936" s="2"/>
      <c r="X936" s="2" t="s">
        <v>4825</v>
      </c>
      <c r="Y936" s="5"/>
      <c r="Z936" s="2" t="s">
        <v>6129</v>
      </c>
      <c r="AA936" s="6" t="s">
        <v>6130</v>
      </c>
    </row>
    <row r="937" customFormat="false" ht="147" hidden="false" customHeight="false" outlineLevel="0" collapsed="false">
      <c r="A937" s="5" t="s">
        <v>6131</v>
      </c>
      <c r="B937" s="2" t="s">
        <v>6132</v>
      </c>
      <c r="C937" s="5" t="s">
        <v>2245</v>
      </c>
      <c r="D937" s="5" t="s">
        <v>4760</v>
      </c>
      <c r="E937" s="2" t="s">
        <v>2079</v>
      </c>
      <c r="F937" s="5" t="s">
        <v>490</v>
      </c>
      <c r="G937" s="5" t="n">
        <v>7</v>
      </c>
      <c r="H937" s="5" t="s">
        <v>89</v>
      </c>
      <c r="I937" s="5" t="s">
        <v>64</v>
      </c>
      <c r="J937" s="5" t="s">
        <v>65</v>
      </c>
      <c r="K937" s="5" t="s">
        <v>66</v>
      </c>
      <c r="L937" s="2" t="s">
        <v>2079</v>
      </c>
      <c r="M937" s="2" t="s">
        <v>3408</v>
      </c>
      <c r="N937" s="2" t="s">
        <v>3232</v>
      </c>
      <c r="O937" s="2" t="s">
        <v>1212</v>
      </c>
      <c r="P937" s="2"/>
      <c r="Q937" s="5" t="n">
        <v>1</v>
      </c>
      <c r="R937" s="2" t="s">
        <v>71</v>
      </c>
      <c r="S937" s="2" t="s">
        <v>6133</v>
      </c>
      <c r="T937" s="2" t="s">
        <v>1716</v>
      </c>
      <c r="U937" s="2" t="s">
        <v>74</v>
      </c>
      <c r="V937" s="5" t="n">
        <v>300</v>
      </c>
      <c r="W937" s="2"/>
      <c r="X937" s="2" t="s">
        <v>1215</v>
      </c>
      <c r="Y937" s="5"/>
      <c r="Z937" s="2" t="s">
        <v>6134</v>
      </c>
      <c r="AA937" s="6" t="s">
        <v>6135</v>
      </c>
    </row>
    <row r="938" customFormat="false" ht="68.65" hidden="false" customHeight="false" outlineLevel="0" collapsed="false">
      <c r="A938" s="5" t="s">
        <v>6136</v>
      </c>
      <c r="B938" s="2" t="s">
        <v>6137</v>
      </c>
      <c r="C938" s="5" t="s">
        <v>2245</v>
      </c>
      <c r="D938" s="5" t="s">
        <v>4760</v>
      </c>
      <c r="E938" s="2" t="s">
        <v>100</v>
      </c>
      <c r="F938" s="5" t="s">
        <v>62</v>
      </c>
      <c r="G938" s="5" t="n">
        <v>5</v>
      </c>
      <c r="H938" s="5" t="s">
        <v>89</v>
      </c>
      <c r="I938" s="5" t="s">
        <v>64</v>
      </c>
      <c r="J938" s="5" t="s">
        <v>65</v>
      </c>
      <c r="K938" s="5" t="s">
        <v>66</v>
      </c>
      <c r="L938" s="2" t="s">
        <v>100</v>
      </c>
      <c r="M938" s="2" t="s">
        <v>1721</v>
      </c>
      <c r="N938" s="2" t="s">
        <v>3232</v>
      </c>
      <c r="O938" s="2" t="s">
        <v>1105</v>
      </c>
      <c r="P938" s="2"/>
      <c r="Q938" s="5" t="n">
        <v>1</v>
      </c>
      <c r="R938" s="2" t="s">
        <v>71</v>
      </c>
      <c r="S938" s="2" t="s">
        <v>6138</v>
      </c>
      <c r="T938" s="2" t="s">
        <v>1139</v>
      </c>
      <c r="U938" s="2" t="s">
        <v>74</v>
      </c>
      <c r="V938" s="5" t="n">
        <v>300</v>
      </c>
      <c r="W938" s="2"/>
      <c r="X938" s="2" t="s">
        <v>1108</v>
      </c>
      <c r="Y938" s="5" t="s">
        <v>309</v>
      </c>
      <c r="Z938" s="2" t="s">
        <v>6139</v>
      </c>
      <c r="AA938" s="6" t="s">
        <v>6140</v>
      </c>
    </row>
    <row r="939" customFormat="false" ht="68.65" hidden="false" customHeight="false" outlineLevel="0" collapsed="false">
      <c r="A939" s="5" t="s">
        <v>6141</v>
      </c>
      <c r="B939" s="2" t="s">
        <v>6142</v>
      </c>
      <c r="C939" s="5" t="s">
        <v>2245</v>
      </c>
      <c r="D939" s="5" t="s">
        <v>4760</v>
      </c>
      <c r="E939" s="2" t="s">
        <v>100</v>
      </c>
      <c r="F939" s="5" t="s">
        <v>62</v>
      </c>
      <c r="G939" s="5" t="n">
        <v>5</v>
      </c>
      <c r="H939" s="5" t="s">
        <v>89</v>
      </c>
      <c r="I939" s="5" t="s">
        <v>64</v>
      </c>
      <c r="J939" s="5" t="s">
        <v>65</v>
      </c>
      <c r="K939" s="5" t="s">
        <v>66</v>
      </c>
      <c r="L939" s="2" t="s">
        <v>100</v>
      </c>
      <c r="M939" s="2" t="s">
        <v>1721</v>
      </c>
      <c r="N939" s="2" t="s">
        <v>3129</v>
      </c>
      <c r="O939" s="2" t="s">
        <v>3130</v>
      </c>
      <c r="P939" s="2"/>
      <c r="Q939" s="5" t="n">
        <v>1</v>
      </c>
      <c r="R939" s="2" t="s">
        <v>71</v>
      </c>
      <c r="S939" s="2" t="s">
        <v>6143</v>
      </c>
      <c r="T939" s="2" t="s">
        <v>3132</v>
      </c>
      <c r="U939" s="2" t="s">
        <v>74</v>
      </c>
      <c r="V939" s="5" t="n">
        <v>300</v>
      </c>
      <c r="W939" s="2"/>
      <c r="X939" s="2" t="s">
        <v>3133</v>
      </c>
      <c r="Y939" s="5" t="s">
        <v>3134</v>
      </c>
      <c r="Z939" s="2" t="s">
        <v>6144</v>
      </c>
      <c r="AA939" s="6" t="s">
        <v>6145</v>
      </c>
    </row>
    <row r="940" customFormat="false" ht="68.65" hidden="false" customHeight="false" outlineLevel="0" collapsed="false">
      <c r="A940" s="5" t="s">
        <v>6146</v>
      </c>
      <c r="B940" s="2" t="s">
        <v>6147</v>
      </c>
      <c r="C940" s="5" t="s">
        <v>2245</v>
      </c>
      <c r="D940" s="5" t="s">
        <v>4760</v>
      </c>
      <c r="E940" s="2" t="s">
        <v>2079</v>
      </c>
      <c r="F940" s="5" t="s">
        <v>490</v>
      </c>
      <c r="G940" s="5" t="n">
        <v>3</v>
      </c>
      <c r="H940" s="5" t="s">
        <v>817</v>
      </c>
      <c r="I940" s="5" t="s">
        <v>64</v>
      </c>
      <c r="J940" s="5" t="s">
        <v>65</v>
      </c>
      <c r="K940" s="5" t="s">
        <v>66</v>
      </c>
      <c r="L940" s="2" t="s">
        <v>2079</v>
      </c>
      <c r="M940" s="2" t="s">
        <v>4805</v>
      </c>
      <c r="N940" s="2" t="s">
        <v>3232</v>
      </c>
      <c r="O940" s="2" t="s">
        <v>3457</v>
      </c>
      <c r="P940" s="2"/>
      <c r="Q940" s="5" t="n">
        <v>1</v>
      </c>
      <c r="R940" s="2" t="s">
        <v>71</v>
      </c>
      <c r="S940" s="2" t="s">
        <v>6148</v>
      </c>
      <c r="T940" s="2" t="s">
        <v>3459</v>
      </c>
      <c r="U940" s="2" t="s">
        <v>74</v>
      </c>
      <c r="V940" s="5" t="n">
        <v>300</v>
      </c>
      <c r="W940" s="2"/>
      <c r="X940" s="2" t="s">
        <v>3460</v>
      </c>
      <c r="Y940" s="5"/>
      <c r="Z940" s="2" t="s">
        <v>6149</v>
      </c>
      <c r="AA940" s="6" t="s">
        <v>6150</v>
      </c>
    </row>
    <row r="941" customFormat="false" ht="68.65" hidden="false" customHeight="false" outlineLevel="0" collapsed="false">
      <c r="A941" s="5" t="s">
        <v>6151</v>
      </c>
      <c r="B941" s="2" t="s">
        <v>6152</v>
      </c>
      <c r="C941" s="5" t="s">
        <v>2245</v>
      </c>
      <c r="D941" s="5" t="s">
        <v>4760</v>
      </c>
      <c r="E941" s="2" t="s">
        <v>100</v>
      </c>
      <c r="F941" s="5" t="s">
        <v>62</v>
      </c>
      <c r="G941" s="5" t="n">
        <v>7</v>
      </c>
      <c r="H941" s="5" t="s">
        <v>89</v>
      </c>
      <c r="I941" s="5" t="s">
        <v>64</v>
      </c>
      <c r="J941" s="5" t="s">
        <v>65</v>
      </c>
      <c r="K941" s="5" t="s">
        <v>66</v>
      </c>
      <c r="L941" s="2" t="s">
        <v>100</v>
      </c>
      <c r="M941" s="2" t="s">
        <v>1721</v>
      </c>
      <c r="N941" s="2" t="s">
        <v>3232</v>
      </c>
      <c r="O941" s="2" t="s">
        <v>1160</v>
      </c>
      <c r="P941" s="2"/>
      <c r="Q941" s="5" t="n">
        <v>1</v>
      </c>
      <c r="R941" s="2" t="s">
        <v>71</v>
      </c>
      <c r="S941" s="2" t="s">
        <v>6153</v>
      </c>
      <c r="T941" s="2" t="s">
        <v>1193</v>
      </c>
      <c r="U941" s="2" t="s">
        <v>74</v>
      </c>
      <c r="V941" s="5" t="n">
        <v>300</v>
      </c>
      <c r="W941" s="2"/>
      <c r="X941" s="2" t="s">
        <v>1163</v>
      </c>
      <c r="Y941" s="5"/>
      <c r="Z941" s="2" t="s">
        <v>6154</v>
      </c>
      <c r="AA941" s="6" t="s">
        <v>6155</v>
      </c>
    </row>
    <row r="942" customFormat="false" ht="68.65" hidden="false" customHeight="false" outlineLevel="0" collapsed="false">
      <c r="A942" s="5" t="s">
        <v>6156</v>
      </c>
      <c r="B942" s="2" t="s">
        <v>6157</v>
      </c>
      <c r="C942" s="5" t="s">
        <v>2245</v>
      </c>
      <c r="D942" s="5" t="s">
        <v>4760</v>
      </c>
      <c r="E942" s="2" t="s">
        <v>2079</v>
      </c>
      <c r="F942" s="5" t="s">
        <v>62</v>
      </c>
      <c r="G942" s="5" t="n">
        <v>5</v>
      </c>
      <c r="H942" s="5" t="s">
        <v>89</v>
      </c>
      <c r="I942" s="5" t="s">
        <v>64</v>
      </c>
      <c r="J942" s="5" t="s">
        <v>65</v>
      </c>
      <c r="K942" s="5" t="s">
        <v>66</v>
      </c>
      <c r="L942" s="2" t="s">
        <v>2079</v>
      </c>
      <c r="M942" s="2" t="s">
        <v>6158</v>
      </c>
      <c r="N942" s="2" t="s">
        <v>3129</v>
      </c>
      <c r="O942" s="2" t="s">
        <v>3130</v>
      </c>
      <c r="P942" s="2"/>
      <c r="Q942" s="5" t="n">
        <v>1</v>
      </c>
      <c r="R942" s="2" t="s">
        <v>71</v>
      </c>
      <c r="S942" s="2" t="s">
        <v>6159</v>
      </c>
      <c r="T942" s="2" t="s">
        <v>3132</v>
      </c>
      <c r="U942" s="2" t="s">
        <v>74</v>
      </c>
      <c r="V942" s="5" t="n">
        <v>300</v>
      </c>
      <c r="W942" s="2"/>
      <c r="X942" s="2" t="s">
        <v>3133</v>
      </c>
      <c r="Y942" s="5" t="s">
        <v>3134</v>
      </c>
      <c r="Z942" s="2" t="s">
        <v>6160</v>
      </c>
      <c r="AA942" s="6" t="s">
        <v>6161</v>
      </c>
    </row>
    <row r="943" customFormat="false" ht="68.65" hidden="false" customHeight="false" outlineLevel="0" collapsed="false">
      <c r="A943" s="5" t="s">
        <v>6162</v>
      </c>
      <c r="B943" s="2" t="s">
        <v>6163</v>
      </c>
      <c r="C943" s="5" t="s">
        <v>2245</v>
      </c>
      <c r="D943" s="5" t="s">
        <v>4760</v>
      </c>
      <c r="E943" s="2" t="s">
        <v>2079</v>
      </c>
      <c r="F943" s="5" t="s">
        <v>62</v>
      </c>
      <c r="G943" s="5" t="n">
        <v>5</v>
      </c>
      <c r="H943" s="5" t="s">
        <v>89</v>
      </c>
      <c r="I943" s="5" t="s">
        <v>64</v>
      </c>
      <c r="J943" s="5" t="s">
        <v>65</v>
      </c>
      <c r="K943" s="5" t="s">
        <v>66</v>
      </c>
      <c r="L943" s="2" t="s">
        <v>2079</v>
      </c>
      <c r="M943" s="2" t="s">
        <v>6158</v>
      </c>
      <c r="N943" s="2" t="s">
        <v>3129</v>
      </c>
      <c r="O943" s="2" t="s">
        <v>3130</v>
      </c>
      <c r="P943" s="2"/>
      <c r="Q943" s="5" t="n">
        <v>1</v>
      </c>
      <c r="R943" s="2" t="s">
        <v>71</v>
      </c>
      <c r="S943" s="2" t="s">
        <v>6164</v>
      </c>
      <c r="T943" s="2" t="s">
        <v>3132</v>
      </c>
      <c r="U943" s="2" t="s">
        <v>74</v>
      </c>
      <c r="V943" s="5" t="n">
        <v>300</v>
      </c>
      <c r="W943" s="2"/>
      <c r="X943" s="2" t="s">
        <v>3133</v>
      </c>
      <c r="Y943" s="5" t="s">
        <v>3134</v>
      </c>
      <c r="Z943" s="2" t="s">
        <v>6165</v>
      </c>
      <c r="AA943" s="6" t="s">
        <v>6166</v>
      </c>
    </row>
    <row r="944" customFormat="false" ht="91" hidden="false" customHeight="false" outlineLevel="0" collapsed="false">
      <c r="A944" s="5" t="s">
        <v>6167</v>
      </c>
      <c r="B944" s="2" t="s">
        <v>6168</v>
      </c>
      <c r="C944" s="5" t="s">
        <v>2245</v>
      </c>
      <c r="D944" s="5" t="s">
        <v>4760</v>
      </c>
      <c r="E944" s="2" t="s">
        <v>100</v>
      </c>
      <c r="F944" s="5" t="s">
        <v>62</v>
      </c>
      <c r="G944" s="5" t="n">
        <v>5</v>
      </c>
      <c r="H944" s="5" t="s">
        <v>89</v>
      </c>
      <c r="I944" s="5" t="s">
        <v>64</v>
      </c>
      <c r="J944" s="5" t="s">
        <v>65</v>
      </c>
      <c r="K944" s="5" t="s">
        <v>66</v>
      </c>
      <c r="L944" s="2" t="s">
        <v>100</v>
      </c>
      <c r="M944" s="2" t="s">
        <v>761</v>
      </c>
      <c r="N944" s="2" t="s">
        <v>3129</v>
      </c>
      <c r="O944" s="2" t="s">
        <v>3130</v>
      </c>
      <c r="P944" s="2"/>
      <c r="Q944" s="5" t="n">
        <v>1</v>
      </c>
      <c r="R944" s="2" t="s">
        <v>71</v>
      </c>
      <c r="S944" s="2" t="s">
        <v>6169</v>
      </c>
      <c r="T944" s="2" t="s">
        <v>3132</v>
      </c>
      <c r="U944" s="2" t="s">
        <v>74</v>
      </c>
      <c r="V944" s="5" t="n">
        <v>300</v>
      </c>
      <c r="W944" s="2"/>
      <c r="X944" s="2" t="s">
        <v>3133</v>
      </c>
      <c r="Y944" s="5" t="s">
        <v>3134</v>
      </c>
      <c r="Z944" s="2" t="s">
        <v>6170</v>
      </c>
      <c r="AA944" s="6" t="s">
        <v>6171</v>
      </c>
    </row>
    <row r="945" customFormat="false" ht="68.65" hidden="false" customHeight="false" outlineLevel="0" collapsed="false">
      <c r="A945" s="5" t="s">
        <v>6172</v>
      </c>
      <c r="B945" s="2" t="s">
        <v>6173</v>
      </c>
      <c r="C945" s="5" t="s">
        <v>2245</v>
      </c>
      <c r="D945" s="5" t="s">
        <v>4760</v>
      </c>
      <c r="E945" s="2" t="s">
        <v>100</v>
      </c>
      <c r="F945" s="5" t="s">
        <v>62</v>
      </c>
      <c r="G945" s="5" t="n">
        <v>9</v>
      </c>
      <c r="H945" s="5" t="s">
        <v>63</v>
      </c>
      <c r="I945" s="5" t="s">
        <v>64</v>
      </c>
      <c r="J945" s="5" t="s">
        <v>65</v>
      </c>
      <c r="K945" s="5" t="s">
        <v>66</v>
      </c>
      <c r="L945" s="2" t="s">
        <v>100</v>
      </c>
      <c r="M945" s="2" t="s">
        <v>1191</v>
      </c>
      <c r="N945" s="2" t="s">
        <v>3232</v>
      </c>
      <c r="O945" s="2" t="s">
        <v>3238</v>
      </c>
      <c r="P945" s="2"/>
      <c r="Q945" s="5" t="n">
        <v>1</v>
      </c>
      <c r="R945" s="2" t="s">
        <v>71</v>
      </c>
      <c r="S945" s="2" t="s">
        <v>6174</v>
      </c>
      <c r="T945" s="2" t="s">
        <v>6175</v>
      </c>
      <c r="U945" s="2" t="s">
        <v>74</v>
      </c>
      <c r="V945" s="5" t="n">
        <v>300</v>
      </c>
      <c r="W945" s="2"/>
      <c r="X945" s="2" t="s">
        <v>3241</v>
      </c>
      <c r="Y945" s="5"/>
      <c r="Z945" s="2" t="s">
        <v>6176</v>
      </c>
      <c r="AA945" s="6" t="s">
        <v>6177</v>
      </c>
    </row>
    <row r="946" customFormat="false" ht="68.65" hidden="false" customHeight="false" outlineLevel="0" collapsed="false">
      <c r="A946" s="5" t="s">
        <v>6178</v>
      </c>
      <c r="B946" s="2" t="s">
        <v>6179</v>
      </c>
      <c r="C946" s="5" t="s">
        <v>2245</v>
      </c>
      <c r="D946" s="5" t="s">
        <v>4760</v>
      </c>
      <c r="E946" s="2" t="s">
        <v>100</v>
      </c>
      <c r="F946" s="5" t="s">
        <v>490</v>
      </c>
      <c r="G946" s="5" t="n">
        <v>7</v>
      </c>
      <c r="H946" s="5" t="s">
        <v>89</v>
      </c>
      <c r="I946" s="5" t="s">
        <v>64</v>
      </c>
      <c r="J946" s="5" t="s">
        <v>65</v>
      </c>
      <c r="K946" s="5" t="s">
        <v>66</v>
      </c>
      <c r="L946" s="2" t="s">
        <v>100</v>
      </c>
      <c r="M946" s="2" t="s">
        <v>304</v>
      </c>
      <c r="N946" s="2" t="s">
        <v>3232</v>
      </c>
      <c r="O946" s="2" t="s">
        <v>1105</v>
      </c>
      <c r="P946" s="2"/>
      <c r="Q946" s="5" t="n">
        <v>1</v>
      </c>
      <c r="R946" s="2" t="s">
        <v>71</v>
      </c>
      <c r="S946" s="2" t="s">
        <v>6180</v>
      </c>
      <c r="T946" s="2" t="s">
        <v>6181</v>
      </c>
      <c r="U946" s="2" t="s">
        <v>74</v>
      </c>
      <c r="V946" s="5" t="n">
        <v>300</v>
      </c>
      <c r="W946" s="2"/>
      <c r="X946" s="2" t="s">
        <v>1108</v>
      </c>
      <c r="Y946" s="5" t="s">
        <v>309</v>
      </c>
      <c r="Z946" s="2" t="s">
        <v>6182</v>
      </c>
      <c r="AA946" s="6" t="s">
        <v>6183</v>
      </c>
    </row>
    <row r="947" customFormat="false" ht="393.25" hidden="false" customHeight="false" outlineLevel="0" collapsed="false">
      <c r="A947" s="5" t="s">
        <v>6184</v>
      </c>
      <c r="B947" s="2" t="s">
        <v>6185</v>
      </c>
      <c r="C947" s="5" t="s">
        <v>2245</v>
      </c>
      <c r="D947" s="5" t="s">
        <v>4760</v>
      </c>
      <c r="E947" s="2" t="s">
        <v>100</v>
      </c>
      <c r="F947" s="5" t="s">
        <v>62</v>
      </c>
      <c r="G947" s="5" t="n">
        <v>7</v>
      </c>
      <c r="H947" s="5" t="s">
        <v>89</v>
      </c>
      <c r="I947" s="5" t="s">
        <v>64</v>
      </c>
      <c r="J947" s="5" t="s">
        <v>65</v>
      </c>
      <c r="K947" s="5" t="s">
        <v>66</v>
      </c>
      <c r="L947" s="2" t="s">
        <v>100</v>
      </c>
      <c r="M947" s="2" t="s">
        <v>304</v>
      </c>
      <c r="N947" s="2" t="s">
        <v>3232</v>
      </c>
      <c r="O947" s="2" t="s">
        <v>368</v>
      </c>
      <c r="P947" s="2"/>
      <c r="Q947" s="5" t="n">
        <v>1</v>
      </c>
      <c r="R947" s="2" t="s">
        <v>71</v>
      </c>
      <c r="S947" s="2" t="s">
        <v>6186</v>
      </c>
      <c r="T947" s="2" t="s">
        <v>1432</v>
      </c>
      <c r="U947" s="2" t="s">
        <v>74</v>
      </c>
      <c r="V947" s="5" t="n">
        <v>300</v>
      </c>
      <c r="W947" s="2"/>
      <c r="X947" s="2" t="s">
        <v>371</v>
      </c>
      <c r="Y947" s="5" t="s">
        <v>372</v>
      </c>
      <c r="Z947" s="2" t="s">
        <v>6187</v>
      </c>
      <c r="AA947" s="6" t="s">
        <v>6188</v>
      </c>
    </row>
    <row r="948" customFormat="false" ht="68.65" hidden="false" customHeight="false" outlineLevel="0" collapsed="false">
      <c r="A948" s="5" t="s">
        <v>6189</v>
      </c>
      <c r="B948" s="2" t="s">
        <v>6190</v>
      </c>
      <c r="C948" s="5" t="s">
        <v>2245</v>
      </c>
      <c r="D948" s="5" t="s">
        <v>4760</v>
      </c>
      <c r="E948" s="2" t="s">
        <v>100</v>
      </c>
      <c r="F948" s="5" t="s">
        <v>490</v>
      </c>
      <c r="G948" s="5" t="n">
        <v>7</v>
      </c>
      <c r="H948" s="5" t="s">
        <v>89</v>
      </c>
      <c r="I948" s="5" t="s">
        <v>64</v>
      </c>
      <c r="J948" s="5" t="s">
        <v>65</v>
      </c>
      <c r="K948" s="5" t="s">
        <v>66</v>
      </c>
      <c r="L948" s="2" t="s">
        <v>100</v>
      </c>
      <c r="M948" s="2" t="s">
        <v>304</v>
      </c>
      <c r="N948" s="2" t="s">
        <v>3232</v>
      </c>
      <c r="O948" s="2" t="s">
        <v>1160</v>
      </c>
      <c r="P948" s="2"/>
      <c r="Q948" s="5" t="n">
        <v>1</v>
      </c>
      <c r="R948" s="2" t="s">
        <v>71</v>
      </c>
      <c r="S948" s="2" t="s">
        <v>6191</v>
      </c>
      <c r="T948" s="2" t="s">
        <v>1193</v>
      </c>
      <c r="U948" s="2" t="s">
        <v>74</v>
      </c>
      <c r="V948" s="5" t="n">
        <v>300</v>
      </c>
      <c r="W948" s="2"/>
      <c r="X948" s="2" t="s">
        <v>1163</v>
      </c>
      <c r="Y948" s="5"/>
      <c r="Z948" s="2" t="s">
        <v>6192</v>
      </c>
      <c r="AA948" s="6" t="s">
        <v>6193</v>
      </c>
    </row>
    <row r="949" customFormat="false" ht="68.65" hidden="false" customHeight="false" outlineLevel="0" collapsed="false">
      <c r="A949" s="5" t="s">
        <v>6194</v>
      </c>
      <c r="B949" s="2" t="s">
        <v>6195</v>
      </c>
      <c r="C949" s="5" t="s">
        <v>2245</v>
      </c>
      <c r="D949" s="5" t="s">
        <v>4760</v>
      </c>
      <c r="E949" s="2" t="s">
        <v>100</v>
      </c>
      <c r="F949" s="5" t="s">
        <v>62</v>
      </c>
      <c r="G949" s="5" t="n">
        <v>9</v>
      </c>
      <c r="H949" s="5" t="s">
        <v>63</v>
      </c>
      <c r="I949" s="5" t="s">
        <v>64</v>
      </c>
      <c r="J949" s="5" t="s">
        <v>65</v>
      </c>
      <c r="K949" s="5" t="s">
        <v>66</v>
      </c>
      <c r="L949" s="2" t="s">
        <v>100</v>
      </c>
      <c r="M949" s="2" t="s">
        <v>585</v>
      </c>
      <c r="N949" s="2" t="s">
        <v>3232</v>
      </c>
      <c r="O949" s="2" t="s">
        <v>3238</v>
      </c>
      <c r="P949" s="2"/>
      <c r="Q949" s="5" t="n">
        <v>1</v>
      </c>
      <c r="R949" s="2" t="s">
        <v>71</v>
      </c>
      <c r="S949" s="2" t="s">
        <v>6196</v>
      </c>
      <c r="T949" s="2" t="s">
        <v>6175</v>
      </c>
      <c r="U949" s="2" t="s">
        <v>74</v>
      </c>
      <c r="V949" s="5" t="n">
        <v>300</v>
      </c>
      <c r="W949" s="2"/>
      <c r="X949" s="2" t="s">
        <v>3241</v>
      </c>
      <c r="Y949" s="5"/>
      <c r="Z949" s="2" t="s">
        <v>6197</v>
      </c>
      <c r="AA949" s="6" t="s">
        <v>6198</v>
      </c>
    </row>
    <row r="950" customFormat="false" ht="68.65" hidden="false" customHeight="false" outlineLevel="0" collapsed="false">
      <c r="A950" s="5" t="s">
        <v>6199</v>
      </c>
      <c r="B950" s="2" t="s">
        <v>6200</v>
      </c>
      <c r="C950" s="5" t="s">
        <v>2245</v>
      </c>
      <c r="D950" s="5" t="s">
        <v>4760</v>
      </c>
      <c r="E950" s="2" t="s">
        <v>2079</v>
      </c>
      <c r="F950" s="5" t="s">
        <v>62</v>
      </c>
      <c r="G950" s="5" t="n">
        <v>7</v>
      </c>
      <c r="H950" s="5" t="s">
        <v>89</v>
      </c>
      <c r="I950" s="5" t="s">
        <v>64</v>
      </c>
      <c r="J950" s="5" t="s">
        <v>65</v>
      </c>
      <c r="K950" s="5" t="s">
        <v>66</v>
      </c>
      <c r="L950" s="2" t="s">
        <v>2079</v>
      </c>
      <c r="M950" s="2" t="s">
        <v>3139</v>
      </c>
      <c r="N950" s="2" t="s">
        <v>3232</v>
      </c>
      <c r="O950" s="2" t="s">
        <v>1105</v>
      </c>
      <c r="P950" s="2"/>
      <c r="Q950" s="5" t="n">
        <v>1</v>
      </c>
      <c r="R950" s="2" t="s">
        <v>71</v>
      </c>
      <c r="S950" s="2" t="s">
        <v>6201</v>
      </c>
      <c r="T950" s="2" t="s">
        <v>1176</v>
      </c>
      <c r="U950" s="2" t="s">
        <v>74</v>
      </c>
      <c r="V950" s="5" t="n">
        <v>300</v>
      </c>
      <c r="W950" s="2"/>
      <c r="X950" s="2" t="s">
        <v>1108</v>
      </c>
      <c r="Y950" s="5" t="s">
        <v>309</v>
      </c>
      <c r="Z950" s="2" t="s">
        <v>6202</v>
      </c>
      <c r="AA950" s="6" t="s">
        <v>6203</v>
      </c>
    </row>
    <row r="951" customFormat="false" ht="79.85" hidden="false" customHeight="false" outlineLevel="0" collapsed="false">
      <c r="A951" s="5" t="s">
        <v>6204</v>
      </c>
      <c r="B951" s="2" t="s">
        <v>6205</v>
      </c>
      <c r="C951" s="5" t="s">
        <v>2245</v>
      </c>
      <c r="D951" s="5" t="s">
        <v>4760</v>
      </c>
      <c r="E951" s="2" t="s">
        <v>2079</v>
      </c>
      <c r="F951" s="5" t="s">
        <v>62</v>
      </c>
      <c r="G951" s="5" t="n">
        <v>7</v>
      </c>
      <c r="H951" s="5" t="s">
        <v>89</v>
      </c>
      <c r="I951" s="5" t="s">
        <v>64</v>
      </c>
      <c r="J951" s="5" t="s">
        <v>65</v>
      </c>
      <c r="K951" s="5" t="s">
        <v>66</v>
      </c>
      <c r="L951" s="2" t="s">
        <v>2079</v>
      </c>
      <c r="M951" s="2" t="s">
        <v>4805</v>
      </c>
      <c r="N951" s="2" t="s">
        <v>3232</v>
      </c>
      <c r="O951" s="2" t="s">
        <v>1105</v>
      </c>
      <c r="P951" s="2"/>
      <c r="Q951" s="5" t="n">
        <v>1</v>
      </c>
      <c r="R951" s="2" t="s">
        <v>71</v>
      </c>
      <c r="S951" s="2" t="s">
        <v>6206</v>
      </c>
      <c r="T951" s="2" t="s">
        <v>1139</v>
      </c>
      <c r="U951" s="2" t="s">
        <v>74</v>
      </c>
      <c r="V951" s="5" t="n">
        <v>300</v>
      </c>
      <c r="W951" s="2"/>
      <c r="X951" s="2" t="s">
        <v>1108</v>
      </c>
      <c r="Y951" s="5" t="s">
        <v>309</v>
      </c>
      <c r="Z951" s="2" t="s">
        <v>6207</v>
      </c>
      <c r="AA951" s="6" t="s">
        <v>6208</v>
      </c>
    </row>
    <row r="952" customFormat="false" ht="46.25" hidden="false" customHeight="false" outlineLevel="0" collapsed="false">
      <c r="A952" s="5" t="s">
        <v>6209</v>
      </c>
      <c r="B952" s="2" t="s">
        <v>6210</v>
      </c>
      <c r="C952" s="5" t="s">
        <v>2128</v>
      </c>
      <c r="D952" s="5" t="s">
        <v>4760</v>
      </c>
      <c r="E952" s="2" t="s">
        <v>481</v>
      </c>
      <c r="F952" s="5" t="s">
        <v>62</v>
      </c>
      <c r="G952" s="5" t="n">
        <v>9</v>
      </c>
      <c r="H952" s="5" t="s">
        <v>63</v>
      </c>
      <c r="I952" s="5" t="s">
        <v>64</v>
      </c>
      <c r="J952" s="5" t="s">
        <v>65</v>
      </c>
      <c r="K952" s="5" t="s">
        <v>66</v>
      </c>
      <c r="L952" s="2" t="s">
        <v>481</v>
      </c>
      <c r="M952" s="2" t="s">
        <v>1764</v>
      </c>
      <c r="N952" s="2" t="s">
        <v>367</v>
      </c>
      <c r="O952" s="2" t="s">
        <v>1105</v>
      </c>
      <c r="P952" s="2"/>
      <c r="Q952" s="5" t="n">
        <v>1</v>
      </c>
      <c r="R952" s="2" t="s">
        <v>71</v>
      </c>
      <c r="S952" s="2" t="s">
        <v>6211</v>
      </c>
      <c r="T952" s="2" t="s">
        <v>1335</v>
      </c>
      <c r="U952" s="2" t="s">
        <v>74</v>
      </c>
      <c r="V952" s="5" t="n">
        <v>300</v>
      </c>
      <c r="W952" s="2"/>
      <c r="X952" s="2" t="s">
        <v>1108</v>
      </c>
      <c r="Y952" s="5" t="s">
        <v>309</v>
      </c>
      <c r="Z952" s="2" t="s">
        <v>6212</v>
      </c>
      <c r="AA952" s="6" t="s">
        <v>6213</v>
      </c>
    </row>
    <row r="953" customFormat="false" ht="68.65" hidden="false" customHeight="false" outlineLevel="0" collapsed="false">
      <c r="A953" s="5" t="s">
        <v>6214</v>
      </c>
      <c r="B953" s="2" t="s">
        <v>6215</v>
      </c>
      <c r="C953" s="5" t="s">
        <v>2245</v>
      </c>
      <c r="D953" s="5" t="s">
        <v>4760</v>
      </c>
      <c r="E953" s="2" t="s">
        <v>100</v>
      </c>
      <c r="F953" s="5" t="s">
        <v>490</v>
      </c>
      <c r="G953" s="5" t="n">
        <v>7</v>
      </c>
      <c r="H953" s="5" t="s">
        <v>89</v>
      </c>
      <c r="I953" s="5" t="s">
        <v>64</v>
      </c>
      <c r="J953" s="5" t="s">
        <v>65</v>
      </c>
      <c r="K953" s="5" t="s">
        <v>66</v>
      </c>
      <c r="L953" s="2" t="s">
        <v>100</v>
      </c>
      <c r="M953" s="2" t="s">
        <v>304</v>
      </c>
      <c r="N953" s="2" t="s">
        <v>3232</v>
      </c>
      <c r="O953" s="2" t="s">
        <v>1105</v>
      </c>
      <c r="P953" s="2"/>
      <c r="Q953" s="5" t="n">
        <v>1</v>
      </c>
      <c r="R953" s="2" t="s">
        <v>71</v>
      </c>
      <c r="S953" s="2" t="s">
        <v>6216</v>
      </c>
      <c r="T953" s="2" t="s">
        <v>6217</v>
      </c>
      <c r="U953" s="2" t="s">
        <v>74</v>
      </c>
      <c r="V953" s="5" t="n">
        <v>300</v>
      </c>
      <c r="W953" s="2"/>
      <c r="X953" s="2" t="s">
        <v>1108</v>
      </c>
      <c r="Y953" s="5" t="s">
        <v>309</v>
      </c>
      <c r="Z953" s="2" t="s">
        <v>6218</v>
      </c>
      <c r="AA953" s="6" t="s">
        <v>6219</v>
      </c>
    </row>
    <row r="954" customFormat="false" ht="147" hidden="false" customHeight="false" outlineLevel="0" collapsed="false">
      <c r="A954" s="5" t="s">
        <v>6220</v>
      </c>
      <c r="B954" s="2" t="s">
        <v>6221</v>
      </c>
      <c r="C954" s="5" t="s">
        <v>2245</v>
      </c>
      <c r="D954" s="5" t="s">
        <v>4760</v>
      </c>
      <c r="E954" s="2" t="s">
        <v>100</v>
      </c>
      <c r="F954" s="5" t="s">
        <v>62</v>
      </c>
      <c r="G954" s="5" t="n">
        <v>7</v>
      </c>
      <c r="H954" s="5" t="s">
        <v>89</v>
      </c>
      <c r="I954" s="5" t="s">
        <v>64</v>
      </c>
      <c r="J954" s="5" t="s">
        <v>65</v>
      </c>
      <c r="K954" s="5" t="s">
        <v>66</v>
      </c>
      <c r="L954" s="2" t="s">
        <v>100</v>
      </c>
      <c r="M954" s="2" t="s">
        <v>304</v>
      </c>
      <c r="N954" s="2" t="s">
        <v>6222</v>
      </c>
      <c r="O954" s="2" t="s">
        <v>6223</v>
      </c>
      <c r="P954" s="2"/>
      <c r="Q954" s="5" t="n">
        <v>1</v>
      </c>
      <c r="R954" s="2" t="s">
        <v>71</v>
      </c>
      <c r="S954" s="2" t="s">
        <v>6224</v>
      </c>
      <c r="T954" s="2" t="s">
        <v>6225</v>
      </c>
      <c r="U954" s="2" t="s">
        <v>74</v>
      </c>
      <c r="V954" s="5" t="n">
        <v>300</v>
      </c>
      <c r="W954" s="2"/>
      <c r="X954" s="2" t="s">
        <v>6226</v>
      </c>
      <c r="Y954" s="5"/>
      <c r="Z954" s="2" t="s">
        <v>6227</v>
      </c>
      <c r="AA954" s="6" t="s">
        <v>6228</v>
      </c>
    </row>
    <row r="955" customFormat="false" ht="79.85" hidden="false" customHeight="false" outlineLevel="0" collapsed="false">
      <c r="A955" s="5" t="s">
        <v>6229</v>
      </c>
      <c r="B955" s="2" t="s">
        <v>6230</v>
      </c>
      <c r="C955" s="5" t="s">
        <v>2245</v>
      </c>
      <c r="D955" s="5" t="s">
        <v>4760</v>
      </c>
      <c r="E955" s="2" t="s">
        <v>100</v>
      </c>
      <c r="F955" s="5" t="s">
        <v>62</v>
      </c>
      <c r="G955" s="5" t="n">
        <v>7</v>
      </c>
      <c r="H955" s="5" t="s">
        <v>89</v>
      </c>
      <c r="I955" s="5" t="s">
        <v>64</v>
      </c>
      <c r="J955" s="5" t="s">
        <v>65</v>
      </c>
      <c r="K955" s="5" t="s">
        <v>66</v>
      </c>
      <c r="L955" s="2" t="s">
        <v>100</v>
      </c>
      <c r="M955" s="2" t="s">
        <v>304</v>
      </c>
      <c r="N955" s="2" t="s">
        <v>3232</v>
      </c>
      <c r="O955" s="2" t="s">
        <v>1105</v>
      </c>
      <c r="P955" s="2"/>
      <c r="Q955" s="5" t="n">
        <v>1</v>
      </c>
      <c r="R955" s="2" t="s">
        <v>71</v>
      </c>
      <c r="S955" s="2" t="s">
        <v>6231</v>
      </c>
      <c r="T955" s="2" t="s">
        <v>1139</v>
      </c>
      <c r="U955" s="2" t="s">
        <v>74</v>
      </c>
      <c r="V955" s="5" t="n">
        <v>300</v>
      </c>
      <c r="W955" s="2"/>
      <c r="X955" s="2" t="s">
        <v>1108</v>
      </c>
      <c r="Y955" s="5" t="s">
        <v>309</v>
      </c>
      <c r="Z955" s="2" t="s">
        <v>6232</v>
      </c>
      <c r="AA955" s="6" t="s">
        <v>6233</v>
      </c>
    </row>
    <row r="956" customFormat="false" ht="68.65" hidden="false" customHeight="false" outlineLevel="0" collapsed="false">
      <c r="A956" s="5" t="s">
        <v>6234</v>
      </c>
      <c r="B956" s="2" t="s">
        <v>6235</v>
      </c>
      <c r="C956" s="5" t="s">
        <v>2245</v>
      </c>
      <c r="D956" s="5" t="s">
        <v>4760</v>
      </c>
      <c r="E956" s="2" t="s">
        <v>100</v>
      </c>
      <c r="F956" s="5" t="s">
        <v>62</v>
      </c>
      <c r="G956" s="5" t="n">
        <v>7</v>
      </c>
      <c r="H956" s="5" t="s">
        <v>89</v>
      </c>
      <c r="I956" s="5" t="s">
        <v>64</v>
      </c>
      <c r="J956" s="5" t="s">
        <v>65</v>
      </c>
      <c r="K956" s="5" t="s">
        <v>66</v>
      </c>
      <c r="L956" s="2" t="s">
        <v>100</v>
      </c>
      <c r="M956" s="2" t="s">
        <v>304</v>
      </c>
      <c r="N956" s="2" t="s">
        <v>3232</v>
      </c>
      <c r="O956" s="2" t="s">
        <v>3327</v>
      </c>
      <c r="P956" s="2"/>
      <c r="Q956" s="5" t="n">
        <v>1</v>
      </c>
      <c r="R956" s="2" t="s">
        <v>71</v>
      </c>
      <c r="S956" s="2" t="s">
        <v>6236</v>
      </c>
      <c r="T956" s="2" t="s">
        <v>3329</v>
      </c>
      <c r="U956" s="2" t="s">
        <v>74</v>
      </c>
      <c r="V956" s="5" t="n">
        <v>300</v>
      </c>
      <c r="W956" s="2"/>
      <c r="X956" s="2" t="s">
        <v>3330</v>
      </c>
      <c r="Y956" s="5" t="s">
        <v>1225</v>
      </c>
      <c r="Z956" s="2" t="s">
        <v>6237</v>
      </c>
      <c r="AA956" s="6" t="s">
        <v>6238</v>
      </c>
    </row>
    <row r="957" customFormat="false" ht="68.65" hidden="false" customHeight="false" outlineLevel="0" collapsed="false">
      <c r="A957" s="5" t="s">
        <v>6239</v>
      </c>
      <c r="B957" s="2" t="s">
        <v>6240</v>
      </c>
      <c r="C957" s="5" t="s">
        <v>2245</v>
      </c>
      <c r="D957" s="5" t="s">
        <v>4760</v>
      </c>
      <c r="E957" s="2" t="s">
        <v>100</v>
      </c>
      <c r="F957" s="5" t="s">
        <v>490</v>
      </c>
      <c r="G957" s="5" t="n">
        <v>7</v>
      </c>
      <c r="H957" s="5" t="s">
        <v>89</v>
      </c>
      <c r="I957" s="5" t="s">
        <v>64</v>
      </c>
      <c r="J957" s="5" t="s">
        <v>65</v>
      </c>
      <c r="K957" s="5" t="s">
        <v>66</v>
      </c>
      <c r="L957" s="2" t="s">
        <v>100</v>
      </c>
      <c r="M957" s="2" t="s">
        <v>304</v>
      </c>
      <c r="N957" s="2" t="s">
        <v>6241</v>
      </c>
      <c r="O957" s="2" t="s">
        <v>6242</v>
      </c>
      <c r="P957" s="2"/>
      <c r="Q957" s="5" t="n">
        <v>1</v>
      </c>
      <c r="R957" s="2" t="s">
        <v>71</v>
      </c>
      <c r="S957" s="2" t="s">
        <v>6243</v>
      </c>
      <c r="T957" s="2" t="s">
        <v>6244</v>
      </c>
      <c r="U957" s="2" t="s">
        <v>74</v>
      </c>
      <c r="V957" s="5" t="n">
        <v>300</v>
      </c>
      <c r="W957" s="2"/>
      <c r="X957" s="2" t="s">
        <v>1516</v>
      </c>
      <c r="Y957" s="5"/>
      <c r="Z957" s="2" t="s">
        <v>6245</v>
      </c>
      <c r="AA957" s="6" t="s">
        <v>6246</v>
      </c>
    </row>
    <row r="958" customFormat="false" ht="68.65" hidden="false" customHeight="false" outlineLevel="0" collapsed="false">
      <c r="A958" s="5" t="s">
        <v>6247</v>
      </c>
      <c r="B958" s="2" t="s">
        <v>6248</v>
      </c>
      <c r="C958" s="5" t="s">
        <v>2245</v>
      </c>
      <c r="D958" s="5" t="s">
        <v>4760</v>
      </c>
      <c r="E958" s="2" t="s">
        <v>100</v>
      </c>
      <c r="F958" s="5" t="s">
        <v>62</v>
      </c>
      <c r="G958" s="5" t="n">
        <v>7</v>
      </c>
      <c r="H958" s="5" t="s">
        <v>89</v>
      </c>
      <c r="I958" s="5" t="s">
        <v>64</v>
      </c>
      <c r="J958" s="5" t="s">
        <v>65</v>
      </c>
      <c r="K958" s="5" t="s">
        <v>66</v>
      </c>
      <c r="L958" s="2" t="s">
        <v>100</v>
      </c>
      <c r="M958" s="2" t="s">
        <v>304</v>
      </c>
      <c r="N958" s="2" t="s">
        <v>3232</v>
      </c>
      <c r="O958" s="2" t="s">
        <v>1160</v>
      </c>
      <c r="P958" s="2"/>
      <c r="Q958" s="5" t="n">
        <v>1</v>
      </c>
      <c r="R958" s="2" t="s">
        <v>71</v>
      </c>
      <c r="S958" s="2" t="s">
        <v>6249</v>
      </c>
      <c r="T958" s="2" t="s">
        <v>1162</v>
      </c>
      <c r="U958" s="2" t="s">
        <v>74</v>
      </c>
      <c r="V958" s="5" t="n">
        <v>300</v>
      </c>
      <c r="W958" s="2"/>
      <c r="X958" s="2" t="s">
        <v>1163</v>
      </c>
      <c r="Y958" s="5"/>
      <c r="Z958" s="2" t="s">
        <v>6250</v>
      </c>
      <c r="AA958" s="6" t="s">
        <v>6251</v>
      </c>
    </row>
    <row r="959" customFormat="false" ht="191.75" hidden="false" customHeight="false" outlineLevel="0" collapsed="false">
      <c r="A959" s="5" t="s">
        <v>6252</v>
      </c>
      <c r="B959" s="2" t="s">
        <v>6253</v>
      </c>
      <c r="C959" s="5" t="s">
        <v>2245</v>
      </c>
      <c r="D959" s="5" t="s">
        <v>4760</v>
      </c>
      <c r="E959" s="2" t="s">
        <v>100</v>
      </c>
      <c r="F959" s="5" t="s">
        <v>490</v>
      </c>
      <c r="G959" s="5" t="n">
        <v>7</v>
      </c>
      <c r="H959" s="5" t="s">
        <v>89</v>
      </c>
      <c r="I959" s="5" t="s">
        <v>64</v>
      </c>
      <c r="J959" s="5" t="s">
        <v>65</v>
      </c>
      <c r="K959" s="5" t="s">
        <v>66</v>
      </c>
      <c r="L959" s="2" t="s">
        <v>100</v>
      </c>
      <c r="M959" s="2" t="s">
        <v>1113</v>
      </c>
      <c r="N959" s="2" t="s">
        <v>670</v>
      </c>
      <c r="O959" s="2"/>
      <c r="P959" s="2" t="s">
        <v>6254</v>
      </c>
      <c r="Q959" s="5" t="n">
        <v>1</v>
      </c>
      <c r="R959" s="2" t="s">
        <v>71</v>
      </c>
      <c r="S959" s="2" t="s">
        <v>6255</v>
      </c>
      <c r="T959" s="2" t="s">
        <v>1098</v>
      </c>
      <c r="U959" s="2" t="s">
        <v>74</v>
      </c>
      <c r="V959" s="5" t="n">
        <v>300</v>
      </c>
      <c r="W959" s="2"/>
      <c r="X959" s="2"/>
      <c r="Y959" s="5"/>
      <c r="Z959" s="2" t="s">
        <v>6256</v>
      </c>
      <c r="AA959" s="6" t="s">
        <v>6257</v>
      </c>
    </row>
    <row r="960" customFormat="false" ht="57.45" hidden="false" customHeight="false" outlineLevel="0" collapsed="false">
      <c r="A960" s="5" t="s">
        <v>6258</v>
      </c>
      <c r="B960" s="2" t="s">
        <v>6259</v>
      </c>
      <c r="C960" s="5" t="s">
        <v>2128</v>
      </c>
      <c r="D960" s="5" t="s">
        <v>4760</v>
      </c>
      <c r="E960" s="2" t="s">
        <v>2079</v>
      </c>
      <c r="F960" s="5" t="s">
        <v>62</v>
      </c>
      <c r="G960" s="5" t="n">
        <v>7</v>
      </c>
      <c r="H960" s="5" t="s">
        <v>89</v>
      </c>
      <c r="I960" s="5" t="s">
        <v>64</v>
      </c>
      <c r="J960" s="5" t="s">
        <v>65</v>
      </c>
      <c r="K960" s="5" t="s">
        <v>66</v>
      </c>
      <c r="L960" s="2" t="s">
        <v>2079</v>
      </c>
      <c r="M960" s="2" t="s">
        <v>3408</v>
      </c>
      <c r="N960" s="2" t="s">
        <v>367</v>
      </c>
      <c r="O960" s="2" t="s">
        <v>1105</v>
      </c>
      <c r="P960" s="2"/>
      <c r="Q960" s="5" t="n">
        <v>1</v>
      </c>
      <c r="R960" s="2" t="s">
        <v>71</v>
      </c>
      <c r="S960" s="2" t="s">
        <v>6260</v>
      </c>
      <c r="T960" s="2" t="s">
        <v>1931</v>
      </c>
      <c r="U960" s="2" t="s">
        <v>74</v>
      </c>
      <c r="V960" s="5" t="n">
        <v>300</v>
      </c>
      <c r="W960" s="2"/>
      <c r="X960" s="2" t="s">
        <v>1108</v>
      </c>
      <c r="Y960" s="5" t="s">
        <v>309</v>
      </c>
      <c r="Z960" s="2" t="s">
        <v>6261</v>
      </c>
      <c r="AA960" s="6" t="s">
        <v>6262</v>
      </c>
    </row>
    <row r="961" customFormat="false" ht="57.45" hidden="false" customHeight="false" outlineLevel="0" collapsed="false">
      <c r="A961" s="5" t="s">
        <v>6263</v>
      </c>
      <c r="B961" s="2" t="s">
        <v>6264</v>
      </c>
      <c r="C961" s="5" t="s">
        <v>2128</v>
      </c>
      <c r="D961" s="5" t="s">
        <v>4760</v>
      </c>
      <c r="E961" s="2" t="s">
        <v>2079</v>
      </c>
      <c r="F961" s="5" t="s">
        <v>62</v>
      </c>
      <c r="G961" s="5" t="n">
        <v>7</v>
      </c>
      <c r="H961" s="5" t="s">
        <v>89</v>
      </c>
      <c r="I961" s="5" t="s">
        <v>64</v>
      </c>
      <c r="J961" s="5" t="s">
        <v>65</v>
      </c>
      <c r="K961" s="5" t="s">
        <v>66</v>
      </c>
      <c r="L961" s="2" t="s">
        <v>2079</v>
      </c>
      <c r="M961" s="2" t="s">
        <v>3408</v>
      </c>
      <c r="N961" s="2" t="s">
        <v>367</v>
      </c>
      <c r="O961" s="2" t="s">
        <v>1105</v>
      </c>
      <c r="P961" s="2"/>
      <c r="Q961" s="5" t="n">
        <v>1</v>
      </c>
      <c r="R961" s="2" t="s">
        <v>71</v>
      </c>
      <c r="S961" s="2" t="s">
        <v>6265</v>
      </c>
      <c r="T961" s="2" t="s">
        <v>1953</v>
      </c>
      <c r="U961" s="2" t="s">
        <v>74</v>
      </c>
      <c r="V961" s="5" t="n">
        <v>300</v>
      </c>
      <c r="W961" s="2"/>
      <c r="X961" s="2" t="s">
        <v>1108</v>
      </c>
      <c r="Y961" s="5" t="s">
        <v>309</v>
      </c>
      <c r="Z961" s="2" t="s">
        <v>6266</v>
      </c>
      <c r="AA961" s="6" t="s">
        <v>6267</v>
      </c>
    </row>
    <row r="962" customFormat="false" ht="68.65" hidden="false" customHeight="false" outlineLevel="0" collapsed="false">
      <c r="A962" s="5" t="s">
        <v>6268</v>
      </c>
      <c r="B962" s="2" t="s">
        <v>6269</v>
      </c>
      <c r="C962" s="5" t="s">
        <v>2128</v>
      </c>
      <c r="D962" s="5" t="s">
        <v>4760</v>
      </c>
      <c r="E962" s="2" t="s">
        <v>2079</v>
      </c>
      <c r="F962" s="5" t="s">
        <v>62</v>
      </c>
      <c r="G962" s="5" t="n">
        <v>5</v>
      </c>
      <c r="H962" s="5" t="s">
        <v>89</v>
      </c>
      <c r="I962" s="5" t="s">
        <v>64</v>
      </c>
      <c r="J962" s="5" t="s">
        <v>65</v>
      </c>
      <c r="K962" s="5" t="s">
        <v>66</v>
      </c>
      <c r="L962" s="2" t="s">
        <v>2079</v>
      </c>
      <c r="M962" s="2" t="s">
        <v>3415</v>
      </c>
      <c r="N962" s="2" t="s">
        <v>367</v>
      </c>
      <c r="O962" s="2" t="s">
        <v>1105</v>
      </c>
      <c r="P962" s="2"/>
      <c r="Q962" s="5" t="n">
        <v>1</v>
      </c>
      <c r="R962" s="2" t="s">
        <v>71</v>
      </c>
      <c r="S962" s="2" t="s">
        <v>6270</v>
      </c>
      <c r="T962" s="2" t="s">
        <v>6271</v>
      </c>
      <c r="U962" s="2" t="s">
        <v>74</v>
      </c>
      <c r="V962" s="5" t="n">
        <v>300</v>
      </c>
      <c r="W962" s="2"/>
      <c r="X962" s="2" t="s">
        <v>1108</v>
      </c>
      <c r="Y962" s="5" t="s">
        <v>309</v>
      </c>
      <c r="Z962" s="2" t="s">
        <v>6272</v>
      </c>
      <c r="AA962" s="6" t="s">
        <v>6273</v>
      </c>
    </row>
    <row r="963" customFormat="false" ht="68.65" hidden="false" customHeight="false" outlineLevel="0" collapsed="false">
      <c r="A963" s="5" t="s">
        <v>6274</v>
      </c>
      <c r="B963" s="2" t="s">
        <v>6275</v>
      </c>
      <c r="C963" s="5" t="s">
        <v>2128</v>
      </c>
      <c r="D963" s="5" t="s">
        <v>4760</v>
      </c>
      <c r="E963" s="2" t="s">
        <v>2079</v>
      </c>
      <c r="F963" s="5" t="s">
        <v>62</v>
      </c>
      <c r="G963" s="5" t="n">
        <v>5</v>
      </c>
      <c r="H963" s="5" t="s">
        <v>89</v>
      </c>
      <c r="I963" s="5" t="s">
        <v>64</v>
      </c>
      <c r="J963" s="5" t="s">
        <v>65</v>
      </c>
      <c r="K963" s="5" t="s">
        <v>66</v>
      </c>
      <c r="L963" s="2" t="s">
        <v>2079</v>
      </c>
      <c r="M963" s="2" t="s">
        <v>4918</v>
      </c>
      <c r="N963" s="2" t="s">
        <v>6276</v>
      </c>
      <c r="O963" s="2" t="s">
        <v>6277</v>
      </c>
      <c r="P963" s="2"/>
      <c r="Q963" s="5" t="n">
        <v>1</v>
      </c>
      <c r="R963" s="2" t="s">
        <v>71</v>
      </c>
      <c r="S963" s="2" t="s">
        <v>6278</v>
      </c>
      <c r="T963" s="2" t="s">
        <v>6279</v>
      </c>
      <c r="U963" s="2" t="s">
        <v>74</v>
      </c>
      <c r="V963" s="5" t="n">
        <v>300</v>
      </c>
      <c r="W963" s="2"/>
      <c r="X963" s="2" t="s">
        <v>6280</v>
      </c>
      <c r="Y963" s="5"/>
      <c r="Z963" s="2" t="s">
        <v>6281</v>
      </c>
      <c r="AA963" s="6" t="s">
        <v>6282</v>
      </c>
    </row>
    <row r="964" customFormat="false" ht="281.3" hidden="false" customHeight="false" outlineLevel="0" collapsed="false">
      <c r="A964" s="5" t="s">
        <v>6283</v>
      </c>
      <c r="B964" s="2" t="s">
        <v>6284</v>
      </c>
      <c r="C964" s="5" t="s">
        <v>2245</v>
      </c>
      <c r="D964" s="5" t="s">
        <v>4760</v>
      </c>
      <c r="E964" s="2" t="s">
        <v>2079</v>
      </c>
      <c r="F964" s="5" t="s">
        <v>62</v>
      </c>
      <c r="G964" s="5" t="n">
        <v>7</v>
      </c>
      <c r="H964" s="5" t="s">
        <v>89</v>
      </c>
      <c r="I964" s="5" t="s">
        <v>64</v>
      </c>
      <c r="J964" s="5" t="s">
        <v>65</v>
      </c>
      <c r="K964" s="5" t="s">
        <v>66</v>
      </c>
      <c r="L964" s="2" t="s">
        <v>2079</v>
      </c>
      <c r="M964" s="2" t="s">
        <v>3415</v>
      </c>
      <c r="N964" s="2" t="s">
        <v>3232</v>
      </c>
      <c r="O964" s="2" t="s">
        <v>3373</v>
      </c>
      <c r="P964" s="2"/>
      <c r="Q964" s="5" t="n">
        <v>1</v>
      </c>
      <c r="R964" s="2" t="s">
        <v>71</v>
      </c>
      <c r="S964" s="2" t="s">
        <v>6285</v>
      </c>
      <c r="T964" s="2" t="s">
        <v>6286</v>
      </c>
      <c r="U964" s="2" t="s">
        <v>74</v>
      </c>
      <c r="V964" s="5" t="n">
        <v>300</v>
      </c>
      <c r="W964" s="2"/>
      <c r="X964" s="2" t="s">
        <v>3376</v>
      </c>
      <c r="Y964" s="5"/>
      <c r="Z964" s="2" t="s">
        <v>6287</v>
      </c>
      <c r="AA964" s="6" t="s">
        <v>6288</v>
      </c>
    </row>
    <row r="965" customFormat="false" ht="79.85" hidden="false" customHeight="false" outlineLevel="0" collapsed="false">
      <c r="A965" s="5" t="s">
        <v>6289</v>
      </c>
      <c r="B965" s="2" t="s">
        <v>6290</v>
      </c>
      <c r="C965" s="5" t="s">
        <v>2245</v>
      </c>
      <c r="D965" s="5" t="s">
        <v>4760</v>
      </c>
      <c r="E965" s="2" t="s">
        <v>100</v>
      </c>
      <c r="F965" s="5" t="s">
        <v>62</v>
      </c>
      <c r="G965" s="5" t="n">
        <v>7</v>
      </c>
      <c r="H965" s="5" t="s">
        <v>89</v>
      </c>
      <c r="I965" s="5" t="s">
        <v>64</v>
      </c>
      <c r="J965" s="5" t="s">
        <v>65</v>
      </c>
      <c r="K965" s="5" t="s">
        <v>66</v>
      </c>
      <c r="L965" s="2" t="s">
        <v>100</v>
      </c>
      <c r="M965" s="2" t="s">
        <v>304</v>
      </c>
      <c r="N965" s="2" t="s">
        <v>3232</v>
      </c>
      <c r="O965" s="2" t="s">
        <v>6291</v>
      </c>
      <c r="P965" s="2"/>
      <c r="Q965" s="5" t="n">
        <v>1</v>
      </c>
      <c r="R965" s="2" t="s">
        <v>71</v>
      </c>
      <c r="S965" s="2" t="s">
        <v>6292</v>
      </c>
      <c r="T965" s="2" t="s">
        <v>6293</v>
      </c>
      <c r="U965" s="2" t="s">
        <v>74</v>
      </c>
      <c r="V965" s="5" t="n">
        <v>300</v>
      </c>
      <c r="W965" s="2"/>
      <c r="X965" s="2" t="s">
        <v>6294</v>
      </c>
      <c r="Y965" s="5"/>
      <c r="Z965" s="2" t="s">
        <v>6295</v>
      </c>
      <c r="AA965" s="6" t="s">
        <v>6296</v>
      </c>
    </row>
    <row r="966" customFormat="false" ht="57.45" hidden="false" customHeight="false" outlineLevel="0" collapsed="false">
      <c r="A966" s="5" t="s">
        <v>6297</v>
      </c>
      <c r="B966" s="2" t="s">
        <v>6298</v>
      </c>
      <c r="C966" s="5" t="s">
        <v>2128</v>
      </c>
      <c r="D966" s="5" t="s">
        <v>4760</v>
      </c>
      <c r="E966" s="2" t="s">
        <v>2079</v>
      </c>
      <c r="F966" s="5" t="s">
        <v>62</v>
      </c>
      <c r="G966" s="5" t="n">
        <v>9</v>
      </c>
      <c r="H966" s="5" t="s">
        <v>63</v>
      </c>
      <c r="I966" s="5" t="s">
        <v>64</v>
      </c>
      <c r="J966" s="5" t="s">
        <v>65</v>
      </c>
      <c r="K966" s="5" t="s">
        <v>66</v>
      </c>
      <c r="L966" s="2" t="s">
        <v>2079</v>
      </c>
      <c r="M966" s="2" t="s">
        <v>3408</v>
      </c>
      <c r="N966" s="2" t="s">
        <v>367</v>
      </c>
      <c r="O966" s="2" t="s">
        <v>1160</v>
      </c>
      <c r="P966" s="2"/>
      <c r="Q966" s="5" t="n">
        <v>1</v>
      </c>
      <c r="R966" s="2" t="s">
        <v>71</v>
      </c>
      <c r="S966" s="2" t="s">
        <v>6299</v>
      </c>
      <c r="T966" s="2" t="s">
        <v>1162</v>
      </c>
      <c r="U966" s="2" t="s">
        <v>74</v>
      </c>
      <c r="V966" s="5" t="n">
        <v>300</v>
      </c>
      <c r="W966" s="2"/>
      <c r="X966" s="2" t="s">
        <v>1163</v>
      </c>
      <c r="Y966" s="5"/>
      <c r="Z966" s="2" t="s">
        <v>6300</v>
      </c>
      <c r="AA966" s="6" t="s">
        <v>6301</v>
      </c>
    </row>
    <row r="967" customFormat="false" ht="46.25" hidden="false" customHeight="false" outlineLevel="0" collapsed="false">
      <c r="A967" s="5" t="s">
        <v>6302</v>
      </c>
      <c r="B967" s="2" t="s">
        <v>6303</v>
      </c>
      <c r="C967" s="5" t="s">
        <v>2128</v>
      </c>
      <c r="D967" s="5" t="s">
        <v>4760</v>
      </c>
      <c r="E967" s="2" t="s">
        <v>2079</v>
      </c>
      <c r="F967" s="5" t="s">
        <v>62</v>
      </c>
      <c r="G967" s="5" t="n">
        <v>9</v>
      </c>
      <c r="H967" s="5" t="s">
        <v>63</v>
      </c>
      <c r="I967" s="5" t="s">
        <v>64</v>
      </c>
      <c r="J967" s="5" t="s">
        <v>65</v>
      </c>
      <c r="K967" s="5" t="s">
        <v>66</v>
      </c>
      <c r="L967" s="2" t="s">
        <v>2079</v>
      </c>
      <c r="M967" s="2" t="s">
        <v>3408</v>
      </c>
      <c r="N967" s="2" t="s">
        <v>367</v>
      </c>
      <c r="O967" s="2" t="s">
        <v>1212</v>
      </c>
      <c r="P967" s="2"/>
      <c r="Q967" s="5" t="n">
        <v>1</v>
      </c>
      <c r="R967" s="2" t="s">
        <v>71</v>
      </c>
      <c r="S967" s="2" t="s">
        <v>6304</v>
      </c>
      <c r="T967" s="2" t="s">
        <v>1716</v>
      </c>
      <c r="U967" s="2" t="s">
        <v>74</v>
      </c>
      <c r="V967" s="5" t="n">
        <v>300</v>
      </c>
      <c r="W967" s="2"/>
      <c r="X967" s="2" t="s">
        <v>1215</v>
      </c>
      <c r="Y967" s="5"/>
      <c r="Z967" s="2" t="s">
        <v>6305</v>
      </c>
      <c r="AA967" s="6" t="s">
        <v>6306</v>
      </c>
    </row>
    <row r="968" customFormat="false" ht="68.65" hidden="false" customHeight="false" outlineLevel="0" collapsed="false">
      <c r="A968" s="5" t="s">
        <v>6307</v>
      </c>
      <c r="B968" s="2" t="s">
        <v>6308</v>
      </c>
      <c r="C968" s="5" t="s">
        <v>2245</v>
      </c>
      <c r="D968" s="5" t="s">
        <v>4760</v>
      </c>
      <c r="E968" s="2" t="s">
        <v>2079</v>
      </c>
      <c r="F968" s="5" t="s">
        <v>62</v>
      </c>
      <c r="G968" s="5" t="n">
        <v>7</v>
      </c>
      <c r="H968" s="5" t="s">
        <v>89</v>
      </c>
      <c r="I968" s="5" t="s">
        <v>64</v>
      </c>
      <c r="J968" s="5" t="s">
        <v>65</v>
      </c>
      <c r="K968" s="5" t="s">
        <v>66</v>
      </c>
      <c r="L968" s="2" t="s">
        <v>2079</v>
      </c>
      <c r="M968" s="2" t="s">
        <v>3408</v>
      </c>
      <c r="N968" s="2" t="s">
        <v>3232</v>
      </c>
      <c r="O968" s="2" t="s">
        <v>1105</v>
      </c>
      <c r="P968" s="2"/>
      <c r="Q968" s="5" t="n">
        <v>1</v>
      </c>
      <c r="R968" s="2" t="s">
        <v>71</v>
      </c>
      <c r="S968" s="2" t="s">
        <v>6309</v>
      </c>
      <c r="T968" s="2" t="s">
        <v>3265</v>
      </c>
      <c r="U968" s="2" t="s">
        <v>74</v>
      </c>
      <c r="V968" s="5" t="n">
        <v>300</v>
      </c>
      <c r="W968" s="2"/>
      <c r="X968" s="2" t="s">
        <v>1108</v>
      </c>
      <c r="Y968" s="5" t="s">
        <v>309</v>
      </c>
      <c r="Z968" s="2" t="s">
        <v>6310</v>
      </c>
      <c r="AA968" s="6" t="s">
        <v>6311</v>
      </c>
    </row>
    <row r="969" customFormat="false" ht="68.65" hidden="false" customHeight="false" outlineLevel="0" collapsed="false">
      <c r="A969" s="5" t="s">
        <v>6312</v>
      </c>
      <c r="B969" s="2" t="s">
        <v>6313</v>
      </c>
      <c r="C969" s="5" t="s">
        <v>2245</v>
      </c>
      <c r="D969" s="5" t="s">
        <v>4760</v>
      </c>
      <c r="E969" s="2" t="s">
        <v>2079</v>
      </c>
      <c r="F969" s="5" t="s">
        <v>490</v>
      </c>
      <c r="G969" s="5" t="n">
        <v>5</v>
      </c>
      <c r="H969" s="5" t="s">
        <v>89</v>
      </c>
      <c r="I969" s="5" t="s">
        <v>64</v>
      </c>
      <c r="J969" s="5" t="s">
        <v>65</v>
      </c>
      <c r="K969" s="5" t="s">
        <v>66</v>
      </c>
      <c r="L969" s="2" t="s">
        <v>2079</v>
      </c>
      <c r="M969" s="2" t="s">
        <v>6158</v>
      </c>
      <c r="N969" s="2" t="s">
        <v>3232</v>
      </c>
      <c r="O969" s="2" t="s">
        <v>1105</v>
      </c>
      <c r="P969" s="2"/>
      <c r="Q969" s="5" t="n">
        <v>1</v>
      </c>
      <c r="R969" s="2" t="s">
        <v>71</v>
      </c>
      <c r="S969" s="2" t="s">
        <v>6314</v>
      </c>
      <c r="T969" s="2" t="s">
        <v>1931</v>
      </c>
      <c r="U969" s="2" t="s">
        <v>74</v>
      </c>
      <c r="V969" s="5" t="n">
        <v>300</v>
      </c>
      <c r="W969" s="2"/>
      <c r="X969" s="2" t="s">
        <v>1108</v>
      </c>
      <c r="Y969" s="5" t="s">
        <v>309</v>
      </c>
      <c r="Z969" s="2" t="s">
        <v>6315</v>
      </c>
      <c r="AA969" s="6" t="s">
        <v>6316</v>
      </c>
    </row>
    <row r="970" customFormat="false" ht="46.25" hidden="false" customHeight="false" outlineLevel="0" collapsed="false">
      <c r="A970" s="5" t="s">
        <v>6317</v>
      </c>
      <c r="B970" s="2" t="s">
        <v>6318</v>
      </c>
      <c r="C970" s="5" t="s">
        <v>2128</v>
      </c>
      <c r="D970" s="5" t="s">
        <v>4760</v>
      </c>
      <c r="E970" s="2" t="s">
        <v>2079</v>
      </c>
      <c r="F970" s="5" t="s">
        <v>62</v>
      </c>
      <c r="G970" s="5" t="n">
        <v>7</v>
      </c>
      <c r="H970" s="5" t="s">
        <v>89</v>
      </c>
      <c r="I970" s="5" t="s">
        <v>64</v>
      </c>
      <c r="J970" s="5" t="s">
        <v>65</v>
      </c>
      <c r="K970" s="5" t="s">
        <v>66</v>
      </c>
      <c r="L970" s="2" t="s">
        <v>2079</v>
      </c>
      <c r="M970" s="2" t="s">
        <v>6319</v>
      </c>
      <c r="N970" s="2" t="s">
        <v>367</v>
      </c>
      <c r="O970" s="2" t="s">
        <v>1105</v>
      </c>
      <c r="P970" s="2"/>
      <c r="Q970" s="5" t="n">
        <v>1</v>
      </c>
      <c r="R970" s="2" t="s">
        <v>71</v>
      </c>
      <c r="S970" s="2" t="s">
        <v>6320</v>
      </c>
      <c r="T970" s="2" t="s">
        <v>1139</v>
      </c>
      <c r="U970" s="2" t="s">
        <v>74</v>
      </c>
      <c r="V970" s="5" t="n">
        <v>300</v>
      </c>
      <c r="W970" s="2"/>
      <c r="X970" s="2" t="s">
        <v>1108</v>
      </c>
      <c r="Y970" s="5" t="s">
        <v>309</v>
      </c>
      <c r="Z970" s="2" t="s">
        <v>6321</v>
      </c>
      <c r="AA970" s="6" t="s">
        <v>6322</v>
      </c>
    </row>
    <row r="971" customFormat="false" ht="102.2" hidden="false" customHeight="false" outlineLevel="0" collapsed="false">
      <c r="A971" s="5" t="s">
        <v>6323</v>
      </c>
      <c r="B971" s="2" t="s">
        <v>6324</v>
      </c>
      <c r="C971" s="5" t="s">
        <v>2245</v>
      </c>
      <c r="D971" s="5" t="s">
        <v>4760</v>
      </c>
      <c r="E971" s="2" t="s">
        <v>100</v>
      </c>
      <c r="F971" s="5" t="s">
        <v>62</v>
      </c>
      <c r="G971" s="5" t="n">
        <v>5</v>
      </c>
      <c r="H971" s="5" t="s">
        <v>89</v>
      </c>
      <c r="I971" s="5" t="s">
        <v>64</v>
      </c>
      <c r="J971" s="5" t="s">
        <v>65</v>
      </c>
      <c r="K971" s="5" t="s">
        <v>66</v>
      </c>
      <c r="L971" s="2" t="s">
        <v>100</v>
      </c>
      <c r="M971" s="2" t="s">
        <v>1409</v>
      </c>
      <c r="N971" s="2" t="s">
        <v>3129</v>
      </c>
      <c r="O971" s="2" t="s">
        <v>3130</v>
      </c>
      <c r="P971" s="2"/>
      <c r="Q971" s="5" t="n">
        <v>1</v>
      </c>
      <c r="R971" s="2" t="s">
        <v>71</v>
      </c>
      <c r="S971" s="2" t="s">
        <v>6325</v>
      </c>
      <c r="T971" s="2" t="s">
        <v>3132</v>
      </c>
      <c r="U971" s="2" t="s">
        <v>74</v>
      </c>
      <c r="V971" s="5" t="n">
        <v>300</v>
      </c>
      <c r="W971" s="2"/>
      <c r="X971" s="2" t="s">
        <v>3133</v>
      </c>
      <c r="Y971" s="5" t="s">
        <v>3134</v>
      </c>
      <c r="Z971" s="2" t="s">
        <v>6326</v>
      </c>
      <c r="AA971" s="6" t="s">
        <v>6327</v>
      </c>
    </row>
    <row r="972" customFormat="false" ht="68.65" hidden="false" customHeight="false" outlineLevel="0" collapsed="false">
      <c r="A972" s="5" t="s">
        <v>6328</v>
      </c>
      <c r="B972" s="2" t="s">
        <v>6329</v>
      </c>
      <c r="C972" s="5" t="s">
        <v>2245</v>
      </c>
      <c r="D972" s="5" t="s">
        <v>4760</v>
      </c>
      <c r="E972" s="2" t="s">
        <v>100</v>
      </c>
      <c r="F972" s="5" t="s">
        <v>490</v>
      </c>
      <c r="G972" s="5" t="n">
        <v>5</v>
      </c>
      <c r="H972" s="5" t="s">
        <v>89</v>
      </c>
      <c r="I972" s="5" t="s">
        <v>64</v>
      </c>
      <c r="J972" s="5" t="s">
        <v>65</v>
      </c>
      <c r="K972" s="5" t="s">
        <v>66</v>
      </c>
      <c r="L972" s="2" t="s">
        <v>100</v>
      </c>
      <c r="M972" s="2" t="s">
        <v>761</v>
      </c>
      <c r="N972" s="2" t="s">
        <v>3232</v>
      </c>
      <c r="O972" s="2" t="s">
        <v>1105</v>
      </c>
      <c r="P972" s="2"/>
      <c r="Q972" s="5" t="n">
        <v>1</v>
      </c>
      <c r="R972" s="2" t="s">
        <v>71</v>
      </c>
      <c r="S972" s="2" t="s">
        <v>6330</v>
      </c>
      <c r="T972" s="2" t="s">
        <v>1139</v>
      </c>
      <c r="U972" s="2" t="s">
        <v>74</v>
      </c>
      <c r="V972" s="5" t="n">
        <v>300</v>
      </c>
      <c r="W972" s="2"/>
      <c r="X972" s="2" t="s">
        <v>1108</v>
      </c>
      <c r="Y972" s="5" t="s">
        <v>309</v>
      </c>
      <c r="Z972" s="2" t="s">
        <v>6331</v>
      </c>
      <c r="AA972" s="6" t="s">
        <v>6332</v>
      </c>
    </row>
    <row r="973" customFormat="false" ht="79.85" hidden="false" customHeight="false" outlineLevel="0" collapsed="false">
      <c r="A973" s="5" t="s">
        <v>6333</v>
      </c>
      <c r="B973" s="2" t="s">
        <v>6334</v>
      </c>
      <c r="C973" s="5" t="s">
        <v>2245</v>
      </c>
      <c r="D973" s="5" t="s">
        <v>4760</v>
      </c>
      <c r="E973" s="2" t="s">
        <v>100</v>
      </c>
      <c r="F973" s="5" t="s">
        <v>62</v>
      </c>
      <c r="G973" s="5" t="n">
        <v>7</v>
      </c>
      <c r="H973" s="5" t="s">
        <v>89</v>
      </c>
      <c r="I973" s="5" t="s">
        <v>64</v>
      </c>
      <c r="J973" s="5" t="s">
        <v>65</v>
      </c>
      <c r="K973" s="5" t="s">
        <v>66</v>
      </c>
      <c r="L973" s="2" t="s">
        <v>100</v>
      </c>
      <c r="M973" s="2" t="s">
        <v>304</v>
      </c>
      <c r="N973" s="2" t="s">
        <v>3232</v>
      </c>
      <c r="O973" s="2" t="s">
        <v>1105</v>
      </c>
      <c r="P973" s="2"/>
      <c r="Q973" s="5" t="n">
        <v>1</v>
      </c>
      <c r="R973" s="2" t="s">
        <v>71</v>
      </c>
      <c r="S973" s="2" t="s">
        <v>6335</v>
      </c>
      <c r="T973" s="2" t="s">
        <v>1176</v>
      </c>
      <c r="U973" s="2" t="s">
        <v>74</v>
      </c>
      <c r="V973" s="5" t="n">
        <v>300</v>
      </c>
      <c r="W973" s="2"/>
      <c r="X973" s="2" t="s">
        <v>1108</v>
      </c>
      <c r="Y973" s="5" t="s">
        <v>309</v>
      </c>
      <c r="Z973" s="2" t="s">
        <v>6336</v>
      </c>
      <c r="AA973" s="6" t="s">
        <v>6337</v>
      </c>
    </row>
    <row r="974" customFormat="false" ht="102.2" hidden="false" customHeight="false" outlineLevel="0" collapsed="false">
      <c r="A974" s="5" t="s">
        <v>6338</v>
      </c>
      <c r="B974" s="2" t="s">
        <v>6339</v>
      </c>
      <c r="C974" s="5" t="s">
        <v>2245</v>
      </c>
      <c r="D974" s="5" t="s">
        <v>4760</v>
      </c>
      <c r="E974" s="2" t="s">
        <v>2079</v>
      </c>
      <c r="F974" s="5" t="s">
        <v>490</v>
      </c>
      <c r="G974" s="5" t="n">
        <v>5</v>
      </c>
      <c r="H974" s="5" t="s">
        <v>89</v>
      </c>
      <c r="I974" s="5" t="s">
        <v>64</v>
      </c>
      <c r="J974" s="5" t="s">
        <v>65</v>
      </c>
      <c r="K974" s="5" t="s">
        <v>66</v>
      </c>
      <c r="L974" s="2" t="s">
        <v>2079</v>
      </c>
      <c r="M974" s="2" t="s">
        <v>3856</v>
      </c>
      <c r="N974" s="2" t="s">
        <v>3232</v>
      </c>
      <c r="O974" s="2" t="s">
        <v>1160</v>
      </c>
      <c r="P974" s="2"/>
      <c r="Q974" s="5" t="n">
        <v>1</v>
      </c>
      <c r="R974" s="2" t="s">
        <v>71</v>
      </c>
      <c r="S974" s="2" t="s">
        <v>6340</v>
      </c>
      <c r="T974" s="2" t="s">
        <v>1162</v>
      </c>
      <c r="U974" s="2" t="s">
        <v>74</v>
      </c>
      <c r="V974" s="5" t="n">
        <v>300</v>
      </c>
      <c r="W974" s="2"/>
      <c r="X974" s="2" t="s">
        <v>1163</v>
      </c>
      <c r="Y974" s="5"/>
      <c r="Z974" s="2" t="s">
        <v>6341</v>
      </c>
      <c r="AA974" s="6" t="s">
        <v>6342</v>
      </c>
    </row>
    <row r="975" customFormat="false" ht="370.85" hidden="false" customHeight="false" outlineLevel="0" collapsed="false">
      <c r="A975" s="5" t="s">
        <v>6343</v>
      </c>
      <c r="B975" s="2" t="s">
        <v>6344</v>
      </c>
      <c r="C975" s="5" t="s">
        <v>2245</v>
      </c>
      <c r="D975" s="5" t="s">
        <v>4760</v>
      </c>
      <c r="E975" s="2" t="s">
        <v>100</v>
      </c>
      <c r="F975" s="5" t="s">
        <v>62</v>
      </c>
      <c r="G975" s="5" t="n">
        <v>5</v>
      </c>
      <c r="H975" s="5" t="s">
        <v>89</v>
      </c>
      <c r="I975" s="5" t="s">
        <v>64</v>
      </c>
      <c r="J975" s="5" t="s">
        <v>65</v>
      </c>
      <c r="K975" s="5" t="s">
        <v>66</v>
      </c>
      <c r="L975" s="2" t="s">
        <v>100</v>
      </c>
      <c r="M975" s="2" t="s">
        <v>304</v>
      </c>
      <c r="N975" s="2" t="s">
        <v>3232</v>
      </c>
      <c r="O975" s="2" t="s">
        <v>368</v>
      </c>
      <c r="P975" s="2"/>
      <c r="Q975" s="5" t="n">
        <v>1</v>
      </c>
      <c r="R975" s="2" t="s">
        <v>71</v>
      </c>
      <c r="S975" s="2" t="s">
        <v>6345</v>
      </c>
      <c r="T975" s="2" t="s">
        <v>1925</v>
      </c>
      <c r="U975" s="2" t="s">
        <v>74</v>
      </c>
      <c r="V975" s="5" t="n">
        <v>300</v>
      </c>
      <c r="W975" s="2"/>
      <c r="X975" s="2" t="s">
        <v>371</v>
      </c>
      <c r="Y975" s="5" t="s">
        <v>372</v>
      </c>
      <c r="Z975" s="2" t="s">
        <v>6346</v>
      </c>
      <c r="AA975" s="6" t="s">
        <v>6347</v>
      </c>
    </row>
    <row r="976" customFormat="false" ht="68.65" hidden="false" customHeight="false" outlineLevel="0" collapsed="false">
      <c r="A976" s="5" t="s">
        <v>6348</v>
      </c>
      <c r="B976" s="2" t="s">
        <v>6349</v>
      </c>
      <c r="C976" s="5" t="s">
        <v>2245</v>
      </c>
      <c r="D976" s="5" t="s">
        <v>4760</v>
      </c>
      <c r="E976" s="2" t="s">
        <v>100</v>
      </c>
      <c r="F976" s="5" t="s">
        <v>62</v>
      </c>
      <c r="G976" s="5" t="n">
        <v>7</v>
      </c>
      <c r="H976" s="5" t="s">
        <v>89</v>
      </c>
      <c r="I976" s="5" t="s">
        <v>64</v>
      </c>
      <c r="J976" s="5" t="s">
        <v>65</v>
      </c>
      <c r="K976" s="5" t="s">
        <v>66</v>
      </c>
      <c r="L976" s="2" t="s">
        <v>100</v>
      </c>
      <c r="M976" s="2" t="s">
        <v>304</v>
      </c>
      <c r="N976" s="2" t="s">
        <v>3129</v>
      </c>
      <c r="O976" s="2" t="s">
        <v>3130</v>
      </c>
      <c r="P976" s="2"/>
      <c r="Q976" s="5" t="n">
        <v>1</v>
      </c>
      <c r="R976" s="2" t="s">
        <v>71</v>
      </c>
      <c r="S976" s="2" t="s">
        <v>6350</v>
      </c>
      <c r="T976" s="2" t="s">
        <v>3132</v>
      </c>
      <c r="U976" s="2" t="s">
        <v>74</v>
      </c>
      <c r="V976" s="5" t="n">
        <v>300</v>
      </c>
      <c r="W976" s="2"/>
      <c r="X976" s="2" t="s">
        <v>3133</v>
      </c>
      <c r="Y976" s="5" t="s">
        <v>3134</v>
      </c>
      <c r="Z976" s="2" t="s">
        <v>6351</v>
      </c>
      <c r="AA976" s="6" t="s">
        <v>6352</v>
      </c>
    </row>
    <row r="977" customFormat="false" ht="147" hidden="false" customHeight="false" outlineLevel="0" collapsed="false">
      <c r="A977" s="5" t="s">
        <v>6353</v>
      </c>
      <c r="B977" s="2" t="s">
        <v>6354</v>
      </c>
      <c r="C977" s="5" t="s">
        <v>2245</v>
      </c>
      <c r="D977" s="5" t="s">
        <v>4760</v>
      </c>
      <c r="E977" s="2" t="s">
        <v>100</v>
      </c>
      <c r="F977" s="5" t="s">
        <v>490</v>
      </c>
      <c r="G977" s="5" t="n">
        <v>7</v>
      </c>
      <c r="H977" s="5" t="s">
        <v>89</v>
      </c>
      <c r="I977" s="5" t="s">
        <v>64</v>
      </c>
      <c r="J977" s="5" t="s">
        <v>65</v>
      </c>
      <c r="K977" s="5" t="s">
        <v>66</v>
      </c>
      <c r="L977" s="2" t="s">
        <v>100</v>
      </c>
      <c r="M977" s="2" t="s">
        <v>304</v>
      </c>
      <c r="N977" s="2" t="s">
        <v>3232</v>
      </c>
      <c r="O977" s="2" t="s">
        <v>1105</v>
      </c>
      <c r="P977" s="2"/>
      <c r="Q977" s="5" t="n">
        <v>1</v>
      </c>
      <c r="R977" s="2" t="s">
        <v>71</v>
      </c>
      <c r="S977" s="2" t="s">
        <v>6355</v>
      </c>
      <c r="T977" s="2" t="s">
        <v>1176</v>
      </c>
      <c r="U977" s="2" t="s">
        <v>74</v>
      </c>
      <c r="V977" s="5" t="n">
        <v>300</v>
      </c>
      <c r="W977" s="2"/>
      <c r="X977" s="2" t="s">
        <v>1108</v>
      </c>
      <c r="Y977" s="5" t="s">
        <v>309</v>
      </c>
      <c r="Z977" s="2" t="s">
        <v>6356</v>
      </c>
      <c r="AA977" s="6" t="s">
        <v>6357</v>
      </c>
    </row>
    <row r="978" customFormat="false" ht="68.65" hidden="false" customHeight="false" outlineLevel="0" collapsed="false">
      <c r="A978" s="5" t="s">
        <v>6358</v>
      </c>
      <c r="B978" s="2" t="s">
        <v>6359</v>
      </c>
      <c r="C978" s="5" t="s">
        <v>2128</v>
      </c>
      <c r="D978" s="5" t="s">
        <v>4760</v>
      </c>
      <c r="E978" s="2" t="s">
        <v>2079</v>
      </c>
      <c r="F978" s="5" t="s">
        <v>62</v>
      </c>
      <c r="G978" s="5" t="n">
        <v>7</v>
      </c>
      <c r="H978" s="5" t="s">
        <v>89</v>
      </c>
      <c r="I978" s="5" t="s">
        <v>64</v>
      </c>
      <c r="J978" s="5" t="s">
        <v>65</v>
      </c>
      <c r="K978" s="5" t="s">
        <v>66</v>
      </c>
      <c r="L978" s="2" t="s">
        <v>2079</v>
      </c>
      <c r="M978" s="2" t="s">
        <v>3856</v>
      </c>
      <c r="N978" s="2" t="s">
        <v>367</v>
      </c>
      <c r="O978" s="2" t="s">
        <v>1160</v>
      </c>
      <c r="P978" s="2"/>
      <c r="Q978" s="5" t="n">
        <v>1</v>
      </c>
      <c r="R978" s="2" t="s">
        <v>71</v>
      </c>
      <c r="S978" s="2" t="s">
        <v>6360</v>
      </c>
      <c r="T978" s="2" t="s">
        <v>1193</v>
      </c>
      <c r="U978" s="2" t="s">
        <v>74</v>
      </c>
      <c r="V978" s="5" t="n">
        <v>300</v>
      </c>
      <c r="W978" s="2"/>
      <c r="X978" s="2" t="s">
        <v>1163</v>
      </c>
      <c r="Y978" s="5"/>
      <c r="Z978" s="2" t="s">
        <v>6361</v>
      </c>
      <c r="AA978" s="6" t="s">
        <v>6362</v>
      </c>
    </row>
    <row r="979" customFormat="false" ht="124.6" hidden="false" customHeight="false" outlineLevel="0" collapsed="false">
      <c r="A979" s="5" t="s">
        <v>6363</v>
      </c>
      <c r="B979" s="2" t="s">
        <v>6364</v>
      </c>
      <c r="C979" s="5" t="s">
        <v>2245</v>
      </c>
      <c r="D979" s="5" t="s">
        <v>4760</v>
      </c>
      <c r="E979" s="2" t="s">
        <v>100</v>
      </c>
      <c r="F979" s="5" t="s">
        <v>490</v>
      </c>
      <c r="G979" s="5" t="n">
        <v>7</v>
      </c>
      <c r="H979" s="5" t="s">
        <v>89</v>
      </c>
      <c r="I979" s="5" t="s">
        <v>64</v>
      </c>
      <c r="J979" s="5" t="s">
        <v>65</v>
      </c>
      <c r="K979" s="5" t="s">
        <v>66</v>
      </c>
      <c r="L979" s="2" t="s">
        <v>100</v>
      </c>
      <c r="M979" s="2" t="s">
        <v>1235</v>
      </c>
      <c r="N979" s="2" t="s">
        <v>3232</v>
      </c>
      <c r="O979" s="2" t="s">
        <v>1105</v>
      </c>
      <c r="P979" s="2"/>
      <c r="Q979" s="5" t="n">
        <v>1</v>
      </c>
      <c r="R979" s="2" t="s">
        <v>71</v>
      </c>
      <c r="S979" s="2" t="s">
        <v>6365</v>
      </c>
      <c r="T979" s="2" t="s">
        <v>1358</v>
      </c>
      <c r="U979" s="2" t="s">
        <v>74</v>
      </c>
      <c r="V979" s="5" t="n">
        <v>300</v>
      </c>
      <c r="W979" s="2"/>
      <c r="X979" s="2" t="s">
        <v>1108</v>
      </c>
      <c r="Y979" s="5" t="s">
        <v>309</v>
      </c>
      <c r="Z979" s="2" t="s">
        <v>6366</v>
      </c>
      <c r="AA979" s="6" t="s">
        <v>6367</v>
      </c>
    </row>
    <row r="980" customFormat="false" ht="91" hidden="false" customHeight="false" outlineLevel="0" collapsed="false">
      <c r="A980" s="5" t="s">
        <v>6368</v>
      </c>
      <c r="B980" s="2" t="s">
        <v>6369</v>
      </c>
      <c r="C980" s="5" t="s">
        <v>2245</v>
      </c>
      <c r="D980" s="5" t="s">
        <v>4760</v>
      </c>
      <c r="E980" s="2" t="s">
        <v>100</v>
      </c>
      <c r="F980" s="5" t="s">
        <v>490</v>
      </c>
      <c r="G980" s="5" t="n">
        <v>5</v>
      </c>
      <c r="H980" s="5" t="s">
        <v>89</v>
      </c>
      <c r="I980" s="5" t="s">
        <v>64</v>
      </c>
      <c r="J980" s="5" t="s">
        <v>65</v>
      </c>
      <c r="K980" s="5" t="s">
        <v>66</v>
      </c>
      <c r="L980" s="2" t="s">
        <v>100</v>
      </c>
      <c r="M980" s="2" t="s">
        <v>761</v>
      </c>
      <c r="N980" s="2" t="s">
        <v>3232</v>
      </c>
      <c r="O980" s="2" t="s">
        <v>1105</v>
      </c>
      <c r="P980" s="2"/>
      <c r="Q980" s="5" t="n">
        <v>1</v>
      </c>
      <c r="R980" s="2" t="s">
        <v>71</v>
      </c>
      <c r="S980" s="2" t="s">
        <v>6370</v>
      </c>
      <c r="T980" s="2" t="s">
        <v>1269</v>
      </c>
      <c r="U980" s="2" t="s">
        <v>74</v>
      </c>
      <c r="V980" s="5" t="n">
        <v>300</v>
      </c>
      <c r="W980" s="2"/>
      <c r="X980" s="2" t="s">
        <v>1108</v>
      </c>
      <c r="Y980" s="5" t="s">
        <v>309</v>
      </c>
      <c r="Z980" s="2" t="s">
        <v>6371</v>
      </c>
      <c r="AA980" s="6" t="s">
        <v>6372</v>
      </c>
    </row>
    <row r="981" customFormat="false" ht="180.55" hidden="false" customHeight="false" outlineLevel="0" collapsed="false">
      <c r="A981" s="5" t="s">
        <v>6373</v>
      </c>
      <c r="B981" s="2" t="s">
        <v>6374</v>
      </c>
      <c r="C981" s="5" t="s">
        <v>2245</v>
      </c>
      <c r="D981" s="5" t="s">
        <v>4760</v>
      </c>
      <c r="E981" s="2" t="s">
        <v>100</v>
      </c>
      <c r="F981" s="5" t="s">
        <v>490</v>
      </c>
      <c r="G981" s="5" t="n">
        <v>7</v>
      </c>
      <c r="H981" s="5" t="s">
        <v>89</v>
      </c>
      <c r="I981" s="5" t="s">
        <v>64</v>
      </c>
      <c r="J981" s="5" t="s">
        <v>65</v>
      </c>
      <c r="K981" s="5" t="s">
        <v>66</v>
      </c>
      <c r="L981" s="2" t="s">
        <v>100</v>
      </c>
      <c r="M981" s="2" t="s">
        <v>1279</v>
      </c>
      <c r="N981" s="2" t="s">
        <v>3232</v>
      </c>
      <c r="O981" s="2" t="s">
        <v>1105</v>
      </c>
      <c r="P981" s="2"/>
      <c r="Q981" s="5" t="n">
        <v>1</v>
      </c>
      <c r="R981" s="2" t="s">
        <v>71</v>
      </c>
      <c r="S981" s="2" t="s">
        <v>6375</v>
      </c>
      <c r="T981" s="2" t="s">
        <v>1176</v>
      </c>
      <c r="U981" s="2" t="s">
        <v>74</v>
      </c>
      <c r="V981" s="5" t="n">
        <v>300</v>
      </c>
      <c r="W981" s="2"/>
      <c r="X981" s="2" t="s">
        <v>1108</v>
      </c>
      <c r="Y981" s="5" t="s">
        <v>309</v>
      </c>
      <c r="Z981" s="2" t="s">
        <v>6376</v>
      </c>
      <c r="AA981" s="6" t="s">
        <v>6377</v>
      </c>
    </row>
    <row r="982" customFormat="false" ht="68.65" hidden="false" customHeight="false" outlineLevel="0" collapsed="false">
      <c r="A982" s="5" t="s">
        <v>6378</v>
      </c>
      <c r="B982" s="2" t="s">
        <v>6379</v>
      </c>
      <c r="C982" s="5" t="s">
        <v>2245</v>
      </c>
      <c r="D982" s="5" t="s">
        <v>4760</v>
      </c>
      <c r="E982" s="2" t="s">
        <v>100</v>
      </c>
      <c r="F982" s="5" t="s">
        <v>62</v>
      </c>
      <c r="G982" s="5" t="n">
        <v>7</v>
      </c>
      <c r="H982" s="5" t="s">
        <v>89</v>
      </c>
      <c r="I982" s="5" t="s">
        <v>64</v>
      </c>
      <c r="J982" s="5" t="s">
        <v>65</v>
      </c>
      <c r="K982" s="5" t="s">
        <v>66</v>
      </c>
      <c r="L982" s="2" t="s">
        <v>100</v>
      </c>
      <c r="M982" s="2" t="s">
        <v>361</v>
      </c>
      <c r="N982" s="2" t="s">
        <v>3232</v>
      </c>
      <c r="O982" s="2" t="s">
        <v>6291</v>
      </c>
      <c r="P982" s="2"/>
      <c r="Q982" s="5" t="n">
        <v>1</v>
      </c>
      <c r="R982" s="2" t="s">
        <v>71</v>
      </c>
      <c r="S982" s="2" t="s">
        <v>6380</v>
      </c>
      <c r="T982" s="2" t="s">
        <v>6381</v>
      </c>
      <c r="U982" s="2" t="s">
        <v>74</v>
      </c>
      <c r="V982" s="5" t="n">
        <v>300</v>
      </c>
      <c r="W982" s="2"/>
      <c r="X982" s="2" t="s">
        <v>6294</v>
      </c>
      <c r="Y982" s="5"/>
      <c r="Z982" s="2" t="s">
        <v>6382</v>
      </c>
      <c r="AA982" s="6" t="s">
        <v>6383</v>
      </c>
    </row>
    <row r="983" customFormat="false" ht="46.25" hidden="false" customHeight="false" outlineLevel="0" collapsed="false">
      <c r="A983" s="5" t="s">
        <v>6384</v>
      </c>
      <c r="B983" s="2" t="s">
        <v>6385</v>
      </c>
      <c r="C983" s="5" t="s">
        <v>2128</v>
      </c>
      <c r="D983" s="5" t="s">
        <v>4760</v>
      </c>
      <c r="E983" s="2" t="s">
        <v>2079</v>
      </c>
      <c r="F983" s="5" t="s">
        <v>62</v>
      </c>
      <c r="G983" s="5" t="n">
        <v>7</v>
      </c>
      <c r="H983" s="5" t="s">
        <v>89</v>
      </c>
      <c r="I983" s="5" t="s">
        <v>64</v>
      </c>
      <c r="J983" s="5" t="s">
        <v>65</v>
      </c>
      <c r="K983" s="5" t="s">
        <v>66</v>
      </c>
      <c r="L983" s="2" t="s">
        <v>2079</v>
      </c>
      <c r="M983" s="2" t="s">
        <v>3856</v>
      </c>
      <c r="N983" s="2" t="s">
        <v>367</v>
      </c>
      <c r="O983" s="2" t="s">
        <v>1105</v>
      </c>
      <c r="P983" s="2"/>
      <c r="Q983" s="5" t="n">
        <v>1</v>
      </c>
      <c r="R983" s="2" t="s">
        <v>71</v>
      </c>
      <c r="S983" s="2" t="s">
        <v>6386</v>
      </c>
      <c r="T983" s="2" t="s">
        <v>1139</v>
      </c>
      <c r="U983" s="2" t="s">
        <v>74</v>
      </c>
      <c r="V983" s="5" t="n">
        <v>300</v>
      </c>
      <c r="W983" s="2"/>
      <c r="X983" s="2" t="s">
        <v>1108</v>
      </c>
      <c r="Y983" s="5" t="s">
        <v>309</v>
      </c>
      <c r="Z983" s="2" t="s">
        <v>6387</v>
      </c>
      <c r="AA983" s="6" t="s">
        <v>6388</v>
      </c>
    </row>
    <row r="984" customFormat="false" ht="46.25" hidden="false" customHeight="false" outlineLevel="0" collapsed="false">
      <c r="A984" s="5" t="s">
        <v>6389</v>
      </c>
      <c r="B984" s="2" t="s">
        <v>6390</v>
      </c>
      <c r="C984" s="5" t="s">
        <v>2128</v>
      </c>
      <c r="D984" s="5" t="s">
        <v>4760</v>
      </c>
      <c r="E984" s="2" t="s">
        <v>2079</v>
      </c>
      <c r="F984" s="5" t="s">
        <v>62</v>
      </c>
      <c r="G984" s="5" t="n">
        <v>9</v>
      </c>
      <c r="H984" s="5" t="s">
        <v>63</v>
      </c>
      <c r="I984" s="5" t="s">
        <v>64</v>
      </c>
      <c r="J984" s="5" t="s">
        <v>65</v>
      </c>
      <c r="K984" s="5" t="s">
        <v>66</v>
      </c>
      <c r="L984" s="2" t="s">
        <v>2079</v>
      </c>
      <c r="M984" s="2" t="s">
        <v>6391</v>
      </c>
      <c r="N984" s="2" t="s">
        <v>415</v>
      </c>
      <c r="O984" s="2" t="s">
        <v>416</v>
      </c>
      <c r="P984" s="2"/>
      <c r="Q984" s="5" t="n">
        <v>1</v>
      </c>
      <c r="R984" s="2" t="s">
        <v>71</v>
      </c>
      <c r="S984" s="2" t="s">
        <v>6392</v>
      </c>
      <c r="T984" s="2" t="s">
        <v>3720</v>
      </c>
      <c r="U984" s="2" t="s">
        <v>74</v>
      </c>
      <c r="V984" s="5" t="n">
        <v>300</v>
      </c>
      <c r="W984" s="2"/>
      <c r="X984" s="2" t="s">
        <v>419</v>
      </c>
      <c r="Y984" s="5"/>
      <c r="Z984" s="2" t="s">
        <v>6393</v>
      </c>
      <c r="AA984" s="6" t="s">
        <v>6394</v>
      </c>
    </row>
    <row r="985" customFormat="false" ht="79.85" hidden="false" customHeight="false" outlineLevel="0" collapsed="false">
      <c r="A985" s="5" t="s">
        <v>6395</v>
      </c>
      <c r="B985" s="2" t="s">
        <v>6396</v>
      </c>
      <c r="C985" s="5" t="s">
        <v>2245</v>
      </c>
      <c r="D985" s="5" t="s">
        <v>4760</v>
      </c>
      <c r="E985" s="2" t="s">
        <v>2079</v>
      </c>
      <c r="F985" s="5" t="s">
        <v>490</v>
      </c>
      <c r="G985" s="5" t="n">
        <v>7</v>
      </c>
      <c r="H985" s="5" t="s">
        <v>89</v>
      </c>
      <c r="I985" s="5" t="s">
        <v>64</v>
      </c>
      <c r="J985" s="5" t="s">
        <v>65</v>
      </c>
      <c r="K985" s="5" t="s">
        <v>66</v>
      </c>
      <c r="L985" s="2" t="s">
        <v>2079</v>
      </c>
      <c r="M985" s="2" t="s">
        <v>3408</v>
      </c>
      <c r="N985" s="2" t="s">
        <v>3232</v>
      </c>
      <c r="O985" s="2" t="s">
        <v>1105</v>
      </c>
      <c r="P985" s="2"/>
      <c r="Q985" s="5" t="n">
        <v>1</v>
      </c>
      <c r="R985" s="2" t="s">
        <v>71</v>
      </c>
      <c r="S985" s="2" t="s">
        <v>6397</v>
      </c>
      <c r="T985" s="2" t="s">
        <v>1931</v>
      </c>
      <c r="U985" s="2" t="s">
        <v>74</v>
      </c>
      <c r="V985" s="5" t="n">
        <v>300</v>
      </c>
      <c r="W985" s="2"/>
      <c r="X985" s="2" t="s">
        <v>1108</v>
      </c>
      <c r="Y985" s="5" t="s">
        <v>309</v>
      </c>
      <c r="Z985" s="2" t="s">
        <v>6398</v>
      </c>
      <c r="AA985" s="6" t="s">
        <v>6399</v>
      </c>
    </row>
    <row r="986" customFormat="false" ht="79.85" hidden="false" customHeight="false" outlineLevel="0" collapsed="false">
      <c r="A986" s="5" t="s">
        <v>6400</v>
      </c>
      <c r="B986" s="2" t="s">
        <v>6401</v>
      </c>
      <c r="C986" s="5" t="s">
        <v>2245</v>
      </c>
      <c r="D986" s="5" t="s">
        <v>4760</v>
      </c>
      <c r="E986" s="2" t="s">
        <v>100</v>
      </c>
      <c r="F986" s="5" t="s">
        <v>62</v>
      </c>
      <c r="G986" s="5" t="n">
        <v>3</v>
      </c>
      <c r="H986" s="5" t="s">
        <v>817</v>
      </c>
      <c r="I986" s="5" t="s">
        <v>64</v>
      </c>
      <c r="J986" s="5" t="s">
        <v>65</v>
      </c>
      <c r="K986" s="5" t="s">
        <v>66</v>
      </c>
      <c r="L986" s="2" t="s">
        <v>100</v>
      </c>
      <c r="M986" s="2" t="s">
        <v>491</v>
      </c>
      <c r="N986" s="2" t="s">
        <v>3129</v>
      </c>
      <c r="O986" s="2" t="s">
        <v>3130</v>
      </c>
      <c r="P986" s="2"/>
      <c r="Q986" s="5" t="n">
        <v>1</v>
      </c>
      <c r="R986" s="2" t="s">
        <v>71</v>
      </c>
      <c r="S986" s="2" t="s">
        <v>6402</v>
      </c>
      <c r="T986" s="2" t="s">
        <v>3132</v>
      </c>
      <c r="U986" s="2" t="s">
        <v>74</v>
      </c>
      <c r="V986" s="5" t="n">
        <v>300</v>
      </c>
      <c r="W986" s="2"/>
      <c r="X986" s="2" t="s">
        <v>3133</v>
      </c>
      <c r="Y986" s="5" t="s">
        <v>3134</v>
      </c>
      <c r="Z986" s="2" t="s">
        <v>6403</v>
      </c>
      <c r="AA986" s="6" t="s">
        <v>6404</v>
      </c>
    </row>
    <row r="987" customFormat="false" ht="91" hidden="false" customHeight="false" outlineLevel="0" collapsed="false">
      <c r="A987" s="5" t="s">
        <v>6405</v>
      </c>
      <c r="B987" s="2" t="s">
        <v>6406</v>
      </c>
      <c r="C987" s="5" t="s">
        <v>2245</v>
      </c>
      <c r="D987" s="5" t="s">
        <v>4760</v>
      </c>
      <c r="E987" s="2" t="s">
        <v>100</v>
      </c>
      <c r="F987" s="5" t="s">
        <v>62</v>
      </c>
      <c r="G987" s="5" t="n">
        <v>7</v>
      </c>
      <c r="H987" s="5" t="s">
        <v>89</v>
      </c>
      <c r="I987" s="5" t="s">
        <v>64</v>
      </c>
      <c r="J987" s="5" t="s">
        <v>65</v>
      </c>
      <c r="K987" s="5" t="s">
        <v>66</v>
      </c>
      <c r="L987" s="2" t="s">
        <v>100</v>
      </c>
      <c r="M987" s="2" t="s">
        <v>304</v>
      </c>
      <c r="N987" s="2" t="s">
        <v>3232</v>
      </c>
      <c r="O987" s="2" t="s">
        <v>1105</v>
      </c>
      <c r="P987" s="2"/>
      <c r="Q987" s="5" t="n">
        <v>1</v>
      </c>
      <c r="R987" s="2" t="s">
        <v>71</v>
      </c>
      <c r="S987" s="2" t="s">
        <v>6407</v>
      </c>
      <c r="T987" s="2" t="s">
        <v>1176</v>
      </c>
      <c r="U987" s="2" t="s">
        <v>74</v>
      </c>
      <c r="V987" s="5" t="n">
        <v>300</v>
      </c>
      <c r="W987" s="2"/>
      <c r="X987" s="2" t="s">
        <v>1108</v>
      </c>
      <c r="Y987" s="5" t="s">
        <v>309</v>
      </c>
      <c r="Z987" s="2" t="s">
        <v>6408</v>
      </c>
      <c r="AA987" s="6" t="s">
        <v>6409</v>
      </c>
    </row>
    <row r="988" customFormat="false" ht="68.65" hidden="false" customHeight="false" outlineLevel="0" collapsed="false">
      <c r="A988" s="5" t="s">
        <v>6410</v>
      </c>
      <c r="B988" s="2" t="s">
        <v>6411</v>
      </c>
      <c r="C988" s="5" t="s">
        <v>2245</v>
      </c>
      <c r="D988" s="5" t="s">
        <v>4760</v>
      </c>
      <c r="E988" s="2" t="s">
        <v>2079</v>
      </c>
      <c r="F988" s="5" t="s">
        <v>62</v>
      </c>
      <c r="G988" s="5" t="n">
        <v>5</v>
      </c>
      <c r="H988" s="5" t="s">
        <v>89</v>
      </c>
      <c r="I988" s="5" t="s">
        <v>64</v>
      </c>
      <c r="J988" s="5" t="s">
        <v>65</v>
      </c>
      <c r="K988" s="5" t="s">
        <v>66</v>
      </c>
      <c r="L988" s="2" t="s">
        <v>2079</v>
      </c>
      <c r="M988" s="2" t="s">
        <v>3139</v>
      </c>
      <c r="N988" s="2" t="s">
        <v>3129</v>
      </c>
      <c r="O988" s="2" t="s">
        <v>3130</v>
      </c>
      <c r="P988" s="2"/>
      <c r="Q988" s="5" t="n">
        <v>1</v>
      </c>
      <c r="R988" s="2" t="s">
        <v>71</v>
      </c>
      <c r="S988" s="2" t="s">
        <v>6412</v>
      </c>
      <c r="T988" s="2" t="s">
        <v>3132</v>
      </c>
      <c r="U988" s="2" t="s">
        <v>74</v>
      </c>
      <c r="V988" s="5" t="n">
        <v>300</v>
      </c>
      <c r="W988" s="2"/>
      <c r="X988" s="2" t="s">
        <v>3133</v>
      </c>
      <c r="Y988" s="5" t="s">
        <v>3134</v>
      </c>
      <c r="Z988" s="2" t="s">
        <v>6413</v>
      </c>
      <c r="AA988" s="6" t="s">
        <v>6414</v>
      </c>
    </row>
    <row r="989" customFormat="false" ht="113.4" hidden="false" customHeight="false" outlineLevel="0" collapsed="false">
      <c r="A989" s="5" t="s">
        <v>6415</v>
      </c>
      <c r="B989" s="2" t="s">
        <v>6416</v>
      </c>
      <c r="C989" s="5" t="s">
        <v>2245</v>
      </c>
      <c r="D989" s="5" t="s">
        <v>4760</v>
      </c>
      <c r="E989" s="2" t="s">
        <v>100</v>
      </c>
      <c r="F989" s="5" t="s">
        <v>490</v>
      </c>
      <c r="G989" s="5" t="n">
        <v>7</v>
      </c>
      <c r="H989" s="5" t="s">
        <v>89</v>
      </c>
      <c r="I989" s="5" t="s">
        <v>64</v>
      </c>
      <c r="J989" s="5" t="s">
        <v>65</v>
      </c>
      <c r="K989" s="5" t="s">
        <v>66</v>
      </c>
      <c r="L989" s="2" t="s">
        <v>100</v>
      </c>
      <c r="M989" s="2" t="s">
        <v>304</v>
      </c>
      <c r="N989" s="2" t="s">
        <v>3232</v>
      </c>
      <c r="O989" s="2" t="s">
        <v>368</v>
      </c>
      <c r="P989" s="2"/>
      <c r="Q989" s="5" t="n">
        <v>1</v>
      </c>
      <c r="R989" s="2" t="s">
        <v>71</v>
      </c>
      <c r="S989" s="2" t="s">
        <v>6417</v>
      </c>
      <c r="T989" s="2" t="s">
        <v>1477</v>
      </c>
      <c r="U989" s="2" t="s">
        <v>74</v>
      </c>
      <c r="V989" s="5" t="n">
        <v>300</v>
      </c>
      <c r="W989" s="2"/>
      <c r="X989" s="2" t="s">
        <v>371</v>
      </c>
      <c r="Y989" s="5" t="s">
        <v>372</v>
      </c>
      <c r="Z989" s="2" t="s">
        <v>6418</v>
      </c>
      <c r="AA989" s="6" t="s">
        <v>6419</v>
      </c>
    </row>
    <row r="990" customFormat="false" ht="46.25" hidden="false" customHeight="false" outlineLevel="0" collapsed="false">
      <c r="A990" s="5" t="s">
        <v>6420</v>
      </c>
      <c r="B990" s="2" t="s">
        <v>6421</v>
      </c>
      <c r="C990" s="5" t="s">
        <v>2128</v>
      </c>
      <c r="D990" s="5" t="s">
        <v>4760</v>
      </c>
      <c r="E990" s="2" t="s">
        <v>2079</v>
      </c>
      <c r="F990" s="5" t="s">
        <v>62</v>
      </c>
      <c r="G990" s="5" t="n">
        <v>7</v>
      </c>
      <c r="H990" s="5" t="s">
        <v>89</v>
      </c>
      <c r="I990" s="5" t="s">
        <v>64</v>
      </c>
      <c r="J990" s="5" t="s">
        <v>65</v>
      </c>
      <c r="K990" s="5" t="s">
        <v>66</v>
      </c>
      <c r="L990" s="2" t="s">
        <v>2079</v>
      </c>
      <c r="M990" s="2" t="s">
        <v>6319</v>
      </c>
      <c r="N990" s="2" t="s">
        <v>367</v>
      </c>
      <c r="O990" s="2" t="s">
        <v>1105</v>
      </c>
      <c r="P990" s="2"/>
      <c r="Q990" s="5" t="n">
        <v>1</v>
      </c>
      <c r="R990" s="2" t="s">
        <v>71</v>
      </c>
      <c r="S990" s="2" t="s">
        <v>6422</v>
      </c>
      <c r="T990" s="2" t="s">
        <v>1139</v>
      </c>
      <c r="U990" s="2" t="s">
        <v>74</v>
      </c>
      <c r="V990" s="5" t="n">
        <v>300</v>
      </c>
      <c r="W990" s="2"/>
      <c r="X990" s="2" t="s">
        <v>1108</v>
      </c>
      <c r="Y990" s="5" t="s">
        <v>309</v>
      </c>
      <c r="Z990" s="2" t="s">
        <v>6423</v>
      </c>
      <c r="AA990" s="6" t="s">
        <v>6424</v>
      </c>
    </row>
    <row r="991" customFormat="false" ht="68.65" hidden="false" customHeight="false" outlineLevel="0" collapsed="false">
      <c r="A991" s="5" t="s">
        <v>6425</v>
      </c>
      <c r="B991" s="2" t="s">
        <v>6426</v>
      </c>
      <c r="C991" s="5" t="s">
        <v>2245</v>
      </c>
      <c r="D991" s="5" t="s">
        <v>4760</v>
      </c>
      <c r="E991" s="2" t="s">
        <v>2079</v>
      </c>
      <c r="F991" s="5" t="s">
        <v>490</v>
      </c>
      <c r="G991" s="5" t="n">
        <v>7</v>
      </c>
      <c r="H991" s="5" t="s">
        <v>89</v>
      </c>
      <c r="I991" s="5" t="s">
        <v>64</v>
      </c>
      <c r="J991" s="5" t="s">
        <v>65</v>
      </c>
      <c r="K991" s="5" t="s">
        <v>66</v>
      </c>
      <c r="L991" s="2" t="s">
        <v>2079</v>
      </c>
      <c r="M991" s="2" t="s">
        <v>3408</v>
      </c>
      <c r="N991" s="2" t="s">
        <v>3232</v>
      </c>
      <c r="O991" s="2" t="s">
        <v>1105</v>
      </c>
      <c r="P991" s="2"/>
      <c r="Q991" s="5" t="n">
        <v>1</v>
      </c>
      <c r="R991" s="2" t="s">
        <v>71</v>
      </c>
      <c r="S991" s="2" t="s">
        <v>6427</v>
      </c>
      <c r="T991" s="2" t="s">
        <v>1169</v>
      </c>
      <c r="U991" s="2" t="s">
        <v>74</v>
      </c>
      <c r="V991" s="5" t="n">
        <v>300</v>
      </c>
      <c r="W991" s="2"/>
      <c r="X991" s="2" t="s">
        <v>1108</v>
      </c>
      <c r="Y991" s="5" t="s">
        <v>309</v>
      </c>
      <c r="Z991" s="2" t="s">
        <v>6428</v>
      </c>
      <c r="AA991" s="6" t="s">
        <v>6429</v>
      </c>
    </row>
    <row r="992" customFormat="false" ht="57.45" hidden="false" customHeight="false" outlineLevel="0" collapsed="false">
      <c r="A992" s="5" t="s">
        <v>6430</v>
      </c>
      <c r="B992" s="2" t="s">
        <v>6431</v>
      </c>
      <c r="C992" s="5" t="s">
        <v>2128</v>
      </c>
      <c r="D992" s="5" t="s">
        <v>4760</v>
      </c>
      <c r="E992" s="2" t="s">
        <v>2079</v>
      </c>
      <c r="F992" s="5" t="s">
        <v>62</v>
      </c>
      <c r="G992" s="5" t="n">
        <v>7</v>
      </c>
      <c r="H992" s="5" t="s">
        <v>89</v>
      </c>
      <c r="I992" s="5" t="s">
        <v>64</v>
      </c>
      <c r="J992" s="5" t="s">
        <v>65</v>
      </c>
      <c r="K992" s="5" t="s">
        <v>66</v>
      </c>
      <c r="L992" s="2" t="s">
        <v>2079</v>
      </c>
      <c r="M992" s="2" t="s">
        <v>6432</v>
      </c>
      <c r="N992" s="2" t="s">
        <v>367</v>
      </c>
      <c r="O992" s="2" t="s">
        <v>1105</v>
      </c>
      <c r="P992" s="2"/>
      <c r="Q992" s="5" t="n">
        <v>1</v>
      </c>
      <c r="R992" s="2" t="s">
        <v>71</v>
      </c>
      <c r="S992" s="2" t="s">
        <v>6433</v>
      </c>
      <c r="T992" s="2" t="s">
        <v>1139</v>
      </c>
      <c r="U992" s="2" t="s">
        <v>74</v>
      </c>
      <c r="V992" s="5" t="n">
        <v>300</v>
      </c>
      <c r="W992" s="2"/>
      <c r="X992" s="2" t="s">
        <v>1108</v>
      </c>
      <c r="Y992" s="5" t="s">
        <v>309</v>
      </c>
      <c r="Z992" s="2" t="s">
        <v>6434</v>
      </c>
      <c r="AA992" s="6" t="s">
        <v>6435</v>
      </c>
    </row>
    <row r="993" customFormat="false" ht="68.65" hidden="false" customHeight="false" outlineLevel="0" collapsed="false">
      <c r="A993" s="5" t="s">
        <v>6436</v>
      </c>
      <c r="B993" s="2" t="s">
        <v>6437</v>
      </c>
      <c r="C993" s="5" t="s">
        <v>2128</v>
      </c>
      <c r="D993" s="5" t="s">
        <v>4760</v>
      </c>
      <c r="E993" s="2" t="s">
        <v>2079</v>
      </c>
      <c r="F993" s="5" t="s">
        <v>62</v>
      </c>
      <c r="G993" s="5" t="n">
        <v>7</v>
      </c>
      <c r="H993" s="5" t="s">
        <v>89</v>
      </c>
      <c r="I993" s="5" t="s">
        <v>64</v>
      </c>
      <c r="J993" s="5" t="s">
        <v>65</v>
      </c>
      <c r="K993" s="5" t="s">
        <v>66</v>
      </c>
      <c r="L993" s="2" t="s">
        <v>2079</v>
      </c>
      <c r="M993" s="2" t="s">
        <v>4805</v>
      </c>
      <c r="N993" s="2" t="s">
        <v>367</v>
      </c>
      <c r="O993" s="2" t="s">
        <v>1105</v>
      </c>
      <c r="P993" s="2"/>
      <c r="Q993" s="5" t="n">
        <v>1</v>
      </c>
      <c r="R993" s="2" t="s">
        <v>71</v>
      </c>
      <c r="S993" s="2" t="s">
        <v>6438</v>
      </c>
      <c r="T993" s="2" t="s">
        <v>6439</v>
      </c>
      <c r="U993" s="2" t="s">
        <v>74</v>
      </c>
      <c r="V993" s="5" t="n">
        <v>300</v>
      </c>
      <c r="W993" s="2"/>
      <c r="X993" s="2" t="s">
        <v>1108</v>
      </c>
      <c r="Y993" s="5" t="s">
        <v>309</v>
      </c>
      <c r="Z993" s="2" t="s">
        <v>6440</v>
      </c>
      <c r="AA993" s="6" t="s">
        <v>6441</v>
      </c>
    </row>
    <row r="994" customFormat="false" ht="79.85" hidden="false" customHeight="false" outlineLevel="0" collapsed="false">
      <c r="A994" s="5" t="s">
        <v>6442</v>
      </c>
      <c r="B994" s="2" t="s">
        <v>6443</v>
      </c>
      <c r="C994" s="5" t="s">
        <v>2245</v>
      </c>
      <c r="D994" s="5" t="s">
        <v>4760</v>
      </c>
      <c r="E994" s="2" t="s">
        <v>2079</v>
      </c>
      <c r="F994" s="5" t="s">
        <v>62</v>
      </c>
      <c r="G994" s="5" t="n">
        <v>5</v>
      </c>
      <c r="H994" s="5" t="s">
        <v>89</v>
      </c>
      <c r="I994" s="5" t="s">
        <v>64</v>
      </c>
      <c r="J994" s="5" t="s">
        <v>65</v>
      </c>
      <c r="K994" s="5" t="s">
        <v>66</v>
      </c>
      <c r="L994" s="2" t="s">
        <v>2079</v>
      </c>
      <c r="M994" s="2" t="s">
        <v>3139</v>
      </c>
      <c r="N994" s="2" t="s">
        <v>6222</v>
      </c>
      <c r="O994" s="2" t="s">
        <v>6444</v>
      </c>
      <c r="P994" s="2"/>
      <c r="Q994" s="5" t="n">
        <v>1</v>
      </c>
      <c r="R994" s="2" t="s">
        <v>71</v>
      </c>
      <c r="S994" s="2" t="s">
        <v>6445</v>
      </c>
      <c r="T994" s="2" t="s">
        <v>6446</v>
      </c>
      <c r="U994" s="2" t="s">
        <v>74</v>
      </c>
      <c r="V994" s="5" t="n">
        <v>300</v>
      </c>
      <c r="W994" s="2"/>
      <c r="X994" s="2" t="s">
        <v>6447</v>
      </c>
      <c r="Y994" s="5"/>
      <c r="Z994" s="2" t="s">
        <v>6448</v>
      </c>
      <c r="AA994" s="6" t="s">
        <v>6449</v>
      </c>
    </row>
    <row r="995" customFormat="false" ht="46.25" hidden="false" customHeight="false" outlineLevel="0" collapsed="false">
      <c r="A995" s="5" t="s">
        <v>6450</v>
      </c>
      <c r="B995" s="2" t="s">
        <v>6451</v>
      </c>
      <c r="C995" s="5" t="s">
        <v>2128</v>
      </c>
      <c r="D995" s="5" t="s">
        <v>4760</v>
      </c>
      <c r="E995" s="2" t="s">
        <v>2079</v>
      </c>
      <c r="F995" s="5" t="s">
        <v>62</v>
      </c>
      <c r="G995" s="5" t="n">
        <v>5</v>
      </c>
      <c r="H995" s="5" t="s">
        <v>89</v>
      </c>
      <c r="I995" s="5" t="s">
        <v>64</v>
      </c>
      <c r="J995" s="5" t="s">
        <v>65</v>
      </c>
      <c r="K995" s="5" t="s">
        <v>66</v>
      </c>
      <c r="L995" s="2" t="s">
        <v>2079</v>
      </c>
      <c r="M995" s="2" t="s">
        <v>3139</v>
      </c>
      <c r="N995" s="2" t="s">
        <v>367</v>
      </c>
      <c r="O995" s="2" t="s">
        <v>1105</v>
      </c>
      <c r="P995" s="2"/>
      <c r="Q995" s="5" t="n">
        <v>1</v>
      </c>
      <c r="R995" s="2" t="s">
        <v>71</v>
      </c>
      <c r="S995" s="2" t="s">
        <v>6452</v>
      </c>
      <c r="T995" s="2" t="s">
        <v>1176</v>
      </c>
      <c r="U995" s="2" t="s">
        <v>74</v>
      </c>
      <c r="V995" s="5" t="n">
        <v>300</v>
      </c>
      <c r="W995" s="2"/>
      <c r="X995" s="2" t="s">
        <v>1108</v>
      </c>
      <c r="Y995" s="5" t="s">
        <v>309</v>
      </c>
      <c r="Z995" s="2" t="s">
        <v>6453</v>
      </c>
      <c r="AA995" s="6" t="s">
        <v>6454</v>
      </c>
    </row>
    <row r="996" customFormat="false" ht="46.25" hidden="false" customHeight="false" outlineLevel="0" collapsed="false">
      <c r="A996" s="5" t="s">
        <v>6455</v>
      </c>
      <c r="B996" s="2" t="s">
        <v>6456</v>
      </c>
      <c r="C996" s="5" t="s">
        <v>2128</v>
      </c>
      <c r="D996" s="5" t="s">
        <v>4760</v>
      </c>
      <c r="E996" s="2" t="s">
        <v>2079</v>
      </c>
      <c r="F996" s="5" t="s">
        <v>62</v>
      </c>
      <c r="G996" s="5" t="n">
        <v>7</v>
      </c>
      <c r="H996" s="5" t="s">
        <v>89</v>
      </c>
      <c r="I996" s="5" t="s">
        <v>64</v>
      </c>
      <c r="J996" s="5" t="s">
        <v>65</v>
      </c>
      <c r="K996" s="5" t="s">
        <v>66</v>
      </c>
      <c r="L996" s="2" t="s">
        <v>2079</v>
      </c>
      <c r="M996" s="2" t="s">
        <v>3139</v>
      </c>
      <c r="N996" s="2" t="s">
        <v>367</v>
      </c>
      <c r="O996" s="2" t="s">
        <v>1105</v>
      </c>
      <c r="P996" s="2"/>
      <c r="Q996" s="5" t="n">
        <v>1</v>
      </c>
      <c r="R996" s="2" t="s">
        <v>71</v>
      </c>
      <c r="S996" s="2" t="s">
        <v>6457</v>
      </c>
      <c r="T996" s="2" t="s">
        <v>1176</v>
      </c>
      <c r="U996" s="2" t="s">
        <v>74</v>
      </c>
      <c r="V996" s="5" t="n">
        <v>300</v>
      </c>
      <c r="W996" s="2"/>
      <c r="X996" s="2" t="s">
        <v>1108</v>
      </c>
      <c r="Y996" s="5" t="s">
        <v>309</v>
      </c>
      <c r="Z996" s="2" t="s">
        <v>6458</v>
      </c>
      <c r="AA996" s="6" t="s">
        <v>6459</v>
      </c>
    </row>
    <row r="997" customFormat="false" ht="46.25" hidden="false" customHeight="false" outlineLevel="0" collapsed="false">
      <c r="A997" s="5" t="s">
        <v>6460</v>
      </c>
      <c r="B997" s="2" t="s">
        <v>6461</v>
      </c>
      <c r="C997" s="5" t="s">
        <v>2128</v>
      </c>
      <c r="D997" s="5" t="s">
        <v>4760</v>
      </c>
      <c r="E997" s="2" t="s">
        <v>2079</v>
      </c>
      <c r="F997" s="5" t="s">
        <v>62</v>
      </c>
      <c r="G997" s="5" t="n">
        <v>3</v>
      </c>
      <c r="H997" s="5" t="s">
        <v>817</v>
      </c>
      <c r="I997" s="5" t="s">
        <v>64</v>
      </c>
      <c r="J997" s="5" t="s">
        <v>65</v>
      </c>
      <c r="K997" s="5" t="s">
        <v>66</v>
      </c>
      <c r="L997" s="2" t="s">
        <v>2079</v>
      </c>
      <c r="M997" s="2" t="s">
        <v>3139</v>
      </c>
      <c r="N997" s="2" t="s">
        <v>367</v>
      </c>
      <c r="O997" s="2" t="s">
        <v>1105</v>
      </c>
      <c r="P997" s="2"/>
      <c r="Q997" s="5" t="n">
        <v>1</v>
      </c>
      <c r="R997" s="2" t="s">
        <v>71</v>
      </c>
      <c r="S997" s="2" t="s">
        <v>6462</v>
      </c>
      <c r="T997" s="2" t="s">
        <v>1176</v>
      </c>
      <c r="U997" s="2" t="s">
        <v>74</v>
      </c>
      <c r="V997" s="5" t="n">
        <v>300</v>
      </c>
      <c r="W997" s="2"/>
      <c r="X997" s="2" t="s">
        <v>1108</v>
      </c>
      <c r="Y997" s="5" t="s">
        <v>309</v>
      </c>
      <c r="Z997" s="2" t="s">
        <v>6463</v>
      </c>
      <c r="AA997" s="6" t="s">
        <v>6464</v>
      </c>
    </row>
    <row r="998" customFormat="false" ht="57.45" hidden="false" customHeight="false" outlineLevel="0" collapsed="false">
      <c r="A998" s="5" t="s">
        <v>6465</v>
      </c>
      <c r="B998" s="2" t="s">
        <v>6466</v>
      </c>
      <c r="C998" s="5" t="s">
        <v>2128</v>
      </c>
      <c r="D998" s="5" t="s">
        <v>4760</v>
      </c>
      <c r="E998" s="2" t="s">
        <v>2079</v>
      </c>
      <c r="F998" s="5" t="s">
        <v>62</v>
      </c>
      <c r="G998" s="5" t="n">
        <v>5</v>
      </c>
      <c r="H998" s="5" t="s">
        <v>89</v>
      </c>
      <c r="I998" s="5" t="s">
        <v>64</v>
      </c>
      <c r="J998" s="5" t="s">
        <v>65</v>
      </c>
      <c r="K998" s="5" t="s">
        <v>66</v>
      </c>
      <c r="L998" s="2" t="s">
        <v>2079</v>
      </c>
      <c r="M998" s="2" t="s">
        <v>6158</v>
      </c>
      <c r="N998" s="2" t="s">
        <v>367</v>
      </c>
      <c r="O998" s="2" t="s">
        <v>1105</v>
      </c>
      <c r="P998" s="2"/>
      <c r="Q998" s="5" t="n">
        <v>1</v>
      </c>
      <c r="R998" s="2" t="s">
        <v>71</v>
      </c>
      <c r="S998" s="2" t="s">
        <v>6467</v>
      </c>
      <c r="T998" s="2" t="s">
        <v>1269</v>
      </c>
      <c r="U998" s="2" t="s">
        <v>74</v>
      </c>
      <c r="V998" s="5" t="n">
        <v>300</v>
      </c>
      <c r="W998" s="2"/>
      <c r="X998" s="2" t="s">
        <v>1108</v>
      </c>
      <c r="Y998" s="5" t="s">
        <v>309</v>
      </c>
      <c r="Z998" s="2" t="s">
        <v>6468</v>
      </c>
      <c r="AA998" s="6" t="s">
        <v>6469</v>
      </c>
    </row>
    <row r="999" customFormat="false" ht="169.4" hidden="false" customHeight="false" outlineLevel="0" collapsed="false">
      <c r="A999" s="5" t="s">
        <v>6470</v>
      </c>
      <c r="B999" s="2" t="s">
        <v>6471</v>
      </c>
      <c r="C999" s="5" t="s">
        <v>2245</v>
      </c>
      <c r="D999" s="5" t="s">
        <v>4760</v>
      </c>
      <c r="E999" s="2" t="s">
        <v>2079</v>
      </c>
      <c r="F999" s="5" t="s">
        <v>490</v>
      </c>
      <c r="G999" s="5" t="n">
        <v>7</v>
      </c>
      <c r="H999" s="5" t="s">
        <v>89</v>
      </c>
      <c r="I999" s="5" t="s">
        <v>64</v>
      </c>
      <c r="J999" s="5" t="s">
        <v>65</v>
      </c>
      <c r="K999" s="5" t="s">
        <v>66</v>
      </c>
      <c r="L999" s="2" t="s">
        <v>2079</v>
      </c>
      <c r="M999" s="2" t="s">
        <v>6158</v>
      </c>
      <c r="N999" s="2" t="s">
        <v>3232</v>
      </c>
      <c r="O999" s="2" t="s">
        <v>1105</v>
      </c>
      <c r="P999" s="2"/>
      <c r="Q999" s="5" t="n">
        <v>1</v>
      </c>
      <c r="R999" s="2" t="s">
        <v>71</v>
      </c>
      <c r="S999" s="2" t="s">
        <v>6472</v>
      </c>
      <c r="T999" s="2" t="s">
        <v>1176</v>
      </c>
      <c r="U999" s="2" t="s">
        <v>74</v>
      </c>
      <c r="V999" s="5" t="n">
        <v>300</v>
      </c>
      <c r="W999" s="2"/>
      <c r="X999" s="2" t="s">
        <v>1108</v>
      </c>
      <c r="Y999" s="5" t="s">
        <v>309</v>
      </c>
      <c r="Z999" s="2" t="s">
        <v>6473</v>
      </c>
      <c r="AA999" s="6" t="s">
        <v>6474</v>
      </c>
    </row>
    <row r="1000" customFormat="false" ht="68.65" hidden="false" customHeight="false" outlineLevel="0" collapsed="false">
      <c r="A1000" s="5" t="s">
        <v>6475</v>
      </c>
      <c r="B1000" s="2" t="s">
        <v>6476</v>
      </c>
      <c r="C1000" s="5" t="s">
        <v>2245</v>
      </c>
      <c r="D1000" s="5" t="s">
        <v>4760</v>
      </c>
      <c r="E1000" s="2" t="s">
        <v>2079</v>
      </c>
      <c r="F1000" s="5" t="s">
        <v>490</v>
      </c>
      <c r="G1000" s="5" t="n">
        <v>9</v>
      </c>
      <c r="H1000" s="5" t="s">
        <v>63</v>
      </c>
      <c r="I1000" s="5" t="s">
        <v>64</v>
      </c>
      <c r="J1000" s="5" t="s">
        <v>65</v>
      </c>
      <c r="K1000" s="5" t="s">
        <v>66</v>
      </c>
      <c r="L1000" s="2" t="s">
        <v>2079</v>
      </c>
      <c r="M1000" s="2" t="s">
        <v>4805</v>
      </c>
      <c r="N1000" s="2" t="s">
        <v>3157</v>
      </c>
      <c r="O1000" s="2" t="s">
        <v>6477</v>
      </c>
      <c r="P1000" s="2"/>
      <c r="Q1000" s="5" t="n">
        <v>1</v>
      </c>
      <c r="R1000" s="2" t="s">
        <v>71</v>
      </c>
      <c r="S1000" s="2" t="s">
        <v>6478</v>
      </c>
      <c r="T1000" s="2" t="s">
        <v>1098</v>
      </c>
      <c r="U1000" s="2" t="s">
        <v>74</v>
      </c>
      <c r="V1000" s="5" t="n">
        <v>300</v>
      </c>
      <c r="W1000" s="2"/>
      <c r="X1000" s="2" t="s">
        <v>2060</v>
      </c>
      <c r="Y1000" s="5"/>
      <c r="Z1000" s="2" t="s">
        <v>6479</v>
      </c>
      <c r="AA1000" s="6" t="s">
        <v>6480</v>
      </c>
    </row>
  </sheetData>
  <hyperlinks>
    <hyperlink ref="AA2" r:id="rId1" display="https://filestore.fortinet.com/docs.fortinet.com/fsiem/Public_Resource_Access/7_6_0/rules/PH_RULE_Azure_Entra_ID_Conditional_Access_Disabled.htm"/>
    <hyperlink ref="AA3" r:id="rId2" display="https://filestore.fortinet.com/docs.fortinet.com/fsiem/Public_Resource_Access/7_6_0/rules/PH_RULE_Azure_Entra_ID_Domain_Authentication_Changed.htm"/>
    <hyperlink ref="AA4" r:id="rId3" display="https://filestore.fortinet.com/docs.fortinet.com/fsiem/Public_Resource_Access/7_6_0/rules/PH_RULE_Azure_Entra_ID_External_User_Added_To_Privileged_Group.htm"/>
    <hyperlink ref="AA5" r:id="rId4" display="https://filestore.fortinet.com/docs.fortinet.com/fsiem/Public_Resource_Access/7_6_0/rules/PH_RULE_Azure_Entra_ID_MFA_Bypass.htm"/>
    <hyperlink ref="AA6" r:id="rId5" display="https://filestore.fortinet.com/docs.fortinet.com/fsiem/Public_Resource_Access/7_6_0/rules/PH_RULE_Azure_Entra_ID_New_Federation_Domain_Added.htm"/>
    <hyperlink ref="AA7" r:id="rId6" display="https://filestore.fortinet.com/docs.fortinet.com/fsiem/Public_Resource_Access/7_6_0/rules/PH_RULE_Azure_Entra_ID_OAuth_Secret_Added.htm"/>
    <hyperlink ref="AA8" r:id="rId7" display="https://filestore.fortinet.com/docs.fortinet.com/fsiem/Public_Resource_Access/7_6_0/rules/PH_RULE_Azure_Entra_ID_User_Added_To_Application_Admin.htm"/>
    <hyperlink ref="AA9" r:id="rId8" display="https://filestore.fortinet.com/docs.fortinet.com/fsiem/Public_Resource_Access/7_6_0/rules/PH_RULE_Azure_Entra_ID_User_Added_To_Exchange_Admin.htm"/>
    <hyperlink ref="AA10" r:id="rId9" display="https://filestore.fortinet.com/docs.fortinet.com/fsiem/Public_Resource_Access/7_6_0/rules/PH_RULE_Azure_Entra_ID_User_Added_To_Global_Admin.htm"/>
    <hyperlink ref="AA11" r:id="rId10" display="https://filestore.fortinet.com/docs.fortinet.com/fsiem/Public_Resource_Access/7_6_0/rules/PH_RULE_Azure_Entra_ID_User_Added_To_Privileged_Role_Admin.htm"/>
    <hyperlink ref="AA12" r:id="rId11" display="https://filestore.fortinet.com/docs.fortinet.com/fsiem/Public_Resource_Access/7_6_0/rules/PH_RULE_Azure_Entra_ID_User_Added_To_Security_Admin.htm"/>
    <hyperlink ref="AA13" r:id="rId12" display="https://filestore.fortinet.com/docs.fortinet.com/fsiem/Public_Resource_Access/7_6_0/rules/PH_RULE_Linux_etc_shadow_access.htm"/>
    <hyperlink ref="AA14" r:id="rId13" display="https://filestore.fortinet.com/docs.fortinet.com/fsiem/Public_Resource_Access/7_6_0/rules/PH_RULE_Linux_Root_Equivalent_Account_Command.htm"/>
    <hyperlink ref="AA15" r:id="rId14" display="https://filestore.fortinet.com/docs.fortinet.com/fsiem/Public_Resource_Access/7_6_0/rules/PH_RULE_Linux_PAM_Configuration_Modified.htm"/>
    <hyperlink ref="AA16" r:id="rId15" display="https://filestore.fortinet.com/docs.fortinet.com/fsiem/Public_Resource_Access/7_6_0/rules/PH_RULE_Win_Account_Created_Added_To_Privileged_Group.htm"/>
    <hyperlink ref="AA17" r:id="rId16" display="https://filestore.fortinet.com/docs.fortinet.com/fsiem/Public_Resource_Access/7_6_0/rules/PH_RULE_Win_ADCS_ESC10_Certificate_Mapping_Config_Command.htm"/>
    <hyperlink ref="AA18" r:id="rId17" display="https://filestore.fortinet.com/docs.fortinet.com/fsiem/Public_Resource_Access/7_6_0/rules/PH_RULE_Win_ADCS_ESC13_OID_Group_Link_Modified.htm"/>
    <hyperlink ref="AA19" r:id="rId18" display="https://filestore.fortinet.com/docs.fortinet.com/fsiem/Public_Resource_Access/7_6_0/rules/PH_RULE_Win_ADCS_ESC14_Explicit_Certificate_Mapping_Modified.htm"/>
    <hyperlink ref="AA20" r:id="rId19" display="https://filestore.fortinet.com/docs.fortinet.com/fsiem/Public_Resource_Access/7_6_0/rules/PH_RULE_Win_ADCS_ESC16_SID_Extension_Disabled_Command.htm"/>
    <hyperlink ref="AA21" r:id="rId20" display="https://filestore.fortinet.com/docs.fortinet.com/fsiem/Public_Resource_Access/7_6_0/rules/PH_RULE_Win_ADCS_ESC2_Any_Purpose_EKU_Added.htm"/>
    <hyperlink ref="AA22" r:id="rId21" display="https://filestore.fortinet.com/docs.fortinet.com/fsiem/Public_Resource_Access/7_6_0/rules/PH_RULE_Win_ADCS_ESC3_Enrollment_Agent_EKU_Added.htm"/>
    <hyperlink ref="AA23" r:id="rId22" display="https://filestore.fortinet.com/docs.fortinet.com/fsiem/Public_Resource_Access/7_6_0/rules/PH_RULE_Win_ADCS_ESC5_PKI_Object_ACL_Modified.htm"/>
    <hyperlink ref="AA24" r:id="rId23" display="https://filestore.fortinet.com/docs.fortinet.com/fsiem/Public_Resource_Access/7_6_0/rules/PH_RULE_Win_ADCS_ESC7_CA_Security_Permissions_Changed.htm"/>
    <hyperlink ref="AA25" r:id="rId24" display="https://filestore.fortinet.com/docs.fortinet.com/fsiem/Public_Resource_Access/7_6_0/rules/PH_RULE_Win_ADCS_Web_Enrollment_Certificate_Request.htm"/>
    <hyperlink ref="AA26" r:id="rId25" display="https://filestore.fortinet.com/docs.fortinet.com/fsiem/Public_Resource_Access/7_6_0/rules/PH_RULE_Win_AdminSDHolder_Modified.htm"/>
    <hyperlink ref="AA27" r:id="rId26" display="https://filestore.fortinet.com/docs.fortinet.com/fsiem/Public_Resource_Access/7_6_0/rules/PH_RULE_Win_Auth_Package_Modified.htm"/>
    <hyperlink ref="AA28" r:id="rId27" display="https://filestore.fortinet.com/docs.fortinet.com/fsiem/Public_Resource_Access/7_6_0/rules/PH_RULE_Win_BloodHound_SharpHound_Execution.htm"/>
    <hyperlink ref="AA29" r:id="rId28" display="https://filestore.fortinet.com/docs.fortinet.com/fsiem/Public_Resource_Access/7_6_0/rules/PH_RULE_Win_CA_Configuration_Changed.htm"/>
    <hyperlink ref="AA30" r:id="rId29" display="https://filestore.fortinet.com/docs.fortinet.com/fsiem/Public_Resource_Access/7_6_0/rules/PH_RULE_Win_Certificate_Template_Modified.htm"/>
    <hyperlink ref="AA31" r:id="rId30" display="https://filestore.fortinet.com/docs.fortinet.com/fsiem/Public_Resource_Access/7_6_0/rules/PH_RULE_Win_Certipy_Credential_Abuse.htm"/>
    <hyperlink ref="AA32" r:id="rId31" display="https://filestore.fortinet.com/docs.fortinet.com/fsiem/Public_Resource_Access/7_6_0/rules/PH_RULE_Win_Comsvcs_MiniDump_LSASS.htm"/>
    <hyperlink ref="AA33" r:id="rId32" display="https://filestore.fortinet.com/docs.fortinet.com/fsiem/Public_Resource_Access/7_6_0/rules/PH_RULE_Win_Domain_Trust_Modified.htm"/>
    <hyperlink ref="AA34" r:id="rId33" display="https://filestore.fortinet.com/docs.fortinet.com/fsiem/Public_Resource_Access/7_6_0/rules/PH_RULE_Win_ESC1_Relevant_Template_Attribute_Modified.htm"/>
    <hyperlink ref="AA35" r:id="rId34" display="https://filestore.fortinet.com/docs.fortinet.com/fsiem/Public_Resource_Access/7_6_0/rules/PH_RULE_Win_ESC4_Certificate_Template_ACL_Modified.htm"/>
    <hyperlink ref="AA36" r:id="rId35" display="https://filestore.fortinet.com/docs.fortinet.com/fsiem/Public_Resource_Access/7_6_0/rules/PH_RULE_Win_ESC6_EDITF_ATTRIBUTESUBJECTALTNAME2_Enabled.htm"/>
    <hyperlink ref="AA37" r:id="rId36" display="https://filestore.fortinet.com/docs.fortinet.com/fsiem/Public_Resource_Access/7_6_0/rules/PH_RULE_Win_Kerberoasting_Multiple_SPNs.htm"/>
    <hyperlink ref="AA38" r:id="rId37" display="https://filestore.fortinet.com/docs.fortinet.com/fsiem/Public_Resource_Access/7_6_0/rules/PH_RULE_Win_KRBTGT_Password_Reset.htm"/>
    <hyperlink ref="AA39" r:id="rId38" display="https://filestore.fortinet.com/docs.fortinet.com/fsiem/Public_Resource_Access/7_6_0/rules/PH_RULE_Win_LaZagne_Credential_Dumping.htm"/>
    <hyperlink ref="AA40" r:id="rId39" display="https://filestore.fortinet.com/docs.fortinet.com/fsiem/Public_Resource_Access/7_6_0/rules/PH_RULE_Win_LSASS_Access_By_Suspicious_Process.htm"/>
    <hyperlink ref="AA41" r:id="rId40" display="https://filestore.fortinet.com/docs.fortinet.com/fsiem/Public_Resource_Access/7_6_0/rules/PH_RULE_Win_Mass_Group_Membership_Changes.htm"/>
    <hyperlink ref="AA42" r:id="rId41" display="https://filestore.fortinet.com/docs.fortinet.com/fsiem/Public_Resource_Access/7_6_0/rules/PH_RULE_Win_Mass_User_Creation_By_One_Actor.htm"/>
    <hyperlink ref="AA43" r:id="rId42" display="https://filestore.fortinet.com/docs.fortinet.com/fsiem/Public_Resource_Access/7_6_0/rules/PH_RULE_Win_Mass_User_Disable_By_One_Actor.htm"/>
    <hyperlink ref="AA44" r:id="rId43" display="https://filestore.fortinet.com/docs.fortinet.com/fsiem/Public_Resource_Access/7_6_0/rules/PH_RULE_Win_Mimikatz_Command.htm"/>
    <hyperlink ref="AA45" r:id="rId44" display="https://filestore.fortinet.com/docs.fortinet.com/fsiem/Public_Resource_Access/7_6_0/rules/PH_RULE_Win_Nanodump_LSASS_Dumping.htm"/>
    <hyperlink ref="AA46" r:id="rId45" display="https://filestore.fortinet.com/docs.fortinet.com/fsiem/Public_Resource_Access/7_6_0/rules/PH_RULE_Win_Procdump_LSASS_Dump.htm"/>
    <hyperlink ref="AA47" r:id="rId46" display="https://filestore.fortinet.com/docs.fortinet.com/fsiem/Public_Resource_Access/7_6_0/rules/PH_RULE_Win_PsExec_Service_Creation.htm"/>
    <hyperlink ref="AA48" r:id="rId47" display="https://filestore.fortinet.com/docs.fortinet.com/fsiem/Public_Resource_Access/7_6_0/rules/PH_RULE_Win_Pypykatz_Credential_Dumping.htm"/>
    <hyperlink ref="AA49" r:id="rId48" display="https://filestore.fortinet.com/docs.fortinet.com/fsiem/Public_Resource_Access/7_6_0/rules/PH_RULE_Win_RBCD_Attribute_Modified.htm"/>
    <hyperlink ref="AA50" r:id="rId49" display="https://filestore.fortinet.com/docs.fortinet.com/fsiem/Public_Resource_Access/7_6_0/rules/PH_RULE_Win_Rubeus_Kerberos_Abuse.htm"/>
    <hyperlink ref="AA51" r:id="rId50" display="https://filestore.fortinet.com/docs.fortinet.com/fsiem/Public_Resource_Access/7_6_0/rules/PH_RULE_Win_SafetyKatz_Credential_Dumping.htm"/>
    <hyperlink ref="AA52" r:id="rId51" display="https://filestore.fortinet.com/docs.fortinet.com/fsiem/Public_Resource_Access/7_6_0/rules/PH_RULE_Win_Schema_Modification.htm"/>
    <hyperlink ref="AA53" r:id="rId52" display="https://filestore.fortinet.com/docs.fortinet.com/fsiem/Public_Resource_Access/7_6_0/rules/PH_RULE_Win_Secretsdump_Execution.htm"/>
    <hyperlink ref="AA54" r:id="rId53" display="https://filestore.fortinet.com/docs.fortinet.com/fsiem/Public_Resource_Access/7_6_0/rules/PH_RULE_Win_Sensitive_Registry_Hive_Save.htm"/>
    <hyperlink ref="AA55" r:id="rId54" display="https://filestore.fortinet.com/docs.fortinet.com/fsiem/Public_Resource_Access/7_6_0/rules/PH_RULE_Win_Shadow_Credentials_KeyCredentialLink_Modified.htm"/>
    <hyperlink ref="AA56" r:id="rId55" display="https://filestore.fortinet.com/docs.fortinet.com/fsiem/Public_Resource_Access/7_6_0/rules/PH_RULE_Win_SSP_Registration.htm"/>
    <hyperlink ref="AA57" r:id="rId56" display="https://filestore.fortinet.com/docs.fortinet.com/fsiem/Public_Resource_Access/7_6_0/rules/PH_RULE_Win_Suspicious_LSASS_Process_Access.htm"/>
    <hyperlink ref="AA58" r:id="rId57" display="https://filestore.fortinet.com/docs.fortinet.com/fsiem/Public_Resource_Access/7_6_0/rules/PH_RULE_Win_Token_Impersonation_Tool.htm"/>
    <hyperlink ref="AA59" r:id="rId58" display="https://filestore.fortinet.com/docs.fortinet.com/fsiem/Public_Resource_Access/7_6_0/rules/PH_RULE_ACCOUNT_LOCKOUT_DOMAIN.htm"/>
    <hyperlink ref="AA60" r:id="rId59" display="https://filestore.fortinet.com/docs.fortinet.com/fsiem/Public_Resource_Access/7_6_0/rules/PH_RULE_ACCOUNT_LOCKOUT_SYSTEM.htm"/>
    <hyperlink ref="AA61" r:id="rId60" display="https://filestore.fortinet.com/docs.fortinet.com/fsiem/Public_Resource_Access/7_6_0/rules/PH_RULE_ACCOUNT_LOCKOUT_NET_DEV.htm"/>
    <hyperlink ref="AA62" r:id="rId61" display="https://filestore.fortinet.com/docs.fortinet.com/fsiem/Public_Resource_Access/7_6_0/rules/PH_RULE_ACCOUNT_LOCKOUT_SERVER.htm"/>
    <hyperlink ref="AA63" r:id="rId62" display="https://filestore.fortinet.com/docs.fortinet.com/fsiem/Public_Resource_Access/7_6_0/rules/PH_RULE_AWS_IAM_Brute_Force_of_Assume_Role_Policy.htm"/>
    <hyperlink ref="AA64" r:id="rId63" display="https://filestore.fortinet.com/docs.fortinet.com/fsiem/Public_Resource_Access/7_6_0/rules/PH_RULE_AWS_IAM_Deactivation_of_MFA_Device.htm"/>
    <hyperlink ref="AA65" r:id="rId64" display="https://filestore.fortinet.com/docs.fortinet.com/fsiem/Public_Resource_Access/7_6_0/rules/PH_RULE_AWS_IAM_Password_Recovery_Requested.htm"/>
    <hyperlink ref="AA66" r:id="rId65" display="https://filestore.fortinet.com/docs.fortinet.com/fsiem/Public_Resource_Access/7_6_0/rules/PH_RULE_AWS_Management_Console_Brute_Force_of_Root_User_Identity.htm"/>
    <hyperlink ref="AA67" r:id="rId66" display="https://filestore.fortinet.com/docs.fortinet.com/fsiem/Public_Resource_Access/7_6_0/rules/PH_RULE_AWS_Root_Login_Without_MFA.htm"/>
    <hyperlink ref="AA68" r:id="rId67" display="https://filestore.fortinet.com/docs.fortinet.com/fsiem/Public_Resource_Access/7_6_0/rules/PH_RULE_AWS_SECHUB_TTP_CREDENTIAL_ACCESS.htm"/>
    <hyperlink ref="AA69" r:id="rId68" display="https://filestore.fortinet.com/docs.fortinet.com/fsiem/Public_Resource_Access/7_6_0/rules/PH_RULE_AWS_SECHUB_TTP_PRIV_ESCALATION.htm"/>
    <hyperlink ref="AA70" r:id="rId69" display="https://filestore.fortinet.com/docs.fortinet.com/fsiem/Public_Resource_Access/7_6_0/rules/PH_RULE_AWS_Access_Secret_in_Secrets_Manager.htm"/>
    <hyperlink ref="AA71" r:id="rId70" display="https://filestore.fortinet.com/docs.fortinet.com/fsiem/Public_Resource_Access/7_6_0/rules/PH_RULE_Azure_Global_Administrator_Role_Addition_to_PIM_User.htm"/>
    <hyperlink ref="AA72" r:id="rId71" display="https://filestore.fortinet.com/docs.fortinet.com/fsiem/Public_Resource_Access/7_6_0/rules/PH_RULE_BRUTEFORCE_APP_LOGON_SUCCESS.htm"/>
    <hyperlink ref="AA73" r:id="rId72" display="https://filestore.fortinet.com/docs.fortinet.com/fsiem/Public_Resource_Access/7_6_0/rules/PH_RULE_BRUTEFORCE_LOGON_SUCCESS.htm"/>
    <hyperlink ref="AA74" r:id="rId73" display="https://filestore.fortinet.com/docs.fortinet.com/fsiem/Public_Resource_Access/7_6_0/rules/PH_RULE_CONCURRENT_FAILED_AUTH_MULTI_COUNTRY.htm"/>
    <hyperlink ref="AA75" r:id="rId74" display="https://filestore.fortinet.com/docs.fortinet.com/fsiem/Public_Resource_Access/7_6_0/rules/PH_RULE_CONCURRENT_SUCCESS_AUTH_MULTI_COUNTRY.htm"/>
    <hyperlink ref="AA76" r:id="rId75" display="https://filestore.fortinet.com/docs.fortinet.com/fsiem/Public_Resource_Access/7_6_0/rules/PH_RULE_CONCURRENT_VPN_AUTH_MULTI_COUNTRY.htm"/>
    <hyperlink ref="AA77" r:id="rId76" display="https://filestore.fortinet.com/docs.fortinet.com/fsiem/Public_Resource_Access/7_6_0/rules/PH_RULE_CS_AUTH_BYPASS.htm"/>
    <hyperlink ref="AA78" r:id="rId77" display="https://filestore.fortinet.com/docs.fortinet.com/fsiem/Public_Resource_Access/7_6_0/rules/PH_RULE_CS_CRED_THEFT.htm"/>
    <hyperlink ref="AA79" r:id="rId78" display="https://filestore.fortinet.com/docs.fortinet.com/fsiem/Public_Resource_Access/7_6_0/rules/PH_RULE_CS_PRIV_ESCALATION.htm"/>
    <hyperlink ref="AA80" r:id="rId79" display="https://filestore.fortinet.com/docs.fortinet.com/fsiem/Public_Resource_Access/7_6_0/rules/PH_RULE_CYBERARK_BLOCKED_OPERATION.htm"/>
    <hyperlink ref="AA81" r:id="rId80" display="https://filestore.fortinet.com/docs.fortinet.com/fsiem/Public_Resource_Access/7_6_0/rules/PH_RULE_CYBERARK_EXCESS_PSM_CONN_FAILURE.htm"/>
    <hyperlink ref="AA82" r:id="rId81" display="https://filestore.fortinet.com/docs.fortinet.com/fsiem/Public_Resource_Access/7_6_0/rules/PH_RULE_CYBERARK_EXCESS_PSM_IMPERSONATIONS.htm"/>
    <hyperlink ref="AA83" r:id="rId82" display="https://filestore.fortinet.com/docs.fortinet.com/fsiem/Public_Resource_Access/7_6_0/rules/PH_RULE_CYBERARK_EXCESS_PWD_RELEASE_FAILURE.htm"/>
    <hyperlink ref="AA84" r:id="rId83" display="https://filestore.fortinet.com/docs.fortinet.com/fsiem/Public_Resource_Access/7_6_0/rules/PH_RULE_CYBERARK_EXCESS_PSM_LOGGING_FAILURE.htm"/>
    <hyperlink ref="AA85" r:id="rId84" display="https://filestore.fortinet.com/docs.fortinet.com/fsiem/Public_Resource_Access/7_6_0/rules/PH_RULE_CYBERARK_EXCESS_PSM_MONITOR_FAILURE.htm"/>
    <hyperlink ref="AA86" r:id="rId85" display="https://filestore.fortinet.com/docs.fortinet.com/fsiem/Public_Resource_Access/7_6_0/rules/PH_RULE_CYBERARK_FILE_OPERATION_FAILURE.htm"/>
    <hyperlink ref="AA87" r:id="rId86" display="https://filestore.fortinet.com/docs.fortinet.com/fsiem/Public_Resource_Access/7_6_0/rules/PH_RULE_CYBERARK_OBJECT_VALIDATION_FAILURE.htm"/>
    <hyperlink ref="AA88" r:id="rId87" display="https://filestore.fortinet.com/docs.fortinet.com/fsiem/Public_Resource_Access/7_6_0/rules/PH_RULE_CYBERARK_EXCESS_UNAUTH_USER.htm"/>
    <hyperlink ref="AA89" r:id="rId88" display="https://filestore.fortinet.com/docs.fortinet.com/fsiem/Public_Resource_Access/7_6_0/rules/PH_RULE_FML_Workspace_Sec_AdminUserAdded.htm"/>
    <hyperlink ref="AA90" r:id="rId89" display="https://filestore.fortinet.com/docs.fortinet.com/fsiem/Public_Resource_Access/7_6_0/rules/PH_RULE_LINUX_BUFFER_OVERFLOW.htm"/>
    <hyperlink ref="AA91" r:id="rId90" display="https://filestore.fortinet.com/docs.fortinet.com/fsiem/Public_Resource_Access/7_6_0/rules/PH_RULE_Linux_Discovery_of_Domain_Groups.htm"/>
    <hyperlink ref="AA92" r:id="rId91" display="https://filestore.fortinet.com/docs.fortinet.com/fsiem/Public_Resource_Access/7_6_0/rules/PH_RULE_Linux_Searching_for_Passwords_in_Files.htm"/>
    <hyperlink ref="AA93" r:id="rId92" display="https://filestore.fortinet.com/docs.fortinet.com/fsiem/Public_Resource_Access/7_6_0/rules/PH_RULE_TH_Linux_Setgid_Via_Chmod.htm"/>
    <hyperlink ref="AA94" r:id="rId93" display="https://filestore.fortinet.com/docs.fortinet.com/fsiem/Public_Resource_Access/7_6_0/rules/PH_RULE_TH_Linux_Setuid_Via_Chmod.htm"/>
    <hyperlink ref="AA95" r:id="rId94" display="https://filestore.fortinet.com/docs.fortinet.com/fsiem/Public_Resource_Access/7_6_0/rules/PH_RULE_Linux_Trap_Signals_Usage.htm"/>
    <hyperlink ref="AA96" r:id="rId95" display="https://filestore.fortinet.com/docs.fortinet.com/fsiem/Public_Resource_Access/7_6_0/rules/PH_RULE_EXCESS_FAILED_LOGON_2_NET_DEV.htm"/>
    <hyperlink ref="AA97" r:id="rId96" display="https://filestore.fortinet.com/docs.fortinet.com/fsiem/Public_Resource_Access/7_6_0/rules/PH_RULE_EXCESS_FAILED_LOGON_NET_DEV.htm"/>
    <hyperlink ref="AA98" r:id="rId97" display="https://filestore.fortinet.com/docs.fortinet.com/fsiem/Public_Resource_Access/7_6_0/rules/PH_RULE_EXCESS_FAILED_LOGON_DB.htm"/>
    <hyperlink ref="AA99" r:id="rId98" display="https://filestore.fortinet.com/docs.fortinet.com/fsiem/Public_Resource_Access/7_6_0/rules/PH_RULE_EXCESS_FAILED_LOGON_DOMAIN.htm"/>
    <hyperlink ref="AA100" r:id="rId99" display="https://filestore.fortinet.com/docs.fortinet.com/fsiem/Public_Resource_Access/7_6_0/rules/PH_RULE_EXCESS_FAILED_LOGON_APPL.htm"/>
    <hyperlink ref="AA101" r:id="rId100" display="https://filestore.fortinet.com/docs.fortinet.com/fsiem/Public_Resource_Access/7_6_0/rules/PH_RULE_FAILED_LOGON_MULTIPLE_ACCOUNTS.htm"/>
    <hyperlink ref="AA102" r:id="rId101" display="https://filestore.fortinet.com/docs.fortinet.com/fsiem/Public_Resource_Access/7_6_0/rules/PH_RULE_FAILED_LOGON_MULTIPLE_HOSTS.htm"/>
    <hyperlink ref="AA103" r:id="rId102" display="https://filestore.fortinet.com/docs.fortinet.com/fsiem/Public_Resource_Access/7_6_0/rules/PH_RULE_EXCESS_FAILED_LOGON_SERVER.htm"/>
    <hyperlink ref="AA104" r:id="rId103" display="https://filestore.fortinet.com/docs.fortinet.com/fsiem/Public_Resource_Access/7_6_0/rules/PH_RULE_EXCESS_FAILED_LOGON_VPN.htm"/>
    <hyperlink ref="AA105" r:id="rId104" display="https://filestore.fortinet.com/docs.fortinet.com/fsiem/Public_Resource_Access/7_6_0/rules/PH_RULE_EXCESS_FAILED_LOGON_WEB.htm"/>
    <hyperlink ref="AA106" r:id="rId105" display="https://filestore.fortinet.com/docs.fortinet.com/fsiem/Public_Resource_Access/7_6_0/rules/PH_RULE_EXCESS_FAILED_LOGON_WIRELESS.htm"/>
    <hyperlink ref="AA107" r:id="rId106" display="https://filestore.fortinet.com/docs.fortinet.com/fsiem/Public_Resource_Access/7_6_0/rules/PH_RULE_EXCESS_FAILED_PRIV_LOGON_SERVER.htm"/>
    <hyperlink ref="AA108" r:id="rId107" display="https://filestore.fortinet.com/docs.fortinet.com/fsiem/Public_Resource_Access/7_6_0/rules/PH_RULE_OracleOci_UserAddedToGroup.htm"/>
    <hyperlink ref="AA109" r:id="rId108" display="https://filestore.fortinet.com/docs.fortinet.com/fsiem/Public_Resource_Access/7_6_0/rules/PH_RULE_OracleOci_UserDisabledMFA.htm"/>
    <hyperlink ref="AA110" r:id="rId109" display="https://filestore.fortinet.com/docs.fortinet.com/fsiem/Public_Resource_Access/7_6_0/rules/PH_RULE_O365_BruteForceAttemptSameSource.htm"/>
    <hyperlink ref="AA111" r:id="rId110" display="https://filestore.fortinet.com/docs.fortinet.com/fsiem/Public_Resource_Access/7_6_0/rules/PH_RULE_O365_BruteForceAttemptSameUser.htm"/>
    <hyperlink ref="AA112" r:id="rId111" display="https://filestore.fortinet.com/docs.fortinet.com/fsiem/Public_Resource_Access/7_6_0/rules/PH_RULE_O365_BruteForceLogonSuccess.htm"/>
    <hyperlink ref="AA113" r:id="rId112" display="https://filestore.fortinet.com/docs.fortinet.com/fsiem/Public_Resource_Access/7_6_0/rules/PH_RULE_O365_AddMemberToRole.htm"/>
    <hyperlink ref="AA114" r:id="rId113" display="https://filestore.fortinet.com/docs.fortinet.com/fsiem/Public_Resource_Access/7_6_0/rules/PH_RULE_Password_Policy_Enumeration.htm"/>
    <hyperlink ref="AA115" r:id="rId114" display="https://filestore.fortinet.com/docs.fortinet.com/fsiem/Public_Resource_Access/7_6_0/rules/PH_RULE_Possible_Consent_Grant_Attack_via_Azure_Registered_Application.htm"/>
    <hyperlink ref="AA116" r:id="rId115" display="https://filestore.fortinet.com/docs.fortinet.com/fsiem/Public_Resource_Access/7_6_0/rules/PH_RULE_PRIV_ESCALATE_ATTACK.htm"/>
    <hyperlink ref="AA117" r:id="rId116" display="https://filestore.fortinet.com/docs.fortinet.com/fsiem/Public_Resource_Access/7_6_0/rules/PH_RULE_REPEAT_EXCESS_FAILED_LOGON_2_NET_DEV.htm"/>
    <hyperlink ref="AA118" r:id="rId117" display="https://filestore.fortinet.com/docs.fortinet.com/fsiem/Public_Resource_Access/7_6_0/rules/PH_RULE_REPEAT_EXCESS_FAILED_LOGON_DB.htm"/>
    <hyperlink ref="AA119" r:id="rId118" display="https://filestore.fortinet.com/docs.fortinet.com/fsiem/Public_Resource_Access/7_6_0/rules/PH_RULE_REPEAT_EXCESS_FAILED_LOGON_DOMAIN.htm"/>
    <hyperlink ref="AA120" r:id="rId119" display="https://filestore.fortinet.com/docs.fortinet.com/fsiem/Public_Resource_Access/7_6_0/rules/PH_RULE_REPEAT_EXCESS_FAILED_LOGON_APPL.htm"/>
    <hyperlink ref="AA121" r:id="rId120" display="https://filestore.fortinet.com/docs.fortinet.com/fsiem/Public_Resource_Access/7_6_0/rules/PH_RULE_REPEAT_EXCESS_FAILED_LOGON_SERVER.htm"/>
    <hyperlink ref="AA122" r:id="rId121" display="https://filestore.fortinet.com/docs.fortinet.com/fsiem/Public_Resource_Access/7_6_0/rules/PH_RULE_REPEAT_EXCESS_FAILED_LOGON_VPN.htm"/>
    <hyperlink ref="AA123" r:id="rId122" display="https://filestore.fortinet.com/docs.fortinet.com/fsiem/Public_Resource_Access/7_6_0/rules/PH_RULE_REPEAT_EXCESS_FAILED_LOGON_WEB.htm"/>
    <hyperlink ref="AA124" r:id="rId123" display="https://filestore.fortinet.com/docs.fortinet.com/fsiem/Public_Resource_Access/7_6_0/rules/PH_RULE_REPEAT_EXCESS_FAILED_LOGON_WIRELESS.htm"/>
    <hyperlink ref="AA125" r:id="rId124" display="https://filestore.fortinet.com/docs.fortinet.com/fsiem/Public_Resource_Access/7_6_0/rules/PH_RULE_SESSION_HIJACK_ATTACK.htm"/>
    <hyperlink ref="AA126" r:id="rId125" display="https://filestore.fortinet.com/docs.fortinet.com/fsiem/Public_Resource_Access/7_6_0/rules/PH_RULE_USER_MON_SUDDEN_LOC_CHANGE.htm"/>
    <hyperlink ref="AA127" r:id="rId126" display="https://filestore.fortinet.com/docs.fortinet.com/fsiem/Public_Resource_Access/7_6_0/rules/PH_RULE_SUSPICIOUS_FAILED_LOGON_NO_SUCCESS.htm"/>
    <hyperlink ref="AA128" r:id="rId127" display="https://filestore.fortinet.com/docs.fortinet.com/fsiem/Public_Resource_Access/7_6_0/rules/PH_RULE_User_Added_as_Owner_for_Azure_Application.htm"/>
    <hyperlink ref="AA129" r:id="rId128" display="https://filestore.fortinet.com/docs.fortinet.com/fsiem/Public_Resource_Access/7_6_0/rules/PH_RULE_User_Added_as_Owner_for_Azure_Service_Principal.htm"/>
    <hyperlink ref="AA130" r:id="rId129" display="https://filestore.fortinet.com/docs.fortinet.com/fsiem/Public_Resource_Access/7_6_0/rules/PH_RULE_VEEAM_MFA_BRUTE_FORCE.htm"/>
    <hyperlink ref="AA131" r:id="rId130" display="https://filestore.fortinet.com/docs.fortinet.com/fsiem/Public_Resource_Access/7_6_0/rules/PH_RULE_VEEAM_MFA_USER_DISABLED.htm"/>
    <hyperlink ref="AA132" r:id="rId131" display="https://filestore.fortinet.com/docs.fortinet.com/fsiem/Public_Resource_Access/7_6_0/rules/PH_RULE_Win_Accessibility_Backdoor.htm"/>
    <hyperlink ref="AA133" r:id="rId132" display="https://filestore.fortinet.com/docs.fortinet.com/fsiem/Public_Resource_Access/7_6_0/rules/PH_RULE_A_Member_Was_Added_to_a_Security_Enabled_Global_Group.htm"/>
    <hyperlink ref="AA134" r:id="rId133" display="https://filestore.fortinet.com/docs.fortinet.com/fsiem/Public_Resource_Access/7_6_0/rules/PH_RULE_Active_Directory_Database_Snapshot_Via_ADExplorer.htm"/>
    <hyperlink ref="AA135" r:id="rId134" display="https://filestore.fortinet.com/docs.fortinet.com/fsiem/Public_Resource_Access/7_6_0/rules/PH_RULE_Active_Directory_Replication_from_Non_Machine_Account.htm"/>
    <hyperlink ref="AA136" r:id="rId135" display="https://filestore.fortinet.com/docs.fortinet.com/fsiem/Public_Resource_Access/7_6_0/rules/PH_RULE_Active_Directory_User_Backdoors.htm"/>
    <hyperlink ref="AA137" r:id="rId136" display="https://filestore.fortinet.com/docs.fortinet.com/fsiem/Public_Resource_Access/7_6_0/rules/PH_RULE_Add_or_Remove_Computer_from_DC.htm"/>
    <hyperlink ref="AA138" r:id="rId137" display="https://filestore.fortinet.com/docs.fortinet.com/fsiem/Public_Resource_Access/7_6_0/rules/PH_RULE_Add_User_to_Local_Administrators_Group.htm"/>
    <hyperlink ref="AA139" r:id="rId138" display="https://filestore.fortinet.com/docs.fortinet.com/fsiem/Public_Resource_Access/7_6_0/rules/PH_RULE_Addition_of_SID_History_to_Active_Directory_Object.htm"/>
    <hyperlink ref="AA140" r:id="rId139" display="https://filestore.fortinet.com/docs.fortinet.com/fsiem/Public_Resource_Access/7_6_0/rules/PH_RULE_Automated_Collection_Command_Prompt.htm"/>
    <hyperlink ref="AA141" r:id="rId140" display="https://filestore.fortinet.com/docs.fortinet.com/fsiem/Public_Resource_Access/7_6_0/rules/PH_RULE_BloodHound_Collection_Files.htm"/>
    <hyperlink ref="AA142" r:id="rId141" display="https://filestore.fortinet.com/docs.fortinet.com/fsiem/Public_Resource_Access/7_6_0/rules/PH_RULE_Bypass_UAC_via_Fodhelper_exe.htm"/>
    <hyperlink ref="AA143" r:id="rId142" display="https://filestore.fortinet.com/docs.fortinet.com/fsiem/Public_Resource_Access/7_6_0/rules/PH_RULE_Computer_Password_Change_Via_Ksetup_EXE.htm"/>
    <hyperlink ref="AA144" r:id="rId143" display="https://filestore.fortinet.com/docs.fortinet.com/fsiem/Public_Resource_Access/7_6_0/rules/PH_RULE_Copying_Sensitive_Files_with_Credential_Data.htm"/>
    <hyperlink ref="AA145" r:id="rId144" display="https://filestore.fortinet.com/docs.fortinet.com/fsiem/Public_Resource_Access/7_6_0/rules/PH_RULE_CreateDump_Process_Dump.htm"/>
    <hyperlink ref="AA146" r:id="rId145" display="https://filestore.fortinet.com/docs.fortinet.com/fsiem/Public_Resource_Access/7_6_0/rules/PH_RULE_Cred_Dump_Tools_Dropped_Files.htm"/>
    <hyperlink ref="AA147" r:id="rId146" display="https://filestore.fortinet.com/docs.fortinet.com/fsiem/Public_Resource_Access/7_6_0/rules/PH_RULE_Credential_Dumping_Tools_Service_Execution_SECURITY_LOG.htm"/>
    <hyperlink ref="AA148" r:id="rId147" display="https://filestore.fortinet.com/docs.fortinet.com/fsiem/Public_Resource_Access/7_6_0/rules/PH_RULE_Credential_Dumping_Tools_Service_Execution_System.htm"/>
    <hyperlink ref="AA149" r:id="rId148" display="https://filestore.fortinet.com/docs.fortinet.com/fsiem/Public_Resource_Access/7_6_0/rules/PH_RULE_UIPromptForCredentials_DLLs.htm"/>
    <hyperlink ref="AA150" r:id="rId149" display="https://filestore.fortinet.com/docs.fortinet.com/fsiem/Public_Resource_Access/7_6_0/rules/PH_RULE_DLL_Load_via_LSASS.htm"/>
    <hyperlink ref="AA151" r:id="rId150" display="https://filestore.fortinet.com/docs.fortinet.com/fsiem/Public_Resource_Access/7_6_0/rules/PH_RULE_Domain_Trust_Discovery.htm"/>
    <hyperlink ref="AA152" r:id="rId151" display="https://filestore.fortinet.com/docs.fortinet.com/fsiem/Public_Resource_Access/7_6_0/rules/PH_RULE_DPAPI_Domain_Backup_Key_Extraction.htm"/>
    <hyperlink ref="AA153" r:id="rId152" display="https://filestore.fortinet.com/docs.fortinet.com/fsiem/Public_Resource_Access/7_6_0/rules/PH_RULE_DPAPI_Domain_Master_Key_Backup_Attempt.htm"/>
    <hyperlink ref="AA154" r:id="rId153" display="https://filestore.fortinet.com/docs.fortinet.com/fsiem/Public_Resource_Access/7_6_0/rules/PH_RULE_Dropping_Of_Password_Filter_DLL.htm"/>
    <hyperlink ref="AA155" r:id="rId154" display="https://filestore.fortinet.com/docs.fortinet.com/fsiem/Public_Resource_Access/7_6_0/rules/PH_RULE_Dump_Ntds_dit_To_Suspicious_Location.htm"/>
    <hyperlink ref="AA156" r:id="rId155" display="https://filestore.fortinet.com/docs.fortinet.com/fsiem/Public_Resource_Access/7_6_0/rules/PH_RULE_Grabbing_Sensitive_Hives_via_Reg_Utility.htm"/>
    <hyperlink ref="AA157" r:id="rId156" display="https://filestore.fortinet.com/docs.fortinet.com/fsiem/Public_Resource_Access/7_6_0/rules/PH_RULE_Dumping_Process_via_Sqldumper_exe.htm"/>
    <hyperlink ref="AA158" r:id="rId157" display="https://filestore.fortinet.com/docs.fortinet.com/fsiem/Public_Resource_Access/7_6_0/rules/PH_RULE_DumpMinitool_Usage.htm"/>
    <hyperlink ref="AA159" r:id="rId158" display="https://filestore.fortinet.com/docs.fortinet.com/fsiem/Public_Resource_Access/7_6_0/rules/PH_RULE_Enumeration_for_3rd_Party_Creds_From_CLI.htm"/>
    <hyperlink ref="AA160" r:id="rId159" display="https://filestore.fortinet.com/docs.fortinet.com/fsiem/Public_Resource_Access/7_6_0/rules/PH_RULE_Enumeration_for_Credentials_in_Registry.htm"/>
    <hyperlink ref="AA161" r:id="rId160" display="https://filestore.fortinet.com/docs.fortinet.com/fsiem/Public_Resource_Access/7_6_0/rules/PH_RULE_Esentutl_Gather_Credentials.htm"/>
    <hyperlink ref="AA162" r:id="rId161" display="https://filestore.fortinet.com/docs.fortinet.com/fsiem/Public_Resource_Access/7_6_0/rules/PH_RULE_Esentutl_Steals_Browser_Information.htm"/>
    <hyperlink ref="AA163" r:id="rId162" display="https://filestore.fortinet.com/docs.fortinet.com/fsiem/Public_Resource_Access/7_6_0/rules/PH_RULE_Esentutl_Volume_Shadow_Copy_Service_Keys.htm"/>
    <hyperlink ref="AA164" r:id="rId163" display="https://filestore.fortinet.com/docs.fortinet.com/fsiem/Public_Resource_Access/7_6_0/rules/PH_RULE_User_Couldnt_Call_a_Privileged_Service_LsaRegisterLogonProcess.htm"/>
    <hyperlink ref="AA165" r:id="rId164" display="https://filestore.fortinet.com/docs.fortinet.com/fsiem/Public_Resource_Access/7_6_0/rules/PH_RULE_Findstr_GPP_Passwords.htm"/>
    <hyperlink ref="AA166" r:id="rId165" display="https://filestore.fortinet.com/docs.fortinet.com/fsiem/Public_Resource_Access/7_6_0/rules/PH_RULE_Bloodhound_and_Sharphound_Hack_Tool.htm"/>
    <hyperlink ref="AA167" r:id="rId166" display="https://filestore.fortinet.com/docs.fortinet.com/fsiem/Public_Resource_Access/7_6_0/rules/PH_RULE_CrackMapExec_Process_Patterns.htm"/>
    <hyperlink ref="AA168" r:id="rId167" display="https://filestore.fortinet.com/docs.fortinet.com/fsiem/Public_Resource_Access/7_6_0/rules/PH_RULE_CreateMiniDump_Hacktool.htm"/>
    <hyperlink ref="AA169" r:id="rId168" display="https://filestore.fortinet.com/docs.fortinet.com/fsiem/Public_Resource_Access/7_6_0/rules/PH_RULE_HackTool_Dumpert_Process_Dumper_Default_File.htm"/>
    <hyperlink ref="AA170" r:id="rId169" display="https://filestore.fortinet.com/docs.fortinet.com/fsiem/Public_Resource_Access/7_6_0/rules/PH_RULE_Dumpert_Process_Dumper.htm"/>
    <hyperlink ref="AA171" r:id="rId170" display="https://filestore.fortinet.com/docs.fortinet.com/fsiem/Public_Resource_Access/7_6_0/rules/PH_RULE_HackTool_HandleKatz_LSASS_Dumper_Execution.htm"/>
    <hyperlink ref="AA172" r:id="rId171" display="https://filestore.fortinet.com/docs.fortinet.com/fsiem/Public_Resource_Access/7_6_0/rules/PH_RULE_HackTool_Inveigh_Execution.htm"/>
    <hyperlink ref="AA173" r:id="rId172" display="https://filestore.fortinet.com/docs.fortinet.com/fsiem/Public_Resource_Access/7_6_0/rules/PH_RULE_KrbRelay_Hack_Tool.htm"/>
    <hyperlink ref="AA174" r:id="rId173" display="https://filestore.fortinet.com/docs.fortinet.com/fsiem/Public_Resource_Access/7_6_0/rules/PH_RULE_KrbRelayUp_Hack_Tool.htm"/>
    <hyperlink ref="AA175" r:id="rId174" display="https://filestore.fortinet.com/docs.fortinet.com/fsiem/Public_Resource_Access/7_6_0/rules/PH_RULE_Mimikatz_Command_Line.htm"/>
    <hyperlink ref="AA176" r:id="rId175" display="https://filestore.fortinet.com/docs.fortinet.com/fsiem/Public_Resource_Access/7_6_0/rules/PH_RULE_HackTool_Quarks_PwDump_Execution.htm"/>
    <hyperlink ref="AA177" r:id="rId176" display="https://filestore.fortinet.com/docs.fortinet.com/fsiem/Public_Resource_Access/7_6_0/rules/PH_RULE_Rubeus_Hack_Tool.htm"/>
    <hyperlink ref="AA178" r:id="rId177" display="https://filestore.fortinet.com/docs.fortinet.com/fsiem/Public_Resource_Access/7_6_0/rules/PH_RULE_HackTool_SafetyKatz_Execution.htm"/>
    <hyperlink ref="AA179" r:id="rId178" display="https://filestore.fortinet.com/docs.fortinet.com/fsiem/Public_Resource_Access/7_6_0/rules/PH_RULE_Windows_Credential_Editor.htm"/>
    <hyperlink ref="AA180" r:id="rId179" display="https://filestore.fortinet.com/docs.fortinet.com/fsiem/Public_Resource_Access/7_6_0/rules/PH_RULE_HandleKatz_Duplicating_LSASS_Handle.htm"/>
    <hyperlink ref="AA181" r:id="rId180" display="https://filestore.fortinet.com/docs.fortinet.com/fsiem/Public_Resource_Access/7_6_0/rules/PH_RULE_Harvesting_of_Wifi_Credentials_Using_netsh_exe.htm"/>
    <hyperlink ref="AA182" r:id="rId181" display="https://filestore.fortinet.com/docs.fortinet.com/fsiem/Public_Resource_Access/7_6_0/rules/PH_RULE_Hijack_Legit_RDP_Session_to_Move_Laterally.htm"/>
    <hyperlink ref="AA183" r:id="rId182" display="https://filestore.fortinet.com/docs.fortinet.com/fsiem/Public_Resource_Access/7_6_0/rules/PH_RULE_Hydra_Password_Guessing_Hack_Tool.htm"/>
    <hyperlink ref="AA184" r:id="rId183" display="https://filestore.fortinet.com/docs.fortinet.com/fsiem/Public_Resource_Access/7_6_0/rules/PH_RULE_Interactive_AT_Job.htm"/>
    <hyperlink ref="AA185" r:id="rId184" display="https://filestore.fortinet.com/docs.fortinet.com/fsiem/Public_Resource_Access/7_6_0/rules/PH_RULE_Invocation_of_Active_Directory_Diagnostic_Tool_ntdsutil_exe.htm"/>
    <hyperlink ref="AA186" r:id="rId185" display="https://filestore.fortinet.com/docs.fortinet.com/fsiem/Public_Resource_Access/7_6_0/rules/PH_RULE_Kerberos_Manipulation.htm"/>
    <hyperlink ref="AA187" r:id="rId186" display="https://filestore.fortinet.com/docs.fortinet.com/fsiem/Public_Resource_Access/7_6_0/rules/PH_RULE_Local_Groups_Reconnaissance_Via_Wmic_EXE.htm"/>
    <hyperlink ref="AA188" r:id="rId187" display="https://filestore.fortinet.com/docs.fortinet.com/fsiem/Public_Resource_Access/7_6_0/rules/PH_RULE_Logged_On_User_Password_Change_Via_Ksetup_EXE.htm"/>
    <hyperlink ref="AA189" r:id="rId188" display="https://filestore.fortinet.com/docs.fortinet.com/fsiem/Public_Resource_Access/7_6_0/rules/PH_RULE_LSASS_Access_from_Non_System_Account.htm"/>
    <hyperlink ref="AA190" r:id="rId189" display="https://filestore.fortinet.com/docs.fortinet.com/fsiem/Public_Resource_Access/7_6_0/rules/PH_RULE_LSASS_Access_from_White_Listed_Processes.htm"/>
    <hyperlink ref="AA191" r:id="rId190" display="https://filestore.fortinet.com/docs.fortinet.com/fsiem/Public_Resource_Access/7_6_0/rules/PH_RULE_LSASS_Memory_Access_by_Tool_Named_Dump.htm"/>
    <hyperlink ref="AA192" r:id="rId191" display="https://filestore.fortinet.com/docs.fortinet.com/fsiem/Public_Resource_Access/7_6_0/rules/PH_RULE_Lsass_Memory_Dump_via_Comsvcs_DLL.htm"/>
    <hyperlink ref="AA193" r:id="rId192" display="https://filestore.fortinet.com/docs.fortinet.com/fsiem/Public_Resource_Access/7_6_0/rules/PH_RULE_LSASS_Process_Dump_Artefact_In_CrashDumps_Folder.htm"/>
    <hyperlink ref="AA194" r:id="rId193" display="https://filestore.fortinet.com/docs.fortinet.com/fsiem/Public_Resource_Access/7_6_0/rules/PH_RULE_LSASS_Process_Memory_Dump_Files.htm"/>
    <hyperlink ref="AA195" r:id="rId194" display="https://filestore.fortinet.com/docs.fortinet.com/fsiem/Public_Resource_Access/7_6_0/rules/PH_RULE_Findstr_LSASS.htm"/>
    <hyperlink ref="AA196" r:id="rId195" display="https://filestore.fortinet.com/docs.fortinet.com/fsiem/Public_Resource_Access/7_6_0/rules/PH_RULE_Microsoft_IIS_Service_Account_Password_Dumped.htm"/>
    <hyperlink ref="AA197" r:id="rId196" display="https://filestore.fortinet.com/docs.fortinet.com/fsiem/Public_Resource_Access/7_6_0/rules/PH_RULE_Mimikatz_DC_Sync.htm"/>
    <hyperlink ref="AA198" r:id="rId197" display="https://filestore.fortinet.com/docs.fortinet.com/fsiem/Public_Resource_Access/7_6_0/rules/PH_RULE_Mimikatz_Kirbi_File_Creation.htm"/>
    <hyperlink ref="AA199" r:id="rId198" display="https://filestore.fortinet.com/docs.fortinet.com/fsiem/Public_Resource_Access/7_6_0/rules/PH_RULE_MSSQL_Add_Account_To_Sysadmin_Role.htm"/>
    <hyperlink ref="AA200" r:id="rId199" display="https://filestore.fortinet.com/docs.fortinet.com/fsiem/Public_Resource_Access/7_6_0/rules/PH_RULE_New_Generic_Credentials_Added_Via_Cmdkey_EXE.htm"/>
    <hyperlink ref="AA201" r:id="rId200" display="https://filestore.fortinet.com/docs.fortinet.com/fsiem/Public_Resource_Access/7_6_0/rules/PH_RULE_Capture_a_Network_Trace_with_netsh_exe.htm"/>
    <hyperlink ref="AA202" r:id="rId201" display="https://filestore.fortinet.com/docs.fortinet.com/fsiem/Public_Resource_Access/7_6_0/rules/PH_RULE_Successful_Overpass_the_Hash_Attempt.htm"/>
    <hyperlink ref="AA203" r:id="rId202" display="https://filestore.fortinet.com/docs.fortinet.com/fsiem/Public_Resource_Access/7_6_0/rules/PH_RULE_NPPSpy_Hacktool_Usage.htm"/>
    <hyperlink ref="AA204" r:id="rId203" display="https://filestore.fortinet.com/docs.fortinet.com/fsiem/Public_Resource_Access/7_6_0/rules/PH_RULE_Suspicious_NTDS_DIT_Creation.htm"/>
    <hyperlink ref="AA205" r:id="rId204" display="https://filestore.fortinet.com/docs.fortinet.com/fsiem/Public_Resource_Access/7_6_0/rules/PH_RULE_NTDS_DIT_Creation_By_Uncommon_Parent_Process.htm"/>
    <hyperlink ref="AA206" r:id="rId205" display="https://filestore.fortinet.com/docs.fortinet.com/fsiem/Public_Resource_Access/7_6_0/rules/PH_RULE_NTDS_DIT_Creation_By_Uncommon_Process.htm"/>
    <hyperlink ref="AA207" r:id="rId206" display="https://filestore.fortinet.com/docs.fortinet.com/fsiem/Public_Resource_Access/7_6_0/rules/PH_RULE_Ntdsutil_Abuse.htm"/>
    <hyperlink ref="AA208" r:id="rId207" display="https://filestore.fortinet.com/docs.fortinet.com/fsiem/Public_Resource_Access/7_6_0/rules/PH_RULE_Password_Change_on_Directory_Service_Restore_Mode_DSRM_Account.htm"/>
    <hyperlink ref="AA209" r:id="rId208" display="https://filestore.fortinet.com/docs.fortinet.com/fsiem/Public_Resource_Access/7_6_0/rules/PH_RULE_Password_Cracking_with_Hashcat.htm"/>
    <hyperlink ref="AA210" r:id="rId209" display="https://filestore.fortinet.com/docs.fortinet.com/fsiem/Public_Resource_Access/7_6_0/rules/PH_RULE_Password_Dumper_Activity_on_LSASS.htm"/>
    <hyperlink ref="AA211" r:id="rId210" display="https://filestore.fortinet.com/docs.fortinet.com/fsiem/Public_Resource_Access/7_6_0/rules/PH_RULE_Permission_Misconfiguration_Reconnaissance_Via_Findstr_EXE.htm"/>
    <hyperlink ref="AA212" r:id="rId211" display="https://filestore.fortinet.com/docs.fortinet.com/fsiem/Public_Resource_Access/7_6_0/rules/PH_RULE_PetitPotam_Suspicious_Kerberos_TGT_Request.htm"/>
    <hyperlink ref="AA213" r:id="rId212" display="https://filestore.fortinet.com/docs.fortinet.com/fsiem/Public_Resource_Access/7_6_0/rules/PH_RULE_Possible_DC_Shadow.htm"/>
    <hyperlink ref="AA214" r:id="rId213" display="https://filestore.fortinet.com/docs.fortinet.com/fsiem/Public_Resource_Access/7_6_0/rules/PH_RULE_Possible_Impacket_SecretDump_Remote_Activity.htm"/>
    <hyperlink ref="AA215" r:id="rId214" display="https://filestore.fortinet.com/docs.fortinet.com/fsiem/Public_Resource_Access/7_6_0/rules/PH_RULE_Possible_PetitPotam_Coerce_Authentication_Attempt.htm"/>
    <hyperlink ref="AA216" r:id="rId215" display="https://filestore.fortinet.com/docs.fortinet.com/fsiem/Public_Resource_Access/7_6_0/rules/PH_RULE_Possible_Shadow_Credentials_Added.htm"/>
    <hyperlink ref="AA217" r:id="rId216" display="https://filestore.fortinet.com/docs.fortinet.com/fsiem/Public_Resource_Access/7_6_0/rules/PH_RULE_LDAP_Reconnaissance_Active_Directory_Enumeration.htm"/>
    <hyperlink ref="AA218" r:id="rId217" display="https://filestore.fortinet.com/docs.fortinet.com/fsiem/Public_Resource_Access/7_6_0/rules/PH_RULE_AD_User_Enumeration.htm"/>
    <hyperlink ref="AA219" r:id="rId218" display="https://filestore.fortinet.com/docs.fortinet.com/fsiem/Public_Resource_Access/7_6_0/rules/PH_RULE_Potential_Browser_Data_Stealing.htm"/>
    <hyperlink ref="AA220" r:id="rId219" display="https://filestore.fortinet.com/docs.fortinet.com/fsiem/Public_Resource_Access/7_6_0/rules/PH_RULE_LSASS_Memory_Dump.htm"/>
    <hyperlink ref="AA221" r:id="rId220" display="https://filestore.fortinet.com/docs.fortinet.com/fsiem/Public_Resource_Access/7_6_0/rules/PH_RULE_Potential_Credential_Dumping_Via_WER.htm"/>
    <hyperlink ref="AA222" r:id="rId221" display="https://filestore.fortinet.com/docs.fortinet.com/fsiem/Public_Resource_Access/7_6_0/rules/PH_RULE_Suspicious_Use_of_Procdump_on_LSASS.htm"/>
    <hyperlink ref="AA223" r:id="rId222" display="https://filestore.fortinet.com/docs.fortinet.com/fsiem/Public_Resource_Access/7_6_0/rules/PH_RULE_Network_Sniffing.htm"/>
    <hyperlink ref="AA224" r:id="rId223" display="https://filestore.fortinet.com/docs.fortinet.com/fsiem/Public_Resource_Access/7_6_0/rules/PH_RULE_Win_PassTheHash.htm"/>
    <hyperlink ref="AA225" r:id="rId224" display="https://filestore.fortinet.com/docs.fortinet.com/fsiem/Public_Resource_Access/7_6_0/rules/PH_RULE_Potential_Password_Spraying_Attempt_Using_Dsacls_EXE.htm"/>
    <hyperlink ref="AA226" r:id="rId225" display="https://filestore.fortinet.com/docs.fortinet.com/fsiem/Public_Resource_Access/7_6_0/rules/PH_RULE_Cmdkey_Cached_Credentials_Recon.htm"/>
    <hyperlink ref="AA227" r:id="rId226" display="https://filestore.fortinet.com/docs.fortinet.com/fsiem/Public_Resource_Access/7_6_0/rules/PH_RULE_SAM_Dump_File_Creation.htm"/>
    <hyperlink ref="AA228" r:id="rId227" display="https://filestore.fortinet.com/docs.fortinet.com/fsiem/Public_Resource_Access/7_6_0/rules/PH_RULE_Possible_SPN_Enumeration.htm"/>
    <hyperlink ref="AA229" r:id="rId228" display="https://filestore.fortinet.com/docs.fortinet.com/fsiem/Public_Resource_Access/7_6_0/rules/PH_RULE_Generic_Password_Dumper_Activity_on_LSASS.htm"/>
    <hyperlink ref="AA230" r:id="rId229" display="https://filestore.fortinet.com/docs.fortinet.com/fsiem/Public_Resource_Access/7_6_0/rules/PH_RULE_Suspicious_Office_Token_Search_Via_CLI.htm"/>
    <hyperlink ref="AA231" r:id="rId230" display="https://filestore.fortinet.com/docs.fortinet.com/fsiem/Public_Resource_Access/7_6_0/rules/PH_RULE_Suspicious_Volume_Shadow_Copy_Vsstrace_dll_Load.htm"/>
    <hyperlink ref="AA232" r:id="rId231" display="https://filestore.fortinet.com/docs.fortinet.com/fsiem/Public_Resource_Access/7_6_0/rules/PH_RULE_PowerShell_Get_Process_LSASS.htm"/>
    <hyperlink ref="AA233" r:id="rId232" display="https://filestore.fortinet.com/docs.fortinet.com/fsiem/Public_Resource_Access/7_6_0/rules/PH_RULE_PowerShell_SAM_Copy.htm"/>
    <hyperlink ref="AA234" r:id="rId233" display="https://filestore.fortinet.com/docs.fortinet.com/fsiem/Public_Resource_Access/7_6_0/rules/PH_RULE_Powerview_Add_DomainObjectAcl_DCSync_AD_Extend_Right.htm"/>
    <hyperlink ref="AA235" r:id="rId234" display="https://filestore.fortinet.com/docs.fortinet.com/fsiem/Public_Resource_Access/7_6_0/rules/PH_RULE_Discover_Private_Keys.htm"/>
    <hyperlink ref="AA236" r:id="rId235" display="https://filestore.fortinet.com/docs.fortinet.com/fsiem/Public_Resource_Access/7_6_0/rules/PH_RULE_Procdump_Evasion.htm"/>
    <hyperlink ref="AA237" r:id="rId236" display="https://filestore.fortinet.com/docs.fortinet.com/fsiem/Public_Resource_Access/7_6_0/rules/PH_RULE_Procdump_Usage.htm"/>
    <hyperlink ref="AA238" r:id="rId237" display="https://filestore.fortinet.com/docs.fortinet.com/fsiem/Public_Resource_Access/7_6_0/rules/PH_RULE_Process_Access_via_TrolleyExpress_Exclusion.htm"/>
    <hyperlink ref="AA239" r:id="rId238" display="https://filestore.fortinet.com/docs.fortinet.com/fsiem/Public_Resource_Access/7_6_0/rules/PH_RULE_Process_Dump_via_Comsvcs_DLL.htm"/>
    <hyperlink ref="AA240" r:id="rId239" display="https://filestore.fortinet.com/docs.fortinet.com/fsiem/Public_Resource_Access/7_6_0/rules/PH_RULE_Process_Explorer_Driver_Creation_By_Non_Sysinternals_Binary.htm"/>
    <hyperlink ref="AA241" r:id="rId240" display="https://filestore.fortinet.com/docs.fortinet.com/fsiem/Public_Resource_Access/7_6_0/rules/PH_RULE_Process_Memory_Dump_Via_Dotnet_Dump.htm"/>
    <hyperlink ref="AA242" r:id="rId241" display="https://filestore.fortinet.com/docs.fortinet.com/fsiem/Public_Resource_Access/7_6_0/rules/PH_RULE_RdrLeakDiag_Process_Dump.htm"/>
    <hyperlink ref="AA243" r:id="rId242" display="https://filestore.fortinet.com/docs.fortinet.com/fsiem/Public_Resource_Access/7_6_0/rules/PH_RULE_Process_Monitor_Driver_Creation_By_Non_Sysinternals_Binary.htm"/>
    <hyperlink ref="AA244" r:id="rId243" display="https://filestore.fortinet.com/docs.fortinet.com/fsiem/Public_Resource_Access/7_6_0/rules/PH_RULE_DIT_Snapshot_Viewer_Use.htm"/>
    <hyperlink ref="AA245" r:id="rId244" display="https://filestore.fortinet.com/docs.fortinet.com/fsiem/Public_Resource_Access/7_6_0/rules/PH_RULE_PUA_WebBrowserPassView_Execution.htm"/>
    <hyperlink ref="AA246" r:id="rId245" display="https://filestore.fortinet.com/docs.fortinet.com/fsiem/Public_Resource_Access/7_6_0/rules/PH_RULE_QuarksPwDump_Dump_File.htm"/>
    <hyperlink ref="AA247" r:id="rId246" display="https://filestore.fortinet.com/docs.fortinet.com/fsiem/Public_Resource_Access/7_6_0/rules/PH_RULE_Register_new_Logon_Process_by_Rubeus.htm"/>
    <hyperlink ref="AA248" r:id="rId247" display="https://filestore.fortinet.com/docs.fortinet.com/fsiem/Public_Resource_Access/7_6_0/rules/PH_RULE_Registry_Parse_with_Pypykatz.htm"/>
    <hyperlink ref="AA249" r:id="rId248" display="https://filestore.fortinet.com/docs.fortinet.com/fsiem/Public_Resource_Access/7_6_0/rules/PH_RULE_Remote_Access_Tool_AnyDesk_Piped_Password_Via_CLI.htm"/>
    <hyperlink ref="AA250" r:id="rId249" display="https://filestore.fortinet.com/docs.fortinet.com/fsiem/Public_Resource_Access/7_6_0/rules/PH_RULE_Mimikatz_through_Windows_Remote_Management.htm"/>
    <hyperlink ref="AA251" r:id="rId250" display="https://filestore.fortinet.com/docs.fortinet.com/fsiem/Public_Resource_Access/7_6_0/rules/PH_RULE_Renamed_AdFind_Execution.htm"/>
    <hyperlink ref="AA252" r:id="rId251" display="https://filestore.fortinet.com/docs.fortinet.com/fsiem/Public_Resource_Access/7_6_0/rules/PH_RULE_Process_Creation_with_Renamed_BrowserCore_exe.htm"/>
    <hyperlink ref="AA253" r:id="rId252" display="https://filestore.fortinet.com/docs.fortinet.com/fsiem/Public_Resource_Access/7_6_0/rules/PH_RULE_Renamed_CreateDump_Utility_Execution.htm"/>
    <hyperlink ref="AA254" r:id="rId253" display="https://filestore.fortinet.com/docs.fortinet.com/fsiem/Public_Resource_Access/7_6_0/rules/PH_RULE_Renamed_ProcDump.htm"/>
    <hyperlink ref="AA255" r:id="rId254" display="https://filestore.fortinet.com/docs.fortinet.com/fsiem/Public_Resource_Access/7_6_0/rules/PH_RULE_SafetyKatz_Default_Dump_Filename.htm"/>
    <hyperlink ref="AA256" r:id="rId255" display="https://filestore.fortinet.com/docs.fortinet.com/fsiem/Public_Resource_Access/7_6_0/rules/PH_RULE_SAM_Registry_Hive_Handle_Request.htm"/>
    <hyperlink ref="AA257" r:id="rId256" display="https://filestore.fortinet.com/docs.fortinet.com/fsiem/Public_Resource_Access/7_6_0/rules/PH_RULE_Security_Support_Provider_SSP_Added_to_LSA_Configuration.htm"/>
    <hyperlink ref="AA258" r:id="rId257" display="https://filestore.fortinet.com/docs.fortinet.com/fsiem/Public_Resource_Access/7_6_0/rules/PH_RULE_Sensitive_Registry_Access_via_Volume_Shadow_Copy.htm"/>
    <hyperlink ref="AA259" r:id="rId258" display="https://filestore.fortinet.com/docs.fortinet.com/fsiem/Public_Resource_Access/7_6_0/rules/PH_RULE_Shadow_Copies_Creation_Using_Operating_Systems_Utilities.htm"/>
    <hyperlink ref="AA260" r:id="rId259" display="https://filestore.fortinet.com/docs.fortinet.com/fsiem/Public_Resource_Access/7_6_0/rules/PH_RULE_SilentProcessExit_Monitor_Registrytion_for_LSASS.htm"/>
    <hyperlink ref="AA261" r:id="rId260" display="https://filestore.fortinet.com/docs.fortinet.com/fsiem/Public_Resource_Access/7_6_0/rules/PH_RULE_SQLite_Chromium_Profile_Data_DB_Access.htm"/>
    <hyperlink ref="AA262" r:id="rId261" display="https://filestore.fortinet.com/docs.fortinet.com/fsiem/Public_Resource_Access/7_6_0/rules/PH_RULE_SQLite_Firefox_Cookie_DB_Access.htm"/>
    <hyperlink ref="AA263" r:id="rId262" display="https://filestore.fortinet.com/docs.fortinet.com/fsiem/Public_Resource_Access/7_6_0/rules/PH_RULE_Suspicious_Active_Directory_Database_Snapshot_Via_ADExplorer.htm"/>
    <hyperlink ref="AA264" r:id="rId263" display="https://filestore.fortinet.com/docs.fortinet.com/fsiem/Public_Resource_Access/7_6_0/rules/PH_RULE_Suspicious_Add_User_to_Remote_Desktop_Users_Group.htm"/>
    <hyperlink ref="AA265" r:id="rId264" display="https://filestore.fortinet.com/docs.fortinet.com/fsiem/Public_Resource_Access/7_6_0/rules/PH_RULE_Suspicious_Command_With_Teams_Objects_Paths.htm"/>
    <hyperlink ref="AA266" r:id="rId265" display="https://filestore.fortinet.com/docs.fortinet.com/fsiem/Public_Resource_Access/7_6_0/rules/PH_RULE_Suspicious_Kerberos_RC4_Ticket_Encryption.htm"/>
    <hyperlink ref="AA267" r:id="rId266" display="https://filestore.fortinet.com/docs.fortinet.com/fsiem/Public_Resource_Access/7_6_0/rules/PH_RULE_Suspicious_Key_Manager_Access.htm"/>
    <hyperlink ref="AA268" r:id="rId267" display="https://filestore.fortinet.com/docs.fortinet.com/fsiem/Public_Resource_Access/7_6_0/rules/PH_RULE_Suspicious_LSASS_Access_Via_MalSecLogon.htm"/>
    <hyperlink ref="AA269" r:id="rId268" display="https://filestore.fortinet.com/docs.fortinet.com/fsiem/Public_Resource_Access/7_6_0/rules/PH_RULE_Suspicious_LSASS_Process_Clone.htm"/>
    <hyperlink ref="AA270" r:id="rId269" display="https://filestore.fortinet.com/docs.fortinet.com/fsiem/Public_Resource_Access/7_6_0/rules/PH_RULE_Suspicious_Manipulation_Of_Default_Accounts_Via_Net_EXE.htm"/>
    <hyperlink ref="AA271" r:id="rId270" display="https://filestore.fortinet.com/docs.fortinet.com/fsiem/Public_Resource_Access/7_6_0/rules/PH_RULE_Suspicious_NTDS_Exfil_Filename_Patterns.htm"/>
    <hyperlink ref="AA272" r:id="rId271" display="https://filestore.fortinet.com/docs.fortinet.com/fsiem/Public_Resource_Access/7_6_0/rules/PH_RULE_Suspicious_WebDav_Client_Execution_SYSMON.htm"/>
    <hyperlink ref="AA273" r:id="rId272" display="https://filestore.fortinet.com/docs.fortinet.com/fsiem/Public_Resource_Access/7_6_0/rules/PH_RULE_Suspicious_Process_Patterns_NTDS_DIT_Exfil.htm"/>
    <hyperlink ref="AA274" r:id="rId273" display="https://filestore.fortinet.com/docs.fortinet.com/fsiem/Public_Resource_Access/7_6_0/rules/PH_RULE_Suspicious_Rejected_SMB_Guest_Logon_From_IP.htm"/>
    <hyperlink ref="AA275" r:id="rId274" display="https://filestore.fortinet.com/docs.fortinet.com/fsiem/Public_Resource_Access/7_6_0/rules/PH_RULE_Suspicious_Renamed_Comsvcs_DLL_Loaded_By_Rundll32.htm"/>
    <hyperlink ref="AA276" r:id="rId275" display="https://filestore.fortinet.com/docs.fortinet.com/fsiem/Public_Resource_Access/7_6_0/rules/PH_RULE_Suspicious_SYSVOL_Domain_Group_Policy_Access.htm"/>
    <hyperlink ref="AA277" r:id="rId276" display="https://filestore.fortinet.com/docs.fortinet.com/fsiem/Public_Resource_Access/7_6_0/rules/PH_RULE_Suspicious_Teams_Application_Related_ObjectAcess_Event.htm"/>
    <hyperlink ref="AA278" r:id="rId277" display="https://filestore.fortinet.com/docs.fortinet.com/fsiem/Public_Resource_Access/7_6_0/rules/PH_RULE_Suspicious_Unsigned_Dbghelp_Dbgcore_DLL_Loaded.htm"/>
    <hyperlink ref="AA279" r:id="rId278" display="https://filestore.fortinet.com/docs.fortinet.com/fsiem/Public_Resource_Access/7_6_0/rules/PH_RULE_Suspicious_Usage_Of_Active_Directory_Diagnostic_Tool_ntdsutil_exe_.htm"/>
    <hyperlink ref="AA280" r:id="rId279" display="https://filestore.fortinet.com/docs.fortinet.com/fsiem/Public_Resource_Access/7_6_0/rules/PH_RULE_Image_Load_of_VSS_PS_dll_by_Uncommon_Executable.htm"/>
    <hyperlink ref="AA281" r:id="rId280" display="https://filestore.fortinet.com/docs.fortinet.com/fsiem/Public_Resource_Access/7_6_0/rules/PH_RULE_Suspicious_Volume_Shadow_Copy_Vssapi_dll_Load.htm"/>
    <hyperlink ref="AA282" r:id="rId281" display="https://filestore.fortinet.com/docs.fortinet.com/fsiem/Public_Resource_Access/7_6_0/rules/PH_RULE_Time_Travel_Debugging_Utility_Usage_SYSMON_V1.htm"/>
    <hyperlink ref="AA283" r:id="rId282" display="https://filestore.fortinet.com/docs.fortinet.com/fsiem/Public_Resource_Access/7_6_0/rules/PH_RULE_Time_Travel_Debugging_Utility_Usage_SYSMON_V2.htm"/>
    <hyperlink ref="AA284" r:id="rId283" display="https://filestore.fortinet.com/docs.fortinet.com/fsiem/Public_Resource_Access/7_6_0/rules/PH_RULE_Transfering_Files_with_Credential_Data_via_Network_Shares.htm"/>
    <hyperlink ref="AA285" r:id="rId284" display="https://filestore.fortinet.com/docs.fortinet.com/fsiem/Public_Resource_Access/7_6_0/rules/PH_RULE_Typical_HiveNightmare_SAM_File_Export.htm"/>
    <hyperlink ref="AA286" r:id="rId285" display="https://filestore.fortinet.com/docs.fortinet.com/fsiem/Public_Resource_Access/7_6_0/rules/PH_RULE_Unsigned_Image_Loaded_Into_LSASS_Process.htm"/>
    <hyperlink ref="AA287" r:id="rId286" display="https://filestore.fortinet.com/docs.fortinet.com/fsiem/Public_Resource_Access/7_6_0/rules/PH_RULE_Use_of_Adplus_exe.htm"/>
    <hyperlink ref="AA288" r:id="rId287" display="https://filestore.fortinet.com/docs.fortinet.com/fsiem/Public_Resource_Access/7_6_0/rules/PH_RULE_Use_of_PktMon_exe.htm"/>
    <hyperlink ref="AA289" r:id="rId288" display="https://filestore.fortinet.com/docs.fortinet.com/fsiem/Public_Resource_Access/7_6_0/rules/PH_RULE_User_Added_to_Local_Administrators.htm"/>
    <hyperlink ref="AA290" r:id="rId289" display="https://filestore.fortinet.com/docs.fortinet.com/fsiem/Public_Resource_Access/7_6_0/rules/PH_RULE_VeeamBackup_Database_Credentials_Dump.htm"/>
    <hyperlink ref="AA291" r:id="rId290" display="https://filestore.fortinet.com/docs.fortinet.com/fsiem/Public_Resource_Access/7_6_0/rules/PH_RULE_Volume_Shadow_Copy_Mount.htm"/>
    <hyperlink ref="AA292" r:id="rId291" display="https://filestore.fortinet.com/docs.fortinet.com/fsiem/Public_Resource_Access/7_6_0/rules/PH_RULE_Shadow_Copies_Access_via_Symlink.htm"/>
    <hyperlink ref="AA293" r:id="rId292" display="https://filestore.fortinet.com/docs.fortinet.com/fsiem/Public_Resource_Access/7_6_0/rules/PH_RULE_VSSAudit_Security_Event_Source_Registration.htm"/>
    <hyperlink ref="AA294" r:id="rId293" display="https://filestore.fortinet.com/docs.fortinet.com/fsiem/Public_Resource_Access/7_6_0/rules/PH_RULE_WCE_wceaux_dll_Access.htm"/>
    <hyperlink ref="AA295" r:id="rId294" display="https://filestore.fortinet.com/docs.fortinet.com/fsiem/Public_Resource_Access/7_6_0/rules/PH_RULE_Weak_or_Abused_Passwords_In_CLI.htm"/>
    <hyperlink ref="AA296" r:id="rId295" display="https://filestore.fortinet.com/docs.fortinet.com/fsiem/Public_Resource_Access/7_6_0/rules/PH_RULE_WerFault_Accassing_LSASS.htm"/>
    <hyperlink ref="AA297" r:id="rId296" display="https://filestore.fortinet.com/docs.fortinet.com/fsiem/Public_Resource_Access/7_6_0/rules/PH_RULE_WerFault_LSASS_Process_Memory_Dump.htm"/>
    <hyperlink ref="AA298" r:id="rId297" display="https://filestore.fortinet.com/docs.fortinet.com/fsiem/Public_Resource_Access/7_6_0/rules/PH_RULE_Windows_Credential_Editor_Install_Registry.htm"/>
    <hyperlink ref="AA299" r:id="rId298" display="https://filestore.fortinet.com/docs.fortinet.com/fsiem/Public_Resource_Access/7_6_0/rules/PH_RULE_Windows_Credential_Manager_Access_via_VaultCmd.htm"/>
    <hyperlink ref="AA300" r:id="rId299" display="https://filestore.fortinet.com/docs.fortinet.com/fsiem/Public_Resource_Access/7_6_0/rules/PH_RULE_Windows_Pcap_Drivers.htm"/>
    <hyperlink ref="AA301" r:id="rId300" display="https://filestore.fortinet.com/docs.fortinet.com/fsiem/Public_Resource_Access/7_6_0/rules/PH_RULE_XORDump_Use.htm"/>
    <hyperlink ref="AA302" r:id="rId301" display="https://filestore.fortinet.com/docs.fortinet.com/fsiem/Public_Resource_Access/7_6_0/rules/PH_RULE_WIRELESS_MITM_ATTACK.htm"/>
    <hyperlink ref="AA303" r:id="rId302" display="https://filestore.fortinet.com/docs.fortinet.com/fsiem/Public_Resource_Access/7_6_0/rules/PH_RULE_ArubaOS_CX_MultipleUsersDeleted.htm"/>
    <hyperlink ref="AA304" r:id="rId303" display="https://filestore.fortinet.com/docs.fortinet.com/fsiem/Public_Resource_Access/7_6_0/rules/PH_RULE_ArubaOS_CX_UserAdded.htm"/>
    <hyperlink ref="AA305" r:id="rId304" display="https://filestore.fortinet.com/docs.fortinet.com/fsiem/Public_Resource_Access/7_6_0/rules/PH_RULE_ArubaOS_CX_UserDeleted.htm"/>
    <hyperlink ref="AA306" r:id="rId305" display="https://filestore.fortinet.com/docs.fortinet.com/fsiem/Public_Resource_Access/7_6_0/rules/PH_RULE_SCH_ATTACK_CHAIN.htm"/>
    <hyperlink ref="AA307" r:id="rId306" display="https://filestore.fortinet.com/docs.fortinet.com/fsiem/Public_Resource_Access/7_6_0/rules/PH_RULE_AWS_EC2_Network_Access_Control_List_Creation.htm"/>
    <hyperlink ref="AA308" r:id="rId307" display="https://filestore.fortinet.com/docs.fortinet.com/fsiem/Public_Resource_Access/7_6_0/rules/PH_RULE_AWS_IAM_Assume_Role_Policy_Update.htm"/>
    <hyperlink ref="AA309" r:id="rId308" display="https://filestore.fortinet.com/docs.fortinet.com/fsiem/Public_Resource_Access/7_6_0/rules/PH_RULE_AWS_IAM_Group_Creation.htm"/>
    <hyperlink ref="AA310" r:id="rId309" display="https://filestore.fortinet.com/docs.fortinet.com/fsiem/Public_Resource_Access/7_6_0/rules/PH_RULE_AWS_IAM_Group_Deletion.htm"/>
    <hyperlink ref="AA311" r:id="rId310" display="https://filestore.fortinet.com/docs.fortinet.com/fsiem/Public_Resource_Access/7_6_0/rules/PH_RULE_AWS_IAM_User_Addition_to_Group.htm"/>
    <hyperlink ref="AA312" r:id="rId311" display="https://filestore.fortinet.com/docs.fortinet.com/fsiem/Public_Resource_Access/7_6_0/rules/PH_RULE_AWS_Management_Console_Root_Login.htm"/>
    <hyperlink ref="AA313" r:id="rId312" display="https://filestore.fortinet.com/docs.fortinet.com/fsiem/Public_Resource_Access/7_6_0/rules/PH_RULE_Azure_Automation_Account_Created.htm"/>
    <hyperlink ref="AA314" r:id="rId313" display="https://filestore.fortinet.com/docs.fortinet.com/fsiem/Public_Resource_Access/7_6_0/rules/PH_RULE_Azure_Conditional_Access_Policy_Modified.htm"/>
    <hyperlink ref="AA315" r:id="rId314" display="https://filestore.fortinet.com/docs.fortinet.com/fsiem/Public_Resource_Access/7_6_0/rules/PH_RULE_Azure_Event_Hub_Authorization_Rule_Created_or_Updated.htm"/>
    <hyperlink ref="AA316" r:id="rId315" display="https://filestore.fortinet.com/docs.fortinet.com/fsiem/Public_Resource_Access/7_6_0/rules/PH_RULE_Azure_External_Guest_User_Invitation.htm"/>
    <hyperlink ref="AA317" r:id="rId316" display="https://filestore.fortinet.com/docs.fortinet.com/fsiem/Public_Resource_Access/7_6_0/rules/PH_RULE_Azure_Privilege_Identity_Management_Role_Modified.htm"/>
    <hyperlink ref="AA318" r:id="rId317" display="https://filestore.fortinet.com/docs.fortinet.com/fsiem/Public_Resource_Access/7_6_0/rules/PH_RULE_CONCURRENT_FAILED_AUTH_MULTI_CITY.htm"/>
    <hyperlink ref="AA319" r:id="rId318" display="https://filestore.fortinet.com/docs.fortinet.com/fsiem/Public_Resource_Access/7_6_0/rules/PH_RULE_CONCURRENT_SUCCESS_AUTH_MULTI_CITY.htm"/>
    <hyperlink ref="AA320" r:id="rId319" display="https://filestore.fortinet.com/docs.fortinet.com/fsiem/Public_Resource_Access/7_6_0/rules/PH_RULE_Crowd_CorrRuleDetectionSummEvent.htm"/>
    <hyperlink ref="AA321" r:id="rId320" display="https://filestore.fortinet.com/docs.fortinet.com/fsiem/Public_Resource_Access/7_6_0/rules/PH_RULE_Crowd_FCS_DetectionSummaryEvent.htm"/>
    <hyperlink ref="AA322" r:id="rId321" display="https://filestore.fortinet.com/docs.fortinet.com/fsiem/Public_Resource_Access/7_6_0/rules/PH_RULE_Crowd_IdentityProtectionEvent.htm"/>
    <hyperlink ref="AA323" r:id="rId322" display="https://filestore.fortinet.com/docs.fortinet.com/fsiem/Public_Resource_Access/7_6_0/rules/PH_RULE_Crowd_IDP_Detections_Trigger.htm"/>
    <hyperlink ref="AA324" r:id="rId323" display="https://filestore.fortinet.com/docs.fortinet.com/fsiem/Public_Resource_Access/7_6_0/rules/PH_RULE_CHANGE_DB_USER.htm"/>
    <hyperlink ref="AA325" r:id="rId324" display="https://filestore.fortinet.com/docs.fortinet.com/fsiem/Public_Resource_Access/7_6_0/rules/PH_RULE_DISABLED_ACCOUNT_ACCESS.htm"/>
    <hyperlink ref="AA326" r:id="rId325" display="https://filestore.fortinet.com/docs.fortinet.com/fsiem/Public_Resource_Access/7_6_0/rules/PH_RULE_DEST_DC_REPL_FAILURE.htm"/>
    <hyperlink ref="AA327" r:id="rId326" display="https://filestore.fortinet.com/docs.fortinet.com/fsiem/Public_Resource_Access/7_6_0/rules/PH_RULE_RANSOMWARE_DETECTED.htm"/>
    <hyperlink ref="AA328" r:id="rId327" display="https://filestore.fortinet.com/docs.fortinet.com/fsiem/Public_Resource_Access/7_6_0/rules/PH_RULE_SRC_DC_REPL_FAILURE.htm"/>
    <hyperlink ref="AA329" r:id="rId328" display="https://filestore.fortinet.com/docs.fortinet.com/fsiem/Public_Resource_Access/7_6_0/rules/PH_RULE_FAILED_ACTIVITY_ON_DISABLED_ACCT.htm"/>
    <hyperlink ref="AA330" r:id="rId329" display="https://filestore.fortinet.com/docs.fortinet.com/fsiem/Public_Resource_Access/7_6_0/rules/PH_RULE_DC_DIAG_FAILURE.htm"/>
    <hyperlink ref="AA331" r:id="rId330" display="https://filestore.fortinet.com/docs.fortinet.com/fsiem/Public_Resource_Access/7_6_0/rules/PH_RULE_CUST_FILE_PERM_OWN_CHANGE.htm"/>
    <hyperlink ref="AA332" r:id="rId331" display="https://filestore.fortinet.com/docs.fortinet.com/fsiem/Public_Resource_Access/7_6_0/rules/PH_RULE_FGT_Admin_User_Added.htm"/>
    <hyperlink ref="AA333" r:id="rId332" display="https://filestore.fortinet.com/docs.fortinet.com/fsiem/Public_Resource_Access/7_6_0/rules/PH_RULE_FGT_Admin_User_Added_Console.htm"/>
    <hyperlink ref="AA334" r:id="rId333" display="https://filestore.fortinet.com/docs.fortinet.com/fsiem/Public_Resource_Access/7_6_0/rules/PH_RULE_FGT_Admin_User_Deleted.htm"/>
    <hyperlink ref="AA335" r:id="rId334" display="https://filestore.fortinet.com/docs.fortinet.com/fsiem/Public_Resource_Access/7_6_0/rules/PH_RULE_FGT_Admin_User_Deleted_Console.htm"/>
    <hyperlink ref="AA336" r:id="rId335" display="https://filestore.fortinet.com/docs.fortinet.com/fsiem/Public_Resource_Access/7_6_0/rules/PH_RULE_SYS_USER_CREATED.htm"/>
    <hyperlink ref="AA337" r:id="rId336" display="https://filestore.fortinet.com/docs.fortinet.com/fsiem/Public_Resource_Access/7_6_0/rules/PH_RULE_GCP_AUDIT_IAM_CUSTOM_ROLE_CREATED.htm"/>
    <hyperlink ref="AA338" r:id="rId337" display="https://filestore.fortinet.com/docs.fortinet.com/fsiem/Public_Resource_Access/7_6_0/rules/PH_RULE_GCP_AUDIT_IAM_CUSTOM_ROLE_DELETED.htm"/>
    <hyperlink ref="AA339" r:id="rId338" display="https://filestore.fortinet.com/docs.fortinet.com/fsiem/Public_Resource_Access/7_6_0/rules/PH_RULE_GCP_AUDIT_IAM_ROLE_ASSIGNED.htm"/>
    <hyperlink ref="AA340" r:id="rId339" display="https://filestore.fortinet.com/docs.fortinet.com/fsiem/Public_Resource_Access/7_6_0/rules/PH_RULE_GCP_AUDIT_SERVICE_ACCOUNT_KEY_CREATE.htm"/>
    <hyperlink ref="AA341" r:id="rId340" display="https://filestore.fortinet.com/docs.fortinet.com/fsiem/Public_Resource_Access/7_6_0/rules/PH_RULE_GCP_AUDIT_SERVICE_ACCOUNT_KEY_DELETE.htm"/>
    <hyperlink ref="AA342" r:id="rId341" display="https://filestore.fortinet.com/docs.fortinet.com/fsiem/Public_Resource_Access/7_6_0/rules/PH_RULE_GCP_AUDIT_SERVICE_ACCOUNT_CREATED.htm"/>
    <hyperlink ref="AA343" r:id="rId342" display="https://filestore.fortinet.com/docs.fortinet.com/fsiem/Public_Resource_Access/7_6_0/rules/PH_RULE_GCP_AUDIT_SERVICE_ACCOUNT_DELETED.htm"/>
    <hyperlink ref="AA344" r:id="rId343" display="https://filestore.fortinet.com/docs.fortinet.com/fsiem/Public_Resource_Access/7_6_0/rules/PH_RULE_GCP_AUDIT_SERVICE_ACCOUNT_DISABLED.htm"/>
    <hyperlink ref="AA345" r:id="rId344" display="https://filestore.fortinet.com/docs.fortinet.com/fsiem/Public_Resource_Access/7_6_0/rules/PH_RULE_Google_Workspace_API_AccessPermit.htm"/>
    <hyperlink ref="AA346" r:id="rId345" display="https://filestore.fortinet.com/docs.fortinet.com/fsiem/Public_Resource_Access/7_6_0/rules/PH_RULE_Google_Workspace_RoleAssigned.htm"/>
    <hyperlink ref="AA347" r:id="rId346" display="https://filestore.fortinet.com/docs.fortinet.com/fsiem/Public_Resource_Access/7_6_0/rules/PH_RULE_Google_Workspace_RoleCreated.htm"/>
    <hyperlink ref="AA348" r:id="rId347" display="https://filestore.fortinet.com/docs.fortinet.com/fsiem/Public_Resource_Access/7_6_0/rules/PH_RULE_Google_Workspace_RoleModified.htm"/>
    <hyperlink ref="AA349" r:id="rId348" display="https://filestore.fortinet.com/docs.fortinet.com/fsiem/Public_Resource_Access/7_6_0/rules/PH_RULE_GPO_Created.htm"/>
    <hyperlink ref="AA350" r:id="rId349" display="https://filestore.fortinet.com/docs.fortinet.com/fsiem/Public_Resource_Access/7_6_0/rules/PH_RULE_GPO_Modification.htm"/>
    <hyperlink ref="AA351" r:id="rId350" display="https://filestore.fortinet.com/docs.fortinet.com/fsiem/Public_Resource_Access/7_6_0/rules/PH_RULE_ICS_Data_from_Information_Repositories.htm"/>
    <hyperlink ref="AA352" r:id="rId351" display="https://filestore.fortinet.com/docs.fortinet.com/fsiem/Public_Resource_Access/7_6_0/rules/PH_RULE_ICS_Screen_Capture.htm"/>
    <hyperlink ref="AA353" r:id="rId352" display="https://filestore.fortinet.com/docs.fortinet.com/fsiem/Public_Resource_Access/7_6_0/rules/PH_RULE_Linux_Account_Discovery_via_Built_In_Tools.htm"/>
    <hyperlink ref="AA354" r:id="rId353" display="https://filestore.fortinet.com/docs.fortinet.com/fsiem/Public_Resource_Access/7_6_0/rules/PH_RULE_LINUX_USER_UNLOCKED.htm"/>
    <hyperlink ref="AA355" r:id="rId354" display="https://filestore.fortinet.com/docs.fortinet.com/fsiem/Public_Resource_Access/7_6_0/rules/PH_RULE_LINUX_AGENT_DIR_PERM_OWN_CHANGE.htm"/>
    <hyperlink ref="AA356" r:id="rId355" display="https://filestore.fortinet.com/docs.fortinet.com/fsiem/Public_Resource_Access/7_6_0/rules/PH_RULE_FILE_PERM_OWN_CHANGE.htm"/>
    <hyperlink ref="AA357" r:id="rId356" display="https://filestore.fortinet.com/docs.fortinet.com/fsiem/Public_Resource_Access/7_6_0/rules/PH_RULE_LINUX_USER_PROP_CHANGED.htm"/>
    <hyperlink ref="AA358" r:id="rId357" display="https://filestore.fortinet.com/docs.fortinet.com/fsiem/Public_Resource_Access/7_6_0/rules/PH_RULE_LINUX_USER_ADDED_TO_ADMIN_GROUP.htm"/>
    <hyperlink ref="AA359" r:id="rId358" display="https://filestore.fortinet.com/docs.fortinet.com/fsiem/Public_Resource_Access/7_6_0/rules/PH_RULE_LINUX_USER_ADDED_TO_GROUP.htm"/>
    <hyperlink ref="AA360" r:id="rId359" display="https://filestore.fortinet.com/docs.fortinet.com/fsiem/Public_Resource_Access/7_6_0/rules/PH_RULE_LINUX_USER_CREATED.htm"/>
    <hyperlink ref="AA361" r:id="rId360" display="https://filestore.fortinet.com/docs.fortinet.com/fsiem/Public_Resource_Access/7_6_0/rules/PH_RULE_LINUX_USER_DELETED.htm"/>
    <hyperlink ref="AA362" r:id="rId361" display="https://filestore.fortinet.com/docs.fortinet.com/fsiem/Public_Resource_Access/7_6_0/rules/PH_RULE_LINUX_USER_DELETED_FROM_ADMIN_GROUP.htm"/>
    <hyperlink ref="AA363" r:id="rId362" display="https://filestore.fortinet.com/docs.fortinet.com/fsiem/Public_Resource_Access/7_6_0/rules/PH_RULE_LINUX_USER_DELETED_FROM_GROUP.htm"/>
    <hyperlink ref="AA364" r:id="rId363" display="https://filestore.fortinet.com/docs.fortinet.com/fsiem/Public_Resource_Access/7_6_0/rules/PH_RULE_LINUX_USER_NAME_CHANGED.htm"/>
    <hyperlink ref="AA365" r:id="rId364" display="https://filestore.fortinet.com/docs.fortinet.com/fsiem/Public_Resource_Access/7_6_0/rules/PH_RULE_LINUX_USER_PWD_CHANGED.htm"/>
    <hyperlink ref="AA366" r:id="rId365" display="https://filestore.fortinet.com/docs.fortinet.com/fsiem/Public_Resource_Access/7_6_0/rules/PH_RULE_Linux_Creation_of_an_Archive_with_Common_Archivers.htm"/>
    <hyperlink ref="AA367" r:id="rId366" display="https://filestore.fortinet.com/docs.fortinet.com/fsiem/Public_Resource_Access/7_6_0/rules/PH_RULE_TH_Linux_sudoers_mod.htm"/>
    <hyperlink ref="AA368" r:id="rId367" display="https://filestore.fortinet.com/docs.fortinet.com/fsiem/Public_Resource_Access/7_6_0/rules/PH_RULE_LOGON_TIME_VIOLATION.htm"/>
    <hyperlink ref="AA369" r:id="rId368" display="https://filestore.fortinet.com/docs.fortinet.com/fsiem/Public_Resource_Access/7_6_0/rules/PH_RULE_MERAKI_NEW_SPLASH_USER.htm"/>
    <hyperlink ref="AA370" r:id="rId369" display="https://filestore.fortinet.com/docs.fortinet.com/fsiem/Public_Resource_Access/7_6_0/rules/PH_RULE_MS_Entra_IdentityProtectRiskyUser.htm"/>
    <hyperlink ref="AA371" r:id="rId370" display="https://filestore.fortinet.com/docs.fortinet.com/fsiem/Public_Resource_Access/7_6_0/rules/PH_RULE_Multi_Factor_Authentication_Disabled_for_an_Azure_User.htm"/>
    <hyperlink ref="AA372" r:id="rId371" display="https://filestore.fortinet.com/docs.fortinet.com/fsiem/Public_Resource_Access/7_6_0/rules/PH_RULE_MULTI_ACCOUNT_DISABLED.htm"/>
    <hyperlink ref="AA373" r:id="rId372" display="https://filestore.fortinet.com/docs.fortinet.com/fsiem/Public_Resource_Access/7_6_0/rules/PH_RULE_OracleOci_CustSecretKeyCreated.htm"/>
    <hyperlink ref="AA374" r:id="rId373" display="https://filestore.fortinet.com/docs.fortinet.com/fsiem/Public_Resource_Access/7_6_0/rules/PH_RULE_OracleOci_GroupCreated.htm"/>
    <hyperlink ref="AA375" r:id="rId374" display="https://filestore.fortinet.com/docs.fortinet.com/fsiem/Public_Resource_Access/7_6_0/rules/PH_RULE_OracleOci_UserApiKeyUploaded.htm"/>
    <hyperlink ref="AA376" r:id="rId375" display="https://filestore.fortinet.com/docs.fortinet.com/fsiem/Public_Resource_Access/7_6_0/rules/PH_RULE_OracleOci_UserAuthTokenCreated.htm"/>
    <hyperlink ref="AA377" r:id="rId376" display="https://filestore.fortinet.com/docs.fortinet.com/fsiem/Public_Resource_Access/7_6_0/rules/PH_RULE_OracleOci_UserCreated.htm"/>
    <hyperlink ref="AA378" r:id="rId377" display="https://filestore.fortinet.com/docs.fortinet.com/fsiem/Public_Resource_Access/7_6_0/rules/PH_RULE_OracleOci_UserDeleted.htm"/>
    <hyperlink ref="AA379" r:id="rId378" display="https://filestore.fortinet.com/docs.fortinet.com/fsiem/Public_Resource_Access/7_6_0/rules/PH_RULE_OracleOci_UserOAuthClientCredCreated.htm"/>
    <hyperlink ref="AA380" r:id="rId379" display="https://filestore.fortinet.com/docs.fortinet.com/fsiem/Public_Resource_Access/7_6_0/rules/PH_RULE_O365_AdminUserMailForwardRuleCreated.htm"/>
    <hyperlink ref="AA381" r:id="rId380" display="https://filestore.fortinet.com/docs.fortinet.com/fsiem/Public_Resource_Access/7_6_0/rules/PH_RULE_O365_StrongAuthDisabled.htm"/>
    <hyperlink ref="AA382" r:id="rId381" display="https://filestore.fortinet.com/docs.fortinet.com/fsiem/Public_Resource_Access/7_6_0/rules/PH_RULE_ActiveDirectory_PrivEscalExploit_Host.htm"/>
    <hyperlink ref="AA383" r:id="rId382" display="https://filestore.fortinet.com/docs.fortinet.com/fsiem/Public_Resource_Access/7_6_0/rules/PH_RULE_ActiveDirectory_PrivEscalExploit_Network.htm"/>
    <hyperlink ref="AA384" r:id="rId383" display="https://filestore.fortinet.com/docs.fortinet.com/fsiem/Public_Resource_Access/7_6_0/rules/PH_RULE_FAILED_PRIV_EXEC.htm"/>
    <hyperlink ref="AA385" r:id="rId384" display="https://filestore.fortinet.com/docs.fortinet.com/fsiem/Public_Resource_Access/7_6_0/rules/PH_RULE_RANSOMWARE_OUTBREAK_DETECTED.htm"/>
    <hyperlink ref="AA386" r:id="rId385" display="https://filestore.fortinet.com/docs.fortinet.com/fsiem/Public_Resource_Access/7_6_0/rules/PH_RULE_Cert_Mon_SelfSigned_Win_CertAdded.htm"/>
    <hyperlink ref="AA387" r:id="rId386" display="https://filestore.fortinet.com/docs.fortinet.com/fsiem/Public_Resource_Access/7_6_0/rules/PH_RULE_SUCCESS_ACTIVITY_ON_DISABLED_ACCT.htm"/>
    <hyperlink ref="AA388" r:id="rId387" display="https://filestore.fortinet.com/docs.fortinet.com/fsiem/Public_Resource_Access/7_6_0/rules/PH_RULE_DORMANT_USER_LOGON.htm"/>
    <hyperlink ref="AA389" r:id="rId388" display="https://filestore.fortinet.com/docs.fortinet.com/fsiem/Public_Resource_Access/7_6_0/rules/PH_RULE_ANOMALY_FAILED_LOGON.htm"/>
    <hyperlink ref="AA390" r:id="rId389" display="https://filestore.fortinet.com/docs.fortinet.com/fsiem/Public_Resource_Access/7_6_0/rules/PH_RULE_ANOMALY_SUCCESSFUL_LOGON.htm"/>
    <hyperlink ref="AA391" r:id="rId390" display="https://filestore.fortinet.com/docs.fortinet.com/fsiem/Public_Resource_Access/7_6_0/rules/PH_RULE_TRANSIENT_ACCT_USAGE.htm"/>
    <hyperlink ref="AA392" r:id="rId391" display="https://filestore.fortinet.com/docs.fortinet.com/fsiem/Public_Resource_Access/7_6_0/rules/PH_RULE_SCH_TRANSIENT_ACCT_USAGE.htm"/>
    <hyperlink ref="AA393" r:id="rId392" display="https://filestore.fortinet.com/docs.fortinet.com/fsiem/Public_Resource_Access/7_6_0/rules/PH_RULE_AWS_UNCOMMON_LOGIN.htm"/>
    <hyperlink ref="AA394" r:id="rId393" display="https://filestore.fortinet.com/docs.fortinet.com/fsiem/Public_Resource_Access/7_6_0/rules/PH_RULE_AZURE_PORTAL_UNCOMMON_LOGIN.htm"/>
    <hyperlink ref="AA395" r:id="rId394" display="https://filestore.fortinet.com/docs.fortinet.com/fsiem/Public_Resource_Access/7_6_0/rules/PH_RULE_GSUITE_UNCOMMON_LOGIN.htm"/>
    <hyperlink ref="AA396" r:id="rId395" display="https://filestore.fortinet.com/docs.fortinet.com/fsiem/Public_Resource_Access/7_6_0/rules/PH_RULE_LINUX_UNCOMMON_SSH.htm"/>
    <hyperlink ref="AA397" r:id="rId396" display="https://filestore.fortinet.com/docs.fortinet.com/fsiem/Public_Resource_Access/7_6_0/rules/PH_RULE_O365_MAIL_UNCOMMON_LOGIN.htm"/>
    <hyperlink ref="AA398" r:id="rId397" display="https://filestore.fortinet.com/docs.fortinet.com/fsiem/Public_Resource_Access/7_6_0/rules/PH_RULE_VPN_UNCOMMON_LOGIN.htm"/>
    <hyperlink ref="AA399" r:id="rId398" display="https://filestore.fortinet.com/docs.fortinet.com/fsiem/Public_Resource_Access/7_6_0/rules/PH_RULE_WINDOWS_UNCOMMON_RDP.htm"/>
    <hyperlink ref="AA400" r:id="rId399" display="https://filestore.fortinet.com/docs.fortinet.com/fsiem/Public_Resource_Access/7_6_0/rules/PH_RULE_ADD_WIN_ADMINISTRATOR.htm"/>
    <hyperlink ref="AA401" r:id="rId400" display="https://filestore.fortinet.com/docs.fortinet.com/fsiem/Public_Resource_Access/7_6_0/rules/PH_RULE_ADD_BACKUP_OPERATOR.htm"/>
    <hyperlink ref="AA402" r:id="rId401" display="https://filestore.fortinet.com/docs.fortinet.com/fsiem/Public_Resource_Access/7_6_0/rules/PH_RULE_ADD_DNS_ADMIN.htm"/>
    <hyperlink ref="AA403" r:id="rId402" display="https://filestore.fortinet.com/docs.fortinet.com/fsiem/Public_Resource_Access/7_6_0/rules/PH_RULE_ADD_DOMAIN_ADMIN.htm"/>
    <hyperlink ref="AA404" r:id="rId403" display="https://filestore.fortinet.com/docs.fortinet.com/fsiem/Public_Resource_Access/7_6_0/rules/PH_RULE_ADD_REMOTE_DESKTOP_USER.htm"/>
    <hyperlink ref="AA405" r:id="rId404" display="https://filestore.fortinet.com/docs.fortinet.com/fsiem/Public_Resource_Access/7_6_0/rules/PH_RULE_DELETE_WIN_ADMINISTRATOR.htm"/>
    <hyperlink ref="AA406" r:id="rId405" display="https://filestore.fortinet.com/docs.fortinet.com/fsiem/Public_Resource_Access/7_6_0/rules/PH_RULE_DELETE_BACKUP_OPERATOR.htm"/>
    <hyperlink ref="AA407" r:id="rId406" display="https://filestore.fortinet.com/docs.fortinet.com/fsiem/Public_Resource_Access/7_6_0/rules/PH_RULE_DELETE_DNS_ADMIN.htm"/>
    <hyperlink ref="AA408" r:id="rId407" display="https://filestore.fortinet.com/docs.fortinet.com/fsiem/Public_Resource_Access/7_6_0/rules/PH_RULE_DELETE_DOMAIN_ADMIN.htm"/>
    <hyperlink ref="AA409" r:id="rId408" display="https://filestore.fortinet.com/docs.fortinet.com/fsiem/Public_Resource_Access/7_6_0/rules/PH_RULE_DELETE_REMOTE_DESKTOP_USER.htm"/>
    <hyperlink ref="AA410" r:id="rId409" display="https://filestore.fortinet.com/docs.fortinet.com/fsiem/Public_Resource_Access/7_6_0/rules/PH_RULE_WIN_USER_UNLOCKED.htm"/>
    <hyperlink ref="AA411" r:id="rId410" display="https://filestore.fortinet.com/docs.fortinet.com/fsiem/Public_Resource_Access/7_6_0/rules/PH_RULE_AUDIT_DISABLED.htm"/>
    <hyperlink ref="AA412" r:id="rId411" display="https://filestore.fortinet.com/docs.fortinet.com/fsiem/Public_Resource_Access/7_6_0/rules/PH_RULE_WINDOWS_CLUSTER_MEMBERSHIP_ERROR.htm"/>
    <hyperlink ref="AA413" r:id="rId412" display="https://filestore.fortinet.com/docs.fortinet.com/fsiem/Public_Resource_Access/7_6_0/rules/PH_RULE_WINDOWS_CLUSTER_QUORUM_ERROR.htm"/>
    <hyperlink ref="AA414" r:id="rId413" display="https://filestore.fortinet.com/docs.fortinet.com/fsiem/Public_Resource_Access/7_6_0/rules/PH_RULE_WINDOWS_CLUSTER_STARTUP_ERROR.htm"/>
    <hyperlink ref="AA415" r:id="rId414" display="https://filestore.fortinet.com/docs.fortinet.com/fsiem/Public_Resource_Access/7_6_0/rules/PH_RULE_WIN_AGENT_FILE_PERM_CHANGE.htm"/>
    <hyperlink ref="AA416" r:id="rId415" display="https://filestore.fortinet.com/docs.fortinet.com/fsiem/Public_Resource_Access/7_6_0/rules/PH_RULE_DORMANT_USER_DETECTED.htm"/>
    <hyperlink ref="AA417" r:id="rId416" display="https://filestore.fortinet.com/docs.fortinet.com/fsiem/Public_Resource_Access/7_6_0/rules/PH_RULE_WINDOWS_FAILED_FILE_ACCESS.htm"/>
    <hyperlink ref="AA418" r:id="rId417" display="https://filestore.fortinet.com/docs.fortinet.com/fsiem/Public_Resource_Access/7_6_0/rules/PH_RULE_WIN_GROUP_CHANGED.htm"/>
    <hyperlink ref="AA419" r:id="rId418" display="https://filestore.fortinet.com/docs.fortinet.com/fsiem/Public_Resource_Access/7_6_0/rules/PH_RULE_WIN_GROUP_CREATED.htm"/>
    <hyperlink ref="AA420" r:id="rId419" display="https://filestore.fortinet.com/docs.fortinet.com/fsiem/Public_Resource_Access/7_6_0/rules/PH_RULE_WIN_GROUP_DELETED.htm"/>
    <hyperlink ref="AA421" r:id="rId420" display="https://filestore.fortinet.com/docs.fortinet.com/fsiem/Public_Resource_Access/7_6_0/rules/PH_RULE_WIN_SEC_LOG_SVC_SHUTDOWN.htm"/>
    <hyperlink ref="AA422" r:id="rId421" display="https://filestore.fortinet.com/docs.fortinet.com/fsiem/Public_Resource_Access/7_6_0/rules/PH_RULE_WIN_SEC_LOG_SVC_SHUTDOWN_NO_RESTART.htm"/>
    <hyperlink ref="AA423" r:id="rId422" display="https://filestore.fortinet.com/docs.fortinet.com/fsiem/Public_Resource_Access/7_6_0/rules/PH_RULE_WIN_SEC_LOG_CLEARED.htm"/>
    <hyperlink ref="AA424" r:id="rId423" display="https://filestore.fortinet.com/docs.fortinet.com/fsiem/Public_Resource_Access/7_6_0/rules/PH_RULE_WIN_SEC_LOG_FULL.htm"/>
    <hyperlink ref="AA425" r:id="rId424" display="https://filestore.fortinet.com/docs.fortinet.com/fsiem/Public_Resource_Access/7_6_0/rules/PH_RULE_WINDOWS_SUCCESS_FILE_ACCESS.htm"/>
    <hyperlink ref="AA426" r:id="rId425" display="https://filestore.fortinet.com/docs.fortinet.com/fsiem/Public_Resource_Access/7_6_0/rules/PH_RULE_WIN_USER_DISABLED.htm"/>
    <hyperlink ref="AA427" r:id="rId426" display="https://filestore.fortinet.com/docs.fortinet.com/fsiem/Public_Resource_Access/7_6_0/rules/PH_RULE_WIN_USER_ENABLED.htm"/>
    <hyperlink ref="AA428" r:id="rId427" display="https://filestore.fortinet.com/docs.fortinet.com/fsiem/Public_Resource_Access/7_6_0/rules/PH_RULE_WIN_USER_NAME_CHANGED.htm"/>
    <hyperlink ref="AA429" r:id="rId428" display="https://filestore.fortinet.com/docs.fortinet.com/fsiem/Public_Resource_Access/7_6_0/rules/PH_RULE_WIN_USER_PROP_CHANGED.htm"/>
    <hyperlink ref="AA430" r:id="rId429" display="https://filestore.fortinet.com/docs.fortinet.com/fsiem/Public_Resource_Access/7_6_0/rules/PH_RULE_WIN_USER_ADDED_TO_GROUP.htm"/>
    <hyperlink ref="AA431" r:id="rId430" display="https://filestore.fortinet.com/docs.fortinet.com/fsiem/Public_Resource_Access/7_6_0/rules/PH_RULE_WIN_USER_CREATED.htm"/>
    <hyperlink ref="AA432" r:id="rId431" display="https://filestore.fortinet.com/docs.fortinet.com/fsiem/Public_Resource_Access/7_6_0/rules/PH_RULE_WIN_USER_DELETED.htm"/>
    <hyperlink ref="AA433" r:id="rId432" display="https://filestore.fortinet.com/docs.fortinet.com/fsiem/Public_Resource_Access/7_6_0/rules/PH_RULE_CHANGE_DC_USER_GRP.htm"/>
    <hyperlink ref="AA434" r:id="rId433" display="https://filestore.fortinet.com/docs.fortinet.com/fsiem/Public_Resource_Access/7_6_0/rules/PH_RULE_WIN_USER_PWD_CHANGED.htm"/>
    <hyperlink ref="AA435" r:id="rId434" display="https://filestore.fortinet.com/docs.fortinet.com/fsiem/Public_Resource_Access/7_6_0/rules/PH_RULE_WIN_USER_REMOVED_GROUP.htm"/>
    <hyperlink ref="AA436" r:id="rId435" display="https://filestore.fortinet.com/docs.fortinet.com/fsiem/Public_Resource_Access/7_6_0/rules/PH_RULE_A_Member_Was_Removed_From_a_Security_Enabled_Global_Group.htm"/>
    <hyperlink ref="AA437" r:id="rId436" display="https://filestore.fortinet.com/docs.fortinet.com/fsiem/Public_Resource_Access/7_6_0/rules/PH_RULE_Delete_Rule_in_Windows_Firewall_with_Advanced_Security.htm"/>
    <hyperlink ref="AA438" r:id="rId437" display="https://filestore.fortinet.com/docs.fortinet.com/fsiem/Public_Resource_Access/7_6_0/rules/PH_RULE_A_Security_Enabled_Global_Group_Was_Deleted.htm"/>
    <hyperlink ref="AA439" r:id="rId438" display="https://filestore.fortinet.com/docs.fortinet.com/fsiem/Public_Resource_Access/7_6_0/rules/PH_RULE_AADInternals_PowerShell_Cmdlets_Execution_ProccessCreation.htm"/>
    <hyperlink ref="AA440" r:id="rId439" display="https://filestore.fortinet.com/docs.fortinet.com/fsiem/Public_Resource_Access/7_6_0/rules/PH_RULE_AADInternals_PowerShell_Cmdlets_Execution_PsScript.htm"/>
    <hyperlink ref="AA441" r:id="rId440" display="https://filestore.fortinet.com/docs.fortinet.com/fsiem/Public_Resource_Access/7_6_0/rules/PH_RULE_Access_to_ADMIN_Share.htm"/>
    <hyperlink ref="AA442" r:id="rId441" display="https://filestore.fortinet.com/docs.fortinet.com/fsiem/Public_Resource_Access/7_6_0/rules/PH_RULE_Account_Tampering_Suspicious_Failed_Logon_Reasons.htm"/>
    <hyperlink ref="AA443" r:id="rId442" display="https://filestore.fortinet.com/docs.fortinet.com/fsiem/Public_Resource_Access/7_6_0/rules/PH_RULE_Active_Directory_Certificate_Services_Denied_Certificate_Enrollment_Request.htm"/>
    <hyperlink ref="AA444" r:id="rId443" display="https://filestore.fortinet.com/docs.fortinet.com/fsiem/Public_Resource_Access/7_6_0/rules/PH_RULE_Active_Directory_Computers_Enumeration_With_Get_AdComputer.htm"/>
    <hyperlink ref="AA445" r:id="rId444" display="https://filestore.fortinet.com/docs.fortinet.com/fsiem/Public_Resource_Access/7_6_0/rules/PH_RULE_Active_Directory_Group_Enumeration_With_Get_AdGroup.htm"/>
    <hyperlink ref="AA446" r:id="rId445" display="https://filestore.fortinet.com/docs.fortinet.com/fsiem/Public_Resource_Access/7_6_0/rules/PH_RULE_Active_Directory_Structure_Export_Via_Csvde_EXE.htm"/>
    <hyperlink ref="AA447" r:id="rId446" display="https://filestore.fortinet.com/docs.fortinet.com/fsiem/Public_Resource_Access/7_6_0/rules/PH_RULE_Active_Directory_Structure_Export_Via_Ldifde_EXE.htm"/>
    <hyperlink ref="AA448" r:id="rId447" display="https://filestore.fortinet.com/docs.fortinet.com/fsiem/Public_Resource_Access/7_6_0/rules/PH_RULE_AD_Groups_Or_Users_Enumeration_Using_PowerShell_PoshModule.htm"/>
    <hyperlink ref="AA449" r:id="rId448" display="https://filestore.fortinet.com/docs.fortinet.com/fsiem/Public_Resource_Access/7_6_0/rules/PH_RULE_AD_Groups_Or_Users_Enumeration_Using_PowerShell_ScriptBlock.htm"/>
    <hyperlink ref="AA450" r:id="rId449" display="https://filestore.fortinet.com/docs.fortinet.com/fsiem/Public_Resource_Access/7_6_0/rules/PH_RULE_AD_Object_WriteDAC_Access.htm"/>
    <hyperlink ref="AA451" r:id="rId450" display="https://filestore.fortinet.com/docs.fortinet.com/fsiem/Public_Resource_Access/7_6_0/rules/PH_RULE_AD_Privileged_Users_or_Groups_Reconnaissance.htm"/>
    <hyperlink ref="AA452" r:id="rId451" display="https://filestore.fortinet.com/docs.fortinet.com/fsiem/Public_Resource_Access/7_6_0/rules/PH_RULE_ADCS_Certificate_Template_Configuration_Vulnerability.htm"/>
    <hyperlink ref="AA453" r:id="rId452" display="https://filestore.fortinet.com/docs.fortinet.com/fsiem/Public_Resource_Access/7_6_0/rules/PH_RULE_ADCS_Certificate_Template_Configuration_Vulnerability_with_Risky_EKU.htm"/>
    <hyperlink ref="AA454" r:id="rId453" display="https://filestore.fortinet.com/docs.fortinet.com/fsiem/Public_Resource_Access/7_6_0/rules/PH_RULE_Addition_of_Domain_Trusts.htm"/>
    <hyperlink ref="AA455" r:id="rId454" display="https://filestore.fortinet.com/docs.fortinet.com/fsiem/Public_Resource_Access/7_6_0/rules/PH_RULE_ADExplorer_Writing_Complete_AD_Snapshot_Into_dat_File.htm"/>
    <hyperlink ref="AA456" r:id="rId455" display="https://filestore.fortinet.com/docs.fortinet.com/fsiem/Public_Resource_Access/7_6_0/rules/PH_RULE_ADFS_Database_Named_Pipe_Connection_By_Uncommon_Tool.htm"/>
    <hyperlink ref="AA457" r:id="rId456" display="https://filestore.fortinet.com/docs.fortinet.com/fsiem/Public_Resource_Access/7_6_0/rules/PH_RULE_Admin_User_Remote_Logon.htm"/>
    <hyperlink ref="AA458" r:id="rId457" display="https://filestore.fortinet.com/docs.fortinet.com/fsiem/Public_Resource_Access/7_6_0/rules/PH_RULE_ADSI_Cache_File_Creation_By_Uncommon_Tool.htm"/>
    <hyperlink ref="AA459" r:id="rId458" display="https://filestore.fortinet.com/docs.fortinet.com/fsiem/Public_Resource_Access/7_6_0/rules/PH_RULE_All_Rules_Have_Been_Deleted_From_The_Windows_Firewall_Configuration.htm"/>
    <hyperlink ref="AA460" r:id="rId459" display="https://filestore.fortinet.com/docs.fortinet.com/fsiem/Public_Resource_Access/7_6_0/rules/PH_RULE_Always_Install_Elevated_MSI_Spawned_Cmd_And_Powershell.htm"/>
    <hyperlink ref="AA461" r:id="rId460" display="https://filestore.fortinet.com/docs.fortinet.com/fsiem/Public_Resource_Access/7_6_0/rules/PH_RULE_Always_Install_Elevated_Windows_Installer.htm"/>
    <hyperlink ref="AA462" r:id="rId461" display="https://filestore.fortinet.com/docs.fortinet.com/fsiem/Public_Resource_Access/7_6_0/rules/PH_RULE_An_Application_Is_Uninstall.htm"/>
    <hyperlink ref="AA463" r:id="rId462" display="https://filestore.fortinet.com/docs.fortinet.com/fsiem/Public_Resource_Access/7_6_0/rules/PH_RULE_Atera_Agent_Installation.htm"/>
    <hyperlink ref="AA464" r:id="rId463" display="https://filestore.fortinet.com/docs.fortinet.com/fsiem/Public_Resource_Access/7_6_0/rules/PH_RULE_Attempts_of_Kerberos_Coercion_Via_DNS_SPN_Spoofing.htm"/>
    <hyperlink ref="AA465" r:id="rId464" display="https://filestore.fortinet.com/docs.fortinet.com/fsiem/Public_Resource_Access/7_6_0/rules/PH_RULE_Azure_AD_Health_Monitoring_Agent_Registry_Keys_Access.htm"/>
    <hyperlink ref="AA466" r:id="rId465" display="https://filestore.fortinet.com/docs.fortinet.com/fsiem/Public_Resource_Access/7_6_0/rules/PH_RULE_Azure_AD_Health_Service_Agents_Registry_Keys_Access.htm"/>
    <hyperlink ref="AA467" r:id="rId466" display="https://filestore.fortinet.com/docs.fortinet.com/fsiem/Public_Resource_Access/7_6_0/rules/PH_RULE_BITS_Transfer_Job_Download_From_Direct_IP.htm"/>
    <hyperlink ref="AA468" r:id="rId467" display="https://filestore.fortinet.com/docs.fortinet.com/fsiem/Public_Resource_Access/7_6_0/rules/PH_RULE_Suspicious_Download_with_BITS_from_Suspicious_TLD.htm"/>
    <hyperlink ref="AA469" r:id="rId468" display="https://filestore.fortinet.com/docs.fortinet.com/fsiem/Public_Resource_Access/7_6_0/rules/PH_RULE_BITS_Transfer_Job_Downloading_File_Potential_Suspicious_Extension.htm"/>
    <hyperlink ref="AA470" r:id="rId469" display="https://filestore.fortinet.com/docs.fortinet.com/fsiem/Public_Resource_Access/7_6_0/rules/PH_RULE_Bypass_UAC_Using_DelegateExecute.htm"/>
    <hyperlink ref="AA471" r:id="rId470" display="https://filestore.fortinet.com/docs.fortinet.com/fsiem/Public_Resource_Access/7_6_0/rules/PH_RULE_Bypass_UAC_Using_SilentCleanup_Task.htm"/>
    <hyperlink ref="AA472" r:id="rId471" display="https://filestore.fortinet.com/docs.fortinet.com/fsiem/Public_Resource_Access/7_6_0/rules/PH_RULE_Bypass_UAC_via_CMSTP.htm"/>
    <hyperlink ref="AA473" r:id="rId472" display="https://filestore.fortinet.com/docs.fortinet.com/fsiem/Public_Resource_Access/7_6_0/rules/PH_RULE_Bypass_UAC_via_WSReset_exe.htm"/>
    <hyperlink ref="AA474" r:id="rId473" display="https://filestore.fortinet.com/docs.fortinet.com/fsiem/Public_Resource_Access/7_6_0/rules/PH_RULE_Certificate_Exported_Via_Certutil_EXE.htm"/>
    <hyperlink ref="AA475" r:id="rId474" display="https://filestore.fortinet.com/docs.fortinet.com/fsiem/Public_Resource_Access/7_6_0/rules/PH_RULE_Certificate_Use_With_No_Strong_Mapping.htm"/>
    <hyperlink ref="AA476" r:id="rId475" display="https://filestore.fortinet.com/docs.fortinet.com/fsiem/Public_Resource_Access/7_6_0/rules/PH_RULE_CMSTP_UAC_Bypass_via_COM_Object_Access.htm"/>
    <hyperlink ref="AA477" r:id="rId476" display="https://filestore.fortinet.com/docs.fortinet.com/fsiem/Public_Resource_Access/7_6_0/rules/PH_RULE_CobaltStrike_Service_Installations_SECURITY_LOG.htm"/>
    <hyperlink ref="AA478" r:id="rId477" display="https://filestore.fortinet.com/docs.fortinet.com/fsiem/Public_Resource_Access/7_6_0/rules/PH_RULE_Connection_Initiated_Via_Certutil_EXE.htm"/>
    <hyperlink ref="AA479" r:id="rId478" display="https://filestore.fortinet.com/docs.fortinet.com/fsiem/Public_Resource_Access/7_6_0/rules/PH_RULE_PolicyViolation_CrashOnAuditFail_Continue.htm"/>
    <hyperlink ref="AA480" r:id="rId479" display="https://filestore.fortinet.com/docs.fortinet.com/fsiem/Public_Resource_Access/7_6_0/rules/PH_RULE_PolicyViolation_CrashOnAuditFail_Halt.htm"/>
    <hyperlink ref="AA481" r:id="rId480" display="https://filestore.fortinet.com/docs.fortinet.com/fsiem/Public_Resource_Access/7_6_0/rules/PH_RULE_Create_Volume_Shadow_Copy_with_Powershell.htm"/>
    <hyperlink ref="AA482" r:id="rId481" display="https://filestore.fortinet.com/docs.fortinet.com/fsiem/Public_Resource_Access/7_6_0/rules/PH_RULE_Creation_of_a_Local_Hidden_User_Account_by_Registry.htm"/>
    <hyperlink ref="AA483" r:id="rId482" display="https://filestore.fortinet.com/docs.fortinet.com/fsiem/Public_Resource_Access/7_6_0/rules/PH_RULE_DCERPC_SMB_Spoolss_Named_Pipe.htm"/>
    <hyperlink ref="AA484" r:id="rId483" display="https://filestore.fortinet.com/docs.fortinet.com/fsiem/Public_Resource_Access/7_6_0/rules/PH_RULE_DCOM_InternetExplorer_Application_Iertutil_DLL_Hijack_SECURITY_LOG.htm"/>
    <hyperlink ref="AA485" r:id="rId484" display="https://filestore.fortinet.com/docs.fortinet.com/fsiem/Public_Resource_Access/7_6_0/rules/PH_RULE_Denied_Access_To_Remote_Desktop.htm"/>
    <hyperlink ref="AA486" r:id="rId485" display="https://filestore.fortinet.com/docs.fortinet.com/fsiem/Public_Resource_Access/7_6_0/rules/PH_RULE_Device_Installation_Blocked.htm"/>
    <hyperlink ref="AA487" r:id="rId486" display="https://filestore.fortinet.com/docs.fortinet.com/fsiem/Public_Resource_Access/7_6_0/rules/PH_RULE_DiagTrackEoP_Default_Login_Username.htm"/>
    <hyperlink ref="AA488" r:id="rId487" display="https://filestore.fortinet.com/docs.fortinet.com/fsiem/Public_Resource_Access/7_6_0/rules/PH_RULE_Directory_Service_Restore_Mode_DSRM_Registry_Value_Tampering.htm"/>
    <hyperlink ref="AA489" r:id="rId488" display="https://filestore.fortinet.com/docs.fortinet.com/fsiem/Public_Resource_Access/7_6_0/rules/PH_RULE_DirectorySearcher_Powershell_Exploitation.htm"/>
    <hyperlink ref="AA490" r:id="rId489" display="https://filestore.fortinet.com/docs.fortinet.com/fsiem/Public_Resource_Access/7_6_0/rules/PH_RULE_DMSA_Link_Attributes_Modified.htm"/>
    <hyperlink ref="AA491" r:id="rId490" display="https://filestore.fortinet.com/docs.fortinet.com/fsiem/Public_Resource_Access/7_6_0/rules/PH_RULE_DMSA_Service_Account_Created_in_Specific_OUs_PowerShell.htm"/>
    <hyperlink ref="AA492" r:id="rId491" display="https://filestore.fortinet.com/docs.fortinet.com/fsiem/Public_Resource_Access/7_6_0/rules/PH_RULE_DNS_Server_Discovery_Via_LDAP_Query.htm"/>
    <hyperlink ref="AA493" r:id="rId492" display="https://filestore.fortinet.com/docs.fortinet.com/fsiem/Public_Resource_Access/7_6_0/rules/PH_RULE_DSInternals_Suspicious_PowerShell_Cmdlets.htm"/>
    <hyperlink ref="AA494" r:id="rId493" display="https://filestore.fortinet.com/docs.fortinet.com/fsiem/Public_Resource_Access/7_6_0/rules/PH_RULE_DSInternals_Suspicious_PowerShell_Cmdlets_ScriptBlock.htm"/>
    <hyperlink ref="AA495" r:id="rId494" display="https://filestore.fortinet.com/docs.fortinet.com/fsiem/Public_Resource_Access/7_6_0/rules/PH_RULE_Empire_PowerShell_UAC_Bypass.htm"/>
    <hyperlink ref="AA496" r:id="rId495" display="https://filestore.fortinet.com/docs.fortinet.com/fsiem/Public_Resource_Access/7_6_0/rules/PH_RULE_Enable_LM_Hash_Storage.htm"/>
    <hyperlink ref="AA497" r:id="rId496" display="https://filestore.fortinet.com/docs.fortinet.com/fsiem/Public_Resource_Access/7_6_0/rules/PH_RULE_Enable_LM_Hash_Storage_ProcCreation.htm"/>
    <hyperlink ref="AA498" r:id="rId497" display="https://filestore.fortinet.com/docs.fortinet.com/fsiem/Public_Resource_Access/7_6_0/rules/PH_RULE_Enabled_User_Right_in_AD_to_Control_User_Objects.htm"/>
    <hyperlink ref="AA499" r:id="rId498" display="https://filestore.fortinet.com/docs.fortinet.com/fsiem/Public_Resource_Access/7_6_0/rules/PH_RULE_ETW_Logging_Disabled_In_NET_Processes_Registry.htm"/>
    <hyperlink ref="AA500" r:id="rId499" display="https://filestore.fortinet.com/docs.fortinet.com/fsiem/Public_Resource_Access/7_6_0/rules/PH_RULE_Explorer_NOUACCHECK_Flag.htm"/>
    <hyperlink ref="AA501" r:id="rId500" display="https://filestore.fortinet.com/docs.fortinet.com/fsiem/Public_Resource_Access/7_6_0/rules/PH_RULE_External_Disk_Drive_or_USB_Storage_Device.htm"/>
    <hyperlink ref="AA502" r:id="rId501" display="https://filestore.fortinet.com/docs.fortinet.com/fsiem/Public_Resource_Access/7_6_0/rules/PH_RULE_External_Remote_RDP_Logon_from_Public_IP.htm"/>
    <hyperlink ref="AA503" r:id="rId502" display="https://filestore.fortinet.com/docs.fortinet.com/fsiem/Public_Resource_Access/7_6_0/rules/PH_RULE_External_Remote_SMB_Logon_from_Public_IP.htm"/>
    <hyperlink ref="AA504" r:id="rId503" display="https://filestore.fortinet.com/docs.fortinet.com/fsiem/Public_Resource_Access/7_6_0/rules/PH_RULE_Failed_Code_Integrity_Checks.htm"/>
    <hyperlink ref="AA505" r:id="rId504" display="https://filestore.fortinet.com/docs.fortinet.com/fsiem/Public_Resource_Access/7_6_0/rules/PH_RULE_Failed_Logon_From_Public_IP.htm"/>
    <hyperlink ref="AA506" r:id="rId505" display="https://filestore.fortinet.com/docs.fortinet.com/fsiem/Public_Resource_Access/7_6_0/rules/PH_RULE_File_Access_Of_Signal_Desktop_Sensitive_Data.htm"/>
    <hyperlink ref="AA507" r:id="rId506" display="https://filestore.fortinet.com/docs.fortinet.com/fsiem/Public_Resource_Access/7_6_0/rules/PH_RULE_File_Decoded_From_Base64_Hex_Via_Certutil_EXE.htm"/>
    <hyperlink ref="AA508" r:id="rId507" display="https://filestore.fortinet.com/docs.fortinet.com/fsiem/Public_Resource_Access/7_6_0/rules/PH_RULE_Certutil_Encode.htm"/>
    <hyperlink ref="AA509" r:id="rId508" display="https://filestore.fortinet.com/docs.fortinet.com/fsiem/Public_Resource_Access/7_6_0/rules/PH_RULE_File_In_Suspicious_Location_Encoded_To_Base64_Via_Certutil_EXE.htm"/>
    <hyperlink ref="AA510" r:id="rId509" display="https://filestore.fortinet.com/docs.fortinet.com/fsiem/Public_Resource_Access/7_6_0/rules/PH_RULE_File_Recovery_From_Backup_Via_Wbadmin_EXE.htm"/>
    <hyperlink ref="AA511" r:id="rId510" display="https://filestore.fortinet.com/docs.fortinet.com/fsiem/Public_Resource_Access/7_6_0/rules/PH_RULE_First_Time_Seen_Remote_Named_Pipe.htm"/>
    <hyperlink ref="AA512" r:id="rId511" display="https://filestore.fortinet.com/docs.fortinet.com/fsiem/Public_Resource_Access/7_6_0/rules/PH_RULE_Get_ADUser_Enumeration_Using_UserAccountControl_Flags.htm"/>
    <hyperlink ref="AA513" r:id="rId512" display="https://filestore.fortinet.com/docs.fortinet.com/fsiem/Public_Resource_Access/7_6_0/rules/PH_RULE_Gpresult_Display_Group_Policy_Information.htm"/>
    <hyperlink ref="AA514" r:id="rId513" display="https://filestore.fortinet.com/docs.fortinet.com/fsiem/Public_Resource_Access/7_6_0/rules/PH_RULE_Gpscript_Execution.htm"/>
    <hyperlink ref="AA515" r:id="rId514" display="https://filestore.fortinet.com/docs.fortinet.com/fsiem/Public_Resource_Access/7_6_0/rules/PH_RULE_Group_Membership_Reconnaissance_Via_Whoami_EXE.htm"/>
    <hyperlink ref="AA516" r:id="rId515" display="https://filestore.fortinet.com/docs.fortinet.com/fsiem/Public_Resource_Access/7_6_0/rules/PH_RULE_Group_Policy_Abuse_for_Privilege_Addition.htm"/>
    <hyperlink ref="AA517" r:id="rId516" display="https://filestore.fortinet.com/docs.fortinet.com/fsiem/Public_Resource_Access/7_6_0/rules/PH_RULE_ADCSPwn_Hack_Tool.htm"/>
    <hyperlink ref="AA518" r:id="rId517" display="https://filestore.fortinet.com/docs.fortinet.com/fsiem/Public_Resource_Access/7_6_0/rules/PH_RULE_HackTool_Certify_Execution.htm"/>
    <hyperlink ref="AA519" r:id="rId518" display="https://filestore.fortinet.com/docs.fortinet.com/fsiem/Public_Resource_Access/7_6_0/rules/PH_RULE_HackTool_Certipy_Execution.htm"/>
    <hyperlink ref="AA520" r:id="rId519" display="https://filestore.fortinet.com/docs.fortinet.com/fsiem/Public_Resource_Access/7_6_0/rules/PH_RULE_HackTool_EDRSilencer_Execution_Filter_Added.htm"/>
    <hyperlink ref="AA521" r:id="rId520" display="https://filestore.fortinet.com/docs.fortinet.com/fsiem/Public_Resource_Access/7_6_0/rules/PH_RULE_HackTool_NetExec_Execution.htm"/>
    <hyperlink ref="AA522" r:id="rId521" display="https://filestore.fortinet.com/docs.fortinet.com/fsiem/Public_Resource_Access/7_6_0/rules/PH_RULE_HackTool_NetExec_File_Indicators.htm"/>
    <hyperlink ref="AA523" r:id="rId522" display="https://filestore.fortinet.com/docs.fortinet.com/fsiem/Public_Resource_Access/7_6_0/rules/PH_RULE_HackTool_NoFilter_Execution.htm"/>
    <hyperlink ref="AA524" r:id="rId523" display="https://filestore.fortinet.com/docs.fortinet.com/fsiem/Public_Resource_Access/7_6_0/rules/PH_RULE_HackTool_RemoteKrbRelay_Execution.htm"/>
    <hyperlink ref="AA525" r:id="rId524" display="https://filestore.fortinet.com/docs.fortinet.com/fsiem/Public_Resource_Access/7_6_0/rules/PH_RULE_HackTool_Rubeus_Execution_ScriptBlock.htm"/>
    <hyperlink ref="AA526" r:id="rId525" display="https://filestore.fortinet.com/docs.fortinet.com/fsiem/Public_Resource_Access/7_6_0/rules/PH_RULE_HackTool_SharpLDAPmonitor_Execution.htm"/>
    <hyperlink ref="AA527" r:id="rId526" display="https://filestore.fortinet.com/docs.fortinet.com/fsiem/Public_Resource_Access/7_6_0/rules/PH_RULE_HackTool_SharpLdapWhoami_Execution.htm"/>
    <hyperlink ref="AA528" r:id="rId527" display="https://filestore.fortinet.com/docs.fortinet.com/fsiem/Public_Resource_Access/7_6_0/rules/PH_RULE_HackTool_SOAPHound_Execution.htm"/>
    <hyperlink ref="AA529" r:id="rId528" display="https://filestore.fortinet.com/docs.fortinet.com/fsiem/Public_Resource_Access/7_6_0/rules/PH_RULE_HackTool_TruffleSnout_Execution.htm"/>
    <hyperlink ref="AA530" r:id="rId529" display="https://filestore.fortinet.com/docs.fortinet.com/fsiem/Public_Resource_Access/7_6_0/rules/PH_RULE_UAC_Bypass_Tool_UACMe_Akagi.htm"/>
    <hyperlink ref="AA531" r:id="rId530" display="https://filestore.fortinet.com/docs.fortinet.com/fsiem/Public_Resource_Access/7_6_0/rules/PH_RULE_HackTool_WinPwn_Execution.htm"/>
    <hyperlink ref="AA532" r:id="rId531" display="https://filestore.fortinet.com/docs.fortinet.com/fsiem/Public_Resource_Access/7_6_0/rules/PH_RULE_HackTool_WinPwn_Execution_ScriptBlock.htm"/>
    <hyperlink ref="AA533" r:id="rId532" display="https://filestore.fortinet.com/docs.fortinet.com/fsiem/Public_Resource_Access/7_6_0/rules/PH_RULE_Hacktool_Ruler.htm"/>
    <hyperlink ref="AA534" r:id="rId533" display="https://filestore.fortinet.com/docs.fortinet.com/fsiem/Public_Resource_Access/7_6_0/rules/PH_RULE_Hidden_Local_User_Creation.htm"/>
    <hyperlink ref="AA535" r:id="rId534" display="https://filestore.fortinet.com/docs.fortinet.com/fsiem/Public_Resource_Access/7_6_0/rules/PH_RULE_HKTL_SharpSuccessor_Privilege_Escalation_Tool_Execution.htm"/>
    <hyperlink ref="AA536" r:id="rId535" display="https://filestore.fortinet.com/docs.fortinet.com/fsiem/Public_Resource_Access/7_6_0/rules/PH_RULE_HybridConnectionManager_Service_Installation_SECURITY_LOG.htm"/>
    <hyperlink ref="AA537" r:id="rId536" display="https://filestore.fortinet.com/docs.fortinet.com/fsiem/Public_Resource_Access/7_6_0/rules/PH_RULE_Impacket_PsExec_Execution.htm"/>
    <hyperlink ref="AA538" r:id="rId537" display="https://filestore.fortinet.com/docs.fortinet.com/fsiem/Public_Resource_Access/7_6_0/rules/PH_RULE_Import_LDAP_Data_Interchange_Format_File_Via_Ldifde_EXE.htm"/>
    <hyperlink ref="AA539" r:id="rId538" display="https://filestore.fortinet.com/docs.fortinet.com/fsiem/Public_Resource_Access/7_6_0/rules/PH_RULE_Important_Scheduled_Task_Deleted_Disabled.htm"/>
    <hyperlink ref="AA540" r:id="rId539" display="https://filestore.fortinet.com/docs.fortinet.com/fsiem/Public_Resource_Access/7_6_0/rules/PH_RULE_Important_Windows_Event_Auditing_Disabled.htm"/>
    <hyperlink ref="AA541" r:id="rId540" display="https://filestore.fortinet.com/docs.fortinet.com/fsiem/Public_Resource_Access/7_6_0/rules/PH_RULE_Invoke_Obfuscation_CLIP_Launcher_Security.htm"/>
    <hyperlink ref="AA542" r:id="rId541" display="https://filestore.fortinet.com/docs.fortinet.com/fsiem/Public_Resource_Access/7_6_0/rules/PH_RULE_Invoke_Obfuscation_COMPRESS_OBFUSCATION_SECURITY_LOG.htm"/>
    <hyperlink ref="AA543" r:id="rId542" display="https://filestore.fortinet.com/docs.fortinet.com/fsiem/Public_Resource_Access/7_6_0/rules/PH_RULE_Invoke_Obfuscation_RUNDLL_LAUNCHER_Security.htm"/>
    <hyperlink ref="AA544" r:id="rId543" display="https://filestore.fortinet.com/docs.fortinet.com/fsiem/Public_Resource_Access/7_6_0/rules/PH_RULE_Invoke_Obfuscation_STDIN_Launcher.htm"/>
    <hyperlink ref="AA545" r:id="rId544" display="https://filestore.fortinet.com/docs.fortinet.com/fsiem/Public_Resource_Access/7_6_0/rules/PH_RULE_Invoke_Obfuscation_VAR_LAUNCHER_OBFUSCATION_Security.htm"/>
    <hyperlink ref="AA546" r:id="rId545" display="https://filestore.fortinet.com/docs.fortinet.com/fsiem/Public_Resource_Access/7_6_0/rules/PH_RULE_Invoke_Obfuscation_VAR_Launcher.htm"/>
    <hyperlink ref="AA547" r:id="rId546" display="https://filestore.fortinet.com/docs.fortinet.com/fsiem/Public_Resource_Access/7_6_0/rules/PH_RULE_Invoke_Obfuscation_Via_Stdin_SECURITY_LOG.htm"/>
    <hyperlink ref="AA548" r:id="rId547" display="https://filestore.fortinet.com/docs.fortinet.com/fsiem/Public_Resource_Access/7_6_0/rules/PH_RULE_Invoke_Obfuscation_Via_Use_Clip_SECURITY_LOG.htm"/>
    <hyperlink ref="AA549" r:id="rId548" display="https://filestore.fortinet.com/docs.fortinet.com/fsiem/Public_Resource_Access/7_6_0/rules/PH_RULE_Invoke_Obfuscation_Via_Use_MSHTA_SECURITY_LOG.htm"/>
    <hyperlink ref="AA550" r:id="rId549" display="https://filestore.fortinet.com/docs.fortinet.com/fsiem/Public_Resource_Access/7_6_0/rules/PH_RULE_Invoke_Obfuscation_Via_Use_Rundll32_SECURITY_LOG.htm"/>
    <hyperlink ref="AA551" r:id="rId550" display="https://filestore.fortinet.com/docs.fortinet.com/fsiem/Public_Resource_Access/7_6_0/rules/PH_RULE_ISO_Image_Mount.htm"/>
    <hyperlink ref="AA552" r:id="rId551" display="https://filestore.fortinet.com/docs.fortinet.com/fsiem/Public_Resource_Access/7_6_0/rules/PH_RULE_Kerberoasting_Activity_Initial_Query.htm"/>
    <hyperlink ref="AA553" r:id="rId552" display="https://filestore.fortinet.com/docs.fortinet.com/fsiem/Public_Resource_Access/7_6_0/rules/PH_RULE_KrbRelayUp_Service_Installation.htm"/>
    <hyperlink ref="AA554" r:id="rId553" display="https://filestore.fortinet.com/docs.fortinet.com/fsiem/Public_Resource_Access/7_6_0/rules/PH_RULE_Load_Undocumented_Autoelevated_COM_Interface.htm"/>
    <hyperlink ref="AA555" r:id="rId554" display="https://filestore.fortinet.com/docs.fortinet.com/fsiem/Public_Resource_Access/7_6_0/rules/PH_RULE_Local_User_Creation.htm"/>
    <hyperlink ref="AA556" r:id="rId555" display="https://filestore.fortinet.com/docs.fortinet.com/fsiem/Public_Resource_Access/7_6_0/rules/PH_RULE_Locked_Workstation.htm"/>
    <hyperlink ref="AA557" r:id="rId556" display="https://filestore.fortinet.com/docs.fortinet.com/fsiem/Public_Resource_Access/7_6_0/rules/PH_RULE_Login_with_WMI.htm"/>
    <hyperlink ref="AA558" r:id="rId557" display="https://filestore.fortinet.com/docs.fortinet.com/fsiem/Public_Resource_Access/7_6_0/rules/PH_RULE_ManageEngine_Endpoint_Central_Dctask64_EXE_Potential_Abuse.htm"/>
    <hyperlink ref="AA559" r:id="rId558" display="https://filestore.fortinet.com/docs.fortinet.com/fsiem/Public_Resource_Access/7_6_0/rules/PH_RULE_Manipulation_of_User_Computer_or_Group_Security_Principals_Across_AD.htm"/>
    <hyperlink ref="AA560" r:id="rId559" display="https://filestore.fortinet.com/docs.fortinet.com/fsiem/Public_Resource_Access/7_6_0/rules/PH_RULE_Metasploit_Or_Impacket_Service_Installation_Via_SMB_PsExec.htm"/>
    <hyperlink ref="AA561" r:id="rId560" display="https://filestore.fortinet.com/docs.fortinet.com/fsiem/Public_Resource_Access/7_6_0/rules/PH_RULE_Metasploit_SMB_Authentication.htm"/>
    <hyperlink ref="AA562" r:id="rId561" display="https://filestore.fortinet.com/docs.fortinet.com/fsiem/Public_Resource_Access/7_6_0/rules/PH_RULE_Meterpreter_Cobalt_Strike_Installation_SECURITY_LOG.htm"/>
    <hyperlink ref="AA563" r:id="rId562" display="https://filestore.fortinet.com/docs.fortinet.com/fsiem/Public_Resource_Access/7_6_0/rules/PH_RULE_Microsoft_Defender_Blocked_from_Loading_Unsigned_DLL.htm"/>
    <hyperlink ref="AA564" r:id="rId563" display="https://filestore.fortinet.com/docs.fortinet.com/fsiem/Public_Resource_Access/7_6_0/rules/PH_RULE_Modify_Group_Policy_Settings.htm"/>
    <hyperlink ref="AA565" r:id="rId564" display="https://filestore.fortinet.com/docs.fortinet.com/fsiem/Public_Resource_Access/7_6_0/rules/PH_RULE_Modify_Group_Policy_Settings_ScriptBlockLogging.htm"/>
    <hyperlink ref="AA566" r:id="rId565" display="https://filestore.fortinet.com/docs.fortinet.com/fsiem/Public_Resource_Access/7_6_0/rules/PH_RULE_NetNTLM_Downgrade_Attack.htm"/>
    <hyperlink ref="AA567" r:id="rId566" display="https://filestore.fortinet.com/docs.fortinet.com/fsiem/Public_Resource_Access/7_6_0/rules/PH_RULE_Netsh_Allow_Group_Policy_on_Microsoft_Defender_Firewall.htm"/>
    <hyperlink ref="AA568" r:id="rId567" display="https://filestore.fortinet.com/docs.fortinet.com/fsiem/Public_Resource_Access/7_6_0/rules/PH_RULE_Suspicious_Task_Added_by_Bitsadmin.htm"/>
    <hyperlink ref="AA569" r:id="rId568" display="https://filestore.fortinet.com/docs.fortinet.com/fsiem/Public_Resource_Access/7_6_0/rules/PH_RULE_New_DMSA_Service_Account_Created_in_Specific_OUs.htm"/>
    <hyperlink ref="AA570" r:id="rId569" display="https://filestore.fortinet.com/docs.fortinet.com/fsiem/Public_Resource_Access/7_6_0/rules/PH_RULE_New_or_Renamed_User_Account_with_dollar_in_Attribute_SamAccountName.htm"/>
    <hyperlink ref="AA571" r:id="rId570" display="https://filestore.fortinet.com/docs.fortinet.com/fsiem/Public_Resource_Access/7_6_0/rules/PH_RULE_New_Root_Certificate_Installed_Via_Certutil_EXE.htm"/>
    <hyperlink ref="AA572" r:id="rId571" display="https://filestore.fortinet.com/docs.fortinet.com/fsiem/Public_Resource_Access/7_6_0/rules/PH_RULE_Net_exe_User_Account_Creation.htm"/>
    <hyperlink ref="AA573" r:id="rId572" display="https://filestore.fortinet.com/docs.fortinet.com/fsiem/Public_Resource_Access/7_6_0/rules/PH_RULE_New_User_Created_Via_Net_EXE_With_Never_Expire_Option.htm"/>
    <hyperlink ref="AA574" r:id="rId573" display="https://filestore.fortinet.com/docs.fortinet.com/fsiem/Public_Resource_Access/7_6_0/rules/PH_RULE_No_Suitable_Encryption_Key_Found_For_Generating_Kerberos_Ticket.htm"/>
    <hyperlink ref="AA575" r:id="rId574" display="https://filestore.fortinet.com/docs.fortinet.com/fsiem/Public_Resource_Access/7_6_0/rules/PH_RULE_Outgoing_Logon_with_New_Credentials.htm"/>
    <hyperlink ref="AA576" r:id="rId575" display="https://filestore.fortinet.com/docs.fortinet.com/fsiem/Public_Resource_Access/7_6_0/rules/PH_RULE_Pass_the_Hash_Activity_2.htm"/>
    <hyperlink ref="AA577" r:id="rId576" display="https://filestore.fortinet.com/docs.fortinet.com/fsiem/Public_Resource_Access/7_6_0/rules/PH_RULE_Password_Policy_Discovery_With_Get_AdDefaultDomainPasswordPolicy.htm"/>
    <hyperlink ref="AA578" r:id="rId577" display="https://filestore.fortinet.com/docs.fortinet.com/fsiem/Public_Resource_Access/7_6_0/rules/PH_RULE_Password_Policy_Enumerated.htm"/>
    <hyperlink ref="AA579" r:id="rId578" display="https://filestore.fortinet.com/docs.fortinet.com/fsiem/Public_Resource_Access/7_6_0/rules/PH_RULE_Password_Protected_ZIP_File_Opened.htm"/>
    <hyperlink ref="AA580" r:id="rId579" display="https://filestore.fortinet.com/docs.fortinet.com/fsiem/Public_Resource_Access/7_6_0/rules/PH_RULE_Password_Protected_ZIP_File_Opened_Email_Attachment_.htm"/>
    <hyperlink ref="AA581" r:id="rId580" display="https://filestore.fortinet.com/docs.fortinet.com/fsiem/Public_Resource_Access/7_6_0/rules/PH_RULE_Password_Protected_ZIP_File_Opened_Suspicious_Filenames_.htm"/>
    <hyperlink ref="AA582" r:id="rId581" display="https://filestore.fortinet.com/docs.fortinet.com/fsiem/Public_Resource_Access/7_6_0/rules/PH_RULE_Persistence_and_Execution_at_Scale_via_GPO_Scheduled_Task.htm"/>
    <hyperlink ref="AA583" r:id="rId582" display="https://filestore.fortinet.com/docs.fortinet.com/fsiem/Public_Resource_Access/7_6_0/rules/PH_RULE_Potential_Access_Token_Abuse.htm"/>
    <hyperlink ref="AA584" r:id="rId583" display="https://filestore.fortinet.com/docs.fortinet.com/fsiem/Public_Resource_Access/7_6_0/rules/PH_RULE_Potential_Active_Directory_Enumeration_Using_AD_Module_ProcCreation.htm"/>
    <hyperlink ref="AA585" r:id="rId584" display="https://filestore.fortinet.com/docs.fortinet.com/fsiem/Public_Resource_Access/7_6_0/rules/PH_RULE_Potential_Active_Directory_Enumeration_Using_AD_Module_PsModule.htm"/>
    <hyperlink ref="AA586" r:id="rId585" display="https://filestore.fortinet.com/docs.fortinet.com/fsiem/Public_Resource_Access/7_6_0/rules/PH_RULE_Potential_Active_Directory_Enumeration_Using_AD_Module_PsScript.htm"/>
    <hyperlink ref="AA587" r:id="rId586" display="https://filestore.fortinet.com/docs.fortinet.com/fsiem/Public_Resource_Access/7_6_0/rules/PH_RULE_Potential_AS_REP_Roasting_via_Kerberos_TGT_Requests.htm"/>
    <hyperlink ref="AA588" r:id="rId587" display="https://filestore.fortinet.com/docs.fortinet.com/fsiem/Public_Resource_Access/7_6_0/rules/PH_RULE_Avusing_Azure_Browser_SSO.htm"/>
    <hyperlink ref="AA589" r:id="rId588" display="https://filestore.fortinet.com/docs.fortinet.com/fsiem/Public_Resource_Access/7_6_0/rules/PH_RULE_Potential_Kerberos_Coercion_by_Spoofing_SPNs_via_DNS_Manipulation.htm"/>
    <hyperlink ref="AA590" r:id="rId589" display="https://filestore.fortinet.com/docs.fortinet.com/fsiem/Public_Resource_Access/7_6_0/rules/PH_RULE_Potential_NTLM_Coercion_Via_Certutil_EXE.htm"/>
    <hyperlink ref="AA591" r:id="rId590" display="https://filestore.fortinet.com/docs.fortinet.com/fsiem/Public_Resource_Access/7_6_0/rules/PH_RULE_Potential_Privilege_Escalation_via_Local_Kerberos_Relay_over_LDAP.htm"/>
    <hyperlink ref="AA592" r:id="rId591" display="https://filestore.fortinet.com/docs.fortinet.com/fsiem/Public_Resource_Access/7_6_0/rules/PH_RULE_Suspicious_Driver_Loaded_By_User.htm"/>
    <hyperlink ref="AA593" r:id="rId592" display="https://filestore.fortinet.com/docs.fortinet.com/fsiem/Public_Resource_Access/7_6_0/rules/PH_RULE_Potential_Secure_Deletion_with_SDelete.htm"/>
    <hyperlink ref="AA594" r:id="rId593" display="https://filestore.fortinet.com/docs.fortinet.com/fsiem/Public_Resource_Access/7_6_0/rules/PH_RULE_High_Integrity_Sdclt_Process.htm"/>
    <hyperlink ref="AA595" r:id="rId594" display="https://filestore.fortinet.com/docs.fortinet.com/fsiem/Public_Resource_Access/7_6_0/rules/PH_RULE_UAC_Bypass_via_Event_Viewer_SYSMON2.htm"/>
    <hyperlink ref="AA596" r:id="rId595" display="https://filestore.fortinet.com/docs.fortinet.com/fsiem/Public_Resource_Access/7_6_0/rules/PH_RULE_PowerShell_ADRecon_Execution.htm"/>
    <hyperlink ref="AA597" r:id="rId596" display="https://filestore.fortinet.com/docs.fortinet.com/fsiem/Public_Resource_Access/7_6_0/rules/PH_RULE_PowerShell_Create_Local_User.htm"/>
    <hyperlink ref="AA598" r:id="rId597" display="https://filestore.fortinet.com/docs.fortinet.com/fsiem/Public_Resource_Access/7_6_0/rules/PH_RULE_Powershell_Install_a_DLL_in_System_Directory.htm"/>
    <hyperlink ref="AA599" r:id="rId598" display="https://filestore.fortinet.com/docs.fortinet.com/fsiem/Public_Resource_Access/7_6_0/rules/PH_RULE_PowerShell_Scripts_Installed_as_Services_Security.htm"/>
    <hyperlink ref="AA600" r:id="rId599" display="https://filestore.fortinet.com/docs.fortinet.com/fsiem/Public_Resource_Access/7_6_0/rules/PH_RULE_PowerShell_Web_Access_Feature_Enabled_Via_DISM.htm"/>
    <hyperlink ref="AA601" r:id="rId600" display="https://filestore.fortinet.com/docs.fortinet.com/fsiem/Public_Resource_Access/7_6_0/rules/PH_RULE_Processes_Accessing_the_Microphone_and_Webcam.htm"/>
    <hyperlink ref="AA602" r:id="rId601" display="https://filestore.fortinet.com/docs.fortinet.com/fsiem/Public_Resource_Access/7_6_0/rules/PH_RULE_Protected_Storage_Service_Access.htm"/>
    <hyperlink ref="AA603" r:id="rId602" display="https://filestore.fortinet.com/docs.fortinet.com/fsiem/Public_Resource_Access/7_6_0/rules/PH_RULE_PUA_AdFind_EXE_Execution.htm"/>
    <hyperlink ref="AA604" r:id="rId603" display="https://filestore.fortinet.com/docs.fortinet.com/fsiem/Public_Resource_Access/7_6_0/rules/PH_RULE_PUA_PingCastle_Execution_From_Potentially_Suspicious_Parent.htm"/>
    <hyperlink ref="AA605" r:id="rId604" display="https://filestore.fortinet.com/docs.fortinet.com/fsiem/Public_Resource_Access/7_6_0/rules/PH_RULE_Suspicious_AdFind_Enumerate.htm"/>
    <hyperlink ref="AA606" r:id="rId605" display="https://filestore.fortinet.com/docs.fortinet.com/fsiem/Public_Resource_Access/7_6_0/rules/PH_RULE_RDP_Login_from_Localhost.htm"/>
    <hyperlink ref="AA607" r:id="rId606" display="https://filestore.fortinet.com/docs.fortinet.com/fsiem/Public_Resource_Access/7_6_0/rules/PH_RULE_RDP_over_Reverse_SSH_Tunnel_WFP.htm"/>
    <hyperlink ref="AA608" r:id="rId607" display="https://filestore.fortinet.com/docs.fortinet.com/fsiem/Public_Resource_Access/7_6_0/rules/PH_RULE_Reconnaissance_Activity.htm"/>
    <hyperlink ref="AA609" r:id="rId608" display="https://filestore.fortinet.com/docs.fortinet.com/fsiem/Public_Resource_Access/7_6_0/rules/PH_RULE_Registry_Modification_of_MS_settings_Protocol_Handler.htm"/>
    <hyperlink ref="AA610" r:id="rId609" display="https://filestore.fortinet.com/docs.fortinet.com/fsiem/Public_Resource_Access/7_6_0/rules/PH_RULE_Remote_Access_Tool_MeshAgent_Command_Execution_via_MeshCentral.htm"/>
    <hyperlink ref="AA611" r:id="rId610" display="https://filestore.fortinet.com/docs.fortinet.com/fsiem/Public_Resource_Access/7_6_0/rules/PH_RULE_Remote_Access_Tool_Services_Have_Been_Installed_Security.htm"/>
    <hyperlink ref="AA612" r:id="rId611" display="https://filestore.fortinet.com/docs.fortinet.com/fsiem/Public_Resource_Access/7_6_0/rules/PH_Rule_WinTS_RDP_From_Internet.htm"/>
    <hyperlink ref="AA613" r:id="rId612" display="https://filestore.fortinet.com/docs.fortinet.com/fsiem/Public_Resource_Access/7_6_0/rules/PH_RULE_Remote_File_Download_via_Desktopimgdownldr_Utility.htm"/>
    <hyperlink ref="AA614" r:id="rId613" display="https://filestore.fortinet.com/docs.fortinet.com/fsiem/Public_Resource_Access/7_6_0/rules/PH_RULE_Remote_PowerShell_Sessions.htm"/>
    <hyperlink ref="AA615" r:id="rId614" display="https://filestore.fortinet.com/docs.fortinet.com/fsiem/Public_Resource_Access/7_6_0/rules/PH_RULE_Remote_Service_Activity_via_SVCCTL_Named_Pipe.htm"/>
    <hyperlink ref="AA616" r:id="rId615" display="https://filestore.fortinet.com/docs.fortinet.com/fsiem/Public_Resource_Access/7_6_0/rules/PH_RULE_Remote_Task_Creation_via_ATSVC_Named_Pipe.htm"/>
    <hyperlink ref="AA617" r:id="rId616" display="https://filestore.fortinet.com/docs.fortinet.com/fsiem/Public_Resource_Access/7_6_0/rules/PH_RULE_Remove_Account_From_Domain_Admin_Group.htm"/>
    <hyperlink ref="AA618" r:id="rId617" display="https://filestore.fortinet.com/docs.fortinet.com/fsiem/Public_Resource_Access/7_6_0/rules/PH_RULE_Renamed_ZOHO_Dctask64.htm"/>
    <hyperlink ref="AA619" r:id="rId618" display="https://filestore.fortinet.com/docs.fortinet.com/fsiem/Public_Resource_Access/7_6_0/rules/PH_RULE_Replay_Attack_Detected.htm"/>
    <hyperlink ref="AA620" r:id="rId619" display="https://filestore.fortinet.com/docs.fortinet.com/fsiem/Public_Resource_Access/7_6_0/rules/PH_RULE_RottenPotato_Like_Attack_Pattern.htm"/>
    <hyperlink ref="AA621" r:id="rId620" display="https://filestore.fortinet.com/docs.fortinet.com/fsiem/Public_Resource_Access/7_6_0/rules/PH_RULE_SCM_Database_Handle_Failure.htm"/>
    <hyperlink ref="AA622" r:id="rId621" display="https://filestore.fortinet.com/docs.fortinet.com/fsiem/Public_Resource_Access/7_6_0/rules/PH_RULE_SCM_Database_Privileged_Operation.htm"/>
    <hyperlink ref="AA623" r:id="rId622" display="https://filestore.fortinet.com/docs.fortinet.com/fsiem/Public_Resource_Access/7_6_0/rules/PH_RULE_Sdclt_Child_Processes.htm"/>
    <hyperlink ref="AA624" r:id="rId623" display="https://filestore.fortinet.com/docs.fortinet.com/fsiem/Public_Resource_Access/7_6_0/rules/PH_RULE_Sensitive_File_Dump_Via_Print_EXE.htm"/>
    <hyperlink ref="AA625" r:id="rId624" display="https://filestore.fortinet.com/docs.fortinet.com/fsiem/Public_Resource_Access/7_6_0/rules/PH_RULE_Sensitive_File_Dump_Via_Wbadmin_EXE.htm"/>
    <hyperlink ref="AA626" r:id="rId625" display="https://filestore.fortinet.com/docs.fortinet.com/fsiem/Public_Resource_Access/7_6_0/rules/PH_RULE_Sensitive_File_Recovery_From_Backup_Via_Wbadmin_EXE.htm"/>
    <hyperlink ref="AA627" r:id="rId626" display="https://filestore.fortinet.com/docs.fortinet.com/fsiem/Public_Resource_Access/7_6_0/rules/PH_RULE_Service_Installed_By_Unusual_Client_Security.htm"/>
    <hyperlink ref="AA628" r:id="rId627" display="https://filestore.fortinet.com/docs.fortinet.com/fsiem/Public_Resource_Access/7_6_0/rules/PH_RULE_Service_Registry_Key_Read_Access_Request.htm"/>
    <hyperlink ref="AA629" r:id="rId628" display="https://filestore.fortinet.com/docs.fortinet.com/fsiem/Public_Resource_Access/7_6_0/rules/PH_RULE_Shell_Open_Registry_Keys_Manipulation.htm"/>
    <hyperlink ref="AA630" r:id="rId629" display="https://filestore.fortinet.com/docs.fortinet.com/fsiem/Public_Resource_Access/7_6_0/rules/PH_RULE_SMB_Create_Remote_File_Admin_Share.htm"/>
    <hyperlink ref="AA631" r:id="rId630" display="https://filestore.fortinet.com/docs.fortinet.com/fsiem/Public_Resource_Access/7_6_0/rules/PH_RULE_Standard_User_In_High_Privileged_Group.htm"/>
    <hyperlink ref="AA632" r:id="rId631" display="https://filestore.fortinet.com/docs.fortinet.com/fsiem/Public_Resource_Access/7_6_0/rules/PH_RULE_Startup_Logon_Script_Added_to_Group_Policy_Object.htm"/>
    <hyperlink ref="AA633" r:id="rId632" display="https://filestore.fortinet.com/docs.fortinet.com/fsiem/Public_Resource_Access/7_6_0/rules/PH_RULE_Suspicious_Access_to_Sensitive_File_Extensions.htm"/>
    <hyperlink ref="AA634" r:id="rId633" display="https://filestore.fortinet.com/docs.fortinet.com/fsiem/Public_Resource_Access/7_6_0/rules/PH_RULE_Suspicious_Computer_Machine_Password_by_PowerShell.htm"/>
    <hyperlink ref="AA635" r:id="rId634" display="https://filestore.fortinet.com/docs.fortinet.com/fsiem/Public_Resource_Access/7_6_0/rules/PH_RULE_Suspicious_Copy_From_or_To_System32.htm"/>
    <hyperlink ref="AA636" r:id="rId635" display="https://filestore.fortinet.com/docs.fortinet.com/fsiem/Public_Resource_Access/7_6_0/rules/PH_RULE_Suspicious_DNS_Query_Indicating_Kerberos_Coercion_via_DNS_Object_SPN_Spoofing.htm"/>
    <hyperlink ref="AA637" r:id="rId636" display="https://filestore.fortinet.com/docs.fortinet.com/fsiem/Public_Resource_Access/7_6_0/rules/PH_RULE_Suspicious_Download_Via_Certutil_EXE.htm"/>
    <hyperlink ref="AA638" r:id="rId637" display="https://filestore.fortinet.com/docs.fortinet.com/fsiem/Public_Resource_Access/7_6_0/rules/PH_RULE_Suspicious_Execution_of_Adidnsdump.htm"/>
    <hyperlink ref="AA639" r:id="rId638" display="https://filestore.fortinet.com/docs.fortinet.com/fsiem/Public_Resource_Access/7_6_0/rules/PH_RULE_Suspicious_File_Downloaded_From_Direct_IP_Via_Certutil_EXE.htm"/>
    <hyperlink ref="AA640" r:id="rId639" display="https://filestore.fortinet.com/docs.fortinet.com/fsiem/Public_Resource_Access/7_6_0/rules/PH_RULE_Suspicious_File_Downloaded_From_File_Sharing_Website_Via_Certutil_EXE.htm"/>
    <hyperlink ref="AA641" r:id="rId640" display="https://filestore.fortinet.com/docs.fortinet.com/fsiem/Public_Resource_Access/7_6_0/rules/PH_RULE_Suspicious_File_Encoded_To_Base64_Via_Certutil_EXE.htm"/>
    <hyperlink ref="AA642" r:id="rId641" display="https://filestore.fortinet.com/docs.fortinet.com/fsiem/Public_Resource_Access/7_6_0/rules/PH_RULE_Suspicious_Files_in_Default_GPO_Folder.htm"/>
    <hyperlink ref="AA643" r:id="rId642" display="https://filestore.fortinet.com/docs.fortinet.com/fsiem/Public_Resource_Access/7_6_0/rules/PH_RULE_Suspicious_Get_ADDBAccount_Usage.htm"/>
    <hyperlink ref="AA644" r:id="rId643" display="https://filestore.fortinet.com/docs.fortinet.com/fsiem/Public_Resource_Access/7_6_0/rules/PH_RULE_Suspicious_Get_ADReplAccount.htm"/>
    <hyperlink ref="AA645" r:id="rId644" display="https://filestore.fortinet.com/docs.fortinet.com/fsiem/Public_Resource_Access/7_6_0/rules/PH_RULE_Suspicious_GPO_Discovery_With_Get_GPO.htm"/>
    <hyperlink ref="AA646" r:id="rId645" display="https://filestore.fortinet.com/docs.fortinet.com/fsiem/Public_Resource_Access/7_6_0/rules/PH_RULE_Suspicious_Kerberos_Ticket_Request_via_CLI.htm"/>
    <hyperlink ref="AA647" r:id="rId646" display="https://filestore.fortinet.com/docs.fortinet.com/fsiem/Public_Resource_Access/7_6_0/rules/PH_RULE_Suspicious_Kerberos_Ticket_Request_via_PowerShell_Script_ScriptBlock.htm"/>
    <hyperlink ref="AA648" r:id="rId647" display="https://filestore.fortinet.com/docs.fortinet.com/fsiem/Public_Resource_Access/7_6_0/rules/PH_RULE_Suspicious_LDAP_Attributes_Used.htm"/>
    <hyperlink ref="AA649" r:id="rId648" display="https://filestore.fortinet.com/docs.fortinet.com/fsiem/Public_Resource_Access/7_6_0/rules/PH_RULE_Suspicious_PsExec_Execution.htm"/>
    <hyperlink ref="AA650" r:id="rId649" display="https://filestore.fortinet.com/docs.fortinet.com/fsiem/Public_Resource_Access/7_6_0/rules/PH_RULE_Suspicious_Remote_Logon_with_Explicit_Credentials.htm"/>
    <hyperlink ref="AA651" r:id="rId650" display="https://filestore.fortinet.com/docs.fortinet.com/fsiem/Public_Resource_Access/7_6_0/rules/PH_RULE_Suspicious_Scheduled_Task_Creation.htm"/>
    <hyperlink ref="AA652" r:id="rId651" display="https://filestore.fortinet.com/docs.fortinet.com/fsiem/Public_Resource_Access/7_6_0/rules/PH_RULE_Suspicious_Scheduled_Task_Update.htm"/>
    <hyperlink ref="AA653" r:id="rId652" display="https://filestore.fortinet.com/docs.fortinet.com/fsiem/Public_Resource_Access/7_6_0/rules/PH_RULE_Suspicious_Shell_Open_Command_Registry_Modification.htm"/>
    <hyperlink ref="AA654" r:id="rId653" display="https://filestore.fortinet.com/docs.fortinet.com/fsiem/Public_Resource_Access/7_6_0/rules/PH_RULE_Suspicious_Task_Added_by_Powershell.htm"/>
    <hyperlink ref="AA655" r:id="rId654" display="https://filestore.fortinet.com/docs.fortinet.com/fsiem/Public_Resource_Access/7_6_0/rules/PH_RULE_Suspicious_Windows_ANONYMOUS_LOGON_Local_Account_Created.htm"/>
    <hyperlink ref="AA656" r:id="rId655" display="https://filestore.fortinet.com/docs.fortinet.com/fsiem/Public_Resource_Access/7_6_0/rules/PH_RULE_SysKey_Registry_Keys_Access.htm"/>
    <hyperlink ref="AA657" r:id="rId656" display="https://filestore.fortinet.com/docs.fortinet.com/fsiem/Public_Resource_Access/7_6_0/rules/PH_RULE_Sysmon_Crash.htm"/>
    <hyperlink ref="AA658" r:id="rId657" display="https://filestore.fortinet.com/docs.fortinet.com/fsiem/Public_Resource_Access/7_6_0/rules/PH_RULE_Sysmon_Channel_Reference_Deletion.htm"/>
    <hyperlink ref="AA659" r:id="rId658" display="https://filestore.fortinet.com/docs.fortinet.com/fsiem/Public_Resource_Access/7_6_0/rules/PH_RULE_PolicyViolation_CrashOnAuditFail_Crashed.htm"/>
    <hyperlink ref="AA660" r:id="rId659" display="https://filestore.fortinet.com/docs.fortinet.com/fsiem/Public_Resource_Access/7_6_0/rules/PH_RULE_T1047_Wmiprvse_Wbemcomn_DLL_Hijack.htm"/>
    <hyperlink ref="AA661" r:id="rId660" display="https://filestore.fortinet.com/docs.fortinet.com/fsiem/Public_Resource_Access/7_6_0/rules/PH_RULE_Tap_Driver_Installation_SECURITY_LOG.htm"/>
    <hyperlink ref="AA662" r:id="rId661" display="https://filestore.fortinet.com/docs.fortinet.com/fsiem/Public_Resource_Access/7_6_0/rules/PH_RULE_Tap_Driver_Installation_Security.htm"/>
    <hyperlink ref="AA663" r:id="rId662" display="https://filestore.fortinet.com/docs.fortinet.com/fsiem/Public_Resource_Access/7_6_0/rules/PH_RULE_Failed_to_Load_Policy_in_Windows_Firewall_with_Advanced_Security.htm"/>
    <hyperlink ref="AA664" r:id="rId663" display="https://filestore.fortinet.com/docs.fortinet.com/fsiem/Public_Resource_Access/7_6_0/rules/PH_RULE_TrustedPath_UAC_Bypass_Pattern.htm"/>
    <hyperlink ref="AA665" r:id="rId664" display="https://filestore.fortinet.com/docs.fortinet.com/fsiem/Public_Resource_Access/7_6_0/rules/PH_RULE_UAC_Bypass_Abusing_Winsat_Path_Parsing_File.htm"/>
    <hyperlink ref="AA666" r:id="rId665" display="https://filestore.fortinet.com/docs.fortinet.com/fsiem/Public_Resource_Access/7_6_0/rules/PH_RULE_UAC_Bypass_Abusing_Winsat_Path_Parsing_Process.htm"/>
    <hyperlink ref="AA667" r:id="rId666" display="https://filestore.fortinet.com/docs.fortinet.com/fsiem/Public_Resource_Access/7_6_0/rules/PH_RULE_UAC_Bypass_Abusing_Winsat_Path_Parsing_Registry.htm"/>
    <hyperlink ref="AA668" r:id="rId667" display="https://filestore.fortinet.com/docs.fortinet.com/fsiem/Public_Resource_Access/7_6_0/rules/PH_RULE_UAC_Bypass_Using_ComputerDefaults.htm"/>
    <hyperlink ref="AA669" r:id="rId668" display="https://filestore.fortinet.com/docs.fortinet.com/fsiem/Public_Resource_Access/7_6_0/rules/PH_RULE_UAC_Bypass_Using_NET_Code_Profiler_on_MMC.htm"/>
    <hyperlink ref="AA670" r:id="rId669" display="https://filestore.fortinet.com/docs.fortinet.com/fsiem/Public_Resource_Access/7_6_0/rules/PH_RULE_UAC_Bypass_Using_ChangePK_and_SLUI.htm"/>
    <hyperlink ref="AA671" r:id="rId670" display="https://filestore.fortinet.com/docs.fortinet.com/fsiem/Public_Resource_Access/7_6_0/rules/PH_RULE_UAC_Bypass_Using_Consent_and_Comctl32_File.htm"/>
    <hyperlink ref="AA672" r:id="rId671" display="https://filestore.fortinet.com/docs.fortinet.com/fsiem/Public_Resource_Access/7_6_0/rules/PH_RULE_UAC_Bypass_Using_Consent_and_Comctl32_Process.htm"/>
    <hyperlink ref="AA673" r:id="rId672" display="https://filestore.fortinet.com/docs.fortinet.com/fsiem/Public_Resource_Access/7_6_0/rules/PH_RULE_UAC_Bypass_Using_Disk_Cleanup.htm"/>
    <hyperlink ref="AA674" r:id="rId673" display="https://filestore.fortinet.com/docs.fortinet.com/fsiem/Public_Resource_Access/7_6_0/rules/PH_RULE_UAC_Bypass_Using_DismHost.htm"/>
    <hyperlink ref="AA675" r:id="rId674" display="https://filestore.fortinet.com/docs.fortinet.com/fsiem/Public_Resource_Access/7_6_0/rules/PH_RULE_UAC_Bypass_Using_IDiagnostic_Profile.htm"/>
    <hyperlink ref="AA676" r:id="rId675" display="https://filestore.fortinet.com/docs.fortinet.com/fsiem/Public_Resource_Access/7_6_0/rules/PH_RULE_UAC_Bypass_Using_IDiagnostic_Profile_File.htm"/>
    <hyperlink ref="AA677" r:id="rId676" display="https://filestore.fortinet.com/docs.fortinet.com/fsiem/Public_Resource_Access/7_6_0/rules/PH_RULE_UAC_Bypass_Using_IEInstal_File.htm"/>
    <hyperlink ref="AA678" r:id="rId677" display="https://filestore.fortinet.com/docs.fortinet.com/fsiem/Public_Resource_Access/7_6_0/rules/PH_RULE_UAC_Bypass_Using_IEInstal_Process.htm"/>
    <hyperlink ref="AA679" r:id="rId678" display="https://filestore.fortinet.com/docs.fortinet.com/fsiem/Public_Resource_Access/7_6_0/rules/PH_RULE_UAC_Bypass_Using_Iscsicpl_ImageLoad.htm"/>
    <hyperlink ref="AA680" r:id="rId679" display="https://filestore.fortinet.com/docs.fortinet.com/fsiem/Public_Resource_Access/7_6_0/rules/PH_RULE_UAC_Bypass_Using_MSConfig_Token_Modification_File.htm"/>
    <hyperlink ref="AA681" r:id="rId680" display="https://filestore.fortinet.com/docs.fortinet.com/fsiem/Public_Resource_Access/7_6_0/rules/PH_RULE_UAC_Bypass_Using_MSConfig_Token_Modification_Process.htm"/>
    <hyperlink ref="AA682" r:id="rId681" display="https://filestore.fortinet.com/docs.fortinet.com/fsiem/Public_Resource_Access/7_6_0/rules/PH_RULE_UAC_Bypass_Using_NTFS_Reparse_Point_File.htm"/>
    <hyperlink ref="AA683" r:id="rId682" display="https://filestore.fortinet.com/docs.fortinet.com/fsiem/Public_Resource_Access/7_6_0/rules/PH_RULE_UAC_Bypass_Using_NTFS_Reparse_Point_Process.htm"/>
    <hyperlink ref="AA684" r:id="rId683" display="https://filestore.fortinet.com/docs.fortinet.com/fsiem/Public_Resource_Access/7_6_0/rules/PH_RULE_UAC_Bypass_Using_PkgMgr_and_DISM.htm"/>
    <hyperlink ref="AA685" r:id="rId684" display="https://filestore.fortinet.com/docs.fortinet.com/fsiem/Public_Resource_Access/7_6_0/rules/PH_RULE_UAC_Bypass_Using_Windows_Media_Player_File.htm"/>
    <hyperlink ref="AA686" r:id="rId685" display="https://filestore.fortinet.com/docs.fortinet.com/fsiem/Public_Resource_Access/7_6_0/rules/PH_RULE_UAC_Bypass_Using_Windows_Media_Player_Process.htm"/>
    <hyperlink ref="AA687" r:id="rId686" display="https://filestore.fortinet.com/docs.fortinet.com/fsiem/Public_Resource_Access/7_6_0/rules/PH_RULE_UAC_Bypass_Using_Windows_Media_Player_Registry.htm"/>
    <hyperlink ref="AA688" r:id="rId687" display="https://filestore.fortinet.com/docs.fortinet.com/fsiem/Public_Resource_Access/7_6_0/rules/PH_RULE_UAC_Bypass_Using_WOW64_Logger_DLL_Hijack.htm"/>
    <hyperlink ref="AA689" r:id="rId688" display="https://filestore.fortinet.com/docs.fortinet.com/fsiem/Public_Resource_Access/7_6_0/rules/PH_RULE_UAC_Bypass_via_Event_Viewer.htm"/>
    <hyperlink ref="AA690" r:id="rId689" display="https://filestore.fortinet.com/docs.fortinet.com/fsiem/Public_Resource_Access/7_6_0/rules/PH_RULE_UAC_Bypass_via_ICMLuaUtil.htm"/>
    <hyperlink ref="AA691" r:id="rId690" display="https://filestore.fortinet.com/docs.fortinet.com/fsiem/Public_Resource_Access/7_6_0/rules/PH_RULE_UAC_Bypass_via_Sdclt.htm"/>
    <hyperlink ref="AA692" r:id="rId691" display="https://filestore.fortinet.com/docs.fortinet.com/fsiem/Public_Resource_Access/7_6_0/rules/PH_RULE_UAC_Bypass_Via_Wsreset.htm"/>
    <hyperlink ref="AA693" r:id="rId692" display="https://filestore.fortinet.com/docs.fortinet.com/fsiem/Public_Resource_Access/7_6_0/rules/PH_RULE_UAC_Bypass_WSReset.htm"/>
    <hyperlink ref="AA694" r:id="rId693" display="https://filestore.fortinet.com/docs.fortinet.com/fsiem/Public_Resource_Access/7_6_0/rules/PH_RULE_UAC_Disabled.htm"/>
    <hyperlink ref="AA695" r:id="rId694" display="https://filestore.fortinet.com/docs.fortinet.com/fsiem/Public_Resource_Access/7_6_0/rules/PH_RULE_UAC_Notification_Disabled.htm"/>
    <hyperlink ref="AA696" r:id="rId695" display="https://filestore.fortinet.com/docs.fortinet.com/fsiem/Public_Resource_Access/7_6_0/rules/PH_RULE_UAC_Secure_Desktop_Prompt_Disabled.htm"/>
    <hyperlink ref="AA697" r:id="rId696" display="https://filestore.fortinet.com/docs.fortinet.com/fsiem/Public_Resource_Access/7_6_0/rules/PH_RULE_Unauthorized_System_Time_Modification.htm"/>
    <hyperlink ref="AA698" r:id="rId697" display="https://filestore.fortinet.com/docs.fortinet.com/fsiem/Public_Resource_Access/7_6_0/rules/PH_RULE_Added_Rule_in_Windows_Firewall_with_Advanced_Security.htm"/>
    <hyperlink ref="AA699" r:id="rId698" display="https://filestore.fortinet.com/docs.fortinet.com/fsiem/Public_Resource_Access/7_6_0/rules/PH_RULE_Suspicious_Outbound_Kerberos_Connection.htm"/>
    <hyperlink ref="AA700" r:id="rId699" display="https://filestore.fortinet.com/docs.fortinet.com/fsiem/Public_Resource_Access/7_6_0/rules/PH_RULE_Uncommon_Outbound_Kerberos_Connection_Security.htm"/>
    <hyperlink ref="AA701" r:id="rId700" display="https://filestore.fortinet.com/docs.fortinet.com/fsiem/Public_Resource_Access/7_6_0/rules/PH_RULE_Unsigned_Binary_Loaded_From_Suspicious_Location.htm"/>
    <hyperlink ref="AA702" r:id="rId701" display="https://filestore.fortinet.com/docs.fortinet.com/fsiem/Public_Resource_Access/7_6_0/rules/PH_RULE_User_Added_To_Highly_Privileged_Group.htm"/>
    <hyperlink ref="AA703" r:id="rId702" display="https://filestore.fortinet.com/docs.fortinet.com/fsiem/Public_Resource_Access/7_6_0/rules/PH_RULE_User_Logoff_Event.htm"/>
    <hyperlink ref="AA704" r:id="rId703" display="https://filestore.fortinet.com/docs.fortinet.com/fsiem/Public_Resource_Access/7_6_0/rules/PH_RULE_Weak_Encryption_Enabled_and_Kerberoast.htm"/>
    <hyperlink ref="AA705" r:id="rId704" display="https://filestore.fortinet.com/docs.fortinet.com/fsiem/Public_Resource_Access/7_6_0/rules/PH_RULE_Windows_Credential_Guard_Disabled_Registry.htm"/>
    <hyperlink ref="AA706" r:id="rId705" display="https://filestore.fortinet.com/docs.fortinet.com/fsiem/Public_Resource_Access/7_6_0/rules/PH_RULE_Windows_Credential_Guard_Registry_Tampering_Via_CommandLine.htm"/>
    <hyperlink ref="AA707" r:id="rId706" display="https://filestore.fortinet.com/docs.fortinet.com/fsiem/Public_Resource_Access/7_6_0/rules/PH_RULE_Windows_Credential_Guard_Related_Registry_Value_Deleted_Registry.htm"/>
    <hyperlink ref="AA708" r:id="rId707" display="https://filestore.fortinet.com/docs.fortinet.com/fsiem/Public_Resource_Access/7_6_0/rules/PH_RULE_Windows_Default_Domain_GPO_Modification.htm"/>
    <hyperlink ref="AA709" r:id="rId708" display="https://filestore.fortinet.com/docs.fortinet.com/fsiem/Public_Resource_Access/7_6_0/rules/PH_RULE_Windows_Default_Domain_GPO_Modification_via_GPME.htm"/>
    <hyperlink ref="AA710" r:id="rId709" display="https://filestore.fortinet.com/docs.fortinet.com/fsiem/Public_Resource_Access/7_6_0/rules/PH_RULE_Windows_Defender_Exclusion_List_Modified.htm"/>
    <hyperlink ref="AA711" r:id="rId710" display="https://filestore.fortinet.com/docs.fortinet.com/fsiem/Public_Resource_Access/7_6_0/rules/PH_RULE_Windows_Defender_Exclusion_Registry_Key_Write_Access_Requested.htm"/>
    <hyperlink ref="AA712" r:id="rId711" display="https://filestore.fortinet.com/docs.fortinet.com/fsiem/Public_Resource_Access/7_6_0/rules/PH_RULE_Reset_to_Default_Configuration_Windows_Firewall_with_Advanced_Security.htm"/>
    <hyperlink ref="AA713" r:id="rId712" display="https://filestore.fortinet.com/docs.fortinet.com/fsiem/Public_Resource_Access/7_6_0/rules/PH_RULE_Windows_Event_Auditing_Disabled.htm"/>
    <hyperlink ref="AA714" r:id="rId713" display="https://filestore.fortinet.com/docs.fortinet.com/fsiem/Public_Resource_Access/7_6_0/rules/PH_RULE_Windows_Filtering_Platform_Blocked_Connection_From_EDR_Agent_Binary.htm"/>
    <hyperlink ref="AA715" r:id="rId714" display="https://filestore.fortinet.com/docs.fortinet.com/fsiem/Public_Resource_Access/7_6_0/rules/PH_RULE_Setting_Change_in_Windows_Firewall_with_Advanced_Security.htm"/>
    <hyperlink ref="AA716" r:id="rId715" display="https://filestore.fortinet.com/docs.fortinet.com/fsiem/Public_Resource_Access/7_6_0/rules/PH_RULE_Windows_Network_Access_Suspicious_desktop_ini_Action.htm"/>
    <hyperlink ref="AA717" r:id="rId716" display="https://filestore.fortinet.com/docs.fortinet.com/fsiem/Public_Resource_Access/7_6_0/rules/PH_RULE_ZSCALER_ZPA_ADMIN_CREATED.htm"/>
    <hyperlink ref="AA718" r:id="rId717" display="https://filestore.fortinet.com/docs.fortinet.com/fsiem/Public_Resource_Access/7_6_0/rules/PH_RULE_ARP_ATTACK.htm"/>
    <hyperlink ref="AA719" r:id="rId718" display="https://filestore.fortinet.com/docs.fortinet.com/fsiem/Public_Resource_Access/7_6_0/rules/PH_RULE_AWS_SECHUB_TTP_LATERAL_MOVEMENT.htm"/>
    <hyperlink ref="AA720" r:id="rId719" display="https://filestore.fortinet.com/docs.fortinet.com/fsiem/Public_Resource_Access/7_6_0/rules/PH_RULE_Azure_Key_Vault_Modified.htm"/>
    <hyperlink ref="AA721" r:id="rId720" display="https://filestore.fortinet.com/docs.fortinet.com/fsiem/Public_Resource_Access/7_6_0/rules/PH_RULE_Azure_Storage_Account_Key_Regenerated.htm"/>
    <hyperlink ref="AA722" r:id="rId721" display="https://filestore.fortinet.com/docs.fortinet.com/fsiem/Public_Resource_Access/7_6_0/rules/PH_RULE_CCM_EMCC_LOGIN_FAILURE.htm"/>
    <hyperlink ref="AA723" r:id="rId722" display="https://filestore.fortinet.com/docs.fortinet.com/fsiem/Public_Resource_Access/7_6_0/rules/PH_RULE_CCM_AUTH_FAILED.htm"/>
    <hyperlink ref="AA724" r:id="rId723" display="https://filestore.fortinet.com/docs.fortinet.com/fsiem/Public_Resource_Access/7_6_0/rules/PH_RULE_CYBERARK_PASSWORD_DISABLE.htm"/>
    <hyperlink ref="AA725" r:id="rId724" display="https://filestore.fortinet.com/docs.fortinet.com/fsiem/Public_Resource_Access/7_6_0/rules/PH_RULE_HostExposedService.htm"/>
    <hyperlink ref="AA726" r:id="rId725" display="https://filestore.fortinet.com/docs.fortinet.com/fsiem/Public_Resource_Access/7_6_0/rules/PH_RULE_VPN_FAILED_LOGON_OUTSIDE_COUNTRY.htm"/>
    <hyperlink ref="AA727" r:id="rId726" display="https://filestore.fortinet.com/docs.fortinet.com/fsiem/Public_Resource_Access/7_6_0/rules/PH_RULE_INBOUND_REMOTE_DESKTOP.htm"/>
    <hyperlink ref="AA728" r:id="rId727" display="https://filestore.fortinet.com/docs.fortinet.com/fsiem/Public_Resource_Access/7_6_0/rules/PH_RULE_FORTIDECEPTOR_IPS_ATTACK.htm"/>
    <hyperlink ref="AA729" r:id="rId728" display="https://filestore.fortinet.com/docs.fortinet.com/fsiem/Public_Resource_Access/7_6_0/rules/PH_RULE_FNDRCloud_HighDetectionTrigger.htm"/>
    <hyperlink ref="AA730" r:id="rId729" display="https://filestore.fortinet.com/docs.fortinet.com/fsiem/Public_Resource_Access/7_6_0/rules/PH_RULE_FNDRCloud_LowDetectionTrigger.htm"/>
    <hyperlink ref="AA731" r:id="rId730" display="https://filestore.fortinet.com/docs.fortinet.com/fsiem/Public_Resource_Access/7_6_0/rules/PH_RULE_FNDRCloud_ModerateDetectionTrigger.htm"/>
    <hyperlink ref="AA732" r:id="rId731" display="https://filestore.fortinet.com/docs.fortinet.com/fsiem/Public_Resource_Access/7_6_0/rules/PH_RULE_FortiRecon_CertIssue.htm"/>
    <hyperlink ref="AA733" r:id="rId732" display="https://filestore.fortinet.com/docs.fortinet.com/fsiem/Public_Resource_Access/7_6_0/rules/PH_RULE_FortiRecon_ReputationIssue.htm"/>
    <hyperlink ref="AA734" r:id="rId733" display="https://filestore.fortinet.com/docs.fortinet.com/fsiem/Public_Resource_Access/7_6_0/rules/PH_RULE_FORTISANDBOX_SAME_SRC_MULTIPLE_ATTACK.htm"/>
    <hyperlink ref="AA735" r:id="rId734" display="https://filestore.fortinet.com/docs.fortinet.com/fsiem/Public_Resource_Access/7_6_0/rules/PH_RULE_FortiWeb_Permitted_Inbound_Attack.htm"/>
    <hyperlink ref="AA736" r:id="rId735" display="https://filestore.fortinet.com/docs.fortinet.com/fsiem/Public_Resource_Access/7_6_0/rules/PH_RULE_SPOOF_ATTACK.htm"/>
    <hyperlink ref="AA737" r:id="rId736" display="https://filestore.fortinet.com/docs.fortinet.com/fsiem/Public_Resource_Access/7_6_0/rules/PH_RULE_CLEARTEXT_PWD_INBOUND.htm"/>
    <hyperlink ref="AA738" r:id="rId737" display="https://filestore.fortinet.com/docs.fortinet.com/fsiem/Public_Resource_Access/7_6_0/rules/PH_RULE_ANOMALY_LATERAL_MOVEMENT.htm"/>
    <hyperlink ref="AA739" r:id="rId738" display="https://filestore.fortinet.com/docs.fortinet.com/fsiem/Public_Resource_Access/7_6_0/rules/PH_RULE_TH_Linux_tcpdump.htm"/>
    <hyperlink ref="AA740" r:id="rId739" display="https://filestore.fortinet.com/docs.fortinet.com/fsiem/Public_Resource_Access/7_6_0/rules/PH_RULE_Linux_Remote_Terminal_Sessions.htm"/>
    <hyperlink ref="AA741" r:id="rId740" display="https://filestore.fortinet.com/docs.fortinet.com/fsiem/Public_Resource_Access/7_6_0/rules/PH_RULE_Log4j_Exploit_DetectByRegex.htm"/>
    <hyperlink ref="AA742" r:id="rId741" display="https://filestore.fortinet.com/docs.fortinet.com/fsiem/Public_Resource_Access/7_6_0/rules/PH_RULE_Log4j_Exploit_DetectByFortinet_Host.htm"/>
    <hyperlink ref="AA743" r:id="rId742" display="https://filestore.fortinet.com/docs.fortinet.com/fsiem/Public_Resource_Access/7_6_0/rules/PH_RULE_Log4j_Exploit_DetectByFortinet_Network.htm"/>
    <hyperlink ref="AA744" r:id="rId743" display="https://filestore.fortinet.com/docs.fortinet.com/fsiem/Public_Resource_Access/7_6_0/rules/PH_RULE_VIRUS_OUTBREAK.htm"/>
    <hyperlink ref="AA745" r:id="rId744" display="https://filestore.fortinet.com/docs.fortinet.com/fsiem/Public_Resource_Access/7_6_0/rules/PH_RULE_MS_DefenderXDR_Alert_CredentialAccess_High.htm"/>
    <hyperlink ref="AA746" r:id="rId745" display="https://filestore.fortinet.com/docs.fortinet.com/fsiem/Public_Resource_Access/7_6_0/rules/PH_RULE_MS_DefenderXDR_Alert_LateralMovement_High.htm"/>
    <hyperlink ref="AA747" r:id="rId746" display="https://filestore.fortinet.com/docs.fortinet.com/fsiem/Public_Resource_Access/7_6_0/rules/PH_RULE_MS_DefenderXDR_Alert_PrivilegeEscalation_High.htm"/>
    <hyperlink ref="AA748" r:id="rId747" display="https://filestore.fortinet.com/docs.fortinet.com/fsiem/Public_Resource_Access/7_6_0/rules/PH_RULE_MS_DefenderXDR_Alert_CredentialAccess_Medium.htm"/>
    <hyperlink ref="AA749" r:id="rId748" display="https://filestore.fortinet.com/docs.fortinet.com/fsiem/Public_Resource_Access/7_6_0/rules/PH_RULE_MS_DefenderXDR_Alert_LateralMovement_Medium.htm"/>
    <hyperlink ref="AA750" r:id="rId749" display="https://filestore.fortinet.com/docs.fortinet.com/fsiem/Public_Resource_Access/7_6_0/rules/PH_RULE_MS_DefenderXDR_Alert_PrivilegeEscalation_Medium.htm"/>
    <hyperlink ref="AA751" r:id="rId750" display="https://filestore.fortinet.com/docs.fortinet.com/fsiem/Public_Resource_Access/7_6_0/rules/PH_RULE_CLEARTEXT_PWD_OUTBOUND.htm"/>
    <hyperlink ref="AA752" r:id="rId751" display="https://filestore.fortinet.com/docs.fortinet.com/fsiem/Public_Resource_Access/7_6_0/rules/PH_RULE_3CX_Supply_Chain_Attack_Host.htm"/>
    <hyperlink ref="AA753" r:id="rId752" display="https://filestore.fortinet.com/docs.fortinet.com/fsiem/Public_Resource_Access/7_6_0/rules/PH_RULE_3CX_Supply_Chain_Attack_Network.htm"/>
    <hyperlink ref="AA754" r:id="rId753" display="https://filestore.fortinet.com/docs.fortinet.com/fsiem/Public_Resource_Access/7_6_0/rules/PH_RULE_ABBFlow_CVE_2022_0902_Vuln_Network.htm"/>
    <hyperlink ref="AA755" r:id="rId754" display="https://filestore.fortinet.com/docs.fortinet.com/fsiem/Public_Resource_Access/7_6_0/rules/PH_RULE_Adobe_ColdFusion_CVE_2023_38203_Host.htm"/>
    <hyperlink ref="AA756" r:id="rId755" display="https://filestore.fortinet.com/docs.fortinet.com/fsiem/Public_Resource_Access/7_6_0/rules/PH_RULE_Adobe_ColdFusion_CVE_2023_38203_Network.htm"/>
    <hyperlink ref="AA757" r:id="rId756" display="https://filestore.fortinet.com/docs.fortinet.com/fsiem/Public_Resource_Access/7_6_0/rules/PH_RULE_Adobe_ColdFusion_CVE_2023_26360_Host.htm"/>
    <hyperlink ref="AA758" r:id="rId757" display="https://filestore.fortinet.com/docs.fortinet.com/fsiem/Public_Resource_Access/7_6_0/rules/PH_RULE_Adobe_ColdFusion_CVE_2023_26360_Network.htm"/>
    <hyperlink ref="AA759" r:id="rId758" display="https://filestore.fortinet.com/docs.fortinet.com/fsiem/Public_Resource_Access/7_6_0/rules/PH_RULE_Agent_Tesla_MalwareAttack_CVE_2018_0802_Host.htm"/>
    <hyperlink ref="AA760" r:id="rId759" display="https://filestore.fortinet.com/docs.fortinet.com/fsiem/Public_Resource_Access/7_6_0/rules/PH_RULE_Agent_Tesla_MalwareAttack_CVE_2018_0802_Network.htm"/>
    <hyperlink ref="AA761" r:id="rId760" display="https://filestore.fortinet.com/docs.fortinet.com/fsiem/Public_Resource_Access/7_6_0/rules/PH_RULE_Akira_Ransomware_CVE_2023_20269_Host.htm"/>
    <hyperlink ref="AA762" r:id="rId761" display="https://filestore.fortinet.com/docs.fortinet.com/fsiem/Public_Resource_Access/7_6_0/rules/PH_RULE_Akira_Ransomware_CVE_2023_20269_Network.htm"/>
    <hyperlink ref="AA763" r:id="rId762" display="https://filestore.fortinet.com/docs.fortinet.com/fsiem/Public_Resource_Access/7_6_0/rules/PH_RULE_Androxgh0st_CVE_2021_41773_Host.htm"/>
    <hyperlink ref="AA764" r:id="rId763" display="https://filestore.fortinet.com/docs.fortinet.com/fsiem/Public_Resource_Access/7_6_0/rules/PH_RULE_Androxgh0st_CVE_2021_41773_Network.htm"/>
    <hyperlink ref="AA765" r:id="rId764" display="https://filestore.fortinet.com/docs.fortinet.com/fsiem/Public_Resource_Access/7_6_0/rules/PH_RULE_Apache_ActiveMQ_Attack_CVE_2023_46604_Host.htm"/>
    <hyperlink ref="AA766" r:id="rId765" display="https://filestore.fortinet.com/docs.fortinet.com/fsiem/Public_Resource_Access/7_6_0/rules/PH_RULE_Apache_ActiveMQ_Attack_CVE_2023_46604_Network.htm"/>
    <hyperlink ref="AA767" r:id="rId766" display="https://filestore.fortinet.com/docs.fortinet.com/fsiem/Public_Resource_Access/7_6_0/rules/PH_RULE_Apache_OFBiz_RCE_CVE_2024_38856_Network.htm"/>
    <hyperlink ref="AA768" r:id="rId767" display="https://filestore.fortinet.com/docs.fortinet.com/fsiem/Public_Resource_Access/7_6_0/rules/PH_RULE_ApacheVulnCVE_2021_42013_Host.htm"/>
    <hyperlink ref="AA769" r:id="rId768" display="https://filestore.fortinet.com/docs.fortinet.com/fsiem/Public_Resource_Access/7_6_0/rules/PH_RULE_ApacheVulnCVE_2021_42013_Network.htm"/>
    <hyperlink ref="AA770" r:id="rId769" display="https://filestore.fortinet.com/docs.fortinet.com/fsiem/Public_Resource_Access/7_6_0/rules/PH_RULE_Apache_RocketMQ_RCE_CVE_2023_33246_Network.htm"/>
    <hyperlink ref="AA771" r:id="rId770" display="https://filestore.fortinet.com/docs.fortinet.com/fsiem/Public_Resource_Access/7_6_0/rules/PH_RULE_Apache_Struts_2_RCE_CVE_2024_53677_Host.htm"/>
    <hyperlink ref="AA772" r:id="rId771" display="https://filestore.fortinet.com/docs.fortinet.com/fsiem/Public_Resource_Access/7_6_0/rules/PH_RULE_Apache_Struts_2_RCE_CVE_2024_53677_Network.htm"/>
    <hyperlink ref="AA773" r:id="rId772" display="https://filestore.fortinet.com/docs.fortinet.com/fsiem/Public_Resource_Access/7_6_0/rules/PH_RULE_Apache_Tomcat_RCE_CVE_2025_24813_Host.htm"/>
    <hyperlink ref="AA774" r:id="rId773" display="https://filestore.fortinet.com/docs.fortinet.com/fsiem/Public_Resource_Access/7_6_0/rules/PH_RULE_Apache_Tomcat_RCE_CVE_2025_24813_Network.htm"/>
    <hyperlink ref="AA775" r:id="rId774" display="https://filestore.fortinet.com/docs.fortinet.com/fsiem/Public_Resource_Access/7_6_0/rules/PH_RULE_Atlassian_Confluence_CVE_2022_26134_Vuln_Host.htm"/>
    <hyperlink ref="AA776" r:id="rId775" display="https://filestore.fortinet.com/docs.fortinet.com/fsiem/Public_Resource_Access/7_6_0/rules/PH_RULE_Atlassian_Confluence_CVE_2022_26134_Vuln_Network.htm"/>
    <hyperlink ref="AA777" r:id="rId776" display="https://filestore.fortinet.com/docs.fortinet.com/fsiem/Public_Resource_Access/7_6_0/rules/PH_RULE_Atlassian_PreAuthArbFileRead_CVE_2021_26085_Host.htm"/>
    <hyperlink ref="AA778" r:id="rId777" display="https://filestore.fortinet.com/docs.fortinet.com/fsiem/Public_Resource_Access/7_6_0/rules/PH_RULE_Atlassian_PreAuthArbFileRead_CVE_2021_26085_Net.htm"/>
    <hyperlink ref="AA779" r:id="rId778" display="https://filestore.fortinet.com/docs.fortinet.com/fsiem/Public_Resource_Access/7_6_0/rules/PH_RULE_Black_Basta_Ransomware_CVE_2024_1709_Host.htm"/>
    <hyperlink ref="AA780" r:id="rId779" display="https://filestore.fortinet.com/docs.fortinet.com/fsiem/Public_Resource_Access/7_6_0/rules/PH_RULE_Black_Basta_Ransomware_CVE_2024_1709_Network.htm"/>
    <hyperlink ref="AA781" r:id="rId780" display="https://filestore.fortinet.com/docs.fortinet.com/fsiem/Public_Resource_Access/7_6_0/rules/PH_RULE_Cacti_CommandInjectVuln_2022_Network.htm"/>
    <hyperlink ref="AA782" r:id="rId781" display="https://filestore.fortinet.com/docs.fortinet.com/fsiem/Public_Resource_Access/7_6_0/rules/PH_RULE_Cacti_CommandInjectVuln_2022_Host.htm"/>
    <hyperlink ref="AA783" r:id="rId782" display="https://filestore.fortinet.com/docs.fortinet.com/fsiem/Public_Resource_Access/7_6_0/rules/PH_RULE_CDATA_RCE_Attack_CVE_2022_4257_Host.htm"/>
    <hyperlink ref="AA784" r:id="rId783" display="https://filestore.fortinet.com/docs.fortinet.com/fsiem/Public_Resource_Access/7_6_0/rules/PH_RULE_CDATA_RCE_Attack_CVE_2022_4257_Network.htm"/>
    <hyperlink ref="AA785" r:id="rId784" display="https://filestore.fortinet.com/docs.fortinet.com/fsiem/Public_Resource_Access/7_6_0/rules/PH_RULE_CheckPoint_Info_CVE_2024_24919_Network.htm"/>
    <hyperlink ref="AA786" r:id="rId785" display="https://filestore.fortinet.com/docs.fortinet.com/fsiem/Public_Resource_Access/7_6_0/rules/PH_RULE_CISA_TOP_20_VULNS_Host.htm"/>
    <hyperlink ref="AA787" r:id="rId786" display="https://filestore.fortinet.com/docs.fortinet.com/fsiem/Public_Resource_Access/7_6_0/rules/PH_RULE_Cisco_ASA_FTD_FW_CVE_2025_20363_Network.htm"/>
    <hyperlink ref="AA788" r:id="rId787" display="https://filestore.fortinet.com/docs.fortinet.com/fsiem/Public_Resource_Access/7_6_0/rules/PH_RULE_Cisco_IOS_XE_Web_UI_Vuln_CVE_2023_20273_Network.htm"/>
    <hyperlink ref="AA789" r:id="rId788" display="https://filestore.fortinet.com/docs.fortinet.com/fsiem/Public_Resource_Access/7_6_0/rules/PH_RULE_Citrix_Bleed2_CVE_2025_5777_Network.htm"/>
    <hyperlink ref="AA790" r:id="rId789" display="https://filestore.fortinet.com/docs.fortinet.com/fsiem/Public_Resource_Access/7_6_0/rules/PH_RULE_Citrix_Bleed_Attack_CVE_2023_4966_Network.htm"/>
    <hyperlink ref="AA791" r:id="rId790" display="https://filestore.fortinet.com/docs.fortinet.com/fsiem/Public_Resource_Access/7_6_0/rules/PH_RULE_Citrix_NetScaler_MemOverread_CVE_2026_3055_Network.htm"/>
    <hyperlink ref="AA792" r:id="rId791" display="https://filestore.fortinet.com/docs.fortinet.com/fsiem/Public_Resource_Access/7_6_0/rules/PH_RULE_Commvault_CVE_2025_34028_Network.htm"/>
    <hyperlink ref="AA793" r:id="rId792" display="https://filestore.fortinet.com/docs.fortinet.com/fsiem/Public_Resource_Access/7_6_0/rules/PH_RULE_ConnectWise_ScreenConnect_CVE_2024_1709_Host.htm"/>
    <hyperlink ref="AA794" r:id="rId793" display="https://filestore.fortinet.com/docs.fortinet.com/fsiem/Public_Resource_Access/7_6_0/rules/PH_RULE_ConnectWise_ScreenConnect_CVE_2024_1709_Network.htm"/>
    <hyperlink ref="AA795" r:id="rId794" display="https://filestore.fortinet.com/docs.fortinet.com/fsiem/Public_Resource_Access/7_6_0/rules/PH_RULE_CosmicEnergy_Malware_Host.htm"/>
    <hyperlink ref="AA796" r:id="rId795" display="https://filestore.fortinet.com/docs.fortinet.com/fsiem/Public_Resource_Access/7_6_0/rules/PH_RULE_CosmicEnergy_Malware_Network.htm"/>
    <hyperlink ref="AA797" r:id="rId796" display="https://filestore.fortinet.com/docs.fortinet.com/fsiem/Public_Resource_Access/7_6_0/rules/PH_RULE_CrushFTP_Auth_Bypass_CVE_2025_31161_Host.htm"/>
    <hyperlink ref="AA798" r:id="rId797" display="https://filestore.fortinet.com/docs.fortinet.com/fsiem/Public_Resource_Access/7_6_0/rules/PH_RULE_CrushFTP_Auth_Bypass_CVE_2025_31161_Network.htm"/>
    <hyperlink ref="AA799" r:id="rId798" display="https://filestore.fortinet.com/docs.fortinet.com/fsiem/Public_Resource_Access/7_6_0/rules/PH_RULE_Dlink_MulDev_CVE_2024_3272_Network.htm"/>
    <hyperlink ref="AA800" r:id="rId799" display="https://filestore.fortinet.com/docs.fortinet.com/fsiem/Public_Resource_Access/7_6_0/rules/PH_RULE_Earth_Lamia_APT_Attack_CVE_2025_31324_Network.htm"/>
    <hyperlink ref="AA801" r:id="rId800" display="https://filestore.fortinet.com/docs.fortinet.com/fsiem/Public_Resource_Access/7_6_0/rules/PH_RULE_FGT_RCE_CVE2022_40684.htm"/>
    <hyperlink ref="AA802" r:id="rId801" display="https://filestore.fortinet.com/docs.fortinet.com/fsiem/Public_Resource_Access/7_6_0/rules/PH_RULE_CISA_TOP_20_VULNS_FGT_Network.htm"/>
    <hyperlink ref="AA803" r:id="rId802" display="https://filestore.fortinet.com/docs.fortinet.com/fsiem/Public_Resource_Access/7_6_0/rules/PH_RULE_FortiManager_RCE_CVE_2024_47575_Device.htm"/>
    <hyperlink ref="AA804" r:id="rId803" display="https://filestore.fortinet.com/docs.fortinet.com/fsiem/Public_Resource_Access/7_6_0/rules/PH_RULE_FortiManager_RCE_CVE_2024_47575_Network.htm"/>
    <hyperlink ref="AA805" r:id="rId804" display="https://filestore.fortinet.com/docs.fortinet.com/fsiem/Public_Resource_Access/7_6_0/rules/PH_RULE_FORTIOS_CVE_2022_42475.htm"/>
    <hyperlink ref="AA806" r:id="rId805" display="https://filestore.fortinet.com/docs.fortinet.com/fsiem/Public_Resource_Access/7_6_0/rules/PH_RULE_CISA_TOP_20_VULNS_FWB_Network.htm"/>
    <hyperlink ref="AA807" r:id="rId806" display="https://filestore.fortinet.com/docs.fortinet.com/fsiem/Public_Resource_Access/7_6_0/rules/PH_RULE_FWB_VMware_SpringCloud_RCE_CVE_2022_22963.htm"/>
    <hyperlink ref="AA808" r:id="rId807" display="https://filestore.fortinet.com/docs.fortinet.com/fsiem/Public_Resource_Access/7_6_0/rules/PH_RULE_FWB_ZerobotBotnetActivity.htm"/>
    <hyperlink ref="AA809" r:id="rId808" display="https://filestore.fortinet.com/docs.fortinet.com/fsiem/Public_Resource_Access/7_6_0/rules/PH_RULE_GoAnywhere_MFT_Attack_CVE_2025_10035_Host.htm"/>
    <hyperlink ref="AA810" r:id="rId809" display="https://filestore.fortinet.com/docs.fortinet.com/fsiem/Public_Resource_Access/7_6_0/rules/PH_RULE_GoAnywhere_MFT_Attack_CVE_2025_10035_Network.htm"/>
    <hyperlink ref="AA811" r:id="rId810" display="https://filestore.fortinet.com/docs.fortinet.com/fsiem/Public_Resource_Access/7_6_0/rules/PH_RULE_FortraGoAnywhere_MFT_RCE_Host.htm"/>
    <hyperlink ref="AA812" r:id="rId811" display="https://filestore.fortinet.com/docs.fortinet.com/fsiem/Public_Resource_Access/7_6_0/rules/PH_RULE_FortraGoAnywhere_MFT_RCE_Network.htm"/>
    <hyperlink ref="AA813" r:id="rId812" display="https://filestore.fortinet.com/docs.fortinet.com/fsiem/Public_Resource_Access/7_6_0/rules/PH_RULE_GeoServer_RCE_CVE_2024_36401_Network.htm"/>
    <hyperlink ref="AA814" r:id="rId813" display="https://filestore.fortinet.com/docs.fortinet.com/fsiem/Public_Resource_Access/7_6_0/rules/PH_RULE_Google_Chromium_BufferOverflow_CVE_2023_4863_Host.htm"/>
    <hyperlink ref="AA815" r:id="rId814" display="https://filestore.fortinet.com/docs.fortinet.com/fsiem/Public_Resource_Access/7_6_0/rules/PH_RULE_Google_Chromium_BufferOverflow_CVE_2023_4863_Network.htm"/>
    <hyperlink ref="AA816" r:id="rId815" display="https://filestore.fortinet.com/docs.fortinet.com/fsiem/Public_Resource_Access/7_6_0/rules/PH_RULE_HikvisionVuln_CVE2021_36260_Network.htm"/>
    <hyperlink ref="AA817" r:id="rId816" display="https://filestore.fortinet.com/docs.fortinet.com/fsiem/Public_Resource_Access/7_6_0/rules/PH_RULE_HiveRansomwareHost.htm"/>
    <hyperlink ref="AA818" r:id="rId817" display="https://filestore.fortinet.com/docs.fortinet.com/fsiem/Public_Resource_Access/7_6_0/rules/PH_RULE_HiveRansomwareNetwork.htm"/>
    <hyperlink ref="AA819" r:id="rId818" display="https://filestore.fortinet.com/docs.fortinet.com/fsiem/Public_Resource_Access/7_6_0/rules/PH_RULE_HTTP2_Bomb_DoS_CVE_2026_49975_Network.htm"/>
    <hyperlink ref="AA820" r:id="rId819" display="https://filestore.fortinet.com/docs.fortinet.com/fsiem/Public_Resource_Access/7_6_0/rules/PH_RULE_HTTP2_Rapid_Reset_CVE_2023_44487_Host.htm"/>
    <hyperlink ref="AA821" r:id="rId820" display="https://filestore.fortinet.com/docs.fortinet.com/fsiem/Public_Resource_Access/7_6_0/rules/PH_RULE_HTTP2_Rapid_Reset_CVE_2023_44487_Network.htm"/>
    <hyperlink ref="AA822" r:id="rId821" display="https://filestore.fortinet.com/docs.fortinet.com/fsiem/Public_Resource_Access/7_6_0/rules/PH_RULE_IBM_Aspera_Faspex_Code_Execution_Host.htm"/>
    <hyperlink ref="AA823" r:id="rId822" display="https://filestore.fortinet.com/docs.fortinet.com/fsiem/Public_Resource_Access/7_6_0/rules/PH_RULE_IBM_Aspera_Faspex_Code_Execution_Network.htm"/>
    <hyperlink ref="AA824" r:id="rId823" display="https://filestore.fortinet.com/docs.fortinet.com/fsiem/Public_Resource_Access/7_6_0/rules/PH_RULE_Interlock_Ransomware_CVE_2026_20131_Host.htm"/>
    <hyperlink ref="AA825" r:id="rId824" display="https://filestore.fortinet.com/docs.fortinet.com/fsiem/Public_Resource_Access/7_6_0/rules/PH_RULE_Interlock_Ransomware_CVE_2026_20131_Network.htm"/>
    <hyperlink ref="AA826" r:id="rId825" display="https://filestore.fortinet.com/docs.fortinet.com/fsiem/Public_Resource_Access/7_6_0/rules/PH_RULE_Ivanti_CSA_Zero_Day_Attack_CVE_2024_9379_Network.htm"/>
    <hyperlink ref="AA827" r:id="rId826" display="https://filestore.fortinet.com/docs.fortinet.com/fsiem/Public_Resource_Access/7_6_0/rules/PH_RULE_Ivanti_AuthBypass_CVE_2024_21887_Network.htm"/>
    <hyperlink ref="AA828" r:id="rId827" display="https://filestore.fortinet.com/docs.fortinet.com/fsiem/Public_Resource_Access/7_6_0/rules/PH_RULE_IvantiEPMM_AuthBypass_CVE_2023_35078_Host.htm"/>
    <hyperlink ref="AA829" r:id="rId828" display="https://filestore.fortinet.com/docs.fortinet.com/fsiem/Public_Resource_Access/7_6_0/rules/PH_RULE_IvantiEPMM_AuthBypass_CVE_2023_35078_Network.htm"/>
    <hyperlink ref="AA830" r:id="rId829" display="https://filestore.fortinet.com/docs.fortinet.com/fsiem/Public_Resource_Access/7_6_0/rules/PH_RULE_Ivanti_Sentry_CVE_2026_10520_Network.htm"/>
    <hyperlink ref="AA831" r:id="rId830" display="https://filestore.fortinet.com/docs.fortinet.com/fsiem/Public_Resource_Access/7_6_0/rules/PH_RULE_Jenkins_RCE_CVE_2024_23897_Host.htm"/>
    <hyperlink ref="AA832" r:id="rId831" display="https://filestore.fortinet.com/docs.fortinet.com/fsiem/Public_Resource_Access/7_6_0/rules/PH_RULE_Jenkins_RCE_CVE_2024_23897_Network.htm"/>
    <hyperlink ref="AA833" r:id="rId832" display="https://filestore.fortinet.com/docs.fortinet.com/fsiem/Public_Resource_Access/7_6_0/rules/PH_RULE_JetBrains_TeamCity_CVE_2023_42793_Host.htm"/>
    <hyperlink ref="AA834" r:id="rId833" display="https://filestore.fortinet.com/docs.fortinet.com/fsiem/Public_Resource_Access/7_6_0/rules/PH_RULE_JetBrains_TeamCity_CVE_2023_42793_Network.htm"/>
    <hyperlink ref="AA835" r:id="rId834" display="https://filestore.fortinet.com/docs.fortinet.com/fsiem/Public_Resource_Access/7_6_0/rules/PH_RULE_Joomla_Improper_Access_Check_Network.htm"/>
    <hyperlink ref="AA836" r:id="rId835" display="https://filestore.fortinet.com/docs.fortinet.com/fsiem/Public_Resource_Access/7_6_0/rules/PH_RULE_Joomla_SP_RCE_CVE_2026_48908_Network.htm"/>
    <hyperlink ref="AA837" r:id="rId836" display="https://filestore.fortinet.com/docs.fortinet.com/fsiem/Public_Resource_Access/7_6_0/rules/PH_RULE_Langflow_Unauth_RCE_CVE_2025_3248_Network.htm"/>
    <hyperlink ref="AA838" r:id="rId837" display="https://filestore.fortinet.com/docs.fortinet.com/fsiem/Public_Resource_Access/7_6_0/rules/PH_RULE_Lazarus_RAT_Attack_CVE_2021_44228_Host.htm"/>
    <hyperlink ref="AA839" r:id="rId838" display="https://filestore.fortinet.com/docs.fortinet.com/fsiem/Public_Resource_Access/7_6_0/rules/PH_RULE_Lazarus_RAT_Attack_CVE_2021_44228_Network.htm"/>
    <hyperlink ref="AA840" r:id="rId839" display="https://filestore.fortinet.com/docs.fortinet.com/fsiem/Public_Resource_Access/7_6_0/rules/PH_RULE_Mallox_Ransomware_CVE_2024_21338_Host.htm"/>
    <hyperlink ref="AA841" r:id="rId840" display="https://filestore.fortinet.com/docs.fortinet.com/fsiem/Public_Resource_Access/7_6_0/rules/PH_RULE_Mallox_Ransomware_CVE_2024_21338_Network.htm"/>
    <hyperlink ref="AA842" r:id="rId841" display="https://filestore.fortinet.com/docs.fortinet.com/fsiem/Public_Resource_Access/7_6_0/rules/PH_RULE_Microsoft_DOTNET_CVE_2024_29059_Host.htm"/>
    <hyperlink ref="AA843" r:id="rId842" display="https://filestore.fortinet.com/docs.fortinet.com/fsiem/Public_Resource_Access/7_6_0/rules/PH_RULE_Microsoft_DOTNET_CVE_2024_29059_Network.htm"/>
    <hyperlink ref="AA844" r:id="rId843" display="https://filestore.fortinet.com/docs.fortinet.com/fsiem/Public_Resource_Access/7_6_0/rules/PH_RULE_MS_RCE_CVE2022_26809_Activity_Host.htm"/>
    <hyperlink ref="AA845" r:id="rId844" display="https://filestore.fortinet.com/docs.fortinet.com/fsiem/Public_Resource_Access/7_6_0/rules/PH_RULE_MS_RCE_CVE2022_26809_Activity_Network.htm"/>
    <hyperlink ref="AA846" r:id="rId845" display="https://filestore.fortinet.com/docs.fortinet.com/fsiem/Public_Resource_Access/7_6_0/rules/PH_RULE_MSOffice_WindowsHTML_CVE_2023_36884_Host.htm"/>
    <hyperlink ref="AA847" r:id="rId846" display="https://filestore.fortinet.com/docs.fortinet.com/fsiem/Public_Resource_Access/7_6_0/rules/PH_RULE_MSOffice_WindowsHTML_CVE_2023_36884_Network.htm"/>
    <hyperlink ref="AA848" r:id="rId847" display="https://filestore.fortinet.com/docs.fortinet.com/fsiem/Public_Resource_Access/7_6_0/rules/PH_RULE_Microsoft_Outlook_Elevation_of_Privilege_Host.htm"/>
    <hyperlink ref="AA849" r:id="rId848" display="https://filestore.fortinet.com/docs.fortinet.com/fsiem/Public_Resource_Access/7_6_0/rules/PH_RULE_Microsoft_Outlook_Elevation_of_Privilege_Network.htm"/>
    <hyperlink ref="AA850" r:id="rId849" display="https://filestore.fortinet.com/docs.fortinet.com/fsiem/Public_Resource_Access/7_6_0/rules/PH_RULE_Microsoft_SharePoint_EoP_CVE_2023_29357_Host.htm"/>
    <hyperlink ref="AA851" r:id="rId850" display="https://filestore.fortinet.com/docs.fortinet.com/fsiem/Public_Resource_Access/7_6_0/rules/PH_RULE_Microsoft_SharePoint_EoP_CVE_2023_29357_Network.htm"/>
    <hyperlink ref="AA852" r:id="rId851" display="https://filestore.fortinet.com/docs.fortinet.com/fsiem/Public_Resource_Access/7_6_0/rules/PH_RULE_MS_SharePoint_ZeroDay_CVE_2025_49706_Host.htm"/>
    <hyperlink ref="AA853" r:id="rId852" display="https://filestore.fortinet.com/docs.fortinet.com/fsiem/Public_Resource_Access/7_6_0/rules/PH_RULE_MS_SharePoint_ZeroDay_CVE_2025_49706_Network.htm"/>
    <hyperlink ref="AA854" r:id="rId853" display="https://filestore.fortinet.com/docs.fortinet.com/fsiem/Public_Resource_Access/7_6_0/rules/PH_RULE_Mitel_MiCollab_Unauthorized_Access_CVE_2024_35286_Host.htm"/>
    <hyperlink ref="AA855" r:id="rId854" display="https://filestore.fortinet.com/docs.fortinet.com/fsiem/Public_Resource_Access/7_6_0/rules/PH_RULE_Mitel_MiCollab_Unauthorized_Access_CVE_2024_35286_Network.htm"/>
    <hyperlink ref="AA856" r:id="rId855" display="https://filestore.fortinet.com/docs.fortinet.com/fsiem/Public_Resource_Access/7_6_0/rules/PH_RULE_Multiple_Vendor_Camera_System_Attack_ArgusAxisJawsVacron_Network.htm"/>
    <hyperlink ref="AA857" r:id="rId856" display="https://filestore.fortinet.com/docs.fortinet.com/fsiem/Public_Resource_Access/7_6_0/rules/PH_RULE_NiceLinear_eMerge_CVE_2019_7256_Network.htm"/>
    <hyperlink ref="AA858" r:id="rId857" display="https://filestore.fortinet.com/docs.fortinet.com/fsiem/Public_Resource_Access/7_6_0/rules/PH_RULE_OracleEBS_RCE_CVE_2025_61882_Network.htm"/>
    <hyperlink ref="AA859" r:id="rId858" display="https://filestore.fortinet.com/docs.fortinet.com/fsiem/Public_Resource_Access/7_6_0/rules/PH_RULE_Oracle_WebLogic_Server_Vuln_CVE_2023_21839_Network.htm"/>
    <hyperlink ref="AA860" r:id="rId859" display="https://filestore.fortinet.com/docs.fortinet.com/fsiem/Public_Resource_Access/7_6_0/rules/PH_RULE_Palo_Alto_Expedition_Vul_CVE_2024_5910_Network.htm"/>
    <hyperlink ref="AA861" r:id="rId860" display="https://filestore.fortinet.com/docs.fortinet.com/fsiem/Public_Resource_Access/7_6_0/rules/PH_RULE_PAN_OS_Mgmt_Intf_Att_CVE_2024_0012_Network.htm"/>
    <hyperlink ref="AA862" r:id="rId861" display="https://filestore.fortinet.com/docs.fortinet.com/fsiem/Public_Resource_Access/7_6_0/rules/PH_RULE_PANOS_GP_AuthBypass_CVE_2026_0257_Network.htm"/>
    <hyperlink ref="AA863" r:id="rId862" display="https://filestore.fortinet.com/docs.fortinet.com/fsiem/Public_Resource_Access/7_6_0/rules/PH_RULE_PANOS_GlobalProtect_CVE_2024_3400_Host.htm"/>
    <hyperlink ref="AA864" r:id="rId863" display="https://filestore.fortinet.com/docs.fortinet.com/fsiem/Public_Resource_Access/7_6_0/rules/PH_RULE_PANOS_GlobalProtect_CVE_2024_3400_Network.htm"/>
    <hyperlink ref="AA865" r:id="rId864" display="https://filestore.fortinet.com/docs.fortinet.com/fsiem/Public_Resource_Access/7_6_0/rules/PH_RULE_PaperCut_CVE_2023_27350_Host.htm"/>
    <hyperlink ref="AA866" r:id="rId865" display="https://filestore.fortinet.com/docs.fortinet.com/fsiem/Public_Resource_Access/7_6_0/rules/PH_RULE_PaperCut_CVE_2023_27350_Network.htm"/>
    <hyperlink ref="AA867" r:id="rId866" display="https://filestore.fortinet.com/docs.fortinet.com/fsiem/Public_Resource_Access/7_6_0/rules/PH_RULE_PHP_RCE_Attack_CVE_2024_4577_Network.htm"/>
    <hyperlink ref="AA868" r:id="rId867" display="https://filestore.fortinet.com/docs.fortinet.com/fsiem/Public_Resource_Access/7_6_0/rules/PH_RULE_Kemp_LoadMaster_OS_Cmd_Inj_CVE_2024_1212_Network.htm"/>
    <hyperlink ref="AA869" r:id="rId868" display="https://filestore.fortinet.com/docs.fortinet.com/fsiem/Public_Resource_Access/7_6_0/rules/PH_RULE_Progress_MOVEit_Transfer_SQL_Injection_CVE_2023_34362_Host.htm"/>
    <hyperlink ref="AA870" r:id="rId869" display="https://filestore.fortinet.com/docs.fortinet.com/fsiem/Public_Resource_Access/7_6_0/rules/PH_RULE_Progress_MOVEit_Transfer_SQL_Injection_CVE_2023_34362_Network.htm"/>
    <hyperlink ref="AA871" r:id="rId870" display="https://filestore.fortinet.com/docs.fortinet.com/fsiem/Public_Resource_Access/7_6_0/rules/PH_RULE_Progress_Telerik_UI_Attack_Host.htm"/>
    <hyperlink ref="AA872" r:id="rId871" display="https://filestore.fortinet.com/docs.fortinet.com/fsiem/Public_Resource_Access/7_6_0/rules/PH_RULE_Progress_Telerik_UI_Attack_Network.htm"/>
    <hyperlink ref="AA873" r:id="rId872" display="https://filestore.fortinet.com/docs.fortinet.com/fsiem/Public_Resource_Access/7_6_0/rules/PH_RULE_PTZOptics_Cameras_Attack_CVE_2024_8957_Network.htm"/>
    <hyperlink ref="AA874" r:id="rId873" display="https://filestore.fortinet.com/docs.fortinet.com/fsiem/Public_Resource_Access/7_6_0/rules/PH_RULE_QUICKFOX_SUPPLYCHAIN_ATTK_Network.htm"/>
    <hyperlink ref="AA875" r:id="rId874" display="https://filestore.fortinet.com/docs.fortinet.com/fsiem/Public_Resource_Access/7_6_0/rules/PH_RULE_React2Shell_RCE_CVE_2025_55182_Network.htm"/>
    <hyperlink ref="AA876" r:id="rId875" display="https://filestore.fortinet.com/docs.fortinet.com/fsiem/Public_Resource_Access/7_6_0/rules/PH_RULE_RealtekSDK_CVE_2021_35394_Host.htm"/>
    <hyperlink ref="AA877" r:id="rId876" display="https://filestore.fortinet.com/docs.fortinet.com/fsiem/Public_Resource_Access/7_6_0/rules/PH_RULE_RealtekSDK_CVE_2021_35394_Network.htm"/>
    <hyperlink ref="AA878" r:id="rId877" display="https://filestore.fortinet.com/docs.fortinet.com/fsiem/Public_Resource_Access/7_6_0/rules/PH_RULE_Redigo_Host.htm"/>
    <hyperlink ref="AA879" r:id="rId878" display="https://filestore.fortinet.com/docs.fortinet.com/fsiem/Public_Resource_Access/7_6_0/rules/PH_RULE_Redigo_Net.htm"/>
    <hyperlink ref="AA880" r:id="rId879" display="https://filestore.fortinet.com/docs.fortinet.com/fsiem/Public_Resource_Access/7_6_0/rules/PH_RULE_RouterMalwareAttack_2023Feb_Host.htm"/>
    <hyperlink ref="AA881" r:id="rId880" display="https://filestore.fortinet.com/docs.fortinet.com/fsiem/Public_Resource_Access/7_6_0/rules/PH_RULE_RouterMalwareAttack_2023Feb_Network.htm"/>
    <hyperlink ref="AA882" r:id="rId881" display="https://filestore.fortinet.com/docs.fortinet.com/fsiem/Public_Resource_Access/7_6_0/rules/PH_RULE_Sandbreak_RCE_Vuln_Network.htm"/>
    <hyperlink ref="AA883" r:id="rId882" display="https://filestore.fortinet.com/docs.fortinet.com/fsiem/Public_Resource_Access/7_6_0/rules/PH_RULE_ServiceNow_RCE_CVE_2024_5217_Network.htm"/>
    <hyperlink ref="AA884" r:id="rId883" display="https://filestore.fortinet.com/docs.fortinet.com/fsiem/Public_Resource_Access/7_6_0/rules/PH_RULE_ShadowSilk_Data_Exfil_CVE_2024_27956_Network.htm"/>
    <hyperlink ref="AA885" r:id="rId884" display="https://filestore.fortinet.com/docs.fortinet.com/fsiem/Public_Resource_Access/7_6_0/rules/PH_RULE_SimpleHelp_Ransomware_Attack_CVE_2024_57727_Host.htm"/>
    <hyperlink ref="AA886" r:id="rId885" display="https://filestore.fortinet.com/docs.fortinet.com/fsiem/Public_Resource_Access/7_6_0/rules/PH_RULE_SimpleHelp_Ransomware_Attack_CVE_2024_57727_Network.htm"/>
    <hyperlink ref="AA887" r:id="rId886" display="https://filestore.fortinet.com/docs.fortinet.com/fsiem/Public_Resource_Access/7_6_0/rules/PH_RULE_SmarterMail_RCE_CVE_2025_52691_Network.htm"/>
    <hyperlink ref="AA888" r:id="rId887" display="https://filestore.fortinet.com/docs.fortinet.com/fsiem/Public_Resource_Access/7_6_0/rules/PH_RULE_SolarView_Compact_Command_Inj_CVE_2022_40881_Network.htm"/>
    <hyperlink ref="AA889" r:id="rId888" display="https://filestore.fortinet.com/docs.fortinet.com/fsiem/Public_Resource_Access/7_6_0/rules/PH_RULE_SonicWall_SMA_Attack_CVE_2024_38475_Network.htm"/>
    <hyperlink ref="AA890" r:id="rId889" display="https://filestore.fortinet.com/docs.fortinet.com/fsiem/Public_Resource_Access/7_6_0/rules/PH_RULE_Sunhillo_SureLine_CVE_2021_36380_Host.htm"/>
    <hyperlink ref="AA891" r:id="rId890" display="https://filestore.fortinet.com/docs.fortinet.com/fsiem/Public_Resource_Access/7_6_0/rules/PH_RULE_Sunhillo_SureLine_CVE_2021_36380_Network.htm"/>
    <hyperlink ref="AA892" r:id="rId891" display="https://filestore.fortinet.com/docs.fortinet.com/fsiem/Public_Resource_Access/7_6_0/rules/PH_RULE_Zimbra_RCE_CVE_2024_45519_Host.htm"/>
    <hyperlink ref="AA893" r:id="rId892" display="https://filestore.fortinet.com/docs.fortinet.com/fsiem/Public_Resource_Access/7_6_0/rules/PH_RULE_Zimbra_RCE_CVE_2024_45519_Network.htm"/>
    <hyperlink ref="AA894" r:id="rId893" display="https://filestore.fortinet.com/docs.fortinet.com/fsiem/Public_Resource_Access/7_6_0/rules/PH_RULE_TBK_DVR_Attack_CVE_2018_9995_Network.htm"/>
    <hyperlink ref="AA895" r:id="rId894" display="https://filestore.fortinet.com/docs.fortinet.com/fsiem/Public_Resource_Access/7_6_0/rules/PH_RULE_TBK_DVRs_Botnet_Attack_CVE_2024_3721_Network.htm"/>
    <hyperlink ref="AA896" r:id="rId895" display="https://filestore.fortinet.com/docs.fortinet.com/fsiem/Public_Resource_Access/7_6_0/rules/PH_RULE_GLPI_Remote_Code_Execution_Network.htm"/>
    <hyperlink ref="AA897" r:id="rId896" display="https://filestore.fortinet.com/docs.fortinet.com/fsiem/Public_Resource_Access/7_6_0/rules/PH_RULE_ThinkPHPRCE_CVE_2019_9082_Host.htm"/>
    <hyperlink ref="AA898" r:id="rId897" display="https://filestore.fortinet.com/docs.fortinet.com/fsiem/Public_Resource_Access/7_6_0/rules/PH_RULE_ThinkPHPRCE_CVE_2019_9082_Network.htm"/>
    <hyperlink ref="AA899" r:id="rId898" display="https://filestore.fortinet.com/docs.fortinet.com/fsiem/Public_Resource_Access/7_6_0/rules/PH_RULE_TP_Link_Archer_AX_21_CVE_2023_1389_Host.htm"/>
    <hyperlink ref="AA900" r:id="rId899" display="https://filestore.fortinet.com/docs.fortinet.com/fsiem/Public_Resource_Access/7_6_0/rules/PH_RULE_TP_Link_Archer_AX_21_CVE_2023_1389_Network.htm"/>
    <hyperlink ref="AA901" r:id="rId900" display="https://filestore.fortinet.com/docs.fortinet.com/fsiem/Public_Resource_Access/7_6_0/rules/PH_RULE_UNC1549_Espionage_Attack_CVE_2021_26855_Network.htm"/>
    <hyperlink ref="AA902" r:id="rId901" display="https://filestore.fortinet.com/docs.fortinet.com/fsiem/Public_Resource_Access/7_6_0/rules/PH_RULE_Versa_Concerto_AutheBypass_CVE_2025_34026_Network.htm"/>
    <hyperlink ref="AA903" r:id="rId902" display="https://filestore.fortinet.com/docs.fortinet.com/fsiem/Public_Resource_Access/7_6_0/rules/PH_RULE_VMware_Aria_CVE_2023_20887_Network.htm"/>
    <hyperlink ref="AA904" r:id="rId903" display="https://filestore.fortinet.com/docs.fortinet.com/fsiem/Public_Resource_Access/7_6_0/rules/PH_RULE_ESXIRansom_2023Feb_Network.htm"/>
    <hyperlink ref="AA905" r:id="rId904" display="https://filestore.fortinet.com/docs.fortinet.com/fsiem/Public_Resource_Access/7_6_0/rules/PH_RULE_VMware_SpringCloud_RCE_CVE_2022_22963_Net.htm"/>
    <hyperlink ref="AA906" r:id="rId905" display="https://filestore.fortinet.com/docs.fortinet.com/fsiem/Public_Resource_Access/7_6_0/rules/PH_RULE_VMWareWorkspaceONE_CVE_2022_22954_Net.htm"/>
    <hyperlink ref="AA907" r:id="rId906" display="https://filestore.fortinet.com/docs.fortinet.com/fsiem/Public_Resource_Access/7_6_0/rules/PH_RULE_Win32_Escalation_Detected_Host.htm"/>
    <hyperlink ref="AA908" r:id="rId907" display="https://filestore.fortinet.com/docs.fortinet.com/fsiem/Public_Resource_Access/7_6_0/rules/PH_RULE_Win32_Escalation_Detected_Network.htm"/>
    <hyperlink ref="AA909" r:id="rId908" display="https://filestore.fortinet.com/docs.fortinet.com/fsiem/Public_Resource_Access/7_6_0/rules/PH_RULE_WooCommerce_Payments_CVE_2023_28121_Host.htm"/>
    <hyperlink ref="AA910" r:id="rId909" display="https://filestore.fortinet.com/docs.fortinet.com/fsiem/Public_Resource_Access/7_6_0/rules/PH_RULE_WooCommerce_Payments_CVE_2023_28121_Network.htm"/>
    <hyperlink ref="AA911" r:id="rId910" display="https://filestore.fortinet.com/docs.fortinet.com/fsiem/Public_Resource_Access/7_6_0/rules/PH_RULE_WPGatewayVulnCVE_2022_3180_Network.htm"/>
    <hyperlink ref="AA912" r:id="rId911" display="https://filestore.fortinet.com/docs.fortinet.com/fsiem/Public_Resource_Access/7_6_0/rules/PH_RULE_WP2Shell_RCE_CVE_2026_63030_Network.htm"/>
    <hyperlink ref="AA913" r:id="rId912" display="https://filestore.fortinet.com/docs.fortinet.com/fsiem/Public_Resource_Access/7_6_0/rules/PH_RULE_ZerobotBotnetActivity_Host.htm"/>
    <hyperlink ref="AA914" r:id="rId913" display="https://filestore.fortinet.com/docs.fortinet.com/fsiem/Public_Resource_Access/7_6_0/rules/PH_RULE_ZerobotBotnetActivity_Network.htm"/>
    <hyperlink ref="AA915" r:id="rId914" display="https://filestore.fortinet.com/docs.fortinet.com/fsiem/Public_Resource_Access/7_6_0/rules/PH_RULE_Zimbra_Collab_CVE_2025_68645_Network.htm"/>
    <hyperlink ref="AA916" r:id="rId915" display="https://filestore.fortinet.com/docs.fortinet.com/fsiem/Public_Resource_Access/7_6_0/rules/PH_RULE_ZimbraMboxImportVuln_Host.htm"/>
    <hyperlink ref="AA917" r:id="rId916" display="https://filestore.fortinet.com/docs.fortinet.com/fsiem/Public_Resource_Access/7_6_0/rules/PH_RULE_ZimbraMboxImportVuln_Network.htm"/>
    <hyperlink ref="AA918" r:id="rId917" display="https://filestore.fortinet.com/docs.fortinet.com/fsiem/Public_Resource_Access/7_6_0/rules/PH_RULE_Zoho_ManageEngine_RCE_52571_Network.htm"/>
    <hyperlink ref="AA919" r:id="rId918" display="https://filestore.fortinet.com/docs.fortinet.com/fsiem/Public_Resource_Access/7_6_0/rules/PH_RULE_Zyxel_Multiple_Firewall_Vuln_CVE_2023_28771_Host.htm"/>
    <hyperlink ref="AA920" r:id="rId919" display="https://filestore.fortinet.com/docs.fortinet.com/fsiem/Public_Resource_Access/7_6_0/rules/PH_RULE_Zyxel_Multiple_Firewall_Vuln_CVE_2023_28771_Network.htm"/>
    <hyperlink ref="AA921" r:id="rId920" display="https://filestore.fortinet.com/docs.fortinet.com/fsiem/Public_Resource_Access/7_6_0/rules/PH_RULE_Zyxel_Router_CVE_2017_18368_Network.htm"/>
    <hyperlink ref="AA922" r:id="rId921" display="https://filestore.fortinet.com/docs.fortinet.com/fsiem/Public_Resource_Access/7_6_0/rules/PH_RULE_FROM_DRAGOS_WORLDVIEW_MALWARE_IP.htm"/>
    <hyperlink ref="AA923" r:id="rId922" display="https://filestore.fortinet.com/docs.fortinet.com/fsiem/Public_Resource_Access/7_6_0/rules/PH_RULE_WIN_POWERSHELL_DOWNGRADE_ATTACK.htm"/>
    <hyperlink ref="AA924" r:id="rId923" display="https://filestore.fortinet.com/docs.fortinet.com/fsiem/Public_Resource_Access/7_6_0/rules/PH_RULE_REPLAY_ATTACK.htm"/>
    <hyperlink ref="AA925" r:id="rId924" display="https://filestore.fortinet.com/docs.fortinet.com/fsiem/Public_Resource_Access/7_6_0/rules/PH_RULE_S1Singularity_CloudAlert_NewMaliciousThreatNotMitigated.htm"/>
    <hyperlink ref="AA926" r:id="rId925" display="https://filestore.fortinet.com/docs.fortinet.com/fsiem/Public_Resource_Access/7_6_0/rules/PH_RULE_S1Singularity_CloudAlert_NewSuspiciousThreatNotMitigated.htm"/>
    <hyperlink ref="AA927" r:id="rId926" display="https://filestore.fortinet.com/docs.fortinet.com/fsiem/Public_Resource_Access/7_6_0/rules/PH_RULE_S1Singularity_AnalystMarkedMaliciousThreatAsTruePositive.htm"/>
    <hyperlink ref="AA928" r:id="rId927" display="https://filestore.fortinet.com/docs.fortinet.com/fsiem/Public_Resource_Access/7_6_0/rules/PH_RULE_S1Singularity_NewMaliciousThreatNotMitigated.htm"/>
    <hyperlink ref="AA929" r:id="rId928" display="https://filestore.fortinet.com/docs.fortinet.com/fsiem/Public_Resource_Access/7_6_0/rules/PH_RULE_S1Singularity_NewSuspiciousThreatNotMitigated.htm"/>
    <hyperlink ref="AA930" r:id="rId929" display="https://filestore.fortinet.com/docs.fortinet.com/fsiem/Public_Resource_Access/7_6_0/rules/PH_RULE_S1Singularity_STAR_MarkedEventMalicious.htm"/>
    <hyperlink ref="AA931" r:id="rId930" display="https://filestore.fortinet.com/docs.fortinet.com/fsiem/Public_Resource_Access/7_6_0/rules/PH_RULE_S1Singularity_STAR_MarkedEventSuspicious.htm"/>
    <hyperlink ref="AA932" r:id="rId931" display="https://filestore.fortinet.com/docs.fortinet.com/fsiem/Public_Resource_Access/7_6_0/rules/PH_RULE_VPN_LOGON_SUCCESS_OUTSIDE_COUNTRY.htm"/>
    <hyperlink ref="AA933" r:id="rId932" display="https://filestore.fortinet.com/docs.fortinet.com/fsiem/Public_Resource_Access/7_6_0/rules/PH_RULE_SUSPICIOUS_LOGON.htm"/>
    <hyperlink ref="AA934" r:id="rId933" display="https://filestore.fortinet.com/docs.fortinet.com/fsiem/Public_Resource_Access/7_6_0/rules/PH_RULE_SCH_SUSPICIOUS_LOGON_ATTEMPT.htm"/>
    <hyperlink ref="AA935" r:id="rId934" display="https://filestore.fortinet.com/docs.fortinet.com/fsiem/Public_Resource_Access/7_6_0/rules/PH_RULE_TO_DRAGOS_WORLDVIEW_MALWARE_IP.htm"/>
    <hyperlink ref="AA936" r:id="rId935" display="https://filestore.fortinet.com/docs.fortinet.com/fsiem/Public_Resource_Access/7_6_0/rules/PH_RULE_INBOUND_VNC.htm"/>
    <hyperlink ref="AA937" r:id="rId936" display="https://filestore.fortinet.com/docs.fortinet.com/fsiem/Public_Resource_Access/7_6_0/rules/PH_RULE_BaaUpdate_exe_Suspicious_DLL_Load.htm"/>
    <hyperlink ref="AA938" r:id="rId937" display="https://filestore.fortinet.com/docs.fortinet.com/fsiem/Public_Resource_Access/7_6_0/rules/PH_RULE_Certificate_Exported_Via_PowerShell.htm"/>
    <hyperlink ref="AA939" r:id="rId938" display="https://filestore.fortinet.com/docs.fortinet.com/fsiem/Public_Resource_Access/7_6_0/rules/PH_RULE_Certificate_Exported_Via_PowerShell_ScriptBlock.htm"/>
    <hyperlink ref="AA940" r:id="rId939" display="https://filestore.fortinet.com/docs.fortinet.com/fsiem/Public_Resource_Access/7_6_0/rules/PH_RULE_DNS_Query_Request_By_QuickAssist_EXE.htm"/>
    <hyperlink ref="AA941" r:id="rId940" display="https://filestore.fortinet.com/docs.fortinet.com/fsiem/Public_Resource_Access/7_6_0/rules/PH_RULE_DPAPI_Backup_Keys_And_Certificate_Export_Activity_IOC.htm"/>
    <hyperlink ref="AA942" r:id="rId941" display="https://filestore.fortinet.com/docs.fortinet.com/fsiem/Public_Resource_Access/7_6_0/rules/PH_RULE_Enable_Windows_Remote_Management.htm"/>
    <hyperlink ref="AA943" r:id="rId942" display="https://filestore.fortinet.com/docs.fortinet.com/fsiem/Public_Resource_Access/7_6_0/rules/PH_RULE_Execute_Invoke_command_on_Remote_Host.htm"/>
    <hyperlink ref="AA944" r:id="rId943" display="https://filestore.fortinet.com/docs.fortinet.com/fsiem/Public_Resource_Access/7_6_0/rules/PH_RULE_Extracting_Information_with_PowerShell.htm"/>
    <hyperlink ref="AA945" r:id="rId944" display="https://filestore.fortinet.com/docs.fortinet.com/fsiem/Public_Resource_Access/7_6_0/rules/PH_RULE_HackTool_Credential_Dumping_Tools_Named_Pipe_Created.htm"/>
    <hyperlink ref="AA946" r:id="rId945" display="https://filestore.fortinet.com/docs.fortinet.com/fsiem/Public_Resource_Access/7_6_0/rules/PH_RULE_HackTool_Doppelanger_LSASS_Dumper_Execution.htm"/>
    <hyperlink ref="AA947" r:id="rId946" display="https://filestore.fortinet.com/docs.fortinet.com/fsiem/Public_Resource_Access/7_6_0/rules/PH_RULE_HackTool_Generic_Process_Access.htm"/>
    <hyperlink ref="AA948" r:id="rId947" display="https://filestore.fortinet.com/docs.fortinet.com/fsiem/Public_Resource_Access/7_6_0/rules/PH_RULE_HackTool_Impacket_File_Indicators.htm"/>
    <hyperlink ref="AA949" r:id="rId948" display="https://filestore.fortinet.com/docs.fortinet.com/fsiem/Public_Resource_Access/7_6_0/rules/PH_RULE_HackTool_Koh_Default_Named_Pipe.htm"/>
    <hyperlink ref="AA950" r:id="rId949" display="https://filestore.fortinet.com/docs.fortinet.com/fsiem/Public_Resource_Access/7_6_0/rules/PH_RULE_HackTool_SharpMove_Tool_Execution.htm"/>
    <hyperlink ref="AA951" r:id="rId950" display="https://filestore.fortinet.com/docs.fortinet.com/fsiem/Public_Resource_Access/7_6_0/rules/PH_RULE_HackTool_SharpWSUS_WSUSpendu_Execution.htm"/>
    <hyperlink ref="AA952" r:id="rId951" display="https://filestore.fortinet.com/docs.fortinet.com/fsiem/Public_Resource_Access/7_6_0/rules/PH_RULE_HackTool_SysmonEOP_Execution.htm"/>
    <hyperlink ref="AA953" r:id="rId952" display="https://filestore.fortinet.com/docs.fortinet.com/fsiem/Public_Resource_Access/7_6_0/rules/PH_RULE_HackTool_WSASS_Execution.htm"/>
    <hyperlink ref="AA954" r:id="rId953" display="https://filestore.fortinet.com/docs.fortinet.com/fsiem/Public_Resource_Access/7_6_0/rules/PH_RULE_LSASS_Access_Detected_via_Attack_Surface_Reduction.htm"/>
    <hyperlink ref="AA955" r:id="rId954" display="https://filestore.fortinet.com/docs.fortinet.com/fsiem/Public_Resource_Access/7_6_0/rules/PH_RULE_LSASS_Dump_Keyword_In_CommandLine.htm"/>
    <hyperlink ref="AA956" r:id="rId955" display="https://filestore.fortinet.com/docs.fortinet.com/fsiem/Public_Resource_Access/7_6_0/rules/PH_RULE_Lsass_Full_Dump_Request_Via_DumpType_Registry_Settings.htm"/>
    <hyperlink ref="AA957" r:id="rId956" display="https://filestore.fortinet.com/docs.fortinet.com/fsiem/Public_Resource_Access/7_6_0/rules/PH_RULE_LSASS_Process_Crashed_Application.htm"/>
    <hyperlink ref="AA958" r:id="rId957" display="https://filestore.fortinet.com/docs.fortinet.com/fsiem/Public_Resource_Access/7_6_0/rules/PH_RULE_LSASS_Process_Memory_Dump_Creation_Via_Taskmgr_EXE.htm"/>
    <hyperlink ref="AA959" r:id="rId958" display="https://filestore.fortinet.com/docs.fortinet.com/fsiem/Public_Resource_Access/7_6_0/rules/PH_RULE_Mimikatz_Use.htm"/>
    <hyperlink ref="AA960" r:id="rId959" display="https://filestore.fortinet.com/docs.fortinet.com/fsiem/Public_Resource_Access/7_6_0/rules/PH_RULE_MMC_Spawning_Windows_Shell.htm"/>
    <hyperlink ref="AA961" r:id="rId960" display="https://filestore.fortinet.com/docs.fortinet.com/fsiem/Public_Resource_Access/7_6_0/rules/PH_RULE_MMC20_Lateral_Movement.htm"/>
    <hyperlink ref="AA962" r:id="rId961" display="https://filestore.fortinet.com/docs.fortinet.com/fsiem/Public_Resource_Access/7_6_0/rules/PH_RULE_Remote_Desktop_Protocol_Use_Mstsc.htm"/>
    <hyperlink ref="AA963" r:id="rId962" display="https://filestore.fortinet.com/docs.fortinet.com/fsiem/Public_Resource_Access/7_6_0/rules/PH_RULE_OpenSSH_Server_Listening_On_Socket.htm"/>
    <hyperlink ref="AA964" r:id="rId963" display="https://filestore.fortinet.com/docs.fortinet.com/fsiem/Public_Resource_Access/7_6_0/rules/PH_RULE_Outbound_RDP_Connections_Over_Non_Standard_Tools.htm"/>
    <hyperlink ref="AA965" r:id="rId964" display="https://filestore.fortinet.com/docs.fortinet.com/fsiem/Public_Resource_Access/7_6_0/rules/PH_RULE_Password_Dumper_Remote_Thread_in_LSASS.htm"/>
    <hyperlink ref="AA966" r:id="rId965" display="https://filestore.fortinet.com/docs.fortinet.com/fsiem/Public_Resource_Access/7_6_0/rules/PH_RULE_DCOM_InternetExplorer_Application_Iertutil_DLL_Hijack_SYSMON.htm"/>
    <hyperlink ref="AA967" r:id="rId966" display="https://filestore.fortinet.com/docs.fortinet.com/fsiem/Public_Resource_Access/7_6_0/rules/PH_RULE_Potential_DCOM_InternetExplorer_Application_DLL_Hijack_Image_Load.htm"/>
    <hyperlink ref="AA968" r:id="rId967" display="https://filestore.fortinet.com/docs.fortinet.com/fsiem/Public_Resource_Access/7_6_0/rules/PH_RULE_Potential_Excel_EXE_DCOM_Lateral_Movement_Via_ActivateMicrosoftApp.htm"/>
    <hyperlink ref="AA969" r:id="rId968" display="https://filestore.fortinet.com/docs.fortinet.com/fsiem/Public_Resource_Access/7_6_0/rules/PH_RULE_Potential_Lateral_Movement_via_Windows_Remote_Shell.htm"/>
    <hyperlink ref="AA970" r:id="rId969" display="https://filestore.fortinet.com/docs.fortinet.com/fsiem/Public_Resource_Access/7_6_0/rules/PH_RULE_MSTSC_Shadowing.htm"/>
    <hyperlink ref="AA971" r:id="rId970" display="https://filestore.fortinet.com/docs.fortinet.com/fsiem/Public_Resource_Access/7_6_0/rules/PH_RULE_Potential_Packet_Capture_Activity_Via_Start_NetEventSession_ScriptBlock.htm"/>
    <hyperlink ref="AA972" r:id="rId971" display="https://filestore.fortinet.com/docs.fortinet.com/fsiem/Public_Resource_Access/7_6_0/rules/PH_RULE_Potential_PowerShell_Console_History_Access_Attempt_via_History_File.htm"/>
    <hyperlink ref="AA973" r:id="rId972" display="https://filestore.fortinet.com/docs.fortinet.com/fsiem/Public_Resource_Access/7_6_0/rules/PH_RULE_Potential_Windows_Defender_AV_Bypass_Via_Dump64_EXE_Rename.htm"/>
    <hyperlink ref="AA974" r:id="rId973" display="https://filestore.fortinet.com/docs.fortinet.com/fsiem/Public_Resource_Access/7_6_0/rules/PH_RULE_Potentially_Suspicious_File_Creation_by_OpenEDR_s_ITSMService.htm"/>
    <hyperlink ref="AA975" r:id="rId974" display="https://filestore.fortinet.com/docs.fortinet.com/fsiem/Public_Resource_Access/7_6_0/rules/PH_RULE_Potentially_Suspicious_GrantedAccess_Flags_On_LSASS.htm"/>
    <hyperlink ref="AA976" r:id="rId975" display="https://filestore.fortinet.com/docs.fortinet.com/fsiem/Public_Resource_Access/7_6_0/rules/PH_RULE_PowerShell_Get_Process_LSASS_in_ScriptBlock.htm"/>
    <hyperlink ref="AA977" r:id="rId976" display="https://filestore.fortinet.com/docs.fortinet.com/fsiem/Public_Resource_Access/7_6_0/rules/PH_RULE_PPL_Tampering_Via_WerFaultSecure.htm"/>
    <hyperlink ref="AA978" r:id="rId977" display="https://filestore.fortinet.com/docs.fortinet.com/fsiem/Public_Resource_Access/7_6_0/rules/PH_RULE_PSEXEC_Remote_Execution_File_Artefact.htm"/>
    <hyperlink ref="AA979" r:id="rId978" display="https://filestore.fortinet.com/docs.fortinet.com/fsiem/Public_Resource_Access/7_6_0/rules/PH_RULE_PUA_Memory_Dump_Mount_Via_MemProcFS.htm"/>
    <hyperlink ref="AA980" r:id="rId979" display="https://filestore.fortinet.com/docs.fortinet.com/fsiem/Public_Resource_Access/7_6_0/rules/PH_RULE_PUA_TruffleHog_Execution.htm"/>
    <hyperlink ref="AA981" r:id="rId980" display="https://filestore.fortinet.com/docs.fortinet.com/fsiem/Public_Resource_Access/7_6_0/rules/PH_RULE_Registry_Export_of_Third_Party_Credentials.htm"/>
    <hyperlink ref="AA982" r:id="rId981" display="https://filestore.fortinet.com/docs.fortinet.com/fsiem/Public_Resource_Access/7_6_0/rules/PH_RULE_Remote_Thread_Created_In_KeePass_EXE.htm"/>
    <hyperlink ref="AA983" r:id="rId982" display="https://filestore.fortinet.com/docs.fortinet.com/fsiem/Public_Resource_Access/7_6_0/rules/PH_RULE_Rundll32_Without_Parameters.htm"/>
    <hyperlink ref="AA984" r:id="rId983" display="https://filestore.fortinet.com/docs.fortinet.com/fsiem/Public_Resource_Access/7_6_0/rules/PH_RULE_smbexec_py_Service_Installation.htm"/>
    <hyperlink ref="AA985" r:id="rId984" display="https://filestore.fortinet.com/docs.fortinet.com/fsiem/Public_Resource_Access/7_6_0/rules/PH_RULE_Suspicious_BitLocker_Access_Agent_Update_Utility_Execution.htm"/>
    <hyperlink ref="AA986" r:id="rId985" display="https://filestore.fortinet.com/docs.fortinet.com/fsiem/Public_Resource_Access/7_6_0/rules/PH_RULE_Suspicious_Connection_to_Remote_Account.htm"/>
    <hyperlink ref="AA987" r:id="rId986" display="https://filestore.fortinet.com/docs.fortinet.com/fsiem/Public_Resource_Access/7_6_0/rules/PH_RULE_Suspicious_DumpMinitool_Execution.htm"/>
    <hyperlink ref="AA988" r:id="rId987" display="https://filestore.fortinet.com/docs.fortinet.com/fsiem/Public_Resource_Access/7_6_0/rules/PH_RULE_Suspicious_New_PSDrive_to_Admin_Share.htm"/>
    <hyperlink ref="AA989" r:id="rId988" display="https://filestore.fortinet.com/docs.fortinet.com/fsiem/Public_Resource_Access/7_6_0/rules/PH_RULE_Suspicious_Process_Access_to_LSASS_with_Dbgcore_Dbghelp_DLLs.htm"/>
    <hyperlink ref="AA990" r:id="rId989" display="https://filestore.fortinet.com/docs.fortinet.com/fsiem/Public_Resource_Access/7_6_0/rules/PH_RULE_Suspicious_RDP_Redirect_Using_TSCON.htm"/>
    <hyperlink ref="AA991" r:id="rId990" display="https://filestore.fortinet.com/docs.fortinet.com/fsiem/Public_Resource_Access/7_6_0/rules/PH_RULE_Suspicious_Speech_Runtime_Binary_Child_Process.htm"/>
    <hyperlink ref="AA992" r:id="rId991" display="https://filestore.fortinet.com/docs.fortinet.com/fsiem/Public_Resource_Access/7_6_0/rules/PH_RULE_Suspicious_UltraVNC_Execution.htm"/>
    <hyperlink ref="AA993" r:id="rId992" display="https://filestore.fortinet.com/docs.fortinet.com/fsiem/Public_Resource_Access/7_6_0/rules/PH_RULE_Terminal_Service_Process_Spawn.htm"/>
    <hyperlink ref="AA994" r:id="rId993" display="https://filestore.fortinet.com/docs.fortinet.com/fsiem/Public_Resource_Access/7_6_0/rules/PH_RULE_Unsigned_or_Unencrypted_SMB_Connection_to_Share_Established.htm"/>
    <hyperlink ref="AA995" r:id="rId994" display="https://filestore.fortinet.com/docs.fortinet.com/fsiem/Public_Resource_Access/7_6_0/rules/PH_RULE_Mounted_Windows_Admin_Shares_with_net_exe.htm"/>
    <hyperlink ref="AA996" r:id="rId995" display="https://filestore.fortinet.com/docs.fortinet.com/fsiem/Public_Resource_Access/7_6_0/rules/PH_RULE_Windows_Internet_Hosted_WebDav_Share_Mount_Via_Net_EXE.htm"/>
    <hyperlink ref="AA997" r:id="rId996" display="https://filestore.fortinet.com/docs.fortinet.com/fsiem/Public_Resource_Access/7_6_0/rules/PH_RULE_Windows_Share_Mount_Via_Net_EXE.htm"/>
    <hyperlink ref="AA998" r:id="rId997" display="https://filestore.fortinet.com/docs.fortinet.com/fsiem/Public_Resource_Access/7_6_0/rules/PH_RULE_WinRM_Access_with_Evil_WinRM.htm"/>
    <hyperlink ref="AA999" r:id="rId998" display="https://filestore.fortinet.com/docs.fortinet.com/fsiem/Public_Resource_Access/7_6_0/rules/PH_RULE_Winrs_Local_Command_Execution.htm"/>
    <hyperlink ref="AA1000" r:id="rId999" display="https://filestore.fortinet.com/docs.fortinet.com/fsiem/Public_Resource_Access/7_6_0/rules/PH_RULE_Zerologon_Exploitation_Using_Well_known_Tools.ht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000"/>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0"/>
    <col collapsed="false" customWidth="true" hidden="false" outlineLevel="0" max="3" min="3" style="0" width="20"/>
    <col collapsed="false" customWidth="true" hidden="false" outlineLevel="0" max="4" min="4" style="0" width="16"/>
    <col collapsed="false" customWidth="true" hidden="false" outlineLevel="0" max="5" min="5" style="0" width="44"/>
    <col collapsed="false" customWidth="true" hidden="false" outlineLevel="0" max="6" min="6" style="0" width="24"/>
    <col collapsed="false" customWidth="true" hidden="false" outlineLevel="0" max="7" min="7" style="0" width="60"/>
    <col collapsed="false" customWidth="true" hidden="false" outlineLevel="0" max="8" min="8" style="0" width="30"/>
    <col collapsed="false" customWidth="true" hidden="false" outlineLevel="0" max="9" min="9" style="0" width="18"/>
    <col collapsed="false" customWidth="true" hidden="false" outlineLevel="0" max="10" min="10" style="0" width="80"/>
    <col collapsed="false" customWidth="true" hidden="false" outlineLevel="0" max="11" min="11" style="0" width="30"/>
    <col collapsed="false" customWidth="true" hidden="false" outlineLevel="0" max="12" min="12" style="0" width="10"/>
  </cols>
  <sheetData>
    <row r="1" customFormat="false" ht="31.5" hidden="false" customHeight="true" outlineLevel="0" collapsed="false">
      <c r="A1" s="4" t="s">
        <v>30</v>
      </c>
      <c r="B1" s="4" t="s">
        <v>31</v>
      </c>
      <c r="C1" s="4" t="s">
        <v>32</v>
      </c>
      <c r="D1" s="4" t="s">
        <v>6481</v>
      </c>
      <c r="E1" s="4" t="s">
        <v>6482</v>
      </c>
      <c r="F1" s="4" t="s">
        <v>45</v>
      </c>
      <c r="G1" s="4" t="s">
        <v>6483</v>
      </c>
      <c r="H1" s="4" t="s">
        <v>6484</v>
      </c>
      <c r="I1" s="4" t="s">
        <v>6485</v>
      </c>
      <c r="J1" s="4" t="s">
        <v>6486</v>
      </c>
      <c r="K1" s="4" t="s">
        <v>6487</v>
      </c>
      <c r="L1" s="4" t="s">
        <v>51</v>
      </c>
    </row>
    <row r="2" customFormat="false" ht="23.85" hidden="false" customHeight="false" outlineLevel="0" collapsed="false">
      <c r="A2" s="5" t="s">
        <v>57</v>
      </c>
      <c r="B2" s="2" t="s">
        <v>58</v>
      </c>
      <c r="C2" s="5" t="s">
        <v>59</v>
      </c>
      <c r="D2" s="5" t="s">
        <v>71</v>
      </c>
      <c r="E2" s="2" t="s">
        <v>70</v>
      </c>
      <c r="F2" s="2"/>
      <c r="G2" s="2" t="s">
        <v>72</v>
      </c>
      <c r="H2" s="2" t="s">
        <v>73</v>
      </c>
      <c r="I2" s="5" t="s">
        <v>74</v>
      </c>
      <c r="J2" s="2" t="s">
        <v>6488</v>
      </c>
      <c r="K2" s="2" t="s">
        <v>71</v>
      </c>
      <c r="L2" s="5" t="n">
        <v>300</v>
      </c>
    </row>
    <row r="3" customFormat="false" ht="23.85" hidden="false" customHeight="false" outlineLevel="0" collapsed="false">
      <c r="A3" s="5" t="s">
        <v>79</v>
      </c>
      <c r="B3" s="2" t="s">
        <v>80</v>
      </c>
      <c r="C3" s="5" t="s">
        <v>59</v>
      </c>
      <c r="D3" s="5" t="s">
        <v>71</v>
      </c>
      <c r="E3" s="2" t="s">
        <v>82</v>
      </c>
      <c r="F3" s="2"/>
      <c r="G3" s="2"/>
      <c r="H3" s="2" t="s">
        <v>84</v>
      </c>
      <c r="I3" s="5" t="s">
        <v>74</v>
      </c>
      <c r="J3" s="2" t="s">
        <v>6489</v>
      </c>
      <c r="K3" s="2" t="s">
        <v>71</v>
      </c>
      <c r="L3" s="5" t="n">
        <v>300</v>
      </c>
    </row>
    <row r="4" customFormat="false" ht="23.85" hidden="false" customHeight="false" outlineLevel="0" collapsed="false">
      <c r="A4" s="5" t="s">
        <v>87</v>
      </c>
      <c r="B4" s="2" t="s">
        <v>88</v>
      </c>
      <c r="C4" s="5" t="s">
        <v>59</v>
      </c>
      <c r="D4" s="5" t="s">
        <v>71</v>
      </c>
      <c r="E4" s="2" t="s">
        <v>92</v>
      </c>
      <c r="F4" s="2"/>
      <c r="G4" s="2" t="s">
        <v>93</v>
      </c>
      <c r="H4" s="2" t="s">
        <v>94</v>
      </c>
      <c r="I4" s="5" t="s">
        <v>74</v>
      </c>
      <c r="J4" s="2" t="s">
        <v>6490</v>
      </c>
      <c r="K4" s="2" t="s">
        <v>71</v>
      </c>
      <c r="L4" s="5" t="n">
        <v>300</v>
      </c>
    </row>
    <row r="5" customFormat="false" ht="23.85" hidden="false" customHeight="false" outlineLevel="0" collapsed="false">
      <c r="A5" s="5" t="s">
        <v>97</v>
      </c>
      <c r="B5" s="2" t="s">
        <v>98</v>
      </c>
      <c r="C5" s="5" t="s">
        <v>59</v>
      </c>
      <c r="D5" s="5" t="s">
        <v>71</v>
      </c>
      <c r="E5" s="2" t="s">
        <v>101</v>
      </c>
      <c r="F5" s="2"/>
      <c r="G5" s="2" t="s">
        <v>102</v>
      </c>
      <c r="H5" s="2" t="s">
        <v>103</v>
      </c>
      <c r="I5" s="5" t="s">
        <v>74</v>
      </c>
      <c r="J5" s="2" t="s">
        <v>6491</v>
      </c>
      <c r="K5" s="2" t="s">
        <v>71</v>
      </c>
      <c r="L5" s="5" t="n">
        <v>300</v>
      </c>
    </row>
    <row r="6" customFormat="false" ht="23.85" hidden="false" customHeight="false" outlineLevel="0" collapsed="false">
      <c r="A6" s="5" t="s">
        <v>108</v>
      </c>
      <c r="B6" s="2" t="s">
        <v>109</v>
      </c>
      <c r="C6" s="5" t="s">
        <v>59</v>
      </c>
      <c r="D6" s="5" t="s">
        <v>71</v>
      </c>
      <c r="E6" s="2" t="s">
        <v>111</v>
      </c>
      <c r="F6" s="2"/>
      <c r="G6" s="2"/>
      <c r="H6" s="2" t="s">
        <v>84</v>
      </c>
      <c r="I6" s="5" t="s">
        <v>74</v>
      </c>
      <c r="J6" s="2" t="s">
        <v>6492</v>
      </c>
      <c r="K6" s="2" t="s">
        <v>71</v>
      </c>
      <c r="L6" s="5" t="n">
        <v>300</v>
      </c>
    </row>
    <row r="7" customFormat="false" ht="57.45" hidden="false" customHeight="false" outlineLevel="0" collapsed="false">
      <c r="A7" s="5" t="s">
        <v>114</v>
      </c>
      <c r="B7" s="2" t="s">
        <v>115</v>
      </c>
      <c r="C7" s="5" t="s">
        <v>59</v>
      </c>
      <c r="D7" s="5" t="s">
        <v>71</v>
      </c>
      <c r="E7" s="2" t="s">
        <v>117</v>
      </c>
      <c r="F7" s="2"/>
      <c r="G7" s="2"/>
      <c r="H7" s="2" t="s">
        <v>118</v>
      </c>
      <c r="I7" s="5" t="s">
        <v>74</v>
      </c>
      <c r="J7" s="2" t="s">
        <v>6493</v>
      </c>
      <c r="K7" s="2" t="s">
        <v>71</v>
      </c>
      <c r="L7" s="5" t="n">
        <v>300</v>
      </c>
    </row>
    <row r="8" customFormat="false" ht="23.85" hidden="false" customHeight="false" outlineLevel="0" collapsed="false">
      <c r="A8" s="5" t="s">
        <v>121</v>
      </c>
      <c r="B8" s="2" t="s">
        <v>122</v>
      </c>
      <c r="C8" s="5" t="s">
        <v>59</v>
      </c>
      <c r="D8" s="5" t="s">
        <v>71</v>
      </c>
      <c r="E8" s="2" t="s">
        <v>124</v>
      </c>
      <c r="F8" s="2"/>
      <c r="G8" s="2" t="s">
        <v>125</v>
      </c>
      <c r="H8" s="2" t="s">
        <v>126</v>
      </c>
      <c r="I8" s="5" t="s">
        <v>74</v>
      </c>
      <c r="J8" s="2" t="s">
        <v>6494</v>
      </c>
      <c r="K8" s="2" t="s">
        <v>71</v>
      </c>
      <c r="L8" s="5" t="n">
        <v>300</v>
      </c>
    </row>
    <row r="9" customFormat="false" ht="23.85" hidden="false" customHeight="false" outlineLevel="0" collapsed="false">
      <c r="A9" s="5" t="s">
        <v>129</v>
      </c>
      <c r="B9" s="2" t="s">
        <v>130</v>
      </c>
      <c r="C9" s="5" t="s">
        <v>59</v>
      </c>
      <c r="D9" s="5" t="s">
        <v>71</v>
      </c>
      <c r="E9" s="2" t="s">
        <v>124</v>
      </c>
      <c r="F9" s="2"/>
      <c r="G9" s="2" t="s">
        <v>131</v>
      </c>
      <c r="H9" s="2" t="s">
        <v>126</v>
      </c>
      <c r="I9" s="5" t="s">
        <v>74</v>
      </c>
      <c r="J9" s="2" t="s">
        <v>6495</v>
      </c>
      <c r="K9" s="2" t="s">
        <v>71</v>
      </c>
      <c r="L9" s="5" t="n">
        <v>300</v>
      </c>
    </row>
    <row r="10" customFormat="false" ht="23.85" hidden="false" customHeight="false" outlineLevel="0" collapsed="false">
      <c r="A10" s="5" t="s">
        <v>134</v>
      </c>
      <c r="B10" s="2" t="s">
        <v>135</v>
      </c>
      <c r="C10" s="5" t="s">
        <v>59</v>
      </c>
      <c r="D10" s="5" t="s">
        <v>71</v>
      </c>
      <c r="E10" s="2" t="s">
        <v>124</v>
      </c>
      <c r="F10" s="2"/>
      <c r="G10" s="2" t="s">
        <v>136</v>
      </c>
      <c r="H10" s="2" t="s">
        <v>126</v>
      </c>
      <c r="I10" s="5" t="s">
        <v>74</v>
      </c>
      <c r="J10" s="2" t="s">
        <v>6496</v>
      </c>
      <c r="K10" s="2" t="s">
        <v>71</v>
      </c>
      <c r="L10" s="5" t="n">
        <v>300</v>
      </c>
    </row>
    <row r="11" customFormat="false" ht="23.85" hidden="false" customHeight="false" outlineLevel="0" collapsed="false">
      <c r="A11" s="5" t="s">
        <v>139</v>
      </c>
      <c r="B11" s="2" t="s">
        <v>140</v>
      </c>
      <c r="C11" s="5" t="s">
        <v>59</v>
      </c>
      <c r="D11" s="5" t="s">
        <v>71</v>
      </c>
      <c r="E11" s="2" t="s">
        <v>124</v>
      </c>
      <c r="F11" s="2"/>
      <c r="G11" s="2" t="s">
        <v>141</v>
      </c>
      <c r="H11" s="2" t="s">
        <v>126</v>
      </c>
      <c r="I11" s="5" t="s">
        <v>74</v>
      </c>
      <c r="J11" s="2" t="s">
        <v>6497</v>
      </c>
      <c r="K11" s="2" t="s">
        <v>71</v>
      </c>
      <c r="L11" s="5" t="n">
        <v>300</v>
      </c>
    </row>
    <row r="12" customFormat="false" ht="23.85" hidden="false" customHeight="false" outlineLevel="0" collapsed="false">
      <c r="A12" s="5" t="s">
        <v>144</v>
      </c>
      <c r="B12" s="2" t="s">
        <v>145</v>
      </c>
      <c r="C12" s="5" t="s">
        <v>59</v>
      </c>
      <c r="D12" s="5" t="s">
        <v>71</v>
      </c>
      <c r="E12" s="2" t="s">
        <v>124</v>
      </c>
      <c r="F12" s="2"/>
      <c r="G12" s="2" t="s">
        <v>146</v>
      </c>
      <c r="H12" s="2" t="s">
        <v>126</v>
      </c>
      <c r="I12" s="5" t="s">
        <v>74</v>
      </c>
      <c r="J12" s="2" t="s">
        <v>6498</v>
      </c>
      <c r="K12" s="2" t="s">
        <v>71</v>
      </c>
      <c r="L12" s="5" t="n">
        <v>300</v>
      </c>
    </row>
    <row r="13" customFormat="false" ht="35.05" hidden="false" customHeight="false" outlineLevel="0" collapsed="false">
      <c r="A13" s="5" t="s">
        <v>149</v>
      </c>
      <c r="B13" s="2" t="s">
        <v>150</v>
      </c>
      <c r="C13" s="5" t="s">
        <v>59</v>
      </c>
      <c r="D13" s="5" t="s">
        <v>71</v>
      </c>
      <c r="E13" s="2" t="s">
        <v>153</v>
      </c>
      <c r="F13" s="2"/>
      <c r="G13" s="2" t="s">
        <v>154</v>
      </c>
      <c r="H13" s="2" t="s">
        <v>155</v>
      </c>
      <c r="I13" s="5" t="s">
        <v>74</v>
      </c>
      <c r="J13" s="2" t="s">
        <v>6499</v>
      </c>
      <c r="K13" s="2" t="s">
        <v>71</v>
      </c>
      <c r="L13" s="5" t="n">
        <v>300</v>
      </c>
    </row>
    <row r="14" customFormat="false" ht="23.85" hidden="false" customHeight="false" outlineLevel="0" collapsed="false">
      <c r="A14" s="5" t="s">
        <v>159</v>
      </c>
      <c r="B14" s="2" t="s">
        <v>160</v>
      </c>
      <c r="C14" s="5" t="s">
        <v>59</v>
      </c>
      <c r="D14" s="5" t="s">
        <v>71</v>
      </c>
      <c r="E14" s="2" t="s">
        <v>6500</v>
      </c>
      <c r="F14" s="2"/>
      <c r="G14" s="2" t="s">
        <v>165</v>
      </c>
      <c r="H14" s="2" t="s">
        <v>166</v>
      </c>
      <c r="I14" s="5" t="s">
        <v>74</v>
      </c>
      <c r="J14" s="2" t="s">
        <v>6501</v>
      </c>
      <c r="K14" s="2" t="s">
        <v>71</v>
      </c>
      <c r="L14" s="5" t="n">
        <v>300</v>
      </c>
    </row>
    <row r="15" customFormat="false" ht="23.85" hidden="false" customHeight="false" outlineLevel="0" collapsed="false">
      <c r="A15" s="5" t="s">
        <v>170</v>
      </c>
      <c r="B15" s="2" t="s">
        <v>171</v>
      </c>
      <c r="C15" s="5" t="s">
        <v>59</v>
      </c>
      <c r="D15" s="5" t="s">
        <v>71</v>
      </c>
      <c r="E15" s="2" t="s">
        <v>174</v>
      </c>
      <c r="F15" s="2"/>
      <c r="G15" s="2" t="s">
        <v>175</v>
      </c>
      <c r="H15" s="2" t="s">
        <v>176</v>
      </c>
      <c r="I15" s="5" t="s">
        <v>74</v>
      </c>
      <c r="J15" s="2" t="s">
        <v>6502</v>
      </c>
      <c r="K15" s="2" t="s">
        <v>71</v>
      </c>
      <c r="L15" s="5" t="n">
        <v>300</v>
      </c>
    </row>
    <row r="16" customFormat="false" ht="23.85" hidden="false" customHeight="false" outlineLevel="0" collapsed="false">
      <c r="A16" s="5" t="s">
        <v>180</v>
      </c>
      <c r="B16" s="2" t="s">
        <v>181</v>
      </c>
      <c r="C16" s="5" t="s">
        <v>59</v>
      </c>
      <c r="D16" s="5" t="s">
        <v>6503</v>
      </c>
      <c r="E16" s="2" t="s">
        <v>385</v>
      </c>
      <c r="F16" s="2"/>
      <c r="G16" s="2" t="s">
        <v>6504</v>
      </c>
      <c r="H16" s="2" t="s">
        <v>6505</v>
      </c>
      <c r="I16" s="5" t="s">
        <v>74</v>
      </c>
      <c r="J16" s="2" t="s">
        <v>6506</v>
      </c>
      <c r="K16" s="2" t="s">
        <v>186</v>
      </c>
      <c r="L16" s="5" t="n">
        <v>1800</v>
      </c>
    </row>
    <row r="17" customFormat="false" ht="46.25" hidden="false" customHeight="false" outlineLevel="0" collapsed="false">
      <c r="A17" s="5" t="s">
        <v>180</v>
      </c>
      <c r="B17" s="2" t="s">
        <v>181</v>
      </c>
      <c r="C17" s="5" t="s">
        <v>59</v>
      </c>
      <c r="D17" s="5" t="s">
        <v>6507</v>
      </c>
      <c r="E17" s="2" t="s">
        <v>6508</v>
      </c>
      <c r="F17" s="2"/>
      <c r="G17" s="2" t="s">
        <v>6509</v>
      </c>
      <c r="H17" s="2" t="s">
        <v>6510</v>
      </c>
      <c r="I17" s="5" t="s">
        <v>74</v>
      </c>
      <c r="J17" s="2" t="s">
        <v>6511</v>
      </c>
      <c r="K17" s="2" t="s">
        <v>186</v>
      </c>
      <c r="L17" s="5" t="n">
        <v>1800</v>
      </c>
    </row>
    <row r="18" customFormat="false" ht="35.05" hidden="false" customHeight="false" outlineLevel="0" collapsed="false">
      <c r="A18" s="5" t="s">
        <v>195</v>
      </c>
      <c r="B18" s="2" t="s">
        <v>196</v>
      </c>
      <c r="C18" s="5" t="s">
        <v>59</v>
      </c>
      <c r="D18" s="5" t="s">
        <v>71</v>
      </c>
      <c r="E18" s="2" t="s">
        <v>6512</v>
      </c>
      <c r="F18" s="2"/>
      <c r="G18" s="2" t="s">
        <v>201</v>
      </c>
      <c r="H18" s="2" t="s">
        <v>166</v>
      </c>
      <c r="I18" s="5" t="s">
        <v>74</v>
      </c>
      <c r="J18" s="2" t="s">
        <v>6513</v>
      </c>
      <c r="K18" s="2" t="s">
        <v>71</v>
      </c>
      <c r="L18" s="5" t="n">
        <v>300</v>
      </c>
    </row>
    <row r="19" customFormat="false" ht="23.85" hidden="false" customHeight="false" outlineLevel="0" collapsed="false">
      <c r="A19" s="5" t="s">
        <v>206</v>
      </c>
      <c r="B19" s="2" t="s">
        <v>207</v>
      </c>
      <c r="C19" s="5" t="s">
        <v>59</v>
      </c>
      <c r="D19" s="5" t="s">
        <v>71</v>
      </c>
      <c r="E19" s="2" t="s">
        <v>210</v>
      </c>
      <c r="F19" s="2"/>
      <c r="G19" s="2" t="s">
        <v>211</v>
      </c>
      <c r="H19" s="2" t="s">
        <v>212</v>
      </c>
      <c r="I19" s="5" t="s">
        <v>74</v>
      </c>
      <c r="J19" s="2" t="s">
        <v>6514</v>
      </c>
      <c r="K19" s="2" t="s">
        <v>71</v>
      </c>
      <c r="L19" s="5" t="n">
        <v>300</v>
      </c>
    </row>
    <row r="20" customFormat="false" ht="23.85" hidden="false" customHeight="false" outlineLevel="0" collapsed="false">
      <c r="A20" s="5" t="s">
        <v>217</v>
      </c>
      <c r="B20" s="2" t="s">
        <v>218</v>
      </c>
      <c r="C20" s="5" t="s">
        <v>59</v>
      </c>
      <c r="D20" s="5" t="s">
        <v>71</v>
      </c>
      <c r="E20" s="2" t="s">
        <v>210</v>
      </c>
      <c r="F20" s="2"/>
      <c r="G20" s="2" t="s">
        <v>219</v>
      </c>
      <c r="H20" s="2" t="s">
        <v>212</v>
      </c>
      <c r="I20" s="5" t="s">
        <v>74</v>
      </c>
      <c r="J20" s="2" t="s">
        <v>6515</v>
      </c>
      <c r="K20" s="2" t="s">
        <v>71</v>
      </c>
      <c r="L20" s="5" t="n">
        <v>300</v>
      </c>
    </row>
    <row r="21" customFormat="false" ht="35.05" hidden="false" customHeight="false" outlineLevel="0" collapsed="false">
      <c r="A21" s="5" t="s">
        <v>222</v>
      </c>
      <c r="B21" s="2" t="s">
        <v>223</v>
      </c>
      <c r="C21" s="5" t="s">
        <v>59</v>
      </c>
      <c r="D21" s="5" t="s">
        <v>71</v>
      </c>
      <c r="E21" s="2" t="s">
        <v>6512</v>
      </c>
      <c r="F21" s="2"/>
      <c r="G21" s="2" t="s">
        <v>224</v>
      </c>
      <c r="H21" s="2" t="s">
        <v>166</v>
      </c>
      <c r="I21" s="5" t="s">
        <v>74</v>
      </c>
      <c r="J21" s="2" t="s">
        <v>6516</v>
      </c>
      <c r="K21" s="2" t="s">
        <v>71</v>
      </c>
      <c r="L21" s="5" t="n">
        <v>300</v>
      </c>
    </row>
    <row r="22" customFormat="false" ht="35.05" hidden="false" customHeight="false" outlineLevel="0" collapsed="false">
      <c r="A22" s="5" t="s">
        <v>227</v>
      </c>
      <c r="B22" s="2" t="s">
        <v>228</v>
      </c>
      <c r="C22" s="5" t="s">
        <v>59</v>
      </c>
      <c r="D22" s="5" t="s">
        <v>71</v>
      </c>
      <c r="E22" s="2" t="s">
        <v>210</v>
      </c>
      <c r="F22" s="2"/>
      <c r="G22" s="2" t="s">
        <v>229</v>
      </c>
      <c r="H22" s="2" t="s">
        <v>230</v>
      </c>
      <c r="I22" s="5" t="s">
        <v>74</v>
      </c>
      <c r="J22" s="2" t="s">
        <v>6517</v>
      </c>
      <c r="K22" s="2" t="s">
        <v>71</v>
      </c>
      <c r="L22" s="5" t="n">
        <v>300</v>
      </c>
    </row>
    <row r="23" customFormat="false" ht="35.05" hidden="false" customHeight="false" outlineLevel="0" collapsed="false">
      <c r="A23" s="5" t="s">
        <v>233</v>
      </c>
      <c r="B23" s="2" t="s">
        <v>234</v>
      </c>
      <c r="C23" s="5" t="s">
        <v>59</v>
      </c>
      <c r="D23" s="5" t="s">
        <v>71</v>
      </c>
      <c r="E23" s="2" t="s">
        <v>210</v>
      </c>
      <c r="F23" s="2"/>
      <c r="G23" s="2" t="s">
        <v>235</v>
      </c>
      <c r="H23" s="2" t="s">
        <v>230</v>
      </c>
      <c r="I23" s="5" t="s">
        <v>74</v>
      </c>
      <c r="J23" s="2" t="s">
        <v>6518</v>
      </c>
      <c r="K23" s="2" t="s">
        <v>71</v>
      </c>
      <c r="L23" s="5" t="n">
        <v>300</v>
      </c>
    </row>
    <row r="24" customFormat="false" ht="35.05" hidden="false" customHeight="false" outlineLevel="0" collapsed="false">
      <c r="A24" s="5" t="s">
        <v>238</v>
      </c>
      <c r="B24" s="2" t="s">
        <v>239</v>
      </c>
      <c r="C24" s="5" t="s">
        <v>59</v>
      </c>
      <c r="D24" s="5" t="s">
        <v>71</v>
      </c>
      <c r="E24" s="2" t="s">
        <v>210</v>
      </c>
      <c r="F24" s="2"/>
      <c r="G24" s="2" t="s">
        <v>240</v>
      </c>
      <c r="H24" s="2" t="s">
        <v>241</v>
      </c>
      <c r="I24" s="5" t="s">
        <v>74</v>
      </c>
      <c r="J24" s="2" t="s">
        <v>6519</v>
      </c>
      <c r="K24" s="2" t="s">
        <v>71</v>
      </c>
      <c r="L24" s="5" t="n">
        <v>300</v>
      </c>
    </row>
    <row r="25" customFormat="false" ht="23.85" hidden="false" customHeight="false" outlineLevel="0" collapsed="false">
      <c r="A25" s="5" t="s">
        <v>244</v>
      </c>
      <c r="B25" s="2" t="s">
        <v>245</v>
      </c>
      <c r="C25" s="5" t="s">
        <v>59</v>
      </c>
      <c r="D25" s="5" t="s">
        <v>71</v>
      </c>
      <c r="E25" s="2" t="s">
        <v>246</v>
      </c>
      <c r="F25" s="2"/>
      <c r="G25" s="2"/>
      <c r="H25" s="2" t="s">
        <v>247</v>
      </c>
      <c r="I25" s="5" t="s">
        <v>74</v>
      </c>
      <c r="J25" s="2" t="s">
        <v>6520</v>
      </c>
      <c r="K25" s="2" t="s">
        <v>71</v>
      </c>
      <c r="L25" s="5" t="n">
        <v>300</v>
      </c>
    </row>
    <row r="26" customFormat="false" ht="79.85" hidden="false" customHeight="false" outlineLevel="0" collapsed="false">
      <c r="A26" s="5" t="s">
        <v>252</v>
      </c>
      <c r="B26" s="2" t="s">
        <v>253</v>
      </c>
      <c r="C26" s="5" t="s">
        <v>59</v>
      </c>
      <c r="D26" s="5" t="s">
        <v>71</v>
      </c>
      <c r="E26" s="2" t="s">
        <v>6521</v>
      </c>
      <c r="F26" s="2"/>
      <c r="G26" s="2" t="s">
        <v>257</v>
      </c>
      <c r="H26" s="2" t="s">
        <v>258</v>
      </c>
      <c r="I26" s="5" t="s">
        <v>74</v>
      </c>
      <c r="J26" s="2" t="s">
        <v>6522</v>
      </c>
      <c r="K26" s="2" t="s">
        <v>71</v>
      </c>
      <c r="L26" s="5" t="n">
        <v>300</v>
      </c>
    </row>
    <row r="27" customFormat="false" ht="23.85" hidden="false" customHeight="false" outlineLevel="0" collapsed="false">
      <c r="A27" s="5" t="s">
        <v>262</v>
      </c>
      <c r="B27" s="2" t="s">
        <v>263</v>
      </c>
      <c r="C27" s="5" t="s">
        <v>59</v>
      </c>
      <c r="D27" s="5" t="s">
        <v>71</v>
      </c>
      <c r="E27" s="2" t="s">
        <v>210</v>
      </c>
      <c r="F27" s="2"/>
      <c r="G27" s="2" t="s">
        <v>264</v>
      </c>
      <c r="H27" s="2" t="s">
        <v>230</v>
      </c>
      <c r="I27" s="5" t="s">
        <v>74</v>
      </c>
      <c r="J27" s="2" t="s">
        <v>6523</v>
      </c>
      <c r="K27" s="2" t="s">
        <v>71</v>
      </c>
      <c r="L27" s="5" t="n">
        <v>300</v>
      </c>
    </row>
    <row r="28" customFormat="false" ht="35.05" hidden="false" customHeight="false" outlineLevel="0" collapsed="false">
      <c r="A28" s="5" t="s">
        <v>267</v>
      </c>
      <c r="B28" s="2" t="s">
        <v>268</v>
      </c>
      <c r="C28" s="5" t="s">
        <v>59</v>
      </c>
      <c r="D28" s="5" t="s">
        <v>71</v>
      </c>
      <c r="E28" s="2" t="s">
        <v>6512</v>
      </c>
      <c r="F28" s="2"/>
      <c r="G28" s="2" t="s">
        <v>271</v>
      </c>
      <c r="H28" s="2" t="s">
        <v>166</v>
      </c>
      <c r="I28" s="5" t="s">
        <v>74</v>
      </c>
      <c r="J28" s="2" t="s">
        <v>6524</v>
      </c>
      <c r="K28" s="2" t="s">
        <v>71</v>
      </c>
      <c r="L28" s="5" t="n">
        <v>300</v>
      </c>
    </row>
    <row r="29" customFormat="false" ht="35.05" hidden="false" customHeight="false" outlineLevel="0" collapsed="false">
      <c r="A29" s="5" t="s">
        <v>274</v>
      </c>
      <c r="B29" s="2" t="s">
        <v>275</v>
      </c>
      <c r="C29" s="5" t="s">
        <v>59</v>
      </c>
      <c r="D29" s="5" t="s">
        <v>71</v>
      </c>
      <c r="E29" s="2" t="s">
        <v>6512</v>
      </c>
      <c r="F29" s="2"/>
      <c r="G29" s="2" t="s">
        <v>279</v>
      </c>
      <c r="H29" s="2" t="s">
        <v>166</v>
      </c>
      <c r="I29" s="5" t="s">
        <v>74</v>
      </c>
      <c r="J29" s="2" t="s">
        <v>6525</v>
      </c>
      <c r="K29" s="2" t="s">
        <v>71</v>
      </c>
      <c r="L29" s="5" t="n">
        <v>300</v>
      </c>
    </row>
    <row r="30" customFormat="false" ht="57.45" hidden="false" customHeight="false" outlineLevel="0" collapsed="false">
      <c r="A30" s="5" t="s">
        <v>282</v>
      </c>
      <c r="B30" s="2" t="s">
        <v>283</v>
      </c>
      <c r="C30" s="5" t="s">
        <v>59</v>
      </c>
      <c r="D30" s="5" t="s">
        <v>71</v>
      </c>
      <c r="E30" s="2" t="s">
        <v>286</v>
      </c>
      <c r="F30" s="2"/>
      <c r="G30" s="2"/>
      <c r="H30" s="2" t="s">
        <v>247</v>
      </c>
      <c r="I30" s="5" t="s">
        <v>74</v>
      </c>
      <c r="J30" s="2" t="s">
        <v>6526</v>
      </c>
      <c r="K30" s="2" t="s">
        <v>71</v>
      </c>
      <c r="L30" s="5" t="n">
        <v>300</v>
      </c>
    </row>
    <row r="31" customFormat="false" ht="23.85" hidden="false" customHeight="false" outlineLevel="0" collapsed="false">
      <c r="A31" s="5" t="s">
        <v>290</v>
      </c>
      <c r="B31" s="2" t="s">
        <v>291</v>
      </c>
      <c r="C31" s="5" t="s">
        <v>59</v>
      </c>
      <c r="D31" s="5" t="s">
        <v>71</v>
      </c>
      <c r="E31" s="2" t="s">
        <v>210</v>
      </c>
      <c r="F31" s="2"/>
      <c r="G31" s="2" t="s">
        <v>292</v>
      </c>
      <c r="H31" s="2" t="s">
        <v>293</v>
      </c>
      <c r="I31" s="5" t="s">
        <v>74</v>
      </c>
      <c r="J31" s="2" t="s">
        <v>6527</v>
      </c>
      <c r="K31" s="2" t="s">
        <v>71</v>
      </c>
      <c r="L31" s="5" t="n">
        <v>300</v>
      </c>
    </row>
    <row r="32" customFormat="false" ht="35.05" hidden="false" customHeight="false" outlineLevel="0" collapsed="false">
      <c r="A32" s="5" t="s">
        <v>296</v>
      </c>
      <c r="B32" s="2" t="s">
        <v>297</v>
      </c>
      <c r="C32" s="5" t="s">
        <v>59</v>
      </c>
      <c r="D32" s="5" t="s">
        <v>71</v>
      </c>
      <c r="E32" s="2" t="s">
        <v>6512</v>
      </c>
      <c r="F32" s="2"/>
      <c r="G32" s="2" t="s">
        <v>298</v>
      </c>
      <c r="H32" s="2" t="s">
        <v>166</v>
      </c>
      <c r="I32" s="5" t="s">
        <v>74</v>
      </c>
      <c r="J32" s="2" t="s">
        <v>6528</v>
      </c>
      <c r="K32" s="2" t="s">
        <v>71</v>
      </c>
      <c r="L32" s="5" t="n">
        <v>300</v>
      </c>
    </row>
    <row r="33" customFormat="false" ht="23.85" hidden="false" customHeight="false" outlineLevel="0" collapsed="false">
      <c r="A33" s="5" t="s">
        <v>301</v>
      </c>
      <c r="B33" s="2" t="s">
        <v>302</v>
      </c>
      <c r="C33" s="5" t="s">
        <v>59</v>
      </c>
      <c r="D33" s="5" t="s">
        <v>71</v>
      </c>
      <c r="E33" s="2" t="s">
        <v>306</v>
      </c>
      <c r="F33" s="2"/>
      <c r="G33" s="2" t="s">
        <v>307</v>
      </c>
      <c r="H33" s="2" t="s">
        <v>166</v>
      </c>
      <c r="I33" s="5" t="s">
        <v>74</v>
      </c>
      <c r="J33" s="2" t="s">
        <v>6529</v>
      </c>
      <c r="K33" s="2" t="s">
        <v>71</v>
      </c>
      <c r="L33" s="5" t="n">
        <v>300</v>
      </c>
    </row>
    <row r="34" customFormat="false" ht="46.25" hidden="false" customHeight="false" outlineLevel="0" collapsed="false">
      <c r="A34" s="5" t="s">
        <v>312</v>
      </c>
      <c r="B34" s="2" t="s">
        <v>313</v>
      </c>
      <c r="C34" s="5" t="s">
        <v>59</v>
      </c>
      <c r="D34" s="5" t="s">
        <v>71</v>
      </c>
      <c r="E34" s="2" t="s">
        <v>315</v>
      </c>
      <c r="F34" s="2"/>
      <c r="G34" s="2" t="s">
        <v>316</v>
      </c>
      <c r="H34" s="2" t="s">
        <v>317</v>
      </c>
      <c r="I34" s="5" t="s">
        <v>74</v>
      </c>
      <c r="J34" s="2" t="s">
        <v>6530</v>
      </c>
      <c r="K34" s="2" t="s">
        <v>71</v>
      </c>
      <c r="L34" s="5" t="n">
        <v>300</v>
      </c>
    </row>
    <row r="35" customFormat="false" ht="23.85" hidden="false" customHeight="false" outlineLevel="0" collapsed="false">
      <c r="A35" s="5" t="s">
        <v>321</v>
      </c>
      <c r="B35" s="2" t="s">
        <v>322</v>
      </c>
      <c r="C35" s="5" t="s">
        <v>59</v>
      </c>
      <c r="D35" s="5" t="s">
        <v>71</v>
      </c>
      <c r="E35" s="2" t="s">
        <v>210</v>
      </c>
      <c r="F35" s="2"/>
      <c r="G35" s="2" t="s">
        <v>323</v>
      </c>
      <c r="H35" s="2" t="s">
        <v>230</v>
      </c>
      <c r="I35" s="5" t="s">
        <v>74</v>
      </c>
      <c r="J35" s="2" t="s">
        <v>6531</v>
      </c>
      <c r="K35" s="2" t="s">
        <v>71</v>
      </c>
      <c r="L35" s="5" t="n">
        <v>300</v>
      </c>
    </row>
    <row r="36" customFormat="false" ht="23.85" hidden="false" customHeight="false" outlineLevel="0" collapsed="false">
      <c r="A36" s="5" t="s">
        <v>326</v>
      </c>
      <c r="B36" s="2" t="s">
        <v>327</v>
      </c>
      <c r="C36" s="5" t="s">
        <v>59</v>
      </c>
      <c r="D36" s="5" t="s">
        <v>71</v>
      </c>
      <c r="E36" s="2" t="s">
        <v>210</v>
      </c>
      <c r="F36" s="2"/>
      <c r="G36" s="2" t="s">
        <v>328</v>
      </c>
      <c r="H36" s="2" t="s">
        <v>293</v>
      </c>
      <c r="I36" s="5" t="s">
        <v>74</v>
      </c>
      <c r="J36" s="2" t="s">
        <v>6532</v>
      </c>
      <c r="K36" s="2" t="s">
        <v>71</v>
      </c>
      <c r="L36" s="5" t="n">
        <v>300</v>
      </c>
    </row>
    <row r="37" customFormat="false" ht="35.05" hidden="false" customHeight="false" outlineLevel="0" collapsed="false">
      <c r="A37" s="5" t="s">
        <v>331</v>
      </c>
      <c r="B37" s="2" t="s">
        <v>332</v>
      </c>
      <c r="C37" s="5" t="s">
        <v>59</v>
      </c>
      <c r="D37" s="5" t="s">
        <v>71</v>
      </c>
      <c r="E37" s="2" t="s">
        <v>6512</v>
      </c>
      <c r="F37" s="2"/>
      <c r="G37" s="2" t="s">
        <v>334</v>
      </c>
      <c r="H37" s="2" t="s">
        <v>166</v>
      </c>
      <c r="I37" s="5" t="s">
        <v>74</v>
      </c>
      <c r="J37" s="2" t="s">
        <v>6533</v>
      </c>
      <c r="K37" s="2" t="s">
        <v>71</v>
      </c>
      <c r="L37" s="5" t="n">
        <v>300</v>
      </c>
    </row>
    <row r="38" customFormat="false" ht="23.85" hidden="false" customHeight="false" outlineLevel="0" collapsed="false">
      <c r="A38" s="5" t="s">
        <v>337</v>
      </c>
      <c r="B38" s="2" t="s">
        <v>338</v>
      </c>
      <c r="C38" s="5" t="s">
        <v>59</v>
      </c>
      <c r="D38" s="5" t="s">
        <v>71</v>
      </c>
      <c r="E38" s="2" t="s">
        <v>341</v>
      </c>
      <c r="F38" s="2"/>
      <c r="G38" s="2" t="s">
        <v>342</v>
      </c>
      <c r="H38" s="2" t="s">
        <v>343</v>
      </c>
      <c r="I38" s="5" t="s">
        <v>344</v>
      </c>
      <c r="J38" s="2" t="s">
        <v>6534</v>
      </c>
      <c r="K38" s="2" t="s">
        <v>71</v>
      </c>
      <c r="L38" s="5" t="n">
        <v>600</v>
      </c>
    </row>
    <row r="39" customFormat="false" ht="15" hidden="false" customHeight="false" outlineLevel="0" collapsed="false">
      <c r="A39" s="5" t="s">
        <v>349</v>
      </c>
      <c r="B39" s="2" t="s">
        <v>350</v>
      </c>
      <c r="C39" s="5" t="s">
        <v>59</v>
      </c>
      <c r="D39" s="5" t="s">
        <v>71</v>
      </c>
      <c r="E39" s="2" t="s">
        <v>353</v>
      </c>
      <c r="F39" s="2"/>
      <c r="G39" s="2" t="s">
        <v>354</v>
      </c>
      <c r="H39" s="2" t="s">
        <v>355</v>
      </c>
      <c r="I39" s="5" t="s">
        <v>74</v>
      </c>
      <c r="J39" s="2" t="s">
        <v>6535</v>
      </c>
      <c r="K39" s="2" t="s">
        <v>71</v>
      </c>
      <c r="L39" s="5" t="n">
        <v>300</v>
      </c>
    </row>
    <row r="40" customFormat="false" ht="35.05" hidden="false" customHeight="false" outlineLevel="0" collapsed="false">
      <c r="A40" s="5" t="s">
        <v>359</v>
      </c>
      <c r="B40" s="2" t="s">
        <v>360</v>
      </c>
      <c r="C40" s="5" t="s">
        <v>59</v>
      </c>
      <c r="D40" s="5" t="s">
        <v>71</v>
      </c>
      <c r="E40" s="2" t="s">
        <v>6512</v>
      </c>
      <c r="F40" s="2"/>
      <c r="G40" s="2" t="s">
        <v>362</v>
      </c>
      <c r="H40" s="2" t="s">
        <v>166</v>
      </c>
      <c r="I40" s="5" t="s">
        <v>74</v>
      </c>
      <c r="J40" s="2" t="s">
        <v>6536</v>
      </c>
      <c r="K40" s="2" t="s">
        <v>71</v>
      </c>
      <c r="L40" s="5" t="n">
        <v>300</v>
      </c>
    </row>
    <row r="41" customFormat="false" ht="35.05" hidden="false" customHeight="false" outlineLevel="0" collapsed="false">
      <c r="A41" s="5" t="s">
        <v>365</v>
      </c>
      <c r="B41" s="2" t="s">
        <v>366</v>
      </c>
      <c r="C41" s="5" t="s">
        <v>59</v>
      </c>
      <c r="D41" s="5" t="s">
        <v>71</v>
      </c>
      <c r="E41" s="2" t="s">
        <v>368</v>
      </c>
      <c r="F41" s="2"/>
      <c r="G41" s="2" t="s">
        <v>369</v>
      </c>
      <c r="H41" s="2" t="s">
        <v>370</v>
      </c>
      <c r="I41" s="5" t="s">
        <v>74</v>
      </c>
      <c r="J41" s="2" t="s">
        <v>6537</v>
      </c>
      <c r="K41" s="2" t="s">
        <v>71</v>
      </c>
      <c r="L41" s="5" t="n">
        <v>300</v>
      </c>
    </row>
    <row r="42" customFormat="false" ht="68.65" hidden="false" customHeight="false" outlineLevel="0" collapsed="false">
      <c r="A42" s="5" t="s">
        <v>375</v>
      </c>
      <c r="B42" s="2" t="s">
        <v>376</v>
      </c>
      <c r="C42" s="5" t="s">
        <v>59</v>
      </c>
      <c r="D42" s="5" t="s">
        <v>71</v>
      </c>
      <c r="E42" s="2" t="s">
        <v>377</v>
      </c>
      <c r="F42" s="2"/>
      <c r="G42" s="2"/>
      <c r="H42" s="2" t="s">
        <v>378</v>
      </c>
      <c r="I42" s="5" t="s">
        <v>379</v>
      </c>
      <c r="J42" s="2" t="s">
        <v>6538</v>
      </c>
      <c r="K42" s="2" t="s">
        <v>71</v>
      </c>
      <c r="L42" s="5" t="n">
        <v>600</v>
      </c>
    </row>
    <row r="43" customFormat="false" ht="15" hidden="false" customHeight="false" outlineLevel="0" collapsed="false">
      <c r="A43" s="5" t="s">
        <v>383</v>
      </c>
      <c r="B43" s="2" t="s">
        <v>384</v>
      </c>
      <c r="C43" s="5" t="s">
        <v>59</v>
      </c>
      <c r="D43" s="5" t="s">
        <v>71</v>
      </c>
      <c r="E43" s="2" t="s">
        <v>385</v>
      </c>
      <c r="F43" s="2"/>
      <c r="G43" s="2"/>
      <c r="H43" s="2" t="s">
        <v>378</v>
      </c>
      <c r="I43" s="5" t="s">
        <v>379</v>
      </c>
      <c r="J43" s="2" t="s">
        <v>6539</v>
      </c>
      <c r="K43" s="2" t="s">
        <v>71</v>
      </c>
      <c r="L43" s="5" t="n">
        <v>600</v>
      </c>
    </row>
    <row r="44" customFormat="false" ht="15" hidden="false" customHeight="false" outlineLevel="0" collapsed="false">
      <c r="A44" s="5" t="s">
        <v>389</v>
      </c>
      <c r="B44" s="2" t="s">
        <v>390</v>
      </c>
      <c r="C44" s="5" t="s">
        <v>59</v>
      </c>
      <c r="D44" s="5" t="s">
        <v>71</v>
      </c>
      <c r="E44" s="2" t="s">
        <v>391</v>
      </c>
      <c r="F44" s="2"/>
      <c r="G44" s="2"/>
      <c r="H44" s="2" t="s">
        <v>378</v>
      </c>
      <c r="I44" s="5" t="s">
        <v>379</v>
      </c>
      <c r="J44" s="2" t="s">
        <v>6540</v>
      </c>
      <c r="K44" s="2" t="s">
        <v>71</v>
      </c>
      <c r="L44" s="5" t="n">
        <v>600</v>
      </c>
    </row>
    <row r="45" customFormat="false" ht="35.05" hidden="false" customHeight="false" outlineLevel="0" collapsed="false">
      <c r="A45" s="5" t="s">
        <v>395</v>
      </c>
      <c r="B45" s="2" t="s">
        <v>396</v>
      </c>
      <c r="C45" s="5" t="s">
        <v>59</v>
      </c>
      <c r="D45" s="5" t="s">
        <v>71</v>
      </c>
      <c r="E45" s="2" t="s">
        <v>6512</v>
      </c>
      <c r="F45" s="2"/>
      <c r="G45" s="2" t="s">
        <v>398</v>
      </c>
      <c r="H45" s="2" t="s">
        <v>166</v>
      </c>
      <c r="I45" s="5" t="s">
        <v>74</v>
      </c>
      <c r="J45" s="2" t="s">
        <v>6541</v>
      </c>
      <c r="K45" s="2" t="s">
        <v>71</v>
      </c>
      <c r="L45" s="5" t="n">
        <v>300</v>
      </c>
    </row>
    <row r="46" customFormat="false" ht="35.05" hidden="false" customHeight="false" outlineLevel="0" collapsed="false">
      <c r="A46" s="5" t="s">
        <v>401</v>
      </c>
      <c r="B46" s="2" t="s">
        <v>402</v>
      </c>
      <c r="C46" s="5" t="s">
        <v>59</v>
      </c>
      <c r="D46" s="5" t="s">
        <v>71</v>
      </c>
      <c r="E46" s="2" t="s">
        <v>6512</v>
      </c>
      <c r="F46" s="2"/>
      <c r="G46" s="2" t="s">
        <v>403</v>
      </c>
      <c r="H46" s="2" t="s">
        <v>166</v>
      </c>
      <c r="I46" s="5" t="s">
        <v>74</v>
      </c>
      <c r="J46" s="2" t="s">
        <v>6542</v>
      </c>
      <c r="K46" s="2" t="s">
        <v>71</v>
      </c>
      <c r="L46" s="5" t="n">
        <v>300</v>
      </c>
    </row>
    <row r="47" customFormat="false" ht="23.85" hidden="false" customHeight="false" outlineLevel="0" collapsed="false">
      <c r="A47" s="5" t="s">
        <v>406</v>
      </c>
      <c r="B47" s="2" t="s">
        <v>407</v>
      </c>
      <c r="C47" s="5" t="s">
        <v>59</v>
      </c>
      <c r="D47" s="5" t="s">
        <v>71</v>
      </c>
      <c r="E47" s="2" t="s">
        <v>306</v>
      </c>
      <c r="F47" s="2"/>
      <c r="G47" s="2" t="s">
        <v>408</v>
      </c>
      <c r="H47" s="2" t="s">
        <v>166</v>
      </c>
      <c r="I47" s="5" t="s">
        <v>74</v>
      </c>
      <c r="J47" s="2" t="s">
        <v>6543</v>
      </c>
      <c r="K47" s="2" t="s">
        <v>71</v>
      </c>
      <c r="L47" s="5" t="n">
        <v>300</v>
      </c>
    </row>
    <row r="48" customFormat="false" ht="35.05" hidden="false" customHeight="false" outlineLevel="0" collapsed="false">
      <c r="A48" s="5" t="s">
        <v>411</v>
      </c>
      <c r="B48" s="2" t="s">
        <v>412</v>
      </c>
      <c r="C48" s="5" t="s">
        <v>59</v>
      </c>
      <c r="D48" s="5" t="s">
        <v>71</v>
      </c>
      <c r="E48" s="2" t="s">
        <v>416</v>
      </c>
      <c r="F48" s="2"/>
      <c r="G48" s="2" t="s">
        <v>417</v>
      </c>
      <c r="H48" s="2" t="s">
        <v>418</v>
      </c>
      <c r="I48" s="5" t="s">
        <v>74</v>
      </c>
      <c r="J48" s="2" t="s">
        <v>6544</v>
      </c>
      <c r="K48" s="2" t="s">
        <v>71</v>
      </c>
      <c r="L48" s="5" t="n">
        <v>300</v>
      </c>
    </row>
    <row r="49" customFormat="false" ht="35.05" hidden="false" customHeight="false" outlineLevel="0" collapsed="false">
      <c r="A49" s="5" t="s">
        <v>422</v>
      </c>
      <c r="B49" s="2" t="s">
        <v>423</v>
      </c>
      <c r="C49" s="5" t="s">
        <v>59</v>
      </c>
      <c r="D49" s="5" t="s">
        <v>71</v>
      </c>
      <c r="E49" s="2" t="s">
        <v>6512</v>
      </c>
      <c r="F49" s="2"/>
      <c r="G49" s="2" t="s">
        <v>424</v>
      </c>
      <c r="H49" s="2" t="s">
        <v>166</v>
      </c>
      <c r="I49" s="5" t="s">
        <v>74</v>
      </c>
      <c r="J49" s="2" t="s">
        <v>6545</v>
      </c>
      <c r="K49" s="2" t="s">
        <v>71</v>
      </c>
      <c r="L49" s="5" t="n">
        <v>300</v>
      </c>
    </row>
    <row r="50" customFormat="false" ht="23.85" hidden="false" customHeight="false" outlineLevel="0" collapsed="false">
      <c r="A50" s="5" t="s">
        <v>427</v>
      </c>
      <c r="B50" s="2" t="s">
        <v>428</v>
      </c>
      <c r="C50" s="5" t="s">
        <v>59</v>
      </c>
      <c r="D50" s="5" t="s">
        <v>71</v>
      </c>
      <c r="E50" s="2" t="s">
        <v>210</v>
      </c>
      <c r="F50" s="2"/>
      <c r="G50" s="2" t="s">
        <v>429</v>
      </c>
      <c r="H50" s="2" t="s">
        <v>293</v>
      </c>
      <c r="I50" s="5" t="s">
        <v>74</v>
      </c>
      <c r="J50" s="2" t="s">
        <v>6546</v>
      </c>
      <c r="K50" s="2" t="s">
        <v>71</v>
      </c>
      <c r="L50" s="5" t="n">
        <v>300</v>
      </c>
    </row>
    <row r="51" customFormat="false" ht="35.05" hidden="false" customHeight="false" outlineLevel="0" collapsed="false">
      <c r="A51" s="5" t="s">
        <v>432</v>
      </c>
      <c r="B51" s="2" t="s">
        <v>433</v>
      </c>
      <c r="C51" s="5" t="s">
        <v>59</v>
      </c>
      <c r="D51" s="5" t="s">
        <v>71</v>
      </c>
      <c r="E51" s="2" t="s">
        <v>6512</v>
      </c>
      <c r="F51" s="2"/>
      <c r="G51" s="2" t="s">
        <v>434</v>
      </c>
      <c r="H51" s="2" t="s">
        <v>166</v>
      </c>
      <c r="I51" s="5" t="s">
        <v>74</v>
      </c>
      <c r="J51" s="2" t="s">
        <v>6547</v>
      </c>
      <c r="K51" s="2" t="s">
        <v>71</v>
      </c>
      <c r="L51" s="5" t="n">
        <v>300</v>
      </c>
    </row>
    <row r="52" customFormat="false" ht="35.05" hidden="false" customHeight="false" outlineLevel="0" collapsed="false">
      <c r="A52" s="5" t="s">
        <v>437</v>
      </c>
      <c r="B52" s="2" t="s">
        <v>438</v>
      </c>
      <c r="C52" s="5" t="s">
        <v>59</v>
      </c>
      <c r="D52" s="5" t="s">
        <v>71</v>
      </c>
      <c r="E52" s="2" t="s">
        <v>6512</v>
      </c>
      <c r="F52" s="2"/>
      <c r="G52" s="2" t="s">
        <v>439</v>
      </c>
      <c r="H52" s="2" t="s">
        <v>166</v>
      </c>
      <c r="I52" s="5" t="s">
        <v>74</v>
      </c>
      <c r="J52" s="2" t="s">
        <v>6548</v>
      </c>
      <c r="K52" s="2" t="s">
        <v>71</v>
      </c>
      <c r="L52" s="5" t="n">
        <v>300</v>
      </c>
    </row>
    <row r="53" customFormat="false" ht="23.85" hidden="false" customHeight="false" outlineLevel="0" collapsed="false">
      <c r="A53" s="5" t="s">
        <v>442</v>
      </c>
      <c r="B53" s="2" t="s">
        <v>443</v>
      </c>
      <c r="C53" s="5" t="s">
        <v>59</v>
      </c>
      <c r="D53" s="5" t="s">
        <v>71</v>
      </c>
      <c r="E53" s="2" t="s">
        <v>210</v>
      </c>
      <c r="F53" s="2"/>
      <c r="G53" s="2" t="s">
        <v>444</v>
      </c>
      <c r="H53" s="2" t="s">
        <v>230</v>
      </c>
      <c r="I53" s="5" t="s">
        <v>74</v>
      </c>
      <c r="J53" s="2" t="s">
        <v>6549</v>
      </c>
      <c r="K53" s="2" t="s">
        <v>71</v>
      </c>
      <c r="L53" s="5" t="n">
        <v>300</v>
      </c>
    </row>
    <row r="54" customFormat="false" ht="35.05" hidden="false" customHeight="false" outlineLevel="0" collapsed="false">
      <c r="A54" s="5" t="s">
        <v>447</v>
      </c>
      <c r="B54" s="2" t="s">
        <v>448</v>
      </c>
      <c r="C54" s="5" t="s">
        <v>59</v>
      </c>
      <c r="D54" s="5" t="s">
        <v>71</v>
      </c>
      <c r="E54" s="2" t="s">
        <v>6512</v>
      </c>
      <c r="F54" s="2"/>
      <c r="G54" s="2" t="s">
        <v>451</v>
      </c>
      <c r="H54" s="2" t="s">
        <v>166</v>
      </c>
      <c r="I54" s="5" t="s">
        <v>74</v>
      </c>
      <c r="J54" s="2" t="s">
        <v>6550</v>
      </c>
      <c r="K54" s="2" t="s">
        <v>71</v>
      </c>
      <c r="L54" s="5" t="n">
        <v>300</v>
      </c>
    </row>
    <row r="55" customFormat="false" ht="23.85" hidden="false" customHeight="false" outlineLevel="0" collapsed="false">
      <c r="A55" s="5" t="s">
        <v>454</v>
      </c>
      <c r="B55" s="2" t="s">
        <v>455</v>
      </c>
      <c r="C55" s="5" t="s">
        <v>59</v>
      </c>
      <c r="D55" s="5" t="s">
        <v>71</v>
      </c>
      <c r="E55" s="2" t="s">
        <v>306</v>
      </c>
      <c r="F55" s="2"/>
      <c r="G55" s="2" t="s">
        <v>457</v>
      </c>
      <c r="H55" s="2" t="s">
        <v>166</v>
      </c>
      <c r="I55" s="5" t="s">
        <v>74</v>
      </c>
      <c r="J55" s="2" t="s">
        <v>6551</v>
      </c>
      <c r="K55" s="2" t="s">
        <v>71</v>
      </c>
      <c r="L55" s="5" t="n">
        <v>300</v>
      </c>
    </row>
    <row r="56" customFormat="false" ht="23.85" hidden="false" customHeight="false" outlineLevel="0" collapsed="false">
      <c r="A56" s="5" t="s">
        <v>460</v>
      </c>
      <c r="B56" s="2" t="s">
        <v>461</v>
      </c>
      <c r="C56" s="5" t="s">
        <v>59</v>
      </c>
      <c r="D56" s="5" t="s">
        <v>71</v>
      </c>
      <c r="E56" s="2" t="s">
        <v>210</v>
      </c>
      <c r="F56" s="2"/>
      <c r="G56" s="2" t="s">
        <v>462</v>
      </c>
      <c r="H56" s="2" t="s">
        <v>293</v>
      </c>
      <c r="I56" s="5" t="s">
        <v>74</v>
      </c>
      <c r="J56" s="2" t="s">
        <v>6552</v>
      </c>
      <c r="K56" s="2" t="s">
        <v>71</v>
      </c>
      <c r="L56" s="5" t="n">
        <v>300</v>
      </c>
    </row>
    <row r="57" customFormat="false" ht="35.05" hidden="false" customHeight="false" outlineLevel="0" collapsed="false">
      <c r="A57" s="5" t="s">
        <v>465</v>
      </c>
      <c r="B57" s="2" t="s">
        <v>466</v>
      </c>
      <c r="C57" s="5" t="s">
        <v>59</v>
      </c>
      <c r="D57" s="5" t="s">
        <v>71</v>
      </c>
      <c r="E57" s="2" t="s">
        <v>6512</v>
      </c>
      <c r="F57" s="2"/>
      <c r="G57" s="2" t="s">
        <v>468</v>
      </c>
      <c r="H57" s="2" t="s">
        <v>166</v>
      </c>
      <c r="I57" s="5" t="s">
        <v>74</v>
      </c>
      <c r="J57" s="2" t="s">
        <v>6553</v>
      </c>
      <c r="K57" s="2" t="s">
        <v>71</v>
      </c>
      <c r="L57" s="5" t="n">
        <v>300</v>
      </c>
    </row>
    <row r="58" customFormat="false" ht="23.85" hidden="false" customHeight="false" outlineLevel="0" collapsed="false">
      <c r="A58" s="5" t="s">
        <v>471</v>
      </c>
      <c r="B58" s="2" t="s">
        <v>472</v>
      </c>
      <c r="C58" s="5" t="s">
        <v>59</v>
      </c>
      <c r="D58" s="5" t="s">
        <v>473</v>
      </c>
      <c r="E58" s="2" t="s">
        <v>368</v>
      </c>
      <c r="F58" s="2"/>
      <c r="G58" s="2" t="s">
        <v>474</v>
      </c>
      <c r="H58" s="2" t="s">
        <v>475</v>
      </c>
      <c r="I58" s="5" t="s">
        <v>74</v>
      </c>
      <c r="J58" s="2" t="s">
        <v>6554</v>
      </c>
      <c r="K58" s="2" t="s">
        <v>473</v>
      </c>
      <c r="L58" s="5" t="n">
        <v>300</v>
      </c>
    </row>
    <row r="59" customFormat="false" ht="35.05" hidden="false" customHeight="false" outlineLevel="0" collapsed="false">
      <c r="A59" s="5" t="s">
        <v>478</v>
      </c>
      <c r="B59" s="2" t="s">
        <v>479</v>
      </c>
      <c r="C59" s="5" t="s">
        <v>59</v>
      </c>
      <c r="D59" s="5" t="s">
        <v>71</v>
      </c>
      <c r="E59" s="2" t="s">
        <v>6512</v>
      </c>
      <c r="F59" s="2"/>
      <c r="G59" s="2" t="s">
        <v>483</v>
      </c>
      <c r="H59" s="2" t="s">
        <v>166</v>
      </c>
      <c r="I59" s="5" t="s">
        <v>74</v>
      </c>
      <c r="J59" s="2" t="s">
        <v>6555</v>
      </c>
      <c r="K59" s="2" t="s">
        <v>71</v>
      </c>
      <c r="L59" s="5" t="n">
        <v>300</v>
      </c>
    </row>
    <row r="60" customFormat="false" ht="15" hidden="false" customHeight="false" outlineLevel="0" collapsed="false">
      <c r="A60" s="5" t="s">
        <v>486</v>
      </c>
      <c r="B60" s="2" t="s">
        <v>487</v>
      </c>
      <c r="C60" s="5" t="s">
        <v>488</v>
      </c>
      <c r="D60" s="5" t="s">
        <v>494</v>
      </c>
      <c r="E60" s="2" t="s">
        <v>493</v>
      </c>
      <c r="F60" s="2"/>
      <c r="G60" s="2"/>
      <c r="H60" s="2" t="s">
        <v>495</v>
      </c>
      <c r="I60" s="5" t="s">
        <v>496</v>
      </c>
      <c r="J60" s="2" t="s">
        <v>6556</v>
      </c>
      <c r="K60" s="2" t="s">
        <v>494</v>
      </c>
      <c r="L60" s="5" t="n">
        <v>600</v>
      </c>
    </row>
    <row r="61" customFormat="false" ht="23.85" hidden="false" customHeight="false" outlineLevel="0" collapsed="false">
      <c r="A61" s="5" t="s">
        <v>500</v>
      </c>
      <c r="B61" s="2" t="s">
        <v>501</v>
      </c>
      <c r="C61" s="5" t="s">
        <v>488</v>
      </c>
      <c r="D61" s="5" t="s">
        <v>504</v>
      </c>
      <c r="E61" s="2" t="s">
        <v>503</v>
      </c>
      <c r="F61" s="2"/>
      <c r="G61" s="2"/>
      <c r="H61" s="2" t="s">
        <v>505</v>
      </c>
      <c r="I61" s="5" t="s">
        <v>496</v>
      </c>
      <c r="J61" s="2" t="s">
        <v>6557</v>
      </c>
      <c r="K61" s="2" t="s">
        <v>504</v>
      </c>
      <c r="L61" s="5" t="n">
        <v>600</v>
      </c>
    </row>
    <row r="62" customFormat="false" ht="23.85" hidden="false" customHeight="false" outlineLevel="0" collapsed="false">
      <c r="A62" s="5" t="s">
        <v>509</v>
      </c>
      <c r="B62" s="2" t="s">
        <v>510</v>
      </c>
      <c r="C62" s="5" t="s">
        <v>488</v>
      </c>
      <c r="D62" s="5" t="s">
        <v>513</v>
      </c>
      <c r="E62" s="2" t="s">
        <v>512</v>
      </c>
      <c r="F62" s="2"/>
      <c r="G62" s="2" t="s">
        <v>514</v>
      </c>
      <c r="H62" s="2" t="s">
        <v>515</v>
      </c>
      <c r="I62" s="5" t="s">
        <v>496</v>
      </c>
      <c r="J62" s="2" t="s">
        <v>6558</v>
      </c>
      <c r="K62" s="2" t="s">
        <v>513</v>
      </c>
      <c r="L62" s="5" t="n">
        <v>600</v>
      </c>
    </row>
    <row r="63" customFormat="false" ht="23.85" hidden="false" customHeight="false" outlineLevel="0" collapsed="false">
      <c r="A63" s="5" t="s">
        <v>518</v>
      </c>
      <c r="B63" s="2" t="s">
        <v>519</v>
      </c>
      <c r="C63" s="5" t="s">
        <v>488</v>
      </c>
      <c r="D63" s="5" t="s">
        <v>521</v>
      </c>
      <c r="E63" s="2" t="s">
        <v>512</v>
      </c>
      <c r="F63" s="2" t="s">
        <v>503</v>
      </c>
      <c r="G63" s="2" t="s">
        <v>522</v>
      </c>
      <c r="H63" s="2" t="s">
        <v>495</v>
      </c>
      <c r="I63" s="5" t="s">
        <v>496</v>
      </c>
      <c r="J63" s="2" t="s">
        <v>6559</v>
      </c>
      <c r="K63" s="2" t="s">
        <v>521</v>
      </c>
      <c r="L63" s="5" t="n">
        <v>600</v>
      </c>
    </row>
    <row r="64" customFormat="false" ht="23.85" hidden="false" customHeight="false" outlineLevel="0" collapsed="false">
      <c r="A64" s="5" t="s">
        <v>524</v>
      </c>
      <c r="B64" s="2" t="s">
        <v>525</v>
      </c>
      <c r="C64" s="5" t="s">
        <v>488</v>
      </c>
      <c r="D64" s="5" t="s">
        <v>71</v>
      </c>
      <c r="E64" s="2" t="s">
        <v>527</v>
      </c>
      <c r="F64" s="2"/>
      <c r="G64" s="2" t="s">
        <v>528</v>
      </c>
      <c r="H64" s="2" t="s">
        <v>529</v>
      </c>
      <c r="I64" s="5" t="s">
        <v>530</v>
      </c>
      <c r="J64" s="2" t="s">
        <v>6560</v>
      </c>
      <c r="K64" s="2" t="s">
        <v>71</v>
      </c>
      <c r="L64" s="5" t="n">
        <v>300</v>
      </c>
    </row>
    <row r="65" customFormat="false" ht="23.85" hidden="false" customHeight="false" outlineLevel="0" collapsed="false">
      <c r="A65" s="5" t="s">
        <v>534</v>
      </c>
      <c r="B65" s="2" t="s">
        <v>535</v>
      </c>
      <c r="C65" s="5" t="s">
        <v>488</v>
      </c>
      <c r="D65" s="5" t="s">
        <v>71</v>
      </c>
      <c r="E65" s="2" t="s">
        <v>538</v>
      </c>
      <c r="F65" s="2"/>
      <c r="G65" s="2"/>
      <c r="H65" s="2" t="s">
        <v>529</v>
      </c>
      <c r="I65" s="5" t="s">
        <v>74</v>
      </c>
      <c r="J65" s="2" t="s">
        <v>6561</v>
      </c>
      <c r="K65" s="2" t="s">
        <v>71</v>
      </c>
      <c r="L65" s="5" t="n">
        <v>300</v>
      </c>
    </row>
    <row r="66" customFormat="false" ht="23.85" hidden="false" customHeight="false" outlineLevel="0" collapsed="false">
      <c r="A66" s="5" t="s">
        <v>542</v>
      </c>
      <c r="B66" s="2" t="s">
        <v>543</v>
      </c>
      <c r="C66" s="5" t="s">
        <v>488</v>
      </c>
      <c r="D66" s="5" t="s">
        <v>71</v>
      </c>
      <c r="E66" s="2" t="s">
        <v>546</v>
      </c>
      <c r="F66" s="2"/>
      <c r="G66" s="2"/>
      <c r="H66" s="2" t="s">
        <v>529</v>
      </c>
      <c r="I66" s="5" t="s">
        <v>74</v>
      </c>
      <c r="J66" s="2" t="s">
        <v>6562</v>
      </c>
      <c r="K66" s="2" t="s">
        <v>71</v>
      </c>
      <c r="L66" s="5" t="n">
        <v>300</v>
      </c>
    </row>
    <row r="67" customFormat="false" ht="23.85" hidden="false" customHeight="false" outlineLevel="0" collapsed="false">
      <c r="A67" s="5" t="s">
        <v>550</v>
      </c>
      <c r="B67" s="2" t="s">
        <v>551</v>
      </c>
      <c r="C67" s="5" t="s">
        <v>488</v>
      </c>
      <c r="D67" s="5" t="s">
        <v>71</v>
      </c>
      <c r="E67" s="2" t="s">
        <v>552</v>
      </c>
      <c r="F67" s="2"/>
      <c r="G67" s="2" t="s">
        <v>553</v>
      </c>
      <c r="H67" s="2" t="s">
        <v>554</v>
      </c>
      <c r="I67" s="5" t="s">
        <v>530</v>
      </c>
      <c r="J67" s="2" t="s">
        <v>6563</v>
      </c>
      <c r="K67" s="2" t="s">
        <v>71</v>
      </c>
      <c r="L67" s="5" t="n">
        <v>300</v>
      </c>
    </row>
    <row r="68" customFormat="false" ht="23.85" hidden="false" customHeight="false" outlineLevel="0" collapsed="false">
      <c r="A68" s="5" t="s">
        <v>558</v>
      </c>
      <c r="B68" s="2" t="s">
        <v>559</v>
      </c>
      <c r="C68" s="5" t="s">
        <v>488</v>
      </c>
      <c r="D68" s="5" t="s">
        <v>71</v>
      </c>
      <c r="E68" s="2" t="s">
        <v>560</v>
      </c>
      <c r="F68" s="2"/>
      <c r="G68" s="2" t="s">
        <v>561</v>
      </c>
      <c r="H68" s="2" t="s">
        <v>562</v>
      </c>
      <c r="I68" s="5" t="s">
        <v>74</v>
      </c>
      <c r="J68" s="2" t="s">
        <v>6564</v>
      </c>
      <c r="K68" s="2" t="s">
        <v>71</v>
      </c>
      <c r="L68" s="5" t="n">
        <v>300</v>
      </c>
    </row>
    <row r="69" customFormat="false" ht="23.85" hidden="false" customHeight="false" outlineLevel="0" collapsed="false">
      <c r="A69" s="5" t="s">
        <v>566</v>
      </c>
      <c r="B69" s="2" t="s">
        <v>567</v>
      </c>
      <c r="C69" s="5" t="s">
        <v>488</v>
      </c>
      <c r="D69" s="5" t="s">
        <v>570</v>
      </c>
      <c r="E69" s="2" t="s">
        <v>569</v>
      </c>
      <c r="F69" s="2"/>
      <c r="G69" s="2"/>
      <c r="H69" s="2" t="s">
        <v>571</v>
      </c>
      <c r="I69" s="5" t="s">
        <v>74</v>
      </c>
      <c r="J69" s="2" t="s">
        <v>6565</v>
      </c>
      <c r="K69" s="2" t="s">
        <v>570</v>
      </c>
      <c r="L69" s="5" t="n">
        <v>300</v>
      </c>
    </row>
    <row r="70" customFormat="false" ht="23.85" hidden="false" customHeight="false" outlineLevel="0" collapsed="false">
      <c r="A70" s="5" t="s">
        <v>575</v>
      </c>
      <c r="B70" s="2" t="s">
        <v>576</v>
      </c>
      <c r="C70" s="5" t="s">
        <v>488</v>
      </c>
      <c r="D70" s="5" t="s">
        <v>570</v>
      </c>
      <c r="E70" s="2" t="s">
        <v>579</v>
      </c>
      <c r="F70" s="2"/>
      <c r="G70" s="2"/>
      <c r="H70" s="2" t="s">
        <v>571</v>
      </c>
      <c r="I70" s="5" t="s">
        <v>74</v>
      </c>
      <c r="J70" s="2" t="s">
        <v>6566</v>
      </c>
      <c r="K70" s="2" t="s">
        <v>570</v>
      </c>
      <c r="L70" s="5" t="n">
        <v>300</v>
      </c>
    </row>
    <row r="71" customFormat="false" ht="23.85" hidden="false" customHeight="false" outlineLevel="0" collapsed="false">
      <c r="A71" s="5" t="s">
        <v>583</v>
      </c>
      <c r="B71" s="2" t="s">
        <v>584</v>
      </c>
      <c r="C71" s="5" t="s">
        <v>488</v>
      </c>
      <c r="D71" s="5" t="s">
        <v>71</v>
      </c>
      <c r="E71" s="2" t="s">
        <v>586</v>
      </c>
      <c r="F71" s="2"/>
      <c r="G71" s="2" t="s">
        <v>587</v>
      </c>
      <c r="H71" s="2" t="s">
        <v>529</v>
      </c>
      <c r="I71" s="5" t="s">
        <v>74</v>
      </c>
      <c r="J71" s="2" t="s">
        <v>6567</v>
      </c>
      <c r="K71" s="2" t="s">
        <v>71</v>
      </c>
      <c r="L71" s="5" t="n">
        <v>300</v>
      </c>
    </row>
    <row r="72" customFormat="false" ht="46.25" hidden="false" customHeight="false" outlineLevel="0" collapsed="false">
      <c r="A72" s="5" t="s">
        <v>591</v>
      </c>
      <c r="B72" s="2" t="s">
        <v>592</v>
      </c>
      <c r="C72" s="5" t="s">
        <v>488</v>
      </c>
      <c r="D72" s="5" t="s">
        <v>71</v>
      </c>
      <c r="E72" s="2" t="s">
        <v>6568</v>
      </c>
      <c r="F72" s="2"/>
      <c r="G72" s="2" t="s">
        <v>595</v>
      </c>
      <c r="H72" s="2" t="s">
        <v>596</v>
      </c>
      <c r="I72" s="5" t="s">
        <v>74</v>
      </c>
      <c r="J72" s="2" t="s">
        <v>6569</v>
      </c>
      <c r="K72" s="2" t="s">
        <v>71</v>
      </c>
      <c r="L72" s="5" t="n">
        <v>300</v>
      </c>
    </row>
    <row r="73" customFormat="false" ht="46.25" hidden="false" customHeight="false" outlineLevel="0" collapsed="false">
      <c r="A73" s="5" t="s">
        <v>600</v>
      </c>
      <c r="B73" s="2" t="s">
        <v>601</v>
      </c>
      <c r="C73" s="5" t="s">
        <v>488</v>
      </c>
      <c r="D73" s="5" t="s">
        <v>6570</v>
      </c>
      <c r="E73" s="2" t="s">
        <v>6571</v>
      </c>
      <c r="F73" s="2"/>
      <c r="G73" s="2" t="s">
        <v>6572</v>
      </c>
      <c r="H73" s="2" t="s">
        <v>6573</v>
      </c>
      <c r="I73" s="5" t="s">
        <v>530</v>
      </c>
      <c r="J73" s="2" t="s">
        <v>6574</v>
      </c>
      <c r="K73" s="2" t="s">
        <v>604</v>
      </c>
      <c r="L73" s="5" t="n">
        <v>900</v>
      </c>
    </row>
    <row r="74" customFormat="false" ht="46.25" hidden="false" customHeight="false" outlineLevel="0" collapsed="false">
      <c r="A74" s="5" t="s">
        <v>600</v>
      </c>
      <c r="B74" s="2" t="s">
        <v>601</v>
      </c>
      <c r="C74" s="5" t="s">
        <v>488</v>
      </c>
      <c r="D74" s="5" t="s">
        <v>6575</v>
      </c>
      <c r="E74" s="2" t="s">
        <v>6576</v>
      </c>
      <c r="F74" s="2"/>
      <c r="G74" s="2" t="s">
        <v>6572</v>
      </c>
      <c r="H74" s="2" t="s">
        <v>6573</v>
      </c>
      <c r="I74" s="5" t="s">
        <v>74</v>
      </c>
      <c r="J74" s="2" t="s">
        <v>6577</v>
      </c>
      <c r="K74" s="2" t="s">
        <v>604</v>
      </c>
      <c r="L74" s="5" t="n">
        <v>900</v>
      </c>
    </row>
    <row r="75" customFormat="false" ht="46.25" hidden="false" customHeight="false" outlineLevel="0" collapsed="false">
      <c r="A75" s="5" t="s">
        <v>600</v>
      </c>
      <c r="B75" s="2" t="s">
        <v>601</v>
      </c>
      <c r="C75" s="5" t="s">
        <v>488</v>
      </c>
      <c r="D75" s="5" t="s">
        <v>6578</v>
      </c>
      <c r="E75" s="2" t="s">
        <v>6579</v>
      </c>
      <c r="F75" s="2"/>
      <c r="G75" s="2" t="s">
        <v>6572</v>
      </c>
      <c r="H75" s="2" t="s">
        <v>515</v>
      </c>
      <c r="I75" s="5" t="s">
        <v>496</v>
      </c>
      <c r="J75" s="2" t="s">
        <v>6580</v>
      </c>
      <c r="K75" s="2" t="s">
        <v>604</v>
      </c>
      <c r="L75" s="5" t="n">
        <v>900</v>
      </c>
    </row>
    <row r="76" customFormat="false" ht="35.05" hidden="false" customHeight="false" outlineLevel="0" collapsed="false">
      <c r="A76" s="5" t="s">
        <v>612</v>
      </c>
      <c r="B76" s="2" t="s">
        <v>613</v>
      </c>
      <c r="C76" s="5" t="s">
        <v>488</v>
      </c>
      <c r="D76" s="5" t="s">
        <v>6570</v>
      </c>
      <c r="E76" s="2" t="s">
        <v>6581</v>
      </c>
      <c r="F76" s="2"/>
      <c r="G76" s="2" t="s">
        <v>6572</v>
      </c>
      <c r="H76" s="2" t="s">
        <v>6573</v>
      </c>
      <c r="I76" s="5" t="s">
        <v>530</v>
      </c>
      <c r="J76" s="2" t="s">
        <v>6582</v>
      </c>
      <c r="K76" s="2" t="s">
        <v>604</v>
      </c>
      <c r="L76" s="5" t="n">
        <v>900</v>
      </c>
    </row>
    <row r="77" customFormat="false" ht="35.05" hidden="false" customHeight="false" outlineLevel="0" collapsed="false">
      <c r="A77" s="5" t="s">
        <v>612</v>
      </c>
      <c r="B77" s="2" t="s">
        <v>613</v>
      </c>
      <c r="C77" s="5" t="s">
        <v>488</v>
      </c>
      <c r="D77" s="5" t="s">
        <v>6575</v>
      </c>
      <c r="E77" s="2" t="s">
        <v>6583</v>
      </c>
      <c r="F77" s="2"/>
      <c r="G77" s="2" t="s">
        <v>6572</v>
      </c>
      <c r="H77" s="2" t="s">
        <v>6573</v>
      </c>
      <c r="I77" s="5" t="s">
        <v>74</v>
      </c>
      <c r="J77" s="2" t="s">
        <v>6584</v>
      </c>
      <c r="K77" s="2" t="s">
        <v>604</v>
      </c>
      <c r="L77" s="5" t="n">
        <v>900</v>
      </c>
    </row>
    <row r="78" customFormat="false" ht="35.05" hidden="false" customHeight="false" outlineLevel="0" collapsed="false">
      <c r="A78" s="5" t="s">
        <v>612</v>
      </c>
      <c r="B78" s="2" t="s">
        <v>613</v>
      </c>
      <c r="C78" s="5" t="s">
        <v>488</v>
      </c>
      <c r="D78" s="5" t="s">
        <v>6578</v>
      </c>
      <c r="E78" s="2" t="s">
        <v>6585</v>
      </c>
      <c r="F78" s="2"/>
      <c r="G78" s="2" t="s">
        <v>6572</v>
      </c>
      <c r="H78" s="2" t="s">
        <v>515</v>
      </c>
      <c r="I78" s="5" t="s">
        <v>496</v>
      </c>
      <c r="J78" s="2" t="s">
        <v>6586</v>
      </c>
      <c r="K78" s="2" t="s">
        <v>604</v>
      </c>
      <c r="L78" s="5" t="n">
        <v>900</v>
      </c>
    </row>
    <row r="79" customFormat="false" ht="35.05" hidden="false" customHeight="false" outlineLevel="0" collapsed="false">
      <c r="A79" s="5" t="s">
        <v>619</v>
      </c>
      <c r="B79" s="2" t="s">
        <v>620</v>
      </c>
      <c r="C79" s="5" t="s">
        <v>488</v>
      </c>
      <c r="D79" s="5" t="s">
        <v>622</v>
      </c>
      <c r="E79" s="2" t="s">
        <v>6587</v>
      </c>
      <c r="F79" s="2"/>
      <c r="G79" s="2" t="s">
        <v>623</v>
      </c>
      <c r="H79" s="2" t="s">
        <v>624</v>
      </c>
      <c r="I79" s="5" t="s">
        <v>625</v>
      </c>
      <c r="J79" s="2" t="s">
        <v>6588</v>
      </c>
      <c r="K79" s="2" t="s">
        <v>622</v>
      </c>
      <c r="L79" s="5" t="n">
        <v>3600</v>
      </c>
    </row>
    <row r="80" customFormat="false" ht="35.05" hidden="false" customHeight="false" outlineLevel="0" collapsed="false">
      <c r="A80" s="5" t="s">
        <v>629</v>
      </c>
      <c r="B80" s="2" t="s">
        <v>630</v>
      </c>
      <c r="C80" s="5" t="s">
        <v>488</v>
      </c>
      <c r="D80" s="5" t="s">
        <v>622</v>
      </c>
      <c r="E80" s="2" t="s">
        <v>6589</v>
      </c>
      <c r="F80" s="2"/>
      <c r="G80" s="2" t="s">
        <v>623</v>
      </c>
      <c r="H80" s="2" t="s">
        <v>624</v>
      </c>
      <c r="I80" s="5" t="s">
        <v>625</v>
      </c>
      <c r="J80" s="2" t="s">
        <v>6590</v>
      </c>
      <c r="K80" s="2" t="s">
        <v>622</v>
      </c>
      <c r="L80" s="5" t="n">
        <v>3600</v>
      </c>
    </row>
    <row r="81" customFormat="false" ht="23.85" hidden="false" customHeight="false" outlineLevel="0" collapsed="false">
      <c r="A81" s="5" t="s">
        <v>635</v>
      </c>
      <c r="B81" s="2" t="s">
        <v>636</v>
      </c>
      <c r="C81" s="5" t="s">
        <v>488</v>
      </c>
      <c r="D81" s="5" t="s">
        <v>639</v>
      </c>
      <c r="E81" s="2" t="s">
        <v>638</v>
      </c>
      <c r="F81" s="2"/>
      <c r="G81" s="2" t="s">
        <v>640</v>
      </c>
      <c r="H81" s="2" t="s">
        <v>641</v>
      </c>
      <c r="I81" s="5" t="s">
        <v>642</v>
      </c>
      <c r="J81" s="2" t="s">
        <v>6591</v>
      </c>
      <c r="K81" s="2" t="s">
        <v>639</v>
      </c>
      <c r="L81" s="5" t="n">
        <v>3600</v>
      </c>
    </row>
    <row r="82" customFormat="false" ht="46.25" hidden="false" customHeight="false" outlineLevel="0" collapsed="false">
      <c r="A82" s="5" t="s">
        <v>646</v>
      </c>
      <c r="B82" s="2" t="s">
        <v>647</v>
      </c>
      <c r="C82" s="5" t="s">
        <v>488</v>
      </c>
      <c r="D82" s="5" t="s">
        <v>650</v>
      </c>
      <c r="E82" s="2" t="s">
        <v>649</v>
      </c>
      <c r="F82" s="2"/>
      <c r="G82" s="2"/>
      <c r="H82" s="2" t="s">
        <v>651</v>
      </c>
      <c r="I82" s="5" t="s">
        <v>74</v>
      </c>
      <c r="J82" s="2" t="s">
        <v>6592</v>
      </c>
      <c r="K82" s="2" t="s">
        <v>650</v>
      </c>
      <c r="L82" s="5" t="n">
        <v>300</v>
      </c>
    </row>
    <row r="83" customFormat="false" ht="68.65" hidden="false" customHeight="false" outlineLevel="0" collapsed="false">
      <c r="A83" s="5" t="s">
        <v>655</v>
      </c>
      <c r="B83" s="2" t="s">
        <v>656</v>
      </c>
      <c r="C83" s="5" t="s">
        <v>488</v>
      </c>
      <c r="D83" s="5" t="s">
        <v>650</v>
      </c>
      <c r="E83" s="2" t="s">
        <v>6593</v>
      </c>
      <c r="F83" s="2"/>
      <c r="G83" s="2"/>
      <c r="H83" s="2" t="s">
        <v>651</v>
      </c>
      <c r="I83" s="5" t="s">
        <v>74</v>
      </c>
      <c r="J83" s="2" t="s">
        <v>6594</v>
      </c>
      <c r="K83" s="2" t="s">
        <v>650</v>
      </c>
      <c r="L83" s="5" t="n">
        <v>300</v>
      </c>
    </row>
    <row r="84" customFormat="false" ht="68.65" hidden="false" customHeight="false" outlineLevel="0" collapsed="false">
      <c r="A84" s="5" t="s">
        <v>661</v>
      </c>
      <c r="B84" s="2" t="s">
        <v>662</v>
      </c>
      <c r="C84" s="5" t="s">
        <v>488</v>
      </c>
      <c r="D84" s="5" t="s">
        <v>650</v>
      </c>
      <c r="E84" s="2" t="s">
        <v>664</v>
      </c>
      <c r="F84" s="2"/>
      <c r="G84" s="2"/>
      <c r="H84" s="2" t="s">
        <v>651</v>
      </c>
      <c r="I84" s="5" t="s">
        <v>74</v>
      </c>
      <c r="J84" s="2" t="s">
        <v>6595</v>
      </c>
      <c r="K84" s="2" t="s">
        <v>650</v>
      </c>
      <c r="L84" s="5" t="n">
        <v>300</v>
      </c>
    </row>
    <row r="85" customFormat="false" ht="35.05" hidden="false" customHeight="false" outlineLevel="0" collapsed="false">
      <c r="A85" s="5" t="s">
        <v>668</v>
      </c>
      <c r="B85" s="2" t="s">
        <v>669</v>
      </c>
      <c r="C85" s="5" t="s">
        <v>488</v>
      </c>
      <c r="D85" s="5" t="s">
        <v>672</v>
      </c>
      <c r="E85" s="2" t="s">
        <v>671</v>
      </c>
      <c r="F85" s="2"/>
      <c r="G85" s="2"/>
      <c r="H85" s="2" t="s">
        <v>673</v>
      </c>
      <c r="I85" s="5" t="s">
        <v>674</v>
      </c>
      <c r="J85" s="2" t="s">
        <v>6596</v>
      </c>
      <c r="K85" s="2" t="s">
        <v>672</v>
      </c>
      <c r="L85" s="5" t="n">
        <v>600</v>
      </c>
    </row>
    <row r="86" customFormat="false" ht="35.05" hidden="false" customHeight="false" outlineLevel="0" collapsed="false">
      <c r="A86" s="5" t="s">
        <v>678</v>
      </c>
      <c r="B86" s="2" t="s">
        <v>679</v>
      </c>
      <c r="C86" s="5" t="s">
        <v>488</v>
      </c>
      <c r="D86" s="5" t="s">
        <v>672</v>
      </c>
      <c r="E86" s="2" t="s">
        <v>680</v>
      </c>
      <c r="F86" s="2"/>
      <c r="G86" s="2"/>
      <c r="H86" s="2" t="s">
        <v>673</v>
      </c>
      <c r="I86" s="5" t="s">
        <v>681</v>
      </c>
      <c r="J86" s="2" t="s">
        <v>6597</v>
      </c>
      <c r="K86" s="2" t="s">
        <v>672</v>
      </c>
      <c r="L86" s="5" t="n">
        <v>600</v>
      </c>
    </row>
    <row r="87" customFormat="false" ht="23.85" hidden="false" customHeight="false" outlineLevel="0" collapsed="false">
      <c r="A87" s="5" t="s">
        <v>685</v>
      </c>
      <c r="B87" s="2" t="s">
        <v>686</v>
      </c>
      <c r="C87" s="5" t="s">
        <v>488</v>
      </c>
      <c r="D87" s="5" t="s">
        <v>672</v>
      </c>
      <c r="E87" s="2" t="s">
        <v>687</v>
      </c>
      <c r="F87" s="2"/>
      <c r="G87" s="2"/>
      <c r="H87" s="2" t="s">
        <v>688</v>
      </c>
      <c r="I87" s="5" t="s">
        <v>681</v>
      </c>
      <c r="J87" s="2" t="s">
        <v>6598</v>
      </c>
      <c r="K87" s="2" t="s">
        <v>672</v>
      </c>
      <c r="L87" s="5" t="n">
        <v>600</v>
      </c>
    </row>
    <row r="88" customFormat="false" ht="35.05" hidden="false" customHeight="false" outlineLevel="0" collapsed="false">
      <c r="A88" s="5" t="s">
        <v>692</v>
      </c>
      <c r="B88" s="2" t="s">
        <v>693</v>
      </c>
      <c r="C88" s="5" t="s">
        <v>488</v>
      </c>
      <c r="D88" s="5" t="s">
        <v>672</v>
      </c>
      <c r="E88" s="2" t="s">
        <v>695</v>
      </c>
      <c r="F88" s="2"/>
      <c r="G88" s="2"/>
      <c r="H88" s="2" t="s">
        <v>673</v>
      </c>
      <c r="I88" s="5" t="s">
        <v>681</v>
      </c>
      <c r="J88" s="2" t="s">
        <v>6599</v>
      </c>
      <c r="K88" s="2" t="s">
        <v>672</v>
      </c>
      <c r="L88" s="5" t="n">
        <v>600</v>
      </c>
    </row>
    <row r="89" customFormat="false" ht="35.05" hidden="false" customHeight="false" outlineLevel="0" collapsed="false">
      <c r="A89" s="5" t="s">
        <v>699</v>
      </c>
      <c r="B89" s="2" t="s">
        <v>700</v>
      </c>
      <c r="C89" s="5" t="s">
        <v>488</v>
      </c>
      <c r="D89" s="5" t="s">
        <v>672</v>
      </c>
      <c r="E89" s="2" t="s">
        <v>701</v>
      </c>
      <c r="F89" s="2"/>
      <c r="G89" s="2"/>
      <c r="H89" s="2" t="s">
        <v>673</v>
      </c>
      <c r="I89" s="5" t="s">
        <v>681</v>
      </c>
      <c r="J89" s="2" t="s">
        <v>6600</v>
      </c>
      <c r="K89" s="2" t="s">
        <v>672</v>
      </c>
      <c r="L89" s="5" t="n">
        <v>600</v>
      </c>
    </row>
    <row r="90" customFormat="false" ht="35.05" hidden="false" customHeight="false" outlineLevel="0" collapsed="false">
      <c r="A90" s="5" t="s">
        <v>705</v>
      </c>
      <c r="B90" s="2" t="s">
        <v>706</v>
      </c>
      <c r="C90" s="5" t="s">
        <v>488</v>
      </c>
      <c r="D90" s="5" t="s">
        <v>672</v>
      </c>
      <c r="E90" s="2" t="s">
        <v>707</v>
      </c>
      <c r="F90" s="2"/>
      <c r="G90" s="2"/>
      <c r="H90" s="2" t="s">
        <v>673</v>
      </c>
      <c r="I90" s="5" t="s">
        <v>681</v>
      </c>
      <c r="J90" s="2" t="s">
        <v>6601</v>
      </c>
      <c r="K90" s="2" t="s">
        <v>672</v>
      </c>
      <c r="L90" s="5" t="n">
        <v>600</v>
      </c>
    </row>
    <row r="91" customFormat="false" ht="35.05" hidden="false" customHeight="false" outlineLevel="0" collapsed="false">
      <c r="A91" s="5" t="s">
        <v>710</v>
      </c>
      <c r="B91" s="2" t="s">
        <v>711</v>
      </c>
      <c r="C91" s="5" t="s">
        <v>488</v>
      </c>
      <c r="D91" s="5" t="s">
        <v>672</v>
      </c>
      <c r="E91" s="2" t="s">
        <v>712</v>
      </c>
      <c r="F91" s="2"/>
      <c r="G91" s="2"/>
      <c r="H91" s="2" t="s">
        <v>673</v>
      </c>
      <c r="I91" s="5" t="s">
        <v>674</v>
      </c>
      <c r="J91" s="2" t="s">
        <v>6602</v>
      </c>
      <c r="K91" s="2" t="s">
        <v>672</v>
      </c>
      <c r="L91" s="5" t="n">
        <v>600</v>
      </c>
    </row>
    <row r="92" customFormat="false" ht="35.05" hidden="false" customHeight="false" outlineLevel="0" collapsed="false">
      <c r="A92" s="5" t="s">
        <v>716</v>
      </c>
      <c r="B92" s="2" t="s">
        <v>717</v>
      </c>
      <c r="C92" s="5" t="s">
        <v>488</v>
      </c>
      <c r="D92" s="5" t="s">
        <v>672</v>
      </c>
      <c r="E92" s="2" t="s">
        <v>718</v>
      </c>
      <c r="F92" s="2"/>
      <c r="G92" s="2"/>
      <c r="H92" s="2" t="s">
        <v>673</v>
      </c>
      <c r="I92" s="5" t="s">
        <v>674</v>
      </c>
      <c r="J92" s="2" t="s">
        <v>6603</v>
      </c>
      <c r="K92" s="2" t="s">
        <v>672</v>
      </c>
      <c r="L92" s="5" t="n">
        <v>600</v>
      </c>
    </row>
    <row r="93" customFormat="false" ht="23.85" hidden="false" customHeight="false" outlineLevel="0" collapsed="false">
      <c r="A93" s="5" t="s">
        <v>722</v>
      </c>
      <c r="B93" s="2" t="s">
        <v>723</v>
      </c>
      <c r="C93" s="5" t="s">
        <v>488</v>
      </c>
      <c r="D93" s="5" t="s">
        <v>672</v>
      </c>
      <c r="E93" s="2" t="s">
        <v>6604</v>
      </c>
      <c r="F93" s="2"/>
      <c r="G93" s="2"/>
      <c r="H93" s="2" t="s">
        <v>688</v>
      </c>
      <c r="I93" s="5" t="s">
        <v>681</v>
      </c>
      <c r="J93" s="2" t="s">
        <v>6605</v>
      </c>
      <c r="K93" s="2" t="s">
        <v>672</v>
      </c>
      <c r="L93" s="5" t="n">
        <v>600</v>
      </c>
    </row>
    <row r="94" customFormat="false" ht="15" hidden="false" customHeight="false" outlineLevel="0" collapsed="false">
      <c r="A94" s="5" t="s">
        <v>728</v>
      </c>
      <c r="B94" s="2" t="s">
        <v>729</v>
      </c>
      <c r="C94" s="5" t="s">
        <v>488</v>
      </c>
      <c r="D94" s="5" t="s">
        <v>732</v>
      </c>
      <c r="E94" s="2" t="s">
        <v>731</v>
      </c>
      <c r="F94" s="2"/>
      <c r="G94" s="2"/>
      <c r="H94" s="2" t="s">
        <v>733</v>
      </c>
      <c r="I94" s="5" t="s">
        <v>734</v>
      </c>
      <c r="J94" s="2" t="s">
        <v>6606</v>
      </c>
      <c r="K94" s="2" t="s">
        <v>732</v>
      </c>
      <c r="L94" s="5" t="n">
        <v>300</v>
      </c>
    </row>
    <row r="95" customFormat="false" ht="68.65" hidden="false" customHeight="false" outlineLevel="0" collapsed="false">
      <c r="A95" s="5" t="s">
        <v>738</v>
      </c>
      <c r="B95" s="2" t="s">
        <v>739</v>
      </c>
      <c r="C95" s="5" t="s">
        <v>488</v>
      </c>
      <c r="D95" s="5" t="s">
        <v>743</v>
      </c>
      <c r="E95" s="2" t="s">
        <v>742</v>
      </c>
      <c r="F95" s="2"/>
      <c r="G95" s="2" t="s">
        <v>744</v>
      </c>
      <c r="H95" s="2" t="s">
        <v>745</v>
      </c>
      <c r="I95" s="5" t="s">
        <v>74</v>
      </c>
      <c r="J95" s="2" t="s">
        <v>6607</v>
      </c>
      <c r="K95" s="2" t="s">
        <v>743</v>
      </c>
      <c r="L95" s="5" t="n">
        <v>300</v>
      </c>
    </row>
    <row r="96" customFormat="false" ht="23.85" hidden="false" customHeight="false" outlineLevel="0" collapsed="false">
      <c r="A96" s="5" t="s">
        <v>749</v>
      </c>
      <c r="B96" s="2" t="s">
        <v>750</v>
      </c>
      <c r="C96" s="5" t="s">
        <v>488</v>
      </c>
      <c r="D96" s="5" t="s">
        <v>71</v>
      </c>
      <c r="E96" s="2" t="s">
        <v>753</v>
      </c>
      <c r="F96" s="2"/>
      <c r="G96" s="2" t="s">
        <v>754</v>
      </c>
      <c r="H96" s="2" t="s">
        <v>755</v>
      </c>
      <c r="I96" s="5" t="s">
        <v>74</v>
      </c>
      <c r="J96" s="2" t="s">
        <v>6608</v>
      </c>
      <c r="K96" s="2" t="s">
        <v>71</v>
      </c>
      <c r="L96" s="5" t="n">
        <v>300</v>
      </c>
    </row>
    <row r="97" customFormat="false" ht="23.85" hidden="false" customHeight="false" outlineLevel="0" collapsed="false">
      <c r="A97" s="5" t="s">
        <v>759</v>
      </c>
      <c r="B97" s="2" t="s">
        <v>760</v>
      </c>
      <c r="C97" s="5" t="s">
        <v>488</v>
      </c>
      <c r="D97" s="5" t="s">
        <v>71</v>
      </c>
      <c r="E97" s="2" t="s">
        <v>753</v>
      </c>
      <c r="F97" s="2"/>
      <c r="G97" s="2" t="s">
        <v>762</v>
      </c>
      <c r="H97" s="2" t="s">
        <v>755</v>
      </c>
      <c r="I97" s="5" t="s">
        <v>74</v>
      </c>
      <c r="J97" s="2" t="s">
        <v>6609</v>
      </c>
      <c r="K97" s="2" t="s">
        <v>71</v>
      </c>
      <c r="L97" s="5" t="n">
        <v>300</v>
      </c>
    </row>
    <row r="98" customFormat="false" ht="23.85" hidden="false" customHeight="false" outlineLevel="0" collapsed="false">
      <c r="A98" s="5" t="s">
        <v>765</v>
      </c>
      <c r="B98" s="2" t="s">
        <v>766</v>
      </c>
      <c r="C98" s="5" t="s">
        <v>488</v>
      </c>
      <c r="D98" s="5" t="s">
        <v>71</v>
      </c>
      <c r="E98" s="2" t="s">
        <v>753</v>
      </c>
      <c r="F98" s="2"/>
      <c r="G98" s="2" t="s">
        <v>768</v>
      </c>
      <c r="H98" s="2" t="s">
        <v>769</v>
      </c>
      <c r="I98" s="5" t="s">
        <v>74</v>
      </c>
      <c r="J98" s="2" t="s">
        <v>6610</v>
      </c>
      <c r="K98" s="2" t="s">
        <v>71</v>
      </c>
      <c r="L98" s="5" t="n">
        <v>300</v>
      </c>
    </row>
    <row r="99" customFormat="false" ht="23.85" hidden="false" customHeight="false" outlineLevel="0" collapsed="false">
      <c r="A99" s="5" t="s">
        <v>772</v>
      </c>
      <c r="B99" s="2" t="s">
        <v>773</v>
      </c>
      <c r="C99" s="5" t="s">
        <v>488</v>
      </c>
      <c r="D99" s="5" t="s">
        <v>71</v>
      </c>
      <c r="E99" s="2" t="s">
        <v>753</v>
      </c>
      <c r="F99" s="2"/>
      <c r="G99" s="2" t="s">
        <v>774</v>
      </c>
      <c r="H99" s="2" t="s">
        <v>769</v>
      </c>
      <c r="I99" s="5" t="s">
        <v>74</v>
      </c>
      <c r="J99" s="2" t="s">
        <v>6611</v>
      </c>
      <c r="K99" s="2" t="s">
        <v>71</v>
      </c>
      <c r="L99" s="5" t="n">
        <v>300</v>
      </c>
    </row>
    <row r="100" customFormat="false" ht="23.85" hidden="false" customHeight="false" outlineLevel="0" collapsed="false">
      <c r="A100" s="5" t="s">
        <v>777</v>
      </c>
      <c r="B100" s="2" t="s">
        <v>778</v>
      </c>
      <c r="C100" s="5" t="s">
        <v>488</v>
      </c>
      <c r="D100" s="5" t="s">
        <v>71</v>
      </c>
      <c r="E100" s="2" t="s">
        <v>753</v>
      </c>
      <c r="F100" s="2"/>
      <c r="G100" s="2" t="s">
        <v>780</v>
      </c>
      <c r="H100" s="2" t="s">
        <v>755</v>
      </c>
      <c r="I100" s="5" t="s">
        <v>74</v>
      </c>
      <c r="J100" s="2" t="s">
        <v>6612</v>
      </c>
      <c r="K100" s="2" t="s">
        <v>71</v>
      </c>
      <c r="L100" s="5" t="n">
        <v>300</v>
      </c>
    </row>
    <row r="101" customFormat="false" ht="23.85" hidden="false" customHeight="false" outlineLevel="0" collapsed="false">
      <c r="A101" s="5" t="s">
        <v>783</v>
      </c>
      <c r="B101" s="2" t="s">
        <v>784</v>
      </c>
      <c r="C101" s="5" t="s">
        <v>488</v>
      </c>
      <c r="D101" s="5" t="s">
        <v>6613</v>
      </c>
      <c r="E101" s="2" t="s">
        <v>839</v>
      </c>
      <c r="F101" s="2"/>
      <c r="G101" s="2" t="s">
        <v>6614</v>
      </c>
      <c r="H101" s="2" t="s">
        <v>515</v>
      </c>
      <c r="I101" s="5" t="s">
        <v>822</v>
      </c>
      <c r="J101" s="2" t="s">
        <v>6615</v>
      </c>
      <c r="K101" s="2" t="s">
        <v>787</v>
      </c>
      <c r="L101" s="5" t="n">
        <v>600</v>
      </c>
    </row>
    <row r="102" customFormat="false" ht="23.85" hidden="false" customHeight="false" outlineLevel="0" collapsed="false">
      <c r="A102" s="5" t="s">
        <v>783</v>
      </c>
      <c r="B102" s="2" t="s">
        <v>784</v>
      </c>
      <c r="C102" s="5" t="s">
        <v>488</v>
      </c>
      <c r="D102" s="5" t="s">
        <v>6616</v>
      </c>
      <c r="E102" s="2" t="s">
        <v>6617</v>
      </c>
      <c r="F102" s="2"/>
      <c r="G102" s="2" t="s">
        <v>6614</v>
      </c>
      <c r="H102" s="2" t="s">
        <v>515</v>
      </c>
      <c r="I102" s="5" t="s">
        <v>496</v>
      </c>
      <c r="J102" s="2" t="s">
        <v>6618</v>
      </c>
      <c r="K102" s="2" t="s">
        <v>787</v>
      </c>
      <c r="L102" s="5" t="n">
        <v>600</v>
      </c>
    </row>
    <row r="103" customFormat="false" ht="23.85" hidden="false" customHeight="false" outlineLevel="0" collapsed="false">
      <c r="A103" s="5" t="s">
        <v>795</v>
      </c>
      <c r="B103" s="2" t="s">
        <v>796</v>
      </c>
      <c r="C103" s="5" t="s">
        <v>488</v>
      </c>
      <c r="D103" s="5" t="s">
        <v>6613</v>
      </c>
      <c r="E103" s="2" t="s">
        <v>839</v>
      </c>
      <c r="F103" s="2"/>
      <c r="G103" s="2" t="s">
        <v>6619</v>
      </c>
      <c r="H103" s="2" t="s">
        <v>495</v>
      </c>
      <c r="I103" s="5" t="s">
        <v>822</v>
      </c>
      <c r="J103" s="2" t="s">
        <v>6620</v>
      </c>
      <c r="K103" s="2" t="s">
        <v>787</v>
      </c>
      <c r="L103" s="5" t="n">
        <v>600</v>
      </c>
    </row>
    <row r="104" customFormat="false" ht="23.85" hidden="false" customHeight="false" outlineLevel="0" collapsed="false">
      <c r="A104" s="5" t="s">
        <v>795</v>
      </c>
      <c r="B104" s="2" t="s">
        <v>796</v>
      </c>
      <c r="C104" s="5" t="s">
        <v>488</v>
      </c>
      <c r="D104" s="5" t="s">
        <v>6616</v>
      </c>
      <c r="E104" s="2" t="s">
        <v>6617</v>
      </c>
      <c r="F104" s="2"/>
      <c r="G104" s="2" t="s">
        <v>6619</v>
      </c>
      <c r="H104" s="2" t="s">
        <v>495</v>
      </c>
      <c r="I104" s="5" t="s">
        <v>496</v>
      </c>
      <c r="J104" s="2" t="s">
        <v>6621</v>
      </c>
      <c r="K104" s="2" t="s">
        <v>787</v>
      </c>
      <c r="L104" s="5" t="n">
        <v>600</v>
      </c>
    </row>
    <row r="105" customFormat="false" ht="23.85" hidden="false" customHeight="false" outlineLevel="0" collapsed="false">
      <c r="A105" s="5" t="s">
        <v>803</v>
      </c>
      <c r="B105" s="2" t="s">
        <v>804</v>
      </c>
      <c r="C105" s="5" t="s">
        <v>488</v>
      </c>
      <c r="D105" s="5" t="s">
        <v>6622</v>
      </c>
      <c r="E105" s="2" t="s">
        <v>806</v>
      </c>
      <c r="F105" s="2"/>
      <c r="G105" s="2"/>
      <c r="H105" s="2" t="s">
        <v>515</v>
      </c>
      <c r="I105" s="5" t="s">
        <v>822</v>
      </c>
      <c r="J105" s="2" t="s">
        <v>6623</v>
      </c>
      <c r="K105" s="2" t="s">
        <v>807</v>
      </c>
      <c r="L105" s="5" t="n">
        <v>600</v>
      </c>
    </row>
    <row r="106" customFormat="false" ht="23.85" hidden="false" customHeight="false" outlineLevel="0" collapsed="false">
      <c r="A106" s="5" t="s">
        <v>803</v>
      </c>
      <c r="B106" s="2" t="s">
        <v>804</v>
      </c>
      <c r="C106" s="5" t="s">
        <v>488</v>
      </c>
      <c r="D106" s="5" t="s">
        <v>6624</v>
      </c>
      <c r="E106" s="2" t="s">
        <v>806</v>
      </c>
      <c r="F106" s="2"/>
      <c r="G106" s="2"/>
      <c r="H106" s="2" t="s">
        <v>6625</v>
      </c>
      <c r="I106" s="5" t="s">
        <v>822</v>
      </c>
      <c r="J106" s="2" t="s">
        <v>6623</v>
      </c>
      <c r="K106" s="2" t="s">
        <v>807</v>
      </c>
      <c r="L106" s="5" t="n">
        <v>600</v>
      </c>
    </row>
    <row r="107" customFormat="false" ht="35.05" hidden="false" customHeight="false" outlineLevel="0" collapsed="false">
      <c r="A107" s="5" t="s">
        <v>815</v>
      </c>
      <c r="B107" s="2" t="s">
        <v>816</v>
      </c>
      <c r="C107" s="5" t="s">
        <v>488</v>
      </c>
      <c r="D107" s="5" t="s">
        <v>819</v>
      </c>
      <c r="E107" s="2" t="s">
        <v>818</v>
      </c>
      <c r="F107" s="2"/>
      <c r="G107" s="2" t="s">
        <v>820</v>
      </c>
      <c r="H107" s="2" t="s">
        <v>821</v>
      </c>
      <c r="I107" s="5" t="s">
        <v>822</v>
      </c>
      <c r="J107" s="2" t="s">
        <v>6626</v>
      </c>
      <c r="K107" s="2" t="s">
        <v>819</v>
      </c>
      <c r="L107" s="5" t="n">
        <v>600</v>
      </c>
    </row>
    <row r="108" customFormat="false" ht="23.85" hidden="false" customHeight="false" outlineLevel="0" collapsed="false">
      <c r="A108" s="5" t="s">
        <v>826</v>
      </c>
      <c r="B108" s="2" t="s">
        <v>827</v>
      </c>
      <c r="C108" s="5" t="s">
        <v>488</v>
      </c>
      <c r="D108" s="5" t="s">
        <v>6627</v>
      </c>
      <c r="E108" s="2" t="s">
        <v>828</v>
      </c>
      <c r="F108" s="2" t="s">
        <v>829</v>
      </c>
      <c r="G108" s="2" t="s">
        <v>6628</v>
      </c>
      <c r="H108" s="2" t="s">
        <v>515</v>
      </c>
      <c r="I108" s="5" t="s">
        <v>822</v>
      </c>
      <c r="J108" s="2" t="s">
        <v>6629</v>
      </c>
      <c r="K108" s="2" t="s">
        <v>830</v>
      </c>
      <c r="L108" s="5" t="n">
        <v>600</v>
      </c>
    </row>
    <row r="109" customFormat="false" ht="23.85" hidden="false" customHeight="false" outlineLevel="0" collapsed="false">
      <c r="A109" s="5" t="s">
        <v>826</v>
      </c>
      <c r="B109" s="2" t="s">
        <v>827</v>
      </c>
      <c r="C109" s="5" t="s">
        <v>488</v>
      </c>
      <c r="D109" s="5" t="s">
        <v>6630</v>
      </c>
      <c r="E109" s="2" t="s">
        <v>828</v>
      </c>
      <c r="F109" s="2" t="s">
        <v>829</v>
      </c>
      <c r="G109" s="2" t="s">
        <v>6631</v>
      </c>
      <c r="H109" s="2" t="s">
        <v>892</v>
      </c>
      <c r="I109" s="5" t="s">
        <v>822</v>
      </c>
      <c r="J109" s="2" t="s">
        <v>6632</v>
      </c>
      <c r="K109" s="2" t="s">
        <v>830</v>
      </c>
      <c r="L109" s="5" t="n">
        <v>600</v>
      </c>
    </row>
    <row r="110" customFormat="false" ht="35.05" hidden="false" customHeight="false" outlineLevel="0" collapsed="false">
      <c r="A110" s="5" t="s">
        <v>837</v>
      </c>
      <c r="B110" s="2" t="s">
        <v>838</v>
      </c>
      <c r="C110" s="5" t="s">
        <v>488</v>
      </c>
      <c r="D110" s="5" t="s">
        <v>840</v>
      </c>
      <c r="E110" s="2" t="s">
        <v>839</v>
      </c>
      <c r="F110" s="2"/>
      <c r="G110" s="2"/>
      <c r="H110" s="2" t="s">
        <v>841</v>
      </c>
      <c r="I110" s="5" t="s">
        <v>842</v>
      </c>
      <c r="J110" s="2" t="s">
        <v>6633</v>
      </c>
      <c r="K110" s="2" t="s">
        <v>840</v>
      </c>
      <c r="L110" s="5" t="n">
        <v>3600</v>
      </c>
    </row>
    <row r="111" customFormat="false" ht="23.85" hidden="false" customHeight="false" outlineLevel="0" collapsed="false">
      <c r="A111" s="5" t="s">
        <v>846</v>
      </c>
      <c r="B111" s="2" t="s">
        <v>847</v>
      </c>
      <c r="C111" s="5" t="s">
        <v>488</v>
      </c>
      <c r="D111" s="5" t="s">
        <v>848</v>
      </c>
      <c r="E111" s="2" t="s">
        <v>839</v>
      </c>
      <c r="F111" s="2"/>
      <c r="G111" s="2"/>
      <c r="H111" s="2" t="s">
        <v>849</v>
      </c>
      <c r="I111" s="5" t="s">
        <v>850</v>
      </c>
      <c r="J111" s="2" t="s">
        <v>6633</v>
      </c>
      <c r="K111" s="2" t="s">
        <v>848</v>
      </c>
      <c r="L111" s="5" t="n">
        <v>3600</v>
      </c>
    </row>
    <row r="112" customFormat="false" ht="23.85" hidden="false" customHeight="false" outlineLevel="0" collapsed="false">
      <c r="A112" s="5" t="s">
        <v>853</v>
      </c>
      <c r="B112" s="2" t="s">
        <v>854</v>
      </c>
      <c r="C112" s="5" t="s">
        <v>488</v>
      </c>
      <c r="D112" s="5" t="s">
        <v>6634</v>
      </c>
      <c r="E112" s="2" t="s">
        <v>839</v>
      </c>
      <c r="F112" s="2"/>
      <c r="G112" s="2" t="s">
        <v>6635</v>
      </c>
      <c r="H112" s="2" t="s">
        <v>515</v>
      </c>
      <c r="I112" s="5" t="s">
        <v>822</v>
      </c>
      <c r="J112" s="2" t="s">
        <v>6636</v>
      </c>
      <c r="K112" s="2" t="s">
        <v>856</v>
      </c>
      <c r="L112" s="5" t="n">
        <v>600</v>
      </c>
    </row>
    <row r="113" customFormat="false" ht="23.85" hidden="false" customHeight="false" outlineLevel="0" collapsed="false">
      <c r="A113" s="5" t="s">
        <v>853</v>
      </c>
      <c r="B113" s="2" t="s">
        <v>854</v>
      </c>
      <c r="C113" s="5" t="s">
        <v>488</v>
      </c>
      <c r="D113" s="5" t="s">
        <v>6637</v>
      </c>
      <c r="E113" s="2" t="s">
        <v>6617</v>
      </c>
      <c r="F113" s="2"/>
      <c r="G113" s="2" t="s">
        <v>6635</v>
      </c>
      <c r="H113" s="2" t="s">
        <v>515</v>
      </c>
      <c r="I113" s="5" t="s">
        <v>496</v>
      </c>
      <c r="J113" s="2" t="s">
        <v>6638</v>
      </c>
      <c r="K113" s="2" t="s">
        <v>856</v>
      </c>
      <c r="L113" s="5" t="n">
        <v>600</v>
      </c>
    </row>
    <row r="114" customFormat="false" ht="23.85" hidden="false" customHeight="false" outlineLevel="0" collapsed="false">
      <c r="A114" s="5" t="s">
        <v>863</v>
      </c>
      <c r="B114" s="2" t="s">
        <v>864</v>
      </c>
      <c r="C114" s="5" t="s">
        <v>488</v>
      </c>
      <c r="D114" s="5" t="s">
        <v>866</v>
      </c>
      <c r="E114" s="2" t="s">
        <v>865</v>
      </c>
      <c r="F114" s="2"/>
      <c r="G114" s="2"/>
      <c r="H114" s="2" t="s">
        <v>515</v>
      </c>
      <c r="I114" s="5" t="s">
        <v>822</v>
      </c>
      <c r="J114" s="2" t="s">
        <v>6639</v>
      </c>
      <c r="K114" s="2" t="s">
        <v>866</v>
      </c>
      <c r="L114" s="5" t="n">
        <v>600</v>
      </c>
    </row>
    <row r="115" customFormat="false" ht="23.85" hidden="false" customHeight="false" outlineLevel="0" collapsed="false">
      <c r="A115" s="5" t="s">
        <v>870</v>
      </c>
      <c r="B115" s="2" t="s">
        <v>871</v>
      </c>
      <c r="C115" s="5" t="s">
        <v>488</v>
      </c>
      <c r="D115" s="5" t="s">
        <v>873</v>
      </c>
      <c r="E115" s="2" t="s">
        <v>872</v>
      </c>
      <c r="F115" s="2"/>
      <c r="G115" s="2" t="s">
        <v>874</v>
      </c>
      <c r="H115" s="2" t="s">
        <v>515</v>
      </c>
      <c r="I115" s="5" t="s">
        <v>822</v>
      </c>
      <c r="J115" s="2" t="s">
        <v>6640</v>
      </c>
      <c r="K115" s="2" t="s">
        <v>873</v>
      </c>
      <c r="L115" s="5" t="n">
        <v>900</v>
      </c>
    </row>
    <row r="116" customFormat="false" ht="23.85" hidden="false" customHeight="false" outlineLevel="0" collapsed="false">
      <c r="A116" s="5" t="s">
        <v>878</v>
      </c>
      <c r="B116" s="2" t="s">
        <v>879</v>
      </c>
      <c r="C116" s="5" t="s">
        <v>488</v>
      </c>
      <c r="D116" s="5" t="s">
        <v>882</v>
      </c>
      <c r="E116" s="2" t="s">
        <v>881</v>
      </c>
      <c r="F116" s="2"/>
      <c r="G116" s="2"/>
      <c r="H116" s="2" t="s">
        <v>883</v>
      </c>
      <c r="I116" s="5" t="s">
        <v>822</v>
      </c>
      <c r="J116" s="2" t="s">
        <v>6641</v>
      </c>
      <c r="K116" s="2" t="s">
        <v>882</v>
      </c>
      <c r="L116" s="5" t="n">
        <v>600</v>
      </c>
    </row>
    <row r="117" customFormat="false" ht="35.05" hidden="false" customHeight="false" outlineLevel="0" collapsed="false">
      <c r="A117" s="5" t="s">
        <v>887</v>
      </c>
      <c r="B117" s="2" t="s">
        <v>888</v>
      </c>
      <c r="C117" s="5" t="s">
        <v>488</v>
      </c>
      <c r="D117" s="5" t="s">
        <v>890</v>
      </c>
      <c r="E117" s="2" t="s">
        <v>6642</v>
      </c>
      <c r="F117" s="2"/>
      <c r="G117" s="2" t="s">
        <v>891</v>
      </c>
      <c r="H117" s="2" t="s">
        <v>892</v>
      </c>
      <c r="I117" s="5" t="s">
        <v>681</v>
      </c>
      <c r="J117" s="2" t="s">
        <v>6643</v>
      </c>
      <c r="K117" s="2" t="s">
        <v>890</v>
      </c>
      <c r="L117" s="5" t="n">
        <v>600</v>
      </c>
    </row>
    <row r="118" customFormat="false" ht="15" hidden="false" customHeight="false" outlineLevel="0" collapsed="false">
      <c r="A118" s="5" t="s">
        <v>896</v>
      </c>
      <c r="B118" s="2" t="s">
        <v>897</v>
      </c>
      <c r="C118" s="5" t="s">
        <v>488</v>
      </c>
      <c r="D118" s="5" t="s">
        <v>900</v>
      </c>
      <c r="E118" s="2" t="s">
        <v>899</v>
      </c>
      <c r="F118" s="2"/>
      <c r="G118" s="2"/>
      <c r="H118" s="2" t="s">
        <v>901</v>
      </c>
      <c r="I118" s="5" t="s">
        <v>74</v>
      </c>
      <c r="J118" s="2" t="s">
        <v>6644</v>
      </c>
      <c r="K118" s="2" t="s">
        <v>900</v>
      </c>
      <c r="L118" s="5" t="n">
        <v>120</v>
      </c>
    </row>
    <row r="119" customFormat="false" ht="15" hidden="false" customHeight="false" outlineLevel="0" collapsed="false">
      <c r="A119" s="5" t="s">
        <v>905</v>
      </c>
      <c r="B119" s="2" t="s">
        <v>906</v>
      </c>
      <c r="C119" s="5" t="s">
        <v>488</v>
      </c>
      <c r="D119" s="5" t="s">
        <v>908</v>
      </c>
      <c r="E119" s="2" t="s">
        <v>907</v>
      </c>
      <c r="F119" s="2"/>
      <c r="G119" s="2"/>
      <c r="H119" s="2" t="s">
        <v>909</v>
      </c>
      <c r="I119" s="5" t="s">
        <v>74</v>
      </c>
      <c r="J119" s="2" t="s">
        <v>6645</v>
      </c>
      <c r="K119" s="2" t="s">
        <v>908</v>
      </c>
      <c r="L119" s="5" t="n">
        <v>120</v>
      </c>
    </row>
    <row r="120" customFormat="false" ht="35.05" hidden="false" customHeight="false" outlineLevel="0" collapsed="false">
      <c r="A120" s="5" t="s">
        <v>913</v>
      </c>
      <c r="B120" s="2" t="s">
        <v>914</v>
      </c>
      <c r="C120" s="5" t="s">
        <v>488</v>
      </c>
      <c r="D120" s="5" t="s">
        <v>918</v>
      </c>
      <c r="E120" s="2" t="s">
        <v>6646</v>
      </c>
      <c r="F120" s="2"/>
      <c r="G120" s="2"/>
      <c r="H120" s="2" t="s">
        <v>849</v>
      </c>
      <c r="I120" s="5" t="s">
        <v>530</v>
      </c>
      <c r="J120" s="2" t="s">
        <v>6647</v>
      </c>
      <c r="K120" s="2" t="s">
        <v>918</v>
      </c>
      <c r="L120" s="5" t="n">
        <v>900</v>
      </c>
    </row>
    <row r="121" customFormat="false" ht="35.05" hidden="false" customHeight="false" outlineLevel="0" collapsed="false">
      <c r="A121" s="5" t="s">
        <v>922</v>
      </c>
      <c r="B121" s="2" t="s">
        <v>923</v>
      </c>
      <c r="C121" s="5" t="s">
        <v>488</v>
      </c>
      <c r="D121" s="5" t="s">
        <v>918</v>
      </c>
      <c r="E121" s="2" t="s">
        <v>6646</v>
      </c>
      <c r="F121" s="2"/>
      <c r="G121" s="2"/>
      <c r="H121" s="2" t="s">
        <v>641</v>
      </c>
      <c r="I121" s="5" t="s">
        <v>924</v>
      </c>
      <c r="J121" s="2" t="s">
        <v>6647</v>
      </c>
      <c r="K121" s="2" t="s">
        <v>918</v>
      </c>
      <c r="L121" s="5" t="n">
        <v>900</v>
      </c>
    </row>
    <row r="122" customFormat="false" ht="15" hidden="false" customHeight="false" outlineLevel="0" collapsed="false">
      <c r="A122" s="5" t="s">
        <v>927</v>
      </c>
      <c r="B122" s="2" t="s">
        <v>928</v>
      </c>
      <c r="C122" s="5" t="s">
        <v>488</v>
      </c>
      <c r="D122" s="5" t="s">
        <v>918</v>
      </c>
      <c r="E122" s="2" t="s">
        <v>929</v>
      </c>
      <c r="F122" s="2"/>
      <c r="G122" s="2"/>
      <c r="H122" s="2" t="s">
        <v>849</v>
      </c>
      <c r="I122" s="5" t="s">
        <v>74</v>
      </c>
      <c r="J122" s="2" t="s">
        <v>6648</v>
      </c>
      <c r="K122" s="2" t="s">
        <v>918</v>
      </c>
      <c r="L122" s="5" t="n">
        <v>300</v>
      </c>
    </row>
    <row r="123" customFormat="false" ht="23.85" hidden="false" customHeight="false" outlineLevel="0" collapsed="false">
      <c r="A123" s="5" t="s">
        <v>932</v>
      </c>
      <c r="B123" s="2" t="s">
        <v>933</v>
      </c>
      <c r="C123" s="5" t="s">
        <v>488</v>
      </c>
      <c r="D123" s="5" t="s">
        <v>935</v>
      </c>
      <c r="E123" s="2" t="s">
        <v>934</v>
      </c>
      <c r="F123" s="2"/>
      <c r="G123" s="2" t="s">
        <v>936</v>
      </c>
      <c r="H123" s="2" t="s">
        <v>937</v>
      </c>
      <c r="I123" s="5" t="s">
        <v>74</v>
      </c>
      <c r="J123" s="2" t="s">
        <v>6649</v>
      </c>
      <c r="K123" s="2" t="s">
        <v>935</v>
      </c>
      <c r="L123" s="5" t="n">
        <v>300</v>
      </c>
    </row>
    <row r="124" customFormat="false" ht="23.85" hidden="false" customHeight="false" outlineLevel="0" collapsed="false">
      <c r="A124" s="5" t="s">
        <v>940</v>
      </c>
      <c r="B124" s="2" t="s">
        <v>941</v>
      </c>
      <c r="C124" s="5" t="s">
        <v>488</v>
      </c>
      <c r="D124" s="5" t="s">
        <v>71</v>
      </c>
      <c r="E124" s="2" t="s">
        <v>753</v>
      </c>
      <c r="F124" s="2"/>
      <c r="G124" s="2" t="s">
        <v>943</v>
      </c>
      <c r="H124" s="2" t="s">
        <v>755</v>
      </c>
      <c r="I124" s="5" t="s">
        <v>74</v>
      </c>
      <c r="J124" s="2" t="s">
        <v>6650</v>
      </c>
      <c r="K124" s="2" t="s">
        <v>71</v>
      </c>
      <c r="L124" s="5" t="n">
        <v>300</v>
      </c>
    </row>
    <row r="125" customFormat="false" ht="23.85" hidden="false" customHeight="false" outlineLevel="0" collapsed="false">
      <c r="A125" s="5" t="s">
        <v>946</v>
      </c>
      <c r="B125" s="2" t="s">
        <v>947</v>
      </c>
      <c r="C125" s="5" t="s">
        <v>488</v>
      </c>
      <c r="D125" s="5" t="s">
        <v>71</v>
      </c>
      <c r="E125" s="2" t="s">
        <v>949</v>
      </c>
      <c r="F125" s="2"/>
      <c r="G125" s="2"/>
      <c r="H125" s="2" t="s">
        <v>641</v>
      </c>
      <c r="I125" s="5" t="s">
        <v>74</v>
      </c>
      <c r="J125" s="2" t="s">
        <v>6651</v>
      </c>
      <c r="K125" s="2" t="s">
        <v>71</v>
      </c>
      <c r="L125" s="5" t="n">
        <v>300</v>
      </c>
    </row>
    <row r="126" customFormat="false" ht="35.05" hidden="false" customHeight="false" outlineLevel="0" collapsed="false">
      <c r="A126" s="5" t="s">
        <v>953</v>
      </c>
      <c r="B126" s="2" t="s">
        <v>954</v>
      </c>
      <c r="C126" s="5" t="s">
        <v>488</v>
      </c>
      <c r="D126" s="5" t="s">
        <v>958</v>
      </c>
      <c r="E126" s="2" t="s">
        <v>957</v>
      </c>
      <c r="F126" s="2"/>
      <c r="G126" s="2" t="s">
        <v>959</v>
      </c>
      <c r="H126" s="2" t="s">
        <v>960</v>
      </c>
      <c r="I126" s="5" t="s">
        <v>496</v>
      </c>
      <c r="J126" s="2" t="s">
        <v>6652</v>
      </c>
      <c r="K126" s="2" t="s">
        <v>958</v>
      </c>
      <c r="L126" s="5" t="n">
        <v>300</v>
      </c>
    </row>
    <row r="127" customFormat="false" ht="35.05" hidden="false" customHeight="false" outlineLevel="0" collapsed="false">
      <c r="A127" s="5" t="s">
        <v>964</v>
      </c>
      <c r="B127" s="2" t="s">
        <v>965</v>
      </c>
      <c r="C127" s="5" t="s">
        <v>488</v>
      </c>
      <c r="D127" s="5" t="s">
        <v>968</v>
      </c>
      <c r="E127" s="2" t="s">
        <v>967</v>
      </c>
      <c r="F127" s="2"/>
      <c r="G127" s="2"/>
      <c r="H127" s="2" t="s">
        <v>969</v>
      </c>
      <c r="I127" s="5" t="s">
        <v>681</v>
      </c>
      <c r="J127" s="2" t="s">
        <v>6653</v>
      </c>
      <c r="K127" s="2" t="s">
        <v>968</v>
      </c>
      <c r="L127" s="5" t="n">
        <v>86400</v>
      </c>
    </row>
    <row r="128" customFormat="false" ht="35.05" hidden="false" customHeight="false" outlineLevel="0" collapsed="false">
      <c r="A128" s="5" t="s">
        <v>973</v>
      </c>
      <c r="B128" s="2" t="s">
        <v>974</v>
      </c>
      <c r="C128" s="5" t="s">
        <v>488</v>
      </c>
      <c r="D128" s="5" t="s">
        <v>6654</v>
      </c>
      <c r="E128" s="2" t="s">
        <v>975</v>
      </c>
      <c r="F128" s="2"/>
      <c r="G128" s="2"/>
      <c r="H128" s="2" t="s">
        <v>1006</v>
      </c>
      <c r="I128" s="5" t="s">
        <v>681</v>
      </c>
      <c r="J128" s="2" t="s">
        <v>6655</v>
      </c>
      <c r="K128" s="2" t="s">
        <v>976</v>
      </c>
      <c r="L128" s="5" t="n">
        <v>86400</v>
      </c>
    </row>
    <row r="129" customFormat="false" ht="23.85" hidden="false" customHeight="false" outlineLevel="0" collapsed="false">
      <c r="A129" s="5" t="s">
        <v>973</v>
      </c>
      <c r="B129" s="2" t="s">
        <v>974</v>
      </c>
      <c r="C129" s="5" t="s">
        <v>488</v>
      </c>
      <c r="D129" s="5" t="s">
        <v>6656</v>
      </c>
      <c r="E129" s="2" t="s">
        <v>975</v>
      </c>
      <c r="F129" s="2"/>
      <c r="G129" s="2"/>
      <c r="H129" s="2" t="s">
        <v>6657</v>
      </c>
      <c r="I129" s="5" t="s">
        <v>681</v>
      </c>
      <c r="J129" s="2" t="s">
        <v>6655</v>
      </c>
      <c r="K129" s="2" t="s">
        <v>976</v>
      </c>
      <c r="L129" s="5" t="n">
        <v>86400</v>
      </c>
    </row>
    <row r="130" customFormat="false" ht="35.05" hidden="false" customHeight="false" outlineLevel="0" collapsed="false">
      <c r="A130" s="5" t="s">
        <v>984</v>
      </c>
      <c r="B130" s="2" t="s">
        <v>985</v>
      </c>
      <c r="C130" s="5" t="s">
        <v>488</v>
      </c>
      <c r="D130" s="5" t="s">
        <v>987</v>
      </c>
      <c r="E130" s="2" t="s">
        <v>986</v>
      </c>
      <c r="F130" s="2"/>
      <c r="G130" s="2"/>
      <c r="H130" s="2" t="s">
        <v>969</v>
      </c>
      <c r="I130" s="5" t="s">
        <v>681</v>
      </c>
      <c r="J130" s="2" t="s">
        <v>6658</v>
      </c>
      <c r="K130" s="2" t="s">
        <v>987</v>
      </c>
      <c r="L130" s="5" t="n">
        <v>86400</v>
      </c>
    </row>
    <row r="131" customFormat="false" ht="46.25" hidden="false" customHeight="false" outlineLevel="0" collapsed="false">
      <c r="A131" s="5" t="s">
        <v>991</v>
      </c>
      <c r="B131" s="2" t="s">
        <v>992</v>
      </c>
      <c r="C131" s="5" t="s">
        <v>488</v>
      </c>
      <c r="D131" s="5" t="s">
        <v>6659</v>
      </c>
      <c r="E131" s="2" t="s">
        <v>994</v>
      </c>
      <c r="F131" s="2"/>
      <c r="G131" s="2" t="s">
        <v>6628</v>
      </c>
      <c r="H131" s="2" t="s">
        <v>1006</v>
      </c>
      <c r="I131" s="5" t="s">
        <v>681</v>
      </c>
      <c r="J131" s="2" t="s">
        <v>6660</v>
      </c>
      <c r="K131" s="2" t="s">
        <v>995</v>
      </c>
      <c r="L131" s="5" t="n">
        <v>86400</v>
      </c>
    </row>
    <row r="132" customFormat="false" ht="46.25" hidden="false" customHeight="false" outlineLevel="0" collapsed="false">
      <c r="A132" s="5" t="s">
        <v>991</v>
      </c>
      <c r="B132" s="2" t="s">
        <v>992</v>
      </c>
      <c r="C132" s="5" t="s">
        <v>488</v>
      </c>
      <c r="D132" s="5" t="s">
        <v>6661</v>
      </c>
      <c r="E132" s="2" t="s">
        <v>994</v>
      </c>
      <c r="F132" s="2"/>
      <c r="G132" s="2" t="s">
        <v>6631</v>
      </c>
      <c r="H132" s="2" t="s">
        <v>6662</v>
      </c>
      <c r="I132" s="5" t="s">
        <v>681</v>
      </c>
      <c r="J132" s="2" t="s">
        <v>6663</v>
      </c>
      <c r="K132" s="2" t="s">
        <v>995</v>
      </c>
      <c r="L132" s="5" t="n">
        <v>86400</v>
      </c>
    </row>
    <row r="133" customFormat="false" ht="35.05" hidden="false" customHeight="false" outlineLevel="0" collapsed="false">
      <c r="A133" s="5" t="s">
        <v>1002</v>
      </c>
      <c r="B133" s="2" t="s">
        <v>1003</v>
      </c>
      <c r="C133" s="5" t="s">
        <v>488</v>
      </c>
      <c r="D133" s="5" t="s">
        <v>1005</v>
      </c>
      <c r="E133" s="2" t="s">
        <v>1004</v>
      </c>
      <c r="F133" s="2"/>
      <c r="G133" s="2"/>
      <c r="H133" s="2" t="s">
        <v>1006</v>
      </c>
      <c r="I133" s="5" t="s">
        <v>681</v>
      </c>
      <c r="J133" s="2" t="s">
        <v>6664</v>
      </c>
      <c r="K133" s="2" t="s">
        <v>1005</v>
      </c>
      <c r="L133" s="5" t="n">
        <v>86400</v>
      </c>
    </row>
    <row r="134" customFormat="false" ht="35.05" hidden="false" customHeight="false" outlineLevel="0" collapsed="false">
      <c r="A134" s="5" t="s">
        <v>1010</v>
      </c>
      <c r="B134" s="2" t="s">
        <v>1011</v>
      </c>
      <c r="C134" s="5" t="s">
        <v>488</v>
      </c>
      <c r="D134" s="5" t="s">
        <v>1014</v>
      </c>
      <c r="E134" s="2" t="s">
        <v>1013</v>
      </c>
      <c r="F134" s="2"/>
      <c r="G134" s="2"/>
      <c r="H134" s="2" t="s">
        <v>1006</v>
      </c>
      <c r="I134" s="5" t="s">
        <v>681</v>
      </c>
      <c r="J134" s="2" t="s">
        <v>6665</v>
      </c>
      <c r="K134" s="2" t="s">
        <v>1014</v>
      </c>
      <c r="L134" s="5" t="n">
        <v>86400</v>
      </c>
    </row>
    <row r="135" customFormat="false" ht="35.05" hidden="false" customHeight="false" outlineLevel="0" collapsed="false">
      <c r="A135" s="5" t="s">
        <v>1018</v>
      </c>
      <c r="B135" s="2" t="s">
        <v>1019</v>
      </c>
      <c r="C135" s="5" t="s">
        <v>488</v>
      </c>
      <c r="D135" s="5" t="s">
        <v>873</v>
      </c>
      <c r="E135" s="2" t="s">
        <v>994</v>
      </c>
      <c r="F135" s="2"/>
      <c r="G135" s="2"/>
      <c r="H135" s="2" t="s">
        <v>1006</v>
      </c>
      <c r="I135" s="5" t="s">
        <v>681</v>
      </c>
      <c r="J135" s="2" t="s">
        <v>6666</v>
      </c>
      <c r="K135" s="2" t="s">
        <v>873</v>
      </c>
      <c r="L135" s="5" t="n">
        <v>86400</v>
      </c>
    </row>
    <row r="136" customFormat="false" ht="23.85" hidden="false" customHeight="false" outlineLevel="0" collapsed="false">
      <c r="A136" s="5" t="s">
        <v>1022</v>
      </c>
      <c r="B136" s="2" t="s">
        <v>1023</v>
      </c>
      <c r="C136" s="5" t="s">
        <v>488</v>
      </c>
      <c r="D136" s="5" t="s">
        <v>1025</v>
      </c>
      <c r="E136" s="2" t="s">
        <v>1024</v>
      </c>
      <c r="F136" s="2"/>
      <c r="G136" s="2"/>
      <c r="H136" s="2" t="s">
        <v>1026</v>
      </c>
      <c r="I136" s="5" t="s">
        <v>681</v>
      </c>
      <c r="J136" s="2" t="s">
        <v>6667</v>
      </c>
      <c r="K136" s="2" t="s">
        <v>1025</v>
      </c>
      <c r="L136" s="5" t="n">
        <v>86400</v>
      </c>
    </row>
    <row r="137" customFormat="false" ht="35.05" hidden="false" customHeight="false" outlineLevel="0" collapsed="false">
      <c r="A137" s="5" t="s">
        <v>1030</v>
      </c>
      <c r="B137" s="2" t="s">
        <v>1031</v>
      </c>
      <c r="C137" s="5" t="s">
        <v>488</v>
      </c>
      <c r="D137" s="5" t="s">
        <v>958</v>
      </c>
      <c r="E137" s="2" t="s">
        <v>1033</v>
      </c>
      <c r="F137" s="2"/>
      <c r="G137" s="2" t="s">
        <v>959</v>
      </c>
      <c r="H137" s="2" t="s">
        <v>960</v>
      </c>
      <c r="I137" s="5" t="s">
        <v>496</v>
      </c>
      <c r="J137" s="2" t="s">
        <v>6668</v>
      </c>
      <c r="K137" s="2" t="s">
        <v>958</v>
      </c>
      <c r="L137" s="5" t="n">
        <v>300</v>
      </c>
    </row>
    <row r="138" customFormat="false" ht="57.45" hidden="false" customHeight="false" outlineLevel="0" collapsed="false">
      <c r="A138" s="5" t="s">
        <v>1037</v>
      </c>
      <c r="B138" s="2" t="s">
        <v>1038</v>
      </c>
      <c r="C138" s="5" t="s">
        <v>488</v>
      </c>
      <c r="D138" s="5" t="s">
        <v>1042</v>
      </c>
      <c r="E138" s="2" t="s">
        <v>1041</v>
      </c>
      <c r="F138" s="2"/>
      <c r="G138" s="2"/>
      <c r="H138" s="2" t="s">
        <v>1043</v>
      </c>
      <c r="I138" s="5" t="s">
        <v>1044</v>
      </c>
      <c r="J138" s="2" t="s">
        <v>6669</v>
      </c>
      <c r="K138" s="2" t="s">
        <v>1042</v>
      </c>
      <c r="L138" s="5" t="n">
        <v>3600</v>
      </c>
    </row>
    <row r="139" customFormat="false" ht="124.6" hidden="false" customHeight="false" outlineLevel="0" collapsed="false">
      <c r="A139" s="5" t="s">
        <v>1048</v>
      </c>
      <c r="B139" s="2" t="s">
        <v>1049</v>
      </c>
      <c r="C139" s="5" t="s">
        <v>488</v>
      </c>
      <c r="D139" s="5" t="s">
        <v>6570</v>
      </c>
      <c r="E139" s="2" t="s">
        <v>6670</v>
      </c>
      <c r="F139" s="2"/>
      <c r="G139" s="2"/>
      <c r="H139" s="2" t="s">
        <v>6671</v>
      </c>
      <c r="I139" s="5" t="s">
        <v>496</v>
      </c>
      <c r="J139" s="2" t="s">
        <v>6672</v>
      </c>
      <c r="K139" s="2" t="s">
        <v>1051</v>
      </c>
      <c r="L139" s="5" t="n">
        <v>7200</v>
      </c>
    </row>
    <row r="140" customFormat="false" ht="68.65" hidden="false" customHeight="false" outlineLevel="0" collapsed="false">
      <c r="A140" s="5" t="s">
        <v>1048</v>
      </c>
      <c r="B140" s="2" t="s">
        <v>1049</v>
      </c>
      <c r="C140" s="5" t="s">
        <v>488</v>
      </c>
      <c r="D140" s="5" t="s">
        <v>6578</v>
      </c>
      <c r="E140" s="2" t="s">
        <v>6673</v>
      </c>
      <c r="F140" s="2"/>
      <c r="G140" s="2"/>
      <c r="H140" s="2" t="s">
        <v>515</v>
      </c>
      <c r="I140" s="5" t="s">
        <v>496</v>
      </c>
      <c r="J140" s="2" t="s">
        <v>6674</v>
      </c>
      <c r="K140" s="2" t="s">
        <v>1051</v>
      </c>
      <c r="L140" s="5" t="n">
        <v>7200</v>
      </c>
    </row>
    <row r="141" customFormat="false" ht="15" hidden="false" customHeight="false" outlineLevel="0" collapsed="false">
      <c r="A141" s="5" t="s">
        <v>1059</v>
      </c>
      <c r="B141" s="2" t="s">
        <v>1060</v>
      </c>
      <c r="C141" s="5" t="s">
        <v>488</v>
      </c>
      <c r="D141" s="5" t="s">
        <v>71</v>
      </c>
      <c r="E141" s="2" t="s">
        <v>1061</v>
      </c>
      <c r="F141" s="2"/>
      <c r="G141" s="2"/>
      <c r="H141" s="2" t="s">
        <v>641</v>
      </c>
      <c r="I141" s="5" t="s">
        <v>74</v>
      </c>
      <c r="J141" s="2" t="s">
        <v>6675</v>
      </c>
      <c r="K141" s="2" t="s">
        <v>71</v>
      </c>
      <c r="L141" s="5" t="n">
        <v>300</v>
      </c>
    </row>
    <row r="142" customFormat="false" ht="23.85" hidden="false" customHeight="false" outlineLevel="0" collapsed="false">
      <c r="A142" s="5" t="s">
        <v>1065</v>
      </c>
      <c r="B142" s="2" t="s">
        <v>1066</v>
      </c>
      <c r="C142" s="5" t="s">
        <v>488</v>
      </c>
      <c r="D142" s="5" t="s">
        <v>71</v>
      </c>
      <c r="E142" s="2" t="s">
        <v>1067</v>
      </c>
      <c r="F142" s="2"/>
      <c r="G142" s="2"/>
      <c r="H142" s="2" t="s">
        <v>641</v>
      </c>
      <c r="I142" s="5" t="s">
        <v>74</v>
      </c>
      <c r="J142" s="2" t="s">
        <v>6676</v>
      </c>
      <c r="K142" s="2" t="s">
        <v>71</v>
      </c>
      <c r="L142" s="5" t="n">
        <v>300</v>
      </c>
    </row>
    <row r="143" customFormat="false" ht="23.85" hidden="false" customHeight="false" outlineLevel="0" collapsed="false">
      <c r="A143" s="5" t="s">
        <v>1071</v>
      </c>
      <c r="B143" s="2" t="s">
        <v>1072</v>
      </c>
      <c r="C143" s="5" t="s">
        <v>488</v>
      </c>
      <c r="D143" s="5" t="s">
        <v>1075</v>
      </c>
      <c r="E143" s="2" t="s">
        <v>1074</v>
      </c>
      <c r="F143" s="2"/>
      <c r="G143" s="2"/>
      <c r="H143" s="2" t="s">
        <v>247</v>
      </c>
      <c r="I143" s="5" t="s">
        <v>74</v>
      </c>
      <c r="J143" s="2" t="s">
        <v>6677</v>
      </c>
      <c r="K143" s="2" t="s">
        <v>1075</v>
      </c>
      <c r="L143" s="5" t="n">
        <v>300</v>
      </c>
    </row>
    <row r="144" customFormat="false" ht="15" hidden="false" customHeight="false" outlineLevel="0" collapsed="false">
      <c r="A144" s="5" t="s">
        <v>1079</v>
      </c>
      <c r="B144" s="2" t="s">
        <v>1080</v>
      </c>
      <c r="C144" s="5" t="s">
        <v>488</v>
      </c>
      <c r="D144" s="5" t="s">
        <v>1075</v>
      </c>
      <c r="E144" s="2" t="s">
        <v>1081</v>
      </c>
      <c r="F144" s="2"/>
      <c r="G144" s="2"/>
      <c r="H144" s="2" t="s">
        <v>247</v>
      </c>
      <c r="I144" s="5" t="s">
        <v>74</v>
      </c>
      <c r="J144" s="2" t="s">
        <v>6678</v>
      </c>
      <c r="K144" s="2" t="s">
        <v>1075</v>
      </c>
      <c r="L144" s="5" t="n">
        <v>300</v>
      </c>
    </row>
    <row r="145" customFormat="false" ht="23.85" hidden="false" customHeight="false" outlineLevel="0" collapsed="false">
      <c r="A145" s="5" t="s">
        <v>1085</v>
      </c>
      <c r="B145" s="2" t="s">
        <v>1086</v>
      </c>
      <c r="C145" s="5" t="s">
        <v>488</v>
      </c>
      <c r="D145" s="5" t="s">
        <v>71</v>
      </c>
      <c r="E145" s="2" t="s">
        <v>1089</v>
      </c>
      <c r="F145" s="2"/>
      <c r="G145" s="2" t="s">
        <v>1090</v>
      </c>
      <c r="H145" s="2" t="s">
        <v>1091</v>
      </c>
      <c r="I145" s="5" t="s">
        <v>74</v>
      </c>
      <c r="J145" s="2" t="s">
        <v>6679</v>
      </c>
      <c r="K145" s="2" t="s">
        <v>71</v>
      </c>
      <c r="L145" s="5" t="n">
        <v>300</v>
      </c>
    </row>
    <row r="146" customFormat="false" ht="23.85" hidden="false" customHeight="false" outlineLevel="0" collapsed="false">
      <c r="A146" s="5" t="s">
        <v>1095</v>
      </c>
      <c r="B146" s="2" t="s">
        <v>1096</v>
      </c>
      <c r="C146" s="5" t="s">
        <v>488</v>
      </c>
      <c r="D146" s="5" t="s">
        <v>71</v>
      </c>
      <c r="E146" s="2" t="s">
        <v>1097</v>
      </c>
      <c r="F146" s="2"/>
      <c r="G146" s="2"/>
      <c r="H146" s="2" t="s">
        <v>1098</v>
      </c>
      <c r="I146" s="5" t="s">
        <v>74</v>
      </c>
      <c r="J146" s="2" t="s">
        <v>6680</v>
      </c>
      <c r="K146" s="2" t="s">
        <v>71</v>
      </c>
      <c r="L146" s="5" t="n">
        <v>300</v>
      </c>
    </row>
    <row r="147" customFormat="false" ht="46.25" hidden="false" customHeight="false" outlineLevel="0" collapsed="false">
      <c r="A147" s="5" t="s">
        <v>1102</v>
      </c>
      <c r="B147" s="2" t="s">
        <v>1103</v>
      </c>
      <c r="C147" s="5" t="s">
        <v>488</v>
      </c>
      <c r="D147" s="5" t="s">
        <v>71</v>
      </c>
      <c r="E147" s="2" t="s">
        <v>1105</v>
      </c>
      <c r="F147" s="2"/>
      <c r="G147" s="2" t="s">
        <v>1106</v>
      </c>
      <c r="H147" s="2" t="s">
        <v>1107</v>
      </c>
      <c r="I147" s="5" t="s">
        <v>74</v>
      </c>
      <c r="J147" s="2" t="s">
        <v>6681</v>
      </c>
      <c r="K147" s="2" t="s">
        <v>71</v>
      </c>
      <c r="L147" s="5" t="n">
        <v>300</v>
      </c>
    </row>
    <row r="148" customFormat="false" ht="46.25" hidden="false" customHeight="false" outlineLevel="0" collapsed="false">
      <c r="A148" s="5" t="s">
        <v>1111</v>
      </c>
      <c r="B148" s="2" t="s">
        <v>1112</v>
      </c>
      <c r="C148" s="5" t="s">
        <v>488</v>
      </c>
      <c r="D148" s="5" t="s">
        <v>71</v>
      </c>
      <c r="E148" s="2" t="s">
        <v>1114</v>
      </c>
      <c r="F148" s="2"/>
      <c r="G148" s="2" t="s">
        <v>1115</v>
      </c>
      <c r="H148" s="2" t="s">
        <v>1116</v>
      </c>
      <c r="I148" s="5" t="s">
        <v>74</v>
      </c>
      <c r="J148" s="2" t="s">
        <v>6682</v>
      </c>
      <c r="K148" s="2" t="s">
        <v>71</v>
      </c>
      <c r="L148" s="5" t="n">
        <v>300</v>
      </c>
    </row>
    <row r="149" customFormat="false" ht="46.25" hidden="false" customHeight="false" outlineLevel="0" collapsed="false">
      <c r="A149" s="5" t="s">
        <v>1121</v>
      </c>
      <c r="B149" s="2" t="s">
        <v>1122</v>
      </c>
      <c r="C149" s="5" t="s">
        <v>488</v>
      </c>
      <c r="D149" s="5" t="s">
        <v>71</v>
      </c>
      <c r="E149" s="2" t="s">
        <v>1123</v>
      </c>
      <c r="F149" s="2"/>
      <c r="G149" s="2" t="s">
        <v>1124</v>
      </c>
      <c r="H149" s="2" t="s">
        <v>1125</v>
      </c>
      <c r="I149" s="5" t="s">
        <v>74</v>
      </c>
      <c r="J149" s="2" t="s">
        <v>6683</v>
      </c>
      <c r="K149" s="2" t="s">
        <v>71</v>
      </c>
      <c r="L149" s="5" t="n">
        <v>300</v>
      </c>
    </row>
    <row r="150" customFormat="false" ht="23.85" hidden="false" customHeight="false" outlineLevel="0" collapsed="false">
      <c r="A150" s="5" t="s">
        <v>1130</v>
      </c>
      <c r="B150" s="2" t="s">
        <v>1131</v>
      </c>
      <c r="C150" s="5" t="s">
        <v>488</v>
      </c>
      <c r="D150" s="5" t="s">
        <v>71</v>
      </c>
      <c r="E150" s="2" t="s">
        <v>1132</v>
      </c>
      <c r="F150" s="2"/>
      <c r="G150" s="2"/>
      <c r="H150" s="2" t="s">
        <v>1098</v>
      </c>
      <c r="I150" s="5" t="s">
        <v>74</v>
      </c>
      <c r="J150" s="2" t="s">
        <v>6684</v>
      </c>
      <c r="K150" s="2" t="s">
        <v>71</v>
      </c>
      <c r="L150" s="5" t="n">
        <v>300</v>
      </c>
    </row>
    <row r="151" customFormat="false" ht="46.25" hidden="false" customHeight="false" outlineLevel="0" collapsed="false">
      <c r="A151" s="5" t="s">
        <v>1136</v>
      </c>
      <c r="B151" s="2" t="s">
        <v>1137</v>
      </c>
      <c r="C151" s="5" t="s">
        <v>488</v>
      </c>
      <c r="D151" s="5" t="s">
        <v>71</v>
      </c>
      <c r="E151" s="2" t="s">
        <v>1105</v>
      </c>
      <c r="F151" s="2"/>
      <c r="G151" s="2" t="s">
        <v>1138</v>
      </c>
      <c r="H151" s="2" t="s">
        <v>1139</v>
      </c>
      <c r="I151" s="5" t="s">
        <v>74</v>
      </c>
      <c r="J151" s="2" t="s">
        <v>6685</v>
      </c>
      <c r="K151" s="2" t="s">
        <v>71</v>
      </c>
      <c r="L151" s="5" t="n">
        <v>300</v>
      </c>
    </row>
    <row r="152" customFormat="false" ht="35.05" hidden="false" customHeight="false" outlineLevel="0" collapsed="false">
      <c r="A152" s="5" t="s">
        <v>1142</v>
      </c>
      <c r="B152" s="2" t="s">
        <v>1143</v>
      </c>
      <c r="C152" s="5" t="s">
        <v>488</v>
      </c>
      <c r="D152" s="5" t="s">
        <v>71</v>
      </c>
      <c r="E152" s="2" t="s">
        <v>6686</v>
      </c>
      <c r="F152" s="2"/>
      <c r="G152" s="2" t="s">
        <v>1147</v>
      </c>
      <c r="H152" s="2" t="s">
        <v>1148</v>
      </c>
      <c r="I152" s="5" t="s">
        <v>74</v>
      </c>
      <c r="J152" s="2" t="s">
        <v>6687</v>
      </c>
      <c r="K152" s="2" t="s">
        <v>71</v>
      </c>
      <c r="L152" s="5" t="n">
        <v>300</v>
      </c>
    </row>
    <row r="153" customFormat="false" ht="57.45" hidden="false" customHeight="false" outlineLevel="0" collapsed="false">
      <c r="A153" s="5" t="s">
        <v>1152</v>
      </c>
      <c r="B153" s="2" t="s">
        <v>1153</v>
      </c>
      <c r="C153" s="5" t="s">
        <v>488</v>
      </c>
      <c r="D153" s="5" t="s">
        <v>71</v>
      </c>
      <c r="E153" s="2" t="s">
        <v>1105</v>
      </c>
      <c r="F153" s="2"/>
      <c r="G153" s="2" t="s">
        <v>1154</v>
      </c>
      <c r="H153" s="2" t="s">
        <v>1155</v>
      </c>
      <c r="I153" s="5" t="s">
        <v>74</v>
      </c>
      <c r="J153" s="2" t="s">
        <v>6688</v>
      </c>
      <c r="K153" s="2" t="s">
        <v>71</v>
      </c>
      <c r="L153" s="5" t="n">
        <v>300</v>
      </c>
    </row>
    <row r="154" customFormat="false" ht="57.45" hidden="false" customHeight="false" outlineLevel="0" collapsed="false">
      <c r="A154" s="5" t="s">
        <v>1158</v>
      </c>
      <c r="B154" s="2" t="s">
        <v>1159</v>
      </c>
      <c r="C154" s="5" t="s">
        <v>488</v>
      </c>
      <c r="D154" s="5" t="s">
        <v>71</v>
      </c>
      <c r="E154" s="2" t="s">
        <v>1160</v>
      </c>
      <c r="F154" s="2"/>
      <c r="G154" s="2" t="s">
        <v>1161</v>
      </c>
      <c r="H154" s="2" t="s">
        <v>1162</v>
      </c>
      <c r="I154" s="5" t="s">
        <v>74</v>
      </c>
      <c r="J154" s="2" t="s">
        <v>6689</v>
      </c>
      <c r="K154" s="2" t="s">
        <v>71</v>
      </c>
      <c r="L154" s="5" t="n">
        <v>300</v>
      </c>
    </row>
    <row r="155" customFormat="false" ht="15" hidden="false" customHeight="false" outlineLevel="0" collapsed="false">
      <c r="A155" s="5" t="s">
        <v>1166</v>
      </c>
      <c r="B155" s="2" t="s">
        <v>1167</v>
      </c>
      <c r="C155" s="5" t="s">
        <v>488</v>
      </c>
      <c r="D155" s="5" t="s">
        <v>71</v>
      </c>
      <c r="E155" s="2" t="s">
        <v>1105</v>
      </c>
      <c r="F155" s="2"/>
      <c r="G155" s="2" t="s">
        <v>1168</v>
      </c>
      <c r="H155" s="2" t="s">
        <v>1169</v>
      </c>
      <c r="I155" s="5" t="s">
        <v>74</v>
      </c>
      <c r="J155" s="2" t="s">
        <v>6690</v>
      </c>
      <c r="K155" s="2" t="s">
        <v>71</v>
      </c>
      <c r="L155" s="5" t="n">
        <v>300</v>
      </c>
    </row>
    <row r="156" customFormat="false" ht="23.85" hidden="false" customHeight="false" outlineLevel="0" collapsed="false">
      <c r="A156" s="5" t="s">
        <v>1172</v>
      </c>
      <c r="B156" s="2" t="s">
        <v>1173</v>
      </c>
      <c r="C156" s="5" t="s">
        <v>488</v>
      </c>
      <c r="D156" s="5" t="s">
        <v>71</v>
      </c>
      <c r="E156" s="2" t="s">
        <v>1105</v>
      </c>
      <c r="F156" s="2"/>
      <c r="G156" s="2" t="s">
        <v>1175</v>
      </c>
      <c r="H156" s="2" t="s">
        <v>1176</v>
      </c>
      <c r="I156" s="5" t="s">
        <v>74</v>
      </c>
      <c r="J156" s="2" t="s">
        <v>6691</v>
      </c>
      <c r="K156" s="2" t="s">
        <v>71</v>
      </c>
      <c r="L156" s="5" t="n">
        <v>300</v>
      </c>
    </row>
    <row r="157" customFormat="false" ht="79.85" hidden="false" customHeight="false" outlineLevel="0" collapsed="false">
      <c r="A157" s="5" t="s">
        <v>1179</v>
      </c>
      <c r="B157" s="2" t="s">
        <v>1180</v>
      </c>
      <c r="C157" s="5" t="s">
        <v>488</v>
      </c>
      <c r="D157" s="5" t="s">
        <v>71</v>
      </c>
      <c r="E157" s="2" t="s">
        <v>1105</v>
      </c>
      <c r="F157" s="2"/>
      <c r="G157" s="2" t="s">
        <v>1181</v>
      </c>
      <c r="H157" s="2" t="s">
        <v>1176</v>
      </c>
      <c r="I157" s="5" t="s">
        <v>74</v>
      </c>
      <c r="J157" s="2" t="s">
        <v>6692</v>
      </c>
      <c r="K157" s="2" t="s">
        <v>71</v>
      </c>
      <c r="L157" s="5" t="n">
        <v>300</v>
      </c>
    </row>
    <row r="158" customFormat="false" ht="35.05" hidden="false" customHeight="false" outlineLevel="0" collapsed="false">
      <c r="A158" s="5" t="s">
        <v>1184</v>
      </c>
      <c r="B158" s="2" t="s">
        <v>1185</v>
      </c>
      <c r="C158" s="5" t="s">
        <v>488</v>
      </c>
      <c r="D158" s="5" t="s">
        <v>71</v>
      </c>
      <c r="E158" s="2" t="s">
        <v>1105</v>
      </c>
      <c r="F158" s="2"/>
      <c r="G158" s="2" t="s">
        <v>1186</v>
      </c>
      <c r="H158" s="2" t="s">
        <v>1176</v>
      </c>
      <c r="I158" s="5" t="s">
        <v>74</v>
      </c>
      <c r="J158" s="2" t="s">
        <v>6693</v>
      </c>
      <c r="K158" s="2" t="s">
        <v>71</v>
      </c>
      <c r="L158" s="5" t="n">
        <v>300</v>
      </c>
    </row>
    <row r="159" customFormat="false" ht="91" hidden="false" customHeight="false" outlineLevel="0" collapsed="false">
      <c r="A159" s="5" t="s">
        <v>1189</v>
      </c>
      <c r="B159" s="2" t="s">
        <v>1190</v>
      </c>
      <c r="C159" s="5" t="s">
        <v>488</v>
      </c>
      <c r="D159" s="5" t="s">
        <v>71</v>
      </c>
      <c r="E159" s="2" t="s">
        <v>1160</v>
      </c>
      <c r="F159" s="2"/>
      <c r="G159" s="2" t="s">
        <v>1192</v>
      </c>
      <c r="H159" s="2" t="s">
        <v>1193</v>
      </c>
      <c r="I159" s="5" t="s">
        <v>74</v>
      </c>
      <c r="J159" s="2" t="s">
        <v>6694</v>
      </c>
      <c r="K159" s="2" t="s">
        <v>71</v>
      </c>
      <c r="L159" s="5" t="n">
        <v>300</v>
      </c>
    </row>
    <row r="160" customFormat="false" ht="35.05" hidden="false" customHeight="false" outlineLevel="0" collapsed="false">
      <c r="A160" s="5" t="s">
        <v>1196</v>
      </c>
      <c r="B160" s="2" t="s">
        <v>1197</v>
      </c>
      <c r="C160" s="5" t="s">
        <v>488</v>
      </c>
      <c r="D160" s="5" t="s">
        <v>71</v>
      </c>
      <c r="E160" s="2" t="s">
        <v>1198</v>
      </c>
      <c r="F160" s="2"/>
      <c r="G160" s="2" t="s">
        <v>1199</v>
      </c>
      <c r="H160" s="2" t="s">
        <v>1200</v>
      </c>
      <c r="I160" s="5" t="s">
        <v>74</v>
      </c>
      <c r="J160" s="2" t="s">
        <v>6695</v>
      </c>
      <c r="K160" s="2" t="s">
        <v>71</v>
      </c>
      <c r="L160" s="5" t="n">
        <v>300</v>
      </c>
    </row>
    <row r="161" customFormat="false" ht="35.05" hidden="false" customHeight="false" outlineLevel="0" collapsed="false">
      <c r="A161" s="5" t="s">
        <v>1204</v>
      </c>
      <c r="B161" s="2" t="s">
        <v>1205</v>
      </c>
      <c r="C161" s="5" t="s">
        <v>488</v>
      </c>
      <c r="D161" s="5" t="s">
        <v>71</v>
      </c>
      <c r="E161" s="2" t="s">
        <v>416</v>
      </c>
      <c r="F161" s="2"/>
      <c r="G161" s="2" t="s">
        <v>1199</v>
      </c>
      <c r="H161" s="2" t="s">
        <v>1200</v>
      </c>
      <c r="I161" s="5" t="s">
        <v>74</v>
      </c>
      <c r="J161" s="2" t="s">
        <v>6696</v>
      </c>
      <c r="K161" s="2" t="s">
        <v>71</v>
      </c>
      <c r="L161" s="5" t="n">
        <v>300</v>
      </c>
    </row>
    <row r="162" customFormat="false" ht="135.8" hidden="false" customHeight="false" outlineLevel="0" collapsed="false">
      <c r="A162" s="5" t="s">
        <v>1208</v>
      </c>
      <c r="B162" s="2" t="s">
        <v>1209</v>
      </c>
      <c r="C162" s="5" t="s">
        <v>488</v>
      </c>
      <c r="D162" s="5" t="s">
        <v>71</v>
      </c>
      <c r="E162" s="2" t="s">
        <v>1212</v>
      </c>
      <c r="F162" s="2"/>
      <c r="G162" s="2" t="s">
        <v>1213</v>
      </c>
      <c r="H162" s="2" t="s">
        <v>1214</v>
      </c>
      <c r="I162" s="5" t="s">
        <v>74</v>
      </c>
      <c r="J162" s="2" t="s">
        <v>6697</v>
      </c>
      <c r="K162" s="2" t="s">
        <v>71</v>
      </c>
      <c r="L162" s="5" t="n">
        <v>300</v>
      </c>
    </row>
    <row r="163" customFormat="false" ht="57.45" hidden="false" customHeight="false" outlineLevel="0" collapsed="false">
      <c r="A163" s="5" t="s">
        <v>1218</v>
      </c>
      <c r="B163" s="2" t="s">
        <v>1219</v>
      </c>
      <c r="C163" s="5" t="s">
        <v>488</v>
      </c>
      <c r="D163" s="5" t="s">
        <v>71</v>
      </c>
      <c r="E163" s="2" t="s">
        <v>1221</v>
      </c>
      <c r="F163" s="2"/>
      <c r="G163" s="2" t="s">
        <v>1222</v>
      </c>
      <c r="H163" s="2" t="s">
        <v>1223</v>
      </c>
      <c r="I163" s="5" t="s">
        <v>74</v>
      </c>
      <c r="J163" s="2" t="s">
        <v>6698</v>
      </c>
      <c r="K163" s="2" t="s">
        <v>71</v>
      </c>
      <c r="L163" s="5" t="n">
        <v>300</v>
      </c>
    </row>
    <row r="164" customFormat="false" ht="23.85" hidden="false" customHeight="false" outlineLevel="0" collapsed="false">
      <c r="A164" s="5" t="s">
        <v>1228</v>
      </c>
      <c r="B164" s="2" t="s">
        <v>1229</v>
      </c>
      <c r="C164" s="5" t="s">
        <v>488</v>
      </c>
      <c r="D164" s="5" t="s">
        <v>71</v>
      </c>
      <c r="E164" s="2" t="s">
        <v>1105</v>
      </c>
      <c r="F164" s="2"/>
      <c r="G164" s="2" t="s">
        <v>1230</v>
      </c>
      <c r="H164" s="2" t="s">
        <v>1176</v>
      </c>
      <c r="I164" s="5" t="s">
        <v>74</v>
      </c>
      <c r="J164" s="2" t="s">
        <v>6699</v>
      </c>
      <c r="K164" s="2" t="s">
        <v>71</v>
      </c>
      <c r="L164" s="5" t="n">
        <v>300</v>
      </c>
    </row>
    <row r="165" customFormat="false" ht="23.85" hidden="false" customHeight="false" outlineLevel="0" collapsed="false">
      <c r="A165" s="5" t="s">
        <v>1233</v>
      </c>
      <c r="B165" s="2" t="s">
        <v>1234</v>
      </c>
      <c r="C165" s="5" t="s">
        <v>488</v>
      </c>
      <c r="D165" s="5" t="s">
        <v>71</v>
      </c>
      <c r="E165" s="2" t="s">
        <v>1114</v>
      </c>
      <c r="F165" s="2"/>
      <c r="G165" s="2" t="s">
        <v>1236</v>
      </c>
      <c r="H165" s="2" t="s">
        <v>1237</v>
      </c>
      <c r="I165" s="5" t="s">
        <v>74</v>
      </c>
      <c r="J165" s="2" t="s">
        <v>6700</v>
      </c>
      <c r="K165" s="2" t="s">
        <v>71</v>
      </c>
      <c r="L165" s="5" t="n">
        <v>300</v>
      </c>
    </row>
    <row r="166" customFormat="false" ht="23.85" hidden="false" customHeight="false" outlineLevel="0" collapsed="false">
      <c r="A166" s="5" t="s">
        <v>1240</v>
      </c>
      <c r="B166" s="2" t="s">
        <v>1241</v>
      </c>
      <c r="C166" s="5" t="s">
        <v>488</v>
      </c>
      <c r="D166" s="5" t="s">
        <v>71</v>
      </c>
      <c r="E166" s="2" t="s">
        <v>1242</v>
      </c>
      <c r="F166" s="2"/>
      <c r="G166" s="2"/>
      <c r="H166" s="2" t="s">
        <v>1098</v>
      </c>
      <c r="I166" s="5" t="s">
        <v>74</v>
      </c>
      <c r="J166" s="2" t="s">
        <v>6701</v>
      </c>
      <c r="K166" s="2" t="s">
        <v>71</v>
      </c>
      <c r="L166" s="5" t="n">
        <v>300</v>
      </c>
    </row>
    <row r="167" customFormat="false" ht="35.05" hidden="false" customHeight="false" outlineLevel="0" collapsed="false">
      <c r="A167" s="5" t="s">
        <v>1246</v>
      </c>
      <c r="B167" s="2" t="s">
        <v>1247</v>
      </c>
      <c r="C167" s="5" t="s">
        <v>488</v>
      </c>
      <c r="D167" s="5" t="s">
        <v>71</v>
      </c>
      <c r="E167" s="2" t="s">
        <v>1105</v>
      </c>
      <c r="F167" s="2"/>
      <c r="G167" s="2" t="s">
        <v>1249</v>
      </c>
      <c r="H167" s="2" t="s">
        <v>1139</v>
      </c>
      <c r="I167" s="5" t="s">
        <v>74</v>
      </c>
      <c r="J167" s="2" t="s">
        <v>6702</v>
      </c>
      <c r="K167" s="2" t="s">
        <v>71</v>
      </c>
      <c r="L167" s="5" t="n">
        <v>300</v>
      </c>
    </row>
    <row r="168" customFormat="false" ht="35.05" hidden="false" customHeight="false" outlineLevel="0" collapsed="false">
      <c r="A168" s="5" t="s">
        <v>1252</v>
      </c>
      <c r="B168" s="2" t="s">
        <v>1253</v>
      </c>
      <c r="C168" s="5" t="s">
        <v>488</v>
      </c>
      <c r="D168" s="5" t="s">
        <v>71</v>
      </c>
      <c r="E168" s="2" t="s">
        <v>1255</v>
      </c>
      <c r="F168" s="2"/>
      <c r="G168" s="2" t="s">
        <v>1256</v>
      </c>
      <c r="H168" s="2" t="s">
        <v>1257</v>
      </c>
      <c r="I168" s="5" t="s">
        <v>74</v>
      </c>
      <c r="J168" s="2" t="s">
        <v>6703</v>
      </c>
      <c r="K168" s="2" t="s">
        <v>71</v>
      </c>
      <c r="L168" s="5" t="n">
        <v>300</v>
      </c>
    </row>
    <row r="169" customFormat="false" ht="79.85" hidden="false" customHeight="false" outlineLevel="0" collapsed="false">
      <c r="A169" s="5" t="s">
        <v>1261</v>
      </c>
      <c r="B169" s="2" t="s">
        <v>1262</v>
      </c>
      <c r="C169" s="5" t="s">
        <v>488</v>
      </c>
      <c r="D169" s="5" t="s">
        <v>71</v>
      </c>
      <c r="E169" s="2" t="s">
        <v>1105</v>
      </c>
      <c r="F169" s="2"/>
      <c r="G169" s="2" t="s">
        <v>1263</v>
      </c>
      <c r="H169" s="2" t="s">
        <v>1176</v>
      </c>
      <c r="I169" s="5" t="s">
        <v>74</v>
      </c>
      <c r="J169" s="2" t="s">
        <v>6704</v>
      </c>
      <c r="K169" s="2" t="s">
        <v>71</v>
      </c>
      <c r="L169" s="5" t="n">
        <v>300</v>
      </c>
    </row>
    <row r="170" customFormat="false" ht="23.85" hidden="false" customHeight="false" outlineLevel="0" collapsed="false">
      <c r="A170" s="5" t="s">
        <v>1266</v>
      </c>
      <c r="B170" s="2" t="s">
        <v>1267</v>
      </c>
      <c r="C170" s="5" t="s">
        <v>488</v>
      </c>
      <c r="D170" s="5" t="s">
        <v>71</v>
      </c>
      <c r="E170" s="2" t="s">
        <v>1105</v>
      </c>
      <c r="F170" s="2"/>
      <c r="G170" s="2" t="s">
        <v>1268</v>
      </c>
      <c r="H170" s="2" t="s">
        <v>1269</v>
      </c>
      <c r="I170" s="5" t="s">
        <v>74</v>
      </c>
      <c r="J170" s="2" t="s">
        <v>6705</v>
      </c>
      <c r="K170" s="2" t="s">
        <v>71</v>
      </c>
      <c r="L170" s="5" t="n">
        <v>300</v>
      </c>
    </row>
    <row r="171" customFormat="false" ht="46.25" hidden="false" customHeight="false" outlineLevel="0" collapsed="false">
      <c r="A171" s="5" t="s">
        <v>1272</v>
      </c>
      <c r="B171" s="2" t="s">
        <v>1273</v>
      </c>
      <c r="C171" s="5" t="s">
        <v>488</v>
      </c>
      <c r="D171" s="5" t="s">
        <v>71</v>
      </c>
      <c r="E171" s="2" t="s">
        <v>1105</v>
      </c>
      <c r="F171" s="2"/>
      <c r="G171" s="2" t="s">
        <v>1274</v>
      </c>
      <c r="H171" s="2" t="s">
        <v>1176</v>
      </c>
      <c r="I171" s="5" t="s">
        <v>74</v>
      </c>
      <c r="J171" s="2" t="s">
        <v>6706</v>
      </c>
      <c r="K171" s="2" t="s">
        <v>71</v>
      </c>
      <c r="L171" s="5" t="n">
        <v>300</v>
      </c>
    </row>
    <row r="172" customFormat="false" ht="135.8" hidden="false" customHeight="false" outlineLevel="0" collapsed="false">
      <c r="A172" s="5" t="s">
        <v>1277</v>
      </c>
      <c r="B172" s="2" t="s">
        <v>1278</v>
      </c>
      <c r="C172" s="5" t="s">
        <v>488</v>
      </c>
      <c r="D172" s="5" t="s">
        <v>71</v>
      </c>
      <c r="E172" s="2" t="s">
        <v>1105</v>
      </c>
      <c r="F172" s="2"/>
      <c r="G172" s="2" t="s">
        <v>1280</v>
      </c>
      <c r="H172" s="2" t="s">
        <v>1269</v>
      </c>
      <c r="I172" s="5" t="s">
        <v>74</v>
      </c>
      <c r="J172" s="2" t="s">
        <v>6707</v>
      </c>
      <c r="K172" s="2" t="s">
        <v>71</v>
      </c>
      <c r="L172" s="5" t="n">
        <v>300</v>
      </c>
    </row>
    <row r="173" customFormat="false" ht="68.65" hidden="false" customHeight="false" outlineLevel="0" collapsed="false">
      <c r="A173" s="5" t="s">
        <v>1283</v>
      </c>
      <c r="B173" s="2" t="s">
        <v>1284</v>
      </c>
      <c r="C173" s="5" t="s">
        <v>488</v>
      </c>
      <c r="D173" s="5" t="s">
        <v>71</v>
      </c>
      <c r="E173" s="2" t="s">
        <v>1105</v>
      </c>
      <c r="F173" s="2"/>
      <c r="G173" s="2" t="s">
        <v>1285</v>
      </c>
      <c r="H173" s="2" t="s">
        <v>1269</v>
      </c>
      <c r="I173" s="5" t="s">
        <v>74</v>
      </c>
      <c r="J173" s="2" t="s">
        <v>6708</v>
      </c>
      <c r="K173" s="2" t="s">
        <v>71</v>
      </c>
      <c r="L173" s="5" t="n">
        <v>300</v>
      </c>
    </row>
    <row r="174" customFormat="false" ht="23.85" hidden="false" customHeight="false" outlineLevel="0" collapsed="false">
      <c r="A174" s="5" t="s">
        <v>1288</v>
      </c>
      <c r="B174" s="2" t="s">
        <v>1289</v>
      </c>
      <c r="C174" s="5" t="s">
        <v>488</v>
      </c>
      <c r="D174" s="5" t="s">
        <v>71</v>
      </c>
      <c r="E174" s="2" t="s">
        <v>1105</v>
      </c>
      <c r="F174" s="2"/>
      <c r="G174" s="2" t="s">
        <v>1290</v>
      </c>
      <c r="H174" s="2" t="s">
        <v>1139</v>
      </c>
      <c r="I174" s="5" t="s">
        <v>74</v>
      </c>
      <c r="J174" s="2" t="s">
        <v>6709</v>
      </c>
      <c r="K174" s="2" t="s">
        <v>71</v>
      </c>
      <c r="L174" s="5" t="n">
        <v>300</v>
      </c>
    </row>
    <row r="175" customFormat="false" ht="35.05" hidden="false" customHeight="false" outlineLevel="0" collapsed="false">
      <c r="A175" s="5" t="s">
        <v>1293</v>
      </c>
      <c r="B175" s="2" t="s">
        <v>1294</v>
      </c>
      <c r="C175" s="5" t="s">
        <v>488</v>
      </c>
      <c r="D175" s="5" t="s">
        <v>71</v>
      </c>
      <c r="E175" s="2" t="s">
        <v>1105</v>
      </c>
      <c r="F175" s="2"/>
      <c r="G175" s="2" t="s">
        <v>1296</v>
      </c>
      <c r="H175" s="2" t="s">
        <v>1176</v>
      </c>
      <c r="I175" s="5" t="s">
        <v>74</v>
      </c>
      <c r="J175" s="2" t="s">
        <v>6710</v>
      </c>
      <c r="K175" s="2" t="s">
        <v>71</v>
      </c>
      <c r="L175" s="5" t="n">
        <v>300</v>
      </c>
    </row>
    <row r="176" customFormat="false" ht="46.25" hidden="false" customHeight="false" outlineLevel="0" collapsed="false">
      <c r="A176" s="5" t="s">
        <v>1299</v>
      </c>
      <c r="B176" s="2" t="s">
        <v>1300</v>
      </c>
      <c r="C176" s="5" t="s">
        <v>488</v>
      </c>
      <c r="D176" s="5" t="s">
        <v>71</v>
      </c>
      <c r="E176" s="2" t="s">
        <v>1221</v>
      </c>
      <c r="F176" s="2"/>
      <c r="G176" s="2" t="s">
        <v>1301</v>
      </c>
      <c r="H176" s="2" t="s">
        <v>1302</v>
      </c>
      <c r="I176" s="5" t="s">
        <v>74</v>
      </c>
      <c r="J176" s="2" t="s">
        <v>6711</v>
      </c>
      <c r="K176" s="2" t="s">
        <v>71</v>
      </c>
      <c r="L176" s="5" t="n">
        <v>300</v>
      </c>
    </row>
    <row r="177" customFormat="false" ht="23.85" hidden="false" customHeight="false" outlineLevel="0" collapsed="false">
      <c r="A177" s="5" t="s">
        <v>1305</v>
      </c>
      <c r="B177" s="2" t="s">
        <v>1306</v>
      </c>
      <c r="C177" s="5" t="s">
        <v>488</v>
      </c>
      <c r="D177" s="5" t="s">
        <v>71</v>
      </c>
      <c r="E177" s="2" t="s">
        <v>1307</v>
      </c>
      <c r="F177" s="2"/>
      <c r="G177" s="2" t="s">
        <v>1308</v>
      </c>
      <c r="H177" s="2" t="s">
        <v>1309</v>
      </c>
      <c r="I177" s="5" t="s">
        <v>74</v>
      </c>
      <c r="J177" s="2" t="s">
        <v>6712</v>
      </c>
      <c r="K177" s="2" t="s">
        <v>71</v>
      </c>
      <c r="L177" s="5" t="n">
        <v>300</v>
      </c>
    </row>
    <row r="178" customFormat="false" ht="35.05" hidden="false" customHeight="false" outlineLevel="0" collapsed="false">
      <c r="A178" s="5" t="s">
        <v>1314</v>
      </c>
      <c r="B178" s="2" t="s">
        <v>1315</v>
      </c>
      <c r="C178" s="5" t="s">
        <v>488</v>
      </c>
      <c r="D178" s="5" t="s">
        <v>71</v>
      </c>
      <c r="E178" s="2" t="s">
        <v>1105</v>
      </c>
      <c r="F178" s="2"/>
      <c r="G178" s="2" t="s">
        <v>1317</v>
      </c>
      <c r="H178" s="2" t="s">
        <v>1176</v>
      </c>
      <c r="I178" s="5" t="s">
        <v>74</v>
      </c>
      <c r="J178" s="2" t="s">
        <v>6713</v>
      </c>
      <c r="K178" s="2" t="s">
        <v>71</v>
      </c>
      <c r="L178" s="5" t="n">
        <v>300</v>
      </c>
    </row>
    <row r="179" customFormat="false" ht="102.2" hidden="false" customHeight="false" outlineLevel="0" collapsed="false">
      <c r="A179" s="5" t="s">
        <v>1320</v>
      </c>
      <c r="B179" s="2" t="s">
        <v>1321</v>
      </c>
      <c r="C179" s="5" t="s">
        <v>488</v>
      </c>
      <c r="D179" s="5" t="s">
        <v>71</v>
      </c>
      <c r="E179" s="2" t="s">
        <v>1105</v>
      </c>
      <c r="F179" s="2"/>
      <c r="G179" s="2" t="s">
        <v>1322</v>
      </c>
      <c r="H179" s="2" t="s">
        <v>1323</v>
      </c>
      <c r="I179" s="5" t="s">
        <v>74</v>
      </c>
      <c r="J179" s="2" t="s">
        <v>6714</v>
      </c>
      <c r="K179" s="2" t="s">
        <v>71</v>
      </c>
      <c r="L179" s="5" t="n">
        <v>300</v>
      </c>
    </row>
    <row r="180" customFormat="false" ht="91" hidden="false" customHeight="false" outlineLevel="0" collapsed="false">
      <c r="A180" s="5" t="s">
        <v>1326</v>
      </c>
      <c r="B180" s="2" t="s">
        <v>1327</v>
      </c>
      <c r="C180" s="5" t="s">
        <v>488</v>
      </c>
      <c r="D180" s="5" t="s">
        <v>71</v>
      </c>
      <c r="E180" s="2" t="s">
        <v>1105</v>
      </c>
      <c r="F180" s="2"/>
      <c r="G180" s="2" t="s">
        <v>1328</v>
      </c>
      <c r="H180" s="2" t="s">
        <v>1329</v>
      </c>
      <c r="I180" s="5" t="s">
        <v>74</v>
      </c>
      <c r="J180" s="2" t="s">
        <v>6715</v>
      </c>
      <c r="K180" s="2" t="s">
        <v>71</v>
      </c>
      <c r="L180" s="5" t="n">
        <v>300</v>
      </c>
    </row>
    <row r="181" customFormat="false" ht="23.85" hidden="false" customHeight="false" outlineLevel="0" collapsed="false">
      <c r="A181" s="5" t="s">
        <v>1332</v>
      </c>
      <c r="B181" s="2" t="s">
        <v>1333</v>
      </c>
      <c r="C181" s="5" t="s">
        <v>488</v>
      </c>
      <c r="D181" s="5" t="s">
        <v>71</v>
      </c>
      <c r="E181" s="2" t="s">
        <v>1105</v>
      </c>
      <c r="F181" s="2"/>
      <c r="G181" s="2" t="s">
        <v>1334</v>
      </c>
      <c r="H181" s="2" t="s">
        <v>1335</v>
      </c>
      <c r="I181" s="5" t="s">
        <v>74</v>
      </c>
      <c r="J181" s="2" t="s">
        <v>6716</v>
      </c>
      <c r="K181" s="2" t="s">
        <v>71</v>
      </c>
      <c r="L181" s="5" t="n">
        <v>300</v>
      </c>
    </row>
    <row r="182" customFormat="false" ht="23.85" hidden="false" customHeight="false" outlineLevel="0" collapsed="false">
      <c r="A182" s="5" t="s">
        <v>1338</v>
      </c>
      <c r="B182" s="2" t="s">
        <v>1339</v>
      </c>
      <c r="C182" s="5" t="s">
        <v>488</v>
      </c>
      <c r="D182" s="5" t="s">
        <v>71</v>
      </c>
      <c r="E182" s="2" t="s">
        <v>1160</v>
      </c>
      <c r="F182" s="2"/>
      <c r="G182" s="2" t="s">
        <v>1340</v>
      </c>
      <c r="H182" s="2" t="s">
        <v>1193</v>
      </c>
      <c r="I182" s="5" t="s">
        <v>74</v>
      </c>
      <c r="J182" s="2" t="s">
        <v>6717</v>
      </c>
      <c r="K182" s="2" t="s">
        <v>71</v>
      </c>
      <c r="L182" s="5" t="n">
        <v>300</v>
      </c>
    </row>
    <row r="183" customFormat="false" ht="23.85" hidden="false" customHeight="false" outlineLevel="0" collapsed="false">
      <c r="A183" s="5" t="s">
        <v>1343</v>
      </c>
      <c r="B183" s="2" t="s">
        <v>1344</v>
      </c>
      <c r="C183" s="5" t="s">
        <v>488</v>
      </c>
      <c r="D183" s="5" t="s">
        <v>71</v>
      </c>
      <c r="E183" s="2" t="s">
        <v>1105</v>
      </c>
      <c r="F183" s="2"/>
      <c r="G183" s="2" t="s">
        <v>1345</v>
      </c>
      <c r="H183" s="2" t="s">
        <v>1346</v>
      </c>
      <c r="I183" s="5" t="s">
        <v>74</v>
      </c>
      <c r="J183" s="2" t="s">
        <v>6718</v>
      </c>
      <c r="K183" s="2" t="s">
        <v>71</v>
      </c>
      <c r="L183" s="5" t="n">
        <v>300</v>
      </c>
    </row>
    <row r="184" customFormat="false" ht="57.45" hidden="false" customHeight="false" outlineLevel="0" collapsed="false">
      <c r="A184" s="5" t="s">
        <v>1349</v>
      </c>
      <c r="B184" s="2" t="s">
        <v>1350</v>
      </c>
      <c r="C184" s="5" t="s">
        <v>488</v>
      </c>
      <c r="D184" s="5" t="s">
        <v>71</v>
      </c>
      <c r="E184" s="2" t="s">
        <v>1105</v>
      </c>
      <c r="F184" s="2"/>
      <c r="G184" s="2" t="s">
        <v>1351</v>
      </c>
      <c r="H184" s="2" t="s">
        <v>1352</v>
      </c>
      <c r="I184" s="5" t="s">
        <v>74</v>
      </c>
      <c r="J184" s="2" t="s">
        <v>6719</v>
      </c>
      <c r="K184" s="2" t="s">
        <v>71</v>
      </c>
      <c r="L184" s="5" t="n">
        <v>300</v>
      </c>
    </row>
    <row r="185" customFormat="false" ht="46.25" hidden="false" customHeight="false" outlineLevel="0" collapsed="false">
      <c r="A185" s="5" t="s">
        <v>1355</v>
      </c>
      <c r="B185" s="2" t="s">
        <v>1356</v>
      </c>
      <c r="C185" s="5" t="s">
        <v>488</v>
      </c>
      <c r="D185" s="5" t="s">
        <v>71</v>
      </c>
      <c r="E185" s="2" t="s">
        <v>1105</v>
      </c>
      <c r="F185" s="2"/>
      <c r="G185" s="2" t="s">
        <v>1357</v>
      </c>
      <c r="H185" s="2" t="s">
        <v>1358</v>
      </c>
      <c r="I185" s="5" t="s">
        <v>74</v>
      </c>
      <c r="J185" s="2" t="s">
        <v>6720</v>
      </c>
      <c r="K185" s="2" t="s">
        <v>71</v>
      </c>
      <c r="L185" s="5" t="n">
        <v>300</v>
      </c>
    </row>
    <row r="186" customFormat="false" ht="79.85" hidden="false" customHeight="false" outlineLevel="0" collapsed="false">
      <c r="A186" s="5" t="s">
        <v>1361</v>
      </c>
      <c r="B186" s="2" t="s">
        <v>1362</v>
      </c>
      <c r="C186" s="5" t="s">
        <v>488</v>
      </c>
      <c r="D186" s="5" t="s">
        <v>71</v>
      </c>
      <c r="E186" s="2" t="s">
        <v>1105</v>
      </c>
      <c r="F186" s="2"/>
      <c r="G186" s="2" t="s">
        <v>1364</v>
      </c>
      <c r="H186" s="2" t="s">
        <v>1176</v>
      </c>
      <c r="I186" s="5" t="s">
        <v>74</v>
      </c>
      <c r="J186" s="2" t="s">
        <v>6721</v>
      </c>
      <c r="K186" s="2" t="s">
        <v>71</v>
      </c>
      <c r="L186" s="5" t="n">
        <v>300</v>
      </c>
    </row>
    <row r="187" customFormat="false" ht="79.85" hidden="false" customHeight="false" outlineLevel="0" collapsed="false">
      <c r="A187" s="5" t="s">
        <v>1367</v>
      </c>
      <c r="B187" s="2" t="s">
        <v>1368</v>
      </c>
      <c r="C187" s="5" t="s">
        <v>488</v>
      </c>
      <c r="D187" s="5" t="s">
        <v>71</v>
      </c>
      <c r="E187" s="2" t="s">
        <v>1105</v>
      </c>
      <c r="F187" s="2"/>
      <c r="G187" s="2" t="s">
        <v>1369</v>
      </c>
      <c r="H187" s="2" t="s">
        <v>1176</v>
      </c>
      <c r="I187" s="5" t="s">
        <v>74</v>
      </c>
      <c r="J187" s="2" t="s">
        <v>6722</v>
      </c>
      <c r="K187" s="2" t="s">
        <v>71</v>
      </c>
      <c r="L187" s="5" t="n">
        <v>300</v>
      </c>
    </row>
    <row r="188" customFormat="false" ht="79.85" hidden="false" customHeight="false" outlineLevel="0" collapsed="false">
      <c r="A188" s="5" t="s">
        <v>1372</v>
      </c>
      <c r="B188" s="2" t="s">
        <v>1373</v>
      </c>
      <c r="C188" s="5" t="s">
        <v>488</v>
      </c>
      <c r="D188" s="5" t="s">
        <v>71</v>
      </c>
      <c r="E188" s="2" t="s">
        <v>1105</v>
      </c>
      <c r="F188" s="2"/>
      <c r="G188" s="2" t="s">
        <v>1374</v>
      </c>
      <c r="H188" s="2" t="s">
        <v>1139</v>
      </c>
      <c r="I188" s="5" t="s">
        <v>74</v>
      </c>
      <c r="J188" s="2" t="s">
        <v>6723</v>
      </c>
      <c r="K188" s="2" t="s">
        <v>71</v>
      </c>
      <c r="L188" s="5" t="n">
        <v>300</v>
      </c>
    </row>
    <row r="189" customFormat="false" ht="35.05" hidden="false" customHeight="false" outlineLevel="0" collapsed="false">
      <c r="A189" s="5" t="s">
        <v>1377</v>
      </c>
      <c r="B189" s="2" t="s">
        <v>1378</v>
      </c>
      <c r="C189" s="5" t="s">
        <v>488</v>
      </c>
      <c r="D189" s="5" t="s">
        <v>71</v>
      </c>
      <c r="E189" s="2" t="s">
        <v>1105</v>
      </c>
      <c r="F189" s="2"/>
      <c r="G189" s="2" t="s">
        <v>1379</v>
      </c>
      <c r="H189" s="2" t="s">
        <v>1269</v>
      </c>
      <c r="I189" s="5" t="s">
        <v>74</v>
      </c>
      <c r="J189" s="2" t="s">
        <v>6724</v>
      </c>
      <c r="K189" s="2" t="s">
        <v>71</v>
      </c>
      <c r="L189" s="5" t="n">
        <v>300</v>
      </c>
    </row>
    <row r="190" customFormat="false" ht="68.65" hidden="false" customHeight="false" outlineLevel="0" collapsed="false">
      <c r="A190" s="5" t="s">
        <v>1382</v>
      </c>
      <c r="B190" s="2" t="s">
        <v>1383</v>
      </c>
      <c r="C190" s="5" t="s">
        <v>488</v>
      </c>
      <c r="D190" s="5" t="s">
        <v>71</v>
      </c>
      <c r="E190" s="2" t="s">
        <v>1105</v>
      </c>
      <c r="F190" s="2"/>
      <c r="G190" s="2" t="s">
        <v>1385</v>
      </c>
      <c r="H190" s="2" t="s">
        <v>1358</v>
      </c>
      <c r="I190" s="5" t="s">
        <v>74</v>
      </c>
      <c r="J190" s="2" t="s">
        <v>6725</v>
      </c>
      <c r="K190" s="2" t="s">
        <v>71</v>
      </c>
      <c r="L190" s="5" t="n">
        <v>300</v>
      </c>
    </row>
    <row r="191" customFormat="false" ht="23.85" hidden="false" customHeight="false" outlineLevel="0" collapsed="false">
      <c r="A191" s="5" t="s">
        <v>1388</v>
      </c>
      <c r="B191" s="2" t="s">
        <v>1389</v>
      </c>
      <c r="C191" s="5" t="s">
        <v>488</v>
      </c>
      <c r="D191" s="5" t="s">
        <v>71</v>
      </c>
      <c r="E191" s="2" t="s">
        <v>1105</v>
      </c>
      <c r="F191" s="2"/>
      <c r="G191" s="2" t="s">
        <v>1390</v>
      </c>
      <c r="H191" s="2" t="s">
        <v>1391</v>
      </c>
      <c r="I191" s="5" t="s">
        <v>74</v>
      </c>
      <c r="J191" s="2" t="s">
        <v>6726</v>
      </c>
      <c r="K191" s="2" t="s">
        <v>71</v>
      </c>
      <c r="L191" s="5" t="n">
        <v>300</v>
      </c>
    </row>
    <row r="192" customFormat="false" ht="79.85" hidden="false" customHeight="false" outlineLevel="0" collapsed="false">
      <c r="A192" s="5" t="s">
        <v>1394</v>
      </c>
      <c r="B192" s="2" t="s">
        <v>1395</v>
      </c>
      <c r="C192" s="5" t="s">
        <v>488</v>
      </c>
      <c r="D192" s="5" t="s">
        <v>71</v>
      </c>
      <c r="E192" s="2" t="s">
        <v>1105</v>
      </c>
      <c r="F192" s="2"/>
      <c r="G192" s="2" t="s">
        <v>1396</v>
      </c>
      <c r="H192" s="2" t="s">
        <v>1397</v>
      </c>
      <c r="I192" s="5" t="s">
        <v>74</v>
      </c>
      <c r="J192" s="2" t="s">
        <v>6727</v>
      </c>
      <c r="K192" s="2" t="s">
        <v>71</v>
      </c>
      <c r="L192" s="5" t="n">
        <v>300</v>
      </c>
    </row>
    <row r="193" customFormat="false" ht="35.05" hidden="false" customHeight="false" outlineLevel="0" collapsed="false">
      <c r="A193" s="5" t="s">
        <v>1400</v>
      </c>
      <c r="B193" s="2" t="s">
        <v>1401</v>
      </c>
      <c r="C193" s="5" t="s">
        <v>488</v>
      </c>
      <c r="D193" s="5" t="s">
        <v>71</v>
      </c>
      <c r="E193" s="2" t="s">
        <v>368</v>
      </c>
      <c r="F193" s="2"/>
      <c r="G193" s="2" t="s">
        <v>1403</v>
      </c>
      <c r="H193" s="2" t="s">
        <v>1404</v>
      </c>
      <c r="I193" s="5" t="s">
        <v>74</v>
      </c>
      <c r="J193" s="2" t="s">
        <v>6728</v>
      </c>
      <c r="K193" s="2" t="s">
        <v>71</v>
      </c>
      <c r="L193" s="5" t="n">
        <v>300</v>
      </c>
    </row>
    <row r="194" customFormat="false" ht="46.25" hidden="false" customHeight="false" outlineLevel="0" collapsed="false">
      <c r="A194" s="5" t="s">
        <v>1407</v>
      </c>
      <c r="B194" s="2" t="s">
        <v>1408</v>
      </c>
      <c r="C194" s="5" t="s">
        <v>488</v>
      </c>
      <c r="D194" s="5" t="s">
        <v>71</v>
      </c>
      <c r="E194" s="2" t="s">
        <v>1105</v>
      </c>
      <c r="F194" s="2"/>
      <c r="G194" s="2" t="s">
        <v>1410</v>
      </c>
      <c r="H194" s="2" t="s">
        <v>1176</v>
      </c>
      <c r="I194" s="5" t="s">
        <v>74</v>
      </c>
      <c r="J194" s="2" t="s">
        <v>6729</v>
      </c>
      <c r="K194" s="2" t="s">
        <v>71</v>
      </c>
      <c r="L194" s="5" t="n">
        <v>300</v>
      </c>
    </row>
    <row r="195" customFormat="false" ht="23.85" hidden="false" customHeight="false" outlineLevel="0" collapsed="false">
      <c r="A195" s="5" t="s">
        <v>1413</v>
      </c>
      <c r="B195" s="2" t="s">
        <v>1414</v>
      </c>
      <c r="C195" s="5" t="s">
        <v>488</v>
      </c>
      <c r="D195" s="5" t="s">
        <v>71</v>
      </c>
      <c r="E195" s="2" t="s">
        <v>1160</v>
      </c>
      <c r="F195" s="2"/>
      <c r="G195" s="2" t="s">
        <v>1415</v>
      </c>
      <c r="H195" s="2" t="s">
        <v>1162</v>
      </c>
      <c r="I195" s="5" t="s">
        <v>74</v>
      </c>
      <c r="J195" s="2" t="s">
        <v>6730</v>
      </c>
      <c r="K195" s="2" t="s">
        <v>71</v>
      </c>
      <c r="L195" s="5" t="n">
        <v>300</v>
      </c>
    </row>
    <row r="196" customFormat="false" ht="23.85" hidden="false" customHeight="false" outlineLevel="0" collapsed="false">
      <c r="A196" s="5" t="s">
        <v>1418</v>
      </c>
      <c r="B196" s="2" t="s">
        <v>1419</v>
      </c>
      <c r="C196" s="5" t="s">
        <v>488</v>
      </c>
      <c r="D196" s="5" t="s">
        <v>71</v>
      </c>
      <c r="E196" s="2" t="s">
        <v>1105</v>
      </c>
      <c r="F196" s="2"/>
      <c r="G196" s="2" t="s">
        <v>1420</v>
      </c>
      <c r="H196" s="2" t="s">
        <v>1139</v>
      </c>
      <c r="I196" s="5" t="s">
        <v>74</v>
      </c>
      <c r="J196" s="2" t="s">
        <v>6731</v>
      </c>
      <c r="K196" s="2" t="s">
        <v>71</v>
      </c>
      <c r="L196" s="5" t="n">
        <v>300</v>
      </c>
    </row>
    <row r="197" customFormat="false" ht="23.85" hidden="false" customHeight="false" outlineLevel="0" collapsed="false">
      <c r="A197" s="5" t="s">
        <v>1423</v>
      </c>
      <c r="B197" s="2" t="s">
        <v>1424</v>
      </c>
      <c r="C197" s="5" t="s">
        <v>488</v>
      </c>
      <c r="D197" s="5" t="s">
        <v>71</v>
      </c>
      <c r="E197" s="2" t="s">
        <v>1105</v>
      </c>
      <c r="F197" s="2"/>
      <c r="G197" s="2" t="s">
        <v>1426</v>
      </c>
      <c r="H197" s="2" t="s">
        <v>1269</v>
      </c>
      <c r="I197" s="5" t="s">
        <v>74</v>
      </c>
      <c r="J197" s="2" t="s">
        <v>6732</v>
      </c>
      <c r="K197" s="2" t="s">
        <v>71</v>
      </c>
      <c r="L197" s="5" t="n">
        <v>300</v>
      </c>
    </row>
    <row r="198" customFormat="false" ht="23.85" hidden="false" customHeight="false" outlineLevel="0" collapsed="false">
      <c r="A198" s="5" t="s">
        <v>1429</v>
      </c>
      <c r="B198" s="2" t="s">
        <v>1430</v>
      </c>
      <c r="C198" s="5" t="s">
        <v>488</v>
      </c>
      <c r="D198" s="5" t="s">
        <v>71</v>
      </c>
      <c r="E198" s="2" t="s">
        <v>1105</v>
      </c>
      <c r="F198" s="2"/>
      <c r="G198" s="2" t="s">
        <v>1431</v>
      </c>
      <c r="H198" s="2" t="s">
        <v>1432</v>
      </c>
      <c r="I198" s="5" t="s">
        <v>74</v>
      </c>
      <c r="J198" s="2" t="s">
        <v>6733</v>
      </c>
      <c r="K198" s="2" t="s">
        <v>71</v>
      </c>
      <c r="L198" s="5" t="n">
        <v>300</v>
      </c>
    </row>
    <row r="199" customFormat="false" ht="68.65" hidden="false" customHeight="false" outlineLevel="0" collapsed="false">
      <c r="A199" s="5" t="s">
        <v>1435</v>
      </c>
      <c r="B199" s="2" t="s">
        <v>1436</v>
      </c>
      <c r="C199" s="5" t="s">
        <v>488</v>
      </c>
      <c r="D199" s="5" t="s">
        <v>71</v>
      </c>
      <c r="E199" s="2" t="s">
        <v>1438</v>
      </c>
      <c r="F199" s="2"/>
      <c r="G199" s="2" t="s">
        <v>1439</v>
      </c>
      <c r="H199" s="2" t="s">
        <v>1440</v>
      </c>
      <c r="I199" s="5" t="s">
        <v>74</v>
      </c>
      <c r="J199" s="2" t="s">
        <v>6734</v>
      </c>
      <c r="K199" s="2" t="s">
        <v>71</v>
      </c>
      <c r="L199" s="5" t="n">
        <v>300</v>
      </c>
    </row>
    <row r="200" customFormat="false" ht="23.85" hidden="false" customHeight="false" outlineLevel="0" collapsed="false">
      <c r="A200" s="5" t="s">
        <v>1444</v>
      </c>
      <c r="B200" s="2" t="s">
        <v>1445</v>
      </c>
      <c r="C200" s="5" t="s">
        <v>488</v>
      </c>
      <c r="D200" s="5" t="s">
        <v>71</v>
      </c>
      <c r="E200" s="2" t="s">
        <v>1105</v>
      </c>
      <c r="F200" s="2"/>
      <c r="G200" s="2" t="s">
        <v>1447</v>
      </c>
      <c r="H200" s="2" t="s">
        <v>1176</v>
      </c>
      <c r="I200" s="5" t="s">
        <v>74</v>
      </c>
      <c r="J200" s="2" t="s">
        <v>6735</v>
      </c>
      <c r="K200" s="2" t="s">
        <v>71</v>
      </c>
      <c r="L200" s="5" t="n">
        <v>300</v>
      </c>
    </row>
    <row r="201" customFormat="false" ht="23.85" hidden="false" customHeight="false" outlineLevel="0" collapsed="false">
      <c r="A201" s="5" t="s">
        <v>1450</v>
      </c>
      <c r="B201" s="2" t="s">
        <v>1451</v>
      </c>
      <c r="C201" s="5" t="s">
        <v>488</v>
      </c>
      <c r="D201" s="5" t="s">
        <v>71</v>
      </c>
      <c r="E201" s="2" t="s">
        <v>1105</v>
      </c>
      <c r="F201" s="2"/>
      <c r="G201" s="2" t="s">
        <v>1452</v>
      </c>
      <c r="H201" s="2" t="s">
        <v>1176</v>
      </c>
      <c r="I201" s="5" t="s">
        <v>74</v>
      </c>
      <c r="J201" s="2" t="s">
        <v>6736</v>
      </c>
      <c r="K201" s="2" t="s">
        <v>71</v>
      </c>
      <c r="L201" s="5" t="n">
        <v>300</v>
      </c>
    </row>
    <row r="202" customFormat="false" ht="91" hidden="false" customHeight="false" outlineLevel="0" collapsed="false">
      <c r="A202" s="5" t="s">
        <v>1455</v>
      </c>
      <c r="B202" s="2" t="s">
        <v>1456</v>
      </c>
      <c r="C202" s="5" t="s">
        <v>488</v>
      </c>
      <c r="D202" s="5" t="s">
        <v>71</v>
      </c>
      <c r="E202" s="2" t="s">
        <v>1457</v>
      </c>
      <c r="F202" s="2"/>
      <c r="G202" s="2" t="s">
        <v>1458</v>
      </c>
      <c r="H202" s="2" t="s">
        <v>1459</v>
      </c>
      <c r="I202" s="5" t="s">
        <v>74</v>
      </c>
      <c r="J202" s="2" t="s">
        <v>6737</v>
      </c>
      <c r="K202" s="2" t="s">
        <v>71</v>
      </c>
      <c r="L202" s="5" t="n">
        <v>300</v>
      </c>
    </row>
    <row r="203" customFormat="false" ht="46.25" hidden="false" customHeight="false" outlineLevel="0" collapsed="false">
      <c r="A203" s="5" t="s">
        <v>1463</v>
      </c>
      <c r="B203" s="2" t="s">
        <v>1464</v>
      </c>
      <c r="C203" s="5" t="s">
        <v>488</v>
      </c>
      <c r="D203" s="5" t="s">
        <v>71</v>
      </c>
      <c r="E203" s="2" t="s">
        <v>368</v>
      </c>
      <c r="F203" s="2"/>
      <c r="G203" s="2" t="s">
        <v>1465</v>
      </c>
      <c r="H203" s="2" t="s">
        <v>1466</v>
      </c>
      <c r="I203" s="5" t="s">
        <v>74</v>
      </c>
      <c r="J203" s="2" t="s">
        <v>6738</v>
      </c>
      <c r="K203" s="2" t="s">
        <v>71</v>
      </c>
      <c r="L203" s="5" t="n">
        <v>300</v>
      </c>
    </row>
    <row r="204" customFormat="false" ht="46.25" hidden="false" customHeight="false" outlineLevel="0" collapsed="false">
      <c r="A204" s="5" t="s">
        <v>1469</v>
      </c>
      <c r="B204" s="2" t="s">
        <v>1470</v>
      </c>
      <c r="C204" s="5" t="s">
        <v>488</v>
      </c>
      <c r="D204" s="5" t="s">
        <v>71</v>
      </c>
      <c r="E204" s="2" t="s">
        <v>368</v>
      </c>
      <c r="F204" s="2"/>
      <c r="G204" s="2" t="s">
        <v>1471</v>
      </c>
      <c r="H204" s="2" t="s">
        <v>1466</v>
      </c>
      <c r="I204" s="5" t="s">
        <v>74</v>
      </c>
      <c r="J204" s="2" t="s">
        <v>6739</v>
      </c>
      <c r="K204" s="2" t="s">
        <v>71</v>
      </c>
      <c r="L204" s="5" t="n">
        <v>300</v>
      </c>
    </row>
    <row r="205" customFormat="false" ht="23.85" hidden="false" customHeight="false" outlineLevel="0" collapsed="false">
      <c r="A205" s="5" t="s">
        <v>1474</v>
      </c>
      <c r="B205" s="2" t="s">
        <v>1475</v>
      </c>
      <c r="C205" s="5" t="s">
        <v>488</v>
      </c>
      <c r="D205" s="5" t="s">
        <v>71</v>
      </c>
      <c r="E205" s="2" t="s">
        <v>368</v>
      </c>
      <c r="F205" s="2"/>
      <c r="G205" s="2" t="s">
        <v>1476</v>
      </c>
      <c r="H205" s="2" t="s">
        <v>1477</v>
      </c>
      <c r="I205" s="5" t="s">
        <v>74</v>
      </c>
      <c r="J205" s="2" t="s">
        <v>6740</v>
      </c>
      <c r="K205" s="2" t="s">
        <v>71</v>
      </c>
      <c r="L205" s="5" t="n">
        <v>300</v>
      </c>
    </row>
    <row r="206" customFormat="false" ht="35.05" hidden="false" customHeight="false" outlineLevel="0" collapsed="false">
      <c r="A206" s="5" t="s">
        <v>1480</v>
      </c>
      <c r="B206" s="2" t="s">
        <v>1481</v>
      </c>
      <c r="C206" s="5" t="s">
        <v>488</v>
      </c>
      <c r="D206" s="5" t="s">
        <v>71</v>
      </c>
      <c r="E206" s="2" t="s">
        <v>1160</v>
      </c>
      <c r="F206" s="2"/>
      <c r="G206" s="2" t="s">
        <v>1482</v>
      </c>
      <c r="H206" s="2" t="s">
        <v>1193</v>
      </c>
      <c r="I206" s="5" t="s">
        <v>74</v>
      </c>
      <c r="J206" s="2" t="s">
        <v>6741</v>
      </c>
      <c r="K206" s="2" t="s">
        <v>71</v>
      </c>
      <c r="L206" s="5" t="n">
        <v>300</v>
      </c>
    </row>
    <row r="207" customFormat="false" ht="79.85" hidden="false" customHeight="false" outlineLevel="0" collapsed="false">
      <c r="A207" s="5" t="s">
        <v>1485</v>
      </c>
      <c r="B207" s="2" t="s">
        <v>1486</v>
      </c>
      <c r="C207" s="5" t="s">
        <v>488</v>
      </c>
      <c r="D207" s="5" t="s">
        <v>71</v>
      </c>
      <c r="E207" s="2" t="s">
        <v>1160</v>
      </c>
      <c r="F207" s="2"/>
      <c r="G207" s="2" t="s">
        <v>1487</v>
      </c>
      <c r="H207" s="2" t="s">
        <v>1193</v>
      </c>
      <c r="I207" s="5" t="s">
        <v>74</v>
      </c>
      <c r="J207" s="2" t="s">
        <v>6742</v>
      </c>
      <c r="K207" s="2" t="s">
        <v>71</v>
      </c>
      <c r="L207" s="5" t="n">
        <v>300</v>
      </c>
    </row>
    <row r="208" customFormat="false" ht="79.85" hidden="false" customHeight="false" outlineLevel="0" collapsed="false">
      <c r="A208" s="5" t="s">
        <v>1490</v>
      </c>
      <c r="B208" s="2" t="s">
        <v>1491</v>
      </c>
      <c r="C208" s="5" t="s">
        <v>488</v>
      </c>
      <c r="D208" s="5" t="s">
        <v>71</v>
      </c>
      <c r="E208" s="2" t="s">
        <v>1105</v>
      </c>
      <c r="F208" s="2"/>
      <c r="G208" s="2" t="s">
        <v>1492</v>
      </c>
      <c r="H208" s="2" t="s">
        <v>1176</v>
      </c>
      <c r="I208" s="5" t="s">
        <v>74</v>
      </c>
      <c r="J208" s="2" t="s">
        <v>6743</v>
      </c>
      <c r="K208" s="2" t="s">
        <v>71</v>
      </c>
      <c r="L208" s="5" t="n">
        <v>300</v>
      </c>
    </row>
    <row r="209" customFormat="false" ht="46.25" hidden="false" customHeight="false" outlineLevel="0" collapsed="false">
      <c r="A209" s="5" t="s">
        <v>1495</v>
      </c>
      <c r="B209" s="2" t="s">
        <v>1496</v>
      </c>
      <c r="C209" s="5" t="s">
        <v>488</v>
      </c>
      <c r="D209" s="5" t="s">
        <v>71</v>
      </c>
      <c r="E209" s="2" t="s">
        <v>1105</v>
      </c>
      <c r="F209" s="2"/>
      <c r="G209" s="2" t="s">
        <v>1497</v>
      </c>
      <c r="H209" s="2" t="s">
        <v>1176</v>
      </c>
      <c r="I209" s="5" t="s">
        <v>74</v>
      </c>
      <c r="J209" s="2" t="s">
        <v>6744</v>
      </c>
      <c r="K209" s="2" t="s">
        <v>71</v>
      </c>
      <c r="L209" s="5" t="n">
        <v>300</v>
      </c>
    </row>
    <row r="210" customFormat="false" ht="68.65" hidden="false" customHeight="false" outlineLevel="0" collapsed="false">
      <c r="A210" s="5" t="s">
        <v>1500</v>
      </c>
      <c r="B210" s="2" t="s">
        <v>1501</v>
      </c>
      <c r="C210" s="5" t="s">
        <v>488</v>
      </c>
      <c r="D210" s="5" t="s">
        <v>71</v>
      </c>
      <c r="E210" s="2" t="s">
        <v>1114</v>
      </c>
      <c r="F210" s="2"/>
      <c r="G210" s="2" t="s">
        <v>1502</v>
      </c>
      <c r="H210" s="2" t="s">
        <v>1503</v>
      </c>
      <c r="I210" s="5" t="s">
        <v>74</v>
      </c>
      <c r="J210" s="2" t="s">
        <v>6745</v>
      </c>
      <c r="K210" s="2" t="s">
        <v>71</v>
      </c>
      <c r="L210" s="5" t="n">
        <v>300</v>
      </c>
    </row>
    <row r="211" customFormat="false" ht="15" hidden="false" customHeight="false" outlineLevel="0" collapsed="false">
      <c r="A211" s="5" t="s">
        <v>1506</v>
      </c>
      <c r="B211" s="2" t="s">
        <v>1507</v>
      </c>
      <c r="C211" s="5" t="s">
        <v>488</v>
      </c>
      <c r="D211" s="5" t="s">
        <v>71</v>
      </c>
      <c r="E211" s="2" t="s">
        <v>1160</v>
      </c>
      <c r="F211" s="2"/>
      <c r="G211" s="2" t="s">
        <v>1508</v>
      </c>
      <c r="H211" s="2" t="s">
        <v>1193</v>
      </c>
      <c r="I211" s="5" t="s">
        <v>74</v>
      </c>
      <c r="J211" s="2" t="s">
        <v>6746</v>
      </c>
      <c r="K211" s="2" t="s">
        <v>71</v>
      </c>
      <c r="L211" s="5" t="n">
        <v>300</v>
      </c>
    </row>
    <row r="212" customFormat="false" ht="35.05" hidden="false" customHeight="false" outlineLevel="0" collapsed="false">
      <c r="A212" s="5" t="s">
        <v>1511</v>
      </c>
      <c r="B212" s="2" t="s">
        <v>1512</v>
      </c>
      <c r="C212" s="5" t="s">
        <v>488</v>
      </c>
      <c r="D212" s="5" t="s">
        <v>71</v>
      </c>
      <c r="E212" s="2" t="s">
        <v>1514</v>
      </c>
      <c r="F212" s="2"/>
      <c r="G212" s="2" t="s">
        <v>1515</v>
      </c>
      <c r="H212" s="2" t="s">
        <v>1257</v>
      </c>
      <c r="I212" s="5" t="s">
        <v>74</v>
      </c>
      <c r="J212" s="2" t="s">
        <v>6747</v>
      </c>
      <c r="K212" s="2" t="s">
        <v>71</v>
      </c>
      <c r="L212" s="5" t="n">
        <v>300</v>
      </c>
    </row>
    <row r="213" customFormat="false" ht="46.25" hidden="false" customHeight="false" outlineLevel="0" collapsed="false">
      <c r="A213" s="5" t="s">
        <v>1519</v>
      </c>
      <c r="B213" s="2" t="s">
        <v>1520</v>
      </c>
      <c r="C213" s="5" t="s">
        <v>488</v>
      </c>
      <c r="D213" s="5" t="s">
        <v>71</v>
      </c>
      <c r="E213" s="2" t="s">
        <v>1105</v>
      </c>
      <c r="F213" s="2"/>
      <c r="G213" s="2" t="s">
        <v>1521</v>
      </c>
      <c r="H213" s="2" t="s">
        <v>1176</v>
      </c>
      <c r="I213" s="5" t="s">
        <v>74</v>
      </c>
      <c r="J213" s="2" t="s">
        <v>6748</v>
      </c>
      <c r="K213" s="2" t="s">
        <v>71</v>
      </c>
      <c r="L213" s="5" t="n">
        <v>300</v>
      </c>
    </row>
    <row r="214" customFormat="false" ht="35.05" hidden="false" customHeight="false" outlineLevel="0" collapsed="false">
      <c r="A214" s="5" t="s">
        <v>1524</v>
      </c>
      <c r="B214" s="2" t="s">
        <v>1525</v>
      </c>
      <c r="C214" s="5" t="s">
        <v>488</v>
      </c>
      <c r="D214" s="5" t="s">
        <v>71</v>
      </c>
      <c r="E214" s="2" t="s">
        <v>1105</v>
      </c>
      <c r="F214" s="2"/>
      <c r="G214" s="2" t="s">
        <v>1526</v>
      </c>
      <c r="H214" s="2" t="s">
        <v>1176</v>
      </c>
      <c r="I214" s="5" t="s">
        <v>74</v>
      </c>
      <c r="J214" s="2" t="s">
        <v>6749</v>
      </c>
      <c r="K214" s="2" t="s">
        <v>71</v>
      </c>
      <c r="L214" s="5" t="n">
        <v>300</v>
      </c>
    </row>
    <row r="215" customFormat="false" ht="23.85" hidden="false" customHeight="false" outlineLevel="0" collapsed="false">
      <c r="A215" s="5" t="s">
        <v>1529</v>
      </c>
      <c r="B215" s="2" t="s">
        <v>1530</v>
      </c>
      <c r="C215" s="5" t="s">
        <v>488</v>
      </c>
      <c r="D215" s="5" t="s">
        <v>71</v>
      </c>
      <c r="E215" s="2" t="s">
        <v>1533</v>
      </c>
      <c r="F215" s="2"/>
      <c r="G215" s="2" t="s">
        <v>1534</v>
      </c>
      <c r="H215" s="2" t="s">
        <v>1535</v>
      </c>
      <c r="I215" s="5" t="s">
        <v>74</v>
      </c>
      <c r="J215" s="2" t="s">
        <v>6750</v>
      </c>
      <c r="K215" s="2" t="s">
        <v>71</v>
      </c>
      <c r="L215" s="5" t="n">
        <v>300</v>
      </c>
    </row>
    <row r="216" customFormat="false" ht="15" hidden="false" customHeight="false" outlineLevel="0" collapsed="false">
      <c r="A216" s="5" t="s">
        <v>1540</v>
      </c>
      <c r="B216" s="2" t="s">
        <v>1541</v>
      </c>
      <c r="C216" s="5" t="s">
        <v>488</v>
      </c>
      <c r="D216" s="5" t="s">
        <v>71</v>
      </c>
      <c r="E216" s="2" t="s">
        <v>1160</v>
      </c>
      <c r="F216" s="2"/>
      <c r="G216" s="2" t="s">
        <v>1542</v>
      </c>
      <c r="H216" s="2" t="s">
        <v>1193</v>
      </c>
      <c r="I216" s="5" t="s">
        <v>74</v>
      </c>
      <c r="J216" s="2" t="s">
        <v>6751</v>
      </c>
      <c r="K216" s="2" t="s">
        <v>71</v>
      </c>
      <c r="L216" s="5" t="n">
        <v>300</v>
      </c>
    </row>
    <row r="217" customFormat="false" ht="15" hidden="false" customHeight="false" outlineLevel="0" collapsed="false">
      <c r="A217" s="5" t="s">
        <v>1545</v>
      </c>
      <c r="B217" s="2" t="s">
        <v>1546</v>
      </c>
      <c r="C217" s="5" t="s">
        <v>488</v>
      </c>
      <c r="D217" s="5" t="s">
        <v>71</v>
      </c>
      <c r="E217" s="2" t="s">
        <v>1160</v>
      </c>
      <c r="F217" s="2"/>
      <c r="G217" s="2" t="s">
        <v>1547</v>
      </c>
      <c r="H217" s="2" t="s">
        <v>1193</v>
      </c>
      <c r="I217" s="5" t="s">
        <v>74</v>
      </c>
      <c r="J217" s="2" t="s">
        <v>6752</v>
      </c>
      <c r="K217" s="2" t="s">
        <v>71</v>
      </c>
      <c r="L217" s="5" t="n">
        <v>300</v>
      </c>
    </row>
    <row r="218" customFormat="false" ht="57.45" hidden="false" customHeight="false" outlineLevel="0" collapsed="false">
      <c r="A218" s="5" t="s">
        <v>1550</v>
      </c>
      <c r="B218" s="2" t="s">
        <v>1551</v>
      </c>
      <c r="C218" s="5" t="s">
        <v>488</v>
      </c>
      <c r="D218" s="5" t="s">
        <v>71</v>
      </c>
      <c r="E218" s="2" t="s">
        <v>1160</v>
      </c>
      <c r="F218" s="2"/>
      <c r="G218" s="2" t="s">
        <v>1552</v>
      </c>
      <c r="H218" s="2" t="s">
        <v>1553</v>
      </c>
      <c r="I218" s="5" t="s">
        <v>74</v>
      </c>
      <c r="J218" s="2" t="s">
        <v>6753</v>
      </c>
      <c r="K218" s="2" t="s">
        <v>71</v>
      </c>
      <c r="L218" s="5" t="n">
        <v>300</v>
      </c>
    </row>
    <row r="219" customFormat="false" ht="57.45" hidden="false" customHeight="false" outlineLevel="0" collapsed="false">
      <c r="A219" s="5" t="s">
        <v>1556</v>
      </c>
      <c r="B219" s="2" t="s">
        <v>1557</v>
      </c>
      <c r="C219" s="5" t="s">
        <v>488</v>
      </c>
      <c r="D219" s="5" t="s">
        <v>71</v>
      </c>
      <c r="E219" s="2" t="s">
        <v>1160</v>
      </c>
      <c r="F219" s="2"/>
      <c r="G219" s="2" t="s">
        <v>1558</v>
      </c>
      <c r="H219" s="2" t="s">
        <v>1162</v>
      </c>
      <c r="I219" s="5" t="s">
        <v>74</v>
      </c>
      <c r="J219" s="2" t="s">
        <v>6754</v>
      </c>
      <c r="K219" s="2" t="s">
        <v>71</v>
      </c>
      <c r="L219" s="5" t="n">
        <v>300</v>
      </c>
    </row>
    <row r="220" customFormat="false" ht="35.05" hidden="false" customHeight="false" outlineLevel="0" collapsed="false">
      <c r="A220" s="5" t="s">
        <v>1561</v>
      </c>
      <c r="B220" s="2" t="s">
        <v>1562</v>
      </c>
      <c r="C220" s="5" t="s">
        <v>488</v>
      </c>
      <c r="D220" s="5" t="s">
        <v>71</v>
      </c>
      <c r="E220" s="2" t="s">
        <v>6755</v>
      </c>
      <c r="F220" s="2"/>
      <c r="G220" s="2" t="s">
        <v>1564</v>
      </c>
      <c r="H220" s="2" t="s">
        <v>1257</v>
      </c>
      <c r="I220" s="5" t="s">
        <v>74</v>
      </c>
      <c r="J220" s="2" t="s">
        <v>6756</v>
      </c>
      <c r="K220" s="2" t="s">
        <v>71</v>
      </c>
      <c r="L220" s="5" t="n">
        <v>300</v>
      </c>
    </row>
    <row r="221" customFormat="false" ht="23.85" hidden="false" customHeight="false" outlineLevel="0" collapsed="false">
      <c r="A221" s="5" t="s">
        <v>1567</v>
      </c>
      <c r="B221" s="2" t="s">
        <v>1568</v>
      </c>
      <c r="C221" s="5" t="s">
        <v>488</v>
      </c>
      <c r="D221" s="5" t="s">
        <v>71</v>
      </c>
      <c r="E221" s="2" t="s">
        <v>1569</v>
      </c>
      <c r="F221" s="2"/>
      <c r="G221" s="2"/>
      <c r="H221" s="2" t="s">
        <v>1098</v>
      </c>
      <c r="I221" s="5" t="s">
        <v>74</v>
      </c>
      <c r="J221" s="2" t="s">
        <v>6757</v>
      </c>
      <c r="K221" s="2" t="s">
        <v>71</v>
      </c>
      <c r="L221" s="5" t="n">
        <v>300</v>
      </c>
    </row>
    <row r="222" customFormat="false" ht="35.05" hidden="false" customHeight="false" outlineLevel="0" collapsed="false">
      <c r="A222" s="5" t="s">
        <v>1573</v>
      </c>
      <c r="B222" s="2" t="s">
        <v>1574</v>
      </c>
      <c r="C222" s="5" t="s">
        <v>488</v>
      </c>
      <c r="D222" s="5" t="s">
        <v>71</v>
      </c>
      <c r="E222" s="2" t="s">
        <v>1105</v>
      </c>
      <c r="F222" s="2"/>
      <c r="G222" s="2" t="s">
        <v>1576</v>
      </c>
      <c r="H222" s="2" t="s">
        <v>1269</v>
      </c>
      <c r="I222" s="5" t="s">
        <v>74</v>
      </c>
      <c r="J222" s="2" t="s">
        <v>6758</v>
      </c>
      <c r="K222" s="2" t="s">
        <v>71</v>
      </c>
      <c r="L222" s="5" t="n">
        <v>300</v>
      </c>
    </row>
    <row r="223" customFormat="false" ht="23.85" hidden="false" customHeight="false" outlineLevel="0" collapsed="false">
      <c r="A223" s="5" t="s">
        <v>1579</v>
      </c>
      <c r="B223" s="2" t="s">
        <v>1580</v>
      </c>
      <c r="C223" s="5" t="s">
        <v>488</v>
      </c>
      <c r="D223" s="5" t="s">
        <v>71</v>
      </c>
      <c r="E223" s="2" t="s">
        <v>1581</v>
      </c>
      <c r="F223" s="2"/>
      <c r="G223" s="2" t="s">
        <v>1582</v>
      </c>
      <c r="H223" s="2" t="s">
        <v>1583</v>
      </c>
      <c r="I223" s="5" t="s">
        <v>74</v>
      </c>
      <c r="J223" s="2" t="s">
        <v>6759</v>
      </c>
      <c r="K223" s="2" t="s">
        <v>71</v>
      </c>
      <c r="L223" s="5" t="n">
        <v>300</v>
      </c>
    </row>
    <row r="224" customFormat="false" ht="57.45" hidden="false" customHeight="false" outlineLevel="0" collapsed="false">
      <c r="A224" s="5" t="s">
        <v>1587</v>
      </c>
      <c r="B224" s="2" t="s">
        <v>1588</v>
      </c>
      <c r="C224" s="5" t="s">
        <v>488</v>
      </c>
      <c r="D224" s="5" t="s">
        <v>71</v>
      </c>
      <c r="E224" s="2" t="s">
        <v>1105</v>
      </c>
      <c r="F224" s="2"/>
      <c r="G224" s="2" t="s">
        <v>1589</v>
      </c>
      <c r="H224" s="2" t="s">
        <v>1176</v>
      </c>
      <c r="I224" s="5" t="s">
        <v>74</v>
      </c>
      <c r="J224" s="2" t="s">
        <v>6760</v>
      </c>
      <c r="K224" s="2" t="s">
        <v>71</v>
      </c>
      <c r="L224" s="5" t="n">
        <v>300</v>
      </c>
    </row>
    <row r="225" customFormat="false" ht="23.85" hidden="false" customHeight="false" outlineLevel="0" collapsed="false">
      <c r="A225" s="5" t="s">
        <v>1592</v>
      </c>
      <c r="B225" s="2" t="s">
        <v>1593</v>
      </c>
      <c r="C225" s="5" t="s">
        <v>488</v>
      </c>
      <c r="D225" s="5" t="s">
        <v>71</v>
      </c>
      <c r="E225" s="2" t="s">
        <v>1595</v>
      </c>
      <c r="F225" s="2"/>
      <c r="G225" s="2" t="s">
        <v>1596</v>
      </c>
      <c r="H225" s="2" t="s">
        <v>1597</v>
      </c>
      <c r="I225" s="5" t="s">
        <v>74</v>
      </c>
      <c r="J225" s="2" t="s">
        <v>6761</v>
      </c>
      <c r="K225" s="2" t="s">
        <v>71</v>
      </c>
      <c r="L225" s="5" t="n">
        <v>300</v>
      </c>
    </row>
    <row r="226" customFormat="false" ht="23.85" hidden="false" customHeight="false" outlineLevel="0" collapsed="false">
      <c r="A226" s="5" t="s">
        <v>1601</v>
      </c>
      <c r="B226" s="2" t="s">
        <v>1602</v>
      </c>
      <c r="C226" s="5" t="s">
        <v>488</v>
      </c>
      <c r="D226" s="5" t="s">
        <v>71</v>
      </c>
      <c r="E226" s="2" t="s">
        <v>1604</v>
      </c>
      <c r="F226" s="2"/>
      <c r="G226" s="2" t="s">
        <v>1605</v>
      </c>
      <c r="H226" s="2" t="s">
        <v>1606</v>
      </c>
      <c r="I226" s="5" t="s">
        <v>74</v>
      </c>
      <c r="J226" s="2" t="s">
        <v>6762</v>
      </c>
      <c r="K226" s="2" t="s">
        <v>71</v>
      </c>
      <c r="L226" s="5" t="n">
        <v>300</v>
      </c>
    </row>
    <row r="227" customFormat="false" ht="23.85" hidden="false" customHeight="false" outlineLevel="0" collapsed="false">
      <c r="A227" s="5" t="s">
        <v>1610</v>
      </c>
      <c r="B227" s="2" t="s">
        <v>1611</v>
      </c>
      <c r="C227" s="5" t="s">
        <v>488</v>
      </c>
      <c r="D227" s="5" t="s">
        <v>71</v>
      </c>
      <c r="E227" s="2" t="s">
        <v>1612</v>
      </c>
      <c r="F227" s="2"/>
      <c r="G227" s="2" t="s">
        <v>1613</v>
      </c>
      <c r="H227" s="2" t="s">
        <v>1614</v>
      </c>
      <c r="I227" s="5" t="s">
        <v>74</v>
      </c>
      <c r="J227" s="2" t="s">
        <v>6763</v>
      </c>
      <c r="K227" s="2" t="s">
        <v>71</v>
      </c>
      <c r="L227" s="5" t="n">
        <v>300</v>
      </c>
    </row>
    <row r="228" customFormat="false" ht="23.85" hidden="false" customHeight="false" outlineLevel="0" collapsed="false">
      <c r="A228" s="5" t="s">
        <v>1618</v>
      </c>
      <c r="B228" s="2" t="s">
        <v>1619</v>
      </c>
      <c r="C228" s="5" t="s">
        <v>488</v>
      </c>
      <c r="D228" s="5" t="s">
        <v>71</v>
      </c>
      <c r="E228" s="2" t="s">
        <v>1612</v>
      </c>
      <c r="F228" s="2"/>
      <c r="G228" s="2" t="s">
        <v>1620</v>
      </c>
      <c r="H228" s="2" t="s">
        <v>1621</v>
      </c>
      <c r="I228" s="5" t="s">
        <v>74</v>
      </c>
      <c r="J228" s="2" t="s">
        <v>6764</v>
      </c>
      <c r="K228" s="2" t="s">
        <v>71</v>
      </c>
      <c r="L228" s="5" t="n">
        <v>300</v>
      </c>
    </row>
    <row r="229" customFormat="false" ht="15" hidden="false" customHeight="false" outlineLevel="0" collapsed="false">
      <c r="A229" s="5" t="s">
        <v>1624</v>
      </c>
      <c r="B229" s="2" t="s">
        <v>1625</v>
      </c>
      <c r="C229" s="5" t="s">
        <v>488</v>
      </c>
      <c r="D229" s="5" t="s">
        <v>71</v>
      </c>
      <c r="E229" s="2" t="s">
        <v>210</v>
      </c>
      <c r="F229" s="2"/>
      <c r="G229" s="2" t="s">
        <v>1626</v>
      </c>
      <c r="H229" s="2" t="s">
        <v>1627</v>
      </c>
      <c r="I229" s="5" t="s">
        <v>74</v>
      </c>
      <c r="J229" s="2" t="s">
        <v>6765</v>
      </c>
      <c r="K229" s="2" t="s">
        <v>71</v>
      </c>
      <c r="L229" s="5" t="n">
        <v>300</v>
      </c>
    </row>
    <row r="230" customFormat="false" ht="359.7" hidden="false" customHeight="false" outlineLevel="0" collapsed="false">
      <c r="A230" s="5" t="s">
        <v>1630</v>
      </c>
      <c r="B230" s="2" t="s">
        <v>1631</v>
      </c>
      <c r="C230" s="5" t="s">
        <v>488</v>
      </c>
      <c r="D230" s="5" t="s">
        <v>71</v>
      </c>
      <c r="E230" s="2" t="s">
        <v>6766</v>
      </c>
      <c r="F230" s="2" t="s">
        <v>1632</v>
      </c>
      <c r="G230" s="2" t="s">
        <v>1633</v>
      </c>
      <c r="H230" s="2" t="s">
        <v>1634</v>
      </c>
      <c r="I230" s="5" t="s">
        <v>74</v>
      </c>
      <c r="J230" s="2" t="s">
        <v>6767</v>
      </c>
      <c r="K230" s="2" t="s">
        <v>71</v>
      </c>
      <c r="L230" s="5" t="n">
        <v>300</v>
      </c>
    </row>
    <row r="231" customFormat="false" ht="35.05" hidden="false" customHeight="false" outlineLevel="0" collapsed="false">
      <c r="A231" s="5" t="s">
        <v>1638</v>
      </c>
      <c r="B231" s="2" t="s">
        <v>1639</v>
      </c>
      <c r="C231" s="5" t="s">
        <v>488</v>
      </c>
      <c r="D231" s="5" t="s">
        <v>71</v>
      </c>
      <c r="E231" s="2" t="s">
        <v>1114</v>
      </c>
      <c r="F231" s="2"/>
      <c r="G231" s="2" t="s">
        <v>1640</v>
      </c>
      <c r="H231" s="2" t="s">
        <v>1641</v>
      </c>
      <c r="I231" s="5" t="s">
        <v>74</v>
      </c>
      <c r="J231" s="2" t="s">
        <v>6768</v>
      </c>
      <c r="K231" s="2" t="s">
        <v>71</v>
      </c>
      <c r="L231" s="5" t="n">
        <v>300</v>
      </c>
    </row>
    <row r="232" customFormat="false" ht="158.2" hidden="false" customHeight="false" outlineLevel="0" collapsed="false">
      <c r="A232" s="5" t="s">
        <v>1644</v>
      </c>
      <c r="B232" s="2" t="s">
        <v>1645</v>
      </c>
      <c r="C232" s="5" t="s">
        <v>488</v>
      </c>
      <c r="D232" s="5" t="s">
        <v>71</v>
      </c>
      <c r="E232" s="2" t="s">
        <v>1105</v>
      </c>
      <c r="F232" s="2"/>
      <c r="G232" s="2" t="s">
        <v>1647</v>
      </c>
      <c r="H232" s="2" t="s">
        <v>1176</v>
      </c>
      <c r="I232" s="5" t="s">
        <v>74</v>
      </c>
      <c r="J232" s="2" t="s">
        <v>6769</v>
      </c>
      <c r="K232" s="2" t="s">
        <v>71</v>
      </c>
      <c r="L232" s="5" t="n">
        <v>300</v>
      </c>
    </row>
    <row r="233" customFormat="false" ht="91" hidden="false" customHeight="false" outlineLevel="0" collapsed="false">
      <c r="A233" s="5" t="s">
        <v>1650</v>
      </c>
      <c r="B233" s="2" t="s">
        <v>1651</v>
      </c>
      <c r="C233" s="5" t="s">
        <v>488</v>
      </c>
      <c r="D233" s="5" t="s">
        <v>71</v>
      </c>
      <c r="E233" s="2" t="s">
        <v>368</v>
      </c>
      <c r="F233" s="2"/>
      <c r="G233" s="2" t="s">
        <v>1652</v>
      </c>
      <c r="H233" s="2" t="s">
        <v>1653</v>
      </c>
      <c r="I233" s="5" t="s">
        <v>74</v>
      </c>
      <c r="J233" s="2" t="s">
        <v>6770</v>
      </c>
      <c r="K233" s="2" t="s">
        <v>71</v>
      </c>
      <c r="L233" s="5" t="n">
        <v>300</v>
      </c>
    </row>
    <row r="234" customFormat="false" ht="68.65" hidden="false" customHeight="false" outlineLevel="0" collapsed="false">
      <c r="A234" s="5" t="s">
        <v>1656</v>
      </c>
      <c r="B234" s="2" t="s">
        <v>1657</v>
      </c>
      <c r="C234" s="5" t="s">
        <v>488</v>
      </c>
      <c r="D234" s="5" t="s">
        <v>71</v>
      </c>
      <c r="E234" s="2" t="s">
        <v>1105</v>
      </c>
      <c r="F234" s="2"/>
      <c r="G234" s="2" t="s">
        <v>1658</v>
      </c>
      <c r="H234" s="2" t="s">
        <v>1659</v>
      </c>
      <c r="I234" s="5" t="s">
        <v>74</v>
      </c>
      <c r="J234" s="2" t="s">
        <v>6771</v>
      </c>
      <c r="K234" s="2" t="s">
        <v>71</v>
      </c>
      <c r="L234" s="5" t="n">
        <v>300</v>
      </c>
    </row>
    <row r="235" customFormat="false" ht="46.25" hidden="false" customHeight="false" outlineLevel="0" collapsed="false">
      <c r="A235" s="5" t="s">
        <v>1662</v>
      </c>
      <c r="B235" s="2" t="s">
        <v>1663</v>
      </c>
      <c r="C235" s="5" t="s">
        <v>488</v>
      </c>
      <c r="D235" s="5" t="s">
        <v>71</v>
      </c>
      <c r="E235" s="2" t="s">
        <v>1105</v>
      </c>
      <c r="F235" s="2"/>
      <c r="G235" s="2" t="s">
        <v>1664</v>
      </c>
      <c r="H235" s="2" t="s">
        <v>1139</v>
      </c>
      <c r="I235" s="5" t="s">
        <v>74</v>
      </c>
      <c r="J235" s="2" t="s">
        <v>6772</v>
      </c>
      <c r="K235" s="2" t="s">
        <v>71</v>
      </c>
      <c r="L235" s="5" t="n">
        <v>300</v>
      </c>
    </row>
    <row r="236" customFormat="false" ht="23.85" hidden="false" customHeight="false" outlineLevel="0" collapsed="false">
      <c r="A236" s="5" t="s">
        <v>1667</v>
      </c>
      <c r="B236" s="2" t="s">
        <v>1668</v>
      </c>
      <c r="C236" s="5" t="s">
        <v>488</v>
      </c>
      <c r="D236" s="5" t="s">
        <v>71</v>
      </c>
      <c r="E236" s="2" t="s">
        <v>1105</v>
      </c>
      <c r="F236" s="2"/>
      <c r="G236" s="2" t="s">
        <v>1669</v>
      </c>
      <c r="H236" s="2" t="s">
        <v>1269</v>
      </c>
      <c r="I236" s="5" t="s">
        <v>74</v>
      </c>
      <c r="J236" s="2" t="s">
        <v>6773</v>
      </c>
      <c r="K236" s="2" t="s">
        <v>71</v>
      </c>
      <c r="L236" s="5" t="n">
        <v>300</v>
      </c>
    </row>
    <row r="237" customFormat="false" ht="23.85" hidden="false" customHeight="false" outlineLevel="0" collapsed="false">
      <c r="A237" s="5" t="s">
        <v>1672</v>
      </c>
      <c r="B237" s="2" t="s">
        <v>1673</v>
      </c>
      <c r="C237" s="5" t="s">
        <v>488</v>
      </c>
      <c r="D237" s="5" t="s">
        <v>6774</v>
      </c>
      <c r="E237" s="2" t="s">
        <v>1533</v>
      </c>
      <c r="F237" s="2"/>
      <c r="G237" s="2" t="s">
        <v>6775</v>
      </c>
      <c r="H237" s="2" t="s">
        <v>624</v>
      </c>
      <c r="I237" s="5" t="s">
        <v>734</v>
      </c>
      <c r="J237" s="2" t="s">
        <v>6776</v>
      </c>
      <c r="K237" s="2" t="s">
        <v>1674</v>
      </c>
      <c r="L237" s="5" t="n">
        <v>300</v>
      </c>
    </row>
    <row r="238" customFormat="false" ht="15" hidden="false" customHeight="false" outlineLevel="0" collapsed="false">
      <c r="A238" s="5" t="s">
        <v>1672</v>
      </c>
      <c r="B238" s="2" t="s">
        <v>1673</v>
      </c>
      <c r="C238" s="5" t="s">
        <v>488</v>
      </c>
      <c r="D238" s="5" t="s">
        <v>6777</v>
      </c>
      <c r="E238" s="2" t="s">
        <v>1533</v>
      </c>
      <c r="F238" s="2"/>
      <c r="G238" s="2" t="s">
        <v>6778</v>
      </c>
      <c r="H238" s="2" t="s">
        <v>6779</v>
      </c>
      <c r="I238" s="5" t="s">
        <v>734</v>
      </c>
      <c r="J238" s="2" t="s">
        <v>6780</v>
      </c>
      <c r="K238" s="2" t="s">
        <v>1674</v>
      </c>
      <c r="L238" s="5" t="n">
        <v>300</v>
      </c>
    </row>
    <row r="239" customFormat="false" ht="35.05" hidden="false" customHeight="false" outlineLevel="0" collapsed="false">
      <c r="A239" s="5" t="s">
        <v>1681</v>
      </c>
      <c r="B239" s="2" t="s">
        <v>1682</v>
      </c>
      <c r="C239" s="5" t="s">
        <v>488</v>
      </c>
      <c r="D239" s="5" t="s">
        <v>71</v>
      </c>
      <c r="E239" s="2" t="s">
        <v>1105</v>
      </c>
      <c r="F239" s="2"/>
      <c r="G239" s="2" t="s">
        <v>1683</v>
      </c>
      <c r="H239" s="2" t="s">
        <v>1176</v>
      </c>
      <c r="I239" s="5" t="s">
        <v>74</v>
      </c>
      <c r="J239" s="2" t="s">
        <v>6781</v>
      </c>
      <c r="K239" s="2" t="s">
        <v>71</v>
      </c>
      <c r="L239" s="5" t="n">
        <v>300</v>
      </c>
    </row>
    <row r="240" customFormat="false" ht="23.85" hidden="false" customHeight="false" outlineLevel="0" collapsed="false">
      <c r="A240" s="5" t="s">
        <v>1686</v>
      </c>
      <c r="B240" s="2" t="s">
        <v>1687</v>
      </c>
      <c r="C240" s="5" t="s">
        <v>488</v>
      </c>
      <c r="D240" s="5" t="s">
        <v>71</v>
      </c>
      <c r="E240" s="2" t="s">
        <v>1105</v>
      </c>
      <c r="F240" s="2"/>
      <c r="G240" s="2" t="s">
        <v>1688</v>
      </c>
      <c r="H240" s="2" t="s">
        <v>1176</v>
      </c>
      <c r="I240" s="5" t="s">
        <v>74</v>
      </c>
      <c r="J240" s="2" t="s">
        <v>6782</v>
      </c>
      <c r="K240" s="2" t="s">
        <v>71</v>
      </c>
      <c r="L240" s="5" t="n">
        <v>300</v>
      </c>
    </row>
    <row r="241" customFormat="false" ht="68.65" hidden="false" customHeight="false" outlineLevel="0" collapsed="false">
      <c r="A241" s="5" t="s">
        <v>1691</v>
      </c>
      <c r="B241" s="2" t="s">
        <v>1692</v>
      </c>
      <c r="C241" s="5" t="s">
        <v>488</v>
      </c>
      <c r="D241" s="5" t="s">
        <v>71</v>
      </c>
      <c r="E241" s="2" t="s">
        <v>1160</v>
      </c>
      <c r="F241" s="2"/>
      <c r="G241" s="2" t="s">
        <v>1693</v>
      </c>
      <c r="H241" s="2" t="s">
        <v>1193</v>
      </c>
      <c r="I241" s="5" t="s">
        <v>74</v>
      </c>
      <c r="J241" s="2" t="s">
        <v>6783</v>
      </c>
      <c r="K241" s="2" t="s">
        <v>71</v>
      </c>
      <c r="L241" s="5" t="n">
        <v>300</v>
      </c>
    </row>
    <row r="242" customFormat="false" ht="35.05" hidden="false" customHeight="false" outlineLevel="0" collapsed="false">
      <c r="A242" s="5" t="s">
        <v>1696</v>
      </c>
      <c r="B242" s="2" t="s">
        <v>1697</v>
      </c>
      <c r="C242" s="5" t="s">
        <v>488</v>
      </c>
      <c r="D242" s="5" t="s">
        <v>71</v>
      </c>
      <c r="E242" s="2" t="s">
        <v>1105</v>
      </c>
      <c r="F242" s="2"/>
      <c r="G242" s="2" t="s">
        <v>1698</v>
      </c>
      <c r="H242" s="2" t="s">
        <v>1358</v>
      </c>
      <c r="I242" s="5" t="s">
        <v>74</v>
      </c>
      <c r="J242" s="2" t="s">
        <v>6784</v>
      </c>
      <c r="K242" s="2" t="s">
        <v>71</v>
      </c>
      <c r="L242" s="5" t="n">
        <v>300</v>
      </c>
    </row>
    <row r="243" customFormat="false" ht="382.05" hidden="false" customHeight="false" outlineLevel="0" collapsed="false">
      <c r="A243" s="5" t="s">
        <v>1701</v>
      </c>
      <c r="B243" s="2" t="s">
        <v>1702</v>
      </c>
      <c r="C243" s="5" t="s">
        <v>488</v>
      </c>
      <c r="D243" s="5" t="s">
        <v>71</v>
      </c>
      <c r="E243" s="2" t="s">
        <v>1457</v>
      </c>
      <c r="F243" s="2"/>
      <c r="G243" s="2" t="s">
        <v>1703</v>
      </c>
      <c r="H243" s="2" t="s">
        <v>1704</v>
      </c>
      <c r="I243" s="5" t="s">
        <v>74</v>
      </c>
      <c r="J243" s="2" t="s">
        <v>6785</v>
      </c>
      <c r="K243" s="2" t="s">
        <v>71</v>
      </c>
      <c r="L243" s="5" t="n">
        <v>300</v>
      </c>
    </row>
    <row r="244" customFormat="false" ht="35.05" hidden="false" customHeight="false" outlineLevel="0" collapsed="false">
      <c r="A244" s="5" t="s">
        <v>1707</v>
      </c>
      <c r="B244" s="2" t="s">
        <v>1708</v>
      </c>
      <c r="C244" s="5" t="s">
        <v>488</v>
      </c>
      <c r="D244" s="5" t="s">
        <v>71</v>
      </c>
      <c r="E244" s="2" t="s">
        <v>1105</v>
      </c>
      <c r="F244" s="2"/>
      <c r="G244" s="2" t="s">
        <v>1709</v>
      </c>
      <c r="H244" s="2" t="s">
        <v>1139</v>
      </c>
      <c r="I244" s="5" t="s">
        <v>74</v>
      </c>
      <c r="J244" s="2" t="s">
        <v>6786</v>
      </c>
      <c r="K244" s="2" t="s">
        <v>71</v>
      </c>
      <c r="L244" s="5" t="n">
        <v>300</v>
      </c>
    </row>
    <row r="245" customFormat="false" ht="102.2" hidden="false" customHeight="false" outlineLevel="0" collapsed="false">
      <c r="A245" s="5" t="s">
        <v>1712</v>
      </c>
      <c r="B245" s="2" t="s">
        <v>1713</v>
      </c>
      <c r="C245" s="5" t="s">
        <v>488</v>
      </c>
      <c r="D245" s="5" t="s">
        <v>71</v>
      </c>
      <c r="E245" s="2" t="s">
        <v>1212</v>
      </c>
      <c r="F245" s="2"/>
      <c r="G245" s="2" t="s">
        <v>1715</v>
      </c>
      <c r="H245" s="2" t="s">
        <v>1716</v>
      </c>
      <c r="I245" s="5" t="s">
        <v>74</v>
      </c>
      <c r="J245" s="2" t="s">
        <v>6787</v>
      </c>
      <c r="K245" s="2" t="s">
        <v>71</v>
      </c>
      <c r="L245" s="5" t="n">
        <v>300</v>
      </c>
    </row>
    <row r="246" customFormat="false" ht="23.85" hidden="false" customHeight="false" outlineLevel="0" collapsed="false">
      <c r="A246" s="5" t="s">
        <v>1719</v>
      </c>
      <c r="B246" s="2" t="s">
        <v>1720</v>
      </c>
      <c r="C246" s="5" t="s">
        <v>488</v>
      </c>
      <c r="D246" s="5" t="s">
        <v>71</v>
      </c>
      <c r="E246" s="2" t="s">
        <v>1105</v>
      </c>
      <c r="F246" s="2"/>
      <c r="G246" s="2" t="s">
        <v>1722</v>
      </c>
      <c r="H246" s="2" t="s">
        <v>1139</v>
      </c>
      <c r="I246" s="5" t="s">
        <v>74</v>
      </c>
      <c r="J246" s="2" t="s">
        <v>6788</v>
      </c>
      <c r="K246" s="2" t="s">
        <v>71</v>
      </c>
      <c r="L246" s="5" t="n">
        <v>300</v>
      </c>
    </row>
    <row r="247" customFormat="false" ht="35.05" hidden="false" customHeight="false" outlineLevel="0" collapsed="false">
      <c r="A247" s="5" t="s">
        <v>1725</v>
      </c>
      <c r="B247" s="2" t="s">
        <v>1726</v>
      </c>
      <c r="C247" s="5" t="s">
        <v>488</v>
      </c>
      <c r="D247" s="5" t="s">
        <v>71</v>
      </c>
      <c r="E247" s="2" t="s">
        <v>1105</v>
      </c>
      <c r="F247" s="2"/>
      <c r="G247" s="2" t="s">
        <v>1727</v>
      </c>
      <c r="H247" s="2" t="s">
        <v>1139</v>
      </c>
      <c r="I247" s="5" t="s">
        <v>74</v>
      </c>
      <c r="J247" s="2" t="s">
        <v>6789</v>
      </c>
      <c r="K247" s="2" t="s">
        <v>71</v>
      </c>
      <c r="L247" s="5" t="n">
        <v>300</v>
      </c>
    </row>
    <row r="248" customFormat="false" ht="46.25" hidden="false" customHeight="false" outlineLevel="0" collapsed="false">
      <c r="A248" s="5" t="s">
        <v>1730</v>
      </c>
      <c r="B248" s="2" t="s">
        <v>1731</v>
      </c>
      <c r="C248" s="5" t="s">
        <v>488</v>
      </c>
      <c r="D248" s="5" t="s">
        <v>71</v>
      </c>
      <c r="E248" s="2" t="s">
        <v>210</v>
      </c>
      <c r="F248" s="2"/>
      <c r="G248" s="2" t="s">
        <v>1732</v>
      </c>
      <c r="H248" s="2" t="s">
        <v>1733</v>
      </c>
      <c r="I248" s="5" t="s">
        <v>74</v>
      </c>
      <c r="J248" s="2" t="s">
        <v>6790</v>
      </c>
      <c r="K248" s="2" t="s">
        <v>71</v>
      </c>
      <c r="L248" s="5" t="n">
        <v>300</v>
      </c>
    </row>
    <row r="249" customFormat="false" ht="91" hidden="false" customHeight="false" outlineLevel="0" collapsed="false">
      <c r="A249" s="5" t="s">
        <v>1736</v>
      </c>
      <c r="B249" s="2" t="s">
        <v>1737</v>
      </c>
      <c r="C249" s="5" t="s">
        <v>488</v>
      </c>
      <c r="D249" s="5" t="s">
        <v>71</v>
      </c>
      <c r="E249" s="2" t="s">
        <v>1105</v>
      </c>
      <c r="F249" s="2"/>
      <c r="G249" s="2" t="s">
        <v>1738</v>
      </c>
      <c r="H249" s="2" t="s">
        <v>1176</v>
      </c>
      <c r="I249" s="5" t="s">
        <v>74</v>
      </c>
      <c r="J249" s="2" t="s">
        <v>6791</v>
      </c>
      <c r="K249" s="2" t="s">
        <v>71</v>
      </c>
      <c r="L249" s="5" t="n">
        <v>300</v>
      </c>
    </row>
    <row r="250" customFormat="false" ht="46.25" hidden="false" customHeight="false" outlineLevel="0" collapsed="false">
      <c r="A250" s="5" t="s">
        <v>1741</v>
      </c>
      <c r="B250" s="2" t="s">
        <v>1742</v>
      </c>
      <c r="C250" s="5" t="s">
        <v>488</v>
      </c>
      <c r="D250" s="5" t="s">
        <v>71</v>
      </c>
      <c r="E250" s="2" t="s">
        <v>1105</v>
      </c>
      <c r="F250" s="2"/>
      <c r="G250" s="2" t="s">
        <v>1743</v>
      </c>
      <c r="H250" s="2" t="s">
        <v>1139</v>
      </c>
      <c r="I250" s="5" t="s">
        <v>74</v>
      </c>
      <c r="J250" s="2" t="s">
        <v>6792</v>
      </c>
      <c r="K250" s="2" t="s">
        <v>71</v>
      </c>
      <c r="L250" s="5" t="n">
        <v>300</v>
      </c>
    </row>
    <row r="251" customFormat="false" ht="23.85" hidden="false" customHeight="false" outlineLevel="0" collapsed="false">
      <c r="A251" s="5" t="s">
        <v>1746</v>
      </c>
      <c r="B251" s="2" t="s">
        <v>1747</v>
      </c>
      <c r="C251" s="5" t="s">
        <v>488</v>
      </c>
      <c r="D251" s="5" t="s">
        <v>71</v>
      </c>
      <c r="E251" s="2" t="s">
        <v>1105</v>
      </c>
      <c r="F251" s="2"/>
      <c r="G251" s="2" t="s">
        <v>1748</v>
      </c>
      <c r="H251" s="2" t="s">
        <v>1432</v>
      </c>
      <c r="I251" s="5" t="s">
        <v>74</v>
      </c>
      <c r="J251" s="2" t="s">
        <v>6793</v>
      </c>
      <c r="K251" s="2" t="s">
        <v>71</v>
      </c>
      <c r="L251" s="5" t="n">
        <v>300</v>
      </c>
    </row>
    <row r="252" customFormat="false" ht="57.45" hidden="false" customHeight="false" outlineLevel="0" collapsed="false">
      <c r="A252" s="5" t="s">
        <v>1751</v>
      </c>
      <c r="B252" s="2" t="s">
        <v>1752</v>
      </c>
      <c r="C252" s="5" t="s">
        <v>488</v>
      </c>
      <c r="D252" s="5" t="s">
        <v>71</v>
      </c>
      <c r="E252" s="2" t="s">
        <v>1105</v>
      </c>
      <c r="F252" s="2"/>
      <c r="G252" s="2" t="s">
        <v>1754</v>
      </c>
      <c r="H252" s="2" t="s">
        <v>1176</v>
      </c>
      <c r="I252" s="5" t="s">
        <v>74</v>
      </c>
      <c r="J252" s="2" t="s">
        <v>6794</v>
      </c>
      <c r="K252" s="2" t="s">
        <v>71</v>
      </c>
      <c r="L252" s="5" t="n">
        <v>300</v>
      </c>
    </row>
    <row r="253" customFormat="false" ht="68.65" hidden="false" customHeight="false" outlineLevel="0" collapsed="false">
      <c r="A253" s="5" t="s">
        <v>1757</v>
      </c>
      <c r="B253" s="2" t="s">
        <v>1758</v>
      </c>
      <c r="C253" s="5" t="s">
        <v>488</v>
      </c>
      <c r="D253" s="5" t="s">
        <v>71</v>
      </c>
      <c r="E253" s="2" t="s">
        <v>1105</v>
      </c>
      <c r="F253" s="2"/>
      <c r="G253" s="2" t="s">
        <v>1759</v>
      </c>
      <c r="H253" s="2" t="s">
        <v>1176</v>
      </c>
      <c r="I253" s="5" t="s">
        <v>74</v>
      </c>
      <c r="J253" s="2" t="s">
        <v>6795</v>
      </c>
      <c r="K253" s="2" t="s">
        <v>71</v>
      </c>
      <c r="L253" s="5" t="n">
        <v>300</v>
      </c>
    </row>
    <row r="254" customFormat="false" ht="23.85" hidden="false" customHeight="false" outlineLevel="0" collapsed="false">
      <c r="A254" s="5" t="s">
        <v>1762</v>
      </c>
      <c r="B254" s="2" t="s">
        <v>1763</v>
      </c>
      <c r="C254" s="5" t="s">
        <v>488</v>
      </c>
      <c r="D254" s="5" t="s">
        <v>71</v>
      </c>
      <c r="E254" s="2" t="s">
        <v>1160</v>
      </c>
      <c r="F254" s="2"/>
      <c r="G254" s="2" t="s">
        <v>1765</v>
      </c>
      <c r="H254" s="2" t="s">
        <v>1162</v>
      </c>
      <c r="I254" s="5" t="s">
        <v>74</v>
      </c>
      <c r="J254" s="2" t="s">
        <v>6796</v>
      </c>
      <c r="K254" s="2" t="s">
        <v>71</v>
      </c>
      <c r="L254" s="5" t="n">
        <v>300</v>
      </c>
    </row>
    <row r="255" customFormat="false" ht="23.85" hidden="false" customHeight="false" outlineLevel="0" collapsed="false">
      <c r="A255" s="5" t="s">
        <v>1768</v>
      </c>
      <c r="B255" s="2" t="s">
        <v>1769</v>
      </c>
      <c r="C255" s="5" t="s">
        <v>488</v>
      </c>
      <c r="D255" s="5" t="s">
        <v>71</v>
      </c>
      <c r="E255" s="2" t="s">
        <v>1105</v>
      </c>
      <c r="F255" s="2"/>
      <c r="G255" s="2" t="s">
        <v>1770</v>
      </c>
      <c r="H255" s="2" t="s">
        <v>1176</v>
      </c>
      <c r="I255" s="5" t="s">
        <v>74</v>
      </c>
      <c r="J255" s="2" t="s">
        <v>6797</v>
      </c>
      <c r="K255" s="2" t="s">
        <v>71</v>
      </c>
      <c r="L255" s="5" t="n">
        <v>300</v>
      </c>
    </row>
    <row r="256" customFormat="false" ht="46.25" hidden="false" customHeight="false" outlineLevel="0" collapsed="false">
      <c r="A256" s="5" t="s">
        <v>1773</v>
      </c>
      <c r="B256" s="2" t="s">
        <v>1774</v>
      </c>
      <c r="C256" s="5" t="s">
        <v>488</v>
      </c>
      <c r="D256" s="5" t="s">
        <v>71</v>
      </c>
      <c r="E256" s="2" t="s">
        <v>1105</v>
      </c>
      <c r="F256" s="2"/>
      <c r="G256" s="2" t="s">
        <v>1775</v>
      </c>
      <c r="H256" s="2" t="s">
        <v>1176</v>
      </c>
      <c r="I256" s="5" t="s">
        <v>74</v>
      </c>
      <c r="J256" s="2" t="s">
        <v>6798</v>
      </c>
      <c r="K256" s="2" t="s">
        <v>71</v>
      </c>
      <c r="L256" s="5" t="n">
        <v>300</v>
      </c>
    </row>
    <row r="257" customFormat="false" ht="23.85" hidden="false" customHeight="false" outlineLevel="0" collapsed="false">
      <c r="A257" s="5" t="s">
        <v>1778</v>
      </c>
      <c r="B257" s="2" t="s">
        <v>1779</v>
      </c>
      <c r="C257" s="5" t="s">
        <v>488</v>
      </c>
      <c r="D257" s="5" t="s">
        <v>71</v>
      </c>
      <c r="E257" s="2" t="s">
        <v>1160</v>
      </c>
      <c r="F257" s="2"/>
      <c r="G257" s="2" t="s">
        <v>1780</v>
      </c>
      <c r="H257" s="2" t="s">
        <v>1162</v>
      </c>
      <c r="I257" s="5" t="s">
        <v>74</v>
      </c>
      <c r="J257" s="2" t="s">
        <v>6799</v>
      </c>
      <c r="K257" s="2" t="s">
        <v>71</v>
      </c>
      <c r="L257" s="5" t="n">
        <v>300</v>
      </c>
    </row>
    <row r="258" customFormat="false" ht="23.85" hidden="false" customHeight="false" outlineLevel="0" collapsed="false">
      <c r="A258" s="5" t="s">
        <v>1783</v>
      </c>
      <c r="B258" s="2" t="s">
        <v>1784</v>
      </c>
      <c r="C258" s="5" t="s">
        <v>488</v>
      </c>
      <c r="D258" s="5" t="s">
        <v>71</v>
      </c>
      <c r="E258" s="2" t="s">
        <v>1105</v>
      </c>
      <c r="F258" s="2"/>
      <c r="G258" s="2" t="s">
        <v>1785</v>
      </c>
      <c r="H258" s="2" t="s">
        <v>1269</v>
      </c>
      <c r="I258" s="5" t="s">
        <v>74</v>
      </c>
      <c r="J258" s="2" t="s">
        <v>6800</v>
      </c>
      <c r="K258" s="2" t="s">
        <v>71</v>
      </c>
      <c r="L258" s="5" t="n">
        <v>300</v>
      </c>
    </row>
    <row r="259" customFormat="false" ht="23.85" hidden="false" customHeight="false" outlineLevel="0" collapsed="false">
      <c r="A259" s="5" t="s">
        <v>1788</v>
      </c>
      <c r="B259" s="2" t="s">
        <v>1789</v>
      </c>
      <c r="C259" s="5" t="s">
        <v>488</v>
      </c>
      <c r="D259" s="5" t="s">
        <v>71</v>
      </c>
      <c r="E259" s="2" t="s">
        <v>1105</v>
      </c>
      <c r="F259" s="2"/>
      <c r="G259" s="2" t="s">
        <v>1790</v>
      </c>
      <c r="H259" s="2" t="s">
        <v>1791</v>
      </c>
      <c r="I259" s="5" t="s">
        <v>74</v>
      </c>
      <c r="J259" s="2" t="s">
        <v>6801</v>
      </c>
      <c r="K259" s="2" t="s">
        <v>71</v>
      </c>
      <c r="L259" s="5" t="n">
        <v>300</v>
      </c>
    </row>
    <row r="260" customFormat="false" ht="23.85" hidden="false" customHeight="false" outlineLevel="0" collapsed="false">
      <c r="A260" s="5" t="s">
        <v>1794</v>
      </c>
      <c r="B260" s="2" t="s">
        <v>1795</v>
      </c>
      <c r="C260" s="5" t="s">
        <v>488</v>
      </c>
      <c r="D260" s="5" t="s">
        <v>71</v>
      </c>
      <c r="E260" s="2" t="s">
        <v>1160</v>
      </c>
      <c r="F260" s="2"/>
      <c r="G260" s="2" t="s">
        <v>1796</v>
      </c>
      <c r="H260" s="2" t="s">
        <v>1193</v>
      </c>
      <c r="I260" s="5" t="s">
        <v>74</v>
      </c>
      <c r="J260" s="2" t="s">
        <v>6802</v>
      </c>
      <c r="K260" s="2" t="s">
        <v>71</v>
      </c>
      <c r="L260" s="5" t="n">
        <v>300</v>
      </c>
    </row>
    <row r="261" customFormat="false" ht="23.85" hidden="false" customHeight="false" outlineLevel="0" collapsed="false">
      <c r="A261" s="5" t="s">
        <v>1799</v>
      </c>
      <c r="B261" s="2" t="s">
        <v>1800</v>
      </c>
      <c r="C261" s="5" t="s">
        <v>488</v>
      </c>
      <c r="D261" s="5" t="s">
        <v>71</v>
      </c>
      <c r="E261" s="2" t="s">
        <v>1801</v>
      </c>
      <c r="F261" s="2"/>
      <c r="G261" s="2" t="s">
        <v>1802</v>
      </c>
      <c r="H261" s="2" t="s">
        <v>1803</v>
      </c>
      <c r="I261" s="5" t="s">
        <v>74</v>
      </c>
      <c r="J261" s="2" t="s">
        <v>6803</v>
      </c>
      <c r="K261" s="2" t="s">
        <v>71</v>
      </c>
      <c r="L261" s="5" t="n">
        <v>300</v>
      </c>
    </row>
    <row r="262" customFormat="false" ht="23.85" hidden="false" customHeight="false" outlineLevel="0" collapsed="false">
      <c r="A262" s="5" t="s">
        <v>1807</v>
      </c>
      <c r="B262" s="2" t="s">
        <v>1808</v>
      </c>
      <c r="C262" s="5" t="s">
        <v>488</v>
      </c>
      <c r="D262" s="5" t="s">
        <v>71</v>
      </c>
      <c r="E262" s="2" t="s">
        <v>1105</v>
      </c>
      <c r="F262" s="2"/>
      <c r="G262" s="2" t="s">
        <v>1809</v>
      </c>
      <c r="H262" s="2" t="s">
        <v>1269</v>
      </c>
      <c r="I262" s="5" t="s">
        <v>74</v>
      </c>
      <c r="J262" s="2" t="s">
        <v>6804</v>
      </c>
      <c r="K262" s="2" t="s">
        <v>71</v>
      </c>
      <c r="L262" s="5" t="n">
        <v>300</v>
      </c>
    </row>
    <row r="263" customFormat="false" ht="23.85" hidden="false" customHeight="false" outlineLevel="0" collapsed="false">
      <c r="A263" s="5" t="s">
        <v>1812</v>
      </c>
      <c r="B263" s="2" t="s">
        <v>1813</v>
      </c>
      <c r="C263" s="5" t="s">
        <v>488</v>
      </c>
      <c r="D263" s="5" t="s">
        <v>71</v>
      </c>
      <c r="E263" s="2" t="s">
        <v>1105</v>
      </c>
      <c r="F263" s="2"/>
      <c r="G263" s="2" t="s">
        <v>1816</v>
      </c>
      <c r="H263" s="2" t="s">
        <v>1139</v>
      </c>
      <c r="I263" s="5" t="s">
        <v>74</v>
      </c>
      <c r="J263" s="2" t="s">
        <v>6805</v>
      </c>
      <c r="K263" s="2" t="s">
        <v>71</v>
      </c>
      <c r="L263" s="5" t="n">
        <v>300</v>
      </c>
    </row>
    <row r="264" customFormat="false" ht="35.05" hidden="false" customHeight="false" outlineLevel="0" collapsed="false">
      <c r="A264" s="5" t="s">
        <v>1819</v>
      </c>
      <c r="B264" s="2" t="s">
        <v>1820</v>
      </c>
      <c r="C264" s="5" t="s">
        <v>488</v>
      </c>
      <c r="D264" s="5" t="s">
        <v>71</v>
      </c>
      <c r="E264" s="2" t="s">
        <v>368</v>
      </c>
      <c r="F264" s="2"/>
      <c r="G264" s="2" t="s">
        <v>1822</v>
      </c>
      <c r="H264" s="2" t="s">
        <v>1466</v>
      </c>
      <c r="I264" s="5" t="s">
        <v>74</v>
      </c>
      <c r="J264" s="2" t="s">
        <v>6806</v>
      </c>
      <c r="K264" s="2" t="s">
        <v>71</v>
      </c>
      <c r="L264" s="5" t="n">
        <v>300</v>
      </c>
    </row>
    <row r="265" customFormat="false" ht="135.8" hidden="false" customHeight="false" outlineLevel="0" collapsed="false">
      <c r="A265" s="5" t="s">
        <v>1825</v>
      </c>
      <c r="B265" s="2" t="s">
        <v>1826</v>
      </c>
      <c r="C265" s="5" t="s">
        <v>488</v>
      </c>
      <c r="D265" s="5" t="s">
        <v>71</v>
      </c>
      <c r="E265" s="2" t="s">
        <v>1105</v>
      </c>
      <c r="F265" s="2"/>
      <c r="G265" s="2" t="s">
        <v>1827</v>
      </c>
      <c r="H265" s="2" t="s">
        <v>1828</v>
      </c>
      <c r="I265" s="5" t="s">
        <v>74</v>
      </c>
      <c r="J265" s="2" t="s">
        <v>6807</v>
      </c>
      <c r="K265" s="2" t="s">
        <v>71</v>
      </c>
      <c r="L265" s="5" t="n">
        <v>300</v>
      </c>
    </row>
    <row r="266" customFormat="false" ht="23.85" hidden="false" customHeight="false" outlineLevel="0" collapsed="false">
      <c r="A266" s="5" t="s">
        <v>1831</v>
      </c>
      <c r="B266" s="2" t="s">
        <v>1832</v>
      </c>
      <c r="C266" s="5" t="s">
        <v>488</v>
      </c>
      <c r="D266" s="5" t="s">
        <v>71</v>
      </c>
      <c r="E266" s="2" t="s">
        <v>1105</v>
      </c>
      <c r="F266" s="2"/>
      <c r="G266" s="2" t="s">
        <v>1833</v>
      </c>
      <c r="H266" s="2" t="s">
        <v>1834</v>
      </c>
      <c r="I266" s="5" t="s">
        <v>74</v>
      </c>
      <c r="J266" s="2" t="s">
        <v>6808</v>
      </c>
      <c r="K266" s="2" t="s">
        <v>71</v>
      </c>
      <c r="L266" s="5" t="n">
        <v>300</v>
      </c>
    </row>
    <row r="267" customFormat="false" ht="57.45" hidden="false" customHeight="false" outlineLevel="0" collapsed="false">
      <c r="A267" s="5" t="s">
        <v>1837</v>
      </c>
      <c r="B267" s="2" t="s">
        <v>1838</v>
      </c>
      <c r="C267" s="5" t="s">
        <v>488</v>
      </c>
      <c r="D267" s="5" t="s">
        <v>71</v>
      </c>
      <c r="E267" s="2" t="s">
        <v>1105</v>
      </c>
      <c r="F267" s="2"/>
      <c r="G267" s="2" t="s">
        <v>1839</v>
      </c>
      <c r="H267" s="2" t="s">
        <v>1176</v>
      </c>
      <c r="I267" s="5" t="s">
        <v>74</v>
      </c>
      <c r="J267" s="2" t="s">
        <v>6809</v>
      </c>
      <c r="K267" s="2" t="s">
        <v>71</v>
      </c>
      <c r="L267" s="5" t="n">
        <v>300</v>
      </c>
    </row>
    <row r="268" customFormat="false" ht="46.25" hidden="false" customHeight="false" outlineLevel="0" collapsed="false">
      <c r="A268" s="5" t="s">
        <v>1842</v>
      </c>
      <c r="B268" s="2" t="s">
        <v>1843</v>
      </c>
      <c r="C268" s="5" t="s">
        <v>488</v>
      </c>
      <c r="D268" s="5" t="s">
        <v>71</v>
      </c>
      <c r="E268" s="2" t="s">
        <v>1105</v>
      </c>
      <c r="F268" s="2"/>
      <c r="G268" s="2" t="s">
        <v>1845</v>
      </c>
      <c r="H268" s="2" t="s">
        <v>1176</v>
      </c>
      <c r="I268" s="5" t="s">
        <v>74</v>
      </c>
      <c r="J268" s="2" t="s">
        <v>6810</v>
      </c>
      <c r="K268" s="2" t="s">
        <v>71</v>
      </c>
      <c r="L268" s="5" t="n">
        <v>300</v>
      </c>
    </row>
    <row r="269" customFormat="false" ht="15" hidden="false" customHeight="false" outlineLevel="0" collapsed="false">
      <c r="A269" s="5" t="s">
        <v>1848</v>
      </c>
      <c r="B269" s="2" t="s">
        <v>1849</v>
      </c>
      <c r="C269" s="5" t="s">
        <v>488</v>
      </c>
      <c r="D269" s="5" t="s">
        <v>71</v>
      </c>
      <c r="E269" s="2" t="s">
        <v>1160</v>
      </c>
      <c r="F269" s="2"/>
      <c r="G269" s="2" t="s">
        <v>1850</v>
      </c>
      <c r="H269" s="2" t="s">
        <v>1193</v>
      </c>
      <c r="I269" s="5" t="s">
        <v>74</v>
      </c>
      <c r="J269" s="2" t="s">
        <v>6811</v>
      </c>
      <c r="K269" s="2" t="s">
        <v>71</v>
      </c>
      <c r="L269" s="5" t="n">
        <v>300</v>
      </c>
    </row>
    <row r="270" customFormat="false" ht="15" hidden="false" customHeight="false" outlineLevel="0" collapsed="false">
      <c r="A270" s="5" t="s">
        <v>1853</v>
      </c>
      <c r="B270" s="2" t="s">
        <v>1854</v>
      </c>
      <c r="C270" s="5" t="s">
        <v>488</v>
      </c>
      <c r="D270" s="5" t="s">
        <v>71</v>
      </c>
      <c r="E270" s="2" t="s">
        <v>1581</v>
      </c>
      <c r="F270" s="2"/>
      <c r="G270" s="2" t="s">
        <v>1856</v>
      </c>
      <c r="H270" s="2" t="s">
        <v>1857</v>
      </c>
      <c r="I270" s="5" t="s">
        <v>74</v>
      </c>
      <c r="J270" s="2" t="s">
        <v>6812</v>
      </c>
      <c r="K270" s="2" t="s">
        <v>71</v>
      </c>
      <c r="L270" s="5" t="n">
        <v>300</v>
      </c>
    </row>
    <row r="271" customFormat="false" ht="46.25" hidden="false" customHeight="false" outlineLevel="0" collapsed="false">
      <c r="A271" s="5" t="s">
        <v>1860</v>
      </c>
      <c r="B271" s="2" t="s">
        <v>1861</v>
      </c>
      <c r="C271" s="5" t="s">
        <v>488</v>
      </c>
      <c r="D271" s="5" t="s">
        <v>71</v>
      </c>
      <c r="E271" s="2" t="s">
        <v>1221</v>
      </c>
      <c r="F271" s="2"/>
      <c r="G271" s="2" t="s">
        <v>1862</v>
      </c>
      <c r="H271" s="2" t="s">
        <v>1302</v>
      </c>
      <c r="I271" s="5" t="s">
        <v>74</v>
      </c>
      <c r="J271" s="2" t="s">
        <v>6813</v>
      </c>
      <c r="K271" s="2" t="s">
        <v>71</v>
      </c>
      <c r="L271" s="5" t="n">
        <v>300</v>
      </c>
    </row>
    <row r="272" customFormat="false" ht="35.05" hidden="false" customHeight="false" outlineLevel="0" collapsed="false">
      <c r="A272" s="5" t="s">
        <v>1865</v>
      </c>
      <c r="B272" s="2" t="s">
        <v>1866</v>
      </c>
      <c r="C272" s="5" t="s">
        <v>488</v>
      </c>
      <c r="D272" s="5" t="s">
        <v>71</v>
      </c>
      <c r="E272" s="2" t="s">
        <v>1105</v>
      </c>
      <c r="F272" s="2"/>
      <c r="G272" s="2" t="s">
        <v>1867</v>
      </c>
      <c r="H272" s="2" t="s">
        <v>1139</v>
      </c>
      <c r="I272" s="5" t="s">
        <v>74</v>
      </c>
      <c r="J272" s="2" t="s">
        <v>6814</v>
      </c>
      <c r="K272" s="2" t="s">
        <v>71</v>
      </c>
      <c r="L272" s="5" t="n">
        <v>300</v>
      </c>
    </row>
    <row r="273" customFormat="false" ht="46.25" hidden="false" customHeight="false" outlineLevel="0" collapsed="false">
      <c r="A273" s="5" t="s">
        <v>1870</v>
      </c>
      <c r="B273" s="2" t="s">
        <v>1871</v>
      </c>
      <c r="C273" s="5" t="s">
        <v>488</v>
      </c>
      <c r="D273" s="5" t="s">
        <v>71</v>
      </c>
      <c r="E273" s="2" t="s">
        <v>1105</v>
      </c>
      <c r="F273" s="2"/>
      <c r="G273" s="2" t="s">
        <v>1872</v>
      </c>
      <c r="H273" s="2" t="s">
        <v>1176</v>
      </c>
      <c r="I273" s="5" t="s">
        <v>74</v>
      </c>
      <c r="J273" s="2" t="s">
        <v>6815</v>
      </c>
      <c r="K273" s="2" t="s">
        <v>71</v>
      </c>
      <c r="L273" s="5" t="n">
        <v>300</v>
      </c>
    </row>
    <row r="274" customFormat="false" ht="35.05" hidden="false" customHeight="false" outlineLevel="0" collapsed="false">
      <c r="A274" s="5" t="s">
        <v>1875</v>
      </c>
      <c r="B274" s="2" t="s">
        <v>1876</v>
      </c>
      <c r="C274" s="5" t="s">
        <v>488</v>
      </c>
      <c r="D274" s="5" t="s">
        <v>71</v>
      </c>
      <c r="E274" s="2" t="s">
        <v>1221</v>
      </c>
      <c r="F274" s="2"/>
      <c r="G274" s="2" t="s">
        <v>1878</v>
      </c>
      <c r="H274" s="2" t="s">
        <v>1879</v>
      </c>
      <c r="I274" s="5" t="s">
        <v>74</v>
      </c>
      <c r="J274" s="2" t="s">
        <v>6816</v>
      </c>
      <c r="K274" s="2" t="s">
        <v>71</v>
      </c>
      <c r="L274" s="5" t="n">
        <v>300</v>
      </c>
    </row>
    <row r="275" customFormat="false" ht="46.25" hidden="false" customHeight="false" outlineLevel="0" collapsed="false">
      <c r="A275" s="5" t="s">
        <v>1882</v>
      </c>
      <c r="B275" s="2" t="s">
        <v>1883</v>
      </c>
      <c r="C275" s="5" t="s">
        <v>488</v>
      </c>
      <c r="D275" s="5" t="s">
        <v>71</v>
      </c>
      <c r="E275" s="2" t="s">
        <v>1105</v>
      </c>
      <c r="F275" s="2"/>
      <c r="G275" s="2" t="s">
        <v>1884</v>
      </c>
      <c r="H275" s="2" t="s">
        <v>1885</v>
      </c>
      <c r="I275" s="5" t="s">
        <v>74</v>
      </c>
      <c r="J275" s="2" t="s">
        <v>6817</v>
      </c>
      <c r="K275" s="2" t="s">
        <v>71</v>
      </c>
      <c r="L275" s="5" t="n">
        <v>300</v>
      </c>
    </row>
    <row r="276" customFormat="false" ht="23.85" hidden="false" customHeight="false" outlineLevel="0" collapsed="false">
      <c r="A276" s="5" t="s">
        <v>1888</v>
      </c>
      <c r="B276" s="2" t="s">
        <v>1889</v>
      </c>
      <c r="C276" s="5" t="s">
        <v>488</v>
      </c>
      <c r="D276" s="5" t="s">
        <v>71</v>
      </c>
      <c r="E276" s="2" t="s">
        <v>1105</v>
      </c>
      <c r="F276" s="2"/>
      <c r="G276" s="2" t="s">
        <v>1891</v>
      </c>
      <c r="H276" s="2" t="s">
        <v>1885</v>
      </c>
      <c r="I276" s="5" t="s">
        <v>74</v>
      </c>
      <c r="J276" s="2" t="s">
        <v>6818</v>
      </c>
      <c r="K276" s="2" t="s">
        <v>71</v>
      </c>
      <c r="L276" s="5" t="n">
        <v>300</v>
      </c>
    </row>
    <row r="277" customFormat="false" ht="57.45" hidden="false" customHeight="false" outlineLevel="0" collapsed="false">
      <c r="A277" s="5" t="s">
        <v>1894</v>
      </c>
      <c r="B277" s="2" t="s">
        <v>1895</v>
      </c>
      <c r="C277" s="5" t="s">
        <v>488</v>
      </c>
      <c r="D277" s="5" t="s">
        <v>71</v>
      </c>
      <c r="E277" s="2" t="s">
        <v>1105</v>
      </c>
      <c r="F277" s="2"/>
      <c r="G277" s="2" t="s">
        <v>1896</v>
      </c>
      <c r="H277" s="2" t="s">
        <v>1107</v>
      </c>
      <c r="I277" s="5" t="s">
        <v>74</v>
      </c>
      <c r="J277" s="2" t="s">
        <v>6819</v>
      </c>
      <c r="K277" s="2" t="s">
        <v>71</v>
      </c>
      <c r="L277" s="5" t="n">
        <v>300</v>
      </c>
    </row>
    <row r="278" customFormat="false" ht="57.45" hidden="false" customHeight="false" outlineLevel="0" collapsed="false">
      <c r="A278" s="5" t="s">
        <v>1899</v>
      </c>
      <c r="B278" s="2" t="s">
        <v>1900</v>
      </c>
      <c r="C278" s="5" t="s">
        <v>488</v>
      </c>
      <c r="D278" s="5" t="s">
        <v>71</v>
      </c>
      <c r="E278" s="2" t="s">
        <v>1105</v>
      </c>
      <c r="F278" s="2"/>
      <c r="G278" s="2" t="s">
        <v>1901</v>
      </c>
      <c r="H278" s="2" t="s">
        <v>1139</v>
      </c>
      <c r="I278" s="5" t="s">
        <v>74</v>
      </c>
      <c r="J278" s="2" t="s">
        <v>6820</v>
      </c>
      <c r="K278" s="2" t="s">
        <v>71</v>
      </c>
      <c r="L278" s="5" t="n">
        <v>300</v>
      </c>
    </row>
    <row r="279" customFormat="false" ht="35.05" hidden="false" customHeight="false" outlineLevel="0" collapsed="false">
      <c r="A279" s="5" t="s">
        <v>1904</v>
      </c>
      <c r="B279" s="2" t="s">
        <v>1905</v>
      </c>
      <c r="C279" s="5" t="s">
        <v>488</v>
      </c>
      <c r="D279" s="5" t="s">
        <v>71</v>
      </c>
      <c r="E279" s="2" t="s">
        <v>1105</v>
      </c>
      <c r="F279" s="2"/>
      <c r="G279" s="2" t="s">
        <v>1906</v>
      </c>
      <c r="H279" s="2" t="s">
        <v>1269</v>
      </c>
      <c r="I279" s="5" t="s">
        <v>74</v>
      </c>
      <c r="J279" s="2" t="s">
        <v>6821</v>
      </c>
      <c r="K279" s="2" t="s">
        <v>71</v>
      </c>
      <c r="L279" s="5" t="n">
        <v>300</v>
      </c>
    </row>
    <row r="280" customFormat="false" ht="35.05" hidden="false" customHeight="false" outlineLevel="0" collapsed="false">
      <c r="A280" s="5" t="s">
        <v>1909</v>
      </c>
      <c r="B280" s="2" t="s">
        <v>1910</v>
      </c>
      <c r="C280" s="5" t="s">
        <v>488</v>
      </c>
      <c r="D280" s="5" t="s">
        <v>71</v>
      </c>
      <c r="E280" s="2" t="s">
        <v>1911</v>
      </c>
      <c r="F280" s="2"/>
      <c r="G280" s="2" t="s">
        <v>1912</v>
      </c>
      <c r="H280" s="2" t="s">
        <v>1913</v>
      </c>
      <c r="I280" s="5" t="s">
        <v>74</v>
      </c>
      <c r="J280" s="2" t="s">
        <v>6822</v>
      </c>
      <c r="K280" s="2" t="s">
        <v>71</v>
      </c>
      <c r="L280" s="5" t="n">
        <v>300</v>
      </c>
    </row>
    <row r="281" customFormat="false" ht="35.05" hidden="false" customHeight="false" outlineLevel="0" collapsed="false">
      <c r="A281" s="5" t="s">
        <v>1916</v>
      </c>
      <c r="B281" s="2" t="s">
        <v>1917</v>
      </c>
      <c r="C281" s="5" t="s">
        <v>488</v>
      </c>
      <c r="D281" s="5" t="s">
        <v>71</v>
      </c>
      <c r="E281" s="2" t="s">
        <v>1105</v>
      </c>
      <c r="F281" s="2"/>
      <c r="G281" s="2" t="s">
        <v>1919</v>
      </c>
      <c r="H281" s="2" t="s">
        <v>1176</v>
      </c>
      <c r="I281" s="5" t="s">
        <v>74</v>
      </c>
      <c r="J281" s="2" t="s">
        <v>6823</v>
      </c>
      <c r="K281" s="2" t="s">
        <v>71</v>
      </c>
      <c r="L281" s="5" t="n">
        <v>300</v>
      </c>
    </row>
    <row r="282" customFormat="false" ht="35.05" hidden="false" customHeight="false" outlineLevel="0" collapsed="false">
      <c r="A282" s="5" t="s">
        <v>1922</v>
      </c>
      <c r="B282" s="2" t="s">
        <v>1923</v>
      </c>
      <c r="C282" s="5" t="s">
        <v>488</v>
      </c>
      <c r="D282" s="5" t="s">
        <v>71</v>
      </c>
      <c r="E282" s="2" t="s">
        <v>368</v>
      </c>
      <c r="F282" s="2"/>
      <c r="G282" s="2" t="s">
        <v>1924</v>
      </c>
      <c r="H282" s="2" t="s">
        <v>1925</v>
      </c>
      <c r="I282" s="5" t="s">
        <v>74</v>
      </c>
      <c r="J282" s="2" t="s">
        <v>6824</v>
      </c>
      <c r="K282" s="2" t="s">
        <v>71</v>
      </c>
      <c r="L282" s="5" t="n">
        <v>300</v>
      </c>
    </row>
    <row r="283" customFormat="false" ht="23.85" hidden="false" customHeight="false" outlineLevel="0" collapsed="false">
      <c r="A283" s="5" t="s">
        <v>1928</v>
      </c>
      <c r="B283" s="2" t="s">
        <v>1929</v>
      </c>
      <c r="C283" s="5" t="s">
        <v>488</v>
      </c>
      <c r="D283" s="5" t="s">
        <v>71</v>
      </c>
      <c r="E283" s="2" t="s">
        <v>1105</v>
      </c>
      <c r="F283" s="2"/>
      <c r="G283" s="2" t="s">
        <v>1930</v>
      </c>
      <c r="H283" s="2" t="s">
        <v>1931</v>
      </c>
      <c r="I283" s="5" t="s">
        <v>74</v>
      </c>
      <c r="J283" s="2" t="s">
        <v>6825</v>
      </c>
      <c r="K283" s="2" t="s">
        <v>71</v>
      </c>
      <c r="L283" s="5" t="n">
        <v>300</v>
      </c>
    </row>
    <row r="284" customFormat="false" ht="102.2" hidden="false" customHeight="false" outlineLevel="0" collapsed="false">
      <c r="A284" s="5" t="s">
        <v>1934</v>
      </c>
      <c r="B284" s="2" t="s">
        <v>1935</v>
      </c>
      <c r="C284" s="5" t="s">
        <v>488</v>
      </c>
      <c r="D284" s="5" t="s">
        <v>71</v>
      </c>
      <c r="E284" s="2" t="s">
        <v>1105</v>
      </c>
      <c r="F284" s="2"/>
      <c r="G284" s="2" t="s">
        <v>1937</v>
      </c>
      <c r="H284" s="2" t="s">
        <v>1176</v>
      </c>
      <c r="I284" s="5" t="s">
        <v>74</v>
      </c>
      <c r="J284" s="2" t="s">
        <v>6826</v>
      </c>
      <c r="K284" s="2" t="s">
        <v>71</v>
      </c>
      <c r="L284" s="5" t="n">
        <v>300</v>
      </c>
    </row>
    <row r="285" customFormat="false" ht="23.85" hidden="false" customHeight="false" outlineLevel="0" collapsed="false">
      <c r="A285" s="5" t="s">
        <v>1940</v>
      </c>
      <c r="B285" s="2" t="s">
        <v>1941</v>
      </c>
      <c r="C285" s="5" t="s">
        <v>488</v>
      </c>
      <c r="D285" s="5" t="s">
        <v>71</v>
      </c>
      <c r="E285" s="2" t="s">
        <v>1160</v>
      </c>
      <c r="F285" s="2"/>
      <c r="G285" s="2" t="s">
        <v>1942</v>
      </c>
      <c r="H285" s="2" t="s">
        <v>1193</v>
      </c>
      <c r="I285" s="5" t="s">
        <v>74</v>
      </c>
      <c r="J285" s="2" t="s">
        <v>6827</v>
      </c>
      <c r="K285" s="2" t="s">
        <v>71</v>
      </c>
      <c r="L285" s="5" t="n">
        <v>300</v>
      </c>
    </row>
    <row r="286" customFormat="false" ht="57.45" hidden="false" customHeight="false" outlineLevel="0" collapsed="false">
      <c r="A286" s="5" t="s">
        <v>1945</v>
      </c>
      <c r="B286" s="2" t="s">
        <v>1946</v>
      </c>
      <c r="C286" s="5" t="s">
        <v>488</v>
      </c>
      <c r="D286" s="5" t="s">
        <v>71</v>
      </c>
      <c r="E286" s="2" t="s">
        <v>1105</v>
      </c>
      <c r="F286" s="2"/>
      <c r="G286" s="2" t="s">
        <v>1947</v>
      </c>
      <c r="H286" s="2" t="s">
        <v>1176</v>
      </c>
      <c r="I286" s="5" t="s">
        <v>74</v>
      </c>
      <c r="J286" s="2" t="s">
        <v>6828</v>
      </c>
      <c r="K286" s="2" t="s">
        <v>71</v>
      </c>
      <c r="L286" s="5" t="n">
        <v>300</v>
      </c>
    </row>
    <row r="287" customFormat="false" ht="135.8" hidden="false" customHeight="false" outlineLevel="0" collapsed="false">
      <c r="A287" s="5" t="s">
        <v>1950</v>
      </c>
      <c r="B287" s="2" t="s">
        <v>1951</v>
      </c>
      <c r="C287" s="5" t="s">
        <v>488</v>
      </c>
      <c r="D287" s="5" t="s">
        <v>71</v>
      </c>
      <c r="E287" s="2" t="s">
        <v>1105</v>
      </c>
      <c r="F287" s="2"/>
      <c r="G287" s="2" t="s">
        <v>1952</v>
      </c>
      <c r="H287" s="2" t="s">
        <v>1953</v>
      </c>
      <c r="I287" s="5" t="s">
        <v>74</v>
      </c>
      <c r="J287" s="2" t="s">
        <v>6829</v>
      </c>
      <c r="K287" s="2" t="s">
        <v>71</v>
      </c>
      <c r="L287" s="5" t="n">
        <v>300</v>
      </c>
    </row>
    <row r="288" customFormat="false" ht="23.85" hidden="false" customHeight="false" outlineLevel="0" collapsed="false">
      <c r="A288" s="5" t="s">
        <v>1956</v>
      </c>
      <c r="B288" s="2" t="s">
        <v>1957</v>
      </c>
      <c r="C288" s="5" t="s">
        <v>488</v>
      </c>
      <c r="D288" s="5" t="s">
        <v>71</v>
      </c>
      <c r="E288" s="2" t="s">
        <v>1958</v>
      </c>
      <c r="F288" s="2"/>
      <c r="G288" s="2" t="s">
        <v>1959</v>
      </c>
      <c r="H288" s="2" t="s">
        <v>1960</v>
      </c>
      <c r="I288" s="5" t="s">
        <v>74</v>
      </c>
      <c r="J288" s="2" t="s">
        <v>6830</v>
      </c>
      <c r="K288" s="2" t="s">
        <v>71</v>
      </c>
      <c r="L288" s="5" t="n">
        <v>300</v>
      </c>
    </row>
    <row r="289" customFormat="false" ht="57.45" hidden="false" customHeight="false" outlineLevel="0" collapsed="false">
      <c r="A289" s="5" t="s">
        <v>1963</v>
      </c>
      <c r="B289" s="2" t="s">
        <v>1964</v>
      </c>
      <c r="C289" s="5" t="s">
        <v>488</v>
      </c>
      <c r="D289" s="5" t="s">
        <v>71</v>
      </c>
      <c r="E289" s="2" t="s">
        <v>1212</v>
      </c>
      <c r="F289" s="2"/>
      <c r="G289" s="2" t="s">
        <v>1965</v>
      </c>
      <c r="H289" s="2" t="s">
        <v>1966</v>
      </c>
      <c r="I289" s="5" t="s">
        <v>74</v>
      </c>
      <c r="J289" s="2" t="s">
        <v>6831</v>
      </c>
      <c r="K289" s="2" t="s">
        <v>71</v>
      </c>
      <c r="L289" s="5" t="n">
        <v>300</v>
      </c>
    </row>
    <row r="290" customFormat="false" ht="23.85" hidden="false" customHeight="false" outlineLevel="0" collapsed="false">
      <c r="A290" s="5" t="s">
        <v>1969</v>
      </c>
      <c r="B290" s="2" t="s">
        <v>1970</v>
      </c>
      <c r="C290" s="5" t="s">
        <v>488</v>
      </c>
      <c r="D290" s="5" t="s">
        <v>71</v>
      </c>
      <c r="E290" s="2" t="s">
        <v>1105</v>
      </c>
      <c r="F290" s="2"/>
      <c r="G290" s="2" t="s">
        <v>1971</v>
      </c>
      <c r="H290" s="2" t="s">
        <v>1139</v>
      </c>
      <c r="I290" s="5" t="s">
        <v>74</v>
      </c>
      <c r="J290" s="2" t="s">
        <v>6832</v>
      </c>
      <c r="K290" s="2" t="s">
        <v>71</v>
      </c>
      <c r="L290" s="5" t="n">
        <v>300</v>
      </c>
    </row>
    <row r="291" customFormat="false" ht="35.05" hidden="false" customHeight="false" outlineLevel="0" collapsed="false">
      <c r="A291" s="5" t="s">
        <v>1974</v>
      </c>
      <c r="B291" s="2" t="s">
        <v>1975</v>
      </c>
      <c r="C291" s="5" t="s">
        <v>488</v>
      </c>
      <c r="D291" s="5" t="s">
        <v>71</v>
      </c>
      <c r="E291" s="2" t="s">
        <v>1976</v>
      </c>
      <c r="F291" s="2"/>
      <c r="G291" s="2" t="s">
        <v>1977</v>
      </c>
      <c r="H291" s="2" t="s">
        <v>1978</v>
      </c>
      <c r="I291" s="5" t="s">
        <v>74</v>
      </c>
      <c r="J291" s="2" t="s">
        <v>6833</v>
      </c>
      <c r="K291" s="2" t="s">
        <v>71</v>
      </c>
      <c r="L291" s="5" t="n">
        <v>300</v>
      </c>
    </row>
    <row r="292" customFormat="false" ht="23.85" hidden="false" customHeight="false" outlineLevel="0" collapsed="false">
      <c r="A292" s="5" t="s">
        <v>1982</v>
      </c>
      <c r="B292" s="2" t="s">
        <v>1983</v>
      </c>
      <c r="C292" s="5" t="s">
        <v>488</v>
      </c>
      <c r="D292" s="5" t="s">
        <v>71</v>
      </c>
      <c r="E292" s="2" t="s">
        <v>1212</v>
      </c>
      <c r="F292" s="2"/>
      <c r="G292" s="2" t="s">
        <v>1984</v>
      </c>
      <c r="H292" s="2" t="s">
        <v>1985</v>
      </c>
      <c r="I292" s="5" t="s">
        <v>74</v>
      </c>
      <c r="J292" s="2" t="s">
        <v>6834</v>
      </c>
      <c r="K292" s="2" t="s">
        <v>71</v>
      </c>
      <c r="L292" s="5" t="n">
        <v>300</v>
      </c>
    </row>
    <row r="293" customFormat="false" ht="46.25" hidden="false" customHeight="false" outlineLevel="0" collapsed="false">
      <c r="A293" s="5" t="s">
        <v>1988</v>
      </c>
      <c r="B293" s="2" t="s">
        <v>1989</v>
      </c>
      <c r="C293" s="5" t="s">
        <v>488</v>
      </c>
      <c r="D293" s="5" t="s">
        <v>71</v>
      </c>
      <c r="E293" s="2" t="s">
        <v>1105</v>
      </c>
      <c r="F293" s="2"/>
      <c r="G293" s="2" t="s">
        <v>1990</v>
      </c>
      <c r="H293" s="2" t="s">
        <v>1176</v>
      </c>
      <c r="I293" s="5" t="s">
        <v>74</v>
      </c>
      <c r="J293" s="2" t="s">
        <v>6835</v>
      </c>
      <c r="K293" s="2" t="s">
        <v>71</v>
      </c>
      <c r="L293" s="5" t="n">
        <v>300</v>
      </c>
    </row>
    <row r="294" customFormat="false" ht="124.6" hidden="false" customHeight="false" outlineLevel="0" collapsed="false">
      <c r="A294" s="5" t="s">
        <v>1993</v>
      </c>
      <c r="B294" s="2" t="s">
        <v>1994</v>
      </c>
      <c r="C294" s="5" t="s">
        <v>488</v>
      </c>
      <c r="D294" s="5" t="s">
        <v>71</v>
      </c>
      <c r="E294" s="2" t="s">
        <v>1212</v>
      </c>
      <c r="F294" s="2"/>
      <c r="G294" s="2" t="s">
        <v>1995</v>
      </c>
      <c r="H294" s="2" t="s">
        <v>1996</v>
      </c>
      <c r="I294" s="5" t="s">
        <v>74</v>
      </c>
      <c r="J294" s="2" t="s">
        <v>6836</v>
      </c>
      <c r="K294" s="2" t="s">
        <v>71</v>
      </c>
      <c r="L294" s="5" t="n">
        <v>300</v>
      </c>
    </row>
    <row r="295" customFormat="false" ht="102.2" hidden="false" customHeight="false" outlineLevel="0" collapsed="false">
      <c r="A295" s="5" t="s">
        <v>1999</v>
      </c>
      <c r="B295" s="2" t="s">
        <v>2000</v>
      </c>
      <c r="C295" s="5" t="s">
        <v>488</v>
      </c>
      <c r="D295" s="5" t="s">
        <v>71</v>
      </c>
      <c r="E295" s="2" t="s">
        <v>1212</v>
      </c>
      <c r="F295" s="2"/>
      <c r="G295" s="2" t="s">
        <v>2001</v>
      </c>
      <c r="H295" s="2" t="s">
        <v>1716</v>
      </c>
      <c r="I295" s="5" t="s">
        <v>74</v>
      </c>
      <c r="J295" s="2" t="s">
        <v>6837</v>
      </c>
      <c r="K295" s="2" t="s">
        <v>71</v>
      </c>
      <c r="L295" s="5" t="n">
        <v>300</v>
      </c>
    </row>
    <row r="296" customFormat="false" ht="23.85" hidden="false" customHeight="false" outlineLevel="0" collapsed="false">
      <c r="A296" s="5" t="s">
        <v>2004</v>
      </c>
      <c r="B296" s="2" t="s">
        <v>2005</v>
      </c>
      <c r="C296" s="5" t="s">
        <v>488</v>
      </c>
      <c r="D296" s="5" t="s">
        <v>71</v>
      </c>
      <c r="E296" s="2" t="s">
        <v>1212</v>
      </c>
      <c r="F296" s="2"/>
      <c r="G296" s="2" t="s">
        <v>2006</v>
      </c>
      <c r="H296" s="2" t="s">
        <v>2007</v>
      </c>
      <c r="I296" s="5" t="s">
        <v>74</v>
      </c>
      <c r="J296" s="2" t="s">
        <v>6838</v>
      </c>
      <c r="K296" s="2" t="s">
        <v>71</v>
      </c>
      <c r="L296" s="5" t="n">
        <v>300</v>
      </c>
    </row>
    <row r="297" customFormat="false" ht="23.85" hidden="false" customHeight="false" outlineLevel="0" collapsed="false">
      <c r="A297" s="5" t="s">
        <v>2010</v>
      </c>
      <c r="B297" s="2" t="s">
        <v>2011</v>
      </c>
      <c r="C297" s="5" t="s">
        <v>488</v>
      </c>
      <c r="D297" s="5" t="s">
        <v>71</v>
      </c>
      <c r="E297" s="2" t="s">
        <v>1105</v>
      </c>
      <c r="F297" s="2"/>
      <c r="G297" s="2" t="s">
        <v>2012</v>
      </c>
      <c r="H297" s="2" t="s">
        <v>1169</v>
      </c>
      <c r="I297" s="5" t="s">
        <v>74</v>
      </c>
      <c r="J297" s="2" t="s">
        <v>6839</v>
      </c>
      <c r="K297" s="2" t="s">
        <v>71</v>
      </c>
      <c r="L297" s="5" t="n">
        <v>300</v>
      </c>
    </row>
    <row r="298" customFormat="false" ht="46.25" hidden="false" customHeight="false" outlineLevel="0" collapsed="false">
      <c r="A298" s="5" t="s">
        <v>2015</v>
      </c>
      <c r="B298" s="2" t="s">
        <v>2016</v>
      </c>
      <c r="C298" s="5" t="s">
        <v>488</v>
      </c>
      <c r="D298" s="5" t="s">
        <v>71</v>
      </c>
      <c r="E298" s="2" t="s">
        <v>1612</v>
      </c>
      <c r="F298" s="2"/>
      <c r="G298" s="2" t="s">
        <v>2018</v>
      </c>
      <c r="H298" s="2" t="s">
        <v>2019</v>
      </c>
      <c r="I298" s="5" t="s">
        <v>74</v>
      </c>
      <c r="J298" s="2" t="s">
        <v>6840</v>
      </c>
      <c r="K298" s="2" t="s">
        <v>71</v>
      </c>
      <c r="L298" s="5" t="n">
        <v>300</v>
      </c>
    </row>
    <row r="299" customFormat="false" ht="35.05" hidden="false" customHeight="false" outlineLevel="0" collapsed="false">
      <c r="A299" s="5" t="s">
        <v>2022</v>
      </c>
      <c r="B299" s="2" t="s">
        <v>2023</v>
      </c>
      <c r="C299" s="5" t="s">
        <v>488</v>
      </c>
      <c r="D299" s="5" t="s">
        <v>71</v>
      </c>
      <c r="E299" s="2" t="s">
        <v>1160</v>
      </c>
      <c r="F299" s="2"/>
      <c r="G299" s="2" t="s">
        <v>2024</v>
      </c>
      <c r="H299" s="2" t="s">
        <v>1193</v>
      </c>
      <c r="I299" s="5" t="s">
        <v>74</v>
      </c>
      <c r="J299" s="2" t="s">
        <v>6841</v>
      </c>
      <c r="K299" s="2" t="s">
        <v>71</v>
      </c>
      <c r="L299" s="5" t="n">
        <v>300</v>
      </c>
    </row>
    <row r="300" customFormat="false" ht="23.85" hidden="false" customHeight="false" outlineLevel="0" collapsed="false">
      <c r="A300" s="5" t="s">
        <v>2027</v>
      </c>
      <c r="B300" s="2" t="s">
        <v>2028</v>
      </c>
      <c r="C300" s="5" t="s">
        <v>488</v>
      </c>
      <c r="D300" s="5" t="s">
        <v>71</v>
      </c>
      <c r="E300" s="2" t="s">
        <v>1212</v>
      </c>
      <c r="F300" s="2"/>
      <c r="G300" s="2" t="s">
        <v>2029</v>
      </c>
      <c r="H300" s="2" t="s">
        <v>2030</v>
      </c>
      <c r="I300" s="5" t="s">
        <v>74</v>
      </c>
      <c r="J300" s="2" t="s">
        <v>6842</v>
      </c>
      <c r="K300" s="2" t="s">
        <v>71</v>
      </c>
      <c r="L300" s="5" t="n">
        <v>300</v>
      </c>
    </row>
    <row r="301" customFormat="false" ht="35.05" hidden="false" customHeight="false" outlineLevel="0" collapsed="false">
      <c r="A301" s="5" t="s">
        <v>2033</v>
      </c>
      <c r="B301" s="2" t="s">
        <v>2034</v>
      </c>
      <c r="C301" s="5" t="s">
        <v>488</v>
      </c>
      <c r="D301" s="5" t="s">
        <v>71</v>
      </c>
      <c r="E301" s="2" t="s">
        <v>1105</v>
      </c>
      <c r="F301" s="2"/>
      <c r="G301" s="2" t="s">
        <v>2035</v>
      </c>
      <c r="H301" s="2" t="s">
        <v>1176</v>
      </c>
      <c r="I301" s="5" t="s">
        <v>74</v>
      </c>
      <c r="J301" s="2" t="s">
        <v>6843</v>
      </c>
      <c r="K301" s="2" t="s">
        <v>71</v>
      </c>
      <c r="L301" s="5" t="n">
        <v>300</v>
      </c>
    </row>
    <row r="302" customFormat="false" ht="23.85" hidden="false" customHeight="false" outlineLevel="0" collapsed="false">
      <c r="A302" s="5" t="s">
        <v>2038</v>
      </c>
      <c r="B302" s="2" t="s">
        <v>2039</v>
      </c>
      <c r="C302" s="5" t="s">
        <v>488</v>
      </c>
      <c r="D302" s="5" t="s">
        <v>71</v>
      </c>
      <c r="E302" s="2" t="s">
        <v>1105</v>
      </c>
      <c r="F302" s="2"/>
      <c r="G302" s="2" t="s">
        <v>2040</v>
      </c>
      <c r="H302" s="2" t="s">
        <v>1834</v>
      </c>
      <c r="I302" s="5" t="s">
        <v>74</v>
      </c>
      <c r="J302" s="2" t="s">
        <v>6844</v>
      </c>
      <c r="K302" s="2" t="s">
        <v>71</v>
      </c>
      <c r="L302" s="5" t="n">
        <v>300</v>
      </c>
    </row>
    <row r="303" customFormat="false" ht="23.85" hidden="false" customHeight="false" outlineLevel="0" collapsed="false">
      <c r="A303" s="5" t="s">
        <v>2043</v>
      </c>
      <c r="B303" s="2" t="s">
        <v>2044</v>
      </c>
      <c r="C303" s="5" t="s">
        <v>488</v>
      </c>
      <c r="D303" s="5" t="s">
        <v>71</v>
      </c>
      <c r="E303" s="2" t="s">
        <v>2045</v>
      </c>
      <c r="F303" s="2"/>
      <c r="G303" s="2" t="s">
        <v>2046</v>
      </c>
      <c r="H303" s="2" t="s">
        <v>2047</v>
      </c>
      <c r="I303" s="5" t="s">
        <v>74</v>
      </c>
      <c r="J303" s="2" t="s">
        <v>6845</v>
      </c>
      <c r="K303" s="2" t="s">
        <v>71</v>
      </c>
      <c r="L303" s="5" t="n">
        <v>300</v>
      </c>
    </row>
    <row r="304" customFormat="false" ht="35.05" hidden="false" customHeight="false" outlineLevel="0" collapsed="false">
      <c r="A304" s="5" t="s">
        <v>2051</v>
      </c>
      <c r="B304" s="2" t="s">
        <v>2052</v>
      </c>
      <c r="C304" s="5" t="s">
        <v>488</v>
      </c>
      <c r="D304" s="5" t="s">
        <v>71</v>
      </c>
      <c r="E304" s="2" t="s">
        <v>1105</v>
      </c>
      <c r="F304" s="2"/>
      <c r="G304" s="2" t="s">
        <v>2053</v>
      </c>
      <c r="H304" s="2" t="s">
        <v>1269</v>
      </c>
      <c r="I304" s="5" t="s">
        <v>74</v>
      </c>
      <c r="J304" s="2" t="s">
        <v>6846</v>
      </c>
      <c r="K304" s="2" t="s">
        <v>71</v>
      </c>
      <c r="L304" s="5" t="n">
        <v>300</v>
      </c>
    </row>
    <row r="305" customFormat="false" ht="23.85" hidden="false" customHeight="false" outlineLevel="0" collapsed="false">
      <c r="A305" s="5" t="s">
        <v>2056</v>
      </c>
      <c r="B305" s="2" t="s">
        <v>2057</v>
      </c>
      <c r="C305" s="5" t="s">
        <v>488</v>
      </c>
      <c r="D305" s="5" t="s">
        <v>71</v>
      </c>
      <c r="E305" s="2" t="s">
        <v>2058</v>
      </c>
      <c r="F305" s="2"/>
      <c r="G305" s="2" t="s">
        <v>2059</v>
      </c>
      <c r="H305" s="2" t="s">
        <v>1098</v>
      </c>
      <c r="I305" s="5" t="s">
        <v>74</v>
      </c>
      <c r="J305" s="2" t="s">
        <v>6847</v>
      </c>
      <c r="K305" s="2" t="s">
        <v>71</v>
      </c>
      <c r="L305" s="5" t="n">
        <v>300</v>
      </c>
    </row>
    <row r="306" customFormat="false" ht="23.85" hidden="false" customHeight="false" outlineLevel="0" collapsed="false">
      <c r="A306" s="5" t="s">
        <v>2063</v>
      </c>
      <c r="B306" s="2" t="s">
        <v>2064</v>
      </c>
      <c r="C306" s="5" t="s">
        <v>488</v>
      </c>
      <c r="D306" s="5" t="s">
        <v>71</v>
      </c>
      <c r="E306" s="2" t="s">
        <v>1105</v>
      </c>
      <c r="F306" s="2"/>
      <c r="G306" s="2" t="s">
        <v>2065</v>
      </c>
      <c r="H306" s="2" t="s">
        <v>1139</v>
      </c>
      <c r="I306" s="5" t="s">
        <v>74</v>
      </c>
      <c r="J306" s="2" t="s">
        <v>6848</v>
      </c>
      <c r="K306" s="2" t="s">
        <v>71</v>
      </c>
      <c r="L306" s="5" t="n">
        <v>300</v>
      </c>
    </row>
    <row r="307" customFormat="false" ht="23.85" hidden="false" customHeight="false" outlineLevel="0" collapsed="false">
      <c r="A307" s="5" t="s">
        <v>2068</v>
      </c>
      <c r="B307" s="2" t="s">
        <v>2069</v>
      </c>
      <c r="C307" s="5" t="s">
        <v>488</v>
      </c>
      <c r="D307" s="5" t="s">
        <v>71</v>
      </c>
      <c r="E307" s="2" t="s">
        <v>2070</v>
      </c>
      <c r="F307" s="2"/>
      <c r="G307" s="2" t="s">
        <v>2071</v>
      </c>
      <c r="H307" s="2" t="s">
        <v>2072</v>
      </c>
      <c r="I307" s="5" t="s">
        <v>74</v>
      </c>
      <c r="J307" s="2" t="s">
        <v>6849</v>
      </c>
      <c r="K307" s="2" t="s">
        <v>71</v>
      </c>
      <c r="L307" s="5" t="n">
        <v>300</v>
      </c>
    </row>
    <row r="308" customFormat="false" ht="23.85" hidden="false" customHeight="false" outlineLevel="0" collapsed="false">
      <c r="A308" s="5" t="s">
        <v>2076</v>
      </c>
      <c r="B308" s="2" t="s">
        <v>2077</v>
      </c>
      <c r="C308" s="5" t="s">
        <v>488</v>
      </c>
      <c r="D308" s="5" t="s">
        <v>71</v>
      </c>
      <c r="E308" s="2" t="s">
        <v>1457</v>
      </c>
      <c r="F308" s="2"/>
      <c r="G308" s="2" t="s">
        <v>2080</v>
      </c>
      <c r="H308" s="2" t="s">
        <v>2081</v>
      </c>
      <c r="I308" s="5" t="s">
        <v>74</v>
      </c>
      <c r="J308" s="2" t="s">
        <v>6850</v>
      </c>
      <c r="K308" s="2" t="s">
        <v>71</v>
      </c>
      <c r="L308" s="5" t="n">
        <v>300</v>
      </c>
    </row>
    <row r="309" customFormat="false" ht="23.85" hidden="false" customHeight="false" outlineLevel="0" collapsed="false">
      <c r="A309" s="5" t="s">
        <v>2084</v>
      </c>
      <c r="B309" s="2" t="s">
        <v>2085</v>
      </c>
      <c r="C309" s="5" t="s">
        <v>488</v>
      </c>
      <c r="D309" s="5" t="s">
        <v>71</v>
      </c>
      <c r="E309" s="2" t="s">
        <v>1105</v>
      </c>
      <c r="F309" s="2"/>
      <c r="G309" s="2" t="s">
        <v>2086</v>
      </c>
      <c r="H309" s="2" t="s">
        <v>1139</v>
      </c>
      <c r="I309" s="5" t="s">
        <v>74</v>
      </c>
      <c r="J309" s="2" t="s">
        <v>6851</v>
      </c>
      <c r="K309" s="2" t="s">
        <v>71</v>
      </c>
      <c r="L309" s="5" t="n">
        <v>300</v>
      </c>
    </row>
    <row r="310" customFormat="false" ht="23.85" hidden="false" customHeight="false" outlineLevel="0" collapsed="false">
      <c r="A310" s="5" t="s">
        <v>2089</v>
      </c>
      <c r="B310" s="2" t="s">
        <v>2090</v>
      </c>
      <c r="C310" s="5" t="s">
        <v>488</v>
      </c>
      <c r="D310" s="5" t="s">
        <v>71</v>
      </c>
      <c r="E310" s="2" t="s">
        <v>368</v>
      </c>
      <c r="F310" s="2"/>
      <c r="G310" s="2" t="s">
        <v>2091</v>
      </c>
      <c r="H310" s="2" t="s">
        <v>1466</v>
      </c>
      <c r="I310" s="5" t="s">
        <v>74</v>
      </c>
      <c r="J310" s="2" t="s">
        <v>6852</v>
      </c>
      <c r="K310" s="2" t="s">
        <v>71</v>
      </c>
      <c r="L310" s="5" t="n">
        <v>300</v>
      </c>
    </row>
    <row r="311" customFormat="false" ht="23.85" hidden="false" customHeight="false" outlineLevel="0" collapsed="false">
      <c r="A311" s="5" t="s">
        <v>2094</v>
      </c>
      <c r="B311" s="2" t="s">
        <v>2095</v>
      </c>
      <c r="C311" s="5" t="s">
        <v>488</v>
      </c>
      <c r="D311" s="5" t="s">
        <v>71</v>
      </c>
      <c r="E311" s="2" t="s">
        <v>1160</v>
      </c>
      <c r="F311" s="2"/>
      <c r="G311" s="2" t="s">
        <v>2096</v>
      </c>
      <c r="H311" s="2" t="s">
        <v>1162</v>
      </c>
      <c r="I311" s="5" t="s">
        <v>74</v>
      </c>
      <c r="J311" s="2" t="s">
        <v>6853</v>
      </c>
      <c r="K311" s="2" t="s">
        <v>71</v>
      </c>
      <c r="L311" s="5" t="n">
        <v>300</v>
      </c>
    </row>
    <row r="312" customFormat="false" ht="23.85" hidden="false" customHeight="false" outlineLevel="0" collapsed="false">
      <c r="A312" s="5" t="s">
        <v>2099</v>
      </c>
      <c r="B312" s="2" t="s">
        <v>2100</v>
      </c>
      <c r="C312" s="5" t="s">
        <v>488</v>
      </c>
      <c r="D312" s="5" t="s">
        <v>71</v>
      </c>
      <c r="E312" s="2" t="s">
        <v>1221</v>
      </c>
      <c r="F312" s="2"/>
      <c r="G312" s="2" t="s">
        <v>2101</v>
      </c>
      <c r="H312" s="2" t="s">
        <v>1879</v>
      </c>
      <c r="I312" s="5" t="s">
        <v>74</v>
      </c>
      <c r="J312" s="2" t="s">
        <v>6854</v>
      </c>
      <c r="K312" s="2" t="s">
        <v>71</v>
      </c>
      <c r="L312" s="5" t="n">
        <v>300</v>
      </c>
    </row>
    <row r="313" customFormat="false" ht="35.05" hidden="false" customHeight="false" outlineLevel="0" collapsed="false">
      <c r="A313" s="5" t="s">
        <v>2104</v>
      </c>
      <c r="B313" s="2" t="s">
        <v>2105</v>
      </c>
      <c r="C313" s="5" t="s">
        <v>488</v>
      </c>
      <c r="D313" s="5" t="s">
        <v>71</v>
      </c>
      <c r="E313" s="2" t="s">
        <v>1105</v>
      </c>
      <c r="F313" s="2"/>
      <c r="G313" s="2" t="s">
        <v>2106</v>
      </c>
      <c r="H313" s="2" t="s">
        <v>1176</v>
      </c>
      <c r="I313" s="5" t="s">
        <v>74</v>
      </c>
      <c r="J313" s="2" t="s">
        <v>6855</v>
      </c>
      <c r="K313" s="2" t="s">
        <v>71</v>
      </c>
      <c r="L313" s="5" t="n">
        <v>300</v>
      </c>
    </row>
    <row r="314" customFormat="false" ht="35.05" hidden="false" customHeight="false" outlineLevel="0" collapsed="false">
      <c r="A314" s="5" t="s">
        <v>2109</v>
      </c>
      <c r="B314" s="2" t="s">
        <v>2110</v>
      </c>
      <c r="C314" s="5" t="s">
        <v>488</v>
      </c>
      <c r="D314" s="5" t="s">
        <v>71</v>
      </c>
      <c r="E314" s="2" t="s">
        <v>1198</v>
      </c>
      <c r="F314" s="2"/>
      <c r="G314" s="2" t="s">
        <v>2111</v>
      </c>
      <c r="H314" s="2" t="s">
        <v>1200</v>
      </c>
      <c r="I314" s="5" t="s">
        <v>74</v>
      </c>
      <c r="J314" s="2" t="s">
        <v>6856</v>
      </c>
      <c r="K314" s="2" t="s">
        <v>71</v>
      </c>
      <c r="L314" s="5" t="n">
        <v>300</v>
      </c>
    </row>
    <row r="315" customFormat="false" ht="23.85" hidden="false" customHeight="false" outlineLevel="0" collapsed="false">
      <c r="A315" s="5" t="s">
        <v>2114</v>
      </c>
      <c r="B315" s="2" t="s">
        <v>2115</v>
      </c>
      <c r="C315" s="5" t="s">
        <v>488</v>
      </c>
      <c r="D315" s="5" t="s">
        <v>71</v>
      </c>
      <c r="E315" s="2" t="s">
        <v>1105</v>
      </c>
      <c r="F315" s="2"/>
      <c r="G315" s="2" t="s">
        <v>2116</v>
      </c>
      <c r="H315" s="2" t="s">
        <v>1269</v>
      </c>
      <c r="I315" s="5" t="s">
        <v>74</v>
      </c>
      <c r="J315" s="2" t="s">
        <v>6857</v>
      </c>
      <c r="K315" s="2" t="s">
        <v>71</v>
      </c>
      <c r="L315" s="5" t="n">
        <v>300</v>
      </c>
    </row>
    <row r="316" customFormat="false" ht="23.85" hidden="false" customHeight="false" outlineLevel="0" collapsed="false">
      <c r="A316" s="5" t="s">
        <v>2119</v>
      </c>
      <c r="B316" s="2" t="s">
        <v>2120</v>
      </c>
      <c r="C316" s="5" t="s">
        <v>488</v>
      </c>
      <c r="D316" s="5" t="s">
        <v>958</v>
      </c>
      <c r="E316" s="2" t="s">
        <v>2121</v>
      </c>
      <c r="F316" s="2"/>
      <c r="G316" s="2" t="s">
        <v>959</v>
      </c>
      <c r="H316" s="2" t="s">
        <v>2122</v>
      </c>
      <c r="I316" s="5" t="s">
        <v>496</v>
      </c>
      <c r="J316" s="2" t="s">
        <v>6858</v>
      </c>
      <c r="K316" s="2" t="s">
        <v>958</v>
      </c>
      <c r="L316" s="5" t="n">
        <v>300</v>
      </c>
    </row>
    <row r="317" customFormat="false" ht="15" hidden="false" customHeight="false" outlineLevel="0" collapsed="false">
      <c r="A317" s="5" t="s">
        <v>2126</v>
      </c>
      <c r="B317" s="2" t="s">
        <v>2127</v>
      </c>
      <c r="C317" s="5" t="s">
        <v>2128</v>
      </c>
      <c r="D317" s="5" t="s">
        <v>2131</v>
      </c>
      <c r="E317" s="2" t="s">
        <v>2130</v>
      </c>
      <c r="F317" s="2"/>
      <c r="G317" s="2"/>
      <c r="H317" s="2" t="s">
        <v>641</v>
      </c>
      <c r="I317" s="5" t="s">
        <v>2132</v>
      </c>
      <c r="J317" s="2" t="s">
        <v>6859</v>
      </c>
      <c r="K317" s="2" t="s">
        <v>2131</v>
      </c>
      <c r="L317" s="5" t="n">
        <v>900</v>
      </c>
    </row>
    <row r="318" customFormat="false" ht="15" hidden="false" customHeight="false" outlineLevel="0" collapsed="false">
      <c r="A318" s="5" t="s">
        <v>2136</v>
      </c>
      <c r="B318" s="2" t="s">
        <v>2137</v>
      </c>
      <c r="C318" s="5" t="s">
        <v>2128</v>
      </c>
      <c r="D318" s="5" t="s">
        <v>2139</v>
      </c>
      <c r="E318" s="2" t="s">
        <v>2138</v>
      </c>
      <c r="F318" s="2"/>
      <c r="G318" s="2"/>
      <c r="H318" s="2" t="s">
        <v>2140</v>
      </c>
      <c r="I318" s="5" t="s">
        <v>74</v>
      </c>
      <c r="J318" s="2" t="s">
        <v>6860</v>
      </c>
      <c r="K318" s="2" t="s">
        <v>2139</v>
      </c>
      <c r="L318" s="5" t="n">
        <v>300</v>
      </c>
    </row>
    <row r="319" customFormat="false" ht="15" hidden="false" customHeight="false" outlineLevel="0" collapsed="false">
      <c r="A319" s="5" t="s">
        <v>2144</v>
      </c>
      <c r="B319" s="2" t="s">
        <v>2145</v>
      </c>
      <c r="C319" s="5" t="s">
        <v>2128</v>
      </c>
      <c r="D319" s="5" t="s">
        <v>2146</v>
      </c>
      <c r="E319" s="2" t="s">
        <v>2130</v>
      </c>
      <c r="F319" s="2"/>
      <c r="G319" s="2"/>
      <c r="H319" s="2" t="s">
        <v>2147</v>
      </c>
      <c r="I319" s="5" t="s">
        <v>74</v>
      </c>
      <c r="J319" s="2" t="s">
        <v>6859</v>
      </c>
      <c r="K319" s="2" t="s">
        <v>2146</v>
      </c>
      <c r="L319" s="5" t="n">
        <v>900</v>
      </c>
    </row>
    <row r="320" customFormat="false" ht="23.85" hidden="false" customHeight="false" outlineLevel="0" collapsed="false">
      <c r="A320" s="5" t="s">
        <v>2150</v>
      </c>
      <c r="B320" s="2" t="s">
        <v>2151</v>
      </c>
      <c r="C320" s="5" t="s">
        <v>2128</v>
      </c>
      <c r="D320" s="5" t="s">
        <v>413</v>
      </c>
      <c r="E320" s="2"/>
      <c r="F320" s="2"/>
      <c r="G320" s="2" t="s">
        <v>6861</v>
      </c>
      <c r="H320" s="2" t="s">
        <v>1098</v>
      </c>
      <c r="I320" s="5"/>
      <c r="J320" s="2" t="s">
        <v>6861</v>
      </c>
      <c r="K320" s="2" t="s">
        <v>2156</v>
      </c>
      <c r="L320" s="5" t="n">
        <v>7200</v>
      </c>
    </row>
    <row r="321" customFormat="false" ht="23.85" hidden="false" customHeight="false" outlineLevel="0" collapsed="false">
      <c r="A321" s="5" t="s">
        <v>2150</v>
      </c>
      <c r="B321" s="2" t="s">
        <v>2151</v>
      </c>
      <c r="C321" s="5" t="s">
        <v>2128</v>
      </c>
      <c r="D321" s="5" t="s">
        <v>6862</v>
      </c>
      <c r="E321" s="2"/>
      <c r="F321" s="2"/>
      <c r="G321" s="2" t="s">
        <v>6863</v>
      </c>
      <c r="H321" s="2" t="s">
        <v>1098</v>
      </c>
      <c r="I321" s="5"/>
      <c r="J321" s="2" t="s">
        <v>6863</v>
      </c>
      <c r="K321" s="2" t="s">
        <v>2156</v>
      </c>
      <c r="L321" s="5" t="n">
        <v>7200</v>
      </c>
    </row>
    <row r="322" customFormat="false" ht="23.85" hidden="false" customHeight="false" outlineLevel="0" collapsed="false">
      <c r="A322" s="5" t="s">
        <v>2163</v>
      </c>
      <c r="B322" s="2" t="s">
        <v>2164</v>
      </c>
      <c r="C322" s="5" t="s">
        <v>2128</v>
      </c>
      <c r="D322" s="5" t="s">
        <v>71</v>
      </c>
      <c r="E322" s="2" t="s">
        <v>2165</v>
      </c>
      <c r="F322" s="2"/>
      <c r="G322" s="2"/>
      <c r="H322" s="2" t="s">
        <v>529</v>
      </c>
      <c r="I322" s="5" t="s">
        <v>74</v>
      </c>
      <c r="J322" s="2" t="s">
        <v>6864</v>
      </c>
      <c r="K322" s="2" t="s">
        <v>71</v>
      </c>
      <c r="L322" s="5" t="n">
        <v>300</v>
      </c>
    </row>
    <row r="323" customFormat="false" ht="23.85" hidden="false" customHeight="false" outlineLevel="0" collapsed="false">
      <c r="A323" s="5" t="s">
        <v>2169</v>
      </c>
      <c r="B323" s="2" t="s">
        <v>2170</v>
      </c>
      <c r="C323" s="5" t="s">
        <v>2128</v>
      </c>
      <c r="D323" s="5" t="s">
        <v>71</v>
      </c>
      <c r="E323" s="2" t="s">
        <v>527</v>
      </c>
      <c r="F323" s="2"/>
      <c r="G323" s="2"/>
      <c r="H323" s="2" t="s">
        <v>529</v>
      </c>
      <c r="I323" s="5" t="s">
        <v>74</v>
      </c>
      <c r="J323" s="2" t="s">
        <v>6865</v>
      </c>
      <c r="K323" s="2" t="s">
        <v>71</v>
      </c>
      <c r="L323" s="5" t="n">
        <v>300</v>
      </c>
    </row>
    <row r="324" customFormat="false" ht="15" hidden="false" customHeight="false" outlineLevel="0" collapsed="false">
      <c r="A324" s="5" t="s">
        <v>2173</v>
      </c>
      <c r="B324" s="2" t="s">
        <v>2174</v>
      </c>
      <c r="C324" s="5" t="s">
        <v>2128</v>
      </c>
      <c r="D324" s="5" t="s">
        <v>71</v>
      </c>
      <c r="E324" s="2" t="s">
        <v>2175</v>
      </c>
      <c r="F324" s="2"/>
      <c r="G324" s="2"/>
      <c r="H324" s="2" t="s">
        <v>529</v>
      </c>
      <c r="I324" s="5" t="s">
        <v>74</v>
      </c>
      <c r="J324" s="2" t="s">
        <v>6866</v>
      </c>
      <c r="K324" s="2" t="s">
        <v>71</v>
      </c>
      <c r="L324" s="5" t="n">
        <v>300</v>
      </c>
    </row>
    <row r="325" customFormat="false" ht="15" hidden="false" customHeight="false" outlineLevel="0" collapsed="false">
      <c r="A325" s="5" t="s">
        <v>2179</v>
      </c>
      <c r="B325" s="2" t="s">
        <v>2180</v>
      </c>
      <c r="C325" s="5" t="s">
        <v>2128</v>
      </c>
      <c r="D325" s="5" t="s">
        <v>71</v>
      </c>
      <c r="E325" s="2" t="s">
        <v>2181</v>
      </c>
      <c r="F325" s="2"/>
      <c r="G325" s="2"/>
      <c r="H325" s="2" t="s">
        <v>529</v>
      </c>
      <c r="I325" s="5" t="s">
        <v>74</v>
      </c>
      <c r="J325" s="2" t="s">
        <v>6867</v>
      </c>
      <c r="K325" s="2" t="s">
        <v>71</v>
      </c>
      <c r="L325" s="5" t="n">
        <v>300</v>
      </c>
    </row>
    <row r="326" customFormat="false" ht="23.85" hidden="false" customHeight="false" outlineLevel="0" collapsed="false">
      <c r="A326" s="5" t="s">
        <v>2185</v>
      </c>
      <c r="B326" s="2" t="s">
        <v>2186</v>
      </c>
      <c r="C326" s="5" t="s">
        <v>2128</v>
      </c>
      <c r="D326" s="5" t="s">
        <v>71</v>
      </c>
      <c r="E326" s="2" t="s">
        <v>2187</v>
      </c>
      <c r="F326" s="2"/>
      <c r="G326" s="2"/>
      <c r="H326" s="2" t="s">
        <v>2188</v>
      </c>
      <c r="I326" s="5" t="s">
        <v>74</v>
      </c>
      <c r="J326" s="2" t="s">
        <v>6868</v>
      </c>
      <c r="K326" s="2" t="s">
        <v>71</v>
      </c>
      <c r="L326" s="5" t="n">
        <v>300</v>
      </c>
    </row>
    <row r="327" customFormat="false" ht="15" hidden="false" customHeight="false" outlineLevel="0" collapsed="false">
      <c r="A327" s="5" t="s">
        <v>2192</v>
      </c>
      <c r="B327" s="2" t="s">
        <v>2193</v>
      </c>
      <c r="C327" s="5" t="s">
        <v>2128</v>
      </c>
      <c r="D327" s="5" t="s">
        <v>71</v>
      </c>
      <c r="E327" s="2" t="s">
        <v>552</v>
      </c>
      <c r="F327" s="2"/>
      <c r="G327" s="2" t="s">
        <v>2194</v>
      </c>
      <c r="H327" s="2" t="s">
        <v>529</v>
      </c>
      <c r="I327" s="5" t="s">
        <v>74</v>
      </c>
      <c r="J327" s="2" t="s">
        <v>6869</v>
      </c>
      <c r="K327" s="2" t="s">
        <v>71</v>
      </c>
      <c r="L327" s="5" t="n">
        <v>300</v>
      </c>
    </row>
    <row r="328" customFormat="false" ht="15" hidden="false" customHeight="false" outlineLevel="0" collapsed="false">
      <c r="A328" s="5" t="s">
        <v>2197</v>
      </c>
      <c r="B328" s="2" t="s">
        <v>2198</v>
      </c>
      <c r="C328" s="5" t="s">
        <v>2128</v>
      </c>
      <c r="D328" s="5" t="s">
        <v>71</v>
      </c>
      <c r="E328" s="2" t="s">
        <v>2199</v>
      </c>
      <c r="F328" s="2"/>
      <c r="G328" s="2"/>
      <c r="H328" s="2" t="s">
        <v>2200</v>
      </c>
      <c r="I328" s="5" t="s">
        <v>74</v>
      </c>
      <c r="J328" s="2" t="s">
        <v>6870</v>
      </c>
      <c r="K328" s="2" t="s">
        <v>71</v>
      </c>
      <c r="L328" s="5" t="n">
        <v>300</v>
      </c>
    </row>
    <row r="329" customFormat="false" ht="23.85" hidden="false" customHeight="false" outlineLevel="0" collapsed="false">
      <c r="A329" s="5" t="s">
        <v>2204</v>
      </c>
      <c r="B329" s="2" t="s">
        <v>2205</v>
      </c>
      <c r="C329" s="5" t="s">
        <v>2128</v>
      </c>
      <c r="D329" s="5" t="s">
        <v>71</v>
      </c>
      <c r="E329" s="2" t="s">
        <v>6871</v>
      </c>
      <c r="F329" s="2"/>
      <c r="G329" s="2"/>
      <c r="H329" s="2" t="s">
        <v>641</v>
      </c>
      <c r="I329" s="5" t="s">
        <v>74</v>
      </c>
      <c r="J329" s="2" t="s">
        <v>6872</v>
      </c>
      <c r="K329" s="2" t="s">
        <v>71</v>
      </c>
      <c r="L329" s="5" t="n">
        <v>300</v>
      </c>
    </row>
    <row r="330" customFormat="false" ht="23.85" hidden="false" customHeight="false" outlineLevel="0" collapsed="false">
      <c r="A330" s="5" t="s">
        <v>2210</v>
      </c>
      <c r="B330" s="2" t="s">
        <v>2211</v>
      </c>
      <c r="C330" s="5" t="s">
        <v>2128</v>
      </c>
      <c r="D330" s="5" t="s">
        <v>71</v>
      </c>
      <c r="E330" s="2" t="s">
        <v>2212</v>
      </c>
      <c r="F330" s="2"/>
      <c r="G330" s="2"/>
      <c r="H330" s="2" t="s">
        <v>641</v>
      </c>
      <c r="I330" s="5" t="s">
        <v>74</v>
      </c>
      <c r="J330" s="2" t="s">
        <v>6873</v>
      </c>
      <c r="K330" s="2" t="s">
        <v>71</v>
      </c>
      <c r="L330" s="5" t="n">
        <v>300</v>
      </c>
    </row>
    <row r="331" customFormat="false" ht="15" hidden="false" customHeight="false" outlineLevel="0" collapsed="false">
      <c r="A331" s="5" t="s">
        <v>2216</v>
      </c>
      <c r="B331" s="2" t="s">
        <v>2217</v>
      </c>
      <c r="C331" s="5" t="s">
        <v>2128</v>
      </c>
      <c r="D331" s="5" t="s">
        <v>71</v>
      </c>
      <c r="E331" s="2" t="s">
        <v>2218</v>
      </c>
      <c r="F331" s="2"/>
      <c r="G331" s="2" t="s">
        <v>2219</v>
      </c>
      <c r="H331" s="2" t="s">
        <v>2220</v>
      </c>
      <c r="I331" s="5" t="s">
        <v>74</v>
      </c>
      <c r="J331" s="2" t="s">
        <v>6874</v>
      </c>
      <c r="K331" s="2" t="s">
        <v>71</v>
      </c>
      <c r="L331" s="5" t="n">
        <v>300</v>
      </c>
    </row>
    <row r="332" customFormat="false" ht="23.85" hidden="false" customHeight="false" outlineLevel="0" collapsed="false">
      <c r="A332" s="5" t="s">
        <v>2224</v>
      </c>
      <c r="B332" s="2" t="s">
        <v>2225</v>
      </c>
      <c r="C332" s="5" t="s">
        <v>2128</v>
      </c>
      <c r="D332" s="5" t="s">
        <v>71</v>
      </c>
      <c r="E332" s="2" t="s">
        <v>2226</v>
      </c>
      <c r="F332" s="2"/>
      <c r="G332" s="2"/>
      <c r="H332" s="2" t="s">
        <v>641</v>
      </c>
      <c r="I332" s="5" t="s">
        <v>74</v>
      </c>
      <c r="J332" s="2" t="s">
        <v>6875</v>
      </c>
      <c r="K332" s="2" t="s">
        <v>71</v>
      </c>
      <c r="L332" s="5" t="n">
        <v>300</v>
      </c>
    </row>
    <row r="333" customFormat="false" ht="35.05" hidden="false" customHeight="false" outlineLevel="0" collapsed="false">
      <c r="A333" s="5" t="s">
        <v>2230</v>
      </c>
      <c r="B333" s="2" t="s">
        <v>2231</v>
      </c>
      <c r="C333" s="5" t="s">
        <v>2128</v>
      </c>
      <c r="D333" s="5" t="s">
        <v>2232</v>
      </c>
      <c r="E333" s="2" t="s">
        <v>6587</v>
      </c>
      <c r="F333" s="2"/>
      <c r="G333" s="2" t="s">
        <v>2233</v>
      </c>
      <c r="H333" s="2" t="s">
        <v>2234</v>
      </c>
      <c r="I333" s="5" t="s">
        <v>2235</v>
      </c>
      <c r="J333" s="2" t="s">
        <v>6876</v>
      </c>
      <c r="K333" s="2" t="s">
        <v>2232</v>
      </c>
      <c r="L333" s="5" t="n">
        <v>3600</v>
      </c>
    </row>
    <row r="334" customFormat="false" ht="35.05" hidden="false" customHeight="false" outlineLevel="0" collapsed="false">
      <c r="A334" s="5" t="s">
        <v>2238</v>
      </c>
      <c r="B334" s="2" t="s">
        <v>2239</v>
      </c>
      <c r="C334" s="5" t="s">
        <v>2128</v>
      </c>
      <c r="D334" s="5" t="s">
        <v>2232</v>
      </c>
      <c r="E334" s="2" t="s">
        <v>6589</v>
      </c>
      <c r="F334" s="2"/>
      <c r="G334" s="2" t="s">
        <v>2233</v>
      </c>
      <c r="H334" s="2" t="s">
        <v>2234</v>
      </c>
      <c r="I334" s="5" t="s">
        <v>2240</v>
      </c>
      <c r="J334" s="2" t="s">
        <v>6877</v>
      </c>
      <c r="K334" s="2" t="s">
        <v>2232</v>
      </c>
      <c r="L334" s="5" t="n">
        <v>3600</v>
      </c>
    </row>
    <row r="335" customFormat="false" ht="35.05" hidden="false" customHeight="false" outlineLevel="0" collapsed="false">
      <c r="A335" s="5" t="s">
        <v>2243</v>
      </c>
      <c r="B335" s="2" t="s">
        <v>2244</v>
      </c>
      <c r="C335" s="5" t="s">
        <v>2245</v>
      </c>
      <c r="D335" s="5" t="s">
        <v>2248</v>
      </c>
      <c r="E335" s="2" t="s">
        <v>2247</v>
      </c>
      <c r="F335" s="2"/>
      <c r="G335" s="2"/>
      <c r="H335" s="2" t="s">
        <v>2249</v>
      </c>
      <c r="I335" s="5" t="s">
        <v>734</v>
      </c>
      <c r="J335" s="2" t="s">
        <v>6878</v>
      </c>
      <c r="K335" s="2" t="s">
        <v>2248</v>
      </c>
      <c r="L335" s="5" t="n">
        <v>300</v>
      </c>
    </row>
    <row r="336" customFormat="false" ht="23.85" hidden="false" customHeight="false" outlineLevel="0" collapsed="false">
      <c r="A336" s="5" t="s">
        <v>2253</v>
      </c>
      <c r="B336" s="2" t="s">
        <v>2254</v>
      </c>
      <c r="C336" s="5" t="s">
        <v>2245</v>
      </c>
      <c r="D336" s="5" t="s">
        <v>2248</v>
      </c>
      <c r="E336" s="2" t="s">
        <v>2255</v>
      </c>
      <c r="F336" s="2"/>
      <c r="G336" s="2"/>
      <c r="H336" s="2" t="s">
        <v>2256</v>
      </c>
      <c r="I336" s="5" t="s">
        <v>734</v>
      </c>
      <c r="J336" s="2" t="s">
        <v>6879</v>
      </c>
      <c r="K336" s="2" t="s">
        <v>2248</v>
      </c>
      <c r="L336" s="5" t="n">
        <v>300</v>
      </c>
    </row>
    <row r="337" customFormat="false" ht="15" hidden="false" customHeight="false" outlineLevel="0" collapsed="false">
      <c r="A337" s="5" t="s">
        <v>2260</v>
      </c>
      <c r="B337" s="2" t="s">
        <v>2261</v>
      </c>
      <c r="C337" s="5" t="s">
        <v>2245</v>
      </c>
      <c r="D337" s="5" t="s">
        <v>2248</v>
      </c>
      <c r="E337" s="2" t="s">
        <v>2262</v>
      </c>
      <c r="F337" s="2"/>
      <c r="G337" s="2"/>
      <c r="H337" s="2" t="s">
        <v>2263</v>
      </c>
      <c r="I337" s="5" t="s">
        <v>734</v>
      </c>
      <c r="J337" s="2" t="s">
        <v>6880</v>
      </c>
      <c r="K337" s="2" t="s">
        <v>2248</v>
      </c>
      <c r="L337" s="5" t="n">
        <v>300</v>
      </c>
    </row>
    <row r="338" customFormat="false" ht="23.85" hidden="false" customHeight="false" outlineLevel="0" collapsed="false">
      <c r="A338" s="5" t="s">
        <v>2267</v>
      </c>
      <c r="B338" s="2" t="s">
        <v>2268</v>
      </c>
      <c r="C338" s="5" t="s">
        <v>2245</v>
      </c>
      <c r="D338" s="5" t="s">
        <v>2248</v>
      </c>
      <c r="E338" s="2" t="s">
        <v>2269</v>
      </c>
      <c r="F338" s="2"/>
      <c r="G338" s="2"/>
      <c r="H338" s="2" t="s">
        <v>2270</v>
      </c>
      <c r="I338" s="5" t="s">
        <v>734</v>
      </c>
      <c r="J338" s="2" t="s">
        <v>6881</v>
      </c>
      <c r="K338" s="2" t="s">
        <v>2248</v>
      </c>
      <c r="L338" s="5" t="n">
        <v>300</v>
      </c>
    </row>
    <row r="339" customFormat="false" ht="23.85" hidden="false" customHeight="false" outlineLevel="0" collapsed="false">
      <c r="A339" s="5" t="s">
        <v>2274</v>
      </c>
      <c r="B339" s="2" t="s">
        <v>2275</v>
      </c>
      <c r="C339" s="5" t="s">
        <v>2128</v>
      </c>
      <c r="D339" s="5" t="s">
        <v>2277</v>
      </c>
      <c r="E339" s="2" t="s">
        <v>6882</v>
      </c>
      <c r="F339" s="2"/>
      <c r="G339" s="2"/>
      <c r="H339" s="2" t="s">
        <v>2278</v>
      </c>
      <c r="I339" s="5" t="s">
        <v>496</v>
      </c>
      <c r="J339" s="2" t="s">
        <v>6883</v>
      </c>
      <c r="K339" s="2" t="s">
        <v>2277</v>
      </c>
      <c r="L339" s="5" t="n">
        <v>300</v>
      </c>
    </row>
    <row r="340" customFormat="false" ht="23.85" hidden="false" customHeight="false" outlineLevel="0" collapsed="false">
      <c r="A340" s="5" t="s">
        <v>2282</v>
      </c>
      <c r="B340" s="2" t="s">
        <v>2283</v>
      </c>
      <c r="C340" s="5" t="s">
        <v>2128</v>
      </c>
      <c r="D340" s="5" t="s">
        <v>2285</v>
      </c>
      <c r="E340" s="2" t="s">
        <v>6884</v>
      </c>
      <c r="F340" s="2"/>
      <c r="G340" s="2" t="s">
        <v>2286</v>
      </c>
      <c r="H340" s="2" t="s">
        <v>495</v>
      </c>
      <c r="I340" s="5" t="s">
        <v>681</v>
      </c>
      <c r="J340" s="2" t="s">
        <v>6885</v>
      </c>
      <c r="K340" s="2" t="s">
        <v>2285</v>
      </c>
      <c r="L340" s="5" t="n">
        <v>600</v>
      </c>
    </row>
    <row r="341" customFormat="false" ht="23.85" hidden="false" customHeight="false" outlineLevel="0" collapsed="false">
      <c r="A341" s="5" t="s">
        <v>2290</v>
      </c>
      <c r="B341" s="2" t="s">
        <v>2291</v>
      </c>
      <c r="C341" s="5" t="s">
        <v>2128</v>
      </c>
      <c r="D341" s="5" t="s">
        <v>2295</v>
      </c>
      <c r="E341" s="2" t="s">
        <v>2294</v>
      </c>
      <c r="F341" s="2"/>
      <c r="G341" s="2"/>
      <c r="H341" s="2" t="s">
        <v>2296</v>
      </c>
      <c r="I341" s="5" t="s">
        <v>2297</v>
      </c>
      <c r="J341" s="2" t="s">
        <v>6886</v>
      </c>
      <c r="K341" s="2" t="s">
        <v>2295</v>
      </c>
      <c r="L341" s="5" t="n">
        <v>120</v>
      </c>
    </row>
    <row r="342" customFormat="false" ht="124.6" hidden="false" customHeight="false" outlineLevel="0" collapsed="false">
      <c r="A342" s="5" t="s">
        <v>2301</v>
      </c>
      <c r="B342" s="2" t="s">
        <v>2302</v>
      </c>
      <c r="C342" s="5" t="s">
        <v>2128</v>
      </c>
      <c r="D342" s="5" t="s">
        <v>71</v>
      </c>
      <c r="E342" s="2" t="s">
        <v>6887</v>
      </c>
      <c r="F342" s="2"/>
      <c r="G342" s="2" t="s">
        <v>2305</v>
      </c>
      <c r="H342" s="2" t="s">
        <v>2306</v>
      </c>
      <c r="I342" s="5" t="s">
        <v>2307</v>
      </c>
      <c r="J342" s="2" t="s">
        <v>6888</v>
      </c>
      <c r="K342" s="2" t="s">
        <v>71</v>
      </c>
      <c r="L342" s="5" t="n">
        <v>300</v>
      </c>
    </row>
    <row r="343" customFormat="false" ht="23.85" hidden="false" customHeight="false" outlineLevel="0" collapsed="false">
      <c r="A343" s="5" t="s">
        <v>2311</v>
      </c>
      <c r="B343" s="2" t="s">
        <v>2312</v>
      </c>
      <c r="C343" s="5" t="s">
        <v>2128</v>
      </c>
      <c r="D343" s="5" t="s">
        <v>2295</v>
      </c>
      <c r="E343" s="2" t="s">
        <v>2313</v>
      </c>
      <c r="F343" s="2"/>
      <c r="G343" s="2"/>
      <c r="H343" s="2" t="s">
        <v>2314</v>
      </c>
      <c r="I343" s="5" t="s">
        <v>2297</v>
      </c>
      <c r="J343" s="2" t="s">
        <v>6889</v>
      </c>
      <c r="K343" s="2" t="s">
        <v>2295</v>
      </c>
      <c r="L343" s="5" t="n">
        <v>120</v>
      </c>
    </row>
    <row r="344" customFormat="false" ht="23.85" hidden="false" customHeight="false" outlineLevel="0" collapsed="false">
      <c r="A344" s="5" t="s">
        <v>2317</v>
      </c>
      <c r="B344" s="2" t="s">
        <v>2318</v>
      </c>
      <c r="C344" s="5" t="s">
        <v>2128</v>
      </c>
      <c r="D344" s="5" t="s">
        <v>2645</v>
      </c>
      <c r="E344" s="2" t="s">
        <v>6890</v>
      </c>
      <c r="F344" s="2"/>
      <c r="G344" s="2"/>
      <c r="H344" s="2" t="s">
        <v>6891</v>
      </c>
      <c r="I344" s="5" t="s">
        <v>496</v>
      </c>
      <c r="J344" s="2" t="s">
        <v>6892</v>
      </c>
      <c r="K344" s="2" t="s">
        <v>2321</v>
      </c>
      <c r="L344" s="5" t="n">
        <v>86400</v>
      </c>
    </row>
    <row r="345" customFormat="false" ht="23.85" hidden="false" customHeight="false" outlineLevel="0" collapsed="false">
      <c r="A345" s="5" t="s">
        <v>2317</v>
      </c>
      <c r="B345" s="2" t="s">
        <v>2318</v>
      </c>
      <c r="C345" s="5" t="s">
        <v>2128</v>
      </c>
      <c r="D345" s="5" t="s">
        <v>6570</v>
      </c>
      <c r="E345" s="2" t="s">
        <v>6587</v>
      </c>
      <c r="F345" s="2"/>
      <c r="G345" s="2"/>
      <c r="H345" s="2" t="s">
        <v>6893</v>
      </c>
      <c r="I345" s="5" t="s">
        <v>496</v>
      </c>
      <c r="J345" s="2" t="s">
        <v>6894</v>
      </c>
      <c r="K345" s="2" t="s">
        <v>2321</v>
      </c>
      <c r="L345" s="5" t="n">
        <v>86400</v>
      </c>
    </row>
    <row r="346" customFormat="false" ht="15" hidden="false" customHeight="false" outlineLevel="0" collapsed="false">
      <c r="A346" s="5" t="s">
        <v>2329</v>
      </c>
      <c r="B346" s="2" t="s">
        <v>2330</v>
      </c>
      <c r="C346" s="5" t="s">
        <v>2128</v>
      </c>
      <c r="D346" s="5" t="s">
        <v>2295</v>
      </c>
      <c r="E346" s="2" t="s">
        <v>2331</v>
      </c>
      <c r="F346" s="2"/>
      <c r="G346" s="2" t="s">
        <v>2332</v>
      </c>
      <c r="H346" s="2" t="s">
        <v>2333</v>
      </c>
      <c r="I346" s="5" t="s">
        <v>74</v>
      </c>
      <c r="J346" s="2" t="s">
        <v>6895</v>
      </c>
      <c r="K346" s="2" t="s">
        <v>2295</v>
      </c>
      <c r="L346" s="5" t="n">
        <v>120</v>
      </c>
    </row>
    <row r="347" customFormat="false" ht="35.05" hidden="false" customHeight="false" outlineLevel="0" collapsed="false">
      <c r="A347" s="5" t="s">
        <v>2337</v>
      </c>
      <c r="B347" s="2" t="s">
        <v>2338</v>
      </c>
      <c r="C347" s="5" t="s">
        <v>2128</v>
      </c>
      <c r="D347" s="5" t="s">
        <v>2342</v>
      </c>
      <c r="E347" s="2" t="s">
        <v>2341</v>
      </c>
      <c r="F347" s="2"/>
      <c r="G347" s="2"/>
      <c r="H347" s="2" t="s">
        <v>2343</v>
      </c>
      <c r="I347" s="5" t="s">
        <v>496</v>
      </c>
      <c r="J347" s="2" t="s">
        <v>6896</v>
      </c>
      <c r="K347" s="2" t="s">
        <v>2342</v>
      </c>
      <c r="L347" s="5" t="n">
        <v>300</v>
      </c>
    </row>
    <row r="348" customFormat="false" ht="23.85" hidden="false" customHeight="false" outlineLevel="0" collapsed="false">
      <c r="A348" s="5" t="s">
        <v>2347</v>
      </c>
      <c r="B348" s="2" t="s">
        <v>2348</v>
      </c>
      <c r="C348" s="5" t="s">
        <v>2128</v>
      </c>
      <c r="D348" s="5" t="s">
        <v>2351</v>
      </c>
      <c r="E348" s="2" t="s">
        <v>2350</v>
      </c>
      <c r="F348" s="2"/>
      <c r="G348" s="2"/>
      <c r="H348" s="2" t="s">
        <v>2352</v>
      </c>
      <c r="I348" s="5" t="s">
        <v>74</v>
      </c>
      <c r="J348" s="2" t="s">
        <v>6897</v>
      </c>
      <c r="K348" s="2" t="s">
        <v>2351</v>
      </c>
      <c r="L348" s="5" t="n">
        <v>300</v>
      </c>
    </row>
    <row r="349" customFormat="false" ht="15" hidden="false" customHeight="false" outlineLevel="0" collapsed="false">
      <c r="A349" s="5" t="s">
        <v>2356</v>
      </c>
      <c r="B349" s="2" t="s">
        <v>2357</v>
      </c>
      <c r="C349" s="5" t="s">
        <v>2128</v>
      </c>
      <c r="D349" s="5" t="s">
        <v>2351</v>
      </c>
      <c r="E349" s="2" t="s">
        <v>2350</v>
      </c>
      <c r="F349" s="2"/>
      <c r="G349" s="2" t="s">
        <v>2358</v>
      </c>
      <c r="H349" s="2" t="s">
        <v>2359</v>
      </c>
      <c r="I349" s="5" t="s">
        <v>74</v>
      </c>
      <c r="J349" s="2" t="s">
        <v>6898</v>
      </c>
      <c r="K349" s="2" t="s">
        <v>2351</v>
      </c>
      <c r="L349" s="5" t="n">
        <v>300</v>
      </c>
    </row>
    <row r="350" customFormat="false" ht="23.85" hidden="false" customHeight="false" outlineLevel="0" collapsed="false">
      <c r="A350" s="5" t="s">
        <v>2362</v>
      </c>
      <c r="B350" s="2" t="s">
        <v>2363</v>
      </c>
      <c r="C350" s="5" t="s">
        <v>2128</v>
      </c>
      <c r="D350" s="5" t="s">
        <v>2365</v>
      </c>
      <c r="E350" s="2" t="s">
        <v>2364</v>
      </c>
      <c r="F350" s="2"/>
      <c r="G350" s="2"/>
      <c r="H350" s="2" t="s">
        <v>2352</v>
      </c>
      <c r="I350" s="5" t="s">
        <v>74</v>
      </c>
      <c r="J350" s="2" t="s">
        <v>6899</v>
      </c>
      <c r="K350" s="2" t="s">
        <v>2365</v>
      </c>
      <c r="L350" s="5" t="n">
        <v>300</v>
      </c>
    </row>
    <row r="351" customFormat="false" ht="15" hidden="false" customHeight="false" outlineLevel="0" collapsed="false">
      <c r="A351" s="5" t="s">
        <v>2369</v>
      </c>
      <c r="B351" s="2" t="s">
        <v>2370</v>
      </c>
      <c r="C351" s="5" t="s">
        <v>2128</v>
      </c>
      <c r="D351" s="5" t="s">
        <v>2365</v>
      </c>
      <c r="E351" s="2" t="s">
        <v>2364</v>
      </c>
      <c r="F351" s="2"/>
      <c r="G351" s="2" t="s">
        <v>2358</v>
      </c>
      <c r="H351" s="2" t="s">
        <v>2371</v>
      </c>
      <c r="I351" s="5" t="s">
        <v>74</v>
      </c>
      <c r="J351" s="2" t="s">
        <v>6900</v>
      </c>
      <c r="K351" s="2" t="s">
        <v>2365</v>
      </c>
      <c r="L351" s="5" t="n">
        <v>300</v>
      </c>
    </row>
    <row r="352" customFormat="false" ht="23.85" hidden="false" customHeight="false" outlineLevel="0" collapsed="false">
      <c r="A352" s="5" t="s">
        <v>2374</v>
      </c>
      <c r="B352" s="2" t="s">
        <v>2375</v>
      </c>
      <c r="C352" s="5" t="s">
        <v>2128</v>
      </c>
      <c r="D352" s="5" t="s">
        <v>2378</v>
      </c>
      <c r="E352" s="2" t="s">
        <v>2377</v>
      </c>
      <c r="F352" s="2"/>
      <c r="G352" s="2"/>
      <c r="H352" s="2" t="s">
        <v>2379</v>
      </c>
      <c r="I352" s="5" t="s">
        <v>2380</v>
      </c>
      <c r="J352" s="2" t="s">
        <v>6901</v>
      </c>
      <c r="K352" s="2" t="s">
        <v>2378</v>
      </c>
      <c r="L352" s="5" t="n">
        <v>300</v>
      </c>
    </row>
    <row r="353" customFormat="false" ht="15" hidden="false" customHeight="false" outlineLevel="0" collapsed="false">
      <c r="A353" s="5" t="s">
        <v>2384</v>
      </c>
      <c r="B353" s="2" t="s">
        <v>2385</v>
      </c>
      <c r="C353" s="5" t="s">
        <v>2128</v>
      </c>
      <c r="D353" s="5" t="s">
        <v>2388</v>
      </c>
      <c r="E353" s="2" t="s">
        <v>2387</v>
      </c>
      <c r="F353" s="2"/>
      <c r="G353" s="2"/>
      <c r="H353" s="2" t="s">
        <v>2389</v>
      </c>
      <c r="I353" s="5" t="s">
        <v>74</v>
      </c>
      <c r="J353" s="2" t="s">
        <v>6902</v>
      </c>
      <c r="K353" s="2" t="s">
        <v>2388</v>
      </c>
      <c r="L353" s="5" t="n">
        <v>300</v>
      </c>
    </row>
    <row r="354" customFormat="false" ht="15" hidden="false" customHeight="false" outlineLevel="0" collapsed="false">
      <c r="A354" s="5" t="s">
        <v>2393</v>
      </c>
      <c r="B354" s="2" t="s">
        <v>2394</v>
      </c>
      <c r="C354" s="5" t="s">
        <v>2128</v>
      </c>
      <c r="D354" s="5" t="s">
        <v>2388</v>
      </c>
      <c r="E354" s="2" t="s">
        <v>2395</v>
      </c>
      <c r="F354" s="2"/>
      <c r="G354" s="2"/>
      <c r="H354" s="2" t="s">
        <v>2389</v>
      </c>
      <c r="I354" s="5" t="s">
        <v>74</v>
      </c>
      <c r="J354" s="2" t="s">
        <v>6903</v>
      </c>
      <c r="K354" s="2" t="s">
        <v>2388</v>
      </c>
      <c r="L354" s="5" t="n">
        <v>300</v>
      </c>
    </row>
    <row r="355" customFormat="false" ht="23.85" hidden="false" customHeight="false" outlineLevel="0" collapsed="false">
      <c r="A355" s="5" t="s">
        <v>2399</v>
      </c>
      <c r="B355" s="2" t="s">
        <v>2400</v>
      </c>
      <c r="C355" s="5" t="s">
        <v>2128</v>
      </c>
      <c r="D355" s="5" t="s">
        <v>2402</v>
      </c>
      <c r="E355" s="2" t="s">
        <v>2401</v>
      </c>
      <c r="F355" s="2"/>
      <c r="G355" s="2" t="s">
        <v>2403</v>
      </c>
      <c r="H355" s="2" t="s">
        <v>2404</v>
      </c>
      <c r="I355" s="5" t="s">
        <v>74</v>
      </c>
      <c r="J355" s="2" t="s">
        <v>6904</v>
      </c>
      <c r="K355" s="2" t="s">
        <v>2402</v>
      </c>
      <c r="L355" s="5" t="n">
        <v>300</v>
      </c>
    </row>
    <row r="356" customFormat="false" ht="15" hidden="false" customHeight="false" outlineLevel="0" collapsed="false">
      <c r="A356" s="5" t="s">
        <v>2408</v>
      </c>
      <c r="B356" s="2" t="s">
        <v>2409</v>
      </c>
      <c r="C356" s="5" t="s">
        <v>2128</v>
      </c>
      <c r="D356" s="5" t="s">
        <v>2411</v>
      </c>
      <c r="E356" s="2" t="s">
        <v>2410</v>
      </c>
      <c r="F356" s="2"/>
      <c r="G356" s="2"/>
      <c r="H356" s="2" t="s">
        <v>2412</v>
      </c>
      <c r="I356" s="5" t="s">
        <v>74</v>
      </c>
      <c r="J356" s="2" t="s">
        <v>6905</v>
      </c>
      <c r="K356" s="2" t="s">
        <v>2411</v>
      </c>
      <c r="L356" s="5" t="n">
        <v>300</v>
      </c>
    </row>
    <row r="357" customFormat="false" ht="15" hidden="false" customHeight="false" outlineLevel="0" collapsed="false">
      <c r="A357" s="5" t="s">
        <v>2416</v>
      </c>
      <c r="B357" s="2" t="s">
        <v>2417</v>
      </c>
      <c r="C357" s="5" t="s">
        <v>2128</v>
      </c>
      <c r="D357" s="5" t="s">
        <v>2419</v>
      </c>
      <c r="E357" s="2" t="s">
        <v>2418</v>
      </c>
      <c r="F357" s="2"/>
      <c r="G357" s="2"/>
      <c r="H357" s="2" t="s">
        <v>2420</v>
      </c>
      <c r="I357" s="5" t="s">
        <v>74</v>
      </c>
      <c r="J357" s="2" t="s">
        <v>6906</v>
      </c>
      <c r="K357" s="2" t="s">
        <v>2419</v>
      </c>
      <c r="L357" s="5" t="n">
        <v>300</v>
      </c>
    </row>
    <row r="358" customFormat="false" ht="15" hidden="false" customHeight="false" outlineLevel="0" collapsed="false">
      <c r="A358" s="5" t="s">
        <v>2424</v>
      </c>
      <c r="B358" s="2" t="s">
        <v>2425</v>
      </c>
      <c r="C358" s="5" t="s">
        <v>2128</v>
      </c>
      <c r="D358" s="5" t="s">
        <v>2428</v>
      </c>
      <c r="E358" s="2" t="s">
        <v>2427</v>
      </c>
      <c r="F358" s="2"/>
      <c r="G358" s="2"/>
      <c r="H358" s="2" t="s">
        <v>2420</v>
      </c>
      <c r="I358" s="5" t="s">
        <v>74</v>
      </c>
      <c r="J358" s="2" t="s">
        <v>6907</v>
      </c>
      <c r="K358" s="2" t="s">
        <v>2428</v>
      </c>
      <c r="L358" s="5" t="n">
        <v>300</v>
      </c>
    </row>
    <row r="359" customFormat="false" ht="15" hidden="false" customHeight="false" outlineLevel="0" collapsed="false">
      <c r="A359" s="5" t="s">
        <v>2432</v>
      </c>
      <c r="B359" s="2" t="s">
        <v>2433</v>
      </c>
      <c r="C359" s="5" t="s">
        <v>2128</v>
      </c>
      <c r="D359" s="5" t="s">
        <v>2435</v>
      </c>
      <c r="E359" s="2" t="s">
        <v>2434</v>
      </c>
      <c r="F359" s="2"/>
      <c r="G359" s="2"/>
      <c r="H359" s="2" t="s">
        <v>2420</v>
      </c>
      <c r="I359" s="5" t="s">
        <v>74</v>
      </c>
      <c r="J359" s="2" t="s">
        <v>6908</v>
      </c>
      <c r="K359" s="2" t="s">
        <v>2435</v>
      </c>
      <c r="L359" s="5" t="n">
        <v>300</v>
      </c>
    </row>
    <row r="360" customFormat="false" ht="15" hidden="false" customHeight="false" outlineLevel="0" collapsed="false">
      <c r="A360" s="5" t="s">
        <v>2439</v>
      </c>
      <c r="B360" s="2" t="s">
        <v>2440</v>
      </c>
      <c r="C360" s="5" t="s">
        <v>2128</v>
      </c>
      <c r="D360" s="5" t="s">
        <v>2442</v>
      </c>
      <c r="E360" s="2" t="s">
        <v>2441</v>
      </c>
      <c r="F360" s="2"/>
      <c r="G360" s="2"/>
      <c r="H360" s="2" t="s">
        <v>2412</v>
      </c>
      <c r="I360" s="5" t="s">
        <v>74</v>
      </c>
      <c r="J360" s="2" t="s">
        <v>6909</v>
      </c>
      <c r="K360" s="2" t="s">
        <v>2442</v>
      </c>
      <c r="L360" s="5" t="n">
        <v>300</v>
      </c>
    </row>
    <row r="361" customFormat="false" ht="23.85" hidden="false" customHeight="false" outlineLevel="0" collapsed="false">
      <c r="A361" s="5" t="s">
        <v>2446</v>
      </c>
      <c r="B361" s="2" t="s">
        <v>2447</v>
      </c>
      <c r="C361" s="5" t="s">
        <v>2128</v>
      </c>
      <c r="D361" s="5" t="s">
        <v>2450</v>
      </c>
      <c r="E361" s="2" t="s">
        <v>2449</v>
      </c>
      <c r="F361" s="2"/>
      <c r="G361" s="2"/>
      <c r="H361" s="2" t="s">
        <v>2451</v>
      </c>
      <c r="I361" s="5" t="s">
        <v>74</v>
      </c>
      <c r="J361" s="2" t="s">
        <v>6910</v>
      </c>
      <c r="K361" s="2" t="s">
        <v>2450</v>
      </c>
      <c r="L361" s="5" t="n">
        <v>300</v>
      </c>
    </row>
    <row r="362" customFormat="false" ht="23.85" hidden="false" customHeight="false" outlineLevel="0" collapsed="false">
      <c r="A362" s="5" t="s">
        <v>2455</v>
      </c>
      <c r="B362" s="2" t="s">
        <v>2456</v>
      </c>
      <c r="C362" s="5" t="s">
        <v>2128</v>
      </c>
      <c r="D362" s="5" t="s">
        <v>2458</v>
      </c>
      <c r="E362" s="2" t="s">
        <v>2457</v>
      </c>
      <c r="F362" s="2"/>
      <c r="G362" s="2"/>
      <c r="H362" s="2" t="s">
        <v>2140</v>
      </c>
      <c r="I362" s="5" t="s">
        <v>74</v>
      </c>
      <c r="J362" s="2" t="s">
        <v>6911</v>
      </c>
      <c r="K362" s="2" t="s">
        <v>2458</v>
      </c>
      <c r="L362" s="5" t="n">
        <v>300</v>
      </c>
    </row>
    <row r="363" customFormat="false" ht="23.85" hidden="false" customHeight="false" outlineLevel="0" collapsed="false">
      <c r="A363" s="5" t="s">
        <v>2462</v>
      </c>
      <c r="B363" s="2" t="s">
        <v>2463</v>
      </c>
      <c r="C363" s="5" t="s">
        <v>2128</v>
      </c>
      <c r="D363" s="5" t="s">
        <v>2465</v>
      </c>
      <c r="E363" s="2" t="s">
        <v>2464</v>
      </c>
      <c r="F363" s="2"/>
      <c r="G363" s="2"/>
      <c r="H363" s="2" t="s">
        <v>2466</v>
      </c>
      <c r="I363" s="5" t="s">
        <v>74</v>
      </c>
      <c r="J363" s="2" t="s">
        <v>6912</v>
      </c>
      <c r="K363" s="2" t="s">
        <v>2465</v>
      </c>
      <c r="L363" s="5" t="n">
        <v>300</v>
      </c>
    </row>
    <row r="364" customFormat="false" ht="23.85" hidden="false" customHeight="false" outlineLevel="0" collapsed="false">
      <c r="A364" s="5" t="s">
        <v>2470</v>
      </c>
      <c r="B364" s="2" t="s">
        <v>2471</v>
      </c>
      <c r="C364" s="5" t="s">
        <v>2128</v>
      </c>
      <c r="D364" s="5" t="s">
        <v>2473</v>
      </c>
      <c r="E364" s="2" t="s">
        <v>2472</v>
      </c>
      <c r="F364" s="2"/>
      <c r="G364" s="2"/>
      <c r="H364" s="2" t="s">
        <v>2466</v>
      </c>
      <c r="I364" s="5" t="s">
        <v>74</v>
      </c>
      <c r="J364" s="2" t="s">
        <v>6913</v>
      </c>
      <c r="K364" s="2" t="s">
        <v>2473</v>
      </c>
      <c r="L364" s="5" t="n">
        <v>300</v>
      </c>
    </row>
    <row r="365" customFormat="false" ht="15" hidden="false" customHeight="false" outlineLevel="0" collapsed="false">
      <c r="A365" s="5" t="s">
        <v>2477</v>
      </c>
      <c r="B365" s="2" t="s">
        <v>2478</v>
      </c>
      <c r="C365" s="5" t="s">
        <v>2128</v>
      </c>
      <c r="D365" s="5" t="s">
        <v>71</v>
      </c>
      <c r="E365" s="2" t="s">
        <v>2480</v>
      </c>
      <c r="F365" s="2"/>
      <c r="G365" s="2"/>
      <c r="H365" s="2" t="s">
        <v>2481</v>
      </c>
      <c r="I365" s="5" t="s">
        <v>74</v>
      </c>
      <c r="J365" s="2" t="s">
        <v>6914</v>
      </c>
      <c r="K365" s="2" t="s">
        <v>71</v>
      </c>
      <c r="L365" s="5" t="n">
        <v>300</v>
      </c>
    </row>
    <row r="366" customFormat="false" ht="23.85" hidden="false" customHeight="false" outlineLevel="0" collapsed="false">
      <c r="A366" s="5" t="s">
        <v>2485</v>
      </c>
      <c r="B366" s="2" t="s">
        <v>2486</v>
      </c>
      <c r="C366" s="5" t="s">
        <v>2128</v>
      </c>
      <c r="D366" s="5" t="s">
        <v>71</v>
      </c>
      <c r="E366" s="2" t="s">
        <v>210</v>
      </c>
      <c r="F366" s="2"/>
      <c r="G366" s="2"/>
      <c r="H366" s="2" t="s">
        <v>2487</v>
      </c>
      <c r="I366" s="5" t="s">
        <v>74</v>
      </c>
      <c r="J366" s="2" t="s">
        <v>6915</v>
      </c>
      <c r="K366" s="2" t="s">
        <v>71</v>
      </c>
      <c r="L366" s="5" t="n">
        <v>300</v>
      </c>
    </row>
    <row r="367" customFormat="false" ht="35.05" hidden="false" customHeight="false" outlineLevel="0" collapsed="false">
      <c r="A367" s="5" t="s">
        <v>2490</v>
      </c>
      <c r="B367" s="2" t="s">
        <v>2491</v>
      </c>
      <c r="C367" s="5" t="s">
        <v>2128</v>
      </c>
      <c r="D367" s="5" t="s">
        <v>2495</v>
      </c>
      <c r="E367" s="2" t="s">
        <v>6916</v>
      </c>
      <c r="F367" s="2"/>
      <c r="G367" s="2" t="s">
        <v>2496</v>
      </c>
      <c r="H367" s="2" t="s">
        <v>2497</v>
      </c>
      <c r="I367" s="5" t="s">
        <v>74</v>
      </c>
      <c r="J367" s="2" t="s">
        <v>6917</v>
      </c>
      <c r="K367" s="2" t="s">
        <v>2495</v>
      </c>
      <c r="L367" s="5" t="n">
        <v>300</v>
      </c>
    </row>
    <row r="368" customFormat="false" ht="35.05" hidden="false" customHeight="false" outlineLevel="0" collapsed="false">
      <c r="A368" s="5" t="s">
        <v>2501</v>
      </c>
      <c r="B368" s="2" t="s">
        <v>2502</v>
      </c>
      <c r="C368" s="5" t="s">
        <v>2128</v>
      </c>
      <c r="D368" s="5" t="s">
        <v>2495</v>
      </c>
      <c r="E368" s="2" t="s">
        <v>6916</v>
      </c>
      <c r="F368" s="2"/>
      <c r="G368" s="2" t="s">
        <v>2503</v>
      </c>
      <c r="H368" s="2" t="s">
        <v>2497</v>
      </c>
      <c r="I368" s="5" t="s">
        <v>74</v>
      </c>
      <c r="J368" s="2" t="s">
        <v>6918</v>
      </c>
      <c r="K368" s="2" t="s">
        <v>2495</v>
      </c>
      <c r="L368" s="5" t="n">
        <v>300</v>
      </c>
    </row>
    <row r="369" customFormat="false" ht="57.45" hidden="false" customHeight="false" outlineLevel="0" collapsed="false">
      <c r="A369" s="5" t="s">
        <v>2506</v>
      </c>
      <c r="B369" s="2" t="s">
        <v>2507</v>
      </c>
      <c r="C369" s="5" t="s">
        <v>2128</v>
      </c>
      <c r="D369" s="5" t="s">
        <v>71</v>
      </c>
      <c r="E369" s="2" t="s">
        <v>753</v>
      </c>
      <c r="F369" s="2"/>
      <c r="G369" s="2" t="s">
        <v>2509</v>
      </c>
      <c r="H369" s="2" t="s">
        <v>755</v>
      </c>
      <c r="I369" s="5" t="s">
        <v>74</v>
      </c>
      <c r="J369" s="2" t="s">
        <v>6919</v>
      </c>
      <c r="K369" s="2" t="s">
        <v>71</v>
      </c>
      <c r="L369" s="5" t="n">
        <v>300</v>
      </c>
    </row>
    <row r="370" customFormat="false" ht="15" hidden="false" customHeight="false" outlineLevel="0" collapsed="false">
      <c r="A370" s="5" t="s">
        <v>2512</v>
      </c>
      <c r="B370" s="2" t="s">
        <v>2513</v>
      </c>
      <c r="C370" s="5" t="s">
        <v>2128</v>
      </c>
      <c r="D370" s="5" t="s">
        <v>2515</v>
      </c>
      <c r="E370" s="2" t="s">
        <v>2514</v>
      </c>
      <c r="F370" s="2"/>
      <c r="G370" s="2"/>
      <c r="H370" s="2" t="s">
        <v>2516</v>
      </c>
      <c r="I370" s="5" t="s">
        <v>74</v>
      </c>
      <c r="J370" s="2" t="s">
        <v>6920</v>
      </c>
      <c r="K370" s="2" t="s">
        <v>2515</v>
      </c>
      <c r="L370" s="5" t="n">
        <v>300</v>
      </c>
    </row>
    <row r="371" customFormat="false" ht="35.05" hidden="false" customHeight="false" outlineLevel="0" collapsed="false">
      <c r="A371" s="5" t="s">
        <v>2520</v>
      </c>
      <c r="B371" s="2" t="s">
        <v>2521</v>
      </c>
      <c r="C371" s="5" t="s">
        <v>2128</v>
      </c>
      <c r="D371" s="5" t="s">
        <v>2342</v>
      </c>
      <c r="E371" s="2" t="s">
        <v>2523</v>
      </c>
      <c r="F371" s="2"/>
      <c r="G371" s="2" t="s">
        <v>2524</v>
      </c>
      <c r="H371" s="2" t="s">
        <v>2525</v>
      </c>
      <c r="I371" s="5" t="s">
        <v>496</v>
      </c>
      <c r="J371" s="2" t="s">
        <v>6921</v>
      </c>
      <c r="K371" s="2" t="s">
        <v>2342</v>
      </c>
      <c r="L371" s="5" t="n">
        <v>300</v>
      </c>
    </row>
    <row r="372" customFormat="false" ht="35.05" hidden="false" customHeight="false" outlineLevel="0" collapsed="false">
      <c r="A372" s="5" t="s">
        <v>2529</v>
      </c>
      <c r="B372" s="2" t="s">
        <v>2530</v>
      </c>
      <c r="C372" s="5" t="s">
        <v>2128</v>
      </c>
      <c r="D372" s="5" t="s">
        <v>2342</v>
      </c>
      <c r="E372" s="2" t="s">
        <v>2523</v>
      </c>
      <c r="F372" s="2"/>
      <c r="G372" s="2" t="s">
        <v>2531</v>
      </c>
      <c r="H372" s="2" t="s">
        <v>2525</v>
      </c>
      <c r="I372" s="5" t="s">
        <v>496</v>
      </c>
      <c r="J372" s="2" t="s">
        <v>6922</v>
      </c>
      <c r="K372" s="2" t="s">
        <v>2342</v>
      </c>
      <c r="L372" s="5" t="n">
        <v>300</v>
      </c>
    </row>
    <row r="373" customFormat="false" ht="23.85" hidden="false" customHeight="false" outlineLevel="0" collapsed="false">
      <c r="A373" s="5" t="s">
        <v>2534</v>
      </c>
      <c r="B373" s="2" t="s">
        <v>2535</v>
      </c>
      <c r="C373" s="5" t="s">
        <v>2128</v>
      </c>
      <c r="D373" s="5" t="s">
        <v>2515</v>
      </c>
      <c r="E373" s="2" t="s">
        <v>2536</v>
      </c>
      <c r="F373" s="2" t="s">
        <v>2537</v>
      </c>
      <c r="G373" s="2"/>
      <c r="H373" s="2" t="s">
        <v>2516</v>
      </c>
      <c r="I373" s="5" t="s">
        <v>74</v>
      </c>
      <c r="J373" s="2" t="s">
        <v>6923</v>
      </c>
      <c r="K373" s="2" t="s">
        <v>2515</v>
      </c>
      <c r="L373" s="5" t="n">
        <v>300</v>
      </c>
    </row>
    <row r="374" customFormat="false" ht="15" hidden="false" customHeight="false" outlineLevel="0" collapsed="false">
      <c r="A374" s="5" t="s">
        <v>2541</v>
      </c>
      <c r="B374" s="2" t="s">
        <v>2542</v>
      </c>
      <c r="C374" s="5" t="s">
        <v>2128</v>
      </c>
      <c r="D374" s="5" t="s">
        <v>2515</v>
      </c>
      <c r="E374" s="2" t="s">
        <v>2543</v>
      </c>
      <c r="F374" s="2"/>
      <c r="G374" s="2" t="s">
        <v>2544</v>
      </c>
      <c r="H374" s="2" t="s">
        <v>2545</v>
      </c>
      <c r="I374" s="5" t="s">
        <v>74</v>
      </c>
      <c r="J374" s="2" t="s">
        <v>6924</v>
      </c>
      <c r="K374" s="2" t="s">
        <v>2515</v>
      </c>
      <c r="L374" s="5" t="n">
        <v>300</v>
      </c>
    </row>
    <row r="375" customFormat="false" ht="15" hidden="false" customHeight="false" outlineLevel="0" collapsed="false">
      <c r="A375" s="5" t="s">
        <v>2549</v>
      </c>
      <c r="B375" s="2" t="s">
        <v>2550</v>
      </c>
      <c r="C375" s="5" t="s">
        <v>2128</v>
      </c>
      <c r="D375" s="5" t="s">
        <v>2515</v>
      </c>
      <c r="E375" s="2" t="s">
        <v>2543</v>
      </c>
      <c r="F375" s="2"/>
      <c r="G375" s="2" t="s">
        <v>2551</v>
      </c>
      <c r="H375" s="2" t="s">
        <v>2545</v>
      </c>
      <c r="I375" s="5" t="s">
        <v>74</v>
      </c>
      <c r="J375" s="2" t="s">
        <v>6925</v>
      </c>
      <c r="K375" s="2" t="s">
        <v>2515</v>
      </c>
      <c r="L375" s="5" t="n">
        <v>300</v>
      </c>
    </row>
    <row r="376" customFormat="false" ht="15" hidden="false" customHeight="false" outlineLevel="0" collapsed="false">
      <c r="A376" s="5" t="s">
        <v>2554</v>
      </c>
      <c r="B376" s="2" t="s">
        <v>2555</v>
      </c>
      <c r="C376" s="5" t="s">
        <v>2128</v>
      </c>
      <c r="D376" s="5" t="s">
        <v>2515</v>
      </c>
      <c r="E376" s="2" t="s">
        <v>2556</v>
      </c>
      <c r="F376" s="2"/>
      <c r="G376" s="2"/>
      <c r="H376" s="2" t="s">
        <v>2516</v>
      </c>
      <c r="I376" s="5" t="s">
        <v>74</v>
      </c>
      <c r="J376" s="2" t="s">
        <v>6926</v>
      </c>
      <c r="K376" s="2" t="s">
        <v>2515</v>
      </c>
      <c r="L376" s="5" t="n">
        <v>300</v>
      </c>
    </row>
    <row r="377" customFormat="false" ht="15" hidden="false" customHeight="false" outlineLevel="0" collapsed="false">
      <c r="A377" s="5" t="s">
        <v>2560</v>
      </c>
      <c r="B377" s="2" t="s">
        <v>2561</v>
      </c>
      <c r="C377" s="5" t="s">
        <v>2128</v>
      </c>
      <c r="D377" s="5" t="s">
        <v>2515</v>
      </c>
      <c r="E377" s="2" t="s">
        <v>2562</v>
      </c>
      <c r="F377" s="2"/>
      <c r="G377" s="2"/>
      <c r="H377" s="2" t="s">
        <v>2516</v>
      </c>
      <c r="I377" s="5" t="s">
        <v>74</v>
      </c>
      <c r="J377" s="2" t="s">
        <v>6927</v>
      </c>
      <c r="K377" s="2" t="s">
        <v>2515</v>
      </c>
      <c r="L377" s="5" t="n">
        <v>300</v>
      </c>
    </row>
    <row r="378" customFormat="false" ht="15" hidden="false" customHeight="false" outlineLevel="0" collapsed="false">
      <c r="A378" s="5" t="s">
        <v>2566</v>
      </c>
      <c r="B378" s="2" t="s">
        <v>2567</v>
      </c>
      <c r="C378" s="5" t="s">
        <v>2128</v>
      </c>
      <c r="D378" s="5" t="s">
        <v>2515</v>
      </c>
      <c r="E378" s="2" t="s">
        <v>2568</v>
      </c>
      <c r="F378" s="2"/>
      <c r="G378" s="2" t="s">
        <v>2544</v>
      </c>
      <c r="H378" s="2" t="s">
        <v>2545</v>
      </c>
      <c r="I378" s="5" t="s">
        <v>74</v>
      </c>
      <c r="J378" s="2" t="s">
        <v>6928</v>
      </c>
      <c r="K378" s="2" t="s">
        <v>2515</v>
      </c>
      <c r="L378" s="5" t="n">
        <v>300</v>
      </c>
    </row>
    <row r="379" customFormat="false" ht="15" hidden="false" customHeight="false" outlineLevel="0" collapsed="false">
      <c r="A379" s="5" t="s">
        <v>2572</v>
      </c>
      <c r="B379" s="2" t="s">
        <v>2573</v>
      </c>
      <c r="C379" s="5" t="s">
        <v>2128</v>
      </c>
      <c r="D379" s="5" t="s">
        <v>2515</v>
      </c>
      <c r="E379" s="2" t="s">
        <v>2574</v>
      </c>
      <c r="F379" s="2"/>
      <c r="G379" s="2" t="s">
        <v>2551</v>
      </c>
      <c r="H379" s="2" t="s">
        <v>2545</v>
      </c>
      <c r="I379" s="5" t="s">
        <v>74</v>
      </c>
      <c r="J379" s="2" t="s">
        <v>6929</v>
      </c>
      <c r="K379" s="2" t="s">
        <v>2515</v>
      </c>
      <c r="L379" s="5" t="n">
        <v>300</v>
      </c>
    </row>
    <row r="380" customFormat="false" ht="15" hidden="false" customHeight="false" outlineLevel="0" collapsed="false">
      <c r="A380" s="5" t="s">
        <v>2577</v>
      </c>
      <c r="B380" s="2" t="s">
        <v>2578</v>
      </c>
      <c r="C380" s="5" t="s">
        <v>2128</v>
      </c>
      <c r="D380" s="5" t="s">
        <v>2515</v>
      </c>
      <c r="E380" s="2" t="s">
        <v>2537</v>
      </c>
      <c r="F380" s="2"/>
      <c r="G380" s="2"/>
      <c r="H380" s="2" t="s">
        <v>2579</v>
      </c>
      <c r="I380" s="5" t="s">
        <v>74</v>
      </c>
      <c r="J380" s="2" t="s">
        <v>6930</v>
      </c>
      <c r="K380" s="2" t="s">
        <v>2515</v>
      </c>
      <c r="L380" s="5" t="n">
        <v>300</v>
      </c>
    </row>
    <row r="381" customFormat="false" ht="15" hidden="false" customHeight="false" outlineLevel="0" collapsed="false">
      <c r="A381" s="5" t="s">
        <v>2583</v>
      </c>
      <c r="B381" s="2" t="s">
        <v>2584</v>
      </c>
      <c r="C381" s="5" t="s">
        <v>2128</v>
      </c>
      <c r="D381" s="5" t="s">
        <v>2515</v>
      </c>
      <c r="E381" s="2" t="s">
        <v>2585</v>
      </c>
      <c r="F381" s="2"/>
      <c r="G381" s="2"/>
      <c r="H381" s="2" t="s">
        <v>2516</v>
      </c>
      <c r="I381" s="5" t="s">
        <v>74</v>
      </c>
      <c r="J381" s="2" t="s">
        <v>6931</v>
      </c>
      <c r="K381" s="2" t="s">
        <v>2515</v>
      </c>
      <c r="L381" s="5" t="n">
        <v>300</v>
      </c>
    </row>
    <row r="382" customFormat="false" ht="35.05" hidden="false" customHeight="false" outlineLevel="0" collapsed="false">
      <c r="A382" s="5" t="s">
        <v>2589</v>
      </c>
      <c r="B382" s="2" t="s">
        <v>2590</v>
      </c>
      <c r="C382" s="5" t="s">
        <v>2128</v>
      </c>
      <c r="D382" s="5" t="s">
        <v>71</v>
      </c>
      <c r="E382" s="2" t="s">
        <v>2593</v>
      </c>
      <c r="F382" s="2"/>
      <c r="G382" s="2" t="s">
        <v>2594</v>
      </c>
      <c r="H382" s="2" t="s">
        <v>2595</v>
      </c>
      <c r="I382" s="5" t="s">
        <v>74</v>
      </c>
      <c r="J382" s="2" t="s">
        <v>6932</v>
      </c>
      <c r="K382" s="2" t="s">
        <v>71</v>
      </c>
      <c r="L382" s="5" t="n">
        <v>300</v>
      </c>
    </row>
    <row r="383" customFormat="false" ht="23.85" hidden="false" customHeight="false" outlineLevel="0" collapsed="false">
      <c r="A383" s="5" t="s">
        <v>2599</v>
      </c>
      <c r="B383" s="2" t="s">
        <v>2600</v>
      </c>
      <c r="C383" s="5" t="s">
        <v>2128</v>
      </c>
      <c r="D383" s="5" t="s">
        <v>71</v>
      </c>
      <c r="E383" s="2" t="s">
        <v>174</v>
      </c>
      <c r="F383" s="2"/>
      <c r="G383" s="2" t="s">
        <v>2602</v>
      </c>
      <c r="H383" s="2" t="s">
        <v>2603</v>
      </c>
      <c r="I383" s="5" t="s">
        <v>74</v>
      </c>
      <c r="J383" s="2" t="s">
        <v>6933</v>
      </c>
      <c r="K383" s="2" t="s">
        <v>71</v>
      </c>
      <c r="L383" s="5" t="n">
        <v>300</v>
      </c>
    </row>
    <row r="384" customFormat="false" ht="23.85" hidden="false" customHeight="false" outlineLevel="0" collapsed="false">
      <c r="A384" s="5" t="s">
        <v>2606</v>
      </c>
      <c r="B384" s="2" t="s">
        <v>2607</v>
      </c>
      <c r="C384" s="5" t="s">
        <v>2128</v>
      </c>
      <c r="D384" s="5" t="s">
        <v>2609</v>
      </c>
      <c r="E384" s="2" t="s">
        <v>2608</v>
      </c>
      <c r="F384" s="2"/>
      <c r="G384" s="2" t="s">
        <v>2610</v>
      </c>
      <c r="H384" s="2" t="s">
        <v>495</v>
      </c>
      <c r="I384" s="5" t="s">
        <v>681</v>
      </c>
      <c r="J384" s="2" t="s">
        <v>6934</v>
      </c>
      <c r="K384" s="2" t="s">
        <v>2609</v>
      </c>
      <c r="L384" s="5" t="n">
        <v>600</v>
      </c>
    </row>
    <row r="385" customFormat="false" ht="23.85" hidden="false" customHeight="false" outlineLevel="0" collapsed="false">
      <c r="A385" s="5" t="s">
        <v>2614</v>
      </c>
      <c r="B385" s="2" t="s">
        <v>2615</v>
      </c>
      <c r="C385" s="5" t="s">
        <v>2128</v>
      </c>
      <c r="D385" s="5" t="s">
        <v>2618</v>
      </c>
      <c r="E385" s="2" t="s">
        <v>2617</v>
      </c>
      <c r="F385" s="2"/>
      <c r="G385" s="2"/>
      <c r="H385" s="2" t="s">
        <v>2619</v>
      </c>
      <c r="I385" s="5" t="s">
        <v>496</v>
      </c>
      <c r="J385" s="2" t="s">
        <v>6935</v>
      </c>
      <c r="K385" s="2" t="s">
        <v>2618</v>
      </c>
      <c r="L385" s="5" t="n">
        <v>600</v>
      </c>
    </row>
    <row r="386" customFormat="false" ht="35.05" hidden="false" customHeight="false" outlineLevel="0" collapsed="false">
      <c r="A386" s="5" t="s">
        <v>2623</v>
      </c>
      <c r="B386" s="2" t="s">
        <v>2624</v>
      </c>
      <c r="C386" s="5" t="s">
        <v>2128</v>
      </c>
      <c r="D386" s="5" t="s">
        <v>2628</v>
      </c>
      <c r="E386" s="2" t="s">
        <v>2627</v>
      </c>
      <c r="F386" s="2"/>
      <c r="G386" s="2" t="s">
        <v>2629</v>
      </c>
      <c r="H386" s="2" t="s">
        <v>2630</v>
      </c>
      <c r="I386" s="5" t="s">
        <v>74</v>
      </c>
      <c r="J386" s="2" t="s">
        <v>6936</v>
      </c>
      <c r="K386" s="2" t="s">
        <v>2628</v>
      </c>
      <c r="L386" s="5" t="n">
        <v>300</v>
      </c>
    </row>
    <row r="387" customFormat="false" ht="23.85" hidden="false" customHeight="false" outlineLevel="0" collapsed="false">
      <c r="A387" s="5" t="s">
        <v>2635</v>
      </c>
      <c r="B387" s="2" t="s">
        <v>2636</v>
      </c>
      <c r="C387" s="5" t="s">
        <v>2128</v>
      </c>
      <c r="D387" s="5" t="s">
        <v>71</v>
      </c>
      <c r="E387" s="2" t="s">
        <v>2638</v>
      </c>
      <c r="F387" s="2"/>
      <c r="G387" s="2"/>
      <c r="H387" s="2" t="s">
        <v>641</v>
      </c>
      <c r="I387" s="5" t="s">
        <v>74</v>
      </c>
      <c r="J387" s="2" t="s">
        <v>6937</v>
      </c>
      <c r="K387" s="2" t="s">
        <v>71</v>
      </c>
      <c r="L387" s="5" t="n">
        <v>300</v>
      </c>
    </row>
    <row r="388" customFormat="false" ht="23.85" hidden="false" customHeight="false" outlineLevel="0" collapsed="false">
      <c r="A388" s="5" t="s">
        <v>2642</v>
      </c>
      <c r="B388" s="2" t="s">
        <v>2643</v>
      </c>
      <c r="C388" s="5" t="s">
        <v>2128</v>
      </c>
      <c r="D388" s="5" t="s">
        <v>2645</v>
      </c>
      <c r="E388" s="2" t="s">
        <v>6890</v>
      </c>
      <c r="F388" s="2"/>
      <c r="G388" s="2"/>
      <c r="H388" s="2" t="s">
        <v>2516</v>
      </c>
      <c r="I388" s="5" t="s">
        <v>2646</v>
      </c>
      <c r="J388" s="2" t="s">
        <v>6892</v>
      </c>
      <c r="K388" s="2" t="s">
        <v>2645</v>
      </c>
      <c r="L388" s="5" t="n">
        <v>600</v>
      </c>
    </row>
    <row r="389" customFormat="false" ht="23.85" hidden="false" customHeight="false" outlineLevel="0" collapsed="false">
      <c r="A389" s="5" t="s">
        <v>2650</v>
      </c>
      <c r="B389" s="2" t="s">
        <v>2651</v>
      </c>
      <c r="C389" s="5" t="s">
        <v>2128</v>
      </c>
      <c r="D389" s="5" t="s">
        <v>2653</v>
      </c>
      <c r="E389" s="2" t="s">
        <v>2652</v>
      </c>
      <c r="F389" s="2"/>
      <c r="G389" s="2"/>
      <c r="H389" s="2" t="s">
        <v>2654</v>
      </c>
      <c r="I389" s="5" t="s">
        <v>74</v>
      </c>
      <c r="J389" s="2" t="s">
        <v>6938</v>
      </c>
      <c r="K389" s="2" t="s">
        <v>2653</v>
      </c>
      <c r="L389" s="5" t="n">
        <v>120</v>
      </c>
    </row>
    <row r="390" customFormat="false" ht="15" hidden="false" customHeight="false" outlineLevel="0" collapsed="false">
      <c r="A390" s="5" t="s">
        <v>2658</v>
      </c>
      <c r="B390" s="2" t="s">
        <v>2659</v>
      </c>
      <c r="C390" s="5" t="s">
        <v>2128</v>
      </c>
      <c r="D390" s="5" t="s">
        <v>2661</v>
      </c>
      <c r="E390" s="2" t="s">
        <v>2660</v>
      </c>
      <c r="F390" s="2"/>
      <c r="G390" s="2"/>
      <c r="H390" s="2" t="s">
        <v>2662</v>
      </c>
      <c r="I390" s="5" t="s">
        <v>74</v>
      </c>
      <c r="J390" s="2" t="s">
        <v>6939</v>
      </c>
      <c r="K390" s="2" t="s">
        <v>2661</v>
      </c>
      <c r="L390" s="5" t="n">
        <v>120</v>
      </c>
    </row>
    <row r="391" customFormat="false" ht="23.85" hidden="false" customHeight="false" outlineLevel="0" collapsed="false">
      <c r="A391" s="5" t="s">
        <v>2666</v>
      </c>
      <c r="B391" s="2" t="s">
        <v>2667</v>
      </c>
      <c r="C391" s="5" t="s">
        <v>2128</v>
      </c>
      <c r="D391" s="5" t="s">
        <v>2669</v>
      </c>
      <c r="E391" s="2" t="s">
        <v>2668</v>
      </c>
      <c r="F391" s="2"/>
      <c r="G391" s="2"/>
      <c r="H391" s="2" t="s">
        <v>2654</v>
      </c>
      <c r="I391" s="5" t="s">
        <v>74</v>
      </c>
      <c r="J391" s="2" t="s">
        <v>6940</v>
      </c>
      <c r="K391" s="2" t="s">
        <v>2669</v>
      </c>
      <c r="L391" s="5" t="n">
        <v>120</v>
      </c>
    </row>
    <row r="392" customFormat="false" ht="23.85" hidden="false" customHeight="false" outlineLevel="0" collapsed="false">
      <c r="A392" s="5" t="s">
        <v>2673</v>
      </c>
      <c r="B392" s="2" t="s">
        <v>2674</v>
      </c>
      <c r="C392" s="5" t="s">
        <v>2128</v>
      </c>
      <c r="D392" s="5" t="s">
        <v>2676</v>
      </c>
      <c r="E392" s="2" t="s">
        <v>2675</v>
      </c>
      <c r="F392" s="2"/>
      <c r="G392" s="2"/>
      <c r="H392" s="2" t="s">
        <v>2654</v>
      </c>
      <c r="I392" s="5" t="s">
        <v>74</v>
      </c>
      <c r="J392" s="2" t="s">
        <v>6941</v>
      </c>
      <c r="K392" s="2" t="s">
        <v>2676</v>
      </c>
      <c r="L392" s="5" t="n">
        <v>120</v>
      </c>
    </row>
    <row r="393" customFormat="false" ht="23.85" hidden="false" customHeight="false" outlineLevel="0" collapsed="false">
      <c r="A393" s="5" t="s">
        <v>2680</v>
      </c>
      <c r="B393" s="2" t="s">
        <v>2681</v>
      </c>
      <c r="C393" s="5" t="s">
        <v>2128</v>
      </c>
      <c r="D393" s="5" t="s">
        <v>2683</v>
      </c>
      <c r="E393" s="2" t="s">
        <v>6942</v>
      </c>
      <c r="F393" s="2"/>
      <c r="G393" s="2"/>
      <c r="H393" s="2" t="s">
        <v>2684</v>
      </c>
      <c r="I393" s="5" t="s">
        <v>74</v>
      </c>
      <c r="J393" s="2" t="s">
        <v>6943</v>
      </c>
      <c r="K393" s="2" t="s">
        <v>2683</v>
      </c>
      <c r="L393" s="5" t="n">
        <v>120</v>
      </c>
    </row>
    <row r="394" customFormat="false" ht="23.85" hidden="false" customHeight="false" outlineLevel="0" collapsed="false">
      <c r="A394" s="5" t="s">
        <v>2688</v>
      </c>
      <c r="B394" s="2" t="s">
        <v>2689</v>
      </c>
      <c r="C394" s="5" t="s">
        <v>2128</v>
      </c>
      <c r="D394" s="5" t="s">
        <v>2146</v>
      </c>
      <c r="E394" s="2" t="s">
        <v>6944</v>
      </c>
      <c r="F394" s="2"/>
      <c r="G394" s="2"/>
      <c r="H394" s="2" t="s">
        <v>2691</v>
      </c>
      <c r="I394" s="5" t="s">
        <v>74</v>
      </c>
      <c r="J394" s="2" t="s">
        <v>6945</v>
      </c>
      <c r="K394" s="2" t="s">
        <v>2146</v>
      </c>
      <c r="L394" s="5" t="n">
        <v>120</v>
      </c>
    </row>
    <row r="395" customFormat="false" ht="23.85" hidden="false" customHeight="false" outlineLevel="0" collapsed="false">
      <c r="A395" s="5" t="s">
        <v>2695</v>
      </c>
      <c r="B395" s="2" t="s">
        <v>2696</v>
      </c>
      <c r="C395" s="5" t="s">
        <v>2128</v>
      </c>
      <c r="D395" s="5" t="s">
        <v>2698</v>
      </c>
      <c r="E395" s="2" t="s">
        <v>2697</v>
      </c>
      <c r="F395" s="2"/>
      <c r="G395" s="2"/>
      <c r="H395" s="2" t="s">
        <v>2699</v>
      </c>
      <c r="I395" s="5" t="s">
        <v>74</v>
      </c>
      <c r="J395" s="2" t="s">
        <v>6946</v>
      </c>
      <c r="K395" s="2" t="s">
        <v>2698</v>
      </c>
      <c r="L395" s="5" t="n">
        <v>120</v>
      </c>
    </row>
    <row r="396" customFormat="false" ht="46.25" hidden="false" customHeight="false" outlineLevel="0" collapsed="false">
      <c r="A396" s="5" t="s">
        <v>2703</v>
      </c>
      <c r="B396" s="2" t="s">
        <v>2704</v>
      </c>
      <c r="C396" s="5" t="s">
        <v>2128</v>
      </c>
      <c r="D396" s="5" t="s">
        <v>2707</v>
      </c>
      <c r="E396" s="2" t="s">
        <v>2706</v>
      </c>
      <c r="F396" s="2"/>
      <c r="G396" s="2" t="s">
        <v>2708</v>
      </c>
      <c r="H396" s="2" t="s">
        <v>2709</v>
      </c>
      <c r="I396" s="5" t="s">
        <v>74</v>
      </c>
      <c r="J396" s="2" t="s">
        <v>6947</v>
      </c>
      <c r="K396" s="2" t="s">
        <v>2707</v>
      </c>
      <c r="L396" s="5" t="n">
        <v>300</v>
      </c>
    </row>
    <row r="397" customFormat="false" ht="23.85" hidden="false" customHeight="false" outlineLevel="0" collapsed="false">
      <c r="A397" s="5" t="s">
        <v>2712</v>
      </c>
      <c r="B397" s="2" t="s">
        <v>2713</v>
      </c>
      <c r="C397" s="5" t="s">
        <v>2128</v>
      </c>
      <c r="D397" s="5" t="s">
        <v>2715</v>
      </c>
      <c r="E397" s="2" t="s">
        <v>2714</v>
      </c>
      <c r="F397" s="2"/>
      <c r="G397" s="2"/>
      <c r="H397" s="2" t="s">
        <v>2147</v>
      </c>
      <c r="I397" s="5" t="s">
        <v>74</v>
      </c>
      <c r="J397" s="2" t="s">
        <v>6948</v>
      </c>
      <c r="K397" s="2" t="s">
        <v>2715</v>
      </c>
      <c r="L397" s="5" t="n">
        <v>300</v>
      </c>
    </row>
    <row r="398" customFormat="false" ht="23.85" hidden="false" customHeight="false" outlineLevel="0" collapsed="false">
      <c r="A398" s="5" t="s">
        <v>2718</v>
      </c>
      <c r="B398" s="2" t="s">
        <v>2719</v>
      </c>
      <c r="C398" s="5" t="s">
        <v>2128</v>
      </c>
      <c r="D398" s="5" t="s">
        <v>2723</v>
      </c>
      <c r="E398" s="2" t="s">
        <v>2722</v>
      </c>
      <c r="F398" s="2"/>
      <c r="G398" s="2" t="s">
        <v>2724</v>
      </c>
      <c r="H398" s="2" t="s">
        <v>2725</v>
      </c>
      <c r="I398" s="5" t="s">
        <v>74</v>
      </c>
      <c r="J398" s="2" t="s">
        <v>6949</v>
      </c>
      <c r="K398" s="2" t="s">
        <v>2723</v>
      </c>
      <c r="L398" s="5" t="n">
        <v>300</v>
      </c>
    </row>
    <row r="399" customFormat="false" ht="23.85" hidden="false" customHeight="false" outlineLevel="0" collapsed="false">
      <c r="A399" s="5" t="s">
        <v>2729</v>
      </c>
      <c r="B399" s="2" t="s">
        <v>2730</v>
      </c>
      <c r="C399" s="5" t="s">
        <v>2128</v>
      </c>
      <c r="D399" s="5" t="s">
        <v>2723</v>
      </c>
      <c r="E399" s="2" t="s">
        <v>2732</v>
      </c>
      <c r="F399" s="2"/>
      <c r="G399" s="2"/>
      <c r="H399" s="2" t="s">
        <v>2733</v>
      </c>
      <c r="I399" s="5" t="s">
        <v>74</v>
      </c>
      <c r="J399" s="2" t="s">
        <v>6950</v>
      </c>
      <c r="K399" s="2" t="s">
        <v>2723</v>
      </c>
      <c r="L399" s="5" t="n">
        <v>300</v>
      </c>
    </row>
    <row r="400" customFormat="false" ht="23.85" hidden="false" customHeight="false" outlineLevel="0" collapsed="false">
      <c r="A400" s="5" t="s">
        <v>2737</v>
      </c>
      <c r="B400" s="2" t="s">
        <v>2738</v>
      </c>
      <c r="C400" s="5" t="s">
        <v>2128</v>
      </c>
      <c r="D400" s="5" t="s">
        <v>2741</v>
      </c>
      <c r="E400" s="2" t="s">
        <v>2740</v>
      </c>
      <c r="F400" s="2"/>
      <c r="G400" s="2" t="s">
        <v>522</v>
      </c>
      <c r="H400" s="2" t="s">
        <v>495</v>
      </c>
      <c r="I400" s="5" t="s">
        <v>496</v>
      </c>
      <c r="J400" s="2" t="s">
        <v>6951</v>
      </c>
      <c r="K400" s="2" t="s">
        <v>2741</v>
      </c>
      <c r="L400" s="5" t="n">
        <v>600</v>
      </c>
    </row>
    <row r="401" customFormat="false" ht="15" hidden="false" customHeight="false" outlineLevel="0" collapsed="false">
      <c r="A401" s="5" t="s">
        <v>2745</v>
      </c>
      <c r="B401" s="2" t="s">
        <v>2746</v>
      </c>
      <c r="C401" s="5" t="s">
        <v>2128</v>
      </c>
      <c r="D401" s="5" t="s">
        <v>71</v>
      </c>
      <c r="E401" s="2" t="s">
        <v>2301</v>
      </c>
      <c r="F401" s="2"/>
      <c r="G401" s="2"/>
      <c r="H401" s="2" t="s">
        <v>2747</v>
      </c>
      <c r="I401" s="5" t="s">
        <v>2748</v>
      </c>
      <c r="J401" s="2" t="s">
        <v>6952</v>
      </c>
      <c r="K401" s="2" t="s">
        <v>71</v>
      </c>
      <c r="L401" s="5" t="n">
        <v>1800</v>
      </c>
    </row>
    <row r="402" customFormat="false" ht="15" hidden="false" customHeight="false" outlineLevel="0" collapsed="false">
      <c r="A402" s="5" t="s">
        <v>2752</v>
      </c>
      <c r="B402" s="2" t="s">
        <v>2753</v>
      </c>
      <c r="C402" s="5" t="s">
        <v>2128</v>
      </c>
      <c r="D402" s="5" t="s">
        <v>2757</v>
      </c>
      <c r="E402" s="2" t="s">
        <v>2756</v>
      </c>
      <c r="F402" s="2"/>
      <c r="G402" s="2" t="s">
        <v>2758</v>
      </c>
      <c r="H402" s="2" t="s">
        <v>2759</v>
      </c>
      <c r="I402" s="5" t="s">
        <v>496</v>
      </c>
      <c r="J402" s="2" t="s">
        <v>6953</v>
      </c>
      <c r="K402" s="2" t="s">
        <v>2757</v>
      </c>
      <c r="L402" s="5" t="n">
        <v>300</v>
      </c>
    </row>
    <row r="403" customFormat="false" ht="23.85" hidden="false" customHeight="false" outlineLevel="0" collapsed="false">
      <c r="A403" s="5" t="s">
        <v>2763</v>
      </c>
      <c r="B403" s="2" t="s">
        <v>2764</v>
      </c>
      <c r="C403" s="5" t="s">
        <v>2128</v>
      </c>
      <c r="D403" s="5" t="s">
        <v>2645</v>
      </c>
      <c r="E403" s="2" t="s">
        <v>6890</v>
      </c>
      <c r="F403" s="2"/>
      <c r="G403" s="2"/>
      <c r="H403" s="2" t="s">
        <v>6954</v>
      </c>
      <c r="I403" s="5" t="s">
        <v>496</v>
      </c>
      <c r="J403" s="2" t="s">
        <v>6892</v>
      </c>
      <c r="K403" s="2" t="s">
        <v>2766</v>
      </c>
      <c r="L403" s="5" t="n">
        <v>86400</v>
      </c>
    </row>
    <row r="404" customFormat="false" ht="23.85" hidden="false" customHeight="false" outlineLevel="0" collapsed="false">
      <c r="A404" s="5" t="s">
        <v>2763</v>
      </c>
      <c r="B404" s="2" t="s">
        <v>2764</v>
      </c>
      <c r="C404" s="5" t="s">
        <v>2128</v>
      </c>
      <c r="D404" s="5" t="s">
        <v>6578</v>
      </c>
      <c r="E404" s="2" t="s">
        <v>6589</v>
      </c>
      <c r="F404" s="2"/>
      <c r="G404" s="2"/>
      <c r="H404" s="2" t="s">
        <v>6955</v>
      </c>
      <c r="I404" s="5" t="s">
        <v>496</v>
      </c>
      <c r="J404" s="2" t="s">
        <v>6956</v>
      </c>
      <c r="K404" s="2" t="s">
        <v>2766</v>
      </c>
      <c r="L404" s="5" t="n">
        <v>86400</v>
      </c>
    </row>
    <row r="405" customFormat="false" ht="35.05" hidden="false" customHeight="false" outlineLevel="0" collapsed="false">
      <c r="A405" s="5" t="s">
        <v>2774</v>
      </c>
      <c r="B405" s="2" t="s">
        <v>2775</v>
      </c>
      <c r="C405" s="5" t="s">
        <v>2128</v>
      </c>
      <c r="D405" s="5" t="s">
        <v>2778</v>
      </c>
      <c r="E405" s="2" t="s">
        <v>6589</v>
      </c>
      <c r="F405" s="2"/>
      <c r="G405" s="2" t="s">
        <v>2779</v>
      </c>
      <c r="H405" s="2" t="s">
        <v>641</v>
      </c>
      <c r="I405" s="5" t="s">
        <v>74</v>
      </c>
      <c r="J405" s="2" t="s">
        <v>6957</v>
      </c>
      <c r="K405" s="2" t="s">
        <v>2778</v>
      </c>
      <c r="L405" s="5" t="n">
        <v>300</v>
      </c>
    </row>
    <row r="406" customFormat="false" ht="15" hidden="false" customHeight="false" outlineLevel="0" collapsed="false">
      <c r="A406" s="5" t="s">
        <v>2782</v>
      </c>
      <c r="B406" s="2" t="s">
        <v>2783</v>
      </c>
      <c r="C406" s="5" t="s">
        <v>2128</v>
      </c>
      <c r="D406" s="5" t="s">
        <v>2787</v>
      </c>
      <c r="E406" s="2" t="s">
        <v>839</v>
      </c>
      <c r="F406" s="2"/>
      <c r="G406" s="2"/>
      <c r="H406" s="2" t="s">
        <v>2788</v>
      </c>
      <c r="I406" s="5" t="s">
        <v>2789</v>
      </c>
      <c r="J406" s="2" t="s">
        <v>6633</v>
      </c>
      <c r="K406" s="2" t="s">
        <v>2787</v>
      </c>
      <c r="L406" s="5" t="n">
        <v>1800</v>
      </c>
    </row>
    <row r="407" customFormat="false" ht="23.85" hidden="false" customHeight="false" outlineLevel="0" collapsed="false">
      <c r="A407" s="5" t="s">
        <v>2792</v>
      </c>
      <c r="B407" s="2" t="s">
        <v>2793</v>
      </c>
      <c r="C407" s="5" t="s">
        <v>2128</v>
      </c>
      <c r="D407" s="5" t="s">
        <v>2787</v>
      </c>
      <c r="E407" s="2" t="s">
        <v>2794</v>
      </c>
      <c r="F407" s="2"/>
      <c r="G407" s="2"/>
      <c r="H407" s="2" t="s">
        <v>2788</v>
      </c>
      <c r="I407" s="5" t="s">
        <v>2795</v>
      </c>
      <c r="J407" s="2" t="s">
        <v>6958</v>
      </c>
      <c r="K407" s="2" t="s">
        <v>2787</v>
      </c>
      <c r="L407" s="5" t="n">
        <v>1800</v>
      </c>
    </row>
    <row r="408" customFormat="false" ht="35.05" hidden="false" customHeight="false" outlineLevel="0" collapsed="false">
      <c r="A408" s="5" t="s">
        <v>2799</v>
      </c>
      <c r="B408" s="2" t="s">
        <v>2800</v>
      </c>
      <c r="C408" s="5" t="s">
        <v>2128</v>
      </c>
      <c r="D408" s="5" t="s">
        <v>6503</v>
      </c>
      <c r="E408" s="2" t="s">
        <v>6959</v>
      </c>
      <c r="F408" s="2"/>
      <c r="G408" s="2"/>
      <c r="H408" s="2" t="s">
        <v>6960</v>
      </c>
      <c r="I408" s="5" t="s">
        <v>74</v>
      </c>
      <c r="J408" s="2" t="s">
        <v>6961</v>
      </c>
      <c r="K408" s="2" t="s">
        <v>2803</v>
      </c>
      <c r="L408" s="5" t="n">
        <v>3600</v>
      </c>
    </row>
    <row r="409" customFormat="false" ht="35.05" hidden="false" customHeight="false" outlineLevel="0" collapsed="false">
      <c r="A409" s="5" t="s">
        <v>2799</v>
      </c>
      <c r="B409" s="2" t="s">
        <v>2800</v>
      </c>
      <c r="C409" s="5" t="s">
        <v>2128</v>
      </c>
      <c r="D409" s="5" t="s">
        <v>2778</v>
      </c>
      <c r="E409" s="2" t="s">
        <v>6589</v>
      </c>
      <c r="F409" s="2"/>
      <c r="G409" s="2"/>
      <c r="H409" s="2" t="s">
        <v>6962</v>
      </c>
      <c r="I409" s="5" t="s">
        <v>74</v>
      </c>
      <c r="J409" s="2" t="s">
        <v>6963</v>
      </c>
      <c r="K409" s="2" t="s">
        <v>2803</v>
      </c>
      <c r="L409" s="5" t="n">
        <v>3600</v>
      </c>
    </row>
    <row r="410" customFormat="false" ht="35.05" hidden="false" customHeight="false" outlineLevel="0" collapsed="false">
      <c r="A410" s="5" t="s">
        <v>2799</v>
      </c>
      <c r="B410" s="2" t="s">
        <v>2800</v>
      </c>
      <c r="C410" s="5" t="s">
        <v>2128</v>
      </c>
      <c r="D410" s="5" t="s">
        <v>6964</v>
      </c>
      <c r="E410" s="2" t="s">
        <v>6965</v>
      </c>
      <c r="F410" s="2"/>
      <c r="G410" s="2"/>
      <c r="H410" s="2" t="s">
        <v>6960</v>
      </c>
      <c r="I410" s="5" t="s">
        <v>74</v>
      </c>
      <c r="J410" s="2" t="s">
        <v>6966</v>
      </c>
      <c r="K410" s="2" t="s">
        <v>2803</v>
      </c>
      <c r="L410" s="5" t="n">
        <v>3600</v>
      </c>
    </row>
    <row r="411" customFormat="false" ht="35.05" hidden="false" customHeight="false" outlineLevel="0" collapsed="false">
      <c r="A411" s="5" t="s">
        <v>2811</v>
      </c>
      <c r="B411" s="2" t="s">
        <v>2812</v>
      </c>
      <c r="C411" s="5" t="s">
        <v>2128</v>
      </c>
      <c r="D411" s="5" t="s">
        <v>6503</v>
      </c>
      <c r="E411" s="2" t="s">
        <v>6959</v>
      </c>
      <c r="F411" s="2"/>
      <c r="G411" s="2"/>
      <c r="H411" s="2" t="s">
        <v>6960</v>
      </c>
      <c r="I411" s="5"/>
      <c r="J411" s="2" t="s">
        <v>6961</v>
      </c>
      <c r="K411" s="2" t="s">
        <v>2803</v>
      </c>
      <c r="L411" s="5" t="n">
        <v>7200</v>
      </c>
    </row>
    <row r="412" customFormat="false" ht="35.05" hidden="false" customHeight="false" outlineLevel="0" collapsed="false">
      <c r="A412" s="5" t="s">
        <v>2811</v>
      </c>
      <c r="B412" s="2" t="s">
        <v>2812</v>
      </c>
      <c r="C412" s="5" t="s">
        <v>2128</v>
      </c>
      <c r="D412" s="5" t="s">
        <v>2778</v>
      </c>
      <c r="E412" s="2" t="s">
        <v>6589</v>
      </c>
      <c r="F412" s="2"/>
      <c r="G412" s="2"/>
      <c r="H412" s="2" t="s">
        <v>6962</v>
      </c>
      <c r="I412" s="5"/>
      <c r="J412" s="2" t="s">
        <v>6963</v>
      </c>
      <c r="K412" s="2" t="s">
        <v>2803</v>
      </c>
      <c r="L412" s="5" t="n">
        <v>7200</v>
      </c>
    </row>
    <row r="413" customFormat="false" ht="35.05" hidden="false" customHeight="false" outlineLevel="0" collapsed="false">
      <c r="A413" s="5" t="s">
        <v>2811</v>
      </c>
      <c r="B413" s="2" t="s">
        <v>2812</v>
      </c>
      <c r="C413" s="5" t="s">
        <v>2128</v>
      </c>
      <c r="D413" s="5" t="s">
        <v>6964</v>
      </c>
      <c r="E413" s="2" t="s">
        <v>6965</v>
      </c>
      <c r="F413" s="2"/>
      <c r="G413" s="2"/>
      <c r="H413" s="2" t="s">
        <v>6960</v>
      </c>
      <c r="I413" s="5"/>
      <c r="J413" s="2" t="s">
        <v>6966</v>
      </c>
      <c r="K413" s="2" t="s">
        <v>2803</v>
      </c>
      <c r="L413" s="5" t="n">
        <v>7200</v>
      </c>
    </row>
    <row r="414" customFormat="false" ht="23.85" hidden="false" customHeight="false" outlineLevel="0" collapsed="false">
      <c r="A414" s="5" t="s">
        <v>2818</v>
      </c>
      <c r="B414" s="2" t="s">
        <v>2819</v>
      </c>
      <c r="C414" s="5" t="s">
        <v>2128</v>
      </c>
      <c r="D414" s="5" t="s">
        <v>71</v>
      </c>
      <c r="E414" s="2" t="s">
        <v>560</v>
      </c>
      <c r="F414" s="2"/>
      <c r="G414" s="2" t="s">
        <v>2821</v>
      </c>
      <c r="H414" s="2" t="s">
        <v>2822</v>
      </c>
      <c r="I414" s="5" t="s">
        <v>74</v>
      </c>
      <c r="J414" s="2" t="s">
        <v>6967</v>
      </c>
      <c r="K414" s="2" t="s">
        <v>71</v>
      </c>
      <c r="L414" s="5" t="n">
        <v>300</v>
      </c>
    </row>
    <row r="415" customFormat="false" ht="46.25" hidden="false" customHeight="false" outlineLevel="0" collapsed="false">
      <c r="A415" s="5" t="s">
        <v>2825</v>
      </c>
      <c r="B415" s="2" t="s">
        <v>2826</v>
      </c>
      <c r="C415" s="5" t="s">
        <v>2128</v>
      </c>
      <c r="D415" s="5" t="s">
        <v>71</v>
      </c>
      <c r="E415" s="2" t="s">
        <v>6968</v>
      </c>
      <c r="F415" s="2"/>
      <c r="G415" s="2" t="s">
        <v>2828</v>
      </c>
      <c r="H415" s="2" t="s">
        <v>2829</v>
      </c>
      <c r="I415" s="5" t="s">
        <v>74</v>
      </c>
      <c r="J415" s="2" t="s">
        <v>6969</v>
      </c>
      <c r="K415" s="2" t="s">
        <v>71</v>
      </c>
      <c r="L415" s="5" t="n">
        <v>300</v>
      </c>
    </row>
    <row r="416" customFormat="false" ht="23.85" hidden="false" customHeight="false" outlineLevel="0" collapsed="false">
      <c r="A416" s="5" t="s">
        <v>2832</v>
      </c>
      <c r="B416" s="2" t="s">
        <v>2833</v>
      </c>
      <c r="C416" s="5" t="s">
        <v>2128</v>
      </c>
      <c r="D416" s="5" t="s">
        <v>71</v>
      </c>
      <c r="E416" s="2" t="s">
        <v>2834</v>
      </c>
      <c r="F416" s="2"/>
      <c r="G416" s="2" t="s">
        <v>2835</v>
      </c>
      <c r="H416" s="2" t="s">
        <v>2829</v>
      </c>
      <c r="I416" s="5" t="s">
        <v>74</v>
      </c>
      <c r="J416" s="2" t="s">
        <v>6970</v>
      </c>
      <c r="K416" s="2" t="s">
        <v>71</v>
      </c>
      <c r="L416" s="5" t="n">
        <v>300</v>
      </c>
    </row>
    <row r="417" customFormat="false" ht="23.85" hidden="false" customHeight="false" outlineLevel="0" collapsed="false">
      <c r="A417" s="5" t="s">
        <v>2839</v>
      </c>
      <c r="B417" s="2" t="s">
        <v>2840</v>
      </c>
      <c r="C417" s="5" t="s">
        <v>2128</v>
      </c>
      <c r="D417" s="5" t="s">
        <v>71</v>
      </c>
      <c r="E417" s="2" t="s">
        <v>2842</v>
      </c>
      <c r="F417" s="2"/>
      <c r="G417" s="2" t="s">
        <v>2843</v>
      </c>
      <c r="H417" s="2" t="s">
        <v>2516</v>
      </c>
      <c r="I417" s="5" t="s">
        <v>74</v>
      </c>
      <c r="J417" s="2" t="s">
        <v>6971</v>
      </c>
      <c r="K417" s="2" t="s">
        <v>71</v>
      </c>
      <c r="L417" s="5" t="n">
        <v>300</v>
      </c>
    </row>
    <row r="418" customFormat="false" ht="46.25" hidden="false" customHeight="false" outlineLevel="0" collapsed="false">
      <c r="A418" s="5" t="s">
        <v>2847</v>
      </c>
      <c r="B418" s="2" t="s">
        <v>2848</v>
      </c>
      <c r="C418" s="5" t="s">
        <v>2128</v>
      </c>
      <c r="D418" s="5" t="s">
        <v>71</v>
      </c>
      <c r="E418" s="2" t="s">
        <v>6968</v>
      </c>
      <c r="F418" s="2"/>
      <c r="G418" s="2" t="s">
        <v>2849</v>
      </c>
      <c r="H418" s="2" t="s">
        <v>2829</v>
      </c>
      <c r="I418" s="5" t="s">
        <v>74</v>
      </c>
      <c r="J418" s="2" t="s">
        <v>6972</v>
      </c>
      <c r="K418" s="2" t="s">
        <v>71</v>
      </c>
      <c r="L418" s="5" t="n">
        <v>300</v>
      </c>
    </row>
    <row r="419" customFormat="false" ht="23.85" hidden="false" customHeight="false" outlineLevel="0" collapsed="false">
      <c r="A419" s="5" t="s">
        <v>2852</v>
      </c>
      <c r="B419" s="2" t="s">
        <v>2853</v>
      </c>
      <c r="C419" s="5" t="s">
        <v>2128</v>
      </c>
      <c r="D419" s="5" t="s">
        <v>71</v>
      </c>
      <c r="E419" s="2" t="s">
        <v>638</v>
      </c>
      <c r="F419" s="2"/>
      <c r="G419" s="2" t="s">
        <v>2854</v>
      </c>
      <c r="H419" s="2" t="s">
        <v>2829</v>
      </c>
      <c r="I419" s="5" t="s">
        <v>74</v>
      </c>
      <c r="J419" s="2" t="s">
        <v>6973</v>
      </c>
      <c r="K419" s="2" t="s">
        <v>71</v>
      </c>
      <c r="L419" s="5" t="n">
        <v>300</v>
      </c>
    </row>
    <row r="420" customFormat="false" ht="23.85" hidden="false" customHeight="false" outlineLevel="0" collapsed="false">
      <c r="A420" s="5" t="s">
        <v>2857</v>
      </c>
      <c r="B420" s="2" t="s">
        <v>2858</v>
      </c>
      <c r="C420" s="5" t="s">
        <v>2128</v>
      </c>
      <c r="D420" s="5" t="s">
        <v>71</v>
      </c>
      <c r="E420" s="2" t="s">
        <v>1533</v>
      </c>
      <c r="F420" s="2"/>
      <c r="G420" s="2" t="s">
        <v>2860</v>
      </c>
      <c r="H420" s="2" t="s">
        <v>2516</v>
      </c>
      <c r="I420" s="5" t="s">
        <v>74</v>
      </c>
      <c r="J420" s="2" t="s">
        <v>6974</v>
      </c>
      <c r="K420" s="2" t="s">
        <v>71</v>
      </c>
      <c r="L420" s="5" t="n">
        <v>300</v>
      </c>
    </row>
    <row r="421" customFormat="false" ht="23.85" hidden="false" customHeight="false" outlineLevel="0" collapsed="false">
      <c r="A421" s="5" t="s">
        <v>2863</v>
      </c>
      <c r="B421" s="2" t="s">
        <v>2864</v>
      </c>
      <c r="C421" s="5" t="s">
        <v>2128</v>
      </c>
      <c r="D421" s="5" t="s">
        <v>2866</v>
      </c>
      <c r="E421" s="2" t="s">
        <v>2865</v>
      </c>
      <c r="F421" s="2"/>
      <c r="G421" s="2" t="s">
        <v>2867</v>
      </c>
      <c r="H421" s="2" t="s">
        <v>2868</v>
      </c>
      <c r="I421" s="5" t="s">
        <v>74</v>
      </c>
      <c r="J421" s="2" t="s">
        <v>6975</v>
      </c>
      <c r="K421" s="2" t="s">
        <v>2866</v>
      </c>
      <c r="L421" s="5" t="n">
        <v>300</v>
      </c>
    </row>
    <row r="422" customFormat="false" ht="35.05" hidden="false" customHeight="false" outlineLevel="0" collapsed="false">
      <c r="A422" s="5" t="s">
        <v>2872</v>
      </c>
      <c r="B422" s="2" t="s">
        <v>2873</v>
      </c>
      <c r="C422" s="5" t="s">
        <v>2128</v>
      </c>
      <c r="D422" s="5" t="s">
        <v>2866</v>
      </c>
      <c r="E422" s="2" t="s">
        <v>2865</v>
      </c>
      <c r="F422" s="2"/>
      <c r="G422" s="2" t="s">
        <v>2874</v>
      </c>
      <c r="H422" s="2" t="s">
        <v>2875</v>
      </c>
      <c r="I422" s="5" t="s">
        <v>74</v>
      </c>
      <c r="J422" s="2" t="s">
        <v>6976</v>
      </c>
      <c r="K422" s="2" t="s">
        <v>2866</v>
      </c>
      <c r="L422" s="5" t="n">
        <v>300</v>
      </c>
    </row>
    <row r="423" customFormat="false" ht="23.85" hidden="false" customHeight="false" outlineLevel="0" collapsed="false">
      <c r="A423" s="5" t="s">
        <v>2878</v>
      </c>
      <c r="B423" s="2" t="s">
        <v>2879</v>
      </c>
      <c r="C423" s="5" t="s">
        <v>2128</v>
      </c>
      <c r="D423" s="5" t="s">
        <v>2866</v>
      </c>
      <c r="E423" s="2" t="s">
        <v>2865</v>
      </c>
      <c r="F423" s="2"/>
      <c r="G423" s="2" t="s">
        <v>2880</v>
      </c>
      <c r="H423" s="2" t="s">
        <v>2868</v>
      </c>
      <c r="I423" s="5" t="s">
        <v>74</v>
      </c>
      <c r="J423" s="2" t="s">
        <v>6977</v>
      </c>
      <c r="K423" s="2" t="s">
        <v>2866</v>
      </c>
      <c r="L423" s="5" t="n">
        <v>300</v>
      </c>
    </row>
    <row r="424" customFormat="false" ht="35.05" hidden="false" customHeight="false" outlineLevel="0" collapsed="false">
      <c r="A424" s="5" t="s">
        <v>2883</v>
      </c>
      <c r="B424" s="2" t="s">
        <v>2884</v>
      </c>
      <c r="C424" s="5" t="s">
        <v>2128</v>
      </c>
      <c r="D424" s="5" t="s">
        <v>2866</v>
      </c>
      <c r="E424" s="2" t="s">
        <v>2865</v>
      </c>
      <c r="F424" s="2"/>
      <c r="G424" s="2" t="s">
        <v>2886</v>
      </c>
      <c r="H424" s="2" t="s">
        <v>2887</v>
      </c>
      <c r="I424" s="5" t="s">
        <v>74</v>
      </c>
      <c r="J424" s="2" t="s">
        <v>6978</v>
      </c>
      <c r="K424" s="2" t="s">
        <v>2866</v>
      </c>
      <c r="L424" s="5" t="n">
        <v>300</v>
      </c>
    </row>
    <row r="425" customFormat="false" ht="35.05" hidden="false" customHeight="false" outlineLevel="0" collapsed="false">
      <c r="A425" s="5" t="s">
        <v>2890</v>
      </c>
      <c r="B425" s="2" t="s">
        <v>2891</v>
      </c>
      <c r="C425" s="5" t="s">
        <v>2128</v>
      </c>
      <c r="D425" s="5" t="s">
        <v>2866</v>
      </c>
      <c r="E425" s="2" t="s">
        <v>2865</v>
      </c>
      <c r="F425" s="2"/>
      <c r="G425" s="2" t="s">
        <v>2892</v>
      </c>
      <c r="H425" s="2" t="s">
        <v>2887</v>
      </c>
      <c r="I425" s="5" t="s">
        <v>74</v>
      </c>
      <c r="J425" s="2" t="s">
        <v>6979</v>
      </c>
      <c r="K425" s="2" t="s">
        <v>2866</v>
      </c>
      <c r="L425" s="5" t="n">
        <v>300</v>
      </c>
    </row>
    <row r="426" customFormat="false" ht="35.05" hidden="false" customHeight="false" outlineLevel="0" collapsed="false">
      <c r="A426" s="5" t="s">
        <v>2895</v>
      </c>
      <c r="B426" s="2" t="s">
        <v>2896</v>
      </c>
      <c r="C426" s="5" t="s">
        <v>2128</v>
      </c>
      <c r="D426" s="5" t="s">
        <v>2866</v>
      </c>
      <c r="E426" s="2" t="s">
        <v>2897</v>
      </c>
      <c r="F426" s="2"/>
      <c r="G426" s="2" t="s">
        <v>2898</v>
      </c>
      <c r="H426" s="2" t="s">
        <v>2875</v>
      </c>
      <c r="I426" s="5" t="s">
        <v>74</v>
      </c>
      <c r="J426" s="2" t="s">
        <v>6980</v>
      </c>
      <c r="K426" s="2" t="s">
        <v>2866</v>
      </c>
      <c r="L426" s="5" t="n">
        <v>300</v>
      </c>
    </row>
    <row r="427" customFormat="false" ht="23.85" hidden="false" customHeight="false" outlineLevel="0" collapsed="false">
      <c r="A427" s="5" t="s">
        <v>2902</v>
      </c>
      <c r="B427" s="2" t="s">
        <v>2903</v>
      </c>
      <c r="C427" s="5" t="s">
        <v>2128</v>
      </c>
      <c r="D427" s="5" t="s">
        <v>2866</v>
      </c>
      <c r="E427" s="2" t="s">
        <v>2897</v>
      </c>
      <c r="F427" s="2"/>
      <c r="G427" s="2" t="s">
        <v>2874</v>
      </c>
      <c r="H427" s="2" t="s">
        <v>2868</v>
      </c>
      <c r="I427" s="5" t="s">
        <v>74</v>
      </c>
      <c r="J427" s="2" t="s">
        <v>6981</v>
      </c>
      <c r="K427" s="2" t="s">
        <v>2866</v>
      </c>
      <c r="L427" s="5" t="n">
        <v>300</v>
      </c>
    </row>
    <row r="428" customFormat="false" ht="23.85" hidden="false" customHeight="false" outlineLevel="0" collapsed="false">
      <c r="A428" s="5" t="s">
        <v>2906</v>
      </c>
      <c r="B428" s="2" t="s">
        <v>2907</v>
      </c>
      <c r="C428" s="5" t="s">
        <v>2128</v>
      </c>
      <c r="D428" s="5" t="s">
        <v>2866</v>
      </c>
      <c r="E428" s="2" t="s">
        <v>2897</v>
      </c>
      <c r="F428" s="2"/>
      <c r="G428" s="2" t="s">
        <v>2880</v>
      </c>
      <c r="H428" s="2" t="s">
        <v>2868</v>
      </c>
      <c r="I428" s="5" t="s">
        <v>74</v>
      </c>
      <c r="J428" s="2" t="s">
        <v>6982</v>
      </c>
      <c r="K428" s="2" t="s">
        <v>2866</v>
      </c>
      <c r="L428" s="5" t="n">
        <v>300</v>
      </c>
    </row>
    <row r="429" customFormat="false" ht="35.05" hidden="false" customHeight="false" outlineLevel="0" collapsed="false">
      <c r="A429" s="5" t="s">
        <v>2909</v>
      </c>
      <c r="B429" s="2" t="s">
        <v>2910</v>
      </c>
      <c r="C429" s="5" t="s">
        <v>2128</v>
      </c>
      <c r="D429" s="5" t="s">
        <v>2866</v>
      </c>
      <c r="E429" s="2" t="s">
        <v>2897</v>
      </c>
      <c r="F429" s="2"/>
      <c r="G429" s="2" t="s">
        <v>2886</v>
      </c>
      <c r="H429" s="2" t="s">
        <v>2887</v>
      </c>
      <c r="I429" s="5" t="s">
        <v>74</v>
      </c>
      <c r="J429" s="2" t="s">
        <v>6983</v>
      </c>
      <c r="K429" s="2" t="s">
        <v>2866</v>
      </c>
      <c r="L429" s="5" t="n">
        <v>300</v>
      </c>
    </row>
    <row r="430" customFormat="false" ht="35.05" hidden="false" customHeight="false" outlineLevel="0" collapsed="false">
      <c r="A430" s="5" t="s">
        <v>2913</v>
      </c>
      <c r="B430" s="2" t="s">
        <v>2914</v>
      </c>
      <c r="C430" s="5" t="s">
        <v>2128</v>
      </c>
      <c r="D430" s="5" t="s">
        <v>2866</v>
      </c>
      <c r="E430" s="2" t="s">
        <v>2897</v>
      </c>
      <c r="F430" s="2"/>
      <c r="G430" s="2" t="s">
        <v>2892</v>
      </c>
      <c r="H430" s="2" t="s">
        <v>2887</v>
      </c>
      <c r="I430" s="5" t="s">
        <v>74</v>
      </c>
      <c r="J430" s="2" t="s">
        <v>6984</v>
      </c>
      <c r="K430" s="2" t="s">
        <v>2866</v>
      </c>
      <c r="L430" s="5" t="n">
        <v>300</v>
      </c>
    </row>
    <row r="431" customFormat="false" ht="23.85" hidden="false" customHeight="false" outlineLevel="0" collapsed="false">
      <c r="A431" s="5" t="s">
        <v>2917</v>
      </c>
      <c r="B431" s="2" t="s">
        <v>2918</v>
      </c>
      <c r="C431" s="5" t="s">
        <v>2128</v>
      </c>
      <c r="D431" s="5" t="s">
        <v>2515</v>
      </c>
      <c r="E431" s="2" t="s">
        <v>2919</v>
      </c>
      <c r="F431" s="2"/>
      <c r="G431" s="2"/>
      <c r="H431" s="2" t="s">
        <v>2920</v>
      </c>
      <c r="I431" s="5" t="s">
        <v>74</v>
      </c>
      <c r="J431" s="2" t="s">
        <v>6985</v>
      </c>
      <c r="K431" s="2" t="s">
        <v>2515</v>
      </c>
      <c r="L431" s="5" t="n">
        <v>300</v>
      </c>
    </row>
    <row r="432" customFormat="false" ht="23.85" hidden="false" customHeight="false" outlineLevel="0" collapsed="false">
      <c r="A432" s="5" t="s">
        <v>2924</v>
      </c>
      <c r="B432" s="2" t="s">
        <v>2925</v>
      </c>
      <c r="C432" s="5" t="s">
        <v>2128</v>
      </c>
      <c r="D432" s="5" t="s">
        <v>2928</v>
      </c>
      <c r="E432" s="2" t="s">
        <v>2927</v>
      </c>
      <c r="F432" s="2"/>
      <c r="G432" s="2" t="s">
        <v>2929</v>
      </c>
      <c r="H432" s="2" t="s">
        <v>2516</v>
      </c>
      <c r="I432" s="5" t="s">
        <v>74</v>
      </c>
      <c r="J432" s="2" t="s">
        <v>6986</v>
      </c>
      <c r="K432" s="2" t="s">
        <v>2928</v>
      </c>
      <c r="L432" s="5" t="n">
        <v>600</v>
      </c>
    </row>
    <row r="433" customFormat="false" ht="15" hidden="false" customHeight="false" outlineLevel="0" collapsed="false">
      <c r="A433" s="5" t="s">
        <v>2933</v>
      </c>
      <c r="B433" s="2" t="s">
        <v>2934</v>
      </c>
      <c r="C433" s="5" t="s">
        <v>2128</v>
      </c>
      <c r="D433" s="5" t="s">
        <v>2937</v>
      </c>
      <c r="E433" s="2" t="s">
        <v>2936</v>
      </c>
      <c r="F433" s="2"/>
      <c r="G433" s="2"/>
      <c r="H433" s="2" t="s">
        <v>2788</v>
      </c>
      <c r="I433" s="5" t="s">
        <v>74</v>
      </c>
      <c r="J433" s="2" t="s">
        <v>6987</v>
      </c>
      <c r="K433" s="2" t="s">
        <v>2937</v>
      </c>
      <c r="L433" s="5" t="n">
        <v>180</v>
      </c>
    </row>
    <row r="434" customFormat="false" ht="15" hidden="false" customHeight="false" outlineLevel="0" collapsed="false">
      <c r="A434" s="5" t="s">
        <v>2941</v>
      </c>
      <c r="B434" s="2" t="s">
        <v>2942</v>
      </c>
      <c r="C434" s="5" t="s">
        <v>2128</v>
      </c>
      <c r="D434" s="5" t="s">
        <v>2937</v>
      </c>
      <c r="E434" s="2" t="s">
        <v>2943</v>
      </c>
      <c r="F434" s="2"/>
      <c r="G434" s="2"/>
      <c r="H434" s="2" t="s">
        <v>2788</v>
      </c>
      <c r="I434" s="5" t="s">
        <v>74</v>
      </c>
      <c r="J434" s="2" t="s">
        <v>6988</v>
      </c>
      <c r="K434" s="2" t="s">
        <v>2937</v>
      </c>
      <c r="L434" s="5" t="n">
        <v>180</v>
      </c>
    </row>
    <row r="435" customFormat="false" ht="15" hidden="false" customHeight="false" outlineLevel="0" collapsed="false">
      <c r="A435" s="5" t="s">
        <v>2947</v>
      </c>
      <c r="B435" s="2" t="s">
        <v>2948</v>
      </c>
      <c r="C435" s="5" t="s">
        <v>2128</v>
      </c>
      <c r="D435" s="5" t="s">
        <v>2937</v>
      </c>
      <c r="E435" s="2" t="s">
        <v>2949</v>
      </c>
      <c r="F435" s="2"/>
      <c r="G435" s="2"/>
      <c r="H435" s="2" t="s">
        <v>2788</v>
      </c>
      <c r="I435" s="5" t="s">
        <v>74</v>
      </c>
      <c r="J435" s="2" t="s">
        <v>6989</v>
      </c>
      <c r="K435" s="2" t="s">
        <v>2937</v>
      </c>
      <c r="L435" s="5" t="n">
        <v>180</v>
      </c>
    </row>
    <row r="436" customFormat="false" ht="23.85" hidden="false" customHeight="false" outlineLevel="0" collapsed="false">
      <c r="A436" s="5" t="s">
        <v>2953</v>
      </c>
      <c r="B436" s="2" t="s">
        <v>2954</v>
      </c>
      <c r="C436" s="5" t="s">
        <v>2128</v>
      </c>
      <c r="D436" s="5" t="s">
        <v>2958</v>
      </c>
      <c r="E436" s="2" t="s">
        <v>2957</v>
      </c>
      <c r="F436" s="2"/>
      <c r="G436" s="2"/>
      <c r="H436" s="2" t="s">
        <v>2959</v>
      </c>
      <c r="I436" s="5" t="s">
        <v>74</v>
      </c>
      <c r="J436" s="2" t="s">
        <v>6990</v>
      </c>
      <c r="K436" s="2" t="s">
        <v>2958</v>
      </c>
      <c r="L436" s="5" t="n">
        <v>300</v>
      </c>
    </row>
    <row r="437" customFormat="false" ht="23.85" hidden="false" customHeight="false" outlineLevel="0" collapsed="false">
      <c r="A437" s="5" t="s">
        <v>2963</v>
      </c>
      <c r="B437" s="2" t="s">
        <v>2964</v>
      </c>
      <c r="C437" s="5" t="s">
        <v>2128</v>
      </c>
      <c r="D437" s="5" t="s">
        <v>2966</v>
      </c>
      <c r="E437" s="2" t="s">
        <v>2965</v>
      </c>
      <c r="F437" s="2"/>
      <c r="G437" s="2" t="s">
        <v>2967</v>
      </c>
      <c r="H437" s="2" t="s">
        <v>2968</v>
      </c>
      <c r="I437" s="5" t="s">
        <v>74</v>
      </c>
      <c r="J437" s="2" t="s">
        <v>6991</v>
      </c>
      <c r="K437" s="2" t="s">
        <v>2966</v>
      </c>
      <c r="L437" s="5" t="n">
        <v>300</v>
      </c>
    </row>
    <row r="438" customFormat="false" ht="35.05" hidden="false" customHeight="false" outlineLevel="0" collapsed="false">
      <c r="A438" s="5" t="s">
        <v>2972</v>
      </c>
      <c r="B438" s="2" t="s">
        <v>2973</v>
      </c>
      <c r="C438" s="5" t="s">
        <v>2128</v>
      </c>
      <c r="D438" s="5" t="s">
        <v>2976</v>
      </c>
      <c r="E438" s="2" t="s">
        <v>2975</v>
      </c>
      <c r="F438" s="2"/>
      <c r="G438" s="2" t="s">
        <v>2977</v>
      </c>
      <c r="H438" s="2" t="s">
        <v>2978</v>
      </c>
      <c r="I438" s="5" t="s">
        <v>74</v>
      </c>
      <c r="J438" s="2" t="s">
        <v>6992</v>
      </c>
      <c r="K438" s="2" t="s">
        <v>2976</v>
      </c>
      <c r="L438" s="5" t="n">
        <v>300</v>
      </c>
    </row>
    <row r="439" customFormat="false" ht="23.85" hidden="false" customHeight="false" outlineLevel="0" collapsed="false">
      <c r="A439" s="5" t="s">
        <v>2982</v>
      </c>
      <c r="B439" s="2" t="s">
        <v>2983</v>
      </c>
      <c r="C439" s="5" t="s">
        <v>2128</v>
      </c>
      <c r="D439" s="5" t="s">
        <v>2515</v>
      </c>
      <c r="E439" s="2" t="s">
        <v>2984</v>
      </c>
      <c r="F439" s="2"/>
      <c r="G439" s="2"/>
      <c r="H439" s="2" t="s">
        <v>2985</v>
      </c>
      <c r="I439" s="5" t="s">
        <v>74</v>
      </c>
      <c r="J439" s="2" t="s">
        <v>6993</v>
      </c>
      <c r="K439" s="2" t="s">
        <v>2515</v>
      </c>
      <c r="L439" s="5" t="n">
        <v>300</v>
      </c>
    </row>
    <row r="440" customFormat="false" ht="23.85" hidden="false" customHeight="false" outlineLevel="0" collapsed="false">
      <c r="A440" s="5" t="s">
        <v>2989</v>
      </c>
      <c r="B440" s="2" t="s">
        <v>2990</v>
      </c>
      <c r="C440" s="5" t="s">
        <v>2128</v>
      </c>
      <c r="D440" s="5" t="s">
        <v>2515</v>
      </c>
      <c r="E440" s="2" t="s">
        <v>2991</v>
      </c>
      <c r="F440" s="2"/>
      <c r="G440" s="2"/>
      <c r="H440" s="2" t="s">
        <v>2985</v>
      </c>
      <c r="I440" s="5" t="s">
        <v>74</v>
      </c>
      <c r="J440" s="2" t="s">
        <v>6994</v>
      </c>
      <c r="K440" s="2" t="s">
        <v>2515</v>
      </c>
      <c r="L440" s="5" t="n">
        <v>300</v>
      </c>
    </row>
    <row r="441" customFormat="false" ht="23.85" hidden="false" customHeight="false" outlineLevel="0" collapsed="false">
      <c r="A441" s="5" t="s">
        <v>2995</v>
      </c>
      <c r="B441" s="2" t="s">
        <v>2996</v>
      </c>
      <c r="C441" s="5" t="s">
        <v>2128</v>
      </c>
      <c r="D441" s="5" t="s">
        <v>2515</v>
      </c>
      <c r="E441" s="2" t="s">
        <v>2997</v>
      </c>
      <c r="F441" s="2"/>
      <c r="G441" s="2"/>
      <c r="H441" s="2" t="s">
        <v>2985</v>
      </c>
      <c r="I441" s="5" t="s">
        <v>74</v>
      </c>
      <c r="J441" s="2" t="s">
        <v>6995</v>
      </c>
      <c r="K441" s="2" t="s">
        <v>2515</v>
      </c>
      <c r="L441" s="5" t="n">
        <v>300</v>
      </c>
    </row>
    <row r="442" customFormat="false" ht="15" hidden="false" customHeight="false" outlineLevel="0" collapsed="false">
      <c r="A442" s="5" t="s">
        <v>3001</v>
      </c>
      <c r="B442" s="2" t="s">
        <v>3002</v>
      </c>
      <c r="C442" s="5" t="s">
        <v>2128</v>
      </c>
      <c r="D442" s="5" t="s">
        <v>3005</v>
      </c>
      <c r="E442" s="2" t="s">
        <v>3004</v>
      </c>
      <c r="F442" s="2"/>
      <c r="G442" s="2"/>
      <c r="H442" s="2" t="s">
        <v>3006</v>
      </c>
      <c r="I442" s="5" t="s">
        <v>74</v>
      </c>
      <c r="J442" s="2" t="s">
        <v>6996</v>
      </c>
      <c r="K442" s="2" t="s">
        <v>3005</v>
      </c>
      <c r="L442" s="5" t="n">
        <v>600</v>
      </c>
    </row>
    <row r="443" customFormat="false" ht="23.85" hidden="false" customHeight="false" outlineLevel="0" collapsed="false">
      <c r="A443" s="5" t="s">
        <v>3010</v>
      </c>
      <c r="B443" s="2" t="s">
        <v>3011</v>
      </c>
      <c r="C443" s="5" t="s">
        <v>2128</v>
      </c>
      <c r="D443" s="5" t="s">
        <v>6997</v>
      </c>
      <c r="E443" s="2" t="s">
        <v>3004</v>
      </c>
      <c r="F443" s="2"/>
      <c r="G443" s="2"/>
      <c r="H443" s="2" t="s">
        <v>2516</v>
      </c>
      <c r="I443" s="5" t="s">
        <v>74</v>
      </c>
      <c r="J443" s="2" t="s">
        <v>6996</v>
      </c>
      <c r="K443" s="2" t="s">
        <v>3013</v>
      </c>
      <c r="L443" s="5" t="n">
        <v>900</v>
      </c>
    </row>
    <row r="444" customFormat="false" ht="23.85" hidden="false" customHeight="false" outlineLevel="0" collapsed="false">
      <c r="A444" s="5" t="s">
        <v>3010</v>
      </c>
      <c r="B444" s="2" t="s">
        <v>3011</v>
      </c>
      <c r="C444" s="5" t="s">
        <v>2128</v>
      </c>
      <c r="D444" s="5" t="s">
        <v>6998</v>
      </c>
      <c r="E444" s="2" t="s">
        <v>6999</v>
      </c>
      <c r="F444" s="2"/>
      <c r="G444" s="2"/>
      <c r="H444" s="2" t="s">
        <v>2516</v>
      </c>
      <c r="I444" s="5" t="s">
        <v>74</v>
      </c>
      <c r="J444" s="2" t="s">
        <v>7000</v>
      </c>
      <c r="K444" s="2" t="s">
        <v>3013</v>
      </c>
      <c r="L444" s="5" t="n">
        <v>900</v>
      </c>
    </row>
    <row r="445" customFormat="false" ht="23.85" hidden="false" customHeight="false" outlineLevel="0" collapsed="false">
      <c r="A445" s="5" t="s">
        <v>3021</v>
      </c>
      <c r="B445" s="2" t="s">
        <v>3022</v>
      </c>
      <c r="C445" s="5" t="s">
        <v>2128</v>
      </c>
      <c r="D445" s="5" t="s">
        <v>3025</v>
      </c>
      <c r="E445" s="2" t="s">
        <v>7001</v>
      </c>
      <c r="F445" s="2"/>
      <c r="G445" s="2"/>
      <c r="H445" s="2" t="s">
        <v>3006</v>
      </c>
      <c r="I445" s="5" t="s">
        <v>74</v>
      </c>
      <c r="J445" s="2" t="s">
        <v>7002</v>
      </c>
      <c r="K445" s="2" t="s">
        <v>3025</v>
      </c>
      <c r="L445" s="5" t="n">
        <v>600</v>
      </c>
    </row>
    <row r="446" customFormat="false" ht="15" hidden="false" customHeight="false" outlineLevel="0" collapsed="false">
      <c r="A446" s="5" t="s">
        <v>3029</v>
      </c>
      <c r="B446" s="2" t="s">
        <v>3030</v>
      </c>
      <c r="C446" s="5" t="s">
        <v>2128</v>
      </c>
      <c r="D446" s="5" t="s">
        <v>3005</v>
      </c>
      <c r="E446" s="2" t="s">
        <v>3031</v>
      </c>
      <c r="F446" s="2"/>
      <c r="G446" s="2"/>
      <c r="H446" s="2" t="s">
        <v>3032</v>
      </c>
      <c r="I446" s="5" t="s">
        <v>74</v>
      </c>
      <c r="J446" s="2" t="s">
        <v>7003</v>
      </c>
      <c r="K446" s="2" t="s">
        <v>3005</v>
      </c>
      <c r="L446" s="5" t="n">
        <v>600</v>
      </c>
    </row>
    <row r="447" customFormat="false" ht="35.05" hidden="false" customHeight="false" outlineLevel="0" collapsed="false">
      <c r="A447" s="5" t="s">
        <v>3036</v>
      </c>
      <c r="B447" s="2" t="s">
        <v>3037</v>
      </c>
      <c r="C447" s="5" t="s">
        <v>2128</v>
      </c>
      <c r="D447" s="5" t="s">
        <v>3038</v>
      </c>
      <c r="E447" s="2" t="s">
        <v>2975</v>
      </c>
      <c r="F447" s="2"/>
      <c r="G447" s="2" t="s">
        <v>3039</v>
      </c>
      <c r="H447" s="2" t="s">
        <v>2978</v>
      </c>
      <c r="I447" s="5" t="s">
        <v>74</v>
      </c>
      <c r="J447" s="2" t="s">
        <v>7004</v>
      </c>
      <c r="K447" s="2" t="s">
        <v>3038</v>
      </c>
      <c r="L447" s="5" t="n">
        <v>300</v>
      </c>
    </row>
    <row r="448" customFormat="false" ht="23.85" hidden="false" customHeight="false" outlineLevel="0" collapsed="false">
      <c r="A448" s="5" t="s">
        <v>3042</v>
      </c>
      <c r="B448" s="2" t="s">
        <v>3043</v>
      </c>
      <c r="C448" s="5" t="s">
        <v>2128</v>
      </c>
      <c r="D448" s="5" t="s">
        <v>2515</v>
      </c>
      <c r="E448" s="2" t="s">
        <v>391</v>
      </c>
      <c r="F448" s="2"/>
      <c r="G448" s="2"/>
      <c r="H448" s="2" t="s">
        <v>2920</v>
      </c>
      <c r="I448" s="5" t="s">
        <v>74</v>
      </c>
      <c r="J448" s="2" t="s">
        <v>6540</v>
      </c>
      <c r="K448" s="2" t="s">
        <v>2515</v>
      </c>
      <c r="L448" s="5" t="n">
        <v>300</v>
      </c>
    </row>
    <row r="449" customFormat="false" ht="23.85" hidden="false" customHeight="false" outlineLevel="0" collapsed="false">
      <c r="A449" s="5" t="s">
        <v>3046</v>
      </c>
      <c r="B449" s="2" t="s">
        <v>3047</v>
      </c>
      <c r="C449" s="5" t="s">
        <v>2128</v>
      </c>
      <c r="D449" s="5" t="s">
        <v>2515</v>
      </c>
      <c r="E449" s="2" t="s">
        <v>3048</v>
      </c>
      <c r="F449" s="2"/>
      <c r="G449" s="2"/>
      <c r="H449" s="2" t="s">
        <v>2920</v>
      </c>
      <c r="I449" s="5" t="s">
        <v>74</v>
      </c>
      <c r="J449" s="2" t="s">
        <v>7005</v>
      </c>
      <c r="K449" s="2" t="s">
        <v>2515</v>
      </c>
      <c r="L449" s="5" t="n">
        <v>300</v>
      </c>
    </row>
    <row r="450" customFormat="false" ht="23.85" hidden="false" customHeight="false" outlineLevel="0" collapsed="false">
      <c r="A450" s="5" t="s">
        <v>3052</v>
      </c>
      <c r="B450" s="2" t="s">
        <v>3053</v>
      </c>
      <c r="C450" s="5" t="s">
        <v>2128</v>
      </c>
      <c r="D450" s="5" t="s">
        <v>2515</v>
      </c>
      <c r="E450" s="2" t="s">
        <v>3054</v>
      </c>
      <c r="F450" s="2"/>
      <c r="G450" s="2"/>
      <c r="H450" s="2" t="s">
        <v>2920</v>
      </c>
      <c r="I450" s="5" t="s">
        <v>74</v>
      </c>
      <c r="J450" s="2" t="s">
        <v>7006</v>
      </c>
      <c r="K450" s="2" t="s">
        <v>2515</v>
      </c>
      <c r="L450" s="5" t="n">
        <v>300</v>
      </c>
    </row>
    <row r="451" customFormat="false" ht="23.85" hidden="false" customHeight="false" outlineLevel="0" collapsed="false">
      <c r="A451" s="5" t="s">
        <v>3058</v>
      </c>
      <c r="B451" s="2" t="s">
        <v>3059</v>
      </c>
      <c r="C451" s="5" t="s">
        <v>2128</v>
      </c>
      <c r="D451" s="5" t="s">
        <v>2515</v>
      </c>
      <c r="E451" s="2" t="s">
        <v>3060</v>
      </c>
      <c r="F451" s="2"/>
      <c r="G451" s="2"/>
      <c r="H451" s="2" t="s">
        <v>2920</v>
      </c>
      <c r="I451" s="5" t="s">
        <v>74</v>
      </c>
      <c r="J451" s="2" t="s">
        <v>7007</v>
      </c>
      <c r="K451" s="2" t="s">
        <v>2515</v>
      </c>
      <c r="L451" s="5" t="n">
        <v>300</v>
      </c>
    </row>
    <row r="452" customFormat="false" ht="23.85" hidden="false" customHeight="false" outlineLevel="0" collapsed="false">
      <c r="A452" s="5" t="s">
        <v>3064</v>
      </c>
      <c r="B452" s="2" t="s">
        <v>3065</v>
      </c>
      <c r="C452" s="5" t="s">
        <v>2128</v>
      </c>
      <c r="D452" s="5" t="s">
        <v>2515</v>
      </c>
      <c r="E452" s="2" t="s">
        <v>3066</v>
      </c>
      <c r="F452" s="2"/>
      <c r="G452" s="2"/>
      <c r="H452" s="2" t="s">
        <v>3067</v>
      </c>
      <c r="I452" s="5" t="s">
        <v>74</v>
      </c>
      <c r="J452" s="2" t="s">
        <v>7008</v>
      </c>
      <c r="K452" s="2" t="s">
        <v>2515</v>
      </c>
      <c r="L452" s="5" t="n">
        <v>300</v>
      </c>
    </row>
    <row r="453" customFormat="false" ht="23.85" hidden="false" customHeight="false" outlineLevel="0" collapsed="false">
      <c r="A453" s="5" t="s">
        <v>3071</v>
      </c>
      <c r="B453" s="2" t="s">
        <v>3072</v>
      </c>
      <c r="C453" s="5" t="s">
        <v>2128</v>
      </c>
      <c r="D453" s="5" t="s">
        <v>2515</v>
      </c>
      <c r="E453" s="2" t="s">
        <v>385</v>
      </c>
      <c r="F453" s="2"/>
      <c r="G453" s="2"/>
      <c r="H453" s="2" t="s">
        <v>2920</v>
      </c>
      <c r="I453" s="5" t="s">
        <v>74</v>
      </c>
      <c r="J453" s="2" t="s">
        <v>7009</v>
      </c>
      <c r="K453" s="2" t="s">
        <v>2515</v>
      </c>
      <c r="L453" s="5" t="n">
        <v>300</v>
      </c>
    </row>
    <row r="454" customFormat="false" ht="23.85" hidden="false" customHeight="false" outlineLevel="0" collapsed="false">
      <c r="A454" s="5" t="s">
        <v>3075</v>
      </c>
      <c r="B454" s="2" t="s">
        <v>3076</v>
      </c>
      <c r="C454" s="5" t="s">
        <v>2128</v>
      </c>
      <c r="D454" s="5" t="s">
        <v>2515</v>
      </c>
      <c r="E454" s="2" t="s">
        <v>3077</v>
      </c>
      <c r="F454" s="2"/>
      <c r="G454" s="2"/>
      <c r="H454" s="2" t="s">
        <v>2920</v>
      </c>
      <c r="I454" s="5" t="s">
        <v>74</v>
      </c>
      <c r="J454" s="2" t="s">
        <v>7010</v>
      </c>
      <c r="K454" s="2" t="s">
        <v>2515</v>
      </c>
      <c r="L454" s="5" t="n">
        <v>300</v>
      </c>
    </row>
    <row r="455" customFormat="false" ht="23.85" hidden="false" customHeight="false" outlineLevel="0" collapsed="false">
      <c r="A455" s="5" t="s">
        <v>3081</v>
      </c>
      <c r="B455" s="2" t="s">
        <v>3082</v>
      </c>
      <c r="C455" s="5" t="s">
        <v>2128</v>
      </c>
      <c r="D455" s="5" t="s">
        <v>2866</v>
      </c>
      <c r="E455" s="2" t="s">
        <v>3083</v>
      </c>
      <c r="F455" s="2"/>
      <c r="G455" s="2" t="s">
        <v>3084</v>
      </c>
      <c r="H455" s="2" t="s">
        <v>3085</v>
      </c>
      <c r="I455" s="5" t="s">
        <v>74</v>
      </c>
      <c r="J455" s="2" t="s">
        <v>7011</v>
      </c>
      <c r="K455" s="2" t="s">
        <v>2866</v>
      </c>
      <c r="L455" s="5" t="n">
        <v>300</v>
      </c>
    </row>
    <row r="456" customFormat="false" ht="23.85" hidden="false" customHeight="false" outlineLevel="0" collapsed="false">
      <c r="A456" s="5" t="s">
        <v>3089</v>
      </c>
      <c r="B456" s="2" t="s">
        <v>3090</v>
      </c>
      <c r="C456" s="5" t="s">
        <v>2128</v>
      </c>
      <c r="D456" s="5" t="s">
        <v>2515</v>
      </c>
      <c r="E456" s="2" t="s">
        <v>3091</v>
      </c>
      <c r="F456" s="2"/>
      <c r="G456" s="2"/>
      <c r="H456" s="2" t="s">
        <v>2920</v>
      </c>
      <c r="I456" s="5" t="s">
        <v>74</v>
      </c>
      <c r="J456" s="2" t="s">
        <v>7012</v>
      </c>
      <c r="K456" s="2" t="s">
        <v>2515</v>
      </c>
      <c r="L456" s="5" t="n">
        <v>300</v>
      </c>
    </row>
    <row r="457" customFormat="false" ht="23.85" hidden="false" customHeight="false" outlineLevel="0" collapsed="false">
      <c r="A457" s="5" t="s">
        <v>3095</v>
      </c>
      <c r="B457" s="2" t="s">
        <v>3096</v>
      </c>
      <c r="C457" s="5" t="s">
        <v>2128</v>
      </c>
      <c r="D457" s="5" t="s">
        <v>2515</v>
      </c>
      <c r="E457" s="2" t="s">
        <v>3097</v>
      </c>
      <c r="F457" s="2"/>
      <c r="G457" s="2"/>
      <c r="H457" s="2" t="s">
        <v>3067</v>
      </c>
      <c r="I457" s="5" t="s">
        <v>74</v>
      </c>
      <c r="J457" s="2" t="s">
        <v>7013</v>
      </c>
      <c r="K457" s="2" t="s">
        <v>2515</v>
      </c>
      <c r="L457" s="5" t="n">
        <v>300</v>
      </c>
    </row>
    <row r="458" customFormat="false" ht="23.85" hidden="false" customHeight="false" outlineLevel="0" collapsed="false">
      <c r="A458" s="5" t="s">
        <v>3101</v>
      </c>
      <c r="B458" s="2" t="s">
        <v>3102</v>
      </c>
      <c r="C458" s="5" t="s">
        <v>2128</v>
      </c>
      <c r="D458" s="5" t="s">
        <v>71</v>
      </c>
      <c r="E458" s="2" t="s">
        <v>3103</v>
      </c>
      <c r="F458" s="2"/>
      <c r="G458" s="2"/>
      <c r="H458" s="2" t="s">
        <v>1098</v>
      </c>
      <c r="I458" s="5" t="s">
        <v>74</v>
      </c>
      <c r="J458" s="2" t="s">
        <v>7014</v>
      </c>
      <c r="K458" s="2" t="s">
        <v>71</v>
      </c>
      <c r="L458" s="5" t="n">
        <v>300</v>
      </c>
    </row>
    <row r="459" customFormat="false" ht="57.45" hidden="false" customHeight="false" outlineLevel="0" collapsed="false">
      <c r="A459" s="5" t="s">
        <v>3107</v>
      </c>
      <c r="B459" s="2" t="s">
        <v>3108</v>
      </c>
      <c r="C459" s="5" t="s">
        <v>2128</v>
      </c>
      <c r="D459" s="5" t="s">
        <v>71</v>
      </c>
      <c r="E459" s="2" t="s">
        <v>3109</v>
      </c>
      <c r="F459" s="2"/>
      <c r="G459" s="2" t="s">
        <v>3110</v>
      </c>
      <c r="H459" s="2" t="s">
        <v>3111</v>
      </c>
      <c r="I459" s="5" t="s">
        <v>74</v>
      </c>
      <c r="J459" s="2" t="s">
        <v>7015</v>
      </c>
      <c r="K459" s="2" t="s">
        <v>71</v>
      </c>
      <c r="L459" s="5" t="n">
        <v>300</v>
      </c>
    </row>
    <row r="460" customFormat="false" ht="23.85" hidden="false" customHeight="false" outlineLevel="0" collapsed="false">
      <c r="A460" s="5" t="s">
        <v>3115</v>
      </c>
      <c r="B460" s="2" t="s">
        <v>3116</v>
      </c>
      <c r="C460" s="5" t="s">
        <v>2128</v>
      </c>
      <c r="D460" s="5" t="s">
        <v>71</v>
      </c>
      <c r="E460" s="2" t="s">
        <v>3117</v>
      </c>
      <c r="F460" s="2"/>
      <c r="G460" s="2"/>
      <c r="H460" s="2" t="s">
        <v>1098</v>
      </c>
      <c r="I460" s="5" t="s">
        <v>74</v>
      </c>
      <c r="J460" s="2" t="s">
        <v>7016</v>
      </c>
      <c r="K460" s="2" t="s">
        <v>71</v>
      </c>
      <c r="L460" s="5" t="n">
        <v>300</v>
      </c>
    </row>
    <row r="461" customFormat="false" ht="91" hidden="false" customHeight="false" outlineLevel="0" collapsed="false">
      <c r="A461" s="5" t="s">
        <v>3121</v>
      </c>
      <c r="B461" s="2" t="s">
        <v>3122</v>
      </c>
      <c r="C461" s="5" t="s">
        <v>2128</v>
      </c>
      <c r="D461" s="5" t="s">
        <v>71</v>
      </c>
      <c r="E461" s="2" t="s">
        <v>1105</v>
      </c>
      <c r="F461" s="2"/>
      <c r="G461" s="2" t="s">
        <v>3124</v>
      </c>
      <c r="H461" s="2" t="s">
        <v>1176</v>
      </c>
      <c r="I461" s="5" t="s">
        <v>74</v>
      </c>
      <c r="J461" s="2" t="s">
        <v>7017</v>
      </c>
      <c r="K461" s="2" t="s">
        <v>71</v>
      </c>
      <c r="L461" s="5" t="n">
        <v>300</v>
      </c>
    </row>
    <row r="462" customFormat="false" ht="68.65" hidden="false" customHeight="false" outlineLevel="0" collapsed="false">
      <c r="A462" s="5" t="s">
        <v>3127</v>
      </c>
      <c r="B462" s="2" t="s">
        <v>3128</v>
      </c>
      <c r="C462" s="5" t="s">
        <v>2245</v>
      </c>
      <c r="D462" s="5" t="s">
        <v>71</v>
      </c>
      <c r="E462" s="2" t="s">
        <v>3130</v>
      </c>
      <c r="F462" s="2"/>
      <c r="G462" s="2" t="s">
        <v>3131</v>
      </c>
      <c r="H462" s="2" t="s">
        <v>3132</v>
      </c>
      <c r="I462" s="5" t="s">
        <v>74</v>
      </c>
      <c r="J462" s="2" t="s">
        <v>7018</v>
      </c>
      <c r="K462" s="2" t="s">
        <v>71</v>
      </c>
      <c r="L462" s="5" t="n">
        <v>300</v>
      </c>
    </row>
    <row r="463" customFormat="false" ht="15" hidden="false" customHeight="false" outlineLevel="0" collapsed="false">
      <c r="A463" s="5" t="s">
        <v>3137</v>
      </c>
      <c r="B463" s="2" t="s">
        <v>3138</v>
      </c>
      <c r="C463" s="5" t="s">
        <v>2128</v>
      </c>
      <c r="D463" s="5" t="s">
        <v>71</v>
      </c>
      <c r="E463" s="2" t="s">
        <v>3140</v>
      </c>
      <c r="F463" s="2"/>
      <c r="G463" s="2" t="s">
        <v>3141</v>
      </c>
      <c r="H463" s="2" t="s">
        <v>3142</v>
      </c>
      <c r="I463" s="5" t="s">
        <v>74</v>
      </c>
      <c r="J463" s="2" t="s">
        <v>7019</v>
      </c>
      <c r="K463" s="2" t="s">
        <v>71</v>
      </c>
      <c r="L463" s="5" t="n">
        <v>300</v>
      </c>
    </row>
    <row r="464" customFormat="false" ht="68.65" hidden="false" customHeight="false" outlineLevel="0" collapsed="false">
      <c r="A464" s="5" t="s">
        <v>3146</v>
      </c>
      <c r="B464" s="2" t="s">
        <v>3147</v>
      </c>
      <c r="C464" s="5" t="s">
        <v>2128</v>
      </c>
      <c r="D464" s="5" t="s">
        <v>71</v>
      </c>
      <c r="E464" s="2" t="s">
        <v>3148</v>
      </c>
      <c r="F464" s="2"/>
      <c r="G464" s="2" t="s">
        <v>3149</v>
      </c>
      <c r="H464" s="2" t="s">
        <v>3150</v>
      </c>
      <c r="I464" s="5" t="s">
        <v>74</v>
      </c>
      <c r="J464" s="2" t="s">
        <v>7020</v>
      </c>
      <c r="K464" s="2" t="s">
        <v>71</v>
      </c>
      <c r="L464" s="5" t="n">
        <v>300</v>
      </c>
    </row>
    <row r="465" customFormat="false" ht="23.85" hidden="false" customHeight="false" outlineLevel="0" collapsed="false">
      <c r="A465" s="5" t="s">
        <v>3154</v>
      </c>
      <c r="B465" s="2" t="s">
        <v>3155</v>
      </c>
      <c r="C465" s="5" t="s">
        <v>2245</v>
      </c>
      <c r="D465" s="5" t="s">
        <v>71</v>
      </c>
      <c r="E465" s="2" t="s">
        <v>3158</v>
      </c>
      <c r="F465" s="2"/>
      <c r="G465" s="2"/>
      <c r="H465" s="2" t="s">
        <v>1098</v>
      </c>
      <c r="I465" s="5" t="s">
        <v>74</v>
      </c>
      <c r="J465" s="2" t="s">
        <v>7021</v>
      </c>
      <c r="K465" s="2" t="s">
        <v>71</v>
      </c>
      <c r="L465" s="5" t="n">
        <v>300</v>
      </c>
    </row>
    <row r="466" customFormat="false" ht="23.85" hidden="false" customHeight="false" outlineLevel="0" collapsed="false">
      <c r="A466" s="5" t="s">
        <v>3161</v>
      </c>
      <c r="B466" s="2" t="s">
        <v>3162</v>
      </c>
      <c r="C466" s="5" t="s">
        <v>2245</v>
      </c>
      <c r="D466" s="5" t="s">
        <v>71</v>
      </c>
      <c r="E466" s="2" t="s">
        <v>3130</v>
      </c>
      <c r="F466" s="2"/>
      <c r="G466" s="2" t="s">
        <v>3163</v>
      </c>
      <c r="H466" s="2" t="s">
        <v>3132</v>
      </c>
      <c r="I466" s="5" t="s">
        <v>74</v>
      </c>
      <c r="J466" s="2" t="s">
        <v>7022</v>
      </c>
      <c r="K466" s="2" t="s">
        <v>71</v>
      </c>
      <c r="L466" s="5" t="n">
        <v>300</v>
      </c>
    </row>
    <row r="467" customFormat="false" ht="23.85" hidden="false" customHeight="false" outlineLevel="0" collapsed="false">
      <c r="A467" s="5" t="s">
        <v>3166</v>
      </c>
      <c r="B467" s="2" t="s">
        <v>3167</v>
      </c>
      <c r="C467" s="5" t="s">
        <v>2245</v>
      </c>
      <c r="D467" s="5" t="s">
        <v>71</v>
      </c>
      <c r="E467" s="2" t="s">
        <v>3130</v>
      </c>
      <c r="F467" s="2"/>
      <c r="G467" s="2" t="s">
        <v>3168</v>
      </c>
      <c r="H467" s="2" t="s">
        <v>3132</v>
      </c>
      <c r="I467" s="5" t="s">
        <v>74</v>
      </c>
      <c r="J467" s="2" t="s">
        <v>7023</v>
      </c>
      <c r="K467" s="2" t="s">
        <v>71</v>
      </c>
      <c r="L467" s="5" t="n">
        <v>300</v>
      </c>
    </row>
    <row r="468" customFormat="false" ht="35.05" hidden="false" customHeight="false" outlineLevel="0" collapsed="false">
      <c r="A468" s="5" t="s">
        <v>3171</v>
      </c>
      <c r="B468" s="2" t="s">
        <v>3172</v>
      </c>
      <c r="C468" s="5" t="s">
        <v>2128</v>
      </c>
      <c r="D468" s="5" t="s">
        <v>71</v>
      </c>
      <c r="E468" s="2" t="s">
        <v>1105</v>
      </c>
      <c r="F468" s="2"/>
      <c r="G468" s="2" t="s">
        <v>3173</v>
      </c>
      <c r="H468" s="2" t="s">
        <v>1176</v>
      </c>
      <c r="I468" s="5" t="s">
        <v>74</v>
      </c>
      <c r="J468" s="2" t="s">
        <v>7024</v>
      </c>
      <c r="K468" s="2" t="s">
        <v>71</v>
      </c>
      <c r="L468" s="5" t="n">
        <v>300</v>
      </c>
    </row>
    <row r="469" customFormat="false" ht="35.05" hidden="false" customHeight="false" outlineLevel="0" collapsed="false">
      <c r="A469" s="5" t="s">
        <v>3176</v>
      </c>
      <c r="B469" s="2" t="s">
        <v>3177</v>
      </c>
      <c r="C469" s="5" t="s">
        <v>2128</v>
      </c>
      <c r="D469" s="5" t="s">
        <v>71</v>
      </c>
      <c r="E469" s="2" t="s">
        <v>1105</v>
      </c>
      <c r="F469" s="2"/>
      <c r="G469" s="2" t="s">
        <v>3178</v>
      </c>
      <c r="H469" s="2" t="s">
        <v>1176</v>
      </c>
      <c r="I469" s="5" t="s">
        <v>74</v>
      </c>
      <c r="J469" s="2" t="s">
        <v>7025</v>
      </c>
      <c r="K469" s="2" t="s">
        <v>71</v>
      </c>
      <c r="L469" s="5" t="n">
        <v>300</v>
      </c>
    </row>
    <row r="470" customFormat="false" ht="79.85" hidden="false" customHeight="false" outlineLevel="0" collapsed="false">
      <c r="A470" s="5" t="s">
        <v>3181</v>
      </c>
      <c r="B470" s="2" t="s">
        <v>3182</v>
      </c>
      <c r="C470" s="5" t="s">
        <v>2245</v>
      </c>
      <c r="D470" s="5" t="s">
        <v>71</v>
      </c>
      <c r="E470" s="2" t="s">
        <v>3183</v>
      </c>
      <c r="F470" s="2"/>
      <c r="G470" s="2" t="s">
        <v>3184</v>
      </c>
      <c r="H470" s="2" t="s">
        <v>3185</v>
      </c>
      <c r="I470" s="5" t="s">
        <v>74</v>
      </c>
      <c r="J470" s="2" t="s">
        <v>7026</v>
      </c>
      <c r="K470" s="2" t="s">
        <v>71</v>
      </c>
      <c r="L470" s="5" t="n">
        <v>300</v>
      </c>
    </row>
    <row r="471" customFormat="false" ht="35.05" hidden="false" customHeight="false" outlineLevel="0" collapsed="false">
      <c r="A471" s="5" t="s">
        <v>3189</v>
      </c>
      <c r="B471" s="2" t="s">
        <v>3190</v>
      </c>
      <c r="C471" s="5" t="s">
        <v>2245</v>
      </c>
      <c r="D471" s="5" t="s">
        <v>71</v>
      </c>
      <c r="E471" s="2" t="s">
        <v>3130</v>
      </c>
      <c r="F471" s="2"/>
      <c r="G471" s="2" t="s">
        <v>3191</v>
      </c>
      <c r="H471" s="2" t="s">
        <v>3132</v>
      </c>
      <c r="I471" s="5" t="s">
        <v>74</v>
      </c>
      <c r="J471" s="2" t="s">
        <v>7027</v>
      </c>
      <c r="K471" s="2" t="s">
        <v>71</v>
      </c>
      <c r="L471" s="5" t="n">
        <v>300</v>
      </c>
    </row>
    <row r="472" customFormat="false" ht="23.85" hidden="false" customHeight="false" outlineLevel="0" collapsed="false">
      <c r="A472" s="5" t="s">
        <v>3194</v>
      </c>
      <c r="B472" s="2" t="s">
        <v>3195</v>
      </c>
      <c r="C472" s="5" t="s">
        <v>2128</v>
      </c>
      <c r="D472" s="5" t="s">
        <v>71</v>
      </c>
      <c r="E472" s="2" t="s">
        <v>1114</v>
      </c>
      <c r="F472" s="2"/>
      <c r="G472" s="2" t="s">
        <v>3197</v>
      </c>
      <c r="H472" s="2" t="s">
        <v>3198</v>
      </c>
      <c r="I472" s="5" t="s">
        <v>74</v>
      </c>
      <c r="J472" s="2" t="s">
        <v>7028</v>
      </c>
      <c r="K472" s="2" t="s">
        <v>71</v>
      </c>
      <c r="L472" s="5" t="n">
        <v>300</v>
      </c>
    </row>
    <row r="473" customFormat="false" ht="35.05" hidden="false" customHeight="false" outlineLevel="0" collapsed="false">
      <c r="A473" s="5" t="s">
        <v>3201</v>
      </c>
      <c r="B473" s="2" t="s">
        <v>3202</v>
      </c>
      <c r="C473" s="5" t="s">
        <v>2128</v>
      </c>
      <c r="D473" s="5" t="s">
        <v>71</v>
      </c>
      <c r="E473" s="2" t="s">
        <v>3203</v>
      </c>
      <c r="F473" s="2"/>
      <c r="G473" s="2" t="s">
        <v>3204</v>
      </c>
      <c r="H473" s="2" t="s">
        <v>3205</v>
      </c>
      <c r="I473" s="5" t="s">
        <v>74</v>
      </c>
      <c r="J473" s="2" t="s">
        <v>7029</v>
      </c>
      <c r="K473" s="2" t="s">
        <v>71</v>
      </c>
      <c r="L473" s="5" t="n">
        <v>300</v>
      </c>
    </row>
    <row r="474" customFormat="false" ht="46.25" hidden="false" customHeight="false" outlineLevel="0" collapsed="false">
      <c r="A474" s="5" t="s">
        <v>3209</v>
      </c>
      <c r="B474" s="2" t="s">
        <v>3210</v>
      </c>
      <c r="C474" s="5" t="s">
        <v>2128</v>
      </c>
      <c r="D474" s="5" t="s">
        <v>71</v>
      </c>
      <c r="E474" s="2" t="s">
        <v>3212</v>
      </c>
      <c r="F474" s="2"/>
      <c r="G474" s="2" t="s">
        <v>3213</v>
      </c>
      <c r="H474" s="2" t="s">
        <v>3214</v>
      </c>
      <c r="I474" s="5" t="s">
        <v>74</v>
      </c>
      <c r="J474" s="2" t="s">
        <v>7030</v>
      </c>
      <c r="K474" s="2" t="s">
        <v>71</v>
      </c>
      <c r="L474" s="5" t="n">
        <v>300</v>
      </c>
    </row>
    <row r="475" customFormat="false" ht="91" hidden="false" customHeight="false" outlineLevel="0" collapsed="false">
      <c r="A475" s="5" t="s">
        <v>3218</v>
      </c>
      <c r="B475" s="2" t="s">
        <v>3219</v>
      </c>
      <c r="C475" s="5" t="s">
        <v>2128</v>
      </c>
      <c r="D475" s="5" t="s">
        <v>71</v>
      </c>
      <c r="E475" s="2" t="s">
        <v>3212</v>
      </c>
      <c r="F475" s="2"/>
      <c r="G475" s="2" t="s">
        <v>3220</v>
      </c>
      <c r="H475" s="2" t="s">
        <v>3214</v>
      </c>
      <c r="I475" s="5" t="s">
        <v>74</v>
      </c>
      <c r="J475" s="2" t="s">
        <v>7031</v>
      </c>
      <c r="K475" s="2" t="s">
        <v>71</v>
      </c>
      <c r="L475" s="5" t="n">
        <v>300</v>
      </c>
    </row>
    <row r="476" customFormat="false" ht="15" hidden="false" customHeight="false" outlineLevel="0" collapsed="false">
      <c r="A476" s="5" t="s">
        <v>3223</v>
      </c>
      <c r="B476" s="2" t="s">
        <v>3224</v>
      </c>
      <c r="C476" s="5" t="s">
        <v>2128</v>
      </c>
      <c r="D476" s="5" t="s">
        <v>71</v>
      </c>
      <c r="E476" s="2" t="s">
        <v>3226</v>
      </c>
      <c r="F476" s="2"/>
      <c r="G476" s="2"/>
      <c r="H476" s="2" t="s">
        <v>1098</v>
      </c>
      <c r="I476" s="5" t="s">
        <v>74</v>
      </c>
      <c r="J476" s="2" t="s">
        <v>7032</v>
      </c>
      <c r="K476" s="2" t="s">
        <v>71</v>
      </c>
      <c r="L476" s="5" t="n">
        <v>300</v>
      </c>
    </row>
    <row r="477" customFormat="false" ht="35.05" hidden="false" customHeight="false" outlineLevel="0" collapsed="false">
      <c r="A477" s="5" t="s">
        <v>3230</v>
      </c>
      <c r="B477" s="2" t="s">
        <v>3231</v>
      </c>
      <c r="C477" s="5" t="s">
        <v>2245</v>
      </c>
      <c r="D477" s="5" t="s">
        <v>71</v>
      </c>
      <c r="E477" s="2" t="s">
        <v>1160</v>
      </c>
      <c r="F477" s="2"/>
      <c r="G477" s="2" t="s">
        <v>3233</v>
      </c>
      <c r="H477" s="2" t="s">
        <v>1162</v>
      </c>
      <c r="I477" s="5" t="s">
        <v>74</v>
      </c>
      <c r="J477" s="2" t="s">
        <v>7033</v>
      </c>
      <c r="K477" s="2" t="s">
        <v>71</v>
      </c>
      <c r="L477" s="5" t="n">
        <v>300</v>
      </c>
    </row>
    <row r="478" customFormat="false" ht="91" hidden="false" customHeight="false" outlineLevel="0" collapsed="false">
      <c r="A478" s="5" t="s">
        <v>3236</v>
      </c>
      <c r="B478" s="2" t="s">
        <v>3237</v>
      </c>
      <c r="C478" s="5" t="s">
        <v>2245</v>
      </c>
      <c r="D478" s="5" t="s">
        <v>71</v>
      </c>
      <c r="E478" s="2" t="s">
        <v>3238</v>
      </c>
      <c r="F478" s="2"/>
      <c r="G478" s="2" t="s">
        <v>3239</v>
      </c>
      <c r="H478" s="2" t="s">
        <v>3240</v>
      </c>
      <c r="I478" s="5" t="s">
        <v>74</v>
      </c>
      <c r="J478" s="2" t="s">
        <v>7034</v>
      </c>
      <c r="K478" s="2" t="s">
        <v>71</v>
      </c>
      <c r="L478" s="5" t="n">
        <v>300</v>
      </c>
    </row>
    <row r="479" customFormat="false" ht="23.85" hidden="false" customHeight="false" outlineLevel="0" collapsed="false">
      <c r="A479" s="5" t="s">
        <v>3244</v>
      </c>
      <c r="B479" s="2" t="s">
        <v>3245</v>
      </c>
      <c r="C479" s="5" t="s">
        <v>2128</v>
      </c>
      <c r="D479" s="5" t="s">
        <v>71</v>
      </c>
      <c r="E479" s="2" t="s">
        <v>1533</v>
      </c>
      <c r="F479" s="2"/>
      <c r="G479" s="2" t="s">
        <v>3246</v>
      </c>
      <c r="H479" s="2" t="s">
        <v>3247</v>
      </c>
      <c r="I479" s="5" t="s">
        <v>74</v>
      </c>
      <c r="J479" s="2" t="s">
        <v>7035</v>
      </c>
      <c r="K479" s="2" t="s">
        <v>71</v>
      </c>
      <c r="L479" s="5" t="n">
        <v>300</v>
      </c>
    </row>
    <row r="480" customFormat="false" ht="180.55" hidden="false" customHeight="false" outlineLevel="0" collapsed="false">
      <c r="A480" s="5" t="s">
        <v>3250</v>
      </c>
      <c r="B480" s="2" t="s">
        <v>3251</v>
      </c>
      <c r="C480" s="5" t="s">
        <v>2245</v>
      </c>
      <c r="D480" s="5" t="s">
        <v>71</v>
      </c>
      <c r="E480" s="2" t="s">
        <v>1160</v>
      </c>
      <c r="F480" s="2"/>
      <c r="G480" s="2" t="s">
        <v>3253</v>
      </c>
      <c r="H480" s="2" t="s">
        <v>1162</v>
      </c>
      <c r="I480" s="5" t="s">
        <v>74</v>
      </c>
      <c r="J480" s="2" t="s">
        <v>7036</v>
      </c>
      <c r="K480" s="2" t="s">
        <v>71</v>
      </c>
      <c r="L480" s="5" t="n">
        <v>300</v>
      </c>
    </row>
    <row r="481" customFormat="false" ht="35.05" hidden="false" customHeight="false" outlineLevel="0" collapsed="false">
      <c r="A481" s="5" t="s">
        <v>3256</v>
      </c>
      <c r="B481" s="2" t="s">
        <v>3257</v>
      </c>
      <c r="C481" s="5" t="s">
        <v>2128</v>
      </c>
      <c r="D481" s="5" t="s">
        <v>71</v>
      </c>
      <c r="E481" s="2" t="s">
        <v>3258</v>
      </c>
      <c r="F481" s="2"/>
      <c r="G481" s="2" t="s">
        <v>3259</v>
      </c>
      <c r="H481" s="2" t="s">
        <v>3111</v>
      </c>
      <c r="I481" s="5" t="s">
        <v>74</v>
      </c>
      <c r="J481" s="2" t="s">
        <v>7037</v>
      </c>
      <c r="K481" s="2" t="s">
        <v>71</v>
      </c>
      <c r="L481" s="5" t="n">
        <v>300</v>
      </c>
    </row>
    <row r="482" customFormat="false" ht="57.45" hidden="false" customHeight="false" outlineLevel="0" collapsed="false">
      <c r="A482" s="5" t="s">
        <v>3262</v>
      </c>
      <c r="B482" s="2" t="s">
        <v>3263</v>
      </c>
      <c r="C482" s="5" t="s">
        <v>2128</v>
      </c>
      <c r="D482" s="5" t="s">
        <v>71</v>
      </c>
      <c r="E482" s="2" t="s">
        <v>1105</v>
      </c>
      <c r="F482" s="2"/>
      <c r="G482" s="2" t="s">
        <v>3264</v>
      </c>
      <c r="H482" s="2" t="s">
        <v>3265</v>
      </c>
      <c r="I482" s="5" t="s">
        <v>74</v>
      </c>
      <c r="J482" s="2" t="s">
        <v>7038</v>
      </c>
      <c r="K482" s="2" t="s">
        <v>71</v>
      </c>
      <c r="L482" s="5" t="n">
        <v>300</v>
      </c>
    </row>
    <row r="483" customFormat="false" ht="147" hidden="false" customHeight="false" outlineLevel="0" collapsed="false">
      <c r="A483" s="5" t="s">
        <v>3268</v>
      </c>
      <c r="B483" s="2" t="s">
        <v>3269</v>
      </c>
      <c r="C483" s="5" t="s">
        <v>2128</v>
      </c>
      <c r="D483" s="5" t="s">
        <v>71</v>
      </c>
      <c r="E483" s="2" t="s">
        <v>1105</v>
      </c>
      <c r="F483" s="2"/>
      <c r="G483" s="2" t="s">
        <v>3270</v>
      </c>
      <c r="H483" s="2" t="s">
        <v>3271</v>
      </c>
      <c r="I483" s="5" t="s">
        <v>74</v>
      </c>
      <c r="J483" s="2" t="s">
        <v>7039</v>
      </c>
      <c r="K483" s="2" t="s">
        <v>71</v>
      </c>
      <c r="L483" s="5" t="n">
        <v>300</v>
      </c>
    </row>
    <row r="484" customFormat="false" ht="23.85" hidden="false" customHeight="false" outlineLevel="0" collapsed="false">
      <c r="A484" s="5" t="s">
        <v>3274</v>
      </c>
      <c r="B484" s="2" t="s">
        <v>3275</v>
      </c>
      <c r="C484" s="5" t="s">
        <v>2128</v>
      </c>
      <c r="D484" s="5" t="s">
        <v>71</v>
      </c>
      <c r="E484" s="2" t="s">
        <v>3277</v>
      </c>
      <c r="F484" s="2"/>
      <c r="G484" s="2"/>
      <c r="H484" s="2" t="s">
        <v>1098</v>
      </c>
      <c r="I484" s="5" t="s">
        <v>74</v>
      </c>
      <c r="J484" s="2" t="s">
        <v>7040</v>
      </c>
      <c r="K484" s="2" t="s">
        <v>71</v>
      </c>
      <c r="L484" s="5" t="n">
        <v>300</v>
      </c>
    </row>
    <row r="485" customFormat="false" ht="15" hidden="false" customHeight="false" outlineLevel="0" collapsed="false">
      <c r="A485" s="5" t="s">
        <v>3280</v>
      </c>
      <c r="B485" s="2" t="s">
        <v>3281</v>
      </c>
      <c r="C485" s="5" t="s">
        <v>2128</v>
      </c>
      <c r="D485" s="5" t="s">
        <v>71</v>
      </c>
      <c r="E485" s="2" t="s">
        <v>3282</v>
      </c>
      <c r="F485" s="2"/>
      <c r="G485" s="2" t="s">
        <v>3283</v>
      </c>
      <c r="H485" s="2" t="s">
        <v>3284</v>
      </c>
      <c r="I485" s="5" t="s">
        <v>74</v>
      </c>
      <c r="J485" s="2" t="s">
        <v>7041</v>
      </c>
      <c r="K485" s="2" t="s">
        <v>71</v>
      </c>
      <c r="L485" s="5" t="n">
        <v>300</v>
      </c>
    </row>
    <row r="486" customFormat="false" ht="23.85" hidden="false" customHeight="false" outlineLevel="0" collapsed="false">
      <c r="A486" s="5" t="s">
        <v>3287</v>
      </c>
      <c r="B486" s="2" t="s">
        <v>3288</v>
      </c>
      <c r="C486" s="5" t="s">
        <v>2245</v>
      </c>
      <c r="D486" s="5" t="s">
        <v>71</v>
      </c>
      <c r="E486" s="2" t="s">
        <v>1105</v>
      </c>
      <c r="F486" s="2"/>
      <c r="G486" s="2" t="s">
        <v>3291</v>
      </c>
      <c r="H486" s="2" t="s">
        <v>1139</v>
      </c>
      <c r="I486" s="5" t="s">
        <v>74</v>
      </c>
      <c r="J486" s="2" t="s">
        <v>7042</v>
      </c>
      <c r="K486" s="2" t="s">
        <v>71</v>
      </c>
      <c r="L486" s="5" t="n">
        <v>300</v>
      </c>
    </row>
    <row r="487" customFormat="false" ht="91" hidden="false" customHeight="false" outlineLevel="0" collapsed="false">
      <c r="A487" s="5" t="s">
        <v>3294</v>
      </c>
      <c r="B487" s="2" t="s">
        <v>3295</v>
      </c>
      <c r="C487" s="5" t="s">
        <v>2128</v>
      </c>
      <c r="D487" s="5" t="s">
        <v>71</v>
      </c>
      <c r="E487" s="2" t="s">
        <v>1457</v>
      </c>
      <c r="F487" s="2"/>
      <c r="G487" s="2" t="s">
        <v>3298</v>
      </c>
      <c r="H487" s="2" t="s">
        <v>3299</v>
      </c>
      <c r="I487" s="5" t="s">
        <v>74</v>
      </c>
      <c r="J487" s="2" t="s">
        <v>7043</v>
      </c>
      <c r="K487" s="2" t="s">
        <v>71</v>
      </c>
      <c r="L487" s="5" t="n">
        <v>300</v>
      </c>
    </row>
    <row r="488" customFormat="false" ht="79.85" hidden="false" customHeight="false" outlineLevel="0" collapsed="false">
      <c r="A488" s="5" t="s">
        <v>3302</v>
      </c>
      <c r="B488" s="2" t="s">
        <v>3303</v>
      </c>
      <c r="C488" s="5" t="s">
        <v>2128</v>
      </c>
      <c r="D488" s="5" t="s">
        <v>71</v>
      </c>
      <c r="E488" s="2" t="s">
        <v>1457</v>
      </c>
      <c r="F488" s="2"/>
      <c r="G488" s="2" t="s">
        <v>3304</v>
      </c>
      <c r="H488" s="2" t="s">
        <v>3299</v>
      </c>
      <c r="I488" s="5" t="s">
        <v>74</v>
      </c>
      <c r="J488" s="2" t="s">
        <v>7044</v>
      </c>
      <c r="K488" s="2" t="s">
        <v>71</v>
      </c>
      <c r="L488" s="5" t="n">
        <v>300</v>
      </c>
    </row>
    <row r="489" customFormat="false" ht="91" hidden="false" customHeight="false" outlineLevel="0" collapsed="false">
      <c r="A489" s="5" t="s">
        <v>3307</v>
      </c>
      <c r="B489" s="2" t="s">
        <v>3308</v>
      </c>
      <c r="C489" s="5" t="s">
        <v>2128</v>
      </c>
      <c r="D489" s="5" t="s">
        <v>71</v>
      </c>
      <c r="E489" s="2" t="s">
        <v>3310</v>
      </c>
      <c r="F489" s="2"/>
      <c r="G489" s="2" t="s">
        <v>3311</v>
      </c>
      <c r="H489" s="2" t="s">
        <v>2019</v>
      </c>
      <c r="I489" s="5" t="s">
        <v>74</v>
      </c>
      <c r="J489" s="2" t="s">
        <v>7045</v>
      </c>
      <c r="K489" s="2" t="s">
        <v>71</v>
      </c>
      <c r="L489" s="5" t="n">
        <v>300</v>
      </c>
    </row>
    <row r="490" customFormat="false" ht="91" hidden="false" customHeight="false" outlineLevel="0" collapsed="false">
      <c r="A490" s="5" t="s">
        <v>3314</v>
      </c>
      <c r="B490" s="2" t="s">
        <v>3315</v>
      </c>
      <c r="C490" s="5" t="s">
        <v>2128</v>
      </c>
      <c r="D490" s="5" t="s">
        <v>71</v>
      </c>
      <c r="E490" s="2" t="s">
        <v>3310</v>
      </c>
      <c r="F490" s="2"/>
      <c r="G490" s="2" t="s">
        <v>3316</v>
      </c>
      <c r="H490" s="2" t="s">
        <v>2019</v>
      </c>
      <c r="I490" s="5" t="s">
        <v>74</v>
      </c>
      <c r="J490" s="2" t="s">
        <v>7046</v>
      </c>
      <c r="K490" s="2" t="s">
        <v>71</v>
      </c>
      <c r="L490" s="5" t="n">
        <v>300</v>
      </c>
    </row>
    <row r="491" customFormat="false" ht="35.05" hidden="false" customHeight="false" outlineLevel="0" collapsed="false">
      <c r="A491" s="5" t="s">
        <v>3319</v>
      </c>
      <c r="B491" s="2" t="s">
        <v>3320</v>
      </c>
      <c r="C491" s="5" t="s">
        <v>2128</v>
      </c>
      <c r="D491" s="5" t="s">
        <v>71</v>
      </c>
      <c r="E491" s="2" t="s">
        <v>3310</v>
      </c>
      <c r="F491" s="2"/>
      <c r="G491" s="2" t="s">
        <v>3321</v>
      </c>
      <c r="H491" s="2" t="s">
        <v>3322</v>
      </c>
      <c r="I491" s="5" t="s">
        <v>74</v>
      </c>
      <c r="J491" s="2" t="s">
        <v>7047</v>
      </c>
      <c r="K491" s="2" t="s">
        <v>71</v>
      </c>
      <c r="L491" s="5" t="n">
        <v>300</v>
      </c>
    </row>
    <row r="492" customFormat="false" ht="23.85" hidden="false" customHeight="false" outlineLevel="0" collapsed="false">
      <c r="A492" s="5" t="s">
        <v>3325</v>
      </c>
      <c r="B492" s="2" t="s">
        <v>3326</v>
      </c>
      <c r="C492" s="5" t="s">
        <v>2245</v>
      </c>
      <c r="D492" s="5" t="s">
        <v>71</v>
      </c>
      <c r="E492" s="2" t="s">
        <v>3327</v>
      </c>
      <c r="F492" s="2"/>
      <c r="G492" s="2" t="s">
        <v>3328</v>
      </c>
      <c r="H492" s="2" t="s">
        <v>3329</v>
      </c>
      <c r="I492" s="5" t="s">
        <v>74</v>
      </c>
      <c r="J492" s="2" t="s">
        <v>7048</v>
      </c>
      <c r="K492" s="2" t="s">
        <v>71</v>
      </c>
      <c r="L492" s="5" t="n">
        <v>300</v>
      </c>
    </row>
    <row r="493" customFormat="false" ht="23.85" hidden="false" customHeight="false" outlineLevel="0" collapsed="false">
      <c r="A493" s="5" t="s">
        <v>3333</v>
      </c>
      <c r="B493" s="2" t="s">
        <v>3334</v>
      </c>
      <c r="C493" s="5" t="s">
        <v>2245</v>
      </c>
      <c r="D493" s="5" t="s">
        <v>71</v>
      </c>
      <c r="E493" s="2" t="s">
        <v>3327</v>
      </c>
      <c r="F493" s="2"/>
      <c r="G493" s="2" t="s">
        <v>3335</v>
      </c>
      <c r="H493" s="2" t="s">
        <v>3329</v>
      </c>
      <c r="I493" s="5" t="s">
        <v>74</v>
      </c>
      <c r="J493" s="2" t="s">
        <v>7049</v>
      </c>
      <c r="K493" s="2" t="s">
        <v>71</v>
      </c>
      <c r="L493" s="5" t="n">
        <v>300</v>
      </c>
    </row>
    <row r="494" customFormat="false" ht="23.85" hidden="false" customHeight="false" outlineLevel="0" collapsed="false">
      <c r="A494" s="5" t="s">
        <v>3338</v>
      </c>
      <c r="B494" s="2" t="s">
        <v>3339</v>
      </c>
      <c r="C494" s="5" t="s">
        <v>2128</v>
      </c>
      <c r="D494" s="5" t="s">
        <v>71</v>
      </c>
      <c r="E494" s="2" t="s">
        <v>1105</v>
      </c>
      <c r="F494" s="2"/>
      <c r="G494" s="2" t="s">
        <v>3340</v>
      </c>
      <c r="H494" s="2" t="s">
        <v>1176</v>
      </c>
      <c r="I494" s="5" t="s">
        <v>74</v>
      </c>
      <c r="J494" s="2" t="s">
        <v>7050</v>
      </c>
      <c r="K494" s="2" t="s">
        <v>71</v>
      </c>
      <c r="L494" s="5" t="n">
        <v>300</v>
      </c>
    </row>
    <row r="495" customFormat="false" ht="23.85" hidden="false" customHeight="false" outlineLevel="0" collapsed="false">
      <c r="A495" s="5" t="s">
        <v>3343</v>
      </c>
      <c r="B495" s="2" t="s">
        <v>3344</v>
      </c>
      <c r="C495" s="5" t="s">
        <v>2128</v>
      </c>
      <c r="D495" s="5" t="s">
        <v>71</v>
      </c>
      <c r="E495" s="2" t="s">
        <v>1105</v>
      </c>
      <c r="F495" s="2"/>
      <c r="G495" s="2" t="s">
        <v>3345</v>
      </c>
      <c r="H495" s="2" t="s">
        <v>3265</v>
      </c>
      <c r="I495" s="5" t="s">
        <v>74</v>
      </c>
      <c r="J495" s="2" t="s">
        <v>7051</v>
      </c>
      <c r="K495" s="2" t="s">
        <v>71</v>
      </c>
      <c r="L495" s="5" t="n">
        <v>300</v>
      </c>
    </row>
    <row r="496" customFormat="false" ht="23.85" hidden="false" customHeight="false" outlineLevel="0" collapsed="false">
      <c r="A496" s="5" t="s">
        <v>3348</v>
      </c>
      <c r="B496" s="2" t="s">
        <v>3349</v>
      </c>
      <c r="C496" s="5" t="s">
        <v>2128</v>
      </c>
      <c r="D496" s="5" t="s">
        <v>71</v>
      </c>
      <c r="E496" s="2" t="s">
        <v>1105</v>
      </c>
      <c r="F496" s="2"/>
      <c r="G496" s="2" t="s">
        <v>3350</v>
      </c>
      <c r="H496" s="2" t="s">
        <v>1176</v>
      </c>
      <c r="I496" s="5" t="s">
        <v>74</v>
      </c>
      <c r="J496" s="2" t="s">
        <v>7052</v>
      </c>
      <c r="K496" s="2" t="s">
        <v>71</v>
      </c>
      <c r="L496" s="5" t="n">
        <v>300</v>
      </c>
    </row>
    <row r="497" customFormat="false" ht="46.25" hidden="false" customHeight="false" outlineLevel="0" collapsed="false">
      <c r="A497" s="5" t="s">
        <v>3353</v>
      </c>
      <c r="B497" s="2" t="s">
        <v>3354</v>
      </c>
      <c r="C497" s="5" t="s">
        <v>2245</v>
      </c>
      <c r="D497" s="5" t="s">
        <v>71</v>
      </c>
      <c r="E497" s="2" t="s">
        <v>3356</v>
      </c>
      <c r="F497" s="2"/>
      <c r="G497" s="2"/>
      <c r="H497" s="2" t="s">
        <v>1098</v>
      </c>
      <c r="I497" s="5" t="s">
        <v>74</v>
      </c>
      <c r="J497" s="2" t="s">
        <v>7053</v>
      </c>
      <c r="K497" s="2" t="s">
        <v>71</v>
      </c>
      <c r="L497" s="5" t="n">
        <v>300</v>
      </c>
    </row>
    <row r="498" customFormat="false" ht="91" hidden="false" customHeight="false" outlineLevel="0" collapsed="false">
      <c r="A498" s="5" t="s">
        <v>3359</v>
      </c>
      <c r="B498" s="2" t="s">
        <v>3360</v>
      </c>
      <c r="C498" s="5" t="s">
        <v>2128</v>
      </c>
      <c r="D498" s="5" t="s">
        <v>71</v>
      </c>
      <c r="E498" s="2" t="s">
        <v>1105</v>
      </c>
      <c r="F498" s="2"/>
      <c r="G498" s="2" t="s">
        <v>3361</v>
      </c>
      <c r="H498" s="2" t="s">
        <v>3362</v>
      </c>
      <c r="I498" s="5" t="s">
        <v>74</v>
      </c>
      <c r="J498" s="2" t="s">
        <v>7054</v>
      </c>
      <c r="K498" s="2" t="s">
        <v>71</v>
      </c>
      <c r="L498" s="5" t="n">
        <v>300</v>
      </c>
    </row>
    <row r="499" customFormat="false" ht="113.4" hidden="false" customHeight="false" outlineLevel="0" collapsed="false">
      <c r="A499" s="5" t="s">
        <v>3365</v>
      </c>
      <c r="B499" s="2" t="s">
        <v>3366</v>
      </c>
      <c r="C499" s="5" t="s">
        <v>2128</v>
      </c>
      <c r="D499" s="5" t="s">
        <v>71</v>
      </c>
      <c r="E499" s="2" t="s">
        <v>1198</v>
      </c>
      <c r="F499" s="2"/>
      <c r="G499" s="2" t="s">
        <v>3367</v>
      </c>
      <c r="H499" s="2" t="s">
        <v>1200</v>
      </c>
      <c r="I499" s="5" t="s">
        <v>74</v>
      </c>
      <c r="J499" s="2" t="s">
        <v>7055</v>
      </c>
      <c r="K499" s="2" t="s">
        <v>71</v>
      </c>
      <c r="L499" s="5" t="n">
        <v>300</v>
      </c>
    </row>
    <row r="500" customFormat="false" ht="23.85" hidden="false" customHeight="false" outlineLevel="0" collapsed="false">
      <c r="A500" s="5" t="s">
        <v>3370</v>
      </c>
      <c r="B500" s="2" t="s">
        <v>3371</v>
      </c>
      <c r="C500" s="5" t="s">
        <v>2128</v>
      </c>
      <c r="D500" s="5" t="s">
        <v>71</v>
      </c>
      <c r="E500" s="2" t="s">
        <v>3373</v>
      </c>
      <c r="F500" s="2"/>
      <c r="G500" s="2" t="s">
        <v>3374</v>
      </c>
      <c r="H500" s="2" t="s">
        <v>3375</v>
      </c>
      <c r="I500" s="5" t="s">
        <v>74</v>
      </c>
      <c r="J500" s="2" t="s">
        <v>7056</v>
      </c>
      <c r="K500" s="2" t="s">
        <v>71</v>
      </c>
      <c r="L500" s="5" t="n">
        <v>300</v>
      </c>
    </row>
    <row r="501" customFormat="false" ht="23.85" hidden="false" customHeight="false" outlineLevel="0" collapsed="false">
      <c r="A501" s="5" t="s">
        <v>3379</v>
      </c>
      <c r="B501" s="2" t="s">
        <v>3380</v>
      </c>
      <c r="C501" s="5" t="s">
        <v>2128</v>
      </c>
      <c r="D501" s="5" t="s">
        <v>71</v>
      </c>
      <c r="E501" s="2" t="s">
        <v>3381</v>
      </c>
      <c r="F501" s="2"/>
      <c r="G501" s="2" t="s">
        <v>3382</v>
      </c>
      <c r="H501" s="2" t="s">
        <v>1098</v>
      </c>
      <c r="I501" s="5" t="s">
        <v>74</v>
      </c>
      <c r="J501" s="2" t="s">
        <v>7057</v>
      </c>
      <c r="K501" s="2" t="s">
        <v>71</v>
      </c>
      <c r="L501" s="5" t="n">
        <v>300</v>
      </c>
    </row>
    <row r="502" customFormat="false" ht="15" hidden="false" customHeight="false" outlineLevel="0" collapsed="false">
      <c r="A502" s="5" t="s">
        <v>3386</v>
      </c>
      <c r="B502" s="2" t="s">
        <v>3387</v>
      </c>
      <c r="C502" s="5" t="s">
        <v>2128</v>
      </c>
      <c r="D502" s="5" t="s">
        <v>71</v>
      </c>
      <c r="E502" s="2" t="s">
        <v>3381</v>
      </c>
      <c r="F502" s="2"/>
      <c r="G502" s="2" t="s">
        <v>3388</v>
      </c>
      <c r="H502" s="2" t="s">
        <v>1098</v>
      </c>
      <c r="I502" s="5" t="s">
        <v>74</v>
      </c>
      <c r="J502" s="2" t="s">
        <v>7058</v>
      </c>
      <c r="K502" s="2" t="s">
        <v>71</v>
      </c>
      <c r="L502" s="5" t="n">
        <v>300</v>
      </c>
    </row>
    <row r="503" customFormat="false" ht="23.85" hidden="false" customHeight="false" outlineLevel="0" collapsed="false">
      <c r="A503" s="5" t="s">
        <v>3391</v>
      </c>
      <c r="B503" s="2" t="s">
        <v>3392</v>
      </c>
      <c r="C503" s="5" t="s">
        <v>2245</v>
      </c>
      <c r="D503" s="5" t="s">
        <v>71</v>
      </c>
      <c r="E503" s="2" t="s">
        <v>3130</v>
      </c>
      <c r="F503" s="2"/>
      <c r="G503" s="2" t="s">
        <v>3393</v>
      </c>
      <c r="H503" s="2" t="s">
        <v>3132</v>
      </c>
      <c r="I503" s="5" t="s">
        <v>74</v>
      </c>
      <c r="J503" s="2" t="s">
        <v>7059</v>
      </c>
      <c r="K503" s="2" t="s">
        <v>71</v>
      </c>
      <c r="L503" s="5" t="n">
        <v>300</v>
      </c>
    </row>
    <row r="504" customFormat="false" ht="35.05" hidden="false" customHeight="false" outlineLevel="0" collapsed="false">
      <c r="A504" s="5" t="s">
        <v>3396</v>
      </c>
      <c r="B504" s="2" t="s">
        <v>3397</v>
      </c>
      <c r="C504" s="5" t="s">
        <v>2128</v>
      </c>
      <c r="D504" s="5" t="s">
        <v>71</v>
      </c>
      <c r="E504" s="2" t="s">
        <v>1221</v>
      </c>
      <c r="F504" s="2"/>
      <c r="G504" s="2" t="s">
        <v>3398</v>
      </c>
      <c r="H504" s="2" t="s">
        <v>1302</v>
      </c>
      <c r="I504" s="5" t="s">
        <v>74</v>
      </c>
      <c r="J504" s="2" t="s">
        <v>7060</v>
      </c>
      <c r="K504" s="2" t="s">
        <v>71</v>
      </c>
      <c r="L504" s="5" t="n">
        <v>300</v>
      </c>
    </row>
    <row r="505" customFormat="false" ht="15" hidden="false" customHeight="false" outlineLevel="0" collapsed="false">
      <c r="A505" s="5" t="s">
        <v>3401</v>
      </c>
      <c r="B505" s="2" t="s">
        <v>3402</v>
      </c>
      <c r="C505" s="5" t="s">
        <v>2128</v>
      </c>
      <c r="D505" s="5" t="s">
        <v>71</v>
      </c>
      <c r="E505" s="2" t="s">
        <v>1612</v>
      </c>
      <c r="F505" s="2"/>
      <c r="G505" s="2" t="s">
        <v>3403</v>
      </c>
      <c r="H505" s="2" t="s">
        <v>1614</v>
      </c>
      <c r="I505" s="5" t="s">
        <v>74</v>
      </c>
      <c r="J505" s="2" t="s">
        <v>7061</v>
      </c>
      <c r="K505" s="2" t="s">
        <v>71</v>
      </c>
      <c r="L505" s="5" t="n">
        <v>300</v>
      </c>
    </row>
    <row r="506" customFormat="false" ht="23.85" hidden="false" customHeight="false" outlineLevel="0" collapsed="false">
      <c r="A506" s="5" t="s">
        <v>3406</v>
      </c>
      <c r="B506" s="2" t="s">
        <v>3407</v>
      </c>
      <c r="C506" s="5" t="s">
        <v>2128</v>
      </c>
      <c r="D506" s="5" t="s">
        <v>71</v>
      </c>
      <c r="E506" s="2" t="s">
        <v>1612</v>
      </c>
      <c r="F506" s="2"/>
      <c r="G506" s="2" t="s">
        <v>3409</v>
      </c>
      <c r="H506" s="2" t="s">
        <v>3410</v>
      </c>
      <c r="I506" s="5" t="s">
        <v>74</v>
      </c>
      <c r="J506" s="2" t="s">
        <v>7062</v>
      </c>
      <c r="K506" s="2" t="s">
        <v>71</v>
      </c>
      <c r="L506" s="5" t="n">
        <v>300</v>
      </c>
    </row>
    <row r="507" customFormat="false" ht="23.85" hidden="false" customHeight="false" outlineLevel="0" collapsed="false">
      <c r="A507" s="5" t="s">
        <v>3413</v>
      </c>
      <c r="B507" s="2" t="s">
        <v>3414</v>
      </c>
      <c r="C507" s="5" t="s">
        <v>2128</v>
      </c>
      <c r="D507" s="5" t="s">
        <v>71</v>
      </c>
      <c r="E507" s="2" t="s">
        <v>3416</v>
      </c>
      <c r="F507" s="2"/>
      <c r="G507" s="2"/>
      <c r="H507" s="2" t="s">
        <v>3417</v>
      </c>
      <c r="I507" s="5" t="s">
        <v>74</v>
      </c>
      <c r="J507" s="2" t="s">
        <v>7063</v>
      </c>
      <c r="K507" s="2" t="s">
        <v>71</v>
      </c>
      <c r="L507" s="5" t="n">
        <v>300</v>
      </c>
    </row>
    <row r="508" customFormat="false" ht="15" hidden="false" customHeight="false" outlineLevel="0" collapsed="false">
      <c r="A508" s="5" t="s">
        <v>3421</v>
      </c>
      <c r="B508" s="2" t="s">
        <v>3422</v>
      </c>
      <c r="C508" s="5" t="s">
        <v>2128</v>
      </c>
      <c r="D508" s="5" t="s">
        <v>71</v>
      </c>
      <c r="E508" s="2" t="s">
        <v>3423</v>
      </c>
      <c r="F508" s="2"/>
      <c r="G508" s="2"/>
      <c r="H508" s="2" t="s">
        <v>1098</v>
      </c>
      <c r="I508" s="5" t="s">
        <v>74</v>
      </c>
      <c r="J508" s="2" t="s">
        <v>7064</v>
      </c>
      <c r="K508" s="2" t="s">
        <v>71</v>
      </c>
      <c r="L508" s="5" t="n">
        <v>300</v>
      </c>
    </row>
    <row r="509" customFormat="false" ht="23.85" hidden="false" customHeight="false" outlineLevel="0" collapsed="false">
      <c r="A509" s="5" t="s">
        <v>3427</v>
      </c>
      <c r="B509" s="2" t="s">
        <v>3428</v>
      </c>
      <c r="C509" s="5" t="s">
        <v>2128</v>
      </c>
      <c r="D509" s="5" t="s">
        <v>71</v>
      </c>
      <c r="E509" s="2" t="s">
        <v>1533</v>
      </c>
      <c r="F509" s="2"/>
      <c r="G509" s="2" t="s">
        <v>3429</v>
      </c>
      <c r="H509" s="2" t="s">
        <v>3430</v>
      </c>
      <c r="I509" s="5" t="s">
        <v>74</v>
      </c>
      <c r="J509" s="2" t="s">
        <v>7065</v>
      </c>
      <c r="K509" s="2" t="s">
        <v>71</v>
      </c>
      <c r="L509" s="5" t="n">
        <v>300</v>
      </c>
    </row>
    <row r="510" customFormat="false" ht="23.85" hidden="false" customHeight="false" outlineLevel="0" collapsed="false">
      <c r="A510" s="5" t="s">
        <v>3433</v>
      </c>
      <c r="B510" s="2" t="s">
        <v>3434</v>
      </c>
      <c r="C510" s="5" t="s">
        <v>2245</v>
      </c>
      <c r="D510" s="5" t="s">
        <v>71</v>
      </c>
      <c r="E510" s="2" t="s">
        <v>3327</v>
      </c>
      <c r="F510" s="2"/>
      <c r="G510" s="2" t="s">
        <v>3435</v>
      </c>
      <c r="H510" s="2" t="s">
        <v>3329</v>
      </c>
      <c r="I510" s="5" t="s">
        <v>74</v>
      </c>
      <c r="J510" s="2" t="s">
        <v>7066</v>
      </c>
      <c r="K510" s="2" t="s">
        <v>71</v>
      </c>
      <c r="L510" s="5" t="n">
        <v>300</v>
      </c>
    </row>
    <row r="511" customFormat="false" ht="46.25" hidden="false" customHeight="false" outlineLevel="0" collapsed="false">
      <c r="A511" s="5" t="s">
        <v>3438</v>
      </c>
      <c r="B511" s="2" t="s">
        <v>3439</v>
      </c>
      <c r="C511" s="5" t="s">
        <v>2245</v>
      </c>
      <c r="D511" s="5" t="s">
        <v>71</v>
      </c>
      <c r="E511" s="2" t="s">
        <v>3130</v>
      </c>
      <c r="F511" s="2"/>
      <c r="G511" s="2" t="s">
        <v>3441</v>
      </c>
      <c r="H511" s="2" t="s">
        <v>3132</v>
      </c>
      <c r="I511" s="5" t="s">
        <v>74</v>
      </c>
      <c r="J511" s="2" t="s">
        <v>7067</v>
      </c>
      <c r="K511" s="2" t="s">
        <v>71</v>
      </c>
      <c r="L511" s="5" t="n">
        <v>300</v>
      </c>
    </row>
    <row r="512" customFormat="false" ht="23.85" hidden="false" customHeight="false" outlineLevel="0" collapsed="false">
      <c r="A512" s="5" t="s">
        <v>3444</v>
      </c>
      <c r="B512" s="2" t="s">
        <v>3445</v>
      </c>
      <c r="C512" s="5" t="s">
        <v>2245</v>
      </c>
      <c r="D512" s="5" t="s">
        <v>71</v>
      </c>
      <c r="E512" s="2" t="s">
        <v>3130</v>
      </c>
      <c r="F512" s="2"/>
      <c r="G512" s="2" t="s">
        <v>3446</v>
      </c>
      <c r="H512" s="2" t="s">
        <v>3447</v>
      </c>
      <c r="I512" s="5" t="s">
        <v>74</v>
      </c>
      <c r="J512" s="2" t="s">
        <v>7068</v>
      </c>
      <c r="K512" s="2" t="s">
        <v>71</v>
      </c>
      <c r="L512" s="5" t="n">
        <v>300</v>
      </c>
    </row>
    <row r="513" customFormat="false" ht="23.85" hidden="false" customHeight="false" outlineLevel="0" collapsed="false">
      <c r="A513" s="5" t="s">
        <v>3450</v>
      </c>
      <c r="B513" s="2" t="s">
        <v>3451</v>
      </c>
      <c r="C513" s="5" t="s">
        <v>2245</v>
      </c>
      <c r="D513" s="5" t="s">
        <v>71</v>
      </c>
      <c r="E513" s="2" t="s">
        <v>3130</v>
      </c>
      <c r="F513" s="2"/>
      <c r="G513" s="2" t="s">
        <v>3452</v>
      </c>
      <c r="H513" s="2" t="s">
        <v>3447</v>
      </c>
      <c r="I513" s="5" t="s">
        <v>74</v>
      </c>
      <c r="J513" s="2" t="s">
        <v>7069</v>
      </c>
      <c r="K513" s="2" t="s">
        <v>71</v>
      </c>
      <c r="L513" s="5" t="n">
        <v>300</v>
      </c>
    </row>
    <row r="514" customFormat="false" ht="79.85" hidden="false" customHeight="false" outlineLevel="0" collapsed="false">
      <c r="A514" s="5" t="s">
        <v>3455</v>
      </c>
      <c r="B514" s="2" t="s">
        <v>3456</v>
      </c>
      <c r="C514" s="5" t="s">
        <v>2245</v>
      </c>
      <c r="D514" s="5" t="s">
        <v>71</v>
      </c>
      <c r="E514" s="2" t="s">
        <v>3457</v>
      </c>
      <c r="F514" s="2"/>
      <c r="G514" s="2" t="s">
        <v>3458</v>
      </c>
      <c r="H514" s="2" t="s">
        <v>3459</v>
      </c>
      <c r="I514" s="5" t="s">
        <v>74</v>
      </c>
      <c r="J514" s="2" t="s">
        <v>7070</v>
      </c>
      <c r="K514" s="2" t="s">
        <v>71</v>
      </c>
      <c r="L514" s="5" t="n">
        <v>300</v>
      </c>
    </row>
    <row r="515" customFormat="false" ht="270.1" hidden="false" customHeight="false" outlineLevel="0" collapsed="false">
      <c r="A515" s="5" t="s">
        <v>3463</v>
      </c>
      <c r="B515" s="2" t="s">
        <v>3464</v>
      </c>
      <c r="C515" s="5" t="s">
        <v>2245</v>
      </c>
      <c r="D515" s="5" t="s">
        <v>71</v>
      </c>
      <c r="E515" s="2" t="s">
        <v>1105</v>
      </c>
      <c r="F515" s="2"/>
      <c r="G515" s="2" t="s">
        <v>3465</v>
      </c>
      <c r="H515" s="2" t="s">
        <v>1139</v>
      </c>
      <c r="I515" s="5" t="s">
        <v>74</v>
      </c>
      <c r="J515" s="2" t="s">
        <v>7071</v>
      </c>
      <c r="K515" s="2" t="s">
        <v>71</v>
      </c>
      <c r="L515" s="5" t="n">
        <v>300</v>
      </c>
    </row>
    <row r="516" customFormat="false" ht="270.1" hidden="false" customHeight="false" outlineLevel="0" collapsed="false">
      <c r="A516" s="5" t="s">
        <v>3468</v>
      </c>
      <c r="B516" s="2" t="s">
        <v>3469</v>
      </c>
      <c r="C516" s="5" t="s">
        <v>2245</v>
      </c>
      <c r="D516" s="5" t="s">
        <v>71</v>
      </c>
      <c r="E516" s="2" t="s">
        <v>3130</v>
      </c>
      <c r="F516" s="2"/>
      <c r="G516" s="2" t="s">
        <v>3470</v>
      </c>
      <c r="H516" s="2" t="s">
        <v>3132</v>
      </c>
      <c r="I516" s="5" t="s">
        <v>74</v>
      </c>
      <c r="J516" s="2" t="s">
        <v>7072</v>
      </c>
      <c r="K516" s="2" t="s">
        <v>71</v>
      </c>
      <c r="L516" s="5" t="n">
        <v>300</v>
      </c>
    </row>
    <row r="517" customFormat="false" ht="35.05" hidden="false" customHeight="false" outlineLevel="0" collapsed="false">
      <c r="A517" s="5" t="s">
        <v>3473</v>
      </c>
      <c r="B517" s="2" t="s">
        <v>3474</v>
      </c>
      <c r="C517" s="5" t="s">
        <v>2128</v>
      </c>
      <c r="D517" s="5" t="s">
        <v>71</v>
      </c>
      <c r="E517" s="2" t="s">
        <v>1105</v>
      </c>
      <c r="F517" s="2"/>
      <c r="G517" s="2" t="s">
        <v>3475</v>
      </c>
      <c r="H517" s="2" t="s">
        <v>1139</v>
      </c>
      <c r="I517" s="5" t="s">
        <v>74</v>
      </c>
      <c r="J517" s="2" t="s">
        <v>7073</v>
      </c>
      <c r="K517" s="2" t="s">
        <v>71</v>
      </c>
      <c r="L517" s="5" t="n">
        <v>300</v>
      </c>
    </row>
    <row r="518" customFormat="false" ht="23.85" hidden="false" customHeight="false" outlineLevel="0" collapsed="false">
      <c r="A518" s="5" t="s">
        <v>3478</v>
      </c>
      <c r="B518" s="2" t="s">
        <v>3479</v>
      </c>
      <c r="C518" s="5" t="s">
        <v>2245</v>
      </c>
      <c r="D518" s="5" t="s">
        <v>71</v>
      </c>
      <c r="E518" s="2" t="s">
        <v>3327</v>
      </c>
      <c r="F518" s="2"/>
      <c r="G518" s="2" t="s">
        <v>3481</v>
      </c>
      <c r="H518" s="2" t="s">
        <v>3329</v>
      </c>
      <c r="I518" s="5" t="s">
        <v>74</v>
      </c>
      <c r="J518" s="2" t="s">
        <v>7074</v>
      </c>
      <c r="K518" s="2" t="s">
        <v>71</v>
      </c>
      <c r="L518" s="5" t="n">
        <v>300</v>
      </c>
    </row>
    <row r="519" customFormat="false" ht="35.05" hidden="false" customHeight="false" outlineLevel="0" collapsed="false">
      <c r="A519" s="5" t="s">
        <v>3484</v>
      </c>
      <c r="B519" s="2" t="s">
        <v>3485</v>
      </c>
      <c r="C519" s="5" t="s">
        <v>2245</v>
      </c>
      <c r="D519" s="5" t="s">
        <v>71</v>
      </c>
      <c r="E519" s="2" t="s">
        <v>1105</v>
      </c>
      <c r="F519" s="2"/>
      <c r="G519" s="2" t="s">
        <v>3486</v>
      </c>
      <c r="H519" s="2" t="s">
        <v>1139</v>
      </c>
      <c r="I519" s="5" t="s">
        <v>74</v>
      </c>
      <c r="J519" s="2" t="s">
        <v>7075</v>
      </c>
      <c r="K519" s="2" t="s">
        <v>71</v>
      </c>
      <c r="L519" s="5" t="n">
        <v>300</v>
      </c>
    </row>
    <row r="520" customFormat="false" ht="23.85" hidden="false" customHeight="false" outlineLevel="0" collapsed="false">
      <c r="A520" s="5" t="s">
        <v>3489</v>
      </c>
      <c r="B520" s="2" t="s">
        <v>3490</v>
      </c>
      <c r="C520" s="5" t="s">
        <v>2128</v>
      </c>
      <c r="D520" s="5" t="s">
        <v>71</v>
      </c>
      <c r="E520" s="2" t="s">
        <v>3491</v>
      </c>
      <c r="F520" s="2"/>
      <c r="G520" s="2" t="s">
        <v>3492</v>
      </c>
      <c r="H520" s="2" t="s">
        <v>3493</v>
      </c>
      <c r="I520" s="5" t="s">
        <v>74</v>
      </c>
      <c r="J520" s="2" t="s">
        <v>7076</v>
      </c>
      <c r="K520" s="2" t="s">
        <v>71</v>
      </c>
      <c r="L520" s="5" t="n">
        <v>300</v>
      </c>
    </row>
    <row r="521" customFormat="false" ht="57.45" hidden="false" customHeight="false" outlineLevel="0" collapsed="false">
      <c r="A521" s="5" t="s">
        <v>3497</v>
      </c>
      <c r="B521" s="2" t="s">
        <v>3498</v>
      </c>
      <c r="C521" s="5" t="s">
        <v>2245</v>
      </c>
      <c r="D521" s="5" t="s">
        <v>71</v>
      </c>
      <c r="E521" s="2" t="s">
        <v>7077</v>
      </c>
      <c r="F521" s="2"/>
      <c r="G521" s="2" t="s">
        <v>3501</v>
      </c>
      <c r="H521" s="2" t="s">
        <v>3502</v>
      </c>
      <c r="I521" s="5" t="s">
        <v>74</v>
      </c>
      <c r="J521" s="2" t="s">
        <v>7078</v>
      </c>
      <c r="K521" s="2" t="s">
        <v>71</v>
      </c>
      <c r="L521" s="5" t="n">
        <v>300</v>
      </c>
    </row>
    <row r="522" customFormat="false" ht="46.25" hidden="false" customHeight="false" outlineLevel="0" collapsed="false">
      <c r="A522" s="5" t="s">
        <v>3506</v>
      </c>
      <c r="B522" s="2" t="s">
        <v>3507</v>
      </c>
      <c r="C522" s="5" t="s">
        <v>2128</v>
      </c>
      <c r="D522" s="5" t="s">
        <v>71</v>
      </c>
      <c r="E522" s="2" t="s">
        <v>1105</v>
      </c>
      <c r="F522" s="2"/>
      <c r="G522" s="2" t="s">
        <v>3508</v>
      </c>
      <c r="H522" s="2" t="s">
        <v>3509</v>
      </c>
      <c r="I522" s="5" t="s">
        <v>74</v>
      </c>
      <c r="J522" s="2" t="s">
        <v>7079</v>
      </c>
      <c r="K522" s="2" t="s">
        <v>71</v>
      </c>
      <c r="L522" s="5" t="n">
        <v>300</v>
      </c>
    </row>
    <row r="523" customFormat="false" ht="23.85" hidden="false" customHeight="false" outlineLevel="0" collapsed="false">
      <c r="A523" s="5" t="s">
        <v>3512</v>
      </c>
      <c r="B523" s="2" t="s">
        <v>3513</v>
      </c>
      <c r="C523" s="5" t="s">
        <v>2128</v>
      </c>
      <c r="D523" s="5" t="s">
        <v>71</v>
      </c>
      <c r="E523" s="2" t="s">
        <v>3515</v>
      </c>
      <c r="F523" s="2"/>
      <c r="G523" s="2" t="s">
        <v>3516</v>
      </c>
      <c r="H523" s="2" t="s">
        <v>3517</v>
      </c>
      <c r="I523" s="5" t="s">
        <v>74</v>
      </c>
      <c r="J523" s="2" t="s">
        <v>7080</v>
      </c>
      <c r="K523" s="2" t="s">
        <v>71</v>
      </c>
      <c r="L523" s="5" t="n">
        <v>300</v>
      </c>
    </row>
    <row r="524" customFormat="false" ht="23.85" hidden="false" customHeight="false" outlineLevel="0" collapsed="false">
      <c r="A524" s="5" t="s">
        <v>3521</v>
      </c>
      <c r="B524" s="2" t="s">
        <v>3522</v>
      </c>
      <c r="C524" s="5" t="s">
        <v>2128</v>
      </c>
      <c r="D524" s="5" t="s">
        <v>71</v>
      </c>
      <c r="E524" s="2" t="s">
        <v>1533</v>
      </c>
      <c r="F524" s="2"/>
      <c r="G524" s="2" t="s">
        <v>3524</v>
      </c>
      <c r="H524" s="2" t="s">
        <v>3525</v>
      </c>
      <c r="I524" s="5" t="s">
        <v>74</v>
      </c>
      <c r="J524" s="2" t="s">
        <v>7081</v>
      </c>
      <c r="K524" s="2" t="s">
        <v>71</v>
      </c>
      <c r="L524" s="5" t="n">
        <v>300</v>
      </c>
    </row>
    <row r="525" customFormat="false" ht="23.85" hidden="false" customHeight="false" outlineLevel="0" collapsed="false">
      <c r="A525" s="5" t="s">
        <v>3528</v>
      </c>
      <c r="B525" s="2" t="s">
        <v>3529</v>
      </c>
      <c r="C525" s="5" t="s">
        <v>2128</v>
      </c>
      <c r="D525" s="5" t="s">
        <v>71</v>
      </c>
      <c r="E525" s="2" t="s">
        <v>1533</v>
      </c>
      <c r="F525" s="2"/>
      <c r="G525" s="2" t="s">
        <v>3530</v>
      </c>
      <c r="H525" s="2" t="s">
        <v>3525</v>
      </c>
      <c r="I525" s="5" t="s">
        <v>74</v>
      </c>
      <c r="J525" s="2" t="s">
        <v>7082</v>
      </c>
      <c r="K525" s="2" t="s">
        <v>71</v>
      </c>
      <c r="L525" s="5" t="n">
        <v>300</v>
      </c>
    </row>
    <row r="526" customFormat="false" ht="46.25" hidden="false" customHeight="false" outlineLevel="0" collapsed="false">
      <c r="A526" s="5" t="s">
        <v>3533</v>
      </c>
      <c r="B526" s="2" t="s">
        <v>3534</v>
      </c>
      <c r="C526" s="5" t="s">
        <v>2245</v>
      </c>
      <c r="D526" s="5" t="s">
        <v>71</v>
      </c>
      <c r="E526" s="2" t="s">
        <v>3536</v>
      </c>
      <c r="F526" s="2"/>
      <c r="G526" s="2" t="s">
        <v>3537</v>
      </c>
      <c r="H526" s="2" t="s">
        <v>3538</v>
      </c>
      <c r="I526" s="5" t="s">
        <v>74</v>
      </c>
      <c r="J526" s="2" t="s">
        <v>7083</v>
      </c>
      <c r="K526" s="2" t="s">
        <v>71</v>
      </c>
      <c r="L526" s="5" t="n">
        <v>300</v>
      </c>
    </row>
    <row r="527" customFormat="false" ht="23.85" hidden="false" customHeight="false" outlineLevel="0" collapsed="false">
      <c r="A527" s="5" t="s">
        <v>3542</v>
      </c>
      <c r="B527" s="2" t="s">
        <v>3543</v>
      </c>
      <c r="C527" s="5" t="s">
        <v>2128</v>
      </c>
      <c r="D527" s="5" t="s">
        <v>71</v>
      </c>
      <c r="E527" s="2" t="s">
        <v>3545</v>
      </c>
      <c r="F527" s="2"/>
      <c r="G527" s="2" t="s">
        <v>3546</v>
      </c>
      <c r="H527" s="2" t="s">
        <v>3547</v>
      </c>
      <c r="I527" s="5" t="s">
        <v>74</v>
      </c>
      <c r="J527" s="2" t="s">
        <v>7084</v>
      </c>
      <c r="K527" s="2" t="s">
        <v>71</v>
      </c>
      <c r="L527" s="5" t="n">
        <v>300</v>
      </c>
    </row>
    <row r="528" customFormat="false" ht="35.05" hidden="false" customHeight="false" outlineLevel="0" collapsed="false">
      <c r="A528" s="5" t="s">
        <v>3551</v>
      </c>
      <c r="B528" s="2" t="s">
        <v>3552</v>
      </c>
      <c r="C528" s="5" t="s">
        <v>2245</v>
      </c>
      <c r="D528" s="5" t="s">
        <v>71</v>
      </c>
      <c r="E528" s="2" t="s">
        <v>1976</v>
      </c>
      <c r="F528" s="2"/>
      <c r="G528" s="2" t="s">
        <v>3553</v>
      </c>
      <c r="H528" s="2" t="s">
        <v>3299</v>
      </c>
      <c r="I528" s="5" t="s">
        <v>74</v>
      </c>
      <c r="J528" s="2" t="s">
        <v>7085</v>
      </c>
      <c r="K528" s="2" t="s">
        <v>71</v>
      </c>
      <c r="L528" s="5" t="n">
        <v>300</v>
      </c>
    </row>
    <row r="529" customFormat="false" ht="35.05" hidden="false" customHeight="false" outlineLevel="0" collapsed="false">
      <c r="A529" s="5" t="s">
        <v>3556</v>
      </c>
      <c r="B529" s="2" t="s">
        <v>3557</v>
      </c>
      <c r="C529" s="5" t="s">
        <v>2128</v>
      </c>
      <c r="D529" s="5" t="s">
        <v>71</v>
      </c>
      <c r="E529" s="2" t="s">
        <v>1105</v>
      </c>
      <c r="F529" s="2"/>
      <c r="G529" s="2" t="s">
        <v>3558</v>
      </c>
      <c r="H529" s="2" t="s">
        <v>1176</v>
      </c>
      <c r="I529" s="5" t="s">
        <v>74</v>
      </c>
      <c r="J529" s="2" t="s">
        <v>7086</v>
      </c>
      <c r="K529" s="2" t="s">
        <v>71</v>
      </c>
      <c r="L529" s="5" t="n">
        <v>300</v>
      </c>
    </row>
    <row r="530" customFormat="false" ht="23.85" hidden="false" customHeight="false" outlineLevel="0" collapsed="false">
      <c r="A530" s="5" t="s">
        <v>3561</v>
      </c>
      <c r="B530" s="2" t="s">
        <v>3562</v>
      </c>
      <c r="C530" s="5" t="s">
        <v>2128</v>
      </c>
      <c r="D530" s="5" t="s">
        <v>71</v>
      </c>
      <c r="E530" s="2" t="s">
        <v>1105</v>
      </c>
      <c r="F530" s="2"/>
      <c r="G530" s="2" t="s">
        <v>3563</v>
      </c>
      <c r="H530" s="2" t="s">
        <v>1176</v>
      </c>
      <c r="I530" s="5" t="s">
        <v>74</v>
      </c>
      <c r="J530" s="2" t="s">
        <v>7087</v>
      </c>
      <c r="K530" s="2" t="s">
        <v>71</v>
      </c>
      <c r="L530" s="5" t="n">
        <v>300</v>
      </c>
    </row>
    <row r="531" customFormat="false" ht="46.25" hidden="false" customHeight="false" outlineLevel="0" collapsed="false">
      <c r="A531" s="5" t="s">
        <v>3566</v>
      </c>
      <c r="B531" s="2" t="s">
        <v>3567</v>
      </c>
      <c r="C531" s="5" t="s">
        <v>2245</v>
      </c>
      <c r="D531" s="5" t="s">
        <v>71</v>
      </c>
      <c r="E531" s="2" t="s">
        <v>1105</v>
      </c>
      <c r="F531" s="2"/>
      <c r="G531" s="2" t="s">
        <v>3568</v>
      </c>
      <c r="H531" s="2" t="s">
        <v>1176</v>
      </c>
      <c r="I531" s="5" t="s">
        <v>74</v>
      </c>
      <c r="J531" s="2" t="s">
        <v>7088</v>
      </c>
      <c r="K531" s="2" t="s">
        <v>71</v>
      </c>
      <c r="L531" s="5" t="n">
        <v>300</v>
      </c>
    </row>
    <row r="532" customFormat="false" ht="46.25" hidden="false" customHeight="false" outlineLevel="0" collapsed="false">
      <c r="A532" s="5" t="s">
        <v>3571</v>
      </c>
      <c r="B532" s="2" t="s">
        <v>3572</v>
      </c>
      <c r="C532" s="5" t="s">
        <v>2245</v>
      </c>
      <c r="D532" s="5" t="s">
        <v>71</v>
      </c>
      <c r="E532" s="2" t="s">
        <v>1105</v>
      </c>
      <c r="F532" s="2"/>
      <c r="G532" s="2" t="s">
        <v>3573</v>
      </c>
      <c r="H532" s="2" t="s">
        <v>1176</v>
      </c>
      <c r="I532" s="5" t="s">
        <v>74</v>
      </c>
      <c r="J532" s="2" t="s">
        <v>7089</v>
      </c>
      <c r="K532" s="2" t="s">
        <v>71</v>
      </c>
      <c r="L532" s="5" t="n">
        <v>300</v>
      </c>
    </row>
    <row r="533" customFormat="false" ht="57.45" hidden="false" customHeight="false" outlineLevel="0" collapsed="false">
      <c r="A533" s="5" t="s">
        <v>3576</v>
      </c>
      <c r="B533" s="2" t="s">
        <v>3577</v>
      </c>
      <c r="C533" s="5" t="s">
        <v>2128</v>
      </c>
      <c r="D533" s="5" t="s">
        <v>71</v>
      </c>
      <c r="E533" s="2" t="s">
        <v>1612</v>
      </c>
      <c r="F533" s="2"/>
      <c r="G533" s="2" t="s">
        <v>3578</v>
      </c>
      <c r="H533" s="2" t="s">
        <v>1614</v>
      </c>
      <c r="I533" s="5" t="s">
        <v>74</v>
      </c>
      <c r="J533" s="2" t="s">
        <v>7090</v>
      </c>
      <c r="K533" s="2" t="s">
        <v>71</v>
      </c>
      <c r="L533" s="5" t="n">
        <v>300</v>
      </c>
    </row>
    <row r="534" customFormat="false" ht="35.05" hidden="false" customHeight="false" outlineLevel="0" collapsed="false">
      <c r="A534" s="5" t="s">
        <v>3581</v>
      </c>
      <c r="B534" s="2" t="s">
        <v>3582</v>
      </c>
      <c r="C534" s="5" t="s">
        <v>2245</v>
      </c>
      <c r="D534" s="5" t="s">
        <v>71</v>
      </c>
      <c r="E534" s="2" t="s">
        <v>3130</v>
      </c>
      <c r="F534" s="2"/>
      <c r="G534" s="2" t="s">
        <v>3584</v>
      </c>
      <c r="H534" s="2" t="s">
        <v>3132</v>
      </c>
      <c r="I534" s="5" t="s">
        <v>74</v>
      </c>
      <c r="J534" s="2" t="s">
        <v>7091</v>
      </c>
      <c r="K534" s="2" t="s">
        <v>71</v>
      </c>
      <c r="L534" s="5" t="n">
        <v>300</v>
      </c>
    </row>
    <row r="535" customFormat="false" ht="23.85" hidden="false" customHeight="false" outlineLevel="0" collapsed="false">
      <c r="A535" s="5" t="s">
        <v>3587</v>
      </c>
      <c r="B535" s="2" t="s">
        <v>3588</v>
      </c>
      <c r="C535" s="5" t="s">
        <v>2128</v>
      </c>
      <c r="D535" s="5" t="s">
        <v>71</v>
      </c>
      <c r="E535" s="2" t="s">
        <v>1105</v>
      </c>
      <c r="F535" s="2"/>
      <c r="G535" s="2" t="s">
        <v>3589</v>
      </c>
      <c r="H535" s="2" t="s">
        <v>1269</v>
      </c>
      <c r="I535" s="5" t="s">
        <v>74</v>
      </c>
      <c r="J535" s="2" t="s">
        <v>7092</v>
      </c>
      <c r="K535" s="2" t="s">
        <v>71</v>
      </c>
      <c r="L535" s="5" t="n">
        <v>300</v>
      </c>
    </row>
    <row r="536" customFormat="false" ht="46.25" hidden="false" customHeight="false" outlineLevel="0" collapsed="false">
      <c r="A536" s="5" t="s">
        <v>3592</v>
      </c>
      <c r="B536" s="2" t="s">
        <v>3593</v>
      </c>
      <c r="C536" s="5" t="s">
        <v>2128</v>
      </c>
      <c r="D536" s="5" t="s">
        <v>71</v>
      </c>
      <c r="E536" s="2" t="s">
        <v>1105</v>
      </c>
      <c r="F536" s="2"/>
      <c r="G536" s="2" t="s">
        <v>3594</v>
      </c>
      <c r="H536" s="2" t="s">
        <v>3595</v>
      </c>
      <c r="I536" s="5" t="s">
        <v>74</v>
      </c>
      <c r="J536" s="2" t="s">
        <v>7093</v>
      </c>
      <c r="K536" s="2" t="s">
        <v>71</v>
      </c>
      <c r="L536" s="5" t="n">
        <v>300</v>
      </c>
    </row>
    <row r="537" customFormat="false" ht="23.85" hidden="false" customHeight="false" outlineLevel="0" collapsed="false">
      <c r="A537" s="5" t="s">
        <v>3598</v>
      </c>
      <c r="B537" s="2" t="s">
        <v>3599</v>
      </c>
      <c r="C537" s="5" t="s">
        <v>2128</v>
      </c>
      <c r="D537" s="5" t="s">
        <v>71</v>
      </c>
      <c r="E537" s="2" t="s">
        <v>1105</v>
      </c>
      <c r="F537" s="2"/>
      <c r="G537" s="2" t="s">
        <v>3600</v>
      </c>
      <c r="H537" s="2" t="s">
        <v>1176</v>
      </c>
      <c r="I537" s="5" t="s">
        <v>74</v>
      </c>
      <c r="J537" s="2" t="s">
        <v>7094</v>
      </c>
      <c r="K537" s="2" t="s">
        <v>71</v>
      </c>
      <c r="L537" s="5" t="n">
        <v>300</v>
      </c>
    </row>
    <row r="538" customFormat="false" ht="35.05" hidden="false" customHeight="false" outlineLevel="0" collapsed="false">
      <c r="A538" s="5" t="s">
        <v>3603</v>
      </c>
      <c r="B538" s="2" t="s">
        <v>3604</v>
      </c>
      <c r="C538" s="5" t="s">
        <v>2245</v>
      </c>
      <c r="D538" s="5" t="s">
        <v>71</v>
      </c>
      <c r="E538" s="2" t="s">
        <v>210</v>
      </c>
      <c r="F538" s="2"/>
      <c r="G538" s="2" t="s">
        <v>3605</v>
      </c>
      <c r="H538" s="2" t="s">
        <v>3606</v>
      </c>
      <c r="I538" s="5" t="s">
        <v>74</v>
      </c>
      <c r="J538" s="2" t="s">
        <v>7095</v>
      </c>
      <c r="K538" s="2" t="s">
        <v>71</v>
      </c>
      <c r="L538" s="5" t="n">
        <v>300</v>
      </c>
    </row>
    <row r="539" customFormat="false" ht="23.85" hidden="false" customHeight="false" outlineLevel="0" collapsed="false">
      <c r="A539" s="5" t="s">
        <v>3609</v>
      </c>
      <c r="B539" s="2" t="s">
        <v>3610</v>
      </c>
      <c r="C539" s="5" t="s">
        <v>2128</v>
      </c>
      <c r="D539" s="5" t="s">
        <v>71</v>
      </c>
      <c r="E539" s="2" t="s">
        <v>1105</v>
      </c>
      <c r="F539" s="2"/>
      <c r="G539" s="2" t="s">
        <v>3611</v>
      </c>
      <c r="H539" s="2" t="s">
        <v>1139</v>
      </c>
      <c r="I539" s="5" t="s">
        <v>74</v>
      </c>
      <c r="J539" s="2" t="s">
        <v>7096</v>
      </c>
      <c r="K539" s="2" t="s">
        <v>71</v>
      </c>
      <c r="L539" s="5" t="n">
        <v>300</v>
      </c>
    </row>
    <row r="540" customFormat="false" ht="57.45" hidden="false" customHeight="false" outlineLevel="0" collapsed="false">
      <c r="A540" s="5" t="s">
        <v>3614</v>
      </c>
      <c r="B540" s="2" t="s">
        <v>3615</v>
      </c>
      <c r="C540" s="5" t="s">
        <v>2128</v>
      </c>
      <c r="D540" s="5" t="s">
        <v>71</v>
      </c>
      <c r="E540" s="2" t="s">
        <v>1105</v>
      </c>
      <c r="F540" s="2"/>
      <c r="G540" s="2" t="s">
        <v>3616</v>
      </c>
      <c r="H540" s="2" t="s">
        <v>1358</v>
      </c>
      <c r="I540" s="5" t="s">
        <v>74</v>
      </c>
      <c r="J540" s="2" t="s">
        <v>7097</v>
      </c>
      <c r="K540" s="2" t="s">
        <v>71</v>
      </c>
      <c r="L540" s="5" t="n">
        <v>300</v>
      </c>
    </row>
    <row r="541" customFormat="false" ht="68.65" hidden="false" customHeight="false" outlineLevel="0" collapsed="false">
      <c r="A541" s="5" t="s">
        <v>3619</v>
      </c>
      <c r="B541" s="2" t="s">
        <v>3620</v>
      </c>
      <c r="C541" s="5" t="s">
        <v>2128</v>
      </c>
      <c r="D541" s="5" t="s">
        <v>71</v>
      </c>
      <c r="E541" s="2" t="s">
        <v>1105</v>
      </c>
      <c r="F541" s="2"/>
      <c r="G541" s="2" t="s">
        <v>3621</v>
      </c>
      <c r="H541" s="2" t="s">
        <v>1358</v>
      </c>
      <c r="I541" s="5" t="s">
        <v>74</v>
      </c>
      <c r="J541" s="2" t="s">
        <v>7098</v>
      </c>
      <c r="K541" s="2" t="s">
        <v>71</v>
      </c>
      <c r="L541" s="5" t="n">
        <v>300</v>
      </c>
    </row>
    <row r="542" customFormat="false" ht="23.85" hidden="false" customHeight="false" outlineLevel="0" collapsed="false">
      <c r="A542" s="5" t="s">
        <v>3624</v>
      </c>
      <c r="B542" s="2" t="s">
        <v>3625</v>
      </c>
      <c r="C542" s="5" t="s">
        <v>2245</v>
      </c>
      <c r="D542" s="5" t="s">
        <v>71</v>
      </c>
      <c r="E542" s="2" t="s">
        <v>3626</v>
      </c>
      <c r="F542" s="2"/>
      <c r="G542" s="2" t="s">
        <v>3627</v>
      </c>
      <c r="H542" s="2" t="s">
        <v>3628</v>
      </c>
      <c r="I542" s="5" t="s">
        <v>74</v>
      </c>
      <c r="J542" s="2" t="s">
        <v>7099</v>
      </c>
      <c r="K542" s="2" t="s">
        <v>71</v>
      </c>
      <c r="L542" s="5" t="n">
        <v>300</v>
      </c>
    </row>
    <row r="543" customFormat="false" ht="23.85" hidden="false" customHeight="false" outlineLevel="0" collapsed="false">
      <c r="A543" s="5" t="s">
        <v>3632</v>
      </c>
      <c r="B543" s="2" t="s">
        <v>3633</v>
      </c>
      <c r="C543" s="5" t="s">
        <v>2245</v>
      </c>
      <c r="D543" s="5" t="s">
        <v>71</v>
      </c>
      <c r="E543" s="2" t="s">
        <v>1105</v>
      </c>
      <c r="F543" s="2"/>
      <c r="G543" s="2" t="s">
        <v>3634</v>
      </c>
      <c r="H543" s="2" t="s">
        <v>1269</v>
      </c>
      <c r="I543" s="5" t="s">
        <v>74</v>
      </c>
      <c r="J543" s="2" t="s">
        <v>7100</v>
      </c>
      <c r="K543" s="2" t="s">
        <v>71</v>
      </c>
      <c r="L543" s="5" t="n">
        <v>300</v>
      </c>
    </row>
    <row r="544" customFormat="false" ht="23.85" hidden="false" customHeight="false" outlineLevel="0" collapsed="false">
      <c r="A544" s="5" t="s">
        <v>3637</v>
      </c>
      <c r="B544" s="2" t="s">
        <v>3638</v>
      </c>
      <c r="C544" s="5" t="s">
        <v>2245</v>
      </c>
      <c r="D544" s="5" t="s">
        <v>71</v>
      </c>
      <c r="E544" s="2" t="s">
        <v>1160</v>
      </c>
      <c r="F544" s="2"/>
      <c r="G544" s="2" t="s">
        <v>3640</v>
      </c>
      <c r="H544" s="2" t="s">
        <v>1162</v>
      </c>
      <c r="I544" s="5" t="s">
        <v>74</v>
      </c>
      <c r="J544" s="2" t="s">
        <v>7101</v>
      </c>
      <c r="K544" s="2" t="s">
        <v>71</v>
      </c>
      <c r="L544" s="5" t="n">
        <v>300</v>
      </c>
    </row>
    <row r="545" customFormat="false" ht="23.85" hidden="false" customHeight="false" outlineLevel="0" collapsed="false">
      <c r="A545" s="5" t="s">
        <v>3643</v>
      </c>
      <c r="B545" s="2" t="s">
        <v>3644</v>
      </c>
      <c r="C545" s="5" t="s">
        <v>2245</v>
      </c>
      <c r="D545" s="5" t="s">
        <v>71</v>
      </c>
      <c r="E545" s="2" t="s">
        <v>3645</v>
      </c>
      <c r="F545" s="2"/>
      <c r="G545" s="2" t="s">
        <v>3646</v>
      </c>
      <c r="H545" s="2" t="s">
        <v>3647</v>
      </c>
      <c r="I545" s="5" t="s">
        <v>74</v>
      </c>
      <c r="J545" s="2" t="s">
        <v>7102</v>
      </c>
      <c r="K545" s="2" t="s">
        <v>71</v>
      </c>
      <c r="L545" s="5" t="n">
        <v>300</v>
      </c>
    </row>
    <row r="546" customFormat="false" ht="113.4" hidden="false" customHeight="false" outlineLevel="0" collapsed="false">
      <c r="A546" s="5" t="s">
        <v>3651</v>
      </c>
      <c r="B546" s="2" t="s">
        <v>3652</v>
      </c>
      <c r="C546" s="5" t="s">
        <v>2245</v>
      </c>
      <c r="D546" s="5" t="s">
        <v>71</v>
      </c>
      <c r="E546" s="2" t="s">
        <v>1105</v>
      </c>
      <c r="F546" s="2"/>
      <c r="G546" s="2" t="s">
        <v>3653</v>
      </c>
      <c r="H546" s="2" t="s">
        <v>1176</v>
      </c>
      <c r="I546" s="5" t="s">
        <v>74</v>
      </c>
      <c r="J546" s="2" t="s">
        <v>7103</v>
      </c>
      <c r="K546" s="2" t="s">
        <v>71</v>
      </c>
      <c r="L546" s="5" t="n">
        <v>300</v>
      </c>
    </row>
    <row r="547" customFormat="false" ht="46.25" hidden="false" customHeight="false" outlineLevel="0" collapsed="false">
      <c r="A547" s="5" t="s">
        <v>3656</v>
      </c>
      <c r="B547" s="2" t="s">
        <v>3657</v>
      </c>
      <c r="C547" s="5" t="s">
        <v>2245</v>
      </c>
      <c r="D547" s="5" t="s">
        <v>71</v>
      </c>
      <c r="E547" s="2" t="s">
        <v>3130</v>
      </c>
      <c r="F547" s="2"/>
      <c r="G547" s="2" t="s">
        <v>3658</v>
      </c>
      <c r="H547" s="2" t="s">
        <v>3132</v>
      </c>
      <c r="I547" s="5" t="s">
        <v>74</v>
      </c>
      <c r="J547" s="2" t="s">
        <v>7104</v>
      </c>
      <c r="K547" s="2" t="s">
        <v>71</v>
      </c>
      <c r="L547" s="5" t="n">
        <v>300</v>
      </c>
    </row>
    <row r="548" customFormat="false" ht="46.25" hidden="false" customHeight="false" outlineLevel="0" collapsed="false">
      <c r="A548" s="5" t="s">
        <v>3661</v>
      </c>
      <c r="B548" s="2" t="s">
        <v>3662</v>
      </c>
      <c r="C548" s="5" t="s">
        <v>2128</v>
      </c>
      <c r="D548" s="5" t="s">
        <v>71</v>
      </c>
      <c r="E548" s="2" t="s">
        <v>1105</v>
      </c>
      <c r="F548" s="2"/>
      <c r="G548" s="2" t="s">
        <v>3663</v>
      </c>
      <c r="H548" s="2" t="s">
        <v>1176</v>
      </c>
      <c r="I548" s="5" t="s">
        <v>74</v>
      </c>
      <c r="J548" s="2" t="s">
        <v>7105</v>
      </c>
      <c r="K548" s="2" t="s">
        <v>71</v>
      </c>
      <c r="L548" s="5" t="n">
        <v>300</v>
      </c>
    </row>
    <row r="549" customFormat="false" ht="46.25" hidden="false" customHeight="false" outlineLevel="0" collapsed="false">
      <c r="A549" s="5" t="s">
        <v>3666</v>
      </c>
      <c r="B549" s="2" t="s">
        <v>3667</v>
      </c>
      <c r="C549" s="5" t="s">
        <v>2128</v>
      </c>
      <c r="D549" s="5" t="s">
        <v>71</v>
      </c>
      <c r="E549" s="2" t="s">
        <v>1105</v>
      </c>
      <c r="F549" s="2"/>
      <c r="G549" s="2" t="s">
        <v>3668</v>
      </c>
      <c r="H549" s="2" t="s">
        <v>3669</v>
      </c>
      <c r="I549" s="5" t="s">
        <v>74</v>
      </c>
      <c r="J549" s="2" t="s">
        <v>7106</v>
      </c>
      <c r="K549" s="2" t="s">
        <v>71</v>
      </c>
      <c r="L549" s="5" t="n">
        <v>300</v>
      </c>
    </row>
    <row r="550" customFormat="false" ht="23.85" hidden="false" customHeight="false" outlineLevel="0" collapsed="false">
      <c r="A550" s="5" t="s">
        <v>3672</v>
      </c>
      <c r="B550" s="2" t="s">
        <v>3673</v>
      </c>
      <c r="C550" s="5" t="s">
        <v>2245</v>
      </c>
      <c r="D550" s="5" t="s">
        <v>71</v>
      </c>
      <c r="E550" s="2" t="s">
        <v>1105</v>
      </c>
      <c r="F550" s="2"/>
      <c r="G550" s="2" t="s">
        <v>3674</v>
      </c>
      <c r="H550" s="2" t="s">
        <v>1139</v>
      </c>
      <c r="I550" s="5" t="s">
        <v>74</v>
      </c>
      <c r="J550" s="2" t="s">
        <v>7107</v>
      </c>
      <c r="K550" s="2" t="s">
        <v>71</v>
      </c>
      <c r="L550" s="5" t="n">
        <v>300</v>
      </c>
    </row>
    <row r="551" customFormat="false" ht="23.85" hidden="false" customHeight="false" outlineLevel="0" collapsed="false">
      <c r="A551" s="5" t="s">
        <v>3677</v>
      </c>
      <c r="B551" s="2" t="s">
        <v>3678</v>
      </c>
      <c r="C551" s="5" t="s">
        <v>2128</v>
      </c>
      <c r="D551" s="5" t="s">
        <v>71</v>
      </c>
      <c r="E551" s="2" t="s">
        <v>1105</v>
      </c>
      <c r="F551" s="2"/>
      <c r="G551" s="2" t="s">
        <v>3679</v>
      </c>
      <c r="H551" s="2" t="s">
        <v>1834</v>
      </c>
      <c r="I551" s="5" t="s">
        <v>74</v>
      </c>
      <c r="J551" s="2" t="s">
        <v>7108</v>
      </c>
      <c r="K551" s="2" t="s">
        <v>71</v>
      </c>
      <c r="L551" s="5" t="n">
        <v>300</v>
      </c>
    </row>
    <row r="552" customFormat="false" ht="135.8" hidden="false" customHeight="false" outlineLevel="0" collapsed="false">
      <c r="A552" s="5" t="s">
        <v>3682</v>
      </c>
      <c r="B552" s="2" t="s">
        <v>3683</v>
      </c>
      <c r="C552" s="5" t="s">
        <v>2128</v>
      </c>
      <c r="D552" s="5" t="s">
        <v>71</v>
      </c>
      <c r="E552" s="2" t="s">
        <v>1105</v>
      </c>
      <c r="F552" s="2"/>
      <c r="G552" s="2" t="s">
        <v>3684</v>
      </c>
      <c r="H552" s="2" t="s">
        <v>3685</v>
      </c>
      <c r="I552" s="5" t="s">
        <v>74</v>
      </c>
      <c r="J552" s="2" t="s">
        <v>7109</v>
      </c>
      <c r="K552" s="2" t="s">
        <v>71</v>
      </c>
      <c r="L552" s="5" t="n">
        <v>300</v>
      </c>
    </row>
    <row r="553" customFormat="false" ht="23.85" hidden="false" customHeight="false" outlineLevel="0" collapsed="false">
      <c r="A553" s="5" t="s">
        <v>3688</v>
      </c>
      <c r="B553" s="2" t="s">
        <v>3689</v>
      </c>
      <c r="C553" s="5" t="s">
        <v>2245</v>
      </c>
      <c r="D553" s="5" t="s">
        <v>71</v>
      </c>
      <c r="E553" s="2" t="s">
        <v>1105</v>
      </c>
      <c r="F553" s="2"/>
      <c r="G553" s="2" t="s">
        <v>3690</v>
      </c>
      <c r="H553" s="2" t="s">
        <v>1139</v>
      </c>
      <c r="I553" s="5" t="s">
        <v>74</v>
      </c>
      <c r="J553" s="2" t="s">
        <v>7110</v>
      </c>
      <c r="K553" s="2" t="s">
        <v>71</v>
      </c>
      <c r="L553" s="5" t="n">
        <v>300</v>
      </c>
    </row>
    <row r="554" customFormat="false" ht="23.85" hidden="false" customHeight="false" outlineLevel="0" collapsed="false">
      <c r="A554" s="5" t="s">
        <v>3693</v>
      </c>
      <c r="B554" s="2" t="s">
        <v>3694</v>
      </c>
      <c r="C554" s="5" t="s">
        <v>2245</v>
      </c>
      <c r="D554" s="5" t="s">
        <v>71</v>
      </c>
      <c r="E554" s="2" t="s">
        <v>3130</v>
      </c>
      <c r="F554" s="2"/>
      <c r="G554" s="2" t="s">
        <v>3695</v>
      </c>
      <c r="H554" s="2" t="s">
        <v>3132</v>
      </c>
      <c r="I554" s="5" t="s">
        <v>74</v>
      </c>
      <c r="J554" s="2" t="s">
        <v>7111</v>
      </c>
      <c r="K554" s="2" t="s">
        <v>71</v>
      </c>
      <c r="L554" s="5" t="n">
        <v>300</v>
      </c>
    </row>
    <row r="555" customFormat="false" ht="46.25" hidden="false" customHeight="false" outlineLevel="0" collapsed="false">
      <c r="A555" s="5" t="s">
        <v>3698</v>
      </c>
      <c r="B555" s="2" t="s">
        <v>3699</v>
      </c>
      <c r="C555" s="5" t="s">
        <v>2128</v>
      </c>
      <c r="D555" s="5" t="s">
        <v>71</v>
      </c>
      <c r="E555" s="2" t="s">
        <v>7112</v>
      </c>
      <c r="F555" s="2"/>
      <c r="G555" s="2" t="s">
        <v>3701</v>
      </c>
      <c r="H555" s="2" t="s">
        <v>2314</v>
      </c>
      <c r="I555" s="5" t="s">
        <v>74</v>
      </c>
      <c r="J555" s="2" t="s">
        <v>7113</v>
      </c>
      <c r="K555" s="2" t="s">
        <v>71</v>
      </c>
      <c r="L555" s="5" t="n">
        <v>300</v>
      </c>
    </row>
    <row r="556" customFormat="false" ht="15" hidden="false" customHeight="false" outlineLevel="0" collapsed="false">
      <c r="A556" s="5" t="s">
        <v>3705</v>
      </c>
      <c r="B556" s="2" t="s">
        <v>3706</v>
      </c>
      <c r="C556" s="5" t="s">
        <v>2128</v>
      </c>
      <c r="D556" s="5" t="s">
        <v>71</v>
      </c>
      <c r="E556" s="2" t="s">
        <v>385</v>
      </c>
      <c r="F556" s="2"/>
      <c r="G556" s="2" t="s">
        <v>3707</v>
      </c>
      <c r="H556" s="2" t="s">
        <v>247</v>
      </c>
      <c r="I556" s="5" t="s">
        <v>74</v>
      </c>
      <c r="J556" s="2" t="s">
        <v>7114</v>
      </c>
      <c r="K556" s="2" t="s">
        <v>71</v>
      </c>
      <c r="L556" s="5" t="n">
        <v>300</v>
      </c>
    </row>
    <row r="557" customFormat="false" ht="57.45" hidden="false" customHeight="false" outlineLevel="0" collapsed="false">
      <c r="A557" s="5" t="s">
        <v>3710</v>
      </c>
      <c r="B557" s="2" t="s">
        <v>3711</v>
      </c>
      <c r="C557" s="5" t="s">
        <v>2245</v>
      </c>
      <c r="D557" s="5" t="s">
        <v>71</v>
      </c>
      <c r="E557" s="2" t="s">
        <v>1105</v>
      </c>
      <c r="F557" s="2"/>
      <c r="G557" s="2" t="s">
        <v>3713</v>
      </c>
      <c r="H557" s="2" t="s">
        <v>1176</v>
      </c>
      <c r="I557" s="5" t="s">
        <v>74</v>
      </c>
      <c r="J557" s="2" t="s">
        <v>7115</v>
      </c>
      <c r="K557" s="2" t="s">
        <v>71</v>
      </c>
      <c r="L557" s="5" t="n">
        <v>300</v>
      </c>
    </row>
    <row r="558" customFormat="false" ht="23.85" hidden="false" customHeight="false" outlineLevel="0" collapsed="false">
      <c r="A558" s="5" t="s">
        <v>3716</v>
      </c>
      <c r="B558" s="2" t="s">
        <v>3717</v>
      </c>
      <c r="C558" s="5" t="s">
        <v>2128</v>
      </c>
      <c r="D558" s="5" t="s">
        <v>71</v>
      </c>
      <c r="E558" s="2" t="s">
        <v>1198</v>
      </c>
      <c r="F558" s="2"/>
      <c r="G558" s="2" t="s">
        <v>3719</v>
      </c>
      <c r="H558" s="2" t="s">
        <v>3720</v>
      </c>
      <c r="I558" s="5" t="s">
        <v>74</v>
      </c>
      <c r="J558" s="2" t="s">
        <v>7116</v>
      </c>
      <c r="K558" s="2" t="s">
        <v>71</v>
      </c>
      <c r="L558" s="5" t="n">
        <v>300</v>
      </c>
    </row>
    <row r="559" customFormat="false" ht="23.85" hidden="false" customHeight="false" outlineLevel="0" collapsed="false">
      <c r="A559" s="5" t="s">
        <v>3723</v>
      </c>
      <c r="B559" s="2" t="s">
        <v>3724</v>
      </c>
      <c r="C559" s="5" t="s">
        <v>2128</v>
      </c>
      <c r="D559" s="5" t="s">
        <v>71</v>
      </c>
      <c r="E559" s="2" t="s">
        <v>1612</v>
      </c>
      <c r="F559" s="2"/>
      <c r="G559" s="2" t="s">
        <v>3725</v>
      </c>
      <c r="H559" s="2" t="s">
        <v>1614</v>
      </c>
      <c r="I559" s="5" t="s">
        <v>74</v>
      </c>
      <c r="J559" s="2" t="s">
        <v>7117</v>
      </c>
      <c r="K559" s="2" t="s">
        <v>71</v>
      </c>
      <c r="L559" s="5" t="n">
        <v>300</v>
      </c>
    </row>
    <row r="560" customFormat="false" ht="23.85" hidden="false" customHeight="false" outlineLevel="0" collapsed="false">
      <c r="A560" s="5" t="s">
        <v>3728</v>
      </c>
      <c r="B560" s="2" t="s">
        <v>3729</v>
      </c>
      <c r="C560" s="5" t="s">
        <v>2128</v>
      </c>
      <c r="D560" s="5" t="s">
        <v>71</v>
      </c>
      <c r="E560" s="2" t="s">
        <v>1105</v>
      </c>
      <c r="F560" s="2"/>
      <c r="G560" s="2" t="s">
        <v>3730</v>
      </c>
      <c r="H560" s="2" t="s">
        <v>1176</v>
      </c>
      <c r="I560" s="5" t="s">
        <v>74</v>
      </c>
      <c r="J560" s="2" t="s">
        <v>7118</v>
      </c>
      <c r="K560" s="2" t="s">
        <v>71</v>
      </c>
      <c r="L560" s="5" t="n">
        <v>300</v>
      </c>
    </row>
    <row r="561" customFormat="false" ht="68.65" hidden="false" customHeight="false" outlineLevel="0" collapsed="false">
      <c r="A561" s="5" t="s">
        <v>3733</v>
      </c>
      <c r="B561" s="2" t="s">
        <v>3734</v>
      </c>
      <c r="C561" s="5" t="s">
        <v>2128</v>
      </c>
      <c r="D561" s="5" t="s">
        <v>71</v>
      </c>
      <c r="E561" s="2" t="s">
        <v>3736</v>
      </c>
      <c r="F561" s="2" t="s">
        <v>3737</v>
      </c>
      <c r="G561" s="2" t="s">
        <v>3738</v>
      </c>
      <c r="H561" s="2" t="s">
        <v>3739</v>
      </c>
      <c r="I561" s="5" t="s">
        <v>74</v>
      </c>
      <c r="J561" s="2" t="s">
        <v>7119</v>
      </c>
      <c r="K561" s="2" t="s">
        <v>71</v>
      </c>
      <c r="L561" s="5" t="n">
        <v>300</v>
      </c>
    </row>
    <row r="562" customFormat="false" ht="169.4" hidden="false" customHeight="false" outlineLevel="0" collapsed="false">
      <c r="A562" s="5" t="s">
        <v>3743</v>
      </c>
      <c r="B562" s="2" t="s">
        <v>3744</v>
      </c>
      <c r="C562" s="5" t="s">
        <v>2245</v>
      </c>
      <c r="D562" s="5" t="s">
        <v>71</v>
      </c>
      <c r="E562" s="2" t="s">
        <v>7120</v>
      </c>
      <c r="F562" s="2"/>
      <c r="G562" s="2" t="s">
        <v>3746</v>
      </c>
      <c r="H562" s="2" t="s">
        <v>3747</v>
      </c>
      <c r="I562" s="5" t="s">
        <v>74</v>
      </c>
      <c r="J562" s="2" t="s">
        <v>7121</v>
      </c>
      <c r="K562" s="2" t="s">
        <v>71</v>
      </c>
      <c r="L562" s="5" t="n">
        <v>300</v>
      </c>
    </row>
    <row r="563" customFormat="false" ht="23.85" hidden="false" customHeight="false" outlineLevel="0" collapsed="false">
      <c r="A563" s="5" t="s">
        <v>3751</v>
      </c>
      <c r="B563" s="2" t="s">
        <v>3752</v>
      </c>
      <c r="C563" s="5" t="s">
        <v>2245</v>
      </c>
      <c r="D563" s="5" t="s">
        <v>71</v>
      </c>
      <c r="E563" s="2" t="s">
        <v>1198</v>
      </c>
      <c r="F563" s="2"/>
      <c r="G563" s="2" t="s">
        <v>3753</v>
      </c>
      <c r="H563" s="2" t="s">
        <v>1200</v>
      </c>
      <c r="I563" s="5" t="s">
        <v>74</v>
      </c>
      <c r="J563" s="2" t="s">
        <v>7122</v>
      </c>
      <c r="K563" s="2" t="s">
        <v>71</v>
      </c>
      <c r="L563" s="5" t="n">
        <v>300</v>
      </c>
    </row>
    <row r="564" customFormat="false" ht="46.25" hidden="false" customHeight="false" outlineLevel="0" collapsed="false">
      <c r="A564" s="5" t="s">
        <v>3756</v>
      </c>
      <c r="B564" s="2" t="s">
        <v>3757</v>
      </c>
      <c r="C564" s="5" t="s">
        <v>2128</v>
      </c>
      <c r="D564" s="5" t="s">
        <v>71</v>
      </c>
      <c r="E564" s="2" t="s">
        <v>1198</v>
      </c>
      <c r="F564" s="2"/>
      <c r="G564" s="2" t="s">
        <v>3758</v>
      </c>
      <c r="H564" s="2" t="s">
        <v>1200</v>
      </c>
      <c r="I564" s="5" t="s">
        <v>74</v>
      </c>
      <c r="J564" s="2" t="s">
        <v>7123</v>
      </c>
      <c r="K564" s="2" t="s">
        <v>71</v>
      </c>
      <c r="L564" s="5" t="n">
        <v>300</v>
      </c>
    </row>
    <row r="565" customFormat="false" ht="35.05" hidden="false" customHeight="false" outlineLevel="0" collapsed="false">
      <c r="A565" s="5" t="s">
        <v>3761</v>
      </c>
      <c r="B565" s="2" t="s">
        <v>3762</v>
      </c>
      <c r="C565" s="5" t="s">
        <v>2245</v>
      </c>
      <c r="D565" s="5" t="s">
        <v>71</v>
      </c>
      <c r="E565" s="2" t="s">
        <v>1198</v>
      </c>
      <c r="F565" s="2"/>
      <c r="G565" s="2" t="s">
        <v>3763</v>
      </c>
      <c r="H565" s="2" t="s">
        <v>1200</v>
      </c>
      <c r="I565" s="5" t="s">
        <v>74</v>
      </c>
      <c r="J565" s="2" t="s">
        <v>7124</v>
      </c>
      <c r="K565" s="2" t="s">
        <v>71</v>
      </c>
      <c r="L565" s="5" t="n">
        <v>300</v>
      </c>
    </row>
    <row r="566" customFormat="false" ht="35.05" hidden="false" customHeight="false" outlineLevel="0" collapsed="false">
      <c r="A566" s="5" t="s">
        <v>3766</v>
      </c>
      <c r="B566" s="2" t="s">
        <v>3767</v>
      </c>
      <c r="C566" s="5" t="s">
        <v>2128</v>
      </c>
      <c r="D566" s="5" t="s">
        <v>71</v>
      </c>
      <c r="E566" s="2" t="s">
        <v>1198</v>
      </c>
      <c r="F566" s="2"/>
      <c r="G566" s="2" t="s">
        <v>3768</v>
      </c>
      <c r="H566" s="2" t="s">
        <v>1200</v>
      </c>
      <c r="I566" s="5" t="s">
        <v>74</v>
      </c>
      <c r="J566" s="2" t="s">
        <v>7125</v>
      </c>
      <c r="K566" s="2" t="s">
        <v>71</v>
      </c>
      <c r="L566" s="5" t="n">
        <v>300</v>
      </c>
    </row>
    <row r="567" customFormat="false" ht="46.25" hidden="false" customHeight="false" outlineLevel="0" collapsed="false">
      <c r="A567" s="5" t="s">
        <v>3771</v>
      </c>
      <c r="B567" s="2" t="s">
        <v>3772</v>
      </c>
      <c r="C567" s="5" t="s">
        <v>2245</v>
      </c>
      <c r="D567" s="5" t="s">
        <v>71</v>
      </c>
      <c r="E567" s="2" t="s">
        <v>1198</v>
      </c>
      <c r="F567" s="2"/>
      <c r="G567" s="2" t="s">
        <v>3773</v>
      </c>
      <c r="H567" s="2" t="s">
        <v>1200</v>
      </c>
      <c r="I567" s="5" t="s">
        <v>74</v>
      </c>
      <c r="J567" s="2" t="s">
        <v>7126</v>
      </c>
      <c r="K567" s="2" t="s">
        <v>71</v>
      </c>
      <c r="L567" s="5" t="n">
        <v>300</v>
      </c>
    </row>
    <row r="568" customFormat="false" ht="35.05" hidden="false" customHeight="false" outlineLevel="0" collapsed="false">
      <c r="A568" s="5" t="s">
        <v>3776</v>
      </c>
      <c r="B568" s="2" t="s">
        <v>3777</v>
      </c>
      <c r="C568" s="5" t="s">
        <v>2128</v>
      </c>
      <c r="D568" s="5" t="s">
        <v>71</v>
      </c>
      <c r="E568" s="2" t="s">
        <v>1198</v>
      </c>
      <c r="F568" s="2"/>
      <c r="G568" s="2" t="s">
        <v>3778</v>
      </c>
      <c r="H568" s="2" t="s">
        <v>1200</v>
      </c>
      <c r="I568" s="5" t="s">
        <v>74</v>
      </c>
      <c r="J568" s="2" t="s">
        <v>7127</v>
      </c>
      <c r="K568" s="2" t="s">
        <v>71</v>
      </c>
      <c r="L568" s="5" t="n">
        <v>300</v>
      </c>
    </row>
    <row r="569" customFormat="false" ht="35.05" hidden="false" customHeight="false" outlineLevel="0" collapsed="false">
      <c r="A569" s="5" t="s">
        <v>3781</v>
      </c>
      <c r="B569" s="2" t="s">
        <v>3782</v>
      </c>
      <c r="C569" s="5" t="s">
        <v>2128</v>
      </c>
      <c r="D569" s="5" t="s">
        <v>71</v>
      </c>
      <c r="E569" s="2" t="s">
        <v>1198</v>
      </c>
      <c r="F569" s="2"/>
      <c r="G569" s="2" t="s">
        <v>3783</v>
      </c>
      <c r="H569" s="2" t="s">
        <v>1200</v>
      </c>
      <c r="I569" s="5" t="s">
        <v>74</v>
      </c>
      <c r="J569" s="2" t="s">
        <v>7128</v>
      </c>
      <c r="K569" s="2" t="s">
        <v>71</v>
      </c>
      <c r="L569" s="5" t="n">
        <v>300</v>
      </c>
    </row>
    <row r="570" customFormat="false" ht="23.85" hidden="false" customHeight="false" outlineLevel="0" collapsed="false">
      <c r="A570" s="5" t="s">
        <v>3786</v>
      </c>
      <c r="B570" s="2" t="s">
        <v>3787</v>
      </c>
      <c r="C570" s="5" t="s">
        <v>2128</v>
      </c>
      <c r="D570" s="5" t="s">
        <v>71</v>
      </c>
      <c r="E570" s="2" t="s">
        <v>1198</v>
      </c>
      <c r="F570" s="2"/>
      <c r="G570" s="2" t="s">
        <v>3788</v>
      </c>
      <c r="H570" s="2" t="s">
        <v>1200</v>
      </c>
      <c r="I570" s="5" t="s">
        <v>74</v>
      </c>
      <c r="J570" s="2" t="s">
        <v>7129</v>
      </c>
      <c r="K570" s="2" t="s">
        <v>71</v>
      </c>
      <c r="L570" s="5" t="n">
        <v>300</v>
      </c>
    </row>
    <row r="571" customFormat="false" ht="35.05" hidden="false" customHeight="false" outlineLevel="0" collapsed="false">
      <c r="A571" s="5" t="s">
        <v>3791</v>
      </c>
      <c r="B571" s="2" t="s">
        <v>3792</v>
      </c>
      <c r="C571" s="5" t="s">
        <v>2128</v>
      </c>
      <c r="D571" s="5" t="s">
        <v>71</v>
      </c>
      <c r="E571" s="2" t="s">
        <v>1198</v>
      </c>
      <c r="F571" s="2"/>
      <c r="G571" s="2" t="s">
        <v>3793</v>
      </c>
      <c r="H571" s="2" t="s">
        <v>1200</v>
      </c>
      <c r="I571" s="5" t="s">
        <v>74</v>
      </c>
      <c r="J571" s="2" t="s">
        <v>7130</v>
      </c>
      <c r="K571" s="2" t="s">
        <v>71</v>
      </c>
      <c r="L571" s="5" t="n">
        <v>300</v>
      </c>
    </row>
    <row r="572" customFormat="false" ht="46.25" hidden="false" customHeight="false" outlineLevel="0" collapsed="false">
      <c r="A572" s="5" t="s">
        <v>3796</v>
      </c>
      <c r="B572" s="2" t="s">
        <v>3797</v>
      </c>
      <c r="C572" s="5" t="s">
        <v>2128</v>
      </c>
      <c r="D572" s="5" t="s">
        <v>71</v>
      </c>
      <c r="E572" s="2" t="s">
        <v>1198</v>
      </c>
      <c r="F572" s="2"/>
      <c r="G572" s="2" t="s">
        <v>3798</v>
      </c>
      <c r="H572" s="2" t="s">
        <v>1200</v>
      </c>
      <c r="I572" s="5" t="s">
        <v>74</v>
      </c>
      <c r="J572" s="2" t="s">
        <v>7131</v>
      </c>
      <c r="K572" s="2" t="s">
        <v>71</v>
      </c>
      <c r="L572" s="5" t="n">
        <v>300</v>
      </c>
    </row>
    <row r="573" customFormat="false" ht="46.25" hidden="false" customHeight="false" outlineLevel="0" collapsed="false">
      <c r="A573" s="5" t="s">
        <v>3801</v>
      </c>
      <c r="B573" s="2" t="s">
        <v>3802</v>
      </c>
      <c r="C573" s="5" t="s">
        <v>2128</v>
      </c>
      <c r="D573" s="5" t="s">
        <v>71</v>
      </c>
      <c r="E573" s="2" t="s">
        <v>1976</v>
      </c>
      <c r="F573" s="2"/>
      <c r="G573" s="2" t="s">
        <v>3804</v>
      </c>
      <c r="H573" s="2" t="s">
        <v>3805</v>
      </c>
      <c r="I573" s="5" t="s">
        <v>74</v>
      </c>
      <c r="J573" s="2" t="s">
        <v>7132</v>
      </c>
      <c r="K573" s="2" t="s">
        <v>71</v>
      </c>
      <c r="L573" s="5" t="n">
        <v>300</v>
      </c>
    </row>
    <row r="574" customFormat="false" ht="35.05" hidden="false" customHeight="false" outlineLevel="0" collapsed="false">
      <c r="A574" s="5" t="s">
        <v>3808</v>
      </c>
      <c r="B574" s="2" t="s">
        <v>3809</v>
      </c>
      <c r="C574" s="5" t="s">
        <v>2245</v>
      </c>
      <c r="D574" s="5" t="s">
        <v>71</v>
      </c>
      <c r="E574" s="2" t="s">
        <v>1911</v>
      </c>
      <c r="F574" s="2"/>
      <c r="G574" s="2" t="s">
        <v>3810</v>
      </c>
      <c r="H574" s="2" t="s">
        <v>3811</v>
      </c>
      <c r="I574" s="5" t="s">
        <v>74</v>
      </c>
      <c r="J574" s="2" t="s">
        <v>7133</v>
      </c>
      <c r="K574" s="2" t="s">
        <v>71</v>
      </c>
      <c r="L574" s="5" t="n">
        <v>300</v>
      </c>
    </row>
    <row r="575" customFormat="false" ht="15" hidden="false" customHeight="false" outlineLevel="0" collapsed="false">
      <c r="A575" s="5" t="s">
        <v>3814</v>
      </c>
      <c r="B575" s="2" t="s">
        <v>3815</v>
      </c>
      <c r="C575" s="5" t="s">
        <v>2128</v>
      </c>
      <c r="D575" s="5" t="s">
        <v>71</v>
      </c>
      <c r="E575" s="2" t="s">
        <v>416</v>
      </c>
      <c r="F575" s="2"/>
      <c r="G575" s="2" t="s">
        <v>3816</v>
      </c>
      <c r="H575" s="2" t="s">
        <v>3817</v>
      </c>
      <c r="I575" s="5" t="s">
        <v>74</v>
      </c>
      <c r="J575" s="2" t="s">
        <v>7134</v>
      </c>
      <c r="K575" s="2" t="s">
        <v>71</v>
      </c>
      <c r="L575" s="5" t="n">
        <v>300</v>
      </c>
    </row>
    <row r="576" customFormat="false" ht="23.85" hidden="false" customHeight="false" outlineLevel="0" collapsed="false">
      <c r="A576" s="5" t="s">
        <v>3820</v>
      </c>
      <c r="B576" s="2" t="s">
        <v>3821</v>
      </c>
      <c r="C576" s="5" t="s">
        <v>2128</v>
      </c>
      <c r="D576" s="5" t="s">
        <v>71</v>
      </c>
      <c r="E576" s="2" t="s">
        <v>368</v>
      </c>
      <c r="F576" s="2"/>
      <c r="G576" s="2" t="s">
        <v>3822</v>
      </c>
      <c r="H576" s="2" t="s">
        <v>3823</v>
      </c>
      <c r="I576" s="5" t="s">
        <v>74</v>
      </c>
      <c r="J576" s="2" t="s">
        <v>7135</v>
      </c>
      <c r="K576" s="2" t="s">
        <v>71</v>
      </c>
      <c r="L576" s="5" t="n">
        <v>300</v>
      </c>
    </row>
    <row r="577" customFormat="false" ht="15" hidden="false" customHeight="false" outlineLevel="0" collapsed="false">
      <c r="A577" s="5" t="s">
        <v>3826</v>
      </c>
      <c r="B577" s="2" t="s">
        <v>3827</v>
      </c>
      <c r="C577" s="5" t="s">
        <v>2128</v>
      </c>
      <c r="D577" s="5" t="s">
        <v>71</v>
      </c>
      <c r="E577" s="2" t="s">
        <v>385</v>
      </c>
      <c r="F577" s="2"/>
      <c r="G577" s="2"/>
      <c r="H577" s="2" t="s">
        <v>1098</v>
      </c>
      <c r="I577" s="5" t="s">
        <v>74</v>
      </c>
      <c r="J577" s="2" t="s">
        <v>7136</v>
      </c>
      <c r="K577" s="2" t="s">
        <v>71</v>
      </c>
      <c r="L577" s="5" t="n">
        <v>300</v>
      </c>
    </row>
    <row r="578" customFormat="false" ht="15" hidden="false" customHeight="false" outlineLevel="0" collapsed="false">
      <c r="A578" s="5" t="s">
        <v>3830</v>
      </c>
      <c r="B578" s="2" t="s">
        <v>3831</v>
      </c>
      <c r="C578" s="5" t="s">
        <v>2128</v>
      </c>
      <c r="D578" s="5" t="s">
        <v>71</v>
      </c>
      <c r="E578" s="2" t="s">
        <v>3832</v>
      </c>
      <c r="F578" s="2"/>
      <c r="G578" s="2"/>
      <c r="H578" s="2" t="s">
        <v>1098</v>
      </c>
      <c r="I578" s="5" t="s">
        <v>74</v>
      </c>
      <c r="J578" s="2" t="s">
        <v>7137</v>
      </c>
      <c r="K578" s="2" t="s">
        <v>71</v>
      </c>
      <c r="L578" s="5" t="n">
        <v>300</v>
      </c>
    </row>
    <row r="579" customFormat="false" ht="15" hidden="false" customHeight="false" outlineLevel="0" collapsed="false">
      <c r="A579" s="5" t="s">
        <v>3836</v>
      </c>
      <c r="B579" s="2" t="s">
        <v>3837</v>
      </c>
      <c r="C579" s="5" t="s">
        <v>2128</v>
      </c>
      <c r="D579" s="5" t="s">
        <v>71</v>
      </c>
      <c r="E579" s="2" t="s">
        <v>1533</v>
      </c>
      <c r="F579" s="2"/>
      <c r="G579" s="2" t="s">
        <v>3839</v>
      </c>
      <c r="H579" s="2" t="s">
        <v>1432</v>
      </c>
      <c r="I579" s="5" t="s">
        <v>74</v>
      </c>
      <c r="J579" s="2" t="s">
        <v>7138</v>
      </c>
      <c r="K579" s="2" t="s">
        <v>71</v>
      </c>
      <c r="L579" s="5" t="n">
        <v>300</v>
      </c>
    </row>
    <row r="580" customFormat="false" ht="57.45" hidden="false" customHeight="false" outlineLevel="0" collapsed="false">
      <c r="A580" s="5" t="s">
        <v>3842</v>
      </c>
      <c r="B580" s="2" t="s">
        <v>3843</v>
      </c>
      <c r="C580" s="5" t="s">
        <v>2245</v>
      </c>
      <c r="D580" s="5" t="s">
        <v>71</v>
      </c>
      <c r="E580" s="2" t="s">
        <v>1105</v>
      </c>
      <c r="F580" s="2"/>
      <c r="G580" s="2" t="s">
        <v>3845</v>
      </c>
      <c r="H580" s="2" t="s">
        <v>1352</v>
      </c>
      <c r="I580" s="5" t="s">
        <v>74</v>
      </c>
      <c r="J580" s="2" t="s">
        <v>7139</v>
      </c>
      <c r="K580" s="2" t="s">
        <v>71</v>
      </c>
      <c r="L580" s="5" t="n">
        <v>300</v>
      </c>
    </row>
    <row r="581" customFormat="false" ht="23.85" hidden="false" customHeight="false" outlineLevel="0" collapsed="false">
      <c r="A581" s="5" t="s">
        <v>3848</v>
      </c>
      <c r="B581" s="2" t="s">
        <v>3849</v>
      </c>
      <c r="C581" s="5" t="s">
        <v>2245</v>
      </c>
      <c r="D581" s="5" t="s">
        <v>71</v>
      </c>
      <c r="E581" s="2" t="s">
        <v>3130</v>
      </c>
      <c r="F581" s="2"/>
      <c r="G581" s="2" t="s">
        <v>3851</v>
      </c>
      <c r="H581" s="2" t="s">
        <v>3132</v>
      </c>
      <c r="I581" s="5" t="s">
        <v>74</v>
      </c>
      <c r="J581" s="2" t="s">
        <v>7140</v>
      </c>
      <c r="K581" s="2" t="s">
        <v>71</v>
      </c>
      <c r="L581" s="5" t="n">
        <v>300</v>
      </c>
    </row>
    <row r="582" customFormat="false" ht="46.25" hidden="false" customHeight="false" outlineLevel="0" collapsed="false">
      <c r="A582" s="5" t="s">
        <v>3854</v>
      </c>
      <c r="B582" s="2" t="s">
        <v>3855</v>
      </c>
      <c r="C582" s="5" t="s">
        <v>2128</v>
      </c>
      <c r="D582" s="5" t="s">
        <v>71</v>
      </c>
      <c r="E582" s="2" t="s">
        <v>1198</v>
      </c>
      <c r="F582" s="2"/>
      <c r="G582" s="2" t="s">
        <v>3857</v>
      </c>
      <c r="H582" s="2" t="s">
        <v>3858</v>
      </c>
      <c r="I582" s="5" t="s">
        <v>74</v>
      </c>
      <c r="J582" s="2" t="s">
        <v>7141</v>
      </c>
      <c r="K582" s="2" t="s">
        <v>71</v>
      </c>
      <c r="L582" s="5" t="n">
        <v>300</v>
      </c>
    </row>
    <row r="583" customFormat="false" ht="46.25" hidden="false" customHeight="false" outlineLevel="0" collapsed="false">
      <c r="A583" s="5" t="s">
        <v>3861</v>
      </c>
      <c r="B583" s="2" t="s">
        <v>3862</v>
      </c>
      <c r="C583" s="5" t="s">
        <v>2128</v>
      </c>
      <c r="D583" s="5" t="s">
        <v>71</v>
      </c>
      <c r="E583" s="2" t="s">
        <v>3700</v>
      </c>
      <c r="F583" s="2"/>
      <c r="G583" s="2" t="s">
        <v>3863</v>
      </c>
      <c r="H583" s="2" t="s">
        <v>3864</v>
      </c>
      <c r="I583" s="5" t="s">
        <v>74</v>
      </c>
      <c r="J583" s="2" t="s">
        <v>7142</v>
      </c>
      <c r="K583" s="2" t="s">
        <v>71</v>
      </c>
      <c r="L583" s="5" t="n">
        <v>300</v>
      </c>
    </row>
    <row r="584" customFormat="false" ht="57.45" hidden="false" customHeight="false" outlineLevel="0" collapsed="false">
      <c r="A584" s="5" t="s">
        <v>3868</v>
      </c>
      <c r="B584" s="2" t="s">
        <v>3869</v>
      </c>
      <c r="C584" s="5" t="s">
        <v>2128</v>
      </c>
      <c r="D584" s="5" t="s">
        <v>71</v>
      </c>
      <c r="E584" s="2" t="s">
        <v>1198</v>
      </c>
      <c r="F584" s="2"/>
      <c r="G584" s="2" t="s">
        <v>3871</v>
      </c>
      <c r="H584" s="2" t="s">
        <v>1200</v>
      </c>
      <c r="I584" s="5" t="s">
        <v>74</v>
      </c>
      <c r="J584" s="2" t="s">
        <v>7143</v>
      </c>
      <c r="K584" s="2" t="s">
        <v>71</v>
      </c>
      <c r="L584" s="5" t="n">
        <v>300</v>
      </c>
    </row>
    <row r="585" customFormat="false" ht="23.85" hidden="false" customHeight="false" outlineLevel="0" collapsed="false">
      <c r="A585" s="5" t="s">
        <v>3874</v>
      </c>
      <c r="B585" s="2" t="s">
        <v>3875</v>
      </c>
      <c r="C585" s="5" t="s">
        <v>2128</v>
      </c>
      <c r="D585" s="5" t="s">
        <v>71</v>
      </c>
      <c r="E585" s="2" t="s">
        <v>3876</v>
      </c>
      <c r="F585" s="2"/>
      <c r="G585" s="2" t="s">
        <v>3877</v>
      </c>
      <c r="H585" s="2" t="s">
        <v>3823</v>
      </c>
      <c r="I585" s="5" t="s">
        <v>74</v>
      </c>
      <c r="J585" s="2" t="s">
        <v>7144</v>
      </c>
      <c r="K585" s="2" t="s">
        <v>71</v>
      </c>
      <c r="L585" s="5" t="n">
        <v>300</v>
      </c>
    </row>
    <row r="586" customFormat="false" ht="68.65" hidden="false" customHeight="false" outlineLevel="0" collapsed="false">
      <c r="A586" s="5" t="s">
        <v>3881</v>
      </c>
      <c r="B586" s="2" t="s">
        <v>3882</v>
      </c>
      <c r="C586" s="5" t="s">
        <v>2128</v>
      </c>
      <c r="D586" s="5" t="s">
        <v>71</v>
      </c>
      <c r="E586" s="2" t="s">
        <v>1105</v>
      </c>
      <c r="F586" s="2"/>
      <c r="G586" s="2" t="s">
        <v>3883</v>
      </c>
      <c r="H586" s="2" t="s">
        <v>1176</v>
      </c>
      <c r="I586" s="5" t="s">
        <v>74</v>
      </c>
      <c r="J586" s="2" t="s">
        <v>7145</v>
      </c>
      <c r="K586" s="2" t="s">
        <v>71</v>
      </c>
      <c r="L586" s="5" t="n">
        <v>300</v>
      </c>
    </row>
    <row r="587" customFormat="false" ht="46.25" hidden="false" customHeight="false" outlineLevel="0" collapsed="false">
      <c r="A587" s="5" t="s">
        <v>3886</v>
      </c>
      <c r="B587" s="2" t="s">
        <v>3887</v>
      </c>
      <c r="C587" s="5" t="s">
        <v>2245</v>
      </c>
      <c r="D587" s="5" t="s">
        <v>71</v>
      </c>
      <c r="E587" s="2" t="s">
        <v>3130</v>
      </c>
      <c r="F587" s="2"/>
      <c r="G587" s="2" t="s">
        <v>3888</v>
      </c>
      <c r="H587" s="2" t="s">
        <v>3132</v>
      </c>
      <c r="I587" s="5" t="s">
        <v>74</v>
      </c>
      <c r="J587" s="2" t="s">
        <v>7146</v>
      </c>
      <c r="K587" s="2" t="s">
        <v>71</v>
      </c>
      <c r="L587" s="5" t="n">
        <v>300</v>
      </c>
    </row>
    <row r="588" customFormat="false" ht="57.45" hidden="false" customHeight="false" outlineLevel="0" collapsed="false">
      <c r="A588" s="5" t="s">
        <v>3891</v>
      </c>
      <c r="B588" s="2" t="s">
        <v>3892</v>
      </c>
      <c r="C588" s="5" t="s">
        <v>2128</v>
      </c>
      <c r="D588" s="5" t="s">
        <v>71</v>
      </c>
      <c r="E588" s="2" t="s">
        <v>3500</v>
      </c>
      <c r="F588" s="2"/>
      <c r="G588" s="2" t="s">
        <v>3894</v>
      </c>
      <c r="H588" s="2" t="s">
        <v>3895</v>
      </c>
      <c r="I588" s="5" t="s">
        <v>74</v>
      </c>
      <c r="J588" s="2" t="s">
        <v>7147</v>
      </c>
      <c r="K588" s="2" t="s">
        <v>71</v>
      </c>
      <c r="L588" s="5" t="n">
        <v>300</v>
      </c>
    </row>
    <row r="589" customFormat="false" ht="57.45" hidden="false" customHeight="false" outlineLevel="0" collapsed="false">
      <c r="A589" s="5" t="s">
        <v>3898</v>
      </c>
      <c r="B589" s="2" t="s">
        <v>3899</v>
      </c>
      <c r="C589" s="5" t="s">
        <v>2128</v>
      </c>
      <c r="D589" s="5" t="s">
        <v>71</v>
      </c>
      <c r="E589" s="2" t="s">
        <v>1105</v>
      </c>
      <c r="F589" s="2"/>
      <c r="G589" s="2" t="s">
        <v>3901</v>
      </c>
      <c r="H589" s="2" t="s">
        <v>1176</v>
      </c>
      <c r="I589" s="5" t="s">
        <v>74</v>
      </c>
      <c r="J589" s="2" t="s">
        <v>7148</v>
      </c>
      <c r="K589" s="2" t="s">
        <v>71</v>
      </c>
      <c r="L589" s="5" t="n">
        <v>300</v>
      </c>
    </row>
    <row r="590" customFormat="false" ht="23.85" hidden="false" customHeight="false" outlineLevel="0" collapsed="false">
      <c r="A590" s="5" t="s">
        <v>3904</v>
      </c>
      <c r="B590" s="2" t="s">
        <v>3905</v>
      </c>
      <c r="C590" s="5" t="s">
        <v>2128</v>
      </c>
      <c r="D590" s="5" t="s">
        <v>71</v>
      </c>
      <c r="E590" s="2" t="s">
        <v>3906</v>
      </c>
      <c r="F590" s="2"/>
      <c r="G590" s="2" t="s">
        <v>3907</v>
      </c>
      <c r="H590" s="2" t="s">
        <v>1432</v>
      </c>
      <c r="I590" s="5" t="s">
        <v>74</v>
      </c>
      <c r="J590" s="2" t="s">
        <v>7149</v>
      </c>
      <c r="K590" s="2" t="s">
        <v>71</v>
      </c>
      <c r="L590" s="5" t="n">
        <v>300</v>
      </c>
    </row>
    <row r="591" customFormat="false" ht="57.45" hidden="false" customHeight="false" outlineLevel="0" collapsed="false">
      <c r="A591" s="5" t="s">
        <v>3910</v>
      </c>
      <c r="B591" s="2" t="s">
        <v>3911</v>
      </c>
      <c r="C591" s="5" t="s">
        <v>2245</v>
      </c>
      <c r="D591" s="5" t="s">
        <v>71</v>
      </c>
      <c r="E591" s="2" t="s">
        <v>1105</v>
      </c>
      <c r="F591" s="2"/>
      <c r="G591" s="2" t="s">
        <v>3912</v>
      </c>
      <c r="H591" s="2" t="s">
        <v>1176</v>
      </c>
      <c r="I591" s="5" t="s">
        <v>74</v>
      </c>
      <c r="J591" s="2" t="s">
        <v>7150</v>
      </c>
      <c r="K591" s="2" t="s">
        <v>71</v>
      </c>
      <c r="L591" s="5" t="n">
        <v>300</v>
      </c>
    </row>
    <row r="592" customFormat="false" ht="35.05" hidden="false" customHeight="false" outlineLevel="0" collapsed="false">
      <c r="A592" s="5" t="s">
        <v>3915</v>
      </c>
      <c r="B592" s="2" t="s">
        <v>3916</v>
      </c>
      <c r="C592" s="5" t="s">
        <v>2128</v>
      </c>
      <c r="D592" s="5" t="s">
        <v>71</v>
      </c>
      <c r="E592" s="2" t="s">
        <v>3917</v>
      </c>
      <c r="F592" s="2" t="s">
        <v>385</v>
      </c>
      <c r="G592" s="2" t="s">
        <v>3918</v>
      </c>
      <c r="H592" s="2" t="s">
        <v>3919</v>
      </c>
      <c r="I592" s="5" t="s">
        <v>74</v>
      </c>
      <c r="J592" s="2" t="s">
        <v>7151</v>
      </c>
      <c r="K592" s="2" t="s">
        <v>71</v>
      </c>
      <c r="L592" s="5" t="n">
        <v>300</v>
      </c>
    </row>
    <row r="593" customFormat="false" ht="35.05" hidden="false" customHeight="false" outlineLevel="0" collapsed="false">
      <c r="A593" s="5" t="s">
        <v>3923</v>
      </c>
      <c r="B593" s="2" t="s">
        <v>3924</v>
      </c>
      <c r="C593" s="5" t="s">
        <v>2128</v>
      </c>
      <c r="D593" s="5" t="s">
        <v>71</v>
      </c>
      <c r="E593" s="2" t="s">
        <v>1105</v>
      </c>
      <c r="F593" s="2"/>
      <c r="G593" s="2" t="s">
        <v>3925</v>
      </c>
      <c r="H593" s="2" t="s">
        <v>1176</v>
      </c>
      <c r="I593" s="5" t="s">
        <v>74</v>
      </c>
      <c r="J593" s="2" t="s">
        <v>7152</v>
      </c>
      <c r="K593" s="2" t="s">
        <v>71</v>
      </c>
      <c r="L593" s="5" t="n">
        <v>300</v>
      </c>
    </row>
    <row r="594" customFormat="false" ht="35.05" hidden="false" customHeight="false" outlineLevel="0" collapsed="false">
      <c r="A594" s="5" t="s">
        <v>3928</v>
      </c>
      <c r="B594" s="2" t="s">
        <v>3929</v>
      </c>
      <c r="C594" s="5" t="s">
        <v>2128</v>
      </c>
      <c r="D594" s="5" t="s">
        <v>71</v>
      </c>
      <c r="E594" s="2" t="s">
        <v>1105</v>
      </c>
      <c r="F594" s="2"/>
      <c r="G594" s="2" t="s">
        <v>3930</v>
      </c>
      <c r="H594" s="2" t="s">
        <v>1176</v>
      </c>
      <c r="I594" s="5" t="s">
        <v>74</v>
      </c>
      <c r="J594" s="2" t="s">
        <v>7153</v>
      </c>
      <c r="K594" s="2" t="s">
        <v>71</v>
      </c>
      <c r="L594" s="5" t="n">
        <v>300</v>
      </c>
    </row>
    <row r="595" customFormat="false" ht="46.25" hidden="false" customHeight="false" outlineLevel="0" collapsed="false">
      <c r="A595" s="5" t="s">
        <v>3933</v>
      </c>
      <c r="B595" s="2" t="s">
        <v>3934</v>
      </c>
      <c r="C595" s="5" t="s">
        <v>2128</v>
      </c>
      <c r="D595" s="5" t="s">
        <v>71</v>
      </c>
      <c r="E595" s="2" t="s">
        <v>1105</v>
      </c>
      <c r="F595" s="2"/>
      <c r="G595" s="2" t="s">
        <v>3935</v>
      </c>
      <c r="H595" s="2" t="s">
        <v>1176</v>
      </c>
      <c r="I595" s="5" t="s">
        <v>74</v>
      </c>
      <c r="J595" s="2" t="s">
        <v>7154</v>
      </c>
      <c r="K595" s="2" t="s">
        <v>71</v>
      </c>
      <c r="L595" s="5" t="n">
        <v>300</v>
      </c>
    </row>
    <row r="596" customFormat="false" ht="46.25" hidden="false" customHeight="false" outlineLevel="0" collapsed="false">
      <c r="A596" s="5" t="s">
        <v>3938</v>
      </c>
      <c r="B596" s="2" t="s">
        <v>3939</v>
      </c>
      <c r="C596" s="5" t="s">
        <v>2245</v>
      </c>
      <c r="D596" s="5" t="s">
        <v>71</v>
      </c>
      <c r="E596" s="2" t="s">
        <v>3940</v>
      </c>
      <c r="F596" s="2"/>
      <c r="G596" s="2"/>
      <c r="H596" s="2" t="s">
        <v>1098</v>
      </c>
      <c r="I596" s="5" t="s">
        <v>74</v>
      </c>
      <c r="J596" s="2" t="s">
        <v>7155</v>
      </c>
      <c r="K596" s="2" t="s">
        <v>71</v>
      </c>
      <c r="L596" s="5" t="n">
        <v>300</v>
      </c>
    </row>
    <row r="597" customFormat="false" ht="15" hidden="false" customHeight="false" outlineLevel="0" collapsed="false">
      <c r="A597" s="5" t="s">
        <v>3943</v>
      </c>
      <c r="B597" s="2" t="s">
        <v>3944</v>
      </c>
      <c r="C597" s="5" t="s">
        <v>2245</v>
      </c>
      <c r="D597" s="5" t="s">
        <v>71</v>
      </c>
      <c r="E597" s="2" t="s">
        <v>1533</v>
      </c>
      <c r="F597" s="2"/>
      <c r="G597" s="2" t="s">
        <v>3945</v>
      </c>
      <c r="H597" s="2" t="s">
        <v>3946</v>
      </c>
      <c r="I597" s="5" t="s">
        <v>74</v>
      </c>
      <c r="J597" s="2" t="s">
        <v>7156</v>
      </c>
      <c r="K597" s="2" t="s">
        <v>71</v>
      </c>
      <c r="L597" s="5" t="n">
        <v>300</v>
      </c>
    </row>
    <row r="598" customFormat="false" ht="35.05" hidden="false" customHeight="false" outlineLevel="0" collapsed="false">
      <c r="A598" s="5" t="s">
        <v>3949</v>
      </c>
      <c r="B598" s="2" t="s">
        <v>3950</v>
      </c>
      <c r="C598" s="5" t="s">
        <v>2245</v>
      </c>
      <c r="D598" s="5" t="s">
        <v>71</v>
      </c>
      <c r="E598" s="2" t="s">
        <v>7157</v>
      </c>
      <c r="F598" s="2"/>
      <c r="G598" s="2" t="s">
        <v>3951</v>
      </c>
      <c r="H598" s="2" t="s">
        <v>3952</v>
      </c>
      <c r="I598" s="5" t="s">
        <v>74</v>
      </c>
      <c r="J598" s="2" t="s">
        <v>7158</v>
      </c>
      <c r="K598" s="2" t="s">
        <v>71</v>
      </c>
      <c r="L598" s="5" t="n">
        <v>300</v>
      </c>
    </row>
    <row r="599" customFormat="false" ht="23.85" hidden="false" customHeight="false" outlineLevel="0" collapsed="false">
      <c r="A599" s="5" t="s">
        <v>3955</v>
      </c>
      <c r="B599" s="2" t="s">
        <v>3956</v>
      </c>
      <c r="C599" s="5" t="s">
        <v>2245</v>
      </c>
      <c r="D599" s="5" t="s">
        <v>71</v>
      </c>
      <c r="E599" s="2" t="s">
        <v>3130</v>
      </c>
      <c r="F599" s="2"/>
      <c r="G599" s="2" t="s">
        <v>3957</v>
      </c>
      <c r="H599" s="2" t="s">
        <v>3132</v>
      </c>
      <c r="I599" s="5" t="s">
        <v>74</v>
      </c>
      <c r="J599" s="2" t="s">
        <v>7159</v>
      </c>
      <c r="K599" s="2" t="s">
        <v>71</v>
      </c>
      <c r="L599" s="5" t="n">
        <v>300</v>
      </c>
    </row>
    <row r="600" customFormat="false" ht="23.85" hidden="false" customHeight="false" outlineLevel="0" collapsed="false">
      <c r="A600" s="5" t="s">
        <v>3960</v>
      </c>
      <c r="B600" s="2" t="s">
        <v>3961</v>
      </c>
      <c r="C600" s="5" t="s">
        <v>2245</v>
      </c>
      <c r="D600" s="5" t="s">
        <v>71</v>
      </c>
      <c r="E600" s="2" t="s">
        <v>3203</v>
      </c>
      <c r="F600" s="2"/>
      <c r="G600" s="2" t="s">
        <v>3962</v>
      </c>
      <c r="H600" s="2" t="s">
        <v>3963</v>
      </c>
      <c r="I600" s="5" t="s">
        <v>74</v>
      </c>
      <c r="J600" s="2" t="s">
        <v>7160</v>
      </c>
      <c r="K600" s="2" t="s">
        <v>71</v>
      </c>
      <c r="L600" s="5" t="n">
        <v>300</v>
      </c>
    </row>
    <row r="601" customFormat="false" ht="35.05" hidden="false" customHeight="false" outlineLevel="0" collapsed="false">
      <c r="A601" s="5" t="s">
        <v>3966</v>
      </c>
      <c r="B601" s="2" t="s">
        <v>3967</v>
      </c>
      <c r="C601" s="5" t="s">
        <v>2128</v>
      </c>
      <c r="D601" s="5" t="s">
        <v>71</v>
      </c>
      <c r="E601" s="2" t="s">
        <v>3968</v>
      </c>
      <c r="F601" s="2"/>
      <c r="G601" s="2" t="s">
        <v>3969</v>
      </c>
      <c r="H601" s="2" t="s">
        <v>2019</v>
      </c>
      <c r="I601" s="5" t="s">
        <v>74</v>
      </c>
      <c r="J601" s="2" t="s">
        <v>7161</v>
      </c>
      <c r="K601" s="2" t="s">
        <v>71</v>
      </c>
      <c r="L601" s="5" t="n">
        <v>300</v>
      </c>
    </row>
    <row r="602" customFormat="false" ht="35.05" hidden="false" customHeight="false" outlineLevel="0" collapsed="false">
      <c r="A602" s="5" t="s">
        <v>3973</v>
      </c>
      <c r="B602" s="2" t="s">
        <v>3974</v>
      </c>
      <c r="C602" s="5" t="s">
        <v>2128</v>
      </c>
      <c r="D602" s="5" t="s">
        <v>71</v>
      </c>
      <c r="E602" s="2" t="s">
        <v>3968</v>
      </c>
      <c r="F602" s="2"/>
      <c r="G602" s="2" t="s">
        <v>3975</v>
      </c>
      <c r="H602" s="2" t="s">
        <v>2019</v>
      </c>
      <c r="I602" s="5" t="s">
        <v>74</v>
      </c>
      <c r="J602" s="2" t="s">
        <v>7162</v>
      </c>
      <c r="K602" s="2" t="s">
        <v>71</v>
      </c>
      <c r="L602" s="5" t="n">
        <v>300</v>
      </c>
    </row>
    <row r="603" customFormat="false" ht="35.05" hidden="false" customHeight="false" outlineLevel="0" collapsed="false">
      <c r="A603" s="5" t="s">
        <v>3978</v>
      </c>
      <c r="B603" s="2" t="s">
        <v>3979</v>
      </c>
      <c r="C603" s="5" t="s">
        <v>2128</v>
      </c>
      <c r="D603" s="5" t="s">
        <v>71</v>
      </c>
      <c r="E603" s="2" t="s">
        <v>3968</v>
      </c>
      <c r="F603" s="2"/>
      <c r="G603" s="2" t="s">
        <v>3980</v>
      </c>
      <c r="H603" s="2" t="s">
        <v>2019</v>
      </c>
      <c r="I603" s="5" t="s">
        <v>74</v>
      </c>
      <c r="J603" s="2" t="s">
        <v>7163</v>
      </c>
      <c r="K603" s="2" t="s">
        <v>71</v>
      </c>
      <c r="L603" s="5" t="n">
        <v>300</v>
      </c>
    </row>
    <row r="604" customFormat="false" ht="68.65" hidden="false" customHeight="false" outlineLevel="0" collapsed="false">
      <c r="A604" s="5" t="s">
        <v>3983</v>
      </c>
      <c r="B604" s="2" t="s">
        <v>3984</v>
      </c>
      <c r="C604" s="5" t="s">
        <v>2128</v>
      </c>
      <c r="D604" s="5" t="s">
        <v>71</v>
      </c>
      <c r="E604" s="2" t="s">
        <v>3985</v>
      </c>
      <c r="F604" s="2"/>
      <c r="G604" s="2" t="s">
        <v>3986</v>
      </c>
      <c r="H604" s="2" t="s">
        <v>3987</v>
      </c>
      <c r="I604" s="5" t="s">
        <v>74</v>
      </c>
      <c r="J604" s="2" t="s">
        <v>7164</v>
      </c>
      <c r="K604" s="2" t="s">
        <v>71</v>
      </c>
      <c r="L604" s="5" t="n">
        <v>300</v>
      </c>
    </row>
    <row r="605" customFormat="false" ht="35.05" hidden="false" customHeight="false" outlineLevel="0" collapsed="false">
      <c r="A605" s="5" t="s">
        <v>3991</v>
      </c>
      <c r="B605" s="2" t="s">
        <v>3992</v>
      </c>
      <c r="C605" s="5" t="s">
        <v>2128</v>
      </c>
      <c r="D605" s="5" t="s">
        <v>71</v>
      </c>
      <c r="E605" s="2" t="s">
        <v>1533</v>
      </c>
      <c r="F605" s="2"/>
      <c r="G605" s="2" t="s">
        <v>3993</v>
      </c>
      <c r="H605" s="2" t="s">
        <v>3994</v>
      </c>
      <c r="I605" s="5" t="s">
        <v>74</v>
      </c>
      <c r="J605" s="2" t="s">
        <v>7165</v>
      </c>
      <c r="K605" s="2" t="s">
        <v>71</v>
      </c>
      <c r="L605" s="5" t="n">
        <v>300</v>
      </c>
    </row>
    <row r="606" customFormat="false" ht="46.25" hidden="false" customHeight="false" outlineLevel="0" collapsed="false">
      <c r="A606" s="5" t="s">
        <v>3997</v>
      </c>
      <c r="B606" s="2" t="s">
        <v>3998</v>
      </c>
      <c r="C606" s="5" t="s">
        <v>2128</v>
      </c>
      <c r="D606" s="5" t="s">
        <v>71</v>
      </c>
      <c r="E606" s="2" t="s">
        <v>1105</v>
      </c>
      <c r="F606" s="2"/>
      <c r="G606" s="2" t="s">
        <v>3999</v>
      </c>
      <c r="H606" s="2" t="s">
        <v>1176</v>
      </c>
      <c r="I606" s="5" t="s">
        <v>74</v>
      </c>
      <c r="J606" s="2" t="s">
        <v>7166</v>
      </c>
      <c r="K606" s="2" t="s">
        <v>71</v>
      </c>
      <c r="L606" s="5" t="n">
        <v>300</v>
      </c>
    </row>
    <row r="607" customFormat="false" ht="23.85" hidden="false" customHeight="false" outlineLevel="0" collapsed="false">
      <c r="A607" s="5" t="s">
        <v>4002</v>
      </c>
      <c r="B607" s="2" t="s">
        <v>4003</v>
      </c>
      <c r="C607" s="5" t="s">
        <v>2245</v>
      </c>
      <c r="D607" s="5" t="s">
        <v>71</v>
      </c>
      <c r="E607" s="2" t="s">
        <v>3183</v>
      </c>
      <c r="F607" s="2"/>
      <c r="G607" s="2" t="s">
        <v>4004</v>
      </c>
      <c r="H607" s="2" t="s">
        <v>3185</v>
      </c>
      <c r="I607" s="5" t="s">
        <v>74</v>
      </c>
      <c r="J607" s="2" t="s">
        <v>7167</v>
      </c>
      <c r="K607" s="2" t="s">
        <v>71</v>
      </c>
      <c r="L607" s="5" t="n">
        <v>300</v>
      </c>
    </row>
    <row r="608" customFormat="false" ht="35.05" hidden="false" customHeight="false" outlineLevel="0" collapsed="false">
      <c r="A608" s="5" t="s">
        <v>4007</v>
      </c>
      <c r="B608" s="2" t="s">
        <v>4008</v>
      </c>
      <c r="C608" s="5" t="s">
        <v>2245</v>
      </c>
      <c r="D608" s="5" t="s">
        <v>71</v>
      </c>
      <c r="E608" s="2" t="s">
        <v>3130</v>
      </c>
      <c r="F608" s="2"/>
      <c r="G608" s="2" t="s">
        <v>4009</v>
      </c>
      <c r="H608" s="2" t="s">
        <v>3132</v>
      </c>
      <c r="I608" s="5" t="s">
        <v>74</v>
      </c>
      <c r="J608" s="2" t="s">
        <v>7168</v>
      </c>
      <c r="K608" s="2" t="s">
        <v>71</v>
      </c>
      <c r="L608" s="5" t="n">
        <v>300</v>
      </c>
    </row>
    <row r="609" customFormat="false" ht="23.85" hidden="false" customHeight="false" outlineLevel="0" collapsed="false">
      <c r="A609" s="5" t="s">
        <v>4012</v>
      </c>
      <c r="B609" s="2" t="s">
        <v>4013</v>
      </c>
      <c r="C609" s="5" t="s">
        <v>2245</v>
      </c>
      <c r="D609" s="5" t="s">
        <v>71</v>
      </c>
      <c r="E609" s="2" t="s">
        <v>1595</v>
      </c>
      <c r="F609" s="2"/>
      <c r="G609" s="2" t="s">
        <v>4014</v>
      </c>
      <c r="H609" s="2" t="s">
        <v>4015</v>
      </c>
      <c r="I609" s="5" t="s">
        <v>74</v>
      </c>
      <c r="J609" s="2" t="s">
        <v>7169</v>
      </c>
      <c r="K609" s="2" t="s">
        <v>71</v>
      </c>
      <c r="L609" s="5" t="n">
        <v>300</v>
      </c>
    </row>
    <row r="610" customFormat="false" ht="202.95" hidden="false" customHeight="false" outlineLevel="0" collapsed="false">
      <c r="A610" s="5" t="s">
        <v>4018</v>
      </c>
      <c r="B610" s="2" t="s">
        <v>4019</v>
      </c>
      <c r="C610" s="5" t="s">
        <v>2128</v>
      </c>
      <c r="D610" s="5" t="s">
        <v>71</v>
      </c>
      <c r="E610" s="2" t="s">
        <v>1212</v>
      </c>
      <c r="F610" s="2"/>
      <c r="G610" s="2" t="s">
        <v>4020</v>
      </c>
      <c r="H610" s="2" t="s">
        <v>1716</v>
      </c>
      <c r="I610" s="5" t="s">
        <v>74</v>
      </c>
      <c r="J610" s="2" t="s">
        <v>7170</v>
      </c>
      <c r="K610" s="2" t="s">
        <v>71</v>
      </c>
      <c r="L610" s="5" t="n">
        <v>300</v>
      </c>
    </row>
    <row r="611" customFormat="false" ht="46.25" hidden="false" customHeight="false" outlineLevel="0" collapsed="false">
      <c r="A611" s="5" t="s">
        <v>4023</v>
      </c>
      <c r="B611" s="2" t="s">
        <v>4024</v>
      </c>
      <c r="C611" s="5" t="s">
        <v>2245</v>
      </c>
      <c r="D611" s="5" t="s">
        <v>71</v>
      </c>
      <c r="E611" s="2" t="s">
        <v>7171</v>
      </c>
      <c r="F611" s="2"/>
      <c r="G611" s="2" t="s">
        <v>4027</v>
      </c>
      <c r="H611" s="2" t="s">
        <v>4028</v>
      </c>
      <c r="I611" s="5" t="s">
        <v>74</v>
      </c>
      <c r="J611" s="2" t="s">
        <v>7172</v>
      </c>
      <c r="K611" s="2" t="s">
        <v>71</v>
      </c>
      <c r="L611" s="5" t="n">
        <v>300</v>
      </c>
    </row>
    <row r="612" customFormat="false" ht="35.05" hidden="false" customHeight="false" outlineLevel="0" collapsed="false">
      <c r="A612" s="5" t="s">
        <v>4033</v>
      </c>
      <c r="B612" s="2" t="s">
        <v>4034</v>
      </c>
      <c r="C612" s="5" t="s">
        <v>2128</v>
      </c>
      <c r="D612" s="5" t="s">
        <v>71</v>
      </c>
      <c r="E612" s="2" t="s">
        <v>1105</v>
      </c>
      <c r="F612" s="2"/>
      <c r="G612" s="2" t="s">
        <v>4035</v>
      </c>
      <c r="H612" s="2" t="s">
        <v>1176</v>
      </c>
      <c r="I612" s="5" t="s">
        <v>74</v>
      </c>
      <c r="J612" s="2" t="s">
        <v>7173</v>
      </c>
      <c r="K612" s="2" t="s">
        <v>71</v>
      </c>
      <c r="L612" s="5" t="n">
        <v>300</v>
      </c>
    </row>
    <row r="613" customFormat="false" ht="35.05" hidden="false" customHeight="false" outlineLevel="0" collapsed="false">
      <c r="A613" s="5" t="s">
        <v>4038</v>
      </c>
      <c r="B613" s="2" t="s">
        <v>4039</v>
      </c>
      <c r="C613" s="5" t="s">
        <v>2245</v>
      </c>
      <c r="D613" s="5" t="s">
        <v>71</v>
      </c>
      <c r="E613" s="2" t="s">
        <v>1533</v>
      </c>
      <c r="F613" s="2"/>
      <c r="G613" s="2" t="s">
        <v>4040</v>
      </c>
      <c r="H613" s="2" t="s">
        <v>4041</v>
      </c>
      <c r="I613" s="5" t="s">
        <v>74</v>
      </c>
      <c r="J613" s="2" t="s">
        <v>7174</v>
      </c>
      <c r="K613" s="2" t="s">
        <v>71</v>
      </c>
      <c r="L613" s="5" t="n">
        <v>300</v>
      </c>
    </row>
    <row r="614" customFormat="false" ht="180.55" hidden="false" customHeight="false" outlineLevel="0" collapsed="false">
      <c r="A614" s="5" t="s">
        <v>4044</v>
      </c>
      <c r="B614" s="2" t="s">
        <v>4045</v>
      </c>
      <c r="C614" s="5" t="s">
        <v>2128</v>
      </c>
      <c r="D614" s="5" t="s">
        <v>71</v>
      </c>
      <c r="E614" s="2" t="s">
        <v>1307</v>
      </c>
      <c r="F614" s="2"/>
      <c r="G614" s="2" t="s">
        <v>4046</v>
      </c>
      <c r="H614" s="2" t="s">
        <v>4047</v>
      </c>
      <c r="I614" s="5" t="s">
        <v>74</v>
      </c>
      <c r="J614" s="2" t="s">
        <v>7175</v>
      </c>
      <c r="K614" s="2" t="s">
        <v>71</v>
      </c>
      <c r="L614" s="5" t="n">
        <v>300</v>
      </c>
    </row>
    <row r="615" customFormat="false" ht="35.05" hidden="false" customHeight="false" outlineLevel="0" collapsed="false">
      <c r="A615" s="5" t="s">
        <v>4050</v>
      </c>
      <c r="B615" s="2" t="s">
        <v>4051</v>
      </c>
      <c r="C615" s="5" t="s">
        <v>2245</v>
      </c>
      <c r="D615" s="5" t="s">
        <v>71</v>
      </c>
      <c r="E615" s="2" t="s">
        <v>4053</v>
      </c>
      <c r="F615" s="2"/>
      <c r="G615" s="2" t="s">
        <v>4054</v>
      </c>
      <c r="H615" s="2" t="s">
        <v>2081</v>
      </c>
      <c r="I615" s="5" t="s">
        <v>74</v>
      </c>
      <c r="J615" s="2" t="s">
        <v>7176</v>
      </c>
      <c r="K615" s="2" t="s">
        <v>71</v>
      </c>
      <c r="L615" s="5" t="n">
        <v>300</v>
      </c>
    </row>
    <row r="616" customFormat="false" ht="23.85" hidden="false" customHeight="false" outlineLevel="0" collapsed="false">
      <c r="A616" s="5" t="s">
        <v>4058</v>
      </c>
      <c r="B616" s="2" t="s">
        <v>4059</v>
      </c>
      <c r="C616" s="5" t="s">
        <v>2128</v>
      </c>
      <c r="D616" s="5" t="s">
        <v>71</v>
      </c>
      <c r="E616" s="2" t="s">
        <v>1105</v>
      </c>
      <c r="F616" s="2"/>
      <c r="G616" s="2" t="s">
        <v>4060</v>
      </c>
      <c r="H616" s="2" t="s">
        <v>4061</v>
      </c>
      <c r="I616" s="5" t="s">
        <v>74</v>
      </c>
      <c r="J616" s="2" t="s">
        <v>7177</v>
      </c>
      <c r="K616" s="2" t="s">
        <v>71</v>
      </c>
      <c r="L616" s="5" t="n">
        <v>300</v>
      </c>
    </row>
    <row r="617" customFormat="false" ht="35.05" hidden="false" customHeight="false" outlineLevel="0" collapsed="false">
      <c r="A617" s="5" t="s">
        <v>4064</v>
      </c>
      <c r="B617" s="2" t="s">
        <v>4065</v>
      </c>
      <c r="C617" s="5" t="s">
        <v>2128</v>
      </c>
      <c r="D617" s="5" t="s">
        <v>71</v>
      </c>
      <c r="E617" s="2" t="s">
        <v>1105</v>
      </c>
      <c r="F617" s="2"/>
      <c r="G617" s="2" t="s">
        <v>4066</v>
      </c>
      <c r="H617" s="2" t="s">
        <v>1931</v>
      </c>
      <c r="I617" s="5" t="s">
        <v>74</v>
      </c>
      <c r="J617" s="2" t="s">
        <v>7178</v>
      </c>
      <c r="K617" s="2" t="s">
        <v>71</v>
      </c>
      <c r="L617" s="5" t="n">
        <v>300</v>
      </c>
    </row>
    <row r="618" customFormat="false" ht="23.85" hidden="false" customHeight="false" outlineLevel="0" collapsed="false">
      <c r="A618" s="5" t="s">
        <v>4069</v>
      </c>
      <c r="B618" s="2" t="s">
        <v>4070</v>
      </c>
      <c r="C618" s="5" t="s">
        <v>2245</v>
      </c>
      <c r="D618" s="5" t="s">
        <v>71</v>
      </c>
      <c r="E618" s="2" t="s">
        <v>3130</v>
      </c>
      <c r="F618" s="2"/>
      <c r="G618" s="2" t="s">
        <v>4071</v>
      </c>
      <c r="H618" s="2" t="s">
        <v>3132</v>
      </c>
      <c r="I618" s="5" t="s">
        <v>74</v>
      </c>
      <c r="J618" s="2" t="s">
        <v>7179</v>
      </c>
      <c r="K618" s="2" t="s">
        <v>71</v>
      </c>
      <c r="L618" s="5" t="n">
        <v>300</v>
      </c>
    </row>
    <row r="619" customFormat="false" ht="15" hidden="false" customHeight="false" outlineLevel="0" collapsed="false">
      <c r="A619" s="5" t="s">
        <v>4074</v>
      </c>
      <c r="B619" s="2" t="s">
        <v>4075</v>
      </c>
      <c r="C619" s="5" t="s">
        <v>2245</v>
      </c>
      <c r="D619" s="5" t="s">
        <v>71</v>
      </c>
      <c r="E619" s="2" t="s">
        <v>3130</v>
      </c>
      <c r="F619" s="2"/>
      <c r="G619" s="2" t="s">
        <v>4076</v>
      </c>
      <c r="H619" s="2" t="s">
        <v>3132</v>
      </c>
      <c r="I619" s="5" t="s">
        <v>74</v>
      </c>
      <c r="J619" s="2" t="s">
        <v>7180</v>
      </c>
      <c r="K619" s="2" t="s">
        <v>71</v>
      </c>
      <c r="L619" s="5" t="n">
        <v>300</v>
      </c>
    </row>
    <row r="620" customFormat="false" ht="23.85" hidden="false" customHeight="false" outlineLevel="0" collapsed="false">
      <c r="A620" s="5" t="s">
        <v>4079</v>
      </c>
      <c r="B620" s="2" t="s">
        <v>4080</v>
      </c>
      <c r="C620" s="5" t="s">
        <v>2245</v>
      </c>
      <c r="D620" s="5" t="s">
        <v>71</v>
      </c>
      <c r="E620" s="2" t="s">
        <v>3130</v>
      </c>
      <c r="F620" s="2"/>
      <c r="G620" s="2" t="s">
        <v>4081</v>
      </c>
      <c r="H620" s="2" t="s">
        <v>3132</v>
      </c>
      <c r="I620" s="5" t="s">
        <v>74</v>
      </c>
      <c r="J620" s="2" t="s">
        <v>7181</v>
      </c>
      <c r="K620" s="2" t="s">
        <v>71</v>
      </c>
      <c r="L620" s="5" t="n">
        <v>300</v>
      </c>
    </row>
    <row r="621" customFormat="false" ht="23.85" hidden="false" customHeight="false" outlineLevel="0" collapsed="false">
      <c r="A621" s="5" t="s">
        <v>4084</v>
      </c>
      <c r="B621" s="2" t="s">
        <v>4085</v>
      </c>
      <c r="C621" s="5" t="s">
        <v>2245</v>
      </c>
      <c r="D621" s="5" t="s">
        <v>71</v>
      </c>
      <c r="E621" s="2" t="s">
        <v>1198</v>
      </c>
      <c r="F621" s="2"/>
      <c r="G621" s="2" t="s">
        <v>4086</v>
      </c>
      <c r="H621" s="2" t="s">
        <v>1200</v>
      </c>
      <c r="I621" s="5" t="s">
        <v>74</v>
      </c>
      <c r="J621" s="2" t="s">
        <v>7182</v>
      </c>
      <c r="K621" s="2" t="s">
        <v>71</v>
      </c>
      <c r="L621" s="5" t="n">
        <v>300</v>
      </c>
    </row>
    <row r="622" customFormat="false" ht="35.05" hidden="false" customHeight="false" outlineLevel="0" collapsed="false">
      <c r="A622" s="5" t="s">
        <v>4089</v>
      </c>
      <c r="B622" s="2" t="s">
        <v>4090</v>
      </c>
      <c r="C622" s="5" t="s">
        <v>2245</v>
      </c>
      <c r="D622" s="5" t="s">
        <v>71</v>
      </c>
      <c r="E622" s="2" t="s">
        <v>1105</v>
      </c>
      <c r="F622" s="2"/>
      <c r="G622" s="2" t="s">
        <v>4091</v>
      </c>
      <c r="H622" s="2" t="s">
        <v>1176</v>
      </c>
      <c r="I622" s="5" t="s">
        <v>74</v>
      </c>
      <c r="J622" s="2" t="s">
        <v>7183</v>
      </c>
      <c r="K622" s="2" t="s">
        <v>71</v>
      </c>
      <c r="L622" s="5" t="n">
        <v>300</v>
      </c>
    </row>
    <row r="623" customFormat="false" ht="46.25" hidden="false" customHeight="false" outlineLevel="0" collapsed="false">
      <c r="A623" s="5" t="s">
        <v>4094</v>
      </c>
      <c r="B623" s="2" t="s">
        <v>4095</v>
      </c>
      <c r="C623" s="5" t="s">
        <v>2128</v>
      </c>
      <c r="D623" s="5" t="s">
        <v>71</v>
      </c>
      <c r="E623" s="2" t="s">
        <v>4097</v>
      </c>
      <c r="F623" s="2"/>
      <c r="G623" s="2" t="s">
        <v>4098</v>
      </c>
      <c r="H623" s="2" t="s">
        <v>2081</v>
      </c>
      <c r="I623" s="5" t="s">
        <v>74</v>
      </c>
      <c r="J623" s="2" t="s">
        <v>7184</v>
      </c>
      <c r="K623" s="2" t="s">
        <v>71</v>
      </c>
      <c r="L623" s="5" t="n">
        <v>300</v>
      </c>
    </row>
    <row r="624" customFormat="false" ht="23.85" hidden="false" customHeight="false" outlineLevel="0" collapsed="false">
      <c r="A624" s="5" t="s">
        <v>4102</v>
      </c>
      <c r="B624" s="2" t="s">
        <v>4103</v>
      </c>
      <c r="C624" s="5" t="s">
        <v>2128</v>
      </c>
      <c r="D624" s="5" t="s">
        <v>71</v>
      </c>
      <c r="E624" s="2" t="s">
        <v>1612</v>
      </c>
      <c r="F624" s="2"/>
      <c r="G624" s="2" t="s">
        <v>4105</v>
      </c>
      <c r="H624" s="2" t="s">
        <v>1614</v>
      </c>
      <c r="I624" s="5" t="s">
        <v>74</v>
      </c>
      <c r="J624" s="2" t="s">
        <v>7185</v>
      </c>
      <c r="K624" s="2" t="s">
        <v>71</v>
      </c>
      <c r="L624" s="5" t="n">
        <v>300</v>
      </c>
    </row>
    <row r="625" customFormat="false" ht="113.4" hidden="false" customHeight="false" outlineLevel="0" collapsed="false">
      <c r="A625" s="5" t="s">
        <v>4108</v>
      </c>
      <c r="B625" s="2" t="s">
        <v>4109</v>
      </c>
      <c r="C625" s="5" t="s">
        <v>2245</v>
      </c>
      <c r="D625" s="5" t="s">
        <v>71</v>
      </c>
      <c r="E625" s="2" t="s">
        <v>1105</v>
      </c>
      <c r="F625" s="2"/>
      <c r="G625" s="2" t="s">
        <v>4110</v>
      </c>
      <c r="H625" s="2" t="s">
        <v>4111</v>
      </c>
      <c r="I625" s="5" t="s">
        <v>74</v>
      </c>
      <c r="J625" s="2" t="s">
        <v>7186</v>
      </c>
      <c r="K625" s="2" t="s">
        <v>71</v>
      </c>
      <c r="L625" s="5" t="n">
        <v>300</v>
      </c>
    </row>
    <row r="626" customFormat="false" ht="236.55" hidden="false" customHeight="false" outlineLevel="0" collapsed="false">
      <c r="A626" s="5" t="s">
        <v>4114</v>
      </c>
      <c r="B626" s="2" t="s">
        <v>4115</v>
      </c>
      <c r="C626" s="5" t="s">
        <v>2245</v>
      </c>
      <c r="D626" s="5" t="s">
        <v>71</v>
      </c>
      <c r="E626" s="2" t="s">
        <v>1105</v>
      </c>
      <c r="F626" s="2"/>
      <c r="G626" s="2" t="s">
        <v>4116</v>
      </c>
      <c r="H626" s="2" t="s">
        <v>4117</v>
      </c>
      <c r="I626" s="5" t="s">
        <v>74</v>
      </c>
      <c r="J626" s="2" t="s">
        <v>7187</v>
      </c>
      <c r="K626" s="2" t="s">
        <v>71</v>
      </c>
      <c r="L626" s="5" t="n">
        <v>300</v>
      </c>
    </row>
    <row r="627" customFormat="false" ht="57.45" hidden="false" customHeight="false" outlineLevel="0" collapsed="false">
      <c r="A627" s="5" t="s">
        <v>4120</v>
      </c>
      <c r="B627" s="2" t="s">
        <v>4121</v>
      </c>
      <c r="C627" s="5" t="s">
        <v>2128</v>
      </c>
      <c r="D627" s="5" t="s">
        <v>71</v>
      </c>
      <c r="E627" s="2" t="s">
        <v>1105</v>
      </c>
      <c r="F627" s="2"/>
      <c r="G627" s="2" t="s">
        <v>4122</v>
      </c>
      <c r="H627" s="2" t="s">
        <v>1139</v>
      </c>
      <c r="I627" s="5" t="s">
        <v>74</v>
      </c>
      <c r="J627" s="2" t="s">
        <v>7188</v>
      </c>
      <c r="K627" s="2" t="s">
        <v>71</v>
      </c>
      <c r="L627" s="5" t="n">
        <v>300</v>
      </c>
    </row>
    <row r="628" customFormat="false" ht="23.85" hidden="false" customHeight="false" outlineLevel="0" collapsed="false">
      <c r="A628" s="5" t="s">
        <v>4125</v>
      </c>
      <c r="B628" s="2" t="s">
        <v>4126</v>
      </c>
      <c r="C628" s="5" t="s">
        <v>2128</v>
      </c>
      <c r="D628" s="5" t="s">
        <v>71</v>
      </c>
      <c r="E628" s="2" t="s">
        <v>1533</v>
      </c>
      <c r="F628" s="2"/>
      <c r="G628" s="2" t="s">
        <v>4127</v>
      </c>
      <c r="H628" s="2" t="s">
        <v>3525</v>
      </c>
      <c r="I628" s="5" t="s">
        <v>74</v>
      </c>
      <c r="J628" s="2" t="s">
        <v>7189</v>
      </c>
      <c r="K628" s="2" t="s">
        <v>71</v>
      </c>
      <c r="L628" s="5" t="n">
        <v>300</v>
      </c>
    </row>
    <row r="629" customFormat="false" ht="57.45" hidden="false" customHeight="false" outlineLevel="0" collapsed="false">
      <c r="A629" s="5" t="s">
        <v>4130</v>
      </c>
      <c r="B629" s="2" t="s">
        <v>4131</v>
      </c>
      <c r="C629" s="5" t="s">
        <v>2128</v>
      </c>
      <c r="D629" s="5" t="s">
        <v>71</v>
      </c>
      <c r="E629" s="2" t="s">
        <v>4133</v>
      </c>
      <c r="F629" s="2"/>
      <c r="G629" s="2" t="s">
        <v>4134</v>
      </c>
      <c r="H629" s="2" t="s">
        <v>4135</v>
      </c>
      <c r="I629" s="5" t="s">
        <v>74</v>
      </c>
      <c r="J629" s="2" t="s">
        <v>7190</v>
      </c>
      <c r="K629" s="2" t="s">
        <v>71</v>
      </c>
      <c r="L629" s="5" t="n">
        <v>300</v>
      </c>
    </row>
    <row r="630" customFormat="false" ht="35.05" hidden="false" customHeight="false" outlineLevel="0" collapsed="false">
      <c r="A630" s="5" t="s">
        <v>4139</v>
      </c>
      <c r="B630" s="2" t="s">
        <v>4140</v>
      </c>
      <c r="C630" s="5" t="s">
        <v>2128</v>
      </c>
      <c r="D630" s="5" t="s">
        <v>71</v>
      </c>
      <c r="E630" s="2" t="s">
        <v>3203</v>
      </c>
      <c r="F630" s="2"/>
      <c r="G630" s="2" t="s">
        <v>4141</v>
      </c>
      <c r="H630" s="2" t="s">
        <v>1237</v>
      </c>
      <c r="I630" s="5" t="s">
        <v>74</v>
      </c>
      <c r="J630" s="2" t="s">
        <v>7191</v>
      </c>
      <c r="K630" s="2" t="s">
        <v>71</v>
      </c>
      <c r="L630" s="5" t="n">
        <v>300</v>
      </c>
    </row>
    <row r="631" customFormat="false" ht="68.65" hidden="false" customHeight="false" outlineLevel="0" collapsed="false">
      <c r="A631" s="5" t="s">
        <v>4144</v>
      </c>
      <c r="B631" s="2" t="s">
        <v>4145</v>
      </c>
      <c r="C631" s="5" t="s">
        <v>2245</v>
      </c>
      <c r="D631" s="5" t="s">
        <v>71</v>
      </c>
      <c r="E631" s="2" t="s">
        <v>1105</v>
      </c>
      <c r="F631" s="2"/>
      <c r="G631" s="2" t="s">
        <v>4146</v>
      </c>
      <c r="H631" s="2" t="s">
        <v>1176</v>
      </c>
      <c r="I631" s="5" t="s">
        <v>74</v>
      </c>
      <c r="J631" s="2" t="s">
        <v>7192</v>
      </c>
      <c r="K631" s="2" t="s">
        <v>71</v>
      </c>
      <c r="L631" s="5" t="n">
        <v>300</v>
      </c>
    </row>
    <row r="632" customFormat="false" ht="23.85" hidden="false" customHeight="false" outlineLevel="0" collapsed="false">
      <c r="A632" s="5" t="s">
        <v>4149</v>
      </c>
      <c r="B632" s="2" t="s">
        <v>4150</v>
      </c>
      <c r="C632" s="5" t="s">
        <v>2245</v>
      </c>
      <c r="D632" s="5" t="s">
        <v>71</v>
      </c>
      <c r="E632" s="2" t="s">
        <v>1105</v>
      </c>
      <c r="F632" s="2"/>
      <c r="G632" s="2" t="s">
        <v>4151</v>
      </c>
      <c r="H632" s="2" t="s">
        <v>1931</v>
      </c>
      <c r="I632" s="5" t="s">
        <v>74</v>
      </c>
      <c r="J632" s="2" t="s">
        <v>7193</v>
      </c>
      <c r="K632" s="2" t="s">
        <v>71</v>
      </c>
      <c r="L632" s="5" t="n">
        <v>300</v>
      </c>
    </row>
    <row r="633" customFormat="false" ht="68.65" hidden="false" customHeight="false" outlineLevel="0" collapsed="false">
      <c r="A633" s="5" t="s">
        <v>4154</v>
      </c>
      <c r="B633" s="2" t="s">
        <v>4155</v>
      </c>
      <c r="C633" s="5" t="s">
        <v>2128</v>
      </c>
      <c r="D633" s="5" t="s">
        <v>71</v>
      </c>
      <c r="E633" s="2" t="s">
        <v>1198</v>
      </c>
      <c r="F633" s="2"/>
      <c r="G633" s="2" t="s">
        <v>4156</v>
      </c>
      <c r="H633" s="2" t="s">
        <v>3817</v>
      </c>
      <c r="I633" s="5" t="s">
        <v>74</v>
      </c>
      <c r="J633" s="2" t="s">
        <v>7194</v>
      </c>
      <c r="K633" s="2" t="s">
        <v>71</v>
      </c>
      <c r="L633" s="5" t="n">
        <v>300</v>
      </c>
    </row>
    <row r="634" customFormat="false" ht="57.45" hidden="false" customHeight="false" outlineLevel="0" collapsed="false">
      <c r="A634" s="5" t="s">
        <v>4159</v>
      </c>
      <c r="B634" s="2" t="s">
        <v>4160</v>
      </c>
      <c r="C634" s="5" t="s">
        <v>2128</v>
      </c>
      <c r="D634" s="5" t="s">
        <v>4165</v>
      </c>
      <c r="E634" s="2" t="s">
        <v>4164</v>
      </c>
      <c r="F634" s="2"/>
      <c r="G634" s="2" t="s">
        <v>4166</v>
      </c>
      <c r="H634" s="2" t="s">
        <v>688</v>
      </c>
      <c r="I634" s="5" t="s">
        <v>74</v>
      </c>
      <c r="J634" s="2" t="s">
        <v>7195</v>
      </c>
      <c r="K634" s="2" t="s">
        <v>4165</v>
      </c>
      <c r="L634" s="5" t="n">
        <v>600</v>
      </c>
    </row>
    <row r="635" customFormat="false" ht="35.05" hidden="false" customHeight="false" outlineLevel="0" collapsed="false">
      <c r="A635" s="5" t="s">
        <v>4170</v>
      </c>
      <c r="B635" s="2" t="s">
        <v>4171</v>
      </c>
      <c r="C635" s="5" t="s">
        <v>2128</v>
      </c>
      <c r="D635" s="5" t="s">
        <v>71</v>
      </c>
      <c r="E635" s="2" t="s">
        <v>1105</v>
      </c>
      <c r="F635" s="2"/>
      <c r="G635" s="2" t="s">
        <v>4172</v>
      </c>
      <c r="H635" s="2" t="s">
        <v>1953</v>
      </c>
      <c r="I635" s="5" t="s">
        <v>74</v>
      </c>
      <c r="J635" s="2" t="s">
        <v>7196</v>
      </c>
      <c r="K635" s="2" t="s">
        <v>71</v>
      </c>
      <c r="L635" s="5" t="n">
        <v>300</v>
      </c>
    </row>
    <row r="636" customFormat="false" ht="23.85" hidden="false" customHeight="false" outlineLevel="0" collapsed="false">
      <c r="A636" s="5" t="s">
        <v>4175</v>
      </c>
      <c r="B636" s="2" t="s">
        <v>4176</v>
      </c>
      <c r="C636" s="5" t="s">
        <v>2128</v>
      </c>
      <c r="D636" s="5" t="s">
        <v>71</v>
      </c>
      <c r="E636" s="2" t="s">
        <v>4133</v>
      </c>
      <c r="F636" s="2"/>
      <c r="G636" s="2" t="s">
        <v>4177</v>
      </c>
      <c r="H636" s="2" t="s">
        <v>4178</v>
      </c>
      <c r="I636" s="5" t="s">
        <v>74</v>
      </c>
      <c r="J636" s="2" t="s">
        <v>7197</v>
      </c>
      <c r="K636" s="2" t="s">
        <v>71</v>
      </c>
      <c r="L636" s="5" t="n">
        <v>300</v>
      </c>
    </row>
    <row r="637" customFormat="false" ht="23.85" hidden="false" customHeight="false" outlineLevel="0" collapsed="false">
      <c r="A637" s="5" t="s">
        <v>4181</v>
      </c>
      <c r="B637" s="2" t="s">
        <v>4182</v>
      </c>
      <c r="C637" s="5" t="s">
        <v>2128</v>
      </c>
      <c r="D637" s="5" t="s">
        <v>71</v>
      </c>
      <c r="E637" s="2" t="s">
        <v>1612</v>
      </c>
      <c r="F637" s="2"/>
      <c r="G637" s="2" t="s">
        <v>4183</v>
      </c>
      <c r="H637" s="2" t="s">
        <v>4184</v>
      </c>
      <c r="I637" s="5" t="s">
        <v>74</v>
      </c>
      <c r="J637" s="2" t="s">
        <v>7198</v>
      </c>
      <c r="K637" s="2" t="s">
        <v>71</v>
      </c>
      <c r="L637" s="5" t="n">
        <v>300</v>
      </c>
    </row>
    <row r="638" customFormat="false" ht="23.85" hidden="false" customHeight="false" outlineLevel="0" collapsed="false">
      <c r="A638" s="5" t="s">
        <v>4187</v>
      </c>
      <c r="B638" s="2" t="s">
        <v>4188</v>
      </c>
      <c r="C638" s="5" t="s">
        <v>2128</v>
      </c>
      <c r="D638" s="5" t="s">
        <v>71</v>
      </c>
      <c r="E638" s="2" t="s">
        <v>1612</v>
      </c>
      <c r="F638" s="2"/>
      <c r="G638" s="2" t="s">
        <v>4189</v>
      </c>
      <c r="H638" s="2" t="s">
        <v>4184</v>
      </c>
      <c r="I638" s="5" t="s">
        <v>74</v>
      </c>
      <c r="J638" s="2" t="s">
        <v>7199</v>
      </c>
      <c r="K638" s="2" t="s">
        <v>71</v>
      </c>
      <c r="L638" s="5" t="n">
        <v>300</v>
      </c>
    </row>
    <row r="639" customFormat="false" ht="23.85" hidden="false" customHeight="false" outlineLevel="0" collapsed="false">
      <c r="A639" s="5" t="s">
        <v>4192</v>
      </c>
      <c r="B639" s="2" t="s">
        <v>4193</v>
      </c>
      <c r="C639" s="5" t="s">
        <v>2245</v>
      </c>
      <c r="D639" s="5" t="s">
        <v>71</v>
      </c>
      <c r="E639" s="2" t="s">
        <v>3130</v>
      </c>
      <c r="F639" s="2"/>
      <c r="G639" s="2" t="s">
        <v>4194</v>
      </c>
      <c r="H639" s="2" t="s">
        <v>3132</v>
      </c>
      <c r="I639" s="5" t="s">
        <v>74</v>
      </c>
      <c r="J639" s="2" t="s">
        <v>7200</v>
      </c>
      <c r="K639" s="2" t="s">
        <v>71</v>
      </c>
      <c r="L639" s="5" t="n">
        <v>300</v>
      </c>
    </row>
    <row r="640" customFormat="false" ht="57.45" hidden="false" customHeight="false" outlineLevel="0" collapsed="false">
      <c r="A640" s="5" t="s">
        <v>4197</v>
      </c>
      <c r="B640" s="2" t="s">
        <v>4198</v>
      </c>
      <c r="C640" s="5" t="s">
        <v>2128</v>
      </c>
      <c r="D640" s="5" t="s">
        <v>71</v>
      </c>
      <c r="E640" s="2" t="s">
        <v>1105</v>
      </c>
      <c r="F640" s="2"/>
      <c r="G640" s="2" t="s">
        <v>4200</v>
      </c>
      <c r="H640" s="2" t="s">
        <v>1335</v>
      </c>
      <c r="I640" s="5" t="s">
        <v>74</v>
      </c>
      <c r="J640" s="2" t="s">
        <v>7201</v>
      </c>
      <c r="K640" s="2" t="s">
        <v>71</v>
      </c>
      <c r="L640" s="5" t="n">
        <v>300</v>
      </c>
    </row>
    <row r="641" customFormat="false" ht="15" hidden="false" customHeight="false" outlineLevel="0" collapsed="false">
      <c r="A641" s="5" t="s">
        <v>4203</v>
      </c>
      <c r="B641" s="2" t="s">
        <v>4204</v>
      </c>
      <c r="C641" s="5" t="s">
        <v>2128</v>
      </c>
      <c r="D641" s="5" t="s">
        <v>71</v>
      </c>
      <c r="E641" s="2" t="s">
        <v>4205</v>
      </c>
      <c r="F641" s="2"/>
      <c r="G641" s="2"/>
      <c r="H641" s="2" t="s">
        <v>1098</v>
      </c>
      <c r="I641" s="5" t="s">
        <v>74</v>
      </c>
      <c r="J641" s="2" t="s">
        <v>7202</v>
      </c>
      <c r="K641" s="2" t="s">
        <v>71</v>
      </c>
      <c r="L641" s="5" t="n">
        <v>300</v>
      </c>
    </row>
    <row r="642" customFormat="false" ht="23.85" hidden="false" customHeight="false" outlineLevel="0" collapsed="false">
      <c r="A642" s="5" t="s">
        <v>4209</v>
      </c>
      <c r="B642" s="2" t="s">
        <v>4210</v>
      </c>
      <c r="C642" s="5" t="s">
        <v>2128</v>
      </c>
      <c r="D642" s="5" t="s">
        <v>71</v>
      </c>
      <c r="E642" s="2" t="s">
        <v>1533</v>
      </c>
      <c r="F642" s="2"/>
      <c r="G642" s="2" t="s">
        <v>4211</v>
      </c>
      <c r="H642" s="2" t="s">
        <v>4212</v>
      </c>
      <c r="I642" s="5" t="s">
        <v>74</v>
      </c>
      <c r="J642" s="2" t="s">
        <v>7203</v>
      </c>
      <c r="K642" s="2" t="s">
        <v>71</v>
      </c>
      <c r="L642" s="5" t="n">
        <v>300</v>
      </c>
    </row>
    <row r="643" customFormat="false" ht="35.05" hidden="false" customHeight="false" outlineLevel="0" collapsed="false">
      <c r="A643" s="5" t="s">
        <v>4215</v>
      </c>
      <c r="B643" s="2" t="s">
        <v>4216</v>
      </c>
      <c r="C643" s="5" t="s">
        <v>2128</v>
      </c>
      <c r="D643" s="5" t="s">
        <v>71</v>
      </c>
      <c r="E643" s="2" t="s">
        <v>1581</v>
      </c>
      <c r="F643" s="2"/>
      <c r="G643" s="2" t="s">
        <v>4218</v>
      </c>
      <c r="H643" s="2" t="s">
        <v>4219</v>
      </c>
      <c r="I643" s="5" t="s">
        <v>74</v>
      </c>
      <c r="J643" s="2" t="s">
        <v>7204</v>
      </c>
      <c r="K643" s="2" t="s">
        <v>71</v>
      </c>
      <c r="L643" s="5" t="n">
        <v>300</v>
      </c>
    </row>
    <row r="644" customFormat="false" ht="46.25" hidden="false" customHeight="false" outlineLevel="0" collapsed="false">
      <c r="A644" s="5" t="s">
        <v>4222</v>
      </c>
      <c r="B644" s="2" t="s">
        <v>4223</v>
      </c>
      <c r="C644" s="5" t="s">
        <v>2128</v>
      </c>
      <c r="D644" s="5" t="s">
        <v>71</v>
      </c>
      <c r="E644" s="2" t="s">
        <v>4224</v>
      </c>
      <c r="F644" s="2"/>
      <c r="G644" s="2" t="s">
        <v>4225</v>
      </c>
      <c r="H644" s="2" t="s">
        <v>4226</v>
      </c>
      <c r="I644" s="5" t="s">
        <v>74</v>
      </c>
      <c r="J644" s="2" t="s">
        <v>7205</v>
      </c>
      <c r="K644" s="2" t="s">
        <v>71</v>
      </c>
      <c r="L644" s="5" t="n">
        <v>300</v>
      </c>
    </row>
    <row r="645" customFormat="false" ht="15" hidden="false" customHeight="false" outlineLevel="0" collapsed="false">
      <c r="A645" s="5" t="s">
        <v>4230</v>
      </c>
      <c r="B645" s="2" t="s">
        <v>4231</v>
      </c>
      <c r="C645" s="5" t="s">
        <v>2128</v>
      </c>
      <c r="D645" s="5" t="s">
        <v>71</v>
      </c>
      <c r="E645" s="2" t="s">
        <v>1105</v>
      </c>
      <c r="F645" s="2"/>
      <c r="G645" s="2" t="s">
        <v>4232</v>
      </c>
      <c r="H645" s="2" t="s">
        <v>1169</v>
      </c>
      <c r="I645" s="5" t="s">
        <v>74</v>
      </c>
      <c r="J645" s="2" t="s">
        <v>7206</v>
      </c>
      <c r="K645" s="2" t="s">
        <v>71</v>
      </c>
      <c r="L645" s="5" t="n">
        <v>300</v>
      </c>
    </row>
    <row r="646" customFormat="false" ht="46.25" hidden="false" customHeight="false" outlineLevel="0" collapsed="false">
      <c r="A646" s="5" t="s">
        <v>4235</v>
      </c>
      <c r="B646" s="2" t="s">
        <v>4236</v>
      </c>
      <c r="C646" s="5" t="s">
        <v>2245</v>
      </c>
      <c r="D646" s="5" t="s">
        <v>71</v>
      </c>
      <c r="E646" s="2" t="s">
        <v>1105</v>
      </c>
      <c r="F646" s="2"/>
      <c r="G646" s="2" t="s">
        <v>4237</v>
      </c>
      <c r="H646" s="2" t="s">
        <v>1176</v>
      </c>
      <c r="I646" s="5" t="s">
        <v>74</v>
      </c>
      <c r="J646" s="2" t="s">
        <v>7207</v>
      </c>
      <c r="K646" s="2" t="s">
        <v>71</v>
      </c>
      <c r="L646" s="5" t="n">
        <v>300</v>
      </c>
    </row>
    <row r="647" customFormat="false" ht="46.25" hidden="false" customHeight="false" outlineLevel="0" collapsed="false">
      <c r="A647" s="5" t="s">
        <v>4240</v>
      </c>
      <c r="B647" s="2" t="s">
        <v>4241</v>
      </c>
      <c r="C647" s="5" t="s">
        <v>2245</v>
      </c>
      <c r="D647" s="5" t="s">
        <v>71</v>
      </c>
      <c r="E647" s="2" t="s">
        <v>1105</v>
      </c>
      <c r="F647" s="2"/>
      <c r="G647" s="2" t="s">
        <v>4242</v>
      </c>
      <c r="H647" s="2" t="s">
        <v>1176</v>
      </c>
      <c r="I647" s="5" t="s">
        <v>74</v>
      </c>
      <c r="J647" s="2" t="s">
        <v>7208</v>
      </c>
      <c r="K647" s="2" t="s">
        <v>71</v>
      </c>
      <c r="L647" s="5" t="n">
        <v>300</v>
      </c>
    </row>
    <row r="648" customFormat="false" ht="57.45" hidden="false" customHeight="false" outlineLevel="0" collapsed="false">
      <c r="A648" s="5" t="s">
        <v>4245</v>
      </c>
      <c r="B648" s="2" t="s">
        <v>4246</v>
      </c>
      <c r="C648" s="5" t="s">
        <v>2245</v>
      </c>
      <c r="D648" s="5" t="s">
        <v>71</v>
      </c>
      <c r="E648" s="2" t="s">
        <v>1105</v>
      </c>
      <c r="F648" s="2"/>
      <c r="G648" s="2" t="s">
        <v>4247</v>
      </c>
      <c r="H648" s="2" t="s">
        <v>1176</v>
      </c>
      <c r="I648" s="5" t="s">
        <v>74</v>
      </c>
      <c r="J648" s="2" t="s">
        <v>7209</v>
      </c>
      <c r="K648" s="2" t="s">
        <v>71</v>
      </c>
      <c r="L648" s="5" t="n">
        <v>300</v>
      </c>
    </row>
    <row r="649" customFormat="false" ht="23.85" hidden="false" customHeight="false" outlineLevel="0" collapsed="false">
      <c r="A649" s="5" t="s">
        <v>4250</v>
      </c>
      <c r="B649" s="2" t="s">
        <v>4251</v>
      </c>
      <c r="C649" s="5" t="s">
        <v>2128</v>
      </c>
      <c r="D649" s="5" t="s">
        <v>71</v>
      </c>
      <c r="E649" s="2" t="s">
        <v>1198</v>
      </c>
      <c r="F649" s="2"/>
      <c r="G649" s="2" t="s">
        <v>4252</v>
      </c>
      <c r="H649" s="2" t="s">
        <v>4253</v>
      </c>
      <c r="I649" s="5" t="s">
        <v>74</v>
      </c>
      <c r="J649" s="2" t="s">
        <v>7210</v>
      </c>
      <c r="K649" s="2" t="s">
        <v>71</v>
      </c>
      <c r="L649" s="5" t="n">
        <v>300</v>
      </c>
    </row>
    <row r="650" customFormat="false" ht="23.85" hidden="false" customHeight="false" outlineLevel="0" collapsed="false">
      <c r="A650" s="5" t="s">
        <v>4256</v>
      </c>
      <c r="B650" s="2" t="s">
        <v>4257</v>
      </c>
      <c r="C650" s="5" t="s">
        <v>2245</v>
      </c>
      <c r="D650" s="5" t="s">
        <v>71</v>
      </c>
      <c r="E650" s="2" t="s">
        <v>1976</v>
      </c>
      <c r="F650" s="2"/>
      <c r="G650" s="2" t="s">
        <v>4259</v>
      </c>
      <c r="H650" s="2" t="s">
        <v>4260</v>
      </c>
      <c r="I650" s="5" t="s">
        <v>74</v>
      </c>
      <c r="J650" s="2" t="s">
        <v>7211</v>
      </c>
      <c r="K650" s="2" t="s">
        <v>71</v>
      </c>
      <c r="L650" s="5" t="n">
        <v>300</v>
      </c>
    </row>
    <row r="651" customFormat="false" ht="79.85" hidden="false" customHeight="false" outlineLevel="0" collapsed="false">
      <c r="A651" s="5" t="s">
        <v>4263</v>
      </c>
      <c r="B651" s="2" t="s">
        <v>4264</v>
      </c>
      <c r="C651" s="5" t="s">
        <v>2128</v>
      </c>
      <c r="D651" s="5" t="s">
        <v>71</v>
      </c>
      <c r="E651" s="2" t="s">
        <v>1221</v>
      </c>
      <c r="F651" s="2"/>
      <c r="G651" s="2" t="s">
        <v>4265</v>
      </c>
      <c r="H651" s="2" t="s">
        <v>4266</v>
      </c>
      <c r="I651" s="5" t="s">
        <v>74</v>
      </c>
      <c r="J651" s="2" t="s">
        <v>7212</v>
      </c>
      <c r="K651" s="2" t="s">
        <v>71</v>
      </c>
      <c r="L651" s="5" t="n">
        <v>300</v>
      </c>
    </row>
    <row r="652" customFormat="false" ht="23.85" hidden="false" customHeight="false" outlineLevel="0" collapsed="false">
      <c r="A652" s="5" t="s">
        <v>4269</v>
      </c>
      <c r="B652" s="2" t="s">
        <v>4270</v>
      </c>
      <c r="C652" s="5" t="s">
        <v>2128</v>
      </c>
      <c r="D652" s="5" t="s">
        <v>71</v>
      </c>
      <c r="E652" s="2" t="s">
        <v>1612</v>
      </c>
      <c r="F652" s="2"/>
      <c r="G652" s="2" t="s">
        <v>4271</v>
      </c>
      <c r="H652" s="2" t="s">
        <v>4272</v>
      </c>
      <c r="I652" s="5" t="s">
        <v>74</v>
      </c>
      <c r="J652" s="2" t="s">
        <v>7213</v>
      </c>
      <c r="K652" s="2" t="s">
        <v>71</v>
      </c>
      <c r="L652" s="5" t="n">
        <v>300</v>
      </c>
    </row>
    <row r="653" customFormat="false" ht="35.05" hidden="false" customHeight="false" outlineLevel="0" collapsed="false">
      <c r="A653" s="5" t="s">
        <v>4275</v>
      </c>
      <c r="B653" s="2" t="s">
        <v>4276</v>
      </c>
      <c r="C653" s="5" t="s">
        <v>2128</v>
      </c>
      <c r="D653" s="5" t="s">
        <v>71</v>
      </c>
      <c r="E653" s="2" t="s">
        <v>4277</v>
      </c>
      <c r="F653" s="2"/>
      <c r="G653" s="2" t="s">
        <v>4278</v>
      </c>
      <c r="H653" s="2" t="s">
        <v>4279</v>
      </c>
      <c r="I653" s="5" t="s">
        <v>74</v>
      </c>
      <c r="J653" s="2" t="s">
        <v>7214</v>
      </c>
      <c r="K653" s="2" t="s">
        <v>71</v>
      </c>
      <c r="L653" s="5" t="n">
        <v>300</v>
      </c>
    </row>
    <row r="654" customFormat="false" ht="79.85" hidden="false" customHeight="false" outlineLevel="0" collapsed="false">
      <c r="A654" s="5" t="s">
        <v>4282</v>
      </c>
      <c r="B654" s="2" t="s">
        <v>4283</v>
      </c>
      <c r="C654" s="5" t="s">
        <v>2245</v>
      </c>
      <c r="D654" s="5" t="s">
        <v>71</v>
      </c>
      <c r="E654" s="2" t="s">
        <v>3985</v>
      </c>
      <c r="F654" s="2"/>
      <c r="G654" s="2" t="s">
        <v>4284</v>
      </c>
      <c r="H654" s="2" t="s">
        <v>3987</v>
      </c>
      <c r="I654" s="5" t="s">
        <v>74</v>
      </c>
      <c r="J654" s="2" t="s">
        <v>7215</v>
      </c>
      <c r="K654" s="2" t="s">
        <v>71</v>
      </c>
      <c r="L654" s="5" t="n">
        <v>300</v>
      </c>
    </row>
    <row r="655" customFormat="false" ht="35.05" hidden="false" customHeight="false" outlineLevel="0" collapsed="false">
      <c r="A655" s="5" t="s">
        <v>4287</v>
      </c>
      <c r="B655" s="2" t="s">
        <v>4288</v>
      </c>
      <c r="C655" s="5" t="s">
        <v>2128</v>
      </c>
      <c r="D655" s="5" t="s">
        <v>71</v>
      </c>
      <c r="E655" s="2" t="s">
        <v>1612</v>
      </c>
      <c r="F655" s="2"/>
      <c r="G655" s="2" t="s">
        <v>4290</v>
      </c>
      <c r="H655" s="2" t="s">
        <v>2019</v>
      </c>
      <c r="I655" s="5" t="s">
        <v>74</v>
      </c>
      <c r="J655" s="2" t="s">
        <v>7216</v>
      </c>
      <c r="K655" s="2" t="s">
        <v>71</v>
      </c>
      <c r="L655" s="5" t="n">
        <v>300</v>
      </c>
    </row>
    <row r="656" customFormat="false" ht="23.85" hidden="false" customHeight="false" outlineLevel="0" collapsed="false">
      <c r="A656" s="5" t="s">
        <v>4293</v>
      </c>
      <c r="B656" s="2" t="s">
        <v>4294</v>
      </c>
      <c r="C656" s="5" t="s">
        <v>2245</v>
      </c>
      <c r="D656" s="5" t="s">
        <v>71</v>
      </c>
      <c r="E656" s="2" t="s">
        <v>3183</v>
      </c>
      <c r="F656" s="2"/>
      <c r="G656" s="2" t="s">
        <v>4295</v>
      </c>
      <c r="H656" s="2" t="s">
        <v>3185</v>
      </c>
      <c r="I656" s="5" t="s">
        <v>74</v>
      </c>
      <c r="J656" s="2" t="s">
        <v>7217</v>
      </c>
      <c r="K656" s="2" t="s">
        <v>71</v>
      </c>
      <c r="L656" s="5" t="n">
        <v>300</v>
      </c>
    </row>
    <row r="657" customFormat="false" ht="113.4" hidden="false" customHeight="false" outlineLevel="0" collapsed="false">
      <c r="A657" s="5" t="s">
        <v>4298</v>
      </c>
      <c r="B657" s="2" t="s">
        <v>4299</v>
      </c>
      <c r="C657" s="5" t="s">
        <v>2128</v>
      </c>
      <c r="D657" s="5" t="s">
        <v>71</v>
      </c>
      <c r="E657" s="2" t="s">
        <v>1105</v>
      </c>
      <c r="F657" s="2"/>
      <c r="G657" s="2" t="s">
        <v>4300</v>
      </c>
      <c r="H657" s="2" t="s">
        <v>1176</v>
      </c>
      <c r="I657" s="5" t="s">
        <v>74</v>
      </c>
      <c r="J657" s="2" t="s">
        <v>7218</v>
      </c>
      <c r="K657" s="2" t="s">
        <v>71</v>
      </c>
      <c r="L657" s="5" t="n">
        <v>300</v>
      </c>
    </row>
    <row r="658" customFormat="false" ht="35.05" hidden="false" customHeight="false" outlineLevel="0" collapsed="false">
      <c r="A658" s="5" t="s">
        <v>4303</v>
      </c>
      <c r="B658" s="2" t="s">
        <v>4304</v>
      </c>
      <c r="C658" s="5" t="s">
        <v>2128</v>
      </c>
      <c r="D658" s="5" t="s">
        <v>71</v>
      </c>
      <c r="E658" s="2" t="s">
        <v>3457</v>
      </c>
      <c r="F658" s="2"/>
      <c r="G658" s="2" t="s">
        <v>4305</v>
      </c>
      <c r="H658" s="2" t="s">
        <v>4306</v>
      </c>
      <c r="I658" s="5" t="s">
        <v>74</v>
      </c>
      <c r="J658" s="2" t="s">
        <v>7219</v>
      </c>
      <c r="K658" s="2" t="s">
        <v>71</v>
      </c>
      <c r="L658" s="5" t="n">
        <v>300</v>
      </c>
    </row>
    <row r="659" customFormat="false" ht="35.05" hidden="false" customHeight="false" outlineLevel="0" collapsed="false">
      <c r="A659" s="5" t="s">
        <v>4309</v>
      </c>
      <c r="B659" s="2" t="s">
        <v>4310</v>
      </c>
      <c r="C659" s="5" t="s">
        <v>2128</v>
      </c>
      <c r="D659" s="5" t="s">
        <v>71</v>
      </c>
      <c r="E659" s="2" t="s">
        <v>1105</v>
      </c>
      <c r="F659" s="2"/>
      <c r="G659" s="2" t="s">
        <v>4311</v>
      </c>
      <c r="H659" s="2" t="s">
        <v>1176</v>
      </c>
      <c r="I659" s="5" t="s">
        <v>74</v>
      </c>
      <c r="J659" s="2" t="s">
        <v>7220</v>
      </c>
      <c r="K659" s="2" t="s">
        <v>71</v>
      </c>
      <c r="L659" s="5" t="n">
        <v>300</v>
      </c>
    </row>
    <row r="660" customFormat="false" ht="23.85" hidden="false" customHeight="false" outlineLevel="0" collapsed="false">
      <c r="A660" s="5" t="s">
        <v>4314</v>
      </c>
      <c r="B660" s="2" t="s">
        <v>4315</v>
      </c>
      <c r="C660" s="5" t="s">
        <v>2128</v>
      </c>
      <c r="D660" s="5" t="s">
        <v>71</v>
      </c>
      <c r="E660" s="2" t="s">
        <v>1105</v>
      </c>
      <c r="F660" s="2"/>
      <c r="G660" s="2" t="s">
        <v>4316</v>
      </c>
      <c r="H660" s="2" t="s">
        <v>1269</v>
      </c>
      <c r="I660" s="5" t="s">
        <v>74</v>
      </c>
      <c r="J660" s="2" t="s">
        <v>7221</v>
      </c>
      <c r="K660" s="2" t="s">
        <v>71</v>
      </c>
      <c r="L660" s="5" t="n">
        <v>300</v>
      </c>
    </row>
    <row r="661" customFormat="false" ht="46.25" hidden="false" customHeight="false" outlineLevel="0" collapsed="false">
      <c r="A661" s="5" t="s">
        <v>4319</v>
      </c>
      <c r="B661" s="2" t="s">
        <v>4320</v>
      </c>
      <c r="C661" s="5" t="s">
        <v>2128</v>
      </c>
      <c r="D661" s="5" t="s">
        <v>71</v>
      </c>
      <c r="E661" s="2" t="s">
        <v>1105</v>
      </c>
      <c r="F661" s="2"/>
      <c r="G661" s="2" t="s">
        <v>4321</v>
      </c>
      <c r="H661" s="2" t="s">
        <v>1176</v>
      </c>
      <c r="I661" s="5" t="s">
        <v>74</v>
      </c>
      <c r="J661" s="2" t="s">
        <v>7222</v>
      </c>
      <c r="K661" s="2" t="s">
        <v>71</v>
      </c>
      <c r="L661" s="5" t="n">
        <v>300</v>
      </c>
    </row>
    <row r="662" customFormat="false" ht="102.2" hidden="false" customHeight="false" outlineLevel="0" collapsed="false">
      <c r="A662" s="5" t="s">
        <v>4324</v>
      </c>
      <c r="B662" s="2" t="s">
        <v>4325</v>
      </c>
      <c r="C662" s="5" t="s">
        <v>2128</v>
      </c>
      <c r="D662" s="5" t="s">
        <v>71</v>
      </c>
      <c r="E662" s="2" t="s">
        <v>1105</v>
      </c>
      <c r="F662" s="2"/>
      <c r="G662" s="2" t="s">
        <v>4326</v>
      </c>
      <c r="H662" s="2" t="s">
        <v>1176</v>
      </c>
      <c r="I662" s="5" t="s">
        <v>74</v>
      </c>
      <c r="J662" s="2" t="s">
        <v>7223</v>
      </c>
      <c r="K662" s="2" t="s">
        <v>71</v>
      </c>
      <c r="L662" s="5" t="n">
        <v>300</v>
      </c>
    </row>
    <row r="663" customFormat="false" ht="46.25" hidden="false" customHeight="false" outlineLevel="0" collapsed="false">
      <c r="A663" s="5" t="s">
        <v>4329</v>
      </c>
      <c r="B663" s="2" t="s">
        <v>4330</v>
      </c>
      <c r="C663" s="5" t="s">
        <v>2245</v>
      </c>
      <c r="D663" s="5" t="s">
        <v>71</v>
      </c>
      <c r="E663" s="2" t="s">
        <v>1105</v>
      </c>
      <c r="F663" s="2"/>
      <c r="G663" s="2" t="s">
        <v>4331</v>
      </c>
      <c r="H663" s="2" t="s">
        <v>1176</v>
      </c>
      <c r="I663" s="5" t="s">
        <v>74</v>
      </c>
      <c r="J663" s="2" t="s">
        <v>7224</v>
      </c>
      <c r="K663" s="2" t="s">
        <v>71</v>
      </c>
      <c r="L663" s="5" t="n">
        <v>300</v>
      </c>
    </row>
    <row r="664" customFormat="false" ht="23.85" hidden="false" customHeight="false" outlineLevel="0" collapsed="false">
      <c r="A664" s="5" t="s">
        <v>4334</v>
      </c>
      <c r="B664" s="2" t="s">
        <v>4335</v>
      </c>
      <c r="C664" s="5" t="s">
        <v>2128</v>
      </c>
      <c r="D664" s="5" t="s">
        <v>71</v>
      </c>
      <c r="E664" s="2" t="s">
        <v>1160</v>
      </c>
      <c r="F664" s="2"/>
      <c r="G664" s="2" t="s">
        <v>4337</v>
      </c>
      <c r="H664" s="2" t="s">
        <v>1193</v>
      </c>
      <c r="I664" s="5" t="s">
        <v>74</v>
      </c>
      <c r="J664" s="2" t="s">
        <v>7225</v>
      </c>
      <c r="K664" s="2" t="s">
        <v>71</v>
      </c>
      <c r="L664" s="5" t="n">
        <v>300</v>
      </c>
    </row>
    <row r="665" customFormat="false" ht="23.85" hidden="false" customHeight="false" outlineLevel="0" collapsed="false">
      <c r="A665" s="5" t="s">
        <v>4340</v>
      </c>
      <c r="B665" s="2" t="s">
        <v>4341</v>
      </c>
      <c r="C665" s="5" t="s">
        <v>2245</v>
      </c>
      <c r="D665" s="5" t="s">
        <v>71</v>
      </c>
      <c r="E665" s="2" t="s">
        <v>3183</v>
      </c>
      <c r="F665" s="2"/>
      <c r="G665" s="2" t="s">
        <v>4342</v>
      </c>
      <c r="H665" s="2" t="s">
        <v>3185</v>
      </c>
      <c r="I665" s="5" t="s">
        <v>74</v>
      </c>
      <c r="J665" s="2" t="s">
        <v>7226</v>
      </c>
      <c r="K665" s="2" t="s">
        <v>71</v>
      </c>
      <c r="L665" s="5" t="n">
        <v>300</v>
      </c>
    </row>
    <row r="666" customFormat="false" ht="23.85" hidden="false" customHeight="false" outlineLevel="0" collapsed="false">
      <c r="A666" s="5" t="s">
        <v>4345</v>
      </c>
      <c r="B666" s="2" t="s">
        <v>4346</v>
      </c>
      <c r="C666" s="5" t="s">
        <v>2245</v>
      </c>
      <c r="D666" s="5" t="s">
        <v>71</v>
      </c>
      <c r="E666" s="2" t="s">
        <v>3130</v>
      </c>
      <c r="F666" s="2"/>
      <c r="G666" s="2" t="s">
        <v>4348</v>
      </c>
      <c r="H666" s="2" t="s">
        <v>3132</v>
      </c>
      <c r="I666" s="5" t="s">
        <v>74</v>
      </c>
      <c r="J666" s="2" t="s">
        <v>7227</v>
      </c>
      <c r="K666" s="2" t="s">
        <v>71</v>
      </c>
      <c r="L666" s="5" t="n">
        <v>300</v>
      </c>
    </row>
    <row r="667" customFormat="false" ht="23.85" hidden="false" customHeight="false" outlineLevel="0" collapsed="false">
      <c r="A667" s="5" t="s">
        <v>4351</v>
      </c>
      <c r="B667" s="2" t="s">
        <v>4352</v>
      </c>
      <c r="C667" s="5" t="s">
        <v>2245</v>
      </c>
      <c r="D667" s="5" t="s">
        <v>71</v>
      </c>
      <c r="E667" s="2" t="s">
        <v>3130</v>
      </c>
      <c r="F667" s="2"/>
      <c r="G667" s="2" t="s">
        <v>4353</v>
      </c>
      <c r="H667" s="2" t="s">
        <v>3132</v>
      </c>
      <c r="I667" s="5" t="s">
        <v>74</v>
      </c>
      <c r="J667" s="2" t="s">
        <v>7228</v>
      </c>
      <c r="K667" s="2" t="s">
        <v>71</v>
      </c>
      <c r="L667" s="5" t="n">
        <v>300</v>
      </c>
    </row>
    <row r="668" customFormat="false" ht="46.25" hidden="false" customHeight="false" outlineLevel="0" collapsed="false">
      <c r="A668" s="5" t="s">
        <v>4356</v>
      </c>
      <c r="B668" s="2" t="s">
        <v>4357</v>
      </c>
      <c r="C668" s="5" t="s">
        <v>2245</v>
      </c>
      <c r="D668" s="5" t="s">
        <v>71</v>
      </c>
      <c r="E668" s="2" t="s">
        <v>1105</v>
      </c>
      <c r="F668" s="2"/>
      <c r="G668" s="2" t="s">
        <v>4358</v>
      </c>
      <c r="H668" s="2" t="s">
        <v>1176</v>
      </c>
      <c r="I668" s="5" t="s">
        <v>74</v>
      </c>
      <c r="J668" s="2" t="s">
        <v>7229</v>
      </c>
      <c r="K668" s="2" t="s">
        <v>71</v>
      </c>
      <c r="L668" s="5" t="n">
        <v>300</v>
      </c>
    </row>
    <row r="669" customFormat="false" ht="35.05" hidden="false" customHeight="false" outlineLevel="0" collapsed="false">
      <c r="A669" s="5" t="s">
        <v>4361</v>
      </c>
      <c r="B669" s="2" t="s">
        <v>4362</v>
      </c>
      <c r="C669" s="5" t="s">
        <v>2245</v>
      </c>
      <c r="D669" s="5" t="s">
        <v>71</v>
      </c>
      <c r="E669" s="2" t="s">
        <v>3130</v>
      </c>
      <c r="F669" s="2"/>
      <c r="G669" s="2" t="s">
        <v>4363</v>
      </c>
      <c r="H669" s="2" t="s">
        <v>3132</v>
      </c>
      <c r="I669" s="5" t="s">
        <v>74</v>
      </c>
      <c r="J669" s="2" t="s">
        <v>7230</v>
      </c>
      <c r="K669" s="2" t="s">
        <v>71</v>
      </c>
      <c r="L669" s="5" t="n">
        <v>300</v>
      </c>
    </row>
    <row r="670" customFormat="false" ht="35.05" hidden="false" customHeight="false" outlineLevel="0" collapsed="false">
      <c r="A670" s="5" t="s">
        <v>4366</v>
      </c>
      <c r="B670" s="2" t="s">
        <v>4367</v>
      </c>
      <c r="C670" s="5" t="s">
        <v>2128</v>
      </c>
      <c r="D670" s="5" t="s">
        <v>71</v>
      </c>
      <c r="E670" s="2" t="s">
        <v>210</v>
      </c>
      <c r="F670" s="2"/>
      <c r="G670" s="2" t="s">
        <v>4368</v>
      </c>
      <c r="H670" s="2" t="s">
        <v>3606</v>
      </c>
      <c r="I670" s="5" t="s">
        <v>74</v>
      </c>
      <c r="J670" s="2" t="s">
        <v>7231</v>
      </c>
      <c r="K670" s="2" t="s">
        <v>71</v>
      </c>
      <c r="L670" s="5" t="n">
        <v>300</v>
      </c>
    </row>
    <row r="671" customFormat="false" ht="23.85" hidden="false" customHeight="false" outlineLevel="0" collapsed="false">
      <c r="A671" s="5" t="s">
        <v>4371</v>
      </c>
      <c r="B671" s="2" t="s">
        <v>4372</v>
      </c>
      <c r="C671" s="5" t="s">
        <v>2128</v>
      </c>
      <c r="D671" s="5" t="s">
        <v>71</v>
      </c>
      <c r="E671" s="2" t="s">
        <v>1612</v>
      </c>
      <c r="F671" s="2"/>
      <c r="G671" s="2" t="s">
        <v>4373</v>
      </c>
      <c r="H671" s="2" t="s">
        <v>1614</v>
      </c>
      <c r="I671" s="5" t="s">
        <v>74</v>
      </c>
      <c r="J671" s="2" t="s">
        <v>7232</v>
      </c>
      <c r="K671" s="2" t="s">
        <v>71</v>
      </c>
      <c r="L671" s="5" t="n">
        <v>300</v>
      </c>
    </row>
    <row r="672" customFormat="false" ht="46.25" hidden="false" customHeight="false" outlineLevel="0" collapsed="false">
      <c r="A672" s="5" t="s">
        <v>4376</v>
      </c>
      <c r="B672" s="2" t="s">
        <v>4377</v>
      </c>
      <c r="C672" s="5" t="s">
        <v>2128</v>
      </c>
      <c r="D672" s="5" t="s">
        <v>71</v>
      </c>
      <c r="E672" s="2" t="s">
        <v>4378</v>
      </c>
      <c r="F672" s="2"/>
      <c r="G672" s="2" t="s">
        <v>4379</v>
      </c>
      <c r="H672" s="2" t="s">
        <v>4380</v>
      </c>
      <c r="I672" s="5" t="s">
        <v>74</v>
      </c>
      <c r="J672" s="2" t="s">
        <v>7233</v>
      </c>
      <c r="K672" s="2" t="s">
        <v>71</v>
      </c>
      <c r="L672" s="5" t="n">
        <v>300</v>
      </c>
    </row>
    <row r="673" customFormat="false" ht="113.4" hidden="false" customHeight="false" outlineLevel="0" collapsed="false">
      <c r="A673" s="5" t="s">
        <v>4384</v>
      </c>
      <c r="B673" s="2" t="s">
        <v>4385</v>
      </c>
      <c r="C673" s="5" t="s">
        <v>2128</v>
      </c>
      <c r="D673" s="5" t="s">
        <v>71</v>
      </c>
      <c r="E673" s="2" t="s">
        <v>4386</v>
      </c>
      <c r="F673" s="2"/>
      <c r="G673" s="2" t="s">
        <v>4387</v>
      </c>
      <c r="H673" s="2" t="s">
        <v>4388</v>
      </c>
      <c r="I673" s="5" t="s">
        <v>74</v>
      </c>
      <c r="J673" s="2" t="s">
        <v>7234</v>
      </c>
      <c r="K673" s="2" t="s">
        <v>71</v>
      </c>
      <c r="L673" s="5" t="n">
        <v>300</v>
      </c>
    </row>
    <row r="674" customFormat="false" ht="113.4" hidden="false" customHeight="false" outlineLevel="0" collapsed="false">
      <c r="A674" s="5" t="s">
        <v>4392</v>
      </c>
      <c r="B674" s="2" t="s">
        <v>4393</v>
      </c>
      <c r="C674" s="5" t="s">
        <v>2128</v>
      </c>
      <c r="D674" s="5" t="s">
        <v>71</v>
      </c>
      <c r="E674" s="2" t="s">
        <v>4394</v>
      </c>
      <c r="F674" s="2"/>
      <c r="G674" s="2" t="s">
        <v>4387</v>
      </c>
      <c r="H674" s="2" t="s">
        <v>4388</v>
      </c>
      <c r="I674" s="5" t="s">
        <v>74</v>
      </c>
      <c r="J674" s="2" t="s">
        <v>7235</v>
      </c>
      <c r="K674" s="2" t="s">
        <v>71</v>
      </c>
      <c r="L674" s="5" t="n">
        <v>300</v>
      </c>
    </row>
    <row r="675" customFormat="false" ht="46.25" hidden="false" customHeight="false" outlineLevel="0" collapsed="false">
      <c r="A675" s="5" t="s">
        <v>4398</v>
      </c>
      <c r="B675" s="2" t="s">
        <v>4399</v>
      </c>
      <c r="C675" s="5" t="s">
        <v>2245</v>
      </c>
      <c r="D675" s="5" t="s">
        <v>71</v>
      </c>
      <c r="E675" s="2" t="s">
        <v>3327</v>
      </c>
      <c r="F675" s="2"/>
      <c r="G675" s="2" t="s">
        <v>4400</v>
      </c>
      <c r="H675" s="2" t="s">
        <v>3329</v>
      </c>
      <c r="I675" s="5" t="s">
        <v>74</v>
      </c>
      <c r="J675" s="2" t="s">
        <v>7236</v>
      </c>
      <c r="K675" s="2" t="s">
        <v>71</v>
      </c>
      <c r="L675" s="5" t="n">
        <v>300</v>
      </c>
    </row>
    <row r="676" customFormat="false" ht="23.85" hidden="false" customHeight="false" outlineLevel="0" collapsed="false">
      <c r="A676" s="5" t="s">
        <v>4403</v>
      </c>
      <c r="B676" s="2" t="s">
        <v>4404</v>
      </c>
      <c r="C676" s="5" t="s">
        <v>2128</v>
      </c>
      <c r="D676" s="5" t="s">
        <v>71</v>
      </c>
      <c r="E676" s="2" t="s">
        <v>3906</v>
      </c>
      <c r="F676" s="2"/>
      <c r="G676" s="2" t="s">
        <v>4405</v>
      </c>
      <c r="H676" s="2" t="s">
        <v>1432</v>
      </c>
      <c r="I676" s="5" t="s">
        <v>74</v>
      </c>
      <c r="J676" s="2" t="s">
        <v>7237</v>
      </c>
      <c r="K676" s="2" t="s">
        <v>71</v>
      </c>
      <c r="L676" s="5" t="n">
        <v>300</v>
      </c>
    </row>
    <row r="677" customFormat="false" ht="23.85" hidden="false" customHeight="false" outlineLevel="0" collapsed="false">
      <c r="A677" s="5" t="s">
        <v>4408</v>
      </c>
      <c r="B677" s="2" t="s">
        <v>4409</v>
      </c>
      <c r="C677" s="5" t="s">
        <v>2128</v>
      </c>
      <c r="D677" s="5" t="s">
        <v>71</v>
      </c>
      <c r="E677" s="2" t="s">
        <v>385</v>
      </c>
      <c r="F677" s="2"/>
      <c r="G677" s="2" t="s">
        <v>4410</v>
      </c>
      <c r="H677" s="2" t="s">
        <v>4411</v>
      </c>
      <c r="I677" s="5" t="s">
        <v>74</v>
      </c>
      <c r="J677" s="2" t="s">
        <v>7238</v>
      </c>
      <c r="K677" s="2" t="s">
        <v>71</v>
      </c>
      <c r="L677" s="5" t="n">
        <v>300</v>
      </c>
    </row>
    <row r="678" customFormat="false" ht="23.85" hidden="false" customHeight="false" outlineLevel="0" collapsed="false">
      <c r="A678" s="5" t="s">
        <v>4414</v>
      </c>
      <c r="B678" s="2" t="s">
        <v>4415</v>
      </c>
      <c r="C678" s="5" t="s">
        <v>2128</v>
      </c>
      <c r="D678" s="5" t="s">
        <v>71</v>
      </c>
      <c r="E678" s="2" t="s">
        <v>1457</v>
      </c>
      <c r="F678" s="2"/>
      <c r="G678" s="2" t="s">
        <v>4416</v>
      </c>
      <c r="H678" s="2" t="s">
        <v>1857</v>
      </c>
      <c r="I678" s="5" t="s">
        <v>74</v>
      </c>
      <c r="J678" s="2" t="s">
        <v>7239</v>
      </c>
      <c r="K678" s="2" t="s">
        <v>71</v>
      </c>
      <c r="L678" s="5" t="n">
        <v>300</v>
      </c>
    </row>
    <row r="679" customFormat="false" ht="23.85" hidden="false" customHeight="false" outlineLevel="0" collapsed="false">
      <c r="A679" s="5" t="s">
        <v>4419</v>
      </c>
      <c r="B679" s="2" t="s">
        <v>4420</v>
      </c>
      <c r="C679" s="5" t="s">
        <v>2128</v>
      </c>
      <c r="D679" s="5" t="s">
        <v>71</v>
      </c>
      <c r="E679" s="2" t="s">
        <v>4421</v>
      </c>
      <c r="F679" s="2"/>
      <c r="G679" s="2" t="s">
        <v>4422</v>
      </c>
      <c r="H679" s="2" t="s">
        <v>4423</v>
      </c>
      <c r="I679" s="5" t="s">
        <v>74</v>
      </c>
      <c r="J679" s="2" t="s">
        <v>7240</v>
      </c>
      <c r="K679" s="2" t="s">
        <v>71</v>
      </c>
      <c r="L679" s="5" t="n">
        <v>300</v>
      </c>
    </row>
    <row r="680" customFormat="false" ht="68.65" hidden="false" customHeight="false" outlineLevel="0" collapsed="false">
      <c r="A680" s="5" t="s">
        <v>4426</v>
      </c>
      <c r="B680" s="2" t="s">
        <v>4427</v>
      </c>
      <c r="C680" s="5" t="s">
        <v>2128</v>
      </c>
      <c r="D680" s="5" t="s">
        <v>71</v>
      </c>
      <c r="E680" s="2" t="s">
        <v>4428</v>
      </c>
      <c r="F680" s="2"/>
      <c r="G680" s="2" t="s">
        <v>4429</v>
      </c>
      <c r="H680" s="2" t="s">
        <v>4430</v>
      </c>
      <c r="I680" s="5" t="s">
        <v>74</v>
      </c>
      <c r="J680" s="2" t="s">
        <v>7241</v>
      </c>
      <c r="K680" s="2" t="s">
        <v>71</v>
      </c>
      <c r="L680" s="5" t="n">
        <v>300</v>
      </c>
    </row>
    <row r="681" customFormat="false" ht="23.85" hidden="false" customHeight="false" outlineLevel="0" collapsed="false">
      <c r="A681" s="5" t="s">
        <v>4434</v>
      </c>
      <c r="B681" s="2" t="s">
        <v>4435</v>
      </c>
      <c r="C681" s="5" t="s">
        <v>2128</v>
      </c>
      <c r="D681" s="5" t="s">
        <v>71</v>
      </c>
      <c r="E681" s="2" t="s">
        <v>3381</v>
      </c>
      <c r="F681" s="2"/>
      <c r="G681" s="2" t="s">
        <v>4436</v>
      </c>
      <c r="H681" s="2" t="s">
        <v>1098</v>
      </c>
      <c r="I681" s="5" t="s">
        <v>74</v>
      </c>
      <c r="J681" s="2" t="s">
        <v>7242</v>
      </c>
      <c r="K681" s="2" t="s">
        <v>71</v>
      </c>
      <c r="L681" s="5" t="n">
        <v>300</v>
      </c>
    </row>
    <row r="682" customFormat="false" ht="23.85" hidden="false" customHeight="false" outlineLevel="0" collapsed="false">
      <c r="A682" s="5" t="s">
        <v>4439</v>
      </c>
      <c r="B682" s="2" t="s">
        <v>4440</v>
      </c>
      <c r="C682" s="5" t="s">
        <v>2128</v>
      </c>
      <c r="D682" s="5" t="s">
        <v>71</v>
      </c>
      <c r="E682" s="2" t="s">
        <v>1612</v>
      </c>
      <c r="F682" s="2"/>
      <c r="G682" s="2" t="s">
        <v>4441</v>
      </c>
      <c r="H682" s="2" t="s">
        <v>3410</v>
      </c>
      <c r="I682" s="5" t="s">
        <v>74</v>
      </c>
      <c r="J682" s="2" t="s">
        <v>7243</v>
      </c>
      <c r="K682" s="2" t="s">
        <v>71</v>
      </c>
      <c r="L682" s="5" t="n">
        <v>300</v>
      </c>
    </row>
    <row r="683" customFormat="false" ht="23.85" hidden="false" customHeight="false" outlineLevel="0" collapsed="false">
      <c r="A683" s="5" t="s">
        <v>4444</v>
      </c>
      <c r="B683" s="2" t="s">
        <v>4445</v>
      </c>
      <c r="C683" s="5" t="s">
        <v>2128</v>
      </c>
      <c r="D683" s="5" t="s">
        <v>71</v>
      </c>
      <c r="E683" s="2" t="s">
        <v>416</v>
      </c>
      <c r="F683" s="2"/>
      <c r="G683" s="2" t="s">
        <v>4446</v>
      </c>
      <c r="H683" s="2" t="s">
        <v>1200</v>
      </c>
      <c r="I683" s="5" t="s">
        <v>74</v>
      </c>
      <c r="J683" s="2" t="s">
        <v>7244</v>
      </c>
      <c r="K683" s="2" t="s">
        <v>71</v>
      </c>
      <c r="L683" s="5" t="n">
        <v>300</v>
      </c>
    </row>
    <row r="684" customFormat="false" ht="15" hidden="false" customHeight="false" outlineLevel="0" collapsed="false">
      <c r="A684" s="5" t="s">
        <v>4449</v>
      </c>
      <c r="B684" s="2" t="s">
        <v>4450</v>
      </c>
      <c r="C684" s="5" t="s">
        <v>2245</v>
      </c>
      <c r="D684" s="5" t="s">
        <v>71</v>
      </c>
      <c r="E684" s="2" t="s">
        <v>1198</v>
      </c>
      <c r="F684" s="2"/>
      <c r="G684" s="2" t="s">
        <v>4451</v>
      </c>
      <c r="H684" s="2" t="s">
        <v>1200</v>
      </c>
      <c r="I684" s="5" t="s">
        <v>74</v>
      </c>
      <c r="J684" s="2" t="s">
        <v>7245</v>
      </c>
      <c r="K684" s="2" t="s">
        <v>71</v>
      </c>
      <c r="L684" s="5" t="n">
        <v>300</v>
      </c>
    </row>
    <row r="685" customFormat="false" ht="23.85" hidden="false" customHeight="false" outlineLevel="0" collapsed="false">
      <c r="A685" s="5" t="s">
        <v>4454</v>
      </c>
      <c r="B685" s="2" t="s">
        <v>4455</v>
      </c>
      <c r="C685" s="5" t="s">
        <v>2128</v>
      </c>
      <c r="D685" s="5" t="s">
        <v>71</v>
      </c>
      <c r="E685" s="2" t="s">
        <v>4456</v>
      </c>
      <c r="F685" s="2"/>
      <c r="G685" s="2"/>
      <c r="H685" s="2" t="s">
        <v>1098</v>
      </c>
      <c r="I685" s="5" t="s">
        <v>74</v>
      </c>
      <c r="J685" s="2" t="s">
        <v>7246</v>
      </c>
      <c r="K685" s="2" t="s">
        <v>71</v>
      </c>
      <c r="L685" s="5" t="n">
        <v>300</v>
      </c>
    </row>
    <row r="686" customFormat="false" ht="23.85" hidden="false" customHeight="false" outlineLevel="0" collapsed="false">
      <c r="A686" s="5" t="s">
        <v>4459</v>
      </c>
      <c r="B686" s="2" t="s">
        <v>4460</v>
      </c>
      <c r="C686" s="5" t="s">
        <v>2128</v>
      </c>
      <c r="D686" s="5" t="s">
        <v>71</v>
      </c>
      <c r="E686" s="2" t="s">
        <v>1105</v>
      </c>
      <c r="F686" s="2"/>
      <c r="G686" s="2" t="s">
        <v>4461</v>
      </c>
      <c r="H686" s="2" t="s">
        <v>1432</v>
      </c>
      <c r="I686" s="5" t="s">
        <v>74</v>
      </c>
      <c r="J686" s="2" t="s">
        <v>7247</v>
      </c>
      <c r="K686" s="2" t="s">
        <v>71</v>
      </c>
      <c r="L686" s="5" t="n">
        <v>300</v>
      </c>
    </row>
    <row r="687" customFormat="false" ht="35.05" hidden="false" customHeight="false" outlineLevel="0" collapsed="false">
      <c r="A687" s="5" t="s">
        <v>4464</v>
      </c>
      <c r="B687" s="2" t="s">
        <v>4465</v>
      </c>
      <c r="C687" s="5" t="s">
        <v>2128</v>
      </c>
      <c r="D687" s="5" t="s">
        <v>71</v>
      </c>
      <c r="E687" s="2" t="s">
        <v>1160</v>
      </c>
      <c r="F687" s="2"/>
      <c r="G687" s="2" t="s">
        <v>4466</v>
      </c>
      <c r="H687" s="2" t="s">
        <v>1193</v>
      </c>
      <c r="I687" s="5" t="s">
        <v>74</v>
      </c>
      <c r="J687" s="2" t="s">
        <v>7248</v>
      </c>
      <c r="K687" s="2" t="s">
        <v>71</v>
      </c>
      <c r="L687" s="5" t="n">
        <v>300</v>
      </c>
    </row>
    <row r="688" customFormat="false" ht="46.25" hidden="false" customHeight="false" outlineLevel="0" collapsed="false">
      <c r="A688" s="5" t="s">
        <v>4469</v>
      </c>
      <c r="B688" s="2" t="s">
        <v>4470</v>
      </c>
      <c r="C688" s="5" t="s">
        <v>2245</v>
      </c>
      <c r="D688" s="5" t="s">
        <v>71</v>
      </c>
      <c r="E688" s="2" t="s">
        <v>1105</v>
      </c>
      <c r="F688" s="2"/>
      <c r="G688" s="2" t="s">
        <v>4471</v>
      </c>
      <c r="H688" s="2" t="s">
        <v>3362</v>
      </c>
      <c r="I688" s="5" t="s">
        <v>74</v>
      </c>
      <c r="J688" s="2" t="s">
        <v>7249</v>
      </c>
      <c r="K688" s="2" t="s">
        <v>71</v>
      </c>
      <c r="L688" s="5" t="n">
        <v>300</v>
      </c>
    </row>
    <row r="689" customFormat="false" ht="46.25" hidden="false" customHeight="false" outlineLevel="0" collapsed="false">
      <c r="A689" s="5" t="s">
        <v>4474</v>
      </c>
      <c r="B689" s="2" t="s">
        <v>4475</v>
      </c>
      <c r="C689" s="5" t="s">
        <v>2245</v>
      </c>
      <c r="D689" s="5" t="s">
        <v>71</v>
      </c>
      <c r="E689" s="2" t="s">
        <v>3327</v>
      </c>
      <c r="F689" s="2"/>
      <c r="G689" s="2" t="s">
        <v>4476</v>
      </c>
      <c r="H689" s="2" t="s">
        <v>3329</v>
      </c>
      <c r="I689" s="5" t="s">
        <v>74</v>
      </c>
      <c r="J689" s="2" t="s">
        <v>7250</v>
      </c>
      <c r="K689" s="2" t="s">
        <v>71</v>
      </c>
      <c r="L689" s="5" t="n">
        <v>300</v>
      </c>
    </row>
    <row r="690" customFormat="false" ht="35.05" hidden="false" customHeight="false" outlineLevel="0" collapsed="false">
      <c r="A690" s="5" t="s">
        <v>4479</v>
      </c>
      <c r="B690" s="2" t="s">
        <v>4480</v>
      </c>
      <c r="C690" s="5" t="s">
        <v>2128</v>
      </c>
      <c r="D690" s="5" t="s">
        <v>71</v>
      </c>
      <c r="E690" s="2" t="s">
        <v>1105</v>
      </c>
      <c r="F690" s="2"/>
      <c r="G690" s="2" t="s">
        <v>4481</v>
      </c>
      <c r="H690" s="2" t="s">
        <v>4482</v>
      </c>
      <c r="I690" s="5" t="s">
        <v>74</v>
      </c>
      <c r="J690" s="2" t="s">
        <v>7251</v>
      </c>
      <c r="K690" s="2" t="s">
        <v>71</v>
      </c>
      <c r="L690" s="5" t="n">
        <v>300</v>
      </c>
    </row>
    <row r="691" customFormat="false" ht="23.85" hidden="false" customHeight="false" outlineLevel="0" collapsed="false">
      <c r="A691" s="5" t="s">
        <v>4485</v>
      </c>
      <c r="B691" s="2" t="s">
        <v>4486</v>
      </c>
      <c r="C691" s="5" t="s">
        <v>2128</v>
      </c>
      <c r="D691" s="5" t="s">
        <v>71</v>
      </c>
      <c r="E691" s="2" t="s">
        <v>1160</v>
      </c>
      <c r="F691" s="2"/>
      <c r="G691" s="2" t="s">
        <v>4487</v>
      </c>
      <c r="H691" s="2" t="s">
        <v>1193</v>
      </c>
      <c r="I691" s="5" t="s">
        <v>74</v>
      </c>
      <c r="J691" s="2" t="s">
        <v>7252</v>
      </c>
      <c r="K691" s="2" t="s">
        <v>71</v>
      </c>
      <c r="L691" s="5" t="n">
        <v>300</v>
      </c>
    </row>
    <row r="692" customFormat="false" ht="35.05" hidden="false" customHeight="false" outlineLevel="0" collapsed="false">
      <c r="A692" s="5" t="s">
        <v>4490</v>
      </c>
      <c r="B692" s="2" t="s">
        <v>4491</v>
      </c>
      <c r="C692" s="5" t="s">
        <v>2128</v>
      </c>
      <c r="D692" s="5" t="s">
        <v>71</v>
      </c>
      <c r="E692" s="2" t="s">
        <v>1105</v>
      </c>
      <c r="F692" s="2"/>
      <c r="G692" s="2" t="s">
        <v>4492</v>
      </c>
      <c r="H692" s="2" t="s">
        <v>4482</v>
      </c>
      <c r="I692" s="5" t="s">
        <v>74</v>
      </c>
      <c r="J692" s="2" t="s">
        <v>7253</v>
      </c>
      <c r="K692" s="2" t="s">
        <v>71</v>
      </c>
      <c r="L692" s="5" t="n">
        <v>300</v>
      </c>
    </row>
    <row r="693" customFormat="false" ht="23.85" hidden="false" customHeight="false" outlineLevel="0" collapsed="false">
      <c r="A693" s="5" t="s">
        <v>4495</v>
      </c>
      <c r="B693" s="2" t="s">
        <v>4496</v>
      </c>
      <c r="C693" s="5" t="s">
        <v>2128</v>
      </c>
      <c r="D693" s="5" t="s">
        <v>71</v>
      </c>
      <c r="E693" s="2" t="s">
        <v>1160</v>
      </c>
      <c r="F693" s="2"/>
      <c r="G693" s="2" t="s">
        <v>4497</v>
      </c>
      <c r="H693" s="2" t="s">
        <v>1193</v>
      </c>
      <c r="I693" s="5" t="s">
        <v>74</v>
      </c>
      <c r="J693" s="2" t="s">
        <v>7254</v>
      </c>
      <c r="K693" s="2" t="s">
        <v>71</v>
      </c>
      <c r="L693" s="5" t="n">
        <v>300</v>
      </c>
    </row>
    <row r="694" customFormat="false" ht="35.05" hidden="false" customHeight="false" outlineLevel="0" collapsed="false">
      <c r="A694" s="5" t="s">
        <v>4500</v>
      </c>
      <c r="B694" s="2" t="s">
        <v>4501</v>
      </c>
      <c r="C694" s="5" t="s">
        <v>2128</v>
      </c>
      <c r="D694" s="5" t="s">
        <v>71</v>
      </c>
      <c r="E694" s="2" t="s">
        <v>1105</v>
      </c>
      <c r="F694" s="2"/>
      <c r="G694" s="2" t="s">
        <v>4502</v>
      </c>
      <c r="H694" s="2" t="s">
        <v>4482</v>
      </c>
      <c r="I694" s="5" t="s">
        <v>74</v>
      </c>
      <c r="J694" s="2" t="s">
        <v>7255</v>
      </c>
      <c r="K694" s="2" t="s">
        <v>71</v>
      </c>
      <c r="L694" s="5" t="n">
        <v>300</v>
      </c>
    </row>
    <row r="695" customFormat="false" ht="46.25" hidden="false" customHeight="false" outlineLevel="0" collapsed="false">
      <c r="A695" s="5" t="s">
        <v>4505</v>
      </c>
      <c r="B695" s="2" t="s">
        <v>4506</v>
      </c>
      <c r="C695" s="5" t="s">
        <v>2128</v>
      </c>
      <c r="D695" s="5" t="s">
        <v>71</v>
      </c>
      <c r="E695" s="2" t="s">
        <v>1105</v>
      </c>
      <c r="F695" s="2"/>
      <c r="G695" s="2" t="s">
        <v>4507</v>
      </c>
      <c r="H695" s="2" t="s">
        <v>4508</v>
      </c>
      <c r="I695" s="5" t="s">
        <v>74</v>
      </c>
      <c r="J695" s="2" t="s">
        <v>7256</v>
      </c>
      <c r="K695" s="2" t="s">
        <v>71</v>
      </c>
      <c r="L695" s="5" t="n">
        <v>300</v>
      </c>
    </row>
    <row r="696" customFormat="false" ht="46.25" hidden="false" customHeight="false" outlineLevel="0" collapsed="false">
      <c r="A696" s="5" t="s">
        <v>4511</v>
      </c>
      <c r="B696" s="2" t="s">
        <v>4512</v>
      </c>
      <c r="C696" s="5" t="s">
        <v>2128</v>
      </c>
      <c r="D696" s="5" t="s">
        <v>71</v>
      </c>
      <c r="E696" s="2" t="s">
        <v>1105</v>
      </c>
      <c r="F696" s="2"/>
      <c r="G696" s="2" t="s">
        <v>4513</v>
      </c>
      <c r="H696" s="2" t="s">
        <v>4514</v>
      </c>
      <c r="I696" s="5" t="s">
        <v>74</v>
      </c>
      <c r="J696" s="2" t="s">
        <v>7257</v>
      </c>
      <c r="K696" s="2" t="s">
        <v>71</v>
      </c>
      <c r="L696" s="5" t="n">
        <v>300</v>
      </c>
    </row>
    <row r="697" customFormat="false" ht="35.05" hidden="false" customHeight="false" outlineLevel="0" collapsed="false">
      <c r="A697" s="5" t="s">
        <v>4517</v>
      </c>
      <c r="B697" s="2" t="s">
        <v>4518</v>
      </c>
      <c r="C697" s="5" t="s">
        <v>2128</v>
      </c>
      <c r="D697" s="5" t="s">
        <v>71</v>
      </c>
      <c r="E697" s="2" t="s">
        <v>1105</v>
      </c>
      <c r="F697" s="2"/>
      <c r="G697" s="2" t="s">
        <v>4519</v>
      </c>
      <c r="H697" s="2" t="s">
        <v>3362</v>
      </c>
      <c r="I697" s="5" t="s">
        <v>74</v>
      </c>
      <c r="J697" s="2" t="s">
        <v>7258</v>
      </c>
      <c r="K697" s="2" t="s">
        <v>71</v>
      </c>
      <c r="L697" s="5" t="n">
        <v>300</v>
      </c>
    </row>
    <row r="698" customFormat="false" ht="23.85" hidden="false" customHeight="false" outlineLevel="0" collapsed="false">
      <c r="A698" s="5" t="s">
        <v>4522</v>
      </c>
      <c r="B698" s="2" t="s">
        <v>4523</v>
      </c>
      <c r="C698" s="5" t="s">
        <v>2128</v>
      </c>
      <c r="D698" s="5" t="s">
        <v>71</v>
      </c>
      <c r="E698" s="2" t="s">
        <v>1160</v>
      </c>
      <c r="F698" s="2"/>
      <c r="G698" s="2" t="s">
        <v>4524</v>
      </c>
      <c r="H698" s="2" t="s">
        <v>1162</v>
      </c>
      <c r="I698" s="5" t="s">
        <v>74</v>
      </c>
      <c r="J698" s="2" t="s">
        <v>7259</v>
      </c>
      <c r="K698" s="2" t="s">
        <v>71</v>
      </c>
      <c r="L698" s="5" t="n">
        <v>300</v>
      </c>
    </row>
    <row r="699" customFormat="false" ht="35.05" hidden="false" customHeight="false" outlineLevel="0" collapsed="false">
      <c r="A699" s="5" t="s">
        <v>4527</v>
      </c>
      <c r="B699" s="2" t="s">
        <v>4528</v>
      </c>
      <c r="C699" s="5" t="s">
        <v>2128</v>
      </c>
      <c r="D699" s="5" t="s">
        <v>71</v>
      </c>
      <c r="E699" s="2" t="s">
        <v>1160</v>
      </c>
      <c r="F699" s="2"/>
      <c r="G699" s="2" t="s">
        <v>4529</v>
      </c>
      <c r="H699" s="2" t="s">
        <v>1162</v>
      </c>
      <c r="I699" s="5" t="s">
        <v>74</v>
      </c>
      <c r="J699" s="2" t="s">
        <v>7260</v>
      </c>
      <c r="K699" s="2" t="s">
        <v>71</v>
      </c>
      <c r="L699" s="5" t="n">
        <v>300</v>
      </c>
    </row>
    <row r="700" customFormat="false" ht="35.05" hidden="false" customHeight="false" outlineLevel="0" collapsed="false">
      <c r="A700" s="5" t="s">
        <v>4532</v>
      </c>
      <c r="B700" s="2" t="s">
        <v>4533</v>
      </c>
      <c r="C700" s="5" t="s">
        <v>2128</v>
      </c>
      <c r="D700" s="5" t="s">
        <v>71</v>
      </c>
      <c r="E700" s="2" t="s">
        <v>1105</v>
      </c>
      <c r="F700" s="2"/>
      <c r="G700" s="2" t="s">
        <v>4534</v>
      </c>
      <c r="H700" s="2" t="s">
        <v>4482</v>
      </c>
      <c r="I700" s="5" t="s">
        <v>74</v>
      </c>
      <c r="J700" s="2" t="s">
        <v>7261</v>
      </c>
      <c r="K700" s="2" t="s">
        <v>71</v>
      </c>
      <c r="L700" s="5" t="n">
        <v>300</v>
      </c>
    </row>
    <row r="701" customFormat="false" ht="46.25" hidden="false" customHeight="false" outlineLevel="0" collapsed="false">
      <c r="A701" s="5" t="s">
        <v>4537</v>
      </c>
      <c r="B701" s="2" t="s">
        <v>4538</v>
      </c>
      <c r="C701" s="5" t="s">
        <v>2128</v>
      </c>
      <c r="D701" s="5" t="s">
        <v>71</v>
      </c>
      <c r="E701" s="2" t="s">
        <v>1212</v>
      </c>
      <c r="F701" s="2"/>
      <c r="G701" s="2" t="s">
        <v>4539</v>
      </c>
      <c r="H701" s="2" t="s">
        <v>1716</v>
      </c>
      <c r="I701" s="5" t="s">
        <v>74</v>
      </c>
      <c r="J701" s="2" t="s">
        <v>7262</v>
      </c>
      <c r="K701" s="2" t="s">
        <v>71</v>
      </c>
      <c r="L701" s="5" t="n">
        <v>300</v>
      </c>
    </row>
    <row r="702" customFormat="false" ht="23.85" hidden="false" customHeight="false" outlineLevel="0" collapsed="false">
      <c r="A702" s="5" t="s">
        <v>4542</v>
      </c>
      <c r="B702" s="2" t="s">
        <v>4543</v>
      </c>
      <c r="C702" s="5" t="s">
        <v>2128</v>
      </c>
      <c r="D702" s="5" t="s">
        <v>71</v>
      </c>
      <c r="E702" s="2" t="s">
        <v>1160</v>
      </c>
      <c r="F702" s="2"/>
      <c r="G702" s="2" t="s">
        <v>4544</v>
      </c>
      <c r="H702" s="2" t="s">
        <v>1193</v>
      </c>
      <c r="I702" s="5" t="s">
        <v>74</v>
      </c>
      <c r="J702" s="2" t="s">
        <v>7263</v>
      </c>
      <c r="K702" s="2" t="s">
        <v>71</v>
      </c>
      <c r="L702" s="5" t="n">
        <v>300</v>
      </c>
    </row>
    <row r="703" customFormat="false" ht="35.05" hidden="false" customHeight="false" outlineLevel="0" collapsed="false">
      <c r="A703" s="5" t="s">
        <v>4547</v>
      </c>
      <c r="B703" s="2" t="s">
        <v>4548</v>
      </c>
      <c r="C703" s="5" t="s">
        <v>2128</v>
      </c>
      <c r="D703" s="5" t="s">
        <v>71</v>
      </c>
      <c r="E703" s="2" t="s">
        <v>1105</v>
      </c>
      <c r="F703" s="2"/>
      <c r="G703" s="2" t="s">
        <v>4549</v>
      </c>
      <c r="H703" s="2" t="s">
        <v>4550</v>
      </c>
      <c r="I703" s="5" t="s">
        <v>74</v>
      </c>
      <c r="J703" s="2" t="s">
        <v>7264</v>
      </c>
      <c r="K703" s="2" t="s">
        <v>71</v>
      </c>
      <c r="L703" s="5" t="n">
        <v>300</v>
      </c>
    </row>
    <row r="704" customFormat="false" ht="23.85" hidden="false" customHeight="false" outlineLevel="0" collapsed="false">
      <c r="A704" s="5" t="s">
        <v>4553</v>
      </c>
      <c r="B704" s="2" t="s">
        <v>4554</v>
      </c>
      <c r="C704" s="5" t="s">
        <v>2128</v>
      </c>
      <c r="D704" s="5" t="s">
        <v>71</v>
      </c>
      <c r="E704" s="2" t="s">
        <v>1160</v>
      </c>
      <c r="F704" s="2"/>
      <c r="G704" s="2" t="s">
        <v>4555</v>
      </c>
      <c r="H704" s="2" t="s">
        <v>1193</v>
      </c>
      <c r="I704" s="5" t="s">
        <v>74</v>
      </c>
      <c r="J704" s="2" t="s">
        <v>7265</v>
      </c>
      <c r="K704" s="2" t="s">
        <v>71</v>
      </c>
      <c r="L704" s="5" t="n">
        <v>300</v>
      </c>
    </row>
    <row r="705" customFormat="false" ht="102.2" hidden="false" customHeight="false" outlineLevel="0" collapsed="false">
      <c r="A705" s="5" t="s">
        <v>4558</v>
      </c>
      <c r="B705" s="2" t="s">
        <v>4559</v>
      </c>
      <c r="C705" s="5" t="s">
        <v>2128</v>
      </c>
      <c r="D705" s="5" t="s">
        <v>71</v>
      </c>
      <c r="E705" s="2" t="s">
        <v>1105</v>
      </c>
      <c r="F705" s="2"/>
      <c r="G705" s="2" t="s">
        <v>4560</v>
      </c>
      <c r="H705" s="2" t="s">
        <v>4561</v>
      </c>
      <c r="I705" s="5" t="s">
        <v>74</v>
      </c>
      <c r="J705" s="2" t="s">
        <v>7266</v>
      </c>
      <c r="K705" s="2" t="s">
        <v>71</v>
      </c>
      <c r="L705" s="5" t="n">
        <v>300</v>
      </c>
    </row>
    <row r="706" customFormat="false" ht="35.05" hidden="false" customHeight="false" outlineLevel="0" collapsed="false">
      <c r="A706" s="5" t="s">
        <v>4564</v>
      </c>
      <c r="B706" s="2" t="s">
        <v>4565</v>
      </c>
      <c r="C706" s="5" t="s">
        <v>2128</v>
      </c>
      <c r="D706" s="5" t="s">
        <v>71</v>
      </c>
      <c r="E706" s="2" t="s">
        <v>1105</v>
      </c>
      <c r="F706" s="2"/>
      <c r="G706" s="2" t="s">
        <v>4566</v>
      </c>
      <c r="H706" s="2" t="s">
        <v>4482</v>
      </c>
      <c r="I706" s="5" t="s">
        <v>74</v>
      </c>
      <c r="J706" s="2" t="s">
        <v>7267</v>
      </c>
      <c r="K706" s="2" t="s">
        <v>71</v>
      </c>
      <c r="L706" s="5" t="n">
        <v>300</v>
      </c>
    </row>
    <row r="707" customFormat="false" ht="46.25" hidden="false" customHeight="false" outlineLevel="0" collapsed="false">
      <c r="A707" s="5" t="s">
        <v>4569</v>
      </c>
      <c r="B707" s="2" t="s">
        <v>4570</v>
      </c>
      <c r="C707" s="5" t="s">
        <v>2128</v>
      </c>
      <c r="D707" s="5" t="s">
        <v>71</v>
      </c>
      <c r="E707" s="2" t="s">
        <v>1160</v>
      </c>
      <c r="F707" s="2"/>
      <c r="G707" s="2" t="s">
        <v>4571</v>
      </c>
      <c r="H707" s="2" t="s">
        <v>1162</v>
      </c>
      <c r="I707" s="5" t="s">
        <v>74</v>
      </c>
      <c r="J707" s="2" t="s">
        <v>7268</v>
      </c>
      <c r="K707" s="2" t="s">
        <v>71</v>
      </c>
      <c r="L707" s="5" t="n">
        <v>300</v>
      </c>
    </row>
    <row r="708" customFormat="false" ht="57.45" hidden="false" customHeight="false" outlineLevel="0" collapsed="false">
      <c r="A708" s="5" t="s">
        <v>4574</v>
      </c>
      <c r="B708" s="2" t="s">
        <v>4575</v>
      </c>
      <c r="C708" s="5" t="s">
        <v>2245</v>
      </c>
      <c r="D708" s="5" t="s">
        <v>71</v>
      </c>
      <c r="E708" s="2" t="s">
        <v>1105</v>
      </c>
      <c r="F708" s="2"/>
      <c r="G708" s="2" t="s">
        <v>4576</v>
      </c>
      <c r="H708" s="2" t="s">
        <v>4577</v>
      </c>
      <c r="I708" s="5" t="s">
        <v>74</v>
      </c>
      <c r="J708" s="2" t="s">
        <v>7269</v>
      </c>
      <c r="K708" s="2" t="s">
        <v>71</v>
      </c>
      <c r="L708" s="5" t="n">
        <v>300</v>
      </c>
    </row>
    <row r="709" customFormat="false" ht="46.25" hidden="false" customHeight="false" outlineLevel="0" collapsed="false">
      <c r="A709" s="5" t="s">
        <v>4580</v>
      </c>
      <c r="B709" s="2" t="s">
        <v>4581</v>
      </c>
      <c r="C709" s="5" t="s">
        <v>2245</v>
      </c>
      <c r="D709" s="5" t="s">
        <v>71</v>
      </c>
      <c r="E709" s="2" t="s">
        <v>3327</v>
      </c>
      <c r="F709" s="2"/>
      <c r="G709" s="2" t="s">
        <v>4582</v>
      </c>
      <c r="H709" s="2" t="s">
        <v>3329</v>
      </c>
      <c r="I709" s="5" t="s">
        <v>74</v>
      </c>
      <c r="J709" s="2" t="s">
        <v>7270</v>
      </c>
      <c r="K709" s="2" t="s">
        <v>71</v>
      </c>
      <c r="L709" s="5" t="n">
        <v>300</v>
      </c>
    </row>
    <row r="710" customFormat="false" ht="35.05" hidden="false" customHeight="false" outlineLevel="0" collapsed="false">
      <c r="A710" s="5" t="s">
        <v>4585</v>
      </c>
      <c r="B710" s="2" t="s">
        <v>4586</v>
      </c>
      <c r="C710" s="5" t="s">
        <v>2128</v>
      </c>
      <c r="D710" s="5" t="s">
        <v>71</v>
      </c>
      <c r="E710" s="2" t="s">
        <v>368</v>
      </c>
      <c r="F710" s="2"/>
      <c r="G710" s="2" t="s">
        <v>4587</v>
      </c>
      <c r="H710" s="2" t="s">
        <v>4588</v>
      </c>
      <c r="I710" s="5" t="s">
        <v>74</v>
      </c>
      <c r="J710" s="2" t="s">
        <v>7271</v>
      </c>
      <c r="K710" s="2" t="s">
        <v>71</v>
      </c>
      <c r="L710" s="5" t="n">
        <v>300</v>
      </c>
    </row>
    <row r="711" customFormat="false" ht="23.85" hidden="false" customHeight="false" outlineLevel="0" collapsed="false">
      <c r="A711" s="5" t="s">
        <v>4591</v>
      </c>
      <c r="B711" s="2" t="s">
        <v>4592</v>
      </c>
      <c r="C711" s="5" t="s">
        <v>2245</v>
      </c>
      <c r="D711" s="5" t="s">
        <v>71</v>
      </c>
      <c r="E711" s="2" t="s">
        <v>3327</v>
      </c>
      <c r="F711" s="2"/>
      <c r="G711" s="2" t="s">
        <v>4593</v>
      </c>
      <c r="H711" s="2" t="s">
        <v>1879</v>
      </c>
      <c r="I711" s="5" t="s">
        <v>74</v>
      </c>
      <c r="J711" s="2" t="s">
        <v>7272</v>
      </c>
      <c r="K711" s="2" t="s">
        <v>71</v>
      </c>
      <c r="L711" s="5" t="n">
        <v>300</v>
      </c>
    </row>
    <row r="712" customFormat="false" ht="57.45" hidden="false" customHeight="false" outlineLevel="0" collapsed="false">
      <c r="A712" s="5" t="s">
        <v>4596</v>
      </c>
      <c r="B712" s="2" t="s">
        <v>4597</v>
      </c>
      <c r="C712" s="5" t="s">
        <v>2128</v>
      </c>
      <c r="D712" s="5" t="s">
        <v>71</v>
      </c>
      <c r="E712" s="2" t="s">
        <v>1105</v>
      </c>
      <c r="F712" s="2"/>
      <c r="G712" s="2" t="s">
        <v>4598</v>
      </c>
      <c r="H712" s="2" t="s">
        <v>4599</v>
      </c>
      <c r="I712" s="5" t="s">
        <v>74</v>
      </c>
      <c r="J712" s="2" t="s">
        <v>7273</v>
      </c>
      <c r="K712" s="2" t="s">
        <v>71</v>
      </c>
      <c r="L712" s="5" t="n">
        <v>300</v>
      </c>
    </row>
    <row r="713" customFormat="false" ht="46.25" hidden="false" customHeight="false" outlineLevel="0" collapsed="false">
      <c r="A713" s="5" t="s">
        <v>4602</v>
      </c>
      <c r="B713" s="2" t="s">
        <v>4603</v>
      </c>
      <c r="C713" s="5" t="s">
        <v>2245</v>
      </c>
      <c r="D713" s="5" t="s">
        <v>71</v>
      </c>
      <c r="E713" s="2" t="s">
        <v>3327</v>
      </c>
      <c r="F713" s="2"/>
      <c r="G713" s="2" t="s">
        <v>4604</v>
      </c>
      <c r="H713" s="2" t="s">
        <v>3329</v>
      </c>
      <c r="I713" s="5" t="s">
        <v>74</v>
      </c>
      <c r="J713" s="2" t="s">
        <v>7274</v>
      </c>
      <c r="K713" s="2" t="s">
        <v>71</v>
      </c>
      <c r="L713" s="5" t="n">
        <v>300</v>
      </c>
    </row>
    <row r="714" customFormat="false" ht="35.05" hidden="false" customHeight="false" outlineLevel="0" collapsed="false">
      <c r="A714" s="5" t="s">
        <v>4607</v>
      </c>
      <c r="B714" s="2" t="s">
        <v>4608</v>
      </c>
      <c r="C714" s="5" t="s">
        <v>2128</v>
      </c>
      <c r="D714" s="5" t="s">
        <v>71</v>
      </c>
      <c r="E714" s="2" t="s">
        <v>1221</v>
      </c>
      <c r="F714" s="2"/>
      <c r="G714" s="2" t="s">
        <v>4609</v>
      </c>
      <c r="H714" s="2" t="s">
        <v>1879</v>
      </c>
      <c r="I714" s="5" t="s">
        <v>74</v>
      </c>
      <c r="J714" s="2" t="s">
        <v>7275</v>
      </c>
      <c r="K714" s="2" t="s">
        <v>71</v>
      </c>
      <c r="L714" s="5" t="n">
        <v>300</v>
      </c>
    </row>
    <row r="715" customFormat="false" ht="23.85" hidden="false" customHeight="false" outlineLevel="0" collapsed="false">
      <c r="A715" s="5" t="s">
        <v>4612</v>
      </c>
      <c r="B715" s="2" t="s">
        <v>4613</v>
      </c>
      <c r="C715" s="5" t="s">
        <v>2128</v>
      </c>
      <c r="D715" s="5" t="s">
        <v>71</v>
      </c>
      <c r="E715" s="2" t="s">
        <v>1105</v>
      </c>
      <c r="F715" s="2"/>
      <c r="G715" s="2" t="s">
        <v>4614</v>
      </c>
      <c r="H715" s="2" t="s">
        <v>4061</v>
      </c>
      <c r="I715" s="5" t="s">
        <v>74</v>
      </c>
      <c r="J715" s="2" t="s">
        <v>7276</v>
      </c>
      <c r="K715" s="2" t="s">
        <v>71</v>
      </c>
      <c r="L715" s="5" t="n">
        <v>300</v>
      </c>
    </row>
    <row r="716" customFormat="false" ht="23.85" hidden="false" customHeight="false" outlineLevel="0" collapsed="false">
      <c r="A716" s="5" t="s">
        <v>4617</v>
      </c>
      <c r="B716" s="2" t="s">
        <v>4618</v>
      </c>
      <c r="C716" s="5" t="s">
        <v>2245</v>
      </c>
      <c r="D716" s="5" t="s">
        <v>71</v>
      </c>
      <c r="E716" s="2" t="s">
        <v>3327</v>
      </c>
      <c r="F716" s="2"/>
      <c r="G716" s="2" t="s">
        <v>4619</v>
      </c>
      <c r="H716" s="2" t="s">
        <v>3329</v>
      </c>
      <c r="I716" s="5" t="s">
        <v>74</v>
      </c>
      <c r="J716" s="2" t="s">
        <v>7277</v>
      </c>
      <c r="K716" s="2" t="s">
        <v>71</v>
      </c>
      <c r="L716" s="5" t="n">
        <v>300</v>
      </c>
    </row>
    <row r="717" customFormat="false" ht="23.85" hidden="false" customHeight="false" outlineLevel="0" collapsed="false">
      <c r="A717" s="5" t="s">
        <v>4622</v>
      </c>
      <c r="B717" s="2" t="s">
        <v>4623</v>
      </c>
      <c r="C717" s="5" t="s">
        <v>2245</v>
      </c>
      <c r="D717" s="5" t="s">
        <v>71</v>
      </c>
      <c r="E717" s="2" t="s">
        <v>3327</v>
      </c>
      <c r="F717" s="2"/>
      <c r="G717" s="2" t="s">
        <v>4624</v>
      </c>
      <c r="H717" s="2" t="s">
        <v>3329</v>
      </c>
      <c r="I717" s="5" t="s">
        <v>74</v>
      </c>
      <c r="J717" s="2" t="s">
        <v>7278</v>
      </c>
      <c r="K717" s="2" t="s">
        <v>71</v>
      </c>
      <c r="L717" s="5" t="n">
        <v>300</v>
      </c>
    </row>
    <row r="718" customFormat="false" ht="35.05" hidden="false" customHeight="false" outlineLevel="0" collapsed="false">
      <c r="A718" s="5" t="s">
        <v>4627</v>
      </c>
      <c r="B718" s="2" t="s">
        <v>4628</v>
      </c>
      <c r="C718" s="5" t="s">
        <v>2245</v>
      </c>
      <c r="D718" s="5" t="s">
        <v>71</v>
      </c>
      <c r="E718" s="2" t="s">
        <v>3327</v>
      </c>
      <c r="F718" s="2"/>
      <c r="G718" s="2" t="s">
        <v>4629</v>
      </c>
      <c r="H718" s="2" t="s">
        <v>3329</v>
      </c>
      <c r="I718" s="5" t="s">
        <v>74</v>
      </c>
      <c r="J718" s="2" t="s">
        <v>7279</v>
      </c>
      <c r="K718" s="2" t="s">
        <v>71</v>
      </c>
      <c r="L718" s="5" t="n">
        <v>300</v>
      </c>
    </row>
    <row r="719" customFormat="false" ht="57.45" hidden="false" customHeight="false" outlineLevel="0" collapsed="false">
      <c r="A719" s="5" t="s">
        <v>4632</v>
      </c>
      <c r="B719" s="2" t="s">
        <v>4633</v>
      </c>
      <c r="C719" s="5" t="s">
        <v>2128</v>
      </c>
      <c r="D719" s="5" t="s">
        <v>71</v>
      </c>
      <c r="E719" s="2" t="s">
        <v>4635</v>
      </c>
      <c r="F719" s="2"/>
      <c r="G719" s="2" t="s">
        <v>4636</v>
      </c>
      <c r="H719" s="2" t="s">
        <v>4637</v>
      </c>
      <c r="I719" s="5" t="s">
        <v>74</v>
      </c>
      <c r="J719" s="2" t="s">
        <v>7280</v>
      </c>
      <c r="K719" s="2" t="s">
        <v>71</v>
      </c>
      <c r="L719" s="5" t="n">
        <v>300</v>
      </c>
    </row>
    <row r="720" customFormat="false" ht="169.4" hidden="false" customHeight="false" outlineLevel="0" collapsed="false">
      <c r="A720" s="5" t="s">
        <v>4641</v>
      </c>
      <c r="B720" s="2" t="s">
        <v>4642</v>
      </c>
      <c r="C720" s="5" t="s">
        <v>2128</v>
      </c>
      <c r="D720" s="5" t="s">
        <v>71</v>
      </c>
      <c r="E720" s="2" t="s">
        <v>4643</v>
      </c>
      <c r="F720" s="2"/>
      <c r="G720" s="2" t="s">
        <v>4644</v>
      </c>
      <c r="H720" s="2" t="s">
        <v>4645</v>
      </c>
      <c r="I720" s="5" t="s">
        <v>74</v>
      </c>
      <c r="J720" s="2" t="s">
        <v>7281</v>
      </c>
      <c r="K720" s="2" t="s">
        <v>71</v>
      </c>
      <c r="L720" s="5" t="n">
        <v>300</v>
      </c>
    </row>
    <row r="721" customFormat="false" ht="79.85" hidden="false" customHeight="false" outlineLevel="0" collapsed="false">
      <c r="A721" s="5" t="s">
        <v>4648</v>
      </c>
      <c r="B721" s="2" t="s">
        <v>4649</v>
      </c>
      <c r="C721" s="5" t="s">
        <v>2128</v>
      </c>
      <c r="D721" s="5" t="s">
        <v>71</v>
      </c>
      <c r="E721" s="2" t="s">
        <v>3373</v>
      </c>
      <c r="F721" s="2"/>
      <c r="G721" s="2" t="s">
        <v>4651</v>
      </c>
      <c r="H721" s="2" t="s">
        <v>3375</v>
      </c>
      <c r="I721" s="5" t="s">
        <v>74</v>
      </c>
      <c r="J721" s="2" t="s">
        <v>7282</v>
      </c>
      <c r="K721" s="2" t="s">
        <v>71</v>
      </c>
      <c r="L721" s="5" t="n">
        <v>300</v>
      </c>
    </row>
    <row r="722" customFormat="false" ht="113.4" hidden="false" customHeight="false" outlineLevel="0" collapsed="false">
      <c r="A722" s="5" t="s">
        <v>4654</v>
      </c>
      <c r="B722" s="2" t="s">
        <v>4655</v>
      </c>
      <c r="C722" s="5" t="s">
        <v>2245</v>
      </c>
      <c r="D722" s="5" t="s">
        <v>71</v>
      </c>
      <c r="E722" s="2" t="s">
        <v>4133</v>
      </c>
      <c r="F722" s="2"/>
      <c r="G722" s="2" t="s">
        <v>4656</v>
      </c>
      <c r="H722" s="2" t="s">
        <v>4657</v>
      </c>
      <c r="I722" s="5" t="s">
        <v>74</v>
      </c>
      <c r="J722" s="2" t="s">
        <v>7283</v>
      </c>
      <c r="K722" s="2" t="s">
        <v>71</v>
      </c>
      <c r="L722" s="5" t="n">
        <v>300</v>
      </c>
    </row>
    <row r="723" customFormat="false" ht="35.05" hidden="false" customHeight="false" outlineLevel="0" collapsed="false">
      <c r="A723" s="5" t="s">
        <v>4660</v>
      </c>
      <c r="B723" s="2" t="s">
        <v>4661</v>
      </c>
      <c r="C723" s="5" t="s">
        <v>2128</v>
      </c>
      <c r="D723" s="5" t="s">
        <v>71</v>
      </c>
      <c r="E723" s="2" t="s">
        <v>3876</v>
      </c>
      <c r="F723" s="2"/>
      <c r="G723" s="2" t="s">
        <v>4662</v>
      </c>
      <c r="H723" s="2" t="s">
        <v>1432</v>
      </c>
      <c r="I723" s="5" t="s">
        <v>74</v>
      </c>
      <c r="J723" s="2" t="s">
        <v>7284</v>
      </c>
      <c r="K723" s="2" t="s">
        <v>71</v>
      </c>
      <c r="L723" s="5" t="n">
        <v>300</v>
      </c>
    </row>
    <row r="724" customFormat="false" ht="46.25" hidden="false" customHeight="false" outlineLevel="0" collapsed="false">
      <c r="A724" s="5" t="s">
        <v>4665</v>
      </c>
      <c r="B724" s="2" t="s">
        <v>4666</v>
      </c>
      <c r="C724" s="5" t="s">
        <v>2245</v>
      </c>
      <c r="D724" s="5" t="s">
        <v>71</v>
      </c>
      <c r="E724" s="2" t="s">
        <v>1105</v>
      </c>
      <c r="F724" s="2"/>
      <c r="G724" s="2" t="s">
        <v>4667</v>
      </c>
      <c r="H724" s="2" t="s">
        <v>1139</v>
      </c>
      <c r="I724" s="5" t="s">
        <v>74</v>
      </c>
      <c r="J724" s="2" t="s">
        <v>7285</v>
      </c>
      <c r="K724" s="2" t="s">
        <v>71</v>
      </c>
      <c r="L724" s="5" t="n">
        <v>300</v>
      </c>
    </row>
    <row r="725" customFormat="false" ht="23.85" hidden="false" customHeight="false" outlineLevel="0" collapsed="false">
      <c r="A725" s="5" t="s">
        <v>4670</v>
      </c>
      <c r="B725" s="2" t="s">
        <v>4671</v>
      </c>
      <c r="C725" s="5" t="s">
        <v>2245</v>
      </c>
      <c r="D725" s="5" t="s">
        <v>71</v>
      </c>
      <c r="E725" s="2" t="s">
        <v>4672</v>
      </c>
      <c r="F725" s="2"/>
      <c r="G725" s="2"/>
      <c r="H725" s="2" t="s">
        <v>247</v>
      </c>
      <c r="I725" s="5" t="s">
        <v>74</v>
      </c>
      <c r="J725" s="2" t="s">
        <v>7286</v>
      </c>
      <c r="K725" s="2" t="s">
        <v>71</v>
      </c>
      <c r="L725" s="5" t="n">
        <v>300</v>
      </c>
    </row>
    <row r="726" customFormat="false" ht="68.65" hidden="false" customHeight="false" outlineLevel="0" collapsed="false">
      <c r="A726" s="5" t="s">
        <v>4676</v>
      </c>
      <c r="B726" s="2" t="s">
        <v>4677</v>
      </c>
      <c r="C726" s="5" t="s">
        <v>2245</v>
      </c>
      <c r="D726" s="5" t="s">
        <v>71</v>
      </c>
      <c r="E726" s="2" t="s">
        <v>3060</v>
      </c>
      <c r="F726" s="2"/>
      <c r="G726" s="2" t="s">
        <v>4679</v>
      </c>
      <c r="H726" s="2" t="s">
        <v>4680</v>
      </c>
      <c r="I726" s="5" t="s">
        <v>74</v>
      </c>
      <c r="J726" s="2" t="s">
        <v>7287</v>
      </c>
      <c r="K726" s="2" t="s">
        <v>71</v>
      </c>
      <c r="L726" s="5" t="n">
        <v>300</v>
      </c>
    </row>
    <row r="727" customFormat="false" ht="35.05" hidden="false" customHeight="false" outlineLevel="0" collapsed="false">
      <c r="A727" s="5" t="s">
        <v>4683</v>
      </c>
      <c r="B727" s="2" t="s">
        <v>4684</v>
      </c>
      <c r="C727" s="5" t="s">
        <v>2245</v>
      </c>
      <c r="D727" s="5" t="s">
        <v>71</v>
      </c>
      <c r="E727" s="2" t="s">
        <v>3327</v>
      </c>
      <c r="F727" s="2"/>
      <c r="G727" s="2" t="s">
        <v>4685</v>
      </c>
      <c r="H727" s="2" t="s">
        <v>3329</v>
      </c>
      <c r="I727" s="5" t="s">
        <v>74</v>
      </c>
      <c r="J727" s="2" t="s">
        <v>7288</v>
      </c>
      <c r="K727" s="2" t="s">
        <v>71</v>
      </c>
      <c r="L727" s="5" t="n">
        <v>300</v>
      </c>
    </row>
    <row r="728" customFormat="false" ht="79.85" hidden="false" customHeight="false" outlineLevel="0" collapsed="false">
      <c r="A728" s="5" t="s">
        <v>4688</v>
      </c>
      <c r="B728" s="2" t="s">
        <v>4689</v>
      </c>
      <c r="C728" s="5" t="s">
        <v>2245</v>
      </c>
      <c r="D728" s="5" t="s">
        <v>71</v>
      </c>
      <c r="E728" s="2" t="s">
        <v>1105</v>
      </c>
      <c r="F728" s="2"/>
      <c r="G728" s="2" t="s">
        <v>4690</v>
      </c>
      <c r="H728" s="2" t="s">
        <v>1176</v>
      </c>
      <c r="I728" s="5" t="s">
        <v>74</v>
      </c>
      <c r="J728" s="2" t="s">
        <v>7289</v>
      </c>
      <c r="K728" s="2" t="s">
        <v>71</v>
      </c>
      <c r="L728" s="5" t="n">
        <v>300</v>
      </c>
    </row>
    <row r="729" customFormat="false" ht="35.05" hidden="false" customHeight="false" outlineLevel="0" collapsed="false">
      <c r="A729" s="5" t="s">
        <v>4693</v>
      </c>
      <c r="B729" s="2" t="s">
        <v>4694</v>
      </c>
      <c r="C729" s="5" t="s">
        <v>2245</v>
      </c>
      <c r="D729" s="5" t="s">
        <v>71</v>
      </c>
      <c r="E729" s="2" t="s">
        <v>4695</v>
      </c>
      <c r="F729" s="2"/>
      <c r="G729" s="2" t="s">
        <v>4696</v>
      </c>
      <c r="H729" s="2" t="s">
        <v>1879</v>
      </c>
      <c r="I729" s="5" t="s">
        <v>74</v>
      </c>
      <c r="J729" s="2" t="s">
        <v>7290</v>
      </c>
      <c r="K729" s="2" t="s">
        <v>71</v>
      </c>
      <c r="L729" s="5" t="n">
        <v>300</v>
      </c>
    </row>
    <row r="730" customFormat="false" ht="46.25" hidden="false" customHeight="false" outlineLevel="0" collapsed="false">
      <c r="A730" s="5" t="s">
        <v>4699</v>
      </c>
      <c r="B730" s="2" t="s">
        <v>4700</v>
      </c>
      <c r="C730" s="5" t="s">
        <v>2245</v>
      </c>
      <c r="D730" s="5" t="s">
        <v>71</v>
      </c>
      <c r="E730" s="2" t="s">
        <v>210</v>
      </c>
      <c r="F730" s="2"/>
      <c r="G730" s="2" t="s">
        <v>4701</v>
      </c>
      <c r="H730" s="2" t="s">
        <v>4702</v>
      </c>
      <c r="I730" s="5" t="s">
        <v>74</v>
      </c>
      <c r="J730" s="2" t="s">
        <v>7291</v>
      </c>
      <c r="K730" s="2" t="s">
        <v>71</v>
      </c>
      <c r="L730" s="5" t="n">
        <v>300</v>
      </c>
    </row>
    <row r="731" customFormat="false" ht="46.25" hidden="false" customHeight="false" outlineLevel="0" collapsed="false">
      <c r="A731" s="5" t="s">
        <v>4705</v>
      </c>
      <c r="B731" s="2" t="s">
        <v>4706</v>
      </c>
      <c r="C731" s="5" t="s">
        <v>2245</v>
      </c>
      <c r="D731" s="5" t="s">
        <v>71</v>
      </c>
      <c r="E731" s="2" t="s">
        <v>1105</v>
      </c>
      <c r="F731" s="2"/>
      <c r="G731" s="2" t="s">
        <v>4707</v>
      </c>
      <c r="H731" s="2" t="s">
        <v>1176</v>
      </c>
      <c r="I731" s="5" t="s">
        <v>74</v>
      </c>
      <c r="J731" s="2" t="s">
        <v>7292</v>
      </c>
      <c r="K731" s="2" t="s">
        <v>71</v>
      </c>
      <c r="L731" s="5" t="n">
        <v>300</v>
      </c>
    </row>
    <row r="732" customFormat="false" ht="23.85" hidden="false" customHeight="false" outlineLevel="0" collapsed="false">
      <c r="A732" s="5" t="s">
        <v>4710</v>
      </c>
      <c r="B732" s="2" t="s">
        <v>4711</v>
      </c>
      <c r="C732" s="5" t="s">
        <v>2245</v>
      </c>
      <c r="D732" s="5" t="s">
        <v>71</v>
      </c>
      <c r="E732" s="2" t="s">
        <v>3500</v>
      </c>
      <c r="F732" s="2"/>
      <c r="G732" s="2" t="s">
        <v>4712</v>
      </c>
      <c r="H732" s="2" t="s">
        <v>2081</v>
      </c>
      <c r="I732" s="5" t="s">
        <v>74</v>
      </c>
      <c r="J732" s="2" t="s">
        <v>7293</v>
      </c>
      <c r="K732" s="2" t="s">
        <v>71</v>
      </c>
      <c r="L732" s="5" t="n">
        <v>300</v>
      </c>
    </row>
    <row r="733" customFormat="false" ht="23.85" hidden="false" customHeight="false" outlineLevel="0" collapsed="false">
      <c r="A733" s="5" t="s">
        <v>4715</v>
      </c>
      <c r="B733" s="2" t="s">
        <v>4716</v>
      </c>
      <c r="C733" s="5" t="s">
        <v>2245</v>
      </c>
      <c r="D733" s="5" t="s">
        <v>71</v>
      </c>
      <c r="E733" s="2" t="s">
        <v>1457</v>
      </c>
      <c r="F733" s="2"/>
      <c r="G733" s="2" t="s">
        <v>4717</v>
      </c>
      <c r="H733" s="2" t="s">
        <v>4260</v>
      </c>
      <c r="I733" s="5" t="s">
        <v>74</v>
      </c>
      <c r="J733" s="2" t="s">
        <v>7294</v>
      </c>
      <c r="K733" s="2" t="s">
        <v>71</v>
      </c>
      <c r="L733" s="5" t="n">
        <v>300</v>
      </c>
    </row>
    <row r="734" customFormat="false" ht="23.85" hidden="false" customHeight="false" outlineLevel="0" collapsed="false">
      <c r="A734" s="5" t="s">
        <v>4720</v>
      </c>
      <c r="B734" s="2" t="s">
        <v>4721</v>
      </c>
      <c r="C734" s="5" t="s">
        <v>2128</v>
      </c>
      <c r="D734" s="5" t="s">
        <v>71</v>
      </c>
      <c r="E734" s="2" t="s">
        <v>4722</v>
      </c>
      <c r="F734" s="2"/>
      <c r="G734" s="2"/>
      <c r="H734" s="2" t="s">
        <v>1098</v>
      </c>
      <c r="I734" s="5" t="s">
        <v>74</v>
      </c>
      <c r="J734" s="2" t="s">
        <v>7295</v>
      </c>
      <c r="K734" s="2" t="s">
        <v>71</v>
      </c>
      <c r="L734" s="5" t="n">
        <v>300</v>
      </c>
    </row>
    <row r="735" customFormat="false" ht="169.4" hidden="false" customHeight="false" outlineLevel="0" collapsed="false">
      <c r="A735" s="5" t="s">
        <v>4725</v>
      </c>
      <c r="B735" s="2" t="s">
        <v>4726</v>
      </c>
      <c r="C735" s="5" t="s">
        <v>2245</v>
      </c>
      <c r="D735" s="5" t="s">
        <v>71</v>
      </c>
      <c r="E735" s="2" t="s">
        <v>3745</v>
      </c>
      <c r="F735" s="2"/>
      <c r="G735" s="2" t="s">
        <v>4727</v>
      </c>
      <c r="H735" s="2" t="s">
        <v>3747</v>
      </c>
      <c r="I735" s="5" t="s">
        <v>74</v>
      </c>
      <c r="J735" s="2" t="s">
        <v>7296</v>
      </c>
      <c r="K735" s="2" t="s">
        <v>71</v>
      </c>
      <c r="L735" s="5" t="n">
        <v>300</v>
      </c>
    </row>
    <row r="736" customFormat="false" ht="258.95" hidden="false" customHeight="false" outlineLevel="0" collapsed="false">
      <c r="A736" s="5" t="s">
        <v>4730</v>
      </c>
      <c r="B736" s="2" t="s">
        <v>4731</v>
      </c>
      <c r="C736" s="5" t="s">
        <v>2245</v>
      </c>
      <c r="D736" s="5" t="s">
        <v>71</v>
      </c>
      <c r="E736" s="2" t="s">
        <v>4732</v>
      </c>
      <c r="F736" s="2"/>
      <c r="G736" s="2" t="s">
        <v>4733</v>
      </c>
      <c r="H736" s="2" t="s">
        <v>3111</v>
      </c>
      <c r="I736" s="5" t="s">
        <v>74</v>
      </c>
      <c r="J736" s="2" t="s">
        <v>7297</v>
      </c>
      <c r="K736" s="2" t="s">
        <v>71</v>
      </c>
      <c r="L736" s="5" t="n">
        <v>300</v>
      </c>
    </row>
    <row r="737" customFormat="false" ht="57.45" hidden="false" customHeight="false" outlineLevel="0" collapsed="false">
      <c r="A737" s="5" t="s">
        <v>4737</v>
      </c>
      <c r="B737" s="2" t="s">
        <v>4738</v>
      </c>
      <c r="C737" s="5" t="s">
        <v>2128</v>
      </c>
      <c r="D737" s="5" t="s">
        <v>71</v>
      </c>
      <c r="E737" s="2" t="s">
        <v>4739</v>
      </c>
      <c r="F737" s="2"/>
      <c r="G737" s="2"/>
      <c r="H737" s="2" t="s">
        <v>1098</v>
      </c>
      <c r="I737" s="5" t="s">
        <v>74</v>
      </c>
      <c r="J737" s="2" t="s">
        <v>7298</v>
      </c>
      <c r="K737" s="2" t="s">
        <v>71</v>
      </c>
      <c r="L737" s="5" t="n">
        <v>300</v>
      </c>
    </row>
    <row r="738" customFormat="false" ht="35.05" hidden="false" customHeight="false" outlineLevel="0" collapsed="false">
      <c r="A738" s="5" t="s">
        <v>4742</v>
      </c>
      <c r="B738" s="2" t="s">
        <v>4743</v>
      </c>
      <c r="C738" s="5" t="s">
        <v>2128</v>
      </c>
      <c r="D738" s="5" t="s">
        <v>71</v>
      </c>
      <c r="E738" s="2" t="s">
        <v>1612</v>
      </c>
      <c r="F738" s="2"/>
      <c r="G738" s="2" t="s">
        <v>4744</v>
      </c>
      <c r="H738" s="2" t="s">
        <v>4745</v>
      </c>
      <c r="I738" s="5" t="s">
        <v>74</v>
      </c>
      <c r="J738" s="2" t="s">
        <v>7299</v>
      </c>
      <c r="K738" s="2" t="s">
        <v>71</v>
      </c>
      <c r="L738" s="5" t="n">
        <v>300</v>
      </c>
    </row>
    <row r="739" customFormat="false" ht="15" hidden="false" customHeight="false" outlineLevel="0" collapsed="false">
      <c r="A739" s="5" t="s">
        <v>4748</v>
      </c>
      <c r="B739" s="2" t="s">
        <v>4749</v>
      </c>
      <c r="C739" s="5" t="s">
        <v>2128</v>
      </c>
      <c r="D739" s="5" t="s">
        <v>4752</v>
      </c>
      <c r="E739" s="2" t="s">
        <v>4751</v>
      </c>
      <c r="F739" s="2"/>
      <c r="G739" s="2" t="s">
        <v>4753</v>
      </c>
      <c r="H739" s="2" t="s">
        <v>2200</v>
      </c>
      <c r="I739" s="5" t="s">
        <v>4754</v>
      </c>
      <c r="J739" s="2" t="s">
        <v>7300</v>
      </c>
      <c r="K739" s="2" t="s">
        <v>4752</v>
      </c>
      <c r="L739" s="5" t="n">
        <v>300</v>
      </c>
    </row>
    <row r="740" customFormat="false" ht="35.05" hidden="false" customHeight="false" outlineLevel="0" collapsed="false">
      <c r="A740" s="5" t="s">
        <v>4758</v>
      </c>
      <c r="B740" s="2" t="s">
        <v>4759</v>
      </c>
      <c r="C740" s="5" t="s">
        <v>2128</v>
      </c>
      <c r="D740" s="5" t="s">
        <v>958</v>
      </c>
      <c r="E740" s="2" t="s">
        <v>4761</v>
      </c>
      <c r="F740" s="2"/>
      <c r="G740" s="2" t="s">
        <v>959</v>
      </c>
      <c r="H740" s="2" t="s">
        <v>960</v>
      </c>
      <c r="I740" s="5" t="s">
        <v>496</v>
      </c>
      <c r="J740" s="2" t="s">
        <v>7301</v>
      </c>
      <c r="K740" s="2" t="s">
        <v>958</v>
      </c>
      <c r="L740" s="5" t="n">
        <v>300</v>
      </c>
    </row>
    <row r="741" customFormat="false" ht="23.85" hidden="false" customHeight="false" outlineLevel="0" collapsed="false">
      <c r="A741" s="5" t="s">
        <v>4765</v>
      </c>
      <c r="B741" s="2" t="s">
        <v>4766</v>
      </c>
      <c r="C741" s="5" t="s">
        <v>2128</v>
      </c>
      <c r="D741" s="5" t="s">
        <v>570</v>
      </c>
      <c r="E741" s="2" t="s">
        <v>4767</v>
      </c>
      <c r="F741" s="2"/>
      <c r="G741" s="2"/>
      <c r="H741" s="2" t="s">
        <v>571</v>
      </c>
      <c r="I741" s="5" t="s">
        <v>74</v>
      </c>
      <c r="J741" s="2" t="s">
        <v>7302</v>
      </c>
      <c r="K741" s="2" t="s">
        <v>570</v>
      </c>
      <c r="L741" s="5" t="n">
        <v>300</v>
      </c>
    </row>
    <row r="742" customFormat="false" ht="15" hidden="false" customHeight="false" outlineLevel="0" collapsed="false">
      <c r="A742" s="5" t="s">
        <v>4771</v>
      </c>
      <c r="B742" s="2" t="s">
        <v>4772</v>
      </c>
      <c r="C742" s="5" t="s">
        <v>2128</v>
      </c>
      <c r="D742" s="5" t="s">
        <v>71</v>
      </c>
      <c r="E742" s="2" t="s">
        <v>4773</v>
      </c>
      <c r="F742" s="2"/>
      <c r="G742" s="2"/>
      <c r="H742" s="2" t="s">
        <v>641</v>
      </c>
      <c r="I742" s="5" t="s">
        <v>74</v>
      </c>
      <c r="J742" s="2" t="s">
        <v>7303</v>
      </c>
      <c r="K742" s="2" t="s">
        <v>71</v>
      </c>
      <c r="L742" s="5" t="n">
        <v>300</v>
      </c>
    </row>
    <row r="743" customFormat="false" ht="23.85" hidden="false" customHeight="false" outlineLevel="0" collapsed="false">
      <c r="A743" s="5" t="s">
        <v>4777</v>
      </c>
      <c r="B743" s="2" t="s">
        <v>4778</v>
      </c>
      <c r="C743" s="5" t="s">
        <v>2128</v>
      </c>
      <c r="D743" s="5" t="s">
        <v>71</v>
      </c>
      <c r="E743" s="2" t="s">
        <v>4779</v>
      </c>
      <c r="F743" s="2"/>
      <c r="G743" s="2"/>
      <c r="H743" s="2" t="s">
        <v>641</v>
      </c>
      <c r="I743" s="5" t="s">
        <v>74</v>
      </c>
      <c r="J743" s="2" t="s">
        <v>7304</v>
      </c>
      <c r="K743" s="2" t="s">
        <v>71</v>
      </c>
      <c r="L743" s="5" t="n">
        <v>300</v>
      </c>
    </row>
    <row r="744" customFormat="false" ht="15" hidden="false" customHeight="false" outlineLevel="0" collapsed="false">
      <c r="A744" s="5" t="s">
        <v>4783</v>
      </c>
      <c r="B744" s="2" t="s">
        <v>4784</v>
      </c>
      <c r="C744" s="5" t="s">
        <v>2128</v>
      </c>
      <c r="D744" s="5" t="s">
        <v>4787</v>
      </c>
      <c r="E744" s="2" t="s">
        <v>4786</v>
      </c>
      <c r="F744" s="2"/>
      <c r="G744" s="2"/>
      <c r="H744" s="2" t="s">
        <v>745</v>
      </c>
      <c r="I744" s="5" t="s">
        <v>496</v>
      </c>
      <c r="J744" s="2" t="s">
        <v>7305</v>
      </c>
      <c r="K744" s="2" t="s">
        <v>4787</v>
      </c>
      <c r="L744" s="5" t="n">
        <v>300</v>
      </c>
    </row>
    <row r="745" customFormat="false" ht="23.85" hidden="false" customHeight="false" outlineLevel="0" collapsed="false">
      <c r="A745" s="5" t="s">
        <v>4791</v>
      </c>
      <c r="B745" s="2" t="s">
        <v>4792</v>
      </c>
      <c r="C745" s="5" t="s">
        <v>2128</v>
      </c>
      <c r="D745" s="5" t="s">
        <v>4787</v>
      </c>
      <c r="E745" s="2" t="s">
        <v>4793</v>
      </c>
      <c r="F745" s="2"/>
      <c r="G745" s="2"/>
      <c r="H745" s="2" t="s">
        <v>745</v>
      </c>
      <c r="I745" s="5" t="s">
        <v>496</v>
      </c>
      <c r="J745" s="2" t="s">
        <v>7306</v>
      </c>
      <c r="K745" s="2" t="s">
        <v>4787</v>
      </c>
      <c r="L745" s="5" t="n">
        <v>300</v>
      </c>
    </row>
    <row r="746" customFormat="false" ht="35.05" hidden="false" customHeight="false" outlineLevel="0" collapsed="false">
      <c r="A746" s="5" t="s">
        <v>4797</v>
      </c>
      <c r="B746" s="2" t="s">
        <v>4798</v>
      </c>
      <c r="C746" s="5" t="s">
        <v>2128</v>
      </c>
      <c r="D746" s="5" t="s">
        <v>672</v>
      </c>
      <c r="E746" s="2" t="s">
        <v>4799</v>
      </c>
      <c r="F746" s="2"/>
      <c r="G746" s="2"/>
      <c r="H746" s="2" t="s">
        <v>673</v>
      </c>
      <c r="I746" s="5" t="s">
        <v>496</v>
      </c>
      <c r="J746" s="2" t="s">
        <v>7307</v>
      </c>
      <c r="K746" s="2" t="s">
        <v>672</v>
      </c>
      <c r="L746" s="5" t="n">
        <v>600</v>
      </c>
    </row>
    <row r="747" customFormat="false" ht="15" hidden="false" customHeight="false" outlineLevel="0" collapsed="false">
      <c r="A747" s="5" t="s">
        <v>4803</v>
      </c>
      <c r="B747" s="2" t="s">
        <v>4804</v>
      </c>
      <c r="C747" s="5" t="s">
        <v>2128</v>
      </c>
      <c r="D747" s="5" t="s">
        <v>4808</v>
      </c>
      <c r="E747" s="2" t="s">
        <v>4807</v>
      </c>
      <c r="F747" s="2"/>
      <c r="G747" s="2"/>
      <c r="H747" s="2" t="s">
        <v>4809</v>
      </c>
      <c r="I747" s="5" t="s">
        <v>74</v>
      </c>
      <c r="J747" s="2" t="s">
        <v>7308</v>
      </c>
      <c r="K747" s="2" t="s">
        <v>4808</v>
      </c>
      <c r="L747" s="5" t="n">
        <v>300</v>
      </c>
    </row>
    <row r="748" customFormat="false" ht="23.85" hidden="false" customHeight="false" outlineLevel="0" collapsed="false">
      <c r="A748" s="5" t="s">
        <v>4813</v>
      </c>
      <c r="B748" s="2" t="s">
        <v>4814</v>
      </c>
      <c r="C748" s="5" t="s">
        <v>2128</v>
      </c>
      <c r="D748" s="5" t="s">
        <v>4815</v>
      </c>
      <c r="E748" s="2" t="s">
        <v>865</v>
      </c>
      <c r="F748" s="2"/>
      <c r="G748" s="2" t="s">
        <v>4816</v>
      </c>
      <c r="H748" s="2" t="s">
        <v>4817</v>
      </c>
      <c r="I748" s="5" t="s">
        <v>681</v>
      </c>
      <c r="J748" s="2" t="s">
        <v>7309</v>
      </c>
      <c r="K748" s="2" t="s">
        <v>4815</v>
      </c>
      <c r="L748" s="5" t="n">
        <v>600</v>
      </c>
    </row>
    <row r="749" customFormat="false" ht="57.45" hidden="false" customHeight="false" outlineLevel="0" collapsed="false">
      <c r="A749" s="5" t="s">
        <v>4820</v>
      </c>
      <c r="B749" s="2" t="s">
        <v>4821</v>
      </c>
      <c r="C749" s="5" t="s">
        <v>2128</v>
      </c>
      <c r="D749" s="5" t="s">
        <v>4165</v>
      </c>
      <c r="E749" s="2" t="s">
        <v>7310</v>
      </c>
      <c r="F749" s="2"/>
      <c r="G749" s="2" t="s">
        <v>4824</v>
      </c>
      <c r="H749" s="2" t="s">
        <v>2733</v>
      </c>
      <c r="I749" s="5" t="s">
        <v>74</v>
      </c>
      <c r="J749" s="2" t="s">
        <v>7311</v>
      </c>
      <c r="K749" s="2" t="s">
        <v>4165</v>
      </c>
      <c r="L749" s="5" t="n">
        <v>600</v>
      </c>
    </row>
    <row r="750" customFormat="false" ht="35.05" hidden="false" customHeight="false" outlineLevel="0" collapsed="false">
      <c r="A750" s="5" t="s">
        <v>4828</v>
      </c>
      <c r="B750" s="2" t="s">
        <v>4829</v>
      </c>
      <c r="C750" s="5" t="s">
        <v>2128</v>
      </c>
      <c r="D750" s="5" t="s">
        <v>71</v>
      </c>
      <c r="E750" s="2" t="s">
        <v>4831</v>
      </c>
      <c r="F750" s="2"/>
      <c r="G750" s="2" t="s">
        <v>4832</v>
      </c>
      <c r="H750" s="2" t="s">
        <v>4833</v>
      </c>
      <c r="I750" s="5" t="s">
        <v>496</v>
      </c>
      <c r="J750" s="2" t="s">
        <v>7312</v>
      </c>
      <c r="K750" s="2" t="s">
        <v>71</v>
      </c>
      <c r="L750" s="5" t="n">
        <v>300</v>
      </c>
    </row>
    <row r="751" customFormat="false" ht="23.85" hidden="false" customHeight="false" outlineLevel="0" collapsed="false">
      <c r="A751" s="5" t="s">
        <v>4837</v>
      </c>
      <c r="B751" s="2" t="s">
        <v>4838</v>
      </c>
      <c r="C751" s="5" t="s">
        <v>2128</v>
      </c>
      <c r="D751" s="5" t="s">
        <v>2248</v>
      </c>
      <c r="E751" s="2" t="s">
        <v>4840</v>
      </c>
      <c r="F751" s="2"/>
      <c r="G751" s="2" t="s">
        <v>4841</v>
      </c>
      <c r="H751" s="2" t="s">
        <v>4842</v>
      </c>
      <c r="I751" s="5" t="s">
        <v>74</v>
      </c>
      <c r="J751" s="2" t="s">
        <v>7313</v>
      </c>
      <c r="K751" s="2" t="s">
        <v>2248</v>
      </c>
      <c r="L751" s="5" t="n">
        <v>300</v>
      </c>
    </row>
    <row r="752" customFormat="false" ht="23.85" hidden="false" customHeight="false" outlineLevel="0" collapsed="false">
      <c r="A752" s="5" t="s">
        <v>4846</v>
      </c>
      <c r="B752" s="2" t="s">
        <v>4847</v>
      </c>
      <c r="C752" s="5" t="s">
        <v>2128</v>
      </c>
      <c r="D752" s="5" t="s">
        <v>2248</v>
      </c>
      <c r="E752" s="2" t="s">
        <v>4840</v>
      </c>
      <c r="F752" s="2"/>
      <c r="G752" s="2" t="s">
        <v>4848</v>
      </c>
      <c r="H752" s="2" t="s">
        <v>4842</v>
      </c>
      <c r="I752" s="5" t="s">
        <v>74</v>
      </c>
      <c r="J752" s="2" t="s">
        <v>7314</v>
      </c>
      <c r="K752" s="2" t="s">
        <v>2248</v>
      </c>
      <c r="L752" s="5" t="n">
        <v>300</v>
      </c>
    </row>
    <row r="753" customFormat="false" ht="23.85" hidden="false" customHeight="false" outlineLevel="0" collapsed="false">
      <c r="A753" s="5" t="s">
        <v>4851</v>
      </c>
      <c r="B753" s="2" t="s">
        <v>4852</v>
      </c>
      <c r="C753" s="5" t="s">
        <v>2128</v>
      </c>
      <c r="D753" s="5" t="s">
        <v>2248</v>
      </c>
      <c r="E753" s="2" t="s">
        <v>4840</v>
      </c>
      <c r="F753" s="2"/>
      <c r="G753" s="2" t="s">
        <v>4853</v>
      </c>
      <c r="H753" s="2" t="s">
        <v>4842</v>
      </c>
      <c r="I753" s="5" t="s">
        <v>74</v>
      </c>
      <c r="J753" s="2" t="s">
        <v>7315</v>
      </c>
      <c r="K753" s="2" t="s">
        <v>2248</v>
      </c>
      <c r="L753" s="5" t="n">
        <v>300</v>
      </c>
    </row>
    <row r="754" customFormat="false" ht="15" hidden="false" customHeight="false" outlineLevel="0" collapsed="false">
      <c r="A754" s="5" t="s">
        <v>4856</v>
      </c>
      <c r="B754" s="2" t="s">
        <v>4857</v>
      </c>
      <c r="C754" s="5" t="s">
        <v>2128</v>
      </c>
      <c r="D754" s="5" t="s">
        <v>4808</v>
      </c>
      <c r="E754" s="2" t="s">
        <v>4858</v>
      </c>
      <c r="F754" s="2"/>
      <c r="G754" s="2"/>
      <c r="H754" s="2" t="s">
        <v>4859</v>
      </c>
      <c r="I754" s="5" t="s">
        <v>74</v>
      </c>
      <c r="J754" s="2" t="s">
        <v>7316</v>
      </c>
      <c r="K754" s="2" t="s">
        <v>4808</v>
      </c>
      <c r="L754" s="5" t="n">
        <v>300</v>
      </c>
    </row>
    <row r="755" customFormat="false" ht="23.85" hidden="false" customHeight="false" outlineLevel="0" collapsed="false">
      <c r="A755" s="5" t="s">
        <v>4863</v>
      </c>
      <c r="B755" s="2" t="s">
        <v>4864</v>
      </c>
      <c r="C755" s="5" t="s">
        <v>2128</v>
      </c>
      <c r="D755" s="5" t="s">
        <v>4808</v>
      </c>
      <c r="E755" s="2" t="s">
        <v>4865</v>
      </c>
      <c r="F755" s="2"/>
      <c r="G755" s="2" t="s">
        <v>4866</v>
      </c>
      <c r="H755" s="2" t="s">
        <v>4867</v>
      </c>
      <c r="I755" s="5" t="s">
        <v>74</v>
      </c>
      <c r="J755" s="2" t="s">
        <v>7317</v>
      </c>
      <c r="K755" s="2" t="s">
        <v>4808</v>
      </c>
      <c r="L755" s="5" t="n">
        <v>300</v>
      </c>
    </row>
    <row r="756" customFormat="false" ht="46.25" hidden="false" customHeight="false" outlineLevel="0" collapsed="false">
      <c r="A756" s="5" t="s">
        <v>4871</v>
      </c>
      <c r="B756" s="2" t="s">
        <v>4872</v>
      </c>
      <c r="C756" s="5" t="s">
        <v>2128</v>
      </c>
      <c r="D756" s="5" t="s">
        <v>4875</v>
      </c>
      <c r="E756" s="2" t="s">
        <v>7318</v>
      </c>
      <c r="F756" s="2"/>
      <c r="G756" s="2"/>
      <c r="H756" s="2" t="s">
        <v>849</v>
      </c>
      <c r="I756" s="5" t="s">
        <v>4876</v>
      </c>
      <c r="J756" s="2" t="s">
        <v>7319</v>
      </c>
      <c r="K756" s="2" t="s">
        <v>4875</v>
      </c>
      <c r="L756" s="5" t="n">
        <v>600</v>
      </c>
    </row>
    <row r="757" customFormat="false" ht="57.45" hidden="false" customHeight="false" outlineLevel="0" collapsed="false">
      <c r="A757" s="5" t="s">
        <v>4880</v>
      </c>
      <c r="B757" s="2" t="s">
        <v>4881</v>
      </c>
      <c r="C757" s="5" t="s">
        <v>2128</v>
      </c>
      <c r="D757" s="5" t="s">
        <v>4884</v>
      </c>
      <c r="E757" s="2" t="s">
        <v>4883</v>
      </c>
      <c r="F757" s="2"/>
      <c r="G757" s="2" t="s">
        <v>4885</v>
      </c>
      <c r="H757" s="2" t="s">
        <v>2733</v>
      </c>
      <c r="I757" s="5" t="s">
        <v>734</v>
      </c>
      <c r="J757" s="2" t="s">
        <v>7320</v>
      </c>
      <c r="K757" s="2" t="s">
        <v>4884</v>
      </c>
      <c r="L757" s="5" t="n">
        <v>300</v>
      </c>
    </row>
    <row r="758" customFormat="false" ht="35.05" hidden="false" customHeight="false" outlineLevel="0" collapsed="false">
      <c r="A758" s="5" t="s">
        <v>4889</v>
      </c>
      <c r="B758" s="2" t="s">
        <v>4890</v>
      </c>
      <c r="C758" s="5" t="s">
        <v>2128</v>
      </c>
      <c r="D758" s="5" t="s">
        <v>958</v>
      </c>
      <c r="E758" s="2" t="s">
        <v>4891</v>
      </c>
      <c r="F758" s="2"/>
      <c r="G758" s="2" t="s">
        <v>959</v>
      </c>
      <c r="H758" s="2" t="s">
        <v>960</v>
      </c>
      <c r="I758" s="5" t="s">
        <v>496</v>
      </c>
      <c r="J758" s="2" t="s">
        <v>7321</v>
      </c>
      <c r="K758" s="2" t="s">
        <v>958</v>
      </c>
      <c r="L758" s="5" t="n">
        <v>300</v>
      </c>
    </row>
    <row r="759" customFormat="false" ht="57.45" hidden="false" customHeight="false" outlineLevel="0" collapsed="false">
      <c r="A759" s="5" t="s">
        <v>4895</v>
      </c>
      <c r="B759" s="2" t="s">
        <v>4896</v>
      </c>
      <c r="C759" s="5" t="s">
        <v>2128</v>
      </c>
      <c r="D759" s="5" t="s">
        <v>4897</v>
      </c>
      <c r="E759" s="2" t="s">
        <v>7310</v>
      </c>
      <c r="F759" s="2"/>
      <c r="G759" s="2" t="s">
        <v>4898</v>
      </c>
      <c r="H759" s="2" t="s">
        <v>4899</v>
      </c>
      <c r="I759" s="5" t="s">
        <v>74</v>
      </c>
      <c r="J759" s="2" t="s">
        <v>7322</v>
      </c>
      <c r="K759" s="2" t="s">
        <v>4897</v>
      </c>
      <c r="L759" s="5" t="n">
        <v>600</v>
      </c>
    </row>
    <row r="760" customFormat="false" ht="35.05" hidden="false" customHeight="false" outlineLevel="0" collapsed="false">
      <c r="A760" s="5" t="s">
        <v>4902</v>
      </c>
      <c r="B760" s="2" t="s">
        <v>4903</v>
      </c>
      <c r="C760" s="5" t="s">
        <v>2128</v>
      </c>
      <c r="D760" s="5" t="s">
        <v>4905</v>
      </c>
      <c r="E760" s="2" t="s">
        <v>4904</v>
      </c>
      <c r="F760" s="2"/>
      <c r="G760" s="2"/>
      <c r="H760" s="2" t="s">
        <v>4906</v>
      </c>
      <c r="I760" s="5" t="s">
        <v>74</v>
      </c>
      <c r="J760" s="2" t="s">
        <v>7323</v>
      </c>
      <c r="K760" s="2" t="s">
        <v>4905</v>
      </c>
      <c r="L760" s="5" t="n">
        <v>3600</v>
      </c>
    </row>
    <row r="761" customFormat="false" ht="23.85" hidden="false" customHeight="false" outlineLevel="0" collapsed="false">
      <c r="A761" s="5" t="s">
        <v>4910</v>
      </c>
      <c r="B761" s="2" t="s">
        <v>4911</v>
      </c>
      <c r="C761" s="5" t="s">
        <v>2128</v>
      </c>
      <c r="D761" s="5" t="s">
        <v>71</v>
      </c>
      <c r="E761" s="2" t="s">
        <v>753</v>
      </c>
      <c r="F761" s="2"/>
      <c r="G761" s="2" t="s">
        <v>4912</v>
      </c>
      <c r="H761" s="2" t="s">
        <v>4913</v>
      </c>
      <c r="I761" s="5" t="s">
        <v>74</v>
      </c>
      <c r="J761" s="2" t="s">
        <v>7324</v>
      </c>
      <c r="K761" s="2" t="s">
        <v>71</v>
      </c>
      <c r="L761" s="5" t="n">
        <v>300</v>
      </c>
    </row>
    <row r="762" customFormat="false" ht="15" hidden="false" customHeight="false" outlineLevel="0" collapsed="false">
      <c r="A762" s="5" t="s">
        <v>4916</v>
      </c>
      <c r="B762" s="2" t="s">
        <v>4917</v>
      </c>
      <c r="C762" s="5" t="s">
        <v>2128</v>
      </c>
      <c r="D762" s="5" t="s">
        <v>71</v>
      </c>
      <c r="E762" s="2" t="s">
        <v>753</v>
      </c>
      <c r="F762" s="2"/>
      <c r="G762" s="2" t="s">
        <v>4919</v>
      </c>
      <c r="H762" s="2" t="s">
        <v>1432</v>
      </c>
      <c r="I762" s="5" t="s">
        <v>74</v>
      </c>
      <c r="J762" s="2" t="s">
        <v>7325</v>
      </c>
      <c r="K762" s="2" t="s">
        <v>71</v>
      </c>
      <c r="L762" s="5" t="n">
        <v>300</v>
      </c>
    </row>
    <row r="763" customFormat="false" ht="147" hidden="false" customHeight="false" outlineLevel="0" collapsed="false">
      <c r="A763" s="5" t="s">
        <v>4922</v>
      </c>
      <c r="B763" s="2" t="s">
        <v>4923</v>
      </c>
      <c r="C763" s="5" t="s">
        <v>2128</v>
      </c>
      <c r="D763" s="5" t="s">
        <v>4925</v>
      </c>
      <c r="E763" s="2" t="s">
        <v>7326</v>
      </c>
      <c r="F763" s="2"/>
      <c r="G763" s="2" t="s">
        <v>4926</v>
      </c>
      <c r="H763" s="2" t="s">
        <v>2733</v>
      </c>
      <c r="I763" s="5" t="s">
        <v>74</v>
      </c>
      <c r="J763" s="2" t="s">
        <v>7327</v>
      </c>
      <c r="K763" s="2" t="s">
        <v>4925</v>
      </c>
      <c r="L763" s="5" t="n">
        <v>300</v>
      </c>
    </row>
    <row r="764" customFormat="false" ht="23.85" hidden="false" customHeight="false" outlineLevel="0" collapsed="false">
      <c r="A764" s="5" t="s">
        <v>4930</v>
      </c>
      <c r="B764" s="2" t="s">
        <v>4931</v>
      </c>
      <c r="C764" s="5" t="s">
        <v>2128</v>
      </c>
      <c r="D764" s="5" t="s">
        <v>4925</v>
      </c>
      <c r="E764" s="2" t="s">
        <v>4932</v>
      </c>
      <c r="F764" s="2"/>
      <c r="G764" s="2" t="s">
        <v>4933</v>
      </c>
      <c r="H764" s="2" t="s">
        <v>2725</v>
      </c>
      <c r="I764" s="5" t="s">
        <v>74</v>
      </c>
      <c r="J764" s="2" t="s">
        <v>7328</v>
      </c>
      <c r="K764" s="2" t="s">
        <v>4925</v>
      </c>
      <c r="L764" s="5" t="n">
        <v>300</v>
      </c>
    </row>
    <row r="765" customFormat="false" ht="79.85" hidden="false" customHeight="false" outlineLevel="0" collapsed="false">
      <c r="A765" s="5" t="s">
        <v>4937</v>
      </c>
      <c r="B765" s="2" t="s">
        <v>4938</v>
      </c>
      <c r="C765" s="5" t="s">
        <v>2128</v>
      </c>
      <c r="D765" s="5" t="s">
        <v>4925</v>
      </c>
      <c r="E765" s="2" t="s">
        <v>4939</v>
      </c>
      <c r="F765" s="2"/>
      <c r="G765" s="2" t="s">
        <v>4940</v>
      </c>
      <c r="H765" s="2" t="s">
        <v>2733</v>
      </c>
      <c r="I765" s="5" t="s">
        <v>74</v>
      </c>
      <c r="J765" s="2" t="s">
        <v>7329</v>
      </c>
      <c r="K765" s="2" t="s">
        <v>4925</v>
      </c>
      <c r="L765" s="5" t="n">
        <v>300</v>
      </c>
    </row>
    <row r="766" customFormat="false" ht="57.45" hidden="false" customHeight="false" outlineLevel="0" collapsed="false">
      <c r="A766" s="5" t="s">
        <v>4944</v>
      </c>
      <c r="B766" s="2" t="s">
        <v>4945</v>
      </c>
      <c r="C766" s="5" t="s">
        <v>2128</v>
      </c>
      <c r="D766" s="5" t="s">
        <v>4948</v>
      </c>
      <c r="E766" s="2" t="s">
        <v>4947</v>
      </c>
      <c r="F766" s="2"/>
      <c r="G766" s="2" t="s">
        <v>4949</v>
      </c>
      <c r="H766" s="2" t="s">
        <v>4950</v>
      </c>
      <c r="I766" s="5" t="s">
        <v>4951</v>
      </c>
      <c r="J766" s="2" t="s">
        <v>7330</v>
      </c>
      <c r="K766" s="2" t="s">
        <v>4948</v>
      </c>
      <c r="L766" s="5" t="n">
        <v>900</v>
      </c>
    </row>
    <row r="767" customFormat="false" ht="23.85" hidden="false" customHeight="false" outlineLevel="0" collapsed="false">
      <c r="A767" s="5" t="s">
        <v>4955</v>
      </c>
      <c r="B767" s="2" t="s">
        <v>4956</v>
      </c>
      <c r="C767" s="5" t="s">
        <v>2128</v>
      </c>
      <c r="D767" s="5" t="s">
        <v>4959</v>
      </c>
      <c r="E767" s="2" t="s">
        <v>4958</v>
      </c>
      <c r="F767" s="2"/>
      <c r="G767" s="2" t="s">
        <v>4960</v>
      </c>
      <c r="H767" s="2" t="s">
        <v>4961</v>
      </c>
      <c r="I767" s="5" t="s">
        <v>74</v>
      </c>
      <c r="J767" s="2" t="s">
        <v>7331</v>
      </c>
      <c r="K767" s="2" t="s">
        <v>4959</v>
      </c>
      <c r="L767" s="5" t="n">
        <v>300</v>
      </c>
    </row>
    <row r="768" customFormat="false" ht="23.85" hidden="false" customHeight="false" outlineLevel="0" collapsed="false">
      <c r="A768" s="5" t="s">
        <v>4965</v>
      </c>
      <c r="B768" s="2" t="s">
        <v>4966</v>
      </c>
      <c r="C768" s="5" t="s">
        <v>2128</v>
      </c>
      <c r="D768" s="5" t="s">
        <v>4959</v>
      </c>
      <c r="E768" s="2" t="s">
        <v>4967</v>
      </c>
      <c r="F768" s="2"/>
      <c r="G768" s="2" t="s">
        <v>4960</v>
      </c>
      <c r="H768" s="2" t="s">
        <v>4961</v>
      </c>
      <c r="I768" s="5" t="s">
        <v>74</v>
      </c>
      <c r="J768" s="2" t="s">
        <v>7332</v>
      </c>
      <c r="K768" s="2" t="s">
        <v>4959</v>
      </c>
      <c r="L768" s="5" t="n">
        <v>300</v>
      </c>
    </row>
    <row r="769" customFormat="false" ht="23.85" hidden="false" customHeight="false" outlineLevel="0" collapsed="false">
      <c r="A769" s="5" t="s">
        <v>4971</v>
      </c>
      <c r="B769" s="2" t="s">
        <v>4972</v>
      </c>
      <c r="C769" s="5" t="s">
        <v>2128</v>
      </c>
      <c r="D769" s="5" t="s">
        <v>4959</v>
      </c>
      <c r="E769" s="2" t="s">
        <v>4973</v>
      </c>
      <c r="F769" s="2"/>
      <c r="G769" s="2" t="s">
        <v>4960</v>
      </c>
      <c r="H769" s="2" t="s">
        <v>4961</v>
      </c>
      <c r="I769" s="5" t="s">
        <v>74</v>
      </c>
      <c r="J769" s="2" t="s">
        <v>7333</v>
      </c>
      <c r="K769" s="2" t="s">
        <v>4959</v>
      </c>
      <c r="L769" s="5" t="n">
        <v>300</v>
      </c>
    </row>
    <row r="770" customFormat="false" ht="23.85" hidden="false" customHeight="false" outlineLevel="0" collapsed="false">
      <c r="A770" s="5" t="s">
        <v>4977</v>
      </c>
      <c r="B770" s="2" t="s">
        <v>4978</v>
      </c>
      <c r="C770" s="5" t="s">
        <v>2128</v>
      </c>
      <c r="D770" s="5" t="s">
        <v>4959</v>
      </c>
      <c r="E770" s="2" t="s">
        <v>4958</v>
      </c>
      <c r="F770" s="2"/>
      <c r="G770" s="2" t="s">
        <v>4979</v>
      </c>
      <c r="H770" s="2" t="s">
        <v>4961</v>
      </c>
      <c r="I770" s="5" t="s">
        <v>74</v>
      </c>
      <c r="J770" s="2" t="s">
        <v>7334</v>
      </c>
      <c r="K770" s="2" t="s">
        <v>4959</v>
      </c>
      <c r="L770" s="5" t="n">
        <v>300</v>
      </c>
    </row>
    <row r="771" customFormat="false" ht="23.85" hidden="false" customHeight="false" outlineLevel="0" collapsed="false">
      <c r="A771" s="5" t="s">
        <v>4982</v>
      </c>
      <c r="B771" s="2" t="s">
        <v>4983</v>
      </c>
      <c r="C771" s="5" t="s">
        <v>2128</v>
      </c>
      <c r="D771" s="5" t="s">
        <v>4959</v>
      </c>
      <c r="E771" s="2" t="s">
        <v>4967</v>
      </c>
      <c r="F771" s="2"/>
      <c r="G771" s="2" t="s">
        <v>4979</v>
      </c>
      <c r="H771" s="2" t="s">
        <v>4961</v>
      </c>
      <c r="I771" s="5" t="s">
        <v>74</v>
      </c>
      <c r="J771" s="2" t="s">
        <v>7335</v>
      </c>
      <c r="K771" s="2" t="s">
        <v>4959</v>
      </c>
      <c r="L771" s="5" t="n">
        <v>300</v>
      </c>
    </row>
    <row r="772" customFormat="false" ht="23.85" hidden="false" customHeight="false" outlineLevel="0" collapsed="false">
      <c r="A772" s="5" t="s">
        <v>4986</v>
      </c>
      <c r="B772" s="2" t="s">
        <v>4987</v>
      </c>
      <c r="C772" s="5" t="s">
        <v>2128</v>
      </c>
      <c r="D772" s="5" t="s">
        <v>4959</v>
      </c>
      <c r="E772" s="2" t="s">
        <v>4973</v>
      </c>
      <c r="F772" s="2"/>
      <c r="G772" s="2" t="s">
        <v>4979</v>
      </c>
      <c r="H772" s="2" t="s">
        <v>4961</v>
      </c>
      <c r="I772" s="5" t="s">
        <v>74</v>
      </c>
      <c r="J772" s="2" t="s">
        <v>7336</v>
      </c>
      <c r="K772" s="2" t="s">
        <v>4959</v>
      </c>
      <c r="L772" s="5" t="n">
        <v>300</v>
      </c>
    </row>
    <row r="773" customFormat="false" ht="68.65" hidden="false" customHeight="false" outlineLevel="0" collapsed="false">
      <c r="A773" s="5" t="s">
        <v>4990</v>
      </c>
      <c r="B773" s="2" t="s">
        <v>4991</v>
      </c>
      <c r="C773" s="5" t="s">
        <v>2128</v>
      </c>
      <c r="D773" s="5" t="s">
        <v>4897</v>
      </c>
      <c r="E773" s="2" t="s">
        <v>7310</v>
      </c>
      <c r="F773" s="2"/>
      <c r="G773" s="2" t="s">
        <v>4992</v>
      </c>
      <c r="H773" s="2" t="s">
        <v>4899</v>
      </c>
      <c r="I773" s="5" t="s">
        <v>74</v>
      </c>
      <c r="J773" s="2" t="s">
        <v>7337</v>
      </c>
      <c r="K773" s="2" t="s">
        <v>4897</v>
      </c>
      <c r="L773" s="5" t="n">
        <v>600</v>
      </c>
    </row>
    <row r="774" customFormat="false" ht="23.85" hidden="false" customHeight="false" outlineLevel="0" collapsed="false">
      <c r="A774" s="5" t="s">
        <v>4995</v>
      </c>
      <c r="B774" s="2" t="s">
        <v>4996</v>
      </c>
      <c r="C774" s="5" t="s">
        <v>2128</v>
      </c>
      <c r="D774" s="5" t="s">
        <v>4997</v>
      </c>
      <c r="E774" s="2" t="s">
        <v>2722</v>
      </c>
      <c r="F774" s="2"/>
      <c r="G774" s="2" t="s">
        <v>4998</v>
      </c>
      <c r="H774" s="2" t="s">
        <v>2725</v>
      </c>
      <c r="I774" s="5" t="s">
        <v>74</v>
      </c>
      <c r="J774" s="2" t="s">
        <v>7338</v>
      </c>
      <c r="K774" s="2" t="s">
        <v>4997</v>
      </c>
      <c r="L774" s="5" t="n">
        <v>300</v>
      </c>
    </row>
    <row r="775" customFormat="false" ht="68.65" hidden="false" customHeight="false" outlineLevel="0" collapsed="false">
      <c r="A775" s="5" t="s">
        <v>5001</v>
      </c>
      <c r="B775" s="2" t="s">
        <v>5002</v>
      </c>
      <c r="C775" s="5" t="s">
        <v>2128</v>
      </c>
      <c r="D775" s="5" t="s">
        <v>4997</v>
      </c>
      <c r="E775" s="2" t="s">
        <v>5003</v>
      </c>
      <c r="F775" s="2"/>
      <c r="G775" s="2" t="s">
        <v>5004</v>
      </c>
      <c r="H775" s="2" t="s">
        <v>2733</v>
      </c>
      <c r="I775" s="5" t="s">
        <v>74</v>
      </c>
      <c r="J775" s="2" t="s">
        <v>7339</v>
      </c>
      <c r="K775" s="2" t="s">
        <v>4997</v>
      </c>
      <c r="L775" s="5" t="n">
        <v>300</v>
      </c>
    </row>
    <row r="776" customFormat="false" ht="68.65" hidden="false" customHeight="false" outlineLevel="0" collapsed="false">
      <c r="A776" s="5" t="s">
        <v>5008</v>
      </c>
      <c r="B776" s="2" t="s">
        <v>5009</v>
      </c>
      <c r="C776" s="5" t="s">
        <v>2128</v>
      </c>
      <c r="D776" s="5" t="s">
        <v>4997</v>
      </c>
      <c r="E776" s="2" t="s">
        <v>5010</v>
      </c>
      <c r="F776" s="2"/>
      <c r="G776" s="2" t="s">
        <v>5011</v>
      </c>
      <c r="H776" s="2" t="s">
        <v>2733</v>
      </c>
      <c r="I776" s="5" t="s">
        <v>74</v>
      </c>
      <c r="J776" s="2" t="s">
        <v>7340</v>
      </c>
      <c r="K776" s="2" t="s">
        <v>4997</v>
      </c>
      <c r="L776" s="5" t="n">
        <v>300</v>
      </c>
    </row>
    <row r="777" customFormat="false" ht="23.85" hidden="false" customHeight="false" outlineLevel="0" collapsed="false">
      <c r="A777" s="5" t="s">
        <v>5015</v>
      </c>
      <c r="B777" s="2" t="s">
        <v>5016</v>
      </c>
      <c r="C777" s="5" t="s">
        <v>2128</v>
      </c>
      <c r="D777" s="5" t="s">
        <v>4997</v>
      </c>
      <c r="E777" s="2" t="s">
        <v>4932</v>
      </c>
      <c r="F777" s="2"/>
      <c r="G777" s="2" t="s">
        <v>5017</v>
      </c>
      <c r="H777" s="2" t="s">
        <v>2725</v>
      </c>
      <c r="I777" s="5" t="s">
        <v>74</v>
      </c>
      <c r="J777" s="2" t="s">
        <v>7341</v>
      </c>
      <c r="K777" s="2" t="s">
        <v>4997</v>
      </c>
      <c r="L777" s="5" t="n">
        <v>300</v>
      </c>
    </row>
    <row r="778" customFormat="false" ht="68.65" hidden="false" customHeight="false" outlineLevel="0" collapsed="false">
      <c r="A778" s="5" t="s">
        <v>5020</v>
      </c>
      <c r="B778" s="2" t="s">
        <v>5021</v>
      </c>
      <c r="C778" s="5" t="s">
        <v>2128</v>
      </c>
      <c r="D778" s="5" t="s">
        <v>4997</v>
      </c>
      <c r="E778" s="2" t="s">
        <v>7342</v>
      </c>
      <c r="F778" s="2"/>
      <c r="G778" s="2" t="s">
        <v>5023</v>
      </c>
      <c r="H778" s="2" t="s">
        <v>2733</v>
      </c>
      <c r="I778" s="5" t="s">
        <v>74</v>
      </c>
      <c r="J778" s="2" t="s">
        <v>7343</v>
      </c>
      <c r="K778" s="2" t="s">
        <v>4997</v>
      </c>
      <c r="L778" s="5" t="n">
        <v>300</v>
      </c>
    </row>
    <row r="779" customFormat="false" ht="23.85" hidden="false" customHeight="false" outlineLevel="0" collapsed="false">
      <c r="A779" s="5" t="s">
        <v>5027</v>
      </c>
      <c r="B779" s="2" t="s">
        <v>5028</v>
      </c>
      <c r="C779" s="5" t="s">
        <v>2128</v>
      </c>
      <c r="D779" s="5" t="s">
        <v>4997</v>
      </c>
      <c r="E779" s="2" t="s">
        <v>2722</v>
      </c>
      <c r="F779" s="2"/>
      <c r="G779" s="2" t="s">
        <v>5029</v>
      </c>
      <c r="H779" s="2" t="s">
        <v>2725</v>
      </c>
      <c r="I779" s="5" t="s">
        <v>74</v>
      </c>
      <c r="J779" s="2" t="s">
        <v>7344</v>
      </c>
      <c r="K779" s="2" t="s">
        <v>4997</v>
      </c>
      <c r="L779" s="5" t="n">
        <v>300</v>
      </c>
    </row>
    <row r="780" customFormat="false" ht="68.65" hidden="false" customHeight="false" outlineLevel="0" collapsed="false">
      <c r="A780" s="5" t="s">
        <v>5032</v>
      </c>
      <c r="B780" s="2" t="s">
        <v>5033</v>
      </c>
      <c r="C780" s="5" t="s">
        <v>2128</v>
      </c>
      <c r="D780" s="5" t="s">
        <v>4997</v>
      </c>
      <c r="E780" s="2" t="s">
        <v>5034</v>
      </c>
      <c r="F780" s="2"/>
      <c r="G780" s="2" t="s">
        <v>5035</v>
      </c>
      <c r="H780" s="2" t="s">
        <v>2733</v>
      </c>
      <c r="I780" s="5" t="s">
        <v>74</v>
      </c>
      <c r="J780" s="2" t="s">
        <v>7345</v>
      </c>
      <c r="K780" s="2" t="s">
        <v>4997</v>
      </c>
      <c r="L780" s="5" t="n">
        <v>300</v>
      </c>
    </row>
    <row r="781" customFormat="false" ht="46.25" hidden="false" customHeight="false" outlineLevel="0" collapsed="false">
      <c r="A781" s="5" t="s">
        <v>5039</v>
      </c>
      <c r="B781" s="2" t="s">
        <v>5040</v>
      </c>
      <c r="C781" s="5" t="s">
        <v>2128</v>
      </c>
      <c r="D781" s="5" t="s">
        <v>4997</v>
      </c>
      <c r="E781" s="2" t="s">
        <v>5041</v>
      </c>
      <c r="F781" s="2"/>
      <c r="G781" s="2" t="s">
        <v>5042</v>
      </c>
      <c r="H781" s="2" t="s">
        <v>2725</v>
      </c>
      <c r="I781" s="5" t="s">
        <v>74</v>
      </c>
      <c r="J781" s="2" t="s">
        <v>7346</v>
      </c>
      <c r="K781" s="2" t="s">
        <v>4997</v>
      </c>
      <c r="L781" s="5" t="n">
        <v>300</v>
      </c>
    </row>
    <row r="782" customFormat="false" ht="68.65" hidden="false" customHeight="false" outlineLevel="0" collapsed="false">
      <c r="A782" s="5" t="s">
        <v>5046</v>
      </c>
      <c r="B782" s="2" t="s">
        <v>5047</v>
      </c>
      <c r="C782" s="5" t="s">
        <v>2128</v>
      </c>
      <c r="D782" s="5" t="s">
        <v>4997</v>
      </c>
      <c r="E782" s="2" t="s">
        <v>5048</v>
      </c>
      <c r="F782" s="2"/>
      <c r="G782" s="2" t="s">
        <v>5049</v>
      </c>
      <c r="H782" s="2" t="s">
        <v>2733</v>
      </c>
      <c r="I782" s="5" t="s">
        <v>74</v>
      </c>
      <c r="J782" s="2" t="s">
        <v>7347</v>
      </c>
      <c r="K782" s="2" t="s">
        <v>4997</v>
      </c>
      <c r="L782" s="5" t="n">
        <v>300</v>
      </c>
    </row>
    <row r="783" customFormat="false" ht="23.85" hidden="false" customHeight="false" outlineLevel="0" collapsed="false">
      <c r="A783" s="5" t="s">
        <v>5053</v>
      </c>
      <c r="B783" s="2" t="s">
        <v>5054</v>
      </c>
      <c r="C783" s="5" t="s">
        <v>2128</v>
      </c>
      <c r="D783" s="5" t="s">
        <v>4997</v>
      </c>
      <c r="E783" s="2" t="s">
        <v>2722</v>
      </c>
      <c r="F783" s="2"/>
      <c r="G783" s="2" t="s">
        <v>5055</v>
      </c>
      <c r="H783" s="2" t="s">
        <v>2725</v>
      </c>
      <c r="I783" s="5" t="s">
        <v>74</v>
      </c>
      <c r="J783" s="2" t="s">
        <v>7348</v>
      </c>
      <c r="K783" s="2" t="s">
        <v>4997</v>
      </c>
      <c r="L783" s="5" t="n">
        <v>300</v>
      </c>
    </row>
    <row r="784" customFormat="false" ht="68.65" hidden="false" customHeight="false" outlineLevel="0" collapsed="false">
      <c r="A784" s="5" t="s">
        <v>5058</v>
      </c>
      <c r="B784" s="2" t="s">
        <v>5059</v>
      </c>
      <c r="C784" s="5" t="s">
        <v>2128</v>
      </c>
      <c r="D784" s="5" t="s">
        <v>4997</v>
      </c>
      <c r="E784" s="2" t="s">
        <v>5060</v>
      </c>
      <c r="F784" s="2"/>
      <c r="G784" s="2" t="s">
        <v>5061</v>
      </c>
      <c r="H784" s="2" t="s">
        <v>2733</v>
      </c>
      <c r="I784" s="5" t="s">
        <v>74</v>
      </c>
      <c r="J784" s="2" t="s">
        <v>7349</v>
      </c>
      <c r="K784" s="2" t="s">
        <v>4997</v>
      </c>
      <c r="L784" s="5" t="n">
        <v>300</v>
      </c>
    </row>
    <row r="785" customFormat="false" ht="35.05" hidden="false" customHeight="false" outlineLevel="0" collapsed="false">
      <c r="A785" s="5" t="s">
        <v>5065</v>
      </c>
      <c r="B785" s="2" t="s">
        <v>5066</v>
      </c>
      <c r="C785" s="5" t="s">
        <v>2128</v>
      </c>
      <c r="D785" s="5" t="s">
        <v>4997</v>
      </c>
      <c r="E785" s="2" t="s">
        <v>2722</v>
      </c>
      <c r="F785" s="2"/>
      <c r="G785" s="2" t="s">
        <v>5067</v>
      </c>
      <c r="H785" s="2" t="s">
        <v>2725</v>
      </c>
      <c r="I785" s="5" t="s">
        <v>74</v>
      </c>
      <c r="J785" s="2" t="s">
        <v>7350</v>
      </c>
      <c r="K785" s="2" t="s">
        <v>4997</v>
      </c>
      <c r="L785" s="5" t="n">
        <v>300</v>
      </c>
    </row>
    <row r="786" customFormat="false" ht="102.2" hidden="false" customHeight="false" outlineLevel="0" collapsed="false">
      <c r="A786" s="5" t="s">
        <v>5070</v>
      </c>
      <c r="B786" s="2" t="s">
        <v>5071</v>
      </c>
      <c r="C786" s="5" t="s">
        <v>2128</v>
      </c>
      <c r="D786" s="5" t="s">
        <v>4997</v>
      </c>
      <c r="E786" s="2" t="s">
        <v>7351</v>
      </c>
      <c r="F786" s="2"/>
      <c r="G786" s="2" t="s">
        <v>5073</v>
      </c>
      <c r="H786" s="2" t="s">
        <v>2733</v>
      </c>
      <c r="I786" s="5" t="s">
        <v>74</v>
      </c>
      <c r="J786" s="2" t="s">
        <v>7352</v>
      </c>
      <c r="K786" s="2" t="s">
        <v>4997</v>
      </c>
      <c r="L786" s="5" t="n">
        <v>300</v>
      </c>
    </row>
    <row r="787" customFormat="false" ht="46.25" hidden="false" customHeight="false" outlineLevel="0" collapsed="false">
      <c r="A787" s="5" t="s">
        <v>5077</v>
      </c>
      <c r="B787" s="2" t="s">
        <v>5078</v>
      </c>
      <c r="C787" s="5" t="s">
        <v>2128</v>
      </c>
      <c r="D787" s="5" t="s">
        <v>4997</v>
      </c>
      <c r="E787" s="2" t="s">
        <v>5041</v>
      </c>
      <c r="F787" s="2"/>
      <c r="G787" s="2" t="s">
        <v>5079</v>
      </c>
      <c r="H787" s="2" t="s">
        <v>2725</v>
      </c>
      <c r="I787" s="5" t="s">
        <v>74</v>
      </c>
      <c r="J787" s="2" t="s">
        <v>7353</v>
      </c>
      <c r="K787" s="2" t="s">
        <v>4997</v>
      </c>
      <c r="L787" s="5" t="n">
        <v>300</v>
      </c>
    </row>
    <row r="788" customFormat="false" ht="91" hidden="false" customHeight="false" outlineLevel="0" collapsed="false">
      <c r="A788" s="5" t="s">
        <v>5082</v>
      </c>
      <c r="B788" s="2" t="s">
        <v>5083</v>
      </c>
      <c r="C788" s="5" t="s">
        <v>2128</v>
      </c>
      <c r="D788" s="5" t="s">
        <v>4997</v>
      </c>
      <c r="E788" s="2" t="s">
        <v>5084</v>
      </c>
      <c r="F788" s="2"/>
      <c r="G788" s="2" t="s">
        <v>5085</v>
      </c>
      <c r="H788" s="2" t="s">
        <v>2733</v>
      </c>
      <c r="I788" s="5" t="s">
        <v>74</v>
      </c>
      <c r="J788" s="2" t="s">
        <v>7354</v>
      </c>
      <c r="K788" s="2" t="s">
        <v>4997</v>
      </c>
      <c r="L788" s="5" t="n">
        <v>300</v>
      </c>
    </row>
    <row r="789" customFormat="false" ht="68.65" hidden="false" customHeight="false" outlineLevel="0" collapsed="false">
      <c r="A789" s="5" t="s">
        <v>5089</v>
      </c>
      <c r="B789" s="2" t="s">
        <v>5090</v>
      </c>
      <c r="C789" s="5" t="s">
        <v>2128</v>
      </c>
      <c r="D789" s="5" t="s">
        <v>4997</v>
      </c>
      <c r="E789" s="2" t="s">
        <v>5091</v>
      </c>
      <c r="F789" s="2"/>
      <c r="G789" s="2" t="s">
        <v>5023</v>
      </c>
      <c r="H789" s="2" t="s">
        <v>2733</v>
      </c>
      <c r="I789" s="5" t="s">
        <v>74</v>
      </c>
      <c r="J789" s="2" t="s">
        <v>7355</v>
      </c>
      <c r="K789" s="2" t="s">
        <v>4997</v>
      </c>
      <c r="L789" s="5" t="n">
        <v>300</v>
      </c>
    </row>
    <row r="790" customFormat="false" ht="23.85" hidden="false" customHeight="false" outlineLevel="0" collapsed="false">
      <c r="A790" s="5" t="s">
        <v>5095</v>
      </c>
      <c r="B790" s="2" t="s">
        <v>5096</v>
      </c>
      <c r="C790" s="5" t="s">
        <v>2128</v>
      </c>
      <c r="D790" s="5" t="s">
        <v>4997</v>
      </c>
      <c r="E790" s="2" t="s">
        <v>4932</v>
      </c>
      <c r="F790" s="2"/>
      <c r="G790" s="2" t="s">
        <v>5097</v>
      </c>
      <c r="H790" s="2" t="s">
        <v>2725</v>
      </c>
      <c r="I790" s="5" t="s">
        <v>74</v>
      </c>
      <c r="J790" s="2" t="s">
        <v>7356</v>
      </c>
      <c r="K790" s="2" t="s">
        <v>4997</v>
      </c>
      <c r="L790" s="5" t="n">
        <v>300</v>
      </c>
    </row>
    <row r="791" customFormat="false" ht="68.65" hidden="false" customHeight="false" outlineLevel="0" collapsed="false">
      <c r="A791" s="5" t="s">
        <v>5100</v>
      </c>
      <c r="B791" s="2" t="s">
        <v>5101</v>
      </c>
      <c r="C791" s="5" t="s">
        <v>2128</v>
      </c>
      <c r="D791" s="5" t="s">
        <v>4997</v>
      </c>
      <c r="E791" s="2" t="s">
        <v>5102</v>
      </c>
      <c r="F791" s="2"/>
      <c r="G791" s="2" t="s">
        <v>5011</v>
      </c>
      <c r="H791" s="2" t="s">
        <v>2733</v>
      </c>
      <c r="I791" s="5" t="s">
        <v>74</v>
      </c>
      <c r="J791" s="2" t="s">
        <v>7357</v>
      </c>
      <c r="K791" s="2" t="s">
        <v>4997</v>
      </c>
      <c r="L791" s="5" t="n">
        <v>300</v>
      </c>
    </row>
    <row r="792" customFormat="false" ht="68.65" hidden="false" customHeight="false" outlineLevel="0" collapsed="false">
      <c r="A792" s="5" t="s">
        <v>5106</v>
      </c>
      <c r="B792" s="2" t="s">
        <v>5107</v>
      </c>
      <c r="C792" s="5" t="s">
        <v>2128</v>
      </c>
      <c r="D792" s="5" t="s">
        <v>4997</v>
      </c>
      <c r="E792" s="2" t="s">
        <v>5109</v>
      </c>
      <c r="F792" s="2"/>
      <c r="G792" s="2" t="s">
        <v>5011</v>
      </c>
      <c r="H792" s="2" t="s">
        <v>2733</v>
      </c>
      <c r="I792" s="5" t="s">
        <v>74</v>
      </c>
      <c r="J792" s="2" t="s">
        <v>7358</v>
      </c>
      <c r="K792" s="2" t="s">
        <v>4997</v>
      </c>
      <c r="L792" s="5" t="n">
        <v>300</v>
      </c>
    </row>
    <row r="793" customFormat="false" ht="23.85" hidden="false" customHeight="false" outlineLevel="0" collapsed="false">
      <c r="A793" s="5" t="s">
        <v>5113</v>
      </c>
      <c r="B793" s="2" t="s">
        <v>5114</v>
      </c>
      <c r="C793" s="5" t="s">
        <v>2128</v>
      </c>
      <c r="D793" s="5" t="s">
        <v>4997</v>
      </c>
      <c r="E793" s="2" t="s">
        <v>4932</v>
      </c>
      <c r="F793" s="2"/>
      <c r="G793" s="2" t="s">
        <v>5115</v>
      </c>
      <c r="H793" s="2" t="s">
        <v>2725</v>
      </c>
      <c r="I793" s="5" t="s">
        <v>4754</v>
      </c>
      <c r="J793" s="2" t="s">
        <v>7359</v>
      </c>
      <c r="K793" s="2" t="s">
        <v>4997</v>
      </c>
      <c r="L793" s="5" t="n">
        <v>300</v>
      </c>
    </row>
    <row r="794" customFormat="false" ht="68.65" hidden="false" customHeight="false" outlineLevel="0" collapsed="false">
      <c r="A794" s="5" t="s">
        <v>5118</v>
      </c>
      <c r="B794" s="2" t="s">
        <v>5119</v>
      </c>
      <c r="C794" s="5" t="s">
        <v>2128</v>
      </c>
      <c r="D794" s="5" t="s">
        <v>4997</v>
      </c>
      <c r="E794" s="2" t="s">
        <v>5120</v>
      </c>
      <c r="F794" s="2"/>
      <c r="G794" s="2" t="s">
        <v>5023</v>
      </c>
      <c r="H794" s="2" t="s">
        <v>2733</v>
      </c>
      <c r="I794" s="5" t="s">
        <v>4754</v>
      </c>
      <c r="J794" s="2" t="s">
        <v>7360</v>
      </c>
      <c r="K794" s="2" t="s">
        <v>4997</v>
      </c>
      <c r="L794" s="5" t="n">
        <v>300</v>
      </c>
    </row>
    <row r="795" customFormat="false" ht="23.85" hidden="false" customHeight="false" outlineLevel="0" collapsed="false">
      <c r="A795" s="5" t="s">
        <v>5124</v>
      </c>
      <c r="B795" s="2" t="s">
        <v>5125</v>
      </c>
      <c r="C795" s="5" t="s">
        <v>2128</v>
      </c>
      <c r="D795" s="5" t="s">
        <v>4997</v>
      </c>
      <c r="E795" s="2" t="s">
        <v>4932</v>
      </c>
      <c r="F795" s="2"/>
      <c r="G795" s="2" t="s">
        <v>5126</v>
      </c>
      <c r="H795" s="2" t="s">
        <v>2725</v>
      </c>
      <c r="I795" s="5" t="s">
        <v>74</v>
      </c>
      <c r="J795" s="2" t="s">
        <v>7361</v>
      </c>
      <c r="K795" s="2" t="s">
        <v>4997</v>
      </c>
      <c r="L795" s="5" t="n">
        <v>300</v>
      </c>
    </row>
    <row r="796" customFormat="false" ht="68.65" hidden="false" customHeight="false" outlineLevel="0" collapsed="false">
      <c r="A796" s="5" t="s">
        <v>5129</v>
      </c>
      <c r="B796" s="2" t="s">
        <v>5130</v>
      </c>
      <c r="C796" s="5" t="s">
        <v>2128</v>
      </c>
      <c r="D796" s="5" t="s">
        <v>4997</v>
      </c>
      <c r="E796" s="2" t="s">
        <v>5131</v>
      </c>
      <c r="F796" s="2"/>
      <c r="G796" s="2" t="s">
        <v>5023</v>
      </c>
      <c r="H796" s="2" t="s">
        <v>2733</v>
      </c>
      <c r="I796" s="5" t="s">
        <v>74</v>
      </c>
      <c r="J796" s="2" t="s">
        <v>7362</v>
      </c>
      <c r="K796" s="2" t="s">
        <v>4997</v>
      </c>
      <c r="L796" s="5" t="n">
        <v>300</v>
      </c>
    </row>
    <row r="797" customFormat="false" ht="23.85" hidden="false" customHeight="false" outlineLevel="0" collapsed="false">
      <c r="A797" s="5" t="s">
        <v>5135</v>
      </c>
      <c r="B797" s="2" t="s">
        <v>5136</v>
      </c>
      <c r="C797" s="5" t="s">
        <v>2128</v>
      </c>
      <c r="D797" s="5" t="s">
        <v>5137</v>
      </c>
      <c r="E797" s="2" t="s">
        <v>4932</v>
      </c>
      <c r="F797" s="2"/>
      <c r="G797" s="2" t="s">
        <v>5138</v>
      </c>
      <c r="H797" s="2" t="s">
        <v>2725</v>
      </c>
      <c r="I797" s="5" t="s">
        <v>74</v>
      </c>
      <c r="J797" s="2" t="s">
        <v>7363</v>
      </c>
      <c r="K797" s="2" t="s">
        <v>5137</v>
      </c>
      <c r="L797" s="5" t="n">
        <v>300</v>
      </c>
    </row>
    <row r="798" customFormat="false" ht="68.65" hidden="false" customHeight="false" outlineLevel="0" collapsed="false">
      <c r="A798" s="5" t="s">
        <v>5141</v>
      </c>
      <c r="B798" s="2" t="s">
        <v>5142</v>
      </c>
      <c r="C798" s="5" t="s">
        <v>2128</v>
      </c>
      <c r="D798" s="5" t="s">
        <v>5137</v>
      </c>
      <c r="E798" s="2" t="s">
        <v>5143</v>
      </c>
      <c r="F798" s="2"/>
      <c r="G798" s="2" t="s">
        <v>5011</v>
      </c>
      <c r="H798" s="2" t="s">
        <v>2733</v>
      </c>
      <c r="I798" s="5" t="s">
        <v>74</v>
      </c>
      <c r="J798" s="2" t="s">
        <v>7364</v>
      </c>
      <c r="K798" s="2" t="s">
        <v>5137</v>
      </c>
      <c r="L798" s="5" t="n">
        <v>300</v>
      </c>
    </row>
    <row r="799" customFormat="false" ht="23.85" hidden="false" customHeight="false" outlineLevel="0" collapsed="false">
      <c r="A799" s="5" t="s">
        <v>5147</v>
      </c>
      <c r="B799" s="2" t="s">
        <v>5148</v>
      </c>
      <c r="C799" s="5" t="s">
        <v>2128</v>
      </c>
      <c r="D799" s="5" t="s">
        <v>4997</v>
      </c>
      <c r="E799" s="2" t="s">
        <v>4932</v>
      </c>
      <c r="F799" s="2"/>
      <c r="G799" s="2" t="s">
        <v>5149</v>
      </c>
      <c r="H799" s="2" t="s">
        <v>2725</v>
      </c>
      <c r="I799" s="5" t="s">
        <v>74</v>
      </c>
      <c r="J799" s="2" t="s">
        <v>7365</v>
      </c>
      <c r="K799" s="2" t="s">
        <v>4997</v>
      </c>
      <c r="L799" s="5" t="n">
        <v>300</v>
      </c>
    </row>
    <row r="800" customFormat="false" ht="68.65" hidden="false" customHeight="false" outlineLevel="0" collapsed="false">
      <c r="A800" s="5" t="s">
        <v>5152</v>
      </c>
      <c r="B800" s="2" t="s">
        <v>5153</v>
      </c>
      <c r="C800" s="5" t="s">
        <v>2128</v>
      </c>
      <c r="D800" s="5" t="s">
        <v>4997</v>
      </c>
      <c r="E800" s="2" t="s">
        <v>5154</v>
      </c>
      <c r="F800" s="2"/>
      <c r="G800" s="2" t="s">
        <v>5011</v>
      </c>
      <c r="H800" s="2" t="s">
        <v>2733</v>
      </c>
      <c r="I800" s="5" t="s">
        <v>74</v>
      </c>
      <c r="J800" s="2" t="s">
        <v>7366</v>
      </c>
      <c r="K800" s="2" t="s">
        <v>4997</v>
      </c>
      <c r="L800" s="5" t="n">
        <v>300</v>
      </c>
    </row>
    <row r="801" customFormat="false" ht="79.85" hidden="false" customHeight="false" outlineLevel="0" collapsed="false">
      <c r="A801" s="5" t="s">
        <v>5158</v>
      </c>
      <c r="B801" s="2" t="s">
        <v>5159</v>
      </c>
      <c r="C801" s="5" t="s">
        <v>2128</v>
      </c>
      <c r="D801" s="5" t="s">
        <v>4997</v>
      </c>
      <c r="E801" s="2" t="s">
        <v>5041</v>
      </c>
      <c r="F801" s="2"/>
      <c r="G801" s="2" t="s">
        <v>5160</v>
      </c>
      <c r="H801" s="2" t="s">
        <v>2725</v>
      </c>
      <c r="I801" s="5" t="s">
        <v>74</v>
      </c>
      <c r="J801" s="2" t="s">
        <v>7367</v>
      </c>
      <c r="K801" s="2" t="s">
        <v>4997</v>
      </c>
      <c r="L801" s="5" t="n">
        <v>300</v>
      </c>
    </row>
    <row r="802" customFormat="false" ht="102.2" hidden="false" customHeight="false" outlineLevel="0" collapsed="false">
      <c r="A802" s="5" t="s">
        <v>5163</v>
      </c>
      <c r="B802" s="2" t="s">
        <v>5164</v>
      </c>
      <c r="C802" s="5" t="s">
        <v>2128</v>
      </c>
      <c r="D802" s="5" t="s">
        <v>4997</v>
      </c>
      <c r="E802" s="2" t="s">
        <v>7368</v>
      </c>
      <c r="F802" s="2"/>
      <c r="G802" s="2" t="s">
        <v>5166</v>
      </c>
      <c r="H802" s="2" t="s">
        <v>2733</v>
      </c>
      <c r="I802" s="5" t="s">
        <v>74</v>
      </c>
      <c r="J802" s="2" t="s">
        <v>7369</v>
      </c>
      <c r="K802" s="2" t="s">
        <v>4997</v>
      </c>
      <c r="L802" s="5" t="n">
        <v>300</v>
      </c>
    </row>
    <row r="803" customFormat="false" ht="68.65" hidden="false" customHeight="false" outlineLevel="0" collapsed="false">
      <c r="A803" s="5" t="s">
        <v>5170</v>
      </c>
      <c r="B803" s="2" t="s">
        <v>5171</v>
      </c>
      <c r="C803" s="5" t="s">
        <v>2128</v>
      </c>
      <c r="D803" s="5" t="s">
        <v>4997</v>
      </c>
      <c r="E803" s="2" t="s">
        <v>5172</v>
      </c>
      <c r="F803" s="2"/>
      <c r="G803" s="2" t="s">
        <v>5011</v>
      </c>
      <c r="H803" s="2" t="s">
        <v>2733</v>
      </c>
      <c r="I803" s="5" t="s">
        <v>74</v>
      </c>
      <c r="J803" s="2" t="s">
        <v>7370</v>
      </c>
      <c r="K803" s="2" t="s">
        <v>4997</v>
      </c>
      <c r="L803" s="5" t="n">
        <v>300</v>
      </c>
    </row>
    <row r="804" customFormat="false" ht="23.85" hidden="false" customHeight="false" outlineLevel="0" collapsed="false">
      <c r="A804" s="5" t="s">
        <v>5176</v>
      </c>
      <c r="B804" s="2" t="s">
        <v>5177</v>
      </c>
      <c r="C804" s="5" t="s">
        <v>2128</v>
      </c>
      <c r="D804" s="5" t="s">
        <v>4997</v>
      </c>
      <c r="E804" s="2" t="s">
        <v>4932</v>
      </c>
      <c r="F804" s="2"/>
      <c r="G804" s="2" t="s">
        <v>5178</v>
      </c>
      <c r="H804" s="2" t="s">
        <v>2725</v>
      </c>
      <c r="I804" s="5" t="s">
        <v>74</v>
      </c>
      <c r="J804" s="2" t="s">
        <v>7371</v>
      </c>
      <c r="K804" s="2" t="s">
        <v>4997</v>
      </c>
      <c r="L804" s="5" t="n">
        <v>300</v>
      </c>
    </row>
    <row r="805" customFormat="false" ht="35.05" hidden="false" customHeight="false" outlineLevel="0" collapsed="false">
      <c r="A805" s="5" t="s">
        <v>5181</v>
      </c>
      <c r="B805" s="2" t="s">
        <v>5182</v>
      </c>
      <c r="C805" s="5" t="s">
        <v>2128</v>
      </c>
      <c r="D805" s="5" t="s">
        <v>4997</v>
      </c>
      <c r="E805" s="2" t="s">
        <v>2722</v>
      </c>
      <c r="F805" s="2"/>
      <c r="G805" s="2" t="s">
        <v>5183</v>
      </c>
      <c r="H805" s="2" t="s">
        <v>2725</v>
      </c>
      <c r="I805" s="5" t="s">
        <v>74</v>
      </c>
      <c r="J805" s="2" t="s">
        <v>7372</v>
      </c>
      <c r="K805" s="2" t="s">
        <v>4997</v>
      </c>
      <c r="L805" s="5" t="n">
        <v>300</v>
      </c>
    </row>
    <row r="806" customFormat="false" ht="79.85" hidden="false" customHeight="false" outlineLevel="0" collapsed="false">
      <c r="A806" s="5" t="s">
        <v>5186</v>
      </c>
      <c r="B806" s="2" t="s">
        <v>5187</v>
      </c>
      <c r="C806" s="5" t="s">
        <v>2128</v>
      </c>
      <c r="D806" s="5" t="s">
        <v>4997</v>
      </c>
      <c r="E806" s="2" t="s">
        <v>5188</v>
      </c>
      <c r="F806" s="2"/>
      <c r="G806" s="2" t="s">
        <v>5189</v>
      </c>
      <c r="H806" s="2" t="s">
        <v>2733</v>
      </c>
      <c r="I806" s="5" t="s">
        <v>74</v>
      </c>
      <c r="J806" s="2" t="s">
        <v>7373</v>
      </c>
      <c r="K806" s="2" t="s">
        <v>4997</v>
      </c>
      <c r="L806" s="5" t="n">
        <v>300</v>
      </c>
    </row>
    <row r="807" customFormat="false" ht="68.65" hidden="false" customHeight="false" outlineLevel="0" collapsed="false">
      <c r="A807" s="5" t="s">
        <v>5193</v>
      </c>
      <c r="B807" s="2" t="s">
        <v>5194</v>
      </c>
      <c r="C807" s="5" t="s">
        <v>2128</v>
      </c>
      <c r="D807" s="5" t="s">
        <v>4997</v>
      </c>
      <c r="E807" s="2" t="s">
        <v>5195</v>
      </c>
      <c r="F807" s="2"/>
      <c r="G807" s="2" t="s">
        <v>5023</v>
      </c>
      <c r="H807" s="2" t="s">
        <v>2733</v>
      </c>
      <c r="I807" s="5" t="s">
        <v>74</v>
      </c>
      <c r="J807" s="2" t="s">
        <v>7374</v>
      </c>
      <c r="K807" s="2" t="s">
        <v>4997</v>
      </c>
      <c r="L807" s="5" t="n">
        <v>300</v>
      </c>
    </row>
    <row r="808" customFormat="false" ht="35.05" hidden="false" customHeight="false" outlineLevel="0" collapsed="false">
      <c r="A808" s="5" t="s">
        <v>5199</v>
      </c>
      <c r="B808" s="2" t="s">
        <v>5200</v>
      </c>
      <c r="C808" s="5" t="s">
        <v>2128</v>
      </c>
      <c r="D808" s="5" t="s">
        <v>4997</v>
      </c>
      <c r="E808" s="2" t="s">
        <v>4932</v>
      </c>
      <c r="F808" s="2"/>
      <c r="G808" s="2" t="s">
        <v>5201</v>
      </c>
      <c r="H808" s="2" t="s">
        <v>2725</v>
      </c>
      <c r="I808" s="5" t="s">
        <v>74</v>
      </c>
      <c r="J808" s="2" t="s">
        <v>7375</v>
      </c>
      <c r="K808" s="2" t="s">
        <v>4997</v>
      </c>
      <c r="L808" s="5" t="n">
        <v>300</v>
      </c>
    </row>
    <row r="809" customFormat="false" ht="68.65" hidden="false" customHeight="false" outlineLevel="0" collapsed="false">
      <c r="A809" s="5" t="s">
        <v>5204</v>
      </c>
      <c r="B809" s="2" t="s">
        <v>5205</v>
      </c>
      <c r="C809" s="5" t="s">
        <v>2128</v>
      </c>
      <c r="D809" s="5" t="s">
        <v>4997</v>
      </c>
      <c r="E809" s="2" t="s">
        <v>7376</v>
      </c>
      <c r="F809" s="2"/>
      <c r="G809" s="2" t="s">
        <v>5023</v>
      </c>
      <c r="H809" s="2" t="s">
        <v>5207</v>
      </c>
      <c r="I809" s="5" t="s">
        <v>74</v>
      </c>
      <c r="J809" s="2" t="s">
        <v>7377</v>
      </c>
      <c r="K809" s="2" t="s">
        <v>4997</v>
      </c>
      <c r="L809" s="5" t="n">
        <v>300</v>
      </c>
    </row>
    <row r="810" customFormat="false" ht="68.65" hidden="false" customHeight="false" outlineLevel="0" collapsed="false">
      <c r="A810" s="5" t="s">
        <v>5211</v>
      </c>
      <c r="B810" s="2" t="s">
        <v>5212</v>
      </c>
      <c r="C810" s="5" t="s">
        <v>2128</v>
      </c>
      <c r="D810" s="5" t="s">
        <v>4997</v>
      </c>
      <c r="E810" s="2" t="s">
        <v>5214</v>
      </c>
      <c r="F810" s="2"/>
      <c r="G810" s="2" t="s">
        <v>5023</v>
      </c>
      <c r="H810" s="2" t="s">
        <v>2733</v>
      </c>
      <c r="I810" s="5" t="s">
        <v>74</v>
      </c>
      <c r="J810" s="2" t="s">
        <v>7378</v>
      </c>
      <c r="K810" s="2" t="s">
        <v>4997</v>
      </c>
      <c r="L810" s="5" t="n">
        <v>300</v>
      </c>
    </row>
    <row r="811" customFormat="false" ht="68.65" hidden="false" customHeight="false" outlineLevel="0" collapsed="false">
      <c r="A811" s="5" t="s">
        <v>5218</v>
      </c>
      <c r="B811" s="2" t="s">
        <v>5219</v>
      </c>
      <c r="C811" s="5" t="s">
        <v>2128</v>
      </c>
      <c r="D811" s="5" t="s">
        <v>4997</v>
      </c>
      <c r="E811" s="2" t="s">
        <v>5220</v>
      </c>
      <c r="F811" s="2"/>
      <c r="G811" s="2" t="s">
        <v>5023</v>
      </c>
      <c r="H811" s="2" t="s">
        <v>2733</v>
      </c>
      <c r="I811" s="5" t="s">
        <v>74</v>
      </c>
      <c r="J811" s="2" t="s">
        <v>7379</v>
      </c>
      <c r="K811" s="2" t="s">
        <v>4997</v>
      </c>
      <c r="L811" s="5" t="n">
        <v>300</v>
      </c>
    </row>
    <row r="812" customFormat="false" ht="68.65" hidden="false" customHeight="false" outlineLevel="0" collapsed="false">
      <c r="A812" s="5" t="s">
        <v>5224</v>
      </c>
      <c r="B812" s="2" t="s">
        <v>5225</v>
      </c>
      <c r="C812" s="5" t="s">
        <v>2128</v>
      </c>
      <c r="D812" s="5" t="s">
        <v>4997</v>
      </c>
      <c r="E812" s="2" t="s">
        <v>5226</v>
      </c>
      <c r="F812" s="2"/>
      <c r="G812" s="2" t="s">
        <v>5023</v>
      </c>
      <c r="H812" s="2" t="s">
        <v>2733</v>
      </c>
      <c r="I812" s="5" t="s">
        <v>74</v>
      </c>
      <c r="J812" s="2" t="s">
        <v>7380</v>
      </c>
      <c r="K812" s="2" t="s">
        <v>4997</v>
      </c>
      <c r="L812" s="5" t="n">
        <v>300</v>
      </c>
    </row>
    <row r="813" customFormat="false" ht="68.65" hidden="false" customHeight="false" outlineLevel="0" collapsed="false">
      <c r="A813" s="5" t="s">
        <v>5230</v>
      </c>
      <c r="B813" s="2" t="s">
        <v>5231</v>
      </c>
      <c r="C813" s="5" t="s">
        <v>2245</v>
      </c>
      <c r="D813" s="5" t="s">
        <v>4997</v>
      </c>
      <c r="E813" s="2" t="s">
        <v>5232</v>
      </c>
      <c r="F813" s="2"/>
      <c r="G813" s="2" t="s">
        <v>5023</v>
      </c>
      <c r="H813" s="2" t="s">
        <v>5207</v>
      </c>
      <c r="I813" s="5" t="s">
        <v>74</v>
      </c>
      <c r="J813" s="2" t="s">
        <v>7381</v>
      </c>
      <c r="K813" s="2" t="s">
        <v>4997</v>
      </c>
      <c r="L813" s="5" t="n">
        <v>300</v>
      </c>
    </row>
    <row r="814" customFormat="false" ht="68.65" hidden="false" customHeight="false" outlineLevel="0" collapsed="false">
      <c r="A814" s="5" t="s">
        <v>5236</v>
      </c>
      <c r="B814" s="2" t="s">
        <v>5237</v>
      </c>
      <c r="C814" s="5" t="s">
        <v>2128</v>
      </c>
      <c r="D814" s="5" t="s">
        <v>4997</v>
      </c>
      <c r="E814" s="2" t="s">
        <v>5238</v>
      </c>
      <c r="F814" s="2"/>
      <c r="G814" s="2" t="s">
        <v>5023</v>
      </c>
      <c r="H814" s="2" t="s">
        <v>2733</v>
      </c>
      <c r="I814" s="5" t="s">
        <v>74</v>
      </c>
      <c r="J814" s="2" t="s">
        <v>7382</v>
      </c>
      <c r="K814" s="2" t="s">
        <v>4997</v>
      </c>
      <c r="L814" s="5" t="n">
        <v>300</v>
      </c>
    </row>
    <row r="815" customFormat="false" ht="35.05" hidden="false" customHeight="false" outlineLevel="0" collapsed="false">
      <c r="A815" s="5" t="s">
        <v>5242</v>
      </c>
      <c r="B815" s="2" t="s">
        <v>5243</v>
      </c>
      <c r="C815" s="5" t="s">
        <v>2128</v>
      </c>
      <c r="D815" s="5" t="s">
        <v>4997</v>
      </c>
      <c r="E815" s="2" t="s">
        <v>5041</v>
      </c>
      <c r="F815" s="2"/>
      <c r="G815" s="2" t="s">
        <v>5244</v>
      </c>
      <c r="H815" s="2" t="s">
        <v>2725</v>
      </c>
      <c r="I815" s="5" t="s">
        <v>74</v>
      </c>
      <c r="J815" s="2" t="s">
        <v>7383</v>
      </c>
      <c r="K815" s="2" t="s">
        <v>4997</v>
      </c>
      <c r="L815" s="5" t="n">
        <v>300</v>
      </c>
    </row>
    <row r="816" customFormat="false" ht="68.65" hidden="false" customHeight="false" outlineLevel="0" collapsed="false">
      <c r="A816" s="5" t="s">
        <v>5247</v>
      </c>
      <c r="B816" s="2" t="s">
        <v>5248</v>
      </c>
      <c r="C816" s="5" t="s">
        <v>2128</v>
      </c>
      <c r="D816" s="5" t="s">
        <v>4997</v>
      </c>
      <c r="E816" s="2" t="s">
        <v>5249</v>
      </c>
      <c r="F816" s="2"/>
      <c r="G816" s="2" t="s">
        <v>5250</v>
      </c>
      <c r="H816" s="2" t="s">
        <v>2733</v>
      </c>
      <c r="I816" s="5" t="s">
        <v>74</v>
      </c>
      <c r="J816" s="2" t="s">
        <v>7384</v>
      </c>
      <c r="K816" s="2" t="s">
        <v>4997</v>
      </c>
      <c r="L816" s="5" t="n">
        <v>300</v>
      </c>
    </row>
    <row r="817" customFormat="false" ht="23.85" hidden="false" customHeight="false" outlineLevel="0" collapsed="false">
      <c r="A817" s="5" t="s">
        <v>5254</v>
      </c>
      <c r="B817" s="2" t="s">
        <v>5255</v>
      </c>
      <c r="C817" s="5" t="s">
        <v>2128</v>
      </c>
      <c r="D817" s="5" t="s">
        <v>4997</v>
      </c>
      <c r="E817" s="2" t="s">
        <v>2722</v>
      </c>
      <c r="F817" s="2"/>
      <c r="G817" s="2" t="s">
        <v>5256</v>
      </c>
      <c r="H817" s="2" t="s">
        <v>2725</v>
      </c>
      <c r="I817" s="5" t="s">
        <v>74</v>
      </c>
      <c r="J817" s="2" t="s">
        <v>7385</v>
      </c>
      <c r="K817" s="2" t="s">
        <v>4997</v>
      </c>
      <c r="L817" s="5" t="n">
        <v>300</v>
      </c>
    </row>
    <row r="818" customFormat="false" ht="68.65" hidden="false" customHeight="false" outlineLevel="0" collapsed="false">
      <c r="A818" s="5" t="s">
        <v>5259</v>
      </c>
      <c r="B818" s="2" t="s">
        <v>5260</v>
      </c>
      <c r="C818" s="5" t="s">
        <v>2128</v>
      </c>
      <c r="D818" s="5" t="s">
        <v>4997</v>
      </c>
      <c r="E818" s="2" t="s">
        <v>5060</v>
      </c>
      <c r="F818" s="2"/>
      <c r="G818" s="2" t="s">
        <v>5261</v>
      </c>
      <c r="H818" s="2" t="s">
        <v>2733</v>
      </c>
      <c r="I818" s="5" t="s">
        <v>74</v>
      </c>
      <c r="J818" s="2" t="s">
        <v>7386</v>
      </c>
      <c r="K818" s="2" t="s">
        <v>4997</v>
      </c>
      <c r="L818" s="5" t="n">
        <v>300</v>
      </c>
    </row>
    <row r="819" customFormat="false" ht="35.05" hidden="false" customHeight="false" outlineLevel="0" collapsed="false">
      <c r="A819" s="5" t="s">
        <v>5264</v>
      </c>
      <c r="B819" s="2" t="s">
        <v>5265</v>
      </c>
      <c r="C819" s="5" t="s">
        <v>2128</v>
      </c>
      <c r="D819" s="5" t="s">
        <v>4997</v>
      </c>
      <c r="E819" s="2" t="s">
        <v>5041</v>
      </c>
      <c r="F819" s="2"/>
      <c r="G819" s="2" t="s">
        <v>5266</v>
      </c>
      <c r="H819" s="2" t="s">
        <v>2725</v>
      </c>
      <c r="I819" s="5" t="s">
        <v>74</v>
      </c>
      <c r="J819" s="2" t="s">
        <v>7387</v>
      </c>
      <c r="K819" s="2" t="s">
        <v>4997</v>
      </c>
      <c r="L819" s="5" t="n">
        <v>300</v>
      </c>
    </row>
    <row r="820" customFormat="false" ht="68.65" hidden="false" customHeight="false" outlineLevel="0" collapsed="false">
      <c r="A820" s="5" t="s">
        <v>5269</v>
      </c>
      <c r="B820" s="2" t="s">
        <v>5270</v>
      </c>
      <c r="C820" s="5" t="s">
        <v>2128</v>
      </c>
      <c r="D820" s="5" t="s">
        <v>4997</v>
      </c>
      <c r="E820" s="2" t="s">
        <v>5271</v>
      </c>
      <c r="F820" s="2"/>
      <c r="G820" s="2" t="s">
        <v>5272</v>
      </c>
      <c r="H820" s="2" t="s">
        <v>2733</v>
      </c>
      <c r="I820" s="5" t="s">
        <v>74</v>
      </c>
      <c r="J820" s="2" t="s">
        <v>7388</v>
      </c>
      <c r="K820" s="2" t="s">
        <v>4997</v>
      </c>
      <c r="L820" s="5" t="n">
        <v>300</v>
      </c>
    </row>
    <row r="821" customFormat="false" ht="91" hidden="false" customHeight="false" outlineLevel="0" collapsed="false">
      <c r="A821" s="5" t="s">
        <v>5276</v>
      </c>
      <c r="B821" s="2" t="s">
        <v>5277</v>
      </c>
      <c r="C821" s="5" t="s">
        <v>2128</v>
      </c>
      <c r="D821" s="5" t="s">
        <v>4997</v>
      </c>
      <c r="E821" s="2" t="s">
        <v>7389</v>
      </c>
      <c r="F821" s="2"/>
      <c r="G821" s="2" t="s">
        <v>5023</v>
      </c>
      <c r="H821" s="2" t="s">
        <v>2733</v>
      </c>
      <c r="I821" s="5" t="s">
        <v>74</v>
      </c>
      <c r="J821" s="2" t="s">
        <v>7390</v>
      </c>
      <c r="K821" s="2" t="s">
        <v>4997</v>
      </c>
      <c r="L821" s="5" t="n">
        <v>300</v>
      </c>
    </row>
    <row r="822" customFormat="false" ht="191.75" hidden="false" customHeight="false" outlineLevel="0" collapsed="false">
      <c r="A822" s="5" t="s">
        <v>5282</v>
      </c>
      <c r="B822" s="2" t="s">
        <v>5283</v>
      </c>
      <c r="C822" s="5" t="s">
        <v>2128</v>
      </c>
      <c r="D822" s="5" t="s">
        <v>4997</v>
      </c>
      <c r="E822" s="2" t="s">
        <v>7391</v>
      </c>
      <c r="F822" s="2"/>
      <c r="G822" s="2" t="s">
        <v>5285</v>
      </c>
      <c r="H822" s="2" t="s">
        <v>2733</v>
      </c>
      <c r="I822" s="5" t="s">
        <v>74</v>
      </c>
      <c r="J822" s="2" t="s">
        <v>7392</v>
      </c>
      <c r="K822" s="2" t="s">
        <v>4997</v>
      </c>
      <c r="L822" s="5" t="n">
        <v>300</v>
      </c>
    </row>
    <row r="823" customFormat="false" ht="35.05" hidden="false" customHeight="false" outlineLevel="0" collapsed="false">
      <c r="A823" s="5" t="s">
        <v>5289</v>
      </c>
      <c r="B823" s="2" t="s">
        <v>5290</v>
      </c>
      <c r="C823" s="5" t="s">
        <v>2128</v>
      </c>
      <c r="D823" s="5" t="s">
        <v>4997</v>
      </c>
      <c r="E823" s="2" t="s">
        <v>5291</v>
      </c>
      <c r="F823" s="2"/>
      <c r="G823" s="2" t="s">
        <v>5292</v>
      </c>
      <c r="H823" s="2" t="s">
        <v>5293</v>
      </c>
      <c r="I823" s="5" t="s">
        <v>74</v>
      </c>
      <c r="J823" s="2" t="s">
        <v>7393</v>
      </c>
      <c r="K823" s="2" t="s">
        <v>4997</v>
      </c>
      <c r="L823" s="5" t="n">
        <v>300</v>
      </c>
    </row>
    <row r="824" customFormat="false" ht="68.65" hidden="false" customHeight="false" outlineLevel="0" collapsed="false">
      <c r="A824" s="5" t="s">
        <v>5297</v>
      </c>
      <c r="B824" s="2" t="s">
        <v>5298</v>
      </c>
      <c r="C824" s="5" t="s">
        <v>2128</v>
      </c>
      <c r="D824" s="5" t="s">
        <v>4997</v>
      </c>
      <c r="E824" s="2" t="s">
        <v>5299</v>
      </c>
      <c r="F824" s="2"/>
      <c r="G824" s="2" t="s">
        <v>5011</v>
      </c>
      <c r="H824" s="2" t="s">
        <v>2733</v>
      </c>
      <c r="I824" s="5" t="s">
        <v>74</v>
      </c>
      <c r="J824" s="2" t="s">
        <v>7394</v>
      </c>
      <c r="K824" s="2" t="s">
        <v>4997</v>
      </c>
      <c r="L824" s="5" t="n">
        <v>300</v>
      </c>
    </row>
    <row r="825" customFormat="false" ht="35.05" hidden="false" customHeight="false" outlineLevel="0" collapsed="false">
      <c r="A825" s="5" t="s">
        <v>5303</v>
      </c>
      <c r="B825" s="2" t="s">
        <v>5304</v>
      </c>
      <c r="C825" s="5" t="s">
        <v>2128</v>
      </c>
      <c r="D825" s="5" t="s">
        <v>4997</v>
      </c>
      <c r="E825" s="2" t="s">
        <v>5306</v>
      </c>
      <c r="F825" s="2"/>
      <c r="G825" s="2" t="s">
        <v>5307</v>
      </c>
      <c r="H825" s="2" t="s">
        <v>5308</v>
      </c>
      <c r="I825" s="5" t="s">
        <v>74</v>
      </c>
      <c r="J825" s="2" t="s">
        <v>7395</v>
      </c>
      <c r="K825" s="2" t="s">
        <v>4997</v>
      </c>
      <c r="L825" s="5" t="n">
        <v>300</v>
      </c>
    </row>
    <row r="826" customFormat="false" ht="68.65" hidden="false" customHeight="false" outlineLevel="0" collapsed="false">
      <c r="A826" s="5" t="s">
        <v>5312</v>
      </c>
      <c r="B826" s="2" t="s">
        <v>5313</v>
      </c>
      <c r="C826" s="5" t="s">
        <v>2128</v>
      </c>
      <c r="D826" s="5" t="s">
        <v>4997</v>
      </c>
      <c r="E826" s="2" t="s">
        <v>5314</v>
      </c>
      <c r="F826" s="2"/>
      <c r="G826" s="2" t="s">
        <v>5315</v>
      </c>
      <c r="H826" s="2" t="s">
        <v>5316</v>
      </c>
      <c r="I826" s="5" t="s">
        <v>74</v>
      </c>
      <c r="J826" s="2" t="s">
        <v>7396</v>
      </c>
      <c r="K826" s="2" t="s">
        <v>4997</v>
      </c>
      <c r="L826" s="5" t="n">
        <v>300</v>
      </c>
    </row>
    <row r="827" customFormat="false" ht="68.65" hidden="false" customHeight="false" outlineLevel="0" collapsed="false">
      <c r="A827" s="5" t="s">
        <v>5320</v>
      </c>
      <c r="B827" s="2" t="s">
        <v>5321</v>
      </c>
      <c r="C827" s="5" t="s">
        <v>2128</v>
      </c>
      <c r="D827" s="5" t="s">
        <v>4997</v>
      </c>
      <c r="E827" s="2" t="s">
        <v>5322</v>
      </c>
      <c r="F827" s="2"/>
      <c r="G827" s="2" t="s">
        <v>5011</v>
      </c>
      <c r="H827" s="2" t="s">
        <v>2733</v>
      </c>
      <c r="I827" s="5" t="s">
        <v>74</v>
      </c>
      <c r="J827" s="2" t="s">
        <v>7397</v>
      </c>
      <c r="K827" s="2" t="s">
        <v>4997</v>
      </c>
      <c r="L827" s="5" t="n">
        <v>300</v>
      </c>
    </row>
    <row r="828" customFormat="false" ht="113.4" hidden="false" customHeight="false" outlineLevel="0" collapsed="false">
      <c r="A828" s="5" t="s">
        <v>5326</v>
      </c>
      <c r="B828" s="2" t="s">
        <v>5327</v>
      </c>
      <c r="C828" s="5" t="s">
        <v>2128</v>
      </c>
      <c r="D828" s="5" t="s">
        <v>4997</v>
      </c>
      <c r="E828" s="2" t="s">
        <v>5329</v>
      </c>
      <c r="F828" s="2"/>
      <c r="G828" s="2" t="s">
        <v>5330</v>
      </c>
      <c r="H828" s="2" t="s">
        <v>2733</v>
      </c>
      <c r="I828" s="5" t="s">
        <v>74</v>
      </c>
      <c r="J828" s="2" t="s">
        <v>7398</v>
      </c>
      <c r="K828" s="2" t="s">
        <v>4997</v>
      </c>
      <c r="L828" s="5" t="n">
        <v>300</v>
      </c>
    </row>
    <row r="829" customFormat="false" ht="68.65" hidden="false" customHeight="false" outlineLevel="0" collapsed="false">
      <c r="A829" s="5" t="s">
        <v>5333</v>
      </c>
      <c r="B829" s="2" t="s">
        <v>5334</v>
      </c>
      <c r="C829" s="5" t="s">
        <v>2128</v>
      </c>
      <c r="D829" s="5" t="s">
        <v>4997</v>
      </c>
      <c r="E829" s="2" t="s">
        <v>5329</v>
      </c>
      <c r="F829" s="2"/>
      <c r="G829" s="2" t="s">
        <v>5335</v>
      </c>
      <c r="H829" s="2" t="s">
        <v>2733</v>
      </c>
      <c r="I829" s="5" t="s">
        <v>74</v>
      </c>
      <c r="J829" s="2" t="s">
        <v>7399</v>
      </c>
      <c r="K829" s="2" t="s">
        <v>4997</v>
      </c>
      <c r="L829" s="5" t="n">
        <v>300</v>
      </c>
    </row>
    <row r="830" customFormat="false" ht="68.65" hidden="false" customHeight="false" outlineLevel="0" collapsed="false">
      <c r="A830" s="5" t="s">
        <v>5338</v>
      </c>
      <c r="B830" s="2" t="s">
        <v>5339</v>
      </c>
      <c r="C830" s="5" t="s">
        <v>2128</v>
      </c>
      <c r="D830" s="5" t="s">
        <v>4997</v>
      </c>
      <c r="E830" s="2" t="s">
        <v>5329</v>
      </c>
      <c r="F830" s="2"/>
      <c r="G830" s="2" t="s">
        <v>5340</v>
      </c>
      <c r="H830" s="2" t="s">
        <v>2733</v>
      </c>
      <c r="I830" s="5" t="s">
        <v>74</v>
      </c>
      <c r="J830" s="2" t="s">
        <v>7400</v>
      </c>
      <c r="K830" s="2" t="s">
        <v>4997</v>
      </c>
      <c r="L830" s="5" t="n">
        <v>300</v>
      </c>
    </row>
    <row r="831" customFormat="false" ht="23.85" hidden="false" customHeight="false" outlineLevel="0" collapsed="false">
      <c r="A831" s="5" t="s">
        <v>5343</v>
      </c>
      <c r="B831" s="2" t="s">
        <v>5344</v>
      </c>
      <c r="C831" s="5" t="s">
        <v>2128</v>
      </c>
      <c r="D831" s="5" t="s">
        <v>4997</v>
      </c>
      <c r="E831" s="2" t="s">
        <v>4932</v>
      </c>
      <c r="F831" s="2"/>
      <c r="G831" s="2" t="s">
        <v>5345</v>
      </c>
      <c r="H831" s="2" t="s">
        <v>2725</v>
      </c>
      <c r="I831" s="5" t="s">
        <v>74</v>
      </c>
      <c r="J831" s="2" t="s">
        <v>7401</v>
      </c>
      <c r="K831" s="2" t="s">
        <v>4997</v>
      </c>
      <c r="L831" s="5" t="n">
        <v>300</v>
      </c>
    </row>
    <row r="832" customFormat="false" ht="68.65" hidden="false" customHeight="false" outlineLevel="0" collapsed="false">
      <c r="A832" s="5" t="s">
        <v>5348</v>
      </c>
      <c r="B832" s="2" t="s">
        <v>5349</v>
      </c>
      <c r="C832" s="5" t="s">
        <v>2128</v>
      </c>
      <c r="D832" s="5" t="s">
        <v>4997</v>
      </c>
      <c r="E832" s="2" t="s">
        <v>5350</v>
      </c>
      <c r="F832" s="2"/>
      <c r="G832" s="2" t="s">
        <v>5023</v>
      </c>
      <c r="H832" s="2" t="s">
        <v>5207</v>
      </c>
      <c r="I832" s="5" t="s">
        <v>74</v>
      </c>
      <c r="J832" s="2" t="s">
        <v>7402</v>
      </c>
      <c r="K832" s="2" t="s">
        <v>4997</v>
      </c>
      <c r="L832" s="5" t="n">
        <v>300</v>
      </c>
    </row>
    <row r="833" customFormat="false" ht="23.85" hidden="false" customHeight="false" outlineLevel="0" collapsed="false">
      <c r="A833" s="5" t="s">
        <v>5354</v>
      </c>
      <c r="B833" s="2" t="s">
        <v>5355</v>
      </c>
      <c r="C833" s="5" t="s">
        <v>2128</v>
      </c>
      <c r="D833" s="5" t="s">
        <v>4997</v>
      </c>
      <c r="E833" s="2" t="s">
        <v>4932</v>
      </c>
      <c r="F833" s="2"/>
      <c r="G833" s="2" t="s">
        <v>5356</v>
      </c>
      <c r="H833" s="2" t="s">
        <v>2725</v>
      </c>
      <c r="I833" s="5" t="s">
        <v>74</v>
      </c>
      <c r="J833" s="2" t="s">
        <v>7403</v>
      </c>
      <c r="K833" s="2" t="s">
        <v>4997</v>
      </c>
      <c r="L833" s="5" t="n">
        <v>300</v>
      </c>
    </row>
    <row r="834" customFormat="false" ht="68.65" hidden="false" customHeight="false" outlineLevel="0" collapsed="false">
      <c r="A834" s="5" t="s">
        <v>5359</v>
      </c>
      <c r="B834" s="2" t="s">
        <v>5360</v>
      </c>
      <c r="C834" s="5" t="s">
        <v>2128</v>
      </c>
      <c r="D834" s="5" t="s">
        <v>4997</v>
      </c>
      <c r="E834" s="2" t="s">
        <v>5361</v>
      </c>
      <c r="F834" s="2"/>
      <c r="G834" s="2" t="s">
        <v>5011</v>
      </c>
      <c r="H834" s="2" t="s">
        <v>2733</v>
      </c>
      <c r="I834" s="5" t="s">
        <v>74</v>
      </c>
      <c r="J834" s="2" t="s">
        <v>7404</v>
      </c>
      <c r="K834" s="2" t="s">
        <v>4997</v>
      </c>
      <c r="L834" s="5" t="n">
        <v>300</v>
      </c>
    </row>
    <row r="835" customFormat="false" ht="68.65" hidden="false" customHeight="false" outlineLevel="0" collapsed="false">
      <c r="A835" s="5" t="s">
        <v>5365</v>
      </c>
      <c r="B835" s="2" t="s">
        <v>5366</v>
      </c>
      <c r="C835" s="5" t="s">
        <v>2128</v>
      </c>
      <c r="D835" s="5" t="s">
        <v>4997</v>
      </c>
      <c r="E835" s="2" t="s">
        <v>5367</v>
      </c>
      <c r="F835" s="2"/>
      <c r="G835" s="2" t="s">
        <v>5023</v>
      </c>
      <c r="H835" s="2" t="s">
        <v>2733</v>
      </c>
      <c r="I835" s="5" t="s">
        <v>74</v>
      </c>
      <c r="J835" s="2" t="s">
        <v>7405</v>
      </c>
      <c r="K835" s="2" t="s">
        <v>4997</v>
      </c>
      <c r="L835" s="5" t="n">
        <v>300</v>
      </c>
    </row>
    <row r="836" customFormat="false" ht="23.85" hidden="false" customHeight="false" outlineLevel="0" collapsed="false">
      <c r="A836" s="5" t="s">
        <v>5371</v>
      </c>
      <c r="B836" s="2" t="s">
        <v>5372</v>
      </c>
      <c r="C836" s="5" t="s">
        <v>2128</v>
      </c>
      <c r="D836" s="5" t="s">
        <v>4997</v>
      </c>
      <c r="E836" s="2" t="s">
        <v>4932</v>
      </c>
      <c r="F836" s="2"/>
      <c r="G836" s="2" t="s">
        <v>5373</v>
      </c>
      <c r="H836" s="2" t="s">
        <v>2725</v>
      </c>
      <c r="I836" s="5" t="s">
        <v>74</v>
      </c>
      <c r="J836" s="2" t="s">
        <v>7406</v>
      </c>
      <c r="K836" s="2" t="s">
        <v>4997</v>
      </c>
      <c r="L836" s="5" t="n">
        <v>300</v>
      </c>
    </row>
    <row r="837" customFormat="false" ht="68.65" hidden="false" customHeight="false" outlineLevel="0" collapsed="false">
      <c r="A837" s="5" t="s">
        <v>5376</v>
      </c>
      <c r="B837" s="2" t="s">
        <v>5377</v>
      </c>
      <c r="C837" s="5" t="s">
        <v>2128</v>
      </c>
      <c r="D837" s="5" t="s">
        <v>4997</v>
      </c>
      <c r="E837" s="2" t="s">
        <v>5378</v>
      </c>
      <c r="F837" s="2"/>
      <c r="G837" s="2" t="s">
        <v>5023</v>
      </c>
      <c r="H837" s="2" t="s">
        <v>2733</v>
      </c>
      <c r="I837" s="5" t="s">
        <v>74</v>
      </c>
      <c r="J837" s="2" t="s">
        <v>7407</v>
      </c>
      <c r="K837" s="2" t="s">
        <v>4997</v>
      </c>
      <c r="L837" s="5" t="n">
        <v>300</v>
      </c>
    </row>
    <row r="838" customFormat="false" ht="91" hidden="false" customHeight="false" outlineLevel="0" collapsed="false">
      <c r="A838" s="5" t="s">
        <v>5382</v>
      </c>
      <c r="B838" s="2" t="s">
        <v>5383</v>
      </c>
      <c r="C838" s="5" t="s">
        <v>2128</v>
      </c>
      <c r="D838" s="5" t="s">
        <v>4997</v>
      </c>
      <c r="E838" s="2" t="s">
        <v>5384</v>
      </c>
      <c r="F838" s="2"/>
      <c r="G838" s="2" t="s">
        <v>5385</v>
      </c>
      <c r="H838" s="2" t="s">
        <v>2733</v>
      </c>
      <c r="I838" s="5" t="s">
        <v>74</v>
      </c>
      <c r="J838" s="2" t="s">
        <v>7408</v>
      </c>
      <c r="K838" s="2" t="s">
        <v>4997</v>
      </c>
      <c r="L838" s="5" t="n">
        <v>300</v>
      </c>
    </row>
    <row r="839" customFormat="false" ht="46.25" hidden="false" customHeight="false" outlineLevel="0" collapsed="false">
      <c r="A839" s="5" t="s">
        <v>5389</v>
      </c>
      <c r="B839" s="2" t="s">
        <v>5390</v>
      </c>
      <c r="C839" s="5" t="s">
        <v>2128</v>
      </c>
      <c r="D839" s="5" t="s">
        <v>4997</v>
      </c>
      <c r="E839" s="2" t="s">
        <v>5041</v>
      </c>
      <c r="F839" s="2"/>
      <c r="G839" s="2" t="s">
        <v>5391</v>
      </c>
      <c r="H839" s="2" t="s">
        <v>2725</v>
      </c>
      <c r="I839" s="5" t="s">
        <v>74</v>
      </c>
      <c r="J839" s="2" t="s">
        <v>7409</v>
      </c>
      <c r="K839" s="2" t="s">
        <v>4997</v>
      </c>
      <c r="L839" s="5" t="n">
        <v>300</v>
      </c>
    </row>
    <row r="840" customFormat="false" ht="102.2" hidden="false" customHeight="false" outlineLevel="0" collapsed="false">
      <c r="A840" s="5" t="s">
        <v>5394</v>
      </c>
      <c r="B840" s="2" t="s">
        <v>5395</v>
      </c>
      <c r="C840" s="5" t="s">
        <v>2128</v>
      </c>
      <c r="D840" s="5" t="s">
        <v>4997</v>
      </c>
      <c r="E840" s="2" t="s">
        <v>7410</v>
      </c>
      <c r="F840" s="2"/>
      <c r="G840" s="2" t="s">
        <v>5397</v>
      </c>
      <c r="H840" s="2" t="s">
        <v>2733</v>
      </c>
      <c r="I840" s="5" t="s">
        <v>74</v>
      </c>
      <c r="J840" s="2" t="s">
        <v>7411</v>
      </c>
      <c r="K840" s="2" t="s">
        <v>4997</v>
      </c>
      <c r="L840" s="5" t="n">
        <v>300</v>
      </c>
    </row>
    <row r="841" customFormat="false" ht="68.65" hidden="false" customHeight="false" outlineLevel="0" collapsed="false">
      <c r="A841" s="5" t="s">
        <v>5401</v>
      </c>
      <c r="B841" s="2" t="s">
        <v>5402</v>
      </c>
      <c r="C841" s="5" t="s">
        <v>2245</v>
      </c>
      <c r="D841" s="5" t="s">
        <v>4997</v>
      </c>
      <c r="E841" s="2" t="s">
        <v>5403</v>
      </c>
      <c r="F841" s="2"/>
      <c r="G841" s="2" t="s">
        <v>5023</v>
      </c>
      <c r="H841" s="2" t="s">
        <v>5207</v>
      </c>
      <c r="I841" s="5" t="s">
        <v>74</v>
      </c>
      <c r="J841" s="2" t="s">
        <v>7412</v>
      </c>
      <c r="K841" s="2" t="s">
        <v>4997</v>
      </c>
      <c r="L841" s="5" t="n">
        <v>300</v>
      </c>
    </row>
    <row r="842" customFormat="false" ht="23.85" hidden="false" customHeight="false" outlineLevel="0" collapsed="false">
      <c r="A842" s="5" t="s">
        <v>5407</v>
      </c>
      <c r="B842" s="2" t="s">
        <v>5408</v>
      </c>
      <c r="C842" s="5" t="s">
        <v>2128</v>
      </c>
      <c r="D842" s="5" t="s">
        <v>4997</v>
      </c>
      <c r="E842" s="2" t="s">
        <v>4932</v>
      </c>
      <c r="F842" s="2"/>
      <c r="G842" s="2" t="s">
        <v>5409</v>
      </c>
      <c r="H842" s="2" t="s">
        <v>2725</v>
      </c>
      <c r="I842" s="5" t="s">
        <v>74</v>
      </c>
      <c r="J842" s="2" t="s">
        <v>7413</v>
      </c>
      <c r="K842" s="2" t="s">
        <v>4997</v>
      </c>
      <c r="L842" s="5" t="n">
        <v>300</v>
      </c>
    </row>
    <row r="843" customFormat="false" ht="68.65" hidden="false" customHeight="false" outlineLevel="0" collapsed="false">
      <c r="A843" s="5" t="s">
        <v>5412</v>
      </c>
      <c r="B843" s="2" t="s">
        <v>5413</v>
      </c>
      <c r="C843" s="5" t="s">
        <v>2128</v>
      </c>
      <c r="D843" s="5" t="s">
        <v>4997</v>
      </c>
      <c r="E843" s="2" t="s">
        <v>5414</v>
      </c>
      <c r="F843" s="2"/>
      <c r="G843" s="2" t="s">
        <v>5023</v>
      </c>
      <c r="H843" s="2" t="s">
        <v>2733</v>
      </c>
      <c r="I843" s="5" t="s">
        <v>74</v>
      </c>
      <c r="J843" s="2" t="s">
        <v>7414</v>
      </c>
      <c r="K843" s="2" t="s">
        <v>4997</v>
      </c>
      <c r="L843" s="5" t="n">
        <v>300</v>
      </c>
    </row>
    <row r="844" customFormat="false" ht="23.85" hidden="false" customHeight="false" outlineLevel="0" collapsed="false">
      <c r="A844" s="5" t="s">
        <v>5418</v>
      </c>
      <c r="B844" s="2" t="s">
        <v>5419</v>
      </c>
      <c r="C844" s="5" t="s">
        <v>2128</v>
      </c>
      <c r="D844" s="5" t="s">
        <v>4997</v>
      </c>
      <c r="E844" s="2" t="s">
        <v>4932</v>
      </c>
      <c r="F844" s="2"/>
      <c r="G844" s="2" t="s">
        <v>5420</v>
      </c>
      <c r="H844" s="2" t="s">
        <v>2725</v>
      </c>
      <c r="I844" s="5" t="s">
        <v>74</v>
      </c>
      <c r="J844" s="2" t="s">
        <v>7415</v>
      </c>
      <c r="K844" s="2" t="s">
        <v>4997</v>
      </c>
      <c r="L844" s="5" t="n">
        <v>300</v>
      </c>
    </row>
    <row r="845" customFormat="false" ht="68.65" hidden="false" customHeight="false" outlineLevel="0" collapsed="false">
      <c r="A845" s="5" t="s">
        <v>5423</v>
      </c>
      <c r="B845" s="2" t="s">
        <v>5424</v>
      </c>
      <c r="C845" s="5" t="s">
        <v>2128</v>
      </c>
      <c r="D845" s="5" t="s">
        <v>4997</v>
      </c>
      <c r="E845" s="2" t="s">
        <v>5425</v>
      </c>
      <c r="F845" s="2"/>
      <c r="G845" s="2" t="s">
        <v>5011</v>
      </c>
      <c r="H845" s="2" t="s">
        <v>2733</v>
      </c>
      <c r="I845" s="5" t="s">
        <v>74</v>
      </c>
      <c r="J845" s="2" t="s">
        <v>7416</v>
      </c>
      <c r="K845" s="2" t="s">
        <v>4997</v>
      </c>
      <c r="L845" s="5" t="n">
        <v>300</v>
      </c>
    </row>
    <row r="846" customFormat="false" ht="35.05" hidden="false" customHeight="false" outlineLevel="0" collapsed="false">
      <c r="A846" s="5" t="s">
        <v>5429</v>
      </c>
      <c r="B846" s="2" t="s">
        <v>5430</v>
      </c>
      <c r="C846" s="5" t="s">
        <v>2128</v>
      </c>
      <c r="D846" s="5" t="s">
        <v>4997</v>
      </c>
      <c r="E846" s="2" t="s">
        <v>2722</v>
      </c>
      <c r="F846" s="2"/>
      <c r="G846" s="2" t="s">
        <v>5431</v>
      </c>
      <c r="H846" s="2" t="s">
        <v>2725</v>
      </c>
      <c r="I846" s="5" t="s">
        <v>74</v>
      </c>
      <c r="J846" s="2" t="s">
        <v>7417</v>
      </c>
      <c r="K846" s="2" t="s">
        <v>4997</v>
      </c>
      <c r="L846" s="5" t="n">
        <v>300</v>
      </c>
    </row>
    <row r="847" customFormat="false" ht="91" hidden="false" customHeight="false" outlineLevel="0" collapsed="false">
      <c r="A847" s="5" t="s">
        <v>5434</v>
      </c>
      <c r="B847" s="2" t="s">
        <v>5435</v>
      </c>
      <c r="C847" s="5" t="s">
        <v>2128</v>
      </c>
      <c r="D847" s="5" t="s">
        <v>4997</v>
      </c>
      <c r="E847" s="2" t="s">
        <v>5060</v>
      </c>
      <c r="F847" s="2"/>
      <c r="G847" s="2" t="s">
        <v>5436</v>
      </c>
      <c r="H847" s="2" t="s">
        <v>5207</v>
      </c>
      <c r="I847" s="5" t="s">
        <v>74</v>
      </c>
      <c r="J847" s="2" t="s">
        <v>7418</v>
      </c>
      <c r="K847" s="2" t="s">
        <v>4997</v>
      </c>
      <c r="L847" s="5" t="n">
        <v>300</v>
      </c>
    </row>
    <row r="848" customFormat="false" ht="79.85" hidden="false" customHeight="false" outlineLevel="0" collapsed="false">
      <c r="A848" s="5" t="s">
        <v>5439</v>
      </c>
      <c r="B848" s="2" t="s">
        <v>5440</v>
      </c>
      <c r="C848" s="5" t="s">
        <v>2128</v>
      </c>
      <c r="D848" s="5" t="s">
        <v>4997</v>
      </c>
      <c r="E848" s="2" t="s">
        <v>7419</v>
      </c>
      <c r="F848" s="2"/>
      <c r="G848" s="2" t="s">
        <v>5442</v>
      </c>
      <c r="H848" s="2" t="s">
        <v>2733</v>
      </c>
      <c r="I848" s="5" t="s">
        <v>74</v>
      </c>
      <c r="J848" s="2" t="s">
        <v>7420</v>
      </c>
      <c r="K848" s="2" t="s">
        <v>4997</v>
      </c>
      <c r="L848" s="5" t="n">
        <v>300</v>
      </c>
    </row>
    <row r="849" customFormat="false" ht="68.65" hidden="false" customHeight="false" outlineLevel="0" collapsed="false">
      <c r="A849" s="5" t="s">
        <v>5446</v>
      </c>
      <c r="B849" s="2" t="s">
        <v>5447</v>
      </c>
      <c r="C849" s="5" t="s">
        <v>2128</v>
      </c>
      <c r="D849" s="5" t="s">
        <v>4997</v>
      </c>
      <c r="E849" s="2" t="s">
        <v>5448</v>
      </c>
      <c r="F849" s="2"/>
      <c r="G849" s="2" t="s">
        <v>5023</v>
      </c>
      <c r="H849" s="2" t="s">
        <v>2733</v>
      </c>
      <c r="I849" s="5" t="s">
        <v>74</v>
      </c>
      <c r="J849" s="2" t="s">
        <v>7421</v>
      </c>
      <c r="K849" s="2" t="s">
        <v>4997</v>
      </c>
      <c r="L849" s="5" t="n">
        <v>300</v>
      </c>
    </row>
    <row r="850" customFormat="false" ht="23.85" hidden="false" customHeight="false" outlineLevel="0" collapsed="false">
      <c r="A850" s="5" t="s">
        <v>5452</v>
      </c>
      <c r="B850" s="2" t="s">
        <v>5453</v>
      </c>
      <c r="C850" s="5" t="s">
        <v>2128</v>
      </c>
      <c r="D850" s="5" t="s">
        <v>4997</v>
      </c>
      <c r="E850" s="2" t="s">
        <v>2722</v>
      </c>
      <c r="F850" s="2"/>
      <c r="G850" s="2" t="s">
        <v>5454</v>
      </c>
      <c r="H850" s="2" t="s">
        <v>2725</v>
      </c>
      <c r="I850" s="5" t="s">
        <v>74</v>
      </c>
      <c r="J850" s="2" t="s">
        <v>7422</v>
      </c>
      <c r="K850" s="2" t="s">
        <v>4997</v>
      </c>
      <c r="L850" s="5" t="n">
        <v>300</v>
      </c>
    </row>
    <row r="851" customFormat="false" ht="68.65" hidden="false" customHeight="false" outlineLevel="0" collapsed="false">
      <c r="A851" s="5" t="s">
        <v>5457</v>
      </c>
      <c r="B851" s="2" t="s">
        <v>5458</v>
      </c>
      <c r="C851" s="5" t="s">
        <v>2128</v>
      </c>
      <c r="D851" s="5" t="s">
        <v>4997</v>
      </c>
      <c r="E851" s="2" t="s">
        <v>5459</v>
      </c>
      <c r="F851" s="2"/>
      <c r="G851" s="2" t="s">
        <v>5460</v>
      </c>
      <c r="H851" s="2" t="s">
        <v>2733</v>
      </c>
      <c r="I851" s="5" t="s">
        <v>74</v>
      </c>
      <c r="J851" s="2" t="s">
        <v>7423</v>
      </c>
      <c r="K851" s="2" t="s">
        <v>4997</v>
      </c>
      <c r="L851" s="5" t="n">
        <v>300</v>
      </c>
    </row>
    <row r="852" customFormat="false" ht="68.65" hidden="false" customHeight="false" outlineLevel="0" collapsed="false">
      <c r="A852" s="5" t="s">
        <v>5464</v>
      </c>
      <c r="B852" s="2" t="s">
        <v>5465</v>
      </c>
      <c r="C852" s="5" t="s">
        <v>2245</v>
      </c>
      <c r="D852" s="5" t="s">
        <v>4997</v>
      </c>
      <c r="E852" s="2" t="s">
        <v>5466</v>
      </c>
      <c r="F852" s="2"/>
      <c r="G852" s="2" t="s">
        <v>5023</v>
      </c>
      <c r="H852" s="2" t="s">
        <v>5207</v>
      </c>
      <c r="I852" s="5" t="s">
        <v>74</v>
      </c>
      <c r="J852" s="2" t="s">
        <v>7424</v>
      </c>
      <c r="K852" s="2" t="s">
        <v>4997</v>
      </c>
      <c r="L852" s="5" t="n">
        <v>300</v>
      </c>
    </row>
    <row r="853" customFormat="false" ht="35.05" hidden="false" customHeight="false" outlineLevel="0" collapsed="false">
      <c r="A853" s="5" t="s">
        <v>5470</v>
      </c>
      <c r="B853" s="2" t="s">
        <v>5471</v>
      </c>
      <c r="C853" s="5" t="s">
        <v>2128</v>
      </c>
      <c r="D853" s="5" t="s">
        <v>4997</v>
      </c>
      <c r="E853" s="2" t="s">
        <v>5041</v>
      </c>
      <c r="F853" s="2"/>
      <c r="G853" s="2" t="s">
        <v>5472</v>
      </c>
      <c r="H853" s="2" t="s">
        <v>2725</v>
      </c>
      <c r="I853" s="5" t="s">
        <v>74</v>
      </c>
      <c r="J853" s="2" t="s">
        <v>7425</v>
      </c>
      <c r="K853" s="2" t="s">
        <v>4997</v>
      </c>
      <c r="L853" s="5" t="n">
        <v>300</v>
      </c>
    </row>
    <row r="854" customFormat="false" ht="79.85" hidden="false" customHeight="false" outlineLevel="0" collapsed="false">
      <c r="A854" s="5" t="s">
        <v>5475</v>
      </c>
      <c r="B854" s="2" t="s">
        <v>5476</v>
      </c>
      <c r="C854" s="5" t="s">
        <v>2128</v>
      </c>
      <c r="D854" s="5" t="s">
        <v>4997</v>
      </c>
      <c r="E854" s="2" t="s">
        <v>5477</v>
      </c>
      <c r="F854" s="2"/>
      <c r="G854" s="2" t="s">
        <v>5478</v>
      </c>
      <c r="H854" s="2" t="s">
        <v>2733</v>
      </c>
      <c r="I854" s="5" t="s">
        <v>74</v>
      </c>
      <c r="J854" s="2" t="s">
        <v>7426</v>
      </c>
      <c r="K854" s="2" t="s">
        <v>4997</v>
      </c>
      <c r="L854" s="5" t="n">
        <v>300</v>
      </c>
    </row>
    <row r="855" customFormat="false" ht="35.05" hidden="false" customHeight="false" outlineLevel="0" collapsed="false">
      <c r="A855" s="5" t="s">
        <v>5482</v>
      </c>
      <c r="B855" s="2" t="s">
        <v>5483</v>
      </c>
      <c r="C855" s="5" t="s">
        <v>2128</v>
      </c>
      <c r="D855" s="5" t="s">
        <v>4997</v>
      </c>
      <c r="E855" s="2" t="s">
        <v>4932</v>
      </c>
      <c r="F855" s="2"/>
      <c r="G855" s="2" t="s">
        <v>5484</v>
      </c>
      <c r="H855" s="2" t="s">
        <v>2725</v>
      </c>
      <c r="I855" s="5" t="s">
        <v>74</v>
      </c>
      <c r="J855" s="2" t="s">
        <v>7427</v>
      </c>
      <c r="K855" s="2" t="s">
        <v>4997</v>
      </c>
      <c r="L855" s="5" t="n">
        <v>300</v>
      </c>
    </row>
    <row r="856" customFormat="false" ht="79.85" hidden="false" customHeight="false" outlineLevel="0" collapsed="false">
      <c r="A856" s="5" t="s">
        <v>5487</v>
      </c>
      <c r="B856" s="2" t="s">
        <v>5488</v>
      </c>
      <c r="C856" s="5" t="s">
        <v>2128</v>
      </c>
      <c r="D856" s="5" t="s">
        <v>4997</v>
      </c>
      <c r="E856" s="2" t="s">
        <v>5489</v>
      </c>
      <c r="F856" s="2"/>
      <c r="G856" s="2" t="s">
        <v>5490</v>
      </c>
      <c r="H856" s="2" t="s">
        <v>2733</v>
      </c>
      <c r="I856" s="5" t="s">
        <v>74</v>
      </c>
      <c r="J856" s="2" t="s">
        <v>7428</v>
      </c>
      <c r="K856" s="2" t="s">
        <v>4997</v>
      </c>
      <c r="L856" s="5" t="n">
        <v>300</v>
      </c>
    </row>
    <row r="857" customFormat="false" ht="68.65" hidden="false" customHeight="false" outlineLevel="0" collapsed="false">
      <c r="A857" s="5" t="s">
        <v>5494</v>
      </c>
      <c r="B857" s="2" t="s">
        <v>5495</v>
      </c>
      <c r="C857" s="5" t="s">
        <v>2128</v>
      </c>
      <c r="D857" s="5" t="s">
        <v>4997</v>
      </c>
      <c r="E857" s="2" t="s">
        <v>5496</v>
      </c>
      <c r="F857" s="2"/>
      <c r="G857" s="2" t="s">
        <v>5011</v>
      </c>
      <c r="H857" s="2" t="s">
        <v>2733</v>
      </c>
      <c r="I857" s="5" t="s">
        <v>74</v>
      </c>
      <c r="J857" s="2" t="s">
        <v>7429</v>
      </c>
      <c r="K857" s="2" t="s">
        <v>4997</v>
      </c>
      <c r="L857" s="5" t="n">
        <v>300</v>
      </c>
    </row>
    <row r="858" customFormat="false" ht="68.65" hidden="false" customHeight="false" outlineLevel="0" collapsed="false">
      <c r="A858" s="5" t="s">
        <v>5500</v>
      </c>
      <c r="B858" s="2" t="s">
        <v>5501</v>
      </c>
      <c r="C858" s="5" t="s">
        <v>2245</v>
      </c>
      <c r="D858" s="5" t="s">
        <v>4997</v>
      </c>
      <c r="E858" s="2" t="s">
        <v>5502</v>
      </c>
      <c r="F858" s="2"/>
      <c r="G858" s="2" t="s">
        <v>5023</v>
      </c>
      <c r="H858" s="2" t="s">
        <v>5207</v>
      </c>
      <c r="I858" s="5" t="s">
        <v>74</v>
      </c>
      <c r="J858" s="2" t="s">
        <v>7430</v>
      </c>
      <c r="K858" s="2" t="s">
        <v>4997</v>
      </c>
      <c r="L858" s="5" t="n">
        <v>300</v>
      </c>
    </row>
    <row r="859" customFormat="false" ht="68.65" hidden="false" customHeight="false" outlineLevel="0" collapsed="false">
      <c r="A859" s="5" t="s">
        <v>5506</v>
      </c>
      <c r="B859" s="2" t="s">
        <v>5507</v>
      </c>
      <c r="C859" s="5" t="s">
        <v>2128</v>
      </c>
      <c r="D859" s="5" t="s">
        <v>4997</v>
      </c>
      <c r="E859" s="2" t="s">
        <v>5508</v>
      </c>
      <c r="F859" s="2"/>
      <c r="G859" s="2" t="s">
        <v>5023</v>
      </c>
      <c r="H859" s="2" t="s">
        <v>2733</v>
      </c>
      <c r="I859" s="5" t="s">
        <v>74</v>
      </c>
      <c r="J859" s="2" t="s">
        <v>7431</v>
      </c>
      <c r="K859" s="2" t="s">
        <v>4997</v>
      </c>
      <c r="L859" s="5" t="n">
        <v>300</v>
      </c>
    </row>
    <row r="860" customFormat="false" ht="35.05" hidden="false" customHeight="false" outlineLevel="0" collapsed="false">
      <c r="A860" s="5" t="s">
        <v>5512</v>
      </c>
      <c r="B860" s="2" t="s">
        <v>5513</v>
      </c>
      <c r="C860" s="5" t="s">
        <v>2128</v>
      </c>
      <c r="D860" s="5" t="s">
        <v>4997</v>
      </c>
      <c r="E860" s="2" t="s">
        <v>5041</v>
      </c>
      <c r="F860" s="2"/>
      <c r="G860" s="2" t="s">
        <v>5514</v>
      </c>
      <c r="H860" s="2" t="s">
        <v>2725</v>
      </c>
      <c r="I860" s="5" t="s">
        <v>74</v>
      </c>
      <c r="J860" s="2" t="s">
        <v>7432</v>
      </c>
      <c r="K860" s="2" t="s">
        <v>4997</v>
      </c>
      <c r="L860" s="5" t="n">
        <v>300</v>
      </c>
    </row>
    <row r="861" customFormat="false" ht="68.65" hidden="false" customHeight="false" outlineLevel="0" collapsed="false">
      <c r="A861" s="5" t="s">
        <v>5517</v>
      </c>
      <c r="B861" s="2" t="s">
        <v>5518</v>
      </c>
      <c r="C861" s="5" t="s">
        <v>2128</v>
      </c>
      <c r="D861" s="5" t="s">
        <v>4997</v>
      </c>
      <c r="E861" s="2" t="s">
        <v>5519</v>
      </c>
      <c r="F861" s="2"/>
      <c r="G861" s="2" t="s">
        <v>5520</v>
      </c>
      <c r="H861" s="2" t="s">
        <v>2733</v>
      </c>
      <c r="I861" s="5" t="s">
        <v>74</v>
      </c>
      <c r="J861" s="2" t="s">
        <v>7433</v>
      </c>
      <c r="K861" s="2" t="s">
        <v>4997</v>
      </c>
      <c r="L861" s="5" t="n">
        <v>300</v>
      </c>
    </row>
    <row r="862" customFormat="false" ht="35.05" hidden="false" customHeight="false" outlineLevel="0" collapsed="false">
      <c r="A862" s="5" t="s">
        <v>5524</v>
      </c>
      <c r="B862" s="2" t="s">
        <v>5525</v>
      </c>
      <c r="C862" s="5" t="s">
        <v>2128</v>
      </c>
      <c r="D862" s="5" t="s">
        <v>4997</v>
      </c>
      <c r="E862" s="2" t="s">
        <v>2722</v>
      </c>
      <c r="F862" s="2"/>
      <c r="G862" s="2" t="s">
        <v>5526</v>
      </c>
      <c r="H862" s="2" t="s">
        <v>2725</v>
      </c>
      <c r="I862" s="5" t="s">
        <v>74</v>
      </c>
      <c r="J862" s="2" t="s">
        <v>7434</v>
      </c>
      <c r="K862" s="2" t="s">
        <v>4997</v>
      </c>
      <c r="L862" s="5" t="n">
        <v>300</v>
      </c>
    </row>
    <row r="863" customFormat="false" ht="91" hidden="false" customHeight="false" outlineLevel="0" collapsed="false">
      <c r="A863" s="5" t="s">
        <v>5529</v>
      </c>
      <c r="B863" s="2" t="s">
        <v>5530</v>
      </c>
      <c r="C863" s="5" t="s">
        <v>2128</v>
      </c>
      <c r="D863" s="5" t="s">
        <v>4997</v>
      </c>
      <c r="E863" s="2" t="s">
        <v>7435</v>
      </c>
      <c r="F863" s="2"/>
      <c r="G863" s="2" t="s">
        <v>5532</v>
      </c>
      <c r="H863" s="2" t="s">
        <v>2733</v>
      </c>
      <c r="I863" s="5" t="s">
        <v>74</v>
      </c>
      <c r="J863" s="2" t="s">
        <v>7436</v>
      </c>
      <c r="K863" s="2" t="s">
        <v>4997</v>
      </c>
      <c r="L863" s="5" t="n">
        <v>300</v>
      </c>
    </row>
    <row r="864" customFormat="false" ht="23.85" hidden="false" customHeight="false" outlineLevel="0" collapsed="false">
      <c r="A864" s="5" t="s">
        <v>5536</v>
      </c>
      <c r="B864" s="2" t="s">
        <v>5537</v>
      </c>
      <c r="C864" s="5" t="s">
        <v>2128</v>
      </c>
      <c r="D864" s="5" t="s">
        <v>4997</v>
      </c>
      <c r="E864" s="2" t="s">
        <v>4932</v>
      </c>
      <c r="F864" s="2"/>
      <c r="G864" s="2" t="s">
        <v>5538</v>
      </c>
      <c r="H864" s="2" t="s">
        <v>2725</v>
      </c>
      <c r="I864" s="5" t="s">
        <v>74</v>
      </c>
      <c r="J864" s="2" t="s">
        <v>7437</v>
      </c>
      <c r="K864" s="2" t="s">
        <v>4997</v>
      </c>
      <c r="L864" s="5" t="n">
        <v>300</v>
      </c>
    </row>
    <row r="865" customFormat="false" ht="68.65" hidden="false" customHeight="false" outlineLevel="0" collapsed="false">
      <c r="A865" s="5" t="s">
        <v>5541</v>
      </c>
      <c r="B865" s="2" t="s">
        <v>5542</v>
      </c>
      <c r="C865" s="5" t="s">
        <v>2128</v>
      </c>
      <c r="D865" s="5" t="s">
        <v>4997</v>
      </c>
      <c r="E865" s="2" t="s">
        <v>5543</v>
      </c>
      <c r="F865" s="2"/>
      <c r="G865" s="2" t="s">
        <v>5023</v>
      </c>
      <c r="H865" s="2" t="s">
        <v>2733</v>
      </c>
      <c r="I865" s="5" t="s">
        <v>74</v>
      </c>
      <c r="J865" s="2" t="s">
        <v>7438</v>
      </c>
      <c r="K865" s="2" t="s">
        <v>4997</v>
      </c>
      <c r="L865" s="5" t="n">
        <v>300</v>
      </c>
    </row>
    <row r="866" customFormat="false" ht="23.85" hidden="false" customHeight="false" outlineLevel="0" collapsed="false">
      <c r="A866" s="5" t="s">
        <v>5547</v>
      </c>
      <c r="B866" s="2" t="s">
        <v>5548</v>
      </c>
      <c r="C866" s="5" t="s">
        <v>2128</v>
      </c>
      <c r="D866" s="5" t="s">
        <v>5549</v>
      </c>
      <c r="E866" s="2" t="s">
        <v>4932</v>
      </c>
      <c r="F866" s="2"/>
      <c r="G866" s="2" t="s">
        <v>5550</v>
      </c>
      <c r="H866" s="2" t="s">
        <v>2725</v>
      </c>
      <c r="I866" s="5" t="s">
        <v>74</v>
      </c>
      <c r="J866" s="2" t="s">
        <v>7439</v>
      </c>
      <c r="K866" s="2" t="s">
        <v>5549</v>
      </c>
      <c r="L866" s="5" t="n">
        <v>300</v>
      </c>
    </row>
    <row r="867" customFormat="false" ht="23.85" hidden="false" customHeight="false" outlineLevel="0" collapsed="false">
      <c r="A867" s="5" t="s">
        <v>5553</v>
      </c>
      <c r="B867" s="2" t="s">
        <v>5554</v>
      </c>
      <c r="C867" s="5" t="s">
        <v>2128</v>
      </c>
      <c r="D867" s="5" t="s">
        <v>5549</v>
      </c>
      <c r="E867" s="2" t="s">
        <v>5555</v>
      </c>
      <c r="F867" s="2"/>
      <c r="G867" s="2"/>
      <c r="H867" s="2" t="s">
        <v>2733</v>
      </c>
      <c r="I867" s="5" t="s">
        <v>74</v>
      </c>
      <c r="J867" s="2" t="s">
        <v>7440</v>
      </c>
      <c r="K867" s="2" t="s">
        <v>5549</v>
      </c>
      <c r="L867" s="5" t="n">
        <v>300</v>
      </c>
    </row>
    <row r="868" customFormat="false" ht="46.25" hidden="false" customHeight="false" outlineLevel="0" collapsed="false">
      <c r="A868" s="5" t="s">
        <v>5559</v>
      </c>
      <c r="B868" s="2" t="s">
        <v>5560</v>
      </c>
      <c r="C868" s="5" t="s">
        <v>2128</v>
      </c>
      <c r="D868" s="5" t="s">
        <v>4997</v>
      </c>
      <c r="E868" s="2" t="s">
        <v>2722</v>
      </c>
      <c r="F868" s="2"/>
      <c r="G868" s="2" t="s">
        <v>5561</v>
      </c>
      <c r="H868" s="2" t="s">
        <v>2725</v>
      </c>
      <c r="I868" s="5" t="s">
        <v>74</v>
      </c>
      <c r="J868" s="2" t="s">
        <v>7441</v>
      </c>
      <c r="K868" s="2" t="s">
        <v>4997</v>
      </c>
      <c r="L868" s="5" t="n">
        <v>300</v>
      </c>
    </row>
    <row r="869" customFormat="false" ht="91" hidden="false" customHeight="false" outlineLevel="0" collapsed="false">
      <c r="A869" s="5" t="s">
        <v>5564</v>
      </c>
      <c r="B869" s="2" t="s">
        <v>5565</v>
      </c>
      <c r="C869" s="5" t="s">
        <v>2128</v>
      </c>
      <c r="D869" s="5" t="s">
        <v>4997</v>
      </c>
      <c r="E869" s="2" t="s">
        <v>5566</v>
      </c>
      <c r="F869" s="2"/>
      <c r="G869" s="2" t="s">
        <v>5567</v>
      </c>
      <c r="H869" s="2" t="s">
        <v>2733</v>
      </c>
      <c r="I869" s="5" t="s">
        <v>74</v>
      </c>
      <c r="J869" s="2" t="s">
        <v>7442</v>
      </c>
      <c r="K869" s="2" t="s">
        <v>4997</v>
      </c>
      <c r="L869" s="5" t="n">
        <v>300</v>
      </c>
    </row>
    <row r="870" customFormat="false" ht="57.45" hidden="false" customHeight="false" outlineLevel="0" collapsed="false">
      <c r="A870" s="5" t="s">
        <v>5571</v>
      </c>
      <c r="B870" s="2" t="s">
        <v>5572</v>
      </c>
      <c r="C870" s="5" t="s">
        <v>2128</v>
      </c>
      <c r="D870" s="5" t="s">
        <v>4997</v>
      </c>
      <c r="E870" s="2" t="s">
        <v>5041</v>
      </c>
      <c r="F870" s="2"/>
      <c r="G870" s="2" t="s">
        <v>5573</v>
      </c>
      <c r="H870" s="2" t="s">
        <v>2725</v>
      </c>
      <c r="I870" s="5" t="s">
        <v>74</v>
      </c>
      <c r="J870" s="2" t="s">
        <v>7443</v>
      </c>
      <c r="K870" s="2" t="s">
        <v>4997</v>
      </c>
      <c r="L870" s="5" t="n">
        <v>300</v>
      </c>
    </row>
    <row r="871" customFormat="false" ht="91" hidden="false" customHeight="false" outlineLevel="0" collapsed="false">
      <c r="A871" s="5" t="s">
        <v>5576</v>
      </c>
      <c r="B871" s="2" t="s">
        <v>5577</v>
      </c>
      <c r="C871" s="5" t="s">
        <v>2128</v>
      </c>
      <c r="D871" s="5" t="s">
        <v>4997</v>
      </c>
      <c r="E871" s="2" t="s">
        <v>5578</v>
      </c>
      <c r="F871" s="2"/>
      <c r="G871" s="2" t="s">
        <v>5579</v>
      </c>
      <c r="H871" s="2" t="s">
        <v>2733</v>
      </c>
      <c r="I871" s="5" t="s">
        <v>74</v>
      </c>
      <c r="J871" s="2" t="s">
        <v>7444</v>
      </c>
      <c r="K871" s="2" t="s">
        <v>4997</v>
      </c>
      <c r="L871" s="5" t="n">
        <v>300</v>
      </c>
    </row>
    <row r="872" customFormat="false" ht="23.85" hidden="false" customHeight="false" outlineLevel="0" collapsed="false">
      <c r="A872" s="5" t="s">
        <v>5583</v>
      </c>
      <c r="B872" s="2" t="s">
        <v>5584</v>
      </c>
      <c r="C872" s="5" t="s">
        <v>2128</v>
      </c>
      <c r="D872" s="5" t="s">
        <v>4997</v>
      </c>
      <c r="E872" s="2" t="s">
        <v>4932</v>
      </c>
      <c r="F872" s="2"/>
      <c r="G872" s="2" t="s">
        <v>5585</v>
      </c>
      <c r="H872" s="2" t="s">
        <v>2725</v>
      </c>
      <c r="I872" s="5" t="s">
        <v>74</v>
      </c>
      <c r="J872" s="2" t="s">
        <v>7445</v>
      </c>
      <c r="K872" s="2" t="s">
        <v>4997</v>
      </c>
      <c r="L872" s="5" t="n">
        <v>300</v>
      </c>
    </row>
    <row r="873" customFormat="false" ht="68.65" hidden="false" customHeight="false" outlineLevel="0" collapsed="false">
      <c r="A873" s="5" t="s">
        <v>5588</v>
      </c>
      <c r="B873" s="2" t="s">
        <v>5589</v>
      </c>
      <c r="C873" s="5" t="s">
        <v>2128</v>
      </c>
      <c r="D873" s="5" t="s">
        <v>4997</v>
      </c>
      <c r="E873" s="2" t="s">
        <v>5590</v>
      </c>
      <c r="F873" s="2"/>
      <c r="G873" s="2" t="s">
        <v>5023</v>
      </c>
      <c r="H873" s="2" t="s">
        <v>2733</v>
      </c>
      <c r="I873" s="5" t="s">
        <v>74</v>
      </c>
      <c r="J873" s="2" t="s">
        <v>7446</v>
      </c>
      <c r="K873" s="2" t="s">
        <v>4997</v>
      </c>
      <c r="L873" s="5" t="n">
        <v>300</v>
      </c>
    </row>
    <row r="874" customFormat="false" ht="23.85" hidden="false" customHeight="false" outlineLevel="0" collapsed="false">
      <c r="A874" s="5" t="s">
        <v>5594</v>
      </c>
      <c r="B874" s="2" t="s">
        <v>5595</v>
      </c>
      <c r="C874" s="5" t="s">
        <v>2128</v>
      </c>
      <c r="D874" s="5" t="s">
        <v>4997</v>
      </c>
      <c r="E874" s="2" t="s">
        <v>4932</v>
      </c>
      <c r="F874" s="2"/>
      <c r="G874" s="2" t="s">
        <v>5596</v>
      </c>
      <c r="H874" s="2" t="s">
        <v>2725</v>
      </c>
      <c r="I874" s="5" t="s">
        <v>74</v>
      </c>
      <c r="J874" s="2" t="s">
        <v>7447</v>
      </c>
      <c r="K874" s="2" t="s">
        <v>4997</v>
      </c>
      <c r="L874" s="5" t="n">
        <v>300</v>
      </c>
    </row>
    <row r="875" customFormat="false" ht="68.65" hidden="false" customHeight="false" outlineLevel="0" collapsed="false">
      <c r="A875" s="5" t="s">
        <v>5599</v>
      </c>
      <c r="B875" s="2" t="s">
        <v>5600</v>
      </c>
      <c r="C875" s="5" t="s">
        <v>2128</v>
      </c>
      <c r="D875" s="5" t="s">
        <v>4997</v>
      </c>
      <c r="E875" s="2" t="s">
        <v>5601</v>
      </c>
      <c r="F875" s="2"/>
      <c r="G875" s="2" t="s">
        <v>5602</v>
      </c>
      <c r="H875" s="2" t="s">
        <v>2733</v>
      </c>
      <c r="I875" s="5" t="s">
        <v>74</v>
      </c>
      <c r="J875" s="2" t="s">
        <v>7448</v>
      </c>
      <c r="K875" s="2" t="s">
        <v>4997</v>
      </c>
      <c r="L875" s="5" t="n">
        <v>300</v>
      </c>
    </row>
    <row r="876" customFormat="false" ht="23.85" hidden="false" customHeight="false" outlineLevel="0" collapsed="false">
      <c r="A876" s="5" t="s">
        <v>5606</v>
      </c>
      <c r="B876" s="2" t="s">
        <v>5607</v>
      </c>
      <c r="C876" s="5" t="s">
        <v>2128</v>
      </c>
      <c r="D876" s="5" t="s">
        <v>4997</v>
      </c>
      <c r="E876" s="2" t="s">
        <v>4932</v>
      </c>
      <c r="F876" s="2"/>
      <c r="G876" s="2" t="s">
        <v>5608</v>
      </c>
      <c r="H876" s="2" t="s">
        <v>2725</v>
      </c>
      <c r="I876" s="5" t="s">
        <v>4754</v>
      </c>
      <c r="J876" s="2" t="s">
        <v>7449</v>
      </c>
      <c r="K876" s="2" t="s">
        <v>4997</v>
      </c>
      <c r="L876" s="5" t="n">
        <v>300</v>
      </c>
    </row>
    <row r="877" customFormat="false" ht="68.65" hidden="false" customHeight="false" outlineLevel="0" collapsed="false">
      <c r="A877" s="5" t="s">
        <v>5611</v>
      </c>
      <c r="B877" s="2" t="s">
        <v>5612</v>
      </c>
      <c r="C877" s="5" t="s">
        <v>2128</v>
      </c>
      <c r="D877" s="5" t="s">
        <v>4997</v>
      </c>
      <c r="E877" s="2" t="s">
        <v>7450</v>
      </c>
      <c r="F877" s="2"/>
      <c r="G877" s="2" t="s">
        <v>5023</v>
      </c>
      <c r="H877" s="2" t="s">
        <v>2733</v>
      </c>
      <c r="I877" s="5" t="s">
        <v>4754</v>
      </c>
      <c r="J877" s="2" t="s">
        <v>7451</v>
      </c>
      <c r="K877" s="2" t="s">
        <v>4997</v>
      </c>
      <c r="L877" s="5" t="n">
        <v>300</v>
      </c>
    </row>
    <row r="878" customFormat="false" ht="91" hidden="false" customHeight="false" outlineLevel="0" collapsed="false">
      <c r="A878" s="5" t="s">
        <v>5617</v>
      </c>
      <c r="B878" s="2" t="s">
        <v>5618</v>
      </c>
      <c r="C878" s="5" t="s">
        <v>2128</v>
      </c>
      <c r="D878" s="5" t="s">
        <v>4997</v>
      </c>
      <c r="E878" s="2" t="s">
        <v>7452</v>
      </c>
      <c r="F878" s="2"/>
      <c r="G878" s="2" t="s">
        <v>5011</v>
      </c>
      <c r="H878" s="2" t="s">
        <v>2733</v>
      </c>
      <c r="I878" s="5" t="s">
        <v>74</v>
      </c>
      <c r="J878" s="2" t="s">
        <v>7453</v>
      </c>
      <c r="K878" s="2" t="s">
        <v>4997</v>
      </c>
      <c r="L878" s="5" t="n">
        <v>300</v>
      </c>
    </row>
    <row r="879" customFormat="false" ht="68.65" hidden="false" customHeight="false" outlineLevel="0" collapsed="false">
      <c r="A879" s="5" t="s">
        <v>5623</v>
      </c>
      <c r="B879" s="2" t="s">
        <v>5624</v>
      </c>
      <c r="C879" s="5" t="s">
        <v>2128</v>
      </c>
      <c r="D879" s="5" t="s">
        <v>4997</v>
      </c>
      <c r="E879" s="2" t="s">
        <v>5625</v>
      </c>
      <c r="F879" s="2"/>
      <c r="G879" s="2" t="s">
        <v>5023</v>
      </c>
      <c r="H879" s="2" t="s">
        <v>2733</v>
      </c>
      <c r="I879" s="5" t="s">
        <v>74</v>
      </c>
      <c r="J879" s="2" t="s">
        <v>7454</v>
      </c>
      <c r="K879" s="2" t="s">
        <v>4997</v>
      </c>
      <c r="L879" s="5" t="n">
        <v>300</v>
      </c>
    </row>
    <row r="880" customFormat="false" ht="68.65" hidden="false" customHeight="false" outlineLevel="0" collapsed="false">
      <c r="A880" s="5" t="s">
        <v>5629</v>
      </c>
      <c r="B880" s="2" t="s">
        <v>5630</v>
      </c>
      <c r="C880" s="5" t="s">
        <v>2128</v>
      </c>
      <c r="D880" s="5" t="s">
        <v>4997</v>
      </c>
      <c r="E880" s="2" t="s">
        <v>5631</v>
      </c>
      <c r="F880" s="2"/>
      <c r="G880" s="2" t="s">
        <v>5632</v>
      </c>
      <c r="H880" s="2" t="s">
        <v>5207</v>
      </c>
      <c r="I880" s="5" t="s">
        <v>74</v>
      </c>
      <c r="J880" s="2" t="s">
        <v>7455</v>
      </c>
      <c r="K880" s="2" t="s">
        <v>4997</v>
      </c>
      <c r="L880" s="5" t="n">
        <v>300</v>
      </c>
    </row>
    <row r="881" customFormat="false" ht="68.65" hidden="false" customHeight="false" outlineLevel="0" collapsed="false">
      <c r="A881" s="5" t="s">
        <v>5636</v>
      </c>
      <c r="B881" s="2" t="s">
        <v>5637</v>
      </c>
      <c r="C881" s="5" t="s">
        <v>2128</v>
      </c>
      <c r="D881" s="5" t="s">
        <v>4997</v>
      </c>
      <c r="E881" s="2" t="s">
        <v>5638</v>
      </c>
      <c r="F881" s="2"/>
      <c r="G881" s="2" t="s">
        <v>5011</v>
      </c>
      <c r="H881" s="2" t="s">
        <v>2733</v>
      </c>
      <c r="I881" s="5" t="s">
        <v>74</v>
      </c>
      <c r="J881" s="2" t="s">
        <v>7456</v>
      </c>
      <c r="K881" s="2" t="s">
        <v>4997</v>
      </c>
      <c r="L881" s="5" t="n">
        <v>300</v>
      </c>
    </row>
    <row r="882" customFormat="false" ht="68.65" hidden="false" customHeight="false" outlineLevel="0" collapsed="false">
      <c r="A882" s="5" t="s">
        <v>5642</v>
      </c>
      <c r="B882" s="2" t="s">
        <v>5643</v>
      </c>
      <c r="C882" s="5" t="s">
        <v>2128</v>
      </c>
      <c r="D882" s="5" t="s">
        <v>4997</v>
      </c>
      <c r="E882" s="2" t="s">
        <v>7457</v>
      </c>
      <c r="F882" s="2"/>
      <c r="G882" s="2" t="s">
        <v>5023</v>
      </c>
      <c r="H882" s="2" t="s">
        <v>2733</v>
      </c>
      <c r="I882" s="5" t="s">
        <v>74</v>
      </c>
      <c r="J882" s="2" t="s">
        <v>7458</v>
      </c>
      <c r="K882" s="2" t="s">
        <v>4997</v>
      </c>
      <c r="L882" s="5" t="n">
        <v>300</v>
      </c>
    </row>
    <row r="883" customFormat="false" ht="68.65" hidden="false" customHeight="false" outlineLevel="0" collapsed="false">
      <c r="A883" s="5" t="s">
        <v>5648</v>
      </c>
      <c r="B883" s="2" t="s">
        <v>5649</v>
      </c>
      <c r="C883" s="5" t="s">
        <v>2128</v>
      </c>
      <c r="D883" s="5" t="s">
        <v>4997</v>
      </c>
      <c r="E883" s="2" t="s">
        <v>7459</v>
      </c>
      <c r="F883" s="2"/>
      <c r="G883" s="2" t="s">
        <v>5023</v>
      </c>
      <c r="H883" s="2" t="s">
        <v>2733</v>
      </c>
      <c r="I883" s="5" t="s">
        <v>4754</v>
      </c>
      <c r="J883" s="2" t="s">
        <v>7460</v>
      </c>
      <c r="K883" s="2" t="s">
        <v>4997</v>
      </c>
      <c r="L883" s="5" t="n">
        <v>300</v>
      </c>
    </row>
    <row r="884" customFormat="false" ht="68.65" hidden="false" customHeight="false" outlineLevel="0" collapsed="false">
      <c r="A884" s="5" t="s">
        <v>5654</v>
      </c>
      <c r="B884" s="2" t="s">
        <v>5655</v>
      </c>
      <c r="C884" s="5" t="s">
        <v>2245</v>
      </c>
      <c r="D884" s="5" t="s">
        <v>4997</v>
      </c>
      <c r="E884" s="2" t="s">
        <v>5656</v>
      </c>
      <c r="F884" s="2"/>
      <c r="G884" s="2" t="s">
        <v>5023</v>
      </c>
      <c r="H884" s="2" t="s">
        <v>5207</v>
      </c>
      <c r="I884" s="5" t="s">
        <v>74</v>
      </c>
      <c r="J884" s="2" t="s">
        <v>7461</v>
      </c>
      <c r="K884" s="2" t="s">
        <v>4997</v>
      </c>
      <c r="L884" s="5" t="n">
        <v>300</v>
      </c>
    </row>
    <row r="885" customFormat="false" ht="23.85" hidden="false" customHeight="false" outlineLevel="0" collapsed="false">
      <c r="A885" s="5" t="s">
        <v>5660</v>
      </c>
      <c r="B885" s="2" t="s">
        <v>5661</v>
      </c>
      <c r="C885" s="5" t="s">
        <v>2128</v>
      </c>
      <c r="D885" s="5" t="s">
        <v>4997</v>
      </c>
      <c r="E885" s="2" t="s">
        <v>2722</v>
      </c>
      <c r="F885" s="2"/>
      <c r="G885" s="2" t="s">
        <v>5662</v>
      </c>
      <c r="H885" s="2" t="s">
        <v>2725</v>
      </c>
      <c r="I885" s="5" t="s">
        <v>74</v>
      </c>
      <c r="J885" s="2" t="s">
        <v>7462</v>
      </c>
      <c r="K885" s="2" t="s">
        <v>4997</v>
      </c>
      <c r="L885" s="5" t="n">
        <v>300</v>
      </c>
    </row>
    <row r="886" customFormat="false" ht="68.65" hidden="false" customHeight="false" outlineLevel="0" collapsed="false">
      <c r="A886" s="5" t="s">
        <v>5665</v>
      </c>
      <c r="B886" s="2" t="s">
        <v>5666</v>
      </c>
      <c r="C886" s="5" t="s">
        <v>2128</v>
      </c>
      <c r="D886" s="5" t="s">
        <v>4997</v>
      </c>
      <c r="E886" s="2" t="s">
        <v>5667</v>
      </c>
      <c r="F886" s="2"/>
      <c r="G886" s="2" t="s">
        <v>5668</v>
      </c>
      <c r="H886" s="2" t="s">
        <v>2733</v>
      </c>
      <c r="I886" s="5" t="s">
        <v>74</v>
      </c>
      <c r="J886" s="2" t="s">
        <v>7463</v>
      </c>
      <c r="K886" s="2" t="s">
        <v>4997</v>
      </c>
      <c r="L886" s="5" t="n">
        <v>300</v>
      </c>
    </row>
    <row r="887" customFormat="false" ht="35.05" hidden="false" customHeight="false" outlineLevel="0" collapsed="false">
      <c r="A887" s="5" t="s">
        <v>5672</v>
      </c>
      <c r="B887" s="2" t="s">
        <v>5673</v>
      </c>
      <c r="C887" s="5" t="s">
        <v>2128</v>
      </c>
      <c r="D887" s="5" t="s">
        <v>4997</v>
      </c>
      <c r="E887" s="2" t="s">
        <v>5041</v>
      </c>
      <c r="F887" s="2"/>
      <c r="G887" s="2" t="s">
        <v>5674</v>
      </c>
      <c r="H887" s="2" t="s">
        <v>2725</v>
      </c>
      <c r="I887" s="5" t="s">
        <v>74</v>
      </c>
      <c r="J887" s="2" t="s">
        <v>7464</v>
      </c>
      <c r="K887" s="2" t="s">
        <v>4997</v>
      </c>
      <c r="L887" s="5" t="n">
        <v>300</v>
      </c>
    </row>
    <row r="888" customFormat="false" ht="68.65" hidden="false" customHeight="false" outlineLevel="0" collapsed="false">
      <c r="A888" s="5" t="s">
        <v>5677</v>
      </c>
      <c r="B888" s="2" t="s">
        <v>5678</v>
      </c>
      <c r="C888" s="5" t="s">
        <v>2128</v>
      </c>
      <c r="D888" s="5" t="s">
        <v>4997</v>
      </c>
      <c r="E888" s="2" t="s">
        <v>5679</v>
      </c>
      <c r="F888" s="2"/>
      <c r="G888" s="2" t="s">
        <v>5680</v>
      </c>
      <c r="H888" s="2" t="s">
        <v>2733</v>
      </c>
      <c r="I888" s="5" t="s">
        <v>74</v>
      </c>
      <c r="J888" s="2" t="s">
        <v>7465</v>
      </c>
      <c r="K888" s="2" t="s">
        <v>4997</v>
      </c>
      <c r="L888" s="5" t="n">
        <v>300</v>
      </c>
    </row>
    <row r="889" customFormat="false" ht="68.65" hidden="false" customHeight="false" outlineLevel="0" collapsed="false">
      <c r="A889" s="5" t="s">
        <v>5684</v>
      </c>
      <c r="B889" s="2" t="s">
        <v>5685</v>
      </c>
      <c r="C889" s="5" t="s">
        <v>2128</v>
      </c>
      <c r="D889" s="5" t="s">
        <v>4997</v>
      </c>
      <c r="E889" s="2" t="s">
        <v>5686</v>
      </c>
      <c r="F889" s="2"/>
      <c r="G889" s="2" t="s">
        <v>5687</v>
      </c>
      <c r="H889" s="2" t="s">
        <v>2733</v>
      </c>
      <c r="I889" s="5" t="s">
        <v>74</v>
      </c>
      <c r="J889" s="2" t="s">
        <v>7466</v>
      </c>
      <c r="K889" s="2" t="s">
        <v>4997</v>
      </c>
      <c r="L889" s="5" t="n">
        <v>300</v>
      </c>
    </row>
    <row r="890" customFormat="false" ht="68.65" hidden="false" customHeight="false" outlineLevel="0" collapsed="false">
      <c r="A890" s="5" t="s">
        <v>5691</v>
      </c>
      <c r="B890" s="2" t="s">
        <v>5692</v>
      </c>
      <c r="C890" s="5" t="s">
        <v>2128</v>
      </c>
      <c r="D890" s="5" t="s">
        <v>4997</v>
      </c>
      <c r="E890" s="2" t="s">
        <v>5693</v>
      </c>
      <c r="F890" s="2"/>
      <c r="G890" s="2" t="s">
        <v>5023</v>
      </c>
      <c r="H890" s="2" t="s">
        <v>2733</v>
      </c>
      <c r="I890" s="5" t="s">
        <v>4754</v>
      </c>
      <c r="J890" s="2" t="s">
        <v>7467</v>
      </c>
      <c r="K890" s="2" t="s">
        <v>4997</v>
      </c>
      <c r="L890" s="5" t="n">
        <v>300</v>
      </c>
    </row>
    <row r="891" customFormat="false" ht="23.85" hidden="false" customHeight="false" outlineLevel="0" collapsed="false">
      <c r="A891" s="5" t="s">
        <v>5697</v>
      </c>
      <c r="B891" s="2" t="s">
        <v>5698</v>
      </c>
      <c r="C891" s="5" t="s">
        <v>2128</v>
      </c>
      <c r="D891" s="5" t="s">
        <v>4997</v>
      </c>
      <c r="E891" s="2" t="s">
        <v>4932</v>
      </c>
      <c r="F891" s="2"/>
      <c r="G891" s="2" t="s">
        <v>5699</v>
      </c>
      <c r="H891" s="2" t="s">
        <v>2725</v>
      </c>
      <c r="I891" s="5" t="s">
        <v>74</v>
      </c>
      <c r="J891" s="2" t="s">
        <v>7468</v>
      </c>
      <c r="K891" s="2" t="s">
        <v>4997</v>
      </c>
      <c r="L891" s="5" t="n">
        <v>300</v>
      </c>
    </row>
    <row r="892" customFormat="false" ht="79.85" hidden="false" customHeight="false" outlineLevel="0" collapsed="false">
      <c r="A892" s="5" t="s">
        <v>5702</v>
      </c>
      <c r="B892" s="2" t="s">
        <v>5703</v>
      </c>
      <c r="C892" s="5" t="s">
        <v>2128</v>
      </c>
      <c r="D892" s="5" t="s">
        <v>4997</v>
      </c>
      <c r="E892" s="2" t="s">
        <v>7469</v>
      </c>
      <c r="F892" s="2"/>
      <c r="G892" s="2" t="s">
        <v>5705</v>
      </c>
      <c r="H892" s="2" t="s">
        <v>2733</v>
      </c>
      <c r="I892" s="5" t="s">
        <v>74</v>
      </c>
      <c r="J892" s="2" t="s">
        <v>7470</v>
      </c>
      <c r="K892" s="2" t="s">
        <v>4997</v>
      </c>
      <c r="L892" s="5" t="n">
        <v>300</v>
      </c>
    </row>
    <row r="893" customFormat="false" ht="35.05" hidden="false" customHeight="false" outlineLevel="0" collapsed="false">
      <c r="A893" s="5" t="s">
        <v>5709</v>
      </c>
      <c r="B893" s="2" t="s">
        <v>5710</v>
      </c>
      <c r="C893" s="5" t="s">
        <v>2128</v>
      </c>
      <c r="D893" s="5" t="s">
        <v>4997</v>
      </c>
      <c r="E893" s="2" t="s">
        <v>5041</v>
      </c>
      <c r="F893" s="2"/>
      <c r="G893" s="2" t="s">
        <v>5711</v>
      </c>
      <c r="H893" s="2" t="s">
        <v>2725</v>
      </c>
      <c r="I893" s="5" t="s">
        <v>74</v>
      </c>
      <c r="J893" s="2" t="s">
        <v>7471</v>
      </c>
      <c r="K893" s="2" t="s">
        <v>4997</v>
      </c>
      <c r="L893" s="5" t="n">
        <v>300</v>
      </c>
    </row>
    <row r="894" customFormat="false" ht="68.65" hidden="false" customHeight="false" outlineLevel="0" collapsed="false">
      <c r="A894" s="5" t="s">
        <v>5714</v>
      </c>
      <c r="B894" s="2" t="s">
        <v>5715</v>
      </c>
      <c r="C894" s="5" t="s">
        <v>2128</v>
      </c>
      <c r="D894" s="5" t="s">
        <v>4997</v>
      </c>
      <c r="E894" s="2" t="s">
        <v>5716</v>
      </c>
      <c r="F894" s="2"/>
      <c r="G894" s="2" t="s">
        <v>5717</v>
      </c>
      <c r="H894" s="2" t="s">
        <v>2733</v>
      </c>
      <c r="I894" s="5" t="s">
        <v>74</v>
      </c>
      <c r="J894" s="2" t="s">
        <v>7472</v>
      </c>
      <c r="K894" s="2" t="s">
        <v>4997</v>
      </c>
      <c r="L894" s="5" t="n">
        <v>300</v>
      </c>
    </row>
    <row r="895" customFormat="false" ht="68.65" hidden="false" customHeight="false" outlineLevel="0" collapsed="false">
      <c r="A895" s="5" t="s">
        <v>5721</v>
      </c>
      <c r="B895" s="2" t="s">
        <v>5722</v>
      </c>
      <c r="C895" s="5" t="s">
        <v>2128</v>
      </c>
      <c r="D895" s="5" t="s">
        <v>4997</v>
      </c>
      <c r="E895" s="2" t="s">
        <v>7473</v>
      </c>
      <c r="F895" s="2"/>
      <c r="G895" s="2" t="s">
        <v>5023</v>
      </c>
      <c r="H895" s="2" t="s">
        <v>2733</v>
      </c>
      <c r="I895" s="5" t="s">
        <v>74</v>
      </c>
      <c r="J895" s="2" t="s">
        <v>7474</v>
      </c>
      <c r="K895" s="2" t="s">
        <v>4997</v>
      </c>
      <c r="L895" s="5" t="n">
        <v>300</v>
      </c>
    </row>
    <row r="896" customFormat="false" ht="393.25" hidden="false" customHeight="false" outlineLevel="0" collapsed="false">
      <c r="A896" s="5" t="s">
        <v>5727</v>
      </c>
      <c r="B896" s="2" t="s">
        <v>5728</v>
      </c>
      <c r="C896" s="5" t="s">
        <v>2245</v>
      </c>
      <c r="D896" s="5" t="s">
        <v>4997</v>
      </c>
      <c r="E896" s="2" t="s">
        <v>5314</v>
      </c>
      <c r="F896" s="2"/>
      <c r="G896" s="2" t="s">
        <v>5729</v>
      </c>
      <c r="H896" s="2" t="s">
        <v>5730</v>
      </c>
      <c r="I896" s="5" t="s">
        <v>74</v>
      </c>
      <c r="J896" s="2" t="s">
        <v>7475</v>
      </c>
      <c r="K896" s="2" t="s">
        <v>4997</v>
      </c>
      <c r="L896" s="5" t="n">
        <v>300</v>
      </c>
    </row>
    <row r="897" customFormat="false" ht="68.65" hidden="false" customHeight="false" outlineLevel="0" collapsed="false">
      <c r="A897" s="5" t="s">
        <v>5733</v>
      </c>
      <c r="B897" s="2" t="s">
        <v>5734</v>
      </c>
      <c r="C897" s="5" t="s">
        <v>2128</v>
      </c>
      <c r="D897" s="5" t="s">
        <v>4997</v>
      </c>
      <c r="E897" s="2" t="s">
        <v>5735</v>
      </c>
      <c r="F897" s="2"/>
      <c r="G897" s="2" t="s">
        <v>5023</v>
      </c>
      <c r="H897" s="2" t="s">
        <v>5207</v>
      </c>
      <c r="I897" s="5" t="s">
        <v>74</v>
      </c>
      <c r="J897" s="2" t="s">
        <v>7476</v>
      </c>
      <c r="K897" s="2" t="s">
        <v>4997</v>
      </c>
      <c r="L897" s="5" t="n">
        <v>300</v>
      </c>
    </row>
    <row r="898" customFormat="false" ht="23.85" hidden="false" customHeight="false" outlineLevel="0" collapsed="false">
      <c r="A898" s="5" t="s">
        <v>5739</v>
      </c>
      <c r="B898" s="2" t="s">
        <v>5740</v>
      </c>
      <c r="C898" s="5" t="s">
        <v>2128</v>
      </c>
      <c r="D898" s="5" t="s">
        <v>4997</v>
      </c>
      <c r="E898" s="2" t="s">
        <v>2722</v>
      </c>
      <c r="F898" s="2"/>
      <c r="G898" s="2" t="s">
        <v>5741</v>
      </c>
      <c r="H898" s="2" t="s">
        <v>2725</v>
      </c>
      <c r="I898" s="5" t="s">
        <v>74</v>
      </c>
      <c r="J898" s="2" t="s">
        <v>7477</v>
      </c>
      <c r="K898" s="2" t="s">
        <v>4997</v>
      </c>
      <c r="L898" s="5" t="n">
        <v>300</v>
      </c>
    </row>
    <row r="899" customFormat="false" ht="79.85" hidden="false" customHeight="false" outlineLevel="0" collapsed="false">
      <c r="A899" s="5" t="s">
        <v>5744</v>
      </c>
      <c r="B899" s="2" t="s">
        <v>5745</v>
      </c>
      <c r="C899" s="5" t="s">
        <v>2128</v>
      </c>
      <c r="D899" s="5" t="s">
        <v>4997</v>
      </c>
      <c r="E899" s="2" t="s">
        <v>7478</v>
      </c>
      <c r="F899" s="2"/>
      <c r="G899" s="2" t="s">
        <v>5747</v>
      </c>
      <c r="H899" s="2" t="s">
        <v>2733</v>
      </c>
      <c r="I899" s="5" t="s">
        <v>74</v>
      </c>
      <c r="J899" s="2" t="s">
        <v>7479</v>
      </c>
      <c r="K899" s="2" t="s">
        <v>4997</v>
      </c>
      <c r="L899" s="5" t="n">
        <v>300</v>
      </c>
    </row>
    <row r="900" customFormat="false" ht="15" hidden="false" customHeight="false" outlineLevel="0" collapsed="false">
      <c r="A900" s="5" t="s">
        <v>5751</v>
      </c>
      <c r="B900" s="2" t="s">
        <v>5752</v>
      </c>
      <c r="C900" s="5" t="s">
        <v>2128</v>
      </c>
      <c r="D900" s="5" t="s">
        <v>4997</v>
      </c>
      <c r="E900" s="2" t="s">
        <v>4932</v>
      </c>
      <c r="F900" s="2"/>
      <c r="G900" s="2" t="s">
        <v>5753</v>
      </c>
      <c r="H900" s="2" t="s">
        <v>2725</v>
      </c>
      <c r="I900" s="5" t="s">
        <v>74</v>
      </c>
      <c r="J900" s="2" t="s">
        <v>7480</v>
      </c>
      <c r="K900" s="2" t="s">
        <v>4997</v>
      </c>
      <c r="L900" s="5" t="n">
        <v>300</v>
      </c>
    </row>
    <row r="901" customFormat="false" ht="68.65" hidden="false" customHeight="false" outlineLevel="0" collapsed="false">
      <c r="A901" s="5" t="s">
        <v>5756</v>
      </c>
      <c r="B901" s="2" t="s">
        <v>5757</v>
      </c>
      <c r="C901" s="5" t="s">
        <v>2128</v>
      </c>
      <c r="D901" s="5" t="s">
        <v>4997</v>
      </c>
      <c r="E901" s="2" t="s">
        <v>5758</v>
      </c>
      <c r="F901" s="2"/>
      <c r="G901" s="2" t="s">
        <v>5759</v>
      </c>
      <c r="H901" s="2" t="s">
        <v>2733</v>
      </c>
      <c r="I901" s="5" t="s">
        <v>74</v>
      </c>
      <c r="J901" s="2" t="s">
        <v>7481</v>
      </c>
      <c r="K901" s="2" t="s">
        <v>4997</v>
      </c>
      <c r="L901" s="5" t="n">
        <v>300</v>
      </c>
    </row>
    <row r="902" customFormat="false" ht="23.85" hidden="false" customHeight="false" outlineLevel="0" collapsed="false">
      <c r="A902" s="5" t="s">
        <v>5763</v>
      </c>
      <c r="B902" s="2" t="s">
        <v>5764</v>
      </c>
      <c r="C902" s="5" t="s">
        <v>2128</v>
      </c>
      <c r="D902" s="5" t="s">
        <v>4997</v>
      </c>
      <c r="E902" s="2" t="s">
        <v>2722</v>
      </c>
      <c r="F902" s="2"/>
      <c r="G902" s="2" t="s">
        <v>5765</v>
      </c>
      <c r="H902" s="2" t="s">
        <v>2725</v>
      </c>
      <c r="I902" s="5" t="s">
        <v>74</v>
      </c>
      <c r="J902" s="2" t="s">
        <v>7482</v>
      </c>
      <c r="K902" s="2" t="s">
        <v>4997</v>
      </c>
      <c r="L902" s="5" t="n">
        <v>300</v>
      </c>
    </row>
    <row r="903" customFormat="false" ht="124.6" hidden="false" customHeight="false" outlineLevel="0" collapsed="false">
      <c r="A903" s="5" t="s">
        <v>5768</v>
      </c>
      <c r="B903" s="2" t="s">
        <v>5769</v>
      </c>
      <c r="C903" s="5" t="s">
        <v>2128</v>
      </c>
      <c r="D903" s="5" t="s">
        <v>4997</v>
      </c>
      <c r="E903" s="2" t="s">
        <v>7483</v>
      </c>
      <c r="F903" s="2"/>
      <c r="G903" s="2" t="s">
        <v>5771</v>
      </c>
      <c r="H903" s="2" t="s">
        <v>2733</v>
      </c>
      <c r="I903" s="5" t="s">
        <v>74</v>
      </c>
      <c r="J903" s="2" t="s">
        <v>7484</v>
      </c>
      <c r="K903" s="2" t="s">
        <v>4997</v>
      </c>
      <c r="L903" s="5" t="n">
        <v>300</v>
      </c>
    </row>
    <row r="904" customFormat="false" ht="68.65" hidden="false" customHeight="false" outlineLevel="0" collapsed="false">
      <c r="A904" s="5" t="s">
        <v>5775</v>
      </c>
      <c r="B904" s="2" t="s">
        <v>5776</v>
      </c>
      <c r="C904" s="5" t="s">
        <v>2128</v>
      </c>
      <c r="D904" s="5" t="s">
        <v>4997</v>
      </c>
      <c r="E904" s="2" t="s">
        <v>5777</v>
      </c>
      <c r="F904" s="2"/>
      <c r="G904" s="2" t="s">
        <v>5778</v>
      </c>
      <c r="H904" s="2" t="s">
        <v>2733</v>
      </c>
      <c r="I904" s="5" t="s">
        <v>74</v>
      </c>
      <c r="J904" s="2" t="s">
        <v>7485</v>
      </c>
      <c r="K904" s="2" t="s">
        <v>4997</v>
      </c>
      <c r="L904" s="5" t="n">
        <v>300</v>
      </c>
    </row>
    <row r="905" customFormat="false" ht="68.65" hidden="false" customHeight="false" outlineLevel="0" collapsed="false">
      <c r="A905" s="5" t="s">
        <v>5782</v>
      </c>
      <c r="B905" s="2" t="s">
        <v>5783</v>
      </c>
      <c r="C905" s="5" t="s">
        <v>2128</v>
      </c>
      <c r="D905" s="5" t="s">
        <v>4997</v>
      </c>
      <c r="E905" s="2" t="s">
        <v>5784</v>
      </c>
      <c r="F905" s="2"/>
      <c r="G905" s="2" t="s">
        <v>5023</v>
      </c>
      <c r="H905" s="2" t="s">
        <v>2733</v>
      </c>
      <c r="I905" s="5" t="s">
        <v>74</v>
      </c>
      <c r="J905" s="2" t="s">
        <v>7486</v>
      </c>
      <c r="K905" s="2" t="s">
        <v>4997</v>
      </c>
      <c r="L905" s="5" t="n">
        <v>300</v>
      </c>
    </row>
    <row r="906" customFormat="false" ht="91" hidden="false" customHeight="false" outlineLevel="0" collapsed="false">
      <c r="A906" s="5" t="s">
        <v>5788</v>
      </c>
      <c r="B906" s="2" t="s">
        <v>5789</v>
      </c>
      <c r="C906" s="5" t="s">
        <v>2128</v>
      </c>
      <c r="D906" s="5" t="s">
        <v>4997</v>
      </c>
      <c r="E906" s="2" t="s">
        <v>7487</v>
      </c>
      <c r="F906" s="2"/>
      <c r="G906" s="2" t="s">
        <v>5791</v>
      </c>
      <c r="H906" s="2" t="s">
        <v>2733</v>
      </c>
      <c r="I906" s="5" t="s">
        <v>74</v>
      </c>
      <c r="J906" s="2" t="s">
        <v>7488</v>
      </c>
      <c r="K906" s="2" t="s">
        <v>4997</v>
      </c>
      <c r="L906" s="5" t="n">
        <v>300</v>
      </c>
    </row>
    <row r="907" customFormat="false" ht="23.85" hidden="false" customHeight="false" outlineLevel="0" collapsed="false">
      <c r="A907" s="5" t="s">
        <v>5795</v>
      </c>
      <c r="B907" s="2" t="s">
        <v>5796</v>
      </c>
      <c r="C907" s="5" t="s">
        <v>2128</v>
      </c>
      <c r="D907" s="5" t="s">
        <v>4997</v>
      </c>
      <c r="E907" s="2" t="s">
        <v>4932</v>
      </c>
      <c r="F907" s="2"/>
      <c r="G907" s="2" t="s">
        <v>5797</v>
      </c>
      <c r="H907" s="2" t="s">
        <v>2725</v>
      </c>
      <c r="I907" s="5" t="s">
        <v>74</v>
      </c>
      <c r="J907" s="2" t="s">
        <v>7489</v>
      </c>
      <c r="K907" s="2" t="s">
        <v>4997</v>
      </c>
      <c r="L907" s="5" t="n">
        <v>300</v>
      </c>
    </row>
    <row r="908" customFormat="false" ht="68.65" hidden="false" customHeight="false" outlineLevel="0" collapsed="false">
      <c r="A908" s="5" t="s">
        <v>5800</v>
      </c>
      <c r="B908" s="2" t="s">
        <v>5801</v>
      </c>
      <c r="C908" s="5" t="s">
        <v>2128</v>
      </c>
      <c r="D908" s="5" t="s">
        <v>4997</v>
      </c>
      <c r="E908" s="2" t="s">
        <v>5802</v>
      </c>
      <c r="F908" s="2"/>
      <c r="G908" s="2" t="s">
        <v>5803</v>
      </c>
      <c r="H908" s="2" t="s">
        <v>2733</v>
      </c>
      <c r="I908" s="5" t="s">
        <v>74</v>
      </c>
      <c r="J908" s="2" t="s">
        <v>7490</v>
      </c>
      <c r="K908" s="2" t="s">
        <v>4997</v>
      </c>
      <c r="L908" s="5" t="n">
        <v>300</v>
      </c>
    </row>
    <row r="909" customFormat="false" ht="68.65" hidden="false" customHeight="false" outlineLevel="0" collapsed="false">
      <c r="A909" s="5" t="s">
        <v>5807</v>
      </c>
      <c r="B909" s="2" t="s">
        <v>5808</v>
      </c>
      <c r="C909" s="5" t="s">
        <v>2128</v>
      </c>
      <c r="D909" s="5" t="s">
        <v>4997</v>
      </c>
      <c r="E909" s="2" t="s">
        <v>5809</v>
      </c>
      <c r="F909" s="2"/>
      <c r="G909" s="2" t="s">
        <v>5023</v>
      </c>
      <c r="H909" s="2" t="s">
        <v>5207</v>
      </c>
      <c r="I909" s="5" t="s">
        <v>74</v>
      </c>
      <c r="J909" s="2" t="s">
        <v>7491</v>
      </c>
      <c r="K909" s="2" t="s">
        <v>4997</v>
      </c>
      <c r="L909" s="5" t="n">
        <v>300</v>
      </c>
    </row>
    <row r="910" customFormat="false" ht="68.65" hidden="false" customHeight="false" outlineLevel="0" collapsed="false">
      <c r="A910" s="5" t="s">
        <v>5813</v>
      </c>
      <c r="B910" s="2" t="s">
        <v>5814</v>
      </c>
      <c r="C910" s="5" t="s">
        <v>2128</v>
      </c>
      <c r="D910" s="5" t="s">
        <v>4997</v>
      </c>
      <c r="E910" s="2" t="s">
        <v>5815</v>
      </c>
      <c r="F910" s="2"/>
      <c r="G910" s="2" t="s">
        <v>5011</v>
      </c>
      <c r="H910" s="2" t="s">
        <v>2733</v>
      </c>
      <c r="I910" s="5" t="s">
        <v>74</v>
      </c>
      <c r="J910" s="2" t="s">
        <v>7492</v>
      </c>
      <c r="K910" s="2" t="s">
        <v>4997</v>
      </c>
      <c r="L910" s="5" t="n">
        <v>300</v>
      </c>
    </row>
    <row r="911" customFormat="false" ht="91" hidden="false" customHeight="false" outlineLevel="0" collapsed="false">
      <c r="A911" s="5" t="s">
        <v>5819</v>
      </c>
      <c r="B911" s="2" t="s">
        <v>5820</v>
      </c>
      <c r="C911" s="5" t="s">
        <v>2128</v>
      </c>
      <c r="D911" s="5" t="s">
        <v>4997</v>
      </c>
      <c r="E911" s="2" t="s">
        <v>7493</v>
      </c>
      <c r="F911" s="2"/>
      <c r="G911" s="2" t="s">
        <v>5023</v>
      </c>
      <c r="H911" s="2" t="s">
        <v>2733</v>
      </c>
      <c r="I911" s="5" t="s">
        <v>74</v>
      </c>
      <c r="J911" s="2" t="s">
        <v>7494</v>
      </c>
      <c r="K911" s="2" t="s">
        <v>4997</v>
      </c>
      <c r="L911" s="5" t="n">
        <v>300</v>
      </c>
    </row>
    <row r="912" customFormat="false" ht="35.05" hidden="false" customHeight="false" outlineLevel="0" collapsed="false">
      <c r="A912" s="5" t="s">
        <v>5825</v>
      </c>
      <c r="B912" s="2" t="s">
        <v>5826</v>
      </c>
      <c r="C912" s="5" t="s">
        <v>2128</v>
      </c>
      <c r="D912" s="5" t="s">
        <v>4997</v>
      </c>
      <c r="E912" s="2" t="s">
        <v>2722</v>
      </c>
      <c r="F912" s="2"/>
      <c r="G912" s="2" t="s">
        <v>5827</v>
      </c>
      <c r="H912" s="2" t="s">
        <v>2725</v>
      </c>
      <c r="I912" s="5" t="s">
        <v>74</v>
      </c>
      <c r="J912" s="2" t="s">
        <v>7495</v>
      </c>
      <c r="K912" s="2" t="s">
        <v>4997</v>
      </c>
      <c r="L912" s="5" t="n">
        <v>300</v>
      </c>
    </row>
    <row r="913" customFormat="false" ht="91" hidden="false" customHeight="false" outlineLevel="0" collapsed="false">
      <c r="A913" s="5" t="s">
        <v>5830</v>
      </c>
      <c r="B913" s="2" t="s">
        <v>5831</v>
      </c>
      <c r="C913" s="5" t="s">
        <v>2128</v>
      </c>
      <c r="D913" s="5" t="s">
        <v>4997</v>
      </c>
      <c r="E913" s="2" t="s">
        <v>5832</v>
      </c>
      <c r="F913" s="2"/>
      <c r="G913" s="2" t="s">
        <v>5833</v>
      </c>
      <c r="H913" s="2" t="s">
        <v>2733</v>
      </c>
      <c r="I913" s="5" t="s">
        <v>74</v>
      </c>
      <c r="J913" s="2" t="s">
        <v>7496</v>
      </c>
      <c r="K913" s="2" t="s">
        <v>4997</v>
      </c>
      <c r="L913" s="5" t="n">
        <v>300</v>
      </c>
    </row>
    <row r="914" customFormat="false" ht="23.85" hidden="false" customHeight="false" outlineLevel="0" collapsed="false">
      <c r="A914" s="5" t="s">
        <v>5837</v>
      </c>
      <c r="B914" s="2" t="s">
        <v>5838</v>
      </c>
      <c r="C914" s="5" t="s">
        <v>2128</v>
      </c>
      <c r="D914" s="5" t="s">
        <v>4997</v>
      </c>
      <c r="E914" s="2" t="s">
        <v>2722</v>
      </c>
      <c r="F914" s="2"/>
      <c r="G914" s="2" t="s">
        <v>5839</v>
      </c>
      <c r="H914" s="2" t="s">
        <v>2725</v>
      </c>
      <c r="I914" s="5" t="s">
        <v>74</v>
      </c>
      <c r="J914" s="2" t="s">
        <v>7497</v>
      </c>
      <c r="K914" s="2" t="s">
        <v>4997</v>
      </c>
      <c r="L914" s="5" t="n">
        <v>300</v>
      </c>
    </row>
    <row r="915" customFormat="false" ht="68.65" hidden="false" customHeight="false" outlineLevel="0" collapsed="false">
      <c r="A915" s="5" t="s">
        <v>5842</v>
      </c>
      <c r="B915" s="2" t="s">
        <v>5843</v>
      </c>
      <c r="C915" s="5" t="s">
        <v>2128</v>
      </c>
      <c r="D915" s="5" t="s">
        <v>4997</v>
      </c>
      <c r="E915" s="2" t="s">
        <v>5844</v>
      </c>
      <c r="F915" s="2"/>
      <c r="G915" s="2" t="s">
        <v>5845</v>
      </c>
      <c r="H915" s="2" t="s">
        <v>2733</v>
      </c>
      <c r="I915" s="5" t="s">
        <v>74</v>
      </c>
      <c r="J915" s="2" t="s">
        <v>7498</v>
      </c>
      <c r="K915" s="2" t="s">
        <v>4997</v>
      </c>
      <c r="L915" s="5" t="n">
        <v>300</v>
      </c>
    </row>
    <row r="916" customFormat="false" ht="68.65" hidden="false" customHeight="false" outlineLevel="0" collapsed="false">
      <c r="A916" s="5" t="s">
        <v>5849</v>
      </c>
      <c r="B916" s="2" t="s">
        <v>5850</v>
      </c>
      <c r="C916" s="5" t="s">
        <v>2128</v>
      </c>
      <c r="D916" s="5" t="s">
        <v>4997</v>
      </c>
      <c r="E916" s="2" t="s">
        <v>5851</v>
      </c>
      <c r="F916" s="2"/>
      <c r="G916" s="2" t="s">
        <v>5011</v>
      </c>
      <c r="H916" s="2" t="s">
        <v>2733</v>
      </c>
      <c r="I916" s="5" t="s">
        <v>74</v>
      </c>
      <c r="J916" s="2" t="s">
        <v>7499</v>
      </c>
      <c r="K916" s="2" t="s">
        <v>4997</v>
      </c>
      <c r="L916" s="5" t="n">
        <v>300</v>
      </c>
    </row>
    <row r="917" customFormat="false" ht="91" hidden="false" customHeight="false" outlineLevel="0" collapsed="false">
      <c r="A917" s="5" t="s">
        <v>5855</v>
      </c>
      <c r="B917" s="2" t="s">
        <v>5856</v>
      </c>
      <c r="C917" s="5" t="s">
        <v>2128</v>
      </c>
      <c r="D917" s="5" t="s">
        <v>4997</v>
      </c>
      <c r="E917" s="2" t="s">
        <v>5857</v>
      </c>
      <c r="F917" s="2"/>
      <c r="G917" s="2" t="s">
        <v>5858</v>
      </c>
      <c r="H917" s="2" t="s">
        <v>2733</v>
      </c>
      <c r="I917" s="5" t="s">
        <v>74</v>
      </c>
      <c r="J917" s="2" t="s">
        <v>7500</v>
      </c>
      <c r="K917" s="2" t="s">
        <v>4997</v>
      </c>
      <c r="L917" s="5" t="n">
        <v>300</v>
      </c>
    </row>
    <row r="918" customFormat="false" ht="68.65" hidden="false" customHeight="false" outlineLevel="0" collapsed="false">
      <c r="A918" s="5" t="s">
        <v>5862</v>
      </c>
      <c r="B918" s="2" t="s">
        <v>5863</v>
      </c>
      <c r="C918" s="5" t="s">
        <v>2128</v>
      </c>
      <c r="D918" s="5" t="s">
        <v>4997</v>
      </c>
      <c r="E918" s="2" t="s">
        <v>5864</v>
      </c>
      <c r="F918" s="2"/>
      <c r="G918" s="2" t="s">
        <v>5011</v>
      </c>
      <c r="H918" s="2" t="s">
        <v>2733</v>
      </c>
      <c r="I918" s="5" t="s">
        <v>74</v>
      </c>
      <c r="J918" s="2" t="s">
        <v>7501</v>
      </c>
      <c r="K918" s="2" t="s">
        <v>4997</v>
      </c>
      <c r="L918" s="5" t="n">
        <v>300</v>
      </c>
    </row>
    <row r="919" customFormat="false" ht="23.85" hidden="false" customHeight="false" outlineLevel="0" collapsed="false">
      <c r="A919" s="5" t="s">
        <v>5868</v>
      </c>
      <c r="B919" s="2" t="s">
        <v>5869</v>
      </c>
      <c r="C919" s="5" t="s">
        <v>2128</v>
      </c>
      <c r="D919" s="5" t="s">
        <v>4997</v>
      </c>
      <c r="E919" s="2" t="s">
        <v>2722</v>
      </c>
      <c r="F919" s="2"/>
      <c r="G919" s="2" t="s">
        <v>5870</v>
      </c>
      <c r="H919" s="2" t="s">
        <v>2725</v>
      </c>
      <c r="I919" s="5" t="s">
        <v>74</v>
      </c>
      <c r="J919" s="2" t="s">
        <v>7502</v>
      </c>
      <c r="K919" s="2" t="s">
        <v>4997</v>
      </c>
      <c r="L919" s="5" t="n">
        <v>300</v>
      </c>
    </row>
    <row r="920" customFormat="false" ht="68.65" hidden="false" customHeight="false" outlineLevel="0" collapsed="false">
      <c r="A920" s="5" t="s">
        <v>5873</v>
      </c>
      <c r="B920" s="2" t="s">
        <v>5874</v>
      </c>
      <c r="C920" s="5" t="s">
        <v>2128</v>
      </c>
      <c r="D920" s="5" t="s">
        <v>4997</v>
      </c>
      <c r="E920" s="2" t="s">
        <v>5875</v>
      </c>
      <c r="F920" s="2"/>
      <c r="G920" s="2" t="s">
        <v>5011</v>
      </c>
      <c r="H920" s="2" t="s">
        <v>2733</v>
      </c>
      <c r="I920" s="5" t="s">
        <v>74</v>
      </c>
      <c r="J920" s="2" t="s">
        <v>7503</v>
      </c>
      <c r="K920" s="2" t="s">
        <v>4997</v>
      </c>
      <c r="L920" s="5" t="n">
        <v>300</v>
      </c>
    </row>
    <row r="921" customFormat="false" ht="23.85" hidden="false" customHeight="false" outlineLevel="0" collapsed="false">
      <c r="A921" s="5" t="s">
        <v>5879</v>
      </c>
      <c r="B921" s="2" t="s">
        <v>5880</v>
      </c>
      <c r="C921" s="5" t="s">
        <v>2128</v>
      </c>
      <c r="D921" s="5" t="s">
        <v>4997</v>
      </c>
      <c r="E921" s="2" t="s">
        <v>2722</v>
      </c>
      <c r="F921" s="2"/>
      <c r="G921" s="2" t="s">
        <v>5881</v>
      </c>
      <c r="H921" s="2" t="s">
        <v>2725</v>
      </c>
      <c r="I921" s="5" t="s">
        <v>74</v>
      </c>
      <c r="J921" s="2" t="s">
        <v>7504</v>
      </c>
      <c r="K921" s="2" t="s">
        <v>4997</v>
      </c>
      <c r="L921" s="5" t="n">
        <v>300</v>
      </c>
    </row>
    <row r="922" customFormat="false" ht="79.85" hidden="false" customHeight="false" outlineLevel="0" collapsed="false">
      <c r="A922" s="5" t="s">
        <v>5884</v>
      </c>
      <c r="B922" s="2" t="s">
        <v>5885</v>
      </c>
      <c r="C922" s="5" t="s">
        <v>2128</v>
      </c>
      <c r="D922" s="5" t="s">
        <v>4997</v>
      </c>
      <c r="E922" s="2" t="s">
        <v>5886</v>
      </c>
      <c r="F922" s="2"/>
      <c r="G922" s="2" t="s">
        <v>5887</v>
      </c>
      <c r="H922" s="2" t="s">
        <v>2733</v>
      </c>
      <c r="I922" s="5" t="s">
        <v>74</v>
      </c>
      <c r="J922" s="2" t="s">
        <v>7505</v>
      </c>
      <c r="K922" s="2" t="s">
        <v>4997</v>
      </c>
      <c r="L922" s="5" t="n">
        <v>300</v>
      </c>
    </row>
    <row r="923" customFormat="false" ht="91" hidden="false" customHeight="false" outlineLevel="0" collapsed="false">
      <c r="A923" s="5" t="s">
        <v>5891</v>
      </c>
      <c r="B923" s="2" t="s">
        <v>5892</v>
      </c>
      <c r="C923" s="5" t="s">
        <v>2128</v>
      </c>
      <c r="D923" s="5" t="s">
        <v>4997</v>
      </c>
      <c r="E923" s="2" t="s">
        <v>7506</v>
      </c>
      <c r="F923" s="2"/>
      <c r="G923" s="2" t="s">
        <v>5894</v>
      </c>
      <c r="H923" s="2" t="s">
        <v>5207</v>
      </c>
      <c r="I923" s="5" t="s">
        <v>74</v>
      </c>
      <c r="J923" s="2" t="s">
        <v>7507</v>
      </c>
      <c r="K923" s="2" t="s">
        <v>4997</v>
      </c>
      <c r="L923" s="5" t="n">
        <v>300</v>
      </c>
    </row>
    <row r="924" customFormat="false" ht="68.65" hidden="false" customHeight="false" outlineLevel="0" collapsed="false">
      <c r="A924" s="5" t="s">
        <v>5898</v>
      </c>
      <c r="B924" s="2" t="s">
        <v>5899</v>
      </c>
      <c r="C924" s="5" t="s">
        <v>2128</v>
      </c>
      <c r="D924" s="5" t="s">
        <v>4997</v>
      </c>
      <c r="E924" s="2" t="s">
        <v>5900</v>
      </c>
      <c r="F924" s="2"/>
      <c r="G924" s="2" t="s">
        <v>5023</v>
      </c>
      <c r="H924" s="2" t="s">
        <v>5207</v>
      </c>
      <c r="I924" s="5" t="s">
        <v>74</v>
      </c>
      <c r="J924" s="2" t="s">
        <v>7508</v>
      </c>
      <c r="K924" s="2" t="s">
        <v>4997</v>
      </c>
      <c r="L924" s="5" t="n">
        <v>300</v>
      </c>
    </row>
    <row r="925" customFormat="false" ht="68.65" hidden="false" customHeight="false" outlineLevel="0" collapsed="false">
      <c r="A925" s="5" t="s">
        <v>5904</v>
      </c>
      <c r="B925" s="2" t="s">
        <v>5905</v>
      </c>
      <c r="C925" s="5" t="s">
        <v>2128</v>
      </c>
      <c r="D925" s="5" t="s">
        <v>4997</v>
      </c>
      <c r="E925" s="2" t="s">
        <v>5906</v>
      </c>
      <c r="F925" s="2"/>
      <c r="G925" s="2" t="s">
        <v>5011</v>
      </c>
      <c r="H925" s="2" t="s">
        <v>2733</v>
      </c>
      <c r="I925" s="5" t="s">
        <v>74</v>
      </c>
      <c r="J925" s="2" t="s">
        <v>7509</v>
      </c>
      <c r="K925" s="2" t="s">
        <v>4997</v>
      </c>
      <c r="L925" s="5" t="n">
        <v>300</v>
      </c>
    </row>
    <row r="926" customFormat="false" ht="79.85" hidden="false" customHeight="false" outlineLevel="0" collapsed="false">
      <c r="A926" s="5" t="s">
        <v>5910</v>
      </c>
      <c r="B926" s="2" t="s">
        <v>5911</v>
      </c>
      <c r="C926" s="5" t="s">
        <v>2128</v>
      </c>
      <c r="D926" s="5" t="s">
        <v>4997</v>
      </c>
      <c r="E926" s="2" t="s">
        <v>5912</v>
      </c>
      <c r="F926" s="2"/>
      <c r="G926" s="2" t="s">
        <v>5913</v>
      </c>
      <c r="H926" s="2" t="s">
        <v>2733</v>
      </c>
      <c r="I926" s="5" t="s">
        <v>74</v>
      </c>
      <c r="J926" s="2" t="s">
        <v>7510</v>
      </c>
      <c r="K926" s="2" t="s">
        <v>4997</v>
      </c>
      <c r="L926" s="5" t="n">
        <v>300</v>
      </c>
    </row>
    <row r="927" customFormat="false" ht="68.65" hidden="false" customHeight="false" outlineLevel="0" collapsed="false">
      <c r="A927" s="5" t="s">
        <v>5917</v>
      </c>
      <c r="B927" s="2" t="s">
        <v>5918</v>
      </c>
      <c r="C927" s="5" t="s">
        <v>2128</v>
      </c>
      <c r="D927" s="5" t="s">
        <v>4997</v>
      </c>
      <c r="E927" s="2" t="s">
        <v>5919</v>
      </c>
      <c r="F927" s="2"/>
      <c r="G927" s="2" t="s">
        <v>5011</v>
      </c>
      <c r="H927" s="2" t="s">
        <v>2733</v>
      </c>
      <c r="I927" s="5" t="s">
        <v>74</v>
      </c>
      <c r="J927" s="2" t="s">
        <v>7511</v>
      </c>
      <c r="K927" s="2" t="s">
        <v>4997</v>
      </c>
      <c r="L927" s="5" t="n">
        <v>300</v>
      </c>
    </row>
    <row r="928" customFormat="false" ht="91" hidden="false" customHeight="false" outlineLevel="0" collapsed="false">
      <c r="A928" s="5" t="s">
        <v>5922</v>
      </c>
      <c r="B928" s="2" t="s">
        <v>5923</v>
      </c>
      <c r="C928" s="5" t="s">
        <v>2128</v>
      </c>
      <c r="D928" s="5" t="s">
        <v>4997</v>
      </c>
      <c r="E928" s="2" t="s">
        <v>5924</v>
      </c>
      <c r="F928" s="2"/>
      <c r="G928" s="2" t="s">
        <v>5925</v>
      </c>
      <c r="H928" s="2" t="s">
        <v>2733</v>
      </c>
      <c r="I928" s="5" t="s">
        <v>74</v>
      </c>
      <c r="J928" s="2" t="s">
        <v>7512</v>
      </c>
      <c r="K928" s="2" t="s">
        <v>4997</v>
      </c>
      <c r="L928" s="5" t="n">
        <v>300</v>
      </c>
    </row>
    <row r="929" customFormat="false" ht="23.85" hidden="false" customHeight="false" outlineLevel="0" collapsed="false">
      <c r="A929" s="5" t="s">
        <v>5929</v>
      </c>
      <c r="B929" s="2" t="s">
        <v>5930</v>
      </c>
      <c r="C929" s="5" t="s">
        <v>2128</v>
      </c>
      <c r="D929" s="5" t="s">
        <v>5931</v>
      </c>
      <c r="E929" s="2" t="s">
        <v>4932</v>
      </c>
      <c r="F929" s="2"/>
      <c r="G929" s="2" t="s">
        <v>5932</v>
      </c>
      <c r="H929" s="2" t="s">
        <v>2725</v>
      </c>
      <c r="I929" s="5" t="s">
        <v>74</v>
      </c>
      <c r="J929" s="2" t="s">
        <v>7513</v>
      </c>
      <c r="K929" s="2" t="s">
        <v>5931</v>
      </c>
      <c r="L929" s="5" t="n">
        <v>300</v>
      </c>
    </row>
    <row r="930" customFormat="false" ht="23.85" hidden="false" customHeight="false" outlineLevel="0" collapsed="false">
      <c r="A930" s="5" t="s">
        <v>5935</v>
      </c>
      <c r="B930" s="2" t="s">
        <v>5936</v>
      </c>
      <c r="C930" s="5" t="s">
        <v>2128</v>
      </c>
      <c r="D930" s="5" t="s">
        <v>5931</v>
      </c>
      <c r="E930" s="2" t="s">
        <v>5937</v>
      </c>
      <c r="F930" s="2"/>
      <c r="G930" s="2"/>
      <c r="H930" s="2" t="s">
        <v>5938</v>
      </c>
      <c r="I930" s="5" t="s">
        <v>74</v>
      </c>
      <c r="J930" s="2" t="s">
        <v>7514</v>
      </c>
      <c r="K930" s="2" t="s">
        <v>5931</v>
      </c>
      <c r="L930" s="5" t="n">
        <v>300</v>
      </c>
    </row>
    <row r="931" customFormat="false" ht="23.85" hidden="false" customHeight="false" outlineLevel="0" collapsed="false">
      <c r="A931" s="5" t="s">
        <v>5942</v>
      </c>
      <c r="B931" s="2" t="s">
        <v>5943</v>
      </c>
      <c r="C931" s="5" t="s">
        <v>2128</v>
      </c>
      <c r="D931" s="5" t="s">
        <v>4997</v>
      </c>
      <c r="E931" s="2" t="s">
        <v>2722</v>
      </c>
      <c r="F931" s="2"/>
      <c r="G931" s="2" t="s">
        <v>5944</v>
      </c>
      <c r="H931" s="2" t="s">
        <v>2725</v>
      </c>
      <c r="I931" s="5" t="s">
        <v>74</v>
      </c>
      <c r="J931" s="2" t="s">
        <v>7515</v>
      </c>
      <c r="K931" s="2" t="s">
        <v>4997</v>
      </c>
      <c r="L931" s="5" t="n">
        <v>300</v>
      </c>
    </row>
    <row r="932" customFormat="false" ht="68.65" hidden="false" customHeight="false" outlineLevel="0" collapsed="false">
      <c r="A932" s="5" t="s">
        <v>5947</v>
      </c>
      <c r="B932" s="2" t="s">
        <v>5948</v>
      </c>
      <c r="C932" s="5" t="s">
        <v>2128</v>
      </c>
      <c r="D932" s="5" t="s">
        <v>4997</v>
      </c>
      <c r="E932" s="2" t="s">
        <v>5949</v>
      </c>
      <c r="F932" s="2"/>
      <c r="G932" s="2" t="s">
        <v>5950</v>
      </c>
      <c r="H932" s="2" t="s">
        <v>2733</v>
      </c>
      <c r="I932" s="5" t="s">
        <v>74</v>
      </c>
      <c r="J932" s="2" t="s">
        <v>7516</v>
      </c>
      <c r="K932" s="2" t="s">
        <v>4997</v>
      </c>
      <c r="L932" s="5" t="n">
        <v>300</v>
      </c>
    </row>
    <row r="933" customFormat="false" ht="68.65" hidden="false" customHeight="false" outlineLevel="0" collapsed="false">
      <c r="A933" s="5" t="s">
        <v>5954</v>
      </c>
      <c r="B933" s="2" t="s">
        <v>5955</v>
      </c>
      <c r="C933" s="5" t="s">
        <v>2128</v>
      </c>
      <c r="D933" s="5" t="s">
        <v>4997</v>
      </c>
      <c r="E933" s="2" t="s">
        <v>5956</v>
      </c>
      <c r="F933" s="2"/>
      <c r="G933" s="2" t="s">
        <v>5011</v>
      </c>
      <c r="H933" s="2" t="s">
        <v>2733</v>
      </c>
      <c r="I933" s="5" t="s">
        <v>74</v>
      </c>
      <c r="J933" s="2" t="s">
        <v>7517</v>
      </c>
      <c r="K933" s="2" t="s">
        <v>4997</v>
      </c>
      <c r="L933" s="5" t="n">
        <v>300</v>
      </c>
    </row>
    <row r="934" customFormat="false" ht="68.65" hidden="false" customHeight="false" outlineLevel="0" collapsed="false">
      <c r="A934" s="5" t="s">
        <v>5960</v>
      </c>
      <c r="B934" s="2" t="s">
        <v>5961</v>
      </c>
      <c r="C934" s="5" t="s">
        <v>2245</v>
      </c>
      <c r="D934" s="5" t="s">
        <v>4997</v>
      </c>
      <c r="E934" s="2" t="s">
        <v>5962</v>
      </c>
      <c r="F934" s="2"/>
      <c r="G934" s="2" t="s">
        <v>5023</v>
      </c>
      <c r="H934" s="2" t="s">
        <v>5207</v>
      </c>
      <c r="I934" s="5" t="s">
        <v>74</v>
      </c>
      <c r="J934" s="2" t="s">
        <v>7518</v>
      </c>
      <c r="K934" s="2" t="s">
        <v>4997</v>
      </c>
      <c r="L934" s="5" t="n">
        <v>300</v>
      </c>
    </row>
    <row r="935" customFormat="false" ht="23.85" hidden="false" customHeight="false" outlineLevel="0" collapsed="false">
      <c r="A935" s="5" t="s">
        <v>5966</v>
      </c>
      <c r="B935" s="2" t="s">
        <v>5967</v>
      </c>
      <c r="C935" s="5" t="s">
        <v>2128</v>
      </c>
      <c r="D935" s="5" t="s">
        <v>4997</v>
      </c>
      <c r="E935" s="2" t="s">
        <v>2722</v>
      </c>
      <c r="F935" s="2"/>
      <c r="G935" s="2" t="s">
        <v>5968</v>
      </c>
      <c r="H935" s="2" t="s">
        <v>2725</v>
      </c>
      <c r="I935" s="5" t="s">
        <v>74</v>
      </c>
      <c r="J935" s="2" t="s">
        <v>7519</v>
      </c>
      <c r="K935" s="2" t="s">
        <v>4997</v>
      </c>
      <c r="L935" s="5" t="n">
        <v>300</v>
      </c>
    </row>
    <row r="936" customFormat="false" ht="124.6" hidden="false" customHeight="false" outlineLevel="0" collapsed="false">
      <c r="A936" s="5" t="s">
        <v>5971</v>
      </c>
      <c r="B936" s="2" t="s">
        <v>5972</v>
      </c>
      <c r="C936" s="5" t="s">
        <v>2128</v>
      </c>
      <c r="D936" s="5" t="s">
        <v>4997</v>
      </c>
      <c r="E936" s="2" t="s">
        <v>7520</v>
      </c>
      <c r="F936" s="2"/>
      <c r="G936" s="2" t="s">
        <v>5974</v>
      </c>
      <c r="H936" s="2" t="s">
        <v>2733</v>
      </c>
      <c r="I936" s="5" t="s">
        <v>74</v>
      </c>
      <c r="J936" s="2" t="s">
        <v>7521</v>
      </c>
      <c r="K936" s="2" t="s">
        <v>4997</v>
      </c>
      <c r="L936" s="5" t="n">
        <v>300</v>
      </c>
    </row>
    <row r="937" customFormat="false" ht="68.65" hidden="false" customHeight="false" outlineLevel="0" collapsed="false">
      <c r="A937" s="5" t="s">
        <v>5977</v>
      </c>
      <c r="B937" s="2" t="s">
        <v>5978</v>
      </c>
      <c r="C937" s="5" t="s">
        <v>2128</v>
      </c>
      <c r="D937" s="5" t="s">
        <v>4997</v>
      </c>
      <c r="E937" s="2" t="s">
        <v>5979</v>
      </c>
      <c r="F937" s="2"/>
      <c r="G937" s="2" t="s">
        <v>5023</v>
      </c>
      <c r="H937" s="2" t="s">
        <v>5207</v>
      </c>
      <c r="I937" s="5" t="s">
        <v>74</v>
      </c>
      <c r="J937" s="2" t="s">
        <v>7522</v>
      </c>
      <c r="K937" s="2" t="s">
        <v>4997</v>
      </c>
      <c r="L937" s="5" t="n">
        <v>300</v>
      </c>
    </row>
    <row r="938" customFormat="false" ht="23.85" hidden="false" customHeight="false" outlineLevel="0" collapsed="false">
      <c r="A938" s="5" t="s">
        <v>5983</v>
      </c>
      <c r="B938" s="2" t="s">
        <v>5984</v>
      </c>
      <c r="C938" s="5" t="s">
        <v>2128</v>
      </c>
      <c r="D938" s="5" t="s">
        <v>4997</v>
      </c>
      <c r="E938" s="2" t="s">
        <v>2722</v>
      </c>
      <c r="F938" s="2"/>
      <c r="G938" s="2" t="s">
        <v>5985</v>
      </c>
      <c r="H938" s="2" t="s">
        <v>2725</v>
      </c>
      <c r="I938" s="5" t="s">
        <v>74</v>
      </c>
      <c r="J938" s="2" t="s">
        <v>7523</v>
      </c>
      <c r="K938" s="2" t="s">
        <v>4997</v>
      </c>
      <c r="L938" s="5" t="n">
        <v>300</v>
      </c>
    </row>
    <row r="939" customFormat="false" ht="68.65" hidden="false" customHeight="false" outlineLevel="0" collapsed="false">
      <c r="A939" s="5" t="s">
        <v>5988</v>
      </c>
      <c r="B939" s="2" t="s">
        <v>5989</v>
      </c>
      <c r="C939" s="5" t="s">
        <v>2128</v>
      </c>
      <c r="D939" s="5" t="s">
        <v>4997</v>
      </c>
      <c r="E939" s="2" t="s">
        <v>5990</v>
      </c>
      <c r="F939" s="2"/>
      <c r="G939" s="2" t="s">
        <v>5991</v>
      </c>
      <c r="H939" s="2" t="s">
        <v>2733</v>
      </c>
      <c r="I939" s="5" t="s">
        <v>74</v>
      </c>
      <c r="J939" s="2" t="s">
        <v>7524</v>
      </c>
      <c r="K939" s="2" t="s">
        <v>4997</v>
      </c>
      <c r="L939" s="5" t="n">
        <v>300</v>
      </c>
    </row>
    <row r="940" customFormat="false" ht="68.65" hidden="false" customHeight="false" outlineLevel="0" collapsed="false">
      <c r="A940" s="5" t="s">
        <v>5995</v>
      </c>
      <c r="B940" s="2" t="s">
        <v>5996</v>
      </c>
      <c r="C940" s="5" t="s">
        <v>2128</v>
      </c>
      <c r="D940" s="5" t="s">
        <v>4997</v>
      </c>
      <c r="E940" s="2" t="s">
        <v>5997</v>
      </c>
      <c r="F940" s="2"/>
      <c r="G940" s="2" t="s">
        <v>5011</v>
      </c>
      <c r="H940" s="2" t="s">
        <v>2733</v>
      </c>
      <c r="I940" s="5" t="s">
        <v>74</v>
      </c>
      <c r="J940" s="2" t="s">
        <v>7525</v>
      </c>
      <c r="K940" s="2" t="s">
        <v>4997</v>
      </c>
      <c r="L940" s="5" t="n">
        <v>300</v>
      </c>
    </row>
    <row r="941" customFormat="false" ht="35.05" hidden="false" customHeight="false" outlineLevel="0" collapsed="false">
      <c r="A941" s="5" t="s">
        <v>6001</v>
      </c>
      <c r="B941" s="2" t="s">
        <v>6002</v>
      </c>
      <c r="C941" s="5" t="s">
        <v>2128</v>
      </c>
      <c r="D941" s="5" t="s">
        <v>4997</v>
      </c>
      <c r="E941" s="2" t="s">
        <v>2722</v>
      </c>
      <c r="F941" s="2"/>
      <c r="G941" s="2" t="s">
        <v>6003</v>
      </c>
      <c r="H941" s="2" t="s">
        <v>2725</v>
      </c>
      <c r="I941" s="5" t="s">
        <v>74</v>
      </c>
      <c r="J941" s="2" t="s">
        <v>7526</v>
      </c>
      <c r="K941" s="2" t="s">
        <v>4997</v>
      </c>
      <c r="L941" s="5" t="n">
        <v>300</v>
      </c>
    </row>
    <row r="942" customFormat="false" ht="91" hidden="false" customHeight="false" outlineLevel="0" collapsed="false">
      <c r="A942" s="5" t="s">
        <v>6006</v>
      </c>
      <c r="B942" s="2" t="s">
        <v>6007</v>
      </c>
      <c r="C942" s="5" t="s">
        <v>2128</v>
      </c>
      <c r="D942" s="5" t="s">
        <v>4997</v>
      </c>
      <c r="E942" s="2" t="s">
        <v>6008</v>
      </c>
      <c r="F942" s="2"/>
      <c r="G942" s="2" t="s">
        <v>6009</v>
      </c>
      <c r="H942" s="2" t="s">
        <v>2733</v>
      </c>
      <c r="I942" s="5" t="s">
        <v>74</v>
      </c>
      <c r="J942" s="2" t="s">
        <v>7527</v>
      </c>
      <c r="K942" s="2" t="s">
        <v>4997</v>
      </c>
      <c r="L942" s="5" t="n">
        <v>300</v>
      </c>
    </row>
    <row r="943" customFormat="false" ht="68.65" hidden="false" customHeight="false" outlineLevel="0" collapsed="false">
      <c r="A943" s="5" t="s">
        <v>6013</v>
      </c>
      <c r="B943" s="2" t="s">
        <v>6014</v>
      </c>
      <c r="C943" s="5" t="s">
        <v>2128</v>
      </c>
      <c r="D943" s="5" t="s">
        <v>4997</v>
      </c>
      <c r="E943" s="2" t="s">
        <v>6015</v>
      </c>
      <c r="F943" s="2"/>
      <c r="G943" s="2" t="s">
        <v>5023</v>
      </c>
      <c r="H943" s="2" t="s">
        <v>2733</v>
      </c>
      <c r="I943" s="5" t="s">
        <v>74</v>
      </c>
      <c r="J943" s="2" t="s">
        <v>7528</v>
      </c>
      <c r="K943" s="2" t="s">
        <v>4997</v>
      </c>
      <c r="L943" s="5" t="n">
        <v>300</v>
      </c>
    </row>
    <row r="944" customFormat="false" ht="35.05" hidden="false" customHeight="false" outlineLevel="0" collapsed="false">
      <c r="A944" s="5" t="s">
        <v>6019</v>
      </c>
      <c r="B944" s="2" t="s">
        <v>6020</v>
      </c>
      <c r="C944" s="5" t="s">
        <v>2128</v>
      </c>
      <c r="D944" s="5" t="s">
        <v>6021</v>
      </c>
      <c r="E944" s="2" t="s">
        <v>7310</v>
      </c>
      <c r="F944" s="2"/>
      <c r="G944" s="2" t="s">
        <v>6022</v>
      </c>
      <c r="H944" s="2" t="s">
        <v>2733</v>
      </c>
      <c r="I944" s="5" t="s">
        <v>74</v>
      </c>
      <c r="J944" s="2" t="s">
        <v>7529</v>
      </c>
      <c r="K944" s="2" t="s">
        <v>6021</v>
      </c>
      <c r="L944" s="5" t="n">
        <v>600</v>
      </c>
    </row>
    <row r="945" customFormat="false" ht="23.85" hidden="false" customHeight="false" outlineLevel="0" collapsed="false">
      <c r="A945" s="5" t="s">
        <v>6025</v>
      </c>
      <c r="B945" s="2" t="s">
        <v>6026</v>
      </c>
      <c r="C945" s="5" t="s">
        <v>2128</v>
      </c>
      <c r="D945" s="5" t="s">
        <v>71</v>
      </c>
      <c r="E945" s="2" t="s">
        <v>6028</v>
      </c>
      <c r="F945" s="2"/>
      <c r="G945" s="2" t="s">
        <v>6029</v>
      </c>
      <c r="H945" s="2" t="s">
        <v>6030</v>
      </c>
      <c r="I945" s="5" t="s">
        <v>74</v>
      </c>
      <c r="J945" s="2" t="s">
        <v>7530</v>
      </c>
      <c r="K945" s="2" t="s">
        <v>71</v>
      </c>
      <c r="L945" s="5" t="n">
        <v>300</v>
      </c>
    </row>
    <row r="946" customFormat="false" ht="35.05" hidden="false" customHeight="false" outlineLevel="0" collapsed="false">
      <c r="A946" s="5" t="s">
        <v>6034</v>
      </c>
      <c r="B946" s="2" t="s">
        <v>6035</v>
      </c>
      <c r="C946" s="5" t="s">
        <v>2128</v>
      </c>
      <c r="D946" s="5" t="s">
        <v>958</v>
      </c>
      <c r="E946" s="2" t="s">
        <v>6036</v>
      </c>
      <c r="F946" s="2"/>
      <c r="G946" s="2" t="s">
        <v>959</v>
      </c>
      <c r="H946" s="2" t="s">
        <v>960</v>
      </c>
      <c r="I946" s="5" t="s">
        <v>496</v>
      </c>
      <c r="J946" s="2" t="s">
        <v>7531</v>
      </c>
      <c r="K946" s="2" t="s">
        <v>958</v>
      </c>
      <c r="L946" s="5" t="n">
        <v>300</v>
      </c>
    </row>
    <row r="947" customFormat="false" ht="23.85" hidden="false" customHeight="false" outlineLevel="0" collapsed="false">
      <c r="A947" s="5" t="s">
        <v>6040</v>
      </c>
      <c r="B947" s="2" t="s">
        <v>6041</v>
      </c>
      <c r="C947" s="5" t="s">
        <v>2128</v>
      </c>
      <c r="D947" s="5" t="s">
        <v>6044</v>
      </c>
      <c r="E947" s="2" t="s">
        <v>6043</v>
      </c>
      <c r="F947" s="2"/>
      <c r="G947" s="2"/>
      <c r="H947" s="2" t="s">
        <v>6045</v>
      </c>
      <c r="I947" s="5" t="s">
        <v>4754</v>
      </c>
      <c r="J947" s="2" t="s">
        <v>7532</v>
      </c>
      <c r="K947" s="2" t="s">
        <v>6044</v>
      </c>
      <c r="L947" s="5" t="n">
        <v>300</v>
      </c>
    </row>
    <row r="948" customFormat="false" ht="23.85" hidden="false" customHeight="false" outlineLevel="0" collapsed="false">
      <c r="A948" s="5" t="s">
        <v>6049</v>
      </c>
      <c r="B948" s="2" t="s">
        <v>6050</v>
      </c>
      <c r="C948" s="5" t="s">
        <v>2128</v>
      </c>
      <c r="D948" s="5" t="s">
        <v>6052</v>
      </c>
      <c r="E948" s="2" t="s">
        <v>6051</v>
      </c>
      <c r="F948" s="2"/>
      <c r="G948" s="2"/>
      <c r="H948" s="2" t="s">
        <v>6045</v>
      </c>
      <c r="I948" s="5" t="s">
        <v>4754</v>
      </c>
      <c r="J948" s="2" t="s">
        <v>7533</v>
      </c>
      <c r="K948" s="2" t="s">
        <v>6052</v>
      </c>
      <c r="L948" s="5" t="n">
        <v>300</v>
      </c>
    </row>
    <row r="949" customFormat="false" ht="35.05" hidden="false" customHeight="false" outlineLevel="0" collapsed="false">
      <c r="A949" s="5" t="s">
        <v>6056</v>
      </c>
      <c r="B949" s="2" t="s">
        <v>6057</v>
      </c>
      <c r="C949" s="5" t="s">
        <v>2128</v>
      </c>
      <c r="D949" s="5" t="s">
        <v>6044</v>
      </c>
      <c r="E949" s="2" t="s">
        <v>6058</v>
      </c>
      <c r="F949" s="2"/>
      <c r="G949" s="2" t="s">
        <v>6059</v>
      </c>
      <c r="H949" s="2" t="s">
        <v>6060</v>
      </c>
      <c r="I949" s="5" t="s">
        <v>4754</v>
      </c>
      <c r="J949" s="2" t="s">
        <v>7534</v>
      </c>
      <c r="K949" s="2" t="s">
        <v>6044</v>
      </c>
      <c r="L949" s="5" t="n">
        <v>300</v>
      </c>
    </row>
    <row r="950" customFormat="false" ht="23.85" hidden="false" customHeight="false" outlineLevel="0" collapsed="false">
      <c r="A950" s="5" t="s">
        <v>6064</v>
      </c>
      <c r="B950" s="2" t="s">
        <v>6065</v>
      </c>
      <c r="C950" s="5" t="s">
        <v>2128</v>
      </c>
      <c r="D950" s="5" t="s">
        <v>6044</v>
      </c>
      <c r="E950" s="2" t="s">
        <v>6066</v>
      </c>
      <c r="F950" s="2"/>
      <c r="G950" s="2"/>
      <c r="H950" s="2" t="s">
        <v>6067</v>
      </c>
      <c r="I950" s="5" t="s">
        <v>4754</v>
      </c>
      <c r="J950" s="2" t="s">
        <v>7535</v>
      </c>
      <c r="K950" s="2" t="s">
        <v>6044</v>
      </c>
      <c r="L950" s="5" t="n">
        <v>300</v>
      </c>
    </row>
    <row r="951" customFormat="false" ht="23.85" hidden="false" customHeight="false" outlineLevel="0" collapsed="false">
      <c r="A951" s="5" t="s">
        <v>6071</v>
      </c>
      <c r="B951" s="2" t="s">
        <v>6072</v>
      </c>
      <c r="C951" s="5" t="s">
        <v>2128</v>
      </c>
      <c r="D951" s="5" t="s">
        <v>6052</v>
      </c>
      <c r="E951" s="2" t="s">
        <v>6073</v>
      </c>
      <c r="F951" s="2"/>
      <c r="G951" s="2"/>
      <c r="H951" s="2" t="s">
        <v>6067</v>
      </c>
      <c r="I951" s="5" t="s">
        <v>4754</v>
      </c>
      <c r="J951" s="2" t="s">
        <v>7536</v>
      </c>
      <c r="K951" s="2" t="s">
        <v>6052</v>
      </c>
      <c r="L951" s="5" t="n">
        <v>300</v>
      </c>
    </row>
    <row r="952" customFormat="false" ht="23.85" hidden="false" customHeight="false" outlineLevel="0" collapsed="false">
      <c r="A952" s="5" t="s">
        <v>6077</v>
      </c>
      <c r="B952" s="2" t="s">
        <v>6078</v>
      </c>
      <c r="C952" s="5" t="s">
        <v>2128</v>
      </c>
      <c r="D952" s="5" t="s">
        <v>6044</v>
      </c>
      <c r="E952" s="2" t="s">
        <v>6079</v>
      </c>
      <c r="F952" s="2"/>
      <c r="G952" s="2"/>
      <c r="H952" s="2" t="s">
        <v>6080</v>
      </c>
      <c r="I952" s="5" t="s">
        <v>4754</v>
      </c>
      <c r="J952" s="2" t="s">
        <v>7537</v>
      </c>
      <c r="K952" s="2" t="s">
        <v>6044</v>
      </c>
      <c r="L952" s="5" t="n">
        <v>300</v>
      </c>
    </row>
    <row r="953" customFormat="false" ht="23.85" hidden="false" customHeight="false" outlineLevel="0" collapsed="false">
      <c r="A953" s="5" t="s">
        <v>6084</v>
      </c>
      <c r="B953" s="2" t="s">
        <v>6085</v>
      </c>
      <c r="C953" s="5" t="s">
        <v>2128</v>
      </c>
      <c r="D953" s="5" t="s">
        <v>6052</v>
      </c>
      <c r="E953" s="2" t="s">
        <v>6086</v>
      </c>
      <c r="F953" s="2"/>
      <c r="G953" s="2"/>
      <c r="H953" s="2" t="s">
        <v>6080</v>
      </c>
      <c r="I953" s="5" t="s">
        <v>4754</v>
      </c>
      <c r="J953" s="2" t="s">
        <v>7538</v>
      </c>
      <c r="K953" s="2" t="s">
        <v>6052</v>
      </c>
      <c r="L953" s="5" t="n">
        <v>300</v>
      </c>
    </row>
    <row r="954" customFormat="false" ht="46.25" hidden="false" customHeight="false" outlineLevel="0" collapsed="false">
      <c r="A954" s="5" t="s">
        <v>6090</v>
      </c>
      <c r="B954" s="2" t="s">
        <v>6091</v>
      </c>
      <c r="C954" s="5" t="s">
        <v>2128</v>
      </c>
      <c r="D954" s="5" t="s">
        <v>4815</v>
      </c>
      <c r="E954" s="2" t="s">
        <v>7539</v>
      </c>
      <c r="F954" s="2" t="s">
        <v>6093</v>
      </c>
      <c r="G954" s="2" t="s">
        <v>4816</v>
      </c>
      <c r="H954" s="2" t="s">
        <v>4817</v>
      </c>
      <c r="I954" s="5" t="s">
        <v>496</v>
      </c>
      <c r="J954" s="2" t="s">
        <v>7540</v>
      </c>
      <c r="K954" s="2" t="s">
        <v>4815</v>
      </c>
      <c r="L954" s="5" t="n">
        <v>600</v>
      </c>
    </row>
    <row r="955" customFormat="false" ht="23.85" hidden="false" customHeight="false" outlineLevel="0" collapsed="false">
      <c r="A955" s="5" t="s">
        <v>6097</v>
      </c>
      <c r="B955" s="2" t="s">
        <v>6098</v>
      </c>
      <c r="C955" s="5" t="s">
        <v>2128</v>
      </c>
      <c r="D955" s="5" t="s">
        <v>6101</v>
      </c>
      <c r="E955" s="2" t="s">
        <v>6100</v>
      </c>
      <c r="F955" s="2"/>
      <c r="G955" s="2"/>
      <c r="H955" s="2" t="s">
        <v>6102</v>
      </c>
      <c r="I955" s="5" t="s">
        <v>496</v>
      </c>
      <c r="J955" s="2" t="s">
        <v>7541</v>
      </c>
      <c r="K955" s="2" t="s">
        <v>6101</v>
      </c>
      <c r="L955" s="5" t="n">
        <v>600</v>
      </c>
    </row>
    <row r="956" customFormat="false" ht="23.85" hidden="false" customHeight="false" outlineLevel="0" collapsed="false">
      <c r="A956" s="5" t="s">
        <v>6106</v>
      </c>
      <c r="B956" s="2" t="s">
        <v>6107</v>
      </c>
      <c r="C956" s="5" t="s">
        <v>2128</v>
      </c>
      <c r="D956" s="5" t="s">
        <v>6570</v>
      </c>
      <c r="E956" s="2" t="s">
        <v>7542</v>
      </c>
      <c r="F956" s="2"/>
      <c r="G956" s="2" t="s">
        <v>7543</v>
      </c>
      <c r="H956" s="2" t="s">
        <v>2516</v>
      </c>
      <c r="I956" s="5"/>
      <c r="J956" s="2" t="s">
        <v>7544</v>
      </c>
      <c r="K956" s="2" t="s">
        <v>1051</v>
      </c>
      <c r="L956" s="5" t="n">
        <v>86400</v>
      </c>
    </row>
    <row r="957" customFormat="false" ht="23.85" hidden="false" customHeight="false" outlineLevel="0" collapsed="false">
      <c r="A957" s="5" t="s">
        <v>6106</v>
      </c>
      <c r="B957" s="2" t="s">
        <v>6107</v>
      </c>
      <c r="C957" s="5" t="s">
        <v>2128</v>
      </c>
      <c r="D957" s="5" t="s">
        <v>6578</v>
      </c>
      <c r="E957" s="2" t="s">
        <v>7545</v>
      </c>
      <c r="F957" s="2"/>
      <c r="G957" s="2" t="s">
        <v>7543</v>
      </c>
      <c r="H957" s="2" t="s">
        <v>2516</v>
      </c>
      <c r="I957" s="5"/>
      <c r="J957" s="2" t="s">
        <v>7546</v>
      </c>
      <c r="K957" s="2" t="s">
        <v>1051</v>
      </c>
      <c r="L957" s="5" t="n">
        <v>86400</v>
      </c>
    </row>
    <row r="958" customFormat="false" ht="46.25" hidden="false" customHeight="false" outlineLevel="0" collapsed="false">
      <c r="A958" s="5" t="s">
        <v>6117</v>
      </c>
      <c r="B958" s="2" t="s">
        <v>6118</v>
      </c>
      <c r="C958" s="5" t="s">
        <v>2128</v>
      </c>
      <c r="D958" s="5" t="s">
        <v>6021</v>
      </c>
      <c r="E958" s="2" t="s">
        <v>7547</v>
      </c>
      <c r="F958" s="2"/>
      <c r="G958" s="2" t="s">
        <v>6120</v>
      </c>
      <c r="H958" s="2" t="s">
        <v>2733</v>
      </c>
      <c r="I958" s="5" t="s">
        <v>74</v>
      </c>
      <c r="J958" s="2" t="s">
        <v>7548</v>
      </c>
      <c r="K958" s="2" t="s">
        <v>6021</v>
      </c>
      <c r="L958" s="5" t="n">
        <v>600</v>
      </c>
    </row>
    <row r="959" customFormat="false" ht="79.85" hidden="false" customHeight="false" outlineLevel="0" collapsed="false">
      <c r="A959" s="5" t="s">
        <v>6124</v>
      </c>
      <c r="B959" s="2" t="s">
        <v>6125</v>
      </c>
      <c r="C959" s="5" t="s">
        <v>2128</v>
      </c>
      <c r="D959" s="5" t="s">
        <v>6127</v>
      </c>
      <c r="E959" s="2" t="s">
        <v>7310</v>
      </c>
      <c r="F959" s="2"/>
      <c r="G959" s="2" t="s">
        <v>6128</v>
      </c>
      <c r="H959" s="2" t="s">
        <v>2733</v>
      </c>
      <c r="I959" s="5" t="s">
        <v>74</v>
      </c>
      <c r="J959" s="2" t="s">
        <v>7549</v>
      </c>
      <c r="K959" s="2" t="s">
        <v>6127</v>
      </c>
      <c r="L959" s="5" t="n">
        <v>600</v>
      </c>
    </row>
    <row r="960" customFormat="false" ht="57.45" hidden="false" customHeight="false" outlineLevel="0" collapsed="false">
      <c r="A960" s="5" t="s">
        <v>6131</v>
      </c>
      <c r="B960" s="2" t="s">
        <v>6132</v>
      </c>
      <c r="C960" s="5" t="s">
        <v>2245</v>
      </c>
      <c r="D960" s="5" t="s">
        <v>71</v>
      </c>
      <c r="E960" s="2" t="s">
        <v>1212</v>
      </c>
      <c r="F960" s="2"/>
      <c r="G960" s="2" t="s">
        <v>6133</v>
      </c>
      <c r="H960" s="2" t="s">
        <v>1716</v>
      </c>
      <c r="I960" s="5" t="s">
        <v>74</v>
      </c>
      <c r="J960" s="2" t="s">
        <v>7550</v>
      </c>
      <c r="K960" s="2" t="s">
        <v>71</v>
      </c>
      <c r="L960" s="5" t="n">
        <v>300</v>
      </c>
    </row>
    <row r="961" customFormat="false" ht="23.85" hidden="false" customHeight="false" outlineLevel="0" collapsed="false">
      <c r="A961" s="5" t="s">
        <v>6136</v>
      </c>
      <c r="B961" s="2" t="s">
        <v>6137</v>
      </c>
      <c r="C961" s="5" t="s">
        <v>2245</v>
      </c>
      <c r="D961" s="5" t="s">
        <v>71</v>
      </c>
      <c r="E961" s="2" t="s">
        <v>1105</v>
      </c>
      <c r="F961" s="2"/>
      <c r="G961" s="2" t="s">
        <v>6138</v>
      </c>
      <c r="H961" s="2" t="s">
        <v>1139</v>
      </c>
      <c r="I961" s="5" t="s">
        <v>74</v>
      </c>
      <c r="J961" s="2" t="s">
        <v>7551</v>
      </c>
      <c r="K961" s="2" t="s">
        <v>71</v>
      </c>
      <c r="L961" s="5" t="n">
        <v>300</v>
      </c>
    </row>
    <row r="962" customFormat="false" ht="23.85" hidden="false" customHeight="false" outlineLevel="0" collapsed="false">
      <c r="A962" s="5" t="s">
        <v>6141</v>
      </c>
      <c r="B962" s="2" t="s">
        <v>6142</v>
      </c>
      <c r="C962" s="5" t="s">
        <v>2245</v>
      </c>
      <c r="D962" s="5" t="s">
        <v>71</v>
      </c>
      <c r="E962" s="2" t="s">
        <v>3130</v>
      </c>
      <c r="F962" s="2"/>
      <c r="G962" s="2" t="s">
        <v>6143</v>
      </c>
      <c r="H962" s="2" t="s">
        <v>3132</v>
      </c>
      <c r="I962" s="5" t="s">
        <v>74</v>
      </c>
      <c r="J962" s="2" t="s">
        <v>7552</v>
      </c>
      <c r="K962" s="2" t="s">
        <v>71</v>
      </c>
      <c r="L962" s="5" t="n">
        <v>300</v>
      </c>
    </row>
    <row r="963" customFormat="false" ht="23.85" hidden="false" customHeight="false" outlineLevel="0" collapsed="false">
      <c r="A963" s="5" t="s">
        <v>6146</v>
      </c>
      <c r="B963" s="2" t="s">
        <v>6147</v>
      </c>
      <c r="C963" s="5" t="s">
        <v>2245</v>
      </c>
      <c r="D963" s="5" t="s">
        <v>71</v>
      </c>
      <c r="E963" s="2" t="s">
        <v>3457</v>
      </c>
      <c r="F963" s="2"/>
      <c r="G963" s="2" t="s">
        <v>6148</v>
      </c>
      <c r="H963" s="2" t="s">
        <v>3459</v>
      </c>
      <c r="I963" s="5" t="s">
        <v>74</v>
      </c>
      <c r="J963" s="2" t="s">
        <v>7553</v>
      </c>
      <c r="K963" s="2" t="s">
        <v>71</v>
      </c>
      <c r="L963" s="5" t="n">
        <v>300</v>
      </c>
    </row>
    <row r="964" customFormat="false" ht="23.85" hidden="false" customHeight="false" outlineLevel="0" collapsed="false">
      <c r="A964" s="5" t="s">
        <v>6151</v>
      </c>
      <c r="B964" s="2" t="s">
        <v>6152</v>
      </c>
      <c r="C964" s="5" t="s">
        <v>2245</v>
      </c>
      <c r="D964" s="5" t="s">
        <v>71</v>
      </c>
      <c r="E964" s="2" t="s">
        <v>1160</v>
      </c>
      <c r="F964" s="2"/>
      <c r="G964" s="2" t="s">
        <v>6153</v>
      </c>
      <c r="H964" s="2" t="s">
        <v>1193</v>
      </c>
      <c r="I964" s="5" t="s">
        <v>74</v>
      </c>
      <c r="J964" s="2" t="s">
        <v>7554</v>
      </c>
      <c r="K964" s="2" t="s">
        <v>71</v>
      </c>
      <c r="L964" s="5" t="n">
        <v>300</v>
      </c>
    </row>
    <row r="965" customFormat="false" ht="23.85" hidden="false" customHeight="false" outlineLevel="0" collapsed="false">
      <c r="A965" s="5" t="s">
        <v>6156</v>
      </c>
      <c r="B965" s="2" t="s">
        <v>6157</v>
      </c>
      <c r="C965" s="5" t="s">
        <v>2245</v>
      </c>
      <c r="D965" s="5" t="s">
        <v>71</v>
      </c>
      <c r="E965" s="2" t="s">
        <v>3130</v>
      </c>
      <c r="F965" s="2"/>
      <c r="G965" s="2" t="s">
        <v>6159</v>
      </c>
      <c r="H965" s="2" t="s">
        <v>3132</v>
      </c>
      <c r="I965" s="5" t="s">
        <v>74</v>
      </c>
      <c r="J965" s="2" t="s">
        <v>7555</v>
      </c>
      <c r="K965" s="2" t="s">
        <v>71</v>
      </c>
      <c r="L965" s="5" t="n">
        <v>300</v>
      </c>
    </row>
    <row r="966" customFormat="false" ht="23.85" hidden="false" customHeight="false" outlineLevel="0" collapsed="false">
      <c r="A966" s="5" t="s">
        <v>6162</v>
      </c>
      <c r="B966" s="2" t="s">
        <v>6163</v>
      </c>
      <c r="C966" s="5" t="s">
        <v>2245</v>
      </c>
      <c r="D966" s="5" t="s">
        <v>71</v>
      </c>
      <c r="E966" s="2" t="s">
        <v>3130</v>
      </c>
      <c r="F966" s="2"/>
      <c r="G966" s="2" t="s">
        <v>6164</v>
      </c>
      <c r="H966" s="2" t="s">
        <v>3132</v>
      </c>
      <c r="I966" s="5" t="s">
        <v>74</v>
      </c>
      <c r="J966" s="2" t="s">
        <v>7556</v>
      </c>
      <c r="K966" s="2" t="s">
        <v>71</v>
      </c>
      <c r="L966" s="5" t="n">
        <v>300</v>
      </c>
    </row>
    <row r="967" customFormat="false" ht="23.85" hidden="false" customHeight="false" outlineLevel="0" collapsed="false">
      <c r="A967" s="5" t="s">
        <v>6167</v>
      </c>
      <c r="B967" s="2" t="s">
        <v>6168</v>
      </c>
      <c r="C967" s="5" t="s">
        <v>2245</v>
      </c>
      <c r="D967" s="5" t="s">
        <v>71</v>
      </c>
      <c r="E967" s="2" t="s">
        <v>3130</v>
      </c>
      <c r="F967" s="2"/>
      <c r="G967" s="2" t="s">
        <v>6169</v>
      </c>
      <c r="H967" s="2" t="s">
        <v>3132</v>
      </c>
      <c r="I967" s="5" t="s">
        <v>74</v>
      </c>
      <c r="J967" s="2" t="s">
        <v>7557</v>
      </c>
      <c r="K967" s="2" t="s">
        <v>71</v>
      </c>
      <c r="L967" s="5" t="n">
        <v>300</v>
      </c>
    </row>
    <row r="968" customFormat="false" ht="23.85" hidden="false" customHeight="false" outlineLevel="0" collapsed="false">
      <c r="A968" s="5" t="s">
        <v>6172</v>
      </c>
      <c r="B968" s="2" t="s">
        <v>6173</v>
      </c>
      <c r="C968" s="5" t="s">
        <v>2245</v>
      </c>
      <c r="D968" s="5" t="s">
        <v>71</v>
      </c>
      <c r="E968" s="2" t="s">
        <v>3238</v>
      </c>
      <c r="F968" s="2"/>
      <c r="G968" s="2" t="s">
        <v>6174</v>
      </c>
      <c r="H968" s="2" t="s">
        <v>6175</v>
      </c>
      <c r="I968" s="5" t="s">
        <v>74</v>
      </c>
      <c r="J968" s="2" t="s">
        <v>7558</v>
      </c>
      <c r="K968" s="2" t="s">
        <v>71</v>
      </c>
      <c r="L968" s="5" t="n">
        <v>300</v>
      </c>
    </row>
    <row r="969" customFormat="false" ht="35.05" hidden="false" customHeight="false" outlineLevel="0" collapsed="false">
      <c r="A969" s="5" t="s">
        <v>6178</v>
      </c>
      <c r="B969" s="2" t="s">
        <v>6179</v>
      </c>
      <c r="C969" s="5" t="s">
        <v>2245</v>
      </c>
      <c r="D969" s="5" t="s">
        <v>71</v>
      </c>
      <c r="E969" s="2" t="s">
        <v>1105</v>
      </c>
      <c r="F969" s="2"/>
      <c r="G969" s="2" t="s">
        <v>6180</v>
      </c>
      <c r="H969" s="2" t="s">
        <v>6181</v>
      </c>
      <c r="I969" s="5" t="s">
        <v>74</v>
      </c>
      <c r="J969" s="2" t="s">
        <v>7559</v>
      </c>
      <c r="K969" s="2" t="s">
        <v>71</v>
      </c>
      <c r="L969" s="5" t="n">
        <v>300</v>
      </c>
    </row>
    <row r="970" customFormat="false" ht="326.1" hidden="false" customHeight="false" outlineLevel="0" collapsed="false">
      <c r="A970" s="5" t="s">
        <v>6184</v>
      </c>
      <c r="B970" s="2" t="s">
        <v>6185</v>
      </c>
      <c r="C970" s="5" t="s">
        <v>2245</v>
      </c>
      <c r="D970" s="5" t="s">
        <v>71</v>
      </c>
      <c r="E970" s="2" t="s">
        <v>368</v>
      </c>
      <c r="F970" s="2"/>
      <c r="G970" s="2" t="s">
        <v>6186</v>
      </c>
      <c r="H970" s="2" t="s">
        <v>1432</v>
      </c>
      <c r="I970" s="5" t="s">
        <v>74</v>
      </c>
      <c r="J970" s="2" t="s">
        <v>7560</v>
      </c>
      <c r="K970" s="2" t="s">
        <v>71</v>
      </c>
      <c r="L970" s="5" t="n">
        <v>300</v>
      </c>
    </row>
    <row r="971" customFormat="false" ht="15" hidden="false" customHeight="false" outlineLevel="0" collapsed="false">
      <c r="A971" s="5" t="s">
        <v>6189</v>
      </c>
      <c r="B971" s="2" t="s">
        <v>6190</v>
      </c>
      <c r="C971" s="5" t="s">
        <v>2245</v>
      </c>
      <c r="D971" s="5" t="s">
        <v>71</v>
      </c>
      <c r="E971" s="2" t="s">
        <v>1160</v>
      </c>
      <c r="F971" s="2"/>
      <c r="G971" s="2" t="s">
        <v>6191</v>
      </c>
      <c r="H971" s="2" t="s">
        <v>1193</v>
      </c>
      <c r="I971" s="5" t="s">
        <v>74</v>
      </c>
      <c r="J971" s="2" t="s">
        <v>7561</v>
      </c>
      <c r="K971" s="2" t="s">
        <v>71</v>
      </c>
      <c r="L971" s="5" t="n">
        <v>300</v>
      </c>
    </row>
    <row r="972" customFormat="false" ht="23.85" hidden="false" customHeight="false" outlineLevel="0" collapsed="false">
      <c r="A972" s="5" t="s">
        <v>6194</v>
      </c>
      <c r="B972" s="2" t="s">
        <v>6195</v>
      </c>
      <c r="C972" s="5" t="s">
        <v>2245</v>
      </c>
      <c r="D972" s="5" t="s">
        <v>71</v>
      </c>
      <c r="E972" s="2" t="s">
        <v>3238</v>
      </c>
      <c r="F972" s="2"/>
      <c r="G972" s="2" t="s">
        <v>6196</v>
      </c>
      <c r="H972" s="2" t="s">
        <v>6175</v>
      </c>
      <c r="I972" s="5" t="s">
        <v>74</v>
      </c>
      <c r="J972" s="2" t="s">
        <v>7562</v>
      </c>
      <c r="K972" s="2" t="s">
        <v>71</v>
      </c>
      <c r="L972" s="5" t="n">
        <v>300</v>
      </c>
    </row>
    <row r="973" customFormat="false" ht="57.45" hidden="false" customHeight="false" outlineLevel="0" collapsed="false">
      <c r="A973" s="5" t="s">
        <v>6199</v>
      </c>
      <c r="B973" s="2" t="s">
        <v>6200</v>
      </c>
      <c r="C973" s="5" t="s">
        <v>2245</v>
      </c>
      <c r="D973" s="5" t="s">
        <v>71</v>
      </c>
      <c r="E973" s="2" t="s">
        <v>1105</v>
      </c>
      <c r="F973" s="2"/>
      <c r="G973" s="2" t="s">
        <v>6201</v>
      </c>
      <c r="H973" s="2" t="s">
        <v>1176</v>
      </c>
      <c r="I973" s="5" t="s">
        <v>74</v>
      </c>
      <c r="J973" s="2" t="s">
        <v>7563</v>
      </c>
      <c r="K973" s="2" t="s">
        <v>71</v>
      </c>
      <c r="L973" s="5" t="n">
        <v>300</v>
      </c>
    </row>
    <row r="974" customFormat="false" ht="35.05" hidden="false" customHeight="false" outlineLevel="0" collapsed="false">
      <c r="A974" s="5" t="s">
        <v>6204</v>
      </c>
      <c r="B974" s="2" t="s">
        <v>6205</v>
      </c>
      <c r="C974" s="5" t="s">
        <v>2245</v>
      </c>
      <c r="D974" s="5" t="s">
        <v>71</v>
      </c>
      <c r="E974" s="2" t="s">
        <v>1105</v>
      </c>
      <c r="F974" s="2"/>
      <c r="G974" s="2" t="s">
        <v>6206</v>
      </c>
      <c r="H974" s="2" t="s">
        <v>1139</v>
      </c>
      <c r="I974" s="5" t="s">
        <v>74</v>
      </c>
      <c r="J974" s="2" t="s">
        <v>7564</v>
      </c>
      <c r="K974" s="2" t="s">
        <v>71</v>
      </c>
      <c r="L974" s="5" t="n">
        <v>300</v>
      </c>
    </row>
    <row r="975" customFormat="false" ht="35.05" hidden="false" customHeight="false" outlineLevel="0" collapsed="false">
      <c r="A975" s="5" t="s">
        <v>6209</v>
      </c>
      <c r="B975" s="2" t="s">
        <v>6210</v>
      </c>
      <c r="C975" s="5" t="s">
        <v>2128</v>
      </c>
      <c r="D975" s="5" t="s">
        <v>71</v>
      </c>
      <c r="E975" s="2" t="s">
        <v>1105</v>
      </c>
      <c r="F975" s="2"/>
      <c r="G975" s="2" t="s">
        <v>6211</v>
      </c>
      <c r="H975" s="2" t="s">
        <v>1335</v>
      </c>
      <c r="I975" s="5" t="s">
        <v>74</v>
      </c>
      <c r="J975" s="2" t="s">
        <v>7565</v>
      </c>
      <c r="K975" s="2" t="s">
        <v>71</v>
      </c>
      <c r="L975" s="5" t="n">
        <v>300</v>
      </c>
    </row>
    <row r="976" customFormat="false" ht="35.05" hidden="false" customHeight="false" outlineLevel="0" collapsed="false">
      <c r="A976" s="5" t="s">
        <v>6214</v>
      </c>
      <c r="B976" s="2" t="s">
        <v>6215</v>
      </c>
      <c r="C976" s="5" t="s">
        <v>2245</v>
      </c>
      <c r="D976" s="5" t="s">
        <v>71</v>
      </c>
      <c r="E976" s="2" t="s">
        <v>1105</v>
      </c>
      <c r="F976" s="2"/>
      <c r="G976" s="2" t="s">
        <v>6216</v>
      </c>
      <c r="H976" s="2" t="s">
        <v>6217</v>
      </c>
      <c r="I976" s="5" t="s">
        <v>74</v>
      </c>
      <c r="J976" s="2" t="s">
        <v>7566</v>
      </c>
      <c r="K976" s="2" t="s">
        <v>71</v>
      </c>
      <c r="L976" s="5" t="n">
        <v>300</v>
      </c>
    </row>
    <row r="977" customFormat="false" ht="124.6" hidden="false" customHeight="false" outlineLevel="0" collapsed="false">
      <c r="A977" s="5" t="s">
        <v>6220</v>
      </c>
      <c r="B977" s="2" t="s">
        <v>6221</v>
      </c>
      <c r="C977" s="5" t="s">
        <v>2245</v>
      </c>
      <c r="D977" s="5" t="s">
        <v>71</v>
      </c>
      <c r="E977" s="2" t="s">
        <v>6223</v>
      </c>
      <c r="F977" s="2"/>
      <c r="G977" s="2" t="s">
        <v>6224</v>
      </c>
      <c r="H977" s="2" t="s">
        <v>6225</v>
      </c>
      <c r="I977" s="5" t="s">
        <v>74</v>
      </c>
      <c r="J977" s="2" t="s">
        <v>7567</v>
      </c>
      <c r="K977" s="2" t="s">
        <v>71</v>
      </c>
      <c r="L977" s="5" t="n">
        <v>300</v>
      </c>
    </row>
    <row r="978" customFormat="false" ht="57.45" hidden="false" customHeight="false" outlineLevel="0" collapsed="false">
      <c r="A978" s="5" t="s">
        <v>6229</v>
      </c>
      <c r="B978" s="2" t="s">
        <v>6230</v>
      </c>
      <c r="C978" s="5" t="s">
        <v>2245</v>
      </c>
      <c r="D978" s="5" t="s">
        <v>71</v>
      </c>
      <c r="E978" s="2" t="s">
        <v>1105</v>
      </c>
      <c r="F978" s="2"/>
      <c r="G978" s="2" t="s">
        <v>6231</v>
      </c>
      <c r="H978" s="2" t="s">
        <v>1139</v>
      </c>
      <c r="I978" s="5" t="s">
        <v>74</v>
      </c>
      <c r="J978" s="2" t="s">
        <v>7568</v>
      </c>
      <c r="K978" s="2" t="s">
        <v>71</v>
      </c>
      <c r="L978" s="5" t="n">
        <v>300</v>
      </c>
    </row>
    <row r="979" customFormat="false" ht="46.25" hidden="false" customHeight="false" outlineLevel="0" collapsed="false">
      <c r="A979" s="5" t="s">
        <v>6234</v>
      </c>
      <c r="B979" s="2" t="s">
        <v>6235</v>
      </c>
      <c r="C979" s="5" t="s">
        <v>2245</v>
      </c>
      <c r="D979" s="5" t="s">
        <v>71</v>
      </c>
      <c r="E979" s="2" t="s">
        <v>3327</v>
      </c>
      <c r="F979" s="2"/>
      <c r="G979" s="2" t="s">
        <v>6236</v>
      </c>
      <c r="H979" s="2" t="s">
        <v>3329</v>
      </c>
      <c r="I979" s="5" t="s">
        <v>74</v>
      </c>
      <c r="J979" s="2" t="s">
        <v>7569</v>
      </c>
      <c r="K979" s="2" t="s">
        <v>71</v>
      </c>
      <c r="L979" s="5" t="n">
        <v>300</v>
      </c>
    </row>
    <row r="980" customFormat="false" ht="23.85" hidden="false" customHeight="false" outlineLevel="0" collapsed="false">
      <c r="A980" s="5" t="s">
        <v>6239</v>
      </c>
      <c r="B980" s="2" t="s">
        <v>6240</v>
      </c>
      <c r="C980" s="5" t="s">
        <v>2245</v>
      </c>
      <c r="D980" s="5" t="s">
        <v>71</v>
      </c>
      <c r="E980" s="2" t="s">
        <v>6242</v>
      </c>
      <c r="F980" s="2"/>
      <c r="G980" s="2" t="s">
        <v>6243</v>
      </c>
      <c r="H980" s="2" t="s">
        <v>6244</v>
      </c>
      <c r="I980" s="5" t="s">
        <v>74</v>
      </c>
      <c r="J980" s="2" t="s">
        <v>7570</v>
      </c>
      <c r="K980" s="2" t="s">
        <v>71</v>
      </c>
      <c r="L980" s="5" t="n">
        <v>300</v>
      </c>
    </row>
    <row r="981" customFormat="false" ht="46.25" hidden="false" customHeight="false" outlineLevel="0" collapsed="false">
      <c r="A981" s="5" t="s">
        <v>6247</v>
      </c>
      <c r="B981" s="2" t="s">
        <v>6248</v>
      </c>
      <c r="C981" s="5" t="s">
        <v>2245</v>
      </c>
      <c r="D981" s="5" t="s">
        <v>71</v>
      </c>
      <c r="E981" s="2" t="s">
        <v>1160</v>
      </c>
      <c r="F981" s="2"/>
      <c r="G981" s="2" t="s">
        <v>6249</v>
      </c>
      <c r="H981" s="2" t="s">
        <v>1162</v>
      </c>
      <c r="I981" s="5" t="s">
        <v>74</v>
      </c>
      <c r="J981" s="2" t="s">
        <v>7571</v>
      </c>
      <c r="K981" s="2" t="s">
        <v>71</v>
      </c>
      <c r="L981" s="5" t="n">
        <v>300</v>
      </c>
    </row>
    <row r="982" customFormat="false" ht="147" hidden="false" customHeight="false" outlineLevel="0" collapsed="false">
      <c r="A982" s="5" t="s">
        <v>6252</v>
      </c>
      <c r="B982" s="2" t="s">
        <v>6253</v>
      </c>
      <c r="C982" s="5" t="s">
        <v>2245</v>
      </c>
      <c r="D982" s="5" t="s">
        <v>71</v>
      </c>
      <c r="E982" s="2"/>
      <c r="F982" s="2" t="s">
        <v>6254</v>
      </c>
      <c r="G982" s="2" t="s">
        <v>6255</v>
      </c>
      <c r="H982" s="2" t="s">
        <v>1098</v>
      </c>
      <c r="I982" s="5" t="s">
        <v>74</v>
      </c>
      <c r="J982" s="2" t="s">
        <v>7572</v>
      </c>
      <c r="K982" s="2" t="s">
        <v>71</v>
      </c>
      <c r="L982" s="5" t="n">
        <v>300</v>
      </c>
    </row>
    <row r="983" customFormat="false" ht="46.25" hidden="false" customHeight="false" outlineLevel="0" collapsed="false">
      <c r="A983" s="5" t="s">
        <v>6258</v>
      </c>
      <c r="B983" s="2" t="s">
        <v>6259</v>
      </c>
      <c r="C983" s="5" t="s">
        <v>2128</v>
      </c>
      <c r="D983" s="5" t="s">
        <v>71</v>
      </c>
      <c r="E983" s="2" t="s">
        <v>1105</v>
      </c>
      <c r="F983" s="2"/>
      <c r="G983" s="2" t="s">
        <v>6260</v>
      </c>
      <c r="H983" s="2" t="s">
        <v>1931</v>
      </c>
      <c r="I983" s="5" t="s">
        <v>74</v>
      </c>
      <c r="J983" s="2" t="s">
        <v>7573</v>
      </c>
      <c r="K983" s="2" t="s">
        <v>71</v>
      </c>
      <c r="L983" s="5" t="n">
        <v>300</v>
      </c>
    </row>
    <row r="984" customFormat="false" ht="23.85" hidden="false" customHeight="false" outlineLevel="0" collapsed="false">
      <c r="A984" s="5" t="s">
        <v>6263</v>
      </c>
      <c r="B984" s="2" t="s">
        <v>6264</v>
      </c>
      <c r="C984" s="5" t="s">
        <v>2128</v>
      </c>
      <c r="D984" s="5" t="s">
        <v>71</v>
      </c>
      <c r="E984" s="2" t="s">
        <v>1105</v>
      </c>
      <c r="F984" s="2"/>
      <c r="G984" s="2" t="s">
        <v>6265</v>
      </c>
      <c r="H984" s="2" t="s">
        <v>1953</v>
      </c>
      <c r="I984" s="5" t="s">
        <v>74</v>
      </c>
      <c r="J984" s="2" t="s">
        <v>7574</v>
      </c>
      <c r="K984" s="2" t="s">
        <v>71</v>
      </c>
      <c r="L984" s="5" t="n">
        <v>300</v>
      </c>
    </row>
    <row r="985" customFormat="false" ht="46.25" hidden="false" customHeight="false" outlineLevel="0" collapsed="false">
      <c r="A985" s="5" t="s">
        <v>6268</v>
      </c>
      <c r="B985" s="2" t="s">
        <v>6269</v>
      </c>
      <c r="C985" s="5" t="s">
        <v>2128</v>
      </c>
      <c r="D985" s="5" t="s">
        <v>71</v>
      </c>
      <c r="E985" s="2" t="s">
        <v>1105</v>
      </c>
      <c r="F985" s="2"/>
      <c r="G985" s="2" t="s">
        <v>6270</v>
      </c>
      <c r="H985" s="2" t="s">
        <v>6271</v>
      </c>
      <c r="I985" s="5" t="s">
        <v>74</v>
      </c>
      <c r="J985" s="2" t="s">
        <v>7575</v>
      </c>
      <c r="K985" s="2" t="s">
        <v>71</v>
      </c>
      <c r="L985" s="5" t="n">
        <v>300</v>
      </c>
    </row>
    <row r="986" customFormat="false" ht="15" hidden="false" customHeight="false" outlineLevel="0" collapsed="false">
      <c r="A986" s="5" t="s">
        <v>6274</v>
      </c>
      <c r="B986" s="2" t="s">
        <v>6275</v>
      </c>
      <c r="C986" s="5" t="s">
        <v>2128</v>
      </c>
      <c r="D986" s="5" t="s">
        <v>71</v>
      </c>
      <c r="E986" s="2" t="s">
        <v>6277</v>
      </c>
      <c r="F986" s="2"/>
      <c r="G986" s="2" t="s">
        <v>6278</v>
      </c>
      <c r="H986" s="2" t="s">
        <v>6279</v>
      </c>
      <c r="I986" s="5" t="s">
        <v>74</v>
      </c>
      <c r="J986" s="2" t="s">
        <v>7576</v>
      </c>
      <c r="K986" s="2" t="s">
        <v>71</v>
      </c>
      <c r="L986" s="5" t="n">
        <v>300</v>
      </c>
    </row>
    <row r="987" customFormat="false" ht="225.35" hidden="false" customHeight="false" outlineLevel="0" collapsed="false">
      <c r="A987" s="5" t="s">
        <v>6283</v>
      </c>
      <c r="B987" s="2" t="s">
        <v>6284</v>
      </c>
      <c r="C987" s="5" t="s">
        <v>2245</v>
      </c>
      <c r="D987" s="5" t="s">
        <v>71</v>
      </c>
      <c r="E987" s="2" t="s">
        <v>3373</v>
      </c>
      <c r="F987" s="2"/>
      <c r="G987" s="2" t="s">
        <v>6285</v>
      </c>
      <c r="H987" s="2" t="s">
        <v>6286</v>
      </c>
      <c r="I987" s="5" t="s">
        <v>74</v>
      </c>
      <c r="J987" s="2" t="s">
        <v>7577</v>
      </c>
      <c r="K987" s="2" t="s">
        <v>71</v>
      </c>
      <c r="L987" s="5" t="n">
        <v>300</v>
      </c>
    </row>
    <row r="988" customFormat="false" ht="23.85" hidden="false" customHeight="false" outlineLevel="0" collapsed="false">
      <c r="A988" s="5" t="s">
        <v>6289</v>
      </c>
      <c r="B988" s="2" t="s">
        <v>6290</v>
      </c>
      <c r="C988" s="5" t="s">
        <v>2245</v>
      </c>
      <c r="D988" s="5" t="s">
        <v>71</v>
      </c>
      <c r="E988" s="2" t="s">
        <v>6291</v>
      </c>
      <c r="F988" s="2"/>
      <c r="G988" s="2" t="s">
        <v>6292</v>
      </c>
      <c r="H988" s="2" t="s">
        <v>6293</v>
      </c>
      <c r="I988" s="5" t="s">
        <v>74</v>
      </c>
      <c r="J988" s="2" t="s">
        <v>7578</v>
      </c>
      <c r="K988" s="2" t="s">
        <v>71</v>
      </c>
      <c r="L988" s="5" t="n">
        <v>300</v>
      </c>
    </row>
    <row r="989" customFormat="false" ht="23.85" hidden="false" customHeight="false" outlineLevel="0" collapsed="false">
      <c r="A989" s="5" t="s">
        <v>6297</v>
      </c>
      <c r="B989" s="2" t="s">
        <v>6298</v>
      </c>
      <c r="C989" s="5" t="s">
        <v>2128</v>
      </c>
      <c r="D989" s="5" t="s">
        <v>71</v>
      </c>
      <c r="E989" s="2" t="s">
        <v>1160</v>
      </c>
      <c r="F989" s="2"/>
      <c r="G989" s="2" t="s">
        <v>6299</v>
      </c>
      <c r="H989" s="2" t="s">
        <v>1162</v>
      </c>
      <c r="I989" s="5" t="s">
        <v>74</v>
      </c>
      <c r="J989" s="2" t="s">
        <v>7579</v>
      </c>
      <c r="K989" s="2" t="s">
        <v>71</v>
      </c>
      <c r="L989" s="5" t="n">
        <v>300</v>
      </c>
    </row>
    <row r="990" customFormat="false" ht="35.05" hidden="false" customHeight="false" outlineLevel="0" collapsed="false">
      <c r="A990" s="5" t="s">
        <v>6302</v>
      </c>
      <c r="B990" s="2" t="s">
        <v>6303</v>
      </c>
      <c r="C990" s="5" t="s">
        <v>2128</v>
      </c>
      <c r="D990" s="5" t="s">
        <v>71</v>
      </c>
      <c r="E990" s="2" t="s">
        <v>1212</v>
      </c>
      <c r="F990" s="2"/>
      <c r="G990" s="2" t="s">
        <v>6304</v>
      </c>
      <c r="H990" s="2" t="s">
        <v>1716</v>
      </c>
      <c r="I990" s="5" t="s">
        <v>74</v>
      </c>
      <c r="J990" s="2" t="s">
        <v>7580</v>
      </c>
      <c r="K990" s="2" t="s">
        <v>71</v>
      </c>
      <c r="L990" s="5" t="n">
        <v>300</v>
      </c>
    </row>
    <row r="991" customFormat="false" ht="35.05" hidden="false" customHeight="false" outlineLevel="0" collapsed="false">
      <c r="A991" s="5" t="s">
        <v>6307</v>
      </c>
      <c r="B991" s="2" t="s">
        <v>6308</v>
      </c>
      <c r="C991" s="5" t="s">
        <v>2245</v>
      </c>
      <c r="D991" s="5" t="s">
        <v>71</v>
      </c>
      <c r="E991" s="2" t="s">
        <v>1105</v>
      </c>
      <c r="F991" s="2"/>
      <c r="G991" s="2" t="s">
        <v>6309</v>
      </c>
      <c r="H991" s="2" t="s">
        <v>3265</v>
      </c>
      <c r="I991" s="5" t="s">
        <v>74</v>
      </c>
      <c r="J991" s="2" t="s">
        <v>7581</v>
      </c>
      <c r="K991" s="2" t="s">
        <v>71</v>
      </c>
      <c r="L991" s="5" t="n">
        <v>300</v>
      </c>
    </row>
    <row r="992" customFormat="false" ht="23.85" hidden="false" customHeight="false" outlineLevel="0" collapsed="false">
      <c r="A992" s="5" t="s">
        <v>6312</v>
      </c>
      <c r="B992" s="2" t="s">
        <v>6313</v>
      </c>
      <c r="C992" s="5" t="s">
        <v>2245</v>
      </c>
      <c r="D992" s="5" t="s">
        <v>71</v>
      </c>
      <c r="E992" s="2" t="s">
        <v>1105</v>
      </c>
      <c r="F992" s="2"/>
      <c r="G992" s="2" t="s">
        <v>6314</v>
      </c>
      <c r="H992" s="2" t="s">
        <v>1931</v>
      </c>
      <c r="I992" s="5" t="s">
        <v>74</v>
      </c>
      <c r="J992" s="2" t="s">
        <v>7582</v>
      </c>
      <c r="K992" s="2" t="s">
        <v>71</v>
      </c>
      <c r="L992" s="5" t="n">
        <v>300</v>
      </c>
    </row>
    <row r="993" customFormat="false" ht="23.85" hidden="false" customHeight="false" outlineLevel="0" collapsed="false">
      <c r="A993" s="5" t="s">
        <v>6317</v>
      </c>
      <c r="B993" s="2" t="s">
        <v>6318</v>
      </c>
      <c r="C993" s="5" t="s">
        <v>2128</v>
      </c>
      <c r="D993" s="5" t="s">
        <v>71</v>
      </c>
      <c r="E993" s="2" t="s">
        <v>1105</v>
      </c>
      <c r="F993" s="2"/>
      <c r="G993" s="2" t="s">
        <v>6320</v>
      </c>
      <c r="H993" s="2" t="s">
        <v>1139</v>
      </c>
      <c r="I993" s="5" t="s">
        <v>74</v>
      </c>
      <c r="J993" s="2" t="s">
        <v>7583</v>
      </c>
      <c r="K993" s="2" t="s">
        <v>71</v>
      </c>
      <c r="L993" s="5" t="n">
        <v>300</v>
      </c>
    </row>
    <row r="994" customFormat="false" ht="23.85" hidden="false" customHeight="false" outlineLevel="0" collapsed="false">
      <c r="A994" s="5" t="s">
        <v>6323</v>
      </c>
      <c r="B994" s="2" t="s">
        <v>6324</v>
      </c>
      <c r="C994" s="5" t="s">
        <v>2245</v>
      </c>
      <c r="D994" s="5" t="s">
        <v>71</v>
      </c>
      <c r="E994" s="2" t="s">
        <v>3130</v>
      </c>
      <c r="F994" s="2"/>
      <c r="G994" s="2" t="s">
        <v>6325</v>
      </c>
      <c r="H994" s="2" t="s">
        <v>3132</v>
      </c>
      <c r="I994" s="5" t="s">
        <v>74</v>
      </c>
      <c r="J994" s="2" t="s">
        <v>7584</v>
      </c>
      <c r="K994" s="2" t="s">
        <v>71</v>
      </c>
      <c r="L994" s="5" t="n">
        <v>300</v>
      </c>
    </row>
    <row r="995" customFormat="false" ht="23.85" hidden="false" customHeight="false" outlineLevel="0" collapsed="false">
      <c r="A995" s="5" t="s">
        <v>6328</v>
      </c>
      <c r="B995" s="2" t="s">
        <v>6329</v>
      </c>
      <c r="C995" s="5" t="s">
        <v>2245</v>
      </c>
      <c r="D995" s="5" t="s">
        <v>71</v>
      </c>
      <c r="E995" s="2" t="s">
        <v>1105</v>
      </c>
      <c r="F995" s="2"/>
      <c r="G995" s="2" t="s">
        <v>6330</v>
      </c>
      <c r="H995" s="2" t="s">
        <v>1139</v>
      </c>
      <c r="I995" s="5" t="s">
        <v>74</v>
      </c>
      <c r="J995" s="2" t="s">
        <v>7585</v>
      </c>
      <c r="K995" s="2" t="s">
        <v>71</v>
      </c>
      <c r="L995" s="5" t="n">
        <v>300</v>
      </c>
    </row>
    <row r="996" customFormat="false" ht="35.05" hidden="false" customHeight="false" outlineLevel="0" collapsed="false">
      <c r="A996" s="5" t="s">
        <v>6333</v>
      </c>
      <c r="B996" s="2" t="s">
        <v>6334</v>
      </c>
      <c r="C996" s="5" t="s">
        <v>2245</v>
      </c>
      <c r="D996" s="5" t="s">
        <v>71</v>
      </c>
      <c r="E996" s="2" t="s">
        <v>1105</v>
      </c>
      <c r="F996" s="2"/>
      <c r="G996" s="2" t="s">
        <v>6335</v>
      </c>
      <c r="H996" s="2" t="s">
        <v>1176</v>
      </c>
      <c r="I996" s="5" t="s">
        <v>74</v>
      </c>
      <c r="J996" s="2" t="s">
        <v>7586</v>
      </c>
      <c r="K996" s="2" t="s">
        <v>71</v>
      </c>
      <c r="L996" s="5" t="n">
        <v>300</v>
      </c>
    </row>
    <row r="997" customFormat="false" ht="46.25" hidden="false" customHeight="false" outlineLevel="0" collapsed="false">
      <c r="A997" s="5" t="s">
        <v>6338</v>
      </c>
      <c r="B997" s="2" t="s">
        <v>6339</v>
      </c>
      <c r="C997" s="5" t="s">
        <v>2245</v>
      </c>
      <c r="D997" s="5" t="s">
        <v>71</v>
      </c>
      <c r="E997" s="2" t="s">
        <v>1160</v>
      </c>
      <c r="F997" s="2"/>
      <c r="G997" s="2" t="s">
        <v>6340</v>
      </c>
      <c r="H997" s="2" t="s">
        <v>1162</v>
      </c>
      <c r="I997" s="5" t="s">
        <v>74</v>
      </c>
      <c r="J997" s="2" t="s">
        <v>7587</v>
      </c>
      <c r="K997" s="2" t="s">
        <v>71</v>
      </c>
      <c r="L997" s="5" t="n">
        <v>300</v>
      </c>
    </row>
    <row r="998" customFormat="false" ht="314.9" hidden="false" customHeight="false" outlineLevel="0" collapsed="false">
      <c r="A998" s="5" t="s">
        <v>6343</v>
      </c>
      <c r="B998" s="2" t="s">
        <v>6344</v>
      </c>
      <c r="C998" s="5" t="s">
        <v>2245</v>
      </c>
      <c r="D998" s="5" t="s">
        <v>71</v>
      </c>
      <c r="E998" s="2" t="s">
        <v>368</v>
      </c>
      <c r="F998" s="2"/>
      <c r="G998" s="2" t="s">
        <v>6345</v>
      </c>
      <c r="H998" s="2" t="s">
        <v>1925</v>
      </c>
      <c r="I998" s="5" t="s">
        <v>74</v>
      </c>
      <c r="J998" s="2" t="s">
        <v>7588</v>
      </c>
      <c r="K998" s="2" t="s">
        <v>71</v>
      </c>
      <c r="L998" s="5" t="n">
        <v>300</v>
      </c>
    </row>
    <row r="999" customFormat="false" ht="23.85" hidden="false" customHeight="false" outlineLevel="0" collapsed="false">
      <c r="A999" s="5" t="s">
        <v>6348</v>
      </c>
      <c r="B999" s="2" t="s">
        <v>6349</v>
      </c>
      <c r="C999" s="5" t="s">
        <v>2245</v>
      </c>
      <c r="D999" s="5" t="s">
        <v>71</v>
      </c>
      <c r="E999" s="2" t="s">
        <v>3130</v>
      </c>
      <c r="F999" s="2"/>
      <c r="G999" s="2" t="s">
        <v>6350</v>
      </c>
      <c r="H999" s="2" t="s">
        <v>3132</v>
      </c>
      <c r="I999" s="5" t="s">
        <v>74</v>
      </c>
      <c r="J999" s="2" t="s">
        <v>7589</v>
      </c>
      <c r="K999" s="2" t="s">
        <v>71</v>
      </c>
      <c r="L999" s="5" t="n">
        <v>300</v>
      </c>
    </row>
    <row r="1000" customFormat="false" ht="57.45" hidden="false" customHeight="false" outlineLevel="0" collapsed="false">
      <c r="A1000" s="5" t="s">
        <v>6353</v>
      </c>
      <c r="B1000" s="2" t="s">
        <v>6354</v>
      </c>
      <c r="C1000" s="5" t="s">
        <v>2245</v>
      </c>
      <c r="D1000" s="5" t="s">
        <v>71</v>
      </c>
      <c r="E1000" s="2" t="s">
        <v>1105</v>
      </c>
      <c r="F1000" s="2"/>
      <c r="G1000" s="2" t="s">
        <v>6355</v>
      </c>
      <c r="H1000" s="2" t="s">
        <v>1176</v>
      </c>
      <c r="I1000" s="5" t="s">
        <v>74</v>
      </c>
      <c r="J1000" s="2" t="s">
        <v>7590</v>
      </c>
      <c r="K1000" s="2" t="s">
        <v>71</v>
      </c>
      <c r="L1000" s="5" t="n">
        <v>300</v>
      </c>
    </row>
    <row r="1001" customFormat="false" ht="23.85" hidden="false" customHeight="false" outlineLevel="0" collapsed="false">
      <c r="A1001" s="5" t="s">
        <v>6358</v>
      </c>
      <c r="B1001" s="2" t="s">
        <v>6359</v>
      </c>
      <c r="C1001" s="5" t="s">
        <v>2128</v>
      </c>
      <c r="D1001" s="5" t="s">
        <v>71</v>
      </c>
      <c r="E1001" s="2" t="s">
        <v>1160</v>
      </c>
      <c r="F1001" s="2"/>
      <c r="G1001" s="2" t="s">
        <v>6360</v>
      </c>
      <c r="H1001" s="2" t="s">
        <v>1193</v>
      </c>
      <c r="I1001" s="5" t="s">
        <v>74</v>
      </c>
      <c r="J1001" s="2" t="s">
        <v>7591</v>
      </c>
      <c r="K1001" s="2" t="s">
        <v>71</v>
      </c>
      <c r="L1001" s="5" t="n">
        <v>300</v>
      </c>
    </row>
    <row r="1002" customFormat="false" ht="35.05" hidden="false" customHeight="false" outlineLevel="0" collapsed="false">
      <c r="A1002" s="5" t="s">
        <v>6363</v>
      </c>
      <c r="B1002" s="2" t="s">
        <v>6364</v>
      </c>
      <c r="C1002" s="5" t="s">
        <v>2245</v>
      </c>
      <c r="D1002" s="5" t="s">
        <v>71</v>
      </c>
      <c r="E1002" s="2" t="s">
        <v>1105</v>
      </c>
      <c r="F1002" s="2"/>
      <c r="G1002" s="2" t="s">
        <v>6365</v>
      </c>
      <c r="H1002" s="2" t="s">
        <v>1358</v>
      </c>
      <c r="I1002" s="5" t="s">
        <v>74</v>
      </c>
      <c r="J1002" s="2" t="s">
        <v>7592</v>
      </c>
      <c r="K1002" s="2" t="s">
        <v>71</v>
      </c>
      <c r="L1002" s="5" t="n">
        <v>300</v>
      </c>
    </row>
    <row r="1003" customFormat="false" ht="35.05" hidden="false" customHeight="false" outlineLevel="0" collapsed="false">
      <c r="A1003" s="5" t="s">
        <v>6368</v>
      </c>
      <c r="B1003" s="2" t="s">
        <v>6369</v>
      </c>
      <c r="C1003" s="5" t="s">
        <v>2245</v>
      </c>
      <c r="D1003" s="5" t="s">
        <v>71</v>
      </c>
      <c r="E1003" s="2" t="s">
        <v>1105</v>
      </c>
      <c r="F1003" s="2"/>
      <c r="G1003" s="2" t="s">
        <v>6370</v>
      </c>
      <c r="H1003" s="2" t="s">
        <v>1269</v>
      </c>
      <c r="I1003" s="5" t="s">
        <v>74</v>
      </c>
      <c r="J1003" s="2" t="s">
        <v>7593</v>
      </c>
      <c r="K1003" s="2" t="s">
        <v>71</v>
      </c>
      <c r="L1003" s="5" t="n">
        <v>300</v>
      </c>
    </row>
    <row r="1004" customFormat="false" ht="135.8" hidden="false" customHeight="false" outlineLevel="0" collapsed="false">
      <c r="A1004" s="5" t="s">
        <v>6373</v>
      </c>
      <c r="B1004" s="2" t="s">
        <v>6374</v>
      </c>
      <c r="C1004" s="5" t="s">
        <v>2245</v>
      </c>
      <c r="D1004" s="5" t="s">
        <v>71</v>
      </c>
      <c r="E1004" s="2" t="s">
        <v>1105</v>
      </c>
      <c r="F1004" s="2"/>
      <c r="G1004" s="2" t="s">
        <v>6375</v>
      </c>
      <c r="H1004" s="2" t="s">
        <v>1176</v>
      </c>
      <c r="I1004" s="5" t="s">
        <v>74</v>
      </c>
      <c r="J1004" s="2" t="s">
        <v>7594</v>
      </c>
      <c r="K1004" s="2" t="s">
        <v>71</v>
      </c>
      <c r="L1004" s="5" t="n">
        <v>300</v>
      </c>
    </row>
    <row r="1005" customFormat="false" ht="23.85" hidden="false" customHeight="false" outlineLevel="0" collapsed="false">
      <c r="A1005" s="5" t="s">
        <v>6378</v>
      </c>
      <c r="B1005" s="2" t="s">
        <v>6379</v>
      </c>
      <c r="C1005" s="5" t="s">
        <v>2245</v>
      </c>
      <c r="D1005" s="5" t="s">
        <v>71</v>
      </c>
      <c r="E1005" s="2" t="s">
        <v>6291</v>
      </c>
      <c r="F1005" s="2"/>
      <c r="G1005" s="2" t="s">
        <v>6380</v>
      </c>
      <c r="H1005" s="2" t="s">
        <v>6381</v>
      </c>
      <c r="I1005" s="5" t="s">
        <v>74</v>
      </c>
      <c r="J1005" s="2" t="s">
        <v>7595</v>
      </c>
      <c r="K1005" s="2" t="s">
        <v>71</v>
      </c>
      <c r="L1005" s="5" t="n">
        <v>300</v>
      </c>
    </row>
    <row r="1006" customFormat="false" ht="23.85" hidden="false" customHeight="false" outlineLevel="0" collapsed="false">
      <c r="A1006" s="5" t="s">
        <v>6384</v>
      </c>
      <c r="B1006" s="2" t="s">
        <v>6385</v>
      </c>
      <c r="C1006" s="5" t="s">
        <v>2128</v>
      </c>
      <c r="D1006" s="5" t="s">
        <v>71</v>
      </c>
      <c r="E1006" s="2" t="s">
        <v>1105</v>
      </c>
      <c r="F1006" s="2"/>
      <c r="G1006" s="2" t="s">
        <v>6386</v>
      </c>
      <c r="H1006" s="2" t="s">
        <v>1139</v>
      </c>
      <c r="I1006" s="5" t="s">
        <v>74</v>
      </c>
      <c r="J1006" s="2" t="s">
        <v>7596</v>
      </c>
      <c r="K1006" s="2" t="s">
        <v>71</v>
      </c>
      <c r="L1006" s="5" t="n">
        <v>300</v>
      </c>
    </row>
    <row r="1007" customFormat="false" ht="23.85" hidden="false" customHeight="false" outlineLevel="0" collapsed="false">
      <c r="A1007" s="5" t="s">
        <v>6389</v>
      </c>
      <c r="B1007" s="2" t="s">
        <v>6390</v>
      </c>
      <c r="C1007" s="5" t="s">
        <v>2128</v>
      </c>
      <c r="D1007" s="5" t="s">
        <v>71</v>
      </c>
      <c r="E1007" s="2" t="s">
        <v>416</v>
      </c>
      <c r="F1007" s="2"/>
      <c r="G1007" s="2" t="s">
        <v>6392</v>
      </c>
      <c r="H1007" s="2" t="s">
        <v>3720</v>
      </c>
      <c r="I1007" s="5" t="s">
        <v>74</v>
      </c>
      <c r="J1007" s="2" t="s">
        <v>7597</v>
      </c>
      <c r="K1007" s="2" t="s">
        <v>71</v>
      </c>
      <c r="L1007" s="5" t="n">
        <v>300</v>
      </c>
    </row>
    <row r="1008" customFormat="false" ht="46.25" hidden="false" customHeight="false" outlineLevel="0" collapsed="false">
      <c r="A1008" s="5" t="s">
        <v>6395</v>
      </c>
      <c r="B1008" s="2" t="s">
        <v>6396</v>
      </c>
      <c r="C1008" s="5" t="s">
        <v>2245</v>
      </c>
      <c r="D1008" s="5" t="s">
        <v>71</v>
      </c>
      <c r="E1008" s="2" t="s">
        <v>1105</v>
      </c>
      <c r="F1008" s="2"/>
      <c r="G1008" s="2" t="s">
        <v>6397</v>
      </c>
      <c r="H1008" s="2" t="s">
        <v>1931</v>
      </c>
      <c r="I1008" s="5" t="s">
        <v>74</v>
      </c>
      <c r="J1008" s="2" t="s">
        <v>7598</v>
      </c>
      <c r="K1008" s="2" t="s">
        <v>71</v>
      </c>
      <c r="L1008" s="5" t="n">
        <v>300</v>
      </c>
    </row>
    <row r="1009" customFormat="false" ht="35.05" hidden="false" customHeight="false" outlineLevel="0" collapsed="false">
      <c r="A1009" s="5" t="s">
        <v>6400</v>
      </c>
      <c r="B1009" s="2" t="s">
        <v>6401</v>
      </c>
      <c r="C1009" s="5" t="s">
        <v>2245</v>
      </c>
      <c r="D1009" s="5" t="s">
        <v>71</v>
      </c>
      <c r="E1009" s="2" t="s">
        <v>3130</v>
      </c>
      <c r="F1009" s="2"/>
      <c r="G1009" s="2" t="s">
        <v>6402</v>
      </c>
      <c r="H1009" s="2" t="s">
        <v>3132</v>
      </c>
      <c r="I1009" s="5" t="s">
        <v>74</v>
      </c>
      <c r="J1009" s="2" t="s">
        <v>7599</v>
      </c>
      <c r="K1009" s="2" t="s">
        <v>71</v>
      </c>
      <c r="L1009" s="5" t="n">
        <v>300</v>
      </c>
    </row>
    <row r="1010" customFormat="false" ht="68.65" hidden="false" customHeight="false" outlineLevel="0" collapsed="false">
      <c r="A1010" s="5" t="s">
        <v>6405</v>
      </c>
      <c r="B1010" s="2" t="s">
        <v>6406</v>
      </c>
      <c r="C1010" s="5" t="s">
        <v>2245</v>
      </c>
      <c r="D1010" s="5" t="s">
        <v>71</v>
      </c>
      <c r="E1010" s="2" t="s">
        <v>1105</v>
      </c>
      <c r="F1010" s="2"/>
      <c r="G1010" s="2" t="s">
        <v>6407</v>
      </c>
      <c r="H1010" s="2" t="s">
        <v>1176</v>
      </c>
      <c r="I1010" s="5" t="s">
        <v>74</v>
      </c>
      <c r="J1010" s="2" t="s">
        <v>7600</v>
      </c>
      <c r="K1010" s="2" t="s">
        <v>71</v>
      </c>
      <c r="L1010" s="5" t="n">
        <v>300</v>
      </c>
    </row>
    <row r="1011" customFormat="false" ht="35.05" hidden="false" customHeight="false" outlineLevel="0" collapsed="false">
      <c r="A1011" s="5" t="s">
        <v>6410</v>
      </c>
      <c r="B1011" s="2" t="s">
        <v>6411</v>
      </c>
      <c r="C1011" s="5" t="s">
        <v>2245</v>
      </c>
      <c r="D1011" s="5" t="s">
        <v>71</v>
      </c>
      <c r="E1011" s="2" t="s">
        <v>3130</v>
      </c>
      <c r="F1011" s="2"/>
      <c r="G1011" s="2" t="s">
        <v>6412</v>
      </c>
      <c r="H1011" s="2" t="s">
        <v>3132</v>
      </c>
      <c r="I1011" s="5" t="s">
        <v>74</v>
      </c>
      <c r="J1011" s="2" t="s">
        <v>7601</v>
      </c>
      <c r="K1011" s="2" t="s">
        <v>71</v>
      </c>
      <c r="L1011" s="5" t="n">
        <v>300</v>
      </c>
    </row>
    <row r="1012" customFormat="false" ht="68.65" hidden="false" customHeight="false" outlineLevel="0" collapsed="false">
      <c r="A1012" s="5" t="s">
        <v>6415</v>
      </c>
      <c r="B1012" s="2" t="s">
        <v>6416</v>
      </c>
      <c r="C1012" s="5" t="s">
        <v>2245</v>
      </c>
      <c r="D1012" s="5" t="s">
        <v>71</v>
      </c>
      <c r="E1012" s="2" t="s">
        <v>368</v>
      </c>
      <c r="F1012" s="2"/>
      <c r="G1012" s="2" t="s">
        <v>6417</v>
      </c>
      <c r="H1012" s="2" t="s">
        <v>1477</v>
      </c>
      <c r="I1012" s="5" t="s">
        <v>74</v>
      </c>
      <c r="J1012" s="2" t="s">
        <v>7602</v>
      </c>
      <c r="K1012" s="2" t="s">
        <v>71</v>
      </c>
      <c r="L1012" s="5" t="n">
        <v>300</v>
      </c>
    </row>
    <row r="1013" customFormat="false" ht="23.85" hidden="false" customHeight="false" outlineLevel="0" collapsed="false">
      <c r="A1013" s="5" t="s">
        <v>6420</v>
      </c>
      <c r="B1013" s="2" t="s">
        <v>6421</v>
      </c>
      <c r="C1013" s="5" t="s">
        <v>2128</v>
      </c>
      <c r="D1013" s="5" t="s">
        <v>71</v>
      </c>
      <c r="E1013" s="2" t="s">
        <v>1105</v>
      </c>
      <c r="F1013" s="2"/>
      <c r="G1013" s="2" t="s">
        <v>6422</v>
      </c>
      <c r="H1013" s="2" t="s">
        <v>1139</v>
      </c>
      <c r="I1013" s="5" t="s">
        <v>74</v>
      </c>
      <c r="J1013" s="2" t="s">
        <v>7603</v>
      </c>
      <c r="K1013" s="2" t="s">
        <v>71</v>
      </c>
      <c r="L1013" s="5" t="n">
        <v>300</v>
      </c>
    </row>
    <row r="1014" customFormat="false" ht="23.85" hidden="false" customHeight="false" outlineLevel="0" collapsed="false">
      <c r="A1014" s="5" t="s">
        <v>6425</v>
      </c>
      <c r="B1014" s="2" t="s">
        <v>6426</v>
      </c>
      <c r="C1014" s="5" t="s">
        <v>2245</v>
      </c>
      <c r="D1014" s="5" t="s">
        <v>71</v>
      </c>
      <c r="E1014" s="2" t="s">
        <v>1105</v>
      </c>
      <c r="F1014" s="2"/>
      <c r="G1014" s="2" t="s">
        <v>6427</v>
      </c>
      <c r="H1014" s="2" t="s">
        <v>1169</v>
      </c>
      <c r="I1014" s="5" t="s">
        <v>74</v>
      </c>
      <c r="J1014" s="2" t="s">
        <v>7604</v>
      </c>
      <c r="K1014" s="2" t="s">
        <v>71</v>
      </c>
      <c r="L1014" s="5" t="n">
        <v>300</v>
      </c>
    </row>
    <row r="1015" customFormat="false" ht="23.85" hidden="false" customHeight="false" outlineLevel="0" collapsed="false">
      <c r="A1015" s="5" t="s">
        <v>6430</v>
      </c>
      <c r="B1015" s="2" t="s">
        <v>6431</v>
      </c>
      <c r="C1015" s="5" t="s">
        <v>2128</v>
      </c>
      <c r="D1015" s="5" t="s">
        <v>71</v>
      </c>
      <c r="E1015" s="2" t="s">
        <v>1105</v>
      </c>
      <c r="F1015" s="2"/>
      <c r="G1015" s="2" t="s">
        <v>6433</v>
      </c>
      <c r="H1015" s="2" t="s">
        <v>1139</v>
      </c>
      <c r="I1015" s="5" t="s">
        <v>74</v>
      </c>
      <c r="J1015" s="2" t="s">
        <v>7605</v>
      </c>
      <c r="K1015" s="2" t="s">
        <v>71</v>
      </c>
      <c r="L1015" s="5" t="n">
        <v>300</v>
      </c>
    </row>
    <row r="1016" customFormat="false" ht="57.45" hidden="false" customHeight="false" outlineLevel="0" collapsed="false">
      <c r="A1016" s="5" t="s">
        <v>6436</v>
      </c>
      <c r="B1016" s="2" t="s">
        <v>6437</v>
      </c>
      <c r="C1016" s="5" t="s">
        <v>2128</v>
      </c>
      <c r="D1016" s="5" t="s">
        <v>71</v>
      </c>
      <c r="E1016" s="2" t="s">
        <v>1105</v>
      </c>
      <c r="F1016" s="2"/>
      <c r="G1016" s="2" t="s">
        <v>6438</v>
      </c>
      <c r="H1016" s="2" t="s">
        <v>6439</v>
      </c>
      <c r="I1016" s="5" t="s">
        <v>74</v>
      </c>
      <c r="J1016" s="2" t="s">
        <v>7606</v>
      </c>
      <c r="K1016" s="2" t="s">
        <v>71</v>
      </c>
      <c r="L1016" s="5" t="n">
        <v>300</v>
      </c>
    </row>
    <row r="1017" customFormat="false" ht="35.05" hidden="false" customHeight="false" outlineLevel="0" collapsed="false">
      <c r="A1017" s="5" t="s">
        <v>6442</v>
      </c>
      <c r="B1017" s="2" t="s">
        <v>6443</v>
      </c>
      <c r="C1017" s="5" t="s">
        <v>2245</v>
      </c>
      <c r="D1017" s="5" t="s">
        <v>71</v>
      </c>
      <c r="E1017" s="2" t="s">
        <v>6444</v>
      </c>
      <c r="F1017" s="2"/>
      <c r="G1017" s="2" t="s">
        <v>6445</v>
      </c>
      <c r="H1017" s="2" t="s">
        <v>6446</v>
      </c>
      <c r="I1017" s="5" t="s">
        <v>74</v>
      </c>
      <c r="J1017" s="2" t="s">
        <v>7607</v>
      </c>
      <c r="K1017" s="2" t="s">
        <v>71</v>
      </c>
      <c r="L1017" s="5" t="n">
        <v>300</v>
      </c>
    </row>
    <row r="1018" customFormat="false" ht="35.05" hidden="false" customHeight="false" outlineLevel="0" collapsed="false">
      <c r="A1018" s="5" t="s">
        <v>6450</v>
      </c>
      <c r="B1018" s="2" t="s">
        <v>6451</v>
      </c>
      <c r="C1018" s="5" t="s">
        <v>2128</v>
      </c>
      <c r="D1018" s="5" t="s">
        <v>71</v>
      </c>
      <c r="E1018" s="2" t="s">
        <v>1105</v>
      </c>
      <c r="F1018" s="2"/>
      <c r="G1018" s="2" t="s">
        <v>6452</v>
      </c>
      <c r="H1018" s="2" t="s">
        <v>1176</v>
      </c>
      <c r="I1018" s="5" t="s">
        <v>74</v>
      </c>
      <c r="J1018" s="2" t="s">
        <v>7608</v>
      </c>
      <c r="K1018" s="2" t="s">
        <v>71</v>
      </c>
      <c r="L1018" s="5" t="n">
        <v>300</v>
      </c>
    </row>
    <row r="1019" customFormat="false" ht="35.05" hidden="false" customHeight="false" outlineLevel="0" collapsed="false">
      <c r="A1019" s="5" t="s">
        <v>6455</v>
      </c>
      <c r="B1019" s="2" t="s">
        <v>6456</v>
      </c>
      <c r="C1019" s="5" t="s">
        <v>2128</v>
      </c>
      <c r="D1019" s="5" t="s">
        <v>71</v>
      </c>
      <c r="E1019" s="2" t="s">
        <v>1105</v>
      </c>
      <c r="F1019" s="2"/>
      <c r="G1019" s="2" t="s">
        <v>6457</v>
      </c>
      <c r="H1019" s="2" t="s">
        <v>1176</v>
      </c>
      <c r="I1019" s="5" t="s">
        <v>74</v>
      </c>
      <c r="J1019" s="2" t="s">
        <v>7609</v>
      </c>
      <c r="K1019" s="2" t="s">
        <v>71</v>
      </c>
      <c r="L1019" s="5" t="n">
        <v>300</v>
      </c>
    </row>
    <row r="1020" customFormat="false" ht="23.85" hidden="false" customHeight="false" outlineLevel="0" collapsed="false">
      <c r="A1020" s="5" t="s">
        <v>6460</v>
      </c>
      <c r="B1020" s="2" t="s">
        <v>6461</v>
      </c>
      <c r="C1020" s="5" t="s">
        <v>2128</v>
      </c>
      <c r="D1020" s="5" t="s">
        <v>71</v>
      </c>
      <c r="E1020" s="2" t="s">
        <v>1105</v>
      </c>
      <c r="F1020" s="2"/>
      <c r="G1020" s="2" t="s">
        <v>6462</v>
      </c>
      <c r="H1020" s="2" t="s">
        <v>1176</v>
      </c>
      <c r="I1020" s="5" t="s">
        <v>74</v>
      </c>
      <c r="J1020" s="2" t="s">
        <v>7610</v>
      </c>
      <c r="K1020" s="2" t="s">
        <v>71</v>
      </c>
      <c r="L1020" s="5" t="n">
        <v>300</v>
      </c>
    </row>
    <row r="1021" customFormat="false" ht="23.85" hidden="false" customHeight="false" outlineLevel="0" collapsed="false">
      <c r="A1021" s="5" t="s">
        <v>6465</v>
      </c>
      <c r="B1021" s="2" t="s">
        <v>6466</v>
      </c>
      <c r="C1021" s="5" t="s">
        <v>2128</v>
      </c>
      <c r="D1021" s="5" t="s">
        <v>71</v>
      </c>
      <c r="E1021" s="2" t="s">
        <v>1105</v>
      </c>
      <c r="F1021" s="2"/>
      <c r="G1021" s="2" t="s">
        <v>6467</v>
      </c>
      <c r="H1021" s="2" t="s">
        <v>1269</v>
      </c>
      <c r="I1021" s="5" t="s">
        <v>74</v>
      </c>
      <c r="J1021" s="2" t="s">
        <v>7611</v>
      </c>
      <c r="K1021" s="2" t="s">
        <v>71</v>
      </c>
      <c r="L1021" s="5" t="n">
        <v>300</v>
      </c>
    </row>
    <row r="1022" customFormat="false" ht="135.8" hidden="false" customHeight="false" outlineLevel="0" collapsed="false">
      <c r="A1022" s="5" t="s">
        <v>6470</v>
      </c>
      <c r="B1022" s="2" t="s">
        <v>6471</v>
      </c>
      <c r="C1022" s="5" t="s">
        <v>2245</v>
      </c>
      <c r="D1022" s="5" t="s">
        <v>71</v>
      </c>
      <c r="E1022" s="2" t="s">
        <v>1105</v>
      </c>
      <c r="F1022" s="2"/>
      <c r="G1022" s="2" t="s">
        <v>6472</v>
      </c>
      <c r="H1022" s="2" t="s">
        <v>1176</v>
      </c>
      <c r="I1022" s="5" t="s">
        <v>74</v>
      </c>
      <c r="J1022" s="2" t="s">
        <v>7612</v>
      </c>
      <c r="K1022" s="2" t="s">
        <v>71</v>
      </c>
      <c r="L1022" s="5" t="n">
        <v>300</v>
      </c>
    </row>
    <row r="1023" customFormat="false" ht="23.85" hidden="false" customHeight="false" outlineLevel="0" collapsed="false">
      <c r="A1023" s="5" t="s">
        <v>6475</v>
      </c>
      <c r="B1023" s="2" t="s">
        <v>6476</v>
      </c>
      <c r="C1023" s="5" t="s">
        <v>2245</v>
      </c>
      <c r="D1023" s="5" t="s">
        <v>71</v>
      </c>
      <c r="E1023" s="2" t="s">
        <v>6477</v>
      </c>
      <c r="F1023" s="2"/>
      <c r="G1023" s="2" t="s">
        <v>6478</v>
      </c>
      <c r="H1023" s="2" t="s">
        <v>1098</v>
      </c>
      <c r="I1023" s="5" t="s">
        <v>74</v>
      </c>
      <c r="J1023" s="2" t="s">
        <v>7613</v>
      </c>
      <c r="K1023" s="2" t="s">
        <v>71</v>
      </c>
      <c r="L1023" s="5" t="n">
        <v>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0"/>
    <col collapsed="false" customWidth="true" hidden="false" outlineLevel="0" max="3" min="3" style="0" width="20"/>
    <col collapsed="false" customWidth="true" hidden="false" outlineLevel="0" max="4" min="4" style="0" width="16"/>
    <col collapsed="false" customWidth="true" hidden="false" outlineLevel="0" max="5" min="5" style="0" width="10"/>
    <col collapsed="false" customWidth="true" hidden="false" outlineLevel="0" max="6" min="6" style="0" width="30"/>
    <col collapsed="false" customWidth="true" hidden="false" outlineLevel="0" max="7" min="7" style="0" width="34"/>
    <col collapsed="false" customWidth="true" hidden="false" outlineLevel="0" max="8" min="8" style="0" width="10"/>
    <col collapsed="false" customWidth="true" hidden="false" outlineLevel="0" max="9" min="9" style="0" width="50"/>
  </cols>
  <sheetData>
    <row r="1" customFormat="false" ht="31.5" hidden="false" customHeight="true" outlineLevel="0" collapsed="false">
      <c r="A1" s="4" t="s">
        <v>30</v>
      </c>
      <c r="B1" s="4" t="s">
        <v>31</v>
      </c>
      <c r="C1" s="4" t="s">
        <v>32</v>
      </c>
      <c r="D1" s="4" t="s">
        <v>33</v>
      </c>
      <c r="E1" s="4" t="s">
        <v>35</v>
      </c>
      <c r="F1" s="4" t="s">
        <v>7614</v>
      </c>
      <c r="G1" s="4" t="s">
        <v>7615</v>
      </c>
      <c r="H1" s="4" t="s">
        <v>7616</v>
      </c>
      <c r="I1" s="4" t="s">
        <v>7617</v>
      </c>
    </row>
    <row r="2" customFormat="false" ht="15" hidden="false" customHeight="false" outlineLevel="0" collapsed="false">
      <c r="A2" s="5" t="s">
        <v>57</v>
      </c>
      <c r="B2" s="2" t="s">
        <v>58</v>
      </c>
      <c r="C2" s="5" t="s">
        <v>59</v>
      </c>
      <c r="D2" s="5" t="s">
        <v>60</v>
      </c>
      <c r="E2" s="5" t="s">
        <v>62</v>
      </c>
      <c r="F2" s="5" t="s">
        <v>7618</v>
      </c>
      <c r="G2" s="5" t="s">
        <v>7619</v>
      </c>
      <c r="H2" s="5" t="s">
        <v>76</v>
      </c>
      <c r="I2" s="5" t="s">
        <v>70</v>
      </c>
    </row>
    <row r="3" customFormat="false" ht="15" hidden="false" customHeight="false" outlineLevel="0" collapsed="false">
      <c r="A3" s="5" t="s">
        <v>79</v>
      </c>
      <c r="B3" s="2" t="s">
        <v>80</v>
      </c>
      <c r="C3" s="5" t="s">
        <v>59</v>
      </c>
      <c r="D3" s="5" t="s">
        <v>60</v>
      </c>
      <c r="E3" s="5" t="s">
        <v>62</v>
      </c>
      <c r="F3" s="5" t="s">
        <v>7618</v>
      </c>
      <c r="G3" s="5" t="s">
        <v>7619</v>
      </c>
      <c r="H3" s="5" t="s">
        <v>76</v>
      </c>
      <c r="I3" s="5" t="s">
        <v>82</v>
      </c>
    </row>
    <row r="4" customFormat="false" ht="23.85" hidden="false" customHeight="false" outlineLevel="0" collapsed="false">
      <c r="A4" s="5" t="s">
        <v>87</v>
      </c>
      <c r="B4" s="2" t="s">
        <v>88</v>
      </c>
      <c r="C4" s="5" t="s">
        <v>59</v>
      </c>
      <c r="D4" s="5" t="s">
        <v>60</v>
      </c>
      <c r="E4" s="5" t="s">
        <v>62</v>
      </c>
      <c r="F4" s="5" t="s">
        <v>7618</v>
      </c>
      <c r="G4" s="5" t="s">
        <v>7619</v>
      </c>
      <c r="H4" s="5" t="s">
        <v>76</v>
      </c>
      <c r="I4" s="5" t="s">
        <v>92</v>
      </c>
    </row>
    <row r="5" customFormat="false" ht="23.85" hidden="false" customHeight="false" outlineLevel="0" collapsed="false">
      <c r="A5" s="5" t="s">
        <v>97</v>
      </c>
      <c r="B5" s="2" t="s">
        <v>98</v>
      </c>
      <c r="C5" s="5" t="s">
        <v>59</v>
      </c>
      <c r="D5" s="5" t="s">
        <v>60</v>
      </c>
      <c r="E5" s="5" t="s">
        <v>62</v>
      </c>
      <c r="F5" s="5" t="s">
        <v>7618</v>
      </c>
      <c r="G5" s="5" t="s">
        <v>7620</v>
      </c>
      <c r="H5" s="5" t="s">
        <v>105</v>
      </c>
      <c r="I5" s="5" t="s">
        <v>101</v>
      </c>
    </row>
    <row r="6" customFormat="false" ht="15" hidden="false" customHeight="false" outlineLevel="0" collapsed="false">
      <c r="A6" s="5" t="s">
        <v>108</v>
      </c>
      <c r="B6" s="2" t="s">
        <v>109</v>
      </c>
      <c r="C6" s="5" t="s">
        <v>59</v>
      </c>
      <c r="D6" s="5" t="s">
        <v>60</v>
      </c>
      <c r="E6" s="5" t="s">
        <v>62</v>
      </c>
      <c r="F6" s="5" t="s">
        <v>7618</v>
      </c>
      <c r="G6" s="5" t="s">
        <v>7619</v>
      </c>
      <c r="H6" s="5" t="s">
        <v>76</v>
      </c>
      <c r="I6" s="5" t="s">
        <v>111</v>
      </c>
    </row>
    <row r="7" customFormat="false" ht="15" hidden="false" customHeight="false" outlineLevel="0" collapsed="false">
      <c r="A7" s="5" t="s">
        <v>114</v>
      </c>
      <c r="B7" s="2" t="s">
        <v>115</v>
      </c>
      <c r="C7" s="5" t="s">
        <v>59</v>
      </c>
      <c r="D7" s="5" t="s">
        <v>60</v>
      </c>
      <c r="E7" s="5" t="s">
        <v>62</v>
      </c>
      <c r="F7" s="5" t="s">
        <v>7618</v>
      </c>
      <c r="G7" s="5" t="s">
        <v>7619</v>
      </c>
      <c r="H7" s="5" t="s">
        <v>76</v>
      </c>
      <c r="I7" s="5" t="s">
        <v>7621</v>
      </c>
    </row>
    <row r="8" customFormat="false" ht="23.85" hidden="false" customHeight="false" outlineLevel="0" collapsed="false">
      <c r="A8" s="5" t="s">
        <v>121</v>
      </c>
      <c r="B8" s="2" t="s">
        <v>122</v>
      </c>
      <c r="C8" s="5" t="s">
        <v>59</v>
      </c>
      <c r="D8" s="5" t="s">
        <v>60</v>
      </c>
      <c r="E8" s="5" t="s">
        <v>62</v>
      </c>
      <c r="F8" s="5" t="s">
        <v>7618</v>
      </c>
      <c r="G8" s="5" t="s">
        <v>7619</v>
      </c>
      <c r="H8" s="5" t="s">
        <v>76</v>
      </c>
      <c r="I8" s="5" t="s">
        <v>124</v>
      </c>
    </row>
    <row r="9" customFormat="false" ht="15" hidden="false" customHeight="false" outlineLevel="0" collapsed="false">
      <c r="A9" s="5" t="s">
        <v>129</v>
      </c>
      <c r="B9" s="2" t="s">
        <v>130</v>
      </c>
      <c r="C9" s="5" t="s">
        <v>59</v>
      </c>
      <c r="D9" s="5" t="s">
        <v>60</v>
      </c>
      <c r="E9" s="5" t="s">
        <v>62</v>
      </c>
      <c r="F9" s="5" t="s">
        <v>7618</v>
      </c>
      <c r="G9" s="5" t="s">
        <v>7619</v>
      </c>
      <c r="H9" s="5" t="s">
        <v>76</v>
      </c>
      <c r="I9" s="5" t="s">
        <v>124</v>
      </c>
    </row>
    <row r="10" customFormat="false" ht="15" hidden="false" customHeight="false" outlineLevel="0" collapsed="false">
      <c r="A10" s="5" t="s">
        <v>134</v>
      </c>
      <c r="B10" s="2" t="s">
        <v>135</v>
      </c>
      <c r="C10" s="5" t="s">
        <v>59</v>
      </c>
      <c r="D10" s="5" t="s">
        <v>60</v>
      </c>
      <c r="E10" s="5" t="s">
        <v>62</v>
      </c>
      <c r="F10" s="5" t="s">
        <v>7618</v>
      </c>
      <c r="G10" s="5" t="s">
        <v>7619</v>
      </c>
      <c r="H10" s="5" t="s">
        <v>76</v>
      </c>
      <c r="I10" s="5" t="s">
        <v>124</v>
      </c>
    </row>
    <row r="11" customFormat="false" ht="23.85" hidden="false" customHeight="false" outlineLevel="0" collapsed="false">
      <c r="A11" s="5" t="s">
        <v>139</v>
      </c>
      <c r="B11" s="2" t="s">
        <v>140</v>
      </c>
      <c r="C11" s="5" t="s">
        <v>59</v>
      </c>
      <c r="D11" s="5" t="s">
        <v>60</v>
      </c>
      <c r="E11" s="5" t="s">
        <v>62</v>
      </c>
      <c r="F11" s="5" t="s">
        <v>7618</v>
      </c>
      <c r="G11" s="5" t="s">
        <v>7619</v>
      </c>
      <c r="H11" s="5" t="s">
        <v>76</v>
      </c>
      <c r="I11" s="5" t="s">
        <v>124</v>
      </c>
    </row>
    <row r="12" customFormat="false" ht="15" hidden="false" customHeight="false" outlineLevel="0" collapsed="false">
      <c r="A12" s="5" t="s">
        <v>144</v>
      </c>
      <c r="B12" s="2" t="s">
        <v>145</v>
      </c>
      <c r="C12" s="5" t="s">
        <v>59</v>
      </c>
      <c r="D12" s="5" t="s">
        <v>60</v>
      </c>
      <c r="E12" s="5" t="s">
        <v>62</v>
      </c>
      <c r="F12" s="5" t="s">
        <v>7618</v>
      </c>
      <c r="G12" s="5" t="s">
        <v>7619</v>
      </c>
      <c r="H12" s="5" t="s">
        <v>76</v>
      </c>
      <c r="I12" s="5" t="s">
        <v>124</v>
      </c>
    </row>
    <row r="13" customFormat="false" ht="15" hidden="false" customHeight="false" outlineLevel="0" collapsed="false">
      <c r="A13" s="5" t="s">
        <v>149</v>
      </c>
      <c r="B13" s="2" t="s">
        <v>150</v>
      </c>
      <c r="C13" s="5" t="s">
        <v>59</v>
      </c>
      <c r="D13" s="5" t="s">
        <v>60</v>
      </c>
      <c r="E13" s="5" t="s">
        <v>62</v>
      </c>
      <c r="F13" s="5" t="s">
        <v>7622</v>
      </c>
      <c r="G13" s="5" t="s">
        <v>7623</v>
      </c>
      <c r="H13" s="5"/>
      <c r="I13" s="5" t="s">
        <v>7623</v>
      </c>
    </row>
    <row r="14" customFormat="false" ht="15" hidden="false" customHeight="false" outlineLevel="0" collapsed="false">
      <c r="A14" s="5" t="s">
        <v>149</v>
      </c>
      <c r="B14" s="2" t="s">
        <v>150</v>
      </c>
      <c r="C14" s="5" t="s">
        <v>59</v>
      </c>
      <c r="D14" s="5" t="s">
        <v>60</v>
      </c>
      <c r="E14" s="5" t="s">
        <v>62</v>
      </c>
      <c r="F14" s="5" t="s">
        <v>7622</v>
      </c>
      <c r="G14" s="5" t="s">
        <v>7624</v>
      </c>
      <c r="H14" s="5"/>
      <c r="I14" s="5" t="s">
        <v>7624</v>
      </c>
    </row>
    <row r="15" customFormat="false" ht="15" hidden="false" customHeight="false" outlineLevel="0" collapsed="false">
      <c r="A15" s="5" t="s">
        <v>149</v>
      </c>
      <c r="B15" s="2" t="s">
        <v>150</v>
      </c>
      <c r="C15" s="5" t="s">
        <v>59</v>
      </c>
      <c r="D15" s="5" t="s">
        <v>60</v>
      </c>
      <c r="E15" s="5" t="s">
        <v>62</v>
      </c>
      <c r="F15" s="5" t="s">
        <v>7622</v>
      </c>
      <c r="G15" s="5" t="s">
        <v>753</v>
      </c>
      <c r="H15" s="5"/>
      <c r="I15" s="5" t="s">
        <v>753</v>
      </c>
    </row>
    <row r="16" customFormat="false" ht="23.85" hidden="false" customHeight="false" outlineLevel="0" collapsed="false">
      <c r="A16" s="5" t="s">
        <v>159</v>
      </c>
      <c r="B16" s="2" t="s">
        <v>160</v>
      </c>
      <c r="C16" s="5" t="s">
        <v>59</v>
      </c>
      <c r="D16" s="5" t="s">
        <v>60</v>
      </c>
      <c r="E16" s="5" t="s">
        <v>62</v>
      </c>
      <c r="F16" s="5" t="s">
        <v>7622</v>
      </c>
      <c r="G16" s="5" t="s">
        <v>753</v>
      </c>
      <c r="H16" s="5"/>
      <c r="I16" s="5" t="s">
        <v>753</v>
      </c>
    </row>
    <row r="17" customFormat="false" ht="23.85" hidden="false" customHeight="false" outlineLevel="0" collapsed="false">
      <c r="A17" s="5" t="s">
        <v>159</v>
      </c>
      <c r="B17" s="2" t="s">
        <v>160</v>
      </c>
      <c r="C17" s="5" t="s">
        <v>59</v>
      </c>
      <c r="D17" s="5" t="s">
        <v>60</v>
      </c>
      <c r="E17" s="5" t="s">
        <v>62</v>
      </c>
      <c r="F17" s="5" t="s">
        <v>7622</v>
      </c>
      <c r="G17" s="5" t="s">
        <v>7624</v>
      </c>
      <c r="H17" s="5"/>
      <c r="I17" s="5" t="s">
        <v>7624</v>
      </c>
    </row>
    <row r="18" customFormat="false" ht="15" hidden="false" customHeight="false" outlineLevel="0" collapsed="false">
      <c r="A18" s="5" t="s">
        <v>170</v>
      </c>
      <c r="B18" s="2" t="s">
        <v>171</v>
      </c>
      <c r="C18" s="5" t="s">
        <v>59</v>
      </c>
      <c r="D18" s="5" t="s">
        <v>60</v>
      </c>
      <c r="E18" s="5" t="s">
        <v>62</v>
      </c>
      <c r="F18" s="5" t="s">
        <v>7622</v>
      </c>
      <c r="G18" s="5" t="s">
        <v>174</v>
      </c>
      <c r="H18" s="5"/>
      <c r="I18" s="5" t="s">
        <v>174</v>
      </c>
    </row>
    <row r="19" customFormat="false" ht="23.85" hidden="false" customHeight="false" outlineLevel="0" collapsed="false">
      <c r="A19" s="5" t="s">
        <v>180</v>
      </c>
      <c r="B19" s="2" t="s">
        <v>181</v>
      </c>
      <c r="C19" s="5" t="s">
        <v>59</v>
      </c>
      <c r="D19" s="5" t="s">
        <v>60</v>
      </c>
      <c r="E19" s="5" t="s">
        <v>62</v>
      </c>
      <c r="F19" s="5" t="s">
        <v>269</v>
      </c>
      <c r="G19" s="5" t="s">
        <v>7625</v>
      </c>
      <c r="H19" s="5" t="s">
        <v>192</v>
      </c>
      <c r="I19" s="5" t="s">
        <v>385</v>
      </c>
    </row>
    <row r="20" customFormat="false" ht="23.85" hidden="false" customHeight="false" outlineLevel="0" collapsed="false">
      <c r="A20" s="5" t="s">
        <v>180</v>
      </c>
      <c r="B20" s="2" t="s">
        <v>181</v>
      </c>
      <c r="C20" s="5" t="s">
        <v>59</v>
      </c>
      <c r="D20" s="5" t="s">
        <v>60</v>
      </c>
      <c r="E20" s="5" t="s">
        <v>62</v>
      </c>
      <c r="F20" s="5" t="s">
        <v>269</v>
      </c>
      <c r="G20" s="5" t="s">
        <v>7626</v>
      </c>
      <c r="H20" s="5" t="s">
        <v>192</v>
      </c>
      <c r="I20" s="5" t="s">
        <v>7627</v>
      </c>
    </row>
    <row r="21" customFormat="false" ht="23.85" hidden="false" customHeight="false" outlineLevel="0" collapsed="false">
      <c r="A21" s="5" t="s">
        <v>180</v>
      </c>
      <c r="B21" s="2" t="s">
        <v>181</v>
      </c>
      <c r="C21" s="5" t="s">
        <v>59</v>
      </c>
      <c r="D21" s="5" t="s">
        <v>60</v>
      </c>
      <c r="E21" s="5" t="s">
        <v>62</v>
      </c>
      <c r="F21" s="5" t="s">
        <v>269</v>
      </c>
      <c r="G21" s="5" t="s">
        <v>7628</v>
      </c>
      <c r="H21" s="5" t="s">
        <v>192</v>
      </c>
      <c r="I21" s="5" t="s">
        <v>2045</v>
      </c>
    </row>
    <row r="22" customFormat="false" ht="23.85" hidden="false" customHeight="false" outlineLevel="0" collapsed="false">
      <c r="A22" s="5" t="s">
        <v>180</v>
      </c>
      <c r="B22" s="2" t="s">
        <v>181</v>
      </c>
      <c r="C22" s="5" t="s">
        <v>59</v>
      </c>
      <c r="D22" s="5" t="s">
        <v>60</v>
      </c>
      <c r="E22" s="5" t="s">
        <v>62</v>
      </c>
      <c r="F22" s="5" t="s">
        <v>269</v>
      </c>
      <c r="G22" s="5" t="s">
        <v>7629</v>
      </c>
      <c r="H22" s="5" t="s">
        <v>192</v>
      </c>
      <c r="I22" s="5" t="s">
        <v>7630</v>
      </c>
    </row>
    <row r="23" customFormat="false" ht="23.85" hidden="false" customHeight="false" outlineLevel="0" collapsed="false">
      <c r="A23" s="5" t="s">
        <v>195</v>
      </c>
      <c r="B23" s="2" t="s">
        <v>196</v>
      </c>
      <c r="C23" s="5" t="s">
        <v>59</v>
      </c>
      <c r="D23" s="5" t="s">
        <v>60</v>
      </c>
      <c r="E23" s="5" t="s">
        <v>62</v>
      </c>
      <c r="F23" s="5" t="s">
        <v>269</v>
      </c>
      <c r="G23" s="5" t="s">
        <v>7631</v>
      </c>
      <c r="H23" s="5"/>
      <c r="I23" s="5" t="s">
        <v>7632</v>
      </c>
    </row>
    <row r="24" customFormat="false" ht="23.85" hidden="false" customHeight="false" outlineLevel="0" collapsed="false">
      <c r="A24" s="5" t="s">
        <v>195</v>
      </c>
      <c r="B24" s="2" t="s">
        <v>196</v>
      </c>
      <c r="C24" s="5" t="s">
        <v>59</v>
      </c>
      <c r="D24" s="5" t="s">
        <v>60</v>
      </c>
      <c r="E24" s="5" t="s">
        <v>62</v>
      </c>
      <c r="F24" s="5" t="s">
        <v>7633</v>
      </c>
      <c r="G24" s="5" t="s">
        <v>7634</v>
      </c>
      <c r="H24" s="5" t="s">
        <v>309</v>
      </c>
      <c r="I24" s="5" t="s">
        <v>1105</v>
      </c>
    </row>
    <row r="25" customFormat="false" ht="23.85" hidden="false" customHeight="false" outlineLevel="0" collapsed="false">
      <c r="A25" s="5" t="s">
        <v>195</v>
      </c>
      <c r="B25" s="2" t="s">
        <v>196</v>
      </c>
      <c r="C25" s="5" t="s">
        <v>59</v>
      </c>
      <c r="D25" s="5" t="s">
        <v>60</v>
      </c>
      <c r="E25" s="5" t="s">
        <v>62</v>
      </c>
      <c r="F25" s="5" t="s">
        <v>7635</v>
      </c>
      <c r="G25" s="5" t="s">
        <v>7636</v>
      </c>
      <c r="H25" s="5" t="s">
        <v>3134</v>
      </c>
      <c r="I25" s="5" t="s">
        <v>3130</v>
      </c>
    </row>
    <row r="26" customFormat="false" ht="23.85" hidden="false" customHeight="false" outlineLevel="0" collapsed="false">
      <c r="A26" s="5" t="s">
        <v>206</v>
      </c>
      <c r="B26" s="2" t="s">
        <v>207</v>
      </c>
      <c r="C26" s="5" t="s">
        <v>59</v>
      </c>
      <c r="D26" s="5" t="s">
        <v>60</v>
      </c>
      <c r="E26" s="5" t="s">
        <v>62</v>
      </c>
      <c r="F26" s="5" t="s">
        <v>269</v>
      </c>
      <c r="G26" s="5" t="s">
        <v>7637</v>
      </c>
      <c r="H26" s="5" t="s">
        <v>214</v>
      </c>
      <c r="I26" s="5" t="s">
        <v>210</v>
      </c>
    </row>
    <row r="27" customFormat="false" ht="23.85" hidden="false" customHeight="false" outlineLevel="0" collapsed="false">
      <c r="A27" s="5" t="s">
        <v>217</v>
      </c>
      <c r="B27" s="2" t="s">
        <v>218</v>
      </c>
      <c r="C27" s="5" t="s">
        <v>59</v>
      </c>
      <c r="D27" s="5" t="s">
        <v>60</v>
      </c>
      <c r="E27" s="5" t="s">
        <v>62</v>
      </c>
      <c r="F27" s="5" t="s">
        <v>269</v>
      </c>
      <c r="G27" s="5" t="s">
        <v>7637</v>
      </c>
      <c r="H27" s="5" t="s">
        <v>214</v>
      </c>
      <c r="I27" s="5" t="s">
        <v>210</v>
      </c>
    </row>
    <row r="28" customFormat="false" ht="23.85" hidden="false" customHeight="false" outlineLevel="0" collapsed="false">
      <c r="A28" s="5" t="s">
        <v>222</v>
      </c>
      <c r="B28" s="2" t="s">
        <v>223</v>
      </c>
      <c r="C28" s="5" t="s">
        <v>59</v>
      </c>
      <c r="D28" s="5" t="s">
        <v>60</v>
      </c>
      <c r="E28" s="5" t="s">
        <v>62</v>
      </c>
      <c r="F28" s="5" t="s">
        <v>269</v>
      </c>
      <c r="G28" s="5" t="s">
        <v>7631</v>
      </c>
      <c r="H28" s="5"/>
      <c r="I28" s="5" t="s">
        <v>7632</v>
      </c>
    </row>
    <row r="29" customFormat="false" ht="23.85" hidden="false" customHeight="false" outlineLevel="0" collapsed="false">
      <c r="A29" s="5" t="s">
        <v>222</v>
      </c>
      <c r="B29" s="2" t="s">
        <v>223</v>
      </c>
      <c r="C29" s="5" t="s">
        <v>59</v>
      </c>
      <c r="D29" s="5" t="s">
        <v>60</v>
      </c>
      <c r="E29" s="5" t="s">
        <v>62</v>
      </c>
      <c r="F29" s="5" t="s">
        <v>7633</v>
      </c>
      <c r="G29" s="5" t="s">
        <v>7634</v>
      </c>
      <c r="H29" s="5" t="s">
        <v>309</v>
      </c>
      <c r="I29" s="5" t="s">
        <v>1105</v>
      </c>
    </row>
    <row r="30" customFormat="false" ht="23.85" hidden="false" customHeight="false" outlineLevel="0" collapsed="false">
      <c r="A30" s="5" t="s">
        <v>222</v>
      </c>
      <c r="B30" s="2" t="s">
        <v>223</v>
      </c>
      <c r="C30" s="5" t="s">
        <v>59</v>
      </c>
      <c r="D30" s="5" t="s">
        <v>60</v>
      </c>
      <c r="E30" s="5" t="s">
        <v>62</v>
      </c>
      <c r="F30" s="5" t="s">
        <v>7635</v>
      </c>
      <c r="G30" s="5" t="s">
        <v>7636</v>
      </c>
      <c r="H30" s="5" t="s">
        <v>3134</v>
      </c>
      <c r="I30" s="5" t="s">
        <v>3130</v>
      </c>
    </row>
    <row r="31" customFormat="false" ht="23.85" hidden="false" customHeight="false" outlineLevel="0" collapsed="false">
      <c r="A31" s="5" t="s">
        <v>227</v>
      </c>
      <c r="B31" s="2" t="s">
        <v>228</v>
      </c>
      <c r="C31" s="5" t="s">
        <v>59</v>
      </c>
      <c r="D31" s="5" t="s">
        <v>60</v>
      </c>
      <c r="E31" s="5" t="s">
        <v>62</v>
      </c>
      <c r="F31" s="5" t="s">
        <v>269</v>
      </c>
      <c r="G31" s="5" t="s">
        <v>7637</v>
      </c>
      <c r="H31" s="5" t="s">
        <v>214</v>
      </c>
      <c r="I31" s="5" t="s">
        <v>210</v>
      </c>
    </row>
    <row r="32" customFormat="false" ht="23.85" hidden="false" customHeight="false" outlineLevel="0" collapsed="false">
      <c r="A32" s="5" t="s">
        <v>233</v>
      </c>
      <c r="B32" s="2" t="s">
        <v>234</v>
      </c>
      <c r="C32" s="5" t="s">
        <v>59</v>
      </c>
      <c r="D32" s="5" t="s">
        <v>60</v>
      </c>
      <c r="E32" s="5" t="s">
        <v>62</v>
      </c>
      <c r="F32" s="5" t="s">
        <v>269</v>
      </c>
      <c r="G32" s="5" t="s">
        <v>7637</v>
      </c>
      <c r="H32" s="5" t="s">
        <v>214</v>
      </c>
      <c r="I32" s="5" t="s">
        <v>210</v>
      </c>
    </row>
    <row r="33" customFormat="false" ht="23.85" hidden="false" customHeight="false" outlineLevel="0" collapsed="false">
      <c r="A33" s="5" t="s">
        <v>238</v>
      </c>
      <c r="B33" s="2" t="s">
        <v>239</v>
      </c>
      <c r="C33" s="5" t="s">
        <v>59</v>
      </c>
      <c r="D33" s="5" t="s">
        <v>60</v>
      </c>
      <c r="E33" s="5" t="s">
        <v>62</v>
      </c>
      <c r="F33" s="5" t="s">
        <v>269</v>
      </c>
      <c r="G33" s="5" t="s">
        <v>7637</v>
      </c>
      <c r="H33" s="5" t="s">
        <v>214</v>
      </c>
      <c r="I33" s="5" t="s">
        <v>210</v>
      </c>
    </row>
    <row r="34" customFormat="false" ht="23.85" hidden="false" customHeight="false" outlineLevel="0" collapsed="false">
      <c r="A34" s="5" t="s">
        <v>244</v>
      </c>
      <c r="B34" s="2" t="s">
        <v>245</v>
      </c>
      <c r="C34" s="5" t="s">
        <v>59</v>
      </c>
      <c r="D34" s="5" t="s">
        <v>60</v>
      </c>
      <c r="E34" s="5" t="s">
        <v>62</v>
      </c>
      <c r="F34" s="5" t="s">
        <v>269</v>
      </c>
      <c r="G34" s="5" t="s">
        <v>7638</v>
      </c>
      <c r="H34" s="5" t="s">
        <v>249</v>
      </c>
      <c r="I34" s="5" t="s">
        <v>246</v>
      </c>
    </row>
    <row r="35" customFormat="false" ht="23.85" hidden="false" customHeight="false" outlineLevel="0" collapsed="false">
      <c r="A35" s="5" t="s">
        <v>252</v>
      </c>
      <c r="B35" s="2" t="s">
        <v>253</v>
      </c>
      <c r="C35" s="5" t="s">
        <v>59</v>
      </c>
      <c r="D35" s="5" t="s">
        <v>60</v>
      </c>
      <c r="E35" s="5" t="s">
        <v>62</v>
      </c>
      <c r="F35" s="5" t="s">
        <v>7639</v>
      </c>
      <c r="G35" s="5" t="s">
        <v>7640</v>
      </c>
      <c r="H35" s="5"/>
      <c r="I35" s="5" t="s">
        <v>7641</v>
      </c>
    </row>
    <row r="36" customFormat="false" ht="15" hidden="false" customHeight="false" outlineLevel="0" collapsed="false">
      <c r="A36" s="5" t="s">
        <v>262</v>
      </c>
      <c r="B36" s="2" t="s">
        <v>263</v>
      </c>
      <c r="C36" s="5" t="s">
        <v>59</v>
      </c>
      <c r="D36" s="5" t="s">
        <v>60</v>
      </c>
      <c r="E36" s="5" t="s">
        <v>62</v>
      </c>
      <c r="F36" s="5" t="s">
        <v>269</v>
      </c>
      <c r="G36" s="5" t="s">
        <v>7637</v>
      </c>
      <c r="H36" s="5" t="s">
        <v>214</v>
      </c>
      <c r="I36" s="5" t="s">
        <v>210</v>
      </c>
    </row>
    <row r="37" customFormat="false" ht="15" hidden="false" customHeight="false" outlineLevel="0" collapsed="false">
      <c r="A37" s="5" t="s">
        <v>267</v>
      </c>
      <c r="B37" s="2" t="s">
        <v>268</v>
      </c>
      <c r="C37" s="5" t="s">
        <v>59</v>
      </c>
      <c r="D37" s="5" t="s">
        <v>60</v>
      </c>
      <c r="E37" s="5" t="s">
        <v>62</v>
      </c>
      <c r="F37" s="5" t="s">
        <v>269</v>
      </c>
      <c r="G37" s="5" t="s">
        <v>7631</v>
      </c>
      <c r="H37" s="5"/>
      <c r="I37" s="5" t="s">
        <v>7632</v>
      </c>
    </row>
    <row r="38" customFormat="false" ht="15" hidden="false" customHeight="false" outlineLevel="0" collapsed="false">
      <c r="A38" s="5" t="s">
        <v>267</v>
      </c>
      <c r="B38" s="2" t="s">
        <v>268</v>
      </c>
      <c r="C38" s="5" t="s">
        <v>59</v>
      </c>
      <c r="D38" s="5" t="s">
        <v>60</v>
      </c>
      <c r="E38" s="5" t="s">
        <v>62</v>
      </c>
      <c r="F38" s="5" t="s">
        <v>7633</v>
      </c>
      <c r="G38" s="5" t="s">
        <v>7634</v>
      </c>
      <c r="H38" s="5" t="s">
        <v>309</v>
      </c>
      <c r="I38" s="5" t="s">
        <v>1105</v>
      </c>
    </row>
    <row r="39" customFormat="false" ht="15" hidden="false" customHeight="false" outlineLevel="0" collapsed="false">
      <c r="A39" s="5" t="s">
        <v>267</v>
      </c>
      <c r="B39" s="2" t="s">
        <v>268</v>
      </c>
      <c r="C39" s="5" t="s">
        <v>59</v>
      </c>
      <c r="D39" s="5" t="s">
        <v>60</v>
      </c>
      <c r="E39" s="5" t="s">
        <v>62</v>
      </c>
      <c r="F39" s="5" t="s">
        <v>7635</v>
      </c>
      <c r="G39" s="5" t="s">
        <v>7636</v>
      </c>
      <c r="H39" s="5" t="s">
        <v>3134</v>
      </c>
      <c r="I39" s="5" t="s">
        <v>3130</v>
      </c>
    </row>
    <row r="40" customFormat="false" ht="23.85" hidden="false" customHeight="false" outlineLevel="0" collapsed="false">
      <c r="A40" s="5" t="s">
        <v>274</v>
      </c>
      <c r="B40" s="2" t="s">
        <v>275</v>
      </c>
      <c r="C40" s="5" t="s">
        <v>59</v>
      </c>
      <c r="D40" s="5" t="s">
        <v>60</v>
      </c>
      <c r="E40" s="5" t="s">
        <v>62</v>
      </c>
      <c r="F40" s="5" t="s">
        <v>269</v>
      </c>
      <c r="G40" s="5" t="s">
        <v>7631</v>
      </c>
      <c r="H40" s="5"/>
      <c r="I40" s="5" t="s">
        <v>7632</v>
      </c>
    </row>
    <row r="41" customFormat="false" ht="23.85" hidden="false" customHeight="false" outlineLevel="0" collapsed="false">
      <c r="A41" s="5" t="s">
        <v>274</v>
      </c>
      <c r="B41" s="2" t="s">
        <v>275</v>
      </c>
      <c r="C41" s="5" t="s">
        <v>59</v>
      </c>
      <c r="D41" s="5" t="s">
        <v>60</v>
      </c>
      <c r="E41" s="5" t="s">
        <v>62</v>
      </c>
      <c r="F41" s="5" t="s">
        <v>7633</v>
      </c>
      <c r="G41" s="5" t="s">
        <v>7634</v>
      </c>
      <c r="H41" s="5" t="s">
        <v>309</v>
      </c>
      <c r="I41" s="5" t="s">
        <v>1105</v>
      </c>
    </row>
    <row r="42" customFormat="false" ht="23.85" hidden="false" customHeight="false" outlineLevel="0" collapsed="false">
      <c r="A42" s="5" t="s">
        <v>274</v>
      </c>
      <c r="B42" s="2" t="s">
        <v>275</v>
      </c>
      <c r="C42" s="5" t="s">
        <v>59</v>
      </c>
      <c r="D42" s="5" t="s">
        <v>60</v>
      </c>
      <c r="E42" s="5" t="s">
        <v>62</v>
      </c>
      <c r="F42" s="5" t="s">
        <v>7635</v>
      </c>
      <c r="G42" s="5" t="s">
        <v>7636</v>
      </c>
      <c r="H42" s="5" t="s">
        <v>3134</v>
      </c>
      <c r="I42" s="5" t="s">
        <v>3130</v>
      </c>
    </row>
    <row r="43" customFormat="false" ht="15" hidden="false" customHeight="false" outlineLevel="0" collapsed="false">
      <c r="A43" s="5" t="s">
        <v>282</v>
      </c>
      <c r="B43" s="2" t="s">
        <v>283</v>
      </c>
      <c r="C43" s="5" t="s">
        <v>59</v>
      </c>
      <c r="D43" s="5" t="s">
        <v>60</v>
      </c>
      <c r="E43" s="5" t="s">
        <v>62</v>
      </c>
      <c r="F43" s="5" t="s">
        <v>269</v>
      </c>
      <c r="G43" s="5" t="s">
        <v>7642</v>
      </c>
      <c r="H43" s="5" t="s">
        <v>249</v>
      </c>
      <c r="I43" s="5" t="s">
        <v>7643</v>
      </c>
    </row>
    <row r="44" customFormat="false" ht="15" hidden="false" customHeight="false" outlineLevel="0" collapsed="false">
      <c r="A44" s="5" t="s">
        <v>282</v>
      </c>
      <c r="B44" s="2" t="s">
        <v>283</v>
      </c>
      <c r="C44" s="5" t="s">
        <v>59</v>
      </c>
      <c r="D44" s="5" t="s">
        <v>60</v>
      </c>
      <c r="E44" s="5" t="s">
        <v>62</v>
      </c>
      <c r="F44" s="5" t="s">
        <v>269</v>
      </c>
      <c r="G44" s="5" t="s">
        <v>7644</v>
      </c>
      <c r="H44" s="5"/>
      <c r="I44" s="5" t="s">
        <v>7645</v>
      </c>
    </row>
    <row r="45" customFormat="false" ht="15" hidden="false" customHeight="false" outlineLevel="0" collapsed="false">
      <c r="A45" s="5" t="s">
        <v>282</v>
      </c>
      <c r="B45" s="2" t="s">
        <v>283</v>
      </c>
      <c r="C45" s="5" t="s">
        <v>59</v>
      </c>
      <c r="D45" s="5" t="s">
        <v>60</v>
      </c>
      <c r="E45" s="5" t="s">
        <v>62</v>
      </c>
      <c r="F45" s="5" t="s">
        <v>269</v>
      </c>
      <c r="G45" s="5" t="s">
        <v>7646</v>
      </c>
      <c r="H45" s="5"/>
      <c r="I45" s="5" t="s">
        <v>7647</v>
      </c>
    </row>
    <row r="46" customFormat="false" ht="15" hidden="false" customHeight="false" outlineLevel="0" collapsed="false">
      <c r="A46" s="5" t="s">
        <v>282</v>
      </c>
      <c r="B46" s="2" t="s">
        <v>283</v>
      </c>
      <c r="C46" s="5" t="s">
        <v>59</v>
      </c>
      <c r="D46" s="5" t="s">
        <v>60</v>
      </c>
      <c r="E46" s="5" t="s">
        <v>62</v>
      </c>
      <c r="F46" s="5" t="s">
        <v>269</v>
      </c>
      <c r="G46" s="5" t="s">
        <v>7648</v>
      </c>
      <c r="H46" s="5"/>
      <c r="I46" s="5" t="s">
        <v>7649</v>
      </c>
    </row>
    <row r="47" customFormat="false" ht="15" hidden="false" customHeight="false" outlineLevel="0" collapsed="false">
      <c r="A47" s="5" t="s">
        <v>282</v>
      </c>
      <c r="B47" s="2" t="s">
        <v>283</v>
      </c>
      <c r="C47" s="5" t="s">
        <v>59</v>
      </c>
      <c r="D47" s="5" t="s">
        <v>60</v>
      </c>
      <c r="E47" s="5" t="s">
        <v>62</v>
      </c>
      <c r="F47" s="5" t="s">
        <v>269</v>
      </c>
      <c r="G47" s="5" t="s">
        <v>7650</v>
      </c>
      <c r="H47" s="5"/>
      <c r="I47" s="5" t="s">
        <v>7651</v>
      </c>
    </row>
    <row r="48" customFormat="false" ht="15" hidden="false" customHeight="false" outlineLevel="0" collapsed="false">
      <c r="A48" s="5" t="s">
        <v>290</v>
      </c>
      <c r="B48" s="2" t="s">
        <v>291</v>
      </c>
      <c r="C48" s="5" t="s">
        <v>59</v>
      </c>
      <c r="D48" s="5" t="s">
        <v>60</v>
      </c>
      <c r="E48" s="5" t="s">
        <v>62</v>
      </c>
      <c r="F48" s="5" t="s">
        <v>269</v>
      </c>
      <c r="G48" s="5" t="s">
        <v>7637</v>
      </c>
      <c r="H48" s="5" t="s">
        <v>214</v>
      </c>
      <c r="I48" s="5" t="s">
        <v>210</v>
      </c>
    </row>
    <row r="49" customFormat="false" ht="15" hidden="false" customHeight="false" outlineLevel="0" collapsed="false">
      <c r="A49" s="5" t="s">
        <v>296</v>
      </c>
      <c r="B49" s="2" t="s">
        <v>297</v>
      </c>
      <c r="C49" s="5" t="s">
        <v>59</v>
      </c>
      <c r="D49" s="5" t="s">
        <v>60</v>
      </c>
      <c r="E49" s="5" t="s">
        <v>62</v>
      </c>
      <c r="F49" s="5" t="s">
        <v>269</v>
      </c>
      <c r="G49" s="5" t="s">
        <v>7631</v>
      </c>
      <c r="H49" s="5"/>
      <c r="I49" s="5" t="s">
        <v>7632</v>
      </c>
    </row>
    <row r="50" customFormat="false" ht="15" hidden="false" customHeight="false" outlineLevel="0" collapsed="false">
      <c r="A50" s="5" t="s">
        <v>296</v>
      </c>
      <c r="B50" s="2" t="s">
        <v>297</v>
      </c>
      <c r="C50" s="5" t="s">
        <v>59</v>
      </c>
      <c r="D50" s="5" t="s">
        <v>60</v>
      </c>
      <c r="E50" s="5" t="s">
        <v>62</v>
      </c>
      <c r="F50" s="5" t="s">
        <v>7633</v>
      </c>
      <c r="G50" s="5" t="s">
        <v>7634</v>
      </c>
      <c r="H50" s="5" t="s">
        <v>309</v>
      </c>
      <c r="I50" s="5" t="s">
        <v>1105</v>
      </c>
    </row>
    <row r="51" customFormat="false" ht="15" hidden="false" customHeight="false" outlineLevel="0" collapsed="false">
      <c r="A51" s="5" t="s">
        <v>296</v>
      </c>
      <c r="B51" s="2" t="s">
        <v>297</v>
      </c>
      <c r="C51" s="5" t="s">
        <v>59</v>
      </c>
      <c r="D51" s="5" t="s">
        <v>60</v>
      </c>
      <c r="E51" s="5" t="s">
        <v>62</v>
      </c>
      <c r="F51" s="5" t="s">
        <v>7635</v>
      </c>
      <c r="G51" s="5" t="s">
        <v>7636</v>
      </c>
      <c r="H51" s="5" t="s">
        <v>3134</v>
      </c>
      <c r="I51" s="5" t="s">
        <v>3130</v>
      </c>
    </row>
    <row r="52" customFormat="false" ht="15" hidden="false" customHeight="false" outlineLevel="0" collapsed="false">
      <c r="A52" s="5" t="s">
        <v>301</v>
      </c>
      <c r="B52" s="2" t="s">
        <v>302</v>
      </c>
      <c r="C52" s="5" t="s">
        <v>59</v>
      </c>
      <c r="D52" s="5" t="s">
        <v>60</v>
      </c>
      <c r="E52" s="5" t="s">
        <v>62</v>
      </c>
      <c r="F52" s="5" t="s">
        <v>269</v>
      </c>
      <c r="G52" s="5" t="s">
        <v>7631</v>
      </c>
      <c r="H52" s="5"/>
      <c r="I52" s="5" t="s">
        <v>7632</v>
      </c>
    </row>
    <row r="53" customFormat="false" ht="15" hidden="false" customHeight="false" outlineLevel="0" collapsed="false">
      <c r="A53" s="5" t="s">
        <v>301</v>
      </c>
      <c r="B53" s="2" t="s">
        <v>302</v>
      </c>
      <c r="C53" s="5" t="s">
        <v>59</v>
      </c>
      <c r="D53" s="5" t="s">
        <v>60</v>
      </c>
      <c r="E53" s="5" t="s">
        <v>62</v>
      </c>
      <c r="F53" s="5" t="s">
        <v>7633</v>
      </c>
      <c r="G53" s="5" t="s">
        <v>7634</v>
      </c>
      <c r="H53" s="5" t="s">
        <v>309</v>
      </c>
      <c r="I53" s="5" t="s">
        <v>1105</v>
      </c>
    </row>
    <row r="54" customFormat="false" ht="15" hidden="false" customHeight="false" outlineLevel="0" collapsed="false">
      <c r="A54" s="5" t="s">
        <v>312</v>
      </c>
      <c r="B54" s="2" t="s">
        <v>313</v>
      </c>
      <c r="C54" s="5" t="s">
        <v>59</v>
      </c>
      <c r="D54" s="5" t="s">
        <v>60</v>
      </c>
      <c r="E54" s="5" t="s">
        <v>62</v>
      </c>
      <c r="F54" s="5" t="s">
        <v>269</v>
      </c>
      <c r="G54" s="5" t="s">
        <v>7652</v>
      </c>
      <c r="H54" s="5" t="s">
        <v>214</v>
      </c>
      <c r="I54" s="5" t="s">
        <v>3226</v>
      </c>
    </row>
    <row r="55" customFormat="false" ht="15" hidden="false" customHeight="false" outlineLevel="0" collapsed="false">
      <c r="A55" s="5" t="s">
        <v>312</v>
      </c>
      <c r="B55" s="2" t="s">
        <v>313</v>
      </c>
      <c r="C55" s="5" t="s">
        <v>59</v>
      </c>
      <c r="D55" s="5" t="s">
        <v>60</v>
      </c>
      <c r="E55" s="5" t="s">
        <v>62</v>
      </c>
      <c r="F55" s="5" t="s">
        <v>269</v>
      </c>
      <c r="G55" s="5" t="s">
        <v>7653</v>
      </c>
      <c r="H55" s="5" t="s">
        <v>214</v>
      </c>
      <c r="I55" s="5" t="s">
        <v>7654</v>
      </c>
    </row>
    <row r="56" customFormat="false" ht="15" hidden="false" customHeight="false" outlineLevel="0" collapsed="false">
      <c r="A56" s="5" t="s">
        <v>312</v>
      </c>
      <c r="B56" s="2" t="s">
        <v>313</v>
      </c>
      <c r="C56" s="5" t="s">
        <v>59</v>
      </c>
      <c r="D56" s="5" t="s">
        <v>60</v>
      </c>
      <c r="E56" s="5" t="s">
        <v>62</v>
      </c>
      <c r="F56" s="5" t="s">
        <v>269</v>
      </c>
      <c r="G56" s="5" t="s">
        <v>7655</v>
      </c>
      <c r="H56" s="5" t="s">
        <v>214</v>
      </c>
      <c r="I56" s="5" t="s">
        <v>7656</v>
      </c>
    </row>
    <row r="57" customFormat="false" ht="15" hidden="false" customHeight="false" outlineLevel="0" collapsed="false">
      <c r="A57" s="5" t="s">
        <v>312</v>
      </c>
      <c r="B57" s="2" t="s">
        <v>313</v>
      </c>
      <c r="C57" s="5" t="s">
        <v>59</v>
      </c>
      <c r="D57" s="5" t="s">
        <v>60</v>
      </c>
      <c r="E57" s="5" t="s">
        <v>62</v>
      </c>
      <c r="F57" s="5" t="s">
        <v>269</v>
      </c>
      <c r="G57" s="5" t="s">
        <v>7637</v>
      </c>
      <c r="H57" s="5" t="s">
        <v>214</v>
      </c>
      <c r="I57" s="5" t="s">
        <v>210</v>
      </c>
    </row>
    <row r="58" customFormat="false" ht="23.85" hidden="false" customHeight="false" outlineLevel="0" collapsed="false">
      <c r="A58" s="5" t="s">
        <v>321</v>
      </c>
      <c r="B58" s="2" t="s">
        <v>322</v>
      </c>
      <c r="C58" s="5" t="s">
        <v>59</v>
      </c>
      <c r="D58" s="5" t="s">
        <v>60</v>
      </c>
      <c r="E58" s="5" t="s">
        <v>62</v>
      </c>
      <c r="F58" s="5" t="s">
        <v>269</v>
      </c>
      <c r="G58" s="5" t="s">
        <v>7637</v>
      </c>
      <c r="H58" s="5" t="s">
        <v>214</v>
      </c>
      <c r="I58" s="5" t="s">
        <v>210</v>
      </c>
    </row>
    <row r="59" customFormat="false" ht="23.85" hidden="false" customHeight="false" outlineLevel="0" collapsed="false">
      <c r="A59" s="5" t="s">
        <v>326</v>
      </c>
      <c r="B59" s="2" t="s">
        <v>327</v>
      </c>
      <c r="C59" s="5" t="s">
        <v>59</v>
      </c>
      <c r="D59" s="5" t="s">
        <v>60</v>
      </c>
      <c r="E59" s="5" t="s">
        <v>62</v>
      </c>
      <c r="F59" s="5" t="s">
        <v>269</v>
      </c>
      <c r="G59" s="5" t="s">
        <v>7637</v>
      </c>
      <c r="H59" s="5" t="s">
        <v>214</v>
      </c>
      <c r="I59" s="5" t="s">
        <v>210</v>
      </c>
    </row>
    <row r="60" customFormat="false" ht="35.05" hidden="false" customHeight="false" outlineLevel="0" collapsed="false">
      <c r="A60" s="5" t="s">
        <v>331</v>
      </c>
      <c r="B60" s="2" t="s">
        <v>332</v>
      </c>
      <c r="C60" s="5" t="s">
        <v>59</v>
      </c>
      <c r="D60" s="5" t="s">
        <v>60</v>
      </c>
      <c r="E60" s="5" t="s">
        <v>62</v>
      </c>
      <c r="F60" s="5" t="s">
        <v>269</v>
      </c>
      <c r="G60" s="5" t="s">
        <v>7631</v>
      </c>
      <c r="H60" s="5"/>
      <c r="I60" s="5" t="s">
        <v>7632</v>
      </c>
    </row>
    <row r="61" customFormat="false" ht="35.05" hidden="false" customHeight="false" outlineLevel="0" collapsed="false">
      <c r="A61" s="5" t="s">
        <v>331</v>
      </c>
      <c r="B61" s="2" t="s">
        <v>332</v>
      </c>
      <c r="C61" s="5" t="s">
        <v>59</v>
      </c>
      <c r="D61" s="5" t="s">
        <v>60</v>
      </c>
      <c r="E61" s="5" t="s">
        <v>62</v>
      </c>
      <c r="F61" s="5" t="s">
        <v>7633</v>
      </c>
      <c r="G61" s="5" t="s">
        <v>7634</v>
      </c>
      <c r="H61" s="5" t="s">
        <v>309</v>
      </c>
      <c r="I61" s="5" t="s">
        <v>1105</v>
      </c>
    </row>
    <row r="62" customFormat="false" ht="35.05" hidden="false" customHeight="false" outlineLevel="0" collapsed="false">
      <c r="A62" s="5" t="s">
        <v>331</v>
      </c>
      <c r="B62" s="2" t="s">
        <v>332</v>
      </c>
      <c r="C62" s="5" t="s">
        <v>59</v>
      </c>
      <c r="D62" s="5" t="s">
        <v>60</v>
      </c>
      <c r="E62" s="5" t="s">
        <v>62</v>
      </c>
      <c r="F62" s="5" t="s">
        <v>7635</v>
      </c>
      <c r="G62" s="5" t="s">
        <v>7636</v>
      </c>
      <c r="H62" s="5" t="s">
        <v>3134</v>
      </c>
      <c r="I62" s="5" t="s">
        <v>3130</v>
      </c>
    </row>
    <row r="63" customFormat="false" ht="15" hidden="false" customHeight="false" outlineLevel="0" collapsed="false">
      <c r="A63" s="5" t="s">
        <v>337</v>
      </c>
      <c r="B63" s="2" t="s">
        <v>338</v>
      </c>
      <c r="C63" s="5" t="s">
        <v>59</v>
      </c>
      <c r="D63" s="5" t="s">
        <v>60</v>
      </c>
      <c r="E63" s="5" t="s">
        <v>62</v>
      </c>
      <c r="F63" s="5" t="s">
        <v>269</v>
      </c>
      <c r="G63" s="5" t="s">
        <v>7657</v>
      </c>
      <c r="H63" s="5" t="s">
        <v>346</v>
      </c>
      <c r="I63" s="5" t="s">
        <v>341</v>
      </c>
    </row>
    <row r="64" customFormat="false" ht="15" hidden="false" customHeight="false" outlineLevel="0" collapsed="false">
      <c r="A64" s="5" t="s">
        <v>349</v>
      </c>
      <c r="B64" s="2" t="s">
        <v>350</v>
      </c>
      <c r="C64" s="5" t="s">
        <v>59</v>
      </c>
      <c r="D64" s="5" t="s">
        <v>60</v>
      </c>
      <c r="E64" s="5" t="s">
        <v>62</v>
      </c>
      <c r="F64" s="5" t="s">
        <v>269</v>
      </c>
      <c r="G64" s="5" t="s">
        <v>7658</v>
      </c>
      <c r="H64" s="5" t="s">
        <v>192</v>
      </c>
      <c r="I64" s="5" t="s">
        <v>353</v>
      </c>
    </row>
    <row r="65" customFormat="false" ht="23.85" hidden="false" customHeight="false" outlineLevel="0" collapsed="false">
      <c r="A65" s="5" t="s">
        <v>359</v>
      </c>
      <c r="B65" s="2" t="s">
        <v>360</v>
      </c>
      <c r="C65" s="5" t="s">
        <v>59</v>
      </c>
      <c r="D65" s="5" t="s">
        <v>60</v>
      </c>
      <c r="E65" s="5" t="s">
        <v>62</v>
      </c>
      <c r="F65" s="5" t="s">
        <v>269</v>
      </c>
      <c r="G65" s="5" t="s">
        <v>7631</v>
      </c>
      <c r="H65" s="5"/>
      <c r="I65" s="5" t="s">
        <v>7632</v>
      </c>
    </row>
    <row r="66" customFormat="false" ht="23.85" hidden="false" customHeight="false" outlineLevel="0" collapsed="false">
      <c r="A66" s="5" t="s">
        <v>359</v>
      </c>
      <c r="B66" s="2" t="s">
        <v>360</v>
      </c>
      <c r="C66" s="5" t="s">
        <v>59</v>
      </c>
      <c r="D66" s="5" t="s">
        <v>60</v>
      </c>
      <c r="E66" s="5" t="s">
        <v>62</v>
      </c>
      <c r="F66" s="5" t="s">
        <v>7633</v>
      </c>
      <c r="G66" s="5" t="s">
        <v>7634</v>
      </c>
      <c r="H66" s="5" t="s">
        <v>309</v>
      </c>
      <c r="I66" s="5" t="s">
        <v>1105</v>
      </c>
    </row>
    <row r="67" customFormat="false" ht="23.85" hidden="false" customHeight="false" outlineLevel="0" collapsed="false">
      <c r="A67" s="5" t="s">
        <v>359</v>
      </c>
      <c r="B67" s="2" t="s">
        <v>360</v>
      </c>
      <c r="C67" s="5" t="s">
        <v>59</v>
      </c>
      <c r="D67" s="5" t="s">
        <v>60</v>
      </c>
      <c r="E67" s="5" t="s">
        <v>62</v>
      </c>
      <c r="F67" s="5" t="s">
        <v>7635</v>
      </c>
      <c r="G67" s="5" t="s">
        <v>7636</v>
      </c>
      <c r="H67" s="5" t="s">
        <v>3134</v>
      </c>
      <c r="I67" s="5" t="s">
        <v>3130</v>
      </c>
    </row>
    <row r="68" customFormat="false" ht="15" hidden="false" customHeight="false" outlineLevel="0" collapsed="false">
      <c r="A68" s="5" t="s">
        <v>365</v>
      </c>
      <c r="B68" s="2" t="s">
        <v>366</v>
      </c>
      <c r="C68" s="5" t="s">
        <v>59</v>
      </c>
      <c r="D68" s="5" t="s">
        <v>60</v>
      </c>
      <c r="E68" s="5" t="s">
        <v>62</v>
      </c>
      <c r="F68" s="5" t="s">
        <v>7633</v>
      </c>
      <c r="G68" s="5" t="s">
        <v>7659</v>
      </c>
      <c r="H68" s="5" t="s">
        <v>372</v>
      </c>
      <c r="I68" s="5" t="s">
        <v>368</v>
      </c>
    </row>
    <row r="69" customFormat="false" ht="15" hidden="false" customHeight="false" outlineLevel="0" collapsed="false">
      <c r="A69" s="5" t="s">
        <v>375</v>
      </c>
      <c r="B69" s="2" t="s">
        <v>376</v>
      </c>
      <c r="C69" s="5" t="s">
        <v>59</v>
      </c>
      <c r="D69" s="5" t="s">
        <v>60</v>
      </c>
      <c r="E69" s="5" t="s">
        <v>62</v>
      </c>
      <c r="F69" s="5" t="s">
        <v>269</v>
      </c>
      <c r="G69" s="5" t="s">
        <v>7626</v>
      </c>
      <c r="H69" s="5" t="s">
        <v>192</v>
      </c>
      <c r="I69" s="5" t="s">
        <v>7627</v>
      </c>
    </row>
    <row r="70" customFormat="false" ht="15" hidden="false" customHeight="false" outlineLevel="0" collapsed="false">
      <c r="A70" s="5" t="s">
        <v>375</v>
      </c>
      <c r="B70" s="2" t="s">
        <v>376</v>
      </c>
      <c r="C70" s="5" t="s">
        <v>59</v>
      </c>
      <c r="D70" s="5" t="s">
        <v>60</v>
      </c>
      <c r="E70" s="5" t="s">
        <v>62</v>
      </c>
      <c r="F70" s="5" t="s">
        <v>269</v>
      </c>
      <c r="G70" s="5" t="s">
        <v>7660</v>
      </c>
      <c r="H70" s="5" t="s">
        <v>192</v>
      </c>
      <c r="I70" s="5" t="s">
        <v>7661</v>
      </c>
    </row>
    <row r="71" customFormat="false" ht="15" hidden="false" customHeight="false" outlineLevel="0" collapsed="false">
      <c r="A71" s="5" t="s">
        <v>375</v>
      </c>
      <c r="B71" s="2" t="s">
        <v>376</v>
      </c>
      <c r="C71" s="5" t="s">
        <v>59</v>
      </c>
      <c r="D71" s="5" t="s">
        <v>60</v>
      </c>
      <c r="E71" s="5" t="s">
        <v>62</v>
      </c>
      <c r="F71" s="5" t="s">
        <v>269</v>
      </c>
      <c r="G71" s="5" t="s">
        <v>7628</v>
      </c>
      <c r="H71" s="5" t="s">
        <v>192</v>
      </c>
      <c r="I71" s="5" t="s">
        <v>2045</v>
      </c>
    </row>
    <row r="72" customFormat="false" ht="15" hidden="false" customHeight="false" outlineLevel="0" collapsed="false">
      <c r="A72" s="5" t="s">
        <v>375</v>
      </c>
      <c r="B72" s="2" t="s">
        <v>376</v>
      </c>
      <c r="C72" s="5" t="s">
        <v>59</v>
      </c>
      <c r="D72" s="5" t="s">
        <v>60</v>
      </c>
      <c r="E72" s="5" t="s">
        <v>62</v>
      </c>
      <c r="F72" s="5" t="s">
        <v>269</v>
      </c>
      <c r="G72" s="5" t="s">
        <v>7662</v>
      </c>
      <c r="H72" s="5" t="s">
        <v>192</v>
      </c>
      <c r="I72" s="5" t="s">
        <v>7663</v>
      </c>
    </row>
    <row r="73" customFormat="false" ht="15" hidden="false" customHeight="false" outlineLevel="0" collapsed="false">
      <c r="A73" s="5" t="s">
        <v>375</v>
      </c>
      <c r="B73" s="2" t="s">
        <v>376</v>
      </c>
      <c r="C73" s="5" t="s">
        <v>59</v>
      </c>
      <c r="D73" s="5" t="s">
        <v>60</v>
      </c>
      <c r="E73" s="5" t="s">
        <v>62</v>
      </c>
      <c r="F73" s="5" t="s">
        <v>269</v>
      </c>
      <c r="G73" s="5" t="s">
        <v>7629</v>
      </c>
      <c r="H73" s="5" t="s">
        <v>192</v>
      </c>
      <c r="I73" s="5" t="s">
        <v>7630</v>
      </c>
    </row>
    <row r="74" customFormat="false" ht="15" hidden="false" customHeight="false" outlineLevel="0" collapsed="false">
      <c r="A74" s="5" t="s">
        <v>375</v>
      </c>
      <c r="B74" s="2" t="s">
        <v>376</v>
      </c>
      <c r="C74" s="5" t="s">
        <v>59</v>
      </c>
      <c r="D74" s="5" t="s">
        <v>60</v>
      </c>
      <c r="E74" s="5" t="s">
        <v>62</v>
      </c>
      <c r="F74" s="5" t="s">
        <v>269</v>
      </c>
      <c r="G74" s="5" t="s">
        <v>7664</v>
      </c>
      <c r="H74" s="5" t="s">
        <v>192</v>
      </c>
      <c r="I74" s="5" t="s">
        <v>7665</v>
      </c>
    </row>
    <row r="75" customFormat="false" ht="15" hidden="false" customHeight="false" outlineLevel="0" collapsed="false">
      <c r="A75" s="5" t="s">
        <v>383</v>
      </c>
      <c r="B75" s="2" t="s">
        <v>384</v>
      </c>
      <c r="C75" s="5" t="s">
        <v>59</v>
      </c>
      <c r="D75" s="5" t="s">
        <v>60</v>
      </c>
      <c r="E75" s="5" t="s">
        <v>62</v>
      </c>
      <c r="F75" s="5" t="s">
        <v>269</v>
      </c>
      <c r="G75" s="5" t="s">
        <v>7625</v>
      </c>
      <c r="H75" s="5" t="s">
        <v>192</v>
      </c>
      <c r="I75" s="5" t="s">
        <v>385</v>
      </c>
    </row>
    <row r="76" customFormat="false" ht="15" hidden="false" customHeight="false" outlineLevel="0" collapsed="false">
      <c r="A76" s="5" t="s">
        <v>389</v>
      </c>
      <c r="B76" s="2" t="s">
        <v>390</v>
      </c>
      <c r="C76" s="5" t="s">
        <v>59</v>
      </c>
      <c r="D76" s="5" t="s">
        <v>60</v>
      </c>
      <c r="E76" s="5" t="s">
        <v>62</v>
      </c>
      <c r="F76" s="5" t="s">
        <v>269</v>
      </c>
      <c r="G76" s="5" t="s">
        <v>7666</v>
      </c>
      <c r="H76" s="5" t="s">
        <v>192</v>
      </c>
      <c r="I76" s="5" t="s">
        <v>391</v>
      </c>
    </row>
    <row r="77" customFormat="false" ht="15" hidden="false" customHeight="false" outlineLevel="0" collapsed="false">
      <c r="A77" s="5" t="s">
        <v>395</v>
      </c>
      <c r="B77" s="2" t="s">
        <v>396</v>
      </c>
      <c r="C77" s="5" t="s">
        <v>59</v>
      </c>
      <c r="D77" s="5" t="s">
        <v>60</v>
      </c>
      <c r="E77" s="5" t="s">
        <v>62</v>
      </c>
      <c r="F77" s="5" t="s">
        <v>269</v>
      </c>
      <c r="G77" s="5" t="s">
        <v>7631</v>
      </c>
      <c r="H77" s="5"/>
      <c r="I77" s="5" t="s">
        <v>7632</v>
      </c>
    </row>
    <row r="78" customFormat="false" ht="15" hidden="false" customHeight="false" outlineLevel="0" collapsed="false">
      <c r="A78" s="5" t="s">
        <v>395</v>
      </c>
      <c r="B78" s="2" t="s">
        <v>396</v>
      </c>
      <c r="C78" s="5" t="s">
        <v>59</v>
      </c>
      <c r="D78" s="5" t="s">
        <v>60</v>
      </c>
      <c r="E78" s="5" t="s">
        <v>62</v>
      </c>
      <c r="F78" s="5" t="s">
        <v>7633</v>
      </c>
      <c r="G78" s="5" t="s">
        <v>7634</v>
      </c>
      <c r="H78" s="5" t="s">
        <v>309</v>
      </c>
      <c r="I78" s="5" t="s">
        <v>1105</v>
      </c>
    </row>
    <row r="79" customFormat="false" ht="15" hidden="false" customHeight="false" outlineLevel="0" collapsed="false">
      <c r="A79" s="5" t="s">
        <v>395</v>
      </c>
      <c r="B79" s="2" t="s">
        <v>396</v>
      </c>
      <c r="C79" s="5" t="s">
        <v>59</v>
      </c>
      <c r="D79" s="5" t="s">
        <v>60</v>
      </c>
      <c r="E79" s="5" t="s">
        <v>62</v>
      </c>
      <c r="F79" s="5" t="s">
        <v>7635</v>
      </c>
      <c r="G79" s="5" t="s">
        <v>7636</v>
      </c>
      <c r="H79" s="5" t="s">
        <v>3134</v>
      </c>
      <c r="I79" s="5" t="s">
        <v>3130</v>
      </c>
    </row>
    <row r="80" customFormat="false" ht="15" hidden="false" customHeight="false" outlineLevel="0" collapsed="false">
      <c r="A80" s="5" t="s">
        <v>401</v>
      </c>
      <c r="B80" s="2" t="s">
        <v>402</v>
      </c>
      <c r="C80" s="5" t="s">
        <v>59</v>
      </c>
      <c r="D80" s="5" t="s">
        <v>60</v>
      </c>
      <c r="E80" s="5" t="s">
        <v>62</v>
      </c>
      <c r="F80" s="5" t="s">
        <v>269</v>
      </c>
      <c r="G80" s="5" t="s">
        <v>7631</v>
      </c>
      <c r="H80" s="5"/>
      <c r="I80" s="5" t="s">
        <v>7632</v>
      </c>
    </row>
    <row r="81" customFormat="false" ht="15" hidden="false" customHeight="false" outlineLevel="0" collapsed="false">
      <c r="A81" s="5" t="s">
        <v>401</v>
      </c>
      <c r="B81" s="2" t="s">
        <v>402</v>
      </c>
      <c r="C81" s="5" t="s">
        <v>59</v>
      </c>
      <c r="D81" s="5" t="s">
        <v>60</v>
      </c>
      <c r="E81" s="5" t="s">
        <v>62</v>
      </c>
      <c r="F81" s="5" t="s">
        <v>7633</v>
      </c>
      <c r="G81" s="5" t="s">
        <v>7634</v>
      </c>
      <c r="H81" s="5" t="s">
        <v>309</v>
      </c>
      <c r="I81" s="5" t="s">
        <v>1105</v>
      </c>
    </row>
    <row r="82" customFormat="false" ht="15" hidden="false" customHeight="false" outlineLevel="0" collapsed="false">
      <c r="A82" s="5" t="s">
        <v>401</v>
      </c>
      <c r="B82" s="2" t="s">
        <v>402</v>
      </c>
      <c r="C82" s="5" t="s">
        <v>59</v>
      </c>
      <c r="D82" s="5" t="s">
        <v>60</v>
      </c>
      <c r="E82" s="5" t="s">
        <v>62</v>
      </c>
      <c r="F82" s="5" t="s">
        <v>7635</v>
      </c>
      <c r="G82" s="5" t="s">
        <v>7636</v>
      </c>
      <c r="H82" s="5" t="s">
        <v>3134</v>
      </c>
      <c r="I82" s="5" t="s">
        <v>3130</v>
      </c>
    </row>
    <row r="83" customFormat="false" ht="15" hidden="false" customHeight="false" outlineLevel="0" collapsed="false">
      <c r="A83" s="5" t="s">
        <v>406</v>
      </c>
      <c r="B83" s="2" t="s">
        <v>407</v>
      </c>
      <c r="C83" s="5" t="s">
        <v>59</v>
      </c>
      <c r="D83" s="5" t="s">
        <v>60</v>
      </c>
      <c r="E83" s="5" t="s">
        <v>62</v>
      </c>
      <c r="F83" s="5" t="s">
        <v>269</v>
      </c>
      <c r="G83" s="5" t="s">
        <v>7631</v>
      </c>
      <c r="H83" s="5"/>
      <c r="I83" s="5" t="s">
        <v>7632</v>
      </c>
    </row>
    <row r="84" customFormat="false" ht="15" hidden="false" customHeight="false" outlineLevel="0" collapsed="false">
      <c r="A84" s="5" t="s">
        <v>406</v>
      </c>
      <c r="B84" s="2" t="s">
        <v>407</v>
      </c>
      <c r="C84" s="5" t="s">
        <v>59</v>
      </c>
      <c r="D84" s="5" t="s">
        <v>60</v>
      </c>
      <c r="E84" s="5" t="s">
        <v>62</v>
      </c>
      <c r="F84" s="5" t="s">
        <v>7633</v>
      </c>
      <c r="G84" s="5" t="s">
        <v>7634</v>
      </c>
      <c r="H84" s="5" t="s">
        <v>309</v>
      </c>
      <c r="I84" s="5" t="s">
        <v>1105</v>
      </c>
    </row>
    <row r="85" customFormat="false" ht="15" hidden="false" customHeight="false" outlineLevel="0" collapsed="false">
      <c r="A85" s="5" t="s">
        <v>411</v>
      </c>
      <c r="B85" s="2" t="s">
        <v>412</v>
      </c>
      <c r="C85" s="5" t="s">
        <v>59</v>
      </c>
      <c r="D85" s="5" t="s">
        <v>60</v>
      </c>
      <c r="E85" s="5" t="s">
        <v>62</v>
      </c>
      <c r="F85" s="5" t="s">
        <v>7667</v>
      </c>
      <c r="G85" s="5" t="s">
        <v>7668</v>
      </c>
      <c r="H85" s="5"/>
      <c r="I85" s="5" t="s">
        <v>416</v>
      </c>
    </row>
    <row r="86" customFormat="false" ht="23.85" hidden="false" customHeight="false" outlineLevel="0" collapsed="false">
      <c r="A86" s="5" t="s">
        <v>422</v>
      </c>
      <c r="B86" s="2" t="s">
        <v>423</v>
      </c>
      <c r="C86" s="5" t="s">
        <v>59</v>
      </c>
      <c r="D86" s="5" t="s">
        <v>60</v>
      </c>
      <c r="E86" s="5" t="s">
        <v>62</v>
      </c>
      <c r="F86" s="5" t="s">
        <v>269</v>
      </c>
      <c r="G86" s="5" t="s">
        <v>7631</v>
      </c>
      <c r="H86" s="5"/>
      <c r="I86" s="5" t="s">
        <v>7632</v>
      </c>
    </row>
    <row r="87" customFormat="false" ht="23.85" hidden="false" customHeight="false" outlineLevel="0" collapsed="false">
      <c r="A87" s="5" t="s">
        <v>422</v>
      </c>
      <c r="B87" s="2" t="s">
        <v>423</v>
      </c>
      <c r="C87" s="5" t="s">
        <v>59</v>
      </c>
      <c r="D87" s="5" t="s">
        <v>60</v>
      </c>
      <c r="E87" s="5" t="s">
        <v>62</v>
      </c>
      <c r="F87" s="5" t="s">
        <v>7633</v>
      </c>
      <c r="G87" s="5" t="s">
        <v>7634</v>
      </c>
      <c r="H87" s="5" t="s">
        <v>309</v>
      </c>
      <c r="I87" s="5" t="s">
        <v>1105</v>
      </c>
    </row>
    <row r="88" customFormat="false" ht="23.85" hidden="false" customHeight="false" outlineLevel="0" collapsed="false">
      <c r="A88" s="5" t="s">
        <v>422</v>
      </c>
      <c r="B88" s="2" t="s">
        <v>423</v>
      </c>
      <c r="C88" s="5" t="s">
        <v>59</v>
      </c>
      <c r="D88" s="5" t="s">
        <v>60</v>
      </c>
      <c r="E88" s="5" t="s">
        <v>62</v>
      </c>
      <c r="F88" s="5" t="s">
        <v>7635</v>
      </c>
      <c r="G88" s="5" t="s">
        <v>7636</v>
      </c>
      <c r="H88" s="5" t="s">
        <v>3134</v>
      </c>
      <c r="I88" s="5" t="s">
        <v>3130</v>
      </c>
    </row>
    <row r="89" customFormat="false" ht="15" hidden="false" customHeight="false" outlineLevel="0" collapsed="false">
      <c r="A89" s="5" t="s">
        <v>427</v>
      </c>
      <c r="B89" s="2" t="s">
        <v>428</v>
      </c>
      <c r="C89" s="5" t="s">
        <v>59</v>
      </c>
      <c r="D89" s="5" t="s">
        <v>60</v>
      </c>
      <c r="E89" s="5" t="s">
        <v>62</v>
      </c>
      <c r="F89" s="5" t="s">
        <v>269</v>
      </c>
      <c r="G89" s="5" t="s">
        <v>7637</v>
      </c>
      <c r="H89" s="5" t="s">
        <v>214</v>
      </c>
      <c r="I89" s="5" t="s">
        <v>210</v>
      </c>
    </row>
    <row r="90" customFormat="false" ht="15" hidden="false" customHeight="false" outlineLevel="0" collapsed="false">
      <c r="A90" s="5" t="s">
        <v>432</v>
      </c>
      <c r="B90" s="2" t="s">
        <v>433</v>
      </c>
      <c r="C90" s="5" t="s">
        <v>59</v>
      </c>
      <c r="D90" s="5" t="s">
        <v>60</v>
      </c>
      <c r="E90" s="5" t="s">
        <v>62</v>
      </c>
      <c r="F90" s="5" t="s">
        <v>269</v>
      </c>
      <c r="G90" s="5" t="s">
        <v>7631</v>
      </c>
      <c r="H90" s="5"/>
      <c r="I90" s="5" t="s">
        <v>7632</v>
      </c>
    </row>
    <row r="91" customFormat="false" ht="15" hidden="false" customHeight="false" outlineLevel="0" collapsed="false">
      <c r="A91" s="5" t="s">
        <v>432</v>
      </c>
      <c r="B91" s="2" t="s">
        <v>433</v>
      </c>
      <c r="C91" s="5" t="s">
        <v>59</v>
      </c>
      <c r="D91" s="5" t="s">
        <v>60</v>
      </c>
      <c r="E91" s="5" t="s">
        <v>62</v>
      </c>
      <c r="F91" s="5" t="s">
        <v>7633</v>
      </c>
      <c r="G91" s="5" t="s">
        <v>7634</v>
      </c>
      <c r="H91" s="5" t="s">
        <v>309</v>
      </c>
      <c r="I91" s="5" t="s">
        <v>1105</v>
      </c>
    </row>
    <row r="92" customFormat="false" ht="15" hidden="false" customHeight="false" outlineLevel="0" collapsed="false">
      <c r="A92" s="5" t="s">
        <v>432</v>
      </c>
      <c r="B92" s="2" t="s">
        <v>433</v>
      </c>
      <c r="C92" s="5" t="s">
        <v>59</v>
      </c>
      <c r="D92" s="5" t="s">
        <v>60</v>
      </c>
      <c r="E92" s="5" t="s">
        <v>62</v>
      </c>
      <c r="F92" s="5" t="s">
        <v>7635</v>
      </c>
      <c r="G92" s="5" t="s">
        <v>7636</v>
      </c>
      <c r="H92" s="5" t="s">
        <v>3134</v>
      </c>
      <c r="I92" s="5" t="s">
        <v>3130</v>
      </c>
    </row>
    <row r="93" customFormat="false" ht="15" hidden="false" customHeight="false" outlineLevel="0" collapsed="false">
      <c r="A93" s="5" t="s">
        <v>437</v>
      </c>
      <c r="B93" s="2" t="s">
        <v>438</v>
      </c>
      <c r="C93" s="5" t="s">
        <v>59</v>
      </c>
      <c r="D93" s="5" t="s">
        <v>60</v>
      </c>
      <c r="E93" s="5" t="s">
        <v>62</v>
      </c>
      <c r="F93" s="5" t="s">
        <v>269</v>
      </c>
      <c r="G93" s="5" t="s">
        <v>7631</v>
      </c>
      <c r="H93" s="5"/>
      <c r="I93" s="5" t="s">
        <v>7632</v>
      </c>
    </row>
    <row r="94" customFormat="false" ht="15" hidden="false" customHeight="false" outlineLevel="0" collapsed="false">
      <c r="A94" s="5" t="s">
        <v>437</v>
      </c>
      <c r="B94" s="2" t="s">
        <v>438</v>
      </c>
      <c r="C94" s="5" t="s">
        <v>59</v>
      </c>
      <c r="D94" s="5" t="s">
        <v>60</v>
      </c>
      <c r="E94" s="5" t="s">
        <v>62</v>
      </c>
      <c r="F94" s="5" t="s">
        <v>7633</v>
      </c>
      <c r="G94" s="5" t="s">
        <v>7634</v>
      </c>
      <c r="H94" s="5" t="s">
        <v>309</v>
      </c>
      <c r="I94" s="5" t="s">
        <v>1105</v>
      </c>
    </row>
    <row r="95" customFormat="false" ht="15" hidden="false" customHeight="false" outlineLevel="0" collapsed="false">
      <c r="A95" s="5" t="s">
        <v>437</v>
      </c>
      <c r="B95" s="2" t="s">
        <v>438</v>
      </c>
      <c r="C95" s="5" t="s">
        <v>59</v>
      </c>
      <c r="D95" s="5" t="s">
        <v>60</v>
      </c>
      <c r="E95" s="5" t="s">
        <v>62</v>
      </c>
      <c r="F95" s="5" t="s">
        <v>7635</v>
      </c>
      <c r="G95" s="5" t="s">
        <v>7636</v>
      </c>
      <c r="H95" s="5" t="s">
        <v>3134</v>
      </c>
      <c r="I95" s="5" t="s">
        <v>3130</v>
      </c>
    </row>
    <row r="96" customFormat="false" ht="15" hidden="false" customHeight="false" outlineLevel="0" collapsed="false">
      <c r="A96" s="5" t="s">
        <v>442</v>
      </c>
      <c r="B96" s="2" t="s">
        <v>443</v>
      </c>
      <c r="C96" s="5" t="s">
        <v>59</v>
      </c>
      <c r="D96" s="5" t="s">
        <v>60</v>
      </c>
      <c r="E96" s="5" t="s">
        <v>62</v>
      </c>
      <c r="F96" s="5" t="s">
        <v>269</v>
      </c>
      <c r="G96" s="5" t="s">
        <v>7637</v>
      </c>
      <c r="H96" s="5" t="s">
        <v>214</v>
      </c>
      <c r="I96" s="5" t="s">
        <v>210</v>
      </c>
    </row>
    <row r="97" customFormat="false" ht="23.85" hidden="false" customHeight="false" outlineLevel="0" collapsed="false">
      <c r="A97" s="5" t="s">
        <v>447</v>
      </c>
      <c r="B97" s="2" t="s">
        <v>448</v>
      </c>
      <c r="C97" s="5" t="s">
        <v>59</v>
      </c>
      <c r="D97" s="5" t="s">
        <v>60</v>
      </c>
      <c r="E97" s="5" t="s">
        <v>62</v>
      </c>
      <c r="F97" s="5" t="s">
        <v>269</v>
      </c>
      <c r="G97" s="5" t="s">
        <v>7631</v>
      </c>
      <c r="H97" s="5"/>
      <c r="I97" s="5" t="s">
        <v>7632</v>
      </c>
    </row>
    <row r="98" customFormat="false" ht="23.85" hidden="false" customHeight="false" outlineLevel="0" collapsed="false">
      <c r="A98" s="5" t="s">
        <v>447</v>
      </c>
      <c r="B98" s="2" t="s">
        <v>448</v>
      </c>
      <c r="C98" s="5" t="s">
        <v>59</v>
      </c>
      <c r="D98" s="5" t="s">
        <v>60</v>
      </c>
      <c r="E98" s="5" t="s">
        <v>62</v>
      </c>
      <c r="F98" s="5" t="s">
        <v>7633</v>
      </c>
      <c r="G98" s="5" t="s">
        <v>7634</v>
      </c>
      <c r="H98" s="5" t="s">
        <v>309</v>
      </c>
      <c r="I98" s="5" t="s">
        <v>1105</v>
      </c>
    </row>
    <row r="99" customFormat="false" ht="23.85" hidden="false" customHeight="false" outlineLevel="0" collapsed="false">
      <c r="A99" s="5" t="s">
        <v>447</v>
      </c>
      <c r="B99" s="2" t="s">
        <v>448</v>
      </c>
      <c r="C99" s="5" t="s">
        <v>59</v>
      </c>
      <c r="D99" s="5" t="s">
        <v>60</v>
      </c>
      <c r="E99" s="5" t="s">
        <v>62</v>
      </c>
      <c r="F99" s="5" t="s">
        <v>7635</v>
      </c>
      <c r="G99" s="5" t="s">
        <v>7636</v>
      </c>
      <c r="H99" s="5" t="s">
        <v>3134</v>
      </c>
      <c r="I99" s="5" t="s">
        <v>3130</v>
      </c>
    </row>
    <row r="100" customFormat="false" ht="15" hidden="false" customHeight="false" outlineLevel="0" collapsed="false">
      <c r="A100" s="5" t="s">
        <v>454</v>
      </c>
      <c r="B100" s="2" t="s">
        <v>455</v>
      </c>
      <c r="C100" s="5" t="s">
        <v>59</v>
      </c>
      <c r="D100" s="5" t="s">
        <v>60</v>
      </c>
      <c r="E100" s="5" t="s">
        <v>62</v>
      </c>
      <c r="F100" s="5" t="s">
        <v>269</v>
      </c>
      <c r="G100" s="5" t="s">
        <v>7631</v>
      </c>
      <c r="H100" s="5"/>
      <c r="I100" s="5" t="s">
        <v>7632</v>
      </c>
    </row>
    <row r="101" customFormat="false" ht="15" hidden="false" customHeight="false" outlineLevel="0" collapsed="false">
      <c r="A101" s="5" t="s">
        <v>454</v>
      </c>
      <c r="B101" s="2" t="s">
        <v>455</v>
      </c>
      <c r="C101" s="5" t="s">
        <v>59</v>
      </c>
      <c r="D101" s="5" t="s">
        <v>60</v>
      </c>
      <c r="E101" s="5" t="s">
        <v>62</v>
      </c>
      <c r="F101" s="5" t="s">
        <v>7633</v>
      </c>
      <c r="G101" s="5" t="s">
        <v>7634</v>
      </c>
      <c r="H101" s="5" t="s">
        <v>309</v>
      </c>
      <c r="I101" s="5" t="s">
        <v>1105</v>
      </c>
    </row>
    <row r="102" customFormat="false" ht="23.85" hidden="false" customHeight="false" outlineLevel="0" collapsed="false">
      <c r="A102" s="5" t="s">
        <v>460</v>
      </c>
      <c r="B102" s="2" t="s">
        <v>461</v>
      </c>
      <c r="C102" s="5" t="s">
        <v>59</v>
      </c>
      <c r="D102" s="5" t="s">
        <v>60</v>
      </c>
      <c r="E102" s="5" t="s">
        <v>62</v>
      </c>
      <c r="F102" s="5" t="s">
        <v>269</v>
      </c>
      <c r="G102" s="5" t="s">
        <v>7637</v>
      </c>
      <c r="H102" s="5" t="s">
        <v>214</v>
      </c>
      <c r="I102" s="5" t="s">
        <v>210</v>
      </c>
    </row>
    <row r="103" customFormat="false" ht="15" hidden="false" customHeight="false" outlineLevel="0" collapsed="false">
      <c r="A103" s="5" t="s">
        <v>465</v>
      </c>
      <c r="B103" s="2" t="s">
        <v>466</v>
      </c>
      <c r="C103" s="5" t="s">
        <v>59</v>
      </c>
      <c r="D103" s="5" t="s">
        <v>60</v>
      </c>
      <c r="E103" s="5" t="s">
        <v>62</v>
      </c>
      <c r="F103" s="5" t="s">
        <v>269</v>
      </c>
      <c r="G103" s="5" t="s">
        <v>7631</v>
      </c>
      <c r="H103" s="5"/>
      <c r="I103" s="5" t="s">
        <v>7632</v>
      </c>
    </row>
    <row r="104" customFormat="false" ht="15" hidden="false" customHeight="false" outlineLevel="0" collapsed="false">
      <c r="A104" s="5" t="s">
        <v>465</v>
      </c>
      <c r="B104" s="2" t="s">
        <v>466</v>
      </c>
      <c r="C104" s="5" t="s">
        <v>59</v>
      </c>
      <c r="D104" s="5" t="s">
        <v>60</v>
      </c>
      <c r="E104" s="5" t="s">
        <v>62</v>
      </c>
      <c r="F104" s="5" t="s">
        <v>7633</v>
      </c>
      <c r="G104" s="5" t="s">
        <v>7634</v>
      </c>
      <c r="H104" s="5" t="s">
        <v>309</v>
      </c>
      <c r="I104" s="5" t="s">
        <v>1105</v>
      </c>
    </row>
    <row r="105" customFormat="false" ht="15" hidden="false" customHeight="false" outlineLevel="0" collapsed="false">
      <c r="A105" s="5" t="s">
        <v>465</v>
      </c>
      <c r="B105" s="2" t="s">
        <v>466</v>
      </c>
      <c r="C105" s="5" t="s">
        <v>59</v>
      </c>
      <c r="D105" s="5" t="s">
        <v>60</v>
      </c>
      <c r="E105" s="5" t="s">
        <v>62</v>
      </c>
      <c r="F105" s="5" t="s">
        <v>7635</v>
      </c>
      <c r="G105" s="5" t="s">
        <v>7636</v>
      </c>
      <c r="H105" s="5" t="s">
        <v>3134</v>
      </c>
      <c r="I105" s="5" t="s">
        <v>3130</v>
      </c>
    </row>
    <row r="106" customFormat="false" ht="15" hidden="false" customHeight="false" outlineLevel="0" collapsed="false">
      <c r="A106" s="5" t="s">
        <v>471</v>
      </c>
      <c r="B106" s="2" t="s">
        <v>472</v>
      </c>
      <c r="C106" s="5" t="s">
        <v>59</v>
      </c>
      <c r="D106" s="5" t="s">
        <v>60</v>
      </c>
      <c r="E106" s="5" t="s">
        <v>62</v>
      </c>
      <c r="F106" s="5" t="s">
        <v>7633</v>
      </c>
      <c r="G106" s="5" t="s">
        <v>7659</v>
      </c>
      <c r="H106" s="5" t="s">
        <v>372</v>
      </c>
      <c r="I106" s="5" t="s">
        <v>368</v>
      </c>
    </row>
    <row r="107" customFormat="false" ht="15" hidden="false" customHeight="false" outlineLevel="0" collapsed="false">
      <c r="A107" s="5" t="s">
        <v>478</v>
      </c>
      <c r="B107" s="2" t="s">
        <v>479</v>
      </c>
      <c r="C107" s="5" t="s">
        <v>59</v>
      </c>
      <c r="D107" s="5" t="s">
        <v>60</v>
      </c>
      <c r="E107" s="5" t="s">
        <v>62</v>
      </c>
      <c r="F107" s="5" t="s">
        <v>269</v>
      </c>
      <c r="G107" s="5" t="s">
        <v>7631</v>
      </c>
      <c r="H107" s="5"/>
      <c r="I107" s="5" t="s">
        <v>7632</v>
      </c>
    </row>
    <row r="108" customFormat="false" ht="15" hidden="false" customHeight="false" outlineLevel="0" collapsed="false">
      <c r="A108" s="5" t="s">
        <v>478</v>
      </c>
      <c r="B108" s="2" t="s">
        <v>479</v>
      </c>
      <c r="C108" s="5" t="s">
        <v>59</v>
      </c>
      <c r="D108" s="5" t="s">
        <v>60</v>
      </c>
      <c r="E108" s="5" t="s">
        <v>62</v>
      </c>
      <c r="F108" s="5" t="s">
        <v>7633</v>
      </c>
      <c r="G108" s="5" t="s">
        <v>7634</v>
      </c>
      <c r="H108" s="5" t="s">
        <v>309</v>
      </c>
      <c r="I108" s="5" t="s">
        <v>1105</v>
      </c>
    </row>
    <row r="109" customFormat="false" ht="15" hidden="false" customHeight="false" outlineLevel="0" collapsed="false">
      <c r="A109" s="5" t="s">
        <v>478</v>
      </c>
      <c r="B109" s="2" t="s">
        <v>479</v>
      </c>
      <c r="C109" s="5" t="s">
        <v>59</v>
      </c>
      <c r="D109" s="5" t="s">
        <v>60</v>
      </c>
      <c r="E109" s="5" t="s">
        <v>62</v>
      </c>
      <c r="F109" s="5" t="s">
        <v>7635</v>
      </c>
      <c r="G109" s="5" t="s">
        <v>7636</v>
      </c>
      <c r="H109" s="5" t="s">
        <v>3134</v>
      </c>
      <c r="I109" s="5" t="s">
        <v>3130</v>
      </c>
    </row>
    <row r="110" customFormat="false" ht="15" hidden="false" customHeight="false" outlineLevel="0" collapsed="false">
      <c r="A110" s="5" t="s">
        <v>486</v>
      </c>
      <c r="B110" s="2" t="s">
        <v>487</v>
      </c>
      <c r="C110" s="5" t="s">
        <v>488</v>
      </c>
      <c r="D110" s="5" t="s">
        <v>60</v>
      </c>
      <c r="E110" s="5" t="s">
        <v>490</v>
      </c>
      <c r="F110" s="5" t="s">
        <v>7669</v>
      </c>
      <c r="G110" s="5" t="s">
        <v>493</v>
      </c>
      <c r="H110" s="5"/>
      <c r="I110" s="5" t="s">
        <v>493</v>
      </c>
    </row>
    <row r="111" customFormat="false" ht="15" hidden="false" customHeight="false" outlineLevel="0" collapsed="false">
      <c r="A111" s="5" t="s">
        <v>500</v>
      </c>
      <c r="B111" s="2" t="s">
        <v>501</v>
      </c>
      <c r="C111" s="5" t="s">
        <v>488</v>
      </c>
      <c r="D111" s="5" t="s">
        <v>60</v>
      </c>
      <c r="E111" s="5" t="s">
        <v>62</v>
      </c>
      <c r="F111" s="5" t="s">
        <v>7670</v>
      </c>
      <c r="G111" s="5" t="s">
        <v>503</v>
      </c>
      <c r="H111" s="5"/>
      <c r="I111" s="5" t="s">
        <v>503</v>
      </c>
    </row>
    <row r="112" customFormat="false" ht="15" hidden="false" customHeight="false" outlineLevel="0" collapsed="false">
      <c r="A112" s="5" t="s">
        <v>509</v>
      </c>
      <c r="B112" s="2" t="s">
        <v>510</v>
      </c>
      <c r="C112" s="5" t="s">
        <v>488</v>
      </c>
      <c r="D112" s="5" t="s">
        <v>60</v>
      </c>
      <c r="E112" s="5" t="s">
        <v>62</v>
      </c>
      <c r="F112" s="5" t="s">
        <v>7669</v>
      </c>
      <c r="G112" s="5" t="s">
        <v>512</v>
      </c>
      <c r="H112" s="5"/>
      <c r="I112" s="5" t="s">
        <v>512</v>
      </c>
    </row>
    <row r="113" customFormat="false" ht="15" hidden="false" customHeight="false" outlineLevel="0" collapsed="false">
      <c r="A113" s="5" t="s">
        <v>518</v>
      </c>
      <c r="B113" s="2" t="s">
        <v>519</v>
      </c>
      <c r="C113" s="5" t="s">
        <v>488</v>
      </c>
      <c r="D113" s="5" t="s">
        <v>60</v>
      </c>
      <c r="E113" s="5" t="s">
        <v>62</v>
      </c>
      <c r="F113" s="5" t="s">
        <v>7669</v>
      </c>
      <c r="G113" s="5" t="s">
        <v>512</v>
      </c>
      <c r="H113" s="5"/>
      <c r="I113" s="5" t="s">
        <v>512</v>
      </c>
    </row>
    <row r="114" customFormat="false" ht="15" hidden="false" customHeight="false" outlineLevel="0" collapsed="false">
      <c r="A114" s="5" t="s">
        <v>524</v>
      </c>
      <c r="B114" s="2" t="s">
        <v>525</v>
      </c>
      <c r="C114" s="5" t="s">
        <v>488</v>
      </c>
      <c r="D114" s="5" t="s">
        <v>60</v>
      </c>
      <c r="E114" s="5" t="s">
        <v>62</v>
      </c>
      <c r="F114" s="5" t="s">
        <v>7670</v>
      </c>
      <c r="G114" s="5" t="s">
        <v>7671</v>
      </c>
      <c r="H114" s="5"/>
      <c r="I114" s="5" t="s">
        <v>527</v>
      </c>
    </row>
    <row r="115" customFormat="false" ht="15" hidden="false" customHeight="false" outlineLevel="0" collapsed="false">
      <c r="A115" s="5" t="s">
        <v>534</v>
      </c>
      <c r="B115" s="2" t="s">
        <v>535</v>
      </c>
      <c r="C115" s="5" t="s">
        <v>488</v>
      </c>
      <c r="D115" s="5" t="s">
        <v>60</v>
      </c>
      <c r="E115" s="5" t="s">
        <v>62</v>
      </c>
      <c r="F115" s="5" t="s">
        <v>7670</v>
      </c>
      <c r="G115" s="5" t="s">
        <v>7672</v>
      </c>
      <c r="H115" s="5"/>
      <c r="I115" s="5" t="s">
        <v>538</v>
      </c>
    </row>
    <row r="116" customFormat="false" ht="15" hidden="false" customHeight="false" outlineLevel="0" collapsed="false">
      <c r="A116" s="5" t="s">
        <v>542</v>
      </c>
      <c r="B116" s="2" t="s">
        <v>543</v>
      </c>
      <c r="C116" s="5" t="s">
        <v>488</v>
      </c>
      <c r="D116" s="5" t="s">
        <v>60</v>
      </c>
      <c r="E116" s="5" t="s">
        <v>62</v>
      </c>
      <c r="F116" s="5" t="s">
        <v>7670</v>
      </c>
      <c r="G116" s="5" t="s">
        <v>7673</v>
      </c>
      <c r="H116" s="5"/>
      <c r="I116" s="5" t="s">
        <v>546</v>
      </c>
    </row>
    <row r="117" customFormat="false" ht="23.85" hidden="false" customHeight="false" outlineLevel="0" collapsed="false">
      <c r="A117" s="5" t="s">
        <v>550</v>
      </c>
      <c r="B117" s="2" t="s">
        <v>551</v>
      </c>
      <c r="C117" s="5" t="s">
        <v>488</v>
      </c>
      <c r="D117" s="5" t="s">
        <v>60</v>
      </c>
      <c r="E117" s="5" t="s">
        <v>490</v>
      </c>
      <c r="F117" s="5" t="s">
        <v>7670</v>
      </c>
      <c r="G117" s="5" t="s">
        <v>7674</v>
      </c>
      <c r="H117" s="5"/>
      <c r="I117" s="5" t="s">
        <v>552</v>
      </c>
    </row>
    <row r="118" customFormat="false" ht="15" hidden="false" customHeight="false" outlineLevel="0" collapsed="false">
      <c r="A118" s="5" t="s">
        <v>558</v>
      </c>
      <c r="B118" s="2" t="s">
        <v>559</v>
      </c>
      <c r="C118" s="5" t="s">
        <v>488</v>
      </c>
      <c r="D118" s="5" t="s">
        <v>60</v>
      </c>
      <c r="E118" s="5" t="s">
        <v>62</v>
      </c>
      <c r="F118" s="5" t="s">
        <v>7670</v>
      </c>
      <c r="G118" s="5" t="s">
        <v>560</v>
      </c>
      <c r="H118" s="5"/>
      <c r="I118" s="5" t="s">
        <v>560</v>
      </c>
    </row>
    <row r="119" customFormat="false" ht="23.85" hidden="false" customHeight="false" outlineLevel="0" collapsed="false">
      <c r="A119" s="5" t="s">
        <v>566</v>
      </c>
      <c r="B119" s="2" t="s">
        <v>567</v>
      </c>
      <c r="C119" s="5" t="s">
        <v>488</v>
      </c>
      <c r="D119" s="5" t="s">
        <v>60</v>
      </c>
      <c r="E119" s="5" t="s">
        <v>62</v>
      </c>
      <c r="F119" s="5" t="s">
        <v>7670</v>
      </c>
      <c r="G119" s="5" t="s">
        <v>569</v>
      </c>
      <c r="H119" s="5"/>
      <c r="I119" s="5" t="s">
        <v>569</v>
      </c>
    </row>
    <row r="120" customFormat="false" ht="23.85" hidden="false" customHeight="false" outlineLevel="0" collapsed="false">
      <c r="A120" s="5" t="s">
        <v>575</v>
      </c>
      <c r="B120" s="2" t="s">
        <v>576</v>
      </c>
      <c r="C120" s="5" t="s">
        <v>488</v>
      </c>
      <c r="D120" s="5" t="s">
        <v>60</v>
      </c>
      <c r="E120" s="5" t="s">
        <v>62</v>
      </c>
      <c r="F120" s="5" t="s">
        <v>7670</v>
      </c>
      <c r="G120" s="5" t="s">
        <v>579</v>
      </c>
      <c r="H120" s="5"/>
      <c r="I120" s="5" t="s">
        <v>579</v>
      </c>
    </row>
    <row r="121" customFormat="false" ht="15" hidden="false" customHeight="false" outlineLevel="0" collapsed="false">
      <c r="A121" s="5" t="s">
        <v>583</v>
      </c>
      <c r="B121" s="2" t="s">
        <v>584</v>
      </c>
      <c r="C121" s="5" t="s">
        <v>488</v>
      </c>
      <c r="D121" s="5" t="s">
        <v>60</v>
      </c>
      <c r="E121" s="5" t="s">
        <v>62</v>
      </c>
      <c r="F121" s="5" t="s">
        <v>7670</v>
      </c>
      <c r="G121" s="5" t="s">
        <v>7675</v>
      </c>
      <c r="H121" s="5"/>
      <c r="I121" s="5" t="s">
        <v>586</v>
      </c>
    </row>
    <row r="122" customFormat="false" ht="23.85" hidden="false" customHeight="false" outlineLevel="0" collapsed="false">
      <c r="A122" s="5" t="s">
        <v>591</v>
      </c>
      <c r="B122" s="2" t="s">
        <v>592</v>
      </c>
      <c r="C122" s="5" t="s">
        <v>488</v>
      </c>
      <c r="D122" s="5" t="s">
        <v>60</v>
      </c>
      <c r="E122" s="5" t="s">
        <v>62</v>
      </c>
      <c r="F122" s="5" t="s">
        <v>7670</v>
      </c>
      <c r="G122" s="5" t="s">
        <v>7676</v>
      </c>
      <c r="H122" s="5"/>
      <c r="I122" s="5" t="s">
        <v>7676</v>
      </c>
    </row>
    <row r="123" customFormat="false" ht="23.85" hidden="false" customHeight="false" outlineLevel="0" collapsed="false">
      <c r="A123" s="5" t="s">
        <v>591</v>
      </c>
      <c r="B123" s="2" t="s">
        <v>592</v>
      </c>
      <c r="C123" s="5" t="s">
        <v>488</v>
      </c>
      <c r="D123" s="5" t="s">
        <v>60</v>
      </c>
      <c r="E123" s="5" t="s">
        <v>62</v>
      </c>
      <c r="F123" s="5" t="s">
        <v>7670</v>
      </c>
      <c r="G123" s="5" t="s">
        <v>7677</v>
      </c>
      <c r="H123" s="5"/>
      <c r="I123" s="5" t="s">
        <v>7677</v>
      </c>
    </row>
    <row r="124" customFormat="false" ht="15" hidden="false" customHeight="false" outlineLevel="0" collapsed="false">
      <c r="A124" s="5" t="s">
        <v>600</v>
      </c>
      <c r="B124" s="2" t="s">
        <v>601</v>
      </c>
      <c r="C124" s="5" t="s">
        <v>488</v>
      </c>
      <c r="D124" s="5" t="s">
        <v>60</v>
      </c>
      <c r="E124" s="5" t="s">
        <v>62</v>
      </c>
      <c r="F124" s="5" t="s">
        <v>7669</v>
      </c>
      <c r="G124" s="5" t="s">
        <v>865</v>
      </c>
      <c r="H124" s="5"/>
      <c r="I124" s="5" t="s">
        <v>865</v>
      </c>
    </row>
    <row r="125" customFormat="false" ht="15" hidden="false" customHeight="false" outlineLevel="0" collapsed="false">
      <c r="A125" s="5" t="s">
        <v>600</v>
      </c>
      <c r="B125" s="2" t="s">
        <v>601</v>
      </c>
      <c r="C125" s="5" t="s">
        <v>488</v>
      </c>
      <c r="D125" s="5" t="s">
        <v>60</v>
      </c>
      <c r="E125" s="5" t="s">
        <v>62</v>
      </c>
      <c r="F125" s="5" t="s">
        <v>7669</v>
      </c>
      <c r="G125" s="5" t="s">
        <v>806</v>
      </c>
      <c r="H125" s="5"/>
      <c r="I125" s="5" t="s">
        <v>806</v>
      </c>
    </row>
    <row r="126" customFormat="false" ht="15" hidden="false" customHeight="false" outlineLevel="0" collapsed="false">
      <c r="A126" s="5" t="s">
        <v>600</v>
      </c>
      <c r="B126" s="2" t="s">
        <v>601</v>
      </c>
      <c r="C126" s="5" t="s">
        <v>488</v>
      </c>
      <c r="D126" s="5" t="s">
        <v>60</v>
      </c>
      <c r="E126" s="5" t="s">
        <v>62</v>
      </c>
      <c r="F126" s="5" t="s">
        <v>7669</v>
      </c>
      <c r="G126" s="5" t="s">
        <v>872</v>
      </c>
      <c r="H126" s="5"/>
      <c r="I126" s="5" t="s">
        <v>872</v>
      </c>
    </row>
    <row r="127" customFormat="false" ht="15" hidden="false" customHeight="false" outlineLevel="0" collapsed="false">
      <c r="A127" s="5" t="s">
        <v>600</v>
      </c>
      <c r="B127" s="2" t="s">
        <v>601</v>
      </c>
      <c r="C127" s="5" t="s">
        <v>488</v>
      </c>
      <c r="D127" s="5" t="s">
        <v>60</v>
      </c>
      <c r="E127" s="5" t="s">
        <v>62</v>
      </c>
      <c r="F127" s="5" t="s">
        <v>7669</v>
      </c>
      <c r="G127" s="5" t="s">
        <v>828</v>
      </c>
      <c r="H127" s="5"/>
      <c r="I127" s="5" t="s">
        <v>828</v>
      </c>
    </row>
    <row r="128" customFormat="false" ht="15" hidden="false" customHeight="false" outlineLevel="0" collapsed="false">
      <c r="A128" s="5" t="s">
        <v>600</v>
      </c>
      <c r="B128" s="2" t="s">
        <v>601</v>
      </c>
      <c r="C128" s="5" t="s">
        <v>488</v>
      </c>
      <c r="D128" s="5" t="s">
        <v>60</v>
      </c>
      <c r="E128" s="5" t="s">
        <v>62</v>
      </c>
      <c r="F128" s="5" t="s">
        <v>7669</v>
      </c>
      <c r="G128" s="5" t="s">
        <v>7678</v>
      </c>
      <c r="H128" s="5"/>
      <c r="I128" s="5" t="s">
        <v>7678</v>
      </c>
    </row>
    <row r="129" customFormat="false" ht="15" hidden="false" customHeight="false" outlineLevel="0" collapsed="false">
      <c r="A129" s="5" t="s">
        <v>600</v>
      </c>
      <c r="B129" s="2" t="s">
        <v>601</v>
      </c>
      <c r="C129" s="5" t="s">
        <v>488</v>
      </c>
      <c r="D129" s="5" t="s">
        <v>60</v>
      </c>
      <c r="E129" s="5" t="s">
        <v>62</v>
      </c>
      <c r="F129" s="5" t="s">
        <v>7669</v>
      </c>
      <c r="G129" s="5" t="s">
        <v>7679</v>
      </c>
      <c r="H129" s="5"/>
      <c r="I129" s="5" t="s">
        <v>7679</v>
      </c>
    </row>
    <row r="130" customFormat="false" ht="15" hidden="false" customHeight="false" outlineLevel="0" collapsed="false">
      <c r="A130" s="5" t="s">
        <v>600</v>
      </c>
      <c r="B130" s="2" t="s">
        <v>601</v>
      </c>
      <c r="C130" s="5" t="s">
        <v>488</v>
      </c>
      <c r="D130" s="5" t="s">
        <v>60</v>
      </c>
      <c r="E130" s="5" t="s">
        <v>62</v>
      </c>
      <c r="F130" s="5" t="s">
        <v>7669</v>
      </c>
      <c r="G130" s="5" t="s">
        <v>7680</v>
      </c>
      <c r="H130" s="5"/>
      <c r="I130" s="5" t="s">
        <v>7680</v>
      </c>
    </row>
    <row r="131" customFormat="false" ht="15" hidden="false" customHeight="false" outlineLevel="0" collapsed="false">
      <c r="A131" s="5" t="s">
        <v>600</v>
      </c>
      <c r="B131" s="2" t="s">
        <v>601</v>
      </c>
      <c r="C131" s="5" t="s">
        <v>488</v>
      </c>
      <c r="D131" s="5" t="s">
        <v>60</v>
      </c>
      <c r="E131" s="5" t="s">
        <v>62</v>
      </c>
      <c r="F131" s="5" t="s">
        <v>7669</v>
      </c>
      <c r="G131" s="5" t="s">
        <v>7681</v>
      </c>
      <c r="H131" s="5"/>
      <c r="I131" s="5" t="s">
        <v>7681</v>
      </c>
    </row>
    <row r="132" customFormat="false" ht="15" hidden="false" customHeight="false" outlineLevel="0" collapsed="false">
      <c r="A132" s="5" t="s">
        <v>600</v>
      </c>
      <c r="B132" s="2" t="s">
        <v>601</v>
      </c>
      <c r="C132" s="5" t="s">
        <v>488</v>
      </c>
      <c r="D132" s="5" t="s">
        <v>60</v>
      </c>
      <c r="E132" s="5" t="s">
        <v>62</v>
      </c>
      <c r="F132" s="5" t="s">
        <v>7669</v>
      </c>
      <c r="G132" s="5" t="s">
        <v>638</v>
      </c>
      <c r="H132" s="5"/>
      <c r="I132" s="5" t="s">
        <v>638</v>
      </c>
    </row>
    <row r="133" customFormat="false" ht="15" hidden="false" customHeight="false" outlineLevel="0" collapsed="false">
      <c r="A133" s="5" t="s">
        <v>600</v>
      </c>
      <c r="B133" s="2" t="s">
        <v>601</v>
      </c>
      <c r="C133" s="5" t="s">
        <v>488</v>
      </c>
      <c r="D133" s="5" t="s">
        <v>60</v>
      </c>
      <c r="E133" s="5" t="s">
        <v>62</v>
      </c>
      <c r="F133" s="5" t="s">
        <v>7669</v>
      </c>
      <c r="G133" s="5" t="s">
        <v>7682</v>
      </c>
      <c r="H133" s="5"/>
      <c r="I133" s="5" t="s">
        <v>7682</v>
      </c>
    </row>
    <row r="134" customFormat="false" ht="15" hidden="false" customHeight="false" outlineLevel="0" collapsed="false">
      <c r="A134" s="5" t="s">
        <v>600</v>
      </c>
      <c r="B134" s="2" t="s">
        <v>601</v>
      </c>
      <c r="C134" s="5" t="s">
        <v>488</v>
      </c>
      <c r="D134" s="5" t="s">
        <v>60</v>
      </c>
      <c r="E134" s="5" t="s">
        <v>62</v>
      </c>
      <c r="F134" s="5" t="s">
        <v>7669</v>
      </c>
      <c r="G134" s="5" t="s">
        <v>7683</v>
      </c>
      <c r="H134" s="5"/>
      <c r="I134" s="5" t="s">
        <v>7683</v>
      </c>
    </row>
    <row r="135" customFormat="false" ht="15" hidden="false" customHeight="false" outlineLevel="0" collapsed="false">
      <c r="A135" s="5" t="s">
        <v>600</v>
      </c>
      <c r="B135" s="2" t="s">
        <v>601</v>
      </c>
      <c r="C135" s="5" t="s">
        <v>488</v>
      </c>
      <c r="D135" s="5" t="s">
        <v>60</v>
      </c>
      <c r="E135" s="5" t="s">
        <v>62</v>
      </c>
      <c r="F135" s="5" t="s">
        <v>7669</v>
      </c>
      <c r="G135" s="5" t="s">
        <v>7684</v>
      </c>
      <c r="H135" s="5"/>
      <c r="I135" s="5" t="s">
        <v>7684</v>
      </c>
    </row>
    <row r="136" customFormat="false" ht="15" hidden="false" customHeight="false" outlineLevel="0" collapsed="false">
      <c r="A136" s="5" t="s">
        <v>612</v>
      </c>
      <c r="B136" s="2" t="s">
        <v>613</v>
      </c>
      <c r="C136" s="5" t="s">
        <v>488</v>
      </c>
      <c r="D136" s="5" t="s">
        <v>60</v>
      </c>
      <c r="E136" s="5" t="s">
        <v>62</v>
      </c>
      <c r="F136" s="5" t="s">
        <v>7669</v>
      </c>
      <c r="G136" s="5" t="s">
        <v>839</v>
      </c>
      <c r="H136" s="5"/>
      <c r="I136" s="5" t="s">
        <v>839</v>
      </c>
    </row>
    <row r="137" customFormat="false" ht="15" hidden="false" customHeight="false" outlineLevel="0" collapsed="false">
      <c r="A137" s="5" t="s">
        <v>612</v>
      </c>
      <c r="B137" s="2" t="s">
        <v>613</v>
      </c>
      <c r="C137" s="5" t="s">
        <v>488</v>
      </c>
      <c r="D137" s="5" t="s">
        <v>60</v>
      </c>
      <c r="E137" s="5" t="s">
        <v>62</v>
      </c>
      <c r="F137" s="5" t="s">
        <v>7669</v>
      </c>
      <c r="G137" s="5" t="s">
        <v>7685</v>
      </c>
      <c r="H137" s="5"/>
      <c r="I137" s="5" t="s">
        <v>7685</v>
      </c>
    </row>
    <row r="138" customFormat="false" ht="15" hidden="false" customHeight="false" outlineLevel="0" collapsed="false">
      <c r="A138" s="5" t="s">
        <v>612</v>
      </c>
      <c r="B138" s="2" t="s">
        <v>613</v>
      </c>
      <c r="C138" s="5" t="s">
        <v>488</v>
      </c>
      <c r="D138" s="5" t="s">
        <v>60</v>
      </c>
      <c r="E138" s="5" t="s">
        <v>62</v>
      </c>
      <c r="F138" s="5" t="s">
        <v>7669</v>
      </c>
      <c r="G138" s="5" t="s">
        <v>818</v>
      </c>
      <c r="H138" s="5"/>
      <c r="I138" s="5" t="s">
        <v>818</v>
      </c>
    </row>
    <row r="139" customFormat="false" ht="15" hidden="false" customHeight="false" outlineLevel="0" collapsed="false">
      <c r="A139" s="5" t="s">
        <v>612</v>
      </c>
      <c r="B139" s="2" t="s">
        <v>613</v>
      </c>
      <c r="C139" s="5" t="s">
        <v>488</v>
      </c>
      <c r="D139" s="5" t="s">
        <v>60</v>
      </c>
      <c r="E139" s="5" t="s">
        <v>62</v>
      </c>
      <c r="F139" s="5" t="s">
        <v>7669</v>
      </c>
      <c r="G139" s="5" t="s">
        <v>6617</v>
      </c>
      <c r="H139" s="5"/>
      <c r="I139" s="5" t="s">
        <v>6617</v>
      </c>
    </row>
    <row r="140" customFormat="false" ht="15" hidden="false" customHeight="false" outlineLevel="0" collapsed="false">
      <c r="A140" s="5" t="s">
        <v>612</v>
      </c>
      <c r="B140" s="2" t="s">
        <v>613</v>
      </c>
      <c r="C140" s="5" t="s">
        <v>488</v>
      </c>
      <c r="D140" s="5" t="s">
        <v>60</v>
      </c>
      <c r="E140" s="5" t="s">
        <v>62</v>
      </c>
      <c r="F140" s="5" t="s">
        <v>7669</v>
      </c>
      <c r="G140" s="5" t="s">
        <v>7686</v>
      </c>
      <c r="H140" s="5"/>
      <c r="I140" s="5" t="s">
        <v>7686</v>
      </c>
    </row>
    <row r="141" customFormat="false" ht="15" hidden="false" customHeight="false" outlineLevel="0" collapsed="false">
      <c r="A141" s="5" t="s">
        <v>612</v>
      </c>
      <c r="B141" s="2" t="s">
        <v>613</v>
      </c>
      <c r="C141" s="5" t="s">
        <v>488</v>
      </c>
      <c r="D141" s="5" t="s">
        <v>60</v>
      </c>
      <c r="E141" s="5" t="s">
        <v>62</v>
      </c>
      <c r="F141" s="5" t="s">
        <v>7669</v>
      </c>
      <c r="G141" s="5" t="s">
        <v>2794</v>
      </c>
      <c r="H141" s="5"/>
      <c r="I141" s="5" t="s">
        <v>2794</v>
      </c>
    </row>
    <row r="142" customFormat="false" ht="15" hidden="false" customHeight="false" outlineLevel="0" collapsed="false">
      <c r="A142" s="5" t="s">
        <v>612</v>
      </c>
      <c r="B142" s="2" t="s">
        <v>613</v>
      </c>
      <c r="C142" s="5" t="s">
        <v>488</v>
      </c>
      <c r="D142" s="5" t="s">
        <v>60</v>
      </c>
      <c r="E142" s="5" t="s">
        <v>62</v>
      </c>
      <c r="F142" s="5" t="s">
        <v>7669</v>
      </c>
      <c r="G142" s="5" t="s">
        <v>7687</v>
      </c>
      <c r="H142" s="5"/>
      <c r="I142" s="5" t="s">
        <v>7687</v>
      </c>
    </row>
    <row r="143" customFormat="false" ht="15" hidden="false" customHeight="false" outlineLevel="0" collapsed="false">
      <c r="A143" s="5" t="s">
        <v>612</v>
      </c>
      <c r="B143" s="2" t="s">
        <v>613</v>
      </c>
      <c r="C143" s="5" t="s">
        <v>488</v>
      </c>
      <c r="D143" s="5" t="s">
        <v>60</v>
      </c>
      <c r="E143" s="5" t="s">
        <v>62</v>
      </c>
      <c r="F143" s="5" t="s">
        <v>7669</v>
      </c>
      <c r="G143" s="5" t="s">
        <v>7688</v>
      </c>
      <c r="H143" s="5"/>
      <c r="I143" s="5" t="s">
        <v>7688</v>
      </c>
    </row>
    <row r="144" customFormat="false" ht="23.85" hidden="false" customHeight="false" outlineLevel="0" collapsed="false">
      <c r="A144" s="5" t="s">
        <v>619</v>
      </c>
      <c r="B144" s="2" t="s">
        <v>620</v>
      </c>
      <c r="C144" s="5" t="s">
        <v>488</v>
      </c>
      <c r="D144" s="5" t="s">
        <v>60</v>
      </c>
      <c r="E144" s="5" t="s">
        <v>62</v>
      </c>
      <c r="F144" s="5" t="s">
        <v>7669</v>
      </c>
      <c r="G144" s="5" t="s">
        <v>839</v>
      </c>
      <c r="H144" s="5"/>
      <c r="I144" s="5" t="s">
        <v>839</v>
      </c>
    </row>
    <row r="145" customFormat="false" ht="23.85" hidden="false" customHeight="false" outlineLevel="0" collapsed="false">
      <c r="A145" s="5" t="s">
        <v>619</v>
      </c>
      <c r="B145" s="2" t="s">
        <v>620</v>
      </c>
      <c r="C145" s="5" t="s">
        <v>488</v>
      </c>
      <c r="D145" s="5" t="s">
        <v>60</v>
      </c>
      <c r="E145" s="5" t="s">
        <v>62</v>
      </c>
      <c r="F145" s="5" t="s">
        <v>7669</v>
      </c>
      <c r="G145" s="5" t="s">
        <v>818</v>
      </c>
      <c r="H145" s="5"/>
      <c r="I145" s="5" t="s">
        <v>818</v>
      </c>
    </row>
    <row r="146" customFormat="false" ht="23.85" hidden="false" customHeight="false" outlineLevel="0" collapsed="false">
      <c r="A146" s="5" t="s">
        <v>629</v>
      </c>
      <c r="B146" s="2" t="s">
        <v>630</v>
      </c>
      <c r="C146" s="5" t="s">
        <v>488</v>
      </c>
      <c r="D146" s="5" t="s">
        <v>60</v>
      </c>
      <c r="E146" s="5" t="s">
        <v>62</v>
      </c>
      <c r="F146" s="5" t="s">
        <v>7669</v>
      </c>
      <c r="G146" s="5" t="s">
        <v>2794</v>
      </c>
      <c r="H146" s="5"/>
      <c r="I146" s="5" t="s">
        <v>2794</v>
      </c>
    </row>
    <row r="147" customFormat="false" ht="23.85" hidden="false" customHeight="false" outlineLevel="0" collapsed="false">
      <c r="A147" s="5" t="s">
        <v>629</v>
      </c>
      <c r="B147" s="2" t="s">
        <v>630</v>
      </c>
      <c r="C147" s="5" t="s">
        <v>488</v>
      </c>
      <c r="D147" s="5" t="s">
        <v>60</v>
      </c>
      <c r="E147" s="5" t="s">
        <v>62</v>
      </c>
      <c r="F147" s="5" t="s">
        <v>7669</v>
      </c>
      <c r="G147" s="5" t="s">
        <v>7688</v>
      </c>
      <c r="H147" s="5"/>
      <c r="I147" s="5" t="s">
        <v>7688</v>
      </c>
    </row>
    <row r="148" customFormat="false" ht="23.85" hidden="false" customHeight="false" outlineLevel="0" collapsed="false">
      <c r="A148" s="5" t="s">
        <v>635</v>
      </c>
      <c r="B148" s="2" t="s">
        <v>636</v>
      </c>
      <c r="C148" s="5" t="s">
        <v>488</v>
      </c>
      <c r="D148" s="5" t="s">
        <v>60</v>
      </c>
      <c r="E148" s="5" t="s">
        <v>62</v>
      </c>
      <c r="F148" s="5" t="s">
        <v>7669</v>
      </c>
      <c r="G148" s="5" t="s">
        <v>638</v>
      </c>
      <c r="H148" s="5"/>
      <c r="I148" s="5" t="s">
        <v>638</v>
      </c>
    </row>
    <row r="149" customFormat="false" ht="15" hidden="false" customHeight="false" outlineLevel="0" collapsed="false">
      <c r="A149" s="5" t="s">
        <v>646</v>
      </c>
      <c r="B149" s="2" t="s">
        <v>647</v>
      </c>
      <c r="C149" s="5" t="s">
        <v>488</v>
      </c>
      <c r="D149" s="5" t="s">
        <v>60</v>
      </c>
      <c r="E149" s="5" t="s">
        <v>62</v>
      </c>
      <c r="F149" s="5" t="s">
        <v>7670</v>
      </c>
      <c r="G149" s="5" t="s">
        <v>7689</v>
      </c>
      <c r="H149" s="5"/>
      <c r="I149" s="5" t="s">
        <v>7689</v>
      </c>
    </row>
    <row r="150" customFormat="false" ht="15" hidden="false" customHeight="false" outlineLevel="0" collapsed="false">
      <c r="A150" s="5" t="s">
        <v>646</v>
      </c>
      <c r="B150" s="2" t="s">
        <v>647</v>
      </c>
      <c r="C150" s="5" t="s">
        <v>488</v>
      </c>
      <c r="D150" s="5" t="s">
        <v>60</v>
      </c>
      <c r="E150" s="5" t="s">
        <v>62</v>
      </c>
      <c r="F150" s="5" t="s">
        <v>7670</v>
      </c>
      <c r="G150" s="5" t="s">
        <v>7690</v>
      </c>
      <c r="H150" s="5"/>
      <c r="I150" s="5" t="s">
        <v>7690</v>
      </c>
    </row>
    <row r="151" customFormat="false" ht="15" hidden="false" customHeight="false" outlineLevel="0" collapsed="false">
      <c r="A151" s="5" t="s">
        <v>655</v>
      </c>
      <c r="B151" s="2" t="s">
        <v>656</v>
      </c>
      <c r="C151" s="5" t="s">
        <v>488</v>
      </c>
      <c r="D151" s="5" t="s">
        <v>60</v>
      </c>
      <c r="E151" s="5" t="s">
        <v>62</v>
      </c>
      <c r="F151" s="5" t="s">
        <v>7670</v>
      </c>
      <c r="G151" s="5" t="s">
        <v>7691</v>
      </c>
      <c r="H151" s="5"/>
      <c r="I151" s="5" t="s">
        <v>7691</v>
      </c>
    </row>
    <row r="152" customFormat="false" ht="15" hidden="false" customHeight="false" outlineLevel="0" collapsed="false">
      <c r="A152" s="5" t="s">
        <v>655</v>
      </c>
      <c r="B152" s="2" t="s">
        <v>656</v>
      </c>
      <c r="C152" s="5" t="s">
        <v>488</v>
      </c>
      <c r="D152" s="5" t="s">
        <v>60</v>
      </c>
      <c r="E152" s="5" t="s">
        <v>62</v>
      </c>
      <c r="F152" s="5" t="s">
        <v>7670</v>
      </c>
      <c r="G152" s="5" t="s">
        <v>7692</v>
      </c>
      <c r="H152" s="5"/>
      <c r="I152" s="5" t="s">
        <v>7692</v>
      </c>
    </row>
    <row r="153" customFormat="false" ht="15" hidden="false" customHeight="false" outlineLevel="0" collapsed="false">
      <c r="A153" s="5" t="s">
        <v>655</v>
      </c>
      <c r="B153" s="2" t="s">
        <v>656</v>
      </c>
      <c r="C153" s="5" t="s">
        <v>488</v>
      </c>
      <c r="D153" s="5" t="s">
        <v>60</v>
      </c>
      <c r="E153" s="5" t="s">
        <v>62</v>
      </c>
      <c r="F153" s="5" t="s">
        <v>7670</v>
      </c>
      <c r="G153" s="5" t="s">
        <v>7693</v>
      </c>
      <c r="H153" s="5"/>
      <c r="I153" s="5" t="s">
        <v>7693</v>
      </c>
    </row>
    <row r="154" customFormat="false" ht="15" hidden="false" customHeight="false" outlineLevel="0" collapsed="false">
      <c r="A154" s="5" t="s">
        <v>661</v>
      </c>
      <c r="B154" s="2" t="s">
        <v>662</v>
      </c>
      <c r="C154" s="5" t="s">
        <v>488</v>
      </c>
      <c r="D154" s="5" t="s">
        <v>60</v>
      </c>
      <c r="E154" s="5" t="s">
        <v>62</v>
      </c>
      <c r="F154" s="5" t="s">
        <v>7670</v>
      </c>
      <c r="G154" s="5" t="s">
        <v>7694</v>
      </c>
      <c r="H154" s="5"/>
      <c r="I154" s="5" t="s">
        <v>7694</v>
      </c>
    </row>
    <row r="155" customFormat="false" ht="15" hidden="false" customHeight="false" outlineLevel="0" collapsed="false">
      <c r="A155" s="5" t="s">
        <v>661</v>
      </c>
      <c r="B155" s="2" t="s">
        <v>662</v>
      </c>
      <c r="C155" s="5" t="s">
        <v>488</v>
      </c>
      <c r="D155" s="5" t="s">
        <v>60</v>
      </c>
      <c r="E155" s="5" t="s">
        <v>62</v>
      </c>
      <c r="F155" s="5" t="s">
        <v>7670</v>
      </c>
      <c r="G155" s="5" t="s">
        <v>7695</v>
      </c>
      <c r="H155" s="5"/>
      <c r="I155" s="5" t="s">
        <v>7695</v>
      </c>
    </row>
    <row r="156" customFormat="false" ht="15" hidden="false" customHeight="false" outlineLevel="0" collapsed="false">
      <c r="A156" s="5" t="s">
        <v>661</v>
      </c>
      <c r="B156" s="2" t="s">
        <v>662</v>
      </c>
      <c r="C156" s="5" t="s">
        <v>488</v>
      </c>
      <c r="D156" s="5" t="s">
        <v>60</v>
      </c>
      <c r="E156" s="5" t="s">
        <v>62</v>
      </c>
      <c r="F156" s="5" t="s">
        <v>7670</v>
      </c>
      <c r="G156" s="5" t="s">
        <v>7696</v>
      </c>
      <c r="H156" s="5"/>
      <c r="I156" s="5" t="s">
        <v>7696</v>
      </c>
    </row>
    <row r="157" customFormat="false" ht="15" hidden="false" customHeight="false" outlineLevel="0" collapsed="false">
      <c r="A157" s="5" t="s">
        <v>668</v>
      </c>
      <c r="B157" s="2" t="s">
        <v>669</v>
      </c>
      <c r="C157" s="5" t="s">
        <v>488</v>
      </c>
      <c r="D157" s="5" t="s">
        <v>60</v>
      </c>
      <c r="E157" s="5" t="s">
        <v>62</v>
      </c>
      <c r="F157" s="5" t="s">
        <v>7670</v>
      </c>
      <c r="G157" s="5" t="s">
        <v>7697</v>
      </c>
      <c r="H157" s="5"/>
      <c r="I157" s="5" t="s">
        <v>7697</v>
      </c>
    </row>
    <row r="158" customFormat="false" ht="15" hidden="false" customHeight="false" outlineLevel="0" collapsed="false">
      <c r="A158" s="5" t="s">
        <v>668</v>
      </c>
      <c r="B158" s="2" t="s">
        <v>669</v>
      </c>
      <c r="C158" s="5" t="s">
        <v>488</v>
      </c>
      <c r="D158" s="5" t="s">
        <v>60</v>
      </c>
      <c r="E158" s="5" t="s">
        <v>62</v>
      </c>
      <c r="F158" s="5" t="s">
        <v>7670</v>
      </c>
      <c r="G158" s="5" t="s">
        <v>7698</v>
      </c>
      <c r="H158" s="5"/>
      <c r="I158" s="5" t="s">
        <v>7698</v>
      </c>
    </row>
    <row r="159" customFormat="false" ht="15" hidden="false" customHeight="false" outlineLevel="0" collapsed="false">
      <c r="A159" s="5" t="s">
        <v>668</v>
      </c>
      <c r="B159" s="2" t="s">
        <v>669</v>
      </c>
      <c r="C159" s="5" t="s">
        <v>488</v>
      </c>
      <c r="D159" s="5" t="s">
        <v>60</v>
      </c>
      <c r="E159" s="5" t="s">
        <v>62</v>
      </c>
      <c r="F159" s="5" t="s">
        <v>7670</v>
      </c>
      <c r="G159" s="5" t="s">
        <v>7699</v>
      </c>
      <c r="H159" s="5"/>
      <c r="I159" s="5" t="s">
        <v>7699</v>
      </c>
    </row>
    <row r="160" customFormat="false" ht="23.85" hidden="false" customHeight="false" outlineLevel="0" collapsed="false">
      <c r="A160" s="5" t="s">
        <v>678</v>
      </c>
      <c r="B160" s="2" t="s">
        <v>679</v>
      </c>
      <c r="C160" s="5" t="s">
        <v>488</v>
      </c>
      <c r="D160" s="5" t="s">
        <v>60</v>
      </c>
      <c r="E160" s="5" t="s">
        <v>62</v>
      </c>
      <c r="F160" s="5" t="s">
        <v>7670</v>
      </c>
      <c r="G160" s="5" t="s">
        <v>7700</v>
      </c>
      <c r="H160" s="5"/>
      <c r="I160" s="5" t="s">
        <v>7700</v>
      </c>
    </row>
    <row r="161" customFormat="false" ht="23.85" hidden="false" customHeight="false" outlineLevel="0" collapsed="false">
      <c r="A161" s="5" t="s">
        <v>678</v>
      </c>
      <c r="B161" s="2" t="s">
        <v>679</v>
      </c>
      <c r="C161" s="5" t="s">
        <v>488</v>
      </c>
      <c r="D161" s="5" t="s">
        <v>60</v>
      </c>
      <c r="E161" s="5" t="s">
        <v>62</v>
      </c>
      <c r="F161" s="5" t="s">
        <v>7670</v>
      </c>
      <c r="G161" s="5" t="s">
        <v>7701</v>
      </c>
      <c r="H161" s="5"/>
      <c r="I161" s="5" t="s">
        <v>7701</v>
      </c>
    </row>
    <row r="162" customFormat="false" ht="15" hidden="false" customHeight="false" outlineLevel="0" collapsed="false">
      <c r="A162" s="5" t="s">
        <v>685</v>
      </c>
      <c r="B162" s="2" t="s">
        <v>686</v>
      </c>
      <c r="C162" s="5" t="s">
        <v>488</v>
      </c>
      <c r="D162" s="5" t="s">
        <v>60</v>
      </c>
      <c r="E162" s="5" t="s">
        <v>62</v>
      </c>
      <c r="F162" s="5" t="s">
        <v>7670</v>
      </c>
      <c r="G162" s="5" t="s">
        <v>7702</v>
      </c>
      <c r="H162" s="5"/>
      <c r="I162" s="5" t="s">
        <v>7702</v>
      </c>
    </row>
    <row r="163" customFormat="false" ht="15" hidden="false" customHeight="false" outlineLevel="0" collapsed="false">
      <c r="A163" s="5" t="s">
        <v>685</v>
      </c>
      <c r="B163" s="2" t="s">
        <v>686</v>
      </c>
      <c r="C163" s="5" t="s">
        <v>488</v>
      </c>
      <c r="D163" s="5" t="s">
        <v>60</v>
      </c>
      <c r="E163" s="5" t="s">
        <v>62</v>
      </c>
      <c r="F163" s="5" t="s">
        <v>7670</v>
      </c>
      <c r="G163" s="5" t="s">
        <v>7703</v>
      </c>
      <c r="H163" s="5"/>
      <c r="I163" s="5" t="s">
        <v>7703</v>
      </c>
    </row>
    <row r="164" customFormat="false" ht="23.85" hidden="false" customHeight="false" outlineLevel="0" collapsed="false">
      <c r="A164" s="5" t="s">
        <v>692</v>
      </c>
      <c r="B164" s="2" t="s">
        <v>693</v>
      </c>
      <c r="C164" s="5" t="s">
        <v>488</v>
      </c>
      <c r="D164" s="5" t="s">
        <v>60</v>
      </c>
      <c r="E164" s="5" t="s">
        <v>62</v>
      </c>
      <c r="F164" s="5" t="s">
        <v>7670</v>
      </c>
      <c r="G164" s="5" t="s">
        <v>695</v>
      </c>
      <c r="H164" s="5"/>
      <c r="I164" s="5" t="s">
        <v>695</v>
      </c>
    </row>
    <row r="165" customFormat="false" ht="23.85" hidden="false" customHeight="false" outlineLevel="0" collapsed="false">
      <c r="A165" s="5" t="s">
        <v>699</v>
      </c>
      <c r="B165" s="2" t="s">
        <v>700</v>
      </c>
      <c r="C165" s="5" t="s">
        <v>488</v>
      </c>
      <c r="D165" s="5" t="s">
        <v>60</v>
      </c>
      <c r="E165" s="5" t="s">
        <v>62</v>
      </c>
      <c r="F165" s="5" t="s">
        <v>7670</v>
      </c>
      <c r="G165" s="5" t="s">
        <v>7704</v>
      </c>
      <c r="H165" s="5"/>
      <c r="I165" s="5" t="s">
        <v>7704</v>
      </c>
    </row>
    <row r="166" customFormat="false" ht="23.85" hidden="false" customHeight="false" outlineLevel="0" collapsed="false">
      <c r="A166" s="5" t="s">
        <v>699</v>
      </c>
      <c r="B166" s="2" t="s">
        <v>700</v>
      </c>
      <c r="C166" s="5" t="s">
        <v>488</v>
      </c>
      <c r="D166" s="5" t="s">
        <v>60</v>
      </c>
      <c r="E166" s="5" t="s">
        <v>62</v>
      </c>
      <c r="F166" s="5" t="s">
        <v>7670</v>
      </c>
      <c r="G166" s="5" t="s">
        <v>7705</v>
      </c>
      <c r="H166" s="5"/>
      <c r="I166" s="5" t="s">
        <v>7705</v>
      </c>
    </row>
    <row r="167" customFormat="false" ht="23.85" hidden="false" customHeight="false" outlineLevel="0" collapsed="false">
      <c r="A167" s="5" t="s">
        <v>705</v>
      </c>
      <c r="B167" s="2" t="s">
        <v>706</v>
      </c>
      <c r="C167" s="5" t="s">
        <v>488</v>
      </c>
      <c r="D167" s="5" t="s">
        <v>60</v>
      </c>
      <c r="E167" s="5" t="s">
        <v>62</v>
      </c>
      <c r="F167" s="5" t="s">
        <v>7670</v>
      </c>
      <c r="G167" s="5" t="s">
        <v>707</v>
      </c>
      <c r="H167" s="5"/>
      <c r="I167" s="5" t="s">
        <v>707</v>
      </c>
    </row>
    <row r="168" customFormat="false" ht="15" hidden="false" customHeight="false" outlineLevel="0" collapsed="false">
      <c r="A168" s="5" t="s">
        <v>710</v>
      </c>
      <c r="B168" s="2" t="s">
        <v>711</v>
      </c>
      <c r="C168" s="5" t="s">
        <v>488</v>
      </c>
      <c r="D168" s="5" t="s">
        <v>60</v>
      </c>
      <c r="E168" s="5" t="s">
        <v>62</v>
      </c>
      <c r="F168" s="5" t="s">
        <v>7670</v>
      </c>
      <c r="G168" s="5" t="s">
        <v>7706</v>
      </c>
      <c r="H168" s="5"/>
      <c r="I168" s="5" t="s">
        <v>7706</v>
      </c>
    </row>
    <row r="169" customFormat="false" ht="15" hidden="false" customHeight="false" outlineLevel="0" collapsed="false">
      <c r="A169" s="5" t="s">
        <v>710</v>
      </c>
      <c r="B169" s="2" t="s">
        <v>711</v>
      </c>
      <c r="C169" s="5" t="s">
        <v>488</v>
      </c>
      <c r="D169" s="5" t="s">
        <v>60</v>
      </c>
      <c r="E169" s="5" t="s">
        <v>62</v>
      </c>
      <c r="F169" s="5" t="s">
        <v>7670</v>
      </c>
      <c r="G169" s="5" t="s">
        <v>7707</v>
      </c>
      <c r="H169" s="5"/>
      <c r="I169" s="5" t="s">
        <v>7707</v>
      </c>
    </row>
    <row r="170" customFormat="false" ht="15" hidden="false" customHeight="false" outlineLevel="0" collapsed="false">
      <c r="A170" s="5" t="s">
        <v>716</v>
      </c>
      <c r="B170" s="2" t="s">
        <v>717</v>
      </c>
      <c r="C170" s="5" t="s">
        <v>488</v>
      </c>
      <c r="D170" s="5" t="s">
        <v>60</v>
      </c>
      <c r="E170" s="5" t="s">
        <v>62</v>
      </c>
      <c r="F170" s="5" t="s">
        <v>7670</v>
      </c>
      <c r="G170" s="5" t="s">
        <v>718</v>
      </c>
      <c r="H170" s="5"/>
      <c r="I170" s="5" t="s">
        <v>718</v>
      </c>
    </row>
    <row r="171" customFormat="false" ht="15" hidden="false" customHeight="false" outlineLevel="0" collapsed="false">
      <c r="A171" s="5" t="s">
        <v>722</v>
      </c>
      <c r="B171" s="2" t="s">
        <v>723</v>
      </c>
      <c r="C171" s="5" t="s">
        <v>488</v>
      </c>
      <c r="D171" s="5" t="s">
        <v>60</v>
      </c>
      <c r="E171" s="5" t="s">
        <v>62</v>
      </c>
      <c r="F171" s="5" t="s">
        <v>7670</v>
      </c>
      <c r="G171" s="5" t="s">
        <v>7708</v>
      </c>
      <c r="H171" s="5"/>
      <c r="I171" s="5" t="s">
        <v>7708</v>
      </c>
    </row>
    <row r="172" customFormat="false" ht="15" hidden="false" customHeight="false" outlineLevel="0" collapsed="false">
      <c r="A172" s="5" t="s">
        <v>722</v>
      </c>
      <c r="B172" s="2" t="s">
        <v>723</v>
      </c>
      <c r="C172" s="5" t="s">
        <v>488</v>
      </c>
      <c r="D172" s="5" t="s">
        <v>60</v>
      </c>
      <c r="E172" s="5" t="s">
        <v>62</v>
      </c>
      <c r="F172" s="5" t="s">
        <v>7670</v>
      </c>
      <c r="G172" s="5" t="s">
        <v>7709</v>
      </c>
      <c r="H172" s="5"/>
      <c r="I172" s="5" t="s">
        <v>7709</v>
      </c>
    </row>
    <row r="173" customFormat="false" ht="15" hidden="false" customHeight="false" outlineLevel="0" collapsed="false">
      <c r="A173" s="5" t="s">
        <v>728</v>
      </c>
      <c r="B173" s="2" t="s">
        <v>729</v>
      </c>
      <c r="C173" s="5" t="s">
        <v>488</v>
      </c>
      <c r="D173" s="5" t="s">
        <v>60</v>
      </c>
      <c r="E173" s="5" t="s">
        <v>62</v>
      </c>
      <c r="F173" s="5" t="s">
        <v>7670</v>
      </c>
      <c r="G173" s="5" t="s">
        <v>731</v>
      </c>
      <c r="H173" s="5"/>
      <c r="I173" s="5" t="s">
        <v>731</v>
      </c>
    </row>
    <row r="174" customFormat="false" ht="15" hidden="false" customHeight="false" outlineLevel="0" collapsed="false">
      <c r="A174" s="5" t="s">
        <v>738</v>
      </c>
      <c r="B174" s="2" t="s">
        <v>739</v>
      </c>
      <c r="C174" s="5" t="s">
        <v>488</v>
      </c>
      <c r="D174" s="5" t="s">
        <v>60</v>
      </c>
      <c r="E174" s="5" t="s">
        <v>62</v>
      </c>
      <c r="F174" s="5" t="s">
        <v>7670</v>
      </c>
      <c r="G174" s="5" t="s">
        <v>7710</v>
      </c>
      <c r="H174" s="5"/>
      <c r="I174" s="5" t="s">
        <v>742</v>
      </c>
    </row>
    <row r="175" customFormat="false" ht="15" hidden="false" customHeight="false" outlineLevel="0" collapsed="false">
      <c r="A175" s="5" t="s">
        <v>749</v>
      </c>
      <c r="B175" s="2" t="s">
        <v>750</v>
      </c>
      <c r="C175" s="5" t="s">
        <v>488</v>
      </c>
      <c r="D175" s="5" t="s">
        <v>60</v>
      </c>
      <c r="E175" s="5" t="s">
        <v>62</v>
      </c>
      <c r="F175" s="5" t="s">
        <v>7622</v>
      </c>
      <c r="G175" s="5" t="s">
        <v>753</v>
      </c>
      <c r="H175" s="5"/>
      <c r="I175" s="5" t="s">
        <v>753</v>
      </c>
    </row>
    <row r="176" customFormat="false" ht="15" hidden="false" customHeight="false" outlineLevel="0" collapsed="false">
      <c r="A176" s="5" t="s">
        <v>759</v>
      </c>
      <c r="B176" s="2" t="s">
        <v>760</v>
      </c>
      <c r="C176" s="5" t="s">
        <v>488</v>
      </c>
      <c r="D176" s="5" t="s">
        <v>60</v>
      </c>
      <c r="E176" s="5" t="s">
        <v>62</v>
      </c>
      <c r="F176" s="5" t="s">
        <v>7622</v>
      </c>
      <c r="G176" s="5" t="s">
        <v>753</v>
      </c>
      <c r="H176" s="5"/>
      <c r="I176" s="5" t="s">
        <v>753</v>
      </c>
    </row>
    <row r="177" customFormat="false" ht="15" hidden="false" customHeight="false" outlineLevel="0" collapsed="false">
      <c r="A177" s="5" t="s">
        <v>765</v>
      </c>
      <c r="B177" s="2" t="s">
        <v>766</v>
      </c>
      <c r="C177" s="5" t="s">
        <v>488</v>
      </c>
      <c r="D177" s="5" t="s">
        <v>60</v>
      </c>
      <c r="E177" s="5" t="s">
        <v>62</v>
      </c>
      <c r="F177" s="5" t="s">
        <v>7622</v>
      </c>
      <c r="G177" s="5" t="s">
        <v>753</v>
      </c>
      <c r="H177" s="5"/>
      <c r="I177" s="5" t="s">
        <v>753</v>
      </c>
    </row>
    <row r="178" customFormat="false" ht="15" hidden="false" customHeight="false" outlineLevel="0" collapsed="false">
      <c r="A178" s="5" t="s">
        <v>772</v>
      </c>
      <c r="B178" s="2" t="s">
        <v>773</v>
      </c>
      <c r="C178" s="5" t="s">
        <v>488</v>
      </c>
      <c r="D178" s="5" t="s">
        <v>60</v>
      </c>
      <c r="E178" s="5" t="s">
        <v>62</v>
      </c>
      <c r="F178" s="5" t="s">
        <v>7622</v>
      </c>
      <c r="G178" s="5" t="s">
        <v>753</v>
      </c>
      <c r="H178" s="5"/>
      <c r="I178" s="5" t="s">
        <v>753</v>
      </c>
    </row>
    <row r="179" customFormat="false" ht="15" hidden="false" customHeight="false" outlineLevel="0" collapsed="false">
      <c r="A179" s="5" t="s">
        <v>777</v>
      </c>
      <c r="B179" s="2" t="s">
        <v>778</v>
      </c>
      <c r="C179" s="5" t="s">
        <v>488</v>
      </c>
      <c r="D179" s="5" t="s">
        <v>60</v>
      </c>
      <c r="E179" s="5" t="s">
        <v>62</v>
      </c>
      <c r="F179" s="5" t="s">
        <v>7622</v>
      </c>
      <c r="G179" s="5" t="s">
        <v>753</v>
      </c>
      <c r="H179" s="5"/>
      <c r="I179" s="5" t="s">
        <v>753</v>
      </c>
    </row>
    <row r="180" customFormat="false" ht="15" hidden="false" customHeight="false" outlineLevel="0" collapsed="false">
      <c r="A180" s="5" t="s">
        <v>783</v>
      </c>
      <c r="B180" s="2" t="s">
        <v>784</v>
      </c>
      <c r="C180" s="5" t="s">
        <v>488</v>
      </c>
      <c r="D180" s="5" t="s">
        <v>60</v>
      </c>
      <c r="E180" s="5" t="s">
        <v>62</v>
      </c>
      <c r="F180" s="5" t="s">
        <v>7669</v>
      </c>
      <c r="G180" s="5" t="s">
        <v>839</v>
      </c>
      <c r="H180" s="5"/>
      <c r="I180" s="5" t="s">
        <v>839</v>
      </c>
    </row>
    <row r="181" customFormat="false" ht="15" hidden="false" customHeight="false" outlineLevel="0" collapsed="false">
      <c r="A181" s="5" t="s">
        <v>783</v>
      </c>
      <c r="B181" s="2" t="s">
        <v>784</v>
      </c>
      <c r="C181" s="5" t="s">
        <v>488</v>
      </c>
      <c r="D181" s="5" t="s">
        <v>60</v>
      </c>
      <c r="E181" s="5" t="s">
        <v>62</v>
      </c>
      <c r="F181" s="5" t="s">
        <v>7669</v>
      </c>
      <c r="G181" s="5" t="s">
        <v>6617</v>
      </c>
      <c r="H181" s="5"/>
      <c r="I181" s="5" t="s">
        <v>6617</v>
      </c>
    </row>
    <row r="182" customFormat="false" ht="23.85" hidden="false" customHeight="false" outlineLevel="0" collapsed="false">
      <c r="A182" s="5" t="s">
        <v>795</v>
      </c>
      <c r="B182" s="2" t="s">
        <v>796</v>
      </c>
      <c r="C182" s="5" t="s">
        <v>488</v>
      </c>
      <c r="D182" s="5" t="s">
        <v>60</v>
      </c>
      <c r="E182" s="5" t="s">
        <v>62</v>
      </c>
      <c r="F182" s="5" t="s">
        <v>7669</v>
      </c>
      <c r="G182" s="5" t="s">
        <v>839</v>
      </c>
      <c r="H182" s="5"/>
      <c r="I182" s="5" t="s">
        <v>839</v>
      </c>
    </row>
    <row r="183" customFormat="false" ht="23.85" hidden="false" customHeight="false" outlineLevel="0" collapsed="false">
      <c r="A183" s="5" t="s">
        <v>795</v>
      </c>
      <c r="B183" s="2" t="s">
        <v>796</v>
      </c>
      <c r="C183" s="5" t="s">
        <v>488</v>
      </c>
      <c r="D183" s="5" t="s">
        <v>60</v>
      </c>
      <c r="E183" s="5" t="s">
        <v>62</v>
      </c>
      <c r="F183" s="5" t="s">
        <v>7669</v>
      </c>
      <c r="G183" s="5" t="s">
        <v>6617</v>
      </c>
      <c r="H183" s="5"/>
      <c r="I183" s="5" t="s">
        <v>6617</v>
      </c>
    </row>
    <row r="184" customFormat="false" ht="15" hidden="false" customHeight="false" outlineLevel="0" collapsed="false">
      <c r="A184" s="5" t="s">
        <v>803</v>
      </c>
      <c r="B184" s="2" t="s">
        <v>804</v>
      </c>
      <c r="C184" s="5" t="s">
        <v>488</v>
      </c>
      <c r="D184" s="5" t="s">
        <v>60</v>
      </c>
      <c r="E184" s="5" t="s">
        <v>62</v>
      </c>
      <c r="F184" s="5" t="s">
        <v>7669</v>
      </c>
      <c r="G184" s="5" t="s">
        <v>806</v>
      </c>
      <c r="H184" s="5"/>
      <c r="I184" s="5" t="s">
        <v>806</v>
      </c>
    </row>
    <row r="185" customFormat="false" ht="15" hidden="false" customHeight="false" outlineLevel="0" collapsed="false">
      <c r="A185" s="5" t="s">
        <v>815</v>
      </c>
      <c r="B185" s="2" t="s">
        <v>816</v>
      </c>
      <c r="C185" s="5" t="s">
        <v>488</v>
      </c>
      <c r="D185" s="5" t="s">
        <v>60</v>
      </c>
      <c r="E185" s="5" t="s">
        <v>490</v>
      </c>
      <c r="F185" s="5" t="s">
        <v>7669</v>
      </c>
      <c r="G185" s="5" t="s">
        <v>818</v>
      </c>
      <c r="H185" s="5"/>
      <c r="I185" s="5" t="s">
        <v>818</v>
      </c>
    </row>
    <row r="186" customFormat="false" ht="15" hidden="false" customHeight="false" outlineLevel="0" collapsed="false">
      <c r="A186" s="5" t="s">
        <v>826</v>
      </c>
      <c r="B186" s="2" t="s">
        <v>827</v>
      </c>
      <c r="C186" s="5" t="s">
        <v>488</v>
      </c>
      <c r="D186" s="5" t="s">
        <v>60</v>
      </c>
      <c r="E186" s="5" t="s">
        <v>62</v>
      </c>
      <c r="F186" s="5" t="s">
        <v>7669</v>
      </c>
      <c r="G186" s="5" t="s">
        <v>828</v>
      </c>
      <c r="H186" s="5"/>
      <c r="I186" s="5" t="s">
        <v>828</v>
      </c>
    </row>
    <row r="187" customFormat="false" ht="23.85" hidden="false" customHeight="false" outlineLevel="0" collapsed="false">
      <c r="A187" s="5" t="s">
        <v>837</v>
      </c>
      <c r="B187" s="2" t="s">
        <v>838</v>
      </c>
      <c r="C187" s="5" t="s">
        <v>488</v>
      </c>
      <c r="D187" s="5" t="s">
        <v>60</v>
      </c>
      <c r="E187" s="5" t="s">
        <v>62</v>
      </c>
      <c r="F187" s="5" t="s">
        <v>7669</v>
      </c>
      <c r="G187" s="5" t="s">
        <v>839</v>
      </c>
      <c r="H187" s="5"/>
      <c r="I187" s="5" t="s">
        <v>839</v>
      </c>
    </row>
    <row r="188" customFormat="false" ht="23.85" hidden="false" customHeight="false" outlineLevel="0" collapsed="false">
      <c r="A188" s="5" t="s">
        <v>846</v>
      </c>
      <c r="B188" s="2" t="s">
        <v>847</v>
      </c>
      <c r="C188" s="5" t="s">
        <v>488</v>
      </c>
      <c r="D188" s="5" t="s">
        <v>60</v>
      </c>
      <c r="E188" s="5" t="s">
        <v>62</v>
      </c>
      <c r="F188" s="5" t="s">
        <v>7669</v>
      </c>
      <c r="G188" s="5" t="s">
        <v>839</v>
      </c>
      <c r="H188" s="5"/>
      <c r="I188" s="5" t="s">
        <v>839</v>
      </c>
    </row>
    <row r="189" customFormat="false" ht="15" hidden="false" customHeight="false" outlineLevel="0" collapsed="false">
      <c r="A189" s="5" t="s">
        <v>853</v>
      </c>
      <c r="B189" s="2" t="s">
        <v>854</v>
      </c>
      <c r="C189" s="5" t="s">
        <v>488</v>
      </c>
      <c r="D189" s="5" t="s">
        <v>60</v>
      </c>
      <c r="E189" s="5" t="s">
        <v>62</v>
      </c>
      <c r="F189" s="5" t="s">
        <v>7669</v>
      </c>
      <c r="G189" s="5" t="s">
        <v>839</v>
      </c>
      <c r="H189" s="5"/>
      <c r="I189" s="5" t="s">
        <v>839</v>
      </c>
    </row>
    <row r="190" customFormat="false" ht="15" hidden="false" customHeight="false" outlineLevel="0" collapsed="false">
      <c r="A190" s="5" t="s">
        <v>853</v>
      </c>
      <c r="B190" s="2" t="s">
        <v>854</v>
      </c>
      <c r="C190" s="5" t="s">
        <v>488</v>
      </c>
      <c r="D190" s="5" t="s">
        <v>60</v>
      </c>
      <c r="E190" s="5" t="s">
        <v>62</v>
      </c>
      <c r="F190" s="5" t="s">
        <v>7669</v>
      </c>
      <c r="G190" s="5" t="s">
        <v>6617</v>
      </c>
      <c r="H190" s="5"/>
      <c r="I190" s="5" t="s">
        <v>6617</v>
      </c>
    </row>
    <row r="191" customFormat="false" ht="15" hidden="false" customHeight="false" outlineLevel="0" collapsed="false">
      <c r="A191" s="5" t="s">
        <v>863</v>
      </c>
      <c r="B191" s="2" t="s">
        <v>864</v>
      </c>
      <c r="C191" s="5" t="s">
        <v>488</v>
      </c>
      <c r="D191" s="5" t="s">
        <v>60</v>
      </c>
      <c r="E191" s="5" t="s">
        <v>62</v>
      </c>
      <c r="F191" s="5" t="s">
        <v>7669</v>
      </c>
      <c r="G191" s="5" t="s">
        <v>865</v>
      </c>
      <c r="H191" s="5"/>
      <c r="I191" s="5" t="s">
        <v>865</v>
      </c>
    </row>
    <row r="192" customFormat="false" ht="15" hidden="false" customHeight="false" outlineLevel="0" collapsed="false">
      <c r="A192" s="5" t="s">
        <v>870</v>
      </c>
      <c r="B192" s="2" t="s">
        <v>871</v>
      </c>
      <c r="C192" s="5" t="s">
        <v>488</v>
      </c>
      <c r="D192" s="5" t="s">
        <v>60</v>
      </c>
      <c r="E192" s="5" t="s">
        <v>62</v>
      </c>
      <c r="F192" s="5" t="s">
        <v>7669</v>
      </c>
      <c r="G192" s="5" t="s">
        <v>872</v>
      </c>
      <c r="H192" s="5"/>
      <c r="I192" s="5" t="s">
        <v>872</v>
      </c>
    </row>
    <row r="193" customFormat="false" ht="15" hidden="false" customHeight="false" outlineLevel="0" collapsed="false">
      <c r="A193" s="5" t="s">
        <v>878</v>
      </c>
      <c r="B193" s="2" t="s">
        <v>879</v>
      </c>
      <c r="C193" s="5" t="s">
        <v>488</v>
      </c>
      <c r="D193" s="5" t="s">
        <v>60</v>
      </c>
      <c r="E193" s="5" t="s">
        <v>62</v>
      </c>
      <c r="F193" s="5" t="s">
        <v>7669</v>
      </c>
      <c r="G193" s="5" t="s">
        <v>881</v>
      </c>
      <c r="H193" s="5"/>
      <c r="I193" s="5" t="s">
        <v>881</v>
      </c>
    </row>
    <row r="194" customFormat="false" ht="15" hidden="false" customHeight="false" outlineLevel="0" collapsed="false">
      <c r="A194" s="5" t="s">
        <v>887</v>
      </c>
      <c r="B194" s="2" t="s">
        <v>888</v>
      </c>
      <c r="C194" s="5" t="s">
        <v>488</v>
      </c>
      <c r="D194" s="5" t="s">
        <v>60</v>
      </c>
      <c r="E194" s="5" t="s">
        <v>62</v>
      </c>
      <c r="F194" s="5" t="s">
        <v>7669</v>
      </c>
      <c r="G194" s="5" t="s">
        <v>7711</v>
      </c>
      <c r="H194" s="5"/>
      <c r="I194" s="5" t="s">
        <v>7711</v>
      </c>
    </row>
    <row r="195" customFormat="false" ht="15" hidden="false" customHeight="false" outlineLevel="0" collapsed="false">
      <c r="A195" s="5" t="s">
        <v>887</v>
      </c>
      <c r="B195" s="2" t="s">
        <v>888</v>
      </c>
      <c r="C195" s="5" t="s">
        <v>488</v>
      </c>
      <c r="D195" s="5" t="s">
        <v>60</v>
      </c>
      <c r="E195" s="5" t="s">
        <v>62</v>
      </c>
      <c r="F195" s="5" t="s">
        <v>7670</v>
      </c>
      <c r="G195" s="5" t="s">
        <v>1004</v>
      </c>
      <c r="H195" s="5"/>
      <c r="I195" s="5" t="s">
        <v>1004</v>
      </c>
    </row>
    <row r="196" customFormat="false" ht="15" hidden="false" customHeight="false" outlineLevel="0" collapsed="false">
      <c r="A196" s="5" t="s">
        <v>887</v>
      </c>
      <c r="B196" s="2" t="s">
        <v>888</v>
      </c>
      <c r="C196" s="5" t="s">
        <v>488</v>
      </c>
      <c r="D196" s="5" t="s">
        <v>60</v>
      </c>
      <c r="E196" s="5" t="s">
        <v>62</v>
      </c>
      <c r="F196" s="5" t="s">
        <v>7670</v>
      </c>
      <c r="G196" s="5" t="s">
        <v>986</v>
      </c>
      <c r="H196" s="5"/>
      <c r="I196" s="5" t="s">
        <v>986</v>
      </c>
    </row>
    <row r="197" customFormat="false" ht="15" hidden="false" customHeight="false" outlineLevel="0" collapsed="false">
      <c r="A197" s="5" t="s">
        <v>896</v>
      </c>
      <c r="B197" s="2" t="s">
        <v>897</v>
      </c>
      <c r="C197" s="5" t="s">
        <v>488</v>
      </c>
      <c r="D197" s="5" t="s">
        <v>60</v>
      </c>
      <c r="E197" s="5" t="s">
        <v>62</v>
      </c>
      <c r="F197" s="5" t="s">
        <v>7670</v>
      </c>
      <c r="G197" s="5" t="s">
        <v>899</v>
      </c>
      <c r="H197" s="5"/>
      <c r="I197" s="5" t="s">
        <v>899</v>
      </c>
    </row>
    <row r="198" customFormat="false" ht="15" hidden="false" customHeight="false" outlineLevel="0" collapsed="false">
      <c r="A198" s="5" t="s">
        <v>905</v>
      </c>
      <c r="B198" s="2" t="s">
        <v>906</v>
      </c>
      <c r="C198" s="5" t="s">
        <v>488</v>
      </c>
      <c r="D198" s="5" t="s">
        <v>60</v>
      </c>
      <c r="E198" s="5" t="s">
        <v>62</v>
      </c>
      <c r="F198" s="5" t="s">
        <v>7670</v>
      </c>
      <c r="G198" s="5" t="s">
        <v>907</v>
      </c>
      <c r="H198" s="5"/>
      <c r="I198" s="5" t="s">
        <v>907</v>
      </c>
    </row>
    <row r="199" customFormat="false" ht="23.85" hidden="false" customHeight="false" outlineLevel="0" collapsed="false">
      <c r="A199" s="5" t="s">
        <v>913</v>
      </c>
      <c r="B199" s="2" t="s">
        <v>914</v>
      </c>
      <c r="C199" s="5" t="s">
        <v>488</v>
      </c>
      <c r="D199" s="5" t="s">
        <v>60</v>
      </c>
      <c r="E199" s="5" t="s">
        <v>62</v>
      </c>
      <c r="F199" s="5" t="s">
        <v>7712</v>
      </c>
      <c r="G199" s="5" t="s">
        <v>7713</v>
      </c>
      <c r="H199" s="5"/>
      <c r="I199" s="5" t="s">
        <v>7714</v>
      </c>
    </row>
    <row r="200" customFormat="false" ht="23.85" hidden="false" customHeight="false" outlineLevel="0" collapsed="false">
      <c r="A200" s="5" t="s">
        <v>922</v>
      </c>
      <c r="B200" s="2" t="s">
        <v>923</v>
      </c>
      <c r="C200" s="5" t="s">
        <v>488</v>
      </c>
      <c r="D200" s="5" t="s">
        <v>60</v>
      </c>
      <c r="E200" s="5" t="s">
        <v>62</v>
      </c>
      <c r="F200" s="5" t="s">
        <v>7712</v>
      </c>
      <c r="G200" s="5" t="s">
        <v>7713</v>
      </c>
      <c r="H200" s="5"/>
      <c r="I200" s="5" t="s">
        <v>7714</v>
      </c>
    </row>
    <row r="201" customFormat="false" ht="15" hidden="false" customHeight="false" outlineLevel="0" collapsed="false">
      <c r="A201" s="5" t="s">
        <v>927</v>
      </c>
      <c r="B201" s="2" t="s">
        <v>928</v>
      </c>
      <c r="C201" s="5" t="s">
        <v>488</v>
      </c>
      <c r="D201" s="5" t="s">
        <v>60</v>
      </c>
      <c r="E201" s="5" t="s">
        <v>62</v>
      </c>
      <c r="F201" s="5" t="s">
        <v>7712</v>
      </c>
      <c r="G201" s="5" t="s">
        <v>7713</v>
      </c>
      <c r="H201" s="5"/>
      <c r="I201" s="5" t="s">
        <v>929</v>
      </c>
    </row>
    <row r="202" customFormat="false" ht="15" hidden="false" customHeight="false" outlineLevel="0" collapsed="false">
      <c r="A202" s="5" t="s">
        <v>932</v>
      </c>
      <c r="B202" s="2" t="s">
        <v>933</v>
      </c>
      <c r="C202" s="5" t="s">
        <v>488</v>
      </c>
      <c r="D202" s="5" t="s">
        <v>60</v>
      </c>
      <c r="E202" s="5" t="s">
        <v>62</v>
      </c>
      <c r="F202" s="5" t="s">
        <v>7712</v>
      </c>
      <c r="G202" s="5" t="s">
        <v>7713</v>
      </c>
      <c r="H202" s="5"/>
      <c r="I202" s="5" t="s">
        <v>934</v>
      </c>
    </row>
    <row r="203" customFormat="false" ht="15" hidden="false" customHeight="false" outlineLevel="0" collapsed="false">
      <c r="A203" s="5" t="s">
        <v>940</v>
      </c>
      <c r="B203" s="2" t="s">
        <v>941</v>
      </c>
      <c r="C203" s="5" t="s">
        <v>488</v>
      </c>
      <c r="D203" s="5" t="s">
        <v>60</v>
      </c>
      <c r="E203" s="5" t="s">
        <v>62</v>
      </c>
      <c r="F203" s="5" t="s">
        <v>7622</v>
      </c>
      <c r="G203" s="5" t="s">
        <v>753</v>
      </c>
      <c r="H203" s="5"/>
      <c r="I203" s="5" t="s">
        <v>753</v>
      </c>
    </row>
    <row r="204" customFormat="false" ht="23.85" hidden="false" customHeight="false" outlineLevel="0" collapsed="false">
      <c r="A204" s="5" t="s">
        <v>946</v>
      </c>
      <c r="B204" s="2" t="s">
        <v>947</v>
      </c>
      <c r="C204" s="5" t="s">
        <v>488</v>
      </c>
      <c r="D204" s="5" t="s">
        <v>60</v>
      </c>
      <c r="E204" s="5" t="s">
        <v>62</v>
      </c>
      <c r="F204" s="5" t="s">
        <v>7670</v>
      </c>
      <c r="G204" s="5" t="s">
        <v>949</v>
      </c>
      <c r="H204" s="5"/>
      <c r="I204" s="5" t="s">
        <v>949</v>
      </c>
    </row>
    <row r="205" customFormat="false" ht="15" hidden="false" customHeight="false" outlineLevel="0" collapsed="false">
      <c r="A205" s="5" t="s">
        <v>953</v>
      </c>
      <c r="B205" s="2" t="s">
        <v>954</v>
      </c>
      <c r="C205" s="5" t="s">
        <v>488</v>
      </c>
      <c r="D205" s="5" t="s">
        <v>60</v>
      </c>
      <c r="E205" s="5" t="s">
        <v>62</v>
      </c>
      <c r="F205" s="5" t="s">
        <v>7669</v>
      </c>
      <c r="G205" s="5" t="s">
        <v>957</v>
      </c>
      <c r="H205" s="5"/>
      <c r="I205" s="5" t="s">
        <v>957</v>
      </c>
    </row>
    <row r="206" customFormat="false" ht="15" hidden="false" customHeight="false" outlineLevel="0" collapsed="false">
      <c r="A206" s="5" t="s">
        <v>964</v>
      </c>
      <c r="B206" s="2" t="s">
        <v>965</v>
      </c>
      <c r="C206" s="5" t="s">
        <v>488</v>
      </c>
      <c r="D206" s="5" t="s">
        <v>60</v>
      </c>
      <c r="E206" s="5" t="s">
        <v>490</v>
      </c>
      <c r="F206" s="5" t="s">
        <v>7670</v>
      </c>
      <c r="G206" s="5" t="s">
        <v>967</v>
      </c>
      <c r="H206" s="5"/>
      <c r="I206" s="5" t="s">
        <v>967</v>
      </c>
    </row>
    <row r="207" customFormat="false" ht="15" hidden="false" customHeight="false" outlineLevel="0" collapsed="false">
      <c r="A207" s="5" t="s">
        <v>973</v>
      </c>
      <c r="B207" s="2" t="s">
        <v>974</v>
      </c>
      <c r="C207" s="5" t="s">
        <v>488</v>
      </c>
      <c r="D207" s="5" t="s">
        <v>60</v>
      </c>
      <c r="E207" s="5" t="s">
        <v>490</v>
      </c>
      <c r="F207" s="5" t="s">
        <v>7670</v>
      </c>
      <c r="G207" s="5" t="s">
        <v>975</v>
      </c>
      <c r="H207" s="5"/>
      <c r="I207" s="5" t="s">
        <v>975</v>
      </c>
    </row>
    <row r="208" customFormat="false" ht="15" hidden="false" customHeight="false" outlineLevel="0" collapsed="false">
      <c r="A208" s="5" t="s">
        <v>984</v>
      </c>
      <c r="B208" s="2" t="s">
        <v>985</v>
      </c>
      <c r="C208" s="5" t="s">
        <v>488</v>
      </c>
      <c r="D208" s="5" t="s">
        <v>60</v>
      </c>
      <c r="E208" s="5" t="s">
        <v>490</v>
      </c>
      <c r="F208" s="5" t="s">
        <v>7670</v>
      </c>
      <c r="G208" s="5" t="s">
        <v>986</v>
      </c>
      <c r="H208" s="5"/>
      <c r="I208" s="5" t="s">
        <v>986</v>
      </c>
    </row>
    <row r="209" customFormat="false" ht="15" hidden="false" customHeight="false" outlineLevel="0" collapsed="false">
      <c r="A209" s="5" t="s">
        <v>991</v>
      </c>
      <c r="B209" s="2" t="s">
        <v>992</v>
      </c>
      <c r="C209" s="5" t="s">
        <v>488</v>
      </c>
      <c r="D209" s="5" t="s">
        <v>60</v>
      </c>
      <c r="E209" s="5" t="s">
        <v>490</v>
      </c>
      <c r="F209" s="5" t="s">
        <v>7670</v>
      </c>
      <c r="G209" s="5" t="s">
        <v>994</v>
      </c>
      <c r="H209" s="5"/>
      <c r="I209" s="5" t="s">
        <v>994</v>
      </c>
    </row>
    <row r="210" customFormat="false" ht="15" hidden="false" customHeight="false" outlineLevel="0" collapsed="false">
      <c r="A210" s="5" t="s">
        <v>1002</v>
      </c>
      <c r="B210" s="2" t="s">
        <v>1003</v>
      </c>
      <c r="C210" s="5" t="s">
        <v>488</v>
      </c>
      <c r="D210" s="5" t="s">
        <v>60</v>
      </c>
      <c r="E210" s="5" t="s">
        <v>490</v>
      </c>
      <c r="F210" s="5" t="s">
        <v>7670</v>
      </c>
      <c r="G210" s="5" t="s">
        <v>1004</v>
      </c>
      <c r="H210" s="5"/>
      <c r="I210" s="5" t="s">
        <v>1004</v>
      </c>
    </row>
    <row r="211" customFormat="false" ht="15" hidden="false" customHeight="false" outlineLevel="0" collapsed="false">
      <c r="A211" s="5" t="s">
        <v>1010</v>
      </c>
      <c r="B211" s="2" t="s">
        <v>1011</v>
      </c>
      <c r="C211" s="5" t="s">
        <v>488</v>
      </c>
      <c r="D211" s="5" t="s">
        <v>60</v>
      </c>
      <c r="E211" s="5" t="s">
        <v>490</v>
      </c>
      <c r="F211" s="5" t="s">
        <v>7670</v>
      </c>
      <c r="G211" s="5" t="s">
        <v>1013</v>
      </c>
      <c r="H211" s="5"/>
      <c r="I211" s="5" t="s">
        <v>1013</v>
      </c>
    </row>
    <row r="212" customFormat="false" ht="15" hidden="false" customHeight="false" outlineLevel="0" collapsed="false">
      <c r="A212" s="5" t="s">
        <v>1018</v>
      </c>
      <c r="B212" s="2" t="s">
        <v>1019</v>
      </c>
      <c r="C212" s="5" t="s">
        <v>488</v>
      </c>
      <c r="D212" s="5" t="s">
        <v>60</v>
      </c>
      <c r="E212" s="5" t="s">
        <v>490</v>
      </c>
      <c r="F212" s="5" t="s">
        <v>7670</v>
      </c>
      <c r="G212" s="5" t="s">
        <v>994</v>
      </c>
      <c r="H212" s="5"/>
      <c r="I212" s="5" t="s">
        <v>994</v>
      </c>
    </row>
    <row r="213" customFormat="false" ht="15" hidden="false" customHeight="false" outlineLevel="0" collapsed="false">
      <c r="A213" s="5" t="s">
        <v>1022</v>
      </c>
      <c r="B213" s="2" t="s">
        <v>1023</v>
      </c>
      <c r="C213" s="5" t="s">
        <v>488</v>
      </c>
      <c r="D213" s="5" t="s">
        <v>60</v>
      </c>
      <c r="E213" s="5" t="s">
        <v>490</v>
      </c>
      <c r="F213" s="5" t="s">
        <v>7670</v>
      </c>
      <c r="G213" s="5" t="s">
        <v>1024</v>
      </c>
      <c r="H213" s="5"/>
      <c r="I213" s="5" t="s">
        <v>1024</v>
      </c>
    </row>
    <row r="214" customFormat="false" ht="15" hidden="false" customHeight="false" outlineLevel="0" collapsed="false">
      <c r="A214" s="5" t="s">
        <v>1030</v>
      </c>
      <c r="B214" s="2" t="s">
        <v>1031</v>
      </c>
      <c r="C214" s="5" t="s">
        <v>488</v>
      </c>
      <c r="D214" s="5" t="s">
        <v>60</v>
      </c>
      <c r="E214" s="5" t="s">
        <v>62</v>
      </c>
      <c r="F214" s="5" t="s">
        <v>7669</v>
      </c>
      <c r="G214" s="5" t="s">
        <v>1033</v>
      </c>
      <c r="H214" s="5"/>
      <c r="I214" s="5" t="s">
        <v>1033</v>
      </c>
    </row>
    <row r="215" customFormat="false" ht="15" hidden="false" customHeight="false" outlineLevel="0" collapsed="false">
      <c r="A215" s="5" t="s">
        <v>1037</v>
      </c>
      <c r="B215" s="2" t="s">
        <v>1038</v>
      </c>
      <c r="C215" s="5" t="s">
        <v>488</v>
      </c>
      <c r="D215" s="5" t="s">
        <v>60</v>
      </c>
      <c r="E215" s="5" t="s">
        <v>62</v>
      </c>
      <c r="F215" s="5" t="s">
        <v>7715</v>
      </c>
      <c r="G215" s="5" t="s">
        <v>1041</v>
      </c>
      <c r="H215" s="5"/>
      <c r="I215" s="5" t="s">
        <v>1041</v>
      </c>
    </row>
    <row r="216" customFormat="false" ht="23.85" hidden="false" customHeight="false" outlineLevel="0" collapsed="false">
      <c r="A216" s="5" t="s">
        <v>1048</v>
      </c>
      <c r="B216" s="2" t="s">
        <v>1049</v>
      </c>
      <c r="C216" s="5" t="s">
        <v>488</v>
      </c>
      <c r="D216" s="5" t="s">
        <v>60</v>
      </c>
      <c r="E216" s="5" t="s">
        <v>62</v>
      </c>
      <c r="F216" s="5" t="s">
        <v>7670</v>
      </c>
      <c r="G216" s="5" t="s">
        <v>7716</v>
      </c>
      <c r="H216" s="5"/>
      <c r="I216" s="5" t="s">
        <v>7716</v>
      </c>
    </row>
    <row r="217" customFormat="false" ht="23.85" hidden="false" customHeight="false" outlineLevel="0" collapsed="false">
      <c r="A217" s="5" t="s">
        <v>1048</v>
      </c>
      <c r="B217" s="2" t="s">
        <v>1049</v>
      </c>
      <c r="C217" s="5" t="s">
        <v>488</v>
      </c>
      <c r="D217" s="5" t="s">
        <v>60</v>
      </c>
      <c r="E217" s="5" t="s">
        <v>62</v>
      </c>
      <c r="F217" s="5" t="s">
        <v>7670</v>
      </c>
      <c r="G217" s="5" t="s">
        <v>1004</v>
      </c>
      <c r="H217" s="5"/>
      <c r="I217" s="5" t="s">
        <v>1004</v>
      </c>
    </row>
    <row r="218" customFormat="false" ht="23.85" hidden="false" customHeight="false" outlineLevel="0" collapsed="false">
      <c r="A218" s="5" t="s">
        <v>1048</v>
      </c>
      <c r="B218" s="2" t="s">
        <v>1049</v>
      </c>
      <c r="C218" s="5" t="s">
        <v>488</v>
      </c>
      <c r="D218" s="5" t="s">
        <v>60</v>
      </c>
      <c r="E218" s="5" t="s">
        <v>62</v>
      </c>
      <c r="F218" s="5" t="s">
        <v>7670</v>
      </c>
      <c r="G218" s="5" t="s">
        <v>7717</v>
      </c>
      <c r="H218" s="5"/>
      <c r="I218" s="5" t="s">
        <v>7717</v>
      </c>
    </row>
    <row r="219" customFormat="false" ht="23.85" hidden="false" customHeight="false" outlineLevel="0" collapsed="false">
      <c r="A219" s="5" t="s">
        <v>1048</v>
      </c>
      <c r="B219" s="2" t="s">
        <v>1049</v>
      </c>
      <c r="C219" s="5" t="s">
        <v>488</v>
      </c>
      <c r="D219" s="5" t="s">
        <v>60</v>
      </c>
      <c r="E219" s="5" t="s">
        <v>62</v>
      </c>
      <c r="F219" s="5" t="s">
        <v>7670</v>
      </c>
      <c r="G219" s="5" t="s">
        <v>975</v>
      </c>
      <c r="H219" s="5"/>
      <c r="I219" s="5" t="s">
        <v>975</v>
      </c>
    </row>
    <row r="220" customFormat="false" ht="23.85" hidden="false" customHeight="false" outlineLevel="0" collapsed="false">
      <c r="A220" s="5" t="s">
        <v>1048</v>
      </c>
      <c r="B220" s="2" t="s">
        <v>1049</v>
      </c>
      <c r="C220" s="5" t="s">
        <v>488</v>
      </c>
      <c r="D220" s="5" t="s">
        <v>60</v>
      </c>
      <c r="E220" s="5" t="s">
        <v>62</v>
      </c>
      <c r="F220" s="5" t="s">
        <v>7670</v>
      </c>
      <c r="G220" s="5" t="s">
        <v>7718</v>
      </c>
      <c r="H220" s="5"/>
      <c r="I220" s="5" t="s">
        <v>7718</v>
      </c>
    </row>
    <row r="221" customFormat="false" ht="23.85" hidden="false" customHeight="false" outlineLevel="0" collapsed="false">
      <c r="A221" s="5" t="s">
        <v>1048</v>
      </c>
      <c r="B221" s="2" t="s">
        <v>1049</v>
      </c>
      <c r="C221" s="5" t="s">
        <v>488</v>
      </c>
      <c r="D221" s="5" t="s">
        <v>60</v>
      </c>
      <c r="E221" s="5" t="s">
        <v>62</v>
      </c>
      <c r="F221" s="5" t="s">
        <v>7670</v>
      </c>
      <c r="G221" s="5" t="s">
        <v>994</v>
      </c>
      <c r="H221" s="5"/>
      <c r="I221" s="5" t="s">
        <v>994</v>
      </c>
    </row>
    <row r="222" customFormat="false" ht="23.85" hidden="false" customHeight="false" outlineLevel="0" collapsed="false">
      <c r="A222" s="5" t="s">
        <v>1048</v>
      </c>
      <c r="B222" s="2" t="s">
        <v>1049</v>
      </c>
      <c r="C222" s="5" t="s">
        <v>488</v>
      </c>
      <c r="D222" s="5" t="s">
        <v>60</v>
      </c>
      <c r="E222" s="5" t="s">
        <v>62</v>
      </c>
      <c r="F222" s="5" t="s">
        <v>7670</v>
      </c>
      <c r="G222" s="5" t="s">
        <v>986</v>
      </c>
      <c r="H222" s="5"/>
      <c r="I222" s="5" t="s">
        <v>986</v>
      </c>
    </row>
    <row r="223" customFormat="false" ht="23.85" hidden="false" customHeight="false" outlineLevel="0" collapsed="false">
      <c r="A223" s="5" t="s">
        <v>1048</v>
      </c>
      <c r="B223" s="2" t="s">
        <v>1049</v>
      </c>
      <c r="C223" s="5" t="s">
        <v>488</v>
      </c>
      <c r="D223" s="5" t="s">
        <v>60</v>
      </c>
      <c r="E223" s="5" t="s">
        <v>62</v>
      </c>
      <c r="F223" s="5" t="s">
        <v>7670</v>
      </c>
      <c r="G223" s="5" t="s">
        <v>1013</v>
      </c>
      <c r="H223" s="5"/>
      <c r="I223" s="5" t="s">
        <v>1013</v>
      </c>
    </row>
    <row r="224" customFormat="false" ht="23.85" hidden="false" customHeight="false" outlineLevel="0" collapsed="false">
      <c r="A224" s="5" t="s">
        <v>1048</v>
      </c>
      <c r="B224" s="2" t="s">
        <v>1049</v>
      </c>
      <c r="C224" s="5" t="s">
        <v>488</v>
      </c>
      <c r="D224" s="5" t="s">
        <v>60</v>
      </c>
      <c r="E224" s="5" t="s">
        <v>62</v>
      </c>
      <c r="F224" s="5" t="s">
        <v>7670</v>
      </c>
      <c r="G224" s="5" t="s">
        <v>1024</v>
      </c>
      <c r="H224" s="5"/>
      <c r="I224" s="5" t="s">
        <v>1024</v>
      </c>
    </row>
    <row r="225" customFormat="false" ht="23.85" hidden="false" customHeight="false" outlineLevel="0" collapsed="false">
      <c r="A225" s="5" t="s">
        <v>1048</v>
      </c>
      <c r="B225" s="2" t="s">
        <v>1049</v>
      </c>
      <c r="C225" s="5" t="s">
        <v>488</v>
      </c>
      <c r="D225" s="5" t="s">
        <v>60</v>
      </c>
      <c r="E225" s="5" t="s">
        <v>62</v>
      </c>
      <c r="F225" s="5" t="s">
        <v>7669</v>
      </c>
      <c r="G225" s="5" t="s">
        <v>2794</v>
      </c>
      <c r="H225" s="5"/>
      <c r="I225" s="5" t="s">
        <v>2794</v>
      </c>
    </row>
    <row r="226" customFormat="false" ht="23.85" hidden="false" customHeight="false" outlineLevel="0" collapsed="false">
      <c r="A226" s="5" t="s">
        <v>1048</v>
      </c>
      <c r="B226" s="2" t="s">
        <v>1049</v>
      </c>
      <c r="C226" s="5" t="s">
        <v>488</v>
      </c>
      <c r="D226" s="5" t="s">
        <v>60</v>
      </c>
      <c r="E226" s="5" t="s">
        <v>62</v>
      </c>
      <c r="F226" s="5" t="s">
        <v>7669</v>
      </c>
      <c r="G226" s="5" t="s">
        <v>7719</v>
      </c>
      <c r="H226" s="5"/>
      <c r="I226" s="5" t="s">
        <v>7719</v>
      </c>
    </row>
    <row r="227" customFormat="false" ht="23.85" hidden="false" customHeight="false" outlineLevel="0" collapsed="false">
      <c r="A227" s="5" t="s">
        <v>1048</v>
      </c>
      <c r="B227" s="2" t="s">
        <v>1049</v>
      </c>
      <c r="C227" s="5" t="s">
        <v>488</v>
      </c>
      <c r="D227" s="5" t="s">
        <v>60</v>
      </c>
      <c r="E227" s="5" t="s">
        <v>62</v>
      </c>
      <c r="F227" s="5" t="s">
        <v>7669</v>
      </c>
      <c r="G227" s="5" t="s">
        <v>7688</v>
      </c>
      <c r="H227" s="5"/>
      <c r="I227" s="5" t="s">
        <v>7688</v>
      </c>
    </row>
    <row r="228" customFormat="false" ht="23.85" hidden="false" customHeight="false" outlineLevel="0" collapsed="false">
      <c r="A228" s="5" t="s">
        <v>1048</v>
      </c>
      <c r="B228" s="2" t="s">
        <v>1049</v>
      </c>
      <c r="C228" s="5" t="s">
        <v>488</v>
      </c>
      <c r="D228" s="5" t="s">
        <v>60</v>
      </c>
      <c r="E228" s="5" t="s">
        <v>62</v>
      </c>
      <c r="F228" s="5" t="s">
        <v>7669</v>
      </c>
      <c r="G228" s="5" t="s">
        <v>638</v>
      </c>
      <c r="H228" s="5"/>
      <c r="I228" s="5" t="s">
        <v>638</v>
      </c>
    </row>
    <row r="229" customFormat="false" ht="23.85" hidden="false" customHeight="false" outlineLevel="0" collapsed="false">
      <c r="A229" s="5" t="s">
        <v>1048</v>
      </c>
      <c r="B229" s="2" t="s">
        <v>1049</v>
      </c>
      <c r="C229" s="5" t="s">
        <v>488</v>
      </c>
      <c r="D229" s="5" t="s">
        <v>60</v>
      </c>
      <c r="E229" s="5" t="s">
        <v>62</v>
      </c>
      <c r="F229" s="5" t="s">
        <v>7669</v>
      </c>
      <c r="G229" s="5" t="s">
        <v>7720</v>
      </c>
      <c r="H229" s="5"/>
      <c r="I229" s="5" t="s">
        <v>7720</v>
      </c>
    </row>
    <row r="230" customFormat="false" ht="23.85" hidden="false" customHeight="false" outlineLevel="0" collapsed="false">
      <c r="A230" s="5" t="s">
        <v>1048</v>
      </c>
      <c r="B230" s="2" t="s">
        <v>1049</v>
      </c>
      <c r="C230" s="5" t="s">
        <v>488</v>
      </c>
      <c r="D230" s="5" t="s">
        <v>60</v>
      </c>
      <c r="E230" s="5" t="s">
        <v>62</v>
      </c>
      <c r="F230" s="5" t="s">
        <v>7669</v>
      </c>
      <c r="G230" s="5" t="s">
        <v>7684</v>
      </c>
      <c r="H230" s="5"/>
      <c r="I230" s="5" t="s">
        <v>7684</v>
      </c>
    </row>
    <row r="231" customFormat="false" ht="15" hidden="false" customHeight="false" outlineLevel="0" collapsed="false">
      <c r="A231" s="5" t="s">
        <v>1059</v>
      </c>
      <c r="B231" s="2" t="s">
        <v>1060</v>
      </c>
      <c r="C231" s="5" t="s">
        <v>488</v>
      </c>
      <c r="D231" s="5" t="s">
        <v>60</v>
      </c>
      <c r="E231" s="5" t="s">
        <v>62</v>
      </c>
      <c r="F231" s="5" t="s">
        <v>7670</v>
      </c>
      <c r="G231" s="5" t="s">
        <v>1061</v>
      </c>
      <c r="H231" s="5"/>
      <c r="I231" s="5" t="s">
        <v>1061</v>
      </c>
    </row>
    <row r="232" customFormat="false" ht="23.85" hidden="false" customHeight="false" outlineLevel="0" collapsed="false">
      <c r="A232" s="5" t="s">
        <v>1065</v>
      </c>
      <c r="B232" s="2" t="s">
        <v>1066</v>
      </c>
      <c r="C232" s="5" t="s">
        <v>488</v>
      </c>
      <c r="D232" s="5" t="s">
        <v>60</v>
      </c>
      <c r="E232" s="5" t="s">
        <v>62</v>
      </c>
      <c r="F232" s="5" t="s">
        <v>7670</v>
      </c>
      <c r="G232" s="5" t="s">
        <v>1067</v>
      </c>
      <c r="H232" s="5"/>
      <c r="I232" s="5" t="s">
        <v>1067</v>
      </c>
    </row>
    <row r="233" customFormat="false" ht="23.85" hidden="false" customHeight="false" outlineLevel="0" collapsed="false">
      <c r="A233" s="5" t="s">
        <v>1071</v>
      </c>
      <c r="B233" s="2" t="s">
        <v>1072</v>
      </c>
      <c r="C233" s="5" t="s">
        <v>488</v>
      </c>
      <c r="D233" s="5" t="s">
        <v>60</v>
      </c>
      <c r="E233" s="5" t="s">
        <v>62</v>
      </c>
      <c r="F233" s="5" t="s">
        <v>7670</v>
      </c>
      <c r="G233" s="5" t="s">
        <v>1074</v>
      </c>
      <c r="H233" s="5"/>
      <c r="I233" s="5" t="s">
        <v>1074</v>
      </c>
    </row>
    <row r="234" customFormat="false" ht="15" hidden="false" customHeight="false" outlineLevel="0" collapsed="false">
      <c r="A234" s="5" t="s">
        <v>1079</v>
      </c>
      <c r="B234" s="2" t="s">
        <v>1080</v>
      </c>
      <c r="C234" s="5" t="s">
        <v>488</v>
      </c>
      <c r="D234" s="5" t="s">
        <v>60</v>
      </c>
      <c r="E234" s="5" t="s">
        <v>62</v>
      </c>
      <c r="F234" s="5" t="s">
        <v>7670</v>
      </c>
      <c r="G234" s="5" t="s">
        <v>1081</v>
      </c>
      <c r="H234" s="5"/>
      <c r="I234" s="5" t="s">
        <v>1081</v>
      </c>
    </row>
    <row r="235" customFormat="false" ht="23.85" hidden="false" customHeight="false" outlineLevel="0" collapsed="false">
      <c r="A235" s="5" t="s">
        <v>1085</v>
      </c>
      <c r="B235" s="2" t="s">
        <v>1086</v>
      </c>
      <c r="C235" s="5" t="s">
        <v>488</v>
      </c>
      <c r="D235" s="5" t="s">
        <v>60</v>
      </c>
      <c r="E235" s="5" t="s">
        <v>62</v>
      </c>
      <c r="F235" s="5" t="s">
        <v>7670</v>
      </c>
      <c r="G235" s="5" t="s">
        <v>1089</v>
      </c>
      <c r="H235" s="5"/>
      <c r="I235" s="5" t="s">
        <v>1089</v>
      </c>
    </row>
    <row r="236" customFormat="false" ht="23.85" hidden="false" customHeight="false" outlineLevel="0" collapsed="false">
      <c r="A236" s="5" t="s">
        <v>1095</v>
      </c>
      <c r="B236" s="2" t="s">
        <v>1096</v>
      </c>
      <c r="C236" s="5" t="s">
        <v>488</v>
      </c>
      <c r="D236" s="5" t="s">
        <v>60</v>
      </c>
      <c r="E236" s="5" t="s">
        <v>62</v>
      </c>
      <c r="F236" s="5" t="s">
        <v>269</v>
      </c>
      <c r="G236" s="5" t="s">
        <v>7626</v>
      </c>
      <c r="H236" s="5" t="s">
        <v>192</v>
      </c>
      <c r="I236" s="5" t="s">
        <v>7627</v>
      </c>
    </row>
    <row r="237" customFormat="false" ht="23.85" hidden="false" customHeight="false" outlineLevel="0" collapsed="false">
      <c r="A237" s="5" t="s">
        <v>1095</v>
      </c>
      <c r="B237" s="2" t="s">
        <v>1096</v>
      </c>
      <c r="C237" s="5" t="s">
        <v>488</v>
      </c>
      <c r="D237" s="5" t="s">
        <v>60</v>
      </c>
      <c r="E237" s="5" t="s">
        <v>62</v>
      </c>
      <c r="F237" s="5" t="s">
        <v>7721</v>
      </c>
      <c r="G237" s="5" t="s">
        <v>64</v>
      </c>
      <c r="H237" s="5"/>
      <c r="I237" s="5" t="s">
        <v>7722</v>
      </c>
    </row>
    <row r="238" customFormat="false" ht="23.85" hidden="false" customHeight="false" outlineLevel="0" collapsed="false">
      <c r="A238" s="5" t="s">
        <v>1102</v>
      </c>
      <c r="B238" s="2" t="s">
        <v>1103</v>
      </c>
      <c r="C238" s="5" t="s">
        <v>488</v>
      </c>
      <c r="D238" s="5" t="s">
        <v>60</v>
      </c>
      <c r="E238" s="5" t="s">
        <v>62</v>
      </c>
      <c r="F238" s="5" t="s">
        <v>7633</v>
      </c>
      <c r="G238" s="5" t="s">
        <v>7634</v>
      </c>
      <c r="H238" s="5" t="s">
        <v>309</v>
      </c>
      <c r="I238" s="5" t="s">
        <v>1105</v>
      </c>
    </row>
    <row r="239" customFormat="false" ht="23.85" hidden="false" customHeight="false" outlineLevel="0" collapsed="false">
      <c r="A239" s="5" t="s">
        <v>1111</v>
      </c>
      <c r="B239" s="2" t="s">
        <v>1112</v>
      </c>
      <c r="C239" s="5" t="s">
        <v>488</v>
      </c>
      <c r="D239" s="5" t="s">
        <v>60</v>
      </c>
      <c r="E239" s="5" t="s">
        <v>62</v>
      </c>
      <c r="F239" s="5" t="s">
        <v>269</v>
      </c>
      <c r="G239" s="5" t="s">
        <v>7723</v>
      </c>
      <c r="H239" s="5" t="s">
        <v>1118</v>
      </c>
      <c r="I239" s="5" t="s">
        <v>1114</v>
      </c>
    </row>
    <row r="240" customFormat="false" ht="15" hidden="false" customHeight="false" outlineLevel="0" collapsed="false">
      <c r="A240" s="5" t="s">
        <v>1121</v>
      </c>
      <c r="B240" s="2" t="s">
        <v>1122</v>
      </c>
      <c r="C240" s="5" t="s">
        <v>488</v>
      </c>
      <c r="D240" s="5" t="s">
        <v>60</v>
      </c>
      <c r="E240" s="5" t="s">
        <v>62</v>
      </c>
      <c r="F240" s="5" t="s">
        <v>269</v>
      </c>
      <c r="G240" s="5" t="s">
        <v>7724</v>
      </c>
      <c r="H240" s="5" t="s">
        <v>192</v>
      </c>
      <c r="I240" s="5" t="s">
        <v>3060</v>
      </c>
    </row>
    <row r="241" customFormat="false" ht="15" hidden="false" customHeight="false" outlineLevel="0" collapsed="false">
      <c r="A241" s="5" t="s">
        <v>1121</v>
      </c>
      <c r="B241" s="2" t="s">
        <v>1122</v>
      </c>
      <c r="C241" s="5" t="s">
        <v>488</v>
      </c>
      <c r="D241" s="5" t="s">
        <v>60</v>
      </c>
      <c r="E241" s="5" t="s">
        <v>62</v>
      </c>
      <c r="F241" s="5" t="s">
        <v>269</v>
      </c>
      <c r="G241" s="5" t="s">
        <v>7637</v>
      </c>
      <c r="H241" s="5" t="s">
        <v>214</v>
      </c>
      <c r="I241" s="5" t="s">
        <v>210</v>
      </c>
    </row>
    <row r="242" customFormat="false" ht="15" hidden="false" customHeight="false" outlineLevel="0" collapsed="false">
      <c r="A242" s="5" t="s">
        <v>1130</v>
      </c>
      <c r="B242" s="2" t="s">
        <v>1131</v>
      </c>
      <c r="C242" s="5" t="s">
        <v>488</v>
      </c>
      <c r="D242" s="5" t="s">
        <v>60</v>
      </c>
      <c r="E242" s="5" t="s">
        <v>62</v>
      </c>
      <c r="F242" s="5" t="s">
        <v>269</v>
      </c>
      <c r="G242" s="5" t="s">
        <v>7725</v>
      </c>
      <c r="H242" s="5"/>
      <c r="I242" s="5" t="s">
        <v>7726</v>
      </c>
    </row>
    <row r="243" customFormat="false" ht="15" hidden="false" customHeight="false" outlineLevel="0" collapsed="false">
      <c r="A243" s="5" t="s">
        <v>1130</v>
      </c>
      <c r="B243" s="2" t="s">
        <v>1131</v>
      </c>
      <c r="C243" s="5" t="s">
        <v>488</v>
      </c>
      <c r="D243" s="5" t="s">
        <v>60</v>
      </c>
      <c r="E243" s="5" t="s">
        <v>62</v>
      </c>
      <c r="F243" s="5" t="s">
        <v>269</v>
      </c>
      <c r="G243" s="5" t="s">
        <v>7727</v>
      </c>
      <c r="H243" s="5"/>
      <c r="I243" s="5" t="s">
        <v>7728</v>
      </c>
    </row>
    <row r="244" customFormat="false" ht="23.85" hidden="false" customHeight="false" outlineLevel="0" collapsed="false">
      <c r="A244" s="5" t="s">
        <v>1136</v>
      </c>
      <c r="B244" s="2" t="s">
        <v>1137</v>
      </c>
      <c r="C244" s="5" t="s">
        <v>488</v>
      </c>
      <c r="D244" s="5" t="s">
        <v>60</v>
      </c>
      <c r="E244" s="5" t="s">
        <v>62</v>
      </c>
      <c r="F244" s="5" t="s">
        <v>7633</v>
      </c>
      <c r="G244" s="5" t="s">
        <v>7634</v>
      </c>
      <c r="H244" s="5" t="s">
        <v>309</v>
      </c>
      <c r="I244" s="5" t="s">
        <v>1105</v>
      </c>
    </row>
    <row r="245" customFormat="false" ht="23.85" hidden="false" customHeight="false" outlineLevel="0" collapsed="false">
      <c r="A245" s="5" t="s">
        <v>1142</v>
      </c>
      <c r="B245" s="2" t="s">
        <v>1143</v>
      </c>
      <c r="C245" s="5" t="s">
        <v>488</v>
      </c>
      <c r="D245" s="5" t="s">
        <v>60</v>
      </c>
      <c r="E245" s="5" t="s">
        <v>62</v>
      </c>
      <c r="F245" s="5" t="s">
        <v>269</v>
      </c>
      <c r="G245" s="5" t="s">
        <v>7729</v>
      </c>
      <c r="H245" s="5"/>
      <c r="I245" s="5" t="s">
        <v>7730</v>
      </c>
    </row>
    <row r="246" customFormat="false" ht="23.85" hidden="false" customHeight="false" outlineLevel="0" collapsed="false">
      <c r="A246" s="5" t="s">
        <v>1142</v>
      </c>
      <c r="B246" s="2" t="s">
        <v>1143</v>
      </c>
      <c r="C246" s="5" t="s">
        <v>488</v>
      </c>
      <c r="D246" s="5" t="s">
        <v>60</v>
      </c>
      <c r="E246" s="5" t="s">
        <v>62</v>
      </c>
      <c r="F246" s="5" t="s">
        <v>269</v>
      </c>
      <c r="G246" s="5" t="s">
        <v>7731</v>
      </c>
      <c r="H246" s="5"/>
      <c r="I246" s="5" t="s">
        <v>7732</v>
      </c>
    </row>
    <row r="247" customFormat="false" ht="23.85" hidden="false" customHeight="false" outlineLevel="0" collapsed="false">
      <c r="A247" s="5" t="s">
        <v>1142</v>
      </c>
      <c r="B247" s="2" t="s">
        <v>1143</v>
      </c>
      <c r="C247" s="5" t="s">
        <v>488</v>
      </c>
      <c r="D247" s="5" t="s">
        <v>60</v>
      </c>
      <c r="E247" s="5" t="s">
        <v>62</v>
      </c>
      <c r="F247" s="5" t="s">
        <v>269</v>
      </c>
      <c r="G247" s="5" t="s">
        <v>7724</v>
      </c>
      <c r="H247" s="5" t="s">
        <v>192</v>
      </c>
      <c r="I247" s="5" t="s">
        <v>3060</v>
      </c>
    </row>
    <row r="248" customFormat="false" ht="23.85" hidden="false" customHeight="false" outlineLevel="0" collapsed="false">
      <c r="A248" s="5" t="s">
        <v>1152</v>
      </c>
      <c r="B248" s="2" t="s">
        <v>1153</v>
      </c>
      <c r="C248" s="5" t="s">
        <v>488</v>
      </c>
      <c r="D248" s="5" t="s">
        <v>60</v>
      </c>
      <c r="E248" s="5" t="s">
        <v>62</v>
      </c>
      <c r="F248" s="5" t="s">
        <v>7633</v>
      </c>
      <c r="G248" s="5" t="s">
        <v>7634</v>
      </c>
      <c r="H248" s="5" t="s">
        <v>309</v>
      </c>
      <c r="I248" s="5" t="s">
        <v>1105</v>
      </c>
    </row>
    <row r="249" customFormat="false" ht="15" hidden="false" customHeight="false" outlineLevel="0" collapsed="false">
      <c r="A249" s="5" t="s">
        <v>1158</v>
      </c>
      <c r="B249" s="2" t="s">
        <v>1159</v>
      </c>
      <c r="C249" s="5" t="s">
        <v>488</v>
      </c>
      <c r="D249" s="5" t="s">
        <v>60</v>
      </c>
      <c r="E249" s="5" t="s">
        <v>62</v>
      </c>
      <c r="F249" s="5" t="s">
        <v>7633</v>
      </c>
      <c r="G249" s="5" t="s">
        <v>7733</v>
      </c>
      <c r="H249" s="5"/>
      <c r="I249" s="5" t="s">
        <v>1160</v>
      </c>
    </row>
    <row r="250" customFormat="false" ht="15" hidden="false" customHeight="false" outlineLevel="0" collapsed="false">
      <c r="A250" s="5" t="s">
        <v>1166</v>
      </c>
      <c r="B250" s="2" t="s">
        <v>1167</v>
      </c>
      <c r="C250" s="5" t="s">
        <v>488</v>
      </c>
      <c r="D250" s="5" t="s">
        <v>60</v>
      </c>
      <c r="E250" s="5" t="s">
        <v>62</v>
      </c>
      <c r="F250" s="5" t="s">
        <v>7633</v>
      </c>
      <c r="G250" s="5" t="s">
        <v>7634</v>
      </c>
      <c r="H250" s="5" t="s">
        <v>309</v>
      </c>
      <c r="I250" s="5" t="s">
        <v>1105</v>
      </c>
    </row>
    <row r="251" customFormat="false" ht="23.85" hidden="false" customHeight="false" outlineLevel="0" collapsed="false">
      <c r="A251" s="5" t="s">
        <v>1172</v>
      </c>
      <c r="B251" s="2" t="s">
        <v>1173</v>
      </c>
      <c r="C251" s="5" t="s">
        <v>488</v>
      </c>
      <c r="D251" s="5" t="s">
        <v>60</v>
      </c>
      <c r="E251" s="5" t="s">
        <v>62</v>
      </c>
      <c r="F251" s="5" t="s">
        <v>7633</v>
      </c>
      <c r="G251" s="5" t="s">
        <v>7634</v>
      </c>
      <c r="H251" s="5" t="s">
        <v>309</v>
      </c>
      <c r="I251" s="5" t="s">
        <v>1105</v>
      </c>
    </row>
    <row r="252" customFormat="false" ht="23.85" hidden="false" customHeight="false" outlineLevel="0" collapsed="false">
      <c r="A252" s="5" t="s">
        <v>1179</v>
      </c>
      <c r="B252" s="2" t="s">
        <v>1180</v>
      </c>
      <c r="C252" s="5" t="s">
        <v>488</v>
      </c>
      <c r="D252" s="5" t="s">
        <v>60</v>
      </c>
      <c r="E252" s="5" t="s">
        <v>62</v>
      </c>
      <c r="F252" s="5" t="s">
        <v>7633</v>
      </c>
      <c r="G252" s="5" t="s">
        <v>7634</v>
      </c>
      <c r="H252" s="5" t="s">
        <v>309</v>
      </c>
      <c r="I252" s="5" t="s">
        <v>1105</v>
      </c>
    </row>
    <row r="253" customFormat="false" ht="15" hidden="false" customHeight="false" outlineLevel="0" collapsed="false">
      <c r="A253" s="5" t="s">
        <v>1184</v>
      </c>
      <c r="B253" s="2" t="s">
        <v>1185</v>
      </c>
      <c r="C253" s="5" t="s">
        <v>488</v>
      </c>
      <c r="D253" s="5" t="s">
        <v>60</v>
      </c>
      <c r="E253" s="5" t="s">
        <v>62</v>
      </c>
      <c r="F253" s="5" t="s">
        <v>7633</v>
      </c>
      <c r="G253" s="5" t="s">
        <v>7634</v>
      </c>
      <c r="H253" s="5" t="s">
        <v>309</v>
      </c>
      <c r="I253" s="5" t="s">
        <v>1105</v>
      </c>
    </row>
    <row r="254" customFormat="false" ht="15" hidden="false" customHeight="false" outlineLevel="0" collapsed="false">
      <c r="A254" s="5" t="s">
        <v>1189</v>
      </c>
      <c r="B254" s="2" t="s">
        <v>1190</v>
      </c>
      <c r="C254" s="5" t="s">
        <v>488</v>
      </c>
      <c r="D254" s="5" t="s">
        <v>60</v>
      </c>
      <c r="E254" s="5" t="s">
        <v>62</v>
      </c>
      <c r="F254" s="5" t="s">
        <v>7633</v>
      </c>
      <c r="G254" s="5" t="s">
        <v>7733</v>
      </c>
      <c r="H254" s="5"/>
      <c r="I254" s="5" t="s">
        <v>1160</v>
      </c>
    </row>
    <row r="255" customFormat="false" ht="23.85" hidden="false" customHeight="false" outlineLevel="0" collapsed="false">
      <c r="A255" s="5" t="s">
        <v>1196</v>
      </c>
      <c r="B255" s="2" t="s">
        <v>1197</v>
      </c>
      <c r="C255" s="5" t="s">
        <v>488</v>
      </c>
      <c r="D255" s="5" t="s">
        <v>60</v>
      </c>
      <c r="E255" s="5" t="s">
        <v>62</v>
      </c>
      <c r="F255" s="5" t="s">
        <v>269</v>
      </c>
      <c r="G255" s="5" t="s">
        <v>7734</v>
      </c>
      <c r="H255" s="5"/>
      <c r="I255" s="5" t="s">
        <v>1198</v>
      </c>
    </row>
    <row r="256" customFormat="false" ht="23.85" hidden="false" customHeight="false" outlineLevel="0" collapsed="false">
      <c r="A256" s="5" t="s">
        <v>1204</v>
      </c>
      <c r="B256" s="2" t="s">
        <v>1205</v>
      </c>
      <c r="C256" s="5" t="s">
        <v>488</v>
      </c>
      <c r="D256" s="5" t="s">
        <v>60</v>
      </c>
      <c r="E256" s="5" t="s">
        <v>62</v>
      </c>
      <c r="F256" s="5" t="s">
        <v>7667</v>
      </c>
      <c r="G256" s="5" t="s">
        <v>7668</v>
      </c>
      <c r="H256" s="5"/>
      <c r="I256" s="5" t="s">
        <v>416</v>
      </c>
    </row>
    <row r="257" customFormat="false" ht="23.85" hidden="false" customHeight="false" outlineLevel="0" collapsed="false">
      <c r="A257" s="5" t="s">
        <v>1208</v>
      </c>
      <c r="B257" s="2" t="s">
        <v>1209</v>
      </c>
      <c r="C257" s="5" t="s">
        <v>488</v>
      </c>
      <c r="D257" s="5" t="s">
        <v>60</v>
      </c>
      <c r="E257" s="5" t="s">
        <v>62</v>
      </c>
      <c r="F257" s="5" t="s">
        <v>7633</v>
      </c>
      <c r="G257" s="5" t="s">
        <v>7735</v>
      </c>
      <c r="H257" s="5"/>
      <c r="I257" s="5" t="s">
        <v>1212</v>
      </c>
    </row>
    <row r="258" customFormat="false" ht="15" hidden="false" customHeight="false" outlineLevel="0" collapsed="false">
      <c r="A258" s="5" t="s">
        <v>1218</v>
      </c>
      <c r="B258" s="2" t="s">
        <v>1219</v>
      </c>
      <c r="C258" s="5" t="s">
        <v>488</v>
      </c>
      <c r="D258" s="5" t="s">
        <v>60</v>
      </c>
      <c r="E258" s="5" t="s">
        <v>62</v>
      </c>
      <c r="F258" s="5" t="s">
        <v>7633</v>
      </c>
      <c r="G258" s="5" t="s">
        <v>7736</v>
      </c>
      <c r="H258" s="5" t="s">
        <v>1225</v>
      </c>
      <c r="I258" s="5" t="s">
        <v>1221</v>
      </c>
    </row>
    <row r="259" customFormat="false" ht="15" hidden="false" customHeight="false" outlineLevel="0" collapsed="false">
      <c r="A259" s="5" t="s">
        <v>1228</v>
      </c>
      <c r="B259" s="2" t="s">
        <v>1229</v>
      </c>
      <c r="C259" s="5" t="s">
        <v>488</v>
      </c>
      <c r="D259" s="5" t="s">
        <v>60</v>
      </c>
      <c r="E259" s="5" t="s">
        <v>62</v>
      </c>
      <c r="F259" s="5" t="s">
        <v>7633</v>
      </c>
      <c r="G259" s="5" t="s">
        <v>7634</v>
      </c>
      <c r="H259" s="5" t="s">
        <v>309</v>
      </c>
      <c r="I259" s="5" t="s">
        <v>1105</v>
      </c>
    </row>
    <row r="260" customFormat="false" ht="15" hidden="false" customHeight="false" outlineLevel="0" collapsed="false">
      <c r="A260" s="5" t="s">
        <v>1233</v>
      </c>
      <c r="B260" s="2" t="s">
        <v>1234</v>
      </c>
      <c r="C260" s="5" t="s">
        <v>488</v>
      </c>
      <c r="D260" s="5" t="s">
        <v>60</v>
      </c>
      <c r="E260" s="5" t="s">
        <v>62</v>
      </c>
      <c r="F260" s="5" t="s">
        <v>269</v>
      </c>
      <c r="G260" s="5" t="s">
        <v>7723</v>
      </c>
      <c r="H260" s="5" t="s">
        <v>1118</v>
      </c>
      <c r="I260" s="5" t="s">
        <v>1114</v>
      </c>
    </row>
    <row r="261" customFormat="false" ht="23.85" hidden="false" customHeight="false" outlineLevel="0" collapsed="false">
      <c r="A261" s="5" t="s">
        <v>1240</v>
      </c>
      <c r="B261" s="2" t="s">
        <v>1241</v>
      </c>
      <c r="C261" s="5" t="s">
        <v>488</v>
      </c>
      <c r="D261" s="5" t="s">
        <v>60</v>
      </c>
      <c r="E261" s="5" t="s">
        <v>62</v>
      </c>
      <c r="F261" s="5" t="s">
        <v>269</v>
      </c>
      <c r="G261" s="5" t="s">
        <v>7737</v>
      </c>
      <c r="H261" s="5"/>
      <c r="I261" s="5" t="s">
        <v>1242</v>
      </c>
    </row>
    <row r="262" customFormat="false" ht="15" hidden="false" customHeight="false" outlineLevel="0" collapsed="false">
      <c r="A262" s="5" t="s">
        <v>1246</v>
      </c>
      <c r="B262" s="2" t="s">
        <v>1247</v>
      </c>
      <c r="C262" s="5" t="s">
        <v>488</v>
      </c>
      <c r="D262" s="5" t="s">
        <v>60</v>
      </c>
      <c r="E262" s="5" t="s">
        <v>62</v>
      </c>
      <c r="F262" s="5" t="s">
        <v>7633</v>
      </c>
      <c r="G262" s="5" t="s">
        <v>7634</v>
      </c>
      <c r="H262" s="5" t="s">
        <v>309</v>
      </c>
      <c r="I262" s="5" t="s">
        <v>1105</v>
      </c>
    </row>
    <row r="263" customFormat="false" ht="15" hidden="false" customHeight="false" outlineLevel="0" collapsed="false">
      <c r="A263" s="5" t="s">
        <v>1252</v>
      </c>
      <c r="B263" s="2" t="s">
        <v>1253</v>
      </c>
      <c r="C263" s="5" t="s">
        <v>488</v>
      </c>
      <c r="D263" s="5" t="s">
        <v>60</v>
      </c>
      <c r="E263" s="5" t="s">
        <v>62</v>
      </c>
      <c r="F263" s="5" t="s">
        <v>7721</v>
      </c>
      <c r="G263" s="5" t="s">
        <v>7738</v>
      </c>
      <c r="H263" s="5"/>
      <c r="I263" s="5" t="s">
        <v>1255</v>
      </c>
    </row>
    <row r="264" customFormat="false" ht="23.85" hidden="false" customHeight="false" outlineLevel="0" collapsed="false">
      <c r="A264" s="5" t="s">
        <v>1261</v>
      </c>
      <c r="B264" s="2" t="s">
        <v>1262</v>
      </c>
      <c r="C264" s="5" t="s">
        <v>488</v>
      </c>
      <c r="D264" s="5" t="s">
        <v>60</v>
      </c>
      <c r="E264" s="5" t="s">
        <v>62</v>
      </c>
      <c r="F264" s="5" t="s">
        <v>7633</v>
      </c>
      <c r="G264" s="5" t="s">
        <v>7634</v>
      </c>
      <c r="H264" s="5" t="s">
        <v>309</v>
      </c>
      <c r="I264" s="5" t="s">
        <v>1105</v>
      </c>
    </row>
    <row r="265" customFormat="false" ht="15" hidden="false" customHeight="false" outlineLevel="0" collapsed="false">
      <c r="A265" s="5" t="s">
        <v>1266</v>
      </c>
      <c r="B265" s="2" t="s">
        <v>1267</v>
      </c>
      <c r="C265" s="5" t="s">
        <v>488</v>
      </c>
      <c r="D265" s="5" t="s">
        <v>60</v>
      </c>
      <c r="E265" s="5" t="s">
        <v>62</v>
      </c>
      <c r="F265" s="5" t="s">
        <v>7633</v>
      </c>
      <c r="G265" s="5" t="s">
        <v>7634</v>
      </c>
      <c r="H265" s="5" t="s">
        <v>309</v>
      </c>
      <c r="I265" s="5" t="s">
        <v>1105</v>
      </c>
    </row>
    <row r="266" customFormat="false" ht="15" hidden="false" customHeight="false" outlineLevel="0" collapsed="false">
      <c r="A266" s="5" t="s">
        <v>1272</v>
      </c>
      <c r="B266" s="2" t="s">
        <v>1273</v>
      </c>
      <c r="C266" s="5" t="s">
        <v>488</v>
      </c>
      <c r="D266" s="5" t="s">
        <v>60</v>
      </c>
      <c r="E266" s="5" t="s">
        <v>62</v>
      </c>
      <c r="F266" s="5" t="s">
        <v>7633</v>
      </c>
      <c r="G266" s="5" t="s">
        <v>7634</v>
      </c>
      <c r="H266" s="5" t="s">
        <v>309</v>
      </c>
      <c r="I266" s="5" t="s">
        <v>1105</v>
      </c>
    </row>
    <row r="267" customFormat="false" ht="23.85" hidden="false" customHeight="false" outlineLevel="0" collapsed="false">
      <c r="A267" s="5" t="s">
        <v>1277</v>
      </c>
      <c r="B267" s="2" t="s">
        <v>1278</v>
      </c>
      <c r="C267" s="5" t="s">
        <v>488</v>
      </c>
      <c r="D267" s="5" t="s">
        <v>60</v>
      </c>
      <c r="E267" s="5" t="s">
        <v>62</v>
      </c>
      <c r="F267" s="5" t="s">
        <v>7633</v>
      </c>
      <c r="G267" s="5" t="s">
        <v>7634</v>
      </c>
      <c r="H267" s="5" t="s">
        <v>309</v>
      </c>
      <c r="I267" s="5" t="s">
        <v>1105</v>
      </c>
    </row>
    <row r="268" customFormat="false" ht="23.85" hidden="false" customHeight="false" outlineLevel="0" collapsed="false">
      <c r="A268" s="5" t="s">
        <v>1283</v>
      </c>
      <c r="B268" s="2" t="s">
        <v>1284</v>
      </c>
      <c r="C268" s="5" t="s">
        <v>488</v>
      </c>
      <c r="D268" s="5" t="s">
        <v>60</v>
      </c>
      <c r="E268" s="5" t="s">
        <v>62</v>
      </c>
      <c r="F268" s="5" t="s">
        <v>7633</v>
      </c>
      <c r="G268" s="5" t="s">
        <v>7634</v>
      </c>
      <c r="H268" s="5" t="s">
        <v>309</v>
      </c>
      <c r="I268" s="5" t="s">
        <v>1105</v>
      </c>
    </row>
    <row r="269" customFormat="false" ht="15" hidden="false" customHeight="false" outlineLevel="0" collapsed="false">
      <c r="A269" s="5" t="s">
        <v>1288</v>
      </c>
      <c r="B269" s="2" t="s">
        <v>1289</v>
      </c>
      <c r="C269" s="5" t="s">
        <v>488</v>
      </c>
      <c r="D269" s="5" t="s">
        <v>60</v>
      </c>
      <c r="E269" s="5" t="s">
        <v>62</v>
      </c>
      <c r="F269" s="5" t="s">
        <v>7633</v>
      </c>
      <c r="G269" s="5" t="s">
        <v>7634</v>
      </c>
      <c r="H269" s="5" t="s">
        <v>309</v>
      </c>
      <c r="I269" s="5" t="s">
        <v>1105</v>
      </c>
    </row>
    <row r="270" customFormat="false" ht="15" hidden="false" customHeight="false" outlineLevel="0" collapsed="false">
      <c r="A270" s="5" t="s">
        <v>1293</v>
      </c>
      <c r="B270" s="2" t="s">
        <v>1294</v>
      </c>
      <c r="C270" s="5" t="s">
        <v>488</v>
      </c>
      <c r="D270" s="5" t="s">
        <v>60</v>
      </c>
      <c r="E270" s="5" t="s">
        <v>62</v>
      </c>
      <c r="F270" s="5" t="s">
        <v>7633</v>
      </c>
      <c r="G270" s="5" t="s">
        <v>7634</v>
      </c>
      <c r="H270" s="5" t="s">
        <v>309</v>
      </c>
      <c r="I270" s="5" t="s">
        <v>1105</v>
      </c>
    </row>
    <row r="271" customFormat="false" ht="23.85" hidden="false" customHeight="false" outlineLevel="0" collapsed="false">
      <c r="A271" s="5" t="s">
        <v>1299</v>
      </c>
      <c r="B271" s="2" t="s">
        <v>1300</v>
      </c>
      <c r="C271" s="5" t="s">
        <v>488</v>
      </c>
      <c r="D271" s="5" t="s">
        <v>60</v>
      </c>
      <c r="E271" s="5" t="s">
        <v>62</v>
      </c>
      <c r="F271" s="5" t="s">
        <v>7633</v>
      </c>
      <c r="G271" s="5" t="s">
        <v>7736</v>
      </c>
      <c r="H271" s="5" t="s">
        <v>1225</v>
      </c>
      <c r="I271" s="5" t="s">
        <v>1221</v>
      </c>
    </row>
    <row r="272" customFormat="false" ht="23.85" hidden="false" customHeight="false" outlineLevel="0" collapsed="false">
      <c r="A272" s="5" t="s">
        <v>1305</v>
      </c>
      <c r="B272" s="2" t="s">
        <v>1306</v>
      </c>
      <c r="C272" s="5" t="s">
        <v>488</v>
      </c>
      <c r="D272" s="5" t="s">
        <v>60</v>
      </c>
      <c r="E272" s="5" t="s">
        <v>62</v>
      </c>
      <c r="F272" s="5" t="s">
        <v>269</v>
      </c>
      <c r="G272" s="5" t="s">
        <v>7739</v>
      </c>
      <c r="H272" s="5" t="s">
        <v>1311</v>
      </c>
      <c r="I272" s="5" t="s">
        <v>1307</v>
      </c>
    </row>
    <row r="273" customFormat="false" ht="15" hidden="false" customHeight="false" outlineLevel="0" collapsed="false">
      <c r="A273" s="5" t="s">
        <v>1314</v>
      </c>
      <c r="B273" s="2" t="s">
        <v>1315</v>
      </c>
      <c r="C273" s="5" t="s">
        <v>488</v>
      </c>
      <c r="D273" s="5" t="s">
        <v>60</v>
      </c>
      <c r="E273" s="5" t="s">
        <v>62</v>
      </c>
      <c r="F273" s="5" t="s">
        <v>7633</v>
      </c>
      <c r="G273" s="5" t="s">
        <v>7634</v>
      </c>
      <c r="H273" s="5" t="s">
        <v>309</v>
      </c>
      <c r="I273" s="5" t="s">
        <v>1105</v>
      </c>
    </row>
    <row r="274" customFormat="false" ht="23.85" hidden="false" customHeight="false" outlineLevel="0" collapsed="false">
      <c r="A274" s="5" t="s">
        <v>1320</v>
      </c>
      <c r="B274" s="2" t="s">
        <v>1321</v>
      </c>
      <c r="C274" s="5" t="s">
        <v>488</v>
      </c>
      <c r="D274" s="5" t="s">
        <v>60</v>
      </c>
      <c r="E274" s="5" t="s">
        <v>62</v>
      </c>
      <c r="F274" s="5" t="s">
        <v>7633</v>
      </c>
      <c r="G274" s="5" t="s">
        <v>7634</v>
      </c>
      <c r="H274" s="5" t="s">
        <v>309</v>
      </c>
      <c r="I274" s="5" t="s">
        <v>1105</v>
      </c>
    </row>
    <row r="275" customFormat="false" ht="23.85" hidden="false" customHeight="false" outlineLevel="0" collapsed="false">
      <c r="A275" s="5" t="s">
        <v>1326</v>
      </c>
      <c r="B275" s="2" t="s">
        <v>1327</v>
      </c>
      <c r="C275" s="5" t="s">
        <v>488</v>
      </c>
      <c r="D275" s="5" t="s">
        <v>60</v>
      </c>
      <c r="E275" s="5" t="s">
        <v>62</v>
      </c>
      <c r="F275" s="5" t="s">
        <v>7633</v>
      </c>
      <c r="G275" s="5" t="s">
        <v>7634</v>
      </c>
      <c r="H275" s="5" t="s">
        <v>309</v>
      </c>
      <c r="I275" s="5" t="s">
        <v>1105</v>
      </c>
    </row>
    <row r="276" customFormat="false" ht="23.85" hidden="false" customHeight="false" outlineLevel="0" collapsed="false">
      <c r="A276" s="5" t="s">
        <v>1332</v>
      </c>
      <c r="B276" s="2" t="s">
        <v>1333</v>
      </c>
      <c r="C276" s="5" t="s">
        <v>488</v>
      </c>
      <c r="D276" s="5" t="s">
        <v>60</v>
      </c>
      <c r="E276" s="5" t="s">
        <v>62</v>
      </c>
      <c r="F276" s="5" t="s">
        <v>7633</v>
      </c>
      <c r="G276" s="5" t="s">
        <v>7634</v>
      </c>
      <c r="H276" s="5" t="s">
        <v>309</v>
      </c>
      <c r="I276" s="5" t="s">
        <v>1105</v>
      </c>
    </row>
    <row r="277" customFormat="false" ht="23.85" hidden="false" customHeight="false" outlineLevel="0" collapsed="false">
      <c r="A277" s="5" t="s">
        <v>1338</v>
      </c>
      <c r="B277" s="2" t="s">
        <v>1339</v>
      </c>
      <c r="C277" s="5" t="s">
        <v>488</v>
      </c>
      <c r="D277" s="5" t="s">
        <v>60</v>
      </c>
      <c r="E277" s="5" t="s">
        <v>62</v>
      </c>
      <c r="F277" s="5" t="s">
        <v>7633</v>
      </c>
      <c r="G277" s="5" t="s">
        <v>7733</v>
      </c>
      <c r="H277" s="5"/>
      <c r="I277" s="5" t="s">
        <v>1160</v>
      </c>
    </row>
    <row r="278" customFormat="false" ht="23.85" hidden="false" customHeight="false" outlineLevel="0" collapsed="false">
      <c r="A278" s="5" t="s">
        <v>1343</v>
      </c>
      <c r="B278" s="2" t="s">
        <v>1344</v>
      </c>
      <c r="C278" s="5" t="s">
        <v>488</v>
      </c>
      <c r="D278" s="5" t="s">
        <v>60</v>
      </c>
      <c r="E278" s="5" t="s">
        <v>62</v>
      </c>
      <c r="F278" s="5" t="s">
        <v>7633</v>
      </c>
      <c r="G278" s="5" t="s">
        <v>7634</v>
      </c>
      <c r="H278" s="5" t="s">
        <v>309</v>
      </c>
      <c r="I278" s="5" t="s">
        <v>1105</v>
      </c>
    </row>
    <row r="279" customFormat="false" ht="23.85" hidden="false" customHeight="false" outlineLevel="0" collapsed="false">
      <c r="A279" s="5" t="s">
        <v>1349</v>
      </c>
      <c r="B279" s="2" t="s">
        <v>1350</v>
      </c>
      <c r="C279" s="5" t="s">
        <v>488</v>
      </c>
      <c r="D279" s="5" t="s">
        <v>60</v>
      </c>
      <c r="E279" s="5" t="s">
        <v>62</v>
      </c>
      <c r="F279" s="5" t="s">
        <v>7633</v>
      </c>
      <c r="G279" s="5" t="s">
        <v>7634</v>
      </c>
      <c r="H279" s="5" t="s">
        <v>309</v>
      </c>
      <c r="I279" s="5" t="s">
        <v>1105</v>
      </c>
    </row>
    <row r="280" customFormat="false" ht="15" hidden="false" customHeight="false" outlineLevel="0" collapsed="false">
      <c r="A280" s="5" t="s">
        <v>1355</v>
      </c>
      <c r="B280" s="2" t="s">
        <v>1356</v>
      </c>
      <c r="C280" s="5" t="s">
        <v>488</v>
      </c>
      <c r="D280" s="5" t="s">
        <v>60</v>
      </c>
      <c r="E280" s="5" t="s">
        <v>62</v>
      </c>
      <c r="F280" s="5" t="s">
        <v>7633</v>
      </c>
      <c r="G280" s="5" t="s">
        <v>7634</v>
      </c>
      <c r="H280" s="5" t="s">
        <v>309</v>
      </c>
      <c r="I280" s="5" t="s">
        <v>1105</v>
      </c>
    </row>
    <row r="281" customFormat="false" ht="15" hidden="false" customHeight="false" outlineLevel="0" collapsed="false">
      <c r="A281" s="5" t="s">
        <v>1361</v>
      </c>
      <c r="B281" s="2" t="s">
        <v>1362</v>
      </c>
      <c r="C281" s="5" t="s">
        <v>488</v>
      </c>
      <c r="D281" s="5" t="s">
        <v>60</v>
      </c>
      <c r="E281" s="5" t="s">
        <v>62</v>
      </c>
      <c r="F281" s="5" t="s">
        <v>7633</v>
      </c>
      <c r="G281" s="5" t="s">
        <v>7634</v>
      </c>
      <c r="H281" s="5" t="s">
        <v>309</v>
      </c>
      <c r="I281" s="5" t="s">
        <v>1105</v>
      </c>
    </row>
    <row r="282" customFormat="false" ht="15" hidden="false" customHeight="false" outlineLevel="0" collapsed="false">
      <c r="A282" s="5" t="s">
        <v>1367</v>
      </c>
      <c r="B282" s="2" t="s">
        <v>1368</v>
      </c>
      <c r="C282" s="5" t="s">
        <v>488</v>
      </c>
      <c r="D282" s="5" t="s">
        <v>60</v>
      </c>
      <c r="E282" s="5" t="s">
        <v>62</v>
      </c>
      <c r="F282" s="5" t="s">
        <v>7633</v>
      </c>
      <c r="G282" s="5" t="s">
        <v>7634</v>
      </c>
      <c r="H282" s="5" t="s">
        <v>309</v>
      </c>
      <c r="I282" s="5" t="s">
        <v>1105</v>
      </c>
    </row>
    <row r="283" customFormat="false" ht="15" hidden="false" customHeight="false" outlineLevel="0" collapsed="false">
      <c r="A283" s="5" t="s">
        <v>1372</v>
      </c>
      <c r="B283" s="2" t="s">
        <v>1373</v>
      </c>
      <c r="C283" s="5" t="s">
        <v>488</v>
      </c>
      <c r="D283" s="5" t="s">
        <v>60</v>
      </c>
      <c r="E283" s="5" t="s">
        <v>62</v>
      </c>
      <c r="F283" s="5" t="s">
        <v>7633</v>
      </c>
      <c r="G283" s="5" t="s">
        <v>7634</v>
      </c>
      <c r="H283" s="5" t="s">
        <v>309</v>
      </c>
      <c r="I283" s="5" t="s">
        <v>1105</v>
      </c>
    </row>
    <row r="284" customFormat="false" ht="23.85" hidden="false" customHeight="false" outlineLevel="0" collapsed="false">
      <c r="A284" s="5" t="s">
        <v>1377</v>
      </c>
      <c r="B284" s="2" t="s">
        <v>1378</v>
      </c>
      <c r="C284" s="5" t="s">
        <v>488</v>
      </c>
      <c r="D284" s="5" t="s">
        <v>60</v>
      </c>
      <c r="E284" s="5" t="s">
        <v>62</v>
      </c>
      <c r="F284" s="5" t="s">
        <v>7633</v>
      </c>
      <c r="G284" s="5" t="s">
        <v>7634</v>
      </c>
      <c r="H284" s="5" t="s">
        <v>309</v>
      </c>
      <c r="I284" s="5" t="s">
        <v>1105</v>
      </c>
    </row>
    <row r="285" customFormat="false" ht="15" hidden="false" customHeight="false" outlineLevel="0" collapsed="false">
      <c r="A285" s="5" t="s">
        <v>1382</v>
      </c>
      <c r="B285" s="2" t="s">
        <v>1383</v>
      </c>
      <c r="C285" s="5" t="s">
        <v>488</v>
      </c>
      <c r="D285" s="5" t="s">
        <v>60</v>
      </c>
      <c r="E285" s="5" t="s">
        <v>62</v>
      </c>
      <c r="F285" s="5" t="s">
        <v>7633</v>
      </c>
      <c r="G285" s="5" t="s">
        <v>7634</v>
      </c>
      <c r="H285" s="5" t="s">
        <v>309</v>
      </c>
      <c r="I285" s="5" t="s">
        <v>1105</v>
      </c>
    </row>
    <row r="286" customFormat="false" ht="15" hidden="false" customHeight="false" outlineLevel="0" collapsed="false">
      <c r="A286" s="5" t="s">
        <v>1388</v>
      </c>
      <c r="B286" s="2" t="s">
        <v>1389</v>
      </c>
      <c r="C286" s="5" t="s">
        <v>488</v>
      </c>
      <c r="D286" s="5" t="s">
        <v>60</v>
      </c>
      <c r="E286" s="5" t="s">
        <v>62</v>
      </c>
      <c r="F286" s="5" t="s">
        <v>7633</v>
      </c>
      <c r="G286" s="5" t="s">
        <v>7634</v>
      </c>
      <c r="H286" s="5" t="s">
        <v>309</v>
      </c>
      <c r="I286" s="5" t="s">
        <v>1105</v>
      </c>
    </row>
    <row r="287" customFormat="false" ht="23.85" hidden="false" customHeight="false" outlineLevel="0" collapsed="false">
      <c r="A287" s="5" t="s">
        <v>1394</v>
      </c>
      <c r="B287" s="2" t="s">
        <v>1395</v>
      </c>
      <c r="C287" s="5" t="s">
        <v>488</v>
      </c>
      <c r="D287" s="5" t="s">
        <v>60</v>
      </c>
      <c r="E287" s="5" t="s">
        <v>62</v>
      </c>
      <c r="F287" s="5" t="s">
        <v>7633</v>
      </c>
      <c r="G287" s="5" t="s">
        <v>7634</v>
      </c>
      <c r="H287" s="5" t="s">
        <v>309</v>
      </c>
      <c r="I287" s="5" t="s">
        <v>1105</v>
      </c>
    </row>
    <row r="288" customFormat="false" ht="23.85" hidden="false" customHeight="false" outlineLevel="0" collapsed="false">
      <c r="A288" s="5" t="s">
        <v>1400</v>
      </c>
      <c r="B288" s="2" t="s">
        <v>1401</v>
      </c>
      <c r="C288" s="5" t="s">
        <v>488</v>
      </c>
      <c r="D288" s="5" t="s">
        <v>60</v>
      </c>
      <c r="E288" s="5" t="s">
        <v>62</v>
      </c>
      <c r="F288" s="5" t="s">
        <v>7633</v>
      </c>
      <c r="G288" s="5" t="s">
        <v>7659</v>
      </c>
      <c r="H288" s="5" t="s">
        <v>372</v>
      </c>
      <c r="I288" s="5" t="s">
        <v>368</v>
      </c>
    </row>
    <row r="289" customFormat="false" ht="23.85" hidden="false" customHeight="false" outlineLevel="0" collapsed="false">
      <c r="A289" s="5" t="s">
        <v>1407</v>
      </c>
      <c r="B289" s="2" t="s">
        <v>1408</v>
      </c>
      <c r="C289" s="5" t="s">
        <v>488</v>
      </c>
      <c r="D289" s="5" t="s">
        <v>60</v>
      </c>
      <c r="E289" s="5" t="s">
        <v>62</v>
      </c>
      <c r="F289" s="5" t="s">
        <v>7633</v>
      </c>
      <c r="G289" s="5" t="s">
        <v>7634</v>
      </c>
      <c r="H289" s="5" t="s">
        <v>309</v>
      </c>
      <c r="I289" s="5" t="s">
        <v>1105</v>
      </c>
    </row>
    <row r="290" customFormat="false" ht="23.85" hidden="false" customHeight="false" outlineLevel="0" collapsed="false">
      <c r="A290" s="5" t="s">
        <v>1413</v>
      </c>
      <c r="B290" s="2" t="s">
        <v>1414</v>
      </c>
      <c r="C290" s="5" t="s">
        <v>488</v>
      </c>
      <c r="D290" s="5" t="s">
        <v>60</v>
      </c>
      <c r="E290" s="5" t="s">
        <v>62</v>
      </c>
      <c r="F290" s="5" t="s">
        <v>7633</v>
      </c>
      <c r="G290" s="5" t="s">
        <v>7733</v>
      </c>
      <c r="H290" s="5"/>
      <c r="I290" s="5" t="s">
        <v>1160</v>
      </c>
    </row>
    <row r="291" customFormat="false" ht="15" hidden="false" customHeight="false" outlineLevel="0" collapsed="false">
      <c r="A291" s="5" t="s">
        <v>1418</v>
      </c>
      <c r="B291" s="2" t="s">
        <v>1419</v>
      </c>
      <c r="C291" s="5" t="s">
        <v>488</v>
      </c>
      <c r="D291" s="5" t="s">
        <v>60</v>
      </c>
      <c r="E291" s="5" t="s">
        <v>62</v>
      </c>
      <c r="F291" s="5" t="s">
        <v>7633</v>
      </c>
      <c r="G291" s="5" t="s">
        <v>7634</v>
      </c>
      <c r="H291" s="5" t="s">
        <v>309</v>
      </c>
      <c r="I291" s="5" t="s">
        <v>1105</v>
      </c>
    </row>
    <row r="292" customFormat="false" ht="15" hidden="false" customHeight="false" outlineLevel="0" collapsed="false">
      <c r="A292" s="5" t="s">
        <v>1423</v>
      </c>
      <c r="B292" s="2" t="s">
        <v>1424</v>
      </c>
      <c r="C292" s="5" t="s">
        <v>488</v>
      </c>
      <c r="D292" s="5" t="s">
        <v>60</v>
      </c>
      <c r="E292" s="5" t="s">
        <v>62</v>
      </c>
      <c r="F292" s="5" t="s">
        <v>7633</v>
      </c>
      <c r="G292" s="5" t="s">
        <v>7634</v>
      </c>
      <c r="H292" s="5" t="s">
        <v>309</v>
      </c>
      <c r="I292" s="5" t="s">
        <v>1105</v>
      </c>
    </row>
    <row r="293" customFormat="false" ht="23.85" hidden="false" customHeight="false" outlineLevel="0" collapsed="false">
      <c r="A293" s="5" t="s">
        <v>1429</v>
      </c>
      <c r="B293" s="2" t="s">
        <v>1430</v>
      </c>
      <c r="C293" s="5" t="s">
        <v>488</v>
      </c>
      <c r="D293" s="5" t="s">
        <v>60</v>
      </c>
      <c r="E293" s="5" t="s">
        <v>62</v>
      </c>
      <c r="F293" s="5" t="s">
        <v>7633</v>
      </c>
      <c r="G293" s="5" t="s">
        <v>7634</v>
      </c>
      <c r="H293" s="5" t="s">
        <v>309</v>
      </c>
      <c r="I293" s="5" t="s">
        <v>1105</v>
      </c>
    </row>
    <row r="294" customFormat="false" ht="15" hidden="false" customHeight="false" outlineLevel="0" collapsed="false">
      <c r="A294" s="5" t="s">
        <v>1435</v>
      </c>
      <c r="B294" s="2" t="s">
        <v>1436</v>
      </c>
      <c r="C294" s="5" t="s">
        <v>488</v>
      </c>
      <c r="D294" s="5" t="s">
        <v>60</v>
      </c>
      <c r="E294" s="5" t="s">
        <v>62</v>
      </c>
      <c r="F294" s="5" t="s">
        <v>269</v>
      </c>
      <c r="G294" s="5" t="s">
        <v>7740</v>
      </c>
      <c r="H294" s="5" t="s">
        <v>346</v>
      </c>
      <c r="I294" s="5" t="s">
        <v>7741</v>
      </c>
    </row>
    <row r="295" customFormat="false" ht="15" hidden="false" customHeight="false" outlineLevel="0" collapsed="false">
      <c r="A295" s="5" t="s">
        <v>1435</v>
      </c>
      <c r="B295" s="2" t="s">
        <v>1436</v>
      </c>
      <c r="C295" s="5" t="s">
        <v>488</v>
      </c>
      <c r="D295" s="5" t="s">
        <v>60</v>
      </c>
      <c r="E295" s="5" t="s">
        <v>62</v>
      </c>
      <c r="F295" s="5" t="s">
        <v>269</v>
      </c>
      <c r="G295" s="5" t="s">
        <v>7657</v>
      </c>
      <c r="H295" s="5" t="s">
        <v>346</v>
      </c>
      <c r="I295" s="5" t="s">
        <v>7742</v>
      </c>
    </row>
    <row r="296" customFormat="false" ht="15" hidden="false" customHeight="false" outlineLevel="0" collapsed="false">
      <c r="A296" s="5" t="s">
        <v>1435</v>
      </c>
      <c r="B296" s="2" t="s">
        <v>1436</v>
      </c>
      <c r="C296" s="5" t="s">
        <v>488</v>
      </c>
      <c r="D296" s="5" t="s">
        <v>60</v>
      </c>
      <c r="E296" s="5" t="s">
        <v>62</v>
      </c>
      <c r="F296" s="5" t="s">
        <v>269</v>
      </c>
      <c r="G296" s="5" t="s">
        <v>7743</v>
      </c>
      <c r="H296" s="5" t="s">
        <v>346</v>
      </c>
      <c r="I296" s="5" t="s">
        <v>7744</v>
      </c>
    </row>
    <row r="297" customFormat="false" ht="15" hidden="false" customHeight="false" outlineLevel="0" collapsed="false">
      <c r="A297" s="5" t="s">
        <v>1435</v>
      </c>
      <c r="B297" s="2" t="s">
        <v>1436</v>
      </c>
      <c r="C297" s="5" t="s">
        <v>488</v>
      </c>
      <c r="D297" s="5" t="s">
        <v>60</v>
      </c>
      <c r="E297" s="5" t="s">
        <v>62</v>
      </c>
      <c r="F297" s="5" t="s">
        <v>7721</v>
      </c>
      <c r="G297" s="5" t="s">
        <v>64</v>
      </c>
      <c r="H297" s="5"/>
      <c r="I297" s="5" t="s">
        <v>7745</v>
      </c>
    </row>
    <row r="298" customFormat="false" ht="23.85" hidden="false" customHeight="false" outlineLevel="0" collapsed="false">
      <c r="A298" s="5" t="s">
        <v>1444</v>
      </c>
      <c r="B298" s="2" t="s">
        <v>1445</v>
      </c>
      <c r="C298" s="5" t="s">
        <v>488</v>
      </c>
      <c r="D298" s="5" t="s">
        <v>60</v>
      </c>
      <c r="E298" s="5" t="s">
        <v>62</v>
      </c>
      <c r="F298" s="5" t="s">
        <v>7633</v>
      </c>
      <c r="G298" s="5" t="s">
        <v>7634</v>
      </c>
      <c r="H298" s="5" t="s">
        <v>309</v>
      </c>
      <c r="I298" s="5" t="s">
        <v>1105</v>
      </c>
    </row>
    <row r="299" customFormat="false" ht="23.85" hidden="false" customHeight="false" outlineLevel="0" collapsed="false">
      <c r="A299" s="5" t="s">
        <v>1450</v>
      </c>
      <c r="B299" s="2" t="s">
        <v>1451</v>
      </c>
      <c r="C299" s="5" t="s">
        <v>488</v>
      </c>
      <c r="D299" s="5" t="s">
        <v>60</v>
      </c>
      <c r="E299" s="5" t="s">
        <v>62</v>
      </c>
      <c r="F299" s="5" t="s">
        <v>7633</v>
      </c>
      <c r="G299" s="5" t="s">
        <v>7634</v>
      </c>
      <c r="H299" s="5" t="s">
        <v>309</v>
      </c>
      <c r="I299" s="5" t="s">
        <v>1105</v>
      </c>
    </row>
    <row r="300" customFormat="false" ht="23.85" hidden="false" customHeight="false" outlineLevel="0" collapsed="false">
      <c r="A300" s="5" t="s">
        <v>1455</v>
      </c>
      <c r="B300" s="2" t="s">
        <v>1456</v>
      </c>
      <c r="C300" s="5" t="s">
        <v>488</v>
      </c>
      <c r="D300" s="5" t="s">
        <v>60</v>
      </c>
      <c r="E300" s="5" t="s">
        <v>62</v>
      </c>
      <c r="F300" s="5" t="s">
        <v>269</v>
      </c>
      <c r="G300" s="5" t="s">
        <v>7746</v>
      </c>
      <c r="H300" s="5"/>
      <c r="I300" s="5" t="s">
        <v>1581</v>
      </c>
    </row>
    <row r="301" customFormat="false" ht="23.85" hidden="false" customHeight="false" outlineLevel="0" collapsed="false">
      <c r="A301" s="5" t="s">
        <v>1455</v>
      </c>
      <c r="B301" s="2" t="s">
        <v>1456</v>
      </c>
      <c r="C301" s="5" t="s">
        <v>488</v>
      </c>
      <c r="D301" s="5" t="s">
        <v>60</v>
      </c>
      <c r="E301" s="5" t="s">
        <v>62</v>
      </c>
      <c r="F301" s="5" t="s">
        <v>269</v>
      </c>
      <c r="G301" s="5" t="s">
        <v>7747</v>
      </c>
      <c r="H301" s="5"/>
      <c r="I301" s="5" t="s">
        <v>1976</v>
      </c>
    </row>
    <row r="302" customFormat="false" ht="23.85" hidden="false" customHeight="false" outlineLevel="0" collapsed="false">
      <c r="A302" s="5" t="s">
        <v>1463</v>
      </c>
      <c r="B302" s="2" t="s">
        <v>1464</v>
      </c>
      <c r="C302" s="5" t="s">
        <v>488</v>
      </c>
      <c r="D302" s="5" t="s">
        <v>60</v>
      </c>
      <c r="E302" s="5" t="s">
        <v>62</v>
      </c>
      <c r="F302" s="5" t="s">
        <v>7633</v>
      </c>
      <c r="G302" s="5" t="s">
        <v>7659</v>
      </c>
      <c r="H302" s="5" t="s">
        <v>372</v>
      </c>
      <c r="I302" s="5" t="s">
        <v>368</v>
      </c>
    </row>
    <row r="303" customFormat="false" ht="23.85" hidden="false" customHeight="false" outlineLevel="0" collapsed="false">
      <c r="A303" s="5" t="s">
        <v>1469</v>
      </c>
      <c r="B303" s="2" t="s">
        <v>1470</v>
      </c>
      <c r="C303" s="5" t="s">
        <v>488</v>
      </c>
      <c r="D303" s="5" t="s">
        <v>60</v>
      </c>
      <c r="E303" s="5" t="s">
        <v>62</v>
      </c>
      <c r="F303" s="5" t="s">
        <v>7633</v>
      </c>
      <c r="G303" s="5" t="s">
        <v>7659</v>
      </c>
      <c r="H303" s="5" t="s">
        <v>372</v>
      </c>
      <c r="I303" s="5" t="s">
        <v>368</v>
      </c>
    </row>
    <row r="304" customFormat="false" ht="23.85" hidden="false" customHeight="false" outlineLevel="0" collapsed="false">
      <c r="A304" s="5" t="s">
        <v>1474</v>
      </c>
      <c r="B304" s="2" t="s">
        <v>1475</v>
      </c>
      <c r="C304" s="5" t="s">
        <v>488</v>
      </c>
      <c r="D304" s="5" t="s">
        <v>60</v>
      </c>
      <c r="E304" s="5" t="s">
        <v>62</v>
      </c>
      <c r="F304" s="5" t="s">
        <v>7633</v>
      </c>
      <c r="G304" s="5" t="s">
        <v>7659</v>
      </c>
      <c r="H304" s="5" t="s">
        <v>372</v>
      </c>
      <c r="I304" s="5" t="s">
        <v>368</v>
      </c>
    </row>
    <row r="305" customFormat="false" ht="23.85" hidden="false" customHeight="false" outlineLevel="0" collapsed="false">
      <c r="A305" s="5" t="s">
        <v>1480</v>
      </c>
      <c r="B305" s="2" t="s">
        <v>1481</v>
      </c>
      <c r="C305" s="5" t="s">
        <v>488</v>
      </c>
      <c r="D305" s="5" t="s">
        <v>60</v>
      </c>
      <c r="E305" s="5" t="s">
        <v>62</v>
      </c>
      <c r="F305" s="5" t="s">
        <v>7633</v>
      </c>
      <c r="G305" s="5" t="s">
        <v>7733</v>
      </c>
      <c r="H305" s="5"/>
      <c r="I305" s="5" t="s">
        <v>1160</v>
      </c>
    </row>
    <row r="306" customFormat="false" ht="15" hidden="false" customHeight="false" outlineLevel="0" collapsed="false">
      <c r="A306" s="5" t="s">
        <v>1485</v>
      </c>
      <c r="B306" s="2" t="s">
        <v>1486</v>
      </c>
      <c r="C306" s="5" t="s">
        <v>488</v>
      </c>
      <c r="D306" s="5" t="s">
        <v>60</v>
      </c>
      <c r="E306" s="5" t="s">
        <v>62</v>
      </c>
      <c r="F306" s="5" t="s">
        <v>7633</v>
      </c>
      <c r="G306" s="5" t="s">
        <v>7733</v>
      </c>
      <c r="H306" s="5"/>
      <c r="I306" s="5" t="s">
        <v>1160</v>
      </c>
    </row>
    <row r="307" customFormat="false" ht="23.85" hidden="false" customHeight="false" outlineLevel="0" collapsed="false">
      <c r="A307" s="5" t="s">
        <v>1490</v>
      </c>
      <c r="B307" s="2" t="s">
        <v>1491</v>
      </c>
      <c r="C307" s="5" t="s">
        <v>488</v>
      </c>
      <c r="D307" s="5" t="s">
        <v>60</v>
      </c>
      <c r="E307" s="5" t="s">
        <v>62</v>
      </c>
      <c r="F307" s="5" t="s">
        <v>7633</v>
      </c>
      <c r="G307" s="5" t="s">
        <v>7634</v>
      </c>
      <c r="H307" s="5" t="s">
        <v>309</v>
      </c>
      <c r="I307" s="5" t="s">
        <v>1105</v>
      </c>
    </row>
    <row r="308" customFormat="false" ht="23.85" hidden="false" customHeight="false" outlineLevel="0" collapsed="false">
      <c r="A308" s="5" t="s">
        <v>1495</v>
      </c>
      <c r="B308" s="2" t="s">
        <v>1496</v>
      </c>
      <c r="C308" s="5" t="s">
        <v>488</v>
      </c>
      <c r="D308" s="5" t="s">
        <v>60</v>
      </c>
      <c r="E308" s="5" t="s">
        <v>62</v>
      </c>
      <c r="F308" s="5" t="s">
        <v>7633</v>
      </c>
      <c r="G308" s="5" t="s">
        <v>7634</v>
      </c>
      <c r="H308" s="5" t="s">
        <v>309</v>
      </c>
      <c r="I308" s="5" t="s">
        <v>1105</v>
      </c>
    </row>
    <row r="309" customFormat="false" ht="15" hidden="false" customHeight="false" outlineLevel="0" collapsed="false">
      <c r="A309" s="5" t="s">
        <v>1500</v>
      </c>
      <c r="B309" s="2" t="s">
        <v>1501</v>
      </c>
      <c r="C309" s="5" t="s">
        <v>488</v>
      </c>
      <c r="D309" s="5" t="s">
        <v>60</v>
      </c>
      <c r="E309" s="5" t="s">
        <v>62</v>
      </c>
      <c r="F309" s="5" t="s">
        <v>269</v>
      </c>
      <c r="G309" s="5" t="s">
        <v>7723</v>
      </c>
      <c r="H309" s="5" t="s">
        <v>1118</v>
      </c>
      <c r="I309" s="5" t="s">
        <v>1114</v>
      </c>
    </row>
    <row r="310" customFormat="false" ht="15" hidden="false" customHeight="false" outlineLevel="0" collapsed="false">
      <c r="A310" s="5" t="s">
        <v>1506</v>
      </c>
      <c r="B310" s="2" t="s">
        <v>1507</v>
      </c>
      <c r="C310" s="5" t="s">
        <v>488</v>
      </c>
      <c r="D310" s="5" t="s">
        <v>60</v>
      </c>
      <c r="E310" s="5" t="s">
        <v>62</v>
      </c>
      <c r="F310" s="5" t="s">
        <v>7633</v>
      </c>
      <c r="G310" s="5" t="s">
        <v>7733</v>
      </c>
      <c r="H310" s="5"/>
      <c r="I310" s="5" t="s">
        <v>1160</v>
      </c>
    </row>
    <row r="311" customFormat="false" ht="23.85" hidden="false" customHeight="false" outlineLevel="0" collapsed="false">
      <c r="A311" s="5" t="s">
        <v>1511</v>
      </c>
      <c r="B311" s="2" t="s">
        <v>1512</v>
      </c>
      <c r="C311" s="5" t="s">
        <v>488</v>
      </c>
      <c r="D311" s="5" t="s">
        <v>60</v>
      </c>
      <c r="E311" s="5" t="s">
        <v>62</v>
      </c>
      <c r="F311" s="5" t="s">
        <v>7721</v>
      </c>
      <c r="G311" s="5" t="s">
        <v>7748</v>
      </c>
      <c r="H311" s="5"/>
      <c r="I311" s="5" t="s">
        <v>1514</v>
      </c>
    </row>
    <row r="312" customFormat="false" ht="23.85" hidden="false" customHeight="false" outlineLevel="0" collapsed="false">
      <c r="A312" s="5" t="s">
        <v>1519</v>
      </c>
      <c r="B312" s="2" t="s">
        <v>1520</v>
      </c>
      <c r="C312" s="5" t="s">
        <v>488</v>
      </c>
      <c r="D312" s="5" t="s">
        <v>60</v>
      </c>
      <c r="E312" s="5" t="s">
        <v>62</v>
      </c>
      <c r="F312" s="5" t="s">
        <v>7633</v>
      </c>
      <c r="G312" s="5" t="s">
        <v>7634</v>
      </c>
      <c r="H312" s="5" t="s">
        <v>309</v>
      </c>
      <c r="I312" s="5" t="s">
        <v>1105</v>
      </c>
    </row>
    <row r="313" customFormat="false" ht="23.85" hidden="false" customHeight="false" outlineLevel="0" collapsed="false">
      <c r="A313" s="5" t="s">
        <v>1524</v>
      </c>
      <c r="B313" s="2" t="s">
        <v>1525</v>
      </c>
      <c r="C313" s="5" t="s">
        <v>488</v>
      </c>
      <c r="D313" s="5" t="s">
        <v>60</v>
      </c>
      <c r="E313" s="5" t="s">
        <v>62</v>
      </c>
      <c r="F313" s="5" t="s">
        <v>7633</v>
      </c>
      <c r="G313" s="5" t="s">
        <v>7634</v>
      </c>
      <c r="H313" s="5" t="s">
        <v>309</v>
      </c>
      <c r="I313" s="5" t="s">
        <v>1105</v>
      </c>
    </row>
    <row r="314" customFormat="false" ht="23.85" hidden="false" customHeight="false" outlineLevel="0" collapsed="false">
      <c r="A314" s="5" t="s">
        <v>1529</v>
      </c>
      <c r="B314" s="2" t="s">
        <v>1530</v>
      </c>
      <c r="C314" s="5" t="s">
        <v>488</v>
      </c>
      <c r="D314" s="5" t="s">
        <v>60</v>
      </c>
      <c r="E314" s="5" t="s">
        <v>62</v>
      </c>
      <c r="F314" s="5" t="s">
        <v>269</v>
      </c>
      <c r="G314" s="5" t="s">
        <v>7749</v>
      </c>
      <c r="H314" s="5" t="s">
        <v>1537</v>
      </c>
      <c r="I314" s="5" t="s">
        <v>1533</v>
      </c>
    </row>
    <row r="315" customFormat="false" ht="15" hidden="false" customHeight="false" outlineLevel="0" collapsed="false">
      <c r="A315" s="5" t="s">
        <v>1540</v>
      </c>
      <c r="B315" s="2" t="s">
        <v>1541</v>
      </c>
      <c r="C315" s="5" t="s">
        <v>488</v>
      </c>
      <c r="D315" s="5" t="s">
        <v>60</v>
      </c>
      <c r="E315" s="5" t="s">
        <v>62</v>
      </c>
      <c r="F315" s="5" t="s">
        <v>7633</v>
      </c>
      <c r="G315" s="5" t="s">
        <v>7733</v>
      </c>
      <c r="H315" s="5"/>
      <c r="I315" s="5" t="s">
        <v>1160</v>
      </c>
    </row>
    <row r="316" customFormat="false" ht="15" hidden="false" customHeight="false" outlineLevel="0" collapsed="false">
      <c r="A316" s="5" t="s">
        <v>1545</v>
      </c>
      <c r="B316" s="2" t="s">
        <v>1546</v>
      </c>
      <c r="C316" s="5" t="s">
        <v>488</v>
      </c>
      <c r="D316" s="5" t="s">
        <v>60</v>
      </c>
      <c r="E316" s="5" t="s">
        <v>62</v>
      </c>
      <c r="F316" s="5" t="s">
        <v>7633</v>
      </c>
      <c r="G316" s="5" t="s">
        <v>7733</v>
      </c>
      <c r="H316" s="5"/>
      <c r="I316" s="5" t="s">
        <v>1160</v>
      </c>
    </row>
    <row r="317" customFormat="false" ht="23.85" hidden="false" customHeight="false" outlineLevel="0" collapsed="false">
      <c r="A317" s="5" t="s">
        <v>1550</v>
      </c>
      <c r="B317" s="2" t="s">
        <v>1551</v>
      </c>
      <c r="C317" s="5" t="s">
        <v>488</v>
      </c>
      <c r="D317" s="5" t="s">
        <v>60</v>
      </c>
      <c r="E317" s="5" t="s">
        <v>62</v>
      </c>
      <c r="F317" s="5" t="s">
        <v>7633</v>
      </c>
      <c r="G317" s="5" t="s">
        <v>7733</v>
      </c>
      <c r="H317" s="5"/>
      <c r="I317" s="5" t="s">
        <v>1160</v>
      </c>
    </row>
    <row r="318" customFormat="false" ht="23.85" hidden="false" customHeight="false" outlineLevel="0" collapsed="false">
      <c r="A318" s="5" t="s">
        <v>1556</v>
      </c>
      <c r="B318" s="2" t="s">
        <v>1557</v>
      </c>
      <c r="C318" s="5" t="s">
        <v>488</v>
      </c>
      <c r="D318" s="5" t="s">
        <v>60</v>
      </c>
      <c r="E318" s="5" t="s">
        <v>62</v>
      </c>
      <c r="F318" s="5" t="s">
        <v>7633</v>
      </c>
      <c r="G318" s="5" t="s">
        <v>7733</v>
      </c>
      <c r="H318" s="5"/>
      <c r="I318" s="5" t="s">
        <v>1160</v>
      </c>
    </row>
    <row r="319" customFormat="false" ht="15" hidden="false" customHeight="false" outlineLevel="0" collapsed="false">
      <c r="A319" s="5" t="s">
        <v>1561</v>
      </c>
      <c r="B319" s="2" t="s">
        <v>1562</v>
      </c>
      <c r="C319" s="5" t="s">
        <v>488</v>
      </c>
      <c r="D319" s="5" t="s">
        <v>60</v>
      </c>
      <c r="E319" s="5" t="s">
        <v>62</v>
      </c>
      <c r="F319" s="5" t="s">
        <v>7721</v>
      </c>
      <c r="G319" s="5" t="s">
        <v>7738</v>
      </c>
      <c r="H319" s="5"/>
      <c r="I319" s="5" t="s">
        <v>7750</v>
      </c>
    </row>
    <row r="320" customFormat="false" ht="23.85" hidden="false" customHeight="false" outlineLevel="0" collapsed="false">
      <c r="A320" s="5" t="s">
        <v>1567</v>
      </c>
      <c r="B320" s="2" t="s">
        <v>1568</v>
      </c>
      <c r="C320" s="5" t="s">
        <v>488</v>
      </c>
      <c r="D320" s="5" t="s">
        <v>60</v>
      </c>
      <c r="E320" s="5" t="s">
        <v>62</v>
      </c>
      <c r="F320" s="5" t="s">
        <v>269</v>
      </c>
      <c r="G320" s="5" t="s">
        <v>7751</v>
      </c>
      <c r="H320" s="5"/>
      <c r="I320" s="5" t="s">
        <v>1569</v>
      </c>
    </row>
    <row r="321" customFormat="false" ht="15" hidden="false" customHeight="false" outlineLevel="0" collapsed="false">
      <c r="A321" s="5" t="s">
        <v>1573</v>
      </c>
      <c r="B321" s="2" t="s">
        <v>1574</v>
      </c>
      <c r="C321" s="5" t="s">
        <v>488</v>
      </c>
      <c r="D321" s="5" t="s">
        <v>60</v>
      </c>
      <c r="E321" s="5" t="s">
        <v>62</v>
      </c>
      <c r="F321" s="5" t="s">
        <v>7633</v>
      </c>
      <c r="G321" s="5" t="s">
        <v>7634</v>
      </c>
      <c r="H321" s="5" t="s">
        <v>309</v>
      </c>
      <c r="I321" s="5" t="s">
        <v>1105</v>
      </c>
    </row>
    <row r="322" customFormat="false" ht="15" hidden="false" customHeight="false" outlineLevel="0" collapsed="false">
      <c r="A322" s="5" t="s">
        <v>1579</v>
      </c>
      <c r="B322" s="2" t="s">
        <v>1580</v>
      </c>
      <c r="C322" s="5" t="s">
        <v>488</v>
      </c>
      <c r="D322" s="5" t="s">
        <v>60</v>
      </c>
      <c r="E322" s="5" t="s">
        <v>62</v>
      </c>
      <c r="F322" s="5" t="s">
        <v>269</v>
      </c>
      <c r="G322" s="5" t="s">
        <v>7746</v>
      </c>
      <c r="H322" s="5"/>
      <c r="I322" s="5" t="s">
        <v>1581</v>
      </c>
    </row>
    <row r="323" customFormat="false" ht="23.85" hidden="false" customHeight="false" outlineLevel="0" collapsed="false">
      <c r="A323" s="5" t="s">
        <v>1587</v>
      </c>
      <c r="B323" s="2" t="s">
        <v>1588</v>
      </c>
      <c r="C323" s="5" t="s">
        <v>488</v>
      </c>
      <c r="D323" s="5" t="s">
        <v>60</v>
      </c>
      <c r="E323" s="5" t="s">
        <v>62</v>
      </c>
      <c r="F323" s="5" t="s">
        <v>7633</v>
      </c>
      <c r="G323" s="5" t="s">
        <v>7634</v>
      </c>
      <c r="H323" s="5" t="s">
        <v>309</v>
      </c>
      <c r="I323" s="5" t="s">
        <v>1105</v>
      </c>
    </row>
    <row r="324" customFormat="false" ht="23.85" hidden="false" customHeight="false" outlineLevel="0" collapsed="false">
      <c r="A324" s="5" t="s">
        <v>1592</v>
      </c>
      <c r="B324" s="2" t="s">
        <v>1593</v>
      </c>
      <c r="C324" s="5" t="s">
        <v>488</v>
      </c>
      <c r="D324" s="5" t="s">
        <v>60</v>
      </c>
      <c r="E324" s="5" t="s">
        <v>62</v>
      </c>
      <c r="F324" s="5" t="s">
        <v>269</v>
      </c>
      <c r="G324" s="5" t="s">
        <v>7740</v>
      </c>
      <c r="H324" s="5" t="s">
        <v>346</v>
      </c>
      <c r="I324" s="5" t="s">
        <v>7741</v>
      </c>
    </row>
    <row r="325" customFormat="false" ht="15" hidden="false" customHeight="false" outlineLevel="0" collapsed="false">
      <c r="A325" s="5" t="s">
        <v>1601</v>
      </c>
      <c r="B325" s="2" t="s">
        <v>1602</v>
      </c>
      <c r="C325" s="5" t="s">
        <v>488</v>
      </c>
      <c r="D325" s="5" t="s">
        <v>60</v>
      </c>
      <c r="E325" s="5" t="s">
        <v>62</v>
      </c>
      <c r="F325" s="5" t="s">
        <v>269</v>
      </c>
      <c r="G325" s="5" t="s">
        <v>7752</v>
      </c>
      <c r="H325" s="5"/>
      <c r="I325" s="5" t="s">
        <v>7753</v>
      </c>
    </row>
    <row r="326" customFormat="false" ht="15" hidden="false" customHeight="false" outlineLevel="0" collapsed="false">
      <c r="A326" s="5" t="s">
        <v>1601</v>
      </c>
      <c r="B326" s="2" t="s">
        <v>1602</v>
      </c>
      <c r="C326" s="5" t="s">
        <v>488</v>
      </c>
      <c r="D326" s="5" t="s">
        <v>60</v>
      </c>
      <c r="E326" s="5" t="s">
        <v>62</v>
      </c>
      <c r="F326" s="5" t="s">
        <v>269</v>
      </c>
      <c r="G326" s="5" t="s">
        <v>7637</v>
      </c>
      <c r="H326" s="5" t="s">
        <v>214</v>
      </c>
      <c r="I326" s="5" t="s">
        <v>210</v>
      </c>
    </row>
    <row r="327" customFormat="false" ht="23.85" hidden="false" customHeight="false" outlineLevel="0" collapsed="false">
      <c r="A327" s="5" t="s">
        <v>1610</v>
      </c>
      <c r="B327" s="2" t="s">
        <v>1611</v>
      </c>
      <c r="C327" s="5" t="s">
        <v>488</v>
      </c>
      <c r="D327" s="5" t="s">
        <v>60</v>
      </c>
      <c r="E327" s="5" t="s">
        <v>62</v>
      </c>
      <c r="F327" s="5" t="s">
        <v>269</v>
      </c>
      <c r="G327" s="5" t="s">
        <v>7754</v>
      </c>
      <c r="H327" s="5"/>
      <c r="I327" s="5" t="s">
        <v>1612</v>
      </c>
    </row>
    <row r="328" customFormat="false" ht="23.85" hidden="false" customHeight="false" outlineLevel="0" collapsed="false">
      <c r="A328" s="5" t="s">
        <v>1618</v>
      </c>
      <c r="B328" s="2" t="s">
        <v>1619</v>
      </c>
      <c r="C328" s="5" t="s">
        <v>488</v>
      </c>
      <c r="D328" s="5" t="s">
        <v>60</v>
      </c>
      <c r="E328" s="5" t="s">
        <v>62</v>
      </c>
      <c r="F328" s="5" t="s">
        <v>269</v>
      </c>
      <c r="G328" s="5" t="s">
        <v>7754</v>
      </c>
      <c r="H328" s="5"/>
      <c r="I328" s="5" t="s">
        <v>1612</v>
      </c>
    </row>
    <row r="329" customFormat="false" ht="15" hidden="false" customHeight="false" outlineLevel="0" collapsed="false">
      <c r="A329" s="5" t="s">
        <v>1624</v>
      </c>
      <c r="B329" s="2" t="s">
        <v>1625</v>
      </c>
      <c r="C329" s="5" t="s">
        <v>488</v>
      </c>
      <c r="D329" s="5" t="s">
        <v>60</v>
      </c>
      <c r="E329" s="5" t="s">
        <v>62</v>
      </c>
      <c r="F329" s="5" t="s">
        <v>269</v>
      </c>
      <c r="G329" s="5" t="s">
        <v>7637</v>
      </c>
      <c r="H329" s="5" t="s">
        <v>214</v>
      </c>
      <c r="I329" s="5" t="s">
        <v>210</v>
      </c>
    </row>
    <row r="330" customFormat="false" ht="23.85" hidden="false" customHeight="false" outlineLevel="0" collapsed="false">
      <c r="A330" s="5" t="s">
        <v>1630</v>
      </c>
      <c r="B330" s="2" t="s">
        <v>1631</v>
      </c>
      <c r="C330" s="5" t="s">
        <v>488</v>
      </c>
      <c r="D330" s="5" t="s">
        <v>60</v>
      </c>
      <c r="E330" s="5" t="s">
        <v>62</v>
      </c>
      <c r="F330" s="5" t="s">
        <v>7721</v>
      </c>
      <c r="G330" s="5" t="s">
        <v>7755</v>
      </c>
      <c r="H330" s="5"/>
      <c r="I330" s="5" t="s">
        <v>1632</v>
      </c>
    </row>
    <row r="331" customFormat="false" ht="23.85" hidden="false" customHeight="false" outlineLevel="0" collapsed="false">
      <c r="A331" s="5" t="s">
        <v>1638</v>
      </c>
      <c r="B331" s="2" t="s">
        <v>1639</v>
      </c>
      <c r="C331" s="5" t="s">
        <v>488</v>
      </c>
      <c r="D331" s="5" t="s">
        <v>60</v>
      </c>
      <c r="E331" s="5" t="s">
        <v>62</v>
      </c>
      <c r="F331" s="5" t="s">
        <v>269</v>
      </c>
      <c r="G331" s="5" t="s">
        <v>7723</v>
      </c>
      <c r="H331" s="5" t="s">
        <v>1118</v>
      </c>
      <c r="I331" s="5" t="s">
        <v>1114</v>
      </c>
    </row>
    <row r="332" customFormat="false" ht="15" hidden="false" customHeight="false" outlineLevel="0" collapsed="false">
      <c r="A332" s="5" t="s">
        <v>1644</v>
      </c>
      <c r="B332" s="2" t="s">
        <v>1645</v>
      </c>
      <c r="C332" s="5" t="s">
        <v>488</v>
      </c>
      <c r="D332" s="5" t="s">
        <v>60</v>
      </c>
      <c r="E332" s="5" t="s">
        <v>62</v>
      </c>
      <c r="F332" s="5" t="s">
        <v>7633</v>
      </c>
      <c r="G332" s="5" t="s">
        <v>7634</v>
      </c>
      <c r="H332" s="5" t="s">
        <v>309</v>
      </c>
      <c r="I332" s="5" t="s">
        <v>1105</v>
      </c>
    </row>
    <row r="333" customFormat="false" ht="23.85" hidden="false" customHeight="false" outlineLevel="0" collapsed="false">
      <c r="A333" s="5" t="s">
        <v>1650</v>
      </c>
      <c r="B333" s="2" t="s">
        <v>1651</v>
      </c>
      <c r="C333" s="5" t="s">
        <v>488</v>
      </c>
      <c r="D333" s="5" t="s">
        <v>60</v>
      </c>
      <c r="E333" s="5" t="s">
        <v>62</v>
      </c>
      <c r="F333" s="5" t="s">
        <v>7633</v>
      </c>
      <c r="G333" s="5" t="s">
        <v>7659</v>
      </c>
      <c r="H333" s="5" t="s">
        <v>372</v>
      </c>
      <c r="I333" s="5" t="s">
        <v>368</v>
      </c>
    </row>
    <row r="334" customFormat="false" ht="23.85" hidden="false" customHeight="false" outlineLevel="0" collapsed="false">
      <c r="A334" s="5" t="s">
        <v>1656</v>
      </c>
      <c r="B334" s="2" t="s">
        <v>1657</v>
      </c>
      <c r="C334" s="5" t="s">
        <v>488</v>
      </c>
      <c r="D334" s="5" t="s">
        <v>60</v>
      </c>
      <c r="E334" s="5" t="s">
        <v>62</v>
      </c>
      <c r="F334" s="5" t="s">
        <v>7633</v>
      </c>
      <c r="G334" s="5" t="s">
        <v>7634</v>
      </c>
      <c r="H334" s="5" t="s">
        <v>309</v>
      </c>
      <c r="I334" s="5" t="s">
        <v>1105</v>
      </c>
    </row>
    <row r="335" customFormat="false" ht="23.85" hidden="false" customHeight="false" outlineLevel="0" collapsed="false">
      <c r="A335" s="5" t="s">
        <v>1662</v>
      </c>
      <c r="B335" s="2" t="s">
        <v>1663</v>
      </c>
      <c r="C335" s="5" t="s">
        <v>488</v>
      </c>
      <c r="D335" s="5" t="s">
        <v>60</v>
      </c>
      <c r="E335" s="5" t="s">
        <v>62</v>
      </c>
      <c r="F335" s="5" t="s">
        <v>7633</v>
      </c>
      <c r="G335" s="5" t="s">
        <v>7634</v>
      </c>
      <c r="H335" s="5" t="s">
        <v>309</v>
      </c>
      <c r="I335" s="5" t="s">
        <v>1105</v>
      </c>
    </row>
    <row r="336" customFormat="false" ht="23.85" hidden="false" customHeight="false" outlineLevel="0" collapsed="false">
      <c r="A336" s="5" t="s">
        <v>1667</v>
      </c>
      <c r="B336" s="2" t="s">
        <v>1668</v>
      </c>
      <c r="C336" s="5" t="s">
        <v>488</v>
      </c>
      <c r="D336" s="5" t="s">
        <v>60</v>
      </c>
      <c r="E336" s="5" t="s">
        <v>62</v>
      </c>
      <c r="F336" s="5" t="s">
        <v>7633</v>
      </c>
      <c r="G336" s="5" t="s">
        <v>7634</v>
      </c>
      <c r="H336" s="5" t="s">
        <v>309</v>
      </c>
      <c r="I336" s="5" t="s">
        <v>1105</v>
      </c>
    </row>
    <row r="337" customFormat="false" ht="15" hidden="false" customHeight="false" outlineLevel="0" collapsed="false">
      <c r="A337" s="5" t="s">
        <v>1672</v>
      </c>
      <c r="B337" s="2" t="s">
        <v>1673</v>
      </c>
      <c r="C337" s="5" t="s">
        <v>488</v>
      </c>
      <c r="D337" s="5" t="s">
        <v>60</v>
      </c>
      <c r="E337" s="5" t="s">
        <v>62</v>
      </c>
      <c r="F337" s="5" t="s">
        <v>269</v>
      </c>
      <c r="G337" s="5" t="s">
        <v>7749</v>
      </c>
      <c r="H337" s="5" t="s">
        <v>1537</v>
      </c>
      <c r="I337" s="5" t="s">
        <v>1533</v>
      </c>
    </row>
    <row r="338" customFormat="false" ht="23.85" hidden="false" customHeight="false" outlineLevel="0" collapsed="false">
      <c r="A338" s="5" t="s">
        <v>1681</v>
      </c>
      <c r="B338" s="2" t="s">
        <v>1682</v>
      </c>
      <c r="C338" s="5" t="s">
        <v>488</v>
      </c>
      <c r="D338" s="5" t="s">
        <v>60</v>
      </c>
      <c r="E338" s="5" t="s">
        <v>62</v>
      </c>
      <c r="F338" s="5" t="s">
        <v>7633</v>
      </c>
      <c r="G338" s="5" t="s">
        <v>7634</v>
      </c>
      <c r="H338" s="5" t="s">
        <v>309</v>
      </c>
      <c r="I338" s="5" t="s">
        <v>1105</v>
      </c>
    </row>
    <row r="339" customFormat="false" ht="23.85" hidden="false" customHeight="false" outlineLevel="0" collapsed="false">
      <c r="A339" s="5" t="s">
        <v>1686</v>
      </c>
      <c r="B339" s="2" t="s">
        <v>1687</v>
      </c>
      <c r="C339" s="5" t="s">
        <v>488</v>
      </c>
      <c r="D339" s="5" t="s">
        <v>60</v>
      </c>
      <c r="E339" s="5" t="s">
        <v>62</v>
      </c>
      <c r="F339" s="5" t="s">
        <v>7633</v>
      </c>
      <c r="G339" s="5" t="s">
        <v>7634</v>
      </c>
      <c r="H339" s="5" t="s">
        <v>309</v>
      </c>
      <c r="I339" s="5" t="s">
        <v>1105</v>
      </c>
    </row>
    <row r="340" customFormat="false" ht="15" hidden="false" customHeight="false" outlineLevel="0" collapsed="false">
      <c r="A340" s="5" t="s">
        <v>1691</v>
      </c>
      <c r="B340" s="2" t="s">
        <v>1692</v>
      </c>
      <c r="C340" s="5" t="s">
        <v>488</v>
      </c>
      <c r="D340" s="5" t="s">
        <v>60</v>
      </c>
      <c r="E340" s="5" t="s">
        <v>62</v>
      </c>
      <c r="F340" s="5" t="s">
        <v>7633</v>
      </c>
      <c r="G340" s="5" t="s">
        <v>7733</v>
      </c>
      <c r="H340" s="5"/>
      <c r="I340" s="5" t="s">
        <v>1160</v>
      </c>
    </row>
    <row r="341" customFormat="false" ht="23.85" hidden="false" customHeight="false" outlineLevel="0" collapsed="false">
      <c r="A341" s="5" t="s">
        <v>1696</v>
      </c>
      <c r="B341" s="2" t="s">
        <v>1697</v>
      </c>
      <c r="C341" s="5" t="s">
        <v>488</v>
      </c>
      <c r="D341" s="5" t="s">
        <v>60</v>
      </c>
      <c r="E341" s="5" t="s">
        <v>62</v>
      </c>
      <c r="F341" s="5" t="s">
        <v>7633</v>
      </c>
      <c r="G341" s="5" t="s">
        <v>7634</v>
      </c>
      <c r="H341" s="5" t="s">
        <v>309</v>
      </c>
      <c r="I341" s="5" t="s">
        <v>1105</v>
      </c>
    </row>
    <row r="342" customFormat="false" ht="23.85" hidden="false" customHeight="false" outlineLevel="0" collapsed="false">
      <c r="A342" s="5" t="s">
        <v>1701</v>
      </c>
      <c r="B342" s="2" t="s">
        <v>1702</v>
      </c>
      <c r="C342" s="5" t="s">
        <v>488</v>
      </c>
      <c r="D342" s="5" t="s">
        <v>60</v>
      </c>
      <c r="E342" s="5" t="s">
        <v>62</v>
      </c>
      <c r="F342" s="5" t="s">
        <v>269</v>
      </c>
      <c r="G342" s="5" t="s">
        <v>7746</v>
      </c>
      <c r="H342" s="5"/>
      <c r="I342" s="5" t="s">
        <v>1581</v>
      </c>
    </row>
    <row r="343" customFormat="false" ht="23.85" hidden="false" customHeight="false" outlineLevel="0" collapsed="false">
      <c r="A343" s="5" t="s">
        <v>1701</v>
      </c>
      <c r="B343" s="2" t="s">
        <v>1702</v>
      </c>
      <c r="C343" s="5" t="s">
        <v>488</v>
      </c>
      <c r="D343" s="5" t="s">
        <v>60</v>
      </c>
      <c r="E343" s="5" t="s">
        <v>62</v>
      </c>
      <c r="F343" s="5" t="s">
        <v>269</v>
      </c>
      <c r="G343" s="5" t="s">
        <v>7747</v>
      </c>
      <c r="H343" s="5"/>
      <c r="I343" s="5" t="s">
        <v>1976</v>
      </c>
    </row>
    <row r="344" customFormat="false" ht="23.85" hidden="false" customHeight="false" outlineLevel="0" collapsed="false">
      <c r="A344" s="5" t="s">
        <v>1707</v>
      </c>
      <c r="B344" s="2" t="s">
        <v>1708</v>
      </c>
      <c r="C344" s="5" t="s">
        <v>488</v>
      </c>
      <c r="D344" s="5" t="s">
        <v>60</v>
      </c>
      <c r="E344" s="5" t="s">
        <v>62</v>
      </c>
      <c r="F344" s="5" t="s">
        <v>7633</v>
      </c>
      <c r="G344" s="5" t="s">
        <v>7634</v>
      </c>
      <c r="H344" s="5" t="s">
        <v>309</v>
      </c>
      <c r="I344" s="5" t="s">
        <v>1105</v>
      </c>
    </row>
    <row r="345" customFormat="false" ht="23.85" hidden="false" customHeight="false" outlineLevel="0" collapsed="false">
      <c r="A345" s="5" t="s">
        <v>1712</v>
      </c>
      <c r="B345" s="2" t="s">
        <v>1713</v>
      </c>
      <c r="C345" s="5" t="s">
        <v>488</v>
      </c>
      <c r="D345" s="5" t="s">
        <v>60</v>
      </c>
      <c r="E345" s="5" t="s">
        <v>62</v>
      </c>
      <c r="F345" s="5" t="s">
        <v>7633</v>
      </c>
      <c r="G345" s="5" t="s">
        <v>7735</v>
      </c>
      <c r="H345" s="5"/>
      <c r="I345" s="5" t="s">
        <v>1212</v>
      </c>
    </row>
    <row r="346" customFormat="false" ht="15" hidden="false" customHeight="false" outlineLevel="0" collapsed="false">
      <c r="A346" s="5" t="s">
        <v>1719</v>
      </c>
      <c r="B346" s="2" t="s">
        <v>1720</v>
      </c>
      <c r="C346" s="5" t="s">
        <v>488</v>
      </c>
      <c r="D346" s="5" t="s">
        <v>60</v>
      </c>
      <c r="E346" s="5" t="s">
        <v>62</v>
      </c>
      <c r="F346" s="5" t="s">
        <v>7633</v>
      </c>
      <c r="G346" s="5" t="s">
        <v>7634</v>
      </c>
      <c r="H346" s="5" t="s">
        <v>309</v>
      </c>
      <c r="I346" s="5" t="s">
        <v>1105</v>
      </c>
    </row>
    <row r="347" customFormat="false" ht="15" hidden="false" customHeight="false" outlineLevel="0" collapsed="false">
      <c r="A347" s="5" t="s">
        <v>1725</v>
      </c>
      <c r="B347" s="2" t="s">
        <v>1726</v>
      </c>
      <c r="C347" s="5" t="s">
        <v>488</v>
      </c>
      <c r="D347" s="5" t="s">
        <v>60</v>
      </c>
      <c r="E347" s="5" t="s">
        <v>62</v>
      </c>
      <c r="F347" s="5" t="s">
        <v>7633</v>
      </c>
      <c r="G347" s="5" t="s">
        <v>7634</v>
      </c>
      <c r="H347" s="5" t="s">
        <v>309</v>
      </c>
      <c r="I347" s="5" t="s">
        <v>1105</v>
      </c>
    </row>
    <row r="348" customFormat="false" ht="23.85" hidden="false" customHeight="false" outlineLevel="0" collapsed="false">
      <c r="A348" s="5" t="s">
        <v>1730</v>
      </c>
      <c r="B348" s="2" t="s">
        <v>1731</v>
      </c>
      <c r="C348" s="5" t="s">
        <v>488</v>
      </c>
      <c r="D348" s="5" t="s">
        <v>60</v>
      </c>
      <c r="E348" s="5" t="s">
        <v>62</v>
      </c>
      <c r="F348" s="5" t="s">
        <v>269</v>
      </c>
      <c r="G348" s="5" t="s">
        <v>7637</v>
      </c>
      <c r="H348" s="5" t="s">
        <v>214</v>
      </c>
      <c r="I348" s="5" t="s">
        <v>210</v>
      </c>
    </row>
    <row r="349" customFormat="false" ht="23.85" hidden="false" customHeight="false" outlineLevel="0" collapsed="false">
      <c r="A349" s="5" t="s">
        <v>1736</v>
      </c>
      <c r="B349" s="2" t="s">
        <v>1737</v>
      </c>
      <c r="C349" s="5" t="s">
        <v>488</v>
      </c>
      <c r="D349" s="5" t="s">
        <v>60</v>
      </c>
      <c r="E349" s="5" t="s">
        <v>62</v>
      </c>
      <c r="F349" s="5" t="s">
        <v>7633</v>
      </c>
      <c r="G349" s="5" t="s">
        <v>7634</v>
      </c>
      <c r="H349" s="5" t="s">
        <v>309</v>
      </c>
      <c r="I349" s="5" t="s">
        <v>1105</v>
      </c>
    </row>
    <row r="350" customFormat="false" ht="15" hidden="false" customHeight="false" outlineLevel="0" collapsed="false">
      <c r="A350" s="5" t="s">
        <v>1741</v>
      </c>
      <c r="B350" s="2" t="s">
        <v>1742</v>
      </c>
      <c r="C350" s="5" t="s">
        <v>488</v>
      </c>
      <c r="D350" s="5" t="s">
        <v>60</v>
      </c>
      <c r="E350" s="5" t="s">
        <v>62</v>
      </c>
      <c r="F350" s="5" t="s">
        <v>7633</v>
      </c>
      <c r="G350" s="5" t="s">
        <v>7634</v>
      </c>
      <c r="H350" s="5" t="s">
        <v>309</v>
      </c>
      <c r="I350" s="5" t="s">
        <v>1105</v>
      </c>
    </row>
    <row r="351" customFormat="false" ht="15" hidden="false" customHeight="false" outlineLevel="0" collapsed="false">
      <c r="A351" s="5" t="s">
        <v>1746</v>
      </c>
      <c r="B351" s="2" t="s">
        <v>1747</v>
      </c>
      <c r="C351" s="5" t="s">
        <v>488</v>
      </c>
      <c r="D351" s="5" t="s">
        <v>60</v>
      </c>
      <c r="E351" s="5" t="s">
        <v>62</v>
      </c>
      <c r="F351" s="5" t="s">
        <v>7633</v>
      </c>
      <c r="G351" s="5" t="s">
        <v>7634</v>
      </c>
      <c r="H351" s="5" t="s">
        <v>309</v>
      </c>
      <c r="I351" s="5" t="s">
        <v>1105</v>
      </c>
    </row>
    <row r="352" customFormat="false" ht="23.85" hidden="false" customHeight="false" outlineLevel="0" collapsed="false">
      <c r="A352" s="5" t="s">
        <v>1751</v>
      </c>
      <c r="B352" s="2" t="s">
        <v>1752</v>
      </c>
      <c r="C352" s="5" t="s">
        <v>488</v>
      </c>
      <c r="D352" s="5" t="s">
        <v>60</v>
      </c>
      <c r="E352" s="5" t="s">
        <v>62</v>
      </c>
      <c r="F352" s="5" t="s">
        <v>7633</v>
      </c>
      <c r="G352" s="5" t="s">
        <v>7634</v>
      </c>
      <c r="H352" s="5" t="s">
        <v>309</v>
      </c>
      <c r="I352" s="5" t="s">
        <v>1105</v>
      </c>
    </row>
    <row r="353" customFormat="false" ht="15" hidden="false" customHeight="false" outlineLevel="0" collapsed="false">
      <c r="A353" s="5" t="s">
        <v>1757</v>
      </c>
      <c r="B353" s="2" t="s">
        <v>1758</v>
      </c>
      <c r="C353" s="5" t="s">
        <v>488</v>
      </c>
      <c r="D353" s="5" t="s">
        <v>60</v>
      </c>
      <c r="E353" s="5" t="s">
        <v>62</v>
      </c>
      <c r="F353" s="5" t="s">
        <v>7633</v>
      </c>
      <c r="G353" s="5" t="s">
        <v>7634</v>
      </c>
      <c r="H353" s="5" t="s">
        <v>309</v>
      </c>
      <c r="I353" s="5" t="s">
        <v>1105</v>
      </c>
    </row>
    <row r="354" customFormat="false" ht="23.85" hidden="false" customHeight="false" outlineLevel="0" collapsed="false">
      <c r="A354" s="5" t="s">
        <v>1762</v>
      </c>
      <c r="B354" s="2" t="s">
        <v>1763</v>
      </c>
      <c r="C354" s="5" t="s">
        <v>488</v>
      </c>
      <c r="D354" s="5" t="s">
        <v>60</v>
      </c>
      <c r="E354" s="5" t="s">
        <v>62</v>
      </c>
      <c r="F354" s="5" t="s">
        <v>7633</v>
      </c>
      <c r="G354" s="5" t="s">
        <v>7733</v>
      </c>
      <c r="H354" s="5"/>
      <c r="I354" s="5" t="s">
        <v>1160</v>
      </c>
    </row>
    <row r="355" customFormat="false" ht="23.85" hidden="false" customHeight="false" outlineLevel="0" collapsed="false">
      <c r="A355" s="5" t="s">
        <v>1768</v>
      </c>
      <c r="B355" s="2" t="s">
        <v>1769</v>
      </c>
      <c r="C355" s="5" t="s">
        <v>488</v>
      </c>
      <c r="D355" s="5" t="s">
        <v>60</v>
      </c>
      <c r="E355" s="5" t="s">
        <v>62</v>
      </c>
      <c r="F355" s="5" t="s">
        <v>7633</v>
      </c>
      <c r="G355" s="5" t="s">
        <v>7634</v>
      </c>
      <c r="H355" s="5" t="s">
        <v>309</v>
      </c>
      <c r="I355" s="5" t="s">
        <v>1105</v>
      </c>
    </row>
    <row r="356" customFormat="false" ht="23.85" hidden="false" customHeight="false" outlineLevel="0" collapsed="false">
      <c r="A356" s="5" t="s">
        <v>1773</v>
      </c>
      <c r="B356" s="2" t="s">
        <v>1774</v>
      </c>
      <c r="C356" s="5" t="s">
        <v>488</v>
      </c>
      <c r="D356" s="5" t="s">
        <v>60</v>
      </c>
      <c r="E356" s="5" t="s">
        <v>62</v>
      </c>
      <c r="F356" s="5" t="s">
        <v>7633</v>
      </c>
      <c r="G356" s="5" t="s">
        <v>7634</v>
      </c>
      <c r="H356" s="5" t="s">
        <v>309</v>
      </c>
      <c r="I356" s="5" t="s">
        <v>1105</v>
      </c>
    </row>
    <row r="357" customFormat="false" ht="23.85" hidden="false" customHeight="false" outlineLevel="0" collapsed="false">
      <c r="A357" s="5" t="s">
        <v>1778</v>
      </c>
      <c r="B357" s="2" t="s">
        <v>1779</v>
      </c>
      <c r="C357" s="5" t="s">
        <v>488</v>
      </c>
      <c r="D357" s="5" t="s">
        <v>60</v>
      </c>
      <c r="E357" s="5" t="s">
        <v>62</v>
      </c>
      <c r="F357" s="5" t="s">
        <v>7633</v>
      </c>
      <c r="G357" s="5" t="s">
        <v>7733</v>
      </c>
      <c r="H357" s="5"/>
      <c r="I357" s="5" t="s">
        <v>1160</v>
      </c>
    </row>
    <row r="358" customFormat="false" ht="15" hidden="false" customHeight="false" outlineLevel="0" collapsed="false">
      <c r="A358" s="5" t="s">
        <v>1783</v>
      </c>
      <c r="B358" s="2" t="s">
        <v>1784</v>
      </c>
      <c r="C358" s="5" t="s">
        <v>488</v>
      </c>
      <c r="D358" s="5" t="s">
        <v>60</v>
      </c>
      <c r="E358" s="5" t="s">
        <v>62</v>
      </c>
      <c r="F358" s="5" t="s">
        <v>7633</v>
      </c>
      <c r="G358" s="5" t="s">
        <v>7634</v>
      </c>
      <c r="H358" s="5" t="s">
        <v>309</v>
      </c>
      <c r="I358" s="5" t="s">
        <v>1105</v>
      </c>
    </row>
    <row r="359" customFormat="false" ht="23.85" hidden="false" customHeight="false" outlineLevel="0" collapsed="false">
      <c r="A359" s="5" t="s">
        <v>1788</v>
      </c>
      <c r="B359" s="2" t="s">
        <v>1789</v>
      </c>
      <c r="C359" s="5" t="s">
        <v>488</v>
      </c>
      <c r="D359" s="5" t="s">
        <v>60</v>
      </c>
      <c r="E359" s="5" t="s">
        <v>62</v>
      </c>
      <c r="F359" s="5" t="s">
        <v>7633</v>
      </c>
      <c r="G359" s="5" t="s">
        <v>7634</v>
      </c>
      <c r="H359" s="5" t="s">
        <v>309</v>
      </c>
      <c r="I359" s="5" t="s">
        <v>1105</v>
      </c>
    </row>
    <row r="360" customFormat="false" ht="15" hidden="false" customHeight="false" outlineLevel="0" collapsed="false">
      <c r="A360" s="5" t="s">
        <v>1794</v>
      </c>
      <c r="B360" s="2" t="s">
        <v>1795</v>
      </c>
      <c r="C360" s="5" t="s">
        <v>488</v>
      </c>
      <c r="D360" s="5" t="s">
        <v>60</v>
      </c>
      <c r="E360" s="5" t="s">
        <v>62</v>
      </c>
      <c r="F360" s="5" t="s">
        <v>7633</v>
      </c>
      <c r="G360" s="5" t="s">
        <v>7733</v>
      </c>
      <c r="H360" s="5"/>
      <c r="I360" s="5" t="s">
        <v>1160</v>
      </c>
    </row>
    <row r="361" customFormat="false" ht="23.85" hidden="false" customHeight="false" outlineLevel="0" collapsed="false">
      <c r="A361" s="5" t="s">
        <v>1799</v>
      </c>
      <c r="B361" s="2" t="s">
        <v>1800</v>
      </c>
      <c r="C361" s="5" t="s">
        <v>488</v>
      </c>
      <c r="D361" s="5" t="s">
        <v>60</v>
      </c>
      <c r="E361" s="5" t="s">
        <v>62</v>
      </c>
      <c r="F361" s="5" t="s">
        <v>269</v>
      </c>
      <c r="G361" s="5" t="s">
        <v>7756</v>
      </c>
      <c r="H361" s="5"/>
      <c r="I361" s="5" t="s">
        <v>1801</v>
      </c>
    </row>
    <row r="362" customFormat="false" ht="15" hidden="false" customHeight="false" outlineLevel="0" collapsed="false">
      <c r="A362" s="5" t="s">
        <v>1807</v>
      </c>
      <c r="B362" s="2" t="s">
        <v>1808</v>
      </c>
      <c r="C362" s="5" t="s">
        <v>488</v>
      </c>
      <c r="D362" s="5" t="s">
        <v>60</v>
      </c>
      <c r="E362" s="5" t="s">
        <v>62</v>
      </c>
      <c r="F362" s="5" t="s">
        <v>7633</v>
      </c>
      <c r="G362" s="5" t="s">
        <v>7634</v>
      </c>
      <c r="H362" s="5" t="s">
        <v>309</v>
      </c>
      <c r="I362" s="5" t="s">
        <v>1105</v>
      </c>
    </row>
    <row r="363" customFormat="false" ht="23.85" hidden="false" customHeight="false" outlineLevel="0" collapsed="false">
      <c r="A363" s="5" t="s">
        <v>1812</v>
      </c>
      <c r="B363" s="2" t="s">
        <v>1813</v>
      </c>
      <c r="C363" s="5" t="s">
        <v>488</v>
      </c>
      <c r="D363" s="5" t="s">
        <v>60</v>
      </c>
      <c r="E363" s="5" t="s">
        <v>62</v>
      </c>
      <c r="F363" s="5" t="s">
        <v>7633</v>
      </c>
      <c r="G363" s="5" t="s">
        <v>7634</v>
      </c>
      <c r="H363" s="5" t="s">
        <v>309</v>
      </c>
      <c r="I363" s="5" t="s">
        <v>1105</v>
      </c>
    </row>
    <row r="364" customFormat="false" ht="23.85" hidden="false" customHeight="false" outlineLevel="0" collapsed="false">
      <c r="A364" s="5" t="s">
        <v>1819</v>
      </c>
      <c r="B364" s="2" t="s">
        <v>1820</v>
      </c>
      <c r="C364" s="5" t="s">
        <v>488</v>
      </c>
      <c r="D364" s="5" t="s">
        <v>60</v>
      </c>
      <c r="E364" s="5" t="s">
        <v>62</v>
      </c>
      <c r="F364" s="5" t="s">
        <v>7633</v>
      </c>
      <c r="G364" s="5" t="s">
        <v>7659</v>
      </c>
      <c r="H364" s="5" t="s">
        <v>372</v>
      </c>
      <c r="I364" s="5" t="s">
        <v>368</v>
      </c>
    </row>
    <row r="365" customFormat="false" ht="15" hidden="false" customHeight="false" outlineLevel="0" collapsed="false">
      <c r="A365" s="5" t="s">
        <v>1825</v>
      </c>
      <c r="B365" s="2" t="s">
        <v>1826</v>
      </c>
      <c r="C365" s="5" t="s">
        <v>488</v>
      </c>
      <c r="D365" s="5" t="s">
        <v>60</v>
      </c>
      <c r="E365" s="5" t="s">
        <v>62</v>
      </c>
      <c r="F365" s="5" t="s">
        <v>7633</v>
      </c>
      <c r="G365" s="5" t="s">
        <v>7634</v>
      </c>
      <c r="H365" s="5" t="s">
        <v>309</v>
      </c>
      <c r="I365" s="5" t="s">
        <v>1105</v>
      </c>
    </row>
    <row r="366" customFormat="false" ht="23.85" hidden="false" customHeight="false" outlineLevel="0" collapsed="false">
      <c r="A366" s="5" t="s">
        <v>1831</v>
      </c>
      <c r="B366" s="2" t="s">
        <v>1832</v>
      </c>
      <c r="C366" s="5" t="s">
        <v>488</v>
      </c>
      <c r="D366" s="5" t="s">
        <v>60</v>
      </c>
      <c r="E366" s="5" t="s">
        <v>62</v>
      </c>
      <c r="F366" s="5" t="s">
        <v>7633</v>
      </c>
      <c r="G366" s="5" t="s">
        <v>7634</v>
      </c>
      <c r="H366" s="5" t="s">
        <v>309</v>
      </c>
      <c r="I366" s="5" t="s">
        <v>1105</v>
      </c>
    </row>
    <row r="367" customFormat="false" ht="23.85" hidden="false" customHeight="false" outlineLevel="0" collapsed="false">
      <c r="A367" s="5" t="s">
        <v>1837</v>
      </c>
      <c r="B367" s="2" t="s">
        <v>1838</v>
      </c>
      <c r="C367" s="5" t="s">
        <v>488</v>
      </c>
      <c r="D367" s="5" t="s">
        <v>60</v>
      </c>
      <c r="E367" s="5" t="s">
        <v>62</v>
      </c>
      <c r="F367" s="5" t="s">
        <v>7633</v>
      </c>
      <c r="G367" s="5" t="s">
        <v>7634</v>
      </c>
      <c r="H367" s="5" t="s">
        <v>309</v>
      </c>
      <c r="I367" s="5" t="s">
        <v>1105</v>
      </c>
    </row>
    <row r="368" customFormat="false" ht="15" hidden="false" customHeight="false" outlineLevel="0" collapsed="false">
      <c r="A368" s="5" t="s">
        <v>1842</v>
      </c>
      <c r="B368" s="2" t="s">
        <v>1843</v>
      </c>
      <c r="C368" s="5" t="s">
        <v>488</v>
      </c>
      <c r="D368" s="5" t="s">
        <v>60</v>
      </c>
      <c r="E368" s="5" t="s">
        <v>62</v>
      </c>
      <c r="F368" s="5" t="s">
        <v>7633</v>
      </c>
      <c r="G368" s="5" t="s">
        <v>7634</v>
      </c>
      <c r="H368" s="5" t="s">
        <v>309</v>
      </c>
      <c r="I368" s="5" t="s">
        <v>1105</v>
      </c>
    </row>
    <row r="369" customFormat="false" ht="15" hidden="false" customHeight="false" outlineLevel="0" collapsed="false">
      <c r="A369" s="5" t="s">
        <v>1848</v>
      </c>
      <c r="B369" s="2" t="s">
        <v>1849</v>
      </c>
      <c r="C369" s="5" t="s">
        <v>488</v>
      </c>
      <c r="D369" s="5" t="s">
        <v>60</v>
      </c>
      <c r="E369" s="5" t="s">
        <v>62</v>
      </c>
      <c r="F369" s="5" t="s">
        <v>7633</v>
      </c>
      <c r="G369" s="5" t="s">
        <v>7733</v>
      </c>
      <c r="H369" s="5"/>
      <c r="I369" s="5" t="s">
        <v>1160</v>
      </c>
    </row>
    <row r="370" customFormat="false" ht="15" hidden="false" customHeight="false" outlineLevel="0" collapsed="false">
      <c r="A370" s="5" t="s">
        <v>1853</v>
      </c>
      <c r="B370" s="2" t="s">
        <v>1854</v>
      </c>
      <c r="C370" s="5" t="s">
        <v>488</v>
      </c>
      <c r="D370" s="5" t="s">
        <v>60</v>
      </c>
      <c r="E370" s="5" t="s">
        <v>62</v>
      </c>
      <c r="F370" s="5" t="s">
        <v>269</v>
      </c>
      <c r="G370" s="5" t="s">
        <v>7746</v>
      </c>
      <c r="H370" s="5"/>
      <c r="I370" s="5" t="s">
        <v>1581</v>
      </c>
    </row>
    <row r="371" customFormat="false" ht="23.85" hidden="false" customHeight="false" outlineLevel="0" collapsed="false">
      <c r="A371" s="5" t="s">
        <v>1860</v>
      </c>
      <c r="B371" s="2" t="s">
        <v>1861</v>
      </c>
      <c r="C371" s="5" t="s">
        <v>488</v>
      </c>
      <c r="D371" s="5" t="s">
        <v>60</v>
      </c>
      <c r="E371" s="5" t="s">
        <v>62</v>
      </c>
      <c r="F371" s="5" t="s">
        <v>7633</v>
      </c>
      <c r="G371" s="5" t="s">
        <v>7736</v>
      </c>
      <c r="H371" s="5" t="s">
        <v>1225</v>
      </c>
      <c r="I371" s="5" t="s">
        <v>1221</v>
      </c>
    </row>
    <row r="372" customFormat="false" ht="23.85" hidden="false" customHeight="false" outlineLevel="0" collapsed="false">
      <c r="A372" s="5" t="s">
        <v>1865</v>
      </c>
      <c r="B372" s="2" t="s">
        <v>1866</v>
      </c>
      <c r="C372" s="5" t="s">
        <v>488</v>
      </c>
      <c r="D372" s="5" t="s">
        <v>60</v>
      </c>
      <c r="E372" s="5" t="s">
        <v>62</v>
      </c>
      <c r="F372" s="5" t="s">
        <v>7633</v>
      </c>
      <c r="G372" s="5" t="s">
        <v>7634</v>
      </c>
      <c r="H372" s="5" t="s">
        <v>309</v>
      </c>
      <c r="I372" s="5" t="s">
        <v>1105</v>
      </c>
    </row>
    <row r="373" customFormat="false" ht="23.85" hidden="false" customHeight="false" outlineLevel="0" collapsed="false">
      <c r="A373" s="5" t="s">
        <v>1870</v>
      </c>
      <c r="B373" s="2" t="s">
        <v>1871</v>
      </c>
      <c r="C373" s="5" t="s">
        <v>488</v>
      </c>
      <c r="D373" s="5" t="s">
        <v>60</v>
      </c>
      <c r="E373" s="5" t="s">
        <v>62</v>
      </c>
      <c r="F373" s="5" t="s">
        <v>7633</v>
      </c>
      <c r="G373" s="5" t="s">
        <v>7634</v>
      </c>
      <c r="H373" s="5" t="s">
        <v>309</v>
      </c>
      <c r="I373" s="5" t="s">
        <v>1105</v>
      </c>
    </row>
    <row r="374" customFormat="false" ht="23.85" hidden="false" customHeight="false" outlineLevel="0" collapsed="false">
      <c r="A374" s="5" t="s">
        <v>1875</v>
      </c>
      <c r="B374" s="2" t="s">
        <v>1876</v>
      </c>
      <c r="C374" s="5" t="s">
        <v>488</v>
      </c>
      <c r="D374" s="5" t="s">
        <v>60</v>
      </c>
      <c r="E374" s="5" t="s">
        <v>62</v>
      </c>
      <c r="F374" s="5" t="s">
        <v>7633</v>
      </c>
      <c r="G374" s="5" t="s">
        <v>7736</v>
      </c>
      <c r="H374" s="5" t="s">
        <v>1225</v>
      </c>
      <c r="I374" s="5" t="s">
        <v>1221</v>
      </c>
    </row>
    <row r="375" customFormat="false" ht="23.85" hidden="false" customHeight="false" outlineLevel="0" collapsed="false">
      <c r="A375" s="5" t="s">
        <v>1882</v>
      </c>
      <c r="B375" s="2" t="s">
        <v>1883</v>
      </c>
      <c r="C375" s="5" t="s">
        <v>488</v>
      </c>
      <c r="D375" s="5" t="s">
        <v>60</v>
      </c>
      <c r="E375" s="5" t="s">
        <v>62</v>
      </c>
      <c r="F375" s="5" t="s">
        <v>7633</v>
      </c>
      <c r="G375" s="5" t="s">
        <v>7634</v>
      </c>
      <c r="H375" s="5" t="s">
        <v>309</v>
      </c>
      <c r="I375" s="5" t="s">
        <v>1105</v>
      </c>
    </row>
    <row r="376" customFormat="false" ht="15" hidden="false" customHeight="false" outlineLevel="0" collapsed="false">
      <c r="A376" s="5" t="s">
        <v>1888</v>
      </c>
      <c r="B376" s="2" t="s">
        <v>1889</v>
      </c>
      <c r="C376" s="5" t="s">
        <v>488</v>
      </c>
      <c r="D376" s="5" t="s">
        <v>60</v>
      </c>
      <c r="E376" s="5" t="s">
        <v>62</v>
      </c>
      <c r="F376" s="5" t="s">
        <v>7633</v>
      </c>
      <c r="G376" s="5" t="s">
        <v>7634</v>
      </c>
      <c r="H376" s="5" t="s">
        <v>309</v>
      </c>
      <c r="I376" s="5" t="s">
        <v>1105</v>
      </c>
    </row>
    <row r="377" customFormat="false" ht="23.85" hidden="false" customHeight="false" outlineLevel="0" collapsed="false">
      <c r="A377" s="5" t="s">
        <v>1894</v>
      </c>
      <c r="B377" s="2" t="s">
        <v>1895</v>
      </c>
      <c r="C377" s="5" t="s">
        <v>488</v>
      </c>
      <c r="D377" s="5" t="s">
        <v>60</v>
      </c>
      <c r="E377" s="5" t="s">
        <v>62</v>
      </c>
      <c r="F377" s="5" t="s">
        <v>7633</v>
      </c>
      <c r="G377" s="5" t="s">
        <v>7634</v>
      </c>
      <c r="H377" s="5" t="s">
        <v>309</v>
      </c>
      <c r="I377" s="5" t="s">
        <v>1105</v>
      </c>
    </row>
    <row r="378" customFormat="false" ht="23.85" hidden="false" customHeight="false" outlineLevel="0" collapsed="false">
      <c r="A378" s="5" t="s">
        <v>1899</v>
      </c>
      <c r="B378" s="2" t="s">
        <v>1900</v>
      </c>
      <c r="C378" s="5" t="s">
        <v>488</v>
      </c>
      <c r="D378" s="5" t="s">
        <v>60</v>
      </c>
      <c r="E378" s="5" t="s">
        <v>62</v>
      </c>
      <c r="F378" s="5" t="s">
        <v>7633</v>
      </c>
      <c r="G378" s="5" t="s">
        <v>7634</v>
      </c>
      <c r="H378" s="5" t="s">
        <v>309</v>
      </c>
      <c r="I378" s="5" t="s">
        <v>1105</v>
      </c>
    </row>
    <row r="379" customFormat="false" ht="23.85" hidden="false" customHeight="false" outlineLevel="0" collapsed="false">
      <c r="A379" s="5" t="s">
        <v>1904</v>
      </c>
      <c r="B379" s="2" t="s">
        <v>1905</v>
      </c>
      <c r="C379" s="5" t="s">
        <v>488</v>
      </c>
      <c r="D379" s="5" t="s">
        <v>60</v>
      </c>
      <c r="E379" s="5" t="s">
        <v>62</v>
      </c>
      <c r="F379" s="5" t="s">
        <v>7633</v>
      </c>
      <c r="G379" s="5" t="s">
        <v>7634</v>
      </c>
      <c r="H379" s="5" t="s">
        <v>309</v>
      </c>
      <c r="I379" s="5" t="s">
        <v>1105</v>
      </c>
    </row>
    <row r="380" customFormat="false" ht="23.85" hidden="false" customHeight="false" outlineLevel="0" collapsed="false">
      <c r="A380" s="5" t="s">
        <v>1909</v>
      </c>
      <c r="B380" s="2" t="s">
        <v>1910</v>
      </c>
      <c r="C380" s="5" t="s">
        <v>488</v>
      </c>
      <c r="D380" s="5" t="s">
        <v>60</v>
      </c>
      <c r="E380" s="5" t="s">
        <v>62</v>
      </c>
      <c r="F380" s="5" t="s">
        <v>269</v>
      </c>
      <c r="G380" s="5" t="s">
        <v>7657</v>
      </c>
      <c r="H380" s="5" t="s">
        <v>346</v>
      </c>
      <c r="I380" s="5" t="s">
        <v>7742</v>
      </c>
    </row>
    <row r="381" customFormat="false" ht="15" hidden="false" customHeight="false" outlineLevel="0" collapsed="false">
      <c r="A381" s="5" t="s">
        <v>1916</v>
      </c>
      <c r="B381" s="2" t="s">
        <v>1917</v>
      </c>
      <c r="C381" s="5" t="s">
        <v>488</v>
      </c>
      <c r="D381" s="5" t="s">
        <v>60</v>
      </c>
      <c r="E381" s="5" t="s">
        <v>62</v>
      </c>
      <c r="F381" s="5" t="s">
        <v>7633</v>
      </c>
      <c r="G381" s="5" t="s">
        <v>7634</v>
      </c>
      <c r="H381" s="5" t="s">
        <v>309</v>
      </c>
      <c r="I381" s="5" t="s">
        <v>1105</v>
      </c>
    </row>
    <row r="382" customFormat="false" ht="23.85" hidden="false" customHeight="false" outlineLevel="0" collapsed="false">
      <c r="A382" s="5" t="s">
        <v>1922</v>
      </c>
      <c r="B382" s="2" t="s">
        <v>1923</v>
      </c>
      <c r="C382" s="5" t="s">
        <v>488</v>
      </c>
      <c r="D382" s="5" t="s">
        <v>60</v>
      </c>
      <c r="E382" s="5" t="s">
        <v>62</v>
      </c>
      <c r="F382" s="5" t="s">
        <v>7633</v>
      </c>
      <c r="G382" s="5" t="s">
        <v>7659</v>
      </c>
      <c r="H382" s="5" t="s">
        <v>372</v>
      </c>
      <c r="I382" s="5" t="s">
        <v>368</v>
      </c>
    </row>
    <row r="383" customFormat="false" ht="15" hidden="false" customHeight="false" outlineLevel="0" collapsed="false">
      <c r="A383" s="5" t="s">
        <v>1928</v>
      </c>
      <c r="B383" s="2" t="s">
        <v>1929</v>
      </c>
      <c r="C383" s="5" t="s">
        <v>488</v>
      </c>
      <c r="D383" s="5" t="s">
        <v>60</v>
      </c>
      <c r="E383" s="5" t="s">
        <v>62</v>
      </c>
      <c r="F383" s="5" t="s">
        <v>7633</v>
      </c>
      <c r="G383" s="5" t="s">
        <v>7634</v>
      </c>
      <c r="H383" s="5" t="s">
        <v>309</v>
      </c>
      <c r="I383" s="5" t="s">
        <v>1105</v>
      </c>
    </row>
    <row r="384" customFormat="false" ht="23.85" hidden="false" customHeight="false" outlineLevel="0" collapsed="false">
      <c r="A384" s="5" t="s">
        <v>1934</v>
      </c>
      <c r="B384" s="2" t="s">
        <v>1935</v>
      </c>
      <c r="C384" s="5" t="s">
        <v>488</v>
      </c>
      <c r="D384" s="5" t="s">
        <v>60</v>
      </c>
      <c r="E384" s="5" t="s">
        <v>62</v>
      </c>
      <c r="F384" s="5" t="s">
        <v>7633</v>
      </c>
      <c r="G384" s="5" t="s">
        <v>7634</v>
      </c>
      <c r="H384" s="5" t="s">
        <v>309</v>
      </c>
      <c r="I384" s="5" t="s">
        <v>1105</v>
      </c>
    </row>
    <row r="385" customFormat="false" ht="23.85" hidden="false" customHeight="false" outlineLevel="0" collapsed="false">
      <c r="A385" s="5" t="s">
        <v>1940</v>
      </c>
      <c r="B385" s="2" t="s">
        <v>1941</v>
      </c>
      <c r="C385" s="5" t="s">
        <v>488</v>
      </c>
      <c r="D385" s="5" t="s">
        <v>60</v>
      </c>
      <c r="E385" s="5" t="s">
        <v>62</v>
      </c>
      <c r="F385" s="5" t="s">
        <v>7633</v>
      </c>
      <c r="G385" s="5" t="s">
        <v>7733</v>
      </c>
      <c r="H385" s="5"/>
      <c r="I385" s="5" t="s">
        <v>1160</v>
      </c>
    </row>
    <row r="386" customFormat="false" ht="23.85" hidden="false" customHeight="false" outlineLevel="0" collapsed="false">
      <c r="A386" s="5" t="s">
        <v>1945</v>
      </c>
      <c r="B386" s="2" t="s">
        <v>1946</v>
      </c>
      <c r="C386" s="5" t="s">
        <v>488</v>
      </c>
      <c r="D386" s="5" t="s">
        <v>60</v>
      </c>
      <c r="E386" s="5" t="s">
        <v>62</v>
      </c>
      <c r="F386" s="5" t="s">
        <v>7633</v>
      </c>
      <c r="G386" s="5" t="s">
        <v>7634</v>
      </c>
      <c r="H386" s="5" t="s">
        <v>309</v>
      </c>
      <c r="I386" s="5" t="s">
        <v>1105</v>
      </c>
    </row>
    <row r="387" customFormat="false" ht="23.85" hidden="false" customHeight="false" outlineLevel="0" collapsed="false">
      <c r="A387" s="5" t="s">
        <v>1950</v>
      </c>
      <c r="B387" s="2" t="s">
        <v>1951</v>
      </c>
      <c r="C387" s="5" t="s">
        <v>488</v>
      </c>
      <c r="D387" s="5" t="s">
        <v>60</v>
      </c>
      <c r="E387" s="5" t="s">
        <v>62</v>
      </c>
      <c r="F387" s="5" t="s">
        <v>7633</v>
      </c>
      <c r="G387" s="5" t="s">
        <v>7634</v>
      </c>
      <c r="H387" s="5" t="s">
        <v>309</v>
      </c>
      <c r="I387" s="5" t="s">
        <v>1105</v>
      </c>
    </row>
    <row r="388" customFormat="false" ht="23.85" hidden="false" customHeight="false" outlineLevel="0" collapsed="false">
      <c r="A388" s="5" t="s">
        <v>1956</v>
      </c>
      <c r="B388" s="2" t="s">
        <v>1957</v>
      </c>
      <c r="C388" s="5" t="s">
        <v>488</v>
      </c>
      <c r="D388" s="5" t="s">
        <v>60</v>
      </c>
      <c r="E388" s="5" t="s">
        <v>62</v>
      </c>
      <c r="F388" s="5" t="s">
        <v>7721</v>
      </c>
      <c r="G388" s="5" t="s">
        <v>7755</v>
      </c>
      <c r="H388" s="5"/>
      <c r="I388" s="5" t="s">
        <v>1958</v>
      </c>
    </row>
    <row r="389" customFormat="false" ht="23.85" hidden="false" customHeight="false" outlineLevel="0" collapsed="false">
      <c r="A389" s="5" t="s">
        <v>1963</v>
      </c>
      <c r="B389" s="2" t="s">
        <v>1964</v>
      </c>
      <c r="C389" s="5" t="s">
        <v>488</v>
      </c>
      <c r="D389" s="5" t="s">
        <v>60</v>
      </c>
      <c r="E389" s="5" t="s">
        <v>62</v>
      </c>
      <c r="F389" s="5" t="s">
        <v>7633</v>
      </c>
      <c r="G389" s="5" t="s">
        <v>7735</v>
      </c>
      <c r="H389" s="5"/>
      <c r="I389" s="5" t="s">
        <v>1212</v>
      </c>
    </row>
    <row r="390" customFormat="false" ht="23.85" hidden="false" customHeight="false" outlineLevel="0" collapsed="false">
      <c r="A390" s="5" t="s">
        <v>1969</v>
      </c>
      <c r="B390" s="2" t="s">
        <v>1970</v>
      </c>
      <c r="C390" s="5" t="s">
        <v>488</v>
      </c>
      <c r="D390" s="5" t="s">
        <v>60</v>
      </c>
      <c r="E390" s="5" t="s">
        <v>62</v>
      </c>
      <c r="F390" s="5" t="s">
        <v>7633</v>
      </c>
      <c r="G390" s="5" t="s">
        <v>7634</v>
      </c>
      <c r="H390" s="5" t="s">
        <v>309</v>
      </c>
      <c r="I390" s="5" t="s">
        <v>1105</v>
      </c>
    </row>
    <row r="391" customFormat="false" ht="23.85" hidden="false" customHeight="false" outlineLevel="0" collapsed="false">
      <c r="A391" s="5" t="s">
        <v>1974</v>
      </c>
      <c r="B391" s="2" t="s">
        <v>1975</v>
      </c>
      <c r="C391" s="5" t="s">
        <v>488</v>
      </c>
      <c r="D391" s="5" t="s">
        <v>60</v>
      </c>
      <c r="E391" s="5" t="s">
        <v>62</v>
      </c>
      <c r="F391" s="5" t="s">
        <v>269</v>
      </c>
      <c r="G391" s="5" t="s">
        <v>7747</v>
      </c>
      <c r="H391" s="5"/>
      <c r="I391" s="5" t="s">
        <v>1976</v>
      </c>
    </row>
    <row r="392" customFormat="false" ht="23.85" hidden="false" customHeight="false" outlineLevel="0" collapsed="false">
      <c r="A392" s="5" t="s">
        <v>1982</v>
      </c>
      <c r="B392" s="2" t="s">
        <v>1983</v>
      </c>
      <c r="C392" s="5" t="s">
        <v>488</v>
      </c>
      <c r="D392" s="5" t="s">
        <v>60</v>
      </c>
      <c r="E392" s="5" t="s">
        <v>62</v>
      </c>
      <c r="F392" s="5" t="s">
        <v>7633</v>
      </c>
      <c r="G392" s="5" t="s">
        <v>7735</v>
      </c>
      <c r="H392" s="5"/>
      <c r="I392" s="5" t="s">
        <v>1212</v>
      </c>
    </row>
    <row r="393" customFormat="false" ht="23.85" hidden="false" customHeight="false" outlineLevel="0" collapsed="false">
      <c r="A393" s="5" t="s">
        <v>1988</v>
      </c>
      <c r="B393" s="2" t="s">
        <v>1989</v>
      </c>
      <c r="C393" s="5" t="s">
        <v>488</v>
      </c>
      <c r="D393" s="5" t="s">
        <v>60</v>
      </c>
      <c r="E393" s="5" t="s">
        <v>62</v>
      </c>
      <c r="F393" s="5" t="s">
        <v>7633</v>
      </c>
      <c r="G393" s="5" t="s">
        <v>7634</v>
      </c>
      <c r="H393" s="5" t="s">
        <v>309</v>
      </c>
      <c r="I393" s="5" t="s">
        <v>1105</v>
      </c>
    </row>
    <row r="394" customFormat="false" ht="23.85" hidden="false" customHeight="false" outlineLevel="0" collapsed="false">
      <c r="A394" s="5" t="s">
        <v>1993</v>
      </c>
      <c r="B394" s="2" t="s">
        <v>1994</v>
      </c>
      <c r="C394" s="5" t="s">
        <v>488</v>
      </c>
      <c r="D394" s="5" t="s">
        <v>60</v>
      </c>
      <c r="E394" s="5" t="s">
        <v>62</v>
      </c>
      <c r="F394" s="5" t="s">
        <v>7633</v>
      </c>
      <c r="G394" s="5" t="s">
        <v>7735</v>
      </c>
      <c r="H394" s="5"/>
      <c r="I394" s="5" t="s">
        <v>1212</v>
      </c>
    </row>
    <row r="395" customFormat="false" ht="23.85" hidden="false" customHeight="false" outlineLevel="0" collapsed="false">
      <c r="A395" s="5" t="s">
        <v>1999</v>
      </c>
      <c r="B395" s="2" t="s">
        <v>2000</v>
      </c>
      <c r="C395" s="5" t="s">
        <v>488</v>
      </c>
      <c r="D395" s="5" t="s">
        <v>60</v>
      </c>
      <c r="E395" s="5" t="s">
        <v>62</v>
      </c>
      <c r="F395" s="5" t="s">
        <v>7633</v>
      </c>
      <c r="G395" s="5" t="s">
        <v>7735</v>
      </c>
      <c r="H395" s="5"/>
      <c r="I395" s="5" t="s">
        <v>1212</v>
      </c>
    </row>
    <row r="396" customFormat="false" ht="23.85" hidden="false" customHeight="false" outlineLevel="0" collapsed="false">
      <c r="A396" s="5" t="s">
        <v>2004</v>
      </c>
      <c r="B396" s="2" t="s">
        <v>2005</v>
      </c>
      <c r="C396" s="5" t="s">
        <v>488</v>
      </c>
      <c r="D396" s="5" t="s">
        <v>60</v>
      </c>
      <c r="E396" s="5" t="s">
        <v>62</v>
      </c>
      <c r="F396" s="5" t="s">
        <v>7633</v>
      </c>
      <c r="G396" s="5" t="s">
        <v>7735</v>
      </c>
      <c r="H396" s="5"/>
      <c r="I396" s="5" t="s">
        <v>1212</v>
      </c>
    </row>
    <row r="397" customFormat="false" ht="23.85" hidden="false" customHeight="false" outlineLevel="0" collapsed="false">
      <c r="A397" s="5" t="s">
        <v>2010</v>
      </c>
      <c r="B397" s="2" t="s">
        <v>2011</v>
      </c>
      <c r="C397" s="5" t="s">
        <v>488</v>
      </c>
      <c r="D397" s="5" t="s">
        <v>60</v>
      </c>
      <c r="E397" s="5" t="s">
        <v>62</v>
      </c>
      <c r="F397" s="5" t="s">
        <v>7633</v>
      </c>
      <c r="G397" s="5" t="s">
        <v>7634</v>
      </c>
      <c r="H397" s="5" t="s">
        <v>309</v>
      </c>
      <c r="I397" s="5" t="s">
        <v>1105</v>
      </c>
    </row>
    <row r="398" customFormat="false" ht="23.85" hidden="false" customHeight="false" outlineLevel="0" collapsed="false">
      <c r="A398" s="5" t="s">
        <v>2015</v>
      </c>
      <c r="B398" s="2" t="s">
        <v>2016</v>
      </c>
      <c r="C398" s="5" t="s">
        <v>488</v>
      </c>
      <c r="D398" s="5" t="s">
        <v>60</v>
      </c>
      <c r="E398" s="5" t="s">
        <v>62</v>
      </c>
      <c r="F398" s="5" t="s">
        <v>269</v>
      </c>
      <c r="G398" s="5" t="s">
        <v>7754</v>
      </c>
      <c r="H398" s="5"/>
      <c r="I398" s="5" t="s">
        <v>1612</v>
      </c>
    </row>
    <row r="399" customFormat="false" ht="23.85" hidden="false" customHeight="false" outlineLevel="0" collapsed="false">
      <c r="A399" s="5" t="s">
        <v>2022</v>
      </c>
      <c r="B399" s="2" t="s">
        <v>2023</v>
      </c>
      <c r="C399" s="5" t="s">
        <v>488</v>
      </c>
      <c r="D399" s="5" t="s">
        <v>60</v>
      </c>
      <c r="E399" s="5" t="s">
        <v>62</v>
      </c>
      <c r="F399" s="5" t="s">
        <v>7633</v>
      </c>
      <c r="G399" s="5" t="s">
        <v>7733</v>
      </c>
      <c r="H399" s="5"/>
      <c r="I399" s="5" t="s">
        <v>1160</v>
      </c>
    </row>
    <row r="400" customFormat="false" ht="23.85" hidden="false" customHeight="false" outlineLevel="0" collapsed="false">
      <c r="A400" s="5" t="s">
        <v>2027</v>
      </c>
      <c r="B400" s="2" t="s">
        <v>2028</v>
      </c>
      <c r="C400" s="5" t="s">
        <v>488</v>
      </c>
      <c r="D400" s="5" t="s">
        <v>60</v>
      </c>
      <c r="E400" s="5" t="s">
        <v>62</v>
      </c>
      <c r="F400" s="5" t="s">
        <v>7633</v>
      </c>
      <c r="G400" s="5" t="s">
        <v>7735</v>
      </c>
      <c r="H400" s="5"/>
      <c r="I400" s="5" t="s">
        <v>1212</v>
      </c>
    </row>
    <row r="401" customFormat="false" ht="15" hidden="false" customHeight="false" outlineLevel="0" collapsed="false">
      <c r="A401" s="5" t="s">
        <v>2033</v>
      </c>
      <c r="B401" s="2" t="s">
        <v>2034</v>
      </c>
      <c r="C401" s="5" t="s">
        <v>488</v>
      </c>
      <c r="D401" s="5" t="s">
        <v>60</v>
      </c>
      <c r="E401" s="5" t="s">
        <v>62</v>
      </c>
      <c r="F401" s="5" t="s">
        <v>7633</v>
      </c>
      <c r="G401" s="5" t="s">
        <v>7634</v>
      </c>
      <c r="H401" s="5" t="s">
        <v>309</v>
      </c>
      <c r="I401" s="5" t="s">
        <v>1105</v>
      </c>
    </row>
    <row r="402" customFormat="false" ht="15" hidden="false" customHeight="false" outlineLevel="0" collapsed="false">
      <c r="A402" s="5" t="s">
        <v>2038</v>
      </c>
      <c r="B402" s="2" t="s">
        <v>2039</v>
      </c>
      <c r="C402" s="5" t="s">
        <v>488</v>
      </c>
      <c r="D402" s="5" t="s">
        <v>60</v>
      </c>
      <c r="E402" s="5" t="s">
        <v>490</v>
      </c>
      <c r="F402" s="5" t="s">
        <v>7633</v>
      </c>
      <c r="G402" s="5" t="s">
        <v>7634</v>
      </c>
      <c r="H402" s="5" t="s">
        <v>309</v>
      </c>
      <c r="I402" s="5" t="s">
        <v>1105</v>
      </c>
    </row>
    <row r="403" customFormat="false" ht="15" hidden="false" customHeight="false" outlineLevel="0" collapsed="false">
      <c r="A403" s="5" t="s">
        <v>2043</v>
      </c>
      <c r="B403" s="2" t="s">
        <v>2044</v>
      </c>
      <c r="C403" s="5" t="s">
        <v>488</v>
      </c>
      <c r="D403" s="5" t="s">
        <v>60</v>
      </c>
      <c r="E403" s="5" t="s">
        <v>62</v>
      </c>
      <c r="F403" s="5" t="s">
        <v>269</v>
      </c>
      <c r="G403" s="5" t="s">
        <v>7628</v>
      </c>
      <c r="H403" s="5" t="s">
        <v>192</v>
      </c>
      <c r="I403" s="5" t="s">
        <v>2045</v>
      </c>
    </row>
    <row r="404" customFormat="false" ht="23.85" hidden="false" customHeight="false" outlineLevel="0" collapsed="false">
      <c r="A404" s="5" t="s">
        <v>2051</v>
      </c>
      <c r="B404" s="2" t="s">
        <v>2052</v>
      </c>
      <c r="C404" s="5" t="s">
        <v>488</v>
      </c>
      <c r="D404" s="5" t="s">
        <v>60</v>
      </c>
      <c r="E404" s="5" t="s">
        <v>62</v>
      </c>
      <c r="F404" s="5" t="s">
        <v>7633</v>
      </c>
      <c r="G404" s="5" t="s">
        <v>7634</v>
      </c>
      <c r="H404" s="5" t="s">
        <v>309</v>
      </c>
      <c r="I404" s="5" t="s">
        <v>1105</v>
      </c>
    </row>
    <row r="405" customFormat="false" ht="15" hidden="false" customHeight="false" outlineLevel="0" collapsed="false">
      <c r="A405" s="5" t="s">
        <v>2056</v>
      </c>
      <c r="B405" s="2" t="s">
        <v>2057</v>
      </c>
      <c r="C405" s="5" t="s">
        <v>488</v>
      </c>
      <c r="D405" s="5" t="s">
        <v>60</v>
      </c>
      <c r="E405" s="5" t="s">
        <v>62</v>
      </c>
      <c r="F405" s="5" t="s">
        <v>7721</v>
      </c>
      <c r="G405" s="5" t="s">
        <v>7757</v>
      </c>
      <c r="H405" s="5"/>
      <c r="I405" s="5" t="s">
        <v>2058</v>
      </c>
    </row>
    <row r="406" customFormat="false" ht="23.85" hidden="false" customHeight="false" outlineLevel="0" collapsed="false">
      <c r="A406" s="5" t="s">
        <v>2063</v>
      </c>
      <c r="B406" s="2" t="s">
        <v>2064</v>
      </c>
      <c r="C406" s="5" t="s">
        <v>488</v>
      </c>
      <c r="D406" s="5" t="s">
        <v>60</v>
      </c>
      <c r="E406" s="5" t="s">
        <v>62</v>
      </c>
      <c r="F406" s="5" t="s">
        <v>7633</v>
      </c>
      <c r="G406" s="5" t="s">
        <v>7634</v>
      </c>
      <c r="H406" s="5" t="s">
        <v>309</v>
      </c>
      <c r="I406" s="5" t="s">
        <v>1105</v>
      </c>
    </row>
    <row r="407" customFormat="false" ht="23.85" hidden="false" customHeight="false" outlineLevel="0" collapsed="false">
      <c r="A407" s="5" t="s">
        <v>2068</v>
      </c>
      <c r="B407" s="2" t="s">
        <v>2069</v>
      </c>
      <c r="C407" s="5" t="s">
        <v>488</v>
      </c>
      <c r="D407" s="5" t="s">
        <v>60</v>
      </c>
      <c r="E407" s="5" t="s">
        <v>62</v>
      </c>
      <c r="F407" s="5" t="s">
        <v>269</v>
      </c>
      <c r="G407" s="5" t="s">
        <v>7758</v>
      </c>
      <c r="H407" s="5"/>
      <c r="I407" s="5" t="s">
        <v>7759</v>
      </c>
    </row>
    <row r="408" customFormat="false" ht="23.85" hidden="false" customHeight="false" outlineLevel="0" collapsed="false">
      <c r="A408" s="5" t="s">
        <v>2068</v>
      </c>
      <c r="B408" s="2" t="s">
        <v>2069</v>
      </c>
      <c r="C408" s="5" t="s">
        <v>488</v>
      </c>
      <c r="D408" s="5" t="s">
        <v>60</v>
      </c>
      <c r="E408" s="5" t="s">
        <v>62</v>
      </c>
      <c r="F408" s="5" t="s">
        <v>269</v>
      </c>
      <c r="G408" s="5" t="s">
        <v>7760</v>
      </c>
      <c r="H408" s="5"/>
      <c r="I408" s="5" t="s">
        <v>7761</v>
      </c>
    </row>
    <row r="409" customFormat="false" ht="15" hidden="false" customHeight="false" outlineLevel="0" collapsed="false">
      <c r="A409" s="5" t="s">
        <v>2076</v>
      </c>
      <c r="B409" s="2" t="s">
        <v>2077</v>
      </c>
      <c r="C409" s="5" t="s">
        <v>488</v>
      </c>
      <c r="D409" s="5" t="s">
        <v>60</v>
      </c>
      <c r="E409" s="5" t="s">
        <v>62</v>
      </c>
      <c r="F409" s="5" t="s">
        <v>269</v>
      </c>
      <c r="G409" s="5" t="s">
        <v>7746</v>
      </c>
      <c r="H409" s="5"/>
      <c r="I409" s="5" t="s">
        <v>1581</v>
      </c>
    </row>
    <row r="410" customFormat="false" ht="15" hidden="false" customHeight="false" outlineLevel="0" collapsed="false">
      <c r="A410" s="5" t="s">
        <v>2076</v>
      </c>
      <c r="B410" s="2" t="s">
        <v>2077</v>
      </c>
      <c r="C410" s="5" t="s">
        <v>488</v>
      </c>
      <c r="D410" s="5" t="s">
        <v>60</v>
      </c>
      <c r="E410" s="5" t="s">
        <v>62</v>
      </c>
      <c r="F410" s="5" t="s">
        <v>269</v>
      </c>
      <c r="G410" s="5" t="s">
        <v>7747</v>
      </c>
      <c r="H410" s="5"/>
      <c r="I410" s="5" t="s">
        <v>1976</v>
      </c>
    </row>
    <row r="411" customFormat="false" ht="15" hidden="false" customHeight="false" outlineLevel="0" collapsed="false">
      <c r="A411" s="5" t="s">
        <v>2084</v>
      </c>
      <c r="B411" s="2" t="s">
        <v>2085</v>
      </c>
      <c r="C411" s="5" t="s">
        <v>488</v>
      </c>
      <c r="D411" s="5" t="s">
        <v>60</v>
      </c>
      <c r="E411" s="5" t="s">
        <v>62</v>
      </c>
      <c r="F411" s="5" t="s">
        <v>7633</v>
      </c>
      <c r="G411" s="5" t="s">
        <v>7634</v>
      </c>
      <c r="H411" s="5" t="s">
        <v>309</v>
      </c>
      <c r="I411" s="5" t="s">
        <v>1105</v>
      </c>
    </row>
    <row r="412" customFormat="false" ht="15" hidden="false" customHeight="false" outlineLevel="0" collapsed="false">
      <c r="A412" s="5" t="s">
        <v>2089</v>
      </c>
      <c r="B412" s="2" t="s">
        <v>2090</v>
      </c>
      <c r="C412" s="5" t="s">
        <v>488</v>
      </c>
      <c r="D412" s="5" t="s">
        <v>60</v>
      </c>
      <c r="E412" s="5" t="s">
        <v>62</v>
      </c>
      <c r="F412" s="5" t="s">
        <v>7633</v>
      </c>
      <c r="G412" s="5" t="s">
        <v>7659</v>
      </c>
      <c r="H412" s="5" t="s">
        <v>372</v>
      </c>
      <c r="I412" s="5" t="s">
        <v>368</v>
      </c>
    </row>
    <row r="413" customFormat="false" ht="23.85" hidden="false" customHeight="false" outlineLevel="0" collapsed="false">
      <c r="A413" s="5" t="s">
        <v>2094</v>
      </c>
      <c r="B413" s="2" t="s">
        <v>2095</v>
      </c>
      <c r="C413" s="5" t="s">
        <v>488</v>
      </c>
      <c r="D413" s="5" t="s">
        <v>60</v>
      </c>
      <c r="E413" s="5" t="s">
        <v>62</v>
      </c>
      <c r="F413" s="5" t="s">
        <v>7633</v>
      </c>
      <c r="G413" s="5" t="s">
        <v>7733</v>
      </c>
      <c r="H413" s="5"/>
      <c r="I413" s="5" t="s">
        <v>1160</v>
      </c>
    </row>
    <row r="414" customFormat="false" ht="23.85" hidden="false" customHeight="false" outlineLevel="0" collapsed="false">
      <c r="A414" s="5" t="s">
        <v>2099</v>
      </c>
      <c r="B414" s="2" t="s">
        <v>2100</v>
      </c>
      <c r="C414" s="5" t="s">
        <v>488</v>
      </c>
      <c r="D414" s="5" t="s">
        <v>60</v>
      </c>
      <c r="E414" s="5" t="s">
        <v>62</v>
      </c>
      <c r="F414" s="5" t="s">
        <v>7633</v>
      </c>
      <c r="G414" s="5" t="s">
        <v>7736</v>
      </c>
      <c r="H414" s="5" t="s">
        <v>1225</v>
      </c>
      <c r="I414" s="5" t="s">
        <v>1221</v>
      </c>
    </row>
    <row r="415" customFormat="false" ht="23.85" hidden="false" customHeight="false" outlineLevel="0" collapsed="false">
      <c r="A415" s="5" t="s">
        <v>2104</v>
      </c>
      <c r="B415" s="2" t="s">
        <v>2105</v>
      </c>
      <c r="C415" s="5" t="s">
        <v>488</v>
      </c>
      <c r="D415" s="5" t="s">
        <v>60</v>
      </c>
      <c r="E415" s="5" t="s">
        <v>62</v>
      </c>
      <c r="F415" s="5" t="s">
        <v>7633</v>
      </c>
      <c r="G415" s="5" t="s">
        <v>7634</v>
      </c>
      <c r="H415" s="5" t="s">
        <v>309</v>
      </c>
      <c r="I415" s="5" t="s">
        <v>1105</v>
      </c>
    </row>
    <row r="416" customFormat="false" ht="15" hidden="false" customHeight="false" outlineLevel="0" collapsed="false">
      <c r="A416" s="5" t="s">
        <v>2109</v>
      </c>
      <c r="B416" s="2" t="s">
        <v>2110</v>
      </c>
      <c r="C416" s="5" t="s">
        <v>488</v>
      </c>
      <c r="D416" s="5" t="s">
        <v>60</v>
      </c>
      <c r="E416" s="5" t="s">
        <v>62</v>
      </c>
      <c r="F416" s="5" t="s">
        <v>269</v>
      </c>
      <c r="G416" s="5" t="s">
        <v>7734</v>
      </c>
      <c r="H416" s="5"/>
      <c r="I416" s="5" t="s">
        <v>1198</v>
      </c>
    </row>
    <row r="417" customFormat="false" ht="15" hidden="false" customHeight="false" outlineLevel="0" collapsed="false">
      <c r="A417" s="5" t="s">
        <v>2114</v>
      </c>
      <c r="B417" s="2" t="s">
        <v>2115</v>
      </c>
      <c r="C417" s="5" t="s">
        <v>488</v>
      </c>
      <c r="D417" s="5" t="s">
        <v>60</v>
      </c>
      <c r="E417" s="5" t="s">
        <v>62</v>
      </c>
      <c r="F417" s="5" t="s">
        <v>7633</v>
      </c>
      <c r="G417" s="5" t="s">
        <v>7634</v>
      </c>
      <c r="H417" s="5" t="s">
        <v>309</v>
      </c>
      <c r="I417" s="5" t="s">
        <v>1105</v>
      </c>
    </row>
    <row r="418" customFormat="false" ht="15" hidden="false" customHeight="false" outlineLevel="0" collapsed="false">
      <c r="A418" s="5" t="s">
        <v>2119</v>
      </c>
      <c r="B418" s="2" t="s">
        <v>2120</v>
      </c>
      <c r="C418" s="5" t="s">
        <v>488</v>
      </c>
      <c r="D418" s="5" t="s">
        <v>60</v>
      </c>
      <c r="E418" s="5" t="s">
        <v>62</v>
      </c>
      <c r="F418" s="5" t="s">
        <v>7669</v>
      </c>
      <c r="G418" s="5" t="s">
        <v>2121</v>
      </c>
      <c r="H418" s="5"/>
      <c r="I418" s="5" t="s">
        <v>2121</v>
      </c>
    </row>
    <row r="419" customFormat="false" ht="15" hidden="false" customHeight="false" outlineLevel="0" collapsed="false">
      <c r="A419" s="5" t="s">
        <v>2126</v>
      </c>
      <c r="B419" s="2" t="s">
        <v>2127</v>
      </c>
      <c r="C419" s="5" t="s">
        <v>2128</v>
      </c>
      <c r="D419" s="5" t="s">
        <v>60</v>
      </c>
      <c r="E419" s="5" t="s">
        <v>62</v>
      </c>
      <c r="F419" s="5" t="s">
        <v>7670</v>
      </c>
      <c r="G419" s="5" t="s">
        <v>2130</v>
      </c>
      <c r="H419" s="5"/>
      <c r="I419" s="5" t="s">
        <v>2130</v>
      </c>
    </row>
    <row r="420" customFormat="false" ht="15" hidden="false" customHeight="false" outlineLevel="0" collapsed="false">
      <c r="A420" s="5" t="s">
        <v>2136</v>
      </c>
      <c r="B420" s="2" t="s">
        <v>2137</v>
      </c>
      <c r="C420" s="5" t="s">
        <v>2128</v>
      </c>
      <c r="D420" s="5" t="s">
        <v>60</v>
      </c>
      <c r="E420" s="5" t="s">
        <v>62</v>
      </c>
      <c r="F420" s="5" t="s">
        <v>7670</v>
      </c>
      <c r="G420" s="5" t="s">
        <v>2138</v>
      </c>
      <c r="H420" s="5"/>
      <c r="I420" s="5" t="s">
        <v>2138</v>
      </c>
    </row>
    <row r="421" customFormat="false" ht="15" hidden="false" customHeight="false" outlineLevel="0" collapsed="false">
      <c r="A421" s="5" t="s">
        <v>2144</v>
      </c>
      <c r="B421" s="2" t="s">
        <v>2145</v>
      </c>
      <c r="C421" s="5" t="s">
        <v>2128</v>
      </c>
      <c r="D421" s="5" t="s">
        <v>60</v>
      </c>
      <c r="E421" s="5" t="s">
        <v>62</v>
      </c>
      <c r="F421" s="5" t="s">
        <v>7670</v>
      </c>
      <c r="G421" s="5" t="s">
        <v>2130</v>
      </c>
      <c r="H421" s="5"/>
      <c r="I421" s="5" t="s">
        <v>2130</v>
      </c>
    </row>
    <row r="422" customFormat="false" ht="15" hidden="false" customHeight="false" outlineLevel="0" collapsed="false">
      <c r="A422" s="5" t="s">
        <v>2163</v>
      </c>
      <c r="B422" s="2" t="s">
        <v>2164</v>
      </c>
      <c r="C422" s="5" t="s">
        <v>2128</v>
      </c>
      <c r="D422" s="5" t="s">
        <v>60</v>
      </c>
      <c r="E422" s="5" t="s">
        <v>62</v>
      </c>
      <c r="F422" s="5" t="s">
        <v>7670</v>
      </c>
      <c r="G422" s="5" t="s">
        <v>7762</v>
      </c>
      <c r="H422" s="5"/>
      <c r="I422" s="5" t="s">
        <v>7762</v>
      </c>
    </row>
    <row r="423" customFormat="false" ht="15" hidden="false" customHeight="false" outlineLevel="0" collapsed="false">
      <c r="A423" s="5" t="s">
        <v>2163</v>
      </c>
      <c r="B423" s="2" t="s">
        <v>2164</v>
      </c>
      <c r="C423" s="5" t="s">
        <v>2128</v>
      </c>
      <c r="D423" s="5" t="s">
        <v>60</v>
      </c>
      <c r="E423" s="5" t="s">
        <v>62</v>
      </c>
      <c r="F423" s="5" t="s">
        <v>7670</v>
      </c>
      <c r="G423" s="5" t="s">
        <v>7763</v>
      </c>
      <c r="H423" s="5"/>
      <c r="I423" s="5" t="s">
        <v>7763</v>
      </c>
    </row>
    <row r="424" customFormat="false" ht="15" hidden="false" customHeight="false" outlineLevel="0" collapsed="false">
      <c r="A424" s="5" t="s">
        <v>2169</v>
      </c>
      <c r="B424" s="2" t="s">
        <v>2170</v>
      </c>
      <c r="C424" s="5" t="s">
        <v>2128</v>
      </c>
      <c r="D424" s="5" t="s">
        <v>60</v>
      </c>
      <c r="E424" s="5" t="s">
        <v>62</v>
      </c>
      <c r="F424" s="5" t="s">
        <v>7670</v>
      </c>
      <c r="G424" s="5" t="s">
        <v>7671</v>
      </c>
      <c r="H424" s="5"/>
      <c r="I424" s="5" t="s">
        <v>527</v>
      </c>
    </row>
    <row r="425" customFormat="false" ht="15" hidden="false" customHeight="false" outlineLevel="0" collapsed="false">
      <c r="A425" s="5" t="s">
        <v>2173</v>
      </c>
      <c r="B425" s="2" t="s">
        <v>2174</v>
      </c>
      <c r="C425" s="5" t="s">
        <v>2128</v>
      </c>
      <c r="D425" s="5" t="s">
        <v>60</v>
      </c>
      <c r="E425" s="5" t="s">
        <v>62</v>
      </c>
      <c r="F425" s="5" t="s">
        <v>7670</v>
      </c>
      <c r="G425" s="5" t="s">
        <v>7764</v>
      </c>
      <c r="H425" s="5"/>
      <c r="I425" s="5" t="s">
        <v>2175</v>
      </c>
    </row>
    <row r="426" customFormat="false" ht="15" hidden="false" customHeight="false" outlineLevel="0" collapsed="false">
      <c r="A426" s="5" t="s">
        <v>2179</v>
      </c>
      <c r="B426" s="2" t="s">
        <v>2180</v>
      </c>
      <c r="C426" s="5" t="s">
        <v>2128</v>
      </c>
      <c r="D426" s="5" t="s">
        <v>60</v>
      </c>
      <c r="E426" s="5" t="s">
        <v>62</v>
      </c>
      <c r="F426" s="5" t="s">
        <v>7670</v>
      </c>
      <c r="G426" s="5" t="s">
        <v>7765</v>
      </c>
      <c r="H426" s="5"/>
      <c r="I426" s="5" t="s">
        <v>2181</v>
      </c>
    </row>
    <row r="427" customFormat="false" ht="15" hidden="false" customHeight="false" outlineLevel="0" collapsed="false">
      <c r="A427" s="5" t="s">
        <v>2185</v>
      </c>
      <c r="B427" s="2" t="s">
        <v>2186</v>
      </c>
      <c r="C427" s="5" t="s">
        <v>2128</v>
      </c>
      <c r="D427" s="5" t="s">
        <v>60</v>
      </c>
      <c r="E427" s="5" t="s">
        <v>62</v>
      </c>
      <c r="F427" s="5" t="s">
        <v>7670</v>
      </c>
      <c r="G427" s="5" t="s">
        <v>7766</v>
      </c>
      <c r="H427" s="5"/>
      <c r="I427" s="5" t="s">
        <v>2187</v>
      </c>
    </row>
    <row r="428" customFormat="false" ht="15" hidden="false" customHeight="false" outlineLevel="0" collapsed="false">
      <c r="A428" s="5" t="s">
        <v>2192</v>
      </c>
      <c r="B428" s="2" t="s">
        <v>2193</v>
      </c>
      <c r="C428" s="5" t="s">
        <v>2128</v>
      </c>
      <c r="D428" s="5" t="s">
        <v>60</v>
      </c>
      <c r="E428" s="5" t="s">
        <v>62</v>
      </c>
      <c r="F428" s="5" t="s">
        <v>7670</v>
      </c>
      <c r="G428" s="5" t="s">
        <v>7674</v>
      </c>
      <c r="H428" s="5"/>
      <c r="I428" s="5" t="s">
        <v>552</v>
      </c>
    </row>
    <row r="429" customFormat="false" ht="15" hidden="false" customHeight="false" outlineLevel="0" collapsed="false">
      <c r="A429" s="5" t="s">
        <v>2197</v>
      </c>
      <c r="B429" s="2" t="s">
        <v>2198</v>
      </c>
      <c r="C429" s="5" t="s">
        <v>2128</v>
      </c>
      <c r="D429" s="5" t="s">
        <v>60</v>
      </c>
      <c r="E429" s="5" t="s">
        <v>62</v>
      </c>
      <c r="F429" s="5" t="s">
        <v>7670</v>
      </c>
      <c r="G429" s="5" t="s">
        <v>2199</v>
      </c>
      <c r="H429" s="5"/>
      <c r="I429" s="5" t="s">
        <v>2199</v>
      </c>
    </row>
    <row r="430" customFormat="false" ht="15" hidden="false" customHeight="false" outlineLevel="0" collapsed="false">
      <c r="A430" s="5" t="s">
        <v>2204</v>
      </c>
      <c r="B430" s="2" t="s">
        <v>2205</v>
      </c>
      <c r="C430" s="5" t="s">
        <v>2128</v>
      </c>
      <c r="D430" s="5" t="s">
        <v>60</v>
      </c>
      <c r="E430" s="5" t="s">
        <v>62</v>
      </c>
      <c r="F430" s="5" t="s">
        <v>7670</v>
      </c>
      <c r="G430" s="5" t="s">
        <v>2206</v>
      </c>
      <c r="H430" s="5"/>
      <c r="I430" s="5" t="s">
        <v>2206</v>
      </c>
    </row>
    <row r="431" customFormat="false" ht="23.85" hidden="false" customHeight="false" outlineLevel="0" collapsed="false">
      <c r="A431" s="5" t="s">
        <v>2210</v>
      </c>
      <c r="B431" s="2" t="s">
        <v>2211</v>
      </c>
      <c r="C431" s="5" t="s">
        <v>2128</v>
      </c>
      <c r="D431" s="5" t="s">
        <v>60</v>
      </c>
      <c r="E431" s="5" t="s">
        <v>62</v>
      </c>
      <c r="F431" s="5" t="s">
        <v>7670</v>
      </c>
      <c r="G431" s="5" t="s">
        <v>2212</v>
      </c>
      <c r="H431" s="5"/>
      <c r="I431" s="5" t="s">
        <v>2212</v>
      </c>
    </row>
    <row r="432" customFormat="false" ht="15" hidden="false" customHeight="false" outlineLevel="0" collapsed="false">
      <c r="A432" s="5" t="s">
        <v>2216</v>
      </c>
      <c r="B432" s="2" t="s">
        <v>2217</v>
      </c>
      <c r="C432" s="5" t="s">
        <v>2128</v>
      </c>
      <c r="D432" s="5" t="s">
        <v>60</v>
      </c>
      <c r="E432" s="5" t="s">
        <v>62</v>
      </c>
      <c r="F432" s="5" t="s">
        <v>7670</v>
      </c>
      <c r="G432" s="5" t="s">
        <v>2218</v>
      </c>
      <c r="H432" s="5"/>
      <c r="I432" s="5" t="s">
        <v>2218</v>
      </c>
    </row>
    <row r="433" customFormat="false" ht="23.85" hidden="false" customHeight="false" outlineLevel="0" collapsed="false">
      <c r="A433" s="5" t="s">
        <v>2224</v>
      </c>
      <c r="B433" s="2" t="s">
        <v>2225</v>
      </c>
      <c r="C433" s="5" t="s">
        <v>2128</v>
      </c>
      <c r="D433" s="5" t="s">
        <v>60</v>
      </c>
      <c r="E433" s="5" t="s">
        <v>62</v>
      </c>
      <c r="F433" s="5" t="s">
        <v>7670</v>
      </c>
      <c r="G433" s="5" t="s">
        <v>2226</v>
      </c>
      <c r="H433" s="5"/>
      <c r="I433" s="5" t="s">
        <v>2226</v>
      </c>
    </row>
    <row r="434" customFormat="false" ht="35.05" hidden="false" customHeight="false" outlineLevel="0" collapsed="false">
      <c r="A434" s="5" t="s">
        <v>2230</v>
      </c>
      <c r="B434" s="2" t="s">
        <v>2231</v>
      </c>
      <c r="C434" s="5" t="s">
        <v>2128</v>
      </c>
      <c r="D434" s="5" t="s">
        <v>60</v>
      </c>
      <c r="E434" s="5" t="s">
        <v>62</v>
      </c>
      <c r="F434" s="5" t="s">
        <v>7669</v>
      </c>
      <c r="G434" s="5" t="s">
        <v>839</v>
      </c>
      <c r="H434" s="5"/>
      <c r="I434" s="5" t="s">
        <v>839</v>
      </c>
    </row>
    <row r="435" customFormat="false" ht="35.05" hidden="false" customHeight="false" outlineLevel="0" collapsed="false">
      <c r="A435" s="5" t="s">
        <v>2230</v>
      </c>
      <c r="B435" s="2" t="s">
        <v>2231</v>
      </c>
      <c r="C435" s="5" t="s">
        <v>2128</v>
      </c>
      <c r="D435" s="5" t="s">
        <v>60</v>
      </c>
      <c r="E435" s="5" t="s">
        <v>62</v>
      </c>
      <c r="F435" s="5" t="s">
        <v>7669</v>
      </c>
      <c r="G435" s="5" t="s">
        <v>818</v>
      </c>
      <c r="H435" s="5"/>
      <c r="I435" s="5" t="s">
        <v>818</v>
      </c>
    </row>
    <row r="436" customFormat="false" ht="35.05" hidden="false" customHeight="false" outlineLevel="0" collapsed="false">
      <c r="A436" s="5" t="s">
        <v>2238</v>
      </c>
      <c r="B436" s="2" t="s">
        <v>2239</v>
      </c>
      <c r="C436" s="5" t="s">
        <v>2128</v>
      </c>
      <c r="D436" s="5" t="s">
        <v>60</v>
      </c>
      <c r="E436" s="5" t="s">
        <v>62</v>
      </c>
      <c r="F436" s="5" t="s">
        <v>7669</v>
      </c>
      <c r="G436" s="5" t="s">
        <v>2794</v>
      </c>
      <c r="H436" s="5"/>
      <c r="I436" s="5" t="s">
        <v>2794</v>
      </c>
    </row>
    <row r="437" customFormat="false" ht="35.05" hidden="false" customHeight="false" outlineLevel="0" collapsed="false">
      <c r="A437" s="5" t="s">
        <v>2238</v>
      </c>
      <c r="B437" s="2" t="s">
        <v>2239</v>
      </c>
      <c r="C437" s="5" t="s">
        <v>2128</v>
      </c>
      <c r="D437" s="5" t="s">
        <v>60</v>
      </c>
      <c r="E437" s="5" t="s">
        <v>62</v>
      </c>
      <c r="F437" s="5" t="s">
        <v>7669</v>
      </c>
      <c r="G437" s="5" t="s">
        <v>7688</v>
      </c>
      <c r="H437" s="5"/>
      <c r="I437" s="5" t="s">
        <v>7688</v>
      </c>
    </row>
    <row r="438" customFormat="false" ht="23.85" hidden="false" customHeight="false" outlineLevel="0" collapsed="false">
      <c r="A438" s="5" t="s">
        <v>2243</v>
      </c>
      <c r="B438" s="2" t="s">
        <v>2244</v>
      </c>
      <c r="C438" s="5" t="s">
        <v>2245</v>
      </c>
      <c r="D438" s="5" t="s">
        <v>60</v>
      </c>
      <c r="E438" s="5" t="s">
        <v>62</v>
      </c>
      <c r="F438" s="5" t="s">
        <v>7670</v>
      </c>
      <c r="G438" s="5" t="s">
        <v>2247</v>
      </c>
      <c r="H438" s="5"/>
      <c r="I438" s="5" t="s">
        <v>2247</v>
      </c>
    </row>
    <row r="439" customFormat="false" ht="23.85" hidden="false" customHeight="false" outlineLevel="0" collapsed="false">
      <c r="A439" s="5" t="s">
        <v>2253</v>
      </c>
      <c r="B439" s="2" t="s">
        <v>2254</v>
      </c>
      <c r="C439" s="5" t="s">
        <v>2245</v>
      </c>
      <c r="D439" s="5" t="s">
        <v>60</v>
      </c>
      <c r="E439" s="5" t="s">
        <v>62</v>
      </c>
      <c r="F439" s="5" t="s">
        <v>7670</v>
      </c>
      <c r="G439" s="5" t="s">
        <v>2255</v>
      </c>
      <c r="H439" s="5"/>
      <c r="I439" s="5" t="s">
        <v>2255</v>
      </c>
    </row>
    <row r="440" customFormat="false" ht="15" hidden="false" customHeight="false" outlineLevel="0" collapsed="false">
      <c r="A440" s="5" t="s">
        <v>2260</v>
      </c>
      <c r="B440" s="2" t="s">
        <v>2261</v>
      </c>
      <c r="C440" s="5" t="s">
        <v>2245</v>
      </c>
      <c r="D440" s="5" t="s">
        <v>60</v>
      </c>
      <c r="E440" s="5" t="s">
        <v>62</v>
      </c>
      <c r="F440" s="5" t="s">
        <v>7670</v>
      </c>
      <c r="G440" s="5" t="s">
        <v>2262</v>
      </c>
      <c r="H440" s="5"/>
      <c r="I440" s="5" t="s">
        <v>2262</v>
      </c>
    </row>
    <row r="441" customFormat="false" ht="23.85" hidden="false" customHeight="false" outlineLevel="0" collapsed="false">
      <c r="A441" s="5" t="s">
        <v>2267</v>
      </c>
      <c r="B441" s="2" t="s">
        <v>2268</v>
      </c>
      <c r="C441" s="5" t="s">
        <v>2245</v>
      </c>
      <c r="D441" s="5" t="s">
        <v>60</v>
      </c>
      <c r="E441" s="5" t="s">
        <v>62</v>
      </c>
      <c r="F441" s="5" t="s">
        <v>7670</v>
      </c>
      <c r="G441" s="5" t="s">
        <v>2269</v>
      </c>
      <c r="H441" s="5"/>
      <c r="I441" s="5" t="s">
        <v>2269</v>
      </c>
    </row>
    <row r="442" customFormat="false" ht="15" hidden="false" customHeight="false" outlineLevel="0" collapsed="false">
      <c r="A442" s="5" t="s">
        <v>2274</v>
      </c>
      <c r="B442" s="2" t="s">
        <v>2275</v>
      </c>
      <c r="C442" s="5" t="s">
        <v>2128</v>
      </c>
      <c r="D442" s="5" t="s">
        <v>60</v>
      </c>
      <c r="E442" s="5" t="s">
        <v>62</v>
      </c>
      <c r="F442" s="5" t="s">
        <v>7669</v>
      </c>
      <c r="G442" s="5" t="s">
        <v>7767</v>
      </c>
      <c r="H442" s="5"/>
      <c r="I442" s="5" t="s">
        <v>7767</v>
      </c>
    </row>
    <row r="443" customFormat="false" ht="15" hidden="false" customHeight="false" outlineLevel="0" collapsed="false">
      <c r="A443" s="5" t="s">
        <v>2274</v>
      </c>
      <c r="B443" s="2" t="s">
        <v>2275</v>
      </c>
      <c r="C443" s="5" t="s">
        <v>2128</v>
      </c>
      <c r="D443" s="5" t="s">
        <v>60</v>
      </c>
      <c r="E443" s="5" t="s">
        <v>62</v>
      </c>
      <c r="F443" s="5" t="s">
        <v>7670</v>
      </c>
      <c r="G443" s="5" t="s">
        <v>641</v>
      </c>
      <c r="H443" s="5"/>
      <c r="I443" s="5" t="s">
        <v>7768</v>
      </c>
    </row>
    <row r="444" customFormat="false" ht="15" hidden="false" customHeight="false" outlineLevel="0" collapsed="false">
      <c r="A444" s="5" t="s">
        <v>2282</v>
      </c>
      <c r="B444" s="2" t="s">
        <v>2283</v>
      </c>
      <c r="C444" s="5" t="s">
        <v>2128</v>
      </c>
      <c r="D444" s="5" t="s">
        <v>60</v>
      </c>
      <c r="E444" s="5" t="s">
        <v>62</v>
      </c>
      <c r="F444" s="5" t="s">
        <v>7721</v>
      </c>
      <c r="G444" s="5" t="s">
        <v>64</v>
      </c>
      <c r="H444" s="5"/>
      <c r="I444" s="5" t="s">
        <v>7769</v>
      </c>
    </row>
    <row r="445" customFormat="false" ht="15" hidden="false" customHeight="false" outlineLevel="0" collapsed="false">
      <c r="A445" s="5" t="s">
        <v>2282</v>
      </c>
      <c r="B445" s="2" t="s">
        <v>2283</v>
      </c>
      <c r="C445" s="5" t="s">
        <v>2128</v>
      </c>
      <c r="D445" s="5" t="s">
        <v>60</v>
      </c>
      <c r="E445" s="5" t="s">
        <v>62</v>
      </c>
      <c r="F445" s="5" t="s">
        <v>269</v>
      </c>
      <c r="G445" s="5" t="s">
        <v>7770</v>
      </c>
      <c r="H445" s="5" t="s">
        <v>1537</v>
      </c>
      <c r="I445" s="5" t="s">
        <v>3545</v>
      </c>
    </row>
    <row r="446" customFormat="false" ht="23.85" hidden="false" customHeight="false" outlineLevel="0" collapsed="false">
      <c r="A446" s="5" t="s">
        <v>2290</v>
      </c>
      <c r="B446" s="2" t="s">
        <v>2291</v>
      </c>
      <c r="C446" s="5" t="s">
        <v>2128</v>
      </c>
      <c r="D446" s="5" t="s">
        <v>60</v>
      </c>
      <c r="E446" s="5" t="s">
        <v>62</v>
      </c>
      <c r="F446" s="5" t="s">
        <v>7670</v>
      </c>
      <c r="G446" s="5" t="s">
        <v>2294</v>
      </c>
      <c r="H446" s="5"/>
      <c r="I446" s="5" t="s">
        <v>2294</v>
      </c>
    </row>
    <row r="447" customFormat="false" ht="23.85" hidden="false" customHeight="false" outlineLevel="0" collapsed="false">
      <c r="A447" s="5" t="s">
        <v>2301</v>
      </c>
      <c r="B447" s="2" t="s">
        <v>2302</v>
      </c>
      <c r="C447" s="5" t="s">
        <v>2128</v>
      </c>
      <c r="D447" s="5" t="s">
        <v>60</v>
      </c>
      <c r="E447" s="5" t="s">
        <v>62</v>
      </c>
      <c r="F447" s="5" t="s">
        <v>7670</v>
      </c>
      <c r="G447" s="5" t="s">
        <v>7771</v>
      </c>
      <c r="H447" s="5"/>
      <c r="I447" s="5" t="s">
        <v>7771</v>
      </c>
    </row>
    <row r="448" customFormat="false" ht="23.85" hidden="false" customHeight="false" outlineLevel="0" collapsed="false">
      <c r="A448" s="5" t="s">
        <v>2301</v>
      </c>
      <c r="B448" s="2" t="s">
        <v>2302</v>
      </c>
      <c r="C448" s="5" t="s">
        <v>2128</v>
      </c>
      <c r="D448" s="5" t="s">
        <v>60</v>
      </c>
      <c r="E448" s="5" t="s">
        <v>62</v>
      </c>
      <c r="F448" s="5" t="s">
        <v>7670</v>
      </c>
      <c r="G448" s="5" t="s">
        <v>7772</v>
      </c>
      <c r="H448" s="5"/>
      <c r="I448" s="5" t="s">
        <v>7772</v>
      </c>
    </row>
    <row r="449" customFormat="false" ht="23.85" hidden="false" customHeight="false" outlineLevel="0" collapsed="false">
      <c r="A449" s="5" t="s">
        <v>2301</v>
      </c>
      <c r="B449" s="2" t="s">
        <v>2302</v>
      </c>
      <c r="C449" s="5" t="s">
        <v>2128</v>
      </c>
      <c r="D449" s="5" t="s">
        <v>60</v>
      </c>
      <c r="E449" s="5" t="s">
        <v>62</v>
      </c>
      <c r="F449" s="5" t="s">
        <v>7670</v>
      </c>
      <c r="G449" s="5" t="s">
        <v>7773</v>
      </c>
      <c r="H449" s="5"/>
      <c r="I449" s="5" t="s">
        <v>7773</v>
      </c>
    </row>
    <row r="450" customFormat="false" ht="23.85" hidden="false" customHeight="false" outlineLevel="0" collapsed="false">
      <c r="A450" s="5" t="s">
        <v>2301</v>
      </c>
      <c r="B450" s="2" t="s">
        <v>2302</v>
      </c>
      <c r="C450" s="5" t="s">
        <v>2128</v>
      </c>
      <c r="D450" s="5" t="s">
        <v>60</v>
      </c>
      <c r="E450" s="5" t="s">
        <v>62</v>
      </c>
      <c r="F450" s="5" t="s">
        <v>269</v>
      </c>
      <c r="G450" s="5" t="s">
        <v>7746</v>
      </c>
      <c r="H450" s="5"/>
      <c r="I450" s="5" t="s">
        <v>1581</v>
      </c>
    </row>
    <row r="451" customFormat="false" ht="23.85" hidden="false" customHeight="false" outlineLevel="0" collapsed="false">
      <c r="A451" s="5" t="s">
        <v>2311</v>
      </c>
      <c r="B451" s="2" t="s">
        <v>2312</v>
      </c>
      <c r="C451" s="5" t="s">
        <v>2128</v>
      </c>
      <c r="D451" s="5" t="s">
        <v>60</v>
      </c>
      <c r="E451" s="5" t="s">
        <v>62</v>
      </c>
      <c r="F451" s="5" t="s">
        <v>7670</v>
      </c>
      <c r="G451" s="5" t="s">
        <v>2313</v>
      </c>
      <c r="H451" s="5"/>
      <c r="I451" s="5" t="s">
        <v>2313</v>
      </c>
    </row>
    <row r="452" customFormat="false" ht="23.85" hidden="false" customHeight="false" outlineLevel="0" collapsed="false">
      <c r="A452" s="5" t="s">
        <v>2317</v>
      </c>
      <c r="B452" s="2" t="s">
        <v>2318</v>
      </c>
      <c r="C452" s="5" t="s">
        <v>2128</v>
      </c>
      <c r="D452" s="5" t="s">
        <v>60</v>
      </c>
      <c r="E452" s="5" t="s">
        <v>62</v>
      </c>
      <c r="F452" s="5" t="s">
        <v>7721</v>
      </c>
      <c r="G452" s="5" t="s">
        <v>64</v>
      </c>
      <c r="H452" s="5"/>
      <c r="I452" s="5" t="s">
        <v>7774</v>
      </c>
    </row>
    <row r="453" customFormat="false" ht="23.85" hidden="false" customHeight="false" outlineLevel="0" collapsed="false">
      <c r="A453" s="5" t="s">
        <v>2317</v>
      </c>
      <c r="B453" s="2" t="s">
        <v>2318</v>
      </c>
      <c r="C453" s="5" t="s">
        <v>2128</v>
      </c>
      <c r="D453" s="5" t="s">
        <v>60</v>
      </c>
      <c r="E453" s="5" t="s">
        <v>62</v>
      </c>
      <c r="F453" s="5" t="s">
        <v>269</v>
      </c>
      <c r="G453" s="5" t="s">
        <v>7666</v>
      </c>
      <c r="H453" s="5" t="s">
        <v>192</v>
      </c>
      <c r="I453" s="5" t="s">
        <v>391</v>
      </c>
    </row>
    <row r="454" customFormat="false" ht="23.85" hidden="false" customHeight="false" outlineLevel="0" collapsed="false">
      <c r="A454" s="5" t="s">
        <v>2317</v>
      </c>
      <c r="B454" s="2" t="s">
        <v>2318</v>
      </c>
      <c r="C454" s="5" t="s">
        <v>2128</v>
      </c>
      <c r="D454" s="5" t="s">
        <v>60</v>
      </c>
      <c r="E454" s="5" t="s">
        <v>62</v>
      </c>
      <c r="F454" s="5" t="s">
        <v>7669</v>
      </c>
      <c r="G454" s="5" t="s">
        <v>839</v>
      </c>
      <c r="H454" s="5"/>
      <c r="I454" s="5" t="s">
        <v>839</v>
      </c>
    </row>
    <row r="455" customFormat="false" ht="23.85" hidden="false" customHeight="false" outlineLevel="0" collapsed="false">
      <c r="A455" s="5" t="s">
        <v>2317</v>
      </c>
      <c r="B455" s="2" t="s">
        <v>2318</v>
      </c>
      <c r="C455" s="5" t="s">
        <v>2128</v>
      </c>
      <c r="D455" s="5" t="s">
        <v>60</v>
      </c>
      <c r="E455" s="5" t="s">
        <v>62</v>
      </c>
      <c r="F455" s="5" t="s">
        <v>7669</v>
      </c>
      <c r="G455" s="5" t="s">
        <v>818</v>
      </c>
      <c r="H455" s="5"/>
      <c r="I455" s="5" t="s">
        <v>818</v>
      </c>
    </row>
    <row r="456" customFormat="false" ht="15" hidden="false" customHeight="false" outlineLevel="0" collapsed="false">
      <c r="A456" s="5" t="s">
        <v>2329</v>
      </c>
      <c r="B456" s="2" t="s">
        <v>2330</v>
      </c>
      <c r="C456" s="5" t="s">
        <v>2128</v>
      </c>
      <c r="D456" s="5" t="s">
        <v>60</v>
      </c>
      <c r="E456" s="5" t="s">
        <v>490</v>
      </c>
      <c r="F456" s="5" t="s">
        <v>7670</v>
      </c>
      <c r="G456" s="5" t="s">
        <v>2331</v>
      </c>
      <c r="H456" s="5"/>
      <c r="I456" s="5" t="s">
        <v>2331</v>
      </c>
    </row>
    <row r="457" customFormat="false" ht="23.85" hidden="false" customHeight="false" outlineLevel="0" collapsed="false">
      <c r="A457" s="5" t="s">
        <v>2337</v>
      </c>
      <c r="B457" s="2" t="s">
        <v>2338</v>
      </c>
      <c r="C457" s="5" t="s">
        <v>2128</v>
      </c>
      <c r="D457" s="5" t="s">
        <v>60</v>
      </c>
      <c r="E457" s="5" t="s">
        <v>62</v>
      </c>
      <c r="F457" s="5" t="s">
        <v>7670</v>
      </c>
      <c r="G457" s="5" t="s">
        <v>2341</v>
      </c>
      <c r="H457" s="5"/>
      <c r="I457" s="5" t="s">
        <v>2341</v>
      </c>
    </row>
    <row r="458" customFormat="false" ht="15" hidden="false" customHeight="false" outlineLevel="0" collapsed="false">
      <c r="A458" s="5" t="s">
        <v>2347</v>
      </c>
      <c r="B458" s="2" t="s">
        <v>2348</v>
      </c>
      <c r="C458" s="5" t="s">
        <v>2128</v>
      </c>
      <c r="D458" s="5" t="s">
        <v>60</v>
      </c>
      <c r="E458" s="5" t="s">
        <v>62</v>
      </c>
      <c r="F458" s="5" t="s">
        <v>7670</v>
      </c>
      <c r="G458" s="5" t="s">
        <v>2350</v>
      </c>
      <c r="H458" s="5"/>
      <c r="I458" s="5" t="s">
        <v>2350</v>
      </c>
    </row>
    <row r="459" customFormat="false" ht="15" hidden="false" customHeight="false" outlineLevel="0" collapsed="false">
      <c r="A459" s="5" t="s">
        <v>2356</v>
      </c>
      <c r="B459" s="2" t="s">
        <v>2357</v>
      </c>
      <c r="C459" s="5" t="s">
        <v>2128</v>
      </c>
      <c r="D459" s="5" t="s">
        <v>60</v>
      </c>
      <c r="E459" s="5" t="s">
        <v>62</v>
      </c>
      <c r="F459" s="5" t="s">
        <v>7670</v>
      </c>
      <c r="G459" s="5" t="s">
        <v>2350</v>
      </c>
      <c r="H459" s="5"/>
      <c r="I459" s="5" t="s">
        <v>2350</v>
      </c>
    </row>
    <row r="460" customFormat="false" ht="15" hidden="false" customHeight="false" outlineLevel="0" collapsed="false">
      <c r="A460" s="5" t="s">
        <v>2362</v>
      </c>
      <c r="B460" s="2" t="s">
        <v>2363</v>
      </c>
      <c r="C460" s="5" t="s">
        <v>2128</v>
      </c>
      <c r="D460" s="5" t="s">
        <v>60</v>
      </c>
      <c r="E460" s="5" t="s">
        <v>62</v>
      </c>
      <c r="F460" s="5" t="s">
        <v>7670</v>
      </c>
      <c r="G460" s="5" t="s">
        <v>2364</v>
      </c>
      <c r="H460" s="5"/>
      <c r="I460" s="5" t="s">
        <v>2364</v>
      </c>
    </row>
    <row r="461" customFormat="false" ht="15" hidden="false" customHeight="false" outlineLevel="0" collapsed="false">
      <c r="A461" s="5" t="s">
        <v>2369</v>
      </c>
      <c r="B461" s="2" t="s">
        <v>2370</v>
      </c>
      <c r="C461" s="5" t="s">
        <v>2128</v>
      </c>
      <c r="D461" s="5" t="s">
        <v>60</v>
      </c>
      <c r="E461" s="5" t="s">
        <v>62</v>
      </c>
      <c r="F461" s="5" t="s">
        <v>7670</v>
      </c>
      <c r="G461" s="5" t="s">
        <v>2364</v>
      </c>
      <c r="H461" s="5"/>
      <c r="I461" s="5" t="s">
        <v>2364</v>
      </c>
    </row>
    <row r="462" customFormat="false" ht="15" hidden="false" customHeight="false" outlineLevel="0" collapsed="false">
      <c r="A462" s="5" t="s">
        <v>2374</v>
      </c>
      <c r="B462" s="2" t="s">
        <v>2375</v>
      </c>
      <c r="C462" s="5" t="s">
        <v>2128</v>
      </c>
      <c r="D462" s="5" t="s">
        <v>60</v>
      </c>
      <c r="E462" s="5" t="s">
        <v>62</v>
      </c>
      <c r="F462" s="5" t="s">
        <v>7670</v>
      </c>
      <c r="G462" s="5" t="s">
        <v>2377</v>
      </c>
      <c r="H462" s="5"/>
      <c r="I462" s="5" t="s">
        <v>2377</v>
      </c>
    </row>
    <row r="463" customFormat="false" ht="15" hidden="false" customHeight="false" outlineLevel="0" collapsed="false">
      <c r="A463" s="5" t="s">
        <v>2384</v>
      </c>
      <c r="B463" s="2" t="s">
        <v>2385</v>
      </c>
      <c r="C463" s="5" t="s">
        <v>2128</v>
      </c>
      <c r="D463" s="5" t="s">
        <v>60</v>
      </c>
      <c r="E463" s="5" t="s">
        <v>62</v>
      </c>
      <c r="F463" s="5" t="s">
        <v>7670</v>
      </c>
      <c r="G463" s="5" t="s">
        <v>2387</v>
      </c>
      <c r="H463" s="5"/>
      <c r="I463" s="5" t="s">
        <v>2387</v>
      </c>
    </row>
    <row r="464" customFormat="false" ht="15" hidden="false" customHeight="false" outlineLevel="0" collapsed="false">
      <c r="A464" s="5" t="s">
        <v>2393</v>
      </c>
      <c r="B464" s="2" t="s">
        <v>2394</v>
      </c>
      <c r="C464" s="5" t="s">
        <v>2128</v>
      </c>
      <c r="D464" s="5" t="s">
        <v>60</v>
      </c>
      <c r="E464" s="5" t="s">
        <v>62</v>
      </c>
      <c r="F464" s="5" t="s">
        <v>7670</v>
      </c>
      <c r="G464" s="5" t="s">
        <v>2395</v>
      </c>
      <c r="H464" s="5"/>
      <c r="I464" s="5" t="s">
        <v>2395</v>
      </c>
    </row>
    <row r="465" customFormat="false" ht="23.85" hidden="false" customHeight="false" outlineLevel="0" collapsed="false">
      <c r="A465" s="5" t="s">
        <v>2399</v>
      </c>
      <c r="B465" s="2" t="s">
        <v>2400</v>
      </c>
      <c r="C465" s="5" t="s">
        <v>2128</v>
      </c>
      <c r="D465" s="5" t="s">
        <v>60</v>
      </c>
      <c r="E465" s="5" t="s">
        <v>62</v>
      </c>
      <c r="F465" s="5" t="s">
        <v>7670</v>
      </c>
      <c r="G465" s="5" t="s">
        <v>2401</v>
      </c>
      <c r="H465" s="5"/>
      <c r="I465" s="5" t="s">
        <v>2401</v>
      </c>
    </row>
    <row r="466" customFormat="false" ht="15" hidden="false" customHeight="false" outlineLevel="0" collapsed="false">
      <c r="A466" s="5" t="s">
        <v>2408</v>
      </c>
      <c r="B466" s="2" t="s">
        <v>2409</v>
      </c>
      <c r="C466" s="5" t="s">
        <v>2128</v>
      </c>
      <c r="D466" s="5" t="s">
        <v>60</v>
      </c>
      <c r="E466" s="5" t="s">
        <v>62</v>
      </c>
      <c r="F466" s="5" t="s">
        <v>7670</v>
      </c>
      <c r="G466" s="5" t="s">
        <v>2410</v>
      </c>
      <c r="H466" s="5"/>
      <c r="I466" s="5" t="s">
        <v>2410</v>
      </c>
    </row>
    <row r="467" customFormat="false" ht="15" hidden="false" customHeight="false" outlineLevel="0" collapsed="false">
      <c r="A467" s="5" t="s">
        <v>2416</v>
      </c>
      <c r="B467" s="2" t="s">
        <v>2417</v>
      </c>
      <c r="C467" s="5" t="s">
        <v>2128</v>
      </c>
      <c r="D467" s="5" t="s">
        <v>60</v>
      </c>
      <c r="E467" s="5" t="s">
        <v>62</v>
      </c>
      <c r="F467" s="5" t="s">
        <v>7670</v>
      </c>
      <c r="G467" s="5" t="s">
        <v>2418</v>
      </c>
      <c r="H467" s="5"/>
      <c r="I467" s="5" t="s">
        <v>2418</v>
      </c>
    </row>
    <row r="468" customFormat="false" ht="15" hidden="false" customHeight="false" outlineLevel="0" collapsed="false">
      <c r="A468" s="5" t="s">
        <v>2424</v>
      </c>
      <c r="B468" s="2" t="s">
        <v>2425</v>
      </c>
      <c r="C468" s="5" t="s">
        <v>2128</v>
      </c>
      <c r="D468" s="5" t="s">
        <v>60</v>
      </c>
      <c r="E468" s="5" t="s">
        <v>62</v>
      </c>
      <c r="F468" s="5" t="s">
        <v>7670</v>
      </c>
      <c r="G468" s="5" t="s">
        <v>2427</v>
      </c>
      <c r="H468" s="5"/>
      <c r="I468" s="5" t="s">
        <v>2427</v>
      </c>
    </row>
    <row r="469" customFormat="false" ht="15" hidden="false" customHeight="false" outlineLevel="0" collapsed="false">
      <c r="A469" s="5" t="s">
        <v>2432</v>
      </c>
      <c r="B469" s="2" t="s">
        <v>2433</v>
      </c>
      <c r="C469" s="5" t="s">
        <v>2128</v>
      </c>
      <c r="D469" s="5" t="s">
        <v>60</v>
      </c>
      <c r="E469" s="5" t="s">
        <v>62</v>
      </c>
      <c r="F469" s="5" t="s">
        <v>7670</v>
      </c>
      <c r="G469" s="5" t="s">
        <v>2434</v>
      </c>
      <c r="H469" s="5"/>
      <c r="I469" s="5" t="s">
        <v>2434</v>
      </c>
    </row>
    <row r="470" customFormat="false" ht="15" hidden="false" customHeight="false" outlineLevel="0" collapsed="false">
      <c r="A470" s="5" t="s">
        <v>2439</v>
      </c>
      <c r="B470" s="2" t="s">
        <v>2440</v>
      </c>
      <c r="C470" s="5" t="s">
        <v>2128</v>
      </c>
      <c r="D470" s="5" t="s">
        <v>60</v>
      </c>
      <c r="E470" s="5" t="s">
        <v>62</v>
      </c>
      <c r="F470" s="5" t="s">
        <v>7670</v>
      </c>
      <c r="G470" s="5" t="s">
        <v>2441</v>
      </c>
      <c r="H470" s="5"/>
      <c r="I470" s="5" t="s">
        <v>2441</v>
      </c>
    </row>
    <row r="471" customFormat="false" ht="23.85" hidden="false" customHeight="false" outlineLevel="0" collapsed="false">
      <c r="A471" s="5" t="s">
        <v>2446</v>
      </c>
      <c r="B471" s="2" t="s">
        <v>2447</v>
      </c>
      <c r="C471" s="5" t="s">
        <v>2128</v>
      </c>
      <c r="D471" s="5" t="s">
        <v>60</v>
      </c>
      <c r="E471" s="5" t="s">
        <v>62</v>
      </c>
      <c r="F471" s="5" t="s">
        <v>7670</v>
      </c>
      <c r="G471" s="5" t="s">
        <v>2449</v>
      </c>
      <c r="H471" s="5"/>
      <c r="I471" s="5" t="s">
        <v>2449</v>
      </c>
    </row>
    <row r="472" customFormat="false" ht="15" hidden="false" customHeight="false" outlineLevel="0" collapsed="false">
      <c r="A472" s="5" t="s">
        <v>2455</v>
      </c>
      <c r="B472" s="2" t="s">
        <v>2456</v>
      </c>
      <c r="C472" s="5" t="s">
        <v>2128</v>
      </c>
      <c r="D472" s="5" t="s">
        <v>60</v>
      </c>
      <c r="E472" s="5" t="s">
        <v>62</v>
      </c>
      <c r="F472" s="5" t="s">
        <v>7670</v>
      </c>
      <c r="G472" s="5" t="s">
        <v>2457</v>
      </c>
      <c r="H472" s="5"/>
      <c r="I472" s="5" t="s">
        <v>2457</v>
      </c>
    </row>
    <row r="473" customFormat="false" ht="15" hidden="false" customHeight="false" outlineLevel="0" collapsed="false">
      <c r="A473" s="5" t="s">
        <v>2462</v>
      </c>
      <c r="B473" s="2" t="s">
        <v>2463</v>
      </c>
      <c r="C473" s="5" t="s">
        <v>2128</v>
      </c>
      <c r="D473" s="5" t="s">
        <v>60</v>
      </c>
      <c r="E473" s="5" t="s">
        <v>62</v>
      </c>
      <c r="F473" s="5" t="s">
        <v>7670</v>
      </c>
      <c r="G473" s="5" t="s">
        <v>2464</v>
      </c>
      <c r="H473" s="5"/>
      <c r="I473" s="5" t="s">
        <v>2464</v>
      </c>
    </row>
    <row r="474" customFormat="false" ht="15" hidden="false" customHeight="false" outlineLevel="0" collapsed="false">
      <c r="A474" s="5" t="s">
        <v>2470</v>
      </c>
      <c r="B474" s="2" t="s">
        <v>2471</v>
      </c>
      <c r="C474" s="5" t="s">
        <v>2128</v>
      </c>
      <c r="D474" s="5" t="s">
        <v>60</v>
      </c>
      <c r="E474" s="5" t="s">
        <v>62</v>
      </c>
      <c r="F474" s="5" t="s">
        <v>7670</v>
      </c>
      <c r="G474" s="5" t="s">
        <v>2472</v>
      </c>
      <c r="H474" s="5"/>
      <c r="I474" s="5" t="s">
        <v>2472</v>
      </c>
    </row>
    <row r="475" customFormat="false" ht="15" hidden="false" customHeight="false" outlineLevel="0" collapsed="false">
      <c r="A475" s="5" t="s">
        <v>2477</v>
      </c>
      <c r="B475" s="2" t="s">
        <v>2478</v>
      </c>
      <c r="C475" s="5" t="s">
        <v>2128</v>
      </c>
      <c r="D475" s="5" t="s">
        <v>60</v>
      </c>
      <c r="E475" s="5" t="s">
        <v>62</v>
      </c>
      <c r="F475" s="5" t="s">
        <v>269</v>
      </c>
      <c r="G475" s="5" t="s">
        <v>7775</v>
      </c>
      <c r="H475" s="5" t="s">
        <v>214</v>
      </c>
      <c r="I475" s="5" t="s">
        <v>2480</v>
      </c>
    </row>
    <row r="476" customFormat="false" ht="15" hidden="false" customHeight="false" outlineLevel="0" collapsed="false">
      <c r="A476" s="5" t="s">
        <v>2485</v>
      </c>
      <c r="B476" s="2" t="s">
        <v>2486</v>
      </c>
      <c r="C476" s="5" t="s">
        <v>2128</v>
      </c>
      <c r="D476" s="5" t="s">
        <v>60</v>
      </c>
      <c r="E476" s="5" t="s">
        <v>62</v>
      </c>
      <c r="F476" s="5" t="s">
        <v>269</v>
      </c>
      <c r="G476" s="5" t="s">
        <v>7637</v>
      </c>
      <c r="H476" s="5" t="s">
        <v>214</v>
      </c>
      <c r="I476" s="5" t="s">
        <v>210</v>
      </c>
    </row>
    <row r="477" customFormat="false" ht="15" hidden="false" customHeight="false" outlineLevel="0" collapsed="false">
      <c r="A477" s="5" t="s">
        <v>2490</v>
      </c>
      <c r="B477" s="2" t="s">
        <v>2491</v>
      </c>
      <c r="C477" s="5" t="s">
        <v>2128</v>
      </c>
      <c r="D477" s="5" t="s">
        <v>60</v>
      </c>
      <c r="E477" s="5" t="s">
        <v>62</v>
      </c>
      <c r="F477" s="5" t="s">
        <v>7670</v>
      </c>
      <c r="G477" s="5" t="s">
        <v>7776</v>
      </c>
      <c r="H477" s="5"/>
      <c r="I477" s="5" t="s">
        <v>7777</v>
      </c>
    </row>
    <row r="478" customFormat="false" ht="15" hidden="false" customHeight="false" outlineLevel="0" collapsed="false">
      <c r="A478" s="5" t="s">
        <v>2490</v>
      </c>
      <c r="B478" s="2" t="s">
        <v>2491</v>
      </c>
      <c r="C478" s="5" t="s">
        <v>2128</v>
      </c>
      <c r="D478" s="5" t="s">
        <v>60</v>
      </c>
      <c r="E478" s="5" t="s">
        <v>62</v>
      </c>
      <c r="F478" s="5" t="s">
        <v>7670</v>
      </c>
      <c r="G478" s="5" t="s">
        <v>7778</v>
      </c>
      <c r="H478" s="5"/>
      <c r="I478" s="5" t="s">
        <v>7779</v>
      </c>
    </row>
    <row r="479" customFormat="false" ht="15" hidden="false" customHeight="false" outlineLevel="0" collapsed="false">
      <c r="A479" s="5" t="s">
        <v>2490</v>
      </c>
      <c r="B479" s="2" t="s">
        <v>2491</v>
      </c>
      <c r="C479" s="5" t="s">
        <v>2128</v>
      </c>
      <c r="D479" s="5" t="s">
        <v>60</v>
      </c>
      <c r="E479" s="5" t="s">
        <v>62</v>
      </c>
      <c r="F479" s="5" t="s">
        <v>7670</v>
      </c>
      <c r="G479" s="5" t="s">
        <v>7780</v>
      </c>
      <c r="H479" s="5"/>
      <c r="I479" s="5" t="s">
        <v>7781</v>
      </c>
    </row>
    <row r="480" customFormat="false" ht="15" hidden="false" customHeight="false" outlineLevel="0" collapsed="false">
      <c r="A480" s="5" t="s">
        <v>2501</v>
      </c>
      <c r="B480" s="2" t="s">
        <v>2502</v>
      </c>
      <c r="C480" s="5" t="s">
        <v>2128</v>
      </c>
      <c r="D480" s="5" t="s">
        <v>60</v>
      </c>
      <c r="E480" s="5" t="s">
        <v>62</v>
      </c>
      <c r="F480" s="5" t="s">
        <v>7670</v>
      </c>
      <c r="G480" s="5" t="s">
        <v>7776</v>
      </c>
      <c r="H480" s="5"/>
      <c r="I480" s="5" t="s">
        <v>7777</v>
      </c>
    </row>
    <row r="481" customFormat="false" ht="15" hidden="false" customHeight="false" outlineLevel="0" collapsed="false">
      <c r="A481" s="5" t="s">
        <v>2501</v>
      </c>
      <c r="B481" s="2" t="s">
        <v>2502</v>
      </c>
      <c r="C481" s="5" t="s">
        <v>2128</v>
      </c>
      <c r="D481" s="5" t="s">
        <v>60</v>
      </c>
      <c r="E481" s="5" t="s">
        <v>62</v>
      </c>
      <c r="F481" s="5" t="s">
        <v>7670</v>
      </c>
      <c r="G481" s="5" t="s">
        <v>7778</v>
      </c>
      <c r="H481" s="5"/>
      <c r="I481" s="5" t="s">
        <v>7779</v>
      </c>
    </row>
    <row r="482" customFormat="false" ht="15" hidden="false" customHeight="false" outlineLevel="0" collapsed="false">
      <c r="A482" s="5" t="s">
        <v>2501</v>
      </c>
      <c r="B482" s="2" t="s">
        <v>2502</v>
      </c>
      <c r="C482" s="5" t="s">
        <v>2128</v>
      </c>
      <c r="D482" s="5" t="s">
        <v>60</v>
      </c>
      <c r="E482" s="5" t="s">
        <v>62</v>
      </c>
      <c r="F482" s="5" t="s">
        <v>7670</v>
      </c>
      <c r="G482" s="5" t="s">
        <v>7780</v>
      </c>
      <c r="H482" s="5"/>
      <c r="I482" s="5" t="s">
        <v>7781</v>
      </c>
    </row>
    <row r="483" customFormat="false" ht="15" hidden="false" customHeight="false" outlineLevel="0" collapsed="false">
      <c r="A483" s="5" t="s">
        <v>2506</v>
      </c>
      <c r="B483" s="2" t="s">
        <v>2507</v>
      </c>
      <c r="C483" s="5" t="s">
        <v>2128</v>
      </c>
      <c r="D483" s="5" t="s">
        <v>60</v>
      </c>
      <c r="E483" s="5" t="s">
        <v>62</v>
      </c>
      <c r="F483" s="5" t="s">
        <v>7622</v>
      </c>
      <c r="G483" s="5" t="s">
        <v>753</v>
      </c>
      <c r="H483" s="5"/>
      <c r="I483" s="5" t="s">
        <v>753</v>
      </c>
    </row>
    <row r="484" customFormat="false" ht="15" hidden="false" customHeight="false" outlineLevel="0" collapsed="false">
      <c r="A484" s="5" t="s">
        <v>2512</v>
      </c>
      <c r="B484" s="2" t="s">
        <v>2513</v>
      </c>
      <c r="C484" s="5" t="s">
        <v>2128</v>
      </c>
      <c r="D484" s="5" t="s">
        <v>60</v>
      </c>
      <c r="E484" s="5" t="s">
        <v>62</v>
      </c>
      <c r="F484" s="5" t="s">
        <v>7670</v>
      </c>
      <c r="G484" s="5" t="s">
        <v>2514</v>
      </c>
      <c r="H484" s="5"/>
      <c r="I484" s="5" t="s">
        <v>2514</v>
      </c>
    </row>
    <row r="485" customFormat="false" ht="23.85" hidden="false" customHeight="false" outlineLevel="0" collapsed="false">
      <c r="A485" s="5" t="s">
        <v>2520</v>
      </c>
      <c r="B485" s="2" t="s">
        <v>2521</v>
      </c>
      <c r="C485" s="5" t="s">
        <v>2128</v>
      </c>
      <c r="D485" s="5" t="s">
        <v>60</v>
      </c>
      <c r="E485" s="5" t="s">
        <v>62</v>
      </c>
      <c r="F485" s="5" t="s">
        <v>7622</v>
      </c>
      <c r="G485" s="5" t="s">
        <v>2523</v>
      </c>
      <c r="H485" s="5"/>
      <c r="I485" s="5" t="s">
        <v>2523</v>
      </c>
    </row>
    <row r="486" customFormat="false" ht="23.85" hidden="false" customHeight="false" outlineLevel="0" collapsed="false">
      <c r="A486" s="5" t="s">
        <v>2529</v>
      </c>
      <c r="B486" s="2" t="s">
        <v>2530</v>
      </c>
      <c r="C486" s="5" t="s">
        <v>2128</v>
      </c>
      <c r="D486" s="5" t="s">
        <v>60</v>
      </c>
      <c r="E486" s="5" t="s">
        <v>62</v>
      </c>
      <c r="F486" s="5" t="s">
        <v>7622</v>
      </c>
      <c r="G486" s="5" t="s">
        <v>2523</v>
      </c>
      <c r="H486" s="5"/>
      <c r="I486" s="5" t="s">
        <v>2523</v>
      </c>
    </row>
    <row r="487" customFormat="false" ht="15" hidden="false" customHeight="false" outlineLevel="0" collapsed="false">
      <c r="A487" s="5" t="s">
        <v>2534</v>
      </c>
      <c r="B487" s="2" t="s">
        <v>2535</v>
      </c>
      <c r="C487" s="5" t="s">
        <v>2128</v>
      </c>
      <c r="D487" s="5" t="s">
        <v>60</v>
      </c>
      <c r="E487" s="5" t="s">
        <v>62</v>
      </c>
      <c r="F487" s="5" t="s">
        <v>7670</v>
      </c>
      <c r="G487" s="5" t="s">
        <v>7782</v>
      </c>
      <c r="H487" s="5"/>
      <c r="I487" s="5" t="s">
        <v>2536</v>
      </c>
    </row>
    <row r="488" customFormat="false" ht="15" hidden="false" customHeight="false" outlineLevel="0" collapsed="false">
      <c r="A488" s="5" t="s">
        <v>2541</v>
      </c>
      <c r="B488" s="2" t="s">
        <v>2542</v>
      </c>
      <c r="C488" s="5" t="s">
        <v>2128</v>
      </c>
      <c r="D488" s="5" t="s">
        <v>60</v>
      </c>
      <c r="E488" s="5" t="s">
        <v>62</v>
      </c>
      <c r="F488" s="5" t="s">
        <v>7670</v>
      </c>
      <c r="G488" s="5" t="s">
        <v>2543</v>
      </c>
      <c r="H488" s="5"/>
      <c r="I488" s="5" t="s">
        <v>2543</v>
      </c>
    </row>
    <row r="489" customFormat="false" ht="15" hidden="false" customHeight="false" outlineLevel="0" collapsed="false">
      <c r="A489" s="5" t="s">
        <v>2549</v>
      </c>
      <c r="B489" s="2" t="s">
        <v>2550</v>
      </c>
      <c r="C489" s="5" t="s">
        <v>2128</v>
      </c>
      <c r="D489" s="5" t="s">
        <v>60</v>
      </c>
      <c r="E489" s="5" t="s">
        <v>62</v>
      </c>
      <c r="F489" s="5" t="s">
        <v>7670</v>
      </c>
      <c r="G489" s="5" t="s">
        <v>2543</v>
      </c>
      <c r="H489" s="5"/>
      <c r="I489" s="5" t="s">
        <v>2543</v>
      </c>
    </row>
    <row r="490" customFormat="false" ht="15" hidden="false" customHeight="false" outlineLevel="0" collapsed="false">
      <c r="A490" s="5" t="s">
        <v>2554</v>
      </c>
      <c r="B490" s="2" t="s">
        <v>2555</v>
      </c>
      <c r="C490" s="5" t="s">
        <v>2128</v>
      </c>
      <c r="D490" s="5" t="s">
        <v>60</v>
      </c>
      <c r="E490" s="5" t="s">
        <v>62</v>
      </c>
      <c r="F490" s="5" t="s">
        <v>7670</v>
      </c>
      <c r="G490" s="5" t="s">
        <v>2556</v>
      </c>
      <c r="H490" s="5"/>
      <c r="I490" s="5" t="s">
        <v>2556</v>
      </c>
    </row>
    <row r="491" customFormat="false" ht="15" hidden="false" customHeight="false" outlineLevel="0" collapsed="false">
      <c r="A491" s="5" t="s">
        <v>2560</v>
      </c>
      <c r="B491" s="2" t="s">
        <v>2561</v>
      </c>
      <c r="C491" s="5" t="s">
        <v>2128</v>
      </c>
      <c r="D491" s="5" t="s">
        <v>60</v>
      </c>
      <c r="E491" s="5" t="s">
        <v>62</v>
      </c>
      <c r="F491" s="5" t="s">
        <v>7670</v>
      </c>
      <c r="G491" s="5" t="s">
        <v>2562</v>
      </c>
      <c r="H491" s="5"/>
      <c r="I491" s="5" t="s">
        <v>2562</v>
      </c>
    </row>
    <row r="492" customFormat="false" ht="15" hidden="false" customHeight="false" outlineLevel="0" collapsed="false">
      <c r="A492" s="5" t="s">
        <v>2566</v>
      </c>
      <c r="B492" s="2" t="s">
        <v>2567</v>
      </c>
      <c r="C492" s="5" t="s">
        <v>2128</v>
      </c>
      <c r="D492" s="5" t="s">
        <v>60</v>
      </c>
      <c r="E492" s="5" t="s">
        <v>62</v>
      </c>
      <c r="F492" s="5" t="s">
        <v>7670</v>
      </c>
      <c r="G492" s="5" t="s">
        <v>2574</v>
      </c>
      <c r="H492" s="5"/>
      <c r="I492" s="5" t="s">
        <v>2568</v>
      </c>
    </row>
    <row r="493" customFormat="false" ht="15" hidden="false" customHeight="false" outlineLevel="0" collapsed="false">
      <c r="A493" s="5" t="s">
        <v>2572</v>
      </c>
      <c r="B493" s="2" t="s">
        <v>2573</v>
      </c>
      <c r="C493" s="5" t="s">
        <v>2128</v>
      </c>
      <c r="D493" s="5" t="s">
        <v>60</v>
      </c>
      <c r="E493" s="5" t="s">
        <v>62</v>
      </c>
      <c r="F493" s="5" t="s">
        <v>7670</v>
      </c>
      <c r="G493" s="5" t="s">
        <v>2574</v>
      </c>
      <c r="H493" s="5"/>
      <c r="I493" s="5" t="s">
        <v>2574</v>
      </c>
    </row>
    <row r="494" customFormat="false" ht="15" hidden="false" customHeight="false" outlineLevel="0" collapsed="false">
      <c r="A494" s="5" t="s">
        <v>2577</v>
      </c>
      <c r="B494" s="2" t="s">
        <v>2578</v>
      </c>
      <c r="C494" s="5" t="s">
        <v>2128</v>
      </c>
      <c r="D494" s="5" t="s">
        <v>60</v>
      </c>
      <c r="E494" s="5" t="s">
        <v>62</v>
      </c>
      <c r="F494" s="5" t="s">
        <v>7670</v>
      </c>
      <c r="G494" s="5" t="s">
        <v>2537</v>
      </c>
      <c r="H494" s="5"/>
      <c r="I494" s="5" t="s">
        <v>2537</v>
      </c>
    </row>
    <row r="495" customFormat="false" ht="15" hidden="false" customHeight="false" outlineLevel="0" collapsed="false">
      <c r="A495" s="5" t="s">
        <v>2583</v>
      </c>
      <c r="B495" s="2" t="s">
        <v>2584</v>
      </c>
      <c r="C495" s="5" t="s">
        <v>2128</v>
      </c>
      <c r="D495" s="5" t="s">
        <v>60</v>
      </c>
      <c r="E495" s="5" t="s">
        <v>62</v>
      </c>
      <c r="F495" s="5" t="s">
        <v>7670</v>
      </c>
      <c r="G495" s="5" t="s">
        <v>2585</v>
      </c>
      <c r="H495" s="5"/>
      <c r="I495" s="5" t="s">
        <v>2585</v>
      </c>
    </row>
    <row r="496" customFormat="false" ht="23.85" hidden="false" customHeight="false" outlineLevel="0" collapsed="false">
      <c r="A496" s="5" t="s">
        <v>2589</v>
      </c>
      <c r="B496" s="2" t="s">
        <v>2590</v>
      </c>
      <c r="C496" s="5" t="s">
        <v>2128</v>
      </c>
      <c r="D496" s="5" t="s">
        <v>60</v>
      </c>
      <c r="E496" s="5" t="s">
        <v>490</v>
      </c>
      <c r="F496" s="5" t="s">
        <v>7622</v>
      </c>
      <c r="G496" s="5" t="s">
        <v>753</v>
      </c>
      <c r="H496" s="5"/>
      <c r="I496" s="5" t="s">
        <v>753</v>
      </c>
    </row>
    <row r="497" customFormat="false" ht="23.85" hidden="false" customHeight="false" outlineLevel="0" collapsed="false">
      <c r="A497" s="5" t="s">
        <v>2589</v>
      </c>
      <c r="B497" s="2" t="s">
        <v>2590</v>
      </c>
      <c r="C497" s="5" t="s">
        <v>2128</v>
      </c>
      <c r="D497" s="5" t="s">
        <v>60</v>
      </c>
      <c r="E497" s="5" t="s">
        <v>490</v>
      </c>
      <c r="F497" s="5" t="s">
        <v>7622</v>
      </c>
      <c r="G497" s="5" t="s">
        <v>7783</v>
      </c>
      <c r="H497" s="5"/>
      <c r="I497" s="5" t="s">
        <v>7784</v>
      </c>
    </row>
    <row r="498" customFormat="false" ht="15" hidden="false" customHeight="false" outlineLevel="0" collapsed="false">
      <c r="A498" s="5" t="s">
        <v>2599</v>
      </c>
      <c r="B498" s="2" t="s">
        <v>2600</v>
      </c>
      <c r="C498" s="5" t="s">
        <v>2128</v>
      </c>
      <c r="D498" s="5" t="s">
        <v>60</v>
      </c>
      <c r="E498" s="5" t="s">
        <v>62</v>
      </c>
      <c r="F498" s="5" t="s">
        <v>7622</v>
      </c>
      <c r="G498" s="5" t="s">
        <v>174</v>
      </c>
      <c r="H498" s="5"/>
      <c r="I498" s="5" t="s">
        <v>174</v>
      </c>
    </row>
    <row r="499" customFormat="false" ht="15" hidden="false" customHeight="false" outlineLevel="0" collapsed="false">
      <c r="A499" s="5" t="s">
        <v>2606</v>
      </c>
      <c r="B499" s="2" t="s">
        <v>2607</v>
      </c>
      <c r="C499" s="5" t="s">
        <v>2128</v>
      </c>
      <c r="D499" s="5" t="s">
        <v>60</v>
      </c>
      <c r="E499" s="5" t="s">
        <v>62</v>
      </c>
      <c r="F499" s="5" t="s">
        <v>269</v>
      </c>
      <c r="G499" s="5" t="s">
        <v>7770</v>
      </c>
      <c r="H499" s="5" t="s">
        <v>1537</v>
      </c>
      <c r="I499" s="5" t="s">
        <v>3545</v>
      </c>
    </row>
    <row r="500" customFormat="false" ht="15" hidden="false" customHeight="false" outlineLevel="0" collapsed="false">
      <c r="A500" s="5" t="s">
        <v>2606</v>
      </c>
      <c r="B500" s="2" t="s">
        <v>2607</v>
      </c>
      <c r="C500" s="5" t="s">
        <v>2128</v>
      </c>
      <c r="D500" s="5" t="s">
        <v>60</v>
      </c>
      <c r="E500" s="5" t="s">
        <v>62</v>
      </c>
      <c r="F500" s="5" t="s">
        <v>7721</v>
      </c>
      <c r="G500" s="5" t="s">
        <v>64</v>
      </c>
      <c r="H500" s="5"/>
      <c r="I500" s="5" t="s">
        <v>7785</v>
      </c>
    </row>
    <row r="501" customFormat="false" ht="15" hidden="false" customHeight="false" outlineLevel="0" collapsed="false">
      <c r="A501" s="5" t="s">
        <v>2614</v>
      </c>
      <c r="B501" s="2" t="s">
        <v>2615</v>
      </c>
      <c r="C501" s="5" t="s">
        <v>2128</v>
      </c>
      <c r="D501" s="5" t="s">
        <v>60</v>
      </c>
      <c r="E501" s="5" t="s">
        <v>62</v>
      </c>
      <c r="F501" s="5" t="s">
        <v>7670</v>
      </c>
      <c r="G501" s="5" t="s">
        <v>2617</v>
      </c>
      <c r="H501" s="5"/>
      <c r="I501" s="5" t="s">
        <v>2617</v>
      </c>
    </row>
    <row r="502" customFormat="false" ht="23.85" hidden="false" customHeight="false" outlineLevel="0" collapsed="false">
      <c r="A502" s="5" t="s">
        <v>2623</v>
      </c>
      <c r="B502" s="2" t="s">
        <v>2624</v>
      </c>
      <c r="C502" s="5" t="s">
        <v>2128</v>
      </c>
      <c r="D502" s="5" t="s">
        <v>60</v>
      </c>
      <c r="E502" s="5" t="s">
        <v>62</v>
      </c>
      <c r="F502" s="5" t="s">
        <v>7786</v>
      </c>
      <c r="G502" s="5" t="s">
        <v>7787</v>
      </c>
      <c r="H502" s="5" t="s">
        <v>2632</v>
      </c>
      <c r="I502" s="5" t="s">
        <v>7788</v>
      </c>
    </row>
    <row r="503" customFormat="false" ht="23.85" hidden="false" customHeight="false" outlineLevel="0" collapsed="false">
      <c r="A503" s="5" t="s">
        <v>2635</v>
      </c>
      <c r="B503" s="2" t="s">
        <v>2636</v>
      </c>
      <c r="C503" s="5" t="s">
        <v>2128</v>
      </c>
      <c r="D503" s="5" t="s">
        <v>60</v>
      </c>
      <c r="E503" s="5" t="s">
        <v>62</v>
      </c>
      <c r="F503" s="5" t="s">
        <v>7670</v>
      </c>
      <c r="G503" s="5" t="s">
        <v>2638</v>
      </c>
      <c r="H503" s="5"/>
      <c r="I503" s="5" t="s">
        <v>2638</v>
      </c>
    </row>
    <row r="504" customFormat="false" ht="23.85" hidden="false" customHeight="false" outlineLevel="0" collapsed="false">
      <c r="A504" s="5" t="s">
        <v>2642</v>
      </c>
      <c r="B504" s="2" t="s">
        <v>2643</v>
      </c>
      <c r="C504" s="5" t="s">
        <v>2128</v>
      </c>
      <c r="D504" s="5" t="s">
        <v>60</v>
      </c>
      <c r="E504" s="5" t="s">
        <v>62</v>
      </c>
      <c r="F504" s="5" t="s">
        <v>7721</v>
      </c>
      <c r="G504" s="5" t="s">
        <v>64</v>
      </c>
      <c r="H504" s="5"/>
      <c r="I504" s="5" t="s">
        <v>7774</v>
      </c>
    </row>
    <row r="505" customFormat="false" ht="23.85" hidden="false" customHeight="false" outlineLevel="0" collapsed="false">
      <c r="A505" s="5" t="s">
        <v>2642</v>
      </c>
      <c r="B505" s="2" t="s">
        <v>2643</v>
      </c>
      <c r="C505" s="5" t="s">
        <v>2128</v>
      </c>
      <c r="D505" s="5" t="s">
        <v>60</v>
      </c>
      <c r="E505" s="5" t="s">
        <v>62</v>
      </c>
      <c r="F505" s="5" t="s">
        <v>269</v>
      </c>
      <c r="G505" s="5" t="s">
        <v>7666</v>
      </c>
      <c r="H505" s="5" t="s">
        <v>192</v>
      </c>
      <c r="I505" s="5" t="s">
        <v>391</v>
      </c>
    </row>
    <row r="506" customFormat="false" ht="15" hidden="false" customHeight="false" outlineLevel="0" collapsed="false">
      <c r="A506" s="5" t="s">
        <v>2650</v>
      </c>
      <c r="B506" s="2" t="s">
        <v>2651</v>
      </c>
      <c r="C506" s="5" t="s">
        <v>2128</v>
      </c>
      <c r="D506" s="5" t="s">
        <v>60</v>
      </c>
      <c r="E506" s="5" t="s">
        <v>62</v>
      </c>
      <c r="F506" s="5" t="s">
        <v>7670</v>
      </c>
      <c r="G506" s="5" t="s">
        <v>2652</v>
      </c>
      <c r="H506" s="5"/>
      <c r="I506" s="5" t="s">
        <v>2652</v>
      </c>
    </row>
    <row r="507" customFormat="false" ht="15" hidden="false" customHeight="false" outlineLevel="0" collapsed="false">
      <c r="A507" s="5" t="s">
        <v>2658</v>
      </c>
      <c r="B507" s="2" t="s">
        <v>2659</v>
      </c>
      <c r="C507" s="5" t="s">
        <v>2128</v>
      </c>
      <c r="D507" s="5" t="s">
        <v>60</v>
      </c>
      <c r="E507" s="5" t="s">
        <v>62</v>
      </c>
      <c r="F507" s="5" t="s">
        <v>7670</v>
      </c>
      <c r="G507" s="5" t="s">
        <v>2660</v>
      </c>
      <c r="H507" s="5"/>
      <c r="I507" s="5" t="s">
        <v>2660</v>
      </c>
    </row>
    <row r="508" customFormat="false" ht="15" hidden="false" customHeight="false" outlineLevel="0" collapsed="false">
      <c r="A508" s="5" t="s">
        <v>2666</v>
      </c>
      <c r="B508" s="2" t="s">
        <v>2667</v>
      </c>
      <c r="C508" s="5" t="s">
        <v>2128</v>
      </c>
      <c r="D508" s="5" t="s">
        <v>60</v>
      </c>
      <c r="E508" s="5" t="s">
        <v>62</v>
      </c>
      <c r="F508" s="5" t="s">
        <v>7670</v>
      </c>
      <c r="G508" s="5" t="s">
        <v>2668</v>
      </c>
      <c r="H508" s="5"/>
      <c r="I508" s="5" t="s">
        <v>2668</v>
      </c>
    </row>
    <row r="509" customFormat="false" ht="15" hidden="false" customHeight="false" outlineLevel="0" collapsed="false">
      <c r="A509" s="5" t="s">
        <v>2673</v>
      </c>
      <c r="B509" s="2" t="s">
        <v>2674</v>
      </c>
      <c r="C509" s="5" t="s">
        <v>2128</v>
      </c>
      <c r="D509" s="5" t="s">
        <v>60</v>
      </c>
      <c r="E509" s="5" t="s">
        <v>62</v>
      </c>
      <c r="F509" s="5" t="s">
        <v>7670</v>
      </c>
      <c r="G509" s="5" t="s">
        <v>2675</v>
      </c>
      <c r="H509" s="5"/>
      <c r="I509" s="5" t="s">
        <v>2675</v>
      </c>
    </row>
    <row r="510" customFormat="false" ht="15" hidden="false" customHeight="false" outlineLevel="0" collapsed="false">
      <c r="A510" s="5" t="s">
        <v>2680</v>
      </c>
      <c r="B510" s="2" t="s">
        <v>2681</v>
      </c>
      <c r="C510" s="5" t="s">
        <v>2128</v>
      </c>
      <c r="D510" s="5" t="s">
        <v>60</v>
      </c>
      <c r="E510" s="5" t="s">
        <v>62</v>
      </c>
      <c r="F510" s="5" t="s">
        <v>7670</v>
      </c>
      <c r="G510" s="5" t="s">
        <v>7789</v>
      </c>
      <c r="H510" s="5"/>
      <c r="I510" s="5" t="s">
        <v>7789</v>
      </c>
    </row>
    <row r="511" customFormat="false" ht="15" hidden="false" customHeight="false" outlineLevel="0" collapsed="false">
      <c r="A511" s="5" t="s">
        <v>2680</v>
      </c>
      <c r="B511" s="2" t="s">
        <v>2681</v>
      </c>
      <c r="C511" s="5" t="s">
        <v>2128</v>
      </c>
      <c r="D511" s="5" t="s">
        <v>60</v>
      </c>
      <c r="E511" s="5" t="s">
        <v>62</v>
      </c>
      <c r="F511" s="5" t="s">
        <v>7670</v>
      </c>
      <c r="G511" s="5" t="s">
        <v>7790</v>
      </c>
      <c r="H511" s="5"/>
      <c r="I511" s="5" t="s">
        <v>7790</v>
      </c>
    </row>
    <row r="512" customFormat="false" ht="15" hidden="false" customHeight="false" outlineLevel="0" collapsed="false">
      <c r="A512" s="5" t="s">
        <v>2688</v>
      </c>
      <c r="B512" s="2" t="s">
        <v>2689</v>
      </c>
      <c r="C512" s="5" t="s">
        <v>2128</v>
      </c>
      <c r="D512" s="5" t="s">
        <v>60</v>
      </c>
      <c r="E512" s="5" t="s">
        <v>62</v>
      </c>
      <c r="F512" s="5" t="s">
        <v>7670</v>
      </c>
      <c r="G512" s="5" t="s">
        <v>7791</v>
      </c>
      <c r="H512" s="5"/>
      <c r="I512" s="5" t="s">
        <v>7791</v>
      </c>
    </row>
    <row r="513" customFormat="false" ht="15" hidden="false" customHeight="false" outlineLevel="0" collapsed="false">
      <c r="A513" s="5" t="s">
        <v>2688</v>
      </c>
      <c r="B513" s="2" t="s">
        <v>2689</v>
      </c>
      <c r="C513" s="5" t="s">
        <v>2128</v>
      </c>
      <c r="D513" s="5" t="s">
        <v>60</v>
      </c>
      <c r="E513" s="5" t="s">
        <v>62</v>
      </c>
      <c r="F513" s="5" t="s">
        <v>7670</v>
      </c>
      <c r="G513" s="5" t="s">
        <v>7792</v>
      </c>
      <c r="H513" s="5"/>
      <c r="I513" s="5" t="s">
        <v>7792</v>
      </c>
    </row>
    <row r="514" customFormat="false" ht="15" hidden="false" customHeight="false" outlineLevel="0" collapsed="false">
      <c r="A514" s="5" t="s">
        <v>2695</v>
      </c>
      <c r="B514" s="2" t="s">
        <v>2696</v>
      </c>
      <c r="C514" s="5" t="s">
        <v>2128</v>
      </c>
      <c r="D514" s="5" t="s">
        <v>60</v>
      </c>
      <c r="E514" s="5" t="s">
        <v>62</v>
      </c>
      <c r="F514" s="5" t="s">
        <v>7670</v>
      </c>
      <c r="G514" s="5" t="s">
        <v>2697</v>
      </c>
      <c r="H514" s="5"/>
      <c r="I514" s="5" t="s">
        <v>2697</v>
      </c>
    </row>
    <row r="515" customFormat="false" ht="23.85" hidden="false" customHeight="false" outlineLevel="0" collapsed="false">
      <c r="A515" s="5" t="s">
        <v>2703</v>
      </c>
      <c r="B515" s="2" t="s">
        <v>2704</v>
      </c>
      <c r="C515" s="5" t="s">
        <v>2128</v>
      </c>
      <c r="D515" s="5" t="s">
        <v>60</v>
      </c>
      <c r="E515" s="5" t="s">
        <v>62</v>
      </c>
      <c r="F515" s="5" t="s">
        <v>7712</v>
      </c>
      <c r="G515" s="5" t="s">
        <v>7713</v>
      </c>
      <c r="H515" s="5"/>
      <c r="I515" s="5" t="s">
        <v>7793</v>
      </c>
    </row>
    <row r="516" customFormat="false" ht="23.85" hidden="false" customHeight="false" outlineLevel="0" collapsed="false">
      <c r="A516" s="5" t="s">
        <v>2712</v>
      </c>
      <c r="B516" s="2" t="s">
        <v>2713</v>
      </c>
      <c r="C516" s="5" t="s">
        <v>2128</v>
      </c>
      <c r="D516" s="5" t="s">
        <v>60</v>
      </c>
      <c r="E516" s="5" t="s">
        <v>62</v>
      </c>
      <c r="F516" s="5" t="s">
        <v>7712</v>
      </c>
      <c r="G516" s="5" t="s">
        <v>7713</v>
      </c>
      <c r="H516" s="5"/>
      <c r="I516" s="5" t="s">
        <v>2714</v>
      </c>
    </row>
    <row r="517" customFormat="false" ht="23.85" hidden="false" customHeight="false" outlineLevel="0" collapsed="false">
      <c r="A517" s="5" t="s">
        <v>2718</v>
      </c>
      <c r="B517" s="2" t="s">
        <v>2719</v>
      </c>
      <c r="C517" s="5" t="s">
        <v>2128</v>
      </c>
      <c r="D517" s="5" t="s">
        <v>60</v>
      </c>
      <c r="E517" s="5" t="s">
        <v>62</v>
      </c>
      <c r="F517" s="5" t="s">
        <v>7669</v>
      </c>
      <c r="G517" s="5" t="s">
        <v>2722</v>
      </c>
      <c r="H517" s="5"/>
      <c r="I517" s="5" t="s">
        <v>2722</v>
      </c>
    </row>
    <row r="518" customFormat="false" ht="23.85" hidden="false" customHeight="false" outlineLevel="0" collapsed="false">
      <c r="A518" s="5" t="s">
        <v>2729</v>
      </c>
      <c r="B518" s="2" t="s">
        <v>2730</v>
      </c>
      <c r="C518" s="5" t="s">
        <v>2128</v>
      </c>
      <c r="D518" s="5" t="s">
        <v>60</v>
      </c>
      <c r="E518" s="5" t="s">
        <v>62</v>
      </c>
      <c r="F518" s="5" t="s">
        <v>7670</v>
      </c>
      <c r="G518" s="5" t="s">
        <v>7794</v>
      </c>
      <c r="H518" s="5"/>
      <c r="I518" s="5" t="s">
        <v>7794</v>
      </c>
    </row>
    <row r="519" customFormat="false" ht="23.85" hidden="false" customHeight="false" outlineLevel="0" collapsed="false">
      <c r="A519" s="5" t="s">
        <v>2729</v>
      </c>
      <c r="B519" s="2" t="s">
        <v>2730</v>
      </c>
      <c r="C519" s="5" t="s">
        <v>2128</v>
      </c>
      <c r="D519" s="5" t="s">
        <v>60</v>
      </c>
      <c r="E519" s="5" t="s">
        <v>62</v>
      </c>
      <c r="F519" s="5" t="s">
        <v>7670</v>
      </c>
      <c r="G519" s="5" t="s">
        <v>7795</v>
      </c>
      <c r="H519" s="5"/>
      <c r="I519" s="5" t="s">
        <v>7795</v>
      </c>
    </row>
    <row r="520" customFormat="false" ht="15" hidden="false" customHeight="false" outlineLevel="0" collapsed="false">
      <c r="A520" s="5" t="s">
        <v>2737</v>
      </c>
      <c r="B520" s="2" t="s">
        <v>2738</v>
      </c>
      <c r="C520" s="5" t="s">
        <v>2128</v>
      </c>
      <c r="D520" s="5" t="s">
        <v>60</v>
      </c>
      <c r="E520" s="5" t="s">
        <v>62</v>
      </c>
      <c r="F520" s="5" t="s">
        <v>7669</v>
      </c>
      <c r="G520" s="5" t="s">
        <v>2740</v>
      </c>
      <c r="H520" s="5"/>
      <c r="I520" s="5" t="s">
        <v>2740</v>
      </c>
    </row>
    <row r="521" customFormat="false" ht="15" hidden="false" customHeight="false" outlineLevel="0" collapsed="false">
      <c r="A521" s="5" t="s">
        <v>2745</v>
      </c>
      <c r="B521" s="2" t="s">
        <v>2746</v>
      </c>
      <c r="C521" s="5" t="s">
        <v>2128</v>
      </c>
      <c r="D521" s="5" t="s">
        <v>60</v>
      </c>
      <c r="E521" s="5" t="s">
        <v>62</v>
      </c>
      <c r="F521" s="5" t="s">
        <v>7670</v>
      </c>
      <c r="G521" s="5" t="s">
        <v>2301</v>
      </c>
      <c r="H521" s="5"/>
      <c r="I521" s="5" t="s">
        <v>2301</v>
      </c>
    </row>
    <row r="522" customFormat="false" ht="15" hidden="false" customHeight="false" outlineLevel="0" collapsed="false">
      <c r="A522" s="5" t="s">
        <v>2752</v>
      </c>
      <c r="B522" s="2" t="s">
        <v>2753</v>
      </c>
      <c r="C522" s="5" t="s">
        <v>2128</v>
      </c>
      <c r="D522" s="5" t="s">
        <v>60</v>
      </c>
      <c r="E522" s="5" t="s">
        <v>490</v>
      </c>
      <c r="F522" s="5" t="s">
        <v>7670</v>
      </c>
      <c r="G522" s="5" t="s">
        <v>2756</v>
      </c>
      <c r="H522" s="5"/>
      <c r="I522" s="5" t="s">
        <v>2756</v>
      </c>
    </row>
    <row r="523" customFormat="false" ht="23.85" hidden="false" customHeight="false" outlineLevel="0" collapsed="false">
      <c r="A523" s="5" t="s">
        <v>2763</v>
      </c>
      <c r="B523" s="2" t="s">
        <v>2764</v>
      </c>
      <c r="C523" s="5" t="s">
        <v>2128</v>
      </c>
      <c r="D523" s="5" t="s">
        <v>60</v>
      </c>
      <c r="E523" s="5" t="s">
        <v>62</v>
      </c>
      <c r="F523" s="5" t="s">
        <v>7721</v>
      </c>
      <c r="G523" s="5" t="s">
        <v>64</v>
      </c>
      <c r="H523" s="5"/>
      <c r="I523" s="5" t="s">
        <v>7774</v>
      </c>
    </row>
    <row r="524" customFormat="false" ht="23.85" hidden="false" customHeight="false" outlineLevel="0" collapsed="false">
      <c r="A524" s="5" t="s">
        <v>2763</v>
      </c>
      <c r="B524" s="2" t="s">
        <v>2764</v>
      </c>
      <c r="C524" s="5" t="s">
        <v>2128</v>
      </c>
      <c r="D524" s="5" t="s">
        <v>60</v>
      </c>
      <c r="E524" s="5" t="s">
        <v>62</v>
      </c>
      <c r="F524" s="5" t="s">
        <v>269</v>
      </c>
      <c r="G524" s="5" t="s">
        <v>7666</v>
      </c>
      <c r="H524" s="5" t="s">
        <v>192</v>
      </c>
      <c r="I524" s="5" t="s">
        <v>391</v>
      </c>
    </row>
    <row r="525" customFormat="false" ht="23.85" hidden="false" customHeight="false" outlineLevel="0" collapsed="false">
      <c r="A525" s="5" t="s">
        <v>2763</v>
      </c>
      <c r="B525" s="2" t="s">
        <v>2764</v>
      </c>
      <c r="C525" s="5" t="s">
        <v>2128</v>
      </c>
      <c r="D525" s="5" t="s">
        <v>60</v>
      </c>
      <c r="E525" s="5" t="s">
        <v>62</v>
      </c>
      <c r="F525" s="5" t="s">
        <v>7669</v>
      </c>
      <c r="G525" s="5" t="s">
        <v>2794</v>
      </c>
      <c r="H525" s="5"/>
      <c r="I525" s="5" t="s">
        <v>2794</v>
      </c>
    </row>
    <row r="526" customFormat="false" ht="23.85" hidden="false" customHeight="false" outlineLevel="0" collapsed="false">
      <c r="A526" s="5" t="s">
        <v>2763</v>
      </c>
      <c r="B526" s="2" t="s">
        <v>2764</v>
      </c>
      <c r="C526" s="5" t="s">
        <v>2128</v>
      </c>
      <c r="D526" s="5" t="s">
        <v>60</v>
      </c>
      <c r="E526" s="5" t="s">
        <v>62</v>
      </c>
      <c r="F526" s="5" t="s">
        <v>7669</v>
      </c>
      <c r="G526" s="5" t="s">
        <v>7688</v>
      </c>
      <c r="H526" s="5"/>
      <c r="I526" s="5" t="s">
        <v>7688</v>
      </c>
    </row>
    <row r="527" customFormat="false" ht="15" hidden="false" customHeight="false" outlineLevel="0" collapsed="false">
      <c r="A527" s="5" t="s">
        <v>2774</v>
      </c>
      <c r="B527" s="2" t="s">
        <v>2775</v>
      </c>
      <c r="C527" s="5" t="s">
        <v>2128</v>
      </c>
      <c r="D527" s="5" t="s">
        <v>60</v>
      </c>
      <c r="E527" s="5" t="s">
        <v>62</v>
      </c>
      <c r="F527" s="5" t="s">
        <v>7669</v>
      </c>
      <c r="G527" s="5" t="s">
        <v>2794</v>
      </c>
      <c r="H527" s="5"/>
      <c r="I527" s="5" t="s">
        <v>2794</v>
      </c>
    </row>
    <row r="528" customFormat="false" ht="15" hidden="false" customHeight="false" outlineLevel="0" collapsed="false">
      <c r="A528" s="5" t="s">
        <v>2774</v>
      </c>
      <c r="B528" s="2" t="s">
        <v>2775</v>
      </c>
      <c r="C528" s="5" t="s">
        <v>2128</v>
      </c>
      <c r="D528" s="5" t="s">
        <v>60</v>
      </c>
      <c r="E528" s="5" t="s">
        <v>62</v>
      </c>
      <c r="F528" s="5" t="s">
        <v>7669</v>
      </c>
      <c r="G528" s="5" t="s">
        <v>7688</v>
      </c>
      <c r="H528" s="5"/>
      <c r="I528" s="5" t="s">
        <v>7688</v>
      </c>
    </row>
    <row r="529" customFormat="false" ht="15" hidden="false" customHeight="false" outlineLevel="0" collapsed="false">
      <c r="A529" s="5" t="s">
        <v>2782</v>
      </c>
      <c r="B529" s="2" t="s">
        <v>2783</v>
      </c>
      <c r="C529" s="5" t="s">
        <v>2128</v>
      </c>
      <c r="D529" s="5" t="s">
        <v>60</v>
      </c>
      <c r="E529" s="5" t="s">
        <v>62</v>
      </c>
      <c r="F529" s="5" t="s">
        <v>7669</v>
      </c>
      <c r="G529" s="5" t="s">
        <v>839</v>
      </c>
      <c r="H529" s="5"/>
      <c r="I529" s="5" t="s">
        <v>839</v>
      </c>
    </row>
    <row r="530" customFormat="false" ht="23.85" hidden="false" customHeight="false" outlineLevel="0" collapsed="false">
      <c r="A530" s="5" t="s">
        <v>2792</v>
      </c>
      <c r="B530" s="2" t="s">
        <v>2793</v>
      </c>
      <c r="C530" s="5" t="s">
        <v>2128</v>
      </c>
      <c r="D530" s="5" t="s">
        <v>60</v>
      </c>
      <c r="E530" s="5" t="s">
        <v>62</v>
      </c>
      <c r="F530" s="5" t="s">
        <v>7669</v>
      </c>
      <c r="G530" s="5" t="s">
        <v>2794</v>
      </c>
      <c r="H530" s="5"/>
      <c r="I530" s="5" t="s">
        <v>2794</v>
      </c>
    </row>
    <row r="531" customFormat="false" ht="15" hidden="false" customHeight="false" outlineLevel="0" collapsed="false">
      <c r="A531" s="5" t="s">
        <v>2799</v>
      </c>
      <c r="B531" s="2" t="s">
        <v>2800</v>
      </c>
      <c r="C531" s="5" t="s">
        <v>2128</v>
      </c>
      <c r="D531" s="5" t="s">
        <v>60</v>
      </c>
      <c r="E531" s="5" t="s">
        <v>62</v>
      </c>
      <c r="F531" s="5" t="s">
        <v>7669</v>
      </c>
      <c r="G531" s="5" t="s">
        <v>6959</v>
      </c>
      <c r="H531" s="5"/>
      <c r="I531" s="5" t="s">
        <v>6959</v>
      </c>
    </row>
    <row r="532" customFormat="false" ht="15" hidden="false" customHeight="false" outlineLevel="0" collapsed="false">
      <c r="A532" s="5" t="s">
        <v>2799</v>
      </c>
      <c r="B532" s="2" t="s">
        <v>2800</v>
      </c>
      <c r="C532" s="5" t="s">
        <v>2128</v>
      </c>
      <c r="D532" s="5" t="s">
        <v>60</v>
      </c>
      <c r="E532" s="5" t="s">
        <v>62</v>
      </c>
      <c r="F532" s="5" t="s">
        <v>7669</v>
      </c>
      <c r="G532" s="5" t="s">
        <v>2794</v>
      </c>
      <c r="H532" s="5"/>
      <c r="I532" s="5" t="s">
        <v>2794</v>
      </c>
    </row>
    <row r="533" customFormat="false" ht="15" hidden="false" customHeight="false" outlineLevel="0" collapsed="false">
      <c r="A533" s="5" t="s">
        <v>2799</v>
      </c>
      <c r="B533" s="2" t="s">
        <v>2800</v>
      </c>
      <c r="C533" s="5" t="s">
        <v>2128</v>
      </c>
      <c r="D533" s="5" t="s">
        <v>60</v>
      </c>
      <c r="E533" s="5" t="s">
        <v>62</v>
      </c>
      <c r="F533" s="5" t="s">
        <v>7669</v>
      </c>
      <c r="G533" s="5" t="s">
        <v>7688</v>
      </c>
      <c r="H533" s="5"/>
      <c r="I533" s="5" t="s">
        <v>7688</v>
      </c>
    </row>
    <row r="534" customFormat="false" ht="15" hidden="false" customHeight="false" outlineLevel="0" collapsed="false">
      <c r="A534" s="5" t="s">
        <v>2799</v>
      </c>
      <c r="B534" s="2" t="s">
        <v>2800</v>
      </c>
      <c r="C534" s="5" t="s">
        <v>2128</v>
      </c>
      <c r="D534" s="5" t="s">
        <v>60</v>
      </c>
      <c r="E534" s="5" t="s">
        <v>62</v>
      </c>
      <c r="F534" s="5" t="s">
        <v>7669</v>
      </c>
      <c r="G534" s="5" t="s">
        <v>6965</v>
      </c>
      <c r="H534" s="5"/>
      <c r="I534" s="5" t="s">
        <v>6965</v>
      </c>
    </row>
    <row r="535" customFormat="false" ht="15" hidden="false" customHeight="false" outlineLevel="0" collapsed="false">
      <c r="A535" s="5" t="s">
        <v>2811</v>
      </c>
      <c r="B535" s="2" t="s">
        <v>2812</v>
      </c>
      <c r="C535" s="5" t="s">
        <v>2128</v>
      </c>
      <c r="D535" s="5" t="s">
        <v>60</v>
      </c>
      <c r="E535" s="5" t="s">
        <v>490</v>
      </c>
      <c r="F535" s="5" t="s">
        <v>7669</v>
      </c>
      <c r="G535" s="5" t="s">
        <v>6959</v>
      </c>
      <c r="H535" s="5"/>
      <c r="I535" s="5" t="s">
        <v>6959</v>
      </c>
    </row>
    <row r="536" customFormat="false" ht="15" hidden="false" customHeight="false" outlineLevel="0" collapsed="false">
      <c r="A536" s="5" t="s">
        <v>2811</v>
      </c>
      <c r="B536" s="2" t="s">
        <v>2812</v>
      </c>
      <c r="C536" s="5" t="s">
        <v>2128</v>
      </c>
      <c r="D536" s="5" t="s">
        <v>60</v>
      </c>
      <c r="E536" s="5" t="s">
        <v>490</v>
      </c>
      <c r="F536" s="5" t="s">
        <v>7669</v>
      </c>
      <c r="G536" s="5" t="s">
        <v>2794</v>
      </c>
      <c r="H536" s="5"/>
      <c r="I536" s="5" t="s">
        <v>2794</v>
      </c>
    </row>
    <row r="537" customFormat="false" ht="15" hidden="false" customHeight="false" outlineLevel="0" collapsed="false">
      <c r="A537" s="5" t="s">
        <v>2811</v>
      </c>
      <c r="B537" s="2" t="s">
        <v>2812</v>
      </c>
      <c r="C537" s="5" t="s">
        <v>2128</v>
      </c>
      <c r="D537" s="5" t="s">
        <v>60</v>
      </c>
      <c r="E537" s="5" t="s">
        <v>490</v>
      </c>
      <c r="F537" s="5" t="s">
        <v>7669</v>
      </c>
      <c r="G537" s="5" t="s">
        <v>7688</v>
      </c>
      <c r="H537" s="5"/>
      <c r="I537" s="5" t="s">
        <v>7688</v>
      </c>
    </row>
    <row r="538" customFormat="false" ht="15" hidden="false" customHeight="false" outlineLevel="0" collapsed="false">
      <c r="A538" s="5" t="s">
        <v>2811</v>
      </c>
      <c r="B538" s="2" t="s">
        <v>2812</v>
      </c>
      <c r="C538" s="5" t="s">
        <v>2128</v>
      </c>
      <c r="D538" s="5" t="s">
        <v>60</v>
      </c>
      <c r="E538" s="5" t="s">
        <v>490</v>
      </c>
      <c r="F538" s="5" t="s">
        <v>7669</v>
      </c>
      <c r="G538" s="5" t="s">
        <v>6965</v>
      </c>
      <c r="H538" s="5"/>
      <c r="I538" s="5" t="s">
        <v>6965</v>
      </c>
    </row>
    <row r="539" customFormat="false" ht="15" hidden="false" customHeight="false" outlineLevel="0" collapsed="false">
      <c r="A539" s="5" t="s">
        <v>2818</v>
      </c>
      <c r="B539" s="2" t="s">
        <v>2819</v>
      </c>
      <c r="C539" s="5" t="s">
        <v>2128</v>
      </c>
      <c r="D539" s="5" t="s">
        <v>60</v>
      </c>
      <c r="E539" s="5" t="s">
        <v>490</v>
      </c>
      <c r="F539" s="5" t="s">
        <v>7670</v>
      </c>
      <c r="G539" s="5" t="s">
        <v>560</v>
      </c>
      <c r="H539" s="5"/>
      <c r="I539" s="5" t="s">
        <v>560</v>
      </c>
    </row>
    <row r="540" customFormat="false" ht="15" hidden="false" customHeight="false" outlineLevel="0" collapsed="false">
      <c r="A540" s="5" t="s">
        <v>2825</v>
      </c>
      <c r="B540" s="2" t="s">
        <v>2826</v>
      </c>
      <c r="C540" s="5" t="s">
        <v>2128</v>
      </c>
      <c r="D540" s="5" t="s">
        <v>60</v>
      </c>
      <c r="E540" s="5" t="s">
        <v>490</v>
      </c>
      <c r="F540" s="5" t="s">
        <v>7712</v>
      </c>
      <c r="G540" s="5" t="s">
        <v>7713</v>
      </c>
      <c r="H540" s="5"/>
      <c r="I540" s="5" t="s">
        <v>7796</v>
      </c>
    </row>
    <row r="541" customFormat="false" ht="15" hidden="false" customHeight="false" outlineLevel="0" collapsed="false">
      <c r="A541" s="5" t="s">
        <v>2832</v>
      </c>
      <c r="B541" s="2" t="s">
        <v>2833</v>
      </c>
      <c r="C541" s="5" t="s">
        <v>2128</v>
      </c>
      <c r="D541" s="5" t="s">
        <v>60</v>
      </c>
      <c r="E541" s="5" t="s">
        <v>490</v>
      </c>
      <c r="F541" s="5" t="s">
        <v>7670</v>
      </c>
      <c r="G541" s="5" t="s">
        <v>2834</v>
      </c>
      <c r="H541" s="5"/>
      <c r="I541" s="5" t="s">
        <v>2834</v>
      </c>
    </row>
    <row r="542" customFormat="false" ht="15" hidden="false" customHeight="false" outlineLevel="0" collapsed="false">
      <c r="A542" s="5" t="s">
        <v>2839</v>
      </c>
      <c r="B542" s="2" t="s">
        <v>2840</v>
      </c>
      <c r="C542" s="5" t="s">
        <v>2128</v>
      </c>
      <c r="D542" s="5" t="s">
        <v>60</v>
      </c>
      <c r="E542" s="5" t="s">
        <v>490</v>
      </c>
      <c r="F542" s="5" t="s">
        <v>7670</v>
      </c>
      <c r="G542" s="5" t="s">
        <v>2842</v>
      </c>
      <c r="H542" s="5"/>
      <c r="I542" s="5" t="s">
        <v>2842</v>
      </c>
    </row>
    <row r="543" customFormat="false" ht="15" hidden="false" customHeight="false" outlineLevel="0" collapsed="false">
      <c r="A543" s="5" t="s">
        <v>2847</v>
      </c>
      <c r="B543" s="2" t="s">
        <v>2848</v>
      </c>
      <c r="C543" s="5" t="s">
        <v>2128</v>
      </c>
      <c r="D543" s="5" t="s">
        <v>60</v>
      </c>
      <c r="E543" s="5" t="s">
        <v>490</v>
      </c>
      <c r="F543" s="5" t="s">
        <v>7712</v>
      </c>
      <c r="G543" s="5" t="s">
        <v>7713</v>
      </c>
      <c r="H543" s="5"/>
      <c r="I543" s="5" t="s">
        <v>7796</v>
      </c>
    </row>
    <row r="544" customFormat="false" ht="15" hidden="false" customHeight="false" outlineLevel="0" collapsed="false">
      <c r="A544" s="5" t="s">
        <v>2852</v>
      </c>
      <c r="B544" s="2" t="s">
        <v>2853</v>
      </c>
      <c r="C544" s="5" t="s">
        <v>2128</v>
      </c>
      <c r="D544" s="5" t="s">
        <v>60</v>
      </c>
      <c r="E544" s="5" t="s">
        <v>490</v>
      </c>
      <c r="F544" s="5" t="s">
        <v>7669</v>
      </c>
      <c r="G544" s="5" t="s">
        <v>638</v>
      </c>
      <c r="H544" s="5"/>
      <c r="I544" s="5" t="s">
        <v>638</v>
      </c>
    </row>
    <row r="545" customFormat="false" ht="15" hidden="false" customHeight="false" outlineLevel="0" collapsed="false">
      <c r="A545" s="5" t="s">
        <v>2857</v>
      </c>
      <c r="B545" s="2" t="s">
        <v>2858</v>
      </c>
      <c r="C545" s="5" t="s">
        <v>2128</v>
      </c>
      <c r="D545" s="5" t="s">
        <v>60</v>
      </c>
      <c r="E545" s="5" t="s">
        <v>490</v>
      </c>
      <c r="F545" s="5" t="s">
        <v>269</v>
      </c>
      <c r="G545" s="5" t="s">
        <v>7749</v>
      </c>
      <c r="H545" s="5" t="s">
        <v>1537</v>
      </c>
      <c r="I545" s="5" t="s">
        <v>1533</v>
      </c>
    </row>
    <row r="546" customFormat="false" ht="15" hidden="false" customHeight="false" outlineLevel="0" collapsed="false">
      <c r="A546" s="5" t="s">
        <v>2863</v>
      </c>
      <c r="B546" s="2" t="s">
        <v>2864</v>
      </c>
      <c r="C546" s="5" t="s">
        <v>2128</v>
      </c>
      <c r="D546" s="5" t="s">
        <v>60</v>
      </c>
      <c r="E546" s="5" t="s">
        <v>62</v>
      </c>
      <c r="F546" s="5" t="s">
        <v>7669</v>
      </c>
      <c r="G546" s="5" t="s">
        <v>2865</v>
      </c>
      <c r="H546" s="5"/>
      <c r="I546" s="5" t="s">
        <v>2865</v>
      </c>
    </row>
    <row r="547" customFormat="false" ht="15" hidden="false" customHeight="false" outlineLevel="0" collapsed="false">
      <c r="A547" s="5" t="s">
        <v>2872</v>
      </c>
      <c r="B547" s="2" t="s">
        <v>2873</v>
      </c>
      <c r="C547" s="5" t="s">
        <v>2128</v>
      </c>
      <c r="D547" s="5" t="s">
        <v>60</v>
      </c>
      <c r="E547" s="5" t="s">
        <v>62</v>
      </c>
      <c r="F547" s="5" t="s">
        <v>7669</v>
      </c>
      <c r="G547" s="5" t="s">
        <v>2865</v>
      </c>
      <c r="H547" s="5"/>
      <c r="I547" s="5" t="s">
        <v>2865</v>
      </c>
    </row>
    <row r="548" customFormat="false" ht="15" hidden="false" customHeight="false" outlineLevel="0" collapsed="false">
      <c r="A548" s="5" t="s">
        <v>2878</v>
      </c>
      <c r="B548" s="2" t="s">
        <v>2879</v>
      </c>
      <c r="C548" s="5" t="s">
        <v>2128</v>
      </c>
      <c r="D548" s="5" t="s">
        <v>60</v>
      </c>
      <c r="E548" s="5" t="s">
        <v>62</v>
      </c>
      <c r="F548" s="5" t="s">
        <v>7669</v>
      </c>
      <c r="G548" s="5" t="s">
        <v>2865</v>
      </c>
      <c r="H548" s="5"/>
      <c r="I548" s="5" t="s">
        <v>2865</v>
      </c>
    </row>
    <row r="549" customFormat="false" ht="15" hidden="false" customHeight="false" outlineLevel="0" collapsed="false">
      <c r="A549" s="5" t="s">
        <v>2883</v>
      </c>
      <c r="B549" s="2" t="s">
        <v>2884</v>
      </c>
      <c r="C549" s="5" t="s">
        <v>2128</v>
      </c>
      <c r="D549" s="5" t="s">
        <v>60</v>
      </c>
      <c r="E549" s="5" t="s">
        <v>62</v>
      </c>
      <c r="F549" s="5" t="s">
        <v>7669</v>
      </c>
      <c r="G549" s="5" t="s">
        <v>2865</v>
      </c>
      <c r="H549" s="5"/>
      <c r="I549" s="5" t="s">
        <v>2865</v>
      </c>
    </row>
    <row r="550" customFormat="false" ht="15" hidden="false" customHeight="false" outlineLevel="0" collapsed="false">
      <c r="A550" s="5" t="s">
        <v>2890</v>
      </c>
      <c r="B550" s="2" t="s">
        <v>2891</v>
      </c>
      <c r="C550" s="5" t="s">
        <v>2128</v>
      </c>
      <c r="D550" s="5" t="s">
        <v>60</v>
      </c>
      <c r="E550" s="5" t="s">
        <v>62</v>
      </c>
      <c r="F550" s="5" t="s">
        <v>7669</v>
      </c>
      <c r="G550" s="5" t="s">
        <v>2865</v>
      </c>
      <c r="H550" s="5"/>
      <c r="I550" s="5" t="s">
        <v>2865</v>
      </c>
    </row>
    <row r="551" customFormat="false" ht="15" hidden="false" customHeight="false" outlineLevel="0" collapsed="false">
      <c r="A551" s="5" t="s">
        <v>2895</v>
      </c>
      <c r="B551" s="2" t="s">
        <v>2896</v>
      </c>
      <c r="C551" s="5" t="s">
        <v>2128</v>
      </c>
      <c r="D551" s="5" t="s">
        <v>60</v>
      </c>
      <c r="E551" s="5" t="s">
        <v>62</v>
      </c>
      <c r="F551" s="5" t="s">
        <v>7669</v>
      </c>
      <c r="G551" s="5" t="s">
        <v>2897</v>
      </c>
      <c r="H551" s="5"/>
      <c r="I551" s="5" t="s">
        <v>2897</v>
      </c>
    </row>
    <row r="552" customFormat="false" ht="15" hidden="false" customHeight="false" outlineLevel="0" collapsed="false">
      <c r="A552" s="5" t="s">
        <v>2902</v>
      </c>
      <c r="B552" s="2" t="s">
        <v>2903</v>
      </c>
      <c r="C552" s="5" t="s">
        <v>2128</v>
      </c>
      <c r="D552" s="5" t="s">
        <v>60</v>
      </c>
      <c r="E552" s="5" t="s">
        <v>62</v>
      </c>
      <c r="F552" s="5" t="s">
        <v>7669</v>
      </c>
      <c r="G552" s="5" t="s">
        <v>2897</v>
      </c>
      <c r="H552" s="5"/>
      <c r="I552" s="5" t="s">
        <v>2897</v>
      </c>
    </row>
    <row r="553" customFormat="false" ht="15" hidden="false" customHeight="false" outlineLevel="0" collapsed="false">
      <c r="A553" s="5" t="s">
        <v>2906</v>
      </c>
      <c r="B553" s="2" t="s">
        <v>2907</v>
      </c>
      <c r="C553" s="5" t="s">
        <v>2128</v>
      </c>
      <c r="D553" s="5" t="s">
        <v>60</v>
      </c>
      <c r="E553" s="5" t="s">
        <v>62</v>
      </c>
      <c r="F553" s="5" t="s">
        <v>7669</v>
      </c>
      <c r="G553" s="5" t="s">
        <v>2897</v>
      </c>
      <c r="H553" s="5"/>
      <c r="I553" s="5" t="s">
        <v>2897</v>
      </c>
    </row>
    <row r="554" customFormat="false" ht="15" hidden="false" customHeight="false" outlineLevel="0" collapsed="false">
      <c r="A554" s="5" t="s">
        <v>2909</v>
      </c>
      <c r="B554" s="2" t="s">
        <v>2910</v>
      </c>
      <c r="C554" s="5" t="s">
        <v>2128</v>
      </c>
      <c r="D554" s="5" t="s">
        <v>60</v>
      </c>
      <c r="E554" s="5" t="s">
        <v>62</v>
      </c>
      <c r="F554" s="5" t="s">
        <v>7669</v>
      </c>
      <c r="G554" s="5" t="s">
        <v>2897</v>
      </c>
      <c r="H554" s="5"/>
      <c r="I554" s="5" t="s">
        <v>2897</v>
      </c>
    </row>
    <row r="555" customFormat="false" ht="15" hidden="false" customHeight="false" outlineLevel="0" collapsed="false">
      <c r="A555" s="5" t="s">
        <v>2913</v>
      </c>
      <c r="B555" s="2" t="s">
        <v>2914</v>
      </c>
      <c r="C555" s="5" t="s">
        <v>2128</v>
      </c>
      <c r="D555" s="5" t="s">
        <v>60</v>
      </c>
      <c r="E555" s="5" t="s">
        <v>62</v>
      </c>
      <c r="F555" s="5" t="s">
        <v>7669</v>
      </c>
      <c r="G555" s="5" t="s">
        <v>2897</v>
      </c>
      <c r="H555" s="5"/>
      <c r="I555" s="5" t="s">
        <v>2897</v>
      </c>
    </row>
    <row r="556" customFormat="false" ht="15" hidden="false" customHeight="false" outlineLevel="0" collapsed="false">
      <c r="A556" s="5" t="s">
        <v>2917</v>
      </c>
      <c r="B556" s="2" t="s">
        <v>2918</v>
      </c>
      <c r="C556" s="5" t="s">
        <v>2128</v>
      </c>
      <c r="D556" s="5" t="s">
        <v>60</v>
      </c>
      <c r="E556" s="5" t="s">
        <v>62</v>
      </c>
      <c r="F556" s="5" t="s">
        <v>269</v>
      </c>
      <c r="G556" s="5" t="s">
        <v>7797</v>
      </c>
      <c r="H556" s="5"/>
      <c r="I556" s="5" t="s">
        <v>2919</v>
      </c>
    </row>
    <row r="557" customFormat="false" ht="15" hidden="false" customHeight="false" outlineLevel="0" collapsed="false">
      <c r="A557" s="5" t="s">
        <v>2924</v>
      </c>
      <c r="B557" s="2" t="s">
        <v>2925</v>
      </c>
      <c r="C557" s="5" t="s">
        <v>2128</v>
      </c>
      <c r="D557" s="5" t="s">
        <v>60</v>
      </c>
      <c r="E557" s="5" t="s">
        <v>62</v>
      </c>
      <c r="F557" s="5" t="s">
        <v>269</v>
      </c>
      <c r="G557" s="5" t="s">
        <v>7798</v>
      </c>
      <c r="H557" s="5"/>
      <c r="I557" s="5" t="s">
        <v>3745</v>
      </c>
    </row>
    <row r="558" customFormat="false" ht="15" hidden="false" customHeight="false" outlineLevel="0" collapsed="false">
      <c r="A558" s="5" t="s">
        <v>2924</v>
      </c>
      <c r="B558" s="2" t="s">
        <v>2925</v>
      </c>
      <c r="C558" s="5" t="s">
        <v>2128</v>
      </c>
      <c r="D558" s="5" t="s">
        <v>60</v>
      </c>
      <c r="E558" s="5" t="s">
        <v>62</v>
      </c>
      <c r="F558" s="5" t="s">
        <v>7721</v>
      </c>
      <c r="G558" s="5" t="s">
        <v>64</v>
      </c>
      <c r="H558" s="5"/>
      <c r="I558" s="5" t="s">
        <v>7799</v>
      </c>
    </row>
    <row r="559" customFormat="false" ht="15" hidden="false" customHeight="false" outlineLevel="0" collapsed="false">
      <c r="A559" s="5" t="s">
        <v>2933</v>
      </c>
      <c r="B559" s="2" t="s">
        <v>2934</v>
      </c>
      <c r="C559" s="5" t="s">
        <v>2128</v>
      </c>
      <c r="D559" s="5" t="s">
        <v>60</v>
      </c>
      <c r="E559" s="5" t="s">
        <v>62</v>
      </c>
      <c r="F559" s="5" t="s">
        <v>7669</v>
      </c>
      <c r="G559" s="5" t="s">
        <v>2936</v>
      </c>
      <c r="H559" s="5"/>
      <c r="I559" s="5" t="s">
        <v>2936</v>
      </c>
    </row>
    <row r="560" customFormat="false" ht="15" hidden="false" customHeight="false" outlineLevel="0" collapsed="false">
      <c r="A560" s="5" t="s">
        <v>2941</v>
      </c>
      <c r="B560" s="2" t="s">
        <v>2942</v>
      </c>
      <c r="C560" s="5" t="s">
        <v>2128</v>
      </c>
      <c r="D560" s="5" t="s">
        <v>60</v>
      </c>
      <c r="E560" s="5" t="s">
        <v>62</v>
      </c>
      <c r="F560" s="5" t="s">
        <v>7669</v>
      </c>
      <c r="G560" s="5" t="s">
        <v>2943</v>
      </c>
      <c r="H560" s="5"/>
      <c r="I560" s="5" t="s">
        <v>2943</v>
      </c>
    </row>
    <row r="561" customFormat="false" ht="15" hidden="false" customHeight="false" outlineLevel="0" collapsed="false">
      <c r="A561" s="5" t="s">
        <v>2947</v>
      </c>
      <c r="B561" s="2" t="s">
        <v>2948</v>
      </c>
      <c r="C561" s="5" t="s">
        <v>2128</v>
      </c>
      <c r="D561" s="5" t="s">
        <v>60</v>
      </c>
      <c r="E561" s="5" t="s">
        <v>62</v>
      </c>
      <c r="F561" s="5" t="s">
        <v>7669</v>
      </c>
      <c r="G561" s="5" t="s">
        <v>2949</v>
      </c>
      <c r="H561" s="5"/>
      <c r="I561" s="5" t="s">
        <v>2949</v>
      </c>
    </row>
    <row r="562" customFormat="false" ht="23.85" hidden="false" customHeight="false" outlineLevel="0" collapsed="false">
      <c r="A562" s="5" t="s">
        <v>2953</v>
      </c>
      <c r="B562" s="2" t="s">
        <v>2954</v>
      </c>
      <c r="C562" s="5" t="s">
        <v>2128</v>
      </c>
      <c r="D562" s="5" t="s">
        <v>60</v>
      </c>
      <c r="E562" s="5" t="s">
        <v>62</v>
      </c>
      <c r="F562" s="5" t="s">
        <v>7670</v>
      </c>
      <c r="G562" s="5" t="s">
        <v>2957</v>
      </c>
      <c r="H562" s="5"/>
      <c r="I562" s="5" t="s">
        <v>2957</v>
      </c>
    </row>
    <row r="563" customFormat="false" ht="15" hidden="false" customHeight="false" outlineLevel="0" collapsed="false">
      <c r="A563" s="5" t="s">
        <v>2963</v>
      </c>
      <c r="B563" s="2" t="s">
        <v>2964</v>
      </c>
      <c r="C563" s="5" t="s">
        <v>2128</v>
      </c>
      <c r="D563" s="5" t="s">
        <v>60</v>
      </c>
      <c r="E563" s="5" t="s">
        <v>62</v>
      </c>
      <c r="F563" s="5" t="s">
        <v>7670</v>
      </c>
      <c r="G563" s="5" t="s">
        <v>2965</v>
      </c>
      <c r="H563" s="5"/>
      <c r="I563" s="5" t="s">
        <v>2965</v>
      </c>
    </row>
    <row r="564" customFormat="false" ht="15" hidden="false" customHeight="false" outlineLevel="0" collapsed="false">
      <c r="A564" s="5" t="s">
        <v>2972</v>
      </c>
      <c r="B564" s="2" t="s">
        <v>2973</v>
      </c>
      <c r="C564" s="5" t="s">
        <v>2128</v>
      </c>
      <c r="D564" s="5" t="s">
        <v>60</v>
      </c>
      <c r="E564" s="5" t="s">
        <v>490</v>
      </c>
      <c r="F564" s="5" t="s">
        <v>7669</v>
      </c>
      <c r="G564" s="5" t="s">
        <v>2975</v>
      </c>
      <c r="H564" s="5"/>
      <c r="I564" s="5" t="s">
        <v>2975</v>
      </c>
    </row>
    <row r="565" customFormat="false" ht="15" hidden="false" customHeight="false" outlineLevel="0" collapsed="false">
      <c r="A565" s="5" t="s">
        <v>2982</v>
      </c>
      <c r="B565" s="2" t="s">
        <v>2983</v>
      </c>
      <c r="C565" s="5" t="s">
        <v>2128</v>
      </c>
      <c r="D565" s="5" t="s">
        <v>60</v>
      </c>
      <c r="E565" s="5" t="s">
        <v>62</v>
      </c>
      <c r="F565" s="5" t="s">
        <v>7721</v>
      </c>
      <c r="G565" s="5" t="s">
        <v>64</v>
      </c>
      <c r="H565" s="5"/>
      <c r="I565" s="5" t="s">
        <v>7800</v>
      </c>
    </row>
    <row r="566" customFormat="false" ht="15" hidden="false" customHeight="false" outlineLevel="0" collapsed="false">
      <c r="A566" s="5" t="s">
        <v>2982</v>
      </c>
      <c r="B566" s="2" t="s">
        <v>2983</v>
      </c>
      <c r="C566" s="5" t="s">
        <v>2128</v>
      </c>
      <c r="D566" s="5" t="s">
        <v>60</v>
      </c>
      <c r="E566" s="5" t="s">
        <v>62</v>
      </c>
      <c r="F566" s="5" t="s">
        <v>7669</v>
      </c>
      <c r="G566" s="5" t="s">
        <v>7801</v>
      </c>
      <c r="H566" s="5"/>
      <c r="I566" s="5" t="s">
        <v>7801</v>
      </c>
    </row>
    <row r="567" customFormat="false" ht="15" hidden="false" customHeight="false" outlineLevel="0" collapsed="false">
      <c r="A567" s="5" t="s">
        <v>2989</v>
      </c>
      <c r="B567" s="2" t="s">
        <v>2990</v>
      </c>
      <c r="C567" s="5" t="s">
        <v>2128</v>
      </c>
      <c r="D567" s="5" t="s">
        <v>60</v>
      </c>
      <c r="E567" s="5" t="s">
        <v>62</v>
      </c>
      <c r="F567" s="5" t="s">
        <v>7721</v>
      </c>
      <c r="G567" s="5" t="s">
        <v>64</v>
      </c>
      <c r="H567" s="5"/>
      <c r="I567" s="5" t="s">
        <v>7800</v>
      </c>
    </row>
    <row r="568" customFormat="false" ht="15" hidden="false" customHeight="false" outlineLevel="0" collapsed="false">
      <c r="A568" s="5" t="s">
        <v>2989</v>
      </c>
      <c r="B568" s="2" t="s">
        <v>2990</v>
      </c>
      <c r="C568" s="5" t="s">
        <v>2128</v>
      </c>
      <c r="D568" s="5" t="s">
        <v>60</v>
      </c>
      <c r="E568" s="5" t="s">
        <v>62</v>
      </c>
      <c r="F568" s="5" t="s">
        <v>7669</v>
      </c>
      <c r="G568" s="5" t="s">
        <v>7802</v>
      </c>
      <c r="H568" s="5"/>
      <c r="I568" s="5" t="s">
        <v>7802</v>
      </c>
    </row>
    <row r="569" customFormat="false" ht="15" hidden="false" customHeight="false" outlineLevel="0" collapsed="false">
      <c r="A569" s="5" t="s">
        <v>2995</v>
      </c>
      <c r="B569" s="2" t="s">
        <v>2996</v>
      </c>
      <c r="C569" s="5" t="s">
        <v>2128</v>
      </c>
      <c r="D569" s="5" t="s">
        <v>60</v>
      </c>
      <c r="E569" s="5" t="s">
        <v>62</v>
      </c>
      <c r="F569" s="5" t="s">
        <v>7721</v>
      </c>
      <c r="G569" s="5" t="s">
        <v>64</v>
      </c>
      <c r="H569" s="5"/>
      <c r="I569" s="5" t="s">
        <v>7800</v>
      </c>
    </row>
    <row r="570" customFormat="false" ht="15" hidden="false" customHeight="false" outlineLevel="0" collapsed="false">
      <c r="A570" s="5" t="s">
        <v>2995</v>
      </c>
      <c r="B570" s="2" t="s">
        <v>2996</v>
      </c>
      <c r="C570" s="5" t="s">
        <v>2128</v>
      </c>
      <c r="D570" s="5" t="s">
        <v>60</v>
      </c>
      <c r="E570" s="5" t="s">
        <v>62</v>
      </c>
      <c r="F570" s="5" t="s">
        <v>7669</v>
      </c>
      <c r="G570" s="5" t="s">
        <v>7803</v>
      </c>
      <c r="H570" s="5"/>
      <c r="I570" s="5" t="s">
        <v>7803</v>
      </c>
    </row>
    <row r="571" customFormat="false" ht="15" hidden="false" customHeight="false" outlineLevel="0" collapsed="false">
      <c r="A571" s="5" t="s">
        <v>3001</v>
      </c>
      <c r="B571" s="2" t="s">
        <v>3002</v>
      </c>
      <c r="C571" s="5" t="s">
        <v>2128</v>
      </c>
      <c r="D571" s="5" t="s">
        <v>60</v>
      </c>
      <c r="E571" s="5" t="s">
        <v>490</v>
      </c>
      <c r="F571" s="5" t="s">
        <v>269</v>
      </c>
      <c r="G571" s="5" t="s">
        <v>7804</v>
      </c>
      <c r="H571" s="5"/>
      <c r="I571" s="5" t="s">
        <v>3004</v>
      </c>
    </row>
    <row r="572" customFormat="false" ht="23.85" hidden="false" customHeight="false" outlineLevel="0" collapsed="false">
      <c r="A572" s="5" t="s">
        <v>3010</v>
      </c>
      <c r="B572" s="2" t="s">
        <v>3011</v>
      </c>
      <c r="C572" s="5" t="s">
        <v>2128</v>
      </c>
      <c r="D572" s="5" t="s">
        <v>60</v>
      </c>
      <c r="E572" s="5" t="s">
        <v>62</v>
      </c>
      <c r="F572" s="5" t="s">
        <v>269</v>
      </c>
      <c r="G572" s="5" t="s">
        <v>7804</v>
      </c>
      <c r="H572" s="5"/>
      <c r="I572" s="5" t="s">
        <v>3004</v>
      </c>
    </row>
    <row r="573" customFormat="false" ht="23.85" hidden="false" customHeight="false" outlineLevel="0" collapsed="false">
      <c r="A573" s="5" t="s">
        <v>3010</v>
      </c>
      <c r="B573" s="2" t="s">
        <v>3011</v>
      </c>
      <c r="C573" s="5" t="s">
        <v>2128</v>
      </c>
      <c r="D573" s="5" t="s">
        <v>60</v>
      </c>
      <c r="E573" s="5" t="s">
        <v>62</v>
      </c>
      <c r="F573" s="5" t="s">
        <v>7667</v>
      </c>
      <c r="G573" s="5" t="s">
        <v>7805</v>
      </c>
      <c r="H573" s="5"/>
      <c r="I573" s="5" t="s">
        <v>7806</v>
      </c>
    </row>
    <row r="574" customFormat="false" ht="23.85" hidden="false" customHeight="false" outlineLevel="0" collapsed="false">
      <c r="A574" s="5" t="s">
        <v>3010</v>
      </c>
      <c r="B574" s="2" t="s">
        <v>3011</v>
      </c>
      <c r="C574" s="5" t="s">
        <v>2128</v>
      </c>
      <c r="D574" s="5" t="s">
        <v>60</v>
      </c>
      <c r="E574" s="5" t="s">
        <v>62</v>
      </c>
      <c r="F574" s="5" t="s">
        <v>7667</v>
      </c>
      <c r="G574" s="5" t="s">
        <v>7807</v>
      </c>
      <c r="H574" s="5"/>
      <c r="I574" s="5" t="s">
        <v>7808</v>
      </c>
    </row>
    <row r="575" customFormat="false" ht="15" hidden="false" customHeight="false" outlineLevel="0" collapsed="false">
      <c r="A575" s="5" t="s">
        <v>3021</v>
      </c>
      <c r="B575" s="2" t="s">
        <v>3022</v>
      </c>
      <c r="C575" s="5" t="s">
        <v>2128</v>
      </c>
      <c r="D575" s="5" t="s">
        <v>60</v>
      </c>
      <c r="E575" s="5" t="s">
        <v>62</v>
      </c>
      <c r="F575" s="5" t="s">
        <v>7721</v>
      </c>
      <c r="G575" s="5" t="s">
        <v>64</v>
      </c>
      <c r="H575" s="5"/>
      <c r="I575" s="5" t="s">
        <v>7809</v>
      </c>
    </row>
    <row r="576" customFormat="false" ht="15" hidden="false" customHeight="false" outlineLevel="0" collapsed="false">
      <c r="A576" s="5" t="s">
        <v>3021</v>
      </c>
      <c r="B576" s="2" t="s">
        <v>3022</v>
      </c>
      <c r="C576" s="5" t="s">
        <v>2128</v>
      </c>
      <c r="D576" s="5" t="s">
        <v>60</v>
      </c>
      <c r="E576" s="5" t="s">
        <v>62</v>
      </c>
      <c r="F576" s="5" t="s">
        <v>269</v>
      </c>
      <c r="G576" s="5" t="s">
        <v>7810</v>
      </c>
      <c r="H576" s="5"/>
      <c r="I576" s="5" t="s">
        <v>7811</v>
      </c>
    </row>
    <row r="577" customFormat="false" ht="15" hidden="false" customHeight="false" outlineLevel="0" collapsed="false">
      <c r="A577" s="5" t="s">
        <v>3029</v>
      </c>
      <c r="B577" s="2" t="s">
        <v>3030</v>
      </c>
      <c r="C577" s="5" t="s">
        <v>2128</v>
      </c>
      <c r="D577" s="5" t="s">
        <v>60</v>
      </c>
      <c r="E577" s="5" t="s">
        <v>62</v>
      </c>
      <c r="F577" s="5" t="s">
        <v>269</v>
      </c>
      <c r="G577" s="5" t="s">
        <v>7812</v>
      </c>
      <c r="H577" s="5"/>
      <c r="I577" s="5" t="s">
        <v>3031</v>
      </c>
    </row>
    <row r="578" customFormat="false" ht="15" hidden="false" customHeight="false" outlineLevel="0" collapsed="false">
      <c r="A578" s="5" t="s">
        <v>3036</v>
      </c>
      <c r="B578" s="2" t="s">
        <v>3037</v>
      </c>
      <c r="C578" s="5" t="s">
        <v>2128</v>
      </c>
      <c r="D578" s="5" t="s">
        <v>60</v>
      </c>
      <c r="E578" s="5" t="s">
        <v>490</v>
      </c>
      <c r="F578" s="5" t="s">
        <v>7669</v>
      </c>
      <c r="G578" s="5" t="s">
        <v>2975</v>
      </c>
      <c r="H578" s="5"/>
      <c r="I578" s="5" t="s">
        <v>2975</v>
      </c>
    </row>
    <row r="579" customFormat="false" ht="15" hidden="false" customHeight="false" outlineLevel="0" collapsed="false">
      <c r="A579" s="5" t="s">
        <v>3042</v>
      </c>
      <c r="B579" s="2" t="s">
        <v>3043</v>
      </c>
      <c r="C579" s="5" t="s">
        <v>2128</v>
      </c>
      <c r="D579" s="5" t="s">
        <v>60</v>
      </c>
      <c r="E579" s="5" t="s">
        <v>62</v>
      </c>
      <c r="F579" s="5" t="s">
        <v>269</v>
      </c>
      <c r="G579" s="5" t="s">
        <v>7666</v>
      </c>
      <c r="H579" s="5" t="s">
        <v>192</v>
      </c>
      <c r="I579" s="5" t="s">
        <v>391</v>
      </c>
    </row>
    <row r="580" customFormat="false" ht="15" hidden="false" customHeight="false" outlineLevel="0" collapsed="false">
      <c r="A580" s="5" t="s">
        <v>3046</v>
      </c>
      <c r="B580" s="2" t="s">
        <v>3047</v>
      </c>
      <c r="C580" s="5" t="s">
        <v>2128</v>
      </c>
      <c r="D580" s="5" t="s">
        <v>60</v>
      </c>
      <c r="E580" s="5" t="s">
        <v>62</v>
      </c>
      <c r="F580" s="5" t="s">
        <v>269</v>
      </c>
      <c r="G580" s="5" t="s">
        <v>7813</v>
      </c>
      <c r="H580" s="5" t="s">
        <v>192</v>
      </c>
      <c r="I580" s="5" t="s">
        <v>3048</v>
      </c>
    </row>
    <row r="581" customFormat="false" ht="15" hidden="false" customHeight="false" outlineLevel="0" collapsed="false">
      <c r="A581" s="5" t="s">
        <v>3052</v>
      </c>
      <c r="B581" s="2" t="s">
        <v>3053</v>
      </c>
      <c r="C581" s="5" t="s">
        <v>2128</v>
      </c>
      <c r="D581" s="5" t="s">
        <v>60</v>
      </c>
      <c r="E581" s="5" t="s">
        <v>62</v>
      </c>
      <c r="F581" s="5" t="s">
        <v>269</v>
      </c>
      <c r="G581" s="5" t="s">
        <v>7814</v>
      </c>
      <c r="H581" s="5"/>
      <c r="I581" s="5" t="s">
        <v>3054</v>
      </c>
    </row>
    <row r="582" customFormat="false" ht="15" hidden="false" customHeight="false" outlineLevel="0" collapsed="false">
      <c r="A582" s="5" t="s">
        <v>3058</v>
      </c>
      <c r="B582" s="2" t="s">
        <v>3059</v>
      </c>
      <c r="C582" s="5" t="s">
        <v>2128</v>
      </c>
      <c r="D582" s="5" t="s">
        <v>60</v>
      </c>
      <c r="E582" s="5" t="s">
        <v>62</v>
      </c>
      <c r="F582" s="5" t="s">
        <v>269</v>
      </c>
      <c r="G582" s="5" t="s">
        <v>7724</v>
      </c>
      <c r="H582" s="5" t="s">
        <v>192</v>
      </c>
      <c r="I582" s="5" t="s">
        <v>3060</v>
      </c>
    </row>
    <row r="583" customFormat="false" ht="15" hidden="false" customHeight="false" outlineLevel="0" collapsed="false">
      <c r="A583" s="5" t="s">
        <v>3064</v>
      </c>
      <c r="B583" s="2" t="s">
        <v>3065</v>
      </c>
      <c r="C583" s="5" t="s">
        <v>2128</v>
      </c>
      <c r="D583" s="5" t="s">
        <v>60</v>
      </c>
      <c r="E583" s="5" t="s">
        <v>62</v>
      </c>
      <c r="F583" s="5" t="s">
        <v>7721</v>
      </c>
      <c r="G583" s="5" t="s">
        <v>64</v>
      </c>
      <c r="H583" s="5"/>
      <c r="I583" s="5" t="s">
        <v>7800</v>
      </c>
    </row>
    <row r="584" customFormat="false" ht="15" hidden="false" customHeight="false" outlineLevel="0" collapsed="false">
      <c r="A584" s="5" t="s">
        <v>3064</v>
      </c>
      <c r="B584" s="2" t="s">
        <v>3065</v>
      </c>
      <c r="C584" s="5" t="s">
        <v>2128</v>
      </c>
      <c r="D584" s="5" t="s">
        <v>60</v>
      </c>
      <c r="E584" s="5" t="s">
        <v>62</v>
      </c>
      <c r="F584" s="5" t="s">
        <v>7669</v>
      </c>
      <c r="G584" s="5" t="s">
        <v>2865</v>
      </c>
      <c r="H584" s="5"/>
      <c r="I584" s="5" t="s">
        <v>2865</v>
      </c>
    </row>
    <row r="585" customFormat="false" ht="15" hidden="false" customHeight="false" outlineLevel="0" collapsed="false">
      <c r="A585" s="5" t="s">
        <v>3071</v>
      </c>
      <c r="B585" s="2" t="s">
        <v>3072</v>
      </c>
      <c r="C585" s="5" t="s">
        <v>2128</v>
      </c>
      <c r="D585" s="5" t="s">
        <v>60</v>
      </c>
      <c r="E585" s="5" t="s">
        <v>62</v>
      </c>
      <c r="F585" s="5" t="s">
        <v>269</v>
      </c>
      <c r="G585" s="5" t="s">
        <v>7625</v>
      </c>
      <c r="H585" s="5" t="s">
        <v>192</v>
      </c>
      <c r="I585" s="5" t="s">
        <v>385</v>
      </c>
    </row>
    <row r="586" customFormat="false" ht="15" hidden="false" customHeight="false" outlineLevel="0" collapsed="false">
      <c r="A586" s="5" t="s">
        <v>3075</v>
      </c>
      <c r="B586" s="2" t="s">
        <v>3076</v>
      </c>
      <c r="C586" s="5" t="s">
        <v>2128</v>
      </c>
      <c r="D586" s="5" t="s">
        <v>60</v>
      </c>
      <c r="E586" s="5" t="s">
        <v>62</v>
      </c>
      <c r="F586" s="5" t="s">
        <v>269</v>
      </c>
      <c r="G586" s="5" t="s">
        <v>7815</v>
      </c>
      <c r="H586" s="5"/>
      <c r="I586" s="5" t="s">
        <v>3077</v>
      </c>
    </row>
    <row r="587" customFormat="false" ht="15" hidden="false" customHeight="false" outlineLevel="0" collapsed="false">
      <c r="A587" s="5" t="s">
        <v>3081</v>
      </c>
      <c r="B587" s="2" t="s">
        <v>3082</v>
      </c>
      <c r="C587" s="5" t="s">
        <v>2128</v>
      </c>
      <c r="D587" s="5" t="s">
        <v>60</v>
      </c>
      <c r="E587" s="5" t="s">
        <v>490</v>
      </c>
      <c r="F587" s="5" t="s">
        <v>7669</v>
      </c>
      <c r="G587" s="5" t="s">
        <v>3083</v>
      </c>
      <c r="H587" s="5"/>
      <c r="I587" s="5" t="s">
        <v>3083</v>
      </c>
    </row>
    <row r="588" customFormat="false" ht="15" hidden="false" customHeight="false" outlineLevel="0" collapsed="false">
      <c r="A588" s="5" t="s">
        <v>3089</v>
      </c>
      <c r="B588" s="2" t="s">
        <v>3090</v>
      </c>
      <c r="C588" s="5" t="s">
        <v>2128</v>
      </c>
      <c r="D588" s="5" t="s">
        <v>60</v>
      </c>
      <c r="E588" s="5" t="s">
        <v>62</v>
      </c>
      <c r="F588" s="5" t="s">
        <v>269</v>
      </c>
      <c r="G588" s="5" t="s">
        <v>7816</v>
      </c>
      <c r="H588" s="5"/>
      <c r="I588" s="5" t="s">
        <v>7817</v>
      </c>
    </row>
    <row r="589" customFormat="false" ht="15" hidden="false" customHeight="false" outlineLevel="0" collapsed="false">
      <c r="A589" s="5" t="s">
        <v>3089</v>
      </c>
      <c r="B589" s="2" t="s">
        <v>3090</v>
      </c>
      <c r="C589" s="5" t="s">
        <v>2128</v>
      </c>
      <c r="D589" s="5" t="s">
        <v>60</v>
      </c>
      <c r="E589" s="5" t="s">
        <v>62</v>
      </c>
      <c r="F589" s="5" t="s">
        <v>269</v>
      </c>
      <c r="G589" s="5" t="s">
        <v>7658</v>
      </c>
      <c r="H589" s="5" t="s">
        <v>192</v>
      </c>
      <c r="I589" s="5" t="s">
        <v>353</v>
      </c>
    </row>
    <row r="590" customFormat="false" ht="15" hidden="false" customHeight="false" outlineLevel="0" collapsed="false">
      <c r="A590" s="5" t="s">
        <v>3095</v>
      </c>
      <c r="B590" s="2" t="s">
        <v>3096</v>
      </c>
      <c r="C590" s="5" t="s">
        <v>2128</v>
      </c>
      <c r="D590" s="5" t="s">
        <v>60</v>
      </c>
      <c r="E590" s="5" t="s">
        <v>62</v>
      </c>
      <c r="F590" s="5" t="s">
        <v>7721</v>
      </c>
      <c r="G590" s="5" t="s">
        <v>64</v>
      </c>
      <c r="H590" s="5"/>
      <c r="I590" s="5" t="s">
        <v>7800</v>
      </c>
    </row>
    <row r="591" customFormat="false" ht="15" hidden="false" customHeight="false" outlineLevel="0" collapsed="false">
      <c r="A591" s="5" t="s">
        <v>3095</v>
      </c>
      <c r="B591" s="2" t="s">
        <v>3096</v>
      </c>
      <c r="C591" s="5" t="s">
        <v>2128</v>
      </c>
      <c r="D591" s="5" t="s">
        <v>60</v>
      </c>
      <c r="E591" s="5" t="s">
        <v>62</v>
      </c>
      <c r="F591" s="5" t="s">
        <v>7669</v>
      </c>
      <c r="G591" s="5" t="s">
        <v>2897</v>
      </c>
      <c r="H591" s="5"/>
      <c r="I591" s="5" t="s">
        <v>2897</v>
      </c>
    </row>
    <row r="592" customFormat="false" ht="23.85" hidden="false" customHeight="false" outlineLevel="0" collapsed="false">
      <c r="A592" s="5" t="s">
        <v>3101</v>
      </c>
      <c r="B592" s="2" t="s">
        <v>3102</v>
      </c>
      <c r="C592" s="5" t="s">
        <v>2128</v>
      </c>
      <c r="D592" s="5" t="s">
        <v>60</v>
      </c>
      <c r="E592" s="5" t="s">
        <v>62</v>
      </c>
      <c r="F592" s="5" t="s">
        <v>269</v>
      </c>
      <c r="G592" s="5" t="s">
        <v>7660</v>
      </c>
      <c r="H592" s="5" t="s">
        <v>192</v>
      </c>
      <c r="I592" s="5" t="s">
        <v>7661</v>
      </c>
    </row>
    <row r="593" customFormat="false" ht="23.85" hidden="false" customHeight="false" outlineLevel="0" collapsed="false">
      <c r="A593" s="5" t="s">
        <v>3101</v>
      </c>
      <c r="B593" s="2" t="s">
        <v>3102</v>
      </c>
      <c r="C593" s="5" t="s">
        <v>2128</v>
      </c>
      <c r="D593" s="5" t="s">
        <v>60</v>
      </c>
      <c r="E593" s="5" t="s">
        <v>62</v>
      </c>
      <c r="F593" s="5" t="s">
        <v>7721</v>
      </c>
      <c r="G593" s="5" t="s">
        <v>64</v>
      </c>
      <c r="H593" s="5"/>
      <c r="I593" s="5" t="s">
        <v>7818</v>
      </c>
    </row>
    <row r="594" customFormat="false" ht="23.85" hidden="false" customHeight="false" outlineLevel="0" collapsed="false">
      <c r="A594" s="5" t="s">
        <v>3107</v>
      </c>
      <c r="B594" s="2" t="s">
        <v>3108</v>
      </c>
      <c r="C594" s="5" t="s">
        <v>2128</v>
      </c>
      <c r="D594" s="5" t="s">
        <v>60</v>
      </c>
      <c r="E594" s="5" t="s">
        <v>62</v>
      </c>
      <c r="F594" s="5" t="s">
        <v>7721</v>
      </c>
      <c r="G594" s="5" t="s">
        <v>7819</v>
      </c>
      <c r="H594" s="5"/>
      <c r="I594" s="5" t="s">
        <v>7820</v>
      </c>
    </row>
    <row r="595" customFormat="false" ht="23.85" hidden="false" customHeight="false" outlineLevel="0" collapsed="false">
      <c r="A595" s="5" t="s">
        <v>3115</v>
      </c>
      <c r="B595" s="2" t="s">
        <v>3116</v>
      </c>
      <c r="C595" s="5" t="s">
        <v>2128</v>
      </c>
      <c r="D595" s="5" t="s">
        <v>60</v>
      </c>
      <c r="E595" s="5" t="s">
        <v>62</v>
      </c>
      <c r="F595" s="5" t="s">
        <v>269</v>
      </c>
      <c r="G595" s="5" t="s">
        <v>7821</v>
      </c>
      <c r="H595" s="5"/>
      <c r="I595" s="5" t="s">
        <v>7822</v>
      </c>
    </row>
    <row r="596" customFormat="false" ht="23.85" hidden="false" customHeight="false" outlineLevel="0" collapsed="false">
      <c r="A596" s="5" t="s">
        <v>3115</v>
      </c>
      <c r="B596" s="2" t="s">
        <v>3116</v>
      </c>
      <c r="C596" s="5" t="s">
        <v>2128</v>
      </c>
      <c r="D596" s="5" t="s">
        <v>60</v>
      </c>
      <c r="E596" s="5" t="s">
        <v>62</v>
      </c>
      <c r="F596" s="5" t="s">
        <v>7721</v>
      </c>
      <c r="G596" s="5" t="s">
        <v>64</v>
      </c>
      <c r="H596" s="5"/>
      <c r="I596" s="5" t="s">
        <v>7823</v>
      </c>
    </row>
    <row r="597" customFormat="false" ht="23.85" hidden="false" customHeight="false" outlineLevel="0" collapsed="false">
      <c r="A597" s="5" t="s">
        <v>3121</v>
      </c>
      <c r="B597" s="2" t="s">
        <v>3122</v>
      </c>
      <c r="C597" s="5" t="s">
        <v>2128</v>
      </c>
      <c r="D597" s="5" t="s">
        <v>60</v>
      </c>
      <c r="E597" s="5" t="s">
        <v>62</v>
      </c>
      <c r="F597" s="5" t="s">
        <v>7633</v>
      </c>
      <c r="G597" s="5" t="s">
        <v>7634</v>
      </c>
      <c r="H597" s="5" t="s">
        <v>309</v>
      </c>
      <c r="I597" s="5" t="s">
        <v>1105</v>
      </c>
    </row>
    <row r="598" customFormat="false" ht="23.85" hidden="false" customHeight="false" outlineLevel="0" collapsed="false">
      <c r="A598" s="5" t="s">
        <v>3127</v>
      </c>
      <c r="B598" s="2" t="s">
        <v>3128</v>
      </c>
      <c r="C598" s="5" t="s">
        <v>2245</v>
      </c>
      <c r="D598" s="5" t="s">
        <v>60</v>
      </c>
      <c r="E598" s="5" t="s">
        <v>62</v>
      </c>
      <c r="F598" s="5" t="s">
        <v>7635</v>
      </c>
      <c r="G598" s="5" t="s">
        <v>7636</v>
      </c>
      <c r="H598" s="5" t="s">
        <v>3134</v>
      </c>
      <c r="I598" s="5" t="s">
        <v>3130</v>
      </c>
    </row>
    <row r="599" customFormat="false" ht="15" hidden="false" customHeight="false" outlineLevel="0" collapsed="false">
      <c r="A599" s="5" t="s">
        <v>3137</v>
      </c>
      <c r="B599" s="2" t="s">
        <v>3138</v>
      </c>
      <c r="C599" s="5" t="s">
        <v>2128</v>
      </c>
      <c r="D599" s="5" t="s">
        <v>60</v>
      </c>
      <c r="E599" s="5" t="s">
        <v>62</v>
      </c>
      <c r="F599" s="5" t="s">
        <v>269</v>
      </c>
      <c r="G599" s="5" t="s">
        <v>7824</v>
      </c>
      <c r="H599" s="5"/>
      <c r="I599" s="5" t="s">
        <v>3140</v>
      </c>
    </row>
    <row r="600" customFormat="false" ht="23.85" hidden="false" customHeight="false" outlineLevel="0" collapsed="false">
      <c r="A600" s="5" t="s">
        <v>3146</v>
      </c>
      <c r="B600" s="2" t="s">
        <v>3147</v>
      </c>
      <c r="C600" s="5" t="s">
        <v>2128</v>
      </c>
      <c r="D600" s="5" t="s">
        <v>60</v>
      </c>
      <c r="E600" s="5" t="s">
        <v>62</v>
      </c>
      <c r="F600" s="5" t="s">
        <v>269</v>
      </c>
      <c r="G600" s="5" t="s">
        <v>7770</v>
      </c>
      <c r="H600" s="5" t="s">
        <v>1537</v>
      </c>
      <c r="I600" s="5" t="s">
        <v>3545</v>
      </c>
    </row>
    <row r="601" customFormat="false" ht="23.85" hidden="false" customHeight="false" outlineLevel="0" collapsed="false">
      <c r="A601" s="5" t="s">
        <v>3146</v>
      </c>
      <c r="B601" s="2" t="s">
        <v>3147</v>
      </c>
      <c r="C601" s="5" t="s">
        <v>2128</v>
      </c>
      <c r="D601" s="5" t="s">
        <v>60</v>
      </c>
      <c r="E601" s="5" t="s">
        <v>62</v>
      </c>
      <c r="F601" s="5" t="s">
        <v>269</v>
      </c>
      <c r="G601" s="5" t="s">
        <v>7825</v>
      </c>
      <c r="H601" s="5"/>
      <c r="I601" s="5" t="s">
        <v>7826</v>
      </c>
    </row>
    <row r="602" customFormat="false" ht="23.85" hidden="false" customHeight="false" outlineLevel="0" collapsed="false">
      <c r="A602" s="5" t="s">
        <v>3154</v>
      </c>
      <c r="B602" s="2" t="s">
        <v>3155</v>
      </c>
      <c r="C602" s="5" t="s">
        <v>2245</v>
      </c>
      <c r="D602" s="5" t="s">
        <v>60</v>
      </c>
      <c r="E602" s="5" t="s">
        <v>490</v>
      </c>
      <c r="F602" s="5" t="s">
        <v>7721</v>
      </c>
      <c r="G602" s="5" t="s">
        <v>7757</v>
      </c>
      <c r="H602" s="5"/>
      <c r="I602" s="5" t="s">
        <v>3158</v>
      </c>
    </row>
    <row r="603" customFormat="false" ht="23.85" hidden="false" customHeight="false" outlineLevel="0" collapsed="false">
      <c r="A603" s="5" t="s">
        <v>3161</v>
      </c>
      <c r="B603" s="2" t="s">
        <v>3162</v>
      </c>
      <c r="C603" s="5" t="s">
        <v>2245</v>
      </c>
      <c r="D603" s="5" t="s">
        <v>60</v>
      </c>
      <c r="E603" s="5" t="s">
        <v>62</v>
      </c>
      <c r="F603" s="5" t="s">
        <v>7635</v>
      </c>
      <c r="G603" s="5" t="s">
        <v>7636</v>
      </c>
      <c r="H603" s="5" t="s">
        <v>3134</v>
      </c>
      <c r="I603" s="5" t="s">
        <v>3130</v>
      </c>
    </row>
    <row r="604" customFormat="false" ht="23.85" hidden="false" customHeight="false" outlineLevel="0" collapsed="false">
      <c r="A604" s="5" t="s">
        <v>3166</v>
      </c>
      <c r="B604" s="2" t="s">
        <v>3167</v>
      </c>
      <c r="C604" s="5" t="s">
        <v>2245</v>
      </c>
      <c r="D604" s="5" t="s">
        <v>60</v>
      </c>
      <c r="E604" s="5" t="s">
        <v>62</v>
      </c>
      <c r="F604" s="5" t="s">
        <v>7635</v>
      </c>
      <c r="G604" s="5" t="s">
        <v>7636</v>
      </c>
      <c r="H604" s="5" t="s">
        <v>3134</v>
      </c>
      <c r="I604" s="5" t="s">
        <v>3130</v>
      </c>
    </row>
    <row r="605" customFormat="false" ht="23.85" hidden="false" customHeight="false" outlineLevel="0" collapsed="false">
      <c r="A605" s="5" t="s">
        <v>3171</v>
      </c>
      <c r="B605" s="2" t="s">
        <v>3172</v>
      </c>
      <c r="C605" s="5" t="s">
        <v>2128</v>
      </c>
      <c r="D605" s="5" t="s">
        <v>60</v>
      </c>
      <c r="E605" s="5" t="s">
        <v>62</v>
      </c>
      <c r="F605" s="5" t="s">
        <v>7633</v>
      </c>
      <c r="G605" s="5" t="s">
        <v>7634</v>
      </c>
      <c r="H605" s="5" t="s">
        <v>309</v>
      </c>
      <c r="I605" s="5" t="s">
        <v>1105</v>
      </c>
    </row>
    <row r="606" customFormat="false" ht="23.85" hidden="false" customHeight="false" outlineLevel="0" collapsed="false">
      <c r="A606" s="5" t="s">
        <v>3176</v>
      </c>
      <c r="B606" s="2" t="s">
        <v>3177</v>
      </c>
      <c r="C606" s="5" t="s">
        <v>2128</v>
      </c>
      <c r="D606" s="5" t="s">
        <v>60</v>
      </c>
      <c r="E606" s="5" t="s">
        <v>62</v>
      </c>
      <c r="F606" s="5" t="s">
        <v>7633</v>
      </c>
      <c r="G606" s="5" t="s">
        <v>7634</v>
      </c>
      <c r="H606" s="5" t="s">
        <v>309</v>
      </c>
      <c r="I606" s="5" t="s">
        <v>1105</v>
      </c>
    </row>
    <row r="607" customFormat="false" ht="23.85" hidden="false" customHeight="false" outlineLevel="0" collapsed="false">
      <c r="A607" s="5" t="s">
        <v>3181</v>
      </c>
      <c r="B607" s="2" t="s">
        <v>3182</v>
      </c>
      <c r="C607" s="5" t="s">
        <v>2245</v>
      </c>
      <c r="D607" s="5" t="s">
        <v>60</v>
      </c>
      <c r="E607" s="5" t="s">
        <v>62</v>
      </c>
      <c r="F607" s="5" t="s">
        <v>7635</v>
      </c>
      <c r="G607" s="5" t="s">
        <v>3183</v>
      </c>
      <c r="H607" s="5"/>
      <c r="I607" s="5" t="s">
        <v>3183</v>
      </c>
    </row>
    <row r="608" customFormat="false" ht="23.85" hidden="false" customHeight="false" outlineLevel="0" collapsed="false">
      <c r="A608" s="5" t="s">
        <v>3189</v>
      </c>
      <c r="B608" s="2" t="s">
        <v>3190</v>
      </c>
      <c r="C608" s="5" t="s">
        <v>2245</v>
      </c>
      <c r="D608" s="5" t="s">
        <v>60</v>
      </c>
      <c r="E608" s="5" t="s">
        <v>62</v>
      </c>
      <c r="F608" s="5" t="s">
        <v>7635</v>
      </c>
      <c r="G608" s="5" t="s">
        <v>7636</v>
      </c>
      <c r="H608" s="5" t="s">
        <v>3134</v>
      </c>
      <c r="I608" s="5" t="s">
        <v>3130</v>
      </c>
    </row>
    <row r="609" customFormat="false" ht="15" hidden="false" customHeight="false" outlineLevel="0" collapsed="false">
      <c r="A609" s="5" t="s">
        <v>3194</v>
      </c>
      <c r="B609" s="2" t="s">
        <v>3195</v>
      </c>
      <c r="C609" s="5" t="s">
        <v>2128</v>
      </c>
      <c r="D609" s="5" t="s">
        <v>60</v>
      </c>
      <c r="E609" s="5" t="s">
        <v>62</v>
      </c>
      <c r="F609" s="5" t="s">
        <v>269</v>
      </c>
      <c r="G609" s="5" t="s">
        <v>7723</v>
      </c>
      <c r="H609" s="5" t="s">
        <v>1118</v>
      </c>
      <c r="I609" s="5" t="s">
        <v>1114</v>
      </c>
    </row>
    <row r="610" customFormat="false" ht="23.85" hidden="false" customHeight="false" outlineLevel="0" collapsed="false">
      <c r="A610" s="5" t="s">
        <v>3201</v>
      </c>
      <c r="B610" s="2" t="s">
        <v>3202</v>
      </c>
      <c r="C610" s="5" t="s">
        <v>2128</v>
      </c>
      <c r="D610" s="5" t="s">
        <v>60</v>
      </c>
      <c r="E610" s="5" t="s">
        <v>62</v>
      </c>
      <c r="F610" s="5" t="s">
        <v>269</v>
      </c>
      <c r="G610" s="5" t="s">
        <v>7827</v>
      </c>
      <c r="H610" s="5"/>
      <c r="I610" s="5" t="s">
        <v>3203</v>
      </c>
    </row>
    <row r="611" customFormat="false" ht="23.85" hidden="false" customHeight="false" outlineLevel="0" collapsed="false">
      <c r="A611" s="5" t="s">
        <v>3209</v>
      </c>
      <c r="B611" s="2" t="s">
        <v>3210</v>
      </c>
      <c r="C611" s="5" t="s">
        <v>2128</v>
      </c>
      <c r="D611" s="5" t="s">
        <v>60</v>
      </c>
      <c r="E611" s="5" t="s">
        <v>62</v>
      </c>
      <c r="F611" s="5" t="s">
        <v>269</v>
      </c>
      <c r="G611" s="5" t="s">
        <v>7828</v>
      </c>
      <c r="H611" s="5" t="s">
        <v>249</v>
      </c>
      <c r="I611" s="5" t="s">
        <v>7829</v>
      </c>
    </row>
    <row r="612" customFormat="false" ht="23.85" hidden="false" customHeight="false" outlineLevel="0" collapsed="false">
      <c r="A612" s="5" t="s">
        <v>3209</v>
      </c>
      <c r="B612" s="2" t="s">
        <v>3210</v>
      </c>
      <c r="C612" s="5" t="s">
        <v>2128</v>
      </c>
      <c r="D612" s="5" t="s">
        <v>60</v>
      </c>
      <c r="E612" s="5" t="s">
        <v>62</v>
      </c>
      <c r="F612" s="5" t="s">
        <v>269</v>
      </c>
      <c r="G612" s="5" t="s">
        <v>7830</v>
      </c>
      <c r="H612" s="5" t="s">
        <v>249</v>
      </c>
      <c r="I612" s="5" t="s">
        <v>7831</v>
      </c>
    </row>
    <row r="613" customFormat="false" ht="23.85" hidden="false" customHeight="false" outlineLevel="0" collapsed="false">
      <c r="A613" s="5" t="s">
        <v>3218</v>
      </c>
      <c r="B613" s="2" t="s">
        <v>3219</v>
      </c>
      <c r="C613" s="5" t="s">
        <v>2128</v>
      </c>
      <c r="D613" s="5" t="s">
        <v>60</v>
      </c>
      <c r="E613" s="5" t="s">
        <v>62</v>
      </c>
      <c r="F613" s="5" t="s">
        <v>269</v>
      </c>
      <c r="G613" s="5" t="s">
        <v>7828</v>
      </c>
      <c r="H613" s="5" t="s">
        <v>249</v>
      </c>
      <c r="I613" s="5" t="s">
        <v>7829</v>
      </c>
    </row>
    <row r="614" customFormat="false" ht="23.85" hidden="false" customHeight="false" outlineLevel="0" collapsed="false">
      <c r="A614" s="5" t="s">
        <v>3218</v>
      </c>
      <c r="B614" s="2" t="s">
        <v>3219</v>
      </c>
      <c r="C614" s="5" t="s">
        <v>2128</v>
      </c>
      <c r="D614" s="5" t="s">
        <v>60</v>
      </c>
      <c r="E614" s="5" t="s">
        <v>62</v>
      </c>
      <c r="F614" s="5" t="s">
        <v>269</v>
      </c>
      <c r="G614" s="5" t="s">
        <v>7830</v>
      </c>
      <c r="H614" s="5" t="s">
        <v>249</v>
      </c>
      <c r="I614" s="5" t="s">
        <v>7831</v>
      </c>
    </row>
    <row r="615" customFormat="false" ht="15" hidden="false" customHeight="false" outlineLevel="0" collapsed="false">
      <c r="A615" s="5" t="s">
        <v>3223</v>
      </c>
      <c r="B615" s="2" t="s">
        <v>3224</v>
      </c>
      <c r="C615" s="5" t="s">
        <v>2128</v>
      </c>
      <c r="D615" s="5" t="s">
        <v>60</v>
      </c>
      <c r="E615" s="5" t="s">
        <v>62</v>
      </c>
      <c r="F615" s="5" t="s">
        <v>269</v>
      </c>
      <c r="G615" s="5" t="s">
        <v>7652</v>
      </c>
      <c r="H615" s="5" t="s">
        <v>214</v>
      </c>
      <c r="I615" s="5" t="s">
        <v>3226</v>
      </c>
    </row>
    <row r="616" customFormat="false" ht="23.85" hidden="false" customHeight="false" outlineLevel="0" collapsed="false">
      <c r="A616" s="5" t="s">
        <v>3230</v>
      </c>
      <c r="B616" s="2" t="s">
        <v>3231</v>
      </c>
      <c r="C616" s="5" t="s">
        <v>2245</v>
      </c>
      <c r="D616" s="5" t="s">
        <v>60</v>
      </c>
      <c r="E616" s="5" t="s">
        <v>490</v>
      </c>
      <c r="F616" s="5" t="s">
        <v>7633</v>
      </c>
      <c r="G616" s="5" t="s">
        <v>7733</v>
      </c>
      <c r="H616" s="5"/>
      <c r="I616" s="5" t="s">
        <v>1160</v>
      </c>
    </row>
    <row r="617" customFormat="false" ht="23.85" hidden="false" customHeight="false" outlineLevel="0" collapsed="false">
      <c r="A617" s="5" t="s">
        <v>3236</v>
      </c>
      <c r="B617" s="2" t="s">
        <v>3237</v>
      </c>
      <c r="C617" s="5" t="s">
        <v>2245</v>
      </c>
      <c r="D617" s="5" t="s">
        <v>60</v>
      </c>
      <c r="E617" s="5" t="s">
        <v>62</v>
      </c>
      <c r="F617" s="5" t="s">
        <v>7633</v>
      </c>
      <c r="G617" s="5" t="s">
        <v>7832</v>
      </c>
      <c r="H617" s="5"/>
      <c r="I617" s="5" t="s">
        <v>3238</v>
      </c>
    </row>
    <row r="618" customFormat="false" ht="15" hidden="false" customHeight="false" outlineLevel="0" collapsed="false">
      <c r="A618" s="5" t="s">
        <v>3244</v>
      </c>
      <c r="B618" s="2" t="s">
        <v>3245</v>
      </c>
      <c r="C618" s="5" t="s">
        <v>2128</v>
      </c>
      <c r="D618" s="5" t="s">
        <v>60</v>
      </c>
      <c r="E618" s="5" t="s">
        <v>62</v>
      </c>
      <c r="F618" s="5" t="s">
        <v>269</v>
      </c>
      <c r="G618" s="5" t="s">
        <v>7749</v>
      </c>
      <c r="H618" s="5" t="s">
        <v>1537</v>
      </c>
      <c r="I618" s="5" t="s">
        <v>1533</v>
      </c>
    </row>
    <row r="619" customFormat="false" ht="23.85" hidden="false" customHeight="false" outlineLevel="0" collapsed="false">
      <c r="A619" s="5" t="s">
        <v>3250</v>
      </c>
      <c r="B619" s="2" t="s">
        <v>3251</v>
      </c>
      <c r="C619" s="5" t="s">
        <v>2245</v>
      </c>
      <c r="D619" s="5" t="s">
        <v>60</v>
      </c>
      <c r="E619" s="5" t="s">
        <v>62</v>
      </c>
      <c r="F619" s="5" t="s">
        <v>7633</v>
      </c>
      <c r="G619" s="5" t="s">
        <v>7733</v>
      </c>
      <c r="H619" s="5"/>
      <c r="I619" s="5" t="s">
        <v>1160</v>
      </c>
    </row>
    <row r="620" customFormat="false" ht="23.85" hidden="false" customHeight="false" outlineLevel="0" collapsed="false">
      <c r="A620" s="5" t="s">
        <v>3256</v>
      </c>
      <c r="B620" s="2" t="s">
        <v>3257</v>
      </c>
      <c r="C620" s="5" t="s">
        <v>2128</v>
      </c>
      <c r="D620" s="5" t="s">
        <v>60</v>
      </c>
      <c r="E620" s="5" t="s">
        <v>62</v>
      </c>
      <c r="F620" s="5" t="s">
        <v>7721</v>
      </c>
      <c r="G620" s="5" t="s">
        <v>7819</v>
      </c>
      <c r="H620" s="5"/>
      <c r="I620" s="5" t="s">
        <v>7833</v>
      </c>
    </row>
    <row r="621" customFormat="false" ht="23.85" hidden="false" customHeight="false" outlineLevel="0" collapsed="false">
      <c r="A621" s="5" t="s">
        <v>3262</v>
      </c>
      <c r="B621" s="2" t="s">
        <v>3263</v>
      </c>
      <c r="C621" s="5" t="s">
        <v>2128</v>
      </c>
      <c r="D621" s="5" t="s">
        <v>60</v>
      </c>
      <c r="E621" s="5" t="s">
        <v>62</v>
      </c>
      <c r="F621" s="5" t="s">
        <v>7633</v>
      </c>
      <c r="G621" s="5" t="s">
        <v>7634</v>
      </c>
      <c r="H621" s="5" t="s">
        <v>309</v>
      </c>
      <c r="I621" s="5" t="s">
        <v>1105</v>
      </c>
    </row>
    <row r="622" customFormat="false" ht="23.85" hidden="false" customHeight="false" outlineLevel="0" collapsed="false">
      <c r="A622" s="5" t="s">
        <v>3268</v>
      </c>
      <c r="B622" s="2" t="s">
        <v>3269</v>
      </c>
      <c r="C622" s="5" t="s">
        <v>2128</v>
      </c>
      <c r="D622" s="5" t="s">
        <v>60</v>
      </c>
      <c r="E622" s="5" t="s">
        <v>62</v>
      </c>
      <c r="F622" s="5" t="s">
        <v>7633</v>
      </c>
      <c r="G622" s="5" t="s">
        <v>7634</v>
      </c>
      <c r="H622" s="5" t="s">
        <v>309</v>
      </c>
      <c r="I622" s="5" t="s">
        <v>1105</v>
      </c>
    </row>
    <row r="623" customFormat="false" ht="15" hidden="false" customHeight="false" outlineLevel="0" collapsed="false">
      <c r="A623" s="5" t="s">
        <v>3274</v>
      </c>
      <c r="B623" s="2" t="s">
        <v>3275</v>
      </c>
      <c r="C623" s="5" t="s">
        <v>2128</v>
      </c>
      <c r="D623" s="5" t="s">
        <v>60</v>
      </c>
      <c r="E623" s="5" t="s">
        <v>62</v>
      </c>
      <c r="F623" s="5" t="s">
        <v>7721</v>
      </c>
      <c r="G623" s="5" t="s">
        <v>7748</v>
      </c>
      <c r="H623" s="5"/>
      <c r="I623" s="5" t="s">
        <v>7834</v>
      </c>
    </row>
    <row r="624" customFormat="false" ht="15" hidden="false" customHeight="false" outlineLevel="0" collapsed="false">
      <c r="A624" s="5" t="s">
        <v>3280</v>
      </c>
      <c r="B624" s="2" t="s">
        <v>3281</v>
      </c>
      <c r="C624" s="5" t="s">
        <v>2128</v>
      </c>
      <c r="D624" s="5" t="s">
        <v>60</v>
      </c>
      <c r="E624" s="5" t="s">
        <v>62</v>
      </c>
      <c r="F624" s="5" t="s">
        <v>7721</v>
      </c>
      <c r="G624" s="5" t="s">
        <v>7748</v>
      </c>
      <c r="H624" s="5"/>
      <c r="I624" s="5" t="s">
        <v>3282</v>
      </c>
    </row>
    <row r="625" customFormat="false" ht="23.85" hidden="false" customHeight="false" outlineLevel="0" collapsed="false">
      <c r="A625" s="5" t="s">
        <v>3287</v>
      </c>
      <c r="B625" s="2" t="s">
        <v>3288</v>
      </c>
      <c r="C625" s="5" t="s">
        <v>2245</v>
      </c>
      <c r="D625" s="5" t="s">
        <v>60</v>
      </c>
      <c r="E625" s="5" t="s">
        <v>490</v>
      </c>
      <c r="F625" s="5" t="s">
        <v>7633</v>
      </c>
      <c r="G625" s="5" t="s">
        <v>7634</v>
      </c>
      <c r="H625" s="5" t="s">
        <v>309</v>
      </c>
      <c r="I625" s="5" t="s">
        <v>1105</v>
      </c>
    </row>
    <row r="626" customFormat="false" ht="23.85" hidden="false" customHeight="false" outlineLevel="0" collapsed="false">
      <c r="A626" s="5" t="s">
        <v>3294</v>
      </c>
      <c r="B626" s="2" t="s">
        <v>3295</v>
      </c>
      <c r="C626" s="5" t="s">
        <v>2128</v>
      </c>
      <c r="D626" s="5" t="s">
        <v>60</v>
      </c>
      <c r="E626" s="5" t="s">
        <v>62</v>
      </c>
      <c r="F626" s="5" t="s">
        <v>269</v>
      </c>
      <c r="G626" s="5" t="s">
        <v>7746</v>
      </c>
      <c r="H626" s="5"/>
      <c r="I626" s="5" t="s">
        <v>1581</v>
      </c>
    </row>
    <row r="627" customFormat="false" ht="23.85" hidden="false" customHeight="false" outlineLevel="0" collapsed="false">
      <c r="A627" s="5" t="s">
        <v>3294</v>
      </c>
      <c r="B627" s="2" t="s">
        <v>3295</v>
      </c>
      <c r="C627" s="5" t="s">
        <v>2128</v>
      </c>
      <c r="D627" s="5" t="s">
        <v>60</v>
      </c>
      <c r="E627" s="5" t="s">
        <v>62</v>
      </c>
      <c r="F627" s="5" t="s">
        <v>269</v>
      </c>
      <c r="G627" s="5" t="s">
        <v>7747</v>
      </c>
      <c r="H627" s="5"/>
      <c r="I627" s="5" t="s">
        <v>1976</v>
      </c>
    </row>
    <row r="628" customFormat="false" ht="23.85" hidden="false" customHeight="false" outlineLevel="0" collapsed="false">
      <c r="A628" s="5" t="s">
        <v>3302</v>
      </c>
      <c r="B628" s="2" t="s">
        <v>3303</v>
      </c>
      <c r="C628" s="5" t="s">
        <v>2128</v>
      </c>
      <c r="D628" s="5" t="s">
        <v>60</v>
      </c>
      <c r="E628" s="5" t="s">
        <v>62</v>
      </c>
      <c r="F628" s="5" t="s">
        <v>269</v>
      </c>
      <c r="G628" s="5" t="s">
        <v>7746</v>
      </c>
      <c r="H628" s="5"/>
      <c r="I628" s="5" t="s">
        <v>1581</v>
      </c>
    </row>
    <row r="629" customFormat="false" ht="23.85" hidden="false" customHeight="false" outlineLevel="0" collapsed="false">
      <c r="A629" s="5" t="s">
        <v>3302</v>
      </c>
      <c r="B629" s="2" t="s">
        <v>3303</v>
      </c>
      <c r="C629" s="5" t="s">
        <v>2128</v>
      </c>
      <c r="D629" s="5" t="s">
        <v>60</v>
      </c>
      <c r="E629" s="5" t="s">
        <v>62</v>
      </c>
      <c r="F629" s="5" t="s">
        <v>269</v>
      </c>
      <c r="G629" s="5" t="s">
        <v>7747</v>
      </c>
      <c r="H629" s="5"/>
      <c r="I629" s="5" t="s">
        <v>1976</v>
      </c>
    </row>
    <row r="630" customFormat="false" ht="23.85" hidden="false" customHeight="false" outlineLevel="0" collapsed="false">
      <c r="A630" s="5" t="s">
        <v>3307</v>
      </c>
      <c r="B630" s="2" t="s">
        <v>3308</v>
      </c>
      <c r="C630" s="5" t="s">
        <v>2128</v>
      </c>
      <c r="D630" s="5" t="s">
        <v>60</v>
      </c>
      <c r="E630" s="5" t="s">
        <v>62</v>
      </c>
      <c r="F630" s="5" t="s">
        <v>7721</v>
      </c>
      <c r="G630" s="5" t="s">
        <v>7748</v>
      </c>
      <c r="H630" s="5"/>
      <c r="I630" s="5" t="s">
        <v>3310</v>
      </c>
    </row>
    <row r="631" customFormat="false" ht="23.85" hidden="false" customHeight="false" outlineLevel="0" collapsed="false">
      <c r="A631" s="5" t="s">
        <v>3314</v>
      </c>
      <c r="B631" s="2" t="s">
        <v>3315</v>
      </c>
      <c r="C631" s="5" t="s">
        <v>2128</v>
      </c>
      <c r="D631" s="5" t="s">
        <v>60</v>
      </c>
      <c r="E631" s="5" t="s">
        <v>62</v>
      </c>
      <c r="F631" s="5" t="s">
        <v>7721</v>
      </c>
      <c r="G631" s="5" t="s">
        <v>7748</v>
      </c>
      <c r="H631" s="5"/>
      <c r="I631" s="5" t="s">
        <v>3310</v>
      </c>
    </row>
    <row r="632" customFormat="false" ht="23.85" hidden="false" customHeight="false" outlineLevel="0" collapsed="false">
      <c r="A632" s="5" t="s">
        <v>3319</v>
      </c>
      <c r="B632" s="2" t="s">
        <v>3320</v>
      </c>
      <c r="C632" s="5" t="s">
        <v>2128</v>
      </c>
      <c r="D632" s="5" t="s">
        <v>60</v>
      </c>
      <c r="E632" s="5" t="s">
        <v>62</v>
      </c>
      <c r="F632" s="5" t="s">
        <v>7721</v>
      </c>
      <c r="G632" s="5" t="s">
        <v>7748</v>
      </c>
      <c r="H632" s="5"/>
      <c r="I632" s="5" t="s">
        <v>3310</v>
      </c>
    </row>
    <row r="633" customFormat="false" ht="15" hidden="false" customHeight="false" outlineLevel="0" collapsed="false">
      <c r="A633" s="5" t="s">
        <v>3325</v>
      </c>
      <c r="B633" s="2" t="s">
        <v>3326</v>
      </c>
      <c r="C633" s="5" t="s">
        <v>2245</v>
      </c>
      <c r="D633" s="5" t="s">
        <v>60</v>
      </c>
      <c r="E633" s="5" t="s">
        <v>62</v>
      </c>
      <c r="F633" s="5" t="s">
        <v>7633</v>
      </c>
      <c r="G633" s="5" t="s">
        <v>7835</v>
      </c>
      <c r="H633" s="5" t="s">
        <v>1225</v>
      </c>
      <c r="I633" s="5" t="s">
        <v>3327</v>
      </c>
    </row>
    <row r="634" customFormat="false" ht="23.85" hidden="false" customHeight="false" outlineLevel="0" collapsed="false">
      <c r="A634" s="5" t="s">
        <v>3333</v>
      </c>
      <c r="B634" s="2" t="s">
        <v>3334</v>
      </c>
      <c r="C634" s="5" t="s">
        <v>2245</v>
      </c>
      <c r="D634" s="5" t="s">
        <v>60</v>
      </c>
      <c r="E634" s="5" t="s">
        <v>62</v>
      </c>
      <c r="F634" s="5" t="s">
        <v>7633</v>
      </c>
      <c r="G634" s="5" t="s">
        <v>7835</v>
      </c>
      <c r="H634" s="5" t="s">
        <v>1225</v>
      </c>
      <c r="I634" s="5" t="s">
        <v>3327</v>
      </c>
    </row>
    <row r="635" customFormat="false" ht="15" hidden="false" customHeight="false" outlineLevel="0" collapsed="false">
      <c r="A635" s="5" t="s">
        <v>3338</v>
      </c>
      <c r="B635" s="2" t="s">
        <v>3339</v>
      </c>
      <c r="C635" s="5" t="s">
        <v>2128</v>
      </c>
      <c r="D635" s="5" t="s">
        <v>60</v>
      </c>
      <c r="E635" s="5" t="s">
        <v>62</v>
      </c>
      <c r="F635" s="5" t="s">
        <v>7633</v>
      </c>
      <c r="G635" s="5" t="s">
        <v>7634</v>
      </c>
      <c r="H635" s="5" t="s">
        <v>309</v>
      </c>
      <c r="I635" s="5" t="s">
        <v>1105</v>
      </c>
    </row>
    <row r="636" customFormat="false" ht="15" hidden="false" customHeight="false" outlineLevel="0" collapsed="false">
      <c r="A636" s="5" t="s">
        <v>3343</v>
      </c>
      <c r="B636" s="2" t="s">
        <v>3344</v>
      </c>
      <c r="C636" s="5" t="s">
        <v>2128</v>
      </c>
      <c r="D636" s="5" t="s">
        <v>60</v>
      </c>
      <c r="E636" s="5" t="s">
        <v>62</v>
      </c>
      <c r="F636" s="5" t="s">
        <v>7633</v>
      </c>
      <c r="G636" s="5" t="s">
        <v>7634</v>
      </c>
      <c r="H636" s="5" t="s">
        <v>309</v>
      </c>
      <c r="I636" s="5" t="s">
        <v>1105</v>
      </c>
    </row>
    <row r="637" customFormat="false" ht="15" hidden="false" customHeight="false" outlineLevel="0" collapsed="false">
      <c r="A637" s="5" t="s">
        <v>3348</v>
      </c>
      <c r="B637" s="2" t="s">
        <v>3349</v>
      </c>
      <c r="C637" s="5" t="s">
        <v>2128</v>
      </c>
      <c r="D637" s="5" t="s">
        <v>60</v>
      </c>
      <c r="E637" s="5" t="s">
        <v>62</v>
      </c>
      <c r="F637" s="5" t="s">
        <v>7633</v>
      </c>
      <c r="G637" s="5" t="s">
        <v>7634</v>
      </c>
      <c r="H637" s="5" t="s">
        <v>309</v>
      </c>
      <c r="I637" s="5" t="s">
        <v>1105</v>
      </c>
    </row>
    <row r="638" customFormat="false" ht="23.85" hidden="false" customHeight="false" outlineLevel="0" collapsed="false">
      <c r="A638" s="5" t="s">
        <v>3353</v>
      </c>
      <c r="B638" s="2" t="s">
        <v>3354</v>
      </c>
      <c r="C638" s="5" t="s">
        <v>2245</v>
      </c>
      <c r="D638" s="5" t="s">
        <v>60</v>
      </c>
      <c r="E638" s="5" t="s">
        <v>490</v>
      </c>
      <c r="F638" s="5" t="s">
        <v>7721</v>
      </c>
      <c r="G638" s="5" t="s">
        <v>7757</v>
      </c>
      <c r="H638" s="5"/>
      <c r="I638" s="5" t="s">
        <v>7836</v>
      </c>
    </row>
    <row r="639" customFormat="false" ht="23.85" hidden="false" customHeight="false" outlineLevel="0" collapsed="false">
      <c r="A639" s="5" t="s">
        <v>3359</v>
      </c>
      <c r="B639" s="2" t="s">
        <v>3360</v>
      </c>
      <c r="C639" s="5" t="s">
        <v>2128</v>
      </c>
      <c r="D639" s="5" t="s">
        <v>60</v>
      </c>
      <c r="E639" s="5" t="s">
        <v>62</v>
      </c>
      <c r="F639" s="5" t="s">
        <v>7633</v>
      </c>
      <c r="G639" s="5" t="s">
        <v>7634</v>
      </c>
      <c r="H639" s="5" t="s">
        <v>309</v>
      </c>
      <c r="I639" s="5" t="s">
        <v>1105</v>
      </c>
    </row>
    <row r="640" customFormat="false" ht="23.85" hidden="false" customHeight="false" outlineLevel="0" collapsed="false">
      <c r="A640" s="5" t="s">
        <v>3365</v>
      </c>
      <c r="B640" s="2" t="s">
        <v>3366</v>
      </c>
      <c r="C640" s="5" t="s">
        <v>2128</v>
      </c>
      <c r="D640" s="5" t="s">
        <v>60</v>
      </c>
      <c r="E640" s="5" t="s">
        <v>62</v>
      </c>
      <c r="F640" s="5" t="s">
        <v>269</v>
      </c>
      <c r="G640" s="5" t="s">
        <v>7734</v>
      </c>
      <c r="H640" s="5"/>
      <c r="I640" s="5" t="s">
        <v>1198</v>
      </c>
    </row>
    <row r="641" customFormat="false" ht="15" hidden="false" customHeight="false" outlineLevel="0" collapsed="false">
      <c r="A641" s="5" t="s">
        <v>3370</v>
      </c>
      <c r="B641" s="2" t="s">
        <v>3371</v>
      </c>
      <c r="C641" s="5" t="s">
        <v>2128</v>
      </c>
      <c r="D641" s="5" t="s">
        <v>60</v>
      </c>
      <c r="E641" s="5" t="s">
        <v>62</v>
      </c>
      <c r="F641" s="5" t="s">
        <v>7633</v>
      </c>
      <c r="G641" s="5" t="s">
        <v>7837</v>
      </c>
      <c r="H641" s="5"/>
      <c r="I641" s="5" t="s">
        <v>3373</v>
      </c>
    </row>
    <row r="642" customFormat="false" ht="23.85" hidden="false" customHeight="false" outlineLevel="0" collapsed="false">
      <c r="A642" s="5" t="s">
        <v>3379</v>
      </c>
      <c r="B642" s="2" t="s">
        <v>3380</v>
      </c>
      <c r="C642" s="5" t="s">
        <v>2128</v>
      </c>
      <c r="D642" s="5" t="s">
        <v>60</v>
      </c>
      <c r="E642" s="5" t="s">
        <v>62</v>
      </c>
      <c r="F642" s="5" t="s">
        <v>269</v>
      </c>
      <c r="G642" s="5" t="s">
        <v>7838</v>
      </c>
      <c r="H642" s="5"/>
      <c r="I642" s="5" t="s">
        <v>3381</v>
      </c>
    </row>
    <row r="643" customFormat="false" ht="15" hidden="false" customHeight="false" outlineLevel="0" collapsed="false">
      <c r="A643" s="5" t="s">
        <v>3386</v>
      </c>
      <c r="B643" s="2" t="s">
        <v>3387</v>
      </c>
      <c r="C643" s="5" t="s">
        <v>2128</v>
      </c>
      <c r="D643" s="5" t="s">
        <v>60</v>
      </c>
      <c r="E643" s="5" t="s">
        <v>62</v>
      </c>
      <c r="F643" s="5" t="s">
        <v>269</v>
      </c>
      <c r="G643" s="5" t="s">
        <v>7838</v>
      </c>
      <c r="H643" s="5"/>
      <c r="I643" s="5" t="s">
        <v>3381</v>
      </c>
    </row>
    <row r="644" customFormat="false" ht="23.85" hidden="false" customHeight="false" outlineLevel="0" collapsed="false">
      <c r="A644" s="5" t="s">
        <v>3391</v>
      </c>
      <c r="B644" s="2" t="s">
        <v>3392</v>
      </c>
      <c r="C644" s="5" t="s">
        <v>2245</v>
      </c>
      <c r="D644" s="5" t="s">
        <v>60</v>
      </c>
      <c r="E644" s="5" t="s">
        <v>62</v>
      </c>
      <c r="F644" s="5" t="s">
        <v>7635</v>
      </c>
      <c r="G644" s="5" t="s">
        <v>7636</v>
      </c>
      <c r="H644" s="5" t="s">
        <v>3134</v>
      </c>
      <c r="I644" s="5" t="s">
        <v>3130</v>
      </c>
    </row>
    <row r="645" customFormat="false" ht="23.85" hidden="false" customHeight="false" outlineLevel="0" collapsed="false">
      <c r="A645" s="5" t="s">
        <v>3396</v>
      </c>
      <c r="B645" s="2" t="s">
        <v>3397</v>
      </c>
      <c r="C645" s="5" t="s">
        <v>2128</v>
      </c>
      <c r="D645" s="5" t="s">
        <v>60</v>
      </c>
      <c r="E645" s="5" t="s">
        <v>62</v>
      </c>
      <c r="F645" s="5" t="s">
        <v>7633</v>
      </c>
      <c r="G645" s="5" t="s">
        <v>7736</v>
      </c>
      <c r="H645" s="5" t="s">
        <v>1225</v>
      </c>
      <c r="I645" s="5" t="s">
        <v>1221</v>
      </c>
    </row>
    <row r="646" customFormat="false" ht="15" hidden="false" customHeight="false" outlineLevel="0" collapsed="false">
      <c r="A646" s="5" t="s">
        <v>3401</v>
      </c>
      <c r="B646" s="2" t="s">
        <v>3402</v>
      </c>
      <c r="C646" s="5" t="s">
        <v>2128</v>
      </c>
      <c r="D646" s="5" t="s">
        <v>60</v>
      </c>
      <c r="E646" s="5" t="s">
        <v>62</v>
      </c>
      <c r="F646" s="5" t="s">
        <v>269</v>
      </c>
      <c r="G646" s="5" t="s">
        <v>7754</v>
      </c>
      <c r="H646" s="5"/>
      <c r="I646" s="5" t="s">
        <v>1612</v>
      </c>
    </row>
    <row r="647" customFormat="false" ht="23.85" hidden="false" customHeight="false" outlineLevel="0" collapsed="false">
      <c r="A647" s="5" t="s">
        <v>3406</v>
      </c>
      <c r="B647" s="2" t="s">
        <v>3407</v>
      </c>
      <c r="C647" s="5" t="s">
        <v>2128</v>
      </c>
      <c r="D647" s="5" t="s">
        <v>60</v>
      </c>
      <c r="E647" s="5" t="s">
        <v>62</v>
      </c>
      <c r="F647" s="5" t="s">
        <v>269</v>
      </c>
      <c r="G647" s="5" t="s">
        <v>7754</v>
      </c>
      <c r="H647" s="5"/>
      <c r="I647" s="5" t="s">
        <v>1612</v>
      </c>
    </row>
    <row r="648" customFormat="false" ht="15" hidden="false" customHeight="false" outlineLevel="0" collapsed="false">
      <c r="A648" s="5" t="s">
        <v>3413</v>
      </c>
      <c r="B648" s="2" t="s">
        <v>3414</v>
      </c>
      <c r="C648" s="5" t="s">
        <v>2128</v>
      </c>
      <c r="D648" s="5" t="s">
        <v>60</v>
      </c>
      <c r="E648" s="5" t="s">
        <v>62</v>
      </c>
      <c r="F648" s="5" t="s">
        <v>269</v>
      </c>
      <c r="G648" s="5" t="s">
        <v>7839</v>
      </c>
      <c r="H648" s="5"/>
      <c r="I648" s="5" t="s">
        <v>3416</v>
      </c>
    </row>
    <row r="649" customFormat="false" ht="15" hidden="false" customHeight="false" outlineLevel="0" collapsed="false">
      <c r="A649" s="5" t="s">
        <v>3421</v>
      </c>
      <c r="B649" s="2" t="s">
        <v>3422</v>
      </c>
      <c r="C649" s="5" t="s">
        <v>2128</v>
      </c>
      <c r="D649" s="5" t="s">
        <v>60</v>
      </c>
      <c r="E649" s="5" t="s">
        <v>62</v>
      </c>
      <c r="F649" s="5" t="s">
        <v>269</v>
      </c>
      <c r="G649" s="5" t="s">
        <v>7840</v>
      </c>
      <c r="H649" s="5"/>
      <c r="I649" s="5" t="s">
        <v>3423</v>
      </c>
    </row>
    <row r="650" customFormat="false" ht="23.85" hidden="false" customHeight="false" outlineLevel="0" collapsed="false">
      <c r="A650" s="5" t="s">
        <v>3427</v>
      </c>
      <c r="B650" s="2" t="s">
        <v>3428</v>
      </c>
      <c r="C650" s="5" t="s">
        <v>2128</v>
      </c>
      <c r="D650" s="5" t="s">
        <v>60</v>
      </c>
      <c r="E650" s="5" t="s">
        <v>62</v>
      </c>
      <c r="F650" s="5" t="s">
        <v>269</v>
      </c>
      <c r="G650" s="5" t="s">
        <v>7749</v>
      </c>
      <c r="H650" s="5" t="s">
        <v>1537</v>
      </c>
      <c r="I650" s="5" t="s">
        <v>1533</v>
      </c>
    </row>
    <row r="651" customFormat="false" ht="23.85" hidden="false" customHeight="false" outlineLevel="0" collapsed="false">
      <c r="A651" s="5" t="s">
        <v>3433</v>
      </c>
      <c r="B651" s="2" t="s">
        <v>3434</v>
      </c>
      <c r="C651" s="5" t="s">
        <v>2245</v>
      </c>
      <c r="D651" s="5" t="s">
        <v>60</v>
      </c>
      <c r="E651" s="5" t="s">
        <v>62</v>
      </c>
      <c r="F651" s="5" t="s">
        <v>7633</v>
      </c>
      <c r="G651" s="5" t="s">
        <v>7835</v>
      </c>
      <c r="H651" s="5" t="s">
        <v>1225</v>
      </c>
      <c r="I651" s="5" t="s">
        <v>3327</v>
      </c>
    </row>
    <row r="652" customFormat="false" ht="23.85" hidden="false" customHeight="false" outlineLevel="0" collapsed="false">
      <c r="A652" s="5" t="s">
        <v>3438</v>
      </c>
      <c r="B652" s="2" t="s">
        <v>3439</v>
      </c>
      <c r="C652" s="5" t="s">
        <v>2245</v>
      </c>
      <c r="D652" s="5" t="s">
        <v>60</v>
      </c>
      <c r="E652" s="5" t="s">
        <v>62</v>
      </c>
      <c r="F652" s="5" t="s">
        <v>7635</v>
      </c>
      <c r="G652" s="5" t="s">
        <v>7636</v>
      </c>
      <c r="H652" s="5" t="s">
        <v>3134</v>
      </c>
      <c r="I652" s="5" t="s">
        <v>3130</v>
      </c>
    </row>
    <row r="653" customFormat="false" ht="15" hidden="false" customHeight="false" outlineLevel="0" collapsed="false">
      <c r="A653" s="5" t="s">
        <v>3444</v>
      </c>
      <c r="B653" s="2" t="s">
        <v>3445</v>
      </c>
      <c r="C653" s="5" t="s">
        <v>2245</v>
      </c>
      <c r="D653" s="5" t="s">
        <v>60</v>
      </c>
      <c r="E653" s="5" t="s">
        <v>490</v>
      </c>
      <c r="F653" s="5" t="s">
        <v>7635</v>
      </c>
      <c r="G653" s="5" t="s">
        <v>7636</v>
      </c>
      <c r="H653" s="5" t="s">
        <v>3134</v>
      </c>
      <c r="I653" s="5" t="s">
        <v>3130</v>
      </c>
    </row>
    <row r="654" customFormat="false" ht="23.85" hidden="false" customHeight="false" outlineLevel="0" collapsed="false">
      <c r="A654" s="5" t="s">
        <v>3450</v>
      </c>
      <c r="B654" s="2" t="s">
        <v>3451</v>
      </c>
      <c r="C654" s="5" t="s">
        <v>2245</v>
      </c>
      <c r="D654" s="5" t="s">
        <v>60</v>
      </c>
      <c r="E654" s="5" t="s">
        <v>490</v>
      </c>
      <c r="F654" s="5" t="s">
        <v>7635</v>
      </c>
      <c r="G654" s="5" t="s">
        <v>7636</v>
      </c>
      <c r="H654" s="5" t="s">
        <v>3134</v>
      </c>
      <c r="I654" s="5" t="s">
        <v>3130</v>
      </c>
    </row>
    <row r="655" customFormat="false" ht="23.85" hidden="false" customHeight="false" outlineLevel="0" collapsed="false">
      <c r="A655" s="5" t="s">
        <v>3455</v>
      </c>
      <c r="B655" s="2" t="s">
        <v>3456</v>
      </c>
      <c r="C655" s="5" t="s">
        <v>2245</v>
      </c>
      <c r="D655" s="5" t="s">
        <v>60</v>
      </c>
      <c r="E655" s="5" t="s">
        <v>62</v>
      </c>
      <c r="F655" s="5" t="s">
        <v>7633</v>
      </c>
      <c r="G655" s="5" t="s">
        <v>7841</v>
      </c>
      <c r="H655" s="5"/>
      <c r="I655" s="5" t="s">
        <v>3457</v>
      </c>
    </row>
    <row r="656" customFormat="false" ht="23.85" hidden="false" customHeight="false" outlineLevel="0" collapsed="false">
      <c r="A656" s="5" t="s">
        <v>3463</v>
      </c>
      <c r="B656" s="2" t="s">
        <v>3464</v>
      </c>
      <c r="C656" s="5" t="s">
        <v>2245</v>
      </c>
      <c r="D656" s="5" t="s">
        <v>60</v>
      </c>
      <c r="E656" s="5" t="s">
        <v>62</v>
      </c>
      <c r="F656" s="5" t="s">
        <v>7633</v>
      </c>
      <c r="G656" s="5" t="s">
        <v>7634</v>
      </c>
      <c r="H656" s="5" t="s">
        <v>309</v>
      </c>
      <c r="I656" s="5" t="s">
        <v>1105</v>
      </c>
    </row>
    <row r="657" customFormat="false" ht="23.85" hidden="false" customHeight="false" outlineLevel="0" collapsed="false">
      <c r="A657" s="5" t="s">
        <v>3468</v>
      </c>
      <c r="B657" s="2" t="s">
        <v>3469</v>
      </c>
      <c r="C657" s="5" t="s">
        <v>2245</v>
      </c>
      <c r="D657" s="5" t="s">
        <v>60</v>
      </c>
      <c r="E657" s="5" t="s">
        <v>62</v>
      </c>
      <c r="F657" s="5" t="s">
        <v>7635</v>
      </c>
      <c r="G657" s="5" t="s">
        <v>7636</v>
      </c>
      <c r="H657" s="5" t="s">
        <v>3134</v>
      </c>
      <c r="I657" s="5" t="s">
        <v>3130</v>
      </c>
    </row>
    <row r="658" customFormat="false" ht="15" hidden="false" customHeight="false" outlineLevel="0" collapsed="false">
      <c r="A658" s="5" t="s">
        <v>3473</v>
      </c>
      <c r="B658" s="2" t="s">
        <v>3474</v>
      </c>
      <c r="C658" s="5" t="s">
        <v>2128</v>
      </c>
      <c r="D658" s="5" t="s">
        <v>60</v>
      </c>
      <c r="E658" s="5" t="s">
        <v>62</v>
      </c>
      <c r="F658" s="5" t="s">
        <v>7633</v>
      </c>
      <c r="G658" s="5" t="s">
        <v>7634</v>
      </c>
      <c r="H658" s="5" t="s">
        <v>309</v>
      </c>
      <c r="I658" s="5" t="s">
        <v>1105</v>
      </c>
    </row>
    <row r="659" customFormat="false" ht="15" hidden="false" customHeight="false" outlineLevel="0" collapsed="false">
      <c r="A659" s="5" t="s">
        <v>3478</v>
      </c>
      <c r="B659" s="2" t="s">
        <v>3479</v>
      </c>
      <c r="C659" s="5" t="s">
        <v>2245</v>
      </c>
      <c r="D659" s="5" t="s">
        <v>60</v>
      </c>
      <c r="E659" s="5" t="s">
        <v>62</v>
      </c>
      <c r="F659" s="5" t="s">
        <v>7633</v>
      </c>
      <c r="G659" s="5" t="s">
        <v>7835</v>
      </c>
      <c r="H659" s="5" t="s">
        <v>1225</v>
      </c>
      <c r="I659" s="5" t="s">
        <v>3327</v>
      </c>
    </row>
    <row r="660" customFormat="false" ht="23.85" hidden="false" customHeight="false" outlineLevel="0" collapsed="false">
      <c r="A660" s="5" t="s">
        <v>3484</v>
      </c>
      <c r="B660" s="2" t="s">
        <v>3485</v>
      </c>
      <c r="C660" s="5" t="s">
        <v>2245</v>
      </c>
      <c r="D660" s="5" t="s">
        <v>60</v>
      </c>
      <c r="E660" s="5" t="s">
        <v>62</v>
      </c>
      <c r="F660" s="5" t="s">
        <v>7633</v>
      </c>
      <c r="G660" s="5" t="s">
        <v>7634</v>
      </c>
      <c r="H660" s="5" t="s">
        <v>309</v>
      </c>
      <c r="I660" s="5" t="s">
        <v>1105</v>
      </c>
    </row>
    <row r="661" customFormat="false" ht="23.85" hidden="false" customHeight="false" outlineLevel="0" collapsed="false">
      <c r="A661" s="5" t="s">
        <v>3489</v>
      </c>
      <c r="B661" s="2" t="s">
        <v>3490</v>
      </c>
      <c r="C661" s="5" t="s">
        <v>2128</v>
      </c>
      <c r="D661" s="5" t="s">
        <v>60</v>
      </c>
      <c r="E661" s="5" t="s">
        <v>62</v>
      </c>
      <c r="F661" s="5" t="s">
        <v>269</v>
      </c>
      <c r="G661" s="5" t="s">
        <v>7842</v>
      </c>
      <c r="H661" s="5"/>
      <c r="I661" s="5" t="s">
        <v>3491</v>
      </c>
    </row>
    <row r="662" customFormat="false" ht="23.85" hidden="false" customHeight="false" outlineLevel="0" collapsed="false">
      <c r="A662" s="5" t="s">
        <v>3497</v>
      </c>
      <c r="B662" s="2" t="s">
        <v>3498</v>
      </c>
      <c r="C662" s="5" t="s">
        <v>2245</v>
      </c>
      <c r="D662" s="5" t="s">
        <v>60</v>
      </c>
      <c r="E662" s="5" t="s">
        <v>62</v>
      </c>
      <c r="F662" s="5" t="s">
        <v>269</v>
      </c>
      <c r="G662" s="5" t="s">
        <v>7843</v>
      </c>
      <c r="H662" s="5"/>
      <c r="I662" s="5" t="s">
        <v>3500</v>
      </c>
    </row>
    <row r="663" customFormat="false" ht="15" hidden="false" customHeight="false" outlineLevel="0" collapsed="false">
      <c r="A663" s="5" t="s">
        <v>3506</v>
      </c>
      <c r="B663" s="2" t="s">
        <v>3507</v>
      </c>
      <c r="C663" s="5" t="s">
        <v>2128</v>
      </c>
      <c r="D663" s="5" t="s">
        <v>60</v>
      </c>
      <c r="E663" s="5" t="s">
        <v>62</v>
      </c>
      <c r="F663" s="5" t="s">
        <v>7633</v>
      </c>
      <c r="G663" s="5" t="s">
        <v>7634</v>
      </c>
      <c r="H663" s="5" t="s">
        <v>309</v>
      </c>
      <c r="I663" s="5" t="s">
        <v>1105</v>
      </c>
    </row>
    <row r="664" customFormat="false" ht="23.85" hidden="false" customHeight="false" outlineLevel="0" collapsed="false">
      <c r="A664" s="5" t="s">
        <v>3512</v>
      </c>
      <c r="B664" s="2" t="s">
        <v>3513</v>
      </c>
      <c r="C664" s="5" t="s">
        <v>2128</v>
      </c>
      <c r="D664" s="5" t="s">
        <v>60</v>
      </c>
      <c r="E664" s="5" t="s">
        <v>62</v>
      </c>
      <c r="F664" s="5" t="s">
        <v>269</v>
      </c>
      <c r="G664" s="5" t="s">
        <v>7844</v>
      </c>
      <c r="H664" s="5"/>
      <c r="I664" s="5" t="s">
        <v>3515</v>
      </c>
    </row>
    <row r="665" customFormat="false" ht="23.85" hidden="false" customHeight="false" outlineLevel="0" collapsed="false">
      <c r="A665" s="5" t="s">
        <v>3521</v>
      </c>
      <c r="B665" s="2" t="s">
        <v>3522</v>
      </c>
      <c r="C665" s="5" t="s">
        <v>2128</v>
      </c>
      <c r="D665" s="5" t="s">
        <v>60</v>
      </c>
      <c r="E665" s="5" t="s">
        <v>62</v>
      </c>
      <c r="F665" s="5" t="s">
        <v>269</v>
      </c>
      <c r="G665" s="5" t="s">
        <v>7749</v>
      </c>
      <c r="H665" s="5" t="s">
        <v>1537</v>
      </c>
      <c r="I665" s="5" t="s">
        <v>1533</v>
      </c>
    </row>
    <row r="666" customFormat="false" ht="23.85" hidden="false" customHeight="false" outlineLevel="0" collapsed="false">
      <c r="A666" s="5" t="s">
        <v>3528</v>
      </c>
      <c r="B666" s="2" t="s">
        <v>3529</v>
      </c>
      <c r="C666" s="5" t="s">
        <v>2128</v>
      </c>
      <c r="D666" s="5" t="s">
        <v>60</v>
      </c>
      <c r="E666" s="5" t="s">
        <v>62</v>
      </c>
      <c r="F666" s="5" t="s">
        <v>269</v>
      </c>
      <c r="G666" s="5" t="s">
        <v>7749</v>
      </c>
      <c r="H666" s="5" t="s">
        <v>1537</v>
      </c>
      <c r="I666" s="5" t="s">
        <v>1533</v>
      </c>
    </row>
    <row r="667" customFormat="false" ht="15" hidden="false" customHeight="false" outlineLevel="0" collapsed="false">
      <c r="A667" s="5" t="s">
        <v>3533</v>
      </c>
      <c r="B667" s="2" t="s">
        <v>3534</v>
      </c>
      <c r="C667" s="5" t="s">
        <v>2245</v>
      </c>
      <c r="D667" s="5" t="s">
        <v>60</v>
      </c>
      <c r="E667" s="5" t="s">
        <v>62</v>
      </c>
      <c r="F667" s="5" t="s">
        <v>269</v>
      </c>
      <c r="G667" s="5" t="s">
        <v>7845</v>
      </c>
      <c r="H667" s="5"/>
      <c r="I667" s="5" t="s">
        <v>7846</v>
      </c>
    </row>
    <row r="668" customFormat="false" ht="15" hidden="false" customHeight="false" outlineLevel="0" collapsed="false">
      <c r="A668" s="5" t="s">
        <v>3533</v>
      </c>
      <c r="B668" s="2" t="s">
        <v>3534</v>
      </c>
      <c r="C668" s="5" t="s">
        <v>2245</v>
      </c>
      <c r="D668" s="5" t="s">
        <v>60</v>
      </c>
      <c r="E668" s="5" t="s">
        <v>62</v>
      </c>
      <c r="F668" s="5" t="s">
        <v>269</v>
      </c>
      <c r="G668" s="5" t="s">
        <v>7847</v>
      </c>
      <c r="H668" s="5"/>
      <c r="I668" s="5" t="s">
        <v>7848</v>
      </c>
    </row>
    <row r="669" customFormat="false" ht="15" hidden="false" customHeight="false" outlineLevel="0" collapsed="false">
      <c r="A669" s="5" t="s">
        <v>3542</v>
      </c>
      <c r="B669" s="2" t="s">
        <v>3543</v>
      </c>
      <c r="C669" s="5" t="s">
        <v>2128</v>
      </c>
      <c r="D669" s="5" t="s">
        <v>60</v>
      </c>
      <c r="E669" s="5" t="s">
        <v>62</v>
      </c>
      <c r="F669" s="5" t="s">
        <v>269</v>
      </c>
      <c r="G669" s="5" t="s">
        <v>7770</v>
      </c>
      <c r="H669" s="5" t="s">
        <v>1537</v>
      </c>
      <c r="I669" s="5" t="s">
        <v>3545</v>
      </c>
    </row>
    <row r="670" customFormat="false" ht="23.85" hidden="false" customHeight="false" outlineLevel="0" collapsed="false">
      <c r="A670" s="5" t="s">
        <v>3551</v>
      </c>
      <c r="B670" s="2" t="s">
        <v>3552</v>
      </c>
      <c r="C670" s="5" t="s">
        <v>2245</v>
      </c>
      <c r="D670" s="5" t="s">
        <v>60</v>
      </c>
      <c r="E670" s="5" t="s">
        <v>490</v>
      </c>
      <c r="F670" s="5" t="s">
        <v>269</v>
      </c>
      <c r="G670" s="5" t="s">
        <v>7747</v>
      </c>
      <c r="H670" s="5"/>
      <c r="I670" s="5" t="s">
        <v>1976</v>
      </c>
    </row>
    <row r="671" customFormat="false" ht="23.85" hidden="false" customHeight="false" outlineLevel="0" collapsed="false">
      <c r="A671" s="5" t="s">
        <v>3556</v>
      </c>
      <c r="B671" s="2" t="s">
        <v>3557</v>
      </c>
      <c r="C671" s="5" t="s">
        <v>2128</v>
      </c>
      <c r="D671" s="5" t="s">
        <v>60</v>
      </c>
      <c r="E671" s="5" t="s">
        <v>62</v>
      </c>
      <c r="F671" s="5" t="s">
        <v>7633</v>
      </c>
      <c r="G671" s="5" t="s">
        <v>7634</v>
      </c>
      <c r="H671" s="5" t="s">
        <v>309</v>
      </c>
      <c r="I671" s="5" t="s">
        <v>1105</v>
      </c>
    </row>
    <row r="672" customFormat="false" ht="23.85" hidden="false" customHeight="false" outlineLevel="0" collapsed="false">
      <c r="A672" s="5" t="s">
        <v>3561</v>
      </c>
      <c r="B672" s="2" t="s">
        <v>3562</v>
      </c>
      <c r="C672" s="5" t="s">
        <v>2128</v>
      </c>
      <c r="D672" s="5" t="s">
        <v>60</v>
      </c>
      <c r="E672" s="5" t="s">
        <v>62</v>
      </c>
      <c r="F672" s="5" t="s">
        <v>7633</v>
      </c>
      <c r="G672" s="5" t="s">
        <v>7634</v>
      </c>
      <c r="H672" s="5" t="s">
        <v>309</v>
      </c>
      <c r="I672" s="5" t="s">
        <v>1105</v>
      </c>
    </row>
    <row r="673" customFormat="false" ht="23.85" hidden="false" customHeight="false" outlineLevel="0" collapsed="false">
      <c r="A673" s="5" t="s">
        <v>3566</v>
      </c>
      <c r="B673" s="2" t="s">
        <v>3567</v>
      </c>
      <c r="C673" s="5" t="s">
        <v>2245</v>
      </c>
      <c r="D673" s="5" t="s">
        <v>60</v>
      </c>
      <c r="E673" s="5" t="s">
        <v>62</v>
      </c>
      <c r="F673" s="5" t="s">
        <v>7633</v>
      </c>
      <c r="G673" s="5" t="s">
        <v>7634</v>
      </c>
      <c r="H673" s="5" t="s">
        <v>309</v>
      </c>
      <c r="I673" s="5" t="s">
        <v>1105</v>
      </c>
    </row>
    <row r="674" customFormat="false" ht="23.85" hidden="false" customHeight="false" outlineLevel="0" collapsed="false">
      <c r="A674" s="5" t="s">
        <v>3571</v>
      </c>
      <c r="B674" s="2" t="s">
        <v>3572</v>
      </c>
      <c r="C674" s="5" t="s">
        <v>2245</v>
      </c>
      <c r="D674" s="5" t="s">
        <v>60</v>
      </c>
      <c r="E674" s="5" t="s">
        <v>62</v>
      </c>
      <c r="F674" s="5" t="s">
        <v>7633</v>
      </c>
      <c r="G674" s="5" t="s">
        <v>7634</v>
      </c>
      <c r="H674" s="5" t="s">
        <v>309</v>
      </c>
      <c r="I674" s="5" t="s">
        <v>1105</v>
      </c>
    </row>
    <row r="675" customFormat="false" ht="15" hidden="false" customHeight="false" outlineLevel="0" collapsed="false">
      <c r="A675" s="5" t="s">
        <v>3576</v>
      </c>
      <c r="B675" s="2" t="s">
        <v>3577</v>
      </c>
      <c r="C675" s="5" t="s">
        <v>2128</v>
      </c>
      <c r="D675" s="5" t="s">
        <v>60</v>
      </c>
      <c r="E675" s="5" t="s">
        <v>62</v>
      </c>
      <c r="F675" s="5" t="s">
        <v>269</v>
      </c>
      <c r="G675" s="5" t="s">
        <v>7754</v>
      </c>
      <c r="H675" s="5"/>
      <c r="I675" s="5" t="s">
        <v>1612</v>
      </c>
    </row>
    <row r="676" customFormat="false" ht="23.85" hidden="false" customHeight="false" outlineLevel="0" collapsed="false">
      <c r="A676" s="5" t="s">
        <v>3581</v>
      </c>
      <c r="B676" s="2" t="s">
        <v>3582</v>
      </c>
      <c r="C676" s="5" t="s">
        <v>2245</v>
      </c>
      <c r="D676" s="5" t="s">
        <v>60</v>
      </c>
      <c r="E676" s="5" t="s">
        <v>62</v>
      </c>
      <c r="F676" s="5" t="s">
        <v>7635</v>
      </c>
      <c r="G676" s="5" t="s">
        <v>7636</v>
      </c>
      <c r="H676" s="5" t="s">
        <v>3134</v>
      </c>
      <c r="I676" s="5" t="s">
        <v>3130</v>
      </c>
    </row>
    <row r="677" customFormat="false" ht="23.85" hidden="false" customHeight="false" outlineLevel="0" collapsed="false">
      <c r="A677" s="5" t="s">
        <v>3587</v>
      </c>
      <c r="B677" s="2" t="s">
        <v>3588</v>
      </c>
      <c r="C677" s="5" t="s">
        <v>2128</v>
      </c>
      <c r="D677" s="5" t="s">
        <v>60</v>
      </c>
      <c r="E677" s="5" t="s">
        <v>62</v>
      </c>
      <c r="F677" s="5" t="s">
        <v>7633</v>
      </c>
      <c r="G677" s="5" t="s">
        <v>7634</v>
      </c>
      <c r="H677" s="5" t="s">
        <v>309</v>
      </c>
      <c r="I677" s="5" t="s">
        <v>1105</v>
      </c>
    </row>
    <row r="678" customFormat="false" ht="15" hidden="false" customHeight="false" outlineLevel="0" collapsed="false">
      <c r="A678" s="5" t="s">
        <v>3592</v>
      </c>
      <c r="B678" s="2" t="s">
        <v>3593</v>
      </c>
      <c r="C678" s="5" t="s">
        <v>2128</v>
      </c>
      <c r="D678" s="5" t="s">
        <v>60</v>
      </c>
      <c r="E678" s="5" t="s">
        <v>62</v>
      </c>
      <c r="F678" s="5" t="s">
        <v>7633</v>
      </c>
      <c r="G678" s="5" t="s">
        <v>7634</v>
      </c>
      <c r="H678" s="5" t="s">
        <v>309</v>
      </c>
      <c r="I678" s="5" t="s">
        <v>1105</v>
      </c>
    </row>
    <row r="679" customFormat="false" ht="23.85" hidden="false" customHeight="false" outlineLevel="0" collapsed="false">
      <c r="A679" s="5" t="s">
        <v>3598</v>
      </c>
      <c r="B679" s="2" t="s">
        <v>3599</v>
      </c>
      <c r="C679" s="5" t="s">
        <v>2128</v>
      </c>
      <c r="D679" s="5" t="s">
        <v>60</v>
      </c>
      <c r="E679" s="5" t="s">
        <v>62</v>
      </c>
      <c r="F679" s="5" t="s">
        <v>7633</v>
      </c>
      <c r="G679" s="5" t="s">
        <v>7634</v>
      </c>
      <c r="H679" s="5" t="s">
        <v>309</v>
      </c>
      <c r="I679" s="5" t="s">
        <v>1105</v>
      </c>
    </row>
    <row r="680" customFormat="false" ht="23.85" hidden="false" customHeight="false" outlineLevel="0" collapsed="false">
      <c r="A680" s="5" t="s">
        <v>3603</v>
      </c>
      <c r="B680" s="2" t="s">
        <v>3604</v>
      </c>
      <c r="C680" s="5" t="s">
        <v>2245</v>
      </c>
      <c r="D680" s="5" t="s">
        <v>60</v>
      </c>
      <c r="E680" s="5" t="s">
        <v>62</v>
      </c>
      <c r="F680" s="5" t="s">
        <v>269</v>
      </c>
      <c r="G680" s="5" t="s">
        <v>7637</v>
      </c>
      <c r="H680" s="5" t="s">
        <v>214</v>
      </c>
      <c r="I680" s="5" t="s">
        <v>210</v>
      </c>
    </row>
    <row r="681" customFormat="false" ht="15" hidden="false" customHeight="false" outlineLevel="0" collapsed="false">
      <c r="A681" s="5" t="s">
        <v>3609</v>
      </c>
      <c r="B681" s="2" t="s">
        <v>3610</v>
      </c>
      <c r="C681" s="5" t="s">
        <v>2128</v>
      </c>
      <c r="D681" s="5" t="s">
        <v>60</v>
      </c>
      <c r="E681" s="5" t="s">
        <v>62</v>
      </c>
      <c r="F681" s="5" t="s">
        <v>7633</v>
      </c>
      <c r="G681" s="5" t="s">
        <v>7634</v>
      </c>
      <c r="H681" s="5" t="s">
        <v>309</v>
      </c>
      <c r="I681" s="5" t="s">
        <v>1105</v>
      </c>
    </row>
    <row r="682" customFormat="false" ht="15" hidden="false" customHeight="false" outlineLevel="0" collapsed="false">
      <c r="A682" s="5" t="s">
        <v>3614</v>
      </c>
      <c r="B682" s="2" t="s">
        <v>3615</v>
      </c>
      <c r="C682" s="5" t="s">
        <v>2128</v>
      </c>
      <c r="D682" s="5" t="s">
        <v>60</v>
      </c>
      <c r="E682" s="5" t="s">
        <v>62</v>
      </c>
      <c r="F682" s="5" t="s">
        <v>7633</v>
      </c>
      <c r="G682" s="5" t="s">
        <v>7634</v>
      </c>
      <c r="H682" s="5" t="s">
        <v>309</v>
      </c>
      <c r="I682" s="5" t="s">
        <v>1105</v>
      </c>
    </row>
    <row r="683" customFormat="false" ht="15" hidden="false" customHeight="false" outlineLevel="0" collapsed="false">
      <c r="A683" s="5" t="s">
        <v>3619</v>
      </c>
      <c r="B683" s="2" t="s">
        <v>3620</v>
      </c>
      <c r="C683" s="5" t="s">
        <v>2128</v>
      </c>
      <c r="D683" s="5" t="s">
        <v>60</v>
      </c>
      <c r="E683" s="5" t="s">
        <v>62</v>
      </c>
      <c r="F683" s="5" t="s">
        <v>7633</v>
      </c>
      <c r="G683" s="5" t="s">
        <v>7634</v>
      </c>
      <c r="H683" s="5" t="s">
        <v>309</v>
      </c>
      <c r="I683" s="5" t="s">
        <v>1105</v>
      </c>
    </row>
    <row r="684" customFormat="false" ht="23.85" hidden="false" customHeight="false" outlineLevel="0" collapsed="false">
      <c r="A684" s="5" t="s">
        <v>3624</v>
      </c>
      <c r="B684" s="2" t="s">
        <v>3625</v>
      </c>
      <c r="C684" s="5" t="s">
        <v>2245</v>
      </c>
      <c r="D684" s="5" t="s">
        <v>60</v>
      </c>
      <c r="E684" s="5" t="s">
        <v>62</v>
      </c>
      <c r="F684" s="5" t="s">
        <v>269</v>
      </c>
      <c r="G684" s="5" t="s">
        <v>7849</v>
      </c>
      <c r="H684" s="5"/>
      <c r="I684" s="5" t="s">
        <v>7850</v>
      </c>
    </row>
    <row r="685" customFormat="false" ht="23.85" hidden="false" customHeight="false" outlineLevel="0" collapsed="false">
      <c r="A685" s="5" t="s">
        <v>3624</v>
      </c>
      <c r="B685" s="2" t="s">
        <v>3625</v>
      </c>
      <c r="C685" s="5" t="s">
        <v>2245</v>
      </c>
      <c r="D685" s="5" t="s">
        <v>60</v>
      </c>
      <c r="E685" s="5" t="s">
        <v>62</v>
      </c>
      <c r="F685" s="5" t="s">
        <v>269</v>
      </c>
      <c r="G685" s="5" t="s">
        <v>7851</v>
      </c>
      <c r="H685" s="5"/>
      <c r="I685" s="5" t="s">
        <v>7852</v>
      </c>
    </row>
    <row r="686" customFormat="false" ht="15" hidden="false" customHeight="false" outlineLevel="0" collapsed="false">
      <c r="A686" s="5" t="s">
        <v>3632</v>
      </c>
      <c r="B686" s="2" t="s">
        <v>3633</v>
      </c>
      <c r="C686" s="5" t="s">
        <v>2245</v>
      </c>
      <c r="D686" s="5" t="s">
        <v>60</v>
      </c>
      <c r="E686" s="5" t="s">
        <v>490</v>
      </c>
      <c r="F686" s="5" t="s">
        <v>7633</v>
      </c>
      <c r="G686" s="5" t="s">
        <v>7634</v>
      </c>
      <c r="H686" s="5" t="s">
        <v>309</v>
      </c>
      <c r="I686" s="5" t="s">
        <v>1105</v>
      </c>
    </row>
    <row r="687" customFormat="false" ht="15" hidden="false" customHeight="false" outlineLevel="0" collapsed="false">
      <c r="A687" s="5" t="s">
        <v>3637</v>
      </c>
      <c r="B687" s="2" t="s">
        <v>3638</v>
      </c>
      <c r="C687" s="5" t="s">
        <v>2245</v>
      </c>
      <c r="D687" s="5" t="s">
        <v>60</v>
      </c>
      <c r="E687" s="5" t="s">
        <v>490</v>
      </c>
      <c r="F687" s="5" t="s">
        <v>7633</v>
      </c>
      <c r="G687" s="5" t="s">
        <v>7733</v>
      </c>
      <c r="H687" s="5"/>
      <c r="I687" s="5" t="s">
        <v>1160</v>
      </c>
    </row>
    <row r="688" customFormat="false" ht="15" hidden="false" customHeight="false" outlineLevel="0" collapsed="false">
      <c r="A688" s="5" t="s">
        <v>3643</v>
      </c>
      <c r="B688" s="2" t="s">
        <v>3644</v>
      </c>
      <c r="C688" s="5" t="s">
        <v>2245</v>
      </c>
      <c r="D688" s="5" t="s">
        <v>60</v>
      </c>
      <c r="E688" s="5" t="s">
        <v>62</v>
      </c>
      <c r="F688" s="5" t="s">
        <v>269</v>
      </c>
      <c r="G688" s="5" t="s">
        <v>7851</v>
      </c>
      <c r="H688" s="5"/>
      <c r="I688" s="5" t="s">
        <v>7852</v>
      </c>
    </row>
    <row r="689" customFormat="false" ht="15" hidden="false" customHeight="false" outlineLevel="0" collapsed="false">
      <c r="A689" s="5" t="s">
        <v>3643</v>
      </c>
      <c r="B689" s="2" t="s">
        <v>3644</v>
      </c>
      <c r="C689" s="5" t="s">
        <v>2245</v>
      </c>
      <c r="D689" s="5" t="s">
        <v>60</v>
      </c>
      <c r="E689" s="5" t="s">
        <v>62</v>
      </c>
      <c r="F689" s="5" t="s">
        <v>269</v>
      </c>
      <c r="G689" s="5" t="s">
        <v>7853</v>
      </c>
      <c r="H689" s="5"/>
      <c r="I689" s="5" t="s">
        <v>7854</v>
      </c>
    </row>
    <row r="690" customFormat="false" ht="23.85" hidden="false" customHeight="false" outlineLevel="0" collapsed="false">
      <c r="A690" s="5" t="s">
        <v>3651</v>
      </c>
      <c r="B690" s="2" t="s">
        <v>3652</v>
      </c>
      <c r="C690" s="5" t="s">
        <v>2245</v>
      </c>
      <c r="D690" s="5" t="s">
        <v>60</v>
      </c>
      <c r="E690" s="5" t="s">
        <v>62</v>
      </c>
      <c r="F690" s="5" t="s">
        <v>7633</v>
      </c>
      <c r="G690" s="5" t="s">
        <v>7634</v>
      </c>
      <c r="H690" s="5" t="s">
        <v>309</v>
      </c>
      <c r="I690" s="5" t="s">
        <v>1105</v>
      </c>
    </row>
    <row r="691" customFormat="false" ht="23.85" hidden="false" customHeight="false" outlineLevel="0" collapsed="false">
      <c r="A691" s="5" t="s">
        <v>3656</v>
      </c>
      <c r="B691" s="2" t="s">
        <v>3657</v>
      </c>
      <c r="C691" s="5" t="s">
        <v>2245</v>
      </c>
      <c r="D691" s="5" t="s">
        <v>60</v>
      </c>
      <c r="E691" s="5" t="s">
        <v>62</v>
      </c>
      <c r="F691" s="5" t="s">
        <v>7635</v>
      </c>
      <c r="G691" s="5" t="s">
        <v>7636</v>
      </c>
      <c r="H691" s="5" t="s">
        <v>3134</v>
      </c>
      <c r="I691" s="5" t="s">
        <v>3130</v>
      </c>
    </row>
    <row r="692" customFormat="false" ht="23.85" hidden="false" customHeight="false" outlineLevel="0" collapsed="false">
      <c r="A692" s="5" t="s">
        <v>3661</v>
      </c>
      <c r="B692" s="2" t="s">
        <v>3662</v>
      </c>
      <c r="C692" s="5" t="s">
        <v>2128</v>
      </c>
      <c r="D692" s="5" t="s">
        <v>60</v>
      </c>
      <c r="E692" s="5" t="s">
        <v>62</v>
      </c>
      <c r="F692" s="5" t="s">
        <v>7633</v>
      </c>
      <c r="G692" s="5" t="s">
        <v>7634</v>
      </c>
      <c r="H692" s="5" t="s">
        <v>309</v>
      </c>
      <c r="I692" s="5" t="s">
        <v>1105</v>
      </c>
    </row>
    <row r="693" customFormat="false" ht="23.85" hidden="false" customHeight="false" outlineLevel="0" collapsed="false">
      <c r="A693" s="5" t="s">
        <v>3666</v>
      </c>
      <c r="B693" s="2" t="s">
        <v>3667</v>
      </c>
      <c r="C693" s="5" t="s">
        <v>2128</v>
      </c>
      <c r="D693" s="5" t="s">
        <v>60</v>
      </c>
      <c r="E693" s="5" t="s">
        <v>62</v>
      </c>
      <c r="F693" s="5" t="s">
        <v>7633</v>
      </c>
      <c r="G693" s="5" t="s">
        <v>7634</v>
      </c>
      <c r="H693" s="5" t="s">
        <v>309</v>
      </c>
      <c r="I693" s="5" t="s">
        <v>1105</v>
      </c>
    </row>
    <row r="694" customFormat="false" ht="15" hidden="false" customHeight="false" outlineLevel="0" collapsed="false">
      <c r="A694" s="5" t="s">
        <v>3672</v>
      </c>
      <c r="B694" s="2" t="s">
        <v>3673</v>
      </c>
      <c r="C694" s="5" t="s">
        <v>2245</v>
      </c>
      <c r="D694" s="5" t="s">
        <v>60</v>
      </c>
      <c r="E694" s="5" t="s">
        <v>62</v>
      </c>
      <c r="F694" s="5" t="s">
        <v>7633</v>
      </c>
      <c r="G694" s="5" t="s">
        <v>7634</v>
      </c>
      <c r="H694" s="5" t="s">
        <v>309</v>
      </c>
      <c r="I694" s="5" t="s">
        <v>1105</v>
      </c>
    </row>
    <row r="695" customFormat="false" ht="15" hidden="false" customHeight="false" outlineLevel="0" collapsed="false">
      <c r="A695" s="5" t="s">
        <v>3677</v>
      </c>
      <c r="B695" s="2" t="s">
        <v>3678</v>
      </c>
      <c r="C695" s="5" t="s">
        <v>2128</v>
      </c>
      <c r="D695" s="5" t="s">
        <v>60</v>
      </c>
      <c r="E695" s="5" t="s">
        <v>62</v>
      </c>
      <c r="F695" s="5" t="s">
        <v>7633</v>
      </c>
      <c r="G695" s="5" t="s">
        <v>7634</v>
      </c>
      <c r="H695" s="5" t="s">
        <v>309</v>
      </c>
      <c r="I695" s="5" t="s">
        <v>1105</v>
      </c>
    </row>
    <row r="696" customFormat="false" ht="15" hidden="false" customHeight="false" outlineLevel="0" collapsed="false">
      <c r="A696" s="5" t="s">
        <v>3682</v>
      </c>
      <c r="B696" s="2" t="s">
        <v>3683</v>
      </c>
      <c r="C696" s="5" t="s">
        <v>2128</v>
      </c>
      <c r="D696" s="5" t="s">
        <v>60</v>
      </c>
      <c r="E696" s="5" t="s">
        <v>62</v>
      </c>
      <c r="F696" s="5" t="s">
        <v>7633</v>
      </c>
      <c r="G696" s="5" t="s">
        <v>7634</v>
      </c>
      <c r="H696" s="5" t="s">
        <v>309</v>
      </c>
      <c r="I696" s="5" t="s">
        <v>1105</v>
      </c>
    </row>
    <row r="697" customFormat="false" ht="15" hidden="false" customHeight="false" outlineLevel="0" collapsed="false">
      <c r="A697" s="5" t="s">
        <v>3688</v>
      </c>
      <c r="B697" s="2" t="s">
        <v>3689</v>
      </c>
      <c r="C697" s="5" t="s">
        <v>2245</v>
      </c>
      <c r="D697" s="5" t="s">
        <v>60</v>
      </c>
      <c r="E697" s="5" t="s">
        <v>62</v>
      </c>
      <c r="F697" s="5" t="s">
        <v>7633</v>
      </c>
      <c r="G697" s="5" t="s">
        <v>7634</v>
      </c>
      <c r="H697" s="5" t="s">
        <v>309</v>
      </c>
      <c r="I697" s="5" t="s">
        <v>1105</v>
      </c>
    </row>
    <row r="698" customFormat="false" ht="23.85" hidden="false" customHeight="false" outlineLevel="0" collapsed="false">
      <c r="A698" s="5" t="s">
        <v>3693</v>
      </c>
      <c r="B698" s="2" t="s">
        <v>3694</v>
      </c>
      <c r="C698" s="5" t="s">
        <v>2245</v>
      </c>
      <c r="D698" s="5" t="s">
        <v>60</v>
      </c>
      <c r="E698" s="5" t="s">
        <v>62</v>
      </c>
      <c r="F698" s="5" t="s">
        <v>7635</v>
      </c>
      <c r="G698" s="5" t="s">
        <v>7636</v>
      </c>
      <c r="H698" s="5" t="s">
        <v>3134</v>
      </c>
      <c r="I698" s="5" t="s">
        <v>3130</v>
      </c>
    </row>
    <row r="699" customFormat="false" ht="15" hidden="false" customHeight="false" outlineLevel="0" collapsed="false">
      <c r="A699" s="5" t="s">
        <v>3698</v>
      </c>
      <c r="B699" s="2" t="s">
        <v>3699</v>
      </c>
      <c r="C699" s="5" t="s">
        <v>2128</v>
      </c>
      <c r="D699" s="5" t="s">
        <v>60</v>
      </c>
      <c r="E699" s="5" t="s">
        <v>62</v>
      </c>
      <c r="F699" s="5" t="s">
        <v>269</v>
      </c>
      <c r="G699" s="5" t="s">
        <v>7825</v>
      </c>
      <c r="H699" s="5"/>
      <c r="I699" s="5" t="s">
        <v>7855</v>
      </c>
    </row>
    <row r="700" customFormat="false" ht="15" hidden="false" customHeight="false" outlineLevel="0" collapsed="false">
      <c r="A700" s="5" t="s">
        <v>3698</v>
      </c>
      <c r="B700" s="2" t="s">
        <v>3699</v>
      </c>
      <c r="C700" s="5" t="s">
        <v>2128</v>
      </c>
      <c r="D700" s="5" t="s">
        <v>60</v>
      </c>
      <c r="E700" s="5" t="s">
        <v>62</v>
      </c>
      <c r="F700" s="5" t="s">
        <v>269</v>
      </c>
      <c r="G700" s="5" t="s">
        <v>7749</v>
      </c>
      <c r="H700" s="5" t="s">
        <v>1537</v>
      </c>
      <c r="I700" s="5" t="s">
        <v>1533</v>
      </c>
    </row>
    <row r="701" customFormat="false" ht="15" hidden="false" customHeight="false" outlineLevel="0" collapsed="false">
      <c r="A701" s="5" t="s">
        <v>3698</v>
      </c>
      <c r="B701" s="2" t="s">
        <v>3699</v>
      </c>
      <c r="C701" s="5" t="s">
        <v>2128</v>
      </c>
      <c r="D701" s="5" t="s">
        <v>60</v>
      </c>
      <c r="E701" s="5" t="s">
        <v>62</v>
      </c>
      <c r="F701" s="5" t="s">
        <v>269</v>
      </c>
      <c r="G701" s="5" t="s">
        <v>7770</v>
      </c>
      <c r="H701" s="5" t="s">
        <v>1537</v>
      </c>
      <c r="I701" s="5" t="s">
        <v>3545</v>
      </c>
    </row>
    <row r="702" customFormat="false" ht="15" hidden="false" customHeight="false" outlineLevel="0" collapsed="false">
      <c r="A702" s="5" t="s">
        <v>3705</v>
      </c>
      <c r="B702" s="2" t="s">
        <v>3706</v>
      </c>
      <c r="C702" s="5" t="s">
        <v>2128</v>
      </c>
      <c r="D702" s="5" t="s">
        <v>60</v>
      </c>
      <c r="E702" s="5" t="s">
        <v>62</v>
      </c>
      <c r="F702" s="5" t="s">
        <v>269</v>
      </c>
      <c r="G702" s="5" t="s">
        <v>7625</v>
      </c>
      <c r="H702" s="5" t="s">
        <v>192</v>
      </c>
      <c r="I702" s="5" t="s">
        <v>385</v>
      </c>
    </row>
    <row r="703" customFormat="false" ht="23.85" hidden="false" customHeight="false" outlineLevel="0" collapsed="false">
      <c r="A703" s="5" t="s">
        <v>3710</v>
      </c>
      <c r="B703" s="2" t="s">
        <v>3711</v>
      </c>
      <c r="C703" s="5" t="s">
        <v>2245</v>
      </c>
      <c r="D703" s="5" t="s">
        <v>60</v>
      </c>
      <c r="E703" s="5" t="s">
        <v>490</v>
      </c>
      <c r="F703" s="5" t="s">
        <v>7633</v>
      </c>
      <c r="G703" s="5" t="s">
        <v>7634</v>
      </c>
      <c r="H703" s="5" t="s">
        <v>309</v>
      </c>
      <c r="I703" s="5" t="s">
        <v>1105</v>
      </c>
    </row>
    <row r="704" customFormat="false" ht="23.85" hidden="false" customHeight="false" outlineLevel="0" collapsed="false">
      <c r="A704" s="5" t="s">
        <v>3716</v>
      </c>
      <c r="B704" s="2" t="s">
        <v>3717</v>
      </c>
      <c r="C704" s="5" t="s">
        <v>2128</v>
      </c>
      <c r="D704" s="5" t="s">
        <v>60</v>
      </c>
      <c r="E704" s="5" t="s">
        <v>62</v>
      </c>
      <c r="F704" s="5" t="s">
        <v>269</v>
      </c>
      <c r="G704" s="5" t="s">
        <v>7734</v>
      </c>
      <c r="H704" s="5"/>
      <c r="I704" s="5" t="s">
        <v>1198</v>
      </c>
    </row>
    <row r="705" customFormat="false" ht="15" hidden="false" customHeight="false" outlineLevel="0" collapsed="false">
      <c r="A705" s="5" t="s">
        <v>3723</v>
      </c>
      <c r="B705" s="2" t="s">
        <v>3724</v>
      </c>
      <c r="C705" s="5" t="s">
        <v>2128</v>
      </c>
      <c r="D705" s="5" t="s">
        <v>60</v>
      </c>
      <c r="E705" s="5" t="s">
        <v>62</v>
      </c>
      <c r="F705" s="5" t="s">
        <v>269</v>
      </c>
      <c r="G705" s="5" t="s">
        <v>7754</v>
      </c>
      <c r="H705" s="5"/>
      <c r="I705" s="5" t="s">
        <v>1612</v>
      </c>
    </row>
    <row r="706" customFormat="false" ht="23.85" hidden="false" customHeight="false" outlineLevel="0" collapsed="false">
      <c r="A706" s="5" t="s">
        <v>3728</v>
      </c>
      <c r="B706" s="2" t="s">
        <v>3729</v>
      </c>
      <c r="C706" s="5" t="s">
        <v>2128</v>
      </c>
      <c r="D706" s="5" t="s">
        <v>60</v>
      </c>
      <c r="E706" s="5" t="s">
        <v>62</v>
      </c>
      <c r="F706" s="5" t="s">
        <v>7633</v>
      </c>
      <c r="G706" s="5" t="s">
        <v>7634</v>
      </c>
      <c r="H706" s="5" t="s">
        <v>309</v>
      </c>
      <c r="I706" s="5" t="s">
        <v>1105</v>
      </c>
    </row>
    <row r="707" customFormat="false" ht="23.85" hidden="false" customHeight="false" outlineLevel="0" collapsed="false">
      <c r="A707" s="5" t="s">
        <v>3733</v>
      </c>
      <c r="B707" s="2" t="s">
        <v>3734</v>
      </c>
      <c r="C707" s="5" t="s">
        <v>2128</v>
      </c>
      <c r="D707" s="5" t="s">
        <v>60</v>
      </c>
      <c r="E707" s="5" t="s">
        <v>62</v>
      </c>
      <c r="F707" s="5" t="s">
        <v>269</v>
      </c>
      <c r="G707" s="5" t="s">
        <v>7856</v>
      </c>
      <c r="H707" s="5"/>
      <c r="I707" s="5" t="s">
        <v>3737</v>
      </c>
    </row>
    <row r="708" customFormat="false" ht="23.85" hidden="false" customHeight="false" outlineLevel="0" collapsed="false">
      <c r="A708" s="5" t="s">
        <v>3733</v>
      </c>
      <c r="B708" s="2" t="s">
        <v>3734</v>
      </c>
      <c r="C708" s="5" t="s">
        <v>2128</v>
      </c>
      <c r="D708" s="5" t="s">
        <v>60</v>
      </c>
      <c r="E708" s="5" t="s">
        <v>62</v>
      </c>
      <c r="F708" s="5" t="s">
        <v>269</v>
      </c>
      <c r="G708" s="5" t="s">
        <v>7857</v>
      </c>
      <c r="H708" s="5"/>
      <c r="I708" s="5" t="s">
        <v>7858</v>
      </c>
    </row>
    <row r="709" customFormat="false" ht="23.85" hidden="false" customHeight="false" outlineLevel="0" collapsed="false">
      <c r="A709" s="5" t="s">
        <v>3743</v>
      </c>
      <c r="B709" s="2" t="s">
        <v>3744</v>
      </c>
      <c r="C709" s="5" t="s">
        <v>2245</v>
      </c>
      <c r="D709" s="5" t="s">
        <v>60</v>
      </c>
      <c r="E709" s="5" t="s">
        <v>62</v>
      </c>
      <c r="F709" s="5" t="s">
        <v>269</v>
      </c>
      <c r="G709" s="5" t="s">
        <v>7798</v>
      </c>
      <c r="H709" s="5"/>
      <c r="I709" s="5" t="s">
        <v>3745</v>
      </c>
    </row>
    <row r="710" customFormat="false" ht="23.85" hidden="false" customHeight="false" outlineLevel="0" collapsed="false">
      <c r="A710" s="5" t="s">
        <v>3751</v>
      </c>
      <c r="B710" s="2" t="s">
        <v>3752</v>
      </c>
      <c r="C710" s="5" t="s">
        <v>2245</v>
      </c>
      <c r="D710" s="5" t="s">
        <v>60</v>
      </c>
      <c r="E710" s="5" t="s">
        <v>62</v>
      </c>
      <c r="F710" s="5" t="s">
        <v>269</v>
      </c>
      <c r="G710" s="5" t="s">
        <v>7734</v>
      </c>
      <c r="H710" s="5"/>
      <c r="I710" s="5" t="s">
        <v>1198</v>
      </c>
    </row>
    <row r="711" customFormat="false" ht="23.85" hidden="false" customHeight="false" outlineLevel="0" collapsed="false">
      <c r="A711" s="5" t="s">
        <v>3756</v>
      </c>
      <c r="B711" s="2" t="s">
        <v>3757</v>
      </c>
      <c r="C711" s="5" t="s">
        <v>2128</v>
      </c>
      <c r="D711" s="5" t="s">
        <v>60</v>
      </c>
      <c r="E711" s="5" t="s">
        <v>62</v>
      </c>
      <c r="F711" s="5" t="s">
        <v>269</v>
      </c>
      <c r="G711" s="5" t="s">
        <v>7734</v>
      </c>
      <c r="H711" s="5"/>
      <c r="I711" s="5" t="s">
        <v>1198</v>
      </c>
    </row>
    <row r="712" customFormat="false" ht="23.85" hidden="false" customHeight="false" outlineLevel="0" collapsed="false">
      <c r="A712" s="5" t="s">
        <v>3761</v>
      </c>
      <c r="B712" s="2" t="s">
        <v>3762</v>
      </c>
      <c r="C712" s="5" t="s">
        <v>2245</v>
      </c>
      <c r="D712" s="5" t="s">
        <v>60</v>
      </c>
      <c r="E712" s="5" t="s">
        <v>62</v>
      </c>
      <c r="F712" s="5" t="s">
        <v>269</v>
      </c>
      <c r="G712" s="5" t="s">
        <v>7734</v>
      </c>
      <c r="H712" s="5"/>
      <c r="I712" s="5" t="s">
        <v>1198</v>
      </c>
    </row>
    <row r="713" customFormat="false" ht="23.85" hidden="false" customHeight="false" outlineLevel="0" collapsed="false">
      <c r="A713" s="5" t="s">
        <v>3766</v>
      </c>
      <c r="B713" s="2" t="s">
        <v>3767</v>
      </c>
      <c r="C713" s="5" t="s">
        <v>2128</v>
      </c>
      <c r="D713" s="5" t="s">
        <v>60</v>
      </c>
      <c r="E713" s="5" t="s">
        <v>62</v>
      </c>
      <c r="F713" s="5" t="s">
        <v>269</v>
      </c>
      <c r="G713" s="5" t="s">
        <v>7734</v>
      </c>
      <c r="H713" s="5"/>
      <c r="I713" s="5" t="s">
        <v>1198</v>
      </c>
    </row>
    <row r="714" customFormat="false" ht="23.85" hidden="false" customHeight="false" outlineLevel="0" collapsed="false">
      <c r="A714" s="5" t="s">
        <v>3771</v>
      </c>
      <c r="B714" s="2" t="s">
        <v>3772</v>
      </c>
      <c r="C714" s="5" t="s">
        <v>2245</v>
      </c>
      <c r="D714" s="5" t="s">
        <v>60</v>
      </c>
      <c r="E714" s="5" t="s">
        <v>62</v>
      </c>
      <c r="F714" s="5" t="s">
        <v>269</v>
      </c>
      <c r="G714" s="5" t="s">
        <v>7734</v>
      </c>
      <c r="H714" s="5"/>
      <c r="I714" s="5" t="s">
        <v>1198</v>
      </c>
    </row>
    <row r="715" customFormat="false" ht="23.85" hidden="false" customHeight="false" outlineLevel="0" collapsed="false">
      <c r="A715" s="5" t="s">
        <v>3776</v>
      </c>
      <c r="B715" s="2" t="s">
        <v>3777</v>
      </c>
      <c r="C715" s="5" t="s">
        <v>2128</v>
      </c>
      <c r="D715" s="5" t="s">
        <v>60</v>
      </c>
      <c r="E715" s="5" t="s">
        <v>62</v>
      </c>
      <c r="F715" s="5" t="s">
        <v>269</v>
      </c>
      <c r="G715" s="5" t="s">
        <v>7734</v>
      </c>
      <c r="H715" s="5"/>
      <c r="I715" s="5" t="s">
        <v>1198</v>
      </c>
    </row>
    <row r="716" customFormat="false" ht="23.85" hidden="false" customHeight="false" outlineLevel="0" collapsed="false">
      <c r="A716" s="5" t="s">
        <v>3781</v>
      </c>
      <c r="B716" s="2" t="s">
        <v>3782</v>
      </c>
      <c r="C716" s="5" t="s">
        <v>2128</v>
      </c>
      <c r="D716" s="5" t="s">
        <v>60</v>
      </c>
      <c r="E716" s="5" t="s">
        <v>62</v>
      </c>
      <c r="F716" s="5" t="s">
        <v>269</v>
      </c>
      <c r="G716" s="5" t="s">
        <v>7734</v>
      </c>
      <c r="H716" s="5"/>
      <c r="I716" s="5" t="s">
        <v>1198</v>
      </c>
    </row>
    <row r="717" customFormat="false" ht="23.85" hidden="false" customHeight="false" outlineLevel="0" collapsed="false">
      <c r="A717" s="5" t="s">
        <v>3786</v>
      </c>
      <c r="B717" s="2" t="s">
        <v>3787</v>
      </c>
      <c r="C717" s="5" t="s">
        <v>2128</v>
      </c>
      <c r="D717" s="5" t="s">
        <v>60</v>
      </c>
      <c r="E717" s="5" t="s">
        <v>62</v>
      </c>
      <c r="F717" s="5" t="s">
        <v>269</v>
      </c>
      <c r="G717" s="5" t="s">
        <v>7734</v>
      </c>
      <c r="H717" s="5"/>
      <c r="I717" s="5" t="s">
        <v>1198</v>
      </c>
    </row>
    <row r="718" customFormat="false" ht="23.85" hidden="false" customHeight="false" outlineLevel="0" collapsed="false">
      <c r="A718" s="5" t="s">
        <v>3791</v>
      </c>
      <c r="B718" s="2" t="s">
        <v>3792</v>
      </c>
      <c r="C718" s="5" t="s">
        <v>2128</v>
      </c>
      <c r="D718" s="5" t="s">
        <v>60</v>
      </c>
      <c r="E718" s="5" t="s">
        <v>62</v>
      </c>
      <c r="F718" s="5" t="s">
        <v>269</v>
      </c>
      <c r="G718" s="5" t="s">
        <v>7734</v>
      </c>
      <c r="H718" s="5"/>
      <c r="I718" s="5" t="s">
        <v>1198</v>
      </c>
    </row>
    <row r="719" customFormat="false" ht="23.85" hidden="false" customHeight="false" outlineLevel="0" collapsed="false">
      <c r="A719" s="5" t="s">
        <v>3796</v>
      </c>
      <c r="B719" s="2" t="s">
        <v>3797</v>
      </c>
      <c r="C719" s="5" t="s">
        <v>2128</v>
      </c>
      <c r="D719" s="5" t="s">
        <v>60</v>
      </c>
      <c r="E719" s="5" t="s">
        <v>62</v>
      </c>
      <c r="F719" s="5" t="s">
        <v>269</v>
      </c>
      <c r="G719" s="5" t="s">
        <v>7734</v>
      </c>
      <c r="H719" s="5"/>
      <c r="I719" s="5" t="s">
        <v>1198</v>
      </c>
    </row>
    <row r="720" customFormat="false" ht="15" hidden="false" customHeight="false" outlineLevel="0" collapsed="false">
      <c r="A720" s="5" t="s">
        <v>3801</v>
      </c>
      <c r="B720" s="2" t="s">
        <v>3802</v>
      </c>
      <c r="C720" s="5" t="s">
        <v>2128</v>
      </c>
      <c r="D720" s="5" t="s">
        <v>60</v>
      </c>
      <c r="E720" s="5" t="s">
        <v>62</v>
      </c>
      <c r="F720" s="5" t="s">
        <v>269</v>
      </c>
      <c r="G720" s="5" t="s">
        <v>7747</v>
      </c>
      <c r="H720" s="5"/>
      <c r="I720" s="5" t="s">
        <v>1976</v>
      </c>
    </row>
    <row r="721" customFormat="false" ht="15" hidden="false" customHeight="false" outlineLevel="0" collapsed="false">
      <c r="A721" s="5" t="s">
        <v>3808</v>
      </c>
      <c r="B721" s="2" t="s">
        <v>3809</v>
      </c>
      <c r="C721" s="5" t="s">
        <v>2245</v>
      </c>
      <c r="D721" s="5" t="s">
        <v>60</v>
      </c>
      <c r="E721" s="5" t="s">
        <v>62</v>
      </c>
      <c r="F721" s="5" t="s">
        <v>269</v>
      </c>
      <c r="G721" s="5" t="s">
        <v>7657</v>
      </c>
      <c r="H721" s="5" t="s">
        <v>346</v>
      </c>
      <c r="I721" s="5" t="s">
        <v>7742</v>
      </c>
    </row>
    <row r="722" customFormat="false" ht="15" hidden="false" customHeight="false" outlineLevel="0" collapsed="false">
      <c r="A722" s="5" t="s">
        <v>3814</v>
      </c>
      <c r="B722" s="2" t="s">
        <v>3815</v>
      </c>
      <c r="C722" s="5" t="s">
        <v>2128</v>
      </c>
      <c r="D722" s="5" t="s">
        <v>60</v>
      </c>
      <c r="E722" s="5" t="s">
        <v>62</v>
      </c>
      <c r="F722" s="5" t="s">
        <v>7667</v>
      </c>
      <c r="G722" s="5" t="s">
        <v>7668</v>
      </c>
      <c r="H722" s="5"/>
      <c r="I722" s="5" t="s">
        <v>416</v>
      </c>
    </row>
    <row r="723" customFormat="false" ht="23.85" hidden="false" customHeight="false" outlineLevel="0" collapsed="false">
      <c r="A723" s="5" t="s">
        <v>3820</v>
      </c>
      <c r="B723" s="2" t="s">
        <v>3821</v>
      </c>
      <c r="C723" s="5" t="s">
        <v>2128</v>
      </c>
      <c r="D723" s="5" t="s">
        <v>60</v>
      </c>
      <c r="E723" s="5" t="s">
        <v>62</v>
      </c>
      <c r="F723" s="5" t="s">
        <v>7633</v>
      </c>
      <c r="G723" s="5" t="s">
        <v>7659</v>
      </c>
      <c r="H723" s="5" t="s">
        <v>372</v>
      </c>
      <c r="I723" s="5" t="s">
        <v>368</v>
      </c>
    </row>
    <row r="724" customFormat="false" ht="15" hidden="false" customHeight="false" outlineLevel="0" collapsed="false">
      <c r="A724" s="5" t="s">
        <v>3826</v>
      </c>
      <c r="B724" s="2" t="s">
        <v>3827</v>
      </c>
      <c r="C724" s="5" t="s">
        <v>2128</v>
      </c>
      <c r="D724" s="5" t="s">
        <v>60</v>
      </c>
      <c r="E724" s="5" t="s">
        <v>62</v>
      </c>
      <c r="F724" s="5" t="s">
        <v>269</v>
      </c>
      <c r="G724" s="5" t="s">
        <v>7625</v>
      </c>
      <c r="H724" s="5" t="s">
        <v>192</v>
      </c>
      <c r="I724" s="5" t="s">
        <v>385</v>
      </c>
    </row>
    <row r="725" customFormat="false" ht="15" hidden="false" customHeight="false" outlineLevel="0" collapsed="false">
      <c r="A725" s="5" t="s">
        <v>3830</v>
      </c>
      <c r="B725" s="2" t="s">
        <v>3831</v>
      </c>
      <c r="C725" s="5" t="s">
        <v>2128</v>
      </c>
      <c r="D725" s="5" t="s">
        <v>60</v>
      </c>
      <c r="E725" s="5" t="s">
        <v>62</v>
      </c>
      <c r="F725" s="5" t="s">
        <v>269</v>
      </c>
      <c r="G725" s="5" t="s">
        <v>7859</v>
      </c>
      <c r="H725" s="5"/>
      <c r="I725" s="5" t="s">
        <v>3832</v>
      </c>
    </row>
    <row r="726" customFormat="false" ht="15" hidden="false" customHeight="false" outlineLevel="0" collapsed="false">
      <c r="A726" s="5" t="s">
        <v>3836</v>
      </c>
      <c r="B726" s="2" t="s">
        <v>3837</v>
      </c>
      <c r="C726" s="5" t="s">
        <v>2128</v>
      </c>
      <c r="D726" s="5" t="s">
        <v>60</v>
      </c>
      <c r="E726" s="5" t="s">
        <v>62</v>
      </c>
      <c r="F726" s="5" t="s">
        <v>269</v>
      </c>
      <c r="G726" s="5" t="s">
        <v>7749</v>
      </c>
      <c r="H726" s="5" t="s">
        <v>1537</v>
      </c>
      <c r="I726" s="5" t="s">
        <v>1533</v>
      </c>
    </row>
    <row r="727" customFormat="false" ht="23.85" hidden="false" customHeight="false" outlineLevel="0" collapsed="false">
      <c r="A727" s="5" t="s">
        <v>3842</v>
      </c>
      <c r="B727" s="2" t="s">
        <v>3843</v>
      </c>
      <c r="C727" s="5" t="s">
        <v>2245</v>
      </c>
      <c r="D727" s="5" t="s">
        <v>60</v>
      </c>
      <c r="E727" s="5" t="s">
        <v>62</v>
      </c>
      <c r="F727" s="5" t="s">
        <v>7633</v>
      </c>
      <c r="G727" s="5" t="s">
        <v>7634</v>
      </c>
      <c r="H727" s="5" t="s">
        <v>309</v>
      </c>
      <c r="I727" s="5" t="s">
        <v>1105</v>
      </c>
    </row>
    <row r="728" customFormat="false" ht="23.85" hidden="false" customHeight="false" outlineLevel="0" collapsed="false">
      <c r="A728" s="5" t="s">
        <v>3848</v>
      </c>
      <c r="B728" s="2" t="s">
        <v>3849</v>
      </c>
      <c r="C728" s="5" t="s">
        <v>2245</v>
      </c>
      <c r="D728" s="5" t="s">
        <v>60</v>
      </c>
      <c r="E728" s="5" t="s">
        <v>62</v>
      </c>
      <c r="F728" s="5" t="s">
        <v>7635</v>
      </c>
      <c r="G728" s="5" t="s">
        <v>7636</v>
      </c>
      <c r="H728" s="5" t="s">
        <v>3134</v>
      </c>
      <c r="I728" s="5" t="s">
        <v>3130</v>
      </c>
    </row>
    <row r="729" customFormat="false" ht="23.85" hidden="false" customHeight="false" outlineLevel="0" collapsed="false">
      <c r="A729" s="5" t="s">
        <v>3854</v>
      </c>
      <c r="B729" s="2" t="s">
        <v>3855</v>
      </c>
      <c r="C729" s="5" t="s">
        <v>2128</v>
      </c>
      <c r="D729" s="5" t="s">
        <v>60</v>
      </c>
      <c r="E729" s="5" t="s">
        <v>62</v>
      </c>
      <c r="F729" s="5" t="s">
        <v>269</v>
      </c>
      <c r="G729" s="5" t="s">
        <v>7734</v>
      </c>
      <c r="H729" s="5"/>
      <c r="I729" s="5" t="s">
        <v>1198</v>
      </c>
    </row>
    <row r="730" customFormat="false" ht="15" hidden="false" customHeight="false" outlineLevel="0" collapsed="false">
      <c r="A730" s="5" t="s">
        <v>3861</v>
      </c>
      <c r="B730" s="2" t="s">
        <v>3862</v>
      </c>
      <c r="C730" s="5" t="s">
        <v>2128</v>
      </c>
      <c r="D730" s="5" t="s">
        <v>60</v>
      </c>
      <c r="E730" s="5" t="s">
        <v>490</v>
      </c>
      <c r="F730" s="5" t="s">
        <v>269</v>
      </c>
      <c r="G730" s="5" t="s">
        <v>7749</v>
      </c>
      <c r="H730" s="5" t="s">
        <v>1537</v>
      </c>
      <c r="I730" s="5" t="s">
        <v>1533</v>
      </c>
    </row>
    <row r="731" customFormat="false" ht="15" hidden="false" customHeight="false" outlineLevel="0" collapsed="false">
      <c r="A731" s="5" t="s">
        <v>3861</v>
      </c>
      <c r="B731" s="2" t="s">
        <v>3862</v>
      </c>
      <c r="C731" s="5" t="s">
        <v>2128</v>
      </c>
      <c r="D731" s="5" t="s">
        <v>60</v>
      </c>
      <c r="E731" s="5" t="s">
        <v>490</v>
      </c>
      <c r="F731" s="5" t="s">
        <v>269</v>
      </c>
      <c r="G731" s="5" t="s">
        <v>7770</v>
      </c>
      <c r="H731" s="5" t="s">
        <v>1537</v>
      </c>
      <c r="I731" s="5" t="s">
        <v>3545</v>
      </c>
    </row>
    <row r="732" customFormat="false" ht="15" hidden="false" customHeight="false" outlineLevel="0" collapsed="false">
      <c r="A732" s="5" t="s">
        <v>3861</v>
      </c>
      <c r="B732" s="2" t="s">
        <v>3862</v>
      </c>
      <c r="C732" s="5" t="s">
        <v>2128</v>
      </c>
      <c r="D732" s="5" t="s">
        <v>60</v>
      </c>
      <c r="E732" s="5" t="s">
        <v>490</v>
      </c>
      <c r="F732" s="5" t="s">
        <v>269</v>
      </c>
      <c r="G732" s="5" t="s">
        <v>7825</v>
      </c>
      <c r="H732" s="5"/>
      <c r="I732" s="5" t="s">
        <v>7826</v>
      </c>
    </row>
    <row r="733" customFormat="false" ht="23.85" hidden="false" customHeight="false" outlineLevel="0" collapsed="false">
      <c r="A733" s="5" t="s">
        <v>3868</v>
      </c>
      <c r="B733" s="2" t="s">
        <v>3869</v>
      </c>
      <c r="C733" s="5" t="s">
        <v>2128</v>
      </c>
      <c r="D733" s="5" t="s">
        <v>60</v>
      </c>
      <c r="E733" s="5" t="s">
        <v>62</v>
      </c>
      <c r="F733" s="5" t="s">
        <v>269</v>
      </c>
      <c r="G733" s="5" t="s">
        <v>7734</v>
      </c>
      <c r="H733" s="5"/>
      <c r="I733" s="5" t="s">
        <v>1198</v>
      </c>
    </row>
    <row r="734" customFormat="false" ht="23.85" hidden="false" customHeight="false" outlineLevel="0" collapsed="false">
      <c r="A734" s="5" t="s">
        <v>3874</v>
      </c>
      <c r="B734" s="2" t="s">
        <v>3875</v>
      </c>
      <c r="C734" s="5" t="s">
        <v>2128</v>
      </c>
      <c r="D734" s="5" t="s">
        <v>60</v>
      </c>
      <c r="E734" s="5" t="s">
        <v>62</v>
      </c>
      <c r="F734" s="5" t="s">
        <v>7721</v>
      </c>
      <c r="G734" s="5" t="s">
        <v>64</v>
      </c>
      <c r="H734" s="5"/>
      <c r="I734" s="5" t="s">
        <v>7860</v>
      </c>
    </row>
    <row r="735" customFormat="false" ht="15" hidden="false" customHeight="false" outlineLevel="0" collapsed="false">
      <c r="A735" s="5" t="s">
        <v>3881</v>
      </c>
      <c r="B735" s="2" t="s">
        <v>3882</v>
      </c>
      <c r="C735" s="5" t="s">
        <v>2128</v>
      </c>
      <c r="D735" s="5" t="s">
        <v>60</v>
      </c>
      <c r="E735" s="5" t="s">
        <v>62</v>
      </c>
      <c r="F735" s="5" t="s">
        <v>7633</v>
      </c>
      <c r="G735" s="5" t="s">
        <v>7634</v>
      </c>
      <c r="H735" s="5" t="s">
        <v>309</v>
      </c>
      <c r="I735" s="5" t="s">
        <v>1105</v>
      </c>
    </row>
    <row r="736" customFormat="false" ht="23.85" hidden="false" customHeight="false" outlineLevel="0" collapsed="false">
      <c r="A736" s="5" t="s">
        <v>3886</v>
      </c>
      <c r="B736" s="2" t="s">
        <v>3887</v>
      </c>
      <c r="C736" s="5" t="s">
        <v>2245</v>
      </c>
      <c r="D736" s="5" t="s">
        <v>60</v>
      </c>
      <c r="E736" s="5" t="s">
        <v>62</v>
      </c>
      <c r="F736" s="5" t="s">
        <v>7635</v>
      </c>
      <c r="G736" s="5" t="s">
        <v>7636</v>
      </c>
      <c r="H736" s="5" t="s">
        <v>3134</v>
      </c>
      <c r="I736" s="5" t="s">
        <v>3130</v>
      </c>
    </row>
    <row r="737" customFormat="false" ht="15" hidden="false" customHeight="false" outlineLevel="0" collapsed="false">
      <c r="A737" s="5" t="s">
        <v>3891</v>
      </c>
      <c r="B737" s="2" t="s">
        <v>3892</v>
      </c>
      <c r="C737" s="5" t="s">
        <v>2128</v>
      </c>
      <c r="D737" s="5" t="s">
        <v>60</v>
      </c>
      <c r="E737" s="5" t="s">
        <v>62</v>
      </c>
      <c r="F737" s="5" t="s">
        <v>269</v>
      </c>
      <c r="G737" s="5" t="s">
        <v>7843</v>
      </c>
      <c r="H737" s="5"/>
      <c r="I737" s="5" t="s">
        <v>3500</v>
      </c>
    </row>
    <row r="738" customFormat="false" ht="23.85" hidden="false" customHeight="false" outlineLevel="0" collapsed="false">
      <c r="A738" s="5" t="s">
        <v>3898</v>
      </c>
      <c r="B738" s="2" t="s">
        <v>3899</v>
      </c>
      <c r="C738" s="5" t="s">
        <v>2128</v>
      </c>
      <c r="D738" s="5" t="s">
        <v>60</v>
      </c>
      <c r="E738" s="5" t="s">
        <v>62</v>
      </c>
      <c r="F738" s="5" t="s">
        <v>7633</v>
      </c>
      <c r="G738" s="5" t="s">
        <v>7634</v>
      </c>
      <c r="H738" s="5" t="s">
        <v>309</v>
      </c>
      <c r="I738" s="5" t="s">
        <v>1105</v>
      </c>
    </row>
    <row r="739" customFormat="false" ht="15" hidden="false" customHeight="false" outlineLevel="0" collapsed="false">
      <c r="A739" s="5" t="s">
        <v>3904</v>
      </c>
      <c r="B739" s="2" t="s">
        <v>3905</v>
      </c>
      <c r="C739" s="5" t="s">
        <v>2128</v>
      </c>
      <c r="D739" s="5" t="s">
        <v>60</v>
      </c>
      <c r="E739" s="5" t="s">
        <v>62</v>
      </c>
      <c r="F739" s="5" t="s">
        <v>7721</v>
      </c>
      <c r="G739" s="5" t="s">
        <v>7748</v>
      </c>
      <c r="H739" s="5"/>
      <c r="I739" s="5" t="s">
        <v>3906</v>
      </c>
    </row>
    <row r="740" customFormat="false" ht="23.85" hidden="false" customHeight="false" outlineLevel="0" collapsed="false">
      <c r="A740" s="5" t="s">
        <v>3910</v>
      </c>
      <c r="B740" s="2" t="s">
        <v>3911</v>
      </c>
      <c r="C740" s="5" t="s">
        <v>2245</v>
      </c>
      <c r="D740" s="5" t="s">
        <v>60</v>
      </c>
      <c r="E740" s="5" t="s">
        <v>490</v>
      </c>
      <c r="F740" s="5" t="s">
        <v>7633</v>
      </c>
      <c r="G740" s="5" t="s">
        <v>7634</v>
      </c>
      <c r="H740" s="5" t="s">
        <v>309</v>
      </c>
      <c r="I740" s="5" t="s">
        <v>1105</v>
      </c>
    </row>
    <row r="741" customFormat="false" ht="23.85" hidden="false" customHeight="false" outlineLevel="0" collapsed="false">
      <c r="A741" s="5" t="s">
        <v>3915</v>
      </c>
      <c r="B741" s="2" t="s">
        <v>3916</v>
      </c>
      <c r="C741" s="5" t="s">
        <v>2128</v>
      </c>
      <c r="D741" s="5" t="s">
        <v>60</v>
      </c>
      <c r="E741" s="5" t="s">
        <v>62</v>
      </c>
      <c r="F741" s="5" t="s">
        <v>269</v>
      </c>
      <c r="G741" s="5" t="s">
        <v>7625</v>
      </c>
      <c r="H741" s="5" t="s">
        <v>192</v>
      </c>
      <c r="I741" s="5" t="s">
        <v>385</v>
      </c>
    </row>
    <row r="742" customFormat="false" ht="23.85" hidden="false" customHeight="false" outlineLevel="0" collapsed="false">
      <c r="A742" s="5" t="s">
        <v>3915</v>
      </c>
      <c r="B742" s="2" t="s">
        <v>3916</v>
      </c>
      <c r="C742" s="5" t="s">
        <v>2128</v>
      </c>
      <c r="D742" s="5" t="s">
        <v>60</v>
      </c>
      <c r="E742" s="5" t="s">
        <v>62</v>
      </c>
      <c r="F742" s="5" t="s">
        <v>269</v>
      </c>
      <c r="G742" s="5" t="s">
        <v>7814</v>
      </c>
      <c r="H742" s="5"/>
      <c r="I742" s="5" t="s">
        <v>3054</v>
      </c>
    </row>
    <row r="743" customFormat="false" ht="23.85" hidden="false" customHeight="false" outlineLevel="0" collapsed="false">
      <c r="A743" s="5" t="s">
        <v>3923</v>
      </c>
      <c r="B743" s="2" t="s">
        <v>3924</v>
      </c>
      <c r="C743" s="5" t="s">
        <v>2128</v>
      </c>
      <c r="D743" s="5" t="s">
        <v>60</v>
      </c>
      <c r="E743" s="5" t="s">
        <v>62</v>
      </c>
      <c r="F743" s="5" t="s">
        <v>7633</v>
      </c>
      <c r="G743" s="5" t="s">
        <v>7634</v>
      </c>
      <c r="H743" s="5" t="s">
        <v>309</v>
      </c>
      <c r="I743" s="5" t="s">
        <v>1105</v>
      </c>
    </row>
    <row r="744" customFormat="false" ht="15" hidden="false" customHeight="false" outlineLevel="0" collapsed="false">
      <c r="A744" s="5" t="s">
        <v>3928</v>
      </c>
      <c r="B744" s="2" t="s">
        <v>3929</v>
      </c>
      <c r="C744" s="5" t="s">
        <v>2128</v>
      </c>
      <c r="D744" s="5" t="s">
        <v>60</v>
      </c>
      <c r="E744" s="5" t="s">
        <v>62</v>
      </c>
      <c r="F744" s="5" t="s">
        <v>7633</v>
      </c>
      <c r="G744" s="5" t="s">
        <v>7634</v>
      </c>
      <c r="H744" s="5" t="s">
        <v>309</v>
      </c>
      <c r="I744" s="5" t="s">
        <v>1105</v>
      </c>
    </row>
    <row r="745" customFormat="false" ht="23.85" hidden="false" customHeight="false" outlineLevel="0" collapsed="false">
      <c r="A745" s="5" t="s">
        <v>3933</v>
      </c>
      <c r="B745" s="2" t="s">
        <v>3934</v>
      </c>
      <c r="C745" s="5" t="s">
        <v>2128</v>
      </c>
      <c r="D745" s="5" t="s">
        <v>60</v>
      </c>
      <c r="E745" s="5" t="s">
        <v>62</v>
      </c>
      <c r="F745" s="5" t="s">
        <v>7633</v>
      </c>
      <c r="G745" s="5" t="s">
        <v>7634</v>
      </c>
      <c r="H745" s="5" t="s">
        <v>309</v>
      </c>
      <c r="I745" s="5" t="s">
        <v>1105</v>
      </c>
    </row>
    <row r="746" customFormat="false" ht="23.85" hidden="false" customHeight="false" outlineLevel="0" collapsed="false">
      <c r="A746" s="5" t="s">
        <v>3938</v>
      </c>
      <c r="B746" s="2" t="s">
        <v>3939</v>
      </c>
      <c r="C746" s="5" t="s">
        <v>2245</v>
      </c>
      <c r="D746" s="5" t="s">
        <v>60</v>
      </c>
      <c r="E746" s="5" t="s">
        <v>490</v>
      </c>
      <c r="F746" s="5" t="s">
        <v>7721</v>
      </c>
      <c r="G746" s="5" t="s">
        <v>7757</v>
      </c>
      <c r="H746" s="5"/>
      <c r="I746" s="5" t="s">
        <v>7861</v>
      </c>
    </row>
    <row r="747" customFormat="false" ht="15" hidden="false" customHeight="false" outlineLevel="0" collapsed="false">
      <c r="A747" s="5" t="s">
        <v>3943</v>
      </c>
      <c r="B747" s="2" t="s">
        <v>3944</v>
      </c>
      <c r="C747" s="5" t="s">
        <v>2245</v>
      </c>
      <c r="D747" s="5" t="s">
        <v>60</v>
      </c>
      <c r="E747" s="5" t="s">
        <v>62</v>
      </c>
      <c r="F747" s="5" t="s">
        <v>269</v>
      </c>
      <c r="G747" s="5" t="s">
        <v>7749</v>
      </c>
      <c r="H747" s="5" t="s">
        <v>1537</v>
      </c>
      <c r="I747" s="5" t="s">
        <v>1533</v>
      </c>
    </row>
    <row r="748" customFormat="false" ht="15" hidden="false" customHeight="false" outlineLevel="0" collapsed="false">
      <c r="A748" s="5" t="s">
        <v>3949</v>
      </c>
      <c r="B748" s="2" t="s">
        <v>3950</v>
      </c>
      <c r="C748" s="5" t="s">
        <v>2245</v>
      </c>
      <c r="D748" s="5" t="s">
        <v>60</v>
      </c>
      <c r="E748" s="5" t="s">
        <v>62</v>
      </c>
      <c r="F748" s="5" t="s">
        <v>269</v>
      </c>
      <c r="G748" s="5" t="s">
        <v>7749</v>
      </c>
      <c r="H748" s="5" t="s">
        <v>1537</v>
      </c>
      <c r="I748" s="5" t="s">
        <v>1533</v>
      </c>
    </row>
    <row r="749" customFormat="false" ht="23.85" hidden="false" customHeight="false" outlineLevel="0" collapsed="false">
      <c r="A749" s="5" t="s">
        <v>3955</v>
      </c>
      <c r="B749" s="2" t="s">
        <v>3956</v>
      </c>
      <c r="C749" s="5" t="s">
        <v>2245</v>
      </c>
      <c r="D749" s="5" t="s">
        <v>60</v>
      </c>
      <c r="E749" s="5" t="s">
        <v>62</v>
      </c>
      <c r="F749" s="5" t="s">
        <v>7635</v>
      </c>
      <c r="G749" s="5" t="s">
        <v>7636</v>
      </c>
      <c r="H749" s="5" t="s">
        <v>3134</v>
      </c>
      <c r="I749" s="5" t="s">
        <v>3130</v>
      </c>
    </row>
    <row r="750" customFormat="false" ht="15" hidden="false" customHeight="false" outlineLevel="0" collapsed="false">
      <c r="A750" s="5" t="s">
        <v>3960</v>
      </c>
      <c r="B750" s="2" t="s">
        <v>3961</v>
      </c>
      <c r="C750" s="5" t="s">
        <v>2245</v>
      </c>
      <c r="D750" s="5" t="s">
        <v>60</v>
      </c>
      <c r="E750" s="5" t="s">
        <v>62</v>
      </c>
      <c r="F750" s="5" t="s">
        <v>269</v>
      </c>
      <c r="G750" s="5" t="s">
        <v>7827</v>
      </c>
      <c r="H750" s="5"/>
      <c r="I750" s="5" t="s">
        <v>3203</v>
      </c>
    </row>
    <row r="751" customFormat="false" ht="15" hidden="false" customHeight="false" outlineLevel="0" collapsed="false">
      <c r="A751" s="5" t="s">
        <v>3966</v>
      </c>
      <c r="B751" s="2" t="s">
        <v>3967</v>
      </c>
      <c r="C751" s="5" t="s">
        <v>2128</v>
      </c>
      <c r="D751" s="5" t="s">
        <v>60</v>
      </c>
      <c r="E751" s="5" t="s">
        <v>62</v>
      </c>
      <c r="F751" s="5" t="s">
        <v>269</v>
      </c>
      <c r="G751" s="5" t="s">
        <v>7862</v>
      </c>
      <c r="H751" s="5"/>
      <c r="I751" s="5" t="s">
        <v>3968</v>
      </c>
    </row>
    <row r="752" customFormat="false" ht="23.85" hidden="false" customHeight="false" outlineLevel="0" collapsed="false">
      <c r="A752" s="5" t="s">
        <v>3973</v>
      </c>
      <c r="B752" s="2" t="s">
        <v>3974</v>
      </c>
      <c r="C752" s="5" t="s">
        <v>2128</v>
      </c>
      <c r="D752" s="5" t="s">
        <v>60</v>
      </c>
      <c r="E752" s="5" t="s">
        <v>62</v>
      </c>
      <c r="F752" s="5" t="s">
        <v>269</v>
      </c>
      <c r="G752" s="5" t="s">
        <v>7862</v>
      </c>
      <c r="H752" s="5"/>
      <c r="I752" s="5" t="s">
        <v>3968</v>
      </c>
    </row>
    <row r="753" customFormat="false" ht="23.85" hidden="false" customHeight="false" outlineLevel="0" collapsed="false">
      <c r="A753" s="5" t="s">
        <v>3978</v>
      </c>
      <c r="B753" s="2" t="s">
        <v>3979</v>
      </c>
      <c r="C753" s="5" t="s">
        <v>2128</v>
      </c>
      <c r="D753" s="5" t="s">
        <v>60</v>
      </c>
      <c r="E753" s="5" t="s">
        <v>62</v>
      </c>
      <c r="F753" s="5" t="s">
        <v>269</v>
      </c>
      <c r="G753" s="5" t="s">
        <v>7862</v>
      </c>
      <c r="H753" s="5"/>
      <c r="I753" s="5" t="s">
        <v>3968</v>
      </c>
    </row>
    <row r="754" customFormat="false" ht="23.85" hidden="false" customHeight="false" outlineLevel="0" collapsed="false">
      <c r="A754" s="5" t="s">
        <v>3983</v>
      </c>
      <c r="B754" s="2" t="s">
        <v>3984</v>
      </c>
      <c r="C754" s="5" t="s">
        <v>2128</v>
      </c>
      <c r="D754" s="5" t="s">
        <v>60</v>
      </c>
      <c r="E754" s="5" t="s">
        <v>62</v>
      </c>
      <c r="F754" s="5" t="s">
        <v>269</v>
      </c>
      <c r="G754" s="5" t="s">
        <v>7637</v>
      </c>
      <c r="H754" s="5" t="s">
        <v>214</v>
      </c>
      <c r="I754" s="5" t="s">
        <v>210</v>
      </c>
    </row>
    <row r="755" customFormat="false" ht="23.85" hidden="false" customHeight="false" outlineLevel="0" collapsed="false">
      <c r="A755" s="5" t="s">
        <v>3983</v>
      </c>
      <c r="B755" s="2" t="s">
        <v>3984</v>
      </c>
      <c r="C755" s="5" t="s">
        <v>2128</v>
      </c>
      <c r="D755" s="5" t="s">
        <v>60</v>
      </c>
      <c r="E755" s="5" t="s">
        <v>62</v>
      </c>
      <c r="F755" s="5" t="s">
        <v>269</v>
      </c>
      <c r="G755" s="5" t="s">
        <v>7754</v>
      </c>
      <c r="H755" s="5"/>
      <c r="I755" s="5" t="s">
        <v>1612</v>
      </c>
    </row>
    <row r="756" customFormat="false" ht="15" hidden="false" customHeight="false" outlineLevel="0" collapsed="false">
      <c r="A756" s="5" t="s">
        <v>3991</v>
      </c>
      <c r="B756" s="2" t="s">
        <v>3992</v>
      </c>
      <c r="C756" s="5" t="s">
        <v>2128</v>
      </c>
      <c r="D756" s="5" t="s">
        <v>60</v>
      </c>
      <c r="E756" s="5" t="s">
        <v>62</v>
      </c>
      <c r="F756" s="5" t="s">
        <v>269</v>
      </c>
      <c r="G756" s="5" t="s">
        <v>7749</v>
      </c>
      <c r="H756" s="5" t="s">
        <v>1537</v>
      </c>
      <c r="I756" s="5" t="s">
        <v>1533</v>
      </c>
    </row>
    <row r="757" customFormat="false" ht="23.85" hidden="false" customHeight="false" outlineLevel="0" collapsed="false">
      <c r="A757" s="5" t="s">
        <v>3997</v>
      </c>
      <c r="B757" s="2" t="s">
        <v>3998</v>
      </c>
      <c r="C757" s="5" t="s">
        <v>2128</v>
      </c>
      <c r="D757" s="5" t="s">
        <v>60</v>
      </c>
      <c r="E757" s="5" t="s">
        <v>62</v>
      </c>
      <c r="F757" s="5" t="s">
        <v>7633</v>
      </c>
      <c r="G757" s="5" t="s">
        <v>7634</v>
      </c>
      <c r="H757" s="5" t="s">
        <v>309</v>
      </c>
      <c r="I757" s="5" t="s">
        <v>1105</v>
      </c>
    </row>
    <row r="758" customFormat="false" ht="23.85" hidden="false" customHeight="false" outlineLevel="0" collapsed="false">
      <c r="A758" s="5" t="s">
        <v>4002</v>
      </c>
      <c r="B758" s="2" t="s">
        <v>4003</v>
      </c>
      <c r="C758" s="5" t="s">
        <v>2245</v>
      </c>
      <c r="D758" s="5" t="s">
        <v>60</v>
      </c>
      <c r="E758" s="5" t="s">
        <v>62</v>
      </c>
      <c r="F758" s="5" t="s">
        <v>7635</v>
      </c>
      <c r="G758" s="5" t="s">
        <v>3183</v>
      </c>
      <c r="H758" s="5"/>
      <c r="I758" s="5" t="s">
        <v>3183</v>
      </c>
    </row>
    <row r="759" customFormat="false" ht="23.85" hidden="false" customHeight="false" outlineLevel="0" collapsed="false">
      <c r="A759" s="5" t="s">
        <v>4007</v>
      </c>
      <c r="B759" s="2" t="s">
        <v>4008</v>
      </c>
      <c r="C759" s="5" t="s">
        <v>2245</v>
      </c>
      <c r="D759" s="5" t="s">
        <v>60</v>
      </c>
      <c r="E759" s="5" t="s">
        <v>62</v>
      </c>
      <c r="F759" s="5" t="s">
        <v>7635</v>
      </c>
      <c r="G759" s="5" t="s">
        <v>7636</v>
      </c>
      <c r="H759" s="5" t="s">
        <v>3134</v>
      </c>
      <c r="I759" s="5" t="s">
        <v>3130</v>
      </c>
    </row>
    <row r="760" customFormat="false" ht="23.85" hidden="false" customHeight="false" outlineLevel="0" collapsed="false">
      <c r="A760" s="5" t="s">
        <v>4012</v>
      </c>
      <c r="B760" s="2" t="s">
        <v>4013</v>
      </c>
      <c r="C760" s="5" t="s">
        <v>2245</v>
      </c>
      <c r="D760" s="5" t="s">
        <v>60</v>
      </c>
      <c r="E760" s="5" t="s">
        <v>490</v>
      </c>
      <c r="F760" s="5" t="s">
        <v>269</v>
      </c>
      <c r="G760" s="5" t="s">
        <v>7740</v>
      </c>
      <c r="H760" s="5" t="s">
        <v>346</v>
      </c>
      <c r="I760" s="5" t="s">
        <v>7741</v>
      </c>
    </row>
    <row r="761" customFormat="false" ht="15" hidden="false" customHeight="false" outlineLevel="0" collapsed="false">
      <c r="A761" s="5" t="s">
        <v>4018</v>
      </c>
      <c r="B761" s="2" t="s">
        <v>4019</v>
      </c>
      <c r="C761" s="5" t="s">
        <v>2128</v>
      </c>
      <c r="D761" s="5" t="s">
        <v>60</v>
      </c>
      <c r="E761" s="5" t="s">
        <v>62</v>
      </c>
      <c r="F761" s="5" t="s">
        <v>7633</v>
      </c>
      <c r="G761" s="5" t="s">
        <v>7735</v>
      </c>
      <c r="H761" s="5"/>
      <c r="I761" s="5" t="s">
        <v>1212</v>
      </c>
    </row>
    <row r="762" customFormat="false" ht="23.85" hidden="false" customHeight="false" outlineLevel="0" collapsed="false">
      <c r="A762" s="5" t="s">
        <v>4023</v>
      </c>
      <c r="B762" s="2" t="s">
        <v>4024</v>
      </c>
      <c r="C762" s="5" t="s">
        <v>2245</v>
      </c>
      <c r="D762" s="5" t="s">
        <v>60</v>
      </c>
      <c r="E762" s="5" t="s">
        <v>490</v>
      </c>
      <c r="F762" s="5" t="s">
        <v>269</v>
      </c>
      <c r="G762" s="5" t="s">
        <v>7637</v>
      </c>
      <c r="H762" s="5" t="s">
        <v>214</v>
      </c>
      <c r="I762" s="5" t="s">
        <v>210</v>
      </c>
    </row>
    <row r="763" customFormat="false" ht="23.85" hidden="false" customHeight="false" outlineLevel="0" collapsed="false">
      <c r="A763" s="5" t="s">
        <v>4023</v>
      </c>
      <c r="B763" s="2" t="s">
        <v>4024</v>
      </c>
      <c r="C763" s="5" t="s">
        <v>2245</v>
      </c>
      <c r="D763" s="5" t="s">
        <v>60</v>
      </c>
      <c r="E763" s="5" t="s">
        <v>490</v>
      </c>
      <c r="F763" s="5" t="s">
        <v>269</v>
      </c>
      <c r="G763" s="5" t="s">
        <v>7775</v>
      </c>
      <c r="H763" s="5" t="s">
        <v>214</v>
      </c>
      <c r="I763" s="5" t="s">
        <v>2480</v>
      </c>
    </row>
    <row r="764" customFormat="false" ht="23.85" hidden="false" customHeight="false" outlineLevel="0" collapsed="false">
      <c r="A764" s="5" t="s">
        <v>4023</v>
      </c>
      <c r="B764" s="2" t="s">
        <v>4024</v>
      </c>
      <c r="C764" s="5" t="s">
        <v>2245</v>
      </c>
      <c r="D764" s="5" t="s">
        <v>60</v>
      </c>
      <c r="E764" s="5" t="s">
        <v>490</v>
      </c>
      <c r="F764" s="5" t="s">
        <v>269</v>
      </c>
      <c r="G764" s="5" t="s">
        <v>7723</v>
      </c>
      <c r="H764" s="5" t="s">
        <v>1118</v>
      </c>
      <c r="I764" s="5" t="s">
        <v>1114</v>
      </c>
    </row>
    <row r="765" customFormat="false" ht="23.85" hidden="false" customHeight="false" outlineLevel="0" collapsed="false">
      <c r="A765" s="5" t="s">
        <v>4033</v>
      </c>
      <c r="B765" s="2" t="s">
        <v>4034</v>
      </c>
      <c r="C765" s="5" t="s">
        <v>2128</v>
      </c>
      <c r="D765" s="5" t="s">
        <v>60</v>
      </c>
      <c r="E765" s="5" t="s">
        <v>62</v>
      </c>
      <c r="F765" s="5" t="s">
        <v>7633</v>
      </c>
      <c r="G765" s="5" t="s">
        <v>7634</v>
      </c>
      <c r="H765" s="5" t="s">
        <v>309</v>
      </c>
      <c r="I765" s="5" t="s">
        <v>1105</v>
      </c>
    </row>
    <row r="766" customFormat="false" ht="23.85" hidden="false" customHeight="false" outlineLevel="0" collapsed="false">
      <c r="A766" s="5" t="s">
        <v>4038</v>
      </c>
      <c r="B766" s="2" t="s">
        <v>4039</v>
      </c>
      <c r="C766" s="5" t="s">
        <v>2245</v>
      </c>
      <c r="D766" s="5" t="s">
        <v>60</v>
      </c>
      <c r="E766" s="5" t="s">
        <v>62</v>
      </c>
      <c r="F766" s="5" t="s">
        <v>269</v>
      </c>
      <c r="G766" s="5" t="s">
        <v>7749</v>
      </c>
      <c r="H766" s="5" t="s">
        <v>1537</v>
      </c>
      <c r="I766" s="5" t="s">
        <v>1533</v>
      </c>
    </row>
    <row r="767" customFormat="false" ht="23.85" hidden="false" customHeight="false" outlineLevel="0" collapsed="false">
      <c r="A767" s="5" t="s">
        <v>4044</v>
      </c>
      <c r="B767" s="2" t="s">
        <v>4045</v>
      </c>
      <c r="C767" s="5" t="s">
        <v>2128</v>
      </c>
      <c r="D767" s="5" t="s">
        <v>60</v>
      </c>
      <c r="E767" s="5" t="s">
        <v>62</v>
      </c>
      <c r="F767" s="5" t="s">
        <v>269</v>
      </c>
      <c r="G767" s="5" t="s">
        <v>7739</v>
      </c>
      <c r="H767" s="5" t="s">
        <v>1311</v>
      </c>
      <c r="I767" s="5" t="s">
        <v>1307</v>
      </c>
    </row>
    <row r="768" customFormat="false" ht="15" hidden="false" customHeight="false" outlineLevel="0" collapsed="false">
      <c r="A768" s="5" t="s">
        <v>4050</v>
      </c>
      <c r="B768" s="2" t="s">
        <v>4051</v>
      </c>
      <c r="C768" s="5" t="s">
        <v>2245</v>
      </c>
      <c r="D768" s="5" t="s">
        <v>60</v>
      </c>
      <c r="E768" s="5" t="s">
        <v>62</v>
      </c>
      <c r="F768" s="5" t="s">
        <v>269</v>
      </c>
      <c r="G768" s="5" t="s">
        <v>7746</v>
      </c>
      <c r="H768" s="5"/>
      <c r="I768" s="5" t="s">
        <v>1581</v>
      </c>
    </row>
    <row r="769" customFormat="false" ht="15" hidden="false" customHeight="false" outlineLevel="0" collapsed="false">
      <c r="A769" s="5" t="s">
        <v>4050</v>
      </c>
      <c r="B769" s="2" t="s">
        <v>4051</v>
      </c>
      <c r="C769" s="5" t="s">
        <v>2245</v>
      </c>
      <c r="D769" s="5" t="s">
        <v>60</v>
      </c>
      <c r="E769" s="5" t="s">
        <v>62</v>
      </c>
      <c r="F769" s="5" t="s">
        <v>269</v>
      </c>
      <c r="G769" s="5" t="s">
        <v>7863</v>
      </c>
      <c r="H769" s="5"/>
      <c r="I769" s="5" t="s">
        <v>7864</v>
      </c>
    </row>
    <row r="770" customFormat="false" ht="15" hidden="false" customHeight="false" outlineLevel="0" collapsed="false">
      <c r="A770" s="5" t="s">
        <v>4050</v>
      </c>
      <c r="B770" s="2" t="s">
        <v>4051</v>
      </c>
      <c r="C770" s="5" t="s">
        <v>2245</v>
      </c>
      <c r="D770" s="5" t="s">
        <v>60</v>
      </c>
      <c r="E770" s="5" t="s">
        <v>62</v>
      </c>
      <c r="F770" s="5" t="s">
        <v>269</v>
      </c>
      <c r="G770" s="5" t="s">
        <v>7747</v>
      </c>
      <c r="H770" s="5"/>
      <c r="I770" s="5" t="s">
        <v>1976</v>
      </c>
    </row>
    <row r="771" customFormat="false" ht="15" hidden="false" customHeight="false" outlineLevel="0" collapsed="false">
      <c r="A771" s="5" t="s">
        <v>4058</v>
      </c>
      <c r="B771" s="2" t="s">
        <v>4059</v>
      </c>
      <c r="C771" s="5" t="s">
        <v>2128</v>
      </c>
      <c r="D771" s="5" t="s">
        <v>60</v>
      </c>
      <c r="E771" s="5" t="s">
        <v>62</v>
      </c>
      <c r="F771" s="5" t="s">
        <v>7633</v>
      </c>
      <c r="G771" s="5" t="s">
        <v>7634</v>
      </c>
      <c r="H771" s="5" t="s">
        <v>309</v>
      </c>
      <c r="I771" s="5" t="s">
        <v>1105</v>
      </c>
    </row>
    <row r="772" customFormat="false" ht="23.85" hidden="false" customHeight="false" outlineLevel="0" collapsed="false">
      <c r="A772" s="5" t="s">
        <v>4064</v>
      </c>
      <c r="B772" s="2" t="s">
        <v>4065</v>
      </c>
      <c r="C772" s="5" t="s">
        <v>2128</v>
      </c>
      <c r="D772" s="5" t="s">
        <v>60</v>
      </c>
      <c r="E772" s="5" t="s">
        <v>62</v>
      </c>
      <c r="F772" s="5" t="s">
        <v>7633</v>
      </c>
      <c r="G772" s="5" t="s">
        <v>7634</v>
      </c>
      <c r="H772" s="5" t="s">
        <v>309</v>
      </c>
      <c r="I772" s="5" t="s">
        <v>1105</v>
      </c>
    </row>
    <row r="773" customFormat="false" ht="15" hidden="false" customHeight="false" outlineLevel="0" collapsed="false">
      <c r="A773" s="5" t="s">
        <v>4069</v>
      </c>
      <c r="B773" s="2" t="s">
        <v>4070</v>
      </c>
      <c r="C773" s="5" t="s">
        <v>2245</v>
      </c>
      <c r="D773" s="5" t="s">
        <v>60</v>
      </c>
      <c r="E773" s="5" t="s">
        <v>62</v>
      </c>
      <c r="F773" s="5" t="s">
        <v>7635</v>
      </c>
      <c r="G773" s="5" t="s">
        <v>7636</v>
      </c>
      <c r="H773" s="5" t="s">
        <v>3134</v>
      </c>
      <c r="I773" s="5" t="s">
        <v>3130</v>
      </c>
    </row>
    <row r="774" customFormat="false" ht="15" hidden="false" customHeight="false" outlineLevel="0" collapsed="false">
      <c r="A774" s="5" t="s">
        <v>4074</v>
      </c>
      <c r="B774" s="2" t="s">
        <v>4075</v>
      </c>
      <c r="C774" s="5" t="s">
        <v>2245</v>
      </c>
      <c r="D774" s="5" t="s">
        <v>60</v>
      </c>
      <c r="E774" s="5" t="s">
        <v>62</v>
      </c>
      <c r="F774" s="5" t="s">
        <v>7635</v>
      </c>
      <c r="G774" s="5" t="s">
        <v>7636</v>
      </c>
      <c r="H774" s="5" t="s">
        <v>3134</v>
      </c>
      <c r="I774" s="5" t="s">
        <v>3130</v>
      </c>
    </row>
    <row r="775" customFormat="false" ht="23.85" hidden="false" customHeight="false" outlineLevel="0" collapsed="false">
      <c r="A775" s="5" t="s">
        <v>4079</v>
      </c>
      <c r="B775" s="2" t="s">
        <v>4080</v>
      </c>
      <c r="C775" s="5" t="s">
        <v>2245</v>
      </c>
      <c r="D775" s="5" t="s">
        <v>60</v>
      </c>
      <c r="E775" s="5" t="s">
        <v>62</v>
      </c>
      <c r="F775" s="5" t="s">
        <v>7635</v>
      </c>
      <c r="G775" s="5" t="s">
        <v>7636</v>
      </c>
      <c r="H775" s="5" t="s">
        <v>3134</v>
      </c>
      <c r="I775" s="5" t="s">
        <v>3130</v>
      </c>
    </row>
    <row r="776" customFormat="false" ht="23.85" hidden="false" customHeight="false" outlineLevel="0" collapsed="false">
      <c r="A776" s="5" t="s">
        <v>4084</v>
      </c>
      <c r="B776" s="2" t="s">
        <v>4085</v>
      </c>
      <c r="C776" s="5" t="s">
        <v>2245</v>
      </c>
      <c r="D776" s="5" t="s">
        <v>60</v>
      </c>
      <c r="E776" s="5" t="s">
        <v>62</v>
      </c>
      <c r="F776" s="5" t="s">
        <v>269</v>
      </c>
      <c r="G776" s="5" t="s">
        <v>7734</v>
      </c>
      <c r="H776" s="5"/>
      <c r="I776" s="5" t="s">
        <v>1198</v>
      </c>
    </row>
    <row r="777" customFormat="false" ht="23.85" hidden="false" customHeight="false" outlineLevel="0" collapsed="false">
      <c r="A777" s="5" t="s">
        <v>4089</v>
      </c>
      <c r="B777" s="2" t="s">
        <v>4090</v>
      </c>
      <c r="C777" s="5" t="s">
        <v>2245</v>
      </c>
      <c r="D777" s="5" t="s">
        <v>60</v>
      </c>
      <c r="E777" s="5" t="s">
        <v>62</v>
      </c>
      <c r="F777" s="5" t="s">
        <v>7633</v>
      </c>
      <c r="G777" s="5" t="s">
        <v>7634</v>
      </c>
      <c r="H777" s="5" t="s">
        <v>309</v>
      </c>
      <c r="I777" s="5" t="s">
        <v>1105</v>
      </c>
    </row>
    <row r="778" customFormat="false" ht="23.85" hidden="false" customHeight="false" outlineLevel="0" collapsed="false">
      <c r="A778" s="5" t="s">
        <v>4094</v>
      </c>
      <c r="B778" s="2" t="s">
        <v>4095</v>
      </c>
      <c r="C778" s="5" t="s">
        <v>2128</v>
      </c>
      <c r="D778" s="5" t="s">
        <v>60</v>
      </c>
      <c r="E778" s="5" t="s">
        <v>62</v>
      </c>
      <c r="F778" s="5" t="s">
        <v>269</v>
      </c>
      <c r="G778" s="5" t="s">
        <v>7746</v>
      </c>
      <c r="H778" s="5"/>
      <c r="I778" s="5" t="s">
        <v>1581</v>
      </c>
    </row>
    <row r="779" customFormat="false" ht="23.85" hidden="false" customHeight="false" outlineLevel="0" collapsed="false">
      <c r="A779" s="5" t="s">
        <v>4094</v>
      </c>
      <c r="B779" s="2" t="s">
        <v>4095</v>
      </c>
      <c r="C779" s="5" t="s">
        <v>2128</v>
      </c>
      <c r="D779" s="5" t="s">
        <v>60</v>
      </c>
      <c r="E779" s="5" t="s">
        <v>62</v>
      </c>
      <c r="F779" s="5" t="s">
        <v>269</v>
      </c>
      <c r="G779" s="5" t="s">
        <v>7843</v>
      </c>
      <c r="H779" s="5"/>
      <c r="I779" s="5" t="s">
        <v>3500</v>
      </c>
    </row>
    <row r="780" customFormat="false" ht="23.85" hidden="false" customHeight="false" outlineLevel="0" collapsed="false">
      <c r="A780" s="5" t="s">
        <v>4094</v>
      </c>
      <c r="B780" s="2" t="s">
        <v>4095</v>
      </c>
      <c r="C780" s="5" t="s">
        <v>2128</v>
      </c>
      <c r="D780" s="5" t="s">
        <v>60</v>
      </c>
      <c r="E780" s="5" t="s">
        <v>62</v>
      </c>
      <c r="F780" s="5" t="s">
        <v>269</v>
      </c>
      <c r="G780" s="5" t="s">
        <v>7747</v>
      </c>
      <c r="H780" s="5"/>
      <c r="I780" s="5" t="s">
        <v>1976</v>
      </c>
    </row>
    <row r="781" customFormat="false" ht="15" hidden="false" customHeight="false" outlineLevel="0" collapsed="false">
      <c r="A781" s="5" t="s">
        <v>4102</v>
      </c>
      <c r="B781" s="2" t="s">
        <v>4103</v>
      </c>
      <c r="C781" s="5" t="s">
        <v>2128</v>
      </c>
      <c r="D781" s="5" t="s">
        <v>60</v>
      </c>
      <c r="E781" s="5" t="s">
        <v>62</v>
      </c>
      <c r="F781" s="5" t="s">
        <v>269</v>
      </c>
      <c r="G781" s="5" t="s">
        <v>7754</v>
      </c>
      <c r="H781" s="5"/>
      <c r="I781" s="5" t="s">
        <v>1612</v>
      </c>
    </row>
    <row r="782" customFormat="false" ht="15" hidden="false" customHeight="false" outlineLevel="0" collapsed="false">
      <c r="A782" s="5" t="s">
        <v>4108</v>
      </c>
      <c r="B782" s="2" t="s">
        <v>4109</v>
      </c>
      <c r="C782" s="5" t="s">
        <v>2245</v>
      </c>
      <c r="D782" s="5" t="s">
        <v>60</v>
      </c>
      <c r="E782" s="5" t="s">
        <v>490</v>
      </c>
      <c r="F782" s="5" t="s">
        <v>7633</v>
      </c>
      <c r="G782" s="5" t="s">
        <v>7634</v>
      </c>
      <c r="H782" s="5" t="s">
        <v>309</v>
      </c>
      <c r="I782" s="5" t="s">
        <v>1105</v>
      </c>
    </row>
    <row r="783" customFormat="false" ht="23.85" hidden="false" customHeight="false" outlineLevel="0" collapsed="false">
      <c r="A783" s="5" t="s">
        <v>4114</v>
      </c>
      <c r="B783" s="2" t="s">
        <v>4115</v>
      </c>
      <c r="C783" s="5" t="s">
        <v>2245</v>
      </c>
      <c r="D783" s="5" t="s">
        <v>60</v>
      </c>
      <c r="E783" s="5" t="s">
        <v>62</v>
      </c>
      <c r="F783" s="5" t="s">
        <v>7633</v>
      </c>
      <c r="G783" s="5" t="s">
        <v>7634</v>
      </c>
      <c r="H783" s="5" t="s">
        <v>309</v>
      </c>
      <c r="I783" s="5" t="s">
        <v>1105</v>
      </c>
    </row>
    <row r="784" customFormat="false" ht="23.85" hidden="false" customHeight="false" outlineLevel="0" collapsed="false">
      <c r="A784" s="5" t="s">
        <v>4120</v>
      </c>
      <c r="B784" s="2" t="s">
        <v>4121</v>
      </c>
      <c r="C784" s="5" t="s">
        <v>2128</v>
      </c>
      <c r="D784" s="5" t="s">
        <v>60</v>
      </c>
      <c r="E784" s="5" t="s">
        <v>62</v>
      </c>
      <c r="F784" s="5" t="s">
        <v>7633</v>
      </c>
      <c r="G784" s="5" t="s">
        <v>7634</v>
      </c>
      <c r="H784" s="5" t="s">
        <v>309</v>
      </c>
      <c r="I784" s="5" t="s">
        <v>1105</v>
      </c>
    </row>
    <row r="785" customFormat="false" ht="15" hidden="false" customHeight="false" outlineLevel="0" collapsed="false">
      <c r="A785" s="5" t="s">
        <v>4125</v>
      </c>
      <c r="B785" s="2" t="s">
        <v>4126</v>
      </c>
      <c r="C785" s="5" t="s">
        <v>2128</v>
      </c>
      <c r="D785" s="5" t="s">
        <v>60</v>
      </c>
      <c r="E785" s="5" t="s">
        <v>62</v>
      </c>
      <c r="F785" s="5" t="s">
        <v>269</v>
      </c>
      <c r="G785" s="5" t="s">
        <v>7749</v>
      </c>
      <c r="H785" s="5" t="s">
        <v>1537</v>
      </c>
      <c r="I785" s="5" t="s">
        <v>1533</v>
      </c>
    </row>
    <row r="786" customFormat="false" ht="15" hidden="false" customHeight="false" outlineLevel="0" collapsed="false">
      <c r="A786" s="5" t="s">
        <v>4130</v>
      </c>
      <c r="B786" s="2" t="s">
        <v>4131</v>
      </c>
      <c r="C786" s="5" t="s">
        <v>2128</v>
      </c>
      <c r="D786" s="5" t="s">
        <v>60</v>
      </c>
      <c r="E786" s="5" t="s">
        <v>62</v>
      </c>
      <c r="F786" s="5" t="s">
        <v>269</v>
      </c>
      <c r="G786" s="5" t="s">
        <v>7865</v>
      </c>
      <c r="H786" s="5"/>
      <c r="I786" s="5" t="s">
        <v>4133</v>
      </c>
    </row>
    <row r="787" customFormat="false" ht="15" hidden="false" customHeight="false" outlineLevel="0" collapsed="false">
      <c r="A787" s="5" t="s">
        <v>4139</v>
      </c>
      <c r="B787" s="2" t="s">
        <v>4140</v>
      </c>
      <c r="C787" s="5" t="s">
        <v>2128</v>
      </c>
      <c r="D787" s="5" t="s">
        <v>60</v>
      </c>
      <c r="E787" s="5" t="s">
        <v>62</v>
      </c>
      <c r="F787" s="5" t="s">
        <v>269</v>
      </c>
      <c r="G787" s="5" t="s">
        <v>7827</v>
      </c>
      <c r="H787" s="5"/>
      <c r="I787" s="5" t="s">
        <v>3203</v>
      </c>
    </row>
    <row r="788" customFormat="false" ht="23.85" hidden="false" customHeight="false" outlineLevel="0" collapsed="false">
      <c r="A788" s="5" t="s">
        <v>4144</v>
      </c>
      <c r="B788" s="2" t="s">
        <v>4145</v>
      </c>
      <c r="C788" s="5" t="s">
        <v>2245</v>
      </c>
      <c r="D788" s="5" t="s">
        <v>60</v>
      </c>
      <c r="E788" s="5" t="s">
        <v>62</v>
      </c>
      <c r="F788" s="5" t="s">
        <v>7633</v>
      </c>
      <c r="G788" s="5" t="s">
        <v>7634</v>
      </c>
      <c r="H788" s="5" t="s">
        <v>309</v>
      </c>
      <c r="I788" s="5" t="s">
        <v>1105</v>
      </c>
    </row>
    <row r="789" customFormat="false" ht="23.85" hidden="false" customHeight="false" outlineLevel="0" collapsed="false">
      <c r="A789" s="5" t="s">
        <v>4149</v>
      </c>
      <c r="B789" s="2" t="s">
        <v>4150</v>
      </c>
      <c r="C789" s="5" t="s">
        <v>2245</v>
      </c>
      <c r="D789" s="5" t="s">
        <v>60</v>
      </c>
      <c r="E789" s="5" t="s">
        <v>62</v>
      </c>
      <c r="F789" s="5" t="s">
        <v>7633</v>
      </c>
      <c r="G789" s="5" t="s">
        <v>7634</v>
      </c>
      <c r="H789" s="5" t="s">
        <v>309</v>
      </c>
      <c r="I789" s="5" t="s">
        <v>1105</v>
      </c>
    </row>
    <row r="790" customFormat="false" ht="23.85" hidden="false" customHeight="false" outlineLevel="0" collapsed="false">
      <c r="A790" s="5" t="s">
        <v>4154</v>
      </c>
      <c r="B790" s="2" t="s">
        <v>4155</v>
      </c>
      <c r="C790" s="5" t="s">
        <v>2128</v>
      </c>
      <c r="D790" s="5" t="s">
        <v>60</v>
      </c>
      <c r="E790" s="5" t="s">
        <v>62</v>
      </c>
      <c r="F790" s="5" t="s">
        <v>269</v>
      </c>
      <c r="G790" s="5" t="s">
        <v>7734</v>
      </c>
      <c r="H790" s="5"/>
      <c r="I790" s="5" t="s">
        <v>1198</v>
      </c>
    </row>
    <row r="791" customFormat="false" ht="15" hidden="false" customHeight="false" outlineLevel="0" collapsed="false">
      <c r="A791" s="5" t="s">
        <v>4159</v>
      </c>
      <c r="B791" s="2" t="s">
        <v>4160</v>
      </c>
      <c r="C791" s="5" t="s">
        <v>2128</v>
      </c>
      <c r="D791" s="5" t="s">
        <v>60</v>
      </c>
      <c r="E791" s="5" t="s">
        <v>62</v>
      </c>
      <c r="F791" s="5" t="s">
        <v>7669</v>
      </c>
      <c r="G791" s="5" t="s">
        <v>839</v>
      </c>
      <c r="H791" s="5"/>
      <c r="I791" s="5" t="s">
        <v>839</v>
      </c>
    </row>
    <row r="792" customFormat="false" ht="15" hidden="false" customHeight="false" outlineLevel="0" collapsed="false">
      <c r="A792" s="5" t="s">
        <v>4159</v>
      </c>
      <c r="B792" s="2" t="s">
        <v>4160</v>
      </c>
      <c r="C792" s="5" t="s">
        <v>2128</v>
      </c>
      <c r="D792" s="5" t="s">
        <v>60</v>
      </c>
      <c r="E792" s="5" t="s">
        <v>62</v>
      </c>
      <c r="F792" s="5" t="s">
        <v>7669</v>
      </c>
      <c r="G792" s="5" t="s">
        <v>2794</v>
      </c>
      <c r="H792" s="5"/>
      <c r="I792" s="5" t="s">
        <v>2794</v>
      </c>
    </row>
    <row r="793" customFormat="false" ht="15" hidden="false" customHeight="false" outlineLevel="0" collapsed="false">
      <c r="A793" s="5" t="s">
        <v>4159</v>
      </c>
      <c r="B793" s="2" t="s">
        <v>4160</v>
      </c>
      <c r="C793" s="5" t="s">
        <v>2128</v>
      </c>
      <c r="D793" s="5" t="s">
        <v>60</v>
      </c>
      <c r="E793" s="5" t="s">
        <v>62</v>
      </c>
      <c r="F793" s="5" t="s">
        <v>7721</v>
      </c>
      <c r="G793" s="5" t="s">
        <v>7866</v>
      </c>
      <c r="H793" s="5"/>
      <c r="I793" s="5" t="s">
        <v>7867</v>
      </c>
    </row>
    <row r="794" customFormat="false" ht="23.85" hidden="false" customHeight="false" outlineLevel="0" collapsed="false">
      <c r="A794" s="5" t="s">
        <v>4170</v>
      </c>
      <c r="B794" s="2" t="s">
        <v>4171</v>
      </c>
      <c r="C794" s="5" t="s">
        <v>2128</v>
      </c>
      <c r="D794" s="5" t="s">
        <v>60</v>
      </c>
      <c r="E794" s="5" t="s">
        <v>62</v>
      </c>
      <c r="F794" s="5" t="s">
        <v>7633</v>
      </c>
      <c r="G794" s="5" t="s">
        <v>7634</v>
      </c>
      <c r="H794" s="5" t="s">
        <v>309</v>
      </c>
      <c r="I794" s="5" t="s">
        <v>1105</v>
      </c>
    </row>
    <row r="795" customFormat="false" ht="15" hidden="false" customHeight="false" outlineLevel="0" collapsed="false">
      <c r="A795" s="5" t="s">
        <v>4175</v>
      </c>
      <c r="B795" s="2" t="s">
        <v>4176</v>
      </c>
      <c r="C795" s="5" t="s">
        <v>2128</v>
      </c>
      <c r="D795" s="5" t="s">
        <v>60</v>
      </c>
      <c r="E795" s="5" t="s">
        <v>62</v>
      </c>
      <c r="F795" s="5" t="s">
        <v>269</v>
      </c>
      <c r="G795" s="5" t="s">
        <v>7865</v>
      </c>
      <c r="H795" s="5"/>
      <c r="I795" s="5" t="s">
        <v>4133</v>
      </c>
    </row>
    <row r="796" customFormat="false" ht="23.85" hidden="false" customHeight="false" outlineLevel="0" collapsed="false">
      <c r="A796" s="5" t="s">
        <v>4181</v>
      </c>
      <c r="B796" s="2" t="s">
        <v>4182</v>
      </c>
      <c r="C796" s="5" t="s">
        <v>2128</v>
      </c>
      <c r="D796" s="5" t="s">
        <v>60</v>
      </c>
      <c r="E796" s="5" t="s">
        <v>62</v>
      </c>
      <c r="F796" s="5" t="s">
        <v>269</v>
      </c>
      <c r="G796" s="5" t="s">
        <v>7754</v>
      </c>
      <c r="H796" s="5"/>
      <c r="I796" s="5" t="s">
        <v>1612</v>
      </c>
    </row>
    <row r="797" customFormat="false" ht="23.85" hidden="false" customHeight="false" outlineLevel="0" collapsed="false">
      <c r="A797" s="5" t="s">
        <v>4187</v>
      </c>
      <c r="B797" s="2" t="s">
        <v>4188</v>
      </c>
      <c r="C797" s="5" t="s">
        <v>2128</v>
      </c>
      <c r="D797" s="5" t="s">
        <v>60</v>
      </c>
      <c r="E797" s="5" t="s">
        <v>62</v>
      </c>
      <c r="F797" s="5" t="s">
        <v>269</v>
      </c>
      <c r="G797" s="5" t="s">
        <v>7754</v>
      </c>
      <c r="H797" s="5"/>
      <c r="I797" s="5" t="s">
        <v>1612</v>
      </c>
    </row>
    <row r="798" customFormat="false" ht="23.85" hidden="false" customHeight="false" outlineLevel="0" collapsed="false">
      <c r="A798" s="5" t="s">
        <v>4192</v>
      </c>
      <c r="B798" s="2" t="s">
        <v>4193</v>
      </c>
      <c r="C798" s="5" t="s">
        <v>2245</v>
      </c>
      <c r="D798" s="5" t="s">
        <v>60</v>
      </c>
      <c r="E798" s="5" t="s">
        <v>62</v>
      </c>
      <c r="F798" s="5" t="s">
        <v>7635</v>
      </c>
      <c r="G798" s="5" t="s">
        <v>7636</v>
      </c>
      <c r="H798" s="5" t="s">
        <v>3134</v>
      </c>
      <c r="I798" s="5" t="s">
        <v>3130</v>
      </c>
    </row>
    <row r="799" customFormat="false" ht="15" hidden="false" customHeight="false" outlineLevel="0" collapsed="false">
      <c r="A799" s="5" t="s">
        <v>4197</v>
      </c>
      <c r="B799" s="2" t="s">
        <v>4198</v>
      </c>
      <c r="C799" s="5" t="s">
        <v>2128</v>
      </c>
      <c r="D799" s="5" t="s">
        <v>60</v>
      </c>
      <c r="E799" s="5" t="s">
        <v>62</v>
      </c>
      <c r="F799" s="5" t="s">
        <v>7633</v>
      </c>
      <c r="G799" s="5" t="s">
        <v>7634</v>
      </c>
      <c r="H799" s="5" t="s">
        <v>309</v>
      </c>
      <c r="I799" s="5" t="s">
        <v>1105</v>
      </c>
    </row>
    <row r="800" customFormat="false" ht="15" hidden="false" customHeight="false" outlineLevel="0" collapsed="false">
      <c r="A800" s="5" t="s">
        <v>4203</v>
      </c>
      <c r="B800" s="2" t="s">
        <v>4204</v>
      </c>
      <c r="C800" s="5" t="s">
        <v>2128</v>
      </c>
      <c r="D800" s="5" t="s">
        <v>60</v>
      </c>
      <c r="E800" s="5" t="s">
        <v>62</v>
      </c>
      <c r="F800" s="5" t="s">
        <v>269</v>
      </c>
      <c r="G800" s="5" t="s">
        <v>7868</v>
      </c>
      <c r="H800" s="5"/>
      <c r="I800" s="5" t="s">
        <v>4205</v>
      </c>
    </row>
    <row r="801" customFormat="false" ht="15" hidden="false" customHeight="false" outlineLevel="0" collapsed="false">
      <c r="A801" s="5" t="s">
        <v>4209</v>
      </c>
      <c r="B801" s="2" t="s">
        <v>4210</v>
      </c>
      <c r="C801" s="5" t="s">
        <v>2128</v>
      </c>
      <c r="D801" s="5" t="s">
        <v>60</v>
      </c>
      <c r="E801" s="5" t="s">
        <v>62</v>
      </c>
      <c r="F801" s="5" t="s">
        <v>269</v>
      </c>
      <c r="G801" s="5" t="s">
        <v>7749</v>
      </c>
      <c r="H801" s="5" t="s">
        <v>1537</v>
      </c>
      <c r="I801" s="5" t="s">
        <v>1533</v>
      </c>
    </row>
    <row r="802" customFormat="false" ht="15" hidden="false" customHeight="false" outlineLevel="0" collapsed="false">
      <c r="A802" s="5" t="s">
        <v>4215</v>
      </c>
      <c r="B802" s="2" t="s">
        <v>4216</v>
      </c>
      <c r="C802" s="5" t="s">
        <v>2128</v>
      </c>
      <c r="D802" s="5" t="s">
        <v>60</v>
      </c>
      <c r="E802" s="5" t="s">
        <v>62</v>
      </c>
      <c r="F802" s="5" t="s">
        <v>269</v>
      </c>
      <c r="G802" s="5" t="s">
        <v>7746</v>
      </c>
      <c r="H802" s="5"/>
      <c r="I802" s="5" t="s">
        <v>1581</v>
      </c>
    </row>
    <row r="803" customFormat="false" ht="15" hidden="false" customHeight="false" outlineLevel="0" collapsed="false">
      <c r="A803" s="5" t="s">
        <v>4222</v>
      </c>
      <c r="B803" s="2" t="s">
        <v>4223</v>
      </c>
      <c r="C803" s="5" t="s">
        <v>2128</v>
      </c>
      <c r="D803" s="5" t="s">
        <v>60</v>
      </c>
      <c r="E803" s="5" t="s">
        <v>62</v>
      </c>
      <c r="F803" s="5" t="s">
        <v>269</v>
      </c>
      <c r="G803" s="5" t="s">
        <v>7869</v>
      </c>
      <c r="H803" s="5"/>
      <c r="I803" s="5" t="s">
        <v>4224</v>
      </c>
    </row>
    <row r="804" customFormat="false" ht="15" hidden="false" customHeight="false" outlineLevel="0" collapsed="false">
      <c r="A804" s="5" t="s">
        <v>4230</v>
      </c>
      <c r="B804" s="2" t="s">
        <v>4231</v>
      </c>
      <c r="C804" s="5" t="s">
        <v>2128</v>
      </c>
      <c r="D804" s="5" t="s">
        <v>60</v>
      </c>
      <c r="E804" s="5" t="s">
        <v>62</v>
      </c>
      <c r="F804" s="5" t="s">
        <v>7633</v>
      </c>
      <c r="G804" s="5" t="s">
        <v>7634</v>
      </c>
      <c r="H804" s="5" t="s">
        <v>309</v>
      </c>
      <c r="I804" s="5" t="s">
        <v>1105</v>
      </c>
    </row>
    <row r="805" customFormat="false" ht="15" hidden="false" customHeight="false" outlineLevel="0" collapsed="false">
      <c r="A805" s="5" t="s">
        <v>4235</v>
      </c>
      <c r="B805" s="2" t="s">
        <v>4236</v>
      </c>
      <c r="C805" s="5" t="s">
        <v>2245</v>
      </c>
      <c r="D805" s="5" t="s">
        <v>60</v>
      </c>
      <c r="E805" s="5" t="s">
        <v>62</v>
      </c>
      <c r="F805" s="5" t="s">
        <v>7633</v>
      </c>
      <c r="G805" s="5" t="s">
        <v>7634</v>
      </c>
      <c r="H805" s="5" t="s">
        <v>309</v>
      </c>
      <c r="I805" s="5" t="s">
        <v>1105</v>
      </c>
    </row>
    <row r="806" customFormat="false" ht="23.85" hidden="false" customHeight="false" outlineLevel="0" collapsed="false">
      <c r="A806" s="5" t="s">
        <v>4240</v>
      </c>
      <c r="B806" s="2" t="s">
        <v>4241</v>
      </c>
      <c r="C806" s="5" t="s">
        <v>2245</v>
      </c>
      <c r="D806" s="5" t="s">
        <v>60</v>
      </c>
      <c r="E806" s="5" t="s">
        <v>62</v>
      </c>
      <c r="F806" s="5" t="s">
        <v>7633</v>
      </c>
      <c r="G806" s="5" t="s">
        <v>7634</v>
      </c>
      <c r="H806" s="5" t="s">
        <v>309</v>
      </c>
      <c r="I806" s="5" t="s">
        <v>1105</v>
      </c>
    </row>
    <row r="807" customFormat="false" ht="23.85" hidden="false" customHeight="false" outlineLevel="0" collapsed="false">
      <c r="A807" s="5" t="s">
        <v>4245</v>
      </c>
      <c r="B807" s="2" t="s">
        <v>4246</v>
      </c>
      <c r="C807" s="5" t="s">
        <v>2245</v>
      </c>
      <c r="D807" s="5" t="s">
        <v>60</v>
      </c>
      <c r="E807" s="5" t="s">
        <v>62</v>
      </c>
      <c r="F807" s="5" t="s">
        <v>7633</v>
      </c>
      <c r="G807" s="5" t="s">
        <v>7634</v>
      </c>
      <c r="H807" s="5" t="s">
        <v>309</v>
      </c>
      <c r="I807" s="5" t="s">
        <v>1105</v>
      </c>
    </row>
    <row r="808" customFormat="false" ht="23.85" hidden="false" customHeight="false" outlineLevel="0" collapsed="false">
      <c r="A808" s="5" t="s">
        <v>4250</v>
      </c>
      <c r="B808" s="2" t="s">
        <v>4251</v>
      </c>
      <c r="C808" s="5" t="s">
        <v>2128</v>
      </c>
      <c r="D808" s="5" t="s">
        <v>60</v>
      </c>
      <c r="E808" s="5" t="s">
        <v>490</v>
      </c>
      <c r="F808" s="5" t="s">
        <v>269</v>
      </c>
      <c r="G808" s="5" t="s">
        <v>7734</v>
      </c>
      <c r="H808" s="5"/>
      <c r="I808" s="5" t="s">
        <v>1198</v>
      </c>
    </row>
    <row r="809" customFormat="false" ht="23.85" hidden="false" customHeight="false" outlineLevel="0" collapsed="false">
      <c r="A809" s="5" t="s">
        <v>4256</v>
      </c>
      <c r="B809" s="2" t="s">
        <v>4257</v>
      </c>
      <c r="C809" s="5" t="s">
        <v>2245</v>
      </c>
      <c r="D809" s="5" t="s">
        <v>60</v>
      </c>
      <c r="E809" s="5" t="s">
        <v>62</v>
      </c>
      <c r="F809" s="5" t="s">
        <v>269</v>
      </c>
      <c r="G809" s="5" t="s">
        <v>7747</v>
      </c>
      <c r="H809" s="5"/>
      <c r="I809" s="5" t="s">
        <v>1976</v>
      </c>
    </row>
    <row r="810" customFormat="false" ht="23.85" hidden="false" customHeight="false" outlineLevel="0" collapsed="false">
      <c r="A810" s="5" t="s">
        <v>4263</v>
      </c>
      <c r="B810" s="2" t="s">
        <v>4264</v>
      </c>
      <c r="C810" s="5" t="s">
        <v>2128</v>
      </c>
      <c r="D810" s="5" t="s">
        <v>60</v>
      </c>
      <c r="E810" s="5" t="s">
        <v>62</v>
      </c>
      <c r="F810" s="5" t="s">
        <v>7633</v>
      </c>
      <c r="G810" s="5" t="s">
        <v>7736</v>
      </c>
      <c r="H810" s="5" t="s">
        <v>1225</v>
      </c>
      <c r="I810" s="5" t="s">
        <v>1221</v>
      </c>
    </row>
    <row r="811" customFormat="false" ht="15" hidden="false" customHeight="false" outlineLevel="0" collapsed="false">
      <c r="A811" s="5" t="s">
        <v>4269</v>
      </c>
      <c r="B811" s="2" t="s">
        <v>4270</v>
      </c>
      <c r="C811" s="5" t="s">
        <v>2128</v>
      </c>
      <c r="D811" s="5" t="s">
        <v>60</v>
      </c>
      <c r="E811" s="5" t="s">
        <v>62</v>
      </c>
      <c r="F811" s="5" t="s">
        <v>269</v>
      </c>
      <c r="G811" s="5" t="s">
        <v>7754</v>
      </c>
      <c r="H811" s="5"/>
      <c r="I811" s="5" t="s">
        <v>1612</v>
      </c>
    </row>
    <row r="812" customFormat="false" ht="23.85" hidden="false" customHeight="false" outlineLevel="0" collapsed="false">
      <c r="A812" s="5" t="s">
        <v>4275</v>
      </c>
      <c r="B812" s="2" t="s">
        <v>4276</v>
      </c>
      <c r="C812" s="5" t="s">
        <v>2128</v>
      </c>
      <c r="D812" s="5" t="s">
        <v>60</v>
      </c>
      <c r="E812" s="5" t="s">
        <v>62</v>
      </c>
      <c r="F812" s="5" t="s">
        <v>7721</v>
      </c>
      <c r="G812" s="5" t="s">
        <v>7755</v>
      </c>
      <c r="H812" s="5"/>
      <c r="I812" s="5" t="s">
        <v>4277</v>
      </c>
    </row>
    <row r="813" customFormat="false" ht="23.85" hidden="false" customHeight="false" outlineLevel="0" collapsed="false">
      <c r="A813" s="5" t="s">
        <v>4282</v>
      </c>
      <c r="B813" s="2" t="s">
        <v>4283</v>
      </c>
      <c r="C813" s="5" t="s">
        <v>2245</v>
      </c>
      <c r="D813" s="5" t="s">
        <v>60</v>
      </c>
      <c r="E813" s="5" t="s">
        <v>62</v>
      </c>
      <c r="F813" s="5" t="s">
        <v>269</v>
      </c>
      <c r="G813" s="5" t="s">
        <v>7637</v>
      </c>
      <c r="H813" s="5" t="s">
        <v>214</v>
      </c>
      <c r="I813" s="5" t="s">
        <v>210</v>
      </c>
    </row>
    <row r="814" customFormat="false" ht="23.85" hidden="false" customHeight="false" outlineLevel="0" collapsed="false">
      <c r="A814" s="5" t="s">
        <v>4282</v>
      </c>
      <c r="B814" s="2" t="s">
        <v>4283</v>
      </c>
      <c r="C814" s="5" t="s">
        <v>2245</v>
      </c>
      <c r="D814" s="5" t="s">
        <v>60</v>
      </c>
      <c r="E814" s="5" t="s">
        <v>62</v>
      </c>
      <c r="F814" s="5" t="s">
        <v>269</v>
      </c>
      <c r="G814" s="5" t="s">
        <v>7754</v>
      </c>
      <c r="H814" s="5"/>
      <c r="I814" s="5" t="s">
        <v>1612</v>
      </c>
    </row>
    <row r="815" customFormat="false" ht="23.85" hidden="false" customHeight="false" outlineLevel="0" collapsed="false">
      <c r="A815" s="5" t="s">
        <v>4287</v>
      </c>
      <c r="B815" s="2" t="s">
        <v>4288</v>
      </c>
      <c r="C815" s="5" t="s">
        <v>2128</v>
      </c>
      <c r="D815" s="5" t="s">
        <v>60</v>
      </c>
      <c r="E815" s="5" t="s">
        <v>62</v>
      </c>
      <c r="F815" s="5" t="s">
        <v>269</v>
      </c>
      <c r="G815" s="5" t="s">
        <v>7754</v>
      </c>
      <c r="H815" s="5"/>
      <c r="I815" s="5" t="s">
        <v>1612</v>
      </c>
    </row>
    <row r="816" customFormat="false" ht="23.85" hidden="false" customHeight="false" outlineLevel="0" collapsed="false">
      <c r="A816" s="5" t="s">
        <v>4293</v>
      </c>
      <c r="B816" s="2" t="s">
        <v>4294</v>
      </c>
      <c r="C816" s="5" t="s">
        <v>2245</v>
      </c>
      <c r="D816" s="5" t="s">
        <v>60</v>
      </c>
      <c r="E816" s="5" t="s">
        <v>62</v>
      </c>
      <c r="F816" s="5" t="s">
        <v>7635</v>
      </c>
      <c r="G816" s="5" t="s">
        <v>3183</v>
      </c>
      <c r="H816" s="5"/>
      <c r="I816" s="5" t="s">
        <v>3183</v>
      </c>
    </row>
    <row r="817" customFormat="false" ht="23.85" hidden="false" customHeight="false" outlineLevel="0" collapsed="false">
      <c r="A817" s="5" t="s">
        <v>4298</v>
      </c>
      <c r="B817" s="2" t="s">
        <v>4299</v>
      </c>
      <c r="C817" s="5" t="s">
        <v>2128</v>
      </c>
      <c r="D817" s="5" t="s">
        <v>60</v>
      </c>
      <c r="E817" s="5" t="s">
        <v>62</v>
      </c>
      <c r="F817" s="5" t="s">
        <v>7633</v>
      </c>
      <c r="G817" s="5" t="s">
        <v>7634</v>
      </c>
      <c r="H817" s="5" t="s">
        <v>309</v>
      </c>
      <c r="I817" s="5" t="s">
        <v>1105</v>
      </c>
    </row>
    <row r="818" customFormat="false" ht="35.05" hidden="false" customHeight="false" outlineLevel="0" collapsed="false">
      <c r="A818" s="5" t="s">
        <v>4303</v>
      </c>
      <c r="B818" s="2" t="s">
        <v>4304</v>
      </c>
      <c r="C818" s="5" t="s">
        <v>2128</v>
      </c>
      <c r="D818" s="5" t="s">
        <v>60</v>
      </c>
      <c r="E818" s="5" t="s">
        <v>490</v>
      </c>
      <c r="F818" s="5" t="s">
        <v>7633</v>
      </c>
      <c r="G818" s="5" t="s">
        <v>7841</v>
      </c>
      <c r="H818" s="5"/>
      <c r="I818" s="5" t="s">
        <v>3457</v>
      </c>
    </row>
    <row r="819" customFormat="false" ht="15" hidden="false" customHeight="false" outlineLevel="0" collapsed="false">
      <c r="A819" s="5" t="s">
        <v>4309</v>
      </c>
      <c r="B819" s="2" t="s">
        <v>4310</v>
      </c>
      <c r="C819" s="5" t="s">
        <v>2128</v>
      </c>
      <c r="D819" s="5" t="s">
        <v>60</v>
      </c>
      <c r="E819" s="5" t="s">
        <v>62</v>
      </c>
      <c r="F819" s="5" t="s">
        <v>7633</v>
      </c>
      <c r="G819" s="5" t="s">
        <v>7634</v>
      </c>
      <c r="H819" s="5" t="s">
        <v>309</v>
      </c>
      <c r="I819" s="5" t="s">
        <v>1105</v>
      </c>
    </row>
    <row r="820" customFormat="false" ht="15" hidden="false" customHeight="false" outlineLevel="0" collapsed="false">
      <c r="A820" s="5" t="s">
        <v>4314</v>
      </c>
      <c r="B820" s="2" t="s">
        <v>4315</v>
      </c>
      <c r="C820" s="5" t="s">
        <v>2128</v>
      </c>
      <c r="D820" s="5" t="s">
        <v>60</v>
      </c>
      <c r="E820" s="5" t="s">
        <v>62</v>
      </c>
      <c r="F820" s="5" t="s">
        <v>7633</v>
      </c>
      <c r="G820" s="5" t="s">
        <v>7634</v>
      </c>
      <c r="H820" s="5" t="s">
        <v>309</v>
      </c>
      <c r="I820" s="5" t="s">
        <v>1105</v>
      </c>
    </row>
    <row r="821" customFormat="false" ht="23.85" hidden="false" customHeight="false" outlineLevel="0" collapsed="false">
      <c r="A821" s="5" t="s">
        <v>4319</v>
      </c>
      <c r="B821" s="2" t="s">
        <v>4320</v>
      </c>
      <c r="C821" s="5" t="s">
        <v>2128</v>
      </c>
      <c r="D821" s="5" t="s">
        <v>60</v>
      </c>
      <c r="E821" s="5" t="s">
        <v>62</v>
      </c>
      <c r="F821" s="5" t="s">
        <v>7633</v>
      </c>
      <c r="G821" s="5" t="s">
        <v>7634</v>
      </c>
      <c r="H821" s="5" t="s">
        <v>309</v>
      </c>
      <c r="I821" s="5" t="s">
        <v>1105</v>
      </c>
    </row>
    <row r="822" customFormat="false" ht="23.85" hidden="false" customHeight="false" outlineLevel="0" collapsed="false">
      <c r="A822" s="5" t="s">
        <v>4324</v>
      </c>
      <c r="B822" s="2" t="s">
        <v>4325</v>
      </c>
      <c r="C822" s="5" t="s">
        <v>2128</v>
      </c>
      <c r="D822" s="5" t="s">
        <v>60</v>
      </c>
      <c r="E822" s="5" t="s">
        <v>62</v>
      </c>
      <c r="F822" s="5" t="s">
        <v>7633</v>
      </c>
      <c r="G822" s="5" t="s">
        <v>7634</v>
      </c>
      <c r="H822" s="5" t="s">
        <v>309</v>
      </c>
      <c r="I822" s="5" t="s">
        <v>1105</v>
      </c>
    </row>
    <row r="823" customFormat="false" ht="23.85" hidden="false" customHeight="false" outlineLevel="0" collapsed="false">
      <c r="A823" s="5" t="s">
        <v>4329</v>
      </c>
      <c r="B823" s="2" t="s">
        <v>4330</v>
      </c>
      <c r="C823" s="5" t="s">
        <v>2245</v>
      </c>
      <c r="D823" s="5" t="s">
        <v>60</v>
      </c>
      <c r="E823" s="5" t="s">
        <v>62</v>
      </c>
      <c r="F823" s="5" t="s">
        <v>7633</v>
      </c>
      <c r="G823" s="5" t="s">
        <v>7634</v>
      </c>
      <c r="H823" s="5" t="s">
        <v>309</v>
      </c>
      <c r="I823" s="5" t="s">
        <v>1105</v>
      </c>
    </row>
    <row r="824" customFormat="false" ht="23.85" hidden="false" customHeight="false" outlineLevel="0" collapsed="false">
      <c r="A824" s="5" t="s">
        <v>4334</v>
      </c>
      <c r="B824" s="2" t="s">
        <v>4335</v>
      </c>
      <c r="C824" s="5" t="s">
        <v>2128</v>
      </c>
      <c r="D824" s="5" t="s">
        <v>60</v>
      </c>
      <c r="E824" s="5" t="s">
        <v>62</v>
      </c>
      <c r="F824" s="5" t="s">
        <v>7633</v>
      </c>
      <c r="G824" s="5" t="s">
        <v>7733</v>
      </c>
      <c r="H824" s="5"/>
      <c r="I824" s="5" t="s">
        <v>1160</v>
      </c>
    </row>
    <row r="825" customFormat="false" ht="15" hidden="false" customHeight="false" outlineLevel="0" collapsed="false">
      <c r="A825" s="5" t="s">
        <v>4340</v>
      </c>
      <c r="B825" s="2" t="s">
        <v>4341</v>
      </c>
      <c r="C825" s="5" t="s">
        <v>2245</v>
      </c>
      <c r="D825" s="5" t="s">
        <v>60</v>
      </c>
      <c r="E825" s="5" t="s">
        <v>62</v>
      </c>
      <c r="F825" s="5" t="s">
        <v>7635</v>
      </c>
      <c r="G825" s="5" t="s">
        <v>3183</v>
      </c>
      <c r="H825" s="5"/>
      <c r="I825" s="5" t="s">
        <v>3183</v>
      </c>
    </row>
    <row r="826" customFormat="false" ht="15" hidden="false" customHeight="false" outlineLevel="0" collapsed="false">
      <c r="A826" s="5" t="s">
        <v>4345</v>
      </c>
      <c r="B826" s="2" t="s">
        <v>4346</v>
      </c>
      <c r="C826" s="5" t="s">
        <v>2245</v>
      </c>
      <c r="D826" s="5" t="s">
        <v>60</v>
      </c>
      <c r="E826" s="5" t="s">
        <v>62</v>
      </c>
      <c r="F826" s="5" t="s">
        <v>7635</v>
      </c>
      <c r="G826" s="5" t="s">
        <v>7636</v>
      </c>
      <c r="H826" s="5" t="s">
        <v>3134</v>
      </c>
      <c r="I826" s="5" t="s">
        <v>3130</v>
      </c>
    </row>
    <row r="827" customFormat="false" ht="23.85" hidden="false" customHeight="false" outlineLevel="0" collapsed="false">
      <c r="A827" s="5" t="s">
        <v>4351</v>
      </c>
      <c r="B827" s="2" t="s">
        <v>4352</v>
      </c>
      <c r="C827" s="5" t="s">
        <v>2245</v>
      </c>
      <c r="D827" s="5" t="s">
        <v>60</v>
      </c>
      <c r="E827" s="5" t="s">
        <v>62</v>
      </c>
      <c r="F827" s="5" t="s">
        <v>7635</v>
      </c>
      <c r="G827" s="5" t="s">
        <v>7636</v>
      </c>
      <c r="H827" s="5" t="s">
        <v>3134</v>
      </c>
      <c r="I827" s="5" t="s">
        <v>3130</v>
      </c>
    </row>
    <row r="828" customFormat="false" ht="23.85" hidden="false" customHeight="false" outlineLevel="0" collapsed="false">
      <c r="A828" s="5" t="s">
        <v>4356</v>
      </c>
      <c r="B828" s="2" t="s">
        <v>4357</v>
      </c>
      <c r="C828" s="5" t="s">
        <v>2245</v>
      </c>
      <c r="D828" s="5" t="s">
        <v>60</v>
      </c>
      <c r="E828" s="5" t="s">
        <v>490</v>
      </c>
      <c r="F828" s="5" t="s">
        <v>7633</v>
      </c>
      <c r="G828" s="5" t="s">
        <v>7634</v>
      </c>
      <c r="H828" s="5" t="s">
        <v>309</v>
      </c>
      <c r="I828" s="5" t="s">
        <v>1105</v>
      </c>
    </row>
    <row r="829" customFormat="false" ht="23.85" hidden="false" customHeight="false" outlineLevel="0" collapsed="false">
      <c r="A829" s="5" t="s">
        <v>4361</v>
      </c>
      <c r="B829" s="2" t="s">
        <v>4362</v>
      </c>
      <c r="C829" s="5" t="s">
        <v>2245</v>
      </c>
      <c r="D829" s="5" t="s">
        <v>60</v>
      </c>
      <c r="E829" s="5" t="s">
        <v>62</v>
      </c>
      <c r="F829" s="5" t="s">
        <v>7635</v>
      </c>
      <c r="G829" s="5" t="s">
        <v>7636</v>
      </c>
      <c r="H829" s="5" t="s">
        <v>3134</v>
      </c>
      <c r="I829" s="5" t="s">
        <v>3130</v>
      </c>
    </row>
    <row r="830" customFormat="false" ht="15" hidden="false" customHeight="false" outlineLevel="0" collapsed="false">
      <c r="A830" s="5" t="s">
        <v>4366</v>
      </c>
      <c r="B830" s="2" t="s">
        <v>4367</v>
      </c>
      <c r="C830" s="5" t="s">
        <v>2128</v>
      </c>
      <c r="D830" s="5" t="s">
        <v>60</v>
      </c>
      <c r="E830" s="5" t="s">
        <v>62</v>
      </c>
      <c r="F830" s="5" t="s">
        <v>269</v>
      </c>
      <c r="G830" s="5" t="s">
        <v>7637</v>
      </c>
      <c r="H830" s="5" t="s">
        <v>214</v>
      </c>
      <c r="I830" s="5" t="s">
        <v>210</v>
      </c>
    </row>
    <row r="831" customFormat="false" ht="15" hidden="false" customHeight="false" outlineLevel="0" collapsed="false">
      <c r="A831" s="5" t="s">
        <v>4371</v>
      </c>
      <c r="B831" s="2" t="s">
        <v>4372</v>
      </c>
      <c r="C831" s="5" t="s">
        <v>2128</v>
      </c>
      <c r="D831" s="5" t="s">
        <v>60</v>
      </c>
      <c r="E831" s="5" t="s">
        <v>62</v>
      </c>
      <c r="F831" s="5" t="s">
        <v>269</v>
      </c>
      <c r="G831" s="5" t="s">
        <v>7754</v>
      </c>
      <c r="H831" s="5"/>
      <c r="I831" s="5" t="s">
        <v>1612</v>
      </c>
    </row>
    <row r="832" customFormat="false" ht="23.85" hidden="false" customHeight="false" outlineLevel="0" collapsed="false">
      <c r="A832" s="5" t="s">
        <v>4376</v>
      </c>
      <c r="B832" s="2" t="s">
        <v>4377</v>
      </c>
      <c r="C832" s="5" t="s">
        <v>2128</v>
      </c>
      <c r="D832" s="5" t="s">
        <v>60</v>
      </c>
      <c r="E832" s="5" t="s">
        <v>62</v>
      </c>
      <c r="F832" s="5" t="s">
        <v>269</v>
      </c>
      <c r="G832" s="5" t="s">
        <v>7870</v>
      </c>
      <c r="H832" s="5"/>
      <c r="I832" s="5" t="s">
        <v>4378</v>
      </c>
    </row>
    <row r="833" customFormat="false" ht="15" hidden="false" customHeight="false" outlineLevel="0" collapsed="false">
      <c r="A833" s="5" t="s">
        <v>4384</v>
      </c>
      <c r="B833" s="2" t="s">
        <v>4385</v>
      </c>
      <c r="C833" s="5" t="s">
        <v>2128</v>
      </c>
      <c r="D833" s="5" t="s">
        <v>60</v>
      </c>
      <c r="E833" s="5" t="s">
        <v>62</v>
      </c>
      <c r="F833" s="5" t="s">
        <v>269</v>
      </c>
      <c r="G833" s="5" t="s">
        <v>7871</v>
      </c>
      <c r="H833" s="5"/>
      <c r="I833" s="5" t="s">
        <v>4386</v>
      </c>
    </row>
    <row r="834" customFormat="false" ht="15" hidden="false" customHeight="false" outlineLevel="0" collapsed="false">
      <c r="A834" s="5" t="s">
        <v>4392</v>
      </c>
      <c r="B834" s="2" t="s">
        <v>4393</v>
      </c>
      <c r="C834" s="5" t="s">
        <v>2128</v>
      </c>
      <c r="D834" s="5" t="s">
        <v>60</v>
      </c>
      <c r="E834" s="5" t="s">
        <v>62</v>
      </c>
      <c r="F834" s="5" t="s">
        <v>269</v>
      </c>
      <c r="G834" s="5" t="s">
        <v>7872</v>
      </c>
      <c r="H834" s="5"/>
      <c r="I834" s="5" t="s">
        <v>4394</v>
      </c>
    </row>
    <row r="835" customFormat="false" ht="23.85" hidden="false" customHeight="false" outlineLevel="0" collapsed="false">
      <c r="A835" s="5" t="s">
        <v>4398</v>
      </c>
      <c r="B835" s="2" t="s">
        <v>4399</v>
      </c>
      <c r="C835" s="5" t="s">
        <v>2245</v>
      </c>
      <c r="D835" s="5" t="s">
        <v>60</v>
      </c>
      <c r="E835" s="5" t="s">
        <v>490</v>
      </c>
      <c r="F835" s="5" t="s">
        <v>7633</v>
      </c>
      <c r="G835" s="5" t="s">
        <v>7835</v>
      </c>
      <c r="H835" s="5" t="s">
        <v>1225</v>
      </c>
      <c r="I835" s="5" t="s">
        <v>3327</v>
      </c>
    </row>
    <row r="836" customFormat="false" ht="15" hidden="false" customHeight="false" outlineLevel="0" collapsed="false">
      <c r="A836" s="5" t="s">
        <v>4403</v>
      </c>
      <c r="B836" s="2" t="s">
        <v>4404</v>
      </c>
      <c r="C836" s="5" t="s">
        <v>2128</v>
      </c>
      <c r="D836" s="5" t="s">
        <v>60</v>
      </c>
      <c r="E836" s="5" t="s">
        <v>62</v>
      </c>
      <c r="F836" s="5" t="s">
        <v>7721</v>
      </c>
      <c r="G836" s="5" t="s">
        <v>7748</v>
      </c>
      <c r="H836" s="5"/>
      <c r="I836" s="5" t="s">
        <v>3906</v>
      </c>
    </row>
    <row r="837" customFormat="false" ht="23.85" hidden="false" customHeight="false" outlineLevel="0" collapsed="false">
      <c r="A837" s="5" t="s">
        <v>4408</v>
      </c>
      <c r="B837" s="2" t="s">
        <v>4409</v>
      </c>
      <c r="C837" s="5" t="s">
        <v>2128</v>
      </c>
      <c r="D837" s="5" t="s">
        <v>60</v>
      </c>
      <c r="E837" s="5" t="s">
        <v>62</v>
      </c>
      <c r="F837" s="5" t="s">
        <v>269</v>
      </c>
      <c r="G837" s="5" t="s">
        <v>7625</v>
      </c>
      <c r="H837" s="5" t="s">
        <v>192</v>
      </c>
      <c r="I837" s="5" t="s">
        <v>385</v>
      </c>
    </row>
    <row r="838" customFormat="false" ht="15" hidden="false" customHeight="false" outlineLevel="0" collapsed="false">
      <c r="A838" s="5" t="s">
        <v>4414</v>
      </c>
      <c r="B838" s="2" t="s">
        <v>4415</v>
      </c>
      <c r="C838" s="5" t="s">
        <v>2128</v>
      </c>
      <c r="D838" s="5" t="s">
        <v>60</v>
      </c>
      <c r="E838" s="5" t="s">
        <v>62</v>
      </c>
      <c r="F838" s="5" t="s">
        <v>269</v>
      </c>
      <c r="G838" s="5" t="s">
        <v>7746</v>
      </c>
      <c r="H838" s="5"/>
      <c r="I838" s="5" t="s">
        <v>1581</v>
      </c>
    </row>
    <row r="839" customFormat="false" ht="15" hidden="false" customHeight="false" outlineLevel="0" collapsed="false">
      <c r="A839" s="5" t="s">
        <v>4414</v>
      </c>
      <c r="B839" s="2" t="s">
        <v>4415</v>
      </c>
      <c r="C839" s="5" t="s">
        <v>2128</v>
      </c>
      <c r="D839" s="5" t="s">
        <v>60</v>
      </c>
      <c r="E839" s="5" t="s">
        <v>62</v>
      </c>
      <c r="F839" s="5" t="s">
        <v>269</v>
      </c>
      <c r="G839" s="5" t="s">
        <v>7747</v>
      </c>
      <c r="H839" s="5"/>
      <c r="I839" s="5" t="s">
        <v>1976</v>
      </c>
    </row>
    <row r="840" customFormat="false" ht="15" hidden="false" customHeight="false" outlineLevel="0" collapsed="false">
      <c r="A840" s="5" t="s">
        <v>4419</v>
      </c>
      <c r="B840" s="2" t="s">
        <v>4420</v>
      </c>
      <c r="C840" s="5" t="s">
        <v>2128</v>
      </c>
      <c r="D840" s="5" t="s">
        <v>60</v>
      </c>
      <c r="E840" s="5" t="s">
        <v>62</v>
      </c>
      <c r="F840" s="5" t="s">
        <v>7721</v>
      </c>
      <c r="G840" s="5" t="s">
        <v>7757</v>
      </c>
      <c r="H840" s="5"/>
      <c r="I840" s="5" t="s">
        <v>4421</v>
      </c>
    </row>
    <row r="841" customFormat="false" ht="15" hidden="false" customHeight="false" outlineLevel="0" collapsed="false">
      <c r="A841" s="5" t="s">
        <v>4426</v>
      </c>
      <c r="B841" s="2" t="s">
        <v>4427</v>
      </c>
      <c r="C841" s="5" t="s">
        <v>2128</v>
      </c>
      <c r="D841" s="5" t="s">
        <v>60</v>
      </c>
      <c r="E841" s="5" t="s">
        <v>62</v>
      </c>
      <c r="F841" s="5" t="s">
        <v>269</v>
      </c>
      <c r="G841" s="5" t="s">
        <v>7843</v>
      </c>
      <c r="H841" s="5"/>
      <c r="I841" s="5" t="s">
        <v>3500</v>
      </c>
    </row>
    <row r="842" customFormat="false" ht="15" hidden="false" customHeight="false" outlineLevel="0" collapsed="false">
      <c r="A842" s="5" t="s">
        <v>4426</v>
      </c>
      <c r="B842" s="2" t="s">
        <v>4427</v>
      </c>
      <c r="C842" s="5" t="s">
        <v>2128</v>
      </c>
      <c r="D842" s="5" t="s">
        <v>60</v>
      </c>
      <c r="E842" s="5" t="s">
        <v>62</v>
      </c>
      <c r="F842" s="5" t="s">
        <v>269</v>
      </c>
      <c r="G842" s="5" t="s">
        <v>7747</v>
      </c>
      <c r="H842" s="5"/>
      <c r="I842" s="5" t="s">
        <v>1976</v>
      </c>
    </row>
    <row r="843" customFormat="false" ht="23.85" hidden="false" customHeight="false" outlineLevel="0" collapsed="false">
      <c r="A843" s="5" t="s">
        <v>4434</v>
      </c>
      <c r="B843" s="2" t="s">
        <v>4435</v>
      </c>
      <c r="C843" s="5" t="s">
        <v>2128</v>
      </c>
      <c r="D843" s="5" t="s">
        <v>60</v>
      </c>
      <c r="E843" s="5" t="s">
        <v>62</v>
      </c>
      <c r="F843" s="5" t="s">
        <v>269</v>
      </c>
      <c r="G843" s="5" t="s">
        <v>7838</v>
      </c>
      <c r="H843" s="5"/>
      <c r="I843" s="5" t="s">
        <v>3381</v>
      </c>
    </row>
    <row r="844" customFormat="false" ht="23.85" hidden="false" customHeight="false" outlineLevel="0" collapsed="false">
      <c r="A844" s="5" t="s">
        <v>4439</v>
      </c>
      <c r="B844" s="2" t="s">
        <v>4440</v>
      </c>
      <c r="C844" s="5" t="s">
        <v>2128</v>
      </c>
      <c r="D844" s="5" t="s">
        <v>60</v>
      </c>
      <c r="E844" s="5" t="s">
        <v>62</v>
      </c>
      <c r="F844" s="5" t="s">
        <v>269</v>
      </c>
      <c r="G844" s="5" t="s">
        <v>7754</v>
      </c>
      <c r="H844" s="5"/>
      <c r="I844" s="5" t="s">
        <v>1612</v>
      </c>
    </row>
    <row r="845" customFormat="false" ht="15" hidden="false" customHeight="false" outlineLevel="0" collapsed="false">
      <c r="A845" s="5" t="s">
        <v>4444</v>
      </c>
      <c r="B845" s="2" t="s">
        <v>4445</v>
      </c>
      <c r="C845" s="5" t="s">
        <v>2128</v>
      </c>
      <c r="D845" s="5" t="s">
        <v>60</v>
      </c>
      <c r="E845" s="5" t="s">
        <v>62</v>
      </c>
      <c r="F845" s="5" t="s">
        <v>7667</v>
      </c>
      <c r="G845" s="5" t="s">
        <v>7668</v>
      </c>
      <c r="H845" s="5"/>
      <c r="I845" s="5" t="s">
        <v>416</v>
      </c>
    </row>
    <row r="846" customFormat="false" ht="15" hidden="false" customHeight="false" outlineLevel="0" collapsed="false">
      <c r="A846" s="5" t="s">
        <v>4449</v>
      </c>
      <c r="B846" s="2" t="s">
        <v>4450</v>
      </c>
      <c r="C846" s="5" t="s">
        <v>2245</v>
      </c>
      <c r="D846" s="5" t="s">
        <v>60</v>
      </c>
      <c r="E846" s="5" t="s">
        <v>62</v>
      </c>
      <c r="F846" s="5" t="s">
        <v>269</v>
      </c>
      <c r="G846" s="5" t="s">
        <v>7734</v>
      </c>
      <c r="H846" s="5"/>
      <c r="I846" s="5" t="s">
        <v>1198</v>
      </c>
    </row>
    <row r="847" customFormat="false" ht="23.85" hidden="false" customHeight="false" outlineLevel="0" collapsed="false">
      <c r="A847" s="5" t="s">
        <v>4454</v>
      </c>
      <c r="B847" s="2" t="s">
        <v>4455</v>
      </c>
      <c r="C847" s="5" t="s">
        <v>2128</v>
      </c>
      <c r="D847" s="5" t="s">
        <v>60</v>
      </c>
      <c r="E847" s="5" t="s">
        <v>62</v>
      </c>
      <c r="F847" s="5" t="s">
        <v>7721</v>
      </c>
      <c r="G847" s="5" t="s">
        <v>7819</v>
      </c>
      <c r="H847" s="5"/>
      <c r="I847" s="5" t="s">
        <v>4456</v>
      </c>
    </row>
    <row r="848" customFormat="false" ht="15" hidden="false" customHeight="false" outlineLevel="0" collapsed="false">
      <c r="A848" s="5" t="s">
        <v>4459</v>
      </c>
      <c r="B848" s="2" t="s">
        <v>4460</v>
      </c>
      <c r="C848" s="5" t="s">
        <v>2128</v>
      </c>
      <c r="D848" s="5" t="s">
        <v>60</v>
      </c>
      <c r="E848" s="5" t="s">
        <v>62</v>
      </c>
      <c r="F848" s="5" t="s">
        <v>7633</v>
      </c>
      <c r="G848" s="5" t="s">
        <v>7634</v>
      </c>
      <c r="H848" s="5" t="s">
        <v>309</v>
      </c>
      <c r="I848" s="5" t="s">
        <v>1105</v>
      </c>
    </row>
    <row r="849" customFormat="false" ht="23.85" hidden="false" customHeight="false" outlineLevel="0" collapsed="false">
      <c r="A849" s="5" t="s">
        <v>4464</v>
      </c>
      <c r="B849" s="2" t="s">
        <v>4465</v>
      </c>
      <c r="C849" s="5" t="s">
        <v>2128</v>
      </c>
      <c r="D849" s="5" t="s">
        <v>60</v>
      </c>
      <c r="E849" s="5" t="s">
        <v>62</v>
      </c>
      <c r="F849" s="5" t="s">
        <v>7633</v>
      </c>
      <c r="G849" s="5" t="s">
        <v>7733</v>
      </c>
      <c r="H849" s="5"/>
      <c r="I849" s="5" t="s">
        <v>1160</v>
      </c>
    </row>
    <row r="850" customFormat="false" ht="23.85" hidden="false" customHeight="false" outlineLevel="0" collapsed="false">
      <c r="A850" s="5" t="s">
        <v>4469</v>
      </c>
      <c r="B850" s="2" t="s">
        <v>4470</v>
      </c>
      <c r="C850" s="5" t="s">
        <v>2245</v>
      </c>
      <c r="D850" s="5" t="s">
        <v>60</v>
      </c>
      <c r="E850" s="5" t="s">
        <v>62</v>
      </c>
      <c r="F850" s="5" t="s">
        <v>7633</v>
      </c>
      <c r="G850" s="5" t="s">
        <v>7634</v>
      </c>
      <c r="H850" s="5" t="s">
        <v>309</v>
      </c>
      <c r="I850" s="5" t="s">
        <v>1105</v>
      </c>
    </row>
    <row r="851" customFormat="false" ht="23.85" hidden="false" customHeight="false" outlineLevel="0" collapsed="false">
      <c r="A851" s="5" t="s">
        <v>4474</v>
      </c>
      <c r="B851" s="2" t="s">
        <v>4475</v>
      </c>
      <c r="C851" s="5" t="s">
        <v>2245</v>
      </c>
      <c r="D851" s="5" t="s">
        <v>60</v>
      </c>
      <c r="E851" s="5" t="s">
        <v>62</v>
      </c>
      <c r="F851" s="5" t="s">
        <v>7633</v>
      </c>
      <c r="G851" s="5" t="s">
        <v>7835</v>
      </c>
      <c r="H851" s="5" t="s">
        <v>1225</v>
      </c>
      <c r="I851" s="5" t="s">
        <v>3327</v>
      </c>
    </row>
    <row r="852" customFormat="false" ht="23.85" hidden="false" customHeight="false" outlineLevel="0" collapsed="false">
      <c r="A852" s="5" t="s">
        <v>4479</v>
      </c>
      <c r="B852" s="2" t="s">
        <v>4480</v>
      </c>
      <c r="C852" s="5" t="s">
        <v>2128</v>
      </c>
      <c r="D852" s="5" t="s">
        <v>60</v>
      </c>
      <c r="E852" s="5" t="s">
        <v>62</v>
      </c>
      <c r="F852" s="5" t="s">
        <v>7633</v>
      </c>
      <c r="G852" s="5" t="s">
        <v>7634</v>
      </c>
      <c r="H852" s="5" t="s">
        <v>309</v>
      </c>
      <c r="I852" s="5" t="s">
        <v>1105</v>
      </c>
    </row>
    <row r="853" customFormat="false" ht="23.85" hidden="false" customHeight="false" outlineLevel="0" collapsed="false">
      <c r="A853" s="5" t="s">
        <v>4485</v>
      </c>
      <c r="B853" s="2" t="s">
        <v>4486</v>
      </c>
      <c r="C853" s="5" t="s">
        <v>2128</v>
      </c>
      <c r="D853" s="5" t="s">
        <v>60</v>
      </c>
      <c r="E853" s="5" t="s">
        <v>62</v>
      </c>
      <c r="F853" s="5" t="s">
        <v>7633</v>
      </c>
      <c r="G853" s="5" t="s">
        <v>7733</v>
      </c>
      <c r="H853" s="5"/>
      <c r="I853" s="5" t="s">
        <v>1160</v>
      </c>
    </row>
    <row r="854" customFormat="false" ht="23.85" hidden="false" customHeight="false" outlineLevel="0" collapsed="false">
      <c r="A854" s="5" t="s">
        <v>4490</v>
      </c>
      <c r="B854" s="2" t="s">
        <v>4491</v>
      </c>
      <c r="C854" s="5" t="s">
        <v>2128</v>
      </c>
      <c r="D854" s="5" t="s">
        <v>60</v>
      </c>
      <c r="E854" s="5" t="s">
        <v>62</v>
      </c>
      <c r="F854" s="5" t="s">
        <v>7633</v>
      </c>
      <c r="G854" s="5" t="s">
        <v>7634</v>
      </c>
      <c r="H854" s="5" t="s">
        <v>309</v>
      </c>
      <c r="I854" s="5" t="s">
        <v>1105</v>
      </c>
    </row>
    <row r="855" customFormat="false" ht="23.85" hidden="false" customHeight="false" outlineLevel="0" collapsed="false">
      <c r="A855" s="5" t="s">
        <v>4495</v>
      </c>
      <c r="B855" s="2" t="s">
        <v>4496</v>
      </c>
      <c r="C855" s="5" t="s">
        <v>2128</v>
      </c>
      <c r="D855" s="5" t="s">
        <v>60</v>
      </c>
      <c r="E855" s="5" t="s">
        <v>62</v>
      </c>
      <c r="F855" s="5" t="s">
        <v>7633</v>
      </c>
      <c r="G855" s="5" t="s">
        <v>7733</v>
      </c>
      <c r="H855" s="5"/>
      <c r="I855" s="5" t="s">
        <v>1160</v>
      </c>
    </row>
    <row r="856" customFormat="false" ht="23.85" hidden="false" customHeight="false" outlineLevel="0" collapsed="false">
      <c r="A856" s="5" t="s">
        <v>4500</v>
      </c>
      <c r="B856" s="2" t="s">
        <v>4501</v>
      </c>
      <c r="C856" s="5" t="s">
        <v>2128</v>
      </c>
      <c r="D856" s="5" t="s">
        <v>60</v>
      </c>
      <c r="E856" s="5" t="s">
        <v>62</v>
      </c>
      <c r="F856" s="5" t="s">
        <v>7633</v>
      </c>
      <c r="G856" s="5" t="s">
        <v>7634</v>
      </c>
      <c r="H856" s="5" t="s">
        <v>309</v>
      </c>
      <c r="I856" s="5" t="s">
        <v>1105</v>
      </c>
    </row>
    <row r="857" customFormat="false" ht="15" hidden="false" customHeight="false" outlineLevel="0" collapsed="false">
      <c r="A857" s="5" t="s">
        <v>4505</v>
      </c>
      <c r="B857" s="2" t="s">
        <v>4506</v>
      </c>
      <c r="C857" s="5" t="s">
        <v>2128</v>
      </c>
      <c r="D857" s="5" t="s">
        <v>60</v>
      </c>
      <c r="E857" s="5" t="s">
        <v>62</v>
      </c>
      <c r="F857" s="5" t="s">
        <v>7633</v>
      </c>
      <c r="G857" s="5" t="s">
        <v>7634</v>
      </c>
      <c r="H857" s="5" t="s">
        <v>309</v>
      </c>
      <c r="I857" s="5" t="s">
        <v>1105</v>
      </c>
    </row>
    <row r="858" customFormat="false" ht="15" hidden="false" customHeight="false" outlineLevel="0" collapsed="false">
      <c r="A858" s="5" t="s">
        <v>4511</v>
      </c>
      <c r="B858" s="2" t="s">
        <v>4512</v>
      </c>
      <c r="C858" s="5" t="s">
        <v>2128</v>
      </c>
      <c r="D858" s="5" t="s">
        <v>60</v>
      </c>
      <c r="E858" s="5" t="s">
        <v>62</v>
      </c>
      <c r="F858" s="5" t="s">
        <v>7633</v>
      </c>
      <c r="G858" s="5" t="s">
        <v>7634</v>
      </c>
      <c r="H858" s="5" t="s">
        <v>309</v>
      </c>
      <c r="I858" s="5" t="s">
        <v>1105</v>
      </c>
    </row>
    <row r="859" customFormat="false" ht="15" hidden="false" customHeight="false" outlineLevel="0" collapsed="false">
      <c r="A859" s="5" t="s">
        <v>4517</v>
      </c>
      <c r="B859" s="2" t="s">
        <v>4518</v>
      </c>
      <c r="C859" s="5" t="s">
        <v>2128</v>
      </c>
      <c r="D859" s="5" t="s">
        <v>60</v>
      </c>
      <c r="E859" s="5" t="s">
        <v>62</v>
      </c>
      <c r="F859" s="5" t="s">
        <v>7633</v>
      </c>
      <c r="G859" s="5" t="s">
        <v>7634</v>
      </c>
      <c r="H859" s="5" t="s">
        <v>309</v>
      </c>
      <c r="I859" s="5" t="s">
        <v>1105</v>
      </c>
    </row>
    <row r="860" customFormat="false" ht="23.85" hidden="false" customHeight="false" outlineLevel="0" collapsed="false">
      <c r="A860" s="5" t="s">
        <v>4522</v>
      </c>
      <c r="B860" s="2" t="s">
        <v>4523</v>
      </c>
      <c r="C860" s="5" t="s">
        <v>2128</v>
      </c>
      <c r="D860" s="5" t="s">
        <v>60</v>
      </c>
      <c r="E860" s="5" t="s">
        <v>62</v>
      </c>
      <c r="F860" s="5" t="s">
        <v>7633</v>
      </c>
      <c r="G860" s="5" t="s">
        <v>7733</v>
      </c>
      <c r="H860" s="5"/>
      <c r="I860" s="5" t="s">
        <v>1160</v>
      </c>
    </row>
    <row r="861" customFormat="false" ht="15" hidden="false" customHeight="false" outlineLevel="0" collapsed="false">
      <c r="A861" s="5" t="s">
        <v>4527</v>
      </c>
      <c r="B861" s="2" t="s">
        <v>4528</v>
      </c>
      <c r="C861" s="5" t="s">
        <v>2128</v>
      </c>
      <c r="D861" s="5" t="s">
        <v>60</v>
      </c>
      <c r="E861" s="5" t="s">
        <v>62</v>
      </c>
      <c r="F861" s="5" t="s">
        <v>7633</v>
      </c>
      <c r="G861" s="5" t="s">
        <v>7733</v>
      </c>
      <c r="H861" s="5"/>
      <c r="I861" s="5" t="s">
        <v>1160</v>
      </c>
    </row>
    <row r="862" customFormat="false" ht="15" hidden="false" customHeight="false" outlineLevel="0" collapsed="false">
      <c r="A862" s="5" t="s">
        <v>4532</v>
      </c>
      <c r="B862" s="2" t="s">
        <v>4533</v>
      </c>
      <c r="C862" s="5" t="s">
        <v>2128</v>
      </c>
      <c r="D862" s="5" t="s">
        <v>60</v>
      </c>
      <c r="E862" s="5" t="s">
        <v>62</v>
      </c>
      <c r="F862" s="5" t="s">
        <v>7633</v>
      </c>
      <c r="G862" s="5" t="s">
        <v>7634</v>
      </c>
      <c r="H862" s="5" t="s">
        <v>309</v>
      </c>
      <c r="I862" s="5" t="s">
        <v>1105</v>
      </c>
    </row>
    <row r="863" customFormat="false" ht="23.85" hidden="false" customHeight="false" outlineLevel="0" collapsed="false">
      <c r="A863" s="5" t="s">
        <v>4537</v>
      </c>
      <c r="B863" s="2" t="s">
        <v>4538</v>
      </c>
      <c r="C863" s="5" t="s">
        <v>2128</v>
      </c>
      <c r="D863" s="5" t="s">
        <v>60</v>
      </c>
      <c r="E863" s="5" t="s">
        <v>62</v>
      </c>
      <c r="F863" s="5" t="s">
        <v>7633</v>
      </c>
      <c r="G863" s="5" t="s">
        <v>7735</v>
      </c>
      <c r="H863" s="5"/>
      <c r="I863" s="5" t="s">
        <v>1212</v>
      </c>
    </row>
    <row r="864" customFormat="false" ht="23.85" hidden="false" customHeight="false" outlineLevel="0" collapsed="false">
      <c r="A864" s="5" t="s">
        <v>4542</v>
      </c>
      <c r="B864" s="2" t="s">
        <v>4543</v>
      </c>
      <c r="C864" s="5" t="s">
        <v>2128</v>
      </c>
      <c r="D864" s="5" t="s">
        <v>60</v>
      </c>
      <c r="E864" s="5" t="s">
        <v>62</v>
      </c>
      <c r="F864" s="5" t="s">
        <v>7633</v>
      </c>
      <c r="G864" s="5" t="s">
        <v>7733</v>
      </c>
      <c r="H864" s="5"/>
      <c r="I864" s="5" t="s">
        <v>1160</v>
      </c>
    </row>
    <row r="865" customFormat="false" ht="23.85" hidden="false" customHeight="false" outlineLevel="0" collapsed="false">
      <c r="A865" s="5" t="s">
        <v>4547</v>
      </c>
      <c r="B865" s="2" t="s">
        <v>4548</v>
      </c>
      <c r="C865" s="5" t="s">
        <v>2128</v>
      </c>
      <c r="D865" s="5" t="s">
        <v>60</v>
      </c>
      <c r="E865" s="5" t="s">
        <v>62</v>
      </c>
      <c r="F865" s="5" t="s">
        <v>7633</v>
      </c>
      <c r="G865" s="5" t="s">
        <v>7634</v>
      </c>
      <c r="H865" s="5" t="s">
        <v>309</v>
      </c>
      <c r="I865" s="5" t="s">
        <v>1105</v>
      </c>
    </row>
    <row r="866" customFormat="false" ht="23.85" hidden="false" customHeight="false" outlineLevel="0" collapsed="false">
      <c r="A866" s="5" t="s">
        <v>4553</v>
      </c>
      <c r="B866" s="2" t="s">
        <v>4554</v>
      </c>
      <c r="C866" s="5" t="s">
        <v>2128</v>
      </c>
      <c r="D866" s="5" t="s">
        <v>60</v>
      </c>
      <c r="E866" s="5" t="s">
        <v>62</v>
      </c>
      <c r="F866" s="5" t="s">
        <v>7633</v>
      </c>
      <c r="G866" s="5" t="s">
        <v>7733</v>
      </c>
      <c r="H866" s="5"/>
      <c r="I866" s="5" t="s">
        <v>1160</v>
      </c>
    </row>
    <row r="867" customFormat="false" ht="23.85" hidden="false" customHeight="false" outlineLevel="0" collapsed="false">
      <c r="A867" s="5" t="s">
        <v>4558</v>
      </c>
      <c r="B867" s="2" t="s">
        <v>4559</v>
      </c>
      <c r="C867" s="5" t="s">
        <v>2128</v>
      </c>
      <c r="D867" s="5" t="s">
        <v>60</v>
      </c>
      <c r="E867" s="5" t="s">
        <v>62</v>
      </c>
      <c r="F867" s="5" t="s">
        <v>7633</v>
      </c>
      <c r="G867" s="5" t="s">
        <v>7634</v>
      </c>
      <c r="H867" s="5" t="s">
        <v>309</v>
      </c>
      <c r="I867" s="5" t="s">
        <v>1105</v>
      </c>
    </row>
    <row r="868" customFormat="false" ht="15" hidden="false" customHeight="false" outlineLevel="0" collapsed="false">
      <c r="A868" s="5" t="s">
        <v>4564</v>
      </c>
      <c r="B868" s="2" t="s">
        <v>4565</v>
      </c>
      <c r="C868" s="5" t="s">
        <v>2128</v>
      </c>
      <c r="D868" s="5" t="s">
        <v>60</v>
      </c>
      <c r="E868" s="5" t="s">
        <v>62</v>
      </c>
      <c r="F868" s="5" t="s">
        <v>7633</v>
      </c>
      <c r="G868" s="5" t="s">
        <v>7634</v>
      </c>
      <c r="H868" s="5" t="s">
        <v>309</v>
      </c>
      <c r="I868" s="5" t="s">
        <v>1105</v>
      </c>
    </row>
    <row r="869" customFormat="false" ht="23.85" hidden="false" customHeight="false" outlineLevel="0" collapsed="false">
      <c r="A869" s="5" t="s">
        <v>4569</v>
      </c>
      <c r="B869" s="2" t="s">
        <v>4570</v>
      </c>
      <c r="C869" s="5" t="s">
        <v>2128</v>
      </c>
      <c r="D869" s="5" t="s">
        <v>60</v>
      </c>
      <c r="E869" s="5" t="s">
        <v>62</v>
      </c>
      <c r="F869" s="5" t="s">
        <v>7633</v>
      </c>
      <c r="G869" s="5" t="s">
        <v>7733</v>
      </c>
      <c r="H869" s="5"/>
      <c r="I869" s="5" t="s">
        <v>1160</v>
      </c>
    </row>
    <row r="870" customFormat="false" ht="23.85" hidden="false" customHeight="false" outlineLevel="0" collapsed="false">
      <c r="A870" s="5" t="s">
        <v>4574</v>
      </c>
      <c r="B870" s="2" t="s">
        <v>4575</v>
      </c>
      <c r="C870" s="5" t="s">
        <v>2245</v>
      </c>
      <c r="D870" s="5" t="s">
        <v>60</v>
      </c>
      <c r="E870" s="5" t="s">
        <v>62</v>
      </c>
      <c r="F870" s="5" t="s">
        <v>7633</v>
      </c>
      <c r="G870" s="5" t="s">
        <v>7634</v>
      </c>
      <c r="H870" s="5" t="s">
        <v>309</v>
      </c>
      <c r="I870" s="5" t="s">
        <v>1105</v>
      </c>
    </row>
    <row r="871" customFormat="false" ht="23.85" hidden="false" customHeight="false" outlineLevel="0" collapsed="false">
      <c r="A871" s="5" t="s">
        <v>4580</v>
      </c>
      <c r="B871" s="2" t="s">
        <v>4581</v>
      </c>
      <c r="C871" s="5" t="s">
        <v>2245</v>
      </c>
      <c r="D871" s="5" t="s">
        <v>60</v>
      </c>
      <c r="E871" s="5" t="s">
        <v>62</v>
      </c>
      <c r="F871" s="5" t="s">
        <v>7633</v>
      </c>
      <c r="G871" s="5" t="s">
        <v>7835</v>
      </c>
      <c r="H871" s="5" t="s">
        <v>1225</v>
      </c>
      <c r="I871" s="5" t="s">
        <v>3327</v>
      </c>
    </row>
    <row r="872" customFormat="false" ht="23.85" hidden="false" customHeight="false" outlineLevel="0" collapsed="false">
      <c r="A872" s="5" t="s">
        <v>4585</v>
      </c>
      <c r="B872" s="2" t="s">
        <v>4586</v>
      </c>
      <c r="C872" s="5" t="s">
        <v>2128</v>
      </c>
      <c r="D872" s="5" t="s">
        <v>60</v>
      </c>
      <c r="E872" s="5" t="s">
        <v>62</v>
      </c>
      <c r="F872" s="5" t="s">
        <v>7633</v>
      </c>
      <c r="G872" s="5" t="s">
        <v>7659</v>
      </c>
      <c r="H872" s="5" t="s">
        <v>372</v>
      </c>
      <c r="I872" s="5" t="s">
        <v>368</v>
      </c>
    </row>
    <row r="873" customFormat="false" ht="15" hidden="false" customHeight="false" outlineLevel="0" collapsed="false">
      <c r="A873" s="5" t="s">
        <v>4591</v>
      </c>
      <c r="B873" s="2" t="s">
        <v>4592</v>
      </c>
      <c r="C873" s="5" t="s">
        <v>2245</v>
      </c>
      <c r="D873" s="5" t="s">
        <v>60</v>
      </c>
      <c r="E873" s="5" t="s">
        <v>62</v>
      </c>
      <c r="F873" s="5" t="s">
        <v>7633</v>
      </c>
      <c r="G873" s="5" t="s">
        <v>7835</v>
      </c>
      <c r="H873" s="5" t="s">
        <v>1225</v>
      </c>
      <c r="I873" s="5" t="s">
        <v>3327</v>
      </c>
    </row>
    <row r="874" customFormat="false" ht="15" hidden="false" customHeight="false" outlineLevel="0" collapsed="false">
      <c r="A874" s="5" t="s">
        <v>4596</v>
      </c>
      <c r="B874" s="2" t="s">
        <v>4597</v>
      </c>
      <c r="C874" s="5" t="s">
        <v>2128</v>
      </c>
      <c r="D874" s="5" t="s">
        <v>60</v>
      </c>
      <c r="E874" s="5" t="s">
        <v>62</v>
      </c>
      <c r="F874" s="5" t="s">
        <v>7633</v>
      </c>
      <c r="G874" s="5" t="s">
        <v>7634</v>
      </c>
      <c r="H874" s="5" t="s">
        <v>309</v>
      </c>
      <c r="I874" s="5" t="s">
        <v>1105</v>
      </c>
    </row>
    <row r="875" customFormat="false" ht="15" hidden="false" customHeight="false" outlineLevel="0" collapsed="false">
      <c r="A875" s="5" t="s">
        <v>4602</v>
      </c>
      <c r="B875" s="2" t="s">
        <v>4603</v>
      </c>
      <c r="C875" s="5" t="s">
        <v>2245</v>
      </c>
      <c r="D875" s="5" t="s">
        <v>60</v>
      </c>
      <c r="E875" s="5" t="s">
        <v>62</v>
      </c>
      <c r="F875" s="5" t="s">
        <v>7633</v>
      </c>
      <c r="G875" s="5" t="s">
        <v>7835</v>
      </c>
      <c r="H875" s="5" t="s">
        <v>1225</v>
      </c>
      <c r="I875" s="5" t="s">
        <v>3327</v>
      </c>
    </row>
    <row r="876" customFormat="false" ht="15" hidden="false" customHeight="false" outlineLevel="0" collapsed="false">
      <c r="A876" s="5" t="s">
        <v>4607</v>
      </c>
      <c r="B876" s="2" t="s">
        <v>4608</v>
      </c>
      <c r="C876" s="5" t="s">
        <v>2128</v>
      </c>
      <c r="D876" s="5" t="s">
        <v>60</v>
      </c>
      <c r="E876" s="5" t="s">
        <v>62</v>
      </c>
      <c r="F876" s="5" t="s">
        <v>7633</v>
      </c>
      <c r="G876" s="5" t="s">
        <v>7736</v>
      </c>
      <c r="H876" s="5" t="s">
        <v>1225</v>
      </c>
      <c r="I876" s="5" t="s">
        <v>1221</v>
      </c>
    </row>
    <row r="877" customFormat="false" ht="15" hidden="false" customHeight="false" outlineLevel="0" collapsed="false">
      <c r="A877" s="5" t="s">
        <v>4612</v>
      </c>
      <c r="B877" s="2" t="s">
        <v>4613</v>
      </c>
      <c r="C877" s="5" t="s">
        <v>2128</v>
      </c>
      <c r="D877" s="5" t="s">
        <v>60</v>
      </c>
      <c r="E877" s="5" t="s">
        <v>62</v>
      </c>
      <c r="F877" s="5" t="s">
        <v>7633</v>
      </c>
      <c r="G877" s="5" t="s">
        <v>7634</v>
      </c>
      <c r="H877" s="5" t="s">
        <v>309</v>
      </c>
      <c r="I877" s="5" t="s">
        <v>1105</v>
      </c>
    </row>
    <row r="878" customFormat="false" ht="15" hidden="false" customHeight="false" outlineLevel="0" collapsed="false">
      <c r="A878" s="5" t="s">
        <v>4617</v>
      </c>
      <c r="B878" s="2" t="s">
        <v>4618</v>
      </c>
      <c r="C878" s="5" t="s">
        <v>2245</v>
      </c>
      <c r="D878" s="5" t="s">
        <v>60</v>
      </c>
      <c r="E878" s="5" t="s">
        <v>62</v>
      </c>
      <c r="F878" s="5" t="s">
        <v>7633</v>
      </c>
      <c r="G878" s="5" t="s">
        <v>7835</v>
      </c>
      <c r="H878" s="5" t="s">
        <v>1225</v>
      </c>
      <c r="I878" s="5" t="s">
        <v>3327</v>
      </c>
    </row>
    <row r="879" customFormat="false" ht="15" hidden="false" customHeight="false" outlineLevel="0" collapsed="false">
      <c r="A879" s="5" t="s">
        <v>4622</v>
      </c>
      <c r="B879" s="2" t="s">
        <v>4623</v>
      </c>
      <c r="C879" s="5" t="s">
        <v>2245</v>
      </c>
      <c r="D879" s="5" t="s">
        <v>60</v>
      </c>
      <c r="E879" s="5" t="s">
        <v>62</v>
      </c>
      <c r="F879" s="5" t="s">
        <v>7633</v>
      </c>
      <c r="G879" s="5" t="s">
        <v>7835</v>
      </c>
      <c r="H879" s="5" t="s">
        <v>1225</v>
      </c>
      <c r="I879" s="5" t="s">
        <v>3327</v>
      </c>
    </row>
    <row r="880" customFormat="false" ht="15" hidden="false" customHeight="false" outlineLevel="0" collapsed="false">
      <c r="A880" s="5" t="s">
        <v>4627</v>
      </c>
      <c r="B880" s="2" t="s">
        <v>4628</v>
      </c>
      <c r="C880" s="5" t="s">
        <v>2245</v>
      </c>
      <c r="D880" s="5" t="s">
        <v>60</v>
      </c>
      <c r="E880" s="5" t="s">
        <v>62</v>
      </c>
      <c r="F880" s="5" t="s">
        <v>7633</v>
      </c>
      <c r="G880" s="5" t="s">
        <v>7835</v>
      </c>
      <c r="H880" s="5" t="s">
        <v>1225</v>
      </c>
      <c r="I880" s="5" t="s">
        <v>3327</v>
      </c>
    </row>
    <row r="881" customFormat="false" ht="23.85" hidden="false" customHeight="false" outlineLevel="0" collapsed="false">
      <c r="A881" s="5" t="s">
        <v>4632</v>
      </c>
      <c r="B881" s="2" t="s">
        <v>4633</v>
      </c>
      <c r="C881" s="5" t="s">
        <v>2128</v>
      </c>
      <c r="D881" s="5" t="s">
        <v>60</v>
      </c>
      <c r="E881" s="5" t="s">
        <v>62</v>
      </c>
      <c r="F881" s="5" t="s">
        <v>269</v>
      </c>
      <c r="G881" s="5" t="s">
        <v>7873</v>
      </c>
      <c r="H881" s="5"/>
      <c r="I881" s="5" t="s">
        <v>4635</v>
      </c>
    </row>
    <row r="882" customFormat="false" ht="23.85" hidden="false" customHeight="false" outlineLevel="0" collapsed="false">
      <c r="A882" s="5" t="s">
        <v>4641</v>
      </c>
      <c r="B882" s="2" t="s">
        <v>4642</v>
      </c>
      <c r="C882" s="5" t="s">
        <v>2128</v>
      </c>
      <c r="D882" s="5" t="s">
        <v>60</v>
      </c>
      <c r="E882" s="5" t="s">
        <v>62</v>
      </c>
      <c r="F882" s="5" t="s">
        <v>7721</v>
      </c>
      <c r="G882" s="5" t="s">
        <v>7819</v>
      </c>
      <c r="H882" s="5"/>
      <c r="I882" s="5" t="s">
        <v>7874</v>
      </c>
    </row>
    <row r="883" customFormat="false" ht="23.85" hidden="false" customHeight="false" outlineLevel="0" collapsed="false">
      <c r="A883" s="5" t="s">
        <v>4648</v>
      </c>
      <c r="B883" s="2" t="s">
        <v>4649</v>
      </c>
      <c r="C883" s="5" t="s">
        <v>2128</v>
      </c>
      <c r="D883" s="5" t="s">
        <v>60</v>
      </c>
      <c r="E883" s="5" t="s">
        <v>62</v>
      </c>
      <c r="F883" s="5" t="s">
        <v>7633</v>
      </c>
      <c r="G883" s="5" t="s">
        <v>7837</v>
      </c>
      <c r="H883" s="5"/>
      <c r="I883" s="5" t="s">
        <v>3373</v>
      </c>
    </row>
    <row r="884" customFormat="false" ht="23.85" hidden="false" customHeight="false" outlineLevel="0" collapsed="false">
      <c r="A884" s="5" t="s">
        <v>4654</v>
      </c>
      <c r="B884" s="2" t="s">
        <v>4655</v>
      </c>
      <c r="C884" s="5" t="s">
        <v>2245</v>
      </c>
      <c r="D884" s="5" t="s">
        <v>60</v>
      </c>
      <c r="E884" s="5" t="s">
        <v>62</v>
      </c>
      <c r="F884" s="5" t="s">
        <v>269</v>
      </c>
      <c r="G884" s="5" t="s">
        <v>7865</v>
      </c>
      <c r="H884" s="5"/>
      <c r="I884" s="5" t="s">
        <v>4133</v>
      </c>
    </row>
    <row r="885" customFormat="false" ht="23.85" hidden="false" customHeight="false" outlineLevel="0" collapsed="false">
      <c r="A885" s="5" t="s">
        <v>4660</v>
      </c>
      <c r="B885" s="2" t="s">
        <v>4661</v>
      </c>
      <c r="C885" s="5" t="s">
        <v>2128</v>
      </c>
      <c r="D885" s="5" t="s">
        <v>60</v>
      </c>
      <c r="E885" s="5" t="s">
        <v>62</v>
      </c>
      <c r="F885" s="5" t="s">
        <v>7721</v>
      </c>
      <c r="G885" s="5" t="s">
        <v>64</v>
      </c>
      <c r="H885" s="5"/>
      <c r="I885" s="5" t="s">
        <v>7860</v>
      </c>
    </row>
    <row r="886" customFormat="false" ht="23.85" hidden="false" customHeight="false" outlineLevel="0" collapsed="false">
      <c r="A886" s="5" t="s">
        <v>4665</v>
      </c>
      <c r="B886" s="2" t="s">
        <v>4666</v>
      </c>
      <c r="C886" s="5" t="s">
        <v>2245</v>
      </c>
      <c r="D886" s="5" t="s">
        <v>60</v>
      </c>
      <c r="E886" s="5" t="s">
        <v>62</v>
      </c>
      <c r="F886" s="5" t="s">
        <v>7633</v>
      </c>
      <c r="G886" s="5" t="s">
        <v>7634</v>
      </c>
      <c r="H886" s="5" t="s">
        <v>309</v>
      </c>
      <c r="I886" s="5" t="s">
        <v>1105</v>
      </c>
    </row>
    <row r="887" customFormat="false" ht="15" hidden="false" customHeight="false" outlineLevel="0" collapsed="false">
      <c r="A887" s="5" t="s">
        <v>4670</v>
      </c>
      <c r="B887" s="2" t="s">
        <v>4671</v>
      </c>
      <c r="C887" s="5" t="s">
        <v>2245</v>
      </c>
      <c r="D887" s="5" t="s">
        <v>60</v>
      </c>
      <c r="E887" s="5" t="s">
        <v>490</v>
      </c>
      <c r="F887" s="5" t="s">
        <v>269</v>
      </c>
      <c r="G887" s="5" t="s">
        <v>7875</v>
      </c>
      <c r="H887" s="5" t="s">
        <v>1537</v>
      </c>
      <c r="I887" s="5" t="s">
        <v>7876</v>
      </c>
    </row>
    <row r="888" customFormat="false" ht="15" hidden="false" customHeight="false" outlineLevel="0" collapsed="false">
      <c r="A888" s="5" t="s">
        <v>4670</v>
      </c>
      <c r="B888" s="2" t="s">
        <v>4671</v>
      </c>
      <c r="C888" s="5" t="s">
        <v>2245</v>
      </c>
      <c r="D888" s="5" t="s">
        <v>60</v>
      </c>
      <c r="E888" s="5" t="s">
        <v>490</v>
      </c>
      <c r="F888" s="5" t="s">
        <v>269</v>
      </c>
      <c r="G888" s="5" t="s">
        <v>7877</v>
      </c>
      <c r="H888" s="5"/>
      <c r="I888" s="5" t="s">
        <v>7878</v>
      </c>
    </row>
    <row r="889" customFormat="false" ht="23.85" hidden="false" customHeight="false" outlineLevel="0" collapsed="false">
      <c r="A889" s="5" t="s">
        <v>4676</v>
      </c>
      <c r="B889" s="2" t="s">
        <v>4677</v>
      </c>
      <c r="C889" s="5" t="s">
        <v>2245</v>
      </c>
      <c r="D889" s="5" t="s">
        <v>60</v>
      </c>
      <c r="E889" s="5" t="s">
        <v>62</v>
      </c>
      <c r="F889" s="5" t="s">
        <v>269</v>
      </c>
      <c r="G889" s="5" t="s">
        <v>7724</v>
      </c>
      <c r="H889" s="5" t="s">
        <v>192</v>
      </c>
      <c r="I889" s="5" t="s">
        <v>3060</v>
      </c>
    </row>
    <row r="890" customFormat="false" ht="23.85" hidden="false" customHeight="false" outlineLevel="0" collapsed="false">
      <c r="A890" s="5" t="s">
        <v>4683</v>
      </c>
      <c r="B890" s="2" t="s">
        <v>4684</v>
      </c>
      <c r="C890" s="5" t="s">
        <v>2245</v>
      </c>
      <c r="D890" s="5" t="s">
        <v>60</v>
      </c>
      <c r="E890" s="5" t="s">
        <v>490</v>
      </c>
      <c r="F890" s="5" t="s">
        <v>7633</v>
      </c>
      <c r="G890" s="5" t="s">
        <v>7835</v>
      </c>
      <c r="H890" s="5" t="s">
        <v>1225</v>
      </c>
      <c r="I890" s="5" t="s">
        <v>3327</v>
      </c>
    </row>
    <row r="891" customFormat="false" ht="23.85" hidden="false" customHeight="false" outlineLevel="0" collapsed="false">
      <c r="A891" s="5" t="s">
        <v>4688</v>
      </c>
      <c r="B891" s="2" t="s">
        <v>4689</v>
      </c>
      <c r="C891" s="5" t="s">
        <v>2245</v>
      </c>
      <c r="D891" s="5" t="s">
        <v>60</v>
      </c>
      <c r="E891" s="5" t="s">
        <v>490</v>
      </c>
      <c r="F891" s="5" t="s">
        <v>7633</v>
      </c>
      <c r="G891" s="5" t="s">
        <v>7634</v>
      </c>
      <c r="H891" s="5" t="s">
        <v>309</v>
      </c>
      <c r="I891" s="5" t="s">
        <v>1105</v>
      </c>
    </row>
    <row r="892" customFormat="false" ht="23.85" hidden="false" customHeight="false" outlineLevel="0" collapsed="false">
      <c r="A892" s="5" t="s">
        <v>4693</v>
      </c>
      <c r="B892" s="2" t="s">
        <v>4694</v>
      </c>
      <c r="C892" s="5" t="s">
        <v>2245</v>
      </c>
      <c r="D892" s="5" t="s">
        <v>60</v>
      </c>
      <c r="E892" s="5" t="s">
        <v>490</v>
      </c>
      <c r="F892" s="5" t="s">
        <v>7633</v>
      </c>
      <c r="G892" s="5" t="s">
        <v>7736</v>
      </c>
      <c r="H892" s="5" t="s">
        <v>1225</v>
      </c>
      <c r="I892" s="5" t="s">
        <v>4695</v>
      </c>
    </row>
    <row r="893" customFormat="false" ht="23.85" hidden="false" customHeight="false" outlineLevel="0" collapsed="false">
      <c r="A893" s="5" t="s">
        <v>4699</v>
      </c>
      <c r="B893" s="2" t="s">
        <v>4700</v>
      </c>
      <c r="C893" s="5" t="s">
        <v>2245</v>
      </c>
      <c r="D893" s="5" t="s">
        <v>60</v>
      </c>
      <c r="E893" s="5" t="s">
        <v>490</v>
      </c>
      <c r="F893" s="5" t="s">
        <v>269</v>
      </c>
      <c r="G893" s="5" t="s">
        <v>7637</v>
      </c>
      <c r="H893" s="5" t="s">
        <v>214</v>
      </c>
      <c r="I893" s="5" t="s">
        <v>210</v>
      </c>
    </row>
    <row r="894" customFormat="false" ht="23.85" hidden="false" customHeight="false" outlineLevel="0" collapsed="false">
      <c r="A894" s="5" t="s">
        <v>4705</v>
      </c>
      <c r="B894" s="2" t="s">
        <v>4706</v>
      </c>
      <c r="C894" s="5" t="s">
        <v>2245</v>
      </c>
      <c r="D894" s="5" t="s">
        <v>60</v>
      </c>
      <c r="E894" s="5" t="s">
        <v>490</v>
      </c>
      <c r="F894" s="5" t="s">
        <v>7633</v>
      </c>
      <c r="G894" s="5" t="s">
        <v>7634</v>
      </c>
      <c r="H894" s="5" t="s">
        <v>309</v>
      </c>
      <c r="I894" s="5" t="s">
        <v>1105</v>
      </c>
    </row>
    <row r="895" customFormat="false" ht="23.85" hidden="false" customHeight="false" outlineLevel="0" collapsed="false">
      <c r="A895" s="5" t="s">
        <v>4710</v>
      </c>
      <c r="B895" s="2" t="s">
        <v>4711</v>
      </c>
      <c r="C895" s="5" t="s">
        <v>2245</v>
      </c>
      <c r="D895" s="5" t="s">
        <v>60</v>
      </c>
      <c r="E895" s="5" t="s">
        <v>62</v>
      </c>
      <c r="F895" s="5" t="s">
        <v>269</v>
      </c>
      <c r="G895" s="5" t="s">
        <v>7843</v>
      </c>
      <c r="H895" s="5"/>
      <c r="I895" s="5" t="s">
        <v>3500</v>
      </c>
    </row>
    <row r="896" customFormat="false" ht="23.85" hidden="false" customHeight="false" outlineLevel="0" collapsed="false">
      <c r="A896" s="5" t="s">
        <v>4715</v>
      </c>
      <c r="B896" s="2" t="s">
        <v>4716</v>
      </c>
      <c r="C896" s="5" t="s">
        <v>2245</v>
      </c>
      <c r="D896" s="5" t="s">
        <v>60</v>
      </c>
      <c r="E896" s="5" t="s">
        <v>62</v>
      </c>
      <c r="F896" s="5" t="s">
        <v>269</v>
      </c>
      <c r="G896" s="5" t="s">
        <v>7746</v>
      </c>
      <c r="H896" s="5"/>
      <c r="I896" s="5" t="s">
        <v>1581</v>
      </c>
    </row>
    <row r="897" customFormat="false" ht="23.85" hidden="false" customHeight="false" outlineLevel="0" collapsed="false">
      <c r="A897" s="5" t="s">
        <v>4715</v>
      </c>
      <c r="B897" s="2" t="s">
        <v>4716</v>
      </c>
      <c r="C897" s="5" t="s">
        <v>2245</v>
      </c>
      <c r="D897" s="5" t="s">
        <v>60</v>
      </c>
      <c r="E897" s="5" t="s">
        <v>62</v>
      </c>
      <c r="F897" s="5" t="s">
        <v>269</v>
      </c>
      <c r="G897" s="5" t="s">
        <v>7747</v>
      </c>
      <c r="H897" s="5"/>
      <c r="I897" s="5" t="s">
        <v>1976</v>
      </c>
    </row>
    <row r="898" customFormat="false" ht="23.85" hidden="false" customHeight="false" outlineLevel="0" collapsed="false">
      <c r="A898" s="5" t="s">
        <v>4720</v>
      </c>
      <c r="B898" s="2" t="s">
        <v>4721</v>
      </c>
      <c r="C898" s="5" t="s">
        <v>2128</v>
      </c>
      <c r="D898" s="5" t="s">
        <v>60</v>
      </c>
      <c r="E898" s="5" t="s">
        <v>62</v>
      </c>
      <c r="F898" s="5" t="s">
        <v>7721</v>
      </c>
      <c r="G898" s="5" t="s">
        <v>7819</v>
      </c>
      <c r="H898" s="5"/>
      <c r="I898" s="5" t="s">
        <v>7879</v>
      </c>
    </row>
    <row r="899" customFormat="false" ht="15" hidden="false" customHeight="false" outlineLevel="0" collapsed="false">
      <c r="A899" s="5" t="s">
        <v>4725</v>
      </c>
      <c r="B899" s="2" t="s">
        <v>4726</v>
      </c>
      <c r="C899" s="5" t="s">
        <v>2245</v>
      </c>
      <c r="D899" s="5" t="s">
        <v>60</v>
      </c>
      <c r="E899" s="5" t="s">
        <v>62</v>
      </c>
      <c r="F899" s="5" t="s">
        <v>269</v>
      </c>
      <c r="G899" s="5" t="s">
        <v>7798</v>
      </c>
      <c r="H899" s="5"/>
      <c r="I899" s="5" t="s">
        <v>3745</v>
      </c>
    </row>
    <row r="900" customFormat="false" ht="23.85" hidden="false" customHeight="false" outlineLevel="0" collapsed="false">
      <c r="A900" s="5" t="s">
        <v>4730</v>
      </c>
      <c r="B900" s="2" t="s">
        <v>4731</v>
      </c>
      <c r="C900" s="5" t="s">
        <v>2245</v>
      </c>
      <c r="D900" s="5" t="s">
        <v>60</v>
      </c>
      <c r="E900" s="5" t="s">
        <v>62</v>
      </c>
      <c r="F900" s="5" t="s">
        <v>269</v>
      </c>
      <c r="G900" s="5" t="s">
        <v>7880</v>
      </c>
      <c r="H900" s="5"/>
      <c r="I900" s="5" t="s">
        <v>4732</v>
      </c>
    </row>
    <row r="901" customFormat="false" ht="23.85" hidden="false" customHeight="false" outlineLevel="0" collapsed="false">
      <c r="A901" s="5" t="s">
        <v>4737</v>
      </c>
      <c r="B901" s="2" t="s">
        <v>4738</v>
      </c>
      <c r="C901" s="5" t="s">
        <v>2128</v>
      </c>
      <c r="D901" s="5" t="s">
        <v>60</v>
      </c>
      <c r="E901" s="5" t="s">
        <v>62</v>
      </c>
      <c r="F901" s="5" t="s">
        <v>7721</v>
      </c>
      <c r="G901" s="5" t="s">
        <v>7819</v>
      </c>
      <c r="H901" s="5"/>
      <c r="I901" s="5" t="s">
        <v>7881</v>
      </c>
    </row>
    <row r="902" customFormat="false" ht="23.85" hidden="false" customHeight="false" outlineLevel="0" collapsed="false">
      <c r="A902" s="5" t="s">
        <v>4742</v>
      </c>
      <c r="B902" s="2" t="s">
        <v>4743</v>
      </c>
      <c r="C902" s="5" t="s">
        <v>2128</v>
      </c>
      <c r="D902" s="5" t="s">
        <v>60</v>
      </c>
      <c r="E902" s="5" t="s">
        <v>62</v>
      </c>
      <c r="F902" s="5" t="s">
        <v>269</v>
      </c>
      <c r="G902" s="5" t="s">
        <v>7754</v>
      </c>
      <c r="H902" s="5"/>
      <c r="I902" s="5" t="s">
        <v>1612</v>
      </c>
    </row>
    <row r="903" customFormat="false" ht="15" hidden="false" customHeight="false" outlineLevel="0" collapsed="false">
      <c r="A903" s="5" t="s">
        <v>4748</v>
      </c>
      <c r="B903" s="2" t="s">
        <v>4749</v>
      </c>
      <c r="C903" s="5" t="s">
        <v>2128</v>
      </c>
      <c r="D903" s="5" t="s">
        <v>60</v>
      </c>
      <c r="E903" s="5" t="s">
        <v>62</v>
      </c>
      <c r="F903" s="5" t="s">
        <v>7670</v>
      </c>
      <c r="G903" s="5" t="s">
        <v>4751</v>
      </c>
      <c r="H903" s="5"/>
      <c r="I903" s="5" t="s">
        <v>4751</v>
      </c>
    </row>
    <row r="904" customFormat="false" ht="15" hidden="false" customHeight="false" outlineLevel="0" collapsed="false">
      <c r="A904" s="5" t="s">
        <v>4758</v>
      </c>
      <c r="B904" s="2" t="s">
        <v>4759</v>
      </c>
      <c r="C904" s="5" t="s">
        <v>2128</v>
      </c>
      <c r="D904" s="5" t="s">
        <v>4760</v>
      </c>
      <c r="E904" s="5" t="s">
        <v>62</v>
      </c>
      <c r="F904" s="5" t="s">
        <v>7669</v>
      </c>
      <c r="G904" s="5" t="s">
        <v>4761</v>
      </c>
      <c r="H904" s="5"/>
      <c r="I904" s="5" t="s">
        <v>4761</v>
      </c>
    </row>
    <row r="905" customFormat="false" ht="23.85" hidden="false" customHeight="false" outlineLevel="0" collapsed="false">
      <c r="A905" s="5" t="s">
        <v>4765</v>
      </c>
      <c r="B905" s="2" t="s">
        <v>4766</v>
      </c>
      <c r="C905" s="5" t="s">
        <v>2128</v>
      </c>
      <c r="D905" s="5" t="s">
        <v>4760</v>
      </c>
      <c r="E905" s="5" t="s">
        <v>62</v>
      </c>
      <c r="F905" s="5" t="s">
        <v>7670</v>
      </c>
      <c r="G905" s="5" t="s">
        <v>4767</v>
      </c>
      <c r="H905" s="5"/>
      <c r="I905" s="5" t="s">
        <v>4767</v>
      </c>
    </row>
    <row r="906" customFormat="false" ht="15" hidden="false" customHeight="false" outlineLevel="0" collapsed="false">
      <c r="A906" s="5" t="s">
        <v>4771</v>
      </c>
      <c r="B906" s="2" t="s">
        <v>4772</v>
      </c>
      <c r="C906" s="5" t="s">
        <v>2128</v>
      </c>
      <c r="D906" s="5" t="s">
        <v>4760</v>
      </c>
      <c r="E906" s="5" t="s">
        <v>62</v>
      </c>
      <c r="F906" s="5" t="s">
        <v>7670</v>
      </c>
      <c r="G906" s="5" t="s">
        <v>4773</v>
      </c>
      <c r="H906" s="5"/>
      <c r="I906" s="5" t="s">
        <v>4773</v>
      </c>
    </row>
    <row r="907" customFormat="false" ht="15" hidden="false" customHeight="false" outlineLevel="0" collapsed="false">
      <c r="A907" s="5" t="s">
        <v>4777</v>
      </c>
      <c r="B907" s="2" t="s">
        <v>4778</v>
      </c>
      <c r="C907" s="5" t="s">
        <v>2128</v>
      </c>
      <c r="D907" s="5" t="s">
        <v>4760</v>
      </c>
      <c r="E907" s="5" t="s">
        <v>62</v>
      </c>
      <c r="F907" s="5" t="s">
        <v>7670</v>
      </c>
      <c r="G907" s="5" t="s">
        <v>4779</v>
      </c>
      <c r="H907" s="5"/>
      <c r="I907" s="5" t="s">
        <v>4779</v>
      </c>
    </row>
    <row r="908" customFormat="false" ht="15" hidden="false" customHeight="false" outlineLevel="0" collapsed="false">
      <c r="A908" s="5" t="s">
        <v>4783</v>
      </c>
      <c r="B908" s="2" t="s">
        <v>4784</v>
      </c>
      <c r="C908" s="5" t="s">
        <v>2128</v>
      </c>
      <c r="D908" s="5" t="s">
        <v>4760</v>
      </c>
      <c r="E908" s="5" t="s">
        <v>62</v>
      </c>
      <c r="F908" s="5" t="s">
        <v>7670</v>
      </c>
      <c r="G908" s="5" t="s">
        <v>4786</v>
      </c>
      <c r="H908" s="5"/>
      <c r="I908" s="5" t="s">
        <v>4786</v>
      </c>
    </row>
    <row r="909" customFormat="false" ht="23.85" hidden="false" customHeight="false" outlineLevel="0" collapsed="false">
      <c r="A909" s="5" t="s">
        <v>4791</v>
      </c>
      <c r="B909" s="2" t="s">
        <v>4792</v>
      </c>
      <c r="C909" s="5" t="s">
        <v>2128</v>
      </c>
      <c r="D909" s="5" t="s">
        <v>4760</v>
      </c>
      <c r="E909" s="5" t="s">
        <v>62</v>
      </c>
      <c r="F909" s="5" t="s">
        <v>7670</v>
      </c>
      <c r="G909" s="5" t="s">
        <v>4793</v>
      </c>
      <c r="H909" s="5"/>
      <c r="I909" s="5" t="s">
        <v>4793</v>
      </c>
    </row>
    <row r="910" customFormat="false" ht="15" hidden="false" customHeight="false" outlineLevel="0" collapsed="false">
      <c r="A910" s="5" t="s">
        <v>4797</v>
      </c>
      <c r="B910" s="2" t="s">
        <v>4798</v>
      </c>
      <c r="C910" s="5" t="s">
        <v>2128</v>
      </c>
      <c r="D910" s="5" t="s">
        <v>4760</v>
      </c>
      <c r="E910" s="5" t="s">
        <v>62</v>
      </c>
      <c r="F910" s="5" t="s">
        <v>7670</v>
      </c>
      <c r="G910" s="5" t="s">
        <v>4799</v>
      </c>
      <c r="H910" s="5"/>
      <c r="I910" s="5" t="s">
        <v>4799</v>
      </c>
    </row>
    <row r="911" customFormat="false" ht="15" hidden="false" customHeight="false" outlineLevel="0" collapsed="false">
      <c r="A911" s="5" t="s">
        <v>4803</v>
      </c>
      <c r="B911" s="2" t="s">
        <v>4804</v>
      </c>
      <c r="C911" s="5" t="s">
        <v>2128</v>
      </c>
      <c r="D911" s="5" t="s">
        <v>4760</v>
      </c>
      <c r="E911" s="5" t="s">
        <v>62</v>
      </c>
      <c r="F911" s="5" t="s">
        <v>7669</v>
      </c>
      <c r="G911" s="5" t="s">
        <v>4807</v>
      </c>
      <c r="H911" s="5"/>
      <c r="I911" s="5" t="s">
        <v>4807</v>
      </c>
    </row>
    <row r="912" customFormat="false" ht="15" hidden="false" customHeight="false" outlineLevel="0" collapsed="false">
      <c r="A912" s="5" t="s">
        <v>4813</v>
      </c>
      <c r="B912" s="2" t="s">
        <v>4814</v>
      </c>
      <c r="C912" s="5" t="s">
        <v>2128</v>
      </c>
      <c r="D912" s="5" t="s">
        <v>4760</v>
      </c>
      <c r="E912" s="5" t="s">
        <v>62</v>
      </c>
      <c r="F912" s="5" t="s">
        <v>7669</v>
      </c>
      <c r="G912" s="5" t="s">
        <v>865</v>
      </c>
      <c r="H912" s="5"/>
      <c r="I912" s="5" t="s">
        <v>865</v>
      </c>
    </row>
    <row r="913" customFormat="false" ht="15" hidden="false" customHeight="false" outlineLevel="0" collapsed="false">
      <c r="A913" s="5" t="s">
        <v>4820</v>
      </c>
      <c r="B913" s="2" t="s">
        <v>4821</v>
      </c>
      <c r="C913" s="5" t="s">
        <v>2128</v>
      </c>
      <c r="D913" s="5" t="s">
        <v>4760</v>
      </c>
      <c r="E913" s="5" t="s">
        <v>62</v>
      </c>
      <c r="F913" s="5" t="s">
        <v>7669</v>
      </c>
      <c r="G913" s="5" t="s">
        <v>7882</v>
      </c>
      <c r="H913" s="5"/>
      <c r="I913" s="5" t="s">
        <v>7882</v>
      </c>
    </row>
    <row r="914" customFormat="false" ht="15" hidden="false" customHeight="false" outlineLevel="0" collapsed="false">
      <c r="A914" s="5" t="s">
        <v>4820</v>
      </c>
      <c r="B914" s="2" t="s">
        <v>4821</v>
      </c>
      <c r="C914" s="5" t="s">
        <v>2128</v>
      </c>
      <c r="D914" s="5" t="s">
        <v>4760</v>
      </c>
      <c r="E914" s="5" t="s">
        <v>62</v>
      </c>
      <c r="F914" s="5" t="s">
        <v>7669</v>
      </c>
      <c r="G914" s="5" t="s">
        <v>7883</v>
      </c>
      <c r="H914" s="5"/>
      <c r="I914" s="5" t="s">
        <v>7883</v>
      </c>
    </row>
    <row r="915" customFormat="false" ht="15" hidden="false" customHeight="false" outlineLevel="0" collapsed="false">
      <c r="A915" s="5" t="s">
        <v>4820</v>
      </c>
      <c r="B915" s="2" t="s">
        <v>4821</v>
      </c>
      <c r="C915" s="5" t="s">
        <v>2128</v>
      </c>
      <c r="D915" s="5" t="s">
        <v>4760</v>
      </c>
      <c r="E915" s="5" t="s">
        <v>62</v>
      </c>
      <c r="F915" s="5" t="s">
        <v>7669</v>
      </c>
      <c r="G915" s="5" t="s">
        <v>7884</v>
      </c>
      <c r="H915" s="5"/>
      <c r="I915" s="5" t="s">
        <v>7884</v>
      </c>
    </row>
    <row r="916" customFormat="false" ht="15" hidden="false" customHeight="false" outlineLevel="0" collapsed="false">
      <c r="A916" s="5" t="s">
        <v>4828</v>
      </c>
      <c r="B916" s="2" t="s">
        <v>4829</v>
      </c>
      <c r="C916" s="5" t="s">
        <v>2128</v>
      </c>
      <c r="D916" s="5" t="s">
        <v>4760</v>
      </c>
      <c r="E916" s="5" t="s">
        <v>62</v>
      </c>
      <c r="F916" s="5" t="s">
        <v>7670</v>
      </c>
      <c r="G916" s="5" t="s">
        <v>4831</v>
      </c>
      <c r="H916" s="5"/>
      <c r="I916" s="5" t="s">
        <v>4831</v>
      </c>
    </row>
    <row r="917" customFormat="false" ht="23.85" hidden="false" customHeight="false" outlineLevel="0" collapsed="false">
      <c r="A917" s="5" t="s">
        <v>4837</v>
      </c>
      <c r="B917" s="2" t="s">
        <v>4838</v>
      </c>
      <c r="C917" s="5" t="s">
        <v>2128</v>
      </c>
      <c r="D917" s="5" t="s">
        <v>4760</v>
      </c>
      <c r="E917" s="5" t="s">
        <v>62</v>
      </c>
      <c r="F917" s="5" t="s">
        <v>7670</v>
      </c>
      <c r="G917" s="5" t="s">
        <v>7885</v>
      </c>
      <c r="H917" s="5"/>
      <c r="I917" s="5" t="s">
        <v>4840</v>
      </c>
    </row>
    <row r="918" customFormat="false" ht="23.85" hidden="false" customHeight="false" outlineLevel="0" collapsed="false">
      <c r="A918" s="5" t="s">
        <v>4846</v>
      </c>
      <c r="B918" s="2" t="s">
        <v>4847</v>
      </c>
      <c r="C918" s="5" t="s">
        <v>2128</v>
      </c>
      <c r="D918" s="5" t="s">
        <v>4760</v>
      </c>
      <c r="E918" s="5" t="s">
        <v>62</v>
      </c>
      <c r="F918" s="5" t="s">
        <v>7670</v>
      </c>
      <c r="G918" s="5" t="s">
        <v>7885</v>
      </c>
      <c r="H918" s="5"/>
      <c r="I918" s="5" t="s">
        <v>4840</v>
      </c>
    </row>
    <row r="919" customFormat="false" ht="23.85" hidden="false" customHeight="false" outlineLevel="0" collapsed="false">
      <c r="A919" s="5" t="s">
        <v>4851</v>
      </c>
      <c r="B919" s="2" t="s">
        <v>4852</v>
      </c>
      <c r="C919" s="5" t="s">
        <v>2128</v>
      </c>
      <c r="D919" s="5" t="s">
        <v>4760</v>
      </c>
      <c r="E919" s="5" t="s">
        <v>62</v>
      </c>
      <c r="F919" s="5" t="s">
        <v>7670</v>
      </c>
      <c r="G919" s="5" t="s">
        <v>7885</v>
      </c>
      <c r="H919" s="5"/>
      <c r="I919" s="5" t="s">
        <v>4840</v>
      </c>
    </row>
    <row r="920" customFormat="false" ht="15" hidden="false" customHeight="false" outlineLevel="0" collapsed="false">
      <c r="A920" s="5" t="s">
        <v>4856</v>
      </c>
      <c r="B920" s="2" t="s">
        <v>4857</v>
      </c>
      <c r="C920" s="5" t="s">
        <v>2128</v>
      </c>
      <c r="D920" s="5" t="s">
        <v>4760</v>
      </c>
      <c r="E920" s="5" t="s">
        <v>62</v>
      </c>
      <c r="F920" s="5" t="s">
        <v>7670</v>
      </c>
      <c r="G920" s="5" t="s">
        <v>4858</v>
      </c>
      <c r="H920" s="5"/>
      <c r="I920" s="5" t="s">
        <v>4858</v>
      </c>
    </row>
    <row r="921" customFormat="false" ht="23.85" hidden="false" customHeight="false" outlineLevel="0" collapsed="false">
      <c r="A921" s="5" t="s">
        <v>4863</v>
      </c>
      <c r="B921" s="2" t="s">
        <v>4864</v>
      </c>
      <c r="C921" s="5" t="s">
        <v>2128</v>
      </c>
      <c r="D921" s="5" t="s">
        <v>4760</v>
      </c>
      <c r="E921" s="5" t="s">
        <v>62</v>
      </c>
      <c r="F921" s="5" t="s">
        <v>7670</v>
      </c>
      <c r="G921" s="5" t="s">
        <v>4865</v>
      </c>
      <c r="H921" s="5"/>
      <c r="I921" s="5" t="s">
        <v>4865</v>
      </c>
    </row>
    <row r="922" customFormat="false" ht="23.85" hidden="false" customHeight="false" outlineLevel="0" collapsed="false">
      <c r="A922" s="5" t="s">
        <v>4871</v>
      </c>
      <c r="B922" s="2" t="s">
        <v>4872</v>
      </c>
      <c r="C922" s="5" t="s">
        <v>2128</v>
      </c>
      <c r="D922" s="5" t="s">
        <v>4760</v>
      </c>
      <c r="E922" s="5" t="s">
        <v>62</v>
      </c>
      <c r="F922" s="5" t="s">
        <v>7670</v>
      </c>
      <c r="G922" s="5" t="s">
        <v>7886</v>
      </c>
      <c r="H922" s="5"/>
      <c r="I922" s="5" t="s">
        <v>7886</v>
      </c>
    </row>
    <row r="923" customFormat="false" ht="23.85" hidden="false" customHeight="false" outlineLevel="0" collapsed="false">
      <c r="A923" s="5" t="s">
        <v>4871</v>
      </c>
      <c r="B923" s="2" t="s">
        <v>4872</v>
      </c>
      <c r="C923" s="5" t="s">
        <v>2128</v>
      </c>
      <c r="D923" s="5" t="s">
        <v>4760</v>
      </c>
      <c r="E923" s="5" t="s">
        <v>62</v>
      </c>
      <c r="F923" s="5" t="s">
        <v>7670</v>
      </c>
      <c r="G923" s="5" t="s">
        <v>7887</v>
      </c>
      <c r="H923" s="5"/>
      <c r="I923" s="5" t="s">
        <v>7887</v>
      </c>
    </row>
    <row r="924" customFormat="false" ht="23.85" hidden="false" customHeight="false" outlineLevel="0" collapsed="false">
      <c r="A924" s="5" t="s">
        <v>4871</v>
      </c>
      <c r="B924" s="2" t="s">
        <v>4872</v>
      </c>
      <c r="C924" s="5" t="s">
        <v>2128</v>
      </c>
      <c r="D924" s="5" t="s">
        <v>4760</v>
      </c>
      <c r="E924" s="5" t="s">
        <v>62</v>
      </c>
      <c r="F924" s="5" t="s">
        <v>7670</v>
      </c>
      <c r="G924" s="5" t="s">
        <v>7888</v>
      </c>
      <c r="H924" s="5"/>
      <c r="I924" s="5" t="s">
        <v>7888</v>
      </c>
    </row>
    <row r="925" customFormat="false" ht="23.85" hidden="false" customHeight="false" outlineLevel="0" collapsed="false">
      <c r="A925" s="5" t="s">
        <v>4871</v>
      </c>
      <c r="B925" s="2" t="s">
        <v>4872</v>
      </c>
      <c r="C925" s="5" t="s">
        <v>2128</v>
      </c>
      <c r="D925" s="5" t="s">
        <v>4760</v>
      </c>
      <c r="E925" s="5" t="s">
        <v>62</v>
      </c>
      <c r="F925" s="5" t="s">
        <v>7670</v>
      </c>
      <c r="G925" s="5" t="s">
        <v>7889</v>
      </c>
      <c r="H925" s="5"/>
      <c r="I925" s="5" t="s">
        <v>7889</v>
      </c>
    </row>
    <row r="926" customFormat="false" ht="15" hidden="false" customHeight="false" outlineLevel="0" collapsed="false">
      <c r="A926" s="5" t="s">
        <v>4880</v>
      </c>
      <c r="B926" s="2" t="s">
        <v>4881</v>
      </c>
      <c r="C926" s="5" t="s">
        <v>2128</v>
      </c>
      <c r="D926" s="5" t="s">
        <v>4760</v>
      </c>
      <c r="E926" s="5" t="s">
        <v>62</v>
      </c>
      <c r="F926" s="5" t="s">
        <v>7670</v>
      </c>
      <c r="G926" s="5" t="s">
        <v>7890</v>
      </c>
      <c r="H926" s="5"/>
      <c r="I926" s="5" t="s">
        <v>4883</v>
      </c>
    </row>
    <row r="927" customFormat="false" ht="15" hidden="false" customHeight="false" outlineLevel="0" collapsed="false">
      <c r="A927" s="5" t="s">
        <v>4889</v>
      </c>
      <c r="B927" s="2" t="s">
        <v>4890</v>
      </c>
      <c r="C927" s="5" t="s">
        <v>2128</v>
      </c>
      <c r="D927" s="5" t="s">
        <v>4760</v>
      </c>
      <c r="E927" s="5" t="s">
        <v>62</v>
      </c>
      <c r="F927" s="5" t="s">
        <v>7669</v>
      </c>
      <c r="G927" s="5" t="s">
        <v>4891</v>
      </c>
      <c r="H927" s="5"/>
      <c r="I927" s="5" t="s">
        <v>4891</v>
      </c>
    </row>
    <row r="928" customFormat="false" ht="15" hidden="false" customHeight="false" outlineLevel="0" collapsed="false">
      <c r="A928" s="5" t="s">
        <v>4895</v>
      </c>
      <c r="B928" s="2" t="s">
        <v>4896</v>
      </c>
      <c r="C928" s="5" t="s">
        <v>2128</v>
      </c>
      <c r="D928" s="5" t="s">
        <v>4760</v>
      </c>
      <c r="E928" s="5" t="s">
        <v>62</v>
      </c>
      <c r="F928" s="5" t="s">
        <v>7669</v>
      </c>
      <c r="G928" s="5" t="s">
        <v>7882</v>
      </c>
      <c r="H928" s="5"/>
      <c r="I928" s="5" t="s">
        <v>7882</v>
      </c>
    </row>
    <row r="929" customFormat="false" ht="15" hidden="false" customHeight="false" outlineLevel="0" collapsed="false">
      <c r="A929" s="5" t="s">
        <v>4895</v>
      </c>
      <c r="B929" s="2" t="s">
        <v>4896</v>
      </c>
      <c r="C929" s="5" t="s">
        <v>2128</v>
      </c>
      <c r="D929" s="5" t="s">
        <v>4760</v>
      </c>
      <c r="E929" s="5" t="s">
        <v>62</v>
      </c>
      <c r="F929" s="5" t="s">
        <v>7669</v>
      </c>
      <c r="G929" s="5" t="s">
        <v>7883</v>
      </c>
      <c r="H929" s="5"/>
      <c r="I929" s="5" t="s">
        <v>7883</v>
      </c>
    </row>
    <row r="930" customFormat="false" ht="15" hidden="false" customHeight="false" outlineLevel="0" collapsed="false">
      <c r="A930" s="5" t="s">
        <v>4895</v>
      </c>
      <c r="B930" s="2" t="s">
        <v>4896</v>
      </c>
      <c r="C930" s="5" t="s">
        <v>2128</v>
      </c>
      <c r="D930" s="5" t="s">
        <v>4760</v>
      </c>
      <c r="E930" s="5" t="s">
        <v>62</v>
      </c>
      <c r="F930" s="5" t="s">
        <v>7669</v>
      </c>
      <c r="G930" s="5" t="s">
        <v>7884</v>
      </c>
      <c r="H930" s="5"/>
      <c r="I930" s="5" t="s">
        <v>7884</v>
      </c>
    </row>
    <row r="931" customFormat="false" ht="15" hidden="false" customHeight="false" outlineLevel="0" collapsed="false">
      <c r="A931" s="5" t="s">
        <v>4902</v>
      </c>
      <c r="B931" s="2" t="s">
        <v>4903</v>
      </c>
      <c r="C931" s="5" t="s">
        <v>2128</v>
      </c>
      <c r="D931" s="5" t="s">
        <v>4760</v>
      </c>
      <c r="E931" s="5" t="s">
        <v>490</v>
      </c>
      <c r="F931" s="5" t="s">
        <v>7670</v>
      </c>
      <c r="G931" s="5" t="s">
        <v>4904</v>
      </c>
      <c r="H931" s="5"/>
      <c r="I931" s="5" t="s">
        <v>4904</v>
      </c>
    </row>
    <row r="932" customFormat="false" ht="15" hidden="false" customHeight="false" outlineLevel="0" collapsed="false">
      <c r="A932" s="5" t="s">
        <v>4910</v>
      </c>
      <c r="B932" s="2" t="s">
        <v>4911</v>
      </c>
      <c r="C932" s="5" t="s">
        <v>2128</v>
      </c>
      <c r="D932" s="5" t="s">
        <v>4760</v>
      </c>
      <c r="E932" s="5" t="s">
        <v>62</v>
      </c>
      <c r="F932" s="5" t="s">
        <v>7622</v>
      </c>
      <c r="G932" s="5" t="s">
        <v>753</v>
      </c>
      <c r="H932" s="5"/>
      <c r="I932" s="5" t="s">
        <v>753</v>
      </c>
    </row>
    <row r="933" customFormat="false" ht="15" hidden="false" customHeight="false" outlineLevel="0" collapsed="false">
      <c r="A933" s="5" t="s">
        <v>4916</v>
      </c>
      <c r="B933" s="2" t="s">
        <v>4917</v>
      </c>
      <c r="C933" s="5" t="s">
        <v>2128</v>
      </c>
      <c r="D933" s="5" t="s">
        <v>4760</v>
      </c>
      <c r="E933" s="5" t="s">
        <v>62</v>
      </c>
      <c r="F933" s="5" t="s">
        <v>7622</v>
      </c>
      <c r="G933" s="5" t="s">
        <v>753</v>
      </c>
      <c r="H933" s="5"/>
      <c r="I933" s="5" t="s">
        <v>753</v>
      </c>
    </row>
    <row r="934" customFormat="false" ht="15" hidden="false" customHeight="false" outlineLevel="0" collapsed="false">
      <c r="A934" s="5" t="s">
        <v>4922</v>
      </c>
      <c r="B934" s="2" t="s">
        <v>4923</v>
      </c>
      <c r="C934" s="5" t="s">
        <v>2128</v>
      </c>
      <c r="D934" s="5" t="s">
        <v>4760</v>
      </c>
      <c r="E934" s="5" t="s">
        <v>490</v>
      </c>
      <c r="F934" s="5" t="s">
        <v>7669</v>
      </c>
      <c r="G934" s="5" t="s">
        <v>7882</v>
      </c>
      <c r="H934" s="5"/>
      <c r="I934" s="5" t="s">
        <v>7882</v>
      </c>
    </row>
    <row r="935" customFormat="false" ht="15" hidden="false" customHeight="false" outlineLevel="0" collapsed="false">
      <c r="A935" s="5" t="s">
        <v>4922</v>
      </c>
      <c r="B935" s="2" t="s">
        <v>4923</v>
      </c>
      <c r="C935" s="5" t="s">
        <v>2128</v>
      </c>
      <c r="D935" s="5" t="s">
        <v>4760</v>
      </c>
      <c r="E935" s="5" t="s">
        <v>490</v>
      </c>
      <c r="F935" s="5" t="s">
        <v>7669</v>
      </c>
      <c r="G935" s="5" t="s">
        <v>7883</v>
      </c>
      <c r="H935" s="5"/>
      <c r="I935" s="5" t="s">
        <v>7883</v>
      </c>
    </row>
    <row r="936" customFormat="false" ht="15" hidden="false" customHeight="false" outlineLevel="0" collapsed="false">
      <c r="A936" s="5" t="s">
        <v>4922</v>
      </c>
      <c r="B936" s="2" t="s">
        <v>4923</v>
      </c>
      <c r="C936" s="5" t="s">
        <v>2128</v>
      </c>
      <c r="D936" s="5" t="s">
        <v>4760</v>
      </c>
      <c r="E936" s="5" t="s">
        <v>490</v>
      </c>
      <c r="F936" s="5" t="s">
        <v>7669</v>
      </c>
      <c r="G936" s="5" t="s">
        <v>7884</v>
      </c>
      <c r="H936" s="5"/>
      <c r="I936" s="5" t="s">
        <v>7884</v>
      </c>
    </row>
    <row r="937" customFormat="false" ht="15" hidden="false" customHeight="false" outlineLevel="0" collapsed="false">
      <c r="A937" s="5" t="s">
        <v>4922</v>
      </c>
      <c r="B937" s="2" t="s">
        <v>4923</v>
      </c>
      <c r="C937" s="5" t="s">
        <v>2128</v>
      </c>
      <c r="D937" s="5" t="s">
        <v>4760</v>
      </c>
      <c r="E937" s="5" t="s">
        <v>490</v>
      </c>
      <c r="F937" s="5" t="s">
        <v>7669</v>
      </c>
      <c r="G937" s="5" t="s">
        <v>7891</v>
      </c>
      <c r="H937" s="5"/>
      <c r="I937" s="5" t="s">
        <v>7891</v>
      </c>
    </row>
    <row r="938" customFormat="false" ht="15" hidden="false" customHeight="false" outlineLevel="0" collapsed="false">
      <c r="A938" s="5" t="s">
        <v>4922</v>
      </c>
      <c r="B938" s="2" t="s">
        <v>4923</v>
      </c>
      <c r="C938" s="5" t="s">
        <v>2128</v>
      </c>
      <c r="D938" s="5" t="s">
        <v>4760</v>
      </c>
      <c r="E938" s="5" t="s">
        <v>490</v>
      </c>
      <c r="F938" s="5" t="s">
        <v>7669</v>
      </c>
      <c r="G938" s="5" t="s">
        <v>7892</v>
      </c>
      <c r="H938" s="5"/>
      <c r="I938" s="5" t="s">
        <v>7892</v>
      </c>
    </row>
    <row r="939" customFormat="false" ht="23.85" hidden="false" customHeight="false" outlineLevel="0" collapsed="false">
      <c r="A939" s="5" t="s">
        <v>4930</v>
      </c>
      <c r="B939" s="2" t="s">
        <v>4931</v>
      </c>
      <c r="C939" s="5" t="s">
        <v>2128</v>
      </c>
      <c r="D939" s="5" t="s">
        <v>4760</v>
      </c>
      <c r="E939" s="5" t="s">
        <v>490</v>
      </c>
      <c r="F939" s="5" t="s">
        <v>7670</v>
      </c>
      <c r="G939" s="5" t="s">
        <v>4932</v>
      </c>
      <c r="H939" s="5"/>
      <c r="I939" s="5" t="s">
        <v>4932</v>
      </c>
    </row>
    <row r="940" customFormat="false" ht="23.85" hidden="false" customHeight="false" outlineLevel="0" collapsed="false">
      <c r="A940" s="5" t="s">
        <v>4937</v>
      </c>
      <c r="B940" s="2" t="s">
        <v>4938</v>
      </c>
      <c r="C940" s="5" t="s">
        <v>2128</v>
      </c>
      <c r="D940" s="5" t="s">
        <v>4760</v>
      </c>
      <c r="E940" s="5" t="s">
        <v>490</v>
      </c>
      <c r="F940" s="5" t="s">
        <v>7670</v>
      </c>
      <c r="G940" s="5" t="s">
        <v>7893</v>
      </c>
      <c r="H940" s="5"/>
      <c r="I940" s="5" t="s">
        <v>7893</v>
      </c>
    </row>
    <row r="941" customFormat="false" ht="23.85" hidden="false" customHeight="false" outlineLevel="0" collapsed="false">
      <c r="A941" s="5" t="s">
        <v>4937</v>
      </c>
      <c r="B941" s="2" t="s">
        <v>4938</v>
      </c>
      <c r="C941" s="5" t="s">
        <v>2128</v>
      </c>
      <c r="D941" s="5" t="s">
        <v>4760</v>
      </c>
      <c r="E941" s="5" t="s">
        <v>490</v>
      </c>
      <c r="F941" s="5" t="s">
        <v>7670</v>
      </c>
      <c r="G941" s="5" t="s">
        <v>7894</v>
      </c>
      <c r="H941" s="5"/>
      <c r="I941" s="5" t="s">
        <v>7894</v>
      </c>
    </row>
    <row r="942" customFormat="false" ht="15" hidden="false" customHeight="false" outlineLevel="0" collapsed="false">
      <c r="A942" s="5" t="s">
        <v>4944</v>
      </c>
      <c r="B942" s="2" t="s">
        <v>4945</v>
      </c>
      <c r="C942" s="5" t="s">
        <v>2128</v>
      </c>
      <c r="D942" s="5" t="s">
        <v>4760</v>
      </c>
      <c r="E942" s="5" t="s">
        <v>62</v>
      </c>
      <c r="F942" s="5" t="s">
        <v>7669</v>
      </c>
      <c r="G942" s="5" t="s">
        <v>4947</v>
      </c>
      <c r="H942" s="5"/>
      <c r="I942" s="5" t="s">
        <v>4947</v>
      </c>
    </row>
    <row r="943" customFormat="false" ht="23.85" hidden="false" customHeight="false" outlineLevel="0" collapsed="false">
      <c r="A943" s="5" t="s">
        <v>4955</v>
      </c>
      <c r="B943" s="2" t="s">
        <v>4956</v>
      </c>
      <c r="C943" s="5" t="s">
        <v>2128</v>
      </c>
      <c r="D943" s="5" t="s">
        <v>4760</v>
      </c>
      <c r="E943" s="5" t="s">
        <v>62</v>
      </c>
      <c r="F943" s="5" t="s">
        <v>7670</v>
      </c>
      <c r="G943" s="5" t="s">
        <v>4958</v>
      </c>
      <c r="H943" s="5"/>
      <c r="I943" s="5" t="s">
        <v>4958</v>
      </c>
    </row>
    <row r="944" customFormat="false" ht="23.85" hidden="false" customHeight="false" outlineLevel="0" collapsed="false">
      <c r="A944" s="5" t="s">
        <v>4965</v>
      </c>
      <c r="B944" s="2" t="s">
        <v>4966</v>
      </c>
      <c r="C944" s="5" t="s">
        <v>2128</v>
      </c>
      <c r="D944" s="5" t="s">
        <v>4760</v>
      </c>
      <c r="E944" s="5" t="s">
        <v>62</v>
      </c>
      <c r="F944" s="5" t="s">
        <v>7670</v>
      </c>
      <c r="G944" s="5" t="s">
        <v>4967</v>
      </c>
      <c r="H944" s="5"/>
      <c r="I944" s="5" t="s">
        <v>4967</v>
      </c>
    </row>
    <row r="945" customFormat="false" ht="23.85" hidden="false" customHeight="false" outlineLevel="0" collapsed="false">
      <c r="A945" s="5" t="s">
        <v>4971</v>
      </c>
      <c r="B945" s="2" t="s">
        <v>4972</v>
      </c>
      <c r="C945" s="5" t="s">
        <v>2128</v>
      </c>
      <c r="D945" s="5" t="s">
        <v>4760</v>
      </c>
      <c r="E945" s="5" t="s">
        <v>62</v>
      </c>
      <c r="F945" s="5" t="s">
        <v>7670</v>
      </c>
      <c r="G945" s="5" t="s">
        <v>4973</v>
      </c>
      <c r="H945" s="5"/>
      <c r="I945" s="5" t="s">
        <v>4973</v>
      </c>
    </row>
    <row r="946" customFormat="false" ht="23.85" hidden="false" customHeight="false" outlineLevel="0" collapsed="false">
      <c r="A946" s="5" t="s">
        <v>4977</v>
      </c>
      <c r="B946" s="2" t="s">
        <v>4978</v>
      </c>
      <c r="C946" s="5" t="s">
        <v>2128</v>
      </c>
      <c r="D946" s="5" t="s">
        <v>4760</v>
      </c>
      <c r="E946" s="5" t="s">
        <v>62</v>
      </c>
      <c r="F946" s="5" t="s">
        <v>7670</v>
      </c>
      <c r="G946" s="5" t="s">
        <v>4958</v>
      </c>
      <c r="H946" s="5"/>
      <c r="I946" s="5" t="s">
        <v>4958</v>
      </c>
    </row>
    <row r="947" customFormat="false" ht="23.85" hidden="false" customHeight="false" outlineLevel="0" collapsed="false">
      <c r="A947" s="5" t="s">
        <v>4982</v>
      </c>
      <c r="B947" s="2" t="s">
        <v>4983</v>
      </c>
      <c r="C947" s="5" t="s">
        <v>2128</v>
      </c>
      <c r="D947" s="5" t="s">
        <v>4760</v>
      </c>
      <c r="E947" s="5" t="s">
        <v>62</v>
      </c>
      <c r="F947" s="5" t="s">
        <v>7670</v>
      </c>
      <c r="G947" s="5" t="s">
        <v>4967</v>
      </c>
      <c r="H947" s="5"/>
      <c r="I947" s="5" t="s">
        <v>4967</v>
      </c>
    </row>
    <row r="948" customFormat="false" ht="23.85" hidden="false" customHeight="false" outlineLevel="0" collapsed="false">
      <c r="A948" s="5" t="s">
        <v>4986</v>
      </c>
      <c r="B948" s="2" t="s">
        <v>4987</v>
      </c>
      <c r="C948" s="5" t="s">
        <v>2128</v>
      </c>
      <c r="D948" s="5" t="s">
        <v>4760</v>
      </c>
      <c r="E948" s="5" t="s">
        <v>62</v>
      </c>
      <c r="F948" s="5" t="s">
        <v>7670</v>
      </c>
      <c r="G948" s="5" t="s">
        <v>4973</v>
      </c>
      <c r="H948" s="5"/>
      <c r="I948" s="5" t="s">
        <v>4973</v>
      </c>
    </row>
    <row r="949" customFormat="false" ht="23.85" hidden="false" customHeight="false" outlineLevel="0" collapsed="false">
      <c r="A949" s="5" t="s">
        <v>4990</v>
      </c>
      <c r="B949" s="2" t="s">
        <v>4991</v>
      </c>
      <c r="C949" s="5" t="s">
        <v>2128</v>
      </c>
      <c r="D949" s="5" t="s">
        <v>4760</v>
      </c>
      <c r="E949" s="5" t="s">
        <v>62</v>
      </c>
      <c r="F949" s="5" t="s">
        <v>7669</v>
      </c>
      <c r="G949" s="5" t="s">
        <v>7882</v>
      </c>
      <c r="H949" s="5"/>
      <c r="I949" s="5" t="s">
        <v>7882</v>
      </c>
    </row>
    <row r="950" customFormat="false" ht="23.85" hidden="false" customHeight="false" outlineLevel="0" collapsed="false">
      <c r="A950" s="5" t="s">
        <v>4990</v>
      </c>
      <c r="B950" s="2" t="s">
        <v>4991</v>
      </c>
      <c r="C950" s="5" t="s">
        <v>2128</v>
      </c>
      <c r="D950" s="5" t="s">
        <v>4760</v>
      </c>
      <c r="E950" s="5" t="s">
        <v>62</v>
      </c>
      <c r="F950" s="5" t="s">
        <v>7669</v>
      </c>
      <c r="G950" s="5" t="s">
        <v>7883</v>
      </c>
      <c r="H950" s="5"/>
      <c r="I950" s="5" t="s">
        <v>7883</v>
      </c>
    </row>
    <row r="951" customFormat="false" ht="23.85" hidden="false" customHeight="false" outlineLevel="0" collapsed="false">
      <c r="A951" s="5" t="s">
        <v>4990</v>
      </c>
      <c r="B951" s="2" t="s">
        <v>4991</v>
      </c>
      <c r="C951" s="5" t="s">
        <v>2128</v>
      </c>
      <c r="D951" s="5" t="s">
        <v>4760</v>
      </c>
      <c r="E951" s="5" t="s">
        <v>62</v>
      </c>
      <c r="F951" s="5" t="s">
        <v>7669</v>
      </c>
      <c r="G951" s="5" t="s">
        <v>7884</v>
      </c>
      <c r="H951" s="5"/>
      <c r="I951" s="5" t="s">
        <v>7884</v>
      </c>
    </row>
    <row r="952" customFormat="false" ht="23.85" hidden="false" customHeight="false" outlineLevel="0" collapsed="false">
      <c r="A952" s="5" t="s">
        <v>4995</v>
      </c>
      <c r="B952" s="2" t="s">
        <v>4996</v>
      </c>
      <c r="C952" s="5" t="s">
        <v>2128</v>
      </c>
      <c r="D952" s="5" t="s">
        <v>4760</v>
      </c>
      <c r="E952" s="5" t="s">
        <v>62</v>
      </c>
      <c r="F952" s="5" t="s">
        <v>7669</v>
      </c>
      <c r="G952" s="5" t="s">
        <v>2722</v>
      </c>
      <c r="H952" s="5"/>
      <c r="I952" s="5" t="s">
        <v>2722</v>
      </c>
    </row>
    <row r="953" customFormat="false" ht="23.85" hidden="false" customHeight="false" outlineLevel="0" collapsed="false">
      <c r="A953" s="5" t="s">
        <v>5001</v>
      </c>
      <c r="B953" s="2" t="s">
        <v>5002</v>
      </c>
      <c r="C953" s="5" t="s">
        <v>2128</v>
      </c>
      <c r="D953" s="5" t="s">
        <v>4760</v>
      </c>
      <c r="E953" s="5" t="s">
        <v>62</v>
      </c>
      <c r="F953" s="5" t="s">
        <v>7670</v>
      </c>
      <c r="G953" s="5" t="s">
        <v>7895</v>
      </c>
      <c r="H953" s="5"/>
      <c r="I953" s="5" t="s">
        <v>7895</v>
      </c>
    </row>
    <row r="954" customFormat="false" ht="23.85" hidden="false" customHeight="false" outlineLevel="0" collapsed="false">
      <c r="A954" s="5" t="s">
        <v>5001</v>
      </c>
      <c r="B954" s="2" t="s">
        <v>5002</v>
      </c>
      <c r="C954" s="5" t="s">
        <v>2128</v>
      </c>
      <c r="D954" s="5" t="s">
        <v>4760</v>
      </c>
      <c r="E954" s="5" t="s">
        <v>62</v>
      </c>
      <c r="F954" s="5" t="s">
        <v>7670</v>
      </c>
      <c r="G954" s="5" t="s">
        <v>7896</v>
      </c>
      <c r="H954" s="5"/>
      <c r="I954" s="5" t="s">
        <v>7896</v>
      </c>
    </row>
    <row r="955" customFormat="false" ht="23.85" hidden="false" customHeight="false" outlineLevel="0" collapsed="false">
      <c r="A955" s="5" t="s">
        <v>5001</v>
      </c>
      <c r="B955" s="2" t="s">
        <v>5002</v>
      </c>
      <c r="C955" s="5" t="s">
        <v>2128</v>
      </c>
      <c r="D955" s="5" t="s">
        <v>4760</v>
      </c>
      <c r="E955" s="5" t="s">
        <v>62</v>
      </c>
      <c r="F955" s="5" t="s">
        <v>7669</v>
      </c>
      <c r="G955" s="5" t="s">
        <v>5060</v>
      </c>
      <c r="H955" s="5"/>
      <c r="I955" s="5" t="s">
        <v>5060</v>
      </c>
    </row>
    <row r="956" customFormat="false" ht="23.85" hidden="false" customHeight="false" outlineLevel="0" collapsed="false">
      <c r="A956" s="5" t="s">
        <v>5008</v>
      </c>
      <c r="B956" s="2" t="s">
        <v>5009</v>
      </c>
      <c r="C956" s="5" t="s">
        <v>2128</v>
      </c>
      <c r="D956" s="5" t="s">
        <v>4760</v>
      </c>
      <c r="E956" s="5" t="s">
        <v>490</v>
      </c>
      <c r="F956" s="5" t="s">
        <v>7670</v>
      </c>
      <c r="G956" s="5" t="s">
        <v>7897</v>
      </c>
      <c r="H956" s="5"/>
      <c r="I956" s="5" t="s">
        <v>7897</v>
      </c>
    </row>
    <row r="957" customFormat="false" ht="23.85" hidden="false" customHeight="false" outlineLevel="0" collapsed="false">
      <c r="A957" s="5" t="s">
        <v>5008</v>
      </c>
      <c r="B957" s="2" t="s">
        <v>5009</v>
      </c>
      <c r="C957" s="5" t="s">
        <v>2128</v>
      </c>
      <c r="D957" s="5" t="s">
        <v>4760</v>
      </c>
      <c r="E957" s="5" t="s">
        <v>490</v>
      </c>
      <c r="F957" s="5" t="s">
        <v>7670</v>
      </c>
      <c r="G957" s="5" t="s">
        <v>7898</v>
      </c>
      <c r="H957" s="5"/>
      <c r="I957" s="5" t="s">
        <v>7898</v>
      </c>
    </row>
    <row r="958" customFormat="false" ht="23.85" hidden="false" customHeight="false" outlineLevel="0" collapsed="false">
      <c r="A958" s="5" t="s">
        <v>5015</v>
      </c>
      <c r="B958" s="2" t="s">
        <v>5016</v>
      </c>
      <c r="C958" s="5" t="s">
        <v>2128</v>
      </c>
      <c r="D958" s="5" t="s">
        <v>4760</v>
      </c>
      <c r="E958" s="5" t="s">
        <v>62</v>
      </c>
      <c r="F958" s="5" t="s">
        <v>7670</v>
      </c>
      <c r="G958" s="5" t="s">
        <v>4932</v>
      </c>
      <c r="H958" s="5"/>
      <c r="I958" s="5" t="s">
        <v>4932</v>
      </c>
    </row>
    <row r="959" customFormat="false" ht="23.85" hidden="false" customHeight="false" outlineLevel="0" collapsed="false">
      <c r="A959" s="5" t="s">
        <v>5020</v>
      </c>
      <c r="B959" s="2" t="s">
        <v>5021</v>
      </c>
      <c r="C959" s="5" t="s">
        <v>2128</v>
      </c>
      <c r="D959" s="5" t="s">
        <v>4760</v>
      </c>
      <c r="E959" s="5" t="s">
        <v>62</v>
      </c>
      <c r="F959" s="5" t="s">
        <v>7670</v>
      </c>
      <c r="G959" s="5" t="s">
        <v>7899</v>
      </c>
      <c r="H959" s="5"/>
      <c r="I959" s="5" t="s">
        <v>7899</v>
      </c>
    </row>
    <row r="960" customFormat="false" ht="23.85" hidden="false" customHeight="false" outlineLevel="0" collapsed="false">
      <c r="A960" s="5" t="s">
        <v>5020</v>
      </c>
      <c r="B960" s="2" t="s">
        <v>5021</v>
      </c>
      <c r="C960" s="5" t="s">
        <v>2128</v>
      </c>
      <c r="D960" s="5" t="s">
        <v>4760</v>
      </c>
      <c r="E960" s="5" t="s">
        <v>62</v>
      </c>
      <c r="F960" s="5" t="s">
        <v>7670</v>
      </c>
      <c r="G960" s="5" t="s">
        <v>7900</v>
      </c>
      <c r="H960" s="5"/>
      <c r="I960" s="5" t="s">
        <v>7900</v>
      </c>
    </row>
    <row r="961" customFormat="false" ht="23.85" hidden="false" customHeight="false" outlineLevel="0" collapsed="false">
      <c r="A961" s="5" t="s">
        <v>5020</v>
      </c>
      <c r="B961" s="2" t="s">
        <v>5021</v>
      </c>
      <c r="C961" s="5" t="s">
        <v>2128</v>
      </c>
      <c r="D961" s="5" t="s">
        <v>4760</v>
      </c>
      <c r="E961" s="5" t="s">
        <v>62</v>
      </c>
      <c r="F961" s="5" t="s">
        <v>7670</v>
      </c>
      <c r="G961" s="5" t="s">
        <v>7901</v>
      </c>
      <c r="H961" s="5"/>
      <c r="I961" s="5" t="s">
        <v>7901</v>
      </c>
    </row>
    <row r="962" customFormat="false" ht="23.85" hidden="false" customHeight="false" outlineLevel="0" collapsed="false">
      <c r="A962" s="5" t="s">
        <v>5020</v>
      </c>
      <c r="B962" s="2" t="s">
        <v>5021</v>
      </c>
      <c r="C962" s="5" t="s">
        <v>2128</v>
      </c>
      <c r="D962" s="5" t="s">
        <v>4760</v>
      </c>
      <c r="E962" s="5" t="s">
        <v>62</v>
      </c>
      <c r="F962" s="5" t="s">
        <v>7670</v>
      </c>
      <c r="G962" s="5" t="s">
        <v>7902</v>
      </c>
      <c r="H962" s="5"/>
      <c r="I962" s="5" t="s">
        <v>7902</v>
      </c>
    </row>
    <row r="963" customFormat="false" ht="23.85" hidden="false" customHeight="false" outlineLevel="0" collapsed="false">
      <c r="A963" s="5" t="s">
        <v>5020</v>
      </c>
      <c r="B963" s="2" t="s">
        <v>5021</v>
      </c>
      <c r="C963" s="5" t="s">
        <v>2128</v>
      </c>
      <c r="D963" s="5" t="s">
        <v>4760</v>
      </c>
      <c r="E963" s="5" t="s">
        <v>62</v>
      </c>
      <c r="F963" s="5" t="s">
        <v>7670</v>
      </c>
      <c r="G963" s="5" t="s">
        <v>7903</v>
      </c>
      <c r="H963" s="5"/>
      <c r="I963" s="5" t="s">
        <v>7903</v>
      </c>
    </row>
    <row r="964" customFormat="false" ht="23.85" hidden="false" customHeight="false" outlineLevel="0" collapsed="false">
      <c r="A964" s="5" t="s">
        <v>5020</v>
      </c>
      <c r="B964" s="2" t="s">
        <v>5021</v>
      </c>
      <c r="C964" s="5" t="s">
        <v>2128</v>
      </c>
      <c r="D964" s="5" t="s">
        <v>4760</v>
      </c>
      <c r="E964" s="5" t="s">
        <v>62</v>
      </c>
      <c r="F964" s="5" t="s">
        <v>7670</v>
      </c>
      <c r="G964" s="5" t="s">
        <v>7904</v>
      </c>
      <c r="H964" s="5"/>
      <c r="I964" s="5" t="s">
        <v>7904</v>
      </c>
    </row>
    <row r="965" customFormat="false" ht="23.85" hidden="false" customHeight="false" outlineLevel="0" collapsed="false">
      <c r="A965" s="5" t="s">
        <v>5027</v>
      </c>
      <c r="B965" s="2" t="s">
        <v>5028</v>
      </c>
      <c r="C965" s="5" t="s">
        <v>2128</v>
      </c>
      <c r="D965" s="5" t="s">
        <v>4760</v>
      </c>
      <c r="E965" s="5" t="s">
        <v>62</v>
      </c>
      <c r="F965" s="5" t="s">
        <v>7669</v>
      </c>
      <c r="G965" s="5" t="s">
        <v>2722</v>
      </c>
      <c r="H965" s="5"/>
      <c r="I965" s="5" t="s">
        <v>2722</v>
      </c>
    </row>
    <row r="966" customFormat="false" ht="23.85" hidden="false" customHeight="false" outlineLevel="0" collapsed="false">
      <c r="A966" s="5" t="s">
        <v>5032</v>
      </c>
      <c r="B966" s="2" t="s">
        <v>5033</v>
      </c>
      <c r="C966" s="5" t="s">
        <v>2128</v>
      </c>
      <c r="D966" s="5" t="s">
        <v>4760</v>
      </c>
      <c r="E966" s="5" t="s">
        <v>62</v>
      </c>
      <c r="F966" s="5" t="s">
        <v>7670</v>
      </c>
      <c r="G966" s="5" t="s">
        <v>7905</v>
      </c>
      <c r="H966" s="5"/>
      <c r="I966" s="5" t="s">
        <v>7905</v>
      </c>
    </row>
    <row r="967" customFormat="false" ht="23.85" hidden="false" customHeight="false" outlineLevel="0" collapsed="false">
      <c r="A967" s="5" t="s">
        <v>5032</v>
      </c>
      <c r="B967" s="2" t="s">
        <v>5033</v>
      </c>
      <c r="C967" s="5" t="s">
        <v>2128</v>
      </c>
      <c r="D967" s="5" t="s">
        <v>4760</v>
      </c>
      <c r="E967" s="5" t="s">
        <v>62</v>
      </c>
      <c r="F967" s="5" t="s">
        <v>7670</v>
      </c>
      <c r="G967" s="5" t="s">
        <v>7906</v>
      </c>
      <c r="H967" s="5"/>
      <c r="I967" s="5" t="s">
        <v>7906</v>
      </c>
    </row>
    <row r="968" customFormat="false" ht="23.85" hidden="false" customHeight="false" outlineLevel="0" collapsed="false">
      <c r="A968" s="5" t="s">
        <v>5032</v>
      </c>
      <c r="B968" s="2" t="s">
        <v>5033</v>
      </c>
      <c r="C968" s="5" t="s">
        <v>2128</v>
      </c>
      <c r="D968" s="5" t="s">
        <v>4760</v>
      </c>
      <c r="E968" s="5" t="s">
        <v>62</v>
      </c>
      <c r="F968" s="5" t="s">
        <v>7669</v>
      </c>
      <c r="G968" s="5" t="s">
        <v>5060</v>
      </c>
      <c r="H968" s="5"/>
      <c r="I968" s="5" t="s">
        <v>5060</v>
      </c>
    </row>
    <row r="969" customFormat="false" ht="23.85" hidden="false" customHeight="false" outlineLevel="0" collapsed="false">
      <c r="A969" s="5" t="s">
        <v>5039</v>
      </c>
      <c r="B969" s="2" t="s">
        <v>5040</v>
      </c>
      <c r="C969" s="5" t="s">
        <v>2128</v>
      </c>
      <c r="D969" s="5" t="s">
        <v>4760</v>
      </c>
      <c r="E969" s="5" t="s">
        <v>62</v>
      </c>
      <c r="F969" s="5" t="s">
        <v>7670</v>
      </c>
      <c r="G969" s="5" t="s">
        <v>4932</v>
      </c>
      <c r="H969" s="5"/>
      <c r="I969" s="5" t="s">
        <v>4932</v>
      </c>
    </row>
    <row r="970" customFormat="false" ht="23.85" hidden="false" customHeight="false" outlineLevel="0" collapsed="false">
      <c r="A970" s="5" t="s">
        <v>5039</v>
      </c>
      <c r="B970" s="2" t="s">
        <v>5040</v>
      </c>
      <c r="C970" s="5" t="s">
        <v>2128</v>
      </c>
      <c r="D970" s="5" t="s">
        <v>4760</v>
      </c>
      <c r="E970" s="5" t="s">
        <v>62</v>
      </c>
      <c r="F970" s="5" t="s">
        <v>7669</v>
      </c>
      <c r="G970" s="5" t="s">
        <v>2722</v>
      </c>
      <c r="H970" s="5"/>
      <c r="I970" s="5" t="s">
        <v>2722</v>
      </c>
    </row>
    <row r="971" customFormat="false" ht="23.85" hidden="false" customHeight="false" outlineLevel="0" collapsed="false">
      <c r="A971" s="5" t="s">
        <v>5046</v>
      </c>
      <c r="B971" s="2" t="s">
        <v>5047</v>
      </c>
      <c r="C971" s="5" t="s">
        <v>2128</v>
      </c>
      <c r="D971" s="5" t="s">
        <v>4760</v>
      </c>
      <c r="E971" s="5" t="s">
        <v>62</v>
      </c>
      <c r="F971" s="5" t="s">
        <v>7670</v>
      </c>
      <c r="G971" s="5" t="s">
        <v>7907</v>
      </c>
      <c r="H971" s="5"/>
      <c r="I971" s="5" t="s">
        <v>7907</v>
      </c>
    </row>
    <row r="972" customFormat="false" ht="23.85" hidden="false" customHeight="false" outlineLevel="0" collapsed="false">
      <c r="A972" s="5" t="s">
        <v>5046</v>
      </c>
      <c r="B972" s="2" t="s">
        <v>5047</v>
      </c>
      <c r="C972" s="5" t="s">
        <v>2128</v>
      </c>
      <c r="D972" s="5" t="s">
        <v>4760</v>
      </c>
      <c r="E972" s="5" t="s">
        <v>62</v>
      </c>
      <c r="F972" s="5" t="s">
        <v>7670</v>
      </c>
      <c r="G972" s="5" t="s">
        <v>7908</v>
      </c>
      <c r="H972" s="5"/>
      <c r="I972" s="5" t="s">
        <v>7908</v>
      </c>
    </row>
    <row r="973" customFormat="false" ht="23.85" hidden="false" customHeight="false" outlineLevel="0" collapsed="false">
      <c r="A973" s="5" t="s">
        <v>5046</v>
      </c>
      <c r="B973" s="2" t="s">
        <v>5047</v>
      </c>
      <c r="C973" s="5" t="s">
        <v>2128</v>
      </c>
      <c r="D973" s="5" t="s">
        <v>4760</v>
      </c>
      <c r="E973" s="5" t="s">
        <v>62</v>
      </c>
      <c r="F973" s="5" t="s">
        <v>7669</v>
      </c>
      <c r="G973" s="5" t="s">
        <v>5060</v>
      </c>
      <c r="H973" s="5"/>
      <c r="I973" s="5" t="s">
        <v>5060</v>
      </c>
    </row>
    <row r="974" customFormat="false" ht="15" hidden="false" customHeight="false" outlineLevel="0" collapsed="false">
      <c r="A974" s="5" t="s">
        <v>5053</v>
      </c>
      <c r="B974" s="2" t="s">
        <v>5054</v>
      </c>
      <c r="C974" s="5" t="s">
        <v>2128</v>
      </c>
      <c r="D974" s="5" t="s">
        <v>4760</v>
      </c>
      <c r="E974" s="5" t="s">
        <v>62</v>
      </c>
      <c r="F974" s="5" t="s">
        <v>7669</v>
      </c>
      <c r="G974" s="5" t="s">
        <v>2722</v>
      </c>
      <c r="H974" s="5"/>
      <c r="I974" s="5" t="s">
        <v>2722</v>
      </c>
    </row>
    <row r="975" customFormat="false" ht="23.85" hidden="false" customHeight="false" outlineLevel="0" collapsed="false">
      <c r="A975" s="5" t="s">
        <v>5058</v>
      </c>
      <c r="B975" s="2" t="s">
        <v>5059</v>
      </c>
      <c r="C975" s="5" t="s">
        <v>2128</v>
      </c>
      <c r="D975" s="5" t="s">
        <v>4760</v>
      </c>
      <c r="E975" s="5" t="s">
        <v>62</v>
      </c>
      <c r="F975" s="5" t="s">
        <v>7669</v>
      </c>
      <c r="G975" s="5" t="s">
        <v>5060</v>
      </c>
      <c r="H975" s="5"/>
      <c r="I975" s="5" t="s">
        <v>5060</v>
      </c>
    </row>
    <row r="976" customFormat="false" ht="23.85" hidden="false" customHeight="false" outlineLevel="0" collapsed="false">
      <c r="A976" s="5" t="s">
        <v>5065</v>
      </c>
      <c r="B976" s="2" t="s">
        <v>5066</v>
      </c>
      <c r="C976" s="5" t="s">
        <v>2128</v>
      </c>
      <c r="D976" s="5" t="s">
        <v>4760</v>
      </c>
      <c r="E976" s="5" t="s">
        <v>62</v>
      </c>
      <c r="F976" s="5" t="s">
        <v>7669</v>
      </c>
      <c r="G976" s="5" t="s">
        <v>2722</v>
      </c>
      <c r="H976" s="5"/>
      <c r="I976" s="5" t="s">
        <v>2722</v>
      </c>
    </row>
    <row r="977" customFormat="false" ht="23.85" hidden="false" customHeight="false" outlineLevel="0" collapsed="false">
      <c r="A977" s="5" t="s">
        <v>5070</v>
      </c>
      <c r="B977" s="2" t="s">
        <v>5071</v>
      </c>
      <c r="C977" s="5" t="s">
        <v>2128</v>
      </c>
      <c r="D977" s="5" t="s">
        <v>4760</v>
      </c>
      <c r="E977" s="5" t="s">
        <v>62</v>
      </c>
      <c r="F977" s="5" t="s">
        <v>7670</v>
      </c>
      <c r="G977" s="5" t="s">
        <v>7909</v>
      </c>
      <c r="H977" s="5"/>
      <c r="I977" s="5" t="s">
        <v>7909</v>
      </c>
    </row>
    <row r="978" customFormat="false" ht="23.85" hidden="false" customHeight="false" outlineLevel="0" collapsed="false">
      <c r="A978" s="5" t="s">
        <v>5070</v>
      </c>
      <c r="B978" s="2" t="s">
        <v>5071</v>
      </c>
      <c r="C978" s="5" t="s">
        <v>2128</v>
      </c>
      <c r="D978" s="5" t="s">
        <v>4760</v>
      </c>
      <c r="E978" s="5" t="s">
        <v>62</v>
      </c>
      <c r="F978" s="5" t="s">
        <v>7670</v>
      </c>
      <c r="G978" s="5" t="s">
        <v>7910</v>
      </c>
      <c r="H978" s="5"/>
      <c r="I978" s="5" t="s">
        <v>7910</v>
      </c>
    </row>
    <row r="979" customFormat="false" ht="23.85" hidden="false" customHeight="false" outlineLevel="0" collapsed="false">
      <c r="A979" s="5" t="s">
        <v>5070</v>
      </c>
      <c r="B979" s="2" t="s">
        <v>5071</v>
      </c>
      <c r="C979" s="5" t="s">
        <v>2128</v>
      </c>
      <c r="D979" s="5" t="s">
        <v>4760</v>
      </c>
      <c r="E979" s="5" t="s">
        <v>62</v>
      </c>
      <c r="F979" s="5" t="s">
        <v>7670</v>
      </c>
      <c r="G979" s="5" t="s">
        <v>7911</v>
      </c>
      <c r="H979" s="5"/>
      <c r="I979" s="5" t="s">
        <v>7911</v>
      </c>
    </row>
    <row r="980" customFormat="false" ht="23.85" hidden="false" customHeight="false" outlineLevel="0" collapsed="false">
      <c r="A980" s="5" t="s">
        <v>5070</v>
      </c>
      <c r="B980" s="2" t="s">
        <v>5071</v>
      </c>
      <c r="C980" s="5" t="s">
        <v>2128</v>
      </c>
      <c r="D980" s="5" t="s">
        <v>4760</v>
      </c>
      <c r="E980" s="5" t="s">
        <v>62</v>
      </c>
      <c r="F980" s="5" t="s">
        <v>7670</v>
      </c>
      <c r="G980" s="5" t="s">
        <v>7912</v>
      </c>
      <c r="H980" s="5"/>
      <c r="I980" s="5" t="s">
        <v>7912</v>
      </c>
    </row>
    <row r="981" customFormat="false" ht="23.85" hidden="false" customHeight="false" outlineLevel="0" collapsed="false">
      <c r="A981" s="5" t="s">
        <v>5070</v>
      </c>
      <c r="B981" s="2" t="s">
        <v>5071</v>
      </c>
      <c r="C981" s="5" t="s">
        <v>2128</v>
      </c>
      <c r="D981" s="5" t="s">
        <v>4760</v>
      </c>
      <c r="E981" s="5" t="s">
        <v>62</v>
      </c>
      <c r="F981" s="5" t="s">
        <v>7670</v>
      </c>
      <c r="G981" s="5" t="s">
        <v>7913</v>
      </c>
      <c r="H981" s="5"/>
      <c r="I981" s="5" t="s">
        <v>7913</v>
      </c>
    </row>
    <row r="982" customFormat="false" ht="23.85" hidden="false" customHeight="false" outlineLevel="0" collapsed="false">
      <c r="A982" s="5" t="s">
        <v>5070</v>
      </c>
      <c r="B982" s="2" t="s">
        <v>5071</v>
      </c>
      <c r="C982" s="5" t="s">
        <v>2128</v>
      </c>
      <c r="D982" s="5" t="s">
        <v>4760</v>
      </c>
      <c r="E982" s="5" t="s">
        <v>62</v>
      </c>
      <c r="F982" s="5" t="s">
        <v>7670</v>
      </c>
      <c r="G982" s="5" t="s">
        <v>7914</v>
      </c>
      <c r="H982" s="5"/>
      <c r="I982" s="5" t="s">
        <v>7914</v>
      </c>
    </row>
    <row r="983" customFormat="false" ht="23.85" hidden="false" customHeight="false" outlineLevel="0" collapsed="false">
      <c r="A983" s="5" t="s">
        <v>5070</v>
      </c>
      <c r="B983" s="2" t="s">
        <v>5071</v>
      </c>
      <c r="C983" s="5" t="s">
        <v>2128</v>
      </c>
      <c r="D983" s="5" t="s">
        <v>4760</v>
      </c>
      <c r="E983" s="5" t="s">
        <v>62</v>
      </c>
      <c r="F983" s="5" t="s">
        <v>7670</v>
      </c>
      <c r="G983" s="5" t="s">
        <v>7915</v>
      </c>
      <c r="H983" s="5"/>
      <c r="I983" s="5" t="s">
        <v>7915</v>
      </c>
    </row>
    <row r="984" customFormat="false" ht="23.85" hidden="false" customHeight="false" outlineLevel="0" collapsed="false">
      <c r="A984" s="5" t="s">
        <v>5070</v>
      </c>
      <c r="B984" s="2" t="s">
        <v>5071</v>
      </c>
      <c r="C984" s="5" t="s">
        <v>2128</v>
      </c>
      <c r="D984" s="5" t="s">
        <v>4760</v>
      </c>
      <c r="E984" s="5" t="s">
        <v>62</v>
      </c>
      <c r="F984" s="5" t="s">
        <v>7670</v>
      </c>
      <c r="G984" s="5" t="s">
        <v>7916</v>
      </c>
      <c r="H984" s="5"/>
      <c r="I984" s="5" t="s">
        <v>7916</v>
      </c>
    </row>
    <row r="985" customFormat="false" ht="23.85" hidden="false" customHeight="false" outlineLevel="0" collapsed="false">
      <c r="A985" s="5" t="s">
        <v>5070</v>
      </c>
      <c r="B985" s="2" t="s">
        <v>5071</v>
      </c>
      <c r="C985" s="5" t="s">
        <v>2128</v>
      </c>
      <c r="D985" s="5" t="s">
        <v>4760</v>
      </c>
      <c r="E985" s="5" t="s">
        <v>62</v>
      </c>
      <c r="F985" s="5" t="s">
        <v>7669</v>
      </c>
      <c r="G985" s="5" t="s">
        <v>5060</v>
      </c>
      <c r="H985" s="5"/>
      <c r="I985" s="5" t="s">
        <v>5060</v>
      </c>
    </row>
    <row r="986" customFormat="false" ht="23.85" hidden="false" customHeight="false" outlineLevel="0" collapsed="false">
      <c r="A986" s="5" t="s">
        <v>5077</v>
      </c>
      <c r="B986" s="2" t="s">
        <v>5078</v>
      </c>
      <c r="C986" s="5" t="s">
        <v>2128</v>
      </c>
      <c r="D986" s="5" t="s">
        <v>4760</v>
      </c>
      <c r="E986" s="5" t="s">
        <v>62</v>
      </c>
      <c r="F986" s="5" t="s">
        <v>7670</v>
      </c>
      <c r="G986" s="5" t="s">
        <v>4932</v>
      </c>
      <c r="H986" s="5"/>
      <c r="I986" s="5" t="s">
        <v>4932</v>
      </c>
    </row>
    <row r="987" customFormat="false" ht="23.85" hidden="false" customHeight="false" outlineLevel="0" collapsed="false">
      <c r="A987" s="5" t="s">
        <v>5077</v>
      </c>
      <c r="B987" s="2" t="s">
        <v>5078</v>
      </c>
      <c r="C987" s="5" t="s">
        <v>2128</v>
      </c>
      <c r="D987" s="5" t="s">
        <v>4760</v>
      </c>
      <c r="E987" s="5" t="s">
        <v>62</v>
      </c>
      <c r="F987" s="5" t="s">
        <v>7669</v>
      </c>
      <c r="G987" s="5" t="s">
        <v>2722</v>
      </c>
      <c r="H987" s="5"/>
      <c r="I987" s="5" t="s">
        <v>2722</v>
      </c>
    </row>
    <row r="988" customFormat="false" ht="23.85" hidden="false" customHeight="false" outlineLevel="0" collapsed="false">
      <c r="A988" s="5" t="s">
        <v>5082</v>
      </c>
      <c r="B988" s="2" t="s">
        <v>5083</v>
      </c>
      <c r="C988" s="5" t="s">
        <v>2128</v>
      </c>
      <c r="D988" s="5" t="s">
        <v>4760</v>
      </c>
      <c r="E988" s="5" t="s">
        <v>62</v>
      </c>
      <c r="F988" s="5" t="s">
        <v>7670</v>
      </c>
      <c r="G988" s="5" t="s">
        <v>7917</v>
      </c>
      <c r="H988" s="5"/>
      <c r="I988" s="5" t="s">
        <v>7917</v>
      </c>
    </row>
    <row r="989" customFormat="false" ht="23.85" hidden="false" customHeight="false" outlineLevel="0" collapsed="false">
      <c r="A989" s="5" t="s">
        <v>5082</v>
      </c>
      <c r="B989" s="2" t="s">
        <v>5083</v>
      </c>
      <c r="C989" s="5" t="s">
        <v>2128</v>
      </c>
      <c r="D989" s="5" t="s">
        <v>4760</v>
      </c>
      <c r="E989" s="5" t="s">
        <v>62</v>
      </c>
      <c r="F989" s="5" t="s">
        <v>7670</v>
      </c>
      <c r="G989" s="5" t="s">
        <v>7918</v>
      </c>
      <c r="H989" s="5"/>
      <c r="I989" s="5" t="s">
        <v>7918</v>
      </c>
    </row>
    <row r="990" customFormat="false" ht="23.85" hidden="false" customHeight="false" outlineLevel="0" collapsed="false">
      <c r="A990" s="5" t="s">
        <v>5082</v>
      </c>
      <c r="B990" s="2" t="s">
        <v>5083</v>
      </c>
      <c r="C990" s="5" t="s">
        <v>2128</v>
      </c>
      <c r="D990" s="5" t="s">
        <v>4760</v>
      </c>
      <c r="E990" s="5" t="s">
        <v>62</v>
      </c>
      <c r="F990" s="5" t="s">
        <v>7669</v>
      </c>
      <c r="G990" s="5" t="s">
        <v>5060</v>
      </c>
      <c r="H990" s="5"/>
      <c r="I990" s="5" t="s">
        <v>5060</v>
      </c>
    </row>
    <row r="991" customFormat="false" ht="23.85" hidden="false" customHeight="false" outlineLevel="0" collapsed="false">
      <c r="A991" s="5" t="s">
        <v>5089</v>
      </c>
      <c r="B991" s="2" t="s">
        <v>5090</v>
      </c>
      <c r="C991" s="5" t="s">
        <v>2128</v>
      </c>
      <c r="D991" s="5" t="s">
        <v>4760</v>
      </c>
      <c r="E991" s="5" t="s">
        <v>62</v>
      </c>
      <c r="F991" s="5" t="s">
        <v>7670</v>
      </c>
      <c r="G991" s="5" t="s">
        <v>7919</v>
      </c>
      <c r="H991" s="5"/>
      <c r="I991" s="5" t="s">
        <v>7919</v>
      </c>
    </row>
    <row r="992" customFormat="false" ht="23.85" hidden="false" customHeight="false" outlineLevel="0" collapsed="false">
      <c r="A992" s="5" t="s">
        <v>5089</v>
      </c>
      <c r="B992" s="2" t="s">
        <v>5090</v>
      </c>
      <c r="C992" s="5" t="s">
        <v>2128</v>
      </c>
      <c r="D992" s="5" t="s">
        <v>4760</v>
      </c>
      <c r="E992" s="5" t="s">
        <v>62</v>
      </c>
      <c r="F992" s="5" t="s">
        <v>7670</v>
      </c>
      <c r="G992" s="5" t="s">
        <v>7920</v>
      </c>
      <c r="H992" s="5"/>
      <c r="I992" s="5" t="s">
        <v>7920</v>
      </c>
    </row>
    <row r="993" customFormat="false" ht="23.85" hidden="false" customHeight="false" outlineLevel="0" collapsed="false">
      <c r="A993" s="5" t="s">
        <v>5095</v>
      </c>
      <c r="B993" s="2" t="s">
        <v>5096</v>
      </c>
      <c r="C993" s="5" t="s">
        <v>2128</v>
      </c>
      <c r="D993" s="5" t="s">
        <v>4760</v>
      </c>
      <c r="E993" s="5" t="s">
        <v>62</v>
      </c>
      <c r="F993" s="5" t="s">
        <v>7670</v>
      </c>
      <c r="G993" s="5" t="s">
        <v>4932</v>
      </c>
      <c r="H993" s="5"/>
      <c r="I993" s="5" t="s">
        <v>4932</v>
      </c>
    </row>
    <row r="994" customFormat="false" ht="23.85" hidden="false" customHeight="false" outlineLevel="0" collapsed="false">
      <c r="A994" s="5" t="s">
        <v>5100</v>
      </c>
      <c r="B994" s="2" t="s">
        <v>5101</v>
      </c>
      <c r="C994" s="5" t="s">
        <v>2128</v>
      </c>
      <c r="D994" s="5" t="s">
        <v>4760</v>
      </c>
      <c r="E994" s="5" t="s">
        <v>62</v>
      </c>
      <c r="F994" s="5" t="s">
        <v>7670</v>
      </c>
      <c r="G994" s="5" t="s">
        <v>7911</v>
      </c>
      <c r="H994" s="5"/>
      <c r="I994" s="5" t="s">
        <v>7911</v>
      </c>
    </row>
    <row r="995" customFormat="false" ht="23.85" hidden="false" customHeight="false" outlineLevel="0" collapsed="false">
      <c r="A995" s="5" t="s">
        <v>5100</v>
      </c>
      <c r="B995" s="2" t="s">
        <v>5101</v>
      </c>
      <c r="C995" s="5" t="s">
        <v>2128</v>
      </c>
      <c r="D995" s="5" t="s">
        <v>4760</v>
      </c>
      <c r="E995" s="5" t="s">
        <v>62</v>
      </c>
      <c r="F995" s="5" t="s">
        <v>7670</v>
      </c>
      <c r="G995" s="5" t="s">
        <v>7912</v>
      </c>
      <c r="H995" s="5"/>
      <c r="I995" s="5" t="s">
        <v>7912</v>
      </c>
    </row>
    <row r="996" customFormat="false" ht="23.85" hidden="false" customHeight="false" outlineLevel="0" collapsed="false">
      <c r="A996" s="5" t="s">
        <v>5106</v>
      </c>
      <c r="B996" s="2" t="s">
        <v>5107</v>
      </c>
      <c r="C996" s="5" t="s">
        <v>2128</v>
      </c>
      <c r="D996" s="5" t="s">
        <v>4760</v>
      </c>
      <c r="E996" s="5" t="s">
        <v>62</v>
      </c>
      <c r="F996" s="5" t="s">
        <v>7670</v>
      </c>
      <c r="G996" s="5" t="s">
        <v>7921</v>
      </c>
      <c r="H996" s="5"/>
      <c r="I996" s="5" t="s">
        <v>7921</v>
      </c>
    </row>
    <row r="997" customFormat="false" ht="23.85" hidden="false" customHeight="false" outlineLevel="0" collapsed="false">
      <c r="A997" s="5" t="s">
        <v>5106</v>
      </c>
      <c r="B997" s="2" t="s">
        <v>5107</v>
      </c>
      <c r="C997" s="5" t="s">
        <v>2128</v>
      </c>
      <c r="D997" s="5" t="s">
        <v>4760</v>
      </c>
      <c r="E997" s="5" t="s">
        <v>62</v>
      </c>
      <c r="F997" s="5" t="s">
        <v>7670</v>
      </c>
      <c r="G997" s="5" t="s">
        <v>7922</v>
      </c>
      <c r="H997" s="5"/>
      <c r="I997" s="5" t="s">
        <v>7922</v>
      </c>
    </row>
    <row r="998" customFormat="false" ht="23.85" hidden="false" customHeight="false" outlineLevel="0" collapsed="false">
      <c r="A998" s="5" t="s">
        <v>5113</v>
      </c>
      <c r="B998" s="2" t="s">
        <v>5114</v>
      </c>
      <c r="C998" s="5" t="s">
        <v>2128</v>
      </c>
      <c r="D998" s="5" t="s">
        <v>4760</v>
      </c>
      <c r="E998" s="5" t="s">
        <v>62</v>
      </c>
      <c r="F998" s="5" t="s">
        <v>7670</v>
      </c>
      <c r="G998" s="5" t="s">
        <v>4932</v>
      </c>
      <c r="H998" s="5"/>
      <c r="I998" s="5" t="s">
        <v>4932</v>
      </c>
    </row>
    <row r="999" customFormat="false" ht="23.85" hidden="false" customHeight="false" outlineLevel="0" collapsed="false">
      <c r="A999" s="5" t="s">
        <v>5118</v>
      </c>
      <c r="B999" s="2" t="s">
        <v>5119</v>
      </c>
      <c r="C999" s="5" t="s">
        <v>2128</v>
      </c>
      <c r="D999" s="5" t="s">
        <v>4760</v>
      </c>
      <c r="E999" s="5" t="s">
        <v>62</v>
      </c>
      <c r="F999" s="5" t="s">
        <v>7670</v>
      </c>
      <c r="G999" s="5" t="s">
        <v>7923</v>
      </c>
      <c r="H999" s="5"/>
      <c r="I999" s="5" t="s">
        <v>7923</v>
      </c>
    </row>
    <row r="1000" customFormat="false" ht="23.85" hidden="false" customHeight="false" outlineLevel="0" collapsed="false">
      <c r="A1000" s="5" t="s">
        <v>5118</v>
      </c>
      <c r="B1000" s="2" t="s">
        <v>5119</v>
      </c>
      <c r="C1000" s="5" t="s">
        <v>2128</v>
      </c>
      <c r="D1000" s="5" t="s">
        <v>4760</v>
      </c>
      <c r="E1000" s="5" t="s">
        <v>62</v>
      </c>
      <c r="F1000" s="5" t="s">
        <v>7670</v>
      </c>
      <c r="G1000" s="5" t="s">
        <v>7924</v>
      </c>
      <c r="H1000" s="5"/>
      <c r="I1000" s="5" t="s">
        <v>7924</v>
      </c>
    </row>
    <row r="1001" customFormat="false" ht="23.85" hidden="false" customHeight="false" outlineLevel="0" collapsed="false">
      <c r="A1001" s="5" t="s">
        <v>5124</v>
      </c>
      <c r="B1001" s="2" t="s">
        <v>5125</v>
      </c>
      <c r="C1001" s="5" t="s">
        <v>2128</v>
      </c>
      <c r="D1001" s="5" t="s">
        <v>4760</v>
      </c>
      <c r="E1001" s="5" t="s">
        <v>62</v>
      </c>
      <c r="F1001" s="5" t="s">
        <v>7670</v>
      </c>
      <c r="G1001" s="5" t="s">
        <v>4932</v>
      </c>
      <c r="H1001" s="5"/>
      <c r="I1001" s="5" t="s">
        <v>4932</v>
      </c>
    </row>
    <row r="1002" customFormat="false" ht="23.85" hidden="false" customHeight="false" outlineLevel="0" collapsed="false">
      <c r="A1002" s="5" t="s">
        <v>5129</v>
      </c>
      <c r="B1002" s="2" t="s">
        <v>5130</v>
      </c>
      <c r="C1002" s="5" t="s">
        <v>2128</v>
      </c>
      <c r="D1002" s="5" t="s">
        <v>4760</v>
      </c>
      <c r="E1002" s="5" t="s">
        <v>62</v>
      </c>
      <c r="F1002" s="5" t="s">
        <v>7670</v>
      </c>
      <c r="G1002" s="5" t="s">
        <v>7925</v>
      </c>
      <c r="H1002" s="5"/>
      <c r="I1002" s="5" t="s">
        <v>7925</v>
      </c>
    </row>
    <row r="1003" customFormat="false" ht="23.85" hidden="false" customHeight="false" outlineLevel="0" collapsed="false">
      <c r="A1003" s="5" t="s">
        <v>5129</v>
      </c>
      <c r="B1003" s="2" t="s">
        <v>5130</v>
      </c>
      <c r="C1003" s="5" t="s">
        <v>2128</v>
      </c>
      <c r="D1003" s="5" t="s">
        <v>4760</v>
      </c>
      <c r="E1003" s="5" t="s">
        <v>62</v>
      </c>
      <c r="F1003" s="5" t="s">
        <v>7670</v>
      </c>
      <c r="G1003" s="5" t="s">
        <v>7926</v>
      </c>
      <c r="H1003" s="5"/>
      <c r="I1003" s="5" t="s">
        <v>7926</v>
      </c>
    </row>
    <row r="1004" customFormat="false" ht="23.85" hidden="false" customHeight="false" outlineLevel="0" collapsed="false">
      <c r="A1004" s="5" t="s">
        <v>5135</v>
      </c>
      <c r="B1004" s="2" t="s">
        <v>5136</v>
      </c>
      <c r="C1004" s="5" t="s">
        <v>2128</v>
      </c>
      <c r="D1004" s="5" t="s">
        <v>4760</v>
      </c>
      <c r="E1004" s="5" t="s">
        <v>490</v>
      </c>
      <c r="F1004" s="5" t="s">
        <v>7670</v>
      </c>
      <c r="G1004" s="5" t="s">
        <v>4932</v>
      </c>
      <c r="H1004" s="5"/>
      <c r="I1004" s="5" t="s">
        <v>4932</v>
      </c>
    </row>
    <row r="1005" customFormat="false" ht="23.85" hidden="false" customHeight="false" outlineLevel="0" collapsed="false">
      <c r="A1005" s="5" t="s">
        <v>5141</v>
      </c>
      <c r="B1005" s="2" t="s">
        <v>5142</v>
      </c>
      <c r="C1005" s="5" t="s">
        <v>2128</v>
      </c>
      <c r="D1005" s="5" t="s">
        <v>4760</v>
      </c>
      <c r="E1005" s="5" t="s">
        <v>490</v>
      </c>
      <c r="F1005" s="5" t="s">
        <v>7670</v>
      </c>
      <c r="G1005" s="5" t="s">
        <v>7927</v>
      </c>
      <c r="H1005" s="5"/>
      <c r="I1005" s="5" t="s">
        <v>7927</v>
      </c>
    </row>
    <row r="1006" customFormat="false" ht="23.85" hidden="false" customHeight="false" outlineLevel="0" collapsed="false">
      <c r="A1006" s="5" t="s">
        <v>5141</v>
      </c>
      <c r="B1006" s="2" t="s">
        <v>5142</v>
      </c>
      <c r="C1006" s="5" t="s">
        <v>2128</v>
      </c>
      <c r="D1006" s="5" t="s">
        <v>4760</v>
      </c>
      <c r="E1006" s="5" t="s">
        <v>490</v>
      </c>
      <c r="F1006" s="5" t="s">
        <v>7670</v>
      </c>
      <c r="G1006" s="5" t="s">
        <v>7928</v>
      </c>
      <c r="H1006" s="5"/>
      <c r="I1006" s="5" t="s">
        <v>7928</v>
      </c>
    </row>
    <row r="1007" customFormat="false" ht="23.85" hidden="false" customHeight="false" outlineLevel="0" collapsed="false">
      <c r="A1007" s="5" t="s">
        <v>5147</v>
      </c>
      <c r="B1007" s="2" t="s">
        <v>5148</v>
      </c>
      <c r="C1007" s="5" t="s">
        <v>2128</v>
      </c>
      <c r="D1007" s="5" t="s">
        <v>4760</v>
      </c>
      <c r="E1007" s="5" t="s">
        <v>490</v>
      </c>
      <c r="F1007" s="5" t="s">
        <v>7670</v>
      </c>
      <c r="G1007" s="5" t="s">
        <v>4932</v>
      </c>
      <c r="H1007" s="5"/>
      <c r="I1007" s="5" t="s">
        <v>4932</v>
      </c>
    </row>
    <row r="1008" customFormat="false" ht="23.85" hidden="false" customHeight="false" outlineLevel="0" collapsed="false">
      <c r="A1008" s="5" t="s">
        <v>5152</v>
      </c>
      <c r="B1008" s="2" t="s">
        <v>5153</v>
      </c>
      <c r="C1008" s="5" t="s">
        <v>2128</v>
      </c>
      <c r="D1008" s="5" t="s">
        <v>4760</v>
      </c>
      <c r="E1008" s="5" t="s">
        <v>490</v>
      </c>
      <c r="F1008" s="5" t="s">
        <v>7670</v>
      </c>
      <c r="G1008" s="5" t="s">
        <v>7929</v>
      </c>
      <c r="H1008" s="5"/>
      <c r="I1008" s="5" t="s">
        <v>7929</v>
      </c>
    </row>
    <row r="1009" customFormat="false" ht="23.85" hidden="false" customHeight="false" outlineLevel="0" collapsed="false">
      <c r="A1009" s="5" t="s">
        <v>5152</v>
      </c>
      <c r="B1009" s="2" t="s">
        <v>5153</v>
      </c>
      <c r="C1009" s="5" t="s">
        <v>2128</v>
      </c>
      <c r="D1009" s="5" t="s">
        <v>4760</v>
      </c>
      <c r="E1009" s="5" t="s">
        <v>490</v>
      </c>
      <c r="F1009" s="5" t="s">
        <v>7670</v>
      </c>
      <c r="G1009" s="5" t="s">
        <v>7930</v>
      </c>
      <c r="H1009" s="5"/>
      <c r="I1009" s="5" t="s">
        <v>7930</v>
      </c>
    </row>
    <row r="1010" customFormat="false" ht="23.85" hidden="false" customHeight="false" outlineLevel="0" collapsed="false">
      <c r="A1010" s="5" t="s">
        <v>5158</v>
      </c>
      <c r="B1010" s="2" t="s">
        <v>5159</v>
      </c>
      <c r="C1010" s="5" t="s">
        <v>2128</v>
      </c>
      <c r="D1010" s="5" t="s">
        <v>4760</v>
      </c>
      <c r="E1010" s="5" t="s">
        <v>62</v>
      </c>
      <c r="F1010" s="5" t="s">
        <v>7670</v>
      </c>
      <c r="G1010" s="5" t="s">
        <v>4932</v>
      </c>
      <c r="H1010" s="5"/>
      <c r="I1010" s="5" t="s">
        <v>4932</v>
      </c>
    </row>
    <row r="1011" customFormat="false" ht="23.85" hidden="false" customHeight="false" outlineLevel="0" collapsed="false">
      <c r="A1011" s="5" t="s">
        <v>5158</v>
      </c>
      <c r="B1011" s="2" t="s">
        <v>5159</v>
      </c>
      <c r="C1011" s="5" t="s">
        <v>2128</v>
      </c>
      <c r="D1011" s="5" t="s">
        <v>4760</v>
      </c>
      <c r="E1011" s="5" t="s">
        <v>62</v>
      </c>
      <c r="F1011" s="5" t="s">
        <v>7669</v>
      </c>
      <c r="G1011" s="5" t="s">
        <v>2722</v>
      </c>
      <c r="H1011" s="5"/>
      <c r="I1011" s="5" t="s">
        <v>2722</v>
      </c>
    </row>
    <row r="1012" customFormat="false" ht="23.85" hidden="false" customHeight="false" outlineLevel="0" collapsed="false">
      <c r="A1012" s="5" t="s">
        <v>5163</v>
      </c>
      <c r="B1012" s="2" t="s">
        <v>5164</v>
      </c>
      <c r="C1012" s="5" t="s">
        <v>2128</v>
      </c>
      <c r="D1012" s="5" t="s">
        <v>4760</v>
      </c>
      <c r="E1012" s="5" t="s">
        <v>62</v>
      </c>
      <c r="F1012" s="5" t="s">
        <v>7670</v>
      </c>
      <c r="G1012" s="5" t="s">
        <v>7931</v>
      </c>
      <c r="H1012" s="5"/>
      <c r="I1012" s="5" t="s">
        <v>7931</v>
      </c>
    </row>
    <row r="1013" customFormat="false" ht="23.85" hidden="false" customHeight="false" outlineLevel="0" collapsed="false">
      <c r="A1013" s="5" t="s">
        <v>5163</v>
      </c>
      <c r="B1013" s="2" t="s">
        <v>5164</v>
      </c>
      <c r="C1013" s="5" t="s">
        <v>2128</v>
      </c>
      <c r="D1013" s="5" t="s">
        <v>4760</v>
      </c>
      <c r="E1013" s="5" t="s">
        <v>62</v>
      </c>
      <c r="F1013" s="5" t="s">
        <v>7670</v>
      </c>
      <c r="G1013" s="5" t="s">
        <v>7932</v>
      </c>
      <c r="H1013" s="5"/>
      <c r="I1013" s="5" t="s">
        <v>7932</v>
      </c>
    </row>
    <row r="1014" customFormat="false" ht="23.85" hidden="false" customHeight="false" outlineLevel="0" collapsed="false">
      <c r="A1014" s="5" t="s">
        <v>5163</v>
      </c>
      <c r="B1014" s="2" t="s">
        <v>5164</v>
      </c>
      <c r="C1014" s="5" t="s">
        <v>2128</v>
      </c>
      <c r="D1014" s="5" t="s">
        <v>4760</v>
      </c>
      <c r="E1014" s="5" t="s">
        <v>62</v>
      </c>
      <c r="F1014" s="5" t="s">
        <v>7670</v>
      </c>
      <c r="G1014" s="5" t="s">
        <v>7933</v>
      </c>
      <c r="H1014" s="5"/>
      <c r="I1014" s="5" t="s">
        <v>7933</v>
      </c>
    </row>
    <row r="1015" customFormat="false" ht="23.85" hidden="false" customHeight="false" outlineLevel="0" collapsed="false">
      <c r="A1015" s="5" t="s">
        <v>5163</v>
      </c>
      <c r="B1015" s="2" t="s">
        <v>5164</v>
      </c>
      <c r="C1015" s="5" t="s">
        <v>2128</v>
      </c>
      <c r="D1015" s="5" t="s">
        <v>4760</v>
      </c>
      <c r="E1015" s="5" t="s">
        <v>62</v>
      </c>
      <c r="F1015" s="5" t="s">
        <v>7670</v>
      </c>
      <c r="G1015" s="5" t="s">
        <v>7934</v>
      </c>
      <c r="H1015" s="5"/>
      <c r="I1015" s="5" t="s">
        <v>7934</v>
      </c>
    </row>
    <row r="1016" customFormat="false" ht="23.85" hidden="false" customHeight="false" outlineLevel="0" collapsed="false">
      <c r="A1016" s="5" t="s">
        <v>5163</v>
      </c>
      <c r="B1016" s="2" t="s">
        <v>5164</v>
      </c>
      <c r="C1016" s="5" t="s">
        <v>2128</v>
      </c>
      <c r="D1016" s="5" t="s">
        <v>4760</v>
      </c>
      <c r="E1016" s="5" t="s">
        <v>62</v>
      </c>
      <c r="F1016" s="5" t="s">
        <v>7670</v>
      </c>
      <c r="G1016" s="5" t="s">
        <v>7794</v>
      </c>
      <c r="H1016" s="5"/>
      <c r="I1016" s="5" t="s">
        <v>7794</v>
      </c>
    </row>
    <row r="1017" customFormat="false" ht="23.85" hidden="false" customHeight="false" outlineLevel="0" collapsed="false">
      <c r="A1017" s="5" t="s">
        <v>5163</v>
      </c>
      <c r="B1017" s="2" t="s">
        <v>5164</v>
      </c>
      <c r="C1017" s="5" t="s">
        <v>2128</v>
      </c>
      <c r="D1017" s="5" t="s">
        <v>4760</v>
      </c>
      <c r="E1017" s="5" t="s">
        <v>62</v>
      </c>
      <c r="F1017" s="5" t="s">
        <v>7670</v>
      </c>
      <c r="G1017" s="5" t="s">
        <v>7795</v>
      </c>
      <c r="H1017" s="5"/>
      <c r="I1017" s="5" t="s">
        <v>7795</v>
      </c>
    </row>
    <row r="1018" customFormat="false" ht="23.85" hidden="false" customHeight="false" outlineLevel="0" collapsed="false">
      <c r="A1018" s="5" t="s">
        <v>5163</v>
      </c>
      <c r="B1018" s="2" t="s">
        <v>5164</v>
      </c>
      <c r="C1018" s="5" t="s">
        <v>2128</v>
      </c>
      <c r="D1018" s="5" t="s">
        <v>4760</v>
      </c>
      <c r="E1018" s="5" t="s">
        <v>62</v>
      </c>
      <c r="F1018" s="5" t="s">
        <v>7670</v>
      </c>
      <c r="G1018" s="5" t="s">
        <v>7935</v>
      </c>
      <c r="H1018" s="5"/>
      <c r="I1018" s="5" t="s">
        <v>7935</v>
      </c>
    </row>
    <row r="1019" customFormat="false" ht="23.85" hidden="false" customHeight="false" outlineLevel="0" collapsed="false">
      <c r="A1019" s="5" t="s">
        <v>5163</v>
      </c>
      <c r="B1019" s="2" t="s">
        <v>5164</v>
      </c>
      <c r="C1019" s="5" t="s">
        <v>2128</v>
      </c>
      <c r="D1019" s="5" t="s">
        <v>4760</v>
      </c>
      <c r="E1019" s="5" t="s">
        <v>62</v>
      </c>
      <c r="F1019" s="5" t="s">
        <v>7670</v>
      </c>
      <c r="G1019" s="5" t="s">
        <v>7936</v>
      </c>
      <c r="H1019" s="5"/>
      <c r="I1019" s="5" t="s">
        <v>7936</v>
      </c>
    </row>
    <row r="1020" customFormat="false" ht="23.85" hidden="false" customHeight="false" outlineLevel="0" collapsed="false">
      <c r="A1020" s="5" t="s">
        <v>5163</v>
      </c>
      <c r="B1020" s="2" t="s">
        <v>5164</v>
      </c>
      <c r="C1020" s="5" t="s">
        <v>2128</v>
      </c>
      <c r="D1020" s="5" t="s">
        <v>4760</v>
      </c>
      <c r="E1020" s="5" t="s">
        <v>62</v>
      </c>
      <c r="F1020" s="5" t="s">
        <v>7669</v>
      </c>
      <c r="G1020" s="5" t="s">
        <v>5060</v>
      </c>
      <c r="H1020" s="5"/>
      <c r="I1020" s="5" t="s">
        <v>5060</v>
      </c>
    </row>
    <row r="1021" customFormat="false" ht="23.85" hidden="false" customHeight="false" outlineLevel="0" collapsed="false">
      <c r="A1021" s="5" t="s">
        <v>5170</v>
      </c>
      <c r="B1021" s="2" t="s">
        <v>5171</v>
      </c>
      <c r="C1021" s="5" t="s">
        <v>2128</v>
      </c>
      <c r="D1021" s="5" t="s">
        <v>4760</v>
      </c>
      <c r="E1021" s="5" t="s">
        <v>490</v>
      </c>
      <c r="F1021" s="5" t="s">
        <v>7670</v>
      </c>
      <c r="G1021" s="5" t="s">
        <v>7937</v>
      </c>
      <c r="H1021" s="5"/>
      <c r="I1021" s="5" t="s">
        <v>7937</v>
      </c>
    </row>
    <row r="1022" customFormat="false" ht="23.85" hidden="false" customHeight="false" outlineLevel="0" collapsed="false">
      <c r="A1022" s="5" t="s">
        <v>5170</v>
      </c>
      <c r="B1022" s="2" t="s">
        <v>5171</v>
      </c>
      <c r="C1022" s="5" t="s">
        <v>2128</v>
      </c>
      <c r="D1022" s="5" t="s">
        <v>4760</v>
      </c>
      <c r="E1022" s="5" t="s">
        <v>490</v>
      </c>
      <c r="F1022" s="5" t="s">
        <v>7670</v>
      </c>
      <c r="G1022" s="5" t="s">
        <v>7938</v>
      </c>
      <c r="H1022" s="5"/>
      <c r="I1022" s="5" t="s">
        <v>7938</v>
      </c>
    </row>
    <row r="1023" customFormat="false" ht="23.85" hidden="false" customHeight="false" outlineLevel="0" collapsed="false">
      <c r="A1023" s="5" t="s">
        <v>5176</v>
      </c>
      <c r="B1023" s="2" t="s">
        <v>5177</v>
      </c>
      <c r="C1023" s="5" t="s">
        <v>2128</v>
      </c>
      <c r="D1023" s="5" t="s">
        <v>4760</v>
      </c>
      <c r="E1023" s="5" t="s">
        <v>490</v>
      </c>
      <c r="F1023" s="5" t="s">
        <v>7670</v>
      </c>
      <c r="G1023" s="5" t="s">
        <v>4932</v>
      </c>
      <c r="H1023" s="5"/>
      <c r="I1023" s="5" t="s">
        <v>4932</v>
      </c>
    </row>
    <row r="1024" customFormat="false" ht="23.85" hidden="false" customHeight="false" outlineLevel="0" collapsed="false">
      <c r="A1024" s="5" t="s">
        <v>5181</v>
      </c>
      <c r="B1024" s="2" t="s">
        <v>5182</v>
      </c>
      <c r="C1024" s="5" t="s">
        <v>2128</v>
      </c>
      <c r="D1024" s="5" t="s">
        <v>4760</v>
      </c>
      <c r="E1024" s="5" t="s">
        <v>62</v>
      </c>
      <c r="F1024" s="5" t="s">
        <v>7669</v>
      </c>
      <c r="G1024" s="5" t="s">
        <v>2722</v>
      </c>
      <c r="H1024" s="5"/>
      <c r="I1024" s="5" t="s">
        <v>2722</v>
      </c>
    </row>
    <row r="1025" customFormat="false" ht="23.85" hidden="false" customHeight="false" outlineLevel="0" collapsed="false">
      <c r="A1025" s="5" t="s">
        <v>5186</v>
      </c>
      <c r="B1025" s="2" t="s">
        <v>5187</v>
      </c>
      <c r="C1025" s="5" t="s">
        <v>2128</v>
      </c>
      <c r="D1025" s="5" t="s">
        <v>4760</v>
      </c>
      <c r="E1025" s="5" t="s">
        <v>62</v>
      </c>
      <c r="F1025" s="5" t="s">
        <v>7670</v>
      </c>
      <c r="G1025" s="5" t="s">
        <v>7939</v>
      </c>
      <c r="H1025" s="5"/>
      <c r="I1025" s="5" t="s">
        <v>7939</v>
      </c>
    </row>
    <row r="1026" customFormat="false" ht="23.85" hidden="false" customHeight="false" outlineLevel="0" collapsed="false">
      <c r="A1026" s="5" t="s">
        <v>5186</v>
      </c>
      <c r="B1026" s="2" t="s">
        <v>5187</v>
      </c>
      <c r="C1026" s="5" t="s">
        <v>2128</v>
      </c>
      <c r="D1026" s="5" t="s">
        <v>4760</v>
      </c>
      <c r="E1026" s="5" t="s">
        <v>62</v>
      </c>
      <c r="F1026" s="5" t="s">
        <v>7670</v>
      </c>
      <c r="G1026" s="5" t="s">
        <v>7940</v>
      </c>
      <c r="H1026" s="5"/>
      <c r="I1026" s="5" t="s">
        <v>7940</v>
      </c>
    </row>
    <row r="1027" customFormat="false" ht="23.85" hidden="false" customHeight="false" outlineLevel="0" collapsed="false">
      <c r="A1027" s="5" t="s">
        <v>5186</v>
      </c>
      <c r="B1027" s="2" t="s">
        <v>5187</v>
      </c>
      <c r="C1027" s="5" t="s">
        <v>2128</v>
      </c>
      <c r="D1027" s="5" t="s">
        <v>4760</v>
      </c>
      <c r="E1027" s="5" t="s">
        <v>62</v>
      </c>
      <c r="F1027" s="5" t="s">
        <v>7669</v>
      </c>
      <c r="G1027" s="5" t="s">
        <v>5060</v>
      </c>
      <c r="H1027" s="5"/>
      <c r="I1027" s="5" t="s">
        <v>5060</v>
      </c>
    </row>
    <row r="1028" customFormat="false" ht="35.05" hidden="false" customHeight="false" outlineLevel="0" collapsed="false">
      <c r="A1028" s="5" t="s">
        <v>5193</v>
      </c>
      <c r="B1028" s="2" t="s">
        <v>5194</v>
      </c>
      <c r="C1028" s="5" t="s">
        <v>2128</v>
      </c>
      <c r="D1028" s="5" t="s">
        <v>4760</v>
      </c>
      <c r="E1028" s="5" t="s">
        <v>62</v>
      </c>
      <c r="F1028" s="5" t="s">
        <v>7670</v>
      </c>
      <c r="G1028" s="5" t="s">
        <v>7941</v>
      </c>
      <c r="H1028" s="5"/>
      <c r="I1028" s="5" t="s">
        <v>7941</v>
      </c>
    </row>
    <row r="1029" customFormat="false" ht="35.05" hidden="false" customHeight="false" outlineLevel="0" collapsed="false">
      <c r="A1029" s="5" t="s">
        <v>5193</v>
      </c>
      <c r="B1029" s="2" t="s">
        <v>5194</v>
      </c>
      <c r="C1029" s="5" t="s">
        <v>2128</v>
      </c>
      <c r="D1029" s="5" t="s">
        <v>4760</v>
      </c>
      <c r="E1029" s="5" t="s">
        <v>62</v>
      </c>
      <c r="F1029" s="5" t="s">
        <v>7670</v>
      </c>
      <c r="G1029" s="5" t="s">
        <v>7942</v>
      </c>
      <c r="H1029" s="5"/>
      <c r="I1029" s="5" t="s">
        <v>7942</v>
      </c>
    </row>
    <row r="1030" customFormat="false" ht="23.85" hidden="false" customHeight="false" outlineLevel="0" collapsed="false">
      <c r="A1030" s="5" t="s">
        <v>5199</v>
      </c>
      <c r="B1030" s="2" t="s">
        <v>5200</v>
      </c>
      <c r="C1030" s="5" t="s">
        <v>2128</v>
      </c>
      <c r="D1030" s="5" t="s">
        <v>4760</v>
      </c>
      <c r="E1030" s="5" t="s">
        <v>62</v>
      </c>
      <c r="F1030" s="5" t="s">
        <v>7670</v>
      </c>
      <c r="G1030" s="5" t="s">
        <v>4932</v>
      </c>
      <c r="H1030" s="5"/>
      <c r="I1030" s="5" t="s">
        <v>4932</v>
      </c>
    </row>
    <row r="1031" customFormat="false" ht="23.85" hidden="false" customHeight="false" outlineLevel="0" collapsed="false">
      <c r="A1031" s="5" t="s">
        <v>5204</v>
      </c>
      <c r="B1031" s="2" t="s">
        <v>5205</v>
      </c>
      <c r="C1031" s="5" t="s">
        <v>2128</v>
      </c>
      <c r="D1031" s="5" t="s">
        <v>4760</v>
      </c>
      <c r="E1031" s="5" t="s">
        <v>62</v>
      </c>
      <c r="F1031" s="5" t="s">
        <v>7670</v>
      </c>
      <c r="G1031" s="5" t="s">
        <v>7943</v>
      </c>
      <c r="H1031" s="5"/>
      <c r="I1031" s="5" t="s">
        <v>7943</v>
      </c>
    </row>
    <row r="1032" customFormat="false" ht="23.85" hidden="false" customHeight="false" outlineLevel="0" collapsed="false">
      <c r="A1032" s="5" t="s">
        <v>5204</v>
      </c>
      <c r="B1032" s="2" t="s">
        <v>5205</v>
      </c>
      <c r="C1032" s="5" t="s">
        <v>2128</v>
      </c>
      <c r="D1032" s="5" t="s">
        <v>4760</v>
      </c>
      <c r="E1032" s="5" t="s">
        <v>62</v>
      </c>
      <c r="F1032" s="5" t="s">
        <v>7670</v>
      </c>
      <c r="G1032" s="5" t="s">
        <v>7944</v>
      </c>
      <c r="H1032" s="5"/>
      <c r="I1032" s="5" t="s">
        <v>7944</v>
      </c>
    </row>
    <row r="1033" customFormat="false" ht="23.85" hidden="false" customHeight="false" outlineLevel="0" collapsed="false">
      <c r="A1033" s="5" t="s">
        <v>5204</v>
      </c>
      <c r="B1033" s="2" t="s">
        <v>5205</v>
      </c>
      <c r="C1033" s="5" t="s">
        <v>2128</v>
      </c>
      <c r="D1033" s="5" t="s">
        <v>4760</v>
      </c>
      <c r="E1033" s="5" t="s">
        <v>62</v>
      </c>
      <c r="F1033" s="5" t="s">
        <v>7670</v>
      </c>
      <c r="G1033" s="5" t="s">
        <v>7945</v>
      </c>
      <c r="H1033" s="5"/>
      <c r="I1033" s="5" t="s">
        <v>7945</v>
      </c>
    </row>
    <row r="1034" customFormat="false" ht="23.85" hidden="false" customHeight="false" outlineLevel="0" collapsed="false">
      <c r="A1034" s="5" t="s">
        <v>5204</v>
      </c>
      <c r="B1034" s="2" t="s">
        <v>5205</v>
      </c>
      <c r="C1034" s="5" t="s">
        <v>2128</v>
      </c>
      <c r="D1034" s="5" t="s">
        <v>4760</v>
      </c>
      <c r="E1034" s="5" t="s">
        <v>62</v>
      </c>
      <c r="F1034" s="5" t="s">
        <v>7670</v>
      </c>
      <c r="G1034" s="5" t="s">
        <v>7946</v>
      </c>
      <c r="H1034" s="5"/>
      <c r="I1034" s="5" t="s">
        <v>7946</v>
      </c>
    </row>
    <row r="1035" customFormat="false" ht="23.85" hidden="false" customHeight="false" outlineLevel="0" collapsed="false">
      <c r="A1035" s="5" t="s">
        <v>5211</v>
      </c>
      <c r="B1035" s="2" t="s">
        <v>5212</v>
      </c>
      <c r="C1035" s="5" t="s">
        <v>2128</v>
      </c>
      <c r="D1035" s="5" t="s">
        <v>4760</v>
      </c>
      <c r="E1035" s="5" t="s">
        <v>62</v>
      </c>
      <c r="F1035" s="5" t="s">
        <v>7670</v>
      </c>
      <c r="G1035" s="5" t="s">
        <v>7947</v>
      </c>
      <c r="H1035" s="5"/>
      <c r="I1035" s="5" t="s">
        <v>7947</v>
      </c>
    </row>
    <row r="1036" customFormat="false" ht="23.85" hidden="false" customHeight="false" outlineLevel="0" collapsed="false">
      <c r="A1036" s="5" t="s">
        <v>5211</v>
      </c>
      <c r="B1036" s="2" t="s">
        <v>5212</v>
      </c>
      <c r="C1036" s="5" t="s">
        <v>2128</v>
      </c>
      <c r="D1036" s="5" t="s">
        <v>4760</v>
      </c>
      <c r="E1036" s="5" t="s">
        <v>62</v>
      </c>
      <c r="F1036" s="5" t="s">
        <v>7670</v>
      </c>
      <c r="G1036" s="5" t="s">
        <v>7948</v>
      </c>
      <c r="H1036" s="5"/>
      <c r="I1036" s="5" t="s">
        <v>7948</v>
      </c>
    </row>
    <row r="1037" customFormat="false" ht="15" hidden="false" customHeight="false" outlineLevel="0" collapsed="false">
      <c r="A1037" s="5" t="s">
        <v>5218</v>
      </c>
      <c r="B1037" s="2" t="s">
        <v>5219</v>
      </c>
      <c r="C1037" s="5" t="s">
        <v>2128</v>
      </c>
      <c r="D1037" s="5" t="s">
        <v>4760</v>
      </c>
      <c r="E1037" s="5" t="s">
        <v>62</v>
      </c>
      <c r="F1037" s="5" t="s">
        <v>7670</v>
      </c>
      <c r="G1037" s="5" t="s">
        <v>7949</v>
      </c>
      <c r="H1037" s="5"/>
      <c r="I1037" s="5" t="s">
        <v>7949</v>
      </c>
    </row>
    <row r="1038" customFormat="false" ht="15" hidden="false" customHeight="false" outlineLevel="0" collapsed="false">
      <c r="A1038" s="5" t="s">
        <v>5218</v>
      </c>
      <c r="B1038" s="2" t="s">
        <v>5219</v>
      </c>
      <c r="C1038" s="5" t="s">
        <v>2128</v>
      </c>
      <c r="D1038" s="5" t="s">
        <v>4760</v>
      </c>
      <c r="E1038" s="5" t="s">
        <v>62</v>
      </c>
      <c r="F1038" s="5" t="s">
        <v>7670</v>
      </c>
      <c r="G1038" s="5" t="s">
        <v>7950</v>
      </c>
      <c r="H1038" s="5"/>
      <c r="I1038" s="5" t="s">
        <v>7950</v>
      </c>
    </row>
    <row r="1039" customFormat="false" ht="23.85" hidden="false" customHeight="false" outlineLevel="0" collapsed="false">
      <c r="A1039" s="5" t="s">
        <v>5224</v>
      </c>
      <c r="B1039" s="2" t="s">
        <v>5225</v>
      </c>
      <c r="C1039" s="5" t="s">
        <v>2128</v>
      </c>
      <c r="D1039" s="5" t="s">
        <v>4760</v>
      </c>
      <c r="E1039" s="5" t="s">
        <v>62</v>
      </c>
      <c r="F1039" s="5" t="s">
        <v>7670</v>
      </c>
      <c r="G1039" s="5" t="s">
        <v>7951</v>
      </c>
      <c r="H1039" s="5"/>
      <c r="I1039" s="5" t="s">
        <v>7951</v>
      </c>
    </row>
    <row r="1040" customFormat="false" ht="23.85" hidden="false" customHeight="false" outlineLevel="0" collapsed="false">
      <c r="A1040" s="5" t="s">
        <v>5224</v>
      </c>
      <c r="B1040" s="2" t="s">
        <v>5225</v>
      </c>
      <c r="C1040" s="5" t="s">
        <v>2128</v>
      </c>
      <c r="D1040" s="5" t="s">
        <v>4760</v>
      </c>
      <c r="E1040" s="5" t="s">
        <v>62</v>
      </c>
      <c r="F1040" s="5" t="s">
        <v>7670</v>
      </c>
      <c r="G1040" s="5" t="s">
        <v>7952</v>
      </c>
      <c r="H1040" s="5"/>
      <c r="I1040" s="5" t="s">
        <v>7952</v>
      </c>
    </row>
    <row r="1041" customFormat="false" ht="23.85" hidden="false" customHeight="false" outlineLevel="0" collapsed="false">
      <c r="A1041" s="5" t="s">
        <v>5230</v>
      </c>
      <c r="B1041" s="2" t="s">
        <v>5231</v>
      </c>
      <c r="C1041" s="5" t="s">
        <v>2245</v>
      </c>
      <c r="D1041" s="5" t="s">
        <v>4760</v>
      </c>
      <c r="E1041" s="5" t="s">
        <v>62</v>
      </c>
      <c r="F1041" s="5" t="s">
        <v>7670</v>
      </c>
      <c r="G1041" s="5" t="s">
        <v>7953</v>
      </c>
      <c r="H1041" s="5"/>
      <c r="I1041" s="5" t="s">
        <v>7953</v>
      </c>
    </row>
    <row r="1042" customFormat="false" ht="23.85" hidden="false" customHeight="false" outlineLevel="0" collapsed="false">
      <c r="A1042" s="5" t="s">
        <v>5230</v>
      </c>
      <c r="B1042" s="2" t="s">
        <v>5231</v>
      </c>
      <c r="C1042" s="5" t="s">
        <v>2245</v>
      </c>
      <c r="D1042" s="5" t="s">
        <v>4760</v>
      </c>
      <c r="E1042" s="5" t="s">
        <v>62</v>
      </c>
      <c r="F1042" s="5" t="s">
        <v>7670</v>
      </c>
      <c r="G1042" s="5" t="s">
        <v>7954</v>
      </c>
      <c r="H1042" s="5"/>
      <c r="I1042" s="5" t="s">
        <v>7954</v>
      </c>
    </row>
    <row r="1043" customFormat="false" ht="23.85" hidden="false" customHeight="false" outlineLevel="0" collapsed="false">
      <c r="A1043" s="5" t="s">
        <v>5236</v>
      </c>
      <c r="B1043" s="2" t="s">
        <v>5237</v>
      </c>
      <c r="C1043" s="5" t="s">
        <v>2128</v>
      </c>
      <c r="D1043" s="5" t="s">
        <v>4760</v>
      </c>
      <c r="E1043" s="5" t="s">
        <v>62</v>
      </c>
      <c r="F1043" s="5" t="s">
        <v>7670</v>
      </c>
      <c r="G1043" s="5" t="s">
        <v>7955</v>
      </c>
      <c r="H1043" s="5"/>
      <c r="I1043" s="5" t="s">
        <v>7955</v>
      </c>
    </row>
    <row r="1044" customFormat="false" ht="23.85" hidden="false" customHeight="false" outlineLevel="0" collapsed="false">
      <c r="A1044" s="5" t="s">
        <v>5236</v>
      </c>
      <c r="B1044" s="2" t="s">
        <v>5237</v>
      </c>
      <c r="C1044" s="5" t="s">
        <v>2128</v>
      </c>
      <c r="D1044" s="5" t="s">
        <v>4760</v>
      </c>
      <c r="E1044" s="5" t="s">
        <v>62</v>
      </c>
      <c r="F1044" s="5" t="s">
        <v>7670</v>
      </c>
      <c r="G1044" s="5" t="s">
        <v>7956</v>
      </c>
      <c r="H1044" s="5"/>
      <c r="I1044" s="5" t="s">
        <v>7956</v>
      </c>
    </row>
    <row r="1045" customFormat="false" ht="23.85" hidden="false" customHeight="false" outlineLevel="0" collapsed="false">
      <c r="A1045" s="5" t="s">
        <v>5242</v>
      </c>
      <c r="B1045" s="2" t="s">
        <v>5243</v>
      </c>
      <c r="C1045" s="5" t="s">
        <v>2128</v>
      </c>
      <c r="D1045" s="5" t="s">
        <v>4760</v>
      </c>
      <c r="E1045" s="5" t="s">
        <v>62</v>
      </c>
      <c r="F1045" s="5" t="s">
        <v>7670</v>
      </c>
      <c r="G1045" s="5" t="s">
        <v>4932</v>
      </c>
      <c r="H1045" s="5"/>
      <c r="I1045" s="5" t="s">
        <v>4932</v>
      </c>
    </row>
    <row r="1046" customFormat="false" ht="23.85" hidden="false" customHeight="false" outlineLevel="0" collapsed="false">
      <c r="A1046" s="5" t="s">
        <v>5242</v>
      </c>
      <c r="B1046" s="2" t="s">
        <v>5243</v>
      </c>
      <c r="C1046" s="5" t="s">
        <v>2128</v>
      </c>
      <c r="D1046" s="5" t="s">
        <v>4760</v>
      </c>
      <c r="E1046" s="5" t="s">
        <v>62</v>
      </c>
      <c r="F1046" s="5" t="s">
        <v>7669</v>
      </c>
      <c r="G1046" s="5" t="s">
        <v>2722</v>
      </c>
      <c r="H1046" s="5"/>
      <c r="I1046" s="5" t="s">
        <v>2722</v>
      </c>
    </row>
    <row r="1047" customFormat="false" ht="23.85" hidden="false" customHeight="false" outlineLevel="0" collapsed="false">
      <c r="A1047" s="5" t="s">
        <v>5247</v>
      </c>
      <c r="B1047" s="2" t="s">
        <v>5248</v>
      </c>
      <c r="C1047" s="5" t="s">
        <v>2128</v>
      </c>
      <c r="D1047" s="5" t="s">
        <v>4760</v>
      </c>
      <c r="E1047" s="5" t="s">
        <v>62</v>
      </c>
      <c r="F1047" s="5" t="s">
        <v>7670</v>
      </c>
      <c r="G1047" s="5" t="s">
        <v>7933</v>
      </c>
      <c r="H1047" s="5"/>
      <c r="I1047" s="5" t="s">
        <v>7933</v>
      </c>
    </row>
    <row r="1048" customFormat="false" ht="23.85" hidden="false" customHeight="false" outlineLevel="0" collapsed="false">
      <c r="A1048" s="5" t="s">
        <v>5247</v>
      </c>
      <c r="B1048" s="2" t="s">
        <v>5248</v>
      </c>
      <c r="C1048" s="5" t="s">
        <v>2128</v>
      </c>
      <c r="D1048" s="5" t="s">
        <v>4760</v>
      </c>
      <c r="E1048" s="5" t="s">
        <v>62</v>
      </c>
      <c r="F1048" s="5" t="s">
        <v>7670</v>
      </c>
      <c r="G1048" s="5" t="s">
        <v>7934</v>
      </c>
      <c r="H1048" s="5"/>
      <c r="I1048" s="5" t="s">
        <v>7934</v>
      </c>
    </row>
    <row r="1049" customFormat="false" ht="23.85" hidden="false" customHeight="false" outlineLevel="0" collapsed="false">
      <c r="A1049" s="5" t="s">
        <v>5247</v>
      </c>
      <c r="B1049" s="2" t="s">
        <v>5248</v>
      </c>
      <c r="C1049" s="5" t="s">
        <v>2128</v>
      </c>
      <c r="D1049" s="5" t="s">
        <v>4760</v>
      </c>
      <c r="E1049" s="5" t="s">
        <v>62</v>
      </c>
      <c r="F1049" s="5" t="s">
        <v>7669</v>
      </c>
      <c r="G1049" s="5" t="s">
        <v>5060</v>
      </c>
      <c r="H1049" s="5"/>
      <c r="I1049" s="5" t="s">
        <v>5060</v>
      </c>
    </row>
    <row r="1050" customFormat="false" ht="23.85" hidden="false" customHeight="false" outlineLevel="0" collapsed="false">
      <c r="A1050" s="5" t="s">
        <v>5254</v>
      </c>
      <c r="B1050" s="2" t="s">
        <v>5255</v>
      </c>
      <c r="C1050" s="5" t="s">
        <v>2128</v>
      </c>
      <c r="D1050" s="5" t="s">
        <v>4760</v>
      </c>
      <c r="E1050" s="5" t="s">
        <v>62</v>
      </c>
      <c r="F1050" s="5" t="s">
        <v>7669</v>
      </c>
      <c r="G1050" s="5" t="s">
        <v>2722</v>
      </c>
      <c r="H1050" s="5"/>
      <c r="I1050" s="5" t="s">
        <v>2722</v>
      </c>
    </row>
    <row r="1051" customFormat="false" ht="23.85" hidden="false" customHeight="false" outlineLevel="0" collapsed="false">
      <c r="A1051" s="5" t="s">
        <v>5259</v>
      </c>
      <c r="B1051" s="2" t="s">
        <v>5260</v>
      </c>
      <c r="C1051" s="5" t="s">
        <v>2128</v>
      </c>
      <c r="D1051" s="5" t="s">
        <v>4760</v>
      </c>
      <c r="E1051" s="5" t="s">
        <v>62</v>
      </c>
      <c r="F1051" s="5" t="s">
        <v>7669</v>
      </c>
      <c r="G1051" s="5" t="s">
        <v>5060</v>
      </c>
      <c r="H1051" s="5"/>
      <c r="I1051" s="5" t="s">
        <v>5060</v>
      </c>
    </row>
    <row r="1052" customFormat="false" ht="23.85" hidden="false" customHeight="false" outlineLevel="0" collapsed="false">
      <c r="A1052" s="5" t="s">
        <v>5264</v>
      </c>
      <c r="B1052" s="2" t="s">
        <v>5265</v>
      </c>
      <c r="C1052" s="5" t="s">
        <v>2128</v>
      </c>
      <c r="D1052" s="5" t="s">
        <v>4760</v>
      </c>
      <c r="E1052" s="5" t="s">
        <v>62</v>
      </c>
      <c r="F1052" s="5" t="s">
        <v>7670</v>
      </c>
      <c r="G1052" s="5" t="s">
        <v>4932</v>
      </c>
      <c r="H1052" s="5"/>
      <c r="I1052" s="5" t="s">
        <v>4932</v>
      </c>
    </row>
    <row r="1053" customFormat="false" ht="23.85" hidden="false" customHeight="false" outlineLevel="0" collapsed="false">
      <c r="A1053" s="5" t="s">
        <v>5264</v>
      </c>
      <c r="B1053" s="2" t="s">
        <v>5265</v>
      </c>
      <c r="C1053" s="5" t="s">
        <v>2128</v>
      </c>
      <c r="D1053" s="5" t="s">
        <v>4760</v>
      </c>
      <c r="E1053" s="5" t="s">
        <v>62</v>
      </c>
      <c r="F1053" s="5" t="s">
        <v>7669</v>
      </c>
      <c r="G1053" s="5" t="s">
        <v>2722</v>
      </c>
      <c r="H1053" s="5"/>
      <c r="I1053" s="5" t="s">
        <v>2722</v>
      </c>
    </row>
    <row r="1054" customFormat="false" ht="23.85" hidden="false" customHeight="false" outlineLevel="0" collapsed="false">
      <c r="A1054" s="5" t="s">
        <v>5269</v>
      </c>
      <c r="B1054" s="2" t="s">
        <v>5270</v>
      </c>
      <c r="C1054" s="5" t="s">
        <v>2128</v>
      </c>
      <c r="D1054" s="5" t="s">
        <v>4760</v>
      </c>
      <c r="E1054" s="5" t="s">
        <v>62</v>
      </c>
      <c r="F1054" s="5" t="s">
        <v>7670</v>
      </c>
      <c r="G1054" s="5" t="s">
        <v>7957</v>
      </c>
      <c r="H1054" s="5"/>
      <c r="I1054" s="5" t="s">
        <v>7957</v>
      </c>
    </row>
    <row r="1055" customFormat="false" ht="23.85" hidden="false" customHeight="false" outlineLevel="0" collapsed="false">
      <c r="A1055" s="5" t="s">
        <v>5269</v>
      </c>
      <c r="B1055" s="2" t="s">
        <v>5270</v>
      </c>
      <c r="C1055" s="5" t="s">
        <v>2128</v>
      </c>
      <c r="D1055" s="5" t="s">
        <v>4760</v>
      </c>
      <c r="E1055" s="5" t="s">
        <v>62</v>
      </c>
      <c r="F1055" s="5" t="s">
        <v>7670</v>
      </c>
      <c r="G1055" s="5" t="s">
        <v>7958</v>
      </c>
      <c r="H1055" s="5"/>
      <c r="I1055" s="5" t="s">
        <v>7958</v>
      </c>
    </row>
    <row r="1056" customFormat="false" ht="23.85" hidden="false" customHeight="false" outlineLevel="0" collapsed="false">
      <c r="A1056" s="5" t="s">
        <v>5269</v>
      </c>
      <c r="B1056" s="2" t="s">
        <v>5270</v>
      </c>
      <c r="C1056" s="5" t="s">
        <v>2128</v>
      </c>
      <c r="D1056" s="5" t="s">
        <v>4760</v>
      </c>
      <c r="E1056" s="5" t="s">
        <v>62</v>
      </c>
      <c r="F1056" s="5" t="s">
        <v>7669</v>
      </c>
      <c r="G1056" s="5" t="s">
        <v>5060</v>
      </c>
      <c r="H1056" s="5"/>
      <c r="I1056" s="5" t="s">
        <v>5060</v>
      </c>
    </row>
    <row r="1057" customFormat="false" ht="23.85" hidden="false" customHeight="false" outlineLevel="0" collapsed="false">
      <c r="A1057" s="5" t="s">
        <v>5276</v>
      </c>
      <c r="B1057" s="2" t="s">
        <v>5277</v>
      </c>
      <c r="C1057" s="5" t="s">
        <v>2128</v>
      </c>
      <c r="D1057" s="5" t="s">
        <v>4760</v>
      </c>
      <c r="E1057" s="5" t="s">
        <v>62</v>
      </c>
      <c r="F1057" s="5" t="s">
        <v>7670</v>
      </c>
      <c r="G1057" s="5" t="s">
        <v>7959</v>
      </c>
      <c r="H1057" s="5"/>
      <c r="I1057" s="5" t="s">
        <v>7959</v>
      </c>
    </row>
    <row r="1058" customFormat="false" ht="23.85" hidden="false" customHeight="false" outlineLevel="0" collapsed="false">
      <c r="A1058" s="5" t="s">
        <v>5276</v>
      </c>
      <c r="B1058" s="2" t="s">
        <v>5277</v>
      </c>
      <c r="C1058" s="5" t="s">
        <v>2128</v>
      </c>
      <c r="D1058" s="5" t="s">
        <v>4760</v>
      </c>
      <c r="E1058" s="5" t="s">
        <v>62</v>
      </c>
      <c r="F1058" s="5" t="s">
        <v>7670</v>
      </c>
      <c r="G1058" s="5" t="s">
        <v>7960</v>
      </c>
      <c r="H1058" s="5"/>
      <c r="I1058" s="5" t="s">
        <v>7960</v>
      </c>
    </row>
    <row r="1059" customFormat="false" ht="23.85" hidden="false" customHeight="false" outlineLevel="0" collapsed="false">
      <c r="A1059" s="5" t="s">
        <v>5276</v>
      </c>
      <c r="B1059" s="2" t="s">
        <v>5277</v>
      </c>
      <c r="C1059" s="5" t="s">
        <v>2128</v>
      </c>
      <c r="D1059" s="5" t="s">
        <v>4760</v>
      </c>
      <c r="E1059" s="5" t="s">
        <v>62</v>
      </c>
      <c r="F1059" s="5" t="s">
        <v>7670</v>
      </c>
      <c r="G1059" s="5" t="s">
        <v>7961</v>
      </c>
      <c r="H1059" s="5"/>
      <c r="I1059" s="5" t="s">
        <v>7961</v>
      </c>
    </row>
    <row r="1060" customFormat="false" ht="23.85" hidden="false" customHeight="false" outlineLevel="0" collapsed="false">
      <c r="A1060" s="5" t="s">
        <v>5276</v>
      </c>
      <c r="B1060" s="2" t="s">
        <v>5277</v>
      </c>
      <c r="C1060" s="5" t="s">
        <v>2128</v>
      </c>
      <c r="D1060" s="5" t="s">
        <v>4760</v>
      </c>
      <c r="E1060" s="5" t="s">
        <v>62</v>
      </c>
      <c r="F1060" s="5" t="s">
        <v>7670</v>
      </c>
      <c r="G1060" s="5" t="s">
        <v>7962</v>
      </c>
      <c r="H1060" s="5"/>
      <c r="I1060" s="5" t="s">
        <v>7962</v>
      </c>
    </row>
    <row r="1061" customFormat="false" ht="23.85" hidden="false" customHeight="false" outlineLevel="0" collapsed="false">
      <c r="A1061" s="5" t="s">
        <v>5276</v>
      </c>
      <c r="B1061" s="2" t="s">
        <v>5277</v>
      </c>
      <c r="C1061" s="5" t="s">
        <v>2128</v>
      </c>
      <c r="D1061" s="5" t="s">
        <v>4760</v>
      </c>
      <c r="E1061" s="5" t="s">
        <v>62</v>
      </c>
      <c r="F1061" s="5" t="s">
        <v>7670</v>
      </c>
      <c r="G1061" s="5" t="s">
        <v>7963</v>
      </c>
      <c r="H1061" s="5"/>
      <c r="I1061" s="5" t="s">
        <v>7963</v>
      </c>
    </row>
    <row r="1062" customFormat="false" ht="23.85" hidden="false" customHeight="false" outlineLevel="0" collapsed="false">
      <c r="A1062" s="5" t="s">
        <v>5276</v>
      </c>
      <c r="B1062" s="2" t="s">
        <v>5277</v>
      </c>
      <c r="C1062" s="5" t="s">
        <v>2128</v>
      </c>
      <c r="D1062" s="5" t="s">
        <v>4760</v>
      </c>
      <c r="E1062" s="5" t="s">
        <v>62</v>
      </c>
      <c r="F1062" s="5" t="s">
        <v>7670</v>
      </c>
      <c r="G1062" s="5" t="s">
        <v>7964</v>
      </c>
      <c r="H1062" s="5"/>
      <c r="I1062" s="5" t="s">
        <v>7964</v>
      </c>
    </row>
    <row r="1063" customFormat="false" ht="23.85" hidden="false" customHeight="false" outlineLevel="0" collapsed="false">
      <c r="A1063" s="5" t="s">
        <v>5276</v>
      </c>
      <c r="B1063" s="2" t="s">
        <v>5277</v>
      </c>
      <c r="C1063" s="5" t="s">
        <v>2128</v>
      </c>
      <c r="D1063" s="5" t="s">
        <v>4760</v>
      </c>
      <c r="E1063" s="5" t="s">
        <v>62</v>
      </c>
      <c r="F1063" s="5" t="s">
        <v>7670</v>
      </c>
      <c r="G1063" s="5" t="s">
        <v>7965</v>
      </c>
      <c r="H1063" s="5"/>
      <c r="I1063" s="5" t="s">
        <v>7965</v>
      </c>
    </row>
    <row r="1064" customFormat="false" ht="23.85" hidden="false" customHeight="false" outlineLevel="0" collapsed="false">
      <c r="A1064" s="5" t="s">
        <v>5276</v>
      </c>
      <c r="B1064" s="2" t="s">
        <v>5277</v>
      </c>
      <c r="C1064" s="5" t="s">
        <v>2128</v>
      </c>
      <c r="D1064" s="5" t="s">
        <v>4760</v>
      </c>
      <c r="E1064" s="5" t="s">
        <v>62</v>
      </c>
      <c r="F1064" s="5" t="s">
        <v>7670</v>
      </c>
      <c r="G1064" s="5" t="s">
        <v>7966</v>
      </c>
      <c r="H1064" s="5"/>
      <c r="I1064" s="5" t="s">
        <v>7966</v>
      </c>
    </row>
    <row r="1065" customFormat="false" ht="23.85" hidden="false" customHeight="false" outlineLevel="0" collapsed="false">
      <c r="A1065" s="5" t="s">
        <v>5282</v>
      </c>
      <c r="B1065" s="2" t="s">
        <v>5283</v>
      </c>
      <c r="C1065" s="5" t="s">
        <v>2128</v>
      </c>
      <c r="D1065" s="5" t="s">
        <v>4760</v>
      </c>
      <c r="E1065" s="5" t="s">
        <v>62</v>
      </c>
      <c r="F1065" s="5" t="s">
        <v>7670</v>
      </c>
      <c r="G1065" s="5" t="s">
        <v>7967</v>
      </c>
      <c r="H1065" s="5"/>
      <c r="I1065" s="5" t="s">
        <v>7967</v>
      </c>
    </row>
    <row r="1066" customFormat="false" ht="23.85" hidden="false" customHeight="false" outlineLevel="0" collapsed="false">
      <c r="A1066" s="5" t="s">
        <v>5282</v>
      </c>
      <c r="B1066" s="2" t="s">
        <v>5283</v>
      </c>
      <c r="C1066" s="5" t="s">
        <v>2128</v>
      </c>
      <c r="D1066" s="5" t="s">
        <v>4760</v>
      </c>
      <c r="E1066" s="5" t="s">
        <v>62</v>
      </c>
      <c r="F1066" s="5" t="s">
        <v>7670</v>
      </c>
      <c r="G1066" s="5" t="s">
        <v>7968</v>
      </c>
      <c r="H1066" s="5"/>
      <c r="I1066" s="5" t="s">
        <v>7968</v>
      </c>
    </row>
    <row r="1067" customFormat="false" ht="23.85" hidden="false" customHeight="false" outlineLevel="0" collapsed="false">
      <c r="A1067" s="5" t="s">
        <v>5282</v>
      </c>
      <c r="B1067" s="2" t="s">
        <v>5283</v>
      </c>
      <c r="C1067" s="5" t="s">
        <v>2128</v>
      </c>
      <c r="D1067" s="5" t="s">
        <v>4760</v>
      </c>
      <c r="E1067" s="5" t="s">
        <v>62</v>
      </c>
      <c r="F1067" s="5" t="s">
        <v>7670</v>
      </c>
      <c r="G1067" s="5" t="s">
        <v>7969</v>
      </c>
      <c r="H1067" s="5"/>
      <c r="I1067" s="5" t="s">
        <v>7969</v>
      </c>
    </row>
    <row r="1068" customFormat="false" ht="23.85" hidden="false" customHeight="false" outlineLevel="0" collapsed="false">
      <c r="A1068" s="5" t="s">
        <v>5282</v>
      </c>
      <c r="B1068" s="2" t="s">
        <v>5283</v>
      </c>
      <c r="C1068" s="5" t="s">
        <v>2128</v>
      </c>
      <c r="D1068" s="5" t="s">
        <v>4760</v>
      </c>
      <c r="E1068" s="5" t="s">
        <v>62</v>
      </c>
      <c r="F1068" s="5" t="s">
        <v>7670</v>
      </c>
      <c r="G1068" s="5" t="s">
        <v>7970</v>
      </c>
      <c r="H1068" s="5"/>
      <c r="I1068" s="5" t="s">
        <v>7970</v>
      </c>
    </row>
    <row r="1069" customFormat="false" ht="23.85" hidden="false" customHeight="false" outlineLevel="0" collapsed="false">
      <c r="A1069" s="5" t="s">
        <v>5282</v>
      </c>
      <c r="B1069" s="2" t="s">
        <v>5283</v>
      </c>
      <c r="C1069" s="5" t="s">
        <v>2128</v>
      </c>
      <c r="D1069" s="5" t="s">
        <v>4760</v>
      </c>
      <c r="E1069" s="5" t="s">
        <v>62</v>
      </c>
      <c r="F1069" s="5" t="s">
        <v>7670</v>
      </c>
      <c r="G1069" s="5" t="s">
        <v>7971</v>
      </c>
      <c r="H1069" s="5"/>
      <c r="I1069" s="5" t="s">
        <v>7971</v>
      </c>
    </row>
    <row r="1070" customFormat="false" ht="23.85" hidden="false" customHeight="false" outlineLevel="0" collapsed="false">
      <c r="A1070" s="5" t="s">
        <v>5282</v>
      </c>
      <c r="B1070" s="2" t="s">
        <v>5283</v>
      </c>
      <c r="C1070" s="5" t="s">
        <v>2128</v>
      </c>
      <c r="D1070" s="5" t="s">
        <v>4760</v>
      </c>
      <c r="E1070" s="5" t="s">
        <v>62</v>
      </c>
      <c r="F1070" s="5" t="s">
        <v>7670</v>
      </c>
      <c r="G1070" s="5" t="s">
        <v>7972</v>
      </c>
      <c r="H1070" s="5"/>
      <c r="I1070" s="5" t="s">
        <v>7972</v>
      </c>
    </row>
    <row r="1071" customFormat="false" ht="23.85" hidden="false" customHeight="false" outlineLevel="0" collapsed="false">
      <c r="A1071" s="5" t="s">
        <v>5282</v>
      </c>
      <c r="B1071" s="2" t="s">
        <v>5283</v>
      </c>
      <c r="C1071" s="5" t="s">
        <v>2128</v>
      </c>
      <c r="D1071" s="5" t="s">
        <v>4760</v>
      </c>
      <c r="E1071" s="5" t="s">
        <v>62</v>
      </c>
      <c r="F1071" s="5" t="s">
        <v>7670</v>
      </c>
      <c r="G1071" s="5" t="s">
        <v>7973</v>
      </c>
      <c r="H1071" s="5"/>
      <c r="I1071" s="5" t="s">
        <v>7973</v>
      </c>
    </row>
    <row r="1072" customFormat="false" ht="23.85" hidden="false" customHeight="false" outlineLevel="0" collapsed="false">
      <c r="A1072" s="5" t="s">
        <v>5282</v>
      </c>
      <c r="B1072" s="2" t="s">
        <v>5283</v>
      </c>
      <c r="C1072" s="5" t="s">
        <v>2128</v>
      </c>
      <c r="D1072" s="5" t="s">
        <v>4760</v>
      </c>
      <c r="E1072" s="5" t="s">
        <v>62</v>
      </c>
      <c r="F1072" s="5" t="s">
        <v>7670</v>
      </c>
      <c r="G1072" s="5" t="s">
        <v>7974</v>
      </c>
      <c r="H1072" s="5"/>
      <c r="I1072" s="5" t="s">
        <v>7974</v>
      </c>
    </row>
    <row r="1073" customFormat="false" ht="23.85" hidden="false" customHeight="false" outlineLevel="0" collapsed="false">
      <c r="A1073" s="5" t="s">
        <v>5282</v>
      </c>
      <c r="B1073" s="2" t="s">
        <v>5283</v>
      </c>
      <c r="C1073" s="5" t="s">
        <v>2128</v>
      </c>
      <c r="D1073" s="5" t="s">
        <v>4760</v>
      </c>
      <c r="E1073" s="5" t="s">
        <v>62</v>
      </c>
      <c r="F1073" s="5" t="s">
        <v>7670</v>
      </c>
      <c r="G1073" s="5" t="s">
        <v>7975</v>
      </c>
      <c r="H1073" s="5"/>
      <c r="I1073" s="5" t="s">
        <v>7975</v>
      </c>
    </row>
    <row r="1074" customFormat="false" ht="23.85" hidden="false" customHeight="false" outlineLevel="0" collapsed="false">
      <c r="A1074" s="5" t="s">
        <v>5282</v>
      </c>
      <c r="B1074" s="2" t="s">
        <v>5283</v>
      </c>
      <c r="C1074" s="5" t="s">
        <v>2128</v>
      </c>
      <c r="D1074" s="5" t="s">
        <v>4760</v>
      </c>
      <c r="E1074" s="5" t="s">
        <v>62</v>
      </c>
      <c r="F1074" s="5" t="s">
        <v>7670</v>
      </c>
      <c r="G1074" s="5" t="s">
        <v>7976</v>
      </c>
      <c r="H1074" s="5"/>
      <c r="I1074" s="5" t="s">
        <v>7976</v>
      </c>
    </row>
    <row r="1075" customFormat="false" ht="23.85" hidden="false" customHeight="false" outlineLevel="0" collapsed="false">
      <c r="A1075" s="5" t="s">
        <v>5282</v>
      </c>
      <c r="B1075" s="2" t="s">
        <v>5283</v>
      </c>
      <c r="C1075" s="5" t="s">
        <v>2128</v>
      </c>
      <c r="D1075" s="5" t="s">
        <v>4760</v>
      </c>
      <c r="E1075" s="5" t="s">
        <v>62</v>
      </c>
      <c r="F1075" s="5" t="s">
        <v>7670</v>
      </c>
      <c r="G1075" s="5" t="s">
        <v>7977</v>
      </c>
      <c r="H1075" s="5"/>
      <c r="I1075" s="5" t="s">
        <v>7977</v>
      </c>
    </row>
    <row r="1076" customFormat="false" ht="23.85" hidden="false" customHeight="false" outlineLevel="0" collapsed="false">
      <c r="A1076" s="5" t="s">
        <v>5282</v>
      </c>
      <c r="B1076" s="2" t="s">
        <v>5283</v>
      </c>
      <c r="C1076" s="5" t="s">
        <v>2128</v>
      </c>
      <c r="D1076" s="5" t="s">
        <v>4760</v>
      </c>
      <c r="E1076" s="5" t="s">
        <v>62</v>
      </c>
      <c r="F1076" s="5" t="s">
        <v>7670</v>
      </c>
      <c r="G1076" s="5" t="s">
        <v>7978</v>
      </c>
      <c r="H1076" s="5"/>
      <c r="I1076" s="5" t="s">
        <v>7978</v>
      </c>
    </row>
    <row r="1077" customFormat="false" ht="23.85" hidden="false" customHeight="false" outlineLevel="0" collapsed="false">
      <c r="A1077" s="5" t="s">
        <v>5282</v>
      </c>
      <c r="B1077" s="2" t="s">
        <v>5283</v>
      </c>
      <c r="C1077" s="5" t="s">
        <v>2128</v>
      </c>
      <c r="D1077" s="5" t="s">
        <v>4760</v>
      </c>
      <c r="E1077" s="5" t="s">
        <v>62</v>
      </c>
      <c r="F1077" s="5" t="s">
        <v>7670</v>
      </c>
      <c r="G1077" s="5" t="s">
        <v>7979</v>
      </c>
      <c r="H1077" s="5"/>
      <c r="I1077" s="5" t="s">
        <v>7979</v>
      </c>
    </row>
    <row r="1078" customFormat="false" ht="23.85" hidden="false" customHeight="false" outlineLevel="0" collapsed="false">
      <c r="A1078" s="5" t="s">
        <v>5282</v>
      </c>
      <c r="B1078" s="2" t="s">
        <v>5283</v>
      </c>
      <c r="C1078" s="5" t="s">
        <v>2128</v>
      </c>
      <c r="D1078" s="5" t="s">
        <v>4760</v>
      </c>
      <c r="E1078" s="5" t="s">
        <v>62</v>
      </c>
      <c r="F1078" s="5" t="s">
        <v>7670</v>
      </c>
      <c r="G1078" s="5" t="s">
        <v>7980</v>
      </c>
      <c r="H1078" s="5"/>
      <c r="I1078" s="5" t="s">
        <v>7980</v>
      </c>
    </row>
    <row r="1079" customFormat="false" ht="23.85" hidden="false" customHeight="false" outlineLevel="0" collapsed="false">
      <c r="A1079" s="5" t="s">
        <v>5282</v>
      </c>
      <c r="B1079" s="2" t="s">
        <v>5283</v>
      </c>
      <c r="C1079" s="5" t="s">
        <v>2128</v>
      </c>
      <c r="D1079" s="5" t="s">
        <v>4760</v>
      </c>
      <c r="E1079" s="5" t="s">
        <v>62</v>
      </c>
      <c r="F1079" s="5" t="s">
        <v>7670</v>
      </c>
      <c r="G1079" s="5" t="s">
        <v>7981</v>
      </c>
      <c r="H1079" s="5"/>
      <c r="I1079" s="5" t="s">
        <v>7981</v>
      </c>
    </row>
    <row r="1080" customFormat="false" ht="23.85" hidden="false" customHeight="false" outlineLevel="0" collapsed="false">
      <c r="A1080" s="5" t="s">
        <v>5282</v>
      </c>
      <c r="B1080" s="2" t="s">
        <v>5283</v>
      </c>
      <c r="C1080" s="5" t="s">
        <v>2128</v>
      </c>
      <c r="D1080" s="5" t="s">
        <v>4760</v>
      </c>
      <c r="E1080" s="5" t="s">
        <v>62</v>
      </c>
      <c r="F1080" s="5" t="s">
        <v>7670</v>
      </c>
      <c r="G1080" s="5" t="s">
        <v>7982</v>
      </c>
      <c r="H1080" s="5"/>
      <c r="I1080" s="5" t="s">
        <v>7982</v>
      </c>
    </row>
    <row r="1081" customFormat="false" ht="23.85" hidden="false" customHeight="false" outlineLevel="0" collapsed="false">
      <c r="A1081" s="5" t="s">
        <v>5282</v>
      </c>
      <c r="B1081" s="2" t="s">
        <v>5283</v>
      </c>
      <c r="C1081" s="5" t="s">
        <v>2128</v>
      </c>
      <c r="D1081" s="5" t="s">
        <v>4760</v>
      </c>
      <c r="E1081" s="5" t="s">
        <v>62</v>
      </c>
      <c r="F1081" s="5" t="s">
        <v>7669</v>
      </c>
      <c r="G1081" s="5" t="s">
        <v>5060</v>
      </c>
      <c r="H1081" s="5"/>
      <c r="I1081" s="5" t="s">
        <v>5060</v>
      </c>
    </row>
    <row r="1082" customFormat="false" ht="23.85" hidden="false" customHeight="false" outlineLevel="0" collapsed="false">
      <c r="A1082" s="5" t="s">
        <v>5289</v>
      </c>
      <c r="B1082" s="2" t="s">
        <v>5290</v>
      </c>
      <c r="C1082" s="5" t="s">
        <v>2128</v>
      </c>
      <c r="D1082" s="5" t="s">
        <v>4760</v>
      </c>
      <c r="E1082" s="5" t="s">
        <v>490</v>
      </c>
      <c r="F1082" s="5" t="s">
        <v>7670</v>
      </c>
      <c r="G1082" s="5" t="s">
        <v>7983</v>
      </c>
      <c r="H1082" s="5"/>
      <c r="I1082" s="5" t="s">
        <v>7983</v>
      </c>
    </row>
    <row r="1083" customFormat="false" ht="23.85" hidden="false" customHeight="false" outlineLevel="0" collapsed="false">
      <c r="A1083" s="5" t="s">
        <v>5289</v>
      </c>
      <c r="B1083" s="2" t="s">
        <v>5290</v>
      </c>
      <c r="C1083" s="5" t="s">
        <v>2128</v>
      </c>
      <c r="D1083" s="5" t="s">
        <v>4760</v>
      </c>
      <c r="E1083" s="5" t="s">
        <v>490</v>
      </c>
      <c r="F1083" s="5" t="s">
        <v>7670</v>
      </c>
      <c r="G1083" s="5" t="s">
        <v>7984</v>
      </c>
      <c r="H1083" s="5"/>
      <c r="I1083" s="5" t="s">
        <v>7984</v>
      </c>
    </row>
    <row r="1084" customFormat="false" ht="23.85" hidden="false" customHeight="false" outlineLevel="0" collapsed="false">
      <c r="A1084" s="5" t="s">
        <v>5289</v>
      </c>
      <c r="B1084" s="2" t="s">
        <v>5290</v>
      </c>
      <c r="C1084" s="5" t="s">
        <v>2128</v>
      </c>
      <c r="D1084" s="5" t="s">
        <v>4760</v>
      </c>
      <c r="E1084" s="5" t="s">
        <v>490</v>
      </c>
      <c r="F1084" s="5" t="s">
        <v>7670</v>
      </c>
      <c r="G1084" s="5" t="s">
        <v>7985</v>
      </c>
      <c r="H1084" s="5"/>
      <c r="I1084" s="5" t="s">
        <v>7985</v>
      </c>
    </row>
    <row r="1085" customFormat="false" ht="23.85" hidden="false" customHeight="false" outlineLevel="0" collapsed="false">
      <c r="A1085" s="5" t="s">
        <v>5297</v>
      </c>
      <c r="B1085" s="2" t="s">
        <v>5298</v>
      </c>
      <c r="C1085" s="5" t="s">
        <v>2128</v>
      </c>
      <c r="D1085" s="5" t="s">
        <v>4760</v>
      </c>
      <c r="E1085" s="5" t="s">
        <v>62</v>
      </c>
      <c r="F1085" s="5" t="s">
        <v>7669</v>
      </c>
      <c r="G1085" s="5" t="s">
        <v>5299</v>
      </c>
      <c r="H1085" s="5"/>
      <c r="I1085" s="5" t="s">
        <v>5299</v>
      </c>
    </row>
    <row r="1086" customFormat="false" ht="23.85" hidden="false" customHeight="false" outlineLevel="0" collapsed="false">
      <c r="A1086" s="5" t="s">
        <v>5303</v>
      </c>
      <c r="B1086" s="2" t="s">
        <v>5304</v>
      </c>
      <c r="C1086" s="5" t="s">
        <v>2128</v>
      </c>
      <c r="D1086" s="5" t="s">
        <v>4760</v>
      </c>
      <c r="E1086" s="5" t="s">
        <v>62</v>
      </c>
      <c r="F1086" s="5" t="s">
        <v>7670</v>
      </c>
      <c r="G1086" s="5" t="s">
        <v>7986</v>
      </c>
      <c r="H1086" s="5"/>
      <c r="I1086" s="5" t="s">
        <v>7986</v>
      </c>
    </row>
    <row r="1087" customFormat="false" ht="23.85" hidden="false" customHeight="false" outlineLevel="0" collapsed="false">
      <c r="A1087" s="5" t="s">
        <v>5303</v>
      </c>
      <c r="B1087" s="2" t="s">
        <v>5304</v>
      </c>
      <c r="C1087" s="5" t="s">
        <v>2128</v>
      </c>
      <c r="D1087" s="5" t="s">
        <v>4760</v>
      </c>
      <c r="E1087" s="5" t="s">
        <v>62</v>
      </c>
      <c r="F1087" s="5" t="s">
        <v>7670</v>
      </c>
      <c r="G1087" s="5" t="s">
        <v>7987</v>
      </c>
      <c r="H1087" s="5"/>
      <c r="I1087" s="5" t="s">
        <v>7987</v>
      </c>
    </row>
    <row r="1088" customFormat="false" ht="23.85" hidden="false" customHeight="false" outlineLevel="0" collapsed="false">
      <c r="A1088" s="5" t="s">
        <v>5312</v>
      </c>
      <c r="B1088" s="2" t="s">
        <v>5313</v>
      </c>
      <c r="C1088" s="5" t="s">
        <v>2128</v>
      </c>
      <c r="D1088" s="5" t="s">
        <v>4760</v>
      </c>
      <c r="E1088" s="5" t="s">
        <v>62</v>
      </c>
      <c r="F1088" s="5" t="s">
        <v>7669</v>
      </c>
      <c r="G1088" s="5" t="s">
        <v>7882</v>
      </c>
      <c r="H1088" s="5"/>
      <c r="I1088" s="5" t="s">
        <v>7882</v>
      </c>
    </row>
    <row r="1089" customFormat="false" ht="23.85" hidden="false" customHeight="false" outlineLevel="0" collapsed="false">
      <c r="A1089" s="5" t="s">
        <v>5312</v>
      </c>
      <c r="B1089" s="2" t="s">
        <v>5313</v>
      </c>
      <c r="C1089" s="5" t="s">
        <v>2128</v>
      </c>
      <c r="D1089" s="5" t="s">
        <v>4760</v>
      </c>
      <c r="E1089" s="5" t="s">
        <v>62</v>
      </c>
      <c r="F1089" s="5" t="s">
        <v>7669</v>
      </c>
      <c r="G1089" s="5" t="s">
        <v>7892</v>
      </c>
      <c r="H1089" s="5"/>
      <c r="I1089" s="5" t="s">
        <v>7892</v>
      </c>
    </row>
    <row r="1090" customFormat="false" ht="35.05" hidden="false" customHeight="false" outlineLevel="0" collapsed="false">
      <c r="A1090" s="5" t="s">
        <v>5320</v>
      </c>
      <c r="B1090" s="2" t="s">
        <v>5321</v>
      </c>
      <c r="C1090" s="5" t="s">
        <v>2128</v>
      </c>
      <c r="D1090" s="5" t="s">
        <v>4760</v>
      </c>
      <c r="E1090" s="5" t="s">
        <v>62</v>
      </c>
      <c r="F1090" s="5" t="s">
        <v>7670</v>
      </c>
      <c r="G1090" s="5" t="s">
        <v>7988</v>
      </c>
      <c r="H1090" s="5"/>
      <c r="I1090" s="5" t="s">
        <v>7988</v>
      </c>
    </row>
    <row r="1091" customFormat="false" ht="35.05" hidden="false" customHeight="false" outlineLevel="0" collapsed="false">
      <c r="A1091" s="5" t="s">
        <v>5320</v>
      </c>
      <c r="B1091" s="2" t="s">
        <v>5321</v>
      </c>
      <c r="C1091" s="5" t="s">
        <v>2128</v>
      </c>
      <c r="D1091" s="5" t="s">
        <v>4760</v>
      </c>
      <c r="E1091" s="5" t="s">
        <v>62</v>
      </c>
      <c r="F1091" s="5" t="s">
        <v>7670</v>
      </c>
      <c r="G1091" s="5" t="s">
        <v>7989</v>
      </c>
      <c r="H1091" s="5"/>
      <c r="I1091" s="5" t="s">
        <v>7989</v>
      </c>
    </row>
    <row r="1092" customFormat="false" ht="23.85" hidden="false" customHeight="false" outlineLevel="0" collapsed="false">
      <c r="A1092" s="5" t="s">
        <v>5326</v>
      </c>
      <c r="B1092" s="2" t="s">
        <v>5327</v>
      </c>
      <c r="C1092" s="5" t="s">
        <v>2128</v>
      </c>
      <c r="D1092" s="5" t="s">
        <v>4760</v>
      </c>
      <c r="E1092" s="5" t="s">
        <v>62</v>
      </c>
      <c r="F1092" s="5" t="s">
        <v>7670</v>
      </c>
      <c r="G1092" s="5" t="s">
        <v>5329</v>
      </c>
      <c r="H1092" s="5"/>
      <c r="I1092" s="5" t="s">
        <v>5329</v>
      </c>
    </row>
    <row r="1093" customFormat="false" ht="23.85" hidden="false" customHeight="false" outlineLevel="0" collapsed="false">
      <c r="A1093" s="5" t="s">
        <v>5333</v>
      </c>
      <c r="B1093" s="2" t="s">
        <v>5334</v>
      </c>
      <c r="C1093" s="5" t="s">
        <v>2128</v>
      </c>
      <c r="D1093" s="5" t="s">
        <v>4760</v>
      </c>
      <c r="E1093" s="5" t="s">
        <v>490</v>
      </c>
      <c r="F1093" s="5" t="s">
        <v>7670</v>
      </c>
      <c r="G1093" s="5" t="s">
        <v>5329</v>
      </c>
      <c r="H1093" s="5"/>
      <c r="I1093" s="5" t="s">
        <v>5329</v>
      </c>
    </row>
    <row r="1094" customFormat="false" ht="23.85" hidden="false" customHeight="false" outlineLevel="0" collapsed="false">
      <c r="A1094" s="5" t="s">
        <v>5338</v>
      </c>
      <c r="B1094" s="2" t="s">
        <v>5339</v>
      </c>
      <c r="C1094" s="5" t="s">
        <v>2128</v>
      </c>
      <c r="D1094" s="5" t="s">
        <v>4760</v>
      </c>
      <c r="E1094" s="5" t="s">
        <v>490</v>
      </c>
      <c r="F1094" s="5" t="s">
        <v>7670</v>
      </c>
      <c r="G1094" s="5" t="s">
        <v>5329</v>
      </c>
      <c r="H1094" s="5"/>
      <c r="I1094" s="5" t="s">
        <v>5329</v>
      </c>
    </row>
    <row r="1095" customFormat="false" ht="23.85" hidden="false" customHeight="false" outlineLevel="0" collapsed="false">
      <c r="A1095" s="5" t="s">
        <v>5343</v>
      </c>
      <c r="B1095" s="2" t="s">
        <v>5344</v>
      </c>
      <c r="C1095" s="5" t="s">
        <v>2128</v>
      </c>
      <c r="D1095" s="5" t="s">
        <v>4760</v>
      </c>
      <c r="E1095" s="5" t="s">
        <v>62</v>
      </c>
      <c r="F1095" s="5" t="s">
        <v>7670</v>
      </c>
      <c r="G1095" s="5" t="s">
        <v>4932</v>
      </c>
      <c r="H1095" s="5"/>
      <c r="I1095" s="5" t="s">
        <v>4932</v>
      </c>
    </row>
    <row r="1096" customFormat="false" ht="23.85" hidden="false" customHeight="false" outlineLevel="0" collapsed="false">
      <c r="A1096" s="5" t="s">
        <v>5348</v>
      </c>
      <c r="B1096" s="2" t="s">
        <v>5349</v>
      </c>
      <c r="C1096" s="5" t="s">
        <v>2128</v>
      </c>
      <c r="D1096" s="5" t="s">
        <v>4760</v>
      </c>
      <c r="E1096" s="5" t="s">
        <v>62</v>
      </c>
      <c r="F1096" s="5" t="s">
        <v>7670</v>
      </c>
      <c r="G1096" s="5" t="s">
        <v>7990</v>
      </c>
      <c r="H1096" s="5"/>
      <c r="I1096" s="5" t="s">
        <v>7990</v>
      </c>
    </row>
    <row r="1097" customFormat="false" ht="23.85" hidden="false" customHeight="false" outlineLevel="0" collapsed="false">
      <c r="A1097" s="5" t="s">
        <v>5348</v>
      </c>
      <c r="B1097" s="2" t="s">
        <v>5349</v>
      </c>
      <c r="C1097" s="5" t="s">
        <v>2128</v>
      </c>
      <c r="D1097" s="5" t="s">
        <v>4760</v>
      </c>
      <c r="E1097" s="5" t="s">
        <v>62</v>
      </c>
      <c r="F1097" s="5" t="s">
        <v>7670</v>
      </c>
      <c r="G1097" s="5" t="s">
        <v>7991</v>
      </c>
      <c r="H1097" s="5"/>
      <c r="I1097" s="5" t="s">
        <v>7991</v>
      </c>
    </row>
    <row r="1098" customFormat="false" ht="23.85" hidden="false" customHeight="false" outlineLevel="0" collapsed="false">
      <c r="A1098" s="5" t="s">
        <v>5354</v>
      </c>
      <c r="B1098" s="2" t="s">
        <v>5355</v>
      </c>
      <c r="C1098" s="5" t="s">
        <v>2128</v>
      </c>
      <c r="D1098" s="5" t="s">
        <v>4760</v>
      </c>
      <c r="E1098" s="5" t="s">
        <v>62</v>
      </c>
      <c r="F1098" s="5" t="s">
        <v>7670</v>
      </c>
      <c r="G1098" s="5" t="s">
        <v>4932</v>
      </c>
      <c r="H1098" s="5"/>
      <c r="I1098" s="5" t="s">
        <v>4932</v>
      </c>
    </row>
    <row r="1099" customFormat="false" ht="23.85" hidden="false" customHeight="false" outlineLevel="0" collapsed="false">
      <c r="A1099" s="5" t="s">
        <v>5359</v>
      </c>
      <c r="B1099" s="2" t="s">
        <v>5360</v>
      </c>
      <c r="C1099" s="5" t="s">
        <v>2128</v>
      </c>
      <c r="D1099" s="5" t="s">
        <v>4760</v>
      </c>
      <c r="E1099" s="5" t="s">
        <v>62</v>
      </c>
      <c r="F1099" s="5" t="s">
        <v>7670</v>
      </c>
      <c r="G1099" s="5" t="s">
        <v>7992</v>
      </c>
      <c r="H1099" s="5"/>
      <c r="I1099" s="5" t="s">
        <v>7992</v>
      </c>
    </row>
    <row r="1100" customFormat="false" ht="23.85" hidden="false" customHeight="false" outlineLevel="0" collapsed="false">
      <c r="A1100" s="5" t="s">
        <v>5359</v>
      </c>
      <c r="B1100" s="2" t="s">
        <v>5360</v>
      </c>
      <c r="C1100" s="5" t="s">
        <v>2128</v>
      </c>
      <c r="D1100" s="5" t="s">
        <v>4760</v>
      </c>
      <c r="E1100" s="5" t="s">
        <v>62</v>
      </c>
      <c r="F1100" s="5" t="s">
        <v>7670</v>
      </c>
      <c r="G1100" s="5" t="s">
        <v>7993</v>
      </c>
      <c r="H1100" s="5"/>
      <c r="I1100" s="5" t="s">
        <v>7993</v>
      </c>
    </row>
    <row r="1101" customFormat="false" ht="23.85" hidden="false" customHeight="false" outlineLevel="0" collapsed="false">
      <c r="A1101" s="5" t="s">
        <v>5365</v>
      </c>
      <c r="B1101" s="2" t="s">
        <v>5366</v>
      </c>
      <c r="C1101" s="5" t="s">
        <v>2128</v>
      </c>
      <c r="D1101" s="5" t="s">
        <v>4760</v>
      </c>
      <c r="E1101" s="5" t="s">
        <v>62</v>
      </c>
      <c r="F1101" s="5" t="s">
        <v>7670</v>
      </c>
      <c r="G1101" s="5" t="s">
        <v>7994</v>
      </c>
      <c r="H1101" s="5"/>
      <c r="I1101" s="5" t="s">
        <v>7994</v>
      </c>
    </row>
    <row r="1102" customFormat="false" ht="23.85" hidden="false" customHeight="false" outlineLevel="0" collapsed="false">
      <c r="A1102" s="5" t="s">
        <v>5365</v>
      </c>
      <c r="B1102" s="2" t="s">
        <v>5366</v>
      </c>
      <c r="C1102" s="5" t="s">
        <v>2128</v>
      </c>
      <c r="D1102" s="5" t="s">
        <v>4760</v>
      </c>
      <c r="E1102" s="5" t="s">
        <v>62</v>
      </c>
      <c r="F1102" s="5" t="s">
        <v>7670</v>
      </c>
      <c r="G1102" s="5" t="s">
        <v>7995</v>
      </c>
      <c r="H1102" s="5"/>
      <c r="I1102" s="5" t="s">
        <v>7995</v>
      </c>
    </row>
    <row r="1103" customFormat="false" ht="23.85" hidden="false" customHeight="false" outlineLevel="0" collapsed="false">
      <c r="A1103" s="5" t="s">
        <v>5371</v>
      </c>
      <c r="B1103" s="2" t="s">
        <v>5372</v>
      </c>
      <c r="C1103" s="5" t="s">
        <v>2128</v>
      </c>
      <c r="D1103" s="5" t="s">
        <v>4760</v>
      </c>
      <c r="E1103" s="5" t="s">
        <v>62</v>
      </c>
      <c r="F1103" s="5" t="s">
        <v>7670</v>
      </c>
      <c r="G1103" s="5" t="s">
        <v>4932</v>
      </c>
      <c r="H1103" s="5"/>
      <c r="I1103" s="5" t="s">
        <v>4932</v>
      </c>
    </row>
    <row r="1104" customFormat="false" ht="23.85" hidden="false" customHeight="false" outlineLevel="0" collapsed="false">
      <c r="A1104" s="5" t="s">
        <v>5376</v>
      </c>
      <c r="B1104" s="2" t="s">
        <v>5377</v>
      </c>
      <c r="C1104" s="5" t="s">
        <v>2128</v>
      </c>
      <c r="D1104" s="5" t="s">
        <v>4760</v>
      </c>
      <c r="E1104" s="5" t="s">
        <v>62</v>
      </c>
      <c r="F1104" s="5" t="s">
        <v>7670</v>
      </c>
      <c r="G1104" s="5" t="s">
        <v>7996</v>
      </c>
      <c r="H1104" s="5"/>
      <c r="I1104" s="5" t="s">
        <v>7996</v>
      </c>
    </row>
    <row r="1105" customFormat="false" ht="23.85" hidden="false" customHeight="false" outlineLevel="0" collapsed="false">
      <c r="A1105" s="5" t="s">
        <v>5376</v>
      </c>
      <c r="B1105" s="2" t="s">
        <v>5377</v>
      </c>
      <c r="C1105" s="5" t="s">
        <v>2128</v>
      </c>
      <c r="D1105" s="5" t="s">
        <v>4760</v>
      </c>
      <c r="E1105" s="5" t="s">
        <v>62</v>
      </c>
      <c r="F1105" s="5" t="s">
        <v>7670</v>
      </c>
      <c r="G1105" s="5" t="s">
        <v>7997</v>
      </c>
      <c r="H1105" s="5"/>
      <c r="I1105" s="5" t="s">
        <v>7997</v>
      </c>
    </row>
    <row r="1106" customFormat="false" ht="35.05" hidden="false" customHeight="false" outlineLevel="0" collapsed="false">
      <c r="A1106" s="5" t="s">
        <v>5382</v>
      </c>
      <c r="B1106" s="2" t="s">
        <v>5383</v>
      </c>
      <c r="C1106" s="5" t="s">
        <v>2128</v>
      </c>
      <c r="D1106" s="5" t="s">
        <v>4760</v>
      </c>
      <c r="E1106" s="5" t="s">
        <v>490</v>
      </c>
      <c r="F1106" s="5" t="s">
        <v>7670</v>
      </c>
      <c r="G1106" s="5" t="s">
        <v>7998</v>
      </c>
      <c r="H1106" s="5"/>
      <c r="I1106" s="5" t="s">
        <v>7998</v>
      </c>
    </row>
    <row r="1107" customFormat="false" ht="35.05" hidden="false" customHeight="false" outlineLevel="0" collapsed="false">
      <c r="A1107" s="5" t="s">
        <v>5382</v>
      </c>
      <c r="B1107" s="2" t="s">
        <v>5383</v>
      </c>
      <c r="C1107" s="5" t="s">
        <v>2128</v>
      </c>
      <c r="D1107" s="5" t="s">
        <v>4760</v>
      </c>
      <c r="E1107" s="5" t="s">
        <v>490</v>
      </c>
      <c r="F1107" s="5" t="s">
        <v>7670</v>
      </c>
      <c r="G1107" s="5" t="s">
        <v>7999</v>
      </c>
      <c r="H1107" s="5"/>
      <c r="I1107" s="5" t="s">
        <v>7999</v>
      </c>
    </row>
    <row r="1108" customFormat="false" ht="15" hidden="false" customHeight="false" outlineLevel="0" collapsed="false">
      <c r="A1108" s="5" t="s">
        <v>5389</v>
      </c>
      <c r="B1108" s="2" t="s">
        <v>5390</v>
      </c>
      <c r="C1108" s="5" t="s">
        <v>2128</v>
      </c>
      <c r="D1108" s="5" t="s">
        <v>4760</v>
      </c>
      <c r="E1108" s="5" t="s">
        <v>490</v>
      </c>
      <c r="F1108" s="5" t="s">
        <v>7670</v>
      </c>
      <c r="G1108" s="5" t="s">
        <v>4932</v>
      </c>
      <c r="H1108" s="5"/>
      <c r="I1108" s="5" t="s">
        <v>4932</v>
      </c>
    </row>
    <row r="1109" customFormat="false" ht="15" hidden="false" customHeight="false" outlineLevel="0" collapsed="false">
      <c r="A1109" s="5" t="s">
        <v>5389</v>
      </c>
      <c r="B1109" s="2" t="s">
        <v>5390</v>
      </c>
      <c r="C1109" s="5" t="s">
        <v>2128</v>
      </c>
      <c r="D1109" s="5" t="s">
        <v>4760</v>
      </c>
      <c r="E1109" s="5" t="s">
        <v>490</v>
      </c>
      <c r="F1109" s="5" t="s">
        <v>7669</v>
      </c>
      <c r="G1109" s="5" t="s">
        <v>2722</v>
      </c>
      <c r="H1109" s="5"/>
      <c r="I1109" s="5" t="s">
        <v>2722</v>
      </c>
    </row>
    <row r="1110" customFormat="false" ht="23.85" hidden="false" customHeight="false" outlineLevel="0" collapsed="false">
      <c r="A1110" s="5" t="s">
        <v>5394</v>
      </c>
      <c r="B1110" s="2" t="s">
        <v>5395</v>
      </c>
      <c r="C1110" s="5" t="s">
        <v>2128</v>
      </c>
      <c r="D1110" s="5" t="s">
        <v>4760</v>
      </c>
      <c r="E1110" s="5" t="s">
        <v>490</v>
      </c>
      <c r="F1110" s="5" t="s">
        <v>7670</v>
      </c>
      <c r="G1110" s="5" t="s">
        <v>8000</v>
      </c>
      <c r="H1110" s="5"/>
      <c r="I1110" s="5" t="s">
        <v>8000</v>
      </c>
    </row>
    <row r="1111" customFormat="false" ht="23.85" hidden="false" customHeight="false" outlineLevel="0" collapsed="false">
      <c r="A1111" s="5" t="s">
        <v>5394</v>
      </c>
      <c r="B1111" s="2" t="s">
        <v>5395</v>
      </c>
      <c r="C1111" s="5" t="s">
        <v>2128</v>
      </c>
      <c r="D1111" s="5" t="s">
        <v>4760</v>
      </c>
      <c r="E1111" s="5" t="s">
        <v>490</v>
      </c>
      <c r="F1111" s="5" t="s">
        <v>7670</v>
      </c>
      <c r="G1111" s="5" t="s">
        <v>8001</v>
      </c>
      <c r="H1111" s="5"/>
      <c r="I1111" s="5" t="s">
        <v>8001</v>
      </c>
    </row>
    <row r="1112" customFormat="false" ht="23.85" hidden="false" customHeight="false" outlineLevel="0" collapsed="false">
      <c r="A1112" s="5" t="s">
        <v>5394</v>
      </c>
      <c r="B1112" s="2" t="s">
        <v>5395</v>
      </c>
      <c r="C1112" s="5" t="s">
        <v>2128</v>
      </c>
      <c r="D1112" s="5" t="s">
        <v>4760</v>
      </c>
      <c r="E1112" s="5" t="s">
        <v>490</v>
      </c>
      <c r="F1112" s="5" t="s">
        <v>7670</v>
      </c>
      <c r="G1112" s="5" t="s">
        <v>8002</v>
      </c>
      <c r="H1112" s="5"/>
      <c r="I1112" s="5" t="s">
        <v>8002</v>
      </c>
    </row>
    <row r="1113" customFormat="false" ht="23.85" hidden="false" customHeight="false" outlineLevel="0" collapsed="false">
      <c r="A1113" s="5" t="s">
        <v>5394</v>
      </c>
      <c r="B1113" s="2" t="s">
        <v>5395</v>
      </c>
      <c r="C1113" s="5" t="s">
        <v>2128</v>
      </c>
      <c r="D1113" s="5" t="s">
        <v>4760</v>
      </c>
      <c r="E1113" s="5" t="s">
        <v>490</v>
      </c>
      <c r="F1113" s="5" t="s">
        <v>7670</v>
      </c>
      <c r="G1113" s="5" t="s">
        <v>8003</v>
      </c>
      <c r="H1113" s="5"/>
      <c r="I1113" s="5" t="s">
        <v>8003</v>
      </c>
    </row>
    <row r="1114" customFormat="false" ht="23.85" hidden="false" customHeight="false" outlineLevel="0" collapsed="false">
      <c r="A1114" s="5" t="s">
        <v>5394</v>
      </c>
      <c r="B1114" s="2" t="s">
        <v>5395</v>
      </c>
      <c r="C1114" s="5" t="s">
        <v>2128</v>
      </c>
      <c r="D1114" s="5" t="s">
        <v>4760</v>
      </c>
      <c r="E1114" s="5" t="s">
        <v>490</v>
      </c>
      <c r="F1114" s="5" t="s">
        <v>7670</v>
      </c>
      <c r="G1114" s="5" t="s">
        <v>8004</v>
      </c>
      <c r="H1114" s="5"/>
      <c r="I1114" s="5" t="s">
        <v>8004</v>
      </c>
    </row>
    <row r="1115" customFormat="false" ht="23.85" hidden="false" customHeight="false" outlineLevel="0" collapsed="false">
      <c r="A1115" s="5" t="s">
        <v>5394</v>
      </c>
      <c r="B1115" s="2" t="s">
        <v>5395</v>
      </c>
      <c r="C1115" s="5" t="s">
        <v>2128</v>
      </c>
      <c r="D1115" s="5" t="s">
        <v>4760</v>
      </c>
      <c r="E1115" s="5" t="s">
        <v>490</v>
      </c>
      <c r="F1115" s="5" t="s">
        <v>7670</v>
      </c>
      <c r="G1115" s="5" t="s">
        <v>8005</v>
      </c>
      <c r="H1115" s="5"/>
      <c r="I1115" s="5" t="s">
        <v>8005</v>
      </c>
    </row>
    <row r="1116" customFormat="false" ht="23.85" hidden="false" customHeight="false" outlineLevel="0" collapsed="false">
      <c r="A1116" s="5" t="s">
        <v>5394</v>
      </c>
      <c r="B1116" s="2" t="s">
        <v>5395</v>
      </c>
      <c r="C1116" s="5" t="s">
        <v>2128</v>
      </c>
      <c r="D1116" s="5" t="s">
        <v>4760</v>
      </c>
      <c r="E1116" s="5" t="s">
        <v>490</v>
      </c>
      <c r="F1116" s="5" t="s">
        <v>7670</v>
      </c>
      <c r="G1116" s="5" t="s">
        <v>8006</v>
      </c>
      <c r="H1116" s="5"/>
      <c r="I1116" s="5" t="s">
        <v>8006</v>
      </c>
    </row>
    <row r="1117" customFormat="false" ht="23.85" hidden="false" customHeight="false" outlineLevel="0" collapsed="false">
      <c r="A1117" s="5" t="s">
        <v>5394</v>
      </c>
      <c r="B1117" s="2" t="s">
        <v>5395</v>
      </c>
      <c r="C1117" s="5" t="s">
        <v>2128</v>
      </c>
      <c r="D1117" s="5" t="s">
        <v>4760</v>
      </c>
      <c r="E1117" s="5" t="s">
        <v>490</v>
      </c>
      <c r="F1117" s="5" t="s">
        <v>7670</v>
      </c>
      <c r="G1117" s="5" t="s">
        <v>8007</v>
      </c>
      <c r="H1117" s="5"/>
      <c r="I1117" s="5" t="s">
        <v>8007</v>
      </c>
    </row>
    <row r="1118" customFormat="false" ht="23.85" hidden="false" customHeight="false" outlineLevel="0" collapsed="false">
      <c r="A1118" s="5" t="s">
        <v>5394</v>
      </c>
      <c r="B1118" s="2" t="s">
        <v>5395</v>
      </c>
      <c r="C1118" s="5" t="s">
        <v>2128</v>
      </c>
      <c r="D1118" s="5" t="s">
        <v>4760</v>
      </c>
      <c r="E1118" s="5" t="s">
        <v>490</v>
      </c>
      <c r="F1118" s="5" t="s">
        <v>7669</v>
      </c>
      <c r="G1118" s="5" t="s">
        <v>5060</v>
      </c>
      <c r="H1118" s="5"/>
      <c r="I1118" s="5" t="s">
        <v>5060</v>
      </c>
    </row>
    <row r="1119" customFormat="false" ht="23.85" hidden="false" customHeight="false" outlineLevel="0" collapsed="false">
      <c r="A1119" s="5" t="s">
        <v>5401</v>
      </c>
      <c r="B1119" s="2" t="s">
        <v>5402</v>
      </c>
      <c r="C1119" s="5" t="s">
        <v>2245</v>
      </c>
      <c r="D1119" s="5" t="s">
        <v>4760</v>
      </c>
      <c r="E1119" s="5" t="s">
        <v>62</v>
      </c>
      <c r="F1119" s="5" t="s">
        <v>7670</v>
      </c>
      <c r="G1119" s="5" t="s">
        <v>8008</v>
      </c>
      <c r="H1119" s="5"/>
      <c r="I1119" s="5" t="s">
        <v>8008</v>
      </c>
    </row>
    <row r="1120" customFormat="false" ht="23.85" hidden="false" customHeight="false" outlineLevel="0" collapsed="false">
      <c r="A1120" s="5" t="s">
        <v>5401</v>
      </c>
      <c r="B1120" s="2" t="s">
        <v>5402</v>
      </c>
      <c r="C1120" s="5" t="s">
        <v>2245</v>
      </c>
      <c r="D1120" s="5" t="s">
        <v>4760</v>
      </c>
      <c r="E1120" s="5" t="s">
        <v>62</v>
      </c>
      <c r="F1120" s="5" t="s">
        <v>7670</v>
      </c>
      <c r="G1120" s="5" t="s">
        <v>8009</v>
      </c>
      <c r="H1120" s="5"/>
      <c r="I1120" s="5" t="s">
        <v>8009</v>
      </c>
    </row>
    <row r="1121" customFormat="false" ht="23.85" hidden="false" customHeight="false" outlineLevel="0" collapsed="false">
      <c r="A1121" s="5" t="s">
        <v>5407</v>
      </c>
      <c r="B1121" s="2" t="s">
        <v>5408</v>
      </c>
      <c r="C1121" s="5" t="s">
        <v>2128</v>
      </c>
      <c r="D1121" s="5" t="s">
        <v>4760</v>
      </c>
      <c r="E1121" s="5" t="s">
        <v>62</v>
      </c>
      <c r="F1121" s="5" t="s">
        <v>7670</v>
      </c>
      <c r="G1121" s="5" t="s">
        <v>4932</v>
      </c>
      <c r="H1121" s="5"/>
      <c r="I1121" s="5" t="s">
        <v>4932</v>
      </c>
    </row>
    <row r="1122" customFormat="false" ht="23.85" hidden="false" customHeight="false" outlineLevel="0" collapsed="false">
      <c r="A1122" s="5" t="s">
        <v>5412</v>
      </c>
      <c r="B1122" s="2" t="s">
        <v>5413</v>
      </c>
      <c r="C1122" s="5" t="s">
        <v>2128</v>
      </c>
      <c r="D1122" s="5" t="s">
        <v>4760</v>
      </c>
      <c r="E1122" s="5" t="s">
        <v>62</v>
      </c>
      <c r="F1122" s="5" t="s">
        <v>7670</v>
      </c>
      <c r="G1122" s="5" t="s">
        <v>8010</v>
      </c>
      <c r="H1122" s="5"/>
      <c r="I1122" s="5" t="s">
        <v>8010</v>
      </c>
    </row>
    <row r="1123" customFormat="false" ht="23.85" hidden="false" customHeight="false" outlineLevel="0" collapsed="false">
      <c r="A1123" s="5" t="s">
        <v>5412</v>
      </c>
      <c r="B1123" s="2" t="s">
        <v>5413</v>
      </c>
      <c r="C1123" s="5" t="s">
        <v>2128</v>
      </c>
      <c r="D1123" s="5" t="s">
        <v>4760</v>
      </c>
      <c r="E1123" s="5" t="s">
        <v>62</v>
      </c>
      <c r="F1123" s="5" t="s">
        <v>7670</v>
      </c>
      <c r="G1123" s="5" t="s">
        <v>8011</v>
      </c>
      <c r="H1123" s="5"/>
      <c r="I1123" s="5" t="s">
        <v>8011</v>
      </c>
    </row>
    <row r="1124" customFormat="false" ht="23.85" hidden="false" customHeight="false" outlineLevel="0" collapsed="false">
      <c r="A1124" s="5" t="s">
        <v>5418</v>
      </c>
      <c r="B1124" s="2" t="s">
        <v>5419</v>
      </c>
      <c r="C1124" s="5" t="s">
        <v>2128</v>
      </c>
      <c r="D1124" s="5" t="s">
        <v>4760</v>
      </c>
      <c r="E1124" s="5" t="s">
        <v>490</v>
      </c>
      <c r="F1124" s="5" t="s">
        <v>7670</v>
      </c>
      <c r="G1124" s="5" t="s">
        <v>4932</v>
      </c>
      <c r="H1124" s="5"/>
      <c r="I1124" s="5" t="s">
        <v>4932</v>
      </c>
    </row>
    <row r="1125" customFormat="false" ht="23.85" hidden="false" customHeight="false" outlineLevel="0" collapsed="false">
      <c r="A1125" s="5" t="s">
        <v>5423</v>
      </c>
      <c r="B1125" s="2" t="s">
        <v>5424</v>
      </c>
      <c r="C1125" s="5" t="s">
        <v>2128</v>
      </c>
      <c r="D1125" s="5" t="s">
        <v>4760</v>
      </c>
      <c r="E1125" s="5" t="s">
        <v>490</v>
      </c>
      <c r="F1125" s="5" t="s">
        <v>7670</v>
      </c>
      <c r="G1125" s="5" t="s">
        <v>8012</v>
      </c>
      <c r="H1125" s="5"/>
      <c r="I1125" s="5" t="s">
        <v>8012</v>
      </c>
    </row>
    <row r="1126" customFormat="false" ht="23.85" hidden="false" customHeight="false" outlineLevel="0" collapsed="false">
      <c r="A1126" s="5" t="s">
        <v>5423</v>
      </c>
      <c r="B1126" s="2" t="s">
        <v>5424</v>
      </c>
      <c r="C1126" s="5" t="s">
        <v>2128</v>
      </c>
      <c r="D1126" s="5" t="s">
        <v>4760</v>
      </c>
      <c r="E1126" s="5" t="s">
        <v>490</v>
      </c>
      <c r="F1126" s="5" t="s">
        <v>7670</v>
      </c>
      <c r="G1126" s="5" t="s">
        <v>8013</v>
      </c>
      <c r="H1126" s="5"/>
      <c r="I1126" s="5" t="s">
        <v>8013</v>
      </c>
    </row>
    <row r="1127" customFormat="false" ht="23.85" hidden="false" customHeight="false" outlineLevel="0" collapsed="false">
      <c r="A1127" s="5" t="s">
        <v>5429</v>
      </c>
      <c r="B1127" s="2" t="s">
        <v>5430</v>
      </c>
      <c r="C1127" s="5" t="s">
        <v>2128</v>
      </c>
      <c r="D1127" s="5" t="s">
        <v>4760</v>
      </c>
      <c r="E1127" s="5" t="s">
        <v>62</v>
      </c>
      <c r="F1127" s="5" t="s">
        <v>7669</v>
      </c>
      <c r="G1127" s="5" t="s">
        <v>2722</v>
      </c>
      <c r="H1127" s="5"/>
      <c r="I1127" s="5" t="s">
        <v>2722</v>
      </c>
    </row>
    <row r="1128" customFormat="false" ht="23.85" hidden="false" customHeight="false" outlineLevel="0" collapsed="false">
      <c r="A1128" s="5" t="s">
        <v>5434</v>
      </c>
      <c r="B1128" s="2" t="s">
        <v>5435</v>
      </c>
      <c r="C1128" s="5" t="s">
        <v>2128</v>
      </c>
      <c r="D1128" s="5" t="s">
        <v>4760</v>
      </c>
      <c r="E1128" s="5" t="s">
        <v>62</v>
      </c>
      <c r="F1128" s="5" t="s">
        <v>7669</v>
      </c>
      <c r="G1128" s="5" t="s">
        <v>5060</v>
      </c>
      <c r="H1128" s="5"/>
      <c r="I1128" s="5" t="s">
        <v>5060</v>
      </c>
    </row>
    <row r="1129" customFormat="false" ht="23.85" hidden="false" customHeight="false" outlineLevel="0" collapsed="false">
      <c r="A1129" s="5" t="s">
        <v>5439</v>
      </c>
      <c r="B1129" s="2" t="s">
        <v>5440</v>
      </c>
      <c r="C1129" s="5" t="s">
        <v>2128</v>
      </c>
      <c r="D1129" s="5" t="s">
        <v>4760</v>
      </c>
      <c r="E1129" s="5" t="s">
        <v>62</v>
      </c>
      <c r="F1129" s="5" t="s">
        <v>7670</v>
      </c>
      <c r="G1129" s="5" t="s">
        <v>8014</v>
      </c>
      <c r="H1129" s="5"/>
      <c r="I1129" s="5" t="s">
        <v>8014</v>
      </c>
    </row>
    <row r="1130" customFormat="false" ht="23.85" hidden="false" customHeight="false" outlineLevel="0" collapsed="false">
      <c r="A1130" s="5" t="s">
        <v>5439</v>
      </c>
      <c r="B1130" s="2" t="s">
        <v>5440</v>
      </c>
      <c r="C1130" s="5" t="s">
        <v>2128</v>
      </c>
      <c r="D1130" s="5" t="s">
        <v>4760</v>
      </c>
      <c r="E1130" s="5" t="s">
        <v>62</v>
      </c>
      <c r="F1130" s="5" t="s">
        <v>7670</v>
      </c>
      <c r="G1130" s="5" t="s">
        <v>8015</v>
      </c>
      <c r="H1130" s="5"/>
      <c r="I1130" s="5" t="s">
        <v>8015</v>
      </c>
    </row>
    <row r="1131" customFormat="false" ht="23.85" hidden="false" customHeight="false" outlineLevel="0" collapsed="false">
      <c r="A1131" s="5" t="s">
        <v>5439</v>
      </c>
      <c r="B1131" s="2" t="s">
        <v>5440</v>
      </c>
      <c r="C1131" s="5" t="s">
        <v>2128</v>
      </c>
      <c r="D1131" s="5" t="s">
        <v>4760</v>
      </c>
      <c r="E1131" s="5" t="s">
        <v>62</v>
      </c>
      <c r="F1131" s="5" t="s">
        <v>7670</v>
      </c>
      <c r="G1131" s="5" t="s">
        <v>8016</v>
      </c>
      <c r="H1131" s="5"/>
      <c r="I1131" s="5" t="s">
        <v>8016</v>
      </c>
    </row>
    <row r="1132" customFormat="false" ht="23.85" hidden="false" customHeight="false" outlineLevel="0" collapsed="false">
      <c r="A1132" s="5" t="s">
        <v>5439</v>
      </c>
      <c r="B1132" s="2" t="s">
        <v>5440</v>
      </c>
      <c r="C1132" s="5" t="s">
        <v>2128</v>
      </c>
      <c r="D1132" s="5" t="s">
        <v>4760</v>
      </c>
      <c r="E1132" s="5" t="s">
        <v>62</v>
      </c>
      <c r="F1132" s="5" t="s">
        <v>7670</v>
      </c>
      <c r="G1132" s="5" t="s">
        <v>8017</v>
      </c>
      <c r="H1132" s="5"/>
      <c r="I1132" s="5" t="s">
        <v>8017</v>
      </c>
    </row>
    <row r="1133" customFormat="false" ht="23.85" hidden="false" customHeight="false" outlineLevel="0" collapsed="false">
      <c r="A1133" s="5" t="s">
        <v>5439</v>
      </c>
      <c r="B1133" s="2" t="s">
        <v>5440</v>
      </c>
      <c r="C1133" s="5" t="s">
        <v>2128</v>
      </c>
      <c r="D1133" s="5" t="s">
        <v>4760</v>
      </c>
      <c r="E1133" s="5" t="s">
        <v>62</v>
      </c>
      <c r="F1133" s="5" t="s">
        <v>7670</v>
      </c>
      <c r="G1133" s="5" t="s">
        <v>8018</v>
      </c>
      <c r="H1133" s="5"/>
      <c r="I1133" s="5" t="s">
        <v>8018</v>
      </c>
    </row>
    <row r="1134" customFormat="false" ht="23.85" hidden="false" customHeight="false" outlineLevel="0" collapsed="false">
      <c r="A1134" s="5" t="s">
        <v>5439</v>
      </c>
      <c r="B1134" s="2" t="s">
        <v>5440</v>
      </c>
      <c r="C1134" s="5" t="s">
        <v>2128</v>
      </c>
      <c r="D1134" s="5" t="s">
        <v>4760</v>
      </c>
      <c r="E1134" s="5" t="s">
        <v>62</v>
      </c>
      <c r="F1134" s="5" t="s">
        <v>7670</v>
      </c>
      <c r="G1134" s="5" t="s">
        <v>8019</v>
      </c>
      <c r="H1134" s="5"/>
      <c r="I1134" s="5" t="s">
        <v>8019</v>
      </c>
    </row>
    <row r="1135" customFormat="false" ht="23.85" hidden="false" customHeight="false" outlineLevel="0" collapsed="false">
      <c r="A1135" s="5" t="s">
        <v>5439</v>
      </c>
      <c r="B1135" s="2" t="s">
        <v>5440</v>
      </c>
      <c r="C1135" s="5" t="s">
        <v>2128</v>
      </c>
      <c r="D1135" s="5" t="s">
        <v>4760</v>
      </c>
      <c r="E1135" s="5" t="s">
        <v>62</v>
      </c>
      <c r="F1135" s="5" t="s">
        <v>7669</v>
      </c>
      <c r="G1135" s="5" t="s">
        <v>5060</v>
      </c>
      <c r="H1135" s="5"/>
      <c r="I1135" s="5" t="s">
        <v>5060</v>
      </c>
    </row>
    <row r="1136" customFormat="false" ht="23.85" hidden="false" customHeight="false" outlineLevel="0" collapsed="false">
      <c r="A1136" s="5" t="s">
        <v>5446</v>
      </c>
      <c r="B1136" s="2" t="s">
        <v>5447</v>
      </c>
      <c r="C1136" s="5" t="s">
        <v>2128</v>
      </c>
      <c r="D1136" s="5" t="s">
        <v>4760</v>
      </c>
      <c r="E1136" s="5" t="s">
        <v>62</v>
      </c>
      <c r="F1136" s="5" t="s">
        <v>7670</v>
      </c>
      <c r="G1136" s="5" t="s">
        <v>8020</v>
      </c>
      <c r="H1136" s="5"/>
      <c r="I1136" s="5" t="s">
        <v>8020</v>
      </c>
    </row>
    <row r="1137" customFormat="false" ht="23.85" hidden="false" customHeight="false" outlineLevel="0" collapsed="false">
      <c r="A1137" s="5" t="s">
        <v>5446</v>
      </c>
      <c r="B1137" s="2" t="s">
        <v>5447</v>
      </c>
      <c r="C1137" s="5" t="s">
        <v>2128</v>
      </c>
      <c r="D1137" s="5" t="s">
        <v>4760</v>
      </c>
      <c r="E1137" s="5" t="s">
        <v>62</v>
      </c>
      <c r="F1137" s="5" t="s">
        <v>7670</v>
      </c>
      <c r="G1137" s="5" t="s">
        <v>8021</v>
      </c>
      <c r="H1137" s="5"/>
      <c r="I1137" s="5" t="s">
        <v>8021</v>
      </c>
    </row>
    <row r="1138" customFormat="false" ht="23.85" hidden="false" customHeight="false" outlineLevel="0" collapsed="false">
      <c r="A1138" s="5" t="s">
        <v>5452</v>
      </c>
      <c r="B1138" s="2" t="s">
        <v>5453</v>
      </c>
      <c r="C1138" s="5" t="s">
        <v>2128</v>
      </c>
      <c r="D1138" s="5" t="s">
        <v>4760</v>
      </c>
      <c r="E1138" s="5" t="s">
        <v>62</v>
      </c>
      <c r="F1138" s="5" t="s">
        <v>7669</v>
      </c>
      <c r="G1138" s="5" t="s">
        <v>2722</v>
      </c>
      <c r="H1138" s="5"/>
      <c r="I1138" s="5" t="s">
        <v>2722</v>
      </c>
    </row>
    <row r="1139" customFormat="false" ht="23.85" hidden="false" customHeight="false" outlineLevel="0" collapsed="false">
      <c r="A1139" s="5" t="s">
        <v>5457</v>
      </c>
      <c r="B1139" s="2" t="s">
        <v>5458</v>
      </c>
      <c r="C1139" s="5" t="s">
        <v>2128</v>
      </c>
      <c r="D1139" s="5" t="s">
        <v>4760</v>
      </c>
      <c r="E1139" s="5" t="s">
        <v>62</v>
      </c>
      <c r="F1139" s="5" t="s">
        <v>7670</v>
      </c>
      <c r="G1139" s="5" t="s">
        <v>8022</v>
      </c>
      <c r="H1139" s="5"/>
      <c r="I1139" s="5" t="s">
        <v>8022</v>
      </c>
    </row>
    <row r="1140" customFormat="false" ht="23.85" hidden="false" customHeight="false" outlineLevel="0" collapsed="false">
      <c r="A1140" s="5" t="s">
        <v>5457</v>
      </c>
      <c r="B1140" s="2" t="s">
        <v>5458</v>
      </c>
      <c r="C1140" s="5" t="s">
        <v>2128</v>
      </c>
      <c r="D1140" s="5" t="s">
        <v>4760</v>
      </c>
      <c r="E1140" s="5" t="s">
        <v>62</v>
      </c>
      <c r="F1140" s="5" t="s">
        <v>7670</v>
      </c>
      <c r="G1140" s="5" t="s">
        <v>8023</v>
      </c>
      <c r="H1140" s="5"/>
      <c r="I1140" s="5" t="s">
        <v>8023</v>
      </c>
    </row>
    <row r="1141" customFormat="false" ht="23.85" hidden="false" customHeight="false" outlineLevel="0" collapsed="false">
      <c r="A1141" s="5" t="s">
        <v>5457</v>
      </c>
      <c r="B1141" s="2" t="s">
        <v>5458</v>
      </c>
      <c r="C1141" s="5" t="s">
        <v>2128</v>
      </c>
      <c r="D1141" s="5" t="s">
        <v>4760</v>
      </c>
      <c r="E1141" s="5" t="s">
        <v>62</v>
      </c>
      <c r="F1141" s="5" t="s">
        <v>7669</v>
      </c>
      <c r="G1141" s="5" t="s">
        <v>5060</v>
      </c>
      <c r="H1141" s="5"/>
      <c r="I1141" s="5" t="s">
        <v>5060</v>
      </c>
    </row>
    <row r="1142" customFormat="false" ht="23.85" hidden="false" customHeight="false" outlineLevel="0" collapsed="false">
      <c r="A1142" s="5" t="s">
        <v>5464</v>
      </c>
      <c r="B1142" s="2" t="s">
        <v>5465</v>
      </c>
      <c r="C1142" s="5" t="s">
        <v>2245</v>
      </c>
      <c r="D1142" s="5" t="s">
        <v>4760</v>
      </c>
      <c r="E1142" s="5" t="s">
        <v>62</v>
      </c>
      <c r="F1142" s="5" t="s">
        <v>7670</v>
      </c>
      <c r="G1142" s="5" t="s">
        <v>8024</v>
      </c>
      <c r="H1142" s="5"/>
      <c r="I1142" s="5" t="s">
        <v>8024</v>
      </c>
    </row>
    <row r="1143" customFormat="false" ht="23.85" hidden="false" customHeight="false" outlineLevel="0" collapsed="false">
      <c r="A1143" s="5" t="s">
        <v>5464</v>
      </c>
      <c r="B1143" s="2" t="s">
        <v>5465</v>
      </c>
      <c r="C1143" s="5" t="s">
        <v>2245</v>
      </c>
      <c r="D1143" s="5" t="s">
        <v>4760</v>
      </c>
      <c r="E1143" s="5" t="s">
        <v>62</v>
      </c>
      <c r="F1143" s="5" t="s">
        <v>7670</v>
      </c>
      <c r="G1143" s="5" t="s">
        <v>8025</v>
      </c>
      <c r="H1143" s="5"/>
      <c r="I1143" s="5" t="s">
        <v>8025</v>
      </c>
    </row>
    <row r="1144" customFormat="false" ht="15" hidden="false" customHeight="false" outlineLevel="0" collapsed="false">
      <c r="A1144" s="5" t="s">
        <v>5470</v>
      </c>
      <c r="B1144" s="2" t="s">
        <v>5471</v>
      </c>
      <c r="C1144" s="5" t="s">
        <v>2128</v>
      </c>
      <c r="D1144" s="5" t="s">
        <v>4760</v>
      </c>
      <c r="E1144" s="5" t="s">
        <v>62</v>
      </c>
      <c r="F1144" s="5" t="s">
        <v>7670</v>
      </c>
      <c r="G1144" s="5" t="s">
        <v>4932</v>
      </c>
      <c r="H1144" s="5"/>
      <c r="I1144" s="5" t="s">
        <v>4932</v>
      </c>
    </row>
    <row r="1145" customFormat="false" ht="15" hidden="false" customHeight="false" outlineLevel="0" collapsed="false">
      <c r="A1145" s="5" t="s">
        <v>5470</v>
      </c>
      <c r="B1145" s="2" t="s">
        <v>5471</v>
      </c>
      <c r="C1145" s="5" t="s">
        <v>2128</v>
      </c>
      <c r="D1145" s="5" t="s">
        <v>4760</v>
      </c>
      <c r="E1145" s="5" t="s">
        <v>62</v>
      </c>
      <c r="F1145" s="5" t="s">
        <v>7669</v>
      </c>
      <c r="G1145" s="5" t="s">
        <v>2722</v>
      </c>
      <c r="H1145" s="5"/>
      <c r="I1145" s="5" t="s">
        <v>2722</v>
      </c>
    </row>
    <row r="1146" customFormat="false" ht="23.85" hidden="false" customHeight="false" outlineLevel="0" collapsed="false">
      <c r="A1146" s="5" t="s">
        <v>5475</v>
      </c>
      <c r="B1146" s="2" t="s">
        <v>5476</v>
      </c>
      <c r="C1146" s="5" t="s">
        <v>2128</v>
      </c>
      <c r="D1146" s="5" t="s">
        <v>4760</v>
      </c>
      <c r="E1146" s="5" t="s">
        <v>62</v>
      </c>
      <c r="F1146" s="5" t="s">
        <v>7670</v>
      </c>
      <c r="G1146" s="5" t="s">
        <v>8026</v>
      </c>
      <c r="H1146" s="5"/>
      <c r="I1146" s="5" t="s">
        <v>8026</v>
      </c>
    </row>
    <row r="1147" customFormat="false" ht="23.85" hidden="false" customHeight="false" outlineLevel="0" collapsed="false">
      <c r="A1147" s="5" t="s">
        <v>5475</v>
      </c>
      <c r="B1147" s="2" t="s">
        <v>5476</v>
      </c>
      <c r="C1147" s="5" t="s">
        <v>2128</v>
      </c>
      <c r="D1147" s="5" t="s">
        <v>4760</v>
      </c>
      <c r="E1147" s="5" t="s">
        <v>62</v>
      </c>
      <c r="F1147" s="5" t="s">
        <v>7670</v>
      </c>
      <c r="G1147" s="5" t="s">
        <v>8027</v>
      </c>
      <c r="H1147" s="5"/>
      <c r="I1147" s="5" t="s">
        <v>8027</v>
      </c>
    </row>
    <row r="1148" customFormat="false" ht="23.85" hidden="false" customHeight="false" outlineLevel="0" collapsed="false">
      <c r="A1148" s="5" t="s">
        <v>5475</v>
      </c>
      <c r="B1148" s="2" t="s">
        <v>5476</v>
      </c>
      <c r="C1148" s="5" t="s">
        <v>2128</v>
      </c>
      <c r="D1148" s="5" t="s">
        <v>4760</v>
      </c>
      <c r="E1148" s="5" t="s">
        <v>62</v>
      </c>
      <c r="F1148" s="5" t="s">
        <v>7669</v>
      </c>
      <c r="G1148" s="5" t="s">
        <v>5060</v>
      </c>
      <c r="H1148" s="5"/>
      <c r="I1148" s="5" t="s">
        <v>5060</v>
      </c>
    </row>
    <row r="1149" customFormat="false" ht="23.85" hidden="false" customHeight="false" outlineLevel="0" collapsed="false">
      <c r="A1149" s="5" t="s">
        <v>5482</v>
      </c>
      <c r="B1149" s="2" t="s">
        <v>5483</v>
      </c>
      <c r="C1149" s="5" t="s">
        <v>2128</v>
      </c>
      <c r="D1149" s="5" t="s">
        <v>4760</v>
      </c>
      <c r="E1149" s="5" t="s">
        <v>62</v>
      </c>
      <c r="F1149" s="5" t="s">
        <v>7670</v>
      </c>
      <c r="G1149" s="5" t="s">
        <v>4932</v>
      </c>
      <c r="H1149" s="5"/>
      <c r="I1149" s="5" t="s">
        <v>4932</v>
      </c>
    </row>
    <row r="1150" customFormat="false" ht="23.85" hidden="false" customHeight="false" outlineLevel="0" collapsed="false">
      <c r="A1150" s="5" t="s">
        <v>5487</v>
      </c>
      <c r="B1150" s="2" t="s">
        <v>5488</v>
      </c>
      <c r="C1150" s="5" t="s">
        <v>2128</v>
      </c>
      <c r="D1150" s="5" t="s">
        <v>4760</v>
      </c>
      <c r="E1150" s="5" t="s">
        <v>62</v>
      </c>
      <c r="F1150" s="5" t="s">
        <v>7670</v>
      </c>
      <c r="G1150" s="5" t="s">
        <v>8028</v>
      </c>
      <c r="H1150" s="5"/>
      <c r="I1150" s="5" t="s">
        <v>8028</v>
      </c>
    </row>
    <row r="1151" customFormat="false" ht="23.85" hidden="false" customHeight="false" outlineLevel="0" collapsed="false">
      <c r="A1151" s="5" t="s">
        <v>5487</v>
      </c>
      <c r="B1151" s="2" t="s">
        <v>5488</v>
      </c>
      <c r="C1151" s="5" t="s">
        <v>2128</v>
      </c>
      <c r="D1151" s="5" t="s">
        <v>4760</v>
      </c>
      <c r="E1151" s="5" t="s">
        <v>62</v>
      </c>
      <c r="F1151" s="5" t="s">
        <v>7670</v>
      </c>
      <c r="G1151" s="5" t="s">
        <v>8029</v>
      </c>
      <c r="H1151" s="5"/>
      <c r="I1151" s="5" t="s">
        <v>8029</v>
      </c>
    </row>
    <row r="1152" customFormat="false" ht="23.85" hidden="false" customHeight="false" outlineLevel="0" collapsed="false">
      <c r="A1152" s="5" t="s">
        <v>5487</v>
      </c>
      <c r="B1152" s="2" t="s">
        <v>5488</v>
      </c>
      <c r="C1152" s="5" t="s">
        <v>2128</v>
      </c>
      <c r="D1152" s="5" t="s">
        <v>4760</v>
      </c>
      <c r="E1152" s="5" t="s">
        <v>62</v>
      </c>
      <c r="F1152" s="5" t="s">
        <v>7669</v>
      </c>
      <c r="G1152" s="5" t="s">
        <v>5060</v>
      </c>
      <c r="H1152" s="5"/>
      <c r="I1152" s="5" t="s">
        <v>5060</v>
      </c>
    </row>
    <row r="1153" customFormat="false" ht="23.85" hidden="false" customHeight="false" outlineLevel="0" collapsed="false">
      <c r="A1153" s="5" t="s">
        <v>5494</v>
      </c>
      <c r="B1153" s="2" t="s">
        <v>5495</v>
      </c>
      <c r="C1153" s="5" t="s">
        <v>2128</v>
      </c>
      <c r="D1153" s="5" t="s">
        <v>4760</v>
      </c>
      <c r="E1153" s="5" t="s">
        <v>62</v>
      </c>
      <c r="F1153" s="5" t="s">
        <v>7670</v>
      </c>
      <c r="G1153" s="5" t="s">
        <v>8030</v>
      </c>
      <c r="H1153" s="5"/>
      <c r="I1153" s="5" t="s">
        <v>8030</v>
      </c>
    </row>
    <row r="1154" customFormat="false" ht="23.85" hidden="false" customHeight="false" outlineLevel="0" collapsed="false">
      <c r="A1154" s="5" t="s">
        <v>5494</v>
      </c>
      <c r="B1154" s="2" t="s">
        <v>5495</v>
      </c>
      <c r="C1154" s="5" t="s">
        <v>2128</v>
      </c>
      <c r="D1154" s="5" t="s">
        <v>4760</v>
      </c>
      <c r="E1154" s="5" t="s">
        <v>62</v>
      </c>
      <c r="F1154" s="5" t="s">
        <v>7670</v>
      </c>
      <c r="G1154" s="5" t="s">
        <v>8031</v>
      </c>
      <c r="H1154" s="5"/>
      <c r="I1154" s="5" t="s">
        <v>8031</v>
      </c>
    </row>
    <row r="1155" customFormat="false" ht="23.85" hidden="false" customHeight="false" outlineLevel="0" collapsed="false">
      <c r="A1155" s="5" t="s">
        <v>5500</v>
      </c>
      <c r="B1155" s="2" t="s">
        <v>5501</v>
      </c>
      <c r="C1155" s="5" t="s">
        <v>2245</v>
      </c>
      <c r="D1155" s="5" t="s">
        <v>4760</v>
      </c>
      <c r="E1155" s="5" t="s">
        <v>62</v>
      </c>
      <c r="F1155" s="5" t="s">
        <v>7670</v>
      </c>
      <c r="G1155" s="5" t="s">
        <v>8032</v>
      </c>
      <c r="H1155" s="5"/>
      <c r="I1155" s="5" t="s">
        <v>8032</v>
      </c>
    </row>
    <row r="1156" customFormat="false" ht="23.85" hidden="false" customHeight="false" outlineLevel="0" collapsed="false">
      <c r="A1156" s="5" t="s">
        <v>5500</v>
      </c>
      <c r="B1156" s="2" t="s">
        <v>5501</v>
      </c>
      <c r="C1156" s="5" t="s">
        <v>2245</v>
      </c>
      <c r="D1156" s="5" t="s">
        <v>4760</v>
      </c>
      <c r="E1156" s="5" t="s">
        <v>62</v>
      </c>
      <c r="F1156" s="5" t="s">
        <v>7670</v>
      </c>
      <c r="G1156" s="5" t="s">
        <v>8033</v>
      </c>
      <c r="H1156" s="5"/>
      <c r="I1156" s="5" t="s">
        <v>8033</v>
      </c>
    </row>
    <row r="1157" customFormat="false" ht="23.85" hidden="false" customHeight="false" outlineLevel="0" collapsed="false">
      <c r="A1157" s="5" t="s">
        <v>5506</v>
      </c>
      <c r="B1157" s="2" t="s">
        <v>5507</v>
      </c>
      <c r="C1157" s="5" t="s">
        <v>2128</v>
      </c>
      <c r="D1157" s="5" t="s">
        <v>4760</v>
      </c>
      <c r="E1157" s="5" t="s">
        <v>62</v>
      </c>
      <c r="F1157" s="5" t="s">
        <v>7670</v>
      </c>
      <c r="G1157" s="5" t="s">
        <v>8034</v>
      </c>
      <c r="H1157" s="5"/>
      <c r="I1157" s="5" t="s">
        <v>8034</v>
      </c>
    </row>
    <row r="1158" customFormat="false" ht="23.85" hidden="false" customHeight="false" outlineLevel="0" collapsed="false">
      <c r="A1158" s="5" t="s">
        <v>5506</v>
      </c>
      <c r="B1158" s="2" t="s">
        <v>5507</v>
      </c>
      <c r="C1158" s="5" t="s">
        <v>2128</v>
      </c>
      <c r="D1158" s="5" t="s">
        <v>4760</v>
      </c>
      <c r="E1158" s="5" t="s">
        <v>62</v>
      </c>
      <c r="F1158" s="5" t="s">
        <v>7670</v>
      </c>
      <c r="G1158" s="5" t="s">
        <v>8035</v>
      </c>
      <c r="H1158" s="5"/>
      <c r="I1158" s="5" t="s">
        <v>8035</v>
      </c>
    </row>
    <row r="1159" customFormat="false" ht="15" hidden="false" customHeight="false" outlineLevel="0" collapsed="false">
      <c r="A1159" s="5" t="s">
        <v>5512</v>
      </c>
      <c r="B1159" s="2" t="s">
        <v>5513</v>
      </c>
      <c r="C1159" s="5" t="s">
        <v>2128</v>
      </c>
      <c r="D1159" s="5" t="s">
        <v>4760</v>
      </c>
      <c r="E1159" s="5" t="s">
        <v>62</v>
      </c>
      <c r="F1159" s="5" t="s">
        <v>7670</v>
      </c>
      <c r="G1159" s="5" t="s">
        <v>4932</v>
      </c>
      <c r="H1159" s="5"/>
      <c r="I1159" s="5" t="s">
        <v>4932</v>
      </c>
    </row>
    <row r="1160" customFormat="false" ht="15" hidden="false" customHeight="false" outlineLevel="0" collapsed="false">
      <c r="A1160" s="5" t="s">
        <v>5512</v>
      </c>
      <c r="B1160" s="2" t="s">
        <v>5513</v>
      </c>
      <c r="C1160" s="5" t="s">
        <v>2128</v>
      </c>
      <c r="D1160" s="5" t="s">
        <v>4760</v>
      </c>
      <c r="E1160" s="5" t="s">
        <v>62</v>
      </c>
      <c r="F1160" s="5" t="s">
        <v>7669</v>
      </c>
      <c r="G1160" s="5" t="s">
        <v>2722</v>
      </c>
      <c r="H1160" s="5"/>
      <c r="I1160" s="5" t="s">
        <v>2722</v>
      </c>
    </row>
    <row r="1161" customFormat="false" ht="23.85" hidden="false" customHeight="false" outlineLevel="0" collapsed="false">
      <c r="A1161" s="5" t="s">
        <v>5517</v>
      </c>
      <c r="B1161" s="2" t="s">
        <v>5518</v>
      </c>
      <c r="C1161" s="5" t="s">
        <v>2128</v>
      </c>
      <c r="D1161" s="5" t="s">
        <v>4760</v>
      </c>
      <c r="E1161" s="5" t="s">
        <v>62</v>
      </c>
      <c r="F1161" s="5" t="s">
        <v>7670</v>
      </c>
      <c r="G1161" s="5" t="s">
        <v>7893</v>
      </c>
      <c r="H1161" s="5"/>
      <c r="I1161" s="5" t="s">
        <v>7893</v>
      </c>
    </row>
    <row r="1162" customFormat="false" ht="23.85" hidden="false" customHeight="false" outlineLevel="0" collapsed="false">
      <c r="A1162" s="5" t="s">
        <v>5517</v>
      </c>
      <c r="B1162" s="2" t="s">
        <v>5518</v>
      </c>
      <c r="C1162" s="5" t="s">
        <v>2128</v>
      </c>
      <c r="D1162" s="5" t="s">
        <v>4760</v>
      </c>
      <c r="E1162" s="5" t="s">
        <v>62</v>
      </c>
      <c r="F1162" s="5" t="s">
        <v>7670</v>
      </c>
      <c r="G1162" s="5" t="s">
        <v>7894</v>
      </c>
      <c r="H1162" s="5"/>
      <c r="I1162" s="5" t="s">
        <v>7894</v>
      </c>
    </row>
    <row r="1163" customFormat="false" ht="23.85" hidden="false" customHeight="false" outlineLevel="0" collapsed="false">
      <c r="A1163" s="5" t="s">
        <v>5517</v>
      </c>
      <c r="B1163" s="2" t="s">
        <v>5518</v>
      </c>
      <c r="C1163" s="5" t="s">
        <v>2128</v>
      </c>
      <c r="D1163" s="5" t="s">
        <v>4760</v>
      </c>
      <c r="E1163" s="5" t="s">
        <v>62</v>
      </c>
      <c r="F1163" s="5" t="s">
        <v>7669</v>
      </c>
      <c r="G1163" s="5" t="s">
        <v>5060</v>
      </c>
      <c r="H1163" s="5"/>
      <c r="I1163" s="5" t="s">
        <v>5060</v>
      </c>
    </row>
    <row r="1164" customFormat="false" ht="15" hidden="false" customHeight="false" outlineLevel="0" collapsed="false">
      <c r="A1164" s="5" t="s">
        <v>5524</v>
      </c>
      <c r="B1164" s="2" t="s">
        <v>5525</v>
      </c>
      <c r="C1164" s="5" t="s">
        <v>2128</v>
      </c>
      <c r="D1164" s="5" t="s">
        <v>4760</v>
      </c>
      <c r="E1164" s="5" t="s">
        <v>62</v>
      </c>
      <c r="F1164" s="5" t="s">
        <v>7669</v>
      </c>
      <c r="G1164" s="5" t="s">
        <v>2722</v>
      </c>
      <c r="H1164" s="5"/>
      <c r="I1164" s="5" t="s">
        <v>2722</v>
      </c>
    </row>
    <row r="1165" customFormat="false" ht="23.85" hidden="false" customHeight="false" outlineLevel="0" collapsed="false">
      <c r="A1165" s="5" t="s">
        <v>5529</v>
      </c>
      <c r="B1165" s="2" t="s">
        <v>5530</v>
      </c>
      <c r="C1165" s="5" t="s">
        <v>2128</v>
      </c>
      <c r="D1165" s="5" t="s">
        <v>4760</v>
      </c>
      <c r="E1165" s="5" t="s">
        <v>62</v>
      </c>
      <c r="F1165" s="5" t="s">
        <v>7670</v>
      </c>
      <c r="G1165" s="5" t="s">
        <v>8036</v>
      </c>
      <c r="H1165" s="5"/>
      <c r="I1165" s="5" t="s">
        <v>8036</v>
      </c>
    </row>
    <row r="1166" customFormat="false" ht="23.85" hidden="false" customHeight="false" outlineLevel="0" collapsed="false">
      <c r="A1166" s="5" t="s">
        <v>5529</v>
      </c>
      <c r="B1166" s="2" t="s">
        <v>5530</v>
      </c>
      <c r="C1166" s="5" t="s">
        <v>2128</v>
      </c>
      <c r="D1166" s="5" t="s">
        <v>4760</v>
      </c>
      <c r="E1166" s="5" t="s">
        <v>62</v>
      </c>
      <c r="F1166" s="5" t="s">
        <v>7670</v>
      </c>
      <c r="G1166" s="5" t="s">
        <v>8037</v>
      </c>
      <c r="H1166" s="5"/>
      <c r="I1166" s="5" t="s">
        <v>8037</v>
      </c>
    </row>
    <row r="1167" customFormat="false" ht="23.85" hidden="false" customHeight="false" outlineLevel="0" collapsed="false">
      <c r="A1167" s="5" t="s">
        <v>5529</v>
      </c>
      <c r="B1167" s="2" t="s">
        <v>5530</v>
      </c>
      <c r="C1167" s="5" t="s">
        <v>2128</v>
      </c>
      <c r="D1167" s="5" t="s">
        <v>4760</v>
      </c>
      <c r="E1167" s="5" t="s">
        <v>62</v>
      </c>
      <c r="F1167" s="5" t="s">
        <v>7670</v>
      </c>
      <c r="G1167" s="5" t="s">
        <v>8038</v>
      </c>
      <c r="H1167" s="5"/>
      <c r="I1167" s="5" t="s">
        <v>8038</v>
      </c>
    </row>
    <row r="1168" customFormat="false" ht="23.85" hidden="false" customHeight="false" outlineLevel="0" collapsed="false">
      <c r="A1168" s="5" t="s">
        <v>5529</v>
      </c>
      <c r="B1168" s="2" t="s">
        <v>5530</v>
      </c>
      <c r="C1168" s="5" t="s">
        <v>2128</v>
      </c>
      <c r="D1168" s="5" t="s">
        <v>4760</v>
      </c>
      <c r="E1168" s="5" t="s">
        <v>62</v>
      </c>
      <c r="F1168" s="5" t="s">
        <v>7670</v>
      </c>
      <c r="G1168" s="5" t="s">
        <v>8039</v>
      </c>
      <c r="H1168" s="5"/>
      <c r="I1168" s="5" t="s">
        <v>8039</v>
      </c>
    </row>
    <row r="1169" customFormat="false" ht="23.85" hidden="false" customHeight="false" outlineLevel="0" collapsed="false">
      <c r="A1169" s="5" t="s">
        <v>5529</v>
      </c>
      <c r="B1169" s="2" t="s">
        <v>5530</v>
      </c>
      <c r="C1169" s="5" t="s">
        <v>2128</v>
      </c>
      <c r="D1169" s="5" t="s">
        <v>4760</v>
      </c>
      <c r="E1169" s="5" t="s">
        <v>62</v>
      </c>
      <c r="F1169" s="5" t="s">
        <v>7670</v>
      </c>
      <c r="G1169" s="5" t="s">
        <v>8040</v>
      </c>
      <c r="H1169" s="5"/>
      <c r="I1169" s="5" t="s">
        <v>8040</v>
      </c>
    </row>
    <row r="1170" customFormat="false" ht="23.85" hidden="false" customHeight="false" outlineLevel="0" collapsed="false">
      <c r="A1170" s="5" t="s">
        <v>5529</v>
      </c>
      <c r="B1170" s="2" t="s">
        <v>5530</v>
      </c>
      <c r="C1170" s="5" t="s">
        <v>2128</v>
      </c>
      <c r="D1170" s="5" t="s">
        <v>4760</v>
      </c>
      <c r="E1170" s="5" t="s">
        <v>62</v>
      </c>
      <c r="F1170" s="5" t="s">
        <v>7670</v>
      </c>
      <c r="G1170" s="5" t="s">
        <v>8041</v>
      </c>
      <c r="H1170" s="5"/>
      <c r="I1170" s="5" t="s">
        <v>8041</v>
      </c>
    </row>
    <row r="1171" customFormat="false" ht="23.85" hidden="false" customHeight="false" outlineLevel="0" collapsed="false">
      <c r="A1171" s="5" t="s">
        <v>5529</v>
      </c>
      <c r="B1171" s="2" t="s">
        <v>5530</v>
      </c>
      <c r="C1171" s="5" t="s">
        <v>2128</v>
      </c>
      <c r="D1171" s="5" t="s">
        <v>4760</v>
      </c>
      <c r="E1171" s="5" t="s">
        <v>62</v>
      </c>
      <c r="F1171" s="5" t="s">
        <v>7669</v>
      </c>
      <c r="G1171" s="5" t="s">
        <v>5060</v>
      </c>
      <c r="H1171" s="5"/>
      <c r="I1171" s="5" t="s">
        <v>5060</v>
      </c>
    </row>
    <row r="1172" customFormat="false" ht="23.85" hidden="false" customHeight="false" outlineLevel="0" collapsed="false">
      <c r="A1172" s="5" t="s">
        <v>5536</v>
      </c>
      <c r="B1172" s="2" t="s">
        <v>5537</v>
      </c>
      <c r="C1172" s="5" t="s">
        <v>2128</v>
      </c>
      <c r="D1172" s="5" t="s">
        <v>4760</v>
      </c>
      <c r="E1172" s="5" t="s">
        <v>62</v>
      </c>
      <c r="F1172" s="5" t="s">
        <v>7670</v>
      </c>
      <c r="G1172" s="5" t="s">
        <v>4932</v>
      </c>
      <c r="H1172" s="5"/>
      <c r="I1172" s="5" t="s">
        <v>4932</v>
      </c>
    </row>
    <row r="1173" customFormat="false" ht="23.85" hidden="false" customHeight="false" outlineLevel="0" collapsed="false">
      <c r="A1173" s="5" t="s">
        <v>5541</v>
      </c>
      <c r="B1173" s="2" t="s">
        <v>5542</v>
      </c>
      <c r="C1173" s="5" t="s">
        <v>2128</v>
      </c>
      <c r="D1173" s="5" t="s">
        <v>4760</v>
      </c>
      <c r="E1173" s="5" t="s">
        <v>62</v>
      </c>
      <c r="F1173" s="5" t="s">
        <v>7670</v>
      </c>
      <c r="G1173" s="5" t="s">
        <v>8042</v>
      </c>
      <c r="H1173" s="5"/>
      <c r="I1173" s="5" t="s">
        <v>8042</v>
      </c>
    </row>
    <row r="1174" customFormat="false" ht="23.85" hidden="false" customHeight="false" outlineLevel="0" collapsed="false">
      <c r="A1174" s="5" t="s">
        <v>5541</v>
      </c>
      <c r="B1174" s="2" t="s">
        <v>5542</v>
      </c>
      <c r="C1174" s="5" t="s">
        <v>2128</v>
      </c>
      <c r="D1174" s="5" t="s">
        <v>4760</v>
      </c>
      <c r="E1174" s="5" t="s">
        <v>62</v>
      </c>
      <c r="F1174" s="5" t="s">
        <v>7670</v>
      </c>
      <c r="G1174" s="5" t="s">
        <v>8043</v>
      </c>
      <c r="H1174" s="5"/>
      <c r="I1174" s="5" t="s">
        <v>8043</v>
      </c>
    </row>
    <row r="1175" customFormat="false" ht="23.85" hidden="false" customHeight="false" outlineLevel="0" collapsed="false">
      <c r="A1175" s="5" t="s">
        <v>5547</v>
      </c>
      <c r="B1175" s="2" t="s">
        <v>5548</v>
      </c>
      <c r="C1175" s="5" t="s">
        <v>2128</v>
      </c>
      <c r="D1175" s="5" t="s">
        <v>4760</v>
      </c>
      <c r="E1175" s="5" t="s">
        <v>62</v>
      </c>
      <c r="F1175" s="5" t="s">
        <v>7670</v>
      </c>
      <c r="G1175" s="5" t="s">
        <v>4932</v>
      </c>
      <c r="H1175" s="5"/>
      <c r="I1175" s="5" t="s">
        <v>4932</v>
      </c>
    </row>
    <row r="1176" customFormat="false" ht="23.85" hidden="false" customHeight="false" outlineLevel="0" collapsed="false">
      <c r="A1176" s="5" t="s">
        <v>5553</v>
      </c>
      <c r="B1176" s="2" t="s">
        <v>5554</v>
      </c>
      <c r="C1176" s="5" t="s">
        <v>2128</v>
      </c>
      <c r="D1176" s="5" t="s">
        <v>4760</v>
      </c>
      <c r="E1176" s="5" t="s">
        <v>62</v>
      </c>
      <c r="F1176" s="5" t="s">
        <v>7670</v>
      </c>
      <c r="G1176" s="5" t="s">
        <v>8044</v>
      </c>
      <c r="H1176" s="5"/>
      <c r="I1176" s="5" t="s">
        <v>8044</v>
      </c>
    </row>
    <row r="1177" customFormat="false" ht="23.85" hidden="false" customHeight="false" outlineLevel="0" collapsed="false">
      <c r="A1177" s="5" t="s">
        <v>5553</v>
      </c>
      <c r="B1177" s="2" t="s">
        <v>5554</v>
      </c>
      <c r="C1177" s="5" t="s">
        <v>2128</v>
      </c>
      <c r="D1177" s="5" t="s">
        <v>4760</v>
      </c>
      <c r="E1177" s="5" t="s">
        <v>62</v>
      </c>
      <c r="F1177" s="5" t="s">
        <v>7670</v>
      </c>
      <c r="G1177" s="5" t="s">
        <v>8045</v>
      </c>
      <c r="H1177" s="5"/>
      <c r="I1177" s="5" t="s">
        <v>8045</v>
      </c>
    </row>
    <row r="1178" customFormat="false" ht="23.85" hidden="false" customHeight="false" outlineLevel="0" collapsed="false">
      <c r="A1178" s="5" t="s">
        <v>5559</v>
      </c>
      <c r="B1178" s="2" t="s">
        <v>5560</v>
      </c>
      <c r="C1178" s="5" t="s">
        <v>2128</v>
      </c>
      <c r="D1178" s="5" t="s">
        <v>4760</v>
      </c>
      <c r="E1178" s="5" t="s">
        <v>62</v>
      </c>
      <c r="F1178" s="5" t="s">
        <v>7669</v>
      </c>
      <c r="G1178" s="5" t="s">
        <v>2722</v>
      </c>
      <c r="H1178" s="5"/>
      <c r="I1178" s="5" t="s">
        <v>2722</v>
      </c>
    </row>
    <row r="1179" customFormat="false" ht="23.85" hidden="false" customHeight="false" outlineLevel="0" collapsed="false">
      <c r="A1179" s="5" t="s">
        <v>5564</v>
      </c>
      <c r="B1179" s="2" t="s">
        <v>5565</v>
      </c>
      <c r="C1179" s="5" t="s">
        <v>2128</v>
      </c>
      <c r="D1179" s="5" t="s">
        <v>4760</v>
      </c>
      <c r="E1179" s="5" t="s">
        <v>62</v>
      </c>
      <c r="F1179" s="5" t="s">
        <v>7670</v>
      </c>
      <c r="G1179" s="5" t="s">
        <v>8046</v>
      </c>
      <c r="H1179" s="5"/>
      <c r="I1179" s="5" t="s">
        <v>8046</v>
      </c>
    </row>
    <row r="1180" customFormat="false" ht="23.85" hidden="false" customHeight="false" outlineLevel="0" collapsed="false">
      <c r="A1180" s="5" t="s">
        <v>5564</v>
      </c>
      <c r="B1180" s="2" t="s">
        <v>5565</v>
      </c>
      <c r="C1180" s="5" t="s">
        <v>2128</v>
      </c>
      <c r="D1180" s="5" t="s">
        <v>4760</v>
      </c>
      <c r="E1180" s="5" t="s">
        <v>62</v>
      </c>
      <c r="F1180" s="5" t="s">
        <v>7670</v>
      </c>
      <c r="G1180" s="5" t="s">
        <v>8047</v>
      </c>
      <c r="H1180" s="5"/>
      <c r="I1180" s="5" t="s">
        <v>8047</v>
      </c>
    </row>
    <row r="1181" customFormat="false" ht="23.85" hidden="false" customHeight="false" outlineLevel="0" collapsed="false">
      <c r="A1181" s="5" t="s">
        <v>5564</v>
      </c>
      <c r="B1181" s="2" t="s">
        <v>5565</v>
      </c>
      <c r="C1181" s="5" t="s">
        <v>2128</v>
      </c>
      <c r="D1181" s="5" t="s">
        <v>4760</v>
      </c>
      <c r="E1181" s="5" t="s">
        <v>62</v>
      </c>
      <c r="F1181" s="5" t="s">
        <v>7669</v>
      </c>
      <c r="G1181" s="5" t="s">
        <v>5060</v>
      </c>
      <c r="H1181" s="5"/>
      <c r="I1181" s="5" t="s">
        <v>5060</v>
      </c>
    </row>
    <row r="1182" customFormat="false" ht="23.85" hidden="false" customHeight="false" outlineLevel="0" collapsed="false">
      <c r="A1182" s="5" t="s">
        <v>5571</v>
      </c>
      <c r="B1182" s="2" t="s">
        <v>5572</v>
      </c>
      <c r="C1182" s="5" t="s">
        <v>2128</v>
      </c>
      <c r="D1182" s="5" t="s">
        <v>4760</v>
      </c>
      <c r="E1182" s="5" t="s">
        <v>62</v>
      </c>
      <c r="F1182" s="5" t="s">
        <v>7670</v>
      </c>
      <c r="G1182" s="5" t="s">
        <v>4932</v>
      </c>
      <c r="H1182" s="5"/>
      <c r="I1182" s="5" t="s">
        <v>4932</v>
      </c>
    </row>
    <row r="1183" customFormat="false" ht="23.85" hidden="false" customHeight="false" outlineLevel="0" collapsed="false">
      <c r="A1183" s="5" t="s">
        <v>5571</v>
      </c>
      <c r="B1183" s="2" t="s">
        <v>5572</v>
      </c>
      <c r="C1183" s="5" t="s">
        <v>2128</v>
      </c>
      <c r="D1183" s="5" t="s">
        <v>4760</v>
      </c>
      <c r="E1183" s="5" t="s">
        <v>62</v>
      </c>
      <c r="F1183" s="5" t="s">
        <v>7669</v>
      </c>
      <c r="G1183" s="5" t="s">
        <v>2722</v>
      </c>
      <c r="H1183" s="5"/>
      <c r="I1183" s="5" t="s">
        <v>2722</v>
      </c>
    </row>
    <row r="1184" customFormat="false" ht="23.85" hidden="false" customHeight="false" outlineLevel="0" collapsed="false">
      <c r="A1184" s="5" t="s">
        <v>5576</v>
      </c>
      <c r="B1184" s="2" t="s">
        <v>5577</v>
      </c>
      <c r="C1184" s="5" t="s">
        <v>2128</v>
      </c>
      <c r="D1184" s="5" t="s">
        <v>4760</v>
      </c>
      <c r="E1184" s="5" t="s">
        <v>62</v>
      </c>
      <c r="F1184" s="5" t="s">
        <v>7670</v>
      </c>
      <c r="G1184" s="5" t="s">
        <v>8048</v>
      </c>
      <c r="H1184" s="5"/>
      <c r="I1184" s="5" t="s">
        <v>8048</v>
      </c>
    </row>
    <row r="1185" customFormat="false" ht="23.85" hidden="false" customHeight="false" outlineLevel="0" collapsed="false">
      <c r="A1185" s="5" t="s">
        <v>5576</v>
      </c>
      <c r="B1185" s="2" t="s">
        <v>5577</v>
      </c>
      <c r="C1185" s="5" t="s">
        <v>2128</v>
      </c>
      <c r="D1185" s="5" t="s">
        <v>4760</v>
      </c>
      <c r="E1185" s="5" t="s">
        <v>62</v>
      </c>
      <c r="F1185" s="5" t="s">
        <v>7670</v>
      </c>
      <c r="G1185" s="5" t="s">
        <v>8049</v>
      </c>
      <c r="H1185" s="5"/>
      <c r="I1185" s="5" t="s">
        <v>8049</v>
      </c>
    </row>
    <row r="1186" customFormat="false" ht="23.85" hidden="false" customHeight="false" outlineLevel="0" collapsed="false">
      <c r="A1186" s="5" t="s">
        <v>5576</v>
      </c>
      <c r="B1186" s="2" t="s">
        <v>5577</v>
      </c>
      <c r="C1186" s="5" t="s">
        <v>2128</v>
      </c>
      <c r="D1186" s="5" t="s">
        <v>4760</v>
      </c>
      <c r="E1186" s="5" t="s">
        <v>62</v>
      </c>
      <c r="F1186" s="5" t="s">
        <v>7669</v>
      </c>
      <c r="G1186" s="5" t="s">
        <v>5060</v>
      </c>
      <c r="H1186" s="5"/>
      <c r="I1186" s="5" t="s">
        <v>5060</v>
      </c>
    </row>
    <row r="1187" customFormat="false" ht="23.85" hidden="false" customHeight="false" outlineLevel="0" collapsed="false">
      <c r="A1187" s="5" t="s">
        <v>5583</v>
      </c>
      <c r="B1187" s="2" t="s">
        <v>5584</v>
      </c>
      <c r="C1187" s="5" t="s">
        <v>2128</v>
      </c>
      <c r="D1187" s="5" t="s">
        <v>4760</v>
      </c>
      <c r="E1187" s="5" t="s">
        <v>62</v>
      </c>
      <c r="F1187" s="5" t="s">
        <v>7670</v>
      </c>
      <c r="G1187" s="5" t="s">
        <v>4932</v>
      </c>
      <c r="H1187" s="5"/>
      <c r="I1187" s="5" t="s">
        <v>4932</v>
      </c>
    </row>
    <row r="1188" customFormat="false" ht="23.85" hidden="false" customHeight="false" outlineLevel="0" collapsed="false">
      <c r="A1188" s="5" t="s">
        <v>5588</v>
      </c>
      <c r="B1188" s="2" t="s">
        <v>5589</v>
      </c>
      <c r="C1188" s="5" t="s">
        <v>2128</v>
      </c>
      <c r="D1188" s="5" t="s">
        <v>4760</v>
      </c>
      <c r="E1188" s="5" t="s">
        <v>62</v>
      </c>
      <c r="F1188" s="5" t="s">
        <v>7670</v>
      </c>
      <c r="G1188" s="5" t="s">
        <v>8050</v>
      </c>
      <c r="H1188" s="5"/>
      <c r="I1188" s="5" t="s">
        <v>8050</v>
      </c>
    </row>
    <row r="1189" customFormat="false" ht="23.85" hidden="false" customHeight="false" outlineLevel="0" collapsed="false">
      <c r="A1189" s="5" t="s">
        <v>5588</v>
      </c>
      <c r="B1189" s="2" t="s">
        <v>5589</v>
      </c>
      <c r="C1189" s="5" t="s">
        <v>2128</v>
      </c>
      <c r="D1189" s="5" t="s">
        <v>4760</v>
      </c>
      <c r="E1189" s="5" t="s">
        <v>62</v>
      </c>
      <c r="F1189" s="5" t="s">
        <v>7670</v>
      </c>
      <c r="G1189" s="5" t="s">
        <v>8051</v>
      </c>
      <c r="H1189" s="5"/>
      <c r="I1189" s="5" t="s">
        <v>8051</v>
      </c>
    </row>
    <row r="1190" customFormat="false" ht="23.85" hidden="false" customHeight="false" outlineLevel="0" collapsed="false">
      <c r="A1190" s="5" t="s">
        <v>5594</v>
      </c>
      <c r="B1190" s="2" t="s">
        <v>5595</v>
      </c>
      <c r="C1190" s="5" t="s">
        <v>2128</v>
      </c>
      <c r="D1190" s="5" t="s">
        <v>4760</v>
      </c>
      <c r="E1190" s="5" t="s">
        <v>62</v>
      </c>
      <c r="F1190" s="5" t="s">
        <v>7670</v>
      </c>
      <c r="G1190" s="5" t="s">
        <v>4932</v>
      </c>
      <c r="H1190" s="5"/>
      <c r="I1190" s="5" t="s">
        <v>4932</v>
      </c>
    </row>
    <row r="1191" customFormat="false" ht="23.85" hidden="false" customHeight="false" outlineLevel="0" collapsed="false">
      <c r="A1191" s="5" t="s">
        <v>5599</v>
      </c>
      <c r="B1191" s="2" t="s">
        <v>5600</v>
      </c>
      <c r="C1191" s="5" t="s">
        <v>2128</v>
      </c>
      <c r="D1191" s="5" t="s">
        <v>4760</v>
      </c>
      <c r="E1191" s="5" t="s">
        <v>62</v>
      </c>
      <c r="F1191" s="5" t="s">
        <v>7670</v>
      </c>
      <c r="G1191" s="5" t="s">
        <v>8052</v>
      </c>
      <c r="H1191" s="5"/>
      <c r="I1191" s="5" t="s">
        <v>8052</v>
      </c>
    </row>
    <row r="1192" customFormat="false" ht="23.85" hidden="false" customHeight="false" outlineLevel="0" collapsed="false">
      <c r="A1192" s="5" t="s">
        <v>5599</v>
      </c>
      <c r="B1192" s="2" t="s">
        <v>5600</v>
      </c>
      <c r="C1192" s="5" t="s">
        <v>2128</v>
      </c>
      <c r="D1192" s="5" t="s">
        <v>4760</v>
      </c>
      <c r="E1192" s="5" t="s">
        <v>62</v>
      </c>
      <c r="F1192" s="5" t="s">
        <v>7670</v>
      </c>
      <c r="G1192" s="5" t="s">
        <v>8053</v>
      </c>
      <c r="H1192" s="5"/>
      <c r="I1192" s="5" t="s">
        <v>8053</v>
      </c>
    </row>
    <row r="1193" customFormat="false" ht="23.85" hidden="false" customHeight="false" outlineLevel="0" collapsed="false">
      <c r="A1193" s="5" t="s">
        <v>5599</v>
      </c>
      <c r="B1193" s="2" t="s">
        <v>5600</v>
      </c>
      <c r="C1193" s="5" t="s">
        <v>2128</v>
      </c>
      <c r="D1193" s="5" t="s">
        <v>4760</v>
      </c>
      <c r="E1193" s="5" t="s">
        <v>62</v>
      </c>
      <c r="F1193" s="5" t="s">
        <v>7669</v>
      </c>
      <c r="G1193" s="5" t="s">
        <v>5060</v>
      </c>
      <c r="H1193" s="5"/>
      <c r="I1193" s="5" t="s">
        <v>5060</v>
      </c>
    </row>
    <row r="1194" customFormat="false" ht="23.85" hidden="false" customHeight="false" outlineLevel="0" collapsed="false">
      <c r="A1194" s="5" t="s">
        <v>5606</v>
      </c>
      <c r="B1194" s="2" t="s">
        <v>5607</v>
      </c>
      <c r="C1194" s="5" t="s">
        <v>2128</v>
      </c>
      <c r="D1194" s="5" t="s">
        <v>4760</v>
      </c>
      <c r="E1194" s="5" t="s">
        <v>62</v>
      </c>
      <c r="F1194" s="5" t="s">
        <v>7670</v>
      </c>
      <c r="G1194" s="5" t="s">
        <v>4932</v>
      </c>
      <c r="H1194" s="5"/>
      <c r="I1194" s="5" t="s">
        <v>4932</v>
      </c>
    </row>
    <row r="1195" customFormat="false" ht="23.85" hidden="false" customHeight="false" outlineLevel="0" collapsed="false">
      <c r="A1195" s="5" t="s">
        <v>5611</v>
      </c>
      <c r="B1195" s="2" t="s">
        <v>5612</v>
      </c>
      <c r="C1195" s="5" t="s">
        <v>2128</v>
      </c>
      <c r="D1195" s="5" t="s">
        <v>4760</v>
      </c>
      <c r="E1195" s="5" t="s">
        <v>62</v>
      </c>
      <c r="F1195" s="5" t="s">
        <v>7670</v>
      </c>
      <c r="G1195" s="5" t="s">
        <v>8054</v>
      </c>
      <c r="H1195" s="5"/>
      <c r="I1195" s="5" t="s">
        <v>8054</v>
      </c>
    </row>
    <row r="1196" customFormat="false" ht="23.85" hidden="false" customHeight="false" outlineLevel="0" collapsed="false">
      <c r="A1196" s="5" t="s">
        <v>5611</v>
      </c>
      <c r="B1196" s="2" t="s">
        <v>5612</v>
      </c>
      <c r="C1196" s="5" t="s">
        <v>2128</v>
      </c>
      <c r="D1196" s="5" t="s">
        <v>4760</v>
      </c>
      <c r="E1196" s="5" t="s">
        <v>62</v>
      </c>
      <c r="F1196" s="5" t="s">
        <v>7670</v>
      </c>
      <c r="G1196" s="5" t="s">
        <v>8055</v>
      </c>
      <c r="H1196" s="5"/>
      <c r="I1196" s="5" t="s">
        <v>8055</v>
      </c>
    </row>
    <row r="1197" customFormat="false" ht="23.85" hidden="false" customHeight="false" outlineLevel="0" collapsed="false">
      <c r="A1197" s="5" t="s">
        <v>5611</v>
      </c>
      <c r="B1197" s="2" t="s">
        <v>5612</v>
      </c>
      <c r="C1197" s="5" t="s">
        <v>2128</v>
      </c>
      <c r="D1197" s="5" t="s">
        <v>4760</v>
      </c>
      <c r="E1197" s="5" t="s">
        <v>62</v>
      </c>
      <c r="F1197" s="5" t="s">
        <v>7670</v>
      </c>
      <c r="G1197" s="5" t="s">
        <v>8056</v>
      </c>
      <c r="H1197" s="5"/>
      <c r="I1197" s="5" t="s">
        <v>8056</v>
      </c>
    </row>
    <row r="1198" customFormat="false" ht="23.85" hidden="false" customHeight="false" outlineLevel="0" collapsed="false">
      <c r="A1198" s="5" t="s">
        <v>5611</v>
      </c>
      <c r="B1198" s="2" t="s">
        <v>5612</v>
      </c>
      <c r="C1198" s="5" t="s">
        <v>2128</v>
      </c>
      <c r="D1198" s="5" t="s">
        <v>4760</v>
      </c>
      <c r="E1198" s="5" t="s">
        <v>62</v>
      </c>
      <c r="F1198" s="5" t="s">
        <v>7670</v>
      </c>
      <c r="G1198" s="5" t="s">
        <v>8057</v>
      </c>
      <c r="H1198" s="5"/>
      <c r="I1198" s="5" t="s">
        <v>8057</v>
      </c>
    </row>
    <row r="1199" customFormat="false" ht="23.85" hidden="false" customHeight="false" outlineLevel="0" collapsed="false">
      <c r="A1199" s="5" t="s">
        <v>5611</v>
      </c>
      <c r="B1199" s="2" t="s">
        <v>5612</v>
      </c>
      <c r="C1199" s="5" t="s">
        <v>2128</v>
      </c>
      <c r="D1199" s="5" t="s">
        <v>4760</v>
      </c>
      <c r="E1199" s="5" t="s">
        <v>62</v>
      </c>
      <c r="F1199" s="5" t="s">
        <v>7670</v>
      </c>
      <c r="G1199" s="5" t="s">
        <v>8058</v>
      </c>
      <c r="H1199" s="5"/>
      <c r="I1199" s="5" t="s">
        <v>8058</v>
      </c>
    </row>
    <row r="1200" customFormat="false" ht="23.85" hidden="false" customHeight="false" outlineLevel="0" collapsed="false">
      <c r="A1200" s="5" t="s">
        <v>5611</v>
      </c>
      <c r="B1200" s="2" t="s">
        <v>5612</v>
      </c>
      <c r="C1200" s="5" t="s">
        <v>2128</v>
      </c>
      <c r="D1200" s="5" t="s">
        <v>4760</v>
      </c>
      <c r="E1200" s="5" t="s">
        <v>62</v>
      </c>
      <c r="F1200" s="5" t="s">
        <v>7670</v>
      </c>
      <c r="G1200" s="5" t="s">
        <v>8059</v>
      </c>
      <c r="H1200" s="5"/>
      <c r="I1200" s="5" t="s">
        <v>8059</v>
      </c>
    </row>
    <row r="1201" customFormat="false" ht="23.85" hidden="false" customHeight="false" outlineLevel="0" collapsed="false">
      <c r="A1201" s="5" t="s">
        <v>5617</v>
      </c>
      <c r="B1201" s="2" t="s">
        <v>5618</v>
      </c>
      <c r="C1201" s="5" t="s">
        <v>2128</v>
      </c>
      <c r="D1201" s="5" t="s">
        <v>4760</v>
      </c>
      <c r="E1201" s="5" t="s">
        <v>62</v>
      </c>
      <c r="F1201" s="5" t="s">
        <v>7670</v>
      </c>
      <c r="G1201" s="5" t="s">
        <v>8060</v>
      </c>
      <c r="H1201" s="5"/>
      <c r="I1201" s="5" t="s">
        <v>8060</v>
      </c>
    </row>
    <row r="1202" customFormat="false" ht="23.85" hidden="false" customHeight="false" outlineLevel="0" collapsed="false">
      <c r="A1202" s="5" t="s">
        <v>5617</v>
      </c>
      <c r="B1202" s="2" t="s">
        <v>5618</v>
      </c>
      <c r="C1202" s="5" t="s">
        <v>2128</v>
      </c>
      <c r="D1202" s="5" t="s">
        <v>4760</v>
      </c>
      <c r="E1202" s="5" t="s">
        <v>62</v>
      </c>
      <c r="F1202" s="5" t="s">
        <v>7670</v>
      </c>
      <c r="G1202" s="5" t="s">
        <v>8061</v>
      </c>
      <c r="H1202" s="5"/>
      <c r="I1202" s="5" t="s">
        <v>8061</v>
      </c>
    </row>
    <row r="1203" customFormat="false" ht="23.85" hidden="false" customHeight="false" outlineLevel="0" collapsed="false">
      <c r="A1203" s="5" t="s">
        <v>5617</v>
      </c>
      <c r="B1203" s="2" t="s">
        <v>5618</v>
      </c>
      <c r="C1203" s="5" t="s">
        <v>2128</v>
      </c>
      <c r="D1203" s="5" t="s">
        <v>4760</v>
      </c>
      <c r="E1203" s="5" t="s">
        <v>62</v>
      </c>
      <c r="F1203" s="5" t="s">
        <v>7670</v>
      </c>
      <c r="G1203" s="5" t="s">
        <v>8062</v>
      </c>
      <c r="H1203" s="5"/>
      <c r="I1203" s="5" t="s">
        <v>8062</v>
      </c>
    </row>
    <row r="1204" customFormat="false" ht="23.85" hidden="false" customHeight="false" outlineLevel="0" collapsed="false">
      <c r="A1204" s="5" t="s">
        <v>5617</v>
      </c>
      <c r="B1204" s="2" t="s">
        <v>5618</v>
      </c>
      <c r="C1204" s="5" t="s">
        <v>2128</v>
      </c>
      <c r="D1204" s="5" t="s">
        <v>4760</v>
      </c>
      <c r="E1204" s="5" t="s">
        <v>62</v>
      </c>
      <c r="F1204" s="5" t="s">
        <v>7670</v>
      </c>
      <c r="G1204" s="5" t="s">
        <v>8063</v>
      </c>
      <c r="H1204" s="5"/>
      <c r="I1204" s="5" t="s">
        <v>8063</v>
      </c>
    </row>
    <row r="1205" customFormat="false" ht="23.85" hidden="false" customHeight="false" outlineLevel="0" collapsed="false">
      <c r="A1205" s="5" t="s">
        <v>5617</v>
      </c>
      <c r="B1205" s="2" t="s">
        <v>5618</v>
      </c>
      <c r="C1205" s="5" t="s">
        <v>2128</v>
      </c>
      <c r="D1205" s="5" t="s">
        <v>4760</v>
      </c>
      <c r="E1205" s="5" t="s">
        <v>62</v>
      </c>
      <c r="F1205" s="5" t="s">
        <v>7670</v>
      </c>
      <c r="G1205" s="5" t="s">
        <v>8064</v>
      </c>
      <c r="H1205" s="5"/>
      <c r="I1205" s="5" t="s">
        <v>8064</v>
      </c>
    </row>
    <row r="1206" customFormat="false" ht="23.85" hidden="false" customHeight="false" outlineLevel="0" collapsed="false">
      <c r="A1206" s="5" t="s">
        <v>5617</v>
      </c>
      <c r="B1206" s="2" t="s">
        <v>5618</v>
      </c>
      <c r="C1206" s="5" t="s">
        <v>2128</v>
      </c>
      <c r="D1206" s="5" t="s">
        <v>4760</v>
      </c>
      <c r="E1206" s="5" t="s">
        <v>62</v>
      </c>
      <c r="F1206" s="5" t="s">
        <v>7670</v>
      </c>
      <c r="G1206" s="5" t="s">
        <v>8065</v>
      </c>
      <c r="H1206" s="5"/>
      <c r="I1206" s="5" t="s">
        <v>8065</v>
      </c>
    </row>
    <row r="1207" customFormat="false" ht="23.85" hidden="false" customHeight="false" outlineLevel="0" collapsed="false">
      <c r="A1207" s="5" t="s">
        <v>5617</v>
      </c>
      <c r="B1207" s="2" t="s">
        <v>5618</v>
      </c>
      <c r="C1207" s="5" t="s">
        <v>2128</v>
      </c>
      <c r="D1207" s="5" t="s">
        <v>4760</v>
      </c>
      <c r="E1207" s="5" t="s">
        <v>62</v>
      </c>
      <c r="F1207" s="5" t="s">
        <v>7670</v>
      </c>
      <c r="G1207" s="5" t="s">
        <v>8066</v>
      </c>
      <c r="H1207" s="5"/>
      <c r="I1207" s="5" t="s">
        <v>8066</v>
      </c>
    </row>
    <row r="1208" customFormat="false" ht="23.85" hidden="false" customHeight="false" outlineLevel="0" collapsed="false">
      <c r="A1208" s="5" t="s">
        <v>5617</v>
      </c>
      <c r="B1208" s="2" t="s">
        <v>5618</v>
      </c>
      <c r="C1208" s="5" t="s">
        <v>2128</v>
      </c>
      <c r="D1208" s="5" t="s">
        <v>4760</v>
      </c>
      <c r="E1208" s="5" t="s">
        <v>62</v>
      </c>
      <c r="F1208" s="5" t="s">
        <v>7670</v>
      </c>
      <c r="G1208" s="5" t="s">
        <v>8067</v>
      </c>
      <c r="H1208" s="5"/>
      <c r="I1208" s="5" t="s">
        <v>8067</v>
      </c>
    </row>
    <row r="1209" customFormat="false" ht="23.85" hidden="false" customHeight="false" outlineLevel="0" collapsed="false">
      <c r="A1209" s="5" t="s">
        <v>5623</v>
      </c>
      <c r="B1209" s="2" t="s">
        <v>5624</v>
      </c>
      <c r="C1209" s="5" t="s">
        <v>2128</v>
      </c>
      <c r="D1209" s="5" t="s">
        <v>4760</v>
      </c>
      <c r="E1209" s="5" t="s">
        <v>62</v>
      </c>
      <c r="F1209" s="5" t="s">
        <v>7670</v>
      </c>
      <c r="G1209" s="5" t="s">
        <v>8068</v>
      </c>
      <c r="H1209" s="5"/>
      <c r="I1209" s="5" t="s">
        <v>8068</v>
      </c>
    </row>
    <row r="1210" customFormat="false" ht="23.85" hidden="false" customHeight="false" outlineLevel="0" collapsed="false">
      <c r="A1210" s="5" t="s">
        <v>5623</v>
      </c>
      <c r="B1210" s="2" t="s">
        <v>5624</v>
      </c>
      <c r="C1210" s="5" t="s">
        <v>2128</v>
      </c>
      <c r="D1210" s="5" t="s">
        <v>4760</v>
      </c>
      <c r="E1210" s="5" t="s">
        <v>62</v>
      </c>
      <c r="F1210" s="5" t="s">
        <v>7670</v>
      </c>
      <c r="G1210" s="5" t="s">
        <v>8069</v>
      </c>
      <c r="H1210" s="5"/>
      <c r="I1210" s="5" t="s">
        <v>8069</v>
      </c>
    </row>
    <row r="1211" customFormat="false" ht="23.85" hidden="false" customHeight="false" outlineLevel="0" collapsed="false">
      <c r="A1211" s="5" t="s">
        <v>5629</v>
      </c>
      <c r="B1211" s="2" t="s">
        <v>5630</v>
      </c>
      <c r="C1211" s="5" t="s">
        <v>2128</v>
      </c>
      <c r="D1211" s="5" t="s">
        <v>4760</v>
      </c>
      <c r="E1211" s="5" t="s">
        <v>62</v>
      </c>
      <c r="F1211" s="5" t="s">
        <v>7670</v>
      </c>
      <c r="G1211" s="5" t="s">
        <v>8070</v>
      </c>
      <c r="H1211" s="5"/>
      <c r="I1211" s="5" t="s">
        <v>8070</v>
      </c>
    </row>
    <row r="1212" customFormat="false" ht="23.85" hidden="false" customHeight="false" outlineLevel="0" collapsed="false">
      <c r="A1212" s="5" t="s">
        <v>5629</v>
      </c>
      <c r="B1212" s="2" t="s">
        <v>5630</v>
      </c>
      <c r="C1212" s="5" t="s">
        <v>2128</v>
      </c>
      <c r="D1212" s="5" t="s">
        <v>4760</v>
      </c>
      <c r="E1212" s="5" t="s">
        <v>62</v>
      </c>
      <c r="F1212" s="5" t="s">
        <v>7670</v>
      </c>
      <c r="G1212" s="5" t="s">
        <v>8071</v>
      </c>
      <c r="H1212" s="5"/>
      <c r="I1212" s="5" t="s">
        <v>8071</v>
      </c>
    </row>
    <row r="1213" customFormat="false" ht="23.85" hidden="false" customHeight="false" outlineLevel="0" collapsed="false">
      <c r="A1213" s="5" t="s">
        <v>5629</v>
      </c>
      <c r="B1213" s="2" t="s">
        <v>5630</v>
      </c>
      <c r="C1213" s="5" t="s">
        <v>2128</v>
      </c>
      <c r="D1213" s="5" t="s">
        <v>4760</v>
      </c>
      <c r="E1213" s="5" t="s">
        <v>62</v>
      </c>
      <c r="F1213" s="5" t="s">
        <v>7669</v>
      </c>
      <c r="G1213" s="5" t="s">
        <v>5060</v>
      </c>
      <c r="H1213" s="5"/>
      <c r="I1213" s="5" t="s">
        <v>5060</v>
      </c>
    </row>
    <row r="1214" customFormat="false" ht="23.85" hidden="false" customHeight="false" outlineLevel="0" collapsed="false">
      <c r="A1214" s="5" t="s">
        <v>5636</v>
      </c>
      <c r="B1214" s="2" t="s">
        <v>5637</v>
      </c>
      <c r="C1214" s="5" t="s">
        <v>2128</v>
      </c>
      <c r="D1214" s="5" t="s">
        <v>4760</v>
      </c>
      <c r="E1214" s="5" t="s">
        <v>62</v>
      </c>
      <c r="F1214" s="5" t="s">
        <v>7670</v>
      </c>
      <c r="G1214" s="5" t="s">
        <v>8072</v>
      </c>
      <c r="H1214" s="5"/>
      <c r="I1214" s="5" t="s">
        <v>8072</v>
      </c>
    </row>
    <row r="1215" customFormat="false" ht="23.85" hidden="false" customHeight="false" outlineLevel="0" collapsed="false">
      <c r="A1215" s="5" t="s">
        <v>5636</v>
      </c>
      <c r="B1215" s="2" t="s">
        <v>5637</v>
      </c>
      <c r="C1215" s="5" t="s">
        <v>2128</v>
      </c>
      <c r="D1215" s="5" t="s">
        <v>4760</v>
      </c>
      <c r="E1215" s="5" t="s">
        <v>62</v>
      </c>
      <c r="F1215" s="5" t="s">
        <v>7670</v>
      </c>
      <c r="G1215" s="5" t="s">
        <v>8073</v>
      </c>
      <c r="H1215" s="5"/>
      <c r="I1215" s="5" t="s">
        <v>8073</v>
      </c>
    </row>
    <row r="1216" customFormat="false" ht="23.85" hidden="false" customHeight="false" outlineLevel="0" collapsed="false">
      <c r="A1216" s="5" t="s">
        <v>5642</v>
      </c>
      <c r="B1216" s="2" t="s">
        <v>5643</v>
      </c>
      <c r="C1216" s="5" t="s">
        <v>2128</v>
      </c>
      <c r="D1216" s="5" t="s">
        <v>4760</v>
      </c>
      <c r="E1216" s="5" t="s">
        <v>62</v>
      </c>
      <c r="F1216" s="5" t="s">
        <v>7670</v>
      </c>
      <c r="G1216" s="5" t="s">
        <v>8074</v>
      </c>
      <c r="H1216" s="5"/>
      <c r="I1216" s="5" t="s">
        <v>8074</v>
      </c>
    </row>
    <row r="1217" customFormat="false" ht="23.85" hidden="false" customHeight="false" outlineLevel="0" collapsed="false">
      <c r="A1217" s="5" t="s">
        <v>5642</v>
      </c>
      <c r="B1217" s="2" t="s">
        <v>5643</v>
      </c>
      <c r="C1217" s="5" t="s">
        <v>2128</v>
      </c>
      <c r="D1217" s="5" t="s">
        <v>4760</v>
      </c>
      <c r="E1217" s="5" t="s">
        <v>62</v>
      </c>
      <c r="F1217" s="5" t="s">
        <v>7670</v>
      </c>
      <c r="G1217" s="5" t="s">
        <v>8075</v>
      </c>
      <c r="H1217" s="5"/>
      <c r="I1217" s="5" t="s">
        <v>8075</v>
      </c>
    </row>
    <row r="1218" customFormat="false" ht="23.85" hidden="false" customHeight="false" outlineLevel="0" collapsed="false">
      <c r="A1218" s="5" t="s">
        <v>5642</v>
      </c>
      <c r="B1218" s="2" t="s">
        <v>5643</v>
      </c>
      <c r="C1218" s="5" t="s">
        <v>2128</v>
      </c>
      <c r="D1218" s="5" t="s">
        <v>4760</v>
      </c>
      <c r="E1218" s="5" t="s">
        <v>62</v>
      </c>
      <c r="F1218" s="5" t="s">
        <v>7670</v>
      </c>
      <c r="G1218" s="5" t="s">
        <v>8076</v>
      </c>
      <c r="H1218" s="5"/>
      <c r="I1218" s="5" t="s">
        <v>8076</v>
      </c>
    </row>
    <row r="1219" customFormat="false" ht="23.85" hidden="false" customHeight="false" outlineLevel="0" collapsed="false">
      <c r="A1219" s="5" t="s">
        <v>5642</v>
      </c>
      <c r="B1219" s="2" t="s">
        <v>5643</v>
      </c>
      <c r="C1219" s="5" t="s">
        <v>2128</v>
      </c>
      <c r="D1219" s="5" t="s">
        <v>4760</v>
      </c>
      <c r="E1219" s="5" t="s">
        <v>62</v>
      </c>
      <c r="F1219" s="5" t="s">
        <v>7670</v>
      </c>
      <c r="G1219" s="5" t="s">
        <v>8077</v>
      </c>
      <c r="H1219" s="5"/>
      <c r="I1219" s="5" t="s">
        <v>8077</v>
      </c>
    </row>
    <row r="1220" customFormat="false" ht="23.85" hidden="false" customHeight="false" outlineLevel="0" collapsed="false">
      <c r="A1220" s="5" t="s">
        <v>5642</v>
      </c>
      <c r="B1220" s="2" t="s">
        <v>5643</v>
      </c>
      <c r="C1220" s="5" t="s">
        <v>2128</v>
      </c>
      <c r="D1220" s="5" t="s">
        <v>4760</v>
      </c>
      <c r="E1220" s="5" t="s">
        <v>62</v>
      </c>
      <c r="F1220" s="5" t="s">
        <v>7670</v>
      </c>
      <c r="G1220" s="5" t="s">
        <v>8078</v>
      </c>
      <c r="H1220" s="5"/>
      <c r="I1220" s="5" t="s">
        <v>8078</v>
      </c>
    </row>
    <row r="1221" customFormat="false" ht="23.85" hidden="false" customHeight="false" outlineLevel="0" collapsed="false">
      <c r="A1221" s="5" t="s">
        <v>5642</v>
      </c>
      <c r="B1221" s="2" t="s">
        <v>5643</v>
      </c>
      <c r="C1221" s="5" t="s">
        <v>2128</v>
      </c>
      <c r="D1221" s="5" t="s">
        <v>4760</v>
      </c>
      <c r="E1221" s="5" t="s">
        <v>62</v>
      </c>
      <c r="F1221" s="5" t="s">
        <v>7670</v>
      </c>
      <c r="G1221" s="5" t="s">
        <v>8079</v>
      </c>
      <c r="H1221" s="5"/>
      <c r="I1221" s="5" t="s">
        <v>8079</v>
      </c>
    </row>
    <row r="1222" customFormat="false" ht="23.85" hidden="false" customHeight="false" outlineLevel="0" collapsed="false">
      <c r="A1222" s="5" t="s">
        <v>5648</v>
      </c>
      <c r="B1222" s="2" t="s">
        <v>5649</v>
      </c>
      <c r="C1222" s="5" t="s">
        <v>2128</v>
      </c>
      <c r="D1222" s="5" t="s">
        <v>4760</v>
      </c>
      <c r="E1222" s="5" t="s">
        <v>62</v>
      </c>
      <c r="F1222" s="5" t="s">
        <v>7670</v>
      </c>
      <c r="G1222" s="5" t="s">
        <v>8080</v>
      </c>
      <c r="H1222" s="5"/>
      <c r="I1222" s="5" t="s">
        <v>8080</v>
      </c>
    </row>
    <row r="1223" customFormat="false" ht="23.85" hidden="false" customHeight="false" outlineLevel="0" collapsed="false">
      <c r="A1223" s="5" t="s">
        <v>5648</v>
      </c>
      <c r="B1223" s="2" t="s">
        <v>5649</v>
      </c>
      <c r="C1223" s="5" t="s">
        <v>2128</v>
      </c>
      <c r="D1223" s="5" t="s">
        <v>4760</v>
      </c>
      <c r="E1223" s="5" t="s">
        <v>62</v>
      </c>
      <c r="F1223" s="5" t="s">
        <v>7670</v>
      </c>
      <c r="G1223" s="5" t="s">
        <v>8081</v>
      </c>
      <c r="H1223" s="5"/>
      <c r="I1223" s="5" t="s">
        <v>8081</v>
      </c>
    </row>
    <row r="1224" customFormat="false" ht="23.85" hidden="false" customHeight="false" outlineLevel="0" collapsed="false">
      <c r="A1224" s="5" t="s">
        <v>5648</v>
      </c>
      <c r="B1224" s="2" t="s">
        <v>5649</v>
      </c>
      <c r="C1224" s="5" t="s">
        <v>2128</v>
      </c>
      <c r="D1224" s="5" t="s">
        <v>4760</v>
      </c>
      <c r="E1224" s="5" t="s">
        <v>62</v>
      </c>
      <c r="F1224" s="5" t="s">
        <v>7670</v>
      </c>
      <c r="G1224" s="5" t="s">
        <v>8082</v>
      </c>
      <c r="H1224" s="5"/>
      <c r="I1224" s="5" t="s">
        <v>8082</v>
      </c>
    </row>
    <row r="1225" customFormat="false" ht="23.85" hidden="false" customHeight="false" outlineLevel="0" collapsed="false">
      <c r="A1225" s="5" t="s">
        <v>5648</v>
      </c>
      <c r="B1225" s="2" t="s">
        <v>5649</v>
      </c>
      <c r="C1225" s="5" t="s">
        <v>2128</v>
      </c>
      <c r="D1225" s="5" t="s">
        <v>4760</v>
      </c>
      <c r="E1225" s="5" t="s">
        <v>62</v>
      </c>
      <c r="F1225" s="5" t="s">
        <v>7670</v>
      </c>
      <c r="G1225" s="5" t="s">
        <v>8083</v>
      </c>
      <c r="H1225" s="5"/>
      <c r="I1225" s="5" t="s">
        <v>8083</v>
      </c>
    </row>
    <row r="1226" customFormat="false" ht="23.85" hidden="false" customHeight="false" outlineLevel="0" collapsed="false">
      <c r="A1226" s="5" t="s">
        <v>5654</v>
      </c>
      <c r="B1226" s="2" t="s">
        <v>5655</v>
      </c>
      <c r="C1226" s="5" t="s">
        <v>2245</v>
      </c>
      <c r="D1226" s="5" t="s">
        <v>4760</v>
      </c>
      <c r="E1226" s="5" t="s">
        <v>62</v>
      </c>
      <c r="F1226" s="5" t="s">
        <v>7670</v>
      </c>
      <c r="G1226" s="5" t="s">
        <v>8084</v>
      </c>
      <c r="H1226" s="5"/>
      <c r="I1226" s="5" t="s">
        <v>8084</v>
      </c>
    </row>
    <row r="1227" customFormat="false" ht="23.85" hidden="false" customHeight="false" outlineLevel="0" collapsed="false">
      <c r="A1227" s="5" t="s">
        <v>5654</v>
      </c>
      <c r="B1227" s="2" t="s">
        <v>5655</v>
      </c>
      <c r="C1227" s="5" t="s">
        <v>2245</v>
      </c>
      <c r="D1227" s="5" t="s">
        <v>4760</v>
      </c>
      <c r="E1227" s="5" t="s">
        <v>62</v>
      </c>
      <c r="F1227" s="5" t="s">
        <v>7670</v>
      </c>
      <c r="G1227" s="5" t="s">
        <v>8085</v>
      </c>
      <c r="H1227" s="5"/>
      <c r="I1227" s="5" t="s">
        <v>8085</v>
      </c>
    </row>
    <row r="1228" customFormat="false" ht="23.85" hidden="false" customHeight="false" outlineLevel="0" collapsed="false">
      <c r="A1228" s="5" t="s">
        <v>5660</v>
      </c>
      <c r="B1228" s="2" t="s">
        <v>5661</v>
      </c>
      <c r="C1228" s="5" t="s">
        <v>2128</v>
      </c>
      <c r="D1228" s="5" t="s">
        <v>4760</v>
      </c>
      <c r="E1228" s="5" t="s">
        <v>62</v>
      </c>
      <c r="F1228" s="5" t="s">
        <v>7669</v>
      </c>
      <c r="G1228" s="5" t="s">
        <v>2722</v>
      </c>
      <c r="H1228" s="5"/>
      <c r="I1228" s="5" t="s">
        <v>2722</v>
      </c>
    </row>
    <row r="1229" customFormat="false" ht="23.85" hidden="false" customHeight="false" outlineLevel="0" collapsed="false">
      <c r="A1229" s="5" t="s">
        <v>5665</v>
      </c>
      <c r="B1229" s="2" t="s">
        <v>5666</v>
      </c>
      <c r="C1229" s="5" t="s">
        <v>2128</v>
      </c>
      <c r="D1229" s="5" t="s">
        <v>4760</v>
      </c>
      <c r="E1229" s="5" t="s">
        <v>62</v>
      </c>
      <c r="F1229" s="5" t="s">
        <v>7670</v>
      </c>
      <c r="G1229" s="5" t="s">
        <v>8086</v>
      </c>
      <c r="H1229" s="5"/>
      <c r="I1229" s="5" t="s">
        <v>8086</v>
      </c>
    </row>
    <row r="1230" customFormat="false" ht="23.85" hidden="false" customHeight="false" outlineLevel="0" collapsed="false">
      <c r="A1230" s="5" t="s">
        <v>5665</v>
      </c>
      <c r="B1230" s="2" t="s">
        <v>5666</v>
      </c>
      <c r="C1230" s="5" t="s">
        <v>2128</v>
      </c>
      <c r="D1230" s="5" t="s">
        <v>4760</v>
      </c>
      <c r="E1230" s="5" t="s">
        <v>62</v>
      </c>
      <c r="F1230" s="5" t="s">
        <v>7670</v>
      </c>
      <c r="G1230" s="5" t="s">
        <v>8087</v>
      </c>
      <c r="H1230" s="5"/>
      <c r="I1230" s="5" t="s">
        <v>8087</v>
      </c>
    </row>
    <row r="1231" customFormat="false" ht="23.85" hidden="false" customHeight="false" outlineLevel="0" collapsed="false">
      <c r="A1231" s="5" t="s">
        <v>5665</v>
      </c>
      <c r="B1231" s="2" t="s">
        <v>5666</v>
      </c>
      <c r="C1231" s="5" t="s">
        <v>2128</v>
      </c>
      <c r="D1231" s="5" t="s">
        <v>4760</v>
      </c>
      <c r="E1231" s="5" t="s">
        <v>62</v>
      </c>
      <c r="F1231" s="5" t="s">
        <v>7669</v>
      </c>
      <c r="G1231" s="5" t="s">
        <v>5060</v>
      </c>
      <c r="H1231" s="5"/>
      <c r="I1231" s="5" t="s">
        <v>5060</v>
      </c>
    </row>
    <row r="1232" customFormat="false" ht="23.85" hidden="false" customHeight="false" outlineLevel="0" collapsed="false">
      <c r="A1232" s="5" t="s">
        <v>5672</v>
      </c>
      <c r="B1232" s="2" t="s">
        <v>5673</v>
      </c>
      <c r="C1232" s="5" t="s">
        <v>2128</v>
      </c>
      <c r="D1232" s="5" t="s">
        <v>4760</v>
      </c>
      <c r="E1232" s="5" t="s">
        <v>62</v>
      </c>
      <c r="F1232" s="5" t="s">
        <v>7670</v>
      </c>
      <c r="G1232" s="5" t="s">
        <v>4932</v>
      </c>
      <c r="H1232" s="5"/>
      <c r="I1232" s="5" t="s">
        <v>4932</v>
      </c>
    </row>
    <row r="1233" customFormat="false" ht="23.85" hidden="false" customHeight="false" outlineLevel="0" collapsed="false">
      <c r="A1233" s="5" t="s">
        <v>5672</v>
      </c>
      <c r="B1233" s="2" t="s">
        <v>5673</v>
      </c>
      <c r="C1233" s="5" t="s">
        <v>2128</v>
      </c>
      <c r="D1233" s="5" t="s">
        <v>4760</v>
      </c>
      <c r="E1233" s="5" t="s">
        <v>62</v>
      </c>
      <c r="F1233" s="5" t="s">
        <v>7669</v>
      </c>
      <c r="G1233" s="5" t="s">
        <v>2722</v>
      </c>
      <c r="H1233" s="5"/>
      <c r="I1233" s="5" t="s">
        <v>2722</v>
      </c>
    </row>
    <row r="1234" customFormat="false" ht="23.85" hidden="false" customHeight="false" outlineLevel="0" collapsed="false">
      <c r="A1234" s="5" t="s">
        <v>5677</v>
      </c>
      <c r="B1234" s="2" t="s">
        <v>5678</v>
      </c>
      <c r="C1234" s="5" t="s">
        <v>2128</v>
      </c>
      <c r="D1234" s="5" t="s">
        <v>4760</v>
      </c>
      <c r="E1234" s="5" t="s">
        <v>62</v>
      </c>
      <c r="F1234" s="5" t="s">
        <v>7670</v>
      </c>
      <c r="G1234" s="5" t="s">
        <v>8088</v>
      </c>
      <c r="H1234" s="5"/>
      <c r="I1234" s="5" t="s">
        <v>8088</v>
      </c>
    </row>
    <row r="1235" customFormat="false" ht="23.85" hidden="false" customHeight="false" outlineLevel="0" collapsed="false">
      <c r="A1235" s="5" t="s">
        <v>5677</v>
      </c>
      <c r="B1235" s="2" t="s">
        <v>5678</v>
      </c>
      <c r="C1235" s="5" t="s">
        <v>2128</v>
      </c>
      <c r="D1235" s="5" t="s">
        <v>4760</v>
      </c>
      <c r="E1235" s="5" t="s">
        <v>62</v>
      </c>
      <c r="F1235" s="5" t="s">
        <v>7670</v>
      </c>
      <c r="G1235" s="5" t="s">
        <v>8089</v>
      </c>
      <c r="H1235" s="5"/>
      <c r="I1235" s="5" t="s">
        <v>8089</v>
      </c>
    </row>
    <row r="1236" customFormat="false" ht="23.85" hidden="false" customHeight="false" outlineLevel="0" collapsed="false">
      <c r="A1236" s="5" t="s">
        <v>5677</v>
      </c>
      <c r="B1236" s="2" t="s">
        <v>5678</v>
      </c>
      <c r="C1236" s="5" t="s">
        <v>2128</v>
      </c>
      <c r="D1236" s="5" t="s">
        <v>4760</v>
      </c>
      <c r="E1236" s="5" t="s">
        <v>62</v>
      </c>
      <c r="F1236" s="5" t="s">
        <v>7669</v>
      </c>
      <c r="G1236" s="5" t="s">
        <v>5060</v>
      </c>
      <c r="H1236" s="5"/>
      <c r="I1236" s="5" t="s">
        <v>5060</v>
      </c>
    </row>
    <row r="1237" customFormat="false" ht="23.85" hidden="false" customHeight="false" outlineLevel="0" collapsed="false">
      <c r="A1237" s="5" t="s">
        <v>5684</v>
      </c>
      <c r="B1237" s="2" t="s">
        <v>5685</v>
      </c>
      <c r="C1237" s="5" t="s">
        <v>2128</v>
      </c>
      <c r="D1237" s="5" t="s">
        <v>4760</v>
      </c>
      <c r="E1237" s="5" t="s">
        <v>62</v>
      </c>
      <c r="F1237" s="5" t="s">
        <v>7670</v>
      </c>
      <c r="G1237" s="5" t="s">
        <v>8090</v>
      </c>
      <c r="H1237" s="5"/>
      <c r="I1237" s="5" t="s">
        <v>8090</v>
      </c>
    </row>
    <row r="1238" customFormat="false" ht="23.85" hidden="false" customHeight="false" outlineLevel="0" collapsed="false">
      <c r="A1238" s="5" t="s">
        <v>5684</v>
      </c>
      <c r="B1238" s="2" t="s">
        <v>5685</v>
      </c>
      <c r="C1238" s="5" t="s">
        <v>2128</v>
      </c>
      <c r="D1238" s="5" t="s">
        <v>4760</v>
      </c>
      <c r="E1238" s="5" t="s">
        <v>62</v>
      </c>
      <c r="F1238" s="5" t="s">
        <v>7670</v>
      </c>
      <c r="G1238" s="5" t="s">
        <v>8091</v>
      </c>
      <c r="H1238" s="5"/>
      <c r="I1238" s="5" t="s">
        <v>8091</v>
      </c>
    </row>
    <row r="1239" customFormat="false" ht="23.85" hidden="false" customHeight="false" outlineLevel="0" collapsed="false">
      <c r="A1239" s="5" t="s">
        <v>5684</v>
      </c>
      <c r="B1239" s="2" t="s">
        <v>5685</v>
      </c>
      <c r="C1239" s="5" t="s">
        <v>2128</v>
      </c>
      <c r="D1239" s="5" t="s">
        <v>4760</v>
      </c>
      <c r="E1239" s="5" t="s">
        <v>62</v>
      </c>
      <c r="F1239" s="5" t="s">
        <v>7669</v>
      </c>
      <c r="G1239" s="5" t="s">
        <v>5060</v>
      </c>
      <c r="H1239" s="5"/>
      <c r="I1239" s="5" t="s">
        <v>5060</v>
      </c>
    </row>
    <row r="1240" customFormat="false" ht="35.05" hidden="false" customHeight="false" outlineLevel="0" collapsed="false">
      <c r="A1240" s="5" t="s">
        <v>5691</v>
      </c>
      <c r="B1240" s="2" t="s">
        <v>5692</v>
      </c>
      <c r="C1240" s="5" t="s">
        <v>2128</v>
      </c>
      <c r="D1240" s="5" t="s">
        <v>4760</v>
      </c>
      <c r="E1240" s="5" t="s">
        <v>62</v>
      </c>
      <c r="F1240" s="5" t="s">
        <v>7670</v>
      </c>
      <c r="G1240" s="5" t="s">
        <v>8092</v>
      </c>
      <c r="H1240" s="5"/>
      <c r="I1240" s="5" t="s">
        <v>8092</v>
      </c>
    </row>
    <row r="1241" customFormat="false" ht="35.05" hidden="false" customHeight="false" outlineLevel="0" collapsed="false">
      <c r="A1241" s="5" t="s">
        <v>5691</v>
      </c>
      <c r="B1241" s="2" t="s">
        <v>5692</v>
      </c>
      <c r="C1241" s="5" t="s">
        <v>2128</v>
      </c>
      <c r="D1241" s="5" t="s">
        <v>4760</v>
      </c>
      <c r="E1241" s="5" t="s">
        <v>62</v>
      </c>
      <c r="F1241" s="5" t="s">
        <v>7670</v>
      </c>
      <c r="G1241" s="5" t="s">
        <v>8093</v>
      </c>
      <c r="H1241" s="5"/>
      <c r="I1241" s="5" t="s">
        <v>8093</v>
      </c>
    </row>
    <row r="1242" customFormat="false" ht="23.85" hidden="false" customHeight="false" outlineLevel="0" collapsed="false">
      <c r="A1242" s="5" t="s">
        <v>5697</v>
      </c>
      <c r="B1242" s="2" t="s">
        <v>5698</v>
      </c>
      <c r="C1242" s="5" t="s">
        <v>2128</v>
      </c>
      <c r="D1242" s="5" t="s">
        <v>4760</v>
      </c>
      <c r="E1242" s="5" t="s">
        <v>62</v>
      </c>
      <c r="F1242" s="5" t="s">
        <v>7670</v>
      </c>
      <c r="G1242" s="5" t="s">
        <v>4932</v>
      </c>
      <c r="H1242" s="5"/>
      <c r="I1242" s="5" t="s">
        <v>4932</v>
      </c>
    </row>
    <row r="1243" customFormat="false" ht="23.85" hidden="false" customHeight="false" outlineLevel="0" collapsed="false">
      <c r="A1243" s="5" t="s">
        <v>5702</v>
      </c>
      <c r="B1243" s="2" t="s">
        <v>5703</v>
      </c>
      <c r="C1243" s="5" t="s">
        <v>2128</v>
      </c>
      <c r="D1243" s="5" t="s">
        <v>4760</v>
      </c>
      <c r="E1243" s="5" t="s">
        <v>62</v>
      </c>
      <c r="F1243" s="5" t="s">
        <v>7670</v>
      </c>
      <c r="G1243" s="5" t="s">
        <v>8094</v>
      </c>
      <c r="H1243" s="5"/>
      <c r="I1243" s="5" t="s">
        <v>8094</v>
      </c>
    </row>
    <row r="1244" customFormat="false" ht="23.85" hidden="false" customHeight="false" outlineLevel="0" collapsed="false">
      <c r="A1244" s="5" t="s">
        <v>5702</v>
      </c>
      <c r="B1244" s="2" t="s">
        <v>5703</v>
      </c>
      <c r="C1244" s="5" t="s">
        <v>2128</v>
      </c>
      <c r="D1244" s="5" t="s">
        <v>4760</v>
      </c>
      <c r="E1244" s="5" t="s">
        <v>62</v>
      </c>
      <c r="F1244" s="5" t="s">
        <v>7670</v>
      </c>
      <c r="G1244" s="5" t="s">
        <v>8095</v>
      </c>
      <c r="H1244" s="5"/>
      <c r="I1244" s="5" t="s">
        <v>8095</v>
      </c>
    </row>
    <row r="1245" customFormat="false" ht="23.85" hidden="false" customHeight="false" outlineLevel="0" collapsed="false">
      <c r="A1245" s="5" t="s">
        <v>5702</v>
      </c>
      <c r="B1245" s="2" t="s">
        <v>5703</v>
      </c>
      <c r="C1245" s="5" t="s">
        <v>2128</v>
      </c>
      <c r="D1245" s="5" t="s">
        <v>4760</v>
      </c>
      <c r="E1245" s="5" t="s">
        <v>62</v>
      </c>
      <c r="F1245" s="5" t="s">
        <v>7670</v>
      </c>
      <c r="G1245" s="5" t="s">
        <v>8096</v>
      </c>
      <c r="H1245" s="5"/>
      <c r="I1245" s="5" t="s">
        <v>8096</v>
      </c>
    </row>
    <row r="1246" customFormat="false" ht="23.85" hidden="false" customHeight="false" outlineLevel="0" collapsed="false">
      <c r="A1246" s="5" t="s">
        <v>5702</v>
      </c>
      <c r="B1246" s="2" t="s">
        <v>5703</v>
      </c>
      <c r="C1246" s="5" t="s">
        <v>2128</v>
      </c>
      <c r="D1246" s="5" t="s">
        <v>4760</v>
      </c>
      <c r="E1246" s="5" t="s">
        <v>62</v>
      </c>
      <c r="F1246" s="5" t="s">
        <v>7670</v>
      </c>
      <c r="G1246" s="5" t="s">
        <v>8097</v>
      </c>
      <c r="H1246" s="5"/>
      <c r="I1246" s="5" t="s">
        <v>8097</v>
      </c>
    </row>
    <row r="1247" customFormat="false" ht="23.85" hidden="false" customHeight="false" outlineLevel="0" collapsed="false">
      <c r="A1247" s="5" t="s">
        <v>5702</v>
      </c>
      <c r="B1247" s="2" t="s">
        <v>5703</v>
      </c>
      <c r="C1247" s="5" t="s">
        <v>2128</v>
      </c>
      <c r="D1247" s="5" t="s">
        <v>4760</v>
      </c>
      <c r="E1247" s="5" t="s">
        <v>62</v>
      </c>
      <c r="F1247" s="5" t="s">
        <v>7669</v>
      </c>
      <c r="G1247" s="5" t="s">
        <v>5060</v>
      </c>
      <c r="H1247" s="5"/>
      <c r="I1247" s="5" t="s">
        <v>5060</v>
      </c>
    </row>
    <row r="1248" customFormat="false" ht="23.85" hidden="false" customHeight="false" outlineLevel="0" collapsed="false">
      <c r="A1248" s="5" t="s">
        <v>5709</v>
      </c>
      <c r="B1248" s="2" t="s">
        <v>5710</v>
      </c>
      <c r="C1248" s="5" t="s">
        <v>2128</v>
      </c>
      <c r="D1248" s="5" t="s">
        <v>4760</v>
      </c>
      <c r="E1248" s="5" t="s">
        <v>490</v>
      </c>
      <c r="F1248" s="5" t="s">
        <v>7670</v>
      </c>
      <c r="G1248" s="5" t="s">
        <v>4932</v>
      </c>
      <c r="H1248" s="5"/>
      <c r="I1248" s="5" t="s">
        <v>4932</v>
      </c>
    </row>
    <row r="1249" customFormat="false" ht="23.85" hidden="false" customHeight="false" outlineLevel="0" collapsed="false">
      <c r="A1249" s="5" t="s">
        <v>5709</v>
      </c>
      <c r="B1249" s="2" t="s">
        <v>5710</v>
      </c>
      <c r="C1249" s="5" t="s">
        <v>2128</v>
      </c>
      <c r="D1249" s="5" t="s">
        <v>4760</v>
      </c>
      <c r="E1249" s="5" t="s">
        <v>490</v>
      </c>
      <c r="F1249" s="5" t="s">
        <v>7669</v>
      </c>
      <c r="G1249" s="5" t="s">
        <v>2722</v>
      </c>
      <c r="H1249" s="5"/>
      <c r="I1249" s="5" t="s">
        <v>2722</v>
      </c>
    </row>
    <row r="1250" customFormat="false" ht="23.85" hidden="false" customHeight="false" outlineLevel="0" collapsed="false">
      <c r="A1250" s="5" t="s">
        <v>5714</v>
      </c>
      <c r="B1250" s="2" t="s">
        <v>5715</v>
      </c>
      <c r="C1250" s="5" t="s">
        <v>2128</v>
      </c>
      <c r="D1250" s="5" t="s">
        <v>4760</v>
      </c>
      <c r="E1250" s="5" t="s">
        <v>490</v>
      </c>
      <c r="F1250" s="5" t="s">
        <v>7670</v>
      </c>
      <c r="G1250" s="5" t="s">
        <v>8098</v>
      </c>
      <c r="H1250" s="5"/>
      <c r="I1250" s="5" t="s">
        <v>8098</v>
      </c>
    </row>
    <row r="1251" customFormat="false" ht="23.85" hidden="false" customHeight="false" outlineLevel="0" collapsed="false">
      <c r="A1251" s="5" t="s">
        <v>5714</v>
      </c>
      <c r="B1251" s="2" t="s">
        <v>5715</v>
      </c>
      <c r="C1251" s="5" t="s">
        <v>2128</v>
      </c>
      <c r="D1251" s="5" t="s">
        <v>4760</v>
      </c>
      <c r="E1251" s="5" t="s">
        <v>490</v>
      </c>
      <c r="F1251" s="5" t="s">
        <v>7670</v>
      </c>
      <c r="G1251" s="5" t="s">
        <v>8099</v>
      </c>
      <c r="H1251" s="5"/>
      <c r="I1251" s="5" t="s">
        <v>8099</v>
      </c>
    </row>
    <row r="1252" customFormat="false" ht="23.85" hidden="false" customHeight="false" outlineLevel="0" collapsed="false">
      <c r="A1252" s="5" t="s">
        <v>5714</v>
      </c>
      <c r="B1252" s="2" t="s">
        <v>5715</v>
      </c>
      <c r="C1252" s="5" t="s">
        <v>2128</v>
      </c>
      <c r="D1252" s="5" t="s">
        <v>4760</v>
      </c>
      <c r="E1252" s="5" t="s">
        <v>490</v>
      </c>
      <c r="F1252" s="5" t="s">
        <v>7669</v>
      </c>
      <c r="G1252" s="5" t="s">
        <v>5060</v>
      </c>
      <c r="H1252" s="5"/>
      <c r="I1252" s="5" t="s">
        <v>5060</v>
      </c>
    </row>
    <row r="1253" customFormat="false" ht="23.85" hidden="false" customHeight="false" outlineLevel="0" collapsed="false">
      <c r="A1253" s="5" t="s">
        <v>5721</v>
      </c>
      <c r="B1253" s="2" t="s">
        <v>5722</v>
      </c>
      <c r="C1253" s="5" t="s">
        <v>2128</v>
      </c>
      <c r="D1253" s="5" t="s">
        <v>4760</v>
      </c>
      <c r="E1253" s="5" t="s">
        <v>62</v>
      </c>
      <c r="F1253" s="5" t="s">
        <v>7670</v>
      </c>
      <c r="G1253" s="5" t="s">
        <v>8100</v>
      </c>
      <c r="H1253" s="5"/>
      <c r="I1253" s="5" t="s">
        <v>8100</v>
      </c>
    </row>
    <row r="1254" customFormat="false" ht="23.85" hidden="false" customHeight="false" outlineLevel="0" collapsed="false">
      <c r="A1254" s="5" t="s">
        <v>5721</v>
      </c>
      <c r="B1254" s="2" t="s">
        <v>5722</v>
      </c>
      <c r="C1254" s="5" t="s">
        <v>2128</v>
      </c>
      <c r="D1254" s="5" t="s">
        <v>4760</v>
      </c>
      <c r="E1254" s="5" t="s">
        <v>62</v>
      </c>
      <c r="F1254" s="5" t="s">
        <v>7670</v>
      </c>
      <c r="G1254" s="5" t="s">
        <v>8101</v>
      </c>
      <c r="H1254" s="5"/>
      <c r="I1254" s="5" t="s">
        <v>8101</v>
      </c>
    </row>
    <row r="1255" customFormat="false" ht="23.85" hidden="false" customHeight="false" outlineLevel="0" collapsed="false">
      <c r="A1255" s="5" t="s">
        <v>5721</v>
      </c>
      <c r="B1255" s="2" t="s">
        <v>5722</v>
      </c>
      <c r="C1255" s="5" t="s">
        <v>2128</v>
      </c>
      <c r="D1255" s="5" t="s">
        <v>4760</v>
      </c>
      <c r="E1255" s="5" t="s">
        <v>62</v>
      </c>
      <c r="F1255" s="5" t="s">
        <v>7670</v>
      </c>
      <c r="G1255" s="5" t="s">
        <v>8102</v>
      </c>
      <c r="H1255" s="5"/>
      <c r="I1255" s="5" t="s">
        <v>8102</v>
      </c>
    </row>
    <row r="1256" customFormat="false" ht="23.85" hidden="false" customHeight="false" outlineLevel="0" collapsed="false">
      <c r="A1256" s="5" t="s">
        <v>5721</v>
      </c>
      <c r="B1256" s="2" t="s">
        <v>5722</v>
      </c>
      <c r="C1256" s="5" t="s">
        <v>2128</v>
      </c>
      <c r="D1256" s="5" t="s">
        <v>4760</v>
      </c>
      <c r="E1256" s="5" t="s">
        <v>62</v>
      </c>
      <c r="F1256" s="5" t="s">
        <v>7670</v>
      </c>
      <c r="G1256" s="5" t="s">
        <v>8103</v>
      </c>
      <c r="H1256" s="5"/>
      <c r="I1256" s="5" t="s">
        <v>8103</v>
      </c>
    </row>
    <row r="1257" customFormat="false" ht="23.85" hidden="false" customHeight="false" outlineLevel="0" collapsed="false">
      <c r="A1257" s="5" t="s">
        <v>5727</v>
      </c>
      <c r="B1257" s="2" t="s">
        <v>5728</v>
      </c>
      <c r="C1257" s="5" t="s">
        <v>2245</v>
      </c>
      <c r="D1257" s="5" t="s">
        <v>4760</v>
      </c>
      <c r="E1257" s="5" t="s">
        <v>62</v>
      </c>
      <c r="F1257" s="5" t="s">
        <v>7669</v>
      </c>
      <c r="G1257" s="5" t="s">
        <v>7882</v>
      </c>
      <c r="H1257" s="5"/>
      <c r="I1257" s="5" t="s">
        <v>7882</v>
      </c>
    </row>
    <row r="1258" customFormat="false" ht="23.85" hidden="false" customHeight="false" outlineLevel="0" collapsed="false">
      <c r="A1258" s="5" t="s">
        <v>5727</v>
      </c>
      <c r="B1258" s="2" t="s">
        <v>5728</v>
      </c>
      <c r="C1258" s="5" t="s">
        <v>2245</v>
      </c>
      <c r="D1258" s="5" t="s">
        <v>4760</v>
      </c>
      <c r="E1258" s="5" t="s">
        <v>62</v>
      </c>
      <c r="F1258" s="5" t="s">
        <v>7669</v>
      </c>
      <c r="G1258" s="5" t="s">
        <v>7892</v>
      </c>
      <c r="H1258" s="5"/>
      <c r="I1258" s="5" t="s">
        <v>7892</v>
      </c>
    </row>
    <row r="1259" customFormat="false" ht="23.85" hidden="false" customHeight="false" outlineLevel="0" collapsed="false">
      <c r="A1259" s="5" t="s">
        <v>5733</v>
      </c>
      <c r="B1259" s="2" t="s">
        <v>5734</v>
      </c>
      <c r="C1259" s="5" t="s">
        <v>2128</v>
      </c>
      <c r="D1259" s="5" t="s">
        <v>4760</v>
      </c>
      <c r="E1259" s="5" t="s">
        <v>62</v>
      </c>
      <c r="F1259" s="5" t="s">
        <v>7670</v>
      </c>
      <c r="G1259" s="5" t="s">
        <v>8104</v>
      </c>
      <c r="H1259" s="5"/>
      <c r="I1259" s="5" t="s">
        <v>8104</v>
      </c>
    </row>
    <row r="1260" customFormat="false" ht="23.85" hidden="false" customHeight="false" outlineLevel="0" collapsed="false">
      <c r="A1260" s="5" t="s">
        <v>5733</v>
      </c>
      <c r="B1260" s="2" t="s">
        <v>5734</v>
      </c>
      <c r="C1260" s="5" t="s">
        <v>2128</v>
      </c>
      <c r="D1260" s="5" t="s">
        <v>4760</v>
      </c>
      <c r="E1260" s="5" t="s">
        <v>62</v>
      </c>
      <c r="F1260" s="5" t="s">
        <v>7670</v>
      </c>
      <c r="G1260" s="5" t="s">
        <v>8105</v>
      </c>
      <c r="H1260" s="5"/>
      <c r="I1260" s="5" t="s">
        <v>8105</v>
      </c>
    </row>
    <row r="1261" customFormat="false" ht="15" hidden="false" customHeight="false" outlineLevel="0" collapsed="false">
      <c r="A1261" s="5" t="s">
        <v>5739</v>
      </c>
      <c r="B1261" s="2" t="s">
        <v>5740</v>
      </c>
      <c r="C1261" s="5" t="s">
        <v>2128</v>
      </c>
      <c r="D1261" s="5" t="s">
        <v>4760</v>
      </c>
      <c r="E1261" s="5" t="s">
        <v>62</v>
      </c>
      <c r="F1261" s="5" t="s">
        <v>7669</v>
      </c>
      <c r="G1261" s="5" t="s">
        <v>2722</v>
      </c>
      <c r="H1261" s="5"/>
      <c r="I1261" s="5" t="s">
        <v>2722</v>
      </c>
    </row>
    <row r="1262" customFormat="false" ht="23.85" hidden="false" customHeight="false" outlineLevel="0" collapsed="false">
      <c r="A1262" s="5" t="s">
        <v>5744</v>
      </c>
      <c r="B1262" s="2" t="s">
        <v>5745</v>
      </c>
      <c r="C1262" s="5" t="s">
        <v>2128</v>
      </c>
      <c r="D1262" s="5" t="s">
        <v>4760</v>
      </c>
      <c r="E1262" s="5" t="s">
        <v>62</v>
      </c>
      <c r="F1262" s="5" t="s">
        <v>7670</v>
      </c>
      <c r="G1262" s="5" t="s">
        <v>8106</v>
      </c>
      <c r="H1262" s="5"/>
      <c r="I1262" s="5" t="s">
        <v>8106</v>
      </c>
    </row>
    <row r="1263" customFormat="false" ht="23.85" hidden="false" customHeight="false" outlineLevel="0" collapsed="false">
      <c r="A1263" s="5" t="s">
        <v>5744</v>
      </c>
      <c r="B1263" s="2" t="s">
        <v>5745</v>
      </c>
      <c r="C1263" s="5" t="s">
        <v>2128</v>
      </c>
      <c r="D1263" s="5" t="s">
        <v>4760</v>
      </c>
      <c r="E1263" s="5" t="s">
        <v>62</v>
      </c>
      <c r="F1263" s="5" t="s">
        <v>7670</v>
      </c>
      <c r="G1263" s="5" t="s">
        <v>8107</v>
      </c>
      <c r="H1263" s="5"/>
      <c r="I1263" s="5" t="s">
        <v>8107</v>
      </c>
    </row>
    <row r="1264" customFormat="false" ht="23.85" hidden="false" customHeight="false" outlineLevel="0" collapsed="false">
      <c r="A1264" s="5" t="s">
        <v>5744</v>
      </c>
      <c r="B1264" s="2" t="s">
        <v>5745</v>
      </c>
      <c r="C1264" s="5" t="s">
        <v>2128</v>
      </c>
      <c r="D1264" s="5" t="s">
        <v>4760</v>
      </c>
      <c r="E1264" s="5" t="s">
        <v>62</v>
      </c>
      <c r="F1264" s="5" t="s">
        <v>7670</v>
      </c>
      <c r="G1264" s="5" t="s">
        <v>8108</v>
      </c>
      <c r="H1264" s="5"/>
      <c r="I1264" s="5" t="s">
        <v>8108</v>
      </c>
    </row>
    <row r="1265" customFormat="false" ht="23.85" hidden="false" customHeight="false" outlineLevel="0" collapsed="false">
      <c r="A1265" s="5" t="s">
        <v>5744</v>
      </c>
      <c r="B1265" s="2" t="s">
        <v>5745</v>
      </c>
      <c r="C1265" s="5" t="s">
        <v>2128</v>
      </c>
      <c r="D1265" s="5" t="s">
        <v>4760</v>
      </c>
      <c r="E1265" s="5" t="s">
        <v>62</v>
      </c>
      <c r="F1265" s="5" t="s">
        <v>7670</v>
      </c>
      <c r="G1265" s="5" t="s">
        <v>8109</v>
      </c>
      <c r="H1265" s="5"/>
      <c r="I1265" s="5" t="s">
        <v>8109</v>
      </c>
    </row>
    <row r="1266" customFormat="false" ht="23.85" hidden="false" customHeight="false" outlineLevel="0" collapsed="false">
      <c r="A1266" s="5" t="s">
        <v>5744</v>
      </c>
      <c r="B1266" s="2" t="s">
        <v>5745</v>
      </c>
      <c r="C1266" s="5" t="s">
        <v>2128</v>
      </c>
      <c r="D1266" s="5" t="s">
        <v>4760</v>
      </c>
      <c r="E1266" s="5" t="s">
        <v>62</v>
      </c>
      <c r="F1266" s="5" t="s">
        <v>7669</v>
      </c>
      <c r="G1266" s="5" t="s">
        <v>5060</v>
      </c>
      <c r="H1266" s="5"/>
      <c r="I1266" s="5" t="s">
        <v>5060</v>
      </c>
    </row>
    <row r="1267" customFormat="false" ht="15" hidden="false" customHeight="false" outlineLevel="0" collapsed="false">
      <c r="A1267" s="5" t="s">
        <v>5751</v>
      </c>
      <c r="B1267" s="2" t="s">
        <v>5752</v>
      </c>
      <c r="C1267" s="5" t="s">
        <v>2128</v>
      </c>
      <c r="D1267" s="5" t="s">
        <v>4760</v>
      </c>
      <c r="E1267" s="5" t="s">
        <v>490</v>
      </c>
      <c r="F1267" s="5" t="s">
        <v>7670</v>
      </c>
      <c r="G1267" s="5" t="s">
        <v>4932</v>
      </c>
      <c r="H1267" s="5"/>
      <c r="I1267" s="5" t="s">
        <v>4932</v>
      </c>
    </row>
    <row r="1268" customFormat="false" ht="15" hidden="false" customHeight="false" outlineLevel="0" collapsed="false">
      <c r="A1268" s="5" t="s">
        <v>5756</v>
      </c>
      <c r="B1268" s="2" t="s">
        <v>5757</v>
      </c>
      <c r="C1268" s="5" t="s">
        <v>2128</v>
      </c>
      <c r="D1268" s="5" t="s">
        <v>4760</v>
      </c>
      <c r="E1268" s="5" t="s">
        <v>490</v>
      </c>
      <c r="F1268" s="5" t="s">
        <v>7670</v>
      </c>
      <c r="G1268" s="5" t="s">
        <v>8110</v>
      </c>
      <c r="H1268" s="5"/>
      <c r="I1268" s="5" t="s">
        <v>8110</v>
      </c>
    </row>
    <row r="1269" customFormat="false" ht="15" hidden="false" customHeight="false" outlineLevel="0" collapsed="false">
      <c r="A1269" s="5" t="s">
        <v>5756</v>
      </c>
      <c r="B1269" s="2" t="s">
        <v>5757</v>
      </c>
      <c r="C1269" s="5" t="s">
        <v>2128</v>
      </c>
      <c r="D1269" s="5" t="s">
        <v>4760</v>
      </c>
      <c r="E1269" s="5" t="s">
        <v>490</v>
      </c>
      <c r="F1269" s="5" t="s">
        <v>7670</v>
      </c>
      <c r="G1269" s="5" t="s">
        <v>8111</v>
      </c>
      <c r="H1269" s="5"/>
      <c r="I1269" s="5" t="s">
        <v>8111</v>
      </c>
    </row>
    <row r="1270" customFormat="false" ht="15" hidden="false" customHeight="false" outlineLevel="0" collapsed="false">
      <c r="A1270" s="5" t="s">
        <v>5756</v>
      </c>
      <c r="B1270" s="2" t="s">
        <v>5757</v>
      </c>
      <c r="C1270" s="5" t="s">
        <v>2128</v>
      </c>
      <c r="D1270" s="5" t="s">
        <v>4760</v>
      </c>
      <c r="E1270" s="5" t="s">
        <v>490</v>
      </c>
      <c r="F1270" s="5" t="s">
        <v>7669</v>
      </c>
      <c r="G1270" s="5" t="s">
        <v>5060</v>
      </c>
      <c r="H1270" s="5"/>
      <c r="I1270" s="5" t="s">
        <v>5060</v>
      </c>
    </row>
    <row r="1271" customFormat="false" ht="23.85" hidden="false" customHeight="false" outlineLevel="0" collapsed="false">
      <c r="A1271" s="5" t="s">
        <v>5763</v>
      </c>
      <c r="B1271" s="2" t="s">
        <v>5764</v>
      </c>
      <c r="C1271" s="5" t="s">
        <v>2128</v>
      </c>
      <c r="D1271" s="5" t="s">
        <v>4760</v>
      </c>
      <c r="E1271" s="5" t="s">
        <v>490</v>
      </c>
      <c r="F1271" s="5" t="s">
        <v>7669</v>
      </c>
      <c r="G1271" s="5" t="s">
        <v>2722</v>
      </c>
      <c r="H1271" s="5"/>
      <c r="I1271" s="5" t="s">
        <v>2722</v>
      </c>
    </row>
    <row r="1272" customFormat="false" ht="23.85" hidden="false" customHeight="false" outlineLevel="0" collapsed="false">
      <c r="A1272" s="5" t="s">
        <v>5768</v>
      </c>
      <c r="B1272" s="2" t="s">
        <v>5769</v>
      </c>
      <c r="C1272" s="5" t="s">
        <v>2128</v>
      </c>
      <c r="D1272" s="5" t="s">
        <v>4760</v>
      </c>
      <c r="E1272" s="5" t="s">
        <v>62</v>
      </c>
      <c r="F1272" s="5" t="s">
        <v>7670</v>
      </c>
      <c r="G1272" s="5" t="s">
        <v>8112</v>
      </c>
      <c r="H1272" s="5"/>
      <c r="I1272" s="5" t="s">
        <v>8112</v>
      </c>
    </row>
    <row r="1273" customFormat="false" ht="23.85" hidden="false" customHeight="false" outlineLevel="0" collapsed="false">
      <c r="A1273" s="5" t="s">
        <v>5768</v>
      </c>
      <c r="B1273" s="2" t="s">
        <v>5769</v>
      </c>
      <c r="C1273" s="5" t="s">
        <v>2128</v>
      </c>
      <c r="D1273" s="5" t="s">
        <v>4760</v>
      </c>
      <c r="E1273" s="5" t="s">
        <v>62</v>
      </c>
      <c r="F1273" s="5" t="s">
        <v>7670</v>
      </c>
      <c r="G1273" s="5" t="s">
        <v>8113</v>
      </c>
      <c r="H1273" s="5"/>
      <c r="I1273" s="5" t="s">
        <v>8113</v>
      </c>
    </row>
    <row r="1274" customFormat="false" ht="23.85" hidden="false" customHeight="false" outlineLevel="0" collapsed="false">
      <c r="A1274" s="5" t="s">
        <v>5768</v>
      </c>
      <c r="B1274" s="2" t="s">
        <v>5769</v>
      </c>
      <c r="C1274" s="5" t="s">
        <v>2128</v>
      </c>
      <c r="D1274" s="5" t="s">
        <v>4760</v>
      </c>
      <c r="E1274" s="5" t="s">
        <v>62</v>
      </c>
      <c r="F1274" s="5" t="s">
        <v>7670</v>
      </c>
      <c r="G1274" s="5" t="s">
        <v>8114</v>
      </c>
      <c r="H1274" s="5"/>
      <c r="I1274" s="5" t="s">
        <v>8114</v>
      </c>
    </row>
    <row r="1275" customFormat="false" ht="23.85" hidden="false" customHeight="false" outlineLevel="0" collapsed="false">
      <c r="A1275" s="5" t="s">
        <v>5768</v>
      </c>
      <c r="B1275" s="2" t="s">
        <v>5769</v>
      </c>
      <c r="C1275" s="5" t="s">
        <v>2128</v>
      </c>
      <c r="D1275" s="5" t="s">
        <v>4760</v>
      </c>
      <c r="E1275" s="5" t="s">
        <v>62</v>
      </c>
      <c r="F1275" s="5" t="s">
        <v>7670</v>
      </c>
      <c r="G1275" s="5" t="s">
        <v>8115</v>
      </c>
      <c r="H1275" s="5"/>
      <c r="I1275" s="5" t="s">
        <v>8115</v>
      </c>
    </row>
    <row r="1276" customFormat="false" ht="23.85" hidden="false" customHeight="false" outlineLevel="0" collapsed="false">
      <c r="A1276" s="5" t="s">
        <v>5768</v>
      </c>
      <c r="B1276" s="2" t="s">
        <v>5769</v>
      </c>
      <c r="C1276" s="5" t="s">
        <v>2128</v>
      </c>
      <c r="D1276" s="5" t="s">
        <v>4760</v>
      </c>
      <c r="E1276" s="5" t="s">
        <v>62</v>
      </c>
      <c r="F1276" s="5" t="s">
        <v>7670</v>
      </c>
      <c r="G1276" s="5" t="s">
        <v>8116</v>
      </c>
      <c r="H1276" s="5"/>
      <c r="I1276" s="5" t="s">
        <v>8116</v>
      </c>
    </row>
    <row r="1277" customFormat="false" ht="23.85" hidden="false" customHeight="false" outlineLevel="0" collapsed="false">
      <c r="A1277" s="5" t="s">
        <v>5768</v>
      </c>
      <c r="B1277" s="2" t="s">
        <v>5769</v>
      </c>
      <c r="C1277" s="5" t="s">
        <v>2128</v>
      </c>
      <c r="D1277" s="5" t="s">
        <v>4760</v>
      </c>
      <c r="E1277" s="5" t="s">
        <v>62</v>
      </c>
      <c r="F1277" s="5" t="s">
        <v>7670</v>
      </c>
      <c r="G1277" s="5" t="s">
        <v>8117</v>
      </c>
      <c r="H1277" s="5"/>
      <c r="I1277" s="5" t="s">
        <v>8117</v>
      </c>
    </row>
    <row r="1278" customFormat="false" ht="23.85" hidden="false" customHeight="false" outlineLevel="0" collapsed="false">
      <c r="A1278" s="5" t="s">
        <v>5768</v>
      </c>
      <c r="B1278" s="2" t="s">
        <v>5769</v>
      </c>
      <c r="C1278" s="5" t="s">
        <v>2128</v>
      </c>
      <c r="D1278" s="5" t="s">
        <v>4760</v>
      </c>
      <c r="E1278" s="5" t="s">
        <v>62</v>
      </c>
      <c r="F1278" s="5" t="s">
        <v>7670</v>
      </c>
      <c r="G1278" s="5" t="s">
        <v>8118</v>
      </c>
      <c r="H1278" s="5"/>
      <c r="I1278" s="5" t="s">
        <v>8118</v>
      </c>
    </row>
    <row r="1279" customFormat="false" ht="23.85" hidden="false" customHeight="false" outlineLevel="0" collapsed="false">
      <c r="A1279" s="5" t="s">
        <v>5768</v>
      </c>
      <c r="B1279" s="2" t="s">
        <v>5769</v>
      </c>
      <c r="C1279" s="5" t="s">
        <v>2128</v>
      </c>
      <c r="D1279" s="5" t="s">
        <v>4760</v>
      </c>
      <c r="E1279" s="5" t="s">
        <v>62</v>
      </c>
      <c r="F1279" s="5" t="s">
        <v>7670</v>
      </c>
      <c r="G1279" s="5" t="s">
        <v>8119</v>
      </c>
      <c r="H1279" s="5"/>
      <c r="I1279" s="5" t="s">
        <v>8119</v>
      </c>
    </row>
    <row r="1280" customFormat="false" ht="23.85" hidden="false" customHeight="false" outlineLevel="0" collapsed="false">
      <c r="A1280" s="5" t="s">
        <v>5768</v>
      </c>
      <c r="B1280" s="2" t="s">
        <v>5769</v>
      </c>
      <c r="C1280" s="5" t="s">
        <v>2128</v>
      </c>
      <c r="D1280" s="5" t="s">
        <v>4760</v>
      </c>
      <c r="E1280" s="5" t="s">
        <v>62</v>
      </c>
      <c r="F1280" s="5" t="s">
        <v>7670</v>
      </c>
      <c r="G1280" s="5" t="s">
        <v>8120</v>
      </c>
      <c r="H1280" s="5"/>
      <c r="I1280" s="5" t="s">
        <v>8120</v>
      </c>
    </row>
    <row r="1281" customFormat="false" ht="23.85" hidden="false" customHeight="false" outlineLevel="0" collapsed="false">
      <c r="A1281" s="5" t="s">
        <v>5768</v>
      </c>
      <c r="B1281" s="2" t="s">
        <v>5769</v>
      </c>
      <c r="C1281" s="5" t="s">
        <v>2128</v>
      </c>
      <c r="D1281" s="5" t="s">
        <v>4760</v>
      </c>
      <c r="E1281" s="5" t="s">
        <v>62</v>
      </c>
      <c r="F1281" s="5" t="s">
        <v>7670</v>
      </c>
      <c r="G1281" s="5" t="s">
        <v>8121</v>
      </c>
      <c r="H1281" s="5"/>
      <c r="I1281" s="5" t="s">
        <v>8121</v>
      </c>
    </row>
    <row r="1282" customFormat="false" ht="23.85" hidden="false" customHeight="false" outlineLevel="0" collapsed="false">
      <c r="A1282" s="5" t="s">
        <v>5768</v>
      </c>
      <c r="B1282" s="2" t="s">
        <v>5769</v>
      </c>
      <c r="C1282" s="5" t="s">
        <v>2128</v>
      </c>
      <c r="D1282" s="5" t="s">
        <v>4760</v>
      </c>
      <c r="E1282" s="5" t="s">
        <v>62</v>
      </c>
      <c r="F1282" s="5" t="s">
        <v>7669</v>
      </c>
      <c r="G1282" s="5" t="s">
        <v>5060</v>
      </c>
      <c r="H1282" s="5"/>
      <c r="I1282" s="5" t="s">
        <v>5060</v>
      </c>
    </row>
    <row r="1283" customFormat="false" ht="23.85" hidden="false" customHeight="false" outlineLevel="0" collapsed="false">
      <c r="A1283" s="5" t="s">
        <v>5775</v>
      </c>
      <c r="B1283" s="2" t="s">
        <v>5776</v>
      </c>
      <c r="C1283" s="5" t="s">
        <v>2128</v>
      </c>
      <c r="D1283" s="5" t="s">
        <v>4760</v>
      </c>
      <c r="E1283" s="5" t="s">
        <v>490</v>
      </c>
      <c r="F1283" s="5" t="s">
        <v>7670</v>
      </c>
      <c r="G1283" s="5" t="s">
        <v>8122</v>
      </c>
      <c r="H1283" s="5"/>
      <c r="I1283" s="5" t="s">
        <v>8122</v>
      </c>
    </row>
    <row r="1284" customFormat="false" ht="23.85" hidden="false" customHeight="false" outlineLevel="0" collapsed="false">
      <c r="A1284" s="5" t="s">
        <v>5775</v>
      </c>
      <c r="B1284" s="2" t="s">
        <v>5776</v>
      </c>
      <c r="C1284" s="5" t="s">
        <v>2128</v>
      </c>
      <c r="D1284" s="5" t="s">
        <v>4760</v>
      </c>
      <c r="E1284" s="5" t="s">
        <v>490</v>
      </c>
      <c r="F1284" s="5" t="s">
        <v>7670</v>
      </c>
      <c r="G1284" s="5" t="s">
        <v>8123</v>
      </c>
      <c r="H1284" s="5"/>
      <c r="I1284" s="5" t="s">
        <v>8123</v>
      </c>
    </row>
    <row r="1285" customFormat="false" ht="23.85" hidden="false" customHeight="false" outlineLevel="0" collapsed="false">
      <c r="A1285" s="5" t="s">
        <v>5775</v>
      </c>
      <c r="B1285" s="2" t="s">
        <v>5776</v>
      </c>
      <c r="C1285" s="5" t="s">
        <v>2128</v>
      </c>
      <c r="D1285" s="5" t="s">
        <v>4760</v>
      </c>
      <c r="E1285" s="5" t="s">
        <v>490</v>
      </c>
      <c r="F1285" s="5" t="s">
        <v>7670</v>
      </c>
      <c r="G1285" s="5" t="s">
        <v>5329</v>
      </c>
      <c r="H1285" s="5"/>
      <c r="I1285" s="5" t="s">
        <v>5329</v>
      </c>
    </row>
    <row r="1286" customFormat="false" ht="23.85" hidden="false" customHeight="false" outlineLevel="0" collapsed="false">
      <c r="A1286" s="5" t="s">
        <v>5782</v>
      </c>
      <c r="B1286" s="2" t="s">
        <v>5783</v>
      </c>
      <c r="C1286" s="5" t="s">
        <v>2128</v>
      </c>
      <c r="D1286" s="5" t="s">
        <v>4760</v>
      </c>
      <c r="E1286" s="5" t="s">
        <v>62</v>
      </c>
      <c r="F1286" s="5" t="s">
        <v>7670</v>
      </c>
      <c r="G1286" s="5" t="s">
        <v>8124</v>
      </c>
      <c r="H1286" s="5"/>
      <c r="I1286" s="5" t="s">
        <v>8124</v>
      </c>
    </row>
    <row r="1287" customFormat="false" ht="23.85" hidden="false" customHeight="false" outlineLevel="0" collapsed="false">
      <c r="A1287" s="5" t="s">
        <v>5782</v>
      </c>
      <c r="B1287" s="2" t="s">
        <v>5783</v>
      </c>
      <c r="C1287" s="5" t="s">
        <v>2128</v>
      </c>
      <c r="D1287" s="5" t="s">
        <v>4760</v>
      </c>
      <c r="E1287" s="5" t="s">
        <v>62</v>
      </c>
      <c r="F1287" s="5" t="s">
        <v>7670</v>
      </c>
      <c r="G1287" s="5" t="s">
        <v>8125</v>
      </c>
      <c r="H1287" s="5"/>
      <c r="I1287" s="5" t="s">
        <v>8125</v>
      </c>
    </row>
    <row r="1288" customFormat="false" ht="23.85" hidden="false" customHeight="false" outlineLevel="0" collapsed="false">
      <c r="A1288" s="5" t="s">
        <v>5788</v>
      </c>
      <c r="B1288" s="2" t="s">
        <v>5789</v>
      </c>
      <c r="C1288" s="5" t="s">
        <v>2128</v>
      </c>
      <c r="D1288" s="5" t="s">
        <v>4760</v>
      </c>
      <c r="E1288" s="5" t="s">
        <v>62</v>
      </c>
      <c r="F1288" s="5" t="s">
        <v>7670</v>
      </c>
      <c r="G1288" s="5" t="s">
        <v>8126</v>
      </c>
      <c r="H1288" s="5"/>
      <c r="I1288" s="5" t="s">
        <v>8126</v>
      </c>
    </row>
    <row r="1289" customFormat="false" ht="23.85" hidden="false" customHeight="false" outlineLevel="0" collapsed="false">
      <c r="A1289" s="5" t="s">
        <v>5788</v>
      </c>
      <c r="B1289" s="2" t="s">
        <v>5789</v>
      </c>
      <c r="C1289" s="5" t="s">
        <v>2128</v>
      </c>
      <c r="D1289" s="5" t="s">
        <v>4760</v>
      </c>
      <c r="E1289" s="5" t="s">
        <v>62</v>
      </c>
      <c r="F1289" s="5" t="s">
        <v>7670</v>
      </c>
      <c r="G1289" s="5" t="s">
        <v>8127</v>
      </c>
      <c r="H1289" s="5"/>
      <c r="I1289" s="5" t="s">
        <v>8127</v>
      </c>
    </row>
    <row r="1290" customFormat="false" ht="23.85" hidden="false" customHeight="false" outlineLevel="0" collapsed="false">
      <c r="A1290" s="5" t="s">
        <v>5788</v>
      </c>
      <c r="B1290" s="2" t="s">
        <v>5789</v>
      </c>
      <c r="C1290" s="5" t="s">
        <v>2128</v>
      </c>
      <c r="D1290" s="5" t="s">
        <v>4760</v>
      </c>
      <c r="E1290" s="5" t="s">
        <v>62</v>
      </c>
      <c r="F1290" s="5" t="s">
        <v>7670</v>
      </c>
      <c r="G1290" s="5" t="s">
        <v>8128</v>
      </c>
      <c r="H1290" s="5"/>
      <c r="I1290" s="5" t="s">
        <v>8128</v>
      </c>
    </row>
    <row r="1291" customFormat="false" ht="23.85" hidden="false" customHeight="false" outlineLevel="0" collapsed="false">
      <c r="A1291" s="5" t="s">
        <v>5788</v>
      </c>
      <c r="B1291" s="2" t="s">
        <v>5789</v>
      </c>
      <c r="C1291" s="5" t="s">
        <v>2128</v>
      </c>
      <c r="D1291" s="5" t="s">
        <v>4760</v>
      </c>
      <c r="E1291" s="5" t="s">
        <v>62</v>
      </c>
      <c r="F1291" s="5" t="s">
        <v>7670</v>
      </c>
      <c r="G1291" s="5" t="s">
        <v>8129</v>
      </c>
      <c r="H1291" s="5"/>
      <c r="I1291" s="5" t="s">
        <v>8129</v>
      </c>
    </row>
    <row r="1292" customFormat="false" ht="23.85" hidden="false" customHeight="false" outlineLevel="0" collapsed="false">
      <c r="A1292" s="5" t="s">
        <v>5788</v>
      </c>
      <c r="B1292" s="2" t="s">
        <v>5789</v>
      </c>
      <c r="C1292" s="5" t="s">
        <v>2128</v>
      </c>
      <c r="D1292" s="5" t="s">
        <v>4760</v>
      </c>
      <c r="E1292" s="5" t="s">
        <v>62</v>
      </c>
      <c r="F1292" s="5" t="s">
        <v>7670</v>
      </c>
      <c r="G1292" s="5" t="s">
        <v>8130</v>
      </c>
      <c r="H1292" s="5"/>
      <c r="I1292" s="5" t="s">
        <v>8130</v>
      </c>
    </row>
    <row r="1293" customFormat="false" ht="23.85" hidden="false" customHeight="false" outlineLevel="0" collapsed="false">
      <c r="A1293" s="5" t="s">
        <v>5788</v>
      </c>
      <c r="B1293" s="2" t="s">
        <v>5789</v>
      </c>
      <c r="C1293" s="5" t="s">
        <v>2128</v>
      </c>
      <c r="D1293" s="5" t="s">
        <v>4760</v>
      </c>
      <c r="E1293" s="5" t="s">
        <v>62</v>
      </c>
      <c r="F1293" s="5" t="s">
        <v>7670</v>
      </c>
      <c r="G1293" s="5" t="s">
        <v>8131</v>
      </c>
      <c r="H1293" s="5"/>
      <c r="I1293" s="5" t="s">
        <v>8131</v>
      </c>
    </row>
    <row r="1294" customFormat="false" ht="23.85" hidden="false" customHeight="false" outlineLevel="0" collapsed="false">
      <c r="A1294" s="5" t="s">
        <v>5788</v>
      </c>
      <c r="B1294" s="2" t="s">
        <v>5789</v>
      </c>
      <c r="C1294" s="5" t="s">
        <v>2128</v>
      </c>
      <c r="D1294" s="5" t="s">
        <v>4760</v>
      </c>
      <c r="E1294" s="5" t="s">
        <v>62</v>
      </c>
      <c r="F1294" s="5" t="s">
        <v>7669</v>
      </c>
      <c r="G1294" s="5" t="s">
        <v>5060</v>
      </c>
      <c r="H1294" s="5"/>
      <c r="I1294" s="5" t="s">
        <v>5060</v>
      </c>
    </row>
    <row r="1295" customFormat="false" ht="23.85" hidden="false" customHeight="false" outlineLevel="0" collapsed="false">
      <c r="A1295" s="5" t="s">
        <v>5795</v>
      </c>
      <c r="B1295" s="2" t="s">
        <v>5796</v>
      </c>
      <c r="C1295" s="5" t="s">
        <v>2128</v>
      </c>
      <c r="D1295" s="5" t="s">
        <v>4760</v>
      </c>
      <c r="E1295" s="5" t="s">
        <v>62</v>
      </c>
      <c r="F1295" s="5" t="s">
        <v>7670</v>
      </c>
      <c r="G1295" s="5" t="s">
        <v>4932</v>
      </c>
      <c r="H1295" s="5"/>
      <c r="I1295" s="5" t="s">
        <v>4932</v>
      </c>
    </row>
    <row r="1296" customFormat="false" ht="23.85" hidden="false" customHeight="false" outlineLevel="0" collapsed="false">
      <c r="A1296" s="5" t="s">
        <v>5800</v>
      </c>
      <c r="B1296" s="2" t="s">
        <v>5801</v>
      </c>
      <c r="C1296" s="5" t="s">
        <v>2128</v>
      </c>
      <c r="D1296" s="5" t="s">
        <v>4760</v>
      </c>
      <c r="E1296" s="5" t="s">
        <v>62</v>
      </c>
      <c r="F1296" s="5" t="s">
        <v>7670</v>
      </c>
      <c r="G1296" s="5" t="s">
        <v>8132</v>
      </c>
      <c r="H1296" s="5"/>
      <c r="I1296" s="5" t="s">
        <v>8132</v>
      </c>
    </row>
    <row r="1297" customFormat="false" ht="23.85" hidden="false" customHeight="false" outlineLevel="0" collapsed="false">
      <c r="A1297" s="5" t="s">
        <v>5800</v>
      </c>
      <c r="B1297" s="2" t="s">
        <v>5801</v>
      </c>
      <c r="C1297" s="5" t="s">
        <v>2128</v>
      </c>
      <c r="D1297" s="5" t="s">
        <v>4760</v>
      </c>
      <c r="E1297" s="5" t="s">
        <v>62</v>
      </c>
      <c r="F1297" s="5" t="s">
        <v>7670</v>
      </c>
      <c r="G1297" s="5" t="s">
        <v>8133</v>
      </c>
      <c r="H1297" s="5"/>
      <c r="I1297" s="5" t="s">
        <v>8133</v>
      </c>
    </row>
    <row r="1298" customFormat="false" ht="23.85" hidden="false" customHeight="false" outlineLevel="0" collapsed="false">
      <c r="A1298" s="5" t="s">
        <v>5800</v>
      </c>
      <c r="B1298" s="2" t="s">
        <v>5801</v>
      </c>
      <c r="C1298" s="5" t="s">
        <v>2128</v>
      </c>
      <c r="D1298" s="5" t="s">
        <v>4760</v>
      </c>
      <c r="E1298" s="5" t="s">
        <v>62</v>
      </c>
      <c r="F1298" s="5" t="s">
        <v>7669</v>
      </c>
      <c r="G1298" s="5" t="s">
        <v>5060</v>
      </c>
      <c r="H1298" s="5"/>
      <c r="I1298" s="5" t="s">
        <v>5060</v>
      </c>
    </row>
    <row r="1299" customFormat="false" ht="23.85" hidden="false" customHeight="false" outlineLevel="0" collapsed="false">
      <c r="A1299" s="5" t="s">
        <v>5807</v>
      </c>
      <c r="B1299" s="2" t="s">
        <v>5808</v>
      </c>
      <c r="C1299" s="5" t="s">
        <v>2128</v>
      </c>
      <c r="D1299" s="5" t="s">
        <v>4760</v>
      </c>
      <c r="E1299" s="5" t="s">
        <v>62</v>
      </c>
      <c r="F1299" s="5" t="s">
        <v>7670</v>
      </c>
      <c r="G1299" s="5" t="s">
        <v>8134</v>
      </c>
      <c r="H1299" s="5"/>
      <c r="I1299" s="5" t="s">
        <v>8134</v>
      </c>
    </row>
    <row r="1300" customFormat="false" ht="23.85" hidden="false" customHeight="false" outlineLevel="0" collapsed="false">
      <c r="A1300" s="5" t="s">
        <v>5807</v>
      </c>
      <c r="B1300" s="2" t="s">
        <v>5808</v>
      </c>
      <c r="C1300" s="5" t="s">
        <v>2128</v>
      </c>
      <c r="D1300" s="5" t="s">
        <v>4760</v>
      </c>
      <c r="E1300" s="5" t="s">
        <v>62</v>
      </c>
      <c r="F1300" s="5" t="s">
        <v>7670</v>
      </c>
      <c r="G1300" s="5" t="s">
        <v>8135</v>
      </c>
      <c r="H1300" s="5"/>
      <c r="I1300" s="5" t="s">
        <v>8135</v>
      </c>
    </row>
    <row r="1301" customFormat="false" ht="23.85" hidden="false" customHeight="false" outlineLevel="0" collapsed="false">
      <c r="A1301" s="5" t="s">
        <v>5813</v>
      </c>
      <c r="B1301" s="2" t="s">
        <v>5814</v>
      </c>
      <c r="C1301" s="5" t="s">
        <v>2128</v>
      </c>
      <c r="D1301" s="5" t="s">
        <v>4760</v>
      </c>
      <c r="E1301" s="5" t="s">
        <v>62</v>
      </c>
      <c r="F1301" s="5" t="s">
        <v>7670</v>
      </c>
      <c r="G1301" s="5" t="s">
        <v>8136</v>
      </c>
      <c r="H1301" s="5"/>
      <c r="I1301" s="5" t="s">
        <v>8136</v>
      </c>
    </row>
    <row r="1302" customFormat="false" ht="23.85" hidden="false" customHeight="false" outlineLevel="0" collapsed="false">
      <c r="A1302" s="5" t="s">
        <v>5813</v>
      </c>
      <c r="B1302" s="2" t="s">
        <v>5814</v>
      </c>
      <c r="C1302" s="5" t="s">
        <v>2128</v>
      </c>
      <c r="D1302" s="5" t="s">
        <v>4760</v>
      </c>
      <c r="E1302" s="5" t="s">
        <v>62</v>
      </c>
      <c r="F1302" s="5" t="s">
        <v>7670</v>
      </c>
      <c r="G1302" s="5" t="s">
        <v>8137</v>
      </c>
      <c r="H1302" s="5"/>
      <c r="I1302" s="5" t="s">
        <v>8137</v>
      </c>
    </row>
    <row r="1303" customFormat="false" ht="23.85" hidden="false" customHeight="false" outlineLevel="0" collapsed="false">
      <c r="A1303" s="5" t="s">
        <v>5819</v>
      </c>
      <c r="B1303" s="2" t="s">
        <v>5820</v>
      </c>
      <c r="C1303" s="5" t="s">
        <v>2128</v>
      </c>
      <c r="D1303" s="5" t="s">
        <v>4760</v>
      </c>
      <c r="E1303" s="5" t="s">
        <v>62</v>
      </c>
      <c r="F1303" s="5" t="s">
        <v>7670</v>
      </c>
      <c r="G1303" s="5" t="s">
        <v>8138</v>
      </c>
      <c r="H1303" s="5"/>
      <c r="I1303" s="5" t="s">
        <v>8138</v>
      </c>
    </row>
    <row r="1304" customFormat="false" ht="23.85" hidden="false" customHeight="false" outlineLevel="0" collapsed="false">
      <c r="A1304" s="5" t="s">
        <v>5819</v>
      </c>
      <c r="B1304" s="2" t="s">
        <v>5820</v>
      </c>
      <c r="C1304" s="5" t="s">
        <v>2128</v>
      </c>
      <c r="D1304" s="5" t="s">
        <v>4760</v>
      </c>
      <c r="E1304" s="5" t="s">
        <v>62</v>
      </c>
      <c r="F1304" s="5" t="s">
        <v>7670</v>
      </c>
      <c r="G1304" s="5" t="s">
        <v>8139</v>
      </c>
      <c r="H1304" s="5"/>
      <c r="I1304" s="5" t="s">
        <v>8139</v>
      </c>
    </row>
    <row r="1305" customFormat="false" ht="23.85" hidden="false" customHeight="false" outlineLevel="0" collapsed="false">
      <c r="A1305" s="5" t="s">
        <v>5819</v>
      </c>
      <c r="B1305" s="2" t="s">
        <v>5820</v>
      </c>
      <c r="C1305" s="5" t="s">
        <v>2128</v>
      </c>
      <c r="D1305" s="5" t="s">
        <v>4760</v>
      </c>
      <c r="E1305" s="5" t="s">
        <v>62</v>
      </c>
      <c r="F1305" s="5" t="s">
        <v>7670</v>
      </c>
      <c r="G1305" s="5" t="s">
        <v>8140</v>
      </c>
      <c r="H1305" s="5"/>
      <c r="I1305" s="5" t="s">
        <v>8140</v>
      </c>
    </row>
    <row r="1306" customFormat="false" ht="23.85" hidden="false" customHeight="false" outlineLevel="0" collapsed="false">
      <c r="A1306" s="5" t="s">
        <v>5819</v>
      </c>
      <c r="B1306" s="2" t="s">
        <v>5820</v>
      </c>
      <c r="C1306" s="5" t="s">
        <v>2128</v>
      </c>
      <c r="D1306" s="5" t="s">
        <v>4760</v>
      </c>
      <c r="E1306" s="5" t="s">
        <v>62</v>
      </c>
      <c r="F1306" s="5" t="s">
        <v>7670</v>
      </c>
      <c r="G1306" s="5" t="s">
        <v>8141</v>
      </c>
      <c r="H1306" s="5"/>
      <c r="I1306" s="5" t="s">
        <v>8141</v>
      </c>
    </row>
    <row r="1307" customFormat="false" ht="23.85" hidden="false" customHeight="false" outlineLevel="0" collapsed="false">
      <c r="A1307" s="5" t="s">
        <v>5819</v>
      </c>
      <c r="B1307" s="2" t="s">
        <v>5820</v>
      </c>
      <c r="C1307" s="5" t="s">
        <v>2128</v>
      </c>
      <c r="D1307" s="5" t="s">
        <v>4760</v>
      </c>
      <c r="E1307" s="5" t="s">
        <v>62</v>
      </c>
      <c r="F1307" s="5" t="s">
        <v>7670</v>
      </c>
      <c r="G1307" s="5" t="s">
        <v>8142</v>
      </c>
      <c r="H1307" s="5"/>
      <c r="I1307" s="5" t="s">
        <v>8142</v>
      </c>
    </row>
    <row r="1308" customFormat="false" ht="23.85" hidden="false" customHeight="false" outlineLevel="0" collapsed="false">
      <c r="A1308" s="5" t="s">
        <v>5819</v>
      </c>
      <c r="B1308" s="2" t="s">
        <v>5820</v>
      </c>
      <c r="C1308" s="5" t="s">
        <v>2128</v>
      </c>
      <c r="D1308" s="5" t="s">
        <v>4760</v>
      </c>
      <c r="E1308" s="5" t="s">
        <v>62</v>
      </c>
      <c r="F1308" s="5" t="s">
        <v>7670</v>
      </c>
      <c r="G1308" s="5" t="s">
        <v>8143</v>
      </c>
      <c r="H1308" s="5"/>
      <c r="I1308" s="5" t="s">
        <v>8143</v>
      </c>
    </row>
    <row r="1309" customFormat="false" ht="23.85" hidden="false" customHeight="false" outlineLevel="0" collapsed="false">
      <c r="A1309" s="5" t="s">
        <v>5819</v>
      </c>
      <c r="B1309" s="2" t="s">
        <v>5820</v>
      </c>
      <c r="C1309" s="5" t="s">
        <v>2128</v>
      </c>
      <c r="D1309" s="5" t="s">
        <v>4760</v>
      </c>
      <c r="E1309" s="5" t="s">
        <v>62</v>
      </c>
      <c r="F1309" s="5" t="s">
        <v>7670</v>
      </c>
      <c r="G1309" s="5" t="s">
        <v>8144</v>
      </c>
      <c r="H1309" s="5"/>
      <c r="I1309" s="5" t="s">
        <v>8144</v>
      </c>
    </row>
    <row r="1310" customFormat="false" ht="23.85" hidden="false" customHeight="false" outlineLevel="0" collapsed="false">
      <c r="A1310" s="5" t="s">
        <v>5819</v>
      </c>
      <c r="B1310" s="2" t="s">
        <v>5820</v>
      </c>
      <c r="C1310" s="5" t="s">
        <v>2128</v>
      </c>
      <c r="D1310" s="5" t="s">
        <v>4760</v>
      </c>
      <c r="E1310" s="5" t="s">
        <v>62</v>
      </c>
      <c r="F1310" s="5" t="s">
        <v>7670</v>
      </c>
      <c r="G1310" s="5" t="s">
        <v>8145</v>
      </c>
      <c r="H1310" s="5"/>
      <c r="I1310" s="5" t="s">
        <v>8145</v>
      </c>
    </row>
    <row r="1311" customFormat="false" ht="23.85" hidden="false" customHeight="false" outlineLevel="0" collapsed="false">
      <c r="A1311" s="5" t="s">
        <v>5825</v>
      </c>
      <c r="B1311" s="2" t="s">
        <v>5826</v>
      </c>
      <c r="C1311" s="5" t="s">
        <v>2128</v>
      </c>
      <c r="D1311" s="5" t="s">
        <v>4760</v>
      </c>
      <c r="E1311" s="5" t="s">
        <v>62</v>
      </c>
      <c r="F1311" s="5" t="s">
        <v>7669</v>
      </c>
      <c r="G1311" s="5" t="s">
        <v>2722</v>
      </c>
      <c r="H1311" s="5"/>
      <c r="I1311" s="5" t="s">
        <v>2722</v>
      </c>
    </row>
    <row r="1312" customFormat="false" ht="23.85" hidden="false" customHeight="false" outlineLevel="0" collapsed="false">
      <c r="A1312" s="5" t="s">
        <v>5830</v>
      </c>
      <c r="B1312" s="2" t="s">
        <v>5831</v>
      </c>
      <c r="C1312" s="5" t="s">
        <v>2128</v>
      </c>
      <c r="D1312" s="5" t="s">
        <v>4760</v>
      </c>
      <c r="E1312" s="5" t="s">
        <v>62</v>
      </c>
      <c r="F1312" s="5" t="s">
        <v>7670</v>
      </c>
      <c r="G1312" s="5" t="s">
        <v>8146</v>
      </c>
      <c r="H1312" s="5"/>
      <c r="I1312" s="5" t="s">
        <v>8146</v>
      </c>
    </row>
    <row r="1313" customFormat="false" ht="23.85" hidden="false" customHeight="false" outlineLevel="0" collapsed="false">
      <c r="A1313" s="5" t="s">
        <v>5830</v>
      </c>
      <c r="B1313" s="2" t="s">
        <v>5831</v>
      </c>
      <c r="C1313" s="5" t="s">
        <v>2128</v>
      </c>
      <c r="D1313" s="5" t="s">
        <v>4760</v>
      </c>
      <c r="E1313" s="5" t="s">
        <v>62</v>
      </c>
      <c r="F1313" s="5" t="s">
        <v>7670</v>
      </c>
      <c r="G1313" s="5" t="s">
        <v>8147</v>
      </c>
      <c r="H1313" s="5"/>
      <c r="I1313" s="5" t="s">
        <v>8147</v>
      </c>
    </row>
    <row r="1314" customFormat="false" ht="23.85" hidden="false" customHeight="false" outlineLevel="0" collapsed="false">
      <c r="A1314" s="5" t="s">
        <v>5830</v>
      </c>
      <c r="B1314" s="2" t="s">
        <v>5831</v>
      </c>
      <c r="C1314" s="5" t="s">
        <v>2128</v>
      </c>
      <c r="D1314" s="5" t="s">
        <v>4760</v>
      </c>
      <c r="E1314" s="5" t="s">
        <v>62</v>
      </c>
      <c r="F1314" s="5" t="s">
        <v>7669</v>
      </c>
      <c r="G1314" s="5" t="s">
        <v>5060</v>
      </c>
      <c r="H1314" s="5"/>
      <c r="I1314" s="5" t="s">
        <v>5060</v>
      </c>
    </row>
    <row r="1315" customFormat="false" ht="23.85" hidden="false" customHeight="false" outlineLevel="0" collapsed="false">
      <c r="A1315" s="5" t="s">
        <v>5837</v>
      </c>
      <c r="B1315" s="2" t="s">
        <v>5838</v>
      </c>
      <c r="C1315" s="5" t="s">
        <v>2128</v>
      </c>
      <c r="D1315" s="5" t="s">
        <v>4760</v>
      </c>
      <c r="E1315" s="5" t="s">
        <v>62</v>
      </c>
      <c r="F1315" s="5" t="s">
        <v>7669</v>
      </c>
      <c r="G1315" s="5" t="s">
        <v>2722</v>
      </c>
      <c r="H1315" s="5"/>
      <c r="I1315" s="5" t="s">
        <v>2722</v>
      </c>
    </row>
    <row r="1316" customFormat="false" ht="23.85" hidden="false" customHeight="false" outlineLevel="0" collapsed="false">
      <c r="A1316" s="5" t="s">
        <v>5842</v>
      </c>
      <c r="B1316" s="2" t="s">
        <v>5843</v>
      </c>
      <c r="C1316" s="5" t="s">
        <v>2128</v>
      </c>
      <c r="D1316" s="5" t="s">
        <v>4760</v>
      </c>
      <c r="E1316" s="5" t="s">
        <v>62</v>
      </c>
      <c r="F1316" s="5" t="s">
        <v>7670</v>
      </c>
      <c r="G1316" s="5" t="s">
        <v>8148</v>
      </c>
      <c r="H1316" s="5"/>
      <c r="I1316" s="5" t="s">
        <v>8148</v>
      </c>
    </row>
    <row r="1317" customFormat="false" ht="23.85" hidden="false" customHeight="false" outlineLevel="0" collapsed="false">
      <c r="A1317" s="5" t="s">
        <v>5842</v>
      </c>
      <c r="B1317" s="2" t="s">
        <v>5843</v>
      </c>
      <c r="C1317" s="5" t="s">
        <v>2128</v>
      </c>
      <c r="D1317" s="5" t="s">
        <v>4760</v>
      </c>
      <c r="E1317" s="5" t="s">
        <v>62</v>
      </c>
      <c r="F1317" s="5" t="s">
        <v>7670</v>
      </c>
      <c r="G1317" s="5" t="s">
        <v>8149</v>
      </c>
      <c r="H1317" s="5"/>
      <c r="I1317" s="5" t="s">
        <v>8149</v>
      </c>
    </row>
    <row r="1318" customFormat="false" ht="23.85" hidden="false" customHeight="false" outlineLevel="0" collapsed="false">
      <c r="A1318" s="5" t="s">
        <v>5842</v>
      </c>
      <c r="B1318" s="2" t="s">
        <v>5843</v>
      </c>
      <c r="C1318" s="5" t="s">
        <v>2128</v>
      </c>
      <c r="D1318" s="5" t="s">
        <v>4760</v>
      </c>
      <c r="E1318" s="5" t="s">
        <v>62</v>
      </c>
      <c r="F1318" s="5" t="s">
        <v>7669</v>
      </c>
      <c r="G1318" s="5" t="s">
        <v>5060</v>
      </c>
      <c r="H1318" s="5"/>
      <c r="I1318" s="5" t="s">
        <v>5060</v>
      </c>
    </row>
    <row r="1319" customFormat="false" ht="23.85" hidden="false" customHeight="false" outlineLevel="0" collapsed="false">
      <c r="A1319" s="5" t="s">
        <v>5849</v>
      </c>
      <c r="B1319" s="2" t="s">
        <v>5850</v>
      </c>
      <c r="C1319" s="5" t="s">
        <v>2128</v>
      </c>
      <c r="D1319" s="5" t="s">
        <v>4760</v>
      </c>
      <c r="E1319" s="5" t="s">
        <v>62</v>
      </c>
      <c r="F1319" s="5" t="s">
        <v>7670</v>
      </c>
      <c r="G1319" s="5" t="s">
        <v>8150</v>
      </c>
      <c r="H1319" s="5"/>
      <c r="I1319" s="5" t="s">
        <v>8150</v>
      </c>
    </row>
    <row r="1320" customFormat="false" ht="23.85" hidden="false" customHeight="false" outlineLevel="0" collapsed="false">
      <c r="A1320" s="5" t="s">
        <v>5849</v>
      </c>
      <c r="B1320" s="2" t="s">
        <v>5850</v>
      </c>
      <c r="C1320" s="5" t="s">
        <v>2128</v>
      </c>
      <c r="D1320" s="5" t="s">
        <v>4760</v>
      </c>
      <c r="E1320" s="5" t="s">
        <v>62</v>
      </c>
      <c r="F1320" s="5" t="s">
        <v>7670</v>
      </c>
      <c r="G1320" s="5" t="s">
        <v>8151</v>
      </c>
      <c r="H1320" s="5"/>
      <c r="I1320" s="5" t="s">
        <v>8151</v>
      </c>
    </row>
    <row r="1321" customFormat="false" ht="23.85" hidden="false" customHeight="false" outlineLevel="0" collapsed="false">
      <c r="A1321" s="5" t="s">
        <v>5855</v>
      </c>
      <c r="B1321" s="2" t="s">
        <v>5856</v>
      </c>
      <c r="C1321" s="5" t="s">
        <v>2128</v>
      </c>
      <c r="D1321" s="5" t="s">
        <v>4760</v>
      </c>
      <c r="E1321" s="5" t="s">
        <v>62</v>
      </c>
      <c r="F1321" s="5" t="s">
        <v>7670</v>
      </c>
      <c r="G1321" s="5" t="s">
        <v>8152</v>
      </c>
      <c r="H1321" s="5"/>
      <c r="I1321" s="5" t="s">
        <v>8152</v>
      </c>
    </row>
    <row r="1322" customFormat="false" ht="23.85" hidden="false" customHeight="false" outlineLevel="0" collapsed="false">
      <c r="A1322" s="5" t="s">
        <v>5855</v>
      </c>
      <c r="B1322" s="2" t="s">
        <v>5856</v>
      </c>
      <c r="C1322" s="5" t="s">
        <v>2128</v>
      </c>
      <c r="D1322" s="5" t="s">
        <v>4760</v>
      </c>
      <c r="E1322" s="5" t="s">
        <v>62</v>
      </c>
      <c r="F1322" s="5" t="s">
        <v>7670</v>
      </c>
      <c r="G1322" s="5" t="s">
        <v>8153</v>
      </c>
      <c r="H1322" s="5"/>
      <c r="I1322" s="5" t="s">
        <v>8153</v>
      </c>
    </row>
    <row r="1323" customFormat="false" ht="23.85" hidden="false" customHeight="false" outlineLevel="0" collapsed="false">
      <c r="A1323" s="5" t="s">
        <v>5855</v>
      </c>
      <c r="B1323" s="2" t="s">
        <v>5856</v>
      </c>
      <c r="C1323" s="5" t="s">
        <v>2128</v>
      </c>
      <c r="D1323" s="5" t="s">
        <v>4760</v>
      </c>
      <c r="E1323" s="5" t="s">
        <v>62</v>
      </c>
      <c r="F1323" s="5" t="s">
        <v>7669</v>
      </c>
      <c r="G1323" s="5" t="s">
        <v>5060</v>
      </c>
      <c r="H1323" s="5"/>
      <c r="I1323" s="5" t="s">
        <v>5060</v>
      </c>
    </row>
    <row r="1324" customFormat="false" ht="23.85" hidden="false" customHeight="false" outlineLevel="0" collapsed="false">
      <c r="A1324" s="5" t="s">
        <v>5862</v>
      </c>
      <c r="B1324" s="2" t="s">
        <v>5863</v>
      </c>
      <c r="C1324" s="5" t="s">
        <v>2128</v>
      </c>
      <c r="D1324" s="5" t="s">
        <v>4760</v>
      </c>
      <c r="E1324" s="5" t="s">
        <v>490</v>
      </c>
      <c r="F1324" s="5" t="s">
        <v>7670</v>
      </c>
      <c r="G1324" s="5" t="s">
        <v>8154</v>
      </c>
      <c r="H1324" s="5"/>
      <c r="I1324" s="5" t="s">
        <v>8154</v>
      </c>
    </row>
    <row r="1325" customFormat="false" ht="23.85" hidden="false" customHeight="false" outlineLevel="0" collapsed="false">
      <c r="A1325" s="5" t="s">
        <v>5862</v>
      </c>
      <c r="B1325" s="2" t="s">
        <v>5863</v>
      </c>
      <c r="C1325" s="5" t="s">
        <v>2128</v>
      </c>
      <c r="D1325" s="5" t="s">
        <v>4760</v>
      </c>
      <c r="E1325" s="5" t="s">
        <v>490</v>
      </c>
      <c r="F1325" s="5" t="s">
        <v>7670</v>
      </c>
      <c r="G1325" s="5" t="s">
        <v>8155</v>
      </c>
      <c r="H1325" s="5"/>
      <c r="I1325" s="5" t="s">
        <v>8155</v>
      </c>
    </row>
    <row r="1326" customFormat="false" ht="23.85" hidden="false" customHeight="false" outlineLevel="0" collapsed="false">
      <c r="A1326" s="5" t="s">
        <v>5868</v>
      </c>
      <c r="B1326" s="2" t="s">
        <v>5869</v>
      </c>
      <c r="C1326" s="5" t="s">
        <v>2128</v>
      </c>
      <c r="D1326" s="5" t="s">
        <v>4760</v>
      </c>
      <c r="E1326" s="5" t="s">
        <v>62</v>
      </c>
      <c r="F1326" s="5" t="s">
        <v>7669</v>
      </c>
      <c r="G1326" s="5" t="s">
        <v>2722</v>
      </c>
      <c r="H1326" s="5"/>
      <c r="I1326" s="5" t="s">
        <v>2722</v>
      </c>
    </row>
    <row r="1327" customFormat="false" ht="23.85" hidden="false" customHeight="false" outlineLevel="0" collapsed="false">
      <c r="A1327" s="5" t="s">
        <v>5873</v>
      </c>
      <c r="B1327" s="2" t="s">
        <v>5874</v>
      </c>
      <c r="C1327" s="5" t="s">
        <v>2128</v>
      </c>
      <c r="D1327" s="5" t="s">
        <v>4760</v>
      </c>
      <c r="E1327" s="5" t="s">
        <v>62</v>
      </c>
      <c r="F1327" s="5" t="s">
        <v>7670</v>
      </c>
      <c r="G1327" s="5" t="s">
        <v>8156</v>
      </c>
      <c r="H1327" s="5"/>
      <c r="I1327" s="5" t="s">
        <v>8156</v>
      </c>
    </row>
    <row r="1328" customFormat="false" ht="23.85" hidden="false" customHeight="false" outlineLevel="0" collapsed="false">
      <c r="A1328" s="5" t="s">
        <v>5873</v>
      </c>
      <c r="B1328" s="2" t="s">
        <v>5874</v>
      </c>
      <c r="C1328" s="5" t="s">
        <v>2128</v>
      </c>
      <c r="D1328" s="5" t="s">
        <v>4760</v>
      </c>
      <c r="E1328" s="5" t="s">
        <v>62</v>
      </c>
      <c r="F1328" s="5" t="s">
        <v>7670</v>
      </c>
      <c r="G1328" s="5" t="s">
        <v>8157</v>
      </c>
      <c r="H1328" s="5"/>
      <c r="I1328" s="5" t="s">
        <v>8157</v>
      </c>
    </row>
    <row r="1329" customFormat="false" ht="23.85" hidden="false" customHeight="false" outlineLevel="0" collapsed="false">
      <c r="A1329" s="5" t="s">
        <v>5879</v>
      </c>
      <c r="B1329" s="2" t="s">
        <v>5880</v>
      </c>
      <c r="C1329" s="5" t="s">
        <v>2128</v>
      </c>
      <c r="D1329" s="5" t="s">
        <v>4760</v>
      </c>
      <c r="E1329" s="5" t="s">
        <v>62</v>
      </c>
      <c r="F1329" s="5" t="s">
        <v>7669</v>
      </c>
      <c r="G1329" s="5" t="s">
        <v>2722</v>
      </c>
      <c r="H1329" s="5"/>
      <c r="I1329" s="5" t="s">
        <v>2722</v>
      </c>
    </row>
    <row r="1330" customFormat="false" ht="23.85" hidden="false" customHeight="false" outlineLevel="0" collapsed="false">
      <c r="A1330" s="5" t="s">
        <v>5884</v>
      </c>
      <c r="B1330" s="2" t="s">
        <v>5885</v>
      </c>
      <c r="C1330" s="5" t="s">
        <v>2128</v>
      </c>
      <c r="D1330" s="5" t="s">
        <v>4760</v>
      </c>
      <c r="E1330" s="5" t="s">
        <v>62</v>
      </c>
      <c r="F1330" s="5" t="s">
        <v>7670</v>
      </c>
      <c r="G1330" s="5" t="s">
        <v>8158</v>
      </c>
      <c r="H1330" s="5"/>
      <c r="I1330" s="5" t="s">
        <v>8158</v>
      </c>
    </row>
    <row r="1331" customFormat="false" ht="23.85" hidden="false" customHeight="false" outlineLevel="0" collapsed="false">
      <c r="A1331" s="5" t="s">
        <v>5884</v>
      </c>
      <c r="B1331" s="2" t="s">
        <v>5885</v>
      </c>
      <c r="C1331" s="5" t="s">
        <v>2128</v>
      </c>
      <c r="D1331" s="5" t="s">
        <v>4760</v>
      </c>
      <c r="E1331" s="5" t="s">
        <v>62</v>
      </c>
      <c r="F1331" s="5" t="s">
        <v>7670</v>
      </c>
      <c r="G1331" s="5" t="s">
        <v>8159</v>
      </c>
      <c r="H1331" s="5"/>
      <c r="I1331" s="5" t="s">
        <v>8159</v>
      </c>
    </row>
    <row r="1332" customFormat="false" ht="23.85" hidden="false" customHeight="false" outlineLevel="0" collapsed="false">
      <c r="A1332" s="5" t="s">
        <v>5884</v>
      </c>
      <c r="B1332" s="2" t="s">
        <v>5885</v>
      </c>
      <c r="C1332" s="5" t="s">
        <v>2128</v>
      </c>
      <c r="D1332" s="5" t="s">
        <v>4760</v>
      </c>
      <c r="E1332" s="5" t="s">
        <v>62</v>
      </c>
      <c r="F1332" s="5" t="s">
        <v>7669</v>
      </c>
      <c r="G1332" s="5" t="s">
        <v>5060</v>
      </c>
      <c r="H1332" s="5"/>
      <c r="I1332" s="5" t="s">
        <v>5060</v>
      </c>
    </row>
    <row r="1333" customFormat="false" ht="23.85" hidden="false" customHeight="false" outlineLevel="0" collapsed="false">
      <c r="A1333" s="5" t="s">
        <v>5891</v>
      </c>
      <c r="B1333" s="2" t="s">
        <v>5892</v>
      </c>
      <c r="C1333" s="5" t="s">
        <v>2128</v>
      </c>
      <c r="D1333" s="5" t="s">
        <v>4760</v>
      </c>
      <c r="E1333" s="5" t="s">
        <v>62</v>
      </c>
      <c r="F1333" s="5" t="s">
        <v>7670</v>
      </c>
      <c r="G1333" s="5" t="s">
        <v>8160</v>
      </c>
      <c r="H1333" s="5"/>
      <c r="I1333" s="5" t="s">
        <v>8160</v>
      </c>
    </row>
    <row r="1334" customFormat="false" ht="23.85" hidden="false" customHeight="false" outlineLevel="0" collapsed="false">
      <c r="A1334" s="5" t="s">
        <v>5891</v>
      </c>
      <c r="B1334" s="2" t="s">
        <v>5892</v>
      </c>
      <c r="C1334" s="5" t="s">
        <v>2128</v>
      </c>
      <c r="D1334" s="5" t="s">
        <v>4760</v>
      </c>
      <c r="E1334" s="5" t="s">
        <v>62</v>
      </c>
      <c r="F1334" s="5" t="s">
        <v>7670</v>
      </c>
      <c r="G1334" s="5" t="s">
        <v>8161</v>
      </c>
      <c r="H1334" s="5"/>
      <c r="I1334" s="5" t="s">
        <v>8161</v>
      </c>
    </row>
    <row r="1335" customFormat="false" ht="23.85" hidden="false" customHeight="false" outlineLevel="0" collapsed="false">
      <c r="A1335" s="5" t="s">
        <v>5891</v>
      </c>
      <c r="B1335" s="2" t="s">
        <v>5892</v>
      </c>
      <c r="C1335" s="5" t="s">
        <v>2128</v>
      </c>
      <c r="D1335" s="5" t="s">
        <v>4760</v>
      </c>
      <c r="E1335" s="5" t="s">
        <v>62</v>
      </c>
      <c r="F1335" s="5" t="s">
        <v>7670</v>
      </c>
      <c r="G1335" s="5" t="s">
        <v>8162</v>
      </c>
      <c r="H1335" s="5"/>
      <c r="I1335" s="5" t="s">
        <v>8162</v>
      </c>
    </row>
    <row r="1336" customFormat="false" ht="23.85" hidden="false" customHeight="false" outlineLevel="0" collapsed="false">
      <c r="A1336" s="5" t="s">
        <v>5891</v>
      </c>
      <c r="B1336" s="2" t="s">
        <v>5892</v>
      </c>
      <c r="C1336" s="5" t="s">
        <v>2128</v>
      </c>
      <c r="D1336" s="5" t="s">
        <v>4760</v>
      </c>
      <c r="E1336" s="5" t="s">
        <v>62</v>
      </c>
      <c r="F1336" s="5" t="s">
        <v>7670</v>
      </c>
      <c r="G1336" s="5" t="s">
        <v>8163</v>
      </c>
      <c r="H1336" s="5"/>
      <c r="I1336" s="5" t="s">
        <v>8163</v>
      </c>
    </row>
    <row r="1337" customFormat="false" ht="23.85" hidden="false" customHeight="false" outlineLevel="0" collapsed="false">
      <c r="A1337" s="5" t="s">
        <v>5891</v>
      </c>
      <c r="B1337" s="2" t="s">
        <v>5892</v>
      </c>
      <c r="C1337" s="5" t="s">
        <v>2128</v>
      </c>
      <c r="D1337" s="5" t="s">
        <v>4760</v>
      </c>
      <c r="E1337" s="5" t="s">
        <v>62</v>
      </c>
      <c r="F1337" s="5" t="s">
        <v>7669</v>
      </c>
      <c r="G1337" s="5" t="s">
        <v>5060</v>
      </c>
      <c r="H1337" s="5"/>
      <c r="I1337" s="5" t="s">
        <v>5060</v>
      </c>
    </row>
    <row r="1338" customFormat="false" ht="23.85" hidden="false" customHeight="false" outlineLevel="0" collapsed="false">
      <c r="A1338" s="5" t="s">
        <v>5898</v>
      </c>
      <c r="B1338" s="2" t="s">
        <v>5899</v>
      </c>
      <c r="C1338" s="5" t="s">
        <v>2128</v>
      </c>
      <c r="D1338" s="5" t="s">
        <v>4760</v>
      </c>
      <c r="E1338" s="5" t="s">
        <v>62</v>
      </c>
      <c r="F1338" s="5" t="s">
        <v>7670</v>
      </c>
      <c r="G1338" s="5" t="s">
        <v>8164</v>
      </c>
      <c r="H1338" s="5"/>
      <c r="I1338" s="5" t="s">
        <v>8164</v>
      </c>
    </row>
    <row r="1339" customFormat="false" ht="23.85" hidden="false" customHeight="false" outlineLevel="0" collapsed="false">
      <c r="A1339" s="5" t="s">
        <v>5898</v>
      </c>
      <c r="B1339" s="2" t="s">
        <v>5899</v>
      </c>
      <c r="C1339" s="5" t="s">
        <v>2128</v>
      </c>
      <c r="D1339" s="5" t="s">
        <v>4760</v>
      </c>
      <c r="E1339" s="5" t="s">
        <v>62</v>
      </c>
      <c r="F1339" s="5" t="s">
        <v>7670</v>
      </c>
      <c r="G1339" s="5" t="s">
        <v>8165</v>
      </c>
      <c r="H1339" s="5"/>
      <c r="I1339" s="5" t="s">
        <v>8165</v>
      </c>
    </row>
    <row r="1340" customFormat="false" ht="23.85" hidden="false" customHeight="false" outlineLevel="0" collapsed="false">
      <c r="A1340" s="5" t="s">
        <v>5904</v>
      </c>
      <c r="B1340" s="2" t="s">
        <v>5905</v>
      </c>
      <c r="C1340" s="5" t="s">
        <v>2128</v>
      </c>
      <c r="D1340" s="5" t="s">
        <v>4760</v>
      </c>
      <c r="E1340" s="5" t="s">
        <v>62</v>
      </c>
      <c r="F1340" s="5" t="s">
        <v>7670</v>
      </c>
      <c r="G1340" s="5" t="s">
        <v>8166</v>
      </c>
      <c r="H1340" s="5"/>
      <c r="I1340" s="5" t="s">
        <v>8166</v>
      </c>
    </row>
    <row r="1341" customFormat="false" ht="23.85" hidden="false" customHeight="false" outlineLevel="0" collapsed="false">
      <c r="A1341" s="5" t="s">
        <v>5904</v>
      </c>
      <c r="B1341" s="2" t="s">
        <v>5905</v>
      </c>
      <c r="C1341" s="5" t="s">
        <v>2128</v>
      </c>
      <c r="D1341" s="5" t="s">
        <v>4760</v>
      </c>
      <c r="E1341" s="5" t="s">
        <v>62</v>
      </c>
      <c r="F1341" s="5" t="s">
        <v>7670</v>
      </c>
      <c r="G1341" s="5" t="s">
        <v>8167</v>
      </c>
      <c r="H1341" s="5"/>
      <c r="I1341" s="5" t="s">
        <v>8167</v>
      </c>
    </row>
    <row r="1342" customFormat="false" ht="23.85" hidden="false" customHeight="false" outlineLevel="0" collapsed="false">
      <c r="A1342" s="5" t="s">
        <v>5910</v>
      </c>
      <c r="B1342" s="2" t="s">
        <v>5911</v>
      </c>
      <c r="C1342" s="5" t="s">
        <v>2128</v>
      </c>
      <c r="D1342" s="5" t="s">
        <v>4760</v>
      </c>
      <c r="E1342" s="5" t="s">
        <v>490</v>
      </c>
      <c r="F1342" s="5" t="s">
        <v>7670</v>
      </c>
      <c r="G1342" s="5" t="s">
        <v>8168</v>
      </c>
      <c r="H1342" s="5"/>
      <c r="I1342" s="5" t="s">
        <v>8168</v>
      </c>
    </row>
    <row r="1343" customFormat="false" ht="23.85" hidden="false" customHeight="false" outlineLevel="0" collapsed="false">
      <c r="A1343" s="5" t="s">
        <v>5910</v>
      </c>
      <c r="B1343" s="2" t="s">
        <v>5911</v>
      </c>
      <c r="C1343" s="5" t="s">
        <v>2128</v>
      </c>
      <c r="D1343" s="5" t="s">
        <v>4760</v>
      </c>
      <c r="E1343" s="5" t="s">
        <v>490</v>
      </c>
      <c r="F1343" s="5" t="s">
        <v>7670</v>
      </c>
      <c r="G1343" s="5" t="s">
        <v>8169</v>
      </c>
      <c r="H1343" s="5"/>
      <c r="I1343" s="5" t="s">
        <v>8169</v>
      </c>
    </row>
    <row r="1344" customFormat="false" ht="23.85" hidden="false" customHeight="false" outlineLevel="0" collapsed="false">
      <c r="A1344" s="5" t="s">
        <v>5910</v>
      </c>
      <c r="B1344" s="2" t="s">
        <v>5911</v>
      </c>
      <c r="C1344" s="5" t="s">
        <v>2128</v>
      </c>
      <c r="D1344" s="5" t="s">
        <v>4760</v>
      </c>
      <c r="E1344" s="5" t="s">
        <v>490</v>
      </c>
      <c r="F1344" s="5" t="s">
        <v>7670</v>
      </c>
      <c r="G1344" s="5" t="s">
        <v>8170</v>
      </c>
      <c r="H1344" s="5"/>
      <c r="I1344" s="5" t="s">
        <v>8170</v>
      </c>
    </row>
    <row r="1345" customFormat="false" ht="23.85" hidden="false" customHeight="false" outlineLevel="0" collapsed="false">
      <c r="A1345" s="5" t="s">
        <v>5910</v>
      </c>
      <c r="B1345" s="2" t="s">
        <v>5911</v>
      </c>
      <c r="C1345" s="5" t="s">
        <v>2128</v>
      </c>
      <c r="D1345" s="5" t="s">
        <v>4760</v>
      </c>
      <c r="E1345" s="5" t="s">
        <v>490</v>
      </c>
      <c r="F1345" s="5" t="s">
        <v>7670</v>
      </c>
      <c r="G1345" s="5" t="s">
        <v>8171</v>
      </c>
      <c r="H1345" s="5"/>
      <c r="I1345" s="5" t="s">
        <v>8171</v>
      </c>
    </row>
    <row r="1346" customFormat="false" ht="23.85" hidden="false" customHeight="false" outlineLevel="0" collapsed="false">
      <c r="A1346" s="5" t="s">
        <v>5910</v>
      </c>
      <c r="B1346" s="2" t="s">
        <v>5911</v>
      </c>
      <c r="C1346" s="5" t="s">
        <v>2128</v>
      </c>
      <c r="D1346" s="5" t="s">
        <v>4760</v>
      </c>
      <c r="E1346" s="5" t="s">
        <v>490</v>
      </c>
      <c r="F1346" s="5" t="s">
        <v>7669</v>
      </c>
      <c r="G1346" s="5" t="s">
        <v>5060</v>
      </c>
      <c r="H1346" s="5"/>
      <c r="I1346" s="5" t="s">
        <v>5060</v>
      </c>
    </row>
    <row r="1347" customFormat="false" ht="23.85" hidden="false" customHeight="false" outlineLevel="0" collapsed="false">
      <c r="A1347" s="5" t="s">
        <v>5917</v>
      </c>
      <c r="B1347" s="2" t="s">
        <v>5918</v>
      </c>
      <c r="C1347" s="5" t="s">
        <v>2128</v>
      </c>
      <c r="D1347" s="5" t="s">
        <v>4760</v>
      </c>
      <c r="E1347" s="5" t="s">
        <v>490</v>
      </c>
      <c r="F1347" s="5" t="s">
        <v>7670</v>
      </c>
      <c r="G1347" s="5" t="s">
        <v>8172</v>
      </c>
      <c r="H1347" s="5"/>
      <c r="I1347" s="5" t="s">
        <v>8172</v>
      </c>
    </row>
    <row r="1348" customFormat="false" ht="23.85" hidden="false" customHeight="false" outlineLevel="0" collapsed="false">
      <c r="A1348" s="5" t="s">
        <v>5917</v>
      </c>
      <c r="B1348" s="2" t="s">
        <v>5918</v>
      </c>
      <c r="C1348" s="5" t="s">
        <v>2128</v>
      </c>
      <c r="D1348" s="5" t="s">
        <v>4760</v>
      </c>
      <c r="E1348" s="5" t="s">
        <v>490</v>
      </c>
      <c r="F1348" s="5" t="s">
        <v>7670</v>
      </c>
      <c r="G1348" s="5" t="s">
        <v>8173</v>
      </c>
      <c r="H1348" s="5"/>
      <c r="I1348" s="5" t="s">
        <v>8173</v>
      </c>
    </row>
    <row r="1349" customFormat="false" ht="23.85" hidden="false" customHeight="false" outlineLevel="0" collapsed="false">
      <c r="A1349" s="5" t="s">
        <v>5922</v>
      </c>
      <c r="B1349" s="2" t="s">
        <v>5923</v>
      </c>
      <c r="C1349" s="5" t="s">
        <v>2128</v>
      </c>
      <c r="D1349" s="5" t="s">
        <v>4760</v>
      </c>
      <c r="E1349" s="5" t="s">
        <v>490</v>
      </c>
      <c r="F1349" s="5" t="s">
        <v>7670</v>
      </c>
      <c r="G1349" s="5" t="s">
        <v>8174</v>
      </c>
      <c r="H1349" s="5"/>
      <c r="I1349" s="5" t="s">
        <v>8174</v>
      </c>
    </row>
    <row r="1350" customFormat="false" ht="23.85" hidden="false" customHeight="false" outlineLevel="0" collapsed="false">
      <c r="A1350" s="5" t="s">
        <v>5922</v>
      </c>
      <c r="B1350" s="2" t="s">
        <v>5923</v>
      </c>
      <c r="C1350" s="5" t="s">
        <v>2128</v>
      </c>
      <c r="D1350" s="5" t="s">
        <v>4760</v>
      </c>
      <c r="E1350" s="5" t="s">
        <v>490</v>
      </c>
      <c r="F1350" s="5" t="s">
        <v>7670</v>
      </c>
      <c r="G1350" s="5" t="s">
        <v>8175</v>
      </c>
      <c r="H1350" s="5"/>
      <c r="I1350" s="5" t="s">
        <v>8175</v>
      </c>
    </row>
    <row r="1351" customFormat="false" ht="23.85" hidden="false" customHeight="false" outlineLevel="0" collapsed="false">
      <c r="A1351" s="5" t="s">
        <v>5922</v>
      </c>
      <c r="B1351" s="2" t="s">
        <v>5923</v>
      </c>
      <c r="C1351" s="5" t="s">
        <v>2128</v>
      </c>
      <c r="D1351" s="5" t="s">
        <v>4760</v>
      </c>
      <c r="E1351" s="5" t="s">
        <v>490</v>
      </c>
      <c r="F1351" s="5" t="s">
        <v>7669</v>
      </c>
      <c r="G1351" s="5" t="s">
        <v>5060</v>
      </c>
      <c r="H1351" s="5"/>
      <c r="I1351" s="5" t="s">
        <v>5060</v>
      </c>
    </row>
    <row r="1352" customFormat="false" ht="23.85" hidden="false" customHeight="false" outlineLevel="0" collapsed="false">
      <c r="A1352" s="5" t="s">
        <v>5929</v>
      </c>
      <c r="B1352" s="2" t="s">
        <v>5930</v>
      </c>
      <c r="C1352" s="5" t="s">
        <v>2128</v>
      </c>
      <c r="D1352" s="5" t="s">
        <v>4760</v>
      </c>
      <c r="E1352" s="5" t="s">
        <v>62</v>
      </c>
      <c r="F1352" s="5" t="s">
        <v>7670</v>
      </c>
      <c r="G1352" s="5" t="s">
        <v>4932</v>
      </c>
      <c r="H1352" s="5"/>
      <c r="I1352" s="5" t="s">
        <v>4932</v>
      </c>
    </row>
    <row r="1353" customFormat="false" ht="23.85" hidden="false" customHeight="false" outlineLevel="0" collapsed="false">
      <c r="A1353" s="5" t="s">
        <v>5935</v>
      </c>
      <c r="B1353" s="2" t="s">
        <v>5936</v>
      </c>
      <c r="C1353" s="5" t="s">
        <v>2128</v>
      </c>
      <c r="D1353" s="5" t="s">
        <v>4760</v>
      </c>
      <c r="E1353" s="5" t="s">
        <v>62</v>
      </c>
      <c r="F1353" s="5" t="s">
        <v>7670</v>
      </c>
      <c r="G1353" s="5" t="s">
        <v>8176</v>
      </c>
      <c r="H1353" s="5"/>
      <c r="I1353" s="5" t="s">
        <v>8176</v>
      </c>
    </row>
    <row r="1354" customFormat="false" ht="23.85" hidden="false" customHeight="false" outlineLevel="0" collapsed="false">
      <c r="A1354" s="5" t="s">
        <v>5935</v>
      </c>
      <c r="B1354" s="2" t="s">
        <v>5936</v>
      </c>
      <c r="C1354" s="5" t="s">
        <v>2128</v>
      </c>
      <c r="D1354" s="5" t="s">
        <v>4760</v>
      </c>
      <c r="E1354" s="5" t="s">
        <v>62</v>
      </c>
      <c r="F1354" s="5" t="s">
        <v>7670</v>
      </c>
      <c r="G1354" s="5" t="s">
        <v>8177</v>
      </c>
      <c r="H1354" s="5"/>
      <c r="I1354" s="5" t="s">
        <v>8177</v>
      </c>
    </row>
    <row r="1355" customFormat="false" ht="23.85" hidden="false" customHeight="false" outlineLevel="0" collapsed="false">
      <c r="A1355" s="5" t="s">
        <v>5942</v>
      </c>
      <c r="B1355" s="2" t="s">
        <v>5943</v>
      </c>
      <c r="C1355" s="5" t="s">
        <v>2128</v>
      </c>
      <c r="D1355" s="5" t="s">
        <v>4760</v>
      </c>
      <c r="E1355" s="5" t="s">
        <v>62</v>
      </c>
      <c r="F1355" s="5" t="s">
        <v>7669</v>
      </c>
      <c r="G1355" s="5" t="s">
        <v>2722</v>
      </c>
      <c r="H1355" s="5"/>
      <c r="I1355" s="5" t="s">
        <v>2722</v>
      </c>
    </row>
    <row r="1356" customFormat="false" ht="23.85" hidden="false" customHeight="false" outlineLevel="0" collapsed="false">
      <c r="A1356" s="5" t="s">
        <v>5947</v>
      </c>
      <c r="B1356" s="2" t="s">
        <v>5948</v>
      </c>
      <c r="C1356" s="5" t="s">
        <v>2128</v>
      </c>
      <c r="D1356" s="5" t="s">
        <v>4760</v>
      </c>
      <c r="E1356" s="5" t="s">
        <v>62</v>
      </c>
      <c r="F1356" s="5" t="s">
        <v>7670</v>
      </c>
      <c r="G1356" s="5" t="s">
        <v>8178</v>
      </c>
      <c r="H1356" s="5"/>
      <c r="I1356" s="5" t="s">
        <v>8178</v>
      </c>
    </row>
    <row r="1357" customFormat="false" ht="23.85" hidden="false" customHeight="false" outlineLevel="0" collapsed="false">
      <c r="A1357" s="5" t="s">
        <v>5947</v>
      </c>
      <c r="B1357" s="2" t="s">
        <v>5948</v>
      </c>
      <c r="C1357" s="5" t="s">
        <v>2128</v>
      </c>
      <c r="D1357" s="5" t="s">
        <v>4760</v>
      </c>
      <c r="E1357" s="5" t="s">
        <v>62</v>
      </c>
      <c r="F1357" s="5" t="s">
        <v>7670</v>
      </c>
      <c r="G1357" s="5" t="s">
        <v>8179</v>
      </c>
      <c r="H1357" s="5"/>
      <c r="I1357" s="5" t="s">
        <v>8179</v>
      </c>
    </row>
    <row r="1358" customFormat="false" ht="23.85" hidden="false" customHeight="false" outlineLevel="0" collapsed="false">
      <c r="A1358" s="5" t="s">
        <v>5947</v>
      </c>
      <c r="B1358" s="2" t="s">
        <v>5948</v>
      </c>
      <c r="C1358" s="5" t="s">
        <v>2128</v>
      </c>
      <c r="D1358" s="5" t="s">
        <v>4760</v>
      </c>
      <c r="E1358" s="5" t="s">
        <v>62</v>
      </c>
      <c r="F1358" s="5" t="s">
        <v>7669</v>
      </c>
      <c r="G1358" s="5" t="s">
        <v>5060</v>
      </c>
      <c r="H1358" s="5"/>
      <c r="I1358" s="5" t="s">
        <v>5060</v>
      </c>
    </row>
    <row r="1359" customFormat="false" ht="23.85" hidden="false" customHeight="false" outlineLevel="0" collapsed="false">
      <c r="A1359" s="5" t="s">
        <v>5954</v>
      </c>
      <c r="B1359" s="2" t="s">
        <v>5955</v>
      </c>
      <c r="C1359" s="5" t="s">
        <v>2128</v>
      </c>
      <c r="D1359" s="5" t="s">
        <v>4760</v>
      </c>
      <c r="E1359" s="5" t="s">
        <v>490</v>
      </c>
      <c r="F1359" s="5" t="s">
        <v>7670</v>
      </c>
      <c r="G1359" s="5" t="s">
        <v>8180</v>
      </c>
      <c r="H1359" s="5"/>
      <c r="I1359" s="5" t="s">
        <v>8180</v>
      </c>
    </row>
    <row r="1360" customFormat="false" ht="23.85" hidden="false" customHeight="false" outlineLevel="0" collapsed="false">
      <c r="A1360" s="5" t="s">
        <v>5954</v>
      </c>
      <c r="B1360" s="2" t="s">
        <v>5955</v>
      </c>
      <c r="C1360" s="5" t="s">
        <v>2128</v>
      </c>
      <c r="D1360" s="5" t="s">
        <v>4760</v>
      </c>
      <c r="E1360" s="5" t="s">
        <v>490</v>
      </c>
      <c r="F1360" s="5" t="s">
        <v>7670</v>
      </c>
      <c r="G1360" s="5" t="s">
        <v>8181</v>
      </c>
      <c r="H1360" s="5"/>
      <c r="I1360" s="5" t="s">
        <v>8181</v>
      </c>
    </row>
    <row r="1361" customFormat="false" ht="15" hidden="false" customHeight="false" outlineLevel="0" collapsed="false">
      <c r="A1361" s="5" t="s">
        <v>5960</v>
      </c>
      <c r="B1361" s="2" t="s">
        <v>5961</v>
      </c>
      <c r="C1361" s="5" t="s">
        <v>2245</v>
      </c>
      <c r="D1361" s="5" t="s">
        <v>4760</v>
      </c>
      <c r="E1361" s="5" t="s">
        <v>62</v>
      </c>
      <c r="F1361" s="5" t="s">
        <v>7670</v>
      </c>
      <c r="G1361" s="5" t="s">
        <v>8182</v>
      </c>
      <c r="H1361" s="5"/>
      <c r="I1361" s="5" t="s">
        <v>8182</v>
      </c>
    </row>
    <row r="1362" customFormat="false" ht="15" hidden="false" customHeight="false" outlineLevel="0" collapsed="false">
      <c r="A1362" s="5" t="s">
        <v>5960</v>
      </c>
      <c r="B1362" s="2" t="s">
        <v>5961</v>
      </c>
      <c r="C1362" s="5" t="s">
        <v>2245</v>
      </c>
      <c r="D1362" s="5" t="s">
        <v>4760</v>
      </c>
      <c r="E1362" s="5" t="s">
        <v>62</v>
      </c>
      <c r="F1362" s="5" t="s">
        <v>7670</v>
      </c>
      <c r="G1362" s="5" t="s">
        <v>8183</v>
      </c>
      <c r="H1362" s="5"/>
      <c r="I1362" s="5" t="s">
        <v>8183</v>
      </c>
    </row>
    <row r="1363" customFormat="false" ht="23.85" hidden="false" customHeight="false" outlineLevel="0" collapsed="false">
      <c r="A1363" s="5" t="s">
        <v>5966</v>
      </c>
      <c r="B1363" s="2" t="s">
        <v>5967</v>
      </c>
      <c r="C1363" s="5" t="s">
        <v>2128</v>
      </c>
      <c r="D1363" s="5" t="s">
        <v>4760</v>
      </c>
      <c r="E1363" s="5" t="s">
        <v>490</v>
      </c>
      <c r="F1363" s="5" t="s">
        <v>7669</v>
      </c>
      <c r="G1363" s="5" t="s">
        <v>2722</v>
      </c>
      <c r="H1363" s="5"/>
      <c r="I1363" s="5" t="s">
        <v>2722</v>
      </c>
    </row>
    <row r="1364" customFormat="false" ht="23.85" hidden="false" customHeight="false" outlineLevel="0" collapsed="false">
      <c r="A1364" s="5" t="s">
        <v>5971</v>
      </c>
      <c r="B1364" s="2" t="s">
        <v>5972</v>
      </c>
      <c r="C1364" s="5" t="s">
        <v>2128</v>
      </c>
      <c r="D1364" s="5" t="s">
        <v>4760</v>
      </c>
      <c r="E1364" s="5" t="s">
        <v>490</v>
      </c>
      <c r="F1364" s="5" t="s">
        <v>7670</v>
      </c>
      <c r="G1364" s="5" t="s">
        <v>8184</v>
      </c>
      <c r="H1364" s="5"/>
      <c r="I1364" s="5" t="s">
        <v>8184</v>
      </c>
    </row>
    <row r="1365" customFormat="false" ht="23.85" hidden="false" customHeight="false" outlineLevel="0" collapsed="false">
      <c r="A1365" s="5" t="s">
        <v>5971</v>
      </c>
      <c r="B1365" s="2" t="s">
        <v>5972</v>
      </c>
      <c r="C1365" s="5" t="s">
        <v>2128</v>
      </c>
      <c r="D1365" s="5" t="s">
        <v>4760</v>
      </c>
      <c r="E1365" s="5" t="s">
        <v>490</v>
      </c>
      <c r="F1365" s="5" t="s">
        <v>7670</v>
      </c>
      <c r="G1365" s="5" t="s">
        <v>8185</v>
      </c>
      <c r="H1365" s="5"/>
      <c r="I1365" s="5" t="s">
        <v>8185</v>
      </c>
    </row>
    <row r="1366" customFormat="false" ht="23.85" hidden="false" customHeight="false" outlineLevel="0" collapsed="false">
      <c r="A1366" s="5" t="s">
        <v>5971</v>
      </c>
      <c r="B1366" s="2" t="s">
        <v>5972</v>
      </c>
      <c r="C1366" s="5" t="s">
        <v>2128</v>
      </c>
      <c r="D1366" s="5" t="s">
        <v>4760</v>
      </c>
      <c r="E1366" s="5" t="s">
        <v>490</v>
      </c>
      <c r="F1366" s="5" t="s">
        <v>7670</v>
      </c>
      <c r="G1366" s="5" t="s">
        <v>8186</v>
      </c>
      <c r="H1366" s="5"/>
      <c r="I1366" s="5" t="s">
        <v>8186</v>
      </c>
    </row>
    <row r="1367" customFormat="false" ht="23.85" hidden="false" customHeight="false" outlineLevel="0" collapsed="false">
      <c r="A1367" s="5" t="s">
        <v>5971</v>
      </c>
      <c r="B1367" s="2" t="s">
        <v>5972</v>
      </c>
      <c r="C1367" s="5" t="s">
        <v>2128</v>
      </c>
      <c r="D1367" s="5" t="s">
        <v>4760</v>
      </c>
      <c r="E1367" s="5" t="s">
        <v>490</v>
      </c>
      <c r="F1367" s="5" t="s">
        <v>7670</v>
      </c>
      <c r="G1367" s="5" t="s">
        <v>8187</v>
      </c>
      <c r="H1367" s="5"/>
      <c r="I1367" s="5" t="s">
        <v>8187</v>
      </c>
    </row>
    <row r="1368" customFormat="false" ht="23.85" hidden="false" customHeight="false" outlineLevel="0" collapsed="false">
      <c r="A1368" s="5" t="s">
        <v>5971</v>
      </c>
      <c r="B1368" s="2" t="s">
        <v>5972</v>
      </c>
      <c r="C1368" s="5" t="s">
        <v>2128</v>
      </c>
      <c r="D1368" s="5" t="s">
        <v>4760</v>
      </c>
      <c r="E1368" s="5" t="s">
        <v>490</v>
      </c>
      <c r="F1368" s="5" t="s">
        <v>7670</v>
      </c>
      <c r="G1368" s="5" t="s">
        <v>8188</v>
      </c>
      <c r="H1368" s="5"/>
      <c r="I1368" s="5" t="s">
        <v>8188</v>
      </c>
    </row>
    <row r="1369" customFormat="false" ht="23.85" hidden="false" customHeight="false" outlineLevel="0" collapsed="false">
      <c r="A1369" s="5" t="s">
        <v>5971</v>
      </c>
      <c r="B1369" s="2" t="s">
        <v>5972</v>
      </c>
      <c r="C1369" s="5" t="s">
        <v>2128</v>
      </c>
      <c r="D1369" s="5" t="s">
        <v>4760</v>
      </c>
      <c r="E1369" s="5" t="s">
        <v>490</v>
      </c>
      <c r="F1369" s="5" t="s">
        <v>7670</v>
      </c>
      <c r="G1369" s="5" t="s">
        <v>8189</v>
      </c>
      <c r="H1369" s="5"/>
      <c r="I1369" s="5" t="s">
        <v>8189</v>
      </c>
    </row>
    <row r="1370" customFormat="false" ht="23.85" hidden="false" customHeight="false" outlineLevel="0" collapsed="false">
      <c r="A1370" s="5" t="s">
        <v>5971</v>
      </c>
      <c r="B1370" s="2" t="s">
        <v>5972</v>
      </c>
      <c r="C1370" s="5" t="s">
        <v>2128</v>
      </c>
      <c r="D1370" s="5" t="s">
        <v>4760</v>
      </c>
      <c r="E1370" s="5" t="s">
        <v>490</v>
      </c>
      <c r="F1370" s="5" t="s">
        <v>7670</v>
      </c>
      <c r="G1370" s="5" t="s">
        <v>8190</v>
      </c>
      <c r="H1370" s="5"/>
      <c r="I1370" s="5" t="s">
        <v>8190</v>
      </c>
    </row>
    <row r="1371" customFormat="false" ht="23.85" hidden="false" customHeight="false" outlineLevel="0" collapsed="false">
      <c r="A1371" s="5" t="s">
        <v>5971</v>
      </c>
      <c r="B1371" s="2" t="s">
        <v>5972</v>
      </c>
      <c r="C1371" s="5" t="s">
        <v>2128</v>
      </c>
      <c r="D1371" s="5" t="s">
        <v>4760</v>
      </c>
      <c r="E1371" s="5" t="s">
        <v>490</v>
      </c>
      <c r="F1371" s="5" t="s">
        <v>7670</v>
      </c>
      <c r="G1371" s="5" t="s">
        <v>8191</v>
      </c>
      <c r="H1371" s="5"/>
      <c r="I1371" s="5" t="s">
        <v>8191</v>
      </c>
    </row>
    <row r="1372" customFormat="false" ht="23.85" hidden="false" customHeight="false" outlineLevel="0" collapsed="false">
      <c r="A1372" s="5" t="s">
        <v>5971</v>
      </c>
      <c r="B1372" s="2" t="s">
        <v>5972</v>
      </c>
      <c r="C1372" s="5" t="s">
        <v>2128</v>
      </c>
      <c r="D1372" s="5" t="s">
        <v>4760</v>
      </c>
      <c r="E1372" s="5" t="s">
        <v>490</v>
      </c>
      <c r="F1372" s="5" t="s">
        <v>7670</v>
      </c>
      <c r="G1372" s="5" t="s">
        <v>8192</v>
      </c>
      <c r="H1372" s="5"/>
      <c r="I1372" s="5" t="s">
        <v>8192</v>
      </c>
    </row>
    <row r="1373" customFormat="false" ht="23.85" hidden="false" customHeight="false" outlineLevel="0" collapsed="false">
      <c r="A1373" s="5" t="s">
        <v>5971</v>
      </c>
      <c r="B1373" s="2" t="s">
        <v>5972</v>
      </c>
      <c r="C1373" s="5" t="s">
        <v>2128</v>
      </c>
      <c r="D1373" s="5" t="s">
        <v>4760</v>
      </c>
      <c r="E1373" s="5" t="s">
        <v>490</v>
      </c>
      <c r="F1373" s="5" t="s">
        <v>7670</v>
      </c>
      <c r="G1373" s="5" t="s">
        <v>8193</v>
      </c>
      <c r="H1373" s="5"/>
      <c r="I1373" s="5" t="s">
        <v>8193</v>
      </c>
    </row>
    <row r="1374" customFormat="false" ht="23.85" hidden="false" customHeight="false" outlineLevel="0" collapsed="false">
      <c r="A1374" s="5" t="s">
        <v>5971</v>
      </c>
      <c r="B1374" s="2" t="s">
        <v>5972</v>
      </c>
      <c r="C1374" s="5" t="s">
        <v>2128</v>
      </c>
      <c r="D1374" s="5" t="s">
        <v>4760</v>
      </c>
      <c r="E1374" s="5" t="s">
        <v>490</v>
      </c>
      <c r="F1374" s="5" t="s">
        <v>7669</v>
      </c>
      <c r="G1374" s="5" t="s">
        <v>5060</v>
      </c>
      <c r="H1374" s="5"/>
      <c r="I1374" s="5" t="s">
        <v>5060</v>
      </c>
    </row>
    <row r="1375" customFormat="false" ht="23.85" hidden="false" customHeight="false" outlineLevel="0" collapsed="false">
      <c r="A1375" s="5" t="s">
        <v>5977</v>
      </c>
      <c r="B1375" s="2" t="s">
        <v>5978</v>
      </c>
      <c r="C1375" s="5" t="s">
        <v>2128</v>
      </c>
      <c r="D1375" s="5" t="s">
        <v>4760</v>
      </c>
      <c r="E1375" s="5" t="s">
        <v>62</v>
      </c>
      <c r="F1375" s="5" t="s">
        <v>7670</v>
      </c>
      <c r="G1375" s="5" t="s">
        <v>8194</v>
      </c>
      <c r="H1375" s="5"/>
      <c r="I1375" s="5" t="s">
        <v>8194</v>
      </c>
    </row>
    <row r="1376" customFormat="false" ht="23.85" hidden="false" customHeight="false" outlineLevel="0" collapsed="false">
      <c r="A1376" s="5" t="s">
        <v>5977</v>
      </c>
      <c r="B1376" s="2" t="s">
        <v>5978</v>
      </c>
      <c r="C1376" s="5" t="s">
        <v>2128</v>
      </c>
      <c r="D1376" s="5" t="s">
        <v>4760</v>
      </c>
      <c r="E1376" s="5" t="s">
        <v>62</v>
      </c>
      <c r="F1376" s="5" t="s">
        <v>7670</v>
      </c>
      <c r="G1376" s="5" t="s">
        <v>8195</v>
      </c>
      <c r="H1376" s="5"/>
      <c r="I1376" s="5" t="s">
        <v>8195</v>
      </c>
    </row>
    <row r="1377" customFormat="false" ht="23.85" hidden="false" customHeight="false" outlineLevel="0" collapsed="false">
      <c r="A1377" s="5" t="s">
        <v>5983</v>
      </c>
      <c r="B1377" s="2" t="s">
        <v>5984</v>
      </c>
      <c r="C1377" s="5" t="s">
        <v>2128</v>
      </c>
      <c r="D1377" s="5" t="s">
        <v>4760</v>
      </c>
      <c r="E1377" s="5" t="s">
        <v>490</v>
      </c>
      <c r="F1377" s="5" t="s">
        <v>7669</v>
      </c>
      <c r="G1377" s="5" t="s">
        <v>2722</v>
      </c>
      <c r="H1377" s="5"/>
      <c r="I1377" s="5" t="s">
        <v>2722</v>
      </c>
    </row>
    <row r="1378" customFormat="false" ht="23.85" hidden="false" customHeight="false" outlineLevel="0" collapsed="false">
      <c r="A1378" s="5" t="s">
        <v>5988</v>
      </c>
      <c r="B1378" s="2" t="s">
        <v>5989</v>
      </c>
      <c r="C1378" s="5" t="s">
        <v>2128</v>
      </c>
      <c r="D1378" s="5" t="s">
        <v>4760</v>
      </c>
      <c r="E1378" s="5" t="s">
        <v>490</v>
      </c>
      <c r="F1378" s="5" t="s">
        <v>7670</v>
      </c>
      <c r="G1378" s="5" t="s">
        <v>8196</v>
      </c>
      <c r="H1378" s="5"/>
      <c r="I1378" s="5" t="s">
        <v>8196</v>
      </c>
    </row>
    <row r="1379" customFormat="false" ht="23.85" hidden="false" customHeight="false" outlineLevel="0" collapsed="false">
      <c r="A1379" s="5" t="s">
        <v>5988</v>
      </c>
      <c r="B1379" s="2" t="s">
        <v>5989</v>
      </c>
      <c r="C1379" s="5" t="s">
        <v>2128</v>
      </c>
      <c r="D1379" s="5" t="s">
        <v>4760</v>
      </c>
      <c r="E1379" s="5" t="s">
        <v>490</v>
      </c>
      <c r="F1379" s="5" t="s">
        <v>7670</v>
      </c>
      <c r="G1379" s="5" t="s">
        <v>8197</v>
      </c>
      <c r="H1379" s="5"/>
      <c r="I1379" s="5" t="s">
        <v>8197</v>
      </c>
    </row>
    <row r="1380" customFormat="false" ht="23.85" hidden="false" customHeight="false" outlineLevel="0" collapsed="false">
      <c r="A1380" s="5" t="s">
        <v>5988</v>
      </c>
      <c r="B1380" s="2" t="s">
        <v>5989</v>
      </c>
      <c r="C1380" s="5" t="s">
        <v>2128</v>
      </c>
      <c r="D1380" s="5" t="s">
        <v>4760</v>
      </c>
      <c r="E1380" s="5" t="s">
        <v>490</v>
      </c>
      <c r="F1380" s="5" t="s">
        <v>7669</v>
      </c>
      <c r="G1380" s="5" t="s">
        <v>5060</v>
      </c>
      <c r="H1380" s="5"/>
      <c r="I1380" s="5" t="s">
        <v>5060</v>
      </c>
    </row>
    <row r="1381" customFormat="false" ht="23.85" hidden="false" customHeight="false" outlineLevel="0" collapsed="false">
      <c r="A1381" s="5" t="s">
        <v>5995</v>
      </c>
      <c r="B1381" s="2" t="s">
        <v>5996</v>
      </c>
      <c r="C1381" s="5" t="s">
        <v>2128</v>
      </c>
      <c r="D1381" s="5" t="s">
        <v>4760</v>
      </c>
      <c r="E1381" s="5" t="s">
        <v>62</v>
      </c>
      <c r="F1381" s="5" t="s">
        <v>7670</v>
      </c>
      <c r="G1381" s="5" t="s">
        <v>8198</v>
      </c>
      <c r="H1381" s="5"/>
      <c r="I1381" s="5" t="s">
        <v>8198</v>
      </c>
    </row>
    <row r="1382" customFormat="false" ht="23.85" hidden="false" customHeight="false" outlineLevel="0" collapsed="false">
      <c r="A1382" s="5" t="s">
        <v>5995</v>
      </c>
      <c r="B1382" s="2" t="s">
        <v>5996</v>
      </c>
      <c r="C1382" s="5" t="s">
        <v>2128</v>
      </c>
      <c r="D1382" s="5" t="s">
        <v>4760</v>
      </c>
      <c r="E1382" s="5" t="s">
        <v>62</v>
      </c>
      <c r="F1382" s="5" t="s">
        <v>7670</v>
      </c>
      <c r="G1382" s="5" t="s">
        <v>8199</v>
      </c>
      <c r="H1382" s="5"/>
      <c r="I1382" s="5" t="s">
        <v>8199</v>
      </c>
    </row>
    <row r="1383" customFormat="false" ht="23.85" hidden="false" customHeight="false" outlineLevel="0" collapsed="false">
      <c r="A1383" s="5" t="s">
        <v>6001</v>
      </c>
      <c r="B1383" s="2" t="s">
        <v>6002</v>
      </c>
      <c r="C1383" s="5" t="s">
        <v>2128</v>
      </c>
      <c r="D1383" s="5" t="s">
        <v>4760</v>
      </c>
      <c r="E1383" s="5" t="s">
        <v>62</v>
      </c>
      <c r="F1383" s="5" t="s">
        <v>7669</v>
      </c>
      <c r="G1383" s="5" t="s">
        <v>2722</v>
      </c>
      <c r="H1383" s="5"/>
      <c r="I1383" s="5" t="s">
        <v>2722</v>
      </c>
    </row>
    <row r="1384" customFormat="false" ht="23.85" hidden="false" customHeight="false" outlineLevel="0" collapsed="false">
      <c r="A1384" s="5" t="s">
        <v>6006</v>
      </c>
      <c r="B1384" s="2" t="s">
        <v>6007</v>
      </c>
      <c r="C1384" s="5" t="s">
        <v>2128</v>
      </c>
      <c r="D1384" s="5" t="s">
        <v>4760</v>
      </c>
      <c r="E1384" s="5" t="s">
        <v>62</v>
      </c>
      <c r="F1384" s="5" t="s">
        <v>7670</v>
      </c>
      <c r="G1384" s="5" t="s">
        <v>8200</v>
      </c>
      <c r="H1384" s="5"/>
      <c r="I1384" s="5" t="s">
        <v>8200</v>
      </c>
    </row>
    <row r="1385" customFormat="false" ht="23.85" hidden="false" customHeight="false" outlineLevel="0" collapsed="false">
      <c r="A1385" s="5" t="s">
        <v>6006</v>
      </c>
      <c r="B1385" s="2" t="s">
        <v>6007</v>
      </c>
      <c r="C1385" s="5" t="s">
        <v>2128</v>
      </c>
      <c r="D1385" s="5" t="s">
        <v>4760</v>
      </c>
      <c r="E1385" s="5" t="s">
        <v>62</v>
      </c>
      <c r="F1385" s="5" t="s">
        <v>7670</v>
      </c>
      <c r="G1385" s="5" t="s">
        <v>8201</v>
      </c>
      <c r="H1385" s="5"/>
      <c r="I1385" s="5" t="s">
        <v>8201</v>
      </c>
    </row>
    <row r="1386" customFormat="false" ht="23.85" hidden="false" customHeight="false" outlineLevel="0" collapsed="false">
      <c r="A1386" s="5" t="s">
        <v>6006</v>
      </c>
      <c r="B1386" s="2" t="s">
        <v>6007</v>
      </c>
      <c r="C1386" s="5" t="s">
        <v>2128</v>
      </c>
      <c r="D1386" s="5" t="s">
        <v>4760</v>
      </c>
      <c r="E1386" s="5" t="s">
        <v>62</v>
      </c>
      <c r="F1386" s="5" t="s">
        <v>7669</v>
      </c>
      <c r="G1386" s="5" t="s">
        <v>5060</v>
      </c>
      <c r="H1386" s="5"/>
      <c r="I1386" s="5" t="s">
        <v>5060</v>
      </c>
    </row>
    <row r="1387" customFormat="false" ht="23.85" hidden="false" customHeight="false" outlineLevel="0" collapsed="false">
      <c r="A1387" s="5" t="s">
        <v>6013</v>
      </c>
      <c r="B1387" s="2" t="s">
        <v>6014</v>
      </c>
      <c r="C1387" s="5" t="s">
        <v>2128</v>
      </c>
      <c r="D1387" s="5" t="s">
        <v>4760</v>
      </c>
      <c r="E1387" s="5" t="s">
        <v>62</v>
      </c>
      <c r="F1387" s="5" t="s">
        <v>7670</v>
      </c>
      <c r="G1387" s="5" t="s">
        <v>8202</v>
      </c>
      <c r="H1387" s="5"/>
      <c r="I1387" s="5" t="s">
        <v>8202</v>
      </c>
    </row>
    <row r="1388" customFormat="false" ht="23.85" hidden="false" customHeight="false" outlineLevel="0" collapsed="false">
      <c r="A1388" s="5" t="s">
        <v>6013</v>
      </c>
      <c r="B1388" s="2" t="s">
        <v>6014</v>
      </c>
      <c r="C1388" s="5" t="s">
        <v>2128</v>
      </c>
      <c r="D1388" s="5" t="s">
        <v>4760</v>
      </c>
      <c r="E1388" s="5" t="s">
        <v>62</v>
      </c>
      <c r="F1388" s="5" t="s">
        <v>7670</v>
      </c>
      <c r="G1388" s="5" t="s">
        <v>8203</v>
      </c>
      <c r="H1388" s="5"/>
      <c r="I1388" s="5" t="s">
        <v>8203</v>
      </c>
    </row>
    <row r="1389" customFormat="false" ht="23.85" hidden="false" customHeight="false" outlineLevel="0" collapsed="false">
      <c r="A1389" s="5" t="s">
        <v>6019</v>
      </c>
      <c r="B1389" s="2" t="s">
        <v>6020</v>
      </c>
      <c r="C1389" s="5" t="s">
        <v>2128</v>
      </c>
      <c r="D1389" s="5" t="s">
        <v>4760</v>
      </c>
      <c r="E1389" s="5" t="s">
        <v>62</v>
      </c>
      <c r="F1389" s="5" t="s">
        <v>7669</v>
      </c>
      <c r="G1389" s="5" t="s">
        <v>7882</v>
      </c>
      <c r="H1389" s="5"/>
      <c r="I1389" s="5" t="s">
        <v>7882</v>
      </c>
    </row>
    <row r="1390" customFormat="false" ht="23.85" hidden="false" customHeight="false" outlineLevel="0" collapsed="false">
      <c r="A1390" s="5" t="s">
        <v>6019</v>
      </c>
      <c r="B1390" s="2" t="s">
        <v>6020</v>
      </c>
      <c r="C1390" s="5" t="s">
        <v>2128</v>
      </c>
      <c r="D1390" s="5" t="s">
        <v>4760</v>
      </c>
      <c r="E1390" s="5" t="s">
        <v>62</v>
      </c>
      <c r="F1390" s="5" t="s">
        <v>7669</v>
      </c>
      <c r="G1390" s="5" t="s">
        <v>7883</v>
      </c>
      <c r="H1390" s="5"/>
      <c r="I1390" s="5" t="s">
        <v>7883</v>
      </c>
    </row>
    <row r="1391" customFormat="false" ht="23.85" hidden="false" customHeight="false" outlineLevel="0" collapsed="false">
      <c r="A1391" s="5" t="s">
        <v>6019</v>
      </c>
      <c r="B1391" s="2" t="s">
        <v>6020</v>
      </c>
      <c r="C1391" s="5" t="s">
        <v>2128</v>
      </c>
      <c r="D1391" s="5" t="s">
        <v>4760</v>
      </c>
      <c r="E1391" s="5" t="s">
        <v>62</v>
      </c>
      <c r="F1391" s="5" t="s">
        <v>7669</v>
      </c>
      <c r="G1391" s="5" t="s">
        <v>7884</v>
      </c>
      <c r="H1391" s="5"/>
      <c r="I1391" s="5" t="s">
        <v>7884</v>
      </c>
    </row>
    <row r="1392" customFormat="false" ht="15" hidden="false" customHeight="false" outlineLevel="0" collapsed="false">
      <c r="A1392" s="5" t="s">
        <v>6025</v>
      </c>
      <c r="B1392" s="2" t="s">
        <v>6026</v>
      </c>
      <c r="C1392" s="5" t="s">
        <v>2128</v>
      </c>
      <c r="D1392" s="5" t="s">
        <v>4760</v>
      </c>
      <c r="E1392" s="5" t="s">
        <v>490</v>
      </c>
      <c r="F1392" s="5" t="s">
        <v>7635</v>
      </c>
      <c r="G1392" s="5" t="s">
        <v>6028</v>
      </c>
      <c r="H1392" s="5"/>
      <c r="I1392" s="5" t="s">
        <v>6028</v>
      </c>
    </row>
    <row r="1393" customFormat="false" ht="15" hidden="false" customHeight="false" outlineLevel="0" collapsed="false">
      <c r="A1393" s="5" t="s">
        <v>6034</v>
      </c>
      <c r="B1393" s="2" t="s">
        <v>6035</v>
      </c>
      <c r="C1393" s="5" t="s">
        <v>2128</v>
      </c>
      <c r="D1393" s="5" t="s">
        <v>4760</v>
      </c>
      <c r="E1393" s="5" t="s">
        <v>62</v>
      </c>
      <c r="F1393" s="5" t="s">
        <v>7669</v>
      </c>
      <c r="G1393" s="5" t="s">
        <v>6036</v>
      </c>
      <c r="H1393" s="5"/>
      <c r="I1393" s="5" t="s">
        <v>6036</v>
      </c>
    </row>
    <row r="1394" customFormat="false" ht="23.85" hidden="false" customHeight="false" outlineLevel="0" collapsed="false">
      <c r="A1394" s="5" t="s">
        <v>6040</v>
      </c>
      <c r="B1394" s="2" t="s">
        <v>6041</v>
      </c>
      <c r="C1394" s="5" t="s">
        <v>2128</v>
      </c>
      <c r="D1394" s="5" t="s">
        <v>4760</v>
      </c>
      <c r="E1394" s="5" t="s">
        <v>62</v>
      </c>
      <c r="F1394" s="5" t="s">
        <v>7670</v>
      </c>
      <c r="G1394" s="5" t="s">
        <v>6043</v>
      </c>
      <c r="H1394" s="5"/>
      <c r="I1394" s="5" t="s">
        <v>6043</v>
      </c>
    </row>
    <row r="1395" customFormat="false" ht="23.85" hidden="false" customHeight="false" outlineLevel="0" collapsed="false">
      <c r="A1395" s="5" t="s">
        <v>6049</v>
      </c>
      <c r="B1395" s="2" t="s">
        <v>6050</v>
      </c>
      <c r="C1395" s="5" t="s">
        <v>2128</v>
      </c>
      <c r="D1395" s="5" t="s">
        <v>4760</v>
      </c>
      <c r="E1395" s="5" t="s">
        <v>62</v>
      </c>
      <c r="F1395" s="5" t="s">
        <v>7670</v>
      </c>
      <c r="G1395" s="5" t="s">
        <v>6051</v>
      </c>
      <c r="H1395" s="5"/>
      <c r="I1395" s="5" t="s">
        <v>6051</v>
      </c>
    </row>
    <row r="1396" customFormat="false" ht="23.85" hidden="false" customHeight="false" outlineLevel="0" collapsed="false">
      <c r="A1396" s="5" t="s">
        <v>6056</v>
      </c>
      <c r="B1396" s="2" t="s">
        <v>6057</v>
      </c>
      <c r="C1396" s="5" t="s">
        <v>2128</v>
      </c>
      <c r="D1396" s="5" t="s">
        <v>4760</v>
      </c>
      <c r="E1396" s="5" t="s">
        <v>62</v>
      </c>
      <c r="F1396" s="5" t="s">
        <v>7670</v>
      </c>
      <c r="G1396" s="5" t="s">
        <v>6058</v>
      </c>
      <c r="H1396" s="5"/>
      <c r="I1396" s="5" t="s">
        <v>6058</v>
      </c>
    </row>
    <row r="1397" customFormat="false" ht="15" hidden="false" customHeight="false" outlineLevel="0" collapsed="false">
      <c r="A1397" s="5" t="s">
        <v>6064</v>
      </c>
      <c r="B1397" s="2" t="s">
        <v>6065</v>
      </c>
      <c r="C1397" s="5" t="s">
        <v>2128</v>
      </c>
      <c r="D1397" s="5" t="s">
        <v>4760</v>
      </c>
      <c r="E1397" s="5" t="s">
        <v>62</v>
      </c>
      <c r="F1397" s="5" t="s">
        <v>7670</v>
      </c>
      <c r="G1397" s="5" t="s">
        <v>6066</v>
      </c>
      <c r="H1397" s="5"/>
      <c r="I1397" s="5" t="s">
        <v>6066</v>
      </c>
    </row>
    <row r="1398" customFormat="false" ht="23.85" hidden="false" customHeight="false" outlineLevel="0" collapsed="false">
      <c r="A1398" s="5" t="s">
        <v>6071</v>
      </c>
      <c r="B1398" s="2" t="s">
        <v>6072</v>
      </c>
      <c r="C1398" s="5" t="s">
        <v>2128</v>
      </c>
      <c r="D1398" s="5" t="s">
        <v>4760</v>
      </c>
      <c r="E1398" s="5" t="s">
        <v>62</v>
      </c>
      <c r="F1398" s="5" t="s">
        <v>7670</v>
      </c>
      <c r="G1398" s="5" t="s">
        <v>6073</v>
      </c>
      <c r="H1398" s="5"/>
      <c r="I1398" s="5" t="s">
        <v>6073</v>
      </c>
    </row>
    <row r="1399" customFormat="false" ht="23.85" hidden="false" customHeight="false" outlineLevel="0" collapsed="false">
      <c r="A1399" s="5" t="s">
        <v>6077</v>
      </c>
      <c r="B1399" s="2" t="s">
        <v>6078</v>
      </c>
      <c r="C1399" s="5" t="s">
        <v>2128</v>
      </c>
      <c r="D1399" s="5" t="s">
        <v>4760</v>
      </c>
      <c r="E1399" s="5" t="s">
        <v>62</v>
      </c>
      <c r="F1399" s="5" t="s">
        <v>7670</v>
      </c>
      <c r="G1399" s="5" t="s">
        <v>8204</v>
      </c>
      <c r="H1399" s="5"/>
      <c r="I1399" s="5" t="s">
        <v>8204</v>
      </c>
    </row>
    <row r="1400" customFormat="false" ht="23.85" hidden="false" customHeight="false" outlineLevel="0" collapsed="false">
      <c r="A1400" s="5" t="s">
        <v>6077</v>
      </c>
      <c r="B1400" s="2" t="s">
        <v>6078</v>
      </c>
      <c r="C1400" s="5" t="s">
        <v>2128</v>
      </c>
      <c r="D1400" s="5" t="s">
        <v>4760</v>
      </c>
      <c r="E1400" s="5" t="s">
        <v>62</v>
      </c>
      <c r="F1400" s="5" t="s">
        <v>7670</v>
      </c>
      <c r="G1400" s="5" t="s">
        <v>8205</v>
      </c>
      <c r="H1400" s="5"/>
      <c r="I1400" s="5" t="s">
        <v>8205</v>
      </c>
    </row>
    <row r="1401" customFormat="false" ht="23.85" hidden="false" customHeight="false" outlineLevel="0" collapsed="false">
      <c r="A1401" s="5" t="s">
        <v>6084</v>
      </c>
      <c r="B1401" s="2" t="s">
        <v>6085</v>
      </c>
      <c r="C1401" s="5" t="s">
        <v>2128</v>
      </c>
      <c r="D1401" s="5" t="s">
        <v>4760</v>
      </c>
      <c r="E1401" s="5" t="s">
        <v>62</v>
      </c>
      <c r="F1401" s="5" t="s">
        <v>7670</v>
      </c>
      <c r="G1401" s="5" t="s">
        <v>8206</v>
      </c>
      <c r="H1401" s="5"/>
      <c r="I1401" s="5" t="s">
        <v>8206</v>
      </c>
    </row>
    <row r="1402" customFormat="false" ht="23.85" hidden="false" customHeight="false" outlineLevel="0" collapsed="false">
      <c r="A1402" s="5" t="s">
        <v>6084</v>
      </c>
      <c r="B1402" s="2" t="s">
        <v>6085</v>
      </c>
      <c r="C1402" s="5" t="s">
        <v>2128</v>
      </c>
      <c r="D1402" s="5" t="s">
        <v>4760</v>
      </c>
      <c r="E1402" s="5" t="s">
        <v>62</v>
      </c>
      <c r="F1402" s="5" t="s">
        <v>7670</v>
      </c>
      <c r="G1402" s="5" t="s">
        <v>8207</v>
      </c>
      <c r="H1402" s="5"/>
      <c r="I1402" s="5" t="s">
        <v>8207</v>
      </c>
    </row>
    <row r="1403" customFormat="false" ht="23.85" hidden="false" customHeight="false" outlineLevel="0" collapsed="false">
      <c r="A1403" s="5" t="s">
        <v>6090</v>
      </c>
      <c r="B1403" s="2" t="s">
        <v>6091</v>
      </c>
      <c r="C1403" s="5" t="s">
        <v>2128</v>
      </c>
      <c r="D1403" s="5" t="s">
        <v>4760</v>
      </c>
      <c r="E1403" s="5" t="s">
        <v>62</v>
      </c>
      <c r="F1403" s="5" t="s">
        <v>7669</v>
      </c>
      <c r="G1403" s="5" t="s">
        <v>638</v>
      </c>
      <c r="H1403" s="5"/>
      <c r="I1403" s="5" t="s">
        <v>638</v>
      </c>
    </row>
    <row r="1404" customFormat="false" ht="23.85" hidden="false" customHeight="false" outlineLevel="0" collapsed="false">
      <c r="A1404" s="5" t="s">
        <v>6090</v>
      </c>
      <c r="B1404" s="2" t="s">
        <v>6091</v>
      </c>
      <c r="C1404" s="5" t="s">
        <v>2128</v>
      </c>
      <c r="D1404" s="5" t="s">
        <v>4760</v>
      </c>
      <c r="E1404" s="5" t="s">
        <v>62</v>
      </c>
      <c r="F1404" s="5" t="s">
        <v>7669</v>
      </c>
      <c r="G1404" s="5" t="s">
        <v>8208</v>
      </c>
      <c r="H1404" s="5"/>
      <c r="I1404" s="5" t="s">
        <v>8208</v>
      </c>
    </row>
    <row r="1405" customFormat="false" ht="15" hidden="false" customHeight="false" outlineLevel="0" collapsed="false">
      <c r="A1405" s="5" t="s">
        <v>6097</v>
      </c>
      <c r="B1405" s="2" t="s">
        <v>6098</v>
      </c>
      <c r="C1405" s="5" t="s">
        <v>2128</v>
      </c>
      <c r="D1405" s="5" t="s">
        <v>4760</v>
      </c>
      <c r="E1405" s="5" t="s">
        <v>62</v>
      </c>
      <c r="F1405" s="5" t="s">
        <v>7669</v>
      </c>
      <c r="G1405" s="5" t="s">
        <v>6100</v>
      </c>
      <c r="H1405" s="5"/>
      <c r="I1405" s="5" t="s">
        <v>6100</v>
      </c>
    </row>
    <row r="1406" customFormat="false" ht="23.85" hidden="false" customHeight="false" outlineLevel="0" collapsed="false">
      <c r="A1406" s="5" t="s">
        <v>6106</v>
      </c>
      <c r="B1406" s="2" t="s">
        <v>6107</v>
      </c>
      <c r="C1406" s="5" t="s">
        <v>2128</v>
      </c>
      <c r="D1406" s="5" t="s">
        <v>4760</v>
      </c>
      <c r="E1406" s="5" t="s">
        <v>490</v>
      </c>
      <c r="F1406" s="5" t="s">
        <v>7669</v>
      </c>
      <c r="G1406" s="5" t="s">
        <v>7542</v>
      </c>
      <c r="H1406" s="5"/>
      <c r="I1406" s="5" t="s">
        <v>7542</v>
      </c>
    </row>
    <row r="1407" customFormat="false" ht="23.85" hidden="false" customHeight="false" outlineLevel="0" collapsed="false">
      <c r="A1407" s="5" t="s">
        <v>6106</v>
      </c>
      <c r="B1407" s="2" t="s">
        <v>6107</v>
      </c>
      <c r="C1407" s="5" t="s">
        <v>2128</v>
      </c>
      <c r="D1407" s="5" t="s">
        <v>4760</v>
      </c>
      <c r="E1407" s="5" t="s">
        <v>490</v>
      </c>
      <c r="F1407" s="5" t="s">
        <v>7669</v>
      </c>
      <c r="G1407" s="5" t="s">
        <v>7545</v>
      </c>
      <c r="H1407" s="5"/>
      <c r="I1407" s="5" t="s">
        <v>7545</v>
      </c>
    </row>
    <row r="1408" customFormat="false" ht="15" hidden="false" customHeight="false" outlineLevel="0" collapsed="false">
      <c r="A1408" s="5" t="s">
        <v>6117</v>
      </c>
      <c r="B1408" s="2" t="s">
        <v>6118</v>
      </c>
      <c r="C1408" s="5" t="s">
        <v>2128</v>
      </c>
      <c r="D1408" s="5" t="s">
        <v>4760</v>
      </c>
      <c r="E1408" s="5" t="s">
        <v>62</v>
      </c>
      <c r="F1408" s="5" t="s">
        <v>7669</v>
      </c>
      <c r="G1408" s="5" t="s">
        <v>7882</v>
      </c>
      <c r="H1408" s="5"/>
      <c r="I1408" s="5" t="s">
        <v>7882</v>
      </c>
    </row>
    <row r="1409" customFormat="false" ht="15" hidden="false" customHeight="false" outlineLevel="0" collapsed="false">
      <c r="A1409" s="5" t="s">
        <v>6117</v>
      </c>
      <c r="B1409" s="2" t="s">
        <v>6118</v>
      </c>
      <c r="C1409" s="5" t="s">
        <v>2128</v>
      </c>
      <c r="D1409" s="5" t="s">
        <v>4760</v>
      </c>
      <c r="E1409" s="5" t="s">
        <v>62</v>
      </c>
      <c r="F1409" s="5" t="s">
        <v>7669</v>
      </c>
      <c r="G1409" s="5" t="s">
        <v>7883</v>
      </c>
      <c r="H1409" s="5"/>
      <c r="I1409" s="5" t="s">
        <v>7883</v>
      </c>
    </row>
    <row r="1410" customFormat="false" ht="15" hidden="false" customHeight="false" outlineLevel="0" collapsed="false">
      <c r="A1410" s="5" t="s">
        <v>6117</v>
      </c>
      <c r="B1410" s="2" t="s">
        <v>6118</v>
      </c>
      <c r="C1410" s="5" t="s">
        <v>2128</v>
      </c>
      <c r="D1410" s="5" t="s">
        <v>4760</v>
      </c>
      <c r="E1410" s="5" t="s">
        <v>62</v>
      </c>
      <c r="F1410" s="5" t="s">
        <v>7669</v>
      </c>
      <c r="G1410" s="5" t="s">
        <v>7884</v>
      </c>
      <c r="H1410" s="5"/>
      <c r="I1410" s="5" t="s">
        <v>7884</v>
      </c>
    </row>
    <row r="1411" customFormat="false" ht="15" hidden="false" customHeight="false" outlineLevel="0" collapsed="false">
      <c r="A1411" s="5" t="s">
        <v>6117</v>
      </c>
      <c r="B1411" s="2" t="s">
        <v>6118</v>
      </c>
      <c r="C1411" s="5" t="s">
        <v>2128</v>
      </c>
      <c r="D1411" s="5" t="s">
        <v>4760</v>
      </c>
      <c r="E1411" s="5" t="s">
        <v>62</v>
      </c>
      <c r="F1411" s="5" t="s">
        <v>7669</v>
      </c>
      <c r="G1411" s="5" t="s">
        <v>8209</v>
      </c>
      <c r="H1411" s="5"/>
      <c r="I1411" s="5" t="s">
        <v>8209</v>
      </c>
    </row>
    <row r="1412" customFormat="false" ht="15" hidden="false" customHeight="false" outlineLevel="0" collapsed="false">
      <c r="A1412" s="5" t="s">
        <v>6124</v>
      </c>
      <c r="B1412" s="2" t="s">
        <v>6125</v>
      </c>
      <c r="C1412" s="5" t="s">
        <v>2128</v>
      </c>
      <c r="D1412" s="5" t="s">
        <v>4760</v>
      </c>
      <c r="E1412" s="5" t="s">
        <v>62</v>
      </c>
      <c r="F1412" s="5" t="s">
        <v>7669</v>
      </c>
      <c r="G1412" s="5" t="s">
        <v>7882</v>
      </c>
      <c r="H1412" s="5"/>
      <c r="I1412" s="5" t="s">
        <v>7882</v>
      </c>
    </row>
    <row r="1413" customFormat="false" ht="15" hidden="false" customHeight="false" outlineLevel="0" collapsed="false">
      <c r="A1413" s="5" t="s">
        <v>6124</v>
      </c>
      <c r="B1413" s="2" t="s">
        <v>6125</v>
      </c>
      <c r="C1413" s="5" t="s">
        <v>2128</v>
      </c>
      <c r="D1413" s="5" t="s">
        <v>4760</v>
      </c>
      <c r="E1413" s="5" t="s">
        <v>62</v>
      </c>
      <c r="F1413" s="5" t="s">
        <v>7669</v>
      </c>
      <c r="G1413" s="5" t="s">
        <v>7883</v>
      </c>
      <c r="H1413" s="5"/>
      <c r="I1413" s="5" t="s">
        <v>7883</v>
      </c>
    </row>
    <row r="1414" customFormat="false" ht="15" hidden="false" customHeight="false" outlineLevel="0" collapsed="false">
      <c r="A1414" s="5" t="s">
        <v>6124</v>
      </c>
      <c r="B1414" s="2" t="s">
        <v>6125</v>
      </c>
      <c r="C1414" s="5" t="s">
        <v>2128</v>
      </c>
      <c r="D1414" s="5" t="s">
        <v>4760</v>
      </c>
      <c r="E1414" s="5" t="s">
        <v>62</v>
      </c>
      <c r="F1414" s="5" t="s">
        <v>7669</v>
      </c>
      <c r="G1414" s="5" t="s">
        <v>7884</v>
      </c>
      <c r="H1414" s="5"/>
      <c r="I1414" s="5" t="s">
        <v>7884</v>
      </c>
    </row>
    <row r="1415" customFormat="false" ht="15" hidden="false" customHeight="false" outlineLevel="0" collapsed="false">
      <c r="A1415" s="5" t="s">
        <v>6131</v>
      </c>
      <c r="B1415" s="2" t="s">
        <v>6132</v>
      </c>
      <c r="C1415" s="5" t="s">
        <v>2245</v>
      </c>
      <c r="D1415" s="5" t="s">
        <v>4760</v>
      </c>
      <c r="E1415" s="5" t="s">
        <v>490</v>
      </c>
      <c r="F1415" s="5" t="s">
        <v>7633</v>
      </c>
      <c r="G1415" s="5" t="s">
        <v>7735</v>
      </c>
      <c r="H1415" s="5"/>
      <c r="I1415" s="5" t="s">
        <v>1212</v>
      </c>
    </row>
    <row r="1416" customFormat="false" ht="15" hidden="false" customHeight="false" outlineLevel="0" collapsed="false">
      <c r="A1416" s="5" t="s">
        <v>6136</v>
      </c>
      <c r="B1416" s="2" t="s">
        <v>6137</v>
      </c>
      <c r="C1416" s="5" t="s">
        <v>2245</v>
      </c>
      <c r="D1416" s="5" t="s">
        <v>4760</v>
      </c>
      <c r="E1416" s="5" t="s">
        <v>62</v>
      </c>
      <c r="F1416" s="5" t="s">
        <v>7633</v>
      </c>
      <c r="G1416" s="5" t="s">
        <v>7634</v>
      </c>
      <c r="H1416" s="5" t="s">
        <v>309</v>
      </c>
      <c r="I1416" s="5" t="s">
        <v>1105</v>
      </c>
    </row>
    <row r="1417" customFormat="false" ht="23.85" hidden="false" customHeight="false" outlineLevel="0" collapsed="false">
      <c r="A1417" s="5" t="s">
        <v>6141</v>
      </c>
      <c r="B1417" s="2" t="s">
        <v>6142</v>
      </c>
      <c r="C1417" s="5" t="s">
        <v>2245</v>
      </c>
      <c r="D1417" s="5" t="s">
        <v>4760</v>
      </c>
      <c r="E1417" s="5" t="s">
        <v>62</v>
      </c>
      <c r="F1417" s="5" t="s">
        <v>7635</v>
      </c>
      <c r="G1417" s="5" t="s">
        <v>7636</v>
      </c>
      <c r="H1417" s="5" t="s">
        <v>3134</v>
      </c>
      <c r="I1417" s="5" t="s">
        <v>3130</v>
      </c>
    </row>
    <row r="1418" customFormat="false" ht="23.85" hidden="false" customHeight="false" outlineLevel="0" collapsed="false">
      <c r="A1418" s="5" t="s">
        <v>6146</v>
      </c>
      <c r="B1418" s="2" t="s">
        <v>6147</v>
      </c>
      <c r="C1418" s="5" t="s">
        <v>2245</v>
      </c>
      <c r="D1418" s="5" t="s">
        <v>4760</v>
      </c>
      <c r="E1418" s="5" t="s">
        <v>490</v>
      </c>
      <c r="F1418" s="5" t="s">
        <v>7633</v>
      </c>
      <c r="G1418" s="5" t="s">
        <v>7841</v>
      </c>
      <c r="H1418" s="5"/>
      <c r="I1418" s="5" t="s">
        <v>3457</v>
      </c>
    </row>
    <row r="1419" customFormat="false" ht="23.85" hidden="false" customHeight="false" outlineLevel="0" collapsed="false">
      <c r="A1419" s="5" t="s">
        <v>6151</v>
      </c>
      <c r="B1419" s="2" t="s">
        <v>6152</v>
      </c>
      <c r="C1419" s="5" t="s">
        <v>2245</v>
      </c>
      <c r="D1419" s="5" t="s">
        <v>4760</v>
      </c>
      <c r="E1419" s="5" t="s">
        <v>62</v>
      </c>
      <c r="F1419" s="5" t="s">
        <v>7633</v>
      </c>
      <c r="G1419" s="5" t="s">
        <v>7733</v>
      </c>
      <c r="H1419" s="5"/>
      <c r="I1419" s="5" t="s">
        <v>1160</v>
      </c>
    </row>
    <row r="1420" customFormat="false" ht="23.85" hidden="false" customHeight="false" outlineLevel="0" collapsed="false">
      <c r="A1420" s="5" t="s">
        <v>6156</v>
      </c>
      <c r="B1420" s="2" t="s">
        <v>6157</v>
      </c>
      <c r="C1420" s="5" t="s">
        <v>2245</v>
      </c>
      <c r="D1420" s="5" t="s">
        <v>4760</v>
      </c>
      <c r="E1420" s="5" t="s">
        <v>62</v>
      </c>
      <c r="F1420" s="5" t="s">
        <v>7635</v>
      </c>
      <c r="G1420" s="5" t="s">
        <v>7636</v>
      </c>
      <c r="H1420" s="5" t="s">
        <v>3134</v>
      </c>
      <c r="I1420" s="5" t="s">
        <v>3130</v>
      </c>
    </row>
    <row r="1421" customFormat="false" ht="23.85" hidden="false" customHeight="false" outlineLevel="0" collapsed="false">
      <c r="A1421" s="5" t="s">
        <v>6162</v>
      </c>
      <c r="B1421" s="2" t="s">
        <v>6163</v>
      </c>
      <c r="C1421" s="5" t="s">
        <v>2245</v>
      </c>
      <c r="D1421" s="5" t="s">
        <v>4760</v>
      </c>
      <c r="E1421" s="5" t="s">
        <v>62</v>
      </c>
      <c r="F1421" s="5" t="s">
        <v>7635</v>
      </c>
      <c r="G1421" s="5" t="s">
        <v>7636</v>
      </c>
      <c r="H1421" s="5" t="s">
        <v>3134</v>
      </c>
      <c r="I1421" s="5" t="s">
        <v>3130</v>
      </c>
    </row>
    <row r="1422" customFormat="false" ht="15" hidden="false" customHeight="false" outlineLevel="0" collapsed="false">
      <c r="A1422" s="5" t="s">
        <v>6167</v>
      </c>
      <c r="B1422" s="2" t="s">
        <v>6168</v>
      </c>
      <c r="C1422" s="5" t="s">
        <v>2245</v>
      </c>
      <c r="D1422" s="5" t="s">
        <v>4760</v>
      </c>
      <c r="E1422" s="5" t="s">
        <v>62</v>
      </c>
      <c r="F1422" s="5" t="s">
        <v>7635</v>
      </c>
      <c r="G1422" s="5" t="s">
        <v>7636</v>
      </c>
      <c r="H1422" s="5" t="s">
        <v>3134</v>
      </c>
      <c r="I1422" s="5" t="s">
        <v>3130</v>
      </c>
    </row>
    <row r="1423" customFormat="false" ht="23.85" hidden="false" customHeight="false" outlineLevel="0" collapsed="false">
      <c r="A1423" s="5" t="s">
        <v>6172</v>
      </c>
      <c r="B1423" s="2" t="s">
        <v>6173</v>
      </c>
      <c r="C1423" s="5" t="s">
        <v>2245</v>
      </c>
      <c r="D1423" s="5" t="s">
        <v>4760</v>
      </c>
      <c r="E1423" s="5" t="s">
        <v>62</v>
      </c>
      <c r="F1423" s="5" t="s">
        <v>7633</v>
      </c>
      <c r="G1423" s="5" t="s">
        <v>7832</v>
      </c>
      <c r="H1423" s="5"/>
      <c r="I1423" s="5" t="s">
        <v>3238</v>
      </c>
    </row>
    <row r="1424" customFormat="false" ht="23.85" hidden="false" customHeight="false" outlineLevel="0" collapsed="false">
      <c r="A1424" s="5" t="s">
        <v>6178</v>
      </c>
      <c r="B1424" s="2" t="s">
        <v>6179</v>
      </c>
      <c r="C1424" s="5" t="s">
        <v>2245</v>
      </c>
      <c r="D1424" s="5" t="s">
        <v>4760</v>
      </c>
      <c r="E1424" s="5" t="s">
        <v>490</v>
      </c>
      <c r="F1424" s="5" t="s">
        <v>7633</v>
      </c>
      <c r="G1424" s="5" t="s">
        <v>7634</v>
      </c>
      <c r="H1424" s="5" t="s">
        <v>309</v>
      </c>
      <c r="I1424" s="5" t="s">
        <v>1105</v>
      </c>
    </row>
    <row r="1425" customFormat="false" ht="15" hidden="false" customHeight="false" outlineLevel="0" collapsed="false">
      <c r="A1425" s="5" t="s">
        <v>6184</v>
      </c>
      <c r="B1425" s="2" t="s">
        <v>6185</v>
      </c>
      <c r="C1425" s="5" t="s">
        <v>2245</v>
      </c>
      <c r="D1425" s="5" t="s">
        <v>4760</v>
      </c>
      <c r="E1425" s="5" t="s">
        <v>62</v>
      </c>
      <c r="F1425" s="5" t="s">
        <v>7633</v>
      </c>
      <c r="G1425" s="5" t="s">
        <v>7659</v>
      </c>
      <c r="H1425" s="5" t="s">
        <v>372</v>
      </c>
      <c r="I1425" s="5" t="s">
        <v>368</v>
      </c>
    </row>
    <row r="1426" customFormat="false" ht="15" hidden="false" customHeight="false" outlineLevel="0" collapsed="false">
      <c r="A1426" s="5" t="s">
        <v>6189</v>
      </c>
      <c r="B1426" s="2" t="s">
        <v>6190</v>
      </c>
      <c r="C1426" s="5" t="s">
        <v>2245</v>
      </c>
      <c r="D1426" s="5" t="s">
        <v>4760</v>
      </c>
      <c r="E1426" s="5" t="s">
        <v>490</v>
      </c>
      <c r="F1426" s="5" t="s">
        <v>7633</v>
      </c>
      <c r="G1426" s="5" t="s">
        <v>7733</v>
      </c>
      <c r="H1426" s="5"/>
      <c r="I1426" s="5" t="s">
        <v>1160</v>
      </c>
    </row>
    <row r="1427" customFormat="false" ht="15" hidden="false" customHeight="false" outlineLevel="0" collapsed="false">
      <c r="A1427" s="5" t="s">
        <v>6194</v>
      </c>
      <c r="B1427" s="2" t="s">
        <v>6195</v>
      </c>
      <c r="C1427" s="5" t="s">
        <v>2245</v>
      </c>
      <c r="D1427" s="5" t="s">
        <v>4760</v>
      </c>
      <c r="E1427" s="5" t="s">
        <v>62</v>
      </c>
      <c r="F1427" s="5" t="s">
        <v>7633</v>
      </c>
      <c r="G1427" s="5" t="s">
        <v>7832</v>
      </c>
      <c r="H1427" s="5"/>
      <c r="I1427" s="5" t="s">
        <v>3238</v>
      </c>
    </row>
    <row r="1428" customFormat="false" ht="15" hidden="false" customHeight="false" outlineLevel="0" collapsed="false">
      <c r="A1428" s="5" t="s">
        <v>6199</v>
      </c>
      <c r="B1428" s="2" t="s">
        <v>6200</v>
      </c>
      <c r="C1428" s="5" t="s">
        <v>2245</v>
      </c>
      <c r="D1428" s="5" t="s">
        <v>4760</v>
      </c>
      <c r="E1428" s="5" t="s">
        <v>62</v>
      </c>
      <c r="F1428" s="5" t="s">
        <v>7633</v>
      </c>
      <c r="G1428" s="5" t="s">
        <v>7634</v>
      </c>
      <c r="H1428" s="5" t="s">
        <v>309</v>
      </c>
      <c r="I1428" s="5" t="s">
        <v>1105</v>
      </c>
    </row>
    <row r="1429" customFormat="false" ht="23.85" hidden="false" customHeight="false" outlineLevel="0" collapsed="false">
      <c r="A1429" s="5" t="s">
        <v>6204</v>
      </c>
      <c r="B1429" s="2" t="s">
        <v>6205</v>
      </c>
      <c r="C1429" s="5" t="s">
        <v>2245</v>
      </c>
      <c r="D1429" s="5" t="s">
        <v>4760</v>
      </c>
      <c r="E1429" s="5" t="s">
        <v>62</v>
      </c>
      <c r="F1429" s="5" t="s">
        <v>7633</v>
      </c>
      <c r="G1429" s="5" t="s">
        <v>7634</v>
      </c>
      <c r="H1429" s="5" t="s">
        <v>309</v>
      </c>
      <c r="I1429" s="5" t="s">
        <v>1105</v>
      </c>
    </row>
    <row r="1430" customFormat="false" ht="15" hidden="false" customHeight="false" outlineLevel="0" collapsed="false">
      <c r="A1430" s="5" t="s">
        <v>6209</v>
      </c>
      <c r="B1430" s="2" t="s">
        <v>6210</v>
      </c>
      <c r="C1430" s="5" t="s">
        <v>2128</v>
      </c>
      <c r="D1430" s="5" t="s">
        <v>4760</v>
      </c>
      <c r="E1430" s="5" t="s">
        <v>62</v>
      </c>
      <c r="F1430" s="5" t="s">
        <v>7633</v>
      </c>
      <c r="G1430" s="5" t="s">
        <v>7634</v>
      </c>
      <c r="H1430" s="5" t="s">
        <v>309</v>
      </c>
      <c r="I1430" s="5" t="s">
        <v>1105</v>
      </c>
    </row>
    <row r="1431" customFormat="false" ht="15" hidden="false" customHeight="false" outlineLevel="0" collapsed="false">
      <c r="A1431" s="5" t="s">
        <v>6214</v>
      </c>
      <c r="B1431" s="2" t="s">
        <v>6215</v>
      </c>
      <c r="C1431" s="5" t="s">
        <v>2245</v>
      </c>
      <c r="D1431" s="5" t="s">
        <v>4760</v>
      </c>
      <c r="E1431" s="5" t="s">
        <v>490</v>
      </c>
      <c r="F1431" s="5" t="s">
        <v>7633</v>
      </c>
      <c r="G1431" s="5" t="s">
        <v>7634</v>
      </c>
      <c r="H1431" s="5" t="s">
        <v>309</v>
      </c>
      <c r="I1431" s="5" t="s">
        <v>1105</v>
      </c>
    </row>
    <row r="1432" customFormat="false" ht="23.85" hidden="false" customHeight="false" outlineLevel="0" collapsed="false">
      <c r="A1432" s="5" t="s">
        <v>6220</v>
      </c>
      <c r="B1432" s="2" t="s">
        <v>6221</v>
      </c>
      <c r="C1432" s="5" t="s">
        <v>2245</v>
      </c>
      <c r="D1432" s="5" t="s">
        <v>4760</v>
      </c>
      <c r="E1432" s="5" t="s">
        <v>62</v>
      </c>
      <c r="F1432" s="5" t="s">
        <v>7721</v>
      </c>
      <c r="G1432" s="5" t="s">
        <v>8210</v>
      </c>
      <c r="H1432" s="5"/>
      <c r="I1432" s="5" t="s">
        <v>6223</v>
      </c>
    </row>
    <row r="1433" customFormat="false" ht="23.85" hidden="false" customHeight="false" outlineLevel="0" collapsed="false">
      <c r="A1433" s="5" t="s">
        <v>6229</v>
      </c>
      <c r="B1433" s="2" t="s">
        <v>6230</v>
      </c>
      <c r="C1433" s="5" t="s">
        <v>2245</v>
      </c>
      <c r="D1433" s="5" t="s">
        <v>4760</v>
      </c>
      <c r="E1433" s="5" t="s">
        <v>62</v>
      </c>
      <c r="F1433" s="5" t="s">
        <v>7633</v>
      </c>
      <c r="G1433" s="5" t="s">
        <v>7634</v>
      </c>
      <c r="H1433" s="5" t="s">
        <v>309</v>
      </c>
      <c r="I1433" s="5" t="s">
        <v>1105</v>
      </c>
    </row>
    <row r="1434" customFormat="false" ht="23.85" hidden="false" customHeight="false" outlineLevel="0" collapsed="false">
      <c r="A1434" s="5" t="s">
        <v>6234</v>
      </c>
      <c r="B1434" s="2" t="s">
        <v>6235</v>
      </c>
      <c r="C1434" s="5" t="s">
        <v>2245</v>
      </c>
      <c r="D1434" s="5" t="s">
        <v>4760</v>
      </c>
      <c r="E1434" s="5" t="s">
        <v>62</v>
      </c>
      <c r="F1434" s="5" t="s">
        <v>7633</v>
      </c>
      <c r="G1434" s="5" t="s">
        <v>7835</v>
      </c>
      <c r="H1434" s="5" t="s">
        <v>1225</v>
      </c>
      <c r="I1434" s="5" t="s">
        <v>3327</v>
      </c>
    </row>
    <row r="1435" customFormat="false" ht="15" hidden="false" customHeight="false" outlineLevel="0" collapsed="false">
      <c r="A1435" s="5" t="s">
        <v>6239</v>
      </c>
      <c r="B1435" s="2" t="s">
        <v>6240</v>
      </c>
      <c r="C1435" s="5" t="s">
        <v>2245</v>
      </c>
      <c r="D1435" s="5" t="s">
        <v>4760</v>
      </c>
      <c r="E1435" s="5" t="s">
        <v>490</v>
      </c>
      <c r="F1435" s="5" t="s">
        <v>7721</v>
      </c>
      <c r="G1435" s="5" t="s">
        <v>7748</v>
      </c>
      <c r="H1435" s="5"/>
      <c r="I1435" s="5" t="s">
        <v>6242</v>
      </c>
    </row>
    <row r="1436" customFormat="false" ht="23.85" hidden="false" customHeight="false" outlineLevel="0" collapsed="false">
      <c r="A1436" s="5" t="s">
        <v>6247</v>
      </c>
      <c r="B1436" s="2" t="s">
        <v>6248</v>
      </c>
      <c r="C1436" s="5" t="s">
        <v>2245</v>
      </c>
      <c r="D1436" s="5" t="s">
        <v>4760</v>
      </c>
      <c r="E1436" s="5" t="s">
        <v>62</v>
      </c>
      <c r="F1436" s="5" t="s">
        <v>7633</v>
      </c>
      <c r="G1436" s="5" t="s">
        <v>7733</v>
      </c>
      <c r="H1436" s="5"/>
      <c r="I1436" s="5" t="s">
        <v>1160</v>
      </c>
    </row>
    <row r="1437" customFormat="false" ht="15" hidden="false" customHeight="false" outlineLevel="0" collapsed="false">
      <c r="A1437" s="5" t="s">
        <v>6258</v>
      </c>
      <c r="B1437" s="2" t="s">
        <v>6259</v>
      </c>
      <c r="C1437" s="5" t="s">
        <v>2128</v>
      </c>
      <c r="D1437" s="5" t="s">
        <v>4760</v>
      </c>
      <c r="E1437" s="5" t="s">
        <v>62</v>
      </c>
      <c r="F1437" s="5" t="s">
        <v>7633</v>
      </c>
      <c r="G1437" s="5" t="s">
        <v>7634</v>
      </c>
      <c r="H1437" s="5" t="s">
        <v>309</v>
      </c>
      <c r="I1437" s="5" t="s">
        <v>1105</v>
      </c>
    </row>
    <row r="1438" customFormat="false" ht="15" hidden="false" customHeight="false" outlineLevel="0" collapsed="false">
      <c r="A1438" s="5" t="s">
        <v>6263</v>
      </c>
      <c r="B1438" s="2" t="s">
        <v>6264</v>
      </c>
      <c r="C1438" s="5" t="s">
        <v>2128</v>
      </c>
      <c r="D1438" s="5" t="s">
        <v>4760</v>
      </c>
      <c r="E1438" s="5" t="s">
        <v>62</v>
      </c>
      <c r="F1438" s="5" t="s">
        <v>7633</v>
      </c>
      <c r="G1438" s="5" t="s">
        <v>7634</v>
      </c>
      <c r="H1438" s="5" t="s">
        <v>309</v>
      </c>
      <c r="I1438" s="5" t="s">
        <v>1105</v>
      </c>
    </row>
    <row r="1439" customFormat="false" ht="23.85" hidden="false" customHeight="false" outlineLevel="0" collapsed="false">
      <c r="A1439" s="5" t="s">
        <v>6268</v>
      </c>
      <c r="B1439" s="2" t="s">
        <v>6269</v>
      </c>
      <c r="C1439" s="5" t="s">
        <v>2128</v>
      </c>
      <c r="D1439" s="5" t="s">
        <v>4760</v>
      </c>
      <c r="E1439" s="5" t="s">
        <v>62</v>
      </c>
      <c r="F1439" s="5" t="s">
        <v>7633</v>
      </c>
      <c r="G1439" s="5" t="s">
        <v>7634</v>
      </c>
      <c r="H1439" s="5" t="s">
        <v>309</v>
      </c>
      <c r="I1439" s="5" t="s">
        <v>1105</v>
      </c>
    </row>
    <row r="1440" customFormat="false" ht="15" hidden="false" customHeight="false" outlineLevel="0" collapsed="false">
      <c r="A1440" s="5" t="s">
        <v>6274</v>
      </c>
      <c r="B1440" s="2" t="s">
        <v>6275</v>
      </c>
      <c r="C1440" s="5" t="s">
        <v>2128</v>
      </c>
      <c r="D1440" s="5" t="s">
        <v>4760</v>
      </c>
      <c r="E1440" s="5" t="s">
        <v>62</v>
      </c>
      <c r="F1440" s="5" t="s">
        <v>7721</v>
      </c>
      <c r="G1440" s="5" t="s">
        <v>8211</v>
      </c>
      <c r="H1440" s="5"/>
      <c r="I1440" s="5" t="s">
        <v>6277</v>
      </c>
    </row>
    <row r="1441" customFormat="false" ht="23.85" hidden="false" customHeight="false" outlineLevel="0" collapsed="false">
      <c r="A1441" s="5" t="s">
        <v>6283</v>
      </c>
      <c r="B1441" s="2" t="s">
        <v>6284</v>
      </c>
      <c r="C1441" s="5" t="s">
        <v>2245</v>
      </c>
      <c r="D1441" s="5" t="s">
        <v>4760</v>
      </c>
      <c r="E1441" s="5" t="s">
        <v>62</v>
      </c>
      <c r="F1441" s="5" t="s">
        <v>7633</v>
      </c>
      <c r="G1441" s="5" t="s">
        <v>7837</v>
      </c>
      <c r="H1441" s="5"/>
      <c r="I1441" s="5" t="s">
        <v>3373</v>
      </c>
    </row>
    <row r="1442" customFormat="false" ht="23.85" hidden="false" customHeight="false" outlineLevel="0" collapsed="false">
      <c r="A1442" s="5" t="s">
        <v>6289</v>
      </c>
      <c r="B1442" s="2" t="s">
        <v>6290</v>
      </c>
      <c r="C1442" s="5" t="s">
        <v>2245</v>
      </c>
      <c r="D1442" s="5" t="s">
        <v>4760</v>
      </c>
      <c r="E1442" s="5" t="s">
        <v>62</v>
      </c>
      <c r="F1442" s="5" t="s">
        <v>7633</v>
      </c>
      <c r="G1442" s="5" t="s">
        <v>8212</v>
      </c>
      <c r="H1442" s="5"/>
      <c r="I1442" s="5" t="s">
        <v>6291</v>
      </c>
    </row>
    <row r="1443" customFormat="false" ht="23.85" hidden="false" customHeight="false" outlineLevel="0" collapsed="false">
      <c r="A1443" s="5" t="s">
        <v>6297</v>
      </c>
      <c r="B1443" s="2" t="s">
        <v>6298</v>
      </c>
      <c r="C1443" s="5" t="s">
        <v>2128</v>
      </c>
      <c r="D1443" s="5" t="s">
        <v>4760</v>
      </c>
      <c r="E1443" s="5" t="s">
        <v>62</v>
      </c>
      <c r="F1443" s="5" t="s">
        <v>7633</v>
      </c>
      <c r="G1443" s="5" t="s">
        <v>7733</v>
      </c>
      <c r="H1443" s="5"/>
      <c r="I1443" s="5" t="s">
        <v>1160</v>
      </c>
    </row>
    <row r="1444" customFormat="false" ht="35.05" hidden="false" customHeight="false" outlineLevel="0" collapsed="false">
      <c r="A1444" s="5" t="s">
        <v>6302</v>
      </c>
      <c r="B1444" s="2" t="s">
        <v>6303</v>
      </c>
      <c r="C1444" s="5" t="s">
        <v>2128</v>
      </c>
      <c r="D1444" s="5" t="s">
        <v>4760</v>
      </c>
      <c r="E1444" s="5" t="s">
        <v>62</v>
      </c>
      <c r="F1444" s="5" t="s">
        <v>7633</v>
      </c>
      <c r="G1444" s="5" t="s">
        <v>7735</v>
      </c>
      <c r="H1444" s="5"/>
      <c r="I1444" s="5" t="s">
        <v>1212</v>
      </c>
    </row>
    <row r="1445" customFormat="false" ht="23.85" hidden="false" customHeight="false" outlineLevel="0" collapsed="false">
      <c r="A1445" s="5" t="s">
        <v>6307</v>
      </c>
      <c r="B1445" s="2" t="s">
        <v>6308</v>
      </c>
      <c r="C1445" s="5" t="s">
        <v>2245</v>
      </c>
      <c r="D1445" s="5" t="s">
        <v>4760</v>
      </c>
      <c r="E1445" s="5" t="s">
        <v>62</v>
      </c>
      <c r="F1445" s="5" t="s">
        <v>7633</v>
      </c>
      <c r="G1445" s="5" t="s">
        <v>7634</v>
      </c>
      <c r="H1445" s="5" t="s">
        <v>309</v>
      </c>
      <c r="I1445" s="5" t="s">
        <v>1105</v>
      </c>
    </row>
    <row r="1446" customFormat="false" ht="23.85" hidden="false" customHeight="false" outlineLevel="0" collapsed="false">
      <c r="A1446" s="5" t="s">
        <v>6312</v>
      </c>
      <c r="B1446" s="2" t="s">
        <v>6313</v>
      </c>
      <c r="C1446" s="5" t="s">
        <v>2245</v>
      </c>
      <c r="D1446" s="5" t="s">
        <v>4760</v>
      </c>
      <c r="E1446" s="5" t="s">
        <v>490</v>
      </c>
      <c r="F1446" s="5" t="s">
        <v>7633</v>
      </c>
      <c r="G1446" s="5" t="s">
        <v>7634</v>
      </c>
      <c r="H1446" s="5" t="s">
        <v>309</v>
      </c>
      <c r="I1446" s="5" t="s">
        <v>1105</v>
      </c>
    </row>
    <row r="1447" customFormat="false" ht="15" hidden="false" customHeight="false" outlineLevel="0" collapsed="false">
      <c r="A1447" s="5" t="s">
        <v>6317</v>
      </c>
      <c r="B1447" s="2" t="s">
        <v>6318</v>
      </c>
      <c r="C1447" s="5" t="s">
        <v>2128</v>
      </c>
      <c r="D1447" s="5" t="s">
        <v>4760</v>
      </c>
      <c r="E1447" s="5" t="s">
        <v>62</v>
      </c>
      <c r="F1447" s="5" t="s">
        <v>7633</v>
      </c>
      <c r="G1447" s="5" t="s">
        <v>7634</v>
      </c>
      <c r="H1447" s="5" t="s">
        <v>309</v>
      </c>
      <c r="I1447" s="5" t="s">
        <v>1105</v>
      </c>
    </row>
    <row r="1448" customFormat="false" ht="23.85" hidden="false" customHeight="false" outlineLevel="0" collapsed="false">
      <c r="A1448" s="5" t="s">
        <v>6323</v>
      </c>
      <c r="B1448" s="2" t="s">
        <v>6324</v>
      </c>
      <c r="C1448" s="5" t="s">
        <v>2245</v>
      </c>
      <c r="D1448" s="5" t="s">
        <v>4760</v>
      </c>
      <c r="E1448" s="5" t="s">
        <v>62</v>
      </c>
      <c r="F1448" s="5" t="s">
        <v>7635</v>
      </c>
      <c r="G1448" s="5" t="s">
        <v>7636</v>
      </c>
      <c r="H1448" s="5" t="s">
        <v>3134</v>
      </c>
      <c r="I1448" s="5" t="s">
        <v>3130</v>
      </c>
    </row>
    <row r="1449" customFormat="false" ht="23.85" hidden="false" customHeight="false" outlineLevel="0" collapsed="false">
      <c r="A1449" s="5" t="s">
        <v>6328</v>
      </c>
      <c r="B1449" s="2" t="s">
        <v>6329</v>
      </c>
      <c r="C1449" s="5" t="s">
        <v>2245</v>
      </c>
      <c r="D1449" s="5" t="s">
        <v>4760</v>
      </c>
      <c r="E1449" s="5" t="s">
        <v>490</v>
      </c>
      <c r="F1449" s="5" t="s">
        <v>7633</v>
      </c>
      <c r="G1449" s="5" t="s">
        <v>7634</v>
      </c>
      <c r="H1449" s="5" t="s">
        <v>309</v>
      </c>
      <c r="I1449" s="5" t="s">
        <v>1105</v>
      </c>
    </row>
    <row r="1450" customFormat="false" ht="23.85" hidden="false" customHeight="false" outlineLevel="0" collapsed="false">
      <c r="A1450" s="5" t="s">
        <v>6333</v>
      </c>
      <c r="B1450" s="2" t="s">
        <v>6334</v>
      </c>
      <c r="C1450" s="5" t="s">
        <v>2245</v>
      </c>
      <c r="D1450" s="5" t="s">
        <v>4760</v>
      </c>
      <c r="E1450" s="5" t="s">
        <v>62</v>
      </c>
      <c r="F1450" s="5" t="s">
        <v>7633</v>
      </c>
      <c r="G1450" s="5" t="s">
        <v>7634</v>
      </c>
      <c r="H1450" s="5" t="s">
        <v>309</v>
      </c>
      <c r="I1450" s="5" t="s">
        <v>1105</v>
      </c>
    </row>
    <row r="1451" customFormat="false" ht="23.85" hidden="false" customHeight="false" outlineLevel="0" collapsed="false">
      <c r="A1451" s="5" t="s">
        <v>6338</v>
      </c>
      <c r="B1451" s="2" t="s">
        <v>6339</v>
      </c>
      <c r="C1451" s="5" t="s">
        <v>2245</v>
      </c>
      <c r="D1451" s="5" t="s">
        <v>4760</v>
      </c>
      <c r="E1451" s="5" t="s">
        <v>490</v>
      </c>
      <c r="F1451" s="5" t="s">
        <v>7633</v>
      </c>
      <c r="G1451" s="5" t="s">
        <v>7733</v>
      </c>
      <c r="H1451" s="5"/>
      <c r="I1451" s="5" t="s">
        <v>1160</v>
      </c>
    </row>
    <row r="1452" customFormat="false" ht="23.85" hidden="false" customHeight="false" outlineLevel="0" collapsed="false">
      <c r="A1452" s="5" t="s">
        <v>6343</v>
      </c>
      <c r="B1452" s="2" t="s">
        <v>6344</v>
      </c>
      <c r="C1452" s="5" t="s">
        <v>2245</v>
      </c>
      <c r="D1452" s="5" t="s">
        <v>4760</v>
      </c>
      <c r="E1452" s="5" t="s">
        <v>62</v>
      </c>
      <c r="F1452" s="5" t="s">
        <v>7633</v>
      </c>
      <c r="G1452" s="5" t="s">
        <v>7659</v>
      </c>
      <c r="H1452" s="5" t="s">
        <v>372</v>
      </c>
      <c r="I1452" s="5" t="s">
        <v>368</v>
      </c>
    </row>
    <row r="1453" customFormat="false" ht="23.85" hidden="false" customHeight="false" outlineLevel="0" collapsed="false">
      <c r="A1453" s="5" t="s">
        <v>6348</v>
      </c>
      <c r="B1453" s="2" t="s">
        <v>6349</v>
      </c>
      <c r="C1453" s="5" t="s">
        <v>2245</v>
      </c>
      <c r="D1453" s="5" t="s">
        <v>4760</v>
      </c>
      <c r="E1453" s="5" t="s">
        <v>62</v>
      </c>
      <c r="F1453" s="5" t="s">
        <v>7635</v>
      </c>
      <c r="G1453" s="5" t="s">
        <v>7636</v>
      </c>
      <c r="H1453" s="5" t="s">
        <v>3134</v>
      </c>
      <c r="I1453" s="5" t="s">
        <v>3130</v>
      </c>
    </row>
    <row r="1454" customFormat="false" ht="15" hidden="false" customHeight="false" outlineLevel="0" collapsed="false">
      <c r="A1454" s="5" t="s">
        <v>6353</v>
      </c>
      <c r="B1454" s="2" t="s">
        <v>6354</v>
      </c>
      <c r="C1454" s="5" t="s">
        <v>2245</v>
      </c>
      <c r="D1454" s="5" t="s">
        <v>4760</v>
      </c>
      <c r="E1454" s="5" t="s">
        <v>490</v>
      </c>
      <c r="F1454" s="5" t="s">
        <v>7633</v>
      </c>
      <c r="G1454" s="5" t="s">
        <v>7634</v>
      </c>
      <c r="H1454" s="5" t="s">
        <v>309</v>
      </c>
      <c r="I1454" s="5" t="s">
        <v>1105</v>
      </c>
    </row>
    <row r="1455" customFormat="false" ht="23.85" hidden="false" customHeight="false" outlineLevel="0" collapsed="false">
      <c r="A1455" s="5" t="s">
        <v>6358</v>
      </c>
      <c r="B1455" s="2" t="s">
        <v>6359</v>
      </c>
      <c r="C1455" s="5" t="s">
        <v>2128</v>
      </c>
      <c r="D1455" s="5" t="s">
        <v>4760</v>
      </c>
      <c r="E1455" s="5" t="s">
        <v>62</v>
      </c>
      <c r="F1455" s="5" t="s">
        <v>7633</v>
      </c>
      <c r="G1455" s="5" t="s">
        <v>7733</v>
      </c>
      <c r="H1455" s="5"/>
      <c r="I1455" s="5" t="s">
        <v>1160</v>
      </c>
    </row>
    <row r="1456" customFormat="false" ht="23.85" hidden="false" customHeight="false" outlineLevel="0" collapsed="false">
      <c r="A1456" s="5" t="s">
        <v>6363</v>
      </c>
      <c r="B1456" s="2" t="s">
        <v>6364</v>
      </c>
      <c r="C1456" s="5" t="s">
        <v>2245</v>
      </c>
      <c r="D1456" s="5" t="s">
        <v>4760</v>
      </c>
      <c r="E1456" s="5" t="s">
        <v>490</v>
      </c>
      <c r="F1456" s="5" t="s">
        <v>7633</v>
      </c>
      <c r="G1456" s="5" t="s">
        <v>7634</v>
      </c>
      <c r="H1456" s="5" t="s">
        <v>309</v>
      </c>
      <c r="I1456" s="5" t="s">
        <v>1105</v>
      </c>
    </row>
    <row r="1457" customFormat="false" ht="15" hidden="false" customHeight="false" outlineLevel="0" collapsed="false">
      <c r="A1457" s="5" t="s">
        <v>6368</v>
      </c>
      <c r="B1457" s="2" t="s">
        <v>6369</v>
      </c>
      <c r="C1457" s="5" t="s">
        <v>2245</v>
      </c>
      <c r="D1457" s="5" t="s">
        <v>4760</v>
      </c>
      <c r="E1457" s="5" t="s">
        <v>490</v>
      </c>
      <c r="F1457" s="5" t="s">
        <v>7633</v>
      </c>
      <c r="G1457" s="5" t="s">
        <v>7634</v>
      </c>
      <c r="H1457" s="5" t="s">
        <v>309</v>
      </c>
      <c r="I1457" s="5" t="s">
        <v>1105</v>
      </c>
    </row>
    <row r="1458" customFormat="false" ht="23.85" hidden="false" customHeight="false" outlineLevel="0" collapsed="false">
      <c r="A1458" s="5" t="s">
        <v>6373</v>
      </c>
      <c r="B1458" s="2" t="s">
        <v>6374</v>
      </c>
      <c r="C1458" s="5" t="s">
        <v>2245</v>
      </c>
      <c r="D1458" s="5" t="s">
        <v>4760</v>
      </c>
      <c r="E1458" s="5" t="s">
        <v>490</v>
      </c>
      <c r="F1458" s="5" t="s">
        <v>7633</v>
      </c>
      <c r="G1458" s="5" t="s">
        <v>7634</v>
      </c>
      <c r="H1458" s="5" t="s">
        <v>309</v>
      </c>
      <c r="I1458" s="5" t="s">
        <v>1105</v>
      </c>
    </row>
    <row r="1459" customFormat="false" ht="23.85" hidden="false" customHeight="false" outlineLevel="0" collapsed="false">
      <c r="A1459" s="5" t="s">
        <v>6378</v>
      </c>
      <c r="B1459" s="2" t="s">
        <v>6379</v>
      </c>
      <c r="C1459" s="5" t="s">
        <v>2245</v>
      </c>
      <c r="D1459" s="5" t="s">
        <v>4760</v>
      </c>
      <c r="E1459" s="5" t="s">
        <v>62</v>
      </c>
      <c r="F1459" s="5" t="s">
        <v>7633</v>
      </c>
      <c r="G1459" s="5" t="s">
        <v>8212</v>
      </c>
      <c r="H1459" s="5"/>
      <c r="I1459" s="5" t="s">
        <v>6291</v>
      </c>
    </row>
    <row r="1460" customFormat="false" ht="23.85" hidden="false" customHeight="false" outlineLevel="0" collapsed="false">
      <c r="A1460" s="5" t="s">
        <v>6384</v>
      </c>
      <c r="B1460" s="2" t="s">
        <v>6385</v>
      </c>
      <c r="C1460" s="5" t="s">
        <v>2128</v>
      </c>
      <c r="D1460" s="5" t="s">
        <v>4760</v>
      </c>
      <c r="E1460" s="5" t="s">
        <v>62</v>
      </c>
      <c r="F1460" s="5" t="s">
        <v>7633</v>
      </c>
      <c r="G1460" s="5" t="s">
        <v>7634</v>
      </c>
      <c r="H1460" s="5" t="s">
        <v>309</v>
      </c>
      <c r="I1460" s="5" t="s">
        <v>1105</v>
      </c>
    </row>
    <row r="1461" customFormat="false" ht="15" hidden="false" customHeight="false" outlineLevel="0" collapsed="false">
      <c r="A1461" s="5" t="s">
        <v>6389</v>
      </c>
      <c r="B1461" s="2" t="s">
        <v>6390</v>
      </c>
      <c r="C1461" s="5" t="s">
        <v>2128</v>
      </c>
      <c r="D1461" s="5" t="s">
        <v>4760</v>
      </c>
      <c r="E1461" s="5" t="s">
        <v>62</v>
      </c>
      <c r="F1461" s="5" t="s">
        <v>7667</v>
      </c>
      <c r="G1461" s="5" t="s">
        <v>7668</v>
      </c>
      <c r="H1461" s="5"/>
      <c r="I1461" s="5" t="s">
        <v>416</v>
      </c>
    </row>
    <row r="1462" customFormat="false" ht="23.85" hidden="false" customHeight="false" outlineLevel="0" collapsed="false">
      <c r="A1462" s="5" t="s">
        <v>6395</v>
      </c>
      <c r="B1462" s="2" t="s">
        <v>6396</v>
      </c>
      <c r="C1462" s="5" t="s">
        <v>2245</v>
      </c>
      <c r="D1462" s="5" t="s">
        <v>4760</v>
      </c>
      <c r="E1462" s="5" t="s">
        <v>490</v>
      </c>
      <c r="F1462" s="5" t="s">
        <v>7633</v>
      </c>
      <c r="G1462" s="5" t="s">
        <v>7634</v>
      </c>
      <c r="H1462" s="5" t="s">
        <v>309</v>
      </c>
      <c r="I1462" s="5" t="s">
        <v>1105</v>
      </c>
    </row>
    <row r="1463" customFormat="false" ht="23.85" hidden="false" customHeight="false" outlineLevel="0" collapsed="false">
      <c r="A1463" s="5" t="s">
        <v>6400</v>
      </c>
      <c r="B1463" s="2" t="s">
        <v>6401</v>
      </c>
      <c r="C1463" s="5" t="s">
        <v>2245</v>
      </c>
      <c r="D1463" s="5" t="s">
        <v>4760</v>
      </c>
      <c r="E1463" s="5" t="s">
        <v>62</v>
      </c>
      <c r="F1463" s="5" t="s">
        <v>7635</v>
      </c>
      <c r="G1463" s="5" t="s">
        <v>7636</v>
      </c>
      <c r="H1463" s="5" t="s">
        <v>3134</v>
      </c>
      <c r="I1463" s="5" t="s">
        <v>3130</v>
      </c>
    </row>
    <row r="1464" customFormat="false" ht="15" hidden="false" customHeight="false" outlineLevel="0" collapsed="false">
      <c r="A1464" s="5" t="s">
        <v>6405</v>
      </c>
      <c r="B1464" s="2" t="s">
        <v>6406</v>
      </c>
      <c r="C1464" s="5" t="s">
        <v>2245</v>
      </c>
      <c r="D1464" s="5" t="s">
        <v>4760</v>
      </c>
      <c r="E1464" s="5" t="s">
        <v>62</v>
      </c>
      <c r="F1464" s="5" t="s">
        <v>7633</v>
      </c>
      <c r="G1464" s="5" t="s">
        <v>7634</v>
      </c>
      <c r="H1464" s="5" t="s">
        <v>309</v>
      </c>
      <c r="I1464" s="5" t="s">
        <v>1105</v>
      </c>
    </row>
    <row r="1465" customFormat="false" ht="23.85" hidden="false" customHeight="false" outlineLevel="0" collapsed="false">
      <c r="A1465" s="5" t="s">
        <v>6410</v>
      </c>
      <c r="B1465" s="2" t="s">
        <v>6411</v>
      </c>
      <c r="C1465" s="5" t="s">
        <v>2245</v>
      </c>
      <c r="D1465" s="5" t="s">
        <v>4760</v>
      </c>
      <c r="E1465" s="5" t="s">
        <v>62</v>
      </c>
      <c r="F1465" s="5" t="s">
        <v>7635</v>
      </c>
      <c r="G1465" s="5" t="s">
        <v>7636</v>
      </c>
      <c r="H1465" s="5" t="s">
        <v>3134</v>
      </c>
      <c r="I1465" s="5" t="s">
        <v>3130</v>
      </c>
    </row>
    <row r="1466" customFormat="false" ht="23.85" hidden="false" customHeight="false" outlineLevel="0" collapsed="false">
      <c r="A1466" s="5" t="s">
        <v>6415</v>
      </c>
      <c r="B1466" s="2" t="s">
        <v>6416</v>
      </c>
      <c r="C1466" s="5" t="s">
        <v>2245</v>
      </c>
      <c r="D1466" s="5" t="s">
        <v>4760</v>
      </c>
      <c r="E1466" s="5" t="s">
        <v>490</v>
      </c>
      <c r="F1466" s="5" t="s">
        <v>7633</v>
      </c>
      <c r="G1466" s="5" t="s">
        <v>7659</v>
      </c>
      <c r="H1466" s="5" t="s">
        <v>372</v>
      </c>
      <c r="I1466" s="5" t="s">
        <v>368</v>
      </c>
    </row>
    <row r="1467" customFormat="false" ht="23.85" hidden="false" customHeight="false" outlineLevel="0" collapsed="false">
      <c r="A1467" s="5" t="s">
        <v>6420</v>
      </c>
      <c r="B1467" s="2" t="s">
        <v>6421</v>
      </c>
      <c r="C1467" s="5" t="s">
        <v>2128</v>
      </c>
      <c r="D1467" s="5" t="s">
        <v>4760</v>
      </c>
      <c r="E1467" s="5" t="s">
        <v>62</v>
      </c>
      <c r="F1467" s="5" t="s">
        <v>7633</v>
      </c>
      <c r="G1467" s="5" t="s">
        <v>7634</v>
      </c>
      <c r="H1467" s="5" t="s">
        <v>309</v>
      </c>
      <c r="I1467" s="5" t="s">
        <v>1105</v>
      </c>
    </row>
    <row r="1468" customFormat="false" ht="23.85" hidden="false" customHeight="false" outlineLevel="0" collapsed="false">
      <c r="A1468" s="5" t="s">
        <v>6425</v>
      </c>
      <c r="B1468" s="2" t="s">
        <v>6426</v>
      </c>
      <c r="C1468" s="5" t="s">
        <v>2245</v>
      </c>
      <c r="D1468" s="5" t="s">
        <v>4760</v>
      </c>
      <c r="E1468" s="5" t="s">
        <v>490</v>
      </c>
      <c r="F1468" s="5" t="s">
        <v>7633</v>
      </c>
      <c r="G1468" s="5" t="s">
        <v>7634</v>
      </c>
      <c r="H1468" s="5" t="s">
        <v>309</v>
      </c>
      <c r="I1468" s="5" t="s">
        <v>1105</v>
      </c>
    </row>
    <row r="1469" customFormat="false" ht="15" hidden="false" customHeight="false" outlineLevel="0" collapsed="false">
      <c r="A1469" s="5" t="s">
        <v>6430</v>
      </c>
      <c r="B1469" s="2" t="s">
        <v>6431</v>
      </c>
      <c r="C1469" s="5" t="s">
        <v>2128</v>
      </c>
      <c r="D1469" s="5" t="s">
        <v>4760</v>
      </c>
      <c r="E1469" s="5" t="s">
        <v>62</v>
      </c>
      <c r="F1469" s="5" t="s">
        <v>7633</v>
      </c>
      <c r="G1469" s="5" t="s">
        <v>7634</v>
      </c>
      <c r="H1469" s="5" t="s">
        <v>309</v>
      </c>
      <c r="I1469" s="5" t="s">
        <v>1105</v>
      </c>
    </row>
    <row r="1470" customFormat="false" ht="15" hidden="false" customHeight="false" outlineLevel="0" collapsed="false">
      <c r="A1470" s="5" t="s">
        <v>6436</v>
      </c>
      <c r="B1470" s="2" t="s">
        <v>6437</v>
      </c>
      <c r="C1470" s="5" t="s">
        <v>2128</v>
      </c>
      <c r="D1470" s="5" t="s">
        <v>4760</v>
      </c>
      <c r="E1470" s="5" t="s">
        <v>62</v>
      </c>
      <c r="F1470" s="5" t="s">
        <v>7633</v>
      </c>
      <c r="G1470" s="5" t="s">
        <v>7634</v>
      </c>
      <c r="H1470" s="5" t="s">
        <v>309</v>
      </c>
      <c r="I1470" s="5" t="s">
        <v>1105</v>
      </c>
    </row>
    <row r="1471" customFormat="false" ht="23.85" hidden="false" customHeight="false" outlineLevel="0" collapsed="false">
      <c r="A1471" s="5" t="s">
        <v>6442</v>
      </c>
      <c r="B1471" s="2" t="s">
        <v>6443</v>
      </c>
      <c r="C1471" s="5" t="s">
        <v>2245</v>
      </c>
      <c r="D1471" s="5" t="s">
        <v>4760</v>
      </c>
      <c r="E1471" s="5" t="s">
        <v>62</v>
      </c>
      <c r="F1471" s="5" t="s">
        <v>7721</v>
      </c>
      <c r="G1471" s="5" t="s">
        <v>8213</v>
      </c>
      <c r="H1471" s="5"/>
      <c r="I1471" s="5" t="s">
        <v>6444</v>
      </c>
    </row>
    <row r="1472" customFormat="false" ht="23.85" hidden="false" customHeight="false" outlineLevel="0" collapsed="false">
      <c r="A1472" s="5" t="s">
        <v>6450</v>
      </c>
      <c r="B1472" s="2" t="s">
        <v>6451</v>
      </c>
      <c r="C1472" s="5" t="s">
        <v>2128</v>
      </c>
      <c r="D1472" s="5" t="s">
        <v>4760</v>
      </c>
      <c r="E1472" s="5" t="s">
        <v>62</v>
      </c>
      <c r="F1472" s="5" t="s">
        <v>7633</v>
      </c>
      <c r="G1472" s="5" t="s">
        <v>7634</v>
      </c>
      <c r="H1472" s="5" t="s">
        <v>309</v>
      </c>
      <c r="I1472" s="5" t="s">
        <v>1105</v>
      </c>
    </row>
    <row r="1473" customFormat="false" ht="23.85" hidden="false" customHeight="false" outlineLevel="0" collapsed="false">
      <c r="A1473" s="5" t="s">
        <v>6455</v>
      </c>
      <c r="B1473" s="2" t="s">
        <v>6456</v>
      </c>
      <c r="C1473" s="5" t="s">
        <v>2128</v>
      </c>
      <c r="D1473" s="5" t="s">
        <v>4760</v>
      </c>
      <c r="E1473" s="5" t="s">
        <v>62</v>
      </c>
      <c r="F1473" s="5" t="s">
        <v>7633</v>
      </c>
      <c r="G1473" s="5" t="s">
        <v>7634</v>
      </c>
      <c r="H1473" s="5" t="s">
        <v>309</v>
      </c>
      <c r="I1473" s="5" t="s">
        <v>1105</v>
      </c>
    </row>
    <row r="1474" customFormat="false" ht="15" hidden="false" customHeight="false" outlineLevel="0" collapsed="false">
      <c r="A1474" s="5" t="s">
        <v>6460</v>
      </c>
      <c r="B1474" s="2" t="s">
        <v>6461</v>
      </c>
      <c r="C1474" s="5" t="s">
        <v>2128</v>
      </c>
      <c r="D1474" s="5" t="s">
        <v>4760</v>
      </c>
      <c r="E1474" s="5" t="s">
        <v>62</v>
      </c>
      <c r="F1474" s="5" t="s">
        <v>7633</v>
      </c>
      <c r="G1474" s="5" t="s">
        <v>7634</v>
      </c>
      <c r="H1474" s="5" t="s">
        <v>309</v>
      </c>
      <c r="I1474" s="5" t="s">
        <v>1105</v>
      </c>
    </row>
    <row r="1475" customFormat="false" ht="15" hidden="false" customHeight="false" outlineLevel="0" collapsed="false">
      <c r="A1475" s="5" t="s">
        <v>6465</v>
      </c>
      <c r="B1475" s="2" t="s">
        <v>6466</v>
      </c>
      <c r="C1475" s="5" t="s">
        <v>2128</v>
      </c>
      <c r="D1475" s="5" t="s">
        <v>4760</v>
      </c>
      <c r="E1475" s="5" t="s">
        <v>62</v>
      </c>
      <c r="F1475" s="5" t="s">
        <v>7633</v>
      </c>
      <c r="G1475" s="5" t="s">
        <v>7634</v>
      </c>
      <c r="H1475" s="5" t="s">
        <v>309</v>
      </c>
      <c r="I1475" s="5" t="s">
        <v>1105</v>
      </c>
    </row>
    <row r="1476" customFormat="false" ht="15" hidden="false" customHeight="false" outlineLevel="0" collapsed="false">
      <c r="A1476" s="5" t="s">
        <v>6470</v>
      </c>
      <c r="B1476" s="2" t="s">
        <v>6471</v>
      </c>
      <c r="C1476" s="5" t="s">
        <v>2245</v>
      </c>
      <c r="D1476" s="5" t="s">
        <v>4760</v>
      </c>
      <c r="E1476" s="5" t="s">
        <v>490</v>
      </c>
      <c r="F1476" s="5" t="s">
        <v>7633</v>
      </c>
      <c r="G1476" s="5" t="s">
        <v>7634</v>
      </c>
      <c r="H1476" s="5" t="s">
        <v>309</v>
      </c>
      <c r="I1476" s="5" t="s">
        <v>1105</v>
      </c>
    </row>
    <row r="1477" customFormat="false" ht="23.85" hidden="false" customHeight="false" outlineLevel="0" collapsed="false">
      <c r="A1477" s="5" t="s">
        <v>6475</v>
      </c>
      <c r="B1477" s="2" t="s">
        <v>6476</v>
      </c>
      <c r="C1477" s="5" t="s">
        <v>2245</v>
      </c>
      <c r="D1477" s="5" t="s">
        <v>4760</v>
      </c>
      <c r="E1477" s="5" t="s">
        <v>490</v>
      </c>
      <c r="F1477" s="5" t="s">
        <v>7721</v>
      </c>
      <c r="G1477" s="5" t="s">
        <v>7757</v>
      </c>
      <c r="H1477" s="5"/>
      <c r="I1477" s="5" t="s">
        <v>8214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0"/>
    <col collapsed="false" customWidth="true" hidden="false" outlineLevel="0" max="3" min="3" style="0" width="20"/>
    <col collapsed="false" customWidth="true" hidden="false" outlineLevel="0" max="5" min="4" style="0" width="10"/>
  </cols>
  <sheetData>
    <row r="1" customFormat="false" ht="31.5" hidden="false" customHeight="true" outlineLevel="0" collapsed="false">
      <c r="A1" s="4" t="s">
        <v>30</v>
      </c>
      <c r="B1" s="4" t="s">
        <v>31</v>
      </c>
      <c r="C1" s="4" t="s">
        <v>32</v>
      </c>
      <c r="D1" s="4" t="s">
        <v>35</v>
      </c>
      <c r="E1" s="4" t="s">
        <v>7616</v>
      </c>
    </row>
    <row r="2" customFormat="false" ht="15" hidden="false" customHeight="false" outlineLevel="0" collapsed="false">
      <c r="A2" s="5" t="s">
        <v>57</v>
      </c>
      <c r="B2" s="2" t="s">
        <v>58</v>
      </c>
      <c r="C2" s="5" t="s">
        <v>59</v>
      </c>
      <c r="D2" s="5" t="s">
        <v>62</v>
      </c>
      <c r="E2" s="5" t="s">
        <v>76</v>
      </c>
    </row>
    <row r="3" customFormat="false" ht="15" hidden="false" customHeight="false" outlineLevel="0" collapsed="false">
      <c r="A3" s="5" t="s">
        <v>79</v>
      </c>
      <c r="B3" s="2" t="s">
        <v>80</v>
      </c>
      <c r="C3" s="5" t="s">
        <v>59</v>
      </c>
      <c r="D3" s="5" t="s">
        <v>62</v>
      </c>
      <c r="E3" s="5" t="s">
        <v>76</v>
      </c>
    </row>
    <row r="4" customFormat="false" ht="23.85" hidden="false" customHeight="false" outlineLevel="0" collapsed="false">
      <c r="A4" s="5" t="s">
        <v>87</v>
      </c>
      <c r="B4" s="2" t="s">
        <v>88</v>
      </c>
      <c r="C4" s="5" t="s">
        <v>59</v>
      </c>
      <c r="D4" s="5" t="s">
        <v>62</v>
      </c>
      <c r="E4" s="5" t="s">
        <v>76</v>
      </c>
    </row>
    <row r="5" customFormat="false" ht="23.85" hidden="false" customHeight="false" outlineLevel="0" collapsed="false">
      <c r="A5" s="5" t="s">
        <v>97</v>
      </c>
      <c r="B5" s="2" t="s">
        <v>98</v>
      </c>
      <c r="C5" s="5" t="s">
        <v>59</v>
      </c>
      <c r="D5" s="5" t="s">
        <v>62</v>
      </c>
      <c r="E5" s="5" t="s">
        <v>105</v>
      </c>
    </row>
    <row r="6" customFormat="false" ht="15" hidden="false" customHeight="false" outlineLevel="0" collapsed="false">
      <c r="A6" s="5" t="s">
        <v>108</v>
      </c>
      <c r="B6" s="2" t="s">
        <v>109</v>
      </c>
      <c r="C6" s="5" t="s">
        <v>59</v>
      </c>
      <c r="D6" s="5" t="s">
        <v>62</v>
      </c>
      <c r="E6" s="5" t="s">
        <v>76</v>
      </c>
    </row>
    <row r="7" customFormat="false" ht="15" hidden="false" customHeight="false" outlineLevel="0" collapsed="false">
      <c r="A7" s="5" t="s">
        <v>114</v>
      </c>
      <c r="B7" s="2" t="s">
        <v>115</v>
      </c>
      <c r="C7" s="5" t="s">
        <v>59</v>
      </c>
      <c r="D7" s="5" t="s">
        <v>62</v>
      </c>
      <c r="E7" s="5" t="s">
        <v>76</v>
      </c>
    </row>
    <row r="8" customFormat="false" ht="23.85" hidden="false" customHeight="false" outlineLevel="0" collapsed="false">
      <c r="A8" s="5" t="s">
        <v>121</v>
      </c>
      <c r="B8" s="2" t="s">
        <v>122</v>
      </c>
      <c r="C8" s="5" t="s">
        <v>59</v>
      </c>
      <c r="D8" s="5" t="s">
        <v>62</v>
      </c>
      <c r="E8" s="5" t="s">
        <v>76</v>
      </c>
    </row>
    <row r="9" customFormat="false" ht="15" hidden="false" customHeight="false" outlineLevel="0" collapsed="false">
      <c r="A9" s="5" t="s">
        <v>129</v>
      </c>
      <c r="B9" s="2" t="s">
        <v>130</v>
      </c>
      <c r="C9" s="5" t="s">
        <v>59</v>
      </c>
      <c r="D9" s="5" t="s">
        <v>62</v>
      </c>
      <c r="E9" s="5" t="s">
        <v>76</v>
      </c>
    </row>
    <row r="10" customFormat="false" ht="15" hidden="false" customHeight="false" outlineLevel="0" collapsed="false">
      <c r="A10" s="5" t="s">
        <v>134</v>
      </c>
      <c r="B10" s="2" t="s">
        <v>135</v>
      </c>
      <c r="C10" s="5" t="s">
        <v>59</v>
      </c>
      <c r="D10" s="5" t="s">
        <v>62</v>
      </c>
      <c r="E10" s="5" t="s">
        <v>76</v>
      </c>
    </row>
    <row r="11" customFormat="false" ht="23.85" hidden="false" customHeight="false" outlineLevel="0" collapsed="false">
      <c r="A11" s="5" t="s">
        <v>139</v>
      </c>
      <c r="B11" s="2" t="s">
        <v>140</v>
      </c>
      <c r="C11" s="5" t="s">
        <v>59</v>
      </c>
      <c r="D11" s="5" t="s">
        <v>62</v>
      </c>
      <c r="E11" s="5" t="s">
        <v>76</v>
      </c>
    </row>
    <row r="12" customFormat="false" ht="15" hidden="false" customHeight="false" outlineLevel="0" collapsed="false">
      <c r="A12" s="5" t="s">
        <v>144</v>
      </c>
      <c r="B12" s="2" t="s">
        <v>145</v>
      </c>
      <c r="C12" s="5" t="s">
        <v>59</v>
      </c>
      <c r="D12" s="5" t="s">
        <v>62</v>
      </c>
      <c r="E12" s="5" t="s">
        <v>76</v>
      </c>
    </row>
    <row r="13" customFormat="false" ht="23.85" hidden="false" customHeight="false" outlineLevel="0" collapsed="false">
      <c r="A13" s="5" t="s">
        <v>180</v>
      </c>
      <c r="B13" s="2" t="s">
        <v>181</v>
      </c>
      <c r="C13" s="5" t="s">
        <v>59</v>
      </c>
      <c r="D13" s="5" t="s">
        <v>62</v>
      </c>
      <c r="E13" s="5" t="s">
        <v>192</v>
      </c>
    </row>
    <row r="14" customFormat="false" ht="23.85" hidden="false" customHeight="false" outlineLevel="0" collapsed="false">
      <c r="A14" s="5" t="s">
        <v>195</v>
      </c>
      <c r="B14" s="2" t="s">
        <v>196</v>
      </c>
      <c r="C14" s="5" t="s">
        <v>59</v>
      </c>
      <c r="D14" s="5" t="s">
        <v>62</v>
      </c>
      <c r="E14" s="5" t="s">
        <v>309</v>
      </c>
    </row>
    <row r="15" customFormat="false" ht="23.85" hidden="false" customHeight="false" outlineLevel="0" collapsed="false">
      <c r="A15" s="5" t="s">
        <v>195</v>
      </c>
      <c r="B15" s="2" t="s">
        <v>196</v>
      </c>
      <c r="C15" s="5" t="s">
        <v>59</v>
      </c>
      <c r="D15" s="5" t="s">
        <v>62</v>
      </c>
      <c r="E15" s="5" t="s">
        <v>3134</v>
      </c>
    </row>
    <row r="16" customFormat="false" ht="23.85" hidden="false" customHeight="false" outlineLevel="0" collapsed="false">
      <c r="A16" s="5" t="s">
        <v>206</v>
      </c>
      <c r="B16" s="2" t="s">
        <v>207</v>
      </c>
      <c r="C16" s="5" t="s">
        <v>59</v>
      </c>
      <c r="D16" s="5" t="s">
        <v>62</v>
      </c>
      <c r="E16" s="5" t="s">
        <v>214</v>
      </c>
    </row>
    <row r="17" customFormat="false" ht="23.85" hidden="false" customHeight="false" outlineLevel="0" collapsed="false">
      <c r="A17" s="5" t="s">
        <v>217</v>
      </c>
      <c r="B17" s="2" t="s">
        <v>218</v>
      </c>
      <c r="C17" s="5" t="s">
        <v>59</v>
      </c>
      <c r="D17" s="5" t="s">
        <v>62</v>
      </c>
      <c r="E17" s="5" t="s">
        <v>214</v>
      </c>
    </row>
    <row r="18" customFormat="false" ht="23.85" hidden="false" customHeight="false" outlineLevel="0" collapsed="false">
      <c r="A18" s="5" t="s">
        <v>222</v>
      </c>
      <c r="B18" s="2" t="s">
        <v>223</v>
      </c>
      <c r="C18" s="5" t="s">
        <v>59</v>
      </c>
      <c r="D18" s="5" t="s">
        <v>62</v>
      </c>
      <c r="E18" s="5" t="s">
        <v>309</v>
      </c>
    </row>
    <row r="19" customFormat="false" ht="23.85" hidden="false" customHeight="false" outlineLevel="0" collapsed="false">
      <c r="A19" s="5" t="s">
        <v>222</v>
      </c>
      <c r="B19" s="2" t="s">
        <v>223</v>
      </c>
      <c r="C19" s="5" t="s">
        <v>59</v>
      </c>
      <c r="D19" s="5" t="s">
        <v>62</v>
      </c>
      <c r="E19" s="5" t="s">
        <v>3134</v>
      </c>
    </row>
    <row r="20" customFormat="false" ht="23.85" hidden="false" customHeight="false" outlineLevel="0" collapsed="false">
      <c r="A20" s="5" t="s">
        <v>227</v>
      </c>
      <c r="B20" s="2" t="s">
        <v>228</v>
      </c>
      <c r="C20" s="5" t="s">
        <v>59</v>
      </c>
      <c r="D20" s="5" t="s">
        <v>62</v>
      </c>
      <c r="E20" s="5" t="s">
        <v>214</v>
      </c>
    </row>
    <row r="21" customFormat="false" ht="23.85" hidden="false" customHeight="false" outlineLevel="0" collapsed="false">
      <c r="A21" s="5" t="s">
        <v>233</v>
      </c>
      <c r="B21" s="2" t="s">
        <v>234</v>
      </c>
      <c r="C21" s="5" t="s">
        <v>59</v>
      </c>
      <c r="D21" s="5" t="s">
        <v>62</v>
      </c>
      <c r="E21" s="5" t="s">
        <v>214</v>
      </c>
    </row>
    <row r="22" customFormat="false" ht="23.85" hidden="false" customHeight="false" outlineLevel="0" collapsed="false">
      <c r="A22" s="5" t="s">
        <v>238</v>
      </c>
      <c r="B22" s="2" t="s">
        <v>239</v>
      </c>
      <c r="C22" s="5" t="s">
        <v>59</v>
      </c>
      <c r="D22" s="5" t="s">
        <v>62</v>
      </c>
      <c r="E22" s="5" t="s">
        <v>214</v>
      </c>
    </row>
    <row r="23" customFormat="false" ht="23.85" hidden="false" customHeight="false" outlineLevel="0" collapsed="false">
      <c r="A23" s="5" t="s">
        <v>244</v>
      </c>
      <c r="B23" s="2" t="s">
        <v>245</v>
      </c>
      <c r="C23" s="5" t="s">
        <v>59</v>
      </c>
      <c r="D23" s="5" t="s">
        <v>62</v>
      </c>
      <c r="E23" s="5" t="s">
        <v>249</v>
      </c>
    </row>
    <row r="24" customFormat="false" ht="15" hidden="false" customHeight="false" outlineLevel="0" collapsed="false">
      <c r="A24" s="5" t="s">
        <v>262</v>
      </c>
      <c r="B24" s="2" t="s">
        <v>263</v>
      </c>
      <c r="C24" s="5" t="s">
        <v>59</v>
      </c>
      <c r="D24" s="5" t="s">
        <v>62</v>
      </c>
      <c r="E24" s="5" t="s">
        <v>214</v>
      </c>
    </row>
    <row r="25" customFormat="false" ht="15" hidden="false" customHeight="false" outlineLevel="0" collapsed="false">
      <c r="A25" s="5" t="s">
        <v>267</v>
      </c>
      <c r="B25" s="2" t="s">
        <v>268</v>
      </c>
      <c r="C25" s="5" t="s">
        <v>59</v>
      </c>
      <c r="D25" s="5" t="s">
        <v>62</v>
      </c>
      <c r="E25" s="5" t="s">
        <v>309</v>
      </c>
    </row>
    <row r="26" customFormat="false" ht="15" hidden="false" customHeight="false" outlineLevel="0" collapsed="false">
      <c r="A26" s="5" t="s">
        <v>267</v>
      </c>
      <c r="B26" s="2" t="s">
        <v>268</v>
      </c>
      <c r="C26" s="5" t="s">
        <v>59</v>
      </c>
      <c r="D26" s="5" t="s">
        <v>62</v>
      </c>
      <c r="E26" s="5" t="s">
        <v>3134</v>
      </c>
    </row>
    <row r="27" customFormat="false" ht="23.85" hidden="false" customHeight="false" outlineLevel="0" collapsed="false">
      <c r="A27" s="5" t="s">
        <v>274</v>
      </c>
      <c r="B27" s="2" t="s">
        <v>275</v>
      </c>
      <c r="C27" s="5" t="s">
        <v>59</v>
      </c>
      <c r="D27" s="5" t="s">
        <v>62</v>
      </c>
      <c r="E27" s="5" t="s">
        <v>309</v>
      </c>
    </row>
    <row r="28" customFormat="false" ht="23.85" hidden="false" customHeight="false" outlineLevel="0" collapsed="false">
      <c r="A28" s="5" t="s">
        <v>274</v>
      </c>
      <c r="B28" s="2" t="s">
        <v>275</v>
      </c>
      <c r="C28" s="5" t="s">
        <v>59</v>
      </c>
      <c r="D28" s="5" t="s">
        <v>62</v>
      </c>
      <c r="E28" s="5" t="s">
        <v>3134</v>
      </c>
    </row>
    <row r="29" customFormat="false" ht="15" hidden="false" customHeight="false" outlineLevel="0" collapsed="false">
      <c r="A29" s="5" t="s">
        <v>282</v>
      </c>
      <c r="B29" s="2" t="s">
        <v>283</v>
      </c>
      <c r="C29" s="5" t="s">
        <v>59</v>
      </c>
      <c r="D29" s="5" t="s">
        <v>62</v>
      </c>
      <c r="E29" s="5" t="s">
        <v>249</v>
      </c>
    </row>
    <row r="30" customFormat="false" ht="15" hidden="false" customHeight="false" outlineLevel="0" collapsed="false">
      <c r="A30" s="5" t="s">
        <v>290</v>
      </c>
      <c r="B30" s="2" t="s">
        <v>291</v>
      </c>
      <c r="C30" s="5" t="s">
        <v>59</v>
      </c>
      <c r="D30" s="5" t="s">
        <v>62</v>
      </c>
      <c r="E30" s="5" t="s">
        <v>214</v>
      </c>
    </row>
    <row r="31" customFormat="false" ht="15" hidden="false" customHeight="false" outlineLevel="0" collapsed="false">
      <c r="A31" s="5" t="s">
        <v>296</v>
      </c>
      <c r="B31" s="2" t="s">
        <v>297</v>
      </c>
      <c r="C31" s="5" t="s">
        <v>59</v>
      </c>
      <c r="D31" s="5" t="s">
        <v>62</v>
      </c>
      <c r="E31" s="5" t="s">
        <v>309</v>
      </c>
    </row>
    <row r="32" customFormat="false" ht="15" hidden="false" customHeight="false" outlineLevel="0" collapsed="false">
      <c r="A32" s="5" t="s">
        <v>296</v>
      </c>
      <c r="B32" s="2" t="s">
        <v>297</v>
      </c>
      <c r="C32" s="5" t="s">
        <v>59</v>
      </c>
      <c r="D32" s="5" t="s">
        <v>62</v>
      </c>
      <c r="E32" s="5" t="s">
        <v>3134</v>
      </c>
    </row>
    <row r="33" customFormat="false" ht="15" hidden="false" customHeight="false" outlineLevel="0" collapsed="false">
      <c r="A33" s="5" t="s">
        <v>301</v>
      </c>
      <c r="B33" s="2" t="s">
        <v>302</v>
      </c>
      <c r="C33" s="5" t="s">
        <v>59</v>
      </c>
      <c r="D33" s="5" t="s">
        <v>62</v>
      </c>
      <c r="E33" s="5" t="s">
        <v>309</v>
      </c>
    </row>
    <row r="34" customFormat="false" ht="15" hidden="false" customHeight="false" outlineLevel="0" collapsed="false">
      <c r="A34" s="5" t="s">
        <v>312</v>
      </c>
      <c r="B34" s="2" t="s">
        <v>313</v>
      </c>
      <c r="C34" s="5" t="s">
        <v>59</v>
      </c>
      <c r="D34" s="5" t="s">
        <v>62</v>
      </c>
      <c r="E34" s="5" t="s">
        <v>214</v>
      </c>
    </row>
    <row r="35" customFormat="false" ht="23.85" hidden="false" customHeight="false" outlineLevel="0" collapsed="false">
      <c r="A35" s="5" t="s">
        <v>321</v>
      </c>
      <c r="B35" s="2" t="s">
        <v>322</v>
      </c>
      <c r="C35" s="5" t="s">
        <v>59</v>
      </c>
      <c r="D35" s="5" t="s">
        <v>62</v>
      </c>
      <c r="E35" s="5" t="s">
        <v>214</v>
      </c>
    </row>
    <row r="36" customFormat="false" ht="23.85" hidden="false" customHeight="false" outlineLevel="0" collapsed="false">
      <c r="A36" s="5" t="s">
        <v>326</v>
      </c>
      <c r="B36" s="2" t="s">
        <v>327</v>
      </c>
      <c r="C36" s="5" t="s">
        <v>59</v>
      </c>
      <c r="D36" s="5" t="s">
        <v>62</v>
      </c>
      <c r="E36" s="5" t="s">
        <v>214</v>
      </c>
    </row>
    <row r="37" customFormat="false" ht="35.05" hidden="false" customHeight="false" outlineLevel="0" collapsed="false">
      <c r="A37" s="5" t="s">
        <v>331</v>
      </c>
      <c r="B37" s="2" t="s">
        <v>332</v>
      </c>
      <c r="C37" s="5" t="s">
        <v>59</v>
      </c>
      <c r="D37" s="5" t="s">
        <v>62</v>
      </c>
      <c r="E37" s="5" t="s">
        <v>309</v>
      </c>
    </row>
    <row r="38" customFormat="false" ht="35.05" hidden="false" customHeight="false" outlineLevel="0" collapsed="false">
      <c r="A38" s="5" t="s">
        <v>331</v>
      </c>
      <c r="B38" s="2" t="s">
        <v>332</v>
      </c>
      <c r="C38" s="5" t="s">
        <v>59</v>
      </c>
      <c r="D38" s="5" t="s">
        <v>62</v>
      </c>
      <c r="E38" s="5" t="s">
        <v>3134</v>
      </c>
    </row>
    <row r="39" customFormat="false" ht="15" hidden="false" customHeight="false" outlineLevel="0" collapsed="false">
      <c r="A39" s="5" t="s">
        <v>337</v>
      </c>
      <c r="B39" s="2" t="s">
        <v>338</v>
      </c>
      <c r="C39" s="5" t="s">
        <v>59</v>
      </c>
      <c r="D39" s="5" t="s">
        <v>62</v>
      </c>
      <c r="E39" s="5" t="s">
        <v>346</v>
      </c>
    </row>
    <row r="40" customFormat="false" ht="15" hidden="false" customHeight="false" outlineLevel="0" collapsed="false">
      <c r="A40" s="5" t="s">
        <v>349</v>
      </c>
      <c r="B40" s="2" t="s">
        <v>350</v>
      </c>
      <c r="C40" s="5" t="s">
        <v>59</v>
      </c>
      <c r="D40" s="5" t="s">
        <v>62</v>
      </c>
      <c r="E40" s="5" t="s">
        <v>192</v>
      </c>
    </row>
    <row r="41" customFormat="false" ht="23.85" hidden="false" customHeight="false" outlineLevel="0" collapsed="false">
      <c r="A41" s="5" t="s">
        <v>359</v>
      </c>
      <c r="B41" s="2" t="s">
        <v>360</v>
      </c>
      <c r="C41" s="5" t="s">
        <v>59</v>
      </c>
      <c r="D41" s="5" t="s">
        <v>62</v>
      </c>
      <c r="E41" s="5" t="s">
        <v>309</v>
      </c>
    </row>
    <row r="42" customFormat="false" ht="23.85" hidden="false" customHeight="false" outlineLevel="0" collapsed="false">
      <c r="A42" s="5" t="s">
        <v>359</v>
      </c>
      <c r="B42" s="2" t="s">
        <v>360</v>
      </c>
      <c r="C42" s="5" t="s">
        <v>59</v>
      </c>
      <c r="D42" s="5" t="s">
        <v>62</v>
      </c>
      <c r="E42" s="5" t="s">
        <v>3134</v>
      </c>
    </row>
    <row r="43" customFormat="false" ht="15" hidden="false" customHeight="false" outlineLevel="0" collapsed="false">
      <c r="A43" s="5" t="s">
        <v>365</v>
      </c>
      <c r="B43" s="2" t="s">
        <v>366</v>
      </c>
      <c r="C43" s="5" t="s">
        <v>59</v>
      </c>
      <c r="D43" s="5" t="s">
        <v>62</v>
      </c>
      <c r="E43" s="5" t="s">
        <v>372</v>
      </c>
    </row>
    <row r="44" customFormat="false" ht="15" hidden="false" customHeight="false" outlineLevel="0" collapsed="false">
      <c r="A44" s="5" t="s">
        <v>375</v>
      </c>
      <c r="B44" s="2" t="s">
        <v>376</v>
      </c>
      <c r="C44" s="5" t="s">
        <v>59</v>
      </c>
      <c r="D44" s="5" t="s">
        <v>62</v>
      </c>
      <c r="E44" s="5" t="s">
        <v>192</v>
      </c>
    </row>
    <row r="45" customFormat="false" ht="15" hidden="false" customHeight="false" outlineLevel="0" collapsed="false">
      <c r="A45" s="5" t="s">
        <v>383</v>
      </c>
      <c r="B45" s="2" t="s">
        <v>384</v>
      </c>
      <c r="C45" s="5" t="s">
        <v>59</v>
      </c>
      <c r="D45" s="5" t="s">
        <v>62</v>
      </c>
      <c r="E45" s="5" t="s">
        <v>192</v>
      </c>
    </row>
    <row r="46" customFormat="false" ht="15" hidden="false" customHeight="false" outlineLevel="0" collapsed="false">
      <c r="A46" s="5" t="s">
        <v>389</v>
      </c>
      <c r="B46" s="2" t="s">
        <v>390</v>
      </c>
      <c r="C46" s="5" t="s">
        <v>59</v>
      </c>
      <c r="D46" s="5" t="s">
        <v>62</v>
      </c>
      <c r="E46" s="5" t="s">
        <v>192</v>
      </c>
    </row>
    <row r="47" customFormat="false" ht="15" hidden="false" customHeight="false" outlineLevel="0" collapsed="false">
      <c r="A47" s="5" t="s">
        <v>395</v>
      </c>
      <c r="B47" s="2" t="s">
        <v>396</v>
      </c>
      <c r="C47" s="5" t="s">
        <v>59</v>
      </c>
      <c r="D47" s="5" t="s">
        <v>62</v>
      </c>
      <c r="E47" s="5" t="s">
        <v>309</v>
      </c>
    </row>
    <row r="48" customFormat="false" ht="15" hidden="false" customHeight="false" outlineLevel="0" collapsed="false">
      <c r="A48" s="5" t="s">
        <v>395</v>
      </c>
      <c r="B48" s="2" t="s">
        <v>396</v>
      </c>
      <c r="C48" s="5" t="s">
        <v>59</v>
      </c>
      <c r="D48" s="5" t="s">
        <v>62</v>
      </c>
      <c r="E48" s="5" t="s">
        <v>3134</v>
      </c>
    </row>
    <row r="49" customFormat="false" ht="15" hidden="false" customHeight="false" outlineLevel="0" collapsed="false">
      <c r="A49" s="5" t="s">
        <v>401</v>
      </c>
      <c r="B49" s="2" t="s">
        <v>402</v>
      </c>
      <c r="C49" s="5" t="s">
        <v>59</v>
      </c>
      <c r="D49" s="5" t="s">
        <v>62</v>
      </c>
      <c r="E49" s="5" t="s">
        <v>309</v>
      </c>
    </row>
    <row r="50" customFormat="false" ht="15" hidden="false" customHeight="false" outlineLevel="0" collapsed="false">
      <c r="A50" s="5" t="s">
        <v>401</v>
      </c>
      <c r="B50" s="2" t="s">
        <v>402</v>
      </c>
      <c r="C50" s="5" t="s">
        <v>59</v>
      </c>
      <c r="D50" s="5" t="s">
        <v>62</v>
      </c>
      <c r="E50" s="5" t="s">
        <v>3134</v>
      </c>
    </row>
    <row r="51" customFormat="false" ht="15" hidden="false" customHeight="false" outlineLevel="0" collapsed="false">
      <c r="A51" s="5" t="s">
        <v>406</v>
      </c>
      <c r="B51" s="2" t="s">
        <v>407</v>
      </c>
      <c r="C51" s="5" t="s">
        <v>59</v>
      </c>
      <c r="D51" s="5" t="s">
        <v>62</v>
      </c>
      <c r="E51" s="5" t="s">
        <v>309</v>
      </c>
    </row>
    <row r="52" customFormat="false" ht="23.85" hidden="false" customHeight="false" outlineLevel="0" collapsed="false">
      <c r="A52" s="5" t="s">
        <v>422</v>
      </c>
      <c r="B52" s="2" t="s">
        <v>423</v>
      </c>
      <c r="C52" s="5" t="s">
        <v>59</v>
      </c>
      <c r="D52" s="5" t="s">
        <v>62</v>
      </c>
      <c r="E52" s="5" t="s">
        <v>309</v>
      </c>
    </row>
    <row r="53" customFormat="false" ht="23.85" hidden="false" customHeight="false" outlineLevel="0" collapsed="false">
      <c r="A53" s="5" t="s">
        <v>422</v>
      </c>
      <c r="B53" s="2" t="s">
        <v>423</v>
      </c>
      <c r="C53" s="5" t="s">
        <v>59</v>
      </c>
      <c r="D53" s="5" t="s">
        <v>62</v>
      </c>
      <c r="E53" s="5" t="s">
        <v>3134</v>
      </c>
    </row>
    <row r="54" customFormat="false" ht="15" hidden="false" customHeight="false" outlineLevel="0" collapsed="false">
      <c r="A54" s="5" t="s">
        <v>427</v>
      </c>
      <c r="B54" s="2" t="s">
        <v>428</v>
      </c>
      <c r="C54" s="5" t="s">
        <v>59</v>
      </c>
      <c r="D54" s="5" t="s">
        <v>62</v>
      </c>
      <c r="E54" s="5" t="s">
        <v>214</v>
      </c>
    </row>
    <row r="55" customFormat="false" ht="15" hidden="false" customHeight="false" outlineLevel="0" collapsed="false">
      <c r="A55" s="5" t="s">
        <v>432</v>
      </c>
      <c r="B55" s="2" t="s">
        <v>433</v>
      </c>
      <c r="C55" s="5" t="s">
        <v>59</v>
      </c>
      <c r="D55" s="5" t="s">
        <v>62</v>
      </c>
      <c r="E55" s="5" t="s">
        <v>309</v>
      </c>
    </row>
    <row r="56" customFormat="false" ht="15" hidden="false" customHeight="false" outlineLevel="0" collapsed="false">
      <c r="A56" s="5" t="s">
        <v>432</v>
      </c>
      <c r="B56" s="2" t="s">
        <v>433</v>
      </c>
      <c r="C56" s="5" t="s">
        <v>59</v>
      </c>
      <c r="D56" s="5" t="s">
        <v>62</v>
      </c>
      <c r="E56" s="5" t="s">
        <v>3134</v>
      </c>
    </row>
    <row r="57" customFormat="false" ht="15" hidden="false" customHeight="false" outlineLevel="0" collapsed="false">
      <c r="A57" s="5" t="s">
        <v>437</v>
      </c>
      <c r="B57" s="2" t="s">
        <v>438</v>
      </c>
      <c r="C57" s="5" t="s">
        <v>59</v>
      </c>
      <c r="D57" s="5" t="s">
        <v>62</v>
      </c>
      <c r="E57" s="5" t="s">
        <v>309</v>
      </c>
    </row>
    <row r="58" customFormat="false" ht="15" hidden="false" customHeight="false" outlineLevel="0" collapsed="false">
      <c r="A58" s="5" t="s">
        <v>437</v>
      </c>
      <c r="B58" s="2" t="s">
        <v>438</v>
      </c>
      <c r="C58" s="5" t="s">
        <v>59</v>
      </c>
      <c r="D58" s="5" t="s">
        <v>62</v>
      </c>
      <c r="E58" s="5" t="s">
        <v>3134</v>
      </c>
    </row>
    <row r="59" customFormat="false" ht="15" hidden="false" customHeight="false" outlineLevel="0" collapsed="false">
      <c r="A59" s="5" t="s">
        <v>442</v>
      </c>
      <c r="B59" s="2" t="s">
        <v>443</v>
      </c>
      <c r="C59" s="5" t="s">
        <v>59</v>
      </c>
      <c r="D59" s="5" t="s">
        <v>62</v>
      </c>
      <c r="E59" s="5" t="s">
        <v>214</v>
      </c>
    </row>
    <row r="60" customFormat="false" ht="23.85" hidden="false" customHeight="false" outlineLevel="0" collapsed="false">
      <c r="A60" s="5" t="s">
        <v>447</v>
      </c>
      <c r="B60" s="2" t="s">
        <v>448</v>
      </c>
      <c r="C60" s="5" t="s">
        <v>59</v>
      </c>
      <c r="D60" s="5" t="s">
        <v>62</v>
      </c>
      <c r="E60" s="5" t="s">
        <v>309</v>
      </c>
    </row>
    <row r="61" customFormat="false" ht="23.85" hidden="false" customHeight="false" outlineLevel="0" collapsed="false">
      <c r="A61" s="5" t="s">
        <v>447</v>
      </c>
      <c r="B61" s="2" t="s">
        <v>448</v>
      </c>
      <c r="C61" s="5" t="s">
        <v>59</v>
      </c>
      <c r="D61" s="5" t="s">
        <v>62</v>
      </c>
      <c r="E61" s="5" t="s">
        <v>3134</v>
      </c>
    </row>
    <row r="62" customFormat="false" ht="15" hidden="false" customHeight="false" outlineLevel="0" collapsed="false">
      <c r="A62" s="5" t="s">
        <v>454</v>
      </c>
      <c r="B62" s="2" t="s">
        <v>455</v>
      </c>
      <c r="C62" s="5" t="s">
        <v>59</v>
      </c>
      <c r="D62" s="5" t="s">
        <v>62</v>
      </c>
      <c r="E62" s="5" t="s">
        <v>309</v>
      </c>
    </row>
    <row r="63" customFormat="false" ht="23.85" hidden="false" customHeight="false" outlineLevel="0" collapsed="false">
      <c r="A63" s="5" t="s">
        <v>460</v>
      </c>
      <c r="B63" s="2" t="s">
        <v>461</v>
      </c>
      <c r="C63" s="5" t="s">
        <v>59</v>
      </c>
      <c r="D63" s="5" t="s">
        <v>62</v>
      </c>
      <c r="E63" s="5" t="s">
        <v>214</v>
      </c>
    </row>
    <row r="64" customFormat="false" ht="15" hidden="false" customHeight="false" outlineLevel="0" collapsed="false">
      <c r="A64" s="5" t="s">
        <v>465</v>
      </c>
      <c r="B64" s="2" t="s">
        <v>466</v>
      </c>
      <c r="C64" s="5" t="s">
        <v>59</v>
      </c>
      <c r="D64" s="5" t="s">
        <v>62</v>
      </c>
      <c r="E64" s="5" t="s">
        <v>309</v>
      </c>
    </row>
    <row r="65" customFormat="false" ht="15" hidden="false" customHeight="false" outlineLevel="0" collapsed="false">
      <c r="A65" s="5" t="s">
        <v>465</v>
      </c>
      <c r="B65" s="2" t="s">
        <v>466</v>
      </c>
      <c r="C65" s="5" t="s">
        <v>59</v>
      </c>
      <c r="D65" s="5" t="s">
        <v>62</v>
      </c>
      <c r="E65" s="5" t="s">
        <v>3134</v>
      </c>
    </row>
    <row r="66" customFormat="false" ht="15" hidden="false" customHeight="false" outlineLevel="0" collapsed="false">
      <c r="A66" s="5" t="s">
        <v>471</v>
      </c>
      <c r="B66" s="2" t="s">
        <v>472</v>
      </c>
      <c r="C66" s="5" t="s">
        <v>59</v>
      </c>
      <c r="D66" s="5" t="s">
        <v>62</v>
      </c>
      <c r="E66" s="5" t="s">
        <v>372</v>
      </c>
    </row>
    <row r="67" customFormat="false" ht="15" hidden="false" customHeight="false" outlineLevel="0" collapsed="false">
      <c r="A67" s="5" t="s">
        <v>478</v>
      </c>
      <c r="B67" s="2" t="s">
        <v>479</v>
      </c>
      <c r="C67" s="5" t="s">
        <v>59</v>
      </c>
      <c r="D67" s="5" t="s">
        <v>62</v>
      </c>
      <c r="E67" s="5" t="s">
        <v>309</v>
      </c>
    </row>
    <row r="68" customFormat="false" ht="15" hidden="false" customHeight="false" outlineLevel="0" collapsed="false">
      <c r="A68" s="5" t="s">
        <v>478</v>
      </c>
      <c r="B68" s="2" t="s">
        <v>479</v>
      </c>
      <c r="C68" s="5" t="s">
        <v>59</v>
      </c>
      <c r="D68" s="5" t="s">
        <v>62</v>
      </c>
      <c r="E68" s="5" t="s">
        <v>3134</v>
      </c>
    </row>
    <row r="69" customFormat="false" ht="23.85" hidden="false" customHeight="false" outlineLevel="0" collapsed="false">
      <c r="A69" s="5" t="s">
        <v>1095</v>
      </c>
      <c r="B69" s="2" t="s">
        <v>1096</v>
      </c>
      <c r="C69" s="5" t="s">
        <v>488</v>
      </c>
      <c r="D69" s="5" t="s">
        <v>62</v>
      </c>
      <c r="E69" s="5" t="s">
        <v>192</v>
      </c>
    </row>
    <row r="70" customFormat="false" ht="23.85" hidden="false" customHeight="false" outlineLevel="0" collapsed="false">
      <c r="A70" s="5" t="s">
        <v>1102</v>
      </c>
      <c r="B70" s="2" t="s">
        <v>1103</v>
      </c>
      <c r="C70" s="5" t="s">
        <v>488</v>
      </c>
      <c r="D70" s="5" t="s">
        <v>62</v>
      </c>
      <c r="E70" s="5" t="s">
        <v>309</v>
      </c>
    </row>
    <row r="71" customFormat="false" ht="23.85" hidden="false" customHeight="false" outlineLevel="0" collapsed="false">
      <c r="A71" s="5" t="s">
        <v>1111</v>
      </c>
      <c r="B71" s="2" t="s">
        <v>1112</v>
      </c>
      <c r="C71" s="5" t="s">
        <v>488</v>
      </c>
      <c r="D71" s="5" t="s">
        <v>62</v>
      </c>
      <c r="E71" s="5" t="s">
        <v>1118</v>
      </c>
    </row>
    <row r="72" customFormat="false" ht="15" hidden="false" customHeight="false" outlineLevel="0" collapsed="false">
      <c r="A72" s="5" t="s">
        <v>1121</v>
      </c>
      <c r="B72" s="2" t="s">
        <v>1122</v>
      </c>
      <c r="C72" s="5" t="s">
        <v>488</v>
      </c>
      <c r="D72" s="5" t="s">
        <v>62</v>
      </c>
      <c r="E72" s="5" t="s">
        <v>192</v>
      </c>
    </row>
    <row r="73" customFormat="false" ht="15" hidden="false" customHeight="false" outlineLevel="0" collapsed="false">
      <c r="A73" s="5" t="s">
        <v>1121</v>
      </c>
      <c r="B73" s="2" t="s">
        <v>1122</v>
      </c>
      <c r="C73" s="5" t="s">
        <v>488</v>
      </c>
      <c r="D73" s="5" t="s">
        <v>62</v>
      </c>
      <c r="E73" s="5" t="s">
        <v>214</v>
      </c>
    </row>
    <row r="74" customFormat="false" ht="23.85" hidden="false" customHeight="false" outlineLevel="0" collapsed="false">
      <c r="A74" s="5" t="s">
        <v>1136</v>
      </c>
      <c r="B74" s="2" t="s">
        <v>1137</v>
      </c>
      <c r="C74" s="5" t="s">
        <v>488</v>
      </c>
      <c r="D74" s="5" t="s">
        <v>62</v>
      </c>
      <c r="E74" s="5" t="s">
        <v>309</v>
      </c>
    </row>
    <row r="75" customFormat="false" ht="23.85" hidden="false" customHeight="false" outlineLevel="0" collapsed="false">
      <c r="A75" s="5" t="s">
        <v>1142</v>
      </c>
      <c r="B75" s="2" t="s">
        <v>1143</v>
      </c>
      <c r="C75" s="5" t="s">
        <v>488</v>
      </c>
      <c r="D75" s="5" t="s">
        <v>62</v>
      </c>
      <c r="E75" s="5" t="s">
        <v>192</v>
      </c>
    </row>
    <row r="76" customFormat="false" ht="23.85" hidden="false" customHeight="false" outlineLevel="0" collapsed="false">
      <c r="A76" s="5" t="s">
        <v>1152</v>
      </c>
      <c r="B76" s="2" t="s">
        <v>1153</v>
      </c>
      <c r="C76" s="5" t="s">
        <v>488</v>
      </c>
      <c r="D76" s="5" t="s">
        <v>62</v>
      </c>
      <c r="E76" s="5" t="s">
        <v>309</v>
      </c>
    </row>
    <row r="77" customFormat="false" ht="15" hidden="false" customHeight="false" outlineLevel="0" collapsed="false">
      <c r="A77" s="5" t="s">
        <v>1166</v>
      </c>
      <c r="B77" s="2" t="s">
        <v>1167</v>
      </c>
      <c r="C77" s="5" t="s">
        <v>488</v>
      </c>
      <c r="D77" s="5" t="s">
        <v>62</v>
      </c>
      <c r="E77" s="5" t="s">
        <v>309</v>
      </c>
    </row>
    <row r="78" customFormat="false" ht="23.85" hidden="false" customHeight="false" outlineLevel="0" collapsed="false">
      <c r="A78" s="5" t="s">
        <v>1172</v>
      </c>
      <c r="B78" s="2" t="s">
        <v>1173</v>
      </c>
      <c r="C78" s="5" t="s">
        <v>488</v>
      </c>
      <c r="D78" s="5" t="s">
        <v>62</v>
      </c>
      <c r="E78" s="5" t="s">
        <v>309</v>
      </c>
    </row>
    <row r="79" customFormat="false" ht="23.85" hidden="false" customHeight="false" outlineLevel="0" collapsed="false">
      <c r="A79" s="5" t="s">
        <v>1179</v>
      </c>
      <c r="B79" s="2" t="s">
        <v>1180</v>
      </c>
      <c r="C79" s="5" t="s">
        <v>488</v>
      </c>
      <c r="D79" s="5" t="s">
        <v>62</v>
      </c>
      <c r="E79" s="5" t="s">
        <v>309</v>
      </c>
    </row>
    <row r="80" customFormat="false" ht="15" hidden="false" customHeight="false" outlineLevel="0" collapsed="false">
      <c r="A80" s="5" t="s">
        <v>1184</v>
      </c>
      <c r="B80" s="2" t="s">
        <v>1185</v>
      </c>
      <c r="C80" s="5" t="s">
        <v>488</v>
      </c>
      <c r="D80" s="5" t="s">
        <v>62</v>
      </c>
      <c r="E80" s="5" t="s">
        <v>309</v>
      </c>
    </row>
    <row r="81" customFormat="false" ht="15" hidden="false" customHeight="false" outlineLevel="0" collapsed="false">
      <c r="A81" s="5" t="s">
        <v>1218</v>
      </c>
      <c r="B81" s="2" t="s">
        <v>1219</v>
      </c>
      <c r="C81" s="5" t="s">
        <v>488</v>
      </c>
      <c r="D81" s="5" t="s">
        <v>62</v>
      </c>
      <c r="E81" s="5" t="s">
        <v>1225</v>
      </c>
    </row>
    <row r="82" customFormat="false" ht="15" hidden="false" customHeight="false" outlineLevel="0" collapsed="false">
      <c r="A82" s="5" t="s">
        <v>1228</v>
      </c>
      <c r="B82" s="2" t="s">
        <v>1229</v>
      </c>
      <c r="C82" s="5" t="s">
        <v>488</v>
      </c>
      <c r="D82" s="5" t="s">
        <v>62</v>
      </c>
      <c r="E82" s="5" t="s">
        <v>309</v>
      </c>
    </row>
    <row r="83" customFormat="false" ht="15" hidden="false" customHeight="false" outlineLevel="0" collapsed="false">
      <c r="A83" s="5" t="s">
        <v>1233</v>
      </c>
      <c r="B83" s="2" t="s">
        <v>1234</v>
      </c>
      <c r="C83" s="5" t="s">
        <v>488</v>
      </c>
      <c r="D83" s="5" t="s">
        <v>62</v>
      </c>
      <c r="E83" s="5" t="s">
        <v>1118</v>
      </c>
    </row>
    <row r="84" customFormat="false" ht="15" hidden="false" customHeight="false" outlineLevel="0" collapsed="false">
      <c r="A84" s="5" t="s">
        <v>1246</v>
      </c>
      <c r="B84" s="2" t="s">
        <v>1247</v>
      </c>
      <c r="C84" s="5" t="s">
        <v>488</v>
      </c>
      <c r="D84" s="5" t="s">
        <v>62</v>
      </c>
      <c r="E84" s="5" t="s">
        <v>309</v>
      </c>
    </row>
    <row r="85" customFormat="false" ht="23.85" hidden="false" customHeight="false" outlineLevel="0" collapsed="false">
      <c r="A85" s="5" t="s">
        <v>1261</v>
      </c>
      <c r="B85" s="2" t="s">
        <v>1262</v>
      </c>
      <c r="C85" s="5" t="s">
        <v>488</v>
      </c>
      <c r="D85" s="5" t="s">
        <v>62</v>
      </c>
      <c r="E85" s="5" t="s">
        <v>309</v>
      </c>
    </row>
    <row r="86" customFormat="false" ht="15" hidden="false" customHeight="false" outlineLevel="0" collapsed="false">
      <c r="A86" s="5" t="s">
        <v>1266</v>
      </c>
      <c r="B86" s="2" t="s">
        <v>1267</v>
      </c>
      <c r="C86" s="5" t="s">
        <v>488</v>
      </c>
      <c r="D86" s="5" t="s">
        <v>62</v>
      </c>
      <c r="E86" s="5" t="s">
        <v>309</v>
      </c>
    </row>
    <row r="87" customFormat="false" ht="15" hidden="false" customHeight="false" outlineLevel="0" collapsed="false">
      <c r="A87" s="5" t="s">
        <v>1272</v>
      </c>
      <c r="B87" s="2" t="s">
        <v>1273</v>
      </c>
      <c r="C87" s="5" t="s">
        <v>488</v>
      </c>
      <c r="D87" s="5" t="s">
        <v>62</v>
      </c>
      <c r="E87" s="5" t="s">
        <v>309</v>
      </c>
    </row>
    <row r="88" customFormat="false" ht="23.85" hidden="false" customHeight="false" outlineLevel="0" collapsed="false">
      <c r="A88" s="5" t="s">
        <v>1277</v>
      </c>
      <c r="B88" s="2" t="s">
        <v>1278</v>
      </c>
      <c r="C88" s="5" t="s">
        <v>488</v>
      </c>
      <c r="D88" s="5" t="s">
        <v>62</v>
      </c>
      <c r="E88" s="5" t="s">
        <v>309</v>
      </c>
    </row>
    <row r="89" customFormat="false" ht="23.85" hidden="false" customHeight="false" outlineLevel="0" collapsed="false">
      <c r="A89" s="5" t="s">
        <v>1283</v>
      </c>
      <c r="B89" s="2" t="s">
        <v>1284</v>
      </c>
      <c r="C89" s="5" t="s">
        <v>488</v>
      </c>
      <c r="D89" s="5" t="s">
        <v>62</v>
      </c>
      <c r="E89" s="5" t="s">
        <v>309</v>
      </c>
    </row>
    <row r="90" customFormat="false" ht="15" hidden="false" customHeight="false" outlineLevel="0" collapsed="false">
      <c r="A90" s="5" t="s">
        <v>1288</v>
      </c>
      <c r="B90" s="2" t="s">
        <v>1289</v>
      </c>
      <c r="C90" s="5" t="s">
        <v>488</v>
      </c>
      <c r="D90" s="5" t="s">
        <v>62</v>
      </c>
      <c r="E90" s="5" t="s">
        <v>309</v>
      </c>
    </row>
    <row r="91" customFormat="false" ht="15" hidden="false" customHeight="false" outlineLevel="0" collapsed="false">
      <c r="A91" s="5" t="s">
        <v>1293</v>
      </c>
      <c r="B91" s="2" t="s">
        <v>1294</v>
      </c>
      <c r="C91" s="5" t="s">
        <v>488</v>
      </c>
      <c r="D91" s="5" t="s">
        <v>62</v>
      </c>
      <c r="E91" s="5" t="s">
        <v>309</v>
      </c>
    </row>
    <row r="92" customFormat="false" ht="23.85" hidden="false" customHeight="false" outlineLevel="0" collapsed="false">
      <c r="A92" s="5" t="s">
        <v>1299</v>
      </c>
      <c r="B92" s="2" t="s">
        <v>1300</v>
      </c>
      <c r="C92" s="5" t="s">
        <v>488</v>
      </c>
      <c r="D92" s="5" t="s">
        <v>62</v>
      </c>
      <c r="E92" s="5" t="s">
        <v>1225</v>
      </c>
    </row>
    <row r="93" customFormat="false" ht="23.85" hidden="false" customHeight="false" outlineLevel="0" collapsed="false">
      <c r="A93" s="5" t="s">
        <v>1305</v>
      </c>
      <c r="B93" s="2" t="s">
        <v>1306</v>
      </c>
      <c r="C93" s="5" t="s">
        <v>488</v>
      </c>
      <c r="D93" s="5" t="s">
        <v>62</v>
      </c>
      <c r="E93" s="5" t="s">
        <v>1311</v>
      </c>
    </row>
    <row r="94" customFormat="false" ht="15" hidden="false" customHeight="false" outlineLevel="0" collapsed="false">
      <c r="A94" s="5" t="s">
        <v>1314</v>
      </c>
      <c r="B94" s="2" t="s">
        <v>1315</v>
      </c>
      <c r="C94" s="5" t="s">
        <v>488</v>
      </c>
      <c r="D94" s="5" t="s">
        <v>62</v>
      </c>
      <c r="E94" s="5" t="s">
        <v>309</v>
      </c>
    </row>
    <row r="95" customFormat="false" ht="23.85" hidden="false" customHeight="false" outlineLevel="0" collapsed="false">
      <c r="A95" s="5" t="s">
        <v>1320</v>
      </c>
      <c r="B95" s="2" t="s">
        <v>1321</v>
      </c>
      <c r="C95" s="5" t="s">
        <v>488</v>
      </c>
      <c r="D95" s="5" t="s">
        <v>62</v>
      </c>
      <c r="E95" s="5" t="s">
        <v>309</v>
      </c>
    </row>
    <row r="96" customFormat="false" ht="23.85" hidden="false" customHeight="false" outlineLevel="0" collapsed="false">
      <c r="A96" s="5" t="s">
        <v>1326</v>
      </c>
      <c r="B96" s="2" t="s">
        <v>1327</v>
      </c>
      <c r="C96" s="5" t="s">
        <v>488</v>
      </c>
      <c r="D96" s="5" t="s">
        <v>62</v>
      </c>
      <c r="E96" s="5" t="s">
        <v>309</v>
      </c>
    </row>
    <row r="97" customFormat="false" ht="23.85" hidden="false" customHeight="false" outlineLevel="0" collapsed="false">
      <c r="A97" s="5" t="s">
        <v>1332</v>
      </c>
      <c r="B97" s="2" t="s">
        <v>1333</v>
      </c>
      <c r="C97" s="5" t="s">
        <v>488</v>
      </c>
      <c r="D97" s="5" t="s">
        <v>62</v>
      </c>
      <c r="E97" s="5" t="s">
        <v>309</v>
      </c>
    </row>
    <row r="98" customFormat="false" ht="23.85" hidden="false" customHeight="false" outlineLevel="0" collapsed="false">
      <c r="A98" s="5" t="s">
        <v>1343</v>
      </c>
      <c r="B98" s="2" t="s">
        <v>1344</v>
      </c>
      <c r="C98" s="5" t="s">
        <v>488</v>
      </c>
      <c r="D98" s="5" t="s">
        <v>62</v>
      </c>
      <c r="E98" s="5" t="s">
        <v>309</v>
      </c>
    </row>
    <row r="99" customFormat="false" ht="23.85" hidden="false" customHeight="false" outlineLevel="0" collapsed="false">
      <c r="A99" s="5" t="s">
        <v>1349</v>
      </c>
      <c r="B99" s="2" t="s">
        <v>1350</v>
      </c>
      <c r="C99" s="5" t="s">
        <v>488</v>
      </c>
      <c r="D99" s="5" t="s">
        <v>62</v>
      </c>
      <c r="E99" s="5" t="s">
        <v>309</v>
      </c>
    </row>
    <row r="100" customFormat="false" ht="15" hidden="false" customHeight="false" outlineLevel="0" collapsed="false">
      <c r="A100" s="5" t="s">
        <v>1355</v>
      </c>
      <c r="B100" s="2" t="s">
        <v>1356</v>
      </c>
      <c r="C100" s="5" t="s">
        <v>488</v>
      </c>
      <c r="D100" s="5" t="s">
        <v>62</v>
      </c>
      <c r="E100" s="5" t="s">
        <v>309</v>
      </c>
    </row>
    <row r="101" customFormat="false" ht="15" hidden="false" customHeight="false" outlineLevel="0" collapsed="false">
      <c r="A101" s="5" t="s">
        <v>1361</v>
      </c>
      <c r="B101" s="2" t="s">
        <v>1362</v>
      </c>
      <c r="C101" s="5" t="s">
        <v>488</v>
      </c>
      <c r="D101" s="5" t="s">
        <v>62</v>
      </c>
      <c r="E101" s="5" t="s">
        <v>309</v>
      </c>
    </row>
    <row r="102" customFormat="false" ht="15" hidden="false" customHeight="false" outlineLevel="0" collapsed="false">
      <c r="A102" s="5" t="s">
        <v>1367</v>
      </c>
      <c r="B102" s="2" t="s">
        <v>1368</v>
      </c>
      <c r="C102" s="5" t="s">
        <v>488</v>
      </c>
      <c r="D102" s="5" t="s">
        <v>62</v>
      </c>
      <c r="E102" s="5" t="s">
        <v>309</v>
      </c>
    </row>
    <row r="103" customFormat="false" ht="15" hidden="false" customHeight="false" outlineLevel="0" collapsed="false">
      <c r="A103" s="5" t="s">
        <v>1372</v>
      </c>
      <c r="B103" s="2" t="s">
        <v>1373</v>
      </c>
      <c r="C103" s="5" t="s">
        <v>488</v>
      </c>
      <c r="D103" s="5" t="s">
        <v>62</v>
      </c>
      <c r="E103" s="5" t="s">
        <v>309</v>
      </c>
    </row>
    <row r="104" customFormat="false" ht="23.85" hidden="false" customHeight="false" outlineLevel="0" collapsed="false">
      <c r="A104" s="5" t="s">
        <v>1377</v>
      </c>
      <c r="B104" s="2" t="s">
        <v>1378</v>
      </c>
      <c r="C104" s="5" t="s">
        <v>488</v>
      </c>
      <c r="D104" s="5" t="s">
        <v>62</v>
      </c>
      <c r="E104" s="5" t="s">
        <v>309</v>
      </c>
    </row>
    <row r="105" customFormat="false" ht="15" hidden="false" customHeight="false" outlineLevel="0" collapsed="false">
      <c r="A105" s="5" t="s">
        <v>1382</v>
      </c>
      <c r="B105" s="2" t="s">
        <v>1383</v>
      </c>
      <c r="C105" s="5" t="s">
        <v>488</v>
      </c>
      <c r="D105" s="5" t="s">
        <v>62</v>
      </c>
      <c r="E105" s="5" t="s">
        <v>309</v>
      </c>
    </row>
    <row r="106" customFormat="false" ht="15" hidden="false" customHeight="false" outlineLevel="0" collapsed="false">
      <c r="A106" s="5" t="s">
        <v>1388</v>
      </c>
      <c r="B106" s="2" t="s">
        <v>1389</v>
      </c>
      <c r="C106" s="5" t="s">
        <v>488</v>
      </c>
      <c r="D106" s="5" t="s">
        <v>62</v>
      </c>
      <c r="E106" s="5" t="s">
        <v>309</v>
      </c>
    </row>
    <row r="107" customFormat="false" ht="23.85" hidden="false" customHeight="false" outlineLevel="0" collapsed="false">
      <c r="A107" s="5" t="s">
        <v>1394</v>
      </c>
      <c r="B107" s="2" t="s">
        <v>1395</v>
      </c>
      <c r="C107" s="5" t="s">
        <v>488</v>
      </c>
      <c r="D107" s="5" t="s">
        <v>62</v>
      </c>
      <c r="E107" s="5" t="s">
        <v>309</v>
      </c>
    </row>
    <row r="108" customFormat="false" ht="23.85" hidden="false" customHeight="false" outlineLevel="0" collapsed="false">
      <c r="A108" s="5" t="s">
        <v>1400</v>
      </c>
      <c r="B108" s="2" t="s">
        <v>1401</v>
      </c>
      <c r="C108" s="5" t="s">
        <v>488</v>
      </c>
      <c r="D108" s="5" t="s">
        <v>62</v>
      </c>
      <c r="E108" s="5" t="s">
        <v>372</v>
      </c>
    </row>
    <row r="109" customFormat="false" ht="23.85" hidden="false" customHeight="false" outlineLevel="0" collapsed="false">
      <c r="A109" s="5" t="s">
        <v>1407</v>
      </c>
      <c r="B109" s="2" t="s">
        <v>1408</v>
      </c>
      <c r="C109" s="5" t="s">
        <v>488</v>
      </c>
      <c r="D109" s="5" t="s">
        <v>62</v>
      </c>
      <c r="E109" s="5" t="s">
        <v>309</v>
      </c>
    </row>
    <row r="110" customFormat="false" ht="15" hidden="false" customHeight="false" outlineLevel="0" collapsed="false">
      <c r="A110" s="5" t="s">
        <v>1418</v>
      </c>
      <c r="B110" s="2" t="s">
        <v>1419</v>
      </c>
      <c r="C110" s="5" t="s">
        <v>488</v>
      </c>
      <c r="D110" s="5" t="s">
        <v>62</v>
      </c>
      <c r="E110" s="5" t="s">
        <v>309</v>
      </c>
    </row>
    <row r="111" customFormat="false" ht="15" hidden="false" customHeight="false" outlineLevel="0" collapsed="false">
      <c r="A111" s="5" t="s">
        <v>1423</v>
      </c>
      <c r="B111" s="2" t="s">
        <v>1424</v>
      </c>
      <c r="C111" s="5" t="s">
        <v>488</v>
      </c>
      <c r="D111" s="5" t="s">
        <v>62</v>
      </c>
      <c r="E111" s="5" t="s">
        <v>309</v>
      </c>
    </row>
    <row r="112" customFormat="false" ht="23.85" hidden="false" customHeight="false" outlineLevel="0" collapsed="false">
      <c r="A112" s="5" t="s">
        <v>1429</v>
      </c>
      <c r="B112" s="2" t="s">
        <v>1430</v>
      </c>
      <c r="C112" s="5" t="s">
        <v>488</v>
      </c>
      <c r="D112" s="5" t="s">
        <v>62</v>
      </c>
      <c r="E112" s="5" t="s">
        <v>309</v>
      </c>
    </row>
    <row r="113" customFormat="false" ht="15" hidden="false" customHeight="false" outlineLevel="0" collapsed="false">
      <c r="A113" s="5" t="s">
        <v>1435</v>
      </c>
      <c r="B113" s="2" t="s">
        <v>1436</v>
      </c>
      <c r="C113" s="5" t="s">
        <v>488</v>
      </c>
      <c r="D113" s="5" t="s">
        <v>62</v>
      </c>
      <c r="E113" s="5" t="s">
        <v>346</v>
      </c>
    </row>
    <row r="114" customFormat="false" ht="23.85" hidden="false" customHeight="false" outlineLevel="0" collapsed="false">
      <c r="A114" s="5" t="s">
        <v>1444</v>
      </c>
      <c r="B114" s="2" t="s">
        <v>1445</v>
      </c>
      <c r="C114" s="5" t="s">
        <v>488</v>
      </c>
      <c r="D114" s="5" t="s">
        <v>62</v>
      </c>
      <c r="E114" s="5" t="s">
        <v>309</v>
      </c>
    </row>
    <row r="115" customFormat="false" ht="23.85" hidden="false" customHeight="false" outlineLevel="0" collapsed="false">
      <c r="A115" s="5" t="s">
        <v>1450</v>
      </c>
      <c r="B115" s="2" t="s">
        <v>1451</v>
      </c>
      <c r="C115" s="5" t="s">
        <v>488</v>
      </c>
      <c r="D115" s="5" t="s">
        <v>62</v>
      </c>
      <c r="E115" s="5" t="s">
        <v>309</v>
      </c>
    </row>
    <row r="116" customFormat="false" ht="23.85" hidden="false" customHeight="false" outlineLevel="0" collapsed="false">
      <c r="A116" s="5" t="s">
        <v>1463</v>
      </c>
      <c r="B116" s="2" t="s">
        <v>1464</v>
      </c>
      <c r="C116" s="5" t="s">
        <v>488</v>
      </c>
      <c r="D116" s="5" t="s">
        <v>62</v>
      </c>
      <c r="E116" s="5" t="s">
        <v>372</v>
      </c>
    </row>
    <row r="117" customFormat="false" ht="23.85" hidden="false" customHeight="false" outlineLevel="0" collapsed="false">
      <c r="A117" s="5" t="s">
        <v>1469</v>
      </c>
      <c r="B117" s="2" t="s">
        <v>1470</v>
      </c>
      <c r="C117" s="5" t="s">
        <v>488</v>
      </c>
      <c r="D117" s="5" t="s">
        <v>62</v>
      </c>
      <c r="E117" s="5" t="s">
        <v>372</v>
      </c>
    </row>
    <row r="118" customFormat="false" ht="23.85" hidden="false" customHeight="false" outlineLevel="0" collapsed="false">
      <c r="A118" s="5" t="s">
        <v>1474</v>
      </c>
      <c r="B118" s="2" t="s">
        <v>1475</v>
      </c>
      <c r="C118" s="5" t="s">
        <v>488</v>
      </c>
      <c r="D118" s="5" t="s">
        <v>62</v>
      </c>
      <c r="E118" s="5" t="s">
        <v>372</v>
      </c>
    </row>
    <row r="119" customFormat="false" ht="23.85" hidden="false" customHeight="false" outlineLevel="0" collapsed="false">
      <c r="A119" s="5" t="s">
        <v>1490</v>
      </c>
      <c r="B119" s="2" t="s">
        <v>1491</v>
      </c>
      <c r="C119" s="5" t="s">
        <v>488</v>
      </c>
      <c r="D119" s="5" t="s">
        <v>62</v>
      </c>
      <c r="E119" s="5" t="s">
        <v>309</v>
      </c>
    </row>
    <row r="120" customFormat="false" ht="23.85" hidden="false" customHeight="false" outlineLevel="0" collapsed="false">
      <c r="A120" s="5" t="s">
        <v>1495</v>
      </c>
      <c r="B120" s="2" t="s">
        <v>1496</v>
      </c>
      <c r="C120" s="5" t="s">
        <v>488</v>
      </c>
      <c r="D120" s="5" t="s">
        <v>62</v>
      </c>
      <c r="E120" s="5" t="s">
        <v>309</v>
      </c>
    </row>
    <row r="121" customFormat="false" ht="15" hidden="false" customHeight="false" outlineLevel="0" collapsed="false">
      <c r="A121" s="5" t="s">
        <v>1500</v>
      </c>
      <c r="B121" s="2" t="s">
        <v>1501</v>
      </c>
      <c r="C121" s="5" t="s">
        <v>488</v>
      </c>
      <c r="D121" s="5" t="s">
        <v>62</v>
      </c>
      <c r="E121" s="5" t="s">
        <v>1118</v>
      </c>
    </row>
    <row r="122" customFormat="false" ht="23.85" hidden="false" customHeight="false" outlineLevel="0" collapsed="false">
      <c r="A122" s="5" t="s">
        <v>1519</v>
      </c>
      <c r="B122" s="2" t="s">
        <v>1520</v>
      </c>
      <c r="C122" s="5" t="s">
        <v>488</v>
      </c>
      <c r="D122" s="5" t="s">
        <v>62</v>
      </c>
      <c r="E122" s="5" t="s">
        <v>309</v>
      </c>
    </row>
    <row r="123" customFormat="false" ht="23.85" hidden="false" customHeight="false" outlineLevel="0" collapsed="false">
      <c r="A123" s="5" t="s">
        <v>1524</v>
      </c>
      <c r="B123" s="2" t="s">
        <v>1525</v>
      </c>
      <c r="C123" s="5" t="s">
        <v>488</v>
      </c>
      <c r="D123" s="5" t="s">
        <v>62</v>
      </c>
      <c r="E123" s="5" t="s">
        <v>309</v>
      </c>
    </row>
    <row r="124" customFormat="false" ht="23.85" hidden="false" customHeight="false" outlineLevel="0" collapsed="false">
      <c r="A124" s="5" t="s">
        <v>1529</v>
      </c>
      <c r="B124" s="2" t="s">
        <v>1530</v>
      </c>
      <c r="C124" s="5" t="s">
        <v>488</v>
      </c>
      <c r="D124" s="5" t="s">
        <v>62</v>
      </c>
      <c r="E124" s="5" t="s">
        <v>1537</v>
      </c>
    </row>
    <row r="125" customFormat="false" ht="15" hidden="false" customHeight="false" outlineLevel="0" collapsed="false">
      <c r="A125" s="5" t="s">
        <v>1573</v>
      </c>
      <c r="B125" s="2" t="s">
        <v>1574</v>
      </c>
      <c r="C125" s="5" t="s">
        <v>488</v>
      </c>
      <c r="D125" s="5" t="s">
        <v>62</v>
      </c>
      <c r="E125" s="5" t="s">
        <v>309</v>
      </c>
    </row>
    <row r="126" customFormat="false" ht="23.85" hidden="false" customHeight="false" outlineLevel="0" collapsed="false">
      <c r="A126" s="5" t="s">
        <v>1587</v>
      </c>
      <c r="B126" s="2" t="s">
        <v>1588</v>
      </c>
      <c r="C126" s="5" t="s">
        <v>488</v>
      </c>
      <c r="D126" s="5" t="s">
        <v>62</v>
      </c>
      <c r="E126" s="5" t="s">
        <v>309</v>
      </c>
    </row>
    <row r="127" customFormat="false" ht="23.85" hidden="false" customHeight="false" outlineLevel="0" collapsed="false">
      <c r="A127" s="5" t="s">
        <v>1592</v>
      </c>
      <c r="B127" s="2" t="s">
        <v>1593</v>
      </c>
      <c r="C127" s="5" t="s">
        <v>488</v>
      </c>
      <c r="D127" s="5" t="s">
        <v>62</v>
      </c>
      <c r="E127" s="5" t="s">
        <v>346</v>
      </c>
    </row>
    <row r="128" customFormat="false" ht="15" hidden="false" customHeight="false" outlineLevel="0" collapsed="false">
      <c r="A128" s="5" t="s">
        <v>1601</v>
      </c>
      <c r="B128" s="2" t="s">
        <v>1602</v>
      </c>
      <c r="C128" s="5" t="s">
        <v>488</v>
      </c>
      <c r="D128" s="5" t="s">
        <v>62</v>
      </c>
      <c r="E128" s="5" t="s">
        <v>214</v>
      </c>
    </row>
    <row r="129" customFormat="false" ht="15" hidden="false" customHeight="false" outlineLevel="0" collapsed="false">
      <c r="A129" s="5" t="s">
        <v>1624</v>
      </c>
      <c r="B129" s="2" t="s">
        <v>1625</v>
      </c>
      <c r="C129" s="5" t="s">
        <v>488</v>
      </c>
      <c r="D129" s="5" t="s">
        <v>62</v>
      </c>
      <c r="E129" s="5" t="s">
        <v>214</v>
      </c>
    </row>
    <row r="130" customFormat="false" ht="23.85" hidden="false" customHeight="false" outlineLevel="0" collapsed="false">
      <c r="A130" s="5" t="s">
        <v>1638</v>
      </c>
      <c r="B130" s="2" t="s">
        <v>1639</v>
      </c>
      <c r="C130" s="5" t="s">
        <v>488</v>
      </c>
      <c r="D130" s="5" t="s">
        <v>62</v>
      </c>
      <c r="E130" s="5" t="s">
        <v>1118</v>
      </c>
    </row>
    <row r="131" customFormat="false" ht="15" hidden="false" customHeight="false" outlineLevel="0" collapsed="false">
      <c r="A131" s="5" t="s">
        <v>1644</v>
      </c>
      <c r="B131" s="2" t="s">
        <v>1645</v>
      </c>
      <c r="C131" s="5" t="s">
        <v>488</v>
      </c>
      <c r="D131" s="5" t="s">
        <v>62</v>
      </c>
      <c r="E131" s="5" t="s">
        <v>309</v>
      </c>
    </row>
    <row r="132" customFormat="false" ht="23.85" hidden="false" customHeight="false" outlineLevel="0" collapsed="false">
      <c r="A132" s="5" t="s">
        <v>1650</v>
      </c>
      <c r="B132" s="2" t="s">
        <v>1651</v>
      </c>
      <c r="C132" s="5" t="s">
        <v>488</v>
      </c>
      <c r="D132" s="5" t="s">
        <v>62</v>
      </c>
      <c r="E132" s="5" t="s">
        <v>372</v>
      </c>
    </row>
    <row r="133" customFormat="false" ht="23.85" hidden="false" customHeight="false" outlineLevel="0" collapsed="false">
      <c r="A133" s="5" t="s">
        <v>1656</v>
      </c>
      <c r="B133" s="2" t="s">
        <v>1657</v>
      </c>
      <c r="C133" s="5" t="s">
        <v>488</v>
      </c>
      <c r="D133" s="5" t="s">
        <v>62</v>
      </c>
      <c r="E133" s="5" t="s">
        <v>309</v>
      </c>
    </row>
    <row r="134" customFormat="false" ht="23.85" hidden="false" customHeight="false" outlineLevel="0" collapsed="false">
      <c r="A134" s="5" t="s">
        <v>1662</v>
      </c>
      <c r="B134" s="2" t="s">
        <v>1663</v>
      </c>
      <c r="C134" s="5" t="s">
        <v>488</v>
      </c>
      <c r="D134" s="5" t="s">
        <v>62</v>
      </c>
      <c r="E134" s="5" t="s">
        <v>309</v>
      </c>
    </row>
    <row r="135" customFormat="false" ht="23.85" hidden="false" customHeight="false" outlineLevel="0" collapsed="false">
      <c r="A135" s="5" t="s">
        <v>1667</v>
      </c>
      <c r="B135" s="2" t="s">
        <v>1668</v>
      </c>
      <c r="C135" s="5" t="s">
        <v>488</v>
      </c>
      <c r="D135" s="5" t="s">
        <v>62</v>
      </c>
      <c r="E135" s="5" t="s">
        <v>309</v>
      </c>
    </row>
    <row r="136" customFormat="false" ht="15" hidden="false" customHeight="false" outlineLevel="0" collapsed="false">
      <c r="A136" s="5" t="s">
        <v>1672</v>
      </c>
      <c r="B136" s="2" t="s">
        <v>1673</v>
      </c>
      <c r="C136" s="5" t="s">
        <v>488</v>
      </c>
      <c r="D136" s="5" t="s">
        <v>62</v>
      </c>
      <c r="E136" s="5" t="s">
        <v>1537</v>
      </c>
    </row>
    <row r="137" customFormat="false" ht="23.85" hidden="false" customHeight="false" outlineLevel="0" collapsed="false">
      <c r="A137" s="5" t="s">
        <v>1681</v>
      </c>
      <c r="B137" s="2" t="s">
        <v>1682</v>
      </c>
      <c r="C137" s="5" t="s">
        <v>488</v>
      </c>
      <c r="D137" s="5" t="s">
        <v>62</v>
      </c>
      <c r="E137" s="5" t="s">
        <v>309</v>
      </c>
    </row>
    <row r="138" customFormat="false" ht="23.85" hidden="false" customHeight="false" outlineLevel="0" collapsed="false">
      <c r="A138" s="5" t="s">
        <v>1686</v>
      </c>
      <c r="B138" s="2" t="s">
        <v>1687</v>
      </c>
      <c r="C138" s="5" t="s">
        <v>488</v>
      </c>
      <c r="D138" s="5" t="s">
        <v>62</v>
      </c>
      <c r="E138" s="5" t="s">
        <v>309</v>
      </c>
    </row>
    <row r="139" customFormat="false" ht="23.85" hidden="false" customHeight="false" outlineLevel="0" collapsed="false">
      <c r="A139" s="5" t="s">
        <v>1696</v>
      </c>
      <c r="B139" s="2" t="s">
        <v>1697</v>
      </c>
      <c r="C139" s="5" t="s">
        <v>488</v>
      </c>
      <c r="D139" s="5" t="s">
        <v>62</v>
      </c>
      <c r="E139" s="5" t="s">
        <v>309</v>
      </c>
    </row>
    <row r="140" customFormat="false" ht="23.85" hidden="false" customHeight="false" outlineLevel="0" collapsed="false">
      <c r="A140" s="5" t="s">
        <v>1707</v>
      </c>
      <c r="B140" s="2" t="s">
        <v>1708</v>
      </c>
      <c r="C140" s="5" t="s">
        <v>488</v>
      </c>
      <c r="D140" s="5" t="s">
        <v>62</v>
      </c>
      <c r="E140" s="5" t="s">
        <v>309</v>
      </c>
    </row>
    <row r="141" customFormat="false" ht="15" hidden="false" customHeight="false" outlineLevel="0" collapsed="false">
      <c r="A141" s="5" t="s">
        <v>1719</v>
      </c>
      <c r="B141" s="2" t="s">
        <v>1720</v>
      </c>
      <c r="C141" s="5" t="s">
        <v>488</v>
      </c>
      <c r="D141" s="5" t="s">
        <v>62</v>
      </c>
      <c r="E141" s="5" t="s">
        <v>309</v>
      </c>
    </row>
    <row r="142" customFormat="false" ht="15" hidden="false" customHeight="false" outlineLevel="0" collapsed="false">
      <c r="A142" s="5" t="s">
        <v>1725</v>
      </c>
      <c r="B142" s="2" t="s">
        <v>1726</v>
      </c>
      <c r="C142" s="5" t="s">
        <v>488</v>
      </c>
      <c r="D142" s="5" t="s">
        <v>62</v>
      </c>
      <c r="E142" s="5" t="s">
        <v>309</v>
      </c>
    </row>
    <row r="143" customFormat="false" ht="23.85" hidden="false" customHeight="false" outlineLevel="0" collapsed="false">
      <c r="A143" s="5" t="s">
        <v>1730</v>
      </c>
      <c r="B143" s="2" t="s">
        <v>1731</v>
      </c>
      <c r="C143" s="5" t="s">
        <v>488</v>
      </c>
      <c r="D143" s="5" t="s">
        <v>62</v>
      </c>
      <c r="E143" s="5" t="s">
        <v>214</v>
      </c>
    </row>
    <row r="144" customFormat="false" ht="23.85" hidden="false" customHeight="false" outlineLevel="0" collapsed="false">
      <c r="A144" s="5" t="s">
        <v>1736</v>
      </c>
      <c r="B144" s="2" t="s">
        <v>1737</v>
      </c>
      <c r="C144" s="5" t="s">
        <v>488</v>
      </c>
      <c r="D144" s="5" t="s">
        <v>62</v>
      </c>
      <c r="E144" s="5" t="s">
        <v>309</v>
      </c>
    </row>
    <row r="145" customFormat="false" ht="15" hidden="false" customHeight="false" outlineLevel="0" collapsed="false">
      <c r="A145" s="5" t="s">
        <v>1741</v>
      </c>
      <c r="B145" s="2" t="s">
        <v>1742</v>
      </c>
      <c r="C145" s="5" t="s">
        <v>488</v>
      </c>
      <c r="D145" s="5" t="s">
        <v>62</v>
      </c>
      <c r="E145" s="5" t="s">
        <v>309</v>
      </c>
    </row>
    <row r="146" customFormat="false" ht="15" hidden="false" customHeight="false" outlineLevel="0" collapsed="false">
      <c r="A146" s="5" t="s">
        <v>1746</v>
      </c>
      <c r="B146" s="2" t="s">
        <v>1747</v>
      </c>
      <c r="C146" s="5" t="s">
        <v>488</v>
      </c>
      <c r="D146" s="5" t="s">
        <v>62</v>
      </c>
      <c r="E146" s="5" t="s">
        <v>309</v>
      </c>
    </row>
    <row r="147" customFormat="false" ht="23.85" hidden="false" customHeight="false" outlineLevel="0" collapsed="false">
      <c r="A147" s="5" t="s">
        <v>1751</v>
      </c>
      <c r="B147" s="2" t="s">
        <v>1752</v>
      </c>
      <c r="C147" s="5" t="s">
        <v>488</v>
      </c>
      <c r="D147" s="5" t="s">
        <v>62</v>
      </c>
      <c r="E147" s="5" t="s">
        <v>309</v>
      </c>
    </row>
    <row r="148" customFormat="false" ht="15" hidden="false" customHeight="false" outlineLevel="0" collapsed="false">
      <c r="A148" s="5" t="s">
        <v>1757</v>
      </c>
      <c r="B148" s="2" t="s">
        <v>1758</v>
      </c>
      <c r="C148" s="5" t="s">
        <v>488</v>
      </c>
      <c r="D148" s="5" t="s">
        <v>62</v>
      </c>
      <c r="E148" s="5" t="s">
        <v>309</v>
      </c>
    </row>
    <row r="149" customFormat="false" ht="23.85" hidden="false" customHeight="false" outlineLevel="0" collapsed="false">
      <c r="A149" s="5" t="s">
        <v>1768</v>
      </c>
      <c r="B149" s="2" t="s">
        <v>1769</v>
      </c>
      <c r="C149" s="5" t="s">
        <v>488</v>
      </c>
      <c r="D149" s="5" t="s">
        <v>62</v>
      </c>
      <c r="E149" s="5" t="s">
        <v>309</v>
      </c>
    </row>
    <row r="150" customFormat="false" ht="23.85" hidden="false" customHeight="false" outlineLevel="0" collapsed="false">
      <c r="A150" s="5" t="s">
        <v>1773</v>
      </c>
      <c r="B150" s="2" t="s">
        <v>1774</v>
      </c>
      <c r="C150" s="5" t="s">
        <v>488</v>
      </c>
      <c r="D150" s="5" t="s">
        <v>62</v>
      </c>
      <c r="E150" s="5" t="s">
        <v>309</v>
      </c>
    </row>
    <row r="151" customFormat="false" ht="15" hidden="false" customHeight="false" outlineLevel="0" collapsed="false">
      <c r="A151" s="5" t="s">
        <v>1783</v>
      </c>
      <c r="B151" s="2" t="s">
        <v>1784</v>
      </c>
      <c r="C151" s="5" t="s">
        <v>488</v>
      </c>
      <c r="D151" s="5" t="s">
        <v>62</v>
      </c>
      <c r="E151" s="5" t="s">
        <v>309</v>
      </c>
    </row>
    <row r="152" customFormat="false" ht="23.85" hidden="false" customHeight="false" outlineLevel="0" collapsed="false">
      <c r="A152" s="5" t="s">
        <v>1788</v>
      </c>
      <c r="B152" s="2" t="s">
        <v>1789</v>
      </c>
      <c r="C152" s="5" t="s">
        <v>488</v>
      </c>
      <c r="D152" s="5" t="s">
        <v>62</v>
      </c>
      <c r="E152" s="5" t="s">
        <v>309</v>
      </c>
    </row>
    <row r="153" customFormat="false" ht="15" hidden="false" customHeight="false" outlineLevel="0" collapsed="false">
      <c r="A153" s="5" t="s">
        <v>1807</v>
      </c>
      <c r="B153" s="2" t="s">
        <v>1808</v>
      </c>
      <c r="C153" s="5" t="s">
        <v>488</v>
      </c>
      <c r="D153" s="5" t="s">
        <v>62</v>
      </c>
      <c r="E153" s="5" t="s">
        <v>309</v>
      </c>
    </row>
    <row r="154" customFormat="false" ht="23.85" hidden="false" customHeight="false" outlineLevel="0" collapsed="false">
      <c r="A154" s="5" t="s">
        <v>1812</v>
      </c>
      <c r="B154" s="2" t="s">
        <v>1813</v>
      </c>
      <c r="C154" s="5" t="s">
        <v>488</v>
      </c>
      <c r="D154" s="5" t="s">
        <v>62</v>
      </c>
      <c r="E154" s="5" t="s">
        <v>309</v>
      </c>
    </row>
    <row r="155" customFormat="false" ht="23.85" hidden="false" customHeight="false" outlineLevel="0" collapsed="false">
      <c r="A155" s="5" t="s">
        <v>1819</v>
      </c>
      <c r="B155" s="2" t="s">
        <v>1820</v>
      </c>
      <c r="C155" s="5" t="s">
        <v>488</v>
      </c>
      <c r="D155" s="5" t="s">
        <v>62</v>
      </c>
      <c r="E155" s="5" t="s">
        <v>372</v>
      </c>
    </row>
    <row r="156" customFormat="false" ht="15" hidden="false" customHeight="false" outlineLevel="0" collapsed="false">
      <c r="A156" s="5" t="s">
        <v>1825</v>
      </c>
      <c r="B156" s="2" t="s">
        <v>1826</v>
      </c>
      <c r="C156" s="5" t="s">
        <v>488</v>
      </c>
      <c r="D156" s="5" t="s">
        <v>62</v>
      </c>
      <c r="E156" s="5" t="s">
        <v>309</v>
      </c>
    </row>
    <row r="157" customFormat="false" ht="23.85" hidden="false" customHeight="false" outlineLevel="0" collapsed="false">
      <c r="A157" s="5" t="s">
        <v>1831</v>
      </c>
      <c r="B157" s="2" t="s">
        <v>1832</v>
      </c>
      <c r="C157" s="5" t="s">
        <v>488</v>
      </c>
      <c r="D157" s="5" t="s">
        <v>62</v>
      </c>
      <c r="E157" s="5" t="s">
        <v>309</v>
      </c>
    </row>
    <row r="158" customFormat="false" ht="23.85" hidden="false" customHeight="false" outlineLevel="0" collapsed="false">
      <c r="A158" s="5" t="s">
        <v>1837</v>
      </c>
      <c r="B158" s="2" t="s">
        <v>1838</v>
      </c>
      <c r="C158" s="5" t="s">
        <v>488</v>
      </c>
      <c r="D158" s="5" t="s">
        <v>62</v>
      </c>
      <c r="E158" s="5" t="s">
        <v>309</v>
      </c>
    </row>
    <row r="159" customFormat="false" ht="15" hidden="false" customHeight="false" outlineLevel="0" collapsed="false">
      <c r="A159" s="5" t="s">
        <v>1842</v>
      </c>
      <c r="B159" s="2" t="s">
        <v>1843</v>
      </c>
      <c r="C159" s="5" t="s">
        <v>488</v>
      </c>
      <c r="D159" s="5" t="s">
        <v>62</v>
      </c>
      <c r="E159" s="5" t="s">
        <v>309</v>
      </c>
    </row>
    <row r="160" customFormat="false" ht="23.85" hidden="false" customHeight="false" outlineLevel="0" collapsed="false">
      <c r="A160" s="5" t="s">
        <v>1860</v>
      </c>
      <c r="B160" s="2" t="s">
        <v>1861</v>
      </c>
      <c r="C160" s="5" t="s">
        <v>488</v>
      </c>
      <c r="D160" s="5" t="s">
        <v>62</v>
      </c>
      <c r="E160" s="5" t="s">
        <v>1225</v>
      </c>
    </row>
    <row r="161" customFormat="false" ht="23.85" hidden="false" customHeight="false" outlineLevel="0" collapsed="false">
      <c r="A161" s="5" t="s">
        <v>1865</v>
      </c>
      <c r="B161" s="2" t="s">
        <v>1866</v>
      </c>
      <c r="C161" s="5" t="s">
        <v>488</v>
      </c>
      <c r="D161" s="5" t="s">
        <v>62</v>
      </c>
      <c r="E161" s="5" t="s">
        <v>309</v>
      </c>
    </row>
    <row r="162" customFormat="false" ht="23.85" hidden="false" customHeight="false" outlineLevel="0" collapsed="false">
      <c r="A162" s="5" t="s">
        <v>1870</v>
      </c>
      <c r="B162" s="2" t="s">
        <v>1871</v>
      </c>
      <c r="C162" s="5" t="s">
        <v>488</v>
      </c>
      <c r="D162" s="5" t="s">
        <v>62</v>
      </c>
      <c r="E162" s="5" t="s">
        <v>309</v>
      </c>
    </row>
    <row r="163" customFormat="false" ht="23.85" hidden="false" customHeight="false" outlineLevel="0" collapsed="false">
      <c r="A163" s="5" t="s">
        <v>1875</v>
      </c>
      <c r="B163" s="2" t="s">
        <v>1876</v>
      </c>
      <c r="C163" s="5" t="s">
        <v>488</v>
      </c>
      <c r="D163" s="5" t="s">
        <v>62</v>
      </c>
      <c r="E163" s="5" t="s">
        <v>1225</v>
      </c>
    </row>
    <row r="164" customFormat="false" ht="23.85" hidden="false" customHeight="false" outlineLevel="0" collapsed="false">
      <c r="A164" s="5" t="s">
        <v>1882</v>
      </c>
      <c r="B164" s="2" t="s">
        <v>1883</v>
      </c>
      <c r="C164" s="5" t="s">
        <v>488</v>
      </c>
      <c r="D164" s="5" t="s">
        <v>62</v>
      </c>
      <c r="E164" s="5" t="s">
        <v>309</v>
      </c>
    </row>
    <row r="165" customFormat="false" ht="15" hidden="false" customHeight="false" outlineLevel="0" collapsed="false">
      <c r="A165" s="5" t="s">
        <v>1888</v>
      </c>
      <c r="B165" s="2" t="s">
        <v>1889</v>
      </c>
      <c r="C165" s="5" t="s">
        <v>488</v>
      </c>
      <c r="D165" s="5" t="s">
        <v>62</v>
      </c>
      <c r="E165" s="5" t="s">
        <v>309</v>
      </c>
    </row>
    <row r="166" customFormat="false" ht="23.85" hidden="false" customHeight="false" outlineLevel="0" collapsed="false">
      <c r="A166" s="5" t="s">
        <v>1894</v>
      </c>
      <c r="B166" s="2" t="s">
        <v>1895</v>
      </c>
      <c r="C166" s="5" t="s">
        <v>488</v>
      </c>
      <c r="D166" s="5" t="s">
        <v>62</v>
      </c>
      <c r="E166" s="5" t="s">
        <v>309</v>
      </c>
    </row>
    <row r="167" customFormat="false" ht="23.85" hidden="false" customHeight="false" outlineLevel="0" collapsed="false">
      <c r="A167" s="5" t="s">
        <v>1899</v>
      </c>
      <c r="B167" s="2" t="s">
        <v>1900</v>
      </c>
      <c r="C167" s="5" t="s">
        <v>488</v>
      </c>
      <c r="D167" s="5" t="s">
        <v>62</v>
      </c>
      <c r="E167" s="5" t="s">
        <v>309</v>
      </c>
    </row>
    <row r="168" customFormat="false" ht="23.85" hidden="false" customHeight="false" outlineLevel="0" collapsed="false">
      <c r="A168" s="5" t="s">
        <v>1904</v>
      </c>
      <c r="B168" s="2" t="s">
        <v>1905</v>
      </c>
      <c r="C168" s="5" t="s">
        <v>488</v>
      </c>
      <c r="D168" s="5" t="s">
        <v>62</v>
      </c>
      <c r="E168" s="5" t="s">
        <v>309</v>
      </c>
    </row>
    <row r="169" customFormat="false" ht="23.85" hidden="false" customHeight="false" outlineLevel="0" collapsed="false">
      <c r="A169" s="5" t="s">
        <v>1909</v>
      </c>
      <c r="B169" s="2" t="s">
        <v>1910</v>
      </c>
      <c r="C169" s="5" t="s">
        <v>488</v>
      </c>
      <c r="D169" s="5" t="s">
        <v>62</v>
      </c>
      <c r="E169" s="5" t="s">
        <v>346</v>
      </c>
    </row>
    <row r="170" customFormat="false" ht="15" hidden="false" customHeight="false" outlineLevel="0" collapsed="false">
      <c r="A170" s="5" t="s">
        <v>1916</v>
      </c>
      <c r="B170" s="2" t="s">
        <v>1917</v>
      </c>
      <c r="C170" s="5" t="s">
        <v>488</v>
      </c>
      <c r="D170" s="5" t="s">
        <v>62</v>
      </c>
      <c r="E170" s="5" t="s">
        <v>309</v>
      </c>
    </row>
    <row r="171" customFormat="false" ht="23.85" hidden="false" customHeight="false" outlineLevel="0" collapsed="false">
      <c r="A171" s="5" t="s">
        <v>1922</v>
      </c>
      <c r="B171" s="2" t="s">
        <v>1923</v>
      </c>
      <c r="C171" s="5" t="s">
        <v>488</v>
      </c>
      <c r="D171" s="5" t="s">
        <v>62</v>
      </c>
      <c r="E171" s="5" t="s">
        <v>372</v>
      </c>
    </row>
    <row r="172" customFormat="false" ht="15" hidden="false" customHeight="false" outlineLevel="0" collapsed="false">
      <c r="A172" s="5" t="s">
        <v>1928</v>
      </c>
      <c r="B172" s="2" t="s">
        <v>1929</v>
      </c>
      <c r="C172" s="5" t="s">
        <v>488</v>
      </c>
      <c r="D172" s="5" t="s">
        <v>62</v>
      </c>
      <c r="E172" s="5" t="s">
        <v>309</v>
      </c>
    </row>
    <row r="173" customFormat="false" ht="23.85" hidden="false" customHeight="false" outlineLevel="0" collapsed="false">
      <c r="A173" s="5" t="s">
        <v>1934</v>
      </c>
      <c r="B173" s="2" t="s">
        <v>1935</v>
      </c>
      <c r="C173" s="5" t="s">
        <v>488</v>
      </c>
      <c r="D173" s="5" t="s">
        <v>62</v>
      </c>
      <c r="E173" s="5" t="s">
        <v>309</v>
      </c>
    </row>
    <row r="174" customFormat="false" ht="23.85" hidden="false" customHeight="false" outlineLevel="0" collapsed="false">
      <c r="A174" s="5" t="s">
        <v>1945</v>
      </c>
      <c r="B174" s="2" t="s">
        <v>1946</v>
      </c>
      <c r="C174" s="5" t="s">
        <v>488</v>
      </c>
      <c r="D174" s="5" t="s">
        <v>62</v>
      </c>
      <c r="E174" s="5" t="s">
        <v>309</v>
      </c>
    </row>
    <row r="175" customFormat="false" ht="23.85" hidden="false" customHeight="false" outlineLevel="0" collapsed="false">
      <c r="A175" s="5" t="s">
        <v>1950</v>
      </c>
      <c r="B175" s="2" t="s">
        <v>1951</v>
      </c>
      <c r="C175" s="5" t="s">
        <v>488</v>
      </c>
      <c r="D175" s="5" t="s">
        <v>62</v>
      </c>
      <c r="E175" s="5" t="s">
        <v>309</v>
      </c>
    </row>
    <row r="176" customFormat="false" ht="23.85" hidden="false" customHeight="false" outlineLevel="0" collapsed="false">
      <c r="A176" s="5" t="s">
        <v>1969</v>
      </c>
      <c r="B176" s="2" t="s">
        <v>1970</v>
      </c>
      <c r="C176" s="5" t="s">
        <v>488</v>
      </c>
      <c r="D176" s="5" t="s">
        <v>62</v>
      </c>
      <c r="E176" s="5" t="s">
        <v>309</v>
      </c>
    </row>
    <row r="177" customFormat="false" ht="23.85" hidden="false" customHeight="false" outlineLevel="0" collapsed="false">
      <c r="A177" s="5" t="s">
        <v>1988</v>
      </c>
      <c r="B177" s="2" t="s">
        <v>1989</v>
      </c>
      <c r="C177" s="5" t="s">
        <v>488</v>
      </c>
      <c r="D177" s="5" t="s">
        <v>62</v>
      </c>
      <c r="E177" s="5" t="s">
        <v>309</v>
      </c>
    </row>
    <row r="178" customFormat="false" ht="23.85" hidden="false" customHeight="false" outlineLevel="0" collapsed="false">
      <c r="A178" s="5" t="s">
        <v>2010</v>
      </c>
      <c r="B178" s="2" t="s">
        <v>2011</v>
      </c>
      <c r="C178" s="5" t="s">
        <v>488</v>
      </c>
      <c r="D178" s="5" t="s">
        <v>62</v>
      </c>
      <c r="E178" s="5" t="s">
        <v>309</v>
      </c>
    </row>
    <row r="179" customFormat="false" ht="15" hidden="false" customHeight="false" outlineLevel="0" collapsed="false">
      <c r="A179" s="5" t="s">
        <v>2033</v>
      </c>
      <c r="B179" s="2" t="s">
        <v>2034</v>
      </c>
      <c r="C179" s="5" t="s">
        <v>488</v>
      </c>
      <c r="D179" s="5" t="s">
        <v>62</v>
      </c>
      <c r="E179" s="5" t="s">
        <v>309</v>
      </c>
    </row>
    <row r="180" customFormat="false" ht="15" hidden="false" customHeight="false" outlineLevel="0" collapsed="false">
      <c r="A180" s="5" t="s">
        <v>2038</v>
      </c>
      <c r="B180" s="2" t="s">
        <v>2039</v>
      </c>
      <c r="C180" s="5" t="s">
        <v>488</v>
      </c>
      <c r="D180" s="5" t="s">
        <v>490</v>
      </c>
      <c r="E180" s="5" t="s">
        <v>309</v>
      </c>
    </row>
    <row r="181" customFormat="false" ht="15" hidden="false" customHeight="false" outlineLevel="0" collapsed="false">
      <c r="A181" s="5" t="s">
        <v>2043</v>
      </c>
      <c r="B181" s="2" t="s">
        <v>2044</v>
      </c>
      <c r="C181" s="5" t="s">
        <v>488</v>
      </c>
      <c r="D181" s="5" t="s">
        <v>62</v>
      </c>
      <c r="E181" s="5" t="s">
        <v>192</v>
      </c>
    </row>
    <row r="182" customFormat="false" ht="23.85" hidden="false" customHeight="false" outlineLevel="0" collapsed="false">
      <c r="A182" s="5" t="s">
        <v>2051</v>
      </c>
      <c r="B182" s="2" t="s">
        <v>2052</v>
      </c>
      <c r="C182" s="5" t="s">
        <v>488</v>
      </c>
      <c r="D182" s="5" t="s">
        <v>62</v>
      </c>
      <c r="E182" s="5" t="s">
        <v>309</v>
      </c>
    </row>
    <row r="183" customFormat="false" ht="23.85" hidden="false" customHeight="false" outlineLevel="0" collapsed="false">
      <c r="A183" s="5" t="s">
        <v>2063</v>
      </c>
      <c r="B183" s="2" t="s">
        <v>2064</v>
      </c>
      <c r="C183" s="5" t="s">
        <v>488</v>
      </c>
      <c r="D183" s="5" t="s">
        <v>62</v>
      </c>
      <c r="E183" s="5" t="s">
        <v>309</v>
      </c>
    </row>
    <row r="184" customFormat="false" ht="15" hidden="false" customHeight="false" outlineLevel="0" collapsed="false">
      <c r="A184" s="5" t="s">
        <v>2084</v>
      </c>
      <c r="B184" s="2" t="s">
        <v>2085</v>
      </c>
      <c r="C184" s="5" t="s">
        <v>488</v>
      </c>
      <c r="D184" s="5" t="s">
        <v>62</v>
      </c>
      <c r="E184" s="5" t="s">
        <v>309</v>
      </c>
    </row>
    <row r="185" customFormat="false" ht="15" hidden="false" customHeight="false" outlineLevel="0" collapsed="false">
      <c r="A185" s="5" t="s">
        <v>2089</v>
      </c>
      <c r="B185" s="2" t="s">
        <v>2090</v>
      </c>
      <c r="C185" s="5" t="s">
        <v>488</v>
      </c>
      <c r="D185" s="5" t="s">
        <v>62</v>
      </c>
      <c r="E185" s="5" t="s">
        <v>372</v>
      </c>
    </row>
    <row r="186" customFormat="false" ht="23.85" hidden="false" customHeight="false" outlineLevel="0" collapsed="false">
      <c r="A186" s="5" t="s">
        <v>2099</v>
      </c>
      <c r="B186" s="2" t="s">
        <v>2100</v>
      </c>
      <c r="C186" s="5" t="s">
        <v>488</v>
      </c>
      <c r="D186" s="5" t="s">
        <v>62</v>
      </c>
      <c r="E186" s="5" t="s">
        <v>1225</v>
      </c>
    </row>
    <row r="187" customFormat="false" ht="23.85" hidden="false" customHeight="false" outlineLevel="0" collapsed="false">
      <c r="A187" s="5" t="s">
        <v>2104</v>
      </c>
      <c r="B187" s="2" t="s">
        <v>2105</v>
      </c>
      <c r="C187" s="5" t="s">
        <v>488</v>
      </c>
      <c r="D187" s="5" t="s">
        <v>62</v>
      </c>
      <c r="E187" s="5" t="s">
        <v>309</v>
      </c>
    </row>
    <row r="188" customFormat="false" ht="15" hidden="false" customHeight="false" outlineLevel="0" collapsed="false">
      <c r="A188" s="5" t="s">
        <v>2114</v>
      </c>
      <c r="B188" s="2" t="s">
        <v>2115</v>
      </c>
      <c r="C188" s="5" t="s">
        <v>488</v>
      </c>
      <c r="D188" s="5" t="s">
        <v>62</v>
      </c>
      <c r="E188" s="5" t="s">
        <v>309</v>
      </c>
    </row>
    <row r="189" customFormat="false" ht="15" hidden="false" customHeight="false" outlineLevel="0" collapsed="false">
      <c r="A189" s="5" t="s">
        <v>2282</v>
      </c>
      <c r="B189" s="2" t="s">
        <v>2283</v>
      </c>
      <c r="C189" s="5" t="s">
        <v>2128</v>
      </c>
      <c r="D189" s="5" t="s">
        <v>62</v>
      </c>
      <c r="E189" s="5" t="s">
        <v>1537</v>
      </c>
    </row>
    <row r="190" customFormat="false" ht="23.85" hidden="false" customHeight="false" outlineLevel="0" collapsed="false">
      <c r="A190" s="5" t="s">
        <v>2317</v>
      </c>
      <c r="B190" s="2" t="s">
        <v>2318</v>
      </c>
      <c r="C190" s="5" t="s">
        <v>2128</v>
      </c>
      <c r="D190" s="5" t="s">
        <v>62</v>
      </c>
      <c r="E190" s="5" t="s">
        <v>192</v>
      </c>
    </row>
    <row r="191" customFormat="false" ht="15" hidden="false" customHeight="false" outlineLevel="0" collapsed="false">
      <c r="A191" s="5" t="s">
        <v>2477</v>
      </c>
      <c r="B191" s="2" t="s">
        <v>2478</v>
      </c>
      <c r="C191" s="5" t="s">
        <v>2128</v>
      </c>
      <c r="D191" s="5" t="s">
        <v>62</v>
      </c>
      <c r="E191" s="5" t="s">
        <v>214</v>
      </c>
    </row>
    <row r="192" customFormat="false" ht="15" hidden="false" customHeight="false" outlineLevel="0" collapsed="false">
      <c r="A192" s="5" t="s">
        <v>2485</v>
      </c>
      <c r="B192" s="2" t="s">
        <v>2486</v>
      </c>
      <c r="C192" s="5" t="s">
        <v>2128</v>
      </c>
      <c r="D192" s="5" t="s">
        <v>62</v>
      </c>
      <c r="E192" s="5" t="s">
        <v>214</v>
      </c>
    </row>
    <row r="193" customFormat="false" ht="15" hidden="false" customHeight="false" outlineLevel="0" collapsed="false">
      <c r="A193" s="5" t="s">
        <v>2606</v>
      </c>
      <c r="B193" s="2" t="s">
        <v>2607</v>
      </c>
      <c r="C193" s="5" t="s">
        <v>2128</v>
      </c>
      <c r="D193" s="5" t="s">
        <v>62</v>
      </c>
      <c r="E193" s="5" t="s">
        <v>1537</v>
      </c>
    </row>
    <row r="194" customFormat="false" ht="23.85" hidden="false" customHeight="false" outlineLevel="0" collapsed="false">
      <c r="A194" s="5" t="s">
        <v>2623</v>
      </c>
      <c r="B194" s="2" t="s">
        <v>2624</v>
      </c>
      <c r="C194" s="5" t="s">
        <v>2128</v>
      </c>
      <c r="D194" s="5" t="s">
        <v>62</v>
      </c>
      <c r="E194" s="5" t="s">
        <v>2632</v>
      </c>
    </row>
    <row r="195" customFormat="false" ht="23.85" hidden="false" customHeight="false" outlineLevel="0" collapsed="false">
      <c r="A195" s="5" t="s">
        <v>2642</v>
      </c>
      <c r="B195" s="2" t="s">
        <v>2643</v>
      </c>
      <c r="C195" s="5" t="s">
        <v>2128</v>
      </c>
      <c r="D195" s="5" t="s">
        <v>62</v>
      </c>
      <c r="E195" s="5" t="s">
        <v>192</v>
      </c>
    </row>
    <row r="196" customFormat="false" ht="23.85" hidden="false" customHeight="false" outlineLevel="0" collapsed="false">
      <c r="A196" s="5" t="s">
        <v>2763</v>
      </c>
      <c r="B196" s="2" t="s">
        <v>2764</v>
      </c>
      <c r="C196" s="5" t="s">
        <v>2128</v>
      </c>
      <c r="D196" s="5" t="s">
        <v>62</v>
      </c>
      <c r="E196" s="5" t="s">
        <v>192</v>
      </c>
    </row>
    <row r="197" customFormat="false" ht="15" hidden="false" customHeight="false" outlineLevel="0" collapsed="false">
      <c r="A197" s="5" t="s">
        <v>2857</v>
      </c>
      <c r="B197" s="2" t="s">
        <v>2858</v>
      </c>
      <c r="C197" s="5" t="s">
        <v>2128</v>
      </c>
      <c r="D197" s="5" t="s">
        <v>490</v>
      </c>
      <c r="E197" s="5" t="s">
        <v>1537</v>
      </c>
    </row>
    <row r="198" customFormat="false" ht="15" hidden="false" customHeight="false" outlineLevel="0" collapsed="false">
      <c r="A198" s="5" t="s">
        <v>3042</v>
      </c>
      <c r="B198" s="2" t="s">
        <v>3043</v>
      </c>
      <c r="C198" s="5" t="s">
        <v>2128</v>
      </c>
      <c r="D198" s="5" t="s">
        <v>62</v>
      </c>
      <c r="E198" s="5" t="s">
        <v>192</v>
      </c>
    </row>
    <row r="199" customFormat="false" ht="15" hidden="false" customHeight="false" outlineLevel="0" collapsed="false">
      <c r="A199" s="5" t="s">
        <v>3046</v>
      </c>
      <c r="B199" s="2" t="s">
        <v>3047</v>
      </c>
      <c r="C199" s="5" t="s">
        <v>2128</v>
      </c>
      <c r="D199" s="5" t="s">
        <v>62</v>
      </c>
      <c r="E199" s="5" t="s">
        <v>192</v>
      </c>
    </row>
    <row r="200" customFormat="false" ht="15" hidden="false" customHeight="false" outlineLevel="0" collapsed="false">
      <c r="A200" s="5" t="s">
        <v>3058</v>
      </c>
      <c r="B200" s="2" t="s">
        <v>3059</v>
      </c>
      <c r="C200" s="5" t="s">
        <v>2128</v>
      </c>
      <c r="D200" s="5" t="s">
        <v>62</v>
      </c>
      <c r="E200" s="5" t="s">
        <v>192</v>
      </c>
    </row>
    <row r="201" customFormat="false" ht="15" hidden="false" customHeight="false" outlineLevel="0" collapsed="false">
      <c r="A201" s="5" t="s">
        <v>3071</v>
      </c>
      <c r="B201" s="2" t="s">
        <v>3072</v>
      </c>
      <c r="C201" s="5" t="s">
        <v>2128</v>
      </c>
      <c r="D201" s="5" t="s">
        <v>62</v>
      </c>
      <c r="E201" s="5" t="s">
        <v>192</v>
      </c>
    </row>
    <row r="202" customFormat="false" ht="15" hidden="false" customHeight="false" outlineLevel="0" collapsed="false">
      <c r="A202" s="5" t="s">
        <v>3089</v>
      </c>
      <c r="B202" s="2" t="s">
        <v>3090</v>
      </c>
      <c r="C202" s="5" t="s">
        <v>2128</v>
      </c>
      <c r="D202" s="5" t="s">
        <v>62</v>
      </c>
      <c r="E202" s="5" t="s">
        <v>192</v>
      </c>
    </row>
    <row r="203" customFormat="false" ht="23.85" hidden="false" customHeight="false" outlineLevel="0" collapsed="false">
      <c r="A203" s="5" t="s">
        <v>3101</v>
      </c>
      <c r="B203" s="2" t="s">
        <v>3102</v>
      </c>
      <c r="C203" s="5" t="s">
        <v>2128</v>
      </c>
      <c r="D203" s="5" t="s">
        <v>62</v>
      </c>
      <c r="E203" s="5" t="s">
        <v>192</v>
      </c>
    </row>
    <row r="204" customFormat="false" ht="23.85" hidden="false" customHeight="false" outlineLevel="0" collapsed="false">
      <c r="A204" s="5" t="s">
        <v>3121</v>
      </c>
      <c r="B204" s="2" t="s">
        <v>3122</v>
      </c>
      <c r="C204" s="5" t="s">
        <v>2128</v>
      </c>
      <c r="D204" s="5" t="s">
        <v>62</v>
      </c>
      <c r="E204" s="5" t="s">
        <v>309</v>
      </c>
    </row>
    <row r="205" customFormat="false" ht="23.85" hidden="false" customHeight="false" outlineLevel="0" collapsed="false">
      <c r="A205" s="5" t="s">
        <v>3127</v>
      </c>
      <c r="B205" s="2" t="s">
        <v>3128</v>
      </c>
      <c r="C205" s="5" t="s">
        <v>2245</v>
      </c>
      <c r="D205" s="5" t="s">
        <v>62</v>
      </c>
      <c r="E205" s="5" t="s">
        <v>3134</v>
      </c>
    </row>
    <row r="206" customFormat="false" ht="23.85" hidden="false" customHeight="false" outlineLevel="0" collapsed="false">
      <c r="A206" s="5" t="s">
        <v>3146</v>
      </c>
      <c r="B206" s="2" t="s">
        <v>3147</v>
      </c>
      <c r="C206" s="5" t="s">
        <v>2128</v>
      </c>
      <c r="D206" s="5" t="s">
        <v>62</v>
      </c>
      <c r="E206" s="5" t="s">
        <v>1537</v>
      </c>
    </row>
    <row r="207" customFormat="false" ht="23.85" hidden="false" customHeight="false" outlineLevel="0" collapsed="false">
      <c r="A207" s="5" t="s">
        <v>3161</v>
      </c>
      <c r="B207" s="2" t="s">
        <v>3162</v>
      </c>
      <c r="C207" s="5" t="s">
        <v>2245</v>
      </c>
      <c r="D207" s="5" t="s">
        <v>62</v>
      </c>
      <c r="E207" s="5" t="s">
        <v>3134</v>
      </c>
    </row>
    <row r="208" customFormat="false" ht="23.85" hidden="false" customHeight="false" outlineLevel="0" collapsed="false">
      <c r="A208" s="5" t="s">
        <v>3166</v>
      </c>
      <c r="B208" s="2" t="s">
        <v>3167</v>
      </c>
      <c r="C208" s="5" t="s">
        <v>2245</v>
      </c>
      <c r="D208" s="5" t="s">
        <v>62</v>
      </c>
      <c r="E208" s="5" t="s">
        <v>3134</v>
      </c>
    </row>
    <row r="209" customFormat="false" ht="23.85" hidden="false" customHeight="false" outlineLevel="0" collapsed="false">
      <c r="A209" s="5" t="s">
        <v>3171</v>
      </c>
      <c r="B209" s="2" t="s">
        <v>3172</v>
      </c>
      <c r="C209" s="5" t="s">
        <v>2128</v>
      </c>
      <c r="D209" s="5" t="s">
        <v>62</v>
      </c>
      <c r="E209" s="5" t="s">
        <v>309</v>
      </c>
    </row>
    <row r="210" customFormat="false" ht="23.85" hidden="false" customHeight="false" outlineLevel="0" collapsed="false">
      <c r="A210" s="5" t="s">
        <v>3176</v>
      </c>
      <c r="B210" s="2" t="s">
        <v>3177</v>
      </c>
      <c r="C210" s="5" t="s">
        <v>2128</v>
      </c>
      <c r="D210" s="5" t="s">
        <v>62</v>
      </c>
      <c r="E210" s="5" t="s">
        <v>309</v>
      </c>
    </row>
    <row r="211" customFormat="false" ht="23.85" hidden="false" customHeight="false" outlineLevel="0" collapsed="false">
      <c r="A211" s="5" t="s">
        <v>3189</v>
      </c>
      <c r="B211" s="2" t="s">
        <v>3190</v>
      </c>
      <c r="C211" s="5" t="s">
        <v>2245</v>
      </c>
      <c r="D211" s="5" t="s">
        <v>62</v>
      </c>
      <c r="E211" s="5" t="s">
        <v>3134</v>
      </c>
    </row>
    <row r="212" customFormat="false" ht="15" hidden="false" customHeight="false" outlineLevel="0" collapsed="false">
      <c r="A212" s="5" t="s">
        <v>3194</v>
      </c>
      <c r="B212" s="2" t="s">
        <v>3195</v>
      </c>
      <c r="C212" s="5" t="s">
        <v>2128</v>
      </c>
      <c r="D212" s="5" t="s">
        <v>62</v>
      </c>
      <c r="E212" s="5" t="s">
        <v>1118</v>
      </c>
    </row>
    <row r="213" customFormat="false" ht="23.85" hidden="false" customHeight="false" outlineLevel="0" collapsed="false">
      <c r="A213" s="5" t="s">
        <v>3209</v>
      </c>
      <c r="B213" s="2" t="s">
        <v>3210</v>
      </c>
      <c r="C213" s="5" t="s">
        <v>2128</v>
      </c>
      <c r="D213" s="5" t="s">
        <v>62</v>
      </c>
      <c r="E213" s="5" t="s">
        <v>249</v>
      </c>
    </row>
    <row r="214" customFormat="false" ht="23.85" hidden="false" customHeight="false" outlineLevel="0" collapsed="false">
      <c r="A214" s="5" t="s">
        <v>3218</v>
      </c>
      <c r="B214" s="2" t="s">
        <v>3219</v>
      </c>
      <c r="C214" s="5" t="s">
        <v>2128</v>
      </c>
      <c r="D214" s="5" t="s">
        <v>62</v>
      </c>
      <c r="E214" s="5" t="s">
        <v>249</v>
      </c>
    </row>
    <row r="215" customFormat="false" ht="15" hidden="false" customHeight="false" outlineLevel="0" collapsed="false">
      <c r="A215" s="5" t="s">
        <v>3223</v>
      </c>
      <c r="B215" s="2" t="s">
        <v>3224</v>
      </c>
      <c r="C215" s="5" t="s">
        <v>2128</v>
      </c>
      <c r="D215" s="5" t="s">
        <v>62</v>
      </c>
      <c r="E215" s="5" t="s">
        <v>214</v>
      </c>
    </row>
    <row r="216" customFormat="false" ht="15" hidden="false" customHeight="false" outlineLevel="0" collapsed="false">
      <c r="A216" s="5" t="s">
        <v>3244</v>
      </c>
      <c r="B216" s="2" t="s">
        <v>3245</v>
      </c>
      <c r="C216" s="5" t="s">
        <v>2128</v>
      </c>
      <c r="D216" s="5" t="s">
        <v>62</v>
      </c>
      <c r="E216" s="5" t="s">
        <v>1537</v>
      </c>
    </row>
    <row r="217" customFormat="false" ht="23.85" hidden="false" customHeight="false" outlineLevel="0" collapsed="false">
      <c r="A217" s="5" t="s">
        <v>3262</v>
      </c>
      <c r="B217" s="2" t="s">
        <v>3263</v>
      </c>
      <c r="C217" s="5" t="s">
        <v>2128</v>
      </c>
      <c r="D217" s="5" t="s">
        <v>62</v>
      </c>
      <c r="E217" s="5" t="s">
        <v>309</v>
      </c>
    </row>
    <row r="218" customFormat="false" ht="23.85" hidden="false" customHeight="false" outlineLevel="0" collapsed="false">
      <c r="A218" s="5" t="s">
        <v>3268</v>
      </c>
      <c r="B218" s="2" t="s">
        <v>3269</v>
      </c>
      <c r="C218" s="5" t="s">
        <v>2128</v>
      </c>
      <c r="D218" s="5" t="s">
        <v>62</v>
      </c>
      <c r="E218" s="5" t="s">
        <v>309</v>
      </c>
    </row>
    <row r="219" customFormat="false" ht="23.85" hidden="false" customHeight="false" outlineLevel="0" collapsed="false">
      <c r="A219" s="5" t="s">
        <v>3287</v>
      </c>
      <c r="B219" s="2" t="s">
        <v>3288</v>
      </c>
      <c r="C219" s="5" t="s">
        <v>2245</v>
      </c>
      <c r="D219" s="5" t="s">
        <v>490</v>
      </c>
      <c r="E219" s="5" t="s">
        <v>309</v>
      </c>
    </row>
    <row r="220" customFormat="false" ht="15" hidden="false" customHeight="false" outlineLevel="0" collapsed="false">
      <c r="A220" s="5" t="s">
        <v>3325</v>
      </c>
      <c r="B220" s="2" t="s">
        <v>3326</v>
      </c>
      <c r="C220" s="5" t="s">
        <v>2245</v>
      </c>
      <c r="D220" s="5" t="s">
        <v>62</v>
      </c>
      <c r="E220" s="5" t="s">
        <v>1225</v>
      </c>
    </row>
    <row r="221" customFormat="false" ht="23.85" hidden="false" customHeight="false" outlineLevel="0" collapsed="false">
      <c r="A221" s="5" t="s">
        <v>3333</v>
      </c>
      <c r="B221" s="2" t="s">
        <v>3334</v>
      </c>
      <c r="C221" s="5" t="s">
        <v>2245</v>
      </c>
      <c r="D221" s="5" t="s">
        <v>62</v>
      </c>
      <c r="E221" s="5" t="s">
        <v>1225</v>
      </c>
    </row>
    <row r="222" customFormat="false" ht="15" hidden="false" customHeight="false" outlineLevel="0" collapsed="false">
      <c r="A222" s="5" t="s">
        <v>3338</v>
      </c>
      <c r="B222" s="2" t="s">
        <v>3339</v>
      </c>
      <c r="C222" s="5" t="s">
        <v>2128</v>
      </c>
      <c r="D222" s="5" t="s">
        <v>62</v>
      </c>
      <c r="E222" s="5" t="s">
        <v>309</v>
      </c>
    </row>
    <row r="223" customFormat="false" ht="15" hidden="false" customHeight="false" outlineLevel="0" collapsed="false">
      <c r="A223" s="5" t="s">
        <v>3343</v>
      </c>
      <c r="B223" s="2" t="s">
        <v>3344</v>
      </c>
      <c r="C223" s="5" t="s">
        <v>2128</v>
      </c>
      <c r="D223" s="5" t="s">
        <v>62</v>
      </c>
      <c r="E223" s="5" t="s">
        <v>309</v>
      </c>
    </row>
    <row r="224" customFormat="false" ht="15" hidden="false" customHeight="false" outlineLevel="0" collapsed="false">
      <c r="A224" s="5" t="s">
        <v>3348</v>
      </c>
      <c r="B224" s="2" t="s">
        <v>3349</v>
      </c>
      <c r="C224" s="5" t="s">
        <v>2128</v>
      </c>
      <c r="D224" s="5" t="s">
        <v>62</v>
      </c>
      <c r="E224" s="5" t="s">
        <v>309</v>
      </c>
    </row>
    <row r="225" customFormat="false" ht="23.85" hidden="false" customHeight="false" outlineLevel="0" collapsed="false">
      <c r="A225" s="5" t="s">
        <v>3359</v>
      </c>
      <c r="B225" s="2" t="s">
        <v>3360</v>
      </c>
      <c r="C225" s="5" t="s">
        <v>2128</v>
      </c>
      <c r="D225" s="5" t="s">
        <v>62</v>
      </c>
      <c r="E225" s="5" t="s">
        <v>309</v>
      </c>
    </row>
    <row r="226" customFormat="false" ht="23.85" hidden="false" customHeight="false" outlineLevel="0" collapsed="false">
      <c r="A226" s="5" t="s">
        <v>3391</v>
      </c>
      <c r="B226" s="2" t="s">
        <v>3392</v>
      </c>
      <c r="C226" s="5" t="s">
        <v>2245</v>
      </c>
      <c r="D226" s="5" t="s">
        <v>62</v>
      </c>
      <c r="E226" s="5" t="s">
        <v>3134</v>
      </c>
    </row>
    <row r="227" customFormat="false" ht="23.85" hidden="false" customHeight="false" outlineLevel="0" collapsed="false">
      <c r="A227" s="5" t="s">
        <v>3396</v>
      </c>
      <c r="B227" s="2" t="s">
        <v>3397</v>
      </c>
      <c r="C227" s="5" t="s">
        <v>2128</v>
      </c>
      <c r="D227" s="5" t="s">
        <v>62</v>
      </c>
      <c r="E227" s="5" t="s">
        <v>1225</v>
      </c>
    </row>
    <row r="228" customFormat="false" ht="23.85" hidden="false" customHeight="false" outlineLevel="0" collapsed="false">
      <c r="A228" s="5" t="s">
        <v>3427</v>
      </c>
      <c r="B228" s="2" t="s">
        <v>3428</v>
      </c>
      <c r="C228" s="5" t="s">
        <v>2128</v>
      </c>
      <c r="D228" s="5" t="s">
        <v>62</v>
      </c>
      <c r="E228" s="5" t="s">
        <v>1537</v>
      </c>
    </row>
    <row r="229" customFormat="false" ht="23.85" hidden="false" customHeight="false" outlineLevel="0" collapsed="false">
      <c r="A229" s="5" t="s">
        <v>3433</v>
      </c>
      <c r="B229" s="2" t="s">
        <v>3434</v>
      </c>
      <c r="C229" s="5" t="s">
        <v>2245</v>
      </c>
      <c r="D229" s="5" t="s">
        <v>62</v>
      </c>
      <c r="E229" s="5" t="s">
        <v>1225</v>
      </c>
    </row>
    <row r="230" customFormat="false" ht="23.85" hidden="false" customHeight="false" outlineLevel="0" collapsed="false">
      <c r="A230" s="5" t="s">
        <v>3438</v>
      </c>
      <c r="B230" s="2" t="s">
        <v>3439</v>
      </c>
      <c r="C230" s="5" t="s">
        <v>2245</v>
      </c>
      <c r="D230" s="5" t="s">
        <v>62</v>
      </c>
      <c r="E230" s="5" t="s">
        <v>3134</v>
      </c>
    </row>
    <row r="231" customFormat="false" ht="15" hidden="false" customHeight="false" outlineLevel="0" collapsed="false">
      <c r="A231" s="5" t="s">
        <v>3444</v>
      </c>
      <c r="B231" s="2" t="s">
        <v>3445</v>
      </c>
      <c r="C231" s="5" t="s">
        <v>2245</v>
      </c>
      <c r="D231" s="5" t="s">
        <v>490</v>
      </c>
      <c r="E231" s="5" t="s">
        <v>3134</v>
      </c>
    </row>
    <row r="232" customFormat="false" ht="23.85" hidden="false" customHeight="false" outlineLevel="0" collapsed="false">
      <c r="A232" s="5" t="s">
        <v>3450</v>
      </c>
      <c r="B232" s="2" t="s">
        <v>3451</v>
      </c>
      <c r="C232" s="5" t="s">
        <v>2245</v>
      </c>
      <c r="D232" s="5" t="s">
        <v>490</v>
      </c>
      <c r="E232" s="5" t="s">
        <v>3134</v>
      </c>
    </row>
    <row r="233" customFormat="false" ht="23.85" hidden="false" customHeight="false" outlineLevel="0" collapsed="false">
      <c r="A233" s="5" t="s">
        <v>3463</v>
      </c>
      <c r="B233" s="2" t="s">
        <v>3464</v>
      </c>
      <c r="C233" s="5" t="s">
        <v>2245</v>
      </c>
      <c r="D233" s="5" t="s">
        <v>62</v>
      </c>
      <c r="E233" s="5" t="s">
        <v>309</v>
      </c>
    </row>
    <row r="234" customFormat="false" ht="23.85" hidden="false" customHeight="false" outlineLevel="0" collapsed="false">
      <c r="A234" s="5" t="s">
        <v>3468</v>
      </c>
      <c r="B234" s="2" t="s">
        <v>3469</v>
      </c>
      <c r="C234" s="5" t="s">
        <v>2245</v>
      </c>
      <c r="D234" s="5" t="s">
        <v>62</v>
      </c>
      <c r="E234" s="5" t="s">
        <v>3134</v>
      </c>
    </row>
    <row r="235" customFormat="false" ht="15" hidden="false" customHeight="false" outlineLevel="0" collapsed="false">
      <c r="A235" s="5" t="s">
        <v>3473</v>
      </c>
      <c r="B235" s="2" t="s">
        <v>3474</v>
      </c>
      <c r="C235" s="5" t="s">
        <v>2128</v>
      </c>
      <c r="D235" s="5" t="s">
        <v>62</v>
      </c>
      <c r="E235" s="5" t="s">
        <v>309</v>
      </c>
    </row>
    <row r="236" customFormat="false" ht="15" hidden="false" customHeight="false" outlineLevel="0" collapsed="false">
      <c r="A236" s="5" t="s">
        <v>3478</v>
      </c>
      <c r="B236" s="2" t="s">
        <v>3479</v>
      </c>
      <c r="C236" s="5" t="s">
        <v>2245</v>
      </c>
      <c r="D236" s="5" t="s">
        <v>62</v>
      </c>
      <c r="E236" s="5" t="s">
        <v>1225</v>
      </c>
    </row>
    <row r="237" customFormat="false" ht="23.85" hidden="false" customHeight="false" outlineLevel="0" collapsed="false">
      <c r="A237" s="5" t="s">
        <v>3484</v>
      </c>
      <c r="B237" s="2" t="s">
        <v>3485</v>
      </c>
      <c r="C237" s="5" t="s">
        <v>2245</v>
      </c>
      <c r="D237" s="5" t="s">
        <v>62</v>
      </c>
      <c r="E237" s="5" t="s">
        <v>309</v>
      </c>
    </row>
    <row r="238" customFormat="false" ht="15" hidden="false" customHeight="false" outlineLevel="0" collapsed="false">
      <c r="A238" s="5" t="s">
        <v>3506</v>
      </c>
      <c r="B238" s="2" t="s">
        <v>3507</v>
      </c>
      <c r="C238" s="5" t="s">
        <v>2128</v>
      </c>
      <c r="D238" s="5" t="s">
        <v>62</v>
      </c>
      <c r="E238" s="5" t="s">
        <v>309</v>
      </c>
    </row>
    <row r="239" customFormat="false" ht="23.85" hidden="false" customHeight="false" outlineLevel="0" collapsed="false">
      <c r="A239" s="5" t="s">
        <v>3521</v>
      </c>
      <c r="B239" s="2" t="s">
        <v>3522</v>
      </c>
      <c r="C239" s="5" t="s">
        <v>2128</v>
      </c>
      <c r="D239" s="5" t="s">
        <v>62</v>
      </c>
      <c r="E239" s="5" t="s">
        <v>1537</v>
      </c>
    </row>
    <row r="240" customFormat="false" ht="23.85" hidden="false" customHeight="false" outlineLevel="0" collapsed="false">
      <c r="A240" s="5" t="s">
        <v>3528</v>
      </c>
      <c r="B240" s="2" t="s">
        <v>3529</v>
      </c>
      <c r="C240" s="5" t="s">
        <v>2128</v>
      </c>
      <c r="D240" s="5" t="s">
        <v>62</v>
      </c>
      <c r="E240" s="5" t="s">
        <v>1537</v>
      </c>
    </row>
    <row r="241" customFormat="false" ht="15" hidden="false" customHeight="false" outlineLevel="0" collapsed="false">
      <c r="A241" s="5" t="s">
        <v>3542</v>
      </c>
      <c r="B241" s="2" t="s">
        <v>3543</v>
      </c>
      <c r="C241" s="5" t="s">
        <v>2128</v>
      </c>
      <c r="D241" s="5" t="s">
        <v>62</v>
      </c>
      <c r="E241" s="5" t="s">
        <v>1537</v>
      </c>
    </row>
    <row r="242" customFormat="false" ht="23.85" hidden="false" customHeight="false" outlineLevel="0" collapsed="false">
      <c r="A242" s="5" t="s">
        <v>3556</v>
      </c>
      <c r="B242" s="2" t="s">
        <v>3557</v>
      </c>
      <c r="C242" s="5" t="s">
        <v>2128</v>
      </c>
      <c r="D242" s="5" t="s">
        <v>62</v>
      </c>
      <c r="E242" s="5" t="s">
        <v>309</v>
      </c>
    </row>
    <row r="243" customFormat="false" ht="23.85" hidden="false" customHeight="false" outlineLevel="0" collapsed="false">
      <c r="A243" s="5" t="s">
        <v>3561</v>
      </c>
      <c r="B243" s="2" t="s">
        <v>3562</v>
      </c>
      <c r="C243" s="5" t="s">
        <v>2128</v>
      </c>
      <c r="D243" s="5" t="s">
        <v>62</v>
      </c>
      <c r="E243" s="5" t="s">
        <v>309</v>
      </c>
    </row>
    <row r="244" customFormat="false" ht="23.85" hidden="false" customHeight="false" outlineLevel="0" collapsed="false">
      <c r="A244" s="5" t="s">
        <v>3566</v>
      </c>
      <c r="B244" s="2" t="s">
        <v>3567</v>
      </c>
      <c r="C244" s="5" t="s">
        <v>2245</v>
      </c>
      <c r="D244" s="5" t="s">
        <v>62</v>
      </c>
      <c r="E244" s="5" t="s">
        <v>309</v>
      </c>
    </row>
    <row r="245" customFormat="false" ht="23.85" hidden="false" customHeight="false" outlineLevel="0" collapsed="false">
      <c r="A245" s="5" t="s">
        <v>3571</v>
      </c>
      <c r="B245" s="2" t="s">
        <v>3572</v>
      </c>
      <c r="C245" s="5" t="s">
        <v>2245</v>
      </c>
      <c r="D245" s="5" t="s">
        <v>62</v>
      </c>
      <c r="E245" s="5" t="s">
        <v>309</v>
      </c>
    </row>
    <row r="246" customFormat="false" ht="23.85" hidden="false" customHeight="false" outlineLevel="0" collapsed="false">
      <c r="A246" s="5" t="s">
        <v>3581</v>
      </c>
      <c r="B246" s="2" t="s">
        <v>3582</v>
      </c>
      <c r="C246" s="5" t="s">
        <v>2245</v>
      </c>
      <c r="D246" s="5" t="s">
        <v>62</v>
      </c>
      <c r="E246" s="5" t="s">
        <v>3134</v>
      </c>
    </row>
    <row r="247" customFormat="false" ht="23.85" hidden="false" customHeight="false" outlineLevel="0" collapsed="false">
      <c r="A247" s="5" t="s">
        <v>3587</v>
      </c>
      <c r="B247" s="2" t="s">
        <v>3588</v>
      </c>
      <c r="C247" s="5" t="s">
        <v>2128</v>
      </c>
      <c r="D247" s="5" t="s">
        <v>62</v>
      </c>
      <c r="E247" s="5" t="s">
        <v>309</v>
      </c>
    </row>
    <row r="248" customFormat="false" ht="15" hidden="false" customHeight="false" outlineLevel="0" collapsed="false">
      <c r="A248" s="5" t="s">
        <v>3592</v>
      </c>
      <c r="B248" s="2" t="s">
        <v>3593</v>
      </c>
      <c r="C248" s="5" t="s">
        <v>2128</v>
      </c>
      <c r="D248" s="5" t="s">
        <v>62</v>
      </c>
      <c r="E248" s="5" t="s">
        <v>309</v>
      </c>
    </row>
    <row r="249" customFormat="false" ht="23.85" hidden="false" customHeight="false" outlineLevel="0" collapsed="false">
      <c r="A249" s="5" t="s">
        <v>3598</v>
      </c>
      <c r="B249" s="2" t="s">
        <v>3599</v>
      </c>
      <c r="C249" s="5" t="s">
        <v>2128</v>
      </c>
      <c r="D249" s="5" t="s">
        <v>62</v>
      </c>
      <c r="E249" s="5" t="s">
        <v>309</v>
      </c>
    </row>
    <row r="250" customFormat="false" ht="23.85" hidden="false" customHeight="false" outlineLevel="0" collapsed="false">
      <c r="A250" s="5" t="s">
        <v>3603</v>
      </c>
      <c r="B250" s="2" t="s">
        <v>3604</v>
      </c>
      <c r="C250" s="5" t="s">
        <v>2245</v>
      </c>
      <c r="D250" s="5" t="s">
        <v>62</v>
      </c>
      <c r="E250" s="5" t="s">
        <v>214</v>
      </c>
    </row>
    <row r="251" customFormat="false" ht="15" hidden="false" customHeight="false" outlineLevel="0" collapsed="false">
      <c r="A251" s="5" t="s">
        <v>3609</v>
      </c>
      <c r="B251" s="2" t="s">
        <v>3610</v>
      </c>
      <c r="C251" s="5" t="s">
        <v>2128</v>
      </c>
      <c r="D251" s="5" t="s">
        <v>62</v>
      </c>
      <c r="E251" s="5" t="s">
        <v>309</v>
      </c>
    </row>
    <row r="252" customFormat="false" ht="15" hidden="false" customHeight="false" outlineLevel="0" collapsed="false">
      <c r="A252" s="5" t="s">
        <v>3614</v>
      </c>
      <c r="B252" s="2" t="s">
        <v>3615</v>
      </c>
      <c r="C252" s="5" t="s">
        <v>2128</v>
      </c>
      <c r="D252" s="5" t="s">
        <v>62</v>
      </c>
      <c r="E252" s="5" t="s">
        <v>309</v>
      </c>
    </row>
    <row r="253" customFormat="false" ht="15" hidden="false" customHeight="false" outlineLevel="0" collapsed="false">
      <c r="A253" s="5" t="s">
        <v>3619</v>
      </c>
      <c r="B253" s="2" t="s">
        <v>3620</v>
      </c>
      <c r="C253" s="5" t="s">
        <v>2128</v>
      </c>
      <c r="D253" s="5" t="s">
        <v>62</v>
      </c>
      <c r="E253" s="5" t="s">
        <v>309</v>
      </c>
    </row>
    <row r="254" customFormat="false" ht="15" hidden="false" customHeight="false" outlineLevel="0" collapsed="false">
      <c r="A254" s="5" t="s">
        <v>3632</v>
      </c>
      <c r="B254" s="2" t="s">
        <v>3633</v>
      </c>
      <c r="C254" s="5" t="s">
        <v>2245</v>
      </c>
      <c r="D254" s="5" t="s">
        <v>490</v>
      </c>
      <c r="E254" s="5" t="s">
        <v>309</v>
      </c>
    </row>
    <row r="255" customFormat="false" ht="23.85" hidden="false" customHeight="false" outlineLevel="0" collapsed="false">
      <c r="A255" s="5" t="s">
        <v>3651</v>
      </c>
      <c r="B255" s="2" t="s">
        <v>3652</v>
      </c>
      <c r="C255" s="5" t="s">
        <v>2245</v>
      </c>
      <c r="D255" s="5" t="s">
        <v>62</v>
      </c>
      <c r="E255" s="5" t="s">
        <v>309</v>
      </c>
    </row>
    <row r="256" customFormat="false" ht="23.85" hidden="false" customHeight="false" outlineLevel="0" collapsed="false">
      <c r="A256" s="5" t="s">
        <v>3656</v>
      </c>
      <c r="B256" s="2" t="s">
        <v>3657</v>
      </c>
      <c r="C256" s="5" t="s">
        <v>2245</v>
      </c>
      <c r="D256" s="5" t="s">
        <v>62</v>
      </c>
      <c r="E256" s="5" t="s">
        <v>3134</v>
      </c>
    </row>
    <row r="257" customFormat="false" ht="23.85" hidden="false" customHeight="false" outlineLevel="0" collapsed="false">
      <c r="A257" s="5" t="s">
        <v>3661</v>
      </c>
      <c r="B257" s="2" t="s">
        <v>3662</v>
      </c>
      <c r="C257" s="5" t="s">
        <v>2128</v>
      </c>
      <c r="D257" s="5" t="s">
        <v>62</v>
      </c>
      <c r="E257" s="5" t="s">
        <v>309</v>
      </c>
    </row>
    <row r="258" customFormat="false" ht="23.85" hidden="false" customHeight="false" outlineLevel="0" collapsed="false">
      <c r="A258" s="5" t="s">
        <v>3666</v>
      </c>
      <c r="B258" s="2" t="s">
        <v>3667</v>
      </c>
      <c r="C258" s="5" t="s">
        <v>2128</v>
      </c>
      <c r="D258" s="5" t="s">
        <v>62</v>
      </c>
      <c r="E258" s="5" t="s">
        <v>309</v>
      </c>
    </row>
    <row r="259" customFormat="false" ht="15" hidden="false" customHeight="false" outlineLevel="0" collapsed="false">
      <c r="A259" s="5" t="s">
        <v>3672</v>
      </c>
      <c r="B259" s="2" t="s">
        <v>3673</v>
      </c>
      <c r="C259" s="5" t="s">
        <v>2245</v>
      </c>
      <c r="D259" s="5" t="s">
        <v>62</v>
      </c>
      <c r="E259" s="5" t="s">
        <v>309</v>
      </c>
    </row>
    <row r="260" customFormat="false" ht="15" hidden="false" customHeight="false" outlineLevel="0" collapsed="false">
      <c r="A260" s="5" t="s">
        <v>3677</v>
      </c>
      <c r="B260" s="2" t="s">
        <v>3678</v>
      </c>
      <c r="C260" s="5" t="s">
        <v>2128</v>
      </c>
      <c r="D260" s="5" t="s">
        <v>62</v>
      </c>
      <c r="E260" s="5" t="s">
        <v>309</v>
      </c>
    </row>
    <row r="261" customFormat="false" ht="15" hidden="false" customHeight="false" outlineLevel="0" collapsed="false">
      <c r="A261" s="5" t="s">
        <v>3682</v>
      </c>
      <c r="B261" s="2" t="s">
        <v>3683</v>
      </c>
      <c r="C261" s="5" t="s">
        <v>2128</v>
      </c>
      <c r="D261" s="5" t="s">
        <v>62</v>
      </c>
      <c r="E261" s="5" t="s">
        <v>309</v>
      </c>
    </row>
    <row r="262" customFormat="false" ht="15" hidden="false" customHeight="false" outlineLevel="0" collapsed="false">
      <c r="A262" s="5" t="s">
        <v>3688</v>
      </c>
      <c r="B262" s="2" t="s">
        <v>3689</v>
      </c>
      <c r="C262" s="5" t="s">
        <v>2245</v>
      </c>
      <c r="D262" s="5" t="s">
        <v>62</v>
      </c>
      <c r="E262" s="5" t="s">
        <v>309</v>
      </c>
    </row>
    <row r="263" customFormat="false" ht="23.85" hidden="false" customHeight="false" outlineLevel="0" collapsed="false">
      <c r="A263" s="5" t="s">
        <v>3693</v>
      </c>
      <c r="B263" s="2" t="s">
        <v>3694</v>
      </c>
      <c r="C263" s="5" t="s">
        <v>2245</v>
      </c>
      <c r="D263" s="5" t="s">
        <v>62</v>
      </c>
      <c r="E263" s="5" t="s">
        <v>3134</v>
      </c>
    </row>
    <row r="264" customFormat="false" ht="15" hidden="false" customHeight="false" outlineLevel="0" collapsed="false">
      <c r="A264" s="5" t="s">
        <v>3698</v>
      </c>
      <c r="B264" s="2" t="s">
        <v>3699</v>
      </c>
      <c r="C264" s="5" t="s">
        <v>2128</v>
      </c>
      <c r="D264" s="5" t="s">
        <v>62</v>
      </c>
      <c r="E264" s="5" t="s">
        <v>1537</v>
      </c>
    </row>
    <row r="265" customFormat="false" ht="15" hidden="false" customHeight="false" outlineLevel="0" collapsed="false">
      <c r="A265" s="5" t="s">
        <v>3705</v>
      </c>
      <c r="B265" s="2" t="s">
        <v>3706</v>
      </c>
      <c r="C265" s="5" t="s">
        <v>2128</v>
      </c>
      <c r="D265" s="5" t="s">
        <v>62</v>
      </c>
      <c r="E265" s="5" t="s">
        <v>192</v>
      </c>
    </row>
    <row r="266" customFormat="false" ht="23.85" hidden="false" customHeight="false" outlineLevel="0" collapsed="false">
      <c r="A266" s="5" t="s">
        <v>3710</v>
      </c>
      <c r="B266" s="2" t="s">
        <v>3711</v>
      </c>
      <c r="C266" s="5" t="s">
        <v>2245</v>
      </c>
      <c r="D266" s="5" t="s">
        <v>490</v>
      </c>
      <c r="E266" s="5" t="s">
        <v>309</v>
      </c>
    </row>
    <row r="267" customFormat="false" ht="23.85" hidden="false" customHeight="false" outlineLevel="0" collapsed="false">
      <c r="A267" s="5" t="s">
        <v>3728</v>
      </c>
      <c r="B267" s="2" t="s">
        <v>3729</v>
      </c>
      <c r="C267" s="5" t="s">
        <v>2128</v>
      </c>
      <c r="D267" s="5" t="s">
        <v>62</v>
      </c>
      <c r="E267" s="5" t="s">
        <v>309</v>
      </c>
    </row>
    <row r="268" customFormat="false" ht="15" hidden="false" customHeight="false" outlineLevel="0" collapsed="false">
      <c r="A268" s="5" t="s">
        <v>3808</v>
      </c>
      <c r="B268" s="2" t="s">
        <v>3809</v>
      </c>
      <c r="C268" s="5" t="s">
        <v>2245</v>
      </c>
      <c r="D268" s="5" t="s">
        <v>62</v>
      </c>
      <c r="E268" s="5" t="s">
        <v>346</v>
      </c>
    </row>
    <row r="269" customFormat="false" ht="23.85" hidden="false" customHeight="false" outlineLevel="0" collapsed="false">
      <c r="A269" s="5" t="s">
        <v>3820</v>
      </c>
      <c r="B269" s="2" t="s">
        <v>3821</v>
      </c>
      <c r="C269" s="5" t="s">
        <v>2128</v>
      </c>
      <c r="D269" s="5" t="s">
        <v>62</v>
      </c>
      <c r="E269" s="5" t="s">
        <v>372</v>
      </c>
    </row>
    <row r="270" customFormat="false" ht="15" hidden="false" customHeight="false" outlineLevel="0" collapsed="false">
      <c r="A270" s="5" t="s">
        <v>3826</v>
      </c>
      <c r="B270" s="2" t="s">
        <v>3827</v>
      </c>
      <c r="C270" s="5" t="s">
        <v>2128</v>
      </c>
      <c r="D270" s="5" t="s">
        <v>62</v>
      </c>
      <c r="E270" s="5" t="s">
        <v>192</v>
      </c>
    </row>
    <row r="271" customFormat="false" ht="15" hidden="false" customHeight="false" outlineLevel="0" collapsed="false">
      <c r="A271" s="5" t="s">
        <v>3836</v>
      </c>
      <c r="B271" s="2" t="s">
        <v>3837</v>
      </c>
      <c r="C271" s="5" t="s">
        <v>2128</v>
      </c>
      <c r="D271" s="5" t="s">
        <v>62</v>
      </c>
      <c r="E271" s="5" t="s">
        <v>1537</v>
      </c>
    </row>
    <row r="272" customFormat="false" ht="23.85" hidden="false" customHeight="false" outlineLevel="0" collapsed="false">
      <c r="A272" s="5" t="s">
        <v>3842</v>
      </c>
      <c r="B272" s="2" t="s">
        <v>3843</v>
      </c>
      <c r="C272" s="5" t="s">
        <v>2245</v>
      </c>
      <c r="D272" s="5" t="s">
        <v>62</v>
      </c>
      <c r="E272" s="5" t="s">
        <v>309</v>
      </c>
    </row>
    <row r="273" customFormat="false" ht="23.85" hidden="false" customHeight="false" outlineLevel="0" collapsed="false">
      <c r="A273" s="5" t="s">
        <v>3848</v>
      </c>
      <c r="B273" s="2" t="s">
        <v>3849</v>
      </c>
      <c r="C273" s="5" t="s">
        <v>2245</v>
      </c>
      <c r="D273" s="5" t="s">
        <v>62</v>
      </c>
      <c r="E273" s="5" t="s">
        <v>3134</v>
      </c>
    </row>
    <row r="274" customFormat="false" ht="15" hidden="false" customHeight="false" outlineLevel="0" collapsed="false">
      <c r="A274" s="5" t="s">
        <v>3861</v>
      </c>
      <c r="B274" s="2" t="s">
        <v>3862</v>
      </c>
      <c r="C274" s="5" t="s">
        <v>2128</v>
      </c>
      <c r="D274" s="5" t="s">
        <v>490</v>
      </c>
      <c r="E274" s="5" t="s">
        <v>1537</v>
      </c>
    </row>
    <row r="275" customFormat="false" ht="15" hidden="false" customHeight="false" outlineLevel="0" collapsed="false">
      <c r="A275" s="5" t="s">
        <v>3881</v>
      </c>
      <c r="B275" s="2" t="s">
        <v>3882</v>
      </c>
      <c r="C275" s="5" t="s">
        <v>2128</v>
      </c>
      <c r="D275" s="5" t="s">
        <v>62</v>
      </c>
      <c r="E275" s="5" t="s">
        <v>309</v>
      </c>
    </row>
    <row r="276" customFormat="false" ht="23.85" hidden="false" customHeight="false" outlineLevel="0" collapsed="false">
      <c r="A276" s="5" t="s">
        <v>3886</v>
      </c>
      <c r="B276" s="2" t="s">
        <v>3887</v>
      </c>
      <c r="C276" s="5" t="s">
        <v>2245</v>
      </c>
      <c r="D276" s="5" t="s">
        <v>62</v>
      </c>
      <c r="E276" s="5" t="s">
        <v>3134</v>
      </c>
    </row>
    <row r="277" customFormat="false" ht="23.85" hidden="false" customHeight="false" outlineLevel="0" collapsed="false">
      <c r="A277" s="5" t="s">
        <v>3898</v>
      </c>
      <c r="B277" s="2" t="s">
        <v>3899</v>
      </c>
      <c r="C277" s="5" t="s">
        <v>2128</v>
      </c>
      <c r="D277" s="5" t="s">
        <v>62</v>
      </c>
      <c r="E277" s="5" t="s">
        <v>309</v>
      </c>
    </row>
    <row r="278" customFormat="false" ht="23.85" hidden="false" customHeight="false" outlineLevel="0" collapsed="false">
      <c r="A278" s="5" t="s">
        <v>3910</v>
      </c>
      <c r="B278" s="2" t="s">
        <v>3911</v>
      </c>
      <c r="C278" s="5" t="s">
        <v>2245</v>
      </c>
      <c r="D278" s="5" t="s">
        <v>490</v>
      </c>
      <c r="E278" s="5" t="s">
        <v>309</v>
      </c>
    </row>
    <row r="279" customFormat="false" ht="23.85" hidden="false" customHeight="false" outlineLevel="0" collapsed="false">
      <c r="A279" s="5" t="s">
        <v>3915</v>
      </c>
      <c r="B279" s="2" t="s">
        <v>3916</v>
      </c>
      <c r="C279" s="5" t="s">
        <v>2128</v>
      </c>
      <c r="D279" s="5" t="s">
        <v>62</v>
      </c>
      <c r="E279" s="5" t="s">
        <v>192</v>
      </c>
    </row>
    <row r="280" customFormat="false" ht="23.85" hidden="false" customHeight="false" outlineLevel="0" collapsed="false">
      <c r="A280" s="5" t="s">
        <v>3923</v>
      </c>
      <c r="B280" s="2" t="s">
        <v>3924</v>
      </c>
      <c r="C280" s="5" t="s">
        <v>2128</v>
      </c>
      <c r="D280" s="5" t="s">
        <v>62</v>
      </c>
      <c r="E280" s="5" t="s">
        <v>309</v>
      </c>
    </row>
    <row r="281" customFormat="false" ht="15" hidden="false" customHeight="false" outlineLevel="0" collapsed="false">
      <c r="A281" s="5" t="s">
        <v>3928</v>
      </c>
      <c r="B281" s="2" t="s">
        <v>3929</v>
      </c>
      <c r="C281" s="5" t="s">
        <v>2128</v>
      </c>
      <c r="D281" s="5" t="s">
        <v>62</v>
      </c>
      <c r="E281" s="5" t="s">
        <v>309</v>
      </c>
    </row>
    <row r="282" customFormat="false" ht="23.85" hidden="false" customHeight="false" outlineLevel="0" collapsed="false">
      <c r="A282" s="5" t="s">
        <v>3933</v>
      </c>
      <c r="B282" s="2" t="s">
        <v>3934</v>
      </c>
      <c r="C282" s="5" t="s">
        <v>2128</v>
      </c>
      <c r="D282" s="5" t="s">
        <v>62</v>
      </c>
      <c r="E282" s="5" t="s">
        <v>309</v>
      </c>
    </row>
    <row r="283" customFormat="false" ht="15" hidden="false" customHeight="false" outlineLevel="0" collapsed="false">
      <c r="A283" s="5" t="s">
        <v>3943</v>
      </c>
      <c r="B283" s="2" t="s">
        <v>3944</v>
      </c>
      <c r="C283" s="5" t="s">
        <v>2245</v>
      </c>
      <c r="D283" s="5" t="s">
        <v>62</v>
      </c>
      <c r="E283" s="5" t="s">
        <v>1537</v>
      </c>
    </row>
    <row r="284" customFormat="false" ht="15" hidden="false" customHeight="false" outlineLevel="0" collapsed="false">
      <c r="A284" s="5" t="s">
        <v>3949</v>
      </c>
      <c r="B284" s="2" t="s">
        <v>3950</v>
      </c>
      <c r="C284" s="5" t="s">
        <v>2245</v>
      </c>
      <c r="D284" s="5" t="s">
        <v>62</v>
      </c>
      <c r="E284" s="5" t="s">
        <v>1537</v>
      </c>
    </row>
    <row r="285" customFormat="false" ht="23.85" hidden="false" customHeight="false" outlineLevel="0" collapsed="false">
      <c r="A285" s="5" t="s">
        <v>3955</v>
      </c>
      <c r="B285" s="2" t="s">
        <v>3956</v>
      </c>
      <c r="C285" s="5" t="s">
        <v>2245</v>
      </c>
      <c r="D285" s="5" t="s">
        <v>62</v>
      </c>
      <c r="E285" s="5" t="s">
        <v>3134</v>
      </c>
    </row>
    <row r="286" customFormat="false" ht="23.85" hidden="false" customHeight="false" outlineLevel="0" collapsed="false">
      <c r="A286" s="5" t="s">
        <v>3983</v>
      </c>
      <c r="B286" s="2" t="s">
        <v>3984</v>
      </c>
      <c r="C286" s="5" t="s">
        <v>2128</v>
      </c>
      <c r="D286" s="5" t="s">
        <v>62</v>
      </c>
      <c r="E286" s="5" t="s">
        <v>214</v>
      </c>
    </row>
    <row r="287" customFormat="false" ht="15" hidden="false" customHeight="false" outlineLevel="0" collapsed="false">
      <c r="A287" s="5" t="s">
        <v>3991</v>
      </c>
      <c r="B287" s="2" t="s">
        <v>3992</v>
      </c>
      <c r="C287" s="5" t="s">
        <v>2128</v>
      </c>
      <c r="D287" s="5" t="s">
        <v>62</v>
      </c>
      <c r="E287" s="5" t="s">
        <v>1537</v>
      </c>
    </row>
    <row r="288" customFormat="false" ht="23.85" hidden="false" customHeight="false" outlineLevel="0" collapsed="false">
      <c r="A288" s="5" t="s">
        <v>3997</v>
      </c>
      <c r="B288" s="2" t="s">
        <v>3998</v>
      </c>
      <c r="C288" s="5" t="s">
        <v>2128</v>
      </c>
      <c r="D288" s="5" t="s">
        <v>62</v>
      </c>
      <c r="E288" s="5" t="s">
        <v>309</v>
      </c>
    </row>
    <row r="289" customFormat="false" ht="23.85" hidden="false" customHeight="false" outlineLevel="0" collapsed="false">
      <c r="A289" s="5" t="s">
        <v>4007</v>
      </c>
      <c r="B289" s="2" t="s">
        <v>4008</v>
      </c>
      <c r="C289" s="5" t="s">
        <v>2245</v>
      </c>
      <c r="D289" s="5" t="s">
        <v>62</v>
      </c>
      <c r="E289" s="5" t="s">
        <v>3134</v>
      </c>
    </row>
    <row r="290" customFormat="false" ht="23.85" hidden="false" customHeight="false" outlineLevel="0" collapsed="false">
      <c r="A290" s="5" t="s">
        <v>4012</v>
      </c>
      <c r="B290" s="2" t="s">
        <v>4013</v>
      </c>
      <c r="C290" s="5" t="s">
        <v>2245</v>
      </c>
      <c r="D290" s="5" t="s">
        <v>490</v>
      </c>
      <c r="E290" s="5" t="s">
        <v>346</v>
      </c>
    </row>
    <row r="291" customFormat="false" ht="23.85" hidden="false" customHeight="false" outlineLevel="0" collapsed="false">
      <c r="A291" s="5" t="s">
        <v>4023</v>
      </c>
      <c r="B291" s="2" t="s">
        <v>4024</v>
      </c>
      <c r="C291" s="5" t="s">
        <v>2245</v>
      </c>
      <c r="D291" s="5" t="s">
        <v>490</v>
      </c>
      <c r="E291" s="5" t="s">
        <v>214</v>
      </c>
    </row>
    <row r="292" customFormat="false" ht="23.85" hidden="false" customHeight="false" outlineLevel="0" collapsed="false">
      <c r="A292" s="5" t="s">
        <v>4023</v>
      </c>
      <c r="B292" s="2" t="s">
        <v>4024</v>
      </c>
      <c r="C292" s="5" t="s">
        <v>2245</v>
      </c>
      <c r="D292" s="5" t="s">
        <v>490</v>
      </c>
      <c r="E292" s="5" t="s">
        <v>1118</v>
      </c>
    </row>
    <row r="293" customFormat="false" ht="23.85" hidden="false" customHeight="false" outlineLevel="0" collapsed="false">
      <c r="A293" s="5" t="s">
        <v>4033</v>
      </c>
      <c r="B293" s="2" t="s">
        <v>4034</v>
      </c>
      <c r="C293" s="5" t="s">
        <v>2128</v>
      </c>
      <c r="D293" s="5" t="s">
        <v>62</v>
      </c>
      <c r="E293" s="5" t="s">
        <v>309</v>
      </c>
    </row>
    <row r="294" customFormat="false" ht="23.85" hidden="false" customHeight="false" outlineLevel="0" collapsed="false">
      <c r="A294" s="5" t="s">
        <v>4038</v>
      </c>
      <c r="B294" s="2" t="s">
        <v>4039</v>
      </c>
      <c r="C294" s="5" t="s">
        <v>2245</v>
      </c>
      <c r="D294" s="5" t="s">
        <v>62</v>
      </c>
      <c r="E294" s="5" t="s">
        <v>1537</v>
      </c>
    </row>
    <row r="295" customFormat="false" ht="23.85" hidden="false" customHeight="false" outlineLevel="0" collapsed="false">
      <c r="A295" s="5" t="s">
        <v>4044</v>
      </c>
      <c r="B295" s="2" t="s">
        <v>4045</v>
      </c>
      <c r="C295" s="5" t="s">
        <v>2128</v>
      </c>
      <c r="D295" s="5" t="s">
        <v>62</v>
      </c>
      <c r="E295" s="5" t="s">
        <v>1311</v>
      </c>
    </row>
    <row r="296" customFormat="false" ht="15" hidden="false" customHeight="false" outlineLevel="0" collapsed="false">
      <c r="A296" s="5" t="s">
        <v>4058</v>
      </c>
      <c r="B296" s="2" t="s">
        <v>4059</v>
      </c>
      <c r="C296" s="5" t="s">
        <v>2128</v>
      </c>
      <c r="D296" s="5" t="s">
        <v>62</v>
      </c>
      <c r="E296" s="5" t="s">
        <v>309</v>
      </c>
    </row>
    <row r="297" customFormat="false" ht="23.85" hidden="false" customHeight="false" outlineLevel="0" collapsed="false">
      <c r="A297" s="5" t="s">
        <v>4064</v>
      </c>
      <c r="B297" s="2" t="s">
        <v>4065</v>
      </c>
      <c r="C297" s="5" t="s">
        <v>2128</v>
      </c>
      <c r="D297" s="5" t="s">
        <v>62</v>
      </c>
      <c r="E297" s="5" t="s">
        <v>309</v>
      </c>
    </row>
    <row r="298" customFormat="false" ht="15" hidden="false" customHeight="false" outlineLevel="0" collapsed="false">
      <c r="A298" s="5" t="s">
        <v>4069</v>
      </c>
      <c r="B298" s="2" t="s">
        <v>4070</v>
      </c>
      <c r="C298" s="5" t="s">
        <v>2245</v>
      </c>
      <c r="D298" s="5" t="s">
        <v>62</v>
      </c>
      <c r="E298" s="5" t="s">
        <v>3134</v>
      </c>
    </row>
    <row r="299" customFormat="false" ht="15" hidden="false" customHeight="false" outlineLevel="0" collapsed="false">
      <c r="A299" s="5" t="s">
        <v>4074</v>
      </c>
      <c r="B299" s="2" t="s">
        <v>4075</v>
      </c>
      <c r="C299" s="5" t="s">
        <v>2245</v>
      </c>
      <c r="D299" s="5" t="s">
        <v>62</v>
      </c>
      <c r="E299" s="5" t="s">
        <v>3134</v>
      </c>
    </row>
    <row r="300" customFormat="false" ht="23.85" hidden="false" customHeight="false" outlineLevel="0" collapsed="false">
      <c r="A300" s="5" t="s">
        <v>4079</v>
      </c>
      <c r="B300" s="2" t="s">
        <v>4080</v>
      </c>
      <c r="C300" s="5" t="s">
        <v>2245</v>
      </c>
      <c r="D300" s="5" t="s">
        <v>62</v>
      </c>
      <c r="E300" s="5" t="s">
        <v>3134</v>
      </c>
    </row>
    <row r="301" customFormat="false" ht="23.85" hidden="false" customHeight="false" outlineLevel="0" collapsed="false">
      <c r="A301" s="5" t="s">
        <v>4089</v>
      </c>
      <c r="B301" s="2" t="s">
        <v>4090</v>
      </c>
      <c r="C301" s="5" t="s">
        <v>2245</v>
      </c>
      <c r="D301" s="5" t="s">
        <v>62</v>
      </c>
      <c r="E301" s="5" t="s">
        <v>309</v>
      </c>
    </row>
    <row r="302" customFormat="false" ht="15" hidden="false" customHeight="false" outlineLevel="0" collapsed="false">
      <c r="A302" s="5" t="s">
        <v>4108</v>
      </c>
      <c r="B302" s="2" t="s">
        <v>4109</v>
      </c>
      <c r="C302" s="5" t="s">
        <v>2245</v>
      </c>
      <c r="D302" s="5" t="s">
        <v>490</v>
      </c>
      <c r="E302" s="5" t="s">
        <v>309</v>
      </c>
    </row>
    <row r="303" customFormat="false" ht="23.85" hidden="false" customHeight="false" outlineLevel="0" collapsed="false">
      <c r="A303" s="5" t="s">
        <v>4114</v>
      </c>
      <c r="B303" s="2" t="s">
        <v>4115</v>
      </c>
      <c r="C303" s="5" t="s">
        <v>2245</v>
      </c>
      <c r="D303" s="5" t="s">
        <v>62</v>
      </c>
      <c r="E303" s="5" t="s">
        <v>309</v>
      </c>
    </row>
    <row r="304" customFormat="false" ht="23.85" hidden="false" customHeight="false" outlineLevel="0" collapsed="false">
      <c r="A304" s="5" t="s">
        <v>4120</v>
      </c>
      <c r="B304" s="2" t="s">
        <v>4121</v>
      </c>
      <c r="C304" s="5" t="s">
        <v>2128</v>
      </c>
      <c r="D304" s="5" t="s">
        <v>62</v>
      </c>
      <c r="E304" s="5" t="s">
        <v>309</v>
      </c>
    </row>
    <row r="305" customFormat="false" ht="15" hidden="false" customHeight="false" outlineLevel="0" collapsed="false">
      <c r="A305" s="5" t="s">
        <v>4125</v>
      </c>
      <c r="B305" s="2" t="s">
        <v>4126</v>
      </c>
      <c r="C305" s="5" t="s">
        <v>2128</v>
      </c>
      <c r="D305" s="5" t="s">
        <v>62</v>
      </c>
      <c r="E305" s="5" t="s">
        <v>1537</v>
      </c>
    </row>
    <row r="306" customFormat="false" ht="23.85" hidden="false" customHeight="false" outlineLevel="0" collapsed="false">
      <c r="A306" s="5" t="s">
        <v>4144</v>
      </c>
      <c r="B306" s="2" t="s">
        <v>4145</v>
      </c>
      <c r="C306" s="5" t="s">
        <v>2245</v>
      </c>
      <c r="D306" s="5" t="s">
        <v>62</v>
      </c>
      <c r="E306" s="5" t="s">
        <v>309</v>
      </c>
    </row>
    <row r="307" customFormat="false" ht="23.85" hidden="false" customHeight="false" outlineLevel="0" collapsed="false">
      <c r="A307" s="5" t="s">
        <v>4149</v>
      </c>
      <c r="B307" s="2" t="s">
        <v>4150</v>
      </c>
      <c r="C307" s="5" t="s">
        <v>2245</v>
      </c>
      <c r="D307" s="5" t="s">
        <v>62</v>
      </c>
      <c r="E307" s="5" t="s">
        <v>309</v>
      </c>
    </row>
    <row r="308" customFormat="false" ht="23.85" hidden="false" customHeight="false" outlineLevel="0" collapsed="false">
      <c r="A308" s="5" t="s">
        <v>4170</v>
      </c>
      <c r="B308" s="2" t="s">
        <v>4171</v>
      </c>
      <c r="C308" s="5" t="s">
        <v>2128</v>
      </c>
      <c r="D308" s="5" t="s">
        <v>62</v>
      </c>
      <c r="E308" s="5" t="s">
        <v>309</v>
      </c>
    </row>
    <row r="309" customFormat="false" ht="23.85" hidden="false" customHeight="false" outlineLevel="0" collapsed="false">
      <c r="A309" s="5" t="s">
        <v>4192</v>
      </c>
      <c r="B309" s="2" t="s">
        <v>4193</v>
      </c>
      <c r="C309" s="5" t="s">
        <v>2245</v>
      </c>
      <c r="D309" s="5" t="s">
        <v>62</v>
      </c>
      <c r="E309" s="5" t="s">
        <v>3134</v>
      </c>
    </row>
    <row r="310" customFormat="false" ht="15" hidden="false" customHeight="false" outlineLevel="0" collapsed="false">
      <c r="A310" s="5" t="s">
        <v>4197</v>
      </c>
      <c r="B310" s="2" t="s">
        <v>4198</v>
      </c>
      <c r="C310" s="5" t="s">
        <v>2128</v>
      </c>
      <c r="D310" s="5" t="s">
        <v>62</v>
      </c>
      <c r="E310" s="5" t="s">
        <v>309</v>
      </c>
    </row>
    <row r="311" customFormat="false" ht="15" hidden="false" customHeight="false" outlineLevel="0" collapsed="false">
      <c r="A311" s="5" t="s">
        <v>4209</v>
      </c>
      <c r="B311" s="2" t="s">
        <v>4210</v>
      </c>
      <c r="C311" s="5" t="s">
        <v>2128</v>
      </c>
      <c r="D311" s="5" t="s">
        <v>62</v>
      </c>
      <c r="E311" s="5" t="s">
        <v>1537</v>
      </c>
    </row>
    <row r="312" customFormat="false" ht="15" hidden="false" customHeight="false" outlineLevel="0" collapsed="false">
      <c r="A312" s="5" t="s">
        <v>4230</v>
      </c>
      <c r="B312" s="2" t="s">
        <v>4231</v>
      </c>
      <c r="C312" s="5" t="s">
        <v>2128</v>
      </c>
      <c r="D312" s="5" t="s">
        <v>62</v>
      </c>
      <c r="E312" s="5" t="s">
        <v>309</v>
      </c>
    </row>
    <row r="313" customFormat="false" ht="15" hidden="false" customHeight="false" outlineLevel="0" collapsed="false">
      <c r="A313" s="5" t="s">
        <v>4235</v>
      </c>
      <c r="B313" s="2" t="s">
        <v>4236</v>
      </c>
      <c r="C313" s="5" t="s">
        <v>2245</v>
      </c>
      <c r="D313" s="5" t="s">
        <v>62</v>
      </c>
      <c r="E313" s="5" t="s">
        <v>309</v>
      </c>
    </row>
    <row r="314" customFormat="false" ht="23.85" hidden="false" customHeight="false" outlineLevel="0" collapsed="false">
      <c r="A314" s="5" t="s">
        <v>4240</v>
      </c>
      <c r="B314" s="2" t="s">
        <v>4241</v>
      </c>
      <c r="C314" s="5" t="s">
        <v>2245</v>
      </c>
      <c r="D314" s="5" t="s">
        <v>62</v>
      </c>
      <c r="E314" s="5" t="s">
        <v>309</v>
      </c>
    </row>
    <row r="315" customFormat="false" ht="23.85" hidden="false" customHeight="false" outlineLevel="0" collapsed="false">
      <c r="A315" s="5" t="s">
        <v>4245</v>
      </c>
      <c r="B315" s="2" t="s">
        <v>4246</v>
      </c>
      <c r="C315" s="5" t="s">
        <v>2245</v>
      </c>
      <c r="D315" s="5" t="s">
        <v>62</v>
      </c>
      <c r="E315" s="5" t="s">
        <v>309</v>
      </c>
    </row>
    <row r="316" customFormat="false" ht="23.85" hidden="false" customHeight="false" outlineLevel="0" collapsed="false">
      <c r="A316" s="5" t="s">
        <v>4263</v>
      </c>
      <c r="B316" s="2" t="s">
        <v>4264</v>
      </c>
      <c r="C316" s="5" t="s">
        <v>2128</v>
      </c>
      <c r="D316" s="5" t="s">
        <v>62</v>
      </c>
      <c r="E316" s="5" t="s">
        <v>1225</v>
      </c>
    </row>
    <row r="317" customFormat="false" ht="23.85" hidden="false" customHeight="false" outlineLevel="0" collapsed="false">
      <c r="A317" s="5" t="s">
        <v>4282</v>
      </c>
      <c r="B317" s="2" t="s">
        <v>4283</v>
      </c>
      <c r="C317" s="5" t="s">
        <v>2245</v>
      </c>
      <c r="D317" s="5" t="s">
        <v>62</v>
      </c>
      <c r="E317" s="5" t="s">
        <v>214</v>
      </c>
    </row>
    <row r="318" customFormat="false" ht="23.85" hidden="false" customHeight="false" outlineLevel="0" collapsed="false">
      <c r="A318" s="5" t="s">
        <v>4298</v>
      </c>
      <c r="B318" s="2" t="s">
        <v>4299</v>
      </c>
      <c r="C318" s="5" t="s">
        <v>2128</v>
      </c>
      <c r="D318" s="5" t="s">
        <v>62</v>
      </c>
      <c r="E318" s="5" t="s">
        <v>309</v>
      </c>
    </row>
    <row r="319" customFormat="false" ht="15" hidden="false" customHeight="false" outlineLevel="0" collapsed="false">
      <c r="A319" s="5" t="s">
        <v>4309</v>
      </c>
      <c r="B319" s="2" t="s">
        <v>4310</v>
      </c>
      <c r="C319" s="5" t="s">
        <v>2128</v>
      </c>
      <c r="D319" s="5" t="s">
        <v>62</v>
      </c>
      <c r="E319" s="5" t="s">
        <v>309</v>
      </c>
    </row>
    <row r="320" customFormat="false" ht="15" hidden="false" customHeight="false" outlineLevel="0" collapsed="false">
      <c r="A320" s="5" t="s">
        <v>4314</v>
      </c>
      <c r="B320" s="2" t="s">
        <v>4315</v>
      </c>
      <c r="C320" s="5" t="s">
        <v>2128</v>
      </c>
      <c r="D320" s="5" t="s">
        <v>62</v>
      </c>
      <c r="E320" s="5" t="s">
        <v>309</v>
      </c>
    </row>
    <row r="321" customFormat="false" ht="23.85" hidden="false" customHeight="false" outlineLevel="0" collapsed="false">
      <c r="A321" s="5" t="s">
        <v>4319</v>
      </c>
      <c r="B321" s="2" t="s">
        <v>4320</v>
      </c>
      <c r="C321" s="5" t="s">
        <v>2128</v>
      </c>
      <c r="D321" s="5" t="s">
        <v>62</v>
      </c>
      <c r="E321" s="5" t="s">
        <v>309</v>
      </c>
    </row>
    <row r="322" customFormat="false" ht="23.85" hidden="false" customHeight="false" outlineLevel="0" collapsed="false">
      <c r="A322" s="5" t="s">
        <v>4324</v>
      </c>
      <c r="B322" s="2" t="s">
        <v>4325</v>
      </c>
      <c r="C322" s="5" t="s">
        <v>2128</v>
      </c>
      <c r="D322" s="5" t="s">
        <v>62</v>
      </c>
      <c r="E322" s="5" t="s">
        <v>309</v>
      </c>
    </row>
    <row r="323" customFormat="false" ht="23.85" hidden="false" customHeight="false" outlineLevel="0" collapsed="false">
      <c r="A323" s="5" t="s">
        <v>4329</v>
      </c>
      <c r="B323" s="2" t="s">
        <v>4330</v>
      </c>
      <c r="C323" s="5" t="s">
        <v>2245</v>
      </c>
      <c r="D323" s="5" t="s">
        <v>62</v>
      </c>
      <c r="E323" s="5" t="s">
        <v>309</v>
      </c>
    </row>
    <row r="324" customFormat="false" ht="15" hidden="false" customHeight="false" outlineLevel="0" collapsed="false">
      <c r="A324" s="5" t="s">
        <v>4345</v>
      </c>
      <c r="B324" s="2" t="s">
        <v>4346</v>
      </c>
      <c r="C324" s="5" t="s">
        <v>2245</v>
      </c>
      <c r="D324" s="5" t="s">
        <v>62</v>
      </c>
      <c r="E324" s="5" t="s">
        <v>3134</v>
      </c>
    </row>
    <row r="325" customFormat="false" ht="23.85" hidden="false" customHeight="false" outlineLevel="0" collapsed="false">
      <c r="A325" s="5" t="s">
        <v>4351</v>
      </c>
      <c r="B325" s="2" t="s">
        <v>4352</v>
      </c>
      <c r="C325" s="5" t="s">
        <v>2245</v>
      </c>
      <c r="D325" s="5" t="s">
        <v>62</v>
      </c>
      <c r="E325" s="5" t="s">
        <v>3134</v>
      </c>
    </row>
    <row r="326" customFormat="false" ht="23.85" hidden="false" customHeight="false" outlineLevel="0" collapsed="false">
      <c r="A326" s="5" t="s">
        <v>4356</v>
      </c>
      <c r="B326" s="2" t="s">
        <v>4357</v>
      </c>
      <c r="C326" s="5" t="s">
        <v>2245</v>
      </c>
      <c r="D326" s="5" t="s">
        <v>490</v>
      </c>
      <c r="E326" s="5" t="s">
        <v>309</v>
      </c>
    </row>
    <row r="327" customFormat="false" ht="23.85" hidden="false" customHeight="false" outlineLevel="0" collapsed="false">
      <c r="A327" s="5" t="s">
        <v>4361</v>
      </c>
      <c r="B327" s="2" t="s">
        <v>4362</v>
      </c>
      <c r="C327" s="5" t="s">
        <v>2245</v>
      </c>
      <c r="D327" s="5" t="s">
        <v>62</v>
      </c>
      <c r="E327" s="5" t="s">
        <v>3134</v>
      </c>
    </row>
    <row r="328" customFormat="false" ht="15" hidden="false" customHeight="false" outlineLevel="0" collapsed="false">
      <c r="A328" s="5" t="s">
        <v>4366</v>
      </c>
      <c r="B328" s="2" t="s">
        <v>4367</v>
      </c>
      <c r="C328" s="5" t="s">
        <v>2128</v>
      </c>
      <c r="D328" s="5" t="s">
        <v>62</v>
      </c>
      <c r="E328" s="5" t="s">
        <v>214</v>
      </c>
    </row>
    <row r="329" customFormat="false" ht="23.85" hidden="false" customHeight="false" outlineLevel="0" collapsed="false">
      <c r="A329" s="5" t="s">
        <v>4398</v>
      </c>
      <c r="B329" s="2" t="s">
        <v>4399</v>
      </c>
      <c r="C329" s="5" t="s">
        <v>2245</v>
      </c>
      <c r="D329" s="5" t="s">
        <v>490</v>
      </c>
      <c r="E329" s="5" t="s">
        <v>1225</v>
      </c>
    </row>
    <row r="330" customFormat="false" ht="23.85" hidden="false" customHeight="false" outlineLevel="0" collapsed="false">
      <c r="A330" s="5" t="s">
        <v>4408</v>
      </c>
      <c r="B330" s="2" t="s">
        <v>4409</v>
      </c>
      <c r="C330" s="5" t="s">
        <v>2128</v>
      </c>
      <c r="D330" s="5" t="s">
        <v>62</v>
      </c>
      <c r="E330" s="5" t="s">
        <v>192</v>
      </c>
    </row>
    <row r="331" customFormat="false" ht="15" hidden="false" customHeight="false" outlineLevel="0" collapsed="false">
      <c r="A331" s="5" t="s">
        <v>4459</v>
      </c>
      <c r="B331" s="2" t="s">
        <v>4460</v>
      </c>
      <c r="C331" s="5" t="s">
        <v>2128</v>
      </c>
      <c r="D331" s="5" t="s">
        <v>62</v>
      </c>
      <c r="E331" s="5" t="s">
        <v>309</v>
      </c>
    </row>
    <row r="332" customFormat="false" ht="23.85" hidden="false" customHeight="false" outlineLevel="0" collapsed="false">
      <c r="A332" s="5" t="s">
        <v>4469</v>
      </c>
      <c r="B332" s="2" t="s">
        <v>4470</v>
      </c>
      <c r="C332" s="5" t="s">
        <v>2245</v>
      </c>
      <c r="D332" s="5" t="s">
        <v>62</v>
      </c>
      <c r="E332" s="5" t="s">
        <v>309</v>
      </c>
    </row>
    <row r="333" customFormat="false" ht="23.85" hidden="false" customHeight="false" outlineLevel="0" collapsed="false">
      <c r="A333" s="5" t="s">
        <v>4474</v>
      </c>
      <c r="B333" s="2" t="s">
        <v>4475</v>
      </c>
      <c r="C333" s="5" t="s">
        <v>2245</v>
      </c>
      <c r="D333" s="5" t="s">
        <v>62</v>
      </c>
      <c r="E333" s="5" t="s">
        <v>1225</v>
      </c>
    </row>
    <row r="334" customFormat="false" ht="23.85" hidden="false" customHeight="false" outlineLevel="0" collapsed="false">
      <c r="A334" s="5" t="s">
        <v>4479</v>
      </c>
      <c r="B334" s="2" t="s">
        <v>4480</v>
      </c>
      <c r="C334" s="5" t="s">
        <v>2128</v>
      </c>
      <c r="D334" s="5" t="s">
        <v>62</v>
      </c>
      <c r="E334" s="5" t="s">
        <v>309</v>
      </c>
    </row>
    <row r="335" customFormat="false" ht="23.85" hidden="false" customHeight="false" outlineLevel="0" collapsed="false">
      <c r="A335" s="5" t="s">
        <v>4490</v>
      </c>
      <c r="B335" s="2" t="s">
        <v>4491</v>
      </c>
      <c r="C335" s="5" t="s">
        <v>2128</v>
      </c>
      <c r="D335" s="5" t="s">
        <v>62</v>
      </c>
      <c r="E335" s="5" t="s">
        <v>309</v>
      </c>
    </row>
    <row r="336" customFormat="false" ht="23.85" hidden="false" customHeight="false" outlineLevel="0" collapsed="false">
      <c r="A336" s="5" t="s">
        <v>4500</v>
      </c>
      <c r="B336" s="2" t="s">
        <v>4501</v>
      </c>
      <c r="C336" s="5" t="s">
        <v>2128</v>
      </c>
      <c r="D336" s="5" t="s">
        <v>62</v>
      </c>
      <c r="E336" s="5" t="s">
        <v>309</v>
      </c>
    </row>
    <row r="337" customFormat="false" ht="15" hidden="false" customHeight="false" outlineLevel="0" collapsed="false">
      <c r="A337" s="5" t="s">
        <v>4505</v>
      </c>
      <c r="B337" s="2" t="s">
        <v>4506</v>
      </c>
      <c r="C337" s="5" t="s">
        <v>2128</v>
      </c>
      <c r="D337" s="5" t="s">
        <v>62</v>
      </c>
      <c r="E337" s="5" t="s">
        <v>309</v>
      </c>
    </row>
    <row r="338" customFormat="false" ht="15" hidden="false" customHeight="false" outlineLevel="0" collapsed="false">
      <c r="A338" s="5" t="s">
        <v>4511</v>
      </c>
      <c r="B338" s="2" t="s">
        <v>4512</v>
      </c>
      <c r="C338" s="5" t="s">
        <v>2128</v>
      </c>
      <c r="D338" s="5" t="s">
        <v>62</v>
      </c>
      <c r="E338" s="5" t="s">
        <v>309</v>
      </c>
    </row>
    <row r="339" customFormat="false" ht="15" hidden="false" customHeight="false" outlineLevel="0" collapsed="false">
      <c r="A339" s="5" t="s">
        <v>4517</v>
      </c>
      <c r="B339" s="2" t="s">
        <v>4518</v>
      </c>
      <c r="C339" s="5" t="s">
        <v>2128</v>
      </c>
      <c r="D339" s="5" t="s">
        <v>62</v>
      </c>
      <c r="E339" s="5" t="s">
        <v>309</v>
      </c>
    </row>
    <row r="340" customFormat="false" ht="15" hidden="false" customHeight="false" outlineLevel="0" collapsed="false">
      <c r="A340" s="5" t="s">
        <v>4532</v>
      </c>
      <c r="B340" s="2" t="s">
        <v>4533</v>
      </c>
      <c r="C340" s="5" t="s">
        <v>2128</v>
      </c>
      <c r="D340" s="5" t="s">
        <v>62</v>
      </c>
      <c r="E340" s="5" t="s">
        <v>309</v>
      </c>
    </row>
    <row r="341" customFormat="false" ht="23.85" hidden="false" customHeight="false" outlineLevel="0" collapsed="false">
      <c r="A341" s="5" t="s">
        <v>4547</v>
      </c>
      <c r="B341" s="2" t="s">
        <v>4548</v>
      </c>
      <c r="C341" s="5" t="s">
        <v>2128</v>
      </c>
      <c r="D341" s="5" t="s">
        <v>62</v>
      </c>
      <c r="E341" s="5" t="s">
        <v>309</v>
      </c>
    </row>
    <row r="342" customFormat="false" ht="23.85" hidden="false" customHeight="false" outlineLevel="0" collapsed="false">
      <c r="A342" s="5" t="s">
        <v>4558</v>
      </c>
      <c r="B342" s="2" t="s">
        <v>4559</v>
      </c>
      <c r="C342" s="5" t="s">
        <v>2128</v>
      </c>
      <c r="D342" s="5" t="s">
        <v>62</v>
      </c>
      <c r="E342" s="5" t="s">
        <v>309</v>
      </c>
    </row>
    <row r="343" customFormat="false" ht="15" hidden="false" customHeight="false" outlineLevel="0" collapsed="false">
      <c r="A343" s="5" t="s">
        <v>4564</v>
      </c>
      <c r="B343" s="2" t="s">
        <v>4565</v>
      </c>
      <c r="C343" s="5" t="s">
        <v>2128</v>
      </c>
      <c r="D343" s="5" t="s">
        <v>62</v>
      </c>
      <c r="E343" s="5" t="s">
        <v>309</v>
      </c>
    </row>
    <row r="344" customFormat="false" ht="23.85" hidden="false" customHeight="false" outlineLevel="0" collapsed="false">
      <c r="A344" s="5" t="s">
        <v>4574</v>
      </c>
      <c r="B344" s="2" t="s">
        <v>4575</v>
      </c>
      <c r="C344" s="5" t="s">
        <v>2245</v>
      </c>
      <c r="D344" s="5" t="s">
        <v>62</v>
      </c>
      <c r="E344" s="5" t="s">
        <v>309</v>
      </c>
    </row>
    <row r="345" customFormat="false" ht="23.85" hidden="false" customHeight="false" outlineLevel="0" collapsed="false">
      <c r="A345" s="5" t="s">
        <v>4580</v>
      </c>
      <c r="B345" s="2" t="s">
        <v>4581</v>
      </c>
      <c r="C345" s="5" t="s">
        <v>2245</v>
      </c>
      <c r="D345" s="5" t="s">
        <v>62</v>
      </c>
      <c r="E345" s="5" t="s">
        <v>1225</v>
      </c>
    </row>
    <row r="346" customFormat="false" ht="23.85" hidden="false" customHeight="false" outlineLevel="0" collapsed="false">
      <c r="A346" s="5" t="s">
        <v>4585</v>
      </c>
      <c r="B346" s="2" t="s">
        <v>4586</v>
      </c>
      <c r="C346" s="5" t="s">
        <v>2128</v>
      </c>
      <c r="D346" s="5" t="s">
        <v>62</v>
      </c>
      <c r="E346" s="5" t="s">
        <v>372</v>
      </c>
    </row>
    <row r="347" customFormat="false" ht="15" hidden="false" customHeight="false" outlineLevel="0" collapsed="false">
      <c r="A347" s="5" t="s">
        <v>4591</v>
      </c>
      <c r="B347" s="2" t="s">
        <v>4592</v>
      </c>
      <c r="C347" s="5" t="s">
        <v>2245</v>
      </c>
      <c r="D347" s="5" t="s">
        <v>62</v>
      </c>
      <c r="E347" s="5" t="s">
        <v>1225</v>
      </c>
    </row>
    <row r="348" customFormat="false" ht="15" hidden="false" customHeight="false" outlineLevel="0" collapsed="false">
      <c r="A348" s="5" t="s">
        <v>4596</v>
      </c>
      <c r="B348" s="2" t="s">
        <v>4597</v>
      </c>
      <c r="C348" s="5" t="s">
        <v>2128</v>
      </c>
      <c r="D348" s="5" t="s">
        <v>62</v>
      </c>
      <c r="E348" s="5" t="s">
        <v>309</v>
      </c>
    </row>
    <row r="349" customFormat="false" ht="15" hidden="false" customHeight="false" outlineLevel="0" collapsed="false">
      <c r="A349" s="5" t="s">
        <v>4602</v>
      </c>
      <c r="B349" s="2" t="s">
        <v>4603</v>
      </c>
      <c r="C349" s="5" t="s">
        <v>2245</v>
      </c>
      <c r="D349" s="5" t="s">
        <v>62</v>
      </c>
      <c r="E349" s="5" t="s">
        <v>1225</v>
      </c>
    </row>
    <row r="350" customFormat="false" ht="15" hidden="false" customHeight="false" outlineLevel="0" collapsed="false">
      <c r="A350" s="5" t="s">
        <v>4607</v>
      </c>
      <c r="B350" s="2" t="s">
        <v>4608</v>
      </c>
      <c r="C350" s="5" t="s">
        <v>2128</v>
      </c>
      <c r="D350" s="5" t="s">
        <v>62</v>
      </c>
      <c r="E350" s="5" t="s">
        <v>1225</v>
      </c>
    </row>
    <row r="351" customFormat="false" ht="15" hidden="false" customHeight="false" outlineLevel="0" collapsed="false">
      <c r="A351" s="5" t="s">
        <v>4612</v>
      </c>
      <c r="B351" s="2" t="s">
        <v>4613</v>
      </c>
      <c r="C351" s="5" t="s">
        <v>2128</v>
      </c>
      <c r="D351" s="5" t="s">
        <v>62</v>
      </c>
      <c r="E351" s="5" t="s">
        <v>309</v>
      </c>
    </row>
    <row r="352" customFormat="false" ht="15" hidden="false" customHeight="false" outlineLevel="0" collapsed="false">
      <c r="A352" s="5" t="s">
        <v>4617</v>
      </c>
      <c r="B352" s="2" t="s">
        <v>4618</v>
      </c>
      <c r="C352" s="5" t="s">
        <v>2245</v>
      </c>
      <c r="D352" s="5" t="s">
        <v>62</v>
      </c>
      <c r="E352" s="5" t="s">
        <v>1225</v>
      </c>
    </row>
    <row r="353" customFormat="false" ht="15" hidden="false" customHeight="false" outlineLevel="0" collapsed="false">
      <c r="A353" s="5" t="s">
        <v>4622</v>
      </c>
      <c r="B353" s="2" t="s">
        <v>4623</v>
      </c>
      <c r="C353" s="5" t="s">
        <v>2245</v>
      </c>
      <c r="D353" s="5" t="s">
        <v>62</v>
      </c>
      <c r="E353" s="5" t="s">
        <v>1225</v>
      </c>
    </row>
    <row r="354" customFormat="false" ht="15" hidden="false" customHeight="false" outlineLevel="0" collapsed="false">
      <c r="A354" s="5" t="s">
        <v>4627</v>
      </c>
      <c r="B354" s="2" t="s">
        <v>4628</v>
      </c>
      <c r="C354" s="5" t="s">
        <v>2245</v>
      </c>
      <c r="D354" s="5" t="s">
        <v>62</v>
      </c>
      <c r="E354" s="5" t="s">
        <v>1225</v>
      </c>
    </row>
    <row r="355" customFormat="false" ht="23.85" hidden="false" customHeight="false" outlineLevel="0" collapsed="false">
      <c r="A355" s="5" t="s">
        <v>4665</v>
      </c>
      <c r="B355" s="2" t="s">
        <v>4666</v>
      </c>
      <c r="C355" s="5" t="s">
        <v>2245</v>
      </c>
      <c r="D355" s="5" t="s">
        <v>62</v>
      </c>
      <c r="E355" s="5" t="s">
        <v>309</v>
      </c>
    </row>
    <row r="356" customFormat="false" ht="15" hidden="false" customHeight="false" outlineLevel="0" collapsed="false">
      <c r="A356" s="5" t="s">
        <v>4670</v>
      </c>
      <c r="B356" s="2" t="s">
        <v>4671</v>
      </c>
      <c r="C356" s="5" t="s">
        <v>2245</v>
      </c>
      <c r="D356" s="5" t="s">
        <v>490</v>
      </c>
      <c r="E356" s="5" t="s">
        <v>1537</v>
      </c>
    </row>
    <row r="357" customFormat="false" ht="23.85" hidden="false" customHeight="false" outlineLevel="0" collapsed="false">
      <c r="A357" s="5" t="s">
        <v>4676</v>
      </c>
      <c r="B357" s="2" t="s">
        <v>4677</v>
      </c>
      <c r="C357" s="5" t="s">
        <v>2245</v>
      </c>
      <c r="D357" s="5" t="s">
        <v>62</v>
      </c>
      <c r="E357" s="5" t="s">
        <v>192</v>
      </c>
    </row>
    <row r="358" customFormat="false" ht="23.85" hidden="false" customHeight="false" outlineLevel="0" collapsed="false">
      <c r="A358" s="5" t="s">
        <v>4683</v>
      </c>
      <c r="B358" s="2" t="s">
        <v>4684</v>
      </c>
      <c r="C358" s="5" t="s">
        <v>2245</v>
      </c>
      <c r="D358" s="5" t="s">
        <v>490</v>
      </c>
      <c r="E358" s="5" t="s">
        <v>1225</v>
      </c>
    </row>
    <row r="359" customFormat="false" ht="23.85" hidden="false" customHeight="false" outlineLevel="0" collapsed="false">
      <c r="A359" s="5" t="s">
        <v>4688</v>
      </c>
      <c r="B359" s="2" t="s">
        <v>4689</v>
      </c>
      <c r="C359" s="5" t="s">
        <v>2245</v>
      </c>
      <c r="D359" s="5" t="s">
        <v>490</v>
      </c>
      <c r="E359" s="5" t="s">
        <v>309</v>
      </c>
    </row>
    <row r="360" customFormat="false" ht="23.85" hidden="false" customHeight="false" outlineLevel="0" collapsed="false">
      <c r="A360" s="5" t="s">
        <v>4693</v>
      </c>
      <c r="B360" s="2" t="s">
        <v>4694</v>
      </c>
      <c r="C360" s="5" t="s">
        <v>2245</v>
      </c>
      <c r="D360" s="5" t="s">
        <v>490</v>
      </c>
      <c r="E360" s="5" t="s">
        <v>1225</v>
      </c>
    </row>
    <row r="361" customFormat="false" ht="23.85" hidden="false" customHeight="false" outlineLevel="0" collapsed="false">
      <c r="A361" s="5" t="s">
        <v>4699</v>
      </c>
      <c r="B361" s="2" t="s">
        <v>4700</v>
      </c>
      <c r="C361" s="5" t="s">
        <v>2245</v>
      </c>
      <c r="D361" s="5" t="s">
        <v>490</v>
      </c>
      <c r="E361" s="5" t="s">
        <v>214</v>
      </c>
    </row>
    <row r="362" customFormat="false" ht="23.85" hidden="false" customHeight="false" outlineLevel="0" collapsed="false">
      <c r="A362" s="5" t="s">
        <v>4705</v>
      </c>
      <c r="B362" s="2" t="s">
        <v>4706</v>
      </c>
      <c r="C362" s="5" t="s">
        <v>2245</v>
      </c>
      <c r="D362" s="5" t="s">
        <v>490</v>
      </c>
      <c r="E362" s="5" t="s">
        <v>309</v>
      </c>
    </row>
    <row r="363" customFormat="false" ht="15" hidden="false" customHeight="false" outlineLevel="0" collapsed="false">
      <c r="A363" s="5" t="s">
        <v>6136</v>
      </c>
      <c r="B363" s="2" t="s">
        <v>6137</v>
      </c>
      <c r="C363" s="5" t="s">
        <v>2245</v>
      </c>
      <c r="D363" s="5" t="s">
        <v>62</v>
      </c>
      <c r="E363" s="5" t="s">
        <v>309</v>
      </c>
    </row>
    <row r="364" customFormat="false" ht="23.85" hidden="false" customHeight="false" outlineLevel="0" collapsed="false">
      <c r="A364" s="5" t="s">
        <v>6141</v>
      </c>
      <c r="B364" s="2" t="s">
        <v>6142</v>
      </c>
      <c r="C364" s="5" t="s">
        <v>2245</v>
      </c>
      <c r="D364" s="5" t="s">
        <v>62</v>
      </c>
      <c r="E364" s="5" t="s">
        <v>3134</v>
      </c>
    </row>
    <row r="365" customFormat="false" ht="23.85" hidden="false" customHeight="false" outlineLevel="0" collapsed="false">
      <c r="A365" s="5" t="s">
        <v>6156</v>
      </c>
      <c r="B365" s="2" t="s">
        <v>6157</v>
      </c>
      <c r="C365" s="5" t="s">
        <v>2245</v>
      </c>
      <c r="D365" s="5" t="s">
        <v>62</v>
      </c>
      <c r="E365" s="5" t="s">
        <v>3134</v>
      </c>
    </row>
    <row r="366" customFormat="false" ht="23.85" hidden="false" customHeight="false" outlineLevel="0" collapsed="false">
      <c r="A366" s="5" t="s">
        <v>6162</v>
      </c>
      <c r="B366" s="2" t="s">
        <v>6163</v>
      </c>
      <c r="C366" s="5" t="s">
        <v>2245</v>
      </c>
      <c r="D366" s="5" t="s">
        <v>62</v>
      </c>
      <c r="E366" s="5" t="s">
        <v>3134</v>
      </c>
    </row>
    <row r="367" customFormat="false" ht="15" hidden="false" customHeight="false" outlineLevel="0" collapsed="false">
      <c r="A367" s="5" t="s">
        <v>6167</v>
      </c>
      <c r="B367" s="2" t="s">
        <v>6168</v>
      </c>
      <c r="C367" s="5" t="s">
        <v>2245</v>
      </c>
      <c r="D367" s="5" t="s">
        <v>62</v>
      </c>
      <c r="E367" s="5" t="s">
        <v>3134</v>
      </c>
    </row>
    <row r="368" customFormat="false" ht="23.85" hidden="false" customHeight="false" outlineLevel="0" collapsed="false">
      <c r="A368" s="5" t="s">
        <v>6178</v>
      </c>
      <c r="B368" s="2" t="s">
        <v>6179</v>
      </c>
      <c r="C368" s="5" t="s">
        <v>2245</v>
      </c>
      <c r="D368" s="5" t="s">
        <v>490</v>
      </c>
      <c r="E368" s="5" t="s">
        <v>309</v>
      </c>
    </row>
    <row r="369" customFormat="false" ht="15" hidden="false" customHeight="false" outlineLevel="0" collapsed="false">
      <c r="A369" s="5" t="s">
        <v>6184</v>
      </c>
      <c r="B369" s="2" t="s">
        <v>6185</v>
      </c>
      <c r="C369" s="5" t="s">
        <v>2245</v>
      </c>
      <c r="D369" s="5" t="s">
        <v>62</v>
      </c>
      <c r="E369" s="5" t="s">
        <v>372</v>
      </c>
    </row>
    <row r="370" customFormat="false" ht="15" hidden="false" customHeight="false" outlineLevel="0" collapsed="false">
      <c r="A370" s="5" t="s">
        <v>6199</v>
      </c>
      <c r="B370" s="2" t="s">
        <v>6200</v>
      </c>
      <c r="C370" s="5" t="s">
        <v>2245</v>
      </c>
      <c r="D370" s="5" t="s">
        <v>62</v>
      </c>
      <c r="E370" s="5" t="s">
        <v>309</v>
      </c>
    </row>
    <row r="371" customFormat="false" ht="23.85" hidden="false" customHeight="false" outlineLevel="0" collapsed="false">
      <c r="A371" s="5" t="s">
        <v>6204</v>
      </c>
      <c r="B371" s="2" t="s">
        <v>6205</v>
      </c>
      <c r="C371" s="5" t="s">
        <v>2245</v>
      </c>
      <c r="D371" s="5" t="s">
        <v>62</v>
      </c>
      <c r="E371" s="5" t="s">
        <v>309</v>
      </c>
    </row>
    <row r="372" customFormat="false" ht="15" hidden="false" customHeight="false" outlineLevel="0" collapsed="false">
      <c r="A372" s="5" t="s">
        <v>6209</v>
      </c>
      <c r="B372" s="2" t="s">
        <v>6210</v>
      </c>
      <c r="C372" s="5" t="s">
        <v>2128</v>
      </c>
      <c r="D372" s="5" t="s">
        <v>62</v>
      </c>
      <c r="E372" s="5" t="s">
        <v>309</v>
      </c>
    </row>
    <row r="373" customFormat="false" ht="15" hidden="false" customHeight="false" outlineLevel="0" collapsed="false">
      <c r="A373" s="5" t="s">
        <v>6214</v>
      </c>
      <c r="B373" s="2" t="s">
        <v>6215</v>
      </c>
      <c r="C373" s="5" t="s">
        <v>2245</v>
      </c>
      <c r="D373" s="5" t="s">
        <v>490</v>
      </c>
      <c r="E373" s="5" t="s">
        <v>309</v>
      </c>
    </row>
    <row r="374" customFormat="false" ht="23.85" hidden="false" customHeight="false" outlineLevel="0" collapsed="false">
      <c r="A374" s="5" t="s">
        <v>6229</v>
      </c>
      <c r="B374" s="2" t="s">
        <v>6230</v>
      </c>
      <c r="C374" s="5" t="s">
        <v>2245</v>
      </c>
      <c r="D374" s="5" t="s">
        <v>62</v>
      </c>
      <c r="E374" s="5" t="s">
        <v>309</v>
      </c>
    </row>
    <row r="375" customFormat="false" ht="23.85" hidden="false" customHeight="false" outlineLevel="0" collapsed="false">
      <c r="A375" s="5" t="s">
        <v>6234</v>
      </c>
      <c r="B375" s="2" t="s">
        <v>6235</v>
      </c>
      <c r="C375" s="5" t="s">
        <v>2245</v>
      </c>
      <c r="D375" s="5" t="s">
        <v>62</v>
      </c>
      <c r="E375" s="5" t="s">
        <v>1225</v>
      </c>
    </row>
    <row r="376" customFormat="false" ht="15" hidden="false" customHeight="false" outlineLevel="0" collapsed="false">
      <c r="A376" s="5" t="s">
        <v>6258</v>
      </c>
      <c r="B376" s="2" t="s">
        <v>6259</v>
      </c>
      <c r="C376" s="5" t="s">
        <v>2128</v>
      </c>
      <c r="D376" s="5" t="s">
        <v>62</v>
      </c>
      <c r="E376" s="5" t="s">
        <v>309</v>
      </c>
    </row>
    <row r="377" customFormat="false" ht="15" hidden="false" customHeight="false" outlineLevel="0" collapsed="false">
      <c r="A377" s="5" t="s">
        <v>6263</v>
      </c>
      <c r="B377" s="2" t="s">
        <v>6264</v>
      </c>
      <c r="C377" s="5" t="s">
        <v>2128</v>
      </c>
      <c r="D377" s="5" t="s">
        <v>62</v>
      </c>
      <c r="E377" s="5" t="s">
        <v>309</v>
      </c>
    </row>
    <row r="378" customFormat="false" ht="23.85" hidden="false" customHeight="false" outlineLevel="0" collapsed="false">
      <c r="A378" s="5" t="s">
        <v>6268</v>
      </c>
      <c r="B378" s="2" t="s">
        <v>6269</v>
      </c>
      <c r="C378" s="5" t="s">
        <v>2128</v>
      </c>
      <c r="D378" s="5" t="s">
        <v>62</v>
      </c>
      <c r="E378" s="5" t="s">
        <v>309</v>
      </c>
    </row>
    <row r="379" customFormat="false" ht="23.85" hidden="false" customHeight="false" outlineLevel="0" collapsed="false">
      <c r="A379" s="5" t="s">
        <v>6307</v>
      </c>
      <c r="B379" s="2" t="s">
        <v>6308</v>
      </c>
      <c r="C379" s="5" t="s">
        <v>2245</v>
      </c>
      <c r="D379" s="5" t="s">
        <v>62</v>
      </c>
      <c r="E379" s="5" t="s">
        <v>309</v>
      </c>
    </row>
    <row r="380" customFormat="false" ht="23.85" hidden="false" customHeight="false" outlineLevel="0" collapsed="false">
      <c r="A380" s="5" t="s">
        <v>6312</v>
      </c>
      <c r="B380" s="2" t="s">
        <v>6313</v>
      </c>
      <c r="C380" s="5" t="s">
        <v>2245</v>
      </c>
      <c r="D380" s="5" t="s">
        <v>490</v>
      </c>
      <c r="E380" s="5" t="s">
        <v>309</v>
      </c>
    </row>
    <row r="381" customFormat="false" ht="15" hidden="false" customHeight="false" outlineLevel="0" collapsed="false">
      <c r="A381" s="5" t="s">
        <v>6317</v>
      </c>
      <c r="B381" s="2" t="s">
        <v>6318</v>
      </c>
      <c r="C381" s="5" t="s">
        <v>2128</v>
      </c>
      <c r="D381" s="5" t="s">
        <v>62</v>
      </c>
      <c r="E381" s="5" t="s">
        <v>309</v>
      </c>
    </row>
    <row r="382" customFormat="false" ht="23.85" hidden="false" customHeight="false" outlineLevel="0" collapsed="false">
      <c r="A382" s="5" t="s">
        <v>6323</v>
      </c>
      <c r="B382" s="2" t="s">
        <v>6324</v>
      </c>
      <c r="C382" s="5" t="s">
        <v>2245</v>
      </c>
      <c r="D382" s="5" t="s">
        <v>62</v>
      </c>
      <c r="E382" s="5" t="s">
        <v>3134</v>
      </c>
    </row>
    <row r="383" customFormat="false" ht="23.85" hidden="false" customHeight="false" outlineLevel="0" collapsed="false">
      <c r="A383" s="5" t="s">
        <v>6328</v>
      </c>
      <c r="B383" s="2" t="s">
        <v>6329</v>
      </c>
      <c r="C383" s="5" t="s">
        <v>2245</v>
      </c>
      <c r="D383" s="5" t="s">
        <v>490</v>
      </c>
      <c r="E383" s="5" t="s">
        <v>309</v>
      </c>
    </row>
    <row r="384" customFormat="false" ht="23.85" hidden="false" customHeight="false" outlineLevel="0" collapsed="false">
      <c r="A384" s="5" t="s">
        <v>6333</v>
      </c>
      <c r="B384" s="2" t="s">
        <v>6334</v>
      </c>
      <c r="C384" s="5" t="s">
        <v>2245</v>
      </c>
      <c r="D384" s="5" t="s">
        <v>62</v>
      </c>
      <c r="E384" s="5" t="s">
        <v>309</v>
      </c>
    </row>
    <row r="385" customFormat="false" ht="23.85" hidden="false" customHeight="false" outlineLevel="0" collapsed="false">
      <c r="A385" s="5" t="s">
        <v>6343</v>
      </c>
      <c r="B385" s="2" t="s">
        <v>6344</v>
      </c>
      <c r="C385" s="5" t="s">
        <v>2245</v>
      </c>
      <c r="D385" s="5" t="s">
        <v>62</v>
      </c>
      <c r="E385" s="5" t="s">
        <v>372</v>
      </c>
    </row>
    <row r="386" customFormat="false" ht="23.85" hidden="false" customHeight="false" outlineLevel="0" collapsed="false">
      <c r="A386" s="5" t="s">
        <v>6348</v>
      </c>
      <c r="B386" s="2" t="s">
        <v>6349</v>
      </c>
      <c r="C386" s="5" t="s">
        <v>2245</v>
      </c>
      <c r="D386" s="5" t="s">
        <v>62</v>
      </c>
      <c r="E386" s="5" t="s">
        <v>3134</v>
      </c>
    </row>
    <row r="387" customFormat="false" ht="15" hidden="false" customHeight="false" outlineLevel="0" collapsed="false">
      <c r="A387" s="5" t="s">
        <v>6353</v>
      </c>
      <c r="B387" s="2" t="s">
        <v>6354</v>
      </c>
      <c r="C387" s="5" t="s">
        <v>2245</v>
      </c>
      <c r="D387" s="5" t="s">
        <v>490</v>
      </c>
      <c r="E387" s="5" t="s">
        <v>309</v>
      </c>
    </row>
    <row r="388" customFormat="false" ht="23.85" hidden="false" customHeight="false" outlineLevel="0" collapsed="false">
      <c r="A388" s="5" t="s">
        <v>6363</v>
      </c>
      <c r="B388" s="2" t="s">
        <v>6364</v>
      </c>
      <c r="C388" s="5" t="s">
        <v>2245</v>
      </c>
      <c r="D388" s="5" t="s">
        <v>490</v>
      </c>
      <c r="E388" s="5" t="s">
        <v>309</v>
      </c>
    </row>
    <row r="389" customFormat="false" ht="15" hidden="false" customHeight="false" outlineLevel="0" collapsed="false">
      <c r="A389" s="5" t="s">
        <v>6368</v>
      </c>
      <c r="B389" s="2" t="s">
        <v>6369</v>
      </c>
      <c r="C389" s="5" t="s">
        <v>2245</v>
      </c>
      <c r="D389" s="5" t="s">
        <v>490</v>
      </c>
      <c r="E389" s="5" t="s">
        <v>309</v>
      </c>
    </row>
    <row r="390" customFormat="false" ht="23.85" hidden="false" customHeight="false" outlineLevel="0" collapsed="false">
      <c r="A390" s="5" t="s">
        <v>6373</v>
      </c>
      <c r="B390" s="2" t="s">
        <v>6374</v>
      </c>
      <c r="C390" s="5" t="s">
        <v>2245</v>
      </c>
      <c r="D390" s="5" t="s">
        <v>490</v>
      </c>
      <c r="E390" s="5" t="s">
        <v>309</v>
      </c>
    </row>
    <row r="391" customFormat="false" ht="23.85" hidden="false" customHeight="false" outlineLevel="0" collapsed="false">
      <c r="A391" s="5" t="s">
        <v>6384</v>
      </c>
      <c r="B391" s="2" t="s">
        <v>6385</v>
      </c>
      <c r="C391" s="5" t="s">
        <v>2128</v>
      </c>
      <c r="D391" s="5" t="s">
        <v>62</v>
      </c>
      <c r="E391" s="5" t="s">
        <v>309</v>
      </c>
    </row>
    <row r="392" customFormat="false" ht="23.85" hidden="false" customHeight="false" outlineLevel="0" collapsed="false">
      <c r="A392" s="5" t="s">
        <v>6395</v>
      </c>
      <c r="B392" s="2" t="s">
        <v>6396</v>
      </c>
      <c r="C392" s="5" t="s">
        <v>2245</v>
      </c>
      <c r="D392" s="5" t="s">
        <v>490</v>
      </c>
      <c r="E392" s="5" t="s">
        <v>309</v>
      </c>
    </row>
    <row r="393" customFormat="false" ht="23.85" hidden="false" customHeight="false" outlineLevel="0" collapsed="false">
      <c r="A393" s="5" t="s">
        <v>6400</v>
      </c>
      <c r="B393" s="2" t="s">
        <v>6401</v>
      </c>
      <c r="C393" s="5" t="s">
        <v>2245</v>
      </c>
      <c r="D393" s="5" t="s">
        <v>62</v>
      </c>
      <c r="E393" s="5" t="s">
        <v>3134</v>
      </c>
    </row>
    <row r="394" customFormat="false" ht="15" hidden="false" customHeight="false" outlineLevel="0" collapsed="false">
      <c r="A394" s="5" t="s">
        <v>6405</v>
      </c>
      <c r="B394" s="2" t="s">
        <v>6406</v>
      </c>
      <c r="C394" s="5" t="s">
        <v>2245</v>
      </c>
      <c r="D394" s="5" t="s">
        <v>62</v>
      </c>
      <c r="E394" s="5" t="s">
        <v>309</v>
      </c>
    </row>
    <row r="395" customFormat="false" ht="23.85" hidden="false" customHeight="false" outlineLevel="0" collapsed="false">
      <c r="A395" s="5" t="s">
        <v>6410</v>
      </c>
      <c r="B395" s="2" t="s">
        <v>6411</v>
      </c>
      <c r="C395" s="5" t="s">
        <v>2245</v>
      </c>
      <c r="D395" s="5" t="s">
        <v>62</v>
      </c>
      <c r="E395" s="5" t="s">
        <v>3134</v>
      </c>
    </row>
    <row r="396" customFormat="false" ht="23.85" hidden="false" customHeight="false" outlineLevel="0" collapsed="false">
      <c r="A396" s="5" t="s">
        <v>6415</v>
      </c>
      <c r="B396" s="2" t="s">
        <v>6416</v>
      </c>
      <c r="C396" s="5" t="s">
        <v>2245</v>
      </c>
      <c r="D396" s="5" t="s">
        <v>490</v>
      </c>
      <c r="E396" s="5" t="s">
        <v>372</v>
      </c>
    </row>
    <row r="397" customFormat="false" ht="23.85" hidden="false" customHeight="false" outlineLevel="0" collapsed="false">
      <c r="A397" s="5" t="s">
        <v>6420</v>
      </c>
      <c r="B397" s="2" t="s">
        <v>6421</v>
      </c>
      <c r="C397" s="5" t="s">
        <v>2128</v>
      </c>
      <c r="D397" s="5" t="s">
        <v>62</v>
      </c>
      <c r="E397" s="5" t="s">
        <v>309</v>
      </c>
    </row>
    <row r="398" customFormat="false" ht="23.85" hidden="false" customHeight="false" outlineLevel="0" collapsed="false">
      <c r="A398" s="5" t="s">
        <v>6425</v>
      </c>
      <c r="B398" s="2" t="s">
        <v>6426</v>
      </c>
      <c r="C398" s="5" t="s">
        <v>2245</v>
      </c>
      <c r="D398" s="5" t="s">
        <v>490</v>
      </c>
      <c r="E398" s="5" t="s">
        <v>309</v>
      </c>
    </row>
    <row r="399" customFormat="false" ht="15" hidden="false" customHeight="false" outlineLevel="0" collapsed="false">
      <c r="A399" s="5" t="s">
        <v>6430</v>
      </c>
      <c r="B399" s="2" t="s">
        <v>6431</v>
      </c>
      <c r="C399" s="5" t="s">
        <v>2128</v>
      </c>
      <c r="D399" s="5" t="s">
        <v>62</v>
      </c>
      <c r="E399" s="5" t="s">
        <v>309</v>
      </c>
    </row>
    <row r="400" customFormat="false" ht="15" hidden="false" customHeight="false" outlineLevel="0" collapsed="false">
      <c r="A400" s="5" t="s">
        <v>6436</v>
      </c>
      <c r="B400" s="2" t="s">
        <v>6437</v>
      </c>
      <c r="C400" s="5" t="s">
        <v>2128</v>
      </c>
      <c r="D400" s="5" t="s">
        <v>62</v>
      </c>
      <c r="E400" s="5" t="s">
        <v>309</v>
      </c>
    </row>
    <row r="401" customFormat="false" ht="23.85" hidden="false" customHeight="false" outlineLevel="0" collapsed="false">
      <c r="A401" s="5" t="s">
        <v>6450</v>
      </c>
      <c r="B401" s="2" t="s">
        <v>6451</v>
      </c>
      <c r="C401" s="5" t="s">
        <v>2128</v>
      </c>
      <c r="D401" s="5" t="s">
        <v>62</v>
      </c>
      <c r="E401" s="5" t="s">
        <v>309</v>
      </c>
    </row>
    <row r="402" customFormat="false" ht="23.85" hidden="false" customHeight="false" outlineLevel="0" collapsed="false">
      <c r="A402" s="5" t="s">
        <v>6455</v>
      </c>
      <c r="B402" s="2" t="s">
        <v>6456</v>
      </c>
      <c r="C402" s="5" t="s">
        <v>2128</v>
      </c>
      <c r="D402" s="5" t="s">
        <v>62</v>
      </c>
      <c r="E402" s="5" t="s">
        <v>309</v>
      </c>
    </row>
    <row r="403" customFormat="false" ht="15" hidden="false" customHeight="false" outlineLevel="0" collapsed="false">
      <c r="A403" s="5" t="s">
        <v>6460</v>
      </c>
      <c r="B403" s="2" t="s">
        <v>6461</v>
      </c>
      <c r="C403" s="5" t="s">
        <v>2128</v>
      </c>
      <c r="D403" s="5" t="s">
        <v>62</v>
      </c>
      <c r="E403" s="5" t="s">
        <v>309</v>
      </c>
    </row>
    <row r="404" customFormat="false" ht="15" hidden="false" customHeight="false" outlineLevel="0" collapsed="false">
      <c r="A404" s="5" t="s">
        <v>6465</v>
      </c>
      <c r="B404" s="2" t="s">
        <v>6466</v>
      </c>
      <c r="C404" s="5" t="s">
        <v>2128</v>
      </c>
      <c r="D404" s="5" t="s">
        <v>62</v>
      </c>
      <c r="E404" s="5" t="s">
        <v>309</v>
      </c>
    </row>
    <row r="405" customFormat="false" ht="15" hidden="false" customHeight="false" outlineLevel="0" collapsed="false">
      <c r="A405" s="5" t="s">
        <v>6470</v>
      </c>
      <c r="B405" s="2" t="s">
        <v>6471</v>
      </c>
      <c r="C405" s="5" t="s">
        <v>2245</v>
      </c>
      <c r="D405" s="5" t="s">
        <v>490</v>
      </c>
      <c r="E405" s="5" t="s">
        <v>309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0"/>
    <col collapsed="false" customWidth="true" hidden="false" outlineLevel="0" max="3" min="3" style="0" width="20"/>
    <col collapsed="false" customWidth="true" hidden="false" outlineLevel="0" max="4" min="4" style="0" width="16"/>
    <col collapsed="false" customWidth="true" hidden="false" outlineLevel="0" max="5" min="5" style="0" width="10"/>
    <col collapsed="false" customWidth="true" hidden="false" outlineLevel="0" max="6" min="6" style="0" width="50"/>
  </cols>
  <sheetData>
    <row r="1" customFormat="false" ht="31.5" hidden="false" customHeight="true" outlineLevel="0" collapsed="false">
      <c r="A1" s="4" t="s">
        <v>30</v>
      </c>
      <c r="B1" s="4" t="s">
        <v>31</v>
      </c>
      <c r="C1" s="4" t="s">
        <v>32</v>
      </c>
      <c r="D1" s="4" t="s">
        <v>33</v>
      </c>
      <c r="E1" s="4" t="s">
        <v>35</v>
      </c>
      <c r="F1" s="4" t="s">
        <v>8215</v>
      </c>
    </row>
    <row r="2" customFormat="false" ht="15" hidden="false" customHeight="false" outlineLevel="0" collapsed="false">
      <c r="A2" s="5" t="s">
        <v>57</v>
      </c>
      <c r="B2" s="2" t="s">
        <v>58</v>
      </c>
      <c r="C2" s="5" t="s">
        <v>59</v>
      </c>
      <c r="D2" s="5" t="s">
        <v>60</v>
      </c>
      <c r="E2" s="5" t="s">
        <v>62</v>
      </c>
      <c r="F2" s="5" t="s">
        <v>69</v>
      </c>
    </row>
    <row r="3" customFormat="false" ht="15" hidden="false" customHeight="false" outlineLevel="0" collapsed="false">
      <c r="A3" s="5" t="s">
        <v>79</v>
      </c>
      <c r="B3" s="2" t="s">
        <v>80</v>
      </c>
      <c r="C3" s="5" t="s">
        <v>59</v>
      </c>
      <c r="D3" s="5" t="s">
        <v>60</v>
      </c>
      <c r="E3" s="5" t="s">
        <v>62</v>
      </c>
      <c r="F3" s="5" t="s">
        <v>69</v>
      </c>
    </row>
    <row r="4" customFormat="false" ht="23.85" hidden="false" customHeight="false" outlineLevel="0" collapsed="false">
      <c r="A4" s="5" t="s">
        <v>87</v>
      </c>
      <c r="B4" s="2" t="s">
        <v>88</v>
      </c>
      <c r="C4" s="5" t="s">
        <v>59</v>
      </c>
      <c r="D4" s="5" t="s">
        <v>60</v>
      </c>
      <c r="E4" s="5" t="s">
        <v>62</v>
      </c>
      <c r="F4" s="5" t="s">
        <v>69</v>
      </c>
    </row>
    <row r="5" customFormat="false" ht="23.85" hidden="false" customHeight="false" outlineLevel="0" collapsed="false">
      <c r="A5" s="5" t="s">
        <v>97</v>
      </c>
      <c r="B5" s="2" t="s">
        <v>98</v>
      </c>
      <c r="C5" s="5" t="s">
        <v>59</v>
      </c>
      <c r="D5" s="5" t="s">
        <v>60</v>
      </c>
      <c r="E5" s="5" t="s">
        <v>62</v>
      </c>
      <c r="F5" s="5" t="s">
        <v>69</v>
      </c>
    </row>
    <row r="6" customFormat="false" ht="15" hidden="false" customHeight="false" outlineLevel="0" collapsed="false">
      <c r="A6" s="5" t="s">
        <v>108</v>
      </c>
      <c r="B6" s="2" t="s">
        <v>109</v>
      </c>
      <c r="C6" s="5" t="s">
        <v>59</v>
      </c>
      <c r="D6" s="5" t="s">
        <v>60</v>
      </c>
      <c r="E6" s="5" t="s">
        <v>62</v>
      </c>
      <c r="F6" s="5" t="s">
        <v>69</v>
      </c>
    </row>
    <row r="7" customFormat="false" ht="15" hidden="false" customHeight="false" outlineLevel="0" collapsed="false">
      <c r="A7" s="5" t="s">
        <v>114</v>
      </c>
      <c r="B7" s="2" t="s">
        <v>115</v>
      </c>
      <c r="C7" s="5" t="s">
        <v>59</v>
      </c>
      <c r="D7" s="5" t="s">
        <v>60</v>
      </c>
      <c r="E7" s="5" t="s">
        <v>62</v>
      </c>
      <c r="F7" s="5" t="s">
        <v>69</v>
      </c>
    </row>
    <row r="8" customFormat="false" ht="23.85" hidden="false" customHeight="false" outlineLevel="0" collapsed="false">
      <c r="A8" s="5" t="s">
        <v>121</v>
      </c>
      <c r="B8" s="2" t="s">
        <v>122</v>
      </c>
      <c r="C8" s="5" t="s">
        <v>59</v>
      </c>
      <c r="D8" s="5" t="s">
        <v>60</v>
      </c>
      <c r="E8" s="5" t="s">
        <v>62</v>
      </c>
      <c r="F8" s="5" t="s">
        <v>69</v>
      </c>
    </row>
    <row r="9" customFormat="false" ht="15" hidden="false" customHeight="false" outlineLevel="0" collapsed="false">
      <c r="A9" s="5" t="s">
        <v>129</v>
      </c>
      <c r="B9" s="2" t="s">
        <v>130</v>
      </c>
      <c r="C9" s="5" t="s">
        <v>59</v>
      </c>
      <c r="D9" s="5" t="s">
        <v>60</v>
      </c>
      <c r="E9" s="5" t="s">
        <v>62</v>
      </c>
      <c r="F9" s="5" t="s">
        <v>69</v>
      </c>
    </row>
    <row r="10" customFormat="false" ht="15" hidden="false" customHeight="false" outlineLevel="0" collapsed="false">
      <c r="A10" s="5" t="s">
        <v>134</v>
      </c>
      <c r="B10" s="2" t="s">
        <v>135</v>
      </c>
      <c r="C10" s="5" t="s">
        <v>59</v>
      </c>
      <c r="D10" s="5" t="s">
        <v>60</v>
      </c>
      <c r="E10" s="5" t="s">
        <v>62</v>
      </c>
      <c r="F10" s="5" t="s">
        <v>69</v>
      </c>
    </row>
    <row r="11" customFormat="false" ht="23.85" hidden="false" customHeight="false" outlineLevel="0" collapsed="false">
      <c r="A11" s="5" t="s">
        <v>139</v>
      </c>
      <c r="B11" s="2" t="s">
        <v>140</v>
      </c>
      <c r="C11" s="5" t="s">
        <v>59</v>
      </c>
      <c r="D11" s="5" t="s">
        <v>60</v>
      </c>
      <c r="E11" s="5" t="s">
        <v>62</v>
      </c>
      <c r="F11" s="5" t="s">
        <v>69</v>
      </c>
    </row>
    <row r="12" customFormat="false" ht="15" hidden="false" customHeight="false" outlineLevel="0" collapsed="false">
      <c r="A12" s="5" t="s">
        <v>144</v>
      </c>
      <c r="B12" s="2" t="s">
        <v>145</v>
      </c>
      <c r="C12" s="5" t="s">
        <v>59</v>
      </c>
      <c r="D12" s="5" t="s">
        <v>60</v>
      </c>
      <c r="E12" s="5" t="s">
        <v>62</v>
      </c>
      <c r="F12" s="5" t="s">
        <v>69</v>
      </c>
    </row>
    <row r="13" customFormat="false" ht="15" hidden="false" customHeight="false" outlineLevel="0" collapsed="false">
      <c r="A13" s="5" t="s">
        <v>149</v>
      </c>
      <c r="B13" s="2" t="s">
        <v>150</v>
      </c>
      <c r="C13" s="5" t="s">
        <v>59</v>
      </c>
      <c r="D13" s="5" t="s">
        <v>60</v>
      </c>
      <c r="E13" s="5" t="s">
        <v>62</v>
      </c>
      <c r="F13" s="5" t="s">
        <v>152</v>
      </c>
    </row>
    <row r="14" customFormat="false" ht="23.85" hidden="false" customHeight="false" outlineLevel="0" collapsed="false">
      <c r="A14" s="5" t="s">
        <v>159</v>
      </c>
      <c r="B14" s="2" t="s">
        <v>160</v>
      </c>
      <c r="C14" s="5" t="s">
        <v>59</v>
      </c>
      <c r="D14" s="5" t="s">
        <v>60</v>
      </c>
      <c r="E14" s="5" t="s">
        <v>62</v>
      </c>
      <c r="F14" s="5" t="s">
        <v>152</v>
      </c>
    </row>
    <row r="15" customFormat="false" ht="15" hidden="false" customHeight="false" outlineLevel="0" collapsed="false">
      <c r="A15" s="5" t="s">
        <v>170</v>
      </c>
      <c r="B15" s="2" t="s">
        <v>171</v>
      </c>
      <c r="C15" s="5" t="s">
        <v>59</v>
      </c>
      <c r="D15" s="5" t="s">
        <v>60</v>
      </c>
      <c r="E15" s="5" t="s">
        <v>62</v>
      </c>
      <c r="F15" s="5" t="s">
        <v>173</v>
      </c>
    </row>
    <row r="16" customFormat="false" ht="23.85" hidden="false" customHeight="false" outlineLevel="0" collapsed="false">
      <c r="A16" s="5" t="s">
        <v>180</v>
      </c>
      <c r="B16" s="2" t="s">
        <v>181</v>
      </c>
      <c r="C16" s="5" t="s">
        <v>59</v>
      </c>
      <c r="D16" s="5" t="s">
        <v>60</v>
      </c>
      <c r="E16" s="5" t="s">
        <v>62</v>
      </c>
      <c r="F16" s="5" t="s">
        <v>184</v>
      </c>
    </row>
    <row r="17" customFormat="false" ht="23.85" hidden="false" customHeight="false" outlineLevel="0" collapsed="false">
      <c r="A17" s="5" t="s">
        <v>195</v>
      </c>
      <c r="B17" s="2" t="s">
        <v>196</v>
      </c>
      <c r="C17" s="5" t="s">
        <v>59</v>
      </c>
      <c r="D17" s="5" t="s">
        <v>60</v>
      </c>
      <c r="E17" s="5" t="s">
        <v>62</v>
      </c>
      <c r="F17" s="5" t="s">
        <v>6027</v>
      </c>
    </row>
    <row r="18" customFormat="false" ht="23.85" hidden="false" customHeight="false" outlineLevel="0" collapsed="false">
      <c r="A18" s="5" t="s">
        <v>195</v>
      </c>
      <c r="B18" s="2" t="s">
        <v>196</v>
      </c>
      <c r="C18" s="5" t="s">
        <v>59</v>
      </c>
      <c r="D18" s="5" t="s">
        <v>60</v>
      </c>
      <c r="E18" s="5" t="s">
        <v>62</v>
      </c>
      <c r="F18" s="5" t="s">
        <v>184</v>
      </c>
    </row>
    <row r="19" customFormat="false" ht="23.85" hidden="false" customHeight="false" outlineLevel="0" collapsed="false">
      <c r="A19" s="5" t="s">
        <v>195</v>
      </c>
      <c r="B19" s="2" t="s">
        <v>196</v>
      </c>
      <c r="C19" s="5" t="s">
        <v>59</v>
      </c>
      <c r="D19" s="5" t="s">
        <v>60</v>
      </c>
      <c r="E19" s="5" t="s">
        <v>62</v>
      </c>
      <c r="F19" s="5" t="s">
        <v>367</v>
      </c>
    </row>
    <row r="20" customFormat="false" ht="23.85" hidden="false" customHeight="false" outlineLevel="0" collapsed="false">
      <c r="A20" s="5" t="s">
        <v>206</v>
      </c>
      <c r="B20" s="2" t="s">
        <v>207</v>
      </c>
      <c r="C20" s="5" t="s">
        <v>59</v>
      </c>
      <c r="D20" s="5" t="s">
        <v>60</v>
      </c>
      <c r="E20" s="5" t="s">
        <v>62</v>
      </c>
      <c r="F20" s="5" t="s">
        <v>184</v>
      </c>
    </row>
    <row r="21" customFormat="false" ht="23.85" hidden="false" customHeight="false" outlineLevel="0" collapsed="false">
      <c r="A21" s="5" t="s">
        <v>217</v>
      </c>
      <c r="B21" s="2" t="s">
        <v>218</v>
      </c>
      <c r="C21" s="5" t="s">
        <v>59</v>
      </c>
      <c r="D21" s="5" t="s">
        <v>60</v>
      </c>
      <c r="E21" s="5" t="s">
        <v>62</v>
      </c>
      <c r="F21" s="5" t="s">
        <v>184</v>
      </c>
    </row>
    <row r="22" customFormat="false" ht="23.85" hidden="false" customHeight="false" outlineLevel="0" collapsed="false">
      <c r="A22" s="5" t="s">
        <v>222</v>
      </c>
      <c r="B22" s="2" t="s">
        <v>223</v>
      </c>
      <c r="C22" s="5" t="s">
        <v>59</v>
      </c>
      <c r="D22" s="5" t="s">
        <v>60</v>
      </c>
      <c r="E22" s="5" t="s">
        <v>62</v>
      </c>
      <c r="F22" s="5" t="s">
        <v>6027</v>
      </c>
    </row>
    <row r="23" customFormat="false" ht="23.85" hidden="false" customHeight="false" outlineLevel="0" collapsed="false">
      <c r="A23" s="5" t="s">
        <v>222</v>
      </c>
      <c r="B23" s="2" t="s">
        <v>223</v>
      </c>
      <c r="C23" s="5" t="s">
        <v>59</v>
      </c>
      <c r="D23" s="5" t="s">
        <v>60</v>
      </c>
      <c r="E23" s="5" t="s">
        <v>62</v>
      </c>
      <c r="F23" s="5" t="s">
        <v>184</v>
      </c>
    </row>
    <row r="24" customFormat="false" ht="23.85" hidden="false" customHeight="false" outlineLevel="0" collapsed="false">
      <c r="A24" s="5" t="s">
        <v>222</v>
      </c>
      <c r="B24" s="2" t="s">
        <v>223</v>
      </c>
      <c r="C24" s="5" t="s">
        <v>59</v>
      </c>
      <c r="D24" s="5" t="s">
        <v>60</v>
      </c>
      <c r="E24" s="5" t="s">
        <v>62</v>
      </c>
      <c r="F24" s="5" t="s">
        <v>367</v>
      </c>
    </row>
    <row r="25" customFormat="false" ht="23.85" hidden="false" customHeight="false" outlineLevel="0" collapsed="false">
      <c r="A25" s="5" t="s">
        <v>227</v>
      </c>
      <c r="B25" s="2" t="s">
        <v>228</v>
      </c>
      <c r="C25" s="5" t="s">
        <v>59</v>
      </c>
      <c r="D25" s="5" t="s">
        <v>60</v>
      </c>
      <c r="E25" s="5" t="s">
        <v>62</v>
      </c>
      <c r="F25" s="5" t="s">
        <v>184</v>
      </c>
    </row>
    <row r="26" customFormat="false" ht="23.85" hidden="false" customHeight="false" outlineLevel="0" collapsed="false">
      <c r="A26" s="5" t="s">
        <v>233</v>
      </c>
      <c r="B26" s="2" t="s">
        <v>234</v>
      </c>
      <c r="C26" s="5" t="s">
        <v>59</v>
      </c>
      <c r="D26" s="5" t="s">
        <v>60</v>
      </c>
      <c r="E26" s="5" t="s">
        <v>62</v>
      </c>
      <c r="F26" s="5" t="s">
        <v>184</v>
      </c>
    </row>
    <row r="27" customFormat="false" ht="23.85" hidden="false" customHeight="false" outlineLevel="0" collapsed="false">
      <c r="A27" s="5" t="s">
        <v>238</v>
      </c>
      <c r="B27" s="2" t="s">
        <v>239</v>
      </c>
      <c r="C27" s="5" t="s">
        <v>59</v>
      </c>
      <c r="D27" s="5" t="s">
        <v>60</v>
      </c>
      <c r="E27" s="5" t="s">
        <v>62</v>
      </c>
      <c r="F27" s="5" t="s">
        <v>184</v>
      </c>
    </row>
    <row r="28" customFormat="false" ht="23.85" hidden="false" customHeight="false" outlineLevel="0" collapsed="false">
      <c r="A28" s="5" t="s">
        <v>244</v>
      </c>
      <c r="B28" s="2" t="s">
        <v>245</v>
      </c>
      <c r="C28" s="5" t="s">
        <v>59</v>
      </c>
      <c r="D28" s="5" t="s">
        <v>60</v>
      </c>
      <c r="E28" s="5" t="s">
        <v>62</v>
      </c>
      <c r="F28" s="5" t="s">
        <v>184</v>
      </c>
    </row>
    <row r="29" customFormat="false" ht="23.85" hidden="false" customHeight="false" outlineLevel="0" collapsed="false">
      <c r="A29" s="5" t="s">
        <v>252</v>
      </c>
      <c r="B29" s="2" t="s">
        <v>253</v>
      </c>
      <c r="C29" s="5" t="s">
        <v>59</v>
      </c>
      <c r="D29" s="5" t="s">
        <v>60</v>
      </c>
      <c r="E29" s="5" t="s">
        <v>62</v>
      </c>
      <c r="F29" s="5" t="s">
        <v>255</v>
      </c>
    </row>
    <row r="30" customFormat="false" ht="15" hidden="false" customHeight="false" outlineLevel="0" collapsed="false">
      <c r="A30" s="5" t="s">
        <v>262</v>
      </c>
      <c r="B30" s="2" t="s">
        <v>263</v>
      </c>
      <c r="C30" s="5" t="s">
        <v>59</v>
      </c>
      <c r="D30" s="5" t="s">
        <v>60</v>
      </c>
      <c r="E30" s="5" t="s">
        <v>62</v>
      </c>
      <c r="F30" s="5" t="s">
        <v>184</v>
      </c>
    </row>
    <row r="31" customFormat="false" ht="15" hidden="false" customHeight="false" outlineLevel="0" collapsed="false">
      <c r="A31" s="5" t="s">
        <v>267</v>
      </c>
      <c r="B31" s="2" t="s">
        <v>268</v>
      </c>
      <c r="C31" s="5" t="s">
        <v>59</v>
      </c>
      <c r="D31" s="5" t="s">
        <v>60</v>
      </c>
      <c r="E31" s="5" t="s">
        <v>62</v>
      </c>
      <c r="F31" s="5" t="s">
        <v>6027</v>
      </c>
    </row>
    <row r="32" customFormat="false" ht="15" hidden="false" customHeight="false" outlineLevel="0" collapsed="false">
      <c r="A32" s="5" t="s">
        <v>267</v>
      </c>
      <c r="B32" s="2" t="s">
        <v>268</v>
      </c>
      <c r="C32" s="5" t="s">
        <v>59</v>
      </c>
      <c r="D32" s="5" t="s">
        <v>60</v>
      </c>
      <c r="E32" s="5" t="s">
        <v>62</v>
      </c>
      <c r="F32" s="5" t="s">
        <v>184</v>
      </c>
    </row>
    <row r="33" customFormat="false" ht="15" hidden="false" customHeight="false" outlineLevel="0" collapsed="false">
      <c r="A33" s="5" t="s">
        <v>267</v>
      </c>
      <c r="B33" s="2" t="s">
        <v>268</v>
      </c>
      <c r="C33" s="5" t="s">
        <v>59</v>
      </c>
      <c r="D33" s="5" t="s">
        <v>60</v>
      </c>
      <c r="E33" s="5" t="s">
        <v>62</v>
      </c>
      <c r="F33" s="5" t="s">
        <v>367</v>
      </c>
    </row>
    <row r="34" customFormat="false" ht="23.85" hidden="false" customHeight="false" outlineLevel="0" collapsed="false">
      <c r="A34" s="5" t="s">
        <v>274</v>
      </c>
      <c r="B34" s="2" t="s">
        <v>275</v>
      </c>
      <c r="C34" s="5" t="s">
        <v>59</v>
      </c>
      <c r="D34" s="5" t="s">
        <v>60</v>
      </c>
      <c r="E34" s="5" t="s">
        <v>62</v>
      </c>
      <c r="F34" s="5" t="s">
        <v>6027</v>
      </c>
    </row>
    <row r="35" customFormat="false" ht="23.85" hidden="false" customHeight="false" outlineLevel="0" collapsed="false">
      <c r="A35" s="5" t="s">
        <v>274</v>
      </c>
      <c r="B35" s="2" t="s">
        <v>275</v>
      </c>
      <c r="C35" s="5" t="s">
        <v>59</v>
      </c>
      <c r="D35" s="5" t="s">
        <v>60</v>
      </c>
      <c r="E35" s="5" t="s">
        <v>62</v>
      </c>
      <c r="F35" s="5" t="s">
        <v>184</v>
      </c>
    </row>
    <row r="36" customFormat="false" ht="23.85" hidden="false" customHeight="false" outlineLevel="0" collapsed="false">
      <c r="A36" s="5" t="s">
        <v>274</v>
      </c>
      <c r="B36" s="2" t="s">
        <v>275</v>
      </c>
      <c r="C36" s="5" t="s">
        <v>59</v>
      </c>
      <c r="D36" s="5" t="s">
        <v>60</v>
      </c>
      <c r="E36" s="5" t="s">
        <v>62</v>
      </c>
      <c r="F36" s="5" t="s">
        <v>367</v>
      </c>
    </row>
    <row r="37" customFormat="false" ht="15" hidden="false" customHeight="false" outlineLevel="0" collapsed="false">
      <c r="A37" s="5" t="s">
        <v>282</v>
      </c>
      <c r="B37" s="2" t="s">
        <v>283</v>
      </c>
      <c r="C37" s="5" t="s">
        <v>59</v>
      </c>
      <c r="D37" s="5" t="s">
        <v>60</v>
      </c>
      <c r="E37" s="5" t="s">
        <v>62</v>
      </c>
      <c r="F37" s="5" t="s">
        <v>184</v>
      </c>
    </row>
    <row r="38" customFormat="false" ht="15" hidden="false" customHeight="false" outlineLevel="0" collapsed="false">
      <c r="A38" s="5" t="s">
        <v>290</v>
      </c>
      <c r="B38" s="2" t="s">
        <v>291</v>
      </c>
      <c r="C38" s="5" t="s">
        <v>59</v>
      </c>
      <c r="D38" s="5" t="s">
        <v>60</v>
      </c>
      <c r="E38" s="5" t="s">
        <v>62</v>
      </c>
      <c r="F38" s="5" t="s">
        <v>184</v>
      </c>
    </row>
    <row r="39" customFormat="false" ht="15" hidden="false" customHeight="false" outlineLevel="0" collapsed="false">
      <c r="A39" s="5" t="s">
        <v>296</v>
      </c>
      <c r="B39" s="2" t="s">
        <v>297</v>
      </c>
      <c r="C39" s="5" t="s">
        <v>59</v>
      </c>
      <c r="D39" s="5" t="s">
        <v>60</v>
      </c>
      <c r="E39" s="5" t="s">
        <v>62</v>
      </c>
      <c r="F39" s="5" t="s">
        <v>6027</v>
      </c>
    </row>
    <row r="40" customFormat="false" ht="15" hidden="false" customHeight="false" outlineLevel="0" collapsed="false">
      <c r="A40" s="5" t="s">
        <v>296</v>
      </c>
      <c r="B40" s="2" t="s">
        <v>297</v>
      </c>
      <c r="C40" s="5" t="s">
        <v>59</v>
      </c>
      <c r="D40" s="5" t="s">
        <v>60</v>
      </c>
      <c r="E40" s="5" t="s">
        <v>62</v>
      </c>
      <c r="F40" s="5" t="s">
        <v>184</v>
      </c>
    </row>
    <row r="41" customFormat="false" ht="15" hidden="false" customHeight="false" outlineLevel="0" collapsed="false">
      <c r="A41" s="5" t="s">
        <v>296</v>
      </c>
      <c r="B41" s="2" t="s">
        <v>297</v>
      </c>
      <c r="C41" s="5" t="s">
        <v>59</v>
      </c>
      <c r="D41" s="5" t="s">
        <v>60</v>
      </c>
      <c r="E41" s="5" t="s">
        <v>62</v>
      </c>
      <c r="F41" s="5" t="s">
        <v>367</v>
      </c>
    </row>
    <row r="42" customFormat="false" ht="15" hidden="false" customHeight="false" outlineLevel="0" collapsed="false">
      <c r="A42" s="5" t="s">
        <v>301</v>
      </c>
      <c r="B42" s="2" t="s">
        <v>302</v>
      </c>
      <c r="C42" s="5" t="s">
        <v>59</v>
      </c>
      <c r="D42" s="5" t="s">
        <v>60</v>
      </c>
      <c r="E42" s="5" t="s">
        <v>62</v>
      </c>
      <c r="F42" s="5" t="s">
        <v>184</v>
      </c>
    </row>
    <row r="43" customFormat="false" ht="15" hidden="false" customHeight="false" outlineLevel="0" collapsed="false">
      <c r="A43" s="5" t="s">
        <v>301</v>
      </c>
      <c r="B43" s="2" t="s">
        <v>302</v>
      </c>
      <c r="C43" s="5" t="s">
        <v>59</v>
      </c>
      <c r="D43" s="5" t="s">
        <v>60</v>
      </c>
      <c r="E43" s="5" t="s">
        <v>62</v>
      </c>
      <c r="F43" s="5" t="s">
        <v>367</v>
      </c>
    </row>
    <row r="44" customFormat="false" ht="15" hidden="false" customHeight="false" outlineLevel="0" collapsed="false">
      <c r="A44" s="5" t="s">
        <v>312</v>
      </c>
      <c r="B44" s="2" t="s">
        <v>313</v>
      </c>
      <c r="C44" s="5" t="s">
        <v>59</v>
      </c>
      <c r="D44" s="5" t="s">
        <v>60</v>
      </c>
      <c r="E44" s="5" t="s">
        <v>62</v>
      </c>
      <c r="F44" s="5" t="s">
        <v>184</v>
      </c>
    </row>
    <row r="45" customFormat="false" ht="23.85" hidden="false" customHeight="false" outlineLevel="0" collapsed="false">
      <c r="A45" s="5" t="s">
        <v>321</v>
      </c>
      <c r="B45" s="2" t="s">
        <v>322</v>
      </c>
      <c r="C45" s="5" t="s">
        <v>59</v>
      </c>
      <c r="D45" s="5" t="s">
        <v>60</v>
      </c>
      <c r="E45" s="5" t="s">
        <v>62</v>
      </c>
      <c r="F45" s="5" t="s">
        <v>184</v>
      </c>
    </row>
    <row r="46" customFormat="false" ht="23.85" hidden="false" customHeight="false" outlineLevel="0" collapsed="false">
      <c r="A46" s="5" t="s">
        <v>326</v>
      </c>
      <c r="B46" s="2" t="s">
        <v>327</v>
      </c>
      <c r="C46" s="5" t="s">
        <v>59</v>
      </c>
      <c r="D46" s="5" t="s">
        <v>60</v>
      </c>
      <c r="E46" s="5" t="s">
        <v>62</v>
      </c>
      <c r="F46" s="5" t="s">
        <v>184</v>
      </c>
    </row>
    <row r="47" customFormat="false" ht="35.05" hidden="false" customHeight="false" outlineLevel="0" collapsed="false">
      <c r="A47" s="5" t="s">
        <v>331</v>
      </c>
      <c r="B47" s="2" t="s">
        <v>332</v>
      </c>
      <c r="C47" s="5" t="s">
        <v>59</v>
      </c>
      <c r="D47" s="5" t="s">
        <v>60</v>
      </c>
      <c r="E47" s="5" t="s">
        <v>62</v>
      </c>
      <c r="F47" s="5" t="s">
        <v>6027</v>
      </c>
    </row>
    <row r="48" customFormat="false" ht="35.05" hidden="false" customHeight="false" outlineLevel="0" collapsed="false">
      <c r="A48" s="5" t="s">
        <v>331</v>
      </c>
      <c r="B48" s="2" t="s">
        <v>332</v>
      </c>
      <c r="C48" s="5" t="s">
        <v>59</v>
      </c>
      <c r="D48" s="5" t="s">
        <v>60</v>
      </c>
      <c r="E48" s="5" t="s">
        <v>62</v>
      </c>
      <c r="F48" s="5" t="s">
        <v>184</v>
      </c>
    </row>
    <row r="49" customFormat="false" ht="35.05" hidden="false" customHeight="false" outlineLevel="0" collapsed="false">
      <c r="A49" s="5" t="s">
        <v>331</v>
      </c>
      <c r="B49" s="2" t="s">
        <v>332</v>
      </c>
      <c r="C49" s="5" t="s">
        <v>59</v>
      </c>
      <c r="D49" s="5" t="s">
        <v>60</v>
      </c>
      <c r="E49" s="5" t="s">
        <v>62</v>
      </c>
      <c r="F49" s="5" t="s">
        <v>367</v>
      </c>
    </row>
    <row r="50" customFormat="false" ht="15" hidden="false" customHeight="false" outlineLevel="0" collapsed="false">
      <c r="A50" s="5" t="s">
        <v>337</v>
      </c>
      <c r="B50" s="2" t="s">
        <v>338</v>
      </c>
      <c r="C50" s="5" t="s">
        <v>59</v>
      </c>
      <c r="D50" s="5" t="s">
        <v>60</v>
      </c>
      <c r="E50" s="5" t="s">
        <v>62</v>
      </c>
      <c r="F50" s="5" t="s">
        <v>184</v>
      </c>
    </row>
    <row r="51" customFormat="false" ht="15" hidden="false" customHeight="false" outlineLevel="0" collapsed="false">
      <c r="A51" s="5" t="s">
        <v>349</v>
      </c>
      <c r="B51" s="2" t="s">
        <v>350</v>
      </c>
      <c r="C51" s="5" t="s">
        <v>59</v>
      </c>
      <c r="D51" s="5" t="s">
        <v>60</v>
      </c>
      <c r="E51" s="5" t="s">
        <v>62</v>
      </c>
      <c r="F51" s="5" t="s">
        <v>184</v>
      </c>
    </row>
    <row r="52" customFormat="false" ht="23.85" hidden="false" customHeight="false" outlineLevel="0" collapsed="false">
      <c r="A52" s="5" t="s">
        <v>359</v>
      </c>
      <c r="B52" s="2" t="s">
        <v>360</v>
      </c>
      <c r="C52" s="5" t="s">
        <v>59</v>
      </c>
      <c r="D52" s="5" t="s">
        <v>60</v>
      </c>
      <c r="E52" s="5" t="s">
        <v>62</v>
      </c>
      <c r="F52" s="5" t="s">
        <v>6027</v>
      </c>
    </row>
    <row r="53" customFormat="false" ht="23.85" hidden="false" customHeight="false" outlineLevel="0" collapsed="false">
      <c r="A53" s="5" t="s">
        <v>359</v>
      </c>
      <c r="B53" s="2" t="s">
        <v>360</v>
      </c>
      <c r="C53" s="5" t="s">
        <v>59</v>
      </c>
      <c r="D53" s="5" t="s">
        <v>60</v>
      </c>
      <c r="E53" s="5" t="s">
        <v>62</v>
      </c>
      <c r="F53" s="5" t="s">
        <v>184</v>
      </c>
    </row>
    <row r="54" customFormat="false" ht="23.85" hidden="false" customHeight="false" outlineLevel="0" collapsed="false">
      <c r="A54" s="5" t="s">
        <v>359</v>
      </c>
      <c r="B54" s="2" t="s">
        <v>360</v>
      </c>
      <c r="C54" s="5" t="s">
        <v>59</v>
      </c>
      <c r="D54" s="5" t="s">
        <v>60</v>
      </c>
      <c r="E54" s="5" t="s">
        <v>62</v>
      </c>
      <c r="F54" s="5" t="s">
        <v>367</v>
      </c>
    </row>
    <row r="55" customFormat="false" ht="15" hidden="false" customHeight="false" outlineLevel="0" collapsed="false">
      <c r="A55" s="5" t="s">
        <v>365</v>
      </c>
      <c r="B55" s="2" t="s">
        <v>366</v>
      </c>
      <c r="C55" s="5" t="s">
        <v>59</v>
      </c>
      <c r="D55" s="5" t="s">
        <v>60</v>
      </c>
      <c r="E55" s="5" t="s">
        <v>62</v>
      </c>
      <c r="F55" s="5" t="s">
        <v>367</v>
      </c>
    </row>
    <row r="56" customFormat="false" ht="15" hidden="false" customHeight="false" outlineLevel="0" collapsed="false">
      <c r="A56" s="5" t="s">
        <v>375</v>
      </c>
      <c r="B56" s="2" t="s">
        <v>376</v>
      </c>
      <c r="C56" s="5" t="s">
        <v>59</v>
      </c>
      <c r="D56" s="5" t="s">
        <v>60</v>
      </c>
      <c r="E56" s="5" t="s">
        <v>62</v>
      </c>
      <c r="F56" s="5" t="s">
        <v>184</v>
      </c>
    </row>
    <row r="57" customFormat="false" ht="15" hidden="false" customHeight="false" outlineLevel="0" collapsed="false">
      <c r="A57" s="5" t="s">
        <v>383</v>
      </c>
      <c r="B57" s="2" t="s">
        <v>384</v>
      </c>
      <c r="C57" s="5" t="s">
        <v>59</v>
      </c>
      <c r="D57" s="5" t="s">
        <v>60</v>
      </c>
      <c r="E57" s="5" t="s">
        <v>62</v>
      </c>
      <c r="F57" s="5" t="s">
        <v>184</v>
      </c>
    </row>
    <row r="58" customFormat="false" ht="15" hidden="false" customHeight="false" outlineLevel="0" collapsed="false">
      <c r="A58" s="5" t="s">
        <v>389</v>
      </c>
      <c r="B58" s="2" t="s">
        <v>390</v>
      </c>
      <c r="C58" s="5" t="s">
        <v>59</v>
      </c>
      <c r="D58" s="5" t="s">
        <v>60</v>
      </c>
      <c r="E58" s="5" t="s">
        <v>62</v>
      </c>
      <c r="F58" s="5" t="s">
        <v>184</v>
      </c>
    </row>
    <row r="59" customFormat="false" ht="15" hidden="false" customHeight="false" outlineLevel="0" collapsed="false">
      <c r="A59" s="5" t="s">
        <v>395</v>
      </c>
      <c r="B59" s="2" t="s">
        <v>396</v>
      </c>
      <c r="C59" s="5" t="s">
        <v>59</v>
      </c>
      <c r="D59" s="5" t="s">
        <v>60</v>
      </c>
      <c r="E59" s="5" t="s">
        <v>62</v>
      </c>
      <c r="F59" s="5" t="s">
        <v>6027</v>
      </c>
    </row>
    <row r="60" customFormat="false" ht="15" hidden="false" customHeight="false" outlineLevel="0" collapsed="false">
      <c r="A60" s="5" t="s">
        <v>395</v>
      </c>
      <c r="B60" s="2" t="s">
        <v>396</v>
      </c>
      <c r="C60" s="5" t="s">
        <v>59</v>
      </c>
      <c r="D60" s="5" t="s">
        <v>60</v>
      </c>
      <c r="E60" s="5" t="s">
        <v>62</v>
      </c>
      <c r="F60" s="5" t="s">
        <v>184</v>
      </c>
    </row>
    <row r="61" customFormat="false" ht="15" hidden="false" customHeight="false" outlineLevel="0" collapsed="false">
      <c r="A61" s="5" t="s">
        <v>395</v>
      </c>
      <c r="B61" s="2" t="s">
        <v>396</v>
      </c>
      <c r="C61" s="5" t="s">
        <v>59</v>
      </c>
      <c r="D61" s="5" t="s">
        <v>60</v>
      </c>
      <c r="E61" s="5" t="s">
        <v>62</v>
      </c>
      <c r="F61" s="5" t="s">
        <v>367</v>
      </c>
    </row>
    <row r="62" customFormat="false" ht="15" hidden="false" customHeight="false" outlineLevel="0" collapsed="false">
      <c r="A62" s="5" t="s">
        <v>401</v>
      </c>
      <c r="B62" s="2" t="s">
        <v>402</v>
      </c>
      <c r="C62" s="5" t="s">
        <v>59</v>
      </c>
      <c r="D62" s="5" t="s">
        <v>60</v>
      </c>
      <c r="E62" s="5" t="s">
        <v>62</v>
      </c>
      <c r="F62" s="5" t="s">
        <v>6027</v>
      </c>
    </row>
    <row r="63" customFormat="false" ht="15" hidden="false" customHeight="false" outlineLevel="0" collapsed="false">
      <c r="A63" s="5" t="s">
        <v>401</v>
      </c>
      <c r="B63" s="2" t="s">
        <v>402</v>
      </c>
      <c r="C63" s="5" t="s">
        <v>59</v>
      </c>
      <c r="D63" s="5" t="s">
        <v>60</v>
      </c>
      <c r="E63" s="5" t="s">
        <v>62</v>
      </c>
      <c r="F63" s="5" t="s">
        <v>184</v>
      </c>
    </row>
    <row r="64" customFormat="false" ht="15" hidden="false" customHeight="false" outlineLevel="0" collapsed="false">
      <c r="A64" s="5" t="s">
        <v>401</v>
      </c>
      <c r="B64" s="2" t="s">
        <v>402</v>
      </c>
      <c r="C64" s="5" t="s">
        <v>59</v>
      </c>
      <c r="D64" s="5" t="s">
        <v>60</v>
      </c>
      <c r="E64" s="5" t="s">
        <v>62</v>
      </c>
      <c r="F64" s="5" t="s">
        <v>367</v>
      </c>
    </row>
    <row r="65" customFormat="false" ht="15" hidden="false" customHeight="false" outlineLevel="0" collapsed="false">
      <c r="A65" s="5" t="s">
        <v>406</v>
      </c>
      <c r="B65" s="2" t="s">
        <v>407</v>
      </c>
      <c r="C65" s="5" t="s">
        <v>59</v>
      </c>
      <c r="D65" s="5" t="s">
        <v>60</v>
      </c>
      <c r="E65" s="5" t="s">
        <v>62</v>
      </c>
      <c r="F65" s="5" t="s">
        <v>184</v>
      </c>
    </row>
    <row r="66" customFormat="false" ht="15" hidden="false" customHeight="false" outlineLevel="0" collapsed="false">
      <c r="A66" s="5" t="s">
        <v>406</v>
      </c>
      <c r="B66" s="2" t="s">
        <v>407</v>
      </c>
      <c r="C66" s="5" t="s">
        <v>59</v>
      </c>
      <c r="D66" s="5" t="s">
        <v>60</v>
      </c>
      <c r="E66" s="5" t="s">
        <v>62</v>
      </c>
      <c r="F66" s="5" t="s">
        <v>367</v>
      </c>
    </row>
    <row r="67" customFormat="false" ht="15" hidden="false" customHeight="false" outlineLevel="0" collapsed="false">
      <c r="A67" s="5" t="s">
        <v>411</v>
      </c>
      <c r="B67" s="2" t="s">
        <v>412</v>
      </c>
      <c r="C67" s="5" t="s">
        <v>59</v>
      </c>
      <c r="D67" s="5" t="s">
        <v>60</v>
      </c>
      <c r="E67" s="5" t="s">
        <v>62</v>
      </c>
      <c r="F67" s="5" t="s">
        <v>415</v>
      </c>
    </row>
    <row r="68" customFormat="false" ht="23.85" hidden="false" customHeight="false" outlineLevel="0" collapsed="false">
      <c r="A68" s="5" t="s">
        <v>422</v>
      </c>
      <c r="B68" s="2" t="s">
        <v>423</v>
      </c>
      <c r="C68" s="5" t="s">
        <v>59</v>
      </c>
      <c r="D68" s="5" t="s">
        <v>60</v>
      </c>
      <c r="E68" s="5" t="s">
        <v>62</v>
      </c>
      <c r="F68" s="5" t="s">
        <v>6027</v>
      </c>
    </row>
    <row r="69" customFormat="false" ht="23.85" hidden="false" customHeight="false" outlineLevel="0" collapsed="false">
      <c r="A69" s="5" t="s">
        <v>422</v>
      </c>
      <c r="B69" s="2" t="s">
        <v>423</v>
      </c>
      <c r="C69" s="5" t="s">
        <v>59</v>
      </c>
      <c r="D69" s="5" t="s">
        <v>60</v>
      </c>
      <c r="E69" s="5" t="s">
        <v>62</v>
      </c>
      <c r="F69" s="5" t="s">
        <v>184</v>
      </c>
    </row>
    <row r="70" customFormat="false" ht="23.85" hidden="false" customHeight="false" outlineLevel="0" collapsed="false">
      <c r="A70" s="5" t="s">
        <v>422</v>
      </c>
      <c r="B70" s="2" t="s">
        <v>423</v>
      </c>
      <c r="C70" s="5" t="s">
        <v>59</v>
      </c>
      <c r="D70" s="5" t="s">
        <v>60</v>
      </c>
      <c r="E70" s="5" t="s">
        <v>62</v>
      </c>
      <c r="F70" s="5" t="s">
        <v>367</v>
      </c>
    </row>
    <row r="71" customFormat="false" ht="15" hidden="false" customHeight="false" outlineLevel="0" collapsed="false">
      <c r="A71" s="5" t="s">
        <v>427</v>
      </c>
      <c r="B71" s="2" t="s">
        <v>428</v>
      </c>
      <c r="C71" s="5" t="s">
        <v>59</v>
      </c>
      <c r="D71" s="5" t="s">
        <v>60</v>
      </c>
      <c r="E71" s="5" t="s">
        <v>62</v>
      </c>
      <c r="F71" s="5" t="s">
        <v>184</v>
      </c>
    </row>
    <row r="72" customFormat="false" ht="15" hidden="false" customHeight="false" outlineLevel="0" collapsed="false">
      <c r="A72" s="5" t="s">
        <v>432</v>
      </c>
      <c r="B72" s="2" t="s">
        <v>433</v>
      </c>
      <c r="C72" s="5" t="s">
        <v>59</v>
      </c>
      <c r="D72" s="5" t="s">
        <v>60</v>
      </c>
      <c r="E72" s="5" t="s">
        <v>62</v>
      </c>
      <c r="F72" s="5" t="s">
        <v>6027</v>
      </c>
    </row>
    <row r="73" customFormat="false" ht="15" hidden="false" customHeight="false" outlineLevel="0" collapsed="false">
      <c r="A73" s="5" t="s">
        <v>432</v>
      </c>
      <c r="B73" s="2" t="s">
        <v>433</v>
      </c>
      <c r="C73" s="5" t="s">
        <v>59</v>
      </c>
      <c r="D73" s="5" t="s">
        <v>60</v>
      </c>
      <c r="E73" s="5" t="s">
        <v>62</v>
      </c>
      <c r="F73" s="5" t="s">
        <v>184</v>
      </c>
    </row>
    <row r="74" customFormat="false" ht="15" hidden="false" customHeight="false" outlineLevel="0" collapsed="false">
      <c r="A74" s="5" t="s">
        <v>432</v>
      </c>
      <c r="B74" s="2" t="s">
        <v>433</v>
      </c>
      <c r="C74" s="5" t="s">
        <v>59</v>
      </c>
      <c r="D74" s="5" t="s">
        <v>60</v>
      </c>
      <c r="E74" s="5" t="s">
        <v>62</v>
      </c>
      <c r="F74" s="5" t="s">
        <v>367</v>
      </c>
    </row>
    <row r="75" customFormat="false" ht="15" hidden="false" customHeight="false" outlineLevel="0" collapsed="false">
      <c r="A75" s="5" t="s">
        <v>437</v>
      </c>
      <c r="B75" s="2" t="s">
        <v>438</v>
      </c>
      <c r="C75" s="5" t="s">
        <v>59</v>
      </c>
      <c r="D75" s="5" t="s">
        <v>60</v>
      </c>
      <c r="E75" s="5" t="s">
        <v>62</v>
      </c>
      <c r="F75" s="5" t="s">
        <v>6027</v>
      </c>
    </row>
    <row r="76" customFormat="false" ht="15" hidden="false" customHeight="false" outlineLevel="0" collapsed="false">
      <c r="A76" s="5" t="s">
        <v>437</v>
      </c>
      <c r="B76" s="2" t="s">
        <v>438</v>
      </c>
      <c r="C76" s="5" t="s">
        <v>59</v>
      </c>
      <c r="D76" s="5" t="s">
        <v>60</v>
      </c>
      <c r="E76" s="5" t="s">
        <v>62</v>
      </c>
      <c r="F76" s="5" t="s">
        <v>184</v>
      </c>
    </row>
    <row r="77" customFormat="false" ht="15" hidden="false" customHeight="false" outlineLevel="0" collapsed="false">
      <c r="A77" s="5" t="s">
        <v>437</v>
      </c>
      <c r="B77" s="2" t="s">
        <v>438</v>
      </c>
      <c r="C77" s="5" t="s">
        <v>59</v>
      </c>
      <c r="D77" s="5" t="s">
        <v>60</v>
      </c>
      <c r="E77" s="5" t="s">
        <v>62</v>
      </c>
      <c r="F77" s="5" t="s">
        <v>367</v>
      </c>
    </row>
    <row r="78" customFormat="false" ht="15" hidden="false" customHeight="false" outlineLevel="0" collapsed="false">
      <c r="A78" s="5" t="s">
        <v>442</v>
      </c>
      <c r="B78" s="2" t="s">
        <v>443</v>
      </c>
      <c r="C78" s="5" t="s">
        <v>59</v>
      </c>
      <c r="D78" s="5" t="s">
        <v>60</v>
      </c>
      <c r="E78" s="5" t="s">
        <v>62</v>
      </c>
      <c r="F78" s="5" t="s">
        <v>184</v>
      </c>
    </row>
    <row r="79" customFormat="false" ht="23.85" hidden="false" customHeight="false" outlineLevel="0" collapsed="false">
      <c r="A79" s="5" t="s">
        <v>447</v>
      </c>
      <c r="B79" s="2" t="s">
        <v>448</v>
      </c>
      <c r="C79" s="5" t="s">
        <v>59</v>
      </c>
      <c r="D79" s="5" t="s">
        <v>60</v>
      </c>
      <c r="E79" s="5" t="s">
        <v>62</v>
      </c>
      <c r="F79" s="5" t="s">
        <v>6027</v>
      </c>
    </row>
    <row r="80" customFormat="false" ht="23.85" hidden="false" customHeight="false" outlineLevel="0" collapsed="false">
      <c r="A80" s="5" t="s">
        <v>447</v>
      </c>
      <c r="B80" s="2" t="s">
        <v>448</v>
      </c>
      <c r="C80" s="5" t="s">
        <v>59</v>
      </c>
      <c r="D80" s="5" t="s">
        <v>60</v>
      </c>
      <c r="E80" s="5" t="s">
        <v>62</v>
      </c>
      <c r="F80" s="5" t="s">
        <v>184</v>
      </c>
    </row>
    <row r="81" customFormat="false" ht="23.85" hidden="false" customHeight="false" outlineLevel="0" collapsed="false">
      <c r="A81" s="5" t="s">
        <v>447</v>
      </c>
      <c r="B81" s="2" t="s">
        <v>448</v>
      </c>
      <c r="C81" s="5" t="s">
        <v>59</v>
      </c>
      <c r="D81" s="5" t="s">
        <v>60</v>
      </c>
      <c r="E81" s="5" t="s">
        <v>62</v>
      </c>
      <c r="F81" s="5" t="s">
        <v>367</v>
      </c>
    </row>
    <row r="82" customFormat="false" ht="15" hidden="false" customHeight="false" outlineLevel="0" collapsed="false">
      <c r="A82" s="5" t="s">
        <v>454</v>
      </c>
      <c r="B82" s="2" t="s">
        <v>455</v>
      </c>
      <c r="C82" s="5" t="s">
        <v>59</v>
      </c>
      <c r="D82" s="5" t="s">
        <v>60</v>
      </c>
      <c r="E82" s="5" t="s">
        <v>62</v>
      </c>
      <c r="F82" s="5" t="s">
        <v>184</v>
      </c>
    </row>
    <row r="83" customFormat="false" ht="15" hidden="false" customHeight="false" outlineLevel="0" collapsed="false">
      <c r="A83" s="5" t="s">
        <v>454</v>
      </c>
      <c r="B83" s="2" t="s">
        <v>455</v>
      </c>
      <c r="C83" s="5" t="s">
        <v>59</v>
      </c>
      <c r="D83" s="5" t="s">
        <v>60</v>
      </c>
      <c r="E83" s="5" t="s">
        <v>62</v>
      </c>
      <c r="F83" s="5" t="s">
        <v>367</v>
      </c>
    </row>
    <row r="84" customFormat="false" ht="23.85" hidden="false" customHeight="false" outlineLevel="0" collapsed="false">
      <c r="A84" s="5" t="s">
        <v>460</v>
      </c>
      <c r="B84" s="2" t="s">
        <v>461</v>
      </c>
      <c r="C84" s="5" t="s">
        <v>59</v>
      </c>
      <c r="D84" s="5" t="s">
        <v>60</v>
      </c>
      <c r="E84" s="5" t="s">
        <v>62</v>
      </c>
      <c r="F84" s="5" t="s">
        <v>184</v>
      </c>
    </row>
    <row r="85" customFormat="false" ht="15" hidden="false" customHeight="false" outlineLevel="0" collapsed="false">
      <c r="A85" s="5" t="s">
        <v>465</v>
      </c>
      <c r="B85" s="2" t="s">
        <v>466</v>
      </c>
      <c r="C85" s="5" t="s">
        <v>59</v>
      </c>
      <c r="D85" s="5" t="s">
        <v>60</v>
      </c>
      <c r="E85" s="5" t="s">
        <v>62</v>
      </c>
      <c r="F85" s="5" t="s">
        <v>6027</v>
      </c>
    </row>
    <row r="86" customFormat="false" ht="15" hidden="false" customHeight="false" outlineLevel="0" collapsed="false">
      <c r="A86" s="5" t="s">
        <v>465</v>
      </c>
      <c r="B86" s="2" t="s">
        <v>466</v>
      </c>
      <c r="C86" s="5" t="s">
        <v>59</v>
      </c>
      <c r="D86" s="5" t="s">
        <v>60</v>
      </c>
      <c r="E86" s="5" t="s">
        <v>62</v>
      </c>
      <c r="F86" s="5" t="s">
        <v>184</v>
      </c>
    </row>
    <row r="87" customFormat="false" ht="15" hidden="false" customHeight="false" outlineLevel="0" collapsed="false">
      <c r="A87" s="5" t="s">
        <v>465</v>
      </c>
      <c r="B87" s="2" t="s">
        <v>466</v>
      </c>
      <c r="C87" s="5" t="s">
        <v>59</v>
      </c>
      <c r="D87" s="5" t="s">
        <v>60</v>
      </c>
      <c r="E87" s="5" t="s">
        <v>62</v>
      </c>
      <c r="F87" s="5" t="s">
        <v>367</v>
      </c>
    </row>
    <row r="88" customFormat="false" ht="15" hidden="false" customHeight="false" outlineLevel="0" collapsed="false">
      <c r="A88" s="5" t="s">
        <v>471</v>
      </c>
      <c r="B88" s="2" t="s">
        <v>472</v>
      </c>
      <c r="C88" s="5" t="s">
        <v>59</v>
      </c>
      <c r="D88" s="5" t="s">
        <v>60</v>
      </c>
      <c r="E88" s="5" t="s">
        <v>62</v>
      </c>
      <c r="F88" s="5" t="s">
        <v>367</v>
      </c>
    </row>
    <row r="89" customFormat="false" ht="15" hidden="false" customHeight="false" outlineLevel="0" collapsed="false">
      <c r="A89" s="5" t="s">
        <v>478</v>
      </c>
      <c r="B89" s="2" t="s">
        <v>479</v>
      </c>
      <c r="C89" s="5" t="s">
        <v>59</v>
      </c>
      <c r="D89" s="5" t="s">
        <v>60</v>
      </c>
      <c r="E89" s="5" t="s">
        <v>62</v>
      </c>
      <c r="F89" s="5" t="s">
        <v>6027</v>
      </c>
    </row>
    <row r="90" customFormat="false" ht="15" hidden="false" customHeight="false" outlineLevel="0" collapsed="false">
      <c r="A90" s="5" t="s">
        <v>478</v>
      </c>
      <c r="B90" s="2" t="s">
        <v>479</v>
      </c>
      <c r="C90" s="5" t="s">
        <v>59</v>
      </c>
      <c r="D90" s="5" t="s">
        <v>60</v>
      </c>
      <c r="E90" s="5" t="s">
        <v>62</v>
      </c>
      <c r="F90" s="5" t="s">
        <v>184</v>
      </c>
    </row>
    <row r="91" customFormat="false" ht="15" hidden="false" customHeight="false" outlineLevel="0" collapsed="false">
      <c r="A91" s="5" t="s">
        <v>478</v>
      </c>
      <c r="B91" s="2" t="s">
        <v>479</v>
      </c>
      <c r="C91" s="5" t="s">
        <v>59</v>
      </c>
      <c r="D91" s="5" t="s">
        <v>60</v>
      </c>
      <c r="E91" s="5" t="s">
        <v>62</v>
      </c>
      <c r="F91" s="5" t="s">
        <v>367</v>
      </c>
    </row>
    <row r="92" customFormat="false" ht="15" hidden="false" customHeight="false" outlineLevel="0" collapsed="false">
      <c r="A92" s="5" t="s">
        <v>486</v>
      </c>
      <c r="B92" s="2" t="s">
        <v>487</v>
      </c>
      <c r="C92" s="5" t="s">
        <v>488</v>
      </c>
      <c r="D92" s="5" t="s">
        <v>60</v>
      </c>
      <c r="E92" s="5" t="s">
        <v>490</v>
      </c>
      <c r="F92" s="5" t="s">
        <v>492</v>
      </c>
    </row>
    <row r="93" customFormat="false" ht="15" hidden="false" customHeight="false" outlineLevel="0" collapsed="false">
      <c r="A93" s="5" t="s">
        <v>500</v>
      </c>
      <c r="B93" s="2" t="s">
        <v>501</v>
      </c>
      <c r="C93" s="5" t="s">
        <v>488</v>
      </c>
      <c r="D93" s="5" t="s">
        <v>60</v>
      </c>
      <c r="E93" s="5" t="s">
        <v>62</v>
      </c>
      <c r="F93" s="5" t="s">
        <v>502</v>
      </c>
    </row>
    <row r="94" customFormat="false" ht="15" hidden="false" customHeight="false" outlineLevel="0" collapsed="false">
      <c r="A94" s="5" t="s">
        <v>509</v>
      </c>
      <c r="B94" s="2" t="s">
        <v>510</v>
      </c>
      <c r="C94" s="5" t="s">
        <v>488</v>
      </c>
      <c r="D94" s="5" t="s">
        <v>60</v>
      </c>
      <c r="E94" s="5" t="s">
        <v>62</v>
      </c>
      <c r="F94" s="5" t="s">
        <v>4830</v>
      </c>
    </row>
    <row r="95" customFormat="false" ht="15" hidden="false" customHeight="false" outlineLevel="0" collapsed="false">
      <c r="A95" s="5" t="s">
        <v>509</v>
      </c>
      <c r="B95" s="2" t="s">
        <v>510</v>
      </c>
      <c r="C95" s="5" t="s">
        <v>488</v>
      </c>
      <c r="D95" s="5" t="s">
        <v>60</v>
      </c>
      <c r="E95" s="5" t="s">
        <v>62</v>
      </c>
      <c r="F95" s="5" t="s">
        <v>8216</v>
      </c>
    </row>
    <row r="96" customFormat="false" ht="15" hidden="false" customHeight="false" outlineLevel="0" collapsed="false">
      <c r="A96" s="5" t="s">
        <v>509</v>
      </c>
      <c r="B96" s="2" t="s">
        <v>510</v>
      </c>
      <c r="C96" s="5" t="s">
        <v>488</v>
      </c>
      <c r="D96" s="5" t="s">
        <v>60</v>
      </c>
      <c r="E96" s="5" t="s">
        <v>62</v>
      </c>
      <c r="F96" s="5" t="s">
        <v>8217</v>
      </c>
    </row>
    <row r="97" customFormat="false" ht="15" hidden="false" customHeight="false" outlineLevel="0" collapsed="false">
      <c r="A97" s="5" t="s">
        <v>509</v>
      </c>
      <c r="B97" s="2" t="s">
        <v>510</v>
      </c>
      <c r="C97" s="5" t="s">
        <v>488</v>
      </c>
      <c r="D97" s="5" t="s">
        <v>60</v>
      </c>
      <c r="E97" s="5" t="s">
        <v>62</v>
      </c>
      <c r="F97" s="5" t="s">
        <v>2349</v>
      </c>
    </row>
    <row r="98" customFormat="false" ht="15" hidden="false" customHeight="false" outlineLevel="0" collapsed="false">
      <c r="A98" s="5" t="s">
        <v>509</v>
      </c>
      <c r="B98" s="2" t="s">
        <v>510</v>
      </c>
      <c r="C98" s="5" t="s">
        <v>488</v>
      </c>
      <c r="D98" s="5" t="s">
        <v>60</v>
      </c>
      <c r="E98" s="5" t="s">
        <v>62</v>
      </c>
      <c r="F98" s="5" t="s">
        <v>8218</v>
      </c>
    </row>
    <row r="99" customFormat="false" ht="15" hidden="false" customHeight="false" outlineLevel="0" collapsed="false">
      <c r="A99" s="5" t="s">
        <v>509</v>
      </c>
      <c r="B99" s="2" t="s">
        <v>510</v>
      </c>
      <c r="C99" s="5" t="s">
        <v>488</v>
      </c>
      <c r="D99" s="5" t="s">
        <v>60</v>
      </c>
      <c r="E99" s="5" t="s">
        <v>62</v>
      </c>
      <c r="F99" s="5" t="s">
        <v>8219</v>
      </c>
    </row>
    <row r="100" customFormat="false" ht="15" hidden="false" customHeight="false" outlineLevel="0" collapsed="false">
      <c r="A100" s="5" t="s">
        <v>518</v>
      </c>
      <c r="B100" s="2" t="s">
        <v>519</v>
      </c>
      <c r="C100" s="5" t="s">
        <v>488</v>
      </c>
      <c r="D100" s="5" t="s">
        <v>60</v>
      </c>
      <c r="E100" s="5" t="s">
        <v>62</v>
      </c>
      <c r="F100" s="5" t="s">
        <v>492</v>
      </c>
    </row>
    <row r="101" customFormat="false" ht="15" hidden="false" customHeight="false" outlineLevel="0" collapsed="false">
      <c r="A101" s="5" t="s">
        <v>518</v>
      </c>
      <c r="B101" s="2" t="s">
        <v>519</v>
      </c>
      <c r="C101" s="5" t="s">
        <v>488</v>
      </c>
      <c r="D101" s="5" t="s">
        <v>60</v>
      </c>
      <c r="E101" s="5" t="s">
        <v>62</v>
      </c>
      <c r="F101" s="5" t="s">
        <v>741</v>
      </c>
    </row>
    <row r="102" customFormat="false" ht="15" hidden="false" customHeight="false" outlineLevel="0" collapsed="false">
      <c r="A102" s="5" t="s">
        <v>524</v>
      </c>
      <c r="B102" s="2" t="s">
        <v>525</v>
      </c>
      <c r="C102" s="5" t="s">
        <v>488</v>
      </c>
      <c r="D102" s="5" t="s">
        <v>60</v>
      </c>
      <c r="E102" s="5" t="s">
        <v>62</v>
      </c>
      <c r="F102" s="5" t="s">
        <v>526</v>
      </c>
    </row>
    <row r="103" customFormat="false" ht="15" hidden="false" customHeight="false" outlineLevel="0" collapsed="false">
      <c r="A103" s="5" t="s">
        <v>534</v>
      </c>
      <c r="B103" s="2" t="s">
        <v>535</v>
      </c>
      <c r="C103" s="5" t="s">
        <v>488</v>
      </c>
      <c r="D103" s="5" t="s">
        <v>60</v>
      </c>
      <c r="E103" s="5" t="s">
        <v>62</v>
      </c>
      <c r="F103" s="5" t="s">
        <v>526</v>
      </c>
    </row>
    <row r="104" customFormat="false" ht="15" hidden="false" customHeight="false" outlineLevel="0" collapsed="false">
      <c r="A104" s="5" t="s">
        <v>542</v>
      </c>
      <c r="B104" s="2" t="s">
        <v>543</v>
      </c>
      <c r="C104" s="5" t="s">
        <v>488</v>
      </c>
      <c r="D104" s="5" t="s">
        <v>60</v>
      </c>
      <c r="E104" s="5" t="s">
        <v>62</v>
      </c>
      <c r="F104" s="5" t="s">
        <v>526</v>
      </c>
    </row>
    <row r="105" customFormat="false" ht="23.85" hidden="false" customHeight="false" outlineLevel="0" collapsed="false">
      <c r="A105" s="5" t="s">
        <v>550</v>
      </c>
      <c r="B105" s="2" t="s">
        <v>551</v>
      </c>
      <c r="C105" s="5" t="s">
        <v>488</v>
      </c>
      <c r="D105" s="5" t="s">
        <v>60</v>
      </c>
      <c r="E105" s="5" t="s">
        <v>490</v>
      </c>
      <c r="F105" s="5" t="s">
        <v>526</v>
      </c>
    </row>
    <row r="106" customFormat="false" ht="15" hidden="false" customHeight="false" outlineLevel="0" collapsed="false">
      <c r="A106" s="5" t="s">
        <v>558</v>
      </c>
      <c r="B106" s="2" t="s">
        <v>559</v>
      </c>
      <c r="C106" s="5" t="s">
        <v>488</v>
      </c>
      <c r="D106" s="5" t="s">
        <v>60</v>
      </c>
      <c r="E106" s="5" t="s">
        <v>62</v>
      </c>
      <c r="F106" s="5" t="s">
        <v>526</v>
      </c>
    </row>
    <row r="107" customFormat="false" ht="23.85" hidden="false" customHeight="false" outlineLevel="0" collapsed="false">
      <c r="A107" s="5" t="s">
        <v>566</v>
      </c>
      <c r="B107" s="2" t="s">
        <v>567</v>
      </c>
      <c r="C107" s="5" t="s">
        <v>488</v>
      </c>
      <c r="D107" s="5" t="s">
        <v>60</v>
      </c>
      <c r="E107" s="5" t="s">
        <v>62</v>
      </c>
      <c r="F107" s="5" t="s">
        <v>568</v>
      </c>
    </row>
    <row r="108" customFormat="false" ht="23.85" hidden="false" customHeight="false" outlineLevel="0" collapsed="false">
      <c r="A108" s="5" t="s">
        <v>575</v>
      </c>
      <c r="B108" s="2" t="s">
        <v>576</v>
      </c>
      <c r="C108" s="5" t="s">
        <v>488</v>
      </c>
      <c r="D108" s="5" t="s">
        <v>60</v>
      </c>
      <c r="E108" s="5" t="s">
        <v>62</v>
      </c>
      <c r="F108" s="5" t="s">
        <v>568</v>
      </c>
    </row>
    <row r="109" customFormat="false" ht="15" hidden="false" customHeight="false" outlineLevel="0" collapsed="false">
      <c r="A109" s="5" t="s">
        <v>583</v>
      </c>
      <c r="B109" s="2" t="s">
        <v>584</v>
      </c>
      <c r="C109" s="5" t="s">
        <v>488</v>
      </c>
      <c r="D109" s="5" t="s">
        <v>60</v>
      </c>
      <c r="E109" s="5" t="s">
        <v>62</v>
      </c>
      <c r="F109" s="5" t="s">
        <v>526</v>
      </c>
    </row>
    <row r="110" customFormat="false" ht="23.85" hidden="false" customHeight="false" outlineLevel="0" collapsed="false">
      <c r="A110" s="5" t="s">
        <v>591</v>
      </c>
      <c r="B110" s="2" t="s">
        <v>592</v>
      </c>
      <c r="C110" s="5" t="s">
        <v>488</v>
      </c>
      <c r="D110" s="5" t="s">
        <v>60</v>
      </c>
      <c r="E110" s="5" t="s">
        <v>62</v>
      </c>
      <c r="F110" s="5" t="s">
        <v>593</v>
      </c>
    </row>
    <row r="111" customFormat="false" ht="15" hidden="false" customHeight="false" outlineLevel="0" collapsed="false">
      <c r="A111" s="5" t="s">
        <v>600</v>
      </c>
      <c r="B111" s="2" t="s">
        <v>601</v>
      </c>
      <c r="C111" s="5" t="s">
        <v>488</v>
      </c>
      <c r="D111" s="5" t="s">
        <v>60</v>
      </c>
      <c r="E111" s="5" t="s">
        <v>62</v>
      </c>
      <c r="F111" s="5" t="s">
        <v>492</v>
      </c>
    </row>
    <row r="112" customFormat="false" ht="15" hidden="false" customHeight="false" outlineLevel="0" collapsed="false">
      <c r="A112" s="5" t="s">
        <v>600</v>
      </c>
      <c r="B112" s="2" t="s">
        <v>601</v>
      </c>
      <c r="C112" s="5" t="s">
        <v>488</v>
      </c>
      <c r="D112" s="5" t="s">
        <v>60</v>
      </c>
      <c r="E112" s="5" t="s">
        <v>62</v>
      </c>
      <c r="F112" s="5" t="s">
        <v>8220</v>
      </c>
    </row>
    <row r="113" customFormat="false" ht="15" hidden="false" customHeight="false" outlineLevel="0" collapsed="false">
      <c r="A113" s="5" t="s">
        <v>600</v>
      </c>
      <c r="B113" s="2" t="s">
        <v>601</v>
      </c>
      <c r="C113" s="5" t="s">
        <v>488</v>
      </c>
      <c r="D113" s="5" t="s">
        <v>60</v>
      </c>
      <c r="E113" s="5" t="s">
        <v>62</v>
      </c>
      <c r="F113" s="5" t="s">
        <v>8221</v>
      </c>
    </row>
    <row r="114" customFormat="false" ht="15" hidden="false" customHeight="false" outlineLevel="0" collapsed="false">
      <c r="A114" s="5" t="s">
        <v>600</v>
      </c>
      <c r="B114" s="2" t="s">
        <v>601</v>
      </c>
      <c r="C114" s="5" t="s">
        <v>488</v>
      </c>
      <c r="D114" s="5" t="s">
        <v>60</v>
      </c>
      <c r="E114" s="5" t="s">
        <v>62</v>
      </c>
      <c r="F114" s="5" t="s">
        <v>8222</v>
      </c>
    </row>
    <row r="115" customFormat="false" ht="15" hidden="false" customHeight="false" outlineLevel="0" collapsed="false">
      <c r="A115" s="5" t="s">
        <v>600</v>
      </c>
      <c r="B115" s="2" t="s">
        <v>601</v>
      </c>
      <c r="C115" s="5" t="s">
        <v>488</v>
      </c>
      <c r="D115" s="5" t="s">
        <v>60</v>
      </c>
      <c r="E115" s="5" t="s">
        <v>62</v>
      </c>
      <c r="F115" s="5" t="s">
        <v>8223</v>
      </c>
    </row>
    <row r="116" customFormat="false" ht="15" hidden="false" customHeight="false" outlineLevel="0" collapsed="false">
      <c r="A116" s="5" t="s">
        <v>600</v>
      </c>
      <c r="B116" s="2" t="s">
        <v>601</v>
      </c>
      <c r="C116" s="5" t="s">
        <v>488</v>
      </c>
      <c r="D116" s="5" t="s">
        <v>60</v>
      </c>
      <c r="E116" s="5" t="s">
        <v>62</v>
      </c>
      <c r="F116" s="5" t="s">
        <v>8224</v>
      </c>
    </row>
    <row r="117" customFormat="false" ht="15" hidden="false" customHeight="false" outlineLevel="0" collapsed="false">
      <c r="A117" s="5" t="s">
        <v>600</v>
      </c>
      <c r="B117" s="2" t="s">
        <v>601</v>
      </c>
      <c r="C117" s="5" t="s">
        <v>488</v>
      </c>
      <c r="D117" s="5" t="s">
        <v>60</v>
      </c>
      <c r="E117" s="5" t="s">
        <v>62</v>
      </c>
      <c r="F117" s="5" t="s">
        <v>8225</v>
      </c>
    </row>
    <row r="118" customFormat="false" ht="15" hidden="false" customHeight="false" outlineLevel="0" collapsed="false">
      <c r="A118" s="5" t="s">
        <v>600</v>
      </c>
      <c r="B118" s="2" t="s">
        <v>601</v>
      </c>
      <c r="C118" s="5" t="s">
        <v>488</v>
      </c>
      <c r="D118" s="5" t="s">
        <v>60</v>
      </c>
      <c r="E118" s="5" t="s">
        <v>62</v>
      </c>
      <c r="F118" s="5" t="s">
        <v>8226</v>
      </c>
    </row>
    <row r="119" customFormat="false" ht="15" hidden="false" customHeight="false" outlineLevel="0" collapsed="false">
      <c r="A119" s="5" t="s">
        <v>600</v>
      </c>
      <c r="B119" s="2" t="s">
        <v>601</v>
      </c>
      <c r="C119" s="5" t="s">
        <v>488</v>
      </c>
      <c r="D119" s="5" t="s">
        <v>60</v>
      </c>
      <c r="E119" s="5" t="s">
        <v>62</v>
      </c>
      <c r="F119" s="5" t="s">
        <v>8227</v>
      </c>
    </row>
    <row r="120" customFormat="false" ht="15" hidden="false" customHeight="false" outlineLevel="0" collapsed="false">
      <c r="A120" s="5" t="s">
        <v>600</v>
      </c>
      <c r="B120" s="2" t="s">
        <v>601</v>
      </c>
      <c r="C120" s="5" t="s">
        <v>488</v>
      </c>
      <c r="D120" s="5" t="s">
        <v>60</v>
      </c>
      <c r="E120" s="5" t="s">
        <v>62</v>
      </c>
      <c r="F120" s="5" t="s">
        <v>8217</v>
      </c>
    </row>
    <row r="121" customFormat="false" ht="15" hidden="false" customHeight="false" outlineLevel="0" collapsed="false">
      <c r="A121" s="5" t="s">
        <v>600</v>
      </c>
      <c r="B121" s="2" t="s">
        <v>601</v>
      </c>
      <c r="C121" s="5" t="s">
        <v>488</v>
      </c>
      <c r="D121" s="5" t="s">
        <v>60</v>
      </c>
      <c r="E121" s="5" t="s">
        <v>62</v>
      </c>
      <c r="F121" s="5" t="s">
        <v>2349</v>
      </c>
    </row>
    <row r="122" customFormat="false" ht="15" hidden="false" customHeight="false" outlineLevel="0" collapsed="false">
      <c r="A122" s="5" t="s">
        <v>600</v>
      </c>
      <c r="B122" s="2" t="s">
        <v>601</v>
      </c>
      <c r="C122" s="5" t="s">
        <v>488</v>
      </c>
      <c r="D122" s="5" t="s">
        <v>60</v>
      </c>
      <c r="E122" s="5" t="s">
        <v>62</v>
      </c>
      <c r="F122" s="5" t="s">
        <v>8219</v>
      </c>
    </row>
    <row r="123" customFormat="false" ht="15" hidden="false" customHeight="false" outlineLevel="0" collapsed="false">
      <c r="A123" s="5" t="s">
        <v>600</v>
      </c>
      <c r="B123" s="2" t="s">
        <v>601</v>
      </c>
      <c r="C123" s="5" t="s">
        <v>488</v>
      </c>
      <c r="D123" s="5" t="s">
        <v>60</v>
      </c>
      <c r="E123" s="5" t="s">
        <v>62</v>
      </c>
      <c r="F123" s="5" t="s">
        <v>8228</v>
      </c>
    </row>
    <row r="124" customFormat="false" ht="15" hidden="false" customHeight="false" outlineLevel="0" collapsed="false">
      <c r="A124" s="5" t="s">
        <v>600</v>
      </c>
      <c r="B124" s="2" t="s">
        <v>601</v>
      </c>
      <c r="C124" s="5" t="s">
        <v>488</v>
      </c>
      <c r="D124" s="5" t="s">
        <v>60</v>
      </c>
      <c r="E124" s="5" t="s">
        <v>62</v>
      </c>
      <c r="F124" s="5" t="s">
        <v>8229</v>
      </c>
    </row>
    <row r="125" customFormat="false" ht="15" hidden="false" customHeight="false" outlineLevel="0" collapsed="false">
      <c r="A125" s="5" t="s">
        <v>600</v>
      </c>
      <c r="B125" s="2" t="s">
        <v>601</v>
      </c>
      <c r="C125" s="5" t="s">
        <v>488</v>
      </c>
      <c r="D125" s="5" t="s">
        <v>60</v>
      </c>
      <c r="E125" s="5" t="s">
        <v>62</v>
      </c>
      <c r="F125" s="5" t="s">
        <v>8230</v>
      </c>
    </row>
    <row r="126" customFormat="false" ht="15" hidden="false" customHeight="false" outlineLevel="0" collapsed="false">
      <c r="A126" s="5" t="s">
        <v>600</v>
      </c>
      <c r="B126" s="2" t="s">
        <v>601</v>
      </c>
      <c r="C126" s="5" t="s">
        <v>488</v>
      </c>
      <c r="D126" s="5" t="s">
        <v>60</v>
      </c>
      <c r="E126" s="5" t="s">
        <v>62</v>
      </c>
      <c r="F126" s="5" t="s">
        <v>8231</v>
      </c>
    </row>
    <row r="127" customFormat="false" ht="15" hidden="false" customHeight="false" outlineLevel="0" collapsed="false">
      <c r="A127" s="5" t="s">
        <v>612</v>
      </c>
      <c r="B127" s="2" t="s">
        <v>613</v>
      </c>
      <c r="C127" s="5" t="s">
        <v>488</v>
      </c>
      <c r="D127" s="5" t="s">
        <v>60</v>
      </c>
      <c r="E127" s="5" t="s">
        <v>62</v>
      </c>
      <c r="F127" s="5" t="s">
        <v>492</v>
      </c>
    </row>
    <row r="128" customFormat="false" ht="15" hidden="false" customHeight="false" outlineLevel="0" collapsed="false">
      <c r="A128" s="5" t="s">
        <v>612</v>
      </c>
      <c r="B128" s="2" t="s">
        <v>613</v>
      </c>
      <c r="C128" s="5" t="s">
        <v>488</v>
      </c>
      <c r="D128" s="5" t="s">
        <v>60</v>
      </c>
      <c r="E128" s="5" t="s">
        <v>62</v>
      </c>
      <c r="F128" s="5" t="s">
        <v>8232</v>
      </c>
    </row>
    <row r="129" customFormat="false" ht="15" hidden="false" customHeight="false" outlineLevel="0" collapsed="false">
      <c r="A129" s="5" t="s">
        <v>612</v>
      </c>
      <c r="B129" s="2" t="s">
        <v>613</v>
      </c>
      <c r="C129" s="5" t="s">
        <v>488</v>
      </c>
      <c r="D129" s="5" t="s">
        <v>60</v>
      </c>
      <c r="E129" s="5" t="s">
        <v>62</v>
      </c>
      <c r="F129" s="5" t="s">
        <v>526</v>
      </c>
    </row>
    <row r="130" customFormat="false" ht="15" hidden="false" customHeight="false" outlineLevel="0" collapsed="false">
      <c r="A130" s="5" t="s">
        <v>612</v>
      </c>
      <c r="B130" s="2" t="s">
        <v>613</v>
      </c>
      <c r="C130" s="5" t="s">
        <v>488</v>
      </c>
      <c r="D130" s="5" t="s">
        <v>60</v>
      </c>
      <c r="E130" s="5" t="s">
        <v>62</v>
      </c>
      <c r="F130" s="5" t="s">
        <v>8220</v>
      </c>
    </row>
    <row r="131" customFormat="false" ht="15" hidden="false" customHeight="false" outlineLevel="0" collapsed="false">
      <c r="A131" s="5" t="s">
        <v>612</v>
      </c>
      <c r="B131" s="2" t="s">
        <v>613</v>
      </c>
      <c r="C131" s="5" t="s">
        <v>488</v>
      </c>
      <c r="D131" s="5" t="s">
        <v>60</v>
      </c>
      <c r="E131" s="5" t="s">
        <v>62</v>
      </c>
      <c r="F131" s="5" t="s">
        <v>8222</v>
      </c>
    </row>
    <row r="132" customFormat="false" ht="15" hidden="false" customHeight="false" outlineLevel="0" collapsed="false">
      <c r="A132" s="5" t="s">
        <v>612</v>
      </c>
      <c r="B132" s="2" t="s">
        <v>613</v>
      </c>
      <c r="C132" s="5" t="s">
        <v>488</v>
      </c>
      <c r="D132" s="5" t="s">
        <v>60</v>
      </c>
      <c r="E132" s="5" t="s">
        <v>62</v>
      </c>
      <c r="F132" s="5" t="s">
        <v>8224</v>
      </c>
    </row>
    <row r="133" customFormat="false" ht="15" hidden="false" customHeight="false" outlineLevel="0" collapsed="false">
      <c r="A133" s="5" t="s">
        <v>612</v>
      </c>
      <c r="B133" s="2" t="s">
        <v>613</v>
      </c>
      <c r="C133" s="5" t="s">
        <v>488</v>
      </c>
      <c r="D133" s="5" t="s">
        <v>60</v>
      </c>
      <c r="E133" s="5" t="s">
        <v>62</v>
      </c>
      <c r="F133" s="5" t="s">
        <v>8226</v>
      </c>
    </row>
    <row r="134" customFormat="false" ht="15" hidden="false" customHeight="false" outlineLevel="0" collapsed="false">
      <c r="A134" s="5" t="s">
        <v>612</v>
      </c>
      <c r="B134" s="2" t="s">
        <v>613</v>
      </c>
      <c r="C134" s="5" t="s">
        <v>488</v>
      </c>
      <c r="D134" s="5" t="s">
        <v>60</v>
      </c>
      <c r="E134" s="5" t="s">
        <v>62</v>
      </c>
      <c r="F134" s="5" t="s">
        <v>8233</v>
      </c>
    </row>
    <row r="135" customFormat="false" ht="15" hidden="false" customHeight="false" outlineLevel="0" collapsed="false">
      <c r="A135" s="5" t="s">
        <v>612</v>
      </c>
      <c r="B135" s="2" t="s">
        <v>613</v>
      </c>
      <c r="C135" s="5" t="s">
        <v>488</v>
      </c>
      <c r="D135" s="5" t="s">
        <v>60</v>
      </c>
      <c r="E135" s="5" t="s">
        <v>62</v>
      </c>
      <c r="F135" s="5" t="s">
        <v>8234</v>
      </c>
    </row>
    <row r="136" customFormat="false" ht="15" hidden="false" customHeight="false" outlineLevel="0" collapsed="false">
      <c r="A136" s="5" t="s">
        <v>612</v>
      </c>
      <c r="B136" s="2" t="s">
        <v>613</v>
      </c>
      <c r="C136" s="5" t="s">
        <v>488</v>
      </c>
      <c r="D136" s="5" t="s">
        <v>60</v>
      </c>
      <c r="E136" s="5" t="s">
        <v>62</v>
      </c>
      <c r="F136" s="5" t="s">
        <v>8235</v>
      </c>
    </row>
    <row r="137" customFormat="false" ht="15" hidden="false" customHeight="false" outlineLevel="0" collapsed="false">
      <c r="A137" s="5" t="s">
        <v>612</v>
      </c>
      <c r="B137" s="2" t="s">
        <v>613</v>
      </c>
      <c r="C137" s="5" t="s">
        <v>488</v>
      </c>
      <c r="D137" s="5" t="s">
        <v>60</v>
      </c>
      <c r="E137" s="5" t="s">
        <v>62</v>
      </c>
      <c r="F137" s="5" t="s">
        <v>8227</v>
      </c>
    </row>
    <row r="138" customFormat="false" ht="15" hidden="false" customHeight="false" outlineLevel="0" collapsed="false">
      <c r="A138" s="5" t="s">
        <v>612</v>
      </c>
      <c r="B138" s="2" t="s">
        <v>613</v>
      </c>
      <c r="C138" s="5" t="s">
        <v>488</v>
      </c>
      <c r="D138" s="5" t="s">
        <v>60</v>
      </c>
      <c r="E138" s="5" t="s">
        <v>62</v>
      </c>
      <c r="F138" s="5" t="s">
        <v>8236</v>
      </c>
    </row>
    <row r="139" customFormat="false" ht="15" hidden="false" customHeight="false" outlineLevel="0" collapsed="false">
      <c r="A139" s="5" t="s">
        <v>612</v>
      </c>
      <c r="B139" s="2" t="s">
        <v>613</v>
      </c>
      <c r="C139" s="5" t="s">
        <v>488</v>
      </c>
      <c r="D139" s="5" t="s">
        <v>60</v>
      </c>
      <c r="E139" s="5" t="s">
        <v>62</v>
      </c>
      <c r="F139" s="5" t="s">
        <v>8217</v>
      </c>
    </row>
    <row r="140" customFormat="false" ht="15" hidden="false" customHeight="false" outlineLevel="0" collapsed="false">
      <c r="A140" s="5" t="s">
        <v>612</v>
      </c>
      <c r="B140" s="2" t="s">
        <v>613</v>
      </c>
      <c r="C140" s="5" t="s">
        <v>488</v>
      </c>
      <c r="D140" s="5" t="s">
        <v>60</v>
      </c>
      <c r="E140" s="5" t="s">
        <v>62</v>
      </c>
      <c r="F140" s="5" t="s">
        <v>2349</v>
      </c>
    </row>
    <row r="141" customFormat="false" ht="15" hidden="false" customHeight="false" outlineLevel="0" collapsed="false">
      <c r="A141" s="5" t="s">
        <v>612</v>
      </c>
      <c r="B141" s="2" t="s">
        <v>613</v>
      </c>
      <c r="C141" s="5" t="s">
        <v>488</v>
      </c>
      <c r="D141" s="5" t="s">
        <v>60</v>
      </c>
      <c r="E141" s="5" t="s">
        <v>62</v>
      </c>
      <c r="F141" s="5" t="s">
        <v>8218</v>
      </c>
    </row>
    <row r="142" customFormat="false" ht="15" hidden="false" customHeight="false" outlineLevel="0" collapsed="false">
      <c r="A142" s="5" t="s">
        <v>612</v>
      </c>
      <c r="B142" s="2" t="s">
        <v>613</v>
      </c>
      <c r="C142" s="5" t="s">
        <v>488</v>
      </c>
      <c r="D142" s="5" t="s">
        <v>60</v>
      </c>
      <c r="E142" s="5" t="s">
        <v>62</v>
      </c>
      <c r="F142" s="5" t="s">
        <v>8219</v>
      </c>
    </row>
    <row r="143" customFormat="false" ht="15" hidden="false" customHeight="false" outlineLevel="0" collapsed="false">
      <c r="A143" s="5" t="s">
        <v>612</v>
      </c>
      <c r="B143" s="2" t="s">
        <v>613</v>
      </c>
      <c r="C143" s="5" t="s">
        <v>488</v>
      </c>
      <c r="D143" s="5" t="s">
        <v>60</v>
      </c>
      <c r="E143" s="5" t="s">
        <v>62</v>
      </c>
      <c r="F143" s="5" t="s">
        <v>8237</v>
      </c>
    </row>
    <row r="144" customFormat="false" ht="15" hidden="false" customHeight="false" outlineLevel="0" collapsed="false">
      <c r="A144" s="5" t="s">
        <v>612</v>
      </c>
      <c r="B144" s="2" t="s">
        <v>613</v>
      </c>
      <c r="C144" s="5" t="s">
        <v>488</v>
      </c>
      <c r="D144" s="5" t="s">
        <v>60</v>
      </c>
      <c r="E144" s="5" t="s">
        <v>62</v>
      </c>
      <c r="F144" s="5" t="s">
        <v>502</v>
      </c>
    </row>
    <row r="145" customFormat="false" ht="15" hidden="false" customHeight="false" outlineLevel="0" collapsed="false">
      <c r="A145" s="5" t="s">
        <v>612</v>
      </c>
      <c r="B145" s="2" t="s">
        <v>613</v>
      </c>
      <c r="C145" s="5" t="s">
        <v>488</v>
      </c>
      <c r="D145" s="5" t="s">
        <v>60</v>
      </c>
      <c r="E145" s="5" t="s">
        <v>62</v>
      </c>
      <c r="F145" s="5" t="s">
        <v>8238</v>
      </c>
    </row>
    <row r="146" customFormat="false" ht="15" hidden="false" customHeight="false" outlineLevel="0" collapsed="false">
      <c r="A146" s="5" t="s">
        <v>612</v>
      </c>
      <c r="B146" s="2" t="s">
        <v>613</v>
      </c>
      <c r="C146" s="5" t="s">
        <v>488</v>
      </c>
      <c r="D146" s="5" t="s">
        <v>60</v>
      </c>
      <c r="E146" s="5" t="s">
        <v>62</v>
      </c>
      <c r="F146" s="5" t="s">
        <v>8239</v>
      </c>
    </row>
    <row r="147" customFormat="false" ht="15" hidden="false" customHeight="false" outlineLevel="0" collapsed="false">
      <c r="A147" s="5" t="s">
        <v>612</v>
      </c>
      <c r="B147" s="2" t="s">
        <v>613</v>
      </c>
      <c r="C147" s="5" t="s">
        <v>488</v>
      </c>
      <c r="D147" s="5" t="s">
        <v>60</v>
      </c>
      <c r="E147" s="5" t="s">
        <v>62</v>
      </c>
      <c r="F147" s="5" t="s">
        <v>5328</v>
      </c>
    </row>
    <row r="148" customFormat="false" ht="15" hidden="false" customHeight="false" outlineLevel="0" collapsed="false">
      <c r="A148" s="5" t="s">
        <v>612</v>
      </c>
      <c r="B148" s="2" t="s">
        <v>613</v>
      </c>
      <c r="C148" s="5" t="s">
        <v>488</v>
      </c>
      <c r="D148" s="5" t="s">
        <v>60</v>
      </c>
      <c r="E148" s="5" t="s">
        <v>62</v>
      </c>
      <c r="F148" s="5" t="s">
        <v>8240</v>
      </c>
    </row>
    <row r="149" customFormat="false" ht="15" hidden="false" customHeight="false" outlineLevel="0" collapsed="false">
      <c r="A149" s="5" t="s">
        <v>612</v>
      </c>
      <c r="B149" s="2" t="s">
        <v>613</v>
      </c>
      <c r="C149" s="5" t="s">
        <v>488</v>
      </c>
      <c r="D149" s="5" t="s">
        <v>60</v>
      </c>
      <c r="E149" s="5" t="s">
        <v>62</v>
      </c>
      <c r="F149" s="5" t="s">
        <v>8228</v>
      </c>
    </row>
    <row r="150" customFormat="false" ht="15" hidden="false" customHeight="false" outlineLevel="0" collapsed="false">
      <c r="A150" s="5" t="s">
        <v>612</v>
      </c>
      <c r="B150" s="2" t="s">
        <v>613</v>
      </c>
      <c r="C150" s="5" t="s">
        <v>488</v>
      </c>
      <c r="D150" s="5" t="s">
        <v>60</v>
      </c>
      <c r="E150" s="5" t="s">
        <v>62</v>
      </c>
      <c r="F150" s="5" t="s">
        <v>741</v>
      </c>
    </row>
    <row r="151" customFormat="false" ht="23.85" hidden="false" customHeight="false" outlineLevel="0" collapsed="false">
      <c r="A151" s="5" t="s">
        <v>619</v>
      </c>
      <c r="B151" s="2" t="s">
        <v>620</v>
      </c>
      <c r="C151" s="5" t="s">
        <v>488</v>
      </c>
      <c r="D151" s="5" t="s">
        <v>60</v>
      </c>
      <c r="E151" s="5" t="s">
        <v>62</v>
      </c>
      <c r="F151" s="5" t="s">
        <v>492</v>
      </c>
    </row>
    <row r="152" customFormat="false" ht="23.85" hidden="false" customHeight="false" outlineLevel="0" collapsed="false">
      <c r="A152" s="5" t="s">
        <v>619</v>
      </c>
      <c r="B152" s="2" t="s">
        <v>620</v>
      </c>
      <c r="C152" s="5" t="s">
        <v>488</v>
      </c>
      <c r="D152" s="5" t="s">
        <v>60</v>
      </c>
      <c r="E152" s="5" t="s">
        <v>62</v>
      </c>
      <c r="F152" s="5" t="s">
        <v>8232</v>
      </c>
    </row>
    <row r="153" customFormat="false" ht="23.85" hidden="false" customHeight="false" outlineLevel="0" collapsed="false">
      <c r="A153" s="5" t="s">
        <v>619</v>
      </c>
      <c r="B153" s="2" t="s">
        <v>620</v>
      </c>
      <c r="C153" s="5" t="s">
        <v>488</v>
      </c>
      <c r="D153" s="5" t="s">
        <v>60</v>
      </c>
      <c r="E153" s="5" t="s">
        <v>62</v>
      </c>
      <c r="F153" s="5" t="s">
        <v>526</v>
      </c>
    </row>
    <row r="154" customFormat="false" ht="23.85" hidden="false" customHeight="false" outlineLevel="0" collapsed="false">
      <c r="A154" s="5" t="s">
        <v>619</v>
      </c>
      <c r="B154" s="2" t="s">
        <v>620</v>
      </c>
      <c r="C154" s="5" t="s">
        <v>488</v>
      </c>
      <c r="D154" s="5" t="s">
        <v>60</v>
      </c>
      <c r="E154" s="5" t="s">
        <v>62</v>
      </c>
      <c r="F154" s="5" t="s">
        <v>8220</v>
      </c>
    </row>
    <row r="155" customFormat="false" ht="23.85" hidden="false" customHeight="false" outlineLevel="0" collapsed="false">
      <c r="A155" s="5" t="s">
        <v>619</v>
      </c>
      <c r="B155" s="2" t="s">
        <v>620</v>
      </c>
      <c r="C155" s="5" t="s">
        <v>488</v>
      </c>
      <c r="D155" s="5" t="s">
        <v>60</v>
      </c>
      <c r="E155" s="5" t="s">
        <v>62</v>
      </c>
      <c r="F155" s="5" t="s">
        <v>8222</v>
      </c>
    </row>
    <row r="156" customFormat="false" ht="23.85" hidden="false" customHeight="false" outlineLevel="0" collapsed="false">
      <c r="A156" s="5" t="s">
        <v>619</v>
      </c>
      <c r="B156" s="2" t="s">
        <v>620</v>
      </c>
      <c r="C156" s="5" t="s">
        <v>488</v>
      </c>
      <c r="D156" s="5" t="s">
        <v>60</v>
      </c>
      <c r="E156" s="5" t="s">
        <v>62</v>
      </c>
      <c r="F156" s="5" t="s">
        <v>8224</v>
      </c>
    </row>
    <row r="157" customFormat="false" ht="23.85" hidden="false" customHeight="false" outlineLevel="0" collapsed="false">
      <c r="A157" s="5" t="s">
        <v>619</v>
      </c>
      <c r="B157" s="2" t="s">
        <v>620</v>
      </c>
      <c r="C157" s="5" t="s">
        <v>488</v>
      </c>
      <c r="D157" s="5" t="s">
        <v>60</v>
      </c>
      <c r="E157" s="5" t="s">
        <v>62</v>
      </c>
      <c r="F157" s="5" t="s">
        <v>8226</v>
      </c>
    </row>
    <row r="158" customFormat="false" ht="23.85" hidden="false" customHeight="false" outlineLevel="0" collapsed="false">
      <c r="A158" s="5" t="s">
        <v>619</v>
      </c>
      <c r="B158" s="2" t="s">
        <v>620</v>
      </c>
      <c r="C158" s="5" t="s">
        <v>488</v>
      </c>
      <c r="D158" s="5" t="s">
        <v>60</v>
      </c>
      <c r="E158" s="5" t="s">
        <v>62</v>
      </c>
      <c r="F158" s="5" t="s">
        <v>8233</v>
      </c>
    </row>
    <row r="159" customFormat="false" ht="23.85" hidden="false" customHeight="false" outlineLevel="0" collapsed="false">
      <c r="A159" s="5" t="s">
        <v>619</v>
      </c>
      <c r="B159" s="2" t="s">
        <v>620</v>
      </c>
      <c r="C159" s="5" t="s">
        <v>488</v>
      </c>
      <c r="D159" s="5" t="s">
        <v>60</v>
      </c>
      <c r="E159" s="5" t="s">
        <v>62</v>
      </c>
      <c r="F159" s="5" t="s">
        <v>8234</v>
      </c>
    </row>
    <row r="160" customFormat="false" ht="23.85" hidden="false" customHeight="false" outlineLevel="0" collapsed="false">
      <c r="A160" s="5" t="s">
        <v>619</v>
      </c>
      <c r="B160" s="2" t="s">
        <v>620</v>
      </c>
      <c r="C160" s="5" t="s">
        <v>488</v>
      </c>
      <c r="D160" s="5" t="s">
        <v>60</v>
      </c>
      <c r="E160" s="5" t="s">
        <v>62</v>
      </c>
      <c r="F160" s="5" t="s">
        <v>8235</v>
      </c>
    </row>
    <row r="161" customFormat="false" ht="23.85" hidden="false" customHeight="false" outlineLevel="0" collapsed="false">
      <c r="A161" s="5" t="s">
        <v>619</v>
      </c>
      <c r="B161" s="2" t="s">
        <v>620</v>
      </c>
      <c r="C161" s="5" t="s">
        <v>488</v>
      </c>
      <c r="D161" s="5" t="s">
        <v>60</v>
      </c>
      <c r="E161" s="5" t="s">
        <v>62</v>
      </c>
      <c r="F161" s="5" t="s">
        <v>8227</v>
      </c>
    </row>
    <row r="162" customFormat="false" ht="23.85" hidden="false" customHeight="false" outlineLevel="0" collapsed="false">
      <c r="A162" s="5" t="s">
        <v>619</v>
      </c>
      <c r="B162" s="2" t="s">
        <v>620</v>
      </c>
      <c r="C162" s="5" t="s">
        <v>488</v>
      </c>
      <c r="D162" s="5" t="s">
        <v>60</v>
      </c>
      <c r="E162" s="5" t="s">
        <v>62</v>
      </c>
      <c r="F162" s="5" t="s">
        <v>8236</v>
      </c>
    </row>
    <row r="163" customFormat="false" ht="23.85" hidden="false" customHeight="false" outlineLevel="0" collapsed="false">
      <c r="A163" s="5" t="s">
        <v>619</v>
      </c>
      <c r="B163" s="2" t="s">
        <v>620</v>
      </c>
      <c r="C163" s="5" t="s">
        <v>488</v>
      </c>
      <c r="D163" s="5" t="s">
        <v>60</v>
      </c>
      <c r="E163" s="5" t="s">
        <v>62</v>
      </c>
      <c r="F163" s="5" t="s">
        <v>8217</v>
      </c>
    </row>
    <row r="164" customFormat="false" ht="23.85" hidden="false" customHeight="false" outlineLevel="0" collapsed="false">
      <c r="A164" s="5" t="s">
        <v>619</v>
      </c>
      <c r="B164" s="2" t="s">
        <v>620</v>
      </c>
      <c r="C164" s="5" t="s">
        <v>488</v>
      </c>
      <c r="D164" s="5" t="s">
        <v>60</v>
      </c>
      <c r="E164" s="5" t="s">
        <v>62</v>
      </c>
      <c r="F164" s="5" t="s">
        <v>2349</v>
      </c>
    </row>
    <row r="165" customFormat="false" ht="23.85" hidden="false" customHeight="false" outlineLevel="0" collapsed="false">
      <c r="A165" s="5" t="s">
        <v>619</v>
      </c>
      <c r="B165" s="2" t="s">
        <v>620</v>
      </c>
      <c r="C165" s="5" t="s">
        <v>488</v>
      </c>
      <c r="D165" s="5" t="s">
        <v>60</v>
      </c>
      <c r="E165" s="5" t="s">
        <v>62</v>
      </c>
      <c r="F165" s="5" t="s">
        <v>8218</v>
      </c>
    </row>
    <row r="166" customFormat="false" ht="23.85" hidden="false" customHeight="false" outlineLevel="0" collapsed="false">
      <c r="A166" s="5" t="s">
        <v>619</v>
      </c>
      <c r="B166" s="2" t="s">
        <v>620</v>
      </c>
      <c r="C166" s="5" t="s">
        <v>488</v>
      </c>
      <c r="D166" s="5" t="s">
        <v>60</v>
      </c>
      <c r="E166" s="5" t="s">
        <v>62</v>
      </c>
      <c r="F166" s="5" t="s">
        <v>8219</v>
      </c>
    </row>
    <row r="167" customFormat="false" ht="23.85" hidden="false" customHeight="false" outlineLevel="0" collapsed="false">
      <c r="A167" s="5" t="s">
        <v>619</v>
      </c>
      <c r="B167" s="2" t="s">
        <v>620</v>
      </c>
      <c r="C167" s="5" t="s">
        <v>488</v>
      </c>
      <c r="D167" s="5" t="s">
        <v>60</v>
      </c>
      <c r="E167" s="5" t="s">
        <v>62</v>
      </c>
      <c r="F167" s="5" t="s">
        <v>8237</v>
      </c>
    </row>
    <row r="168" customFormat="false" ht="23.85" hidden="false" customHeight="false" outlineLevel="0" collapsed="false">
      <c r="A168" s="5" t="s">
        <v>619</v>
      </c>
      <c r="B168" s="2" t="s">
        <v>620</v>
      </c>
      <c r="C168" s="5" t="s">
        <v>488</v>
      </c>
      <c r="D168" s="5" t="s">
        <v>60</v>
      </c>
      <c r="E168" s="5" t="s">
        <v>62</v>
      </c>
      <c r="F168" s="5" t="s">
        <v>502</v>
      </c>
    </row>
    <row r="169" customFormat="false" ht="23.85" hidden="false" customHeight="false" outlineLevel="0" collapsed="false">
      <c r="A169" s="5" t="s">
        <v>619</v>
      </c>
      <c r="B169" s="2" t="s">
        <v>620</v>
      </c>
      <c r="C169" s="5" t="s">
        <v>488</v>
      </c>
      <c r="D169" s="5" t="s">
        <v>60</v>
      </c>
      <c r="E169" s="5" t="s">
        <v>62</v>
      </c>
      <c r="F169" s="5" t="s">
        <v>8238</v>
      </c>
    </row>
    <row r="170" customFormat="false" ht="23.85" hidden="false" customHeight="false" outlineLevel="0" collapsed="false">
      <c r="A170" s="5" t="s">
        <v>619</v>
      </c>
      <c r="B170" s="2" t="s">
        <v>620</v>
      </c>
      <c r="C170" s="5" t="s">
        <v>488</v>
      </c>
      <c r="D170" s="5" t="s">
        <v>60</v>
      </c>
      <c r="E170" s="5" t="s">
        <v>62</v>
      </c>
      <c r="F170" s="5" t="s">
        <v>8239</v>
      </c>
    </row>
    <row r="171" customFormat="false" ht="23.85" hidden="false" customHeight="false" outlineLevel="0" collapsed="false">
      <c r="A171" s="5" t="s">
        <v>619</v>
      </c>
      <c r="B171" s="2" t="s">
        <v>620</v>
      </c>
      <c r="C171" s="5" t="s">
        <v>488</v>
      </c>
      <c r="D171" s="5" t="s">
        <v>60</v>
      </c>
      <c r="E171" s="5" t="s">
        <v>62</v>
      </c>
      <c r="F171" s="5" t="s">
        <v>5328</v>
      </c>
    </row>
    <row r="172" customFormat="false" ht="23.85" hidden="false" customHeight="false" outlineLevel="0" collapsed="false">
      <c r="A172" s="5" t="s">
        <v>619</v>
      </c>
      <c r="B172" s="2" t="s">
        <v>620</v>
      </c>
      <c r="C172" s="5" t="s">
        <v>488</v>
      </c>
      <c r="D172" s="5" t="s">
        <v>60</v>
      </c>
      <c r="E172" s="5" t="s">
        <v>62</v>
      </c>
      <c r="F172" s="5" t="s">
        <v>8240</v>
      </c>
    </row>
    <row r="173" customFormat="false" ht="23.85" hidden="false" customHeight="false" outlineLevel="0" collapsed="false">
      <c r="A173" s="5" t="s">
        <v>619</v>
      </c>
      <c r="B173" s="2" t="s">
        <v>620</v>
      </c>
      <c r="C173" s="5" t="s">
        <v>488</v>
      </c>
      <c r="D173" s="5" t="s">
        <v>60</v>
      </c>
      <c r="E173" s="5" t="s">
        <v>62</v>
      </c>
      <c r="F173" s="5" t="s">
        <v>8228</v>
      </c>
    </row>
    <row r="174" customFormat="false" ht="23.85" hidden="false" customHeight="false" outlineLevel="0" collapsed="false">
      <c r="A174" s="5" t="s">
        <v>619</v>
      </c>
      <c r="B174" s="2" t="s">
        <v>620</v>
      </c>
      <c r="C174" s="5" t="s">
        <v>488</v>
      </c>
      <c r="D174" s="5" t="s">
        <v>60</v>
      </c>
      <c r="E174" s="5" t="s">
        <v>62</v>
      </c>
      <c r="F174" s="5" t="s">
        <v>741</v>
      </c>
    </row>
    <row r="175" customFormat="false" ht="23.85" hidden="false" customHeight="false" outlineLevel="0" collapsed="false">
      <c r="A175" s="5" t="s">
        <v>629</v>
      </c>
      <c r="B175" s="2" t="s">
        <v>630</v>
      </c>
      <c r="C175" s="5" t="s">
        <v>488</v>
      </c>
      <c r="D175" s="5" t="s">
        <v>60</v>
      </c>
      <c r="E175" s="5" t="s">
        <v>62</v>
      </c>
      <c r="F175" s="5" t="s">
        <v>492</v>
      </c>
    </row>
    <row r="176" customFormat="false" ht="23.85" hidden="false" customHeight="false" outlineLevel="0" collapsed="false">
      <c r="A176" s="5" t="s">
        <v>629</v>
      </c>
      <c r="B176" s="2" t="s">
        <v>630</v>
      </c>
      <c r="C176" s="5" t="s">
        <v>488</v>
      </c>
      <c r="D176" s="5" t="s">
        <v>60</v>
      </c>
      <c r="E176" s="5" t="s">
        <v>62</v>
      </c>
      <c r="F176" s="5" t="s">
        <v>8232</v>
      </c>
    </row>
    <row r="177" customFormat="false" ht="23.85" hidden="false" customHeight="false" outlineLevel="0" collapsed="false">
      <c r="A177" s="5" t="s">
        <v>629</v>
      </c>
      <c r="B177" s="2" t="s">
        <v>630</v>
      </c>
      <c r="C177" s="5" t="s">
        <v>488</v>
      </c>
      <c r="D177" s="5" t="s">
        <v>60</v>
      </c>
      <c r="E177" s="5" t="s">
        <v>62</v>
      </c>
      <c r="F177" s="5" t="s">
        <v>526</v>
      </c>
    </row>
    <row r="178" customFormat="false" ht="23.85" hidden="false" customHeight="false" outlineLevel="0" collapsed="false">
      <c r="A178" s="5" t="s">
        <v>629</v>
      </c>
      <c r="B178" s="2" t="s">
        <v>630</v>
      </c>
      <c r="C178" s="5" t="s">
        <v>488</v>
      </c>
      <c r="D178" s="5" t="s">
        <v>60</v>
      </c>
      <c r="E178" s="5" t="s">
        <v>62</v>
      </c>
      <c r="F178" s="5" t="s">
        <v>8220</v>
      </c>
    </row>
    <row r="179" customFormat="false" ht="23.85" hidden="false" customHeight="false" outlineLevel="0" collapsed="false">
      <c r="A179" s="5" t="s">
        <v>629</v>
      </c>
      <c r="B179" s="2" t="s">
        <v>630</v>
      </c>
      <c r="C179" s="5" t="s">
        <v>488</v>
      </c>
      <c r="D179" s="5" t="s">
        <v>60</v>
      </c>
      <c r="E179" s="5" t="s">
        <v>62</v>
      </c>
      <c r="F179" s="5" t="s">
        <v>8222</v>
      </c>
    </row>
    <row r="180" customFormat="false" ht="23.85" hidden="false" customHeight="false" outlineLevel="0" collapsed="false">
      <c r="A180" s="5" t="s">
        <v>629</v>
      </c>
      <c r="B180" s="2" t="s">
        <v>630</v>
      </c>
      <c r="C180" s="5" t="s">
        <v>488</v>
      </c>
      <c r="D180" s="5" t="s">
        <v>60</v>
      </c>
      <c r="E180" s="5" t="s">
        <v>62</v>
      </c>
      <c r="F180" s="5" t="s">
        <v>8224</v>
      </c>
    </row>
    <row r="181" customFormat="false" ht="23.85" hidden="false" customHeight="false" outlineLevel="0" collapsed="false">
      <c r="A181" s="5" t="s">
        <v>629</v>
      </c>
      <c r="B181" s="2" t="s">
        <v>630</v>
      </c>
      <c r="C181" s="5" t="s">
        <v>488</v>
      </c>
      <c r="D181" s="5" t="s">
        <v>60</v>
      </c>
      <c r="E181" s="5" t="s">
        <v>62</v>
      </c>
      <c r="F181" s="5" t="s">
        <v>8226</v>
      </c>
    </row>
    <row r="182" customFormat="false" ht="23.85" hidden="false" customHeight="false" outlineLevel="0" collapsed="false">
      <c r="A182" s="5" t="s">
        <v>629</v>
      </c>
      <c r="B182" s="2" t="s">
        <v>630</v>
      </c>
      <c r="C182" s="5" t="s">
        <v>488</v>
      </c>
      <c r="D182" s="5" t="s">
        <v>60</v>
      </c>
      <c r="E182" s="5" t="s">
        <v>62</v>
      </c>
      <c r="F182" s="5" t="s">
        <v>8233</v>
      </c>
    </row>
    <row r="183" customFormat="false" ht="23.85" hidden="false" customHeight="false" outlineLevel="0" collapsed="false">
      <c r="A183" s="5" t="s">
        <v>629</v>
      </c>
      <c r="B183" s="2" t="s">
        <v>630</v>
      </c>
      <c r="C183" s="5" t="s">
        <v>488</v>
      </c>
      <c r="D183" s="5" t="s">
        <v>60</v>
      </c>
      <c r="E183" s="5" t="s">
        <v>62</v>
      </c>
      <c r="F183" s="5" t="s">
        <v>8234</v>
      </c>
    </row>
    <row r="184" customFormat="false" ht="23.85" hidden="false" customHeight="false" outlineLevel="0" collapsed="false">
      <c r="A184" s="5" t="s">
        <v>629</v>
      </c>
      <c r="B184" s="2" t="s">
        <v>630</v>
      </c>
      <c r="C184" s="5" t="s">
        <v>488</v>
      </c>
      <c r="D184" s="5" t="s">
        <v>60</v>
      </c>
      <c r="E184" s="5" t="s">
        <v>62</v>
      </c>
      <c r="F184" s="5" t="s">
        <v>8235</v>
      </c>
    </row>
    <row r="185" customFormat="false" ht="23.85" hidden="false" customHeight="false" outlineLevel="0" collapsed="false">
      <c r="A185" s="5" t="s">
        <v>629</v>
      </c>
      <c r="B185" s="2" t="s">
        <v>630</v>
      </c>
      <c r="C185" s="5" t="s">
        <v>488</v>
      </c>
      <c r="D185" s="5" t="s">
        <v>60</v>
      </c>
      <c r="E185" s="5" t="s">
        <v>62</v>
      </c>
      <c r="F185" s="5" t="s">
        <v>8227</v>
      </c>
    </row>
    <row r="186" customFormat="false" ht="23.85" hidden="false" customHeight="false" outlineLevel="0" collapsed="false">
      <c r="A186" s="5" t="s">
        <v>629</v>
      </c>
      <c r="B186" s="2" t="s">
        <v>630</v>
      </c>
      <c r="C186" s="5" t="s">
        <v>488</v>
      </c>
      <c r="D186" s="5" t="s">
        <v>60</v>
      </c>
      <c r="E186" s="5" t="s">
        <v>62</v>
      </c>
      <c r="F186" s="5" t="s">
        <v>8236</v>
      </c>
    </row>
    <row r="187" customFormat="false" ht="23.85" hidden="false" customHeight="false" outlineLevel="0" collapsed="false">
      <c r="A187" s="5" t="s">
        <v>629</v>
      </c>
      <c r="B187" s="2" t="s">
        <v>630</v>
      </c>
      <c r="C187" s="5" t="s">
        <v>488</v>
      </c>
      <c r="D187" s="5" t="s">
        <v>60</v>
      </c>
      <c r="E187" s="5" t="s">
        <v>62</v>
      </c>
      <c r="F187" s="5" t="s">
        <v>8217</v>
      </c>
    </row>
    <row r="188" customFormat="false" ht="23.85" hidden="false" customHeight="false" outlineLevel="0" collapsed="false">
      <c r="A188" s="5" t="s">
        <v>629</v>
      </c>
      <c r="B188" s="2" t="s">
        <v>630</v>
      </c>
      <c r="C188" s="5" t="s">
        <v>488</v>
      </c>
      <c r="D188" s="5" t="s">
        <v>60</v>
      </c>
      <c r="E188" s="5" t="s">
        <v>62</v>
      </c>
      <c r="F188" s="5" t="s">
        <v>2349</v>
      </c>
    </row>
    <row r="189" customFormat="false" ht="23.85" hidden="false" customHeight="false" outlineLevel="0" collapsed="false">
      <c r="A189" s="5" t="s">
        <v>629</v>
      </c>
      <c r="B189" s="2" t="s">
        <v>630</v>
      </c>
      <c r="C189" s="5" t="s">
        <v>488</v>
      </c>
      <c r="D189" s="5" t="s">
        <v>60</v>
      </c>
      <c r="E189" s="5" t="s">
        <v>62</v>
      </c>
      <c r="F189" s="5" t="s">
        <v>8218</v>
      </c>
    </row>
    <row r="190" customFormat="false" ht="23.85" hidden="false" customHeight="false" outlineLevel="0" collapsed="false">
      <c r="A190" s="5" t="s">
        <v>629</v>
      </c>
      <c r="B190" s="2" t="s">
        <v>630</v>
      </c>
      <c r="C190" s="5" t="s">
        <v>488</v>
      </c>
      <c r="D190" s="5" t="s">
        <v>60</v>
      </c>
      <c r="E190" s="5" t="s">
        <v>62</v>
      </c>
      <c r="F190" s="5" t="s">
        <v>8219</v>
      </c>
    </row>
    <row r="191" customFormat="false" ht="23.85" hidden="false" customHeight="false" outlineLevel="0" collapsed="false">
      <c r="A191" s="5" t="s">
        <v>629</v>
      </c>
      <c r="B191" s="2" t="s">
        <v>630</v>
      </c>
      <c r="C191" s="5" t="s">
        <v>488</v>
      </c>
      <c r="D191" s="5" t="s">
        <v>60</v>
      </c>
      <c r="E191" s="5" t="s">
        <v>62</v>
      </c>
      <c r="F191" s="5" t="s">
        <v>8237</v>
      </c>
    </row>
    <row r="192" customFormat="false" ht="23.85" hidden="false" customHeight="false" outlineLevel="0" collapsed="false">
      <c r="A192" s="5" t="s">
        <v>629</v>
      </c>
      <c r="B192" s="2" t="s">
        <v>630</v>
      </c>
      <c r="C192" s="5" t="s">
        <v>488</v>
      </c>
      <c r="D192" s="5" t="s">
        <v>60</v>
      </c>
      <c r="E192" s="5" t="s">
        <v>62</v>
      </c>
      <c r="F192" s="5" t="s">
        <v>502</v>
      </c>
    </row>
    <row r="193" customFormat="false" ht="23.85" hidden="false" customHeight="false" outlineLevel="0" collapsed="false">
      <c r="A193" s="5" t="s">
        <v>629</v>
      </c>
      <c r="B193" s="2" t="s">
        <v>630</v>
      </c>
      <c r="C193" s="5" t="s">
        <v>488</v>
      </c>
      <c r="D193" s="5" t="s">
        <v>60</v>
      </c>
      <c r="E193" s="5" t="s">
        <v>62</v>
      </c>
      <c r="F193" s="5" t="s">
        <v>8238</v>
      </c>
    </row>
    <row r="194" customFormat="false" ht="23.85" hidden="false" customHeight="false" outlineLevel="0" collapsed="false">
      <c r="A194" s="5" t="s">
        <v>629</v>
      </c>
      <c r="B194" s="2" t="s">
        <v>630</v>
      </c>
      <c r="C194" s="5" t="s">
        <v>488</v>
      </c>
      <c r="D194" s="5" t="s">
        <v>60</v>
      </c>
      <c r="E194" s="5" t="s">
        <v>62</v>
      </c>
      <c r="F194" s="5" t="s">
        <v>8239</v>
      </c>
    </row>
    <row r="195" customFormat="false" ht="23.85" hidden="false" customHeight="false" outlineLevel="0" collapsed="false">
      <c r="A195" s="5" t="s">
        <v>629</v>
      </c>
      <c r="B195" s="2" t="s">
        <v>630</v>
      </c>
      <c r="C195" s="5" t="s">
        <v>488</v>
      </c>
      <c r="D195" s="5" t="s">
        <v>60</v>
      </c>
      <c r="E195" s="5" t="s">
        <v>62</v>
      </c>
      <c r="F195" s="5" t="s">
        <v>5328</v>
      </c>
    </row>
    <row r="196" customFormat="false" ht="23.85" hidden="false" customHeight="false" outlineLevel="0" collapsed="false">
      <c r="A196" s="5" t="s">
        <v>629</v>
      </c>
      <c r="B196" s="2" t="s">
        <v>630</v>
      </c>
      <c r="C196" s="5" t="s">
        <v>488</v>
      </c>
      <c r="D196" s="5" t="s">
        <v>60</v>
      </c>
      <c r="E196" s="5" t="s">
        <v>62</v>
      </c>
      <c r="F196" s="5" t="s">
        <v>8240</v>
      </c>
    </row>
    <row r="197" customFormat="false" ht="23.85" hidden="false" customHeight="false" outlineLevel="0" collapsed="false">
      <c r="A197" s="5" t="s">
        <v>629</v>
      </c>
      <c r="B197" s="2" t="s">
        <v>630</v>
      </c>
      <c r="C197" s="5" t="s">
        <v>488</v>
      </c>
      <c r="D197" s="5" t="s">
        <v>60</v>
      </c>
      <c r="E197" s="5" t="s">
        <v>62</v>
      </c>
      <c r="F197" s="5" t="s">
        <v>8228</v>
      </c>
    </row>
    <row r="198" customFormat="false" ht="23.85" hidden="false" customHeight="false" outlineLevel="0" collapsed="false">
      <c r="A198" s="5" t="s">
        <v>629</v>
      </c>
      <c r="B198" s="2" t="s">
        <v>630</v>
      </c>
      <c r="C198" s="5" t="s">
        <v>488</v>
      </c>
      <c r="D198" s="5" t="s">
        <v>60</v>
      </c>
      <c r="E198" s="5" t="s">
        <v>62</v>
      </c>
      <c r="F198" s="5" t="s">
        <v>741</v>
      </c>
    </row>
    <row r="199" customFormat="false" ht="23.85" hidden="false" customHeight="false" outlineLevel="0" collapsed="false">
      <c r="A199" s="5" t="s">
        <v>635</v>
      </c>
      <c r="B199" s="2" t="s">
        <v>636</v>
      </c>
      <c r="C199" s="5" t="s">
        <v>488</v>
      </c>
      <c r="D199" s="5" t="s">
        <v>60</v>
      </c>
      <c r="E199" s="5" t="s">
        <v>62</v>
      </c>
      <c r="F199" s="5" t="s">
        <v>492</v>
      </c>
    </row>
    <row r="200" customFormat="false" ht="23.85" hidden="false" customHeight="false" outlineLevel="0" collapsed="false">
      <c r="A200" s="5" t="s">
        <v>635</v>
      </c>
      <c r="B200" s="2" t="s">
        <v>636</v>
      </c>
      <c r="C200" s="5" t="s">
        <v>488</v>
      </c>
      <c r="D200" s="5" t="s">
        <v>60</v>
      </c>
      <c r="E200" s="5" t="s">
        <v>62</v>
      </c>
      <c r="F200" s="5" t="s">
        <v>8220</v>
      </c>
    </row>
    <row r="201" customFormat="false" ht="23.85" hidden="false" customHeight="false" outlineLevel="0" collapsed="false">
      <c r="A201" s="5" t="s">
        <v>635</v>
      </c>
      <c r="B201" s="2" t="s">
        <v>636</v>
      </c>
      <c r="C201" s="5" t="s">
        <v>488</v>
      </c>
      <c r="D201" s="5" t="s">
        <v>60</v>
      </c>
      <c r="E201" s="5" t="s">
        <v>62</v>
      </c>
      <c r="F201" s="5" t="s">
        <v>8221</v>
      </c>
    </row>
    <row r="202" customFormat="false" ht="23.85" hidden="false" customHeight="false" outlineLevel="0" collapsed="false">
      <c r="A202" s="5" t="s">
        <v>635</v>
      </c>
      <c r="B202" s="2" t="s">
        <v>636</v>
      </c>
      <c r="C202" s="5" t="s">
        <v>488</v>
      </c>
      <c r="D202" s="5" t="s">
        <v>60</v>
      </c>
      <c r="E202" s="5" t="s">
        <v>62</v>
      </c>
      <c r="F202" s="5" t="s">
        <v>8222</v>
      </c>
    </row>
    <row r="203" customFormat="false" ht="23.85" hidden="false" customHeight="false" outlineLevel="0" collapsed="false">
      <c r="A203" s="5" t="s">
        <v>635</v>
      </c>
      <c r="B203" s="2" t="s">
        <v>636</v>
      </c>
      <c r="C203" s="5" t="s">
        <v>488</v>
      </c>
      <c r="D203" s="5" t="s">
        <v>60</v>
      </c>
      <c r="E203" s="5" t="s">
        <v>62</v>
      </c>
      <c r="F203" s="5" t="s">
        <v>8223</v>
      </c>
    </row>
    <row r="204" customFormat="false" ht="23.85" hidden="false" customHeight="false" outlineLevel="0" collapsed="false">
      <c r="A204" s="5" t="s">
        <v>635</v>
      </c>
      <c r="B204" s="2" t="s">
        <v>636</v>
      </c>
      <c r="C204" s="5" t="s">
        <v>488</v>
      </c>
      <c r="D204" s="5" t="s">
        <v>60</v>
      </c>
      <c r="E204" s="5" t="s">
        <v>62</v>
      </c>
      <c r="F204" s="5" t="s">
        <v>8224</v>
      </c>
    </row>
    <row r="205" customFormat="false" ht="23.85" hidden="false" customHeight="false" outlineLevel="0" collapsed="false">
      <c r="A205" s="5" t="s">
        <v>635</v>
      </c>
      <c r="B205" s="2" t="s">
        <v>636</v>
      </c>
      <c r="C205" s="5" t="s">
        <v>488</v>
      </c>
      <c r="D205" s="5" t="s">
        <v>60</v>
      </c>
      <c r="E205" s="5" t="s">
        <v>62</v>
      </c>
      <c r="F205" s="5" t="s">
        <v>8226</v>
      </c>
    </row>
    <row r="206" customFormat="false" ht="23.85" hidden="false" customHeight="false" outlineLevel="0" collapsed="false">
      <c r="A206" s="5" t="s">
        <v>635</v>
      </c>
      <c r="B206" s="2" t="s">
        <v>636</v>
      </c>
      <c r="C206" s="5" t="s">
        <v>488</v>
      </c>
      <c r="D206" s="5" t="s">
        <v>60</v>
      </c>
      <c r="E206" s="5" t="s">
        <v>62</v>
      </c>
      <c r="F206" s="5" t="s">
        <v>8227</v>
      </c>
    </row>
    <row r="207" customFormat="false" ht="23.85" hidden="false" customHeight="false" outlineLevel="0" collapsed="false">
      <c r="A207" s="5" t="s">
        <v>635</v>
      </c>
      <c r="B207" s="2" t="s">
        <v>636</v>
      </c>
      <c r="C207" s="5" t="s">
        <v>488</v>
      </c>
      <c r="D207" s="5" t="s">
        <v>60</v>
      </c>
      <c r="E207" s="5" t="s">
        <v>62</v>
      </c>
      <c r="F207" s="5" t="s">
        <v>8217</v>
      </c>
    </row>
    <row r="208" customFormat="false" ht="23.85" hidden="false" customHeight="false" outlineLevel="0" collapsed="false">
      <c r="A208" s="5" t="s">
        <v>635</v>
      </c>
      <c r="B208" s="2" t="s">
        <v>636</v>
      </c>
      <c r="C208" s="5" t="s">
        <v>488</v>
      </c>
      <c r="D208" s="5" t="s">
        <v>60</v>
      </c>
      <c r="E208" s="5" t="s">
        <v>62</v>
      </c>
      <c r="F208" s="5" t="s">
        <v>2349</v>
      </c>
    </row>
    <row r="209" customFormat="false" ht="23.85" hidden="false" customHeight="false" outlineLevel="0" collapsed="false">
      <c r="A209" s="5" t="s">
        <v>635</v>
      </c>
      <c r="B209" s="2" t="s">
        <v>636</v>
      </c>
      <c r="C209" s="5" t="s">
        <v>488</v>
      </c>
      <c r="D209" s="5" t="s">
        <v>60</v>
      </c>
      <c r="E209" s="5" t="s">
        <v>62</v>
      </c>
      <c r="F209" s="5" t="s">
        <v>8219</v>
      </c>
    </row>
    <row r="210" customFormat="false" ht="23.85" hidden="false" customHeight="false" outlineLevel="0" collapsed="false">
      <c r="A210" s="5" t="s">
        <v>635</v>
      </c>
      <c r="B210" s="2" t="s">
        <v>636</v>
      </c>
      <c r="C210" s="5" t="s">
        <v>488</v>
      </c>
      <c r="D210" s="5" t="s">
        <v>60</v>
      </c>
      <c r="E210" s="5" t="s">
        <v>62</v>
      </c>
      <c r="F210" s="5" t="s">
        <v>8228</v>
      </c>
    </row>
    <row r="211" customFormat="false" ht="15" hidden="false" customHeight="false" outlineLevel="0" collapsed="false">
      <c r="A211" s="5" t="s">
        <v>646</v>
      </c>
      <c r="B211" s="2" t="s">
        <v>647</v>
      </c>
      <c r="C211" s="5" t="s">
        <v>488</v>
      </c>
      <c r="D211" s="5" t="s">
        <v>60</v>
      </c>
      <c r="E211" s="5" t="s">
        <v>62</v>
      </c>
      <c r="F211" s="5" t="s">
        <v>648</v>
      </c>
    </row>
    <row r="212" customFormat="false" ht="15" hidden="false" customHeight="false" outlineLevel="0" collapsed="false">
      <c r="A212" s="5" t="s">
        <v>655</v>
      </c>
      <c r="B212" s="2" t="s">
        <v>656</v>
      </c>
      <c r="C212" s="5" t="s">
        <v>488</v>
      </c>
      <c r="D212" s="5" t="s">
        <v>60</v>
      </c>
      <c r="E212" s="5" t="s">
        <v>62</v>
      </c>
      <c r="F212" s="5" t="s">
        <v>648</v>
      </c>
    </row>
    <row r="213" customFormat="false" ht="15" hidden="false" customHeight="false" outlineLevel="0" collapsed="false">
      <c r="A213" s="5" t="s">
        <v>661</v>
      </c>
      <c r="B213" s="2" t="s">
        <v>662</v>
      </c>
      <c r="C213" s="5" t="s">
        <v>488</v>
      </c>
      <c r="D213" s="5" t="s">
        <v>60</v>
      </c>
      <c r="E213" s="5" t="s">
        <v>62</v>
      </c>
      <c r="F213" s="5" t="s">
        <v>648</v>
      </c>
    </row>
    <row r="214" customFormat="false" ht="15" hidden="false" customHeight="false" outlineLevel="0" collapsed="false">
      <c r="A214" s="5" t="s">
        <v>668</v>
      </c>
      <c r="B214" s="2" t="s">
        <v>669</v>
      </c>
      <c r="C214" s="5" t="s">
        <v>488</v>
      </c>
      <c r="D214" s="5" t="s">
        <v>60</v>
      </c>
      <c r="E214" s="5" t="s">
        <v>62</v>
      </c>
      <c r="F214" s="5" t="s">
        <v>670</v>
      </c>
    </row>
    <row r="215" customFormat="false" ht="23.85" hidden="false" customHeight="false" outlineLevel="0" collapsed="false">
      <c r="A215" s="5" t="s">
        <v>678</v>
      </c>
      <c r="B215" s="2" t="s">
        <v>679</v>
      </c>
      <c r="C215" s="5" t="s">
        <v>488</v>
      </c>
      <c r="D215" s="5" t="s">
        <v>60</v>
      </c>
      <c r="E215" s="5" t="s">
        <v>62</v>
      </c>
      <c r="F215" s="5" t="s">
        <v>670</v>
      </c>
    </row>
    <row r="216" customFormat="false" ht="15" hidden="false" customHeight="false" outlineLevel="0" collapsed="false">
      <c r="A216" s="5" t="s">
        <v>685</v>
      </c>
      <c r="B216" s="2" t="s">
        <v>686</v>
      </c>
      <c r="C216" s="5" t="s">
        <v>488</v>
      </c>
      <c r="D216" s="5" t="s">
        <v>60</v>
      </c>
      <c r="E216" s="5" t="s">
        <v>62</v>
      </c>
      <c r="F216" s="5" t="s">
        <v>670</v>
      </c>
    </row>
    <row r="217" customFormat="false" ht="23.85" hidden="false" customHeight="false" outlineLevel="0" collapsed="false">
      <c r="A217" s="5" t="s">
        <v>692</v>
      </c>
      <c r="B217" s="2" t="s">
        <v>693</v>
      </c>
      <c r="C217" s="5" t="s">
        <v>488</v>
      </c>
      <c r="D217" s="5" t="s">
        <v>60</v>
      </c>
      <c r="E217" s="5" t="s">
        <v>62</v>
      </c>
      <c r="F217" s="5" t="s">
        <v>670</v>
      </c>
    </row>
    <row r="218" customFormat="false" ht="23.85" hidden="false" customHeight="false" outlineLevel="0" collapsed="false">
      <c r="A218" s="5" t="s">
        <v>699</v>
      </c>
      <c r="B218" s="2" t="s">
        <v>700</v>
      </c>
      <c r="C218" s="5" t="s">
        <v>488</v>
      </c>
      <c r="D218" s="5" t="s">
        <v>60</v>
      </c>
      <c r="E218" s="5" t="s">
        <v>62</v>
      </c>
      <c r="F218" s="5" t="s">
        <v>670</v>
      </c>
    </row>
    <row r="219" customFormat="false" ht="23.85" hidden="false" customHeight="false" outlineLevel="0" collapsed="false">
      <c r="A219" s="5" t="s">
        <v>705</v>
      </c>
      <c r="B219" s="2" t="s">
        <v>706</v>
      </c>
      <c r="C219" s="5" t="s">
        <v>488</v>
      </c>
      <c r="D219" s="5" t="s">
        <v>60</v>
      </c>
      <c r="E219" s="5" t="s">
        <v>62</v>
      </c>
      <c r="F219" s="5" t="s">
        <v>670</v>
      </c>
    </row>
    <row r="220" customFormat="false" ht="15" hidden="false" customHeight="false" outlineLevel="0" collapsed="false">
      <c r="A220" s="5" t="s">
        <v>710</v>
      </c>
      <c r="B220" s="2" t="s">
        <v>711</v>
      </c>
      <c r="C220" s="5" t="s">
        <v>488</v>
      </c>
      <c r="D220" s="5" t="s">
        <v>60</v>
      </c>
      <c r="E220" s="5" t="s">
        <v>62</v>
      </c>
      <c r="F220" s="5" t="s">
        <v>670</v>
      </c>
    </row>
    <row r="221" customFormat="false" ht="15" hidden="false" customHeight="false" outlineLevel="0" collapsed="false">
      <c r="A221" s="5" t="s">
        <v>716</v>
      </c>
      <c r="B221" s="2" t="s">
        <v>717</v>
      </c>
      <c r="C221" s="5" t="s">
        <v>488</v>
      </c>
      <c r="D221" s="5" t="s">
        <v>60</v>
      </c>
      <c r="E221" s="5" t="s">
        <v>62</v>
      </c>
      <c r="F221" s="5" t="s">
        <v>670</v>
      </c>
    </row>
    <row r="222" customFormat="false" ht="15" hidden="false" customHeight="false" outlineLevel="0" collapsed="false">
      <c r="A222" s="5" t="s">
        <v>722</v>
      </c>
      <c r="B222" s="2" t="s">
        <v>723</v>
      </c>
      <c r="C222" s="5" t="s">
        <v>488</v>
      </c>
      <c r="D222" s="5" t="s">
        <v>60</v>
      </c>
      <c r="E222" s="5" t="s">
        <v>62</v>
      </c>
      <c r="F222" s="5" t="s">
        <v>670</v>
      </c>
    </row>
    <row r="223" customFormat="false" ht="15" hidden="false" customHeight="false" outlineLevel="0" collapsed="false">
      <c r="A223" s="5" t="s">
        <v>728</v>
      </c>
      <c r="B223" s="2" t="s">
        <v>729</v>
      </c>
      <c r="C223" s="5" t="s">
        <v>488</v>
      </c>
      <c r="D223" s="5" t="s">
        <v>60</v>
      </c>
      <c r="E223" s="5" t="s">
        <v>62</v>
      </c>
      <c r="F223" s="5" t="s">
        <v>730</v>
      </c>
    </row>
    <row r="224" customFormat="false" ht="15" hidden="false" customHeight="false" outlineLevel="0" collapsed="false">
      <c r="A224" s="5" t="s">
        <v>738</v>
      </c>
      <c r="B224" s="2" t="s">
        <v>739</v>
      </c>
      <c r="C224" s="5" t="s">
        <v>488</v>
      </c>
      <c r="D224" s="5" t="s">
        <v>60</v>
      </c>
      <c r="E224" s="5" t="s">
        <v>62</v>
      </c>
      <c r="F224" s="5" t="s">
        <v>741</v>
      </c>
    </row>
    <row r="225" customFormat="false" ht="15" hidden="false" customHeight="false" outlineLevel="0" collapsed="false">
      <c r="A225" s="5" t="s">
        <v>749</v>
      </c>
      <c r="B225" s="2" t="s">
        <v>750</v>
      </c>
      <c r="C225" s="5" t="s">
        <v>488</v>
      </c>
      <c r="D225" s="5" t="s">
        <v>60</v>
      </c>
      <c r="E225" s="5" t="s">
        <v>62</v>
      </c>
      <c r="F225" s="5" t="s">
        <v>152</v>
      </c>
    </row>
    <row r="226" customFormat="false" ht="15" hidden="false" customHeight="false" outlineLevel="0" collapsed="false">
      <c r="A226" s="5" t="s">
        <v>759</v>
      </c>
      <c r="B226" s="2" t="s">
        <v>760</v>
      </c>
      <c r="C226" s="5" t="s">
        <v>488</v>
      </c>
      <c r="D226" s="5" t="s">
        <v>60</v>
      </c>
      <c r="E226" s="5" t="s">
        <v>62</v>
      </c>
      <c r="F226" s="5" t="s">
        <v>152</v>
      </c>
    </row>
    <row r="227" customFormat="false" ht="15" hidden="false" customHeight="false" outlineLevel="0" collapsed="false">
      <c r="A227" s="5" t="s">
        <v>765</v>
      </c>
      <c r="B227" s="2" t="s">
        <v>766</v>
      </c>
      <c r="C227" s="5" t="s">
        <v>488</v>
      </c>
      <c r="D227" s="5" t="s">
        <v>60</v>
      </c>
      <c r="E227" s="5" t="s">
        <v>62</v>
      </c>
      <c r="F227" s="5" t="s">
        <v>152</v>
      </c>
    </row>
    <row r="228" customFormat="false" ht="15" hidden="false" customHeight="false" outlineLevel="0" collapsed="false">
      <c r="A228" s="5" t="s">
        <v>772</v>
      </c>
      <c r="B228" s="2" t="s">
        <v>773</v>
      </c>
      <c r="C228" s="5" t="s">
        <v>488</v>
      </c>
      <c r="D228" s="5" t="s">
        <v>60</v>
      </c>
      <c r="E228" s="5" t="s">
        <v>62</v>
      </c>
      <c r="F228" s="5" t="s">
        <v>152</v>
      </c>
    </row>
    <row r="229" customFormat="false" ht="15" hidden="false" customHeight="false" outlineLevel="0" collapsed="false">
      <c r="A229" s="5" t="s">
        <v>777</v>
      </c>
      <c r="B229" s="2" t="s">
        <v>778</v>
      </c>
      <c r="C229" s="5" t="s">
        <v>488</v>
      </c>
      <c r="D229" s="5" t="s">
        <v>60</v>
      </c>
      <c r="E229" s="5" t="s">
        <v>62</v>
      </c>
      <c r="F229" s="5" t="s">
        <v>152</v>
      </c>
    </row>
    <row r="230" customFormat="false" ht="15" hidden="false" customHeight="false" outlineLevel="0" collapsed="false">
      <c r="A230" s="5" t="s">
        <v>783</v>
      </c>
      <c r="B230" s="2" t="s">
        <v>784</v>
      </c>
      <c r="C230" s="5" t="s">
        <v>488</v>
      </c>
      <c r="D230" s="5" t="s">
        <v>60</v>
      </c>
      <c r="E230" s="5" t="s">
        <v>62</v>
      </c>
      <c r="F230" s="5" t="s">
        <v>8220</v>
      </c>
    </row>
    <row r="231" customFormat="false" ht="15" hidden="false" customHeight="false" outlineLevel="0" collapsed="false">
      <c r="A231" s="5" t="s">
        <v>783</v>
      </c>
      <c r="B231" s="2" t="s">
        <v>784</v>
      </c>
      <c r="C231" s="5" t="s">
        <v>488</v>
      </c>
      <c r="D231" s="5" t="s">
        <v>60</v>
      </c>
      <c r="E231" s="5" t="s">
        <v>62</v>
      </c>
      <c r="F231" s="5" t="s">
        <v>8222</v>
      </c>
    </row>
    <row r="232" customFormat="false" ht="15" hidden="false" customHeight="false" outlineLevel="0" collapsed="false">
      <c r="A232" s="5" t="s">
        <v>783</v>
      </c>
      <c r="B232" s="2" t="s">
        <v>784</v>
      </c>
      <c r="C232" s="5" t="s">
        <v>488</v>
      </c>
      <c r="D232" s="5" t="s">
        <v>60</v>
      </c>
      <c r="E232" s="5" t="s">
        <v>62</v>
      </c>
      <c r="F232" s="5" t="s">
        <v>8224</v>
      </c>
    </row>
    <row r="233" customFormat="false" ht="15" hidden="false" customHeight="false" outlineLevel="0" collapsed="false">
      <c r="A233" s="5" t="s">
        <v>783</v>
      </c>
      <c r="B233" s="2" t="s">
        <v>784</v>
      </c>
      <c r="C233" s="5" t="s">
        <v>488</v>
      </c>
      <c r="D233" s="5" t="s">
        <v>60</v>
      </c>
      <c r="E233" s="5" t="s">
        <v>62</v>
      </c>
      <c r="F233" s="5" t="s">
        <v>8226</v>
      </c>
    </row>
    <row r="234" customFormat="false" ht="15" hidden="false" customHeight="false" outlineLevel="0" collapsed="false">
      <c r="A234" s="5" t="s">
        <v>783</v>
      </c>
      <c r="B234" s="2" t="s">
        <v>784</v>
      </c>
      <c r="C234" s="5" t="s">
        <v>488</v>
      </c>
      <c r="D234" s="5" t="s">
        <v>60</v>
      </c>
      <c r="E234" s="5" t="s">
        <v>62</v>
      </c>
      <c r="F234" s="5" t="s">
        <v>8233</v>
      </c>
    </row>
    <row r="235" customFormat="false" ht="15" hidden="false" customHeight="false" outlineLevel="0" collapsed="false">
      <c r="A235" s="5" t="s">
        <v>783</v>
      </c>
      <c r="B235" s="2" t="s">
        <v>784</v>
      </c>
      <c r="C235" s="5" t="s">
        <v>488</v>
      </c>
      <c r="D235" s="5" t="s">
        <v>60</v>
      </c>
      <c r="E235" s="5" t="s">
        <v>62</v>
      </c>
      <c r="F235" s="5" t="s">
        <v>8234</v>
      </c>
    </row>
    <row r="236" customFormat="false" ht="15" hidden="false" customHeight="false" outlineLevel="0" collapsed="false">
      <c r="A236" s="5" t="s">
        <v>783</v>
      </c>
      <c r="B236" s="2" t="s">
        <v>784</v>
      </c>
      <c r="C236" s="5" t="s">
        <v>488</v>
      </c>
      <c r="D236" s="5" t="s">
        <v>60</v>
      </c>
      <c r="E236" s="5" t="s">
        <v>62</v>
      </c>
      <c r="F236" s="5" t="s">
        <v>8235</v>
      </c>
    </row>
    <row r="237" customFormat="false" ht="15" hidden="false" customHeight="false" outlineLevel="0" collapsed="false">
      <c r="A237" s="5" t="s">
        <v>783</v>
      </c>
      <c r="B237" s="2" t="s">
        <v>784</v>
      </c>
      <c r="C237" s="5" t="s">
        <v>488</v>
      </c>
      <c r="D237" s="5" t="s">
        <v>60</v>
      </c>
      <c r="E237" s="5" t="s">
        <v>62</v>
      </c>
      <c r="F237" s="5" t="s">
        <v>8227</v>
      </c>
    </row>
    <row r="238" customFormat="false" ht="15" hidden="false" customHeight="false" outlineLevel="0" collapsed="false">
      <c r="A238" s="5" t="s">
        <v>783</v>
      </c>
      <c r="B238" s="2" t="s">
        <v>784</v>
      </c>
      <c r="C238" s="5" t="s">
        <v>488</v>
      </c>
      <c r="D238" s="5" t="s">
        <v>60</v>
      </c>
      <c r="E238" s="5" t="s">
        <v>62</v>
      </c>
      <c r="F238" s="5" t="s">
        <v>8217</v>
      </c>
    </row>
    <row r="239" customFormat="false" ht="15" hidden="false" customHeight="false" outlineLevel="0" collapsed="false">
      <c r="A239" s="5" t="s">
        <v>783</v>
      </c>
      <c r="B239" s="2" t="s">
        <v>784</v>
      </c>
      <c r="C239" s="5" t="s">
        <v>488</v>
      </c>
      <c r="D239" s="5" t="s">
        <v>60</v>
      </c>
      <c r="E239" s="5" t="s">
        <v>62</v>
      </c>
      <c r="F239" s="5" t="s">
        <v>2349</v>
      </c>
    </row>
    <row r="240" customFormat="false" ht="15" hidden="false" customHeight="false" outlineLevel="0" collapsed="false">
      <c r="A240" s="5" t="s">
        <v>783</v>
      </c>
      <c r="B240" s="2" t="s">
        <v>784</v>
      </c>
      <c r="C240" s="5" t="s">
        <v>488</v>
      </c>
      <c r="D240" s="5" t="s">
        <v>60</v>
      </c>
      <c r="E240" s="5" t="s">
        <v>62</v>
      </c>
      <c r="F240" s="5" t="s">
        <v>8218</v>
      </c>
    </row>
    <row r="241" customFormat="false" ht="15" hidden="false" customHeight="false" outlineLevel="0" collapsed="false">
      <c r="A241" s="5" t="s">
        <v>783</v>
      </c>
      <c r="B241" s="2" t="s">
        <v>784</v>
      </c>
      <c r="C241" s="5" t="s">
        <v>488</v>
      </c>
      <c r="D241" s="5" t="s">
        <v>60</v>
      </c>
      <c r="E241" s="5" t="s">
        <v>62</v>
      </c>
      <c r="F241" s="5" t="s">
        <v>8219</v>
      </c>
    </row>
    <row r="242" customFormat="false" ht="15" hidden="false" customHeight="false" outlineLevel="0" collapsed="false">
      <c r="A242" s="5" t="s">
        <v>783</v>
      </c>
      <c r="B242" s="2" t="s">
        <v>784</v>
      </c>
      <c r="C242" s="5" t="s">
        <v>488</v>
      </c>
      <c r="D242" s="5" t="s">
        <v>60</v>
      </c>
      <c r="E242" s="5" t="s">
        <v>62</v>
      </c>
      <c r="F242" s="5" t="s">
        <v>8237</v>
      </c>
    </row>
    <row r="243" customFormat="false" ht="15" hidden="false" customHeight="false" outlineLevel="0" collapsed="false">
      <c r="A243" s="5" t="s">
        <v>783</v>
      </c>
      <c r="B243" s="2" t="s">
        <v>784</v>
      </c>
      <c r="C243" s="5" t="s">
        <v>488</v>
      </c>
      <c r="D243" s="5" t="s">
        <v>60</v>
      </c>
      <c r="E243" s="5" t="s">
        <v>62</v>
      </c>
      <c r="F243" s="5" t="s">
        <v>8238</v>
      </c>
    </row>
    <row r="244" customFormat="false" ht="15" hidden="false" customHeight="false" outlineLevel="0" collapsed="false">
      <c r="A244" s="5" t="s">
        <v>783</v>
      </c>
      <c r="B244" s="2" t="s">
        <v>784</v>
      </c>
      <c r="C244" s="5" t="s">
        <v>488</v>
      </c>
      <c r="D244" s="5" t="s">
        <v>60</v>
      </c>
      <c r="E244" s="5" t="s">
        <v>62</v>
      </c>
      <c r="F244" s="5" t="s">
        <v>8228</v>
      </c>
    </row>
    <row r="245" customFormat="false" ht="23.85" hidden="false" customHeight="false" outlineLevel="0" collapsed="false">
      <c r="A245" s="5" t="s">
        <v>795</v>
      </c>
      <c r="B245" s="2" t="s">
        <v>796</v>
      </c>
      <c r="C245" s="5" t="s">
        <v>488</v>
      </c>
      <c r="D245" s="5" t="s">
        <v>60</v>
      </c>
      <c r="E245" s="5" t="s">
        <v>62</v>
      </c>
      <c r="F245" s="5" t="s">
        <v>8241</v>
      </c>
    </row>
    <row r="246" customFormat="false" ht="23.85" hidden="false" customHeight="false" outlineLevel="0" collapsed="false">
      <c r="A246" s="5" t="s">
        <v>795</v>
      </c>
      <c r="B246" s="2" t="s">
        <v>796</v>
      </c>
      <c r="C246" s="5" t="s">
        <v>488</v>
      </c>
      <c r="D246" s="5" t="s">
        <v>60</v>
      </c>
      <c r="E246" s="5" t="s">
        <v>62</v>
      </c>
      <c r="F246" s="5" t="s">
        <v>2349</v>
      </c>
    </row>
    <row r="247" customFormat="false" ht="15" hidden="false" customHeight="false" outlineLevel="0" collapsed="false">
      <c r="A247" s="5" t="s">
        <v>803</v>
      </c>
      <c r="B247" s="2" t="s">
        <v>804</v>
      </c>
      <c r="C247" s="5" t="s">
        <v>488</v>
      </c>
      <c r="D247" s="5" t="s">
        <v>60</v>
      </c>
      <c r="E247" s="5" t="s">
        <v>62</v>
      </c>
      <c r="F247" s="5" t="s">
        <v>8242</v>
      </c>
    </row>
    <row r="248" customFormat="false" ht="15" hidden="false" customHeight="false" outlineLevel="0" collapsed="false">
      <c r="A248" s="5" t="s">
        <v>803</v>
      </c>
      <c r="B248" s="2" t="s">
        <v>804</v>
      </c>
      <c r="C248" s="5" t="s">
        <v>488</v>
      </c>
      <c r="D248" s="5" t="s">
        <v>60</v>
      </c>
      <c r="E248" s="5" t="s">
        <v>62</v>
      </c>
      <c r="F248" s="5" t="s">
        <v>8243</v>
      </c>
    </row>
    <row r="249" customFormat="false" ht="15" hidden="false" customHeight="false" outlineLevel="0" collapsed="false">
      <c r="A249" s="5" t="s">
        <v>803</v>
      </c>
      <c r="B249" s="2" t="s">
        <v>804</v>
      </c>
      <c r="C249" s="5" t="s">
        <v>488</v>
      </c>
      <c r="D249" s="5" t="s">
        <v>60</v>
      </c>
      <c r="E249" s="5" t="s">
        <v>62</v>
      </c>
      <c r="F249" s="5" t="s">
        <v>8244</v>
      </c>
    </row>
    <row r="250" customFormat="false" ht="15" hidden="false" customHeight="false" outlineLevel="0" collapsed="false">
      <c r="A250" s="5" t="s">
        <v>815</v>
      </c>
      <c r="B250" s="2" t="s">
        <v>816</v>
      </c>
      <c r="C250" s="5" t="s">
        <v>488</v>
      </c>
      <c r="D250" s="5" t="s">
        <v>60</v>
      </c>
      <c r="E250" s="5" t="s">
        <v>490</v>
      </c>
      <c r="F250" s="5" t="s">
        <v>492</v>
      </c>
    </row>
    <row r="251" customFormat="false" ht="15" hidden="false" customHeight="false" outlineLevel="0" collapsed="false">
      <c r="A251" s="5" t="s">
        <v>826</v>
      </c>
      <c r="B251" s="2" t="s">
        <v>827</v>
      </c>
      <c r="C251" s="5" t="s">
        <v>488</v>
      </c>
      <c r="D251" s="5" t="s">
        <v>60</v>
      </c>
      <c r="E251" s="5" t="s">
        <v>62</v>
      </c>
      <c r="F251" s="5" t="s">
        <v>8242</v>
      </c>
    </row>
    <row r="252" customFormat="false" ht="15" hidden="false" customHeight="false" outlineLevel="0" collapsed="false">
      <c r="A252" s="5" t="s">
        <v>826</v>
      </c>
      <c r="B252" s="2" t="s">
        <v>827</v>
      </c>
      <c r="C252" s="5" t="s">
        <v>488</v>
      </c>
      <c r="D252" s="5" t="s">
        <v>60</v>
      </c>
      <c r="E252" s="5" t="s">
        <v>62</v>
      </c>
      <c r="F252" s="5" t="s">
        <v>8243</v>
      </c>
    </row>
    <row r="253" customFormat="false" ht="15" hidden="false" customHeight="false" outlineLevel="0" collapsed="false">
      <c r="A253" s="5" t="s">
        <v>826</v>
      </c>
      <c r="B253" s="2" t="s">
        <v>827</v>
      </c>
      <c r="C253" s="5" t="s">
        <v>488</v>
      </c>
      <c r="D253" s="5" t="s">
        <v>60</v>
      </c>
      <c r="E253" s="5" t="s">
        <v>62</v>
      </c>
      <c r="F253" s="5" t="s">
        <v>8244</v>
      </c>
    </row>
    <row r="254" customFormat="false" ht="23.85" hidden="false" customHeight="false" outlineLevel="0" collapsed="false">
      <c r="A254" s="5" t="s">
        <v>837</v>
      </c>
      <c r="B254" s="2" t="s">
        <v>838</v>
      </c>
      <c r="C254" s="5" t="s">
        <v>488</v>
      </c>
      <c r="D254" s="5" t="s">
        <v>60</v>
      </c>
      <c r="E254" s="5" t="s">
        <v>62</v>
      </c>
      <c r="F254" s="5" t="s">
        <v>492</v>
      </c>
    </row>
    <row r="255" customFormat="false" ht="23.85" hidden="false" customHeight="false" outlineLevel="0" collapsed="false">
      <c r="A255" s="5" t="s">
        <v>837</v>
      </c>
      <c r="B255" s="2" t="s">
        <v>838</v>
      </c>
      <c r="C255" s="5" t="s">
        <v>488</v>
      </c>
      <c r="D255" s="5" t="s">
        <v>60</v>
      </c>
      <c r="E255" s="5" t="s">
        <v>62</v>
      </c>
      <c r="F255" s="5" t="s">
        <v>8232</v>
      </c>
    </row>
    <row r="256" customFormat="false" ht="23.85" hidden="false" customHeight="false" outlineLevel="0" collapsed="false">
      <c r="A256" s="5" t="s">
        <v>837</v>
      </c>
      <c r="B256" s="2" t="s">
        <v>838</v>
      </c>
      <c r="C256" s="5" t="s">
        <v>488</v>
      </c>
      <c r="D256" s="5" t="s">
        <v>60</v>
      </c>
      <c r="E256" s="5" t="s">
        <v>62</v>
      </c>
      <c r="F256" s="5" t="s">
        <v>526</v>
      </c>
    </row>
    <row r="257" customFormat="false" ht="23.85" hidden="false" customHeight="false" outlineLevel="0" collapsed="false">
      <c r="A257" s="5" t="s">
        <v>837</v>
      </c>
      <c r="B257" s="2" t="s">
        <v>838</v>
      </c>
      <c r="C257" s="5" t="s">
        <v>488</v>
      </c>
      <c r="D257" s="5" t="s">
        <v>60</v>
      </c>
      <c r="E257" s="5" t="s">
        <v>62</v>
      </c>
      <c r="F257" s="5" t="s">
        <v>8220</v>
      </c>
    </row>
    <row r="258" customFormat="false" ht="23.85" hidden="false" customHeight="false" outlineLevel="0" collapsed="false">
      <c r="A258" s="5" t="s">
        <v>837</v>
      </c>
      <c r="B258" s="2" t="s">
        <v>838</v>
      </c>
      <c r="C258" s="5" t="s">
        <v>488</v>
      </c>
      <c r="D258" s="5" t="s">
        <v>60</v>
      </c>
      <c r="E258" s="5" t="s">
        <v>62</v>
      </c>
      <c r="F258" s="5" t="s">
        <v>8222</v>
      </c>
    </row>
    <row r="259" customFormat="false" ht="23.85" hidden="false" customHeight="false" outlineLevel="0" collapsed="false">
      <c r="A259" s="5" t="s">
        <v>837</v>
      </c>
      <c r="B259" s="2" t="s">
        <v>838</v>
      </c>
      <c r="C259" s="5" t="s">
        <v>488</v>
      </c>
      <c r="D259" s="5" t="s">
        <v>60</v>
      </c>
      <c r="E259" s="5" t="s">
        <v>62</v>
      </c>
      <c r="F259" s="5" t="s">
        <v>8224</v>
      </c>
    </row>
    <row r="260" customFormat="false" ht="23.85" hidden="false" customHeight="false" outlineLevel="0" collapsed="false">
      <c r="A260" s="5" t="s">
        <v>837</v>
      </c>
      <c r="B260" s="2" t="s">
        <v>838</v>
      </c>
      <c r="C260" s="5" t="s">
        <v>488</v>
      </c>
      <c r="D260" s="5" t="s">
        <v>60</v>
      </c>
      <c r="E260" s="5" t="s">
        <v>62</v>
      </c>
      <c r="F260" s="5" t="s">
        <v>8226</v>
      </c>
    </row>
    <row r="261" customFormat="false" ht="23.85" hidden="false" customHeight="false" outlineLevel="0" collapsed="false">
      <c r="A261" s="5" t="s">
        <v>837</v>
      </c>
      <c r="B261" s="2" t="s">
        <v>838</v>
      </c>
      <c r="C261" s="5" t="s">
        <v>488</v>
      </c>
      <c r="D261" s="5" t="s">
        <v>60</v>
      </c>
      <c r="E261" s="5" t="s">
        <v>62</v>
      </c>
      <c r="F261" s="5" t="s">
        <v>8233</v>
      </c>
    </row>
    <row r="262" customFormat="false" ht="23.85" hidden="false" customHeight="false" outlineLevel="0" collapsed="false">
      <c r="A262" s="5" t="s">
        <v>837</v>
      </c>
      <c r="B262" s="2" t="s">
        <v>838</v>
      </c>
      <c r="C262" s="5" t="s">
        <v>488</v>
      </c>
      <c r="D262" s="5" t="s">
        <v>60</v>
      </c>
      <c r="E262" s="5" t="s">
        <v>62</v>
      </c>
      <c r="F262" s="5" t="s">
        <v>8234</v>
      </c>
    </row>
    <row r="263" customFormat="false" ht="23.85" hidden="false" customHeight="false" outlineLevel="0" collapsed="false">
      <c r="A263" s="5" t="s">
        <v>837</v>
      </c>
      <c r="B263" s="2" t="s">
        <v>838</v>
      </c>
      <c r="C263" s="5" t="s">
        <v>488</v>
      </c>
      <c r="D263" s="5" t="s">
        <v>60</v>
      </c>
      <c r="E263" s="5" t="s">
        <v>62</v>
      </c>
      <c r="F263" s="5" t="s">
        <v>8235</v>
      </c>
    </row>
    <row r="264" customFormat="false" ht="23.85" hidden="false" customHeight="false" outlineLevel="0" collapsed="false">
      <c r="A264" s="5" t="s">
        <v>837</v>
      </c>
      <c r="B264" s="2" t="s">
        <v>838</v>
      </c>
      <c r="C264" s="5" t="s">
        <v>488</v>
      </c>
      <c r="D264" s="5" t="s">
        <v>60</v>
      </c>
      <c r="E264" s="5" t="s">
        <v>62</v>
      </c>
      <c r="F264" s="5" t="s">
        <v>8227</v>
      </c>
    </row>
    <row r="265" customFormat="false" ht="23.85" hidden="false" customHeight="false" outlineLevel="0" collapsed="false">
      <c r="A265" s="5" t="s">
        <v>837</v>
      </c>
      <c r="B265" s="2" t="s">
        <v>838</v>
      </c>
      <c r="C265" s="5" t="s">
        <v>488</v>
      </c>
      <c r="D265" s="5" t="s">
        <v>60</v>
      </c>
      <c r="E265" s="5" t="s">
        <v>62</v>
      </c>
      <c r="F265" s="5" t="s">
        <v>8236</v>
      </c>
    </row>
    <row r="266" customFormat="false" ht="23.85" hidden="false" customHeight="false" outlineLevel="0" collapsed="false">
      <c r="A266" s="5" t="s">
        <v>837</v>
      </c>
      <c r="B266" s="2" t="s">
        <v>838</v>
      </c>
      <c r="C266" s="5" t="s">
        <v>488</v>
      </c>
      <c r="D266" s="5" t="s">
        <v>60</v>
      </c>
      <c r="E266" s="5" t="s">
        <v>62</v>
      </c>
      <c r="F266" s="5" t="s">
        <v>8217</v>
      </c>
    </row>
    <row r="267" customFormat="false" ht="23.85" hidden="false" customHeight="false" outlineLevel="0" collapsed="false">
      <c r="A267" s="5" t="s">
        <v>837</v>
      </c>
      <c r="B267" s="2" t="s">
        <v>838</v>
      </c>
      <c r="C267" s="5" t="s">
        <v>488</v>
      </c>
      <c r="D267" s="5" t="s">
        <v>60</v>
      </c>
      <c r="E267" s="5" t="s">
        <v>62</v>
      </c>
      <c r="F267" s="5" t="s">
        <v>2349</v>
      </c>
    </row>
    <row r="268" customFormat="false" ht="23.85" hidden="false" customHeight="false" outlineLevel="0" collapsed="false">
      <c r="A268" s="5" t="s">
        <v>837</v>
      </c>
      <c r="B268" s="2" t="s">
        <v>838</v>
      </c>
      <c r="C268" s="5" t="s">
        <v>488</v>
      </c>
      <c r="D268" s="5" t="s">
        <v>60</v>
      </c>
      <c r="E268" s="5" t="s">
        <v>62</v>
      </c>
      <c r="F268" s="5" t="s">
        <v>8218</v>
      </c>
    </row>
    <row r="269" customFormat="false" ht="23.85" hidden="false" customHeight="false" outlineLevel="0" collapsed="false">
      <c r="A269" s="5" t="s">
        <v>837</v>
      </c>
      <c r="B269" s="2" t="s">
        <v>838</v>
      </c>
      <c r="C269" s="5" t="s">
        <v>488</v>
      </c>
      <c r="D269" s="5" t="s">
        <v>60</v>
      </c>
      <c r="E269" s="5" t="s">
        <v>62</v>
      </c>
      <c r="F269" s="5" t="s">
        <v>8219</v>
      </c>
    </row>
    <row r="270" customFormat="false" ht="23.85" hidden="false" customHeight="false" outlineLevel="0" collapsed="false">
      <c r="A270" s="5" t="s">
        <v>837</v>
      </c>
      <c r="B270" s="2" t="s">
        <v>838</v>
      </c>
      <c r="C270" s="5" t="s">
        <v>488</v>
      </c>
      <c r="D270" s="5" t="s">
        <v>60</v>
      </c>
      <c r="E270" s="5" t="s">
        <v>62</v>
      </c>
      <c r="F270" s="5" t="s">
        <v>8237</v>
      </c>
    </row>
    <row r="271" customFormat="false" ht="23.85" hidden="false" customHeight="false" outlineLevel="0" collapsed="false">
      <c r="A271" s="5" t="s">
        <v>837</v>
      </c>
      <c r="B271" s="2" t="s">
        <v>838</v>
      </c>
      <c r="C271" s="5" t="s">
        <v>488</v>
      </c>
      <c r="D271" s="5" t="s">
        <v>60</v>
      </c>
      <c r="E271" s="5" t="s">
        <v>62</v>
      </c>
      <c r="F271" s="5" t="s">
        <v>502</v>
      </c>
    </row>
    <row r="272" customFormat="false" ht="23.85" hidden="false" customHeight="false" outlineLevel="0" collapsed="false">
      <c r="A272" s="5" t="s">
        <v>837</v>
      </c>
      <c r="B272" s="2" t="s">
        <v>838</v>
      </c>
      <c r="C272" s="5" t="s">
        <v>488</v>
      </c>
      <c r="D272" s="5" t="s">
        <v>60</v>
      </c>
      <c r="E272" s="5" t="s">
        <v>62</v>
      </c>
      <c r="F272" s="5" t="s">
        <v>8238</v>
      </c>
    </row>
    <row r="273" customFormat="false" ht="23.85" hidden="false" customHeight="false" outlineLevel="0" collapsed="false">
      <c r="A273" s="5" t="s">
        <v>837</v>
      </c>
      <c r="B273" s="2" t="s">
        <v>838</v>
      </c>
      <c r="C273" s="5" t="s">
        <v>488</v>
      </c>
      <c r="D273" s="5" t="s">
        <v>60</v>
      </c>
      <c r="E273" s="5" t="s">
        <v>62</v>
      </c>
      <c r="F273" s="5" t="s">
        <v>8239</v>
      </c>
    </row>
    <row r="274" customFormat="false" ht="23.85" hidden="false" customHeight="false" outlineLevel="0" collapsed="false">
      <c r="A274" s="5" t="s">
        <v>837</v>
      </c>
      <c r="B274" s="2" t="s">
        <v>838</v>
      </c>
      <c r="C274" s="5" t="s">
        <v>488</v>
      </c>
      <c r="D274" s="5" t="s">
        <v>60</v>
      </c>
      <c r="E274" s="5" t="s">
        <v>62</v>
      </c>
      <c r="F274" s="5" t="s">
        <v>5328</v>
      </c>
    </row>
    <row r="275" customFormat="false" ht="23.85" hidden="false" customHeight="false" outlineLevel="0" collapsed="false">
      <c r="A275" s="5" t="s">
        <v>837</v>
      </c>
      <c r="B275" s="2" t="s">
        <v>838</v>
      </c>
      <c r="C275" s="5" t="s">
        <v>488</v>
      </c>
      <c r="D275" s="5" t="s">
        <v>60</v>
      </c>
      <c r="E275" s="5" t="s">
        <v>62</v>
      </c>
      <c r="F275" s="5" t="s">
        <v>8240</v>
      </c>
    </row>
    <row r="276" customFormat="false" ht="23.85" hidden="false" customHeight="false" outlineLevel="0" collapsed="false">
      <c r="A276" s="5" t="s">
        <v>837</v>
      </c>
      <c r="B276" s="2" t="s">
        <v>838</v>
      </c>
      <c r="C276" s="5" t="s">
        <v>488</v>
      </c>
      <c r="D276" s="5" t="s">
        <v>60</v>
      </c>
      <c r="E276" s="5" t="s">
        <v>62</v>
      </c>
      <c r="F276" s="5" t="s">
        <v>8228</v>
      </c>
    </row>
    <row r="277" customFormat="false" ht="23.85" hidden="false" customHeight="false" outlineLevel="0" collapsed="false">
      <c r="A277" s="5" t="s">
        <v>837</v>
      </c>
      <c r="B277" s="2" t="s">
        <v>838</v>
      </c>
      <c r="C277" s="5" t="s">
        <v>488</v>
      </c>
      <c r="D277" s="5" t="s">
        <v>60</v>
      </c>
      <c r="E277" s="5" t="s">
        <v>62</v>
      </c>
      <c r="F277" s="5" t="s">
        <v>741</v>
      </c>
    </row>
    <row r="278" customFormat="false" ht="23.85" hidden="false" customHeight="false" outlineLevel="0" collapsed="false">
      <c r="A278" s="5" t="s">
        <v>846</v>
      </c>
      <c r="B278" s="2" t="s">
        <v>847</v>
      </c>
      <c r="C278" s="5" t="s">
        <v>488</v>
      </c>
      <c r="D278" s="5" t="s">
        <v>60</v>
      </c>
      <c r="E278" s="5" t="s">
        <v>62</v>
      </c>
      <c r="F278" s="5" t="s">
        <v>492</v>
      </c>
    </row>
    <row r="279" customFormat="false" ht="23.85" hidden="false" customHeight="false" outlineLevel="0" collapsed="false">
      <c r="A279" s="5" t="s">
        <v>846</v>
      </c>
      <c r="B279" s="2" t="s">
        <v>847</v>
      </c>
      <c r="C279" s="5" t="s">
        <v>488</v>
      </c>
      <c r="D279" s="5" t="s">
        <v>60</v>
      </c>
      <c r="E279" s="5" t="s">
        <v>62</v>
      </c>
      <c r="F279" s="5" t="s">
        <v>8232</v>
      </c>
    </row>
    <row r="280" customFormat="false" ht="23.85" hidden="false" customHeight="false" outlineLevel="0" collapsed="false">
      <c r="A280" s="5" t="s">
        <v>846</v>
      </c>
      <c r="B280" s="2" t="s">
        <v>847</v>
      </c>
      <c r="C280" s="5" t="s">
        <v>488</v>
      </c>
      <c r="D280" s="5" t="s">
        <v>60</v>
      </c>
      <c r="E280" s="5" t="s">
        <v>62</v>
      </c>
      <c r="F280" s="5" t="s">
        <v>526</v>
      </c>
    </row>
    <row r="281" customFormat="false" ht="23.85" hidden="false" customHeight="false" outlineLevel="0" collapsed="false">
      <c r="A281" s="5" t="s">
        <v>846</v>
      </c>
      <c r="B281" s="2" t="s">
        <v>847</v>
      </c>
      <c r="C281" s="5" t="s">
        <v>488</v>
      </c>
      <c r="D281" s="5" t="s">
        <v>60</v>
      </c>
      <c r="E281" s="5" t="s">
        <v>62</v>
      </c>
      <c r="F281" s="5" t="s">
        <v>8220</v>
      </c>
    </row>
    <row r="282" customFormat="false" ht="23.85" hidden="false" customHeight="false" outlineLevel="0" collapsed="false">
      <c r="A282" s="5" t="s">
        <v>846</v>
      </c>
      <c r="B282" s="2" t="s">
        <v>847</v>
      </c>
      <c r="C282" s="5" t="s">
        <v>488</v>
      </c>
      <c r="D282" s="5" t="s">
        <v>60</v>
      </c>
      <c r="E282" s="5" t="s">
        <v>62</v>
      </c>
      <c r="F282" s="5" t="s">
        <v>8222</v>
      </c>
    </row>
    <row r="283" customFormat="false" ht="23.85" hidden="false" customHeight="false" outlineLevel="0" collapsed="false">
      <c r="A283" s="5" t="s">
        <v>846</v>
      </c>
      <c r="B283" s="2" t="s">
        <v>847</v>
      </c>
      <c r="C283" s="5" t="s">
        <v>488</v>
      </c>
      <c r="D283" s="5" t="s">
        <v>60</v>
      </c>
      <c r="E283" s="5" t="s">
        <v>62</v>
      </c>
      <c r="F283" s="5" t="s">
        <v>8224</v>
      </c>
    </row>
    <row r="284" customFormat="false" ht="23.85" hidden="false" customHeight="false" outlineLevel="0" collapsed="false">
      <c r="A284" s="5" t="s">
        <v>846</v>
      </c>
      <c r="B284" s="2" t="s">
        <v>847</v>
      </c>
      <c r="C284" s="5" t="s">
        <v>488</v>
      </c>
      <c r="D284" s="5" t="s">
        <v>60</v>
      </c>
      <c r="E284" s="5" t="s">
        <v>62</v>
      </c>
      <c r="F284" s="5" t="s">
        <v>8226</v>
      </c>
    </row>
    <row r="285" customFormat="false" ht="23.85" hidden="false" customHeight="false" outlineLevel="0" collapsed="false">
      <c r="A285" s="5" t="s">
        <v>846</v>
      </c>
      <c r="B285" s="2" t="s">
        <v>847</v>
      </c>
      <c r="C285" s="5" t="s">
        <v>488</v>
      </c>
      <c r="D285" s="5" t="s">
        <v>60</v>
      </c>
      <c r="E285" s="5" t="s">
        <v>62</v>
      </c>
      <c r="F285" s="5" t="s">
        <v>8233</v>
      </c>
    </row>
    <row r="286" customFormat="false" ht="23.85" hidden="false" customHeight="false" outlineLevel="0" collapsed="false">
      <c r="A286" s="5" t="s">
        <v>846</v>
      </c>
      <c r="B286" s="2" t="s">
        <v>847</v>
      </c>
      <c r="C286" s="5" t="s">
        <v>488</v>
      </c>
      <c r="D286" s="5" t="s">
        <v>60</v>
      </c>
      <c r="E286" s="5" t="s">
        <v>62</v>
      </c>
      <c r="F286" s="5" t="s">
        <v>8234</v>
      </c>
    </row>
    <row r="287" customFormat="false" ht="23.85" hidden="false" customHeight="false" outlineLevel="0" collapsed="false">
      <c r="A287" s="5" t="s">
        <v>846</v>
      </c>
      <c r="B287" s="2" t="s">
        <v>847</v>
      </c>
      <c r="C287" s="5" t="s">
        <v>488</v>
      </c>
      <c r="D287" s="5" t="s">
        <v>60</v>
      </c>
      <c r="E287" s="5" t="s">
        <v>62</v>
      </c>
      <c r="F287" s="5" t="s">
        <v>8235</v>
      </c>
    </row>
    <row r="288" customFormat="false" ht="23.85" hidden="false" customHeight="false" outlineLevel="0" collapsed="false">
      <c r="A288" s="5" t="s">
        <v>846</v>
      </c>
      <c r="B288" s="2" t="s">
        <v>847</v>
      </c>
      <c r="C288" s="5" t="s">
        <v>488</v>
      </c>
      <c r="D288" s="5" t="s">
        <v>60</v>
      </c>
      <c r="E288" s="5" t="s">
        <v>62</v>
      </c>
      <c r="F288" s="5" t="s">
        <v>8227</v>
      </c>
    </row>
    <row r="289" customFormat="false" ht="23.85" hidden="false" customHeight="false" outlineLevel="0" collapsed="false">
      <c r="A289" s="5" t="s">
        <v>846</v>
      </c>
      <c r="B289" s="2" t="s">
        <v>847</v>
      </c>
      <c r="C289" s="5" t="s">
        <v>488</v>
      </c>
      <c r="D289" s="5" t="s">
        <v>60</v>
      </c>
      <c r="E289" s="5" t="s">
        <v>62</v>
      </c>
      <c r="F289" s="5" t="s">
        <v>8236</v>
      </c>
    </row>
    <row r="290" customFormat="false" ht="23.85" hidden="false" customHeight="false" outlineLevel="0" collapsed="false">
      <c r="A290" s="5" t="s">
        <v>846</v>
      </c>
      <c r="B290" s="2" t="s">
        <v>847</v>
      </c>
      <c r="C290" s="5" t="s">
        <v>488</v>
      </c>
      <c r="D290" s="5" t="s">
        <v>60</v>
      </c>
      <c r="E290" s="5" t="s">
        <v>62</v>
      </c>
      <c r="F290" s="5" t="s">
        <v>8217</v>
      </c>
    </row>
    <row r="291" customFormat="false" ht="23.85" hidden="false" customHeight="false" outlineLevel="0" collapsed="false">
      <c r="A291" s="5" t="s">
        <v>846</v>
      </c>
      <c r="B291" s="2" t="s">
        <v>847</v>
      </c>
      <c r="C291" s="5" t="s">
        <v>488</v>
      </c>
      <c r="D291" s="5" t="s">
        <v>60</v>
      </c>
      <c r="E291" s="5" t="s">
        <v>62</v>
      </c>
      <c r="F291" s="5" t="s">
        <v>2349</v>
      </c>
    </row>
    <row r="292" customFormat="false" ht="23.85" hidden="false" customHeight="false" outlineLevel="0" collapsed="false">
      <c r="A292" s="5" t="s">
        <v>846</v>
      </c>
      <c r="B292" s="2" t="s">
        <v>847</v>
      </c>
      <c r="C292" s="5" t="s">
        <v>488</v>
      </c>
      <c r="D292" s="5" t="s">
        <v>60</v>
      </c>
      <c r="E292" s="5" t="s">
        <v>62</v>
      </c>
      <c r="F292" s="5" t="s">
        <v>8218</v>
      </c>
    </row>
    <row r="293" customFormat="false" ht="23.85" hidden="false" customHeight="false" outlineLevel="0" collapsed="false">
      <c r="A293" s="5" t="s">
        <v>846</v>
      </c>
      <c r="B293" s="2" t="s">
        <v>847</v>
      </c>
      <c r="C293" s="5" t="s">
        <v>488</v>
      </c>
      <c r="D293" s="5" t="s">
        <v>60</v>
      </c>
      <c r="E293" s="5" t="s">
        <v>62</v>
      </c>
      <c r="F293" s="5" t="s">
        <v>8219</v>
      </c>
    </row>
    <row r="294" customFormat="false" ht="23.85" hidden="false" customHeight="false" outlineLevel="0" collapsed="false">
      <c r="A294" s="5" t="s">
        <v>846</v>
      </c>
      <c r="B294" s="2" t="s">
        <v>847</v>
      </c>
      <c r="C294" s="5" t="s">
        <v>488</v>
      </c>
      <c r="D294" s="5" t="s">
        <v>60</v>
      </c>
      <c r="E294" s="5" t="s">
        <v>62</v>
      </c>
      <c r="F294" s="5" t="s">
        <v>8237</v>
      </c>
    </row>
    <row r="295" customFormat="false" ht="23.85" hidden="false" customHeight="false" outlineLevel="0" collapsed="false">
      <c r="A295" s="5" t="s">
        <v>846</v>
      </c>
      <c r="B295" s="2" t="s">
        <v>847</v>
      </c>
      <c r="C295" s="5" t="s">
        <v>488</v>
      </c>
      <c r="D295" s="5" t="s">
        <v>60</v>
      </c>
      <c r="E295" s="5" t="s">
        <v>62</v>
      </c>
      <c r="F295" s="5" t="s">
        <v>502</v>
      </c>
    </row>
    <row r="296" customFormat="false" ht="23.85" hidden="false" customHeight="false" outlineLevel="0" collapsed="false">
      <c r="A296" s="5" t="s">
        <v>846</v>
      </c>
      <c r="B296" s="2" t="s">
        <v>847</v>
      </c>
      <c r="C296" s="5" t="s">
        <v>488</v>
      </c>
      <c r="D296" s="5" t="s">
        <v>60</v>
      </c>
      <c r="E296" s="5" t="s">
        <v>62</v>
      </c>
      <c r="F296" s="5" t="s">
        <v>8238</v>
      </c>
    </row>
    <row r="297" customFormat="false" ht="23.85" hidden="false" customHeight="false" outlineLevel="0" collapsed="false">
      <c r="A297" s="5" t="s">
        <v>846</v>
      </c>
      <c r="B297" s="2" t="s">
        <v>847</v>
      </c>
      <c r="C297" s="5" t="s">
        <v>488</v>
      </c>
      <c r="D297" s="5" t="s">
        <v>60</v>
      </c>
      <c r="E297" s="5" t="s">
        <v>62</v>
      </c>
      <c r="F297" s="5" t="s">
        <v>8239</v>
      </c>
    </row>
    <row r="298" customFormat="false" ht="23.85" hidden="false" customHeight="false" outlineLevel="0" collapsed="false">
      <c r="A298" s="5" t="s">
        <v>846</v>
      </c>
      <c r="B298" s="2" t="s">
        <v>847</v>
      </c>
      <c r="C298" s="5" t="s">
        <v>488</v>
      </c>
      <c r="D298" s="5" t="s">
        <v>60</v>
      </c>
      <c r="E298" s="5" t="s">
        <v>62</v>
      </c>
      <c r="F298" s="5" t="s">
        <v>5328</v>
      </c>
    </row>
    <row r="299" customFormat="false" ht="23.85" hidden="false" customHeight="false" outlineLevel="0" collapsed="false">
      <c r="A299" s="5" t="s">
        <v>846</v>
      </c>
      <c r="B299" s="2" t="s">
        <v>847</v>
      </c>
      <c r="C299" s="5" t="s">
        <v>488</v>
      </c>
      <c r="D299" s="5" t="s">
        <v>60</v>
      </c>
      <c r="E299" s="5" t="s">
        <v>62</v>
      </c>
      <c r="F299" s="5" t="s">
        <v>8240</v>
      </c>
    </row>
    <row r="300" customFormat="false" ht="23.85" hidden="false" customHeight="false" outlineLevel="0" collapsed="false">
      <c r="A300" s="5" t="s">
        <v>846</v>
      </c>
      <c r="B300" s="2" t="s">
        <v>847</v>
      </c>
      <c r="C300" s="5" t="s">
        <v>488</v>
      </c>
      <c r="D300" s="5" t="s">
        <v>60</v>
      </c>
      <c r="E300" s="5" t="s">
        <v>62</v>
      </c>
      <c r="F300" s="5" t="s">
        <v>8228</v>
      </c>
    </row>
    <row r="301" customFormat="false" ht="23.85" hidden="false" customHeight="false" outlineLevel="0" collapsed="false">
      <c r="A301" s="5" t="s">
        <v>846</v>
      </c>
      <c r="B301" s="2" t="s">
        <v>847</v>
      </c>
      <c r="C301" s="5" t="s">
        <v>488</v>
      </c>
      <c r="D301" s="5" t="s">
        <v>60</v>
      </c>
      <c r="E301" s="5" t="s">
        <v>62</v>
      </c>
      <c r="F301" s="5" t="s">
        <v>741</v>
      </c>
    </row>
    <row r="302" customFormat="false" ht="15" hidden="false" customHeight="false" outlineLevel="0" collapsed="false">
      <c r="A302" s="5" t="s">
        <v>853</v>
      </c>
      <c r="B302" s="2" t="s">
        <v>854</v>
      </c>
      <c r="C302" s="5" t="s">
        <v>488</v>
      </c>
      <c r="D302" s="5" t="s">
        <v>60</v>
      </c>
      <c r="E302" s="5" t="s">
        <v>62</v>
      </c>
      <c r="F302" s="5" t="s">
        <v>492</v>
      </c>
    </row>
    <row r="303" customFormat="false" ht="15" hidden="false" customHeight="false" outlineLevel="0" collapsed="false">
      <c r="A303" s="5" t="s">
        <v>853</v>
      </c>
      <c r="B303" s="2" t="s">
        <v>854</v>
      </c>
      <c r="C303" s="5" t="s">
        <v>488</v>
      </c>
      <c r="D303" s="5" t="s">
        <v>60</v>
      </c>
      <c r="E303" s="5" t="s">
        <v>62</v>
      </c>
      <c r="F303" s="5" t="s">
        <v>8236</v>
      </c>
    </row>
    <row r="304" customFormat="false" ht="15" hidden="false" customHeight="false" outlineLevel="0" collapsed="false">
      <c r="A304" s="5" t="s">
        <v>853</v>
      </c>
      <c r="B304" s="2" t="s">
        <v>854</v>
      </c>
      <c r="C304" s="5" t="s">
        <v>488</v>
      </c>
      <c r="D304" s="5" t="s">
        <v>60</v>
      </c>
      <c r="E304" s="5" t="s">
        <v>62</v>
      </c>
      <c r="F304" s="5" t="s">
        <v>502</v>
      </c>
    </row>
    <row r="305" customFormat="false" ht="15" hidden="false" customHeight="false" outlineLevel="0" collapsed="false">
      <c r="A305" s="5" t="s">
        <v>853</v>
      </c>
      <c r="B305" s="2" t="s">
        <v>854</v>
      </c>
      <c r="C305" s="5" t="s">
        <v>488</v>
      </c>
      <c r="D305" s="5" t="s">
        <v>60</v>
      </c>
      <c r="E305" s="5" t="s">
        <v>62</v>
      </c>
      <c r="F305" s="5" t="s">
        <v>8240</v>
      </c>
    </row>
    <row r="306" customFormat="false" ht="15" hidden="false" customHeight="false" outlineLevel="0" collapsed="false">
      <c r="A306" s="5" t="s">
        <v>853</v>
      </c>
      <c r="B306" s="2" t="s">
        <v>854</v>
      </c>
      <c r="C306" s="5" t="s">
        <v>488</v>
      </c>
      <c r="D306" s="5" t="s">
        <v>60</v>
      </c>
      <c r="E306" s="5" t="s">
        <v>62</v>
      </c>
      <c r="F306" s="5" t="s">
        <v>741</v>
      </c>
    </row>
    <row r="307" customFormat="false" ht="15" hidden="false" customHeight="false" outlineLevel="0" collapsed="false">
      <c r="A307" s="5" t="s">
        <v>863</v>
      </c>
      <c r="B307" s="2" t="s">
        <v>864</v>
      </c>
      <c r="C307" s="5" t="s">
        <v>488</v>
      </c>
      <c r="D307" s="5" t="s">
        <v>60</v>
      </c>
      <c r="E307" s="5" t="s">
        <v>62</v>
      </c>
      <c r="F307" s="5" t="s">
        <v>492</v>
      </c>
    </row>
    <row r="308" customFormat="false" ht="15" hidden="false" customHeight="false" outlineLevel="0" collapsed="false">
      <c r="A308" s="5" t="s">
        <v>863</v>
      </c>
      <c r="B308" s="2" t="s">
        <v>864</v>
      </c>
      <c r="C308" s="5" t="s">
        <v>488</v>
      </c>
      <c r="D308" s="5" t="s">
        <v>60</v>
      </c>
      <c r="E308" s="5" t="s">
        <v>62</v>
      </c>
      <c r="F308" s="5" t="s">
        <v>8220</v>
      </c>
    </row>
    <row r="309" customFormat="false" ht="15" hidden="false" customHeight="false" outlineLevel="0" collapsed="false">
      <c r="A309" s="5" t="s">
        <v>863</v>
      </c>
      <c r="B309" s="2" t="s">
        <v>864</v>
      </c>
      <c r="C309" s="5" t="s">
        <v>488</v>
      </c>
      <c r="D309" s="5" t="s">
        <v>60</v>
      </c>
      <c r="E309" s="5" t="s">
        <v>62</v>
      </c>
      <c r="F309" s="5" t="s">
        <v>8221</v>
      </c>
    </row>
    <row r="310" customFormat="false" ht="15" hidden="false" customHeight="false" outlineLevel="0" collapsed="false">
      <c r="A310" s="5" t="s">
        <v>863</v>
      </c>
      <c r="B310" s="2" t="s">
        <v>864</v>
      </c>
      <c r="C310" s="5" t="s">
        <v>488</v>
      </c>
      <c r="D310" s="5" t="s">
        <v>60</v>
      </c>
      <c r="E310" s="5" t="s">
        <v>62</v>
      </c>
      <c r="F310" s="5" t="s">
        <v>8222</v>
      </c>
    </row>
    <row r="311" customFormat="false" ht="15" hidden="false" customHeight="false" outlineLevel="0" collapsed="false">
      <c r="A311" s="5" t="s">
        <v>863</v>
      </c>
      <c r="B311" s="2" t="s">
        <v>864</v>
      </c>
      <c r="C311" s="5" t="s">
        <v>488</v>
      </c>
      <c r="D311" s="5" t="s">
        <v>60</v>
      </c>
      <c r="E311" s="5" t="s">
        <v>62</v>
      </c>
      <c r="F311" s="5" t="s">
        <v>8223</v>
      </c>
    </row>
    <row r="312" customFormat="false" ht="15" hidden="false" customHeight="false" outlineLevel="0" collapsed="false">
      <c r="A312" s="5" t="s">
        <v>863</v>
      </c>
      <c r="B312" s="2" t="s">
        <v>864</v>
      </c>
      <c r="C312" s="5" t="s">
        <v>488</v>
      </c>
      <c r="D312" s="5" t="s">
        <v>60</v>
      </c>
      <c r="E312" s="5" t="s">
        <v>62</v>
      </c>
      <c r="F312" s="5" t="s">
        <v>8224</v>
      </c>
    </row>
    <row r="313" customFormat="false" ht="15" hidden="false" customHeight="false" outlineLevel="0" collapsed="false">
      <c r="A313" s="5" t="s">
        <v>863</v>
      </c>
      <c r="B313" s="2" t="s">
        <v>864</v>
      </c>
      <c r="C313" s="5" t="s">
        <v>488</v>
      </c>
      <c r="D313" s="5" t="s">
        <v>60</v>
      </c>
      <c r="E313" s="5" t="s">
        <v>62</v>
      </c>
      <c r="F313" s="5" t="s">
        <v>8226</v>
      </c>
    </row>
    <row r="314" customFormat="false" ht="15" hidden="false" customHeight="false" outlineLevel="0" collapsed="false">
      <c r="A314" s="5" t="s">
        <v>863</v>
      </c>
      <c r="B314" s="2" t="s">
        <v>864</v>
      </c>
      <c r="C314" s="5" t="s">
        <v>488</v>
      </c>
      <c r="D314" s="5" t="s">
        <v>60</v>
      </c>
      <c r="E314" s="5" t="s">
        <v>62</v>
      </c>
      <c r="F314" s="5" t="s">
        <v>8227</v>
      </c>
    </row>
    <row r="315" customFormat="false" ht="15" hidden="false" customHeight="false" outlineLevel="0" collapsed="false">
      <c r="A315" s="5" t="s">
        <v>863</v>
      </c>
      <c r="B315" s="2" t="s">
        <v>864</v>
      </c>
      <c r="C315" s="5" t="s">
        <v>488</v>
      </c>
      <c r="D315" s="5" t="s">
        <v>60</v>
      </c>
      <c r="E315" s="5" t="s">
        <v>62</v>
      </c>
      <c r="F315" s="5" t="s">
        <v>8217</v>
      </c>
    </row>
    <row r="316" customFormat="false" ht="15" hidden="false" customHeight="false" outlineLevel="0" collapsed="false">
      <c r="A316" s="5" t="s">
        <v>863</v>
      </c>
      <c r="B316" s="2" t="s">
        <v>864</v>
      </c>
      <c r="C316" s="5" t="s">
        <v>488</v>
      </c>
      <c r="D316" s="5" t="s">
        <v>60</v>
      </c>
      <c r="E316" s="5" t="s">
        <v>62</v>
      </c>
      <c r="F316" s="5" t="s">
        <v>2349</v>
      </c>
    </row>
    <row r="317" customFormat="false" ht="15" hidden="false" customHeight="false" outlineLevel="0" collapsed="false">
      <c r="A317" s="5" t="s">
        <v>863</v>
      </c>
      <c r="B317" s="2" t="s">
        <v>864</v>
      </c>
      <c r="C317" s="5" t="s">
        <v>488</v>
      </c>
      <c r="D317" s="5" t="s">
        <v>60</v>
      </c>
      <c r="E317" s="5" t="s">
        <v>62</v>
      </c>
      <c r="F317" s="5" t="s">
        <v>8219</v>
      </c>
    </row>
    <row r="318" customFormat="false" ht="15" hidden="false" customHeight="false" outlineLevel="0" collapsed="false">
      <c r="A318" s="5" t="s">
        <v>863</v>
      </c>
      <c r="B318" s="2" t="s">
        <v>864</v>
      </c>
      <c r="C318" s="5" t="s">
        <v>488</v>
      </c>
      <c r="D318" s="5" t="s">
        <v>60</v>
      </c>
      <c r="E318" s="5" t="s">
        <v>62</v>
      </c>
      <c r="F318" s="5" t="s">
        <v>8228</v>
      </c>
    </row>
    <row r="319" customFormat="false" ht="15" hidden="false" customHeight="false" outlineLevel="0" collapsed="false">
      <c r="A319" s="5" t="s">
        <v>870</v>
      </c>
      <c r="B319" s="2" t="s">
        <v>871</v>
      </c>
      <c r="C319" s="5" t="s">
        <v>488</v>
      </c>
      <c r="D319" s="5" t="s">
        <v>60</v>
      </c>
      <c r="E319" s="5" t="s">
        <v>62</v>
      </c>
      <c r="F319" s="5" t="s">
        <v>492</v>
      </c>
    </row>
    <row r="320" customFormat="false" ht="15" hidden="false" customHeight="false" outlineLevel="0" collapsed="false">
      <c r="A320" s="5" t="s">
        <v>870</v>
      </c>
      <c r="B320" s="2" t="s">
        <v>871</v>
      </c>
      <c r="C320" s="5" t="s">
        <v>488</v>
      </c>
      <c r="D320" s="5" t="s">
        <v>60</v>
      </c>
      <c r="E320" s="5" t="s">
        <v>62</v>
      </c>
      <c r="F320" s="5" t="s">
        <v>8236</v>
      </c>
    </row>
    <row r="321" customFormat="false" ht="15" hidden="false" customHeight="false" outlineLevel="0" collapsed="false">
      <c r="A321" s="5" t="s">
        <v>870</v>
      </c>
      <c r="B321" s="2" t="s">
        <v>871</v>
      </c>
      <c r="C321" s="5" t="s">
        <v>488</v>
      </c>
      <c r="D321" s="5" t="s">
        <v>60</v>
      </c>
      <c r="E321" s="5" t="s">
        <v>62</v>
      </c>
      <c r="F321" s="5" t="s">
        <v>502</v>
      </c>
    </row>
    <row r="322" customFormat="false" ht="15" hidden="false" customHeight="false" outlineLevel="0" collapsed="false">
      <c r="A322" s="5" t="s">
        <v>870</v>
      </c>
      <c r="B322" s="2" t="s">
        <v>871</v>
      </c>
      <c r="C322" s="5" t="s">
        <v>488</v>
      </c>
      <c r="D322" s="5" t="s">
        <v>60</v>
      </c>
      <c r="E322" s="5" t="s">
        <v>62</v>
      </c>
      <c r="F322" s="5" t="s">
        <v>8240</v>
      </c>
    </row>
    <row r="323" customFormat="false" ht="15" hidden="false" customHeight="false" outlineLevel="0" collapsed="false">
      <c r="A323" s="5" t="s">
        <v>870</v>
      </c>
      <c r="B323" s="2" t="s">
        <v>871</v>
      </c>
      <c r="C323" s="5" t="s">
        <v>488</v>
      </c>
      <c r="D323" s="5" t="s">
        <v>60</v>
      </c>
      <c r="E323" s="5" t="s">
        <v>62</v>
      </c>
      <c r="F323" s="5" t="s">
        <v>741</v>
      </c>
    </row>
    <row r="324" customFormat="false" ht="15" hidden="false" customHeight="false" outlineLevel="0" collapsed="false">
      <c r="A324" s="5" t="s">
        <v>878</v>
      </c>
      <c r="B324" s="2" t="s">
        <v>879</v>
      </c>
      <c r="C324" s="5" t="s">
        <v>488</v>
      </c>
      <c r="D324" s="5" t="s">
        <v>60</v>
      </c>
      <c r="E324" s="5" t="s">
        <v>62</v>
      </c>
      <c r="F324" s="5" t="s">
        <v>8245</v>
      </c>
    </row>
    <row r="325" customFormat="false" ht="15" hidden="false" customHeight="false" outlineLevel="0" collapsed="false">
      <c r="A325" s="5" t="s">
        <v>878</v>
      </c>
      <c r="B325" s="2" t="s">
        <v>879</v>
      </c>
      <c r="C325" s="5" t="s">
        <v>488</v>
      </c>
      <c r="D325" s="5" t="s">
        <v>60</v>
      </c>
      <c r="E325" s="5" t="s">
        <v>62</v>
      </c>
      <c r="F325" s="5" t="s">
        <v>8246</v>
      </c>
    </row>
    <row r="326" customFormat="false" ht="15" hidden="false" customHeight="false" outlineLevel="0" collapsed="false">
      <c r="A326" s="5" t="s">
        <v>878</v>
      </c>
      <c r="B326" s="2" t="s">
        <v>879</v>
      </c>
      <c r="C326" s="5" t="s">
        <v>488</v>
      </c>
      <c r="D326" s="5" t="s">
        <v>60</v>
      </c>
      <c r="E326" s="5" t="s">
        <v>62</v>
      </c>
      <c r="F326" s="5" t="s">
        <v>8222</v>
      </c>
    </row>
    <row r="327" customFormat="false" ht="15" hidden="false" customHeight="false" outlineLevel="0" collapsed="false">
      <c r="A327" s="5" t="s">
        <v>878</v>
      </c>
      <c r="B327" s="2" t="s">
        <v>879</v>
      </c>
      <c r="C327" s="5" t="s">
        <v>488</v>
      </c>
      <c r="D327" s="5" t="s">
        <v>60</v>
      </c>
      <c r="E327" s="5" t="s">
        <v>62</v>
      </c>
      <c r="F327" s="5" t="s">
        <v>8227</v>
      </c>
    </row>
    <row r="328" customFormat="false" ht="15" hidden="false" customHeight="false" outlineLevel="0" collapsed="false">
      <c r="A328" s="5" t="s">
        <v>878</v>
      </c>
      <c r="B328" s="2" t="s">
        <v>879</v>
      </c>
      <c r="C328" s="5" t="s">
        <v>488</v>
      </c>
      <c r="D328" s="5" t="s">
        <v>60</v>
      </c>
      <c r="E328" s="5" t="s">
        <v>62</v>
      </c>
      <c r="F328" s="5" t="s">
        <v>8247</v>
      </c>
    </row>
    <row r="329" customFormat="false" ht="15" hidden="false" customHeight="false" outlineLevel="0" collapsed="false">
      <c r="A329" s="5" t="s">
        <v>878</v>
      </c>
      <c r="B329" s="2" t="s">
        <v>879</v>
      </c>
      <c r="C329" s="5" t="s">
        <v>488</v>
      </c>
      <c r="D329" s="5" t="s">
        <v>60</v>
      </c>
      <c r="E329" s="5" t="s">
        <v>62</v>
      </c>
      <c r="F329" s="5" t="s">
        <v>8248</v>
      </c>
    </row>
    <row r="330" customFormat="false" ht="15" hidden="false" customHeight="false" outlineLevel="0" collapsed="false">
      <c r="A330" s="5" t="s">
        <v>887</v>
      </c>
      <c r="B330" s="2" t="s">
        <v>888</v>
      </c>
      <c r="C330" s="5" t="s">
        <v>488</v>
      </c>
      <c r="D330" s="5" t="s">
        <v>60</v>
      </c>
      <c r="E330" s="5" t="s">
        <v>62</v>
      </c>
      <c r="F330" s="5" t="s">
        <v>492</v>
      </c>
    </row>
    <row r="331" customFormat="false" ht="15" hidden="false" customHeight="false" outlineLevel="0" collapsed="false">
      <c r="A331" s="5" t="s">
        <v>887</v>
      </c>
      <c r="B331" s="2" t="s">
        <v>888</v>
      </c>
      <c r="C331" s="5" t="s">
        <v>488</v>
      </c>
      <c r="D331" s="5" t="s">
        <v>60</v>
      </c>
      <c r="E331" s="5" t="s">
        <v>62</v>
      </c>
      <c r="F331" s="5" t="s">
        <v>8236</v>
      </c>
    </row>
    <row r="332" customFormat="false" ht="15" hidden="false" customHeight="false" outlineLevel="0" collapsed="false">
      <c r="A332" s="5" t="s">
        <v>887</v>
      </c>
      <c r="B332" s="2" t="s">
        <v>888</v>
      </c>
      <c r="C332" s="5" t="s">
        <v>488</v>
      </c>
      <c r="D332" s="5" t="s">
        <v>60</v>
      </c>
      <c r="E332" s="5" t="s">
        <v>62</v>
      </c>
      <c r="F332" s="5" t="s">
        <v>502</v>
      </c>
    </row>
    <row r="333" customFormat="false" ht="15" hidden="false" customHeight="false" outlineLevel="0" collapsed="false">
      <c r="A333" s="5" t="s">
        <v>887</v>
      </c>
      <c r="B333" s="2" t="s">
        <v>888</v>
      </c>
      <c r="C333" s="5" t="s">
        <v>488</v>
      </c>
      <c r="D333" s="5" t="s">
        <v>60</v>
      </c>
      <c r="E333" s="5" t="s">
        <v>62</v>
      </c>
      <c r="F333" s="5" t="s">
        <v>8240</v>
      </c>
    </row>
    <row r="334" customFormat="false" ht="15" hidden="false" customHeight="false" outlineLevel="0" collapsed="false">
      <c r="A334" s="5" t="s">
        <v>887</v>
      </c>
      <c r="B334" s="2" t="s">
        <v>888</v>
      </c>
      <c r="C334" s="5" t="s">
        <v>488</v>
      </c>
      <c r="D334" s="5" t="s">
        <v>60</v>
      </c>
      <c r="E334" s="5" t="s">
        <v>62</v>
      </c>
      <c r="F334" s="5" t="s">
        <v>741</v>
      </c>
    </row>
    <row r="335" customFormat="false" ht="15" hidden="false" customHeight="false" outlineLevel="0" collapsed="false">
      <c r="A335" s="5" t="s">
        <v>896</v>
      </c>
      <c r="B335" s="2" t="s">
        <v>897</v>
      </c>
      <c r="C335" s="5" t="s">
        <v>488</v>
      </c>
      <c r="D335" s="5" t="s">
        <v>60</v>
      </c>
      <c r="E335" s="5" t="s">
        <v>62</v>
      </c>
      <c r="F335" s="5" t="s">
        <v>898</v>
      </c>
    </row>
    <row r="336" customFormat="false" ht="15" hidden="false" customHeight="false" outlineLevel="0" collapsed="false">
      <c r="A336" s="5" t="s">
        <v>905</v>
      </c>
      <c r="B336" s="2" t="s">
        <v>906</v>
      </c>
      <c r="C336" s="5" t="s">
        <v>488</v>
      </c>
      <c r="D336" s="5" t="s">
        <v>60</v>
      </c>
      <c r="E336" s="5" t="s">
        <v>62</v>
      </c>
      <c r="F336" s="5" t="s">
        <v>898</v>
      </c>
    </row>
    <row r="337" customFormat="false" ht="23.85" hidden="false" customHeight="false" outlineLevel="0" collapsed="false">
      <c r="A337" s="5" t="s">
        <v>913</v>
      </c>
      <c r="B337" s="2" t="s">
        <v>914</v>
      </c>
      <c r="C337" s="5" t="s">
        <v>488</v>
      </c>
      <c r="D337" s="5" t="s">
        <v>60</v>
      </c>
      <c r="E337" s="5" t="s">
        <v>62</v>
      </c>
      <c r="F337" s="5" t="s">
        <v>916</v>
      </c>
    </row>
    <row r="338" customFormat="false" ht="23.85" hidden="false" customHeight="false" outlineLevel="0" collapsed="false">
      <c r="A338" s="5" t="s">
        <v>922</v>
      </c>
      <c r="B338" s="2" t="s">
        <v>923</v>
      </c>
      <c r="C338" s="5" t="s">
        <v>488</v>
      </c>
      <c r="D338" s="5" t="s">
        <v>60</v>
      </c>
      <c r="E338" s="5" t="s">
        <v>62</v>
      </c>
      <c r="F338" s="5" t="s">
        <v>916</v>
      </c>
    </row>
    <row r="339" customFormat="false" ht="15" hidden="false" customHeight="false" outlineLevel="0" collapsed="false">
      <c r="A339" s="5" t="s">
        <v>927</v>
      </c>
      <c r="B339" s="2" t="s">
        <v>928</v>
      </c>
      <c r="C339" s="5" t="s">
        <v>488</v>
      </c>
      <c r="D339" s="5" t="s">
        <v>60</v>
      </c>
      <c r="E339" s="5" t="s">
        <v>62</v>
      </c>
      <c r="F339" s="5" t="s">
        <v>916</v>
      </c>
    </row>
    <row r="340" customFormat="false" ht="15" hidden="false" customHeight="false" outlineLevel="0" collapsed="false">
      <c r="A340" s="5" t="s">
        <v>932</v>
      </c>
      <c r="B340" s="2" t="s">
        <v>933</v>
      </c>
      <c r="C340" s="5" t="s">
        <v>488</v>
      </c>
      <c r="D340" s="5" t="s">
        <v>60</v>
      </c>
      <c r="E340" s="5" t="s">
        <v>62</v>
      </c>
      <c r="F340" s="5" t="s">
        <v>916</v>
      </c>
    </row>
    <row r="341" customFormat="false" ht="15" hidden="false" customHeight="false" outlineLevel="0" collapsed="false">
      <c r="A341" s="5" t="s">
        <v>940</v>
      </c>
      <c r="B341" s="2" t="s">
        <v>941</v>
      </c>
      <c r="C341" s="5" t="s">
        <v>488</v>
      </c>
      <c r="D341" s="5" t="s">
        <v>60</v>
      </c>
      <c r="E341" s="5" t="s">
        <v>62</v>
      </c>
      <c r="F341" s="5" t="s">
        <v>152</v>
      </c>
    </row>
    <row r="342" customFormat="false" ht="23.85" hidden="false" customHeight="false" outlineLevel="0" collapsed="false">
      <c r="A342" s="5" t="s">
        <v>946</v>
      </c>
      <c r="B342" s="2" t="s">
        <v>947</v>
      </c>
      <c r="C342" s="5" t="s">
        <v>488</v>
      </c>
      <c r="D342" s="5" t="s">
        <v>60</v>
      </c>
      <c r="E342" s="5" t="s">
        <v>62</v>
      </c>
      <c r="F342" s="5" t="s">
        <v>593</v>
      </c>
    </row>
    <row r="343" customFormat="false" ht="15" hidden="false" customHeight="false" outlineLevel="0" collapsed="false">
      <c r="A343" s="5" t="s">
        <v>953</v>
      </c>
      <c r="B343" s="2" t="s">
        <v>954</v>
      </c>
      <c r="C343" s="5" t="s">
        <v>488</v>
      </c>
      <c r="D343" s="5" t="s">
        <v>60</v>
      </c>
      <c r="E343" s="5" t="s">
        <v>62</v>
      </c>
      <c r="F343" s="5" t="s">
        <v>8249</v>
      </c>
    </row>
    <row r="344" customFormat="false" ht="15" hidden="false" customHeight="false" outlineLevel="0" collapsed="false">
      <c r="A344" s="5" t="s">
        <v>953</v>
      </c>
      <c r="B344" s="2" t="s">
        <v>954</v>
      </c>
      <c r="C344" s="5" t="s">
        <v>488</v>
      </c>
      <c r="D344" s="5" t="s">
        <v>60</v>
      </c>
      <c r="E344" s="5" t="s">
        <v>62</v>
      </c>
      <c r="F344" s="5" t="s">
        <v>8221</v>
      </c>
    </row>
    <row r="345" customFormat="false" ht="15" hidden="false" customHeight="false" outlineLevel="0" collapsed="false">
      <c r="A345" s="5" t="s">
        <v>953</v>
      </c>
      <c r="B345" s="2" t="s">
        <v>954</v>
      </c>
      <c r="C345" s="5" t="s">
        <v>488</v>
      </c>
      <c r="D345" s="5" t="s">
        <v>60</v>
      </c>
      <c r="E345" s="5" t="s">
        <v>62</v>
      </c>
      <c r="F345" s="5" t="s">
        <v>8217</v>
      </c>
    </row>
    <row r="346" customFormat="false" ht="15" hidden="false" customHeight="false" outlineLevel="0" collapsed="false">
      <c r="A346" s="5" t="s">
        <v>953</v>
      </c>
      <c r="B346" s="2" t="s">
        <v>954</v>
      </c>
      <c r="C346" s="5" t="s">
        <v>488</v>
      </c>
      <c r="D346" s="5" t="s">
        <v>60</v>
      </c>
      <c r="E346" s="5" t="s">
        <v>62</v>
      </c>
      <c r="F346" s="5" t="s">
        <v>2349</v>
      </c>
    </row>
    <row r="347" customFormat="false" ht="15" hidden="false" customHeight="false" outlineLevel="0" collapsed="false">
      <c r="A347" s="5" t="s">
        <v>964</v>
      </c>
      <c r="B347" s="2" t="s">
        <v>965</v>
      </c>
      <c r="C347" s="5" t="s">
        <v>488</v>
      </c>
      <c r="D347" s="5" t="s">
        <v>60</v>
      </c>
      <c r="E347" s="5" t="s">
        <v>490</v>
      </c>
      <c r="F347" s="5" t="s">
        <v>8220</v>
      </c>
    </row>
    <row r="348" customFormat="false" ht="15" hidden="false" customHeight="false" outlineLevel="0" collapsed="false">
      <c r="A348" s="5" t="s">
        <v>964</v>
      </c>
      <c r="B348" s="2" t="s">
        <v>965</v>
      </c>
      <c r="C348" s="5" t="s">
        <v>488</v>
      </c>
      <c r="D348" s="5" t="s">
        <v>60</v>
      </c>
      <c r="E348" s="5" t="s">
        <v>490</v>
      </c>
      <c r="F348" s="5" t="s">
        <v>8222</v>
      </c>
    </row>
    <row r="349" customFormat="false" ht="15" hidden="false" customHeight="false" outlineLevel="0" collapsed="false">
      <c r="A349" s="5" t="s">
        <v>964</v>
      </c>
      <c r="B349" s="2" t="s">
        <v>965</v>
      </c>
      <c r="C349" s="5" t="s">
        <v>488</v>
      </c>
      <c r="D349" s="5" t="s">
        <v>60</v>
      </c>
      <c r="E349" s="5" t="s">
        <v>490</v>
      </c>
      <c r="F349" s="5" t="s">
        <v>8224</v>
      </c>
    </row>
    <row r="350" customFormat="false" ht="15" hidden="false" customHeight="false" outlineLevel="0" collapsed="false">
      <c r="A350" s="5" t="s">
        <v>964</v>
      </c>
      <c r="B350" s="2" t="s">
        <v>965</v>
      </c>
      <c r="C350" s="5" t="s">
        <v>488</v>
      </c>
      <c r="D350" s="5" t="s">
        <v>60</v>
      </c>
      <c r="E350" s="5" t="s">
        <v>490</v>
      </c>
      <c r="F350" s="5" t="s">
        <v>8226</v>
      </c>
    </row>
    <row r="351" customFormat="false" ht="15" hidden="false" customHeight="false" outlineLevel="0" collapsed="false">
      <c r="A351" s="5" t="s">
        <v>964</v>
      </c>
      <c r="B351" s="2" t="s">
        <v>965</v>
      </c>
      <c r="C351" s="5" t="s">
        <v>488</v>
      </c>
      <c r="D351" s="5" t="s">
        <v>60</v>
      </c>
      <c r="E351" s="5" t="s">
        <v>490</v>
      </c>
      <c r="F351" s="5" t="s">
        <v>8233</v>
      </c>
    </row>
    <row r="352" customFormat="false" ht="15" hidden="false" customHeight="false" outlineLevel="0" collapsed="false">
      <c r="A352" s="5" t="s">
        <v>964</v>
      </c>
      <c r="B352" s="2" t="s">
        <v>965</v>
      </c>
      <c r="C352" s="5" t="s">
        <v>488</v>
      </c>
      <c r="D352" s="5" t="s">
        <v>60</v>
      </c>
      <c r="E352" s="5" t="s">
        <v>490</v>
      </c>
      <c r="F352" s="5" t="s">
        <v>8234</v>
      </c>
    </row>
    <row r="353" customFormat="false" ht="15" hidden="false" customHeight="false" outlineLevel="0" collapsed="false">
      <c r="A353" s="5" t="s">
        <v>964</v>
      </c>
      <c r="B353" s="2" t="s">
        <v>965</v>
      </c>
      <c r="C353" s="5" t="s">
        <v>488</v>
      </c>
      <c r="D353" s="5" t="s">
        <v>60</v>
      </c>
      <c r="E353" s="5" t="s">
        <v>490</v>
      </c>
      <c r="F353" s="5" t="s">
        <v>8235</v>
      </c>
    </row>
    <row r="354" customFormat="false" ht="15" hidden="false" customHeight="false" outlineLevel="0" collapsed="false">
      <c r="A354" s="5" t="s">
        <v>964</v>
      </c>
      <c r="B354" s="2" t="s">
        <v>965</v>
      </c>
      <c r="C354" s="5" t="s">
        <v>488</v>
      </c>
      <c r="D354" s="5" t="s">
        <v>60</v>
      </c>
      <c r="E354" s="5" t="s">
        <v>490</v>
      </c>
      <c r="F354" s="5" t="s">
        <v>8227</v>
      </c>
    </row>
    <row r="355" customFormat="false" ht="15" hidden="false" customHeight="false" outlineLevel="0" collapsed="false">
      <c r="A355" s="5" t="s">
        <v>964</v>
      </c>
      <c r="B355" s="2" t="s">
        <v>965</v>
      </c>
      <c r="C355" s="5" t="s">
        <v>488</v>
      </c>
      <c r="D355" s="5" t="s">
        <v>60</v>
      </c>
      <c r="E355" s="5" t="s">
        <v>490</v>
      </c>
      <c r="F355" s="5" t="s">
        <v>8217</v>
      </c>
    </row>
    <row r="356" customFormat="false" ht="15" hidden="false" customHeight="false" outlineLevel="0" collapsed="false">
      <c r="A356" s="5" t="s">
        <v>964</v>
      </c>
      <c r="B356" s="2" t="s">
        <v>965</v>
      </c>
      <c r="C356" s="5" t="s">
        <v>488</v>
      </c>
      <c r="D356" s="5" t="s">
        <v>60</v>
      </c>
      <c r="E356" s="5" t="s">
        <v>490</v>
      </c>
      <c r="F356" s="5" t="s">
        <v>2349</v>
      </c>
    </row>
    <row r="357" customFormat="false" ht="15" hidden="false" customHeight="false" outlineLevel="0" collapsed="false">
      <c r="A357" s="5" t="s">
        <v>964</v>
      </c>
      <c r="B357" s="2" t="s">
        <v>965</v>
      </c>
      <c r="C357" s="5" t="s">
        <v>488</v>
      </c>
      <c r="D357" s="5" t="s">
        <v>60</v>
      </c>
      <c r="E357" s="5" t="s">
        <v>490</v>
      </c>
      <c r="F357" s="5" t="s">
        <v>8218</v>
      </c>
    </row>
    <row r="358" customFormat="false" ht="15" hidden="false" customHeight="false" outlineLevel="0" collapsed="false">
      <c r="A358" s="5" t="s">
        <v>964</v>
      </c>
      <c r="B358" s="2" t="s">
        <v>965</v>
      </c>
      <c r="C358" s="5" t="s">
        <v>488</v>
      </c>
      <c r="D358" s="5" t="s">
        <v>60</v>
      </c>
      <c r="E358" s="5" t="s">
        <v>490</v>
      </c>
      <c r="F358" s="5" t="s">
        <v>8219</v>
      </c>
    </row>
    <row r="359" customFormat="false" ht="15" hidden="false" customHeight="false" outlineLevel="0" collapsed="false">
      <c r="A359" s="5" t="s">
        <v>964</v>
      </c>
      <c r="B359" s="2" t="s">
        <v>965</v>
      </c>
      <c r="C359" s="5" t="s">
        <v>488</v>
      </c>
      <c r="D359" s="5" t="s">
        <v>60</v>
      </c>
      <c r="E359" s="5" t="s">
        <v>490</v>
      </c>
      <c r="F359" s="5" t="s">
        <v>8237</v>
      </c>
    </row>
    <row r="360" customFormat="false" ht="15" hidden="false" customHeight="false" outlineLevel="0" collapsed="false">
      <c r="A360" s="5" t="s">
        <v>964</v>
      </c>
      <c r="B360" s="2" t="s">
        <v>965</v>
      </c>
      <c r="C360" s="5" t="s">
        <v>488</v>
      </c>
      <c r="D360" s="5" t="s">
        <v>60</v>
      </c>
      <c r="E360" s="5" t="s">
        <v>490</v>
      </c>
      <c r="F360" s="5" t="s">
        <v>8238</v>
      </c>
    </row>
    <row r="361" customFormat="false" ht="15" hidden="false" customHeight="false" outlineLevel="0" collapsed="false">
      <c r="A361" s="5" t="s">
        <v>964</v>
      </c>
      <c r="B361" s="2" t="s">
        <v>965</v>
      </c>
      <c r="C361" s="5" t="s">
        <v>488</v>
      </c>
      <c r="D361" s="5" t="s">
        <v>60</v>
      </c>
      <c r="E361" s="5" t="s">
        <v>490</v>
      </c>
      <c r="F361" s="5" t="s">
        <v>8239</v>
      </c>
    </row>
    <row r="362" customFormat="false" ht="15" hidden="false" customHeight="false" outlineLevel="0" collapsed="false">
      <c r="A362" s="5" t="s">
        <v>964</v>
      </c>
      <c r="B362" s="2" t="s">
        <v>965</v>
      </c>
      <c r="C362" s="5" t="s">
        <v>488</v>
      </c>
      <c r="D362" s="5" t="s">
        <v>60</v>
      </c>
      <c r="E362" s="5" t="s">
        <v>490</v>
      </c>
      <c r="F362" s="5" t="s">
        <v>5328</v>
      </c>
    </row>
    <row r="363" customFormat="false" ht="15" hidden="false" customHeight="false" outlineLevel="0" collapsed="false">
      <c r="A363" s="5" t="s">
        <v>964</v>
      </c>
      <c r="B363" s="2" t="s">
        <v>965</v>
      </c>
      <c r="C363" s="5" t="s">
        <v>488</v>
      </c>
      <c r="D363" s="5" t="s">
        <v>60</v>
      </c>
      <c r="E363" s="5" t="s">
        <v>490</v>
      </c>
      <c r="F363" s="5" t="s">
        <v>8228</v>
      </c>
    </row>
    <row r="364" customFormat="false" ht="15" hidden="false" customHeight="false" outlineLevel="0" collapsed="false">
      <c r="A364" s="5" t="s">
        <v>973</v>
      </c>
      <c r="B364" s="2" t="s">
        <v>974</v>
      </c>
      <c r="C364" s="5" t="s">
        <v>488</v>
      </c>
      <c r="D364" s="5" t="s">
        <v>60</v>
      </c>
      <c r="E364" s="5" t="s">
        <v>490</v>
      </c>
      <c r="F364" s="5" t="s">
        <v>8242</v>
      </c>
    </row>
    <row r="365" customFormat="false" ht="15" hidden="false" customHeight="false" outlineLevel="0" collapsed="false">
      <c r="A365" s="5" t="s">
        <v>973</v>
      </c>
      <c r="B365" s="2" t="s">
        <v>974</v>
      </c>
      <c r="C365" s="5" t="s">
        <v>488</v>
      </c>
      <c r="D365" s="5" t="s">
        <v>60</v>
      </c>
      <c r="E365" s="5" t="s">
        <v>490</v>
      </c>
      <c r="F365" s="5" t="s">
        <v>8243</v>
      </c>
    </row>
    <row r="366" customFormat="false" ht="15" hidden="false" customHeight="false" outlineLevel="0" collapsed="false">
      <c r="A366" s="5" t="s">
        <v>973</v>
      </c>
      <c r="B366" s="2" t="s">
        <v>974</v>
      </c>
      <c r="C366" s="5" t="s">
        <v>488</v>
      </c>
      <c r="D366" s="5" t="s">
        <v>60</v>
      </c>
      <c r="E366" s="5" t="s">
        <v>490</v>
      </c>
      <c r="F366" s="5" t="s">
        <v>8244</v>
      </c>
    </row>
    <row r="367" customFormat="false" ht="15" hidden="false" customHeight="false" outlineLevel="0" collapsed="false">
      <c r="A367" s="5" t="s">
        <v>984</v>
      </c>
      <c r="B367" s="2" t="s">
        <v>985</v>
      </c>
      <c r="C367" s="5" t="s">
        <v>488</v>
      </c>
      <c r="D367" s="5" t="s">
        <v>60</v>
      </c>
      <c r="E367" s="5" t="s">
        <v>490</v>
      </c>
      <c r="F367" s="5" t="s">
        <v>492</v>
      </c>
    </row>
    <row r="368" customFormat="false" ht="15" hidden="false" customHeight="false" outlineLevel="0" collapsed="false">
      <c r="A368" s="5" t="s">
        <v>991</v>
      </c>
      <c r="B368" s="2" t="s">
        <v>992</v>
      </c>
      <c r="C368" s="5" t="s">
        <v>488</v>
      </c>
      <c r="D368" s="5" t="s">
        <v>60</v>
      </c>
      <c r="E368" s="5" t="s">
        <v>490</v>
      </c>
      <c r="F368" s="5" t="s">
        <v>8242</v>
      </c>
    </row>
    <row r="369" customFormat="false" ht="15" hidden="false" customHeight="false" outlineLevel="0" collapsed="false">
      <c r="A369" s="5" t="s">
        <v>991</v>
      </c>
      <c r="B369" s="2" t="s">
        <v>992</v>
      </c>
      <c r="C369" s="5" t="s">
        <v>488</v>
      </c>
      <c r="D369" s="5" t="s">
        <v>60</v>
      </c>
      <c r="E369" s="5" t="s">
        <v>490</v>
      </c>
      <c r="F369" s="5" t="s">
        <v>8243</v>
      </c>
    </row>
    <row r="370" customFormat="false" ht="15" hidden="false" customHeight="false" outlineLevel="0" collapsed="false">
      <c r="A370" s="5" t="s">
        <v>991</v>
      </c>
      <c r="B370" s="2" t="s">
        <v>992</v>
      </c>
      <c r="C370" s="5" t="s">
        <v>488</v>
      </c>
      <c r="D370" s="5" t="s">
        <v>60</v>
      </c>
      <c r="E370" s="5" t="s">
        <v>490</v>
      </c>
      <c r="F370" s="5" t="s">
        <v>8225</v>
      </c>
    </row>
    <row r="371" customFormat="false" ht="15" hidden="false" customHeight="false" outlineLevel="0" collapsed="false">
      <c r="A371" s="5" t="s">
        <v>991</v>
      </c>
      <c r="B371" s="2" t="s">
        <v>992</v>
      </c>
      <c r="C371" s="5" t="s">
        <v>488</v>
      </c>
      <c r="D371" s="5" t="s">
        <v>60</v>
      </c>
      <c r="E371" s="5" t="s">
        <v>490</v>
      </c>
      <c r="F371" s="5" t="s">
        <v>5328</v>
      </c>
    </row>
    <row r="372" customFormat="false" ht="15" hidden="false" customHeight="false" outlineLevel="0" collapsed="false">
      <c r="A372" s="5" t="s">
        <v>991</v>
      </c>
      <c r="B372" s="2" t="s">
        <v>992</v>
      </c>
      <c r="C372" s="5" t="s">
        <v>488</v>
      </c>
      <c r="D372" s="5" t="s">
        <v>60</v>
      </c>
      <c r="E372" s="5" t="s">
        <v>490</v>
      </c>
      <c r="F372" s="5" t="s">
        <v>8229</v>
      </c>
    </row>
    <row r="373" customFormat="false" ht="15" hidden="false" customHeight="false" outlineLevel="0" collapsed="false">
      <c r="A373" s="5" t="s">
        <v>991</v>
      </c>
      <c r="B373" s="2" t="s">
        <v>992</v>
      </c>
      <c r="C373" s="5" t="s">
        <v>488</v>
      </c>
      <c r="D373" s="5" t="s">
        <v>60</v>
      </c>
      <c r="E373" s="5" t="s">
        <v>490</v>
      </c>
      <c r="F373" s="5" t="s">
        <v>8230</v>
      </c>
    </row>
    <row r="374" customFormat="false" ht="15" hidden="false" customHeight="false" outlineLevel="0" collapsed="false">
      <c r="A374" s="5" t="s">
        <v>991</v>
      </c>
      <c r="B374" s="2" t="s">
        <v>992</v>
      </c>
      <c r="C374" s="5" t="s">
        <v>488</v>
      </c>
      <c r="D374" s="5" t="s">
        <v>60</v>
      </c>
      <c r="E374" s="5" t="s">
        <v>490</v>
      </c>
      <c r="F374" s="5" t="s">
        <v>8231</v>
      </c>
    </row>
    <row r="375" customFormat="false" ht="15" hidden="false" customHeight="false" outlineLevel="0" collapsed="false">
      <c r="A375" s="5" t="s">
        <v>991</v>
      </c>
      <c r="B375" s="2" t="s">
        <v>992</v>
      </c>
      <c r="C375" s="5" t="s">
        <v>488</v>
      </c>
      <c r="D375" s="5" t="s">
        <v>60</v>
      </c>
      <c r="E375" s="5" t="s">
        <v>490</v>
      </c>
      <c r="F375" s="5" t="s">
        <v>8244</v>
      </c>
    </row>
    <row r="376" customFormat="false" ht="15" hidden="false" customHeight="false" outlineLevel="0" collapsed="false">
      <c r="A376" s="5" t="s">
        <v>1002</v>
      </c>
      <c r="B376" s="2" t="s">
        <v>1003</v>
      </c>
      <c r="C376" s="5" t="s">
        <v>488</v>
      </c>
      <c r="D376" s="5" t="s">
        <v>60</v>
      </c>
      <c r="E376" s="5" t="s">
        <v>490</v>
      </c>
      <c r="F376" s="5" t="s">
        <v>492</v>
      </c>
    </row>
    <row r="377" customFormat="false" ht="15" hidden="false" customHeight="false" outlineLevel="0" collapsed="false">
      <c r="A377" s="5" t="s">
        <v>1002</v>
      </c>
      <c r="B377" s="2" t="s">
        <v>1003</v>
      </c>
      <c r="C377" s="5" t="s">
        <v>488</v>
      </c>
      <c r="D377" s="5" t="s">
        <v>60</v>
      </c>
      <c r="E377" s="5" t="s">
        <v>490</v>
      </c>
      <c r="F377" s="5" t="s">
        <v>8236</v>
      </c>
    </row>
    <row r="378" customFormat="false" ht="15" hidden="false" customHeight="false" outlineLevel="0" collapsed="false">
      <c r="A378" s="5" t="s">
        <v>1002</v>
      </c>
      <c r="B378" s="2" t="s">
        <v>1003</v>
      </c>
      <c r="C378" s="5" t="s">
        <v>488</v>
      </c>
      <c r="D378" s="5" t="s">
        <v>60</v>
      </c>
      <c r="E378" s="5" t="s">
        <v>490</v>
      </c>
      <c r="F378" s="5" t="s">
        <v>502</v>
      </c>
    </row>
    <row r="379" customFormat="false" ht="15" hidden="false" customHeight="false" outlineLevel="0" collapsed="false">
      <c r="A379" s="5" t="s">
        <v>1002</v>
      </c>
      <c r="B379" s="2" t="s">
        <v>1003</v>
      </c>
      <c r="C379" s="5" t="s">
        <v>488</v>
      </c>
      <c r="D379" s="5" t="s">
        <v>60</v>
      </c>
      <c r="E379" s="5" t="s">
        <v>490</v>
      </c>
      <c r="F379" s="5" t="s">
        <v>8240</v>
      </c>
    </row>
    <row r="380" customFormat="false" ht="15" hidden="false" customHeight="false" outlineLevel="0" collapsed="false">
      <c r="A380" s="5" t="s">
        <v>1002</v>
      </c>
      <c r="B380" s="2" t="s">
        <v>1003</v>
      </c>
      <c r="C380" s="5" t="s">
        <v>488</v>
      </c>
      <c r="D380" s="5" t="s">
        <v>60</v>
      </c>
      <c r="E380" s="5" t="s">
        <v>490</v>
      </c>
      <c r="F380" s="5" t="s">
        <v>741</v>
      </c>
    </row>
    <row r="381" customFormat="false" ht="15" hidden="false" customHeight="false" outlineLevel="0" collapsed="false">
      <c r="A381" s="5" t="s">
        <v>1010</v>
      </c>
      <c r="B381" s="2" t="s">
        <v>1011</v>
      </c>
      <c r="C381" s="5" t="s">
        <v>488</v>
      </c>
      <c r="D381" s="5" t="s">
        <v>60</v>
      </c>
      <c r="E381" s="5" t="s">
        <v>490</v>
      </c>
      <c r="F381" s="5" t="s">
        <v>8220</v>
      </c>
    </row>
    <row r="382" customFormat="false" ht="15" hidden="false" customHeight="false" outlineLevel="0" collapsed="false">
      <c r="A382" s="5" t="s">
        <v>1010</v>
      </c>
      <c r="B382" s="2" t="s">
        <v>1011</v>
      </c>
      <c r="C382" s="5" t="s">
        <v>488</v>
      </c>
      <c r="D382" s="5" t="s">
        <v>60</v>
      </c>
      <c r="E382" s="5" t="s">
        <v>490</v>
      </c>
      <c r="F382" s="5" t="s">
        <v>8222</v>
      </c>
    </row>
    <row r="383" customFormat="false" ht="15" hidden="false" customHeight="false" outlineLevel="0" collapsed="false">
      <c r="A383" s="5" t="s">
        <v>1010</v>
      </c>
      <c r="B383" s="2" t="s">
        <v>1011</v>
      </c>
      <c r="C383" s="5" t="s">
        <v>488</v>
      </c>
      <c r="D383" s="5" t="s">
        <v>60</v>
      </c>
      <c r="E383" s="5" t="s">
        <v>490</v>
      </c>
      <c r="F383" s="5" t="s">
        <v>8224</v>
      </c>
    </row>
    <row r="384" customFormat="false" ht="15" hidden="false" customHeight="false" outlineLevel="0" collapsed="false">
      <c r="A384" s="5" t="s">
        <v>1010</v>
      </c>
      <c r="B384" s="2" t="s">
        <v>1011</v>
      </c>
      <c r="C384" s="5" t="s">
        <v>488</v>
      </c>
      <c r="D384" s="5" t="s">
        <v>60</v>
      </c>
      <c r="E384" s="5" t="s">
        <v>490</v>
      </c>
      <c r="F384" s="5" t="s">
        <v>8226</v>
      </c>
    </row>
    <row r="385" customFormat="false" ht="15" hidden="false" customHeight="false" outlineLevel="0" collapsed="false">
      <c r="A385" s="5" t="s">
        <v>1010</v>
      </c>
      <c r="B385" s="2" t="s">
        <v>1011</v>
      </c>
      <c r="C385" s="5" t="s">
        <v>488</v>
      </c>
      <c r="D385" s="5" t="s">
        <v>60</v>
      </c>
      <c r="E385" s="5" t="s">
        <v>490</v>
      </c>
      <c r="F385" s="5" t="s">
        <v>8233</v>
      </c>
    </row>
    <row r="386" customFormat="false" ht="15" hidden="false" customHeight="false" outlineLevel="0" collapsed="false">
      <c r="A386" s="5" t="s">
        <v>1010</v>
      </c>
      <c r="B386" s="2" t="s">
        <v>1011</v>
      </c>
      <c r="C386" s="5" t="s">
        <v>488</v>
      </c>
      <c r="D386" s="5" t="s">
        <v>60</v>
      </c>
      <c r="E386" s="5" t="s">
        <v>490</v>
      </c>
      <c r="F386" s="5" t="s">
        <v>8235</v>
      </c>
    </row>
    <row r="387" customFormat="false" ht="15" hidden="false" customHeight="false" outlineLevel="0" collapsed="false">
      <c r="A387" s="5" t="s">
        <v>1010</v>
      </c>
      <c r="B387" s="2" t="s">
        <v>1011</v>
      </c>
      <c r="C387" s="5" t="s">
        <v>488</v>
      </c>
      <c r="D387" s="5" t="s">
        <v>60</v>
      </c>
      <c r="E387" s="5" t="s">
        <v>490</v>
      </c>
      <c r="F387" s="5" t="s">
        <v>8227</v>
      </c>
    </row>
    <row r="388" customFormat="false" ht="15" hidden="false" customHeight="false" outlineLevel="0" collapsed="false">
      <c r="A388" s="5" t="s">
        <v>1010</v>
      </c>
      <c r="B388" s="2" t="s">
        <v>1011</v>
      </c>
      <c r="C388" s="5" t="s">
        <v>488</v>
      </c>
      <c r="D388" s="5" t="s">
        <v>60</v>
      </c>
      <c r="E388" s="5" t="s">
        <v>490</v>
      </c>
      <c r="F388" s="5" t="s">
        <v>8217</v>
      </c>
    </row>
    <row r="389" customFormat="false" ht="15" hidden="false" customHeight="false" outlineLevel="0" collapsed="false">
      <c r="A389" s="5" t="s">
        <v>1010</v>
      </c>
      <c r="B389" s="2" t="s">
        <v>1011</v>
      </c>
      <c r="C389" s="5" t="s">
        <v>488</v>
      </c>
      <c r="D389" s="5" t="s">
        <v>60</v>
      </c>
      <c r="E389" s="5" t="s">
        <v>490</v>
      </c>
      <c r="F389" s="5" t="s">
        <v>2349</v>
      </c>
    </row>
    <row r="390" customFormat="false" ht="15" hidden="false" customHeight="false" outlineLevel="0" collapsed="false">
      <c r="A390" s="5" t="s">
        <v>1010</v>
      </c>
      <c r="B390" s="2" t="s">
        <v>1011</v>
      </c>
      <c r="C390" s="5" t="s">
        <v>488</v>
      </c>
      <c r="D390" s="5" t="s">
        <v>60</v>
      </c>
      <c r="E390" s="5" t="s">
        <v>490</v>
      </c>
      <c r="F390" s="5" t="s">
        <v>8218</v>
      </c>
    </row>
    <row r="391" customFormat="false" ht="15" hidden="false" customHeight="false" outlineLevel="0" collapsed="false">
      <c r="A391" s="5" t="s">
        <v>1010</v>
      </c>
      <c r="B391" s="2" t="s">
        <v>1011</v>
      </c>
      <c r="C391" s="5" t="s">
        <v>488</v>
      </c>
      <c r="D391" s="5" t="s">
        <v>60</v>
      </c>
      <c r="E391" s="5" t="s">
        <v>490</v>
      </c>
      <c r="F391" s="5" t="s">
        <v>8219</v>
      </c>
    </row>
    <row r="392" customFormat="false" ht="15" hidden="false" customHeight="false" outlineLevel="0" collapsed="false">
      <c r="A392" s="5" t="s">
        <v>1010</v>
      </c>
      <c r="B392" s="2" t="s">
        <v>1011</v>
      </c>
      <c r="C392" s="5" t="s">
        <v>488</v>
      </c>
      <c r="D392" s="5" t="s">
        <v>60</v>
      </c>
      <c r="E392" s="5" t="s">
        <v>490</v>
      </c>
      <c r="F392" s="5" t="s">
        <v>8228</v>
      </c>
    </row>
    <row r="393" customFormat="false" ht="15" hidden="false" customHeight="false" outlineLevel="0" collapsed="false">
      <c r="A393" s="5" t="s">
        <v>1018</v>
      </c>
      <c r="B393" s="2" t="s">
        <v>1019</v>
      </c>
      <c r="C393" s="5" t="s">
        <v>488</v>
      </c>
      <c r="D393" s="5" t="s">
        <v>60</v>
      </c>
      <c r="E393" s="5" t="s">
        <v>490</v>
      </c>
      <c r="F393" s="5" t="s">
        <v>492</v>
      </c>
    </row>
    <row r="394" customFormat="false" ht="15" hidden="false" customHeight="false" outlineLevel="0" collapsed="false">
      <c r="A394" s="5" t="s">
        <v>1018</v>
      </c>
      <c r="B394" s="2" t="s">
        <v>1019</v>
      </c>
      <c r="C394" s="5" t="s">
        <v>488</v>
      </c>
      <c r="D394" s="5" t="s">
        <v>60</v>
      </c>
      <c r="E394" s="5" t="s">
        <v>490</v>
      </c>
      <c r="F394" s="5" t="s">
        <v>8236</v>
      </c>
    </row>
    <row r="395" customFormat="false" ht="15" hidden="false" customHeight="false" outlineLevel="0" collapsed="false">
      <c r="A395" s="5" t="s">
        <v>1018</v>
      </c>
      <c r="B395" s="2" t="s">
        <v>1019</v>
      </c>
      <c r="C395" s="5" t="s">
        <v>488</v>
      </c>
      <c r="D395" s="5" t="s">
        <v>60</v>
      </c>
      <c r="E395" s="5" t="s">
        <v>490</v>
      </c>
      <c r="F395" s="5" t="s">
        <v>502</v>
      </c>
    </row>
    <row r="396" customFormat="false" ht="15" hidden="false" customHeight="false" outlineLevel="0" collapsed="false">
      <c r="A396" s="5" t="s">
        <v>1018</v>
      </c>
      <c r="B396" s="2" t="s">
        <v>1019</v>
      </c>
      <c r="C396" s="5" t="s">
        <v>488</v>
      </c>
      <c r="D396" s="5" t="s">
        <v>60</v>
      </c>
      <c r="E396" s="5" t="s">
        <v>490</v>
      </c>
      <c r="F396" s="5" t="s">
        <v>8240</v>
      </c>
    </row>
    <row r="397" customFormat="false" ht="15" hidden="false" customHeight="false" outlineLevel="0" collapsed="false">
      <c r="A397" s="5" t="s">
        <v>1018</v>
      </c>
      <c r="B397" s="2" t="s">
        <v>1019</v>
      </c>
      <c r="C397" s="5" t="s">
        <v>488</v>
      </c>
      <c r="D397" s="5" t="s">
        <v>60</v>
      </c>
      <c r="E397" s="5" t="s">
        <v>490</v>
      </c>
      <c r="F397" s="5" t="s">
        <v>741</v>
      </c>
    </row>
    <row r="398" customFormat="false" ht="15" hidden="false" customHeight="false" outlineLevel="0" collapsed="false">
      <c r="A398" s="5" t="s">
        <v>1022</v>
      </c>
      <c r="B398" s="2" t="s">
        <v>1023</v>
      </c>
      <c r="C398" s="5" t="s">
        <v>488</v>
      </c>
      <c r="D398" s="5" t="s">
        <v>60</v>
      </c>
      <c r="E398" s="5" t="s">
        <v>490</v>
      </c>
      <c r="F398" s="5" t="s">
        <v>8245</v>
      </c>
    </row>
    <row r="399" customFormat="false" ht="15" hidden="false" customHeight="false" outlineLevel="0" collapsed="false">
      <c r="A399" s="5" t="s">
        <v>1022</v>
      </c>
      <c r="B399" s="2" t="s">
        <v>1023</v>
      </c>
      <c r="C399" s="5" t="s">
        <v>488</v>
      </c>
      <c r="D399" s="5" t="s">
        <v>60</v>
      </c>
      <c r="E399" s="5" t="s">
        <v>490</v>
      </c>
      <c r="F399" s="5" t="s">
        <v>8246</v>
      </c>
    </row>
    <row r="400" customFormat="false" ht="15" hidden="false" customHeight="false" outlineLevel="0" collapsed="false">
      <c r="A400" s="5" t="s">
        <v>1022</v>
      </c>
      <c r="B400" s="2" t="s">
        <v>1023</v>
      </c>
      <c r="C400" s="5" t="s">
        <v>488</v>
      </c>
      <c r="D400" s="5" t="s">
        <v>60</v>
      </c>
      <c r="E400" s="5" t="s">
        <v>490</v>
      </c>
      <c r="F400" s="5" t="s">
        <v>8222</v>
      </c>
    </row>
    <row r="401" customFormat="false" ht="15" hidden="false" customHeight="false" outlineLevel="0" collapsed="false">
      <c r="A401" s="5" t="s">
        <v>1022</v>
      </c>
      <c r="B401" s="2" t="s">
        <v>1023</v>
      </c>
      <c r="C401" s="5" t="s">
        <v>488</v>
      </c>
      <c r="D401" s="5" t="s">
        <v>60</v>
      </c>
      <c r="E401" s="5" t="s">
        <v>490</v>
      </c>
      <c r="F401" s="5" t="s">
        <v>8227</v>
      </c>
    </row>
    <row r="402" customFormat="false" ht="15" hidden="false" customHeight="false" outlineLevel="0" collapsed="false">
      <c r="A402" s="5" t="s">
        <v>1022</v>
      </c>
      <c r="B402" s="2" t="s">
        <v>1023</v>
      </c>
      <c r="C402" s="5" t="s">
        <v>488</v>
      </c>
      <c r="D402" s="5" t="s">
        <v>60</v>
      </c>
      <c r="E402" s="5" t="s">
        <v>490</v>
      </c>
      <c r="F402" s="5" t="s">
        <v>8247</v>
      </c>
    </row>
    <row r="403" customFormat="false" ht="15" hidden="false" customHeight="false" outlineLevel="0" collapsed="false">
      <c r="A403" s="5" t="s">
        <v>1022</v>
      </c>
      <c r="B403" s="2" t="s">
        <v>1023</v>
      </c>
      <c r="C403" s="5" t="s">
        <v>488</v>
      </c>
      <c r="D403" s="5" t="s">
        <v>60</v>
      </c>
      <c r="E403" s="5" t="s">
        <v>490</v>
      </c>
      <c r="F403" s="5" t="s">
        <v>8248</v>
      </c>
    </row>
    <row r="404" customFormat="false" ht="15" hidden="false" customHeight="false" outlineLevel="0" collapsed="false">
      <c r="A404" s="5" t="s">
        <v>1030</v>
      </c>
      <c r="B404" s="2" t="s">
        <v>1031</v>
      </c>
      <c r="C404" s="5" t="s">
        <v>488</v>
      </c>
      <c r="D404" s="5" t="s">
        <v>60</v>
      </c>
      <c r="E404" s="5" t="s">
        <v>62</v>
      </c>
      <c r="F404" s="5" t="s">
        <v>8249</v>
      </c>
    </row>
    <row r="405" customFormat="false" ht="15" hidden="false" customHeight="false" outlineLevel="0" collapsed="false">
      <c r="A405" s="5" t="s">
        <v>1030</v>
      </c>
      <c r="B405" s="2" t="s">
        <v>1031</v>
      </c>
      <c r="C405" s="5" t="s">
        <v>488</v>
      </c>
      <c r="D405" s="5" t="s">
        <v>60</v>
      </c>
      <c r="E405" s="5" t="s">
        <v>62</v>
      </c>
      <c r="F405" s="5" t="s">
        <v>8221</v>
      </c>
    </row>
    <row r="406" customFormat="false" ht="15" hidden="false" customHeight="false" outlineLevel="0" collapsed="false">
      <c r="A406" s="5" t="s">
        <v>1030</v>
      </c>
      <c r="B406" s="2" t="s">
        <v>1031</v>
      </c>
      <c r="C406" s="5" t="s">
        <v>488</v>
      </c>
      <c r="D406" s="5" t="s">
        <v>60</v>
      </c>
      <c r="E406" s="5" t="s">
        <v>62</v>
      </c>
      <c r="F406" s="5" t="s">
        <v>8217</v>
      </c>
    </row>
    <row r="407" customFormat="false" ht="15" hidden="false" customHeight="false" outlineLevel="0" collapsed="false">
      <c r="A407" s="5" t="s">
        <v>1030</v>
      </c>
      <c r="B407" s="2" t="s">
        <v>1031</v>
      </c>
      <c r="C407" s="5" t="s">
        <v>488</v>
      </c>
      <c r="D407" s="5" t="s">
        <v>60</v>
      </c>
      <c r="E407" s="5" t="s">
        <v>62</v>
      </c>
      <c r="F407" s="5" t="s">
        <v>2349</v>
      </c>
    </row>
    <row r="408" customFormat="false" ht="15" hidden="false" customHeight="false" outlineLevel="0" collapsed="false">
      <c r="A408" s="5" t="s">
        <v>1037</v>
      </c>
      <c r="B408" s="2" t="s">
        <v>1038</v>
      </c>
      <c r="C408" s="5" t="s">
        <v>488</v>
      </c>
      <c r="D408" s="5" t="s">
        <v>60</v>
      </c>
      <c r="E408" s="5" t="s">
        <v>62</v>
      </c>
      <c r="F408" s="5" t="s">
        <v>492</v>
      </c>
    </row>
    <row r="409" customFormat="false" ht="15" hidden="false" customHeight="false" outlineLevel="0" collapsed="false">
      <c r="A409" s="5" t="s">
        <v>1037</v>
      </c>
      <c r="B409" s="2" t="s">
        <v>1038</v>
      </c>
      <c r="C409" s="5" t="s">
        <v>488</v>
      </c>
      <c r="D409" s="5" t="s">
        <v>60</v>
      </c>
      <c r="E409" s="5" t="s">
        <v>62</v>
      </c>
      <c r="F409" s="5" t="s">
        <v>8232</v>
      </c>
    </row>
    <row r="410" customFormat="false" ht="15" hidden="false" customHeight="false" outlineLevel="0" collapsed="false">
      <c r="A410" s="5" t="s">
        <v>1037</v>
      </c>
      <c r="B410" s="2" t="s">
        <v>1038</v>
      </c>
      <c r="C410" s="5" t="s">
        <v>488</v>
      </c>
      <c r="D410" s="5" t="s">
        <v>60</v>
      </c>
      <c r="E410" s="5" t="s">
        <v>62</v>
      </c>
      <c r="F410" s="5" t="s">
        <v>526</v>
      </c>
    </row>
    <row r="411" customFormat="false" ht="15" hidden="false" customHeight="false" outlineLevel="0" collapsed="false">
      <c r="A411" s="5" t="s">
        <v>1037</v>
      </c>
      <c r="B411" s="2" t="s">
        <v>1038</v>
      </c>
      <c r="C411" s="5" t="s">
        <v>488</v>
      </c>
      <c r="D411" s="5" t="s">
        <v>60</v>
      </c>
      <c r="E411" s="5" t="s">
        <v>62</v>
      </c>
      <c r="F411" s="5" t="s">
        <v>8220</v>
      </c>
    </row>
    <row r="412" customFormat="false" ht="15" hidden="false" customHeight="false" outlineLevel="0" collapsed="false">
      <c r="A412" s="5" t="s">
        <v>1037</v>
      </c>
      <c r="B412" s="2" t="s">
        <v>1038</v>
      </c>
      <c r="C412" s="5" t="s">
        <v>488</v>
      </c>
      <c r="D412" s="5" t="s">
        <v>60</v>
      </c>
      <c r="E412" s="5" t="s">
        <v>62</v>
      </c>
      <c r="F412" s="5" t="s">
        <v>8222</v>
      </c>
    </row>
    <row r="413" customFormat="false" ht="15" hidden="false" customHeight="false" outlineLevel="0" collapsed="false">
      <c r="A413" s="5" t="s">
        <v>1037</v>
      </c>
      <c r="B413" s="2" t="s">
        <v>1038</v>
      </c>
      <c r="C413" s="5" t="s">
        <v>488</v>
      </c>
      <c r="D413" s="5" t="s">
        <v>60</v>
      </c>
      <c r="E413" s="5" t="s">
        <v>62</v>
      </c>
      <c r="F413" s="5" t="s">
        <v>8224</v>
      </c>
    </row>
    <row r="414" customFormat="false" ht="15" hidden="false" customHeight="false" outlineLevel="0" collapsed="false">
      <c r="A414" s="5" t="s">
        <v>1037</v>
      </c>
      <c r="B414" s="2" t="s">
        <v>1038</v>
      </c>
      <c r="C414" s="5" t="s">
        <v>488</v>
      </c>
      <c r="D414" s="5" t="s">
        <v>60</v>
      </c>
      <c r="E414" s="5" t="s">
        <v>62</v>
      </c>
      <c r="F414" s="5" t="s">
        <v>8226</v>
      </c>
    </row>
    <row r="415" customFormat="false" ht="15" hidden="false" customHeight="false" outlineLevel="0" collapsed="false">
      <c r="A415" s="5" t="s">
        <v>1037</v>
      </c>
      <c r="B415" s="2" t="s">
        <v>1038</v>
      </c>
      <c r="C415" s="5" t="s">
        <v>488</v>
      </c>
      <c r="D415" s="5" t="s">
        <v>60</v>
      </c>
      <c r="E415" s="5" t="s">
        <v>62</v>
      </c>
      <c r="F415" s="5" t="s">
        <v>8233</v>
      </c>
    </row>
    <row r="416" customFormat="false" ht="15" hidden="false" customHeight="false" outlineLevel="0" collapsed="false">
      <c r="A416" s="5" t="s">
        <v>1037</v>
      </c>
      <c r="B416" s="2" t="s">
        <v>1038</v>
      </c>
      <c r="C416" s="5" t="s">
        <v>488</v>
      </c>
      <c r="D416" s="5" t="s">
        <v>60</v>
      </c>
      <c r="E416" s="5" t="s">
        <v>62</v>
      </c>
      <c r="F416" s="5" t="s">
        <v>8234</v>
      </c>
    </row>
    <row r="417" customFormat="false" ht="15" hidden="false" customHeight="false" outlineLevel="0" collapsed="false">
      <c r="A417" s="5" t="s">
        <v>1037</v>
      </c>
      <c r="B417" s="2" t="s">
        <v>1038</v>
      </c>
      <c r="C417" s="5" t="s">
        <v>488</v>
      </c>
      <c r="D417" s="5" t="s">
        <v>60</v>
      </c>
      <c r="E417" s="5" t="s">
        <v>62</v>
      </c>
      <c r="F417" s="5" t="s">
        <v>8235</v>
      </c>
    </row>
    <row r="418" customFormat="false" ht="15" hidden="false" customHeight="false" outlineLevel="0" collapsed="false">
      <c r="A418" s="5" t="s">
        <v>1037</v>
      </c>
      <c r="B418" s="2" t="s">
        <v>1038</v>
      </c>
      <c r="C418" s="5" t="s">
        <v>488</v>
      </c>
      <c r="D418" s="5" t="s">
        <v>60</v>
      </c>
      <c r="E418" s="5" t="s">
        <v>62</v>
      </c>
      <c r="F418" s="5" t="s">
        <v>8227</v>
      </c>
    </row>
    <row r="419" customFormat="false" ht="15" hidden="false" customHeight="false" outlineLevel="0" collapsed="false">
      <c r="A419" s="5" t="s">
        <v>1037</v>
      </c>
      <c r="B419" s="2" t="s">
        <v>1038</v>
      </c>
      <c r="C419" s="5" t="s">
        <v>488</v>
      </c>
      <c r="D419" s="5" t="s">
        <v>60</v>
      </c>
      <c r="E419" s="5" t="s">
        <v>62</v>
      </c>
      <c r="F419" s="5" t="s">
        <v>8236</v>
      </c>
    </row>
    <row r="420" customFormat="false" ht="15" hidden="false" customHeight="false" outlineLevel="0" collapsed="false">
      <c r="A420" s="5" t="s">
        <v>1037</v>
      </c>
      <c r="B420" s="2" t="s">
        <v>1038</v>
      </c>
      <c r="C420" s="5" t="s">
        <v>488</v>
      </c>
      <c r="D420" s="5" t="s">
        <v>60</v>
      </c>
      <c r="E420" s="5" t="s">
        <v>62</v>
      </c>
      <c r="F420" s="5" t="s">
        <v>8217</v>
      </c>
    </row>
    <row r="421" customFormat="false" ht="15" hidden="false" customHeight="false" outlineLevel="0" collapsed="false">
      <c r="A421" s="5" t="s">
        <v>1037</v>
      </c>
      <c r="B421" s="2" t="s">
        <v>1038</v>
      </c>
      <c r="C421" s="5" t="s">
        <v>488</v>
      </c>
      <c r="D421" s="5" t="s">
        <v>60</v>
      </c>
      <c r="E421" s="5" t="s">
        <v>62</v>
      </c>
      <c r="F421" s="5" t="s">
        <v>2349</v>
      </c>
    </row>
    <row r="422" customFormat="false" ht="15" hidden="false" customHeight="false" outlineLevel="0" collapsed="false">
      <c r="A422" s="5" t="s">
        <v>1037</v>
      </c>
      <c r="B422" s="2" t="s">
        <v>1038</v>
      </c>
      <c r="C422" s="5" t="s">
        <v>488</v>
      </c>
      <c r="D422" s="5" t="s">
        <v>60</v>
      </c>
      <c r="E422" s="5" t="s">
        <v>62</v>
      </c>
      <c r="F422" s="5" t="s">
        <v>8218</v>
      </c>
    </row>
    <row r="423" customFormat="false" ht="15" hidden="false" customHeight="false" outlineLevel="0" collapsed="false">
      <c r="A423" s="5" t="s">
        <v>1037</v>
      </c>
      <c r="B423" s="2" t="s">
        <v>1038</v>
      </c>
      <c r="C423" s="5" t="s">
        <v>488</v>
      </c>
      <c r="D423" s="5" t="s">
        <v>60</v>
      </c>
      <c r="E423" s="5" t="s">
        <v>62</v>
      </c>
      <c r="F423" s="5" t="s">
        <v>8219</v>
      </c>
    </row>
    <row r="424" customFormat="false" ht="15" hidden="false" customHeight="false" outlineLevel="0" collapsed="false">
      <c r="A424" s="5" t="s">
        <v>1037</v>
      </c>
      <c r="B424" s="2" t="s">
        <v>1038</v>
      </c>
      <c r="C424" s="5" t="s">
        <v>488</v>
      </c>
      <c r="D424" s="5" t="s">
        <v>60</v>
      </c>
      <c r="E424" s="5" t="s">
        <v>62</v>
      </c>
      <c r="F424" s="5" t="s">
        <v>8237</v>
      </c>
    </row>
    <row r="425" customFormat="false" ht="15" hidden="false" customHeight="false" outlineLevel="0" collapsed="false">
      <c r="A425" s="5" t="s">
        <v>1037</v>
      </c>
      <c r="B425" s="2" t="s">
        <v>1038</v>
      </c>
      <c r="C425" s="5" t="s">
        <v>488</v>
      </c>
      <c r="D425" s="5" t="s">
        <v>60</v>
      </c>
      <c r="E425" s="5" t="s">
        <v>62</v>
      </c>
      <c r="F425" s="5" t="s">
        <v>502</v>
      </c>
    </row>
    <row r="426" customFormat="false" ht="15" hidden="false" customHeight="false" outlineLevel="0" collapsed="false">
      <c r="A426" s="5" t="s">
        <v>1037</v>
      </c>
      <c r="B426" s="2" t="s">
        <v>1038</v>
      </c>
      <c r="C426" s="5" t="s">
        <v>488</v>
      </c>
      <c r="D426" s="5" t="s">
        <v>60</v>
      </c>
      <c r="E426" s="5" t="s">
        <v>62</v>
      </c>
      <c r="F426" s="5" t="s">
        <v>8238</v>
      </c>
    </row>
    <row r="427" customFormat="false" ht="15" hidden="false" customHeight="false" outlineLevel="0" collapsed="false">
      <c r="A427" s="5" t="s">
        <v>1037</v>
      </c>
      <c r="B427" s="2" t="s">
        <v>1038</v>
      </c>
      <c r="C427" s="5" t="s">
        <v>488</v>
      </c>
      <c r="D427" s="5" t="s">
        <v>60</v>
      </c>
      <c r="E427" s="5" t="s">
        <v>62</v>
      </c>
      <c r="F427" s="5" t="s">
        <v>8239</v>
      </c>
    </row>
    <row r="428" customFormat="false" ht="15" hidden="false" customHeight="false" outlineLevel="0" collapsed="false">
      <c r="A428" s="5" t="s">
        <v>1037</v>
      </c>
      <c r="B428" s="2" t="s">
        <v>1038</v>
      </c>
      <c r="C428" s="5" t="s">
        <v>488</v>
      </c>
      <c r="D428" s="5" t="s">
        <v>60</v>
      </c>
      <c r="E428" s="5" t="s">
        <v>62</v>
      </c>
      <c r="F428" s="5" t="s">
        <v>5328</v>
      </c>
    </row>
    <row r="429" customFormat="false" ht="15" hidden="false" customHeight="false" outlineLevel="0" collapsed="false">
      <c r="A429" s="5" t="s">
        <v>1037</v>
      </c>
      <c r="B429" s="2" t="s">
        <v>1038</v>
      </c>
      <c r="C429" s="5" t="s">
        <v>488</v>
      </c>
      <c r="D429" s="5" t="s">
        <v>60</v>
      </c>
      <c r="E429" s="5" t="s">
        <v>62</v>
      </c>
      <c r="F429" s="5" t="s">
        <v>8240</v>
      </c>
    </row>
    <row r="430" customFormat="false" ht="15" hidden="false" customHeight="false" outlineLevel="0" collapsed="false">
      <c r="A430" s="5" t="s">
        <v>1037</v>
      </c>
      <c r="B430" s="2" t="s">
        <v>1038</v>
      </c>
      <c r="C430" s="5" t="s">
        <v>488</v>
      </c>
      <c r="D430" s="5" t="s">
        <v>60</v>
      </c>
      <c r="E430" s="5" t="s">
        <v>62</v>
      </c>
      <c r="F430" s="5" t="s">
        <v>8228</v>
      </c>
    </row>
    <row r="431" customFormat="false" ht="15" hidden="false" customHeight="false" outlineLevel="0" collapsed="false">
      <c r="A431" s="5" t="s">
        <v>1037</v>
      </c>
      <c r="B431" s="2" t="s">
        <v>1038</v>
      </c>
      <c r="C431" s="5" t="s">
        <v>488</v>
      </c>
      <c r="D431" s="5" t="s">
        <v>60</v>
      </c>
      <c r="E431" s="5" t="s">
        <v>62</v>
      </c>
      <c r="F431" s="5" t="s">
        <v>741</v>
      </c>
    </row>
    <row r="432" customFormat="false" ht="23.85" hidden="false" customHeight="false" outlineLevel="0" collapsed="false">
      <c r="A432" s="5" t="s">
        <v>1048</v>
      </c>
      <c r="B432" s="2" t="s">
        <v>1049</v>
      </c>
      <c r="C432" s="5" t="s">
        <v>488</v>
      </c>
      <c r="D432" s="5" t="s">
        <v>60</v>
      </c>
      <c r="E432" s="5" t="s">
        <v>62</v>
      </c>
      <c r="F432" s="5" t="s">
        <v>492</v>
      </c>
    </row>
    <row r="433" customFormat="false" ht="23.85" hidden="false" customHeight="false" outlineLevel="0" collapsed="false">
      <c r="A433" s="5" t="s">
        <v>1048</v>
      </c>
      <c r="B433" s="2" t="s">
        <v>1049</v>
      </c>
      <c r="C433" s="5" t="s">
        <v>488</v>
      </c>
      <c r="D433" s="5" t="s">
        <v>60</v>
      </c>
      <c r="E433" s="5" t="s">
        <v>62</v>
      </c>
      <c r="F433" s="5" t="s">
        <v>8232</v>
      </c>
    </row>
    <row r="434" customFormat="false" ht="23.85" hidden="false" customHeight="false" outlineLevel="0" collapsed="false">
      <c r="A434" s="5" t="s">
        <v>1048</v>
      </c>
      <c r="B434" s="2" t="s">
        <v>1049</v>
      </c>
      <c r="C434" s="5" t="s">
        <v>488</v>
      </c>
      <c r="D434" s="5" t="s">
        <v>60</v>
      </c>
      <c r="E434" s="5" t="s">
        <v>62</v>
      </c>
      <c r="F434" s="5" t="s">
        <v>526</v>
      </c>
    </row>
    <row r="435" customFormat="false" ht="23.85" hidden="false" customHeight="false" outlineLevel="0" collapsed="false">
      <c r="A435" s="5" t="s">
        <v>1048</v>
      </c>
      <c r="B435" s="2" t="s">
        <v>1049</v>
      </c>
      <c r="C435" s="5" t="s">
        <v>488</v>
      </c>
      <c r="D435" s="5" t="s">
        <v>60</v>
      </c>
      <c r="E435" s="5" t="s">
        <v>62</v>
      </c>
      <c r="F435" s="5" t="s">
        <v>8220</v>
      </c>
    </row>
    <row r="436" customFormat="false" ht="23.85" hidden="false" customHeight="false" outlineLevel="0" collapsed="false">
      <c r="A436" s="5" t="s">
        <v>1048</v>
      </c>
      <c r="B436" s="2" t="s">
        <v>1049</v>
      </c>
      <c r="C436" s="5" t="s">
        <v>488</v>
      </c>
      <c r="D436" s="5" t="s">
        <v>60</v>
      </c>
      <c r="E436" s="5" t="s">
        <v>62</v>
      </c>
      <c r="F436" s="5" t="s">
        <v>8222</v>
      </c>
    </row>
    <row r="437" customFormat="false" ht="23.85" hidden="false" customHeight="false" outlineLevel="0" collapsed="false">
      <c r="A437" s="5" t="s">
        <v>1048</v>
      </c>
      <c r="B437" s="2" t="s">
        <v>1049</v>
      </c>
      <c r="C437" s="5" t="s">
        <v>488</v>
      </c>
      <c r="D437" s="5" t="s">
        <v>60</v>
      </c>
      <c r="E437" s="5" t="s">
        <v>62</v>
      </c>
      <c r="F437" s="5" t="s">
        <v>8224</v>
      </c>
    </row>
    <row r="438" customFormat="false" ht="23.85" hidden="false" customHeight="false" outlineLevel="0" collapsed="false">
      <c r="A438" s="5" t="s">
        <v>1048</v>
      </c>
      <c r="B438" s="2" t="s">
        <v>1049</v>
      </c>
      <c r="C438" s="5" t="s">
        <v>488</v>
      </c>
      <c r="D438" s="5" t="s">
        <v>60</v>
      </c>
      <c r="E438" s="5" t="s">
        <v>62</v>
      </c>
      <c r="F438" s="5" t="s">
        <v>8226</v>
      </c>
    </row>
    <row r="439" customFormat="false" ht="23.85" hidden="false" customHeight="false" outlineLevel="0" collapsed="false">
      <c r="A439" s="5" t="s">
        <v>1048</v>
      </c>
      <c r="B439" s="2" t="s">
        <v>1049</v>
      </c>
      <c r="C439" s="5" t="s">
        <v>488</v>
      </c>
      <c r="D439" s="5" t="s">
        <v>60</v>
      </c>
      <c r="E439" s="5" t="s">
        <v>62</v>
      </c>
      <c r="F439" s="5" t="s">
        <v>8233</v>
      </c>
    </row>
    <row r="440" customFormat="false" ht="23.85" hidden="false" customHeight="false" outlineLevel="0" collapsed="false">
      <c r="A440" s="5" t="s">
        <v>1048</v>
      </c>
      <c r="B440" s="2" t="s">
        <v>1049</v>
      </c>
      <c r="C440" s="5" t="s">
        <v>488</v>
      </c>
      <c r="D440" s="5" t="s">
        <v>60</v>
      </c>
      <c r="E440" s="5" t="s">
        <v>62</v>
      </c>
      <c r="F440" s="5" t="s">
        <v>8234</v>
      </c>
    </row>
    <row r="441" customFormat="false" ht="23.85" hidden="false" customHeight="false" outlineLevel="0" collapsed="false">
      <c r="A441" s="5" t="s">
        <v>1048</v>
      </c>
      <c r="B441" s="2" t="s">
        <v>1049</v>
      </c>
      <c r="C441" s="5" t="s">
        <v>488</v>
      </c>
      <c r="D441" s="5" t="s">
        <v>60</v>
      </c>
      <c r="E441" s="5" t="s">
        <v>62</v>
      </c>
      <c r="F441" s="5" t="s">
        <v>8235</v>
      </c>
    </row>
    <row r="442" customFormat="false" ht="23.85" hidden="false" customHeight="false" outlineLevel="0" collapsed="false">
      <c r="A442" s="5" t="s">
        <v>1048</v>
      </c>
      <c r="B442" s="2" t="s">
        <v>1049</v>
      </c>
      <c r="C442" s="5" t="s">
        <v>488</v>
      </c>
      <c r="D442" s="5" t="s">
        <v>60</v>
      </c>
      <c r="E442" s="5" t="s">
        <v>62</v>
      </c>
      <c r="F442" s="5" t="s">
        <v>8227</v>
      </c>
    </row>
    <row r="443" customFormat="false" ht="23.85" hidden="false" customHeight="false" outlineLevel="0" collapsed="false">
      <c r="A443" s="5" t="s">
        <v>1048</v>
      </c>
      <c r="B443" s="2" t="s">
        <v>1049</v>
      </c>
      <c r="C443" s="5" t="s">
        <v>488</v>
      </c>
      <c r="D443" s="5" t="s">
        <v>60</v>
      </c>
      <c r="E443" s="5" t="s">
        <v>62</v>
      </c>
      <c r="F443" s="5" t="s">
        <v>8236</v>
      </c>
    </row>
    <row r="444" customFormat="false" ht="23.85" hidden="false" customHeight="false" outlineLevel="0" collapsed="false">
      <c r="A444" s="5" t="s">
        <v>1048</v>
      </c>
      <c r="B444" s="2" t="s">
        <v>1049</v>
      </c>
      <c r="C444" s="5" t="s">
        <v>488</v>
      </c>
      <c r="D444" s="5" t="s">
        <v>60</v>
      </c>
      <c r="E444" s="5" t="s">
        <v>62</v>
      </c>
      <c r="F444" s="5" t="s">
        <v>8217</v>
      </c>
    </row>
    <row r="445" customFormat="false" ht="23.85" hidden="false" customHeight="false" outlineLevel="0" collapsed="false">
      <c r="A445" s="5" t="s">
        <v>1048</v>
      </c>
      <c r="B445" s="2" t="s">
        <v>1049</v>
      </c>
      <c r="C445" s="5" t="s">
        <v>488</v>
      </c>
      <c r="D445" s="5" t="s">
        <v>60</v>
      </c>
      <c r="E445" s="5" t="s">
        <v>62</v>
      </c>
      <c r="F445" s="5" t="s">
        <v>2349</v>
      </c>
    </row>
    <row r="446" customFormat="false" ht="23.85" hidden="false" customHeight="false" outlineLevel="0" collapsed="false">
      <c r="A446" s="5" t="s">
        <v>1048</v>
      </c>
      <c r="B446" s="2" t="s">
        <v>1049</v>
      </c>
      <c r="C446" s="5" t="s">
        <v>488</v>
      </c>
      <c r="D446" s="5" t="s">
        <v>60</v>
      </c>
      <c r="E446" s="5" t="s">
        <v>62</v>
      </c>
      <c r="F446" s="5" t="s">
        <v>8218</v>
      </c>
    </row>
    <row r="447" customFormat="false" ht="23.85" hidden="false" customHeight="false" outlineLevel="0" collapsed="false">
      <c r="A447" s="5" t="s">
        <v>1048</v>
      </c>
      <c r="B447" s="2" t="s">
        <v>1049</v>
      </c>
      <c r="C447" s="5" t="s">
        <v>488</v>
      </c>
      <c r="D447" s="5" t="s">
        <v>60</v>
      </c>
      <c r="E447" s="5" t="s">
        <v>62</v>
      </c>
      <c r="F447" s="5" t="s">
        <v>8219</v>
      </c>
    </row>
    <row r="448" customFormat="false" ht="23.85" hidden="false" customHeight="false" outlineLevel="0" collapsed="false">
      <c r="A448" s="5" t="s">
        <v>1048</v>
      </c>
      <c r="B448" s="2" t="s">
        <v>1049</v>
      </c>
      <c r="C448" s="5" t="s">
        <v>488</v>
      </c>
      <c r="D448" s="5" t="s">
        <v>60</v>
      </c>
      <c r="E448" s="5" t="s">
        <v>62</v>
      </c>
      <c r="F448" s="5" t="s">
        <v>8237</v>
      </c>
    </row>
    <row r="449" customFormat="false" ht="23.85" hidden="false" customHeight="false" outlineLevel="0" collapsed="false">
      <c r="A449" s="5" t="s">
        <v>1048</v>
      </c>
      <c r="B449" s="2" t="s">
        <v>1049</v>
      </c>
      <c r="C449" s="5" t="s">
        <v>488</v>
      </c>
      <c r="D449" s="5" t="s">
        <v>60</v>
      </c>
      <c r="E449" s="5" t="s">
        <v>62</v>
      </c>
      <c r="F449" s="5" t="s">
        <v>502</v>
      </c>
    </row>
    <row r="450" customFormat="false" ht="23.85" hidden="false" customHeight="false" outlineLevel="0" collapsed="false">
      <c r="A450" s="5" t="s">
        <v>1048</v>
      </c>
      <c r="B450" s="2" t="s">
        <v>1049</v>
      </c>
      <c r="C450" s="5" t="s">
        <v>488</v>
      </c>
      <c r="D450" s="5" t="s">
        <v>60</v>
      </c>
      <c r="E450" s="5" t="s">
        <v>62</v>
      </c>
      <c r="F450" s="5" t="s">
        <v>8238</v>
      </c>
    </row>
    <row r="451" customFormat="false" ht="23.85" hidden="false" customHeight="false" outlineLevel="0" collapsed="false">
      <c r="A451" s="5" t="s">
        <v>1048</v>
      </c>
      <c r="B451" s="2" t="s">
        <v>1049</v>
      </c>
      <c r="C451" s="5" t="s">
        <v>488</v>
      </c>
      <c r="D451" s="5" t="s">
        <v>60</v>
      </c>
      <c r="E451" s="5" t="s">
        <v>62</v>
      </c>
      <c r="F451" s="5" t="s">
        <v>8239</v>
      </c>
    </row>
    <row r="452" customFormat="false" ht="23.85" hidden="false" customHeight="false" outlineLevel="0" collapsed="false">
      <c r="A452" s="5" t="s">
        <v>1048</v>
      </c>
      <c r="B452" s="2" t="s">
        <v>1049</v>
      </c>
      <c r="C452" s="5" t="s">
        <v>488</v>
      </c>
      <c r="D452" s="5" t="s">
        <v>60</v>
      </c>
      <c r="E452" s="5" t="s">
        <v>62</v>
      </c>
      <c r="F452" s="5" t="s">
        <v>5328</v>
      </c>
    </row>
    <row r="453" customFormat="false" ht="23.85" hidden="false" customHeight="false" outlineLevel="0" collapsed="false">
      <c r="A453" s="5" t="s">
        <v>1048</v>
      </c>
      <c r="B453" s="2" t="s">
        <v>1049</v>
      </c>
      <c r="C453" s="5" t="s">
        <v>488</v>
      </c>
      <c r="D453" s="5" t="s">
        <v>60</v>
      </c>
      <c r="E453" s="5" t="s">
        <v>62</v>
      </c>
      <c r="F453" s="5" t="s">
        <v>8240</v>
      </c>
    </row>
    <row r="454" customFormat="false" ht="23.85" hidden="false" customHeight="false" outlineLevel="0" collapsed="false">
      <c r="A454" s="5" t="s">
        <v>1048</v>
      </c>
      <c r="B454" s="2" t="s">
        <v>1049</v>
      </c>
      <c r="C454" s="5" t="s">
        <v>488</v>
      </c>
      <c r="D454" s="5" t="s">
        <v>60</v>
      </c>
      <c r="E454" s="5" t="s">
        <v>62</v>
      </c>
      <c r="F454" s="5" t="s">
        <v>8228</v>
      </c>
    </row>
    <row r="455" customFormat="false" ht="23.85" hidden="false" customHeight="false" outlineLevel="0" collapsed="false">
      <c r="A455" s="5" t="s">
        <v>1048</v>
      </c>
      <c r="B455" s="2" t="s">
        <v>1049</v>
      </c>
      <c r="C455" s="5" t="s">
        <v>488</v>
      </c>
      <c r="D455" s="5" t="s">
        <v>60</v>
      </c>
      <c r="E455" s="5" t="s">
        <v>62</v>
      </c>
      <c r="F455" s="5" t="s">
        <v>741</v>
      </c>
    </row>
    <row r="456" customFormat="false" ht="15" hidden="false" customHeight="false" outlineLevel="0" collapsed="false">
      <c r="A456" s="5" t="s">
        <v>1059</v>
      </c>
      <c r="B456" s="2" t="s">
        <v>1060</v>
      </c>
      <c r="C456" s="5" t="s">
        <v>488</v>
      </c>
      <c r="D456" s="5" t="s">
        <v>60</v>
      </c>
      <c r="E456" s="5" t="s">
        <v>62</v>
      </c>
      <c r="F456" s="5" t="s">
        <v>593</v>
      </c>
    </row>
    <row r="457" customFormat="false" ht="23.85" hidden="false" customHeight="false" outlineLevel="0" collapsed="false">
      <c r="A457" s="5" t="s">
        <v>1065</v>
      </c>
      <c r="B457" s="2" t="s">
        <v>1066</v>
      </c>
      <c r="C457" s="5" t="s">
        <v>488</v>
      </c>
      <c r="D457" s="5" t="s">
        <v>60</v>
      </c>
      <c r="E457" s="5" t="s">
        <v>62</v>
      </c>
      <c r="F457" s="5" t="s">
        <v>593</v>
      </c>
    </row>
    <row r="458" customFormat="false" ht="23.85" hidden="false" customHeight="false" outlineLevel="0" collapsed="false">
      <c r="A458" s="5" t="s">
        <v>1071</v>
      </c>
      <c r="B458" s="2" t="s">
        <v>1072</v>
      </c>
      <c r="C458" s="5" t="s">
        <v>488</v>
      </c>
      <c r="D458" s="5" t="s">
        <v>60</v>
      </c>
      <c r="E458" s="5" t="s">
        <v>62</v>
      </c>
      <c r="F458" s="5" t="s">
        <v>1073</v>
      </c>
    </row>
    <row r="459" customFormat="false" ht="15" hidden="false" customHeight="false" outlineLevel="0" collapsed="false">
      <c r="A459" s="5" t="s">
        <v>1079</v>
      </c>
      <c r="B459" s="2" t="s">
        <v>1080</v>
      </c>
      <c r="C459" s="5" t="s">
        <v>488</v>
      </c>
      <c r="D459" s="5" t="s">
        <v>60</v>
      </c>
      <c r="E459" s="5" t="s">
        <v>62</v>
      </c>
      <c r="F459" s="5" t="s">
        <v>1073</v>
      </c>
    </row>
    <row r="460" customFormat="false" ht="23.85" hidden="false" customHeight="false" outlineLevel="0" collapsed="false">
      <c r="A460" s="5" t="s">
        <v>1085</v>
      </c>
      <c r="B460" s="2" t="s">
        <v>1086</v>
      </c>
      <c r="C460" s="5" t="s">
        <v>488</v>
      </c>
      <c r="D460" s="5" t="s">
        <v>60</v>
      </c>
      <c r="E460" s="5" t="s">
        <v>62</v>
      </c>
      <c r="F460" s="5" t="s">
        <v>1088</v>
      </c>
    </row>
    <row r="461" customFormat="false" ht="23.85" hidden="false" customHeight="false" outlineLevel="0" collapsed="false">
      <c r="A461" s="5" t="s">
        <v>1095</v>
      </c>
      <c r="B461" s="2" t="s">
        <v>1096</v>
      </c>
      <c r="C461" s="5" t="s">
        <v>488</v>
      </c>
      <c r="D461" s="5" t="s">
        <v>60</v>
      </c>
      <c r="E461" s="5" t="s">
        <v>62</v>
      </c>
      <c r="F461" s="5" t="s">
        <v>184</v>
      </c>
    </row>
    <row r="462" customFormat="false" ht="23.85" hidden="false" customHeight="false" outlineLevel="0" collapsed="false">
      <c r="A462" s="5" t="s">
        <v>1102</v>
      </c>
      <c r="B462" s="2" t="s">
        <v>1103</v>
      </c>
      <c r="C462" s="5" t="s">
        <v>488</v>
      </c>
      <c r="D462" s="5" t="s">
        <v>60</v>
      </c>
      <c r="E462" s="5" t="s">
        <v>62</v>
      </c>
      <c r="F462" s="5" t="s">
        <v>367</v>
      </c>
    </row>
    <row r="463" customFormat="false" ht="23.85" hidden="false" customHeight="false" outlineLevel="0" collapsed="false">
      <c r="A463" s="5" t="s">
        <v>1111</v>
      </c>
      <c r="B463" s="2" t="s">
        <v>1112</v>
      </c>
      <c r="C463" s="5" t="s">
        <v>488</v>
      </c>
      <c r="D463" s="5" t="s">
        <v>60</v>
      </c>
      <c r="E463" s="5" t="s">
        <v>62</v>
      </c>
      <c r="F463" s="5" t="s">
        <v>184</v>
      </c>
    </row>
    <row r="464" customFormat="false" ht="15" hidden="false" customHeight="false" outlineLevel="0" collapsed="false">
      <c r="A464" s="5" t="s">
        <v>1121</v>
      </c>
      <c r="B464" s="2" t="s">
        <v>1122</v>
      </c>
      <c r="C464" s="5" t="s">
        <v>488</v>
      </c>
      <c r="D464" s="5" t="s">
        <v>60</v>
      </c>
      <c r="E464" s="5" t="s">
        <v>62</v>
      </c>
      <c r="F464" s="5" t="s">
        <v>184</v>
      </c>
    </row>
    <row r="465" customFormat="false" ht="15" hidden="false" customHeight="false" outlineLevel="0" collapsed="false">
      <c r="A465" s="5" t="s">
        <v>1130</v>
      </c>
      <c r="B465" s="2" t="s">
        <v>1131</v>
      </c>
      <c r="C465" s="5" t="s">
        <v>488</v>
      </c>
      <c r="D465" s="5" t="s">
        <v>60</v>
      </c>
      <c r="E465" s="5" t="s">
        <v>62</v>
      </c>
      <c r="F465" s="5" t="s">
        <v>184</v>
      </c>
    </row>
    <row r="466" customFormat="false" ht="23.85" hidden="false" customHeight="false" outlineLevel="0" collapsed="false">
      <c r="A466" s="5" t="s">
        <v>1136</v>
      </c>
      <c r="B466" s="2" t="s">
        <v>1137</v>
      </c>
      <c r="C466" s="5" t="s">
        <v>488</v>
      </c>
      <c r="D466" s="5" t="s">
        <v>60</v>
      </c>
      <c r="E466" s="5" t="s">
        <v>62</v>
      </c>
      <c r="F466" s="5" t="s">
        <v>367</v>
      </c>
    </row>
    <row r="467" customFormat="false" ht="23.85" hidden="false" customHeight="false" outlineLevel="0" collapsed="false">
      <c r="A467" s="5" t="s">
        <v>1142</v>
      </c>
      <c r="B467" s="2" t="s">
        <v>1143</v>
      </c>
      <c r="C467" s="5" t="s">
        <v>488</v>
      </c>
      <c r="D467" s="5" t="s">
        <v>60</v>
      </c>
      <c r="E467" s="5" t="s">
        <v>62</v>
      </c>
      <c r="F467" s="5" t="s">
        <v>184</v>
      </c>
    </row>
    <row r="468" customFormat="false" ht="23.85" hidden="false" customHeight="false" outlineLevel="0" collapsed="false">
      <c r="A468" s="5" t="s">
        <v>1152</v>
      </c>
      <c r="B468" s="2" t="s">
        <v>1153</v>
      </c>
      <c r="C468" s="5" t="s">
        <v>488</v>
      </c>
      <c r="D468" s="5" t="s">
        <v>60</v>
      </c>
      <c r="E468" s="5" t="s">
        <v>62</v>
      </c>
      <c r="F468" s="5" t="s">
        <v>367</v>
      </c>
    </row>
    <row r="469" customFormat="false" ht="15" hidden="false" customHeight="false" outlineLevel="0" collapsed="false">
      <c r="A469" s="5" t="s">
        <v>1158</v>
      </c>
      <c r="B469" s="2" t="s">
        <v>1159</v>
      </c>
      <c r="C469" s="5" t="s">
        <v>488</v>
      </c>
      <c r="D469" s="5" t="s">
        <v>60</v>
      </c>
      <c r="E469" s="5" t="s">
        <v>62</v>
      </c>
      <c r="F469" s="5" t="s">
        <v>367</v>
      </c>
    </row>
    <row r="470" customFormat="false" ht="15" hidden="false" customHeight="false" outlineLevel="0" collapsed="false">
      <c r="A470" s="5" t="s">
        <v>1166</v>
      </c>
      <c r="B470" s="2" t="s">
        <v>1167</v>
      </c>
      <c r="C470" s="5" t="s">
        <v>488</v>
      </c>
      <c r="D470" s="5" t="s">
        <v>60</v>
      </c>
      <c r="E470" s="5" t="s">
        <v>62</v>
      </c>
      <c r="F470" s="5" t="s">
        <v>367</v>
      </c>
    </row>
    <row r="471" customFormat="false" ht="23.85" hidden="false" customHeight="false" outlineLevel="0" collapsed="false">
      <c r="A471" s="5" t="s">
        <v>1172</v>
      </c>
      <c r="B471" s="2" t="s">
        <v>1173</v>
      </c>
      <c r="C471" s="5" t="s">
        <v>488</v>
      </c>
      <c r="D471" s="5" t="s">
        <v>60</v>
      </c>
      <c r="E471" s="5" t="s">
        <v>62</v>
      </c>
      <c r="F471" s="5" t="s">
        <v>367</v>
      </c>
    </row>
    <row r="472" customFormat="false" ht="23.85" hidden="false" customHeight="false" outlineLevel="0" collapsed="false">
      <c r="A472" s="5" t="s">
        <v>1179</v>
      </c>
      <c r="B472" s="2" t="s">
        <v>1180</v>
      </c>
      <c r="C472" s="5" t="s">
        <v>488</v>
      </c>
      <c r="D472" s="5" t="s">
        <v>60</v>
      </c>
      <c r="E472" s="5" t="s">
        <v>62</v>
      </c>
      <c r="F472" s="5" t="s">
        <v>367</v>
      </c>
    </row>
    <row r="473" customFormat="false" ht="15" hidden="false" customHeight="false" outlineLevel="0" collapsed="false">
      <c r="A473" s="5" t="s">
        <v>1184</v>
      </c>
      <c r="B473" s="2" t="s">
        <v>1185</v>
      </c>
      <c r="C473" s="5" t="s">
        <v>488</v>
      </c>
      <c r="D473" s="5" t="s">
        <v>60</v>
      </c>
      <c r="E473" s="5" t="s">
        <v>62</v>
      </c>
      <c r="F473" s="5" t="s">
        <v>367</v>
      </c>
    </row>
    <row r="474" customFormat="false" ht="15" hidden="false" customHeight="false" outlineLevel="0" collapsed="false">
      <c r="A474" s="5" t="s">
        <v>1189</v>
      </c>
      <c r="B474" s="2" t="s">
        <v>1190</v>
      </c>
      <c r="C474" s="5" t="s">
        <v>488</v>
      </c>
      <c r="D474" s="5" t="s">
        <v>60</v>
      </c>
      <c r="E474" s="5" t="s">
        <v>62</v>
      </c>
      <c r="F474" s="5" t="s">
        <v>367</v>
      </c>
    </row>
    <row r="475" customFormat="false" ht="23.85" hidden="false" customHeight="false" outlineLevel="0" collapsed="false">
      <c r="A475" s="5" t="s">
        <v>1196</v>
      </c>
      <c r="B475" s="2" t="s">
        <v>1197</v>
      </c>
      <c r="C475" s="5" t="s">
        <v>488</v>
      </c>
      <c r="D475" s="5" t="s">
        <v>60</v>
      </c>
      <c r="E475" s="5" t="s">
        <v>62</v>
      </c>
      <c r="F475" s="5" t="s">
        <v>184</v>
      </c>
    </row>
    <row r="476" customFormat="false" ht="23.85" hidden="false" customHeight="false" outlineLevel="0" collapsed="false">
      <c r="A476" s="5" t="s">
        <v>1204</v>
      </c>
      <c r="B476" s="2" t="s">
        <v>1205</v>
      </c>
      <c r="C476" s="5" t="s">
        <v>488</v>
      </c>
      <c r="D476" s="5" t="s">
        <v>60</v>
      </c>
      <c r="E476" s="5" t="s">
        <v>62</v>
      </c>
      <c r="F476" s="5" t="s">
        <v>415</v>
      </c>
    </row>
    <row r="477" customFormat="false" ht="23.85" hidden="false" customHeight="false" outlineLevel="0" collapsed="false">
      <c r="A477" s="5" t="s">
        <v>1208</v>
      </c>
      <c r="B477" s="2" t="s">
        <v>1209</v>
      </c>
      <c r="C477" s="5" t="s">
        <v>488</v>
      </c>
      <c r="D477" s="5" t="s">
        <v>60</v>
      </c>
      <c r="E477" s="5" t="s">
        <v>62</v>
      </c>
      <c r="F477" s="5" t="s">
        <v>367</v>
      </c>
    </row>
    <row r="478" customFormat="false" ht="15" hidden="false" customHeight="false" outlineLevel="0" collapsed="false">
      <c r="A478" s="5" t="s">
        <v>1218</v>
      </c>
      <c r="B478" s="2" t="s">
        <v>1219</v>
      </c>
      <c r="C478" s="5" t="s">
        <v>488</v>
      </c>
      <c r="D478" s="5" t="s">
        <v>60</v>
      </c>
      <c r="E478" s="5" t="s">
        <v>62</v>
      </c>
      <c r="F478" s="5" t="s">
        <v>367</v>
      </c>
    </row>
    <row r="479" customFormat="false" ht="15" hidden="false" customHeight="false" outlineLevel="0" collapsed="false">
      <c r="A479" s="5" t="s">
        <v>1228</v>
      </c>
      <c r="B479" s="2" t="s">
        <v>1229</v>
      </c>
      <c r="C479" s="5" t="s">
        <v>488</v>
      </c>
      <c r="D479" s="5" t="s">
        <v>60</v>
      </c>
      <c r="E479" s="5" t="s">
        <v>62</v>
      </c>
      <c r="F479" s="5" t="s">
        <v>367</v>
      </c>
    </row>
    <row r="480" customFormat="false" ht="15" hidden="false" customHeight="false" outlineLevel="0" collapsed="false">
      <c r="A480" s="5" t="s">
        <v>1233</v>
      </c>
      <c r="B480" s="2" t="s">
        <v>1234</v>
      </c>
      <c r="C480" s="5" t="s">
        <v>488</v>
      </c>
      <c r="D480" s="5" t="s">
        <v>60</v>
      </c>
      <c r="E480" s="5" t="s">
        <v>62</v>
      </c>
      <c r="F480" s="5" t="s">
        <v>184</v>
      </c>
    </row>
    <row r="481" customFormat="false" ht="23.85" hidden="false" customHeight="false" outlineLevel="0" collapsed="false">
      <c r="A481" s="5" t="s">
        <v>1240</v>
      </c>
      <c r="B481" s="2" t="s">
        <v>1241</v>
      </c>
      <c r="C481" s="5" t="s">
        <v>488</v>
      </c>
      <c r="D481" s="5" t="s">
        <v>60</v>
      </c>
      <c r="E481" s="5" t="s">
        <v>62</v>
      </c>
      <c r="F481" s="5" t="s">
        <v>184</v>
      </c>
    </row>
    <row r="482" customFormat="false" ht="15" hidden="false" customHeight="false" outlineLevel="0" collapsed="false">
      <c r="A482" s="5" t="s">
        <v>1246</v>
      </c>
      <c r="B482" s="2" t="s">
        <v>1247</v>
      </c>
      <c r="C482" s="5" t="s">
        <v>488</v>
      </c>
      <c r="D482" s="5" t="s">
        <v>60</v>
      </c>
      <c r="E482" s="5" t="s">
        <v>62</v>
      </c>
      <c r="F482" s="5" t="s">
        <v>367</v>
      </c>
    </row>
    <row r="483" customFormat="false" ht="15" hidden="false" customHeight="false" outlineLevel="0" collapsed="false">
      <c r="A483" s="5" t="s">
        <v>1252</v>
      </c>
      <c r="B483" s="2" t="s">
        <v>1253</v>
      </c>
      <c r="C483" s="5" t="s">
        <v>488</v>
      </c>
      <c r="D483" s="5" t="s">
        <v>60</v>
      </c>
      <c r="E483" s="5" t="s">
        <v>62</v>
      </c>
      <c r="F483" s="5" t="s">
        <v>1254</v>
      </c>
    </row>
    <row r="484" customFormat="false" ht="23.85" hidden="false" customHeight="false" outlineLevel="0" collapsed="false">
      <c r="A484" s="5" t="s">
        <v>1261</v>
      </c>
      <c r="B484" s="2" t="s">
        <v>1262</v>
      </c>
      <c r="C484" s="5" t="s">
        <v>488</v>
      </c>
      <c r="D484" s="5" t="s">
        <v>60</v>
      </c>
      <c r="E484" s="5" t="s">
        <v>62</v>
      </c>
      <c r="F484" s="5" t="s">
        <v>367</v>
      </c>
    </row>
    <row r="485" customFormat="false" ht="15" hidden="false" customHeight="false" outlineLevel="0" collapsed="false">
      <c r="A485" s="5" t="s">
        <v>1266</v>
      </c>
      <c r="B485" s="2" t="s">
        <v>1267</v>
      </c>
      <c r="C485" s="5" t="s">
        <v>488</v>
      </c>
      <c r="D485" s="5" t="s">
        <v>60</v>
      </c>
      <c r="E485" s="5" t="s">
        <v>62</v>
      </c>
      <c r="F485" s="5" t="s">
        <v>367</v>
      </c>
    </row>
    <row r="486" customFormat="false" ht="15" hidden="false" customHeight="false" outlineLevel="0" collapsed="false">
      <c r="A486" s="5" t="s">
        <v>1272</v>
      </c>
      <c r="B486" s="2" t="s">
        <v>1273</v>
      </c>
      <c r="C486" s="5" t="s">
        <v>488</v>
      </c>
      <c r="D486" s="5" t="s">
        <v>60</v>
      </c>
      <c r="E486" s="5" t="s">
        <v>62</v>
      </c>
      <c r="F486" s="5" t="s">
        <v>367</v>
      </c>
    </row>
    <row r="487" customFormat="false" ht="23.85" hidden="false" customHeight="false" outlineLevel="0" collapsed="false">
      <c r="A487" s="5" t="s">
        <v>1277</v>
      </c>
      <c r="B487" s="2" t="s">
        <v>1278</v>
      </c>
      <c r="C487" s="5" t="s">
        <v>488</v>
      </c>
      <c r="D487" s="5" t="s">
        <v>60</v>
      </c>
      <c r="E487" s="5" t="s">
        <v>62</v>
      </c>
      <c r="F487" s="5" t="s">
        <v>367</v>
      </c>
    </row>
    <row r="488" customFormat="false" ht="23.85" hidden="false" customHeight="false" outlineLevel="0" collapsed="false">
      <c r="A488" s="5" t="s">
        <v>1283</v>
      </c>
      <c r="B488" s="2" t="s">
        <v>1284</v>
      </c>
      <c r="C488" s="5" t="s">
        <v>488</v>
      </c>
      <c r="D488" s="5" t="s">
        <v>60</v>
      </c>
      <c r="E488" s="5" t="s">
        <v>62</v>
      </c>
      <c r="F488" s="5" t="s">
        <v>367</v>
      </c>
    </row>
    <row r="489" customFormat="false" ht="15" hidden="false" customHeight="false" outlineLevel="0" collapsed="false">
      <c r="A489" s="5" t="s">
        <v>1288</v>
      </c>
      <c r="B489" s="2" t="s">
        <v>1289</v>
      </c>
      <c r="C489" s="5" t="s">
        <v>488</v>
      </c>
      <c r="D489" s="5" t="s">
        <v>60</v>
      </c>
      <c r="E489" s="5" t="s">
        <v>62</v>
      </c>
      <c r="F489" s="5" t="s">
        <v>367</v>
      </c>
    </row>
    <row r="490" customFormat="false" ht="15" hidden="false" customHeight="false" outlineLevel="0" collapsed="false">
      <c r="A490" s="5" t="s">
        <v>1293</v>
      </c>
      <c r="B490" s="2" t="s">
        <v>1294</v>
      </c>
      <c r="C490" s="5" t="s">
        <v>488</v>
      </c>
      <c r="D490" s="5" t="s">
        <v>60</v>
      </c>
      <c r="E490" s="5" t="s">
        <v>62</v>
      </c>
      <c r="F490" s="5" t="s">
        <v>367</v>
      </c>
    </row>
    <row r="491" customFormat="false" ht="23.85" hidden="false" customHeight="false" outlineLevel="0" collapsed="false">
      <c r="A491" s="5" t="s">
        <v>1299</v>
      </c>
      <c r="B491" s="2" t="s">
        <v>1300</v>
      </c>
      <c r="C491" s="5" t="s">
        <v>488</v>
      </c>
      <c r="D491" s="5" t="s">
        <v>60</v>
      </c>
      <c r="E491" s="5" t="s">
        <v>62</v>
      </c>
      <c r="F491" s="5" t="s">
        <v>367</v>
      </c>
    </row>
    <row r="492" customFormat="false" ht="23.85" hidden="false" customHeight="false" outlineLevel="0" collapsed="false">
      <c r="A492" s="5" t="s">
        <v>1305</v>
      </c>
      <c r="B492" s="2" t="s">
        <v>1306</v>
      </c>
      <c r="C492" s="5" t="s">
        <v>488</v>
      </c>
      <c r="D492" s="5" t="s">
        <v>60</v>
      </c>
      <c r="E492" s="5" t="s">
        <v>62</v>
      </c>
      <c r="F492" s="5" t="s">
        <v>184</v>
      </c>
    </row>
    <row r="493" customFormat="false" ht="15" hidden="false" customHeight="false" outlineLevel="0" collapsed="false">
      <c r="A493" s="5" t="s">
        <v>1314</v>
      </c>
      <c r="B493" s="2" t="s">
        <v>1315</v>
      </c>
      <c r="C493" s="5" t="s">
        <v>488</v>
      </c>
      <c r="D493" s="5" t="s">
        <v>60</v>
      </c>
      <c r="E493" s="5" t="s">
        <v>62</v>
      </c>
      <c r="F493" s="5" t="s">
        <v>367</v>
      </c>
    </row>
    <row r="494" customFormat="false" ht="23.85" hidden="false" customHeight="false" outlineLevel="0" collapsed="false">
      <c r="A494" s="5" t="s">
        <v>1320</v>
      </c>
      <c r="B494" s="2" t="s">
        <v>1321</v>
      </c>
      <c r="C494" s="5" t="s">
        <v>488</v>
      </c>
      <c r="D494" s="5" t="s">
        <v>60</v>
      </c>
      <c r="E494" s="5" t="s">
        <v>62</v>
      </c>
      <c r="F494" s="5" t="s">
        <v>367</v>
      </c>
    </row>
    <row r="495" customFormat="false" ht="23.85" hidden="false" customHeight="false" outlineLevel="0" collapsed="false">
      <c r="A495" s="5" t="s">
        <v>1326</v>
      </c>
      <c r="B495" s="2" t="s">
        <v>1327</v>
      </c>
      <c r="C495" s="5" t="s">
        <v>488</v>
      </c>
      <c r="D495" s="5" t="s">
        <v>60</v>
      </c>
      <c r="E495" s="5" t="s">
        <v>62</v>
      </c>
      <c r="F495" s="5" t="s">
        <v>367</v>
      </c>
    </row>
    <row r="496" customFormat="false" ht="23.85" hidden="false" customHeight="false" outlineLevel="0" collapsed="false">
      <c r="A496" s="5" t="s">
        <v>1332</v>
      </c>
      <c r="B496" s="2" t="s">
        <v>1333</v>
      </c>
      <c r="C496" s="5" t="s">
        <v>488</v>
      </c>
      <c r="D496" s="5" t="s">
        <v>60</v>
      </c>
      <c r="E496" s="5" t="s">
        <v>62</v>
      </c>
      <c r="F496" s="5" t="s">
        <v>367</v>
      </c>
    </row>
    <row r="497" customFormat="false" ht="23.85" hidden="false" customHeight="false" outlineLevel="0" collapsed="false">
      <c r="A497" s="5" t="s">
        <v>1338</v>
      </c>
      <c r="B497" s="2" t="s">
        <v>1339</v>
      </c>
      <c r="C497" s="5" t="s">
        <v>488</v>
      </c>
      <c r="D497" s="5" t="s">
        <v>60</v>
      </c>
      <c r="E497" s="5" t="s">
        <v>62</v>
      </c>
      <c r="F497" s="5" t="s">
        <v>367</v>
      </c>
    </row>
    <row r="498" customFormat="false" ht="23.85" hidden="false" customHeight="false" outlineLevel="0" collapsed="false">
      <c r="A498" s="5" t="s">
        <v>1343</v>
      </c>
      <c r="B498" s="2" t="s">
        <v>1344</v>
      </c>
      <c r="C498" s="5" t="s">
        <v>488</v>
      </c>
      <c r="D498" s="5" t="s">
        <v>60</v>
      </c>
      <c r="E498" s="5" t="s">
        <v>62</v>
      </c>
      <c r="F498" s="5" t="s">
        <v>367</v>
      </c>
    </row>
    <row r="499" customFormat="false" ht="23.85" hidden="false" customHeight="false" outlineLevel="0" collapsed="false">
      <c r="A499" s="5" t="s">
        <v>1349</v>
      </c>
      <c r="B499" s="2" t="s">
        <v>1350</v>
      </c>
      <c r="C499" s="5" t="s">
        <v>488</v>
      </c>
      <c r="D499" s="5" t="s">
        <v>60</v>
      </c>
      <c r="E499" s="5" t="s">
        <v>62</v>
      </c>
      <c r="F499" s="5" t="s">
        <v>367</v>
      </c>
    </row>
    <row r="500" customFormat="false" ht="15" hidden="false" customHeight="false" outlineLevel="0" collapsed="false">
      <c r="A500" s="5" t="s">
        <v>1355</v>
      </c>
      <c r="B500" s="2" t="s">
        <v>1356</v>
      </c>
      <c r="C500" s="5" t="s">
        <v>488</v>
      </c>
      <c r="D500" s="5" t="s">
        <v>60</v>
      </c>
      <c r="E500" s="5" t="s">
        <v>62</v>
      </c>
      <c r="F500" s="5" t="s">
        <v>367</v>
      </c>
    </row>
    <row r="501" customFormat="false" ht="15" hidden="false" customHeight="false" outlineLevel="0" collapsed="false">
      <c r="A501" s="5" t="s">
        <v>1361</v>
      </c>
      <c r="B501" s="2" t="s">
        <v>1362</v>
      </c>
      <c r="C501" s="5" t="s">
        <v>488</v>
      </c>
      <c r="D501" s="5" t="s">
        <v>60</v>
      </c>
      <c r="E501" s="5" t="s">
        <v>62</v>
      </c>
      <c r="F501" s="5" t="s">
        <v>367</v>
      </c>
    </row>
    <row r="502" customFormat="false" ht="15" hidden="false" customHeight="false" outlineLevel="0" collapsed="false">
      <c r="A502" s="5" t="s">
        <v>1367</v>
      </c>
      <c r="B502" s="2" t="s">
        <v>1368</v>
      </c>
      <c r="C502" s="5" t="s">
        <v>488</v>
      </c>
      <c r="D502" s="5" t="s">
        <v>60</v>
      </c>
      <c r="E502" s="5" t="s">
        <v>62</v>
      </c>
      <c r="F502" s="5" t="s">
        <v>367</v>
      </c>
    </row>
    <row r="503" customFormat="false" ht="15" hidden="false" customHeight="false" outlineLevel="0" collapsed="false">
      <c r="A503" s="5" t="s">
        <v>1372</v>
      </c>
      <c r="B503" s="2" t="s">
        <v>1373</v>
      </c>
      <c r="C503" s="5" t="s">
        <v>488</v>
      </c>
      <c r="D503" s="5" t="s">
        <v>60</v>
      </c>
      <c r="E503" s="5" t="s">
        <v>62</v>
      </c>
      <c r="F503" s="5" t="s">
        <v>367</v>
      </c>
    </row>
    <row r="504" customFormat="false" ht="23.85" hidden="false" customHeight="false" outlineLevel="0" collapsed="false">
      <c r="A504" s="5" t="s">
        <v>1377</v>
      </c>
      <c r="B504" s="2" t="s">
        <v>1378</v>
      </c>
      <c r="C504" s="5" t="s">
        <v>488</v>
      </c>
      <c r="D504" s="5" t="s">
        <v>60</v>
      </c>
      <c r="E504" s="5" t="s">
        <v>62</v>
      </c>
      <c r="F504" s="5" t="s">
        <v>367</v>
      </c>
    </row>
    <row r="505" customFormat="false" ht="15" hidden="false" customHeight="false" outlineLevel="0" collapsed="false">
      <c r="A505" s="5" t="s">
        <v>1382</v>
      </c>
      <c r="B505" s="2" t="s">
        <v>1383</v>
      </c>
      <c r="C505" s="5" t="s">
        <v>488</v>
      </c>
      <c r="D505" s="5" t="s">
        <v>60</v>
      </c>
      <c r="E505" s="5" t="s">
        <v>62</v>
      </c>
      <c r="F505" s="5" t="s">
        <v>367</v>
      </c>
    </row>
    <row r="506" customFormat="false" ht="15" hidden="false" customHeight="false" outlineLevel="0" collapsed="false">
      <c r="A506" s="5" t="s">
        <v>1388</v>
      </c>
      <c r="B506" s="2" t="s">
        <v>1389</v>
      </c>
      <c r="C506" s="5" t="s">
        <v>488</v>
      </c>
      <c r="D506" s="5" t="s">
        <v>60</v>
      </c>
      <c r="E506" s="5" t="s">
        <v>62</v>
      </c>
      <c r="F506" s="5" t="s">
        <v>367</v>
      </c>
    </row>
    <row r="507" customFormat="false" ht="23.85" hidden="false" customHeight="false" outlineLevel="0" collapsed="false">
      <c r="A507" s="5" t="s">
        <v>1394</v>
      </c>
      <c r="B507" s="2" t="s">
        <v>1395</v>
      </c>
      <c r="C507" s="5" t="s">
        <v>488</v>
      </c>
      <c r="D507" s="5" t="s">
        <v>60</v>
      </c>
      <c r="E507" s="5" t="s">
        <v>62</v>
      </c>
      <c r="F507" s="5" t="s">
        <v>367</v>
      </c>
    </row>
    <row r="508" customFormat="false" ht="23.85" hidden="false" customHeight="false" outlineLevel="0" collapsed="false">
      <c r="A508" s="5" t="s">
        <v>1400</v>
      </c>
      <c r="B508" s="2" t="s">
        <v>1401</v>
      </c>
      <c r="C508" s="5" t="s">
        <v>488</v>
      </c>
      <c r="D508" s="5" t="s">
        <v>60</v>
      </c>
      <c r="E508" s="5" t="s">
        <v>62</v>
      </c>
      <c r="F508" s="5" t="s">
        <v>367</v>
      </c>
    </row>
    <row r="509" customFormat="false" ht="23.85" hidden="false" customHeight="false" outlineLevel="0" collapsed="false">
      <c r="A509" s="5" t="s">
        <v>1407</v>
      </c>
      <c r="B509" s="2" t="s">
        <v>1408</v>
      </c>
      <c r="C509" s="5" t="s">
        <v>488</v>
      </c>
      <c r="D509" s="5" t="s">
        <v>60</v>
      </c>
      <c r="E509" s="5" t="s">
        <v>62</v>
      </c>
      <c r="F509" s="5" t="s">
        <v>367</v>
      </c>
    </row>
    <row r="510" customFormat="false" ht="23.85" hidden="false" customHeight="false" outlineLevel="0" collapsed="false">
      <c r="A510" s="5" t="s">
        <v>1413</v>
      </c>
      <c r="B510" s="2" t="s">
        <v>1414</v>
      </c>
      <c r="C510" s="5" t="s">
        <v>488</v>
      </c>
      <c r="D510" s="5" t="s">
        <v>60</v>
      </c>
      <c r="E510" s="5" t="s">
        <v>62</v>
      </c>
      <c r="F510" s="5" t="s">
        <v>367</v>
      </c>
    </row>
    <row r="511" customFormat="false" ht="15" hidden="false" customHeight="false" outlineLevel="0" collapsed="false">
      <c r="A511" s="5" t="s">
        <v>1418</v>
      </c>
      <c r="B511" s="2" t="s">
        <v>1419</v>
      </c>
      <c r="C511" s="5" t="s">
        <v>488</v>
      </c>
      <c r="D511" s="5" t="s">
        <v>60</v>
      </c>
      <c r="E511" s="5" t="s">
        <v>62</v>
      </c>
      <c r="F511" s="5" t="s">
        <v>367</v>
      </c>
    </row>
    <row r="512" customFormat="false" ht="15" hidden="false" customHeight="false" outlineLevel="0" collapsed="false">
      <c r="A512" s="5" t="s">
        <v>1423</v>
      </c>
      <c r="B512" s="2" t="s">
        <v>1424</v>
      </c>
      <c r="C512" s="5" t="s">
        <v>488</v>
      </c>
      <c r="D512" s="5" t="s">
        <v>60</v>
      </c>
      <c r="E512" s="5" t="s">
        <v>62</v>
      </c>
      <c r="F512" s="5" t="s">
        <v>367</v>
      </c>
    </row>
    <row r="513" customFormat="false" ht="23.85" hidden="false" customHeight="false" outlineLevel="0" collapsed="false">
      <c r="A513" s="5" t="s">
        <v>1429</v>
      </c>
      <c r="B513" s="2" t="s">
        <v>1430</v>
      </c>
      <c r="C513" s="5" t="s">
        <v>488</v>
      </c>
      <c r="D513" s="5" t="s">
        <v>60</v>
      </c>
      <c r="E513" s="5" t="s">
        <v>62</v>
      </c>
      <c r="F513" s="5" t="s">
        <v>367</v>
      </c>
    </row>
    <row r="514" customFormat="false" ht="15" hidden="false" customHeight="false" outlineLevel="0" collapsed="false">
      <c r="A514" s="5" t="s">
        <v>1435</v>
      </c>
      <c r="B514" s="2" t="s">
        <v>1436</v>
      </c>
      <c r="C514" s="5" t="s">
        <v>488</v>
      </c>
      <c r="D514" s="5" t="s">
        <v>60</v>
      </c>
      <c r="E514" s="5" t="s">
        <v>62</v>
      </c>
      <c r="F514" s="5" t="s">
        <v>184</v>
      </c>
    </row>
    <row r="515" customFormat="false" ht="23.85" hidden="false" customHeight="false" outlineLevel="0" collapsed="false">
      <c r="A515" s="5" t="s">
        <v>1444</v>
      </c>
      <c r="B515" s="2" t="s">
        <v>1445</v>
      </c>
      <c r="C515" s="5" t="s">
        <v>488</v>
      </c>
      <c r="D515" s="5" t="s">
        <v>60</v>
      </c>
      <c r="E515" s="5" t="s">
        <v>62</v>
      </c>
      <c r="F515" s="5" t="s">
        <v>367</v>
      </c>
    </row>
    <row r="516" customFormat="false" ht="23.85" hidden="false" customHeight="false" outlineLevel="0" collapsed="false">
      <c r="A516" s="5" t="s">
        <v>1450</v>
      </c>
      <c r="B516" s="2" t="s">
        <v>1451</v>
      </c>
      <c r="C516" s="5" t="s">
        <v>488</v>
      </c>
      <c r="D516" s="5" t="s">
        <v>60</v>
      </c>
      <c r="E516" s="5" t="s">
        <v>62</v>
      </c>
      <c r="F516" s="5" t="s">
        <v>367</v>
      </c>
    </row>
    <row r="517" customFormat="false" ht="23.85" hidden="false" customHeight="false" outlineLevel="0" collapsed="false">
      <c r="A517" s="5" t="s">
        <v>1455</v>
      </c>
      <c r="B517" s="2" t="s">
        <v>1456</v>
      </c>
      <c r="C517" s="5" t="s">
        <v>488</v>
      </c>
      <c r="D517" s="5" t="s">
        <v>60</v>
      </c>
      <c r="E517" s="5" t="s">
        <v>62</v>
      </c>
      <c r="F517" s="5" t="s">
        <v>184</v>
      </c>
    </row>
    <row r="518" customFormat="false" ht="23.85" hidden="false" customHeight="false" outlineLevel="0" collapsed="false">
      <c r="A518" s="5" t="s">
        <v>1463</v>
      </c>
      <c r="B518" s="2" t="s">
        <v>1464</v>
      </c>
      <c r="C518" s="5" t="s">
        <v>488</v>
      </c>
      <c r="D518" s="5" t="s">
        <v>60</v>
      </c>
      <c r="E518" s="5" t="s">
        <v>62</v>
      </c>
      <c r="F518" s="5" t="s">
        <v>367</v>
      </c>
    </row>
    <row r="519" customFormat="false" ht="23.85" hidden="false" customHeight="false" outlineLevel="0" collapsed="false">
      <c r="A519" s="5" t="s">
        <v>1469</v>
      </c>
      <c r="B519" s="2" t="s">
        <v>1470</v>
      </c>
      <c r="C519" s="5" t="s">
        <v>488</v>
      </c>
      <c r="D519" s="5" t="s">
        <v>60</v>
      </c>
      <c r="E519" s="5" t="s">
        <v>62</v>
      </c>
      <c r="F519" s="5" t="s">
        <v>367</v>
      </c>
    </row>
    <row r="520" customFormat="false" ht="23.85" hidden="false" customHeight="false" outlineLevel="0" collapsed="false">
      <c r="A520" s="5" t="s">
        <v>1474</v>
      </c>
      <c r="B520" s="2" t="s">
        <v>1475</v>
      </c>
      <c r="C520" s="5" t="s">
        <v>488</v>
      </c>
      <c r="D520" s="5" t="s">
        <v>60</v>
      </c>
      <c r="E520" s="5" t="s">
        <v>62</v>
      </c>
      <c r="F520" s="5" t="s">
        <v>367</v>
      </c>
    </row>
    <row r="521" customFormat="false" ht="23.85" hidden="false" customHeight="false" outlineLevel="0" collapsed="false">
      <c r="A521" s="5" t="s">
        <v>1480</v>
      </c>
      <c r="B521" s="2" t="s">
        <v>1481</v>
      </c>
      <c r="C521" s="5" t="s">
        <v>488</v>
      </c>
      <c r="D521" s="5" t="s">
        <v>60</v>
      </c>
      <c r="E521" s="5" t="s">
        <v>62</v>
      </c>
      <c r="F521" s="5" t="s">
        <v>367</v>
      </c>
    </row>
    <row r="522" customFormat="false" ht="15" hidden="false" customHeight="false" outlineLevel="0" collapsed="false">
      <c r="A522" s="5" t="s">
        <v>1485</v>
      </c>
      <c r="B522" s="2" t="s">
        <v>1486</v>
      </c>
      <c r="C522" s="5" t="s">
        <v>488</v>
      </c>
      <c r="D522" s="5" t="s">
        <v>60</v>
      </c>
      <c r="E522" s="5" t="s">
        <v>62</v>
      </c>
      <c r="F522" s="5" t="s">
        <v>367</v>
      </c>
    </row>
    <row r="523" customFormat="false" ht="23.85" hidden="false" customHeight="false" outlineLevel="0" collapsed="false">
      <c r="A523" s="5" t="s">
        <v>1490</v>
      </c>
      <c r="B523" s="2" t="s">
        <v>1491</v>
      </c>
      <c r="C523" s="5" t="s">
        <v>488</v>
      </c>
      <c r="D523" s="5" t="s">
        <v>60</v>
      </c>
      <c r="E523" s="5" t="s">
        <v>62</v>
      </c>
      <c r="F523" s="5" t="s">
        <v>367</v>
      </c>
    </row>
    <row r="524" customFormat="false" ht="23.85" hidden="false" customHeight="false" outlineLevel="0" collapsed="false">
      <c r="A524" s="5" t="s">
        <v>1495</v>
      </c>
      <c r="B524" s="2" t="s">
        <v>1496</v>
      </c>
      <c r="C524" s="5" t="s">
        <v>488</v>
      </c>
      <c r="D524" s="5" t="s">
        <v>60</v>
      </c>
      <c r="E524" s="5" t="s">
        <v>62</v>
      </c>
      <c r="F524" s="5" t="s">
        <v>367</v>
      </c>
    </row>
    <row r="525" customFormat="false" ht="15" hidden="false" customHeight="false" outlineLevel="0" collapsed="false">
      <c r="A525" s="5" t="s">
        <v>1500</v>
      </c>
      <c r="B525" s="2" t="s">
        <v>1501</v>
      </c>
      <c r="C525" s="5" t="s">
        <v>488</v>
      </c>
      <c r="D525" s="5" t="s">
        <v>60</v>
      </c>
      <c r="E525" s="5" t="s">
        <v>62</v>
      </c>
      <c r="F525" s="5" t="s">
        <v>184</v>
      </c>
    </row>
    <row r="526" customFormat="false" ht="15" hidden="false" customHeight="false" outlineLevel="0" collapsed="false">
      <c r="A526" s="5" t="s">
        <v>1506</v>
      </c>
      <c r="B526" s="2" t="s">
        <v>1507</v>
      </c>
      <c r="C526" s="5" t="s">
        <v>488</v>
      </c>
      <c r="D526" s="5" t="s">
        <v>60</v>
      </c>
      <c r="E526" s="5" t="s">
        <v>62</v>
      </c>
      <c r="F526" s="5" t="s">
        <v>367</v>
      </c>
    </row>
    <row r="527" customFormat="false" ht="23.85" hidden="false" customHeight="false" outlineLevel="0" collapsed="false">
      <c r="A527" s="5" t="s">
        <v>1511</v>
      </c>
      <c r="B527" s="2" t="s">
        <v>1512</v>
      </c>
      <c r="C527" s="5" t="s">
        <v>488</v>
      </c>
      <c r="D527" s="5" t="s">
        <v>60</v>
      </c>
      <c r="E527" s="5" t="s">
        <v>62</v>
      </c>
      <c r="F527" s="5" t="s">
        <v>1513</v>
      </c>
    </row>
    <row r="528" customFormat="false" ht="23.85" hidden="false" customHeight="false" outlineLevel="0" collapsed="false">
      <c r="A528" s="5" t="s">
        <v>1519</v>
      </c>
      <c r="B528" s="2" t="s">
        <v>1520</v>
      </c>
      <c r="C528" s="5" t="s">
        <v>488</v>
      </c>
      <c r="D528" s="5" t="s">
        <v>60</v>
      </c>
      <c r="E528" s="5" t="s">
        <v>62</v>
      </c>
      <c r="F528" s="5" t="s">
        <v>367</v>
      </c>
    </row>
    <row r="529" customFormat="false" ht="23.85" hidden="false" customHeight="false" outlineLevel="0" collapsed="false">
      <c r="A529" s="5" t="s">
        <v>1524</v>
      </c>
      <c r="B529" s="2" t="s">
        <v>1525</v>
      </c>
      <c r="C529" s="5" t="s">
        <v>488</v>
      </c>
      <c r="D529" s="5" t="s">
        <v>60</v>
      </c>
      <c r="E529" s="5" t="s">
        <v>62</v>
      </c>
      <c r="F529" s="5" t="s">
        <v>367</v>
      </c>
    </row>
    <row r="530" customFormat="false" ht="23.85" hidden="false" customHeight="false" outlineLevel="0" collapsed="false">
      <c r="A530" s="5" t="s">
        <v>1529</v>
      </c>
      <c r="B530" s="2" t="s">
        <v>1530</v>
      </c>
      <c r="C530" s="5" t="s">
        <v>488</v>
      </c>
      <c r="D530" s="5" t="s">
        <v>60</v>
      </c>
      <c r="E530" s="5" t="s">
        <v>62</v>
      </c>
      <c r="F530" s="5" t="s">
        <v>184</v>
      </c>
    </row>
    <row r="531" customFormat="false" ht="15" hidden="false" customHeight="false" outlineLevel="0" collapsed="false">
      <c r="A531" s="5" t="s">
        <v>1540</v>
      </c>
      <c r="B531" s="2" t="s">
        <v>1541</v>
      </c>
      <c r="C531" s="5" t="s">
        <v>488</v>
      </c>
      <c r="D531" s="5" t="s">
        <v>60</v>
      </c>
      <c r="E531" s="5" t="s">
        <v>62</v>
      </c>
      <c r="F531" s="5" t="s">
        <v>367</v>
      </c>
    </row>
    <row r="532" customFormat="false" ht="15" hidden="false" customHeight="false" outlineLevel="0" collapsed="false">
      <c r="A532" s="5" t="s">
        <v>1545</v>
      </c>
      <c r="B532" s="2" t="s">
        <v>1546</v>
      </c>
      <c r="C532" s="5" t="s">
        <v>488</v>
      </c>
      <c r="D532" s="5" t="s">
        <v>60</v>
      </c>
      <c r="E532" s="5" t="s">
        <v>62</v>
      </c>
      <c r="F532" s="5" t="s">
        <v>367</v>
      </c>
    </row>
    <row r="533" customFormat="false" ht="23.85" hidden="false" customHeight="false" outlineLevel="0" collapsed="false">
      <c r="A533" s="5" t="s">
        <v>1550</v>
      </c>
      <c r="B533" s="2" t="s">
        <v>1551</v>
      </c>
      <c r="C533" s="5" t="s">
        <v>488</v>
      </c>
      <c r="D533" s="5" t="s">
        <v>60</v>
      </c>
      <c r="E533" s="5" t="s">
        <v>62</v>
      </c>
      <c r="F533" s="5" t="s">
        <v>367</v>
      </c>
    </row>
    <row r="534" customFormat="false" ht="23.85" hidden="false" customHeight="false" outlineLevel="0" collapsed="false">
      <c r="A534" s="5" t="s">
        <v>1556</v>
      </c>
      <c r="B534" s="2" t="s">
        <v>1557</v>
      </c>
      <c r="C534" s="5" t="s">
        <v>488</v>
      </c>
      <c r="D534" s="5" t="s">
        <v>60</v>
      </c>
      <c r="E534" s="5" t="s">
        <v>62</v>
      </c>
      <c r="F534" s="5" t="s">
        <v>367</v>
      </c>
    </row>
    <row r="535" customFormat="false" ht="15" hidden="false" customHeight="false" outlineLevel="0" collapsed="false">
      <c r="A535" s="5" t="s">
        <v>1561</v>
      </c>
      <c r="B535" s="2" t="s">
        <v>1562</v>
      </c>
      <c r="C535" s="5" t="s">
        <v>488</v>
      </c>
      <c r="D535" s="5" t="s">
        <v>60</v>
      </c>
      <c r="E535" s="5" t="s">
        <v>62</v>
      </c>
      <c r="F535" s="5" t="s">
        <v>1254</v>
      </c>
    </row>
    <row r="536" customFormat="false" ht="23.85" hidden="false" customHeight="false" outlineLevel="0" collapsed="false">
      <c r="A536" s="5" t="s">
        <v>1567</v>
      </c>
      <c r="B536" s="2" t="s">
        <v>1568</v>
      </c>
      <c r="C536" s="5" t="s">
        <v>488</v>
      </c>
      <c r="D536" s="5" t="s">
        <v>60</v>
      </c>
      <c r="E536" s="5" t="s">
        <v>62</v>
      </c>
      <c r="F536" s="5" t="s">
        <v>184</v>
      </c>
    </row>
    <row r="537" customFormat="false" ht="15" hidden="false" customHeight="false" outlineLevel="0" collapsed="false">
      <c r="A537" s="5" t="s">
        <v>1573</v>
      </c>
      <c r="B537" s="2" t="s">
        <v>1574</v>
      </c>
      <c r="C537" s="5" t="s">
        <v>488</v>
      </c>
      <c r="D537" s="5" t="s">
        <v>60</v>
      </c>
      <c r="E537" s="5" t="s">
        <v>62</v>
      </c>
      <c r="F537" s="5" t="s">
        <v>367</v>
      </c>
    </row>
    <row r="538" customFormat="false" ht="15" hidden="false" customHeight="false" outlineLevel="0" collapsed="false">
      <c r="A538" s="5" t="s">
        <v>1579</v>
      </c>
      <c r="B538" s="2" t="s">
        <v>1580</v>
      </c>
      <c r="C538" s="5" t="s">
        <v>488</v>
      </c>
      <c r="D538" s="5" t="s">
        <v>60</v>
      </c>
      <c r="E538" s="5" t="s">
        <v>62</v>
      </c>
      <c r="F538" s="5" t="s">
        <v>184</v>
      </c>
    </row>
    <row r="539" customFormat="false" ht="23.85" hidden="false" customHeight="false" outlineLevel="0" collapsed="false">
      <c r="A539" s="5" t="s">
        <v>1587</v>
      </c>
      <c r="B539" s="2" t="s">
        <v>1588</v>
      </c>
      <c r="C539" s="5" t="s">
        <v>488</v>
      </c>
      <c r="D539" s="5" t="s">
        <v>60</v>
      </c>
      <c r="E539" s="5" t="s">
        <v>62</v>
      </c>
      <c r="F539" s="5" t="s">
        <v>367</v>
      </c>
    </row>
    <row r="540" customFormat="false" ht="23.85" hidden="false" customHeight="false" outlineLevel="0" collapsed="false">
      <c r="A540" s="5" t="s">
        <v>1592</v>
      </c>
      <c r="B540" s="2" t="s">
        <v>1593</v>
      </c>
      <c r="C540" s="5" t="s">
        <v>488</v>
      </c>
      <c r="D540" s="5" t="s">
        <v>60</v>
      </c>
      <c r="E540" s="5" t="s">
        <v>62</v>
      </c>
      <c r="F540" s="5" t="s">
        <v>184</v>
      </c>
    </row>
    <row r="541" customFormat="false" ht="15" hidden="false" customHeight="false" outlineLevel="0" collapsed="false">
      <c r="A541" s="5" t="s">
        <v>1601</v>
      </c>
      <c r="B541" s="2" t="s">
        <v>1602</v>
      </c>
      <c r="C541" s="5" t="s">
        <v>488</v>
      </c>
      <c r="D541" s="5" t="s">
        <v>60</v>
      </c>
      <c r="E541" s="5" t="s">
        <v>62</v>
      </c>
      <c r="F541" s="5" t="s">
        <v>184</v>
      </c>
    </row>
    <row r="542" customFormat="false" ht="23.85" hidden="false" customHeight="false" outlineLevel="0" collapsed="false">
      <c r="A542" s="5" t="s">
        <v>1610</v>
      </c>
      <c r="B542" s="2" t="s">
        <v>1611</v>
      </c>
      <c r="C542" s="5" t="s">
        <v>488</v>
      </c>
      <c r="D542" s="5" t="s">
        <v>60</v>
      </c>
      <c r="E542" s="5" t="s">
        <v>62</v>
      </c>
      <c r="F542" s="5" t="s">
        <v>184</v>
      </c>
    </row>
    <row r="543" customFormat="false" ht="23.85" hidden="false" customHeight="false" outlineLevel="0" collapsed="false">
      <c r="A543" s="5" t="s">
        <v>1618</v>
      </c>
      <c r="B543" s="2" t="s">
        <v>1619</v>
      </c>
      <c r="C543" s="5" t="s">
        <v>488</v>
      </c>
      <c r="D543" s="5" t="s">
        <v>60</v>
      </c>
      <c r="E543" s="5" t="s">
        <v>62</v>
      </c>
      <c r="F543" s="5" t="s">
        <v>184</v>
      </c>
    </row>
    <row r="544" customFormat="false" ht="15" hidden="false" customHeight="false" outlineLevel="0" collapsed="false">
      <c r="A544" s="5" t="s">
        <v>1624</v>
      </c>
      <c r="B544" s="2" t="s">
        <v>1625</v>
      </c>
      <c r="C544" s="5" t="s">
        <v>488</v>
      </c>
      <c r="D544" s="5" t="s">
        <v>60</v>
      </c>
      <c r="E544" s="5" t="s">
        <v>62</v>
      </c>
      <c r="F544" s="5" t="s">
        <v>184</v>
      </c>
    </row>
    <row r="545" customFormat="false" ht="23.85" hidden="false" customHeight="false" outlineLevel="0" collapsed="false">
      <c r="A545" s="5" t="s">
        <v>1630</v>
      </c>
      <c r="B545" s="2" t="s">
        <v>1631</v>
      </c>
      <c r="C545" s="5" t="s">
        <v>488</v>
      </c>
      <c r="D545" s="5" t="s">
        <v>60</v>
      </c>
      <c r="E545" s="5" t="s">
        <v>62</v>
      </c>
      <c r="F545" s="5" t="s">
        <v>184</v>
      </c>
    </row>
    <row r="546" customFormat="false" ht="23.85" hidden="false" customHeight="false" outlineLevel="0" collapsed="false">
      <c r="A546" s="5" t="s">
        <v>1638</v>
      </c>
      <c r="B546" s="2" t="s">
        <v>1639</v>
      </c>
      <c r="C546" s="5" t="s">
        <v>488</v>
      </c>
      <c r="D546" s="5" t="s">
        <v>60</v>
      </c>
      <c r="E546" s="5" t="s">
        <v>62</v>
      </c>
      <c r="F546" s="5" t="s">
        <v>184</v>
      </c>
    </row>
    <row r="547" customFormat="false" ht="15" hidden="false" customHeight="false" outlineLevel="0" collapsed="false">
      <c r="A547" s="5" t="s">
        <v>1644</v>
      </c>
      <c r="B547" s="2" t="s">
        <v>1645</v>
      </c>
      <c r="C547" s="5" t="s">
        <v>488</v>
      </c>
      <c r="D547" s="5" t="s">
        <v>60</v>
      </c>
      <c r="E547" s="5" t="s">
        <v>62</v>
      </c>
      <c r="F547" s="5" t="s">
        <v>367</v>
      </c>
    </row>
    <row r="548" customFormat="false" ht="23.85" hidden="false" customHeight="false" outlineLevel="0" collapsed="false">
      <c r="A548" s="5" t="s">
        <v>1650</v>
      </c>
      <c r="B548" s="2" t="s">
        <v>1651</v>
      </c>
      <c r="C548" s="5" t="s">
        <v>488</v>
      </c>
      <c r="D548" s="5" t="s">
        <v>60</v>
      </c>
      <c r="E548" s="5" t="s">
        <v>62</v>
      </c>
      <c r="F548" s="5" t="s">
        <v>367</v>
      </c>
    </row>
    <row r="549" customFormat="false" ht="23.85" hidden="false" customHeight="false" outlineLevel="0" collapsed="false">
      <c r="A549" s="5" t="s">
        <v>1656</v>
      </c>
      <c r="B549" s="2" t="s">
        <v>1657</v>
      </c>
      <c r="C549" s="5" t="s">
        <v>488</v>
      </c>
      <c r="D549" s="5" t="s">
        <v>60</v>
      </c>
      <c r="E549" s="5" t="s">
        <v>62</v>
      </c>
      <c r="F549" s="5" t="s">
        <v>367</v>
      </c>
    </row>
    <row r="550" customFormat="false" ht="23.85" hidden="false" customHeight="false" outlineLevel="0" collapsed="false">
      <c r="A550" s="5" t="s">
        <v>1662</v>
      </c>
      <c r="B550" s="2" t="s">
        <v>1663</v>
      </c>
      <c r="C550" s="5" t="s">
        <v>488</v>
      </c>
      <c r="D550" s="5" t="s">
        <v>60</v>
      </c>
      <c r="E550" s="5" t="s">
        <v>62</v>
      </c>
      <c r="F550" s="5" t="s">
        <v>367</v>
      </c>
    </row>
    <row r="551" customFormat="false" ht="23.85" hidden="false" customHeight="false" outlineLevel="0" collapsed="false">
      <c r="A551" s="5" t="s">
        <v>1667</v>
      </c>
      <c r="B551" s="2" t="s">
        <v>1668</v>
      </c>
      <c r="C551" s="5" t="s">
        <v>488</v>
      </c>
      <c r="D551" s="5" t="s">
        <v>60</v>
      </c>
      <c r="E551" s="5" t="s">
        <v>62</v>
      </c>
      <c r="F551" s="5" t="s">
        <v>367</v>
      </c>
    </row>
    <row r="552" customFormat="false" ht="15" hidden="false" customHeight="false" outlineLevel="0" collapsed="false">
      <c r="A552" s="5" t="s">
        <v>1672</v>
      </c>
      <c r="B552" s="2" t="s">
        <v>1673</v>
      </c>
      <c r="C552" s="5" t="s">
        <v>488</v>
      </c>
      <c r="D552" s="5" t="s">
        <v>60</v>
      </c>
      <c r="E552" s="5" t="s">
        <v>62</v>
      </c>
      <c r="F552" s="5" t="s">
        <v>184</v>
      </c>
    </row>
    <row r="553" customFormat="false" ht="23.85" hidden="false" customHeight="false" outlineLevel="0" collapsed="false">
      <c r="A553" s="5" t="s">
        <v>1681</v>
      </c>
      <c r="B553" s="2" t="s">
        <v>1682</v>
      </c>
      <c r="C553" s="5" t="s">
        <v>488</v>
      </c>
      <c r="D553" s="5" t="s">
        <v>60</v>
      </c>
      <c r="E553" s="5" t="s">
        <v>62</v>
      </c>
      <c r="F553" s="5" t="s">
        <v>367</v>
      </c>
    </row>
    <row r="554" customFormat="false" ht="23.85" hidden="false" customHeight="false" outlineLevel="0" collapsed="false">
      <c r="A554" s="5" t="s">
        <v>1686</v>
      </c>
      <c r="B554" s="2" t="s">
        <v>1687</v>
      </c>
      <c r="C554" s="5" t="s">
        <v>488</v>
      </c>
      <c r="D554" s="5" t="s">
        <v>60</v>
      </c>
      <c r="E554" s="5" t="s">
        <v>62</v>
      </c>
      <c r="F554" s="5" t="s">
        <v>367</v>
      </c>
    </row>
    <row r="555" customFormat="false" ht="15" hidden="false" customHeight="false" outlineLevel="0" collapsed="false">
      <c r="A555" s="5" t="s">
        <v>1691</v>
      </c>
      <c r="B555" s="2" t="s">
        <v>1692</v>
      </c>
      <c r="C555" s="5" t="s">
        <v>488</v>
      </c>
      <c r="D555" s="5" t="s">
        <v>60</v>
      </c>
      <c r="E555" s="5" t="s">
        <v>62</v>
      </c>
      <c r="F555" s="5" t="s">
        <v>367</v>
      </c>
    </row>
    <row r="556" customFormat="false" ht="23.85" hidden="false" customHeight="false" outlineLevel="0" collapsed="false">
      <c r="A556" s="5" t="s">
        <v>1696</v>
      </c>
      <c r="B556" s="2" t="s">
        <v>1697</v>
      </c>
      <c r="C556" s="5" t="s">
        <v>488</v>
      </c>
      <c r="D556" s="5" t="s">
        <v>60</v>
      </c>
      <c r="E556" s="5" t="s">
        <v>62</v>
      </c>
      <c r="F556" s="5" t="s">
        <v>367</v>
      </c>
    </row>
    <row r="557" customFormat="false" ht="23.85" hidden="false" customHeight="false" outlineLevel="0" collapsed="false">
      <c r="A557" s="5" t="s">
        <v>1701</v>
      </c>
      <c r="B557" s="2" t="s">
        <v>1702</v>
      </c>
      <c r="C557" s="5" t="s">
        <v>488</v>
      </c>
      <c r="D557" s="5" t="s">
        <v>60</v>
      </c>
      <c r="E557" s="5" t="s">
        <v>62</v>
      </c>
      <c r="F557" s="5" t="s">
        <v>184</v>
      </c>
    </row>
    <row r="558" customFormat="false" ht="23.85" hidden="false" customHeight="false" outlineLevel="0" collapsed="false">
      <c r="A558" s="5" t="s">
        <v>1707</v>
      </c>
      <c r="B558" s="2" t="s">
        <v>1708</v>
      </c>
      <c r="C558" s="5" t="s">
        <v>488</v>
      </c>
      <c r="D558" s="5" t="s">
        <v>60</v>
      </c>
      <c r="E558" s="5" t="s">
        <v>62</v>
      </c>
      <c r="F558" s="5" t="s">
        <v>367</v>
      </c>
    </row>
    <row r="559" customFormat="false" ht="23.85" hidden="false" customHeight="false" outlineLevel="0" collapsed="false">
      <c r="A559" s="5" t="s">
        <v>1712</v>
      </c>
      <c r="B559" s="2" t="s">
        <v>1713</v>
      </c>
      <c r="C559" s="5" t="s">
        <v>488</v>
      </c>
      <c r="D559" s="5" t="s">
        <v>60</v>
      </c>
      <c r="E559" s="5" t="s">
        <v>62</v>
      </c>
      <c r="F559" s="5" t="s">
        <v>367</v>
      </c>
    </row>
    <row r="560" customFormat="false" ht="15" hidden="false" customHeight="false" outlineLevel="0" collapsed="false">
      <c r="A560" s="5" t="s">
        <v>1719</v>
      </c>
      <c r="B560" s="2" t="s">
        <v>1720</v>
      </c>
      <c r="C560" s="5" t="s">
        <v>488</v>
      </c>
      <c r="D560" s="5" t="s">
        <v>60</v>
      </c>
      <c r="E560" s="5" t="s">
        <v>62</v>
      </c>
      <c r="F560" s="5" t="s">
        <v>367</v>
      </c>
    </row>
    <row r="561" customFormat="false" ht="15" hidden="false" customHeight="false" outlineLevel="0" collapsed="false">
      <c r="A561" s="5" t="s">
        <v>1725</v>
      </c>
      <c r="B561" s="2" t="s">
        <v>1726</v>
      </c>
      <c r="C561" s="5" t="s">
        <v>488</v>
      </c>
      <c r="D561" s="5" t="s">
        <v>60</v>
      </c>
      <c r="E561" s="5" t="s">
        <v>62</v>
      </c>
      <c r="F561" s="5" t="s">
        <v>367</v>
      </c>
    </row>
    <row r="562" customFormat="false" ht="23.85" hidden="false" customHeight="false" outlineLevel="0" collapsed="false">
      <c r="A562" s="5" t="s">
        <v>1730</v>
      </c>
      <c r="B562" s="2" t="s">
        <v>1731</v>
      </c>
      <c r="C562" s="5" t="s">
        <v>488</v>
      </c>
      <c r="D562" s="5" t="s">
        <v>60</v>
      </c>
      <c r="E562" s="5" t="s">
        <v>62</v>
      </c>
      <c r="F562" s="5" t="s">
        <v>184</v>
      </c>
    </row>
    <row r="563" customFormat="false" ht="23.85" hidden="false" customHeight="false" outlineLevel="0" collapsed="false">
      <c r="A563" s="5" t="s">
        <v>1736</v>
      </c>
      <c r="B563" s="2" t="s">
        <v>1737</v>
      </c>
      <c r="C563" s="5" t="s">
        <v>488</v>
      </c>
      <c r="D563" s="5" t="s">
        <v>60</v>
      </c>
      <c r="E563" s="5" t="s">
        <v>62</v>
      </c>
      <c r="F563" s="5" t="s">
        <v>367</v>
      </c>
    </row>
    <row r="564" customFormat="false" ht="15" hidden="false" customHeight="false" outlineLevel="0" collapsed="false">
      <c r="A564" s="5" t="s">
        <v>1741</v>
      </c>
      <c r="B564" s="2" t="s">
        <v>1742</v>
      </c>
      <c r="C564" s="5" t="s">
        <v>488</v>
      </c>
      <c r="D564" s="5" t="s">
        <v>60</v>
      </c>
      <c r="E564" s="5" t="s">
        <v>62</v>
      </c>
      <c r="F564" s="5" t="s">
        <v>367</v>
      </c>
    </row>
    <row r="565" customFormat="false" ht="15" hidden="false" customHeight="false" outlineLevel="0" collapsed="false">
      <c r="A565" s="5" t="s">
        <v>1746</v>
      </c>
      <c r="B565" s="2" t="s">
        <v>1747</v>
      </c>
      <c r="C565" s="5" t="s">
        <v>488</v>
      </c>
      <c r="D565" s="5" t="s">
        <v>60</v>
      </c>
      <c r="E565" s="5" t="s">
        <v>62</v>
      </c>
      <c r="F565" s="5" t="s">
        <v>367</v>
      </c>
    </row>
    <row r="566" customFormat="false" ht="23.85" hidden="false" customHeight="false" outlineLevel="0" collapsed="false">
      <c r="A566" s="5" t="s">
        <v>1751</v>
      </c>
      <c r="B566" s="2" t="s">
        <v>1752</v>
      </c>
      <c r="C566" s="5" t="s">
        <v>488</v>
      </c>
      <c r="D566" s="5" t="s">
        <v>60</v>
      </c>
      <c r="E566" s="5" t="s">
        <v>62</v>
      </c>
      <c r="F566" s="5" t="s">
        <v>367</v>
      </c>
    </row>
    <row r="567" customFormat="false" ht="15" hidden="false" customHeight="false" outlineLevel="0" collapsed="false">
      <c r="A567" s="5" t="s">
        <v>1757</v>
      </c>
      <c r="B567" s="2" t="s">
        <v>1758</v>
      </c>
      <c r="C567" s="5" t="s">
        <v>488</v>
      </c>
      <c r="D567" s="5" t="s">
        <v>60</v>
      </c>
      <c r="E567" s="5" t="s">
        <v>62</v>
      </c>
      <c r="F567" s="5" t="s">
        <v>367</v>
      </c>
    </row>
    <row r="568" customFormat="false" ht="23.85" hidden="false" customHeight="false" outlineLevel="0" collapsed="false">
      <c r="A568" s="5" t="s">
        <v>1762</v>
      </c>
      <c r="B568" s="2" t="s">
        <v>1763</v>
      </c>
      <c r="C568" s="5" t="s">
        <v>488</v>
      </c>
      <c r="D568" s="5" t="s">
        <v>60</v>
      </c>
      <c r="E568" s="5" t="s">
        <v>62</v>
      </c>
      <c r="F568" s="5" t="s">
        <v>367</v>
      </c>
    </row>
    <row r="569" customFormat="false" ht="23.85" hidden="false" customHeight="false" outlineLevel="0" collapsed="false">
      <c r="A569" s="5" t="s">
        <v>1768</v>
      </c>
      <c r="B569" s="2" t="s">
        <v>1769</v>
      </c>
      <c r="C569" s="5" t="s">
        <v>488</v>
      </c>
      <c r="D569" s="5" t="s">
        <v>60</v>
      </c>
      <c r="E569" s="5" t="s">
        <v>62</v>
      </c>
      <c r="F569" s="5" t="s">
        <v>367</v>
      </c>
    </row>
    <row r="570" customFormat="false" ht="23.85" hidden="false" customHeight="false" outlineLevel="0" collapsed="false">
      <c r="A570" s="5" t="s">
        <v>1773</v>
      </c>
      <c r="B570" s="2" t="s">
        <v>1774</v>
      </c>
      <c r="C570" s="5" t="s">
        <v>488</v>
      </c>
      <c r="D570" s="5" t="s">
        <v>60</v>
      </c>
      <c r="E570" s="5" t="s">
        <v>62</v>
      </c>
      <c r="F570" s="5" t="s">
        <v>367</v>
      </c>
    </row>
    <row r="571" customFormat="false" ht="23.85" hidden="false" customHeight="false" outlineLevel="0" collapsed="false">
      <c r="A571" s="5" t="s">
        <v>1778</v>
      </c>
      <c r="B571" s="2" t="s">
        <v>1779</v>
      </c>
      <c r="C571" s="5" t="s">
        <v>488</v>
      </c>
      <c r="D571" s="5" t="s">
        <v>60</v>
      </c>
      <c r="E571" s="5" t="s">
        <v>62</v>
      </c>
      <c r="F571" s="5" t="s">
        <v>367</v>
      </c>
    </row>
    <row r="572" customFormat="false" ht="15" hidden="false" customHeight="false" outlineLevel="0" collapsed="false">
      <c r="A572" s="5" t="s">
        <v>1783</v>
      </c>
      <c r="B572" s="2" t="s">
        <v>1784</v>
      </c>
      <c r="C572" s="5" t="s">
        <v>488</v>
      </c>
      <c r="D572" s="5" t="s">
        <v>60</v>
      </c>
      <c r="E572" s="5" t="s">
        <v>62</v>
      </c>
      <c r="F572" s="5" t="s">
        <v>367</v>
      </c>
    </row>
    <row r="573" customFormat="false" ht="23.85" hidden="false" customHeight="false" outlineLevel="0" collapsed="false">
      <c r="A573" s="5" t="s">
        <v>1788</v>
      </c>
      <c r="B573" s="2" t="s">
        <v>1789</v>
      </c>
      <c r="C573" s="5" t="s">
        <v>488</v>
      </c>
      <c r="D573" s="5" t="s">
        <v>60</v>
      </c>
      <c r="E573" s="5" t="s">
        <v>62</v>
      </c>
      <c r="F573" s="5" t="s">
        <v>367</v>
      </c>
    </row>
    <row r="574" customFormat="false" ht="15" hidden="false" customHeight="false" outlineLevel="0" collapsed="false">
      <c r="A574" s="5" t="s">
        <v>1794</v>
      </c>
      <c r="B574" s="2" t="s">
        <v>1795</v>
      </c>
      <c r="C574" s="5" t="s">
        <v>488</v>
      </c>
      <c r="D574" s="5" t="s">
        <v>60</v>
      </c>
      <c r="E574" s="5" t="s">
        <v>62</v>
      </c>
      <c r="F574" s="5" t="s">
        <v>367</v>
      </c>
    </row>
    <row r="575" customFormat="false" ht="23.85" hidden="false" customHeight="false" outlineLevel="0" collapsed="false">
      <c r="A575" s="5" t="s">
        <v>1799</v>
      </c>
      <c r="B575" s="2" t="s">
        <v>1800</v>
      </c>
      <c r="C575" s="5" t="s">
        <v>488</v>
      </c>
      <c r="D575" s="5" t="s">
        <v>60</v>
      </c>
      <c r="E575" s="5" t="s">
        <v>62</v>
      </c>
      <c r="F575" s="5" t="s">
        <v>184</v>
      </c>
    </row>
    <row r="576" customFormat="false" ht="15" hidden="false" customHeight="false" outlineLevel="0" collapsed="false">
      <c r="A576" s="5" t="s">
        <v>1807</v>
      </c>
      <c r="B576" s="2" t="s">
        <v>1808</v>
      </c>
      <c r="C576" s="5" t="s">
        <v>488</v>
      </c>
      <c r="D576" s="5" t="s">
        <v>60</v>
      </c>
      <c r="E576" s="5" t="s">
        <v>62</v>
      </c>
      <c r="F576" s="5" t="s">
        <v>367</v>
      </c>
    </row>
    <row r="577" customFormat="false" ht="23.85" hidden="false" customHeight="false" outlineLevel="0" collapsed="false">
      <c r="A577" s="5" t="s">
        <v>1812</v>
      </c>
      <c r="B577" s="2" t="s">
        <v>1813</v>
      </c>
      <c r="C577" s="5" t="s">
        <v>488</v>
      </c>
      <c r="D577" s="5" t="s">
        <v>60</v>
      </c>
      <c r="E577" s="5" t="s">
        <v>62</v>
      </c>
      <c r="F577" s="5" t="s">
        <v>367</v>
      </c>
    </row>
    <row r="578" customFormat="false" ht="23.85" hidden="false" customHeight="false" outlineLevel="0" collapsed="false">
      <c r="A578" s="5" t="s">
        <v>1819</v>
      </c>
      <c r="B578" s="2" t="s">
        <v>1820</v>
      </c>
      <c r="C578" s="5" t="s">
        <v>488</v>
      </c>
      <c r="D578" s="5" t="s">
        <v>60</v>
      </c>
      <c r="E578" s="5" t="s">
        <v>62</v>
      </c>
      <c r="F578" s="5" t="s">
        <v>367</v>
      </c>
    </row>
    <row r="579" customFormat="false" ht="15" hidden="false" customHeight="false" outlineLevel="0" collapsed="false">
      <c r="A579" s="5" t="s">
        <v>1825</v>
      </c>
      <c r="B579" s="2" t="s">
        <v>1826</v>
      </c>
      <c r="C579" s="5" t="s">
        <v>488</v>
      </c>
      <c r="D579" s="5" t="s">
        <v>60</v>
      </c>
      <c r="E579" s="5" t="s">
        <v>62</v>
      </c>
      <c r="F579" s="5" t="s">
        <v>367</v>
      </c>
    </row>
    <row r="580" customFormat="false" ht="23.85" hidden="false" customHeight="false" outlineLevel="0" collapsed="false">
      <c r="A580" s="5" t="s">
        <v>1831</v>
      </c>
      <c r="B580" s="2" t="s">
        <v>1832</v>
      </c>
      <c r="C580" s="5" t="s">
        <v>488</v>
      </c>
      <c r="D580" s="5" t="s">
        <v>60</v>
      </c>
      <c r="E580" s="5" t="s">
        <v>62</v>
      </c>
      <c r="F580" s="5" t="s">
        <v>367</v>
      </c>
    </row>
    <row r="581" customFormat="false" ht="23.85" hidden="false" customHeight="false" outlineLevel="0" collapsed="false">
      <c r="A581" s="5" t="s">
        <v>1837</v>
      </c>
      <c r="B581" s="2" t="s">
        <v>1838</v>
      </c>
      <c r="C581" s="5" t="s">
        <v>488</v>
      </c>
      <c r="D581" s="5" t="s">
        <v>60</v>
      </c>
      <c r="E581" s="5" t="s">
        <v>62</v>
      </c>
      <c r="F581" s="5" t="s">
        <v>367</v>
      </c>
    </row>
    <row r="582" customFormat="false" ht="15" hidden="false" customHeight="false" outlineLevel="0" collapsed="false">
      <c r="A582" s="5" t="s">
        <v>1842</v>
      </c>
      <c r="B582" s="2" t="s">
        <v>1843</v>
      </c>
      <c r="C582" s="5" t="s">
        <v>488</v>
      </c>
      <c r="D582" s="5" t="s">
        <v>60</v>
      </c>
      <c r="E582" s="5" t="s">
        <v>62</v>
      </c>
      <c r="F582" s="5" t="s">
        <v>367</v>
      </c>
    </row>
    <row r="583" customFormat="false" ht="15" hidden="false" customHeight="false" outlineLevel="0" collapsed="false">
      <c r="A583" s="5" t="s">
        <v>1848</v>
      </c>
      <c r="B583" s="2" t="s">
        <v>1849</v>
      </c>
      <c r="C583" s="5" t="s">
        <v>488</v>
      </c>
      <c r="D583" s="5" t="s">
        <v>60</v>
      </c>
      <c r="E583" s="5" t="s">
        <v>62</v>
      </c>
      <c r="F583" s="5" t="s">
        <v>367</v>
      </c>
    </row>
    <row r="584" customFormat="false" ht="15" hidden="false" customHeight="false" outlineLevel="0" collapsed="false">
      <c r="A584" s="5" t="s">
        <v>1853</v>
      </c>
      <c r="B584" s="2" t="s">
        <v>1854</v>
      </c>
      <c r="C584" s="5" t="s">
        <v>488</v>
      </c>
      <c r="D584" s="5" t="s">
        <v>60</v>
      </c>
      <c r="E584" s="5" t="s">
        <v>62</v>
      </c>
      <c r="F584" s="5" t="s">
        <v>184</v>
      </c>
    </row>
    <row r="585" customFormat="false" ht="23.85" hidden="false" customHeight="false" outlineLevel="0" collapsed="false">
      <c r="A585" s="5" t="s">
        <v>1860</v>
      </c>
      <c r="B585" s="2" t="s">
        <v>1861</v>
      </c>
      <c r="C585" s="5" t="s">
        <v>488</v>
      </c>
      <c r="D585" s="5" t="s">
        <v>60</v>
      </c>
      <c r="E585" s="5" t="s">
        <v>62</v>
      </c>
      <c r="F585" s="5" t="s">
        <v>367</v>
      </c>
    </row>
    <row r="586" customFormat="false" ht="23.85" hidden="false" customHeight="false" outlineLevel="0" collapsed="false">
      <c r="A586" s="5" t="s">
        <v>1865</v>
      </c>
      <c r="B586" s="2" t="s">
        <v>1866</v>
      </c>
      <c r="C586" s="5" t="s">
        <v>488</v>
      </c>
      <c r="D586" s="5" t="s">
        <v>60</v>
      </c>
      <c r="E586" s="5" t="s">
        <v>62</v>
      </c>
      <c r="F586" s="5" t="s">
        <v>367</v>
      </c>
    </row>
    <row r="587" customFormat="false" ht="23.85" hidden="false" customHeight="false" outlineLevel="0" collapsed="false">
      <c r="A587" s="5" t="s">
        <v>1870</v>
      </c>
      <c r="B587" s="2" t="s">
        <v>1871</v>
      </c>
      <c r="C587" s="5" t="s">
        <v>488</v>
      </c>
      <c r="D587" s="5" t="s">
        <v>60</v>
      </c>
      <c r="E587" s="5" t="s">
        <v>62</v>
      </c>
      <c r="F587" s="5" t="s">
        <v>367</v>
      </c>
    </row>
    <row r="588" customFormat="false" ht="23.85" hidden="false" customHeight="false" outlineLevel="0" collapsed="false">
      <c r="A588" s="5" t="s">
        <v>1875</v>
      </c>
      <c r="B588" s="2" t="s">
        <v>1876</v>
      </c>
      <c r="C588" s="5" t="s">
        <v>488</v>
      </c>
      <c r="D588" s="5" t="s">
        <v>60</v>
      </c>
      <c r="E588" s="5" t="s">
        <v>62</v>
      </c>
      <c r="F588" s="5" t="s">
        <v>367</v>
      </c>
    </row>
    <row r="589" customFormat="false" ht="23.85" hidden="false" customHeight="false" outlineLevel="0" collapsed="false">
      <c r="A589" s="5" t="s">
        <v>1882</v>
      </c>
      <c r="B589" s="2" t="s">
        <v>1883</v>
      </c>
      <c r="C589" s="5" t="s">
        <v>488</v>
      </c>
      <c r="D589" s="5" t="s">
        <v>60</v>
      </c>
      <c r="E589" s="5" t="s">
        <v>62</v>
      </c>
      <c r="F589" s="5" t="s">
        <v>367</v>
      </c>
    </row>
    <row r="590" customFormat="false" ht="15" hidden="false" customHeight="false" outlineLevel="0" collapsed="false">
      <c r="A590" s="5" t="s">
        <v>1888</v>
      </c>
      <c r="B590" s="2" t="s">
        <v>1889</v>
      </c>
      <c r="C590" s="5" t="s">
        <v>488</v>
      </c>
      <c r="D590" s="5" t="s">
        <v>60</v>
      </c>
      <c r="E590" s="5" t="s">
        <v>62</v>
      </c>
      <c r="F590" s="5" t="s">
        <v>367</v>
      </c>
    </row>
    <row r="591" customFormat="false" ht="23.85" hidden="false" customHeight="false" outlineLevel="0" collapsed="false">
      <c r="A591" s="5" t="s">
        <v>1894</v>
      </c>
      <c r="B591" s="2" t="s">
        <v>1895</v>
      </c>
      <c r="C591" s="5" t="s">
        <v>488</v>
      </c>
      <c r="D591" s="5" t="s">
        <v>60</v>
      </c>
      <c r="E591" s="5" t="s">
        <v>62</v>
      </c>
      <c r="F591" s="5" t="s">
        <v>367</v>
      </c>
    </row>
    <row r="592" customFormat="false" ht="23.85" hidden="false" customHeight="false" outlineLevel="0" collapsed="false">
      <c r="A592" s="5" t="s">
        <v>1899</v>
      </c>
      <c r="B592" s="2" t="s">
        <v>1900</v>
      </c>
      <c r="C592" s="5" t="s">
        <v>488</v>
      </c>
      <c r="D592" s="5" t="s">
        <v>60</v>
      </c>
      <c r="E592" s="5" t="s">
        <v>62</v>
      </c>
      <c r="F592" s="5" t="s">
        <v>367</v>
      </c>
    </row>
    <row r="593" customFormat="false" ht="23.85" hidden="false" customHeight="false" outlineLevel="0" collapsed="false">
      <c r="A593" s="5" t="s">
        <v>1904</v>
      </c>
      <c r="B593" s="2" t="s">
        <v>1905</v>
      </c>
      <c r="C593" s="5" t="s">
        <v>488</v>
      </c>
      <c r="D593" s="5" t="s">
        <v>60</v>
      </c>
      <c r="E593" s="5" t="s">
        <v>62</v>
      </c>
      <c r="F593" s="5" t="s">
        <v>367</v>
      </c>
    </row>
    <row r="594" customFormat="false" ht="23.85" hidden="false" customHeight="false" outlineLevel="0" collapsed="false">
      <c r="A594" s="5" t="s">
        <v>1909</v>
      </c>
      <c r="B594" s="2" t="s">
        <v>1910</v>
      </c>
      <c r="C594" s="5" t="s">
        <v>488</v>
      </c>
      <c r="D594" s="5" t="s">
        <v>60</v>
      </c>
      <c r="E594" s="5" t="s">
        <v>62</v>
      </c>
      <c r="F594" s="5" t="s">
        <v>184</v>
      </c>
    </row>
    <row r="595" customFormat="false" ht="15" hidden="false" customHeight="false" outlineLevel="0" collapsed="false">
      <c r="A595" s="5" t="s">
        <v>1916</v>
      </c>
      <c r="B595" s="2" t="s">
        <v>1917</v>
      </c>
      <c r="C595" s="5" t="s">
        <v>488</v>
      </c>
      <c r="D595" s="5" t="s">
        <v>60</v>
      </c>
      <c r="E595" s="5" t="s">
        <v>62</v>
      </c>
      <c r="F595" s="5" t="s">
        <v>367</v>
      </c>
    </row>
    <row r="596" customFormat="false" ht="23.85" hidden="false" customHeight="false" outlineLevel="0" collapsed="false">
      <c r="A596" s="5" t="s">
        <v>1922</v>
      </c>
      <c r="B596" s="2" t="s">
        <v>1923</v>
      </c>
      <c r="C596" s="5" t="s">
        <v>488</v>
      </c>
      <c r="D596" s="5" t="s">
        <v>60</v>
      </c>
      <c r="E596" s="5" t="s">
        <v>62</v>
      </c>
      <c r="F596" s="5" t="s">
        <v>367</v>
      </c>
    </row>
    <row r="597" customFormat="false" ht="15" hidden="false" customHeight="false" outlineLevel="0" collapsed="false">
      <c r="A597" s="5" t="s">
        <v>1928</v>
      </c>
      <c r="B597" s="2" t="s">
        <v>1929</v>
      </c>
      <c r="C597" s="5" t="s">
        <v>488</v>
      </c>
      <c r="D597" s="5" t="s">
        <v>60</v>
      </c>
      <c r="E597" s="5" t="s">
        <v>62</v>
      </c>
      <c r="F597" s="5" t="s">
        <v>367</v>
      </c>
    </row>
    <row r="598" customFormat="false" ht="23.85" hidden="false" customHeight="false" outlineLevel="0" collapsed="false">
      <c r="A598" s="5" t="s">
        <v>1934</v>
      </c>
      <c r="B598" s="2" t="s">
        <v>1935</v>
      </c>
      <c r="C598" s="5" t="s">
        <v>488</v>
      </c>
      <c r="D598" s="5" t="s">
        <v>60</v>
      </c>
      <c r="E598" s="5" t="s">
        <v>62</v>
      </c>
      <c r="F598" s="5" t="s">
        <v>367</v>
      </c>
    </row>
    <row r="599" customFormat="false" ht="23.85" hidden="false" customHeight="false" outlineLevel="0" collapsed="false">
      <c r="A599" s="5" t="s">
        <v>1940</v>
      </c>
      <c r="B599" s="2" t="s">
        <v>1941</v>
      </c>
      <c r="C599" s="5" t="s">
        <v>488</v>
      </c>
      <c r="D599" s="5" t="s">
        <v>60</v>
      </c>
      <c r="E599" s="5" t="s">
        <v>62</v>
      </c>
      <c r="F599" s="5" t="s">
        <v>367</v>
      </c>
    </row>
    <row r="600" customFormat="false" ht="23.85" hidden="false" customHeight="false" outlineLevel="0" collapsed="false">
      <c r="A600" s="5" t="s">
        <v>1945</v>
      </c>
      <c r="B600" s="2" t="s">
        <v>1946</v>
      </c>
      <c r="C600" s="5" t="s">
        <v>488</v>
      </c>
      <c r="D600" s="5" t="s">
        <v>60</v>
      </c>
      <c r="E600" s="5" t="s">
        <v>62</v>
      </c>
      <c r="F600" s="5" t="s">
        <v>367</v>
      </c>
    </row>
    <row r="601" customFormat="false" ht="23.85" hidden="false" customHeight="false" outlineLevel="0" collapsed="false">
      <c r="A601" s="5" t="s">
        <v>1950</v>
      </c>
      <c r="B601" s="2" t="s">
        <v>1951</v>
      </c>
      <c r="C601" s="5" t="s">
        <v>488</v>
      </c>
      <c r="D601" s="5" t="s">
        <v>60</v>
      </c>
      <c r="E601" s="5" t="s">
        <v>62</v>
      </c>
      <c r="F601" s="5" t="s">
        <v>367</v>
      </c>
    </row>
    <row r="602" customFormat="false" ht="23.85" hidden="false" customHeight="false" outlineLevel="0" collapsed="false">
      <c r="A602" s="5" t="s">
        <v>1956</v>
      </c>
      <c r="B602" s="2" t="s">
        <v>1957</v>
      </c>
      <c r="C602" s="5" t="s">
        <v>488</v>
      </c>
      <c r="D602" s="5" t="s">
        <v>60</v>
      </c>
      <c r="E602" s="5" t="s">
        <v>62</v>
      </c>
      <c r="F602" s="5" t="s">
        <v>184</v>
      </c>
    </row>
    <row r="603" customFormat="false" ht="23.85" hidden="false" customHeight="false" outlineLevel="0" collapsed="false">
      <c r="A603" s="5" t="s">
        <v>1963</v>
      </c>
      <c r="B603" s="2" t="s">
        <v>1964</v>
      </c>
      <c r="C603" s="5" t="s">
        <v>488</v>
      </c>
      <c r="D603" s="5" t="s">
        <v>60</v>
      </c>
      <c r="E603" s="5" t="s">
        <v>62</v>
      </c>
      <c r="F603" s="5" t="s">
        <v>367</v>
      </c>
    </row>
    <row r="604" customFormat="false" ht="23.85" hidden="false" customHeight="false" outlineLevel="0" collapsed="false">
      <c r="A604" s="5" t="s">
        <v>1969</v>
      </c>
      <c r="B604" s="2" t="s">
        <v>1970</v>
      </c>
      <c r="C604" s="5" t="s">
        <v>488</v>
      </c>
      <c r="D604" s="5" t="s">
        <v>60</v>
      </c>
      <c r="E604" s="5" t="s">
        <v>62</v>
      </c>
      <c r="F604" s="5" t="s">
        <v>367</v>
      </c>
    </row>
    <row r="605" customFormat="false" ht="23.85" hidden="false" customHeight="false" outlineLevel="0" collapsed="false">
      <c r="A605" s="5" t="s">
        <v>1974</v>
      </c>
      <c r="B605" s="2" t="s">
        <v>1975</v>
      </c>
      <c r="C605" s="5" t="s">
        <v>488</v>
      </c>
      <c r="D605" s="5" t="s">
        <v>60</v>
      </c>
      <c r="E605" s="5" t="s">
        <v>62</v>
      </c>
      <c r="F605" s="5" t="s">
        <v>184</v>
      </c>
    </row>
    <row r="606" customFormat="false" ht="23.85" hidden="false" customHeight="false" outlineLevel="0" collapsed="false">
      <c r="A606" s="5" t="s">
        <v>1982</v>
      </c>
      <c r="B606" s="2" t="s">
        <v>1983</v>
      </c>
      <c r="C606" s="5" t="s">
        <v>488</v>
      </c>
      <c r="D606" s="5" t="s">
        <v>60</v>
      </c>
      <c r="E606" s="5" t="s">
        <v>62</v>
      </c>
      <c r="F606" s="5" t="s">
        <v>367</v>
      </c>
    </row>
    <row r="607" customFormat="false" ht="23.85" hidden="false" customHeight="false" outlineLevel="0" collapsed="false">
      <c r="A607" s="5" t="s">
        <v>1988</v>
      </c>
      <c r="B607" s="2" t="s">
        <v>1989</v>
      </c>
      <c r="C607" s="5" t="s">
        <v>488</v>
      </c>
      <c r="D607" s="5" t="s">
        <v>60</v>
      </c>
      <c r="E607" s="5" t="s">
        <v>62</v>
      </c>
      <c r="F607" s="5" t="s">
        <v>367</v>
      </c>
    </row>
    <row r="608" customFormat="false" ht="23.85" hidden="false" customHeight="false" outlineLevel="0" collapsed="false">
      <c r="A608" s="5" t="s">
        <v>1993</v>
      </c>
      <c r="B608" s="2" t="s">
        <v>1994</v>
      </c>
      <c r="C608" s="5" t="s">
        <v>488</v>
      </c>
      <c r="D608" s="5" t="s">
        <v>60</v>
      </c>
      <c r="E608" s="5" t="s">
        <v>62</v>
      </c>
      <c r="F608" s="5" t="s">
        <v>367</v>
      </c>
    </row>
    <row r="609" customFormat="false" ht="23.85" hidden="false" customHeight="false" outlineLevel="0" collapsed="false">
      <c r="A609" s="5" t="s">
        <v>1999</v>
      </c>
      <c r="B609" s="2" t="s">
        <v>2000</v>
      </c>
      <c r="C609" s="5" t="s">
        <v>488</v>
      </c>
      <c r="D609" s="5" t="s">
        <v>60</v>
      </c>
      <c r="E609" s="5" t="s">
        <v>62</v>
      </c>
      <c r="F609" s="5" t="s">
        <v>367</v>
      </c>
    </row>
    <row r="610" customFormat="false" ht="23.85" hidden="false" customHeight="false" outlineLevel="0" collapsed="false">
      <c r="A610" s="5" t="s">
        <v>2004</v>
      </c>
      <c r="B610" s="2" t="s">
        <v>2005</v>
      </c>
      <c r="C610" s="5" t="s">
        <v>488</v>
      </c>
      <c r="D610" s="5" t="s">
        <v>60</v>
      </c>
      <c r="E610" s="5" t="s">
        <v>62</v>
      </c>
      <c r="F610" s="5" t="s">
        <v>367</v>
      </c>
    </row>
    <row r="611" customFormat="false" ht="23.85" hidden="false" customHeight="false" outlineLevel="0" collapsed="false">
      <c r="A611" s="5" t="s">
        <v>2010</v>
      </c>
      <c r="B611" s="2" t="s">
        <v>2011</v>
      </c>
      <c r="C611" s="5" t="s">
        <v>488</v>
      </c>
      <c r="D611" s="5" t="s">
        <v>60</v>
      </c>
      <c r="E611" s="5" t="s">
        <v>62</v>
      </c>
      <c r="F611" s="5" t="s">
        <v>367</v>
      </c>
    </row>
    <row r="612" customFormat="false" ht="23.85" hidden="false" customHeight="false" outlineLevel="0" collapsed="false">
      <c r="A612" s="5" t="s">
        <v>2015</v>
      </c>
      <c r="B612" s="2" t="s">
        <v>2016</v>
      </c>
      <c r="C612" s="5" t="s">
        <v>488</v>
      </c>
      <c r="D612" s="5" t="s">
        <v>60</v>
      </c>
      <c r="E612" s="5" t="s">
        <v>62</v>
      </c>
      <c r="F612" s="5" t="s">
        <v>184</v>
      </c>
    </row>
    <row r="613" customFormat="false" ht="23.85" hidden="false" customHeight="false" outlineLevel="0" collapsed="false">
      <c r="A613" s="5" t="s">
        <v>2022</v>
      </c>
      <c r="B613" s="2" t="s">
        <v>2023</v>
      </c>
      <c r="C613" s="5" t="s">
        <v>488</v>
      </c>
      <c r="D613" s="5" t="s">
        <v>60</v>
      </c>
      <c r="E613" s="5" t="s">
        <v>62</v>
      </c>
      <c r="F613" s="5" t="s">
        <v>367</v>
      </c>
    </row>
    <row r="614" customFormat="false" ht="23.85" hidden="false" customHeight="false" outlineLevel="0" collapsed="false">
      <c r="A614" s="5" t="s">
        <v>2027</v>
      </c>
      <c r="B614" s="2" t="s">
        <v>2028</v>
      </c>
      <c r="C614" s="5" t="s">
        <v>488</v>
      </c>
      <c r="D614" s="5" t="s">
        <v>60</v>
      </c>
      <c r="E614" s="5" t="s">
        <v>62</v>
      </c>
      <c r="F614" s="5" t="s">
        <v>367</v>
      </c>
    </row>
    <row r="615" customFormat="false" ht="15" hidden="false" customHeight="false" outlineLevel="0" collapsed="false">
      <c r="A615" s="5" t="s">
        <v>2033</v>
      </c>
      <c r="B615" s="2" t="s">
        <v>2034</v>
      </c>
      <c r="C615" s="5" t="s">
        <v>488</v>
      </c>
      <c r="D615" s="5" t="s">
        <v>60</v>
      </c>
      <c r="E615" s="5" t="s">
        <v>62</v>
      </c>
      <c r="F615" s="5" t="s">
        <v>367</v>
      </c>
    </row>
    <row r="616" customFormat="false" ht="15" hidden="false" customHeight="false" outlineLevel="0" collapsed="false">
      <c r="A616" s="5" t="s">
        <v>2038</v>
      </c>
      <c r="B616" s="2" t="s">
        <v>2039</v>
      </c>
      <c r="C616" s="5" t="s">
        <v>488</v>
      </c>
      <c r="D616" s="5" t="s">
        <v>60</v>
      </c>
      <c r="E616" s="5" t="s">
        <v>490</v>
      </c>
      <c r="F616" s="5" t="s">
        <v>367</v>
      </c>
    </row>
    <row r="617" customFormat="false" ht="15" hidden="false" customHeight="false" outlineLevel="0" collapsed="false">
      <c r="A617" s="5" t="s">
        <v>2043</v>
      </c>
      <c r="B617" s="2" t="s">
        <v>2044</v>
      </c>
      <c r="C617" s="5" t="s">
        <v>488</v>
      </c>
      <c r="D617" s="5" t="s">
        <v>60</v>
      </c>
      <c r="E617" s="5" t="s">
        <v>62</v>
      </c>
      <c r="F617" s="5" t="s">
        <v>184</v>
      </c>
    </row>
    <row r="618" customFormat="false" ht="23.85" hidden="false" customHeight="false" outlineLevel="0" collapsed="false">
      <c r="A618" s="5" t="s">
        <v>2051</v>
      </c>
      <c r="B618" s="2" t="s">
        <v>2052</v>
      </c>
      <c r="C618" s="5" t="s">
        <v>488</v>
      </c>
      <c r="D618" s="5" t="s">
        <v>60</v>
      </c>
      <c r="E618" s="5" t="s">
        <v>62</v>
      </c>
      <c r="F618" s="5" t="s">
        <v>367</v>
      </c>
    </row>
    <row r="619" customFormat="false" ht="15" hidden="false" customHeight="false" outlineLevel="0" collapsed="false">
      <c r="A619" s="5" t="s">
        <v>2056</v>
      </c>
      <c r="B619" s="2" t="s">
        <v>2057</v>
      </c>
      <c r="C619" s="5" t="s">
        <v>488</v>
      </c>
      <c r="D619" s="5" t="s">
        <v>60</v>
      </c>
      <c r="E619" s="5" t="s">
        <v>62</v>
      </c>
      <c r="F619" s="5" t="s">
        <v>415</v>
      </c>
    </row>
    <row r="620" customFormat="false" ht="23.85" hidden="false" customHeight="false" outlineLevel="0" collapsed="false">
      <c r="A620" s="5" t="s">
        <v>2063</v>
      </c>
      <c r="B620" s="2" t="s">
        <v>2064</v>
      </c>
      <c r="C620" s="5" t="s">
        <v>488</v>
      </c>
      <c r="D620" s="5" t="s">
        <v>60</v>
      </c>
      <c r="E620" s="5" t="s">
        <v>62</v>
      </c>
      <c r="F620" s="5" t="s">
        <v>367</v>
      </c>
    </row>
    <row r="621" customFormat="false" ht="23.85" hidden="false" customHeight="false" outlineLevel="0" collapsed="false">
      <c r="A621" s="5" t="s">
        <v>2068</v>
      </c>
      <c r="B621" s="2" t="s">
        <v>2069</v>
      </c>
      <c r="C621" s="5" t="s">
        <v>488</v>
      </c>
      <c r="D621" s="5" t="s">
        <v>60</v>
      </c>
      <c r="E621" s="5" t="s">
        <v>62</v>
      </c>
      <c r="F621" s="5" t="s">
        <v>184</v>
      </c>
    </row>
    <row r="622" customFormat="false" ht="15" hidden="false" customHeight="false" outlineLevel="0" collapsed="false">
      <c r="A622" s="5" t="s">
        <v>2076</v>
      </c>
      <c r="B622" s="2" t="s">
        <v>2077</v>
      </c>
      <c r="C622" s="5" t="s">
        <v>488</v>
      </c>
      <c r="D622" s="5" t="s">
        <v>60</v>
      </c>
      <c r="E622" s="5" t="s">
        <v>62</v>
      </c>
      <c r="F622" s="5" t="s">
        <v>184</v>
      </c>
    </row>
    <row r="623" customFormat="false" ht="15" hidden="false" customHeight="false" outlineLevel="0" collapsed="false">
      <c r="A623" s="5" t="s">
        <v>2084</v>
      </c>
      <c r="B623" s="2" t="s">
        <v>2085</v>
      </c>
      <c r="C623" s="5" t="s">
        <v>488</v>
      </c>
      <c r="D623" s="5" t="s">
        <v>60</v>
      </c>
      <c r="E623" s="5" t="s">
        <v>62</v>
      </c>
      <c r="F623" s="5" t="s">
        <v>367</v>
      </c>
    </row>
    <row r="624" customFormat="false" ht="15" hidden="false" customHeight="false" outlineLevel="0" collapsed="false">
      <c r="A624" s="5" t="s">
        <v>2089</v>
      </c>
      <c r="B624" s="2" t="s">
        <v>2090</v>
      </c>
      <c r="C624" s="5" t="s">
        <v>488</v>
      </c>
      <c r="D624" s="5" t="s">
        <v>60</v>
      </c>
      <c r="E624" s="5" t="s">
        <v>62</v>
      </c>
      <c r="F624" s="5" t="s">
        <v>367</v>
      </c>
    </row>
    <row r="625" customFormat="false" ht="23.85" hidden="false" customHeight="false" outlineLevel="0" collapsed="false">
      <c r="A625" s="5" t="s">
        <v>2094</v>
      </c>
      <c r="B625" s="2" t="s">
        <v>2095</v>
      </c>
      <c r="C625" s="5" t="s">
        <v>488</v>
      </c>
      <c r="D625" s="5" t="s">
        <v>60</v>
      </c>
      <c r="E625" s="5" t="s">
        <v>62</v>
      </c>
      <c r="F625" s="5" t="s">
        <v>367</v>
      </c>
    </row>
    <row r="626" customFormat="false" ht="23.85" hidden="false" customHeight="false" outlineLevel="0" collapsed="false">
      <c r="A626" s="5" t="s">
        <v>2099</v>
      </c>
      <c r="B626" s="2" t="s">
        <v>2100</v>
      </c>
      <c r="C626" s="5" t="s">
        <v>488</v>
      </c>
      <c r="D626" s="5" t="s">
        <v>60</v>
      </c>
      <c r="E626" s="5" t="s">
        <v>62</v>
      </c>
      <c r="F626" s="5" t="s">
        <v>367</v>
      </c>
    </row>
    <row r="627" customFormat="false" ht="23.85" hidden="false" customHeight="false" outlineLevel="0" collapsed="false">
      <c r="A627" s="5" t="s">
        <v>2104</v>
      </c>
      <c r="B627" s="2" t="s">
        <v>2105</v>
      </c>
      <c r="C627" s="5" t="s">
        <v>488</v>
      </c>
      <c r="D627" s="5" t="s">
        <v>60</v>
      </c>
      <c r="E627" s="5" t="s">
        <v>62</v>
      </c>
      <c r="F627" s="5" t="s">
        <v>367</v>
      </c>
    </row>
    <row r="628" customFormat="false" ht="15" hidden="false" customHeight="false" outlineLevel="0" collapsed="false">
      <c r="A628" s="5" t="s">
        <v>2109</v>
      </c>
      <c r="B628" s="2" t="s">
        <v>2110</v>
      </c>
      <c r="C628" s="5" t="s">
        <v>488</v>
      </c>
      <c r="D628" s="5" t="s">
        <v>60</v>
      </c>
      <c r="E628" s="5" t="s">
        <v>62</v>
      </c>
      <c r="F628" s="5" t="s">
        <v>184</v>
      </c>
    </row>
    <row r="629" customFormat="false" ht="15" hidden="false" customHeight="false" outlineLevel="0" collapsed="false">
      <c r="A629" s="5" t="s">
        <v>2114</v>
      </c>
      <c r="B629" s="2" t="s">
        <v>2115</v>
      </c>
      <c r="C629" s="5" t="s">
        <v>488</v>
      </c>
      <c r="D629" s="5" t="s">
        <v>60</v>
      </c>
      <c r="E629" s="5" t="s">
        <v>62</v>
      </c>
      <c r="F629" s="5" t="s">
        <v>367</v>
      </c>
    </row>
    <row r="630" customFormat="false" ht="15" hidden="false" customHeight="false" outlineLevel="0" collapsed="false">
      <c r="A630" s="5" t="s">
        <v>2119</v>
      </c>
      <c r="B630" s="2" t="s">
        <v>2120</v>
      </c>
      <c r="C630" s="5" t="s">
        <v>488</v>
      </c>
      <c r="D630" s="5" t="s">
        <v>60</v>
      </c>
      <c r="E630" s="5" t="s">
        <v>62</v>
      </c>
      <c r="F630" s="5" t="s">
        <v>8249</v>
      </c>
    </row>
    <row r="631" customFormat="false" ht="15" hidden="false" customHeight="false" outlineLevel="0" collapsed="false">
      <c r="A631" s="5" t="s">
        <v>2119</v>
      </c>
      <c r="B631" s="2" t="s">
        <v>2120</v>
      </c>
      <c r="C631" s="5" t="s">
        <v>488</v>
      </c>
      <c r="D631" s="5" t="s">
        <v>60</v>
      </c>
      <c r="E631" s="5" t="s">
        <v>62</v>
      </c>
      <c r="F631" s="5" t="s">
        <v>8221</v>
      </c>
    </row>
    <row r="632" customFormat="false" ht="15" hidden="false" customHeight="false" outlineLevel="0" collapsed="false">
      <c r="A632" s="5" t="s">
        <v>2119</v>
      </c>
      <c r="B632" s="2" t="s">
        <v>2120</v>
      </c>
      <c r="C632" s="5" t="s">
        <v>488</v>
      </c>
      <c r="D632" s="5" t="s">
        <v>60</v>
      </c>
      <c r="E632" s="5" t="s">
        <v>62</v>
      </c>
      <c r="F632" s="5" t="s">
        <v>8217</v>
      </c>
    </row>
    <row r="633" customFormat="false" ht="15" hidden="false" customHeight="false" outlineLevel="0" collapsed="false">
      <c r="A633" s="5" t="s">
        <v>2119</v>
      </c>
      <c r="B633" s="2" t="s">
        <v>2120</v>
      </c>
      <c r="C633" s="5" t="s">
        <v>488</v>
      </c>
      <c r="D633" s="5" t="s">
        <v>60</v>
      </c>
      <c r="E633" s="5" t="s">
        <v>62</v>
      </c>
      <c r="F633" s="5" t="s">
        <v>2349</v>
      </c>
    </row>
    <row r="634" customFormat="false" ht="15" hidden="false" customHeight="false" outlineLevel="0" collapsed="false">
      <c r="A634" s="5" t="s">
        <v>2126</v>
      </c>
      <c r="B634" s="2" t="s">
        <v>2127</v>
      </c>
      <c r="C634" s="5" t="s">
        <v>2128</v>
      </c>
      <c r="D634" s="5" t="s">
        <v>60</v>
      </c>
      <c r="E634" s="5" t="s">
        <v>62</v>
      </c>
      <c r="F634" s="5" t="s">
        <v>2129</v>
      </c>
    </row>
    <row r="635" customFormat="false" ht="15" hidden="false" customHeight="false" outlineLevel="0" collapsed="false">
      <c r="A635" s="5" t="s">
        <v>2136</v>
      </c>
      <c r="B635" s="2" t="s">
        <v>2137</v>
      </c>
      <c r="C635" s="5" t="s">
        <v>2128</v>
      </c>
      <c r="D635" s="5" t="s">
        <v>60</v>
      </c>
      <c r="E635" s="5" t="s">
        <v>62</v>
      </c>
      <c r="F635" s="5" t="s">
        <v>2129</v>
      </c>
    </row>
    <row r="636" customFormat="false" ht="15" hidden="false" customHeight="false" outlineLevel="0" collapsed="false">
      <c r="A636" s="5" t="s">
        <v>2144</v>
      </c>
      <c r="B636" s="2" t="s">
        <v>2145</v>
      </c>
      <c r="C636" s="5" t="s">
        <v>2128</v>
      </c>
      <c r="D636" s="5" t="s">
        <v>60</v>
      </c>
      <c r="E636" s="5" t="s">
        <v>62</v>
      </c>
      <c r="F636" s="5" t="s">
        <v>2129</v>
      </c>
    </row>
    <row r="637" customFormat="false" ht="15" hidden="false" customHeight="false" outlineLevel="0" collapsed="false">
      <c r="A637" s="5" t="s">
        <v>2150</v>
      </c>
      <c r="B637" s="2" t="s">
        <v>2151</v>
      </c>
      <c r="C637" s="5" t="s">
        <v>2128</v>
      </c>
      <c r="D637" s="5" t="s">
        <v>60</v>
      </c>
      <c r="E637" s="5" t="s">
        <v>490</v>
      </c>
      <c r="F637" s="5" t="s">
        <v>2155</v>
      </c>
    </row>
    <row r="638" customFormat="false" ht="15" hidden="false" customHeight="false" outlineLevel="0" collapsed="false">
      <c r="A638" s="5" t="s">
        <v>2163</v>
      </c>
      <c r="B638" s="2" t="s">
        <v>2164</v>
      </c>
      <c r="C638" s="5" t="s">
        <v>2128</v>
      </c>
      <c r="D638" s="5" t="s">
        <v>60</v>
      </c>
      <c r="E638" s="5" t="s">
        <v>62</v>
      </c>
      <c r="F638" s="5" t="s">
        <v>526</v>
      </c>
    </row>
    <row r="639" customFormat="false" ht="15" hidden="false" customHeight="false" outlineLevel="0" collapsed="false">
      <c r="A639" s="5" t="s">
        <v>2169</v>
      </c>
      <c r="B639" s="2" t="s">
        <v>2170</v>
      </c>
      <c r="C639" s="5" t="s">
        <v>2128</v>
      </c>
      <c r="D639" s="5" t="s">
        <v>60</v>
      </c>
      <c r="E639" s="5" t="s">
        <v>62</v>
      </c>
      <c r="F639" s="5" t="s">
        <v>526</v>
      </c>
    </row>
    <row r="640" customFormat="false" ht="15" hidden="false" customHeight="false" outlineLevel="0" collapsed="false">
      <c r="A640" s="5" t="s">
        <v>2173</v>
      </c>
      <c r="B640" s="2" t="s">
        <v>2174</v>
      </c>
      <c r="C640" s="5" t="s">
        <v>2128</v>
      </c>
      <c r="D640" s="5" t="s">
        <v>60</v>
      </c>
      <c r="E640" s="5" t="s">
        <v>62</v>
      </c>
      <c r="F640" s="5" t="s">
        <v>526</v>
      </c>
    </row>
    <row r="641" customFormat="false" ht="15" hidden="false" customHeight="false" outlineLevel="0" collapsed="false">
      <c r="A641" s="5" t="s">
        <v>2179</v>
      </c>
      <c r="B641" s="2" t="s">
        <v>2180</v>
      </c>
      <c r="C641" s="5" t="s">
        <v>2128</v>
      </c>
      <c r="D641" s="5" t="s">
        <v>60</v>
      </c>
      <c r="E641" s="5" t="s">
        <v>62</v>
      </c>
      <c r="F641" s="5" t="s">
        <v>526</v>
      </c>
    </row>
    <row r="642" customFormat="false" ht="15" hidden="false" customHeight="false" outlineLevel="0" collapsed="false">
      <c r="A642" s="5" t="s">
        <v>2185</v>
      </c>
      <c r="B642" s="2" t="s">
        <v>2186</v>
      </c>
      <c r="C642" s="5" t="s">
        <v>2128</v>
      </c>
      <c r="D642" s="5" t="s">
        <v>60</v>
      </c>
      <c r="E642" s="5" t="s">
        <v>62</v>
      </c>
      <c r="F642" s="5" t="s">
        <v>526</v>
      </c>
    </row>
    <row r="643" customFormat="false" ht="15" hidden="false" customHeight="false" outlineLevel="0" collapsed="false">
      <c r="A643" s="5" t="s">
        <v>2192</v>
      </c>
      <c r="B643" s="2" t="s">
        <v>2193</v>
      </c>
      <c r="C643" s="5" t="s">
        <v>2128</v>
      </c>
      <c r="D643" s="5" t="s">
        <v>60</v>
      </c>
      <c r="E643" s="5" t="s">
        <v>62</v>
      </c>
      <c r="F643" s="5" t="s">
        <v>526</v>
      </c>
    </row>
    <row r="644" customFormat="false" ht="15" hidden="false" customHeight="false" outlineLevel="0" collapsed="false">
      <c r="A644" s="5" t="s">
        <v>2197</v>
      </c>
      <c r="B644" s="2" t="s">
        <v>2198</v>
      </c>
      <c r="C644" s="5" t="s">
        <v>2128</v>
      </c>
      <c r="D644" s="5" t="s">
        <v>60</v>
      </c>
      <c r="E644" s="5" t="s">
        <v>62</v>
      </c>
      <c r="F644" s="5" t="s">
        <v>593</v>
      </c>
    </row>
    <row r="645" customFormat="false" ht="15" hidden="false" customHeight="false" outlineLevel="0" collapsed="false">
      <c r="A645" s="5" t="s">
        <v>2204</v>
      </c>
      <c r="B645" s="2" t="s">
        <v>2205</v>
      </c>
      <c r="C645" s="5" t="s">
        <v>2128</v>
      </c>
      <c r="D645" s="5" t="s">
        <v>60</v>
      </c>
      <c r="E645" s="5" t="s">
        <v>62</v>
      </c>
      <c r="F645" s="5" t="s">
        <v>593</v>
      </c>
    </row>
    <row r="646" customFormat="false" ht="23.85" hidden="false" customHeight="false" outlineLevel="0" collapsed="false">
      <c r="A646" s="5" t="s">
        <v>2210</v>
      </c>
      <c r="B646" s="2" t="s">
        <v>2211</v>
      </c>
      <c r="C646" s="5" t="s">
        <v>2128</v>
      </c>
      <c r="D646" s="5" t="s">
        <v>60</v>
      </c>
      <c r="E646" s="5" t="s">
        <v>62</v>
      </c>
      <c r="F646" s="5" t="s">
        <v>593</v>
      </c>
    </row>
    <row r="647" customFormat="false" ht="15" hidden="false" customHeight="false" outlineLevel="0" collapsed="false">
      <c r="A647" s="5" t="s">
        <v>2216</v>
      </c>
      <c r="B647" s="2" t="s">
        <v>2217</v>
      </c>
      <c r="C647" s="5" t="s">
        <v>2128</v>
      </c>
      <c r="D647" s="5" t="s">
        <v>60</v>
      </c>
      <c r="E647" s="5" t="s">
        <v>62</v>
      </c>
      <c r="F647" s="5" t="s">
        <v>593</v>
      </c>
    </row>
    <row r="648" customFormat="false" ht="23.85" hidden="false" customHeight="false" outlineLevel="0" collapsed="false">
      <c r="A648" s="5" t="s">
        <v>2224</v>
      </c>
      <c r="B648" s="2" t="s">
        <v>2225</v>
      </c>
      <c r="C648" s="5" t="s">
        <v>2128</v>
      </c>
      <c r="D648" s="5" t="s">
        <v>60</v>
      </c>
      <c r="E648" s="5" t="s">
        <v>62</v>
      </c>
      <c r="F648" s="5" t="s">
        <v>593</v>
      </c>
    </row>
    <row r="649" customFormat="false" ht="35.05" hidden="false" customHeight="false" outlineLevel="0" collapsed="false">
      <c r="A649" s="5" t="s">
        <v>2230</v>
      </c>
      <c r="B649" s="2" t="s">
        <v>2231</v>
      </c>
      <c r="C649" s="5" t="s">
        <v>2128</v>
      </c>
      <c r="D649" s="5" t="s">
        <v>60</v>
      </c>
      <c r="E649" s="5" t="s">
        <v>62</v>
      </c>
      <c r="F649" s="5" t="s">
        <v>492</v>
      </c>
    </row>
    <row r="650" customFormat="false" ht="35.05" hidden="false" customHeight="false" outlineLevel="0" collapsed="false">
      <c r="A650" s="5" t="s">
        <v>2230</v>
      </c>
      <c r="B650" s="2" t="s">
        <v>2231</v>
      </c>
      <c r="C650" s="5" t="s">
        <v>2128</v>
      </c>
      <c r="D650" s="5" t="s">
        <v>60</v>
      </c>
      <c r="E650" s="5" t="s">
        <v>62</v>
      </c>
      <c r="F650" s="5" t="s">
        <v>8232</v>
      </c>
    </row>
    <row r="651" customFormat="false" ht="35.05" hidden="false" customHeight="false" outlineLevel="0" collapsed="false">
      <c r="A651" s="5" t="s">
        <v>2230</v>
      </c>
      <c r="B651" s="2" t="s">
        <v>2231</v>
      </c>
      <c r="C651" s="5" t="s">
        <v>2128</v>
      </c>
      <c r="D651" s="5" t="s">
        <v>60</v>
      </c>
      <c r="E651" s="5" t="s">
        <v>62</v>
      </c>
      <c r="F651" s="5" t="s">
        <v>526</v>
      </c>
    </row>
    <row r="652" customFormat="false" ht="35.05" hidden="false" customHeight="false" outlineLevel="0" collapsed="false">
      <c r="A652" s="5" t="s">
        <v>2230</v>
      </c>
      <c r="B652" s="2" t="s">
        <v>2231</v>
      </c>
      <c r="C652" s="5" t="s">
        <v>2128</v>
      </c>
      <c r="D652" s="5" t="s">
        <v>60</v>
      </c>
      <c r="E652" s="5" t="s">
        <v>62</v>
      </c>
      <c r="F652" s="5" t="s">
        <v>8220</v>
      </c>
    </row>
    <row r="653" customFormat="false" ht="35.05" hidden="false" customHeight="false" outlineLevel="0" collapsed="false">
      <c r="A653" s="5" t="s">
        <v>2230</v>
      </c>
      <c r="B653" s="2" t="s">
        <v>2231</v>
      </c>
      <c r="C653" s="5" t="s">
        <v>2128</v>
      </c>
      <c r="D653" s="5" t="s">
        <v>60</v>
      </c>
      <c r="E653" s="5" t="s">
        <v>62</v>
      </c>
      <c r="F653" s="5" t="s">
        <v>8222</v>
      </c>
    </row>
    <row r="654" customFormat="false" ht="35.05" hidden="false" customHeight="false" outlineLevel="0" collapsed="false">
      <c r="A654" s="5" t="s">
        <v>2230</v>
      </c>
      <c r="B654" s="2" t="s">
        <v>2231</v>
      </c>
      <c r="C654" s="5" t="s">
        <v>2128</v>
      </c>
      <c r="D654" s="5" t="s">
        <v>60</v>
      </c>
      <c r="E654" s="5" t="s">
        <v>62</v>
      </c>
      <c r="F654" s="5" t="s">
        <v>8224</v>
      </c>
    </row>
    <row r="655" customFormat="false" ht="35.05" hidden="false" customHeight="false" outlineLevel="0" collapsed="false">
      <c r="A655" s="5" t="s">
        <v>2230</v>
      </c>
      <c r="B655" s="2" t="s">
        <v>2231</v>
      </c>
      <c r="C655" s="5" t="s">
        <v>2128</v>
      </c>
      <c r="D655" s="5" t="s">
        <v>60</v>
      </c>
      <c r="E655" s="5" t="s">
        <v>62</v>
      </c>
      <c r="F655" s="5" t="s">
        <v>8226</v>
      </c>
    </row>
    <row r="656" customFormat="false" ht="35.05" hidden="false" customHeight="false" outlineLevel="0" collapsed="false">
      <c r="A656" s="5" t="s">
        <v>2230</v>
      </c>
      <c r="B656" s="2" t="s">
        <v>2231</v>
      </c>
      <c r="C656" s="5" t="s">
        <v>2128</v>
      </c>
      <c r="D656" s="5" t="s">
        <v>60</v>
      </c>
      <c r="E656" s="5" t="s">
        <v>62</v>
      </c>
      <c r="F656" s="5" t="s">
        <v>8233</v>
      </c>
    </row>
    <row r="657" customFormat="false" ht="35.05" hidden="false" customHeight="false" outlineLevel="0" collapsed="false">
      <c r="A657" s="5" t="s">
        <v>2230</v>
      </c>
      <c r="B657" s="2" t="s">
        <v>2231</v>
      </c>
      <c r="C657" s="5" t="s">
        <v>2128</v>
      </c>
      <c r="D657" s="5" t="s">
        <v>60</v>
      </c>
      <c r="E657" s="5" t="s">
        <v>62</v>
      </c>
      <c r="F657" s="5" t="s">
        <v>8234</v>
      </c>
    </row>
    <row r="658" customFormat="false" ht="35.05" hidden="false" customHeight="false" outlineLevel="0" collapsed="false">
      <c r="A658" s="5" t="s">
        <v>2230</v>
      </c>
      <c r="B658" s="2" t="s">
        <v>2231</v>
      </c>
      <c r="C658" s="5" t="s">
        <v>2128</v>
      </c>
      <c r="D658" s="5" t="s">
        <v>60</v>
      </c>
      <c r="E658" s="5" t="s">
        <v>62</v>
      </c>
      <c r="F658" s="5" t="s">
        <v>8235</v>
      </c>
    </row>
    <row r="659" customFormat="false" ht="35.05" hidden="false" customHeight="false" outlineLevel="0" collapsed="false">
      <c r="A659" s="5" t="s">
        <v>2230</v>
      </c>
      <c r="B659" s="2" t="s">
        <v>2231</v>
      </c>
      <c r="C659" s="5" t="s">
        <v>2128</v>
      </c>
      <c r="D659" s="5" t="s">
        <v>60</v>
      </c>
      <c r="E659" s="5" t="s">
        <v>62</v>
      </c>
      <c r="F659" s="5" t="s">
        <v>8227</v>
      </c>
    </row>
    <row r="660" customFormat="false" ht="35.05" hidden="false" customHeight="false" outlineLevel="0" collapsed="false">
      <c r="A660" s="5" t="s">
        <v>2230</v>
      </c>
      <c r="B660" s="2" t="s">
        <v>2231</v>
      </c>
      <c r="C660" s="5" t="s">
        <v>2128</v>
      </c>
      <c r="D660" s="5" t="s">
        <v>60</v>
      </c>
      <c r="E660" s="5" t="s">
        <v>62</v>
      </c>
      <c r="F660" s="5" t="s">
        <v>8236</v>
      </c>
    </row>
    <row r="661" customFormat="false" ht="35.05" hidden="false" customHeight="false" outlineLevel="0" collapsed="false">
      <c r="A661" s="5" t="s">
        <v>2230</v>
      </c>
      <c r="B661" s="2" t="s">
        <v>2231</v>
      </c>
      <c r="C661" s="5" t="s">
        <v>2128</v>
      </c>
      <c r="D661" s="5" t="s">
        <v>60</v>
      </c>
      <c r="E661" s="5" t="s">
        <v>62</v>
      </c>
      <c r="F661" s="5" t="s">
        <v>8217</v>
      </c>
    </row>
    <row r="662" customFormat="false" ht="35.05" hidden="false" customHeight="false" outlineLevel="0" collapsed="false">
      <c r="A662" s="5" t="s">
        <v>2230</v>
      </c>
      <c r="B662" s="2" t="s">
        <v>2231</v>
      </c>
      <c r="C662" s="5" t="s">
        <v>2128</v>
      </c>
      <c r="D662" s="5" t="s">
        <v>60</v>
      </c>
      <c r="E662" s="5" t="s">
        <v>62</v>
      </c>
      <c r="F662" s="5" t="s">
        <v>2349</v>
      </c>
    </row>
    <row r="663" customFormat="false" ht="35.05" hidden="false" customHeight="false" outlineLevel="0" collapsed="false">
      <c r="A663" s="5" t="s">
        <v>2230</v>
      </c>
      <c r="B663" s="2" t="s">
        <v>2231</v>
      </c>
      <c r="C663" s="5" t="s">
        <v>2128</v>
      </c>
      <c r="D663" s="5" t="s">
        <v>60</v>
      </c>
      <c r="E663" s="5" t="s">
        <v>62</v>
      </c>
      <c r="F663" s="5" t="s">
        <v>8218</v>
      </c>
    </row>
    <row r="664" customFormat="false" ht="35.05" hidden="false" customHeight="false" outlineLevel="0" collapsed="false">
      <c r="A664" s="5" t="s">
        <v>2230</v>
      </c>
      <c r="B664" s="2" t="s">
        <v>2231</v>
      </c>
      <c r="C664" s="5" t="s">
        <v>2128</v>
      </c>
      <c r="D664" s="5" t="s">
        <v>60</v>
      </c>
      <c r="E664" s="5" t="s">
        <v>62</v>
      </c>
      <c r="F664" s="5" t="s">
        <v>8219</v>
      </c>
    </row>
    <row r="665" customFormat="false" ht="35.05" hidden="false" customHeight="false" outlineLevel="0" collapsed="false">
      <c r="A665" s="5" t="s">
        <v>2230</v>
      </c>
      <c r="B665" s="2" t="s">
        <v>2231</v>
      </c>
      <c r="C665" s="5" t="s">
        <v>2128</v>
      </c>
      <c r="D665" s="5" t="s">
        <v>60</v>
      </c>
      <c r="E665" s="5" t="s">
        <v>62</v>
      </c>
      <c r="F665" s="5" t="s">
        <v>8237</v>
      </c>
    </row>
    <row r="666" customFormat="false" ht="35.05" hidden="false" customHeight="false" outlineLevel="0" collapsed="false">
      <c r="A666" s="5" t="s">
        <v>2230</v>
      </c>
      <c r="B666" s="2" t="s">
        <v>2231</v>
      </c>
      <c r="C666" s="5" t="s">
        <v>2128</v>
      </c>
      <c r="D666" s="5" t="s">
        <v>60</v>
      </c>
      <c r="E666" s="5" t="s">
        <v>62</v>
      </c>
      <c r="F666" s="5" t="s">
        <v>502</v>
      </c>
    </row>
    <row r="667" customFormat="false" ht="35.05" hidden="false" customHeight="false" outlineLevel="0" collapsed="false">
      <c r="A667" s="5" t="s">
        <v>2230</v>
      </c>
      <c r="B667" s="2" t="s">
        <v>2231</v>
      </c>
      <c r="C667" s="5" t="s">
        <v>2128</v>
      </c>
      <c r="D667" s="5" t="s">
        <v>60</v>
      </c>
      <c r="E667" s="5" t="s">
        <v>62</v>
      </c>
      <c r="F667" s="5" t="s">
        <v>8238</v>
      </c>
    </row>
    <row r="668" customFormat="false" ht="35.05" hidden="false" customHeight="false" outlineLevel="0" collapsed="false">
      <c r="A668" s="5" t="s">
        <v>2230</v>
      </c>
      <c r="B668" s="2" t="s">
        <v>2231</v>
      </c>
      <c r="C668" s="5" t="s">
        <v>2128</v>
      </c>
      <c r="D668" s="5" t="s">
        <v>60</v>
      </c>
      <c r="E668" s="5" t="s">
        <v>62</v>
      </c>
      <c r="F668" s="5" t="s">
        <v>8239</v>
      </c>
    </row>
    <row r="669" customFormat="false" ht="35.05" hidden="false" customHeight="false" outlineLevel="0" collapsed="false">
      <c r="A669" s="5" t="s">
        <v>2230</v>
      </c>
      <c r="B669" s="2" t="s">
        <v>2231</v>
      </c>
      <c r="C669" s="5" t="s">
        <v>2128</v>
      </c>
      <c r="D669" s="5" t="s">
        <v>60</v>
      </c>
      <c r="E669" s="5" t="s">
        <v>62</v>
      </c>
      <c r="F669" s="5" t="s">
        <v>5328</v>
      </c>
    </row>
    <row r="670" customFormat="false" ht="35.05" hidden="false" customHeight="false" outlineLevel="0" collapsed="false">
      <c r="A670" s="5" t="s">
        <v>2230</v>
      </c>
      <c r="B670" s="2" t="s">
        <v>2231</v>
      </c>
      <c r="C670" s="5" t="s">
        <v>2128</v>
      </c>
      <c r="D670" s="5" t="s">
        <v>60</v>
      </c>
      <c r="E670" s="5" t="s">
        <v>62</v>
      </c>
      <c r="F670" s="5" t="s">
        <v>8240</v>
      </c>
    </row>
    <row r="671" customFormat="false" ht="35.05" hidden="false" customHeight="false" outlineLevel="0" collapsed="false">
      <c r="A671" s="5" t="s">
        <v>2230</v>
      </c>
      <c r="B671" s="2" t="s">
        <v>2231</v>
      </c>
      <c r="C671" s="5" t="s">
        <v>2128</v>
      </c>
      <c r="D671" s="5" t="s">
        <v>60</v>
      </c>
      <c r="E671" s="5" t="s">
        <v>62</v>
      </c>
      <c r="F671" s="5" t="s">
        <v>8228</v>
      </c>
    </row>
    <row r="672" customFormat="false" ht="35.05" hidden="false" customHeight="false" outlineLevel="0" collapsed="false">
      <c r="A672" s="5" t="s">
        <v>2230</v>
      </c>
      <c r="B672" s="2" t="s">
        <v>2231</v>
      </c>
      <c r="C672" s="5" t="s">
        <v>2128</v>
      </c>
      <c r="D672" s="5" t="s">
        <v>60</v>
      </c>
      <c r="E672" s="5" t="s">
        <v>62</v>
      </c>
      <c r="F672" s="5" t="s">
        <v>741</v>
      </c>
    </row>
    <row r="673" customFormat="false" ht="35.05" hidden="false" customHeight="false" outlineLevel="0" collapsed="false">
      <c r="A673" s="5" t="s">
        <v>2238</v>
      </c>
      <c r="B673" s="2" t="s">
        <v>2239</v>
      </c>
      <c r="C673" s="5" t="s">
        <v>2128</v>
      </c>
      <c r="D673" s="5" t="s">
        <v>60</v>
      </c>
      <c r="E673" s="5" t="s">
        <v>62</v>
      </c>
      <c r="F673" s="5" t="s">
        <v>492</v>
      </c>
    </row>
    <row r="674" customFormat="false" ht="35.05" hidden="false" customHeight="false" outlineLevel="0" collapsed="false">
      <c r="A674" s="5" t="s">
        <v>2238</v>
      </c>
      <c r="B674" s="2" t="s">
        <v>2239</v>
      </c>
      <c r="C674" s="5" t="s">
        <v>2128</v>
      </c>
      <c r="D674" s="5" t="s">
        <v>60</v>
      </c>
      <c r="E674" s="5" t="s">
        <v>62</v>
      </c>
      <c r="F674" s="5" t="s">
        <v>8232</v>
      </c>
    </row>
    <row r="675" customFormat="false" ht="35.05" hidden="false" customHeight="false" outlineLevel="0" collapsed="false">
      <c r="A675" s="5" t="s">
        <v>2238</v>
      </c>
      <c r="B675" s="2" t="s">
        <v>2239</v>
      </c>
      <c r="C675" s="5" t="s">
        <v>2128</v>
      </c>
      <c r="D675" s="5" t="s">
        <v>60</v>
      </c>
      <c r="E675" s="5" t="s">
        <v>62</v>
      </c>
      <c r="F675" s="5" t="s">
        <v>526</v>
      </c>
    </row>
    <row r="676" customFormat="false" ht="35.05" hidden="false" customHeight="false" outlineLevel="0" collapsed="false">
      <c r="A676" s="5" t="s">
        <v>2238</v>
      </c>
      <c r="B676" s="2" t="s">
        <v>2239</v>
      </c>
      <c r="C676" s="5" t="s">
        <v>2128</v>
      </c>
      <c r="D676" s="5" t="s">
        <v>60</v>
      </c>
      <c r="E676" s="5" t="s">
        <v>62</v>
      </c>
      <c r="F676" s="5" t="s">
        <v>8220</v>
      </c>
    </row>
    <row r="677" customFormat="false" ht="35.05" hidden="false" customHeight="false" outlineLevel="0" collapsed="false">
      <c r="A677" s="5" t="s">
        <v>2238</v>
      </c>
      <c r="B677" s="2" t="s">
        <v>2239</v>
      </c>
      <c r="C677" s="5" t="s">
        <v>2128</v>
      </c>
      <c r="D677" s="5" t="s">
        <v>60</v>
      </c>
      <c r="E677" s="5" t="s">
        <v>62</v>
      </c>
      <c r="F677" s="5" t="s">
        <v>8222</v>
      </c>
    </row>
    <row r="678" customFormat="false" ht="35.05" hidden="false" customHeight="false" outlineLevel="0" collapsed="false">
      <c r="A678" s="5" t="s">
        <v>2238</v>
      </c>
      <c r="B678" s="2" t="s">
        <v>2239</v>
      </c>
      <c r="C678" s="5" t="s">
        <v>2128</v>
      </c>
      <c r="D678" s="5" t="s">
        <v>60</v>
      </c>
      <c r="E678" s="5" t="s">
        <v>62</v>
      </c>
      <c r="F678" s="5" t="s">
        <v>8224</v>
      </c>
    </row>
    <row r="679" customFormat="false" ht="35.05" hidden="false" customHeight="false" outlineLevel="0" collapsed="false">
      <c r="A679" s="5" t="s">
        <v>2238</v>
      </c>
      <c r="B679" s="2" t="s">
        <v>2239</v>
      </c>
      <c r="C679" s="5" t="s">
        <v>2128</v>
      </c>
      <c r="D679" s="5" t="s">
        <v>60</v>
      </c>
      <c r="E679" s="5" t="s">
        <v>62</v>
      </c>
      <c r="F679" s="5" t="s">
        <v>8226</v>
      </c>
    </row>
    <row r="680" customFormat="false" ht="35.05" hidden="false" customHeight="false" outlineLevel="0" collapsed="false">
      <c r="A680" s="5" t="s">
        <v>2238</v>
      </c>
      <c r="B680" s="2" t="s">
        <v>2239</v>
      </c>
      <c r="C680" s="5" t="s">
        <v>2128</v>
      </c>
      <c r="D680" s="5" t="s">
        <v>60</v>
      </c>
      <c r="E680" s="5" t="s">
        <v>62</v>
      </c>
      <c r="F680" s="5" t="s">
        <v>8233</v>
      </c>
    </row>
    <row r="681" customFormat="false" ht="35.05" hidden="false" customHeight="false" outlineLevel="0" collapsed="false">
      <c r="A681" s="5" t="s">
        <v>2238</v>
      </c>
      <c r="B681" s="2" t="s">
        <v>2239</v>
      </c>
      <c r="C681" s="5" t="s">
        <v>2128</v>
      </c>
      <c r="D681" s="5" t="s">
        <v>60</v>
      </c>
      <c r="E681" s="5" t="s">
        <v>62</v>
      </c>
      <c r="F681" s="5" t="s">
        <v>8234</v>
      </c>
    </row>
    <row r="682" customFormat="false" ht="35.05" hidden="false" customHeight="false" outlineLevel="0" collapsed="false">
      <c r="A682" s="5" t="s">
        <v>2238</v>
      </c>
      <c r="B682" s="2" t="s">
        <v>2239</v>
      </c>
      <c r="C682" s="5" t="s">
        <v>2128</v>
      </c>
      <c r="D682" s="5" t="s">
        <v>60</v>
      </c>
      <c r="E682" s="5" t="s">
        <v>62</v>
      </c>
      <c r="F682" s="5" t="s">
        <v>8235</v>
      </c>
    </row>
    <row r="683" customFormat="false" ht="35.05" hidden="false" customHeight="false" outlineLevel="0" collapsed="false">
      <c r="A683" s="5" t="s">
        <v>2238</v>
      </c>
      <c r="B683" s="2" t="s">
        <v>2239</v>
      </c>
      <c r="C683" s="5" t="s">
        <v>2128</v>
      </c>
      <c r="D683" s="5" t="s">
        <v>60</v>
      </c>
      <c r="E683" s="5" t="s">
        <v>62</v>
      </c>
      <c r="F683" s="5" t="s">
        <v>8227</v>
      </c>
    </row>
    <row r="684" customFormat="false" ht="35.05" hidden="false" customHeight="false" outlineLevel="0" collapsed="false">
      <c r="A684" s="5" t="s">
        <v>2238</v>
      </c>
      <c r="B684" s="2" t="s">
        <v>2239</v>
      </c>
      <c r="C684" s="5" t="s">
        <v>2128</v>
      </c>
      <c r="D684" s="5" t="s">
        <v>60</v>
      </c>
      <c r="E684" s="5" t="s">
        <v>62</v>
      </c>
      <c r="F684" s="5" t="s">
        <v>8236</v>
      </c>
    </row>
    <row r="685" customFormat="false" ht="35.05" hidden="false" customHeight="false" outlineLevel="0" collapsed="false">
      <c r="A685" s="5" t="s">
        <v>2238</v>
      </c>
      <c r="B685" s="2" t="s">
        <v>2239</v>
      </c>
      <c r="C685" s="5" t="s">
        <v>2128</v>
      </c>
      <c r="D685" s="5" t="s">
        <v>60</v>
      </c>
      <c r="E685" s="5" t="s">
        <v>62</v>
      </c>
      <c r="F685" s="5" t="s">
        <v>8217</v>
      </c>
    </row>
    <row r="686" customFormat="false" ht="35.05" hidden="false" customHeight="false" outlineLevel="0" collapsed="false">
      <c r="A686" s="5" t="s">
        <v>2238</v>
      </c>
      <c r="B686" s="2" t="s">
        <v>2239</v>
      </c>
      <c r="C686" s="5" t="s">
        <v>2128</v>
      </c>
      <c r="D686" s="5" t="s">
        <v>60</v>
      </c>
      <c r="E686" s="5" t="s">
        <v>62</v>
      </c>
      <c r="F686" s="5" t="s">
        <v>2349</v>
      </c>
    </row>
    <row r="687" customFormat="false" ht="35.05" hidden="false" customHeight="false" outlineLevel="0" collapsed="false">
      <c r="A687" s="5" t="s">
        <v>2238</v>
      </c>
      <c r="B687" s="2" t="s">
        <v>2239</v>
      </c>
      <c r="C687" s="5" t="s">
        <v>2128</v>
      </c>
      <c r="D687" s="5" t="s">
        <v>60</v>
      </c>
      <c r="E687" s="5" t="s">
        <v>62</v>
      </c>
      <c r="F687" s="5" t="s">
        <v>8218</v>
      </c>
    </row>
    <row r="688" customFormat="false" ht="35.05" hidden="false" customHeight="false" outlineLevel="0" collapsed="false">
      <c r="A688" s="5" t="s">
        <v>2238</v>
      </c>
      <c r="B688" s="2" t="s">
        <v>2239</v>
      </c>
      <c r="C688" s="5" t="s">
        <v>2128</v>
      </c>
      <c r="D688" s="5" t="s">
        <v>60</v>
      </c>
      <c r="E688" s="5" t="s">
        <v>62</v>
      </c>
      <c r="F688" s="5" t="s">
        <v>8219</v>
      </c>
    </row>
    <row r="689" customFormat="false" ht="35.05" hidden="false" customHeight="false" outlineLevel="0" collapsed="false">
      <c r="A689" s="5" t="s">
        <v>2238</v>
      </c>
      <c r="B689" s="2" t="s">
        <v>2239</v>
      </c>
      <c r="C689" s="5" t="s">
        <v>2128</v>
      </c>
      <c r="D689" s="5" t="s">
        <v>60</v>
      </c>
      <c r="E689" s="5" t="s">
        <v>62</v>
      </c>
      <c r="F689" s="5" t="s">
        <v>8237</v>
      </c>
    </row>
    <row r="690" customFormat="false" ht="35.05" hidden="false" customHeight="false" outlineLevel="0" collapsed="false">
      <c r="A690" s="5" t="s">
        <v>2238</v>
      </c>
      <c r="B690" s="2" t="s">
        <v>2239</v>
      </c>
      <c r="C690" s="5" t="s">
        <v>2128</v>
      </c>
      <c r="D690" s="5" t="s">
        <v>60</v>
      </c>
      <c r="E690" s="5" t="s">
        <v>62</v>
      </c>
      <c r="F690" s="5" t="s">
        <v>502</v>
      </c>
    </row>
    <row r="691" customFormat="false" ht="35.05" hidden="false" customHeight="false" outlineLevel="0" collapsed="false">
      <c r="A691" s="5" t="s">
        <v>2238</v>
      </c>
      <c r="B691" s="2" t="s">
        <v>2239</v>
      </c>
      <c r="C691" s="5" t="s">
        <v>2128</v>
      </c>
      <c r="D691" s="5" t="s">
        <v>60</v>
      </c>
      <c r="E691" s="5" t="s">
        <v>62</v>
      </c>
      <c r="F691" s="5" t="s">
        <v>8238</v>
      </c>
    </row>
    <row r="692" customFormat="false" ht="35.05" hidden="false" customHeight="false" outlineLevel="0" collapsed="false">
      <c r="A692" s="5" t="s">
        <v>2238</v>
      </c>
      <c r="B692" s="2" t="s">
        <v>2239</v>
      </c>
      <c r="C692" s="5" t="s">
        <v>2128</v>
      </c>
      <c r="D692" s="5" t="s">
        <v>60</v>
      </c>
      <c r="E692" s="5" t="s">
        <v>62</v>
      </c>
      <c r="F692" s="5" t="s">
        <v>8239</v>
      </c>
    </row>
    <row r="693" customFormat="false" ht="35.05" hidden="false" customHeight="false" outlineLevel="0" collapsed="false">
      <c r="A693" s="5" t="s">
        <v>2238</v>
      </c>
      <c r="B693" s="2" t="s">
        <v>2239</v>
      </c>
      <c r="C693" s="5" t="s">
        <v>2128</v>
      </c>
      <c r="D693" s="5" t="s">
        <v>60</v>
      </c>
      <c r="E693" s="5" t="s">
        <v>62</v>
      </c>
      <c r="F693" s="5" t="s">
        <v>5328</v>
      </c>
    </row>
    <row r="694" customFormat="false" ht="35.05" hidden="false" customHeight="false" outlineLevel="0" collapsed="false">
      <c r="A694" s="5" t="s">
        <v>2238</v>
      </c>
      <c r="B694" s="2" t="s">
        <v>2239</v>
      </c>
      <c r="C694" s="5" t="s">
        <v>2128</v>
      </c>
      <c r="D694" s="5" t="s">
        <v>60</v>
      </c>
      <c r="E694" s="5" t="s">
        <v>62</v>
      </c>
      <c r="F694" s="5" t="s">
        <v>8240</v>
      </c>
    </row>
    <row r="695" customFormat="false" ht="35.05" hidden="false" customHeight="false" outlineLevel="0" collapsed="false">
      <c r="A695" s="5" t="s">
        <v>2238</v>
      </c>
      <c r="B695" s="2" t="s">
        <v>2239</v>
      </c>
      <c r="C695" s="5" t="s">
        <v>2128</v>
      </c>
      <c r="D695" s="5" t="s">
        <v>60</v>
      </c>
      <c r="E695" s="5" t="s">
        <v>62</v>
      </c>
      <c r="F695" s="5" t="s">
        <v>8228</v>
      </c>
    </row>
    <row r="696" customFormat="false" ht="35.05" hidden="false" customHeight="false" outlineLevel="0" collapsed="false">
      <c r="A696" s="5" t="s">
        <v>2238</v>
      </c>
      <c r="B696" s="2" t="s">
        <v>2239</v>
      </c>
      <c r="C696" s="5" t="s">
        <v>2128</v>
      </c>
      <c r="D696" s="5" t="s">
        <v>60</v>
      </c>
      <c r="E696" s="5" t="s">
        <v>62</v>
      </c>
      <c r="F696" s="5" t="s">
        <v>741</v>
      </c>
    </row>
    <row r="697" customFormat="false" ht="23.85" hidden="false" customHeight="false" outlineLevel="0" collapsed="false">
      <c r="A697" s="5" t="s">
        <v>2243</v>
      </c>
      <c r="B697" s="2" t="s">
        <v>2244</v>
      </c>
      <c r="C697" s="5" t="s">
        <v>2245</v>
      </c>
      <c r="D697" s="5" t="s">
        <v>60</v>
      </c>
      <c r="E697" s="5" t="s">
        <v>62</v>
      </c>
      <c r="F697" s="5" t="s">
        <v>2246</v>
      </c>
    </row>
    <row r="698" customFormat="false" ht="23.85" hidden="false" customHeight="false" outlineLevel="0" collapsed="false">
      <c r="A698" s="5" t="s">
        <v>2253</v>
      </c>
      <c r="B698" s="2" t="s">
        <v>2254</v>
      </c>
      <c r="C698" s="5" t="s">
        <v>2245</v>
      </c>
      <c r="D698" s="5" t="s">
        <v>60</v>
      </c>
      <c r="E698" s="5" t="s">
        <v>62</v>
      </c>
      <c r="F698" s="5" t="s">
        <v>2246</v>
      </c>
    </row>
    <row r="699" customFormat="false" ht="15" hidden="false" customHeight="false" outlineLevel="0" collapsed="false">
      <c r="A699" s="5" t="s">
        <v>2260</v>
      </c>
      <c r="B699" s="2" t="s">
        <v>2261</v>
      </c>
      <c r="C699" s="5" t="s">
        <v>2245</v>
      </c>
      <c r="D699" s="5" t="s">
        <v>60</v>
      </c>
      <c r="E699" s="5" t="s">
        <v>62</v>
      </c>
      <c r="F699" s="5" t="s">
        <v>2246</v>
      </c>
    </row>
    <row r="700" customFormat="false" ht="23.85" hidden="false" customHeight="false" outlineLevel="0" collapsed="false">
      <c r="A700" s="5" t="s">
        <v>2267</v>
      </c>
      <c r="B700" s="2" t="s">
        <v>2268</v>
      </c>
      <c r="C700" s="5" t="s">
        <v>2245</v>
      </c>
      <c r="D700" s="5" t="s">
        <v>60</v>
      </c>
      <c r="E700" s="5" t="s">
        <v>62</v>
      </c>
      <c r="F700" s="5" t="s">
        <v>2246</v>
      </c>
    </row>
    <row r="701" customFormat="false" ht="15" hidden="false" customHeight="false" outlineLevel="0" collapsed="false">
      <c r="A701" s="5" t="s">
        <v>2274</v>
      </c>
      <c r="B701" s="2" t="s">
        <v>2275</v>
      </c>
      <c r="C701" s="5" t="s">
        <v>2128</v>
      </c>
      <c r="D701" s="5" t="s">
        <v>60</v>
      </c>
      <c r="E701" s="5" t="s">
        <v>62</v>
      </c>
      <c r="F701" s="5" t="s">
        <v>8242</v>
      </c>
    </row>
    <row r="702" customFormat="false" ht="15" hidden="false" customHeight="false" outlineLevel="0" collapsed="false">
      <c r="A702" s="5" t="s">
        <v>2274</v>
      </c>
      <c r="B702" s="2" t="s">
        <v>2275</v>
      </c>
      <c r="C702" s="5" t="s">
        <v>2128</v>
      </c>
      <c r="D702" s="5" t="s">
        <v>60</v>
      </c>
      <c r="E702" s="5" t="s">
        <v>62</v>
      </c>
      <c r="F702" s="5" t="s">
        <v>8243</v>
      </c>
    </row>
    <row r="703" customFormat="false" ht="15" hidden="false" customHeight="false" outlineLevel="0" collapsed="false">
      <c r="A703" s="5" t="s">
        <v>2274</v>
      </c>
      <c r="B703" s="2" t="s">
        <v>2275</v>
      </c>
      <c r="C703" s="5" t="s">
        <v>2128</v>
      </c>
      <c r="D703" s="5" t="s">
        <v>60</v>
      </c>
      <c r="E703" s="5" t="s">
        <v>62</v>
      </c>
      <c r="F703" s="5" t="s">
        <v>8244</v>
      </c>
    </row>
    <row r="704" customFormat="false" ht="15" hidden="false" customHeight="false" outlineLevel="0" collapsed="false">
      <c r="A704" s="5" t="s">
        <v>2282</v>
      </c>
      <c r="B704" s="2" t="s">
        <v>2283</v>
      </c>
      <c r="C704" s="5" t="s">
        <v>2128</v>
      </c>
      <c r="D704" s="5" t="s">
        <v>60</v>
      </c>
      <c r="E704" s="5" t="s">
        <v>62</v>
      </c>
      <c r="F704" s="5" t="s">
        <v>184</v>
      </c>
    </row>
    <row r="705" customFormat="false" ht="23.85" hidden="false" customHeight="false" outlineLevel="0" collapsed="false">
      <c r="A705" s="5" t="s">
        <v>2290</v>
      </c>
      <c r="B705" s="2" t="s">
        <v>2291</v>
      </c>
      <c r="C705" s="5" t="s">
        <v>2128</v>
      </c>
      <c r="D705" s="5" t="s">
        <v>60</v>
      </c>
      <c r="E705" s="5" t="s">
        <v>62</v>
      </c>
      <c r="F705" s="5" t="s">
        <v>1513</v>
      </c>
    </row>
    <row r="706" customFormat="false" ht="23.85" hidden="false" customHeight="false" outlineLevel="0" collapsed="false">
      <c r="A706" s="5" t="s">
        <v>2301</v>
      </c>
      <c r="B706" s="2" t="s">
        <v>2302</v>
      </c>
      <c r="C706" s="5" t="s">
        <v>2128</v>
      </c>
      <c r="D706" s="5" t="s">
        <v>60</v>
      </c>
      <c r="E706" s="5" t="s">
        <v>62</v>
      </c>
      <c r="F706" s="5" t="s">
        <v>184</v>
      </c>
    </row>
    <row r="707" customFormat="false" ht="23.85" hidden="false" customHeight="false" outlineLevel="0" collapsed="false">
      <c r="A707" s="5" t="s">
        <v>2311</v>
      </c>
      <c r="B707" s="2" t="s">
        <v>2312</v>
      </c>
      <c r="C707" s="5" t="s">
        <v>2128</v>
      </c>
      <c r="D707" s="5" t="s">
        <v>60</v>
      </c>
      <c r="E707" s="5" t="s">
        <v>62</v>
      </c>
      <c r="F707" s="5" t="s">
        <v>1513</v>
      </c>
    </row>
    <row r="708" customFormat="false" ht="23.85" hidden="false" customHeight="false" outlineLevel="0" collapsed="false">
      <c r="A708" s="5" t="s">
        <v>2317</v>
      </c>
      <c r="B708" s="2" t="s">
        <v>2318</v>
      </c>
      <c r="C708" s="5" t="s">
        <v>2128</v>
      </c>
      <c r="D708" s="5" t="s">
        <v>60</v>
      </c>
      <c r="E708" s="5" t="s">
        <v>62</v>
      </c>
      <c r="F708" s="5" t="s">
        <v>184</v>
      </c>
    </row>
    <row r="709" customFormat="false" ht="15" hidden="false" customHeight="false" outlineLevel="0" collapsed="false">
      <c r="A709" s="5" t="s">
        <v>2329</v>
      </c>
      <c r="B709" s="2" t="s">
        <v>2330</v>
      </c>
      <c r="C709" s="5" t="s">
        <v>2128</v>
      </c>
      <c r="D709" s="5" t="s">
        <v>60</v>
      </c>
      <c r="E709" s="5" t="s">
        <v>490</v>
      </c>
      <c r="F709" s="5" t="s">
        <v>1513</v>
      </c>
    </row>
    <row r="710" customFormat="false" ht="23.85" hidden="false" customHeight="false" outlineLevel="0" collapsed="false">
      <c r="A710" s="5" t="s">
        <v>2337</v>
      </c>
      <c r="B710" s="2" t="s">
        <v>2338</v>
      </c>
      <c r="C710" s="5" t="s">
        <v>2128</v>
      </c>
      <c r="D710" s="5" t="s">
        <v>60</v>
      </c>
      <c r="E710" s="5" t="s">
        <v>62</v>
      </c>
      <c r="F710" s="5" t="s">
        <v>2340</v>
      </c>
    </row>
    <row r="711" customFormat="false" ht="15" hidden="false" customHeight="false" outlineLevel="0" collapsed="false">
      <c r="A711" s="5" t="s">
        <v>2347</v>
      </c>
      <c r="B711" s="2" t="s">
        <v>2348</v>
      </c>
      <c r="C711" s="5" t="s">
        <v>2128</v>
      </c>
      <c r="D711" s="5" t="s">
        <v>60</v>
      </c>
      <c r="E711" s="5" t="s">
        <v>62</v>
      </c>
      <c r="F711" s="5" t="s">
        <v>2349</v>
      </c>
    </row>
    <row r="712" customFormat="false" ht="15" hidden="false" customHeight="false" outlineLevel="0" collapsed="false">
      <c r="A712" s="5" t="s">
        <v>2356</v>
      </c>
      <c r="B712" s="2" t="s">
        <v>2357</v>
      </c>
      <c r="C712" s="5" t="s">
        <v>2128</v>
      </c>
      <c r="D712" s="5" t="s">
        <v>60</v>
      </c>
      <c r="E712" s="5" t="s">
        <v>62</v>
      </c>
      <c r="F712" s="5" t="s">
        <v>2349</v>
      </c>
    </row>
    <row r="713" customFormat="false" ht="15" hidden="false" customHeight="false" outlineLevel="0" collapsed="false">
      <c r="A713" s="5" t="s">
        <v>2362</v>
      </c>
      <c r="B713" s="2" t="s">
        <v>2363</v>
      </c>
      <c r="C713" s="5" t="s">
        <v>2128</v>
      </c>
      <c r="D713" s="5" t="s">
        <v>60</v>
      </c>
      <c r="E713" s="5" t="s">
        <v>62</v>
      </c>
      <c r="F713" s="5" t="s">
        <v>2349</v>
      </c>
    </row>
    <row r="714" customFormat="false" ht="15" hidden="false" customHeight="false" outlineLevel="0" collapsed="false">
      <c r="A714" s="5" t="s">
        <v>2369</v>
      </c>
      <c r="B714" s="2" t="s">
        <v>2370</v>
      </c>
      <c r="C714" s="5" t="s">
        <v>2128</v>
      </c>
      <c r="D714" s="5" t="s">
        <v>60</v>
      </c>
      <c r="E714" s="5" t="s">
        <v>62</v>
      </c>
      <c r="F714" s="5" t="s">
        <v>2349</v>
      </c>
    </row>
    <row r="715" customFormat="false" ht="15" hidden="false" customHeight="false" outlineLevel="0" collapsed="false">
      <c r="A715" s="5" t="s">
        <v>2374</v>
      </c>
      <c r="B715" s="2" t="s">
        <v>2375</v>
      </c>
      <c r="C715" s="5" t="s">
        <v>2128</v>
      </c>
      <c r="D715" s="5" t="s">
        <v>60</v>
      </c>
      <c r="E715" s="5" t="s">
        <v>62</v>
      </c>
      <c r="F715" s="5" t="s">
        <v>2376</v>
      </c>
    </row>
    <row r="716" customFormat="false" ht="15" hidden="false" customHeight="false" outlineLevel="0" collapsed="false">
      <c r="A716" s="5" t="s">
        <v>2384</v>
      </c>
      <c r="B716" s="2" t="s">
        <v>2385</v>
      </c>
      <c r="C716" s="5" t="s">
        <v>2128</v>
      </c>
      <c r="D716" s="5" t="s">
        <v>60</v>
      </c>
      <c r="E716" s="5" t="s">
        <v>62</v>
      </c>
      <c r="F716" s="5" t="s">
        <v>2386</v>
      </c>
    </row>
    <row r="717" customFormat="false" ht="15" hidden="false" customHeight="false" outlineLevel="0" collapsed="false">
      <c r="A717" s="5" t="s">
        <v>2393</v>
      </c>
      <c r="B717" s="2" t="s">
        <v>2394</v>
      </c>
      <c r="C717" s="5" t="s">
        <v>2128</v>
      </c>
      <c r="D717" s="5" t="s">
        <v>60</v>
      </c>
      <c r="E717" s="5" t="s">
        <v>62</v>
      </c>
      <c r="F717" s="5" t="s">
        <v>2386</v>
      </c>
    </row>
    <row r="718" customFormat="false" ht="23.85" hidden="false" customHeight="false" outlineLevel="0" collapsed="false">
      <c r="A718" s="5" t="s">
        <v>2399</v>
      </c>
      <c r="B718" s="2" t="s">
        <v>2400</v>
      </c>
      <c r="C718" s="5" t="s">
        <v>2128</v>
      </c>
      <c r="D718" s="5" t="s">
        <v>60</v>
      </c>
      <c r="E718" s="5" t="s">
        <v>62</v>
      </c>
      <c r="F718" s="5" t="s">
        <v>2386</v>
      </c>
    </row>
    <row r="719" customFormat="false" ht="15" hidden="false" customHeight="false" outlineLevel="0" collapsed="false">
      <c r="A719" s="5" t="s">
        <v>2408</v>
      </c>
      <c r="B719" s="2" t="s">
        <v>2409</v>
      </c>
      <c r="C719" s="5" t="s">
        <v>2128</v>
      </c>
      <c r="D719" s="5" t="s">
        <v>60</v>
      </c>
      <c r="E719" s="5" t="s">
        <v>62</v>
      </c>
      <c r="F719" s="5" t="s">
        <v>2386</v>
      </c>
    </row>
    <row r="720" customFormat="false" ht="15" hidden="false" customHeight="false" outlineLevel="0" collapsed="false">
      <c r="A720" s="5" t="s">
        <v>2416</v>
      </c>
      <c r="B720" s="2" t="s">
        <v>2417</v>
      </c>
      <c r="C720" s="5" t="s">
        <v>2128</v>
      </c>
      <c r="D720" s="5" t="s">
        <v>60</v>
      </c>
      <c r="E720" s="5" t="s">
        <v>62</v>
      </c>
      <c r="F720" s="5" t="s">
        <v>2386</v>
      </c>
    </row>
    <row r="721" customFormat="false" ht="15" hidden="false" customHeight="false" outlineLevel="0" collapsed="false">
      <c r="A721" s="5" t="s">
        <v>2424</v>
      </c>
      <c r="B721" s="2" t="s">
        <v>2425</v>
      </c>
      <c r="C721" s="5" t="s">
        <v>2128</v>
      </c>
      <c r="D721" s="5" t="s">
        <v>60</v>
      </c>
      <c r="E721" s="5" t="s">
        <v>62</v>
      </c>
      <c r="F721" s="5" t="s">
        <v>2386</v>
      </c>
    </row>
    <row r="722" customFormat="false" ht="15" hidden="false" customHeight="false" outlineLevel="0" collapsed="false">
      <c r="A722" s="5" t="s">
        <v>2432</v>
      </c>
      <c r="B722" s="2" t="s">
        <v>2433</v>
      </c>
      <c r="C722" s="5" t="s">
        <v>2128</v>
      </c>
      <c r="D722" s="5" t="s">
        <v>60</v>
      </c>
      <c r="E722" s="5" t="s">
        <v>62</v>
      </c>
      <c r="F722" s="5" t="s">
        <v>2386</v>
      </c>
    </row>
    <row r="723" customFormat="false" ht="15" hidden="false" customHeight="false" outlineLevel="0" collapsed="false">
      <c r="A723" s="5" t="s">
        <v>2439</v>
      </c>
      <c r="B723" s="2" t="s">
        <v>2440</v>
      </c>
      <c r="C723" s="5" t="s">
        <v>2128</v>
      </c>
      <c r="D723" s="5" t="s">
        <v>60</v>
      </c>
      <c r="E723" s="5" t="s">
        <v>62</v>
      </c>
      <c r="F723" s="5" t="s">
        <v>2386</v>
      </c>
    </row>
    <row r="724" customFormat="false" ht="23.85" hidden="false" customHeight="false" outlineLevel="0" collapsed="false">
      <c r="A724" s="5" t="s">
        <v>2446</v>
      </c>
      <c r="B724" s="2" t="s">
        <v>2447</v>
      </c>
      <c r="C724" s="5" t="s">
        <v>2128</v>
      </c>
      <c r="D724" s="5" t="s">
        <v>60</v>
      </c>
      <c r="E724" s="5" t="s">
        <v>62</v>
      </c>
      <c r="F724" s="5" t="s">
        <v>2448</v>
      </c>
    </row>
    <row r="725" customFormat="false" ht="15" hidden="false" customHeight="false" outlineLevel="0" collapsed="false">
      <c r="A725" s="5" t="s">
        <v>2455</v>
      </c>
      <c r="B725" s="2" t="s">
        <v>2456</v>
      </c>
      <c r="C725" s="5" t="s">
        <v>2128</v>
      </c>
      <c r="D725" s="5" t="s">
        <v>60</v>
      </c>
      <c r="E725" s="5" t="s">
        <v>62</v>
      </c>
      <c r="F725" s="5" t="s">
        <v>2448</v>
      </c>
    </row>
    <row r="726" customFormat="false" ht="15" hidden="false" customHeight="false" outlineLevel="0" collapsed="false">
      <c r="A726" s="5" t="s">
        <v>2462</v>
      </c>
      <c r="B726" s="2" t="s">
        <v>2463</v>
      </c>
      <c r="C726" s="5" t="s">
        <v>2128</v>
      </c>
      <c r="D726" s="5" t="s">
        <v>60</v>
      </c>
      <c r="E726" s="5" t="s">
        <v>62</v>
      </c>
      <c r="F726" s="5" t="s">
        <v>2448</v>
      </c>
    </row>
    <row r="727" customFormat="false" ht="15" hidden="false" customHeight="false" outlineLevel="0" collapsed="false">
      <c r="A727" s="5" t="s">
        <v>2470</v>
      </c>
      <c r="B727" s="2" t="s">
        <v>2471</v>
      </c>
      <c r="C727" s="5" t="s">
        <v>2128</v>
      </c>
      <c r="D727" s="5" t="s">
        <v>60</v>
      </c>
      <c r="E727" s="5" t="s">
        <v>62</v>
      </c>
      <c r="F727" s="5" t="s">
        <v>2448</v>
      </c>
    </row>
    <row r="728" customFormat="false" ht="15" hidden="false" customHeight="false" outlineLevel="0" collapsed="false">
      <c r="A728" s="5" t="s">
        <v>2477</v>
      </c>
      <c r="B728" s="2" t="s">
        <v>2478</v>
      </c>
      <c r="C728" s="5" t="s">
        <v>2128</v>
      </c>
      <c r="D728" s="5" t="s">
        <v>60</v>
      </c>
      <c r="E728" s="5" t="s">
        <v>62</v>
      </c>
      <c r="F728" s="5" t="s">
        <v>184</v>
      </c>
    </row>
    <row r="729" customFormat="false" ht="15" hidden="false" customHeight="false" outlineLevel="0" collapsed="false">
      <c r="A729" s="5" t="s">
        <v>2485</v>
      </c>
      <c r="B729" s="2" t="s">
        <v>2486</v>
      </c>
      <c r="C729" s="5" t="s">
        <v>2128</v>
      </c>
      <c r="D729" s="5" t="s">
        <v>60</v>
      </c>
      <c r="E729" s="5" t="s">
        <v>62</v>
      </c>
      <c r="F729" s="5" t="s">
        <v>184</v>
      </c>
    </row>
    <row r="730" customFormat="false" ht="15" hidden="false" customHeight="false" outlineLevel="0" collapsed="false">
      <c r="A730" s="5" t="s">
        <v>2490</v>
      </c>
      <c r="B730" s="2" t="s">
        <v>2491</v>
      </c>
      <c r="C730" s="5" t="s">
        <v>2128</v>
      </c>
      <c r="D730" s="5" t="s">
        <v>60</v>
      </c>
      <c r="E730" s="5" t="s">
        <v>62</v>
      </c>
      <c r="F730" s="5" t="s">
        <v>2493</v>
      </c>
    </row>
    <row r="731" customFormat="false" ht="15" hidden="false" customHeight="false" outlineLevel="0" collapsed="false">
      <c r="A731" s="5" t="s">
        <v>2501</v>
      </c>
      <c r="B731" s="2" t="s">
        <v>2502</v>
      </c>
      <c r="C731" s="5" t="s">
        <v>2128</v>
      </c>
      <c r="D731" s="5" t="s">
        <v>60</v>
      </c>
      <c r="E731" s="5" t="s">
        <v>62</v>
      </c>
      <c r="F731" s="5" t="s">
        <v>2493</v>
      </c>
    </row>
    <row r="732" customFormat="false" ht="15" hidden="false" customHeight="false" outlineLevel="0" collapsed="false">
      <c r="A732" s="5" t="s">
        <v>2506</v>
      </c>
      <c r="B732" s="2" t="s">
        <v>2507</v>
      </c>
      <c r="C732" s="5" t="s">
        <v>2128</v>
      </c>
      <c r="D732" s="5" t="s">
        <v>60</v>
      </c>
      <c r="E732" s="5" t="s">
        <v>62</v>
      </c>
      <c r="F732" s="5" t="s">
        <v>152</v>
      </c>
    </row>
    <row r="733" customFormat="false" ht="15" hidden="false" customHeight="false" outlineLevel="0" collapsed="false">
      <c r="A733" s="5" t="s">
        <v>2512</v>
      </c>
      <c r="B733" s="2" t="s">
        <v>2513</v>
      </c>
      <c r="C733" s="5" t="s">
        <v>2128</v>
      </c>
      <c r="D733" s="5" t="s">
        <v>60</v>
      </c>
      <c r="E733" s="5" t="s">
        <v>62</v>
      </c>
      <c r="F733" s="5" t="s">
        <v>741</v>
      </c>
    </row>
    <row r="734" customFormat="false" ht="23.85" hidden="false" customHeight="false" outlineLevel="0" collapsed="false">
      <c r="A734" s="5" t="s">
        <v>2520</v>
      </c>
      <c r="B734" s="2" t="s">
        <v>2521</v>
      </c>
      <c r="C734" s="5" t="s">
        <v>2128</v>
      </c>
      <c r="D734" s="5" t="s">
        <v>60</v>
      </c>
      <c r="E734" s="5" t="s">
        <v>62</v>
      </c>
      <c r="F734" s="5" t="s">
        <v>2522</v>
      </c>
    </row>
    <row r="735" customFormat="false" ht="23.85" hidden="false" customHeight="false" outlineLevel="0" collapsed="false">
      <c r="A735" s="5" t="s">
        <v>2529</v>
      </c>
      <c r="B735" s="2" t="s">
        <v>2530</v>
      </c>
      <c r="C735" s="5" t="s">
        <v>2128</v>
      </c>
      <c r="D735" s="5" t="s">
        <v>60</v>
      </c>
      <c r="E735" s="5" t="s">
        <v>62</v>
      </c>
      <c r="F735" s="5" t="s">
        <v>2522</v>
      </c>
    </row>
    <row r="736" customFormat="false" ht="15" hidden="false" customHeight="false" outlineLevel="0" collapsed="false">
      <c r="A736" s="5" t="s">
        <v>2534</v>
      </c>
      <c r="B736" s="2" t="s">
        <v>2535</v>
      </c>
      <c r="C736" s="5" t="s">
        <v>2128</v>
      </c>
      <c r="D736" s="5" t="s">
        <v>60</v>
      </c>
      <c r="E736" s="5" t="s">
        <v>62</v>
      </c>
      <c r="F736" s="5" t="s">
        <v>741</v>
      </c>
    </row>
    <row r="737" customFormat="false" ht="15" hidden="false" customHeight="false" outlineLevel="0" collapsed="false">
      <c r="A737" s="5" t="s">
        <v>2541</v>
      </c>
      <c r="B737" s="2" t="s">
        <v>2542</v>
      </c>
      <c r="C737" s="5" t="s">
        <v>2128</v>
      </c>
      <c r="D737" s="5" t="s">
        <v>60</v>
      </c>
      <c r="E737" s="5" t="s">
        <v>62</v>
      </c>
      <c r="F737" s="5" t="s">
        <v>741</v>
      </c>
    </row>
    <row r="738" customFormat="false" ht="15" hidden="false" customHeight="false" outlineLevel="0" collapsed="false">
      <c r="A738" s="5" t="s">
        <v>2549</v>
      </c>
      <c r="B738" s="2" t="s">
        <v>2550</v>
      </c>
      <c r="C738" s="5" t="s">
        <v>2128</v>
      </c>
      <c r="D738" s="5" t="s">
        <v>60</v>
      </c>
      <c r="E738" s="5" t="s">
        <v>62</v>
      </c>
      <c r="F738" s="5" t="s">
        <v>741</v>
      </c>
    </row>
    <row r="739" customFormat="false" ht="15" hidden="false" customHeight="false" outlineLevel="0" collapsed="false">
      <c r="A739" s="5" t="s">
        <v>2554</v>
      </c>
      <c r="B739" s="2" t="s">
        <v>2555</v>
      </c>
      <c r="C739" s="5" t="s">
        <v>2128</v>
      </c>
      <c r="D739" s="5" t="s">
        <v>60</v>
      </c>
      <c r="E739" s="5" t="s">
        <v>62</v>
      </c>
      <c r="F739" s="5" t="s">
        <v>741</v>
      </c>
    </row>
    <row r="740" customFormat="false" ht="15" hidden="false" customHeight="false" outlineLevel="0" collapsed="false">
      <c r="A740" s="5" t="s">
        <v>2560</v>
      </c>
      <c r="B740" s="2" t="s">
        <v>2561</v>
      </c>
      <c r="C740" s="5" t="s">
        <v>2128</v>
      </c>
      <c r="D740" s="5" t="s">
        <v>60</v>
      </c>
      <c r="E740" s="5" t="s">
        <v>62</v>
      </c>
      <c r="F740" s="5" t="s">
        <v>741</v>
      </c>
    </row>
    <row r="741" customFormat="false" ht="15" hidden="false" customHeight="false" outlineLevel="0" collapsed="false">
      <c r="A741" s="5" t="s">
        <v>2566</v>
      </c>
      <c r="B741" s="2" t="s">
        <v>2567</v>
      </c>
      <c r="C741" s="5" t="s">
        <v>2128</v>
      </c>
      <c r="D741" s="5" t="s">
        <v>60</v>
      </c>
      <c r="E741" s="5" t="s">
        <v>62</v>
      </c>
      <c r="F741" s="5" t="s">
        <v>741</v>
      </c>
    </row>
    <row r="742" customFormat="false" ht="15" hidden="false" customHeight="false" outlineLevel="0" collapsed="false">
      <c r="A742" s="5" t="s">
        <v>2572</v>
      </c>
      <c r="B742" s="2" t="s">
        <v>2573</v>
      </c>
      <c r="C742" s="5" t="s">
        <v>2128</v>
      </c>
      <c r="D742" s="5" t="s">
        <v>60</v>
      </c>
      <c r="E742" s="5" t="s">
        <v>62</v>
      </c>
      <c r="F742" s="5" t="s">
        <v>741</v>
      </c>
    </row>
    <row r="743" customFormat="false" ht="15" hidden="false" customHeight="false" outlineLevel="0" collapsed="false">
      <c r="A743" s="5" t="s">
        <v>2577</v>
      </c>
      <c r="B743" s="2" t="s">
        <v>2578</v>
      </c>
      <c r="C743" s="5" t="s">
        <v>2128</v>
      </c>
      <c r="D743" s="5" t="s">
        <v>60</v>
      </c>
      <c r="E743" s="5" t="s">
        <v>62</v>
      </c>
      <c r="F743" s="5" t="s">
        <v>741</v>
      </c>
    </row>
    <row r="744" customFormat="false" ht="15" hidden="false" customHeight="false" outlineLevel="0" collapsed="false">
      <c r="A744" s="5" t="s">
        <v>2583</v>
      </c>
      <c r="B744" s="2" t="s">
        <v>2584</v>
      </c>
      <c r="C744" s="5" t="s">
        <v>2128</v>
      </c>
      <c r="D744" s="5" t="s">
        <v>60</v>
      </c>
      <c r="E744" s="5" t="s">
        <v>62</v>
      </c>
      <c r="F744" s="5" t="s">
        <v>741</v>
      </c>
    </row>
    <row r="745" customFormat="false" ht="23.85" hidden="false" customHeight="false" outlineLevel="0" collapsed="false">
      <c r="A745" s="5" t="s">
        <v>2589</v>
      </c>
      <c r="B745" s="2" t="s">
        <v>2590</v>
      </c>
      <c r="C745" s="5" t="s">
        <v>2128</v>
      </c>
      <c r="D745" s="5" t="s">
        <v>60</v>
      </c>
      <c r="E745" s="5" t="s">
        <v>490</v>
      </c>
      <c r="F745" s="5" t="s">
        <v>152</v>
      </c>
    </row>
    <row r="746" customFormat="false" ht="15" hidden="false" customHeight="false" outlineLevel="0" collapsed="false">
      <c r="A746" s="5" t="s">
        <v>2599</v>
      </c>
      <c r="B746" s="2" t="s">
        <v>2600</v>
      </c>
      <c r="C746" s="5" t="s">
        <v>2128</v>
      </c>
      <c r="D746" s="5" t="s">
        <v>60</v>
      </c>
      <c r="E746" s="5" t="s">
        <v>62</v>
      </c>
      <c r="F746" s="5" t="s">
        <v>173</v>
      </c>
    </row>
    <row r="747" customFormat="false" ht="15" hidden="false" customHeight="false" outlineLevel="0" collapsed="false">
      <c r="A747" s="5" t="s">
        <v>2606</v>
      </c>
      <c r="B747" s="2" t="s">
        <v>2607</v>
      </c>
      <c r="C747" s="5" t="s">
        <v>2128</v>
      </c>
      <c r="D747" s="5" t="s">
        <v>60</v>
      </c>
      <c r="E747" s="5" t="s">
        <v>62</v>
      </c>
      <c r="F747" s="5" t="s">
        <v>184</v>
      </c>
    </row>
    <row r="748" customFormat="false" ht="15" hidden="false" customHeight="false" outlineLevel="0" collapsed="false">
      <c r="A748" s="5" t="s">
        <v>2614</v>
      </c>
      <c r="B748" s="2" t="s">
        <v>2615</v>
      </c>
      <c r="C748" s="5" t="s">
        <v>2128</v>
      </c>
      <c r="D748" s="5" t="s">
        <v>60</v>
      </c>
      <c r="E748" s="5" t="s">
        <v>62</v>
      </c>
      <c r="F748" s="5" t="s">
        <v>2616</v>
      </c>
    </row>
    <row r="749" customFormat="false" ht="23.85" hidden="false" customHeight="false" outlineLevel="0" collapsed="false">
      <c r="A749" s="5" t="s">
        <v>2623</v>
      </c>
      <c r="B749" s="2" t="s">
        <v>2624</v>
      </c>
      <c r="C749" s="5" t="s">
        <v>2128</v>
      </c>
      <c r="D749" s="5" t="s">
        <v>60</v>
      </c>
      <c r="E749" s="5" t="s">
        <v>62</v>
      </c>
      <c r="F749" s="5" t="s">
        <v>2626</v>
      </c>
    </row>
    <row r="750" customFormat="false" ht="23.85" hidden="false" customHeight="false" outlineLevel="0" collapsed="false">
      <c r="A750" s="5" t="s">
        <v>2635</v>
      </c>
      <c r="B750" s="2" t="s">
        <v>2636</v>
      </c>
      <c r="C750" s="5" t="s">
        <v>2128</v>
      </c>
      <c r="D750" s="5" t="s">
        <v>60</v>
      </c>
      <c r="E750" s="5" t="s">
        <v>62</v>
      </c>
      <c r="F750" s="5" t="s">
        <v>593</v>
      </c>
    </row>
    <row r="751" customFormat="false" ht="23.85" hidden="false" customHeight="false" outlineLevel="0" collapsed="false">
      <c r="A751" s="5" t="s">
        <v>2642</v>
      </c>
      <c r="B751" s="2" t="s">
        <v>2643</v>
      </c>
      <c r="C751" s="5" t="s">
        <v>2128</v>
      </c>
      <c r="D751" s="5" t="s">
        <v>60</v>
      </c>
      <c r="E751" s="5" t="s">
        <v>62</v>
      </c>
      <c r="F751" s="5" t="s">
        <v>184</v>
      </c>
    </row>
    <row r="752" customFormat="false" ht="15" hidden="false" customHeight="false" outlineLevel="0" collapsed="false">
      <c r="A752" s="5" t="s">
        <v>2650</v>
      </c>
      <c r="B752" s="2" t="s">
        <v>2651</v>
      </c>
      <c r="C752" s="5" t="s">
        <v>2128</v>
      </c>
      <c r="D752" s="5" t="s">
        <v>60</v>
      </c>
      <c r="E752" s="5" t="s">
        <v>62</v>
      </c>
      <c r="F752" s="5" t="s">
        <v>898</v>
      </c>
    </row>
    <row r="753" customFormat="false" ht="15" hidden="false" customHeight="false" outlineLevel="0" collapsed="false">
      <c r="A753" s="5" t="s">
        <v>2658</v>
      </c>
      <c r="B753" s="2" t="s">
        <v>2659</v>
      </c>
      <c r="C753" s="5" t="s">
        <v>2128</v>
      </c>
      <c r="D753" s="5" t="s">
        <v>60</v>
      </c>
      <c r="E753" s="5" t="s">
        <v>62</v>
      </c>
      <c r="F753" s="5" t="s">
        <v>898</v>
      </c>
    </row>
    <row r="754" customFormat="false" ht="15" hidden="false" customHeight="false" outlineLevel="0" collapsed="false">
      <c r="A754" s="5" t="s">
        <v>2666</v>
      </c>
      <c r="B754" s="2" t="s">
        <v>2667</v>
      </c>
      <c r="C754" s="5" t="s">
        <v>2128</v>
      </c>
      <c r="D754" s="5" t="s">
        <v>60</v>
      </c>
      <c r="E754" s="5" t="s">
        <v>62</v>
      </c>
      <c r="F754" s="5" t="s">
        <v>898</v>
      </c>
    </row>
    <row r="755" customFormat="false" ht="15" hidden="false" customHeight="false" outlineLevel="0" collapsed="false">
      <c r="A755" s="5" t="s">
        <v>2673</v>
      </c>
      <c r="B755" s="2" t="s">
        <v>2674</v>
      </c>
      <c r="C755" s="5" t="s">
        <v>2128</v>
      </c>
      <c r="D755" s="5" t="s">
        <v>60</v>
      </c>
      <c r="E755" s="5" t="s">
        <v>62</v>
      </c>
      <c r="F755" s="5" t="s">
        <v>898</v>
      </c>
    </row>
    <row r="756" customFormat="false" ht="15" hidden="false" customHeight="false" outlineLevel="0" collapsed="false">
      <c r="A756" s="5" t="s">
        <v>2680</v>
      </c>
      <c r="B756" s="2" t="s">
        <v>2681</v>
      </c>
      <c r="C756" s="5" t="s">
        <v>2128</v>
      </c>
      <c r="D756" s="5" t="s">
        <v>60</v>
      </c>
      <c r="E756" s="5" t="s">
        <v>62</v>
      </c>
      <c r="F756" s="5" t="s">
        <v>898</v>
      </c>
    </row>
    <row r="757" customFormat="false" ht="15" hidden="false" customHeight="false" outlineLevel="0" collapsed="false">
      <c r="A757" s="5" t="s">
        <v>2688</v>
      </c>
      <c r="B757" s="2" t="s">
        <v>2689</v>
      </c>
      <c r="C757" s="5" t="s">
        <v>2128</v>
      </c>
      <c r="D757" s="5" t="s">
        <v>60</v>
      </c>
      <c r="E757" s="5" t="s">
        <v>62</v>
      </c>
      <c r="F757" s="5" t="s">
        <v>898</v>
      </c>
    </row>
    <row r="758" customFormat="false" ht="15" hidden="false" customHeight="false" outlineLevel="0" collapsed="false">
      <c r="A758" s="5" t="s">
        <v>2695</v>
      </c>
      <c r="B758" s="2" t="s">
        <v>2696</v>
      </c>
      <c r="C758" s="5" t="s">
        <v>2128</v>
      </c>
      <c r="D758" s="5" t="s">
        <v>60</v>
      </c>
      <c r="E758" s="5" t="s">
        <v>62</v>
      </c>
      <c r="F758" s="5" t="s">
        <v>898</v>
      </c>
    </row>
    <row r="759" customFormat="false" ht="23.85" hidden="false" customHeight="false" outlineLevel="0" collapsed="false">
      <c r="A759" s="5" t="s">
        <v>2703</v>
      </c>
      <c r="B759" s="2" t="s">
        <v>2704</v>
      </c>
      <c r="C759" s="5" t="s">
        <v>2128</v>
      </c>
      <c r="D759" s="5" t="s">
        <v>60</v>
      </c>
      <c r="E759" s="5" t="s">
        <v>62</v>
      </c>
      <c r="F759" s="5" t="s">
        <v>916</v>
      </c>
    </row>
    <row r="760" customFormat="false" ht="23.85" hidden="false" customHeight="false" outlineLevel="0" collapsed="false">
      <c r="A760" s="5" t="s">
        <v>2712</v>
      </c>
      <c r="B760" s="2" t="s">
        <v>2713</v>
      </c>
      <c r="C760" s="5" t="s">
        <v>2128</v>
      </c>
      <c r="D760" s="5" t="s">
        <v>60</v>
      </c>
      <c r="E760" s="5" t="s">
        <v>62</v>
      </c>
      <c r="F760" s="5" t="s">
        <v>916</v>
      </c>
    </row>
    <row r="761" customFormat="false" ht="23.85" hidden="false" customHeight="false" outlineLevel="0" collapsed="false">
      <c r="A761" s="5" t="s">
        <v>2718</v>
      </c>
      <c r="B761" s="2" t="s">
        <v>2719</v>
      </c>
      <c r="C761" s="5" t="s">
        <v>2128</v>
      </c>
      <c r="D761" s="5" t="s">
        <v>60</v>
      </c>
      <c r="E761" s="5" t="s">
        <v>62</v>
      </c>
      <c r="F761" s="5" t="s">
        <v>2721</v>
      </c>
    </row>
    <row r="762" customFormat="false" ht="23.85" hidden="false" customHeight="false" outlineLevel="0" collapsed="false">
      <c r="A762" s="5" t="s">
        <v>2729</v>
      </c>
      <c r="B762" s="2" t="s">
        <v>2730</v>
      </c>
      <c r="C762" s="5" t="s">
        <v>2128</v>
      </c>
      <c r="D762" s="5" t="s">
        <v>60</v>
      </c>
      <c r="E762" s="5" t="s">
        <v>62</v>
      </c>
      <c r="F762" s="5" t="s">
        <v>8217</v>
      </c>
    </row>
    <row r="763" customFormat="false" ht="23.85" hidden="false" customHeight="false" outlineLevel="0" collapsed="false">
      <c r="A763" s="5" t="s">
        <v>2729</v>
      </c>
      <c r="B763" s="2" t="s">
        <v>2730</v>
      </c>
      <c r="C763" s="5" t="s">
        <v>2128</v>
      </c>
      <c r="D763" s="5" t="s">
        <v>60</v>
      </c>
      <c r="E763" s="5" t="s">
        <v>62</v>
      </c>
      <c r="F763" s="5" t="s">
        <v>2349</v>
      </c>
    </row>
    <row r="764" customFormat="false" ht="15" hidden="false" customHeight="false" outlineLevel="0" collapsed="false">
      <c r="A764" s="5" t="s">
        <v>2737</v>
      </c>
      <c r="B764" s="2" t="s">
        <v>2738</v>
      </c>
      <c r="C764" s="5" t="s">
        <v>2128</v>
      </c>
      <c r="D764" s="5" t="s">
        <v>60</v>
      </c>
      <c r="E764" s="5" t="s">
        <v>62</v>
      </c>
      <c r="F764" s="5" t="s">
        <v>8217</v>
      </c>
    </row>
    <row r="765" customFormat="false" ht="15" hidden="false" customHeight="false" outlineLevel="0" collapsed="false">
      <c r="A765" s="5" t="s">
        <v>2737</v>
      </c>
      <c r="B765" s="2" t="s">
        <v>2738</v>
      </c>
      <c r="C765" s="5" t="s">
        <v>2128</v>
      </c>
      <c r="D765" s="5" t="s">
        <v>60</v>
      </c>
      <c r="E765" s="5" t="s">
        <v>62</v>
      </c>
      <c r="F765" s="5" t="s">
        <v>2349</v>
      </c>
    </row>
    <row r="766" customFormat="false" ht="15" hidden="false" customHeight="false" outlineLevel="0" collapsed="false">
      <c r="A766" s="5" t="s">
        <v>2737</v>
      </c>
      <c r="B766" s="2" t="s">
        <v>2738</v>
      </c>
      <c r="C766" s="5" t="s">
        <v>2128</v>
      </c>
      <c r="D766" s="5" t="s">
        <v>60</v>
      </c>
      <c r="E766" s="5" t="s">
        <v>62</v>
      </c>
      <c r="F766" s="5" t="s">
        <v>741</v>
      </c>
    </row>
    <row r="767" customFormat="false" ht="15" hidden="false" customHeight="false" outlineLevel="0" collapsed="false">
      <c r="A767" s="5" t="s">
        <v>2745</v>
      </c>
      <c r="B767" s="2" t="s">
        <v>2746</v>
      </c>
      <c r="C767" s="5" t="s">
        <v>2128</v>
      </c>
      <c r="D767" s="5" t="s">
        <v>60</v>
      </c>
      <c r="E767" s="5" t="s">
        <v>62</v>
      </c>
      <c r="F767" s="5" t="s">
        <v>184</v>
      </c>
    </row>
    <row r="768" customFormat="false" ht="15" hidden="false" customHeight="false" outlineLevel="0" collapsed="false">
      <c r="A768" s="5" t="s">
        <v>2752</v>
      </c>
      <c r="B768" s="2" t="s">
        <v>2753</v>
      </c>
      <c r="C768" s="5" t="s">
        <v>2128</v>
      </c>
      <c r="D768" s="5" t="s">
        <v>60</v>
      </c>
      <c r="E768" s="5" t="s">
        <v>490</v>
      </c>
      <c r="F768" s="5" t="s">
        <v>2755</v>
      </c>
    </row>
    <row r="769" customFormat="false" ht="23.85" hidden="false" customHeight="false" outlineLevel="0" collapsed="false">
      <c r="A769" s="5" t="s">
        <v>2763</v>
      </c>
      <c r="B769" s="2" t="s">
        <v>2764</v>
      </c>
      <c r="C769" s="5" t="s">
        <v>2128</v>
      </c>
      <c r="D769" s="5" t="s">
        <v>60</v>
      </c>
      <c r="E769" s="5" t="s">
        <v>62</v>
      </c>
      <c r="F769" s="5" t="s">
        <v>184</v>
      </c>
    </row>
    <row r="770" customFormat="false" ht="15" hidden="false" customHeight="false" outlineLevel="0" collapsed="false">
      <c r="A770" s="5" t="s">
        <v>2774</v>
      </c>
      <c r="B770" s="2" t="s">
        <v>2775</v>
      </c>
      <c r="C770" s="5" t="s">
        <v>2128</v>
      </c>
      <c r="D770" s="5" t="s">
        <v>60</v>
      </c>
      <c r="E770" s="5" t="s">
        <v>62</v>
      </c>
      <c r="F770" s="5" t="s">
        <v>2777</v>
      </c>
    </row>
    <row r="771" customFormat="false" ht="15" hidden="false" customHeight="false" outlineLevel="0" collapsed="false">
      <c r="A771" s="5" t="s">
        <v>2782</v>
      </c>
      <c r="B771" s="2" t="s">
        <v>2783</v>
      </c>
      <c r="C771" s="5" t="s">
        <v>2128</v>
      </c>
      <c r="D771" s="5" t="s">
        <v>60</v>
      </c>
      <c r="E771" s="5" t="s">
        <v>62</v>
      </c>
      <c r="F771" s="5" t="s">
        <v>2786</v>
      </c>
    </row>
    <row r="772" customFormat="false" ht="23.85" hidden="false" customHeight="false" outlineLevel="0" collapsed="false">
      <c r="A772" s="5" t="s">
        <v>2792</v>
      </c>
      <c r="B772" s="2" t="s">
        <v>2793</v>
      </c>
      <c r="C772" s="5" t="s">
        <v>2128</v>
      </c>
      <c r="D772" s="5" t="s">
        <v>60</v>
      </c>
      <c r="E772" s="5" t="s">
        <v>62</v>
      </c>
      <c r="F772" s="5" t="s">
        <v>2786</v>
      </c>
    </row>
    <row r="773" customFormat="false" ht="15" hidden="false" customHeight="false" outlineLevel="0" collapsed="false">
      <c r="A773" s="5" t="s">
        <v>2799</v>
      </c>
      <c r="B773" s="2" t="s">
        <v>2800</v>
      </c>
      <c r="C773" s="5" t="s">
        <v>2128</v>
      </c>
      <c r="D773" s="5" t="s">
        <v>60</v>
      </c>
      <c r="E773" s="5" t="s">
        <v>62</v>
      </c>
      <c r="F773" s="5" t="s">
        <v>184</v>
      </c>
    </row>
    <row r="774" customFormat="false" ht="15" hidden="false" customHeight="false" outlineLevel="0" collapsed="false">
      <c r="A774" s="5" t="s">
        <v>2811</v>
      </c>
      <c r="B774" s="2" t="s">
        <v>2812</v>
      </c>
      <c r="C774" s="5" t="s">
        <v>2128</v>
      </c>
      <c r="D774" s="5" t="s">
        <v>60</v>
      </c>
      <c r="E774" s="5" t="s">
        <v>490</v>
      </c>
      <c r="F774" s="5" t="s">
        <v>2155</v>
      </c>
    </row>
    <row r="775" customFormat="false" ht="15" hidden="false" customHeight="false" outlineLevel="0" collapsed="false">
      <c r="A775" s="5" t="s">
        <v>2818</v>
      </c>
      <c r="B775" s="2" t="s">
        <v>2819</v>
      </c>
      <c r="C775" s="5" t="s">
        <v>2128</v>
      </c>
      <c r="D775" s="5" t="s">
        <v>60</v>
      </c>
      <c r="E775" s="5" t="s">
        <v>490</v>
      </c>
      <c r="F775" s="5" t="s">
        <v>526</v>
      </c>
    </row>
    <row r="776" customFormat="false" ht="15" hidden="false" customHeight="false" outlineLevel="0" collapsed="false">
      <c r="A776" s="5" t="s">
        <v>2825</v>
      </c>
      <c r="B776" s="2" t="s">
        <v>2826</v>
      </c>
      <c r="C776" s="5" t="s">
        <v>2128</v>
      </c>
      <c r="D776" s="5" t="s">
        <v>60</v>
      </c>
      <c r="E776" s="5" t="s">
        <v>490</v>
      </c>
      <c r="F776" s="5" t="s">
        <v>916</v>
      </c>
    </row>
    <row r="777" customFormat="false" ht="15" hidden="false" customHeight="false" outlineLevel="0" collapsed="false">
      <c r="A777" s="5" t="s">
        <v>2832</v>
      </c>
      <c r="B777" s="2" t="s">
        <v>2833</v>
      </c>
      <c r="C777" s="5" t="s">
        <v>2128</v>
      </c>
      <c r="D777" s="5" t="s">
        <v>60</v>
      </c>
      <c r="E777" s="5" t="s">
        <v>490</v>
      </c>
      <c r="F777" s="5" t="s">
        <v>2448</v>
      </c>
    </row>
    <row r="778" customFormat="false" ht="15" hidden="false" customHeight="false" outlineLevel="0" collapsed="false">
      <c r="A778" s="5" t="s">
        <v>2839</v>
      </c>
      <c r="B778" s="2" t="s">
        <v>2840</v>
      </c>
      <c r="C778" s="5" t="s">
        <v>2128</v>
      </c>
      <c r="D778" s="5" t="s">
        <v>60</v>
      </c>
      <c r="E778" s="5" t="s">
        <v>490</v>
      </c>
      <c r="F778" s="5" t="s">
        <v>2786</v>
      </c>
    </row>
    <row r="779" customFormat="false" ht="15" hidden="false" customHeight="false" outlineLevel="0" collapsed="false">
      <c r="A779" s="5" t="s">
        <v>2847</v>
      </c>
      <c r="B779" s="2" t="s">
        <v>2848</v>
      </c>
      <c r="C779" s="5" t="s">
        <v>2128</v>
      </c>
      <c r="D779" s="5" t="s">
        <v>60</v>
      </c>
      <c r="E779" s="5" t="s">
        <v>490</v>
      </c>
      <c r="F779" s="5" t="s">
        <v>916</v>
      </c>
    </row>
    <row r="780" customFormat="false" ht="15" hidden="false" customHeight="false" outlineLevel="0" collapsed="false">
      <c r="A780" s="5" t="s">
        <v>2852</v>
      </c>
      <c r="B780" s="2" t="s">
        <v>2853</v>
      </c>
      <c r="C780" s="5" t="s">
        <v>2128</v>
      </c>
      <c r="D780" s="5" t="s">
        <v>60</v>
      </c>
      <c r="E780" s="5" t="s">
        <v>490</v>
      </c>
      <c r="F780" s="5" t="s">
        <v>2786</v>
      </c>
    </row>
    <row r="781" customFormat="false" ht="15" hidden="false" customHeight="false" outlineLevel="0" collapsed="false">
      <c r="A781" s="5" t="s">
        <v>2857</v>
      </c>
      <c r="B781" s="2" t="s">
        <v>2858</v>
      </c>
      <c r="C781" s="5" t="s">
        <v>2128</v>
      </c>
      <c r="D781" s="5" t="s">
        <v>60</v>
      </c>
      <c r="E781" s="5" t="s">
        <v>490</v>
      </c>
      <c r="F781" s="5" t="s">
        <v>2786</v>
      </c>
    </row>
    <row r="782" customFormat="false" ht="15" hidden="false" customHeight="false" outlineLevel="0" collapsed="false">
      <c r="A782" s="5" t="s">
        <v>2863</v>
      </c>
      <c r="B782" s="2" t="s">
        <v>2864</v>
      </c>
      <c r="C782" s="5" t="s">
        <v>2128</v>
      </c>
      <c r="D782" s="5" t="s">
        <v>60</v>
      </c>
      <c r="E782" s="5" t="s">
        <v>62</v>
      </c>
      <c r="F782" s="5" t="s">
        <v>184</v>
      </c>
    </row>
    <row r="783" customFormat="false" ht="15" hidden="false" customHeight="false" outlineLevel="0" collapsed="false">
      <c r="A783" s="5" t="s">
        <v>2872</v>
      </c>
      <c r="B783" s="2" t="s">
        <v>2873</v>
      </c>
      <c r="C783" s="5" t="s">
        <v>2128</v>
      </c>
      <c r="D783" s="5" t="s">
        <v>60</v>
      </c>
      <c r="E783" s="5" t="s">
        <v>62</v>
      </c>
      <c r="F783" s="5" t="s">
        <v>184</v>
      </c>
    </row>
    <row r="784" customFormat="false" ht="15" hidden="false" customHeight="false" outlineLevel="0" collapsed="false">
      <c r="A784" s="5" t="s">
        <v>2878</v>
      </c>
      <c r="B784" s="2" t="s">
        <v>2879</v>
      </c>
      <c r="C784" s="5" t="s">
        <v>2128</v>
      </c>
      <c r="D784" s="5" t="s">
        <v>60</v>
      </c>
      <c r="E784" s="5" t="s">
        <v>62</v>
      </c>
      <c r="F784" s="5" t="s">
        <v>184</v>
      </c>
    </row>
    <row r="785" customFormat="false" ht="15" hidden="false" customHeight="false" outlineLevel="0" collapsed="false">
      <c r="A785" s="5" t="s">
        <v>2883</v>
      </c>
      <c r="B785" s="2" t="s">
        <v>2884</v>
      </c>
      <c r="C785" s="5" t="s">
        <v>2128</v>
      </c>
      <c r="D785" s="5" t="s">
        <v>60</v>
      </c>
      <c r="E785" s="5" t="s">
        <v>62</v>
      </c>
      <c r="F785" s="5" t="s">
        <v>184</v>
      </c>
    </row>
    <row r="786" customFormat="false" ht="15" hidden="false" customHeight="false" outlineLevel="0" collapsed="false">
      <c r="A786" s="5" t="s">
        <v>2890</v>
      </c>
      <c r="B786" s="2" t="s">
        <v>2891</v>
      </c>
      <c r="C786" s="5" t="s">
        <v>2128</v>
      </c>
      <c r="D786" s="5" t="s">
        <v>60</v>
      </c>
      <c r="E786" s="5" t="s">
        <v>62</v>
      </c>
      <c r="F786" s="5" t="s">
        <v>184</v>
      </c>
    </row>
    <row r="787" customFormat="false" ht="15" hidden="false" customHeight="false" outlineLevel="0" collapsed="false">
      <c r="A787" s="5" t="s">
        <v>2895</v>
      </c>
      <c r="B787" s="2" t="s">
        <v>2896</v>
      </c>
      <c r="C787" s="5" t="s">
        <v>2128</v>
      </c>
      <c r="D787" s="5" t="s">
        <v>60</v>
      </c>
      <c r="E787" s="5" t="s">
        <v>62</v>
      </c>
      <c r="F787" s="5" t="s">
        <v>184</v>
      </c>
    </row>
    <row r="788" customFormat="false" ht="15" hidden="false" customHeight="false" outlineLevel="0" collapsed="false">
      <c r="A788" s="5" t="s">
        <v>2902</v>
      </c>
      <c r="B788" s="2" t="s">
        <v>2903</v>
      </c>
      <c r="C788" s="5" t="s">
        <v>2128</v>
      </c>
      <c r="D788" s="5" t="s">
        <v>60</v>
      </c>
      <c r="E788" s="5" t="s">
        <v>62</v>
      </c>
      <c r="F788" s="5" t="s">
        <v>184</v>
      </c>
    </row>
    <row r="789" customFormat="false" ht="15" hidden="false" customHeight="false" outlineLevel="0" collapsed="false">
      <c r="A789" s="5" t="s">
        <v>2906</v>
      </c>
      <c r="B789" s="2" t="s">
        <v>2907</v>
      </c>
      <c r="C789" s="5" t="s">
        <v>2128</v>
      </c>
      <c r="D789" s="5" t="s">
        <v>60</v>
      </c>
      <c r="E789" s="5" t="s">
        <v>62</v>
      </c>
      <c r="F789" s="5" t="s">
        <v>184</v>
      </c>
    </row>
    <row r="790" customFormat="false" ht="15" hidden="false" customHeight="false" outlineLevel="0" collapsed="false">
      <c r="A790" s="5" t="s">
        <v>2909</v>
      </c>
      <c r="B790" s="2" t="s">
        <v>2910</v>
      </c>
      <c r="C790" s="5" t="s">
        <v>2128</v>
      </c>
      <c r="D790" s="5" t="s">
        <v>60</v>
      </c>
      <c r="E790" s="5" t="s">
        <v>62</v>
      </c>
      <c r="F790" s="5" t="s">
        <v>184</v>
      </c>
    </row>
    <row r="791" customFormat="false" ht="15" hidden="false" customHeight="false" outlineLevel="0" collapsed="false">
      <c r="A791" s="5" t="s">
        <v>2913</v>
      </c>
      <c r="B791" s="2" t="s">
        <v>2914</v>
      </c>
      <c r="C791" s="5" t="s">
        <v>2128</v>
      </c>
      <c r="D791" s="5" t="s">
        <v>60</v>
      </c>
      <c r="E791" s="5" t="s">
        <v>62</v>
      </c>
      <c r="F791" s="5" t="s">
        <v>184</v>
      </c>
    </row>
    <row r="792" customFormat="false" ht="15" hidden="false" customHeight="false" outlineLevel="0" collapsed="false">
      <c r="A792" s="5" t="s">
        <v>2917</v>
      </c>
      <c r="B792" s="2" t="s">
        <v>2918</v>
      </c>
      <c r="C792" s="5" t="s">
        <v>2128</v>
      </c>
      <c r="D792" s="5" t="s">
        <v>60</v>
      </c>
      <c r="E792" s="5" t="s">
        <v>62</v>
      </c>
      <c r="F792" s="5" t="s">
        <v>184</v>
      </c>
    </row>
    <row r="793" customFormat="false" ht="15" hidden="false" customHeight="false" outlineLevel="0" collapsed="false">
      <c r="A793" s="5" t="s">
        <v>2924</v>
      </c>
      <c r="B793" s="2" t="s">
        <v>2925</v>
      </c>
      <c r="C793" s="5" t="s">
        <v>2128</v>
      </c>
      <c r="D793" s="5" t="s">
        <v>60</v>
      </c>
      <c r="E793" s="5" t="s">
        <v>62</v>
      </c>
      <c r="F793" s="5" t="s">
        <v>184</v>
      </c>
    </row>
    <row r="794" customFormat="false" ht="15" hidden="false" customHeight="false" outlineLevel="0" collapsed="false">
      <c r="A794" s="5" t="s">
        <v>2933</v>
      </c>
      <c r="B794" s="2" t="s">
        <v>2934</v>
      </c>
      <c r="C794" s="5" t="s">
        <v>2128</v>
      </c>
      <c r="D794" s="5" t="s">
        <v>60</v>
      </c>
      <c r="E794" s="5" t="s">
        <v>62</v>
      </c>
      <c r="F794" s="5" t="s">
        <v>1513</v>
      </c>
    </row>
    <row r="795" customFormat="false" ht="15" hidden="false" customHeight="false" outlineLevel="0" collapsed="false">
      <c r="A795" s="5" t="s">
        <v>2941</v>
      </c>
      <c r="B795" s="2" t="s">
        <v>2942</v>
      </c>
      <c r="C795" s="5" t="s">
        <v>2128</v>
      </c>
      <c r="D795" s="5" t="s">
        <v>60</v>
      </c>
      <c r="E795" s="5" t="s">
        <v>62</v>
      </c>
      <c r="F795" s="5" t="s">
        <v>1513</v>
      </c>
    </row>
    <row r="796" customFormat="false" ht="15" hidden="false" customHeight="false" outlineLevel="0" collapsed="false">
      <c r="A796" s="5" t="s">
        <v>2947</v>
      </c>
      <c r="B796" s="2" t="s">
        <v>2948</v>
      </c>
      <c r="C796" s="5" t="s">
        <v>2128</v>
      </c>
      <c r="D796" s="5" t="s">
        <v>60</v>
      </c>
      <c r="E796" s="5" t="s">
        <v>62</v>
      </c>
      <c r="F796" s="5" t="s">
        <v>1513</v>
      </c>
    </row>
    <row r="797" customFormat="false" ht="23.85" hidden="false" customHeight="false" outlineLevel="0" collapsed="false">
      <c r="A797" s="5" t="s">
        <v>2953</v>
      </c>
      <c r="B797" s="2" t="s">
        <v>2954</v>
      </c>
      <c r="C797" s="5" t="s">
        <v>2128</v>
      </c>
      <c r="D797" s="5" t="s">
        <v>60</v>
      </c>
      <c r="E797" s="5" t="s">
        <v>62</v>
      </c>
      <c r="F797" s="5" t="s">
        <v>2956</v>
      </c>
    </row>
    <row r="798" customFormat="false" ht="15" hidden="false" customHeight="false" outlineLevel="0" collapsed="false">
      <c r="A798" s="5" t="s">
        <v>2963</v>
      </c>
      <c r="B798" s="2" t="s">
        <v>2964</v>
      </c>
      <c r="C798" s="5" t="s">
        <v>2128</v>
      </c>
      <c r="D798" s="5" t="s">
        <v>60</v>
      </c>
      <c r="E798" s="5" t="s">
        <v>62</v>
      </c>
      <c r="F798" s="5" t="s">
        <v>2777</v>
      </c>
    </row>
    <row r="799" customFormat="false" ht="15" hidden="false" customHeight="false" outlineLevel="0" collapsed="false">
      <c r="A799" s="5" t="s">
        <v>2972</v>
      </c>
      <c r="B799" s="2" t="s">
        <v>2973</v>
      </c>
      <c r="C799" s="5" t="s">
        <v>2128</v>
      </c>
      <c r="D799" s="5" t="s">
        <v>60</v>
      </c>
      <c r="E799" s="5" t="s">
        <v>490</v>
      </c>
      <c r="F799" s="5" t="s">
        <v>184</v>
      </c>
    </row>
    <row r="800" customFormat="false" ht="15" hidden="false" customHeight="false" outlineLevel="0" collapsed="false">
      <c r="A800" s="5" t="s">
        <v>2982</v>
      </c>
      <c r="B800" s="2" t="s">
        <v>2983</v>
      </c>
      <c r="C800" s="5" t="s">
        <v>2128</v>
      </c>
      <c r="D800" s="5" t="s">
        <v>60</v>
      </c>
      <c r="E800" s="5" t="s">
        <v>62</v>
      </c>
      <c r="F800" s="5" t="s">
        <v>184</v>
      </c>
    </row>
    <row r="801" customFormat="false" ht="15" hidden="false" customHeight="false" outlineLevel="0" collapsed="false">
      <c r="A801" s="5" t="s">
        <v>2989</v>
      </c>
      <c r="B801" s="2" t="s">
        <v>2990</v>
      </c>
      <c r="C801" s="5" t="s">
        <v>2128</v>
      </c>
      <c r="D801" s="5" t="s">
        <v>60</v>
      </c>
      <c r="E801" s="5" t="s">
        <v>62</v>
      </c>
      <c r="F801" s="5" t="s">
        <v>184</v>
      </c>
    </row>
    <row r="802" customFormat="false" ht="15" hidden="false" customHeight="false" outlineLevel="0" collapsed="false">
      <c r="A802" s="5" t="s">
        <v>2995</v>
      </c>
      <c r="B802" s="2" t="s">
        <v>2996</v>
      </c>
      <c r="C802" s="5" t="s">
        <v>2128</v>
      </c>
      <c r="D802" s="5" t="s">
        <v>60</v>
      </c>
      <c r="E802" s="5" t="s">
        <v>62</v>
      </c>
      <c r="F802" s="5" t="s">
        <v>184</v>
      </c>
    </row>
    <row r="803" customFormat="false" ht="15" hidden="false" customHeight="false" outlineLevel="0" collapsed="false">
      <c r="A803" s="5" t="s">
        <v>3001</v>
      </c>
      <c r="B803" s="2" t="s">
        <v>3002</v>
      </c>
      <c r="C803" s="5" t="s">
        <v>2128</v>
      </c>
      <c r="D803" s="5" t="s">
        <v>60</v>
      </c>
      <c r="E803" s="5" t="s">
        <v>490</v>
      </c>
      <c r="F803" s="5" t="s">
        <v>184</v>
      </c>
    </row>
    <row r="804" customFormat="false" ht="23.85" hidden="false" customHeight="false" outlineLevel="0" collapsed="false">
      <c r="A804" s="5" t="s">
        <v>3010</v>
      </c>
      <c r="B804" s="2" t="s">
        <v>3011</v>
      </c>
      <c r="C804" s="5" t="s">
        <v>2128</v>
      </c>
      <c r="D804" s="5" t="s">
        <v>60</v>
      </c>
      <c r="E804" s="5" t="s">
        <v>62</v>
      </c>
      <c r="F804" s="5" t="s">
        <v>184</v>
      </c>
    </row>
    <row r="805" customFormat="false" ht="15" hidden="false" customHeight="false" outlineLevel="0" collapsed="false">
      <c r="A805" s="5" t="s">
        <v>3021</v>
      </c>
      <c r="B805" s="2" t="s">
        <v>3022</v>
      </c>
      <c r="C805" s="5" t="s">
        <v>2128</v>
      </c>
      <c r="D805" s="5" t="s">
        <v>60</v>
      </c>
      <c r="E805" s="5" t="s">
        <v>62</v>
      </c>
      <c r="F805" s="5" t="s">
        <v>184</v>
      </c>
    </row>
    <row r="806" customFormat="false" ht="15" hidden="false" customHeight="false" outlineLevel="0" collapsed="false">
      <c r="A806" s="5" t="s">
        <v>3029</v>
      </c>
      <c r="B806" s="2" t="s">
        <v>3030</v>
      </c>
      <c r="C806" s="5" t="s">
        <v>2128</v>
      </c>
      <c r="D806" s="5" t="s">
        <v>60</v>
      </c>
      <c r="E806" s="5" t="s">
        <v>62</v>
      </c>
      <c r="F806" s="5" t="s">
        <v>184</v>
      </c>
    </row>
    <row r="807" customFormat="false" ht="15" hidden="false" customHeight="false" outlineLevel="0" collapsed="false">
      <c r="A807" s="5" t="s">
        <v>3036</v>
      </c>
      <c r="B807" s="2" t="s">
        <v>3037</v>
      </c>
      <c r="C807" s="5" t="s">
        <v>2128</v>
      </c>
      <c r="D807" s="5" t="s">
        <v>60</v>
      </c>
      <c r="E807" s="5" t="s">
        <v>490</v>
      </c>
      <c r="F807" s="5" t="s">
        <v>184</v>
      </c>
    </row>
    <row r="808" customFormat="false" ht="15" hidden="false" customHeight="false" outlineLevel="0" collapsed="false">
      <c r="A808" s="5" t="s">
        <v>3042</v>
      </c>
      <c r="B808" s="2" t="s">
        <v>3043</v>
      </c>
      <c r="C808" s="5" t="s">
        <v>2128</v>
      </c>
      <c r="D808" s="5" t="s">
        <v>60</v>
      </c>
      <c r="E808" s="5" t="s">
        <v>62</v>
      </c>
      <c r="F808" s="5" t="s">
        <v>184</v>
      </c>
    </row>
    <row r="809" customFormat="false" ht="15" hidden="false" customHeight="false" outlineLevel="0" collapsed="false">
      <c r="A809" s="5" t="s">
        <v>3046</v>
      </c>
      <c r="B809" s="2" t="s">
        <v>3047</v>
      </c>
      <c r="C809" s="5" t="s">
        <v>2128</v>
      </c>
      <c r="D809" s="5" t="s">
        <v>60</v>
      </c>
      <c r="E809" s="5" t="s">
        <v>62</v>
      </c>
      <c r="F809" s="5" t="s">
        <v>184</v>
      </c>
    </row>
    <row r="810" customFormat="false" ht="15" hidden="false" customHeight="false" outlineLevel="0" collapsed="false">
      <c r="A810" s="5" t="s">
        <v>3052</v>
      </c>
      <c r="B810" s="2" t="s">
        <v>3053</v>
      </c>
      <c r="C810" s="5" t="s">
        <v>2128</v>
      </c>
      <c r="D810" s="5" t="s">
        <v>60</v>
      </c>
      <c r="E810" s="5" t="s">
        <v>62</v>
      </c>
      <c r="F810" s="5" t="s">
        <v>184</v>
      </c>
    </row>
    <row r="811" customFormat="false" ht="15" hidden="false" customHeight="false" outlineLevel="0" collapsed="false">
      <c r="A811" s="5" t="s">
        <v>3058</v>
      </c>
      <c r="B811" s="2" t="s">
        <v>3059</v>
      </c>
      <c r="C811" s="5" t="s">
        <v>2128</v>
      </c>
      <c r="D811" s="5" t="s">
        <v>60</v>
      </c>
      <c r="E811" s="5" t="s">
        <v>62</v>
      </c>
      <c r="F811" s="5" t="s">
        <v>184</v>
      </c>
    </row>
    <row r="812" customFormat="false" ht="15" hidden="false" customHeight="false" outlineLevel="0" collapsed="false">
      <c r="A812" s="5" t="s">
        <v>3064</v>
      </c>
      <c r="B812" s="2" t="s">
        <v>3065</v>
      </c>
      <c r="C812" s="5" t="s">
        <v>2128</v>
      </c>
      <c r="D812" s="5" t="s">
        <v>60</v>
      </c>
      <c r="E812" s="5" t="s">
        <v>62</v>
      </c>
      <c r="F812" s="5" t="s">
        <v>184</v>
      </c>
    </row>
    <row r="813" customFormat="false" ht="15" hidden="false" customHeight="false" outlineLevel="0" collapsed="false">
      <c r="A813" s="5" t="s">
        <v>3071</v>
      </c>
      <c r="B813" s="2" t="s">
        <v>3072</v>
      </c>
      <c r="C813" s="5" t="s">
        <v>2128</v>
      </c>
      <c r="D813" s="5" t="s">
        <v>60</v>
      </c>
      <c r="E813" s="5" t="s">
        <v>62</v>
      </c>
      <c r="F813" s="5" t="s">
        <v>184</v>
      </c>
    </row>
    <row r="814" customFormat="false" ht="15" hidden="false" customHeight="false" outlineLevel="0" collapsed="false">
      <c r="A814" s="5" t="s">
        <v>3075</v>
      </c>
      <c r="B814" s="2" t="s">
        <v>3076</v>
      </c>
      <c r="C814" s="5" t="s">
        <v>2128</v>
      </c>
      <c r="D814" s="5" t="s">
        <v>60</v>
      </c>
      <c r="E814" s="5" t="s">
        <v>62</v>
      </c>
      <c r="F814" s="5" t="s">
        <v>184</v>
      </c>
    </row>
    <row r="815" customFormat="false" ht="15" hidden="false" customHeight="false" outlineLevel="0" collapsed="false">
      <c r="A815" s="5" t="s">
        <v>3081</v>
      </c>
      <c r="B815" s="2" t="s">
        <v>3082</v>
      </c>
      <c r="C815" s="5" t="s">
        <v>2128</v>
      </c>
      <c r="D815" s="5" t="s">
        <v>60</v>
      </c>
      <c r="E815" s="5" t="s">
        <v>490</v>
      </c>
      <c r="F815" s="5" t="s">
        <v>184</v>
      </c>
    </row>
    <row r="816" customFormat="false" ht="15" hidden="false" customHeight="false" outlineLevel="0" collapsed="false">
      <c r="A816" s="5" t="s">
        <v>3089</v>
      </c>
      <c r="B816" s="2" t="s">
        <v>3090</v>
      </c>
      <c r="C816" s="5" t="s">
        <v>2128</v>
      </c>
      <c r="D816" s="5" t="s">
        <v>60</v>
      </c>
      <c r="E816" s="5" t="s">
        <v>62</v>
      </c>
      <c r="F816" s="5" t="s">
        <v>184</v>
      </c>
    </row>
    <row r="817" customFormat="false" ht="15" hidden="false" customHeight="false" outlineLevel="0" collapsed="false">
      <c r="A817" s="5" t="s">
        <v>3095</v>
      </c>
      <c r="B817" s="2" t="s">
        <v>3096</v>
      </c>
      <c r="C817" s="5" t="s">
        <v>2128</v>
      </c>
      <c r="D817" s="5" t="s">
        <v>60</v>
      </c>
      <c r="E817" s="5" t="s">
        <v>62</v>
      </c>
      <c r="F817" s="5" t="s">
        <v>184</v>
      </c>
    </row>
    <row r="818" customFormat="false" ht="23.85" hidden="false" customHeight="false" outlineLevel="0" collapsed="false">
      <c r="A818" s="5" t="s">
        <v>3101</v>
      </c>
      <c r="B818" s="2" t="s">
        <v>3102</v>
      </c>
      <c r="C818" s="5" t="s">
        <v>2128</v>
      </c>
      <c r="D818" s="5" t="s">
        <v>60</v>
      </c>
      <c r="E818" s="5" t="s">
        <v>62</v>
      </c>
      <c r="F818" s="5" t="s">
        <v>184</v>
      </c>
    </row>
    <row r="819" customFormat="false" ht="23.85" hidden="false" customHeight="false" outlineLevel="0" collapsed="false">
      <c r="A819" s="5" t="s">
        <v>3107</v>
      </c>
      <c r="B819" s="2" t="s">
        <v>3108</v>
      </c>
      <c r="C819" s="5" t="s">
        <v>2128</v>
      </c>
      <c r="D819" s="5" t="s">
        <v>60</v>
      </c>
      <c r="E819" s="5" t="s">
        <v>62</v>
      </c>
      <c r="F819" s="5" t="s">
        <v>184</v>
      </c>
    </row>
    <row r="820" customFormat="false" ht="23.85" hidden="false" customHeight="false" outlineLevel="0" collapsed="false">
      <c r="A820" s="5" t="s">
        <v>3115</v>
      </c>
      <c r="B820" s="2" t="s">
        <v>3116</v>
      </c>
      <c r="C820" s="5" t="s">
        <v>2128</v>
      </c>
      <c r="D820" s="5" t="s">
        <v>60</v>
      </c>
      <c r="E820" s="5" t="s">
        <v>62</v>
      </c>
      <c r="F820" s="5" t="s">
        <v>184</v>
      </c>
    </row>
    <row r="821" customFormat="false" ht="23.85" hidden="false" customHeight="false" outlineLevel="0" collapsed="false">
      <c r="A821" s="5" t="s">
        <v>3121</v>
      </c>
      <c r="B821" s="2" t="s">
        <v>3122</v>
      </c>
      <c r="C821" s="5" t="s">
        <v>2128</v>
      </c>
      <c r="D821" s="5" t="s">
        <v>60</v>
      </c>
      <c r="E821" s="5" t="s">
        <v>62</v>
      </c>
      <c r="F821" s="5" t="s">
        <v>367</v>
      </c>
    </row>
    <row r="822" customFormat="false" ht="23.85" hidden="false" customHeight="false" outlineLevel="0" collapsed="false">
      <c r="A822" s="5" t="s">
        <v>3127</v>
      </c>
      <c r="B822" s="2" t="s">
        <v>3128</v>
      </c>
      <c r="C822" s="5" t="s">
        <v>2245</v>
      </c>
      <c r="D822" s="5" t="s">
        <v>60</v>
      </c>
      <c r="E822" s="5" t="s">
        <v>62</v>
      </c>
      <c r="F822" s="5" t="s">
        <v>6027</v>
      </c>
    </row>
    <row r="823" customFormat="false" ht="15" hidden="false" customHeight="false" outlineLevel="0" collapsed="false">
      <c r="A823" s="5" t="s">
        <v>3137</v>
      </c>
      <c r="B823" s="2" t="s">
        <v>3138</v>
      </c>
      <c r="C823" s="5" t="s">
        <v>2128</v>
      </c>
      <c r="D823" s="5" t="s">
        <v>60</v>
      </c>
      <c r="E823" s="5" t="s">
        <v>62</v>
      </c>
      <c r="F823" s="5" t="s">
        <v>184</v>
      </c>
    </row>
    <row r="824" customFormat="false" ht="23.85" hidden="false" customHeight="false" outlineLevel="0" collapsed="false">
      <c r="A824" s="5" t="s">
        <v>3146</v>
      </c>
      <c r="B824" s="2" t="s">
        <v>3147</v>
      </c>
      <c r="C824" s="5" t="s">
        <v>2128</v>
      </c>
      <c r="D824" s="5" t="s">
        <v>60</v>
      </c>
      <c r="E824" s="5" t="s">
        <v>62</v>
      </c>
      <c r="F824" s="5" t="s">
        <v>184</v>
      </c>
    </row>
    <row r="825" customFormat="false" ht="23.85" hidden="false" customHeight="false" outlineLevel="0" collapsed="false">
      <c r="A825" s="5" t="s">
        <v>3154</v>
      </c>
      <c r="B825" s="2" t="s">
        <v>3155</v>
      </c>
      <c r="C825" s="5" t="s">
        <v>2245</v>
      </c>
      <c r="D825" s="5" t="s">
        <v>60</v>
      </c>
      <c r="E825" s="5" t="s">
        <v>490</v>
      </c>
      <c r="F825" s="5" t="s">
        <v>415</v>
      </c>
    </row>
    <row r="826" customFormat="false" ht="23.85" hidden="false" customHeight="false" outlineLevel="0" collapsed="false">
      <c r="A826" s="5" t="s">
        <v>3161</v>
      </c>
      <c r="B826" s="2" t="s">
        <v>3162</v>
      </c>
      <c r="C826" s="5" t="s">
        <v>2245</v>
      </c>
      <c r="D826" s="5" t="s">
        <v>60</v>
      </c>
      <c r="E826" s="5" t="s">
        <v>62</v>
      </c>
      <c r="F826" s="5" t="s">
        <v>6027</v>
      </c>
    </row>
    <row r="827" customFormat="false" ht="23.85" hidden="false" customHeight="false" outlineLevel="0" collapsed="false">
      <c r="A827" s="5" t="s">
        <v>3166</v>
      </c>
      <c r="B827" s="2" t="s">
        <v>3167</v>
      </c>
      <c r="C827" s="5" t="s">
        <v>2245</v>
      </c>
      <c r="D827" s="5" t="s">
        <v>60</v>
      </c>
      <c r="E827" s="5" t="s">
        <v>62</v>
      </c>
      <c r="F827" s="5" t="s">
        <v>6027</v>
      </c>
    </row>
    <row r="828" customFormat="false" ht="23.85" hidden="false" customHeight="false" outlineLevel="0" collapsed="false">
      <c r="A828" s="5" t="s">
        <v>3171</v>
      </c>
      <c r="B828" s="2" t="s">
        <v>3172</v>
      </c>
      <c r="C828" s="5" t="s">
        <v>2128</v>
      </c>
      <c r="D828" s="5" t="s">
        <v>60</v>
      </c>
      <c r="E828" s="5" t="s">
        <v>62</v>
      </c>
      <c r="F828" s="5" t="s">
        <v>367</v>
      </c>
    </row>
    <row r="829" customFormat="false" ht="23.85" hidden="false" customHeight="false" outlineLevel="0" collapsed="false">
      <c r="A829" s="5" t="s">
        <v>3176</v>
      </c>
      <c r="B829" s="2" t="s">
        <v>3177</v>
      </c>
      <c r="C829" s="5" t="s">
        <v>2128</v>
      </c>
      <c r="D829" s="5" t="s">
        <v>60</v>
      </c>
      <c r="E829" s="5" t="s">
        <v>62</v>
      </c>
      <c r="F829" s="5" t="s">
        <v>367</v>
      </c>
    </row>
    <row r="830" customFormat="false" ht="23.85" hidden="false" customHeight="false" outlineLevel="0" collapsed="false">
      <c r="A830" s="5" t="s">
        <v>3181</v>
      </c>
      <c r="B830" s="2" t="s">
        <v>3182</v>
      </c>
      <c r="C830" s="5" t="s">
        <v>2245</v>
      </c>
      <c r="D830" s="5" t="s">
        <v>60</v>
      </c>
      <c r="E830" s="5" t="s">
        <v>62</v>
      </c>
      <c r="F830" s="5" t="s">
        <v>6027</v>
      </c>
    </row>
    <row r="831" customFormat="false" ht="23.85" hidden="false" customHeight="false" outlineLevel="0" collapsed="false">
      <c r="A831" s="5" t="s">
        <v>3189</v>
      </c>
      <c r="B831" s="2" t="s">
        <v>3190</v>
      </c>
      <c r="C831" s="5" t="s">
        <v>2245</v>
      </c>
      <c r="D831" s="5" t="s">
        <v>60</v>
      </c>
      <c r="E831" s="5" t="s">
        <v>62</v>
      </c>
      <c r="F831" s="5" t="s">
        <v>6027</v>
      </c>
    </row>
    <row r="832" customFormat="false" ht="15" hidden="false" customHeight="false" outlineLevel="0" collapsed="false">
      <c r="A832" s="5" t="s">
        <v>3194</v>
      </c>
      <c r="B832" s="2" t="s">
        <v>3195</v>
      </c>
      <c r="C832" s="5" t="s">
        <v>2128</v>
      </c>
      <c r="D832" s="5" t="s">
        <v>60</v>
      </c>
      <c r="E832" s="5" t="s">
        <v>62</v>
      </c>
      <c r="F832" s="5" t="s">
        <v>184</v>
      </c>
    </row>
    <row r="833" customFormat="false" ht="23.85" hidden="false" customHeight="false" outlineLevel="0" collapsed="false">
      <c r="A833" s="5" t="s">
        <v>3201</v>
      </c>
      <c r="B833" s="2" t="s">
        <v>3202</v>
      </c>
      <c r="C833" s="5" t="s">
        <v>2128</v>
      </c>
      <c r="D833" s="5" t="s">
        <v>60</v>
      </c>
      <c r="E833" s="5" t="s">
        <v>62</v>
      </c>
      <c r="F833" s="5" t="s">
        <v>184</v>
      </c>
    </row>
    <row r="834" customFormat="false" ht="23.85" hidden="false" customHeight="false" outlineLevel="0" collapsed="false">
      <c r="A834" s="5" t="s">
        <v>3209</v>
      </c>
      <c r="B834" s="2" t="s">
        <v>3210</v>
      </c>
      <c r="C834" s="5" t="s">
        <v>2128</v>
      </c>
      <c r="D834" s="5" t="s">
        <v>60</v>
      </c>
      <c r="E834" s="5" t="s">
        <v>62</v>
      </c>
      <c r="F834" s="5" t="s">
        <v>184</v>
      </c>
    </row>
    <row r="835" customFormat="false" ht="23.85" hidden="false" customHeight="false" outlineLevel="0" collapsed="false">
      <c r="A835" s="5" t="s">
        <v>3218</v>
      </c>
      <c r="B835" s="2" t="s">
        <v>3219</v>
      </c>
      <c r="C835" s="5" t="s">
        <v>2128</v>
      </c>
      <c r="D835" s="5" t="s">
        <v>60</v>
      </c>
      <c r="E835" s="5" t="s">
        <v>62</v>
      </c>
      <c r="F835" s="5" t="s">
        <v>184</v>
      </c>
    </row>
    <row r="836" customFormat="false" ht="15" hidden="false" customHeight="false" outlineLevel="0" collapsed="false">
      <c r="A836" s="5" t="s">
        <v>3223</v>
      </c>
      <c r="B836" s="2" t="s">
        <v>3224</v>
      </c>
      <c r="C836" s="5" t="s">
        <v>2128</v>
      </c>
      <c r="D836" s="5" t="s">
        <v>60</v>
      </c>
      <c r="E836" s="5" t="s">
        <v>62</v>
      </c>
      <c r="F836" s="5" t="s">
        <v>184</v>
      </c>
    </row>
    <row r="837" customFormat="false" ht="23.85" hidden="false" customHeight="false" outlineLevel="0" collapsed="false">
      <c r="A837" s="5" t="s">
        <v>3230</v>
      </c>
      <c r="B837" s="2" t="s">
        <v>3231</v>
      </c>
      <c r="C837" s="5" t="s">
        <v>2245</v>
      </c>
      <c r="D837" s="5" t="s">
        <v>60</v>
      </c>
      <c r="E837" s="5" t="s">
        <v>490</v>
      </c>
      <c r="F837" s="5" t="s">
        <v>367</v>
      </c>
    </row>
    <row r="838" customFormat="false" ht="23.85" hidden="false" customHeight="false" outlineLevel="0" collapsed="false">
      <c r="A838" s="5" t="s">
        <v>3236</v>
      </c>
      <c r="B838" s="2" t="s">
        <v>3237</v>
      </c>
      <c r="C838" s="5" t="s">
        <v>2245</v>
      </c>
      <c r="D838" s="5" t="s">
        <v>60</v>
      </c>
      <c r="E838" s="5" t="s">
        <v>62</v>
      </c>
      <c r="F838" s="5" t="s">
        <v>367</v>
      </c>
    </row>
    <row r="839" customFormat="false" ht="15" hidden="false" customHeight="false" outlineLevel="0" collapsed="false">
      <c r="A839" s="5" t="s">
        <v>3244</v>
      </c>
      <c r="B839" s="2" t="s">
        <v>3245</v>
      </c>
      <c r="C839" s="5" t="s">
        <v>2128</v>
      </c>
      <c r="D839" s="5" t="s">
        <v>60</v>
      </c>
      <c r="E839" s="5" t="s">
        <v>62</v>
      </c>
      <c r="F839" s="5" t="s">
        <v>184</v>
      </c>
    </row>
    <row r="840" customFormat="false" ht="23.85" hidden="false" customHeight="false" outlineLevel="0" collapsed="false">
      <c r="A840" s="5" t="s">
        <v>3250</v>
      </c>
      <c r="B840" s="2" t="s">
        <v>3251</v>
      </c>
      <c r="C840" s="5" t="s">
        <v>2245</v>
      </c>
      <c r="D840" s="5" t="s">
        <v>60</v>
      </c>
      <c r="E840" s="5" t="s">
        <v>62</v>
      </c>
      <c r="F840" s="5" t="s">
        <v>367</v>
      </c>
    </row>
    <row r="841" customFormat="false" ht="23.85" hidden="false" customHeight="false" outlineLevel="0" collapsed="false">
      <c r="A841" s="5" t="s">
        <v>3256</v>
      </c>
      <c r="B841" s="2" t="s">
        <v>3257</v>
      </c>
      <c r="C841" s="5" t="s">
        <v>2128</v>
      </c>
      <c r="D841" s="5" t="s">
        <v>60</v>
      </c>
      <c r="E841" s="5" t="s">
        <v>62</v>
      </c>
      <c r="F841" s="5" t="s">
        <v>184</v>
      </c>
    </row>
    <row r="842" customFormat="false" ht="23.85" hidden="false" customHeight="false" outlineLevel="0" collapsed="false">
      <c r="A842" s="5" t="s">
        <v>3262</v>
      </c>
      <c r="B842" s="2" t="s">
        <v>3263</v>
      </c>
      <c r="C842" s="5" t="s">
        <v>2128</v>
      </c>
      <c r="D842" s="5" t="s">
        <v>60</v>
      </c>
      <c r="E842" s="5" t="s">
        <v>62</v>
      </c>
      <c r="F842" s="5" t="s">
        <v>367</v>
      </c>
    </row>
    <row r="843" customFormat="false" ht="23.85" hidden="false" customHeight="false" outlineLevel="0" collapsed="false">
      <c r="A843" s="5" t="s">
        <v>3268</v>
      </c>
      <c r="B843" s="2" t="s">
        <v>3269</v>
      </c>
      <c r="C843" s="5" t="s">
        <v>2128</v>
      </c>
      <c r="D843" s="5" t="s">
        <v>60</v>
      </c>
      <c r="E843" s="5" t="s">
        <v>62</v>
      </c>
      <c r="F843" s="5" t="s">
        <v>367</v>
      </c>
    </row>
    <row r="844" customFormat="false" ht="15" hidden="false" customHeight="false" outlineLevel="0" collapsed="false">
      <c r="A844" s="5" t="s">
        <v>3274</v>
      </c>
      <c r="B844" s="2" t="s">
        <v>3275</v>
      </c>
      <c r="C844" s="5" t="s">
        <v>2128</v>
      </c>
      <c r="D844" s="5" t="s">
        <v>60</v>
      </c>
      <c r="E844" s="5" t="s">
        <v>62</v>
      </c>
      <c r="F844" s="5" t="s">
        <v>184</v>
      </c>
    </row>
    <row r="845" customFormat="false" ht="15" hidden="false" customHeight="false" outlineLevel="0" collapsed="false">
      <c r="A845" s="5" t="s">
        <v>3280</v>
      </c>
      <c r="B845" s="2" t="s">
        <v>3281</v>
      </c>
      <c r="C845" s="5" t="s">
        <v>2128</v>
      </c>
      <c r="D845" s="5" t="s">
        <v>60</v>
      </c>
      <c r="E845" s="5" t="s">
        <v>62</v>
      </c>
      <c r="F845" s="5" t="s">
        <v>184</v>
      </c>
    </row>
    <row r="846" customFormat="false" ht="23.85" hidden="false" customHeight="false" outlineLevel="0" collapsed="false">
      <c r="A846" s="5" t="s">
        <v>3287</v>
      </c>
      <c r="B846" s="2" t="s">
        <v>3288</v>
      </c>
      <c r="C846" s="5" t="s">
        <v>2245</v>
      </c>
      <c r="D846" s="5" t="s">
        <v>60</v>
      </c>
      <c r="E846" s="5" t="s">
        <v>490</v>
      </c>
      <c r="F846" s="5" t="s">
        <v>367</v>
      </c>
    </row>
    <row r="847" customFormat="false" ht="23.85" hidden="false" customHeight="false" outlineLevel="0" collapsed="false">
      <c r="A847" s="5" t="s">
        <v>3294</v>
      </c>
      <c r="B847" s="2" t="s">
        <v>3295</v>
      </c>
      <c r="C847" s="5" t="s">
        <v>2128</v>
      </c>
      <c r="D847" s="5" t="s">
        <v>60</v>
      </c>
      <c r="E847" s="5" t="s">
        <v>62</v>
      </c>
      <c r="F847" s="5" t="s">
        <v>184</v>
      </c>
    </row>
    <row r="848" customFormat="false" ht="23.85" hidden="false" customHeight="false" outlineLevel="0" collapsed="false">
      <c r="A848" s="5" t="s">
        <v>3302</v>
      </c>
      <c r="B848" s="2" t="s">
        <v>3303</v>
      </c>
      <c r="C848" s="5" t="s">
        <v>2128</v>
      </c>
      <c r="D848" s="5" t="s">
        <v>60</v>
      </c>
      <c r="E848" s="5" t="s">
        <v>62</v>
      </c>
      <c r="F848" s="5" t="s">
        <v>184</v>
      </c>
    </row>
    <row r="849" customFormat="false" ht="23.85" hidden="false" customHeight="false" outlineLevel="0" collapsed="false">
      <c r="A849" s="5" t="s">
        <v>3307</v>
      </c>
      <c r="B849" s="2" t="s">
        <v>3308</v>
      </c>
      <c r="C849" s="5" t="s">
        <v>2128</v>
      </c>
      <c r="D849" s="5" t="s">
        <v>60</v>
      </c>
      <c r="E849" s="5" t="s">
        <v>62</v>
      </c>
      <c r="F849" s="5" t="s">
        <v>184</v>
      </c>
    </row>
    <row r="850" customFormat="false" ht="23.85" hidden="false" customHeight="false" outlineLevel="0" collapsed="false">
      <c r="A850" s="5" t="s">
        <v>3314</v>
      </c>
      <c r="B850" s="2" t="s">
        <v>3315</v>
      </c>
      <c r="C850" s="5" t="s">
        <v>2128</v>
      </c>
      <c r="D850" s="5" t="s">
        <v>60</v>
      </c>
      <c r="E850" s="5" t="s">
        <v>62</v>
      </c>
      <c r="F850" s="5" t="s">
        <v>184</v>
      </c>
    </row>
    <row r="851" customFormat="false" ht="23.85" hidden="false" customHeight="false" outlineLevel="0" collapsed="false">
      <c r="A851" s="5" t="s">
        <v>3319</v>
      </c>
      <c r="B851" s="2" t="s">
        <v>3320</v>
      </c>
      <c r="C851" s="5" t="s">
        <v>2128</v>
      </c>
      <c r="D851" s="5" t="s">
        <v>60</v>
      </c>
      <c r="E851" s="5" t="s">
        <v>62</v>
      </c>
      <c r="F851" s="5" t="s">
        <v>184</v>
      </c>
    </row>
    <row r="852" customFormat="false" ht="15" hidden="false" customHeight="false" outlineLevel="0" collapsed="false">
      <c r="A852" s="5" t="s">
        <v>3325</v>
      </c>
      <c r="B852" s="2" t="s">
        <v>3326</v>
      </c>
      <c r="C852" s="5" t="s">
        <v>2245</v>
      </c>
      <c r="D852" s="5" t="s">
        <v>60</v>
      </c>
      <c r="E852" s="5" t="s">
        <v>62</v>
      </c>
      <c r="F852" s="5" t="s">
        <v>367</v>
      </c>
    </row>
    <row r="853" customFormat="false" ht="23.85" hidden="false" customHeight="false" outlineLevel="0" collapsed="false">
      <c r="A853" s="5" t="s">
        <v>3333</v>
      </c>
      <c r="B853" s="2" t="s">
        <v>3334</v>
      </c>
      <c r="C853" s="5" t="s">
        <v>2245</v>
      </c>
      <c r="D853" s="5" t="s">
        <v>60</v>
      </c>
      <c r="E853" s="5" t="s">
        <v>62</v>
      </c>
      <c r="F853" s="5" t="s">
        <v>367</v>
      </c>
    </row>
    <row r="854" customFormat="false" ht="15" hidden="false" customHeight="false" outlineLevel="0" collapsed="false">
      <c r="A854" s="5" t="s">
        <v>3338</v>
      </c>
      <c r="B854" s="2" t="s">
        <v>3339</v>
      </c>
      <c r="C854" s="5" t="s">
        <v>2128</v>
      </c>
      <c r="D854" s="5" t="s">
        <v>60</v>
      </c>
      <c r="E854" s="5" t="s">
        <v>62</v>
      </c>
      <c r="F854" s="5" t="s">
        <v>367</v>
      </c>
    </row>
    <row r="855" customFormat="false" ht="15" hidden="false" customHeight="false" outlineLevel="0" collapsed="false">
      <c r="A855" s="5" t="s">
        <v>3343</v>
      </c>
      <c r="B855" s="2" t="s">
        <v>3344</v>
      </c>
      <c r="C855" s="5" t="s">
        <v>2128</v>
      </c>
      <c r="D855" s="5" t="s">
        <v>60</v>
      </c>
      <c r="E855" s="5" t="s">
        <v>62</v>
      </c>
      <c r="F855" s="5" t="s">
        <v>367</v>
      </c>
    </row>
    <row r="856" customFormat="false" ht="15" hidden="false" customHeight="false" outlineLevel="0" collapsed="false">
      <c r="A856" s="5" t="s">
        <v>3348</v>
      </c>
      <c r="B856" s="2" t="s">
        <v>3349</v>
      </c>
      <c r="C856" s="5" t="s">
        <v>2128</v>
      </c>
      <c r="D856" s="5" t="s">
        <v>60</v>
      </c>
      <c r="E856" s="5" t="s">
        <v>62</v>
      </c>
      <c r="F856" s="5" t="s">
        <v>367</v>
      </c>
    </row>
    <row r="857" customFormat="false" ht="23.85" hidden="false" customHeight="false" outlineLevel="0" collapsed="false">
      <c r="A857" s="5" t="s">
        <v>3353</v>
      </c>
      <c r="B857" s="2" t="s">
        <v>3354</v>
      </c>
      <c r="C857" s="5" t="s">
        <v>2245</v>
      </c>
      <c r="D857" s="5" t="s">
        <v>60</v>
      </c>
      <c r="E857" s="5" t="s">
        <v>490</v>
      </c>
      <c r="F857" s="5" t="s">
        <v>415</v>
      </c>
    </row>
    <row r="858" customFormat="false" ht="23.85" hidden="false" customHeight="false" outlineLevel="0" collapsed="false">
      <c r="A858" s="5" t="s">
        <v>3359</v>
      </c>
      <c r="B858" s="2" t="s">
        <v>3360</v>
      </c>
      <c r="C858" s="5" t="s">
        <v>2128</v>
      </c>
      <c r="D858" s="5" t="s">
        <v>60</v>
      </c>
      <c r="E858" s="5" t="s">
        <v>62</v>
      </c>
      <c r="F858" s="5" t="s">
        <v>367</v>
      </c>
    </row>
    <row r="859" customFormat="false" ht="23.85" hidden="false" customHeight="false" outlineLevel="0" collapsed="false">
      <c r="A859" s="5" t="s">
        <v>3365</v>
      </c>
      <c r="B859" s="2" t="s">
        <v>3366</v>
      </c>
      <c r="C859" s="5" t="s">
        <v>2128</v>
      </c>
      <c r="D859" s="5" t="s">
        <v>60</v>
      </c>
      <c r="E859" s="5" t="s">
        <v>62</v>
      </c>
      <c r="F859" s="5" t="s">
        <v>184</v>
      </c>
    </row>
    <row r="860" customFormat="false" ht="15" hidden="false" customHeight="false" outlineLevel="0" collapsed="false">
      <c r="A860" s="5" t="s">
        <v>3370</v>
      </c>
      <c r="B860" s="2" t="s">
        <v>3371</v>
      </c>
      <c r="C860" s="5" t="s">
        <v>2128</v>
      </c>
      <c r="D860" s="5" t="s">
        <v>60</v>
      </c>
      <c r="E860" s="5" t="s">
        <v>62</v>
      </c>
      <c r="F860" s="5" t="s">
        <v>367</v>
      </c>
    </row>
    <row r="861" customFormat="false" ht="23.85" hidden="false" customHeight="false" outlineLevel="0" collapsed="false">
      <c r="A861" s="5" t="s">
        <v>3379</v>
      </c>
      <c r="B861" s="2" t="s">
        <v>3380</v>
      </c>
      <c r="C861" s="5" t="s">
        <v>2128</v>
      </c>
      <c r="D861" s="5" t="s">
        <v>60</v>
      </c>
      <c r="E861" s="5" t="s">
        <v>62</v>
      </c>
      <c r="F861" s="5" t="s">
        <v>184</v>
      </c>
    </row>
    <row r="862" customFormat="false" ht="15" hidden="false" customHeight="false" outlineLevel="0" collapsed="false">
      <c r="A862" s="5" t="s">
        <v>3386</v>
      </c>
      <c r="B862" s="2" t="s">
        <v>3387</v>
      </c>
      <c r="C862" s="5" t="s">
        <v>2128</v>
      </c>
      <c r="D862" s="5" t="s">
        <v>60</v>
      </c>
      <c r="E862" s="5" t="s">
        <v>62</v>
      </c>
      <c r="F862" s="5" t="s">
        <v>184</v>
      </c>
    </row>
    <row r="863" customFormat="false" ht="23.85" hidden="false" customHeight="false" outlineLevel="0" collapsed="false">
      <c r="A863" s="5" t="s">
        <v>3391</v>
      </c>
      <c r="B863" s="2" t="s">
        <v>3392</v>
      </c>
      <c r="C863" s="5" t="s">
        <v>2245</v>
      </c>
      <c r="D863" s="5" t="s">
        <v>60</v>
      </c>
      <c r="E863" s="5" t="s">
        <v>62</v>
      </c>
      <c r="F863" s="5" t="s">
        <v>6027</v>
      </c>
    </row>
    <row r="864" customFormat="false" ht="23.85" hidden="false" customHeight="false" outlineLevel="0" collapsed="false">
      <c r="A864" s="5" t="s">
        <v>3396</v>
      </c>
      <c r="B864" s="2" t="s">
        <v>3397</v>
      </c>
      <c r="C864" s="5" t="s">
        <v>2128</v>
      </c>
      <c r="D864" s="5" t="s">
        <v>60</v>
      </c>
      <c r="E864" s="5" t="s">
        <v>62</v>
      </c>
      <c r="F864" s="5" t="s">
        <v>367</v>
      </c>
    </row>
    <row r="865" customFormat="false" ht="15" hidden="false" customHeight="false" outlineLevel="0" collapsed="false">
      <c r="A865" s="5" t="s">
        <v>3401</v>
      </c>
      <c r="B865" s="2" t="s">
        <v>3402</v>
      </c>
      <c r="C865" s="5" t="s">
        <v>2128</v>
      </c>
      <c r="D865" s="5" t="s">
        <v>60</v>
      </c>
      <c r="E865" s="5" t="s">
        <v>62</v>
      </c>
      <c r="F865" s="5" t="s">
        <v>184</v>
      </c>
    </row>
    <row r="866" customFormat="false" ht="23.85" hidden="false" customHeight="false" outlineLevel="0" collapsed="false">
      <c r="A866" s="5" t="s">
        <v>3406</v>
      </c>
      <c r="B866" s="2" t="s">
        <v>3407</v>
      </c>
      <c r="C866" s="5" t="s">
        <v>2128</v>
      </c>
      <c r="D866" s="5" t="s">
        <v>60</v>
      </c>
      <c r="E866" s="5" t="s">
        <v>62</v>
      </c>
      <c r="F866" s="5" t="s">
        <v>184</v>
      </c>
    </row>
    <row r="867" customFormat="false" ht="15" hidden="false" customHeight="false" outlineLevel="0" collapsed="false">
      <c r="A867" s="5" t="s">
        <v>3413</v>
      </c>
      <c r="B867" s="2" t="s">
        <v>3414</v>
      </c>
      <c r="C867" s="5" t="s">
        <v>2128</v>
      </c>
      <c r="D867" s="5" t="s">
        <v>60</v>
      </c>
      <c r="E867" s="5" t="s">
        <v>62</v>
      </c>
      <c r="F867" s="5" t="s">
        <v>184</v>
      </c>
    </row>
    <row r="868" customFormat="false" ht="15" hidden="false" customHeight="false" outlineLevel="0" collapsed="false">
      <c r="A868" s="5" t="s">
        <v>3421</v>
      </c>
      <c r="B868" s="2" t="s">
        <v>3422</v>
      </c>
      <c r="C868" s="5" t="s">
        <v>2128</v>
      </c>
      <c r="D868" s="5" t="s">
        <v>60</v>
      </c>
      <c r="E868" s="5" t="s">
        <v>62</v>
      </c>
      <c r="F868" s="5" t="s">
        <v>184</v>
      </c>
    </row>
    <row r="869" customFormat="false" ht="23.85" hidden="false" customHeight="false" outlineLevel="0" collapsed="false">
      <c r="A869" s="5" t="s">
        <v>3427</v>
      </c>
      <c r="B869" s="2" t="s">
        <v>3428</v>
      </c>
      <c r="C869" s="5" t="s">
        <v>2128</v>
      </c>
      <c r="D869" s="5" t="s">
        <v>60</v>
      </c>
      <c r="E869" s="5" t="s">
        <v>62</v>
      </c>
      <c r="F869" s="5" t="s">
        <v>184</v>
      </c>
    </row>
    <row r="870" customFormat="false" ht="23.85" hidden="false" customHeight="false" outlineLevel="0" collapsed="false">
      <c r="A870" s="5" t="s">
        <v>3433</v>
      </c>
      <c r="B870" s="2" t="s">
        <v>3434</v>
      </c>
      <c r="C870" s="5" t="s">
        <v>2245</v>
      </c>
      <c r="D870" s="5" t="s">
        <v>60</v>
      </c>
      <c r="E870" s="5" t="s">
        <v>62</v>
      </c>
      <c r="F870" s="5" t="s">
        <v>367</v>
      </c>
    </row>
    <row r="871" customFormat="false" ht="23.85" hidden="false" customHeight="false" outlineLevel="0" collapsed="false">
      <c r="A871" s="5" t="s">
        <v>3438</v>
      </c>
      <c r="B871" s="2" t="s">
        <v>3439</v>
      </c>
      <c r="C871" s="5" t="s">
        <v>2245</v>
      </c>
      <c r="D871" s="5" t="s">
        <v>60</v>
      </c>
      <c r="E871" s="5" t="s">
        <v>62</v>
      </c>
      <c r="F871" s="5" t="s">
        <v>6027</v>
      </c>
    </row>
    <row r="872" customFormat="false" ht="15" hidden="false" customHeight="false" outlineLevel="0" collapsed="false">
      <c r="A872" s="5" t="s">
        <v>3444</v>
      </c>
      <c r="B872" s="2" t="s">
        <v>3445</v>
      </c>
      <c r="C872" s="5" t="s">
        <v>2245</v>
      </c>
      <c r="D872" s="5" t="s">
        <v>60</v>
      </c>
      <c r="E872" s="5" t="s">
        <v>490</v>
      </c>
      <c r="F872" s="5" t="s">
        <v>6027</v>
      </c>
    </row>
    <row r="873" customFormat="false" ht="23.85" hidden="false" customHeight="false" outlineLevel="0" collapsed="false">
      <c r="A873" s="5" t="s">
        <v>3450</v>
      </c>
      <c r="B873" s="2" t="s">
        <v>3451</v>
      </c>
      <c r="C873" s="5" t="s">
        <v>2245</v>
      </c>
      <c r="D873" s="5" t="s">
        <v>60</v>
      </c>
      <c r="E873" s="5" t="s">
        <v>490</v>
      </c>
      <c r="F873" s="5" t="s">
        <v>6027</v>
      </c>
    </row>
    <row r="874" customFormat="false" ht="23.85" hidden="false" customHeight="false" outlineLevel="0" collapsed="false">
      <c r="A874" s="5" t="s">
        <v>3455</v>
      </c>
      <c r="B874" s="2" t="s">
        <v>3456</v>
      </c>
      <c r="C874" s="5" t="s">
        <v>2245</v>
      </c>
      <c r="D874" s="5" t="s">
        <v>60</v>
      </c>
      <c r="E874" s="5" t="s">
        <v>62</v>
      </c>
      <c r="F874" s="5" t="s">
        <v>367</v>
      </c>
    </row>
    <row r="875" customFormat="false" ht="23.85" hidden="false" customHeight="false" outlineLevel="0" collapsed="false">
      <c r="A875" s="5" t="s">
        <v>3463</v>
      </c>
      <c r="B875" s="2" t="s">
        <v>3464</v>
      </c>
      <c r="C875" s="5" t="s">
        <v>2245</v>
      </c>
      <c r="D875" s="5" t="s">
        <v>60</v>
      </c>
      <c r="E875" s="5" t="s">
        <v>62</v>
      </c>
      <c r="F875" s="5" t="s">
        <v>367</v>
      </c>
    </row>
    <row r="876" customFormat="false" ht="23.85" hidden="false" customHeight="false" outlineLevel="0" collapsed="false">
      <c r="A876" s="5" t="s">
        <v>3468</v>
      </c>
      <c r="B876" s="2" t="s">
        <v>3469</v>
      </c>
      <c r="C876" s="5" t="s">
        <v>2245</v>
      </c>
      <c r="D876" s="5" t="s">
        <v>60</v>
      </c>
      <c r="E876" s="5" t="s">
        <v>62</v>
      </c>
      <c r="F876" s="5" t="s">
        <v>6027</v>
      </c>
    </row>
    <row r="877" customFormat="false" ht="15" hidden="false" customHeight="false" outlineLevel="0" collapsed="false">
      <c r="A877" s="5" t="s">
        <v>3473</v>
      </c>
      <c r="B877" s="2" t="s">
        <v>3474</v>
      </c>
      <c r="C877" s="5" t="s">
        <v>2128</v>
      </c>
      <c r="D877" s="5" t="s">
        <v>60</v>
      </c>
      <c r="E877" s="5" t="s">
        <v>62</v>
      </c>
      <c r="F877" s="5" t="s">
        <v>367</v>
      </c>
    </row>
    <row r="878" customFormat="false" ht="15" hidden="false" customHeight="false" outlineLevel="0" collapsed="false">
      <c r="A878" s="5" t="s">
        <v>3478</v>
      </c>
      <c r="B878" s="2" t="s">
        <v>3479</v>
      </c>
      <c r="C878" s="5" t="s">
        <v>2245</v>
      </c>
      <c r="D878" s="5" t="s">
        <v>60</v>
      </c>
      <c r="E878" s="5" t="s">
        <v>62</v>
      </c>
      <c r="F878" s="5" t="s">
        <v>367</v>
      </c>
    </row>
    <row r="879" customFormat="false" ht="23.85" hidden="false" customHeight="false" outlineLevel="0" collapsed="false">
      <c r="A879" s="5" t="s">
        <v>3484</v>
      </c>
      <c r="B879" s="2" t="s">
        <v>3485</v>
      </c>
      <c r="C879" s="5" t="s">
        <v>2245</v>
      </c>
      <c r="D879" s="5" t="s">
        <v>60</v>
      </c>
      <c r="E879" s="5" t="s">
        <v>62</v>
      </c>
      <c r="F879" s="5" t="s">
        <v>367</v>
      </c>
    </row>
    <row r="880" customFormat="false" ht="23.85" hidden="false" customHeight="false" outlineLevel="0" collapsed="false">
      <c r="A880" s="5" t="s">
        <v>3489</v>
      </c>
      <c r="B880" s="2" t="s">
        <v>3490</v>
      </c>
      <c r="C880" s="5" t="s">
        <v>2128</v>
      </c>
      <c r="D880" s="5" t="s">
        <v>60</v>
      </c>
      <c r="E880" s="5" t="s">
        <v>62</v>
      </c>
      <c r="F880" s="5" t="s">
        <v>184</v>
      </c>
    </row>
    <row r="881" customFormat="false" ht="23.85" hidden="false" customHeight="false" outlineLevel="0" collapsed="false">
      <c r="A881" s="5" t="s">
        <v>3497</v>
      </c>
      <c r="B881" s="2" t="s">
        <v>3498</v>
      </c>
      <c r="C881" s="5" t="s">
        <v>2245</v>
      </c>
      <c r="D881" s="5" t="s">
        <v>60</v>
      </c>
      <c r="E881" s="5" t="s">
        <v>62</v>
      </c>
      <c r="F881" s="5" t="s">
        <v>184</v>
      </c>
    </row>
    <row r="882" customFormat="false" ht="15" hidden="false" customHeight="false" outlineLevel="0" collapsed="false">
      <c r="A882" s="5" t="s">
        <v>3506</v>
      </c>
      <c r="B882" s="2" t="s">
        <v>3507</v>
      </c>
      <c r="C882" s="5" t="s">
        <v>2128</v>
      </c>
      <c r="D882" s="5" t="s">
        <v>60</v>
      </c>
      <c r="E882" s="5" t="s">
        <v>62</v>
      </c>
      <c r="F882" s="5" t="s">
        <v>367</v>
      </c>
    </row>
    <row r="883" customFormat="false" ht="23.85" hidden="false" customHeight="false" outlineLevel="0" collapsed="false">
      <c r="A883" s="5" t="s">
        <v>3512</v>
      </c>
      <c r="B883" s="2" t="s">
        <v>3513</v>
      </c>
      <c r="C883" s="5" t="s">
        <v>2128</v>
      </c>
      <c r="D883" s="5" t="s">
        <v>60</v>
      </c>
      <c r="E883" s="5" t="s">
        <v>62</v>
      </c>
      <c r="F883" s="5" t="s">
        <v>184</v>
      </c>
    </row>
    <row r="884" customFormat="false" ht="23.85" hidden="false" customHeight="false" outlineLevel="0" collapsed="false">
      <c r="A884" s="5" t="s">
        <v>3521</v>
      </c>
      <c r="B884" s="2" t="s">
        <v>3522</v>
      </c>
      <c r="C884" s="5" t="s">
        <v>2128</v>
      </c>
      <c r="D884" s="5" t="s">
        <v>60</v>
      </c>
      <c r="E884" s="5" t="s">
        <v>62</v>
      </c>
      <c r="F884" s="5" t="s">
        <v>184</v>
      </c>
    </row>
    <row r="885" customFormat="false" ht="23.85" hidden="false" customHeight="false" outlineLevel="0" collapsed="false">
      <c r="A885" s="5" t="s">
        <v>3528</v>
      </c>
      <c r="B885" s="2" t="s">
        <v>3529</v>
      </c>
      <c r="C885" s="5" t="s">
        <v>2128</v>
      </c>
      <c r="D885" s="5" t="s">
        <v>60</v>
      </c>
      <c r="E885" s="5" t="s">
        <v>62</v>
      </c>
      <c r="F885" s="5" t="s">
        <v>184</v>
      </c>
    </row>
    <row r="886" customFormat="false" ht="15" hidden="false" customHeight="false" outlineLevel="0" collapsed="false">
      <c r="A886" s="5" t="s">
        <v>3533</v>
      </c>
      <c r="B886" s="2" t="s">
        <v>3534</v>
      </c>
      <c r="C886" s="5" t="s">
        <v>2245</v>
      </c>
      <c r="D886" s="5" t="s">
        <v>60</v>
      </c>
      <c r="E886" s="5" t="s">
        <v>62</v>
      </c>
      <c r="F886" s="5" t="s">
        <v>184</v>
      </c>
    </row>
    <row r="887" customFormat="false" ht="15" hidden="false" customHeight="false" outlineLevel="0" collapsed="false">
      <c r="A887" s="5" t="s">
        <v>3542</v>
      </c>
      <c r="B887" s="2" t="s">
        <v>3543</v>
      </c>
      <c r="C887" s="5" t="s">
        <v>2128</v>
      </c>
      <c r="D887" s="5" t="s">
        <v>60</v>
      </c>
      <c r="E887" s="5" t="s">
        <v>62</v>
      </c>
      <c r="F887" s="5" t="s">
        <v>184</v>
      </c>
    </row>
    <row r="888" customFormat="false" ht="23.85" hidden="false" customHeight="false" outlineLevel="0" collapsed="false">
      <c r="A888" s="5" t="s">
        <v>3551</v>
      </c>
      <c r="B888" s="2" t="s">
        <v>3552</v>
      </c>
      <c r="C888" s="5" t="s">
        <v>2245</v>
      </c>
      <c r="D888" s="5" t="s">
        <v>60</v>
      </c>
      <c r="E888" s="5" t="s">
        <v>490</v>
      </c>
      <c r="F888" s="5" t="s">
        <v>184</v>
      </c>
    </row>
    <row r="889" customFormat="false" ht="23.85" hidden="false" customHeight="false" outlineLevel="0" collapsed="false">
      <c r="A889" s="5" t="s">
        <v>3556</v>
      </c>
      <c r="B889" s="2" t="s">
        <v>3557</v>
      </c>
      <c r="C889" s="5" t="s">
        <v>2128</v>
      </c>
      <c r="D889" s="5" t="s">
        <v>60</v>
      </c>
      <c r="E889" s="5" t="s">
        <v>62</v>
      </c>
      <c r="F889" s="5" t="s">
        <v>367</v>
      </c>
    </row>
    <row r="890" customFormat="false" ht="23.85" hidden="false" customHeight="false" outlineLevel="0" collapsed="false">
      <c r="A890" s="5" t="s">
        <v>3561</v>
      </c>
      <c r="B890" s="2" t="s">
        <v>3562</v>
      </c>
      <c r="C890" s="5" t="s">
        <v>2128</v>
      </c>
      <c r="D890" s="5" t="s">
        <v>60</v>
      </c>
      <c r="E890" s="5" t="s">
        <v>62</v>
      </c>
      <c r="F890" s="5" t="s">
        <v>367</v>
      </c>
    </row>
    <row r="891" customFormat="false" ht="23.85" hidden="false" customHeight="false" outlineLevel="0" collapsed="false">
      <c r="A891" s="5" t="s">
        <v>3566</v>
      </c>
      <c r="B891" s="2" t="s">
        <v>3567</v>
      </c>
      <c r="C891" s="5" t="s">
        <v>2245</v>
      </c>
      <c r="D891" s="5" t="s">
        <v>60</v>
      </c>
      <c r="E891" s="5" t="s">
        <v>62</v>
      </c>
      <c r="F891" s="5" t="s">
        <v>367</v>
      </c>
    </row>
    <row r="892" customFormat="false" ht="23.85" hidden="false" customHeight="false" outlineLevel="0" collapsed="false">
      <c r="A892" s="5" t="s">
        <v>3571</v>
      </c>
      <c r="B892" s="2" t="s">
        <v>3572</v>
      </c>
      <c r="C892" s="5" t="s">
        <v>2245</v>
      </c>
      <c r="D892" s="5" t="s">
        <v>60</v>
      </c>
      <c r="E892" s="5" t="s">
        <v>62</v>
      </c>
      <c r="F892" s="5" t="s">
        <v>367</v>
      </c>
    </row>
    <row r="893" customFormat="false" ht="15" hidden="false" customHeight="false" outlineLevel="0" collapsed="false">
      <c r="A893" s="5" t="s">
        <v>3576</v>
      </c>
      <c r="B893" s="2" t="s">
        <v>3577</v>
      </c>
      <c r="C893" s="5" t="s">
        <v>2128</v>
      </c>
      <c r="D893" s="5" t="s">
        <v>60</v>
      </c>
      <c r="E893" s="5" t="s">
        <v>62</v>
      </c>
      <c r="F893" s="5" t="s">
        <v>184</v>
      </c>
    </row>
    <row r="894" customFormat="false" ht="23.85" hidden="false" customHeight="false" outlineLevel="0" collapsed="false">
      <c r="A894" s="5" t="s">
        <v>3581</v>
      </c>
      <c r="B894" s="2" t="s">
        <v>3582</v>
      </c>
      <c r="C894" s="5" t="s">
        <v>2245</v>
      </c>
      <c r="D894" s="5" t="s">
        <v>60</v>
      </c>
      <c r="E894" s="5" t="s">
        <v>62</v>
      </c>
      <c r="F894" s="5" t="s">
        <v>6027</v>
      </c>
    </row>
    <row r="895" customFormat="false" ht="23.85" hidden="false" customHeight="false" outlineLevel="0" collapsed="false">
      <c r="A895" s="5" t="s">
        <v>3587</v>
      </c>
      <c r="B895" s="2" t="s">
        <v>3588</v>
      </c>
      <c r="C895" s="5" t="s">
        <v>2128</v>
      </c>
      <c r="D895" s="5" t="s">
        <v>60</v>
      </c>
      <c r="E895" s="5" t="s">
        <v>62</v>
      </c>
      <c r="F895" s="5" t="s">
        <v>367</v>
      </c>
    </row>
    <row r="896" customFormat="false" ht="15" hidden="false" customHeight="false" outlineLevel="0" collapsed="false">
      <c r="A896" s="5" t="s">
        <v>3592</v>
      </c>
      <c r="B896" s="2" t="s">
        <v>3593</v>
      </c>
      <c r="C896" s="5" t="s">
        <v>2128</v>
      </c>
      <c r="D896" s="5" t="s">
        <v>60</v>
      </c>
      <c r="E896" s="5" t="s">
        <v>62</v>
      </c>
      <c r="F896" s="5" t="s">
        <v>367</v>
      </c>
    </row>
    <row r="897" customFormat="false" ht="23.85" hidden="false" customHeight="false" outlineLevel="0" collapsed="false">
      <c r="A897" s="5" t="s">
        <v>3598</v>
      </c>
      <c r="B897" s="2" t="s">
        <v>3599</v>
      </c>
      <c r="C897" s="5" t="s">
        <v>2128</v>
      </c>
      <c r="D897" s="5" t="s">
        <v>60</v>
      </c>
      <c r="E897" s="5" t="s">
        <v>62</v>
      </c>
      <c r="F897" s="5" t="s">
        <v>367</v>
      </c>
    </row>
    <row r="898" customFormat="false" ht="23.85" hidden="false" customHeight="false" outlineLevel="0" collapsed="false">
      <c r="A898" s="5" t="s">
        <v>3603</v>
      </c>
      <c r="B898" s="2" t="s">
        <v>3604</v>
      </c>
      <c r="C898" s="5" t="s">
        <v>2245</v>
      </c>
      <c r="D898" s="5" t="s">
        <v>60</v>
      </c>
      <c r="E898" s="5" t="s">
        <v>62</v>
      </c>
      <c r="F898" s="5" t="s">
        <v>184</v>
      </c>
    </row>
    <row r="899" customFormat="false" ht="15" hidden="false" customHeight="false" outlineLevel="0" collapsed="false">
      <c r="A899" s="5" t="s">
        <v>3609</v>
      </c>
      <c r="B899" s="2" t="s">
        <v>3610</v>
      </c>
      <c r="C899" s="5" t="s">
        <v>2128</v>
      </c>
      <c r="D899" s="5" t="s">
        <v>60</v>
      </c>
      <c r="E899" s="5" t="s">
        <v>62</v>
      </c>
      <c r="F899" s="5" t="s">
        <v>367</v>
      </c>
    </row>
    <row r="900" customFormat="false" ht="15" hidden="false" customHeight="false" outlineLevel="0" collapsed="false">
      <c r="A900" s="5" t="s">
        <v>3614</v>
      </c>
      <c r="B900" s="2" t="s">
        <v>3615</v>
      </c>
      <c r="C900" s="5" t="s">
        <v>2128</v>
      </c>
      <c r="D900" s="5" t="s">
        <v>60</v>
      </c>
      <c r="E900" s="5" t="s">
        <v>62</v>
      </c>
      <c r="F900" s="5" t="s">
        <v>367</v>
      </c>
    </row>
    <row r="901" customFormat="false" ht="15" hidden="false" customHeight="false" outlineLevel="0" collapsed="false">
      <c r="A901" s="5" t="s">
        <v>3619</v>
      </c>
      <c r="B901" s="2" t="s">
        <v>3620</v>
      </c>
      <c r="C901" s="5" t="s">
        <v>2128</v>
      </c>
      <c r="D901" s="5" t="s">
        <v>60</v>
      </c>
      <c r="E901" s="5" t="s">
        <v>62</v>
      </c>
      <c r="F901" s="5" t="s">
        <v>367</v>
      </c>
    </row>
    <row r="902" customFormat="false" ht="23.85" hidden="false" customHeight="false" outlineLevel="0" collapsed="false">
      <c r="A902" s="5" t="s">
        <v>3624</v>
      </c>
      <c r="B902" s="2" t="s">
        <v>3625</v>
      </c>
      <c r="C902" s="5" t="s">
        <v>2245</v>
      </c>
      <c r="D902" s="5" t="s">
        <v>60</v>
      </c>
      <c r="E902" s="5" t="s">
        <v>62</v>
      </c>
      <c r="F902" s="5" t="s">
        <v>184</v>
      </c>
    </row>
    <row r="903" customFormat="false" ht="15" hidden="false" customHeight="false" outlineLevel="0" collapsed="false">
      <c r="A903" s="5" t="s">
        <v>3632</v>
      </c>
      <c r="B903" s="2" t="s">
        <v>3633</v>
      </c>
      <c r="C903" s="5" t="s">
        <v>2245</v>
      </c>
      <c r="D903" s="5" t="s">
        <v>60</v>
      </c>
      <c r="E903" s="5" t="s">
        <v>490</v>
      </c>
      <c r="F903" s="5" t="s">
        <v>367</v>
      </c>
    </row>
    <row r="904" customFormat="false" ht="15" hidden="false" customHeight="false" outlineLevel="0" collapsed="false">
      <c r="A904" s="5" t="s">
        <v>3637</v>
      </c>
      <c r="B904" s="2" t="s">
        <v>3638</v>
      </c>
      <c r="C904" s="5" t="s">
        <v>2245</v>
      </c>
      <c r="D904" s="5" t="s">
        <v>60</v>
      </c>
      <c r="E904" s="5" t="s">
        <v>490</v>
      </c>
      <c r="F904" s="5" t="s">
        <v>367</v>
      </c>
    </row>
    <row r="905" customFormat="false" ht="15" hidden="false" customHeight="false" outlineLevel="0" collapsed="false">
      <c r="A905" s="5" t="s">
        <v>3643</v>
      </c>
      <c r="B905" s="2" t="s">
        <v>3644</v>
      </c>
      <c r="C905" s="5" t="s">
        <v>2245</v>
      </c>
      <c r="D905" s="5" t="s">
        <v>60</v>
      </c>
      <c r="E905" s="5" t="s">
        <v>62</v>
      </c>
      <c r="F905" s="5" t="s">
        <v>184</v>
      </c>
    </row>
    <row r="906" customFormat="false" ht="23.85" hidden="false" customHeight="false" outlineLevel="0" collapsed="false">
      <c r="A906" s="5" t="s">
        <v>3651</v>
      </c>
      <c r="B906" s="2" t="s">
        <v>3652</v>
      </c>
      <c r="C906" s="5" t="s">
        <v>2245</v>
      </c>
      <c r="D906" s="5" t="s">
        <v>60</v>
      </c>
      <c r="E906" s="5" t="s">
        <v>62</v>
      </c>
      <c r="F906" s="5" t="s">
        <v>367</v>
      </c>
    </row>
    <row r="907" customFormat="false" ht="23.85" hidden="false" customHeight="false" outlineLevel="0" collapsed="false">
      <c r="A907" s="5" t="s">
        <v>3656</v>
      </c>
      <c r="B907" s="2" t="s">
        <v>3657</v>
      </c>
      <c r="C907" s="5" t="s">
        <v>2245</v>
      </c>
      <c r="D907" s="5" t="s">
        <v>60</v>
      </c>
      <c r="E907" s="5" t="s">
        <v>62</v>
      </c>
      <c r="F907" s="5" t="s">
        <v>6027</v>
      </c>
    </row>
    <row r="908" customFormat="false" ht="23.85" hidden="false" customHeight="false" outlineLevel="0" collapsed="false">
      <c r="A908" s="5" t="s">
        <v>3661</v>
      </c>
      <c r="B908" s="2" t="s">
        <v>3662</v>
      </c>
      <c r="C908" s="5" t="s">
        <v>2128</v>
      </c>
      <c r="D908" s="5" t="s">
        <v>60</v>
      </c>
      <c r="E908" s="5" t="s">
        <v>62</v>
      </c>
      <c r="F908" s="5" t="s">
        <v>367</v>
      </c>
    </row>
    <row r="909" customFormat="false" ht="23.85" hidden="false" customHeight="false" outlineLevel="0" collapsed="false">
      <c r="A909" s="5" t="s">
        <v>3666</v>
      </c>
      <c r="B909" s="2" t="s">
        <v>3667</v>
      </c>
      <c r="C909" s="5" t="s">
        <v>2128</v>
      </c>
      <c r="D909" s="5" t="s">
        <v>60</v>
      </c>
      <c r="E909" s="5" t="s">
        <v>62</v>
      </c>
      <c r="F909" s="5" t="s">
        <v>367</v>
      </c>
    </row>
    <row r="910" customFormat="false" ht="15" hidden="false" customHeight="false" outlineLevel="0" collapsed="false">
      <c r="A910" s="5" t="s">
        <v>3672</v>
      </c>
      <c r="B910" s="2" t="s">
        <v>3673</v>
      </c>
      <c r="C910" s="5" t="s">
        <v>2245</v>
      </c>
      <c r="D910" s="5" t="s">
        <v>60</v>
      </c>
      <c r="E910" s="5" t="s">
        <v>62</v>
      </c>
      <c r="F910" s="5" t="s">
        <v>367</v>
      </c>
    </row>
    <row r="911" customFormat="false" ht="15" hidden="false" customHeight="false" outlineLevel="0" collapsed="false">
      <c r="A911" s="5" t="s">
        <v>3677</v>
      </c>
      <c r="B911" s="2" t="s">
        <v>3678</v>
      </c>
      <c r="C911" s="5" t="s">
        <v>2128</v>
      </c>
      <c r="D911" s="5" t="s">
        <v>60</v>
      </c>
      <c r="E911" s="5" t="s">
        <v>62</v>
      </c>
      <c r="F911" s="5" t="s">
        <v>367</v>
      </c>
    </row>
    <row r="912" customFormat="false" ht="15" hidden="false" customHeight="false" outlineLevel="0" collapsed="false">
      <c r="A912" s="5" t="s">
        <v>3682</v>
      </c>
      <c r="B912" s="2" t="s">
        <v>3683</v>
      </c>
      <c r="C912" s="5" t="s">
        <v>2128</v>
      </c>
      <c r="D912" s="5" t="s">
        <v>60</v>
      </c>
      <c r="E912" s="5" t="s">
        <v>62</v>
      </c>
      <c r="F912" s="5" t="s">
        <v>367</v>
      </c>
    </row>
    <row r="913" customFormat="false" ht="15" hidden="false" customHeight="false" outlineLevel="0" collapsed="false">
      <c r="A913" s="5" t="s">
        <v>3688</v>
      </c>
      <c r="B913" s="2" t="s">
        <v>3689</v>
      </c>
      <c r="C913" s="5" t="s">
        <v>2245</v>
      </c>
      <c r="D913" s="5" t="s">
        <v>60</v>
      </c>
      <c r="E913" s="5" t="s">
        <v>62</v>
      </c>
      <c r="F913" s="5" t="s">
        <v>367</v>
      </c>
    </row>
    <row r="914" customFormat="false" ht="23.85" hidden="false" customHeight="false" outlineLevel="0" collapsed="false">
      <c r="A914" s="5" t="s">
        <v>3693</v>
      </c>
      <c r="B914" s="2" t="s">
        <v>3694</v>
      </c>
      <c r="C914" s="5" t="s">
        <v>2245</v>
      </c>
      <c r="D914" s="5" t="s">
        <v>60</v>
      </c>
      <c r="E914" s="5" t="s">
        <v>62</v>
      </c>
      <c r="F914" s="5" t="s">
        <v>6027</v>
      </c>
    </row>
    <row r="915" customFormat="false" ht="15" hidden="false" customHeight="false" outlineLevel="0" collapsed="false">
      <c r="A915" s="5" t="s">
        <v>3698</v>
      </c>
      <c r="B915" s="2" t="s">
        <v>3699</v>
      </c>
      <c r="C915" s="5" t="s">
        <v>2128</v>
      </c>
      <c r="D915" s="5" t="s">
        <v>60</v>
      </c>
      <c r="E915" s="5" t="s">
        <v>62</v>
      </c>
      <c r="F915" s="5" t="s">
        <v>184</v>
      </c>
    </row>
    <row r="916" customFormat="false" ht="15" hidden="false" customHeight="false" outlineLevel="0" collapsed="false">
      <c r="A916" s="5" t="s">
        <v>3705</v>
      </c>
      <c r="B916" s="2" t="s">
        <v>3706</v>
      </c>
      <c r="C916" s="5" t="s">
        <v>2128</v>
      </c>
      <c r="D916" s="5" t="s">
        <v>60</v>
      </c>
      <c r="E916" s="5" t="s">
        <v>62</v>
      </c>
      <c r="F916" s="5" t="s">
        <v>184</v>
      </c>
    </row>
    <row r="917" customFormat="false" ht="23.85" hidden="false" customHeight="false" outlineLevel="0" collapsed="false">
      <c r="A917" s="5" t="s">
        <v>3710</v>
      </c>
      <c r="B917" s="2" t="s">
        <v>3711</v>
      </c>
      <c r="C917" s="5" t="s">
        <v>2245</v>
      </c>
      <c r="D917" s="5" t="s">
        <v>60</v>
      </c>
      <c r="E917" s="5" t="s">
        <v>490</v>
      </c>
      <c r="F917" s="5" t="s">
        <v>367</v>
      </c>
    </row>
    <row r="918" customFormat="false" ht="23.85" hidden="false" customHeight="false" outlineLevel="0" collapsed="false">
      <c r="A918" s="5" t="s">
        <v>3716</v>
      </c>
      <c r="B918" s="2" t="s">
        <v>3717</v>
      </c>
      <c r="C918" s="5" t="s">
        <v>2128</v>
      </c>
      <c r="D918" s="5" t="s">
        <v>60</v>
      </c>
      <c r="E918" s="5" t="s">
        <v>62</v>
      </c>
      <c r="F918" s="5" t="s">
        <v>184</v>
      </c>
    </row>
    <row r="919" customFormat="false" ht="15" hidden="false" customHeight="false" outlineLevel="0" collapsed="false">
      <c r="A919" s="5" t="s">
        <v>3723</v>
      </c>
      <c r="B919" s="2" t="s">
        <v>3724</v>
      </c>
      <c r="C919" s="5" t="s">
        <v>2128</v>
      </c>
      <c r="D919" s="5" t="s">
        <v>60</v>
      </c>
      <c r="E919" s="5" t="s">
        <v>62</v>
      </c>
      <c r="F919" s="5" t="s">
        <v>184</v>
      </c>
    </row>
    <row r="920" customFormat="false" ht="23.85" hidden="false" customHeight="false" outlineLevel="0" collapsed="false">
      <c r="A920" s="5" t="s">
        <v>3728</v>
      </c>
      <c r="B920" s="2" t="s">
        <v>3729</v>
      </c>
      <c r="C920" s="5" t="s">
        <v>2128</v>
      </c>
      <c r="D920" s="5" t="s">
        <v>60</v>
      </c>
      <c r="E920" s="5" t="s">
        <v>62</v>
      </c>
      <c r="F920" s="5" t="s">
        <v>367</v>
      </c>
    </row>
    <row r="921" customFormat="false" ht="23.85" hidden="false" customHeight="false" outlineLevel="0" collapsed="false">
      <c r="A921" s="5" t="s">
        <v>3733</v>
      </c>
      <c r="B921" s="2" t="s">
        <v>3734</v>
      </c>
      <c r="C921" s="5" t="s">
        <v>2128</v>
      </c>
      <c r="D921" s="5" t="s">
        <v>60</v>
      </c>
      <c r="E921" s="5" t="s">
        <v>62</v>
      </c>
      <c r="F921" s="5" t="s">
        <v>184</v>
      </c>
    </row>
    <row r="922" customFormat="false" ht="23.85" hidden="false" customHeight="false" outlineLevel="0" collapsed="false">
      <c r="A922" s="5" t="s">
        <v>3743</v>
      </c>
      <c r="B922" s="2" t="s">
        <v>3744</v>
      </c>
      <c r="C922" s="5" t="s">
        <v>2245</v>
      </c>
      <c r="D922" s="5" t="s">
        <v>60</v>
      </c>
      <c r="E922" s="5" t="s">
        <v>62</v>
      </c>
      <c r="F922" s="5" t="s">
        <v>184</v>
      </c>
    </row>
    <row r="923" customFormat="false" ht="23.85" hidden="false" customHeight="false" outlineLevel="0" collapsed="false">
      <c r="A923" s="5" t="s">
        <v>3751</v>
      </c>
      <c r="B923" s="2" t="s">
        <v>3752</v>
      </c>
      <c r="C923" s="5" t="s">
        <v>2245</v>
      </c>
      <c r="D923" s="5" t="s">
        <v>60</v>
      </c>
      <c r="E923" s="5" t="s">
        <v>62</v>
      </c>
      <c r="F923" s="5" t="s">
        <v>184</v>
      </c>
    </row>
    <row r="924" customFormat="false" ht="23.85" hidden="false" customHeight="false" outlineLevel="0" collapsed="false">
      <c r="A924" s="5" t="s">
        <v>3756</v>
      </c>
      <c r="B924" s="2" t="s">
        <v>3757</v>
      </c>
      <c r="C924" s="5" t="s">
        <v>2128</v>
      </c>
      <c r="D924" s="5" t="s">
        <v>60</v>
      </c>
      <c r="E924" s="5" t="s">
        <v>62</v>
      </c>
      <c r="F924" s="5" t="s">
        <v>184</v>
      </c>
    </row>
    <row r="925" customFormat="false" ht="23.85" hidden="false" customHeight="false" outlineLevel="0" collapsed="false">
      <c r="A925" s="5" t="s">
        <v>3761</v>
      </c>
      <c r="B925" s="2" t="s">
        <v>3762</v>
      </c>
      <c r="C925" s="5" t="s">
        <v>2245</v>
      </c>
      <c r="D925" s="5" t="s">
        <v>60</v>
      </c>
      <c r="E925" s="5" t="s">
        <v>62</v>
      </c>
      <c r="F925" s="5" t="s">
        <v>184</v>
      </c>
    </row>
    <row r="926" customFormat="false" ht="23.85" hidden="false" customHeight="false" outlineLevel="0" collapsed="false">
      <c r="A926" s="5" t="s">
        <v>3766</v>
      </c>
      <c r="B926" s="2" t="s">
        <v>3767</v>
      </c>
      <c r="C926" s="5" t="s">
        <v>2128</v>
      </c>
      <c r="D926" s="5" t="s">
        <v>60</v>
      </c>
      <c r="E926" s="5" t="s">
        <v>62</v>
      </c>
      <c r="F926" s="5" t="s">
        <v>184</v>
      </c>
    </row>
    <row r="927" customFormat="false" ht="23.85" hidden="false" customHeight="false" outlineLevel="0" collapsed="false">
      <c r="A927" s="5" t="s">
        <v>3771</v>
      </c>
      <c r="B927" s="2" t="s">
        <v>3772</v>
      </c>
      <c r="C927" s="5" t="s">
        <v>2245</v>
      </c>
      <c r="D927" s="5" t="s">
        <v>60</v>
      </c>
      <c r="E927" s="5" t="s">
        <v>62</v>
      </c>
      <c r="F927" s="5" t="s">
        <v>184</v>
      </c>
    </row>
    <row r="928" customFormat="false" ht="23.85" hidden="false" customHeight="false" outlineLevel="0" collapsed="false">
      <c r="A928" s="5" t="s">
        <v>3776</v>
      </c>
      <c r="B928" s="2" t="s">
        <v>3777</v>
      </c>
      <c r="C928" s="5" t="s">
        <v>2128</v>
      </c>
      <c r="D928" s="5" t="s">
        <v>60</v>
      </c>
      <c r="E928" s="5" t="s">
        <v>62</v>
      </c>
      <c r="F928" s="5" t="s">
        <v>184</v>
      </c>
    </row>
    <row r="929" customFormat="false" ht="23.85" hidden="false" customHeight="false" outlineLevel="0" collapsed="false">
      <c r="A929" s="5" t="s">
        <v>3781</v>
      </c>
      <c r="B929" s="2" t="s">
        <v>3782</v>
      </c>
      <c r="C929" s="5" t="s">
        <v>2128</v>
      </c>
      <c r="D929" s="5" t="s">
        <v>60</v>
      </c>
      <c r="E929" s="5" t="s">
        <v>62</v>
      </c>
      <c r="F929" s="5" t="s">
        <v>184</v>
      </c>
    </row>
    <row r="930" customFormat="false" ht="23.85" hidden="false" customHeight="false" outlineLevel="0" collapsed="false">
      <c r="A930" s="5" t="s">
        <v>3786</v>
      </c>
      <c r="B930" s="2" t="s">
        <v>3787</v>
      </c>
      <c r="C930" s="5" t="s">
        <v>2128</v>
      </c>
      <c r="D930" s="5" t="s">
        <v>60</v>
      </c>
      <c r="E930" s="5" t="s">
        <v>62</v>
      </c>
      <c r="F930" s="5" t="s">
        <v>184</v>
      </c>
    </row>
    <row r="931" customFormat="false" ht="23.85" hidden="false" customHeight="false" outlineLevel="0" collapsed="false">
      <c r="A931" s="5" t="s">
        <v>3791</v>
      </c>
      <c r="B931" s="2" t="s">
        <v>3792</v>
      </c>
      <c r="C931" s="5" t="s">
        <v>2128</v>
      </c>
      <c r="D931" s="5" t="s">
        <v>60</v>
      </c>
      <c r="E931" s="5" t="s">
        <v>62</v>
      </c>
      <c r="F931" s="5" t="s">
        <v>184</v>
      </c>
    </row>
    <row r="932" customFormat="false" ht="23.85" hidden="false" customHeight="false" outlineLevel="0" collapsed="false">
      <c r="A932" s="5" t="s">
        <v>3796</v>
      </c>
      <c r="B932" s="2" t="s">
        <v>3797</v>
      </c>
      <c r="C932" s="5" t="s">
        <v>2128</v>
      </c>
      <c r="D932" s="5" t="s">
        <v>60</v>
      </c>
      <c r="E932" s="5" t="s">
        <v>62</v>
      </c>
      <c r="F932" s="5" t="s">
        <v>184</v>
      </c>
    </row>
    <row r="933" customFormat="false" ht="15" hidden="false" customHeight="false" outlineLevel="0" collapsed="false">
      <c r="A933" s="5" t="s">
        <v>3801</v>
      </c>
      <c r="B933" s="2" t="s">
        <v>3802</v>
      </c>
      <c r="C933" s="5" t="s">
        <v>2128</v>
      </c>
      <c r="D933" s="5" t="s">
        <v>60</v>
      </c>
      <c r="E933" s="5" t="s">
        <v>62</v>
      </c>
      <c r="F933" s="5" t="s">
        <v>184</v>
      </c>
    </row>
    <row r="934" customFormat="false" ht="15" hidden="false" customHeight="false" outlineLevel="0" collapsed="false">
      <c r="A934" s="5" t="s">
        <v>3808</v>
      </c>
      <c r="B934" s="2" t="s">
        <v>3809</v>
      </c>
      <c r="C934" s="5" t="s">
        <v>2245</v>
      </c>
      <c r="D934" s="5" t="s">
        <v>60</v>
      </c>
      <c r="E934" s="5" t="s">
        <v>62</v>
      </c>
      <c r="F934" s="5" t="s">
        <v>184</v>
      </c>
    </row>
    <row r="935" customFormat="false" ht="15" hidden="false" customHeight="false" outlineLevel="0" collapsed="false">
      <c r="A935" s="5" t="s">
        <v>3814</v>
      </c>
      <c r="B935" s="2" t="s">
        <v>3815</v>
      </c>
      <c r="C935" s="5" t="s">
        <v>2128</v>
      </c>
      <c r="D935" s="5" t="s">
        <v>60</v>
      </c>
      <c r="E935" s="5" t="s">
        <v>62</v>
      </c>
      <c r="F935" s="5" t="s">
        <v>415</v>
      </c>
    </row>
    <row r="936" customFormat="false" ht="23.85" hidden="false" customHeight="false" outlineLevel="0" collapsed="false">
      <c r="A936" s="5" t="s">
        <v>3820</v>
      </c>
      <c r="B936" s="2" t="s">
        <v>3821</v>
      </c>
      <c r="C936" s="5" t="s">
        <v>2128</v>
      </c>
      <c r="D936" s="5" t="s">
        <v>60</v>
      </c>
      <c r="E936" s="5" t="s">
        <v>62</v>
      </c>
      <c r="F936" s="5" t="s">
        <v>367</v>
      </c>
    </row>
    <row r="937" customFormat="false" ht="15" hidden="false" customHeight="false" outlineLevel="0" collapsed="false">
      <c r="A937" s="5" t="s">
        <v>3826</v>
      </c>
      <c r="B937" s="2" t="s">
        <v>3827</v>
      </c>
      <c r="C937" s="5" t="s">
        <v>2128</v>
      </c>
      <c r="D937" s="5" t="s">
        <v>60</v>
      </c>
      <c r="E937" s="5" t="s">
        <v>62</v>
      </c>
      <c r="F937" s="5" t="s">
        <v>184</v>
      </c>
    </row>
    <row r="938" customFormat="false" ht="15" hidden="false" customHeight="false" outlineLevel="0" collapsed="false">
      <c r="A938" s="5" t="s">
        <v>3830</v>
      </c>
      <c r="B938" s="2" t="s">
        <v>3831</v>
      </c>
      <c r="C938" s="5" t="s">
        <v>2128</v>
      </c>
      <c r="D938" s="5" t="s">
        <v>60</v>
      </c>
      <c r="E938" s="5" t="s">
        <v>62</v>
      </c>
      <c r="F938" s="5" t="s">
        <v>184</v>
      </c>
    </row>
    <row r="939" customFormat="false" ht="15" hidden="false" customHeight="false" outlineLevel="0" collapsed="false">
      <c r="A939" s="5" t="s">
        <v>3836</v>
      </c>
      <c r="B939" s="2" t="s">
        <v>3837</v>
      </c>
      <c r="C939" s="5" t="s">
        <v>2128</v>
      </c>
      <c r="D939" s="5" t="s">
        <v>60</v>
      </c>
      <c r="E939" s="5" t="s">
        <v>62</v>
      </c>
      <c r="F939" s="5" t="s">
        <v>184</v>
      </c>
    </row>
    <row r="940" customFormat="false" ht="23.85" hidden="false" customHeight="false" outlineLevel="0" collapsed="false">
      <c r="A940" s="5" t="s">
        <v>3842</v>
      </c>
      <c r="B940" s="2" t="s">
        <v>3843</v>
      </c>
      <c r="C940" s="5" t="s">
        <v>2245</v>
      </c>
      <c r="D940" s="5" t="s">
        <v>60</v>
      </c>
      <c r="E940" s="5" t="s">
        <v>62</v>
      </c>
      <c r="F940" s="5" t="s">
        <v>367</v>
      </c>
    </row>
    <row r="941" customFormat="false" ht="23.85" hidden="false" customHeight="false" outlineLevel="0" collapsed="false">
      <c r="A941" s="5" t="s">
        <v>3848</v>
      </c>
      <c r="B941" s="2" t="s">
        <v>3849</v>
      </c>
      <c r="C941" s="5" t="s">
        <v>2245</v>
      </c>
      <c r="D941" s="5" t="s">
        <v>60</v>
      </c>
      <c r="E941" s="5" t="s">
        <v>62</v>
      </c>
      <c r="F941" s="5" t="s">
        <v>6027</v>
      </c>
    </row>
    <row r="942" customFormat="false" ht="23.85" hidden="false" customHeight="false" outlineLevel="0" collapsed="false">
      <c r="A942" s="5" t="s">
        <v>3854</v>
      </c>
      <c r="B942" s="2" t="s">
        <v>3855</v>
      </c>
      <c r="C942" s="5" t="s">
        <v>2128</v>
      </c>
      <c r="D942" s="5" t="s">
        <v>60</v>
      </c>
      <c r="E942" s="5" t="s">
        <v>62</v>
      </c>
      <c r="F942" s="5" t="s">
        <v>184</v>
      </c>
    </row>
    <row r="943" customFormat="false" ht="15" hidden="false" customHeight="false" outlineLevel="0" collapsed="false">
      <c r="A943" s="5" t="s">
        <v>3861</v>
      </c>
      <c r="B943" s="2" t="s">
        <v>3862</v>
      </c>
      <c r="C943" s="5" t="s">
        <v>2128</v>
      </c>
      <c r="D943" s="5" t="s">
        <v>60</v>
      </c>
      <c r="E943" s="5" t="s">
        <v>490</v>
      </c>
      <c r="F943" s="5" t="s">
        <v>184</v>
      </c>
    </row>
    <row r="944" customFormat="false" ht="23.85" hidden="false" customHeight="false" outlineLevel="0" collapsed="false">
      <c r="A944" s="5" t="s">
        <v>3868</v>
      </c>
      <c r="B944" s="2" t="s">
        <v>3869</v>
      </c>
      <c r="C944" s="5" t="s">
        <v>2128</v>
      </c>
      <c r="D944" s="5" t="s">
        <v>60</v>
      </c>
      <c r="E944" s="5" t="s">
        <v>62</v>
      </c>
      <c r="F944" s="5" t="s">
        <v>184</v>
      </c>
    </row>
    <row r="945" customFormat="false" ht="23.85" hidden="false" customHeight="false" outlineLevel="0" collapsed="false">
      <c r="A945" s="5" t="s">
        <v>3874</v>
      </c>
      <c r="B945" s="2" t="s">
        <v>3875</v>
      </c>
      <c r="C945" s="5" t="s">
        <v>2128</v>
      </c>
      <c r="D945" s="5" t="s">
        <v>60</v>
      </c>
      <c r="E945" s="5" t="s">
        <v>62</v>
      </c>
      <c r="F945" s="5" t="s">
        <v>184</v>
      </c>
    </row>
    <row r="946" customFormat="false" ht="15" hidden="false" customHeight="false" outlineLevel="0" collapsed="false">
      <c r="A946" s="5" t="s">
        <v>3881</v>
      </c>
      <c r="B946" s="2" t="s">
        <v>3882</v>
      </c>
      <c r="C946" s="5" t="s">
        <v>2128</v>
      </c>
      <c r="D946" s="5" t="s">
        <v>60</v>
      </c>
      <c r="E946" s="5" t="s">
        <v>62</v>
      </c>
      <c r="F946" s="5" t="s">
        <v>367</v>
      </c>
    </row>
    <row r="947" customFormat="false" ht="23.85" hidden="false" customHeight="false" outlineLevel="0" collapsed="false">
      <c r="A947" s="5" t="s">
        <v>3886</v>
      </c>
      <c r="B947" s="2" t="s">
        <v>3887</v>
      </c>
      <c r="C947" s="5" t="s">
        <v>2245</v>
      </c>
      <c r="D947" s="5" t="s">
        <v>60</v>
      </c>
      <c r="E947" s="5" t="s">
        <v>62</v>
      </c>
      <c r="F947" s="5" t="s">
        <v>6027</v>
      </c>
    </row>
    <row r="948" customFormat="false" ht="15" hidden="false" customHeight="false" outlineLevel="0" collapsed="false">
      <c r="A948" s="5" t="s">
        <v>3891</v>
      </c>
      <c r="B948" s="2" t="s">
        <v>3892</v>
      </c>
      <c r="C948" s="5" t="s">
        <v>2128</v>
      </c>
      <c r="D948" s="5" t="s">
        <v>60</v>
      </c>
      <c r="E948" s="5" t="s">
        <v>62</v>
      </c>
      <c r="F948" s="5" t="s">
        <v>367</v>
      </c>
    </row>
    <row r="949" customFormat="false" ht="23.85" hidden="false" customHeight="false" outlineLevel="0" collapsed="false">
      <c r="A949" s="5" t="s">
        <v>3898</v>
      </c>
      <c r="B949" s="2" t="s">
        <v>3899</v>
      </c>
      <c r="C949" s="5" t="s">
        <v>2128</v>
      </c>
      <c r="D949" s="5" t="s">
        <v>60</v>
      </c>
      <c r="E949" s="5" t="s">
        <v>62</v>
      </c>
      <c r="F949" s="5" t="s">
        <v>367</v>
      </c>
    </row>
    <row r="950" customFormat="false" ht="15" hidden="false" customHeight="false" outlineLevel="0" collapsed="false">
      <c r="A950" s="5" t="s">
        <v>3904</v>
      </c>
      <c r="B950" s="2" t="s">
        <v>3905</v>
      </c>
      <c r="C950" s="5" t="s">
        <v>2128</v>
      </c>
      <c r="D950" s="5" t="s">
        <v>60</v>
      </c>
      <c r="E950" s="5" t="s">
        <v>62</v>
      </c>
      <c r="F950" s="5" t="s">
        <v>184</v>
      </c>
    </row>
    <row r="951" customFormat="false" ht="23.85" hidden="false" customHeight="false" outlineLevel="0" collapsed="false">
      <c r="A951" s="5" t="s">
        <v>3910</v>
      </c>
      <c r="B951" s="2" t="s">
        <v>3911</v>
      </c>
      <c r="C951" s="5" t="s">
        <v>2245</v>
      </c>
      <c r="D951" s="5" t="s">
        <v>60</v>
      </c>
      <c r="E951" s="5" t="s">
        <v>490</v>
      </c>
      <c r="F951" s="5" t="s">
        <v>367</v>
      </c>
    </row>
    <row r="952" customFormat="false" ht="23.85" hidden="false" customHeight="false" outlineLevel="0" collapsed="false">
      <c r="A952" s="5" t="s">
        <v>3915</v>
      </c>
      <c r="B952" s="2" t="s">
        <v>3916</v>
      </c>
      <c r="C952" s="5" t="s">
        <v>2128</v>
      </c>
      <c r="D952" s="5" t="s">
        <v>60</v>
      </c>
      <c r="E952" s="5" t="s">
        <v>62</v>
      </c>
      <c r="F952" s="5" t="s">
        <v>184</v>
      </c>
    </row>
    <row r="953" customFormat="false" ht="23.85" hidden="false" customHeight="false" outlineLevel="0" collapsed="false">
      <c r="A953" s="5" t="s">
        <v>3923</v>
      </c>
      <c r="B953" s="2" t="s">
        <v>3924</v>
      </c>
      <c r="C953" s="5" t="s">
        <v>2128</v>
      </c>
      <c r="D953" s="5" t="s">
        <v>60</v>
      </c>
      <c r="E953" s="5" t="s">
        <v>62</v>
      </c>
      <c r="F953" s="5" t="s">
        <v>367</v>
      </c>
    </row>
    <row r="954" customFormat="false" ht="15" hidden="false" customHeight="false" outlineLevel="0" collapsed="false">
      <c r="A954" s="5" t="s">
        <v>3928</v>
      </c>
      <c r="B954" s="2" t="s">
        <v>3929</v>
      </c>
      <c r="C954" s="5" t="s">
        <v>2128</v>
      </c>
      <c r="D954" s="5" t="s">
        <v>60</v>
      </c>
      <c r="E954" s="5" t="s">
        <v>62</v>
      </c>
      <c r="F954" s="5" t="s">
        <v>367</v>
      </c>
    </row>
    <row r="955" customFormat="false" ht="23.85" hidden="false" customHeight="false" outlineLevel="0" collapsed="false">
      <c r="A955" s="5" t="s">
        <v>3933</v>
      </c>
      <c r="B955" s="2" t="s">
        <v>3934</v>
      </c>
      <c r="C955" s="5" t="s">
        <v>2128</v>
      </c>
      <c r="D955" s="5" t="s">
        <v>60</v>
      </c>
      <c r="E955" s="5" t="s">
        <v>62</v>
      </c>
      <c r="F955" s="5" t="s">
        <v>367</v>
      </c>
    </row>
    <row r="956" customFormat="false" ht="23.85" hidden="false" customHeight="false" outlineLevel="0" collapsed="false">
      <c r="A956" s="5" t="s">
        <v>3938</v>
      </c>
      <c r="B956" s="2" t="s">
        <v>3939</v>
      </c>
      <c r="C956" s="5" t="s">
        <v>2245</v>
      </c>
      <c r="D956" s="5" t="s">
        <v>60</v>
      </c>
      <c r="E956" s="5" t="s">
        <v>490</v>
      </c>
      <c r="F956" s="5" t="s">
        <v>415</v>
      </c>
    </row>
    <row r="957" customFormat="false" ht="15" hidden="false" customHeight="false" outlineLevel="0" collapsed="false">
      <c r="A957" s="5" t="s">
        <v>3943</v>
      </c>
      <c r="B957" s="2" t="s">
        <v>3944</v>
      </c>
      <c r="C957" s="5" t="s">
        <v>2245</v>
      </c>
      <c r="D957" s="5" t="s">
        <v>60</v>
      </c>
      <c r="E957" s="5" t="s">
        <v>62</v>
      </c>
      <c r="F957" s="5" t="s">
        <v>184</v>
      </c>
    </row>
    <row r="958" customFormat="false" ht="15" hidden="false" customHeight="false" outlineLevel="0" collapsed="false">
      <c r="A958" s="5" t="s">
        <v>3949</v>
      </c>
      <c r="B958" s="2" t="s">
        <v>3950</v>
      </c>
      <c r="C958" s="5" t="s">
        <v>2245</v>
      </c>
      <c r="D958" s="5" t="s">
        <v>60</v>
      </c>
      <c r="E958" s="5" t="s">
        <v>62</v>
      </c>
      <c r="F958" s="5" t="s">
        <v>184</v>
      </c>
    </row>
    <row r="959" customFormat="false" ht="23.85" hidden="false" customHeight="false" outlineLevel="0" collapsed="false">
      <c r="A959" s="5" t="s">
        <v>3955</v>
      </c>
      <c r="B959" s="2" t="s">
        <v>3956</v>
      </c>
      <c r="C959" s="5" t="s">
        <v>2245</v>
      </c>
      <c r="D959" s="5" t="s">
        <v>60</v>
      </c>
      <c r="E959" s="5" t="s">
        <v>62</v>
      </c>
      <c r="F959" s="5" t="s">
        <v>6027</v>
      </c>
    </row>
    <row r="960" customFormat="false" ht="15" hidden="false" customHeight="false" outlineLevel="0" collapsed="false">
      <c r="A960" s="5" t="s">
        <v>3960</v>
      </c>
      <c r="B960" s="2" t="s">
        <v>3961</v>
      </c>
      <c r="C960" s="5" t="s">
        <v>2245</v>
      </c>
      <c r="D960" s="5" t="s">
        <v>60</v>
      </c>
      <c r="E960" s="5" t="s">
        <v>62</v>
      </c>
      <c r="F960" s="5" t="s">
        <v>184</v>
      </c>
    </row>
    <row r="961" customFormat="false" ht="15" hidden="false" customHeight="false" outlineLevel="0" collapsed="false">
      <c r="A961" s="5" t="s">
        <v>3966</v>
      </c>
      <c r="B961" s="2" t="s">
        <v>3967</v>
      </c>
      <c r="C961" s="5" t="s">
        <v>2128</v>
      </c>
      <c r="D961" s="5" t="s">
        <v>60</v>
      </c>
      <c r="E961" s="5" t="s">
        <v>62</v>
      </c>
      <c r="F961" s="5" t="s">
        <v>184</v>
      </c>
    </row>
    <row r="962" customFormat="false" ht="23.85" hidden="false" customHeight="false" outlineLevel="0" collapsed="false">
      <c r="A962" s="5" t="s">
        <v>3973</v>
      </c>
      <c r="B962" s="2" t="s">
        <v>3974</v>
      </c>
      <c r="C962" s="5" t="s">
        <v>2128</v>
      </c>
      <c r="D962" s="5" t="s">
        <v>60</v>
      </c>
      <c r="E962" s="5" t="s">
        <v>62</v>
      </c>
      <c r="F962" s="5" t="s">
        <v>184</v>
      </c>
    </row>
    <row r="963" customFormat="false" ht="23.85" hidden="false" customHeight="false" outlineLevel="0" collapsed="false">
      <c r="A963" s="5" t="s">
        <v>3978</v>
      </c>
      <c r="B963" s="2" t="s">
        <v>3979</v>
      </c>
      <c r="C963" s="5" t="s">
        <v>2128</v>
      </c>
      <c r="D963" s="5" t="s">
        <v>60</v>
      </c>
      <c r="E963" s="5" t="s">
        <v>62</v>
      </c>
      <c r="F963" s="5" t="s">
        <v>184</v>
      </c>
    </row>
    <row r="964" customFormat="false" ht="23.85" hidden="false" customHeight="false" outlineLevel="0" collapsed="false">
      <c r="A964" s="5" t="s">
        <v>3983</v>
      </c>
      <c r="B964" s="2" t="s">
        <v>3984</v>
      </c>
      <c r="C964" s="5" t="s">
        <v>2128</v>
      </c>
      <c r="D964" s="5" t="s">
        <v>60</v>
      </c>
      <c r="E964" s="5" t="s">
        <v>62</v>
      </c>
      <c r="F964" s="5" t="s">
        <v>184</v>
      </c>
    </row>
    <row r="965" customFormat="false" ht="15" hidden="false" customHeight="false" outlineLevel="0" collapsed="false">
      <c r="A965" s="5" t="s">
        <v>3991</v>
      </c>
      <c r="B965" s="2" t="s">
        <v>3992</v>
      </c>
      <c r="C965" s="5" t="s">
        <v>2128</v>
      </c>
      <c r="D965" s="5" t="s">
        <v>60</v>
      </c>
      <c r="E965" s="5" t="s">
        <v>62</v>
      </c>
      <c r="F965" s="5" t="s">
        <v>184</v>
      </c>
    </row>
    <row r="966" customFormat="false" ht="23.85" hidden="false" customHeight="false" outlineLevel="0" collapsed="false">
      <c r="A966" s="5" t="s">
        <v>3997</v>
      </c>
      <c r="B966" s="2" t="s">
        <v>3998</v>
      </c>
      <c r="C966" s="5" t="s">
        <v>2128</v>
      </c>
      <c r="D966" s="5" t="s">
        <v>60</v>
      </c>
      <c r="E966" s="5" t="s">
        <v>62</v>
      </c>
      <c r="F966" s="5" t="s">
        <v>367</v>
      </c>
    </row>
    <row r="967" customFormat="false" ht="23.85" hidden="false" customHeight="false" outlineLevel="0" collapsed="false">
      <c r="A967" s="5" t="s">
        <v>4002</v>
      </c>
      <c r="B967" s="2" t="s">
        <v>4003</v>
      </c>
      <c r="C967" s="5" t="s">
        <v>2245</v>
      </c>
      <c r="D967" s="5" t="s">
        <v>60</v>
      </c>
      <c r="E967" s="5" t="s">
        <v>62</v>
      </c>
      <c r="F967" s="5" t="s">
        <v>6027</v>
      </c>
    </row>
    <row r="968" customFormat="false" ht="23.85" hidden="false" customHeight="false" outlineLevel="0" collapsed="false">
      <c r="A968" s="5" t="s">
        <v>4007</v>
      </c>
      <c r="B968" s="2" t="s">
        <v>4008</v>
      </c>
      <c r="C968" s="5" t="s">
        <v>2245</v>
      </c>
      <c r="D968" s="5" t="s">
        <v>60</v>
      </c>
      <c r="E968" s="5" t="s">
        <v>62</v>
      </c>
      <c r="F968" s="5" t="s">
        <v>6027</v>
      </c>
    </row>
    <row r="969" customFormat="false" ht="23.85" hidden="false" customHeight="false" outlineLevel="0" collapsed="false">
      <c r="A969" s="5" t="s">
        <v>4012</v>
      </c>
      <c r="B969" s="2" t="s">
        <v>4013</v>
      </c>
      <c r="C969" s="5" t="s">
        <v>2245</v>
      </c>
      <c r="D969" s="5" t="s">
        <v>60</v>
      </c>
      <c r="E969" s="5" t="s">
        <v>490</v>
      </c>
      <c r="F969" s="5" t="s">
        <v>184</v>
      </c>
    </row>
    <row r="970" customFormat="false" ht="15" hidden="false" customHeight="false" outlineLevel="0" collapsed="false">
      <c r="A970" s="5" t="s">
        <v>4018</v>
      </c>
      <c r="B970" s="2" t="s">
        <v>4019</v>
      </c>
      <c r="C970" s="5" t="s">
        <v>2128</v>
      </c>
      <c r="D970" s="5" t="s">
        <v>60</v>
      </c>
      <c r="E970" s="5" t="s">
        <v>62</v>
      </c>
      <c r="F970" s="5" t="s">
        <v>367</v>
      </c>
    </row>
    <row r="971" customFormat="false" ht="23.85" hidden="false" customHeight="false" outlineLevel="0" collapsed="false">
      <c r="A971" s="5" t="s">
        <v>4023</v>
      </c>
      <c r="B971" s="2" t="s">
        <v>4024</v>
      </c>
      <c r="C971" s="5" t="s">
        <v>2245</v>
      </c>
      <c r="D971" s="5" t="s">
        <v>60</v>
      </c>
      <c r="E971" s="5" t="s">
        <v>490</v>
      </c>
      <c r="F971" s="5" t="s">
        <v>184</v>
      </c>
    </row>
    <row r="972" customFormat="false" ht="23.85" hidden="false" customHeight="false" outlineLevel="0" collapsed="false">
      <c r="A972" s="5" t="s">
        <v>4033</v>
      </c>
      <c r="B972" s="2" t="s">
        <v>4034</v>
      </c>
      <c r="C972" s="5" t="s">
        <v>2128</v>
      </c>
      <c r="D972" s="5" t="s">
        <v>60</v>
      </c>
      <c r="E972" s="5" t="s">
        <v>62</v>
      </c>
      <c r="F972" s="5" t="s">
        <v>367</v>
      </c>
    </row>
    <row r="973" customFormat="false" ht="23.85" hidden="false" customHeight="false" outlineLevel="0" collapsed="false">
      <c r="A973" s="5" t="s">
        <v>4038</v>
      </c>
      <c r="B973" s="2" t="s">
        <v>4039</v>
      </c>
      <c r="C973" s="5" t="s">
        <v>2245</v>
      </c>
      <c r="D973" s="5" t="s">
        <v>60</v>
      </c>
      <c r="E973" s="5" t="s">
        <v>62</v>
      </c>
      <c r="F973" s="5" t="s">
        <v>184</v>
      </c>
    </row>
    <row r="974" customFormat="false" ht="23.85" hidden="false" customHeight="false" outlineLevel="0" collapsed="false">
      <c r="A974" s="5" t="s">
        <v>4044</v>
      </c>
      <c r="B974" s="2" t="s">
        <v>4045</v>
      </c>
      <c r="C974" s="5" t="s">
        <v>2128</v>
      </c>
      <c r="D974" s="5" t="s">
        <v>60</v>
      </c>
      <c r="E974" s="5" t="s">
        <v>62</v>
      </c>
      <c r="F974" s="5" t="s">
        <v>184</v>
      </c>
    </row>
    <row r="975" customFormat="false" ht="15" hidden="false" customHeight="false" outlineLevel="0" collapsed="false">
      <c r="A975" s="5" t="s">
        <v>4050</v>
      </c>
      <c r="B975" s="2" t="s">
        <v>4051</v>
      </c>
      <c r="C975" s="5" t="s">
        <v>2245</v>
      </c>
      <c r="D975" s="5" t="s">
        <v>60</v>
      </c>
      <c r="E975" s="5" t="s">
        <v>62</v>
      </c>
      <c r="F975" s="5" t="s">
        <v>184</v>
      </c>
    </row>
    <row r="976" customFormat="false" ht="15" hidden="false" customHeight="false" outlineLevel="0" collapsed="false">
      <c r="A976" s="5" t="s">
        <v>4058</v>
      </c>
      <c r="B976" s="2" t="s">
        <v>4059</v>
      </c>
      <c r="C976" s="5" t="s">
        <v>2128</v>
      </c>
      <c r="D976" s="5" t="s">
        <v>60</v>
      </c>
      <c r="E976" s="5" t="s">
        <v>62</v>
      </c>
      <c r="F976" s="5" t="s">
        <v>367</v>
      </c>
    </row>
    <row r="977" customFormat="false" ht="23.85" hidden="false" customHeight="false" outlineLevel="0" collapsed="false">
      <c r="A977" s="5" t="s">
        <v>4064</v>
      </c>
      <c r="B977" s="2" t="s">
        <v>4065</v>
      </c>
      <c r="C977" s="5" t="s">
        <v>2128</v>
      </c>
      <c r="D977" s="5" t="s">
        <v>60</v>
      </c>
      <c r="E977" s="5" t="s">
        <v>62</v>
      </c>
      <c r="F977" s="5" t="s">
        <v>367</v>
      </c>
    </row>
    <row r="978" customFormat="false" ht="15" hidden="false" customHeight="false" outlineLevel="0" collapsed="false">
      <c r="A978" s="5" t="s">
        <v>4069</v>
      </c>
      <c r="B978" s="2" t="s">
        <v>4070</v>
      </c>
      <c r="C978" s="5" t="s">
        <v>2245</v>
      </c>
      <c r="D978" s="5" t="s">
        <v>60</v>
      </c>
      <c r="E978" s="5" t="s">
        <v>62</v>
      </c>
      <c r="F978" s="5" t="s">
        <v>6027</v>
      </c>
    </row>
    <row r="979" customFormat="false" ht="15" hidden="false" customHeight="false" outlineLevel="0" collapsed="false">
      <c r="A979" s="5" t="s">
        <v>4074</v>
      </c>
      <c r="B979" s="2" t="s">
        <v>4075</v>
      </c>
      <c r="C979" s="5" t="s">
        <v>2245</v>
      </c>
      <c r="D979" s="5" t="s">
        <v>60</v>
      </c>
      <c r="E979" s="5" t="s">
        <v>62</v>
      </c>
      <c r="F979" s="5" t="s">
        <v>6027</v>
      </c>
    </row>
    <row r="980" customFormat="false" ht="23.85" hidden="false" customHeight="false" outlineLevel="0" collapsed="false">
      <c r="A980" s="5" t="s">
        <v>4079</v>
      </c>
      <c r="B980" s="2" t="s">
        <v>4080</v>
      </c>
      <c r="C980" s="5" t="s">
        <v>2245</v>
      </c>
      <c r="D980" s="5" t="s">
        <v>60</v>
      </c>
      <c r="E980" s="5" t="s">
        <v>62</v>
      </c>
      <c r="F980" s="5" t="s">
        <v>6027</v>
      </c>
    </row>
    <row r="981" customFormat="false" ht="23.85" hidden="false" customHeight="false" outlineLevel="0" collapsed="false">
      <c r="A981" s="5" t="s">
        <v>4084</v>
      </c>
      <c r="B981" s="2" t="s">
        <v>4085</v>
      </c>
      <c r="C981" s="5" t="s">
        <v>2245</v>
      </c>
      <c r="D981" s="5" t="s">
        <v>60</v>
      </c>
      <c r="E981" s="5" t="s">
        <v>62</v>
      </c>
      <c r="F981" s="5" t="s">
        <v>184</v>
      </c>
    </row>
    <row r="982" customFormat="false" ht="23.85" hidden="false" customHeight="false" outlineLevel="0" collapsed="false">
      <c r="A982" s="5" t="s">
        <v>4089</v>
      </c>
      <c r="B982" s="2" t="s">
        <v>4090</v>
      </c>
      <c r="C982" s="5" t="s">
        <v>2245</v>
      </c>
      <c r="D982" s="5" t="s">
        <v>60</v>
      </c>
      <c r="E982" s="5" t="s">
        <v>62</v>
      </c>
      <c r="F982" s="5" t="s">
        <v>367</v>
      </c>
    </row>
    <row r="983" customFormat="false" ht="23.85" hidden="false" customHeight="false" outlineLevel="0" collapsed="false">
      <c r="A983" s="5" t="s">
        <v>4094</v>
      </c>
      <c r="B983" s="2" t="s">
        <v>4095</v>
      </c>
      <c r="C983" s="5" t="s">
        <v>2128</v>
      </c>
      <c r="D983" s="5" t="s">
        <v>60</v>
      </c>
      <c r="E983" s="5" t="s">
        <v>62</v>
      </c>
      <c r="F983" s="5" t="s">
        <v>184</v>
      </c>
    </row>
    <row r="984" customFormat="false" ht="15" hidden="false" customHeight="false" outlineLevel="0" collapsed="false">
      <c r="A984" s="5" t="s">
        <v>4102</v>
      </c>
      <c r="B984" s="2" t="s">
        <v>4103</v>
      </c>
      <c r="C984" s="5" t="s">
        <v>2128</v>
      </c>
      <c r="D984" s="5" t="s">
        <v>60</v>
      </c>
      <c r="E984" s="5" t="s">
        <v>62</v>
      </c>
      <c r="F984" s="5" t="s">
        <v>184</v>
      </c>
    </row>
    <row r="985" customFormat="false" ht="15" hidden="false" customHeight="false" outlineLevel="0" collapsed="false">
      <c r="A985" s="5" t="s">
        <v>4108</v>
      </c>
      <c r="B985" s="2" t="s">
        <v>4109</v>
      </c>
      <c r="C985" s="5" t="s">
        <v>2245</v>
      </c>
      <c r="D985" s="5" t="s">
        <v>60</v>
      </c>
      <c r="E985" s="5" t="s">
        <v>490</v>
      </c>
      <c r="F985" s="5" t="s">
        <v>367</v>
      </c>
    </row>
    <row r="986" customFormat="false" ht="23.85" hidden="false" customHeight="false" outlineLevel="0" collapsed="false">
      <c r="A986" s="5" t="s">
        <v>4114</v>
      </c>
      <c r="B986" s="2" t="s">
        <v>4115</v>
      </c>
      <c r="C986" s="5" t="s">
        <v>2245</v>
      </c>
      <c r="D986" s="5" t="s">
        <v>60</v>
      </c>
      <c r="E986" s="5" t="s">
        <v>62</v>
      </c>
      <c r="F986" s="5" t="s">
        <v>367</v>
      </c>
    </row>
    <row r="987" customFormat="false" ht="23.85" hidden="false" customHeight="false" outlineLevel="0" collapsed="false">
      <c r="A987" s="5" t="s">
        <v>4120</v>
      </c>
      <c r="B987" s="2" t="s">
        <v>4121</v>
      </c>
      <c r="C987" s="5" t="s">
        <v>2128</v>
      </c>
      <c r="D987" s="5" t="s">
        <v>60</v>
      </c>
      <c r="E987" s="5" t="s">
        <v>62</v>
      </c>
      <c r="F987" s="5" t="s">
        <v>367</v>
      </c>
    </row>
    <row r="988" customFormat="false" ht="15" hidden="false" customHeight="false" outlineLevel="0" collapsed="false">
      <c r="A988" s="5" t="s">
        <v>4125</v>
      </c>
      <c r="B988" s="2" t="s">
        <v>4126</v>
      </c>
      <c r="C988" s="5" t="s">
        <v>2128</v>
      </c>
      <c r="D988" s="5" t="s">
        <v>60</v>
      </c>
      <c r="E988" s="5" t="s">
        <v>62</v>
      </c>
      <c r="F988" s="5" t="s">
        <v>184</v>
      </c>
    </row>
    <row r="989" customFormat="false" ht="15" hidden="false" customHeight="false" outlineLevel="0" collapsed="false">
      <c r="A989" s="5" t="s">
        <v>4130</v>
      </c>
      <c r="B989" s="2" t="s">
        <v>4131</v>
      </c>
      <c r="C989" s="5" t="s">
        <v>2128</v>
      </c>
      <c r="D989" s="5" t="s">
        <v>60</v>
      </c>
      <c r="E989" s="5" t="s">
        <v>62</v>
      </c>
      <c r="F989" s="5" t="s">
        <v>184</v>
      </c>
    </row>
    <row r="990" customFormat="false" ht="15" hidden="false" customHeight="false" outlineLevel="0" collapsed="false">
      <c r="A990" s="5" t="s">
        <v>4139</v>
      </c>
      <c r="B990" s="2" t="s">
        <v>4140</v>
      </c>
      <c r="C990" s="5" t="s">
        <v>2128</v>
      </c>
      <c r="D990" s="5" t="s">
        <v>60</v>
      </c>
      <c r="E990" s="5" t="s">
        <v>62</v>
      </c>
      <c r="F990" s="5" t="s">
        <v>184</v>
      </c>
    </row>
    <row r="991" customFormat="false" ht="23.85" hidden="false" customHeight="false" outlineLevel="0" collapsed="false">
      <c r="A991" s="5" t="s">
        <v>4144</v>
      </c>
      <c r="B991" s="2" t="s">
        <v>4145</v>
      </c>
      <c r="C991" s="5" t="s">
        <v>2245</v>
      </c>
      <c r="D991" s="5" t="s">
        <v>60</v>
      </c>
      <c r="E991" s="5" t="s">
        <v>62</v>
      </c>
      <c r="F991" s="5" t="s">
        <v>367</v>
      </c>
    </row>
    <row r="992" customFormat="false" ht="23.85" hidden="false" customHeight="false" outlineLevel="0" collapsed="false">
      <c r="A992" s="5" t="s">
        <v>4149</v>
      </c>
      <c r="B992" s="2" t="s">
        <v>4150</v>
      </c>
      <c r="C992" s="5" t="s">
        <v>2245</v>
      </c>
      <c r="D992" s="5" t="s">
        <v>60</v>
      </c>
      <c r="E992" s="5" t="s">
        <v>62</v>
      </c>
      <c r="F992" s="5" t="s">
        <v>367</v>
      </c>
    </row>
    <row r="993" customFormat="false" ht="23.85" hidden="false" customHeight="false" outlineLevel="0" collapsed="false">
      <c r="A993" s="5" t="s">
        <v>4154</v>
      </c>
      <c r="B993" s="2" t="s">
        <v>4155</v>
      </c>
      <c r="C993" s="5" t="s">
        <v>2128</v>
      </c>
      <c r="D993" s="5" t="s">
        <v>60</v>
      </c>
      <c r="E993" s="5" t="s">
        <v>62</v>
      </c>
      <c r="F993" s="5" t="s">
        <v>184</v>
      </c>
    </row>
    <row r="994" customFormat="false" ht="15" hidden="false" customHeight="false" outlineLevel="0" collapsed="false">
      <c r="A994" s="5" t="s">
        <v>4159</v>
      </c>
      <c r="B994" s="2" t="s">
        <v>4160</v>
      </c>
      <c r="C994" s="5" t="s">
        <v>2128</v>
      </c>
      <c r="D994" s="5" t="s">
        <v>60</v>
      </c>
      <c r="E994" s="5" t="s">
        <v>62</v>
      </c>
      <c r="F994" s="5" t="s">
        <v>8250</v>
      </c>
    </row>
    <row r="995" customFormat="false" ht="15" hidden="false" customHeight="false" outlineLevel="0" collapsed="false">
      <c r="A995" s="5" t="s">
        <v>4159</v>
      </c>
      <c r="B995" s="2" t="s">
        <v>4160</v>
      </c>
      <c r="C995" s="5" t="s">
        <v>2128</v>
      </c>
      <c r="D995" s="5" t="s">
        <v>60</v>
      </c>
      <c r="E995" s="5" t="s">
        <v>62</v>
      </c>
      <c r="F995" s="5" t="s">
        <v>184</v>
      </c>
    </row>
    <row r="996" customFormat="false" ht="23.85" hidden="false" customHeight="false" outlineLevel="0" collapsed="false">
      <c r="A996" s="5" t="s">
        <v>4170</v>
      </c>
      <c r="B996" s="2" t="s">
        <v>4171</v>
      </c>
      <c r="C996" s="5" t="s">
        <v>2128</v>
      </c>
      <c r="D996" s="5" t="s">
        <v>60</v>
      </c>
      <c r="E996" s="5" t="s">
        <v>62</v>
      </c>
      <c r="F996" s="5" t="s">
        <v>367</v>
      </c>
    </row>
    <row r="997" customFormat="false" ht="15" hidden="false" customHeight="false" outlineLevel="0" collapsed="false">
      <c r="A997" s="5" t="s">
        <v>4175</v>
      </c>
      <c r="B997" s="2" t="s">
        <v>4176</v>
      </c>
      <c r="C997" s="5" t="s">
        <v>2128</v>
      </c>
      <c r="D997" s="5" t="s">
        <v>60</v>
      </c>
      <c r="E997" s="5" t="s">
        <v>62</v>
      </c>
      <c r="F997" s="5" t="s">
        <v>184</v>
      </c>
    </row>
    <row r="998" customFormat="false" ht="23.85" hidden="false" customHeight="false" outlineLevel="0" collapsed="false">
      <c r="A998" s="5" t="s">
        <v>4181</v>
      </c>
      <c r="B998" s="2" t="s">
        <v>4182</v>
      </c>
      <c r="C998" s="5" t="s">
        <v>2128</v>
      </c>
      <c r="D998" s="5" t="s">
        <v>60</v>
      </c>
      <c r="E998" s="5" t="s">
        <v>62</v>
      </c>
      <c r="F998" s="5" t="s">
        <v>184</v>
      </c>
    </row>
    <row r="999" customFormat="false" ht="23.85" hidden="false" customHeight="false" outlineLevel="0" collapsed="false">
      <c r="A999" s="5" t="s">
        <v>4187</v>
      </c>
      <c r="B999" s="2" t="s">
        <v>4188</v>
      </c>
      <c r="C999" s="5" t="s">
        <v>2128</v>
      </c>
      <c r="D999" s="5" t="s">
        <v>60</v>
      </c>
      <c r="E999" s="5" t="s">
        <v>62</v>
      </c>
      <c r="F999" s="5" t="s">
        <v>184</v>
      </c>
    </row>
    <row r="1000" customFormat="false" ht="23.85" hidden="false" customHeight="false" outlineLevel="0" collapsed="false">
      <c r="A1000" s="5" t="s">
        <v>4192</v>
      </c>
      <c r="B1000" s="2" t="s">
        <v>4193</v>
      </c>
      <c r="C1000" s="5" t="s">
        <v>2245</v>
      </c>
      <c r="D1000" s="5" t="s">
        <v>60</v>
      </c>
      <c r="E1000" s="5" t="s">
        <v>62</v>
      </c>
      <c r="F1000" s="5" t="s">
        <v>6027</v>
      </c>
    </row>
    <row r="1001" customFormat="false" ht="15" hidden="false" customHeight="false" outlineLevel="0" collapsed="false">
      <c r="A1001" s="5" t="s">
        <v>4197</v>
      </c>
      <c r="B1001" s="2" t="s">
        <v>4198</v>
      </c>
      <c r="C1001" s="5" t="s">
        <v>2128</v>
      </c>
      <c r="D1001" s="5" t="s">
        <v>60</v>
      </c>
      <c r="E1001" s="5" t="s">
        <v>62</v>
      </c>
      <c r="F1001" s="5" t="s">
        <v>367</v>
      </c>
    </row>
    <row r="1002" customFormat="false" ht="15" hidden="false" customHeight="false" outlineLevel="0" collapsed="false">
      <c r="A1002" s="5" t="s">
        <v>4203</v>
      </c>
      <c r="B1002" s="2" t="s">
        <v>4204</v>
      </c>
      <c r="C1002" s="5" t="s">
        <v>2128</v>
      </c>
      <c r="D1002" s="5" t="s">
        <v>60</v>
      </c>
      <c r="E1002" s="5" t="s">
        <v>62</v>
      </c>
      <c r="F1002" s="5" t="s">
        <v>184</v>
      </c>
    </row>
    <row r="1003" customFormat="false" ht="15" hidden="false" customHeight="false" outlineLevel="0" collapsed="false">
      <c r="A1003" s="5" t="s">
        <v>4209</v>
      </c>
      <c r="B1003" s="2" t="s">
        <v>4210</v>
      </c>
      <c r="C1003" s="5" t="s">
        <v>2128</v>
      </c>
      <c r="D1003" s="5" t="s">
        <v>60</v>
      </c>
      <c r="E1003" s="5" t="s">
        <v>62</v>
      </c>
      <c r="F1003" s="5" t="s">
        <v>184</v>
      </c>
    </row>
    <row r="1004" customFormat="false" ht="15" hidden="false" customHeight="false" outlineLevel="0" collapsed="false">
      <c r="A1004" s="5" t="s">
        <v>4215</v>
      </c>
      <c r="B1004" s="2" t="s">
        <v>4216</v>
      </c>
      <c r="C1004" s="5" t="s">
        <v>2128</v>
      </c>
      <c r="D1004" s="5" t="s">
        <v>60</v>
      </c>
      <c r="E1004" s="5" t="s">
        <v>62</v>
      </c>
      <c r="F1004" s="5" t="s">
        <v>184</v>
      </c>
    </row>
    <row r="1005" customFormat="false" ht="15" hidden="false" customHeight="false" outlineLevel="0" collapsed="false">
      <c r="A1005" s="5" t="s">
        <v>4222</v>
      </c>
      <c r="B1005" s="2" t="s">
        <v>4223</v>
      </c>
      <c r="C1005" s="5" t="s">
        <v>2128</v>
      </c>
      <c r="D1005" s="5" t="s">
        <v>60</v>
      </c>
      <c r="E1005" s="5" t="s">
        <v>62</v>
      </c>
      <c r="F1005" s="5" t="s">
        <v>184</v>
      </c>
    </row>
    <row r="1006" customFormat="false" ht="15" hidden="false" customHeight="false" outlineLevel="0" collapsed="false">
      <c r="A1006" s="5" t="s">
        <v>4230</v>
      </c>
      <c r="B1006" s="2" t="s">
        <v>4231</v>
      </c>
      <c r="C1006" s="5" t="s">
        <v>2128</v>
      </c>
      <c r="D1006" s="5" t="s">
        <v>60</v>
      </c>
      <c r="E1006" s="5" t="s">
        <v>62</v>
      </c>
      <c r="F1006" s="5" t="s">
        <v>367</v>
      </c>
    </row>
    <row r="1007" customFormat="false" ht="15" hidden="false" customHeight="false" outlineLevel="0" collapsed="false">
      <c r="A1007" s="5" t="s">
        <v>4235</v>
      </c>
      <c r="B1007" s="2" t="s">
        <v>4236</v>
      </c>
      <c r="C1007" s="5" t="s">
        <v>2245</v>
      </c>
      <c r="D1007" s="5" t="s">
        <v>60</v>
      </c>
      <c r="E1007" s="5" t="s">
        <v>62</v>
      </c>
      <c r="F1007" s="5" t="s">
        <v>367</v>
      </c>
    </row>
    <row r="1008" customFormat="false" ht="23.85" hidden="false" customHeight="false" outlineLevel="0" collapsed="false">
      <c r="A1008" s="5" t="s">
        <v>4240</v>
      </c>
      <c r="B1008" s="2" t="s">
        <v>4241</v>
      </c>
      <c r="C1008" s="5" t="s">
        <v>2245</v>
      </c>
      <c r="D1008" s="5" t="s">
        <v>60</v>
      </c>
      <c r="E1008" s="5" t="s">
        <v>62</v>
      </c>
      <c r="F1008" s="5" t="s">
        <v>367</v>
      </c>
    </row>
    <row r="1009" customFormat="false" ht="23.85" hidden="false" customHeight="false" outlineLevel="0" collapsed="false">
      <c r="A1009" s="5" t="s">
        <v>4245</v>
      </c>
      <c r="B1009" s="2" t="s">
        <v>4246</v>
      </c>
      <c r="C1009" s="5" t="s">
        <v>2245</v>
      </c>
      <c r="D1009" s="5" t="s">
        <v>60</v>
      </c>
      <c r="E1009" s="5" t="s">
        <v>62</v>
      </c>
      <c r="F1009" s="5" t="s">
        <v>367</v>
      </c>
    </row>
    <row r="1010" customFormat="false" ht="23.85" hidden="false" customHeight="false" outlineLevel="0" collapsed="false">
      <c r="A1010" s="5" t="s">
        <v>4250</v>
      </c>
      <c r="B1010" s="2" t="s">
        <v>4251</v>
      </c>
      <c r="C1010" s="5" t="s">
        <v>2128</v>
      </c>
      <c r="D1010" s="5" t="s">
        <v>60</v>
      </c>
      <c r="E1010" s="5" t="s">
        <v>490</v>
      </c>
      <c r="F1010" s="5" t="s">
        <v>184</v>
      </c>
    </row>
    <row r="1011" customFormat="false" ht="23.85" hidden="false" customHeight="false" outlineLevel="0" collapsed="false">
      <c r="A1011" s="5" t="s">
        <v>4256</v>
      </c>
      <c r="B1011" s="2" t="s">
        <v>4257</v>
      </c>
      <c r="C1011" s="5" t="s">
        <v>2245</v>
      </c>
      <c r="D1011" s="5" t="s">
        <v>60</v>
      </c>
      <c r="E1011" s="5" t="s">
        <v>62</v>
      </c>
      <c r="F1011" s="5" t="s">
        <v>184</v>
      </c>
    </row>
    <row r="1012" customFormat="false" ht="23.85" hidden="false" customHeight="false" outlineLevel="0" collapsed="false">
      <c r="A1012" s="5" t="s">
        <v>4263</v>
      </c>
      <c r="B1012" s="2" t="s">
        <v>4264</v>
      </c>
      <c r="C1012" s="5" t="s">
        <v>2128</v>
      </c>
      <c r="D1012" s="5" t="s">
        <v>60</v>
      </c>
      <c r="E1012" s="5" t="s">
        <v>62</v>
      </c>
      <c r="F1012" s="5" t="s">
        <v>367</v>
      </c>
    </row>
    <row r="1013" customFormat="false" ht="15" hidden="false" customHeight="false" outlineLevel="0" collapsed="false">
      <c r="A1013" s="5" t="s">
        <v>4269</v>
      </c>
      <c r="B1013" s="2" t="s">
        <v>4270</v>
      </c>
      <c r="C1013" s="5" t="s">
        <v>2128</v>
      </c>
      <c r="D1013" s="5" t="s">
        <v>60</v>
      </c>
      <c r="E1013" s="5" t="s">
        <v>62</v>
      </c>
      <c r="F1013" s="5" t="s">
        <v>184</v>
      </c>
    </row>
    <row r="1014" customFormat="false" ht="23.85" hidden="false" customHeight="false" outlineLevel="0" collapsed="false">
      <c r="A1014" s="5" t="s">
        <v>4275</v>
      </c>
      <c r="B1014" s="2" t="s">
        <v>4276</v>
      </c>
      <c r="C1014" s="5" t="s">
        <v>2128</v>
      </c>
      <c r="D1014" s="5" t="s">
        <v>60</v>
      </c>
      <c r="E1014" s="5" t="s">
        <v>62</v>
      </c>
      <c r="F1014" s="5" t="s">
        <v>184</v>
      </c>
    </row>
    <row r="1015" customFormat="false" ht="23.85" hidden="false" customHeight="false" outlineLevel="0" collapsed="false">
      <c r="A1015" s="5" t="s">
        <v>4282</v>
      </c>
      <c r="B1015" s="2" t="s">
        <v>4283</v>
      </c>
      <c r="C1015" s="5" t="s">
        <v>2245</v>
      </c>
      <c r="D1015" s="5" t="s">
        <v>60</v>
      </c>
      <c r="E1015" s="5" t="s">
        <v>62</v>
      </c>
      <c r="F1015" s="5" t="s">
        <v>184</v>
      </c>
    </row>
    <row r="1016" customFormat="false" ht="23.85" hidden="false" customHeight="false" outlineLevel="0" collapsed="false">
      <c r="A1016" s="5" t="s">
        <v>4287</v>
      </c>
      <c r="B1016" s="2" t="s">
        <v>4288</v>
      </c>
      <c r="C1016" s="5" t="s">
        <v>2128</v>
      </c>
      <c r="D1016" s="5" t="s">
        <v>60</v>
      </c>
      <c r="E1016" s="5" t="s">
        <v>62</v>
      </c>
      <c r="F1016" s="5" t="s">
        <v>184</v>
      </c>
    </row>
    <row r="1017" customFormat="false" ht="23.85" hidden="false" customHeight="false" outlineLevel="0" collapsed="false">
      <c r="A1017" s="5" t="s">
        <v>4293</v>
      </c>
      <c r="B1017" s="2" t="s">
        <v>4294</v>
      </c>
      <c r="C1017" s="5" t="s">
        <v>2245</v>
      </c>
      <c r="D1017" s="5" t="s">
        <v>60</v>
      </c>
      <c r="E1017" s="5" t="s">
        <v>62</v>
      </c>
      <c r="F1017" s="5" t="s">
        <v>6027</v>
      </c>
    </row>
    <row r="1018" customFormat="false" ht="23.85" hidden="false" customHeight="false" outlineLevel="0" collapsed="false">
      <c r="A1018" s="5" t="s">
        <v>4298</v>
      </c>
      <c r="B1018" s="2" t="s">
        <v>4299</v>
      </c>
      <c r="C1018" s="5" t="s">
        <v>2128</v>
      </c>
      <c r="D1018" s="5" t="s">
        <v>60</v>
      </c>
      <c r="E1018" s="5" t="s">
        <v>62</v>
      </c>
      <c r="F1018" s="5" t="s">
        <v>367</v>
      </c>
    </row>
    <row r="1019" customFormat="false" ht="35.05" hidden="false" customHeight="false" outlineLevel="0" collapsed="false">
      <c r="A1019" s="5" t="s">
        <v>4303</v>
      </c>
      <c r="B1019" s="2" t="s">
        <v>4304</v>
      </c>
      <c r="C1019" s="5" t="s">
        <v>2128</v>
      </c>
      <c r="D1019" s="5" t="s">
        <v>60</v>
      </c>
      <c r="E1019" s="5" t="s">
        <v>490</v>
      </c>
      <c r="F1019" s="5" t="s">
        <v>367</v>
      </c>
    </row>
    <row r="1020" customFormat="false" ht="15" hidden="false" customHeight="false" outlineLevel="0" collapsed="false">
      <c r="A1020" s="5" t="s">
        <v>4309</v>
      </c>
      <c r="B1020" s="2" t="s">
        <v>4310</v>
      </c>
      <c r="C1020" s="5" t="s">
        <v>2128</v>
      </c>
      <c r="D1020" s="5" t="s">
        <v>60</v>
      </c>
      <c r="E1020" s="5" t="s">
        <v>62</v>
      </c>
      <c r="F1020" s="5" t="s">
        <v>367</v>
      </c>
    </row>
    <row r="1021" customFormat="false" ht="15" hidden="false" customHeight="false" outlineLevel="0" collapsed="false">
      <c r="A1021" s="5" t="s">
        <v>4314</v>
      </c>
      <c r="B1021" s="2" t="s">
        <v>4315</v>
      </c>
      <c r="C1021" s="5" t="s">
        <v>2128</v>
      </c>
      <c r="D1021" s="5" t="s">
        <v>60</v>
      </c>
      <c r="E1021" s="5" t="s">
        <v>62</v>
      </c>
      <c r="F1021" s="5" t="s">
        <v>367</v>
      </c>
    </row>
    <row r="1022" customFormat="false" ht="23.85" hidden="false" customHeight="false" outlineLevel="0" collapsed="false">
      <c r="A1022" s="5" t="s">
        <v>4319</v>
      </c>
      <c r="B1022" s="2" t="s">
        <v>4320</v>
      </c>
      <c r="C1022" s="5" t="s">
        <v>2128</v>
      </c>
      <c r="D1022" s="5" t="s">
        <v>60</v>
      </c>
      <c r="E1022" s="5" t="s">
        <v>62</v>
      </c>
      <c r="F1022" s="5" t="s">
        <v>367</v>
      </c>
    </row>
    <row r="1023" customFormat="false" ht="23.85" hidden="false" customHeight="false" outlineLevel="0" collapsed="false">
      <c r="A1023" s="5" t="s">
        <v>4324</v>
      </c>
      <c r="B1023" s="2" t="s">
        <v>4325</v>
      </c>
      <c r="C1023" s="5" t="s">
        <v>2128</v>
      </c>
      <c r="D1023" s="5" t="s">
        <v>60</v>
      </c>
      <c r="E1023" s="5" t="s">
        <v>62</v>
      </c>
      <c r="F1023" s="5" t="s">
        <v>367</v>
      </c>
    </row>
    <row r="1024" customFormat="false" ht="23.85" hidden="false" customHeight="false" outlineLevel="0" collapsed="false">
      <c r="A1024" s="5" t="s">
        <v>4329</v>
      </c>
      <c r="B1024" s="2" t="s">
        <v>4330</v>
      </c>
      <c r="C1024" s="5" t="s">
        <v>2245</v>
      </c>
      <c r="D1024" s="5" t="s">
        <v>60</v>
      </c>
      <c r="E1024" s="5" t="s">
        <v>62</v>
      </c>
      <c r="F1024" s="5" t="s">
        <v>367</v>
      </c>
    </row>
    <row r="1025" customFormat="false" ht="23.85" hidden="false" customHeight="false" outlineLevel="0" collapsed="false">
      <c r="A1025" s="5" t="s">
        <v>4334</v>
      </c>
      <c r="B1025" s="2" t="s">
        <v>4335</v>
      </c>
      <c r="C1025" s="5" t="s">
        <v>2128</v>
      </c>
      <c r="D1025" s="5" t="s">
        <v>60</v>
      </c>
      <c r="E1025" s="5" t="s">
        <v>62</v>
      </c>
      <c r="F1025" s="5" t="s">
        <v>367</v>
      </c>
    </row>
    <row r="1026" customFormat="false" ht="15" hidden="false" customHeight="false" outlineLevel="0" collapsed="false">
      <c r="A1026" s="5" t="s">
        <v>4340</v>
      </c>
      <c r="B1026" s="2" t="s">
        <v>4341</v>
      </c>
      <c r="C1026" s="5" t="s">
        <v>2245</v>
      </c>
      <c r="D1026" s="5" t="s">
        <v>60</v>
      </c>
      <c r="E1026" s="5" t="s">
        <v>62</v>
      </c>
      <c r="F1026" s="5" t="s">
        <v>6027</v>
      </c>
    </row>
    <row r="1027" customFormat="false" ht="15" hidden="false" customHeight="false" outlineLevel="0" collapsed="false">
      <c r="A1027" s="5" t="s">
        <v>4345</v>
      </c>
      <c r="B1027" s="2" t="s">
        <v>4346</v>
      </c>
      <c r="C1027" s="5" t="s">
        <v>2245</v>
      </c>
      <c r="D1027" s="5" t="s">
        <v>60</v>
      </c>
      <c r="E1027" s="5" t="s">
        <v>62</v>
      </c>
      <c r="F1027" s="5" t="s">
        <v>6027</v>
      </c>
    </row>
    <row r="1028" customFormat="false" ht="23.85" hidden="false" customHeight="false" outlineLevel="0" collapsed="false">
      <c r="A1028" s="5" t="s">
        <v>4351</v>
      </c>
      <c r="B1028" s="2" t="s">
        <v>4352</v>
      </c>
      <c r="C1028" s="5" t="s">
        <v>2245</v>
      </c>
      <c r="D1028" s="5" t="s">
        <v>60</v>
      </c>
      <c r="E1028" s="5" t="s">
        <v>62</v>
      </c>
      <c r="F1028" s="5" t="s">
        <v>6027</v>
      </c>
    </row>
    <row r="1029" customFormat="false" ht="23.85" hidden="false" customHeight="false" outlineLevel="0" collapsed="false">
      <c r="A1029" s="5" t="s">
        <v>4356</v>
      </c>
      <c r="B1029" s="2" t="s">
        <v>4357</v>
      </c>
      <c r="C1029" s="5" t="s">
        <v>2245</v>
      </c>
      <c r="D1029" s="5" t="s">
        <v>60</v>
      </c>
      <c r="E1029" s="5" t="s">
        <v>490</v>
      </c>
      <c r="F1029" s="5" t="s">
        <v>367</v>
      </c>
    </row>
    <row r="1030" customFormat="false" ht="23.85" hidden="false" customHeight="false" outlineLevel="0" collapsed="false">
      <c r="A1030" s="5" t="s">
        <v>4361</v>
      </c>
      <c r="B1030" s="2" t="s">
        <v>4362</v>
      </c>
      <c r="C1030" s="5" t="s">
        <v>2245</v>
      </c>
      <c r="D1030" s="5" t="s">
        <v>60</v>
      </c>
      <c r="E1030" s="5" t="s">
        <v>62</v>
      </c>
      <c r="F1030" s="5" t="s">
        <v>6027</v>
      </c>
    </row>
    <row r="1031" customFormat="false" ht="15" hidden="false" customHeight="false" outlineLevel="0" collapsed="false">
      <c r="A1031" s="5" t="s">
        <v>4366</v>
      </c>
      <c r="B1031" s="2" t="s">
        <v>4367</v>
      </c>
      <c r="C1031" s="5" t="s">
        <v>2128</v>
      </c>
      <c r="D1031" s="5" t="s">
        <v>60</v>
      </c>
      <c r="E1031" s="5" t="s">
        <v>62</v>
      </c>
      <c r="F1031" s="5" t="s">
        <v>184</v>
      </c>
    </row>
    <row r="1032" customFormat="false" ht="15" hidden="false" customHeight="false" outlineLevel="0" collapsed="false">
      <c r="A1032" s="5" t="s">
        <v>4371</v>
      </c>
      <c r="B1032" s="2" t="s">
        <v>4372</v>
      </c>
      <c r="C1032" s="5" t="s">
        <v>2128</v>
      </c>
      <c r="D1032" s="5" t="s">
        <v>60</v>
      </c>
      <c r="E1032" s="5" t="s">
        <v>62</v>
      </c>
      <c r="F1032" s="5" t="s">
        <v>184</v>
      </c>
    </row>
    <row r="1033" customFormat="false" ht="23.85" hidden="false" customHeight="false" outlineLevel="0" collapsed="false">
      <c r="A1033" s="5" t="s">
        <v>4376</v>
      </c>
      <c r="B1033" s="2" t="s">
        <v>4377</v>
      </c>
      <c r="C1033" s="5" t="s">
        <v>2128</v>
      </c>
      <c r="D1033" s="5" t="s">
        <v>60</v>
      </c>
      <c r="E1033" s="5" t="s">
        <v>62</v>
      </c>
      <c r="F1033" s="5" t="s">
        <v>184</v>
      </c>
    </row>
    <row r="1034" customFormat="false" ht="15" hidden="false" customHeight="false" outlineLevel="0" collapsed="false">
      <c r="A1034" s="5" t="s">
        <v>4384</v>
      </c>
      <c r="B1034" s="2" t="s">
        <v>4385</v>
      </c>
      <c r="C1034" s="5" t="s">
        <v>2128</v>
      </c>
      <c r="D1034" s="5" t="s">
        <v>60</v>
      </c>
      <c r="E1034" s="5" t="s">
        <v>62</v>
      </c>
      <c r="F1034" s="5" t="s">
        <v>184</v>
      </c>
    </row>
    <row r="1035" customFormat="false" ht="15" hidden="false" customHeight="false" outlineLevel="0" collapsed="false">
      <c r="A1035" s="5" t="s">
        <v>4392</v>
      </c>
      <c r="B1035" s="2" t="s">
        <v>4393</v>
      </c>
      <c r="C1035" s="5" t="s">
        <v>2128</v>
      </c>
      <c r="D1035" s="5" t="s">
        <v>60</v>
      </c>
      <c r="E1035" s="5" t="s">
        <v>62</v>
      </c>
      <c r="F1035" s="5" t="s">
        <v>184</v>
      </c>
    </row>
    <row r="1036" customFormat="false" ht="23.85" hidden="false" customHeight="false" outlineLevel="0" collapsed="false">
      <c r="A1036" s="5" t="s">
        <v>4398</v>
      </c>
      <c r="B1036" s="2" t="s">
        <v>4399</v>
      </c>
      <c r="C1036" s="5" t="s">
        <v>2245</v>
      </c>
      <c r="D1036" s="5" t="s">
        <v>60</v>
      </c>
      <c r="E1036" s="5" t="s">
        <v>490</v>
      </c>
      <c r="F1036" s="5" t="s">
        <v>367</v>
      </c>
    </row>
    <row r="1037" customFormat="false" ht="15" hidden="false" customHeight="false" outlineLevel="0" collapsed="false">
      <c r="A1037" s="5" t="s">
        <v>4403</v>
      </c>
      <c r="B1037" s="2" t="s">
        <v>4404</v>
      </c>
      <c r="C1037" s="5" t="s">
        <v>2128</v>
      </c>
      <c r="D1037" s="5" t="s">
        <v>60</v>
      </c>
      <c r="E1037" s="5" t="s">
        <v>62</v>
      </c>
      <c r="F1037" s="5" t="s">
        <v>184</v>
      </c>
    </row>
    <row r="1038" customFormat="false" ht="23.85" hidden="false" customHeight="false" outlineLevel="0" collapsed="false">
      <c r="A1038" s="5" t="s">
        <v>4408</v>
      </c>
      <c r="B1038" s="2" t="s">
        <v>4409</v>
      </c>
      <c r="C1038" s="5" t="s">
        <v>2128</v>
      </c>
      <c r="D1038" s="5" t="s">
        <v>60</v>
      </c>
      <c r="E1038" s="5" t="s">
        <v>62</v>
      </c>
      <c r="F1038" s="5" t="s">
        <v>184</v>
      </c>
    </row>
    <row r="1039" customFormat="false" ht="15" hidden="false" customHeight="false" outlineLevel="0" collapsed="false">
      <c r="A1039" s="5" t="s">
        <v>4414</v>
      </c>
      <c r="B1039" s="2" t="s">
        <v>4415</v>
      </c>
      <c r="C1039" s="5" t="s">
        <v>2128</v>
      </c>
      <c r="D1039" s="5" t="s">
        <v>60</v>
      </c>
      <c r="E1039" s="5" t="s">
        <v>62</v>
      </c>
      <c r="F1039" s="5" t="s">
        <v>184</v>
      </c>
    </row>
    <row r="1040" customFormat="false" ht="15" hidden="false" customHeight="false" outlineLevel="0" collapsed="false">
      <c r="A1040" s="5" t="s">
        <v>4419</v>
      </c>
      <c r="B1040" s="2" t="s">
        <v>4420</v>
      </c>
      <c r="C1040" s="5" t="s">
        <v>2128</v>
      </c>
      <c r="D1040" s="5" t="s">
        <v>60</v>
      </c>
      <c r="E1040" s="5" t="s">
        <v>62</v>
      </c>
      <c r="F1040" s="5" t="s">
        <v>184</v>
      </c>
    </row>
    <row r="1041" customFormat="false" ht="15" hidden="false" customHeight="false" outlineLevel="0" collapsed="false">
      <c r="A1041" s="5" t="s">
        <v>4426</v>
      </c>
      <c r="B1041" s="2" t="s">
        <v>4427</v>
      </c>
      <c r="C1041" s="5" t="s">
        <v>2128</v>
      </c>
      <c r="D1041" s="5" t="s">
        <v>60</v>
      </c>
      <c r="E1041" s="5" t="s">
        <v>62</v>
      </c>
      <c r="F1041" s="5" t="s">
        <v>184</v>
      </c>
    </row>
    <row r="1042" customFormat="false" ht="23.85" hidden="false" customHeight="false" outlineLevel="0" collapsed="false">
      <c r="A1042" s="5" t="s">
        <v>4434</v>
      </c>
      <c r="B1042" s="2" t="s">
        <v>4435</v>
      </c>
      <c r="C1042" s="5" t="s">
        <v>2128</v>
      </c>
      <c r="D1042" s="5" t="s">
        <v>60</v>
      </c>
      <c r="E1042" s="5" t="s">
        <v>62</v>
      </c>
      <c r="F1042" s="5" t="s">
        <v>184</v>
      </c>
    </row>
    <row r="1043" customFormat="false" ht="23.85" hidden="false" customHeight="false" outlineLevel="0" collapsed="false">
      <c r="A1043" s="5" t="s">
        <v>4439</v>
      </c>
      <c r="B1043" s="2" t="s">
        <v>4440</v>
      </c>
      <c r="C1043" s="5" t="s">
        <v>2128</v>
      </c>
      <c r="D1043" s="5" t="s">
        <v>60</v>
      </c>
      <c r="E1043" s="5" t="s">
        <v>62</v>
      </c>
      <c r="F1043" s="5" t="s">
        <v>184</v>
      </c>
    </row>
    <row r="1044" customFormat="false" ht="15" hidden="false" customHeight="false" outlineLevel="0" collapsed="false">
      <c r="A1044" s="5" t="s">
        <v>4444</v>
      </c>
      <c r="B1044" s="2" t="s">
        <v>4445</v>
      </c>
      <c r="C1044" s="5" t="s">
        <v>2128</v>
      </c>
      <c r="D1044" s="5" t="s">
        <v>60</v>
      </c>
      <c r="E1044" s="5" t="s">
        <v>62</v>
      </c>
      <c r="F1044" s="5" t="s">
        <v>184</v>
      </c>
    </row>
    <row r="1045" customFormat="false" ht="15" hidden="false" customHeight="false" outlineLevel="0" collapsed="false">
      <c r="A1045" s="5" t="s">
        <v>4449</v>
      </c>
      <c r="B1045" s="2" t="s">
        <v>4450</v>
      </c>
      <c r="C1045" s="5" t="s">
        <v>2245</v>
      </c>
      <c r="D1045" s="5" t="s">
        <v>60</v>
      </c>
      <c r="E1045" s="5" t="s">
        <v>62</v>
      </c>
      <c r="F1045" s="5" t="s">
        <v>184</v>
      </c>
    </row>
    <row r="1046" customFormat="false" ht="23.85" hidden="false" customHeight="false" outlineLevel="0" collapsed="false">
      <c r="A1046" s="5" t="s">
        <v>4454</v>
      </c>
      <c r="B1046" s="2" t="s">
        <v>4455</v>
      </c>
      <c r="C1046" s="5" t="s">
        <v>2128</v>
      </c>
      <c r="D1046" s="5" t="s">
        <v>60</v>
      </c>
      <c r="E1046" s="5" t="s">
        <v>62</v>
      </c>
      <c r="F1046" s="5" t="s">
        <v>184</v>
      </c>
    </row>
    <row r="1047" customFormat="false" ht="15" hidden="false" customHeight="false" outlineLevel="0" collapsed="false">
      <c r="A1047" s="5" t="s">
        <v>4459</v>
      </c>
      <c r="B1047" s="2" t="s">
        <v>4460</v>
      </c>
      <c r="C1047" s="5" t="s">
        <v>2128</v>
      </c>
      <c r="D1047" s="5" t="s">
        <v>60</v>
      </c>
      <c r="E1047" s="5" t="s">
        <v>62</v>
      </c>
      <c r="F1047" s="5" t="s">
        <v>367</v>
      </c>
    </row>
    <row r="1048" customFormat="false" ht="23.85" hidden="false" customHeight="false" outlineLevel="0" collapsed="false">
      <c r="A1048" s="5" t="s">
        <v>4464</v>
      </c>
      <c r="B1048" s="2" t="s">
        <v>4465</v>
      </c>
      <c r="C1048" s="5" t="s">
        <v>2128</v>
      </c>
      <c r="D1048" s="5" t="s">
        <v>60</v>
      </c>
      <c r="E1048" s="5" t="s">
        <v>62</v>
      </c>
      <c r="F1048" s="5" t="s">
        <v>367</v>
      </c>
    </row>
    <row r="1049" customFormat="false" ht="23.85" hidden="false" customHeight="false" outlineLevel="0" collapsed="false">
      <c r="A1049" s="5" t="s">
        <v>4469</v>
      </c>
      <c r="B1049" s="2" t="s">
        <v>4470</v>
      </c>
      <c r="C1049" s="5" t="s">
        <v>2245</v>
      </c>
      <c r="D1049" s="5" t="s">
        <v>60</v>
      </c>
      <c r="E1049" s="5" t="s">
        <v>62</v>
      </c>
      <c r="F1049" s="5" t="s">
        <v>367</v>
      </c>
    </row>
    <row r="1050" customFormat="false" ht="23.85" hidden="false" customHeight="false" outlineLevel="0" collapsed="false">
      <c r="A1050" s="5" t="s">
        <v>4474</v>
      </c>
      <c r="B1050" s="2" t="s">
        <v>4475</v>
      </c>
      <c r="C1050" s="5" t="s">
        <v>2245</v>
      </c>
      <c r="D1050" s="5" t="s">
        <v>60</v>
      </c>
      <c r="E1050" s="5" t="s">
        <v>62</v>
      </c>
      <c r="F1050" s="5" t="s">
        <v>367</v>
      </c>
    </row>
    <row r="1051" customFormat="false" ht="23.85" hidden="false" customHeight="false" outlineLevel="0" collapsed="false">
      <c r="A1051" s="5" t="s">
        <v>4479</v>
      </c>
      <c r="B1051" s="2" t="s">
        <v>4480</v>
      </c>
      <c r="C1051" s="5" t="s">
        <v>2128</v>
      </c>
      <c r="D1051" s="5" t="s">
        <v>60</v>
      </c>
      <c r="E1051" s="5" t="s">
        <v>62</v>
      </c>
      <c r="F1051" s="5" t="s">
        <v>367</v>
      </c>
    </row>
    <row r="1052" customFormat="false" ht="23.85" hidden="false" customHeight="false" outlineLevel="0" collapsed="false">
      <c r="A1052" s="5" t="s">
        <v>4485</v>
      </c>
      <c r="B1052" s="2" t="s">
        <v>4486</v>
      </c>
      <c r="C1052" s="5" t="s">
        <v>2128</v>
      </c>
      <c r="D1052" s="5" t="s">
        <v>60</v>
      </c>
      <c r="E1052" s="5" t="s">
        <v>62</v>
      </c>
      <c r="F1052" s="5" t="s">
        <v>367</v>
      </c>
    </row>
    <row r="1053" customFormat="false" ht="23.85" hidden="false" customHeight="false" outlineLevel="0" collapsed="false">
      <c r="A1053" s="5" t="s">
        <v>4490</v>
      </c>
      <c r="B1053" s="2" t="s">
        <v>4491</v>
      </c>
      <c r="C1053" s="5" t="s">
        <v>2128</v>
      </c>
      <c r="D1053" s="5" t="s">
        <v>60</v>
      </c>
      <c r="E1053" s="5" t="s">
        <v>62</v>
      </c>
      <c r="F1053" s="5" t="s">
        <v>367</v>
      </c>
    </row>
    <row r="1054" customFormat="false" ht="23.85" hidden="false" customHeight="false" outlineLevel="0" collapsed="false">
      <c r="A1054" s="5" t="s">
        <v>4495</v>
      </c>
      <c r="B1054" s="2" t="s">
        <v>4496</v>
      </c>
      <c r="C1054" s="5" t="s">
        <v>2128</v>
      </c>
      <c r="D1054" s="5" t="s">
        <v>60</v>
      </c>
      <c r="E1054" s="5" t="s">
        <v>62</v>
      </c>
      <c r="F1054" s="5" t="s">
        <v>367</v>
      </c>
    </row>
    <row r="1055" customFormat="false" ht="23.85" hidden="false" customHeight="false" outlineLevel="0" collapsed="false">
      <c r="A1055" s="5" t="s">
        <v>4500</v>
      </c>
      <c r="B1055" s="2" t="s">
        <v>4501</v>
      </c>
      <c r="C1055" s="5" t="s">
        <v>2128</v>
      </c>
      <c r="D1055" s="5" t="s">
        <v>60</v>
      </c>
      <c r="E1055" s="5" t="s">
        <v>62</v>
      </c>
      <c r="F1055" s="5" t="s">
        <v>367</v>
      </c>
    </row>
    <row r="1056" customFormat="false" ht="15" hidden="false" customHeight="false" outlineLevel="0" collapsed="false">
      <c r="A1056" s="5" t="s">
        <v>4505</v>
      </c>
      <c r="B1056" s="2" t="s">
        <v>4506</v>
      </c>
      <c r="C1056" s="5" t="s">
        <v>2128</v>
      </c>
      <c r="D1056" s="5" t="s">
        <v>60</v>
      </c>
      <c r="E1056" s="5" t="s">
        <v>62</v>
      </c>
      <c r="F1056" s="5" t="s">
        <v>367</v>
      </c>
    </row>
    <row r="1057" customFormat="false" ht="15" hidden="false" customHeight="false" outlineLevel="0" collapsed="false">
      <c r="A1057" s="5" t="s">
        <v>4511</v>
      </c>
      <c r="B1057" s="2" t="s">
        <v>4512</v>
      </c>
      <c r="C1057" s="5" t="s">
        <v>2128</v>
      </c>
      <c r="D1057" s="5" t="s">
        <v>60</v>
      </c>
      <c r="E1057" s="5" t="s">
        <v>62</v>
      </c>
      <c r="F1057" s="5" t="s">
        <v>367</v>
      </c>
    </row>
    <row r="1058" customFormat="false" ht="15" hidden="false" customHeight="false" outlineLevel="0" collapsed="false">
      <c r="A1058" s="5" t="s">
        <v>4517</v>
      </c>
      <c r="B1058" s="2" t="s">
        <v>4518</v>
      </c>
      <c r="C1058" s="5" t="s">
        <v>2128</v>
      </c>
      <c r="D1058" s="5" t="s">
        <v>60</v>
      </c>
      <c r="E1058" s="5" t="s">
        <v>62</v>
      </c>
      <c r="F1058" s="5" t="s">
        <v>367</v>
      </c>
    </row>
    <row r="1059" customFormat="false" ht="23.85" hidden="false" customHeight="false" outlineLevel="0" collapsed="false">
      <c r="A1059" s="5" t="s">
        <v>4522</v>
      </c>
      <c r="B1059" s="2" t="s">
        <v>4523</v>
      </c>
      <c r="C1059" s="5" t="s">
        <v>2128</v>
      </c>
      <c r="D1059" s="5" t="s">
        <v>60</v>
      </c>
      <c r="E1059" s="5" t="s">
        <v>62</v>
      </c>
      <c r="F1059" s="5" t="s">
        <v>367</v>
      </c>
    </row>
    <row r="1060" customFormat="false" ht="15" hidden="false" customHeight="false" outlineLevel="0" collapsed="false">
      <c r="A1060" s="5" t="s">
        <v>4527</v>
      </c>
      <c r="B1060" s="2" t="s">
        <v>4528</v>
      </c>
      <c r="C1060" s="5" t="s">
        <v>2128</v>
      </c>
      <c r="D1060" s="5" t="s">
        <v>60</v>
      </c>
      <c r="E1060" s="5" t="s">
        <v>62</v>
      </c>
      <c r="F1060" s="5" t="s">
        <v>367</v>
      </c>
    </row>
    <row r="1061" customFormat="false" ht="15" hidden="false" customHeight="false" outlineLevel="0" collapsed="false">
      <c r="A1061" s="5" t="s">
        <v>4532</v>
      </c>
      <c r="B1061" s="2" t="s">
        <v>4533</v>
      </c>
      <c r="C1061" s="5" t="s">
        <v>2128</v>
      </c>
      <c r="D1061" s="5" t="s">
        <v>60</v>
      </c>
      <c r="E1061" s="5" t="s">
        <v>62</v>
      </c>
      <c r="F1061" s="5" t="s">
        <v>367</v>
      </c>
    </row>
    <row r="1062" customFormat="false" ht="23.85" hidden="false" customHeight="false" outlineLevel="0" collapsed="false">
      <c r="A1062" s="5" t="s">
        <v>4537</v>
      </c>
      <c r="B1062" s="2" t="s">
        <v>4538</v>
      </c>
      <c r="C1062" s="5" t="s">
        <v>2128</v>
      </c>
      <c r="D1062" s="5" t="s">
        <v>60</v>
      </c>
      <c r="E1062" s="5" t="s">
        <v>62</v>
      </c>
      <c r="F1062" s="5" t="s">
        <v>367</v>
      </c>
    </row>
    <row r="1063" customFormat="false" ht="23.85" hidden="false" customHeight="false" outlineLevel="0" collapsed="false">
      <c r="A1063" s="5" t="s">
        <v>4542</v>
      </c>
      <c r="B1063" s="2" t="s">
        <v>4543</v>
      </c>
      <c r="C1063" s="5" t="s">
        <v>2128</v>
      </c>
      <c r="D1063" s="5" t="s">
        <v>60</v>
      </c>
      <c r="E1063" s="5" t="s">
        <v>62</v>
      </c>
      <c r="F1063" s="5" t="s">
        <v>367</v>
      </c>
    </row>
    <row r="1064" customFormat="false" ht="23.85" hidden="false" customHeight="false" outlineLevel="0" collapsed="false">
      <c r="A1064" s="5" t="s">
        <v>4547</v>
      </c>
      <c r="B1064" s="2" t="s">
        <v>4548</v>
      </c>
      <c r="C1064" s="5" t="s">
        <v>2128</v>
      </c>
      <c r="D1064" s="5" t="s">
        <v>60</v>
      </c>
      <c r="E1064" s="5" t="s">
        <v>62</v>
      </c>
      <c r="F1064" s="5" t="s">
        <v>367</v>
      </c>
    </row>
    <row r="1065" customFormat="false" ht="23.85" hidden="false" customHeight="false" outlineLevel="0" collapsed="false">
      <c r="A1065" s="5" t="s">
        <v>4553</v>
      </c>
      <c r="B1065" s="2" t="s">
        <v>4554</v>
      </c>
      <c r="C1065" s="5" t="s">
        <v>2128</v>
      </c>
      <c r="D1065" s="5" t="s">
        <v>60</v>
      </c>
      <c r="E1065" s="5" t="s">
        <v>62</v>
      </c>
      <c r="F1065" s="5" t="s">
        <v>367</v>
      </c>
    </row>
    <row r="1066" customFormat="false" ht="23.85" hidden="false" customHeight="false" outlineLevel="0" collapsed="false">
      <c r="A1066" s="5" t="s">
        <v>4558</v>
      </c>
      <c r="B1066" s="2" t="s">
        <v>4559</v>
      </c>
      <c r="C1066" s="5" t="s">
        <v>2128</v>
      </c>
      <c r="D1066" s="5" t="s">
        <v>60</v>
      </c>
      <c r="E1066" s="5" t="s">
        <v>62</v>
      </c>
      <c r="F1066" s="5" t="s">
        <v>367</v>
      </c>
    </row>
    <row r="1067" customFormat="false" ht="15" hidden="false" customHeight="false" outlineLevel="0" collapsed="false">
      <c r="A1067" s="5" t="s">
        <v>4564</v>
      </c>
      <c r="B1067" s="2" t="s">
        <v>4565</v>
      </c>
      <c r="C1067" s="5" t="s">
        <v>2128</v>
      </c>
      <c r="D1067" s="5" t="s">
        <v>60</v>
      </c>
      <c r="E1067" s="5" t="s">
        <v>62</v>
      </c>
      <c r="F1067" s="5" t="s">
        <v>367</v>
      </c>
    </row>
    <row r="1068" customFormat="false" ht="23.85" hidden="false" customHeight="false" outlineLevel="0" collapsed="false">
      <c r="A1068" s="5" t="s">
        <v>4569</v>
      </c>
      <c r="B1068" s="2" t="s">
        <v>4570</v>
      </c>
      <c r="C1068" s="5" t="s">
        <v>2128</v>
      </c>
      <c r="D1068" s="5" t="s">
        <v>60</v>
      </c>
      <c r="E1068" s="5" t="s">
        <v>62</v>
      </c>
      <c r="F1068" s="5" t="s">
        <v>367</v>
      </c>
    </row>
    <row r="1069" customFormat="false" ht="23.85" hidden="false" customHeight="false" outlineLevel="0" collapsed="false">
      <c r="A1069" s="5" t="s">
        <v>4574</v>
      </c>
      <c r="B1069" s="2" t="s">
        <v>4575</v>
      </c>
      <c r="C1069" s="5" t="s">
        <v>2245</v>
      </c>
      <c r="D1069" s="5" t="s">
        <v>60</v>
      </c>
      <c r="E1069" s="5" t="s">
        <v>62</v>
      </c>
      <c r="F1069" s="5" t="s">
        <v>367</v>
      </c>
    </row>
    <row r="1070" customFormat="false" ht="23.85" hidden="false" customHeight="false" outlineLevel="0" collapsed="false">
      <c r="A1070" s="5" t="s">
        <v>4580</v>
      </c>
      <c r="B1070" s="2" t="s">
        <v>4581</v>
      </c>
      <c r="C1070" s="5" t="s">
        <v>2245</v>
      </c>
      <c r="D1070" s="5" t="s">
        <v>60</v>
      </c>
      <c r="E1070" s="5" t="s">
        <v>62</v>
      </c>
      <c r="F1070" s="5" t="s">
        <v>367</v>
      </c>
    </row>
    <row r="1071" customFormat="false" ht="23.85" hidden="false" customHeight="false" outlineLevel="0" collapsed="false">
      <c r="A1071" s="5" t="s">
        <v>4585</v>
      </c>
      <c r="B1071" s="2" t="s">
        <v>4586</v>
      </c>
      <c r="C1071" s="5" t="s">
        <v>2128</v>
      </c>
      <c r="D1071" s="5" t="s">
        <v>60</v>
      </c>
      <c r="E1071" s="5" t="s">
        <v>62</v>
      </c>
      <c r="F1071" s="5" t="s">
        <v>367</v>
      </c>
    </row>
    <row r="1072" customFormat="false" ht="15" hidden="false" customHeight="false" outlineLevel="0" collapsed="false">
      <c r="A1072" s="5" t="s">
        <v>4591</v>
      </c>
      <c r="B1072" s="2" t="s">
        <v>4592</v>
      </c>
      <c r="C1072" s="5" t="s">
        <v>2245</v>
      </c>
      <c r="D1072" s="5" t="s">
        <v>60</v>
      </c>
      <c r="E1072" s="5" t="s">
        <v>62</v>
      </c>
      <c r="F1072" s="5" t="s">
        <v>367</v>
      </c>
    </row>
    <row r="1073" customFormat="false" ht="15" hidden="false" customHeight="false" outlineLevel="0" collapsed="false">
      <c r="A1073" s="5" t="s">
        <v>4596</v>
      </c>
      <c r="B1073" s="2" t="s">
        <v>4597</v>
      </c>
      <c r="C1073" s="5" t="s">
        <v>2128</v>
      </c>
      <c r="D1073" s="5" t="s">
        <v>60</v>
      </c>
      <c r="E1073" s="5" t="s">
        <v>62</v>
      </c>
      <c r="F1073" s="5" t="s">
        <v>367</v>
      </c>
    </row>
    <row r="1074" customFormat="false" ht="15" hidden="false" customHeight="false" outlineLevel="0" collapsed="false">
      <c r="A1074" s="5" t="s">
        <v>4602</v>
      </c>
      <c r="B1074" s="2" t="s">
        <v>4603</v>
      </c>
      <c r="C1074" s="5" t="s">
        <v>2245</v>
      </c>
      <c r="D1074" s="5" t="s">
        <v>60</v>
      </c>
      <c r="E1074" s="5" t="s">
        <v>62</v>
      </c>
      <c r="F1074" s="5" t="s">
        <v>367</v>
      </c>
    </row>
    <row r="1075" customFormat="false" ht="15" hidden="false" customHeight="false" outlineLevel="0" collapsed="false">
      <c r="A1075" s="5" t="s">
        <v>4607</v>
      </c>
      <c r="B1075" s="2" t="s">
        <v>4608</v>
      </c>
      <c r="C1075" s="5" t="s">
        <v>2128</v>
      </c>
      <c r="D1075" s="5" t="s">
        <v>60</v>
      </c>
      <c r="E1075" s="5" t="s">
        <v>62</v>
      </c>
      <c r="F1075" s="5" t="s">
        <v>367</v>
      </c>
    </row>
    <row r="1076" customFormat="false" ht="15" hidden="false" customHeight="false" outlineLevel="0" collapsed="false">
      <c r="A1076" s="5" t="s">
        <v>4612</v>
      </c>
      <c r="B1076" s="2" t="s">
        <v>4613</v>
      </c>
      <c r="C1076" s="5" t="s">
        <v>2128</v>
      </c>
      <c r="D1076" s="5" t="s">
        <v>60</v>
      </c>
      <c r="E1076" s="5" t="s">
        <v>62</v>
      </c>
      <c r="F1076" s="5" t="s">
        <v>367</v>
      </c>
    </row>
    <row r="1077" customFormat="false" ht="15" hidden="false" customHeight="false" outlineLevel="0" collapsed="false">
      <c r="A1077" s="5" t="s">
        <v>4617</v>
      </c>
      <c r="B1077" s="2" t="s">
        <v>4618</v>
      </c>
      <c r="C1077" s="5" t="s">
        <v>2245</v>
      </c>
      <c r="D1077" s="5" t="s">
        <v>60</v>
      </c>
      <c r="E1077" s="5" t="s">
        <v>62</v>
      </c>
      <c r="F1077" s="5" t="s">
        <v>367</v>
      </c>
    </row>
    <row r="1078" customFormat="false" ht="15" hidden="false" customHeight="false" outlineLevel="0" collapsed="false">
      <c r="A1078" s="5" t="s">
        <v>4622</v>
      </c>
      <c r="B1078" s="2" t="s">
        <v>4623</v>
      </c>
      <c r="C1078" s="5" t="s">
        <v>2245</v>
      </c>
      <c r="D1078" s="5" t="s">
        <v>60</v>
      </c>
      <c r="E1078" s="5" t="s">
        <v>62</v>
      </c>
      <c r="F1078" s="5" t="s">
        <v>367</v>
      </c>
    </row>
    <row r="1079" customFormat="false" ht="15" hidden="false" customHeight="false" outlineLevel="0" collapsed="false">
      <c r="A1079" s="5" t="s">
        <v>4627</v>
      </c>
      <c r="B1079" s="2" t="s">
        <v>4628</v>
      </c>
      <c r="C1079" s="5" t="s">
        <v>2245</v>
      </c>
      <c r="D1079" s="5" t="s">
        <v>60</v>
      </c>
      <c r="E1079" s="5" t="s">
        <v>62</v>
      </c>
      <c r="F1079" s="5" t="s">
        <v>367</v>
      </c>
    </row>
    <row r="1080" customFormat="false" ht="23.85" hidden="false" customHeight="false" outlineLevel="0" collapsed="false">
      <c r="A1080" s="5" t="s">
        <v>4632</v>
      </c>
      <c r="B1080" s="2" t="s">
        <v>4633</v>
      </c>
      <c r="C1080" s="5" t="s">
        <v>2128</v>
      </c>
      <c r="D1080" s="5" t="s">
        <v>60</v>
      </c>
      <c r="E1080" s="5" t="s">
        <v>62</v>
      </c>
      <c r="F1080" s="5" t="s">
        <v>184</v>
      </c>
    </row>
    <row r="1081" customFormat="false" ht="23.85" hidden="false" customHeight="false" outlineLevel="0" collapsed="false">
      <c r="A1081" s="5" t="s">
        <v>4641</v>
      </c>
      <c r="B1081" s="2" t="s">
        <v>4642</v>
      </c>
      <c r="C1081" s="5" t="s">
        <v>2128</v>
      </c>
      <c r="D1081" s="5" t="s">
        <v>60</v>
      </c>
      <c r="E1081" s="5" t="s">
        <v>62</v>
      </c>
      <c r="F1081" s="5" t="s">
        <v>184</v>
      </c>
    </row>
    <row r="1082" customFormat="false" ht="23.85" hidden="false" customHeight="false" outlineLevel="0" collapsed="false">
      <c r="A1082" s="5" t="s">
        <v>4648</v>
      </c>
      <c r="B1082" s="2" t="s">
        <v>4649</v>
      </c>
      <c r="C1082" s="5" t="s">
        <v>2128</v>
      </c>
      <c r="D1082" s="5" t="s">
        <v>60</v>
      </c>
      <c r="E1082" s="5" t="s">
        <v>62</v>
      </c>
      <c r="F1082" s="5" t="s">
        <v>367</v>
      </c>
    </row>
    <row r="1083" customFormat="false" ht="23.85" hidden="false" customHeight="false" outlineLevel="0" collapsed="false">
      <c r="A1083" s="5" t="s">
        <v>4654</v>
      </c>
      <c r="B1083" s="2" t="s">
        <v>4655</v>
      </c>
      <c r="C1083" s="5" t="s">
        <v>2245</v>
      </c>
      <c r="D1083" s="5" t="s">
        <v>60</v>
      </c>
      <c r="E1083" s="5" t="s">
        <v>62</v>
      </c>
      <c r="F1083" s="5" t="s">
        <v>184</v>
      </c>
    </row>
    <row r="1084" customFormat="false" ht="23.85" hidden="false" customHeight="false" outlineLevel="0" collapsed="false">
      <c r="A1084" s="5" t="s">
        <v>4660</v>
      </c>
      <c r="B1084" s="2" t="s">
        <v>4661</v>
      </c>
      <c r="C1084" s="5" t="s">
        <v>2128</v>
      </c>
      <c r="D1084" s="5" t="s">
        <v>60</v>
      </c>
      <c r="E1084" s="5" t="s">
        <v>62</v>
      </c>
      <c r="F1084" s="5" t="s">
        <v>184</v>
      </c>
    </row>
    <row r="1085" customFormat="false" ht="23.85" hidden="false" customHeight="false" outlineLevel="0" collapsed="false">
      <c r="A1085" s="5" t="s">
        <v>4665</v>
      </c>
      <c r="B1085" s="2" t="s">
        <v>4666</v>
      </c>
      <c r="C1085" s="5" t="s">
        <v>2245</v>
      </c>
      <c r="D1085" s="5" t="s">
        <v>60</v>
      </c>
      <c r="E1085" s="5" t="s">
        <v>62</v>
      </c>
      <c r="F1085" s="5" t="s">
        <v>367</v>
      </c>
    </row>
    <row r="1086" customFormat="false" ht="15" hidden="false" customHeight="false" outlineLevel="0" collapsed="false">
      <c r="A1086" s="5" t="s">
        <v>4670</v>
      </c>
      <c r="B1086" s="2" t="s">
        <v>4671</v>
      </c>
      <c r="C1086" s="5" t="s">
        <v>2245</v>
      </c>
      <c r="D1086" s="5" t="s">
        <v>60</v>
      </c>
      <c r="E1086" s="5" t="s">
        <v>490</v>
      </c>
      <c r="F1086" s="5" t="s">
        <v>184</v>
      </c>
    </row>
    <row r="1087" customFormat="false" ht="23.85" hidden="false" customHeight="false" outlineLevel="0" collapsed="false">
      <c r="A1087" s="5" t="s">
        <v>4676</v>
      </c>
      <c r="B1087" s="2" t="s">
        <v>4677</v>
      </c>
      <c r="C1087" s="5" t="s">
        <v>2245</v>
      </c>
      <c r="D1087" s="5" t="s">
        <v>60</v>
      </c>
      <c r="E1087" s="5" t="s">
        <v>62</v>
      </c>
      <c r="F1087" s="5" t="s">
        <v>184</v>
      </c>
    </row>
    <row r="1088" customFormat="false" ht="23.85" hidden="false" customHeight="false" outlineLevel="0" collapsed="false">
      <c r="A1088" s="5" t="s">
        <v>4683</v>
      </c>
      <c r="B1088" s="2" t="s">
        <v>4684</v>
      </c>
      <c r="C1088" s="5" t="s">
        <v>2245</v>
      </c>
      <c r="D1088" s="5" t="s">
        <v>60</v>
      </c>
      <c r="E1088" s="5" t="s">
        <v>490</v>
      </c>
      <c r="F1088" s="5" t="s">
        <v>367</v>
      </c>
    </row>
    <row r="1089" customFormat="false" ht="23.85" hidden="false" customHeight="false" outlineLevel="0" collapsed="false">
      <c r="A1089" s="5" t="s">
        <v>4688</v>
      </c>
      <c r="B1089" s="2" t="s">
        <v>4689</v>
      </c>
      <c r="C1089" s="5" t="s">
        <v>2245</v>
      </c>
      <c r="D1089" s="5" t="s">
        <v>60</v>
      </c>
      <c r="E1089" s="5" t="s">
        <v>490</v>
      </c>
      <c r="F1089" s="5" t="s">
        <v>367</v>
      </c>
    </row>
    <row r="1090" customFormat="false" ht="23.85" hidden="false" customHeight="false" outlineLevel="0" collapsed="false">
      <c r="A1090" s="5" t="s">
        <v>4693</v>
      </c>
      <c r="B1090" s="2" t="s">
        <v>4694</v>
      </c>
      <c r="C1090" s="5" t="s">
        <v>2245</v>
      </c>
      <c r="D1090" s="5" t="s">
        <v>60</v>
      </c>
      <c r="E1090" s="5" t="s">
        <v>490</v>
      </c>
      <c r="F1090" s="5" t="s">
        <v>367</v>
      </c>
    </row>
    <row r="1091" customFormat="false" ht="23.85" hidden="false" customHeight="false" outlineLevel="0" collapsed="false">
      <c r="A1091" s="5" t="s">
        <v>4699</v>
      </c>
      <c r="B1091" s="2" t="s">
        <v>4700</v>
      </c>
      <c r="C1091" s="5" t="s">
        <v>2245</v>
      </c>
      <c r="D1091" s="5" t="s">
        <v>60</v>
      </c>
      <c r="E1091" s="5" t="s">
        <v>490</v>
      </c>
      <c r="F1091" s="5" t="s">
        <v>184</v>
      </c>
    </row>
    <row r="1092" customFormat="false" ht="23.85" hidden="false" customHeight="false" outlineLevel="0" collapsed="false">
      <c r="A1092" s="5" t="s">
        <v>4705</v>
      </c>
      <c r="B1092" s="2" t="s">
        <v>4706</v>
      </c>
      <c r="C1092" s="5" t="s">
        <v>2245</v>
      </c>
      <c r="D1092" s="5" t="s">
        <v>60</v>
      </c>
      <c r="E1092" s="5" t="s">
        <v>490</v>
      </c>
      <c r="F1092" s="5" t="s">
        <v>367</v>
      </c>
    </row>
    <row r="1093" customFormat="false" ht="23.85" hidden="false" customHeight="false" outlineLevel="0" collapsed="false">
      <c r="A1093" s="5" t="s">
        <v>4710</v>
      </c>
      <c r="B1093" s="2" t="s">
        <v>4711</v>
      </c>
      <c r="C1093" s="5" t="s">
        <v>2245</v>
      </c>
      <c r="D1093" s="5" t="s">
        <v>60</v>
      </c>
      <c r="E1093" s="5" t="s">
        <v>62</v>
      </c>
      <c r="F1093" s="5" t="s">
        <v>184</v>
      </c>
    </row>
    <row r="1094" customFormat="false" ht="23.85" hidden="false" customHeight="false" outlineLevel="0" collapsed="false">
      <c r="A1094" s="5" t="s">
        <v>4715</v>
      </c>
      <c r="B1094" s="2" t="s">
        <v>4716</v>
      </c>
      <c r="C1094" s="5" t="s">
        <v>2245</v>
      </c>
      <c r="D1094" s="5" t="s">
        <v>60</v>
      </c>
      <c r="E1094" s="5" t="s">
        <v>62</v>
      </c>
      <c r="F1094" s="5" t="s">
        <v>184</v>
      </c>
    </row>
    <row r="1095" customFormat="false" ht="23.85" hidden="false" customHeight="false" outlineLevel="0" collapsed="false">
      <c r="A1095" s="5" t="s">
        <v>4720</v>
      </c>
      <c r="B1095" s="2" t="s">
        <v>4721</v>
      </c>
      <c r="C1095" s="5" t="s">
        <v>2128</v>
      </c>
      <c r="D1095" s="5" t="s">
        <v>60</v>
      </c>
      <c r="E1095" s="5" t="s">
        <v>62</v>
      </c>
      <c r="F1095" s="5" t="s">
        <v>184</v>
      </c>
    </row>
    <row r="1096" customFormat="false" ht="15" hidden="false" customHeight="false" outlineLevel="0" collapsed="false">
      <c r="A1096" s="5" t="s">
        <v>4725</v>
      </c>
      <c r="B1096" s="2" t="s">
        <v>4726</v>
      </c>
      <c r="C1096" s="5" t="s">
        <v>2245</v>
      </c>
      <c r="D1096" s="5" t="s">
        <v>60</v>
      </c>
      <c r="E1096" s="5" t="s">
        <v>62</v>
      </c>
      <c r="F1096" s="5" t="s">
        <v>184</v>
      </c>
    </row>
    <row r="1097" customFormat="false" ht="23.85" hidden="false" customHeight="false" outlineLevel="0" collapsed="false">
      <c r="A1097" s="5" t="s">
        <v>4730</v>
      </c>
      <c r="B1097" s="2" t="s">
        <v>4731</v>
      </c>
      <c r="C1097" s="5" t="s">
        <v>2245</v>
      </c>
      <c r="D1097" s="5" t="s">
        <v>60</v>
      </c>
      <c r="E1097" s="5" t="s">
        <v>62</v>
      </c>
      <c r="F1097" s="5" t="s">
        <v>184</v>
      </c>
    </row>
    <row r="1098" customFormat="false" ht="23.85" hidden="false" customHeight="false" outlineLevel="0" collapsed="false">
      <c r="A1098" s="5" t="s">
        <v>4737</v>
      </c>
      <c r="B1098" s="2" t="s">
        <v>4738</v>
      </c>
      <c r="C1098" s="5" t="s">
        <v>2128</v>
      </c>
      <c r="D1098" s="5" t="s">
        <v>60</v>
      </c>
      <c r="E1098" s="5" t="s">
        <v>62</v>
      </c>
      <c r="F1098" s="5" t="s">
        <v>184</v>
      </c>
    </row>
    <row r="1099" customFormat="false" ht="23.85" hidden="false" customHeight="false" outlineLevel="0" collapsed="false">
      <c r="A1099" s="5" t="s">
        <v>4742</v>
      </c>
      <c r="B1099" s="2" t="s">
        <v>4743</v>
      </c>
      <c r="C1099" s="5" t="s">
        <v>2128</v>
      </c>
      <c r="D1099" s="5" t="s">
        <v>60</v>
      </c>
      <c r="E1099" s="5" t="s">
        <v>62</v>
      </c>
      <c r="F1099" s="5" t="s">
        <v>184</v>
      </c>
    </row>
    <row r="1100" customFormat="false" ht="15" hidden="false" customHeight="false" outlineLevel="0" collapsed="false">
      <c r="A1100" s="5" t="s">
        <v>4748</v>
      </c>
      <c r="B1100" s="2" t="s">
        <v>4749</v>
      </c>
      <c r="C1100" s="5" t="s">
        <v>2128</v>
      </c>
      <c r="D1100" s="5" t="s">
        <v>60</v>
      </c>
      <c r="E1100" s="5" t="s">
        <v>62</v>
      </c>
      <c r="F1100" s="5" t="s">
        <v>4750</v>
      </c>
    </row>
    <row r="1101" customFormat="false" ht="15" hidden="false" customHeight="false" outlineLevel="0" collapsed="false">
      <c r="A1101" s="5" t="s">
        <v>4758</v>
      </c>
      <c r="B1101" s="2" t="s">
        <v>4759</v>
      </c>
      <c r="C1101" s="5" t="s">
        <v>2128</v>
      </c>
      <c r="D1101" s="5" t="s">
        <v>4760</v>
      </c>
      <c r="E1101" s="5" t="s">
        <v>62</v>
      </c>
      <c r="F1101" s="5" t="s">
        <v>8249</v>
      </c>
    </row>
    <row r="1102" customFormat="false" ht="15" hidden="false" customHeight="false" outlineLevel="0" collapsed="false">
      <c r="A1102" s="5" t="s">
        <v>4758</v>
      </c>
      <c r="B1102" s="2" t="s">
        <v>4759</v>
      </c>
      <c r="C1102" s="5" t="s">
        <v>2128</v>
      </c>
      <c r="D1102" s="5" t="s">
        <v>4760</v>
      </c>
      <c r="E1102" s="5" t="s">
        <v>62</v>
      </c>
      <c r="F1102" s="5" t="s">
        <v>8221</v>
      </c>
    </row>
    <row r="1103" customFormat="false" ht="15" hidden="false" customHeight="false" outlineLevel="0" collapsed="false">
      <c r="A1103" s="5" t="s">
        <v>4758</v>
      </c>
      <c r="B1103" s="2" t="s">
        <v>4759</v>
      </c>
      <c r="C1103" s="5" t="s">
        <v>2128</v>
      </c>
      <c r="D1103" s="5" t="s">
        <v>4760</v>
      </c>
      <c r="E1103" s="5" t="s">
        <v>62</v>
      </c>
      <c r="F1103" s="5" t="s">
        <v>8217</v>
      </c>
    </row>
    <row r="1104" customFormat="false" ht="15" hidden="false" customHeight="false" outlineLevel="0" collapsed="false">
      <c r="A1104" s="5" t="s">
        <v>4758</v>
      </c>
      <c r="B1104" s="2" t="s">
        <v>4759</v>
      </c>
      <c r="C1104" s="5" t="s">
        <v>2128</v>
      </c>
      <c r="D1104" s="5" t="s">
        <v>4760</v>
      </c>
      <c r="E1104" s="5" t="s">
        <v>62</v>
      </c>
      <c r="F1104" s="5" t="s">
        <v>2349</v>
      </c>
    </row>
    <row r="1105" customFormat="false" ht="23.85" hidden="false" customHeight="false" outlineLevel="0" collapsed="false">
      <c r="A1105" s="5" t="s">
        <v>4765</v>
      </c>
      <c r="B1105" s="2" t="s">
        <v>4766</v>
      </c>
      <c r="C1105" s="5" t="s">
        <v>2128</v>
      </c>
      <c r="D1105" s="5" t="s">
        <v>4760</v>
      </c>
      <c r="E1105" s="5" t="s">
        <v>62</v>
      </c>
      <c r="F1105" s="5" t="s">
        <v>568</v>
      </c>
    </row>
    <row r="1106" customFormat="false" ht="15" hidden="false" customHeight="false" outlineLevel="0" collapsed="false">
      <c r="A1106" s="5" t="s">
        <v>4771</v>
      </c>
      <c r="B1106" s="2" t="s">
        <v>4772</v>
      </c>
      <c r="C1106" s="5" t="s">
        <v>2128</v>
      </c>
      <c r="D1106" s="5" t="s">
        <v>4760</v>
      </c>
      <c r="E1106" s="5" t="s">
        <v>62</v>
      </c>
      <c r="F1106" s="5" t="s">
        <v>593</v>
      </c>
    </row>
    <row r="1107" customFormat="false" ht="15" hidden="false" customHeight="false" outlineLevel="0" collapsed="false">
      <c r="A1107" s="5" t="s">
        <v>4777</v>
      </c>
      <c r="B1107" s="2" t="s">
        <v>4778</v>
      </c>
      <c r="C1107" s="5" t="s">
        <v>2128</v>
      </c>
      <c r="D1107" s="5" t="s">
        <v>4760</v>
      </c>
      <c r="E1107" s="5" t="s">
        <v>62</v>
      </c>
      <c r="F1107" s="5" t="s">
        <v>593</v>
      </c>
    </row>
    <row r="1108" customFormat="false" ht="15" hidden="false" customHeight="false" outlineLevel="0" collapsed="false">
      <c r="A1108" s="5" t="s">
        <v>4783</v>
      </c>
      <c r="B1108" s="2" t="s">
        <v>4784</v>
      </c>
      <c r="C1108" s="5" t="s">
        <v>2128</v>
      </c>
      <c r="D1108" s="5" t="s">
        <v>4760</v>
      </c>
      <c r="E1108" s="5" t="s">
        <v>62</v>
      </c>
      <c r="F1108" s="5" t="s">
        <v>4785</v>
      </c>
    </row>
    <row r="1109" customFormat="false" ht="23.85" hidden="false" customHeight="false" outlineLevel="0" collapsed="false">
      <c r="A1109" s="5" t="s">
        <v>4791</v>
      </c>
      <c r="B1109" s="2" t="s">
        <v>4792</v>
      </c>
      <c r="C1109" s="5" t="s">
        <v>2128</v>
      </c>
      <c r="D1109" s="5" t="s">
        <v>4760</v>
      </c>
      <c r="E1109" s="5" t="s">
        <v>62</v>
      </c>
      <c r="F1109" s="5" t="s">
        <v>4785</v>
      </c>
    </row>
    <row r="1110" customFormat="false" ht="15" hidden="false" customHeight="false" outlineLevel="0" collapsed="false">
      <c r="A1110" s="5" t="s">
        <v>4797</v>
      </c>
      <c r="B1110" s="2" t="s">
        <v>4798</v>
      </c>
      <c r="C1110" s="5" t="s">
        <v>2128</v>
      </c>
      <c r="D1110" s="5" t="s">
        <v>4760</v>
      </c>
      <c r="E1110" s="5" t="s">
        <v>62</v>
      </c>
      <c r="F1110" s="5" t="s">
        <v>670</v>
      </c>
    </row>
    <row r="1111" customFormat="false" ht="15" hidden="false" customHeight="false" outlineLevel="0" collapsed="false">
      <c r="A1111" s="5" t="s">
        <v>4803</v>
      </c>
      <c r="B1111" s="2" t="s">
        <v>4804</v>
      </c>
      <c r="C1111" s="5" t="s">
        <v>2128</v>
      </c>
      <c r="D1111" s="5" t="s">
        <v>4760</v>
      </c>
      <c r="E1111" s="5" t="s">
        <v>62</v>
      </c>
      <c r="F1111" s="5" t="s">
        <v>4806</v>
      </c>
    </row>
    <row r="1112" customFormat="false" ht="15" hidden="false" customHeight="false" outlineLevel="0" collapsed="false">
      <c r="A1112" s="5" t="s">
        <v>4813</v>
      </c>
      <c r="B1112" s="2" t="s">
        <v>4814</v>
      </c>
      <c r="C1112" s="5" t="s">
        <v>2128</v>
      </c>
      <c r="D1112" s="5" t="s">
        <v>4760</v>
      </c>
      <c r="E1112" s="5" t="s">
        <v>62</v>
      </c>
      <c r="F1112" s="5" t="s">
        <v>492</v>
      </c>
    </row>
    <row r="1113" customFormat="false" ht="15" hidden="false" customHeight="false" outlineLevel="0" collapsed="false">
      <c r="A1113" s="5" t="s">
        <v>4813</v>
      </c>
      <c r="B1113" s="2" t="s">
        <v>4814</v>
      </c>
      <c r="C1113" s="5" t="s">
        <v>2128</v>
      </c>
      <c r="D1113" s="5" t="s">
        <v>4760</v>
      </c>
      <c r="E1113" s="5" t="s">
        <v>62</v>
      </c>
      <c r="F1113" s="5" t="s">
        <v>8220</v>
      </c>
    </row>
    <row r="1114" customFormat="false" ht="15" hidden="false" customHeight="false" outlineLevel="0" collapsed="false">
      <c r="A1114" s="5" t="s">
        <v>4813</v>
      </c>
      <c r="B1114" s="2" t="s">
        <v>4814</v>
      </c>
      <c r="C1114" s="5" t="s">
        <v>2128</v>
      </c>
      <c r="D1114" s="5" t="s">
        <v>4760</v>
      </c>
      <c r="E1114" s="5" t="s">
        <v>62</v>
      </c>
      <c r="F1114" s="5" t="s">
        <v>8221</v>
      </c>
    </row>
    <row r="1115" customFormat="false" ht="15" hidden="false" customHeight="false" outlineLevel="0" collapsed="false">
      <c r="A1115" s="5" t="s">
        <v>4813</v>
      </c>
      <c r="B1115" s="2" t="s">
        <v>4814</v>
      </c>
      <c r="C1115" s="5" t="s">
        <v>2128</v>
      </c>
      <c r="D1115" s="5" t="s">
        <v>4760</v>
      </c>
      <c r="E1115" s="5" t="s">
        <v>62</v>
      </c>
      <c r="F1115" s="5" t="s">
        <v>8222</v>
      </c>
    </row>
    <row r="1116" customFormat="false" ht="15" hidden="false" customHeight="false" outlineLevel="0" collapsed="false">
      <c r="A1116" s="5" t="s">
        <v>4813</v>
      </c>
      <c r="B1116" s="2" t="s">
        <v>4814</v>
      </c>
      <c r="C1116" s="5" t="s">
        <v>2128</v>
      </c>
      <c r="D1116" s="5" t="s">
        <v>4760</v>
      </c>
      <c r="E1116" s="5" t="s">
        <v>62</v>
      </c>
      <c r="F1116" s="5" t="s">
        <v>8223</v>
      </c>
    </row>
    <row r="1117" customFormat="false" ht="15" hidden="false" customHeight="false" outlineLevel="0" collapsed="false">
      <c r="A1117" s="5" t="s">
        <v>4813</v>
      </c>
      <c r="B1117" s="2" t="s">
        <v>4814</v>
      </c>
      <c r="C1117" s="5" t="s">
        <v>2128</v>
      </c>
      <c r="D1117" s="5" t="s">
        <v>4760</v>
      </c>
      <c r="E1117" s="5" t="s">
        <v>62</v>
      </c>
      <c r="F1117" s="5" t="s">
        <v>8224</v>
      </c>
    </row>
    <row r="1118" customFormat="false" ht="15" hidden="false" customHeight="false" outlineLevel="0" collapsed="false">
      <c r="A1118" s="5" t="s">
        <v>4813</v>
      </c>
      <c r="B1118" s="2" t="s">
        <v>4814</v>
      </c>
      <c r="C1118" s="5" t="s">
        <v>2128</v>
      </c>
      <c r="D1118" s="5" t="s">
        <v>4760</v>
      </c>
      <c r="E1118" s="5" t="s">
        <v>62</v>
      </c>
      <c r="F1118" s="5" t="s">
        <v>8226</v>
      </c>
    </row>
    <row r="1119" customFormat="false" ht="15" hidden="false" customHeight="false" outlineLevel="0" collapsed="false">
      <c r="A1119" s="5" t="s">
        <v>4813</v>
      </c>
      <c r="B1119" s="2" t="s">
        <v>4814</v>
      </c>
      <c r="C1119" s="5" t="s">
        <v>2128</v>
      </c>
      <c r="D1119" s="5" t="s">
        <v>4760</v>
      </c>
      <c r="E1119" s="5" t="s">
        <v>62</v>
      </c>
      <c r="F1119" s="5" t="s">
        <v>8227</v>
      </c>
    </row>
    <row r="1120" customFormat="false" ht="15" hidden="false" customHeight="false" outlineLevel="0" collapsed="false">
      <c r="A1120" s="5" t="s">
        <v>4813</v>
      </c>
      <c r="B1120" s="2" t="s">
        <v>4814</v>
      </c>
      <c r="C1120" s="5" t="s">
        <v>2128</v>
      </c>
      <c r="D1120" s="5" t="s">
        <v>4760</v>
      </c>
      <c r="E1120" s="5" t="s">
        <v>62</v>
      </c>
      <c r="F1120" s="5" t="s">
        <v>8217</v>
      </c>
    </row>
    <row r="1121" customFormat="false" ht="15" hidden="false" customHeight="false" outlineLevel="0" collapsed="false">
      <c r="A1121" s="5" t="s">
        <v>4813</v>
      </c>
      <c r="B1121" s="2" t="s">
        <v>4814</v>
      </c>
      <c r="C1121" s="5" t="s">
        <v>2128</v>
      </c>
      <c r="D1121" s="5" t="s">
        <v>4760</v>
      </c>
      <c r="E1121" s="5" t="s">
        <v>62</v>
      </c>
      <c r="F1121" s="5" t="s">
        <v>2349</v>
      </c>
    </row>
    <row r="1122" customFormat="false" ht="15" hidden="false" customHeight="false" outlineLevel="0" collapsed="false">
      <c r="A1122" s="5" t="s">
        <v>4813</v>
      </c>
      <c r="B1122" s="2" t="s">
        <v>4814</v>
      </c>
      <c r="C1122" s="5" t="s">
        <v>2128</v>
      </c>
      <c r="D1122" s="5" t="s">
        <v>4760</v>
      </c>
      <c r="E1122" s="5" t="s">
        <v>62</v>
      </c>
      <c r="F1122" s="5" t="s">
        <v>8219</v>
      </c>
    </row>
    <row r="1123" customFormat="false" ht="15" hidden="false" customHeight="false" outlineLevel="0" collapsed="false">
      <c r="A1123" s="5" t="s">
        <v>4813</v>
      </c>
      <c r="B1123" s="2" t="s">
        <v>4814</v>
      </c>
      <c r="C1123" s="5" t="s">
        <v>2128</v>
      </c>
      <c r="D1123" s="5" t="s">
        <v>4760</v>
      </c>
      <c r="E1123" s="5" t="s">
        <v>62</v>
      </c>
      <c r="F1123" s="5" t="s">
        <v>8228</v>
      </c>
    </row>
    <row r="1124" customFormat="false" ht="15" hidden="false" customHeight="false" outlineLevel="0" collapsed="false">
      <c r="A1124" s="5" t="s">
        <v>4820</v>
      </c>
      <c r="B1124" s="2" t="s">
        <v>4821</v>
      </c>
      <c r="C1124" s="5" t="s">
        <v>2128</v>
      </c>
      <c r="D1124" s="5" t="s">
        <v>4760</v>
      </c>
      <c r="E1124" s="5" t="s">
        <v>62</v>
      </c>
      <c r="F1124" s="5" t="s">
        <v>8251</v>
      </c>
    </row>
    <row r="1125" customFormat="false" ht="15" hidden="false" customHeight="false" outlineLevel="0" collapsed="false">
      <c r="A1125" s="5" t="s">
        <v>4820</v>
      </c>
      <c r="B1125" s="2" t="s">
        <v>4821</v>
      </c>
      <c r="C1125" s="5" t="s">
        <v>2128</v>
      </c>
      <c r="D1125" s="5" t="s">
        <v>4760</v>
      </c>
      <c r="E1125" s="5" t="s">
        <v>62</v>
      </c>
      <c r="F1125" s="5" t="s">
        <v>8252</v>
      </c>
    </row>
    <row r="1126" customFormat="false" ht="15" hidden="false" customHeight="false" outlineLevel="0" collapsed="false">
      <c r="A1126" s="5" t="s">
        <v>4820</v>
      </c>
      <c r="B1126" s="2" t="s">
        <v>4821</v>
      </c>
      <c r="C1126" s="5" t="s">
        <v>2128</v>
      </c>
      <c r="D1126" s="5" t="s">
        <v>4760</v>
      </c>
      <c r="E1126" s="5" t="s">
        <v>62</v>
      </c>
      <c r="F1126" s="5" t="s">
        <v>8253</v>
      </c>
    </row>
    <row r="1127" customFormat="false" ht="15" hidden="false" customHeight="false" outlineLevel="0" collapsed="false">
      <c r="A1127" s="5" t="s">
        <v>4828</v>
      </c>
      <c r="B1127" s="2" t="s">
        <v>4829</v>
      </c>
      <c r="C1127" s="5" t="s">
        <v>2128</v>
      </c>
      <c r="D1127" s="5" t="s">
        <v>4760</v>
      </c>
      <c r="E1127" s="5" t="s">
        <v>62</v>
      </c>
      <c r="F1127" s="5" t="s">
        <v>4830</v>
      </c>
    </row>
    <row r="1128" customFormat="false" ht="23.85" hidden="false" customHeight="false" outlineLevel="0" collapsed="false">
      <c r="A1128" s="5" t="s">
        <v>4837</v>
      </c>
      <c r="B1128" s="2" t="s">
        <v>4838</v>
      </c>
      <c r="C1128" s="5" t="s">
        <v>2128</v>
      </c>
      <c r="D1128" s="5" t="s">
        <v>4760</v>
      </c>
      <c r="E1128" s="5" t="s">
        <v>62</v>
      </c>
      <c r="F1128" s="5" t="s">
        <v>4839</v>
      </c>
    </row>
    <row r="1129" customFormat="false" ht="23.85" hidden="false" customHeight="false" outlineLevel="0" collapsed="false">
      <c r="A1129" s="5" t="s">
        <v>4846</v>
      </c>
      <c r="B1129" s="2" t="s">
        <v>4847</v>
      </c>
      <c r="C1129" s="5" t="s">
        <v>2128</v>
      </c>
      <c r="D1129" s="5" t="s">
        <v>4760</v>
      </c>
      <c r="E1129" s="5" t="s">
        <v>62</v>
      </c>
      <c r="F1129" s="5" t="s">
        <v>4839</v>
      </c>
    </row>
    <row r="1130" customFormat="false" ht="23.85" hidden="false" customHeight="false" outlineLevel="0" collapsed="false">
      <c r="A1130" s="5" t="s">
        <v>4851</v>
      </c>
      <c r="B1130" s="2" t="s">
        <v>4852</v>
      </c>
      <c r="C1130" s="5" t="s">
        <v>2128</v>
      </c>
      <c r="D1130" s="5" t="s">
        <v>4760</v>
      </c>
      <c r="E1130" s="5" t="s">
        <v>62</v>
      </c>
      <c r="F1130" s="5" t="s">
        <v>4839</v>
      </c>
    </row>
    <row r="1131" customFormat="false" ht="15" hidden="false" customHeight="false" outlineLevel="0" collapsed="false">
      <c r="A1131" s="5" t="s">
        <v>4856</v>
      </c>
      <c r="B1131" s="2" t="s">
        <v>4857</v>
      </c>
      <c r="C1131" s="5" t="s">
        <v>2128</v>
      </c>
      <c r="D1131" s="5" t="s">
        <v>4760</v>
      </c>
      <c r="E1131" s="5" t="s">
        <v>62</v>
      </c>
      <c r="F1131" s="5" t="s">
        <v>4806</v>
      </c>
    </row>
    <row r="1132" customFormat="false" ht="23.85" hidden="false" customHeight="false" outlineLevel="0" collapsed="false">
      <c r="A1132" s="5" t="s">
        <v>4863</v>
      </c>
      <c r="B1132" s="2" t="s">
        <v>4864</v>
      </c>
      <c r="C1132" s="5" t="s">
        <v>2128</v>
      </c>
      <c r="D1132" s="5" t="s">
        <v>4760</v>
      </c>
      <c r="E1132" s="5" t="s">
        <v>62</v>
      </c>
      <c r="F1132" s="5" t="s">
        <v>4806</v>
      </c>
    </row>
    <row r="1133" customFormat="false" ht="23.85" hidden="false" customHeight="false" outlineLevel="0" collapsed="false">
      <c r="A1133" s="5" t="s">
        <v>4871</v>
      </c>
      <c r="B1133" s="2" t="s">
        <v>4872</v>
      </c>
      <c r="C1133" s="5" t="s">
        <v>2128</v>
      </c>
      <c r="D1133" s="5" t="s">
        <v>4760</v>
      </c>
      <c r="E1133" s="5" t="s">
        <v>62</v>
      </c>
      <c r="F1133" s="5" t="s">
        <v>4873</v>
      </c>
    </row>
    <row r="1134" customFormat="false" ht="15" hidden="false" customHeight="false" outlineLevel="0" collapsed="false">
      <c r="A1134" s="5" t="s">
        <v>4880</v>
      </c>
      <c r="B1134" s="2" t="s">
        <v>4881</v>
      </c>
      <c r="C1134" s="5" t="s">
        <v>2128</v>
      </c>
      <c r="D1134" s="5" t="s">
        <v>4760</v>
      </c>
      <c r="E1134" s="5" t="s">
        <v>62</v>
      </c>
      <c r="F1134" s="5" t="s">
        <v>8254</v>
      </c>
    </row>
    <row r="1135" customFormat="false" ht="15" hidden="false" customHeight="false" outlineLevel="0" collapsed="false">
      <c r="A1135" s="5" t="s">
        <v>4880</v>
      </c>
      <c r="B1135" s="2" t="s">
        <v>4881</v>
      </c>
      <c r="C1135" s="5" t="s">
        <v>2128</v>
      </c>
      <c r="D1135" s="5" t="s">
        <v>4760</v>
      </c>
      <c r="E1135" s="5" t="s">
        <v>62</v>
      </c>
      <c r="F1135" s="5" t="s">
        <v>5328</v>
      </c>
    </row>
    <row r="1136" customFormat="false" ht="15" hidden="false" customHeight="false" outlineLevel="0" collapsed="false">
      <c r="A1136" s="5" t="s">
        <v>4889</v>
      </c>
      <c r="B1136" s="2" t="s">
        <v>4890</v>
      </c>
      <c r="C1136" s="5" t="s">
        <v>2128</v>
      </c>
      <c r="D1136" s="5" t="s">
        <v>4760</v>
      </c>
      <c r="E1136" s="5" t="s">
        <v>62</v>
      </c>
      <c r="F1136" s="5" t="s">
        <v>8249</v>
      </c>
    </row>
    <row r="1137" customFormat="false" ht="15" hidden="false" customHeight="false" outlineLevel="0" collapsed="false">
      <c r="A1137" s="5" t="s">
        <v>4889</v>
      </c>
      <c r="B1137" s="2" t="s">
        <v>4890</v>
      </c>
      <c r="C1137" s="5" t="s">
        <v>2128</v>
      </c>
      <c r="D1137" s="5" t="s">
        <v>4760</v>
      </c>
      <c r="E1137" s="5" t="s">
        <v>62</v>
      </c>
      <c r="F1137" s="5" t="s">
        <v>8221</v>
      </c>
    </row>
    <row r="1138" customFormat="false" ht="15" hidden="false" customHeight="false" outlineLevel="0" collapsed="false">
      <c r="A1138" s="5" t="s">
        <v>4889</v>
      </c>
      <c r="B1138" s="2" t="s">
        <v>4890</v>
      </c>
      <c r="C1138" s="5" t="s">
        <v>2128</v>
      </c>
      <c r="D1138" s="5" t="s">
        <v>4760</v>
      </c>
      <c r="E1138" s="5" t="s">
        <v>62</v>
      </c>
      <c r="F1138" s="5" t="s">
        <v>8217</v>
      </c>
    </row>
    <row r="1139" customFormat="false" ht="15" hidden="false" customHeight="false" outlineLevel="0" collapsed="false">
      <c r="A1139" s="5" t="s">
        <v>4889</v>
      </c>
      <c r="B1139" s="2" t="s">
        <v>4890</v>
      </c>
      <c r="C1139" s="5" t="s">
        <v>2128</v>
      </c>
      <c r="D1139" s="5" t="s">
        <v>4760</v>
      </c>
      <c r="E1139" s="5" t="s">
        <v>62</v>
      </c>
      <c r="F1139" s="5" t="s">
        <v>2349</v>
      </c>
    </row>
    <row r="1140" customFormat="false" ht="15" hidden="false" customHeight="false" outlineLevel="0" collapsed="false">
      <c r="A1140" s="5" t="s">
        <v>4895</v>
      </c>
      <c r="B1140" s="2" t="s">
        <v>4896</v>
      </c>
      <c r="C1140" s="5" t="s">
        <v>2128</v>
      </c>
      <c r="D1140" s="5" t="s">
        <v>4760</v>
      </c>
      <c r="E1140" s="5" t="s">
        <v>62</v>
      </c>
      <c r="F1140" s="5" t="s">
        <v>8251</v>
      </c>
    </row>
    <row r="1141" customFormat="false" ht="15" hidden="false" customHeight="false" outlineLevel="0" collapsed="false">
      <c r="A1141" s="5" t="s">
        <v>4895</v>
      </c>
      <c r="B1141" s="2" t="s">
        <v>4896</v>
      </c>
      <c r="C1141" s="5" t="s">
        <v>2128</v>
      </c>
      <c r="D1141" s="5" t="s">
        <v>4760</v>
      </c>
      <c r="E1141" s="5" t="s">
        <v>62</v>
      </c>
      <c r="F1141" s="5" t="s">
        <v>8252</v>
      </c>
    </row>
    <row r="1142" customFormat="false" ht="15" hidden="false" customHeight="false" outlineLevel="0" collapsed="false">
      <c r="A1142" s="5" t="s">
        <v>4895</v>
      </c>
      <c r="B1142" s="2" t="s">
        <v>4896</v>
      </c>
      <c r="C1142" s="5" t="s">
        <v>2128</v>
      </c>
      <c r="D1142" s="5" t="s">
        <v>4760</v>
      </c>
      <c r="E1142" s="5" t="s">
        <v>62</v>
      </c>
      <c r="F1142" s="5" t="s">
        <v>8253</v>
      </c>
    </row>
    <row r="1143" customFormat="false" ht="15" hidden="false" customHeight="false" outlineLevel="0" collapsed="false">
      <c r="A1143" s="5" t="s">
        <v>4902</v>
      </c>
      <c r="B1143" s="2" t="s">
        <v>4903</v>
      </c>
      <c r="C1143" s="5" t="s">
        <v>2128</v>
      </c>
      <c r="D1143" s="5" t="s">
        <v>4760</v>
      </c>
      <c r="E1143" s="5" t="s">
        <v>490</v>
      </c>
      <c r="F1143" s="5" t="s">
        <v>492</v>
      </c>
    </row>
    <row r="1144" customFormat="false" ht="15" hidden="false" customHeight="false" outlineLevel="0" collapsed="false">
      <c r="A1144" s="5" t="s">
        <v>4902</v>
      </c>
      <c r="B1144" s="2" t="s">
        <v>4903</v>
      </c>
      <c r="C1144" s="5" t="s">
        <v>2128</v>
      </c>
      <c r="D1144" s="5" t="s">
        <v>4760</v>
      </c>
      <c r="E1144" s="5" t="s">
        <v>490</v>
      </c>
      <c r="F1144" s="5" t="s">
        <v>8232</v>
      </c>
    </row>
    <row r="1145" customFormat="false" ht="15" hidden="false" customHeight="false" outlineLevel="0" collapsed="false">
      <c r="A1145" s="5" t="s">
        <v>4902</v>
      </c>
      <c r="B1145" s="2" t="s">
        <v>4903</v>
      </c>
      <c r="C1145" s="5" t="s">
        <v>2128</v>
      </c>
      <c r="D1145" s="5" t="s">
        <v>4760</v>
      </c>
      <c r="E1145" s="5" t="s">
        <v>490</v>
      </c>
      <c r="F1145" s="5" t="s">
        <v>526</v>
      </c>
    </row>
    <row r="1146" customFormat="false" ht="15" hidden="false" customHeight="false" outlineLevel="0" collapsed="false">
      <c r="A1146" s="5" t="s">
        <v>4902</v>
      </c>
      <c r="B1146" s="2" t="s">
        <v>4903</v>
      </c>
      <c r="C1146" s="5" t="s">
        <v>2128</v>
      </c>
      <c r="D1146" s="5" t="s">
        <v>4760</v>
      </c>
      <c r="E1146" s="5" t="s">
        <v>490</v>
      </c>
      <c r="F1146" s="5" t="s">
        <v>8220</v>
      </c>
    </row>
    <row r="1147" customFormat="false" ht="15" hidden="false" customHeight="false" outlineLevel="0" collapsed="false">
      <c r="A1147" s="5" t="s">
        <v>4902</v>
      </c>
      <c r="B1147" s="2" t="s">
        <v>4903</v>
      </c>
      <c r="C1147" s="5" t="s">
        <v>2128</v>
      </c>
      <c r="D1147" s="5" t="s">
        <v>4760</v>
      </c>
      <c r="E1147" s="5" t="s">
        <v>490</v>
      </c>
      <c r="F1147" s="5" t="s">
        <v>8222</v>
      </c>
    </row>
    <row r="1148" customFormat="false" ht="15" hidden="false" customHeight="false" outlineLevel="0" collapsed="false">
      <c r="A1148" s="5" t="s">
        <v>4902</v>
      </c>
      <c r="B1148" s="2" t="s">
        <v>4903</v>
      </c>
      <c r="C1148" s="5" t="s">
        <v>2128</v>
      </c>
      <c r="D1148" s="5" t="s">
        <v>4760</v>
      </c>
      <c r="E1148" s="5" t="s">
        <v>490</v>
      </c>
      <c r="F1148" s="5" t="s">
        <v>8224</v>
      </c>
    </row>
    <row r="1149" customFormat="false" ht="15" hidden="false" customHeight="false" outlineLevel="0" collapsed="false">
      <c r="A1149" s="5" t="s">
        <v>4902</v>
      </c>
      <c r="B1149" s="2" t="s">
        <v>4903</v>
      </c>
      <c r="C1149" s="5" t="s">
        <v>2128</v>
      </c>
      <c r="D1149" s="5" t="s">
        <v>4760</v>
      </c>
      <c r="E1149" s="5" t="s">
        <v>490</v>
      </c>
      <c r="F1149" s="5" t="s">
        <v>8226</v>
      </c>
    </row>
    <row r="1150" customFormat="false" ht="15" hidden="false" customHeight="false" outlineLevel="0" collapsed="false">
      <c r="A1150" s="5" t="s">
        <v>4902</v>
      </c>
      <c r="B1150" s="2" t="s">
        <v>4903</v>
      </c>
      <c r="C1150" s="5" t="s">
        <v>2128</v>
      </c>
      <c r="D1150" s="5" t="s">
        <v>4760</v>
      </c>
      <c r="E1150" s="5" t="s">
        <v>490</v>
      </c>
      <c r="F1150" s="5" t="s">
        <v>8233</v>
      </c>
    </row>
    <row r="1151" customFormat="false" ht="15" hidden="false" customHeight="false" outlineLevel="0" collapsed="false">
      <c r="A1151" s="5" t="s">
        <v>4902</v>
      </c>
      <c r="B1151" s="2" t="s">
        <v>4903</v>
      </c>
      <c r="C1151" s="5" t="s">
        <v>2128</v>
      </c>
      <c r="D1151" s="5" t="s">
        <v>4760</v>
      </c>
      <c r="E1151" s="5" t="s">
        <v>490</v>
      </c>
      <c r="F1151" s="5" t="s">
        <v>8234</v>
      </c>
    </row>
    <row r="1152" customFormat="false" ht="15" hidden="false" customHeight="false" outlineLevel="0" collapsed="false">
      <c r="A1152" s="5" t="s">
        <v>4902</v>
      </c>
      <c r="B1152" s="2" t="s">
        <v>4903</v>
      </c>
      <c r="C1152" s="5" t="s">
        <v>2128</v>
      </c>
      <c r="D1152" s="5" t="s">
        <v>4760</v>
      </c>
      <c r="E1152" s="5" t="s">
        <v>490</v>
      </c>
      <c r="F1152" s="5" t="s">
        <v>8235</v>
      </c>
    </row>
    <row r="1153" customFormat="false" ht="15" hidden="false" customHeight="false" outlineLevel="0" collapsed="false">
      <c r="A1153" s="5" t="s">
        <v>4902</v>
      </c>
      <c r="B1153" s="2" t="s">
        <v>4903</v>
      </c>
      <c r="C1153" s="5" t="s">
        <v>2128</v>
      </c>
      <c r="D1153" s="5" t="s">
        <v>4760</v>
      </c>
      <c r="E1153" s="5" t="s">
        <v>490</v>
      </c>
      <c r="F1153" s="5" t="s">
        <v>8227</v>
      </c>
    </row>
    <row r="1154" customFormat="false" ht="15" hidden="false" customHeight="false" outlineLevel="0" collapsed="false">
      <c r="A1154" s="5" t="s">
        <v>4902</v>
      </c>
      <c r="B1154" s="2" t="s">
        <v>4903</v>
      </c>
      <c r="C1154" s="5" t="s">
        <v>2128</v>
      </c>
      <c r="D1154" s="5" t="s">
        <v>4760</v>
      </c>
      <c r="E1154" s="5" t="s">
        <v>490</v>
      </c>
      <c r="F1154" s="5" t="s">
        <v>8236</v>
      </c>
    </row>
    <row r="1155" customFormat="false" ht="15" hidden="false" customHeight="false" outlineLevel="0" collapsed="false">
      <c r="A1155" s="5" t="s">
        <v>4902</v>
      </c>
      <c r="B1155" s="2" t="s">
        <v>4903</v>
      </c>
      <c r="C1155" s="5" t="s">
        <v>2128</v>
      </c>
      <c r="D1155" s="5" t="s">
        <v>4760</v>
      </c>
      <c r="E1155" s="5" t="s">
        <v>490</v>
      </c>
      <c r="F1155" s="5" t="s">
        <v>8217</v>
      </c>
    </row>
    <row r="1156" customFormat="false" ht="15" hidden="false" customHeight="false" outlineLevel="0" collapsed="false">
      <c r="A1156" s="5" t="s">
        <v>4902</v>
      </c>
      <c r="B1156" s="2" t="s">
        <v>4903</v>
      </c>
      <c r="C1156" s="5" t="s">
        <v>2128</v>
      </c>
      <c r="D1156" s="5" t="s">
        <v>4760</v>
      </c>
      <c r="E1156" s="5" t="s">
        <v>490</v>
      </c>
      <c r="F1156" s="5" t="s">
        <v>2349</v>
      </c>
    </row>
    <row r="1157" customFormat="false" ht="15" hidden="false" customHeight="false" outlineLevel="0" collapsed="false">
      <c r="A1157" s="5" t="s">
        <v>4902</v>
      </c>
      <c r="B1157" s="2" t="s">
        <v>4903</v>
      </c>
      <c r="C1157" s="5" t="s">
        <v>2128</v>
      </c>
      <c r="D1157" s="5" t="s">
        <v>4760</v>
      </c>
      <c r="E1157" s="5" t="s">
        <v>490</v>
      </c>
      <c r="F1157" s="5" t="s">
        <v>8218</v>
      </c>
    </row>
    <row r="1158" customFormat="false" ht="15" hidden="false" customHeight="false" outlineLevel="0" collapsed="false">
      <c r="A1158" s="5" t="s">
        <v>4902</v>
      </c>
      <c r="B1158" s="2" t="s">
        <v>4903</v>
      </c>
      <c r="C1158" s="5" t="s">
        <v>2128</v>
      </c>
      <c r="D1158" s="5" t="s">
        <v>4760</v>
      </c>
      <c r="E1158" s="5" t="s">
        <v>490</v>
      </c>
      <c r="F1158" s="5" t="s">
        <v>8219</v>
      </c>
    </row>
    <row r="1159" customFormat="false" ht="15" hidden="false" customHeight="false" outlineLevel="0" collapsed="false">
      <c r="A1159" s="5" t="s">
        <v>4902</v>
      </c>
      <c r="B1159" s="2" t="s">
        <v>4903</v>
      </c>
      <c r="C1159" s="5" t="s">
        <v>2128</v>
      </c>
      <c r="D1159" s="5" t="s">
        <v>4760</v>
      </c>
      <c r="E1159" s="5" t="s">
        <v>490</v>
      </c>
      <c r="F1159" s="5" t="s">
        <v>8237</v>
      </c>
    </row>
    <row r="1160" customFormat="false" ht="15" hidden="false" customHeight="false" outlineLevel="0" collapsed="false">
      <c r="A1160" s="5" t="s">
        <v>4902</v>
      </c>
      <c r="B1160" s="2" t="s">
        <v>4903</v>
      </c>
      <c r="C1160" s="5" t="s">
        <v>2128</v>
      </c>
      <c r="D1160" s="5" t="s">
        <v>4760</v>
      </c>
      <c r="E1160" s="5" t="s">
        <v>490</v>
      </c>
      <c r="F1160" s="5" t="s">
        <v>502</v>
      </c>
    </row>
    <row r="1161" customFormat="false" ht="15" hidden="false" customHeight="false" outlineLevel="0" collapsed="false">
      <c r="A1161" s="5" t="s">
        <v>4902</v>
      </c>
      <c r="B1161" s="2" t="s">
        <v>4903</v>
      </c>
      <c r="C1161" s="5" t="s">
        <v>2128</v>
      </c>
      <c r="D1161" s="5" t="s">
        <v>4760</v>
      </c>
      <c r="E1161" s="5" t="s">
        <v>490</v>
      </c>
      <c r="F1161" s="5" t="s">
        <v>8238</v>
      </c>
    </row>
    <row r="1162" customFormat="false" ht="15" hidden="false" customHeight="false" outlineLevel="0" collapsed="false">
      <c r="A1162" s="5" t="s">
        <v>4902</v>
      </c>
      <c r="B1162" s="2" t="s">
        <v>4903</v>
      </c>
      <c r="C1162" s="5" t="s">
        <v>2128</v>
      </c>
      <c r="D1162" s="5" t="s">
        <v>4760</v>
      </c>
      <c r="E1162" s="5" t="s">
        <v>490</v>
      </c>
      <c r="F1162" s="5" t="s">
        <v>8239</v>
      </c>
    </row>
    <row r="1163" customFormat="false" ht="15" hidden="false" customHeight="false" outlineLevel="0" collapsed="false">
      <c r="A1163" s="5" t="s">
        <v>4902</v>
      </c>
      <c r="B1163" s="2" t="s">
        <v>4903</v>
      </c>
      <c r="C1163" s="5" t="s">
        <v>2128</v>
      </c>
      <c r="D1163" s="5" t="s">
        <v>4760</v>
      </c>
      <c r="E1163" s="5" t="s">
        <v>490</v>
      </c>
      <c r="F1163" s="5" t="s">
        <v>5328</v>
      </c>
    </row>
    <row r="1164" customFormat="false" ht="15" hidden="false" customHeight="false" outlineLevel="0" collapsed="false">
      <c r="A1164" s="5" t="s">
        <v>4902</v>
      </c>
      <c r="B1164" s="2" t="s">
        <v>4903</v>
      </c>
      <c r="C1164" s="5" t="s">
        <v>2128</v>
      </c>
      <c r="D1164" s="5" t="s">
        <v>4760</v>
      </c>
      <c r="E1164" s="5" t="s">
        <v>490</v>
      </c>
      <c r="F1164" s="5" t="s">
        <v>8240</v>
      </c>
    </row>
    <row r="1165" customFormat="false" ht="15" hidden="false" customHeight="false" outlineLevel="0" collapsed="false">
      <c r="A1165" s="5" t="s">
        <v>4902</v>
      </c>
      <c r="B1165" s="2" t="s">
        <v>4903</v>
      </c>
      <c r="C1165" s="5" t="s">
        <v>2128</v>
      </c>
      <c r="D1165" s="5" t="s">
        <v>4760</v>
      </c>
      <c r="E1165" s="5" t="s">
        <v>490</v>
      </c>
      <c r="F1165" s="5" t="s">
        <v>8228</v>
      </c>
    </row>
    <row r="1166" customFormat="false" ht="15" hidden="false" customHeight="false" outlineLevel="0" collapsed="false">
      <c r="A1166" s="5" t="s">
        <v>4902</v>
      </c>
      <c r="B1166" s="2" t="s">
        <v>4903</v>
      </c>
      <c r="C1166" s="5" t="s">
        <v>2128</v>
      </c>
      <c r="D1166" s="5" t="s">
        <v>4760</v>
      </c>
      <c r="E1166" s="5" t="s">
        <v>490</v>
      </c>
      <c r="F1166" s="5" t="s">
        <v>741</v>
      </c>
    </row>
    <row r="1167" customFormat="false" ht="15" hidden="false" customHeight="false" outlineLevel="0" collapsed="false">
      <c r="A1167" s="5" t="s">
        <v>4910</v>
      </c>
      <c r="B1167" s="2" t="s">
        <v>4911</v>
      </c>
      <c r="C1167" s="5" t="s">
        <v>2128</v>
      </c>
      <c r="D1167" s="5" t="s">
        <v>4760</v>
      </c>
      <c r="E1167" s="5" t="s">
        <v>62</v>
      </c>
      <c r="F1167" s="5" t="s">
        <v>152</v>
      </c>
    </row>
    <row r="1168" customFormat="false" ht="15" hidden="false" customHeight="false" outlineLevel="0" collapsed="false">
      <c r="A1168" s="5" t="s">
        <v>4916</v>
      </c>
      <c r="B1168" s="2" t="s">
        <v>4917</v>
      </c>
      <c r="C1168" s="5" t="s">
        <v>2128</v>
      </c>
      <c r="D1168" s="5" t="s">
        <v>4760</v>
      </c>
      <c r="E1168" s="5" t="s">
        <v>62</v>
      </c>
      <c r="F1168" s="5" t="s">
        <v>152</v>
      </c>
    </row>
    <row r="1169" customFormat="false" ht="15" hidden="false" customHeight="false" outlineLevel="0" collapsed="false">
      <c r="A1169" s="5" t="s">
        <v>4922</v>
      </c>
      <c r="B1169" s="2" t="s">
        <v>4923</v>
      </c>
      <c r="C1169" s="5" t="s">
        <v>2128</v>
      </c>
      <c r="D1169" s="5" t="s">
        <v>4760</v>
      </c>
      <c r="E1169" s="5" t="s">
        <v>490</v>
      </c>
      <c r="F1169" s="5" t="s">
        <v>8251</v>
      </c>
    </row>
    <row r="1170" customFormat="false" ht="15" hidden="false" customHeight="false" outlineLevel="0" collapsed="false">
      <c r="A1170" s="5" t="s">
        <v>4922</v>
      </c>
      <c r="B1170" s="2" t="s">
        <v>4923</v>
      </c>
      <c r="C1170" s="5" t="s">
        <v>2128</v>
      </c>
      <c r="D1170" s="5" t="s">
        <v>4760</v>
      </c>
      <c r="E1170" s="5" t="s">
        <v>490</v>
      </c>
      <c r="F1170" s="5" t="s">
        <v>8252</v>
      </c>
    </row>
    <row r="1171" customFormat="false" ht="15" hidden="false" customHeight="false" outlineLevel="0" collapsed="false">
      <c r="A1171" s="5" t="s">
        <v>4922</v>
      </c>
      <c r="B1171" s="2" t="s">
        <v>4923</v>
      </c>
      <c r="C1171" s="5" t="s">
        <v>2128</v>
      </c>
      <c r="D1171" s="5" t="s">
        <v>4760</v>
      </c>
      <c r="E1171" s="5" t="s">
        <v>490</v>
      </c>
      <c r="F1171" s="5" t="s">
        <v>8253</v>
      </c>
    </row>
    <row r="1172" customFormat="false" ht="23.85" hidden="false" customHeight="false" outlineLevel="0" collapsed="false">
      <c r="A1172" s="5" t="s">
        <v>4930</v>
      </c>
      <c r="B1172" s="2" t="s">
        <v>4931</v>
      </c>
      <c r="C1172" s="5" t="s">
        <v>2128</v>
      </c>
      <c r="D1172" s="5" t="s">
        <v>4760</v>
      </c>
      <c r="E1172" s="5" t="s">
        <v>490</v>
      </c>
      <c r="F1172" s="5" t="s">
        <v>2721</v>
      </c>
    </row>
    <row r="1173" customFormat="false" ht="23.85" hidden="false" customHeight="false" outlineLevel="0" collapsed="false">
      <c r="A1173" s="5" t="s">
        <v>4937</v>
      </c>
      <c r="B1173" s="2" t="s">
        <v>4938</v>
      </c>
      <c r="C1173" s="5" t="s">
        <v>2128</v>
      </c>
      <c r="D1173" s="5" t="s">
        <v>4760</v>
      </c>
      <c r="E1173" s="5" t="s">
        <v>490</v>
      </c>
      <c r="F1173" s="5" t="s">
        <v>8217</v>
      </c>
    </row>
    <row r="1174" customFormat="false" ht="23.85" hidden="false" customHeight="false" outlineLevel="0" collapsed="false">
      <c r="A1174" s="5" t="s">
        <v>4937</v>
      </c>
      <c r="B1174" s="2" t="s">
        <v>4938</v>
      </c>
      <c r="C1174" s="5" t="s">
        <v>2128</v>
      </c>
      <c r="D1174" s="5" t="s">
        <v>4760</v>
      </c>
      <c r="E1174" s="5" t="s">
        <v>490</v>
      </c>
      <c r="F1174" s="5" t="s">
        <v>2349</v>
      </c>
    </row>
    <row r="1175" customFormat="false" ht="15" hidden="false" customHeight="false" outlineLevel="0" collapsed="false">
      <c r="A1175" s="5" t="s">
        <v>4944</v>
      </c>
      <c r="B1175" s="2" t="s">
        <v>4945</v>
      </c>
      <c r="C1175" s="5" t="s">
        <v>2128</v>
      </c>
      <c r="D1175" s="5" t="s">
        <v>4760</v>
      </c>
      <c r="E1175" s="5" t="s">
        <v>62</v>
      </c>
      <c r="F1175" s="5" t="s">
        <v>648</v>
      </c>
    </row>
    <row r="1176" customFormat="false" ht="15" hidden="false" customHeight="false" outlineLevel="0" collapsed="false">
      <c r="A1176" s="5" t="s">
        <v>4944</v>
      </c>
      <c r="B1176" s="2" t="s">
        <v>4945</v>
      </c>
      <c r="C1176" s="5" t="s">
        <v>2128</v>
      </c>
      <c r="D1176" s="5" t="s">
        <v>4760</v>
      </c>
      <c r="E1176" s="5" t="s">
        <v>62</v>
      </c>
      <c r="F1176" s="5" t="s">
        <v>8255</v>
      </c>
    </row>
    <row r="1177" customFormat="false" ht="15" hidden="false" customHeight="false" outlineLevel="0" collapsed="false">
      <c r="A1177" s="5" t="s">
        <v>4944</v>
      </c>
      <c r="B1177" s="2" t="s">
        <v>4945</v>
      </c>
      <c r="C1177" s="5" t="s">
        <v>2128</v>
      </c>
      <c r="D1177" s="5" t="s">
        <v>4760</v>
      </c>
      <c r="E1177" s="5" t="s">
        <v>62</v>
      </c>
      <c r="F1177" s="5" t="s">
        <v>8256</v>
      </c>
    </row>
    <row r="1178" customFormat="false" ht="15" hidden="false" customHeight="false" outlineLevel="0" collapsed="false">
      <c r="A1178" s="5" t="s">
        <v>4944</v>
      </c>
      <c r="B1178" s="2" t="s">
        <v>4945</v>
      </c>
      <c r="C1178" s="5" t="s">
        <v>2128</v>
      </c>
      <c r="D1178" s="5" t="s">
        <v>4760</v>
      </c>
      <c r="E1178" s="5" t="s">
        <v>62</v>
      </c>
      <c r="F1178" s="5" t="s">
        <v>8257</v>
      </c>
    </row>
    <row r="1179" customFormat="false" ht="15" hidden="false" customHeight="false" outlineLevel="0" collapsed="false">
      <c r="A1179" s="5" t="s">
        <v>4944</v>
      </c>
      <c r="B1179" s="2" t="s">
        <v>4945</v>
      </c>
      <c r="C1179" s="5" t="s">
        <v>2128</v>
      </c>
      <c r="D1179" s="5" t="s">
        <v>4760</v>
      </c>
      <c r="E1179" s="5" t="s">
        <v>62</v>
      </c>
      <c r="F1179" s="5" t="s">
        <v>8258</v>
      </c>
    </row>
    <row r="1180" customFormat="false" ht="15" hidden="false" customHeight="false" outlineLevel="0" collapsed="false">
      <c r="A1180" s="5" t="s">
        <v>4944</v>
      </c>
      <c r="B1180" s="2" t="s">
        <v>4945</v>
      </c>
      <c r="C1180" s="5" t="s">
        <v>2128</v>
      </c>
      <c r="D1180" s="5" t="s">
        <v>4760</v>
      </c>
      <c r="E1180" s="5" t="s">
        <v>62</v>
      </c>
      <c r="F1180" s="5" t="s">
        <v>8259</v>
      </c>
    </row>
    <row r="1181" customFormat="false" ht="15" hidden="false" customHeight="false" outlineLevel="0" collapsed="false">
      <c r="A1181" s="5" t="s">
        <v>4944</v>
      </c>
      <c r="B1181" s="2" t="s">
        <v>4945</v>
      </c>
      <c r="C1181" s="5" t="s">
        <v>2128</v>
      </c>
      <c r="D1181" s="5" t="s">
        <v>4760</v>
      </c>
      <c r="E1181" s="5" t="s">
        <v>62</v>
      </c>
      <c r="F1181" s="5" t="s">
        <v>8260</v>
      </c>
    </row>
    <row r="1182" customFormat="false" ht="15" hidden="false" customHeight="false" outlineLevel="0" collapsed="false">
      <c r="A1182" s="5" t="s">
        <v>4944</v>
      </c>
      <c r="B1182" s="2" t="s">
        <v>4945</v>
      </c>
      <c r="C1182" s="5" t="s">
        <v>2128</v>
      </c>
      <c r="D1182" s="5" t="s">
        <v>4760</v>
      </c>
      <c r="E1182" s="5" t="s">
        <v>62</v>
      </c>
      <c r="F1182" s="5" t="s">
        <v>8261</v>
      </c>
    </row>
    <row r="1183" customFormat="false" ht="15" hidden="false" customHeight="false" outlineLevel="0" collapsed="false">
      <c r="A1183" s="5" t="s">
        <v>4944</v>
      </c>
      <c r="B1183" s="2" t="s">
        <v>4945</v>
      </c>
      <c r="C1183" s="5" t="s">
        <v>2128</v>
      </c>
      <c r="D1183" s="5" t="s">
        <v>4760</v>
      </c>
      <c r="E1183" s="5" t="s">
        <v>62</v>
      </c>
      <c r="F1183" s="5" t="s">
        <v>8217</v>
      </c>
    </row>
    <row r="1184" customFormat="false" ht="15" hidden="false" customHeight="false" outlineLevel="0" collapsed="false">
      <c r="A1184" s="5" t="s">
        <v>4944</v>
      </c>
      <c r="B1184" s="2" t="s">
        <v>4945</v>
      </c>
      <c r="C1184" s="5" t="s">
        <v>2128</v>
      </c>
      <c r="D1184" s="5" t="s">
        <v>4760</v>
      </c>
      <c r="E1184" s="5" t="s">
        <v>62</v>
      </c>
      <c r="F1184" s="5" t="s">
        <v>2349</v>
      </c>
    </row>
    <row r="1185" customFormat="false" ht="15" hidden="false" customHeight="false" outlineLevel="0" collapsed="false">
      <c r="A1185" s="5" t="s">
        <v>4944</v>
      </c>
      <c r="B1185" s="2" t="s">
        <v>4945</v>
      </c>
      <c r="C1185" s="5" t="s">
        <v>2128</v>
      </c>
      <c r="D1185" s="5" t="s">
        <v>4760</v>
      </c>
      <c r="E1185" s="5" t="s">
        <v>62</v>
      </c>
      <c r="F1185" s="5" t="s">
        <v>8262</v>
      </c>
    </row>
    <row r="1186" customFormat="false" ht="15" hidden="false" customHeight="false" outlineLevel="0" collapsed="false">
      <c r="A1186" s="5" t="s">
        <v>4944</v>
      </c>
      <c r="B1186" s="2" t="s">
        <v>4945</v>
      </c>
      <c r="C1186" s="5" t="s">
        <v>2128</v>
      </c>
      <c r="D1186" s="5" t="s">
        <v>4760</v>
      </c>
      <c r="E1186" s="5" t="s">
        <v>62</v>
      </c>
      <c r="F1186" s="5" t="s">
        <v>8263</v>
      </c>
    </row>
    <row r="1187" customFormat="false" ht="23.85" hidden="false" customHeight="false" outlineLevel="0" collapsed="false">
      <c r="A1187" s="5" t="s">
        <v>4955</v>
      </c>
      <c r="B1187" s="2" t="s">
        <v>4956</v>
      </c>
      <c r="C1187" s="5" t="s">
        <v>2128</v>
      </c>
      <c r="D1187" s="5" t="s">
        <v>4760</v>
      </c>
      <c r="E1187" s="5" t="s">
        <v>62</v>
      </c>
      <c r="F1187" s="5" t="s">
        <v>8264</v>
      </c>
    </row>
    <row r="1188" customFormat="false" ht="23.85" hidden="false" customHeight="false" outlineLevel="0" collapsed="false">
      <c r="A1188" s="5" t="s">
        <v>4955</v>
      </c>
      <c r="B1188" s="2" t="s">
        <v>4956</v>
      </c>
      <c r="C1188" s="5" t="s">
        <v>2128</v>
      </c>
      <c r="D1188" s="5" t="s">
        <v>4760</v>
      </c>
      <c r="E1188" s="5" t="s">
        <v>62</v>
      </c>
      <c r="F1188" s="5" t="s">
        <v>593</v>
      </c>
    </row>
    <row r="1189" customFormat="false" ht="23.85" hidden="false" customHeight="false" outlineLevel="0" collapsed="false">
      <c r="A1189" s="5" t="s">
        <v>4965</v>
      </c>
      <c r="B1189" s="2" t="s">
        <v>4966</v>
      </c>
      <c r="C1189" s="5" t="s">
        <v>2128</v>
      </c>
      <c r="D1189" s="5" t="s">
        <v>4760</v>
      </c>
      <c r="E1189" s="5" t="s">
        <v>62</v>
      </c>
      <c r="F1189" s="5" t="s">
        <v>8264</v>
      </c>
    </row>
    <row r="1190" customFormat="false" ht="23.85" hidden="false" customHeight="false" outlineLevel="0" collapsed="false">
      <c r="A1190" s="5" t="s">
        <v>4965</v>
      </c>
      <c r="B1190" s="2" t="s">
        <v>4966</v>
      </c>
      <c r="C1190" s="5" t="s">
        <v>2128</v>
      </c>
      <c r="D1190" s="5" t="s">
        <v>4760</v>
      </c>
      <c r="E1190" s="5" t="s">
        <v>62</v>
      </c>
      <c r="F1190" s="5" t="s">
        <v>593</v>
      </c>
    </row>
    <row r="1191" customFormat="false" ht="23.85" hidden="false" customHeight="false" outlineLevel="0" collapsed="false">
      <c r="A1191" s="5" t="s">
        <v>4971</v>
      </c>
      <c r="B1191" s="2" t="s">
        <v>4972</v>
      </c>
      <c r="C1191" s="5" t="s">
        <v>2128</v>
      </c>
      <c r="D1191" s="5" t="s">
        <v>4760</v>
      </c>
      <c r="E1191" s="5" t="s">
        <v>62</v>
      </c>
      <c r="F1191" s="5" t="s">
        <v>8264</v>
      </c>
    </row>
    <row r="1192" customFormat="false" ht="23.85" hidden="false" customHeight="false" outlineLevel="0" collapsed="false">
      <c r="A1192" s="5" t="s">
        <v>4971</v>
      </c>
      <c r="B1192" s="2" t="s">
        <v>4972</v>
      </c>
      <c r="C1192" s="5" t="s">
        <v>2128</v>
      </c>
      <c r="D1192" s="5" t="s">
        <v>4760</v>
      </c>
      <c r="E1192" s="5" t="s">
        <v>62</v>
      </c>
      <c r="F1192" s="5" t="s">
        <v>593</v>
      </c>
    </row>
    <row r="1193" customFormat="false" ht="23.85" hidden="false" customHeight="false" outlineLevel="0" collapsed="false">
      <c r="A1193" s="5" t="s">
        <v>4977</v>
      </c>
      <c r="B1193" s="2" t="s">
        <v>4978</v>
      </c>
      <c r="C1193" s="5" t="s">
        <v>2128</v>
      </c>
      <c r="D1193" s="5" t="s">
        <v>4760</v>
      </c>
      <c r="E1193" s="5" t="s">
        <v>62</v>
      </c>
      <c r="F1193" s="5" t="s">
        <v>8264</v>
      </c>
    </row>
    <row r="1194" customFormat="false" ht="23.85" hidden="false" customHeight="false" outlineLevel="0" collapsed="false">
      <c r="A1194" s="5" t="s">
        <v>4977</v>
      </c>
      <c r="B1194" s="2" t="s">
        <v>4978</v>
      </c>
      <c r="C1194" s="5" t="s">
        <v>2128</v>
      </c>
      <c r="D1194" s="5" t="s">
        <v>4760</v>
      </c>
      <c r="E1194" s="5" t="s">
        <v>62</v>
      </c>
      <c r="F1194" s="5" t="s">
        <v>593</v>
      </c>
    </row>
    <row r="1195" customFormat="false" ht="23.85" hidden="false" customHeight="false" outlineLevel="0" collapsed="false">
      <c r="A1195" s="5" t="s">
        <v>4982</v>
      </c>
      <c r="B1195" s="2" t="s">
        <v>4983</v>
      </c>
      <c r="C1195" s="5" t="s">
        <v>2128</v>
      </c>
      <c r="D1195" s="5" t="s">
        <v>4760</v>
      </c>
      <c r="E1195" s="5" t="s">
        <v>62</v>
      </c>
      <c r="F1195" s="5" t="s">
        <v>8264</v>
      </c>
    </row>
    <row r="1196" customFormat="false" ht="23.85" hidden="false" customHeight="false" outlineLevel="0" collapsed="false">
      <c r="A1196" s="5" t="s">
        <v>4982</v>
      </c>
      <c r="B1196" s="2" t="s">
        <v>4983</v>
      </c>
      <c r="C1196" s="5" t="s">
        <v>2128</v>
      </c>
      <c r="D1196" s="5" t="s">
        <v>4760</v>
      </c>
      <c r="E1196" s="5" t="s">
        <v>62</v>
      </c>
      <c r="F1196" s="5" t="s">
        <v>593</v>
      </c>
    </row>
    <row r="1197" customFormat="false" ht="23.85" hidden="false" customHeight="false" outlineLevel="0" collapsed="false">
      <c r="A1197" s="5" t="s">
        <v>4986</v>
      </c>
      <c r="B1197" s="2" t="s">
        <v>4987</v>
      </c>
      <c r="C1197" s="5" t="s">
        <v>2128</v>
      </c>
      <c r="D1197" s="5" t="s">
        <v>4760</v>
      </c>
      <c r="E1197" s="5" t="s">
        <v>62</v>
      </c>
      <c r="F1197" s="5" t="s">
        <v>8264</v>
      </c>
    </row>
    <row r="1198" customFormat="false" ht="23.85" hidden="false" customHeight="false" outlineLevel="0" collapsed="false">
      <c r="A1198" s="5" t="s">
        <v>4986</v>
      </c>
      <c r="B1198" s="2" t="s">
        <v>4987</v>
      </c>
      <c r="C1198" s="5" t="s">
        <v>2128</v>
      </c>
      <c r="D1198" s="5" t="s">
        <v>4760</v>
      </c>
      <c r="E1198" s="5" t="s">
        <v>62</v>
      </c>
      <c r="F1198" s="5" t="s">
        <v>593</v>
      </c>
    </row>
    <row r="1199" customFormat="false" ht="23.85" hidden="false" customHeight="false" outlineLevel="0" collapsed="false">
      <c r="A1199" s="5" t="s">
        <v>4990</v>
      </c>
      <c r="B1199" s="2" t="s">
        <v>4991</v>
      </c>
      <c r="C1199" s="5" t="s">
        <v>2128</v>
      </c>
      <c r="D1199" s="5" t="s">
        <v>4760</v>
      </c>
      <c r="E1199" s="5" t="s">
        <v>62</v>
      </c>
      <c r="F1199" s="5" t="s">
        <v>8251</v>
      </c>
    </row>
    <row r="1200" customFormat="false" ht="23.85" hidden="false" customHeight="false" outlineLevel="0" collapsed="false">
      <c r="A1200" s="5" t="s">
        <v>4990</v>
      </c>
      <c r="B1200" s="2" t="s">
        <v>4991</v>
      </c>
      <c r="C1200" s="5" t="s">
        <v>2128</v>
      </c>
      <c r="D1200" s="5" t="s">
        <v>4760</v>
      </c>
      <c r="E1200" s="5" t="s">
        <v>62</v>
      </c>
      <c r="F1200" s="5" t="s">
        <v>8252</v>
      </c>
    </row>
    <row r="1201" customFormat="false" ht="23.85" hidden="false" customHeight="false" outlineLevel="0" collapsed="false">
      <c r="A1201" s="5" t="s">
        <v>4990</v>
      </c>
      <c r="B1201" s="2" t="s">
        <v>4991</v>
      </c>
      <c r="C1201" s="5" t="s">
        <v>2128</v>
      </c>
      <c r="D1201" s="5" t="s">
        <v>4760</v>
      </c>
      <c r="E1201" s="5" t="s">
        <v>62</v>
      </c>
      <c r="F1201" s="5" t="s">
        <v>8253</v>
      </c>
    </row>
    <row r="1202" customFormat="false" ht="23.85" hidden="false" customHeight="false" outlineLevel="0" collapsed="false">
      <c r="A1202" s="5" t="s">
        <v>4995</v>
      </c>
      <c r="B1202" s="2" t="s">
        <v>4996</v>
      </c>
      <c r="C1202" s="5" t="s">
        <v>2128</v>
      </c>
      <c r="D1202" s="5" t="s">
        <v>4760</v>
      </c>
      <c r="E1202" s="5" t="s">
        <v>62</v>
      </c>
      <c r="F1202" s="5" t="s">
        <v>2721</v>
      </c>
    </row>
    <row r="1203" customFormat="false" ht="23.85" hidden="false" customHeight="false" outlineLevel="0" collapsed="false">
      <c r="A1203" s="5" t="s">
        <v>5001</v>
      </c>
      <c r="B1203" s="2" t="s">
        <v>5002</v>
      </c>
      <c r="C1203" s="5" t="s">
        <v>2128</v>
      </c>
      <c r="D1203" s="5" t="s">
        <v>4760</v>
      </c>
      <c r="E1203" s="5" t="s">
        <v>62</v>
      </c>
      <c r="F1203" s="5" t="s">
        <v>8217</v>
      </c>
    </row>
    <row r="1204" customFormat="false" ht="23.85" hidden="false" customHeight="false" outlineLevel="0" collapsed="false">
      <c r="A1204" s="5" t="s">
        <v>5001</v>
      </c>
      <c r="B1204" s="2" t="s">
        <v>5002</v>
      </c>
      <c r="C1204" s="5" t="s">
        <v>2128</v>
      </c>
      <c r="D1204" s="5" t="s">
        <v>4760</v>
      </c>
      <c r="E1204" s="5" t="s">
        <v>62</v>
      </c>
      <c r="F1204" s="5" t="s">
        <v>2349</v>
      </c>
    </row>
    <row r="1205" customFormat="false" ht="23.85" hidden="false" customHeight="false" outlineLevel="0" collapsed="false">
      <c r="A1205" s="5" t="s">
        <v>5008</v>
      </c>
      <c r="B1205" s="2" t="s">
        <v>5009</v>
      </c>
      <c r="C1205" s="5" t="s">
        <v>2128</v>
      </c>
      <c r="D1205" s="5" t="s">
        <v>4760</v>
      </c>
      <c r="E1205" s="5" t="s">
        <v>490</v>
      </c>
      <c r="F1205" s="5" t="s">
        <v>8217</v>
      </c>
    </row>
    <row r="1206" customFormat="false" ht="23.85" hidden="false" customHeight="false" outlineLevel="0" collapsed="false">
      <c r="A1206" s="5" t="s">
        <v>5008</v>
      </c>
      <c r="B1206" s="2" t="s">
        <v>5009</v>
      </c>
      <c r="C1206" s="5" t="s">
        <v>2128</v>
      </c>
      <c r="D1206" s="5" t="s">
        <v>4760</v>
      </c>
      <c r="E1206" s="5" t="s">
        <v>490</v>
      </c>
      <c r="F1206" s="5" t="s">
        <v>2349</v>
      </c>
    </row>
    <row r="1207" customFormat="false" ht="23.85" hidden="false" customHeight="false" outlineLevel="0" collapsed="false">
      <c r="A1207" s="5" t="s">
        <v>5015</v>
      </c>
      <c r="B1207" s="2" t="s">
        <v>5016</v>
      </c>
      <c r="C1207" s="5" t="s">
        <v>2128</v>
      </c>
      <c r="D1207" s="5" t="s">
        <v>4760</v>
      </c>
      <c r="E1207" s="5" t="s">
        <v>62</v>
      </c>
      <c r="F1207" s="5" t="s">
        <v>2721</v>
      </c>
    </row>
    <row r="1208" customFormat="false" ht="23.85" hidden="false" customHeight="false" outlineLevel="0" collapsed="false">
      <c r="A1208" s="5" t="s">
        <v>5020</v>
      </c>
      <c r="B1208" s="2" t="s">
        <v>5021</v>
      </c>
      <c r="C1208" s="5" t="s">
        <v>2128</v>
      </c>
      <c r="D1208" s="5" t="s">
        <v>4760</v>
      </c>
      <c r="E1208" s="5" t="s">
        <v>62</v>
      </c>
      <c r="F1208" s="5" t="s">
        <v>8217</v>
      </c>
    </row>
    <row r="1209" customFormat="false" ht="23.85" hidden="false" customHeight="false" outlineLevel="0" collapsed="false">
      <c r="A1209" s="5" t="s">
        <v>5020</v>
      </c>
      <c r="B1209" s="2" t="s">
        <v>5021</v>
      </c>
      <c r="C1209" s="5" t="s">
        <v>2128</v>
      </c>
      <c r="D1209" s="5" t="s">
        <v>4760</v>
      </c>
      <c r="E1209" s="5" t="s">
        <v>62</v>
      </c>
      <c r="F1209" s="5" t="s">
        <v>2349</v>
      </c>
    </row>
    <row r="1210" customFormat="false" ht="23.85" hidden="false" customHeight="false" outlineLevel="0" collapsed="false">
      <c r="A1210" s="5" t="s">
        <v>5027</v>
      </c>
      <c r="B1210" s="2" t="s">
        <v>5028</v>
      </c>
      <c r="C1210" s="5" t="s">
        <v>2128</v>
      </c>
      <c r="D1210" s="5" t="s">
        <v>4760</v>
      </c>
      <c r="E1210" s="5" t="s">
        <v>62</v>
      </c>
      <c r="F1210" s="5" t="s">
        <v>2721</v>
      </c>
    </row>
    <row r="1211" customFormat="false" ht="23.85" hidden="false" customHeight="false" outlineLevel="0" collapsed="false">
      <c r="A1211" s="5" t="s">
        <v>5032</v>
      </c>
      <c r="B1211" s="2" t="s">
        <v>5033</v>
      </c>
      <c r="C1211" s="5" t="s">
        <v>2128</v>
      </c>
      <c r="D1211" s="5" t="s">
        <v>4760</v>
      </c>
      <c r="E1211" s="5" t="s">
        <v>62</v>
      </c>
      <c r="F1211" s="5" t="s">
        <v>8217</v>
      </c>
    </row>
    <row r="1212" customFormat="false" ht="23.85" hidden="false" customHeight="false" outlineLevel="0" collapsed="false">
      <c r="A1212" s="5" t="s">
        <v>5032</v>
      </c>
      <c r="B1212" s="2" t="s">
        <v>5033</v>
      </c>
      <c r="C1212" s="5" t="s">
        <v>2128</v>
      </c>
      <c r="D1212" s="5" t="s">
        <v>4760</v>
      </c>
      <c r="E1212" s="5" t="s">
        <v>62</v>
      </c>
      <c r="F1212" s="5" t="s">
        <v>2349</v>
      </c>
    </row>
    <row r="1213" customFormat="false" ht="23.85" hidden="false" customHeight="false" outlineLevel="0" collapsed="false">
      <c r="A1213" s="5" t="s">
        <v>5039</v>
      </c>
      <c r="B1213" s="2" t="s">
        <v>5040</v>
      </c>
      <c r="C1213" s="5" t="s">
        <v>2128</v>
      </c>
      <c r="D1213" s="5" t="s">
        <v>4760</v>
      </c>
      <c r="E1213" s="5" t="s">
        <v>62</v>
      </c>
      <c r="F1213" s="5" t="s">
        <v>2721</v>
      </c>
    </row>
    <row r="1214" customFormat="false" ht="23.85" hidden="false" customHeight="false" outlineLevel="0" collapsed="false">
      <c r="A1214" s="5" t="s">
        <v>5046</v>
      </c>
      <c r="B1214" s="2" t="s">
        <v>5047</v>
      </c>
      <c r="C1214" s="5" t="s">
        <v>2128</v>
      </c>
      <c r="D1214" s="5" t="s">
        <v>4760</v>
      </c>
      <c r="E1214" s="5" t="s">
        <v>62</v>
      </c>
      <c r="F1214" s="5" t="s">
        <v>8217</v>
      </c>
    </row>
    <row r="1215" customFormat="false" ht="23.85" hidden="false" customHeight="false" outlineLevel="0" collapsed="false">
      <c r="A1215" s="5" t="s">
        <v>5046</v>
      </c>
      <c r="B1215" s="2" t="s">
        <v>5047</v>
      </c>
      <c r="C1215" s="5" t="s">
        <v>2128</v>
      </c>
      <c r="D1215" s="5" t="s">
        <v>4760</v>
      </c>
      <c r="E1215" s="5" t="s">
        <v>62</v>
      </c>
      <c r="F1215" s="5" t="s">
        <v>2349</v>
      </c>
    </row>
    <row r="1216" customFormat="false" ht="15" hidden="false" customHeight="false" outlineLevel="0" collapsed="false">
      <c r="A1216" s="5" t="s">
        <v>5053</v>
      </c>
      <c r="B1216" s="2" t="s">
        <v>5054</v>
      </c>
      <c r="C1216" s="5" t="s">
        <v>2128</v>
      </c>
      <c r="D1216" s="5" t="s">
        <v>4760</v>
      </c>
      <c r="E1216" s="5" t="s">
        <v>62</v>
      </c>
      <c r="F1216" s="5" t="s">
        <v>2721</v>
      </c>
    </row>
    <row r="1217" customFormat="false" ht="23.85" hidden="false" customHeight="false" outlineLevel="0" collapsed="false">
      <c r="A1217" s="5" t="s">
        <v>5058</v>
      </c>
      <c r="B1217" s="2" t="s">
        <v>5059</v>
      </c>
      <c r="C1217" s="5" t="s">
        <v>2128</v>
      </c>
      <c r="D1217" s="5" t="s">
        <v>4760</v>
      </c>
      <c r="E1217" s="5" t="s">
        <v>62</v>
      </c>
      <c r="F1217" s="5" t="s">
        <v>8217</v>
      </c>
    </row>
    <row r="1218" customFormat="false" ht="23.85" hidden="false" customHeight="false" outlineLevel="0" collapsed="false">
      <c r="A1218" s="5" t="s">
        <v>5058</v>
      </c>
      <c r="B1218" s="2" t="s">
        <v>5059</v>
      </c>
      <c r="C1218" s="5" t="s">
        <v>2128</v>
      </c>
      <c r="D1218" s="5" t="s">
        <v>4760</v>
      </c>
      <c r="E1218" s="5" t="s">
        <v>62</v>
      </c>
      <c r="F1218" s="5" t="s">
        <v>2349</v>
      </c>
    </row>
    <row r="1219" customFormat="false" ht="23.85" hidden="false" customHeight="false" outlineLevel="0" collapsed="false">
      <c r="A1219" s="5" t="s">
        <v>5065</v>
      </c>
      <c r="B1219" s="2" t="s">
        <v>5066</v>
      </c>
      <c r="C1219" s="5" t="s">
        <v>2128</v>
      </c>
      <c r="D1219" s="5" t="s">
        <v>4760</v>
      </c>
      <c r="E1219" s="5" t="s">
        <v>62</v>
      </c>
      <c r="F1219" s="5" t="s">
        <v>2721</v>
      </c>
    </row>
    <row r="1220" customFormat="false" ht="23.85" hidden="false" customHeight="false" outlineLevel="0" collapsed="false">
      <c r="A1220" s="5" t="s">
        <v>5070</v>
      </c>
      <c r="B1220" s="2" t="s">
        <v>5071</v>
      </c>
      <c r="C1220" s="5" t="s">
        <v>2128</v>
      </c>
      <c r="D1220" s="5" t="s">
        <v>4760</v>
      </c>
      <c r="E1220" s="5" t="s">
        <v>62</v>
      </c>
      <c r="F1220" s="5" t="s">
        <v>8217</v>
      </c>
    </row>
    <row r="1221" customFormat="false" ht="23.85" hidden="false" customHeight="false" outlineLevel="0" collapsed="false">
      <c r="A1221" s="5" t="s">
        <v>5070</v>
      </c>
      <c r="B1221" s="2" t="s">
        <v>5071</v>
      </c>
      <c r="C1221" s="5" t="s">
        <v>2128</v>
      </c>
      <c r="D1221" s="5" t="s">
        <v>4760</v>
      </c>
      <c r="E1221" s="5" t="s">
        <v>62</v>
      </c>
      <c r="F1221" s="5" t="s">
        <v>2349</v>
      </c>
    </row>
    <row r="1222" customFormat="false" ht="23.85" hidden="false" customHeight="false" outlineLevel="0" collapsed="false">
      <c r="A1222" s="5" t="s">
        <v>5077</v>
      </c>
      <c r="B1222" s="2" t="s">
        <v>5078</v>
      </c>
      <c r="C1222" s="5" t="s">
        <v>2128</v>
      </c>
      <c r="D1222" s="5" t="s">
        <v>4760</v>
      </c>
      <c r="E1222" s="5" t="s">
        <v>62</v>
      </c>
      <c r="F1222" s="5" t="s">
        <v>2721</v>
      </c>
    </row>
    <row r="1223" customFormat="false" ht="23.85" hidden="false" customHeight="false" outlineLevel="0" collapsed="false">
      <c r="A1223" s="5" t="s">
        <v>5082</v>
      </c>
      <c r="B1223" s="2" t="s">
        <v>5083</v>
      </c>
      <c r="C1223" s="5" t="s">
        <v>2128</v>
      </c>
      <c r="D1223" s="5" t="s">
        <v>4760</v>
      </c>
      <c r="E1223" s="5" t="s">
        <v>62</v>
      </c>
      <c r="F1223" s="5" t="s">
        <v>8217</v>
      </c>
    </row>
    <row r="1224" customFormat="false" ht="23.85" hidden="false" customHeight="false" outlineLevel="0" collapsed="false">
      <c r="A1224" s="5" t="s">
        <v>5082</v>
      </c>
      <c r="B1224" s="2" t="s">
        <v>5083</v>
      </c>
      <c r="C1224" s="5" t="s">
        <v>2128</v>
      </c>
      <c r="D1224" s="5" t="s">
        <v>4760</v>
      </c>
      <c r="E1224" s="5" t="s">
        <v>62</v>
      </c>
      <c r="F1224" s="5" t="s">
        <v>2349</v>
      </c>
    </row>
    <row r="1225" customFormat="false" ht="23.85" hidden="false" customHeight="false" outlineLevel="0" collapsed="false">
      <c r="A1225" s="5" t="s">
        <v>5089</v>
      </c>
      <c r="B1225" s="2" t="s">
        <v>5090</v>
      </c>
      <c r="C1225" s="5" t="s">
        <v>2128</v>
      </c>
      <c r="D1225" s="5" t="s">
        <v>4760</v>
      </c>
      <c r="E1225" s="5" t="s">
        <v>62</v>
      </c>
      <c r="F1225" s="5" t="s">
        <v>8217</v>
      </c>
    </row>
    <row r="1226" customFormat="false" ht="23.85" hidden="false" customHeight="false" outlineLevel="0" collapsed="false">
      <c r="A1226" s="5" t="s">
        <v>5089</v>
      </c>
      <c r="B1226" s="2" t="s">
        <v>5090</v>
      </c>
      <c r="C1226" s="5" t="s">
        <v>2128</v>
      </c>
      <c r="D1226" s="5" t="s">
        <v>4760</v>
      </c>
      <c r="E1226" s="5" t="s">
        <v>62</v>
      </c>
      <c r="F1226" s="5" t="s">
        <v>2349</v>
      </c>
    </row>
    <row r="1227" customFormat="false" ht="23.85" hidden="false" customHeight="false" outlineLevel="0" collapsed="false">
      <c r="A1227" s="5" t="s">
        <v>5095</v>
      </c>
      <c r="B1227" s="2" t="s">
        <v>5096</v>
      </c>
      <c r="C1227" s="5" t="s">
        <v>2128</v>
      </c>
      <c r="D1227" s="5" t="s">
        <v>4760</v>
      </c>
      <c r="E1227" s="5" t="s">
        <v>62</v>
      </c>
      <c r="F1227" s="5" t="s">
        <v>2721</v>
      </c>
    </row>
    <row r="1228" customFormat="false" ht="23.85" hidden="false" customHeight="false" outlineLevel="0" collapsed="false">
      <c r="A1228" s="5" t="s">
        <v>5100</v>
      </c>
      <c r="B1228" s="2" t="s">
        <v>5101</v>
      </c>
      <c r="C1228" s="5" t="s">
        <v>2128</v>
      </c>
      <c r="D1228" s="5" t="s">
        <v>4760</v>
      </c>
      <c r="E1228" s="5" t="s">
        <v>62</v>
      </c>
      <c r="F1228" s="5" t="s">
        <v>8217</v>
      </c>
    </row>
    <row r="1229" customFormat="false" ht="23.85" hidden="false" customHeight="false" outlineLevel="0" collapsed="false">
      <c r="A1229" s="5" t="s">
        <v>5100</v>
      </c>
      <c r="B1229" s="2" t="s">
        <v>5101</v>
      </c>
      <c r="C1229" s="5" t="s">
        <v>2128</v>
      </c>
      <c r="D1229" s="5" t="s">
        <v>4760</v>
      </c>
      <c r="E1229" s="5" t="s">
        <v>62</v>
      </c>
      <c r="F1229" s="5" t="s">
        <v>2349</v>
      </c>
    </row>
    <row r="1230" customFormat="false" ht="23.85" hidden="false" customHeight="false" outlineLevel="0" collapsed="false">
      <c r="A1230" s="5" t="s">
        <v>5106</v>
      </c>
      <c r="B1230" s="2" t="s">
        <v>5107</v>
      </c>
      <c r="C1230" s="5" t="s">
        <v>2128</v>
      </c>
      <c r="D1230" s="5" t="s">
        <v>4760</v>
      </c>
      <c r="E1230" s="5" t="s">
        <v>62</v>
      </c>
      <c r="F1230" s="5" t="s">
        <v>8217</v>
      </c>
    </row>
    <row r="1231" customFormat="false" ht="23.85" hidden="false" customHeight="false" outlineLevel="0" collapsed="false">
      <c r="A1231" s="5" t="s">
        <v>5106</v>
      </c>
      <c r="B1231" s="2" t="s">
        <v>5107</v>
      </c>
      <c r="C1231" s="5" t="s">
        <v>2128</v>
      </c>
      <c r="D1231" s="5" t="s">
        <v>4760</v>
      </c>
      <c r="E1231" s="5" t="s">
        <v>62</v>
      </c>
      <c r="F1231" s="5" t="s">
        <v>2349</v>
      </c>
    </row>
    <row r="1232" customFormat="false" ht="23.85" hidden="false" customHeight="false" outlineLevel="0" collapsed="false">
      <c r="A1232" s="5" t="s">
        <v>5106</v>
      </c>
      <c r="B1232" s="2" t="s">
        <v>5107</v>
      </c>
      <c r="C1232" s="5" t="s">
        <v>2128</v>
      </c>
      <c r="D1232" s="5" t="s">
        <v>4760</v>
      </c>
      <c r="E1232" s="5" t="s">
        <v>62</v>
      </c>
      <c r="F1232" s="5" t="s">
        <v>8263</v>
      </c>
    </row>
    <row r="1233" customFormat="false" ht="23.85" hidden="false" customHeight="false" outlineLevel="0" collapsed="false">
      <c r="A1233" s="5" t="s">
        <v>5113</v>
      </c>
      <c r="B1233" s="2" t="s">
        <v>5114</v>
      </c>
      <c r="C1233" s="5" t="s">
        <v>2128</v>
      </c>
      <c r="D1233" s="5" t="s">
        <v>4760</v>
      </c>
      <c r="E1233" s="5" t="s">
        <v>62</v>
      </c>
      <c r="F1233" s="5" t="s">
        <v>2721</v>
      </c>
    </row>
    <row r="1234" customFormat="false" ht="23.85" hidden="false" customHeight="false" outlineLevel="0" collapsed="false">
      <c r="A1234" s="5" t="s">
        <v>5118</v>
      </c>
      <c r="B1234" s="2" t="s">
        <v>5119</v>
      </c>
      <c r="C1234" s="5" t="s">
        <v>2128</v>
      </c>
      <c r="D1234" s="5" t="s">
        <v>4760</v>
      </c>
      <c r="E1234" s="5" t="s">
        <v>62</v>
      </c>
      <c r="F1234" s="5" t="s">
        <v>8217</v>
      </c>
    </row>
    <row r="1235" customFormat="false" ht="23.85" hidden="false" customHeight="false" outlineLevel="0" collapsed="false">
      <c r="A1235" s="5" t="s">
        <v>5118</v>
      </c>
      <c r="B1235" s="2" t="s">
        <v>5119</v>
      </c>
      <c r="C1235" s="5" t="s">
        <v>2128</v>
      </c>
      <c r="D1235" s="5" t="s">
        <v>4760</v>
      </c>
      <c r="E1235" s="5" t="s">
        <v>62</v>
      </c>
      <c r="F1235" s="5" t="s">
        <v>2349</v>
      </c>
    </row>
    <row r="1236" customFormat="false" ht="23.85" hidden="false" customHeight="false" outlineLevel="0" collapsed="false">
      <c r="A1236" s="5" t="s">
        <v>5124</v>
      </c>
      <c r="B1236" s="2" t="s">
        <v>5125</v>
      </c>
      <c r="C1236" s="5" t="s">
        <v>2128</v>
      </c>
      <c r="D1236" s="5" t="s">
        <v>4760</v>
      </c>
      <c r="E1236" s="5" t="s">
        <v>62</v>
      </c>
      <c r="F1236" s="5" t="s">
        <v>2721</v>
      </c>
    </row>
    <row r="1237" customFormat="false" ht="23.85" hidden="false" customHeight="false" outlineLevel="0" collapsed="false">
      <c r="A1237" s="5" t="s">
        <v>5129</v>
      </c>
      <c r="B1237" s="2" t="s">
        <v>5130</v>
      </c>
      <c r="C1237" s="5" t="s">
        <v>2128</v>
      </c>
      <c r="D1237" s="5" t="s">
        <v>4760</v>
      </c>
      <c r="E1237" s="5" t="s">
        <v>62</v>
      </c>
      <c r="F1237" s="5" t="s">
        <v>8217</v>
      </c>
    </row>
    <row r="1238" customFormat="false" ht="23.85" hidden="false" customHeight="false" outlineLevel="0" collapsed="false">
      <c r="A1238" s="5" t="s">
        <v>5129</v>
      </c>
      <c r="B1238" s="2" t="s">
        <v>5130</v>
      </c>
      <c r="C1238" s="5" t="s">
        <v>2128</v>
      </c>
      <c r="D1238" s="5" t="s">
        <v>4760</v>
      </c>
      <c r="E1238" s="5" t="s">
        <v>62</v>
      </c>
      <c r="F1238" s="5" t="s">
        <v>2349</v>
      </c>
    </row>
    <row r="1239" customFormat="false" ht="23.85" hidden="false" customHeight="false" outlineLevel="0" collapsed="false">
      <c r="A1239" s="5" t="s">
        <v>5135</v>
      </c>
      <c r="B1239" s="2" t="s">
        <v>5136</v>
      </c>
      <c r="C1239" s="5" t="s">
        <v>2128</v>
      </c>
      <c r="D1239" s="5" t="s">
        <v>4760</v>
      </c>
      <c r="E1239" s="5" t="s">
        <v>490</v>
      </c>
      <c r="F1239" s="5" t="s">
        <v>2721</v>
      </c>
    </row>
    <row r="1240" customFormat="false" ht="23.85" hidden="false" customHeight="false" outlineLevel="0" collapsed="false">
      <c r="A1240" s="5" t="s">
        <v>5141</v>
      </c>
      <c r="B1240" s="2" t="s">
        <v>5142</v>
      </c>
      <c r="C1240" s="5" t="s">
        <v>2128</v>
      </c>
      <c r="D1240" s="5" t="s">
        <v>4760</v>
      </c>
      <c r="E1240" s="5" t="s">
        <v>490</v>
      </c>
      <c r="F1240" s="5" t="s">
        <v>8217</v>
      </c>
    </row>
    <row r="1241" customFormat="false" ht="23.85" hidden="false" customHeight="false" outlineLevel="0" collapsed="false">
      <c r="A1241" s="5" t="s">
        <v>5141</v>
      </c>
      <c r="B1241" s="2" t="s">
        <v>5142</v>
      </c>
      <c r="C1241" s="5" t="s">
        <v>2128</v>
      </c>
      <c r="D1241" s="5" t="s">
        <v>4760</v>
      </c>
      <c r="E1241" s="5" t="s">
        <v>490</v>
      </c>
      <c r="F1241" s="5" t="s">
        <v>2349</v>
      </c>
    </row>
    <row r="1242" customFormat="false" ht="23.85" hidden="false" customHeight="false" outlineLevel="0" collapsed="false">
      <c r="A1242" s="5" t="s">
        <v>5147</v>
      </c>
      <c r="B1242" s="2" t="s">
        <v>5148</v>
      </c>
      <c r="C1242" s="5" t="s">
        <v>2128</v>
      </c>
      <c r="D1242" s="5" t="s">
        <v>4760</v>
      </c>
      <c r="E1242" s="5" t="s">
        <v>490</v>
      </c>
      <c r="F1242" s="5" t="s">
        <v>2721</v>
      </c>
    </row>
    <row r="1243" customFormat="false" ht="23.85" hidden="false" customHeight="false" outlineLevel="0" collapsed="false">
      <c r="A1243" s="5" t="s">
        <v>5152</v>
      </c>
      <c r="B1243" s="2" t="s">
        <v>5153</v>
      </c>
      <c r="C1243" s="5" t="s">
        <v>2128</v>
      </c>
      <c r="D1243" s="5" t="s">
        <v>4760</v>
      </c>
      <c r="E1243" s="5" t="s">
        <v>490</v>
      </c>
      <c r="F1243" s="5" t="s">
        <v>8217</v>
      </c>
    </row>
    <row r="1244" customFormat="false" ht="23.85" hidden="false" customHeight="false" outlineLevel="0" collapsed="false">
      <c r="A1244" s="5" t="s">
        <v>5152</v>
      </c>
      <c r="B1244" s="2" t="s">
        <v>5153</v>
      </c>
      <c r="C1244" s="5" t="s">
        <v>2128</v>
      </c>
      <c r="D1244" s="5" t="s">
        <v>4760</v>
      </c>
      <c r="E1244" s="5" t="s">
        <v>490</v>
      </c>
      <c r="F1244" s="5" t="s">
        <v>2349</v>
      </c>
    </row>
    <row r="1245" customFormat="false" ht="23.85" hidden="false" customHeight="false" outlineLevel="0" collapsed="false">
      <c r="A1245" s="5" t="s">
        <v>5158</v>
      </c>
      <c r="B1245" s="2" t="s">
        <v>5159</v>
      </c>
      <c r="C1245" s="5" t="s">
        <v>2128</v>
      </c>
      <c r="D1245" s="5" t="s">
        <v>4760</v>
      </c>
      <c r="E1245" s="5" t="s">
        <v>62</v>
      </c>
      <c r="F1245" s="5" t="s">
        <v>2721</v>
      </c>
    </row>
    <row r="1246" customFormat="false" ht="23.85" hidden="false" customHeight="false" outlineLevel="0" collapsed="false">
      <c r="A1246" s="5" t="s">
        <v>5163</v>
      </c>
      <c r="B1246" s="2" t="s">
        <v>5164</v>
      </c>
      <c r="C1246" s="5" t="s">
        <v>2128</v>
      </c>
      <c r="D1246" s="5" t="s">
        <v>4760</v>
      </c>
      <c r="E1246" s="5" t="s">
        <v>62</v>
      </c>
      <c r="F1246" s="5" t="s">
        <v>8217</v>
      </c>
    </row>
    <row r="1247" customFormat="false" ht="23.85" hidden="false" customHeight="false" outlineLevel="0" collapsed="false">
      <c r="A1247" s="5" t="s">
        <v>5163</v>
      </c>
      <c r="B1247" s="2" t="s">
        <v>5164</v>
      </c>
      <c r="C1247" s="5" t="s">
        <v>2128</v>
      </c>
      <c r="D1247" s="5" t="s">
        <v>4760</v>
      </c>
      <c r="E1247" s="5" t="s">
        <v>62</v>
      </c>
      <c r="F1247" s="5" t="s">
        <v>2349</v>
      </c>
    </row>
    <row r="1248" customFormat="false" ht="23.85" hidden="false" customHeight="false" outlineLevel="0" collapsed="false">
      <c r="A1248" s="5" t="s">
        <v>5170</v>
      </c>
      <c r="B1248" s="2" t="s">
        <v>5171</v>
      </c>
      <c r="C1248" s="5" t="s">
        <v>2128</v>
      </c>
      <c r="D1248" s="5" t="s">
        <v>4760</v>
      </c>
      <c r="E1248" s="5" t="s">
        <v>490</v>
      </c>
      <c r="F1248" s="5" t="s">
        <v>8217</v>
      </c>
    </row>
    <row r="1249" customFormat="false" ht="23.85" hidden="false" customHeight="false" outlineLevel="0" collapsed="false">
      <c r="A1249" s="5" t="s">
        <v>5170</v>
      </c>
      <c r="B1249" s="2" t="s">
        <v>5171</v>
      </c>
      <c r="C1249" s="5" t="s">
        <v>2128</v>
      </c>
      <c r="D1249" s="5" t="s">
        <v>4760</v>
      </c>
      <c r="E1249" s="5" t="s">
        <v>490</v>
      </c>
      <c r="F1249" s="5" t="s">
        <v>2349</v>
      </c>
    </row>
    <row r="1250" customFormat="false" ht="23.85" hidden="false" customHeight="false" outlineLevel="0" collapsed="false">
      <c r="A1250" s="5" t="s">
        <v>5176</v>
      </c>
      <c r="B1250" s="2" t="s">
        <v>5177</v>
      </c>
      <c r="C1250" s="5" t="s">
        <v>2128</v>
      </c>
      <c r="D1250" s="5" t="s">
        <v>4760</v>
      </c>
      <c r="E1250" s="5" t="s">
        <v>490</v>
      </c>
      <c r="F1250" s="5" t="s">
        <v>2721</v>
      </c>
    </row>
    <row r="1251" customFormat="false" ht="23.85" hidden="false" customHeight="false" outlineLevel="0" collapsed="false">
      <c r="A1251" s="5" t="s">
        <v>5181</v>
      </c>
      <c r="B1251" s="2" t="s">
        <v>5182</v>
      </c>
      <c r="C1251" s="5" t="s">
        <v>2128</v>
      </c>
      <c r="D1251" s="5" t="s">
        <v>4760</v>
      </c>
      <c r="E1251" s="5" t="s">
        <v>62</v>
      </c>
      <c r="F1251" s="5" t="s">
        <v>2721</v>
      </c>
    </row>
    <row r="1252" customFormat="false" ht="23.85" hidden="false" customHeight="false" outlineLevel="0" collapsed="false">
      <c r="A1252" s="5" t="s">
        <v>5186</v>
      </c>
      <c r="B1252" s="2" t="s">
        <v>5187</v>
      </c>
      <c r="C1252" s="5" t="s">
        <v>2128</v>
      </c>
      <c r="D1252" s="5" t="s">
        <v>4760</v>
      </c>
      <c r="E1252" s="5" t="s">
        <v>62</v>
      </c>
      <c r="F1252" s="5" t="s">
        <v>8217</v>
      </c>
    </row>
    <row r="1253" customFormat="false" ht="23.85" hidden="false" customHeight="false" outlineLevel="0" collapsed="false">
      <c r="A1253" s="5" t="s">
        <v>5186</v>
      </c>
      <c r="B1253" s="2" t="s">
        <v>5187</v>
      </c>
      <c r="C1253" s="5" t="s">
        <v>2128</v>
      </c>
      <c r="D1253" s="5" t="s">
        <v>4760</v>
      </c>
      <c r="E1253" s="5" t="s">
        <v>62</v>
      </c>
      <c r="F1253" s="5" t="s">
        <v>2349</v>
      </c>
    </row>
    <row r="1254" customFormat="false" ht="35.05" hidden="false" customHeight="false" outlineLevel="0" collapsed="false">
      <c r="A1254" s="5" t="s">
        <v>5193</v>
      </c>
      <c r="B1254" s="2" t="s">
        <v>5194</v>
      </c>
      <c r="C1254" s="5" t="s">
        <v>2128</v>
      </c>
      <c r="D1254" s="5" t="s">
        <v>4760</v>
      </c>
      <c r="E1254" s="5" t="s">
        <v>62</v>
      </c>
      <c r="F1254" s="5" t="s">
        <v>8217</v>
      </c>
    </row>
    <row r="1255" customFormat="false" ht="35.05" hidden="false" customHeight="false" outlineLevel="0" collapsed="false">
      <c r="A1255" s="5" t="s">
        <v>5193</v>
      </c>
      <c r="B1255" s="2" t="s">
        <v>5194</v>
      </c>
      <c r="C1255" s="5" t="s">
        <v>2128</v>
      </c>
      <c r="D1255" s="5" t="s">
        <v>4760</v>
      </c>
      <c r="E1255" s="5" t="s">
        <v>62</v>
      </c>
      <c r="F1255" s="5" t="s">
        <v>2349</v>
      </c>
    </row>
    <row r="1256" customFormat="false" ht="23.85" hidden="false" customHeight="false" outlineLevel="0" collapsed="false">
      <c r="A1256" s="5" t="s">
        <v>5199</v>
      </c>
      <c r="B1256" s="2" t="s">
        <v>5200</v>
      </c>
      <c r="C1256" s="5" t="s">
        <v>2128</v>
      </c>
      <c r="D1256" s="5" t="s">
        <v>4760</v>
      </c>
      <c r="E1256" s="5" t="s">
        <v>62</v>
      </c>
      <c r="F1256" s="5" t="s">
        <v>2721</v>
      </c>
    </row>
    <row r="1257" customFormat="false" ht="23.85" hidden="false" customHeight="false" outlineLevel="0" collapsed="false">
      <c r="A1257" s="5" t="s">
        <v>5204</v>
      </c>
      <c r="B1257" s="2" t="s">
        <v>5205</v>
      </c>
      <c r="C1257" s="5" t="s">
        <v>2128</v>
      </c>
      <c r="D1257" s="5" t="s">
        <v>4760</v>
      </c>
      <c r="E1257" s="5" t="s">
        <v>62</v>
      </c>
      <c r="F1257" s="5" t="s">
        <v>8217</v>
      </c>
    </row>
    <row r="1258" customFormat="false" ht="23.85" hidden="false" customHeight="false" outlineLevel="0" collapsed="false">
      <c r="A1258" s="5" t="s">
        <v>5204</v>
      </c>
      <c r="B1258" s="2" t="s">
        <v>5205</v>
      </c>
      <c r="C1258" s="5" t="s">
        <v>2128</v>
      </c>
      <c r="D1258" s="5" t="s">
        <v>4760</v>
      </c>
      <c r="E1258" s="5" t="s">
        <v>62</v>
      </c>
      <c r="F1258" s="5" t="s">
        <v>2349</v>
      </c>
    </row>
    <row r="1259" customFormat="false" ht="23.85" hidden="false" customHeight="false" outlineLevel="0" collapsed="false">
      <c r="A1259" s="5" t="s">
        <v>5211</v>
      </c>
      <c r="B1259" s="2" t="s">
        <v>5212</v>
      </c>
      <c r="C1259" s="5" t="s">
        <v>2128</v>
      </c>
      <c r="D1259" s="5" t="s">
        <v>4760</v>
      </c>
      <c r="E1259" s="5" t="s">
        <v>62</v>
      </c>
      <c r="F1259" s="5" t="s">
        <v>8217</v>
      </c>
    </row>
    <row r="1260" customFormat="false" ht="23.85" hidden="false" customHeight="false" outlineLevel="0" collapsed="false">
      <c r="A1260" s="5" t="s">
        <v>5211</v>
      </c>
      <c r="B1260" s="2" t="s">
        <v>5212</v>
      </c>
      <c r="C1260" s="5" t="s">
        <v>2128</v>
      </c>
      <c r="D1260" s="5" t="s">
        <v>4760</v>
      </c>
      <c r="E1260" s="5" t="s">
        <v>62</v>
      </c>
      <c r="F1260" s="5" t="s">
        <v>2349</v>
      </c>
    </row>
    <row r="1261" customFormat="false" ht="15" hidden="false" customHeight="false" outlineLevel="0" collapsed="false">
      <c r="A1261" s="5" t="s">
        <v>5218</v>
      </c>
      <c r="B1261" s="2" t="s">
        <v>5219</v>
      </c>
      <c r="C1261" s="5" t="s">
        <v>2128</v>
      </c>
      <c r="D1261" s="5" t="s">
        <v>4760</v>
      </c>
      <c r="E1261" s="5" t="s">
        <v>62</v>
      </c>
      <c r="F1261" s="5" t="s">
        <v>8217</v>
      </c>
    </row>
    <row r="1262" customFormat="false" ht="15" hidden="false" customHeight="false" outlineLevel="0" collapsed="false">
      <c r="A1262" s="5" t="s">
        <v>5218</v>
      </c>
      <c r="B1262" s="2" t="s">
        <v>5219</v>
      </c>
      <c r="C1262" s="5" t="s">
        <v>2128</v>
      </c>
      <c r="D1262" s="5" t="s">
        <v>4760</v>
      </c>
      <c r="E1262" s="5" t="s">
        <v>62</v>
      </c>
      <c r="F1262" s="5" t="s">
        <v>2349</v>
      </c>
    </row>
    <row r="1263" customFormat="false" ht="23.85" hidden="false" customHeight="false" outlineLevel="0" collapsed="false">
      <c r="A1263" s="5" t="s">
        <v>5224</v>
      </c>
      <c r="B1263" s="2" t="s">
        <v>5225</v>
      </c>
      <c r="C1263" s="5" t="s">
        <v>2128</v>
      </c>
      <c r="D1263" s="5" t="s">
        <v>4760</v>
      </c>
      <c r="E1263" s="5" t="s">
        <v>62</v>
      </c>
      <c r="F1263" s="5" t="s">
        <v>8217</v>
      </c>
    </row>
    <row r="1264" customFormat="false" ht="23.85" hidden="false" customHeight="false" outlineLevel="0" collapsed="false">
      <c r="A1264" s="5" t="s">
        <v>5224</v>
      </c>
      <c r="B1264" s="2" t="s">
        <v>5225</v>
      </c>
      <c r="C1264" s="5" t="s">
        <v>2128</v>
      </c>
      <c r="D1264" s="5" t="s">
        <v>4760</v>
      </c>
      <c r="E1264" s="5" t="s">
        <v>62</v>
      </c>
      <c r="F1264" s="5" t="s">
        <v>2349</v>
      </c>
    </row>
    <row r="1265" customFormat="false" ht="23.85" hidden="false" customHeight="false" outlineLevel="0" collapsed="false">
      <c r="A1265" s="5" t="s">
        <v>5230</v>
      </c>
      <c r="B1265" s="2" t="s">
        <v>5231</v>
      </c>
      <c r="C1265" s="5" t="s">
        <v>2245</v>
      </c>
      <c r="D1265" s="5" t="s">
        <v>4760</v>
      </c>
      <c r="E1265" s="5" t="s">
        <v>62</v>
      </c>
      <c r="F1265" s="5" t="s">
        <v>8217</v>
      </c>
    </row>
    <row r="1266" customFormat="false" ht="23.85" hidden="false" customHeight="false" outlineLevel="0" collapsed="false">
      <c r="A1266" s="5" t="s">
        <v>5230</v>
      </c>
      <c r="B1266" s="2" t="s">
        <v>5231</v>
      </c>
      <c r="C1266" s="5" t="s">
        <v>2245</v>
      </c>
      <c r="D1266" s="5" t="s">
        <v>4760</v>
      </c>
      <c r="E1266" s="5" t="s">
        <v>62</v>
      </c>
      <c r="F1266" s="5" t="s">
        <v>2349</v>
      </c>
    </row>
    <row r="1267" customFormat="false" ht="23.85" hidden="false" customHeight="false" outlineLevel="0" collapsed="false">
      <c r="A1267" s="5" t="s">
        <v>5236</v>
      </c>
      <c r="B1267" s="2" t="s">
        <v>5237</v>
      </c>
      <c r="C1267" s="5" t="s">
        <v>2128</v>
      </c>
      <c r="D1267" s="5" t="s">
        <v>4760</v>
      </c>
      <c r="E1267" s="5" t="s">
        <v>62</v>
      </c>
      <c r="F1267" s="5" t="s">
        <v>8217</v>
      </c>
    </row>
    <row r="1268" customFormat="false" ht="23.85" hidden="false" customHeight="false" outlineLevel="0" collapsed="false">
      <c r="A1268" s="5" t="s">
        <v>5236</v>
      </c>
      <c r="B1268" s="2" t="s">
        <v>5237</v>
      </c>
      <c r="C1268" s="5" t="s">
        <v>2128</v>
      </c>
      <c r="D1268" s="5" t="s">
        <v>4760</v>
      </c>
      <c r="E1268" s="5" t="s">
        <v>62</v>
      </c>
      <c r="F1268" s="5" t="s">
        <v>2349</v>
      </c>
    </row>
    <row r="1269" customFormat="false" ht="23.85" hidden="false" customHeight="false" outlineLevel="0" collapsed="false">
      <c r="A1269" s="5" t="s">
        <v>5242</v>
      </c>
      <c r="B1269" s="2" t="s">
        <v>5243</v>
      </c>
      <c r="C1269" s="5" t="s">
        <v>2128</v>
      </c>
      <c r="D1269" s="5" t="s">
        <v>4760</v>
      </c>
      <c r="E1269" s="5" t="s">
        <v>62</v>
      </c>
      <c r="F1269" s="5" t="s">
        <v>2721</v>
      </c>
    </row>
    <row r="1270" customFormat="false" ht="23.85" hidden="false" customHeight="false" outlineLevel="0" collapsed="false">
      <c r="A1270" s="5" t="s">
        <v>5247</v>
      </c>
      <c r="B1270" s="2" t="s">
        <v>5248</v>
      </c>
      <c r="C1270" s="5" t="s">
        <v>2128</v>
      </c>
      <c r="D1270" s="5" t="s">
        <v>4760</v>
      </c>
      <c r="E1270" s="5" t="s">
        <v>62</v>
      </c>
      <c r="F1270" s="5" t="s">
        <v>8217</v>
      </c>
    </row>
    <row r="1271" customFormat="false" ht="23.85" hidden="false" customHeight="false" outlineLevel="0" collapsed="false">
      <c r="A1271" s="5" t="s">
        <v>5247</v>
      </c>
      <c r="B1271" s="2" t="s">
        <v>5248</v>
      </c>
      <c r="C1271" s="5" t="s">
        <v>2128</v>
      </c>
      <c r="D1271" s="5" t="s">
        <v>4760</v>
      </c>
      <c r="E1271" s="5" t="s">
        <v>62</v>
      </c>
      <c r="F1271" s="5" t="s">
        <v>2349</v>
      </c>
    </row>
    <row r="1272" customFormat="false" ht="23.85" hidden="false" customHeight="false" outlineLevel="0" collapsed="false">
      <c r="A1272" s="5" t="s">
        <v>5254</v>
      </c>
      <c r="B1272" s="2" t="s">
        <v>5255</v>
      </c>
      <c r="C1272" s="5" t="s">
        <v>2128</v>
      </c>
      <c r="D1272" s="5" t="s">
        <v>4760</v>
      </c>
      <c r="E1272" s="5" t="s">
        <v>62</v>
      </c>
      <c r="F1272" s="5" t="s">
        <v>2721</v>
      </c>
    </row>
    <row r="1273" customFormat="false" ht="23.85" hidden="false" customHeight="false" outlineLevel="0" collapsed="false">
      <c r="A1273" s="5" t="s">
        <v>5259</v>
      </c>
      <c r="B1273" s="2" t="s">
        <v>5260</v>
      </c>
      <c r="C1273" s="5" t="s">
        <v>2128</v>
      </c>
      <c r="D1273" s="5" t="s">
        <v>4760</v>
      </c>
      <c r="E1273" s="5" t="s">
        <v>62</v>
      </c>
      <c r="F1273" s="5" t="s">
        <v>8217</v>
      </c>
    </row>
    <row r="1274" customFormat="false" ht="23.85" hidden="false" customHeight="false" outlineLevel="0" collapsed="false">
      <c r="A1274" s="5" t="s">
        <v>5259</v>
      </c>
      <c r="B1274" s="2" t="s">
        <v>5260</v>
      </c>
      <c r="C1274" s="5" t="s">
        <v>2128</v>
      </c>
      <c r="D1274" s="5" t="s">
        <v>4760</v>
      </c>
      <c r="E1274" s="5" t="s">
        <v>62</v>
      </c>
      <c r="F1274" s="5" t="s">
        <v>2349</v>
      </c>
    </row>
    <row r="1275" customFormat="false" ht="23.85" hidden="false" customHeight="false" outlineLevel="0" collapsed="false">
      <c r="A1275" s="5" t="s">
        <v>5264</v>
      </c>
      <c r="B1275" s="2" t="s">
        <v>5265</v>
      </c>
      <c r="C1275" s="5" t="s">
        <v>2128</v>
      </c>
      <c r="D1275" s="5" t="s">
        <v>4760</v>
      </c>
      <c r="E1275" s="5" t="s">
        <v>62</v>
      </c>
      <c r="F1275" s="5" t="s">
        <v>2721</v>
      </c>
    </row>
    <row r="1276" customFormat="false" ht="23.85" hidden="false" customHeight="false" outlineLevel="0" collapsed="false">
      <c r="A1276" s="5" t="s">
        <v>5269</v>
      </c>
      <c r="B1276" s="2" t="s">
        <v>5270</v>
      </c>
      <c r="C1276" s="5" t="s">
        <v>2128</v>
      </c>
      <c r="D1276" s="5" t="s">
        <v>4760</v>
      </c>
      <c r="E1276" s="5" t="s">
        <v>62</v>
      </c>
      <c r="F1276" s="5" t="s">
        <v>8217</v>
      </c>
    </row>
    <row r="1277" customFormat="false" ht="23.85" hidden="false" customHeight="false" outlineLevel="0" collapsed="false">
      <c r="A1277" s="5" t="s">
        <v>5269</v>
      </c>
      <c r="B1277" s="2" t="s">
        <v>5270</v>
      </c>
      <c r="C1277" s="5" t="s">
        <v>2128</v>
      </c>
      <c r="D1277" s="5" t="s">
        <v>4760</v>
      </c>
      <c r="E1277" s="5" t="s">
        <v>62</v>
      </c>
      <c r="F1277" s="5" t="s">
        <v>2349</v>
      </c>
    </row>
    <row r="1278" customFormat="false" ht="23.85" hidden="false" customHeight="false" outlineLevel="0" collapsed="false">
      <c r="A1278" s="5" t="s">
        <v>5276</v>
      </c>
      <c r="B1278" s="2" t="s">
        <v>5277</v>
      </c>
      <c r="C1278" s="5" t="s">
        <v>2128</v>
      </c>
      <c r="D1278" s="5" t="s">
        <v>4760</v>
      </c>
      <c r="E1278" s="5" t="s">
        <v>62</v>
      </c>
      <c r="F1278" s="5" t="s">
        <v>8217</v>
      </c>
    </row>
    <row r="1279" customFormat="false" ht="23.85" hidden="false" customHeight="false" outlineLevel="0" collapsed="false">
      <c r="A1279" s="5" t="s">
        <v>5276</v>
      </c>
      <c r="B1279" s="2" t="s">
        <v>5277</v>
      </c>
      <c r="C1279" s="5" t="s">
        <v>2128</v>
      </c>
      <c r="D1279" s="5" t="s">
        <v>4760</v>
      </c>
      <c r="E1279" s="5" t="s">
        <v>62</v>
      </c>
      <c r="F1279" s="5" t="s">
        <v>2349</v>
      </c>
    </row>
    <row r="1280" customFormat="false" ht="23.85" hidden="false" customHeight="false" outlineLevel="0" collapsed="false">
      <c r="A1280" s="5" t="s">
        <v>5282</v>
      </c>
      <c r="B1280" s="2" t="s">
        <v>5283</v>
      </c>
      <c r="C1280" s="5" t="s">
        <v>2128</v>
      </c>
      <c r="D1280" s="5" t="s">
        <v>4760</v>
      </c>
      <c r="E1280" s="5" t="s">
        <v>62</v>
      </c>
      <c r="F1280" s="5" t="s">
        <v>8217</v>
      </c>
    </row>
    <row r="1281" customFormat="false" ht="23.85" hidden="false" customHeight="false" outlineLevel="0" collapsed="false">
      <c r="A1281" s="5" t="s">
        <v>5282</v>
      </c>
      <c r="B1281" s="2" t="s">
        <v>5283</v>
      </c>
      <c r="C1281" s="5" t="s">
        <v>2128</v>
      </c>
      <c r="D1281" s="5" t="s">
        <v>4760</v>
      </c>
      <c r="E1281" s="5" t="s">
        <v>62</v>
      </c>
      <c r="F1281" s="5" t="s">
        <v>2349</v>
      </c>
    </row>
    <row r="1282" customFormat="false" ht="23.85" hidden="false" customHeight="false" outlineLevel="0" collapsed="false">
      <c r="A1282" s="5" t="s">
        <v>5289</v>
      </c>
      <c r="B1282" s="2" t="s">
        <v>5290</v>
      </c>
      <c r="C1282" s="5" t="s">
        <v>2128</v>
      </c>
      <c r="D1282" s="5" t="s">
        <v>4760</v>
      </c>
      <c r="E1282" s="5" t="s">
        <v>490</v>
      </c>
      <c r="F1282" s="5" t="s">
        <v>8217</v>
      </c>
    </row>
    <row r="1283" customFormat="false" ht="23.85" hidden="false" customHeight="false" outlineLevel="0" collapsed="false">
      <c r="A1283" s="5" t="s">
        <v>5289</v>
      </c>
      <c r="B1283" s="2" t="s">
        <v>5290</v>
      </c>
      <c r="C1283" s="5" t="s">
        <v>2128</v>
      </c>
      <c r="D1283" s="5" t="s">
        <v>4760</v>
      </c>
      <c r="E1283" s="5" t="s">
        <v>490</v>
      </c>
      <c r="F1283" s="5" t="s">
        <v>2349</v>
      </c>
    </row>
    <row r="1284" customFormat="false" ht="23.85" hidden="false" customHeight="false" outlineLevel="0" collapsed="false">
      <c r="A1284" s="5" t="s">
        <v>5297</v>
      </c>
      <c r="B1284" s="2" t="s">
        <v>5298</v>
      </c>
      <c r="C1284" s="5" t="s">
        <v>2128</v>
      </c>
      <c r="D1284" s="5" t="s">
        <v>4760</v>
      </c>
      <c r="E1284" s="5" t="s">
        <v>62</v>
      </c>
      <c r="F1284" s="5" t="s">
        <v>8251</v>
      </c>
    </row>
    <row r="1285" customFormat="false" ht="23.85" hidden="false" customHeight="false" outlineLevel="0" collapsed="false">
      <c r="A1285" s="5" t="s">
        <v>5297</v>
      </c>
      <c r="B1285" s="2" t="s">
        <v>5298</v>
      </c>
      <c r="C1285" s="5" t="s">
        <v>2128</v>
      </c>
      <c r="D1285" s="5" t="s">
        <v>4760</v>
      </c>
      <c r="E1285" s="5" t="s">
        <v>62</v>
      </c>
      <c r="F1285" s="5" t="s">
        <v>8252</v>
      </c>
    </row>
    <row r="1286" customFormat="false" ht="23.85" hidden="false" customHeight="false" outlineLevel="0" collapsed="false">
      <c r="A1286" s="5" t="s">
        <v>5297</v>
      </c>
      <c r="B1286" s="2" t="s">
        <v>5298</v>
      </c>
      <c r="C1286" s="5" t="s">
        <v>2128</v>
      </c>
      <c r="D1286" s="5" t="s">
        <v>4760</v>
      </c>
      <c r="E1286" s="5" t="s">
        <v>62</v>
      </c>
      <c r="F1286" s="5" t="s">
        <v>8253</v>
      </c>
    </row>
    <row r="1287" customFormat="false" ht="23.85" hidden="false" customHeight="false" outlineLevel="0" collapsed="false">
      <c r="A1287" s="5" t="s">
        <v>5303</v>
      </c>
      <c r="B1287" s="2" t="s">
        <v>5304</v>
      </c>
      <c r="C1287" s="5" t="s">
        <v>2128</v>
      </c>
      <c r="D1287" s="5" t="s">
        <v>4760</v>
      </c>
      <c r="E1287" s="5" t="s">
        <v>62</v>
      </c>
      <c r="F1287" s="5" t="s">
        <v>8265</v>
      </c>
    </row>
    <row r="1288" customFormat="false" ht="23.85" hidden="false" customHeight="false" outlineLevel="0" collapsed="false">
      <c r="A1288" s="5" t="s">
        <v>5303</v>
      </c>
      <c r="B1288" s="2" t="s">
        <v>5304</v>
      </c>
      <c r="C1288" s="5" t="s">
        <v>2128</v>
      </c>
      <c r="D1288" s="5" t="s">
        <v>4760</v>
      </c>
      <c r="E1288" s="5" t="s">
        <v>62</v>
      </c>
      <c r="F1288" s="5" t="s">
        <v>2349</v>
      </c>
    </row>
    <row r="1289" customFormat="false" ht="23.85" hidden="false" customHeight="false" outlineLevel="0" collapsed="false">
      <c r="A1289" s="5" t="s">
        <v>5312</v>
      </c>
      <c r="B1289" s="2" t="s">
        <v>5313</v>
      </c>
      <c r="C1289" s="5" t="s">
        <v>2128</v>
      </c>
      <c r="D1289" s="5" t="s">
        <v>4760</v>
      </c>
      <c r="E1289" s="5" t="s">
        <v>62</v>
      </c>
      <c r="F1289" s="5" t="s">
        <v>8265</v>
      </c>
    </row>
    <row r="1290" customFormat="false" ht="23.85" hidden="false" customHeight="false" outlineLevel="0" collapsed="false">
      <c r="A1290" s="5" t="s">
        <v>5312</v>
      </c>
      <c r="B1290" s="2" t="s">
        <v>5313</v>
      </c>
      <c r="C1290" s="5" t="s">
        <v>2128</v>
      </c>
      <c r="D1290" s="5" t="s">
        <v>4760</v>
      </c>
      <c r="E1290" s="5" t="s">
        <v>62</v>
      </c>
      <c r="F1290" s="5" t="s">
        <v>2349</v>
      </c>
    </row>
    <row r="1291" customFormat="false" ht="35.05" hidden="false" customHeight="false" outlineLevel="0" collapsed="false">
      <c r="A1291" s="5" t="s">
        <v>5320</v>
      </c>
      <c r="B1291" s="2" t="s">
        <v>5321</v>
      </c>
      <c r="C1291" s="5" t="s">
        <v>2128</v>
      </c>
      <c r="D1291" s="5" t="s">
        <v>4760</v>
      </c>
      <c r="E1291" s="5" t="s">
        <v>62</v>
      </c>
      <c r="F1291" s="5" t="s">
        <v>8217</v>
      </c>
    </row>
    <row r="1292" customFormat="false" ht="35.05" hidden="false" customHeight="false" outlineLevel="0" collapsed="false">
      <c r="A1292" s="5" t="s">
        <v>5320</v>
      </c>
      <c r="B1292" s="2" t="s">
        <v>5321</v>
      </c>
      <c r="C1292" s="5" t="s">
        <v>2128</v>
      </c>
      <c r="D1292" s="5" t="s">
        <v>4760</v>
      </c>
      <c r="E1292" s="5" t="s">
        <v>62</v>
      </c>
      <c r="F1292" s="5" t="s">
        <v>2349</v>
      </c>
    </row>
    <row r="1293" customFormat="false" ht="23.85" hidden="false" customHeight="false" outlineLevel="0" collapsed="false">
      <c r="A1293" s="5" t="s">
        <v>5326</v>
      </c>
      <c r="B1293" s="2" t="s">
        <v>5327</v>
      </c>
      <c r="C1293" s="5" t="s">
        <v>2128</v>
      </c>
      <c r="D1293" s="5" t="s">
        <v>4760</v>
      </c>
      <c r="E1293" s="5" t="s">
        <v>62</v>
      </c>
      <c r="F1293" s="5" t="s">
        <v>5328</v>
      </c>
    </row>
    <row r="1294" customFormat="false" ht="23.85" hidden="false" customHeight="false" outlineLevel="0" collapsed="false">
      <c r="A1294" s="5" t="s">
        <v>5333</v>
      </c>
      <c r="B1294" s="2" t="s">
        <v>5334</v>
      </c>
      <c r="C1294" s="5" t="s">
        <v>2128</v>
      </c>
      <c r="D1294" s="5" t="s">
        <v>4760</v>
      </c>
      <c r="E1294" s="5" t="s">
        <v>490</v>
      </c>
      <c r="F1294" s="5" t="s">
        <v>5328</v>
      </c>
    </row>
    <row r="1295" customFormat="false" ht="23.85" hidden="false" customHeight="false" outlineLevel="0" collapsed="false">
      <c r="A1295" s="5" t="s">
        <v>5338</v>
      </c>
      <c r="B1295" s="2" t="s">
        <v>5339</v>
      </c>
      <c r="C1295" s="5" t="s">
        <v>2128</v>
      </c>
      <c r="D1295" s="5" t="s">
        <v>4760</v>
      </c>
      <c r="E1295" s="5" t="s">
        <v>490</v>
      </c>
      <c r="F1295" s="5" t="s">
        <v>5328</v>
      </c>
    </row>
    <row r="1296" customFormat="false" ht="23.85" hidden="false" customHeight="false" outlineLevel="0" collapsed="false">
      <c r="A1296" s="5" t="s">
        <v>5343</v>
      </c>
      <c r="B1296" s="2" t="s">
        <v>5344</v>
      </c>
      <c r="C1296" s="5" t="s">
        <v>2128</v>
      </c>
      <c r="D1296" s="5" t="s">
        <v>4760</v>
      </c>
      <c r="E1296" s="5" t="s">
        <v>62</v>
      </c>
      <c r="F1296" s="5" t="s">
        <v>2721</v>
      </c>
    </row>
    <row r="1297" customFormat="false" ht="23.85" hidden="false" customHeight="false" outlineLevel="0" collapsed="false">
      <c r="A1297" s="5" t="s">
        <v>5348</v>
      </c>
      <c r="B1297" s="2" t="s">
        <v>5349</v>
      </c>
      <c r="C1297" s="5" t="s">
        <v>2128</v>
      </c>
      <c r="D1297" s="5" t="s">
        <v>4760</v>
      </c>
      <c r="E1297" s="5" t="s">
        <v>62</v>
      </c>
      <c r="F1297" s="5" t="s">
        <v>8217</v>
      </c>
    </row>
    <row r="1298" customFormat="false" ht="23.85" hidden="false" customHeight="false" outlineLevel="0" collapsed="false">
      <c r="A1298" s="5" t="s">
        <v>5348</v>
      </c>
      <c r="B1298" s="2" t="s">
        <v>5349</v>
      </c>
      <c r="C1298" s="5" t="s">
        <v>2128</v>
      </c>
      <c r="D1298" s="5" t="s">
        <v>4760</v>
      </c>
      <c r="E1298" s="5" t="s">
        <v>62</v>
      </c>
      <c r="F1298" s="5" t="s">
        <v>2349</v>
      </c>
    </row>
    <row r="1299" customFormat="false" ht="23.85" hidden="false" customHeight="false" outlineLevel="0" collapsed="false">
      <c r="A1299" s="5" t="s">
        <v>5354</v>
      </c>
      <c r="B1299" s="2" t="s">
        <v>5355</v>
      </c>
      <c r="C1299" s="5" t="s">
        <v>2128</v>
      </c>
      <c r="D1299" s="5" t="s">
        <v>4760</v>
      </c>
      <c r="E1299" s="5" t="s">
        <v>62</v>
      </c>
      <c r="F1299" s="5" t="s">
        <v>2721</v>
      </c>
    </row>
    <row r="1300" customFormat="false" ht="23.85" hidden="false" customHeight="false" outlineLevel="0" collapsed="false">
      <c r="A1300" s="5" t="s">
        <v>5359</v>
      </c>
      <c r="B1300" s="2" t="s">
        <v>5360</v>
      </c>
      <c r="C1300" s="5" t="s">
        <v>2128</v>
      </c>
      <c r="D1300" s="5" t="s">
        <v>4760</v>
      </c>
      <c r="E1300" s="5" t="s">
        <v>62</v>
      </c>
      <c r="F1300" s="5" t="s">
        <v>8217</v>
      </c>
    </row>
    <row r="1301" customFormat="false" ht="23.85" hidden="false" customHeight="false" outlineLevel="0" collapsed="false">
      <c r="A1301" s="5" t="s">
        <v>5359</v>
      </c>
      <c r="B1301" s="2" t="s">
        <v>5360</v>
      </c>
      <c r="C1301" s="5" t="s">
        <v>2128</v>
      </c>
      <c r="D1301" s="5" t="s">
        <v>4760</v>
      </c>
      <c r="E1301" s="5" t="s">
        <v>62</v>
      </c>
      <c r="F1301" s="5" t="s">
        <v>2349</v>
      </c>
    </row>
    <row r="1302" customFormat="false" ht="23.85" hidden="false" customHeight="false" outlineLevel="0" collapsed="false">
      <c r="A1302" s="5" t="s">
        <v>5365</v>
      </c>
      <c r="B1302" s="2" t="s">
        <v>5366</v>
      </c>
      <c r="C1302" s="5" t="s">
        <v>2128</v>
      </c>
      <c r="D1302" s="5" t="s">
        <v>4760</v>
      </c>
      <c r="E1302" s="5" t="s">
        <v>62</v>
      </c>
      <c r="F1302" s="5" t="s">
        <v>8217</v>
      </c>
    </row>
    <row r="1303" customFormat="false" ht="23.85" hidden="false" customHeight="false" outlineLevel="0" collapsed="false">
      <c r="A1303" s="5" t="s">
        <v>5365</v>
      </c>
      <c r="B1303" s="2" t="s">
        <v>5366</v>
      </c>
      <c r="C1303" s="5" t="s">
        <v>2128</v>
      </c>
      <c r="D1303" s="5" t="s">
        <v>4760</v>
      </c>
      <c r="E1303" s="5" t="s">
        <v>62</v>
      </c>
      <c r="F1303" s="5" t="s">
        <v>2349</v>
      </c>
    </row>
    <row r="1304" customFormat="false" ht="23.85" hidden="false" customHeight="false" outlineLevel="0" collapsed="false">
      <c r="A1304" s="5" t="s">
        <v>5371</v>
      </c>
      <c r="B1304" s="2" t="s">
        <v>5372</v>
      </c>
      <c r="C1304" s="5" t="s">
        <v>2128</v>
      </c>
      <c r="D1304" s="5" t="s">
        <v>4760</v>
      </c>
      <c r="E1304" s="5" t="s">
        <v>62</v>
      </c>
      <c r="F1304" s="5" t="s">
        <v>2721</v>
      </c>
    </row>
    <row r="1305" customFormat="false" ht="23.85" hidden="false" customHeight="false" outlineLevel="0" collapsed="false">
      <c r="A1305" s="5" t="s">
        <v>5376</v>
      </c>
      <c r="B1305" s="2" t="s">
        <v>5377</v>
      </c>
      <c r="C1305" s="5" t="s">
        <v>2128</v>
      </c>
      <c r="D1305" s="5" t="s">
        <v>4760</v>
      </c>
      <c r="E1305" s="5" t="s">
        <v>62</v>
      </c>
      <c r="F1305" s="5" t="s">
        <v>8217</v>
      </c>
    </row>
    <row r="1306" customFormat="false" ht="23.85" hidden="false" customHeight="false" outlineLevel="0" collapsed="false">
      <c r="A1306" s="5" t="s">
        <v>5376</v>
      </c>
      <c r="B1306" s="2" t="s">
        <v>5377</v>
      </c>
      <c r="C1306" s="5" t="s">
        <v>2128</v>
      </c>
      <c r="D1306" s="5" t="s">
        <v>4760</v>
      </c>
      <c r="E1306" s="5" t="s">
        <v>62</v>
      </c>
      <c r="F1306" s="5" t="s">
        <v>2349</v>
      </c>
    </row>
    <row r="1307" customFormat="false" ht="35.05" hidden="false" customHeight="false" outlineLevel="0" collapsed="false">
      <c r="A1307" s="5" t="s">
        <v>5382</v>
      </c>
      <c r="B1307" s="2" t="s">
        <v>5383</v>
      </c>
      <c r="C1307" s="5" t="s">
        <v>2128</v>
      </c>
      <c r="D1307" s="5" t="s">
        <v>4760</v>
      </c>
      <c r="E1307" s="5" t="s">
        <v>490</v>
      </c>
      <c r="F1307" s="5" t="s">
        <v>8217</v>
      </c>
    </row>
    <row r="1308" customFormat="false" ht="35.05" hidden="false" customHeight="false" outlineLevel="0" collapsed="false">
      <c r="A1308" s="5" t="s">
        <v>5382</v>
      </c>
      <c r="B1308" s="2" t="s">
        <v>5383</v>
      </c>
      <c r="C1308" s="5" t="s">
        <v>2128</v>
      </c>
      <c r="D1308" s="5" t="s">
        <v>4760</v>
      </c>
      <c r="E1308" s="5" t="s">
        <v>490</v>
      </c>
      <c r="F1308" s="5" t="s">
        <v>2349</v>
      </c>
    </row>
    <row r="1309" customFormat="false" ht="15" hidden="false" customHeight="false" outlineLevel="0" collapsed="false">
      <c r="A1309" s="5" t="s">
        <v>5389</v>
      </c>
      <c r="B1309" s="2" t="s">
        <v>5390</v>
      </c>
      <c r="C1309" s="5" t="s">
        <v>2128</v>
      </c>
      <c r="D1309" s="5" t="s">
        <v>4760</v>
      </c>
      <c r="E1309" s="5" t="s">
        <v>490</v>
      </c>
      <c r="F1309" s="5" t="s">
        <v>2721</v>
      </c>
    </row>
    <row r="1310" customFormat="false" ht="23.85" hidden="false" customHeight="false" outlineLevel="0" collapsed="false">
      <c r="A1310" s="5" t="s">
        <v>5394</v>
      </c>
      <c r="B1310" s="2" t="s">
        <v>5395</v>
      </c>
      <c r="C1310" s="5" t="s">
        <v>2128</v>
      </c>
      <c r="D1310" s="5" t="s">
        <v>4760</v>
      </c>
      <c r="E1310" s="5" t="s">
        <v>490</v>
      </c>
      <c r="F1310" s="5" t="s">
        <v>8217</v>
      </c>
    </row>
    <row r="1311" customFormat="false" ht="23.85" hidden="false" customHeight="false" outlineLevel="0" collapsed="false">
      <c r="A1311" s="5" t="s">
        <v>5394</v>
      </c>
      <c r="B1311" s="2" t="s">
        <v>5395</v>
      </c>
      <c r="C1311" s="5" t="s">
        <v>2128</v>
      </c>
      <c r="D1311" s="5" t="s">
        <v>4760</v>
      </c>
      <c r="E1311" s="5" t="s">
        <v>490</v>
      </c>
      <c r="F1311" s="5" t="s">
        <v>2349</v>
      </c>
    </row>
    <row r="1312" customFormat="false" ht="23.85" hidden="false" customHeight="false" outlineLevel="0" collapsed="false">
      <c r="A1312" s="5" t="s">
        <v>5401</v>
      </c>
      <c r="B1312" s="2" t="s">
        <v>5402</v>
      </c>
      <c r="C1312" s="5" t="s">
        <v>2245</v>
      </c>
      <c r="D1312" s="5" t="s">
        <v>4760</v>
      </c>
      <c r="E1312" s="5" t="s">
        <v>62</v>
      </c>
      <c r="F1312" s="5" t="s">
        <v>8217</v>
      </c>
    </row>
    <row r="1313" customFormat="false" ht="23.85" hidden="false" customHeight="false" outlineLevel="0" collapsed="false">
      <c r="A1313" s="5" t="s">
        <v>5401</v>
      </c>
      <c r="B1313" s="2" t="s">
        <v>5402</v>
      </c>
      <c r="C1313" s="5" t="s">
        <v>2245</v>
      </c>
      <c r="D1313" s="5" t="s">
        <v>4760</v>
      </c>
      <c r="E1313" s="5" t="s">
        <v>62</v>
      </c>
      <c r="F1313" s="5" t="s">
        <v>2349</v>
      </c>
    </row>
    <row r="1314" customFormat="false" ht="23.85" hidden="false" customHeight="false" outlineLevel="0" collapsed="false">
      <c r="A1314" s="5" t="s">
        <v>5407</v>
      </c>
      <c r="B1314" s="2" t="s">
        <v>5408</v>
      </c>
      <c r="C1314" s="5" t="s">
        <v>2128</v>
      </c>
      <c r="D1314" s="5" t="s">
        <v>4760</v>
      </c>
      <c r="E1314" s="5" t="s">
        <v>62</v>
      </c>
      <c r="F1314" s="5" t="s">
        <v>8217</v>
      </c>
    </row>
    <row r="1315" customFormat="false" ht="23.85" hidden="false" customHeight="false" outlineLevel="0" collapsed="false">
      <c r="A1315" s="5" t="s">
        <v>5407</v>
      </c>
      <c r="B1315" s="2" t="s">
        <v>5408</v>
      </c>
      <c r="C1315" s="5" t="s">
        <v>2128</v>
      </c>
      <c r="D1315" s="5" t="s">
        <v>4760</v>
      </c>
      <c r="E1315" s="5" t="s">
        <v>62</v>
      </c>
      <c r="F1315" s="5" t="s">
        <v>2349</v>
      </c>
    </row>
    <row r="1316" customFormat="false" ht="23.85" hidden="false" customHeight="false" outlineLevel="0" collapsed="false">
      <c r="A1316" s="5" t="s">
        <v>5412</v>
      </c>
      <c r="B1316" s="2" t="s">
        <v>5413</v>
      </c>
      <c r="C1316" s="5" t="s">
        <v>2128</v>
      </c>
      <c r="D1316" s="5" t="s">
        <v>4760</v>
      </c>
      <c r="E1316" s="5" t="s">
        <v>62</v>
      </c>
      <c r="F1316" s="5" t="s">
        <v>8217</v>
      </c>
    </row>
    <row r="1317" customFormat="false" ht="23.85" hidden="false" customHeight="false" outlineLevel="0" collapsed="false">
      <c r="A1317" s="5" t="s">
        <v>5412</v>
      </c>
      <c r="B1317" s="2" t="s">
        <v>5413</v>
      </c>
      <c r="C1317" s="5" t="s">
        <v>2128</v>
      </c>
      <c r="D1317" s="5" t="s">
        <v>4760</v>
      </c>
      <c r="E1317" s="5" t="s">
        <v>62</v>
      </c>
      <c r="F1317" s="5" t="s">
        <v>2349</v>
      </c>
    </row>
    <row r="1318" customFormat="false" ht="23.85" hidden="false" customHeight="false" outlineLevel="0" collapsed="false">
      <c r="A1318" s="5" t="s">
        <v>5418</v>
      </c>
      <c r="B1318" s="2" t="s">
        <v>5419</v>
      </c>
      <c r="C1318" s="5" t="s">
        <v>2128</v>
      </c>
      <c r="D1318" s="5" t="s">
        <v>4760</v>
      </c>
      <c r="E1318" s="5" t="s">
        <v>490</v>
      </c>
      <c r="F1318" s="5" t="s">
        <v>2721</v>
      </c>
    </row>
    <row r="1319" customFormat="false" ht="23.85" hidden="false" customHeight="false" outlineLevel="0" collapsed="false">
      <c r="A1319" s="5" t="s">
        <v>5423</v>
      </c>
      <c r="B1319" s="2" t="s">
        <v>5424</v>
      </c>
      <c r="C1319" s="5" t="s">
        <v>2128</v>
      </c>
      <c r="D1319" s="5" t="s">
        <v>4760</v>
      </c>
      <c r="E1319" s="5" t="s">
        <v>490</v>
      </c>
      <c r="F1319" s="5" t="s">
        <v>8217</v>
      </c>
    </row>
    <row r="1320" customFormat="false" ht="23.85" hidden="false" customHeight="false" outlineLevel="0" collapsed="false">
      <c r="A1320" s="5" t="s">
        <v>5423</v>
      </c>
      <c r="B1320" s="2" t="s">
        <v>5424</v>
      </c>
      <c r="C1320" s="5" t="s">
        <v>2128</v>
      </c>
      <c r="D1320" s="5" t="s">
        <v>4760</v>
      </c>
      <c r="E1320" s="5" t="s">
        <v>490</v>
      </c>
      <c r="F1320" s="5" t="s">
        <v>2349</v>
      </c>
    </row>
    <row r="1321" customFormat="false" ht="23.85" hidden="false" customHeight="false" outlineLevel="0" collapsed="false">
      <c r="A1321" s="5" t="s">
        <v>5429</v>
      </c>
      <c r="B1321" s="2" t="s">
        <v>5430</v>
      </c>
      <c r="C1321" s="5" t="s">
        <v>2128</v>
      </c>
      <c r="D1321" s="5" t="s">
        <v>4760</v>
      </c>
      <c r="E1321" s="5" t="s">
        <v>62</v>
      </c>
      <c r="F1321" s="5" t="s">
        <v>2721</v>
      </c>
    </row>
    <row r="1322" customFormat="false" ht="23.85" hidden="false" customHeight="false" outlineLevel="0" collapsed="false">
      <c r="A1322" s="5" t="s">
        <v>5434</v>
      </c>
      <c r="B1322" s="2" t="s">
        <v>5435</v>
      </c>
      <c r="C1322" s="5" t="s">
        <v>2128</v>
      </c>
      <c r="D1322" s="5" t="s">
        <v>4760</v>
      </c>
      <c r="E1322" s="5" t="s">
        <v>62</v>
      </c>
      <c r="F1322" s="5" t="s">
        <v>8217</v>
      </c>
    </row>
    <row r="1323" customFormat="false" ht="23.85" hidden="false" customHeight="false" outlineLevel="0" collapsed="false">
      <c r="A1323" s="5" t="s">
        <v>5434</v>
      </c>
      <c r="B1323" s="2" t="s">
        <v>5435</v>
      </c>
      <c r="C1323" s="5" t="s">
        <v>2128</v>
      </c>
      <c r="D1323" s="5" t="s">
        <v>4760</v>
      </c>
      <c r="E1323" s="5" t="s">
        <v>62</v>
      </c>
      <c r="F1323" s="5" t="s">
        <v>2349</v>
      </c>
    </row>
    <row r="1324" customFormat="false" ht="23.85" hidden="false" customHeight="false" outlineLevel="0" collapsed="false">
      <c r="A1324" s="5" t="s">
        <v>5439</v>
      </c>
      <c r="B1324" s="2" t="s">
        <v>5440</v>
      </c>
      <c r="C1324" s="5" t="s">
        <v>2128</v>
      </c>
      <c r="D1324" s="5" t="s">
        <v>4760</v>
      </c>
      <c r="E1324" s="5" t="s">
        <v>62</v>
      </c>
      <c r="F1324" s="5" t="s">
        <v>8217</v>
      </c>
    </row>
    <row r="1325" customFormat="false" ht="23.85" hidden="false" customHeight="false" outlineLevel="0" collapsed="false">
      <c r="A1325" s="5" t="s">
        <v>5439</v>
      </c>
      <c r="B1325" s="2" t="s">
        <v>5440</v>
      </c>
      <c r="C1325" s="5" t="s">
        <v>2128</v>
      </c>
      <c r="D1325" s="5" t="s">
        <v>4760</v>
      </c>
      <c r="E1325" s="5" t="s">
        <v>62</v>
      </c>
      <c r="F1325" s="5" t="s">
        <v>2349</v>
      </c>
    </row>
    <row r="1326" customFormat="false" ht="23.85" hidden="false" customHeight="false" outlineLevel="0" collapsed="false">
      <c r="A1326" s="5" t="s">
        <v>5446</v>
      </c>
      <c r="B1326" s="2" t="s">
        <v>5447</v>
      </c>
      <c r="C1326" s="5" t="s">
        <v>2128</v>
      </c>
      <c r="D1326" s="5" t="s">
        <v>4760</v>
      </c>
      <c r="E1326" s="5" t="s">
        <v>62</v>
      </c>
      <c r="F1326" s="5" t="s">
        <v>8217</v>
      </c>
    </row>
    <row r="1327" customFormat="false" ht="23.85" hidden="false" customHeight="false" outlineLevel="0" collapsed="false">
      <c r="A1327" s="5" t="s">
        <v>5446</v>
      </c>
      <c r="B1327" s="2" t="s">
        <v>5447</v>
      </c>
      <c r="C1327" s="5" t="s">
        <v>2128</v>
      </c>
      <c r="D1327" s="5" t="s">
        <v>4760</v>
      </c>
      <c r="E1327" s="5" t="s">
        <v>62</v>
      </c>
      <c r="F1327" s="5" t="s">
        <v>2349</v>
      </c>
    </row>
    <row r="1328" customFormat="false" ht="23.85" hidden="false" customHeight="false" outlineLevel="0" collapsed="false">
      <c r="A1328" s="5" t="s">
        <v>5452</v>
      </c>
      <c r="B1328" s="2" t="s">
        <v>5453</v>
      </c>
      <c r="C1328" s="5" t="s">
        <v>2128</v>
      </c>
      <c r="D1328" s="5" t="s">
        <v>4760</v>
      </c>
      <c r="E1328" s="5" t="s">
        <v>62</v>
      </c>
      <c r="F1328" s="5" t="s">
        <v>2721</v>
      </c>
    </row>
    <row r="1329" customFormat="false" ht="23.85" hidden="false" customHeight="false" outlineLevel="0" collapsed="false">
      <c r="A1329" s="5" t="s">
        <v>5457</v>
      </c>
      <c r="B1329" s="2" t="s">
        <v>5458</v>
      </c>
      <c r="C1329" s="5" t="s">
        <v>2128</v>
      </c>
      <c r="D1329" s="5" t="s">
        <v>4760</v>
      </c>
      <c r="E1329" s="5" t="s">
        <v>62</v>
      </c>
      <c r="F1329" s="5" t="s">
        <v>8217</v>
      </c>
    </row>
    <row r="1330" customFormat="false" ht="23.85" hidden="false" customHeight="false" outlineLevel="0" collapsed="false">
      <c r="A1330" s="5" t="s">
        <v>5457</v>
      </c>
      <c r="B1330" s="2" t="s">
        <v>5458</v>
      </c>
      <c r="C1330" s="5" t="s">
        <v>2128</v>
      </c>
      <c r="D1330" s="5" t="s">
        <v>4760</v>
      </c>
      <c r="E1330" s="5" t="s">
        <v>62</v>
      </c>
      <c r="F1330" s="5" t="s">
        <v>2349</v>
      </c>
    </row>
    <row r="1331" customFormat="false" ht="23.85" hidden="false" customHeight="false" outlineLevel="0" collapsed="false">
      <c r="A1331" s="5" t="s">
        <v>5464</v>
      </c>
      <c r="B1331" s="2" t="s">
        <v>5465</v>
      </c>
      <c r="C1331" s="5" t="s">
        <v>2245</v>
      </c>
      <c r="D1331" s="5" t="s">
        <v>4760</v>
      </c>
      <c r="E1331" s="5" t="s">
        <v>62</v>
      </c>
      <c r="F1331" s="5" t="s">
        <v>8217</v>
      </c>
    </row>
    <row r="1332" customFormat="false" ht="23.85" hidden="false" customHeight="false" outlineLevel="0" collapsed="false">
      <c r="A1332" s="5" t="s">
        <v>5464</v>
      </c>
      <c r="B1332" s="2" t="s">
        <v>5465</v>
      </c>
      <c r="C1332" s="5" t="s">
        <v>2245</v>
      </c>
      <c r="D1332" s="5" t="s">
        <v>4760</v>
      </c>
      <c r="E1332" s="5" t="s">
        <v>62</v>
      </c>
      <c r="F1332" s="5" t="s">
        <v>2349</v>
      </c>
    </row>
    <row r="1333" customFormat="false" ht="15" hidden="false" customHeight="false" outlineLevel="0" collapsed="false">
      <c r="A1333" s="5" t="s">
        <v>5470</v>
      </c>
      <c r="B1333" s="2" t="s">
        <v>5471</v>
      </c>
      <c r="C1333" s="5" t="s">
        <v>2128</v>
      </c>
      <c r="D1333" s="5" t="s">
        <v>4760</v>
      </c>
      <c r="E1333" s="5" t="s">
        <v>62</v>
      </c>
      <c r="F1333" s="5" t="s">
        <v>2721</v>
      </c>
    </row>
    <row r="1334" customFormat="false" ht="23.85" hidden="false" customHeight="false" outlineLevel="0" collapsed="false">
      <c r="A1334" s="5" t="s">
        <v>5475</v>
      </c>
      <c r="B1334" s="2" t="s">
        <v>5476</v>
      </c>
      <c r="C1334" s="5" t="s">
        <v>2128</v>
      </c>
      <c r="D1334" s="5" t="s">
        <v>4760</v>
      </c>
      <c r="E1334" s="5" t="s">
        <v>62</v>
      </c>
      <c r="F1334" s="5" t="s">
        <v>8217</v>
      </c>
    </row>
    <row r="1335" customFormat="false" ht="23.85" hidden="false" customHeight="false" outlineLevel="0" collapsed="false">
      <c r="A1335" s="5" t="s">
        <v>5475</v>
      </c>
      <c r="B1335" s="2" t="s">
        <v>5476</v>
      </c>
      <c r="C1335" s="5" t="s">
        <v>2128</v>
      </c>
      <c r="D1335" s="5" t="s">
        <v>4760</v>
      </c>
      <c r="E1335" s="5" t="s">
        <v>62</v>
      </c>
      <c r="F1335" s="5" t="s">
        <v>2349</v>
      </c>
    </row>
    <row r="1336" customFormat="false" ht="23.85" hidden="false" customHeight="false" outlineLevel="0" collapsed="false">
      <c r="A1336" s="5" t="s">
        <v>5482</v>
      </c>
      <c r="B1336" s="2" t="s">
        <v>5483</v>
      </c>
      <c r="C1336" s="5" t="s">
        <v>2128</v>
      </c>
      <c r="D1336" s="5" t="s">
        <v>4760</v>
      </c>
      <c r="E1336" s="5" t="s">
        <v>62</v>
      </c>
      <c r="F1336" s="5" t="s">
        <v>2721</v>
      </c>
    </row>
    <row r="1337" customFormat="false" ht="23.85" hidden="false" customHeight="false" outlineLevel="0" collapsed="false">
      <c r="A1337" s="5" t="s">
        <v>5487</v>
      </c>
      <c r="B1337" s="2" t="s">
        <v>5488</v>
      </c>
      <c r="C1337" s="5" t="s">
        <v>2128</v>
      </c>
      <c r="D1337" s="5" t="s">
        <v>4760</v>
      </c>
      <c r="E1337" s="5" t="s">
        <v>62</v>
      </c>
      <c r="F1337" s="5" t="s">
        <v>8217</v>
      </c>
    </row>
    <row r="1338" customFormat="false" ht="23.85" hidden="false" customHeight="false" outlineLevel="0" collapsed="false">
      <c r="A1338" s="5" t="s">
        <v>5487</v>
      </c>
      <c r="B1338" s="2" t="s">
        <v>5488</v>
      </c>
      <c r="C1338" s="5" t="s">
        <v>2128</v>
      </c>
      <c r="D1338" s="5" t="s">
        <v>4760</v>
      </c>
      <c r="E1338" s="5" t="s">
        <v>62</v>
      </c>
      <c r="F1338" s="5" t="s">
        <v>2349</v>
      </c>
    </row>
    <row r="1339" customFormat="false" ht="23.85" hidden="false" customHeight="false" outlineLevel="0" collapsed="false">
      <c r="A1339" s="5" t="s">
        <v>5494</v>
      </c>
      <c r="B1339" s="2" t="s">
        <v>5495</v>
      </c>
      <c r="C1339" s="5" t="s">
        <v>2128</v>
      </c>
      <c r="D1339" s="5" t="s">
        <v>4760</v>
      </c>
      <c r="E1339" s="5" t="s">
        <v>62</v>
      </c>
      <c r="F1339" s="5" t="s">
        <v>8217</v>
      </c>
    </row>
    <row r="1340" customFormat="false" ht="23.85" hidden="false" customHeight="false" outlineLevel="0" collapsed="false">
      <c r="A1340" s="5" t="s">
        <v>5494</v>
      </c>
      <c r="B1340" s="2" t="s">
        <v>5495</v>
      </c>
      <c r="C1340" s="5" t="s">
        <v>2128</v>
      </c>
      <c r="D1340" s="5" t="s">
        <v>4760</v>
      </c>
      <c r="E1340" s="5" t="s">
        <v>62</v>
      </c>
      <c r="F1340" s="5" t="s">
        <v>2349</v>
      </c>
    </row>
    <row r="1341" customFormat="false" ht="23.85" hidden="false" customHeight="false" outlineLevel="0" collapsed="false">
      <c r="A1341" s="5" t="s">
        <v>5500</v>
      </c>
      <c r="B1341" s="2" t="s">
        <v>5501</v>
      </c>
      <c r="C1341" s="5" t="s">
        <v>2245</v>
      </c>
      <c r="D1341" s="5" t="s">
        <v>4760</v>
      </c>
      <c r="E1341" s="5" t="s">
        <v>62</v>
      </c>
      <c r="F1341" s="5" t="s">
        <v>8217</v>
      </c>
    </row>
    <row r="1342" customFormat="false" ht="23.85" hidden="false" customHeight="false" outlineLevel="0" collapsed="false">
      <c r="A1342" s="5" t="s">
        <v>5500</v>
      </c>
      <c r="B1342" s="2" t="s">
        <v>5501</v>
      </c>
      <c r="C1342" s="5" t="s">
        <v>2245</v>
      </c>
      <c r="D1342" s="5" t="s">
        <v>4760</v>
      </c>
      <c r="E1342" s="5" t="s">
        <v>62</v>
      </c>
      <c r="F1342" s="5" t="s">
        <v>2349</v>
      </c>
    </row>
    <row r="1343" customFormat="false" ht="23.85" hidden="false" customHeight="false" outlineLevel="0" collapsed="false">
      <c r="A1343" s="5" t="s">
        <v>5506</v>
      </c>
      <c r="B1343" s="2" t="s">
        <v>5507</v>
      </c>
      <c r="C1343" s="5" t="s">
        <v>2128</v>
      </c>
      <c r="D1343" s="5" t="s">
        <v>4760</v>
      </c>
      <c r="E1343" s="5" t="s">
        <v>62</v>
      </c>
      <c r="F1343" s="5" t="s">
        <v>8217</v>
      </c>
    </row>
    <row r="1344" customFormat="false" ht="23.85" hidden="false" customHeight="false" outlineLevel="0" collapsed="false">
      <c r="A1344" s="5" t="s">
        <v>5506</v>
      </c>
      <c r="B1344" s="2" t="s">
        <v>5507</v>
      </c>
      <c r="C1344" s="5" t="s">
        <v>2128</v>
      </c>
      <c r="D1344" s="5" t="s">
        <v>4760</v>
      </c>
      <c r="E1344" s="5" t="s">
        <v>62</v>
      </c>
      <c r="F1344" s="5" t="s">
        <v>2349</v>
      </c>
    </row>
    <row r="1345" customFormat="false" ht="15" hidden="false" customHeight="false" outlineLevel="0" collapsed="false">
      <c r="A1345" s="5" t="s">
        <v>5512</v>
      </c>
      <c r="B1345" s="2" t="s">
        <v>5513</v>
      </c>
      <c r="C1345" s="5" t="s">
        <v>2128</v>
      </c>
      <c r="D1345" s="5" t="s">
        <v>4760</v>
      </c>
      <c r="E1345" s="5" t="s">
        <v>62</v>
      </c>
      <c r="F1345" s="5" t="s">
        <v>2721</v>
      </c>
    </row>
    <row r="1346" customFormat="false" ht="23.85" hidden="false" customHeight="false" outlineLevel="0" collapsed="false">
      <c r="A1346" s="5" t="s">
        <v>5517</v>
      </c>
      <c r="B1346" s="2" t="s">
        <v>5518</v>
      </c>
      <c r="C1346" s="5" t="s">
        <v>2128</v>
      </c>
      <c r="D1346" s="5" t="s">
        <v>4760</v>
      </c>
      <c r="E1346" s="5" t="s">
        <v>62</v>
      </c>
      <c r="F1346" s="5" t="s">
        <v>8217</v>
      </c>
    </row>
    <row r="1347" customFormat="false" ht="23.85" hidden="false" customHeight="false" outlineLevel="0" collapsed="false">
      <c r="A1347" s="5" t="s">
        <v>5517</v>
      </c>
      <c r="B1347" s="2" t="s">
        <v>5518</v>
      </c>
      <c r="C1347" s="5" t="s">
        <v>2128</v>
      </c>
      <c r="D1347" s="5" t="s">
        <v>4760</v>
      </c>
      <c r="E1347" s="5" t="s">
        <v>62</v>
      </c>
      <c r="F1347" s="5" t="s">
        <v>2349</v>
      </c>
    </row>
    <row r="1348" customFormat="false" ht="15" hidden="false" customHeight="false" outlineLevel="0" collapsed="false">
      <c r="A1348" s="5" t="s">
        <v>5524</v>
      </c>
      <c r="B1348" s="2" t="s">
        <v>5525</v>
      </c>
      <c r="C1348" s="5" t="s">
        <v>2128</v>
      </c>
      <c r="D1348" s="5" t="s">
        <v>4760</v>
      </c>
      <c r="E1348" s="5" t="s">
        <v>62</v>
      </c>
      <c r="F1348" s="5" t="s">
        <v>2721</v>
      </c>
    </row>
    <row r="1349" customFormat="false" ht="23.85" hidden="false" customHeight="false" outlineLevel="0" collapsed="false">
      <c r="A1349" s="5" t="s">
        <v>5529</v>
      </c>
      <c r="B1349" s="2" t="s">
        <v>5530</v>
      </c>
      <c r="C1349" s="5" t="s">
        <v>2128</v>
      </c>
      <c r="D1349" s="5" t="s">
        <v>4760</v>
      </c>
      <c r="E1349" s="5" t="s">
        <v>62</v>
      </c>
      <c r="F1349" s="5" t="s">
        <v>8217</v>
      </c>
    </row>
    <row r="1350" customFormat="false" ht="23.85" hidden="false" customHeight="false" outlineLevel="0" collapsed="false">
      <c r="A1350" s="5" t="s">
        <v>5529</v>
      </c>
      <c r="B1350" s="2" t="s">
        <v>5530</v>
      </c>
      <c r="C1350" s="5" t="s">
        <v>2128</v>
      </c>
      <c r="D1350" s="5" t="s">
        <v>4760</v>
      </c>
      <c r="E1350" s="5" t="s">
        <v>62</v>
      </c>
      <c r="F1350" s="5" t="s">
        <v>2349</v>
      </c>
    </row>
    <row r="1351" customFormat="false" ht="23.85" hidden="false" customHeight="false" outlineLevel="0" collapsed="false">
      <c r="A1351" s="5" t="s">
        <v>5536</v>
      </c>
      <c r="B1351" s="2" t="s">
        <v>5537</v>
      </c>
      <c r="C1351" s="5" t="s">
        <v>2128</v>
      </c>
      <c r="D1351" s="5" t="s">
        <v>4760</v>
      </c>
      <c r="E1351" s="5" t="s">
        <v>62</v>
      </c>
      <c r="F1351" s="5" t="s">
        <v>2721</v>
      </c>
    </row>
    <row r="1352" customFormat="false" ht="23.85" hidden="false" customHeight="false" outlineLevel="0" collapsed="false">
      <c r="A1352" s="5" t="s">
        <v>5541</v>
      </c>
      <c r="B1352" s="2" t="s">
        <v>5542</v>
      </c>
      <c r="C1352" s="5" t="s">
        <v>2128</v>
      </c>
      <c r="D1352" s="5" t="s">
        <v>4760</v>
      </c>
      <c r="E1352" s="5" t="s">
        <v>62</v>
      </c>
      <c r="F1352" s="5" t="s">
        <v>8217</v>
      </c>
    </row>
    <row r="1353" customFormat="false" ht="23.85" hidden="false" customHeight="false" outlineLevel="0" collapsed="false">
      <c r="A1353" s="5" t="s">
        <v>5541</v>
      </c>
      <c r="B1353" s="2" t="s">
        <v>5542</v>
      </c>
      <c r="C1353" s="5" t="s">
        <v>2128</v>
      </c>
      <c r="D1353" s="5" t="s">
        <v>4760</v>
      </c>
      <c r="E1353" s="5" t="s">
        <v>62</v>
      </c>
      <c r="F1353" s="5" t="s">
        <v>2349</v>
      </c>
    </row>
    <row r="1354" customFormat="false" ht="23.85" hidden="false" customHeight="false" outlineLevel="0" collapsed="false">
      <c r="A1354" s="5" t="s">
        <v>5547</v>
      </c>
      <c r="B1354" s="2" t="s">
        <v>5548</v>
      </c>
      <c r="C1354" s="5" t="s">
        <v>2128</v>
      </c>
      <c r="D1354" s="5" t="s">
        <v>4760</v>
      </c>
      <c r="E1354" s="5" t="s">
        <v>62</v>
      </c>
      <c r="F1354" s="5" t="s">
        <v>2721</v>
      </c>
    </row>
    <row r="1355" customFormat="false" ht="23.85" hidden="false" customHeight="false" outlineLevel="0" collapsed="false">
      <c r="A1355" s="5" t="s">
        <v>5553</v>
      </c>
      <c r="B1355" s="2" t="s">
        <v>5554</v>
      </c>
      <c r="C1355" s="5" t="s">
        <v>2128</v>
      </c>
      <c r="D1355" s="5" t="s">
        <v>4760</v>
      </c>
      <c r="E1355" s="5" t="s">
        <v>62</v>
      </c>
      <c r="F1355" s="5" t="s">
        <v>8217</v>
      </c>
    </row>
    <row r="1356" customFormat="false" ht="23.85" hidden="false" customHeight="false" outlineLevel="0" collapsed="false">
      <c r="A1356" s="5" t="s">
        <v>5553</v>
      </c>
      <c r="B1356" s="2" t="s">
        <v>5554</v>
      </c>
      <c r="C1356" s="5" t="s">
        <v>2128</v>
      </c>
      <c r="D1356" s="5" t="s">
        <v>4760</v>
      </c>
      <c r="E1356" s="5" t="s">
        <v>62</v>
      </c>
      <c r="F1356" s="5" t="s">
        <v>2349</v>
      </c>
    </row>
    <row r="1357" customFormat="false" ht="23.85" hidden="false" customHeight="false" outlineLevel="0" collapsed="false">
      <c r="A1357" s="5" t="s">
        <v>5559</v>
      </c>
      <c r="B1357" s="2" t="s">
        <v>5560</v>
      </c>
      <c r="C1357" s="5" t="s">
        <v>2128</v>
      </c>
      <c r="D1357" s="5" t="s">
        <v>4760</v>
      </c>
      <c r="E1357" s="5" t="s">
        <v>62</v>
      </c>
      <c r="F1357" s="5" t="s">
        <v>2721</v>
      </c>
    </row>
    <row r="1358" customFormat="false" ht="23.85" hidden="false" customHeight="false" outlineLevel="0" collapsed="false">
      <c r="A1358" s="5" t="s">
        <v>5564</v>
      </c>
      <c r="B1358" s="2" t="s">
        <v>5565</v>
      </c>
      <c r="C1358" s="5" t="s">
        <v>2128</v>
      </c>
      <c r="D1358" s="5" t="s">
        <v>4760</v>
      </c>
      <c r="E1358" s="5" t="s">
        <v>62</v>
      </c>
      <c r="F1358" s="5" t="s">
        <v>8217</v>
      </c>
    </row>
    <row r="1359" customFormat="false" ht="23.85" hidden="false" customHeight="false" outlineLevel="0" collapsed="false">
      <c r="A1359" s="5" t="s">
        <v>5564</v>
      </c>
      <c r="B1359" s="2" t="s">
        <v>5565</v>
      </c>
      <c r="C1359" s="5" t="s">
        <v>2128</v>
      </c>
      <c r="D1359" s="5" t="s">
        <v>4760</v>
      </c>
      <c r="E1359" s="5" t="s">
        <v>62</v>
      </c>
      <c r="F1359" s="5" t="s">
        <v>2349</v>
      </c>
    </row>
    <row r="1360" customFormat="false" ht="23.85" hidden="false" customHeight="false" outlineLevel="0" collapsed="false">
      <c r="A1360" s="5" t="s">
        <v>5571</v>
      </c>
      <c r="B1360" s="2" t="s">
        <v>5572</v>
      </c>
      <c r="C1360" s="5" t="s">
        <v>2128</v>
      </c>
      <c r="D1360" s="5" t="s">
        <v>4760</v>
      </c>
      <c r="E1360" s="5" t="s">
        <v>62</v>
      </c>
      <c r="F1360" s="5" t="s">
        <v>2721</v>
      </c>
    </row>
    <row r="1361" customFormat="false" ht="23.85" hidden="false" customHeight="false" outlineLevel="0" collapsed="false">
      <c r="A1361" s="5" t="s">
        <v>5576</v>
      </c>
      <c r="B1361" s="2" t="s">
        <v>5577</v>
      </c>
      <c r="C1361" s="5" t="s">
        <v>2128</v>
      </c>
      <c r="D1361" s="5" t="s">
        <v>4760</v>
      </c>
      <c r="E1361" s="5" t="s">
        <v>62</v>
      </c>
      <c r="F1361" s="5" t="s">
        <v>8217</v>
      </c>
    </row>
    <row r="1362" customFormat="false" ht="23.85" hidden="false" customHeight="false" outlineLevel="0" collapsed="false">
      <c r="A1362" s="5" t="s">
        <v>5576</v>
      </c>
      <c r="B1362" s="2" t="s">
        <v>5577</v>
      </c>
      <c r="C1362" s="5" t="s">
        <v>2128</v>
      </c>
      <c r="D1362" s="5" t="s">
        <v>4760</v>
      </c>
      <c r="E1362" s="5" t="s">
        <v>62</v>
      </c>
      <c r="F1362" s="5" t="s">
        <v>2349</v>
      </c>
    </row>
    <row r="1363" customFormat="false" ht="23.85" hidden="false" customHeight="false" outlineLevel="0" collapsed="false">
      <c r="A1363" s="5" t="s">
        <v>5583</v>
      </c>
      <c r="B1363" s="2" t="s">
        <v>5584</v>
      </c>
      <c r="C1363" s="5" t="s">
        <v>2128</v>
      </c>
      <c r="D1363" s="5" t="s">
        <v>4760</v>
      </c>
      <c r="E1363" s="5" t="s">
        <v>62</v>
      </c>
      <c r="F1363" s="5" t="s">
        <v>2721</v>
      </c>
    </row>
    <row r="1364" customFormat="false" ht="23.85" hidden="false" customHeight="false" outlineLevel="0" collapsed="false">
      <c r="A1364" s="5" t="s">
        <v>5588</v>
      </c>
      <c r="B1364" s="2" t="s">
        <v>5589</v>
      </c>
      <c r="C1364" s="5" t="s">
        <v>2128</v>
      </c>
      <c r="D1364" s="5" t="s">
        <v>4760</v>
      </c>
      <c r="E1364" s="5" t="s">
        <v>62</v>
      </c>
      <c r="F1364" s="5" t="s">
        <v>8217</v>
      </c>
    </row>
    <row r="1365" customFormat="false" ht="23.85" hidden="false" customHeight="false" outlineLevel="0" collapsed="false">
      <c r="A1365" s="5" t="s">
        <v>5588</v>
      </c>
      <c r="B1365" s="2" t="s">
        <v>5589</v>
      </c>
      <c r="C1365" s="5" t="s">
        <v>2128</v>
      </c>
      <c r="D1365" s="5" t="s">
        <v>4760</v>
      </c>
      <c r="E1365" s="5" t="s">
        <v>62</v>
      </c>
      <c r="F1365" s="5" t="s">
        <v>2349</v>
      </c>
    </row>
    <row r="1366" customFormat="false" ht="23.85" hidden="false" customHeight="false" outlineLevel="0" collapsed="false">
      <c r="A1366" s="5" t="s">
        <v>5594</v>
      </c>
      <c r="B1366" s="2" t="s">
        <v>5595</v>
      </c>
      <c r="C1366" s="5" t="s">
        <v>2128</v>
      </c>
      <c r="D1366" s="5" t="s">
        <v>4760</v>
      </c>
      <c r="E1366" s="5" t="s">
        <v>62</v>
      </c>
      <c r="F1366" s="5" t="s">
        <v>2721</v>
      </c>
    </row>
    <row r="1367" customFormat="false" ht="23.85" hidden="false" customHeight="false" outlineLevel="0" collapsed="false">
      <c r="A1367" s="5" t="s">
        <v>5599</v>
      </c>
      <c r="B1367" s="2" t="s">
        <v>5600</v>
      </c>
      <c r="C1367" s="5" t="s">
        <v>2128</v>
      </c>
      <c r="D1367" s="5" t="s">
        <v>4760</v>
      </c>
      <c r="E1367" s="5" t="s">
        <v>62</v>
      </c>
      <c r="F1367" s="5" t="s">
        <v>8217</v>
      </c>
    </row>
    <row r="1368" customFormat="false" ht="23.85" hidden="false" customHeight="false" outlineLevel="0" collapsed="false">
      <c r="A1368" s="5" t="s">
        <v>5599</v>
      </c>
      <c r="B1368" s="2" t="s">
        <v>5600</v>
      </c>
      <c r="C1368" s="5" t="s">
        <v>2128</v>
      </c>
      <c r="D1368" s="5" t="s">
        <v>4760</v>
      </c>
      <c r="E1368" s="5" t="s">
        <v>62</v>
      </c>
      <c r="F1368" s="5" t="s">
        <v>2349</v>
      </c>
    </row>
    <row r="1369" customFormat="false" ht="23.85" hidden="false" customHeight="false" outlineLevel="0" collapsed="false">
      <c r="A1369" s="5" t="s">
        <v>5606</v>
      </c>
      <c r="B1369" s="2" t="s">
        <v>5607</v>
      </c>
      <c r="C1369" s="5" t="s">
        <v>2128</v>
      </c>
      <c r="D1369" s="5" t="s">
        <v>4760</v>
      </c>
      <c r="E1369" s="5" t="s">
        <v>62</v>
      </c>
      <c r="F1369" s="5" t="s">
        <v>2721</v>
      </c>
    </row>
    <row r="1370" customFormat="false" ht="23.85" hidden="false" customHeight="false" outlineLevel="0" collapsed="false">
      <c r="A1370" s="5" t="s">
        <v>5611</v>
      </c>
      <c r="B1370" s="2" t="s">
        <v>5612</v>
      </c>
      <c r="C1370" s="5" t="s">
        <v>2128</v>
      </c>
      <c r="D1370" s="5" t="s">
        <v>4760</v>
      </c>
      <c r="E1370" s="5" t="s">
        <v>62</v>
      </c>
      <c r="F1370" s="5" t="s">
        <v>8217</v>
      </c>
    </row>
    <row r="1371" customFormat="false" ht="23.85" hidden="false" customHeight="false" outlineLevel="0" collapsed="false">
      <c r="A1371" s="5" t="s">
        <v>5611</v>
      </c>
      <c r="B1371" s="2" t="s">
        <v>5612</v>
      </c>
      <c r="C1371" s="5" t="s">
        <v>2128</v>
      </c>
      <c r="D1371" s="5" t="s">
        <v>4760</v>
      </c>
      <c r="E1371" s="5" t="s">
        <v>62</v>
      </c>
      <c r="F1371" s="5" t="s">
        <v>2349</v>
      </c>
    </row>
    <row r="1372" customFormat="false" ht="23.85" hidden="false" customHeight="false" outlineLevel="0" collapsed="false">
      <c r="A1372" s="5" t="s">
        <v>5617</v>
      </c>
      <c r="B1372" s="2" t="s">
        <v>5618</v>
      </c>
      <c r="C1372" s="5" t="s">
        <v>2128</v>
      </c>
      <c r="D1372" s="5" t="s">
        <v>4760</v>
      </c>
      <c r="E1372" s="5" t="s">
        <v>62</v>
      </c>
      <c r="F1372" s="5" t="s">
        <v>8217</v>
      </c>
    </row>
    <row r="1373" customFormat="false" ht="23.85" hidden="false" customHeight="false" outlineLevel="0" collapsed="false">
      <c r="A1373" s="5" t="s">
        <v>5617</v>
      </c>
      <c r="B1373" s="2" t="s">
        <v>5618</v>
      </c>
      <c r="C1373" s="5" t="s">
        <v>2128</v>
      </c>
      <c r="D1373" s="5" t="s">
        <v>4760</v>
      </c>
      <c r="E1373" s="5" t="s">
        <v>62</v>
      </c>
      <c r="F1373" s="5" t="s">
        <v>2349</v>
      </c>
    </row>
    <row r="1374" customFormat="false" ht="23.85" hidden="false" customHeight="false" outlineLevel="0" collapsed="false">
      <c r="A1374" s="5" t="s">
        <v>5617</v>
      </c>
      <c r="B1374" s="2" t="s">
        <v>5618</v>
      </c>
      <c r="C1374" s="5" t="s">
        <v>2128</v>
      </c>
      <c r="D1374" s="5" t="s">
        <v>4760</v>
      </c>
      <c r="E1374" s="5" t="s">
        <v>62</v>
      </c>
      <c r="F1374" s="5" t="s">
        <v>8263</v>
      </c>
    </row>
    <row r="1375" customFormat="false" ht="23.85" hidden="false" customHeight="false" outlineLevel="0" collapsed="false">
      <c r="A1375" s="5" t="s">
        <v>5623</v>
      </c>
      <c r="B1375" s="2" t="s">
        <v>5624</v>
      </c>
      <c r="C1375" s="5" t="s">
        <v>2128</v>
      </c>
      <c r="D1375" s="5" t="s">
        <v>4760</v>
      </c>
      <c r="E1375" s="5" t="s">
        <v>62</v>
      </c>
      <c r="F1375" s="5" t="s">
        <v>8217</v>
      </c>
    </row>
    <row r="1376" customFormat="false" ht="23.85" hidden="false" customHeight="false" outlineLevel="0" collapsed="false">
      <c r="A1376" s="5" t="s">
        <v>5623</v>
      </c>
      <c r="B1376" s="2" t="s">
        <v>5624</v>
      </c>
      <c r="C1376" s="5" t="s">
        <v>2128</v>
      </c>
      <c r="D1376" s="5" t="s">
        <v>4760</v>
      </c>
      <c r="E1376" s="5" t="s">
        <v>62</v>
      </c>
      <c r="F1376" s="5" t="s">
        <v>2349</v>
      </c>
    </row>
    <row r="1377" customFormat="false" ht="23.85" hidden="false" customHeight="false" outlineLevel="0" collapsed="false">
      <c r="A1377" s="5" t="s">
        <v>5623</v>
      </c>
      <c r="B1377" s="2" t="s">
        <v>5624</v>
      </c>
      <c r="C1377" s="5" t="s">
        <v>2128</v>
      </c>
      <c r="D1377" s="5" t="s">
        <v>4760</v>
      </c>
      <c r="E1377" s="5" t="s">
        <v>62</v>
      </c>
      <c r="F1377" s="5" t="s">
        <v>8263</v>
      </c>
    </row>
    <row r="1378" customFormat="false" ht="23.85" hidden="false" customHeight="false" outlineLevel="0" collapsed="false">
      <c r="A1378" s="5" t="s">
        <v>5629</v>
      </c>
      <c r="B1378" s="2" t="s">
        <v>5630</v>
      </c>
      <c r="C1378" s="5" t="s">
        <v>2128</v>
      </c>
      <c r="D1378" s="5" t="s">
        <v>4760</v>
      </c>
      <c r="E1378" s="5" t="s">
        <v>62</v>
      </c>
      <c r="F1378" s="5" t="s">
        <v>8217</v>
      </c>
    </row>
    <row r="1379" customFormat="false" ht="23.85" hidden="false" customHeight="false" outlineLevel="0" collapsed="false">
      <c r="A1379" s="5" t="s">
        <v>5629</v>
      </c>
      <c r="B1379" s="2" t="s">
        <v>5630</v>
      </c>
      <c r="C1379" s="5" t="s">
        <v>2128</v>
      </c>
      <c r="D1379" s="5" t="s">
        <v>4760</v>
      </c>
      <c r="E1379" s="5" t="s">
        <v>62</v>
      </c>
      <c r="F1379" s="5" t="s">
        <v>2349</v>
      </c>
    </row>
    <row r="1380" customFormat="false" ht="23.85" hidden="false" customHeight="false" outlineLevel="0" collapsed="false">
      <c r="A1380" s="5" t="s">
        <v>5636</v>
      </c>
      <c r="B1380" s="2" t="s">
        <v>5637</v>
      </c>
      <c r="C1380" s="5" t="s">
        <v>2128</v>
      </c>
      <c r="D1380" s="5" t="s">
        <v>4760</v>
      </c>
      <c r="E1380" s="5" t="s">
        <v>62</v>
      </c>
      <c r="F1380" s="5" t="s">
        <v>8217</v>
      </c>
    </row>
    <row r="1381" customFormat="false" ht="23.85" hidden="false" customHeight="false" outlineLevel="0" collapsed="false">
      <c r="A1381" s="5" t="s">
        <v>5636</v>
      </c>
      <c r="B1381" s="2" t="s">
        <v>5637</v>
      </c>
      <c r="C1381" s="5" t="s">
        <v>2128</v>
      </c>
      <c r="D1381" s="5" t="s">
        <v>4760</v>
      </c>
      <c r="E1381" s="5" t="s">
        <v>62</v>
      </c>
      <c r="F1381" s="5" t="s">
        <v>2349</v>
      </c>
    </row>
    <row r="1382" customFormat="false" ht="23.85" hidden="false" customHeight="false" outlineLevel="0" collapsed="false">
      <c r="A1382" s="5" t="s">
        <v>5642</v>
      </c>
      <c r="B1382" s="2" t="s">
        <v>5643</v>
      </c>
      <c r="C1382" s="5" t="s">
        <v>2128</v>
      </c>
      <c r="D1382" s="5" t="s">
        <v>4760</v>
      </c>
      <c r="E1382" s="5" t="s">
        <v>62</v>
      </c>
      <c r="F1382" s="5" t="s">
        <v>8217</v>
      </c>
    </row>
    <row r="1383" customFormat="false" ht="23.85" hidden="false" customHeight="false" outlineLevel="0" collapsed="false">
      <c r="A1383" s="5" t="s">
        <v>5642</v>
      </c>
      <c r="B1383" s="2" t="s">
        <v>5643</v>
      </c>
      <c r="C1383" s="5" t="s">
        <v>2128</v>
      </c>
      <c r="D1383" s="5" t="s">
        <v>4760</v>
      </c>
      <c r="E1383" s="5" t="s">
        <v>62</v>
      </c>
      <c r="F1383" s="5" t="s">
        <v>2349</v>
      </c>
    </row>
    <row r="1384" customFormat="false" ht="23.85" hidden="false" customHeight="false" outlineLevel="0" collapsed="false">
      <c r="A1384" s="5" t="s">
        <v>5648</v>
      </c>
      <c r="B1384" s="2" t="s">
        <v>5649</v>
      </c>
      <c r="C1384" s="5" t="s">
        <v>2128</v>
      </c>
      <c r="D1384" s="5" t="s">
        <v>4760</v>
      </c>
      <c r="E1384" s="5" t="s">
        <v>62</v>
      </c>
      <c r="F1384" s="5" t="s">
        <v>8217</v>
      </c>
    </row>
    <row r="1385" customFormat="false" ht="23.85" hidden="false" customHeight="false" outlineLevel="0" collapsed="false">
      <c r="A1385" s="5" t="s">
        <v>5648</v>
      </c>
      <c r="B1385" s="2" t="s">
        <v>5649</v>
      </c>
      <c r="C1385" s="5" t="s">
        <v>2128</v>
      </c>
      <c r="D1385" s="5" t="s">
        <v>4760</v>
      </c>
      <c r="E1385" s="5" t="s">
        <v>62</v>
      </c>
      <c r="F1385" s="5" t="s">
        <v>2349</v>
      </c>
    </row>
    <row r="1386" customFormat="false" ht="23.85" hidden="false" customHeight="false" outlineLevel="0" collapsed="false">
      <c r="A1386" s="5" t="s">
        <v>5654</v>
      </c>
      <c r="B1386" s="2" t="s">
        <v>5655</v>
      </c>
      <c r="C1386" s="5" t="s">
        <v>2245</v>
      </c>
      <c r="D1386" s="5" t="s">
        <v>4760</v>
      </c>
      <c r="E1386" s="5" t="s">
        <v>62</v>
      </c>
      <c r="F1386" s="5" t="s">
        <v>8217</v>
      </c>
    </row>
    <row r="1387" customFormat="false" ht="23.85" hidden="false" customHeight="false" outlineLevel="0" collapsed="false">
      <c r="A1387" s="5" t="s">
        <v>5654</v>
      </c>
      <c r="B1387" s="2" t="s">
        <v>5655</v>
      </c>
      <c r="C1387" s="5" t="s">
        <v>2245</v>
      </c>
      <c r="D1387" s="5" t="s">
        <v>4760</v>
      </c>
      <c r="E1387" s="5" t="s">
        <v>62</v>
      </c>
      <c r="F1387" s="5" t="s">
        <v>2349</v>
      </c>
    </row>
    <row r="1388" customFormat="false" ht="23.85" hidden="false" customHeight="false" outlineLevel="0" collapsed="false">
      <c r="A1388" s="5" t="s">
        <v>5660</v>
      </c>
      <c r="B1388" s="2" t="s">
        <v>5661</v>
      </c>
      <c r="C1388" s="5" t="s">
        <v>2128</v>
      </c>
      <c r="D1388" s="5" t="s">
        <v>4760</v>
      </c>
      <c r="E1388" s="5" t="s">
        <v>62</v>
      </c>
      <c r="F1388" s="5" t="s">
        <v>2721</v>
      </c>
    </row>
    <row r="1389" customFormat="false" ht="23.85" hidden="false" customHeight="false" outlineLevel="0" collapsed="false">
      <c r="A1389" s="5" t="s">
        <v>5665</v>
      </c>
      <c r="B1389" s="2" t="s">
        <v>5666</v>
      </c>
      <c r="C1389" s="5" t="s">
        <v>2128</v>
      </c>
      <c r="D1389" s="5" t="s">
        <v>4760</v>
      </c>
      <c r="E1389" s="5" t="s">
        <v>62</v>
      </c>
      <c r="F1389" s="5" t="s">
        <v>8217</v>
      </c>
    </row>
    <row r="1390" customFormat="false" ht="23.85" hidden="false" customHeight="false" outlineLevel="0" collapsed="false">
      <c r="A1390" s="5" t="s">
        <v>5665</v>
      </c>
      <c r="B1390" s="2" t="s">
        <v>5666</v>
      </c>
      <c r="C1390" s="5" t="s">
        <v>2128</v>
      </c>
      <c r="D1390" s="5" t="s">
        <v>4760</v>
      </c>
      <c r="E1390" s="5" t="s">
        <v>62</v>
      </c>
      <c r="F1390" s="5" t="s">
        <v>2349</v>
      </c>
    </row>
    <row r="1391" customFormat="false" ht="23.85" hidden="false" customHeight="false" outlineLevel="0" collapsed="false">
      <c r="A1391" s="5" t="s">
        <v>5672</v>
      </c>
      <c r="B1391" s="2" t="s">
        <v>5673</v>
      </c>
      <c r="C1391" s="5" t="s">
        <v>2128</v>
      </c>
      <c r="D1391" s="5" t="s">
        <v>4760</v>
      </c>
      <c r="E1391" s="5" t="s">
        <v>62</v>
      </c>
      <c r="F1391" s="5" t="s">
        <v>2721</v>
      </c>
    </row>
    <row r="1392" customFormat="false" ht="23.85" hidden="false" customHeight="false" outlineLevel="0" collapsed="false">
      <c r="A1392" s="5" t="s">
        <v>5677</v>
      </c>
      <c r="B1392" s="2" t="s">
        <v>5678</v>
      </c>
      <c r="C1392" s="5" t="s">
        <v>2128</v>
      </c>
      <c r="D1392" s="5" t="s">
        <v>4760</v>
      </c>
      <c r="E1392" s="5" t="s">
        <v>62</v>
      </c>
      <c r="F1392" s="5" t="s">
        <v>8217</v>
      </c>
    </row>
    <row r="1393" customFormat="false" ht="23.85" hidden="false" customHeight="false" outlineLevel="0" collapsed="false">
      <c r="A1393" s="5" t="s">
        <v>5677</v>
      </c>
      <c r="B1393" s="2" t="s">
        <v>5678</v>
      </c>
      <c r="C1393" s="5" t="s">
        <v>2128</v>
      </c>
      <c r="D1393" s="5" t="s">
        <v>4760</v>
      </c>
      <c r="E1393" s="5" t="s">
        <v>62</v>
      </c>
      <c r="F1393" s="5" t="s">
        <v>2349</v>
      </c>
    </row>
    <row r="1394" customFormat="false" ht="23.85" hidden="false" customHeight="false" outlineLevel="0" collapsed="false">
      <c r="A1394" s="5" t="s">
        <v>5684</v>
      </c>
      <c r="B1394" s="2" t="s">
        <v>5685</v>
      </c>
      <c r="C1394" s="5" t="s">
        <v>2128</v>
      </c>
      <c r="D1394" s="5" t="s">
        <v>4760</v>
      </c>
      <c r="E1394" s="5" t="s">
        <v>62</v>
      </c>
      <c r="F1394" s="5" t="s">
        <v>8217</v>
      </c>
    </row>
    <row r="1395" customFormat="false" ht="23.85" hidden="false" customHeight="false" outlineLevel="0" collapsed="false">
      <c r="A1395" s="5" t="s">
        <v>5684</v>
      </c>
      <c r="B1395" s="2" t="s">
        <v>5685</v>
      </c>
      <c r="C1395" s="5" t="s">
        <v>2128</v>
      </c>
      <c r="D1395" s="5" t="s">
        <v>4760</v>
      </c>
      <c r="E1395" s="5" t="s">
        <v>62</v>
      </c>
      <c r="F1395" s="5" t="s">
        <v>2349</v>
      </c>
    </row>
    <row r="1396" customFormat="false" ht="35.05" hidden="false" customHeight="false" outlineLevel="0" collapsed="false">
      <c r="A1396" s="5" t="s">
        <v>5691</v>
      </c>
      <c r="B1396" s="2" t="s">
        <v>5692</v>
      </c>
      <c r="C1396" s="5" t="s">
        <v>2128</v>
      </c>
      <c r="D1396" s="5" t="s">
        <v>4760</v>
      </c>
      <c r="E1396" s="5" t="s">
        <v>62</v>
      </c>
      <c r="F1396" s="5" t="s">
        <v>8217</v>
      </c>
    </row>
    <row r="1397" customFormat="false" ht="35.05" hidden="false" customHeight="false" outlineLevel="0" collapsed="false">
      <c r="A1397" s="5" t="s">
        <v>5691</v>
      </c>
      <c r="B1397" s="2" t="s">
        <v>5692</v>
      </c>
      <c r="C1397" s="5" t="s">
        <v>2128</v>
      </c>
      <c r="D1397" s="5" t="s">
        <v>4760</v>
      </c>
      <c r="E1397" s="5" t="s">
        <v>62</v>
      </c>
      <c r="F1397" s="5" t="s">
        <v>2349</v>
      </c>
    </row>
    <row r="1398" customFormat="false" ht="23.85" hidden="false" customHeight="false" outlineLevel="0" collapsed="false">
      <c r="A1398" s="5" t="s">
        <v>5697</v>
      </c>
      <c r="B1398" s="2" t="s">
        <v>5698</v>
      </c>
      <c r="C1398" s="5" t="s">
        <v>2128</v>
      </c>
      <c r="D1398" s="5" t="s">
        <v>4760</v>
      </c>
      <c r="E1398" s="5" t="s">
        <v>62</v>
      </c>
      <c r="F1398" s="5" t="s">
        <v>2721</v>
      </c>
    </row>
    <row r="1399" customFormat="false" ht="23.85" hidden="false" customHeight="false" outlineLevel="0" collapsed="false">
      <c r="A1399" s="5" t="s">
        <v>5702</v>
      </c>
      <c r="B1399" s="2" t="s">
        <v>5703</v>
      </c>
      <c r="C1399" s="5" t="s">
        <v>2128</v>
      </c>
      <c r="D1399" s="5" t="s">
        <v>4760</v>
      </c>
      <c r="E1399" s="5" t="s">
        <v>62</v>
      </c>
      <c r="F1399" s="5" t="s">
        <v>8217</v>
      </c>
    </row>
    <row r="1400" customFormat="false" ht="23.85" hidden="false" customHeight="false" outlineLevel="0" collapsed="false">
      <c r="A1400" s="5" t="s">
        <v>5702</v>
      </c>
      <c r="B1400" s="2" t="s">
        <v>5703</v>
      </c>
      <c r="C1400" s="5" t="s">
        <v>2128</v>
      </c>
      <c r="D1400" s="5" t="s">
        <v>4760</v>
      </c>
      <c r="E1400" s="5" t="s">
        <v>62</v>
      </c>
      <c r="F1400" s="5" t="s">
        <v>2349</v>
      </c>
    </row>
    <row r="1401" customFormat="false" ht="23.85" hidden="false" customHeight="false" outlineLevel="0" collapsed="false">
      <c r="A1401" s="5" t="s">
        <v>5709</v>
      </c>
      <c r="B1401" s="2" t="s">
        <v>5710</v>
      </c>
      <c r="C1401" s="5" t="s">
        <v>2128</v>
      </c>
      <c r="D1401" s="5" t="s">
        <v>4760</v>
      </c>
      <c r="E1401" s="5" t="s">
        <v>490</v>
      </c>
      <c r="F1401" s="5" t="s">
        <v>2721</v>
      </c>
    </row>
    <row r="1402" customFormat="false" ht="23.85" hidden="false" customHeight="false" outlineLevel="0" collapsed="false">
      <c r="A1402" s="5" t="s">
        <v>5714</v>
      </c>
      <c r="B1402" s="2" t="s">
        <v>5715</v>
      </c>
      <c r="C1402" s="5" t="s">
        <v>2128</v>
      </c>
      <c r="D1402" s="5" t="s">
        <v>4760</v>
      </c>
      <c r="E1402" s="5" t="s">
        <v>490</v>
      </c>
      <c r="F1402" s="5" t="s">
        <v>8217</v>
      </c>
    </row>
    <row r="1403" customFormat="false" ht="23.85" hidden="false" customHeight="false" outlineLevel="0" collapsed="false">
      <c r="A1403" s="5" t="s">
        <v>5714</v>
      </c>
      <c r="B1403" s="2" t="s">
        <v>5715</v>
      </c>
      <c r="C1403" s="5" t="s">
        <v>2128</v>
      </c>
      <c r="D1403" s="5" t="s">
        <v>4760</v>
      </c>
      <c r="E1403" s="5" t="s">
        <v>490</v>
      </c>
      <c r="F1403" s="5" t="s">
        <v>2349</v>
      </c>
    </row>
    <row r="1404" customFormat="false" ht="23.85" hidden="false" customHeight="false" outlineLevel="0" collapsed="false">
      <c r="A1404" s="5" t="s">
        <v>5721</v>
      </c>
      <c r="B1404" s="2" t="s">
        <v>5722</v>
      </c>
      <c r="C1404" s="5" t="s">
        <v>2128</v>
      </c>
      <c r="D1404" s="5" t="s">
        <v>4760</v>
      </c>
      <c r="E1404" s="5" t="s">
        <v>62</v>
      </c>
      <c r="F1404" s="5" t="s">
        <v>8217</v>
      </c>
    </row>
    <row r="1405" customFormat="false" ht="23.85" hidden="false" customHeight="false" outlineLevel="0" collapsed="false">
      <c r="A1405" s="5" t="s">
        <v>5721</v>
      </c>
      <c r="B1405" s="2" t="s">
        <v>5722</v>
      </c>
      <c r="C1405" s="5" t="s">
        <v>2128</v>
      </c>
      <c r="D1405" s="5" t="s">
        <v>4760</v>
      </c>
      <c r="E1405" s="5" t="s">
        <v>62</v>
      </c>
      <c r="F1405" s="5" t="s">
        <v>2349</v>
      </c>
    </row>
    <row r="1406" customFormat="false" ht="23.85" hidden="false" customHeight="false" outlineLevel="0" collapsed="false">
      <c r="A1406" s="5" t="s">
        <v>5727</v>
      </c>
      <c r="B1406" s="2" t="s">
        <v>5728</v>
      </c>
      <c r="C1406" s="5" t="s">
        <v>2245</v>
      </c>
      <c r="D1406" s="5" t="s">
        <v>4760</v>
      </c>
      <c r="E1406" s="5" t="s">
        <v>62</v>
      </c>
      <c r="F1406" s="5" t="s">
        <v>8217</v>
      </c>
    </row>
    <row r="1407" customFormat="false" ht="23.85" hidden="false" customHeight="false" outlineLevel="0" collapsed="false">
      <c r="A1407" s="5" t="s">
        <v>5727</v>
      </c>
      <c r="B1407" s="2" t="s">
        <v>5728</v>
      </c>
      <c r="C1407" s="5" t="s">
        <v>2245</v>
      </c>
      <c r="D1407" s="5" t="s">
        <v>4760</v>
      </c>
      <c r="E1407" s="5" t="s">
        <v>62</v>
      </c>
      <c r="F1407" s="5" t="s">
        <v>2349</v>
      </c>
    </row>
    <row r="1408" customFormat="false" ht="23.85" hidden="false" customHeight="false" outlineLevel="0" collapsed="false">
      <c r="A1408" s="5" t="s">
        <v>5733</v>
      </c>
      <c r="B1408" s="2" t="s">
        <v>5734</v>
      </c>
      <c r="C1408" s="5" t="s">
        <v>2128</v>
      </c>
      <c r="D1408" s="5" t="s">
        <v>4760</v>
      </c>
      <c r="E1408" s="5" t="s">
        <v>62</v>
      </c>
      <c r="F1408" s="5" t="s">
        <v>8217</v>
      </c>
    </row>
    <row r="1409" customFormat="false" ht="23.85" hidden="false" customHeight="false" outlineLevel="0" collapsed="false">
      <c r="A1409" s="5" t="s">
        <v>5733</v>
      </c>
      <c r="B1409" s="2" t="s">
        <v>5734</v>
      </c>
      <c r="C1409" s="5" t="s">
        <v>2128</v>
      </c>
      <c r="D1409" s="5" t="s">
        <v>4760</v>
      </c>
      <c r="E1409" s="5" t="s">
        <v>62</v>
      </c>
      <c r="F1409" s="5" t="s">
        <v>2349</v>
      </c>
    </row>
    <row r="1410" customFormat="false" ht="15" hidden="false" customHeight="false" outlineLevel="0" collapsed="false">
      <c r="A1410" s="5" t="s">
        <v>5739</v>
      </c>
      <c r="B1410" s="2" t="s">
        <v>5740</v>
      </c>
      <c r="C1410" s="5" t="s">
        <v>2128</v>
      </c>
      <c r="D1410" s="5" t="s">
        <v>4760</v>
      </c>
      <c r="E1410" s="5" t="s">
        <v>62</v>
      </c>
      <c r="F1410" s="5" t="s">
        <v>2721</v>
      </c>
    </row>
    <row r="1411" customFormat="false" ht="23.85" hidden="false" customHeight="false" outlineLevel="0" collapsed="false">
      <c r="A1411" s="5" t="s">
        <v>5744</v>
      </c>
      <c r="B1411" s="2" t="s">
        <v>5745</v>
      </c>
      <c r="C1411" s="5" t="s">
        <v>2128</v>
      </c>
      <c r="D1411" s="5" t="s">
        <v>4760</v>
      </c>
      <c r="E1411" s="5" t="s">
        <v>62</v>
      </c>
      <c r="F1411" s="5" t="s">
        <v>8217</v>
      </c>
    </row>
    <row r="1412" customFormat="false" ht="23.85" hidden="false" customHeight="false" outlineLevel="0" collapsed="false">
      <c r="A1412" s="5" t="s">
        <v>5744</v>
      </c>
      <c r="B1412" s="2" t="s">
        <v>5745</v>
      </c>
      <c r="C1412" s="5" t="s">
        <v>2128</v>
      </c>
      <c r="D1412" s="5" t="s">
        <v>4760</v>
      </c>
      <c r="E1412" s="5" t="s">
        <v>62</v>
      </c>
      <c r="F1412" s="5" t="s">
        <v>2349</v>
      </c>
    </row>
    <row r="1413" customFormat="false" ht="15" hidden="false" customHeight="false" outlineLevel="0" collapsed="false">
      <c r="A1413" s="5" t="s">
        <v>5751</v>
      </c>
      <c r="B1413" s="2" t="s">
        <v>5752</v>
      </c>
      <c r="C1413" s="5" t="s">
        <v>2128</v>
      </c>
      <c r="D1413" s="5" t="s">
        <v>4760</v>
      </c>
      <c r="E1413" s="5" t="s">
        <v>490</v>
      </c>
      <c r="F1413" s="5" t="s">
        <v>2721</v>
      </c>
    </row>
    <row r="1414" customFormat="false" ht="15" hidden="false" customHeight="false" outlineLevel="0" collapsed="false">
      <c r="A1414" s="5" t="s">
        <v>5756</v>
      </c>
      <c r="B1414" s="2" t="s">
        <v>5757</v>
      </c>
      <c r="C1414" s="5" t="s">
        <v>2128</v>
      </c>
      <c r="D1414" s="5" t="s">
        <v>4760</v>
      </c>
      <c r="E1414" s="5" t="s">
        <v>490</v>
      </c>
      <c r="F1414" s="5" t="s">
        <v>8217</v>
      </c>
    </row>
    <row r="1415" customFormat="false" ht="15" hidden="false" customHeight="false" outlineLevel="0" collapsed="false">
      <c r="A1415" s="5" t="s">
        <v>5756</v>
      </c>
      <c r="B1415" s="2" t="s">
        <v>5757</v>
      </c>
      <c r="C1415" s="5" t="s">
        <v>2128</v>
      </c>
      <c r="D1415" s="5" t="s">
        <v>4760</v>
      </c>
      <c r="E1415" s="5" t="s">
        <v>490</v>
      </c>
      <c r="F1415" s="5" t="s">
        <v>2349</v>
      </c>
    </row>
    <row r="1416" customFormat="false" ht="23.85" hidden="false" customHeight="false" outlineLevel="0" collapsed="false">
      <c r="A1416" s="5" t="s">
        <v>5763</v>
      </c>
      <c r="B1416" s="2" t="s">
        <v>5764</v>
      </c>
      <c r="C1416" s="5" t="s">
        <v>2128</v>
      </c>
      <c r="D1416" s="5" t="s">
        <v>4760</v>
      </c>
      <c r="E1416" s="5" t="s">
        <v>490</v>
      </c>
      <c r="F1416" s="5" t="s">
        <v>2721</v>
      </c>
    </row>
    <row r="1417" customFormat="false" ht="23.85" hidden="false" customHeight="false" outlineLevel="0" collapsed="false">
      <c r="A1417" s="5" t="s">
        <v>5768</v>
      </c>
      <c r="B1417" s="2" t="s">
        <v>5769</v>
      </c>
      <c r="C1417" s="5" t="s">
        <v>2128</v>
      </c>
      <c r="D1417" s="5" t="s">
        <v>4760</v>
      </c>
      <c r="E1417" s="5" t="s">
        <v>62</v>
      </c>
      <c r="F1417" s="5" t="s">
        <v>8217</v>
      </c>
    </row>
    <row r="1418" customFormat="false" ht="23.85" hidden="false" customHeight="false" outlineLevel="0" collapsed="false">
      <c r="A1418" s="5" t="s">
        <v>5768</v>
      </c>
      <c r="B1418" s="2" t="s">
        <v>5769</v>
      </c>
      <c r="C1418" s="5" t="s">
        <v>2128</v>
      </c>
      <c r="D1418" s="5" t="s">
        <v>4760</v>
      </c>
      <c r="E1418" s="5" t="s">
        <v>62</v>
      </c>
      <c r="F1418" s="5" t="s">
        <v>2349</v>
      </c>
    </row>
    <row r="1419" customFormat="false" ht="23.85" hidden="false" customHeight="false" outlineLevel="0" collapsed="false">
      <c r="A1419" s="5" t="s">
        <v>5775</v>
      </c>
      <c r="B1419" s="2" t="s">
        <v>5776</v>
      </c>
      <c r="C1419" s="5" t="s">
        <v>2128</v>
      </c>
      <c r="D1419" s="5" t="s">
        <v>4760</v>
      </c>
      <c r="E1419" s="5" t="s">
        <v>490</v>
      </c>
      <c r="F1419" s="5" t="s">
        <v>8217</v>
      </c>
    </row>
    <row r="1420" customFormat="false" ht="23.85" hidden="false" customHeight="false" outlineLevel="0" collapsed="false">
      <c r="A1420" s="5" t="s">
        <v>5775</v>
      </c>
      <c r="B1420" s="2" t="s">
        <v>5776</v>
      </c>
      <c r="C1420" s="5" t="s">
        <v>2128</v>
      </c>
      <c r="D1420" s="5" t="s">
        <v>4760</v>
      </c>
      <c r="E1420" s="5" t="s">
        <v>490</v>
      </c>
      <c r="F1420" s="5" t="s">
        <v>2349</v>
      </c>
    </row>
    <row r="1421" customFormat="false" ht="23.85" hidden="false" customHeight="false" outlineLevel="0" collapsed="false">
      <c r="A1421" s="5" t="s">
        <v>5782</v>
      </c>
      <c r="B1421" s="2" t="s">
        <v>5783</v>
      </c>
      <c r="C1421" s="5" t="s">
        <v>2128</v>
      </c>
      <c r="D1421" s="5" t="s">
        <v>4760</v>
      </c>
      <c r="E1421" s="5" t="s">
        <v>62</v>
      </c>
      <c r="F1421" s="5" t="s">
        <v>8217</v>
      </c>
    </row>
    <row r="1422" customFormat="false" ht="23.85" hidden="false" customHeight="false" outlineLevel="0" collapsed="false">
      <c r="A1422" s="5" t="s">
        <v>5782</v>
      </c>
      <c r="B1422" s="2" t="s">
        <v>5783</v>
      </c>
      <c r="C1422" s="5" t="s">
        <v>2128</v>
      </c>
      <c r="D1422" s="5" t="s">
        <v>4760</v>
      </c>
      <c r="E1422" s="5" t="s">
        <v>62</v>
      </c>
      <c r="F1422" s="5" t="s">
        <v>2349</v>
      </c>
    </row>
    <row r="1423" customFormat="false" ht="23.85" hidden="false" customHeight="false" outlineLevel="0" collapsed="false">
      <c r="A1423" s="5" t="s">
        <v>5788</v>
      </c>
      <c r="B1423" s="2" t="s">
        <v>5789</v>
      </c>
      <c r="C1423" s="5" t="s">
        <v>2128</v>
      </c>
      <c r="D1423" s="5" t="s">
        <v>4760</v>
      </c>
      <c r="E1423" s="5" t="s">
        <v>62</v>
      </c>
      <c r="F1423" s="5" t="s">
        <v>8217</v>
      </c>
    </row>
    <row r="1424" customFormat="false" ht="23.85" hidden="false" customHeight="false" outlineLevel="0" collapsed="false">
      <c r="A1424" s="5" t="s">
        <v>5788</v>
      </c>
      <c r="B1424" s="2" t="s">
        <v>5789</v>
      </c>
      <c r="C1424" s="5" t="s">
        <v>2128</v>
      </c>
      <c r="D1424" s="5" t="s">
        <v>4760</v>
      </c>
      <c r="E1424" s="5" t="s">
        <v>62</v>
      </c>
      <c r="F1424" s="5" t="s">
        <v>2349</v>
      </c>
    </row>
    <row r="1425" customFormat="false" ht="23.85" hidden="false" customHeight="false" outlineLevel="0" collapsed="false">
      <c r="A1425" s="5" t="s">
        <v>5795</v>
      </c>
      <c r="B1425" s="2" t="s">
        <v>5796</v>
      </c>
      <c r="C1425" s="5" t="s">
        <v>2128</v>
      </c>
      <c r="D1425" s="5" t="s">
        <v>4760</v>
      </c>
      <c r="E1425" s="5" t="s">
        <v>62</v>
      </c>
      <c r="F1425" s="5" t="s">
        <v>2721</v>
      </c>
    </row>
    <row r="1426" customFormat="false" ht="23.85" hidden="false" customHeight="false" outlineLevel="0" collapsed="false">
      <c r="A1426" s="5" t="s">
        <v>5800</v>
      </c>
      <c r="B1426" s="2" t="s">
        <v>5801</v>
      </c>
      <c r="C1426" s="5" t="s">
        <v>2128</v>
      </c>
      <c r="D1426" s="5" t="s">
        <v>4760</v>
      </c>
      <c r="E1426" s="5" t="s">
        <v>62</v>
      </c>
      <c r="F1426" s="5" t="s">
        <v>8217</v>
      </c>
    </row>
    <row r="1427" customFormat="false" ht="23.85" hidden="false" customHeight="false" outlineLevel="0" collapsed="false">
      <c r="A1427" s="5" t="s">
        <v>5800</v>
      </c>
      <c r="B1427" s="2" t="s">
        <v>5801</v>
      </c>
      <c r="C1427" s="5" t="s">
        <v>2128</v>
      </c>
      <c r="D1427" s="5" t="s">
        <v>4760</v>
      </c>
      <c r="E1427" s="5" t="s">
        <v>62</v>
      </c>
      <c r="F1427" s="5" t="s">
        <v>2349</v>
      </c>
    </row>
    <row r="1428" customFormat="false" ht="23.85" hidden="false" customHeight="false" outlineLevel="0" collapsed="false">
      <c r="A1428" s="5" t="s">
        <v>5807</v>
      </c>
      <c r="B1428" s="2" t="s">
        <v>5808</v>
      </c>
      <c r="C1428" s="5" t="s">
        <v>2128</v>
      </c>
      <c r="D1428" s="5" t="s">
        <v>4760</v>
      </c>
      <c r="E1428" s="5" t="s">
        <v>62</v>
      </c>
      <c r="F1428" s="5" t="s">
        <v>8217</v>
      </c>
    </row>
    <row r="1429" customFormat="false" ht="23.85" hidden="false" customHeight="false" outlineLevel="0" collapsed="false">
      <c r="A1429" s="5" t="s">
        <v>5807</v>
      </c>
      <c r="B1429" s="2" t="s">
        <v>5808</v>
      </c>
      <c r="C1429" s="5" t="s">
        <v>2128</v>
      </c>
      <c r="D1429" s="5" t="s">
        <v>4760</v>
      </c>
      <c r="E1429" s="5" t="s">
        <v>62</v>
      </c>
      <c r="F1429" s="5" t="s">
        <v>2349</v>
      </c>
    </row>
    <row r="1430" customFormat="false" ht="23.85" hidden="false" customHeight="false" outlineLevel="0" collapsed="false">
      <c r="A1430" s="5" t="s">
        <v>5813</v>
      </c>
      <c r="B1430" s="2" t="s">
        <v>5814</v>
      </c>
      <c r="C1430" s="5" t="s">
        <v>2128</v>
      </c>
      <c r="D1430" s="5" t="s">
        <v>4760</v>
      </c>
      <c r="E1430" s="5" t="s">
        <v>62</v>
      </c>
      <c r="F1430" s="5" t="s">
        <v>8217</v>
      </c>
    </row>
    <row r="1431" customFormat="false" ht="23.85" hidden="false" customHeight="false" outlineLevel="0" collapsed="false">
      <c r="A1431" s="5" t="s">
        <v>5813</v>
      </c>
      <c r="B1431" s="2" t="s">
        <v>5814</v>
      </c>
      <c r="C1431" s="5" t="s">
        <v>2128</v>
      </c>
      <c r="D1431" s="5" t="s">
        <v>4760</v>
      </c>
      <c r="E1431" s="5" t="s">
        <v>62</v>
      </c>
      <c r="F1431" s="5" t="s">
        <v>2349</v>
      </c>
    </row>
    <row r="1432" customFormat="false" ht="23.85" hidden="false" customHeight="false" outlineLevel="0" collapsed="false">
      <c r="A1432" s="5" t="s">
        <v>5813</v>
      </c>
      <c r="B1432" s="2" t="s">
        <v>5814</v>
      </c>
      <c r="C1432" s="5" t="s">
        <v>2128</v>
      </c>
      <c r="D1432" s="5" t="s">
        <v>4760</v>
      </c>
      <c r="E1432" s="5" t="s">
        <v>62</v>
      </c>
      <c r="F1432" s="5" t="s">
        <v>8263</v>
      </c>
    </row>
    <row r="1433" customFormat="false" ht="23.85" hidden="false" customHeight="false" outlineLevel="0" collapsed="false">
      <c r="A1433" s="5" t="s">
        <v>5819</v>
      </c>
      <c r="B1433" s="2" t="s">
        <v>5820</v>
      </c>
      <c r="C1433" s="5" t="s">
        <v>2128</v>
      </c>
      <c r="D1433" s="5" t="s">
        <v>4760</v>
      </c>
      <c r="E1433" s="5" t="s">
        <v>62</v>
      </c>
      <c r="F1433" s="5" t="s">
        <v>8217</v>
      </c>
    </row>
    <row r="1434" customFormat="false" ht="23.85" hidden="false" customHeight="false" outlineLevel="0" collapsed="false">
      <c r="A1434" s="5" t="s">
        <v>5819</v>
      </c>
      <c r="B1434" s="2" t="s">
        <v>5820</v>
      </c>
      <c r="C1434" s="5" t="s">
        <v>2128</v>
      </c>
      <c r="D1434" s="5" t="s">
        <v>4760</v>
      </c>
      <c r="E1434" s="5" t="s">
        <v>62</v>
      </c>
      <c r="F1434" s="5" t="s">
        <v>2349</v>
      </c>
    </row>
    <row r="1435" customFormat="false" ht="23.85" hidden="false" customHeight="false" outlineLevel="0" collapsed="false">
      <c r="A1435" s="5" t="s">
        <v>5825</v>
      </c>
      <c r="B1435" s="2" t="s">
        <v>5826</v>
      </c>
      <c r="C1435" s="5" t="s">
        <v>2128</v>
      </c>
      <c r="D1435" s="5" t="s">
        <v>4760</v>
      </c>
      <c r="E1435" s="5" t="s">
        <v>62</v>
      </c>
      <c r="F1435" s="5" t="s">
        <v>2721</v>
      </c>
    </row>
    <row r="1436" customFormat="false" ht="23.85" hidden="false" customHeight="false" outlineLevel="0" collapsed="false">
      <c r="A1436" s="5" t="s">
        <v>5830</v>
      </c>
      <c r="B1436" s="2" t="s">
        <v>5831</v>
      </c>
      <c r="C1436" s="5" t="s">
        <v>2128</v>
      </c>
      <c r="D1436" s="5" t="s">
        <v>4760</v>
      </c>
      <c r="E1436" s="5" t="s">
        <v>62</v>
      </c>
      <c r="F1436" s="5" t="s">
        <v>8217</v>
      </c>
    </row>
    <row r="1437" customFormat="false" ht="23.85" hidden="false" customHeight="false" outlineLevel="0" collapsed="false">
      <c r="A1437" s="5" t="s">
        <v>5830</v>
      </c>
      <c r="B1437" s="2" t="s">
        <v>5831</v>
      </c>
      <c r="C1437" s="5" t="s">
        <v>2128</v>
      </c>
      <c r="D1437" s="5" t="s">
        <v>4760</v>
      </c>
      <c r="E1437" s="5" t="s">
        <v>62</v>
      </c>
      <c r="F1437" s="5" t="s">
        <v>2349</v>
      </c>
    </row>
    <row r="1438" customFormat="false" ht="23.85" hidden="false" customHeight="false" outlineLevel="0" collapsed="false">
      <c r="A1438" s="5" t="s">
        <v>5837</v>
      </c>
      <c r="B1438" s="2" t="s">
        <v>5838</v>
      </c>
      <c r="C1438" s="5" t="s">
        <v>2128</v>
      </c>
      <c r="D1438" s="5" t="s">
        <v>4760</v>
      </c>
      <c r="E1438" s="5" t="s">
        <v>62</v>
      </c>
      <c r="F1438" s="5" t="s">
        <v>2721</v>
      </c>
    </row>
    <row r="1439" customFormat="false" ht="23.85" hidden="false" customHeight="false" outlineLevel="0" collapsed="false">
      <c r="A1439" s="5" t="s">
        <v>5842</v>
      </c>
      <c r="B1439" s="2" t="s">
        <v>5843</v>
      </c>
      <c r="C1439" s="5" t="s">
        <v>2128</v>
      </c>
      <c r="D1439" s="5" t="s">
        <v>4760</v>
      </c>
      <c r="E1439" s="5" t="s">
        <v>62</v>
      </c>
      <c r="F1439" s="5" t="s">
        <v>8217</v>
      </c>
    </row>
    <row r="1440" customFormat="false" ht="23.85" hidden="false" customHeight="false" outlineLevel="0" collapsed="false">
      <c r="A1440" s="5" t="s">
        <v>5842</v>
      </c>
      <c r="B1440" s="2" t="s">
        <v>5843</v>
      </c>
      <c r="C1440" s="5" t="s">
        <v>2128</v>
      </c>
      <c r="D1440" s="5" t="s">
        <v>4760</v>
      </c>
      <c r="E1440" s="5" t="s">
        <v>62</v>
      </c>
      <c r="F1440" s="5" t="s">
        <v>2349</v>
      </c>
    </row>
    <row r="1441" customFormat="false" ht="23.85" hidden="false" customHeight="false" outlineLevel="0" collapsed="false">
      <c r="A1441" s="5" t="s">
        <v>5849</v>
      </c>
      <c r="B1441" s="2" t="s">
        <v>5850</v>
      </c>
      <c r="C1441" s="5" t="s">
        <v>2128</v>
      </c>
      <c r="D1441" s="5" t="s">
        <v>4760</v>
      </c>
      <c r="E1441" s="5" t="s">
        <v>62</v>
      </c>
      <c r="F1441" s="5" t="s">
        <v>8217</v>
      </c>
    </row>
    <row r="1442" customFormat="false" ht="23.85" hidden="false" customHeight="false" outlineLevel="0" collapsed="false">
      <c r="A1442" s="5" t="s">
        <v>5849</v>
      </c>
      <c r="B1442" s="2" t="s">
        <v>5850</v>
      </c>
      <c r="C1442" s="5" t="s">
        <v>2128</v>
      </c>
      <c r="D1442" s="5" t="s">
        <v>4760</v>
      </c>
      <c r="E1442" s="5" t="s">
        <v>62</v>
      </c>
      <c r="F1442" s="5" t="s">
        <v>2349</v>
      </c>
    </row>
    <row r="1443" customFormat="false" ht="23.85" hidden="false" customHeight="false" outlineLevel="0" collapsed="false">
      <c r="A1443" s="5" t="s">
        <v>5855</v>
      </c>
      <c r="B1443" s="2" t="s">
        <v>5856</v>
      </c>
      <c r="C1443" s="5" t="s">
        <v>2128</v>
      </c>
      <c r="D1443" s="5" t="s">
        <v>4760</v>
      </c>
      <c r="E1443" s="5" t="s">
        <v>62</v>
      </c>
      <c r="F1443" s="5" t="s">
        <v>8217</v>
      </c>
    </row>
    <row r="1444" customFormat="false" ht="23.85" hidden="false" customHeight="false" outlineLevel="0" collapsed="false">
      <c r="A1444" s="5" t="s">
        <v>5855</v>
      </c>
      <c r="B1444" s="2" t="s">
        <v>5856</v>
      </c>
      <c r="C1444" s="5" t="s">
        <v>2128</v>
      </c>
      <c r="D1444" s="5" t="s">
        <v>4760</v>
      </c>
      <c r="E1444" s="5" t="s">
        <v>62</v>
      </c>
      <c r="F1444" s="5" t="s">
        <v>2349</v>
      </c>
    </row>
    <row r="1445" customFormat="false" ht="23.85" hidden="false" customHeight="false" outlineLevel="0" collapsed="false">
      <c r="A1445" s="5" t="s">
        <v>5862</v>
      </c>
      <c r="B1445" s="2" t="s">
        <v>5863</v>
      </c>
      <c r="C1445" s="5" t="s">
        <v>2128</v>
      </c>
      <c r="D1445" s="5" t="s">
        <v>4760</v>
      </c>
      <c r="E1445" s="5" t="s">
        <v>490</v>
      </c>
      <c r="F1445" s="5" t="s">
        <v>8217</v>
      </c>
    </row>
    <row r="1446" customFormat="false" ht="23.85" hidden="false" customHeight="false" outlineLevel="0" collapsed="false">
      <c r="A1446" s="5" t="s">
        <v>5862</v>
      </c>
      <c r="B1446" s="2" t="s">
        <v>5863</v>
      </c>
      <c r="C1446" s="5" t="s">
        <v>2128</v>
      </c>
      <c r="D1446" s="5" t="s">
        <v>4760</v>
      </c>
      <c r="E1446" s="5" t="s">
        <v>490</v>
      </c>
      <c r="F1446" s="5" t="s">
        <v>2349</v>
      </c>
    </row>
    <row r="1447" customFormat="false" ht="23.85" hidden="false" customHeight="false" outlineLevel="0" collapsed="false">
      <c r="A1447" s="5" t="s">
        <v>5868</v>
      </c>
      <c r="B1447" s="2" t="s">
        <v>5869</v>
      </c>
      <c r="C1447" s="5" t="s">
        <v>2128</v>
      </c>
      <c r="D1447" s="5" t="s">
        <v>4760</v>
      </c>
      <c r="E1447" s="5" t="s">
        <v>62</v>
      </c>
      <c r="F1447" s="5" t="s">
        <v>2721</v>
      </c>
    </row>
    <row r="1448" customFormat="false" ht="23.85" hidden="false" customHeight="false" outlineLevel="0" collapsed="false">
      <c r="A1448" s="5" t="s">
        <v>5873</v>
      </c>
      <c r="B1448" s="2" t="s">
        <v>5874</v>
      </c>
      <c r="C1448" s="5" t="s">
        <v>2128</v>
      </c>
      <c r="D1448" s="5" t="s">
        <v>4760</v>
      </c>
      <c r="E1448" s="5" t="s">
        <v>62</v>
      </c>
      <c r="F1448" s="5" t="s">
        <v>8217</v>
      </c>
    </row>
    <row r="1449" customFormat="false" ht="23.85" hidden="false" customHeight="false" outlineLevel="0" collapsed="false">
      <c r="A1449" s="5" t="s">
        <v>5873</v>
      </c>
      <c r="B1449" s="2" t="s">
        <v>5874</v>
      </c>
      <c r="C1449" s="5" t="s">
        <v>2128</v>
      </c>
      <c r="D1449" s="5" t="s">
        <v>4760</v>
      </c>
      <c r="E1449" s="5" t="s">
        <v>62</v>
      </c>
      <c r="F1449" s="5" t="s">
        <v>2349</v>
      </c>
    </row>
    <row r="1450" customFormat="false" ht="23.85" hidden="false" customHeight="false" outlineLevel="0" collapsed="false">
      <c r="A1450" s="5" t="s">
        <v>5879</v>
      </c>
      <c r="B1450" s="2" t="s">
        <v>5880</v>
      </c>
      <c r="C1450" s="5" t="s">
        <v>2128</v>
      </c>
      <c r="D1450" s="5" t="s">
        <v>4760</v>
      </c>
      <c r="E1450" s="5" t="s">
        <v>62</v>
      </c>
      <c r="F1450" s="5" t="s">
        <v>2721</v>
      </c>
    </row>
    <row r="1451" customFormat="false" ht="23.85" hidden="false" customHeight="false" outlineLevel="0" collapsed="false">
      <c r="A1451" s="5" t="s">
        <v>5884</v>
      </c>
      <c r="B1451" s="2" t="s">
        <v>5885</v>
      </c>
      <c r="C1451" s="5" t="s">
        <v>2128</v>
      </c>
      <c r="D1451" s="5" t="s">
        <v>4760</v>
      </c>
      <c r="E1451" s="5" t="s">
        <v>62</v>
      </c>
      <c r="F1451" s="5" t="s">
        <v>8217</v>
      </c>
    </row>
    <row r="1452" customFormat="false" ht="23.85" hidden="false" customHeight="false" outlineLevel="0" collapsed="false">
      <c r="A1452" s="5" t="s">
        <v>5884</v>
      </c>
      <c r="B1452" s="2" t="s">
        <v>5885</v>
      </c>
      <c r="C1452" s="5" t="s">
        <v>2128</v>
      </c>
      <c r="D1452" s="5" t="s">
        <v>4760</v>
      </c>
      <c r="E1452" s="5" t="s">
        <v>62</v>
      </c>
      <c r="F1452" s="5" t="s">
        <v>2349</v>
      </c>
    </row>
    <row r="1453" customFormat="false" ht="23.85" hidden="false" customHeight="false" outlineLevel="0" collapsed="false">
      <c r="A1453" s="5" t="s">
        <v>5891</v>
      </c>
      <c r="B1453" s="2" t="s">
        <v>5892</v>
      </c>
      <c r="C1453" s="5" t="s">
        <v>2128</v>
      </c>
      <c r="D1453" s="5" t="s">
        <v>4760</v>
      </c>
      <c r="E1453" s="5" t="s">
        <v>62</v>
      </c>
      <c r="F1453" s="5" t="s">
        <v>8217</v>
      </c>
    </row>
    <row r="1454" customFormat="false" ht="23.85" hidden="false" customHeight="false" outlineLevel="0" collapsed="false">
      <c r="A1454" s="5" t="s">
        <v>5891</v>
      </c>
      <c r="B1454" s="2" t="s">
        <v>5892</v>
      </c>
      <c r="C1454" s="5" t="s">
        <v>2128</v>
      </c>
      <c r="D1454" s="5" t="s">
        <v>4760</v>
      </c>
      <c r="E1454" s="5" t="s">
        <v>62</v>
      </c>
      <c r="F1454" s="5" t="s">
        <v>2349</v>
      </c>
    </row>
    <row r="1455" customFormat="false" ht="23.85" hidden="false" customHeight="false" outlineLevel="0" collapsed="false">
      <c r="A1455" s="5" t="s">
        <v>5898</v>
      </c>
      <c r="B1455" s="2" t="s">
        <v>5899</v>
      </c>
      <c r="C1455" s="5" t="s">
        <v>2128</v>
      </c>
      <c r="D1455" s="5" t="s">
        <v>4760</v>
      </c>
      <c r="E1455" s="5" t="s">
        <v>62</v>
      </c>
      <c r="F1455" s="5" t="s">
        <v>8217</v>
      </c>
    </row>
    <row r="1456" customFormat="false" ht="23.85" hidden="false" customHeight="false" outlineLevel="0" collapsed="false">
      <c r="A1456" s="5" t="s">
        <v>5898</v>
      </c>
      <c r="B1456" s="2" t="s">
        <v>5899</v>
      </c>
      <c r="C1456" s="5" t="s">
        <v>2128</v>
      </c>
      <c r="D1456" s="5" t="s">
        <v>4760</v>
      </c>
      <c r="E1456" s="5" t="s">
        <v>62</v>
      </c>
      <c r="F1456" s="5" t="s">
        <v>2349</v>
      </c>
    </row>
    <row r="1457" customFormat="false" ht="23.85" hidden="false" customHeight="false" outlineLevel="0" collapsed="false">
      <c r="A1457" s="5" t="s">
        <v>5904</v>
      </c>
      <c r="B1457" s="2" t="s">
        <v>5905</v>
      </c>
      <c r="C1457" s="5" t="s">
        <v>2128</v>
      </c>
      <c r="D1457" s="5" t="s">
        <v>4760</v>
      </c>
      <c r="E1457" s="5" t="s">
        <v>62</v>
      </c>
      <c r="F1457" s="5" t="s">
        <v>8217</v>
      </c>
    </row>
    <row r="1458" customFormat="false" ht="23.85" hidden="false" customHeight="false" outlineLevel="0" collapsed="false">
      <c r="A1458" s="5" t="s">
        <v>5904</v>
      </c>
      <c r="B1458" s="2" t="s">
        <v>5905</v>
      </c>
      <c r="C1458" s="5" t="s">
        <v>2128</v>
      </c>
      <c r="D1458" s="5" t="s">
        <v>4760</v>
      </c>
      <c r="E1458" s="5" t="s">
        <v>62</v>
      </c>
      <c r="F1458" s="5" t="s">
        <v>2349</v>
      </c>
    </row>
    <row r="1459" customFormat="false" ht="23.85" hidden="false" customHeight="false" outlineLevel="0" collapsed="false">
      <c r="A1459" s="5" t="s">
        <v>5904</v>
      </c>
      <c r="B1459" s="2" t="s">
        <v>5905</v>
      </c>
      <c r="C1459" s="5" t="s">
        <v>2128</v>
      </c>
      <c r="D1459" s="5" t="s">
        <v>4760</v>
      </c>
      <c r="E1459" s="5" t="s">
        <v>62</v>
      </c>
      <c r="F1459" s="5" t="s">
        <v>8263</v>
      </c>
    </row>
    <row r="1460" customFormat="false" ht="23.85" hidden="false" customHeight="false" outlineLevel="0" collapsed="false">
      <c r="A1460" s="5" t="s">
        <v>5910</v>
      </c>
      <c r="B1460" s="2" t="s">
        <v>5911</v>
      </c>
      <c r="C1460" s="5" t="s">
        <v>2128</v>
      </c>
      <c r="D1460" s="5" t="s">
        <v>4760</v>
      </c>
      <c r="E1460" s="5" t="s">
        <v>490</v>
      </c>
      <c r="F1460" s="5" t="s">
        <v>8217</v>
      </c>
    </row>
    <row r="1461" customFormat="false" ht="23.85" hidden="false" customHeight="false" outlineLevel="0" collapsed="false">
      <c r="A1461" s="5" t="s">
        <v>5910</v>
      </c>
      <c r="B1461" s="2" t="s">
        <v>5911</v>
      </c>
      <c r="C1461" s="5" t="s">
        <v>2128</v>
      </c>
      <c r="D1461" s="5" t="s">
        <v>4760</v>
      </c>
      <c r="E1461" s="5" t="s">
        <v>490</v>
      </c>
      <c r="F1461" s="5" t="s">
        <v>2349</v>
      </c>
    </row>
    <row r="1462" customFormat="false" ht="23.85" hidden="false" customHeight="false" outlineLevel="0" collapsed="false">
      <c r="A1462" s="5" t="s">
        <v>5917</v>
      </c>
      <c r="B1462" s="2" t="s">
        <v>5918</v>
      </c>
      <c r="C1462" s="5" t="s">
        <v>2128</v>
      </c>
      <c r="D1462" s="5" t="s">
        <v>4760</v>
      </c>
      <c r="E1462" s="5" t="s">
        <v>490</v>
      </c>
      <c r="F1462" s="5" t="s">
        <v>8217</v>
      </c>
    </row>
    <row r="1463" customFormat="false" ht="23.85" hidden="false" customHeight="false" outlineLevel="0" collapsed="false">
      <c r="A1463" s="5" t="s">
        <v>5917</v>
      </c>
      <c r="B1463" s="2" t="s">
        <v>5918</v>
      </c>
      <c r="C1463" s="5" t="s">
        <v>2128</v>
      </c>
      <c r="D1463" s="5" t="s">
        <v>4760</v>
      </c>
      <c r="E1463" s="5" t="s">
        <v>490</v>
      </c>
      <c r="F1463" s="5" t="s">
        <v>2349</v>
      </c>
    </row>
    <row r="1464" customFormat="false" ht="23.85" hidden="false" customHeight="false" outlineLevel="0" collapsed="false">
      <c r="A1464" s="5" t="s">
        <v>5922</v>
      </c>
      <c r="B1464" s="2" t="s">
        <v>5923</v>
      </c>
      <c r="C1464" s="5" t="s">
        <v>2128</v>
      </c>
      <c r="D1464" s="5" t="s">
        <v>4760</v>
      </c>
      <c r="E1464" s="5" t="s">
        <v>490</v>
      </c>
      <c r="F1464" s="5" t="s">
        <v>8217</v>
      </c>
    </row>
    <row r="1465" customFormat="false" ht="23.85" hidden="false" customHeight="false" outlineLevel="0" collapsed="false">
      <c r="A1465" s="5" t="s">
        <v>5922</v>
      </c>
      <c r="B1465" s="2" t="s">
        <v>5923</v>
      </c>
      <c r="C1465" s="5" t="s">
        <v>2128</v>
      </c>
      <c r="D1465" s="5" t="s">
        <v>4760</v>
      </c>
      <c r="E1465" s="5" t="s">
        <v>490</v>
      </c>
      <c r="F1465" s="5" t="s">
        <v>2349</v>
      </c>
    </row>
    <row r="1466" customFormat="false" ht="23.85" hidden="false" customHeight="false" outlineLevel="0" collapsed="false">
      <c r="A1466" s="5" t="s">
        <v>5929</v>
      </c>
      <c r="B1466" s="2" t="s">
        <v>5930</v>
      </c>
      <c r="C1466" s="5" t="s">
        <v>2128</v>
      </c>
      <c r="D1466" s="5" t="s">
        <v>4760</v>
      </c>
      <c r="E1466" s="5" t="s">
        <v>62</v>
      </c>
      <c r="F1466" s="5" t="s">
        <v>2721</v>
      </c>
    </row>
    <row r="1467" customFormat="false" ht="23.85" hidden="false" customHeight="false" outlineLevel="0" collapsed="false">
      <c r="A1467" s="5" t="s">
        <v>5935</v>
      </c>
      <c r="B1467" s="2" t="s">
        <v>5936</v>
      </c>
      <c r="C1467" s="5" t="s">
        <v>2128</v>
      </c>
      <c r="D1467" s="5" t="s">
        <v>4760</v>
      </c>
      <c r="E1467" s="5" t="s">
        <v>62</v>
      </c>
      <c r="F1467" s="5" t="s">
        <v>8217</v>
      </c>
    </row>
    <row r="1468" customFormat="false" ht="23.85" hidden="false" customHeight="false" outlineLevel="0" collapsed="false">
      <c r="A1468" s="5" t="s">
        <v>5935</v>
      </c>
      <c r="B1468" s="2" t="s">
        <v>5936</v>
      </c>
      <c r="C1468" s="5" t="s">
        <v>2128</v>
      </c>
      <c r="D1468" s="5" t="s">
        <v>4760</v>
      </c>
      <c r="E1468" s="5" t="s">
        <v>62</v>
      </c>
      <c r="F1468" s="5" t="s">
        <v>2349</v>
      </c>
    </row>
    <row r="1469" customFormat="false" ht="23.85" hidden="false" customHeight="false" outlineLevel="0" collapsed="false">
      <c r="A1469" s="5" t="s">
        <v>5942</v>
      </c>
      <c r="B1469" s="2" t="s">
        <v>5943</v>
      </c>
      <c r="C1469" s="5" t="s">
        <v>2128</v>
      </c>
      <c r="D1469" s="5" t="s">
        <v>4760</v>
      </c>
      <c r="E1469" s="5" t="s">
        <v>62</v>
      </c>
      <c r="F1469" s="5" t="s">
        <v>2721</v>
      </c>
    </row>
    <row r="1470" customFormat="false" ht="23.85" hidden="false" customHeight="false" outlineLevel="0" collapsed="false">
      <c r="A1470" s="5" t="s">
        <v>5947</v>
      </c>
      <c r="B1470" s="2" t="s">
        <v>5948</v>
      </c>
      <c r="C1470" s="5" t="s">
        <v>2128</v>
      </c>
      <c r="D1470" s="5" t="s">
        <v>4760</v>
      </c>
      <c r="E1470" s="5" t="s">
        <v>62</v>
      </c>
      <c r="F1470" s="5" t="s">
        <v>8217</v>
      </c>
    </row>
    <row r="1471" customFormat="false" ht="23.85" hidden="false" customHeight="false" outlineLevel="0" collapsed="false">
      <c r="A1471" s="5" t="s">
        <v>5947</v>
      </c>
      <c r="B1471" s="2" t="s">
        <v>5948</v>
      </c>
      <c r="C1471" s="5" t="s">
        <v>2128</v>
      </c>
      <c r="D1471" s="5" t="s">
        <v>4760</v>
      </c>
      <c r="E1471" s="5" t="s">
        <v>62</v>
      </c>
      <c r="F1471" s="5" t="s">
        <v>2349</v>
      </c>
    </row>
    <row r="1472" customFormat="false" ht="23.85" hidden="false" customHeight="false" outlineLevel="0" collapsed="false">
      <c r="A1472" s="5" t="s">
        <v>5954</v>
      </c>
      <c r="B1472" s="2" t="s">
        <v>5955</v>
      </c>
      <c r="C1472" s="5" t="s">
        <v>2128</v>
      </c>
      <c r="D1472" s="5" t="s">
        <v>4760</v>
      </c>
      <c r="E1472" s="5" t="s">
        <v>490</v>
      </c>
      <c r="F1472" s="5" t="s">
        <v>8217</v>
      </c>
    </row>
    <row r="1473" customFormat="false" ht="23.85" hidden="false" customHeight="false" outlineLevel="0" collapsed="false">
      <c r="A1473" s="5" t="s">
        <v>5954</v>
      </c>
      <c r="B1473" s="2" t="s">
        <v>5955</v>
      </c>
      <c r="C1473" s="5" t="s">
        <v>2128</v>
      </c>
      <c r="D1473" s="5" t="s">
        <v>4760</v>
      </c>
      <c r="E1473" s="5" t="s">
        <v>490</v>
      </c>
      <c r="F1473" s="5" t="s">
        <v>2349</v>
      </c>
    </row>
    <row r="1474" customFormat="false" ht="15" hidden="false" customHeight="false" outlineLevel="0" collapsed="false">
      <c r="A1474" s="5" t="s">
        <v>5960</v>
      </c>
      <c r="B1474" s="2" t="s">
        <v>5961</v>
      </c>
      <c r="C1474" s="5" t="s">
        <v>2245</v>
      </c>
      <c r="D1474" s="5" t="s">
        <v>4760</v>
      </c>
      <c r="E1474" s="5" t="s">
        <v>62</v>
      </c>
      <c r="F1474" s="5" t="s">
        <v>8217</v>
      </c>
    </row>
    <row r="1475" customFormat="false" ht="15" hidden="false" customHeight="false" outlineLevel="0" collapsed="false">
      <c r="A1475" s="5" t="s">
        <v>5960</v>
      </c>
      <c r="B1475" s="2" t="s">
        <v>5961</v>
      </c>
      <c r="C1475" s="5" t="s">
        <v>2245</v>
      </c>
      <c r="D1475" s="5" t="s">
        <v>4760</v>
      </c>
      <c r="E1475" s="5" t="s">
        <v>62</v>
      </c>
      <c r="F1475" s="5" t="s">
        <v>2349</v>
      </c>
    </row>
    <row r="1476" customFormat="false" ht="23.85" hidden="false" customHeight="false" outlineLevel="0" collapsed="false">
      <c r="A1476" s="5" t="s">
        <v>5966</v>
      </c>
      <c r="B1476" s="2" t="s">
        <v>5967</v>
      </c>
      <c r="C1476" s="5" t="s">
        <v>2128</v>
      </c>
      <c r="D1476" s="5" t="s">
        <v>4760</v>
      </c>
      <c r="E1476" s="5" t="s">
        <v>490</v>
      </c>
      <c r="F1476" s="5" t="s">
        <v>2721</v>
      </c>
    </row>
    <row r="1477" customFormat="false" ht="23.85" hidden="false" customHeight="false" outlineLevel="0" collapsed="false">
      <c r="A1477" s="5" t="s">
        <v>5971</v>
      </c>
      <c r="B1477" s="2" t="s">
        <v>5972</v>
      </c>
      <c r="C1477" s="5" t="s">
        <v>2128</v>
      </c>
      <c r="D1477" s="5" t="s">
        <v>4760</v>
      </c>
      <c r="E1477" s="5" t="s">
        <v>490</v>
      </c>
      <c r="F1477" s="5" t="s">
        <v>8217</v>
      </c>
    </row>
    <row r="1478" customFormat="false" ht="23.85" hidden="false" customHeight="false" outlineLevel="0" collapsed="false">
      <c r="A1478" s="5" t="s">
        <v>5971</v>
      </c>
      <c r="B1478" s="2" t="s">
        <v>5972</v>
      </c>
      <c r="C1478" s="5" t="s">
        <v>2128</v>
      </c>
      <c r="D1478" s="5" t="s">
        <v>4760</v>
      </c>
      <c r="E1478" s="5" t="s">
        <v>490</v>
      </c>
      <c r="F1478" s="5" t="s">
        <v>2349</v>
      </c>
    </row>
    <row r="1479" customFormat="false" ht="23.85" hidden="false" customHeight="false" outlineLevel="0" collapsed="false">
      <c r="A1479" s="5" t="s">
        <v>5977</v>
      </c>
      <c r="B1479" s="2" t="s">
        <v>5978</v>
      </c>
      <c r="C1479" s="5" t="s">
        <v>2128</v>
      </c>
      <c r="D1479" s="5" t="s">
        <v>4760</v>
      </c>
      <c r="E1479" s="5" t="s">
        <v>62</v>
      </c>
      <c r="F1479" s="5" t="s">
        <v>8217</v>
      </c>
    </row>
    <row r="1480" customFormat="false" ht="23.85" hidden="false" customHeight="false" outlineLevel="0" collapsed="false">
      <c r="A1480" s="5" t="s">
        <v>5977</v>
      </c>
      <c r="B1480" s="2" t="s">
        <v>5978</v>
      </c>
      <c r="C1480" s="5" t="s">
        <v>2128</v>
      </c>
      <c r="D1480" s="5" t="s">
        <v>4760</v>
      </c>
      <c r="E1480" s="5" t="s">
        <v>62</v>
      </c>
      <c r="F1480" s="5" t="s">
        <v>2349</v>
      </c>
    </row>
    <row r="1481" customFormat="false" ht="23.85" hidden="false" customHeight="false" outlineLevel="0" collapsed="false">
      <c r="A1481" s="5" t="s">
        <v>5983</v>
      </c>
      <c r="B1481" s="2" t="s">
        <v>5984</v>
      </c>
      <c r="C1481" s="5" t="s">
        <v>2128</v>
      </c>
      <c r="D1481" s="5" t="s">
        <v>4760</v>
      </c>
      <c r="E1481" s="5" t="s">
        <v>490</v>
      </c>
      <c r="F1481" s="5" t="s">
        <v>2721</v>
      </c>
    </row>
    <row r="1482" customFormat="false" ht="23.85" hidden="false" customHeight="false" outlineLevel="0" collapsed="false">
      <c r="A1482" s="5" t="s">
        <v>5988</v>
      </c>
      <c r="B1482" s="2" t="s">
        <v>5989</v>
      </c>
      <c r="C1482" s="5" t="s">
        <v>2128</v>
      </c>
      <c r="D1482" s="5" t="s">
        <v>4760</v>
      </c>
      <c r="E1482" s="5" t="s">
        <v>490</v>
      </c>
      <c r="F1482" s="5" t="s">
        <v>8217</v>
      </c>
    </row>
    <row r="1483" customFormat="false" ht="23.85" hidden="false" customHeight="false" outlineLevel="0" collapsed="false">
      <c r="A1483" s="5" t="s">
        <v>5988</v>
      </c>
      <c r="B1483" s="2" t="s">
        <v>5989</v>
      </c>
      <c r="C1483" s="5" t="s">
        <v>2128</v>
      </c>
      <c r="D1483" s="5" t="s">
        <v>4760</v>
      </c>
      <c r="E1483" s="5" t="s">
        <v>490</v>
      </c>
      <c r="F1483" s="5" t="s">
        <v>2349</v>
      </c>
    </row>
    <row r="1484" customFormat="false" ht="23.85" hidden="false" customHeight="false" outlineLevel="0" collapsed="false">
      <c r="A1484" s="5" t="s">
        <v>5995</v>
      </c>
      <c r="B1484" s="2" t="s">
        <v>5996</v>
      </c>
      <c r="C1484" s="5" t="s">
        <v>2128</v>
      </c>
      <c r="D1484" s="5" t="s">
        <v>4760</v>
      </c>
      <c r="E1484" s="5" t="s">
        <v>62</v>
      </c>
      <c r="F1484" s="5" t="s">
        <v>8217</v>
      </c>
    </row>
    <row r="1485" customFormat="false" ht="23.85" hidden="false" customHeight="false" outlineLevel="0" collapsed="false">
      <c r="A1485" s="5" t="s">
        <v>5995</v>
      </c>
      <c r="B1485" s="2" t="s">
        <v>5996</v>
      </c>
      <c r="C1485" s="5" t="s">
        <v>2128</v>
      </c>
      <c r="D1485" s="5" t="s">
        <v>4760</v>
      </c>
      <c r="E1485" s="5" t="s">
        <v>62</v>
      </c>
      <c r="F1485" s="5" t="s">
        <v>2349</v>
      </c>
    </row>
    <row r="1486" customFormat="false" ht="23.85" hidden="false" customHeight="false" outlineLevel="0" collapsed="false">
      <c r="A1486" s="5" t="s">
        <v>6001</v>
      </c>
      <c r="B1486" s="2" t="s">
        <v>6002</v>
      </c>
      <c r="C1486" s="5" t="s">
        <v>2128</v>
      </c>
      <c r="D1486" s="5" t="s">
        <v>4760</v>
      </c>
      <c r="E1486" s="5" t="s">
        <v>62</v>
      </c>
      <c r="F1486" s="5" t="s">
        <v>2721</v>
      </c>
    </row>
    <row r="1487" customFormat="false" ht="23.85" hidden="false" customHeight="false" outlineLevel="0" collapsed="false">
      <c r="A1487" s="5" t="s">
        <v>6006</v>
      </c>
      <c r="B1487" s="2" t="s">
        <v>6007</v>
      </c>
      <c r="C1487" s="5" t="s">
        <v>2128</v>
      </c>
      <c r="D1487" s="5" t="s">
        <v>4760</v>
      </c>
      <c r="E1487" s="5" t="s">
        <v>62</v>
      </c>
      <c r="F1487" s="5" t="s">
        <v>8217</v>
      </c>
    </row>
    <row r="1488" customFormat="false" ht="23.85" hidden="false" customHeight="false" outlineLevel="0" collapsed="false">
      <c r="A1488" s="5" t="s">
        <v>6006</v>
      </c>
      <c r="B1488" s="2" t="s">
        <v>6007</v>
      </c>
      <c r="C1488" s="5" t="s">
        <v>2128</v>
      </c>
      <c r="D1488" s="5" t="s">
        <v>4760</v>
      </c>
      <c r="E1488" s="5" t="s">
        <v>62</v>
      </c>
      <c r="F1488" s="5" t="s">
        <v>2349</v>
      </c>
    </row>
    <row r="1489" customFormat="false" ht="23.85" hidden="false" customHeight="false" outlineLevel="0" collapsed="false">
      <c r="A1489" s="5" t="s">
        <v>6013</v>
      </c>
      <c r="B1489" s="2" t="s">
        <v>6014</v>
      </c>
      <c r="C1489" s="5" t="s">
        <v>2128</v>
      </c>
      <c r="D1489" s="5" t="s">
        <v>4760</v>
      </c>
      <c r="E1489" s="5" t="s">
        <v>62</v>
      </c>
      <c r="F1489" s="5" t="s">
        <v>8217</v>
      </c>
    </row>
    <row r="1490" customFormat="false" ht="23.85" hidden="false" customHeight="false" outlineLevel="0" collapsed="false">
      <c r="A1490" s="5" t="s">
        <v>6013</v>
      </c>
      <c r="B1490" s="2" t="s">
        <v>6014</v>
      </c>
      <c r="C1490" s="5" t="s">
        <v>2128</v>
      </c>
      <c r="D1490" s="5" t="s">
        <v>4760</v>
      </c>
      <c r="E1490" s="5" t="s">
        <v>62</v>
      </c>
      <c r="F1490" s="5" t="s">
        <v>2349</v>
      </c>
    </row>
    <row r="1491" customFormat="false" ht="23.85" hidden="false" customHeight="false" outlineLevel="0" collapsed="false">
      <c r="A1491" s="5" t="s">
        <v>6019</v>
      </c>
      <c r="B1491" s="2" t="s">
        <v>6020</v>
      </c>
      <c r="C1491" s="5" t="s">
        <v>2128</v>
      </c>
      <c r="D1491" s="5" t="s">
        <v>4760</v>
      </c>
      <c r="E1491" s="5" t="s">
        <v>62</v>
      </c>
      <c r="F1491" s="5" t="s">
        <v>8251</v>
      </c>
    </row>
    <row r="1492" customFormat="false" ht="23.85" hidden="false" customHeight="false" outlineLevel="0" collapsed="false">
      <c r="A1492" s="5" t="s">
        <v>6019</v>
      </c>
      <c r="B1492" s="2" t="s">
        <v>6020</v>
      </c>
      <c r="C1492" s="5" t="s">
        <v>2128</v>
      </c>
      <c r="D1492" s="5" t="s">
        <v>4760</v>
      </c>
      <c r="E1492" s="5" t="s">
        <v>62</v>
      </c>
      <c r="F1492" s="5" t="s">
        <v>8252</v>
      </c>
    </row>
    <row r="1493" customFormat="false" ht="23.85" hidden="false" customHeight="false" outlineLevel="0" collapsed="false">
      <c r="A1493" s="5" t="s">
        <v>6019</v>
      </c>
      <c r="B1493" s="2" t="s">
        <v>6020</v>
      </c>
      <c r="C1493" s="5" t="s">
        <v>2128</v>
      </c>
      <c r="D1493" s="5" t="s">
        <v>4760</v>
      </c>
      <c r="E1493" s="5" t="s">
        <v>62</v>
      </c>
      <c r="F1493" s="5" t="s">
        <v>8253</v>
      </c>
    </row>
    <row r="1494" customFormat="false" ht="15" hidden="false" customHeight="false" outlineLevel="0" collapsed="false">
      <c r="A1494" s="5" t="s">
        <v>6025</v>
      </c>
      <c r="B1494" s="2" t="s">
        <v>6026</v>
      </c>
      <c r="C1494" s="5" t="s">
        <v>2128</v>
      </c>
      <c r="D1494" s="5" t="s">
        <v>4760</v>
      </c>
      <c r="E1494" s="5" t="s">
        <v>490</v>
      </c>
      <c r="F1494" s="5" t="s">
        <v>6027</v>
      </c>
    </row>
    <row r="1495" customFormat="false" ht="15" hidden="false" customHeight="false" outlineLevel="0" collapsed="false">
      <c r="A1495" s="5" t="s">
        <v>6034</v>
      </c>
      <c r="B1495" s="2" t="s">
        <v>6035</v>
      </c>
      <c r="C1495" s="5" t="s">
        <v>2128</v>
      </c>
      <c r="D1495" s="5" t="s">
        <v>4760</v>
      </c>
      <c r="E1495" s="5" t="s">
        <v>62</v>
      </c>
      <c r="F1495" s="5" t="s">
        <v>8249</v>
      </c>
    </row>
    <row r="1496" customFormat="false" ht="15" hidden="false" customHeight="false" outlineLevel="0" collapsed="false">
      <c r="A1496" s="5" t="s">
        <v>6034</v>
      </c>
      <c r="B1496" s="2" t="s">
        <v>6035</v>
      </c>
      <c r="C1496" s="5" t="s">
        <v>2128</v>
      </c>
      <c r="D1496" s="5" t="s">
        <v>4760</v>
      </c>
      <c r="E1496" s="5" t="s">
        <v>62</v>
      </c>
      <c r="F1496" s="5" t="s">
        <v>8221</v>
      </c>
    </row>
    <row r="1497" customFormat="false" ht="15" hidden="false" customHeight="false" outlineLevel="0" collapsed="false">
      <c r="A1497" s="5" t="s">
        <v>6034</v>
      </c>
      <c r="B1497" s="2" t="s">
        <v>6035</v>
      </c>
      <c r="C1497" s="5" t="s">
        <v>2128</v>
      </c>
      <c r="D1497" s="5" t="s">
        <v>4760</v>
      </c>
      <c r="E1497" s="5" t="s">
        <v>62</v>
      </c>
      <c r="F1497" s="5" t="s">
        <v>8217</v>
      </c>
    </row>
    <row r="1498" customFormat="false" ht="15" hidden="false" customHeight="false" outlineLevel="0" collapsed="false">
      <c r="A1498" s="5" t="s">
        <v>6034</v>
      </c>
      <c r="B1498" s="2" t="s">
        <v>6035</v>
      </c>
      <c r="C1498" s="5" t="s">
        <v>2128</v>
      </c>
      <c r="D1498" s="5" t="s">
        <v>4760</v>
      </c>
      <c r="E1498" s="5" t="s">
        <v>62</v>
      </c>
      <c r="F1498" s="5" t="s">
        <v>2349</v>
      </c>
    </row>
    <row r="1499" customFormat="false" ht="23.85" hidden="false" customHeight="false" outlineLevel="0" collapsed="false">
      <c r="A1499" s="5" t="s">
        <v>6040</v>
      </c>
      <c r="B1499" s="2" t="s">
        <v>6041</v>
      </c>
      <c r="C1499" s="5" t="s">
        <v>2128</v>
      </c>
      <c r="D1499" s="5" t="s">
        <v>4760</v>
      </c>
      <c r="E1499" s="5" t="s">
        <v>62</v>
      </c>
      <c r="F1499" s="5" t="s">
        <v>6042</v>
      </c>
    </row>
    <row r="1500" customFormat="false" ht="23.85" hidden="false" customHeight="false" outlineLevel="0" collapsed="false">
      <c r="A1500" s="5" t="s">
        <v>6049</v>
      </c>
      <c r="B1500" s="2" t="s">
        <v>6050</v>
      </c>
      <c r="C1500" s="5" t="s">
        <v>2128</v>
      </c>
      <c r="D1500" s="5" t="s">
        <v>4760</v>
      </c>
      <c r="E1500" s="5" t="s">
        <v>62</v>
      </c>
      <c r="F1500" s="5" t="s">
        <v>6042</v>
      </c>
    </row>
    <row r="1501" customFormat="false" ht="23.85" hidden="false" customHeight="false" outlineLevel="0" collapsed="false">
      <c r="A1501" s="5" t="s">
        <v>6056</v>
      </c>
      <c r="B1501" s="2" t="s">
        <v>6057</v>
      </c>
      <c r="C1501" s="5" t="s">
        <v>2128</v>
      </c>
      <c r="D1501" s="5" t="s">
        <v>4760</v>
      </c>
      <c r="E1501" s="5" t="s">
        <v>62</v>
      </c>
      <c r="F1501" s="5" t="s">
        <v>6042</v>
      </c>
    </row>
    <row r="1502" customFormat="false" ht="15" hidden="false" customHeight="false" outlineLevel="0" collapsed="false">
      <c r="A1502" s="5" t="s">
        <v>6064</v>
      </c>
      <c r="B1502" s="2" t="s">
        <v>6065</v>
      </c>
      <c r="C1502" s="5" t="s">
        <v>2128</v>
      </c>
      <c r="D1502" s="5" t="s">
        <v>4760</v>
      </c>
      <c r="E1502" s="5" t="s">
        <v>62</v>
      </c>
      <c r="F1502" s="5" t="s">
        <v>6042</v>
      </c>
    </row>
    <row r="1503" customFormat="false" ht="23.85" hidden="false" customHeight="false" outlineLevel="0" collapsed="false">
      <c r="A1503" s="5" t="s">
        <v>6071</v>
      </c>
      <c r="B1503" s="2" t="s">
        <v>6072</v>
      </c>
      <c r="C1503" s="5" t="s">
        <v>2128</v>
      </c>
      <c r="D1503" s="5" t="s">
        <v>4760</v>
      </c>
      <c r="E1503" s="5" t="s">
        <v>62</v>
      </c>
      <c r="F1503" s="5" t="s">
        <v>6042</v>
      </c>
    </row>
    <row r="1504" customFormat="false" ht="23.85" hidden="false" customHeight="false" outlineLevel="0" collapsed="false">
      <c r="A1504" s="5" t="s">
        <v>6077</v>
      </c>
      <c r="B1504" s="2" t="s">
        <v>6078</v>
      </c>
      <c r="C1504" s="5" t="s">
        <v>2128</v>
      </c>
      <c r="D1504" s="5" t="s">
        <v>4760</v>
      </c>
      <c r="E1504" s="5" t="s">
        <v>62</v>
      </c>
      <c r="F1504" s="5" t="s">
        <v>6042</v>
      </c>
    </row>
    <row r="1505" customFormat="false" ht="23.85" hidden="false" customHeight="false" outlineLevel="0" collapsed="false">
      <c r="A1505" s="5" t="s">
        <v>6084</v>
      </c>
      <c r="B1505" s="2" t="s">
        <v>6085</v>
      </c>
      <c r="C1505" s="5" t="s">
        <v>2128</v>
      </c>
      <c r="D1505" s="5" t="s">
        <v>4760</v>
      </c>
      <c r="E1505" s="5" t="s">
        <v>62</v>
      </c>
      <c r="F1505" s="5" t="s">
        <v>6042</v>
      </c>
    </row>
    <row r="1506" customFormat="false" ht="23.85" hidden="false" customHeight="false" outlineLevel="0" collapsed="false">
      <c r="A1506" s="5" t="s">
        <v>6090</v>
      </c>
      <c r="B1506" s="2" t="s">
        <v>6091</v>
      </c>
      <c r="C1506" s="5" t="s">
        <v>2128</v>
      </c>
      <c r="D1506" s="5" t="s">
        <v>4760</v>
      </c>
      <c r="E1506" s="5" t="s">
        <v>62</v>
      </c>
      <c r="F1506" s="5" t="s">
        <v>492</v>
      </c>
    </row>
    <row r="1507" customFormat="false" ht="23.85" hidden="false" customHeight="false" outlineLevel="0" collapsed="false">
      <c r="A1507" s="5" t="s">
        <v>6090</v>
      </c>
      <c r="B1507" s="2" t="s">
        <v>6091</v>
      </c>
      <c r="C1507" s="5" t="s">
        <v>2128</v>
      </c>
      <c r="D1507" s="5" t="s">
        <v>4760</v>
      </c>
      <c r="E1507" s="5" t="s">
        <v>62</v>
      </c>
      <c r="F1507" s="5" t="s">
        <v>8220</v>
      </c>
    </row>
    <row r="1508" customFormat="false" ht="23.85" hidden="false" customHeight="false" outlineLevel="0" collapsed="false">
      <c r="A1508" s="5" t="s">
        <v>6090</v>
      </c>
      <c r="B1508" s="2" t="s">
        <v>6091</v>
      </c>
      <c r="C1508" s="5" t="s">
        <v>2128</v>
      </c>
      <c r="D1508" s="5" t="s">
        <v>4760</v>
      </c>
      <c r="E1508" s="5" t="s">
        <v>62</v>
      </c>
      <c r="F1508" s="5" t="s">
        <v>8221</v>
      </c>
    </row>
    <row r="1509" customFormat="false" ht="23.85" hidden="false" customHeight="false" outlineLevel="0" collapsed="false">
      <c r="A1509" s="5" t="s">
        <v>6090</v>
      </c>
      <c r="B1509" s="2" t="s">
        <v>6091</v>
      </c>
      <c r="C1509" s="5" t="s">
        <v>2128</v>
      </c>
      <c r="D1509" s="5" t="s">
        <v>4760</v>
      </c>
      <c r="E1509" s="5" t="s">
        <v>62</v>
      </c>
      <c r="F1509" s="5" t="s">
        <v>8222</v>
      </c>
    </row>
    <row r="1510" customFormat="false" ht="23.85" hidden="false" customHeight="false" outlineLevel="0" collapsed="false">
      <c r="A1510" s="5" t="s">
        <v>6090</v>
      </c>
      <c r="B1510" s="2" t="s">
        <v>6091</v>
      </c>
      <c r="C1510" s="5" t="s">
        <v>2128</v>
      </c>
      <c r="D1510" s="5" t="s">
        <v>4760</v>
      </c>
      <c r="E1510" s="5" t="s">
        <v>62</v>
      </c>
      <c r="F1510" s="5" t="s">
        <v>8223</v>
      </c>
    </row>
    <row r="1511" customFormat="false" ht="23.85" hidden="false" customHeight="false" outlineLevel="0" collapsed="false">
      <c r="A1511" s="5" t="s">
        <v>6090</v>
      </c>
      <c r="B1511" s="2" t="s">
        <v>6091</v>
      </c>
      <c r="C1511" s="5" t="s">
        <v>2128</v>
      </c>
      <c r="D1511" s="5" t="s">
        <v>4760</v>
      </c>
      <c r="E1511" s="5" t="s">
        <v>62</v>
      </c>
      <c r="F1511" s="5" t="s">
        <v>8224</v>
      </c>
    </row>
    <row r="1512" customFormat="false" ht="23.85" hidden="false" customHeight="false" outlineLevel="0" collapsed="false">
      <c r="A1512" s="5" t="s">
        <v>6090</v>
      </c>
      <c r="B1512" s="2" t="s">
        <v>6091</v>
      </c>
      <c r="C1512" s="5" t="s">
        <v>2128</v>
      </c>
      <c r="D1512" s="5" t="s">
        <v>4760</v>
      </c>
      <c r="E1512" s="5" t="s">
        <v>62</v>
      </c>
      <c r="F1512" s="5" t="s">
        <v>8226</v>
      </c>
    </row>
    <row r="1513" customFormat="false" ht="23.85" hidden="false" customHeight="false" outlineLevel="0" collapsed="false">
      <c r="A1513" s="5" t="s">
        <v>6090</v>
      </c>
      <c r="B1513" s="2" t="s">
        <v>6091</v>
      </c>
      <c r="C1513" s="5" t="s">
        <v>2128</v>
      </c>
      <c r="D1513" s="5" t="s">
        <v>4760</v>
      </c>
      <c r="E1513" s="5" t="s">
        <v>62</v>
      </c>
      <c r="F1513" s="5" t="s">
        <v>8227</v>
      </c>
    </row>
    <row r="1514" customFormat="false" ht="23.85" hidden="false" customHeight="false" outlineLevel="0" collapsed="false">
      <c r="A1514" s="5" t="s">
        <v>6090</v>
      </c>
      <c r="B1514" s="2" t="s">
        <v>6091</v>
      </c>
      <c r="C1514" s="5" t="s">
        <v>2128</v>
      </c>
      <c r="D1514" s="5" t="s">
        <v>4760</v>
      </c>
      <c r="E1514" s="5" t="s">
        <v>62</v>
      </c>
      <c r="F1514" s="5" t="s">
        <v>8217</v>
      </c>
    </row>
    <row r="1515" customFormat="false" ht="23.85" hidden="false" customHeight="false" outlineLevel="0" collapsed="false">
      <c r="A1515" s="5" t="s">
        <v>6090</v>
      </c>
      <c r="B1515" s="2" t="s">
        <v>6091</v>
      </c>
      <c r="C1515" s="5" t="s">
        <v>2128</v>
      </c>
      <c r="D1515" s="5" t="s">
        <v>4760</v>
      </c>
      <c r="E1515" s="5" t="s">
        <v>62</v>
      </c>
      <c r="F1515" s="5" t="s">
        <v>2349</v>
      </c>
    </row>
    <row r="1516" customFormat="false" ht="23.85" hidden="false" customHeight="false" outlineLevel="0" collapsed="false">
      <c r="A1516" s="5" t="s">
        <v>6090</v>
      </c>
      <c r="B1516" s="2" t="s">
        <v>6091</v>
      </c>
      <c r="C1516" s="5" t="s">
        <v>2128</v>
      </c>
      <c r="D1516" s="5" t="s">
        <v>4760</v>
      </c>
      <c r="E1516" s="5" t="s">
        <v>62</v>
      </c>
      <c r="F1516" s="5" t="s">
        <v>8219</v>
      </c>
    </row>
    <row r="1517" customFormat="false" ht="23.85" hidden="false" customHeight="false" outlineLevel="0" collapsed="false">
      <c r="A1517" s="5" t="s">
        <v>6090</v>
      </c>
      <c r="B1517" s="2" t="s">
        <v>6091</v>
      </c>
      <c r="C1517" s="5" t="s">
        <v>2128</v>
      </c>
      <c r="D1517" s="5" t="s">
        <v>4760</v>
      </c>
      <c r="E1517" s="5" t="s">
        <v>62</v>
      </c>
      <c r="F1517" s="5" t="s">
        <v>8228</v>
      </c>
    </row>
    <row r="1518" customFormat="false" ht="15" hidden="false" customHeight="false" outlineLevel="0" collapsed="false">
      <c r="A1518" s="5" t="s">
        <v>6097</v>
      </c>
      <c r="B1518" s="2" t="s">
        <v>6098</v>
      </c>
      <c r="C1518" s="5" t="s">
        <v>2128</v>
      </c>
      <c r="D1518" s="5" t="s">
        <v>4760</v>
      </c>
      <c r="E1518" s="5" t="s">
        <v>62</v>
      </c>
      <c r="F1518" s="5" t="s">
        <v>568</v>
      </c>
    </row>
    <row r="1519" customFormat="false" ht="15" hidden="false" customHeight="false" outlineLevel="0" collapsed="false">
      <c r="A1519" s="5" t="s">
        <v>6097</v>
      </c>
      <c r="B1519" s="2" t="s">
        <v>6098</v>
      </c>
      <c r="C1519" s="5" t="s">
        <v>2128</v>
      </c>
      <c r="D1519" s="5" t="s">
        <v>4760</v>
      </c>
      <c r="E1519" s="5" t="s">
        <v>62</v>
      </c>
      <c r="F1519" s="5" t="s">
        <v>4830</v>
      </c>
    </row>
    <row r="1520" customFormat="false" ht="23.85" hidden="false" customHeight="false" outlineLevel="0" collapsed="false">
      <c r="A1520" s="5" t="s">
        <v>6106</v>
      </c>
      <c r="B1520" s="2" t="s">
        <v>6107</v>
      </c>
      <c r="C1520" s="5" t="s">
        <v>2128</v>
      </c>
      <c r="D1520" s="5" t="s">
        <v>4760</v>
      </c>
      <c r="E1520" s="5" t="s">
        <v>490</v>
      </c>
      <c r="F1520" s="5" t="s">
        <v>8232</v>
      </c>
    </row>
    <row r="1521" customFormat="false" ht="23.85" hidden="false" customHeight="false" outlineLevel="0" collapsed="false">
      <c r="A1521" s="5" t="s">
        <v>6106</v>
      </c>
      <c r="B1521" s="2" t="s">
        <v>6107</v>
      </c>
      <c r="C1521" s="5" t="s">
        <v>2128</v>
      </c>
      <c r="D1521" s="5" t="s">
        <v>4760</v>
      </c>
      <c r="E1521" s="5" t="s">
        <v>490</v>
      </c>
      <c r="F1521" s="5" t="s">
        <v>8266</v>
      </c>
    </row>
    <row r="1522" customFormat="false" ht="23.85" hidden="false" customHeight="false" outlineLevel="0" collapsed="false">
      <c r="A1522" s="5" t="s">
        <v>6106</v>
      </c>
      <c r="B1522" s="2" t="s">
        <v>6107</v>
      </c>
      <c r="C1522" s="5" t="s">
        <v>2128</v>
      </c>
      <c r="D1522" s="5" t="s">
        <v>4760</v>
      </c>
      <c r="E1522" s="5" t="s">
        <v>490</v>
      </c>
      <c r="F1522" s="5" t="s">
        <v>526</v>
      </c>
    </row>
    <row r="1523" customFormat="false" ht="23.85" hidden="false" customHeight="false" outlineLevel="0" collapsed="false">
      <c r="A1523" s="5" t="s">
        <v>6106</v>
      </c>
      <c r="B1523" s="2" t="s">
        <v>6107</v>
      </c>
      <c r="C1523" s="5" t="s">
        <v>2128</v>
      </c>
      <c r="D1523" s="5" t="s">
        <v>4760</v>
      </c>
      <c r="E1523" s="5" t="s">
        <v>490</v>
      </c>
      <c r="F1523" s="5" t="s">
        <v>8220</v>
      </c>
    </row>
    <row r="1524" customFormat="false" ht="23.85" hidden="false" customHeight="false" outlineLevel="0" collapsed="false">
      <c r="A1524" s="5" t="s">
        <v>6106</v>
      </c>
      <c r="B1524" s="2" t="s">
        <v>6107</v>
      </c>
      <c r="C1524" s="5" t="s">
        <v>2128</v>
      </c>
      <c r="D1524" s="5" t="s">
        <v>4760</v>
      </c>
      <c r="E1524" s="5" t="s">
        <v>490</v>
      </c>
      <c r="F1524" s="5" t="s">
        <v>8222</v>
      </c>
    </row>
    <row r="1525" customFormat="false" ht="23.85" hidden="false" customHeight="false" outlineLevel="0" collapsed="false">
      <c r="A1525" s="5" t="s">
        <v>6106</v>
      </c>
      <c r="B1525" s="2" t="s">
        <v>6107</v>
      </c>
      <c r="C1525" s="5" t="s">
        <v>2128</v>
      </c>
      <c r="D1525" s="5" t="s">
        <v>4760</v>
      </c>
      <c r="E1525" s="5" t="s">
        <v>490</v>
      </c>
      <c r="F1525" s="5" t="s">
        <v>8224</v>
      </c>
    </row>
    <row r="1526" customFormat="false" ht="23.85" hidden="false" customHeight="false" outlineLevel="0" collapsed="false">
      <c r="A1526" s="5" t="s">
        <v>6106</v>
      </c>
      <c r="B1526" s="2" t="s">
        <v>6107</v>
      </c>
      <c r="C1526" s="5" t="s">
        <v>2128</v>
      </c>
      <c r="D1526" s="5" t="s">
        <v>4760</v>
      </c>
      <c r="E1526" s="5" t="s">
        <v>490</v>
      </c>
      <c r="F1526" s="5" t="s">
        <v>8226</v>
      </c>
    </row>
    <row r="1527" customFormat="false" ht="23.85" hidden="false" customHeight="false" outlineLevel="0" collapsed="false">
      <c r="A1527" s="5" t="s">
        <v>6106</v>
      </c>
      <c r="B1527" s="2" t="s">
        <v>6107</v>
      </c>
      <c r="C1527" s="5" t="s">
        <v>2128</v>
      </c>
      <c r="D1527" s="5" t="s">
        <v>4760</v>
      </c>
      <c r="E1527" s="5" t="s">
        <v>490</v>
      </c>
      <c r="F1527" s="5" t="s">
        <v>8233</v>
      </c>
    </row>
    <row r="1528" customFormat="false" ht="23.85" hidden="false" customHeight="false" outlineLevel="0" collapsed="false">
      <c r="A1528" s="5" t="s">
        <v>6106</v>
      </c>
      <c r="B1528" s="2" t="s">
        <v>6107</v>
      </c>
      <c r="C1528" s="5" t="s">
        <v>2128</v>
      </c>
      <c r="D1528" s="5" t="s">
        <v>4760</v>
      </c>
      <c r="E1528" s="5" t="s">
        <v>490</v>
      </c>
      <c r="F1528" s="5" t="s">
        <v>8234</v>
      </c>
    </row>
    <row r="1529" customFormat="false" ht="23.85" hidden="false" customHeight="false" outlineLevel="0" collapsed="false">
      <c r="A1529" s="5" t="s">
        <v>6106</v>
      </c>
      <c r="B1529" s="2" t="s">
        <v>6107</v>
      </c>
      <c r="C1529" s="5" t="s">
        <v>2128</v>
      </c>
      <c r="D1529" s="5" t="s">
        <v>4760</v>
      </c>
      <c r="E1529" s="5" t="s">
        <v>490</v>
      </c>
      <c r="F1529" s="5" t="s">
        <v>8235</v>
      </c>
    </row>
    <row r="1530" customFormat="false" ht="23.85" hidden="false" customHeight="false" outlineLevel="0" collapsed="false">
      <c r="A1530" s="5" t="s">
        <v>6106</v>
      </c>
      <c r="B1530" s="2" t="s">
        <v>6107</v>
      </c>
      <c r="C1530" s="5" t="s">
        <v>2128</v>
      </c>
      <c r="D1530" s="5" t="s">
        <v>4760</v>
      </c>
      <c r="E1530" s="5" t="s">
        <v>490</v>
      </c>
      <c r="F1530" s="5" t="s">
        <v>8227</v>
      </c>
    </row>
    <row r="1531" customFormat="false" ht="23.85" hidden="false" customHeight="false" outlineLevel="0" collapsed="false">
      <c r="A1531" s="5" t="s">
        <v>6106</v>
      </c>
      <c r="B1531" s="2" t="s">
        <v>6107</v>
      </c>
      <c r="C1531" s="5" t="s">
        <v>2128</v>
      </c>
      <c r="D1531" s="5" t="s">
        <v>4760</v>
      </c>
      <c r="E1531" s="5" t="s">
        <v>490</v>
      </c>
      <c r="F1531" s="5" t="s">
        <v>8236</v>
      </c>
    </row>
    <row r="1532" customFormat="false" ht="23.85" hidden="false" customHeight="false" outlineLevel="0" collapsed="false">
      <c r="A1532" s="5" t="s">
        <v>6106</v>
      </c>
      <c r="B1532" s="2" t="s">
        <v>6107</v>
      </c>
      <c r="C1532" s="5" t="s">
        <v>2128</v>
      </c>
      <c r="D1532" s="5" t="s">
        <v>4760</v>
      </c>
      <c r="E1532" s="5" t="s">
        <v>490</v>
      </c>
      <c r="F1532" s="5" t="s">
        <v>8217</v>
      </c>
    </row>
    <row r="1533" customFormat="false" ht="23.85" hidden="false" customHeight="false" outlineLevel="0" collapsed="false">
      <c r="A1533" s="5" t="s">
        <v>6106</v>
      </c>
      <c r="B1533" s="2" t="s">
        <v>6107</v>
      </c>
      <c r="C1533" s="5" t="s">
        <v>2128</v>
      </c>
      <c r="D1533" s="5" t="s">
        <v>4760</v>
      </c>
      <c r="E1533" s="5" t="s">
        <v>490</v>
      </c>
      <c r="F1533" s="5" t="s">
        <v>2349</v>
      </c>
    </row>
    <row r="1534" customFormat="false" ht="23.85" hidden="false" customHeight="false" outlineLevel="0" collapsed="false">
      <c r="A1534" s="5" t="s">
        <v>6106</v>
      </c>
      <c r="B1534" s="2" t="s">
        <v>6107</v>
      </c>
      <c r="C1534" s="5" t="s">
        <v>2128</v>
      </c>
      <c r="D1534" s="5" t="s">
        <v>4760</v>
      </c>
      <c r="E1534" s="5" t="s">
        <v>490</v>
      </c>
      <c r="F1534" s="5" t="s">
        <v>8218</v>
      </c>
    </row>
    <row r="1535" customFormat="false" ht="23.85" hidden="false" customHeight="false" outlineLevel="0" collapsed="false">
      <c r="A1535" s="5" t="s">
        <v>6106</v>
      </c>
      <c r="B1535" s="2" t="s">
        <v>6107</v>
      </c>
      <c r="C1535" s="5" t="s">
        <v>2128</v>
      </c>
      <c r="D1535" s="5" t="s">
        <v>4760</v>
      </c>
      <c r="E1535" s="5" t="s">
        <v>490</v>
      </c>
      <c r="F1535" s="5" t="s">
        <v>8219</v>
      </c>
    </row>
    <row r="1536" customFormat="false" ht="23.85" hidden="false" customHeight="false" outlineLevel="0" collapsed="false">
      <c r="A1536" s="5" t="s">
        <v>6106</v>
      </c>
      <c r="B1536" s="2" t="s">
        <v>6107</v>
      </c>
      <c r="C1536" s="5" t="s">
        <v>2128</v>
      </c>
      <c r="D1536" s="5" t="s">
        <v>4760</v>
      </c>
      <c r="E1536" s="5" t="s">
        <v>490</v>
      </c>
      <c r="F1536" s="5" t="s">
        <v>8237</v>
      </c>
    </row>
    <row r="1537" customFormat="false" ht="23.85" hidden="false" customHeight="false" outlineLevel="0" collapsed="false">
      <c r="A1537" s="5" t="s">
        <v>6106</v>
      </c>
      <c r="B1537" s="2" t="s">
        <v>6107</v>
      </c>
      <c r="C1537" s="5" t="s">
        <v>2128</v>
      </c>
      <c r="D1537" s="5" t="s">
        <v>4760</v>
      </c>
      <c r="E1537" s="5" t="s">
        <v>490</v>
      </c>
      <c r="F1537" s="5" t="s">
        <v>502</v>
      </c>
    </row>
    <row r="1538" customFormat="false" ht="23.85" hidden="false" customHeight="false" outlineLevel="0" collapsed="false">
      <c r="A1538" s="5" t="s">
        <v>6106</v>
      </c>
      <c r="B1538" s="2" t="s">
        <v>6107</v>
      </c>
      <c r="C1538" s="5" t="s">
        <v>2128</v>
      </c>
      <c r="D1538" s="5" t="s">
        <v>4760</v>
      </c>
      <c r="E1538" s="5" t="s">
        <v>490</v>
      </c>
      <c r="F1538" s="5" t="s">
        <v>8238</v>
      </c>
    </row>
    <row r="1539" customFormat="false" ht="23.85" hidden="false" customHeight="false" outlineLevel="0" collapsed="false">
      <c r="A1539" s="5" t="s">
        <v>6106</v>
      </c>
      <c r="B1539" s="2" t="s">
        <v>6107</v>
      </c>
      <c r="C1539" s="5" t="s">
        <v>2128</v>
      </c>
      <c r="D1539" s="5" t="s">
        <v>4760</v>
      </c>
      <c r="E1539" s="5" t="s">
        <v>490</v>
      </c>
      <c r="F1539" s="5" t="s">
        <v>8239</v>
      </c>
    </row>
    <row r="1540" customFormat="false" ht="23.85" hidden="false" customHeight="false" outlineLevel="0" collapsed="false">
      <c r="A1540" s="5" t="s">
        <v>6106</v>
      </c>
      <c r="B1540" s="2" t="s">
        <v>6107</v>
      </c>
      <c r="C1540" s="5" t="s">
        <v>2128</v>
      </c>
      <c r="D1540" s="5" t="s">
        <v>4760</v>
      </c>
      <c r="E1540" s="5" t="s">
        <v>490</v>
      </c>
      <c r="F1540" s="5" t="s">
        <v>5328</v>
      </c>
    </row>
    <row r="1541" customFormat="false" ht="23.85" hidden="false" customHeight="false" outlineLevel="0" collapsed="false">
      <c r="A1541" s="5" t="s">
        <v>6106</v>
      </c>
      <c r="B1541" s="2" t="s">
        <v>6107</v>
      </c>
      <c r="C1541" s="5" t="s">
        <v>2128</v>
      </c>
      <c r="D1541" s="5" t="s">
        <v>4760</v>
      </c>
      <c r="E1541" s="5" t="s">
        <v>490</v>
      </c>
      <c r="F1541" s="5" t="s">
        <v>8240</v>
      </c>
    </row>
    <row r="1542" customFormat="false" ht="23.85" hidden="false" customHeight="false" outlineLevel="0" collapsed="false">
      <c r="A1542" s="5" t="s">
        <v>6106</v>
      </c>
      <c r="B1542" s="2" t="s">
        <v>6107</v>
      </c>
      <c r="C1542" s="5" t="s">
        <v>2128</v>
      </c>
      <c r="D1542" s="5" t="s">
        <v>4760</v>
      </c>
      <c r="E1542" s="5" t="s">
        <v>490</v>
      </c>
      <c r="F1542" s="5" t="s">
        <v>8228</v>
      </c>
    </row>
    <row r="1543" customFormat="false" ht="23.85" hidden="false" customHeight="false" outlineLevel="0" collapsed="false">
      <c r="A1543" s="5" t="s">
        <v>6106</v>
      </c>
      <c r="B1543" s="2" t="s">
        <v>6107</v>
      </c>
      <c r="C1543" s="5" t="s">
        <v>2128</v>
      </c>
      <c r="D1543" s="5" t="s">
        <v>4760</v>
      </c>
      <c r="E1543" s="5" t="s">
        <v>490</v>
      </c>
      <c r="F1543" s="5" t="s">
        <v>741</v>
      </c>
    </row>
    <row r="1544" customFormat="false" ht="15" hidden="false" customHeight="false" outlineLevel="0" collapsed="false">
      <c r="A1544" s="5" t="s">
        <v>6117</v>
      </c>
      <c r="B1544" s="2" t="s">
        <v>6118</v>
      </c>
      <c r="C1544" s="5" t="s">
        <v>2128</v>
      </c>
      <c r="D1544" s="5" t="s">
        <v>4760</v>
      </c>
      <c r="E1544" s="5" t="s">
        <v>62</v>
      </c>
      <c r="F1544" s="5" t="s">
        <v>8251</v>
      </c>
    </row>
    <row r="1545" customFormat="false" ht="15" hidden="false" customHeight="false" outlineLevel="0" collapsed="false">
      <c r="A1545" s="5" t="s">
        <v>6117</v>
      </c>
      <c r="B1545" s="2" t="s">
        <v>6118</v>
      </c>
      <c r="C1545" s="5" t="s">
        <v>2128</v>
      </c>
      <c r="D1545" s="5" t="s">
        <v>4760</v>
      </c>
      <c r="E1545" s="5" t="s">
        <v>62</v>
      </c>
      <c r="F1545" s="5" t="s">
        <v>8252</v>
      </c>
    </row>
    <row r="1546" customFormat="false" ht="15" hidden="false" customHeight="false" outlineLevel="0" collapsed="false">
      <c r="A1546" s="5" t="s">
        <v>6117</v>
      </c>
      <c r="B1546" s="2" t="s">
        <v>6118</v>
      </c>
      <c r="C1546" s="5" t="s">
        <v>2128</v>
      </c>
      <c r="D1546" s="5" t="s">
        <v>4760</v>
      </c>
      <c r="E1546" s="5" t="s">
        <v>62</v>
      </c>
      <c r="F1546" s="5" t="s">
        <v>8253</v>
      </c>
    </row>
    <row r="1547" customFormat="false" ht="15" hidden="false" customHeight="false" outlineLevel="0" collapsed="false">
      <c r="A1547" s="5" t="s">
        <v>6124</v>
      </c>
      <c r="B1547" s="2" t="s">
        <v>6125</v>
      </c>
      <c r="C1547" s="5" t="s">
        <v>2128</v>
      </c>
      <c r="D1547" s="5" t="s">
        <v>4760</v>
      </c>
      <c r="E1547" s="5" t="s">
        <v>62</v>
      </c>
      <c r="F1547" s="5" t="s">
        <v>8251</v>
      </c>
    </row>
    <row r="1548" customFormat="false" ht="15" hidden="false" customHeight="false" outlineLevel="0" collapsed="false">
      <c r="A1548" s="5" t="s">
        <v>6124</v>
      </c>
      <c r="B1548" s="2" t="s">
        <v>6125</v>
      </c>
      <c r="C1548" s="5" t="s">
        <v>2128</v>
      </c>
      <c r="D1548" s="5" t="s">
        <v>4760</v>
      </c>
      <c r="E1548" s="5" t="s">
        <v>62</v>
      </c>
      <c r="F1548" s="5" t="s">
        <v>8252</v>
      </c>
    </row>
    <row r="1549" customFormat="false" ht="15" hidden="false" customHeight="false" outlineLevel="0" collapsed="false">
      <c r="A1549" s="5" t="s">
        <v>6124</v>
      </c>
      <c r="B1549" s="2" t="s">
        <v>6125</v>
      </c>
      <c r="C1549" s="5" t="s">
        <v>2128</v>
      </c>
      <c r="D1549" s="5" t="s">
        <v>4760</v>
      </c>
      <c r="E1549" s="5" t="s">
        <v>62</v>
      </c>
      <c r="F1549" s="5" t="s">
        <v>8253</v>
      </c>
    </row>
    <row r="1550" customFormat="false" ht="15" hidden="false" customHeight="false" outlineLevel="0" collapsed="false">
      <c r="A1550" s="5" t="s">
        <v>6131</v>
      </c>
      <c r="B1550" s="2" t="s">
        <v>6132</v>
      </c>
      <c r="C1550" s="5" t="s">
        <v>2245</v>
      </c>
      <c r="D1550" s="5" t="s">
        <v>4760</v>
      </c>
      <c r="E1550" s="5" t="s">
        <v>490</v>
      </c>
      <c r="F1550" s="5" t="s">
        <v>367</v>
      </c>
    </row>
    <row r="1551" customFormat="false" ht="15" hidden="false" customHeight="false" outlineLevel="0" collapsed="false">
      <c r="A1551" s="5" t="s">
        <v>6136</v>
      </c>
      <c r="B1551" s="2" t="s">
        <v>6137</v>
      </c>
      <c r="C1551" s="5" t="s">
        <v>2245</v>
      </c>
      <c r="D1551" s="5" t="s">
        <v>4760</v>
      </c>
      <c r="E1551" s="5" t="s">
        <v>62</v>
      </c>
      <c r="F1551" s="5" t="s">
        <v>367</v>
      </c>
    </row>
    <row r="1552" customFormat="false" ht="23.85" hidden="false" customHeight="false" outlineLevel="0" collapsed="false">
      <c r="A1552" s="5" t="s">
        <v>6141</v>
      </c>
      <c r="B1552" s="2" t="s">
        <v>6142</v>
      </c>
      <c r="C1552" s="5" t="s">
        <v>2245</v>
      </c>
      <c r="D1552" s="5" t="s">
        <v>4760</v>
      </c>
      <c r="E1552" s="5" t="s">
        <v>62</v>
      </c>
      <c r="F1552" s="5" t="s">
        <v>6027</v>
      </c>
    </row>
    <row r="1553" customFormat="false" ht="23.85" hidden="false" customHeight="false" outlineLevel="0" collapsed="false">
      <c r="A1553" s="5" t="s">
        <v>6146</v>
      </c>
      <c r="B1553" s="2" t="s">
        <v>6147</v>
      </c>
      <c r="C1553" s="5" t="s">
        <v>2245</v>
      </c>
      <c r="D1553" s="5" t="s">
        <v>4760</v>
      </c>
      <c r="E1553" s="5" t="s">
        <v>490</v>
      </c>
      <c r="F1553" s="5" t="s">
        <v>367</v>
      </c>
    </row>
    <row r="1554" customFormat="false" ht="23.85" hidden="false" customHeight="false" outlineLevel="0" collapsed="false">
      <c r="A1554" s="5" t="s">
        <v>6151</v>
      </c>
      <c r="B1554" s="2" t="s">
        <v>6152</v>
      </c>
      <c r="C1554" s="5" t="s">
        <v>2245</v>
      </c>
      <c r="D1554" s="5" t="s">
        <v>4760</v>
      </c>
      <c r="E1554" s="5" t="s">
        <v>62</v>
      </c>
      <c r="F1554" s="5" t="s">
        <v>367</v>
      </c>
    </row>
    <row r="1555" customFormat="false" ht="23.85" hidden="false" customHeight="false" outlineLevel="0" collapsed="false">
      <c r="A1555" s="5" t="s">
        <v>6156</v>
      </c>
      <c r="B1555" s="2" t="s">
        <v>6157</v>
      </c>
      <c r="C1555" s="5" t="s">
        <v>2245</v>
      </c>
      <c r="D1555" s="5" t="s">
        <v>4760</v>
      </c>
      <c r="E1555" s="5" t="s">
        <v>62</v>
      </c>
      <c r="F1555" s="5" t="s">
        <v>6027</v>
      </c>
    </row>
    <row r="1556" customFormat="false" ht="23.85" hidden="false" customHeight="false" outlineLevel="0" collapsed="false">
      <c r="A1556" s="5" t="s">
        <v>6162</v>
      </c>
      <c r="B1556" s="2" t="s">
        <v>6163</v>
      </c>
      <c r="C1556" s="5" t="s">
        <v>2245</v>
      </c>
      <c r="D1556" s="5" t="s">
        <v>4760</v>
      </c>
      <c r="E1556" s="5" t="s">
        <v>62</v>
      </c>
      <c r="F1556" s="5" t="s">
        <v>6027</v>
      </c>
    </row>
    <row r="1557" customFormat="false" ht="15" hidden="false" customHeight="false" outlineLevel="0" collapsed="false">
      <c r="A1557" s="5" t="s">
        <v>6167</v>
      </c>
      <c r="B1557" s="2" t="s">
        <v>6168</v>
      </c>
      <c r="C1557" s="5" t="s">
        <v>2245</v>
      </c>
      <c r="D1557" s="5" t="s">
        <v>4760</v>
      </c>
      <c r="E1557" s="5" t="s">
        <v>62</v>
      </c>
      <c r="F1557" s="5" t="s">
        <v>6027</v>
      </c>
    </row>
    <row r="1558" customFormat="false" ht="23.85" hidden="false" customHeight="false" outlineLevel="0" collapsed="false">
      <c r="A1558" s="5" t="s">
        <v>6172</v>
      </c>
      <c r="B1558" s="2" t="s">
        <v>6173</v>
      </c>
      <c r="C1558" s="5" t="s">
        <v>2245</v>
      </c>
      <c r="D1558" s="5" t="s">
        <v>4760</v>
      </c>
      <c r="E1558" s="5" t="s">
        <v>62</v>
      </c>
      <c r="F1558" s="5" t="s">
        <v>367</v>
      </c>
    </row>
    <row r="1559" customFormat="false" ht="23.85" hidden="false" customHeight="false" outlineLevel="0" collapsed="false">
      <c r="A1559" s="5" t="s">
        <v>6178</v>
      </c>
      <c r="B1559" s="2" t="s">
        <v>6179</v>
      </c>
      <c r="C1559" s="5" t="s">
        <v>2245</v>
      </c>
      <c r="D1559" s="5" t="s">
        <v>4760</v>
      </c>
      <c r="E1559" s="5" t="s">
        <v>490</v>
      </c>
      <c r="F1559" s="5" t="s">
        <v>367</v>
      </c>
    </row>
    <row r="1560" customFormat="false" ht="15" hidden="false" customHeight="false" outlineLevel="0" collapsed="false">
      <c r="A1560" s="5" t="s">
        <v>6184</v>
      </c>
      <c r="B1560" s="2" t="s">
        <v>6185</v>
      </c>
      <c r="C1560" s="5" t="s">
        <v>2245</v>
      </c>
      <c r="D1560" s="5" t="s">
        <v>4760</v>
      </c>
      <c r="E1560" s="5" t="s">
        <v>62</v>
      </c>
      <c r="F1560" s="5" t="s">
        <v>367</v>
      </c>
    </row>
    <row r="1561" customFormat="false" ht="15" hidden="false" customHeight="false" outlineLevel="0" collapsed="false">
      <c r="A1561" s="5" t="s">
        <v>6189</v>
      </c>
      <c r="B1561" s="2" t="s">
        <v>6190</v>
      </c>
      <c r="C1561" s="5" t="s">
        <v>2245</v>
      </c>
      <c r="D1561" s="5" t="s">
        <v>4760</v>
      </c>
      <c r="E1561" s="5" t="s">
        <v>490</v>
      </c>
      <c r="F1561" s="5" t="s">
        <v>367</v>
      </c>
    </row>
    <row r="1562" customFormat="false" ht="15" hidden="false" customHeight="false" outlineLevel="0" collapsed="false">
      <c r="A1562" s="5" t="s">
        <v>6194</v>
      </c>
      <c r="B1562" s="2" t="s">
        <v>6195</v>
      </c>
      <c r="C1562" s="5" t="s">
        <v>2245</v>
      </c>
      <c r="D1562" s="5" t="s">
        <v>4760</v>
      </c>
      <c r="E1562" s="5" t="s">
        <v>62</v>
      </c>
      <c r="F1562" s="5" t="s">
        <v>367</v>
      </c>
    </row>
    <row r="1563" customFormat="false" ht="15" hidden="false" customHeight="false" outlineLevel="0" collapsed="false">
      <c r="A1563" s="5" t="s">
        <v>6199</v>
      </c>
      <c r="B1563" s="2" t="s">
        <v>6200</v>
      </c>
      <c r="C1563" s="5" t="s">
        <v>2245</v>
      </c>
      <c r="D1563" s="5" t="s">
        <v>4760</v>
      </c>
      <c r="E1563" s="5" t="s">
        <v>62</v>
      </c>
      <c r="F1563" s="5" t="s">
        <v>367</v>
      </c>
    </row>
    <row r="1564" customFormat="false" ht="23.85" hidden="false" customHeight="false" outlineLevel="0" collapsed="false">
      <c r="A1564" s="5" t="s">
        <v>6204</v>
      </c>
      <c r="B1564" s="2" t="s">
        <v>6205</v>
      </c>
      <c r="C1564" s="5" t="s">
        <v>2245</v>
      </c>
      <c r="D1564" s="5" t="s">
        <v>4760</v>
      </c>
      <c r="E1564" s="5" t="s">
        <v>62</v>
      </c>
      <c r="F1564" s="5" t="s">
        <v>367</v>
      </c>
    </row>
    <row r="1565" customFormat="false" ht="15" hidden="false" customHeight="false" outlineLevel="0" collapsed="false">
      <c r="A1565" s="5" t="s">
        <v>6209</v>
      </c>
      <c r="B1565" s="2" t="s">
        <v>6210</v>
      </c>
      <c r="C1565" s="5" t="s">
        <v>2128</v>
      </c>
      <c r="D1565" s="5" t="s">
        <v>4760</v>
      </c>
      <c r="E1565" s="5" t="s">
        <v>62</v>
      </c>
      <c r="F1565" s="5" t="s">
        <v>367</v>
      </c>
    </row>
    <row r="1566" customFormat="false" ht="15" hidden="false" customHeight="false" outlineLevel="0" collapsed="false">
      <c r="A1566" s="5" t="s">
        <v>6214</v>
      </c>
      <c r="B1566" s="2" t="s">
        <v>6215</v>
      </c>
      <c r="C1566" s="5" t="s">
        <v>2245</v>
      </c>
      <c r="D1566" s="5" t="s">
        <v>4760</v>
      </c>
      <c r="E1566" s="5" t="s">
        <v>490</v>
      </c>
      <c r="F1566" s="5" t="s">
        <v>367</v>
      </c>
    </row>
    <row r="1567" customFormat="false" ht="23.85" hidden="false" customHeight="false" outlineLevel="0" collapsed="false">
      <c r="A1567" s="5" t="s">
        <v>6220</v>
      </c>
      <c r="B1567" s="2" t="s">
        <v>6221</v>
      </c>
      <c r="C1567" s="5" t="s">
        <v>2245</v>
      </c>
      <c r="D1567" s="5" t="s">
        <v>4760</v>
      </c>
      <c r="E1567" s="5" t="s">
        <v>62</v>
      </c>
      <c r="F1567" s="5" t="s">
        <v>8267</v>
      </c>
    </row>
    <row r="1568" customFormat="false" ht="23.85" hidden="false" customHeight="false" outlineLevel="0" collapsed="false">
      <c r="A1568" s="5" t="s">
        <v>6229</v>
      </c>
      <c r="B1568" s="2" t="s">
        <v>6230</v>
      </c>
      <c r="C1568" s="5" t="s">
        <v>2245</v>
      </c>
      <c r="D1568" s="5" t="s">
        <v>4760</v>
      </c>
      <c r="E1568" s="5" t="s">
        <v>62</v>
      </c>
      <c r="F1568" s="5" t="s">
        <v>367</v>
      </c>
    </row>
    <row r="1569" customFormat="false" ht="23.85" hidden="false" customHeight="false" outlineLevel="0" collapsed="false">
      <c r="A1569" s="5" t="s">
        <v>6234</v>
      </c>
      <c r="B1569" s="2" t="s">
        <v>6235</v>
      </c>
      <c r="C1569" s="5" t="s">
        <v>2245</v>
      </c>
      <c r="D1569" s="5" t="s">
        <v>4760</v>
      </c>
      <c r="E1569" s="5" t="s">
        <v>62</v>
      </c>
      <c r="F1569" s="5" t="s">
        <v>367</v>
      </c>
    </row>
    <row r="1570" customFormat="false" ht="15" hidden="false" customHeight="false" outlineLevel="0" collapsed="false">
      <c r="A1570" s="5" t="s">
        <v>6239</v>
      </c>
      <c r="B1570" s="2" t="s">
        <v>6240</v>
      </c>
      <c r="C1570" s="5" t="s">
        <v>2245</v>
      </c>
      <c r="D1570" s="5" t="s">
        <v>4760</v>
      </c>
      <c r="E1570" s="5" t="s">
        <v>490</v>
      </c>
      <c r="F1570" s="5" t="s">
        <v>1513</v>
      </c>
    </row>
    <row r="1571" customFormat="false" ht="23.85" hidden="false" customHeight="false" outlineLevel="0" collapsed="false">
      <c r="A1571" s="5" t="s">
        <v>6247</v>
      </c>
      <c r="B1571" s="2" t="s">
        <v>6248</v>
      </c>
      <c r="C1571" s="5" t="s">
        <v>2245</v>
      </c>
      <c r="D1571" s="5" t="s">
        <v>4760</v>
      </c>
      <c r="E1571" s="5" t="s">
        <v>62</v>
      </c>
      <c r="F1571" s="5" t="s">
        <v>367</v>
      </c>
    </row>
    <row r="1572" customFormat="false" ht="15" hidden="false" customHeight="false" outlineLevel="0" collapsed="false">
      <c r="A1572" s="5" t="s">
        <v>6252</v>
      </c>
      <c r="B1572" s="2" t="s">
        <v>6253</v>
      </c>
      <c r="C1572" s="5" t="s">
        <v>2245</v>
      </c>
      <c r="D1572" s="5" t="s">
        <v>4760</v>
      </c>
      <c r="E1572" s="5" t="s">
        <v>490</v>
      </c>
      <c r="F1572" s="5" t="s">
        <v>670</v>
      </c>
    </row>
    <row r="1573" customFormat="false" ht="15" hidden="false" customHeight="false" outlineLevel="0" collapsed="false">
      <c r="A1573" s="5" t="s">
        <v>6258</v>
      </c>
      <c r="B1573" s="2" t="s">
        <v>6259</v>
      </c>
      <c r="C1573" s="5" t="s">
        <v>2128</v>
      </c>
      <c r="D1573" s="5" t="s">
        <v>4760</v>
      </c>
      <c r="E1573" s="5" t="s">
        <v>62</v>
      </c>
      <c r="F1573" s="5" t="s">
        <v>367</v>
      </c>
    </row>
    <row r="1574" customFormat="false" ht="15" hidden="false" customHeight="false" outlineLevel="0" collapsed="false">
      <c r="A1574" s="5" t="s">
        <v>6263</v>
      </c>
      <c r="B1574" s="2" t="s">
        <v>6264</v>
      </c>
      <c r="C1574" s="5" t="s">
        <v>2128</v>
      </c>
      <c r="D1574" s="5" t="s">
        <v>4760</v>
      </c>
      <c r="E1574" s="5" t="s">
        <v>62</v>
      </c>
      <c r="F1574" s="5" t="s">
        <v>367</v>
      </c>
    </row>
    <row r="1575" customFormat="false" ht="23.85" hidden="false" customHeight="false" outlineLevel="0" collapsed="false">
      <c r="A1575" s="5" t="s">
        <v>6268</v>
      </c>
      <c r="B1575" s="2" t="s">
        <v>6269</v>
      </c>
      <c r="C1575" s="5" t="s">
        <v>2128</v>
      </c>
      <c r="D1575" s="5" t="s">
        <v>4760</v>
      </c>
      <c r="E1575" s="5" t="s">
        <v>62</v>
      </c>
      <c r="F1575" s="5" t="s">
        <v>367</v>
      </c>
    </row>
    <row r="1576" customFormat="false" ht="15" hidden="false" customHeight="false" outlineLevel="0" collapsed="false">
      <c r="A1576" s="5" t="s">
        <v>6274</v>
      </c>
      <c r="B1576" s="2" t="s">
        <v>6275</v>
      </c>
      <c r="C1576" s="5" t="s">
        <v>2128</v>
      </c>
      <c r="D1576" s="5" t="s">
        <v>4760</v>
      </c>
      <c r="E1576" s="5" t="s">
        <v>62</v>
      </c>
      <c r="F1576" s="5" t="s">
        <v>6276</v>
      </c>
    </row>
    <row r="1577" customFormat="false" ht="23.85" hidden="false" customHeight="false" outlineLevel="0" collapsed="false">
      <c r="A1577" s="5" t="s">
        <v>6283</v>
      </c>
      <c r="B1577" s="2" t="s">
        <v>6284</v>
      </c>
      <c r="C1577" s="5" t="s">
        <v>2245</v>
      </c>
      <c r="D1577" s="5" t="s">
        <v>4760</v>
      </c>
      <c r="E1577" s="5" t="s">
        <v>62</v>
      </c>
      <c r="F1577" s="5" t="s">
        <v>367</v>
      </c>
    </row>
    <row r="1578" customFormat="false" ht="23.85" hidden="false" customHeight="false" outlineLevel="0" collapsed="false">
      <c r="A1578" s="5" t="s">
        <v>6289</v>
      </c>
      <c r="B1578" s="2" t="s">
        <v>6290</v>
      </c>
      <c r="C1578" s="5" t="s">
        <v>2245</v>
      </c>
      <c r="D1578" s="5" t="s">
        <v>4760</v>
      </c>
      <c r="E1578" s="5" t="s">
        <v>62</v>
      </c>
      <c r="F1578" s="5" t="s">
        <v>367</v>
      </c>
    </row>
    <row r="1579" customFormat="false" ht="23.85" hidden="false" customHeight="false" outlineLevel="0" collapsed="false">
      <c r="A1579" s="5" t="s">
        <v>6297</v>
      </c>
      <c r="B1579" s="2" t="s">
        <v>6298</v>
      </c>
      <c r="C1579" s="5" t="s">
        <v>2128</v>
      </c>
      <c r="D1579" s="5" t="s">
        <v>4760</v>
      </c>
      <c r="E1579" s="5" t="s">
        <v>62</v>
      </c>
      <c r="F1579" s="5" t="s">
        <v>367</v>
      </c>
    </row>
    <row r="1580" customFormat="false" ht="35.05" hidden="false" customHeight="false" outlineLevel="0" collapsed="false">
      <c r="A1580" s="5" t="s">
        <v>6302</v>
      </c>
      <c r="B1580" s="2" t="s">
        <v>6303</v>
      </c>
      <c r="C1580" s="5" t="s">
        <v>2128</v>
      </c>
      <c r="D1580" s="5" t="s">
        <v>4760</v>
      </c>
      <c r="E1580" s="5" t="s">
        <v>62</v>
      </c>
      <c r="F1580" s="5" t="s">
        <v>367</v>
      </c>
    </row>
    <row r="1581" customFormat="false" ht="23.85" hidden="false" customHeight="false" outlineLevel="0" collapsed="false">
      <c r="A1581" s="5" t="s">
        <v>6307</v>
      </c>
      <c r="B1581" s="2" t="s">
        <v>6308</v>
      </c>
      <c r="C1581" s="5" t="s">
        <v>2245</v>
      </c>
      <c r="D1581" s="5" t="s">
        <v>4760</v>
      </c>
      <c r="E1581" s="5" t="s">
        <v>62</v>
      </c>
      <c r="F1581" s="5" t="s">
        <v>367</v>
      </c>
    </row>
    <row r="1582" customFormat="false" ht="23.85" hidden="false" customHeight="false" outlineLevel="0" collapsed="false">
      <c r="A1582" s="5" t="s">
        <v>6312</v>
      </c>
      <c r="B1582" s="2" t="s">
        <v>6313</v>
      </c>
      <c r="C1582" s="5" t="s">
        <v>2245</v>
      </c>
      <c r="D1582" s="5" t="s">
        <v>4760</v>
      </c>
      <c r="E1582" s="5" t="s">
        <v>490</v>
      </c>
      <c r="F1582" s="5" t="s">
        <v>367</v>
      </c>
    </row>
    <row r="1583" customFormat="false" ht="15" hidden="false" customHeight="false" outlineLevel="0" collapsed="false">
      <c r="A1583" s="5" t="s">
        <v>6317</v>
      </c>
      <c r="B1583" s="2" t="s">
        <v>6318</v>
      </c>
      <c r="C1583" s="5" t="s">
        <v>2128</v>
      </c>
      <c r="D1583" s="5" t="s">
        <v>4760</v>
      </c>
      <c r="E1583" s="5" t="s">
        <v>62</v>
      </c>
      <c r="F1583" s="5" t="s">
        <v>367</v>
      </c>
    </row>
    <row r="1584" customFormat="false" ht="23.85" hidden="false" customHeight="false" outlineLevel="0" collapsed="false">
      <c r="A1584" s="5" t="s">
        <v>6323</v>
      </c>
      <c r="B1584" s="2" t="s">
        <v>6324</v>
      </c>
      <c r="C1584" s="5" t="s">
        <v>2245</v>
      </c>
      <c r="D1584" s="5" t="s">
        <v>4760</v>
      </c>
      <c r="E1584" s="5" t="s">
        <v>62</v>
      </c>
      <c r="F1584" s="5" t="s">
        <v>6027</v>
      </c>
    </row>
    <row r="1585" customFormat="false" ht="23.85" hidden="false" customHeight="false" outlineLevel="0" collapsed="false">
      <c r="A1585" s="5" t="s">
        <v>6328</v>
      </c>
      <c r="B1585" s="2" t="s">
        <v>6329</v>
      </c>
      <c r="C1585" s="5" t="s">
        <v>2245</v>
      </c>
      <c r="D1585" s="5" t="s">
        <v>4760</v>
      </c>
      <c r="E1585" s="5" t="s">
        <v>490</v>
      </c>
      <c r="F1585" s="5" t="s">
        <v>367</v>
      </c>
    </row>
    <row r="1586" customFormat="false" ht="23.85" hidden="false" customHeight="false" outlineLevel="0" collapsed="false">
      <c r="A1586" s="5" t="s">
        <v>6333</v>
      </c>
      <c r="B1586" s="2" t="s">
        <v>6334</v>
      </c>
      <c r="C1586" s="5" t="s">
        <v>2245</v>
      </c>
      <c r="D1586" s="5" t="s">
        <v>4760</v>
      </c>
      <c r="E1586" s="5" t="s">
        <v>62</v>
      </c>
      <c r="F1586" s="5" t="s">
        <v>367</v>
      </c>
    </row>
    <row r="1587" customFormat="false" ht="23.85" hidden="false" customHeight="false" outlineLevel="0" collapsed="false">
      <c r="A1587" s="5" t="s">
        <v>6338</v>
      </c>
      <c r="B1587" s="2" t="s">
        <v>6339</v>
      </c>
      <c r="C1587" s="5" t="s">
        <v>2245</v>
      </c>
      <c r="D1587" s="5" t="s">
        <v>4760</v>
      </c>
      <c r="E1587" s="5" t="s">
        <v>490</v>
      </c>
      <c r="F1587" s="5" t="s">
        <v>367</v>
      </c>
    </row>
    <row r="1588" customFormat="false" ht="23.85" hidden="false" customHeight="false" outlineLevel="0" collapsed="false">
      <c r="A1588" s="5" t="s">
        <v>6343</v>
      </c>
      <c r="B1588" s="2" t="s">
        <v>6344</v>
      </c>
      <c r="C1588" s="5" t="s">
        <v>2245</v>
      </c>
      <c r="D1588" s="5" t="s">
        <v>4760</v>
      </c>
      <c r="E1588" s="5" t="s">
        <v>62</v>
      </c>
      <c r="F1588" s="5" t="s">
        <v>367</v>
      </c>
    </row>
    <row r="1589" customFormat="false" ht="23.85" hidden="false" customHeight="false" outlineLevel="0" collapsed="false">
      <c r="A1589" s="5" t="s">
        <v>6348</v>
      </c>
      <c r="B1589" s="2" t="s">
        <v>6349</v>
      </c>
      <c r="C1589" s="5" t="s">
        <v>2245</v>
      </c>
      <c r="D1589" s="5" t="s">
        <v>4760</v>
      </c>
      <c r="E1589" s="5" t="s">
        <v>62</v>
      </c>
      <c r="F1589" s="5" t="s">
        <v>6027</v>
      </c>
    </row>
    <row r="1590" customFormat="false" ht="15" hidden="false" customHeight="false" outlineLevel="0" collapsed="false">
      <c r="A1590" s="5" t="s">
        <v>6353</v>
      </c>
      <c r="B1590" s="2" t="s">
        <v>6354</v>
      </c>
      <c r="C1590" s="5" t="s">
        <v>2245</v>
      </c>
      <c r="D1590" s="5" t="s">
        <v>4760</v>
      </c>
      <c r="E1590" s="5" t="s">
        <v>490</v>
      </c>
      <c r="F1590" s="5" t="s">
        <v>367</v>
      </c>
    </row>
    <row r="1591" customFormat="false" ht="23.85" hidden="false" customHeight="false" outlineLevel="0" collapsed="false">
      <c r="A1591" s="5" t="s">
        <v>6358</v>
      </c>
      <c r="B1591" s="2" t="s">
        <v>6359</v>
      </c>
      <c r="C1591" s="5" t="s">
        <v>2128</v>
      </c>
      <c r="D1591" s="5" t="s">
        <v>4760</v>
      </c>
      <c r="E1591" s="5" t="s">
        <v>62</v>
      </c>
      <c r="F1591" s="5" t="s">
        <v>367</v>
      </c>
    </row>
    <row r="1592" customFormat="false" ht="23.85" hidden="false" customHeight="false" outlineLevel="0" collapsed="false">
      <c r="A1592" s="5" t="s">
        <v>6363</v>
      </c>
      <c r="B1592" s="2" t="s">
        <v>6364</v>
      </c>
      <c r="C1592" s="5" t="s">
        <v>2245</v>
      </c>
      <c r="D1592" s="5" t="s">
        <v>4760</v>
      </c>
      <c r="E1592" s="5" t="s">
        <v>490</v>
      </c>
      <c r="F1592" s="5" t="s">
        <v>367</v>
      </c>
    </row>
    <row r="1593" customFormat="false" ht="15" hidden="false" customHeight="false" outlineLevel="0" collapsed="false">
      <c r="A1593" s="5" t="s">
        <v>6368</v>
      </c>
      <c r="B1593" s="2" t="s">
        <v>6369</v>
      </c>
      <c r="C1593" s="5" t="s">
        <v>2245</v>
      </c>
      <c r="D1593" s="5" t="s">
        <v>4760</v>
      </c>
      <c r="E1593" s="5" t="s">
        <v>490</v>
      </c>
      <c r="F1593" s="5" t="s">
        <v>367</v>
      </c>
    </row>
    <row r="1594" customFormat="false" ht="23.85" hidden="false" customHeight="false" outlineLevel="0" collapsed="false">
      <c r="A1594" s="5" t="s">
        <v>6373</v>
      </c>
      <c r="B1594" s="2" t="s">
        <v>6374</v>
      </c>
      <c r="C1594" s="5" t="s">
        <v>2245</v>
      </c>
      <c r="D1594" s="5" t="s">
        <v>4760</v>
      </c>
      <c r="E1594" s="5" t="s">
        <v>490</v>
      </c>
      <c r="F1594" s="5" t="s">
        <v>367</v>
      </c>
    </row>
    <row r="1595" customFormat="false" ht="23.85" hidden="false" customHeight="false" outlineLevel="0" collapsed="false">
      <c r="A1595" s="5" t="s">
        <v>6378</v>
      </c>
      <c r="B1595" s="2" t="s">
        <v>6379</v>
      </c>
      <c r="C1595" s="5" t="s">
        <v>2245</v>
      </c>
      <c r="D1595" s="5" t="s">
        <v>4760</v>
      </c>
      <c r="E1595" s="5" t="s">
        <v>62</v>
      </c>
      <c r="F1595" s="5" t="s">
        <v>367</v>
      </c>
    </row>
    <row r="1596" customFormat="false" ht="23.85" hidden="false" customHeight="false" outlineLevel="0" collapsed="false">
      <c r="A1596" s="5" t="s">
        <v>6384</v>
      </c>
      <c r="B1596" s="2" t="s">
        <v>6385</v>
      </c>
      <c r="C1596" s="5" t="s">
        <v>2128</v>
      </c>
      <c r="D1596" s="5" t="s">
        <v>4760</v>
      </c>
      <c r="E1596" s="5" t="s">
        <v>62</v>
      </c>
      <c r="F1596" s="5" t="s">
        <v>367</v>
      </c>
    </row>
    <row r="1597" customFormat="false" ht="15" hidden="false" customHeight="false" outlineLevel="0" collapsed="false">
      <c r="A1597" s="5" t="s">
        <v>6389</v>
      </c>
      <c r="B1597" s="2" t="s">
        <v>6390</v>
      </c>
      <c r="C1597" s="5" t="s">
        <v>2128</v>
      </c>
      <c r="D1597" s="5" t="s">
        <v>4760</v>
      </c>
      <c r="E1597" s="5" t="s">
        <v>62</v>
      </c>
      <c r="F1597" s="5" t="s">
        <v>415</v>
      </c>
    </row>
    <row r="1598" customFormat="false" ht="23.85" hidden="false" customHeight="false" outlineLevel="0" collapsed="false">
      <c r="A1598" s="5" t="s">
        <v>6395</v>
      </c>
      <c r="B1598" s="2" t="s">
        <v>6396</v>
      </c>
      <c r="C1598" s="5" t="s">
        <v>2245</v>
      </c>
      <c r="D1598" s="5" t="s">
        <v>4760</v>
      </c>
      <c r="E1598" s="5" t="s">
        <v>490</v>
      </c>
      <c r="F1598" s="5" t="s">
        <v>367</v>
      </c>
    </row>
    <row r="1599" customFormat="false" ht="23.85" hidden="false" customHeight="false" outlineLevel="0" collapsed="false">
      <c r="A1599" s="5" t="s">
        <v>6400</v>
      </c>
      <c r="B1599" s="2" t="s">
        <v>6401</v>
      </c>
      <c r="C1599" s="5" t="s">
        <v>2245</v>
      </c>
      <c r="D1599" s="5" t="s">
        <v>4760</v>
      </c>
      <c r="E1599" s="5" t="s">
        <v>62</v>
      </c>
      <c r="F1599" s="5" t="s">
        <v>6027</v>
      </c>
    </row>
    <row r="1600" customFormat="false" ht="15" hidden="false" customHeight="false" outlineLevel="0" collapsed="false">
      <c r="A1600" s="5" t="s">
        <v>6405</v>
      </c>
      <c r="B1600" s="2" t="s">
        <v>6406</v>
      </c>
      <c r="C1600" s="5" t="s">
        <v>2245</v>
      </c>
      <c r="D1600" s="5" t="s">
        <v>4760</v>
      </c>
      <c r="E1600" s="5" t="s">
        <v>62</v>
      </c>
      <c r="F1600" s="5" t="s">
        <v>367</v>
      </c>
    </row>
    <row r="1601" customFormat="false" ht="23.85" hidden="false" customHeight="false" outlineLevel="0" collapsed="false">
      <c r="A1601" s="5" t="s">
        <v>6410</v>
      </c>
      <c r="B1601" s="2" t="s">
        <v>6411</v>
      </c>
      <c r="C1601" s="5" t="s">
        <v>2245</v>
      </c>
      <c r="D1601" s="5" t="s">
        <v>4760</v>
      </c>
      <c r="E1601" s="5" t="s">
        <v>62</v>
      </c>
      <c r="F1601" s="5" t="s">
        <v>6027</v>
      </c>
    </row>
    <row r="1602" customFormat="false" ht="23.85" hidden="false" customHeight="false" outlineLevel="0" collapsed="false">
      <c r="A1602" s="5" t="s">
        <v>6415</v>
      </c>
      <c r="B1602" s="2" t="s">
        <v>6416</v>
      </c>
      <c r="C1602" s="5" t="s">
        <v>2245</v>
      </c>
      <c r="D1602" s="5" t="s">
        <v>4760</v>
      </c>
      <c r="E1602" s="5" t="s">
        <v>490</v>
      </c>
      <c r="F1602" s="5" t="s">
        <v>367</v>
      </c>
    </row>
    <row r="1603" customFormat="false" ht="23.85" hidden="false" customHeight="false" outlineLevel="0" collapsed="false">
      <c r="A1603" s="5" t="s">
        <v>6420</v>
      </c>
      <c r="B1603" s="2" t="s">
        <v>6421</v>
      </c>
      <c r="C1603" s="5" t="s">
        <v>2128</v>
      </c>
      <c r="D1603" s="5" t="s">
        <v>4760</v>
      </c>
      <c r="E1603" s="5" t="s">
        <v>62</v>
      </c>
      <c r="F1603" s="5" t="s">
        <v>367</v>
      </c>
    </row>
    <row r="1604" customFormat="false" ht="23.85" hidden="false" customHeight="false" outlineLevel="0" collapsed="false">
      <c r="A1604" s="5" t="s">
        <v>6425</v>
      </c>
      <c r="B1604" s="2" t="s">
        <v>6426</v>
      </c>
      <c r="C1604" s="5" t="s">
        <v>2245</v>
      </c>
      <c r="D1604" s="5" t="s">
        <v>4760</v>
      </c>
      <c r="E1604" s="5" t="s">
        <v>490</v>
      </c>
      <c r="F1604" s="5" t="s">
        <v>367</v>
      </c>
    </row>
    <row r="1605" customFormat="false" ht="15" hidden="false" customHeight="false" outlineLevel="0" collapsed="false">
      <c r="A1605" s="5" t="s">
        <v>6430</v>
      </c>
      <c r="B1605" s="2" t="s">
        <v>6431</v>
      </c>
      <c r="C1605" s="5" t="s">
        <v>2128</v>
      </c>
      <c r="D1605" s="5" t="s">
        <v>4760</v>
      </c>
      <c r="E1605" s="5" t="s">
        <v>62</v>
      </c>
      <c r="F1605" s="5" t="s">
        <v>367</v>
      </c>
    </row>
    <row r="1606" customFormat="false" ht="15" hidden="false" customHeight="false" outlineLevel="0" collapsed="false">
      <c r="A1606" s="5" t="s">
        <v>6436</v>
      </c>
      <c r="B1606" s="2" t="s">
        <v>6437</v>
      </c>
      <c r="C1606" s="5" t="s">
        <v>2128</v>
      </c>
      <c r="D1606" s="5" t="s">
        <v>4760</v>
      </c>
      <c r="E1606" s="5" t="s">
        <v>62</v>
      </c>
      <c r="F1606" s="5" t="s">
        <v>367</v>
      </c>
    </row>
    <row r="1607" customFormat="false" ht="23.85" hidden="false" customHeight="false" outlineLevel="0" collapsed="false">
      <c r="A1607" s="5" t="s">
        <v>6442</v>
      </c>
      <c r="B1607" s="2" t="s">
        <v>6443</v>
      </c>
      <c r="C1607" s="5" t="s">
        <v>2245</v>
      </c>
      <c r="D1607" s="5" t="s">
        <v>4760</v>
      </c>
      <c r="E1607" s="5" t="s">
        <v>62</v>
      </c>
      <c r="F1607" s="5" t="s">
        <v>8267</v>
      </c>
    </row>
    <row r="1608" customFormat="false" ht="23.85" hidden="false" customHeight="false" outlineLevel="0" collapsed="false">
      <c r="A1608" s="5" t="s">
        <v>6450</v>
      </c>
      <c r="B1608" s="2" t="s">
        <v>6451</v>
      </c>
      <c r="C1608" s="5" t="s">
        <v>2128</v>
      </c>
      <c r="D1608" s="5" t="s">
        <v>4760</v>
      </c>
      <c r="E1608" s="5" t="s">
        <v>62</v>
      </c>
      <c r="F1608" s="5" t="s">
        <v>367</v>
      </c>
    </row>
    <row r="1609" customFormat="false" ht="23.85" hidden="false" customHeight="false" outlineLevel="0" collapsed="false">
      <c r="A1609" s="5" t="s">
        <v>6455</v>
      </c>
      <c r="B1609" s="2" t="s">
        <v>6456</v>
      </c>
      <c r="C1609" s="5" t="s">
        <v>2128</v>
      </c>
      <c r="D1609" s="5" t="s">
        <v>4760</v>
      </c>
      <c r="E1609" s="5" t="s">
        <v>62</v>
      </c>
      <c r="F1609" s="5" t="s">
        <v>367</v>
      </c>
    </row>
    <row r="1610" customFormat="false" ht="15" hidden="false" customHeight="false" outlineLevel="0" collapsed="false">
      <c r="A1610" s="5" t="s">
        <v>6460</v>
      </c>
      <c r="B1610" s="2" t="s">
        <v>6461</v>
      </c>
      <c r="C1610" s="5" t="s">
        <v>2128</v>
      </c>
      <c r="D1610" s="5" t="s">
        <v>4760</v>
      </c>
      <c r="E1610" s="5" t="s">
        <v>62</v>
      </c>
      <c r="F1610" s="5" t="s">
        <v>367</v>
      </c>
    </row>
    <row r="1611" customFormat="false" ht="15" hidden="false" customHeight="false" outlineLevel="0" collapsed="false">
      <c r="A1611" s="5" t="s">
        <v>6465</v>
      </c>
      <c r="B1611" s="2" t="s">
        <v>6466</v>
      </c>
      <c r="C1611" s="5" t="s">
        <v>2128</v>
      </c>
      <c r="D1611" s="5" t="s">
        <v>4760</v>
      </c>
      <c r="E1611" s="5" t="s">
        <v>62</v>
      </c>
      <c r="F1611" s="5" t="s">
        <v>367</v>
      </c>
    </row>
    <row r="1612" customFormat="false" ht="15" hidden="false" customHeight="false" outlineLevel="0" collapsed="false">
      <c r="A1612" s="5" t="s">
        <v>6470</v>
      </c>
      <c r="B1612" s="2" t="s">
        <v>6471</v>
      </c>
      <c r="C1612" s="5" t="s">
        <v>2245</v>
      </c>
      <c r="D1612" s="5" t="s">
        <v>4760</v>
      </c>
      <c r="E1612" s="5" t="s">
        <v>490</v>
      </c>
      <c r="F1612" s="5" t="s">
        <v>367</v>
      </c>
    </row>
    <row r="1613" customFormat="false" ht="23.85" hidden="false" customHeight="false" outlineLevel="0" collapsed="false">
      <c r="A1613" s="5" t="s">
        <v>6475</v>
      </c>
      <c r="B1613" s="2" t="s">
        <v>6476</v>
      </c>
      <c r="C1613" s="5" t="s">
        <v>2245</v>
      </c>
      <c r="D1613" s="5" t="s">
        <v>4760</v>
      </c>
      <c r="E1613" s="5" t="s">
        <v>490</v>
      </c>
      <c r="F1613" s="5" t="s">
        <v>415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7" min="2" style="0" width="10"/>
    <col collapsed="false" customWidth="true" hidden="false" outlineLevel="0" max="8" min="8" style="0" width="90"/>
  </cols>
  <sheetData>
    <row r="1" customFormat="false" ht="45" hidden="false" customHeight="true" outlineLevel="0" collapsed="false">
      <c r="A1" s="4" t="s">
        <v>8215</v>
      </c>
      <c r="B1" s="4" t="s">
        <v>8268</v>
      </c>
      <c r="C1" s="4" t="s">
        <v>59</v>
      </c>
      <c r="D1" s="4" t="s">
        <v>8269</v>
      </c>
      <c r="E1" s="4" t="s">
        <v>60</v>
      </c>
      <c r="F1" s="4" t="s">
        <v>8270</v>
      </c>
      <c r="G1" s="4" t="s">
        <v>8271</v>
      </c>
      <c r="H1" s="4" t="s">
        <v>8272</v>
      </c>
    </row>
    <row r="2" customFormat="false" ht="404.45" hidden="false" customHeight="false" outlineLevel="0" collapsed="false">
      <c r="A2" s="2" t="s">
        <v>526</v>
      </c>
      <c r="B2" s="5" t="n">
        <f aca="false">SUMPRODUCT(--EXACT('Rule-DS map'!$F$2:$F$1613,$A2))</f>
        <v>24</v>
      </c>
      <c r="C2" s="5" t="n">
        <f aca="false">SUMPRODUCT(EXACT('Rule-DS map'!$F$2:$F$1613,$A2)*('Rule-DS map'!$C$2:$C$1613="New ITDR (7.6.0)"))</f>
        <v>0</v>
      </c>
      <c r="D2" s="5" t="n">
        <f aca="false">SUMPRODUCT(EXACT('Rule-DS map'!$F$2:$F$1613,$A2)*('Rule-DS map'!$C$2:$C$1613="Existing, re-tagged ITDR"))</f>
        <v>13</v>
      </c>
      <c r="E2" s="5" t="n">
        <f aca="false">SUMPRODUCT(EXACT('Rule-DS map'!$F$2:$F$1613,$A2)*('Rule-DS map'!$D$2:$D$1613="Identity-core"))</f>
        <v>22</v>
      </c>
      <c r="F2" s="5" t="n">
        <f aca="false">SUMPRODUCT(EXACT('Rule-DS map'!$F$2:$F$1613,$A2)*('Rule-DS map'!$E$2:$E$1613="Enabled"))</f>
        <v>20</v>
      </c>
      <c r="G2" s="5" t="n">
        <v>36</v>
      </c>
      <c r="H2" s="2" t="s">
        <v>8273</v>
      </c>
    </row>
    <row r="3" customFormat="false" ht="46.25" hidden="false" customHeight="false" outlineLevel="0" collapsed="false">
      <c r="A3" s="2" t="s">
        <v>568</v>
      </c>
      <c r="B3" s="5" t="n">
        <f aca="false">SUMPRODUCT(--EXACT('Rule-DS map'!$F$2:$F$1613,$A3))</f>
        <v>4</v>
      </c>
      <c r="C3" s="5" t="n">
        <f aca="false">SUMPRODUCT(EXACT('Rule-DS map'!$F$2:$F$1613,$A3)*('Rule-DS map'!$C$2:$C$1613="New ITDR (7.6.0)"))</f>
        <v>0</v>
      </c>
      <c r="D3" s="5" t="n">
        <f aca="false">SUMPRODUCT(EXACT('Rule-DS map'!$F$2:$F$1613,$A3)*('Rule-DS map'!$C$2:$C$1613="Existing, re-tagged ITDR"))</f>
        <v>2</v>
      </c>
      <c r="E3" s="5" t="n">
        <f aca="false">SUMPRODUCT(EXACT('Rule-DS map'!$F$2:$F$1613,$A3)*('Rule-DS map'!$D$2:$D$1613="Identity-core"))</f>
        <v>2</v>
      </c>
      <c r="F3" s="5" t="n">
        <f aca="false">SUMPRODUCT(EXACT('Rule-DS map'!$F$2:$F$1613,$A3)*('Rule-DS map'!$E$2:$E$1613="Enabled"))</f>
        <v>4</v>
      </c>
      <c r="G3" s="5" t="n">
        <v>4</v>
      </c>
      <c r="H3" s="2" t="s">
        <v>8274</v>
      </c>
    </row>
    <row r="4" customFormat="false" ht="15" hidden="false" customHeight="false" outlineLevel="0" collapsed="false">
      <c r="A4" s="2" t="s">
        <v>2340</v>
      </c>
      <c r="B4" s="5" t="n">
        <f aca="false">SUMPRODUCT(--EXACT('Rule-DS map'!$F$2:$F$1613,$A4))</f>
        <v>1</v>
      </c>
      <c r="C4" s="5" t="n">
        <f aca="false">SUMPRODUCT(EXACT('Rule-DS map'!$F$2:$F$1613,$A4)*('Rule-DS map'!$C$2:$C$1613="New ITDR (7.6.0)"))</f>
        <v>0</v>
      </c>
      <c r="D4" s="5" t="n">
        <f aca="false">SUMPRODUCT(EXACT('Rule-DS map'!$F$2:$F$1613,$A4)*('Rule-DS map'!$C$2:$C$1613="Existing, re-tagged ITDR"))</f>
        <v>0</v>
      </c>
      <c r="E4" s="5" t="n">
        <f aca="false">SUMPRODUCT(EXACT('Rule-DS map'!$F$2:$F$1613,$A4)*('Rule-DS map'!$D$2:$D$1613="Identity-core"))</f>
        <v>1</v>
      </c>
      <c r="F4" s="5" t="n">
        <f aca="false">SUMPRODUCT(EXACT('Rule-DS map'!$F$2:$F$1613,$A4)*('Rule-DS map'!$E$2:$E$1613="Enabled"))</f>
        <v>1</v>
      </c>
      <c r="G4" s="5" t="n">
        <v>1</v>
      </c>
      <c r="H4" s="2" t="s">
        <v>2341</v>
      </c>
    </row>
    <row r="5" customFormat="false" ht="147" hidden="false" customHeight="false" outlineLevel="0" collapsed="false">
      <c r="A5" s="2" t="s">
        <v>8229</v>
      </c>
      <c r="B5" s="5" t="n">
        <f aca="false">SUMPRODUCT(--EXACT('Rule-DS map'!$F$2:$F$1613,$A5))</f>
        <v>2</v>
      </c>
      <c r="C5" s="5" t="n">
        <f aca="false">SUMPRODUCT(EXACT('Rule-DS map'!$F$2:$F$1613,$A5)*('Rule-DS map'!$C$2:$C$1613="New ITDR (7.6.0)"))</f>
        <v>0</v>
      </c>
      <c r="D5" s="5" t="n">
        <f aca="false">SUMPRODUCT(EXACT('Rule-DS map'!$F$2:$F$1613,$A5)*('Rule-DS map'!$C$2:$C$1613="Existing, re-tagged ITDR"))</f>
        <v>2</v>
      </c>
      <c r="E5" s="5" t="n">
        <f aca="false">SUMPRODUCT(EXACT('Rule-DS map'!$F$2:$F$1613,$A5)*('Rule-DS map'!$D$2:$D$1613="Identity-core"))</f>
        <v>2</v>
      </c>
      <c r="F5" s="5" t="n">
        <f aca="false">SUMPRODUCT(EXACT('Rule-DS map'!$F$2:$F$1613,$A5)*('Rule-DS map'!$E$2:$E$1613="Enabled"))</f>
        <v>1</v>
      </c>
      <c r="G5" s="5" t="n">
        <v>13</v>
      </c>
      <c r="H5" s="2" t="s">
        <v>8275</v>
      </c>
    </row>
    <row r="6" customFormat="false" ht="23.85" hidden="false" customHeight="false" outlineLevel="0" collapsed="false">
      <c r="A6" s="2" t="s">
        <v>2129</v>
      </c>
      <c r="B6" s="5" t="n">
        <f aca="false">SUMPRODUCT(--EXACT('Rule-DS map'!$F$2:$F$1613,$A6))</f>
        <v>3</v>
      </c>
      <c r="C6" s="5" t="n">
        <f aca="false">SUMPRODUCT(EXACT('Rule-DS map'!$F$2:$F$1613,$A6)*('Rule-DS map'!$C$2:$C$1613="New ITDR (7.6.0)"))</f>
        <v>0</v>
      </c>
      <c r="D6" s="5" t="n">
        <f aca="false">SUMPRODUCT(EXACT('Rule-DS map'!$F$2:$F$1613,$A6)*('Rule-DS map'!$C$2:$C$1613="Existing, re-tagged ITDR"))</f>
        <v>0</v>
      </c>
      <c r="E6" s="5" t="n">
        <f aca="false">SUMPRODUCT(EXACT('Rule-DS map'!$F$2:$F$1613,$A6)*('Rule-DS map'!$D$2:$D$1613="Identity-core"))</f>
        <v>3</v>
      </c>
      <c r="F6" s="5" t="n">
        <f aca="false">SUMPRODUCT(EXACT('Rule-DS map'!$F$2:$F$1613,$A6)*('Rule-DS map'!$E$2:$E$1613="Enabled"))</f>
        <v>3</v>
      </c>
      <c r="G6" s="5" t="n">
        <v>2</v>
      </c>
      <c r="H6" s="2" t="s">
        <v>8276</v>
      </c>
    </row>
    <row r="7" customFormat="false" ht="23.85" hidden="false" customHeight="false" outlineLevel="0" collapsed="false">
      <c r="A7" s="2" t="s">
        <v>8248</v>
      </c>
      <c r="B7" s="5" t="n">
        <f aca="false">SUMPRODUCT(--EXACT('Rule-DS map'!$F$2:$F$1613,$A7))</f>
        <v>2</v>
      </c>
      <c r="C7" s="5" t="n">
        <f aca="false">SUMPRODUCT(EXACT('Rule-DS map'!$F$2:$F$1613,$A7)*('Rule-DS map'!$C$2:$C$1613="New ITDR (7.6.0)"))</f>
        <v>0</v>
      </c>
      <c r="D7" s="5" t="n">
        <f aca="false">SUMPRODUCT(EXACT('Rule-DS map'!$F$2:$F$1613,$A7)*('Rule-DS map'!$C$2:$C$1613="Existing, re-tagged ITDR"))</f>
        <v>2</v>
      </c>
      <c r="E7" s="5" t="n">
        <f aca="false">SUMPRODUCT(EXACT('Rule-DS map'!$F$2:$F$1613,$A7)*('Rule-DS map'!$D$2:$D$1613="Identity-core"))</f>
        <v>2</v>
      </c>
      <c r="F7" s="5" t="n">
        <f aca="false">SUMPRODUCT(EXACT('Rule-DS map'!$F$2:$F$1613,$A7)*('Rule-DS map'!$E$2:$E$1613="Enabled"))</f>
        <v>1</v>
      </c>
      <c r="G7" s="5" t="n">
        <v>2</v>
      </c>
      <c r="H7" s="2" t="s">
        <v>8277</v>
      </c>
    </row>
    <row r="8" customFormat="false" ht="292.5" hidden="false" customHeight="false" outlineLevel="0" collapsed="false">
      <c r="A8" s="2" t="s">
        <v>8239</v>
      </c>
      <c r="B8" s="5" t="n">
        <f aca="false">SUMPRODUCT(--EXACT('Rule-DS map'!$F$2:$F$1613,$A8))</f>
        <v>12</v>
      </c>
      <c r="C8" s="5" t="n">
        <f aca="false">SUMPRODUCT(EXACT('Rule-DS map'!$F$2:$F$1613,$A8)*('Rule-DS map'!$C$2:$C$1613="New ITDR (7.6.0)"))</f>
        <v>0</v>
      </c>
      <c r="D8" s="5" t="n">
        <f aca="false">SUMPRODUCT(EXACT('Rule-DS map'!$F$2:$F$1613,$A8)*('Rule-DS map'!$C$2:$C$1613="Existing, re-tagged ITDR"))</f>
        <v>8</v>
      </c>
      <c r="E8" s="5" t="n">
        <f aca="false">SUMPRODUCT(EXACT('Rule-DS map'!$F$2:$F$1613,$A8)*('Rule-DS map'!$D$2:$D$1613="Identity-core"))</f>
        <v>10</v>
      </c>
      <c r="F8" s="5" t="n">
        <f aca="false">SUMPRODUCT(EXACT('Rule-DS map'!$F$2:$F$1613,$A8)*('Rule-DS map'!$E$2:$E$1613="Enabled"))</f>
        <v>9</v>
      </c>
      <c r="G8" s="5" t="n">
        <v>26</v>
      </c>
      <c r="H8" s="2" t="s">
        <v>8278</v>
      </c>
    </row>
    <row r="9" customFormat="false" ht="15" hidden="false" customHeight="false" outlineLevel="0" collapsed="false">
      <c r="A9" s="2" t="s">
        <v>8259</v>
      </c>
      <c r="B9" s="5" t="n">
        <f aca="false">SUMPRODUCT(--EXACT('Rule-DS map'!$F$2:$F$1613,$A9))</f>
        <v>1</v>
      </c>
      <c r="C9" s="5" t="n">
        <f aca="false">SUMPRODUCT(EXACT('Rule-DS map'!$F$2:$F$1613,$A9)*('Rule-DS map'!$C$2:$C$1613="New ITDR (7.6.0)"))</f>
        <v>0</v>
      </c>
      <c r="D9" s="5" t="n">
        <f aca="false">SUMPRODUCT(EXACT('Rule-DS map'!$F$2:$F$1613,$A9)*('Rule-DS map'!$C$2:$C$1613="Existing, re-tagged ITDR"))</f>
        <v>0</v>
      </c>
      <c r="E9" s="5" t="n">
        <f aca="false">SUMPRODUCT(EXACT('Rule-DS map'!$F$2:$F$1613,$A9)*('Rule-DS map'!$D$2:$D$1613="Identity-core"))</f>
        <v>0</v>
      </c>
      <c r="F9" s="5" t="n">
        <f aca="false">SUMPRODUCT(EXACT('Rule-DS map'!$F$2:$F$1613,$A9)*('Rule-DS map'!$E$2:$E$1613="Enabled"))</f>
        <v>1</v>
      </c>
      <c r="G9" s="5" t="n">
        <v>1</v>
      </c>
      <c r="H9" s="2" t="s">
        <v>4947</v>
      </c>
    </row>
    <row r="10" customFormat="false" ht="68.65" hidden="false" customHeight="false" outlineLevel="0" collapsed="false">
      <c r="A10" s="2" t="s">
        <v>8249</v>
      </c>
      <c r="B10" s="5" t="n">
        <f aca="false">SUMPRODUCT(--EXACT('Rule-DS map'!$F$2:$F$1613,$A10))</f>
        <v>6</v>
      </c>
      <c r="C10" s="5" t="n">
        <f aca="false">SUMPRODUCT(EXACT('Rule-DS map'!$F$2:$F$1613,$A10)*('Rule-DS map'!$C$2:$C$1613="New ITDR (7.6.0)"))</f>
        <v>0</v>
      </c>
      <c r="D10" s="5" t="n">
        <f aca="false">SUMPRODUCT(EXACT('Rule-DS map'!$F$2:$F$1613,$A10)*('Rule-DS map'!$C$2:$C$1613="Existing, re-tagged ITDR"))</f>
        <v>3</v>
      </c>
      <c r="E10" s="5" t="n">
        <f aca="false">SUMPRODUCT(EXACT('Rule-DS map'!$F$2:$F$1613,$A10)*('Rule-DS map'!$D$2:$D$1613="Identity-core"))</f>
        <v>3</v>
      </c>
      <c r="F10" s="5" t="n">
        <f aca="false">SUMPRODUCT(EXACT('Rule-DS map'!$F$2:$F$1613,$A10)*('Rule-DS map'!$E$2:$E$1613="Enabled"))</f>
        <v>6</v>
      </c>
      <c r="G10" s="5" t="n">
        <v>6</v>
      </c>
      <c r="H10" s="2" t="s">
        <v>8279</v>
      </c>
    </row>
    <row r="11" customFormat="false" ht="79.85" hidden="false" customHeight="false" outlineLevel="0" collapsed="false">
      <c r="A11" s="2" t="s">
        <v>8251</v>
      </c>
      <c r="B11" s="5" t="n">
        <f aca="false">SUMPRODUCT(--EXACT('Rule-DS map'!$F$2:$F$1613,$A11))</f>
        <v>8</v>
      </c>
      <c r="C11" s="5" t="n">
        <f aca="false">SUMPRODUCT(EXACT('Rule-DS map'!$F$2:$F$1613,$A11)*('Rule-DS map'!$C$2:$C$1613="New ITDR (7.6.0)"))</f>
        <v>0</v>
      </c>
      <c r="D11" s="5" t="n">
        <f aca="false">SUMPRODUCT(EXACT('Rule-DS map'!$F$2:$F$1613,$A11)*('Rule-DS map'!$C$2:$C$1613="Existing, re-tagged ITDR"))</f>
        <v>0</v>
      </c>
      <c r="E11" s="5" t="n">
        <f aca="false">SUMPRODUCT(EXACT('Rule-DS map'!$F$2:$F$1613,$A11)*('Rule-DS map'!$D$2:$D$1613="Identity-core"))</f>
        <v>0</v>
      </c>
      <c r="F11" s="5" t="n">
        <f aca="false">SUMPRODUCT(EXACT('Rule-DS map'!$F$2:$F$1613,$A11)*('Rule-DS map'!$E$2:$E$1613="Enabled"))</f>
        <v>7</v>
      </c>
      <c r="G11" s="5" t="n">
        <v>7</v>
      </c>
      <c r="H11" s="2" t="s">
        <v>8280</v>
      </c>
    </row>
    <row r="12" customFormat="false" ht="426.85" hidden="false" customHeight="false" outlineLevel="0" collapsed="false">
      <c r="A12" s="2" t="s">
        <v>8219</v>
      </c>
      <c r="B12" s="5" t="n">
        <f aca="false">SUMPRODUCT(--EXACT('Rule-DS map'!$F$2:$F$1613,$A12))</f>
        <v>20</v>
      </c>
      <c r="C12" s="5" t="n">
        <f aca="false">SUMPRODUCT(EXACT('Rule-DS map'!$F$2:$F$1613,$A12)*('Rule-DS map'!$C$2:$C$1613="New ITDR (7.6.0)"))</f>
        <v>0</v>
      </c>
      <c r="D12" s="5" t="n">
        <f aca="false">SUMPRODUCT(EXACT('Rule-DS map'!$F$2:$F$1613,$A12)*('Rule-DS map'!$C$2:$C$1613="Existing, re-tagged ITDR"))</f>
        <v>14</v>
      </c>
      <c r="E12" s="5" t="n">
        <f aca="false">SUMPRODUCT(EXACT('Rule-DS map'!$F$2:$F$1613,$A12)*('Rule-DS map'!$D$2:$D$1613="Identity-core"))</f>
        <v>16</v>
      </c>
      <c r="F12" s="5" t="n">
        <f aca="false">SUMPRODUCT(EXACT('Rule-DS map'!$F$2:$F$1613,$A12)*('Rule-DS map'!$E$2:$E$1613="Enabled"))</f>
        <v>16</v>
      </c>
      <c r="G12" s="5" t="n">
        <v>38</v>
      </c>
      <c r="H12" s="2" t="s">
        <v>8281</v>
      </c>
    </row>
    <row r="13" customFormat="false" ht="23.85" hidden="false" customHeight="false" outlineLevel="0" collapsed="false">
      <c r="A13" s="2" t="s">
        <v>4785</v>
      </c>
      <c r="B13" s="5" t="n">
        <f aca="false">SUMPRODUCT(--EXACT('Rule-DS map'!$F$2:$F$1613,$A13))</f>
        <v>2</v>
      </c>
      <c r="C13" s="5" t="n">
        <f aca="false">SUMPRODUCT(EXACT('Rule-DS map'!$F$2:$F$1613,$A13)*('Rule-DS map'!$C$2:$C$1613="New ITDR (7.6.0)"))</f>
        <v>0</v>
      </c>
      <c r="D13" s="5" t="n">
        <f aca="false">SUMPRODUCT(EXACT('Rule-DS map'!$F$2:$F$1613,$A13)*('Rule-DS map'!$C$2:$C$1613="Existing, re-tagged ITDR"))</f>
        <v>0</v>
      </c>
      <c r="E13" s="5" t="n">
        <f aca="false">SUMPRODUCT(EXACT('Rule-DS map'!$F$2:$F$1613,$A13)*('Rule-DS map'!$D$2:$D$1613="Identity-core"))</f>
        <v>0</v>
      </c>
      <c r="F13" s="5" t="n">
        <f aca="false">SUMPRODUCT(EXACT('Rule-DS map'!$F$2:$F$1613,$A13)*('Rule-DS map'!$E$2:$E$1613="Enabled"))</f>
        <v>2</v>
      </c>
      <c r="G13" s="5" t="n">
        <v>2</v>
      </c>
      <c r="H13" s="2" t="s">
        <v>8282</v>
      </c>
    </row>
    <row r="14" customFormat="false" ht="23.85" hidden="false" customHeight="false" outlineLevel="0" collapsed="false">
      <c r="A14" s="2" t="s">
        <v>8255</v>
      </c>
      <c r="B14" s="5" t="n">
        <f aca="false">SUMPRODUCT(--EXACT('Rule-DS map'!$F$2:$F$1613,$A14))</f>
        <v>1</v>
      </c>
      <c r="C14" s="5" t="n">
        <f aca="false">SUMPRODUCT(EXACT('Rule-DS map'!$F$2:$F$1613,$A14)*('Rule-DS map'!$C$2:$C$1613="New ITDR (7.6.0)"))</f>
        <v>0</v>
      </c>
      <c r="D14" s="5" t="n">
        <f aca="false">SUMPRODUCT(EXACT('Rule-DS map'!$F$2:$F$1613,$A14)*('Rule-DS map'!$C$2:$C$1613="Existing, re-tagged ITDR"))</f>
        <v>0</v>
      </c>
      <c r="E14" s="5" t="n">
        <f aca="false">SUMPRODUCT(EXACT('Rule-DS map'!$F$2:$F$1613,$A14)*('Rule-DS map'!$D$2:$D$1613="Identity-core"))</f>
        <v>0</v>
      </c>
      <c r="F14" s="5" t="n">
        <f aca="false">SUMPRODUCT(EXACT('Rule-DS map'!$F$2:$F$1613,$A14)*('Rule-DS map'!$E$2:$E$1613="Enabled"))</f>
        <v>1</v>
      </c>
      <c r="G14" s="5" t="n">
        <v>1</v>
      </c>
      <c r="H14" s="2" t="s">
        <v>4947</v>
      </c>
    </row>
    <row r="15" customFormat="false" ht="303.7" hidden="false" customHeight="false" outlineLevel="0" collapsed="false">
      <c r="A15" s="2" t="s">
        <v>8218</v>
      </c>
      <c r="B15" s="5" t="n">
        <f aca="false">SUMPRODUCT(--EXACT('Rule-DS map'!$F$2:$F$1613,$A15))</f>
        <v>15</v>
      </c>
      <c r="C15" s="5" t="n">
        <f aca="false">SUMPRODUCT(EXACT('Rule-DS map'!$F$2:$F$1613,$A15)*('Rule-DS map'!$C$2:$C$1613="New ITDR (7.6.0)"))</f>
        <v>0</v>
      </c>
      <c r="D15" s="5" t="n">
        <f aca="false">SUMPRODUCT(EXACT('Rule-DS map'!$F$2:$F$1613,$A15)*('Rule-DS map'!$C$2:$C$1613="Existing, re-tagged ITDR"))</f>
        <v>11</v>
      </c>
      <c r="E15" s="5" t="n">
        <f aca="false">SUMPRODUCT(EXACT('Rule-DS map'!$F$2:$F$1613,$A15)*('Rule-DS map'!$D$2:$D$1613="Identity-core"))</f>
        <v>13</v>
      </c>
      <c r="F15" s="5" t="n">
        <f aca="false">SUMPRODUCT(EXACT('Rule-DS map'!$F$2:$F$1613,$A15)*('Rule-DS map'!$E$2:$E$1613="Enabled"))</f>
        <v>11</v>
      </c>
      <c r="G15" s="5" t="n">
        <v>27</v>
      </c>
      <c r="H15" s="2" t="s">
        <v>8283</v>
      </c>
    </row>
    <row r="16" customFormat="false" ht="15" hidden="false" customHeight="false" outlineLevel="0" collapsed="false">
      <c r="A16" s="2" t="s">
        <v>2616</v>
      </c>
      <c r="B16" s="5" t="n">
        <f aca="false">SUMPRODUCT(--EXACT('Rule-DS map'!$F$2:$F$1613,$A16))</f>
        <v>1</v>
      </c>
      <c r="C16" s="5" t="n">
        <f aca="false">SUMPRODUCT(EXACT('Rule-DS map'!$F$2:$F$1613,$A16)*('Rule-DS map'!$C$2:$C$1613="New ITDR (7.6.0)"))</f>
        <v>0</v>
      </c>
      <c r="D16" s="5" t="n">
        <f aca="false">SUMPRODUCT(EXACT('Rule-DS map'!$F$2:$F$1613,$A16)*('Rule-DS map'!$C$2:$C$1613="Existing, re-tagged ITDR"))</f>
        <v>0</v>
      </c>
      <c r="E16" s="5" t="n">
        <f aca="false">SUMPRODUCT(EXACT('Rule-DS map'!$F$2:$F$1613,$A16)*('Rule-DS map'!$D$2:$D$1613="Identity-core"))</f>
        <v>1</v>
      </c>
      <c r="F16" s="5" t="n">
        <f aca="false">SUMPRODUCT(EXACT('Rule-DS map'!$F$2:$F$1613,$A16)*('Rule-DS map'!$E$2:$E$1613="Enabled"))</f>
        <v>1</v>
      </c>
      <c r="G16" s="5" t="n">
        <v>1</v>
      </c>
      <c r="H16" s="2" t="s">
        <v>2617</v>
      </c>
    </row>
    <row r="17" customFormat="false" ht="23.85" hidden="false" customHeight="false" outlineLevel="0" collapsed="false">
      <c r="A17" s="2" t="s">
        <v>8247</v>
      </c>
      <c r="B17" s="5" t="n">
        <f aca="false">SUMPRODUCT(--EXACT('Rule-DS map'!$F$2:$F$1613,$A17))</f>
        <v>2</v>
      </c>
      <c r="C17" s="5" t="n">
        <f aca="false">SUMPRODUCT(EXACT('Rule-DS map'!$F$2:$F$1613,$A17)*('Rule-DS map'!$C$2:$C$1613="New ITDR (7.6.0)"))</f>
        <v>0</v>
      </c>
      <c r="D17" s="5" t="n">
        <f aca="false">SUMPRODUCT(EXACT('Rule-DS map'!$F$2:$F$1613,$A17)*('Rule-DS map'!$C$2:$C$1613="Existing, re-tagged ITDR"))</f>
        <v>2</v>
      </c>
      <c r="E17" s="5" t="n">
        <f aca="false">SUMPRODUCT(EXACT('Rule-DS map'!$F$2:$F$1613,$A17)*('Rule-DS map'!$D$2:$D$1613="Identity-core"))</f>
        <v>2</v>
      </c>
      <c r="F17" s="5" t="n">
        <f aca="false">SUMPRODUCT(EXACT('Rule-DS map'!$F$2:$F$1613,$A17)*('Rule-DS map'!$E$2:$E$1613="Enabled"))</f>
        <v>1</v>
      </c>
      <c r="G17" s="5" t="n">
        <v>2</v>
      </c>
      <c r="H17" s="2" t="s">
        <v>8277</v>
      </c>
    </row>
    <row r="18" customFormat="false" ht="46.25" hidden="false" customHeight="false" outlineLevel="0" collapsed="false">
      <c r="A18" s="2" t="s">
        <v>2246</v>
      </c>
      <c r="B18" s="5" t="n">
        <f aca="false">SUMPRODUCT(--EXACT('Rule-DS map'!$F$2:$F$1613,$A18))</f>
        <v>4</v>
      </c>
      <c r="C18" s="5" t="n">
        <f aca="false">SUMPRODUCT(EXACT('Rule-DS map'!$F$2:$F$1613,$A18)*('Rule-DS map'!$C$2:$C$1613="New ITDR (7.6.0)"))</f>
        <v>0</v>
      </c>
      <c r="D18" s="5" t="n">
        <f aca="false">SUMPRODUCT(EXACT('Rule-DS map'!$F$2:$F$1613,$A18)*('Rule-DS map'!$C$2:$C$1613="Existing, re-tagged ITDR"))</f>
        <v>0</v>
      </c>
      <c r="E18" s="5" t="n">
        <f aca="false">SUMPRODUCT(EXACT('Rule-DS map'!$F$2:$F$1613,$A18)*('Rule-DS map'!$D$2:$D$1613="Identity-core"))</f>
        <v>4</v>
      </c>
      <c r="F18" s="5" t="n">
        <f aca="false">SUMPRODUCT(EXACT('Rule-DS map'!$F$2:$F$1613,$A18)*('Rule-DS map'!$E$2:$E$1613="Enabled"))</f>
        <v>4</v>
      </c>
      <c r="G18" s="5" t="n">
        <v>4</v>
      </c>
      <c r="H18" s="2" t="s">
        <v>8284</v>
      </c>
    </row>
    <row r="19" customFormat="false" ht="102.2" hidden="false" customHeight="false" outlineLevel="0" collapsed="false">
      <c r="A19" s="2" t="s">
        <v>648</v>
      </c>
      <c r="B19" s="5" t="n">
        <f aca="false">SUMPRODUCT(--EXACT('Rule-DS map'!$F$2:$F$1613,$A19))</f>
        <v>4</v>
      </c>
      <c r="C19" s="5" t="n">
        <f aca="false">SUMPRODUCT(EXACT('Rule-DS map'!$F$2:$F$1613,$A19)*('Rule-DS map'!$C$2:$C$1613="New ITDR (7.6.0)"))</f>
        <v>0</v>
      </c>
      <c r="D19" s="5" t="n">
        <f aca="false">SUMPRODUCT(EXACT('Rule-DS map'!$F$2:$F$1613,$A19)*('Rule-DS map'!$C$2:$C$1613="Existing, re-tagged ITDR"))</f>
        <v>3</v>
      </c>
      <c r="E19" s="5" t="n">
        <f aca="false">SUMPRODUCT(EXACT('Rule-DS map'!$F$2:$F$1613,$A19)*('Rule-DS map'!$D$2:$D$1613="Identity-core"))</f>
        <v>3</v>
      </c>
      <c r="F19" s="5" t="n">
        <f aca="false">SUMPRODUCT(EXACT('Rule-DS map'!$F$2:$F$1613,$A19)*('Rule-DS map'!$E$2:$E$1613="Enabled"))</f>
        <v>4</v>
      </c>
      <c r="G19" s="5" t="n">
        <v>9</v>
      </c>
      <c r="H19" s="2" t="s">
        <v>8285</v>
      </c>
    </row>
    <row r="20" customFormat="false" ht="191.75" hidden="false" customHeight="false" outlineLevel="0" collapsed="false">
      <c r="A20" s="2" t="s">
        <v>670</v>
      </c>
      <c r="B20" s="5" t="n">
        <f aca="false">SUMPRODUCT(--EXACT('Rule-DS map'!$F$2:$F$1613,$A20))</f>
        <v>11</v>
      </c>
      <c r="C20" s="5" t="n">
        <f aca="false">SUMPRODUCT(EXACT('Rule-DS map'!$F$2:$F$1613,$A20)*('Rule-DS map'!$C$2:$C$1613="New ITDR (7.6.0)"))</f>
        <v>0</v>
      </c>
      <c r="D20" s="5" t="n">
        <f aca="false">SUMPRODUCT(EXACT('Rule-DS map'!$F$2:$F$1613,$A20)*('Rule-DS map'!$C$2:$C$1613="Existing, re-tagged ITDR"))</f>
        <v>9</v>
      </c>
      <c r="E20" s="5" t="n">
        <f aca="false">SUMPRODUCT(EXACT('Rule-DS map'!$F$2:$F$1613,$A20)*('Rule-DS map'!$D$2:$D$1613="Identity-core"))</f>
        <v>9</v>
      </c>
      <c r="F20" s="5" t="n">
        <f aca="false">SUMPRODUCT(EXACT('Rule-DS map'!$F$2:$F$1613,$A20)*('Rule-DS map'!$E$2:$E$1613="Enabled"))</f>
        <v>10</v>
      </c>
      <c r="G20" s="5" t="n">
        <v>17</v>
      </c>
      <c r="H20" s="2" t="s">
        <v>8286</v>
      </c>
    </row>
    <row r="21" customFormat="false" ht="15" hidden="false" customHeight="false" outlineLevel="0" collapsed="false">
      <c r="A21" s="2" t="s">
        <v>8260</v>
      </c>
      <c r="B21" s="5" t="n">
        <f aca="false">SUMPRODUCT(--EXACT('Rule-DS map'!$F$2:$F$1613,$A21))</f>
        <v>1</v>
      </c>
      <c r="C21" s="5" t="n">
        <f aca="false">SUMPRODUCT(EXACT('Rule-DS map'!$F$2:$F$1613,$A21)*('Rule-DS map'!$C$2:$C$1613="New ITDR (7.6.0)"))</f>
        <v>0</v>
      </c>
      <c r="D21" s="5" t="n">
        <f aca="false">SUMPRODUCT(EXACT('Rule-DS map'!$F$2:$F$1613,$A21)*('Rule-DS map'!$C$2:$C$1613="Existing, re-tagged ITDR"))</f>
        <v>0</v>
      </c>
      <c r="E21" s="5" t="n">
        <f aca="false">SUMPRODUCT(EXACT('Rule-DS map'!$F$2:$F$1613,$A21)*('Rule-DS map'!$D$2:$D$1613="Identity-core"))</f>
        <v>0</v>
      </c>
      <c r="F21" s="5" t="n">
        <f aca="false">SUMPRODUCT(EXACT('Rule-DS map'!$F$2:$F$1613,$A21)*('Rule-DS map'!$E$2:$E$1613="Enabled"))</f>
        <v>1</v>
      </c>
      <c r="G21" s="5" t="n">
        <v>1</v>
      </c>
      <c r="H21" s="2" t="s">
        <v>4947</v>
      </c>
    </row>
    <row r="22" customFormat="false" ht="35.05" hidden="false" customHeight="false" outlineLevel="0" collapsed="false">
      <c r="A22" s="2" t="s">
        <v>2493</v>
      </c>
      <c r="B22" s="5" t="n">
        <f aca="false">SUMPRODUCT(--EXACT('Rule-DS map'!$F$2:$F$1613,$A22))</f>
        <v>2</v>
      </c>
      <c r="C22" s="5" t="n">
        <f aca="false">SUMPRODUCT(EXACT('Rule-DS map'!$F$2:$F$1613,$A22)*('Rule-DS map'!$C$2:$C$1613="New ITDR (7.6.0)"))</f>
        <v>0</v>
      </c>
      <c r="D22" s="5" t="n">
        <f aca="false">SUMPRODUCT(EXACT('Rule-DS map'!$F$2:$F$1613,$A22)*('Rule-DS map'!$C$2:$C$1613="Existing, re-tagged ITDR"))</f>
        <v>0</v>
      </c>
      <c r="E22" s="5" t="n">
        <f aca="false">SUMPRODUCT(EXACT('Rule-DS map'!$F$2:$F$1613,$A22)*('Rule-DS map'!$D$2:$D$1613="Identity-core"))</f>
        <v>2</v>
      </c>
      <c r="F22" s="5" t="n">
        <f aca="false">SUMPRODUCT(EXACT('Rule-DS map'!$F$2:$F$1613,$A22)*('Rule-DS map'!$E$2:$E$1613="Enabled"))</f>
        <v>2</v>
      </c>
      <c r="G22" s="5" t="n">
        <v>3</v>
      </c>
      <c r="H22" s="2" t="s">
        <v>2494</v>
      </c>
    </row>
    <row r="23" customFormat="false" ht="147" hidden="false" customHeight="false" outlineLevel="0" collapsed="false">
      <c r="A23" s="2" t="s">
        <v>8231</v>
      </c>
      <c r="B23" s="5" t="n">
        <f aca="false">SUMPRODUCT(--EXACT('Rule-DS map'!$F$2:$F$1613,$A23))</f>
        <v>2</v>
      </c>
      <c r="C23" s="5" t="n">
        <f aca="false">SUMPRODUCT(EXACT('Rule-DS map'!$F$2:$F$1613,$A23)*('Rule-DS map'!$C$2:$C$1613="New ITDR (7.6.0)"))</f>
        <v>0</v>
      </c>
      <c r="D23" s="5" t="n">
        <f aca="false">SUMPRODUCT(EXACT('Rule-DS map'!$F$2:$F$1613,$A23)*('Rule-DS map'!$C$2:$C$1613="Existing, re-tagged ITDR"))</f>
        <v>2</v>
      </c>
      <c r="E23" s="5" t="n">
        <f aca="false">SUMPRODUCT(EXACT('Rule-DS map'!$F$2:$F$1613,$A23)*('Rule-DS map'!$D$2:$D$1613="Identity-core"))</f>
        <v>2</v>
      </c>
      <c r="F23" s="5" t="n">
        <f aca="false">SUMPRODUCT(EXACT('Rule-DS map'!$F$2:$F$1613,$A23)*('Rule-DS map'!$E$2:$E$1613="Enabled"))</f>
        <v>1</v>
      </c>
      <c r="G23" s="5" t="n">
        <v>13</v>
      </c>
      <c r="H23" s="2" t="s">
        <v>8275</v>
      </c>
    </row>
    <row r="24" customFormat="false" ht="23.85" hidden="false" customHeight="false" outlineLevel="0" collapsed="false">
      <c r="A24" s="2" t="s">
        <v>2721</v>
      </c>
      <c r="B24" s="5" t="n">
        <f aca="false">SUMPRODUCT(--EXACT('Rule-DS map'!$F$2:$F$1613,$A24))</f>
        <v>56</v>
      </c>
      <c r="C24" s="5" t="n">
        <f aca="false">SUMPRODUCT(EXACT('Rule-DS map'!$F$2:$F$1613,$A24)*('Rule-DS map'!$C$2:$C$1613="New ITDR (7.6.0)"))</f>
        <v>0</v>
      </c>
      <c r="D24" s="5" t="n">
        <f aca="false">SUMPRODUCT(EXACT('Rule-DS map'!$F$2:$F$1613,$A24)*('Rule-DS map'!$C$2:$C$1613="Existing, re-tagged ITDR"))</f>
        <v>0</v>
      </c>
      <c r="E24" s="5" t="n">
        <f aca="false">SUMPRODUCT(EXACT('Rule-DS map'!$F$2:$F$1613,$A24)*('Rule-DS map'!$D$2:$D$1613="Identity-core"))</f>
        <v>1</v>
      </c>
      <c r="F24" s="5" t="n">
        <f aca="false">SUMPRODUCT(EXACT('Rule-DS map'!$F$2:$F$1613,$A24)*('Rule-DS map'!$E$2:$E$1613="Enabled"))</f>
        <v>45</v>
      </c>
      <c r="G24" s="5" t="n">
        <v>2</v>
      </c>
      <c r="H24" s="2" t="s">
        <v>5041</v>
      </c>
    </row>
    <row r="25" customFormat="false" ht="35.05" hidden="false" customHeight="false" outlineLevel="0" collapsed="false">
      <c r="A25" s="2" t="s">
        <v>4830</v>
      </c>
      <c r="B25" s="5" t="n">
        <f aca="false">SUMPRODUCT(--EXACT('Rule-DS map'!$F$2:$F$1613,$A25))</f>
        <v>3</v>
      </c>
      <c r="C25" s="5" t="n">
        <f aca="false">SUMPRODUCT(EXACT('Rule-DS map'!$F$2:$F$1613,$A25)*('Rule-DS map'!$C$2:$C$1613="New ITDR (7.6.0)"))</f>
        <v>0</v>
      </c>
      <c r="D25" s="5" t="n">
        <f aca="false">SUMPRODUCT(EXACT('Rule-DS map'!$F$2:$F$1613,$A25)*('Rule-DS map'!$C$2:$C$1613="Existing, re-tagged ITDR"))</f>
        <v>1</v>
      </c>
      <c r="E25" s="5" t="n">
        <f aca="false">SUMPRODUCT(EXACT('Rule-DS map'!$F$2:$F$1613,$A25)*('Rule-DS map'!$D$2:$D$1613="Identity-core"))</f>
        <v>1</v>
      </c>
      <c r="F25" s="5" t="n">
        <f aca="false">SUMPRODUCT(EXACT('Rule-DS map'!$F$2:$F$1613,$A25)*('Rule-DS map'!$E$2:$E$1613="Enabled"))</f>
        <v>3</v>
      </c>
      <c r="G25" s="5" t="n">
        <v>3</v>
      </c>
      <c r="H25" s="2" t="s">
        <v>8287</v>
      </c>
    </row>
    <row r="26" customFormat="false" ht="15" hidden="false" customHeight="false" outlineLevel="0" collapsed="false">
      <c r="A26" s="2" t="s">
        <v>8262</v>
      </c>
      <c r="B26" s="5" t="n">
        <f aca="false">SUMPRODUCT(--EXACT('Rule-DS map'!$F$2:$F$1613,$A26))</f>
        <v>1</v>
      </c>
      <c r="C26" s="5" t="n">
        <f aca="false">SUMPRODUCT(EXACT('Rule-DS map'!$F$2:$F$1613,$A26)*('Rule-DS map'!$C$2:$C$1613="New ITDR (7.6.0)"))</f>
        <v>0</v>
      </c>
      <c r="D26" s="5" t="n">
        <f aca="false">SUMPRODUCT(EXACT('Rule-DS map'!$F$2:$F$1613,$A26)*('Rule-DS map'!$C$2:$C$1613="Existing, re-tagged ITDR"))</f>
        <v>0</v>
      </c>
      <c r="E26" s="5" t="n">
        <f aca="false">SUMPRODUCT(EXACT('Rule-DS map'!$F$2:$F$1613,$A26)*('Rule-DS map'!$D$2:$D$1613="Identity-core"))</f>
        <v>0</v>
      </c>
      <c r="F26" s="5" t="n">
        <f aca="false">SUMPRODUCT(EXACT('Rule-DS map'!$F$2:$F$1613,$A26)*('Rule-DS map'!$E$2:$E$1613="Enabled"))</f>
        <v>1</v>
      </c>
      <c r="G26" s="5" t="n">
        <v>1</v>
      </c>
      <c r="H26" s="2" t="s">
        <v>4947</v>
      </c>
    </row>
    <row r="27" customFormat="false" ht="191.75" hidden="false" customHeight="false" outlineLevel="0" collapsed="false">
      <c r="A27" s="2" t="s">
        <v>8263</v>
      </c>
      <c r="B27" s="5" t="n">
        <f aca="false">SUMPRODUCT(--EXACT('Rule-DS map'!$F$2:$F$1613,$A27))</f>
        <v>6</v>
      </c>
      <c r="C27" s="5" t="n">
        <f aca="false">SUMPRODUCT(EXACT('Rule-DS map'!$F$2:$F$1613,$A27)*('Rule-DS map'!$C$2:$C$1613="New ITDR (7.6.0)"))</f>
        <v>0</v>
      </c>
      <c r="D27" s="5" t="n">
        <f aca="false">SUMPRODUCT(EXACT('Rule-DS map'!$F$2:$F$1613,$A27)*('Rule-DS map'!$C$2:$C$1613="Existing, re-tagged ITDR"))</f>
        <v>0</v>
      </c>
      <c r="E27" s="5" t="n">
        <f aca="false">SUMPRODUCT(EXACT('Rule-DS map'!$F$2:$F$1613,$A27)*('Rule-DS map'!$D$2:$D$1613="Identity-core"))</f>
        <v>0</v>
      </c>
      <c r="F27" s="5" t="n">
        <f aca="false">SUMPRODUCT(EXACT('Rule-DS map'!$F$2:$F$1613,$A27)*('Rule-DS map'!$E$2:$E$1613="Enabled"))</f>
        <v>6</v>
      </c>
      <c r="G27" s="5" t="n">
        <v>17</v>
      </c>
      <c r="H27" s="2" t="s">
        <v>8288</v>
      </c>
    </row>
    <row r="28" customFormat="false" ht="3276.75" hidden="false" customHeight="false" outlineLevel="0" collapsed="false">
      <c r="A28" s="2" t="s">
        <v>2349</v>
      </c>
      <c r="B28" s="5" t="n">
        <f aca="false">SUMPRODUCT(--EXACT('Rule-DS map'!$F$2:$F$1613,$A28))</f>
        <v>147</v>
      </c>
      <c r="C28" s="5" t="n">
        <f aca="false">SUMPRODUCT(EXACT('Rule-DS map'!$F$2:$F$1613,$A28)*('Rule-DS map'!$C$2:$C$1613="New ITDR (7.6.0)"))</f>
        <v>0</v>
      </c>
      <c r="D28" s="5" t="n">
        <f aca="false">SUMPRODUCT(EXACT('Rule-DS map'!$F$2:$F$1613,$A28)*('Rule-DS map'!$C$2:$C$1613="Existing, re-tagged ITDR"))</f>
        <v>18</v>
      </c>
      <c r="E28" s="5" t="n">
        <f aca="false">SUMPRODUCT(EXACT('Rule-DS map'!$F$2:$F$1613,$A28)*('Rule-DS map'!$D$2:$D$1613="Identity-core"))</f>
        <v>26</v>
      </c>
      <c r="F28" s="5" t="n">
        <f aca="false">SUMPRODUCT(EXACT('Rule-DS map'!$F$2:$F$1613,$A28)*('Rule-DS map'!$E$2:$E$1613="Enabled"))</f>
        <v>124</v>
      </c>
      <c r="G28" s="5" t="n">
        <v>366</v>
      </c>
      <c r="H28" s="2" t="s">
        <v>8289</v>
      </c>
    </row>
    <row r="29" customFormat="false" ht="79.85" hidden="false" customHeight="false" outlineLevel="0" collapsed="false">
      <c r="A29" s="2" t="s">
        <v>8253</v>
      </c>
      <c r="B29" s="5" t="n">
        <f aca="false">SUMPRODUCT(--EXACT('Rule-DS map'!$F$2:$F$1613,$A29))</f>
        <v>8</v>
      </c>
      <c r="C29" s="5" t="n">
        <f aca="false">SUMPRODUCT(EXACT('Rule-DS map'!$F$2:$F$1613,$A29)*('Rule-DS map'!$C$2:$C$1613="New ITDR (7.6.0)"))</f>
        <v>0</v>
      </c>
      <c r="D29" s="5" t="n">
        <f aca="false">SUMPRODUCT(EXACT('Rule-DS map'!$F$2:$F$1613,$A29)*('Rule-DS map'!$C$2:$C$1613="Existing, re-tagged ITDR"))</f>
        <v>0</v>
      </c>
      <c r="E29" s="5" t="n">
        <f aca="false">SUMPRODUCT(EXACT('Rule-DS map'!$F$2:$F$1613,$A29)*('Rule-DS map'!$D$2:$D$1613="Identity-core"))</f>
        <v>0</v>
      </c>
      <c r="F29" s="5" t="n">
        <f aca="false">SUMPRODUCT(EXACT('Rule-DS map'!$F$2:$F$1613,$A29)*('Rule-DS map'!$E$2:$E$1613="Enabled"))</f>
        <v>7</v>
      </c>
      <c r="G29" s="5" t="n">
        <v>7</v>
      </c>
      <c r="H29" s="2" t="s">
        <v>8280</v>
      </c>
    </row>
    <row r="30" customFormat="false" ht="23.85" hidden="false" customHeight="false" outlineLevel="0" collapsed="false">
      <c r="A30" s="2" t="s">
        <v>730</v>
      </c>
      <c r="B30" s="5" t="n">
        <f aca="false">SUMPRODUCT(--EXACT('Rule-DS map'!$F$2:$F$1613,$A30))</f>
        <v>1</v>
      </c>
      <c r="C30" s="5" t="n">
        <f aca="false">SUMPRODUCT(EXACT('Rule-DS map'!$F$2:$F$1613,$A30)*('Rule-DS map'!$C$2:$C$1613="New ITDR (7.6.0)"))</f>
        <v>0</v>
      </c>
      <c r="D30" s="5" t="n">
        <f aca="false">SUMPRODUCT(EXACT('Rule-DS map'!$F$2:$F$1613,$A30)*('Rule-DS map'!$C$2:$C$1613="Existing, re-tagged ITDR"))</f>
        <v>1</v>
      </c>
      <c r="E30" s="5" t="n">
        <f aca="false">SUMPRODUCT(EXACT('Rule-DS map'!$F$2:$F$1613,$A30)*('Rule-DS map'!$D$2:$D$1613="Identity-core"))</f>
        <v>1</v>
      </c>
      <c r="F30" s="5" t="n">
        <f aca="false">SUMPRODUCT(EXACT('Rule-DS map'!$F$2:$F$1613,$A30)*('Rule-DS map'!$E$2:$E$1613="Enabled"))</f>
        <v>1</v>
      </c>
      <c r="G30" s="5" t="n">
        <v>1</v>
      </c>
      <c r="H30" s="2" t="s">
        <v>731</v>
      </c>
    </row>
    <row r="31" customFormat="false" ht="46.25" hidden="false" customHeight="false" outlineLevel="0" collapsed="false">
      <c r="A31" s="2" t="s">
        <v>8265</v>
      </c>
      <c r="B31" s="5" t="n">
        <f aca="false">SUMPRODUCT(--EXACT('Rule-DS map'!$F$2:$F$1613,$A31))</f>
        <v>2</v>
      </c>
      <c r="C31" s="5" t="n">
        <f aca="false">SUMPRODUCT(EXACT('Rule-DS map'!$F$2:$F$1613,$A31)*('Rule-DS map'!$C$2:$C$1613="New ITDR (7.6.0)"))</f>
        <v>0</v>
      </c>
      <c r="D31" s="5" t="n">
        <f aca="false">SUMPRODUCT(EXACT('Rule-DS map'!$F$2:$F$1613,$A31)*('Rule-DS map'!$C$2:$C$1613="Existing, re-tagged ITDR"))</f>
        <v>0</v>
      </c>
      <c r="E31" s="5" t="n">
        <f aca="false">SUMPRODUCT(EXACT('Rule-DS map'!$F$2:$F$1613,$A31)*('Rule-DS map'!$D$2:$D$1613="Identity-core"))</f>
        <v>0</v>
      </c>
      <c r="F31" s="5" t="n">
        <f aca="false">SUMPRODUCT(EXACT('Rule-DS map'!$F$2:$F$1613,$A31)*('Rule-DS map'!$E$2:$E$1613="Enabled"))</f>
        <v>2</v>
      </c>
      <c r="G31" s="5" t="n">
        <v>4</v>
      </c>
      <c r="H31" s="2" t="s">
        <v>8290</v>
      </c>
    </row>
    <row r="32" customFormat="false" ht="15" hidden="false" customHeight="false" outlineLevel="0" collapsed="false">
      <c r="A32" s="2" t="s">
        <v>4839</v>
      </c>
      <c r="B32" s="5" t="n">
        <f aca="false">SUMPRODUCT(--EXACT('Rule-DS map'!$F$2:$F$1613,$A32))</f>
        <v>3</v>
      </c>
      <c r="C32" s="5" t="n">
        <f aca="false">SUMPRODUCT(EXACT('Rule-DS map'!$F$2:$F$1613,$A32)*('Rule-DS map'!$C$2:$C$1613="New ITDR (7.6.0)"))</f>
        <v>0</v>
      </c>
      <c r="D32" s="5" t="n">
        <f aca="false">SUMPRODUCT(EXACT('Rule-DS map'!$F$2:$F$1613,$A32)*('Rule-DS map'!$C$2:$C$1613="Existing, re-tagged ITDR"))</f>
        <v>0</v>
      </c>
      <c r="E32" s="5" t="n">
        <f aca="false">SUMPRODUCT(EXACT('Rule-DS map'!$F$2:$F$1613,$A32)*('Rule-DS map'!$D$2:$D$1613="Identity-core"))</f>
        <v>0</v>
      </c>
      <c r="F32" s="5" t="n">
        <f aca="false">SUMPRODUCT(EXACT('Rule-DS map'!$F$2:$F$1613,$A32)*('Rule-DS map'!$E$2:$E$1613="Enabled"))</f>
        <v>3</v>
      </c>
      <c r="G32" s="5" t="n">
        <v>1</v>
      </c>
      <c r="H32" s="2" t="s">
        <v>4840</v>
      </c>
    </row>
    <row r="33" customFormat="false" ht="3276.75" hidden="false" customHeight="false" outlineLevel="0" collapsed="false">
      <c r="A33" s="2" t="s">
        <v>8217</v>
      </c>
      <c r="B33" s="5" t="n">
        <f aca="false">SUMPRODUCT(--EXACT('Rule-DS map'!$F$2:$F$1613,$A33))</f>
        <v>140</v>
      </c>
      <c r="C33" s="5" t="n">
        <f aca="false">SUMPRODUCT(EXACT('Rule-DS map'!$F$2:$F$1613,$A33)*('Rule-DS map'!$C$2:$C$1613="New ITDR (7.6.0)"))</f>
        <v>0</v>
      </c>
      <c r="D33" s="5" t="n">
        <f aca="false">SUMPRODUCT(EXACT('Rule-DS map'!$F$2:$F$1613,$A33)*('Rule-DS map'!$C$2:$C$1613="Existing, re-tagged ITDR"))</f>
        <v>17</v>
      </c>
      <c r="E33" s="5" t="n">
        <f aca="false">SUMPRODUCT(EXACT('Rule-DS map'!$F$2:$F$1613,$A33)*('Rule-DS map'!$D$2:$D$1613="Identity-core"))</f>
        <v>21</v>
      </c>
      <c r="F33" s="5" t="n">
        <f aca="false">SUMPRODUCT(EXACT('Rule-DS map'!$F$2:$F$1613,$A33)*('Rule-DS map'!$E$2:$E$1613="Enabled"))</f>
        <v>117</v>
      </c>
      <c r="G33" s="5" t="n">
        <v>362</v>
      </c>
      <c r="H33" s="2" t="s">
        <v>8291</v>
      </c>
    </row>
    <row r="34" customFormat="false" ht="35.05" hidden="false" customHeight="false" outlineLevel="0" collapsed="false">
      <c r="A34" s="2" t="s">
        <v>4806</v>
      </c>
      <c r="B34" s="5" t="n">
        <f aca="false">SUMPRODUCT(--EXACT('Rule-DS map'!$F$2:$F$1613,$A34))</f>
        <v>3</v>
      </c>
      <c r="C34" s="5" t="n">
        <f aca="false">SUMPRODUCT(EXACT('Rule-DS map'!$F$2:$F$1613,$A34)*('Rule-DS map'!$C$2:$C$1613="New ITDR (7.6.0)"))</f>
        <v>0</v>
      </c>
      <c r="D34" s="5" t="n">
        <f aca="false">SUMPRODUCT(EXACT('Rule-DS map'!$F$2:$F$1613,$A34)*('Rule-DS map'!$C$2:$C$1613="Existing, re-tagged ITDR"))</f>
        <v>0</v>
      </c>
      <c r="E34" s="5" t="n">
        <f aca="false">SUMPRODUCT(EXACT('Rule-DS map'!$F$2:$F$1613,$A34)*('Rule-DS map'!$D$2:$D$1613="Identity-core"))</f>
        <v>0</v>
      </c>
      <c r="F34" s="5" t="n">
        <f aca="false">SUMPRODUCT(EXACT('Rule-DS map'!$F$2:$F$1613,$A34)*('Rule-DS map'!$E$2:$E$1613="Enabled"))</f>
        <v>3</v>
      </c>
      <c r="G34" s="5" t="n">
        <v>3</v>
      </c>
      <c r="H34" s="2" t="s">
        <v>8292</v>
      </c>
    </row>
    <row r="35" customFormat="false" ht="15" hidden="false" customHeight="false" outlineLevel="0" collapsed="false">
      <c r="A35" s="2" t="s">
        <v>2376</v>
      </c>
      <c r="B35" s="5" t="n">
        <f aca="false">SUMPRODUCT(--EXACT('Rule-DS map'!$F$2:$F$1613,$A35))</f>
        <v>1</v>
      </c>
      <c r="C35" s="5" t="n">
        <f aca="false">SUMPRODUCT(EXACT('Rule-DS map'!$F$2:$F$1613,$A35)*('Rule-DS map'!$C$2:$C$1613="New ITDR (7.6.0)"))</f>
        <v>0</v>
      </c>
      <c r="D35" s="5" t="n">
        <f aca="false">SUMPRODUCT(EXACT('Rule-DS map'!$F$2:$F$1613,$A35)*('Rule-DS map'!$C$2:$C$1613="Existing, re-tagged ITDR"))</f>
        <v>0</v>
      </c>
      <c r="E35" s="5" t="n">
        <f aca="false">SUMPRODUCT(EXACT('Rule-DS map'!$F$2:$F$1613,$A35)*('Rule-DS map'!$D$2:$D$1613="Identity-core"))</f>
        <v>1</v>
      </c>
      <c r="F35" s="5" t="n">
        <f aca="false">SUMPRODUCT(EXACT('Rule-DS map'!$F$2:$F$1613,$A35)*('Rule-DS map'!$E$2:$E$1613="Enabled"))</f>
        <v>1</v>
      </c>
      <c r="G35" s="5" t="n">
        <v>1</v>
      </c>
      <c r="H35" s="2" t="s">
        <v>2377</v>
      </c>
    </row>
    <row r="36" customFormat="false" ht="314.9" hidden="false" customHeight="false" outlineLevel="0" collapsed="false">
      <c r="A36" s="2" t="s">
        <v>502</v>
      </c>
      <c r="B36" s="5" t="n">
        <f aca="false">SUMPRODUCT(--EXACT('Rule-DS map'!$F$2:$F$1613,$A36))</f>
        <v>17</v>
      </c>
      <c r="C36" s="5" t="n">
        <f aca="false">SUMPRODUCT(EXACT('Rule-DS map'!$F$2:$F$1613,$A36)*('Rule-DS map'!$C$2:$C$1613="New ITDR (7.6.0)"))</f>
        <v>0</v>
      </c>
      <c r="D36" s="5" t="n">
        <f aca="false">SUMPRODUCT(EXACT('Rule-DS map'!$F$2:$F$1613,$A36)*('Rule-DS map'!$C$2:$C$1613="Existing, re-tagged ITDR"))</f>
        <v>13</v>
      </c>
      <c r="E36" s="5" t="n">
        <f aca="false">SUMPRODUCT(EXACT('Rule-DS map'!$F$2:$F$1613,$A36)*('Rule-DS map'!$D$2:$D$1613="Identity-core"))</f>
        <v>15</v>
      </c>
      <c r="F36" s="5" t="n">
        <f aca="false">SUMPRODUCT(EXACT('Rule-DS map'!$F$2:$F$1613,$A36)*('Rule-DS map'!$E$2:$E$1613="Enabled"))</f>
        <v>13</v>
      </c>
      <c r="G36" s="5" t="n">
        <v>28</v>
      </c>
      <c r="H36" s="2" t="s">
        <v>8293</v>
      </c>
    </row>
    <row r="37" customFormat="false" ht="46.25" hidden="false" customHeight="false" outlineLevel="0" collapsed="false">
      <c r="A37" s="2" t="s">
        <v>4873</v>
      </c>
      <c r="B37" s="5" t="n">
        <f aca="false">SUMPRODUCT(--EXACT('Rule-DS map'!$F$2:$F$1613,$A37))</f>
        <v>1</v>
      </c>
      <c r="C37" s="5" t="n">
        <f aca="false">SUMPRODUCT(EXACT('Rule-DS map'!$F$2:$F$1613,$A37)*('Rule-DS map'!$C$2:$C$1613="New ITDR (7.6.0)"))</f>
        <v>0</v>
      </c>
      <c r="D37" s="5" t="n">
        <f aca="false">SUMPRODUCT(EXACT('Rule-DS map'!$F$2:$F$1613,$A37)*('Rule-DS map'!$C$2:$C$1613="Existing, re-tagged ITDR"))</f>
        <v>0</v>
      </c>
      <c r="E37" s="5" t="n">
        <f aca="false">SUMPRODUCT(EXACT('Rule-DS map'!$F$2:$F$1613,$A37)*('Rule-DS map'!$D$2:$D$1613="Identity-core"))</f>
        <v>0</v>
      </c>
      <c r="F37" s="5" t="n">
        <f aca="false">SUMPRODUCT(EXACT('Rule-DS map'!$F$2:$F$1613,$A37)*('Rule-DS map'!$E$2:$E$1613="Enabled"))</f>
        <v>1</v>
      </c>
      <c r="G37" s="5" t="n">
        <v>4</v>
      </c>
      <c r="H37" s="2" t="s">
        <v>4874</v>
      </c>
    </row>
    <row r="38" customFormat="false" ht="15" hidden="false" customHeight="false" outlineLevel="0" collapsed="false">
      <c r="A38" s="2" t="s">
        <v>8216</v>
      </c>
      <c r="B38" s="5" t="n">
        <f aca="false">SUMPRODUCT(--EXACT('Rule-DS map'!$F$2:$F$1613,$A38))</f>
        <v>1</v>
      </c>
      <c r="C38" s="5" t="n">
        <f aca="false">SUMPRODUCT(EXACT('Rule-DS map'!$F$2:$F$1613,$A38)*('Rule-DS map'!$C$2:$C$1613="New ITDR (7.6.0)"))</f>
        <v>0</v>
      </c>
      <c r="D38" s="5" t="n">
        <f aca="false">SUMPRODUCT(EXACT('Rule-DS map'!$F$2:$F$1613,$A38)*('Rule-DS map'!$C$2:$C$1613="Existing, re-tagged ITDR"))</f>
        <v>1</v>
      </c>
      <c r="E38" s="5" t="n">
        <f aca="false">SUMPRODUCT(EXACT('Rule-DS map'!$F$2:$F$1613,$A38)*('Rule-DS map'!$D$2:$D$1613="Identity-core"))</f>
        <v>1</v>
      </c>
      <c r="F38" s="5" t="n">
        <f aca="false">SUMPRODUCT(EXACT('Rule-DS map'!$F$2:$F$1613,$A38)*('Rule-DS map'!$E$2:$E$1613="Enabled"))</f>
        <v>1</v>
      </c>
      <c r="G38" s="5" t="n">
        <v>1</v>
      </c>
      <c r="H38" s="2" t="s">
        <v>512</v>
      </c>
    </row>
    <row r="39" customFormat="false" ht="15" hidden="false" customHeight="false" outlineLevel="0" collapsed="false">
      <c r="A39" s="2" t="s">
        <v>8254</v>
      </c>
      <c r="B39" s="5" t="n">
        <f aca="false">SUMPRODUCT(--EXACT('Rule-DS map'!$F$2:$F$1613,$A39))</f>
        <v>1</v>
      </c>
      <c r="C39" s="5" t="n">
        <f aca="false">SUMPRODUCT(EXACT('Rule-DS map'!$F$2:$F$1613,$A39)*('Rule-DS map'!$C$2:$C$1613="New ITDR (7.6.0)"))</f>
        <v>0</v>
      </c>
      <c r="D39" s="5" t="n">
        <f aca="false">SUMPRODUCT(EXACT('Rule-DS map'!$F$2:$F$1613,$A39)*('Rule-DS map'!$C$2:$C$1613="Existing, re-tagged ITDR"))</f>
        <v>0</v>
      </c>
      <c r="E39" s="5" t="n">
        <f aca="false">SUMPRODUCT(EXACT('Rule-DS map'!$F$2:$F$1613,$A39)*('Rule-DS map'!$D$2:$D$1613="Identity-core"))</f>
        <v>0</v>
      </c>
      <c r="F39" s="5" t="n">
        <f aca="false">SUMPRODUCT(EXACT('Rule-DS map'!$F$2:$F$1613,$A39)*('Rule-DS map'!$E$2:$E$1613="Enabled"))</f>
        <v>1</v>
      </c>
      <c r="G39" s="5" t="n">
        <v>1</v>
      </c>
      <c r="H39" s="2" t="s">
        <v>4883</v>
      </c>
    </row>
    <row r="40" customFormat="false" ht="314.9" hidden="false" customHeight="false" outlineLevel="0" collapsed="false">
      <c r="A40" s="2" t="s">
        <v>5328</v>
      </c>
      <c r="B40" s="5" t="n">
        <f aca="false">SUMPRODUCT(--EXACT('Rule-DS map'!$F$2:$F$1613,$A40))</f>
        <v>17</v>
      </c>
      <c r="C40" s="5" t="n">
        <f aca="false">SUMPRODUCT(EXACT('Rule-DS map'!$F$2:$F$1613,$A40)*('Rule-DS map'!$C$2:$C$1613="New ITDR (7.6.0)"))</f>
        <v>0</v>
      </c>
      <c r="D40" s="5" t="n">
        <f aca="false">SUMPRODUCT(EXACT('Rule-DS map'!$F$2:$F$1613,$A40)*('Rule-DS map'!$C$2:$C$1613="Existing, re-tagged ITDR"))</f>
        <v>9</v>
      </c>
      <c r="E40" s="5" t="n">
        <f aca="false">SUMPRODUCT(EXACT('Rule-DS map'!$F$2:$F$1613,$A40)*('Rule-DS map'!$D$2:$D$1613="Identity-core"))</f>
        <v>11</v>
      </c>
      <c r="F40" s="5" t="n">
        <f aca="false">SUMPRODUCT(EXACT('Rule-DS map'!$F$2:$F$1613,$A40)*('Rule-DS map'!$E$2:$E$1613="Enabled"))</f>
        <v>11</v>
      </c>
      <c r="G40" s="5" t="n">
        <v>28</v>
      </c>
      <c r="H40" s="2" t="s">
        <v>8294</v>
      </c>
    </row>
    <row r="41" customFormat="false" ht="91" hidden="false" customHeight="false" outlineLevel="0" collapsed="false">
      <c r="A41" s="2" t="s">
        <v>2386</v>
      </c>
      <c r="B41" s="5" t="n">
        <f aca="false">SUMPRODUCT(--EXACT('Rule-DS map'!$F$2:$F$1613,$A41))</f>
        <v>8</v>
      </c>
      <c r="C41" s="5" t="n">
        <f aca="false">SUMPRODUCT(EXACT('Rule-DS map'!$F$2:$F$1613,$A41)*('Rule-DS map'!$C$2:$C$1613="New ITDR (7.6.0)"))</f>
        <v>0</v>
      </c>
      <c r="D41" s="5" t="n">
        <f aca="false">SUMPRODUCT(EXACT('Rule-DS map'!$F$2:$F$1613,$A41)*('Rule-DS map'!$C$2:$C$1613="Existing, re-tagged ITDR"))</f>
        <v>0</v>
      </c>
      <c r="E41" s="5" t="n">
        <f aca="false">SUMPRODUCT(EXACT('Rule-DS map'!$F$2:$F$1613,$A41)*('Rule-DS map'!$D$2:$D$1613="Identity-core"))</f>
        <v>8</v>
      </c>
      <c r="F41" s="5" t="n">
        <f aca="false">SUMPRODUCT(EXACT('Rule-DS map'!$F$2:$F$1613,$A41)*('Rule-DS map'!$E$2:$E$1613="Enabled"))</f>
        <v>8</v>
      </c>
      <c r="G41" s="5" t="n">
        <v>8</v>
      </c>
      <c r="H41" s="2" t="s">
        <v>8295</v>
      </c>
    </row>
    <row r="42" customFormat="false" ht="57.45" hidden="false" customHeight="false" outlineLevel="0" collapsed="false">
      <c r="A42" s="2" t="s">
        <v>2448</v>
      </c>
      <c r="B42" s="5" t="n">
        <f aca="false">SUMPRODUCT(--EXACT('Rule-DS map'!$F$2:$F$1613,$A42))</f>
        <v>5</v>
      </c>
      <c r="C42" s="5" t="n">
        <f aca="false">SUMPRODUCT(EXACT('Rule-DS map'!$F$2:$F$1613,$A42)*('Rule-DS map'!$C$2:$C$1613="New ITDR (7.6.0)"))</f>
        <v>0</v>
      </c>
      <c r="D42" s="5" t="n">
        <f aca="false">SUMPRODUCT(EXACT('Rule-DS map'!$F$2:$F$1613,$A42)*('Rule-DS map'!$C$2:$C$1613="Existing, re-tagged ITDR"))</f>
        <v>0</v>
      </c>
      <c r="E42" s="5" t="n">
        <f aca="false">SUMPRODUCT(EXACT('Rule-DS map'!$F$2:$F$1613,$A42)*('Rule-DS map'!$D$2:$D$1613="Identity-core"))</f>
        <v>5</v>
      </c>
      <c r="F42" s="5" t="n">
        <f aca="false">SUMPRODUCT(EXACT('Rule-DS map'!$F$2:$F$1613,$A42)*('Rule-DS map'!$E$2:$E$1613="Enabled"))</f>
        <v>4</v>
      </c>
      <c r="G42" s="5" t="n">
        <v>5</v>
      </c>
      <c r="H42" s="2" t="s">
        <v>8296</v>
      </c>
    </row>
    <row r="43" customFormat="false" ht="292.5" hidden="false" customHeight="false" outlineLevel="0" collapsed="false">
      <c r="A43" s="2" t="s">
        <v>8234</v>
      </c>
      <c r="B43" s="5" t="n">
        <f aca="false">SUMPRODUCT(--EXACT('Rule-DS map'!$F$2:$F$1613,$A43))</f>
        <v>13</v>
      </c>
      <c r="C43" s="5" t="n">
        <f aca="false">SUMPRODUCT(EXACT('Rule-DS map'!$F$2:$F$1613,$A43)*('Rule-DS map'!$C$2:$C$1613="New ITDR (7.6.0)"))</f>
        <v>0</v>
      </c>
      <c r="D43" s="5" t="n">
        <f aca="false">SUMPRODUCT(EXACT('Rule-DS map'!$F$2:$F$1613,$A43)*('Rule-DS map'!$C$2:$C$1613="Existing, re-tagged ITDR"))</f>
        <v>9</v>
      </c>
      <c r="E43" s="5" t="n">
        <f aca="false">SUMPRODUCT(EXACT('Rule-DS map'!$F$2:$F$1613,$A43)*('Rule-DS map'!$D$2:$D$1613="Identity-core"))</f>
        <v>11</v>
      </c>
      <c r="F43" s="5" t="n">
        <f aca="false">SUMPRODUCT(EXACT('Rule-DS map'!$F$2:$F$1613,$A43)*('Rule-DS map'!$E$2:$E$1613="Enabled"))</f>
        <v>10</v>
      </c>
      <c r="G43" s="5" t="n">
        <v>26</v>
      </c>
      <c r="H43" s="2" t="s">
        <v>8278</v>
      </c>
    </row>
    <row r="44" customFormat="false" ht="415.65" hidden="false" customHeight="false" outlineLevel="0" collapsed="false">
      <c r="A44" s="2" t="s">
        <v>8220</v>
      </c>
      <c r="B44" s="5" t="n">
        <f aca="false">SUMPRODUCT(--EXACT('Rule-DS map'!$F$2:$F$1613,$A44))</f>
        <v>19</v>
      </c>
      <c r="C44" s="5" t="n">
        <f aca="false">SUMPRODUCT(EXACT('Rule-DS map'!$F$2:$F$1613,$A44)*('Rule-DS map'!$C$2:$C$1613="New ITDR (7.6.0)"))</f>
        <v>0</v>
      </c>
      <c r="D44" s="5" t="n">
        <f aca="false">SUMPRODUCT(EXACT('Rule-DS map'!$F$2:$F$1613,$A44)*('Rule-DS map'!$C$2:$C$1613="Existing, re-tagged ITDR"))</f>
        <v>13</v>
      </c>
      <c r="E44" s="5" t="n">
        <f aca="false">SUMPRODUCT(EXACT('Rule-DS map'!$F$2:$F$1613,$A44)*('Rule-DS map'!$D$2:$D$1613="Identity-core"))</f>
        <v>15</v>
      </c>
      <c r="F44" s="5" t="n">
        <f aca="false">SUMPRODUCT(EXACT('Rule-DS map'!$F$2:$F$1613,$A44)*('Rule-DS map'!$E$2:$E$1613="Enabled"))</f>
        <v>15</v>
      </c>
      <c r="G44" s="5" t="n">
        <v>37</v>
      </c>
      <c r="H44" s="2" t="s">
        <v>8297</v>
      </c>
    </row>
    <row r="45" customFormat="false" ht="303.7" hidden="false" customHeight="false" outlineLevel="0" collapsed="false">
      <c r="A45" s="2" t="s">
        <v>8240</v>
      </c>
      <c r="B45" s="5" t="n">
        <f aca="false">SUMPRODUCT(--EXACT('Rule-DS map'!$F$2:$F$1613,$A45))</f>
        <v>16</v>
      </c>
      <c r="C45" s="5" t="n">
        <f aca="false">SUMPRODUCT(EXACT('Rule-DS map'!$F$2:$F$1613,$A45)*('Rule-DS map'!$C$2:$C$1613="New ITDR (7.6.0)"))</f>
        <v>0</v>
      </c>
      <c r="D45" s="5" t="n">
        <f aca="false">SUMPRODUCT(EXACT('Rule-DS map'!$F$2:$F$1613,$A45)*('Rule-DS map'!$C$2:$C$1613="Existing, re-tagged ITDR"))</f>
        <v>12</v>
      </c>
      <c r="E45" s="5" t="n">
        <f aca="false">SUMPRODUCT(EXACT('Rule-DS map'!$F$2:$F$1613,$A45)*('Rule-DS map'!$D$2:$D$1613="Identity-core"))</f>
        <v>14</v>
      </c>
      <c r="F45" s="5" t="n">
        <f aca="false">SUMPRODUCT(EXACT('Rule-DS map'!$F$2:$F$1613,$A45)*('Rule-DS map'!$E$2:$E$1613="Enabled"))</f>
        <v>12</v>
      </c>
      <c r="G45" s="5" t="n">
        <v>27</v>
      </c>
      <c r="H45" s="2" t="s">
        <v>8298</v>
      </c>
    </row>
    <row r="46" customFormat="false" ht="68.65" hidden="false" customHeight="false" outlineLevel="0" collapsed="false">
      <c r="A46" s="2" t="s">
        <v>8244</v>
      </c>
      <c r="B46" s="5" t="n">
        <f aca="false">SUMPRODUCT(--EXACT('Rule-DS map'!$F$2:$F$1613,$A46))</f>
        <v>5</v>
      </c>
      <c r="C46" s="5" t="n">
        <f aca="false">SUMPRODUCT(EXACT('Rule-DS map'!$F$2:$F$1613,$A46)*('Rule-DS map'!$C$2:$C$1613="New ITDR (7.6.0)"))</f>
        <v>0</v>
      </c>
      <c r="D46" s="5" t="n">
        <f aca="false">SUMPRODUCT(EXACT('Rule-DS map'!$F$2:$F$1613,$A46)*('Rule-DS map'!$C$2:$C$1613="Existing, re-tagged ITDR"))</f>
        <v>4</v>
      </c>
      <c r="E46" s="5" t="n">
        <f aca="false">SUMPRODUCT(EXACT('Rule-DS map'!$F$2:$F$1613,$A46)*('Rule-DS map'!$D$2:$D$1613="Identity-core"))</f>
        <v>5</v>
      </c>
      <c r="F46" s="5" t="n">
        <f aca="false">SUMPRODUCT(EXACT('Rule-DS map'!$F$2:$F$1613,$A46)*('Rule-DS map'!$E$2:$E$1613="Enabled"))</f>
        <v>3</v>
      </c>
      <c r="G46" s="5" t="n">
        <v>6</v>
      </c>
      <c r="H46" s="2" t="s">
        <v>8299</v>
      </c>
    </row>
    <row r="47" customFormat="false" ht="147" hidden="false" customHeight="false" outlineLevel="0" collapsed="false">
      <c r="A47" s="2" t="s">
        <v>8230</v>
      </c>
      <c r="B47" s="5" t="n">
        <f aca="false">SUMPRODUCT(--EXACT('Rule-DS map'!$F$2:$F$1613,$A47))</f>
        <v>2</v>
      </c>
      <c r="C47" s="5" t="n">
        <f aca="false">SUMPRODUCT(EXACT('Rule-DS map'!$F$2:$F$1613,$A47)*('Rule-DS map'!$C$2:$C$1613="New ITDR (7.6.0)"))</f>
        <v>0</v>
      </c>
      <c r="D47" s="5" t="n">
        <f aca="false">SUMPRODUCT(EXACT('Rule-DS map'!$F$2:$F$1613,$A47)*('Rule-DS map'!$C$2:$C$1613="Existing, re-tagged ITDR"))</f>
        <v>2</v>
      </c>
      <c r="E47" s="5" t="n">
        <f aca="false">SUMPRODUCT(EXACT('Rule-DS map'!$F$2:$F$1613,$A47)*('Rule-DS map'!$D$2:$D$1613="Identity-core"))</f>
        <v>2</v>
      </c>
      <c r="F47" s="5" t="n">
        <f aca="false">SUMPRODUCT(EXACT('Rule-DS map'!$F$2:$F$1613,$A47)*('Rule-DS map'!$E$2:$E$1613="Enabled"))</f>
        <v>1</v>
      </c>
      <c r="G47" s="5" t="n">
        <v>13</v>
      </c>
      <c r="H47" s="2" t="s">
        <v>8275</v>
      </c>
    </row>
    <row r="48" customFormat="false" ht="415.65" hidden="false" customHeight="false" outlineLevel="0" collapsed="false">
      <c r="A48" s="2" t="s">
        <v>8224</v>
      </c>
      <c r="B48" s="5" t="n">
        <f aca="false">SUMPRODUCT(--EXACT('Rule-DS map'!$F$2:$F$1613,$A48))</f>
        <v>19</v>
      </c>
      <c r="C48" s="5" t="n">
        <f aca="false">SUMPRODUCT(EXACT('Rule-DS map'!$F$2:$F$1613,$A48)*('Rule-DS map'!$C$2:$C$1613="New ITDR (7.6.0)"))</f>
        <v>0</v>
      </c>
      <c r="D48" s="5" t="n">
        <f aca="false">SUMPRODUCT(EXACT('Rule-DS map'!$F$2:$F$1613,$A48)*('Rule-DS map'!$C$2:$C$1613="Existing, re-tagged ITDR"))</f>
        <v>13</v>
      </c>
      <c r="E48" s="5" t="n">
        <f aca="false">SUMPRODUCT(EXACT('Rule-DS map'!$F$2:$F$1613,$A48)*('Rule-DS map'!$D$2:$D$1613="Identity-core"))</f>
        <v>15</v>
      </c>
      <c r="F48" s="5" t="n">
        <f aca="false">SUMPRODUCT(EXACT('Rule-DS map'!$F$2:$F$1613,$A48)*('Rule-DS map'!$E$2:$E$1613="Enabled"))</f>
        <v>15</v>
      </c>
      <c r="G48" s="5" t="n">
        <v>37</v>
      </c>
      <c r="H48" s="2" t="s">
        <v>8297</v>
      </c>
    </row>
    <row r="49" customFormat="false" ht="292.5" hidden="false" customHeight="false" outlineLevel="0" collapsed="false">
      <c r="A49" s="2" t="s">
        <v>8233</v>
      </c>
      <c r="B49" s="5" t="n">
        <f aca="false">SUMPRODUCT(--EXACT('Rule-DS map'!$F$2:$F$1613,$A49))</f>
        <v>14</v>
      </c>
      <c r="C49" s="5" t="n">
        <f aca="false">SUMPRODUCT(EXACT('Rule-DS map'!$F$2:$F$1613,$A49)*('Rule-DS map'!$C$2:$C$1613="New ITDR (7.6.0)"))</f>
        <v>0</v>
      </c>
      <c r="D49" s="5" t="n">
        <f aca="false">SUMPRODUCT(EXACT('Rule-DS map'!$F$2:$F$1613,$A49)*('Rule-DS map'!$C$2:$C$1613="Existing, re-tagged ITDR"))</f>
        <v>10</v>
      </c>
      <c r="E49" s="5" t="n">
        <f aca="false">SUMPRODUCT(EXACT('Rule-DS map'!$F$2:$F$1613,$A49)*('Rule-DS map'!$D$2:$D$1613="Identity-core"))</f>
        <v>12</v>
      </c>
      <c r="F49" s="5" t="n">
        <f aca="false">SUMPRODUCT(EXACT('Rule-DS map'!$F$2:$F$1613,$A49)*('Rule-DS map'!$E$2:$E$1613="Enabled"))</f>
        <v>10</v>
      </c>
      <c r="G49" s="5" t="n">
        <v>26</v>
      </c>
      <c r="H49" s="2" t="s">
        <v>8278</v>
      </c>
    </row>
    <row r="50" customFormat="false" ht="292.5" hidden="false" customHeight="false" outlineLevel="0" collapsed="false">
      <c r="A50" s="2" t="s">
        <v>8235</v>
      </c>
      <c r="B50" s="5" t="n">
        <f aca="false">SUMPRODUCT(--EXACT('Rule-DS map'!$F$2:$F$1613,$A50))</f>
        <v>14</v>
      </c>
      <c r="C50" s="5" t="n">
        <f aca="false">SUMPRODUCT(EXACT('Rule-DS map'!$F$2:$F$1613,$A50)*('Rule-DS map'!$C$2:$C$1613="New ITDR (7.6.0)"))</f>
        <v>0</v>
      </c>
      <c r="D50" s="5" t="n">
        <f aca="false">SUMPRODUCT(EXACT('Rule-DS map'!$F$2:$F$1613,$A50)*('Rule-DS map'!$C$2:$C$1613="Existing, re-tagged ITDR"))</f>
        <v>10</v>
      </c>
      <c r="E50" s="5" t="n">
        <f aca="false">SUMPRODUCT(EXACT('Rule-DS map'!$F$2:$F$1613,$A50)*('Rule-DS map'!$D$2:$D$1613="Identity-core"))</f>
        <v>12</v>
      </c>
      <c r="F50" s="5" t="n">
        <f aca="false">SUMPRODUCT(EXACT('Rule-DS map'!$F$2:$F$1613,$A50)*('Rule-DS map'!$E$2:$E$1613="Enabled"))</f>
        <v>10</v>
      </c>
      <c r="G50" s="5" t="n">
        <v>26</v>
      </c>
      <c r="H50" s="2" t="s">
        <v>8278</v>
      </c>
    </row>
    <row r="51" customFormat="false" ht="147" hidden="false" customHeight="false" outlineLevel="0" collapsed="false">
      <c r="A51" s="2" t="s">
        <v>8223</v>
      </c>
      <c r="B51" s="5" t="n">
        <f aca="false">SUMPRODUCT(--EXACT('Rule-DS map'!$F$2:$F$1613,$A51))</f>
        <v>5</v>
      </c>
      <c r="C51" s="5" t="n">
        <f aca="false">SUMPRODUCT(EXACT('Rule-DS map'!$F$2:$F$1613,$A51)*('Rule-DS map'!$C$2:$C$1613="New ITDR (7.6.0)"))</f>
        <v>0</v>
      </c>
      <c r="D51" s="5" t="n">
        <f aca="false">SUMPRODUCT(EXACT('Rule-DS map'!$F$2:$F$1613,$A51)*('Rule-DS map'!$C$2:$C$1613="Existing, re-tagged ITDR"))</f>
        <v>3</v>
      </c>
      <c r="E51" s="5" t="n">
        <f aca="false">SUMPRODUCT(EXACT('Rule-DS map'!$F$2:$F$1613,$A51)*('Rule-DS map'!$D$2:$D$1613="Identity-core"))</f>
        <v>3</v>
      </c>
      <c r="F51" s="5" t="n">
        <f aca="false">SUMPRODUCT(EXACT('Rule-DS map'!$F$2:$F$1613,$A51)*('Rule-DS map'!$E$2:$E$1613="Enabled"))</f>
        <v>5</v>
      </c>
      <c r="G51" s="5" t="n">
        <v>13</v>
      </c>
      <c r="H51" s="2" t="s">
        <v>8300</v>
      </c>
    </row>
    <row r="52" customFormat="false" ht="15" hidden="false" customHeight="false" outlineLevel="0" collapsed="false">
      <c r="A52" s="2" t="s">
        <v>2522</v>
      </c>
      <c r="B52" s="5" t="n">
        <f aca="false">SUMPRODUCT(--EXACT('Rule-DS map'!$F$2:$F$1613,$A52))</f>
        <v>2</v>
      </c>
      <c r="C52" s="5" t="n">
        <f aca="false">SUMPRODUCT(EXACT('Rule-DS map'!$F$2:$F$1613,$A52)*('Rule-DS map'!$C$2:$C$1613="New ITDR (7.6.0)"))</f>
        <v>0</v>
      </c>
      <c r="D52" s="5" t="n">
        <f aca="false">SUMPRODUCT(EXACT('Rule-DS map'!$F$2:$F$1613,$A52)*('Rule-DS map'!$C$2:$C$1613="Existing, re-tagged ITDR"))</f>
        <v>0</v>
      </c>
      <c r="E52" s="5" t="n">
        <f aca="false">SUMPRODUCT(EXACT('Rule-DS map'!$F$2:$F$1613,$A52)*('Rule-DS map'!$D$2:$D$1613="Identity-core"))</f>
        <v>2</v>
      </c>
      <c r="F52" s="5" t="n">
        <f aca="false">SUMPRODUCT(EXACT('Rule-DS map'!$F$2:$F$1613,$A52)*('Rule-DS map'!$E$2:$E$1613="Enabled"))</f>
        <v>2</v>
      </c>
      <c r="G52" s="5" t="n">
        <v>1</v>
      </c>
      <c r="H52" s="2" t="s">
        <v>2523</v>
      </c>
    </row>
    <row r="53" customFormat="false" ht="15" hidden="false" customHeight="false" outlineLevel="0" collapsed="false">
      <c r="A53" s="2" t="s">
        <v>173</v>
      </c>
      <c r="B53" s="5" t="n">
        <f aca="false">SUMPRODUCT(--EXACT('Rule-DS map'!$F$2:$F$1613,$A53))</f>
        <v>2</v>
      </c>
      <c r="C53" s="5" t="n">
        <f aca="false">SUMPRODUCT(EXACT('Rule-DS map'!$F$2:$F$1613,$A53)*('Rule-DS map'!$C$2:$C$1613="New ITDR (7.6.0)"))</f>
        <v>1</v>
      </c>
      <c r="D53" s="5" t="n">
        <f aca="false">SUMPRODUCT(EXACT('Rule-DS map'!$F$2:$F$1613,$A53)*('Rule-DS map'!$C$2:$C$1613="Existing, re-tagged ITDR"))</f>
        <v>0</v>
      </c>
      <c r="E53" s="5" t="n">
        <f aca="false">SUMPRODUCT(EXACT('Rule-DS map'!$F$2:$F$1613,$A53)*('Rule-DS map'!$D$2:$D$1613="Identity-core"))</f>
        <v>2</v>
      </c>
      <c r="F53" s="5" t="n">
        <f aca="false">SUMPRODUCT(EXACT('Rule-DS map'!$F$2:$F$1613,$A53)*('Rule-DS map'!$E$2:$E$1613="Enabled"))</f>
        <v>2</v>
      </c>
      <c r="G53" s="5" t="n">
        <v>1</v>
      </c>
      <c r="H53" s="2" t="s">
        <v>174</v>
      </c>
    </row>
    <row r="54" customFormat="false" ht="46.25" hidden="false" customHeight="false" outlineLevel="0" collapsed="false">
      <c r="A54" s="2" t="s">
        <v>152</v>
      </c>
      <c r="B54" s="5" t="n">
        <f aca="false">SUMPRODUCT(--EXACT('Rule-DS map'!$F$2:$F$1613,$A54))</f>
        <v>12</v>
      </c>
      <c r="C54" s="5" t="n">
        <f aca="false">SUMPRODUCT(EXACT('Rule-DS map'!$F$2:$F$1613,$A54)*('Rule-DS map'!$C$2:$C$1613="New ITDR (7.6.0)"))</f>
        <v>2</v>
      </c>
      <c r="D54" s="5" t="n">
        <f aca="false">SUMPRODUCT(EXACT('Rule-DS map'!$F$2:$F$1613,$A54)*('Rule-DS map'!$C$2:$C$1613="Existing, re-tagged ITDR"))</f>
        <v>6</v>
      </c>
      <c r="E54" s="5" t="n">
        <f aca="false">SUMPRODUCT(EXACT('Rule-DS map'!$F$2:$F$1613,$A54)*('Rule-DS map'!$D$2:$D$1613="Identity-core"))</f>
        <v>10</v>
      </c>
      <c r="F54" s="5" t="n">
        <f aca="false">SUMPRODUCT(EXACT('Rule-DS map'!$F$2:$F$1613,$A54)*('Rule-DS map'!$E$2:$E$1613="Enabled"))</f>
        <v>11</v>
      </c>
      <c r="G54" s="5" t="n">
        <v>4</v>
      </c>
      <c r="H54" s="2" t="s">
        <v>8301</v>
      </c>
    </row>
    <row r="55" customFormat="false" ht="438.05" hidden="false" customHeight="false" outlineLevel="0" collapsed="false">
      <c r="A55" s="2" t="s">
        <v>741</v>
      </c>
      <c r="B55" s="5" t="n">
        <f aca="false">SUMPRODUCT(--EXACT('Rule-DS map'!$F$2:$F$1613,$A55))</f>
        <v>29</v>
      </c>
      <c r="C55" s="5" t="n">
        <f aca="false">SUMPRODUCT(EXACT('Rule-DS map'!$F$2:$F$1613,$A55)*('Rule-DS map'!$C$2:$C$1613="New ITDR (7.6.0)"))</f>
        <v>0</v>
      </c>
      <c r="D55" s="5" t="n">
        <f aca="false">SUMPRODUCT(EXACT('Rule-DS map'!$F$2:$F$1613,$A55)*('Rule-DS map'!$C$2:$C$1613="Existing, re-tagged ITDR"))</f>
        <v>14</v>
      </c>
      <c r="E55" s="5" t="n">
        <f aca="false">SUMPRODUCT(EXACT('Rule-DS map'!$F$2:$F$1613,$A55)*('Rule-DS map'!$D$2:$D$1613="Identity-core"))</f>
        <v>27</v>
      </c>
      <c r="F55" s="5" t="n">
        <f aca="false">SUMPRODUCT(EXACT('Rule-DS map'!$F$2:$F$1613,$A55)*('Rule-DS map'!$E$2:$E$1613="Enabled"))</f>
        <v>25</v>
      </c>
      <c r="G55" s="5" t="n">
        <v>39</v>
      </c>
      <c r="H55" s="2" t="s">
        <v>8302</v>
      </c>
    </row>
    <row r="56" customFormat="false" ht="57.45" hidden="false" customHeight="false" outlineLevel="0" collapsed="false">
      <c r="A56" s="2" t="s">
        <v>2786</v>
      </c>
      <c r="B56" s="5" t="n">
        <f aca="false">SUMPRODUCT(--EXACT('Rule-DS map'!$F$2:$F$1613,$A56))</f>
        <v>5</v>
      </c>
      <c r="C56" s="5" t="n">
        <f aca="false">SUMPRODUCT(EXACT('Rule-DS map'!$F$2:$F$1613,$A56)*('Rule-DS map'!$C$2:$C$1613="New ITDR (7.6.0)"))</f>
        <v>0</v>
      </c>
      <c r="D56" s="5" t="n">
        <f aca="false">SUMPRODUCT(EXACT('Rule-DS map'!$F$2:$F$1613,$A56)*('Rule-DS map'!$C$2:$C$1613="Existing, re-tagged ITDR"))</f>
        <v>0</v>
      </c>
      <c r="E56" s="5" t="n">
        <f aca="false">SUMPRODUCT(EXACT('Rule-DS map'!$F$2:$F$1613,$A56)*('Rule-DS map'!$D$2:$D$1613="Identity-core"))</f>
        <v>5</v>
      </c>
      <c r="F56" s="5" t="n">
        <f aca="false">SUMPRODUCT(EXACT('Rule-DS map'!$F$2:$F$1613,$A56)*('Rule-DS map'!$E$2:$E$1613="Enabled"))</f>
        <v>2</v>
      </c>
      <c r="G56" s="5" t="n">
        <v>5</v>
      </c>
      <c r="H56" s="2" t="s">
        <v>8303</v>
      </c>
    </row>
    <row r="57" customFormat="false" ht="180.55" hidden="false" customHeight="false" outlineLevel="0" collapsed="false">
      <c r="A57" s="2" t="s">
        <v>593</v>
      </c>
      <c r="B57" s="5" t="n">
        <f aca="false">SUMPRODUCT(--EXACT('Rule-DS map'!$F$2:$F$1613,$A57))</f>
        <v>18</v>
      </c>
      <c r="C57" s="5" t="n">
        <f aca="false">SUMPRODUCT(EXACT('Rule-DS map'!$F$2:$F$1613,$A57)*('Rule-DS map'!$C$2:$C$1613="New ITDR (7.6.0)"))</f>
        <v>0</v>
      </c>
      <c r="D57" s="5" t="n">
        <f aca="false">SUMPRODUCT(EXACT('Rule-DS map'!$F$2:$F$1613,$A57)*('Rule-DS map'!$C$2:$C$1613="Existing, re-tagged ITDR"))</f>
        <v>4</v>
      </c>
      <c r="E57" s="5" t="n">
        <f aca="false">SUMPRODUCT(EXACT('Rule-DS map'!$F$2:$F$1613,$A57)*('Rule-DS map'!$D$2:$D$1613="Identity-core"))</f>
        <v>10</v>
      </c>
      <c r="F57" s="5" t="n">
        <f aca="false">SUMPRODUCT(EXACT('Rule-DS map'!$F$2:$F$1613,$A57)*('Rule-DS map'!$E$2:$E$1613="Enabled"))</f>
        <v>18</v>
      </c>
      <c r="G57" s="5" t="n">
        <v>16</v>
      </c>
      <c r="H57" s="2" t="s">
        <v>8304</v>
      </c>
    </row>
    <row r="58" customFormat="false" ht="35.05" hidden="false" customHeight="false" outlineLevel="0" collapsed="false">
      <c r="A58" s="2" t="s">
        <v>8264</v>
      </c>
      <c r="B58" s="5" t="n">
        <f aca="false">SUMPRODUCT(--EXACT('Rule-DS map'!$F$2:$F$1613,$A58))</f>
        <v>6</v>
      </c>
      <c r="C58" s="5" t="n">
        <f aca="false">SUMPRODUCT(EXACT('Rule-DS map'!$F$2:$F$1613,$A58)*('Rule-DS map'!$C$2:$C$1613="New ITDR (7.6.0)"))</f>
        <v>0</v>
      </c>
      <c r="D58" s="5" t="n">
        <f aca="false">SUMPRODUCT(EXACT('Rule-DS map'!$F$2:$F$1613,$A58)*('Rule-DS map'!$C$2:$C$1613="Existing, re-tagged ITDR"))</f>
        <v>0</v>
      </c>
      <c r="E58" s="5" t="n">
        <f aca="false">SUMPRODUCT(EXACT('Rule-DS map'!$F$2:$F$1613,$A58)*('Rule-DS map'!$D$2:$D$1613="Identity-core"))</f>
        <v>0</v>
      </c>
      <c r="F58" s="5" t="n">
        <f aca="false">SUMPRODUCT(EXACT('Rule-DS map'!$F$2:$F$1613,$A58)*('Rule-DS map'!$E$2:$E$1613="Enabled"))</f>
        <v>6</v>
      </c>
      <c r="G58" s="5" t="n">
        <v>3</v>
      </c>
      <c r="H58" s="2" t="s">
        <v>8305</v>
      </c>
    </row>
    <row r="59" customFormat="false" ht="15" hidden="false" customHeight="false" outlineLevel="0" collapsed="false">
      <c r="A59" s="2" t="s">
        <v>8257</v>
      </c>
      <c r="B59" s="5" t="n">
        <f aca="false">SUMPRODUCT(--EXACT('Rule-DS map'!$F$2:$F$1613,$A59))</f>
        <v>1</v>
      </c>
      <c r="C59" s="5" t="n">
        <f aca="false">SUMPRODUCT(EXACT('Rule-DS map'!$F$2:$F$1613,$A59)*('Rule-DS map'!$C$2:$C$1613="New ITDR (7.6.0)"))</f>
        <v>0</v>
      </c>
      <c r="D59" s="5" t="n">
        <f aca="false">SUMPRODUCT(EXACT('Rule-DS map'!$F$2:$F$1613,$A59)*('Rule-DS map'!$C$2:$C$1613="Existing, re-tagged ITDR"))</f>
        <v>0</v>
      </c>
      <c r="E59" s="5" t="n">
        <f aca="false">SUMPRODUCT(EXACT('Rule-DS map'!$F$2:$F$1613,$A59)*('Rule-DS map'!$D$2:$D$1613="Identity-core"))</f>
        <v>0</v>
      </c>
      <c r="F59" s="5" t="n">
        <f aca="false">SUMPRODUCT(EXACT('Rule-DS map'!$F$2:$F$1613,$A59)*('Rule-DS map'!$E$2:$E$1613="Enabled"))</f>
        <v>1</v>
      </c>
      <c r="G59" s="5" t="n">
        <v>1</v>
      </c>
      <c r="H59" s="2" t="s">
        <v>4947</v>
      </c>
    </row>
    <row r="60" customFormat="false" ht="91" hidden="false" customHeight="false" outlineLevel="0" collapsed="false">
      <c r="A60" s="2" t="s">
        <v>69</v>
      </c>
      <c r="B60" s="5" t="n">
        <f aca="false">SUMPRODUCT(--EXACT('Rule-DS map'!$F$2:$F$1613,$A60))</f>
        <v>11</v>
      </c>
      <c r="C60" s="5" t="n">
        <f aca="false">SUMPRODUCT(EXACT('Rule-DS map'!$F$2:$F$1613,$A60)*('Rule-DS map'!$C$2:$C$1613="New ITDR (7.6.0)"))</f>
        <v>11</v>
      </c>
      <c r="D60" s="5" t="n">
        <f aca="false">SUMPRODUCT(EXACT('Rule-DS map'!$F$2:$F$1613,$A60)*('Rule-DS map'!$C$2:$C$1613="Existing, re-tagged ITDR"))</f>
        <v>0</v>
      </c>
      <c r="E60" s="5" t="n">
        <f aca="false">SUMPRODUCT(EXACT('Rule-DS map'!$F$2:$F$1613,$A60)*('Rule-DS map'!$D$2:$D$1613="Identity-core"))</f>
        <v>11</v>
      </c>
      <c r="F60" s="5" t="n">
        <f aca="false">SUMPRODUCT(EXACT('Rule-DS map'!$F$2:$F$1613,$A60)*('Rule-DS map'!$E$2:$E$1613="Enabled"))</f>
        <v>11</v>
      </c>
      <c r="G60" s="5" t="n">
        <v>8</v>
      </c>
      <c r="H60" s="2" t="s">
        <v>8306</v>
      </c>
    </row>
    <row r="61" customFormat="false" ht="23.85" hidden="false" customHeight="false" outlineLevel="0" collapsed="false">
      <c r="A61" s="2" t="s">
        <v>2626</v>
      </c>
      <c r="B61" s="5" t="n">
        <f aca="false">SUMPRODUCT(--EXACT('Rule-DS map'!$F$2:$F$1613,$A61))</f>
        <v>1</v>
      </c>
      <c r="C61" s="5" t="n">
        <f aca="false">SUMPRODUCT(EXACT('Rule-DS map'!$F$2:$F$1613,$A61)*('Rule-DS map'!$C$2:$C$1613="New ITDR (7.6.0)"))</f>
        <v>0</v>
      </c>
      <c r="D61" s="5" t="n">
        <f aca="false">SUMPRODUCT(EXACT('Rule-DS map'!$F$2:$F$1613,$A61)*('Rule-DS map'!$C$2:$C$1613="Existing, re-tagged ITDR"))</f>
        <v>0</v>
      </c>
      <c r="E61" s="5" t="n">
        <f aca="false">SUMPRODUCT(EXACT('Rule-DS map'!$F$2:$F$1613,$A61)*('Rule-DS map'!$D$2:$D$1613="Identity-core"))</f>
        <v>1</v>
      </c>
      <c r="F61" s="5" t="n">
        <f aca="false">SUMPRODUCT(EXACT('Rule-DS map'!$F$2:$F$1613,$A61)*('Rule-DS map'!$E$2:$E$1613="Enabled"))</f>
        <v>1</v>
      </c>
      <c r="G61" s="5" t="n">
        <v>2</v>
      </c>
      <c r="H61" s="2" t="s">
        <v>2627</v>
      </c>
    </row>
    <row r="62" customFormat="false" ht="147" hidden="false" customHeight="false" outlineLevel="0" collapsed="false">
      <c r="A62" s="2" t="s">
        <v>8225</v>
      </c>
      <c r="B62" s="5" t="n">
        <f aca="false">SUMPRODUCT(--EXACT('Rule-DS map'!$F$2:$F$1613,$A62))</f>
        <v>2</v>
      </c>
      <c r="C62" s="5" t="n">
        <f aca="false">SUMPRODUCT(EXACT('Rule-DS map'!$F$2:$F$1613,$A62)*('Rule-DS map'!$C$2:$C$1613="New ITDR (7.6.0)"))</f>
        <v>0</v>
      </c>
      <c r="D62" s="5" t="n">
        <f aca="false">SUMPRODUCT(EXACT('Rule-DS map'!$F$2:$F$1613,$A62)*('Rule-DS map'!$C$2:$C$1613="Existing, re-tagged ITDR"))</f>
        <v>2</v>
      </c>
      <c r="E62" s="5" t="n">
        <f aca="false">SUMPRODUCT(EXACT('Rule-DS map'!$F$2:$F$1613,$A62)*('Rule-DS map'!$D$2:$D$1613="Identity-core"))</f>
        <v>2</v>
      </c>
      <c r="F62" s="5" t="n">
        <f aca="false">SUMPRODUCT(EXACT('Rule-DS map'!$F$2:$F$1613,$A62)*('Rule-DS map'!$E$2:$E$1613="Enabled"))</f>
        <v>1</v>
      </c>
      <c r="G62" s="5" t="n">
        <v>13</v>
      </c>
      <c r="H62" s="2" t="s">
        <v>8275</v>
      </c>
    </row>
    <row r="63" customFormat="false" ht="79.85" hidden="false" customHeight="false" outlineLevel="0" collapsed="false">
      <c r="A63" s="2" t="s">
        <v>255</v>
      </c>
      <c r="B63" s="5" t="n">
        <f aca="false">SUMPRODUCT(--EXACT('Rule-DS map'!$F$2:$F$1613,$A63))</f>
        <v>1</v>
      </c>
      <c r="C63" s="5" t="n">
        <f aca="false">SUMPRODUCT(EXACT('Rule-DS map'!$F$2:$F$1613,$A63)*('Rule-DS map'!$C$2:$C$1613="New ITDR (7.6.0)"))</f>
        <v>1</v>
      </c>
      <c r="D63" s="5" t="n">
        <f aca="false">SUMPRODUCT(EXACT('Rule-DS map'!$F$2:$F$1613,$A63)*('Rule-DS map'!$C$2:$C$1613="Existing, re-tagged ITDR"))</f>
        <v>0</v>
      </c>
      <c r="E63" s="5" t="n">
        <f aca="false">SUMPRODUCT(EXACT('Rule-DS map'!$F$2:$F$1613,$A63)*('Rule-DS map'!$D$2:$D$1613="Identity-core"))</f>
        <v>1</v>
      </c>
      <c r="F63" s="5" t="n">
        <f aca="false">SUMPRODUCT(EXACT('Rule-DS map'!$F$2:$F$1613,$A63)*('Rule-DS map'!$E$2:$E$1613="Enabled"))</f>
        <v>1</v>
      </c>
      <c r="G63" s="5" t="n">
        <v>7</v>
      </c>
      <c r="H63" s="2" t="s">
        <v>256</v>
      </c>
    </row>
    <row r="64" customFormat="false" ht="113.4" hidden="false" customHeight="false" outlineLevel="0" collapsed="false">
      <c r="A64" s="2" t="s">
        <v>916</v>
      </c>
      <c r="B64" s="5" t="n">
        <f aca="false">SUMPRODUCT(--EXACT('Rule-DS map'!$F$2:$F$1613,$A64))</f>
        <v>8</v>
      </c>
      <c r="C64" s="5" t="n">
        <f aca="false">SUMPRODUCT(EXACT('Rule-DS map'!$F$2:$F$1613,$A64)*('Rule-DS map'!$C$2:$C$1613="New ITDR (7.6.0)"))</f>
        <v>0</v>
      </c>
      <c r="D64" s="5" t="n">
        <f aca="false">SUMPRODUCT(EXACT('Rule-DS map'!$F$2:$F$1613,$A64)*('Rule-DS map'!$C$2:$C$1613="Existing, re-tagged ITDR"))</f>
        <v>4</v>
      </c>
      <c r="E64" s="5" t="n">
        <f aca="false">SUMPRODUCT(EXACT('Rule-DS map'!$F$2:$F$1613,$A64)*('Rule-DS map'!$D$2:$D$1613="Identity-core"))</f>
        <v>8</v>
      </c>
      <c r="F64" s="5" t="n">
        <f aca="false">SUMPRODUCT(EXACT('Rule-DS map'!$F$2:$F$1613,$A64)*('Rule-DS map'!$E$2:$E$1613="Enabled"))</f>
        <v>6</v>
      </c>
      <c r="G64" s="5" t="n">
        <v>10</v>
      </c>
      <c r="H64" s="2" t="s">
        <v>8307</v>
      </c>
    </row>
    <row r="65" customFormat="false" ht="68.65" hidden="false" customHeight="false" outlineLevel="0" collapsed="false">
      <c r="A65" s="2" t="s">
        <v>8243</v>
      </c>
      <c r="B65" s="5" t="n">
        <f aca="false">SUMPRODUCT(--EXACT('Rule-DS map'!$F$2:$F$1613,$A65))</f>
        <v>5</v>
      </c>
      <c r="C65" s="5" t="n">
        <f aca="false">SUMPRODUCT(EXACT('Rule-DS map'!$F$2:$F$1613,$A65)*('Rule-DS map'!$C$2:$C$1613="New ITDR (7.6.0)"))</f>
        <v>0</v>
      </c>
      <c r="D65" s="5" t="n">
        <f aca="false">SUMPRODUCT(EXACT('Rule-DS map'!$F$2:$F$1613,$A65)*('Rule-DS map'!$C$2:$C$1613="Existing, re-tagged ITDR"))</f>
        <v>4</v>
      </c>
      <c r="E65" s="5" t="n">
        <f aca="false">SUMPRODUCT(EXACT('Rule-DS map'!$F$2:$F$1613,$A65)*('Rule-DS map'!$D$2:$D$1613="Identity-core"))</f>
        <v>5</v>
      </c>
      <c r="F65" s="5" t="n">
        <f aca="false">SUMPRODUCT(EXACT('Rule-DS map'!$F$2:$F$1613,$A65)*('Rule-DS map'!$E$2:$E$1613="Enabled"))</f>
        <v>3</v>
      </c>
      <c r="G65" s="5" t="n">
        <v>6</v>
      </c>
      <c r="H65" s="2" t="s">
        <v>8299</v>
      </c>
    </row>
    <row r="66" customFormat="false" ht="91" hidden="false" customHeight="false" outlineLevel="0" collapsed="false">
      <c r="A66" s="2" t="s">
        <v>1513</v>
      </c>
      <c r="B66" s="5" t="n">
        <f aca="false">SUMPRODUCT(--EXACT('Rule-DS map'!$F$2:$F$1613,$A66))</f>
        <v>8</v>
      </c>
      <c r="C66" s="5" t="n">
        <f aca="false">SUMPRODUCT(EXACT('Rule-DS map'!$F$2:$F$1613,$A66)*('Rule-DS map'!$C$2:$C$1613="New ITDR (7.6.0)"))</f>
        <v>0</v>
      </c>
      <c r="D66" s="5" t="n">
        <f aca="false">SUMPRODUCT(EXACT('Rule-DS map'!$F$2:$F$1613,$A66)*('Rule-DS map'!$C$2:$C$1613="Existing, re-tagged ITDR"))</f>
        <v>1</v>
      </c>
      <c r="E66" s="5" t="n">
        <f aca="false">SUMPRODUCT(EXACT('Rule-DS map'!$F$2:$F$1613,$A66)*('Rule-DS map'!$D$2:$D$1613="Identity-core"))</f>
        <v>7</v>
      </c>
      <c r="F66" s="5" t="n">
        <f aca="false">SUMPRODUCT(EXACT('Rule-DS map'!$F$2:$F$1613,$A66)*('Rule-DS map'!$E$2:$E$1613="Enabled"))</f>
        <v>6</v>
      </c>
      <c r="G66" s="5" t="n">
        <v>8</v>
      </c>
      <c r="H66" s="2" t="s">
        <v>8308</v>
      </c>
    </row>
    <row r="67" customFormat="false" ht="15" hidden="false" customHeight="false" outlineLevel="0" collapsed="false">
      <c r="A67" s="2" t="s">
        <v>2755</v>
      </c>
      <c r="B67" s="5" t="n">
        <f aca="false">SUMPRODUCT(--EXACT('Rule-DS map'!$F$2:$F$1613,$A67))</f>
        <v>1</v>
      </c>
      <c r="C67" s="5" t="n">
        <f aca="false">SUMPRODUCT(EXACT('Rule-DS map'!$F$2:$F$1613,$A67)*('Rule-DS map'!$C$2:$C$1613="New ITDR (7.6.0)"))</f>
        <v>0</v>
      </c>
      <c r="D67" s="5" t="n">
        <f aca="false">SUMPRODUCT(EXACT('Rule-DS map'!$F$2:$F$1613,$A67)*('Rule-DS map'!$C$2:$C$1613="Existing, re-tagged ITDR"))</f>
        <v>0</v>
      </c>
      <c r="E67" s="5" t="n">
        <f aca="false">SUMPRODUCT(EXACT('Rule-DS map'!$F$2:$F$1613,$A67)*('Rule-DS map'!$D$2:$D$1613="Identity-core"))</f>
        <v>1</v>
      </c>
      <c r="F67" s="5" t="n">
        <f aca="false">SUMPRODUCT(EXACT('Rule-DS map'!$F$2:$F$1613,$A67)*('Rule-DS map'!$E$2:$E$1613="Enabled"))</f>
        <v>0</v>
      </c>
      <c r="G67" s="5" t="n">
        <v>1</v>
      </c>
      <c r="H67" s="2" t="s">
        <v>2756</v>
      </c>
    </row>
    <row r="68" customFormat="false" ht="15" hidden="false" customHeight="false" outlineLevel="0" collapsed="false">
      <c r="A68" s="2" t="s">
        <v>2956</v>
      </c>
      <c r="B68" s="5" t="n">
        <f aca="false">SUMPRODUCT(--EXACT('Rule-DS map'!$F$2:$F$1613,$A68))</f>
        <v>1</v>
      </c>
      <c r="C68" s="5" t="n">
        <f aca="false">SUMPRODUCT(EXACT('Rule-DS map'!$F$2:$F$1613,$A68)*('Rule-DS map'!$C$2:$C$1613="New ITDR (7.6.0)"))</f>
        <v>0</v>
      </c>
      <c r="D68" s="5" t="n">
        <f aca="false">SUMPRODUCT(EXACT('Rule-DS map'!$F$2:$F$1613,$A68)*('Rule-DS map'!$C$2:$C$1613="Existing, re-tagged ITDR"))</f>
        <v>0</v>
      </c>
      <c r="E68" s="5" t="n">
        <f aca="false">SUMPRODUCT(EXACT('Rule-DS map'!$F$2:$F$1613,$A68)*('Rule-DS map'!$D$2:$D$1613="Identity-core"))</f>
        <v>1</v>
      </c>
      <c r="F68" s="5" t="n">
        <f aca="false">SUMPRODUCT(EXACT('Rule-DS map'!$F$2:$F$1613,$A68)*('Rule-DS map'!$E$2:$E$1613="Enabled"))</f>
        <v>1</v>
      </c>
      <c r="G68" s="5" t="n">
        <v>1</v>
      </c>
      <c r="H68" s="2" t="s">
        <v>2957</v>
      </c>
    </row>
    <row r="69" customFormat="false" ht="23.85" hidden="false" customHeight="false" outlineLevel="0" collapsed="false">
      <c r="A69" s="2" t="s">
        <v>6276</v>
      </c>
      <c r="B69" s="5" t="n">
        <f aca="false">SUMPRODUCT(--EXACT('Rule-DS map'!$F$2:$F$1613,$A69))</f>
        <v>1</v>
      </c>
      <c r="C69" s="5" t="n">
        <f aca="false">SUMPRODUCT(EXACT('Rule-DS map'!$F$2:$F$1613,$A69)*('Rule-DS map'!$C$2:$C$1613="New ITDR (7.6.0)"))</f>
        <v>0</v>
      </c>
      <c r="D69" s="5" t="n">
        <f aca="false">SUMPRODUCT(EXACT('Rule-DS map'!$F$2:$F$1613,$A69)*('Rule-DS map'!$C$2:$C$1613="Existing, re-tagged ITDR"))</f>
        <v>0</v>
      </c>
      <c r="E69" s="5" t="n">
        <f aca="false">SUMPRODUCT(EXACT('Rule-DS map'!$F$2:$F$1613,$A69)*('Rule-DS map'!$D$2:$D$1613="Identity-core"))</f>
        <v>0</v>
      </c>
      <c r="F69" s="5" t="n">
        <f aca="false">SUMPRODUCT(EXACT('Rule-DS map'!$F$2:$F$1613,$A69)*('Rule-DS map'!$E$2:$E$1613="Enabled"))</f>
        <v>1</v>
      </c>
      <c r="G69" s="5" t="n">
        <v>1</v>
      </c>
      <c r="H69" s="2" t="s">
        <v>6277</v>
      </c>
    </row>
    <row r="70" customFormat="false" ht="57.45" hidden="false" customHeight="false" outlineLevel="0" collapsed="false">
      <c r="A70" s="2" t="s">
        <v>6027</v>
      </c>
      <c r="B70" s="5" t="n">
        <f aca="false">SUMPRODUCT(--EXACT('Rule-DS map'!$F$2:$F$1613,$A70))</f>
        <v>51</v>
      </c>
      <c r="C70" s="5" t="n">
        <f aca="false">SUMPRODUCT(EXACT('Rule-DS map'!$F$2:$F$1613,$A70)*('Rule-DS map'!$C$2:$C$1613="New ITDR (7.6.0)"))</f>
        <v>15</v>
      </c>
      <c r="D70" s="5" t="n">
        <f aca="false">SUMPRODUCT(EXACT('Rule-DS map'!$F$2:$F$1613,$A70)*('Rule-DS map'!$C$2:$C$1613="Existing, re-tagged ITDR"))</f>
        <v>0</v>
      </c>
      <c r="E70" s="5" t="n">
        <f aca="false">SUMPRODUCT(EXACT('Rule-DS map'!$F$2:$F$1613,$A70)*('Rule-DS map'!$D$2:$D$1613="Identity-core"))</f>
        <v>42</v>
      </c>
      <c r="F70" s="5" t="n">
        <f aca="false">SUMPRODUCT(EXACT('Rule-DS map'!$F$2:$F$1613,$A70)*('Rule-DS map'!$E$2:$E$1613="Enabled"))</f>
        <v>48</v>
      </c>
      <c r="G70" s="5" t="n">
        <v>5</v>
      </c>
      <c r="H70" s="2" t="s">
        <v>8309</v>
      </c>
    </row>
    <row r="71" customFormat="false" ht="35.05" hidden="false" customHeight="false" outlineLevel="0" collapsed="false">
      <c r="A71" s="2" t="s">
        <v>1254</v>
      </c>
      <c r="B71" s="5" t="n">
        <f aca="false">SUMPRODUCT(--EXACT('Rule-DS map'!$F$2:$F$1613,$A71))</f>
        <v>2</v>
      </c>
      <c r="C71" s="5" t="n">
        <f aca="false">SUMPRODUCT(EXACT('Rule-DS map'!$F$2:$F$1613,$A71)*('Rule-DS map'!$C$2:$C$1613="New ITDR (7.6.0)"))</f>
        <v>0</v>
      </c>
      <c r="D71" s="5" t="n">
        <f aca="false">SUMPRODUCT(EXACT('Rule-DS map'!$F$2:$F$1613,$A71)*('Rule-DS map'!$C$2:$C$1613="Existing, re-tagged ITDR"))</f>
        <v>2</v>
      </c>
      <c r="E71" s="5" t="n">
        <f aca="false">SUMPRODUCT(EXACT('Rule-DS map'!$F$2:$F$1613,$A71)*('Rule-DS map'!$D$2:$D$1613="Identity-core"))</f>
        <v>2</v>
      </c>
      <c r="F71" s="5" t="n">
        <f aca="false">SUMPRODUCT(EXACT('Rule-DS map'!$F$2:$F$1613,$A71)*('Rule-DS map'!$E$2:$E$1613="Enabled"))</f>
        <v>2</v>
      </c>
      <c r="G71" s="5" t="n">
        <v>3</v>
      </c>
      <c r="H71" s="2" t="s">
        <v>1563</v>
      </c>
    </row>
    <row r="72" customFormat="false" ht="1658.95" hidden="false" customHeight="false" outlineLevel="0" collapsed="false">
      <c r="A72" s="2" t="s">
        <v>184</v>
      </c>
      <c r="B72" s="5" t="n">
        <f aca="false">SUMPRODUCT(--EXACT('Rule-DS map'!$F$2:$F$1613,$A72))</f>
        <v>244</v>
      </c>
      <c r="C72" s="5" t="n">
        <f aca="false">SUMPRODUCT(EXACT('Rule-DS map'!$F$2:$F$1613,$A72)*('Rule-DS map'!$C$2:$C$1613="New ITDR (7.6.0)"))</f>
        <v>39</v>
      </c>
      <c r="D72" s="5" t="n">
        <f aca="false">SUMPRODUCT(EXACT('Rule-DS map'!$F$2:$F$1613,$A72)*('Rule-DS map'!$C$2:$C$1613="Existing, re-tagged ITDR"))</f>
        <v>35</v>
      </c>
      <c r="E72" s="5" t="n">
        <f aca="false">SUMPRODUCT(EXACT('Rule-DS map'!$F$2:$F$1613,$A72)*('Rule-DS map'!$D$2:$D$1613="Identity-core"))</f>
        <v>244</v>
      </c>
      <c r="F72" s="5" t="n">
        <f aca="false">SUMPRODUCT(EXACT('Rule-DS map'!$F$2:$F$1613,$A72)*('Rule-DS map'!$E$2:$E$1613="Enabled"))</f>
        <v>233</v>
      </c>
      <c r="G72" s="5" t="n">
        <v>148</v>
      </c>
      <c r="H72" s="2" t="s">
        <v>8310</v>
      </c>
    </row>
    <row r="73" customFormat="false" ht="158.2" hidden="false" customHeight="false" outlineLevel="0" collapsed="false">
      <c r="A73" s="2" t="s">
        <v>367</v>
      </c>
      <c r="B73" s="5" t="n">
        <f aca="false">SUMPRODUCT(--EXACT('Rule-DS map'!$F$2:$F$1613,$A73))</f>
        <v>319</v>
      </c>
      <c r="C73" s="5" t="n">
        <f aca="false">SUMPRODUCT(EXACT('Rule-DS map'!$F$2:$F$1613,$A73)*('Rule-DS map'!$C$2:$C$1613="New ITDR (7.6.0)"))</f>
        <v>20</v>
      </c>
      <c r="D73" s="5" t="n">
        <f aca="false">SUMPRODUCT(EXACT('Rule-DS map'!$F$2:$F$1613,$A73)*('Rule-DS map'!$C$2:$C$1613="Existing, re-tagged ITDR"))</f>
        <v>129</v>
      </c>
      <c r="E73" s="5" t="n">
        <f aca="false">SUMPRODUCT(EXACT('Rule-DS map'!$F$2:$F$1613,$A73)*('Rule-DS map'!$D$2:$D$1613="Identity-core"))</f>
        <v>270</v>
      </c>
      <c r="F73" s="5" t="n">
        <f aca="false">SUMPRODUCT(EXACT('Rule-DS map'!$F$2:$F$1613,$A73)*('Rule-DS map'!$E$2:$E$1613="Enabled"))</f>
        <v>288</v>
      </c>
      <c r="G73" s="5" t="n">
        <v>14</v>
      </c>
      <c r="H73" s="2" t="s">
        <v>8311</v>
      </c>
    </row>
    <row r="74" customFormat="false" ht="102.2" hidden="false" customHeight="false" outlineLevel="0" collapsed="false">
      <c r="A74" s="2" t="s">
        <v>415</v>
      </c>
      <c r="B74" s="5" t="n">
        <f aca="false">SUMPRODUCT(--EXACT('Rule-DS map'!$F$2:$F$1613,$A74))</f>
        <v>9</v>
      </c>
      <c r="C74" s="5" t="n">
        <f aca="false">SUMPRODUCT(EXACT('Rule-DS map'!$F$2:$F$1613,$A74)*('Rule-DS map'!$C$2:$C$1613="New ITDR (7.6.0)"))</f>
        <v>1</v>
      </c>
      <c r="D74" s="5" t="n">
        <f aca="false">SUMPRODUCT(EXACT('Rule-DS map'!$F$2:$F$1613,$A74)*('Rule-DS map'!$C$2:$C$1613="Existing, re-tagged ITDR"))</f>
        <v>2</v>
      </c>
      <c r="E74" s="5" t="n">
        <f aca="false">SUMPRODUCT(EXACT('Rule-DS map'!$F$2:$F$1613,$A74)*('Rule-DS map'!$D$2:$D$1613="Identity-core"))</f>
        <v>7</v>
      </c>
      <c r="F74" s="5" t="n">
        <f aca="false">SUMPRODUCT(EXACT('Rule-DS map'!$F$2:$F$1613,$A74)*('Rule-DS map'!$E$2:$E$1613="Enabled"))</f>
        <v>5</v>
      </c>
      <c r="G74" s="5" t="n">
        <v>9</v>
      </c>
      <c r="H74" s="2" t="s">
        <v>8312</v>
      </c>
    </row>
    <row r="75" customFormat="false" ht="57.45" hidden="false" customHeight="false" outlineLevel="0" collapsed="false">
      <c r="A75" s="2" t="s">
        <v>8250</v>
      </c>
      <c r="B75" s="5" t="n">
        <f aca="false">SUMPRODUCT(--EXACT('Rule-DS map'!$F$2:$F$1613,$A75))</f>
        <v>1</v>
      </c>
      <c r="C75" s="5" t="n">
        <f aca="false">SUMPRODUCT(EXACT('Rule-DS map'!$F$2:$F$1613,$A75)*('Rule-DS map'!$C$2:$C$1613="New ITDR (7.6.0)"))</f>
        <v>0</v>
      </c>
      <c r="D75" s="5" t="n">
        <f aca="false">SUMPRODUCT(EXACT('Rule-DS map'!$F$2:$F$1613,$A75)*('Rule-DS map'!$C$2:$C$1613="Existing, re-tagged ITDR"))</f>
        <v>0</v>
      </c>
      <c r="E75" s="5" t="n">
        <f aca="false">SUMPRODUCT(EXACT('Rule-DS map'!$F$2:$F$1613,$A75)*('Rule-DS map'!$D$2:$D$1613="Identity-core"))</f>
        <v>1</v>
      </c>
      <c r="F75" s="5" t="n">
        <f aca="false">SUMPRODUCT(EXACT('Rule-DS map'!$F$2:$F$1613,$A75)*('Rule-DS map'!$E$2:$E$1613="Enabled"))</f>
        <v>1</v>
      </c>
      <c r="G75" s="5" t="n">
        <v>5</v>
      </c>
      <c r="H75" s="2" t="s">
        <v>4164</v>
      </c>
    </row>
    <row r="76" customFormat="false" ht="15" hidden="false" customHeight="false" outlineLevel="0" collapsed="false">
      <c r="A76" s="2" t="s">
        <v>1088</v>
      </c>
      <c r="B76" s="5" t="n">
        <f aca="false">SUMPRODUCT(--EXACT('Rule-DS map'!$F$2:$F$1613,$A76))</f>
        <v>1</v>
      </c>
      <c r="C76" s="5" t="n">
        <f aca="false">SUMPRODUCT(EXACT('Rule-DS map'!$F$2:$F$1613,$A76)*('Rule-DS map'!$C$2:$C$1613="New ITDR (7.6.0)"))</f>
        <v>0</v>
      </c>
      <c r="D76" s="5" t="n">
        <f aca="false">SUMPRODUCT(EXACT('Rule-DS map'!$F$2:$F$1613,$A76)*('Rule-DS map'!$C$2:$C$1613="Existing, re-tagged ITDR"))</f>
        <v>1</v>
      </c>
      <c r="E76" s="5" t="n">
        <f aca="false">SUMPRODUCT(EXACT('Rule-DS map'!$F$2:$F$1613,$A76)*('Rule-DS map'!$D$2:$D$1613="Identity-core"))</f>
        <v>1</v>
      </c>
      <c r="F76" s="5" t="n">
        <f aca="false">SUMPRODUCT(EXACT('Rule-DS map'!$F$2:$F$1613,$A76)*('Rule-DS map'!$E$2:$E$1613="Enabled"))</f>
        <v>1</v>
      </c>
      <c r="G76" s="5" t="n">
        <v>1</v>
      </c>
      <c r="H76" s="2" t="s">
        <v>1089</v>
      </c>
    </row>
    <row r="77" customFormat="false" ht="35.05" hidden="false" customHeight="false" outlineLevel="0" collapsed="false">
      <c r="A77" s="2" t="s">
        <v>2777</v>
      </c>
      <c r="B77" s="5" t="n">
        <f aca="false">SUMPRODUCT(--EXACT('Rule-DS map'!$F$2:$F$1613,$A77))</f>
        <v>2</v>
      </c>
      <c r="C77" s="5" t="n">
        <f aca="false">SUMPRODUCT(EXACT('Rule-DS map'!$F$2:$F$1613,$A77)*('Rule-DS map'!$C$2:$C$1613="New ITDR (7.6.0)"))</f>
        <v>0</v>
      </c>
      <c r="D77" s="5" t="n">
        <f aca="false">SUMPRODUCT(EXACT('Rule-DS map'!$F$2:$F$1613,$A77)*('Rule-DS map'!$C$2:$C$1613="Existing, re-tagged ITDR"))</f>
        <v>0</v>
      </c>
      <c r="E77" s="5" t="n">
        <f aca="false">SUMPRODUCT(EXACT('Rule-DS map'!$F$2:$F$1613,$A77)*('Rule-DS map'!$D$2:$D$1613="Identity-core"))</f>
        <v>2</v>
      </c>
      <c r="F77" s="5" t="n">
        <f aca="false">SUMPRODUCT(EXACT('Rule-DS map'!$F$2:$F$1613,$A77)*('Rule-DS map'!$E$2:$E$1613="Enabled"))</f>
        <v>2</v>
      </c>
      <c r="G77" s="5" t="n">
        <v>3</v>
      </c>
      <c r="H77" s="2" t="s">
        <v>8313</v>
      </c>
    </row>
    <row r="78" customFormat="false" ht="415.65" hidden="false" customHeight="false" outlineLevel="0" collapsed="false">
      <c r="A78" s="2" t="s">
        <v>492</v>
      </c>
      <c r="B78" s="5" t="n">
        <f aca="false">SUMPRODUCT(--EXACT('Rule-DS map'!$F$2:$F$1613,$A78))</f>
        <v>24</v>
      </c>
      <c r="C78" s="5" t="n">
        <f aca="false">SUMPRODUCT(EXACT('Rule-DS map'!$F$2:$F$1613,$A78)*('Rule-DS map'!$C$2:$C$1613="New ITDR (7.6.0)"))</f>
        <v>0</v>
      </c>
      <c r="D78" s="5" t="n">
        <f aca="false">SUMPRODUCT(EXACT('Rule-DS map'!$F$2:$F$1613,$A78)*('Rule-DS map'!$C$2:$C$1613="Existing, re-tagged ITDR"))</f>
        <v>19</v>
      </c>
      <c r="E78" s="5" t="n">
        <f aca="false">SUMPRODUCT(EXACT('Rule-DS map'!$F$2:$F$1613,$A78)*('Rule-DS map'!$D$2:$D$1613="Identity-core"))</f>
        <v>21</v>
      </c>
      <c r="F78" s="5" t="n">
        <f aca="false">SUMPRODUCT(EXACT('Rule-DS map'!$F$2:$F$1613,$A78)*('Rule-DS map'!$E$2:$E$1613="Enabled"))</f>
        <v>18</v>
      </c>
      <c r="G78" s="5" t="n">
        <v>37</v>
      </c>
      <c r="H78" s="2" t="s">
        <v>8314</v>
      </c>
    </row>
    <row r="79" customFormat="false" ht="23.85" hidden="false" customHeight="false" outlineLevel="0" collapsed="false">
      <c r="A79" s="2" t="s">
        <v>8267</v>
      </c>
      <c r="B79" s="5" t="n">
        <f aca="false">SUMPRODUCT(--EXACT('Rule-DS map'!$F$2:$F$1613,$A79))</f>
        <v>2</v>
      </c>
      <c r="C79" s="5" t="n">
        <f aca="false">SUMPRODUCT(EXACT('Rule-DS map'!$F$2:$F$1613,$A79)*('Rule-DS map'!$C$2:$C$1613="New ITDR (7.6.0)"))</f>
        <v>0</v>
      </c>
      <c r="D79" s="5" t="n">
        <f aca="false">SUMPRODUCT(EXACT('Rule-DS map'!$F$2:$F$1613,$A79)*('Rule-DS map'!$C$2:$C$1613="Existing, re-tagged ITDR"))</f>
        <v>0</v>
      </c>
      <c r="E79" s="5" t="n">
        <f aca="false">SUMPRODUCT(EXACT('Rule-DS map'!$F$2:$F$1613,$A79)*('Rule-DS map'!$D$2:$D$1613="Identity-core"))</f>
        <v>0</v>
      </c>
      <c r="F79" s="5" t="n">
        <f aca="false">SUMPRODUCT(EXACT('Rule-DS map'!$F$2:$F$1613,$A79)*('Rule-DS map'!$E$2:$E$1613="Enabled"))</f>
        <v>2</v>
      </c>
      <c r="G79" s="5" t="n">
        <v>2</v>
      </c>
      <c r="H79" s="2" t="s">
        <v>8315</v>
      </c>
    </row>
    <row r="80" customFormat="false" ht="23.85" hidden="false" customHeight="false" outlineLevel="0" collapsed="false">
      <c r="A80" s="2" t="s">
        <v>8246</v>
      </c>
      <c r="B80" s="5" t="n">
        <f aca="false">SUMPRODUCT(--EXACT('Rule-DS map'!$F$2:$F$1613,$A80))</f>
        <v>2</v>
      </c>
      <c r="C80" s="5" t="n">
        <f aca="false">SUMPRODUCT(EXACT('Rule-DS map'!$F$2:$F$1613,$A80)*('Rule-DS map'!$C$2:$C$1613="New ITDR (7.6.0)"))</f>
        <v>0</v>
      </c>
      <c r="D80" s="5" t="n">
        <f aca="false">SUMPRODUCT(EXACT('Rule-DS map'!$F$2:$F$1613,$A80)*('Rule-DS map'!$C$2:$C$1613="Existing, re-tagged ITDR"))</f>
        <v>2</v>
      </c>
      <c r="E80" s="5" t="n">
        <f aca="false">SUMPRODUCT(EXACT('Rule-DS map'!$F$2:$F$1613,$A80)*('Rule-DS map'!$D$2:$D$1613="Identity-core"))</f>
        <v>2</v>
      </c>
      <c r="F80" s="5" t="n">
        <f aca="false">SUMPRODUCT(EXACT('Rule-DS map'!$F$2:$F$1613,$A80)*('Rule-DS map'!$E$2:$E$1613="Enabled"))</f>
        <v>1</v>
      </c>
      <c r="G80" s="5" t="n">
        <v>2</v>
      </c>
      <c r="H80" s="2" t="s">
        <v>8277</v>
      </c>
    </row>
    <row r="81" customFormat="false" ht="23.85" hidden="false" customHeight="false" outlineLevel="0" collapsed="false">
      <c r="A81" s="2" t="s">
        <v>8245</v>
      </c>
      <c r="B81" s="5" t="n">
        <f aca="false">SUMPRODUCT(--EXACT('Rule-DS map'!$F$2:$F$1613,$A81))</f>
        <v>2</v>
      </c>
      <c r="C81" s="5" t="n">
        <f aca="false">SUMPRODUCT(EXACT('Rule-DS map'!$F$2:$F$1613,$A81)*('Rule-DS map'!$C$2:$C$1613="New ITDR (7.6.0)"))</f>
        <v>0</v>
      </c>
      <c r="D81" s="5" t="n">
        <f aca="false">SUMPRODUCT(EXACT('Rule-DS map'!$F$2:$F$1613,$A81)*('Rule-DS map'!$C$2:$C$1613="Existing, re-tagged ITDR"))</f>
        <v>2</v>
      </c>
      <c r="E81" s="5" t="n">
        <f aca="false">SUMPRODUCT(EXACT('Rule-DS map'!$F$2:$F$1613,$A81)*('Rule-DS map'!$D$2:$D$1613="Identity-core"))</f>
        <v>2</v>
      </c>
      <c r="F81" s="5" t="n">
        <f aca="false">SUMPRODUCT(EXACT('Rule-DS map'!$F$2:$F$1613,$A81)*('Rule-DS map'!$E$2:$E$1613="Enabled"))</f>
        <v>1</v>
      </c>
      <c r="G81" s="5" t="n">
        <v>2</v>
      </c>
      <c r="H81" s="2" t="s">
        <v>8277</v>
      </c>
    </row>
    <row r="82" customFormat="false" ht="292.5" hidden="false" customHeight="false" outlineLevel="0" collapsed="false">
      <c r="A82" s="2" t="s">
        <v>8237</v>
      </c>
      <c r="B82" s="5" t="n">
        <f aca="false">SUMPRODUCT(--EXACT('Rule-DS map'!$F$2:$F$1613,$A82))</f>
        <v>13</v>
      </c>
      <c r="C82" s="5" t="n">
        <f aca="false">SUMPRODUCT(EXACT('Rule-DS map'!$F$2:$F$1613,$A82)*('Rule-DS map'!$C$2:$C$1613="New ITDR (7.6.0)"))</f>
        <v>0</v>
      </c>
      <c r="D82" s="5" t="n">
        <f aca="false">SUMPRODUCT(EXACT('Rule-DS map'!$F$2:$F$1613,$A82)*('Rule-DS map'!$C$2:$C$1613="Existing, re-tagged ITDR"))</f>
        <v>9</v>
      </c>
      <c r="E82" s="5" t="n">
        <f aca="false">SUMPRODUCT(EXACT('Rule-DS map'!$F$2:$F$1613,$A82)*('Rule-DS map'!$D$2:$D$1613="Identity-core"))</f>
        <v>11</v>
      </c>
      <c r="F82" s="5" t="n">
        <f aca="false">SUMPRODUCT(EXACT('Rule-DS map'!$F$2:$F$1613,$A82)*('Rule-DS map'!$E$2:$E$1613="Enabled"))</f>
        <v>10</v>
      </c>
      <c r="G82" s="5" t="n">
        <v>26</v>
      </c>
      <c r="H82" s="2" t="s">
        <v>8278</v>
      </c>
    </row>
    <row r="83" customFormat="false" ht="23.85" hidden="false" customHeight="false" outlineLevel="0" collapsed="false">
      <c r="A83" s="2" t="s">
        <v>8241</v>
      </c>
      <c r="B83" s="5" t="n">
        <f aca="false">SUMPRODUCT(--EXACT('Rule-DS map'!$F$2:$F$1613,$A83))</f>
        <v>1</v>
      </c>
      <c r="C83" s="5" t="n">
        <f aca="false">SUMPRODUCT(EXACT('Rule-DS map'!$F$2:$F$1613,$A83)*('Rule-DS map'!$C$2:$C$1613="New ITDR (7.6.0)"))</f>
        <v>0</v>
      </c>
      <c r="D83" s="5" t="n">
        <f aca="false">SUMPRODUCT(EXACT('Rule-DS map'!$F$2:$F$1613,$A83)*('Rule-DS map'!$C$2:$C$1613="Existing, re-tagged ITDR"))</f>
        <v>1</v>
      </c>
      <c r="E83" s="5" t="n">
        <f aca="false">SUMPRODUCT(EXACT('Rule-DS map'!$F$2:$F$1613,$A83)*('Rule-DS map'!$D$2:$D$1613="Identity-core"))</f>
        <v>1</v>
      </c>
      <c r="F83" s="5" t="n">
        <f aca="false">SUMPRODUCT(EXACT('Rule-DS map'!$F$2:$F$1613,$A83)*('Rule-DS map'!$E$2:$E$1613="Enabled"))</f>
        <v>1</v>
      </c>
      <c r="G83" s="5" t="n">
        <v>2</v>
      </c>
      <c r="H83" s="2" t="s">
        <v>786</v>
      </c>
    </row>
    <row r="84" customFormat="false" ht="281.3" hidden="false" customHeight="false" outlineLevel="0" collapsed="false">
      <c r="A84" s="2" t="s">
        <v>8232</v>
      </c>
      <c r="B84" s="5" t="n">
        <f aca="false">SUMPRODUCT(--EXACT('Rule-DS map'!$F$2:$F$1613,$A84))</f>
        <v>11</v>
      </c>
      <c r="C84" s="5" t="n">
        <f aca="false">SUMPRODUCT(EXACT('Rule-DS map'!$F$2:$F$1613,$A84)*('Rule-DS map'!$C$2:$C$1613="New ITDR (7.6.0)"))</f>
        <v>0</v>
      </c>
      <c r="D84" s="5" t="n">
        <f aca="false">SUMPRODUCT(EXACT('Rule-DS map'!$F$2:$F$1613,$A84)*('Rule-DS map'!$C$2:$C$1613="Existing, re-tagged ITDR"))</f>
        <v>7</v>
      </c>
      <c r="E84" s="5" t="n">
        <f aca="false">SUMPRODUCT(EXACT('Rule-DS map'!$F$2:$F$1613,$A84)*('Rule-DS map'!$D$2:$D$1613="Identity-core"))</f>
        <v>9</v>
      </c>
      <c r="F84" s="5" t="n">
        <f aca="false">SUMPRODUCT(EXACT('Rule-DS map'!$F$2:$F$1613,$A84)*('Rule-DS map'!$E$2:$E$1613="Enabled"))</f>
        <v>9</v>
      </c>
      <c r="G84" s="5" t="n">
        <v>25</v>
      </c>
      <c r="H84" s="2" t="s">
        <v>8316</v>
      </c>
    </row>
    <row r="85" customFormat="false" ht="68.65" hidden="false" customHeight="false" outlineLevel="0" collapsed="false">
      <c r="A85" s="2" t="s">
        <v>8242</v>
      </c>
      <c r="B85" s="5" t="n">
        <f aca="false">SUMPRODUCT(--EXACT('Rule-DS map'!$F$2:$F$1613,$A85))</f>
        <v>5</v>
      </c>
      <c r="C85" s="5" t="n">
        <f aca="false">SUMPRODUCT(EXACT('Rule-DS map'!$F$2:$F$1613,$A85)*('Rule-DS map'!$C$2:$C$1613="New ITDR (7.6.0)"))</f>
        <v>0</v>
      </c>
      <c r="D85" s="5" t="n">
        <f aca="false">SUMPRODUCT(EXACT('Rule-DS map'!$F$2:$F$1613,$A85)*('Rule-DS map'!$C$2:$C$1613="Existing, re-tagged ITDR"))</f>
        <v>4</v>
      </c>
      <c r="E85" s="5" t="n">
        <f aca="false">SUMPRODUCT(EXACT('Rule-DS map'!$F$2:$F$1613,$A85)*('Rule-DS map'!$D$2:$D$1613="Identity-core"))</f>
        <v>5</v>
      </c>
      <c r="F85" s="5" t="n">
        <f aca="false">SUMPRODUCT(EXACT('Rule-DS map'!$F$2:$F$1613,$A85)*('Rule-DS map'!$E$2:$E$1613="Enabled"))</f>
        <v>3</v>
      </c>
      <c r="G85" s="5" t="n">
        <v>6</v>
      </c>
      <c r="H85" s="2" t="s">
        <v>8299</v>
      </c>
    </row>
    <row r="86" customFormat="false" ht="124.6" hidden="false" customHeight="false" outlineLevel="0" collapsed="false">
      <c r="A86" s="2" t="s">
        <v>898</v>
      </c>
      <c r="B86" s="5" t="n">
        <f aca="false">SUMPRODUCT(--EXACT('Rule-DS map'!$F$2:$F$1613,$A86))</f>
        <v>9</v>
      </c>
      <c r="C86" s="5" t="n">
        <f aca="false">SUMPRODUCT(EXACT('Rule-DS map'!$F$2:$F$1613,$A86)*('Rule-DS map'!$C$2:$C$1613="New ITDR (7.6.0)"))</f>
        <v>0</v>
      </c>
      <c r="D86" s="5" t="n">
        <f aca="false">SUMPRODUCT(EXACT('Rule-DS map'!$F$2:$F$1613,$A86)*('Rule-DS map'!$C$2:$C$1613="Existing, re-tagged ITDR"))</f>
        <v>2</v>
      </c>
      <c r="E86" s="5" t="n">
        <f aca="false">SUMPRODUCT(EXACT('Rule-DS map'!$F$2:$F$1613,$A86)*('Rule-DS map'!$D$2:$D$1613="Identity-core"))</f>
        <v>9</v>
      </c>
      <c r="F86" s="5" t="n">
        <f aca="false">SUMPRODUCT(EXACT('Rule-DS map'!$F$2:$F$1613,$A86)*('Rule-DS map'!$E$2:$E$1613="Enabled"))</f>
        <v>9</v>
      </c>
      <c r="G86" s="5" t="n">
        <v>11</v>
      </c>
      <c r="H86" s="2" t="s">
        <v>8317</v>
      </c>
    </row>
    <row r="87" customFormat="false" ht="214.15" hidden="false" customHeight="false" outlineLevel="0" collapsed="false">
      <c r="A87" s="2" t="s">
        <v>8221</v>
      </c>
      <c r="B87" s="5" t="n">
        <f aca="false">SUMPRODUCT(--EXACT('Rule-DS map'!$F$2:$F$1613,$A87))</f>
        <v>11</v>
      </c>
      <c r="C87" s="5" t="n">
        <f aca="false">SUMPRODUCT(EXACT('Rule-DS map'!$F$2:$F$1613,$A87)*('Rule-DS map'!$C$2:$C$1613="New ITDR (7.6.0)"))</f>
        <v>0</v>
      </c>
      <c r="D87" s="5" t="n">
        <f aca="false">SUMPRODUCT(EXACT('Rule-DS map'!$F$2:$F$1613,$A87)*('Rule-DS map'!$C$2:$C$1613="Existing, re-tagged ITDR"))</f>
        <v>6</v>
      </c>
      <c r="E87" s="5" t="n">
        <f aca="false">SUMPRODUCT(EXACT('Rule-DS map'!$F$2:$F$1613,$A87)*('Rule-DS map'!$D$2:$D$1613="Identity-core"))</f>
        <v>6</v>
      </c>
      <c r="F87" s="5" t="n">
        <f aca="false">SUMPRODUCT(EXACT('Rule-DS map'!$F$2:$F$1613,$A87)*('Rule-DS map'!$E$2:$E$1613="Enabled"))</f>
        <v>11</v>
      </c>
      <c r="G87" s="5" t="n">
        <v>19</v>
      </c>
      <c r="H87" s="2" t="s">
        <v>8318</v>
      </c>
    </row>
    <row r="88" customFormat="false" ht="15" hidden="false" customHeight="false" outlineLevel="0" collapsed="false">
      <c r="A88" s="2" t="s">
        <v>8256</v>
      </c>
      <c r="B88" s="5" t="n">
        <f aca="false">SUMPRODUCT(--EXACT('Rule-DS map'!$F$2:$F$1613,$A88))</f>
        <v>1</v>
      </c>
      <c r="C88" s="5" t="n">
        <f aca="false">SUMPRODUCT(EXACT('Rule-DS map'!$F$2:$F$1613,$A88)*('Rule-DS map'!$C$2:$C$1613="New ITDR (7.6.0)"))</f>
        <v>0</v>
      </c>
      <c r="D88" s="5" t="n">
        <f aca="false">SUMPRODUCT(EXACT('Rule-DS map'!$F$2:$F$1613,$A88)*('Rule-DS map'!$C$2:$C$1613="Existing, re-tagged ITDR"))</f>
        <v>0</v>
      </c>
      <c r="E88" s="5" t="n">
        <f aca="false">SUMPRODUCT(EXACT('Rule-DS map'!$F$2:$F$1613,$A88)*('Rule-DS map'!$D$2:$D$1613="Identity-core"))</f>
        <v>0</v>
      </c>
      <c r="F88" s="5" t="n">
        <f aca="false">SUMPRODUCT(EXACT('Rule-DS map'!$F$2:$F$1613,$A88)*('Rule-DS map'!$E$2:$E$1613="Enabled"))</f>
        <v>1</v>
      </c>
      <c r="G88" s="5" t="n">
        <v>1</v>
      </c>
      <c r="H88" s="2" t="s">
        <v>4947</v>
      </c>
    </row>
    <row r="89" customFormat="false" ht="79.85" hidden="false" customHeight="false" outlineLevel="0" collapsed="false">
      <c r="A89" s="2" t="s">
        <v>8252</v>
      </c>
      <c r="B89" s="5" t="n">
        <f aca="false">SUMPRODUCT(--EXACT('Rule-DS map'!$F$2:$F$1613,$A89))</f>
        <v>8</v>
      </c>
      <c r="C89" s="5" t="n">
        <f aca="false">SUMPRODUCT(EXACT('Rule-DS map'!$F$2:$F$1613,$A89)*('Rule-DS map'!$C$2:$C$1613="New ITDR (7.6.0)"))</f>
        <v>0</v>
      </c>
      <c r="D89" s="5" t="n">
        <f aca="false">SUMPRODUCT(EXACT('Rule-DS map'!$F$2:$F$1613,$A89)*('Rule-DS map'!$C$2:$C$1613="Existing, re-tagged ITDR"))</f>
        <v>0</v>
      </c>
      <c r="E89" s="5" t="n">
        <f aca="false">SUMPRODUCT(EXACT('Rule-DS map'!$F$2:$F$1613,$A89)*('Rule-DS map'!$D$2:$D$1613="Identity-core"))</f>
        <v>0</v>
      </c>
      <c r="F89" s="5" t="n">
        <f aca="false">SUMPRODUCT(EXACT('Rule-DS map'!$F$2:$F$1613,$A89)*('Rule-DS map'!$E$2:$E$1613="Enabled"))</f>
        <v>7</v>
      </c>
      <c r="G89" s="5" t="n">
        <v>7</v>
      </c>
      <c r="H89" s="2" t="s">
        <v>8280</v>
      </c>
    </row>
    <row r="90" customFormat="false" ht="415.65" hidden="false" customHeight="false" outlineLevel="0" collapsed="false">
      <c r="A90" s="2" t="s">
        <v>8226</v>
      </c>
      <c r="B90" s="5" t="n">
        <f aca="false">SUMPRODUCT(--EXACT('Rule-DS map'!$F$2:$F$1613,$A90))</f>
        <v>19</v>
      </c>
      <c r="C90" s="5" t="n">
        <f aca="false">SUMPRODUCT(EXACT('Rule-DS map'!$F$2:$F$1613,$A90)*('Rule-DS map'!$C$2:$C$1613="New ITDR (7.6.0)"))</f>
        <v>0</v>
      </c>
      <c r="D90" s="5" t="n">
        <f aca="false">SUMPRODUCT(EXACT('Rule-DS map'!$F$2:$F$1613,$A90)*('Rule-DS map'!$C$2:$C$1613="Existing, re-tagged ITDR"))</f>
        <v>13</v>
      </c>
      <c r="E90" s="5" t="n">
        <f aca="false">SUMPRODUCT(EXACT('Rule-DS map'!$F$2:$F$1613,$A90)*('Rule-DS map'!$D$2:$D$1613="Identity-core"))</f>
        <v>15</v>
      </c>
      <c r="F90" s="5" t="n">
        <f aca="false">SUMPRODUCT(EXACT('Rule-DS map'!$F$2:$F$1613,$A90)*('Rule-DS map'!$E$2:$E$1613="Enabled"))</f>
        <v>15</v>
      </c>
      <c r="G90" s="5" t="n">
        <v>37</v>
      </c>
      <c r="H90" s="2" t="s">
        <v>8297</v>
      </c>
    </row>
    <row r="91" customFormat="false" ht="292.5" hidden="false" customHeight="false" outlineLevel="0" collapsed="false">
      <c r="A91" s="2" t="s">
        <v>8238</v>
      </c>
      <c r="B91" s="5" t="n">
        <f aca="false">SUMPRODUCT(--EXACT('Rule-DS map'!$F$2:$F$1613,$A91))</f>
        <v>13</v>
      </c>
      <c r="C91" s="5" t="n">
        <f aca="false">SUMPRODUCT(EXACT('Rule-DS map'!$F$2:$F$1613,$A91)*('Rule-DS map'!$C$2:$C$1613="New ITDR (7.6.0)"))</f>
        <v>0</v>
      </c>
      <c r="D91" s="5" t="n">
        <f aca="false">SUMPRODUCT(EXACT('Rule-DS map'!$F$2:$F$1613,$A91)*('Rule-DS map'!$C$2:$C$1613="Existing, re-tagged ITDR"))</f>
        <v>9</v>
      </c>
      <c r="E91" s="5" t="n">
        <f aca="false">SUMPRODUCT(EXACT('Rule-DS map'!$F$2:$F$1613,$A91)*('Rule-DS map'!$D$2:$D$1613="Identity-core"))</f>
        <v>11</v>
      </c>
      <c r="F91" s="5" t="n">
        <f aca="false">SUMPRODUCT(EXACT('Rule-DS map'!$F$2:$F$1613,$A91)*('Rule-DS map'!$E$2:$E$1613="Enabled"))</f>
        <v>10</v>
      </c>
      <c r="G91" s="5" t="n">
        <v>26</v>
      </c>
      <c r="H91" s="2" t="s">
        <v>8278</v>
      </c>
    </row>
    <row r="92" customFormat="false" ht="102.2" hidden="false" customHeight="false" outlineLevel="0" collapsed="false">
      <c r="A92" s="2" t="s">
        <v>6042</v>
      </c>
      <c r="B92" s="5" t="n">
        <f aca="false">SUMPRODUCT(--EXACT('Rule-DS map'!$F$2:$F$1613,$A92))</f>
        <v>7</v>
      </c>
      <c r="C92" s="5" t="n">
        <f aca="false">SUMPRODUCT(EXACT('Rule-DS map'!$F$2:$F$1613,$A92)*('Rule-DS map'!$C$2:$C$1613="New ITDR (7.6.0)"))</f>
        <v>0</v>
      </c>
      <c r="D92" s="5" t="n">
        <f aca="false">SUMPRODUCT(EXACT('Rule-DS map'!$F$2:$F$1613,$A92)*('Rule-DS map'!$C$2:$C$1613="Existing, re-tagged ITDR"))</f>
        <v>0</v>
      </c>
      <c r="E92" s="5" t="n">
        <f aca="false">SUMPRODUCT(EXACT('Rule-DS map'!$F$2:$F$1613,$A92)*('Rule-DS map'!$D$2:$D$1613="Identity-core"))</f>
        <v>0</v>
      </c>
      <c r="F92" s="5" t="n">
        <f aca="false">SUMPRODUCT(EXACT('Rule-DS map'!$F$2:$F$1613,$A92)*('Rule-DS map'!$E$2:$E$1613="Enabled"))</f>
        <v>7</v>
      </c>
      <c r="G92" s="5" t="n">
        <v>9</v>
      </c>
      <c r="H92" s="2" t="s">
        <v>8319</v>
      </c>
    </row>
    <row r="93" customFormat="false" ht="15" hidden="false" customHeight="false" outlineLevel="0" collapsed="false">
      <c r="A93" s="2" t="s">
        <v>8261</v>
      </c>
      <c r="B93" s="5" t="n">
        <f aca="false">SUMPRODUCT(--EXACT('Rule-DS map'!$F$2:$F$1613,$A93))</f>
        <v>1</v>
      </c>
      <c r="C93" s="5" t="n">
        <f aca="false">SUMPRODUCT(EXACT('Rule-DS map'!$F$2:$F$1613,$A93)*('Rule-DS map'!$C$2:$C$1613="New ITDR (7.6.0)"))</f>
        <v>0</v>
      </c>
      <c r="D93" s="5" t="n">
        <f aca="false">SUMPRODUCT(EXACT('Rule-DS map'!$F$2:$F$1613,$A93)*('Rule-DS map'!$C$2:$C$1613="Existing, re-tagged ITDR"))</f>
        <v>0</v>
      </c>
      <c r="E93" s="5" t="n">
        <f aca="false">SUMPRODUCT(EXACT('Rule-DS map'!$F$2:$F$1613,$A93)*('Rule-DS map'!$D$2:$D$1613="Identity-core"))</f>
        <v>0</v>
      </c>
      <c r="F93" s="5" t="n">
        <f aca="false">SUMPRODUCT(EXACT('Rule-DS map'!$F$2:$F$1613,$A93)*('Rule-DS map'!$E$2:$E$1613="Enabled"))</f>
        <v>1</v>
      </c>
      <c r="G93" s="5" t="n">
        <v>1</v>
      </c>
      <c r="H93" s="2" t="s">
        <v>4947</v>
      </c>
    </row>
    <row r="94" customFormat="false" ht="415.65" hidden="false" customHeight="false" outlineLevel="0" collapsed="false">
      <c r="A94" s="2" t="s">
        <v>8228</v>
      </c>
      <c r="B94" s="5" t="n">
        <f aca="false">SUMPRODUCT(--EXACT('Rule-DS map'!$F$2:$F$1613,$A94))</f>
        <v>19</v>
      </c>
      <c r="C94" s="5" t="n">
        <f aca="false">SUMPRODUCT(EXACT('Rule-DS map'!$F$2:$F$1613,$A94)*('Rule-DS map'!$C$2:$C$1613="New ITDR (7.6.0)"))</f>
        <v>0</v>
      </c>
      <c r="D94" s="5" t="n">
        <f aca="false">SUMPRODUCT(EXACT('Rule-DS map'!$F$2:$F$1613,$A94)*('Rule-DS map'!$C$2:$C$1613="Existing, re-tagged ITDR"))</f>
        <v>13</v>
      </c>
      <c r="E94" s="5" t="n">
        <f aca="false">SUMPRODUCT(EXACT('Rule-DS map'!$F$2:$F$1613,$A94)*('Rule-DS map'!$D$2:$D$1613="Identity-core"))</f>
        <v>15</v>
      </c>
      <c r="F94" s="5" t="n">
        <f aca="false">SUMPRODUCT(EXACT('Rule-DS map'!$F$2:$F$1613,$A94)*('Rule-DS map'!$E$2:$E$1613="Enabled"))</f>
        <v>15</v>
      </c>
      <c r="G94" s="5" t="n">
        <v>37</v>
      </c>
      <c r="H94" s="2" t="s">
        <v>8297</v>
      </c>
    </row>
    <row r="95" customFormat="false" ht="426.85" hidden="false" customHeight="false" outlineLevel="0" collapsed="false">
      <c r="A95" s="2" t="s">
        <v>8222</v>
      </c>
      <c r="B95" s="5" t="n">
        <f aca="false">SUMPRODUCT(--EXACT('Rule-DS map'!$F$2:$F$1613,$A95))</f>
        <v>21</v>
      </c>
      <c r="C95" s="5" t="n">
        <f aca="false">SUMPRODUCT(EXACT('Rule-DS map'!$F$2:$F$1613,$A95)*('Rule-DS map'!$C$2:$C$1613="New ITDR (7.6.0)"))</f>
        <v>0</v>
      </c>
      <c r="D95" s="5" t="n">
        <f aca="false">SUMPRODUCT(EXACT('Rule-DS map'!$F$2:$F$1613,$A95)*('Rule-DS map'!$C$2:$C$1613="Existing, re-tagged ITDR"))</f>
        <v>15</v>
      </c>
      <c r="E95" s="5" t="n">
        <f aca="false">SUMPRODUCT(EXACT('Rule-DS map'!$F$2:$F$1613,$A95)*('Rule-DS map'!$D$2:$D$1613="Identity-core"))</f>
        <v>17</v>
      </c>
      <c r="F95" s="5" t="n">
        <f aca="false">SUMPRODUCT(EXACT('Rule-DS map'!$F$2:$F$1613,$A95)*('Rule-DS map'!$E$2:$E$1613="Enabled"))</f>
        <v>16</v>
      </c>
      <c r="G95" s="5" t="n">
        <v>38</v>
      </c>
      <c r="H95" s="2" t="s">
        <v>8320</v>
      </c>
    </row>
    <row r="96" customFormat="false" ht="15" hidden="false" customHeight="false" outlineLevel="0" collapsed="false">
      <c r="A96" s="2" t="s">
        <v>8258</v>
      </c>
      <c r="B96" s="5" t="n">
        <f aca="false">SUMPRODUCT(--EXACT('Rule-DS map'!$F$2:$F$1613,$A96))</f>
        <v>1</v>
      </c>
      <c r="C96" s="5" t="n">
        <f aca="false">SUMPRODUCT(EXACT('Rule-DS map'!$F$2:$F$1613,$A96)*('Rule-DS map'!$C$2:$C$1613="New ITDR (7.6.0)"))</f>
        <v>0</v>
      </c>
      <c r="D96" s="5" t="n">
        <f aca="false">SUMPRODUCT(EXACT('Rule-DS map'!$F$2:$F$1613,$A96)*('Rule-DS map'!$C$2:$C$1613="Existing, re-tagged ITDR"))</f>
        <v>0</v>
      </c>
      <c r="E96" s="5" t="n">
        <f aca="false">SUMPRODUCT(EXACT('Rule-DS map'!$F$2:$F$1613,$A96)*('Rule-DS map'!$D$2:$D$1613="Identity-core"))</f>
        <v>0</v>
      </c>
      <c r="F96" s="5" t="n">
        <f aca="false">SUMPRODUCT(EXACT('Rule-DS map'!$F$2:$F$1613,$A96)*('Rule-DS map'!$E$2:$E$1613="Enabled"))</f>
        <v>1</v>
      </c>
      <c r="G96" s="5" t="n">
        <v>1</v>
      </c>
      <c r="H96" s="2" t="s">
        <v>4947</v>
      </c>
    </row>
    <row r="97" customFormat="false" ht="303.7" hidden="false" customHeight="false" outlineLevel="0" collapsed="false">
      <c r="A97" s="2" t="s">
        <v>8236</v>
      </c>
      <c r="B97" s="5" t="n">
        <f aca="false">SUMPRODUCT(--EXACT('Rule-DS map'!$F$2:$F$1613,$A97))</f>
        <v>16</v>
      </c>
      <c r="C97" s="5" t="n">
        <f aca="false">SUMPRODUCT(EXACT('Rule-DS map'!$F$2:$F$1613,$A97)*('Rule-DS map'!$C$2:$C$1613="New ITDR (7.6.0)"))</f>
        <v>0</v>
      </c>
      <c r="D97" s="5" t="n">
        <f aca="false">SUMPRODUCT(EXACT('Rule-DS map'!$F$2:$F$1613,$A97)*('Rule-DS map'!$C$2:$C$1613="Existing, re-tagged ITDR"))</f>
        <v>12</v>
      </c>
      <c r="E97" s="5" t="n">
        <f aca="false">SUMPRODUCT(EXACT('Rule-DS map'!$F$2:$F$1613,$A97)*('Rule-DS map'!$D$2:$D$1613="Identity-core"))</f>
        <v>14</v>
      </c>
      <c r="F97" s="5" t="n">
        <f aca="false">SUMPRODUCT(EXACT('Rule-DS map'!$F$2:$F$1613,$A97)*('Rule-DS map'!$E$2:$E$1613="Enabled"))</f>
        <v>12</v>
      </c>
      <c r="G97" s="5" t="n">
        <v>27</v>
      </c>
      <c r="H97" s="2" t="s">
        <v>8298</v>
      </c>
    </row>
    <row r="98" customFormat="false" ht="23.85" hidden="false" customHeight="false" outlineLevel="0" collapsed="false">
      <c r="A98" s="2" t="s">
        <v>1073</v>
      </c>
      <c r="B98" s="5" t="n">
        <f aca="false">SUMPRODUCT(--EXACT('Rule-DS map'!$F$2:$F$1613,$A98))</f>
        <v>2</v>
      </c>
      <c r="C98" s="5" t="n">
        <f aca="false">SUMPRODUCT(EXACT('Rule-DS map'!$F$2:$F$1613,$A98)*('Rule-DS map'!$C$2:$C$1613="New ITDR (7.6.0)"))</f>
        <v>0</v>
      </c>
      <c r="D98" s="5" t="n">
        <f aca="false">SUMPRODUCT(EXACT('Rule-DS map'!$F$2:$F$1613,$A98)*('Rule-DS map'!$C$2:$C$1613="Existing, re-tagged ITDR"))</f>
        <v>2</v>
      </c>
      <c r="E98" s="5" t="n">
        <f aca="false">SUMPRODUCT(EXACT('Rule-DS map'!$F$2:$F$1613,$A98)*('Rule-DS map'!$D$2:$D$1613="Identity-core"))</f>
        <v>2</v>
      </c>
      <c r="F98" s="5" t="n">
        <f aca="false">SUMPRODUCT(EXACT('Rule-DS map'!$F$2:$F$1613,$A98)*('Rule-DS map'!$E$2:$E$1613="Enabled"))</f>
        <v>2</v>
      </c>
      <c r="G98" s="5" t="n">
        <v>2</v>
      </c>
      <c r="H98" s="2" t="s">
        <v>8321</v>
      </c>
    </row>
    <row r="99" customFormat="false" ht="426.85" hidden="false" customHeight="false" outlineLevel="0" collapsed="false">
      <c r="A99" s="2" t="s">
        <v>8227</v>
      </c>
      <c r="B99" s="5" t="n">
        <f aca="false">SUMPRODUCT(--EXACT('Rule-DS map'!$F$2:$F$1613,$A99))</f>
        <v>21</v>
      </c>
      <c r="C99" s="5" t="n">
        <f aca="false">SUMPRODUCT(EXACT('Rule-DS map'!$F$2:$F$1613,$A99)*('Rule-DS map'!$C$2:$C$1613="New ITDR (7.6.0)"))</f>
        <v>0</v>
      </c>
      <c r="D99" s="5" t="n">
        <f aca="false">SUMPRODUCT(EXACT('Rule-DS map'!$F$2:$F$1613,$A99)*('Rule-DS map'!$C$2:$C$1613="Existing, re-tagged ITDR"))</f>
        <v>15</v>
      </c>
      <c r="E99" s="5" t="n">
        <f aca="false">SUMPRODUCT(EXACT('Rule-DS map'!$F$2:$F$1613,$A99)*('Rule-DS map'!$D$2:$D$1613="Identity-core"))</f>
        <v>17</v>
      </c>
      <c r="F99" s="5" t="n">
        <f aca="false">SUMPRODUCT(EXACT('Rule-DS map'!$F$2:$F$1613,$A99)*('Rule-DS map'!$E$2:$E$1613="Enabled"))</f>
        <v>16</v>
      </c>
      <c r="G99" s="5" t="n">
        <v>38</v>
      </c>
      <c r="H99" s="2" t="s">
        <v>8320</v>
      </c>
    </row>
    <row r="100" customFormat="false" ht="46.25" hidden="false" customHeight="false" outlineLevel="0" collapsed="false">
      <c r="A100" s="2" t="s">
        <v>2155</v>
      </c>
      <c r="B100" s="5" t="n">
        <f aca="false">SUMPRODUCT(--EXACT('Rule-DS map'!$F$2:$F$1613,$A100))</f>
        <v>2</v>
      </c>
      <c r="C100" s="5" t="n">
        <f aca="false">SUMPRODUCT(EXACT('Rule-DS map'!$F$2:$F$1613,$A100)*('Rule-DS map'!$C$2:$C$1613="New ITDR (7.6.0)"))</f>
        <v>0</v>
      </c>
      <c r="D100" s="5" t="n">
        <f aca="false">SUMPRODUCT(EXACT('Rule-DS map'!$F$2:$F$1613,$A100)*('Rule-DS map'!$C$2:$C$1613="Existing, re-tagged ITDR"))</f>
        <v>0</v>
      </c>
      <c r="E100" s="5" t="n">
        <f aca="false">SUMPRODUCT(EXACT('Rule-DS map'!$F$2:$F$1613,$A100)*('Rule-DS map'!$D$2:$D$1613="Identity-core"))</f>
        <v>2</v>
      </c>
      <c r="F100" s="5" t="n">
        <f aca="false">SUMPRODUCT(EXACT('Rule-DS map'!$F$2:$F$1613,$A100)*('Rule-DS map'!$E$2:$E$1613="Enabled"))</f>
        <v>0</v>
      </c>
      <c r="G100" s="5" t="n">
        <v>4</v>
      </c>
      <c r="H100" s="2" t="s">
        <v>2802</v>
      </c>
    </row>
    <row r="101" customFormat="false" ht="23.85" hidden="false" customHeight="false" outlineLevel="0" collapsed="false">
      <c r="A101" s="2" t="s">
        <v>8266</v>
      </c>
      <c r="B101" s="5" t="n">
        <f aca="false">SUMPRODUCT(--EXACT('Rule-DS map'!$F$2:$F$1613,$A101))</f>
        <v>1</v>
      </c>
      <c r="C101" s="5" t="n">
        <f aca="false">SUMPRODUCT(EXACT('Rule-DS map'!$F$2:$F$1613,$A101)*('Rule-DS map'!$C$2:$C$1613="New ITDR (7.6.0)"))</f>
        <v>0</v>
      </c>
      <c r="D101" s="5" t="n">
        <f aca="false">SUMPRODUCT(EXACT('Rule-DS map'!$F$2:$F$1613,$A101)*('Rule-DS map'!$C$2:$C$1613="Existing, re-tagged ITDR"))</f>
        <v>0</v>
      </c>
      <c r="E101" s="5" t="n">
        <f aca="false">SUMPRODUCT(EXACT('Rule-DS map'!$F$2:$F$1613,$A101)*('Rule-DS map'!$D$2:$D$1613="Identity-core"))</f>
        <v>0</v>
      </c>
      <c r="F101" s="5" t="n">
        <f aca="false">SUMPRODUCT(EXACT('Rule-DS map'!$F$2:$F$1613,$A101)*('Rule-DS map'!$E$2:$E$1613="Enabled"))</f>
        <v>0</v>
      </c>
      <c r="G101" s="5" t="n">
        <v>2</v>
      </c>
      <c r="H101" s="2" t="s">
        <v>6109</v>
      </c>
    </row>
    <row r="102" customFormat="false" ht="15" hidden="false" customHeight="false" outlineLevel="0" collapsed="false">
      <c r="A102" s="2" t="s">
        <v>4750</v>
      </c>
      <c r="B102" s="5" t="n">
        <f aca="false">SUMPRODUCT(--EXACT('Rule-DS map'!$F$2:$F$1613,$A102))</f>
        <v>1</v>
      </c>
      <c r="C102" s="5" t="n">
        <f aca="false">SUMPRODUCT(EXACT('Rule-DS map'!$F$2:$F$1613,$A102)*('Rule-DS map'!$C$2:$C$1613="New ITDR (7.6.0)"))</f>
        <v>0</v>
      </c>
      <c r="D102" s="5" t="n">
        <f aca="false">SUMPRODUCT(EXACT('Rule-DS map'!$F$2:$F$1613,$A102)*('Rule-DS map'!$C$2:$C$1613="Existing, re-tagged ITDR"))</f>
        <v>0</v>
      </c>
      <c r="E102" s="5" t="n">
        <f aca="false">SUMPRODUCT(EXACT('Rule-DS map'!$F$2:$F$1613,$A102)*('Rule-DS map'!$D$2:$D$1613="Identity-core"))</f>
        <v>1</v>
      </c>
      <c r="F102" s="5" t="n">
        <f aca="false">SUMPRODUCT(EXACT('Rule-DS map'!$F$2:$F$1613,$A102)*('Rule-DS map'!$E$2:$E$1613="Enabled"))</f>
        <v>1</v>
      </c>
      <c r="G102" s="5" t="n">
        <v>1</v>
      </c>
      <c r="H102" s="2" t="s">
        <v>4751</v>
      </c>
    </row>
    <row r="103" customFormat="false" ht="23.85" hidden="false" customHeight="false" outlineLevel="0" collapsed="false">
      <c r="A103" s="3" t="s">
        <v>8322</v>
      </c>
      <c r="B103" s="7" t="n">
        <f aca="false">SUM(B2:B102)</f>
        <v>1612</v>
      </c>
      <c r="C103" s="7" t="n">
        <f aca="false">SUM(C2:C102)</f>
        <v>90</v>
      </c>
      <c r="D103" s="7" t="n">
        <f aca="false">SUM(D2:D102)</f>
        <v>542</v>
      </c>
      <c r="E103" s="7" t="n">
        <f aca="false">SUM(E2:E102)</f>
        <v>1099</v>
      </c>
      <c r="F103" s="7" t="n">
        <f aca="false">SUM(F2:F102)</f>
        <v>1387</v>
      </c>
      <c r="G103" s="7"/>
      <c r="H103" s="3" t="s">
        <v>8323</v>
      </c>
    </row>
    <row r="104" customFormat="false" ht="23.85" hidden="false" customHeight="false" outlineLevel="0" collapsed="false">
      <c r="A104" s="3" t="s">
        <v>8324</v>
      </c>
      <c r="B104" s="7" t="n">
        <f aca="false">COUNTA('Rule-DS map'!$A$2:$A$1613)</f>
        <v>1612</v>
      </c>
      <c r="C104" s="7"/>
      <c r="D104" s="7"/>
      <c r="E104" s="7"/>
      <c r="F104" s="7"/>
      <c r="G104" s="7"/>
      <c r="H104" s="3" t="s">
        <v>8325</v>
      </c>
    </row>
    <row r="105" customFormat="false" ht="15" hidden="false" customHeight="false" outlineLevel="0" collapsed="false">
      <c r="A105" s="3" t="s">
        <v>8326</v>
      </c>
      <c r="B105" s="7" t="str">
        <f aca="false">IF(B103=B104,"OK","MISMATCH")</f>
        <v>OK</v>
      </c>
      <c r="C105" s="7"/>
      <c r="D105" s="7"/>
      <c r="E105" s="7"/>
      <c r="F105" s="7"/>
      <c r="G105" s="7"/>
      <c r="H105" s="3"/>
    </row>
  </sheetData>
  <autoFilter ref="A1:H10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0"/>
    <col collapsed="false" customWidth="true" hidden="false" outlineLevel="0" max="3" min="3" style="0" width="9"/>
    <col collapsed="false" customWidth="true" hidden="false" outlineLevel="0" max="4" min="4" style="0" width="34"/>
    <col collapsed="false" customWidth="true" hidden="false" outlineLevel="0" max="5" min="5" style="0" width="10"/>
    <col collapsed="false" customWidth="true" hidden="false" outlineLevel="0" max="10" min="6" style="0" width="9"/>
    <col collapsed="false" customWidth="true" hidden="false" outlineLevel="0" max="11" min="11" style="0" width="70"/>
  </cols>
  <sheetData>
    <row r="1" customFormat="false" ht="45" hidden="false" customHeight="true" outlineLevel="0" collapsed="false">
      <c r="A1" s="4" t="s">
        <v>7614</v>
      </c>
      <c r="B1" s="4" t="s">
        <v>7615</v>
      </c>
      <c r="C1" s="4" t="s">
        <v>7616</v>
      </c>
      <c r="D1" s="4" t="s">
        <v>8327</v>
      </c>
      <c r="E1" s="4" t="s">
        <v>8328</v>
      </c>
      <c r="F1" s="4" t="s">
        <v>8268</v>
      </c>
      <c r="G1" s="4" t="s">
        <v>59</v>
      </c>
      <c r="H1" s="4" t="s">
        <v>8269</v>
      </c>
      <c r="I1" s="4" t="s">
        <v>8329</v>
      </c>
      <c r="J1" s="4" t="s">
        <v>8270</v>
      </c>
      <c r="K1" s="4" t="s">
        <v>8330</v>
      </c>
    </row>
    <row r="2" customFormat="false" ht="35.05" hidden="false" customHeight="false" outlineLevel="0" collapsed="false">
      <c r="A2" s="5" t="s">
        <v>7618</v>
      </c>
      <c r="B2" s="2" t="s">
        <v>7619</v>
      </c>
      <c r="C2" s="5" t="s">
        <v>76</v>
      </c>
      <c r="D2" s="5" t="s">
        <v>8331</v>
      </c>
      <c r="E2" s="5" t="s">
        <v>8332</v>
      </c>
      <c r="F2" s="5" t="n">
        <f aca="false">SUMPRODUCT(EXACT('Rule-Event map'!$F$2:$F$1477,$A2)*EXACT('Rule-Event map'!$G$2:$G$1477,$B2))</f>
        <v>10</v>
      </c>
      <c r="G2" s="5" t="n">
        <f aca="false">SUMPRODUCT(EXACT('Rule-Event map'!$F$2:$F$1477,$A2)*EXACT('Rule-Event map'!$G$2:$G$1477,$B2)*('Rule-Event map'!$C$2:$C$1477="New ITDR (7.6.0)"))</f>
        <v>10</v>
      </c>
      <c r="H2" s="5" t="n">
        <f aca="false">SUMPRODUCT(EXACT('Rule-Event map'!$F$2:$F$1477,$A2)*EXACT('Rule-Event map'!$G$2:$G$1477,$B2)*('Rule-Event map'!$C$2:$C$1477="Existing, re-tagged ITDR"))</f>
        <v>0</v>
      </c>
      <c r="I2" s="5" t="n">
        <f aca="false">F2-G2-H2</f>
        <v>0</v>
      </c>
      <c r="J2" s="5" t="n">
        <f aca="false">SUMPRODUCT(EXACT('Rule-Event map'!$F$2:$F$1477,$A2)*EXACT('Rule-Event map'!$G$2:$G$1477,$B2)*('Rule-Event map'!$E$2:$E$1477="Enabled"))</f>
        <v>10</v>
      </c>
      <c r="K2" s="2" t="s">
        <v>8333</v>
      </c>
    </row>
    <row r="3" customFormat="false" ht="15" hidden="false" customHeight="false" outlineLevel="0" collapsed="false">
      <c r="A3" s="5" t="s">
        <v>7618</v>
      </c>
      <c r="B3" s="2" t="s">
        <v>7620</v>
      </c>
      <c r="C3" s="5" t="s">
        <v>105</v>
      </c>
      <c r="D3" s="5" t="s">
        <v>8334</v>
      </c>
      <c r="E3" s="5" t="s">
        <v>8332</v>
      </c>
      <c r="F3" s="5" t="n">
        <f aca="false">SUMPRODUCT(EXACT('Rule-Event map'!$F$2:$F$1477,$A3)*EXACT('Rule-Event map'!$G$2:$G$1477,$B3))</f>
        <v>1</v>
      </c>
      <c r="G3" s="5" t="n">
        <f aca="false">SUMPRODUCT(EXACT('Rule-Event map'!$F$2:$F$1477,$A3)*EXACT('Rule-Event map'!$G$2:$G$1477,$B3)*('Rule-Event map'!$C$2:$C$1477="New ITDR (7.6.0)"))</f>
        <v>1</v>
      </c>
      <c r="H3" s="5" t="n">
        <f aca="false">SUMPRODUCT(EXACT('Rule-Event map'!$F$2:$F$1477,$A3)*EXACT('Rule-Event map'!$G$2:$G$1477,$B3)*('Rule-Event map'!$C$2:$C$1477="Existing, re-tagged ITDR"))</f>
        <v>0</v>
      </c>
      <c r="I3" s="5" t="n">
        <f aca="false">F3-G3-H3</f>
        <v>0</v>
      </c>
      <c r="J3" s="5" t="n">
        <f aca="false">SUMPRODUCT(EXACT('Rule-Event map'!$F$2:$F$1477,$A3)*EXACT('Rule-Event map'!$G$2:$G$1477,$B3)*('Rule-Event map'!$E$2:$E$1477="Enabled"))</f>
        <v>1</v>
      </c>
      <c r="K3" s="2" t="s">
        <v>98</v>
      </c>
    </row>
    <row r="4" customFormat="false" ht="15" hidden="false" customHeight="false" outlineLevel="0" collapsed="false">
      <c r="A4" s="5" t="s">
        <v>7786</v>
      </c>
      <c r="B4" s="2" t="s">
        <v>7787</v>
      </c>
      <c r="C4" s="5" t="s">
        <v>2632</v>
      </c>
      <c r="D4" s="5" t="s">
        <v>8335</v>
      </c>
      <c r="E4" s="5" t="s">
        <v>8332</v>
      </c>
      <c r="F4" s="5" t="n">
        <f aca="false">SUMPRODUCT(EXACT('Rule-Event map'!$F$2:$F$1477,$A4)*EXACT('Rule-Event map'!$G$2:$G$1477,$B4))</f>
        <v>1</v>
      </c>
      <c r="G4" s="5" t="n">
        <f aca="false">SUMPRODUCT(EXACT('Rule-Event map'!$F$2:$F$1477,$A4)*EXACT('Rule-Event map'!$G$2:$G$1477,$B4)*('Rule-Event map'!$C$2:$C$1477="New ITDR (7.6.0)"))</f>
        <v>0</v>
      </c>
      <c r="H4" s="5" t="n">
        <f aca="false">SUMPRODUCT(EXACT('Rule-Event map'!$F$2:$F$1477,$A4)*EXACT('Rule-Event map'!$G$2:$G$1477,$B4)*('Rule-Event map'!$C$2:$C$1477="Existing, re-tagged ITDR"))</f>
        <v>0</v>
      </c>
      <c r="I4" s="5" t="n">
        <f aca="false">F4-G4-H4</f>
        <v>1</v>
      </c>
      <c r="J4" s="5" t="n">
        <f aca="false">SUMPRODUCT(EXACT('Rule-Event map'!$F$2:$F$1477,$A4)*EXACT('Rule-Event map'!$G$2:$G$1477,$B4)*('Rule-Event map'!$E$2:$E$1477="Enabled"))</f>
        <v>1</v>
      </c>
      <c r="K4" s="2" t="s">
        <v>2624</v>
      </c>
    </row>
    <row r="5" customFormat="false" ht="15" hidden="false" customHeight="false" outlineLevel="0" collapsed="false">
      <c r="A5" s="5" t="s">
        <v>7669</v>
      </c>
      <c r="B5" s="2" t="s">
        <v>4761</v>
      </c>
      <c r="C5" s="5"/>
      <c r="D5" s="5"/>
      <c r="E5" s="5" t="s">
        <v>8336</v>
      </c>
      <c r="F5" s="5" t="n">
        <f aca="false">SUMPRODUCT(EXACT('Rule-Event map'!$F$2:$F$1477,$A5)*EXACT('Rule-Event map'!$G$2:$G$1477,$B5))</f>
        <v>1</v>
      </c>
      <c r="G5" s="5" t="n">
        <f aca="false">SUMPRODUCT(EXACT('Rule-Event map'!$F$2:$F$1477,$A5)*EXACT('Rule-Event map'!$G$2:$G$1477,$B5)*('Rule-Event map'!$C$2:$C$1477="New ITDR (7.6.0)"))</f>
        <v>0</v>
      </c>
      <c r="H5" s="5" t="n">
        <f aca="false">SUMPRODUCT(EXACT('Rule-Event map'!$F$2:$F$1477,$A5)*EXACT('Rule-Event map'!$G$2:$G$1477,$B5)*('Rule-Event map'!$C$2:$C$1477="Existing, re-tagged ITDR"))</f>
        <v>0</v>
      </c>
      <c r="I5" s="5" t="n">
        <f aca="false">F5-G5-H5</f>
        <v>1</v>
      </c>
      <c r="J5" s="5" t="n">
        <f aca="false">SUMPRODUCT(EXACT('Rule-Event map'!$F$2:$F$1477,$A5)*EXACT('Rule-Event map'!$G$2:$G$1477,$B5)*('Rule-Event map'!$E$2:$E$1477="Enabled"))</f>
        <v>1</v>
      </c>
      <c r="K5" s="2" t="s">
        <v>4759</v>
      </c>
    </row>
    <row r="6" customFormat="false" ht="15" hidden="false" customHeight="false" outlineLevel="0" collapsed="false">
      <c r="A6" s="5" t="s">
        <v>7669</v>
      </c>
      <c r="B6" s="2" t="s">
        <v>3083</v>
      </c>
      <c r="C6" s="5"/>
      <c r="D6" s="5"/>
      <c r="E6" s="5" t="s">
        <v>8336</v>
      </c>
      <c r="F6" s="5" t="n">
        <f aca="false">SUMPRODUCT(EXACT('Rule-Event map'!$F$2:$F$1477,$A6)*EXACT('Rule-Event map'!$G$2:$G$1477,$B6))</f>
        <v>1</v>
      </c>
      <c r="G6" s="5" t="n">
        <f aca="false">SUMPRODUCT(EXACT('Rule-Event map'!$F$2:$F$1477,$A6)*EXACT('Rule-Event map'!$G$2:$G$1477,$B6)*('Rule-Event map'!$C$2:$C$1477="New ITDR (7.6.0)"))</f>
        <v>0</v>
      </c>
      <c r="H6" s="5" t="n">
        <f aca="false">SUMPRODUCT(EXACT('Rule-Event map'!$F$2:$F$1477,$A6)*EXACT('Rule-Event map'!$G$2:$G$1477,$B6)*('Rule-Event map'!$C$2:$C$1477="Existing, re-tagged ITDR"))</f>
        <v>0</v>
      </c>
      <c r="I6" s="5" t="n">
        <f aca="false">F6-G6-H6</f>
        <v>1</v>
      </c>
      <c r="J6" s="5" t="n">
        <f aca="false">SUMPRODUCT(EXACT('Rule-Event map'!$F$2:$F$1477,$A6)*EXACT('Rule-Event map'!$G$2:$G$1477,$B6)*('Rule-Event map'!$E$2:$E$1477="Enabled"))</f>
        <v>0</v>
      </c>
      <c r="K6" s="2" t="s">
        <v>3082</v>
      </c>
    </row>
    <row r="7" customFormat="false" ht="15" hidden="false" customHeight="false" outlineLevel="0" collapsed="false">
      <c r="A7" s="5" t="s">
        <v>7669</v>
      </c>
      <c r="B7" s="2" t="s">
        <v>6959</v>
      </c>
      <c r="C7" s="5"/>
      <c r="D7" s="5"/>
      <c r="E7" s="5" t="s">
        <v>8336</v>
      </c>
      <c r="F7" s="5" t="n">
        <f aca="false">SUMPRODUCT(EXACT('Rule-Event map'!$F$2:$F$1477,$A7)*EXACT('Rule-Event map'!$G$2:$G$1477,$B7))</f>
        <v>2</v>
      </c>
      <c r="G7" s="5" t="n">
        <f aca="false">SUMPRODUCT(EXACT('Rule-Event map'!$F$2:$F$1477,$A7)*EXACT('Rule-Event map'!$G$2:$G$1477,$B7)*('Rule-Event map'!$C$2:$C$1477="New ITDR (7.6.0)"))</f>
        <v>0</v>
      </c>
      <c r="H7" s="5" t="n">
        <f aca="false">SUMPRODUCT(EXACT('Rule-Event map'!$F$2:$F$1477,$A7)*EXACT('Rule-Event map'!$G$2:$G$1477,$B7)*('Rule-Event map'!$C$2:$C$1477="Existing, re-tagged ITDR"))</f>
        <v>0</v>
      </c>
      <c r="I7" s="5" t="n">
        <f aca="false">F7-G7-H7</f>
        <v>2</v>
      </c>
      <c r="J7" s="5" t="n">
        <f aca="false">SUMPRODUCT(EXACT('Rule-Event map'!$F$2:$F$1477,$A7)*EXACT('Rule-Event map'!$G$2:$G$1477,$B7)*('Rule-Event map'!$E$2:$E$1477="Enabled"))</f>
        <v>1</v>
      </c>
      <c r="K7" s="2" t="s">
        <v>8337</v>
      </c>
    </row>
    <row r="8" customFormat="false" ht="15" hidden="false" customHeight="false" outlineLevel="0" collapsed="false">
      <c r="A8" s="5" t="s">
        <v>7669</v>
      </c>
      <c r="B8" s="2" t="s">
        <v>6965</v>
      </c>
      <c r="C8" s="5"/>
      <c r="D8" s="5"/>
      <c r="E8" s="5" t="s">
        <v>8336</v>
      </c>
      <c r="F8" s="5" t="n">
        <f aca="false">SUMPRODUCT(EXACT('Rule-Event map'!$F$2:$F$1477,$A8)*EXACT('Rule-Event map'!$G$2:$G$1477,$B8))</f>
        <v>2</v>
      </c>
      <c r="G8" s="5" t="n">
        <f aca="false">SUMPRODUCT(EXACT('Rule-Event map'!$F$2:$F$1477,$A8)*EXACT('Rule-Event map'!$G$2:$G$1477,$B8)*('Rule-Event map'!$C$2:$C$1477="New ITDR (7.6.0)"))</f>
        <v>0</v>
      </c>
      <c r="H8" s="5" t="n">
        <f aca="false">SUMPRODUCT(EXACT('Rule-Event map'!$F$2:$F$1477,$A8)*EXACT('Rule-Event map'!$G$2:$G$1477,$B8)*('Rule-Event map'!$C$2:$C$1477="Existing, re-tagged ITDR"))</f>
        <v>0</v>
      </c>
      <c r="I8" s="5" t="n">
        <f aca="false">F8-G8-H8</f>
        <v>2</v>
      </c>
      <c r="J8" s="5" t="n">
        <f aca="false">SUMPRODUCT(EXACT('Rule-Event map'!$F$2:$F$1477,$A8)*EXACT('Rule-Event map'!$G$2:$G$1477,$B8)*('Rule-Event map'!$E$2:$E$1477="Enabled"))</f>
        <v>1</v>
      </c>
      <c r="K8" s="2" t="s">
        <v>8337</v>
      </c>
    </row>
    <row r="9" customFormat="false" ht="15" hidden="false" customHeight="false" outlineLevel="0" collapsed="false">
      <c r="A9" s="5" t="s">
        <v>7669</v>
      </c>
      <c r="B9" s="2" t="s">
        <v>828</v>
      </c>
      <c r="C9" s="5"/>
      <c r="D9" s="5"/>
      <c r="E9" s="5" t="s">
        <v>8336</v>
      </c>
      <c r="F9" s="5" t="n">
        <f aca="false">SUMPRODUCT(EXACT('Rule-Event map'!$F$2:$F$1477,$A9)*EXACT('Rule-Event map'!$G$2:$G$1477,$B9))</f>
        <v>2</v>
      </c>
      <c r="G9" s="5" t="n">
        <f aca="false">SUMPRODUCT(EXACT('Rule-Event map'!$F$2:$F$1477,$A9)*EXACT('Rule-Event map'!$G$2:$G$1477,$B9)*('Rule-Event map'!$C$2:$C$1477="New ITDR (7.6.0)"))</f>
        <v>0</v>
      </c>
      <c r="H9" s="5" t="n">
        <f aca="false">SUMPRODUCT(EXACT('Rule-Event map'!$F$2:$F$1477,$A9)*EXACT('Rule-Event map'!$G$2:$G$1477,$B9)*('Rule-Event map'!$C$2:$C$1477="Existing, re-tagged ITDR"))</f>
        <v>2</v>
      </c>
      <c r="I9" s="5" t="n">
        <f aca="false">F9-G9-H9</f>
        <v>0</v>
      </c>
      <c r="J9" s="5" t="n">
        <f aca="false">SUMPRODUCT(EXACT('Rule-Event map'!$F$2:$F$1477,$A9)*EXACT('Rule-Event map'!$G$2:$G$1477,$B9)*('Rule-Event map'!$E$2:$E$1477="Enabled"))</f>
        <v>2</v>
      </c>
      <c r="K9" s="2" t="s">
        <v>8338</v>
      </c>
    </row>
    <row r="10" customFormat="false" ht="23.85" hidden="false" customHeight="false" outlineLevel="0" collapsed="false">
      <c r="A10" s="5" t="s">
        <v>7669</v>
      </c>
      <c r="B10" s="2" t="s">
        <v>7684</v>
      </c>
      <c r="C10" s="5"/>
      <c r="D10" s="5"/>
      <c r="E10" s="5" t="s">
        <v>8336</v>
      </c>
      <c r="F10" s="5" t="n">
        <f aca="false">SUMPRODUCT(EXACT('Rule-Event map'!$F$2:$F$1477,$A10)*EXACT('Rule-Event map'!$G$2:$G$1477,$B10))</f>
        <v>2</v>
      </c>
      <c r="G10" s="5" t="n">
        <f aca="false">SUMPRODUCT(EXACT('Rule-Event map'!$F$2:$F$1477,$A10)*EXACT('Rule-Event map'!$G$2:$G$1477,$B10)*('Rule-Event map'!$C$2:$C$1477="New ITDR (7.6.0)"))</f>
        <v>0</v>
      </c>
      <c r="H10" s="5" t="n">
        <f aca="false">SUMPRODUCT(EXACT('Rule-Event map'!$F$2:$F$1477,$A10)*EXACT('Rule-Event map'!$G$2:$G$1477,$B10)*('Rule-Event map'!$C$2:$C$1477="Existing, re-tagged ITDR"))</f>
        <v>2</v>
      </c>
      <c r="I10" s="5" t="n">
        <f aca="false">F10-G10-H10</f>
        <v>0</v>
      </c>
      <c r="J10" s="5" t="n">
        <f aca="false">SUMPRODUCT(EXACT('Rule-Event map'!$F$2:$F$1477,$A10)*EXACT('Rule-Event map'!$G$2:$G$1477,$B10)*('Rule-Event map'!$E$2:$E$1477="Enabled"))</f>
        <v>2</v>
      </c>
      <c r="K10" s="2" t="s">
        <v>8339</v>
      </c>
    </row>
    <row r="11" customFormat="false" ht="35.05" hidden="false" customHeight="false" outlineLevel="0" collapsed="false">
      <c r="A11" s="5" t="s">
        <v>7669</v>
      </c>
      <c r="B11" s="2" t="s">
        <v>7884</v>
      </c>
      <c r="C11" s="5"/>
      <c r="D11" s="5"/>
      <c r="E11" s="5" t="s">
        <v>8336</v>
      </c>
      <c r="F11" s="5" t="n">
        <f aca="false">SUMPRODUCT(EXACT('Rule-Event map'!$F$2:$F$1477,$A11)*EXACT('Rule-Event map'!$G$2:$G$1477,$B11))</f>
        <v>7</v>
      </c>
      <c r="G11" s="5" t="n">
        <f aca="false">SUMPRODUCT(EXACT('Rule-Event map'!$F$2:$F$1477,$A11)*EXACT('Rule-Event map'!$G$2:$G$1477,$B11)*('Rule-Event map'!$C$2:$C$1477="New ITDR (7.6.0)"))</f>
        <v>0</v>
      </c>
      <c r="H11" s="5" t="n">
        <f aca="false">SUMPRODUCT(EXACT('Rule-Event map'!$F$2:$F$1477,$A11)*EXACT('Rule-Event map'!$G$2:$G$1477,$B11)*('Rule-Event map'!$C$2:$C$1477="Existing, re-tagged ITDR"))</f>
        <v>0</v>
      </c>
      <c r="I11" s="5" t="n">
        <f aca="false">F11-G11-H11</f>
        <v>7</v>
      </c>
      <c r="J11" s="5" t="n">
        <f aca="false">SUMPRODUCT(EXACT('Rule-Event map'!$F$2:$F$1477,$A11)*EXACT('Rule-Event map'!$G$2:$G$1477,$B11)*('Rule-Event map'!$E$2:$E$1477="Enabled"))</f>
        <v>6</v>
      </c>
      <c r="K11" s="2" t="s">
        <v>8340</v>
      </c>
    </row>
    <row r="12" customFormat="false" ht="15" hidden="false" customHeight="false" outlineLevel="0" collapsed="false">
      <c r="A12" s="5" t="s">
        <v>7669</v>
      </c>
      <c r="B12" s="2" t="s">
        <v>806</v>
      </c>
      <c r="C12" s="5"/>
      <c r="D12" s="5"/>
      <c r="E12" s="5" t="s">
        <v>8336</v>
      </c>
      <c r="F12" s="5" t="n">
        <f aca="false">SUMPRODUCT(EXACT('Rule-Event map'!$F$2:$F$1477,$A12)*EXACT('Rule-Event map'!$G$2:$G$1477,$B12))</f>
        <v>2</v>
      </c>
      <c r="G12" s="5" t="n">
        <f aca="false">SUMPRODUCT(EXACT('Rule-Event map'!$F$2:$F$1477,$A12)*EXACT('Rule-Event map'!$G$2:$G$1477,$B12)*('Rule-Event map'!$C$2:$C$1477="New ITDR (7.6.0)"))</f>
        <v>0</v>
      </c>
      <c r="H12" s="5" t="n">
        <f aca="false">SUMPRODUCT(EXACT('Rule-Event map'!$F$2:$F$1477,$A12)*EXACT('Rule-Event map'!$G$2:$G$1477,$B12)*('Rule-Event map'!$C$2:$C$1477="Existing, re-tagged ITDR"))</f>
        <v>2</v>
      </c>
      <c r="I12" s="5" t="n">
        <f aca="false">F12-G12-H12</f>
        <v>0</v>
      </c>
      <c r="J12" s="5" t="n">
        <f aca="false">SUMPRODUCT(EXACT('Rule-Event map'!$F$2:$F$1477,$A12)*EXACT('Rule-Event map'!$G$2:$G$1477,$B12)*('Rule-Event map'!$E$2:$E$1477="Enabled"))</f>
        <v>2</v>
      </c>
      <c r="K12" s="2" t="s">
        <v>8341</v>
      </c>
    </row>
    <row r="13" customFormat="false" ht="15" hidden="false" customHeight="false" outlineLevel="0" collapsed="false">
      <c r="A13" s="5" t="s">
        <v>7669</v>
      </c>
      <c r="B13" s="2" t="s">
        <v>7682</v>
      </c>
      <c r="C13" s="5"/>
      <c r="D13" s="5"/>
      <c r="E13" s="5" t="s">
        <v>8336</v>
      </c>
      <c r="F13" s="5" t="n">
        <f aca="false">SUMPRODUCT(EXACT('Rule-Event map'!$F$2:$F$1477,$A13)*EXACT('Rule-Event map'!$G$2:$G$1477,$B13))</f>
        <v>1</v>
      </c>
      <c r="G13" s="5" t="n">
        <f aca="false">SUMPRODUCT(EXACT('Rule-Event map'!$F$2:$F$1477,$A13)*EXACT('Rule-Event map'!$G$2:$G$1477,$B13)*('Rule-Event map'!$C$2:$C$1477="New ITDR (7.6.0)"))</f>
        <v>0</v>
      </c>
      <c r="H13" s="5" t="n">
        <f aca="false">SUMPRODUCT(EXACT('Rule-Event map'!$F$2:$F$1477,$A13)*EXACT('Rule-Event map'!$G$2:$G$1477,$B13)*('Rule-Event map'!$C$2:$C$1477="Existing, re-tagged ITDR"))</f>
        <v>1</v>
      </c>
      <c r="I13" s="5" t="n">
        <f aca="false">F13-G13-H13</f>
        <v>0</v>
      </c>
      <c r="J13" s="5" t="n">
        <f aca="false">SUMPRODUCT(EXACT('Rule-Event map'!$F$2:$F$1477,$A13)*EXACT('Rule-Event map'!$G$2:$G$1477,$B13)*('Rule-Event map'!$E$2:$E$1477="Enabled"))</f>
        <v>1</v>
      </c>
      <c r="K13" s="2" t="s">
        <v>601</v>
      </c>
    </row>
    <row r="14" customFormat="false" ht="15" hidden="false" customHeight="false" outlineLevel="0" collapsed="false">
      <c r="A14" s="5" t="s">
        <v>7669</v>
      </c>
      <c r="B14" s="2" t="s">
        <v>7767</v>
      </c>
      <c r="C14" s="5"/>
      <c r="D14" s="5"/>
      <c r="E14" s="5" t="s">
        <v>8336</v>
      </c>
      <c r="F14" s="5" t="n">
        <f aca="false">SUMPRODUCT(EXACT('Rule-Event map'!$F$2:$F$1477,$A14)*EXACT('Rule-Event map'!$G$2:$G$1477,$B14))</f>
        <v>1</v>
      </c>
      <c r="G14" s="5" t="n">
        <f aca="false">SUMPRODUCT(EXACT('Rule-Event map'!$F$2:$F$1477,$A14)*EXACT('Rule-Event map'!$G$2:$G$1477,$B14)*('Rule-Event map'!$C$2:$C$1477="New ITDR (7.6.0)"))</f>
        <v>0</v>
      </c>
      <c r="H14" s="5" t="n">
        <f aca="false">SUMPRODUCT(EXACT('Rule-Event map'!$F$2:$F$1477,$A14)*EXACT('Rule-Event map'!$G$2:$G$1477,$B14)*('Rule-Event map'!$C$2:$C$1477="Existing, re-tagged ITDR"))</f>
        <v>0</v>
      </c>
      <c r="I14" s="5" t="n">
        <f aca="false">F14-G14-H14</f>
        <v>1</v>
      </c>
      <c r="J14" s="5" t="n">
        <f aca="false">SUMPRODUCT(EXACT('Rule-Event map'!$F$2:$F$1477,$A14)*EXACT('Rule-Event map'!$G$2:$G$1477,$B14)*('Rule-Event map'!$E$2:$E$1477="Enabled"))</f>
        <v>1</v>
      </c>
      <c r="K14" s="2" t="s">
        <v>2275</v>
      </c>
    </row>
    <row r="15" customFormat="false" ht="15" hidden="false" customHeight="false" outlineLevel="0" collapsed="false">
      <c r="A15" s="5" t="s">
        <v>7669</v>
      </c>
      <c r="B15" s="2" t="s">
        <v>8209</v>
      </c>
      <c r="C15" s="5"/>
      <c r="D15" s="5"/>
      <c r="E15" s="5" t="s">
        <v>8336</v>
      </c>
      <c r="F15" s="5" t="n">
        <f aca="false">SUMPRODUCT(EXACT('Rule-Event map'!$F$2:$F$1477,$A15)*EXACT('Rule-Event map'!$G$2:$G$1477,$B15))</f>
        <v>1</v>
      </c>
      <c r="G15" s="5" t="n">
        <f aca="false">SUMPRODUCT(EXACT('Rule-Event map'!$F$2:$F$1477,$A15)*EXACT('Rule-Event map'!$G$2:$G$1477,$B15)*('Rule-Event map'!$C$2:$C$1477="New ITDR (7.6.0)"))</f>
        <v>0</v>
      </c>
      <c r="H15" s="5" t="n">
        <f aca="false">SUMPRODUCT(EXACT('Rule-Event map'!$F$2:$F$1477,$A15)*EXACT('Rule-Event map'!$G$2:$G$1477,$B15)*('Rule-Event map'!$C$2:$C$1477="Existing, re-tagged ITDR"))</f>
        <v>0</v>
      </c>
      <c r="I15" s="5" t="n">
        <f aca="false">F15-G15-H15</f>
        <v>1</v>
      </c>
      <c r="J15" s="5" t="n">
        <f aca="false">SUMPRODUCT(EXACT('Rule-Event map'!$F$2:$F$1477,$A15)*EXACT('Rule-Event map'!$G$2:$G$1477,$B15)*('Rule-Event map'!$E$2:$E$1477="Enabled"))</f>
        <v>1</v>
      </c>
      <c r="K15" s="2" t="s">
        <v>6118</v>
      </c>
    </row>
    <row r="16" customFormat="false" ht="23.85" hidden="false" customHeight="false" outlineLevel="0" collapsed="false">
      <c r="A16" s="5" t="s">
        <v>7669</v>
      </c>
      <c r="B16" s="2" t="s">
        <v>493</v>
      </c>
      <c r="C16" s="5"/>
      <c r="D16" s="5"/>
      <c r="E16" s="5" t="s">
        <v>8336</v>
      </c>
      <c r="F16" s="5" t="n">
        <f aca="false">SUMPRODUCT(EXACT('Rule-Event map'!$F$2:$F$1477,$A16)*EXACT('Rule-Event map'!$G$2:$G$1477,$B16))</f>
        <v>1</v>
      </c>
      <c r="G16" s="5" t="n">
        <f aca="false">SUMPRODUCT(EXACT('Rule-Event map'!$F$2:$F$1477,$A16)*EXACT('Rule-Event map'!$G$2:$G$1477,$B16)*('Rule-Event map'!$C$2:$C$1477="New ITDR (7.6.0)"))</f>
        <v>0</v>
      </c>
      <c r="H16" s="5" t="n">
        <f aca="false">SUMPRODUCT(EXACT('Rule-Event map'!$F$2:$F$1477,$A16)*EXACT('Rule-Event map'!$G$2:$G$1477,$B16)*('Rule-Event map'!$C$2:$C$1477="Existing, re-tagged ITDR"))</f>
        <v>1</v>
      </c>
      <c r="I16" s="5" t="n">
        <f aca="false">F16-G16-H16</f>
        <v>0</v>
      </c>
      <c r="J16" s="5" t="n">
        <f aca="false">SUMPRODUCT(EXACT('Rule-Event map'!$F$2:$F$1477,$A16)*EXACT('Rule-Event map'!$G$2:$G$1477,$B16)*('Rule-Event map'!$E$2:$E$1477="Enabled"))</f>
        <v>0</v>
      </c>
      <c r="K16" s="2" t="s">
        <v>487</v>
      </c>
    </row>
    <row r="17" customFormat="false" ht="35.05" hidden="false" customHeight="false" outlineLevel="0" collapsed="false">
      <c r="A17" s="5" t="s">
        <v>7669</v>
      </c>
      <c r="B17" s="2" t="s">
        <v>818</v>
      </c>
      <c r="C17" s="5"/>
      <c r="D17" s="5"/>
      <c r="E17" s="5" t="s">
        <v>8336</v>
      </c>
      <c r="F17" s="5" t="n">
        <f aca="false">SUMPRODUCT(EXACT('Rule-Event map'!$F$2:$F$1477,$A17)*EXACT('Rule-Event map'!$G$2:$G$1477,$B17))</f>
        <v>5</v>
      </c>
      <c r="G17" s="5" t="n">
        <f aca="false">SUMPRODUCT(EXACT('Rule-Event map'!$F$2:$F$1477,$A17)*EXACT('Rule-Event map'!$G$2:$G$1477,$B17)*('Rule-Event map'!$C$2:$C$1477="New ITDR (7.6.0)"))</f>
        <v>0</v>
      </c>
      <c r="H17" s="5" t="n">
        <f aca="false">SUMPRODUCT(EXACT('Rule-Event map'!$F$2:$F$1477,$A17)*EXACT('Rule-Event map'!$G$2:$G$1477,$B17)*('Rule-Event map'!$C$2:$C$1477="Existing, re-tagged ITDR"))</f>
        <v>3</v>
      </c>
      <c r="I17" s="5" t="n">
        <f aca="false">F17-G17-H17</f>
        <v>2</v>
      </c>
      <c r="J17" s="5" t="n">
        <f aca="false">SUMPRODUCT(EXACT('Rule-Event map'!$F$2:$F$1477,$A17)*EXACT('Rule-Event map'!$G$2:$G$1477,$B17)*('Rule-Event map'!$E$2:$E$1477="Enabled"))</f>
        <v>4</v>
      </c>
      <c r="K17" s="2" t="s">
        <v>8342</v>
      </c>
    </row>
    <row r="18" customFormat="false" ht="46.25" hidden="false" customHeight="false" outlineLevel="0" collapsed="false">
      <c r="A18" s="5" t="s">
        <v>7669</v>
      </c>
      <c r="B18" s="2" t="s">
        <v>7688</v>
      </c>
      <c r="C18" s="5"/>
      <c r="D18" s="5"/>
      <c r="E18" s="5" t="s">
        <v>8336</v>
      </c>
      <c r="F18" s="5" t="n">
        <f aca="false">SUMPRODUCT(EXACT('Rule-Event map'!$F$2:$F$1477,$A18)*EXACT('Rule-Event map'!$G$2:$G$1477,$B18))</f>
        <v>8</v>
      </c>
      <c r="G18" s="5" t="n">
        <f aca="false">SUMPRODUCT(EXACT('Rule-Event map'!$F$2:$F$1477,$A18)*EXACT('Rule-Event map'!$G$2:$G$1477,$B18)*('Rule-Event map'!$C$2:$C$1477="New ITDR (7.6.0)"))</f>
        <v>0</v>
      </c>
      <c r="H18" s="5" t="n">
        <f aca="false">SUMPRODUCT(EXACT('Rule-Event map'!$F$2:$F$1477,$A18)*EXACT('Rule-Event map'!$G$2:$G$1477,$B18)*('Rule-Event map'!$C$2:$C$1477="Existing, re-tagged ITDR"))</f>
        <v>3</v>
      </c>
      <c r="I18" s="5" t="n">
        <f aca="false">F18-G18-H18</f>
        <v>5</v>
      </c>
      <c r="J18" s="5" t="n">
        <f aca="false">SUMPRODUCT(EXACT('Rule-Event map'!$F$2:$F$1477,$A18)*EXACT('Rule-Event map'!$G$2:$G$1477,$B18)*('Rule-Event map'!$E$2:$E$1477="Enabled"))</f>
        <v>7</v>
      </c>
      <c r="K18" s="2" t="s">
        <v>8343</v>
      </c>
    </row>
    <row r="19" customFormat="false" ht="15" hidden="false" customHeight="false" outlineLevel="0" collapsed="false">
      <c r="A19" s="5" t="s">
        <v>7669</v>
      </c>
      <c r="B19" s="2" t="s">
        <v>7891</v>
      </c>
      <c r="C19" s="5"/>
      <c r="D19" s="5"/>
      <c r="E19" s="5" t="s">
        <v>8336</v>
      </c>
      <c r="F19" s="5" t="n">
        <f aca="false">SUMPRODUCT(EXACT('Rule-Event map'!$F$2:$F$1477,$A19)*EXACT('Rule-Event map'!$G$2:$G$1477,$B19))</f>
        <v>1</v>
      </c>
      <c r="G19" s="5" t="n">
        <f aca="false">SUMPRODUCT(EXACT('Rule-Event map'!$F$2:$F$1477,$A19)*EXACT('Rule-Event map'!$G$2:$G$1477,$B19)*('Rule-Event map'!$C$2:$C$1477="New ITDR (7.6.0)"))</f>
        <v>0</v>
      </c>
      <c r="H19" s="5" t="n">
        <f aca="false">SUMPRODUCT(EXACT('Rule-Event map'!$F$2:$F$1477,$A19)*EXACT('Rule-Event map'!$G$2:$G$1477,$B19)*('Rule-Event map'!$C$2:$C$1477="Existing, re-tagged ITDR"))</f>
        <v>0</v>
      </c>
      <c r="I19" s="5" t="n">
        <f aca="false">F19-G19-H19</f>
        <v>1</v>
      </c>
      <c r="J19" s="5" t="n">
        <f aca="false">SUMPRODUCT(EXACT('Rule-Event map'!$F$2:$F$1477,$A19)*EXACT('Rule-Event map'!$G$2:$G$1477,$B19)*('Rule-Event map'!$E$2:$E$1477="Enabled"))</f>
        <v>0</v>
      </c>
      <c r="K19" s="2" t="s">
        <v>4923</v>
      </c>
    </row>
    <row r="20" customFormat="false" ht="15" hidden="false" customHeight="false" outlineLevel="0" collapsed="false">
      <c r="A20" s="5" t="s">
        <v>7669</v>
      </c>
      <c r="B20" s="2" t="s">
        <v>4807</v>
      </c>
      <c r="C20" s="5"/>
      <c r="D20" s="5"/>
      <c r="E20" s="5" t="s">
        <v>8336</v>
      </c>
      <c r="F20" s="5" t="n">
        <f aca="false">SUMPRODUCT(EXACT('Rule-Event map'!$F$2:$F$1477,$A20)*EXACT('Rule-Event map'!$G$2:$G$1477,$B20))</f>
        <v>1</v>
      </c>
      <c r="G20" s="5" t="n">
        <f aca="false">SUMPRODUCT(EXACT('Rule-Event map'!$F$2:$F$1477,$A20)*EXACT('Rule-Event map'!$G$2:$G$1477,$B20)*('Rule-Event map'!$C$2:$C$1477="New ITDR (7.6.0)"))</f>
        <v>0</v>
      </c>
      <c r="H20" s="5" t="n">
        <f aca="false">SUMPRODUCT(EXACT('Rule-Event map'!$F$2:$F$1477,$A20)*EXACT('Rule-Event map'!$G$2:$G$1477,$B20)*('Rule-Event map'!$C$2:$C$1477="Existing, re-tagged ITDR"))</f>
        <v>0</v>
      </c>
      <c r="I20" s="5" t="n">
        <f aca="false">F20-G20-H20</f>
        <v>1</v>
      </c>
      <c r="J20" s="5" t="n">
        <f aca="false">SUMPRODUCT(EXACT('Rule-Event map'!$F$2:$F$1477,$A20)*EXACT('Rule-Event map'!$G$2:$G$1477,$B20)*('Rule-Event map'!$E$2:$E$1477="Enabled"))</f>
        <v>1</v>
      </c>
      <c r="K20" s="2" t="s">
        <v>4804</v>
      </c>
    </row>
    <row r="21" customFormat="false" ht="15" hidden="false" customHeight="false" outlineLevel="0" collapsed="false">
      <c r="A21" s="5" t="s">
        <v>7669</v>
      </c>
      <c r="B21" s="2" t="s">
        <v>2975</v>
      </c>
      <c r="C21" s="5"/>
      <c r="D21" s="5"/>
      <c r="E21" s="5" t="s">
        <v>8336</v>
      </c>
      <c r="F21" s="5" t="n">
        <f aca="false">SUMPRODUCT(EXACT('Rule-Event map'!$F$2:$F$1477,$A21)*EXACT('Rule-Event map'!$G$2:$G$1477,$B21))</f>
        <v>2</v>
      </c>
      <c r="G21" s="5" t="n">
        <f aca="false">SUMPRODUCT(EXACT('Rule-Event map'!$F$2:$F$1477,$A21)*EXACT('Rule-Event map'!$G$2:$G$1477,$B21)*('Rule-Event map'!$C$2:$C$1477="New ITDR (7.6.0)"))</f>
        <v>0</v>
      </c>
      <c r="H21" s="5" t="n">
        <f aca="false">SUMPRODUCT(EXACT('Rule-Event map'!$F$2:$F$1477,$A21)*EXACT('Rule-Event map'!$G$2:$G$1477,$B21)*('Rule-Event map'!$C$2:$C$1477="Existing, re-tagged ITDR"))</f>
        <v>0</v>
      </c>
      <c r="I21" s="5" t="n">
        <f aca="false">F21-G21-H21</f>
        <v>2</v>
      </c>
      <c r="J21" s="5" t="n">
        <f aca="false">SUMPRODUCT(EXACT('Rule-Event map'!$F$2:$F$1477,$A21)*EXACT('Rule-Event map'!$G$2:$G$1477,$B21)*('Rule-Event map'!$E$2:$E$1477="Enabled"))</f>
        <v>0</v>
      </c>
      <c r="K21" s="2" t="s">
        <v>8344</v>
      </c>
    </row>
    <row r="22" customFormat="false" ht="46.25" hidden="false" customHeight="false" outlineLevel="0" collapsed="false">
      <c r="A22" s="5" t="s">
        <v>7669</v>
      </c>
      <c r="B22" s="2" t="s">
        <v>2722</v>
      </c>
      <c r="C22" s="5"/>
      <c r="D22" s="5"/>
      <c r="E22" s="5" t="s">
        <v>8336</v>
      </c>
      <c r="F22" s="5" t="n">
        <f aca="false">SUMPRODUCT(EXACT('Rule-Event map'!$F$2:$F$1477,$A22)*EXACT('Rule-Event map'!$G$2:$G$1477,$B22))</f>
        <v>33</v>
      </c>
      <c r="G22" s="5" t="n">
        <f aca="false">SUMPRODUCT(EXACT('Rule-Event map'!$F$2:$F$1477,$A22)*EXACT('Rule-Event map'!$G$2:$G$1477,$B22)*('Rule-Event map'!$C$2:$C$1477="New ITDR (7.6.0)"))</f>
        <v>0</v>
      </c>
      <c r="H22" s="5" t="n">
        <f aca="false">SUMPRODUCT(EXACT('Rule-Event map'!$F$2:$F$1477,$A22)*EXACT('Rule-Event map'!$G$2:$G$1477,$B22)*('Rule-Event map'!$C$2:$C$1477="Existing, re-tagged ITDR"))</f>
        <v>0</v>
      </c>
      <c r="I22" s="5" t="n">
        <f aca="false">F22-G22-H22</f>
        <v>33</v>
      </c>
      <c r="J22" s="5" t="n">
        <f aca="false">SUMPRODUCT(EXACT('Rule-Event map'!$F$2:$F$1477,$A22)*EXACT('Rule-Event map'!$G$2:$G$1477,$B22)*('Rule-Event map'!$E$2:$E$1477="Enabled"))</f>
        <v>28</v>
      </c>
      <c r="K22" s="2" t="s">
        <v>8345</v>
      </c>
    </row>
    <row r="23" customFormat="false" ht="46.25" hidden="false" customHeight="false" outlineLevel="0" collapsed="false">
      <c r="A23" s="5" t="s">
        <v>7669</v>
      </c>
      <c r="B23" s="2" t="s">
        <v>5060</v>
      </c>
      <c r="C23" s="5"/>
      <c r="D23" s="5"/>
      <c r="E23" s="5" t="s">
        <v>8336</v>
      </c>
      <c r="F23" s="5" t="n">
        <f aca="false">SUMPRODUCT(EXACT('Rule-Event map'!$F$2:$F$1477,$A23)*EXACT('Rule-Event map'!$G$2:$G$1477,$B23))</f>
        <v>45</v>
      </c>
      <c r="G23" s="5" t="n">
        <f aca="false">SUMPRODUCT(EXACT('Rule-Event map'!$F$2:$F$1477,$A23)*EXACT('Rule-Event map'!$G$2:$G$1477,$B23)*('Rule-Event map'!$C$2:$C$1477="New ITDR (7.6.0)"))</f>
        <v>0</v>
      </c>
      <c r="H23" s="5" t="n">
        <f aca="false">SUMPRODUCT(EXACT('Rule-Event map'!$F$2:$F$1477,$A23)*EXACT('Rule-Event map'!$G$2:$G$1477,$B23)*('Rule-Event map'!$C$2:$C$1477="Existing, re-tagged ITDR"))</f>
        <v>0</v>
      </c>
      <c r="I23" s="5" t="n">
        <f aca="false">F23-G23-H23</f>
        <v>45</v>
      </c>
      <c r="J23" s="5" t="n">
        <f aca="false">SUMPRODUCT(EXACT('Rule-Event map'!$F$2:$F$1477,$A23)*EXACT('Rule-Event map'!$G$2:$G$1477,$B23)*('Rule-Event map'!$E$2:$E$1477="Enabled"))</f>
        <v>38</v>
      </c>
      <c r="K23" s="2" t="s">
        <v>8346</v>
      </c>
    </row>
    <row r="24" customFormat="false" ht="15" hidden="false" customHeight="false" outlineLevel="0" collapsed="false">
      <c r="A24" s="5" t="s">
        <v>7669</v>
      </c>
      <c r="B24" s="2" t="s">
        <v>7801</v>
      </c>
      <c r="C24" s="5"/>
      <c r="D24" s="5"/>
      <c r="E24" s="5" t="s">
        <v>8336</v>
      </c>
      <c r="F24" s="5" t="n">
        <f aca="false">SUMPRODUCT(EXACT('Rule-Event map'!$F$2:$F$1477,$A24)*EXACT('Rule-Event map'!$G$2:$G$1477,$B24))</f>
        <v>1</v>
      </c>
      <c r="G24" s="5" t="n">
        <f aca="false">SUMPRODUCT(EXACT('Rule-Event map'!$F$2:$F$1477,$A24)*EXACT('Rule-Event map'!$G$2:$G$1477,$B24)*('Rule-Event map'!$C$2:$C$1477="New ITDR (7.6.0)"))</f>
        <v>0</v>
      </c>
      <c r="H24" s="5" t="n">
        <f aca="false">SUMPRODUCT(EXACT('Rule-Event map'!$F$2:$F$1477,$A24)*EXACT('Rule-Event map'!$G$2:$G$1477,$B24)*('Rule-Event map'!$C$2:$C$1477="Existing, re-tagged ITDR"))</f>
        <v>0</v>
      </c>
      <c r="I24" s="5" t="n">
        <f aca="false">F24-G24-H24</f>
        <v>1</v>
      </c>
      <c r="J24" s="5" t="n">
        <f aca="false">SUMPRODUCT(EXACT('Rule-Event map'!$F$2:$F$1477,$A24)*EXACT('Rule-Event map'!$G$2:$G$1477,$B24)*('Rule-Event map'!$E$2:$E$1477="Enabled"))</f>
        <v>1</v>
      </c>
      <c r="K24" s="2" t="s">
        <v>2983</v>
      </c>
    </row>
    <row r="25" customFormat="false" ht="15" hidden="false" customHeight="false" outlineLevel="0" collapsed="false">
      <c r="A25" s="5" t="s">
        <v>7669</v>
      </c>
      <c r="B25" s="2" t="s">
        <v>7802</v>
      </c>
      <c r="C25" s="5"/>
      <c r="D25" s="5"/>
      <c r="E25" s="5" t="s">
        <v>8336</v>
      </c>
      <c r="F25" s="5" t="n">
        <f aca="false">SUMPRODUCT(EXACT('Rule-Event map'!$F$2:$F$1477,$A25)*EXACT('Rule-Event map'!$G$2:$G$1477,$B25))</f>
        <v>1</v>
      </c>
      <c r="G25" s="5" t="n">
        <f aca="false">SUMPRODUCT(EXACT('Rule-Event map'!$F$2:$F$1477,$A25)*EXACT('Rule-Event map'!$G$2:$G$1477,$B25)*('Rule-Event map'!$C$2:$C$1477="New ITDR (7.6.0)"))</f>
        <v>0</v>
      </c>
      <c r="H25" s="5" t="n">
        <f aca="false">SUMPRODUCT(EXACT('Rule-Event map'!$F$2:$F$1477,$A25)*EXACT('Rule-Event map'!$G$2:$G$1477,$B25)*('Rule-Event map'!$C$2:$C$1477="Existing, re-tagged ITDR"))</f>
        <v>0</v>
      </c>
      <c r="I25" s="5" t="n">
        <f aca="false">F25-G25-H25</f>
        <v>1</v>
      </c>
      <c r="J25" s="5" t="n">
        <f aca="false">SUMPRODUCT(EXACT('Rule-Event map'!$F$2:$F$1477,$A25)*EXACT('Rule-Event map'!$G$2:$G$1477,$B25)*('Rule-Event map'!$E$2:$E$1477="Enabled"))</f>
        <v>1</v>
      </c>
      <c r="K25" s="2" t="s">
        <v>2990</v>
      </c>
    </row>
    <row r="26" customFormat="false" ht="15" hidden="false" customHeight="false" outlineLevel="0" collapsed="false">
      <c r="A26" s="5" t="s">
        <v>7669</v>
      </c>
      <c r="B26" s="2" t="s">
        <v>7803</v>
      </c>
      <c r="C26" s="5"/>
      <c r="D26" s="5"/>
      <c r="E26" s="5" t="s">
        <v>8336</v>
      </c>
      <c r="F26" s="5" t="n">
        <f aca="false">SUMPRODUCT(EXACT('Rule-Event map'!$F$2:$F$1477,$A26)*EXACT('Rule-Event map'!$G$2:$G$1477,$B26))</f>
        <v>1</v>
      </c>
      <c r="G26" s="5" t="n">
        <f aca="false">SUMPRODUCT(EXACT('Rule-Event map'!$F$2:$F$1477,$A26)*EXACT('Rule-Event map'!$G$2:$G$1477,$B26)*('Rule-Event map'!$C$2:$C$1477="New ITDR (7.6.0)"))</f>
        <v>0</v>
      </c>
      <c r="H26" s="5" t="n">
        <f aca="false">SUMPRODUCT(EXACT('Rule-Event map'!$F$2:$F$1477,$A26)*EXACT('Rule-Event map'!$G$2:$G$1477,$B26)*('Rule-Event map'!$C$2:$C$1477="Existing, re-tagged ITDR"))</f>
        <v>0</v>
      </c>
      <c r="I26" s="5" t="n">
        <f aca="false">F26-G26-H26</f>
        <v>1</v>
      </c>
      <c r="J26" s="5" t="n">
        <f aca="false">SUMPRODUCT(EXACT('Rule-Event map'!$F$2:$F$1477,$A26)*EXACT('Rule-Event map'!$G$2:$G$1477,$B26)*('Rule-Event map'!$E$2:$E$1477="Enabled"))</f>
        <v>1</v>
      </c>
      <c r="K26" s="2" t="s">
        <v>2996</v>
      </c>
    </row>
    <row r="27" customFormat="false" ht="23.85" hidden="false" customHeight="false" outlineLevel="0" collapsed="false">
      <c r="A27" s="5" t="s">
        <v>7669</v>
      </c>
      <c r="B27" s="2" t="s">
        <v>2865</v>
      </c>
      <c r="C27" s="5"/>
      <c r="D27" s="5"/>
      <c r="E27" s="5" t="s">
        <v>8336</v>
      </c>
      <c r="F27" s="5" t="n">
        <f aca="false">SUMPRODUCT(EXACT('Rule-Event map'!$F$2:$F$1477,$A27)*EXACT('Rule-Event map'!$G$2:$G$1477,$B27))</f>
        <v>6</v>
      </c>
      <c r="G27" s="5" t="n">
        <f aca="false">SUMPRODUCT(EXACT('Rule-Event map'!$F$2:$F$1477,$A27)*EXACT('Rule-Event map'!$G$2:$G$1477,$B27)*('Rule-Event map'!$C$2:$C$1477="New ITDR (7.6.0)"))</f>
        <v>0</v>
      </c>
      <c r="H27" s="5" t="n">
        <f aca="false">SUMPRODUCT(EXACT('Rule-Event map'!$F$2:$F$1477,$A27)*EXACT('Rule-Event map'!$G$2:$G$1477,$B27)*('Rule-Event map'!$C$2:$C$1477="Existing, re-tagged ITDR"))</f>
        <v>0</v>
      </c>
      <c r="I27" s="5" t="n">
        <f aca="false">F27-G27-H27</f>
        <v>6</v>
      </c>
      <c r="J27" s="5" t="n">
        <f aca="false">SUMPRODUCT(EXACT('Rule-Event map'!$F$2:$F$1477,$A27)*EXACT('Rule-Event map'!$G$2:$G$1477,$B27)*('Rule-Event map'!$E$2:$E$1477="Enabled"))</f>
        <v>6</v>
      </c>
      <c r="K27" s="2" t="s">
        <v>8347</v>
      </c>
    </row>
    <row r="28" customFormat="false" ht="23.85" hidden="false" customHeight="false" outlineLevel="0" collapsed="false">
      <c r="A28" s="5" t="s">
        <v>7669</v>
      </c>
      <c r="B28" s="2" t="s">
        <v>2897</v>
      </c>
      <c r="C28" s="5"/>
      <c r="D28" s="5"/>
      <c r="E28" s="5" t="s">
        <v>8336</v>
      </c>
      <c r="F28" s="5" t="n">
        <f aca="false">SUMPRODUCT(EXACT('Rule-Event map'!$F$2:$F$1477,$A28)*EXACT('Rule-Event map'!$G$2:$G$1477,$B28))</f>
        <v>6</v>
      </c>
      <c r="G28" s="5" t="n">
        <f aca="false">SUMPRODUCT(EXACT('Rule-Event map'!$F$2:$F$1477,$A28)*EXACT('Rule-Event map'!$G$2:$G$1477,$B28)*('Rule-Event map'!$C$2:$C$1477="New ITDR (7.6.0)"))</f>
        <v>0</v>
      </c>
      <c r="H28" s="5" t="n">
        <f aca="false">SUMPRODUCT(EXACT('Rule-Event map'!$F$2:$F$1477,$A28)*EXACT('Rule-Event map'!$G$2:$G$1477,$B28)*('Rule-Event map'!$C$2:$C$1477="Existing, re-tagged ITDR"))</f>
        <v>0</v>
      </c>
      <c r="I28" s="5" t="n">
        <f aca="false">F28-G28-H28</f>
        <v>6</v>
      </c>
      <c r="J28" s="5" t="n">
        <f aca="false">SUMPRODUCT(EXACT('Rule-Event map'!$F$2:$F$1477,$A28)*EXACT('Rule-Event map'!$G$2:$G$1477,$B28)*('Rule-Event map'!$E$2:$E$1477="Enabled"))</f>
        <v>6</v>
      </c>
      <c r="K28" s="2" t="s">
        <v>8348</v>
      </c>
    </row>
    <row r="29" customFormat="false" ht="15" hidden="false" customHeight="false" outlineLevel="0" collapsed="false">
      <c r="A29" s="5" t="s">
        <v>7669</v>
      </c>
      <c r="B29" s="2" t="s">
        <v>512</v>
      </c>
      <c r="C29" s="5"/>
      <c r="D29" s="5"/>
      <c r="E29" s="5" t="s">
        <v>8336</v>
      </c>
      <c r="F29" s="5" t="n">
        <f aca="false">SUMPRODUCT(EXACT('Rule-Event map'!$F$2:$F$1477,$A29)*EXACT('Rule-Event map'!$G$2:$G$1477,$B29))</f>
        <v>2</v>
      </c>
      <c r="G29" s="5" t="n">
        <f aca="false">SUMPRODUCT(EXACT('Rule-Event map'!$F$2:$F$1477,$A29)*EXACT('Rule-Event map'!$G$2:$G$1477,$B29)*('Rule-Event map'!$C$2:$C$1477="New ITDR (7.6.0)"))</f>
        <v>0</v>
      </c>
      <c r="H29" s="5" t="n">
        <f aca="false">SUMPRODUCT(EXACT('Rule-Event map'!$F$2:$F$1477,$A29)*EXACT('Rule-Event map'!$G$2:$G$1477,$B29)*('Rule-Event map'!$C$2:$C$1477="Existing, re-tagged ITDR"))</f>
        <v>2</v>
      </c>
      <c r="I29" s="5" t="n">
        <f aca="false">F29-G29-H29</f>
        <v>0</v>
      </c>
      <c r="J29" s="5" t="n">
        <f aca="false">SUMPRODUCT(EXACT('Rule-Event map'!$F$2:$F$1477,$A29)*EXACT('Rule-Event map'!$G$2:$G$1477,$B29)*('Rule-Event map'!$E$2:$E$1477="Enabled"))</f>
        <v>2</v>
      </c>
      <c r="K29" s="2" t="s">
        <v>8349</v>
      </c>
    </row>
    <row r="30" customFormat="false" ht="35.05" hidden="false" customHeight="false" outlineLevel="0" collapsed="false">
      <c r="A30" s="5" t="s">
        <v>7669</v>
      </c>
      <c r="B30" s="2" t="s">
        <v>839</v>
      </c>
      <c r="C30" s="5"/>
      <c r="D30" s="5"/>
      <c r="E30" s="5" t="s">
        <v>8336</v>
      </c>
      <c r="F30" s="5" t="n">
        <f aca="false">SUMPRODUCT(EXACT('Rule-Event map'!$F$2:$F$1477,$A30)*EXACT('Rule-Event map'!$G$2:$G$1477,$B30))</f>
        <v>11</v>
      </c>
      <c r="G30" s="5" t="n">
        <f aca="false">SUMPRODUCT(EXACT('Rule-Event map'!$F$2:$F$1477,$A30)*EXACT('Rule-Event map'!$G$2:$G$1477,$B30)*('Rule-Event map'!$C$2:$C$1477="New ITDR (7.6.0)"))</f>
        <v>0</v>
      </c>
      <c r="H30" s="5" t="n">
        <f aca="false">SUMPRODUCT(EXACT('Rule-Event map'!$F$2:$F$1477,$A30)*EXACT('Rule-Event map'!$G$2:$G$1477,$B30)*('Rule-Event map'!$C$2:$C$1477="Existing, re-tagged ITDR"))</f>
        <v>7</v>
      </c>
      <c r="I30" s="5" t="n">
        <f aca="false">F30-G30-H30</f>
        <v>4</v>
      </c>
      <c r="J30" s="5" t="n">
        <f aca="false">SUMPRODUCT(EXACT('Rule-Event map'!$F$2:$F$1477,$A30)*EXACT('Rule-Event map'!$G$2:$G$1477,$B30)*('Rule-Event map'!$E$2:$E$1477="Enabled"))</f>
        <v>11</v>
      </c>
      <c r="K30" s="2" t="s">
        <v>8350</v>
      </c>
    </row>
    <row r="31" customFormat="false" ht="46.25" hidden="false" customHeight="false" outlineLevel="0" collapsed="false">
      <c r="A31" s="5" t="s">
        <v>7669</v>
      </c>
      <c r="B31" s="2" t="s">
        <v>2794</v>
      </c>
      <c r="C31" s="5"/>
      <c r="D31" s="5"/>
      <c r="E31" s="5" t="s">
        <v>8336</v>
      </c>
      <c r="F31" s="5" t="n">
        <f aca="false">SUMPRODUCT(EXACT('Rule-Event map'!$F$2:$F$1477,$A31)*EXACT('Rule-Event map'!$G$2:$G$1477,$B31))</f>
        <v>10</v>
      </c>
      <c r="G31" s="5" t="n">
        <f aca="false">SUMPRODUCT(EXACT('Rule-Event map'!$F$2:$F$1477,$A31)*EXACT('Rule-Event map'!$G$2:$G$1477,$B31)*('Rule-Event map'!$C$2:$C$1477="New ITDR (7.6.0)"))</f>
        <v>0</v>
      </c>
      <c r="H31" s="5" t="n">
        <f aca="false">SUMPRODUCT(EXACT('Rule-Event map'!$F$2:$F$1477,$A31)*EXACT('Rule-Event map'!$G$2:$G$1477,$B31)*('Rule-Event map'!$C$2:$C$1477="Existing, re-tagged ITDR"))</f>
        <v>3</v>
      </c>
      <c r="I31" s="5" t="n">
        <f aca="false">F31-G31-H31</f>
        <v>7</v>
      </c>
      <c r="J31" s="5" t="n">
        <f aca="false">SUMPRODUCT(EXACT('Rule-Event map'!$F$2:$F$1477,$A31)*EXACT('Rule-Event map'!$G$2:$G$1477,$B31)*('Rule-Event map'!$E$2:$E$1477="Enabled"))</f>
        <v>9</v>
      </c>
      <c r="K31" s="2" t="s">
        <v>8343</v>
      </c>
    </row>
    <row r="32" customFormat="false" ht="15" hidden="false" customHeight="false" outlineLevel="0" collapsed="false">
      <c r="A32" s="5" t="s">
        <v>7669</v>
      </c>
      <c r="B32" s="2" t="s">
        <v>2740</v>
      </c>
      <c r="C32" s="5"/>
      <c r="D32" s="5"/>
      <c r="E32" s="5" t="s">
        <v>8336</v>
      </c>
      <c r="F32" s="5" t="n">
        <f aca="false">SUMPRODUCT(EXACT('Rule-Event map'!$F$2:$F$1477,$A32)*EXACT('Rule-Event map'!$G$2:$G$1477,$B32))</f>
        <v>1</v>
      </c>
      <c r="G32" s="5" t="n">
        <f aca="false">SUMPRODUCT(EXACT('Rule-Event map'!$F$2:$F$1477,$A32)*EXACT('Rule-Event map'!$G$2:$G$1477,$B32)*('Rule-Event map'!$C$2:$C$1477="New ITDR (7.6.0)"))</f>
        <v>0</v>
      </c>
      <c r="H32" s="5" t="n">
        <f aca="false">SUMPRODUCT(EXACT('Rule-Event map'!$F$2:$F$1477,$A32)*EXACT('Rule-Event map'!$G$2:$G$1477,$B32)*('Rule-Event map'!$C$2:$C$1477="Existing, re-tagged ITDR"))</f>
        <v>0</v>
      </c>
      <c r="I32" s="5" t="n">
        <f aca="false">F32-G32-H32</f>
        <v>1</v>
      </c>
      <c r="J32" s="5" t="n">
        <f aca="false">SUMPRODUCT(EXACT('Rule-Event map'!$F$2:$F$1477,$A32)*EXACT('Rule-Event map'!$G$2:$G$1477,$B32)*('Rule-Event map'!$E$2:$E$1477="Enabled"))</f>
        <v>1</v>
      </c>
      <c r="K32" s="2" t="s">
        <v>2738</v>
      </c>
    </row>
    <row r="33" customFormat="false" ht="15" hidden="false" customHeight="false" outlineLevel="0" collapsed="false">
      <c r="A33" s="5" t="s">
        <v>7669</v>
      </c>
      <c r="B33" s="2" t="s">
        <v>7711</v>
      </c>
      <c r="C33" s="5"/>
      <c r="D33" s="5"/>
      <c r="E33" s="5" t="s">
        <v>8336</v>
      </c>
      <c r="F33" s="5" t="n">
        <f aca="false">SUMPRODUCT(EXACT('Rule-Event map'!$F$2:$F$1477,$A33)*EXACT('Rule-Event map'!$G$2:$G$1477,$B33))</f>
        <v>1</v>
      </c>
      <c r="G33" s="5" t="n">
        <f aca="false">SUMPRODUCT(EXACT('Rule-Event map'!$F$2:$F$1477,$A33)*EXACT('Rule-Event map'!$G$2:$G$1477,$B33)*('Rule-Event map'!$C$2:$C$1477="New ITDR (7.6.0)"))</f>
        <v>0</v>
      </c>
      <c r="H33" s="5" t="n">
        <f aca="false">SUMPRODUCT(EXACT('Rule-Event map'!$F$2:$F$1477,$A33)*EXACT('Rule-Event map'!$G$2:$G$1477,$B33)*('Rule-Event map'!$C$2:$C$1477="Existing, re-tagged ITDR"))</f>
        <v>1</v>
      </c>
      <c r="I33" s="5" t="n">
        <f aca="false">F33-G33-H33</f>
        <v>0</v>
      </c>
      <c r="J33" s="5" t="n">
        <f aca="false">SUMPRODUCT(EXACT('Rule-Event map'!$F$2:$F$1477,$A33)*EXACT('Rule-Event map'!$G$2:$G$1477,$B33)*('Rule-Event map'!$E$2:$E$1477="Enabled"))</f>
        <v>1</v>
      </c>
      <c r="K33" s="2" t="s">
        <v>888</v>
      </c>
    </row>
    <row r="34" customFormat="false" ht="23.85" hidden="false" customHeight="false" outlineLevel="0" collapsed="false">
      <c r="A34" s="5" t="s">
        <v>7669</v>
      </c>
      <c r="B34" s="2" t="s">
        <v>7719</v>
      </c>
      <c r="C34" s="5"/>
      <c r="D34" s="5"/>
      <c r="E34" s="5" t="s">
        <v>8336</v>
      </c>
      <c r="F34" s="5" t="n">
        <f aca="false">SUMPRODUCT(EXACT('Rule-Event map'!$F$2:$F$1477,$A34)*EXACT('Rule-Event map'!$G$2:$G$1477,$B34))</f>
        <v>1</v>
      </c>
      <c r="G34" s="5" t="n">
        <f aca="false">SUMPRODUCT(EXACT('Rule-Event map'!$F$2:$F$1477,$A34)*EXACT('Rule-Event map'!$G$2:$G$1477,$B34)*('Rule-Event map'!$C$2:$C$1477="New ITDR (7.6.0)"))</f>
        <v>0</v>
      </c>
      <c r="H34" s="5" t="n">
        <f aca="false">SUMPRODUCT(EXACT('Rule-Event map'!$F$2:$F$1477,$A34)*EXACT('Rule-Event map'!$G$2:$G$1477,$B34)*('Rule-Event map'!$C$2:$C$1477="Existing, re-tagged ITDR"))</f>
        <v>1</v>
      </c>
      <c r="I34" s="5" t="n">
        <f aca="false">F34-G34-H34</f>
        <v>0</v>
      </c>
      <c r="J34" s="5" t="n">
        <f aca="false">SUMPRODUCT(EXACT('Rule-Event map'!$F$2:$F$1477,$A34)*EXACT('Rule-Event map'!$G$2:$G$1477,$B34)*('Rule-Event map'!$E$2:$E$1477="Enabled"))</f>
        <v>1</v>
      </c>
      <c r="K34" s="2" t="s">
        <v>1049</v>
      </c>
    </row>
    <row r="35" customFormat="false" ht="15" hidden="false" customHeight="false" outlineLevel="0" collapsed="false">
      <c r="A35" s="5" t="s">
        <v>7669</v>
      </c>
      <c r="B35" s="2" t="s">
        <v>7545</v>
      </c>
      <c r="C35" s="5"/>
      <c r="D35" s="5"/>
      <c r="E35" s="5" t="s">
        <v>8336</v>
      </c>
      <c r="F35" s="5" t="n">
        <f aca="false">SUMPRODUCT(EXACT('Rule-Event map'!$F$2:$F$1477,$A35)*EXACT('Rule-Event map'!$G$2:$G$1477,$B35))</f>
        <v>1</v>
      </c>
      <c r="G35" s="5" t="n">
        <f aca="false">SUMPRODUCT(EXACT('Rule-Event map'!$F$2:$F$1477,$A35)*EXACT('Rule-Event map'!$G$2:$G$1477,$B35)*('Rule-Event map'!$C$2:$C$1477="New ITDR (7.6.0)"))</f>
        <v>0</v>
      </c>
      <c r="H35" s="5" t="n">
        <f aca="false">SUMPRODUCT(EXACT('Rule-Event map'!$F$2:$F$1477,$A35)*EXACT('Rule-Event map'!$G$2:$G$1477,$B35)*('Rule-Event map'!$C$2:$C$1477="Existing, re-tagged ITDR"))</f>
        <v>0</v>
      </c>
      <c r="I35" s="5" t="n">
        <f aca="false">F35-G35-H35</f>
        <v>1</v>
      </c>
      <c r="J35" s="5" t="n">
        <f aca="false">SUMPRODUCT(EXACT('Rule-Event map'!$F$2:$F$1477,$A35)*EXACT('Rule-Event map'!$G$2:$G$1477,$B35)*('Rule-Event map'!$E$2:$E$1477="Enabled"))</f>
        <v>0</v>
      </c>
      <c r="K35" s="2" t="s">
        <v>6107</v>
      </c>
    </row>
    <row r="36" customFormat="false" ht="15" hidden="false" customHeight="false" outlineLevel="0" collapsed="false">
      <c r="A36" s="5" t="s">
        <v>7669</v>
      </c>
      <c r="B36" s="2" t="s">
        <v>7542</v>
      </c>
      <c r="C36" s="5"/>
      <c r="D36" s="5"/>
      <c r="E36" s="5" t="s">
        <v>8336</v>
      </c>
      <c r="F36" s="5" t="n">
        <f aca="false">SUMPRODUCT(EXACT('Rule-Event map'!$F$2:$F$1477,$A36)*EXACT('Rule-Event map'!$G$2:$G$1477,$B36))</f>
        <v>1</v>
      </c>
      <c r="G36" s="5" t="n">
        <f aca="false">SUMPRODUCT(EXACT('Rule-Event map'!$F$2:$F$1477,$A36)*EXACT('Rule-Event map'!$G$2:$G$1477,$B36)*('Rule-Event map'!$C$2:$C$1477="New ITDR (7.6.0)"))</f>
        <v>0</v>
      </c>
      <c r="H36" s="5" t="n">
        <f aca="false">SUMPRODUCT(EXACT('Rule-Event map'!$F$2:$F$1477,$A36)*EXACT('Rule-Event map'!$G$2:$G$1477,$B36)*('Rule-Event map'!$C$2:$C$1477="Existing, re-tagged ITDR"))</f>
        <v>0</v>
      </c>
      <c r="I36" s="5" t="n">
        <f aca="false">F36-G36-H36</f>
        <v>1</v>
      </c>
      <c r="J36" s="5" t="n">
        <f aca="false">SUMPRODUCT(EXACT('Rule-Event map'!$F$2:$F$1477,$A36)*EXACT('Rule-Event map'!$G$2:$G$1477,$B36)*('Rule-Event map'!$E$2:$E$1477="Enabled"))</f>
        <v>0</v>
      </c>
      <c r="K36" s="2" t="s">
        <v>6107</v>
      </c>
    </row>
    <row r="37" customFormat="false" ht="23.85" hidden="false" customHeight="false" outlineLevel="0" collapsed="false">
      <c r="A37" s="5" t="s">
        <v>7669</v>
      </c>
      <c r="B37" s="2" t="s">
        <v>7681</v>
      </c>
      <c r="C37" s="5"/>
      <c r="D37" s="5"/>
      <c r="E37" s="5" t="s">
        <v>8336</v>
      </c>
      <c r="F37" s="5" t="n">
        <f aca="false">SUMPRODUCT(EXACT('Rule-Event map'!$F$2:$F$1477,$A37)*EXACT('Rule-Event map'!$G$2:$G$1477,$B37))</f>
        <v>1</v>
      </c>
      <c r="G37" s="5" t="n">
        <f aca="false">SUMPRODUCT(EXACT('Rule-Event map'!$F$2:$F$1477,$A37)*EXACT('Rule-Event map'!$G$2:$G$1477,$B37)*('Rule-Event map'!$C$2:$C$1477="New ITDR (7.6.0)"))</f>
        <v>0</v>
      </c>
      <c r="H37" s="5" t="n">
        <f aca="false">SUMPRODUCT(EXACT('Rule-Event map'!$F$2:$F$1477,$A37)*EXACT('Rule-Event map'!$G$2:$G$1477,$B37)*('Rule-Event map'!$C$2:$C$1477="Existing, re-tagged ITDR"))</f>
        <v>1</v>
      </c>
      <c r="I37" s="5" t="n">
        <f aca="false">F37-G37-H37</f>
        <v>0</v>
      </c>
      <c r="J37" s="5" t="n">
        <f aca="false">SUMPRODUCT(EXACT('Rule-Event map'!$F$2:$F$1477,$A37)*EXACT('Rule-Event map'!$G$2:$G$1477,$B37)*('Rule-Event map'!$E$2:$E$1477="Enabled"))</f>
        <v>1</v>
      </c>
      <c r="K37" s="2" t="s">
        <v>601</v>
      </c>
    </row>
    <row r="38" customFormat="false" ht="23.85" hidden="false" customHeight="false" outlineLevel="0" collapsed="false">
      <c r="A38" s="5" t="s">
        <v>7669</v>
      </c>
      <c r="B38" s="2" t="s">
        <v>7679</v>
      </c>
      <c r="C38" s="5"/>
      <c r="D38" s="5"/>
      <c r="E38" s="5" t="s">
        <v>8336</v>
      </c>
      <c r="F38" s="5" t="n">
        <f aca="false">SUMPRODUCT(EXACT('Rule-Event map'!$F$2:$F$1477,$A38)*EXACT('Rule-Event map'!$G$2:$G$1477,$B38))</f>
        <v>1</v>
      </c>
      <c r="G38" s="5" t="n">
        <f aca="false">SUMPRODUCT(EXACT('Rule-Event map'!$F$2:$F$1477,$A38)*EXACT('Rule-Event map'!$G$2:$G$1477,$B38)*('Rule-Event map'!$C$2:$C$1477="New ITDR (7.6.0)"))</f>
        <v>0</v>
      </c>
      <c r="H38" s="5" t="n">
        <f aca="false">SUMPRODUCT(EXACT('Rule-Event map'!$F$2:$F$1477,$A38)*EXACT('Rule-Event map'!$G$2:$G$1477,$B38)*('Rule-Event map'!$C$2:$C$1477="Existing, re-tagged ITDR"))</f>
        <v>1</v>
      </c>
      <c r="I38" s="5" t="n">
        <f aca="false">F38-G38-H38</f>
        <v>0</v>
      </c>
      <c r="J38" s="5" t="n">
        <f aca="false">SUMPRODUCT(EXACT('Rule-Event map'!$F$2:$F$1477,$A38)*EXACT('Rule-Event map'!$G$2:$G$1477,$B38)*('Rule-Event map'!$E$2:$E$1477="Enabled"))</f>
        <v>1</v>
      </c>
      <c r="K38" s="2" t="s">
        <v>601</v>
      </c>
    </row>
    <row r="39" customFormat="false" ht="23.85" hidden="false" customHeight="false" outlineLevel="0" collapsed="false">
      <c r="A39" s="5" t="s">
        <v>7669</v>
      </c>
      <c r="B39" s="2" t="s">
        <v>7686</v>
      </c>
      <c r="C39" s="5"/>
      <c r="D39" s="5"/>
      <c r="E39" s="5" t="s">
        <v>8336</v>
      </c>
      <c r="F39" s="5" t="n">
        <f aca="false">SUMPRODUCT(EXACT('Rule-Event map'!$F$2:$F$1477,$A39)*EXACT('Rule-Event map'!$G$2:$G$1477,$B39))</f>
        <v>1</v>
      </c>
      <c r="G39" s="5" t="n">
        <f aca="false">SUMPRODUCT(EXACT('Rule-Event map'!$F$2:$F$1477,$A39)*EXACT('Rule-Event map'!$G$2:$G$1477,$B39)*('Rule-Event map'!$C$2:$C$1477="New ITDR (7.6.0)"))</f>
        <v>0</v>
      </c>
      <c r="H39" s="5" t="n">
        <f aca="false">SUMPRODUCT(EXACT('Rule-Event map'!$F$2:$F$1477,$A39)*EXACT('Rule-Event map'!$G$2:$G$1477,$B39)*('Rule-Event map'!$C$2:$C$1477="Existing, re-tagged ITDR"))</f>
        <v>1</v>
      </c>
      <c r="I39" s="5" t="n">
        <f aca="false">F39-G39-H39</f>
        <v>0</v>
      </c>
      <c r="J39" s="5" t="n">
        <f aca="false">SUMPRODUCT(EXACT('Rule-Event map'!$F$2:$F$1477,$A39)*EXACT('Rule-Event map'!$G$2:$G$1477,$B39)*('Rule-Event map'!$E$2:$E$1477="Enabled"))</f>
        <v>1</v>
      </c>
      <c r="K39" s="2" t="s">
        <v>613</v>
      </c>
    </row>
    <row r="40" customFormat="false" ht="23.85" hidden="false" customHeight="false" outlineLevel="0" collapsed="false">
      <c r="A40" s="5" t="s">
        <v>7669</v>
      </c>
      <c r="B40" s="2" t="s">
        <v>6617</v>
      </c>
      <c r="C40" s="5"/>
      <c r="D40" s="5"/>
      <c r="E40" s="5" t="s">
        <v>8336</v>
      </c>
      <c r="F40" s="5" t="n">
        <f aca="false">SUMPRODUCT(EXACT('Rule-Event map'!$F$2:$F$1477,$A40)*EXACT('Rule-Event map'!$G$2:$G$1477,$B40))</f>
        <v>4</v>
      </c>
      <c r="G40" s="5" t="n">
        <f aca="false">SUMPRODUCT(EXACT('Rule-Event map'!$F$2:$F$1477,$A40)*EXACT('Rule-Event map'!$G$2:$G$1477,$B40)*('Rule-Event map'!$C$2:$C$1477="New ITDR (7.6.0)"))</f>
        <v>0</v>
      </c>
      <c r="H40" s="5" t="n">
        <f aca="false">SUMPRODUCT(EXACT('Rule-Event map'!$F$2:$F$1477,$A40)*EXACT('Rule-Event map'!$G$2:$G$1477,$B40)*('Rule-Event map'!$C$2:$C$1477="Existing, re-tagged ITDR"))</f>
        <v>4</v>
      </c>
      <c r="I40" s="5" t="n">
        <f aca="false">F40-G40-H40</f>
        <v>0</v>
      </c>
      <c r="J40" s="5" t="n">
        <f aca="false">SUMPRODUCT(EXACT('Rule-Event map'!$F$2:$F$1477,$A40)*EXACT('Rule-Event map'!$G$2:$G$1477,$B40)*('Rule-Event map'!$E$2:$E$1477="Enabled"))</f>
        <v>4</v>
      </c>
      <c r="K40" s="2" t="s">
        <v>8351</v>
      </c>
    </row>
    <row r="41" customFormat="false" ht="23.85" hidden="false" customHeight="false" outlineLevel="0" collapsed="false">
      <c r="A41" s="5" t="s">
        <v>7669</v>
      </c>
      <c r="B41" s="2" t="s">
        <v>7678</v>
      </c>
      <c r="C41" s="5"/>
      <c r="D41" s="5"/>
      <c r="E41" s="5" t="s">
        <v>8336</v>
      </c>
      <c r="F41" s="5" t="n">
        <f aca="false">SUMPRODUCT(EXACT('Rule-Event map'!$F$2:$F$1477,$A41)*EXACT('Rule-Event map'!$G$2:$G$1477,$B41))</f>
        <v>1</v>
      </c>
      <c r="G41" s="5" t="n">
        <f aca="false">SUMPRODUCT(EXACT('Rule-Event map'!$F$2:$F$1477,$A41)*EXACT('Rule-Event map'!$G$2:$G$1477,$B41)*('Rule-Event map'!$C$2:$C$1477="New ITDR (7.6.0)"))</f>
        <v>0</v>
      </c>
      <c r="H41" s="5" t="n">
        <f aca="false">SUMPRODUCT(EXACT('Rule-Event map'!$F$2:$F$1477,$A41)*EXACT('Rule-Event map'!$G$2:$G$1477,$B41)*('Rule-Event map'!$C$2:$C$1477="Existing, re-tagged ITDR"))</f>
        <v>1</v>
      </c>
      <c r="I41" s="5" t="n">
        <f aca="false">F41-G41-H41</f>
        <v>0</v>
      </c>
      <c r="J41" s="5" t="n">
        <f aca="false">SUMPRODUCT(EXACT('Rule-Event map'!$F$2:$F$1477,$A41)*EXACT('Rule-Event map'!$G$2:$G$1477,$B41)*('Rule-Event map'!$E$2:$E$1477="Enabled"))</f>
        <v>1</v>
      </c>
      <c r="K41" s="2" t="s">
        <v>601</v>
      </c>
    </row>
    <row r="42" customFormat="false" ht="23.85" hidden="false" customHeight="false" outlineLevel="0" collapsed="false">
      <c r="A42" s="5" t="s">
        <v>7669</v>
      </c>
      <c r="B42" s="2" t="s">
        <v>7680</v>
      </c>
      <c r="C42" s="5"/>
      <c r="D42" s="5"/>
      <c r="E42" s="5" t="s">
        <v>8336</v>
      </c>
      <c r="F42" s="5" t="n">
        <f aca="false">SUMPRODUCT(EXACT('Rule-Event map'!$F$2:$F$1477,$A42)*EXACT('Rule-Event map'!$G$2:$G$1477,$B42))</f>
        <v>1</v>
      </c>
      <c r="G42" s="5" t="n">
        <f aca="false">SUMPRODUCT(EXACT('Rule-Event map'!$F$2:$F$1477,$A42)*EXACT('Rule-Event map'!$G$2:$G$1477,$B42)*('Rule-Event map'!$C$2:$C$1477="New ITDR (7.6.0)"))</f>
        <v>0</v>
      </c>
      <c r="H42" s="5" t="n">
        <f aca="false">SUMPRODUCT(EXACT('Rule-Event map'!$F$2:$F$1477,$A42)*EXACT('Rule-Event map'!$G$2:$G$1477,$B42)*('Rule-Event map'!$C$2:$C$1477="Existing, re-tagged ITDR"))</f>
        <v>1</v>
      </c>
      <c r="I42" s="5" t="n">
        <f aca="false">F42-G42-H42</f>
        <v>0</v>
      </c>
      <c r="J42" s="5" t="n">
        <f aca="false">SUMPRODUCT(EXACT('Rule-Event map'!$F$2:$F$1477,$A42)*EXACT('Rule-Event map'!$G$2:$G$1477,$B42)*('Rule-Event map'!$E$2:$E$1477="Enabled"))</f>
        <v>1</v>
      </c>
      <c r="K42" s="2" t="s">
        <v>601</v>
      </c>
    </row>
    <row r="43" customFormat="false" ht="35.05" hidden="false" customHeight="false" outlineLevel="0" collapsed="false">
      <c r="A43" s="5" t="s">
        <v>7669</v>
      </c>
      <c r="B43" s="2" t="s">
        <v>7883</v>
      </c>
      <c r="C43" s="5"/>
      <c r="D43" s="5"/>
      <c r="E43" s="5" t="s">
        <v>8336</v>
      </c>
      <c r="F43" s="5" t="n">
        <f aca="false">SUMPRODUCT(EXACT('Rule-Event map'!$F$2:$F$1477,$A43)*EXACT('Rule-Event map'!$G$2:$G$1477,$B43))</f>
        <v>7</v>
      </c>
      <c r="G43" s="5" t="n">
        <f aca="false">SUMPRODUCT(EXACT('Rule-Event map'!$F$2:$F$1477,$A43)*EXACT('Rule-Event map'!$G$2:$G$1477,$B43)*('Rule-Event map'!$C$2:$C$1477="New ITDR (7.6.0)"))</f>
        <v>0</v>
      </c>
      <c r="H43" s="5" t="n">
        <f aca="false">SUMPRODUCT(EXACT('Rule-Event map'!$F$2:$F$1477,$A43)*EXACT('Rule-Event map'!$G$2:$G$1477,$B43)*('Rule-Event map'!$C$2:$C$1477="Existing, re-tagged ITDR"))</f>
        <v>0</v>
      </c>
      <c r="I43" s="5" t="n">
        <f aca="false">F43-G43-H43</f>
        <v>7</v>
      </c>
      <c r="J43" s="5" t="n">
        <f aca="false">SUMPRODUCT(EXACT('Rule-Event map'!$F$2:$F$1477,$A43)*EXACT('Rule-Event map'!$G$2:$G$1477,$B43)*('Rule-Event map'!$E$2:$E$1477="Enabled"))</f>
        <v>6</v>
      </c>
      <c r="K43" s="2" t="s">
        <v>8340</v>
      </c>
    </row>
    <row r="44" customFormat="false" ht="35.05" hidden="false" customHeight="false" outlineLevel="0" collapsed="false">
      <c r="A44" s="5" t="s">
        <v>7669</v>
      </c>
      <c r="B44" s="2" t="s">
        <v>7882</v>
      </c>
      <c r="C44" s="5"/>
      <c r="D44" s="5"/>
      <c r="E44" s="5" t="s">
        <v>8336</v>
      </c>
      <c r="F44" s="5" t="n">
        <f aca="false">SUMPRODUCT(EXACT('Rule-Event map'!$F$2:$F$1477,$A44)*EXACT('Rule-Event map'!$G$2:$G$1477,$B44))</f>
        <v>9</v>
      </c>
      <c r="G44" s="5" t="n">
        <f aca="false">SUMPRODUCT(EXACT('Rule-Event map'!$F$2:$F$1477,$A44)*EXACT('Rule-Event map'!$G$2:$G$1477,$B44)*('Rule-Event map'!$C$2:$C$1477="New ITDR (7.6.0)"))</f>
        <v>0</v>
      </c>
      <c r="H44" s="5" t="n">
        <f aca="false">SUMPRODUCT(EXACT('Rule-Event map'!$F$2:$F$1477,$A44)*EXACT('Rule-Event map'!$G$2:$G$1477,$B44)*('Rule-Event map'!$C$2:$C$1477="Existing, re-tagged ITDR"))</f>
        <v>0</v>
      </c>
      <c r="I44" s="5" t="n">
        <f aca="false">F44-G44-H44</f>
        <v>9</v>
      </c>
      <c r="J44" s="5" t="n">
        <f aca="false">SUMPRODUCT(EXACT('Rule-Event map'!$F$2:$F$1477,$A44)*EXACT('Rule-Event map'!$G$2:$G$1477,$B44)*('Rule-Event map'!$E$2:$E$1477="Enabled"))</f>
        <v>8</v>
      </c>
      <c r="K44" s="2" t="s">
        <v>8340</v>
      </c>
    </row>
    <row r="45" customFormat="false" ht="35.05" hidden="false" customHeight="false" outlineLevel="0" collapsed="false">
      <c r="A45" s="5" t="s">
        <v>7669</v>
      </c>
      <c r="B45" s="2" t="s">
        <v>7892</v>
      </c>
      <c r="C45" s="5"/>
      <c r="D45" s="5"/>
      <c r="E45" s="5" t="s">
        <v>8336</v>
      </c>
      <c r="F45" s="5" t="n">
        <f aca="false">SUMPRODUCT(EXACT('Rule-Event map'!$F$2:$F$1477,$A45)*EXACT('Rule-Event map'!$G$2:$G$1477,$B45))</f>
        <v>3</v>
      </c>
      <c r="G45" s="5" t="n">
        <f aca="false">SUMPRODUCT(EXACT('Rule-Event map'!$F$2:$F$1477,$A45)*EXACT('Rule-Event map'!$G$2:$G$1477,$B45)*('Rule-Event map'!$C$2:$C$1477="New ITDR (7.6.0)"))</f>
        <v>0</v>
      </c>
      <c r="H45" s="5" t="n">
        <f aca="false">SUMPRODUCT(EXACT('Rule-Event map'!$F$2:$F$1477,$A45)*EXACT('Rule-Event map'!$G$2:$G$1477,$B45)*('Rule-Event map'!$C$2:$C$1477="Existing, re-tagged ITDR"))</f>
        <v>0</v>
      </c>
      <c r="I45" s="5" t="n">
        <f aca="false">F45-G45-H45</f>
        <v>3</v>
      </c>
      <c r="J45" s="5" t="n">
        <f aca="false">SUMPRODUCT(EXACT('Rule-Event map'!$F$2:$F$1477,$A45)*EXACT('Rule-Event map'!$G$2:$G$1477,$B45)*('Rule-Event map'!$E$2:$E$1477="Enabled"))</f>
        <v>2</v>
      </c>
      <c r="K45" s="2" t="s">
        <v>8352</v>
      </c>
    </row>
    <row r="46" customFormat="false" ht="15" hidden="false" customHeight="false" outlineLevel="0" collapsed="false">
      <c r="A46" s="5" t="s">
        <v>7669</v>
      </c>
      <c r="B46" s="2" t="s">
        <v>957</v>
      </c>
      <c r="C46" s="5"/>
      <c r="D46" s="5"/>
      <c r="E46" s="5" t="s">
        <v>8336</v>
      </c>
      <c r="F46" s="5" t="n">
        <f aca="false">SUMPRODUCT(EXACT('Rule-Event map'!$F$2:$F$1477,$A46)*EXACT('Rule-Event map'!$G$2:$G$1477,$B46))</f>
        <v>1</v>
      </c>
      <c r="G46" s="5" t="n">
        <f aca="false">SUMPRODUCT(EXACT('Rule-Event map'!$F$2:$F$1477,$A46)*EXACT('Rule-Event map'!$G$2:$G$1477,$B46)*('Rule-Event map'!$C$2:$C$1477="New ITDR (7.6.0)"))</f>
        <v>0</v>
      </c>
      <c r="H46" s="5" t="n">
        <f aca="false">SUMPRODUCT(EXACT('Rule-Event map'!$F$2:$F$1477,$A46)*EXACT('Rule-Event map'!$G$2:$G$1477,$B46)*('Rule-Event map'!$C$2:$C$1477="Existing, re-tagged ITDR"))</f>
        <v>1</v>
      </c>
      <c r="I46" s="5" t="n">
        <f aca="false">F46-G46-H46</f>
        <v>0</v>
      </c>
      <c r="J46" s="5" t="n">
        <f aca="false">SUMPRODUCT(EXACT('Rule-Event map'!$F$2:$F$1477,$A46)*EXACT('Rule-Event map'!$G$2:$G$1477,$B46)*('Rule-Event map'!$E$2:$E$1477="Enabled"))</f>
        <v>1</v>
      </c>
      <c r="K46" s="2" t="s">
        <v>954</v>
      </c>
    </row>
    <row r="47" customFormat="false" ht="15" hidden="false" customHeight="false" outlineLevel="0" collapsed="false">
      <c r="A47" s="5" t="s">
        <v>7669</v>
      </c>
      <c r="B47" s="2" t="s">
        <v>6036</v>
      </c>
      <c r="C47" s="5"/>
      <c r="D47" s="5"/>
      <c r="E47" s="5" t="s">
        <v>8336</v>
      </c>
      <c r="F47" s="5" t="n">
        <f aca="false">SUMPRODUCT(EXACT('Rule-Event map'!$F$2:$F$1477,$A47)*EXACT('Rule-Event map'!$G$2:$G$1477,$B47))</f>
        <v>1</v>
      </c>
      <c r="G47" s="5" t="n">
        <f aca="false">SUMPRODUCT(EXACT('Rule-Event map'!$F$2:$F$1477,$A47)*EXACT('Rule-Event map'!$G$2:$G$1477,$B47)*('Rule-Event map'!$C$2:$C$1477="New ITDR (7.6.0)"))</f>
        <v>0</v>
      </c>
      <c r="H47" s="5" t="n">
        <f aca="false">SUMPRODUCT(EXACT('Rule-Event map'!$F$2:$F$1477,$A47)*EXACT('Rule-Event map'!$G$2:$G$1477,$B47)*('Rule-Event map'!$C$2:$C$1477="Existing, re-tagged ITDR"))</f>
        <v>0</v>
      </c>
      <c r="I47" s="5" t="n">
        <f aca="false">F47-G47-H47</f>
        <v>1</v>
      </c>
      <c r="J47" s="5" t="n">
        <f aca="false">SUMPRODUCT(EXACT('Rule-Event map'!$F$2:$F$1477,$A47)*EXACT('Rule-Event map'!$G$2:$G$1477,$B47)*('Rule-Event map'!$E$2:$E$1477="Enabled"))</f>
        <v>1</v>
      </c>
      <c r="K47" s="2" t="s">
        <v>6035</v>
      </c>
    </row>
    <row r="48" customFormat="false" ht="15" hidden="false" customHeight="false" outlineLevel="0" collapsed="false">
      <c r="A48" s="5" t="s">
        <v>7669</v>
      </c>
      <c r="B48" s="2" t="s">
        <v>1033</v>
      </c>
      <c r="C48" s="5"/>
      <c r="D48" s="5"/>
      <c r="E48" s="5" t="s">
        <v>8336</v>
      </c>
      <c r="F48" s="5" t="n">
        <f aca="false">SUMPRODUCT(EXACT('Rule-Event map'!$F$2:$F$1477,$A48)*EXACT('Rule-Event map'!$G$2:$G$1477,$B48))</f>
        <v>1</v>
      </c>
      <c r="G48" s="5" t="n">
        <f aca="false">SUMPRODUCT(EXACT('Rule-Event map'!$F$2:$F$1477,$A48)*EXACT('Rule-Event map'!$G$2:$G$1477,$B48)*('Rule-Event map'!$C$2:$C$1477="New ITDR (7.6.0)"))</f>
        <v>0</v>
      </c>
      <c r="H48" s="5" t="n">
        <f aca="false">SUMPRODUCT(EXACT('Rule-Event map'!$F$2:$F$1477,$A48)*EXACT('Rule-Event map'!$G$2:$G$1477,$B48)*('Rule-Event map'!$C$2:$C$1477="Existing, re-tagged ITDR"))</f>
        <v>1</v>
      </c>
      <c r="I48" s="5" t="n">
        <f aca="false">F48-G48-H48</f>
        <v>0</v>
      </c>
      <c r="J48" s="5" t="n">
        <f aca="false">SUMPRODUCT(EXACT('Rule-Event map'!$F$2:$F$1477,$A48)*EXACT('Rule-Event map'!$G$2:$G$1477,$B48)*('Rule-Event map'!$E$2:$E$1477="Enabled"))</f>
        <v>1</v>
      </c>
      <c r="K48" s="2" t="s">
        <v>1031</v>
      </c>
    </row>
    <row r="49" customFormat="false" ht="15" hidden="false" customHeight="false" outlineLevel="0" collapsed="false">
      <c r="A49" s="5" t="s">
        <v>7669</v>
      </c>
      <c r="B49" s="2" t="s">
        <v>4891</v>
      </c>
      <c r="C49" s="5"/>
      <c r="D49" s="5"/>
      <c r="E49" s="5" t="s">
        <v>8336</v>
      </c>
      <c r="F49" s="5" t="n">
        <f aca="false">SUMPRODUCT(EXACT('Rule-Event map'!$F$2:$F$1477,$A49)*EXACT('Rule-Event map'!$G$2:$G$1477,$B49))</f>
        <v>1</v>
      </c>
      <c r="G49" s="5" t="n">
        <f aca="false">SUMPRODUCT(EXACT('Rule-Event map'!$F$2:$F$1477,$A49)*EXACT('Rule-Event map'!$G$2:$G$1477,$B49)*('Rule-Event map'!$C$2:$C$1477="New ITDR (7.6.0)"))</f>
        <v>0</v>
      </c>
      <c r="H49" s="5" t="n">
        <f aca="false">SUMPRODUCT(EXACT('Rule-Event map'!$F$2:$F$1477,$A49)*EXACT('Rule-Event map'!$G$2:$G$1477,$B49)*('Rule-Event map'!$C$2:$C$1477="Existing, re-tagged ITDR"))</f>
        <v>0</v>
      </c>
      <c r="I49" s="5" t="n">
        <f aca="false">F49-G49-H49</f>
        <v>1</v>
      </c>
      <c r="J49" s="5" t="n">
        <f aca="false">SUMPRODUCT(EXACT('Rule-Event map'!$F$2:$F$1477,$A49)*EXACT('Rule-Event map'!$G$2:$G$1477,$B49)*('Rule-Event map'!$E$2:$E$1477="Enabled"))</f>
        <v>1</v>
      </c>
      <c r="K49" s="2" t="s">
        <v>4890</v>
      </c>
    </row>
    <row r="50" customFormat="false" ht="15" hidden="false" customHeight="false" outlineLevel="0" collapsed="false">
      <c r="A50" s="5" t="s">
        <v>7669</v>
      </c>
      <c r="B50" s="2" t="s">
        <v>6100</v>
      </c>
      <c r="C50" s="5"/>
      <c r="D50" s="5"/>
      <c r="E50" s="5" t="s">
        <v>8336</v>
      </c>
      <c r="F50" s="5" t="n">
        <f aca="false">SUMPRODUCT(EXACT('Rule-Event map'!$F$2:$F$1477,$A50)*EXACT('Rule-Event map'!$G$2:$G$1477,$B50))</f>
        <v>1</v>
      </c>
      <c r="G50" s="5" t="n">
        <f aca="false">SUMPRODUCT(EXACT('Rule-Event map'!$F$2:$F$1477,$A50)*EXACT('Rule-Event map'!$G$2:$G$1477,$B50)*('Rule-Event map'!$C$2:$C$1477="New ITDR (7.6.0)"))</f>
        <v>0</v>
      </c>
      <c r="H50" s="5" t="n">
        <f aca="false">SUMPRODUCT(EXACT('Rule-Event map'!$F$2:$F$1477,$A50)*EXACT('Rule-Event map'!$G$2:$G$1477,$B50)*('Rule-Event map'!$C$2:$C$1477="Existing, re-tagged ITDR"))</f>
        <v>0</v>
      </c>
      <c r="I50" s="5" t="n">
        <f aca="false">F50-G50-H50</f>
        <v>1</v>
      </c>
      <c r="J50" s="5" t="n">
        <f aca="false">SUMPRODUCT(EXACT('Rule-Event map'!$F$2:$F$1477,$A50)*EXACT('Rule-Event map'!$G$2:$G$1477,$B50)*('Rule-Event map'!$E$2:$E$1477="Enabled"))</f>
        <v>1</v>
      </c>
      <c r="K50" s="2" t="s">
        <v>6098</v>
      </c>
    </row>
    <row r="51" customFormat="false" ht="15" hidden="false" customHeight="false" outlineLevel="0" collapsed="false">
      <c r="A51" s="5" t="s">
        <v>7669</v>
      </c>
      <c r="B51" s="2" t="s">
        <v>5299</v>
      </c>
      <c r="C51" s="5"/>
      <c r="D51" s="5"/>
      <c r="E51" s="5" t="s">
        <v>8336</v>
      </c>
      <c r="F51" s="5" t="n">
        <f aca="false">SUMPRODUCT(EXACT('Rule-Event map'!$F$2:$F$1477,$A51)*EXACT('Rule-Event map'!$G$2:$G$1477,$B51))</f>
        <v>1</v>
      </c>
      <c r="G51" s="5" t="n">
        <f aca="false">SUMPRODUCT(EXACT('Rule-Event map'!$F$2:$F$1477,$A51)*EXACT('Rule-Event map'!$G$2:$G$1477,$B51)*('Rule-Event map'!$C$2:$C$1477="New ITDR (7.6.0)"))</f>
        <v>0</v>
      </c>
      <c r="H51" s="5" t="n">
        <f aca="false">SUMPRODUCT(EXACT('Rule-Event map'!$F$2:$F$1477,$A51)*EXACT('Rule-Event map'!$G$2:$G$1477,$B51)*('Rule-Event map'!$C$2:$C$1477="Existing, re-tagged ITDR"))</f>
        <v>0</v>
      </c>
      <c r="I51" s="5" t="n">
        <f aca="false">F51-G51-H51</f>
        <v>1</v>
      </c>
      <c r="J51" s="5" t="n">
        <f aca="false">SUMPRODUCT(EXACT('Rule-Event map'!$F$2:$F$1477,$A51)*EXACT('Rule-Event map'!$G$2:$G$1477,$B51)*('Rule-Event map'!$E$2:$E$1477="Enabled"))</f>
        <v>1</v>
      </c>
      <c r="K51" s="2" t="s">
        <v>5298</v>
      </c>
    </row>
    <row r="52" customFormat="false" ht="23.85" hidden="false" customHeight="false" outlineLevel="0" collapsed="false">
      <c r="A52" s="5" t="s">
        <v>7669</v>
      </c>
      <c r="B52" s="2" t="s">
        <v>7685</v>
      </c>
      <c r="C52" s="5"/>
      <c r="D52" s="5"/>
      <c r="E52" s="5" t="s">
        <v>8336</v>
      </c>
      <c r="F52" s="5" t="n">
        <f aca="false">SUMPRODUCT(EXACT('Rule-Event map'!$F$2:$F$1477,$A52)*EXACT('Rule-Event map'!$G$2:$G$1477,$B52))</f>
        <v>1</v>
      </c>
      <c r="G52" s="5" t="n">
        <f aca="false">SUMPRODUCT(EXACT('Rule-Event map'!$F$2:$F$1477,$A52)*EXACT('Rule-Event map'!$G$2:$G$1477,$B52)*('Rule-Event map'!$C$2:$C$1477="New ITDR (7.6.0)"))</f>
        <v>0</v>
      </c>
      <c r="H52" s="5" t="n">
        <f aca="false">SUMPRODUCT(EXACT('Rule-Event map'!$F$2:$F$1477,$A52)*EXACT('Rule-Event map'!$G$2:$G$1477,$B52)*('Rule-Event map'!$C$2:$C$1477="Existing, re-tagged ITDR"))</f>
        <v>1</v>
      </c>
      <c r="I52" s="5" t="n">
        <f aca="false">F52-G52-H52</f>
        <v>0</v>
      </c>
      <c r="J52" s="5" t="n">
        <f aca="false">SUMPRODUCT(EXACT('Rule-Event map'!$F$2:$F$1477,$A52)*EXACT('Rule-Event map'!$G$2:$G$1477,$B52)*('Rule-Event map'!$E$2:$E$1477="Enabled"))</f>
        <v>1</v>
      </c>
      <c r="K52" s="2" t="s">
        <v>613</v>
      </c>
    </row>
    <row r="53" customFormat="false" ht="23.85" hidden="false" customHeight="false" outlineLevel="0" collapsed="false">
      <c r="A53" s="5" t="s">
        <v>7669</v>
      </c>
      <c r="B53" s="2" t="s">
        <v>7687</v>
      </c>
      <c r="C53" s="5"/>
      <c r="D53" s="5"/>
      <c r="E53" s="5" t="s">
        <v>8336</v>
      </c>
      <c r="F53" s="5" t="n">
        <f aca="false">SUMPRODUCT(EXACT('Rule-Event map'!$F$2:$F$1477,$A53)*EXACT('Rule-Event map'!$G$2:$G$1477,$B53))</f>
        <v>1</v>
      </c>
      <c r="G53" s="5" t="n">
        <f aca="false">SUMPRODUCT(EXACT('Rule-Event map'!$F$2:$F$1477,$A53)*EXACT('Rule-Event map'!$G$2:$G$1477,$B53)*('Rule-Event map'!$C$2:$C$1477="New ITDR (7.6.0)"))</f>
        <v>0</v>
      </c>
      <c r="H53" s="5" t="n">
        <f aca="false">SUMPRODUCT(EXACT('Rule-Event map'!$F$2:$F$1477,$A53)*EXACT('Rule-Event map'!$G$2:$G$1477,$B53)*('Rule-Event map'!$C$2:$C$1477="Existing, re-tagged ITDR"))</f>
        <v>1</v>
      </c>
      <c r="I53" s="5" t="n">
        <f aca="false">F53-G53-H53</f>
        <v>0</v>
      </c>
      <c r="J53" s="5" t="n">
        <f aca="false">SUMPRODUCT(EXACT('Rule-Event map'!$F$2:$F$1477,$A53)*EXACT('Rule-Event map'!$G$2:$G$1477,$B53)*('Rule-Event map'!$E$2:$E$1477="Enabled"))</f>
        <v>1</v>
      </c>
      <c r="K53" s="2" t="s">
        <v>613</v>
      </c>
    </row>
    <row r="54" customFormat="false" ht="15" hidden="false" customHeight="false" outlineLevel="0" collapsed="false">
      <c r="A54" s="5" t="s">
        <v>7669</v>
      </c>
      <c r="B54" s="2" t="s">
        <v>8208</v>
      </c>
      <c r="C54" s="5"/>
      <c r="D54" s="5"/>
      <c r="E54" s="5" t="s">
        <v>8336</v>
      </c>
      <c r="F54" s="5" t="n">
        <f aca="false">SUMPRODUCT(EXACT('Rule-Event map'!$F$2:$F$1477,$A54)*EXACT('Rule-Event map'!$G$2:$G$1477,$B54))</f>
        <v>1</v>
      </c>
      <c r="G54" s="5" t="n">
        <f aca="false">SUMPRODUCT(EXACT('Rule-Event map'!$F$2:$F$1477,$A54)*EXACT('Rule-Event map'!$G$2:$G$1477,$B54)*('Rule-Event map'!$C$2:$C$1477="New ITDR (7.6.0)"))</f>
        <v>0</v>
      </c>
      <c r="H54" s="5" t="n">
        <f aca="false">SUMPRODUCT(EXACT('Rule-Event map'!$F$2:$F$1477,$A54)*EXACT('Rule-Event map'!$G$2:$G$1477,$B54)*('Rule-Event map'!$C$2:$C$1477="Existing, re-tagged ITDR"))</f>
        <v>0</v>
      </c>
      <c r="I54" s="5" t="n">
        <f aca="false">F54-G54-H54</f>
        <v>1</v>
      </c>
      <c r="J54" s="5" t="n">
        <f aca="false">SUMPRODUCT(EXACT('Rule-Event map'!$F$2:$F$1477,$A54)*EXACT('Rule-Event map'!$G$2:$G$1477,$B54)*('Rule-Event map'!$E$2:$E$1477="Enabled"))</f>
        <v>1</v>
      </c>
      <c r="K54" s="2" t="s">
        <v>6091</v>
      </c>
    </row>
    <row r="55" customFormat="false" ht="23.85" hidden="false" customHeight="false" outlineLevel="0" collapsed="false">
      <c r="A55" s="5" t="s">
        <v>7669</v>
      </c>
      <c r="B55" s="2" t="s">
        <v>865</v>
      </c>
      <c r="C55" s="5"/>
      <c r="D55" s="5"/>
      <c r="E55" s="5" t="s">
        <v>8336</v>
      </c>
      <c r="F55" s="5" t="n">
        <f aca="false">SUMPRODUCT(EXACT('Rule-Event map'!$F$2:$F$1477,$A55)*EXACT('Rule-Event map'!$G$2:$G$1477,$B55))</f>
        <v>3</v>
      </c>
      <c r="G55" s="5" t="n">
        <f aca="false">SUMPRODUCT(EXACT('Rule-Event map'!$F$2:$F$1477,$A55)*EXACT('Rule-Event map'!$G$2:$G$1477,$B55)*('Rule-Event map'!$C$2:$C$1477="New ITDR (7.6.0)"))</f>
        <v>0</v>
      </c>
      <c r="H55" s="5" t="n">
        <f aca="false">SUMPRODUCT(EXACT('Rule-Event map'!$F$2:$F$1477,$A55)*EXACT('Rule-Event map'!$G$2:$G$1477,$B55)*('Rule-Event map'!$C$2:$C$1477="Existing, re-tagged ITDR"))</f>
        <v>2</v>
      </c>
      <c r="I55" s="5" t="n">
        <f aca="false">F55-G55-H55</f>
        <v>1</v>
      </c>
      <c r="J55" s="5" t="n">
        <f aca="false">SUMPRODUCT(EXACT('Rule-Event map'!$F$2:$F$1477,$A55)*EXACT('Rule-Event map'!$G$2:$G$1477,$B55)*('Rule-Event map'!$E$2:$E$1477="Enabled"))</f>
        <v>3</v>
      </c>
      <c r="K55" s="2" t="s">
        <v>8353</v>
      </c>
    </row>
    <row r="56" customFormat="false" ht="35.05" hidden="false" customHeight="false" outlineLevel="0" collapsed="false">
      <c r="A56" s="5" t="s">
        <v>7669</v>
      </c>
      <c r="B56" s="2" t="s">
        <v>638</v>
      </c>
      <c r="C56" s="5"/>
      <c r="D56" s="5"/>
      <c r="E56" s="5" t="s">
        <v>8336</v>
      </c>
      <c r="F56" s="5" t="n">
        <f aca="false">SUMPRODUCT(EXACT('Rule-Event map'!$F$2:$F$1477,$A56)*EXACT('Rule-Event map'!$G$2:$G$1477,$B56))</f>
        <v>5</v>
      </c>
      <c r="G56" s="5" t="n">
        <f aca="false">SUMPRODUCT(EXACT('Rule-Event map'!$F$2:$F$1477,$A56)*EXACT('Rule-Event map'!$G$2:$G$1477,$B56)*('Rule-Event map'!$C$2:$C$1477="New ITDR (7.6.0)"))</f>
        <v>0</v>
      </c>
      <c r="H56" s="5" t="n">
        <f aca="false">SUMPRODUCT(EXACT('Rule-Event map'!$F$2:$F$1477,$A56)*EXACT('Rule-Event map'!$G$2:$G$1477,$B56)*('Rule-Event map'!$C$2:$C$1477="Existing, re-tagged ITDR"))</f>
        <v>3</v>
      </c>
      <c r="I56" s="5" t="n">
        <f aca="false">F56-G56-H56</f>
        <v>2</v>
      </c>
      <c r="J56" s="5" t="n">
        <f aca="false">SUMPRODUCT(EXACT('Rule-Event map'!$F$2:$F$1477,$A56)*EXACT('Rule-Event map'!$G$2:$G$1477,$B56)*('Rule-Event map'!$E$2:$E$1477="Enabled"))</f>
        <v>4</v>
      </c>
      <c r="K56" s="2" t="s">
        <v>8354</v>
      </c>
    </row>
    <row r="57" customFormat="false" ht="15" hidden="false" customHeight="false" outlineLevel="0" collapsed="false">
      <c r="A57" s="5" t="s">
        <v>7669</v>
      </c>
      <c r="B57" s="2" t="s">
        <v>872</v>
      </c>
      <c r="C57" s="5"/>
      <c r="D57" s="5"/>
      <c r="E57" s="5" t="s">
        <v>8336</v>
      </c>
      <c r="F57" s="5" t="n">
        <f aca="false">SUMPRODUCT(EXACT('Rule-Event map'!$F$2:$F$1477,$A57)*EXACT('Rule-Event map'!$G$2:$G$1477,$B57))</f>
        <v>2</v>
      </c>
      <c r="G57" s="5" t="n">
        <f aca="false">SUMPRODUCT(EXACT('Rule-Event map'!$F$2:$F$1477,$A57)*EXACT('Rule-Event map'!$G$2:$G$1477,$B57)*('Rule-Event map'!$C$2:$C$1477="New ITDR (7.6.0)"))</f>
        <v>0</v>
      </c>
      <c r="H57" s="5" t="n">
        <f aca="false">SUMPRODUCT(EXACT('Rule-Event map'!$F$2:$F$1477,$A57)*EXACT('Rule-Event map'!$G$2:$G$1477,$B57)*('Rule-Event map'!$C$2:$C$1477="Existing, re-tagged ITDR"))</f>
        <v>2</v>
      </c>
      <c r="I57" s="5" t="n">
        <f aca="false">F57-G57-H57</f>
        <v>0</v>
      </c>
      <c r="J57" s="5" t="n">
        <f aca="false">SUMPRODUCT(EXACT('Rule-Event map'!$F$2:$F$1477,$A57)*EXACT('Rule-Event map'!$G$2:$G$1477,$B57)*('Rule-Event map'!$E$2:$E$1477="Enabled"))</f>
        <v>2</v>
      </c>
      <c r="K57" s="2" t="s">
        <v>8355</v>
      </c>
    </row>
    <row r="58" customFormat="false" ht="15" hidden="false" customHeight="false" outlineLevel="0" collapsed="false">
      <c r="A58" s="5" t="s">
        <v>7669</v>
      </c>
      <c r="B58" s="2" t="s">
        <v>7683</v>
      </c>
      <c r="C58" s="5"/>
      <c r="D58" s="5"/>
      <c r="E58" s="5" t="s">
        <v>8336</v>
      </c>
      <c r="F58" s="5" t="n">
        <f aca="false">SUMPRODUCT(EXACT('Rule-Event map'!$F$2:$F$1477,$A58)*EXACT('Rule-Event map'!$G$2:$G$1477,$B58))</f>
        <v>1</v>
      </c>
      <c r="G58" s="5" t="n">
        <f aca="false">SUMPRODUCT(EXACT('Rule-Event map'!$F$2:$F$1477,$A58)*EXACT('Rule-Event map'!$G$2:$G$1477,$B58)*('Rule-Event map'!$C$2:$C$1477="New ITDR (7.6.0)"))</f>
        <v>0</v>
      </c>
      <c r="H58" s="5" t="n">
        <f aca="false">SUMPRODUCT(EXACT('Rule-Event map'!$F$2:$F$1477,$A58)*EXACT('Rule-Event map'!$G$2:$G$1477,$B58)*('Rule-Event map'!$C$2:$C$1477="Existing, re-tagged ITDR"))</f>
        <v>1</v>
      </c>
      <c r="I58" s="5" t="n">
        <f aca="false">F58-G58-H58</f>
        <v>0</v>
      </c>
      <c r="J58" s="5" t="n">
        <f aca="false">SUMPRODUCT(EXACT('Rule-Event map'!$F$2:$F$1477,$A58)*EXACT('Rule-Event map'!$G$2:$G$1477,$B58)*('Rule-Event map'!$E$2:$E$1477="Enabled"))</f>
        <v>1</v>
      </c>
      <c r="K58" s="2" t="s">
        <v>601</v>
      </c>
    </row>
    <row r="59" customFormat="false" ht="23.85" hidden="false" customHeight="false" outlineLevel="0" collapsed="false">
      <c r="A59" s="5" t="s">
        <v>7669</v>
      </c>
      <c r="B59" s="2" t="s">
        <v>2936</v>
      </c>
      <c r="C59" s="5"/>
      <c r="D59" s="5"/>
      <c r="E59" s="5" t="s">
        <v>8336</v>
      </c>
      <c r="F59" s="5" t="n">
        <f aca="false">SUMPRODUCT(EXACT('Rule-Event map'!$F$2:$F$1477,$A59)*EXACT('Rule-Event map'!$G$2:$G$1477,$B59))</f>
        <v>1</v>
      </c>
      <c r="G59" s="5" t="n">
        <f aca="false">SUMPRODUCT(EXACT('Rule-Event map'!$F$2:$F$1477,$A59)*EXACT('Rule-Event map'!$G$2:$G$1477,$B59)*('Rule-Event map'!$C$2:$C$1477="New ITDR (7.6.0)"))</f>
        <v>0</v>
      </c>
      <c r="H59" s="5" t="n">
        <f aca="false">SUMPRODUCT(EXACT('Rule-Event map'!$F$2:$F$1477,$A59)*EXACT('Rule-Event map'!$G$2:$G$1477,$B59)*('Rule-Event map'!$C$2:$C$1477="Existing, re-tagged ITDR"))</f>
        <v>0</v>
      </c>
      <c r="I59" s="5" t="n">
        <f aca="false">F59-G59-H59</f>
        <v>1</v>
      </c>
      <c r="J59" s="5" t="n">
        <f aca="false">SUMPRODUCT(EXACT('Rule-Event map'!$F$2:$F$1477,$A59)*EXACT('Rule-Event map'!$G$2:$G$1477,$B59)*('Rule-Event map'!$E$2:$E$1477="Enabled"))</f>
        <v>1</v>
      </c>
      <c r="K59" s="2" t="s">
        <v>2934</v>
      </c>
    </row>
    <row r="60" customFormat="false" ht="23.85" hidden="false" customHeight="false" outlineLevel="0" collapsed="false">
      <c r="A60" s="5" t="s">
        <v>7669</v>
      </c>
      <c r="B60" s="2" t="s">
        <v>2943</v>
      </c>
      <c r="C60" s="5"/>
      <c r="D60" s="5"/>
      <c r="E60" s="5" t="s">
        <v>8336</v>
      </c>
      <c r="F60" s="5" t="n">
        <f aca="false">SUMPRODUCT(EXACT('Rule-Event map'!$F$2:$F$1477,$A60)*EXACT('Rule-Event map'!$G$2:$G$1477,$B60))</f>
        <v>1</v>
      </c>
      <c r="G60" s="5" t="n">
        <f aca="false">SUMPRODUCT(EXACT('Rule-Event map'!$F$2:$F$1477,$A60)*EXACT('Rule-Event map'!$G$2:$G$1477,$B60)*('Rule-Event map'!$C$2:$C$1477="New ITDR (7.6.0)"))</f>
        <v>0</v>
      </c>
      <c r="H60" s="5" t="n">
        <f aca="false">SUMPRODUCT(EXACT('Rule-Event map'!$F$2:$F$1477,$A60)*EXACT('Rule-Event map'!$G$2:$G$1477,$B60)*('Rule-Event map'!$C$2:$C$1477="Existing, re-tagged ITDR"))</f>
        <v>0</v>
      </c>
      <c r="I60" s="5" t="n">
        <f aca="false">F60-G60-H60</f>
        <v>1</v>
      </c>
      <c r="J60" s="5" t="n">
        <f aca="false">SUMPRODUCT(EXACT('Rule-Event map'!$F$2:$F$1477,$A60)*EXACT('Rule-Event map'!$G$2:$G$1477,$B60)*('Rule-Event map'!$E$2:$E$1477="Enabled"))</f>
        <v>1</v>
      </c>
      <c r="K60" s="2" t="s">
        <v>2942</v>
      </c>
    </row>
    <row r="61" customFormat="false" ht="15" hidden="false" customHeight="false" outlineLevel="0" collapsed="false">
      <c r="A61" s="5" t="s">
        <v>7669</v>
      </c>
      <c r="B61" s="2" t="s">
        <v>2949</v>
      </c>
      <c r="C61" s="5"/>
      <c r="D61" s="5"/>
      <c r="E61" s="5" t="s">
        <v>8336</v>
      </c>
      <c r="F61" s="5" t="n">
        <f aca="false">SUMPRODUCT(EXACT('Rule-Event map'!$F$2:$F$1477,$A61)*EXACT('Rule-Event map'!$G$2:$G$1477,$B61))</f>
        <v>1</v>
      </c>
      <c r="G61" s="5" t="n">
        <f aca="false">SUMPRODUCT(EXACT('Rule-Event map'!$F$2:$F$1477,$A61)*EXACT('Rule-Event map'!$G$2:$G$1477,$B61)*('Rule-Event map'!$C$2:$C$1477="New ITDR (7.6.0)"))</f>
        <v>0</v>
      </c>
      <c r="H61" s="5" t="n">
        <f aca="false">SUMPRODUCT(EXACT('Rule-Event map'!$F$2:$F$1477,$A61)*EXACT('Rule-Event map'!$G$2:$G$1477,$B61)*('Rule-Event map'!$C$2:$C$1477="Existing, re-tagged ITDR"))</f>
        <v>0</v>
      </c>
      <c r="I61" s="5" t="n">
        <f aca="false">F61-G61-H61</f>
        <v>1</v>
      </c>
      <c r="J61" s="5" t="n">
        <f aca="false">SUMPRODUCT(EXACT('Rule-Event map'!$F$2:$F$1477,$A61)*EXACT('Rule-Event map'!$G$2:$G$1477,$B61)*('Rule-Event map'!$E$2:$E$1477="Enabled"))</f>
        <v>1</v>
      </c>
      <c r="K61" s="2" t="s">
        <v>2948</v>
      </c>
    </row>
    <row r="62" customFormat="false" ht="23.85" hidden="false" customHeight="false" outlineLevel="0" collapsed="false">
      <c r="A62" s="5" t="s">
        <v>7669</v>
      </c>
      <c r="B62" s="2" t="s">
        <v>881</v>
      </c>
      <c r="C62" s="5"/>
      <c r="D62" s="5"/>
      <c r="E62" s="5" t="s">
        <v>8336</v>
      </c>
      <c r="F62" s="5" t="n">
        <f aca="false">SUMPRODUCT(EXACT('Rule-Event map'!$F$2:$F$1477,$A62)*EXACT('Rule-Event map'!$G$2:$G$1477,$B62))</f>
        <v>1</v>
      </c>
      <c r="G62" s="5" t="n">
        <f aca="false">SUMPRODUCT(EXACT('Rule-Event map'!$F$2:$F$1477,$A62)*EXACT('Rule-Event map'!$G$2:$G$1477,$B62)*('Rule-Event map'!$C$2:$C$1477="New ITDR (7.6.0)"))</f>
        <v>0</v>
      </c>
      <c r="H62" s="5" t="n">
        <f aca="false">SUMPRODUCT(EXACT('Rule-Event map'!$F$2:$F$1477,$A62)*EXACT('Rule-Event map'!$G$2:$G$1477,$B62)*('Rule-Event map'!$C$2:$C$1477="Existing, re-tagged ITDR"))</f>
        <v>1</v>
      </c>
      <c r="I62" s="5" t="n">
        <f aca="false">F62-G62-H62</f>
        <v>0</v>
      </c>
      <c r="J62" s="5" t="n">
        <f aca="false">SUMPRODUCT(EXACT('Rule-Event map'!$F$2:$F$1477,$A62)*EXACT('Rule-Event map'!$G$2:$G$1477,$B62)*('Rule-Event map'!$E$2:$E$1477="Enabled"))</f>
        <v>1</v>
      </c>
      <c r="K62" s="2" t="s">
        <v>879</v>
      </c>
    </row>
    <row r="63" customFormat="false" ht="23.85" hidden="false" customHeight="false" outlineLevel="0" collapsed="false">
      <c r="A63" s="5" t="s">
        <v>7669</v>
      </c>
      <c r="B63" s="2" t="s">
        <v>7720</v>
      </c>
      <c r="C63" s="5"/>
      <c r="D63" s="5"/>
      <c r="E63" s="5" t="s">
        <v>8336</v>
      </c>
      <c r="F63" s="5" t="n">
        <f aca="false">SUMPRODUCT(EXACT('Rule-Event map'!$F$2:$F$1477,$A63)*EXACT('Rule-Event map'!$G$2:$G$1477,$B63))</f>
        <v>1</v>
      </c>
      <c r="G63" s="5" t="n">
        <f aca="false">SUMPRODUCT(EXACT('Rule-Event map'!$F$2:$F$1477,$A63)*EXACT('Rule-Event map'!$G$2:$G$1477,$B63)*('Rule-Event map'!$C$2:$C$1477="New ITDR (7.6.0)"))</f>
        <v>0</v>
      </c>
      <c r="H63" s="5" t="n">
        <f aca="false">SUMPRODUCT(EXACT('Rule-Event map'!$F$2:$F$1477,$A63)*EXACT('Rule-Event map'!$G$2:$G$1477,$B63)*('Rule-Event map'!$C$2:$C$1477="Existing, re-tagged ITDR"))</f>
        <v>1</v>
      </c>
      <c r="I63" s="5" t="n">
        <f aca="false">F63-G63-H63</f>
        <v>0</v>
      </c>
      <c r="J63" s="5" t="n">
        <f aca="false">SUMPRODUCT(EXACT('Rule-Event map'!$F$2:$F$1477,$A63)*EXACT('Rule-Event map'!$G$2:$G$1477,$B63)*('Rule-Event map'!$E$2:$E$1477="Enabled"))</f>
        <v>1</v>
      </c>
      <c r="K63" s="2" t="s">
        <v>1049</v>
      </c>
    </row>
    <row r="64" customFormat="false" ht="15" hidden="false" customHeight="false" outlineLevel="0" collapsed="false">
      <c r="A64" s="5" t="s">
        <v>7669</v>
      </c>
      <c r="B64" s="2" t="s">
        <v>2121</v>
      </c>
      <c r="C64" s="5"/>
      <c r="D64" s="5"/>
      <c r="E64" s="5" t="s">
        <v>8336</v>
      </c>
      <c r="F64" s="5" t="n">
        <f aca="false">SUMPRODUCT(EXACT('Rule-Event map'!$F$2:$F$1477,$A64)*EXACT('Rule-Event map'!$G$2:$G$1477,$B64))</f>
        <v>1</v>
      </c>
      <c r="G64" s="5" t="n">
        <f aca="false">SUMPRODUCT(EXACT('Rule-Event map'!$F$2:$F$1477,$A64)*EXACT('Rule-Event map'!$G$2:$G$1477,$B64)*('Rule-Event map'!$C$2:$C$1477="New ITDR (7.6.0)"))</f>
        <v>0</v>
      </c>
      <c r="H64" s="5" t="n">
        <f aca="false">SUMPRODUCT(EXACT('Rule-Event map'!$F$2:$F$1477,$A64)*EXACT('Rule-Event map'!$G$2:$G$1477,$B64)*('Rule-Event map'!$C$2:$C$1477="Existing, re-tagged ITDR"))</f>
        <v>1</v>
      </c>
      <c r="I64" s="5" t="n">
        <f aca="false">F64-G64-H64</f>
        <v>0</v>
      </c>
      <c r="J64" s="5" t="n">
        <f aca="false">SUMPRODUCT(EXACT('Rule-Event map'!$F$2:$F$1477,$A64)*EXACT('Rule-Event map'!$G$2:$G$1477,$B64)*('Rule-Event map'!$E$2:$E$1477="Enabled"))</f>
        <v>1</v>
      </c>
      <c r="K64" s="2" t="s">
        <v>2120</v>
      </c>
    </row>
    <row r="65" customFormat="false" ht="15" hidden="false" customHeight="false" outlineLevel="0" collapsed="false">
      <c r="A65" s="5" t="s">
        <v>7669</v>
      </c>
      <c r="B65" s="2" t="s">
        <v>4947</v>
      </c>
      <c r="C65" s="5"/>
      <c r="D65" s="5"/>
      <c r="E65" s="5" t="s">
        <v>8336</v>
      </c>
      <c r="F65" s="5" t="n">
        <f aca="false">SUMPRODUCT(EXACT('Rule-Event map'!$F$2:$F$1477,$A65)*EXACT('Rule-Event map'!$G$2:$G$1477,$B65))</f>
        <v>1</v>
      </c>
      <c r="G65" s="5" t="n">
        <f aca="false">SUMPRODUCT(EXACT('Rule-Event map'!$F$2:$F$1477,$A65)*EXACT('Rule-Event map'!$G$2:$G$1477,$B65)*('Rule-Event map'!$C$2:$C$1477="New ITDR (7.6.0)"))</f>
        <v>0</v>
      </c>
      <c r="H65" s="5" t="n">
        <f aca="false">SUMPRODUCT(EXACT('Rule-Event map'!$F$2:$F$1477,$A65)*EXACT('Rule-Event map'!$G$2:$G$1477,$B65)*('Rule-Event map'!$C$2:$C$1477="Existing, re-tagged ITDR"))</f>
        <v>0</v>
      </c>
      <c r="I65" s="5" t="n">
        <f aca="false">F65-G65-H65</f>
        <v>1</v>
      </c>
      <c r="J65" s="5" t="n">
        <f aca="false">SUMPRODUCT(EXACT('Rule-Event map'!$F$2:$F$1477,$A65)*EXACT('Rule-Event map'!$G$2:$G$1477,$B65)*('Rule-Event map'!$E$2:$E$1477="Enabled"))</f>
        <v>1</v>
      </c>
      <c r="K65" s="2" t="s">
        <v>4945</v>
      </c>
    </row>
    <row r="66" customFormat="false" ht="15" hidden="false" customHeight="false" outlineLevel="0" collapsed="false">
      <c r="A66" s="5" t="s">
        <v>7639</v>
      </c>
      <c r="B66" s="2" t="s">
        <v>7640</v>
      </c>
      <c r="C66" s="5"/>
      <c r="D66" s="5"/>
      <c r="E66" s="5" t="s">
        <v>8336</v>
      </c>
      <c r="F66" s="5" t="n">
        <f aca="false">SUMPRODUCT(EXACT('Rule-Event map'!$F$2:$F$1477,$A66)*EXACT('Rule-Event map'!$G$2:$G$1477,$B66))</f>
        <v>1</v>
      </c>
      <c r="G66" s="5" t="n">
        <f aca="false">SUMPRODUCT(EXACT('Rule-Event map'!$F$2:$F$1477,$A66)*EXACT('Rule-Event map'!$G$2:$G$1477,$B66)*('Rule-Event map'!$C$2:$C$1477="New ITDR (7.6.0)"))</f>
        <v>1</v>
      </c>
      <c r="H66" s="5" t="n">
        <f aca="false">SUMPRODUCT(EXACT('Rule-Event map'!$F$2:$F$1477,$A66)*EXACT('Rule-Event map'!$G$2:$G$1477,$B66)*('Rule-Event map'!$C$2:$C$1477="Existing, re-tagged ITDR"))</f>
        <v>0</v>
      </c>
      <c r="I66" s="5" t="n">
        <f aca="false">F66-G66-H66</f>
        <v>0</v>
      </c>
      <c r="J66" s="5" t="n">
        <f aca="false">SUMPRODUCT(EXACT('Rule-Event map'!$F$2:$F$1477,$A66)*EXACT('Rule-Event map'!$G$2:$G$1477,$B66)*('Rule-Event map'!$E$2:$E$1477="Enabled"))</f>
        <v>1</v>
      </c>
      <c r="K66" s="2" t="s">
        <v>253</v>
      </c>
    </row>
    <row r="67" customFormat="false" ht="15" hidden="false" customHeight="false" outlineLevel="0" collapsed="false">
      <c r="A67" s="5" t="s">
        <v>7715</v>
      </c>
      <c r="B67" s="2" t="s">
        <v>1041</v>
      </c>
      <c r="C67" s="5"/>
      <c r="D67" s="5"/>
      <c r="E67" s="5" t="s">
        <v>8336</v>
      </c>
      <c r="F67" s="5" t="n">
        <f aca="false">SUMPRODUCT(EXACT('Rule-Event map'!$F$2:$F$1477,$A67)*EXACT('Rule-Event map'!$G$2:$G$1477,$B67))</f>
        <v>1</v>
      </c>
      <c r="G67" s="5" t="n">
        <f aca="false">SUMPRODUCT(EXACT('Rule-Event map'!$F$2:$F$1477,$A67)*EXACT('Rule-Event map'!$G$2:$G$1477,$B67)*('Rule-Event map'!$C$2:$C$1477="New ITDR (7.6.0)"))</f>
        <v>0</v>
      </c>
      <c r="H67" s="5" t="n">
        <f aca="false">SUMPRODUCT(EXACT('Rule-Event map'!$F$2:$F$1477,$A67)*EXACT('Rule-Event map'!$G$2:$G$1477,$B67)*('Rule-Event map'!$C$2:$C$1477="Existing, re-tagged ITDR"))</f>
        <v>1</v>
      </c>
      <c r="I67" s="5" t="n">
        <f aca="false">F67-G67-H67</f>
        <v>0</v>
      </c>
      <c r="J67" s="5" t="n">
        <f aca="false">SUMPRODUCT(EXACT('Rule-Event map'!$F$2:$F$1477,$A67)*EXACT('Rule-Event map'!$G$2:$G$1477,$B67)*('Rule-Event map'!$E$2:$E$1477="Enabled"))</f>
        <v>1</v>
      </c>
      <c r="K67" s="2" t="s">
        <v>1038</v>
      </c>
    </row>
    <row r="68" customFormat="false" ht="15" hidden="false" customHeight="false" outlineLevel="0" collapsed="false">
      <c r="A68" s="5" t="s">
        <v>7622</v>
      </c>
      <c r="B68" s="2" t="s">
        <v>7783</v>
      </c>
      <c r="C68" s="5"/>
      <c r="D68" s="5"/>
      <c r="E68" s="5" t="s">
        <v>8336</v>
      </c>
      <c r="F68" s="5" t="n">
        <f aca="false">SUMPRODUCT(EXACT('Rule-Event map'!$F$2:$F$1477,$A68)*EXACT('Rule-Event map'!$G$2:$G$1477,$B68))</f>
        <v>1</v>
      </c>
      <c r="G68" s="5" t="n">
        <f aca="false">SUMPRODUCT(EXACT('Rule-Event map'!$F$2:$F$1477,$A68)*EXACT('Rule-Event map'!$G$2:$G$1477,$B68)*('Rule-Event map'!$C$2:$C$1477="New ITDR (7.6.0)"))</f>
        <v>0</v>
      </c>
      <c r="H68" s="5" t="n">
        <f aca="false">SUMPRODUCT(EXACT('Rule-Event map'!$F$2:$F$1477,$A68)*EXACT('Rule-Event map'!$G$2:$G$1477,$B68)*('Rule-Event map'!$C$2:$C$1477="Existing, re-tagged ITDR"))</f>
        <v>0</v>
      </c>
      <c r="I68" s="5" t="n">
        <f aca="false">F68-G68-H68</f>
        <v>1</v>
      </c>
      <c r="J68" s="5" t="n">
        <f aca="false">SUMPRODUCT(EXACT('Rule-Event map'!$F$2:$F$1477,$A68)*EXACT('Rule-Event map'!$G$2:$G$1477,$B68)*('Rule-Event map'!$E$2:$E$1477="Enabled"))</f>
        <v>0</v>
      </c>
      <c r="K68" s="2" t="s">
        <v>2590</v>
      </c>
    </row>
    <row r="69" customFormat="false" ht="23.85" hidden="false" customHeight="false" outlineLevel="0" collapsed="false">
      <c r="A69" s="5" t="s">
        <v>7622</v>
      </c>
      <c r="B69" s="2" t="s">
        <v>2523</v>
      </c>
      <c r="C69" s="5"/>
      <c r="D69" s="5"/>
      <c r="E69" s="5" t="s">
        <v>8336</v>
      </c>
      <c r="F69" s="5" t="n">
        <f aca="false">SUMPRODUCT(EXACT('Rule-Event map'!$F$2:$F$1477,$A69)*EXACT('Rule-Event map'!$G$2:$G$1477,$B69))</f>
        <v>2</v>
      </c>
      <c r="G69" s="5" t="n">
        <f aca="false">SUMPRODUCT(EXACT('Rule-Event map'!$F$2:$F$1477,$A69)*EXACT('Rule-Event map'!$G$2:$G$1477,$B69)*('Rule-Event map'!$C$2:$C$1477="New ITDR (7.6.0)"))</f>
        <v>0</v>
      </c>
      <c r="H69" s="5" t="n">
        <f aca="false">SUMPRODUCT(EXACT('Rule-Event map'!$F$2:$F$1477,$A69)*EXACT('Rule-Event map'!$G$2:$G$1477,$B69)*('Rule-Event map'!$C$2:$C$1477="Existing, re-tagged ITDR"))</f>
        <v>0</v>
      </c>
      <c r="I69" s="5" t="n">
        <f aca="false">F69-G69-H69</f>
        <v>2</v>
      </c>
      <c r="J69" s="5" t="n">
        <f aca="false">SUMPRODUCT(EXACT('Rule-Event map'!$F$2:$F$1477,$A69)*EXACT('Rule-Event map'!$G$2:$G$1477,$B69)*('Rule-Event map'!$E$2:$E$1477="Enabled"))</f>
        <v>2</v>
      </c>
      <c r="K69" s="2" t="s">
        <v>8356</v>
      </c>
    </row>
    <row r="70" customFormat="false" ht="15" hidden="false" customHeight="false" outlineLevel="0" collapsed="false">
      <c r="A70" s="5" t="s">
        <v>7622</v>
      </c>
      <c r="B70" s="2" t="s">
        <v>174</v>
      </c>
      <c r="C70" s="5"/>
      <c r="D70" s="5"/>
      <c r="E70" s="5" t="s">
        <v>8336</v>
      </c>
      <c r="F70" s="5" t="n">
        <f aca="false">SUMPRODUCT(EXACT('Rule-Event map'!$F$2:$F$1477,$A70)*EXACT('Rule-Event map'!$G$2:$G$1477,$B70))</f>
        <v>2</v>
      </c>
      <c r="G70" s="5" t="n">
        <f aca="false">SUMPRODUCT(EXACT('Rule-Event map'!$F$2:$F$1477,$A70)*EXACT('Rule-Event map'!$G$2:$G$1477,$B70)*('Rule-Event map'!$C$2:$C$1477="New ITDR (7.6.0)"))</f>
        <v>1</v>
      </c>
      <c r="H70" s="5" t="n">
        <f aca="false">SUMPRODUCT(EXACT('Rule-Event map'!$F$2:$F$1477,$A70)*EXACT('Rule-Event map'!$G$2:$G$1477,$B70)*('Rule-Event map'!$C$2:$C$1477="Existing, re-tagged ITDR"))</f>
        <v>0</v>
      </c>
      <c r="I70" s="5" t="n">
        <f aca="false">F70-G70-H70</f>
        <v>1</v>
      </c>
      <c r="J70" s="5" t="n">
        <f aca="false">SUMPRODUCT(EXACT('Rule-Event map'!$F$2:$F$1477,$A70)*EXACT('Rule-Event map'!$G$2:$G$1477,$B70)*('Rule-Event map'!$E$2:$E$1477="Enabled"))</f>
        <v>2</v>
      </c>
      <c r="K70" s="2" t="s">
        <v>8357</v>
      </c>
    </row>
    <row r="71" customFormat="false" ht="15" hidden="false" customHeight="false" outlineLevel="0" collapsed="false">
      <c r="A71" s="5" t="s">
        <v>7622</v>
      </c>
      <c r="B71" s="2" t="s">
        <v>7623</v>
      </c>
      <c r="C71" s="5"/>
      <c r="D71" s="5"/>
      <c r="E71" s="5" t="s">
        <v>8336</v>
      </c>
      <c r="F71" s="5" t="n">
        <f aca="false">SUMPRODUCT(EXACT('Rule-Event map'!$F$2:$F$1477,$A71)*EXACT('Rule-Event map'!$G$2:$G$1477,$B71))</f>
        <v>1</v>
      </c>
      <c r="G71" s="5" t="n">
        <f aca="false">SUMPRODUCT(EXACT('Rule-Event map'!$F$2:$F$1477,$A71)*EXACT('Rule-Event map'!$G$2:$G$1477,$B71)*('Rule-Event map'!$C$2:$C$1477="New ITDR (7.6.0)"))</f>
        <v>1</v>
      </c>
      <c r="H71" s="5" t="n">
        <f aca="false">SUMPRODUCT(EXACT('Rule-Event map'!$F$2:$F$1477,$A71)*EXACT('Rule-Event map'!$G$2:$G$1477,$B71)*('Rule-Event map'!$C$2:$C$1477="Existing, re-tagged ITDR"))</f>
        <v>0</v>
      </c>
      <c r="I71" s="5" t="n">
        <f aca="false">F71-G71-H71</f>
        <v>0</v>
      </c>
      <c r="J71" s="5" t="n">
        <f aca="false">SUMPRODUCT(EXACT('Rule-Event map'!$F$2:$F$1477,$A71)*EXACT('Rule-Event map'!$G$2:$G$1477,$B71)*('Rule-Event map'!$E$2:$E$1477="Enabled"))</f>
        <v>1</v>
      </c>
      <c r="K71" s="2" t="s">
        <v>150</v>
      </c>
    </row>
    <row r="72" customFormat="false" ht="23.85" hidden="false" customHeight="false" outlineLevel="0" collapsed="false">
      <c r="A72" s="5" t="s">
        <v>7622</v>
      </c>
      <c r="B72" s="2" t="s">
        <v>7624</v>
      </c>
      <c r="C72" s="5"/>
      <c r="D72" s="5"/>
      <c r="E72" s="5" t="s">
        <v>8336</v>
      </c>
      <c r="F72" s="5" t="n">
        <f aca="false">SUMPRODUCT(EXACT('Rule-Event map'!$F$2:$F$1477,$A72)*EXACT('Rule-Event map'!$G$2:$G$1477,$B72))</f>
        <v>2</v>
      </c>
      <c r="G72" s="5" t="n">
        <f aca="false">SUMPRODUCT(EXACT('Rule-Event map'!$F$2:$F$1477,$A72)*EXACT('Rule-Event map'!$G$2:$G$1477,$B72)*('Rule-Event map'!$C$2:$C$1477="New ITDR (7.6.0)"))</f>
        <v>2</v>
      </c>
      <c r="H72" s="5" t="n">
        <f aca="false">SUMPRODUCT(EXACT('Rule-Event map'!$F$2:$F$1477,$A72)*EXACT('Rule-Event map'!$G$2:$G$1477,$B72)*('Rule-Event map'!$C$2:$C$1477="Existing, re-tagged ITDR"))</f>
        <v>0</v>
      </c>
      <c r="I72" s="5" t="n">
        <f aca="false">F72-G72-H72</f>
        <v>0</v>
      </c>
      <c r="J72" s="5" t="n">
        <f aca="false">SUMPRODUCT(EXACT('Rule-Event map'!$F$2:$F$1477,$A72)*EXACT('Rule-Event map'!$G$2:$G$1477,$B72)*('Rule-Event map'!$E$2:$E$1477="Enabled"))</f>
        <v>2</v>
      </c>
      <c r="K72" s="2" t="s">
        <v>8358</v>
      </c>
    </row>
    <row r="73" customFormat="false" ht="23.85" hidden="false" customHeight="false" outlineLevel="0" collapsed="false">
      <c r="A73" s="5" t="s">
        <v>7622</v>
      </c>
      <c r="B73" s="2" t="s">
        <v>753</v>
      </c>
      <c r="C73" s="5"/>
      <c r="D73" s="5"/>
      <c r="E73" s="5" t="s">
        <v>8336</v>
      </c>
      <c r="F73" s="5" t="n">
        <f aca="false">SUMPRODUCT(EXACT('Rule-Event map'!$F$2:$F$1477,$A73)*EXACT('Rule-Event map'!$G$2:$G$1477,$B73))</f>
        <v>12</v>
      </c>
      <c r="G73" s="5" t="n">
        <f aca="false">SUMPRODUCT(EXACT('Rule-Event map'!$F$2:$F$1477,$A73)*EXACT('Rule-Event map'!$G$2:$G$1477,$B73)*('Rule-Event map'!$C$2:$C$1477="New ITDR (7.6.0)"))</f>
        <v>2</v>
      </c>
      <c r="H73" s="5" t="n">
        <f aca="false">SUMPRODUCT(EXACT('Rule-Event map'!$F$2:$F$1477,$A73)*EXACT('Rule-Event map'!$G$2:$G$1477,$B73)*('Rule-Event map'!$C$2:$C$1477="Existing, re-tagged ITDR"))</f>
        <v>6</v>
      </c>
      <c r="I73" s="5" t="n">
        <f aca="false">F73-G73-H73</f>
        <v>4</v>
      </c>
      <c r="J73" s="5" t="n">
        <f aca="false">SUMPRODUCT(EXACT('Rule-Event map'!$F$2:$F$1477,$A73)*EXACT('Rule-Event map'!$G$2:$G$1477,$B73)*('Rule-Event map'!$E$2:$E$1477="Enabled"))</f>
        <v>11</v>
      </c>
      <c r="K73" s="2" t="s">
        <v>8359</v>
      </c>
    </row>
    <row r="74" customFormat="false" ht="35.05" hidden="false" customHeight="false" outlineLevel="0" collapsed="false">
      <c r="A74" s="5" t="s">
        <v>7712</v>
      </c>
      <c r="B74" s="2" t="s">
        <v>7713</v>
      </c>
      <c r="C74" s="5"/>
      <c r="D74" s="5"/>
      <c r="E74" s="5" t="s">
        <v>8336</v>
      </c>
      <c r="F74" s="5" t="n">
        <f aca="false">SUMPRODUCT(EXACT('Rule-Event map'!$F$2:$F$1477,$A74)*EXACT('Rule-Event map'!$G$2:$G$1477,$B74))</f>
        <v>8</v>
      </c>
      <c r="G74" s="5" t="n">
        <f aca="false">SUMPRODUCT(EXACT('Rule-Event map'!$F$2:$F$1477,$A74)*EXACT('Rule-Event map'!$G$2:$G$1477,$B74)*('Rule-Event map'!$C$2:$C$1477="New ITDR (7.6.0)"))</f>
        <v>0</v>
      </c>
      <c r="H74" s="5" t="n">
        <f aca="false">SUMPRODUCT(EXACT('Rule-Event map'!$F$2:$F$1477,$A74)*EXACT('Rule-Event map'!$G$2:$G$1477,$B74)*('Rule-Event map'!$C$2:$C$1477="Existing, re-tagged ITDR"))</f>
        <v>4</v>
      </c>
      <c r="I74" s="5" t="n">
        <f aca="false">F74-G74-H74</f>
        <v>4</v>
      </c>
      <c r="J74" s="5" t="n">
        <f aca="false">SUMPRODUCT(EXACT('Rule-Event map'!$F$2:$F$1477,$A74)*EXACT('Rule-Event map'!$G$2:$G$1477,$B74)*('Rule-Event map'!$E$2:$E$1477="Enabled"))</f>
        <v>6</v>
      </c>
      <c r="K74" s="2" t="s">
        <v>8360</v>
      </c>
    </row>
    <row r="75" customFormat="false" ht="15" hidden="false" customHeight="false" outlineLevel="0" collapsed="false">
      <c r="A75" s="5" t="s">
        <v>7670</v>
      </c>
      <c r="B75" s="2" t="s">
        <v>2756</v>
      </c>
      <c r="C75" s="5"/>
      <c r="D75" s="5"/>
      <c r="E75" s="5" t="s">
        <v>8336</v>
      </c>
      <c r="F75" s="5" t="n">
        <f aca="false">SUMPRODUCT(EXACT('Rule-Event map'!$F$2:$F$1477,$A75)*EXACT('Rule-Event map'!$G$2:$G$1477,$B75))</f>
        <v>1</v>
      </c>
      <c r="G75" s="5" t="n">
        <f aca="false">SUMPRODUCT(EXACT('Rule-Event map'!$F$2:$F$1477,$A75)*EXACT('Rule-Event map'!$G$2:$G$1477,$B75)*('Rule-Event map'!$C$2:$C$1477="New ITDR (7.6.0)"))</f>
        <v>0</v>
      </c>
      <c r="H75" s="5" t="n">
        <f aca="false">SUMPRODUCT(EXACT('Rule-Event map'!$F$2:$F$1477,$A75)*EXACT('Rule-Event map'!$G$2:$G$1477,$B75)*('Rule-Event map'!$C$2:$C$1477="Existing, re-tagged ITDR"))</f>
        <v>0</v>
      </c>
      <c r="I75" s="5" t="n">
        <f aca="false">F75-G75-H75</f>
        <v>1</v>
      </c>
      <c r="J75" s="5" t="n">
        <f aca="false">SUMPRODUCT(EXACT('Rule-Event map'!$F$2:$F$1477,$A75)*EXACT('Rule-Event map'!$G$2:$G$1477,$B75)*('Rule-Event map'!$E$2:$E$1477="Enabled"))</f>
        <v>0</v>
      </c>
      <c r="K75" s="2" t="s">
        <v>2753</v>
      </c>
    </row>
    <row r="76" customFormat="false" ht="15" hidden="false" customHeight="false" outlineLevel="0" collapsed="false">
      <c r="A76" s="5" t="s">
        <v>7670</v>
      </c>
      <c r="B76" s="2" t="s">
        <v>2957</v>
      </c>
      <c r="C76" s="5"/>
      <c r="D76" s="5"/>
      <c r="E76" s="5" t="s">
        <v>8336</v>
      </c>
      <c r="F76" s="5" t="n">
        <f aca="false">SUMPRODUCT(EXACT('Rule-Event map'!$F$2:$F$1477,$A76)*EXACT('Rule-Event map'!$G$2:$G$1477,$B76))</f>
        <v>1</v>
      </c>
      <c r="G76" s="5" t="n">
        <f aca="false">SUMPRODUCT(EXACT('Rule-Event map'!$F$2:$F$1477,$A76)*EXACT('Rule-Event map'!$G$2:$G$1477,$B76)*('Rule-Event map'!$C$2:$C$1477="New ITDR (7.6.0)"))</f>
        <v>0</v>
      </c>
      <c r="H76" s="5" t="n">
        <f aca="false">SUMPRODUCT(EXACT('Rule-Event map'!$F$2:$F$1477,$A76)*EXACT('Rule-Event map'!$G$2:$G$1477,$B76)*('Rule-Event map'!$C$2:$C$1477="Existing, re-tagged ITDR"))</f>
        <v>0</v>
      </c>
      <c r="I76" s="5" t="n">
        <f aca="false">F76-G76-H76</f>
        <v>1</v>
      </c>
      <c r="J76" s="5" t="n">
        <f aca="false">SUMPRODUCT(EXACT('Rule-Event map'!$F$2:$F$1477,$A76)*EXACT('Rule-Event map'!$G$2:$G$1477,$B76)*('Rule-Event map'!$E$2:$E$1477="Enabled"))</f>
        <v>1</v>
      </c>
      <c r="K76" s="2" t="s">
        <v>2954</v>
      </c>
    </row>
    <row r="77" customFormat="false" ht="15" hidden="false" customHeight="false" outlineLevel="0" collapsed="false">
      <c r="A77" s="5" t="s">
        <v>7670</v>
      </c>
      <c r="B77" s="2" t="s">
        <v>7762</v>
      </c>
      <c r="C77" s="5"/>
      <c r="D77" s="5"/>
      <c r="E77" s="5" t="s">
        <v>8336</v>
      </c>
      <c r="F77" s="5" t="n">
        <f aca="false">SUMPRODUCT(EXACT('Rule-Event map'!$F$2:$F$1477,$A77)*EXACT('Rule-Event map'!$G$2:$G$1477,$B77))</f>
        <v>1</v>
      </c>
      <c r="G77" s="5" t="n">
        <f aca="false">SUMPRODUCT(EXACT('Rule-Event map'!$F$2:$F$1477,$A77)*EXACT('Rule-Event map'!$G$2:$G$1477,$B77)*('Rule-Event map'!$C$2:$C$1477="New ITDR (7.6.0)"))</f>
        <v>0</v>
      </c>
      <c r="H77" s="5" t="n">
        <f aca="false">SUMPRODUCT(EXACT('Rule-Event map'!$F$2:$F$1477,$A77)*EXACT('Rule-Event map'!$G$2:$G$1477,$B77)*('Rule-Event map'!$C$2:$C$1477="Existing, re-tagged ITDR"))</f>
        <v>0</v>
      </c>
      <c r="I77" s="5" t="n">
        <f aca="false">F77-G77-H77</f>
        <v>1</v>
      </c>
      <c r="J77" s="5" t="n">
        <f aca="false">SUMPRODUCT(EXACT('Rule-Event map'!$F$2:$F$1477,$A77)*EXACT('Rule-Event map'!$G$2:$G$1477,$B77)*('Rule-Event map'!$E$2:$E$1477="Enabled"))</f>
        <v>1</v>
      </c>
      <c r="K77" s="2" t="s">
        <v>2164</v>
      </c>
    </row>
    <row r="78" customFormat="false" ht="15" hidden="false" customHeight="false" outlineLevel="0" collapsed="false">
      <c r="A78" s="5" t="s">
        <v>7670</v>
      </c>
      <c r="B78" s="2" t="s">
        <v>7763</v>
      </c>
      <c r="C78" s="5"/>
      <c r="D78" s="5"/>
      <c r="E78" s="5" t="s">
        <v>8336</v>
      </c>
      <c r="F78" s="5" t="n">
        <f aca="false">SUMPRODUCT(EXACT('Rule-Event map'!$F$2:$F$1477,$A78)*EXACT('Rule-Event map'!$G$2:$G$1477,$B78))</f>
        <v>1</v>
      </c>
      <c r="G78" s="5" t="n">
        <f aca="false">SUMPRODUCT(EXACT('Rule-Event map'!$F$2:$F$1477,$A78)*EXACT('Rule-Event map'!$G$2:$G$1477,$B78)*('Rule-Event map'!$C$2:$C$1477="New ITDR (7.6.0)"))</f>
        <v>0</v>
      </c>
      <c r="H78" s="5" t="n">
        <f aca="false">SUMPRODUCT(EXACT('Rule-Event map'!$F$2:$F$1477,$A78)*EXACT('Rule-Event map'!$G$2:$G$1477,$B78)*('Rule-Event map'!$C$2:$C$1477="Existing, re-tagged ITDR"))</f>
        <v>0</v>
      </c>
      <c r="I78" s="5" t="n">
        <f aca="false">F78-G78-H78</f>
        <v>1</v>
      </c>
      <c r="J78" s="5" t="n">
        <f aca="false">SUMPRODUCT(EXACT('Rule-Event map'!$F$2:$F$1477,$A78)*EXACT('Rule-Event map'!$G$2:$G$1477,$B78)*('Rule-Event map'!$E$2:$E$1477="Enabled"))</f>
        <v>1</v>
      </c>
      <c r="K78" s="2" t="s">
        <v>2164</v>
      </c>
    </row>
    <row r="79" customFormat="false" ht="15" hidden="false" customHeight="false" outlineLevel="0" collapsed="false">
      <c r="A79" s="5" t="s">
        <v>7670</v>
      </c>
      <c r="B79" s="2" t="s">
        <v>7766</v>
      </c>
      <c r="C79" s="5"/>
      <c r="D79" s="5"/>
      <c r="E79" s="5" t="s">
        <v>8336</v>
      </c>
      <c r="F79" s="5" t="n">
        <f aca="false">SUMPRODUCT(EXACT('Rule-Event map'!$F$2:$F$1477,$A79)*EXACT('Rule-Event map'!$G$2:$G$1477,$B79))</f>
        <v>1</v>
      </c>
      <c r="G79" s="5" t="n">
        <f aca="false">SUMPRODUCT(EXACT('Rule-Event map'!$F$2:$F$1477,$A79)*EXACT('Rule-Event map'!$G$2:$G$1477,$B79)*('Rule-Event map'!$C$2:$C$1477="New ITDR (7.6.0)"))</f>
        <v>0</v>
      </c>
      <c r="H79" s="5" t="n">
        <f aca="false">SUMPRODUCT(EXACT('Rule-Event map'!$F$2:$F$1477,$A79)*EXACT('Rule-Event map'!$G$2:$G$1477,$B79)*('Rule-Event map'!$C$2:$C$1477="Existing, re-tagged ITDR"))</f>
        <v>0</v>
      </c>
      <c r="I79" s="5" t="n">
        <f aca="false">F79-G79-H79</f>
        <v>1</v>
      </c>
      <c r="J79" s="5" t="n">
        <f aca="false">SUMPRODUCT(EXACT('Rule-Event map'!$F$2:$F$1477,$A79)*EXACT('Rule-Event map'!$G$2:$G$1477,$B79)*('Rule-Event map'!$E$2:$E$1477="Enabled"))</f>
        <v>1</v>
      </c>
      <c r="K79" s="2" t="s">
        <v>2186</v>
      </c>
    </row>
    <row r="80" customFormat="false" ht="15" hidden="false" customHeight="false" outlineLevel="0" collapsed="false">
      <c r="A80" s="5" t="s">
        <v>7670</v>
      </c>
      <c r="B80" s="2" t="s">
        <v>7764</v>
      </c>
      <c r="C80" s="5"/>
      <c r="D80" s="5"/>
      <c r="E80" s="5" t="s">
        <v>8336</v>
      </c>
      <c r="F80" s="5" t="n">
        <f aca="false">SUMPRODUCT(EXACT('Rule-Event map'!$F$2:$F$1477,$A80)*EXACT('Rule-Event map'!$G$2:$G$1477,$B80))</f>
        <v>1</v>
      </c>
      <c r="G80" s="5" t="n">
        <f aca="false">SUMPRODUCT(EXACT('Rule-Event map'!$F$2:$F$1477,$A80)*EXACT('Rule-Event map'!$G$2:$G$1477,$B80)*('Rule-Event map'!$C$2:$C$1477="New ITDR (7.6.0)"))</f>
        <v>0</v>
      </c>
      <c r="H80" s="5" t="n">
        <f aca="false">SUMPRODUCT(EXACT('Rule-Event map'!$F$2:$F$1477,$A80)*EXACT('Rule-Event map'!$G$2:$G$1477,$B80)*('Rule-Event map'!$C$2:$C$1477="Existing, re-tagged ITDR"))</f>
        <v>0</v>
      </c>
      <c r="I80" s="5" t="n">
        <f aca="false">F80-G80-H80</f>
        <v>1</v>
      </c>
      <c r="J80" s="5" t="n">
        <f aca="false">SUMPRODUCT(EXACT('Rule-Event map'!$F$2:$F$1477,$A80)*EXACT('Rule-Event map'!$G$2:$G$1477,$B80)*('Rule-Event map'!$E$2:$E$1477="Enabled"))</f>
        <v>1</v>
      </c>
      <c r="K80" s="2" t="s">
        <v>2174</v>
      </c>
    </row>
    <row r="81" customFormat="false" ht="15" hidden="false" customHeight="false" outlineLevel="0" collapsed="false">
      <c r="A81" s="5" t="s">
        <v>7670</v>
      </c>
      <c r="B81" s="2" t="s">
        <v>7672</v>
      </c>
      <c r="C81" s="5"/>
      <c r="D81" s="5"/>
      <c r="E81" s="5" t="s">
        <v>8336</v>
      </c>
      <c r="F81" s="5" t="n">
        <f aca="false">SUMPRODUCT(EXACT('Rule-Event map'!$F$2:$F$1477,$A81)*EXACT('Rule-Event map'!$G$2:$G$1477,$B81))</f>
        <v>1</v>
      </c>
      <c r="G81" s="5" t="n">
        <f aca="false">SUMPRODUCT(EXACT('Rule-Event map'!$F$2:$F$1477,$A81)*EXACT('Rule-Event map'!$G$2:$G$1477,$B81)*('Rule-Event map'!$C$2:$C$1477="New ITDR (7.6.0)"))</f>
        <v>0</v>
      </c>
      <c r="H81" s="5" t="n">
        <f aca="false">SUMPRODUCT(EXACT('Rule-Event map'!$F$2:$F$1477,$A81)*EXACT('Rule-Event map'!$G$2:$G$1477,$B81)*('Rule-Event map'!$C$2:$C$1477="Existing, re-tagged ITDR"))</f>
        <v>1</v>
      </c>
      <c r="I81" s="5" t="n">
        <f aca="false">F81-G81-H81</f>
        <v>0</v>
      </c>
      <c r="J81" s="5" t="n">
        <f aca="false">SUMPRODUCT(EXACT('Rule-Event map'!$F$2:$F$1477,$A81)*EXACT('Rule-Event map'!$G$2:$G$1477,$B81)*('Rule-Event map'!$E$2:$E$1477="Enabled"))</f>
        <v>1</v>
      </c>
      <c r="K81" s="2" t="s">
        <v>535</v>
      </c>
    </row>
    <row r="82" customFormat="false" ht="15" hidden="false" customHeight="false" outlineLevel="0" collapsed="false">
      <c r="A82" s="5" t="s">
        <v>7670</v>
      </c>
      <c r="B82" s="2" t="s">
        <v>7765</v>
      </c>
      <c r="C82" s="5"/>
      <c r="D82" s="5"/>
      <c r="E82" s="5" t="s">
        <v>8336</v>
      </c>
      <c r="F82" s="5" t="n">
        <f aca="false">SUMPRODUCT(EXACT('Rule-Event map'!$F$2:$F$1477,$A82)*EXACT('Rule-Event map'!$G$2:$G$1477,$B82))</f>
        <v>1</v>
      </c>
      <c r="G82" s="5" t="n">
        <f aca="false">SUMPRODUCT(EXACT('Rule-Event map'!$F$2:$F$1477,$A82)*EXACT('Rule-Event map'!$G$2:$G$1477,$B82)*('Rule-Event map'!$C$2:$C$1477="New ITDR (7.6.0)"))</f>
        <v>0</v>
      </c>
      <c r="H82" s="5" t="n">
        <f aca="false">SUMPRODUCT(EXACT('Rule-Event map'!$F$2:$F$1477,$A82)*EXACT('Rule-Event map'!$G$2:$G$1477,$B82)*('Rule-Event map'!$C$2:$C$1477="Existing, re-tagged ITDR"))</f>
        <v>0</v>
      </c>
      <c r="I82" s="5" t="n">
        <f aca="false">F82-G82-H82</f>
        <v>1</v>
      </c>
      <c r="J82" s="5" t="n">
        <f aca="false">SUMPRODUCT(EXACT('Rule-Event map'!$F$2:$F$1477,$A82)*EXACT('Rule-Event map'!$G$2:$G$1477,$B82)*('Rule-Event map'!$E$2:$E$1477="Enabled"))</f>
        <v>1</v>
      </c>
      <c r="K82" s="2" t="s">
        <v>2180</v>
      </c>
    </row>
    <row r="83" customFormat="false" ht="15" hidden="false" customHeight="false" outlineLevel="0" collapsed="false">
      <c r="A83" s="5" t="s">
        <v>7670</v>
      </c>
      <c r="B83" s="2" t="s">
        <v>7671</v>
      </c>
      <c r="C83" s="5"/>
      <c r="D83" s="5"/>
      <c r="E83" s="5" t="s">
        <v>8336</v>
      </c>
      <c r="F83" s="5" t="n">
        <f aca="false">SUMPRODUCT(EXACT('Rule-Event map'!$F$2:$F$1477,$A83)*EXACT('Rule-Event map'!$G$2:$G$1477,$B83))</f>
        <v>2</v>
      </c>
      <c r="G83" s="5" t="n">
        <f aca="false">SUMPRODUCT(EXACT('Rule-Event map'!$F$2:$F$1477,$A83)*EXACT('Rule-Event map'!$G$2:$G$1477,$B83)*('Rule-Event map'!$C$2:$C$1477="New ITDR (7.6.0)"))</f>
        <v>0</v>
      </c>
      <c r="H83" s="5" t="n">
        <f aca="false">SUMPRODUCT(EXACT('Rule-Event map'!$F$2:$F$1477,$A83)*EXACT('Rule-Event map'!$G$2:$G$1477,$B83)*('Rule-Event map'!$C$2:$C$1477="Existing, re-tagged ITDR"))</f>
        <v>1</v>
      </c>
      <c r="I83" s="5" t="n">
        <f aca="false">F83-G83-H83</f>
        <v>1</v>
      </c>
      <c r="J83" s="5" t="n">
        <f aca="false">SUMPRODUCT(EXACT('Rule-Event map'!$F$2:$F$1477,$A83)*EXACT('Rule-Event map'!$G$2:$G$1477,$B83)*('Rule-Event map'!$E$2:$E$1477="Enabled"))</f>
        <v>2</v>
      </c>
      <c r="K83" s="2" t="s">
        <v>8361</v>
      </c>
    </row>
    <row r="84" customFormat="false" ht="23.85" hidden="false" customHeight="false" outlineLevel="0" collapsed="false">
      <c r="A84" s="5" t="s">
        <v>7670</v>
      </c>
      <c r="B84" s="2" t="s">
        <v>7675</v>
      </c>
      <c r="C84" s="5"/>
      <c r="D84" s="5"/>
      <c r="E84" s="5" t="s">
        <v>8336</v>
      </c>
      <c r="F84" s="5" t="n">
        <f aca="false">SUMPRODUCT(EXACT('Rule-Event map'!$F$2:$F$1477,$A84)*EXACT('Rule-Event map'!$G$2:$G$1477,$B84))</f>
        <v>1</v>
      </c>
      <c r="G84" s="5" t="n">
        <f aca="false">SUMPRODUCT(EXACT('Rule-Event map'!$F$2:$F$1477,$A84)*EXACT('Rule-Event map'!$G$2:$G$1477,$B84)*('Rule-Event map'!$C$2:$C$1477="New ITDR (7.6.0)"))</f>
        <v>0</v>
      </c>
      <c r="H84" s="5" t="n">
        <f aca="false">SUMPRODUCT(EXACT('Rule-Event map'!$F$2:$F$1477,$A84)*EXACT('Rule-Event map'!$G$2:$G$1477,$B84)*('Rule-Event map'!$C$2:$C$1477="Existing, re-tagged ITDR"))</f>
        <v>1</v>
      </c>
      <c r="I84" s="5" t="n">
        <f aca="false">F84-G84-H84</f>
        <v>0</v>
      </c>
      <c r="J84" s="5" t="n">
        <f aca="false">SUMPRODUCT(EXACT('Rule-Event map'!$F$2:$F$1477,$A84)*EXACT('Rule-Event map'!$G$2:$G$1477,$B84)*('Rule-Event map'!$E$2:$E$1477="Enabled"))</f>
        <v>1</v>
      </c>
      <c r="K84" s="2" t="s">
        <v>584</v>
      </c>
    </row>
    <row r="85" customFormat="false" ht="23.85" hidden="false" customHeight="false" outlineLevel="0" collapsed="false">
      <c r="A85" s="5" t="s">
        <v>7670</v>
      </c>
      <c r="B85" s="2" t="s">
        <v>7674</v>
      </c>
      <c r="C85" s="5"/>
      <c r="D85" s="5"/>
      <c r="E85" s="5" t="s">
        <v>8336</v>
      </c>
      <c r="F85" s="5" t="n">
        <f aca="false">SUMPRODUCT(EXACT('Rule-Event map'!$F$2:$F$1477,$A85)*EXACT('Rule-Event map'!$G$2:$G$1477,$B85))</f>
        <v>2</v>
      </c>
      <c r="G85" s="5" t="n">
        <f aca="false">SUMPRODUCT(EXACT('Rule-Event map'!$F$2:$F$1477,$A85)*EXACT('Rule-Event map'!$G$2:$G$1477,$B85)*('Rule-Event map'!$C$2:$C$1477="New ITDR (7.6.0)"))</f>
        <v>0</v>
      </c>
      <c r="H85" s="5" t="n">
        <f aca="false">SUMPRODUCT(EXACT('Rule-Event map'!$F$2:$F$1477,$A85)*EXACT('Rule-Event map'!$G$2:$G$1477,$B85)*('Rule-Event map'!$C$2:$C$1477="Existing, re-tagged ITDR"))</f>
        <v>1</v>
      </c>
      <c r="I85" s="5" t="n">
        <f aca="false">F85-G85-H85</f>
        <v>1</v>
      </c>
      <c r="J85" s="5" t="n">
        <f aca="false">SUMPRODUCT(EXACT('Rule-Event map'!$F$2:$F$1477,$A85)*EXACT('Rule-Event map'!$G$2:$G$1477,$B85)*('Rule-Event map'!$E$2:$E$1477="Enabled"))</f>
        <v>1</v>
      </c>
      <c r="K85" s="2" t="s">
        <v>8362</v>
      </c>
    </row>
    <row r="86" customFormat="false" ht="15" hidden="false" customHeight="false" outlineLevel="0" collapsed="false">
      <c r="A86" s="5" t="s">
        <v>7670</v>
      </c>
      <c r="B86" s="2" t="s">
        <v>560</v>
      </c>
      <c r="C86" s="5"/>
      <c r="D86" s="5"/>
      <c r="E86" s="5" t="s">
        <v>8336</v>
      </c>
      <c r="F86" s="5" t="n">
        <f aca="false">SUMPRODUCT(EXACT('Rule-Event map'!$F$2:$F$1477,$A86)*EXACT('Rule-Event map'!$G$2:$G$1477,$B86))</f>
        <v>2</v>
      </c>
      <c r="G86" s="5" t="n">
        <f aca="false">SUMPRODUCT(EXACT('Rule-Event map'!$F$2:$F$1477,$A86)*EXACT('Rule-Event map'!$G$2:$G$1477,$B86)*('Rule-Event map'!$C$2:$C$1477="New ITDR (7.6.0)"))</f>
        <v>0</v>
      </c>
      <c r="H86" s="5" t="n">
        <f aca="false">SUMPRODUCT(EXACT('Rule-Event map'!$F$2:$F$1477,$A86)*EXACT('Rule-Event map'!$G$2:$G$1477,$B86)*('Rule-Event map'!$C$2:$C$1477="Existing, re-tagged ITDR"))</f>
        <v>1</v>
      </c>
      <c r="I86" s="5" t="n">
        <f aca="false">F86-G86-H86</f>
        <v>1</v>
      </c>
      <c r="J86" s="5" t="n">
        <f aca="false">SUMPRODUCT(EXACT('Rule-Event map'!$F$2:$F$1477,$A86)*EXACT('Rule-Event map'!$G$2:$G$1477,$B86)*('Rule-Event map'!$E$2:$E$1477="Enabled"))</f>
        <v>1</v>
      </c>
      <c r="K86" s="2" t="s">
        <v>8363</v>
      </c>
    </row>
    <row r="87" customFormat="false" ht="23.85" hidden="false" customHeight="false" outlineLevel="0" collapsed="false">
      <c r="A87" s="5" t="s">
        <v>7670</v>
      </c>
      <c r="B87" s="2" t="s">
        <v>7673</v>
      </c>
      <c r="C87" s="5"/>
      <c r="D87" s="5"/>
      <c r="E87" s="5" t="s">
        <v>8336</v>
      </c>
      <c r="F87" s="5" t="n">
        <f aca="false">SUMPRODUCT(EXACT('Rule-Event map'!$F$2:$F$1477,$A87)*EXACT('Rule-Event map'!$G$2:$G$1477,$B87))</f>
        <v>1</v>
      </c>
      <c r="G87" s="5" t="n">
        <f aca="false">SUMPRODUCT(EXACT('Rule-Event map'!$F$2:$F$1477,$A87)*EXACT('Rule-Event map'!$G$2:$G$1477,$B87)*('Rule-Event map'!$C$2:$C$1477="New ITDR (7.6.0)"))</f>
        <v>0</v>
      </c>
      <c r="H87" s="5" t="n">
        <f aca="false">SUMPRODUCT(EXACT('Rule-Event map'!$F$2:$F$1477,$A87)*EXACT('Rule-Event map'!$G$2:$G$1477,$B87)*('Rule-Event map'!$C$2:$C$1477="Existing, re-tagged ITDR"))</f>
        <v>1</v>
      </c>
      <c r="I87" s="5" t="n">
        <f aca="false">F87-G87-H87</f>
        <v>0</v>
      </c>
      <c r="J87" s="5" t="n">
        <f aca="false">SUMPRODUCT(EXACT('Rule-Event map'!$F$2:$F$1477,$A87)*EXACT('Rule-Event map'!$G$2:$G$1477,$B87)*('Rule-Event map'!$E$2:$E$1477="Enabled"))</f>
        <v>1</v>
      </c>
      <c r="K87" s="2" t="s">
        <v>543</v>
      </c>
    </row>
    <row r="88" customFormat="false" ht="15" hidden="false" customHeight="false" outlineLevel="0" collapsed="false">
      <c r="A88" s="5" t="s">
        <v>7670</v>
      </c>
      <c r="B88" s="2" t="s">
        <v>569</v>
      </c>
      <c r="C88" s="5"/>
      <c r="D88" s="5"/>
      <c r="E88" s="5" t="s">
        <v>8336</v>
      </c>
      <c r="F88" s="5" t="n">
        <f aca="false">SUMPRODUCT(EXACT('Rule-Event map'!$F$2:$F$1477,$A88)*EXACT('Rule-Event map'!$G$2:$G$1477,$B88))</f>
        <v>1</v>
      </c>
      <c r="G88" s="5" t="n">
        <f aca="false">SUMPRODUCT(EXACT('Rule-Event map'!$F$2:$F$1477,$A88)*EXACT('Rule-Event map'!$G$2:$G$1477,$B88)*('Rule-Event map'!$C$2:$C$1477="New ITDR (7.6.0)"))</f>
        <v>0</v>
      </c>
      <c r="H88" s="5" t="n">
        <f aca="false">SUMPRODUCT(EXACT('Rule-Event map'!$F$2:$F$1477,$A88)*EXACT('Rule-Event map'!$G$2:$G$1477,$B88)*('Rule-Event map'!$C$2:$C$1477="Existing, re-tagged ITDR"))</f>
        <v>1</v>
      </c>
      <c r="I88" s="5" t="n">
        <f aca="false">F88-G88-H88</f>
        <v>0</v>
      </c>
      <c r="J88" s="5" t="n">
        <f aca="false">SUMPRODUCT(EXACT('Rule-Event map'!$F$2:$F$1477,$A88)*EXACT('Rule-Event map'!$G$2:$G$1477,$B88)*('Rule-Event map'!$E$2:$E$1477="Enabled"))</f>
        <v>1</v>
      </c>
      <c r="K88" s="2" t="s">
        <v>567</v>
      </c>
    </row>
    <row r="89" customFormat="false" ht="15" hidden="false" customHeight="false" outlineLevel="0" collapsed="false">
      <c r="A89" s="5" t="s">
        <v>7670</v>
      </c>
      <c r="B89" s="2" t="s">
        <v>4767</v>
      </c>
      <c r="C89" s="5"/>
      <c r="D89" s="5"/>
      <c r="E89" s="5" t="s">
        <v>8336</v>
      </c>
      <c r="F89" s="5" t="n">
        <f aca="false">SUMPRODUCT(EXACT('Rule-Event map'!$F$2:$F$1477,$A89)*EXACT('Rule-Event map'!$G$2:$G$1477,$B89))</f>
        <v>1</v>
      </c>
      <c r="G89" s="5" t="n">
        <f aca="false">SUMPRODUCT(EXACT('Rule-Event map'!$F$2:$F$1477,$A89)*EXACT('Rule-Event map'!$G$2:$G$1477,$B89)*('Rule-Event map'!$C$2:$C$1477="New ITDR (7.6.0)"))</f>
        <v>0</v>
      </c>
      <c r="H89" s="5" t="n">
        <f aca="false">SUMPRODUCT(EXACT('Rule-Event map'!$F$2:$F$1477,$A89)*EXACT('Rule-Event map'!$G$2:$G$1477,$B89)*('Rule-Event map'!$C$2:$C$1477="Existing, re-tagged ITDR"))</f>
        <v>0</v>
      </c>
      <c r="I89" s="5" t="n">
        <f aca="false">F89-G89-H89</f>
        <v>1</v>
      </c>
      <c r="J89" s="5" t="n">
        <f aca="false">SUMPRODUCT(EXACT('Rule-Event map'!$F$2:$F$1477,$A89)*EXACT('Rule-Event map'!$G$2:$G$1477,$B89)*('Rule-Event map'!$E$2:$E$1477="Enabled"))</f>
        <v>1</v>
      </c>
      <c r="K89" s="2" t="s">
        <v>4766</v>
      </c>
    </row>
    <row r="90" customFormat="false" ht="15" hidden="false" customHeight="false" outlineLevel="0" collapsed="false">
      <c r="A90" s="5" t="s">
        <v>7670</v>
      </c>
      <c r="B90" s="2" t="s">
        <v>579</v>
      </c>
      <c r="C90" s="5"/>
      <c r="D90" s="5"/>
      <c r="E90" s="5" t="s">
        <v>8336</v>
      </c>
      <c r="F90" s="5" t="n">
        <f aca="false">SUMPRODUCT(EXACT('Rule-Event map'!$F$2:$F$1477,$A90)*EXACT('Rule-Event map'!$G$2:$G$1477,$B90))</f>
        <v>1</v>
      </c>
      <c r="G90" s="5" t="n">
        <f aca="false">SUMPRODUCT(EXACT('Rule-Event map'!$F$2:$F$1477,$A90)*EXACT('Rule-Event map'!$G$2:$G$1477,$B90)*('Rule-Event map'!$C$2:$C$1477="New ITDR (7.6.0)"))</f>
        <v>0</v>
      </c>
      <c r="H90" s="5" t="n">
        <f aca="false">SUMPRODUCT(EXACT('Rule-Event map'!$F$2:$F$1477,$A90)*EXACT('Rule-Event map'!$G$2:$G$1477,$B90)*('Rule-Event map'!$C$2:$C$1477="Existing, re-tagged ITDR"))</f>
        <v>1</v>
      </c>
      <c r="I90" s="5" t="n">
        <f aca="false">F90-G90-H90</f>
        <v>0</v>
      </c>
      <c r="J90" s="5" t="n">
        <f aca="false">SUMPRODUCT(EXACT('Rule-Event map'!$F$2:$F$1477,$A90)*EXACT('Rule-Event map'!$G$2:$G$1477,$B90)*('Rule-Event map'!$E$2:$E$1477="Enabled"))</f>
        <v>1</v>
      </c>
      <c r="K90" s="2" t="s">
        <v>576</v>
      </c>
    </row>
    <row r="91" customFormat="false" ht="15" hidden="false" customHeight="false" outlineLevel="0" collapsed="false">
      <c r="A91" s="5" t="s">
        <v>7670</v>
      </c>
      <c r="B91" s="2" t="s">
        <v>2138</v>
      </c>
      <c r="C91" s="5"/>
      <c r="D91" s="5"/>
      <c r="E91" s="5" t="s">
        <v>8336</v>
      </c>
      <c r="F91" s="5" t="n">
        <f aca="false">SUMPRODUCT(EXACT('Rule-Event map'!$F$2:$F$1477,$A91)*EXACT('Rule-Event map'!$G$2:$G$1477,$B91))</f>
        <v>1</v>
      </c>
      <c r="G91" s="5" t="n">
        <f aca="false">SUMPRODUCT(EXACT('Rule-Event map'!$F$2:$F$1477,$A91)*EXACT('Rule-Event map'!$G$2:$G$1477,$B91)*('Rule-Event map'!$C$2:$C$1477="New ITDR (7.6.0)"))</f>
        <v>0</v>
      </c>
      <c r="H91" s="5" t="n">
        <f aca="false">SUMPRODUCT(EXACT('Rule-Event map'!$F$2:$F$1477,$A91)*EXACT('Rule-Event map'!$G$2:$G$1477,$B91)*('Rule-Event map'!$C$2:$C$1477="Existing, re-tagged ITDR"))</f>
        <v>0</v>
      </c>
      <c r="I91" s="5" t="n">
        <f aca="false">F91-G91-H91</f>
        <v>1</v>
      </c>
      <c r="J91" s="5" t="n">
        <f aca="false">SUMPRODUCT(EXACT('Rule-Event map'!$F$2:$F$1477,$A91)*EXACT('Rule-Event map'!$G$2:$G$1477,$B91)*('Rule-Event map'!$E$2:$E$1477="Enabled"))</f>
        <v>1</v>
      </c>
      <c r="K91" s="2" t="s">
        <v>2137</v>
      </c>
    </row>
    <row r="92" customFormat="false" ht="15" hidden="false" customHeight="false" outlineLevel="0" collapsed="false">
      <c r="A92" s="5" t="s">
        <v>7670</v>
      </c>
      <c r="B92" s="2" t="s">
        <v>2130</v>
      </c>
      <c r="C92" s="5"/>
      <c r="D92" s="5"/>
      <c r="E92" s="5" t="s">
        <v>8336</v>
      </c>
      <c r="F92" s="5" t="n">
        <f aca="false">SUMPRODUCT(EXACT('Rule-Event map'!$F$2:$F$1477,$A92)*EXACT('Rule-Event map'!$G$2:$G$1477,$B92))</f>
        <v>2</v>
      </c>
      <c r="G92" s="5" t="n">
        <f aca="false">SUMPRODUCT(EXACT('Rule-Event map'!$F$2:$F$1477,$A92)*EXACT('Rule-Event map'!$G$2:$G$1477,$B92)*('Rule-Event map'!$C$2:$C$1477="New ITDR (7.6.0)"))</f>
        <v>0</v>
      </c>
      <c r="H92" s="5" t="n">
        <f aca="false">SUMPRODUCT(EXACT('Rule-Event map'!$F$2:$F$1477,$A92)*EXACT('Rule-Event map'!$G$2:$G$1477,$B92)*('Rule-Event map'!$C$2:$C$1477="Existing, re-tagged ITDR"))</f>
        <v>0</v>
      </c>
      <c r="I92" s="5" t="n">
        <f aca="false">F92-G92-H92</f>
        <v>2</v>
      </c>
      <c r="J92" s="5" t="n">
        <f aca="false">SUMPRODUCT(EXACT('Rule-Event map'!$F$2:$F$1477,$A92)*EXACT('Rule-Event map'!$G$2:$G$1477,$B92)*('Rule-Event map'!$E$2:$E$1477="Enabled"))</f>
        <v>2</v>
      </c>
      <c r="K92" s="2" t="s">
        <v>8364</v>
      </c>
    </row>
    <row r="93" customFormat="false" ht="15" hidden="false" customHeight="false" outlineLevel="0" collapsed="false">
      <c r="A93" s="5" t="s">
        <v>7670</v>
      </c>
      <c r="B93" s="2" t="s">
        <v>2617</v>
      </c>
      <c r="C93" s="5"/>
      <c r="D93" s="5"/>
      <c r="E93" s="5" t="s">
        <v>8336</v>
      </c>
      <c r="F93" s="5" t="n">
        <f aca="false">SUMPRODUCT(EXACT('Rule-Event map'!$F$2:$F$1477,$A93)*EXACT('Rule-Event map'!$G$2:$G$1477,$B93))</f>
        <v>1</v>
      </c>
      <c r="G93" s="5" t="n">
        <f aca="false">SUMPRODUCT(EXACT('Rule-Event map'!$F$2:$F$1477,$A93)*EXACT('Rule-Event map'!$G$2:$G$1477,$B93)*('Rule-Event map'!$C$2:$C$1477="New ITDR (7.6.0)"))</f>
        <v>0</v>
      </c>
      <c r="H93" s="5" t="n">
        <f aca="false">SUMPRODUCT(EXACT('Rule-Event map'!$F$2:$F$1477,$A93)*EXACT('Rule-Event map'!$G$2:$G$1477,$B93)*('Rule-Event map'!$C$2:$C$1477="Existing, re-tagged ITDR"))</f>
        <v>0</v>
      </c>
      <c r="I93" s="5" t="n">
        <f aca="false">F93-G93-H93</f>
        <v>1</v>
      </c>
      <c r="J93" s="5" t="n">
        <f aca="false">SUMPRODUCT(EXACT('Rule-Event map'!$F$2:$F$1477,$A93)*EXACT('Rule-Event map'!$G$2:$G$1477,$B93)*('Rule-Event map'!$E$2:$E$1477="Enabled"))</f>
        <v>1</v>
      </c>
      <c r="K93" s="2" t="s">
        <v>2615</v>
      </c>
    </row>
    <row r="94" customFormat="false" ht="15" hidden="false" customHeight="false" outlineLevel="0" collapsed="false">
      <c r="A94" s="5" t="s">
        <v>7670</v>
      </c>
      <c r="B94" s="2" t="s">
        <v>4793</v>
      </c>
      <c r="C94" s="5"/>
      <c r="D94" s="5"/>
      <c r="E94" s="5" t="s">
        <v>8336</v>
      </c>
      <c r="F94" s="5" t="n">
        <f aca="false">SUMPRODUCT(EXACT('Rule-Event map'!$F$2:$F$1477,$A94)*EXACT('Rule-Event map'!$G$2:$G$1477,$B94))</f>
        <v>1</v>
      </c>
      <c r="G94" s="5" t="n">
        <f aca="false">SUMPRODUCT(EXACT('Rule-Event map'!$F$2:$F$1477,$A94)*EXACT('Rule-Event map'!$G$2:$G$1477,$B94)*('Rule-Event map'!$C$2:$C$1477="New ITDR (7.6.0)"))</f>
        <v>0</v>
      </c>
      <c r="H94" s="5" t="n">
        <f aca="false">SUMPRODUCT(EXACT('Rule-Event map'!$F$2:$F$1477,$A94)*EXACT('Rule-Event map'!$G$2:$G$1477,$B94)*('Rule-Event map'!$C$2:$C$1477="Existing, re-tagged ITDR"))</f>
        <v>0</v>
      </c>
      <c r="I94" s="5" t="n">
        <f aca="false">F94-G94-H94</f>
        <v>1</v>
      </c>
      <c r="J94" s="5" t="n">
        <f aca="false">SUMPRODUCT(EXACT('Rule-Event map'!$F$2:$F$1477,$A94)*EXACT('Rule-Event map'!$G$2:$G$1477,$B94)*('Rule-Event map'!$E$2:$E$1477="Enabled"))</f>
        <v>1</v>
      </c>
      <c r="K94" s="2" t="s">
        <v>4792</v>
      </c>
    </row>
    <row r="95" customFormat="false" ht="15" hidden="false" customHeight="false" outlineLevel="0" collapsed="false">
      <c r="A95" s="5" t="s">
        <v>7670</v>
      </c>
      <c r="B95" s="2" t="s">
        <v>4786</v>
      </c>
      <c r="C95" s="5"/>
      <c r="D95" s="5"/>
      <c r="E95" s="5" t="s">
        <v>8336</v>
      </c>
      <c r="F95" s="5" t="n">
        <f aca="false">SUMPRODUCT(EXACT('Rule-Event map'!$F$2:$F$1477,$A95)*EXACT('Rule-Event map'!$G$2:$G$1477,$B95))</f>
        <v>1</v>
      </c>
      <c r="G95" s="5" t="n">
        <f aca="false">SUMPRODUCT(EXACT('Rule-Event map'!$F$2:$F$1477,$A95)*EXACT('Rule-Event map'!$G$2:$G$1477,$B95)*('Rule-Event map'!$C$2:$C$1477="New ITDR (7.6.0)"))</f>
        <v>0</v>
      </c>
      <c r="H95" s="5" t="n">
        <f aca="false">SUMPRODUCT(EXACT('Rule-Event map'!$F$2:$F$1477,$A95)*EXACT('Rule-Event map'!$G$2:$G$1477,$B95)*('Rule-Event map'!$C$2:$C$1477="Existing, re-tagged ITDR"))</f>
        <v>0</v>
      </c>
      <c r="I95" s="5" t="n">
        <f aca="false">F95-G95-H95</f>
        <v>1</v>
      </c>
      <c r="J95" s="5" t="n">
        <f aca="false">SUMPRODUCT(EXACT('Rule-Event map'!$F$2:$F$1477,$A95)*EXACT('Rule-Event map'!$G$2:$G$1477,$B95)*('Rule-Event map'!$E$2:$E$1477="Enabled"))</f>
        <v>1</v>
      </c>
      <c r="K95" s="2" t="s">
        <v>4784</v>
      </c>
    </row>
    <row r="96" customFormat="false" ht="23.85" hidden="false" customHeight="false" outlineLevel="0" collapsed="false">
      <c r="A96" s="5" t="s">
        <v>7670</v>
      </c>
      <c r="B96" s="2" t="s">
        <v>2247</v>
      </c>
      <c r="C96" s="5"/>
      <c r="D96" s="5"/>
      <c r="E96" s="5" t="s">
        <v>8336</v>
      </c>
      <c r="F96" s="5" t="n">
        <f aca="false">SUMPRODUCT(EXACT('Rule-Event map'!$F$2:$F$1477,$A96)*EXACT('Rule-Event map'!$G$2:$G$1477,$B96))</f>
        <v>1</v>
      </c>
      <c r="G96" s="5" t="n">
        <f aca="false">SUMPRODUCT(EXACT('Rule-Event map'!$F$2:$F$1477,$A96)*EXACT('Rule-Event map'!$G$2:$G$1477,$B96)*('Rule-Event map'!$C$2:$C$1477="New ITDR (7.6.0)"))</f>
        <v>0</v>
      </c>
      <c r="H96" s="5" t="n">
        <f aca="false">SUMPRODUCT(EXACT('Rule-Event map'!$F$2:$F$1477,$A96)*EXACT('Rule-Event map'!$G$2:$G$1477,$B96)*('Rule-Event map'!$C$2:$C$1477="Existing, re-tagged ITDR"))</f>
        <v>0</v>
      </c>
      <c r="I96" s="5" t="n">
        <f aca="false">F96-G96-H96</f>
        <v>1</v>
      </c>
      <c r="J96" s="5" t="n">
        <f aca="false">SUMPRODUCT(EXACT('Rule-Event map'!$F$2:$F$1477,$A96)*EXACT('Rule-Event map'!$G$2:$G$1477,$B96)*('Rule-Event map'!$E$2:$E$1477="Enabled"))</f>
        <v>1</v>
      </c>
      <c r="K96" s="2" t="s">
        <v>2244</v>
      </c>
    </row>
    <row r="97" customFormat="false" ht="35.05" hidden="false" customHeight="false" outlineLevel="0" collapsed="false">
      <c r="A97" s="5" t="s">
        <v>7670</v>
      </c>
      <c r="B97" s="2" t="s">
        <v>7689</v>
      </c>
      <c r="C97" s="5"/>
      <c r="D97" s="5"/>
      <c r="E97" s="5" t="s">
        <v>8336</v>
      </c>
      <c r="F97" s="5" t="n">
        <f aca="false">SUMPRODUCT(EXACT('Rule-Event map'!$F$2:$F$1477,$A97)*EXACT('Rule-Event map'!$G$2:$G$1477,$B97))</f>
        <v>1</v>
      </c>
      <c r="G97" s="5" t="n">
        <f aca="false">SUMPRODUCT(EXACT('Rule-Event map'!$F$2:$F$1477,$A97)*EXACT('Rule-Event map'!$G$2:$G$1477,$B97)*('Rule-Event map'!$C$2:$C$1477="New ITDR (7.6.0)"))</f>
        <v>0</v>
      </c>
      <c r="H97" s="5" t="n">
        <f aca="false">SUMPRODUCT(EXACT('Rule-Event map'!$F$2:$F$1477,$A97)*EXACT('Rule-Event map'!$G$2:$G$1477,$B97)*('Rule-Event map'!$C$2:$C$1477="Existing, re-tagged ITDR"))</f>
        <v>1</v>
      </c>
      <c r="I97" s="5" t="n">
        <f aca="false">F97-G97-H97</f>
        <v>0</v>
      </c>
      <c r="J97" s="5" t="n">
        <f aca="false">SUMPRODUCT(EXACT('Rule-Event map'!$F$2:$F$1477,$A97)*EXACT('Rule-Event map'!$G$2:$G$1477,$B97)*('Rule-Event map'!$E$2:$E$1477="Enabled"))</f>
        <v>1</v>
      </c>
      <c r="K97" s="2" t="s">
        <v>647</v>
      </c>
    </row>
    <row r="98" customFormat="false" ht="35.05" hidden="false" customHeight="false" outlineLevel="0" collapsed="false">
      <c r="A98" s="5" t="s">
        <v>7670</v>
      </c>
      <c r="B98" s="2" t="s">
        <v>7690</v>
      </c>
      <c r="C98" s="5"/>
      <c r="D98" s="5"/>
      <c r="E98" s="5" t="s">
        <v>8336</v>
      </c>
      <c r="F98" s="5" t="n">
        <f aca="false">SUMPRODUCT(EXACT('Rule-Event map'!$F$2:$F$1477,$A98)*EXACT('Rule-Event map'!$G$2:$G$1477,$B98))</f>
        <v>1</v>
      </c>
      <c r="G98" s="5" t="n">
        <f aca="false">SUMPRODUCT(EXACT('Rule-Event map'!$F$2:$F$1477,$A98)*EXACT('Rule-Event map'!$G$2:$G$1477,$B98)*('Rule-Event map'!$C$2:$C$1477="New ITDR (7.6.0)"))</f>
        <v>0</v>
      </c>
      <c r="H98" s="5" t="n">
        <f aca="false">SUMPRODUCT(EXACT('Rule-Event map'!$F$2:$F$1477,$A98)*EXACT('Rule-Event map'!$G$2:$G$1477,$B98)*('Rule-Event map'!$C$2:$C$1477="Existing, re-tagged ITDR"))</f>
        <v>1</v>
      </c>
      <c r="I98" s="5" t="n">
        <f aca="false">F98-G98-H98</f>
        <v>0</v>
      </c>
      <c r="J98" s="5" t="n">
        <f aca="false">SUMPRODUCT(EXACT('Rule-Event map'!$F$2:$F$1477,$A98)*EXACT('Rule-Event map'!$G$2:$G$1477,$B98)*('Rule-Event map'!$E$2:$E$1477="Enabled"))</f>
        <v>1</v>
      </c>
      <c r="K98" s="2" t="s">
        <v>647</v>
      </c>
    </row>
    <row r="99" customFormat="false" ht="23.85" hidden="false" customHeight="false" outlineLevel="0" collapsed="false">
      <c r="A99" s="5" t="s">
        <v>7670</v>
      </c>
      <c r="B99" s="2" t="s">
        <v>7691</v>
      </c>
      <c r="C99" s="5"/>
      <c r="D99" s="5"/>
      <c r="E99" s="5" t="s">
        <v>8336</v>
      </c>
      <c r="F99" s="5" t="n">
        <f aca="false">SUMPRODUCT(EXACT('Rule-Event map'!$F$2:$F$1477,$A99)*EXACT('Rule-Event map'!$G$2:$G$1477,$B99))</f>
        <v>1</v>
      </c>
      <c r="G99" s="5" t="n">
        <f aca="false">SUMPRODUCT(EXACT('Rule-Event map'!$F$2:$F$1477,$A99)*EXACT('Rule-Event map'!$G$2:$G$1477,$B99)*('Rule-Event map'!$C$2:$C$1477="New ITDR (7.6.0)"))</f>
        <v>0</v>
      </c>
      <c r="H99" s="5" t="n">
        <f aca="false">SUMPRODUCT(EXACT('Rule-Event map'!$F$2:$F$1477,$A99)*EXACT('Rule-Event map'!$G$2:$G$1477,$B99)*('Rule-Event map'!$C$2:$C$1477="Existing, re-tagged ITDR"))</f>
        <v>1</v>
      </c>
      <c r="I99" s="5" t="n">
        <f aca="false">F99-G99-H99</f>
        <v>0</v>
      </c>
      <c r="J99" s="5" t="n">
        <f aca="false">SUMPRODUCT(EXACT('Rule-Event map'!$F$2:$F$1477,$A99)*EXACT('Rule-Event map'!$G$2:$G$1477,$B99)*('Rule-Event map'!$E$2:$E$1477="Enabled"))</f>
        <v>1</v>
      </c>
      <c r="K99" s="2" t="s">
        <v>656</v>
      </c>
    </row>
    <row r="100" customFormat="false" ht="35.05" hidden="false" customHeight="false" outlineLevel="0" collapsed="false">
      <c r="A100" s="5" t="s">
        <v>7670</v>
      </c>
      <c r="B100" s="2" t="s">
        <v>7693</v>
      </c>
      <c r="C100" s="5"/>
      <c r="D100" s="5"/>
      <c r="E100" s="5" t="s">
        <v>8336</v>
      </c>
      <c r="F100" s="5" t="n">
        <f aca="false">SUMPRODUCT(EXACT('Rule-Event map'!$F$2:$F$1477,$A100)*EXACT('Rule-Event map'!$G$2:$G$1477,$B100))</f>
        <v>1</v>
      </c>
      <c r="G100" s="5" t="n">
        <f aca="false">SUMPRODUCT(EXACT('Rule-Event map'!$F$2:$F$1477,$A100)*EXACT('Rule-Event map'!$G$2:$G$1477,$B100)*('Rule-Event map'!$C$2:$C$1477="New ITDR (7.6.0)"))</f>
        <v>0</v>
      </c>
      <c r="H100" s="5" t="n">
        <f aca="false">SUMPRODUCT(EXACT('Rule-Event map'!$F$2:$F$1477,$A100)*EXACT('Rule-Event map'!$G$2:$G$1477,$B100)*('Rule-Event map'!$C$2:$C$1477="Existing, re-tagged ITDR"))</f>
        <v>1</v>
      </c>
      <c r="I100" s="5" t="n">
        <f aca="false">F100-G100-H100</f>
        <v>0</v>
      </c>
      <c r="J100" s="5" t="n">
        <f aca="false">SUMPRODUCT(EXACT('Rule-Event map'!$F$2:$F$1477,$A100)*EXACT('Rule-Event map'!$G$2:$G$1477,$B100)*('Rule-Event map'!$E$2:$E$1477="Enabled"))</f>
        <v>1</v>
      </c>
      <c r="K100" s="2" t="s">
        <v>656</v>
      </c>
    </row>
    <row r="101" customFormat="false" ht="35.05" hidden="false" customHeight="false" outlineLevel="0" collapsed="false">
      <c r="A101" s="5" t="s">
        <v>7670</v>
      </c>
      <c r="B101" s="2" t="s">
        <v>7692</v>
      </c>
      <c r="C101" s="5"/>
      <c r="D101" s="5"/>
      <c r="E101" s="5" t="s">
        <v>8336</v>
      </c>
      <c r="F101" s="5" t="n">
        <f aca="false">SUMPRODUCT(EXACT('Rule-Event map'!$F$2:$F$1477,$A101)*EXACT('Rule-Event map'!$G$2:$G$1477,$B101))</f>
        <v>1</v>
      </c>
      <c r="G101" s="5" t="n">
        <f aca="false">SUMPRODUCT(EXACT('Rule-Event map'!$F$2:$F$1477,$A101)*EXACT('Rule-Event map'!$G$2:$G$1477,$B101)*('Rule-Event map'!$C$2:$C$1477="New ITDR (7.6.0)"))</f>
        <v>0</v>
      </c>
      <c r="H101" s="5" t="n">
        <f aca="false">SUMPRODUCT(EXACT('Rule-Event map'!$F$2:$F$1477,$A101)*EXACT('Rule-Event map'!$G$2:$G$1477,$B101)*('Rule-Event map'!$C$2:$C$1477="Existing, re-tagged ITDR"))</f>
        <v>1</v>
      </c>
      <c r="I101" s="5" t="n">
        <f aca="false">F101-G101-H101</f>
        <v>0</v>
      </c>
      <c r="J101" s="5" t="n">
        <f aca="false">SUMPRODUCT(EXACT('Rule-Event map'!$F$2:$F$1477,$A101)*EXACT('Rule-Event map'!$G$2:$G$1477,$B101)*('Rule-Event map'!$E$2:$E$1477="Enabled"))</f>
        <v>1</v>
      </c>
      <c r="K101" s="2" t="s">
        <v>656</v>
      </c>
    </row>
    <row r="102" customFormat="false" ht="23.85" hidden="false" customHeight="false" outlineLevel="0" collapsed="false">
      <c r="A102" s="5" t="s">
        <v>7670</v>
      </c>
      <c r="B102" s="2" t="s">
        <v>7694</v>
      </c>
      <c r="C102" s="5"/>
      <c r="D102" s="5"/>
      <c r="E102" s="5" t="s">
        <v>8336</v>
      </c>
      <c r="F102" s="5" t="n">
        <f aca="false">SUMPRODUCT(EXACT('Rule-Event map'!$F$2:$F$1477,$A102)*EXACT('Rule-Event map'!$G$2:$G$1477,$B102))</f>
        <v>1</v>
      </c>
      <c r="G102" s="5" t="n">
        <f aca="false">SUMPRODUCT(EXACT('Rule-Event map'!$F$2:$F$1477,$A102)*EXACT('Rule-Event map'!$G$2:$G$1477,$B102)*('Rule-Event map'!$C$2:$C$1477="New ITDR (7.6.0)"))</f>
        <v>0</v>
      </c>
      <c r="H102" s="5" t="n">
        <f aca="false">SUMPRODUCT(EXACT('Rule-Event map'!$F$2:$F$1477,$A102)*EXACT('Rule-Event map'!$G$2:$G$1477,$B102)*('Rule-Event map'!$C$2:$C$1477="Existing, re-tagged ITDR"))</f>
        <v>1</v>
      </c>
      <c r="I102" s="5" t="n">
        <f aca="false">F102-G102-H102</f>
        <v>0</v>
      </c>
      <c r="J102" s="5" t="n">
        <f aca="false">SUMPRODUCT(EXACT('Rule-Event map'!$F$2:$F$1477,$A102)*EXACT('Rule-Event map'!$G$2:$G$1477,$B102)*('Rule-Event map'!$E$2:$E$1477="Enabled"))</f>
        <v>1</v>
      </c>
      <c r="K102" s="2" t="s">
        <v>662</v>
      </c>
    </row>
    <row r="103" customFormat="false" ht="35.05" hidden="false" customHeight="false" outlineLevel="0" collapsed="false">
      <c r="A103" s="5" t="s">
        <v>7670</v>
      </c>
      <c r="B103" s="2" t="s">
        <v>7695</v>
      </c>
      <c r="C103" s="5"/>
      <c r="D103" s="5"/>
      <c r="E103" s="5" t="s">
        <v>8336</v>
      </c>
      <c r="F103" s="5" t="n">
        <f aca="false">SUMPRODUCT(EXACT('Rule-Event map'!$F$2:$F$1477,$A103)*EXACT('Rule-Event map'!$G$2:$G$1477,$B103))</f>
        <v>1</v>
      </c>
      <c r="G103" s="5" t="n">
        <f aca="false">SUMPRODUCT(EXACT('Rule-Event map'!$F$2:$F$1477,$A103)*EXACT('Rule-Event map'!$G$2:$G$1477,$B103)*('Rule-Event map'!$C$2:$C$1477="New ITDR (7.6.0)"))</f>
        <v>0</v>
      </c>
      <c r="H103" s="5" t="n">
        <f aca="false">SUMPRODUCT(EXACT('Rule-Event map'!$F$2:$F$1477,$A103)*EXACT('Rule-Event map'!$G$2:$G$1477,$B103)*('Rule-Event map'!$C$2:$C$1477="Existing, re-tagged ITDR"))</f>
        <v>1</v>
      </c>
      <c r="I103" s="5" t="n">
        <f aca="false">F103-G103-H103</f>
        <v>0</v>
      </c>
      <c r="J103" s="5" t="n">
        <f aca="false">SUMPRODUCT(EXACT('Rule-Event map'!$F$2:$F$1477,$A103)*EXACT('Rule-Event map'!$G$2:$G$1477,$B103)*('Rule-Event map'!$E$2:$E$1477="Enabled"))</f>
        <v>1</v>
      </c>
      <c r="K103" s="2" t="s">
        <v>662</v>
      </c>
    </row>
    <row r="104" customFormat="false" ht="35.05" hidden="false" customHeight="false" outlineLevel="0" collapsed="false">
      <c r="A104" s="5" t="s">
        <v>7670</v>
      </c>
      <c r="B104" s="2" t="s">
        <v>7696</v>
      </c>
      <c r="C104" s="5"/>
      <c r="D104" s="5"/>
      <c r="E104" s="5" t="s">
        <v>8336</v>
      </c>
      <c r="F104" s="5" t="n">
        <f aca="false">SUMPRODUCT(EXACT('Rule-Event map'!$F$2:$F$1477,$A104)*EXACT('Rule-Event map'!$G$2:$G$1477,$B104))</f>
        <v>1</v>
      </c>
      <c r="G104" s="5" t="n">
        <f aca="false">SUMPRODUCT(EXACT('Rule-Event map'!$F$2:$F$1477,$A104)*EXACT('Rule-Event map'!$G$2:$G$1477,$B104)*('Rule-Event map'!$C$2:$C$1477="New ITDR (7.6.0)"))</f>
        <v>0</v>
      </c>
      <c r="H104" s="5" t="n">
        <f aca="false">SUMPRODUCT(EXACT('Rule-Event map'!$F$2:$F$1477,$A104)*EXACT('Rule-Event map'!$G$2:$G$1477,$B104)*('Rule-Event map'!$C$2:$C$1477="Existing, re-tagged ITDR"))</f>
        <v>1</v>
      </c>
      <c r="I104" s="5" t="n">
        <f aca="false">F104-G104-H104</f>
        <v>0</v>
      </c>
      <c r="J104" s="5" t="n">
        <f aca="false">SUMPRODUCT(EXACT('Rule-Event map'!$F$2:$F$1477,$A104)*EXACT('Rule-Event map'!$G$2:$G$1477,$B104)*('Rule-Event map'!$E$2:$E$1477="Enabled"))</f>
        <v>1</v>
      </c>
      <c r="K104" s="2" t="s">
        <v>662</v>
      </c>
    </row>
    <row r="105" customFormat="false" ht="23.85" hidden="false" customHeight="false" outlineLevel="0" collapsed="false">
      <c r="A105" s="5" t="s">
        <v>7670</v>
      </c>
      <c r="B105" s="2" t="s">
        <v>2255</v>
      </c>
      <c r="C105" s="5"/>
      <c r="D105" s="5"/>
      <c r="E105" s="5" t="s">
        <v>8336</v>
      </c>
      <c r="F105" s="5" t="n">
        <f aca="false">SUMPRODUCT(EXACT('Rule-Event map'!$F$2:$F$1477,$A105)*EXACT('Rule-Event map'!$G$2:$G$1477,$B105))</f>
        <v>1</v>
      </c>
      <c r="G105" s="5" t="n">
        <f aca="false">SUMPRODUCT(EXACT('Rule-Event map'!$F$2:$F$1477,$A105)*EXACT('Rule-Event map'!$G$2:$G$1477,$B105)*('Rule-Event map'!$C$2:$C$1477="New ITDR (7.6.0)"))</f>
        <v>0</v>
      </c>
      <c r="H105" s="5" t="n">
        <f aca="false">SUMPRODUCT(EXACT('Rule-Event map'!$F$2:$F$1477,$A105)*EXACT('Rule-Event map'!$G$2:$G$1477,$B105)*('Rule-Event map'!$C$2:$C$1477="Existing, re-tagged ITDR"))</f>
        <v>0</v>
      </c>
      <c r="I105" s="5" t="n">
        <f aca="false">F105-G105-H105</f>
        <v>1</v>
      </c>
      <c r="J105" s="5" t="n">
        <f aca="false">SUMPRODUCT(EXACT('Rule-Event map'!$F$2:$F$1477,$A105)*EXACT('Rule-Event map'!$G$2:$G$1477,$B105)*('Rule-Event map'!$E$2:$E$1477="Enabled"))</f>
        <v>1</v>
      </c>
      <c r="K105" s="2" t="s">
        <v>2254</v>
      </c>
    </row>
    <row r="106" customFormat="false" ht="15" hidden="false" customHeight="false" outlineLevel="0" collapsed="false">
      <c r="A106" s="5" t="s">
        <v>7670</v>
      </c>
      <c r="B106" s="2" t="s">
        <v>2262</v>
      </c>
      <c r="C106" s="5"/>
      <c r="D106" s="5"/>
      <c r="E106" s="5" t="s">
        <v>8336</v>
      </c>
      <c r="F106" s="5" t="n">
        <f aca="false">SUMPRODUCT(EXACT('Rule-Event map'!$F$2:$F$1477,$A106)*EXACT('Rule-Event map'!$G$2:$G$1477,$B106))</f>
        <v>1</v>
      </c>
      <c r="G106" s="5" t="n">
        <f aca="false">SUMPRODUCT(EXACT('Rule-Event map'!$F$2:$F$1477,$A106)*EXACT('Rule-Event map'!$G$2:$G$1477,$B106)*('Rule-Event map'!$C$2:$C$1477="New ITDR (7.6.0)"))</f>
        <v>0</v>
      </c>
      <c r="H106" s="5" t="n">
        <f aca="false">SUMPRODUCT(EXACT('Rule-Event map'!$F$2:$F$1477,$A106)*EXACT('Rule-Event map'!$G$2:$G$1477,$B106)*('Rule-Event map'!$C$2:$C$1477="Existing, re-tagged ITDR"))</f>
        <v>0</v>
      </c>
      <c r="I106" s="5" t="n">
        <f aca="false">F106-G106-H106</f>
        <v>1</v>
      </c>
      <c r="J106" s="5" t="n">
        <f aca="false">SUMPRODUCT(EXACT('Rule-Event map'!$F$2:$F$1477,$A106)*EXACT('Rule-Event map'!$G$2:$G$1477,$B106)*('Rule-Event map'!$E$2:$E$1477="Enabled"))</f>
        <v>1</v>
      </c>
      <c r="K106" s="2" t="s">
        <v>2261</v>
      </c>
    </row>
    <row r="107" customFormat="false" ht="15" hidden="false" customHeight="false" outlineLevel="0" collapsed="false">
      <c r="A107" s="5" t="s">
        <v>7670</v>
      </c>
      <c r="B107" s="2" t="s">
        <v>2269</v>
      </c>
      <c r="C107" s="5"/>
      <c r="D107" s="5"/>
      <c r="E107" s="5" t="s">
        <v>8336</v>
      </c>
      <c r="F107" s="5" t="n">
        <f aca="false">SUMPRODUCT(EXACT('Rule-Event map'!$F$2:$F$1477,$A107)*EXACT('Rule-Event map'!$G$2:$G$1477,$B107))</f>
        <v>1</v>
      </c>
      <c r="G107" s="5" t="n">
        <f aca="false">SUMPRODUCT(EXACT('Rule-Event map'!$F$2:$F$1477,$A107)*EXACT('Rule-Event map'!$G$2:$G$1477,$B107)*('Rule-Event map'!$C$2:$C$1477="New ITDR (7.6.0)"))</f>
        <v>0</v>
      </c>
      <c r="H107" s="5" t="n">
        <f aca="false">SUMPRODUCT(EXACT('Rule-Event map'!$F$2:$F$1477,$A107)*EXACT('Rule-Event map'!$G$2:$G$1477,$B107)*('Rule-Event map'!$C$2:$C$1477="Existing, re-tagged ITDR"))</f>
        <v>0</v>
      </c>
      <c r="I107" s="5" t="n">
        <f aca="false">F107-G107-H107</f>
        <v>1</v>
      </c>
      <c r="J107" s="5" t="n">
        <f aca="false">SUMPRODUCT(EXACT('Rule-Event map'!$F$2:$F$1477,$A107)*EXACT('Rule-Event map'!$G$2:$G$1477,$B107)*('Rule-Event map'!$E$2:$E$1477="Enabled"))</f>
        <v>1</v>
      </c>
      <c r="K107" s="2" t="s">
        <v>2268</v>
      </c>
    </row>
    <row r="108" customFormat="false" ht="15" hidden="false" customHeight="false" outlineLevel="0" collapsed="false">
      <c r="A108" s="5" t="s">
        <v>7670</v>
      </c>
      <c r="B108" s="2" t="s">
        <v>7709</v>
      </c>
      <c r="C108" s="5"/>
      <c r="D108" s="5"/>
      <c r="E108" s="5" t="s">
        <v>8336</v>
      </c>
      <c r="F108" s="5" t="n">
        <f aca="false">SUMPRODUCT(EXACT('Rule-Event map'!$F$2:$F$1477,$A108)*EXACT('Rule-Event map'!$G$2:$G$1477,$B108))</f>
        <v>1</v>
      </c>
      <c r="G108" s="5" t="n">
        <f aca="false">SUMPRODUCT(EXACT('Rule-Event map'!$F$2:$F$1477,$A108)*EXACT('Rule-Event map'!$G$2:$G$1477,$B108)*('Rule-Event map'!$C$2:$C$1477="New ITDR (7.6.0)"))</f>
        <v>0</v>
      </c>
      <c r="H108" s="5" t="n">
        <f aca="false">SUMPRODUCT(EXACT('Rule-Event map'!$F$2:$F$1477,$A108)*EXACT('Rule-Event map'!$G$2:$G$1477,$B108)*('Rule-Event map'!$C$2:$C$1477="Existing, re-tagged ITDR"))</f>
        <v>1</v>
      </c>
      <c r="I108" s="5" t="n">
        <f aca="false">F108-G108-H108</f>
        <v>0</v>
      </c>
      <c r="J108" s="5" t="n">
        <f aca="false">SUMPRODUCT(EXACT('Rule-Event map'!$F$2:$F$1477,$A108)*EXACT('Rule-Event map'!$G$2:$G$1477,$B108)*('Rule-Event map'!$E$2:$E$1477="Enabled"))</f>
        <v>1</v>
      </c>
      <c r="K108" s="2" t="s">
        <v>723</v>
      </c>
    </row>
    <row r="109" customFormat="false" ht="15" hidden="false" customHeight="false" outlineLevel="0" collapsed="false">
      <c r="A109" s="5" t="s">
        <v>7670</v>
      </c>
      <c r="B109" s="2" t="s">
        <v>4799</v>
      </c>
      <c r="C109" s="5"/>
      <c r="D109" s="5"/>
      <c r="E109" s="5" t="s">
        <v>8336</v>
      </c>
      <c r="F109" s="5" t="n">
        <f aca="false">SUMPRODUCT(EXACT('Rule-Event map'!$F$2:$F$1477,$A109)*EXACT('Rule-Event map'!$G$2:$G$1477,$B109))</f>
        <v>1</v>
      </c>
      <c r="G109" s="5" t="n">
        <f aca="false">SUMPRODUCT(EXACT('Rule-Event map'!$F$2:$F$1477,$A109)*EXACT('Rule-Event map'!$G$2:$G$1477,$B109)*('Rule-Event map'!$C$2:$C$1477="New ITDR (7.6.0)"))</f>
        <v>0</v>
      </c>
      <c r="H109" s="5" t="n">
        <f aca="false">SUMPRODUCT(EXACT('Rule-Event map'!$F$2:$F$1477,$A109)*EXACT('Rule-Event map'!$G$2:$G$1477,$B109)*('Rule-Event map'!$C$2:$C$1477="Existing, re-tagged ITDR"))</f>
        <v>0</v>
      </c>
      <c r="I109" s="5" t="n">
        <f aca="false">F109-G109-H109</f>
        <v>1</v>
      </c>
      <c r="J109" s="5" t="n">
        <f aca="false">SUMPRODUCT(EXACT('Rule-Event map'!$F$2:$F$1477,$A109)*EXACT('Rule-Event map'!$G$2:$G$1477,$B109)*('Rule-Event map'!$E$2:$E$1477="Enabled"))</f>
        <v>1</v>
      </c>
      <c r="K109" s="2" t="s">
        <v>4798</v>
      </c>
    </row>
    <row r="110" customFormat="false" ht="15" hidden="false" customHeight="false" outlineLevel="0" collapsed="false">
      <c r="A110" s="5" t="s">
        <v>7670</v>
      </c>
      <c r="B110" s="2" t="s">
        <v>695</v>
      </c>
      <c r="C110" s="5"/>
      <c r="D110" s="5"/>
      <c r="E110" s="5" t="s">
        <v>8336</v>
      </c>
      <c r="F110" s="5" t="n">
        <f aca="false">SUMPRODUCT(EXACT('Rule-Event map'!$F$2:$F$1477,$A110)*EXACT('Rule-Event map'!$G$2:$G$1477,$B110))</f>
        <v>1</v>
      </c>
      <c r="G110" s="5" t="n">
        <f aca="false">SUMPRODUCT(EXACT('Rule-Event map'!$F$2:$F$1477,$A110)*EXACT('Rule-Event map'!$G$2:$G$1477,$B110)*('Rule-Event map'!$C$2:$C$1477="New ITDR (7.6.0)"))</f>
        <v>0</v>
      </c>
      <c r="H110" s="5" t="n">
        <f aca="false">SUMPRODUCT(EXACT('Rule-Event map'!$F$2:$F$1477,$A110)*EXACT('Rule-Event map'!$G$2:$G$1477,$B110)*('Rule-Event map'!$C$2:$C$1477="Existing, re-tagged ITDR"))</f>
        <v>1</v>
      </c>
      <c r="I110" s="5" t="n">
        <f aca="false">F110-G110-H110</f>
        <v>0</v>
      </c>
      <c r="J110" s="5" t="n">
        <f aca="false">SUMPRODUCT(EXACT('Rule-Event map'!$F$2:$F$1477,$A110)*EXACT('Rule-Event map'!$G$2:$G$1477,$B110)*('Rule-Event map'!$E$2:$E$1477="Enabled"))</f>
        <v>1</v>
      </c>
      <c r="K110" s="2" t="s">
        <v>693</v>
      </c>
    </row>
    <row r="111" customFormat="false" ht="15" hidden="false" customHeight="false" outlineLevel="0" collapsed="false">
      <c r="A111" s="5" t="s">
        <v>7670</v>
      </c>
      <c r="B111" s="2" t="s">
        <v>7702</v>
      </c>
      <c r="C111" s="5"/>
      <c r="D111" s="5"/>
      <c r="E111" s="5" t="s">
        <v>8336</v>
      </c>
      <c r="F111" s="5" t="n">
        <f aca="false">SUMPRODUCT(EXACT('Rule-Event map'!$F$2:$F$1477,$A111)*EXACT('Rule-Event map'!$G$2:$G$1477,$B111))</f>
        <v>1</v>
      </c>
      <c r="G111" s="5" t="n">
        <f aca="false">SUMPRODUCT(EXACT('Rule-Event map'!$F$2:$F$1477,$A111)*EXACT('Rule-Event map'!$G$2:$G$1477,$B111)*('Rule-Event map'!$C$2:$C$1477="New ITDR (7.6.0)"))</f>
        <v>0</v>
      </c>
      <c r="H111" s="5" t="n">
        <f aca="false">SUMPRODUCT(EXACT('Rule-Event map'!$F$2:$F$1477,$A111)*EXACT('Rule-Event map'!$G$2:$G$1477,$B111)*('Rule-Event map'!$C$2:$C$1477="Existing, re-tagged ITDR"))</f>
        <v>1</v>
      </c>
      <c r="I111" s="5" t="n">
        <f aca="false">F111-G111-H111</f>
        <v>0</v>
      </c>
      <c r="J111" s="5" t="n">
        <f aca="false">SUMPRODUCT(EXACT('Rule-Event map'!$F$2:$F$1477,$A111)*EXACT('Rule-Event map'!$G$2:$G$1477,$B111)*('Rule-Event map'!$E$2:$E$1477="Enabled"))</f>
        <v>1</v>
      </c>
      <c r="K111" s="2" t="s">
        <v>686</v>
      </c>
    </row>
    <row r="112" customFormat="false" ht="15" hidden="false" customHeight="false" outlineLevel="0" collapsed="false">
      <c r="A112" s="5" t="s">
        <v>7670</v>
      </c>
      <c r="B112" s="2" t="s">
        <v>7703</v>
      </c>
      <c r="C112" s="5"/>
      <c r="D112" s="5"/>
      <c r="E112" s="5" t="s">
        <v>8336</v>
      </c>
      <c r="F112" s="5" t="n">
        <f aca="false">SUMPRODUCT(EXACT('Rule-Event map'!$F$2:$F$1477,$A112)*EXACT('Rule-Event map'!$G$2:$G$1477,$B112))</f>
        <v>1</v>
      </c>
      <c r="G112" s="5" t="n">
        <f aca="false">SUMPRODUCT(EXACT('Rule-Event map'!$F$2:$F$1477,$A112)*EXACT('Rule-Event map'!$G$2:$G$1477,$B112)*('Rule-Event map'!$C$2:$C$1477="New ITDR (7.6.0)"))</f>
        <v>0</v>
      </c>
      <c r="H112" s="5" t="n">
        <f aca="false">SUMPRODUCT(EXACT('Rule-Event map'!$F$2:$F$1477,$A112)*EXACT('Rule-Event map'!$G$2:$G$1477,$B112)*('Rule-Event map'!$C$2:$C$1477="Existing, re-tagged ITDR"))</f>
        <v>1</v>
      </c>
      <c r="I112" s="5" t="n">
        <f aca="false">F112-G112-H112</f>
        <v>0</v>
      </c>
      <c r="J112" s="5" t="n">
        <f aca="false">SUMPRODUCT(EXACT('Rule-Event map'!$F$2:$F$1477,$A112)*EXACT('Rule-Event map'!$G$2:$G$1477,$B112)*('Rule-Event map'!$E$2:$E$1477="Enabled"))</f>
        <v>1</v>
      </c>
      <c r="K112" s="2" t="s">
        <v>686</v>
      </c>
    </row>
    <row r="113" customFormat="false" ht="15" hidden="false" customHeight="false" outlineLevel="0" collapsed="false">
      <c r="A113" s="5" t="s">
        <v>7670</v>
      </c>
      <c r="B113" s="2" t="s">
        <v>7706</v>
      </c>
      <c r="C113" s="5"/>
      <c r="D113" s="5"/>
      <c r="E113" s="5" t="s">
        <v>8336</v>
      </c>
      <c r="F113" s="5" t="n">
        <f aca="false">SUMPRODUCT(EXACT('Rule-Event map'!$F$2:$F$1477,$A113)*EXACT('Rule-Event map'!$G$2:$G$1477,$B113))</f>
        <v>1</v>
      </c>
      <c r="G113" s="5" t="n">
        <f aca="false">SUMPRODUCT(EXACT('Rule-Event map'!$F$2:$F$1477,$A113)*EXACT('Rule-Event map'!$G$2:$G$1477,$B113)*('Rule-Event map'!$C$2:$C$1477="New ITDR (7.6.0)"))</f>
        <v>0</v>
      </c>
      <c r="H113" s="5" t="n">
        <f aca="false">SUMPRODUCT(EXACT('Rule-Event map'!$F$2:$F$1477,$A113)*EXACT('Rule-Event map'!$G$2:$G$1477,$B113)*('Rule-Event map'!$C$2:$C$1477="Existing, re-tagged ITDR"))</f>
        <v>1</v>
      </c>
      <c r="I113" s="5" t="n">
        <f aca="false">F113-G113-H113</f>
        <v>0</v>
      </c>
      <c r="J113" s="5" t="n">
        <f aca="false">SUMPRODUCT(EXACT('Rule-Event map'!$F$2:$F$1477,$A113)*EXACT('Rule-Event map'!$G$2:$G$1477,$B113)*('Rule-Event map'!$E$2:$E$1477="Enabled"))</f>
        <v>1</v>
      </c>
      <c r="K113" s="2" t="s">
        <v>711</v>
      </c>
    </row>
    <row r="114" customFormat="false" ht="15" hidden="false" customHeight="false" outlineLevel="0" collapsed="false">
      <c r="A114" s="5" t="s">
        <v>7670</v>
      </c>
      <c r="B114" s="2" t="s">
        <v>7707</v>
      </c>
      <c r="C114" s="5"/>
      <c r="D114" s="5"/>
      <c r="E114" s="5" t="s">
        <v>8336</v>
      </c>
      <c r="F114" s="5" t="n">
        <f aca="false">SUMPRODUCT(EXACT('Rule-Event map'!$F$2:$F$1477,$A114)*EXACT('Rule-Event map'!$G$2:$G$1477,$B114))</f>
        <v>1</v>
      </c>
      <c r="G114" s="5" t="n">
        <f aca="false">SUMPRODUCT(EXACT('Rule-Event map'!$F$2:$F$1477,$A114)*EXACT('Rule-Event map'!$G$2:$G$1477,$B114)*('Rule-Event map'!$C$2:$C$1477="New ITDR (7.6.0)"))</f>
        <v>0</v>
      </c>
      <c r="H114" s="5" t="n">
        <f aca="false">SUMPRODUCT(EXACT('Rule-Event map'!$F$2:$F$1477,$A114)*EXACT('Rule-Event map'!$G$2:$G$1477,$B114)*('Rule-Event map'!$C$2:$C$1477="Existing, re-tagged ITDR"))</f>
        <v>1</v>
      </c>
      <c r="I114" s="5" t="n">
        <f aca="false">F114-G114-H114</f>
        <v>0</v>
      </c>
      <c r="J114" s="5" t="n">
        <f aca="false">SUMPRODUCT(EXACT('Rule-Event map'!$F$2:$F$1477,$A114)*EXACT('Rule-Event map'!$G$2:$G$1477,$B114)*('Rule-Event map'!$E$2:$E$1477="Enabled"))</f>
        <v>1</v>
      </c>
      <c r="K114" s="2" t="s">
        <v>711</v>
      </c>
    </row>
    <row r="115" customFormat="false" ht="15" hidden="false" customHeight="false" outlineLevel="0" collapsed="false">
      <c r="A115" s="5" t="s">
        <v>7670</v>
      </c>
      <c r="B115" s="2" t="s">
        <v>7700</v>
      </c>
      <c r="C115" s="5"/>
      <c r="D115" s="5"/>
      <c r="E115" s="5" t="s">
        <v>8336</v>
      </c>
      <c r="F115" s="5" t="n">
        <f aca="false">SUMPRODUCT(EXACT('Rule-Event map'!$F$2:$F$1477,$A115)*EXACT('Rule-Event map'!$G$2:$G$1477,$B115))</f>
        <v>1</v>
      </c>
      <c r="G115" s="5" t="n">
        <f aca="false">SUMPRODUCT(EXACT('Rule-Event map'!$F$2:$F$1477,$A115)*EXACT('Rule-Event map'!$G$2:$G$1477,$B115)*('Rule-Event map'!$C$2:$C$1477="New ITDR (7.6.0)"))</f>
        <v>0</v>
      </c>
      <c r="H115" s="5" t="n">
        <f aca="false">SUMPRODUCT(EXACT('Rule-Event map'!$F$2:$F$1477,$A115)*EXACT('Rule-Event map'!$G$2:$G$1477,$B115)*('Rule-Event map'!$C$2:$C$1477="Existing, re-tagged ITDR"))</f>
        <v>1</v>
      </c>
      <c r="I115" s="5" t="n">
        <f aca="false">F115-G115-H115</f>
        <v>0</v>
      </c>
      <c r="J115" s="5" t="n">
        <f aca="false">SUMPRODUCT(EXACT('Rule-Event map'!$F$2:$F$1477,$A115)*EXACT('Rule-Event map'!$G$2:$G$1477,$B115)*('Rule-Event map'!$E$2:$E$1477="Enabled"))</f>
        <v>1</v>
      </c>
      <c r="K115" s="2" t="s">
        <v>679</v>
      </c>
    </row>
    <row r="116" customFormat="false" ht="15" hidden="false" customHeight="false" outlineLevel="0" collapsed="false">
      <c r="A116" s="5" t="s">
        <v>7670</v>
      </c>
      <c r="B116" s="2" t="s">
        <v>7704</v>
      </c>
      <c r="C116" s="5"/>
      <c r="D116" s="5"/>
      <c r="E116" s="5" t="s">
        <v>8336</v>
      </c>
      <c r="F116" s="5" t="n">
        <f aca="false">SUMPRODUCT(EXACT('Rule-Event map'!$F$2:$F$1477,$A116)*EXACT('Rule-Event map'!$G$2:$G$1477,$B116))</f>
        <v>1</v>
      </c>
      <c r="G116" s="5" t="n">
        <f aca="false">SUMPRODUCT(EXACT('Rule-Event map'!$F$2:$F$1477,$A116)*EXACT('Rule-Event map'!$G$2:$G$1477,$B116)*('Rule-Event map'!$C$2:$C$1477="New ITDR (7.6.0)"))</f>
        <v>0</v>
      </c>
      <c r="H116" s="5" t="n">
        <f aca="false">SUMPRODUCT(EXACT('Rule-Event map'!$F$2:$F$1477,$A116)*EXACT('Rule-Event map'!$G$2:$G$1477,$B116)*('Rule-Event map'!$C$2:$C$1477="Existing, re-tagged ITDR"))</f>
        <v>1</v>
      </c>
      <c r="I116" s="5" t="n">
        <f aca="false">F116-G116-H116</f>
        <v>0</v>
      </c>
      <c r="J116" s="5" t="n">
        <f aca="false">SUMPRODUCT(EXACT('Rule-Event map'!$F$2:$F$1477,$A116)*EXACT('Rule-Event map'!$G$2:$G$1477,$B116)*('Rule-Event map'!$E$2:$E$1477="Enabled"))</f>
        <v>1</v>
      </c>
      <c r="K116" s="2" t="s">
        <v>700</v>
      </c>
    </row>
    <row r="117" customFormat="false" ht="15" hidden="false" customHeight="false" outlineLevel="0" collapsed="false">
      <c r="A117" s="5" t="s">
        <v>7670</v>
      </c>
      <c r="B117" s="2" t="s">
        <v>718</v>
      </c>
      <c r="C117" s="5"/>
      <c r="D117" s="5"/>
      <c r="E117" s="5" t="s">
        <v>8336</v>
      </c>
      <c r="F117" s="5" t="n">
        <f aca="false">SUMPRODUCT(EXACT('Rule-Event map'!$F$2:$F$1477,$A117)*EXACT('Rule-Event map'!$G$2:$G$1477,$B117))</f>
        <v>1</v>
      </c>
      <c r="G117" s="5" t="n">
        <f aca="false">SUMPRODUCT(EXACT('Rule-Event map'!$F$2:$F$1477,$A117)*EXACT('Rule-Event map'!$G$2:$G$1477,$B117)*('Rule-Event map'!$C$2:$C$1477="New ITDR (7.6.0)"))</f>
        <v>0</v>
      </c>
      <c r="H117" s="5" t="n">
        <f aca="false">SUMPRODUCT(EXACT('Rule-Event map'!$F$2:$F$1477,$A117)*EXACT('Rule-Event map'!$G$2:$G$1477,$B117)*('Rule-Event map'!$C$2:$C$1477="Existing, re-tagged ITDR"))</f>
        <v>1</v>
      </c>
      <c r="I117" s="5" t="n">
        <f aca="false">F117-G117-H117</f>
        <v>0</v>
      </c>
      <c r="J117" s="5" t="n">
        <f aca="false">SUMPRODUCT(EXACT('Rule-Event map'!$F$2:$F$1477,$A117)*EXACT('Rule-Event map'!$G$2:$G$1477,$B117)*('Rule-Event map'!$E$2:$E$1477="Enabled"))</f>
        <v>1</v>
      </c>
      <c r="K117" s="2" t="s">
        <v>717</v>
      </c>
    </row>
    <row r="118" customFormat="false" ht="15" hidden="false" customHeight="false" outlineLevel="0" collapsed="false">
      <c r="A118" s="5" t="s">
        <v>7670</v>
      </c>
      <c r="B118" s="2" t="s">
        <v>707</v>
      </c>
      <c r="C118" s="5"/>
      <c r="D118" s="5"/>
      <c r="E118" s="5" t="s">
        <v>8336</v>
      </c>
      <c r="F118" s="5" t="n">
        <f aca="false">SUMPRODUCT(EXACT('Rule-Event map'!$F$2:$F$1477,$A118)*EXACT('Rule-Event map'!$G$2:$G$1477,$B118))</f>
        <v>1</v>
      </c>
      <c r="G118" s="5" t="n">
        <f aca="false">SUMPRODUCT(EXACT('Rule-Event map'!$F$2:$F$1477,$A118)*EXACT('Rule-Event map'!$G$2:$G$1477,$B118)*('Rule-Event map'!$C$2:$C$1477="New ITDR (7.6.0)"))</f>
        <v>0</v>
      </c>
      <c r="H118" s="5" t="n">
        <f aca="false">SUMPRODUCT(EXACT('Rule-Event map'!$F$2:$F$1477,$A118)*EXACT('Rule-Event map'!$G$2:$G$1477,$B118)*('Rule-Event map'!$C$2:$C$1477="Existing, re-tagged ITDR"))</f>
        <v>1</v>
      </c>
      <c r="I118" s="5" t="n">
        <f aca="false">F118-G118-H118</f>
        <v>0</v>
      </c>
      <c r="J118" s="5" t="n">
        <f aca="false">SUMPRODUCT(EXACT('Rule-Event map'!$F$2:$F$1477,$A118)*EXACT('Rule-Event map'!$G$2:$G$1477,$B118)*('Rule-Event map'!$E$2:$E$1477="Enabled"))</f>
        <v>1</v>
      </c>
      <c r="K118" s="2" t="s">
        <v>706</v>
      </c>
    </row>
    <row r="119" customFormat="false" ht="15" hidden="false" customHeight="false" outlineLevel="0" collapsed="false">
      <c r="A119" s="5" t="s">
        <v>7670</v>
      </c>
      <c r="B119" s="2" t="s">
        <v>7701</v>
      </c>
      <c r="C119" s="5"/>
      <c r="D119" s="5"/>
      <c r="E119" s="5" t="s">
        <v>8336</v>
      </c>
      <c r="F119" s="5" t="n">
        <f aca="false">SUMPRODUCT(EXACT('Rule-Event map'!$F$2:$F$1477,$A119)*EXACT('Rule-Event map'!$G$2:$G$1477,$B119))</f>
        <v>1</v>
      </c>
      <c r="G119" s="5" t="n">
        <f aca="false">SUMPRODUCT(EXACT('Rule-Event map'!$F$2:$F$1477,$A119)*EXACT('Rule-Event map'!$G$2:$G$1477,$B119)*('Rule-Event map'!$C$2:$C$1477="New ITDR (7.6.0)"))</f>
        <v>0</v>
      </c>
      <c r="H119" s="5" t="n">
        <f aca="false">SUMPRODUCT(EXACT('Rule-Event map'!$F$2:$F$1477,$A119)*EXACT('Rule-Event map'!$G$2:$G$1477,$B119)*('Rule-Event map'!$C$2:$C$1477="Existing, re-tagged ITDR"))</f>
        <v>1</v>
      </c>
      <c r="I119" s="5" t="n">
        <f aca="false">F119-G119-H119</f>
        <v>0</v>
      </c>
      <c r="J119" s="5" t="n">
        <f aca="false">SUMPRODUCT(EXACT('Rule-Event map'!$F$2:$F$1477,$A119)*EXACT('Rule-Event map'!$G$2:$G$1477,$B119)*('Rule-Event map'!$E$2:$E$1477="Enabled"))</f>
        <v>1</v>
      </c>
      <c r="K119" s="2" t="s">
        <v>679</v>
      </c>
    </row>
    <row r="120" customFormat="false" ht="15" hidden="false" customHeight="false" outlineLevel="0" collapsed="false">
      <c r="A120" s="5" t="s">
        <v>7670</v>
      </c>
      <c r="B120" s="2" t="s">
        <v>7697</v>
      </c>
      <c r="C120" s="5"/>
      <c r="D120" s="5"/>
      <c r="E120" s="5" t="s">
        <v>8336</v>
      </c>
      <c r="F120" s="5" t="n">
        <f aca="false">SUMPRODUCT(EXACT('Rule-Event map'!$F$2:$F$1477,$A120)*EXACT('Rule-Event map'!$G$2:$G$1477,$B120))</f>
        <v>1</v>
      </c>
      <c r="G120" s="5" t="n">
        <f aca="false">SUMPRODUCT(EXACT('Rule-Event map'!$F$2:$F$1477,$A120)*EXACT('Rule-Event map'!$G$2:$G$1477,$B120)*('Rule-Event map'!$C$2:$C$1477="New ITDR (7.6.0)"))</f>
        <v>0</v>
      </c>
      <c r="H120" s="5" t="n">
        <f aca="false">SUMPRODUCT(EXACT('Rule-Event map'!$F$2:$F$1477,$A120)*EXACT('Rule-Event map'!$G$2:$G$1477,$B120)*('Rule-Event map'!$C$2:$C$1477="Existing, re-tagged ITDR"))</f>
        <v>1</v>
      </c>
      <c r="I120" s="5" t="n">
        <f aca="false">F120-G120-H120</f>
        <v>0</v>
      </c>
      <c r="J120" s="5" t="n">
        <f aca="false">SUMPRODUCT(EXACT('Rule-Event map'!$F$2:$F$1477,$A120)*EXACT('Rule-Event map'!$G$2:$G$1477,$B120)*('Rule-Event map'!$E$2:$E$1477="Enabled"))</f>
        <v>1</v>
      </c>
      <c r="K120" s="2" t="s">
        <v>669</v>
      </c>
    </row>
    <row r="121" customFormat="false" ht="15" hidden="false" customHeight="false" outlineLevel="0" collapsed="false">
      <c r="A121" s="5" t="s">
        <v>7670</v>
      </c>
      <c r="B121" s="2" t="s">
        <v>7698</v>
      </c>
      <c r="C121" s="5"/>
      <c r="D121" s="5"/>
      <c r="E121" s="5" t="s">
        <v>8336</v>
      </c>
      <c r="F121" s="5" t="n">
        <f aca="false">SUMPRODUCT(EXACT('Rule-Event map'!$F$2:$F$1477,$A121)*EXACT('Rule-Event map'!$G$2:$G$1477,$B121))</f>
        <v>1</v>
      </c>
      <c r="G121" s="5" t="n">
        <f aca="false">SUMPRODUCT(EXACT('Rule-Event map'!$F$2:$F$1477,$A121)*EXACT('Rule-Event map'!$G$2:$G$1477,$B121)*('Rule-Event map'!$C$2:$C$1477="New ITDR (7.6.0)"))</f>
        <v>0</v>
      </c>
      <c r="H121" s="5" t="n">
        <f aca="false">SUMPRODUCT(EXACT('Rule-Event map'!$F$2:$F$1477,$A121)*EXACT('Rule-Event map'!$G$2:$G$1477,$B121)*('Rule-Event map'!$C$2:$C$1477="Existing, re-tagged ITDR"))</f>
        <v>1</v>
      </c>
      <c r="I121" s="5" t="n">
        <f aca="false">F121-G121-H121</f>
        <v>0</v>
      </c>
      <c r="J121" s="5" t="n">
        <f aca="false">SUMPRODUCT(EXACT('Rule-Event map'!$F$2:$F$1477,$A121)*EXACT('Rule-Event map'!$G$2:$G$1477,$B121)*('Rule-Event map'!$E$2:$E$1477="Enabled"))</f>
        <v>1</v>
      </c>
      <c r="K121" s="2" t="s">
        <v>669</v>
      </c>
    </row>
    <row r="122" customFormat="false" ht="15" hidden="false" customHeight="false" outlineLevel="0" collapsed="false">
      <c r="A122" s="5" t="s">
        <v>7670</v>
      </c>
      <c r="B122" s="2" t="s">
        <v>7699</v>
      </c>
      <c r="C122" s="5"/>
      <c r="D122" s="5"/>
      <c r="E122" s="5" t="s">
        <v>8336</v>
      </c>
      <c r="F122" s="5" t="n">
        <f aca="false">SUMPRODUCT(EXACT('Rule-Event map'!$F$2:$F$1477,$A122)*EXACT('Rule-Event map'!$G$2:$G$1477,$B122))</f>
        <v>1</v>
      </c>
      <c r="G122" s="5" t="n">
        <f aca="false">SUMPRODUCT(EXACT('Rule-Event map'!$F$2:$F$1477,$A122)*EXACT('Rule-Event map'!$G$2:$G$1477,$B122)*('Rule-Event map'!$C$2:$C$1477="New ITDR (7.6.0)"))</f>
        <v>0</v>
      </c>
      <c r="H122" s="5" t="n">
        <f aca="false">SUMPRODUCT(EXACT('Rule-Event map'!$F$2:$F$1477,$A122)*EXACT('Rule-Event map'!$G$2:$G$1477,$B122)*('Rule-Event map'!$C$2:$C$1477="Existing, re-tagged ITDR"))</f>
        <v>1</v>
      </c>
      <c r="I122" s="5" t="n">
        <f aca="false">F122-G122-H122</f>
        <v>0</v>
      </c>
      <c r="J122" s="5" t="n">
        <f aca="false">SUMPRODUCT(EXACT('Rule-Event map'!$F$2:$F$1477,$A122)*EXACT('Rule-Event map'!$G$2:$G$1477,$B122)*('Rule-Event map'!$E$2:$E$1477="Enabled"))</f>
        <v>1</v>
      </c>
      <c r="K122" s="2" t="s">
        <v>669</v>
      </c>
    </row>
    <row r="123" customFormat="false" ht="15" hidden="false" customHeight="false" outlineLevel="0" collapsed="false">
      <c r="A123" s="5" t="s">
        <v>7670</v>
      </c>
      <c r="B123" s="2" t="s">
        <v>7705</v>
      </c>
      <c r="C123" s="5"/>
      <c r="D123" s="5"/>
      <c r="E123" s="5" t="s">
        <v>8336</v>
      </c>
      <c r="F123" s="5" t="n">
        <f aca="false">SUMPRODUCT(EXACT('Rule-Event map'!$F$2:$F$1477,$A123)*EXACT('Rule-Event map'!$G$2:$G$1477,$B123))</f>
        <v>1</v>
      </c>
      <c r="G123" s="5" t="n">
        <f aca="false">SUMPRODUCT(EXACT('Rule-Event map'!$F$2:$F$1477,$A123)*EXACT('Rule-Event map'!$G$2:$G$1477,$B123)*('Rule-Event map'!$C$2:$C$1477="New ITDR (7.6.0)"))</f>
        <v>0</v>
      </c>
      <c r="H123" s="5" t="n">
        <f aca="false">SUMPRODUCT(EXACT('Rule-Event map'!$F$2:$F$1477,$A123)*EXACT('Rule-Event map'!$G$2:$G$1477,$B123)*('Rule-Event map'!$C$2:$C$1477="Existing, re-tagged ITDR"))</f>
        <v>1</v>
      </c>
      <c r="I123" s="5" t="n">
        <f aca="false">F123-G123-H123</f>
        <v>0</v>
      </c>
      <c r="J123" s="5" t="n">
        <f aca="false">SUMPRODUCT(EXACT('Rule-Event map'!$F$2:$F$1477,$A123)*EXACT('Rule-Event map'!$G$2:$G$1477,$B123)*('Rule-Event map'!$E$2:$E$1477="Enabled"))</f>
        <v>1</v>
      </c>
      <c r="K123" s="2" t="s">
        <v>700</v>
      </c>
    </row>
    <row r="124" customFormat="false" ht="15" hidden="false" customHeight="false" outlineLevel="0" collapsed="false">
      <c r="A124" s="5" t="s">
        <v>7670</v>
      </c>
      <c r="B124" s="2" t="s">
        <v>7708</v>
      </c>
      <c r="C124" s="5"/>
      <c r="D124" s="5"/>
      <c r="E124" s="5" t="s">
        <v>8336</v>
      </c>
      <c r="F124" s="5" t="n">
        <f aca="false">SUMPRODUCT(EXACT('Rule-Event map'!$F$2:$F$1477,$A124)*EXACT('Rule-Event map'!$G$2:$G$1477,$B124))</f>
        <v>1</v>
      </c>
      <c r="G124" s="5" t="n">
        <f aca="false">SUMPRODUCT(EXACT('Rule-Event map'!$F$2:$F$1477,$A124)*EXACT('Rule-Event map'!$G$2:$G$1477,$B124)*('Rule-Event map'!$C$2:$C$1477="New ITDR (7.6.0)"))</f>
        <v>0</v>
      </c>
      <c r="H124" s="5" t="n">
        <f aca="false">SUMPRODUCT(EXACT('Rule-Event map'!$F$2:$F$1477,$A124)*EXACT('Rule-Event map'!$G$2:$G$1477,$B124)*('Rule-Event map'!$C$2:$C$1477="Existing, re-tagged ITDR"))</f>
        <v>1</v>
      </c>
      <c r="I124" s="5" t="n">
        <f aca="false">F124-G124-H124</f>
        <v>0</v>
      </c>
      <c r="J124" s="5" t="n">
        <f aca="false">SUMPRODUCT(EXACT('Rule-Event map'!$F$2:$F$1477,$A124)*EXACT('Rule-Event map'!$G$2:$G$1477,$B124)*('Rule-Event map'!$E$2:$E$1477="Enabled"))</f>
        <v>1</v>
      </c>
      <c r="K124" s="2" t="s">
        <v>723</v>
      </c>
    </row>
    <row r="125" customFormat="false" ht="15" hidden="false" customHeight="false" outlineLevel="0" collapsed="false">
      <c r="A125" s="5" t="s">
        <v>7670</v>
      </c>
      <c r="B125" s="2" t="s">
        <v>7778</v>
      </c>
      <c r="C125" s="5"/>
      <c r="D125" s="5"/>
      <c r="E125" s="5" t="s">
        <v>8336</v>
      </c>
      <c r="F125" s="5" t="n">
        <f aca="false">SUMPRODUCT(EXACT('Rule-Event map'!$F$2:$F$1477,$A125)*EXACT('Rule-Event map'!$G$2:$G$1477,$B125))</f>
        <v>2</v>
      </c>
      <c r="G125" s="5" t="n">
        <f aca="false">SUMPRODUCT(EXACT('Rule-Event map'!$F$2:$F$1477,$A125)*EXACT('Rule-Event map'!$G$2:$G$1477,$B125)*('Rule-Event map'!$C$2:$C$1477="New ITDR (7.6.0)"))</f>
        <v>0</v>
      </c>
      <c r="H125" s="5" t="n">
        <f aca="false">SUMPRODUCT(EXACT('Rule-Event map'!$F$2:$F$1477,$A125)*EXACT('Rule-Event map'!$G$2:$G$1477,$B125)*('Rule-Event map'!$C$2:$C$1477="Existing, re-tagged ITDR"))</f>
        <v>0</v>
      </c>
      <c r="I125" s="5" t="n">
        <f aca="false">F125-G125-H125</f>
        <v>2</v>
      </c>
      <c r="J125" s="5" t="n">
        <f aca="false">SUMPRODUCT(EXACT('Rule-Event map'!$F$2:$F$1477,$A125)*EXACT('Rule-Event map'!$G$2:$G$1477,$B125)*('Rule-Event map'!$E$2:$E$1477="Enabled"))</f>
        <v>2</v>
      </c>
      <c r="K125" s="2" t="s">
        <v>8365</v>
      </c>
    </row>
    <row r="126" customFormat="false" ht="15" hidden="false" customHeight="false" outlineLevel="0" collapsed="false">
      <c r="A126" s="5" t="s">
        <v>7670</v>
      </c>
      <c r="B126" s="2" t="s">
        <v>7772</v>
      </c>
      <c r="C126" s="5"/>
      <c r="D126" s="5"/>
      <c r="E126" s="5" t="s">
        <v>8336</v>
      </c>
      <c r="F126" s="5" t="n">
        <f aca="false">SUMPRODUCT(EXACT('Rule-Event map'!$F$2:$F$1477,$A126)*EXACT('Rule-Event map'!$G$2:$G$1477,$B126))</f>
        <v>1</v>
      </c>
      <c r="G126" s="5" t="n">
        <f aca="false">SUMPRODUCT(EXACT('Rule-Event map'!$F$2:$F$1477,$A126)*EXACT('Rule-Event map'!$G$2:$G$1477,$B126)*('Rule-Event map'!$C$2:$C$1477="New ITDR (7.6.0)"))</f>
        <v>0</v>
      </c>
      <c r="H126" s="5" t="n">
        <f aca="false">SUMPRODUCT(EXACT('Rule-Event map'!$F$2:$F$1477,$A126)*EXACT('Rule-Event map'!$G$2:$G$1477,$B126)*('Rule-Event map'!$C$2:$C$1477="Existing, re-tagged ITDR"))</f>
        <v>0</v>
      </c>
      <c r="I126" s="5" t="n">
        <f aca="false">F126-G126-H126</f>
        <v>1</v>
      </c>
      <c r="J126" s="5" t="n">
        <f aca="false">SUMPRODUCT(EXACT('Rule-Event map'!$F$2:$F$1477,$A126)*EXACT('Rule-Event map'!$G$2:$G$1477,$B126)*('Rule-Event map'!$E$2:$E$1477="Enabled"))</f>
        <v>1</v>
      </c>
      <c r="K126" s="2" t="s">
        <v>2302</v>
      </c>
    </row>
    <row r="127" customFormat="false" ht="15" hidden="false" customHeight="false" outlineLevel="0" collapsed="false">
      <c r="A127" s="5" t="s">
        <v>7670</v>
      </c>
      <c r="B127" s="2" t="s">
        <v>7773</v>
      </c>
      <c r="C127" s="5"/>
      <c r="D127" s="5"/>
      <c r="E127" s="5" t="s">
        <v>8336</v>
      </c>
      <c r="F127" s="5" t="n">
        <f aca="false">SUMPRODUCT(EXACT('Rule-Event map'!$F$2:$F$1477,$A127)*EXACT('Rule-Event map'!$G$2:$G$1477,$B127))</f>
        <v>1</v>
      </c>
      <c r="G127" s="5" t="n">
        <f aca="false">SUMPRODUCT(EXACT('Rule-Event map'!$F$2:$F$1477,$A127)*EXACT('Rule-Event map'!$G$2:$G$1477,$B127)*('Rule-Event map'!$C$2:$C$1477="New ITDR (7.6.0)"))</f>
        <v>0</v>
      </c>
      <c r="H127" s="5" t="n">
        <f aca="false">SUMPRODUCT(EXACT('Rule-Event map'!$F$2:$F$1477,$A127)*EXACT('Rule-Event map'!$G$2:$G$1477,$B127)*('Rule-Event map'!$C$2:$C$1477="Existing, re-tagged ITDR"))</f>
        <v>0</v>
      </c>
      <c r="I127" s="5" t="n">
        <f aca="false">F127-G127-H127</f>
        <v>1</v>
      </c>
      <c r="J127" s="5" t="n">
        <f aca="false">SUMPRODUCT(EXACT('Rule-Event map'!$F$2:$F$1477,$A127)*EXACT('Rule-Event map'!$G$2:$G$1477,$B127)*('Rule-Event map'!$E$2:$E$1477="Enabled"))</f>
        <v>1</v>
      </c>
      <c r="K127" s="2" t="s">
        <v>2302</v>
      </c>
    </row>
    <row r="128" customFormat="false" ht="15" hidden="false" customHeight="false" outlineLevel="0" collapsed="false">
      <c r="A128" s="5" t="s">
        <v>7670</v>
      </c>
      <c r="B128" s="2" t="s">
        <v>7771</v>
      </c>
      <c r="C128" s="5"/>
      <c r="D128" s="5"/>
      <c r="E128" s="5" t="s">
        <v>8336</v>
      </c>
      <c r="F128" s="5" t="n">
        <f aca="false">SUMPRODUCT(EXACT('Rule-Event map'!$F$2:$F$1477,$A128)*EXACT('Rule-Event map'!$G$2:$G$1477,$B128))</f>
        <v>1</v>
      </c>
      <c r="G128" s="5" t="n">
        <f aca="false">SUMPRODUCT(EXACT('Rule-Event map'!$F$2:$F$1477,$A128)*EXACT('Rule-Event map'!$G$2:$G$1477,$B128)*('Rule-Event map'!$C$2:$C$1477="New ITDR (7.6.0)"))</f>
        <v>0</v>
      </c>
      <c r="H128" s="5" t="n">
        <f aca="false">SUMPRODUCT(EXACT('Rule-Event map'!$F$2:$F$1477,$A128)*EXACT('Rule-Event map'!$G$2:$G$1477,$B128)*('Rule-Event map'!$C$2:$C$1477="Existing, re-tagged ITDR"))</f>
        <v>0</v>
      </c>
      <c r="I128" s="5" t="n">
        <f aca="false">F128-G128-H128</f>
        <v>1</v>
      </c>
      <c r="J128" s="5" t="n">
        <f aca="false">SUMPRODUCT(EXACT('Rule-Event map'!$F$2:$F$1477,$A128)*EXACT('Rule-Event map'!$G$2:$G$1477,$B128)*('Rule-Event map'!$E$2:$E$1477="Enabled"))</f>
        <v>1</v>
      </c>
      <c r="K128" s="2" t="s">
        <v>2302</v>
      </c>
    </row>
    <row r="129" customFormat="false" ht="15" hidden="false" customHeight="false" outlineLevel="0" collapsed="false">
      <c r="A129" s="5" t="s">
        <v>7670</v>
      </c>
      <c r="B129" s="2" t="s">
        <v>7986</v>
      </c>
      <c r="C129" s="5"/>
      <c r="D129" s="5"/>
      <c r="E129" s="5" t="s">
        <v>8336</v>
      </c>
      <c r="F129" s="5" t="n">
        <f aca="false">SUMPRODUCT(EXACT('Rule-Event map'!$F$2:$F$1477,$A129)*EXACT('Rule-Event map'!$G$2:$G$1477,$B129))</f>
        <v>1</v>
      </c>
      <c r="G129" s="5" t="n">
        <f aca="false">SUMPRODUCT(EXACT('Rule-Event map'!$F$2:$F$1477,$A129)*EXACT('Rule-Event map'!$G$2:$G$1477,$B129)*('Rule-Event map'!$C$2:$C$1477="New ITDR (7.6.0)"))</f>
        <v>0</v>
      </c>
      <c r="H129" s="5" t="n">
        <f aca="false">SUMPRODUCT(EXACT('Rule-Event map'!$F$2:$F$1477,$A129)*EXACT('Rule-Event map'!$G$2:$G$1477,$B129)*('Rule-Event map'!$C$2:$C$1477="Existing, re-tagged ITDR"))</f>
        <v>0</v>
      </c>
      <c r="I129" s="5" t="n">
        <f aca="false">F129-G129-H129</f>
        <v>1</v>
      </c>
      <c r="J129" s="5" t="n">
        <f aca="false">SUMPRODUCT(EXACT('Rule-Event map'!$F$2:$F$1477,$A129)*EXACT('Rule-Event map'!$G$2:$G$1477,$B129)*('Rule-Event map'!$E$2:$E$1477="Enabled"))</f>
        <v>1</v>
      </c>
      <c r="K129" s="2" t="s">
        <v>5304</v>
      </c>
    </row>
    <row r="130" customFormat="false" ht="15" hidden="false" customHeight="false" outlineLevel="0" collapsed="false">
      <c r="A130" s="5" t="s">
        <v>7670</v>
      </c>
      <c r="B130" s="2" t="s">
        <v>7987</v>
      </c>
      <c r="C130" s="5"/>
      <c r="D130" s="5"/>
      <c r="E130" s="5" t="s">
        <v>8336</v>
      </c>
      <c r="F130" s="5" t="n">
        <f aca="false">SUMPRODUCT(EXACT('Rule-Event map'!$F$2:$F$1477,$A130)*EXACT('Rule-Event map'!$G$2:$G$1477,$B130))</f>
        <v>1</v>
      </c>
      <c r="G130" s="5" t="n">
        <f aca="false">SUMPRODUCT(EXACT('Rule-Event map'!$F$2:$F$1477,$A130)*EXACT('Rule-Event map'!$G$2:$G$1477,$B130)*('Rule-Event map'!$C$2:$C$1477="New ITDR (7.6.0)"))</f>
        <v>0</v>
      </c>
      <c r="H130" s="5" t="n">
        <f aca="false">SUMPRODUCT(EXACT('Rule-Event map'!$F$2:$F$1477,$A130)*EXACT('Rule-Event map'!$G$2:$G$1477,$B130)*('Rule-Event map'!$C$2:$C$1477="Existing, re-tagged ITDR"))</f>
        <v>0</v>
      </c>
      <c r="I130" s="5" t="n">
        <f aca="false">F130-G130-H130</f>
        <v>1</v>
      </c>
      <c r="J130" s="5" t="n">
        <f aca="false">SUMPRODUCT(EXACT('Rule-Event map'!$F$2:$F$1477,$A130)*EXACT('Rule-Event map'!$G$2:$G$1477,$B130)*('Rule-Event map'!$E$2:$E$1477="Enabled"))</f>
        <v>1</v>
      </c>
      <c r="K130" s="2" t="s">
        <v>5304</v>
      </c>
    </row>
    <row r="131" customFormat="false" ht="46.25" hidden="false" customHeight="false" outlineLevel="0" collapsed="false">
      <c r="A131" s="5" t="s">
        <v>7670</v>
      </c>
      <c r="B131" s="2" t="s">
        <v>4932</v>
      </c>
      <c r="C131" s="5"/>
      <c r="D131" s="5"/>
      <c r="E131" s="5" t="s">
        <v>8336</v>
      </c>
      <c r="F131" s="5" t="n">
        <f aca="false">SUMPRODUCT(EXACT('Rule-Event map'!$F$2:$F$1477,$A131)*EXACT('Rule-Event map'!$G$2:$G$1477,$B131))</f>
        <v>35</v>
      </c>
      <c r="G131" s="5" t="n">
        <f aca="false">SUMPRODUCT(EXACT('Rule-Event map'!$F$2:$F$1477,$A131)*EXACT('Rule-Event map'!$G$2:$G$1477,$B131)*('Rule-Event map'!$C$2:$C$1477="New ITDR (7.6.0)"))</f>
        <v>0</v>
      </c>
      <c r="H131" s="5" t="n">
        <f aca="false">SUMPRODUCT(EXACT('Rule-Event map'!$F$2:$F$1477,$A131)*EXACT('Rule-Event map'!$G$2:$G$1477,$B131)*('Rule-Event map'!$C$2:$C$1477="Existing, re-tagged ITDR"))</f>
        <v>0</v>
      </c>
      <c r="I131" s="5" t="n">
        <f aca="false">F131-G131-H131</f>
        <v>35</v>
      </c>
      <c r="J131" s="5" t="n">
        <f aca="false">SUMPRODUCT(EXACT('Rule-Event map'!$F$2:$F$1477,$A131)*EXACT('Rule-Event map'!$G$2:$G$1477,$B131)*('Rule-Event map'!$E$2:$E$1477="Enabled"))</f>
        <v>27</v>
      </c>
      <c r="K131" s="2" t="s">
        <v>8366</v>
      </c>
    </row>
    <row r="132" customFormat="false" ht="15" hidden="false" customHeight="false" outlineLevel="0" collapsed="false">
      <c r="A132" s="5" t="s">
        <v>7670</v>
      </c>
      <c r="B132" s="2" t="s">
        <v>7776</v>
      </c>
      <c r="C132" s="5"/>
      <c r="D132" s="5"/>
      <c r="E132" s="5" t="s">
        <v>8336</v>
      </c>
      <c r="F132" s="5" t="n">
        <f aca="false">SUMPRODUCT(EXACT('Rule-Event map'!$F$2:$F$1477,$A132)*EXACT('Rule-Event map'!$G$2:$G$1477,$B132))</f>
        <v>2</v>
      </c>
      <c r="G132" s="5" t="n">
        <f aca="false">SUMPRODUCT(EXACT('Rule-Event map'!$F$2:$F$1477,$A132)*EXACT('Rule-Event map'!$G$2:$G$1477,$B132)*('Rule-Event map'!$C$2:$C$1477="New ITDR (7.6.0)"))</f>
        <v>0</v>
      </c>
      <c r="H132" s="5" t="n">
        <f aca="false">SUMPRODUCT(EXACT('Rule-Event map'!$F$2:$F$1477,$A132)*EXACT('Rule-Event map'!$G$2:$G$1477,$B132)*('Rule-Event map'!$C$2:$C$1477="Existing, re-tagged ITDR"))</f>
        <v>0</v>
      </c>
      <c r="I132" s="5" t="n">
        <f aca="false">F132-G132-H132</f>
        <v>2</v>
      </c>
      <c r="J132" s="5" t="n">
        <f aca="false">SUMPRODUCT(EXACT('Rule-Event map'!$F$2:$F$1477,$A132)*EXACT('Rule-Event map'!$G$2:$G$1477,$B132)*('Rule-Event map'!$E$2:$E$1477="Enabled"))</f>
        <v>2</v>
      </c>
      <c r="K132" s="2" t="s">
        <v>8365</v>
      </c>
    </row>
    <row r="133" customFormat="false" ht="15" hidden="false" customHeight="false" outlineLevel="0" collapsed="false">
      <c r="A133" s="5" t="s">
        <v>7670</v>
      </c>
      <c r="B133" s="2" t="s">
        <v>4831</v>
      </c>
      <c r="C133" s="5"/>
      <c r="D133" s="5"/>
      <c r="E133" s="5" t="s">
        <v>8336</v>
      </c>
      <c r="F133" s="5" t="n">
        <f aca="false">SUMPRODUCT(EXACT('Rule-Event map'!$F$2:$F$1477,$A133)*EXACT('Rule-Event map'!$G$2:$G$1477,$B133))</f>
        <v>1</v>
      </c>
      <c r="G133" s="5" t="n">
        <f aca="false">SUMPRODUCT(EXACT('Rule-Event map'!$F$2:$F$1477,$A133)*EXACT('Rule-Event map'!$G$2:$G$1477,$B133)*('Rule-Event map'!$C$2:$C$1477="New ITDR (7.6.0)"))</f>
        <v>0</v>
      </c>
      <c r="H133" s="5" t="n">
        <f aca="false">SUMPRODUCT(EXACT('Rule-Event map'!$F$2:$F$1477,$A133)*EXACT('Rule-Event map'!$G$2:$G$1477,$B133)*('Rule-Event map'!$C$2:$C$1477="Existing, re-tagged ITDR"))</f>
        <v>0</v>
      </c>
      <c r="I133" s="5" t="n">
        <f aca="false">F133-G133-H133</f>
        <v>1</v>
      </c>
      <c r="J133" s="5" t="n">
        <f aca="false">SUMPRODUCT(EXACT('Rule-Event map'!$F$2:$F$1477,$A133)*EXACT('Rule-Event map'!$G$2:$G$1477,$B133)*('Rule-Event map'!$E$2:$E$1477="Enabled"))</f>
        <v>1</v>
      </c>
      <c r="K133" s="2" t="s">
        <v>4829</v>
      </c>
    </row>
    <row r="134" customFormat="false" ht="15" hidden="false" customHeight="false" outlineLevel="0" collapsed="false">
      <c r="A134" s="5" t="s">
        <v>7670</v>
      </c>
      <c r="B134" s="2" t="s">
        <v>7983</v>
      </c>
      <c r="C134" s="5"/>
      <c r="D134" s="5"/>
      <c r="E134" s="5" t="s">
        <v>8336</v>
      </c>
      <c r="F134" s="5" t="n">
        <f aca="false">SUMPRODUCT(EXACT('Rule-Event map'!$F$2:$F$1477,$A134)*EXACT('Rule-Event map'!$G$2:$G$1477,$B134))</f>
        <v>1</v>
      </c>
      <c r="G134" s="5" t="n">
        <f aca="false">SUMPRODUCT(EXACT('Rule-Event map'!$F$2:$F$1477,$A134)*EXACT('Rule-Event map'!$G$2:$G$1477,$B134)*('Rule-Event map'!$C$2:$C$1477="New ITDR (7.6.0)"))</f>
        <v>0</v>
      </c>
      <c r="H134" s="5" t="n">
        <f aca="false">SUMPRODUCT(EXACT('Rule-Event map'!$F$2:$F$1477,$A134)*EXACT('Rule-Event map'!$G$2:$G$1477,$B134)*('Rule-Event map'!$C$2:$C$1477="Existing, re-tagged ITDR"))</f>
        <v>0</v>
      </c>
      <c r="I134" s="5" t="n">
        <f aca="false">F134-G134-H134</f>
        <v>1</v>
      </c>
      <c r="J134" s="5" t="n">
        <f aca="false">SUMPRODUCT(EXACT('Rule-Event map'!$F$2:$F$1477,$A134)*EXACT('Rule-Event map'!$G$2:$G$1477,$B134)*('Rule-Event map'!$E$2:$E$1477="Enabled"))</f>
        <v>0</v>
      </c>
      <c r="K134" s="2" t="s">
        <v>5290</v>
      </c>
    </row>
    <row r="135" customFormat="false" ht="15" hidden="false" customHeight="false" outlineLevel="0" collapsed="false">
      <c r="A135" s="5" t="s">
        <v>7670</v>
      </c>
      <c r="B135" s="2" t="s">
        <v>2350</v>
      </c>
      <c r="C135" s="5"/>
      <c r="D135" s="5"/>
      <c r="E135" s="5" t="s">
        <v>8336</v>
      </c>
      <c r="F135" s="5" t="n">
        <f aca="false">SUMPRODUCT(EXACT('Rule-Event map'!$F$2:$F$1477,$A135)*EXACT('Rule-Event map'!$G$2:$G$1477,$B135))</f>
        <v>2</v>
      </c>
      <c r="G135" s="5" t="n">
        <f aca="false">SUMPRODUCT(EXACT('Rule-Event map'!$F$2:$F$1477,$A135)*EXACT('Rule-Event map'!$G$2:$G$1477,$B135)*('Rule-Event map'!$C$2:$C$1477="New ITDR (7.6.0)"))</f>
        <v>0</v>
      </c>
      <c r="H135" s="5" t="n">
        <f aca="false">SUMPRODUCT(EXACT('Rule-Event map'!$F$2:$F$1477,$A135)*EXACT('Rule-Event map'!$G$2:$G$1477,$B135)*('Rule-Event map'!$C$2:$C$1477="Existing, re-tagged ITDR"))</f>
        <v>0</v>
      </c>
      <c r="I135" s="5" t="n">
        <f aca="false">F135-G135-H135</f>
        <v>2</v>
      </c>
      <c r="J135" s="5" t="n">
        <f aca="false">SUMPRODUCT(EXACT('Rule-Event map'!$F$2:$F$1477,$A135)*EXACT('Rule-Event map'!$G$2:$G$1477,$B135)*('Rule-Event map'!$E$2:$E$1477="Enabled"))</f>
        <v>2</v>
      </c>
      <c r="K135" s="2" t="s">
        <v>8367</v>
      </c>
    </row>
    <row r="136" customFormat="false" ht="15" hidden="false" customHeight="false" outlineLevel="0" collapsed="false">
      <c r="A136" s="5" t="s">
        <v>7670</v>
      </c>
      <c r="B136" s="2" t="s">
        <v>2364</v>
      </c>
      <c r="C136" s="5"/>
      <c r="D136" s="5"/>
      <c r="E136" s="5" t="s">
        <v>8336</v>
      </c>
      <c r="F136" s="5" t="n">
        <f aca="false">SUMPRODUCT(EXACT('Rule-Event map'!$F$2:$F$1477,$A136)*EXACT('Rule-Event map'!$G$2:$G$1477,$B136))</f>
        <v>2</v>
      </c>
      <c r="G136" s="5" t="n">
        <f aca="false">SUMPRODUCT(EXACT('Rule-Event map'!$F$2:$F$1477,$A136)*EXACT('Rule-Event map'!$G$2:$G$1477,$B136)*('Rule-Event map'!$C$2:$C$1477="New ITDR (7.6.0)"))</f>
        <v>0</v>
      </c>
      <c r="H136" s="5" t="n">
        <f aca="false">SUMPRODUCT(EXACT('Rule-Event map'!$F$2:$F$1477,$A136)*EXACT('Rule-Event map'!$G$2:$G$1477,$B136)*('Rule-Event map'!$C$2:$C$1477="Existing, re-tagged ITDR"))</f>
        <v>0</v>
      </c>
      <c r="I136" s="5" t="n">
        <f aca="false">F136-G136-H136</f>
        <v>2</v>
      </c>
      <c r="J136" s="5" t="n">
        <f aca="false">SUMPRODUCT(EXACT('Rule-Event map'!$F$2:$F$1477,$A136)*EXACT('Rule-Event map'!$G$2:$G$1477,$B136)*('Rule-Event map'!$E$2:$E$1477="Enabled"))</f>
        <v>2</v>
      </c>
      <c r="K136" s="2" t="s">
        <v>8368</v>
      </c>
    </row>
    <row r="137" customFormat="false" ht="15" hidden="false" customHeight="false" outlineLevel="0" collapsed="false">
      <c r="A137" s="5" t="s">
        <v>7670</v>
      </c>
      <c r="B137" s="2" t="s">
        <v>7984</v>
      </c>
      <c r="C137" s="5"/>
      <c r="D137" s="5"/>
      <c r="E137" s="5" t="s">
        <v>8336</v>
      </c>
      <c r="F137" s="5" t="n">
        <f aca="false">SUMPRODUCT(EXACT('Rule-Event map'!$F$2:$F$1477,$A137)*EXACT('Rule-Event map'!$G$2:$G$1477,$B137))</f>
        <v>1</v>
      </c>
      <c r="G137" s="5" t="n">
        <f aca="false">SUMPRODUCT(EXACT('Rule-Event map'!$F$2:$F$1477,$A137)*EXACT('Rule-Event map'!$G$2:$G$1477,$B137)*('Rule-Event map'!$C$2:$C$1477="New ITDR (7.6.0)"))</f>
        <v>0</v>
      </c>
      <c r="H137" s="5" t="n">
        <f aca="false">SUMPRODUCT(EXACT('Rule-Event map'!$F$2:$F$1477,$A137)*EXACT('Rule-Event map'!$G$2:$G$1477,$B137)*('Rule-Event map'!$C$2:$C$1477="Existing, re-tagged ITDR"))</f>
        <v>0</v>
      </c>
      <c r="I137" s="5" t="n">
        <f aca="false">F137-G137-H137</f>
        <v>1</v>
      </c>
      <c r="J137" s="5" t="n">
        <f aca="false">SUMPRODUCT(EXACT('Rule-Event map'!$F$2:$F$1477,$A137)*EXACT('Rule-Event map'!$G$2:$G$1477,$B137)*('Rule-Event map'!$E$2:$E$1477="Enabled"))</f>
        <v>0</v>
      </c>
      <c r="K137" s="2" t="s">
        <v>5290</v>
      </c>
    </row>
    <row r="138" customFormat="false" ht="15" hidden="false" customHeight="false" outlineLevel="0" collapsed="false">
      <c r="A138" s="5" t="s">
        <v>7670</v>
      </c>
      <c r="B138" s="2" t="s">
        <v>7951</v>
      </c>
      <c r="C138" s="5"/>
      <c r="D138" s="5"/>
      <c r="E138" s="5" t="s">
        <v>8336</v>
      </c>
      <c r="F138" s="5" t="n">
        <f aca="false">SUMPRODUCT(EXACT('Rule-Event map'!$F$2:$F$1477,$A138)*EXACT('Rule-Event map'!$G$2:$G$1477,$B138))</f>
        <v>1</v>
      </c>
      <c r="G138" s="5" t="n">
        <f aca="false">SUMPRODUCT(EXACT('Rule-Event map'!$F$2:$F$1477,$A138)*EXACT('Rule-Event map'!$G$2:$G$1477,$B138)*('Rule-Event map'!$C$2:$C$1477="New ITDR (7.6.0)"))</f>
        <v>0</v>
      </c>
      <c r="H138" s="5" t="n">
        <f aca="false">SUMPRODUCT(EXACT('Rule-Event map'!$F$2:$F$1477,$A138)*EXACT('Rule-Event map'!$G$2:$G$1477,$B138)*('Rule-Event map'!$C$2:$C$1477="Existing, re-tagged ITDR"))</f>
        <v>0</v>
      </c>
      <c r="I138" s="5" t="n">
        <f aca="false">F138-G138-H138</f>
        <v>1</v>
      </c>
      <c r="J138" s="5" t="n">
        <f aca="false">SUMPRODUCT(EXACT('Rule-Event map'!$F$2:$F$1477,$A138)*EXACT('Rule-Event map'!$G$2:$G$1477,$B138)*('Rule-Event map'!$E$2:$E$1477="Enabled"))</f>
        <v>1</v>
      </c>
      <c r="K138" s="2" t="s">
        <v>5225</v>
      </c>
    </row>
    <row r="139" customFormat="false" ht="15" hidden="false" customHeight="false" outlineLevel="0" collapsed="false">
      <c r="A139" s="5" t="s">
        <v>7670</v>
      </c>
      <c r="B139" s="2" t="s">
        <v>8090</v>
      </c>
      <c r="C139" s="5"/>
      <c r="D139" s="5"/>
      <c r="E139" s="5" t="s">
        <v>8336</v>
      </c>
      <c r="F139" s="5" t="n">
        <f aca="false">SUMPRODUCT(EXACT('Rule-Event map'!$F$2:$F$1477,$A139)*EXACT('Rule-Event map'!$G$2:$G$1477,$B139))</f>
        <v>1</v>
      </c>
      <c r="G139" s="5" t="n">
        <f aca="false">SUMPRODUCT(EXACT('Rule-Event map'!$F$2:$F$1477,$A139)*EXACT('Rule-Event map'!$G$2:$G$1477,$B139)*('Rule-Event map'!$C$2:$C$1477="New ITDR (7.6.0)"))</f>
        <v>0</v>
      </c>
      <c r="H139" s="5" t="n">
        <f aca="false">SUMPRODUCT(EXACT('Rule-Event map'!$F$2:$F$1477,$A139)*EXACT('Rule-Event map'!$G$2:$G$1477,$B139)*('Rule-Event map'!$C$2:$C$1477="Existing, re-tagged ITDR"))</f>
        <v>0</v>
      </c>
      <c r="I139" s="5" t="n">
        <f aca="false">F139-G139-H139</f>
        <v>1</v>
      </c>
      <c r="J139" s="5" t="n">
        <f aca="false">SUMPRODUCT(EXACT('Rule-Event map'!$F$2:$F$1477,$A139)*EXACT('Rule-Event map'!$G$2:$G$1477,$B139)*('Rule-Event map'!$E$2:$E$1477="Enabled"))</f>
        <v>1</v>
      </c>
      <c r="K139" s="2" t="s">
        <v>5685</v>
      </c>
    </row>
    <row r="140" customFormat="false" ht="15" hidden="false" customHeight="false" outlineLevel="0" collapsed="false">
      <c r="A140" s="5" t="s">
        <v>7670</v>
      </c>
      <c r="B140" s="2" t="s">
        <v>8112</v>
      </c>
      <c r="C140" s="5"/>
      <c r="D140" s="5"/>
      <c r="E140" s="5" t="s">
        <v>8336</v>
      </c>
      <c r="F140" s="5" t="n">
        <f aca="false">SUMPRODUCT(EXACT('Rule-Event map'!$F$2:$F$1477,$A140)*EXACT('Rule-Event map'!$G$2:$G$1477,$B140))</f>
        <v>1</v>
      </c>
      <c r="G140" s="5" t="n">
        <f aca="false">SUMPRODUCT(EXACT('Rule-Event map'!$F$2:$F$1477,$A140)*EXACT('Rule-Event map'!$G$2:$G$1477,$B140)*('Rule-Event map'!$C$2:$C$1477="New ITDR (7.6.0)"))</f>
        <v>0</v>
      </c>
      <c r="H140" s="5" t="n">
        <f aca="false">SUMPRODUCT(EXACT('Rule-Event map'!$F$2:$F$1477,$A140)*EXACT('Rule-Event map'!$G$2:$G$1477,$B140)*('Rule-Event map'!$C$2:$C$1477="Existing, re-tagged ITDR"))</f>
        <v>0</v>
      </c>
      <c r="I140" s="5" t="n">
        <f aca="false">F140-G140-H140</f>
        <v>1</v>
      </c>
      <c r="J140" s="5" t="n">
        <f aca="false">SUMPRODUCT(EXACT('Rule-Event map'!$F$2:$F$1477,$A140)*EXACT('Rule-Event map'!$G$2:$G$1477,$B140)*('Rule-Event map'!$E$2:$E$1477="Enabled"))</f>
        <v>1</v>
      </c>
      <c r="K140" s="2" t="s">
        <v>5769</v>
      </c>
    </row>
    <row r="141" customFormat="false" ht="15" hidden="false" customHeight="false" outlineLevel="0" collapsed="false">
      <c r="A141" s="5" t="s">
        <v>7670</v>
      </c>
      <c r="B141" s="2" t="s">
        <v>8108</v>
      </c>
      <c r="C141" s="5"/>
      <c r="D141" s="5"/>
      <c r="E141" s="5" t="s">
        <v>8336</v>
      </c>
      <c r="F141" s="5" t="n">
        <f aca="false">SUMPRODUCT(EXACT('Rule-Event map'!$F$2:$F$1477,$A141)*EXACT('Rule-Event map'!$G$2:$G$1477,$B141))</f>
        <v>1</v>
      </c>
      <c r="G141" s="5" t="n">
        <f aca="false">SUMPRODUCT(EXACT('Rule-Event map'!$F$2:$F$1477,$A141)*EXACT('Rule-Event map'!$G$2:$G$1477,$B141)*('Rule-Event map'!$C$2:$C$1477="New ITDR (7.6.0)"))</f>
        <v>0</v>
      </c>
      <c r="H141" s="5" t="n">
        <f aca="false">SUMPRODUCT(EXACT('Rule-Event map'!$F$2:$F$1477,$A141)*EXACT('Rule-Event map'!$G$2:$G$1477,$B141)*('Rule-Event map'!$C$2:$C$1477="Existing, re-tagged ITDR"))</f>
        <v>0</v>
      </c>
      <c r="I141" s="5" t="n">
        <f aca="false">F141-G141-H141</f>
        <v>1</v>
      </c>
      <c r="J141" s="5" t="n">
        <f aca="false">SUMPRODUCT(EXACT('Rule-Event map'!$F$2:$F$1477,$A141)*EXACT('Rule-Event map'!$G$2:$G$1477,$B141)*('Rule-Event map'!$E$2:$E$1477="Enabled"))</f>
        <v>1</v>
      </c>
      <c r="K141" s="2" t="s">
        <v>5745</v>
      </c>
    </row>
    <row r="142" customFormat="false" ht="15" hidden="false" customHeight="false" outlineLevel="0" collapsed="false">
      <c r="A142" s="5" t="s">
        <v>7670</v>
      </c>
      <c r="B142" s="2" t="s">
        <v>8202</v>
      </c>
      <c r="C142" s="5"/>
      <c r="D142" s="5"/>
      <c r="E142" s="5" t="s">
        <v>8336</v>
      </c>
      <c r="F142" s="5" t="n">
        <f aca="false">SUMPRODUCT(EXACT('Rule-Event map'!$F$2:$F$1477,$A142)*EXACT('Rule-Event map'!$G$2:$G$1477,$B142))</f>
        <v>1</v>
      </c>
      <c r="G142" s="5" t="n">
        <f aca="false">SUMPRODUCT(EXACT('Rule-Event map'!$F$2:$F$1477,$A142)*EXACT('Rule-Event map'!$G$2:$G$1477,$B142)*('Rule-Event map'!$C$2:$C$1477="New ITDR (7.6.0)"))</f>
        <v>0</v>
      </c>
      <c r="H142" s="5" t="n">
        <f aca="false">SUMPRODUCT(EXACT('Rule-Event map'!$F$2:$F$1477,$A142)*EXACT('Rule-Event map'!$G$2:$G$1477,$B142)*('Rule-Event map'!$C$2:$C$1477="Existing, re-tagged ITDR"))</f>
        <v>0</v>
      </c>
      <c r="I142" s="5" t="n">
        <f aca="false">F142-G142-H142</f>
        <v>1</v>
      </c>
      <c r="J142" s="5" t="n">
        <f aca="false">SUMPRODUCT(EXACT('Rule-Event map'!$F$2:$F$1477,$A142)*EXACT('Rule-Event map'!$G$2:$G$1477,$B142)*('Rule-Event map'!$E$2:$E$1477="Enabled"))</f>
        <v>1</v>
      </c>
      <c r="K142" s="2" t="s">
        <v>6014</v>
      </c>
    </row>
    <row r="143" customFormat="false" ht="15" hidden="false" customHeight="false" outlineLevel="0" collapsed="false">
      <c r="A143" s="5" t="s">
        <v>7670</v>
      </c>
      <c r="B143" s="2" t="s">
        <v>8062</v>
      </c>
      <c r="C143" s="5"/>
      <c r="D143" s="5"/>
      <c r="E143" s="5" t="s">
        <v>8336</v>
      </c>
      <c r="F143" s="5" t="n">
        <f aca="false">SUMPRODUCT(EXACT('Rule-Event map'!$F$2:$F$1477,$A143)*EXACT('Rule-Event map'!$G$2:$G$1477,$B143))</f>
        <v>1</v>
      </c>
      <c r="G143" s="5" t="n">
        <f aca="false">SUMPRODUCT(EXACT('Rule-Event map'!$F$2:$F$1477,$A143)*EXACT('Rule-Event map'!$G$2:$G$1477,$B143)*('Rule-Event map'!$C$2:$C$1477="New ITDR (7.6.0)"))</f>
        <v>0</v>
      </c>
      <c r="H143" s="5" t="n">
        <f aca="false">SUMPRODUCT(EXACT('Rule-Event map'!$F$2:$F$1477,$A143)*EXACT('Rule-Event map'!$G$2:$G$1477,$B143)*('Rule-Event map'!$C$2:$C$1477="Existing, re-tagged ITDR"))</f>
        <v>0</v>
      </c>
      <c r="I143" s="5" t="n">
        <f aca="false">F143-G143-H143</f>
        <v>1</v>
      </c>
      <c r="J143" s="5" t="n">
        <f aca="false">SUMPRODUCT(EXACT('Rule-Event map'!$F$2:$F$1477,$A143)*EXACT('Rule-Event map'!$G$2:$G$1477,$B143)*('Rule-Event map'!$E$2:$E$1477="Enabled"))</f>
        <v>1</v>
      </c>
      <c r="K143" s="2" t="s">
        <v>5618</v>
      </c>
    </row>
    <row r="144" customFormat="false" ht="15" hidden="false" customHeight="false" outlineLevel="0" collapsed="false">
      <c r="A144" s="5" t="s">
        <v>7670</v>
      </c>
      <c r="B144" s="2" t="s">
        <v>8046</v>
      </c>
      <c r="C144" s="5"/>
      <c r="D144" s="5"/>
      <c r="E144" s="5" t="s">
        <v>8336</v>
      </c>
      <c r="F144" s="5" t="n">
        <f aca="false">SUMPRODUCT(EXACT('Rule-Event map'!$F$2:$F$1477,$A144)*EXACT('Rule-Event map'!$G$2:$G$1477,$B144))</f>
        <v>1</v>
      </c>
      <c r="G144" s="5" t="n">
        <f aca="false">SUMPRODUCT(EXACT('Rule-Event map'!$F$2:$F$1477,$A144)*EXACT('Rule-Event map'!$G$2:$G$1477,$B144)*('Rule-Event map'!$C$2:$C$1477="New ITDR (7.6.0)"))</f>
        <v>0</v>
      </c>
      <c r="H144" s="5" t="n">
        <f aca="false">SUMPRODUCT(EXACT('Rule-Event map'!$F$2:$F$1477,$A144)*EXACT('Rule-Event map'!$G$2:$G$1477,$B144)*('Rule-Event map'!$C$2:$C$1477="Existing, re-tagged ITDR"))</f>
        <v>0</v>
      </c>
      <c r="I144" s="5" t="n">
        <f aca="false">F144-G144-H144</f>
        <v>1</v>
      </c>
      <c r="J144" s="5" t="n">
        <f aca="false">SUMPRODUCT(EXACT('Rule-Event map'!$F$2:$F$1477,$A144)*EXACT('Rule-Event map'!$G$2:$G$1477,$B144)*('Rule-Event map'!$E$2:$E$1477="Enabled"))</f>
        <v>1</v>
      </c>
      <c r="K144" s="2" t="s">
        <v>5565</v>
      </c>
    </row>
    <row r="145" customFormat="false" ht="15" hidden="false" customHeight="false" outlineLevel="0" collapsed="false">
      <c r="A145" s="5" t="s">
        <v>7670</v>
      </c>
      <c r="B145" s="2" t="s">
        <v>7973</v>
      </c>
      <c r="C145" s="5"/>
      <c r="D145" s="5"/>
      <c r="E145" s="5" t="s">
        <v>8336</v>
      </c>
      <c r="F145" s="5" t="n">
        <f aca="false">SUMPRODUCT(EXACT('Rule-Event map'!$F$2:$F$1477,$A145)*EXACT('Rule-Event map'!$G$2:$G$1477,$B145))</f>
        <v>1</v>
      </c>
      <c r="G145" s="5" t="n">
        <f aca="false">SUMPRODUCT(EXACT('Rule-Event map'!$F$2:$F$1477,$A145)*EXACT('Rule-Event map'!$G$2:$G$1477,$B145)*('Rule-Event map'!$C$2:$C$1477="New ITDR (7.6.0)"))</f>
        <v>0</v>
      </c>
      <c r="H145" s="5" t="n">
        <f aca="false">SUMPRODUCT(EXACT('Rule-Event map'!$F$2:$F$1477,$A145)*EXACT('Rule-Event map'!$G$2:$G$1477,$B145)*('Rule-Event map'!$C$2:$C$1477="Existing, re-tagged ITDR"))</f>
        <v>0</v>
      </c>
      <c r="I145" s="5" t="n">
        <f aca="false">F145-G145-H145</f>
        <v>1</v>
      </c>
      <c r="J145" s="5" t="n">
        <f aca="false">SUMPRODUCT(EXACT('Rule-Event map'!$F$2:$F$1477,$A145)*EXACT('Rule-Event map'!$G$2:$G$1477,$B145)*('Rule-Event map'!$E$2:$E$1477="Enabled"))</f>
        <v>1</v>
      </c>
      <c r="K145" s="2" t="s">
        <v>5283</v>
      </c>
    </row>
    <row r="146" customFormat="false" ht="15" hidden="false" customHeight="false" outlineLevel="0" collapsed="false">
      <c r="A146" s="5" t="s">
        <v>7670</v>
      </c>
      <c r="B146" s="2" t="s">
        <v>7961</v>
      </c>
      <c r="C146" s="5"/>
      <c r="D146" s="5"/>
      <c r="E146" s="5" t="s">
        <v>8336</v>
      </c>
      <c r="F146" s="5" t="n">
        <f aca="false">SUMPRODUCT(EXACT('Rule-Event map'!$F$2:$F$1477,$A146)*EXACT('Rule-Event map'!$G$2:$G$1477,$B146))</f>
        <v>1</v>
      </c>
      <c r="G146" s="5" t="n">
        <f aca="false">SUMPRODUCT(EXACT('Rule-Event map'!$F$2:$F$1477,$A146)*EXACT('Rule-Event map'!$G$2:$G$1477,$B146)*('Rule-Event map'!$C$2:$C$1477="New ITDR (7.6.0)"))</f>
        <v>0</v>
      </c>
      <c r="H146" s="5" t="n">
        <f aca="false">SUMPRODUCT(EXACT('Rule-Event map'!$F$2:$F$1477,$A146)*EXACT('Rule-Event map'!$G$2:$G$1477,$B146)*('Rule-Event map'!$C$2:$C$1477="Existing, re-tagged ITDR"))</f>
        <v>0</v>
      </c>
      <c r="I146" s="5" t="n">
        <f aca="false">F146-G146-H146</f>
        <v>1</v>
      </c>
      <c r="J146" s="5" t="n">
        <f aca="false">SUMPRODUCT(EXACT('Rule-Event map'!$F$2:$F$1477,$A146)*EXACT('Rule-Event map'!$G$2:$G$1477,$B146)*('Rule-Event map'!$E$2:$E$1477="Enabled"))</f>
        <v>1</v>
      </c>
      <c r="K146" s="2" t="s">
        <v>5277</v>
      </c>
    </row>
    <row r="147" customFormat="false" ht="15" hidden="false" customHeight="false" outlineLevel="0" collapsed="false">
      <c r="A147" s="5" t="s">
        <v>7670</v>
      </c>
      <c r="B147" s="2" t="s">
        <v>8114</v>
      </c>
      <c r="C147" s="5"/>
      <c r="D147" s="5"/>
      <c r="E147" s="5" t="s">
        <v>8336</v>
      </c>
      <c r="F147" s="5" t="n">
        <f aca="false">SUMPRODUCT(EXACT('Rule-Event map'!$F$2:$F$1477,$A147)*EXACT('Rule-Event map'!$G$2:$G$1477,$B147))</f>
        <v>1</v>
      </c>
      <c r="G147" s="5" t="n">
        <f aca="false">SUMPRODUCT(EXACT('Rule-Event map'!$F$2:$F$1477,$A147)*EXACT('Rule-Event map'!$G$2:$G$1477,$B147)*('Rule-Event map'!$C$2:$C$1477="New ITDR (7.6.0)"))</f>
        <v>0</v>
      </c>
      <c r="H147" s="5" t="n">
        <f aca="false">SUMPRODUCT(EXACT('Rule-Event map'!$F$2:$F$1477,$A147)*EXACT('Rule-Event map'!$G$2:$G$1477,$B147)*('Rule-Event map'!$C$2:$C$1477="Existing, re-tagged ITDR"))</f>
        <v>0</v>
      </c>
      <c r="I147" s="5" t="n">
        <f aca="false">F147-G147-H147</f>
        <v>1</v>
      </c>
      <c r="J147" s="5" t="n">
        <f aca="false">SUMPRODUCT(EXACT('Rule-Event map'!$F$2:$F$1477,$A147)*EXACT('Rule-Event map'!$G$2:$G$1477,$B147)*('Rule-Event map'!$E$2:$E$1477="Enabled"))</f>
        <v>1</v>
      </c>
      <c r="K147" s="2" t="s">
        <v>5769</v>
      </c>
    </row>
    <row r="148" customFormat="false" ht="15" hidden="false" customHeight="false" outlineLevel="0" collapsed="false">
      <c r="A148" s="5" t="s">
        <v>7670</v>
      </c>
      <c r="B148" s="2" t="s">
        <v>8060</v>
      </c>
      <c r="C148" s="5"/>
      <c r="D148" s="5"/>
      <c r="E148" s="5" t="s">
        <v>8336</v>
      </c>
      <c r="F148" s="5" t="n">
        <f aca="false">SUMPRODUCT(EXACT('Rule-Event map'!$F$2:$F$1477,$A148)*EXACT('Rule-Event map'!$G$2:$G$1477,$B148))</f>
        <v>1</v>
      </c>
      <c r="G148" s="5" t="n">
        <f aca="false">SUMPRODUCT(EXACT('Rule-Event map'!$F$2:$F$1477,$A148)*EXACT('Rule-Event map'!$G$2:$G$1477,$B148)*('Rule-Event map'!$C$2:$C$1477="New ITDR (7.6.0)"))</f>
        <v>0</v>
      </c>
      <c r="H148" s="5" t="n">
        <f aca="false">SUMPRODUCT(EXACT('Rule-Event map'!$F$2:$F$1477,$A148)*EXACT('Rule-Event map'!$G$2:$G$1477,$B148)*('Rule-Event map'!$C$2:$C$1477="Existing, re-tagged ITDR"))</f>
        <v>0</v>
      </c>
      <c r="I148" s="5" t="n">
        <f aca="false">F148-G148-H148</f>
        <v>1</v>
      </c>
      <c r="J148" s="5" t="n">
        <f aca="false">SUMPRODUCT(EXACT('Rule-Event map'!$F$2:$F$1477,$A148)*EXACT('Rule-Event map'!$G$2:$G$1477,$B148)*('Rule-Event map'!$E$2:$E$1477="Enabled"))</f>
        <v>1</v>
      </c>
      <c r="K148" s="2" t="s">
        <v>5618</v>
      </c>
    </row>
    <row r="149" customFormat="false" ht="15" hidden="false" customHeight="false" outlineLevel="0" collapsed="false">
      <c r="A149" s="5" t="s">
        <v>7670</v>
      </c>
      <c r="B149" s="2" t="s">
        <v>7907</v>
      </c>
      <c r="C149" s="5"/>
      <c r="D149" s="5"/>
      <c r="E149" s="5" t="s">
        <v>8336</v>
      </c>
      <c r="F149" s="5" t="n">
        <f aca="false">SUMPRODUCT(EXACT('Rule-Event map'!$F$2:$F$1477,$A149)*EXACT('Rule-Event map'!$G$2:$G$1477,$B149))</f>
        <v>1</v>
      </c>
      <c r="G149" s="5" t="n">
        <f aca="false">SUMPRODUCT(EXACT('Rule-Event map'!$F$2:$F$1477,$A149)*EXACT('Rule-Event map'!$G$2:$G$1477,$B149)*('Rule-Event map'!$C$2:$C$1477="New ITDR (7.6.0)"))</f>
        <v>0</v>
      </c>
      <c r="H149" s="5" t="n">
        <f aca="false">SUMPRODUCT(EXACT('Rule-Event map'!$F$2:$F$1477,$A149)*EXACT('Rule-Event map'!$G$2:$G$1477,$B149)*('Rule-Event map'!$C$2:$C$1477="Existing, re-tagged ITDR"))</f>
        <v>0</v>
      </c>
      <c r="I149" s="5" t="n">
        <f aca="false">F149-G149-H149</f>
        <v>1</v>
      </c>
      <c r="J149" s="5" t="n">
        <f aca="false">SUMPRODUCT(EXACT('Rule-Event map'!$F$2:$F$1477,$A149)*EXACT('Rule-Event map'!$G$2:$G$1477,$B149)*('Rule-Event map'!$E$2:$E$1477="Enabled"))</f>
        <v>1</v>
      </c>
      <c r="K149" s="2" t="s">
        <v>5047</v>
      </c>
    </row>
    <row r="150" customFormat="false" ht="15" hidden="false" customHeight="false" outlineLevel="0" collapsed="false">
      <c r="A150" s="5" t="s">
        <v>7670</v>
      </c>
      <c r="B150" s="2" t="s">
        <v>8184</v>
      </c>
      <c r="C150" s="5"/>
      <c r="D150" s="5"/>
      <c r="E150" s="5" t="s">
        <v>8336</v>
      </c>
      <c r="F150" s="5" t="n">
        <f aca="false">SUMPRODUCT(EXACT('Rule-Event map'!$F$2:$F$1477,$A150)*EXACT('Rule-Event map'!$G$2:$G$1477,$B150))</f>
        <v>1</v>
      </c>
      <c r="G150" s="5" t="n">
        <f aca="false">SUMPRODUCT(EXACT('Rule-Event map'!$F$2:$F$1477,$A150)*EXACT('Rule-Event map'!$G$2:$G$1477,$B150)*('Rule-Event map'!$C$2:$C$1477="New ITDR (7.6.0)"))</f>
        <v>0</v>
      </c>
      <c r="H150" s="5" t="n">
        <f aca="false">SUMPRODUCT(EXACT('Rule-Event map'!$F$2:$F$1477,$A150)*EXACT('Rule-Event map'!$G$2:$G$1477,$B150)*('Rule-Event map'!$C$2:$C$1477="Existing, re-tagged ITDR"))</f>
        <v>0</v>
      </c>
      <c r="I150" s="5" t="n">
        <f aca="false">F150-G150-H150</f>
        <v>1</v>
      </c>
      <c r="J150" s="5" t="n">
        <f aca="false">SUMPRODUCT(EXACT('Rule-Event map'!$F$2:$F$1477,$A150)*EXACT('Rule-Event map'!$G$2:$G$1477,$B150)*('Rule-Event map'!$E$2:$E$1477="Enabled"))</f>
        <v>0</v>
      </c>
      <c r="K150" s="2" t="s">
        <v>5972</v>
      </c>
    </row>
    <row r="151" customFormat="false" ht="15" hidden="false" customHeight="false" outlineLevel="0" collapsed="false">
      <c r="A151" s="5" t="s">
        <v>7670</v>
      </c>
      <c r="B151" s="2" t="s">
        <v>8128</v>
      </c>
      <c r="C151" s="5"/>
      <c r="D151" s="5"/>
      <c r="E151" s="5" t="s">
        <v>8336</v>
      </c>
      <c r="F151" s="5" t="n">
        <f aca="false">SUMPRODUCT(EXACT('Rule-Event map'!$F$2:$F$1477,$A151)*EXACT('Rule-Event map'!$G$2:$G$1477,$B151))</f>
        <v>1</v>
      </c>
      <c r="G151" s="5" t="n">
        <f aca="false">SUMPRODUCT(EXACT('Rule-Event map'!$F$2:$F$1477,$A151)*EXACT('Rule-Event map'!$G$2:$G$1477,$B151)*('Rule-Event map'!$C$2:$C$1477="New ITDR (7.6.0)"))</f>
        <v>0</v>
      </c>
      <c r="H151" s="5" t="n">
        <f aca="false">SUMPRODUCT(EXACT('Rule-Event map'!$F$2:$F$1477,$A151)*EXACT('Rule-Event map'!$G$2:$G$1477,$B151)*('Rule-Event map'!$C$2:$C$1477="Existing, re-tagged ITDR"))</f>
        <v>0</v>
      </c>
      <c r="I151" s="5" t="n">
        <f aca="false">F151-G151-H151</f>
        <v>1</v>
      </c>
      <c r="J151" s="5" t="n">
        <f aca="false">SUMPRODUCT(EXACT('Rule-Event map'!$F$2:$F$1477,$A151)*EXACT('Rule-Event map'!$G$2:$G$1477,$B151)*('Rule-Event map'!$E$2:$E$1477="Enabled"))</f>
        <v>1</v>
      </c>
      <c r="K151" s="2" t="s">
        <v>5789</v>
      </c>
    </row>
    <row r="152" customFormat="false" ht="15" hidden="false" customHeight="false" outlineLevel="0" collapsed="false">
      <c r="A152" s="5" t="s">
        <v>7670</v>
      </c>
      <c r="B152" s="2" t="s">
        <v>7915</v>
      </c>
      <c r="C152" s="5"/>
      <c r="D152" s="5"/>
      <c r="E152" s="5" t="s">
        <v>8336</v>
      </c>
      <c r="F152" s="5" t="n">
        <f aca="false">SUMPRODUCT(EXACT('Rule-Event map'!$F$2:$F$1477,$A152)*EXACT('Rule-Event map'!$G$2:$G$1477,$B152))</f>
        <v>1</v>
      </c>
      <c r="G152" s="5" t="n">
        <f aca="false">SUMPRODUCT(EXACT('Rule-Event map'!$F$2:$F$1477,$A152)*EXACT('Rule-Event map'!$G$2:$G$1477,$B152)*('Rule-Event map'!$C$2:$C$1477="New ITDR (7.6.0)"))</f>
        <v>0</v>
      </c>
      <c r="H152" s="5" t="n">
        <f aca="false">SUMPRODUCT(EXACT('Rule-Event map'!$F$2:$F$1477,$A152)*EXACT('Rule-Event map'!$G$2:$G$1477,$B152)*('Rule-Event map'!$C$2:$C$1477="Existing, re-tagged ITDR"))</f>
        <v>0</v>
      </c>
      <c r="I152" s="5" t="n">
        <f aca="false">F152-G152-H152</f>
        <v>1</v>
      </c>
      <c r="J152" s="5" t="n">
        <f aca="false">SUMPRODUCT(EXACT('Rule-Event map'!$F$2:$F$1477,$A152)*EXACT('Rule-Event map'!$G$2:$G$1477,$B152)*('Rule-Event map'!$E$2:$E$1477="Enabled"))</f>
        <v>1</v>
      </c>
      <c r="K152" s="2" t="s">
        <v>5071</v>
      </c>
    </row>
    <row r="153" customFormat="false" ht="15" hidden="false" customHeight="false" outlineLevel="0" collapsed="false">
      <c r="A153" s="5" t="s">
        <v>7670</v>
      </c>
      <c r="B153" s="2" t="s">
        <v>8130</v>
      </c>
      <c r="C153" s="5"/>
      <c r="D153" s="5"/>
      <c r="E153" s="5" t="s">
        <v>8336</v>
      </c>
      <c r="F153" s="5" t="n">
        <f aca="false">SUMPRODUCT(EXACT('Rule-Event map'!$F$2:$F$1477,$A153)*EXACT('Rule-Event map'!$G$2:$G$1477,$B153))</f>
        <v>1</v>
      </c>
      <c r="G153" s="5" t="n">
        <f aca="false">SUMPRODUCT(EXACT('Rule-Event map'!$F$2:$F$1477,$A153)*EXACT('Rule-Event map'!$G$2:$G$1477,$B153)*('Rule-Event map'!$C$2:$C$1477="New ITDR (7.6.0)"))</f>
        <v>0</v>
      </c>
      <c r="H153" s="5" t="n">
        <f aca="false">SUMPRODUCT(EXACT('Rule-Event map'!$F$2:$F$1477,$A153)*EXACT('Rule-Event map'!$G$2:$G$1477,$B153)*('Rule-Event map'!$C$2:$C$1477="Existing, re-tagged ITDR"))</f>
        <v>0</v>
      </c>
      <c r="I153" s="5" t="n">
        <f aca="false">F153-G153-H153</f>
        <v>1</v>
      </c>
      <c r="J153" s="5" t="n">
        <f aca="false">SUMPRODUCT(EXACT('Rule-Event map'!$F$2:$F$1477,$A153)*EXACT('Rule-Event map'!$G$2:$G$1477,$B153)*('Rule-Event map'!$E$2:$E$1477="Enabled"))</f>
        <v>1</v>
      </c>
      <c r="K153" s="2" t="s">
        <v>5789</v>
      </c>
    </row>
    <row r="154" customFormat="false" ht="15" hidden="false" customHeight="false" outlineLevel="0" collapsed="false">
      <c r="A154" s="5" t="s">
        <v>7670</v>
      </c>
      <c r="B154" s="2" t="s">
        <v>8150</v>
      </c>
      <c r="C154" s="5"/>
      <c r="D154" s="5"/>
      <c r="E154" s="5" t="s">
        <v>8336</v>
      </c>
      <c r="F154" s="5" t="n">
        <f aca="false">SUMPRODUCT(EXACT('Rule-Event map'!$F$2:$F$1477,$A154)*EXACT('Rule-Event map'!$G$2:$G$1477,$B154))</f>
        <v>1</v>
      </c>
      <c r="G154" s="5" t="n">
        <f aca="false">SUMPRODUCT(EXACT('Rule-Event map'!$F$2:$F$1477,$A154)*EXACT('Rule-Event map'!$G$2:$G$1477,$B154)*('Rule-Event map'!$C$2:$C$1477="New ITDR (7.6.0)"))</f>
        <v>0</v>
      </c>
      <c r="H154" s="5" t="n">
        <f aca="false">SUMPRODUCT(EXACT('Rule-Event map'!$F$2:$F$1477,$A154)*EXACT('Rule-Event map'!$G$2:$G$1477,$B154)*('Rule-Event map'!$C$2:$C$1477="Existing, re-tagged ITDR"))</f>
        <v>0</v>
      </c>
      <c r="I154" s="5" t="n">
        <f aca="false">F154-G154-H154</f>
        <v>1</v>
      </c>
      <c r="J154" s="5" t="n">
        <f aca="false">SUMPRODUCT(EXACT('Rule-Event map'!$F$2:$F$1477,$A154)*EXACT('Rule-Event map'!$G$2:$G$1477,$B154)*('Rule-Event map'!$E$2:$E$1477="Enabled"))</f>
        <v>1</v>
      </c>
      <c r="K154" s="2" t="s">
        <v>5850</v>
      </c>
    </row>
    <row r="155" customFormat="false" ht="15" hidden="false" customHeight="false" outlineLevel="0" collapsed="false">
      <c r="A155" s="5" t="s">
        <v>7670</v>
      </c>
      <c r="B155" s="2" t="s">
        <v>8113</v>
      </c>
      <c r="C155" s="5"/>
      <c r="D155" s="5"/>
      <c r="E155" s="5" t="s">
        <v>8336</v>
      </c>
      <c r="F155" s="5" t="n">
        <f aca="false">SUMPRODUCT(EXACT('Rule-Event map'!$F$2:$F$1477,$A155)*EXACT('Rule-Event map'!$G$2:$G$1477,$B155))</f>
        <v>1</v>
      </c>
      <c r="G155" s="5" t="n">
        <f aca="false">SUMPRODUCT(EXACT('Rule-Event map'!$F$2:$F$1477,$A155)*EXACT('Rule-Event map'!$G$2:$G$1477,$B155)*('Rule-Event map'!$C$2:$C$1477="New ITDR (7.6.0)"))</f>
        <v>0</v>
      </c>
      <c r="H155" s="5" t="n">
        <f aca="false">SUMPRODUCT(EXACT('Rule-Event map'!$F$2:$F$1477,$A155)*EXACT('Rule-Event map'!$G$2:$G$1477,$B155)*('Rule-Event map'!$C$2:$C$1477="Existing, re-tagged ITDR"))</f>
        <v>0</v>
      </c>
      <c r="I155" s="5" t="n">
        <f aca="false">F155-G155-H155</f>
        <v>1</v>
      </c>
      <c r="J155" s="5" t="n">
        <f aca="false">SUMPRODUCT(EXACT('Rule-Event map'!$F$2:$F$1477,$A155)*EXACT('Rule-Event map'!$G$2:$G$1477,$B155)*('Rule-Event map'!$E$2:$E$1477="Enabled"))</f>
        <v>1</v>
      </c>
      <c r="K155" s="2" t="s">
        <v>5769</v>
      </c>
    </row>
    <row r="156" customFormat="false" ht="15" hidden="false" customHeight="false" outlineLevel="0" collapsed="false">
      <c r="A156" s="5" t="s">
        <v>7670</v>
      </c>
      <c r="B156" s="2" t="s">
        <v>8064</v>
      </c>
      <c r="C156" s="5"/>
      <c r="D156" s="5"/>
      <c r="E156" s="5" t="s">
        <v>8336</v>
      </c>
      <c r="F156" s="5" t="n">
        <f aca="false">SUMPRODUCT(EXACT('Rule-Event map'!$F$2:$F$1477,$A156)*EXACT('Rule-Event map'!$G$2:$G$1477,$B156))</f>
        <v>1</v>
      </c>
      <c r="G156" s="5" t="n">
        <f aca="false">SUMPRODUCT(EXACT('Rule-Event map'!$F$2:$F$1477,$A156)*EXACT('Rule-Event map'!$G$2:$G$1477,$B156)*('Rule-Event map'!$C$2:$C$1477="New ITDR (7.6.0)"))</f>
        <v>0</v>
      </c>
      <c r="H156" s="5" t="n">
        <f aca="false">SUMPRODUCT(EXACT('Rule-Event map'!$F$2:$F$1477,$A156)*EXACT('Rule-Event map'!$G$2:$G$1477,$B156)*('Rule-Event map'!$C$2:$C$1477="Existing, re-tagged ITDR"))</f>
        <v>0</v>
      </c>
      <c r="I156" s="5" t="n">
        <f aca="false">F156-G156-H156</f>
        <v>1</v>
      </c>
      <c r="J156" s="5" t="n">
        <f aca="false">SUMPRODUCT(EXACT('Rule-Event map'!$F$2:$F$1477,$A156)*EXACT('Rule-Event map'!$G$2:$G$1477,$B156)*('Rule-Event map'!$E$2:$E$1477="Enabled"))</f>
        <v>1</v>
      </c>
      <c r="K156" s="2" t="s">
        <v>5618</v>
      </c>
    </row>
    <row r="157" customFormat="false" ht="15" hidden="false" customHeight="false" outlineLevel="0" collapsed="false">
      <c r="A157" s="5" t="s">
        <v>7670</v>
      </c>
      <c r="B157" s="2" t="s">
        <v>8066</v>
      </c>
      <c r="C157" s="5"/>
      <c r="D157" s="5"/>
      <c r="E157" s="5" t="s">
        <v>8336</v>
      </c>
      <c r="F157" s="5" t="n">
        <f aca="false">SUMPRODUCT(EXACT('Rule-Event map'!$F$2:$F$1477,$A157)*EXACT('Rule-Event map'!$G$2:$G$1477,$B157))</f>
        <v>1</v>
      </c>
      <c r="G157" s="5" t="n">
        <f aca="false">SUMPRODUCT(EXACT('Rule-Event map'!$F$2:$F$1477,$A157)*EXACT('Rule-Event map'!$G$2:$G$1477,$B157)*('Rule-Event map'!$C$2:$C$1477="New ITDR (7.6.0)"))</f>
        <v>0</v>
      </c>
      <c r="H157" s="5" t="n">
        <f aca="false">SUMPRODUCT(EXACT('Rule-Event map'!$F$2:$F$1477,$A157)*EXACT('Rule-Event map'!$G$2:$G$1477,$B157)*('Rule-Event map'!$C$2:$C$1477="Existing, re-tagged ITDR"))</f>
        <v>0</v>
      </c>
      <c r="I157" s="5" t="n">
        <f aca="false">F157-G157-H157</f>
        <v>1</v>
      </c>
      <c r="J157" s="5" t="n">
        <f aca="false">SUMPRODUCT(EXACT('Rule-Event map'!$F$2:$F$1477,$A157)*EXACT('Rule-Event map'!$G$2:$G$1477,$B157)*('Rule-Event map'!$E$2:$E$1477="Enabled"))</f>
        <v>1</v>
      </c>
      <c r="K157" s="2" t="s">
        <v>5618</v>
      </c>
    </row>
    <row r="158" customFormat="false" ht="15" hidden="false" customHeight="false" outlineLevel="0" collapsed="false">
      <c r="A158" s="5" t="s">
        <v>7670</v>
      </c>
      <c r="B158" s="2" t="s">
        <v>8156</v>
      </c>
      <c r="C158" s="5"/>
      <c r="D158" s="5"/>
      <c r="E158" s="5" t="s">
        <v>8336</v>
      </c>
      <c r="F158" s="5" t="n">
        <f aca="false">SUMPRODUCT(EXACT('Rule-Event map'!$F$2:$F$1477,$A158)*EXACT('Rule-Event map'!$G$2:$G$1477,$B158))</f>
        <v>1</v>
      </c>
      <c r="G158" s="5" t="n">
        <f aca="false">SUMPRODUCT(EXACT('Rule-Event map'!$F$2:$F$1477,$A158)*EXACT('Rule-Event map'!$G$2:$G$1477,$B158)*('Rule-Event map'!$C$2:$C$1477="New ITDR (7.6.0)"))</f>
        <v>0</v>
      </c>
      <c r="H158" s="5" t="n">
        <f aca="false">SUMPRODUCT(EXACT('Rule-Event map'!$F$2:$F$1477,$A158)*EXACT('Rule-Event map'!$G$2:$G$1477,$B158)*('Rule-Event map'!$C$2:$C$1477="Existing, re-tagged ITDR"))</f>
        <v>0</v>
      </c>
      <c r="I158" s="5" t="n">
        <f aca="false">F158-G158-H158</f>
        <v>1</v>
      </c>
      <c r="J158" s="5" t="n">
        <f aca="false">SUMPRODUCT(EXACT('Rule-Event map'!$F$2:$F$1477,$A158)*EXACT('Rule-Event map'!$G$2:$G$1477,$B158)*('Rule-Event map'!$E$2:$E$1477="Enabled"))</f>
        <v>1</v>
      </c>
      <c r="K158" s="2" t="s">
        <v>5874</v>
      </c>
    </row>
    <row r="159" customFormat="false" ht="15" hidden="false" customHeight="false" outlineLevel="0" collapsed="false">
      <c r="A159" s="5" t="s">
        <v>7670</v>
      </c>
      <c r="B159" s="2" t="s">
        <v>8185</v>
      </c>
      <c r="C159" s="5"/>
      <c r="D159" s="5"/>
      <c r="E159" s="5" t="s">
        <v>8336</v>
      </c>
      <c r="F159" s="5" t="n">
        <f aca="false">SUMPRODUCT(EXACT('Rule-Event map'!$F$2:$F$1477,$A159)*EXACT('Rule-Event map'!$G$2:$G$1477,$B159))</f>
        <v>1</v>
      </c>
      <c r="G159" s="5" t="n">
        <f aca="false">SUMPRODUCT(EXACT('Rule-Event map'!$F$2:$F$1477,$A159)*EXACT('Rule-Event map'!$G$2:$G$1477,$B159)*('Rule-Event map'!$C$2:$C$1477="New ITDR (7.6.0)"))</f>
        <v>0</v>
      </c>
      <c r="H159" s="5" t="n">
        <f aca="false">SUMPRODUCT(EXACT('Rule-Event map'!$F$2:$F$1477,$A159)*EXACT('Rule-Event map'!$G$2:$G$1477,$B159)*('Rule-Event map'!$C$2:$C$1477="Existing, re-tagged ITDR"))</f>
        <v>0</v>
      </c>
      <c r="I159" s="5" t="n">
        <f aca="false">F159-G159-H159</f>
        <v>1</v>
      </c>
      <c r="J159" s="5" t="n">
        <f aca="false">SUMPRODUCT(EXACT('Rule-Event map'!$F$2:$F$1477,$A159)*EXACT('Rule-Event map'!$G$2:$G$1477,$B159)*('Rule-Event map'!$E$2:$E$1477="Enabled"))</f>
        <v>0</v>
      </c>
      <c r="K159" s="2" t="s">
        <v>5972</v>
      </c>
    </row>
    <row r="160" customFormat="false" ht="15" hidden="false" customHeight="false" outlineLevel="0" collapsed="false">
      <c r="A160" s="5" t="s">
        <v>7670</v>
      </c>
      <c r="B160" s="2" t="s">
        <v>7913</v>
      </c>
      <c r="C160" s="5"/>
      <c r="D160" s="5"/>
      <c r="E160" s="5" t="s">
        <v>8336</v>
      </c>
      <c r="F160" s="5" t="n">
        <f aca="false">SUMPRODUCT(EXACT('Rule-Event map'!$F$2:$F$1477,$A160)*EXACT('Rule-Event map'!$G$2:$G$1477,$B160))</f>
        <v>1</v>
      </c>
      <c r="G160" s="5" t="n">
        <f aca="false">SUMPRODUCT(EXACT('Rule-Event map'!$F$2:$F$1477,$A160)*EXACT('Rule-Event map'!$G$2:$G$1477,$B160)*('Rule-Event map'!$C$2:$C$1477="New ITDR (7.6.0)"))</f>
        <v>0</v>
      </c>
      <c r="H160" s="5" t="n">
        <f aca="false">SUMPRODUCT(EXACT('Rule-Event map'!$F$2:$F$1477,$A160)*EXACT('Rule-Event map'!$G$2:$G$1477,$B160)*('Rule-Event map'!$C$2:$C$1477="Existing, re-tagged ITDR"))</f>
        <v>0</v>
      </c>
      <c r="I160" s="5" t="n">
        <f aca="false">F160-G160-H160</f>
        <v>1</v>
      </c>
      <c r="J160" s="5" t="n">
        <f aca="false">SUMPRODUCT(EXACT('Rule-Event map'!$F$2:$F$1477,$A160)*EXACT('Rule-Event map'!$G$2:$G$1477,$B160)*('Rule-Event map'!$E$2:$E$1477="Enabled"))</f>
        <v>1</v>
      </c>
      <c r="K160" s="2" t="s">
        <v>5071</v>
      </c>
    </row>
    <row r="161" customFormat="false" ht="15" hidden="false" customHeight="false" outlineLevel="0" collapsed="false">
      <c r="A161" s="5" t="s">
        <v>7670</v>
      </c>
      <c r="B161" s="2" t="s">
        <v>8068</v>
      </c>
      <c r="C161" s="5"/>
      <c r="D161" s="5"/>
      <c r="E161" s="5" t="s">
        <v>8336</v>
      </c>
      <c r="F161" s="5" t="n">
        <f aca="false">SUMPRODUCT(EXACT('Rule-Event map'!$F$2:$F$1477,$A161)*EXACT('Rule-Event map'!$G$2:$G$1477,$B161))</f>
        <v>1</v>
      </c>
      <c r="G161" s="5" t="n">
        <f aca="false">SUMPRODUCT(EXACT('Rule-Event map'!$F$2:$F$1477,$A161)*EXACT('Rule-Event map'!$G$2:$G$1477,$B161)*('Rule-Event map'!$C$2:$C$1477="New ITDR (7.6.0)"))</f>
        <v>0</v>
      </c>
      <c r="H161" s="5" t="n">
        <f aca="false">SUMPRODUCT(EXACT('Rule-Event map'!$F$2:$F$1477,$A161)*EXACT('Rule-Event map'!$G$2:$G$1477,$B161)*('Rule-Event map'!$C$2:$C$1477="Existing, re-tagged ITDR"))</f>
        <v>0</v>
      </c>
      <c r="I161" s="5" t="n">
        <f aca="false">F161-G161-H161</f>
        <v>1</v>
      </c>
      <c r="J161" s="5" t="n">
        <f aca="false">SUMPRODUCT(EXACT('Rule-Event map'!$F$2:$F$1477,$A161)*EXACT('Rule-Event map'!$G$2:$G$1477,$B161)*('Rule-Event map'!$E$2:$E$1477="Enabled"))</f>
        <v>1</v>
      </c>
      <c r="K161" s="2" t="s">
        <v>5624</v>
      </c>
    </row>
    <row r="162" customFormat="false" ht="15" hidden="false" customHeight="false" outlineLevel="0" collapsed="false">
      <c r="A162" s="5" t="s">
        <v>7670</v>
      </c>
      <c r="B162" s="2" t="s">
        <v>8038</v>
      </c>
      <c r="C162" s="5"/>
      <c r="D162" s="5"/>
      <c r="E162" s="5" t="s">
        <v>8336</v>
      </c>
      <c r="F162" s="5" t="n">
        <f aca="false">SUMPRODUCT(EXACT('Rule-Event map'!$F$2:$F$1477,$A162)*EXACT('Rule-Event map'!$G$2:$G$1477,$B162))</f>
        <v>1</v>
      </c>
      <c r="G162" s="5" t="n">
        <f aca="false">SUMPRODUCT(EXACT('Rule-Event map'!$F$2:$F$1477,$A162)*EXACT('Rule-Event map'!$G$2:$G$1477,$B162)*('Rule-Event map'!$C$2:$C$1477="New ITDR (7.6.0)"))</f>
        <v>0</v>
      </c>
      <c r="H162" s="5" t="n">
        <f aca="false">SUMPRODUCT(EXACT('Rule-Event map'!$F$2:$F$1477,$A162)*EXACT('Rule-Event map'!$G$2:$G$1477,$B162)*('Rule-Event map'!$C$2:$C$1477="Existing, re-tagged ITDR"))</f>
        <v>0</v>
      </c>
      <c r="I162" s="5" t="n">
        <f aca="false">F162-G162-H162</f>
        <v>1</v>
      </c>
      <c r="J162" s="5" t="n">
        <f aca="false">SUMPRODUCT(EXACT('Rule-Event map'!$F$2:$F$1477,$A162)*EXACT('Rule-Event map'!$G$2:$G$1477,$B162)*('Rule-Event map'!$E$2:$E$1477="Enabled"))</f>
        <v>1</v>
      </c>
      <c r="K162" s="2" t="s">
        <v>5530</v>
      </c>
    </row>
    <row r="163" customFormat="false" ht="15" hidden="false" customHeight="false" outlineLevel="0" collapsed="false">
      <c r="A163" s="5" t="s">
        <v>7670</v>
      </c>
      <c r="B163" s="2" t="s">
        <v>8162</v>
      </c>
      <c r="C163" s="5"/>
      <c r="D163" s="5"/>
      <c r="E163" s="5" t="s">
        <v>8336</v>
      </c>
      <c r="F163" s="5" t="n">
        <f aca="false">SUMPRODUCT(EXACT('Rule-Event map'!$F$2:$F$1477,$A163)*EXACT('Rule-Event map'!$G$2:$G$1477,$B163))</f>
        <v>1</v>
      </c>
      <c r="G163" s="5" t="n">
        <f aca="false">SUMPRODUCT(EXACT('Rule-Event map'!$F$2:$F$1477,$A163)*EXACT('Rule-Event map'!$G$2:$G$1477,$B163)*('Rule-Event map'!$C$2:$C$1477="New ITDR (7.6.0)"))</f>
        <v>0</v>
      </c>
      <c r="H163" s="5" t="n">
        <f aca="false">SUMPRODUCT(EXACT('Rule-Event map'!$F$2:$F$1477,$A163)*EXACT('Rule-Event map'!$G$2:$G$1477,$B163)*('Rule-Event map'!$C$2:$C$1477="Existing, re-tagged ITDR"))</f>
        <v>0</v>
      </c>
      <c r="I163" s="5" t="n">
        <f aca="false">F163-G163-H163</f>
        <v>1</v>
      </c>
      <c r="J163" s="5" t="n">
        <f aca="false">SUMPRODUCT(EXACT('Rule-Event map'!$F$2:$F$1477,$A163)*EXACT('Rule-Event map'!$G$2:$G$1477,$B163)*('Rule-Event map'!$E$2:$E$1477="Enabled"))</f>
        <v>1</v>
      </c>
      <c r="K163" s="2" t="s">
        <v>5892</v>
      </c>
    </row>
    <row r="164" customFormat="false" ht="15" hidden="false" customHeight="false" outlineLevel="0" collapsed="false">
      <c r="A164" s="5" t="s">
        <v>7670</v>
      </c>
      <c r="B164" s="2" t="s">
        <v>8098</v>
      </c>
      <c r="C164" s="5"/>
      <c r="D164" s="5"/>
      <c r="E164" s="5" t="s">
        <v>8336</v>
      </c>
      <c r="F164" s="5" t="n">
        <f aca="false">SUMPRODUCT(EXACT('Rule-Event map'!$F$2:$F$1477,$A164)*EXACT('Rule-Event map'!$G$2:$G$1477,$B164))</f>
        <v>1</v>
      </c>
      <c r="G164" s="5" t="n">
        <f aca="false">SUMPRODUCT(EXACT('Rule-Event map'!$F$2:$F$1477,$A164)*EXACT('Rule-Event map'!$G$2:$G$1477,$B164)*('Rule-Event map'!$C$2:$C$1477="New ITDR (7.6.0)"))</f>
        <v>0</v>
      </c>
      <c r="H164" s="5" t="n">
        <f aca="false">SUMPRODUCT(EXACT('Rule-Event map'!$F$2:$F$1477,$A164)*EXACT('Rule-Event map'!$G$2:$G$1477,$B164)*('Rule-Event map'!$C$2:$C$1477="Existing, re-tagged ITDR"))</f>
        <v>0</v>
      </c>
      <c r="I164" s="5" t="n">
        <f aca="false">F164-G164-H164</f>
        <v>1</v>
      </c>
      <c r="J164" s="5" t="n">
        <f aca="false">SUMPRODUCT(EXACT('Rule-Event map'!$F$2:$F$1477,$A164)*EXACT('Rule-Event map'!$G$2:$G$1477,$B164)*('Rule-Event map'!$E$2:$E$1477="Enabled"))</f>
        <v>0</v>
      </c>
      <c r="K164" s="2" t="s">
        <v>5715</v>
      </c>
    </row>
    <row r="165" customFormat="false" ht="15" hidden="false" customHeight="false" outlineLevel="0" collapsed="false">
      <c r="A165" s="5" t="s">
        <v>7670</v>
      </c>
      <c r="B165" s="2" t="s">
        <v>7931</v>
      </c>
      <c r="C165" s="5"/>
      <c r="D165" s="5"/>
      <c r="E165" s="5" t="s">
        <v>8336</v>
      </c>
      <c r="F165" s="5" t="n">
        <f aca="false">SUMPRODUCT(EXACT('Rule-Event map'!$F$2:$F$1477,$A165)*EXACT('Rule-Event map'!$G$2:$G$1477,$B165))</f>
        <v>1</v>
      </c>
      <c r="G165" s="5" t="n">
        <f aca="false">SUMPRODUCT(EXACT('Rule-Event map'!$F$2:$F$1477,$A165)*EXACT('Rule-Event map'!$G$2:$G$1477,$B165)*('Rule-Event map'!$C$2:$C$1477="New ITDR (7.6.0)"))</f>
        <v>0</v>
      </c>
      <c r="H165" s="5" t="n">
        <f aca="false">SUMPRODUCT(EXACT('Rule-Event map'!$F$2:$F$1477,$A165)*EXACT('Rule-Event map'!$G$2:$G$1477,$B165)*('Rule-Event map'!$C$2:$C$1477="Existing, re-tagged ITDR"))</f>
        <v>0</v>
      </c>
      <c r="I165" s="5" t="n">
        <f aca="false">F165-G165-H165</f>
        <v>1</v>
      </c>
      <c r="J165" s="5" t="n">
        <f aca="false">SUMPRODUCT(EXACT('Rule-Event map'!$F$2:$F$1477,$A165)*EXACT('Rule-Event map'!$G$2:$G$1477,$B165)*('Rule-Event map'!$E$2:$E$1477="Enabled"))</f>
        <v>1</v>
      </c>
      <c r="K165" s="2" t="s">
        <v>5164</v>
      </c>
    </row>
    <row r="166" customFormat="false" ht="15" hidden="false" customHeight="false" outlineLevel="0" collapsed="false">
      <c r="A166" s="5" t="s">
        <v>7670</v>
      </c>
      <c r="B166" s="2" t="s">
        <v>8160</v>
      </c>
      <c r="C166" s="5"/>
      <c r="D166" s="5"/>
      <c r="E166" s="5" t="s">
        <v>8336</v>
      </c>
      <c r="F166" s="5" t="n">
        <f aca="false">SUMPRODUCT(EXACT('Rule-Event map'!$F$2:$F$1477,$A166)*EXACT('Rule-Event map'!$G$2:$G$1477,$B166))</f>
        <v>1</v>
      </c>
      <c r="G166" s="5" t="n">
        <f aca="false">SUMPRODUCT(EXACT('Rule-Event map'!$F$2:$F$1477,$A166)*EXACT('Rule-Event map'!$G$2:$G$1477,$B166)*('Rule-Event map'!$C$2:$C$1477="New ITDR (7.6.0)"))</f>
        <v>0</v>
      </c>
      <c r="H166" s="5" t="n">
        <f aca="false">SUMPRODUCT(EXACT('Rule-Event map'!$F$2:$F$1477,$A166)*EXACT('Rule-Event map'!$G$2:$G$1477,$B166)*('Rule-Event map'!$C$2:$C$1477="Existing, re-tagged ITDR"))</f>
        <v>0</v>
      </c>
      <c r="I166" s="5" t="n">
        <f aca="false">F166-G166-H166</f>
        <v>1</v>
      </c>
      <c r="J166" s="5" t="n">
        <f aca="false">SUMPRODUCT(EXACT('Rule-Event map'!$F$2:$F$1477,$A166)*EXACT('Rule-Event map'!$G$2:$G$1477,$B166)*('Rule-Event map'!$E$2:$E$1477="Enabled"))</f>
        <v>1</v>
      </c>
      <c r="K166" s="2" t="s">
        <v>5892</v>
      </c>
    </row>
    <row r="167" customFormat="false" ht="15" hidden="false" customHeight="false" outlineLevel="0" collapsed="false">
      <c r="A167" s="5" t="s">
        <v>7670</v>
      </c>
      <c r="B167" s="2" t="s">
        <v>8168</v>
      </c>
      <c r="C167" s="5"/>
      <c r="D167" s="5"/>
      <c r="E167" s="5" t="s">
        <v>8336</v>
      </c>
      <c r="F167" s="5" t="n">
        <f aca="false">SUMPRODUCT(EXACT('Rule-Event map'!$F$2:$F$1477,$A167)*EXACT('Rule-Event map'!$G$2:$G$1477,$B167))</f>
        <v>1</v>
      </c>
      <c r="G167" s="5" t="n">
        <f aca="false">SUMPRODUCT(EXACT('Rule-Event map'!$F$2:$F$1477,$A167)*EXACT('Rule-Event map'!$G$2:$G$1477,$B167)*('Rule-Event map'!$C$2:$C$1477="New ITDR (7.6.0)"))</f>
        <v>0</v>
      </c>
      <c r="H167" s="5" t="n">
        <f aca="false">SUMPRODUCT(EXACT('Rule-Event map'!$F$2:$F$1477,$A167)*EXACT('Rule-Event map'!$G$2:$G$1477,$B167)*('Rule-Event map'!$C$2:$C$1477="Existing, re-tagged ITDR"))</f>
        <v>0</v>
      </c>
      <c r="I167" s="5" t="n">
        <f aca="false">F167-G167-H167</f>
        <v>1</v>
      </c>
      <c r="J167" s="5" t="n">
        <f aca="false">SUMPRODUCT(EXACT('Rule-Event map'!$F$2:$F$1477,$A167)*EXACT('Rule-Event map'!$G$2:$G$1477,$B167)*('Rule-Event map'!$E$2:$E$1477="Enabled"))</f>
        <v>0</v>
      </c>
      <c r="K167" s="2" t="s">
        <v>5911</v>
      </c>
    </row>
    <row r="168" customFormat="false" ht="15" hidden="false" customHeight="false" outlineLevel="0" collapsed="false">
      <c r="A168" s="5" t="s">
        <v>7670</v>
      </c>
      <c r="B168" s="2" t="s">
        <v>8169</v>
      </c>
      <c r="C168" s="5"/>
      <c r="D168" s="5"/>
      <c r="E168" s="5" t="s">
        <v>8336</v>
      </c>
      <c r="F168" s="5" t="n">
        <f aca="false">SUMPRODUCT(EXACT('Rule-Event map'!$F$2:$F$1477,$A168)*EXACT('Rule-Event map'!$G$2:$G$1477,$B168))</f>
        <v>1</v>
      </c>
      <c r="G168" s="5" t="n">
        <f aca="false">SUMPRODUCT(EXACT('Rule-Event map'!$F$2:$F$1477,$A168)*EXACT('Rule-Event map'!$G$2:$G$1477,$B168)*('Rule-Event map'!$C$2:$C$1477="New ITDR (7.6.0)"))</f>
        <v>0</v>
      </c>
      <c r="H168" s="5" t="n">
        <f aca="false">SUMPRODUCT(EXACT('Rule-Event map'!$F$2:$F$1477,$A168)*EXACT('Rule-Event map'!$G$2:$G$1477,$B168)*('Rule-Event map'!$C$2:$C$1477="Existing, re-tagged ITDR"))</f>
        <v>0</v>
      </c>
      <c r="I168" s="5" t="n">
        <f aca="false">F168-G168-H168</f>
        <v>1</v>
      </c>
      <c r="J168" s="5" t="n">
        <f aca="false">SUMPRODUCT(EXACT('Rule-Event map'!$F$2:$F$1477,$A168)*EXACT('Rule-Event map'!$G$2:$G$1477,$B168)*('Rule-Event map'!$E$2:$E$1477="Enabled"))</f>
        <v>0</v>
      </c>
      <c r="K168" s="2" t="s">
        <v>5911</v>
      </c>
    </row>
    <row r="169" customFormat="false" ht="15" hidden="false" customHeight="false" outlineLevel="0" collapsed="false">
      <c r="A169" s="5" t="s">
        <v>7670</v>
      </c>
      <c r="B169" s="2" t="s">
        <v>8116</v>
      </c>
      <c r="C169" s="5"/>
      <c r="D169" s="5"/>
      <c r="E169" s="5" t="s">
        <v>8336</v>
      </c>
      <c r="F169" s="5" t="n">
        <f aca="false">SUMPRODUCT(EXACT('Rule-Event map'!$F$2:$F$1477,$A169)*EXACT('Rule-Event map'!$G$2:$G$1477,$B169))</f>
        <v>1</v>
      </c>
      <c r="G169" s="5" t="n">
        <f aca="false">SUMPRODUCT(EXACT('Rule-Event map'!$F$2:$F$1477,$A169)*EXACT('Rule-Event map'!$G$2:$G$1477,$B169)*('Rule-Event map'!$C$2:$C$1477="New ITDR (7.6.0)"))</f>
        <v>0</v>
      </c>
      <c r="H169" s="5" t="n">
        <f aca="false">SUMPRODUCT(EXACT('Rule-Event map'!$F$2:$F$1477,$A169)*EXACT('Rule-Event map'!$G$2:$G$1477,$B169)*('Rule-Event map'!$C$2:$C$1477="Existing, re-tagged ITDR"))</f>
        <v>0</v>
      </c>
      <c r="I169" s="5" t="n">
        <f aca="false">F169-G169-H169</f>
        <v>1</v>
      </c>
      <c r="J169" s="5" t="n">
        <f aca="false">SUMPRODUCT(EXACT('Rule-Event map'!$F$2:$F$1477,$A169)*EXACT('Rule-Event map'!$G$2:$G$1477,$B169)*('Rule-Event map'!$E$2:$E$1477="Enabled"))</f>
        <v>1</v>
      </c>
      <c r="K169" s="2" t="s">
        <v>5769</v>
      </c>
    </row>
    <row r="170" customFormat="false" ht="15" hidden="false" customHeight="false" outlineLevel="0" collapsed="false">
      <c r="A170" s="5" t="s">
        <v>7670</v>
      </c>
      <c r="B170" s="2" t="s">
        <v>7935</v>
      </c>
      <c r="C170" s="5"/>
      <c r="D170" s="5"/>
      <c r="E170" s="5" t="s">
        <v>8336</v>
      </c>
      <c r="F170" s="5" t="n">
        <f aca="false">SUMPRODUCT(EXACT('Rule-Event map'!$F$2:$F$1477,$A170)*EXACT('Rule-Event map'!$G$2:$G$1477,$B170))</f>
        <v>1</v>
      </c>
      <c r="G170" s="5" t="n">
        <f aca="false">SUMPRODUCT(EXACT('Rule-Event map'!$F$2:$F$1477,$A170)*EXACT('Rule-Event map'!$G$2:$G$1477,$B170)*('Rule-Event map'!$C$2:$C$1477="New ITDR (7.6.0)"))</f>
        <v>0</v>
      </c>
      <c r="H170" s="5" t="n">
        <f aca="false">SUMPRODUCT(EXACT('Rule-Event map'!$F$2:$F$1477,$A170)*EXACT('Rule-Event map'!$G$2:$G$1477,$B170)*('Rule-Event map'!$C$2:$C$1477="Existing, re-tagged ITDR"))</f>
        <v>0</v>
      </c>
      <c r="I170" s="5" t="n">
        <f aca="false">F170-G170-H170</f>
        <v>1</v>
      </c>
      <c r="J170" s="5" t="n">
        <f aca="false">SUMPRODUCT(EXACT('Rule-Event map'!$F$2:$F$1477,$A170)*EXACT('Rule-Event map'!$G$2:$G$1477,$B170)*('Rule-Event map'!$E$2:$E$1477="Enabled"))</f>
        <v>1</v>
      </c>
      <c r="K170" s="2" t="s">
        <v>5164</v>
      </c>
    </row>
    <row r="171" customFormat="false" ht="15" hidden="false" customHeight="false" outlineLevel="0" collapsed="false">
      <c r="A171" s="5" t="s">
        <v>7670</v>
      </c>
      <c r="B171" s="2" t="s">
        <v>8001</v>
      </c>
      <c r="C171" s="5"/>
      <c r="D171" s="5"/>
      <c r="E171" s="5" t="s">
        <v>8336</v>
      </c>
      <c r="F171" s="5" t="n">
        <f aca="false">SUMPRODUCT(EXACT('Rule-Event map'!$F$2:$F$1477,$A171)*EXACT('Rule-Event map'!$G$2:$G$1477,$B171))</f>
        <v>1</v>
      </c>
      <c r="G171" s="5" t="n">
        <f aca="false">SUMPRODUCT(EXACT('Rule-Event map'!$F$2:$F$1477,$A171)*EXACT('Rule-Event map'!$G$2:$G$1477,$B171)*('Rule-Event map'!$C$2:$C$1477="New ITDR (7.6.0)"))</f>
        <v>0</v>
      </c>
      <c r="H171" s="5" t="n">
        <f aca="false">SUMPRODUCT(EXACT('Rule-Event map'!$F$2:$F$1477,$A171)*EXACT('Rule-Event map'!$G$2:$G$1477,$B171)*('Rule-Event map'!$C$2:$C$1477="Existing, re-tagged ITDR"))</f>
        <v>0</v>
      </c>
      <c r="I171" s="5" t="n">
        <f aca="false">F171-G171-H171</f>
        <v>1</v>
      </c>
      <c r="J171" s="5" t="n">
        <f aca="false">SUMPRODUCT(EXACT('Rule-Event map'!$F$2:$F$1477,$A171)*EXACT('Rule-Event map'!$G$2:$G$1477,$B171)*('Rule-Event map'!$E$2:$E$1477="Enabled"))</f>
        <v>0</v>
      </c>
      <c r="K171" s="2" t="s">
        <v>5395</v>
      </c>
    </row>
    <row r="172" customFormat="false" ht="15" hidden="false" customHeight="false" outlineLevel="0" collapsed="false">
      <c r="A172" s="5" t="s">
        <v>7670</v>
      </c>
      <c r="B172" s="2" t="s">
        <v>8002</v>
      </c>
      <c r="C172" s="5"/>
      <c r="D172" s="5"/>
      <c r="E172" s="5" t="s">
        <v>8336</v>
      </c>
      <c r="F172" s="5" t="n">
        <f aca="false">SUMPRODUCT(EXACT('Rule-Event map'!$F$2:$F$1477,$A172)*EXACT('Rule-Event map'!$G$2:$G$1477,$B172))</f>
        <v>1</v>
      </c>
      <c r="G172" s="5" t="n">
        <f aca="false">SUMPRODUCT(EXACT('Rule-Event map'!$F$2:$F$1477,$A172)*EXACT('Rule-Event map'!$G$2:$G$1477,$B172)*('Rule-Event map'!$C$2:$C$1477="New ITDR (7.6.0)"))</f>
        <v>0</v>
      </c>
      <c r="H172" s="5" t="n">
        <f aca="false">SUMPRODUCT(EXACT('Rule-Event map'!$F$2:$F$1477,$A172)*EXACT('Rule-Event map'!$G$2:$G$1477,$B172)*('Rule-Event map'!$C$2:$C$1477="Existing, re-tagged ITDR"))</f>
        <v>0</v>
      </c>
      <c r="I172" s="5" t="n">
        <f aca="false">F172-G172-H172</f>
        <v>1</v>
      </c>
      <c r="J172" s="5" t="n">
        <f aca="false">SUMPRODUCT(EXACT('Rule-Event map'!$F$2:$F$1477,$A172)*EXACT('Rule-Event map'!$G$2:$G$1477,$B172)*('Rule-Event map'!$E$2:$E$1477="Enabled"))</f>
        <v>0</v>
      </c>
      <c r="K172" s="2" t="s">
        <v>5395</v>
      </c>
    </row>
    <row r="173" customFormat="false" ht="15" hidden="false" customHeight="false" outlineLevel="0" collapsed="false">
      <c r="A173" s="5" t="s">
        <v>7670</v>
      </c>
      <c r="B173" s="2" t="s">
        <v>8186</v>
      </c>
      <c r="C173" s="5"/>
      <c r="D173" s="5"/>
      <c r="E173" s="5" t="s">
        <v>8336</v>
      </c>
      <c r="F173" s="5" t="n">
        <f aca="false">SUMPRODUCT(EXACT('Rule-Event map'!$F$2:$F$1477,$A173)*EXACT('Rule-Event map'!$G$2:$G$1477,$B173))</f>
        <v>1</v>
      </c>
      <c r="G173" s="5" t="n">
        <f aca="false">SUMPRODUCT(EXACT('Rule-Event map'!$F$2:$F$1477,$A173)*EXACT('Rule-Event map'!$G$2:$G$1477,$B173)*('Rule-Event map'!$C$2:$C$1477="New ITDR (7.6.0)"))</f>
        <v>0</v>
      </c>
      <c r="H173" s="5" t="n">
        <f aca="false">SUMPRODUCT(EXACT('Rule-Event map'!$F$2:$F$1477,$A173)*EXACT('Rule-Event map'!$G$2:$G$1477,$B173)*('Rule-Event map'!$C$2:$C$1477="Existing, re-tagged ITDR"))</f>
        <v>0</v>
      </c>
      <c r="I173" s="5" t="n">
        <f aca="false">F173-G173-H173</f>
        <v>1</v>
      </c>
      <c r="J173" s="5" t="n">
        <f aca="false">SUMPRODUCT(EXACT('Rule-Event map'!$F$2:$F$1477,$A173)*EXACT('Rule-Event map'!$G$2:$G$1477,$B173)*('Rule-Event map'!$E$2:$E$1477="Enabled"))</f>
        <v>0</v>
      </c>
      <c r="K173" s="2" t="s">
        <v>5972</v>
      </c>
    </row>
    <row r="174" customFormat="false" ht="15" hidden="false" customHeight="false" outlineLevel="0" collapsed="false">
      <c r="A174" s="5" t="s">
        <v>7670</v>
      </c>
      <c r="B174" s="2" t="s">
        <v>8000</v>
      </c>
      <c r="C174" s="5"/>
      <c r="D174" s="5"/>
      <c r="E174" s="5" t="s">
        <v>8336</v>
      </c>
      <c r="F174" s="5" t="n">
        <f aca="false">SUMPRODUCT(EXACT('Rule-Event map'!$F$2:$F$1477,$A174)*EXACT('Rule-Event map'!$G$2:$G$1477,$B174))</f>
        <v>1</v>
      </c>
      <c r="G174" s="5" t="n">
        <f aca="false">SUMPRODUCT(EXACT('Rule-Event map'!$F$2:$F$1477,$A174)*EXACT('Rule-Event map'!$G$2:$G$1477,$B174)*('Rule-Event map'!$C$2:$C$1477="New ITDR (7.6.0)"))</f>
        <v>0</v>
      </c>
      <c r="H174" s="5" t="n">
        <f aca="false">SUMPRODUCT(EXACT('Rule-Event map'!$F$2:$F$1477,$A174)*EXACT('Rule-Event map'!$G$2:$G$1477,$B174)*('Rule-Event map'!$C$2:$C$1477="Existing, re-tagged ITDR"))</f>
        <v>0</v>
      </c>
      <c r="I174" s="5" t="n">
        <f aca="false">F174-G174-H174</f>
        <v>1</v>
      </c>
      <c r="J174" s="5" t="n">
        <f aca="false">SUMPRODUCT(EXACT('Rule-Event map'!$F$2:$F$1477,$A174)*EXACT('Rule-Event map'!$G$2:$G$1477,$B174)*('Rule-Event map'!$E$2:$E$1477="Enabled"))</f>
        <v>0</v>
      </c>
      <c r="K174" s="2" t="s">
        <v>5395</v>
      </c>
    </row>
    <row r="175" customFormat="false" ht="23.85" hidden="false" customHeight="false" outlineLevel="0" collapsed="false">
      <c r="A175" s="5" t="s">
        <v>7670</v>
      </c>
      <c r="B175" s="2" t="s">
        <v>7911</v>
      </c>
      <c r="C175" s="5"/>
      <c r="D175" s="5"/>
      <c r="E175" s="5" t="s">
        <v>8336</v>
      </c>
      <c r="F175" s="5" t="n">
        <f aca="false">SUMPRODUCT(EXACT('Rule-Event map'!$F$2:$F$1477,$A175)*EXACT('Rule-Event map'!$G$2:$G$1477,$B175))</f>
        <v>2</v>
      </c>
      <c r="G175" s="5" t="n">
        <f aca="false">SUMPRODUCT(EXACT('Rule-Event map'!$F$2:$F$1477,$A175)*EXACT('Rule-Event map'!$G$2:$G$1477,$B175)*('Rule-Event map'!$C$2:$C$1477="New ITDR (7.6.0)"))</f>
        <v>0</v>
      </c>
      <c r="H175" s="5" t="n">
        <f aca="false">SUMPRODUCT(EXACT('Rule-Event map'!$F$2:$F$1477,$A175)*EXACT('Rule-Event map'!$G$2:$G$1477,$B175)*('Rule-Event map'!$C$2:$C$1477="Existing, re-tagged ITDR"))</f>
        <v>0</v>
      </c>
      <c r="I175" s="5" t="n">
        <f aca="false">F175-G175-H175</f>
        <v>2</v>
      </c>
      <c r="J175" s="5" t="n">
        <f aca="false">SUMPRODUCT(EXACT('Rule-Event map'!$F$2:$F$1477,$A175)*EXACT('Rule-Event map'!$G$2:$G$1477,$B175)*('Rule-Event map'!$E$2:$E$1477="Enabled"))</f>
        <v>2</v>
      </c>
      <c r="K175" s="2" t="s">
        <v>8369</v>
      </c>
    </row>
    <row r="176" customFormat="false" ht="15" hidden="false" customHeight="false" outlineLevel="0" collapsed="false">
      <c r="A176" s="5" t="s">
        <v>7670</v>
      </c>
      <c r="B176" s="2" t="s">
        <v>7929</v>
      </c>
      <c r="C176" s="5"/>
      <c r="D176" s="5"/>
      <c r="E176" s="5" t="s">
        <v>8336</v>
      </c>
      <c r="F176" s="5" t="n">
        <f aca="false">SUMPRODUCT(EXACT('Rule-Event map'!$F$2:$F$1477,$A176)*EXACT('Rule-Event map'!$G$2:$G$1477,$B176))</f>
        <v>1</v>
      </c>
      <c r="G176" s="5" t="n">
        <f aca="false">SUMPRODUCT(EXACT('Rule-Event map'!$F$2:$F$1477,$A176)*EXACT('Rule-Event map'!$G$2:$G$1477,$B176)*('Rule-Event map'!$C$2:$C$1477="New ITDR (7.6.0)"))</f>
        <v>0</v>
      </c>
      <c r="H176" s="5" t="n">
        <f aca="false">SUMPRODUCT(EXACT('Rule-Event map'!$F$2:$F$1477,$A176)*EXACT('Rule-Event map'!$G$2:$G$1477,$B176)*('Rule-Event map'!$C$2:$C$1477="Existing, re-tagged ITDR"))</f>
        <v>0</v>
      </c>
      <c r="I176" s="5" t="n">
        <f aca="false">F176-G176-H176</f>
        <v>1</v>
      </c>
      <c r="J176" s="5" t="n">
        <f aca="false">SUMPRODUCT(EXACT('Rule-Event map'!$F$2:$F$1477,$A176)*EXACT('Rule-Event map'!$G$2:$G$1477,$B176)*('Rule-Event map'!$E$2:$E$1477="Enabled"))</f>
        <v>0</v>
      </c>
      <c r="K176" s="2" t="s">
        <v>5153</v>
      </c>
    </row>
    <row r="177" customFormat="false" ht="23.85" hidden="false" customHeight="false" outlineLevel="0" collapsed="false">
      <c r="A177" s="5" t="s">
        <v>7670</v>
      </c>
      <c r="B177" s="2" t="s">
        <v>7998</v>
      </c>
      <c r="C177" s="5"/>
      <c r="D177" s="5"/>
      <c r="E177" s="5" t="s">
        <v>8336</v>
      </c>
      <c r="F177" s="5" t="n">
        <f aca="false">SUMPRODUCT(EXACT('Rule-Event map'!$F$2:$F$1477,$A177)*EXACT('Rule-Event map'!$G$2:$G$1477,$B177))</f>
        <v>1</v>
      </c>
      <c r="G177" s="5" t="n">
        <f aca="false">SUMPRODUCT(EXACT('Rule-Event map'!$F$2:$F$1477,$A177)*EXACT('Rule-Event map'!$G$2:$G$1477,$B177)*('Rule-Event map'!$C$2:$C$1477="New ITDR (7.6.0)"))</f>
        <v>0</v>
      </c>
      <c r="H177" s="5" t="n">
        <f aca="false">SUMPRODUCT(EXACT('Rule-Event map'!$F$2:$F$1477,$A177)*EXACT('Rule-Event map'!$G$2:$G$1477,$B177)*('Rule-Event map'!$C$2:$C$1477="Existing, re-tagged ITDR"))</f>
        <v>0</v>
      </c>
      <c r="I177" s="5" t="n">
        <f aca="false">F177-G177-H177</f>
        <v>1</v>
      </c>
      <c r="J177" s="5" t="n">
        <f aca="false">SUMPRODUCT(EXACT('Rule-Event map'!$F$2:$F$1477,$A177)*EXACT('Rule-Event map'!$G$2:$G$1477,$B177)*('Rule-Event map'!$E$2:$E$1477="Enabled"))</f>
        <v>0</v>
      </c>
      <c r="K177" s="2" t="s">
        <v>5383</v>
      </c>
    </row>
    <row r="178" customFormat="false" ht="15" hidden="false" customHeight="false" outlineLevel="0" collapsed="false">
      <c r="A178" s="5" t="s">
        <v>7670</v>
      </c>
      <c r="B178" s="2" t="s">
        <v>7979</v>
      </c>
      <c r="C178" s="5"/>
      <c r="D178" s="5"/>
      <c r="E178" s="5" t="s">
        <v>8336</v>
      </c>
      <c r="F178" s="5" t="n">
        <f aca="false">SUMPRODUCT(EXACT('Rule-Event map'!$F$2:$F$1477,$A178)*EXACT('Rule-Event map'!$G$2:$G$1477,$B178))</f>
        <v>1</v>
      </c>
      <c r="G178" s="5" t="n">
        <f aca="false">SUMPRODUCT(EXACT('Rule-Event map'!$F$2:$F$1477,$A178)*EXACT('Rule-Event map'!$G$2:$G$1477,$B178)*('Rule-Event map'!$C$2:$C$1477="New ITDR (7.6.0)"))</f>
        <v>0</v>
      </c>
      <c r="H178" s="5" t="n">
        <f aca="false">SUMPRODUCT(EXACT('Rule-Event map'!$F$2:$F$1477,$A178)*EXACT('Rule-Event map'!$G$2:$G$1477,$B178)*('Rule-Event map'!$C$2:$C$1477="Existing, re-tagged ITDR"))</f>
        <v>0</v>
      </c>
      <c r="I178" s="5" t="n">
        <f aca="false">F178-G178-H178</f>
        <v>1</v>
      </c>
      <c r="J178" s="5" t="n">
        <f aca="false">SUMPRODUCT(EXACT('Rule-Event map'!$F$2:$F$1477,$A178)*EXACT('Rule-Event map'!$G$2:$G$1477,$B178)*('Rule-Event map'!$E$2:$E$1477="Enabled"))</f>
        <v>1</v>
      </c>
      <c r="K178" s="2" t="s">
        <v>5283</v>
      </c>
    </row>
    <row r="179" customFormat="false" ht="15" hidden="false" customHeight="false" outlineLevel="0" collapsed="false">
      <c r="A179" s="5" t="s">
        <v>7670</v>
      </c>
      <c r="B179" s="2" t="s">
        <v>8003</v>
      </c>
      <c r="C179" s="5"/>
      <c r="D179" s="5"/>
      <c r="E179" s="5" t="s">
        <v>8336</v>
      </c>
      <c r="F179" s="5" t="n">
        <f aca="false">SUMPRODUCT(EXACT('Rule-Event map'!$F$2:$F$1477,$A179)*EXACT('Rule-Event map'!$G$2:$G$1477,$B179))</f>
        <v>1</v>
      </c>
      <c r="G179" s="5" t="n">
        <f aca="false">SUMPRODUCT(EXACT('Rule-Event map'!$F$2:$F$1477,$A179)*EXACT('Rule-Event map'!$G$2:$G$1477,$B179)*('Rule-Event map'!$C$2:$C$1477="New ITDR (7.6.0)"))</f>
        <v>0</v>
      </c>
      <c r="H179" s="5" t="n">
        <f aca="false">SUMPRODUCT(EXACT('Rule-Event map'!$F$2:$F$1477,$A179)*EXACT('Rule-Event map'!$G$2:$G$1477,$B179)*('Rule-Event map'!$C$2:$C$1477="Existing, re-tagged ITDR"))</f>
        <v>0</v>
      </c>
      <c r="I179" s="5" t="n">
        <f aca="false">F179-G179-H179</f>
        <v>1</v>
      </c>
      <c r="J179" s="5" t="n">
        <f aca="false">SUMPRODUCT(EXACT('Rule-Event map'!$F$2:$F$1477,$A179)*EXACT('Rule-Event map'!$G$2:$G$1477,$B179)*('Rule-Event map'!$E$2:$E$1477="Enabled"))</f>
        <v>0</v>
      </c>
      <c r="K179" s="2" t="s">
        <v>5395</v>
      </c>
    </row>
    <row r="180" customFormat="false" ht="23.85" hidden="false" customHeight="false" outlineLevel="0" collapsed="false">
      <c r="A180" s="5" t="s">
        <v>7670</v>
      </c>
      <c r="B180" s="2" t="s">
        <v>7893</v>
      </c>
      <c r="C180" s="5"/>
      <c r="D180" s="5"/>
      <c r="E180" s="5" t="s">
        <v>8336</v>
      </c>
      <c r="F180" s="5" t="n">
        <f aca="false">SUMPRODUCT(EXACT('Rule-Event map'!$F$2:$F$1477,$A180)*EXACT('Rule-Event map'!$G$2:$G$1477,$B180))</f>
        <v>2</v>
      </c>
      <c r="G180" s="5" t="n">
        <f aca="false">SUMPRODUCT(EXACT('Rule-Event map'!$F$2:$F$1477,$A180)*EXACT('Rule-Event map'!$G$2:$G$1477,$B180)*('Rule-Event map'!$C$2:$C$1477="New ITDR (7.6.0)"))</f>
        <v>0</v>
      </c>
      <c r="H180" s="5" t="n">
        <f aca="false">SUMPRODUCT(EXACT('Rule-Event map'!$F$2:$F$1477,$A180)*EXACT('Rule-Event map'!$G$2:$G$1477,$B180)*('Rule-Event map'!$C$2:$C$1477="Existing, re-tagged ITDR"))</f>
        <v>0</v>
      </c>
      <c r="I180" s="5" t="n">
        <f aca="false">F180-G180-H180</f>
        <v>2</v>
      </c>
      <c r="J180" s="5" t="n">
        <f aca="false">SUMPRODUCT(EXACT('Rule-Event map'!$F$2:$F$1477,$A180)*EXACT('Rule-Event map'!$G$2:$G$1477,$B180)*('Rule-Event map'!$E$2:$E$1477="Enabled"))</f>
        <v>1</v>
      </c>
      <c r="K180" s="2" t="s">
        <v>8370</v>
      </c>
    </row>
    <row r="181" customFormat="false" ht="23.85" hidden="false" customHeight="false" outlineLevel="0" collapsed="false">
      <c r="A181" s="5" t="s">
        <v>7670</v>
      </c>
      <c r="B181" s="2" t="s">
        <v>7794</v>
      </c>
      <c r="C181" s="5"/>
      <c r="D181" s="5"/>
      <c r="E181" s="5" t="s">
        <v>8336</v>
      </c>
      <c r="F181" s="5" t="n">
        <f aca="false">SUMPRODUCT(EXACT('Rule-Event map'!$F$2:$F$1477,$A181)*EXACT('Rule-Event map'!$G$2:$G$1477,$B181))</f>
        <v>2</v>
      </c>
      <c r="G181" s="5" t="n">
        <f aca="false">SUMPRODUCT(EXACT('Rule-Event map'!$F$2:$F$1477,$A181)*EXACT('Rule-Event map'!$G$2:$G$1477,$B181)*('Rule-Event map'!$C$2:$C$1477="New ITDR (7.6.0)"))</f>
        <v>0</v>
      </c>
      <c r="H181" s="5" t="n">
        <f aca="false">SUMPRODUCT(EXACT('Rule-Event map'!$F$2:$F$1477,$A181)*EXACT('Rule-Event map'!$G$2:$G$1477,$B181)*('Rule-Event map'!$C$2:$C$1477="Existing, re-tagged ITDR"))</f>
        <v>0</v>
      </c>
      <c r="I181" s="5" t="n">
        <f aca="false">F181-G181-H181</f>
        <v>2</v>
      </c>
      <c r="J181" s="5" t="n">
        <f aca="false">SUMPRODUCT(EXACT('Rule-Event map'!$F$2:$F$1477,$A181)*EXACT('Rule-Event map'!$G$2:$G$1477,$B181)*('Rule-Event map'!$E$2:$E$1477="Enabled"))</f>
        <v>2</v>
      </c>
      <c r="K181" s="2" t="s">
        <v>8371</v>
      </c>
    </row>
    <row r="182" customFormat="false" ht="15" hidden="false" customHeight="false" outlineLevel="0" collapsed="false">
      <c r="A182" s="5" t="s">
        <v>7670</v>
      </c>
      <c r="B182" s="2" t="s">
        <v>8176</v>
      </c>
      <c r="C182" s="5"/>
      <c r="D182" s="5"/>
      <c r="E182" s="5" t="s">
        <v>8336</v>
      </c>
      <c r="F182" s="5" t="n">
        <f aca="false">SUMPRODUCT(EXACT('Rule-Event map'!$F$2:$F$1477,$A182)*EXACT('Rule-Event map'!$G$2:$G$1477,$B182))</f>
        <v>1</v>
      </c>
      <c r="G182" s="5" t="n">
        <f aca="false">SUMPRODUCT(EXACT('Rule-Event map'!$F$2:$F$1477,$A182)*EXACT('Rule-Event map'!$G$2:$G$1477,$B182)*('Rule-Event map'!$C$2:$C$1477="New ITDR (7.6.0)"))</f>
        <v>0</v>
      </c>
      <c r="H182" s="5" t="n">
        <f aca="false">SUMPRODUCT(EXACT('Rule-Event map'!$F$2:$F$1477,$A182)*EXACT('Rule-Event map'!$G$2:$G$1477,$B182)*('Rule-Event map'!$C$2:$C$1477="Existing, re-tagged ITDR"))</f>
        <v>0</v>
      </c>
      <c r="I182" s="5" t="n">
        <f aca="false">F182-G182-H182</f>
        <v>1</v>
      </c>
      <c r="J182" s="5" t="n">
        <f aca="false">SUMPRODUCT(EXACT('Rule-Event map'!$F$2:$F$1477,$A182)*EXACT('Rule-Event map'!$G$2:$G$1477,$B182)*('Rule-Event map'!$E$2:$E$1477="Enabled"))</f>
        <v>1</v>
      </c>
      <c r="K182" s="2" t="s">
        <v>5936</v>
      </c>
    </row>
    <row r="183" customFormat="false" ht="15" hidden="false" customHeight="false" outlineLevel="0" collapsed="false">
      <c r="A183" s="5" t="s">
        <v>7670</v>
      </c>
      <c r="B183" s="2" t="s">
        <v>8142</v>
      </c>
      <c r="C183" s="5"/>
      <c r="D183" s="5"/>
      <c r="E183" s="5" t="s">
        <v>8336</v>
      </c>
      <c r="F183" s="5" t="n">
        <f aca="false">SUMPRODUCT(EXACT('Rule-Event map'!$F$2:$F$1477,$A183)*EXACT('Rule-Event map'!$G$2:$G$1477,$B183))</f>
        <v>1</v>
      </c>
      <c r="G183" s="5" t="n">
        <f aca="false">SUMPRODUCT(EXACT('Rule-Event map'!$F$2:$F$1477,$A183)*EXACT('Rule-Event map'!$G$2:$G$1477,$B183)*('Rule-Event map'!$C$2:$C$1477="New ITDR (7.6.0)"))</f>
        <v>0</v>
      </c>
      <c r="H183" s="5" t="n">
        <f aca="false">SUMPRODUCT(EXACT('Rule-Event map'!$F$2:$F$1477,$A183)*EXACT('Rule-Event map'!$G$2:$G$1477,$B183)*('Rule-Event map'!$C$2:$C$1477="Existing, re-tagged ITDR"))</f>
        <v>0</v>
      </c>
      <c r="I183" s="5" t="n">
        <f aca="false">F183-G183-H183</f>
        <v>1</v>
      </c>
      <c r="J183" s="5" t="n">
        <f aca="false">SUMPRODUCT(EXACT('Rule-Event map'!$F$2:$F$1477,$A183)*EXACT('Rule-Event map'!$G$2:$G$1477,$B183)*('Rule-Event map'!$E$2:$E$1477="Enabled"))</f>
        <v>1</v>
      </c>
      <c r="K183" s="2" t="s">
        <v>5820</v>
      </c>
    </row>
    <row r="184" customFormat="false" ht="15" hidden="false" customHeight="false" outlineLevel="0" collapsed="false">
      <c r="A184" s="5" t="s">
        <v>7670</v>
      </c>
      <c r="B184" s="2" t="s">
        <v>8172</v>
      </c>
      <c r="C184" s="5"/>
      <c r="D184" s="5"/>
      <c r="E184" s="5" t="s">
        <v>8336</v>
      </c>
      <c r="F184" s="5" t="n">
        <f aca="false">SUMPRODUCT(EXACT('Rule-Event map'!$F$2:$F$1477,$A184)*EXACT('Rule-Event map'!$G$2:$G$1477,$B184))</f>
        <v>1</v>
      </c>
      <c r="G184" s="5" t="n">
        <f aca="false">SUMPRODUCT(EXACT('Rule-Event map'!$F$2:$F$1477,$A184)*EXACT('Rule-Event map'!$G$2:$G$1477,$B184)*('Rule-Event map'!$C$2:$C$1477="New ITDR (7.6.0)"))</f>
        <v>0</v>
      </c>
      <c r="H184" s="5" t="n">
        <f aca="false">SUMPRODUCT(EXACT('Rule-Event map'!$F$2:$F$1477,$A184)*EXACT('Rule-Event map'!$G$2:$G$1477,$B184)*('Rule-Event map'!$C$2:$C$1477="Existing, re-tagged ITDR"))</f>
        <v>0</v>
      </c>
      <c r="I184" s="5" t="n">
        <f aca="false">F184-G184-H184</f>
        <v>1</v>
      </c>
      <c r="J184" s="5" t="n">
        <f aca="false">SUMPRODUCT(EXACT('Rule-Event map'!$F$2:$F$1477,$A184)*EXACT('Rule-Event map'!$G$2:$G$1477,$B184)*('Rule-Event map'!$E$2:$E$1477="Enabled"))</f>
        <v>0</v>
      </c>
      <c r="K184" s="2" t="s">
        <v>5918</v>
      </c>
    </row>
    <row r="185" customFormat="false" ht="15" hidden="false" customHeight="false" outlineLevel="0" collapsed="false">
      <c r="A185" s="5" t="s">
        <v>7670</v>
      </c>
      <c r="B185" s="2" t="s">
        <v>8174</v>
      </c>
      <c r="C185" s="5"/>
      <c r="D185" s="5"/>
      <c r="E185" s="5" t="s">
        <v>8336</v>
      </c>
      <c r="F185" s="5" t="n">
        <f aca="false">SUMPRODUCT(EXACT('Rule-Event map'!$F$2:$F$1477,$A185)*EXACT('Rule-Event map'!$G$2:$G$1477,$B185))</f>
        <v>1</v>
      </c>
      <c r="G185" s="5" t="n">
        <f aca="false">SUMPRODUCT(EXACT('Rule-Event map'!$F$2:$F$1477,$A185)*EXACT('Rule-Event map'!$G$2:$G$1477,$B185)*('Rule-Event map'!$C$2:$C$1477="New ITDR (7.6.0)"))</f>
        <v>0</v>
      </c>
      <c r="H185" s="5" t="n">
        <f aca="false">SUMPRODUCT(EXACT('Rule-Event map'!$F$2:$F$1477,$A185)*EXACT('Rule-Event map'!$G$2:$G$1477,$B185)*('Rule-Event map'!$C$2:$C$1477="Existing, re-tagged ITDR"))</f>
        <v>0</v>
      </c>
      <c r="I185" s="5" t="n">
        <f aca="false">F185-G185-H185</f>
        <v>1</v>
      </c>
      <c r="J185" s="5" t="n">
        <f aca="false">SUMPRODUCT(EXACT('Rule-Event map'!$F$2:$F$1477,$A185)*EXACT('Rule-Event map'!$G$2:$G$1477,$B185)*('Rule-Event map'!$E$2:$E$1477="Enabled"))</f>
        <v>0</v>
      </c>
      <c r="K185" s="2" t="s">
        <v>5923</v>
      </c>
    </row>
    <row r="186" customFormat="false" ht="15" hidden="false" customHeight="false" outlineLevel="0" collapsed="false">
      <c r="A186" s="5" t="s">
        <v>7670</v>
      </c>
      <c r="B186" s="2" t="s">
        <v>8044</v>
      </c>
      <c r="C186" s="5"/>
      <c r="D186" s="5"/>
      <c r="E186" s="5" t="s">
        <v>8336</v>
      </c>
      <c r="F186" s="5" t="n">
        <f aca="false">SUMPRODUCT(EXACT('Rule-Event map'!$F$2:$F$1477,$A186)*EXACT('Rule-Event map'!$G$2:$G$1477,$B186))</f>
        <v>1</v>
      </c>
      <c r="G186" s="5" t="n">
        <f aca="false">SUMPRODUCT(EXACT('Rule-Event map'!$F$2:$F$1477,$A186)*EXACT('Rule-Event map'!$G$2:$G$1477,$B186)*('Rule-Event map'!$C$2:$C$1477="New ITDR (7.6.0)"))</f>
        <v>0</v>
      </c>
      <c r="H186" s="5" t="n">
        <f aca="false">SUMPRODUCT(EXACT('Rule-Event map'!$F$2:$F$1477,$A186)*EXACT('Rule-Event map'!$G$2:$G$1477,$B186)*('Rule-Event map'!$C$2:$C$1477="Existing, re-tagged ITDR"))</f>
        <v>0</v>
      </c>
      <c r="I186" s="5" t="n">
        <f aca="false">F186-G186-H186</f>
        <v>1</v>
      </c>
      <c r="J186" s="5" t="n">
        <f aca="false">SUMPRODUCT(EXACT('Rule-Event map'!$F$2:$F$1477,$A186)*EXACT('Rule-Event map'!$G$2:$G$1477,$B186)*('Rule-Event map'!$E$2:$E$1477="Enabled"))</f>
        <v>1</v>
      </c>
      <c r="K186" s="2" t="s">
        <v>5554</v>
      </c>
    </row>
    <row r="187" customFormat="false" ht="15" hidden="false" customHeight="false" outlineLevel="0" collapsed="false">
      <c r="A187" s="5" t="s">
        <v>7670</v>
      </c>
      <c r="B187" s="2" t="s">
        <v>8110</v>
      </c>
      <c r="C187" s="5"/>
      <c r="D187" s="5"/>
      <c r="E187" s="5" t="s">
        <v>8336</v>
      </c>
      <c r="F187" s="5" t="n">
        <f aca="false">SUMPRODUCT(EXACT('Rule-Event map'!$F$2:$F$1477,$A187)*EXACT('Rule-Event map'!$G$2:$G$1477,$B187))</f>
        <v>1</v>
      </c>
      <c r="G187" s="5" t="n">
        <f aca="false">SUMPRODUCT(EXACT('Rule-Event map'!$F$2:$F$1477,$A187)*EXACT('Rule-Event map'!$G$2:$G$1477,$B187)*('Rule-Event map'!$C$2:$C$1477="New ITDR (7.6.0)"))</f>
        <v>0</v>
      </c>
      <c r="H187" s="5" t="n">
        <f aca="false">SUMPRODUCT(EXACT('Rule-Event map'!$F$2:$F$1477,$A187)*EXACT('Rule-Event map'!$G$2:$G$1477,$B187)*('Rule-Event map'!$C$2:$C$1477="Existing, re-tagged ITDR"))</f>
        <v>0</v>
      </c>
      <c r="I187" s="5" t="n">
        <f aca="false">F187-G187-H187</f>
        <v>1</v>
      </c>
      <c r="J187" s="5" t="n">
        <f aca="false">SUMPRODUCT(EXACT('Rule-Event map'!$F$2:$F$1477,$A187)*EXACT('Rule-Event map'!$G$2:$G$1477,$B187)*('Rule-Event map'!$E$2:$E$1477="Enabled"))</f>
        <v>0</v>
      </c>
      <c r="K187" s="2" t="s">
        <v>5757</v>
      </c>
    </row>
    <row r="188" customFormat="false" ht="15" hidden="false" customHeight="false" outlineLevel="0" collapsed="false">
      <c r="A188" s="5" t="s">
        <v>7670</v>
      </c>
      <c r="B188" s="2" t="s">
        <v>8106</v>
      </c>
      <c r="C188" s="5"/>
      <c r="D188" s="5"/>
      <c r="E188" s="5" t="s">
        <v>8336</v>
      </c>
      <c r="F188" s="5" t="n">
        <f aca="false">SUMPRODUCT(EXACT('Rule-Event map'!$F$2:$F$1477,$A188)*EXACT('Rule-Event map'!$G$2:$G$1477,$B188))</f>
        <v>1</v>
      </c>
      <c r="G188" s="5" t="n">
        <f aca="false">SUMPRODUCT(EXACT('Rule-Event map'!$F$2:$F$1477,$A188)*EXACT('Rule-Event map'!$G$2:$G$1477,$B188)*('Rule-Event map'!$C$2:$C$1477="New ITDR (7.6.0)"))</f>
        <v>0</v>
      </c>
      <c r="H188" s="5" t="n">
        <f aca="false">SUMPRODUCT(EXACT('Rule-Event map'!$F$2:$F$1477,$A188)*EXACT('Rule-Event map'!$G$2:$G$1477,$B188)*('Rule-Event map'!$C$2:$C$1477="Existing, re-tagged ITDR"))</f>
        <v>0</v>
      </c>
      <c r="I188" s="5" t="n">
        <f aca="false">F188-G188-H188</f>
        <v>1</v>
      </c>
      <c r="J188" s="5" t="n">
        <f aca="false">SUMPRODUCT(EXACT('Rule-Event map'!$F$2:$F$1477,$A188)*EXACT('Rule-Event map'!$G$2:$G$1477,$B188)*('Rule-Event map'!$E$2:$E$1477="Enabled"))</f>
        <v>1</v>
      </c>
      <c r="K188" s="2" t="s">
        <v>5745</v>
      </c>
    </row>
    <row r="189" customFormat="false" ht="15" hidden="false" customHeight="false" outlineLevel="0" collapsed="false">
      <c r="A189" s="5" t="s">
        <v>7670</v>
      </c>
      <c r="B189" s="2" t="s">
        <v>8140</v>
      </c>
      <c r="C189" s="5"/>
      <c r="D189" s="5"/>
      <c r="E189" s="5" t="s">
        <v>8336</v>
      </c>
      <c r="F189" s="5" t="n">
        <f aca="false">SUMPRODUCT(EXACT('Rule-Event map'!$F$2:$F$1477,$A189)*EXACT('Rule-Event map'!$G$2:$G$1477,$B189))</f>
        <v>1</v>
      </c>
      <c r="G189" s="5" t="n">
        <f aca="false">SUMPRODUCT(EXACT('Rule-Event map'!$F$2:$F$1477,$A189)*EXACT('Rule-Event map'!$G$2:$G$1477,$B189)*('Rule-Event map'!$C$2:$C$1477="New ITDR (7.6.0)"))</f>
        <v>0</v>
      </c>
      <c r="H189" s="5" t="n">
        <f aca="false">SUMPRODUCT(EXACT('Rule-Event map'!$F$2:$F$1477,$A189)*EXACT('Rule-Event map'!$G$2:$G$1477,$B189)*('Rule-Event map'!$C$2:$C$1477="Existing, re-tagged ITDR"))</f>
        <v>0</v>
      </c>
      <c r="I189" s="5" t="n">
        <f aca="false">F189-G189-H189</f>
        <v>1</v>
      </c>
      <c r="J189" s="5" t="n">
        <f aca="false">SUMPRODUCT(EXACT('Rule-Event map'!$F$2:$F$1477,$A189)*EXACT('Rule-Event map'!$G$2:$G$1477,$B189)*('Rule-Event map'!$E$2:$E$1477="Enabled"))</f>
        <v>1</v>
      </c>
      <c r="K189" s="2" t="s">
        <v>5820</v>
      </c>
    </row>
    <row r="190" customFormat="false" ht="15" hidden="false" customHeight="false" outlineLevel="0" collapsed="false">
      <c r="A190" s="5" t="s">
        <v>7670</v>
      </c>
      <c r="B190" s="2" t="s">
        <v>7927</v>
      </c>
      <c r="C190" s="5"/>
      <c r="D190" s="5"/>
      <c r="E190" s="5" t="s">
        <v>8336</v>
      </c>
      <c r="F190" s="5" t="n">
        <f aca="false">SUMPRODUCT(EXACT('Rule-Event map'!$F$2:$F$1477,$A190)*EXACT('Rule-Event map'!$G$2:$G$1477,$B190))</f>
        <v>1</v>
      </c>
      <c r="G190" s="5" t="n">
        <f aca="false">SUMPRODUCT(EXACT('Rule-Event map'!$F$2:$F$1477,$A190)*EXACT('Rule-Event map'!$G$2:$G$1477,$B190)*('Rule-Event map'!$C$2:$C$1477="New ITDR (7.6.0)"))</f>
        <v>0</v>
      </c>
      <c r="H190" s="5" t="n">
        <f aca="false">SUMPRODUCT(EXACT('Rule-Event map'!$F$2:$F$1477,$A190)*EXACT('Rule-Event map'!$G$2:$G$1477,$B190)*('Rule-Event map'!$C$2:$C$1477="Existing, re-tagged ITDR"))</f>
        <v>0</v>
      </c>
      <c r="I190" s="5" t="n">
        <f aca="false">F190-G190-H190</f>
        <v>1</v>
      </c>
      <c r="J190" s="5" t="n">
        <f aca="false">SUMPRODUCT(EXACT('Rule-Event map'!$F$2:$F$1477,$A190)*EXACT('Rule-Event map'!$G$2:$G$1477,$B190)*('Rule-Event map'!$E$2:$E$1477="Enabled"))</f>
        <v>0</v>
      </c>
      <c r="K190" s="2" t="s">
        <v>5142</v>
      </c>
    </row>
    <row r="191" customFormat="false" ht="15" hidden="false" customHeight="false" outlineLevel="0" collapsed="false">
      <c r="A191" s="5" t="s">
        <v>7670</v>
      </c>
      <c r="B191" s="2" t="s">
        <v>8188</v>
      </c>
      <c r="C191" s="5"/>
      <c r="D191" s="5"/>
      <c r="E191" s="5" t="s">
        <v>8336</v>
      </c>
      <c r="F191" s="5" t="n">
        <f aca="false">SUMPRODUCT(EXACT('Rule-Event map'!$F$2:$F$1477,$A191)*EXACT('Rule-Event map'!$G$2:$G$1477,$B191))</f>
        <v>1</v>
      </c>
      <c r="G191" s="5" t="n">
        <f aca="false">SUMPRODUCT(EXACT('Rule-Event map'!$F$2:$F$1477,$A191)*EXACT('Rule-Event map'!$G$2:$G$1477,$B191)*('Rule-Event map'!$C$2:$C$1477="New ITDR (7.6.0)"))</f>
        <v>0</v>
      </c>
      <c r="H191" s="5" t="n">
        <f aca="false">SUMPRODUCT(EXACT('Rule-Event map'!$F$2:$F$1477,$A191)*EXACT('Rule-Event map'!$G$2:$G$1477,$B191)*('Rule-Event map'!$C$2:$C$1477="Existing, re-tagged ITDR"))</f>
        <v>0</v>
      </c>
      <c r="I191" s="5" t="n">
        <f aca="false">F191-G191-H191</f>
        <v>1</v>
      </c>
      <c r="J191" s="5" t="n">
        <f aca="false">SUMPRODUCT(EXACT('Rule-Event map'!$F$2:$F$1477,$A191)*EXACT('Rule-Event map'!$G$2:$G$1477,$B191)*('Rule-Event map'!$E$2:$E$1477="Enabled"))</f>
        <v>0</v>
      </c>
      <c r="K191" s="2" t="s">
        <v>5972</v>
      </c>
    </row>
    <row r="192" customFormat="false" ht="15" hidden="false" customHeight="false" outlineLevel="0" collapsed="false">
      <c r="A192" s="5" t="s">
        <v>7670</v>
      </c>
      <c r="B192" s="2" t="s">
        <v>8187</v>
      </c>
      <c r="C192" s="5"/>
      <c r="D192" s="5"/>
      <c r="E192" s="5" t="s">
        <v>8336</v>
      </c>
      <c r="F192" s="5" t="n">
        <f aca="false">SUMPRODUCT(EXACT('Rule-Event map'!$F$2:$F$1477,$A192)*EXACT('Rule-Event map'!$G$2:$G$1477,$B192))</f>
        <v>1</v>
      </c>
      <c r="G192" s="5" t="n">
        <f aca="false">SUMPRODUCT(EXACT('Rule-Event map'!$F$2:$F$1477,$A192)*EXACT('Rule-Event map'!$G$2:$G$1477,$B192)*('Rule-Event map'!$C$2:$C$1477="New ITDR (7.6.0)"))</f>
        <v>0</v>
      </c>
      <c r="H192" s="5" t="n">
        <f aca="false">SUMPRODUCT(EXACT('Rule-Event map'!$F$2:$F$1477,$A192)*EXACT('Rule-Event map'!$G$2:$G$1477,$B192)*('Rule-Event map'!$C$2:$C$1477="Existing, re-tagged ITDR"))</f>
        <v>0</v>
      </c>
      <c r="I192" s="5" t="n">
        <f aca="false">F192-G192-H192</f>
        <v>1</v>
      </c>
      <c r="J192" s="5" t="n">
        <f aca="false">SUMPRODUCT(EXACT('Rule-Event map'!$F$2:$F$1477,$A192)*EXACT('Rule-Event map'!$G$2:$G$1477,$B192)*('Rule-Event map'!$E$2:$E$1477="Enabled"))</f>
        <v>0</v>
      </c>
      <c r="K192" s="2" t="s">
        <v>5972</v>
      </c>
    </row>
    <row r="193" customFormat="false" ht="15" hidden="false" customHeight="false" outlineLevel="0" collapsed="false">
      <c r="A193" s="5" t="s">
        <v>7670</v>
      </c>
      <c r="B193" s="2" t="s">
        <v>8196</v>
      </c>
      <c r="C193" s="5"/>
      <c r="D193" s="5"/>
      <c r="E193" s="5" t="s">
        <v>8336</v>
      </c>
      <c r="F193" s="5" t="n">
        <f aca="false">SUMPRODUCT(EXACT('Rule-Event map'!$F$2:$F$1477,$A193)*EXACT('Rule-Event map'!$G$2:$G$1477,$B193))</f>
        <v>1</v>
      </c>
      <c r="G193" s="5" t="n">
        <f aca="false">SUMPRODUCT(EXACT('Rule-Event map'!$F$2:$F$1477,$A193)*EXACT('Rule-Event map'!$G$2:$G$1477,$B193)*('Rule-Event map'!$C$2:$C$1477="New ITDR (7.6.0)"))</f>
        <v>0</v>
      </c>
      <c r="H193" s="5" t="n">
        <f aca="false">SUMPRODUCT(EXACT('Rule-Event map'!$F$2:$F$1477,$A193)*EXACT('Rule-Event map'!$G$2:$G$1477,$B193)*('Rule-Event map'!$C$2:$C$1477="Existing, re-tagged ITDR"))</f>
        <v>0</v>
      </c>
      <c r="I193" s="5" t="n">
        <f aca="false">F193-G193-H193</f>
        <v>1</v>
      </c>
      <c r="J193" s="5" t="n">
        <f aca="false">SUMPRODUCT(EXACT('Rule-Event map'!$F$2:$F$1477,$A193)*EXACT('Rule-Event map'!$G$2:$G$1477,$B193)*('Rule-Event map'!$E$2:$E$1477="Enabled"))</f>
        <v>0</v>
      </c>
      <c r="K193" s="2" t="s">
        <v>5989</v>
      </c>
    </row>
    <row r="194" customFormat="false" ht="15" hidden="false" customHeight="false" outlineLevel="0" collapsed="false">
      <c r="A194" s="5" t="s">
        <v>7670</v>
      </c>
      <c r="B194" s="2" t="s">
        <v>8180</v>
      </c>
      <c r="C194" s="5"/>
      <c r="D194" s="5"/>
      <c r="E194" s="5" t="s">
        <v>8336</v>
      </c>
      <c r="F194" s="5" t="n">
        <f aca="false">SUMPRODUCT(EXACT('Rule-Event map'!$F$2:$F$1477,$A194)*EXACT('Rule-Event map'!$G$2:$G$1477,$B194))</f>
        <v>1</v>
      </c>
      <c r="G194" s="5" t="n">
        <f aca="false">SUMPRODUCT(EXACT('Rule-Event map'!$F$2:$F$1477,$A194)*EXACT('Rule-Event map'!$G$2:$G$1477,$B194)*('Rule-Event map'!$C$2:$C$1477="New ITDR (7.6.0)"))</f>
        <v>0</v>
      </c>
      <c r="H194" s="5" t="n">
        <f aca="false">SUMPRODUCT(EXACT('Rule-Event map'!$F$2:$F$1477,$A194)*EXACT('Rule-Event map'!$G$2:$G$1477,$B194)*('Rule-Event map'!$C$2:$C$1477="Existing, re-tagged ITDR"))</f>
        <v>0</v>
      </c>
      <c r="I194" s="5" t="n">
        <f aca="false">F194-G194-H194</f>
        <v>1</v>
      </c>
      <c r="J194" s="5" t="n">
        <f aca="false">SUMPRODUCT(EXACT('Rule-Event map'!$F$2:$F$1477,$A194)*EXACT('Rule-Event map'!$G$2:$G$1477,$B194)*('Rule-Event map'!$E$2:$E$1477="Enabled"))</f>
        <v>0</v>
      </c>
      <c r="K194" s="2" t="s">
        <v>5955</v>
      </c>
    </row>
    <row r="195" customFormat="false" ht="15" hidden="false" customHeight="false" outlineLevel="0" collapsed="false">
      <c r="A195" s="5" t="s">
        <v>7670</v>
      </c>
      <c r="B195" s="2" t="s">
        <v>8115</v>
      </c>
      <c r="C195" s="5"/>
      <c r="D195" s="5"/>
      <c r="E195" s="5" t="s">
        <v>8336</v>
      </c>
      <c r="F195" s="5" t="n">
        <f aca="false">SUMPRODUCT(EXACT('Rule-Event map'!$F$2:$F$1477,$A195)*EXACT('Rule-Event map'!$G$2:$G$1477,$B195))</f>
        <v>1</v>
      </c>
      <c r="G195" s="5" t="n">
        <f aca="false">SUMPRODUCT(EXACT('Rule-Event map'!$F$2:$F$1477,$A195)*EXACT('Rule-Event map'!$G$2:$G$1477,$B195)*('Rule-Event map'!$C$2:$C$1477="New ITDR (7.6.0)"))</f>
        <v>0</v>
      </c>
      <c r="H195" s="5" t="n">
        <f aca="false">SUMPRODUCT(EXACT('Rule-Event map'!$F$2:$F$1477,$A195)*EXACT('Rule-Event map'!$G$2:$G$1477,$B195)*('Rule-Event map'!$C$2:$C$1477="Existing, re-tagged ITDR"))</f>
        <v>0</v>
      </c>
      <c r="I195" s="5" t="n">
        <f aca="false">F195-G195-H195</f>
        <v>1</v>
      </c>
      <c r="J195" s="5" t="n">
        <f aca="false">SUMPRODUCT(EXACT('Rule-Event map'!$F$2:$F$1477,$A195)*EXACT('Rule-Event map'!$G$2:$G$1477,$B195)*('Rule-Event map'!$E$2:$E$1477="Enabled"))</f>
        <v>1</v>
      </c>
      <c r="K195" s="2" t="s">
        <v>5769</v>
      </c>
    </row>
    <row r="196" customFormat="false" ht="15" hidden="false" customHeight="false" outlineLevel="0" collapsed="false">
      <c r="A196" s="5" t="s">
        <v>7670</v>
      </c>
      <c r="B196" s="2" t="s">
        <v>8154</v>
      </c>
      <c r="C196" s="5"/>
      <c r="D196" s="5"/>
      <c r="E196" s="5" t="s">
        <v>8336</v>
      </c>
      <c r="F196" s="5" t="n">
        <f aca="false">SUMPRODUCT(EXACT('Rule-Event map'!$F$2:$F$1477,$A196)*EXACT('Rule-Event map'!$G$2:$G$1477,$B196))</f>
        <v>1</v>
      </c>
      <c r="G196" s="5" t="n">
        <f aca="false">SUMPRODUCT(EXACT('Rule-Event map'!$F$2:$F$1477,$A196)*EXACT('Rule-Event map'!$G$2:$G$1477,$B196)*('Rule-Event map'!$C$2:$C$1477="New ITDR (7.6.0)"))</f>
        <v>0</v>
      </c>
      <c r="H196" s="5" t="n">
        <f aca="false">SUMPRODUCT(EXACT('Rule-Event map'!$F$2:$F$1477,$A196)*EXACT('Rule-Event map'!$G$2:$G$1477,$B196)*('Rule-Event map'!$C$2:$C$1477="Existing, re-tagged ITDR"))</f>
        <v>0</v>
      </c>
      <c r="I196" s="5" t="n">
        <f aca="false">F196-G196-H196</f>
        <v>1</v>
      </c>
      <c r="J196" s="5" t="n">
        <f aca="false">SUMPRODUCT(EXACT('Rule-Event map'!$F$2:$F$1477,$A196)*EXACT('Rule-Event map'!$G$2:$G$1477,$B196)*('Rule-Event map'!$E$2:$E$1477="Enabled"))</f>
        <v>0</v>
      </c>
      <c r="K196" s="2" t="s">
        <v>5863</v>
      </c>
    </row>
    <row r="197" customFormat="false" ht="15" hidden="false" customHeight="false" outlineLevel="0" collapsed="false">
      <c r="A197" s="5" t="s">
        <v>7670</v>
      </c>
      <c r="B197" s="2" t="s">
        <v>8122</v>
      </c>
      <c r="C197" s="5"/>
      <c r="D197" s="5"/>
      <c r="E197" s="5" t="s">
        <v>8336</v>
      </c>
      <c r="F197" s="5" t="n">
        <f aca="false">SUMPRODUCT(EXACT('Rule-Event map'!$F$2:$F$1477,$A197)*EXACT('Rule-Event map'!$G$2:$G$1477,$B197))</f>
        <v>1</v>
      </c>
      <c r="G197" s="5" t="n">
        <f aca="false">SUMPRODUCT(EXACT('Rule-Event map'!$F$2:$F$1477,$A197)*EXACT('Rule-Event map'!$G$2:$G$1477,$B197)*('Rule-Event map'!$C$2:$C$1477="New ITDR (7.6.0)"))</f>
        <v>0</v>
      </c>
      <c r="H197" s="5" t="n">
        <f aca="false">SUMPRODUCT(EXACT('Rule-Event map'!$F$2:$F$1477,$A197)*EXACT('Rule-Event map'!$G$2:$G$1477,$B197)*('Rule-Event map'!$C$2:$C$1477="Existing, re-tagged ITDR"))</f>
        <v>0</v>
      </c>
      <c r="I197" s="5" t="n">
        <f aca="false">F197-G197-H197</f>
        <v>1</v>
      </c>
      <c r="J197" s="5" t="n">
        <f aca="false">SUMPRODUCT(EXACT('Rule-Event map'!$F$2:$F$1477,$A197)*EXACT('Rule-Event map'!$G$2:$G$1477,$B197)*('Rule-Event map'!$E$2:$E$1477="Enabled"))</f>
        <v>0</v>
      </c>
      <c r="K197" s="2" t="s">
        <v>5776</v>
      </c>
    </row>
    <row r="198" customFormat="false" ht="23.85" hidden="false" customHeight="false" outlineLevel="0" collapsed="false">
      <c r="A198" s="5" t="s">
        <v>7670</v>
      </c>
      <c r="B198" s="2" t="s">
        <v>7988</v>
      </c>
      <c r="C198" s="5"/>
      <c r="D198" s="5"/>
      <c r="E198" s="5" t="s">
        <v>8336</v>
      </c>
      <c r="F198" s="5" t="n">
        <f aca="false">SUMPRODUCT(EXACT('Rule-Event map'!$F$2:$F$1477,$A198)*EXACT('Rule-Event map'!$G$2:$G$1477,$B198))</f>
        <v>1</v>
      </c>
      <c r="G198" s="5" t="n">
        <f aca="false">SUMPRODUCT(EXACT('Rule-Event map'!$F$2:$F$1477,$A198)*EXACT('Rule-Event map'!$G$2:$G$1477,$B198)*('Rule-Event map'!$C$2:$C$1477="New ITDR (7.6.0)"))</f>
        <v>0</v>
      </c>
      <c r="H198" s="5" t="n">
        <f aca="false">SUMPRODUCT(EXACT('Rule-Event map'!$F$2:$F$1477,$A198)*EXACT('Rule-Event map'!$G$2:$G$1477,$B198)*('Rule-Event map'!$C$2:$C$1477="Existing, re-tagged ITDR"))</f>
        <v>0</v>
      </c>
      <c r="I198" s="5" t="n">
        <f aca="false">F198-G198-H198</f>
        <v>1</v>
      </c>
      <c r="J198" s="5" t="n">
        <f aca="false">SUMPRODUCT(EXACT('Rule-Event map'!$F$2:$F$1477,$A198)*EXACT('Rule-Event map'!$G$2:$G$1477,$B198)*('Rule-Event map'!$E$2:$E$1477="Enabled"))</f>
        <v>1</v>
      </c>
      <c r="K198" s="2" t="s">
        <v>5321</v>
      </c>
    </row>
    <row r="199" customFormat="false" ht="15" hidden="false" customHeight="false" outlineLevel="0" collapsed="false">
      <c r="A199" s="5" t="s">
        <v>7670</v>
      </c>
      <c r="B199" s="2" t="s">
        <v>7897</v>
      </c>
      <c r="C199" s="5"/>
      <c r="D199" s="5"/>
      <c r="E199" s="5" t="s">
        <v>8336</v>
      </c>
      <c r="F199" s="5" t="n">
        <f aca="false">SUMPRODUCT(EXACT('Rule-Event map'!$F$2:$F$1477,$A199)*EXACT('Rule-Event map'!$G$2:$G$1477,$B199))</f>
        <v>1</v>
      </c>
      <c r="G199" s="5" t="n">
        <f aca="false">SUMPRODUCT(EXACT('Rule-Event map'!$F$2:$F$1477,$A199)*EXACT('Rule-Event map'!$G$2:$G$1477,$B199)*('Rule-Event map'!$C$2:$C$1477="New ITDR (7.6.0)"))</f>
        <v>0</v>
      </c>
      <c r="H199" s="5" t="n">
        <f aca="false">SUMPRODUCT(EXACT('Rule-Event map'!$F$2:$F$1477,$A199)*EXACT('Rule-Event map'!$G$2:$G$1477,$B199)*('Rule-Event map'!$C$2:$C$1477="Existing, re-tagged ITDR"))</f>
        <v>0</v>
      </c>
      <c r="I199" s="5" t="n">
        <f aca="false">F199-G199-H199</f>
        <v>1</v>
      </c>
      <c r="J199" s="5" t="n">
        <f aca="false">SUMPRODUCT(EXACT('Rule-Event map'!$F$2:$F$1477,$A199)*EXACT('Rule-Event map'!$G$2:$G$1477,$B199)*('Rule-Event map'!$E$2:$E$1477="Enabled"))</f>
        <v>0</v>
      </c>
      <c r="K199" s="2" t="s">
        <v>5009</v>
      </c>
    </row>
    <row r="200" customFormat="false" ht="15" hidden="false" customHeight="false" outlineLevel="0" collapsed="false">
      <c r="A200" s="5" t="s">
        <v>7670</v>
      </c>
      <c r="B200" s="2" t="s">
        <v>8136</v>
      </c>
      <c r="C200" s="5"/>
      <c r="D200" s="5"/>
      <c r="E200" s="5" t="s">
        <v>8336</v>
      </c>
      <c r="F200" s="5" t="n">
        <f aca="false">SUMPRODUCT(EXACT('Rule-Event map'!$F$2:$F$1477,$A200)*EXACT('Rule-Event map'!$G$2:$G$1477,$B200))</f>
        <v>1</v>
      </c>
      <c r="G200" s="5" t="n">
        <f aca="false">SUMPRODUCT(EXACT('Rule-Event map'!$F$2:$F$1477,$A200)*EXACT('Rule-Event map'!$G$2:$G$1477,$B200)*('Rule-Event map'!$C$2:$C$1477="New ITDR (7.6.0)"))</f>
        <v>0</v>
      </c>
      <c r="H200" s="5" t="n">
        <f aca="false">SUMPRODUCT(EXACT('Rule-Event map'!$F$2:$F$1477,$A200)*EXACT('Rule-Event map'!$G$2:$G$1477,$B200)*('Rule-Event map'!$C$2:$C$1477="Existing, re-tagged ITDR"))</f>
        <v>0</v>
      </c>
      <c r="I200" s="5" t="n">
        <f aca="false">F200-G200-H200</f>
        <v>1</v>
      </c>
      <c r="J200" s="5" t="n">
        <f aca="false">SUMPRODUCT(EXACT('Rule-Event map'!$F$2:$F$1477,$A200)*EXACT('Rule-Event map'!$G$2:$G$1477,$B200)*('Rule-Event map'!$E$2:$E$1477="Enabled"))</f>
        <v>1</v>
      </c>
      <c r="K200" s="2" t="s">
        <v>5814</v>
      </c>
    </row>
    <row r="201" customFormat="false" ht="15" hidden="false" customHeight="false" outlineLevel="0" collapsed="false">
      <c r="A201" s="5" t="s">
        <v>7670</v>
      </c>
      <c r="B201" s="2" t="s">
        <v>7937</v>
      </c>
      <c r="C201" s="5"/>
      <c r="D201" s="5"/>
      <c r="E201" s="5" t="s">
        <v>8336</v>
      </c>
      <c r="F201" s="5" t="n">
        <f aca="false">SUMPRODUCT(EXACT('Rule-Event map'!$F$2:$F$1477,$A201)*EXACT('Rule-Event map'!$G$2:$G$1477,$B201))</f>
        <v>1</v>
      </c>
      <c r="G201" s="5" t="n">
        <f aca="false">SUMPRODUCT(EXACT('Rule-Event map'!$F$2:$F$1477,$A201)*EXACT('Rule-Event map'!$G$2:$G$1477,$B201)*('Rule-Event map'!$C$2:$C$1477="New ITDR (7.6.0)"))</f>
        <v>0</v>
      </c>
      <c r="H201" s="5" t="n">
        <f aca="false">SUMPRODUCT(EXACT('Rule-Event map'!$F$2:$F$1477,$A201)*EXACT('Rule-Event map'!$G$2:$G$1477,$B201)*('Rule-Event map'!$C$2:$C$1477="Existing, re-tagged ITDR"))</f>
        <v>0</v>
      </c>
      <c r="I201" s="5" t="n">
        <f aca="false">F201-G201-H201</f>
        <v>1</v>
      </c>
      <c r="J201" s="5" t="n">
        <f aca="false">SUMPRODUCT(EXACT('Rule-Event map'!$F$2:$F$1477,$A201)*EXACT('Rule-Event map'!$G$2:$G$1477,$B201)*('Rule-Event map'!$E$2:$E$1477="Enabled"))</f>
        <v>0</v>
      </c>
      <c r="K201" s="2" t="s">
        <v>5171</v>
      </c>
    </row>
    <row r="202" customFormat="false" ht="15" hidden="false" customHeight="false" outlineLevel="0" collapsed="false">
      <c r="A202" s="5" t="s">
        <v>7670</v>
      </c>
      <c r="B202" s="2" t="s">
        <v>7909</v>
      </c>
      <c r="C202" s="5"/>
      <c r="D202" s="5"/>
      <c r="E202" s="5" t="s">
        <v>8336</v>
      </c>
      <c r="F202" s="5" t="n">
        <f aca="false">SUMPRODUCT(EXACT('Rule-Event map'!$F$2:$F$1477,$A202)*EXACT('Rule-Event map'!$G$2:$G$1477,$B202))</f>
        <v>1</v>
      </c>
      <c r="G202" s="5" t="n">
        <f aca="false">SUMPRODUCT(EXACT('Rule-Event map'!$F$2:$F$1477,$A202)*EXACT('Rule-Event map'!$G$2:$G$1477,$B202)*('Rule-Event map'!$C$2:$C$1477="New ITDR (7.6.0)"))</f>
        <v>0</v>
      </c>
      <c r="H202" s="5" t="n">
        <f aca="false">SUMPRODUCT(EXACT('Rule-Event map'!$F$2:$F$1477,$A202)*EXACT('Rule-Event map'!$G$2:$G$1477,$B202)*('Rule-Event map'!$C$2:$C$1477="Existing, re-tagged ITDR"))</f>
        <v>0</v>
      </c>
      <c r="I202" s="5" t="n">
        <f aca="false">F202-G202-H202</f>
        <v>1</v>
      </c>
      <c r="J202" s="5" t="n">
        <f aca="false">SUMPRODUCT(EXACT('Rule-Event map'!$F$2:$F$1477,$A202)*EXACT('Rule-Event map'!$G$2:$G$1477,$B202)*('Rule-Event map'!$E$2:$E$1477="Enabled"))</f>
        <v>1</v>
      </c>
      <c r="K202" s="2" t="s">
        <v>5071</v>
      </c>
    </row>
    <row r="203" customFormat="false" ht="15" hidden="false" customHeight="false" outlineLevel="0" collapsed="false">
      <c r="A203" s="5" t="s">
        <v>7670</v>
      </c>
      <c r="B203" s="2" t="s">
        <v>8198</v>
      </c>
      <c r="C203" s="5"/>
      <c r="D203" s="5"/>
      <c r="E203" s="5" t="s">
        <v>8336</v>
      </c>
      <c r="F203" s="5" t="n">
        <f aca="false">SUMPRODUCT(EXACT('Rule-Event map'!$F$2:$F$1477,$A203)*EXACT('Rule-Event map'!$G$2:$G$1477,$B203))</f>
        <v>1</v>
      </c>
      <c r="G203" s="5" t="n">
        <f aca="false">SUMPRODUCT(EXACT('Rule-Event map'!$F$2:$F$1477,$A203)*EXACT('Rule-Event map'!$G$2:$G$1477,$B203)*('Rule-Event map'!$C$2:$C$1477="New ITDR (7.6.0)"))</f>
        <v>0</v>
      </c>
      <c r="H203" s="5" t="n">
        <f aca="false">SUMPRODUCT(EXACT('Rule-Event map'!$F$2:$F$1477,$A203)*EXACT('Rule-Event map'!$G$2:$G$1477,$B203)*('Rule-Event map'!$C$2:$C$1477="Existing, re-tagged ITDR"))</f>
        <v>0</v>
      </c>
      <c r="I203" s="5" t="n">
        <f aca="false">F203-G203-H203</f>
        <v>1</v>
      </c>
      <c r="J203" s="5" t="n">
        <f aca="false">SUMPRODUCT(EXACT('Rule-Event map'!$F$2:$F$1477,$A203)*EXACT('Rule-Event map'!$G$2:$G$1477,$B203)*('Rule-Event map'!$E$2:$E$1477="Enabled"))</f>
        <v>1</v>
      </c>
      <c r="K203" s="2" t="s">
        <v>5996</v>
      </c>
    </row>
    <row r="204" customFormat="false" ht="15" hidden="false" customHeight="false" outlineLevel="0" collapsed="false">
      <c r="A204" s="5" t="s">
        <v>7670</v>
      </c>
      <c r="B204" s="2" t="s">
        <v>7992</v>
      </c>
      <c r="C204" s="5"/>
      <c r="D204" s="5"/>
      <c r="E204" s="5" t="s">
        <v>8336</v>
      </c>
      <c r="F204" s="5" t="n">
        <f aca="false">SUMPRODUCT(EXACT('Rule-Event map'!$F$2:$F$1477,$A204)*EXACT('Rule-Event map'!$G$2:$G$1477,$B204))</f>
        <v>1</v>
      </c>
      <c r="G204" s="5" t="n">
        <f aca="false">SUMPRODUCT(EXACT('Rule-Event map'!$F$2:$F$1477,$A204)*EXACT('Rule-Event map'!$G$2:$G$1477,$B204)*('Rule-Event map'!$C$2:$C$1477="New ITDR (7.6.0)"))</f>
        <v>0</v>
      </c>
      <c r="H204" s="5" t="n">
        <f aca="false">SUMPRODUCT(EXACT('Rule-Event map'!$F$2:$F$1477,$A204)*EXACT('Rule-Event map'!$G$2:$G$1477,$B204)*('Rule-Event map'!$C$2:$C$1477="Existing, re-tagged ITDR"))</f>
        <v>0</v>
      </c>
      <c r="I204" s="5" t="n">
        <f aca="false">F204-G204-H204</f>
        <v>1</v>
      </c>
      <c r="J204" s="5" t="n">
        <f aca="false">SUMPRODUCT(EXACT('Rule-Event map'!$F$2:$F$1477,$A204)*EXACT('Rule-Event map'!$G$2:$G$1477,$B204)*('Rule-Event map'!$E$2:$E$1477="Enabled"))</f>
        <v>1</v>
      </c>
      <c r="K204" s="2" t="s">
        <v>5360</v>
      </c>
    </row>
    <row r="205" customFormat="false" ht="15" hidden="false" customHeight="false" outlineLevel="0" collapsed="false">
      <c r="A205" s="5" t="s">
        <v>7670</v>
      </c>
      <c r="B205" s="2" t="s">
        <v>7939</v>
      </c>
      <c r="C205" s="5"/>
      <c r="D205" s="5"/>
      <c r="E205" s="5" t="s">
        <v>8336</v>
      </c>
      <c r="F205" s="5" t="n">
        <f aca="false">SUMPRODUCT(EXACT('Rule-Event map'!$F$2:$F$1477,$A205)*EXACT('Rule-Event map'!$G$2:$G$1477,$B205))</f>
        <v>1</v>
      </c>
      <c r="G205" s="5" t="n">
        <f aca="false">SUMPRODUCT(EXACT('Rule-Event map'!$F$2:$F$1477,$A205)*EXACT('Rule-Event map'!$G$2:$G$1477,$B205)*('Rule-Event map'!$C$2:$C$1477="New ITDR (7.6.0)"))</f>
        <v>0</v>
      </c>
      <c r="H205" s="5" t="n">
        <f aca="false">SUMPRODUCT(EXACT('Rule-Event map'!$F$2:$F$1477,$A205)*EXACT('Rule-Event map'!$G$2:$G$1477,$B205)*('Rule-Event map'!$C$2:$C$1477="Existing, re-tagged ITDR"))</f>
        <v>0</v>
      </c>
      <c r="I205" s="5" t="n">
        <f aca="false">F205-G205-H205</f>
        <v>1</v>
      </c>
      <c r="J205" s="5" t="n">
        <f aca="false">SUMPRODUCT(EXACT('Rule-Event map'!$F$2:$F$1477,$A205)*EXACT('Rule-Event map'!$G$2:$G$1477,$B205)*('Rule-Event map'!$E$2:$E$1477="Enabled"))</f>
        <v>1</v>
      </c>
      <c r="K205" s="2" t="s">
        <v>5187</v>
      </c>
    </row>
    <row r="206" customFormat="false" ht="15" hidden="false" customHeight="false" outlineLevel="0" collapsed="false">
      <c r="A206" s="5" t="s">
        <v>7670</v>
      </c>
      <c r="B206" s="2" t="s">
        <v>8012</v>
      </c>
      <c r="C206" s="5"/>
      <c r="D206" s="5"/>
      <c r="E206" s="5" t="s">
        <v>8336</v>
      </c>
      <c r="F206" s="5" t="n">
        <f aca="false">SUMPRODUCT(EXACT('Rule-Event map'!$F$2:$F$1477,$A206)*EXACT('Rule-Event map'!$G$2:$G$1477,$B206))</f>
        <v>1</v>
      </c>
      <c r="G206" s="5" t="n">
        <f aca="false">SUMPRODUCT(EXACT('Rule-Event map'!$F$2:$F$1477,$A206)*EXACT('Rule-Event map'!$G$2:$G$1477,$B206)*('Rule-Event map'!$C$2:$C$1477="New ITDR (7.6.0)"))</f>
        <v>0</v>
      </c>
      <c r="H206" s="5" t="n">
        <f aca="false">SUMPRODUCT(EXACT('Rule-Event map'!$F$2:$F$1477,$A206)*EXACT('Rule-Event map'!$G$2:$G$1477,$B206)*('Rule-Event map'!$C$2:$C$1477="Existing, re-tagged ITDR"))</f>
        <v>0</v>
      </c>
      <c r="I206" s="5" t="n">
        <f aca="false">F206-G206-H206</f>
        <v>1</v>
      </c>
      <c r="J206" s="5" t="n">
        <f aca="false">SUMPRODUCT(EXACT('Rule-Event map'!$F$2:$F$1477,$A206)*EXACT('Rule-Event map'!$G$2:$G$1477,$B206)*('Rule-Event map'!$E$2:$E$1477="Enabled"))</f>
        <v>0</v>
      </c>
      <c r="K206" s="2" t="s">
        <v>5424</v>
      </c>
    </row>
    <row r="207" customFormat="false" ht="15" hidden="false" customHeight="false" outlineLevel="0" collapsed="false">
      <c r="A207" s="5" t="s">
        <v>7670</v>
      </c>
      <c r="B207" s="2" t="s">
        <v>8030</v>
      </c>
      <c r="C207" s="5"/>
      <c r="D207" s="5"/>
      <c r="E207" s="5" t="s">
        <v>8336</v>
      </c>
      <c r="F207" s="5" t="n">
        <f aca="false">SUMPRODUCT(EXACT('Rule-Event map'!$F$2:$F$1477,$A207)*EXACT('Rule-Event map'!$G$2:$G$1477,$B207))</f>
        <v>1</v>
      </c>
      <c r="G207" s="5" t="n">
        <f aca="false">SUMPRODUCT(EXACT('Rule-Event map'!$F$2:$F$1477,$A207)*EXACT('Rule-Event map'!$G$2:$G$1477,$B207)*('Rule-Event map'!$C$2:$C$1477="New ITDR (7.6.0)"))</f>
        <v>0</v>
      </c>
      <c r="H207" s="5" t="n">
        <f aca="false">SUMPRODUCT(EXACT('Rule-Event map'!$F$2:$F$1477,$A207)*EXACT('Rule-Event map'!$G$2:$G$1477,$B207)*('Rule-Event map'!$C$2:$C$1477="Existing, re-tagged ITDR"))</f>
        <v>0</v>
      </c>
      <c r="I207" s="5" t="n">
        <f aca="false">F207-G207-H207</f>
        <v>1</v>
      </c>
      <c r="J207" s="5" t="n">
        <f aca="false">SUMPRODUCT(EXACT('Rule-Event map'!$F$2:$F$1477,$A207)*EXACT('Rule-Event map'!$G$2:$G$1477,$B207)*('Rule-Event map'!$E$2:$E$1477="Enabled"))</f>
        <v>1</v>
      </c>
      <c r="K207" s="2" t="s">
        <v>5495</v>
      </c>
    </row>
    <row r="208" customFormat="false" ht="15" hidden="false" customHeight="false" outlineLevel="0" collapsed="false">
      <c r="A208" s="5" t="s">
        <v>7670</v>
      </c>
      <c r="B208" s="2" t="s">
        <v>8072</v>
      </c>
      <c r="C208" s="5"/>
      <c r="D208" s="5"/>
      <c r="E208" s="5" t="s">
        <v>8336</v>
      </c>
      <c r="F208" s="5" t="n">
        <f aca="false">SUMPRODUCT(EXACT('Rule-Event map'!$F$2:$F$1477,$A208)*EXACT('Rule-Event map'!$G$2:$G$1477,$B208))</f>
        <v>1</v>
      </c>
      <c r="G208" s="5" t="n">
        <f aca="false">SUMPRODUCT(EXACT('Rule-Event map'!$F$2:$F$1477,$A208)*EXACT('Rule-Event map'!$G$2:$G$1477,$B208)*('Rule-Event map'!$C$2:$C$1477="New ITDR (7.6.0)"))</f>
        <v>0</v>
      </c>
      <c r="H208" s="5" t="n">
        <f aca="false">SUMPRODUCT(EXACT('Rule-Event map'!$F$2:$F$1477,$A208)*EXACT('Rule-Event map'!$G$2:$G$1477,$B208)*('Rule-Event map'!$C$2:$C$1477="Existing, re-tagged ITDR"))</f>
        <v>0</v>
      </c>
      <c r="I208" s="5" t="n">
        <f aca="false">F208-G208-H208</f>
        <v>1</v>
      </c>
      <c r="J208" s="5" t="n">
        <f aca="false">SUMPRODUCT(EXACT('Rule-Event map'!$F$2:$F$1477,$A208)*EXACT('Rule-Event map'!$G$2:$G$1477,$B208)*('Rule-Event map'!$E$2:$E$1477="Enabled"))</f>
        <v>1</v>
      </c>
      <c r="K208" s="2" t="s">
        <v>5637</v>
      </c>
    </row>
    <row r="209" customFormat="false" ht="15" hidden="false" customHeight="false" outlineLevel="0" collapsed="false">
      <c r="A209" s="5" t="s">
        <v>7670</v>
      </c>
      <c r="B209" s="2" t="s">
        <v>8158</v>
      </c>
      <c r="C209" s="5"/>
      <c r="D209" s="5"/>
      <c r="E209" s="5" t="s">
        <v>8336</v>
      </c>
      <c r="F209" s="5" t="n">
        <f aca="false">SUMPRODUCT(EXACT('Rule-Event map'!$F$2:$F$1477,$A209)*EXACT('Rule-Event map'!$G$2:$G$1477,$B209))</f>
        <v>1</v>
      </c>
      <c r="G209" s="5" t="n">
        <f aca="false">SUMPRODUCT(EXACT('Rule-Event map'!$F$2:$F$1477,$A209)*EXACT('Rule-Event map'!$G$2:$G$1477,$B209)*('Rule-Event map'!$C$2:$C$1477="New ITDR (7.6.0)"))</f>
        <v>0</v>
      </c>
      <c r="H209" s="5" t="n">
        <f aca="false">SUMPRODUCT(EXACT('Rule-Event map'!$F$2:$F$1477,$A209)*EXACT('Rule-Event map'!$G$2:$G$1477,$B209)*('Rule-Event map'!$C$2:$C$1477="Existing, re-tagged ITDR"))</f>
        <v>0</v>
      </c>
      <c r="I209" s="5" t="n">
        <f aca="false">F209-G209-H209</f>
        <v>1</v>
      </c>
      <c r="J209" s="5" t="n">
        <f aca="false">SUMPRODUCT(EXACT('Rule-Event map'!$F$2:$F$1477,$A209)*EXACT('Rule-Event map'!$G$2:$G$1477,$B209)*('Rule-Event map'!$E$2:$E$1477="Enabled"))</f>
        <v>1</v>
      </c>
      <c r="K209" s="2" t="s">
        <v>5885</v>
      </c>
    </row>
    <row r="210" customFormat="false" ht="15" hidden="false" customHeight="false" outlineLevel="0" collapsed="false">
      <c r="A210" s="5" t="s">
        <v>7670</v>
      </c>
      <c r="B210" s="2" t="s">
        <v>8048</v>
      </c>
      <c r="C210" s="5"/>
      <c r="D210" s="5"/>
      <c r="E210" s="5" t="s">
        <v>8336</v>
      </c>
      <c r="F210" s="5" t="n">
        <f aca="false">SUMPRODUCT(EXACT('Rule-Event map'!$F$2:$F$1477,$A210)*EXACT('Rule-Event map'!$G$2:$G$1477,$B210))</f>
        <v>1</v>
      </c>
      <c r="G210" s="5" t="n">
        <f aca="false">SUMPRODUCT(EXACT('Rule-Event map'!$F$2:$F$1477,$A210)*EXACT('Rule-Event map'!$G$2:$G$1477,$B210)*('Rule-Event map'!$C$2:$C$1477="New ITDR (7.6.0)"))</f>
        <v>0</v>
      </c>
      <c r="H210" s="5" t="n">
        <f aca="false">SUMPRODUCT(EXACT('Rule-Event map'!$F$2:$F$1477,$A210)*EXACT('Rule-Event map'!$G$2:$G$1477,$B210)*('Rule-Event map'!$C$2:$C$1477="Existing, re-tagged ITDR"))</f>
        <v>0</v>
      </c>
      <c r="I210" s="5" t="n">
        <f aca="false">F210-G210-H210</f>
        <v>1</v>
      </c>
      <c r="J210" s="5" t="n">
        <f aca="false">SUMPRODUCT(EXACT('Rule-Event map'!$F$2:$F$1477,$A210)*EXACT('Rule-Event map'!$G$2:$G$1477,$B210)*('Rule-Event map'!$E$2:$E$1477="Enabled"))</f>
        <v>1</v>
      </c>
      <c r="K210" s="2" t="s">
        <v>5577</v>
      </c>
    </row>
    <row r="211" customFormat="false" ht="15" hidden="false" customHeight="false" outlineLevel="0" collapsed="false">
      <c r="A211" s="5" t="s">
        <v>7670</v>
      </c>
      <c r="B211" s="2" t="s">
        <v>7895</v>
      </c>
      <c r="C211" s="5"/>
      <c r="D211" s="5"/>
      <c r="E211" s="5" t="s">
        <v>8336</v>
      </c>
      <c r="F211" s="5" t="n">
        <f aca="false">SUMPRODUCT(EXACT('Rule-Event map'!$F$2:$F$1477,$A211)*EXACT('Rule-Event map'!$G$2:$G$1477,$B211))</f>
        <v>1</v>
      </c>
      <c r="G211" s="5" t="n">
        <f aca="false">SUMPRODUCT(EXACT('Rule-Event map'!$F$2:$F$1477,$A211)*EXACT('Rule-Event map'!$G$2:$G$1477,$B211)*('Rule-Event map'!$C$2:$C$1477="New ITDR (7.6.0)"))</f>
        <v>0</v>
      </c>
      <c r="H211" s="5" t="n">
        <f aca="false">SUMPRODUCT(EXACT('Rule-Event map'!$F$2:$F$1477,$A211)*EXACT('Rule-Event map'!$G$2:$G$1477,$B211)*('Rule-Event map'!$C$2:$C$1477="Existing, re-tagged ITDR"))</f>
        <v>0</v>
      </c>
      <c r="I211" s="5" t="n">
        <f aca="false">F211-G211-H211</f>
        <v>1</v>
      </c>
      <c r="J211" s="5" t="n">
        <f aca="false">SUMPRODUCT(EXACT('Rule-Event map'!$F$2:$F$1477,$A211)*EXACT('Rule-Event map'!$G$2:$G$1477,$B211)*('Rule-Event map'!$E$2:$E$1477="Enabled"))</f>
        <v>1</v>
      </c>
      <c r="K211" s="2" t="s">
        <v>5002</v>
      </c>
    </row>
    <row r="212" customFormat="false" ht="23.85" hidden="false" customHeight="false" outlineLevel="0" collapsed="false">
      <c r="A212" s="5" t="s">
        <v>7670</v>
      </c>
      <c r="B212" s="2" t="s">
        <v>7905</v>
      </c>
      <c r="C212" s="5"/>
      <c r="D212" s="5"/>
      <c r="E212" s="5" t="s">
        <v>8336</v>
      </c>
      <c r="F212" s="5" t="n">
        <f aca="false">SUMPRODUCT(EXACT('Rule-Event map'!$F$2:$F$1477,$A212)*EXACT('Rule-Event map'!$G$2:$G$1477,$B212))</f>
        <v>1</v>
      </c>
      <c r="G212" s="5" t="n">
        <f aca="false">SUMPRODUCT(EXACT('Rule-Event map'!$F$2:$F$1477,$A212)*EXACT('Rule-Event map'!$G$2:$G$1477,$B212)*('Rule-Event map'!$C$2:$C$1477="New ITDR (7.6.0)"))</f>
        <v>0</v>
      </c>
      <c r="H212" s="5" t="n">
        <f aca="false">SUMPRODUCT(EXACT('Rule-Event map'!$F$2:$F$1477,$A212)*EXACT('Rule-Event map'!$G$2:$G$1477,$B212)*('Rule-Event map'!$C$2:$C$1477="Existing, re-tagged ITDR"))</f>
        <v>0</v>
      </c>
      <c r="I212" s="5" t="n">
        <f aca="false">F212-G212-H212</f>
        <v>1</v>
      </c>
      <c r="J212" s="5" t="n">
        <f aca="false">SUMPRODUCT(EXACT('Rule-Event map'!$F$2:$F$1477,$A212)*EXACT('Rule-Event map'!$G$2:$G$1477,$B212)*('Rule-Event map'!$E$2:$E$1477="Enabled"))</f>
        <v>1</v>
      </c>
      <c r="K212" s="2" t="s">
        <v>5033</v>
      </c>
    </row>
    <row r="213" customFormat="false" ht="23.85" hidden="false" customHeight="false" outlineLevel="0" collapsed="false">
      <c r="A213" s="5" t="s">
        <v>7670</v>
      </c>
      <c r="B213" s="2" t="s">
        <v>8088</v>
      </c>
      <c r="C213" s="5"/>
      <c r="D213" s="5"/>
      <c r="E213" s="5" t="s">
        <v>8336</v>
      </c>
      <c r="F213" s="5" t="n">
        <f aca="false">SUMPRODUCT(EXACT('Rule-Event map'!$F$2:$F$1477,$A213)*EXACT('Rule-Event map'!$G$2:$G$1477,$B213))</f>
        <v>1</v>
      </c>
      <c r="G213" s="5" t="n">
        <f aca="false">SUMPRODUCT(EXACT('Rule-Event map'!$F$2:$F$1477,$A213)*EXACT('Rule-Event map'!$G$2:$G$1477,$B213)*('Rule-Event map'!$C$2:$C$1477="New ITDR (7.6.0)"))</f>
        <v>0</v>
      </c>
      <c r="H213" s="5" t="n">
        <f aca="false">SUMPRODUCT(EXACT('Rule-Event map'!$F$2:$F$1477,$A213)*EXACT('Rule-Event map'!$G$2:$G$1477,$B213)*('Rule-Event map'!$C$2:$C$1477="Existing, re-tagged ITDR"))</f>
        <v>0</v>
      </c>
      <c r="I213" s="5" t="n">
        <f aca="false">F213-G213-H213</f>
        <v>1</v>
      </c>
      <c r="J213" s="5" t="n">
        <f aca="false">SUMPRODUCT(EXACT('Rule-Event map'!$F$2:$F$1477,$A213)*EXACT('Rule-Event map'!$G$2:$G$1477,$B213)*('Rule-Event map'!$E$2:$E$1477="Enabled"))</f>
        <v>1</v>
      </c>
      <c r="K213" s="2" t="s">
        <v>5678</v>
      </c>
    </row>
    <row r="214" customFormat="false" ht="15" hidden="false" customHeight="false" outlineLevel="0" collapsed="false">
      <c r="A214" s="5" t="s">
        <v>7670</v>
      </c>
      <c r="B214" s="2" t="s">
        <v>8200</v>
      </c>
      <c r="C214" s="5"/>
      <c r="D214" s="5"/>
      <c r="E214" s="5" t="s">
        <v>8336</v>
      </c>
      <c r="F214" s="5" t="n">
        <f aca="false">SUMPRODUCT(EXACT('Rule-Event map'!$F$2:$F$1477,$A214)*EXACT('Rule-Event map'!$G$2:$G$1477,$B214))</f>
        <v>1</v>
      </c>
      <c r="G214" s="5" t="n">
        <f aca="false">SUMPRODUCT(EXACT('Rule-Event map'!$F$2:$F$1477,$A214)*EXACT('Rule-Event map'!$G$2:$G$1477,$B214)*('Rule-Event map'!$C$2:$C$1477="New ITDR (7.6.0)"))</f>
        <v>0</v>
      </c>
      <c r="H214" s="5" t="n">
        <f aca="false">SUMPRODUCT(EXACT('Rule-Event map'!$F$2:$F$1477,$A214)*EXACT('Rule-Event map'!$G$2:$G$1477,$B214)*('Rule-Event map'!$C$2:$C$1477="Existing, re-tagged ITDR"))</f>
        <v>0</v>
      </c>
      <c r="I214" s="5" t="n">
        <f aca="false">F214-G214-H214</f>
        <v>1</v>
      </c>
      <c r="J214" s="5" t="n">
        <f aca="false">SUMPRODUCT(EXACT('Rule-Event map'!$F$2:$F$1477,$A214)*EXACT('Rule-Event map'!$G$2:$G$1477,$B214)*('Rule-Event map'!$E$2:$E$1477="Enabled"))</f>
        <v>1</v>
      </c>
      <c r="K214" s="2" t="s">
        <v>6007</v>
      </c>
    </row>
    <row r="215" customFormat="false" ht="15" hidden="false" customHeight="false" outlineLevel="0" collapsed="false">
      <c r="A215" s="5" t="s">
        <v>7670</v>
      </c>
      <c r="B215" s="2" t="s">
        <v>8094</v>
      </c>
      <c r="C215" s="5"/>
      <c r="D215" s="5"/>
      <c r="E215" s="5" t="s">
        <v>8336</v>
      </c>
      <c r="F215" s="5" t="n">
        <f aca="false">SUMPRODUCT(EXACT('Rule-Event map'!$F$2:$F$1477,$A215)*EXACT('Rule-Event map'!$G$2:$G$1477,$B215))</f>
        <v>1</v>
      </c>
      <c r="G215" s="5" t="n">
        <f aca="false">SUMPRODUCT(EXACT('Rule-Event map'!$F$2:$F$1477,$A215)*EXACT('Rule-Event map'!$G$2:$G$1477,$B215)*('Rule-Event map'!$C$2:$C$1477="New ITDR (7.6.0)"))</f>
        <v>0</v>
      </c>
      <c r="H215" s="5" t="n">
        <f aca="false">SUMPRODUCT(EXACT('Rule-Event map'!$F$2:$F$1477,$A215)*EXACT('Rule-Event map'!$G$2:$G$1477,$B215)*('Rule-Event map'!$C$2:$C$1477="Existing, re-tagged ITDR"))</f>
        <v>0</v>
      </c>
      <c r="I215" s="5" t="n">
        <f aca="false">F215-G215-H215</f>
        <v>1</v>
      </c>
      <c r="J215" s="5" t="n">
        <f aca="false">SUMPRODUCT(EXACT('Rule-Event map'!$F$2:$F$1477,$A215)*EXACT('Rule-Event map'!$G$2:$G$1477,$B215)*('Rule-Event map'!$E$2:$E$1477="Enabled"))</f>
        <v>1</v>
      </c>
      <c r="K215" s="2" t="s">
        <v>5703</v>
      </c>
    </row>
    <row r="216" customFormat="false" ht="15" hidden="false" customHeight="false" outlineLevel="0" collapsed="false">
      <c r="A216" s="5" t="s">
        <v>7670</v>
      </c>
      <c r="B216" s="2" t="s">
        <v>8096</v>
      </c>
      <c r="C216" s="5"/>
      <c r="D216" s="5"/>
      <c r="E216" s="5" t="s">
        <v>8336</v>
      </c>
      <c r="F216" s="5" t="n">
        <f aca="false">SUMPRODUCT(EXACT('Rule-Event map'!$F$2:$F$1477,$A216)*EXACT('Rule-Event map'!$G$2:$G$1477,$B216))</f>
        <v>1</v>
      </c>
      <c r="G216" s="5" t="n">
        <f aca="false">SUMPRODUCT(EXACT('Rule-Event map'!$F$2:$F$1477,$A216)*EXACT('Rule-Event map'!$G$2:$G$1477,$B216)*('Rule-Event map'!$C$2:$C$1477="New ITDR (7.6.0)"))</f>
        <v>0</v>
      </c>
      <c r="H216" s="5" t="n">
        <f aca="false">SUMPRODUCT(EXACT('Rule-Event map'!$F$2:$F$1477,$A216)*EXACT('Rule-Event map'!$G$2:$G$1477,$B216)*('Rule-Event map'!$C$2:$C$1477="Existing, re-tagged ITDR"))</f>
        <v>0</v>
      </c>
      <c r="I216" s="5" t="n">
        <f aca="false">F216-G216-H216</f>
        <v>1</v>
      </c>
      <c r="J216" s="5" t="n">
        <f aca="false">SUMPRODUCT(EXACT('Rule-Event map'!$F$2:$F$1477,$A216)*EXACT('Rule-Event map'!$G$2:$G$1477,$B216)*('Rule-Event map'!$E$2:$E$1477="Enabled"))</f>
        <v>1</v>
      </c>
      <c r="K216" s="2" t="s">
        <v>5703</v>
      </c>
    </row>
    <row r="217" customFormat="false" ht="23.85" hidden="false" customHeight="false" outlineLevel="0" collapsed="false">
      <c r="A217" s="5" t="s">
        <v>7670</v>
      </c>
      <c r="B217" s="2" t="s">
        <v>8050</v>
      </c>
      <c r="C217" s="5"/>
      <c r="D217" s="5"/>
      <c r="E217" s="5" t="s">
        <v>8336</v>
      </c>
      <c r="F217" s="5" t="n">
        <f aca="false">SUMPRODUCT(EXACT('Rule-Event map'!$F$2:$F$1477,$A217)*EXACT('Rule-Event map'!$G$2:$G$1477,$B217))</f>
        <v>1</v>
      </c>
      <c r="G217" s="5" t="n">
        <f aca="false">SUMPRODUCT(EXACT('Rule-Event map'!$F$2:$F$1477,$A217)*EXACT('Rule-Event map'!$G$2:$G$1477,$B217)*('Rule-Event map'!$C$2:$C$1477="New ITDR (7.6.0)"))</f>
        <v>0</v>
      </c>
      <c r="H217" s="5" t="n">
        <f aca="false">SUMPRODUCT(EXACT('Rule-Event map'!$F$2:$F$1477,$A217)*EXACT('Rule-Event map'!$G$2:$G$1477,$B217)*('Rule-Event map'!$C$2:$C$1477="Existing, re-tagged ITDR"))</f>
        <v>0</v>
      </c>
      <c r="I217" s="5" t="n">
        <f aca="false">F217-G217-H217</f>
        <v>1</v>
      </c>
      <c r="J217" s="5" t="n">
        <f aca="false">SUMPRODUCT(EXACT('Rule-Event map'!$F$2:$F$1477,$A217)*EXACT('Rule-Event map'!$G$2:$G$1477,$B217)*('Rule-Event map'!$E$2:$E$1477="Enabled"))</f>
        <v>1</v>
      </c>
      <c r="K217" s="2" t="s">
        <v>5589</v>
      </c>
    </row>
    <row r="218" customFormat="false" ht="15" hidden="false" customHeight="false" outlineLevel="0" collapsed="false">
      <c r="A218" s="5" t="s">
        <v>7670</v>
      </c>
      <c r="B218" s="2" t="s">
        <v>7921</v>
      </c>
      <c r="C218" s="5"/>
      <c r="D218" s="5"/>
      <c r="E218" s="5" t="s">
        <v>8336</v>
      </c>
      <c r="F218" s="5" t="n">
        <f aca="false">SUMPRODUCT(EXACT('Rule-Event map'!$F$2:$F$1477,$A218)*EXACT('Rule-Event map'!$G$2:$G$1477,$B218))</f>
        <v>1</v>
      </c>
      <c r="G218" s="5" t="n">
        <f aca="false">SUMPRODUCT(EXACT('Rule-Event map'!$F$2:$F$1477,$A218)*EXACT('Rule-Event map'!$G$2:$G$1477,$B218)*('Rule-Event map'!$C$2:$C$1477="New ITDR (7.6.0)"))</f>
        <v>0</v>
      </c>
      <c r="H218" s="5" t="n">
        <f aca="false">SUMPRODUCT(EXACT('Rule-Event map'!$F$2:$F$1477,$A218)*EXACT('Rule-Event map'!$G$2:$G$1477,$B218)*('Rule-Event map'!$C$2:$C$1477="Existing, re-tagged ITDR"))</f>
        <v>0</v>
      </c>
      <c r="I218" s="5" t="n">
        <f aca="false">F218-G218-H218</f>
        <v>1</v>
      </c>
      <c r="J218" s="5" t="n">
        <f aca="false">SUMPRODUCT(EXACT('Rule-Event map'!$F$2:$F$1477,$A218)*EXACT('Rule-Event map'!$G$2:$G$1477,$B218)*('Rule-Event map'!$E$2:$E$1477="Enabled"))</f>
        <v>1</v>
      </c>
      <c r="K218" s="2" t="s">
        <v>5107</v>
      </c>
    </row>
    <row r="219" customFormat="false" ht="23.85" hidden="false" customHeight="false" outlineLevel="0" collapsed="false">
      <c r="A219" s="5" t="s">
        <v>7670</v>
      </c>
      <c r="B219" s="2" t="s">
        <v>8166</v>
      </c>
      <c r="C219" s="5"/>
      <c r="D219" s="5"/>
      <c r="E219" s="5" t="s">
        <v>8336</v>
      </c>
      <c r="F219" s="5" t="n">
        <f aca="false">SUMPRODUCT(EXACT('Rule-Event map'!$F$2:$F$1477,$A219)*EXACT('Rule-Event map'!$G$2:$G$1477,$B219))</f>
        <v>1</v>
      </c>
      <c r="G219" s="5" t="n">
        <f aca="false">SUMPRODUCT(EXACT('Rule-Event map'!$F$2:$F$1477,$A219)*EXACT('Rule-Event map'!$G$2:$G$1477,$B219)*('Rule-Event map'!$C$2:$C$1477="New ITDR (7.6.0)"))</f>
        <v>0</v>
      </c>
      <c r="H219" s="5" t="n">
        <f aca="false">SUMPRODUCT(EXACT('Rule-Event map'!$F$2:$F$1477,$A219)*EXACT('Rule-Event map'!$G$2:$G$1477,$B219)*('Rule-Event map'!$C$2:$C$1477="Existing, re-tagged ITDR"))</f>
        <v>0</v>
      </c>
      <c r="I219" s="5" t="n">
        <f aca="false">F219-G219-H219</f>
        <v>1</v>
      </c>
      <c r="J219" s="5" t="n">
        <f aca="false">SUMPRODUCT(EXACT('Rule-Event map'!$F$2:$F$1477,$A219)*EXACT('Rule-Event map'!$G$2:$G$1477,$B219)*('Rule-Event map'!$E$2:$E$1477="Enabled"))</f>
        <v>1</v>
      </c>
      <c r="K219" s="2" t="s">
        <v>5905</v>
      </c>
    </row>
    <row r="220" customFormat="false" ht="15" hidden="false" customHeight="false" outlineLevel="0" collapsed="false">
      <c r="A220" s="5" t="s">
        <v>7670</v>
      </c>
      <c r="B220" s="2" t="s">
        <v>7899</v>
      </c>
      <c r="C220" s="5"/>
      <c r="D220" s="5"/>
      <c r="E220" s="5" t="s">
        <v>8336</v>
      </c>
      <c r="F220" s="5" t="n">
        <f aca="false">SUMPRODUCT(EXACT('Rule-Event map'!$F$2:$F$1477,$A220)*EXACT('Rule-Event map'!$G$2:$G$1477,$B220))</f>
        <v>1</v>
      </c>
      <c r="G220" s="5" t="n">
        <f aca="false">SUMPRODUCT(EXACT('Rule-Event map'!$F$2:$F$1477,$A220)*EXACT('Rule-Event map'!$G$2:$G$1477,$B220)*('Rule-Event map'!$C$2:$C$1477="New ITDR (7.6.0)"))</f>
        <v>0</v>
      </c>
      <c r="H220" s="5" t="n">
        <f aca="false">SUMPRODUCT(EXACT('Rule-Event map'!$F$2:$F$1477,$A220)*EXACT('Rule-Event map'!$G$2:$G$1477,$B220)*('Rule-Event map'!$C$2:$C$1477="Existing, re-tagged ITDR"))</f>
        <v>0</v>
      </c>
      <c r="I220" s="5" t="n">
        <f aca="false">F220-G220-H220</f>
        <v>1</v>
      </c>
      <c r="J220" s="5" t="n">
        <f aca="false">SUMPRODUCT(EXACT('Rule-Event map'!$F$2:$F$1477,$A220)*EXACT('Rule-Event map'!$G$2:$G$1477,$B220)*('Rule-Event map'!$E$2:$E$1477="Enabled"))</f>
        <v>1</v>
      </c>
      <c r="K220" s="2" t="s">
        <v>5021</v>
      </c>
    </row>
    <row r="221" customFormat="false" ht="23.85" hidden="false" customHeight="false" outlineLevel="0" collapsed="false">
      <c r="A221" s="5" t="s">
        <v>7670</v>
      </c>
      <c r="B221" s="2" t="s">
        <v>8178</v>
      </c>
      <c r="C221" s="5"/>
      <c r="D221" s="5"/>
      <c r="E221" s="5" t="s">
        <v>8336</v>
      </c>
      <c r="F221" s="5" t="n">
        <f aca="false">SUMPRODUCT(EXACT('Rule-Event map'!$F$2:$F$1477,$A221)*EXACT('Rule-Event map'!$G$2:$G$1477,$B221))</f>
        <v>1</v>
      </c>
      <c r="G221" s="5" t="n">
        <f aca="false">SUMPRODUCT(EXACT('Rule-Event map'!$F$2:$F$1477,$A221)*EXACT('Rule-Event map'!$G$2:$G$1477,$B221)*('Rule-Event map'!$C$2:$C$1477="New ITDR (7.6.0)"))</f>
        <v>0</v>
      </c>
      <c r="H221" s="5" t="n">
        <f aca="false">SUMPRODUCT(EXACT('Rule-Event map'!$F$2:$F$1477,$A221)*EXACT('Rule-Event map'!$G$2:$G$1477,$B221)*('Rule-Event map'!$C$2:$C$1477="Existing, re-tagged ITDR"))</f>
        <v>0</v>
      </c>
      <c r="I221" s="5" t="n">
        <f aca="false">F221-G221-H221</f>
        <v>1</v>
      </c>
      <c r="J221" s="5" t="n">
        <f aca="false">SUMPRODUCT(EXACT('Rule-Event map'!$F$2:$F$1477,$A221)*EXACT('Rule-Event map'!$G$2:$G$1477,$B221)*('Rule-Event map'!$E$2:$E$1477="Enabled"))</f>
        <v>1</v>
      </c>
      <c r="K221" s="2" t="s">
        <v>5948</v>
      </c>
    </row>
    <row r="222" customFormat="false" ht="15" hidden="false" customHeight="false" outlineLevel="0" collapsed="false">
      <c r="A222" s="5" t="s">
        <v>7670</v>
      </c>
      <c r="B222" s="2" t="s">
        <v>7903</v>
      </c>
      <c r="C222" s="5"/>
      <c r="D222" s="5"/>
      <c r="E222" s="5" t="s">
        <v>8336</v>
      </c>
      <c r="F222" s="5" t="n">
        <f aca="false">SUMPRODUCT(EXACT('Rule-Event map'!$F$2:$F$1477,$A222)*EXACT('Rule-Event map'!$G$2:$G$1477,$B222))</f>
        <v>1</v>
      </c>
      <c r="G222" s="5" t="n">
        <f aca="false">SUMPRODUCT(EXACT('Rule-Event map'!$F$2:$F$1477,$A222)*EXACT('Rule-Event map'!$G$2:$G$1477,$B222)*('Rule-Event map'!$C$2:$C$1477="New ITDR (7.6.0)"))</f>
        <v>0</v>
      </c>
      <c r="H222" s="5" t="n">
        <f aca="false">SUMPRODUCT(EXACT('Rule-Event map'!$F$2:$F$1477,$A222)*EXACT('Rule-Event map'!$G$2:$G$1477,$B222)*('Rule-Event map'!$C$2:$C$1477="Existing, re-tagged ITDR"))</f>
        <v>0</v>
      </c>
      <c r="I222" s="5" t="n">
        <f aca="false">F222-G222-H222</f>
        <v>1</v>
      </c>
      <c r="J222" s="5" t="n">
        <f aca="false">SUMPRODUCT(EXACT('Rule-Event map'!$F$2:$F$1477,$A222)*EXACT('Rule-Event map'!$G$2:$G$1477,$B222)*('Rule-Event map'!$E$2:$E$1477="Enabled"))</f>
        <v>1</v>
      </c>
      <c r="K222" s="2" t="s">
        <v>5021</v>
      </c>
    </row>
    <row r="223" customFormat="false" ht="23.85" hidden="false" customHeight="false" outlineLevel="0" collapsed="false">
      <c r="A223" s="5" t="s">
        <v>7670</v>
      </c>
      <c r="B223" s="2" t="s">
        <v>8022</v>
      </c>
      <c r="C223" s="5"/>
      <c r="D223" s="5"/>
      <c r="E223" s="5" t="s">
        <v>8336</v>
      </c>
      <c r="F223" s="5" t="n">
        <f aca="false">SUMPRODUCT(EXACT('Rule-Event map'!$F$2:$F$1477,$A223)*EXACT('Rule-Event map'!$G$2:$G$1477,$B223))</f>
        <v>1</v>
      </c>
      <c r="G223" s="5" t="n">
        <f aca="false">SUMPRODUCT(EXACT('Rule-Event map'!$F$2:$F$1477,$A223)*EXACT('Rule-Event map'!$G$2:$G$1477,$B223)*('Rule-Event map'!$C$2:$C$1477="New ITDR (7.6.0)"))</f>
        <v>0</v>
      </c>
      <c r="H223" s="5" t="n">
        <f aca="false">SUMPRODUCT(EXACT('Rule-Event map'!$F$2:$F$1477,$A223)*EXACT('Rule-Event map'!$G$2:$G$1477,$B223)*('Rule-Event map'!$C$2:$C$1477="Existing, re-tagged ITDR"))</f>
        <v>0</v>
      </c>
      <c r="I223" s="5" t="n">
        <f aca="false">F223-G223-H223</f>
        <v>1</v>
      </c>
      <c r="J223" s="5" t="n">
        <f aca="false">SUMPRODUCT(EXACT('Rule-Event map'!$F$2:$F$1477,$A223)*EXACT('Rule-Event map'!$G$2:$G$1477,$B223)*('Rule-Event map'!$E$2:$E$1477="Enabled"))</f>
        <v>1</v>
      </c>
      <c r="K223" s="2" t="s">
        <v>5458</v>
      </c>
    </row>
    <row r="224" customFormat="false" ht="15" hidden="false" customHeight="false" outlineLevel="0" collapsed="false">
      <c r="A224" s="5" t="s">
        <v>7670</v>
      </c>
      <c r="B224" s="2" t="s">
        <v>7901</v>
      </c>
      <c r="C224" s="5"/>
      <c r="D224" s="5"/>
      <c r="E224" s="5" t="s">
        <v>8336</v>
      </c>
      <c r="F224" s="5" t="n">
        <f aca="false">SUMPRODUCT(EXACT('Rule-Event map'!$F$2:$F$1477,$A224)*EXACT('Rule-Event map'!$G$2:$G$1477,$B224))</f>
        <v>1</v>
      </c>
      <c r="G224" s="5" t="n">
        <f aca="false">SUMPRODUCT(EXACT('Rule-Event map'!$F$2:$F$1477,$A224)*EXACT('Rule-Event map'!$G$2:$G$1477,$B224)*('Rule-Event map'!$C$2:$C$1477="New ITDR (7.6.0)"))</f>
        <v>0</v>
      </c>
      <c r="H224" s="5" t="n">
        <f aca="false">SUMPRODUCT(EXACT('Rule-Event map'!$F$2:$F$1477,$A224)*EXACT('Rule-Event map'!$G$2:$G$1477,$B224)*('Rule-Event map'!$C$2:$C$1477="Existing, re-tagged ITDR"))</f>
        <v>0</v>
      </c>
      <c r="I224" s="5" t="n">
        <f aca="false">F224-G224-H224</f>
        <v>1</v>
      </c>
      <c r="J224" s="5" t="n">
        <f aca="false">SUMPRODUCT(EXACT('Rule-Event map'!$F$2:$F$1477,$A224)*EXACT('Rule-Event map'!$G$2:$G$1477,$B224)*('Rule-Event map'!$E$2:$E$1477="Enabled"))</f>
        <v>1</v>
      </c>
      <c r="K224" s="2" t="s">
        <v>5021</v>
      </c>
    </row>
    <row r="225" customFormat="false" ht="15" hidden="false" customHeight="false" outlineLevel="0" collapsed="false">
      <c r="A225" s="5" t="s">
        <v>7670</v>
      </c>
      <c r="B225" s="2" t="s">
        <v>7996</v>
      </c>
      <c r="C225" s="5"/>
      <c r="D225" s="5"/>
      <c r="E225" s="5" t="s">
        <v>8336</v>
      </c>
      <c r="F225" s="5" t="n">
        <f aca="false">SUMPRODUCT(EXACT('Rule-Event map'!$F$2:$F$1477,$A225)*EXACT('Rule-Event map'!$G$2:$G$1477,$B225))</f>
        <v>1</v>
      </c>
      <c r="G225" s="5" t="n">
        <f aca="false">SUMPRODUCT(EXACT('Rule-Event map'!$F$2:$F$1477,$A225)*EXACT('Rule-Event map'!$G$2:$G$1477,$B225)*('Rule-Event map'!$C$2:$C$1477="New ITDR (7.6.0)"))</f>
        <v>0</v>
      </c>
      <c r="H225" s="5" t="n">
        <f aca="false">SUMPRODUCT(EXACT('Rule-Event map'!$F$2:$F$1477,$A225)*EXACT('Rule-Event map'!$G$2:$G$1477,$B225)*('Rule-Event map'!$C$2:$C$1477="Existing, re-tagged ITDR"))</f>
        <v>0</v>
      </c>
      <c r="I225" s="5" t="n">
        <f aca="false">F225-G225-H225</f>
        <v>1</v>
      </c>
      <c r="J225" s="5" t="n">
        <f aca="false">SUMPRODUCT(EXACT('Rule-Event map'!$F$2:$F$1477,$A225)*EXACT('Rule-Event map'!$G$2:$G$1477,$B225)*('Rule-Event map'!$E$2:$E$1477="Enabled"))</f>
        <v>1</v>
      </c>
      <c r="K225" s="2" t="s">
        <v>5377</v>
      </c>
    </row>
    <row r="226" customFormat="false" ht="15" hidden="false" customHeight="false" outlineLevel="0" collapsed="false">
      <c r="A226" s="5" t="s">
        <v>7670</v>
      </c>
      <c r="B226" s="2" t="s">
        <v>8028</v>
      </c>
      <c r="C226" s="5"/>
      <c r="D226" s="5"/>
      <c r="E226" s="5" t="s">
        <v>8336</v>
      </c>
      <c r="F226" s="5" t="n">
        <f aca="false">SUMPRODUCT(EXACT('Rule-Event map'!$F$2:$F$1477,$A226)*EXACT('Rule-Event map'!$G$2:$G$1477,$B226))</f>
        <v>1</v>
      </c>
      <c r="G226" s="5" t="n">
        <f aca="false">SUMPRODUCT(EXACT('Rule-Event map'!$F$2:$F$1477,$A226)*EXACT('Rule-Event map'!$G$2:$G$1477,$B226)*('Rule-Event map'!$C$2:$C$1477="New ITDR (7.6.0)"))</f>
        <v>0</v>
      </c>
      <c r="H226" s="5" t="n">
        <f aca="false">SUMPRODUCT(EXACT('Rule-Event map'!$F$2:$F$1477,$A226)*EXACT('Rule-Event map'!$G$2:$G$1477,$B226)*('Rule-Event map'!$C$2:$C$1477="Existing, re-tagged ITDR"))</f>
        <v>0</v>
      </c>
      <c r="I226" s="5" t="n">
        <f aca="false">F226-G226-H226</f>
        <v>1</v>
      </c>
      <c r="J226" s="5" t="n">
        <f aca="false">SUMPRODUCT(EXACT('Rule-Event map'!$F$2:$F$1477,$A226)*EXACT('Rule-Event map'!$G$2:$G$1477,$B226)*('Rule-Event map'!$E$2:$E$1477="Enabled"))</f>
        <v>1</v>
      </c>
      <c r="K226" s="2" t="s">
        <v>5488</v>
      </c>
    </row>
    <row r="227" customFormat="false" ht="15" hidden="false" customHeight="false" outlineLevel="0" collapsed="false">
      <c r="A227" s="5" t="s">
        <v>7670</v>
      </c>
      <c r="B227" s="2" t="s">
        <v>8010</v>
      </c>
      <c r="C227" s="5"/>
      <c r="D227" s="5"/>
      <c r="E227" s="5" t="s">
        <v>8336</v>
      </c>
      <c r="F227" s="5" t="n">
        <f aca="false">SUMPRODUCT(EXACT('Rule-Event map'!$F$2:$F$1477,$A227)*EXACT('Rule-Event map'!$G$2:$G$1477,$B227))</f>
        <v>1</v>
      </c>
      <c r="G227" s="5" t="n">
        <f aca="false">SUMPRODUCT(EXACT('Rule-Event map'!$F$2:$F$1477,$A227)*EXACT('Rule-Event map'!$G$2:$G$1477,$B227)*('Rule-Event map'!$C$2:$C$1477="New ITDR (7.6.0)"))</f>
        <v>0</v>
      </c>
      <c r="H227" s="5" t="n">
        <f aca="false">SUMPRODUCT(EXACT('Rule-Event map'!$F$2:$F$1477,$A227)*EXACT('Rule-Event map'!$G$2:$G$1477,$B227)*('Rule-Event map'!$C$2:$C$1477="Existing, re-tagged ITDR"))</f>
        <v>0</v>
      </c>
      <c r="I227" s="5" t="n">
        <f aca="false">F227-G227-H227</f>
        <v>1</v>
      </c>
      <c r="J227" s="5" t="n">
        <f aca="false">SUMPRODUCT(EXACT('Rule-Event map'!$F$2:$F$1477,$A227)*EXACT('Rule-Event map'!$G$2:$G$1477,$B227)*('Rule-Event map'!$E$2:$E$1477="Enabled"))</f>
        <v>1</v>
      </c>
      <c r="K227" s="2" t="s">
        <v>5413</v>
      </c>
    </row>
    <row r="228" customFormat="false" ht="15" hidden="false" customHeight="false" outlineLevel="0" collapsed="false">
      <c r="A228" s="5" t="s">
        <v>7670</v>
      </c>
      <c r="B228" s="2" t="s">
        <v>7947</v>
      </c>
      <c r="C228" s="5"/>
      <c r="D228" s="5"/>
      <c r="E228" s="5" t="s">
        <v>8336</v>
      </c>
      <c r="F228" s="5" t="n">
        <f aca="false">SUMPRODUCT(EXACT('Rule-Event map'!$F$2:$F$1477,$A228)*EXACT('Rule-Event map'!$G$2:$G$1477,$B228))</f>
        <v>1</v>
      </c>
      <c r="G228" s="5" t="n">
        <f aca="false">SUMPRODUCT(EXACT('Rule-Event map'!$F$2:$F$1477,$A228)*EXACT('Rule-Event map'!$G$2:$G$1477,$B228)*('Rule-Event map'!$C$2:$C$1477="New ITDR (7.6.0)"))</f>
        <v>0</v>
      </c>
      <c r="H228" s="5" t="n">
        <f aca="false">SUMPRODUCT(EXACT('Rule-Event map'!$F$2:$F$1477,$A228)*EXACT('Rule-Event map'!$G$2:$G$1477,$B228)*('Rule-Event map'!$C$2:$C$1477="Existing, re-tagged ITDR"))</f>
        <v>0</v>
      </c>
      <c r="I228" s="5" t="n">
        <f aca="false">F228-G228-H228</f>
        <v>1</v>
      </c>
      <c r="J228" s="5" t="n">
        <f aca="false">SUMPRODUCT(EXACT('Rule-Event map'!$F$2:$F$1477,$A228)*EXACT('Rule-Event map'!$G$2:$G$1477,$B228)*('Rule-Event map'!$E$2:$E$1477="Enabled"))</f>
        <v>1</v>
      </c>
      <c r="K228" s="2" t="s">
        <v>5212</v>
      </c>
    </row>
    <row r="229" customFormat="false" ht="15" hidden="false" customHeight="false" outlineLevel="0" collapsed="false">
      <c r="A229" s="5" t="s">
        <v>7670</v>
      </c>
      <c r="B229" s="2" t="s">
        <v>8146</v>
      </c>
      <c r="C229" s="5"/>
      <c r="D229" s="5"/>
      <c r="E229" s="5" t="s">
        <v>8336</v>
      </c>
      <c r="F229" s="5" t="n">
        <f aca="false">SUMPRODUCT(EXACT('Rule-Event map'!$F$2:$F$1477,$A229)*EXACT('Rule-Event map'!$G$2:$G$1477,$B229))</f>
        <v>1</v>
      </c>
      <c r="G229" s="5" t="n">
        <f aca="false">SUMPRODUCT(EXACT('Rule-Event map'!$F$2:$F$1477,$A229)*EXACT('Rule-Event map'!$G$2:$G$1477,$B229)*('Rule-Event map'!$C$2:$C$1477="New ITDR (7.6.0)"))</f>
        <v>0</v>
      </c>
      <c r="H229" s="5" t="n">
        <f aca="false">SUMPRODUCT(EXACT('Rule-Event map'!$F$2:$F$1477,$A229)*EXACT('Rule-Event map'!$G$2:$G$1477,$B229)*('Rule-Event map'!$C$2:$C$1477="Existing, re-tagged ITDR"))</f>
        <v>0</v>
      </c>
      <c r="I229" s="5" t="n">
        <f aca="false">F229-G229-H229</f>
        <v>1</v>
      </c>
      <c r="J229" s="5" t="n">
        <f aca="false">SUMPRODUCT(EXACT('Rule-Event map'!$F$2:$F$1477,$A229)*EXACT('Rule-Event map'!$G$2:$G$1477,$B229)*('Rule-Event map'!$E$2:$E$1477="Enabled"))</f>
        <v>1</v>
      </c>
      <c r="K229" s="2" t="s">
        <v>5831</v>
      </c>
    </row>
    <row r="230" customFormat="false" ht="15" hidden="false" customHeight="false" outlineLevel="0" collapsed="false">
      <c r="A230" s="5" t="s">
        <v>7670</v>
      </c>
      <c r="B230" s="2" t="s">
        <v>7917</v>
      </c>
      <c r="C230" s="5"/>
      <c r="D230" s="5"/>
      <c r="E230" s="5" t="s">
        <v>8336</v>
      </c>
      <c r="F230" s="5" t="n">
        <f aca="false">SUMPRODUCT(EXACT('Rule-Event map'!$F$2:$F$1477,$A230)*EXACT('Rule-Event map'!$G$2:$G$1477,$B230))</f>
        <v>1</v>
      </c>
      <c r="G230" s="5" t="n">
        <f aca="false">SUMPRODUCT(EXACT('Rule-Event map'!$F$2:$F$1477,$A230)*EXACT('Rule-Event map'!$G$2:$G$1477,$B230)*('Rule-Event map'!$C$2:$C$1477="New ITDR (7.6.0)"))</f>
        <v>0</v>
      </c>
      <c r="H230" s="5" t="n">
        <f aca="false">SUMPRODUCT(EXACT('Rule-Event map'!$F$2:$F$1477,$A230)*EXACT('Rule-Event map'!$G$2:$G$1477,$B230)*('Rule-Event map'!$C$2:$C$1477="Existing, re-tagged ITDR"))</f>
        <v>0</v>
      </c>
      <c r="I230" s="5" t="n">
        <f aca="false">F230-G230-H230</f>
        <v>1</v>
      </c>
      <c r="J230" s="5" t="n">
        <f aca="false">SUMPRODUCT(EXACT('Rule-Event map'!$F$2:$F$1477,$A230)*EXACT('Rule-Event map'!$G$2:$G$1477,$B230)*('Rule-Event map'!$E$2:$E$1477="Enabled"))</f>
        <v>1</v>
      </c>
      <c r="K230" s="2" t="s">
        <v>5083</v>
      </c>
    </row>
    <row r="231" customFormat="false" ht="15" hidden="false" customHeight="false" outlineLevel="0" collapsed="false">
      <c r="A231" s="5" t="s">
        <v>7670</v>
      </c>
      <c r="B231" s="2" t="s">
        <v>7923</v>
      </c>
      <c r="C231" s="5"/>
      <c r="D231" s="5"/>
      <c r="E231" s="5" t="s">
        <v>8336</v>
      </c>
      <c r="F231" s="5" t="n">
        <f aca="false">SUMPRODUCT(EXACT('Rule-Event map'!$F$2:$F$1477,$A231)*EXACT('Rule-Event map'!$G$2:$G$1477,$B231))</f>
        <v>1</v>
      </c>
      <c r="G231" s="5" t="n">
        <f aca="false">SUMPRODUCT(EXACT('Rule-Event map'!$F$2:$F$1477,$A231)*EXACT('Rule-Event map'!$G$2:$G$1477,$B231)*('Rule-Event map'!$C$2:$C$1477="New ITDR (7.6.0)"))</f>
        <v>0</v>
      </c>
      <c r="H231" s="5" t="n">
        <f aca="false">SUMPRODUCT(EXACT('Rule-Event map'!$F$2:$F$1477,$A231)*EXACT('Rule-Event map'!$G$2:$G$1477,$B231)*('Rule-Event map'!$C$2:$C$1477="Existing, re-tagged ITDR"))</f>
        <v>0</v>
      </c>
      <c r="I231" s="5" t="n">
        <f aca="false">F231-G231-H231</f>
        <v>1</v>
      </c>
      <c r="J231" s="5" t="n">
        <f aca="false">SUMPRODUCT(EXACT('Rule-Event map'!$F$2:$F$1477,$A231)*EXACT('Rule-Event map'!$G$2:$G$1477,$B231)*('Rule-Event map'!$E$2:$E$1477="Enabled"))</f>
        <v>1</v>
      </c>
      <c r="K231" s="2" t="s">
        <v>5119</v>
      </c>
    </row>
    <row r="232" customFormat="false" ht="15" hidden="false" customHeight="false" outlineLevel="0" collapsed="false">
      <c r="A232" s="5" t="s">
        <v>7670</v>
      </c>
      <c r="B232" s="2" t="s">
        <v>8020</v>
      </c>
      <c r="C232" s="5"/>
      <c r="D232" s="5"/>
      <c r="E232" s="5" t="s">
        <v>8336</v>
      </c>
      <c r="F232" s="5" t="n">
        <f aca="false">SUMPRODUCT(EXACT('Rule-Event map'!$F$2:$F$1477,$A232)*EXACT('Rule-Event map'!$G$2:$G$1477,$B232))</f>
        <v>1</v>
      </c>
      <c r="G232" s="5" t="n">
        <f aca="false">SUMPRODUCT(EXACT('Rule-Event map'!$F$2:$F$1477,$A232)*EXACT('Rule-Event map'!$G$2:$G$1477,$B232)*('Rule-Event map'!$C$2:$C$1477="New ITDR (7.6.0)"))</f>
        <v>0</v>
      </c>
      <c r="H232" s="5" t="n">
        <f aca="false">SUMPRODUCT(EXACT('Rule-Event map'!$F$2:$F$1477,$A232)*EXACT('Rule-Event map'!$G$2:$G$1477,$B232)*('Rule-Event map'!$C$2:$C$1477="Existing, re-tagged ITDR"))</f>
        <v>0</v>
      </c>
      <c r="I232" s="5" t="n">
        <f aca="false">F232-G232-H232</f>
        <v>1</v>
      </c>
      <c r="J232" s="5" t="n">
        <f aca="false">SUMPRODUCT(EXACT('Rule-Event map'!$F$2:$F$1477,$A232)*EXACT('Rule-Event map'!$G$2:$G$1477,$B232)*('Rule-Event map'!$E$2:$E$1477="Enabled"))</f>
        <v>1</v>
      </c>
      <c r="K232" s="2" t="s">
        <v>5447</v>
      </c>
    </row>
    <row r="233" customFormat="false" ht="15" hidden="false" customHeight="false" outlineLevel="0" collapsed="false">
      <c r="A233" s="5" t="s">
        <v>7670</v>
      </c>
      <c r="B233" s="2" t="s">
        <v>8026</v>
      </c>
      <c r="C233" s="5"/>
      <c r="D233" s="5"/>
      <c r="E233" s="5" t="s">
        <v>8336</v>
      </c>
      <c r="F233" s="5" t="n">
        <f aca="false">SUMPRODUCT(EXACT('Rule-Event map'!$F$2:$F$1477,$A233)*EXACT('Rule-Event map'!$G$2:$G$1477,$B233))</f>
        <v>1</v>
      </c>
      <c r="G233" s="5" t="n">
        <f aca="false">SUMPRODUCT(EXACT('Rule-Event map'!$F$2:$F$1477,$A233)*EXACT('Rule-Event map'!$G$2:$G$1477,$B233)*('Rule-Event map'!$C$2:$C$1477="New ITDR (7.6.0)"))</f>
        <v>0</v>
      </c>
      <c r="H233" s="5" t="n">
        <f aca="false">SUMPRODUCT(EXACT('Rule-Event map'!$F$2:$F$1477,$A233)*EXACT('Rule-Event map'!$G$2:$G$1477,$B233)*('Rule-Event map'!$C$2:$C$1477="Existing, re-tagged ITDR"))</f>
        <v>0</v>
      </c>
      <c r="I233" s="5" t="n">
        <f aca="false">F233-G233-H233</f>
        <v>1</v>
      </c>
      <c r="J233" s="5" t="n">
        <f aca="false">SUMPRODUCT(EXACT('Rule-Event map'!$F$2:$F$1477,$A233)*EXACT('Rule-Event map'!$G$2:$G$1477,$B233)*('Rule-Event map'!$E$2:$E$1477="Enabled"))</f>
        <v>1</v>
      </c>
      <c r="K233" s="2" t="s">
        <v>5476</v>
      </c>
    </row>
    <row r="234" customFormat="false" ht="15" hidden="false" customHeight="false" outlineLevel="0" collapsed="false">
      <c r="A234" s="5" t="s">
        <v>7670</v>
      </c>
      <c r="B234" s="2" t="s">
        <v>8040</v>
      </c>
      <c r="C234" s="5"/>
      <c r="D234" s="5"/>
      <c r="E234" s="5" t="s">
        <v>8336</v>
      </c>
      <c r="F234" s="5" t="n">
        <f aca="false">SUMPRODUCT(EXACT('Rule-Event map'!$F$2:$F$1477,$A234)*EXACT('Rule-Event map'!$G$2:$G$1477,$B234))</f>
        <v>1</v>
      </c>
      <c r="G234" s="5" t="n">
        <f aca="false">SUMPRODUCT(EXACT('Rule-Event map'!$F$2:$F$1477,$A234)*EXACT('Rule-Event map'!$G$2:$G$1477,$B234)*('Rule-Event map'!$C$2:$C$1477="New ITDR (7.6.0)"))</f>
        <v>0</v>
      </c>
      <c r="H234" s="5" t="n">
        <f aca="false">SUMPRODUCT(EXACT('Rule-Event map'!$F$2:$F$1477,$A234)*EXACT('Rule-Event map'!$G$2:$G$1477,$B234)*('Rule-Event map'!$C$2:$C$1477="Existing, re-tagged ITDR"))</f>
        <v>0</v>
      </c>
      <c r="I234" s="5" t="n">
        <f aca="false">F234-G234-H234</f>
        <v>1</v>
      </c>
      <c r="J234" s="5" t="n">
        <f aca="false">SUMPRODUCT(EXACT('Rule-Event map'!$F$2:$F$1477,$A234)*EXACT('Rule-Event map'!$G$2:$G$1477,$B234)*('Rule-Event map'!$E$2:$E$1477="Enabled"))</f>
        <v>1</v>
      </c>
      <c r="K234" s="2" t="s">
        <v>5530</v>
      </c>
    </row>
    <row r="235" customFormat="false" ht="23.85" hidden="false" customHeight="false" outlineLevel="0" collapsed="false">
      <c r="A235" s="5" t="s">
        <v>7670</v>
      </c>
      <c r="B235" s="2" t="s">
        <v>7933</v>
      </c>
      <c r="C235" s="5"/>
      <c r="D235" s="5"/>
      <c r="E235" s="5" t="s">
        <v>8336</v>
      </c>
      <c r="F235" s="5" t="n">
        <f aca="false">SUMPRODUCT(EXACT('Rule-Event map'!$F$2:$F$1477,$A235)*EXACT('Rule-Event map'!$G$2:$G$1477,$B235))</f>
        <v>2</v>
      </c>
      <c r="G235" s="5" t="n">
        <f aca="false">SUMPRODUCT(EXACT('Rule-Event map'!$F$2:$F$1477,$A235)*EXACT('Rule-Event map'!$G$2:$G$1477,$B235)*('Rule-Event map'!$C$2:$C$1477="New ITDR (7.6.0)"))</f>
        <v>0</v>
      </c>
      <c r="H235" s="5" t="n">
        <f aca="false">SUMPRODUCT(EXACT('Rule-Event map'!$F$2:$F$1477,$A235)*EXACT('Rule-Event map'!$G$2:$G$1477,$B235)*('Rule-Event map'!$C$2:$C$1477="Existing, re-tagged ITDR"))</f>
        <v>0</v>
      </c>
      <c r="I235" s="5" t="n">
        <f aca="false">F235-G235-H235</f>
        <v>2</v>
      </c>
      <c r="J235" s="5" t="n">
        <f aca="false">SUMPRODUCT(EXACT('Rule-Event map'!$F$2:$F$1477,$A235)*EXACT('Rule-Event map'!$G$2:$G$1477,$B235)*('Rule-Event map'!$E$2:$E$1477="Enabled"))</f>
        <v>2</v>
      </c>
      <c r="K235" s="2" t="s">
        <v>8372</v>
      </c>
    </row>
    <row r="236" customFormat="false" ht="15" hidden="false" customHeight="false" outlineLevel="0" collapsed="false">
      <c r="A236" s="5" t="s">
        <v>7670</v>
      </c>
      <c r="B236" s="2" t="s">
        <v>7969</v>
      </c>
      <c r="C236" s="5"/>
      <c r="D236" s="5"/>
      <c r="E236" s="5" t="s">
        <v>8336</v>
      </c>
      <c r="F236" s="5" t="n">
        <f aca="false">SUMPRODUCT(EXACT('Rule-Event map'!$F$2:$F$1477,$A236)*EXACT('Rule-Event map'!$G$2:$G$1477,$B236))</f>
        <v>1</v>
      </c>
      <c r="G236" s="5" t="n">
        <f aca="false">SUMPRODUCT(EXACT('Rule-Event map'!$F$2:$F$1477,$A236)*EXACT('Rule-Event map'!$G$2:$G$1477,$B236)*('Rule-Event map'!$C$2:$C$1477="New ITDR (7.6.0)"))</f>
        <v>0</v>
      </c>
      <c r="H236" s="5" t="n">
        <f aca="false">SUMPRODUCT(EXACT('Rule-Event map'!$F$2:$F$1477,$A236)*EXACT('Rule-Event map'!$G$2:$G$1477,$B236)*('Rule-Event map'!$C$2:$C$1477="Existing, re-tagged ITDR"))</f>
        <v>0</v>
      </c>
      <c r="I236" s="5" t="n">
        <f aca="false">F236-G236-H236</f>
        <v>1</v>
      </c>
      <c r="J236" s="5" t="n">
        <f aca="false">SUMPRODUCT(EXACT('Rule-Event map'!$F$2:$F$1477,$A236)*EXACT('Rule-Event map'!$G$2:$G$1477,$B236)*('Rule-Event map'!$E$2:$E$1477="Enabled"))</f>
        <v>1</v>
      </c>
      <c r="K236" s="2" t="s">
        <v>5283</v>
      </c>
    </row>
    <row r="237" customFormat="false" ht="15" hidden="false" customHeight="false" outlineLevel="0" collapsed="false">
      <c r="A237" s="5" t="s">
        <v>7670</v>
      </c>
      <c r="B237" s="2" t="s">
        <v>7967</v>
      </c>
      <c r="C237" s="5"/>
      <c r="D237" s="5"/>
      <c r="E237" s="5" t="s">
        <v>8336</v>
      </c>
      <c r="F237" s="5" t="n">
        <f aca="false">SUMPRODUCT(EXACT('Rule-Event map'!$F$2:$F$1477,$A237)*EXACT('Rule-Event map'!$G$2:$G$1477,$B237))</f>
        <v>1</v>
      </c>
      <c r="G237" s="5" t="n">
        <f aca="false">SUMPRODUCT(EXACT('Rule-Event map'!$F$2:$F$1477,$A237)*EXACT('Rule-Event map'!$G$2:$G$1477,$B237)*('Rule-Event map'!$C$2:$C$1477="New ITDR (7.6.0)"))</f>
        <v>0</v>
      </c>
      <c r="H237" s="5" t="n">
        <f aca="false">SUMPRODUCT(EXACT('Rule-Event map'!$F$2:$F$1477,$A237)*EXACT('Rule-Event map'!$G$2:$G$1477,$B237)*('Rule-Event map'!$C$2:$C$1477="Existing, re-tagged ITDR"))</f>
        <v>0</v>
      </c>
      <c r="I237" s="5" t="n">
        <f aca="false">F237-G237-H237</f>
        <v>1</v>
      </c>
      <c r="J237" s="5" t="n">
        <f aca="false">SUMPRODUCT(EXACT('Rule-Event map'!$F$2:$F$1477,$A237)*EXACT('Rule-Event map'!$G$2:$G$1477,$B237)*('Rule-Event map'!$E$2:$E$1477="Enabled"))</f>
        <v>1</v>
      </c>
      <c r="K237" s="2" t="s">
        <v>5283</v>
      </c>
    </row>
    <row r="238" customFormat="false" ht="15" hidden="false" customHeight="false" outlineLevel="0" collapsed="false">
      <c r="A238" s="5" t="s">
        <v>7670</v>
      </c>
      <c r="B238" s="2" t="s">
        <v>7959</v>
      </c>
      <c r="C238" s="5"/>
      <c r="D238" s="5"/>
      <c r="E238" s="5" t="s">
        <v>8336</v>
      </c>
      <c r="F238" s="5" t="n">
        <f aca="false">SUMPRODUCT(EXACT('Rule-Event map'!$F$2:$F$1477,$A238)*EXACT('Rule-Event map'!$G$2:$G$1477,$B238))</f>
        <v>1</v>
      </c>
      <c r="G238" s="5" t="n">
        <f aca="false">SUMPRODUCT(EXACT('Rule-Event map'!$F$2:$F$1477,$A238)*EXACT('Rule-Event map'!$G$2:$G$1477,$B238)*('Rule-Event map'!$C$2:$C$1477="New ITDR (7.6.0)"))</f>
        <v>0</v>
      </c>
      <c r="H238" s="5" t="n">
        <f aca="false">SUMPRODUCT(EXACT('Rule-Event map'!$F$2:$F$1477,$A238)*EXACT('Rule-Event map'!$G$2:$G$1477,$B238)*('Rule-Event map'!$C$2:$C$1477="Existing, re-tagged ITDR"))</f>
        <v>0</v>
      </c>
      <c r="I238" s="5" t="n">
        <f aca="false">F238-G238-H238</f>
        <v>1</v>
      </c>
      <c r="J238" s="5" t="n">
        <f aca="false">SUMPRODUCT(EXACT('Rule-Event map'!$F$2:$F$1477,$A238)*EXACT('Rule-Event map'!$G$2:$G$1477,$B238)*('Rule-Event map'!$E$2:$E$1477="Enabled"))</f>
        <v>1</v>
      </c>
      <c r="K238" s="2" t="s">
        <v>5277</v>
      </c>
    </row>
    <row r="239" customFormat="false" ht="23.85" hidden="false" customHeight="false" outlineLevel="0" collapsed="false">
      <c r="A239" s="5" t="s">
        <v>7670</v>
      </c>
      <c r="B239" s="2" t="s">
        <v>8092</v>
      </c>
      <c r="C239" s="5"/>
      <c r="D239" s="5"/>
      <c r="E239" s="5" t="s">
        <v>8336</v>
      </c>
      <c r="F239" s="5" t="n">
        <f aca="false">SUMPRODUCT(EXACT('Rule-Event map'!$F$2:$F$1477,$A239)*EXACT('Rule-Event map'!$G$2:$G$1477,$B239))</f>
        <v>1</v>
      </c>
      <c r="G239" s="5" t="n">
        <f aca="false">SUMPRODUCT(EXACT('Rule-Event map'!$F$2:$F$1477,$A239)*EXACT('Rule-Event map'!$G$2:$G$1477,$B239)*('Rule-Event map'!$C$2:$C$1477="New ITDR (7.6.0)"))</f>
        <v>0</v>
      </c>
      <c r="H239" s="5" t="n">
        <f aca="false">SUMPRODUCT(EXACT('Rule-Event map'!$F$2:$F$1477,$A239)*EXACT('Rule-Event map'!$G$2:$G$1477,$B239)*('Rule-Event map'!$C$2:$C$1477="Existing, re-tagged ITDR"))</f>
        <v>0</v>
      </c>
      <c r="I239" s="5" t="n">
        <f aca="false">F239-G239-H239</f>
        <v>1</v>
      </c>
      <c r="J239" s="5" t="n">
        <f aca="false">SUMPRODUCT(EXACT('Rule-Event map'!$F$2:$F$1477,$A239)*EXACT('Rule-Event map'!$G$2:$G$1477,$B239)*('Rule-Event map'!$E$2:$E$1477="Enabled"))</f>
        <v>1</v>
      </c>
      <c r="K239" s="2" t="s">
        <v>5692</v>
      </c>
    </row>
    <row r="240" customFormat="false" ht="15" hidden="false" customHeight="false" outlineLevel="0" collapsed="false">
      <c r="A240" s="5" t="s">
        <v>7670</v>
      </c>
      <c r="B240" s="2" t="s">
        <v>7963</v>
      </c>
      <c r="C240" s="5"/>
      <c r="D240" s="5"/>
      <c r="E240" s="5" t="s">
        <v>8336</v>
      </c>
      <c r="F240" s="5" t="n">
        <f aca="false">SUMPRODUCT(EXACT('Rule-Event map'!$F$2:$F$1477,$A240)*EXACT('Rule-Event map'!$G$2:$G$1477,$B240))</f>
        <v>1</v>
      </c>
      <c r="G240" s="5" t="n">
        <f aca="false">SUMPRODUCT(EXACT('Rule-Event map'!$F$2:$F$1477,$A240)*EXACT('Rule-Event map'!$G$2:$G$1477,$B240)*('Rule-Event map'!$C$2:$C$1477="New ITDR (7.6.0)"))</f>
        <v>0</v>
      </c>
      <c r="H240" s="5" t="n">
        <f aca="false">SUMPRODUCT(EXACT('Rule-Event map'!$F$2:$F$1477,$A240)*EXACT('Rule-Event map'!$G$2:$G$1477,$B240)*('Rule-Event map'!$C$2:$C$1477="Existing, re-tagged ITDR"))</f>
        <v>0</v>
      </c>
      <c r="I240" s="5" t="n">
        <f aca="false">F240-G240-H240</f>
        <v>1</v>
      </c>
      <c r="J240" s="5" t="n">
        <f aca="false">SUMPRODUCT(EXACT('Rule-Event map'!$F$2:$F$1477,$A240)*EXACT('Rule-Event map'!$G$2:$G$1477,$B240)*('Rule-Event map'!$E$2:$E$1477="Enabled"))</f>
        <v>1</v>
      </c>
      <c r="K240" s="2" t="s">
        <v>5277</v>
      </c>
    </row>
    <row r="241" customFormat="false" ht="15" hidden="false" customHeight="false" outlineLevel="0" collapsed="false">
      <c r="A241" s="5" t="s">
        <v>7670</v>
      </c>
      <c r="B241" s="2" t="s">
        <v>8086</v>
      </c>
      <c r="C241" s="5"/>
      <c r="D241" s="5"/>
      <c r="E241" s="5" t="s">
        <v>8336</v>
      </c>
      <c r="F241" s="5" t="n">
        <f aca="false">SUMPRODUCT(EXACT('Rule-Event map'!$F$2:$F$1477,$A241)*EXACT('Rule-Event map'!$G$2:$G$1477,$B241))</f>
        <v>1</v>
      </c>
      <c r="G241" s="5" t="n">
        <f aca="false">SUMPRODUCT(EXACT('Rule-Event map'!$F$2:$F$1477,$A241)*EXACT('Rule-Event map'!$G$2:$G$1477,$B241)*('Rule-Event map'!$C$2:$C$1477="New ITDR (7.6.0)"))</f>
        <v>0</v>
      </c>
      <c r="H241" s="5" t="n">
        <f aca="false">SUMPRODUCT(EXACT('Rule-Event map'!$F$2:$F$1477,$A241)*EXACT('Rule-Event map'!$G$2:$G$1477,$B241)*('Rule-Event map'!$C$2:$C$1477="Existing, re-tagged ITDR"))</f>
        <v>0</v>
      </c>
      <c r="I241" s="5" t="n">
        <f aca="false">F241-G241-H241</f>
        <v>1</v>
      </c>
      <c r="J241" s="5" t="n">
        <f aca="false">SUMPRODUCT(EXACT('Rule-Event map'!$F$2:$F$1477,$A241)*EXACT('Rule-Event map'!$G$2:$G$1477,$B241)*('Rule-Event map'!$E$2:$E$1477="Enabled"))</f>
        <v>1</v>
      </c>
      <c r="K241" s="2" t="s">
        <v>5666</v>
      </c>
    </row>
    <row r="242" customFormat="false" ht="15" hidden="false" customHeight="false" outlineLevel="0" collapsed="false">
      <c r="A242" s="5" t="s">
        <v>7670</v>
      </c>
      <c r="B242" s="2" t="s">
        <v>8126</v>
      </c>
      <c r="C242" s="5"/>
      <c r="D242" s="5"/>
      <c r="E242" s="5" t="s">
        <v>8336</v>
      </c>
      <c r="F242" s="5" t="n">
        <f aca="false">SUMPRODUCT(EXACT('Rule-Event map'!$F$2:$F$1477,$A242)*EXACT('Rule-Event map'!$G$2:$G$1477,$B242))</f>
        <v>1</v>
      </c>
      <c r="G242" s="5" t="n">
        <f aca="false">SUMPRODUCT(EXACT('Rule-Event map'!$F$2:$F$1477,$A242)*EXACT('Rule-Event map'!$G$2:$G$1477,$B242)*('Rule-Event map'!$C$2:$C$1477="New ITDR (7.6.0)"))</f>
        <v>0</v>
      </c>
      <c r="H242" s="5" t="n">
        <f aca="false">SUMPRODUCT(EXACT('Rule-Event map'!$F$2:$F$1477,$A242)*EXACT('Rule-Event map'!$G$2:$G$1477,$B242)*('Rule-Event map'!$C$2:$C$1477="Existing, re-tagged ITDR"))</f>
        <v>0</v>
      </c>
      <c r="I242" s="5" t="n">
        <f aca="false">F242-G242-H242</f>
        <v>1</v>
      </c>
      <c r="J242" s="5" t="n">
        <f aca="false">SUMPRODUCT(EXACT('Rule-Event map'!$F$2:$F$1477,$A242)*EXACT('Rule-Event map'!$G$2:$G$1477,$B242)*('Rule-Event map'!$E$2:$E$1477="Enabled"))</f>
        <v>1</v>
      </c>
      <c r="K242" s="2" t="s">
        <v>5789</v>
      </c>
    </row>
    <row r="243" customFormat="false" ht="15" hidden="false" customHeight="false" outlineLevel="0" collapsed="false">
      <c r="A243" s="5" t="s">
        <v>7670</v>
      </c>
      <c r="B243" s="2" t="s">
        <v>8152</v>
      </c>
      <c r="C243" s="5"/>
      <c r="D243" s="5"/>
      <c r="E243" s="5" t="s">
        <v>8336</v>
      </c>
      <c r="F243" s="5" t="n">
        <f aca="false">SUMPRODUCT(EXACT('Rule-Event map'!$F$2:$F$1477,$A243)*EXACT('Rule-Event map'!$G$2:$G$1477,$B243))</f>
        <v>1</v>
      </c>
      <c r="G243" s="5" t="n">
        <f aca="false">SUMPRODUCT(EXACT('Rule-Event map'!$F$2:$F$1477,$A243)*EXACT('Rule-Event map'!$G$2:$G$1477,$B243)*('Rule-Event map'!$C$2:$C$1477="New ITDR (7.6.0)"))</f>
        <v>0</v>
      </c>
      <c r="H243" s="5" t="n">
        <f aca="false">SUMPRODUCT(EXACT('Rule-Event map'!$F$2:$F$1477,$A243)*EXACT('Rule-Event map'!$G$2:$G$1477,$B243)*('Rule-Event map'!$C$2:$C$1477="Existing, re-tagged ITDR"))</f>
        <v>0</v>
      </c>
      <c r="I243" s="5" t="n">
        <f aca="false">F243-G243-H243</f>
        <v>1</v>
      </c>
      <c r="J243" s="5" t="n">
        <f aca="false">SUMPRODUCT(EXACT('Rule-Event map'!$F$2:$F$1477,$A243)*EXACT('Rule-Event map'!$G$2:$G$1477,$B243)*('Rule-Event map'!$E$2:$E$1477="Enabled"))</f>
        <v>1</v>
      </c>
      <c r="K243" s="2" t="s">
        <v>5856</v>
      </c>
    </row>
    <row r="244" customFormat="false" ht="15" hidden="false" customHeight="false" outlineLevel="0" collapsed="false">
      <c r="A244" s="5" t="s">
        <v>7670</v>
      </c>
      <c r="B244" s="2" t="s">
        <v>7965</v>
      </c>
      <c r="C244" s="5"/>
      <c r="D244" s="5"/>
      <c r="E244" s="5" t="s">
        <v>8336</v>
      </c>
      <c r="F244" s="5" t="n">
        <f aca="false">SUMPRODUCT(EXACT('Rule-Event map'!$F$2:$F$1477,$A244)*EXACT('Rule-Event map'!$G$2:$G$1477,$B244))</f>
        <v>1</v>
      </c>
      <c r="G244" s="5" t="n">
        <f aca="false">SUMPRODUCT(EXACT('Rule-Event map'!$F$2:$F$1477,$A244)*EXACT('Rule-Event map'!$G$2:$G$1477,$B244)*('Rule-Event map'!$C$2:$C$1477="New ITDR (7.6.0)"))</f>
        <v>0</v>
      </c>
      <c r="H244" s="5" t="n">
        <f aca="false">SUMPRODUCT(EXACT('Rule-Event map'!$F$2:$F$1477,$A244)*EXACT('Rule-Event map'!$G$2:$G$1477,$B244)*('Rule-Event map'!$C$2:$C$1477="Existing, re-tagged ITDR"))</f>
        <v>0</v>
      </c>
      <c r="I244" s="5" t="n">
        <f aca="false">F244-G244-H244</f>
        <v>1</v>
      </c>
      <c r="J244" s="5" t="n">
        <f aca="false">SUMPRODUCT(EXACT('Rule-Event map'!$F$2:$F$1477,$A244)*EXACT('Rule-Event map'!$G$2:$G$1477,$B244)*('Rule-Event map'!$E$2:$E$1477="Enabled"))</f>
        <v>1</v>
      </c>
      <c r="K244" s="2" t="s">
        <v>5277</v>
      </c>
    </row>
    <row r="245" customFormat="false" ht="23.85" hidden="false" customHeight="false" outlineLevel="0" collapsed="false">
      <c r="A245" s="5" t="s">
        <v>7670</v>
      </c>
      <c r="B245" s="2" t="s">
        <v>7941</v>
      </c>
      <c r="C245" s="5"/>
      <c r="D245" s="5"/>
      <c r="E245" s="5" t="s">
        <v>8336</v>
      </c>
      <c r="F245" s="5" t="n">
        <f aca="false">SUMPRODUCT(EXACT('Rule-Event map'!$F$2:$F$1477,$A245)*EXACT('Rule-Event map'!$G$2:$G$1477,$B245))</f>
        <v>1</v>
      </c>
      <c r="G245" s="5" t="n">
        <f aca="false">SUMPRODUCT(EXACT('Rule-Event map'!$F$2:$F$1477,$A245)*EXACT('Rule-Event map'!$G$2:$G$1477,$B245)*('Rule-Event map'!$C$2:$C$1477="New ITDR (7.6.0)"))</f>
        <v>0</v>
      </c>
      <c r="H245" s="5" t="n">
        <f aca="false">SUMPRODUCT(EXACT('Rule-Event map'!$F$2:$F$1477,$A245)*EXACT('Rule-Event map'!$G$2:$G$1477,$B245)*('Rule-Event map'!$C$2:$C$1477="Existing, re-tagged ITDR"))</f>
        <v>0</v>
      </c>
      <c r="I245" s="5" t="n">
        <f aca="false">F245-G245-H245</f>
        <v>1</v>
      </c>
      <c r="J245" s="5" t="n">
        <f aca="false">SUMPRODUCT(EXACT('Rule-Event map'!$F$2:$F$1477,$A245)*EXACT('Rule-Event map'!$G$2:$G$1477,$B245)*('Rule-Event map'!$E$2:$E$1477="Enabled"))</f>
        <v>1</v>
      </c>
      <c r="K245" s="2" t="s">
        <v>5194</v>
      </c>
    </row>
    <row r="246" customFormat="false" ht="15" hidden="false" customHeight="false" outlineLevel="0" collapsed="false">
      <c r="A246" s="5" t="s">
        <v>7670</v>
      </c>
      <c r="B246" s="2" t="s">
        <v>7994</v>
      </c>
      <c r="C246" s="5"/>
      <c r="D246" s="5"/>
      <c r="E246" s="5" t="s">
        <v>8336</v>
      </c>
      <c r="F246" s="5" t="n">
        <f aca="false">SUMPRODUCT(EXACT('Rule-Event map'!$F$2:$F$1477,$A246)*EXACT('Rule-Event map'!$G$2:$G$1477,$B246))</f>
        <v>1</v>
      </c>
      <c r="G246" s="5" t="n">
        <f aca="false">SUMPRODUCT(EXACT('Rule-Event map'!$F$2:$F$1477,$A246)*EXACT('Rule-Event map'!$G$2:$G$1477,$B246)*('Rule-Event map'!$C$2:$C$1477="New ITDR (7.6.0)"))</f>
        <v>0</v>
      </c>
      <c r="H246" s="5" t="n">
        <f aca="false">SUMPRODUCT(EXACT('Rule-Event map'!$F$2:$F$1477,$A246)*EXACT('Rule-Event map'!$G$2:$G$1477,$B246)*('Rule-Event map'!$C$2:$C$1477="Existing, re-tagged ITDR"))</f>
        <v>0</v>
      </c>
      <c r="I246" s="5" t="n">
        <f aca="false">F246-G246-H246</f>
        <v>1</v>
      </c>
      <c r="J246" s="5" t="n">
        <f aca="false">SUMPRODUCT(EXACT('Rule-Event map'!$F$2:$F$1477,$A246)*EXACT('Rule-Event map'!$G$2:$G$1477,$B246)*('Rule-Event map'!$E$2:$E$1477="Enabled"))</f>
        <v>1</v>
      </c>
      <c r="K246" s="2" t="s">
        <v>5366</v>
      </c>
    </row>
    <row r="247" customFormat="false" ht="15" hidden="false" customHeight="false" outlineLevel="0" collapsed="false">
      <c r="A247" s="5" t="s">
        <v>7670</v>
      </c>
      <c r="B247" s="2" t="s">
        <v>8124</v>
      </c>
      <c r="C247" s="5"/>
      <c r="D247" s="5"/>
      <c r="E247" s="5" t="s">
        <v>8336</v>
      </c>
      <c r="F247" s="5" t="n">
        <f aca="false">SUMPRODUCT(EXACT('Rule-Event map'!$F$2:$F$1477,$A247)*EXACT('Rule-Event map'!$G$2:$G$1477,$B247))</f>
        <v>1</v>
      </c>
      <c r="G247" s="5" t="n">
        <f aca="false">SUMPRODUCT(EXACT('Rule-Event map'!$F$2:$F$1477,$A247)*EXACT('Rule-Event map'!$G$2:$G$1477,$B247)*('Rule-Event map'!$C$2:$C$1477="New ITDR (7.6.0)"))</f>
        <v>0</v>
      </c>
      <c r="H247" s="5" t="n">
        <f aca="false">SUMPRODUCT(EXACT('Rule-Event map'!$F$2:$F$1477,$A247)*EXACT('Rule-Event map'!$G$2:$G$1477,$B247)*('Rule-Event map'!$C$2:$C$1477="Existing, re-tagged ITDR"))</f>
        <v>0</v>
      </c>
      <c r="I247" s="5" t="n">
        <f aca="false">F247-G247-H247</f>
        <v>1</v>
      </c>
      <c r="J247" s="5" t="n">
        <f aca="false">SUMPRODUCT(EXACT('Rule-Event map'!$F$2:$F$1477,$A247)*EXACT('Rule-Event map'!$G$2:$G$1477,$B247)*('Rule-Event map'!$E$2:$E$1477="Enabled"))</f>
        <v>1</v>
      </c>
      <c r="K247" s="2" t="s">
        <v>5783</v>
      </c>
    </row>
    <row r="248" customFormat="false" ht="15" hidden="false" customHeight="false" outlineLevel="0" collapsed="false">
      <c r="A248" s="5" t="s">
        <v>7670</v>
      </c>
      <c r="B248" s="2" t="s">
        <v>7919</v>
      </c>
      <c r="C248" s="5"/>
      <c r="D248" s="5"/>
      <c r="E248" s="5" t="s">
        <v>8336</v>
      </c>
      <c r="F248" s="5" t="n">
        <f aca="false">SUMPRODUCT(EXACT('Rule-Event map'!$F$2:$F$1477,$A248)*EXACT('Rule-Event map'!$G$2:$G$1477,$B248))</f>
        <v>1</v>
      </c>
      <c r="G248" s="5" t="n">
        <f aca="false">SUMPRODUCT(EXACT('Rule-Event map'!$F$2:$F$1477,$A248)*EXACT('Rule-Event map'!$G$2:$G$1477,$B248)*('Rule-Event map'!$C$2:$C$1477="New ITDR (7.6.0)"))</f>
        <v>0</v>
      </c>
      <c r="H248" s="5" t="n">
        <f aca="false">SUMPRODUCT(EXACT('Rule-Event map'!$F$2:$F$1477,$A248)*EXACT('Rule-Event map'!$G$2:$G$1477,$B248)*('Rule-Event map'!$C$2:$C$1477="Existing, re-tagged ITDR"))</f>
        <v>0</v>
      </c>
      <c r="I248" s="5" t="n">
        <f aca="false">F248-G248-H248</f>
        <v>1</v>
      </c>
      <c r="J248" s="5" t="n">
        <f aca="false">SUMPRODUCT(EXACT('Rule-Event map'!$F$2:$F$1477,$A248)*EXACT('Rule-Event map'!$G$2:$G$1477,$B248)*('Rule-Event map'!$E$2:$E$1477="Enabled"))</f>
        <v>1</v>
      </c>
      <c r="K248" s="2" t="s">
        <v>5090</v>
      </c>
    </row>
    <row r="249" customFormat="false" ht="15" hidden="false" customHeight="false" outlineLevel="0" collapsed="false">
      <c r="A249" s="5" t="s">
        <v>7670</v>
      </c>
      <c r="B249" s="2" t="s">
        <v>8014</v>
      </c>
      <c r="C249" s="5"/>
      <c r="D249" s="5"/>
      <c r="E249" s="5" t="s">
        <v>8336</v>
      </c>
      <c r="F249" s="5" t="n">
        <f aca="false">SUMPRODUCT(EXACT('Rule-Event map'!$F$2:$F$1477,$A249)*EXACT('Rule-Event map'!$G$2:$G$1477,$B249))</f>
        <v>1</v>
      </c>
      <c r="G249" s="5" t="n">
        <f aca="false">SUMPRODUCT(EXACT('Rule-Event map'!$F$2:$F$1477,$A249)*EXACT('Rule-Event map'!$G$2:$G$1477,$B249)*('Rule-Event map'!$C$2:$C$1477="New ITDR (7.6.0)"))</f>
        <v>0</v>
      </c>
      <c r="H249" s="5" t="n">
        <f aca="false">SUMPRODUCT(EXACT('Rule-Event map'!$F$2:$F$1477,$A249)*EXACT('Rule-Event map'!$G$2:$G$1477,$B249)*('Rule-Event map'!$C$2:$C$1477="Existing, re-tagged ITDR"))</f>
        <v>0</v>
      </c>
      <c r="I249" s="5" t="n">
        <f aca="false">F249-G249-H249</f>
        <v>1</v>
      </c>
      <c r="J249" s="5" t="n">
        <f aca="false">SUMPRODUCT(EXACT('Rule-Event map'!$F$2:$F$1477,$A249)*EXACT('Rule-Event map'!$G$2:$G$1477,$B249)*('Rule-Event map'!$E$2:$E$1477="Enabled"))</f>
        <v>1</v>
      </c>
      <c r="K249" s="2" t="s">
        <v>5440</v>
      </c>
    </row>
    <row r="250" customFormat="false" ht="15" hidden="false" customHeight="false" outlineLevel="0" collapsed="false">
      <c r="A250" s="5" t="s">
        <v>7670</v>
      </c>
      <c r="B250" s="2" t="s">
        <v>8138</v>
      </c>
      <c r="C250" s="5"/>
      <c r="D250" s="5"/>
      <c r="E250" s="5" t="s">
        <v>8336</v>
      </c>
      <c r="F250" s="5" t="n">
        <f aca="false">SUMPRODUCT(EXACT('Rule-Event map'!$F$2:$F$1477,$A250)*EXACT('Rule-Event map'!$G$2:$G$1477,$B250))</f>
        <v>1</v>
      </c>
      <c r="G250" s="5" t="n">
        <f aca="false">SUMPRODUCT(EXACT('Rule-Event map'!$F$2:$F$1477,$A250)*EXACT('Rule-Event map'!$G$2:$G$1477,$B250)*('Rule-Event map'!$C$2:$C$1477="New ITDR (7.6.0)"))</f>
        <v>0</v>
      </c>
      <c r="H250" s="5" t="n">
        <f aca="false">SUMPRODUCT(EXACT('Rule-Event map'!$F$2:$F$1477,$A250)*EXACT('Rule-Event map'!$G$2:$G$1477,$B250)*('Rule-Event map'!$C$2:$C$1477="Existing, re-tagged ITDR"))</f>
        <v>0</v>
      </c>
      <c r="I250" s="5" t="n">
        <f aca="false">F250-G250-H250</f>
        <v>1</v>
      </c>
      <c r="J250" s="5" t="n">
        <f aca="false">SUMPRODUCT(EXACT('Rule-Event map'!$F$2:$F$1477,$A250)*EXACT('Rule-Event map'!$G$2:$G$1477,$B250)*('Rule-Event map'!$E$2:$E$1477="Enabled"))</f>
        <v>1</v>
      </c>
      <c r="K250" s="2" t="s">
        <v>5820</v>
      </c>
    </row>
    <row r="251" customFormat="false" ht="23.85" hidden="false" customHeight="false" outlineLevel="0" collapsed="false">
      <c r="A251" s="5" t="s">
        <v>7670</v>
      </c>
      <c r="B251" s="2" t="s">
        <v>8148</v>
      </c>
      <c r="C251" s="5"/>
      <c r="D251" s="5"/>
      <c r="E251" s="5" t="s">
        <v>8336</v>
      </c>
      <c r="F251" s="5" t="n">
        <f aca="false">SUMPRODUCT(EXACT('Rule-Event map'!$F$2:$F$1477,$A251)*EXACT('Rule-Event map'!$G$2:$G$1477,$B251))</f>
        <v>1</v>
      </c>
      <c r="G251" s="5" t="n">
        <f aca="false">SUMPRODUCT(EXACT('Rule-Event map'!$F$2:$F$1477,$A251)*EXACT('Rule-Event map'!$G$2:$G$1477,$B251)*('Rule-Event map'!$C$2:$C$1477="New ITDR (7.6.0)"))</f>
        <v>0</v>
      </c>
      <c r="H251" s="5" t="n">
        <f aca="false">SUMPRODUCT(EXACT('Rule-Event map'!$F$2:$F$1477,$A251)*EXACT('Rule-Event map'!$G$2:$G$1477,$B251)*('Rule-Event map'!$C$2:$C$1477="Existing, re-tagged ITDR"))</f>
        <v>0</v>
      </c>
      <c r="I251" s="5" t="n">
        <f aca="false">F251-G251-H251</f>
        <v>1</v>
      </c>
      <c r="J251" s="5" t="n">
        <f aca="false">SUMPRODUCT(EXACT('Rule-Event map'!$F$2:$F$1477,$A251)*EXACT('Rule-Event map'!$G$2:$G$1477,$B251)*('Rule-Event map'!$E$2:$E$1477="Enabled"))</f>
        <v>1</v>
      </c>
      <c r="K251" s="2" t="s">
        <v>5843</v>
      </c>
    </row>
    <row r="252" customFormat="false" ht="15" hidden="false" customHeight="false" outlineLevel="0" collapsed="false">
      <c r="A252" s="5" t="s">
        <v>7670</v>
      </c>
      <c r="B252" s="2" t="s">
        <v>8018</v>
      </c>
      <c r="C252" s="5"/>
      <c r="D252" s="5"/>
      <c r="E252" s="5" t="s">
        <v>8336</v>
      </c>
      <c r="F252" s="5" t="n">
        <f aca="false">SUMPRODUCT(EXACT('Rule-Event map'!$F$2:$F$1477,$A252)*EXACT('Rule-Event map'!$G$2:$G$1477,$B252))</f>
        <v>1</v>
      </c>
      <c r="G252" s="5" t="n">
        <f aca="false">SUMPRODUCT(EXACT('Rule-Event map'!$F$2:$F$1477,$A252)*EXACT('Rule-Event map'!$G$2:$G$1477,$B252)*('Rule-Event map'!$C$2:$C$1477="New ITDR (7.6.0)"))</f>
        <v>0</v>
      </c>
      <c r="H252" s="5" t="n">
        <f aca="false">SUMPRODUCT(EXACT('Rule-Event map'!$F$2:$F$1477,$A252)*EXACT('Rule-Event map'!$G$2:$G$1477,$B252)*('Rule-Event map'!$C$2:$C$1477="Existing, re-tagged ITDR"))</f>
        <v>0</v>
      </c>
      <c r="I252" s="5" t="n">
        <f aca="false">F252-G252-H252</f>
        <v>1</v>
      </c>
      <c r="J252" s="5" t="n">
        <f aca="false">SUMPRODUCT(EXACT('Rule-Event map'!$F$2:$F$1477,$A252)*EXACT('Rule-Event map'!$G$2:$G$1477,$B252)*('Rule-Event map'!$E$2:$E$1477="Enabled"))</f>
        <v>1</v>
      </c>
      <c r="K252" s="2" t="s">
        <v>5440</v>
      </c>
    </row>
    <row r="253" customFormat="false" ht="15" hidden="false" customHeight="false" outlineLevel="0" collapsed="false">
      <c r="A253" s="5" t="s">
        <v>7670</v>
      </c>
      <c r="B253" s="2" t="s">
        <v>8016</v>
      </c>
      <c r="C253" s="5"/>
      <c r="D253" s="5"/>
      <c r="E253" s="5" t="s">
        <v>8336</v>
      </c>
      <c r="F253" s="5" t="n">
        <f aca="false">SUMPRODUCT(EXACT('Rule-Event map'!$F$2:$F$1477,$A253)*EXACT('Rule-Event map'!$G$2:$G$1477,$B253))</f>
        <v>1</v>
      </c>
      <c r="G253" s="5" t="n">
        <f aca="false">SUMPRODUCT(EXACT('Rule-Event map'!$F$2:$F$1477,$A253)*EXACT('Rule-Event map'!$G$2:$G$1477,$B253)*('Rule-Event map'!$C$2:$C$1477="New ITDR (7.6.0)"))</f>
        <v>0</v>
      </c>
      <c r="H253" s="5" t="n">
        <f aca="false">SUMPRODUCT(EXACT('Rule-Event map'!$F$2:$F$1477,$A253)*EXACT('Rule-Event map'!$G$2:$G$1477,$B253)*('Rule-Event map'!$C$2:$C$1477="Existing, re-tagged ITDR"))</f>
        <v>0</v>
      </c>
      <c r="I253" s="5" t="n">
        <f aca="false">F253-G253-H253</f>
        <v>1</v>
      </c>
      <c r="J253" s="5" t="n">
        <f aca="false">SUMPRODUCT(EXACT('Rule-Event map'!$F$2:$F$1477,$A253)*EXACT('Rule-Event map'!$G$2:$G$1477,$B253)*('Rule-Event map'!$E$2:$E$1477="Enabled"))</f>
        <v>1</v>
      </c>
      <c r="K253" s="2" t="s">
        <v>5440</v>
      </c>
    </row>
    <row r="254" customFormat="false" ht="15" hidden="false" customHeight="false" outlineLevel="0" collapsed="false">
      <c r="A254" s="5" t="s">
        <v>7670</v>
      </c>
      <c r="B254" s="2" t="s">
        <v>8074</v>
      </c>
      <c r="C254" s="5"/>
      <c r="D254" s="5"/>
      <c r="E254" s="5" t="s">
        <v>8336</v>
      </c>
      <c r="F254" s="5" t="n">
        <f aca="false">SUMPRODUCT(EXACT('Rule-Event map'!$F$2:$F$1477,$A254)*EXACT('Rule-Event map'!$G$2:$G$1477,$B254))</f>
        <v>1</v>
      </c>
      <c r="G254" s="5" t="n">
        <f aca="false">SUMPRODUCT(EXACT('Rule-Event map'!$F$2:$F$1477,$A254)*EXACT('Rule-Event map'!$G$2:$G$1477,$B254)*('Rule-Event map'!$C$2:$C$1477="New ITDR (7.6.0)"))</f>
        <v>0</v>
      </c>
      <c r="H254" s="5" t="n">
        <f aca="false">SUMPRODUCT(EXACT('Rule-Event map'!$F$2:$F$1477,$A254)*EXACT('Rule-Event map'!$G$2:$G$1477,$B254)*('Rule-Event map'!$C$2:$C$1477="Existing, re-tagged ITDR"))</f>
        <v>0</v>
      </c>
      <c r="I254" s="5" t="n">
        <f aca="false">F254-G254-H254</f>
        <v>1</v>
      </c>
      <c r="J254" s="5" t="n">
        <f aca="false">SUMPRODUCT(EXACT('Rule-Event map'!$F$2:$F$1477,$A254)*EXACT('Rule-Event map'!$G$2:$G$1477,$B254)*('Rule-Event map'!$E$2:$E$1477="Enabled"))</f>
        <v>1</v>
      </c>
      <c r="K254" s="2" t="s">
        <v>5643</v>
      </c>
    </row>
    <row r="255" customFormat="false" ht="15" hidden="false" customHeight="false" outlineLevel="0" collapsed="false">
      <c r="A255" s="5" t="s">
        <v>7670</v>
      </c>
      <c r="B255" s="2" t="s">
        <v>8076</v>
      </c>
      <c r="C255" s="5"/>
      <c r="D255" s="5"/>
      <c r="E255" s="5" t="s">
        <v>8336</v>
      </c>
      <c r="F255" s="5" t="n">
        <f aca="false">SUMPRODUCT(EXACT('Rule-Event map'!$F$2:$F$1477,$A255)*EXACT('Rule-Event map'!$G$2:$G$1477,$B255))</f>
        <v>1</v>
      </c>
      <c r="G255" s="5" t="n">
        <f aca="false">SUMPRODUCT(EXACT('Rule-Event map'!$F$2:$F$1477,$A255)*EXACT('Rule-Event map'!$G$2:$G$1477,$B255)*('Rule-Event map'!$C$2:$C$1477="New ITDR (7.6.0)"))</f>
        <v>0</v>
      </c>
      <c r="H255" s="5" t="n">
        <f aca="false">SUMPRODUCT(EXACT('Rule-Event map'!$F$2:$F$1477,$A255)*EXACT('Rule-Event map'!$G$2:$G$1477,$B255)*('Rule-Event map'!$C$2:$C$1477="Existing, re-tagged ITDR"))</f>
        <v>0</v>
      </c>
      <c r="I255" s="5" t="n">
        <f aca="false">F255-G255-H255</f>
        <v>1</v>
      </c>
      <c r="J255" s="5" t="n">
        <f aca="false">SUMPRODUCT(EXACT('Rule-Event map'!$F$2:$F$1477,$A255)*EXACT('Rule-Event map'!$G$2:$G$1477,$B255)*('Rule-Event map'!$E$2:$E$1477="Enabled"))</f>
        <v>1</v>
      </c>
      <c r="K255" s="2" t="s">
        <v>5643</v>
      </c>
    </row>
    <row r="256" customFormat="false" ht="15" hidden="false" customHeight="false" outlineLevel="0" collapsed="false">
      <c r="A256" s="5" t="s">
        <v>7670</v>
      </c>
      <c r="B256" s="2" t="s">
        <v>8078</v>
      </c>
      <c r="C256" s="5"/>
      <c r="D256" s="5"/>
      <c r="E256" s="5" t="s">
        <v>8336</v>
      </c>
      <c r="F256" s="5" t="n">
        <f aca="false">SUMPRODUCT(EXACT('Rule-Event map'!$F$2:$F$1477,$A256)*EXACT('Rule-Event map'!$G$2:$G$1477,$B256))</f>
        <v>1</v>
      </c>
      <c r="G256" s="5" t="n">
        <f aca="false">SUMPRODUCT(EXACT('Rule-Event map'!$F$2:$F$1477,$A256)*EXACT('Rule-Event map'!$G$2:$G$1477,$B256)*('Rule-Event map'!$C$2:$C$1477="New ITDR (7.6.0)"))</f>
        <v>0</v>
      </c>
      <c r="H256" s="5" t="n">
        <f aca="false">SUMPRODUCT(EXACT('Rule-Event map'!$F$2:$F$1477,$A256)*EXACT('Rule-Event map'!$G$2:$G$1477,$B256)*('Rule-Event map'!$C$2:$C$1477="Existing, re-tagged ITDR"))</f>
        <v>0</v>
      </c>
      <c r="I256" s="5" t="n">
        <f aca="false">F256-G256-H256</f>
        <v>1</v>
      </c>
      <c r="J256" s="5" t="n">
        <f aca="false">SUMPRODUCT(EXACT('Rule-Event map'!$F$2:$F$1477,$A256)*EXACT('Rule-Event map'!$G$2:$G$1477,$B256)*('Rule-Event map'!$E$2:$E$1477="Enabled"))</f>
        <v>1</v>
      </c>
      <c r="K256" s="2" t="s">
        <v>5643</v>
      </c>
    </row>
    <row r="257" customFormat="false" ht="15" hidden="false" customHeight="false" outlineLevel="0" collapsed="false">
      <c r="A257" s="5" t="s">
        <v>7670</v>
      </c>
      <c r="B257" s="2" t="s">
        <v>8036</v>
      </c>
      <c r="C257" s="5"/>
      <c r="D257" s="5"/>
      <c r="E257" s="5" t="s">
        <v>8336</v>
      </c>
      <c r="F257" s="5" t="n">
        <f aca="false">SUMPRODUCT(EXACT('Rule-Event map'!$F$2:$F$1477,$A257)*EXACT('Rule-Event map'!$G$2:$G$1477,$B257))</f>
        <v>1</v>
      </c>
      <c r="G257" s="5" t="n">
        <f aca="false">SUMPRODUCT(EXACT('Rule-Event map'!$F$2:$F$1477,$A257)*EXACT('Rule-Event map'!$G$2:$G$1477,$B257)*('Rule-Event map'!$C$2:$C$1477="New ITDR (7.6.0)"))</f>
        <v>0</v>
      </c>
      <c r="H257" s="5" t="n">
        <f aca="false">SUMPRODUCT(EXACT('Rule-Event map'!$F$2:$F$1477,$A257)*EXACT('Rule-Event map'!$G$2:$G$1477,$B257)*('Rule-Event map'!$C$2:$C$1477="Existing, re-tagged ITDR"))</f>
        <v>0</v>
      </c>
      <c r="I257" s="5" t="n">
        <f aca="false">F257-G257-H257</f>
        <v>1</v>
      </c>
      <c r="J257" s="5" t="n">
        <f aca="false">SUMPRODUCT(EXACT('Rule-Event map'!$F$2:$F$1477,$A257)*EXACT('Rule-Event map'!$G$2:$G$1477,$B257)*('Rule-Event map'!$E$2:$E$1477="Enabled"))</f>
        <v>1</v>
      </c>
      <c r="K257" s="2" t="s">
        <v>5530</v>
      </c>
    </row>
    <row r="258" customFormat="false" ht="15" hidden="false" customHeight="false" outlineLevel="0" collapsed="false">
      <c r="A258" s="5" t="s">
        <v>7670</v>
      </c>
      <c r="B258" s="2" t="s">
        <v>7971</v>
      </c>
      <c r="C258" s="5"/>
      <c r="D258" s="5"/>
      <c r="E258" s="5" t="s">
        <v>8336</v>
      </c>
      <c r="F258" s="5" t="n">
        <f aca="false">SUMPRODUCT(EXACT('Rule-Event map'!$F$2:$F$1477,$A258)*EXACT('Rule-Event map'!$G$2:$G$1477,$B258))</f>
        <v>1</v>
      </c>
      <c r="G258" s="5" t="n">
        <f aca="false">SUMPRODUCT(EXACT('Rule-Event map'!$F$2:$F$1477,$A258)*EXACT('Rule-Event map'!$G$2:$G$1477,$B258)*('Rule-Event map'!$C$2:$C$1477="New ITDR (7.6.0)"))</f>
        <v>0</v>
      </c>
      <c r="H258" s="5" t="n">
        <f aca="false">SUMPRODUCT(EXACT('Rule-Event map'!$F$2:$F$1477,$A258)*EXACT('Rule-Event map'!$G$2:$G$1477,$B258)*('Rule-Event map'!$C$2:$C$1477="Existing, re-tagged ITDR"))</f>
        <v>0</v>
      </c>
      <c r="I258" s="5" t="n">
        <f aca="false">F258-G258-H258</f>
        <v>1</v>
      </c>
      <c r="J258" s="5" t="n">
        <f aca="false">SUMPRODUCT(EXACT('Rule-Event map'!$F$2:$F$1477,$A258)*EXACT('Rule-Event map'!$G$2:$G$1477,$B258)*('Rule-Event map'!$E$2:$E$1477="Enabled"))</f>
        <v>1</v>
      </c>
      <c r="K258" s="2" t="s">
        <v>5283</v>
      </c>
    </row>
    <row r="259" customFormat="false" ht="15" hidden="false" customHeight="false" outlineLevel="0" collapsed="false">
      <c r="A259" s="5" t="s">
        <v>7670</v>
      </c>
      <c r="B259" s="2" t="s">
        <v>8100</v>
      </c>
      <c r="C259" s="5"/>
      <c r="D259" s="5"/>
      <c r="E259" s="5" t="s">
        <v>8336</v>
      </c>
      <c r="F259" s="5" t="n">
        <f aca="false">SUMPRODUCT(EXACT('Rule-Event map'!$F$2:$F$1477,$A259)*EXACT('Rule-Event map'!$G$2:$G$1477,$B259))</f>
        <v>1</v>
      </c>
      <c r="G259" s="5" t="n">
        <f aca="false">SUMPRODUCT(EXACT('Rule-Event map'!$F$2:$F$1477,$A259)*EXACT('Rule-Event map'!$G$2:$G$1477,$B259)*('Rule-Event map'!$C$2:$C$1477="New ITDR (7.6.0)"))</f>
        <v>0</v>
      </c>
      <c r="H259" s="5" t="n">
        <f aca="false">SUMPRODUCT(EXACT('Rule-Event map'!$F$2:$F$1477,$A259)*EXACT('Rule-Event map'!$G$2:$G$1477,$B259)*('Rule-Event map'!$C$2:$C$1477="Existing, re-tagged ITDR"))</f>
        <v>0</v>
      </c>
      <c r="I259" s="5" t="n">
        <f aca="false">F259-G259-H259</f>
        <v>1</v>
      </c>
      <c r="J259" s="5" t="n">
        <f aca="false">SUMPRODUCT(EXACT('Rule-Event map'!$F$2:$F$1477,$A259)*EXACT('Rule-Event map'!$G$2:$G$1477,$B259)*('Rule-Event map'!$E$2:$E$1477="Enabled"))</f>
        <v>1</v>
      </c>
      <c r="K259" s="2" t="s">
        <v>5722</v>
      </c>
    </row>
    <row r="260" customFormat="false" ht="15" hidden="false" customHeight="false" outlineLevel="0" collapsed="false">
      <c r="A260" s="5" t="s">
        <v>7670</v>
      </c>
      <c r="B260" s="2" t="s">
        <v>8102</v>
      </c>
      <c r="C260" s="5"/>
      <c r="D260" s="5"/>
      <c r="E260" s="5" t="s">
        <v>8336</v>
      </c>
      <c r="F260" s="5" t="n">
        <f aca="false">SUMPRODUCT(EXACT('Rule-Event map'!$F$2:$F$1477,$A260)*EXACT('Rule-Event map'!$G$2:$G$1477,$B260))</f>
        <v>1</v>
      </c>
      <c r="G260" s="5" t="n">
        <f aca="false">SUMPRODUCT(EXACT('Rule-Event map'!$F$2:$F$1477,$A260)*EXACT('Rule-Event map'!$G$2:$G$1477,$B260)*('Rule-Event map'!$C$2:$C$1477="New ITDR (7.6.0)"))</f>
        <v>0</v>
      </c>
      <c r="H260" s="5" t="n">
        <f aca="false">SUMPRODUCT(EXACT('Rule-Event map'!$F$2:$F$1477,$A260)*EXACT('Rule-Event map'!$G$2:$G$1477,$B260)*('Rule-Event map'!$C$2:$C$1477="Existing, re-tagged ITDR"))</f>
        <v>0</v>
      </c>
      <c r="I260" s="5" t="n">
        <f aca="false">F260-G260-H260</f>
        <v>1</v>
      </c>
      <c r="J260" s="5" t="n">
        <f aca="false">SUMPRODUCT(EXACT('Rule-Event map'!$F$2:$F$1477,$A260)*EXACT('Rule-Event map'!$G$2:$G$1477,$B260)*('Rule-Event map'!$E$2:$E$1477="Enabled"))</f>
        <v>1</v>
      </c>
      <c r="K260" s="2" t="s">
        <v>5722</v>
      </c>
    </row>
    <row r="261" customFormat="false" ht="15" hidden="false" customHeight="false" outlineLevel="0" collapsed="false">
      <c r="A261" s="5" t="s">
        <v>7670</v>
      </c>
      <c r="B261" s="2" t="s">
        <v>7977</v>
      </c>
      <c r="C261" s="5"/>
      <c r="D261" s="5"/>
      <c r="E261" s="5" t="s">
        <v>8336</v>
      </c>
      <c r="F261" s="5" t="n">
        <f aca="false">SUMPRODUCT(EXACT('Rule-Event map'!$F$2:$F$1477,$A261)*EXACT('Rule-Event map'!$G$2:$G$1477,$B261))</f>
        <v>1</v>
      </c>
      <c r="G261" s="5" t="n">
        <f aca="false">SUMPRODUCT(EXACT('Rule-Event map'!$F$2:$F$1477,$A261)*EXACT('Rule-Event map'!$G$2:$G$1477,$B261)*('Rule-Event map'!$C$2:$C$1477="New ITDR (7.6.0)"))</f>
        <v>0</v>
      </c>
      <c r="H261" s="5" t="n">
        <f aca="false">SUMPRODUCT(EXACT('Rule-Event map'!$F$2:$F$1477,$A261)*EXACT('Rule-Event map'!$G$2:$G$1477,$B261)*('Rule-Event map'!$C$2:$C$1477="Existing, re-tagged ITDR"))</f>
        <v>0</v>
      </c>
      <c r="I261" s="5" t="n">
        <f aca="false">F261-G261-H261</f>
        <v>1</v>
      </c>
      <c r="J261" s="5" t="n">
        <f aca="false">SUMPRODUCT(EXACT('Rule-Event map'!$F$2:$F$1477,$A261)*EXACT('Rule-Event map'!$G$2:$G$1477,$B261)*('Rule-Event map'!$E$2:$E$1477="Enabled"))</f>
        <v>1</v>
      </c>
      <c r="K261" s="2" t="s">
        <v>5283</v>
      </c>
    </row>
    <row r="262" customFormat="false" ht="15" hidden="false" customHeight="false" outlineLevel="0" collapsed="false">
      <c r="A262" s="5" t="s">
        <v>7670</v>
      </c>
      <c r="B262" s="2" t="s">
        <v>8080</v>
      </c>
      <c r="C262" s="5"/>
      <c r="D262" s="5"/>
      <c r="E262" s="5" t="s">
        <v>8336</v>
      </c>
      <c r="F262" s="5" t="n">
        <f aca="false">SUMPRODUCT(EXACT('Rule-Event map'!$F$2:$F$1477,$A262)*EXACT('Rule-Event map'!$G$2:$G$1477,$B262))</f>
        <v>1</v>
      </c>
      <c r="G262" s="5" t="n">
        <f aca="false">SUMPRODUCT(EXACT('Rule-Event map'!$F$2:$F$1477,$A262)*EXACT('Rule-Event map'!$G$2:$G$1477,$B262)*('Rule-Event map'!$C$2:$C$1477="New ITDR (7.6.0)"))</f>
        <v>0</v>
      </c>
      <c r="H262" s="5" t="n">
        <f aca="false">SUMPRODUCT(EXACT('Rule-Event map'!$F$2:$F$1477,$A262)*EXACT('Rule-Event map'!$G$2:$G$1477,$B262)*('Rule-Event map'!$C$2:$C$1477="Existing, re-tagged ITDR"))</f>
        <v>0</v>
      </c>
      <c r="I262" s="5" t="n">
        <f aca="false">F262-G262-H262</f>
        <v>1</v>
      </c>
      <c r="J262" s="5" t="n">
        <f aca="false">SUMPRODUCT(EXACT('Rule-Event map'!$F$2:$F$1477,$A262)*EXACT('Rule-Event map'!$G$2:$G$1477,$B262)*('Rule-Event map'!$E$2:$E$1477="Enabled"))</f>
        <v>1</v>
      </c>
      <c r="K262" s="2" t="s">
        <v>5649</v>
      </c>
    </row>
    <row r="263" customFormat="false" ht="15" hidden="false" customHeight="false" outlineLevel="0" collapsed="false">
      <c r="A263" s="5" t="s">
        <v>7670</v>
      </c>
      <c r="B263" s="2" t="s">
        <v>8082</v>
      </c>
      <c r="C263" s="5"/>
      <c r="D263" s="5"/>
      <c r="E263" s="5" t="s">
        <v>8336</v>
      </c>
      <c r="F263" s="5" t="n">
        <f aca="false">SUMPRODUCT(EXACT('Rule-Event map'!$F$2:$F$1477,$A263)*EXACT('Rule-Event map'!$G$2:$G$1477,$B263))</f>
        <v>1</v>
      </c>
      <c r="G263" s="5" t="n">
        <f aca="false">SUMPRODUCT(EXACT('Rule-Event map'!$F$2:$F$1477,$A263)*EXACT('Rule-Event map'!$G$2:$G$1477,$B263)*('Rule-Event map'!$C$2:$C$1477="New ITDR (7.6.0)"))</f>
        <v>0</v>
      </c>
      <c r="H263" s="5" t="n">
        <f aca="false">SUMPRODUCT(EXACT('Rule-Event map'!$F$2:$F$1477,$A263)*EXACT('Rule-Event map'!$G$2:$G$1477,$B263)*('Rule-Event map'!$C$2:$C$1477="Existing, re-tagged ITDR"))</f>
        <v>0</v>
      </c>
      <c r="I263" s="5" t="n">
        <f aca="false">F263-G263-H263</f>
        <v>1</v>
      </c>
      <c r="J263" s="5" t="n">
        <f aca="false">SUMPRODUCT(EXACT('Rule-Event map'!$F$2:$F$1477,$A263)*EXACT('Rule-Event map'!$G$2:$G$1477,$B263)*('Rule-Event map'!$E$2:$E$1477="Enabled"))</f>
        <v>1</v>
      </c>
      <c r="K263" s="2" t="s">
        <v>5649</v>
      </c>
    </row>
    <row r="264" customFormat="false" ht="15" hidden="false" customHeight="false" outlineLevel="0" collapsed="false">
      <c r="A264" s="5" t="s">
        <v>7670</v>
      </c>
      <c r="B264" s="2" t="s">
        <v>8058</v>
      </c>
      <c r="C264" s="5"/>
      <c r="D264" s="5"/>
      <c r="E264" s="5" t="s">
        <v>8336</v>
      </c>
      <c r="F264" s="5" t="n">
        <f aca="false">SUMPRODUCT(EXACT('Rule-Event map'!$F$2:$F$1477,$A264)*EXACT('Rule-Event map'!$G$2:$G$1477,$B264))</f>
        <v>1</v>
      </c>
      <c r="G264" s="5" t="n">
        <f aca="false">SUMPRODUCT(EXACT('Rule-Event map'!$F$2:$F$1477,$A264)*EXACT('Rule-Event map'!$G$2:$G$1477,$B264)*('Rule-Event map'!$C$2:$C$1477="New ITDR (7.6.0)"))</f>
        <v>0</v>
      </c>
      <c r="H264" s="5" t="n">
        <f aca="false">SUMPRODUCT(EXACT('Rule-Event map'!$F$2:$F$1477,$A264)*EXACT('Rule-Event map'!$G$2:$G$1477,$B264)*('Rule-Event map'!$C$2:$C$1477="Existing, re-tagged ITDR"))</f>
        <v>0</v>
      </c>
      <c r="I264" s="5" t="n">
        <f aca="false">F264-G264-H264</f>
        <v>1</v>
      </c>
      <c r="J264" s="5" t="n">
        <f aca="false">SUMPRODUCT(EXACT('Rule-Event map'!$F$2:$F$1477,$A264)*EXACT('Rule-Event map'!$G$2:$G$1477,$B264)*('Rule-Event map'!$E$2:$E$1477="Enabled"))</f>
        <v>1</v>
      </c>
      <c r="K264" s="2" t="s">
        <v>5612</v>
      </c>
    </row>
    <row r="265" customFormat="false" ht="15" hidden="false" customHeight="false" outlineLevel="0" collapsed="false">
      <c r="A265" s="5" t="s">
        <v>7670</v>
      </c>
      <c r="B265" s="2" t="s">
        <v>8054</v>
      </c>
      <c r="C265" s="5"/>
      <c r="D265" s="5"/>
      <c r="E265" s="5" t="s">
        <v>8336</v>
      </c>
      <c r="F265" s="5" t="n">
        <f aca="false">SUMPRODUCT(EXACT('Rule-Event map'!$F$2:$F$1477,$A265)*EXACT('Rule-Event map'!$G$2:$G$1477,$B265))</f>
        <v>1</v>
      </c>
      <c r="G265" s="5" t="n">
        <f aca="false">SUMPRODUCT(EXACT('Rule-Event map'!$F$2:$F$1477,$A265)*EXACT('Rule-Event map'!$G$2:$G$1477,$B265)*('Rule-Event map'!$C$2:$C$1477="New ITDR (7.6.0)"))</f>
        <v>0</v>
      </c>
      <c r="H265" s="5" t="n">
        <f aca="false">SUMPRODUCT(EXACT('Rule-Event map'!$F$2:$F$1477,$A265)*EXACT('Rule-Event map'!$G$2:$G$1477,$B265)*('Rule-Event map'!$C$2:$C$1477="Existing, re-tagged ITDR"))</f>
        <v>0</v>
      </c>
      <c r="I265" s="5" t="n">
        <f aca="false">F265-G265-H265</f>
        <v>1</v>
      </c>
      <c r="J265" s="5" t="n">
        <f aca="false">SUMPRODUCT(EXACT('Rule-Event map'!$F$2:$F$1477,$A265)*EXACT('Rule-Event map'!$G$2:$G$1477,$B265)*('Rule-Event map'!$E$2:$E$1477="Enabled"))</f>
        <v>1</v>
      </c>
      <c r="K265" s="2" t="s">
        <v>5612</v>
      </c>
    </row>
    <row r="266" customFormat="false" ht="15" hidden="false" customHeight="false" outlineLevel="0" collapsed="false">
      <c r="A266" s="5" t="s">
        <v>7670</v>
      </c>
      <c r="B266" s="2" t="s">
        <v>8056</v>
      </c>
      <c r="C266" s="5"/>
      <c r="D266" s="5"/>
      <c r="E266" s="5" t="s">
        <v>8336</v>
      </c>
      <c r="F266" s="5" t="n">
        <f aca="false">SUMPRODUCT(EXACT('Rule-Event map'!$F$2:$F$1477,$A266)*EXACT('Rule-Event map'!$G$2:$G$1477,$B266))</f>
        <v>1</v>
      </c>
      <c r="G266" s="5" t="n">
        <f aca="false">SUMPRODUCT(EXACT('Rule-Event map'!$F$2:$F$1477,$A266)*EXACT('Rule-Event map'!$G$2:$G$1477,$B266)*('Rule-Event map'!$C$2:$C$1477="New ITDR (7.6.0)"))</f>
        <v>0</v>
      </c>
      <c r="H266" s="5" t="n">
        <f aca="false">SUMPRODUCT(EXACT('Rule-Event map'!$F$2:$F$1477,$A266)*EXACT('Rule-Event map'!$G$2:$G$1477,$B266)*('Rule-Event map'!$C$2:$C$1477="Existing, re-tagged ITDR"))</f>
        <v>0</v>
      </c>
      <c r="I266" s="5" t="n">
        <f aca="false">F266-G266-H266</f>
        <v>1</v>
      </c>
      <c r="J266" s="5" t="n">
        <f aca="false">SUMPRODUCT(EXACT('Rule-Event map'!$F$2:$F$1477,$A266)*EXACT('Rule-Event map'!$G$2:$G$1477,$B266)*('Rule-Event map'!$E$2:$E$1477="Enabled"))</f>
        <v>1</v>
      </c>
      <c r="K266" s="2" t="s">
        <v>5612</v>
      </c>
    </row>
    <row r="267" customFormat="false" ht="15" hidden="false" customHeight="false" outlineLevel="0" collapsed="false">
      <c r="A267" s="5" t="s">
        <v>7670</v>
      </c>
      <c r="B267" s="2" t="s">
        <v>7981</v>
      </c>
      <c r="C267" s="5"/>
      <c r="D267" s="5"/>
      <c r="E267" s="5" t="s">
        <v>8336</v>
      </c>
      <c r="F267" s="5" t="n">
        <f aca="false">SUMPRODUCT(EXACT('Rule-Event map'!$F$2:$F$1477,$A267)*EXACT('Rule-Event map'!$G$2:$G$1477,$B267))</f>
        <v>1</v>
      </c>
      <c r="G267" s="5" t="n">
        <f aca="false">SUMPRODUCT(EXACT('Rule-Event map'!$F$2:$F$1477,$A267)*EXACT('Rule-Event map'!$G$2:$G$1477,$B267)*('Rule-Event map'!$C$2:$C$1477="New ITDR (7.6.0)"))</f>
        <v>0</v>
      </c>
      <c r="H267" s="5" t="n">
        <f aca="false">SUMPRODUCT(EXACT('Rule-Event map'!$F$2:$F$1477,$A267)*EXACT('Rule-Event map'!$G$2:$G$1477,$B267)*('Rule-Event map'!$C$2:$C$1477="Existing, re-tagged ITDR"))</f>
        <v>0</v>
      </c>
      <c r="I267" s="5" t="n">
        <f aca="false">F267-G267-H267</f>
        <v>1</v>
      </c>
      <c r="J267" s="5" t="n">
        <f aca="false">SUMPRODUCT(EXACT('Rule-Event map'!$F$2:$F$1477,$A267)*EXACT('Rule-Event map'!$G$2:$G$1477,$B267)*('Rule-Event map'!$E$2:$E$1477="Enabled"))</f>
        <v>1</v>
      </c>
      <c r="K267" s="2" t="s">
        <v>5283</v>
      </c>
    </row>
    <row r="268" customFormat="false" ht="15" hidden="false" customHeight="false" outlineLevel="0" collapsed="false">
      <c r="A268" s="5" t="s">
        <v>7670</v>
      </c>
      <c r="B268" s="2" t="s">
        <v>7975</v>
      </c>
      <c r="C268" s="5"/>
      <c r="D268" s="5"/>
      <c r="E268" s="5" t="s">
        <v>8336</v>
      </c>
      <c r="F268" s="5" t="n">
        <f aca="false">SUMPRODUCT(EXACT('Rule-Event map'!$F$2:$F$1477,$A268)*EXACT('Rule-Event map'!$G$2:$G$1477,$B268))</f>
        <v>1</v>
      </c>
      <c r="G268" s="5" t="n">
        <f aca="false">SUMPRODUCT(EXACT('Rule-Event map'!$F$2:$F$1477,$A268)*EXACT('Rule-Event map'!$G$2:$G$1477,$B268)*('Rule-Event map'!$C$2:$C$1477="New ITDR (7.6.0)"))</f>
        <v>0</v>
      </c>
      <c r="H268" s="5" t="n">
        <f aca="false">SUMPRODUCT(EXACT('Rule-Event map'!$F$2:$F$1477,$A268)*EXACT('Rule-Event map'!$G$2:$G$1477,$B268)*('Rule-Event map'!$C$2:$C$1477="Existing, re-tagged ITDR"))</f>
        <v>0</v>
      </c>
      <c r="I268" s="5" t="n">
        <f aca="false">F268-G268-H268</f>
        <v>1</v>
      </c>
      <c r="J268" s="5" t="n">
        <f aca="false">SUMPRODUCT(EXACT('Rule-Event map'!$F$2:$F$1477,$A268)*EXACT('Rule-Event map'!$G$2:$G$1477,$B268)*('Rule-Event map'!$E$2:$E$1477="Enabled"))</f>
        <v>1</v>
      </c>
      <c r="K268" s="2" t="s">
        <v>5283</v>
      </c>
    </row>
    <row r="269" customFormat="false" ht="15" hidden="false" customHeight="false" outlineLevel="0" collapsed="false">
      <c r="A269" s="5" t="s">
        <v>7670</v>
      </c>
      <c r="B269" s="2" t="s">
        <v>8132</v>
      </c>
      <c r="C269" s="5"/>
      <c r="D269" s="5"/>
      <c r="E269" s="5" t="s">
        <v>8336</v>
      </c>
      <c r="F269" s="5" t="n">
        <f aca="false">SUMPRODUCT(EXACT('Rule-Event map'!$F$2:$F$1477,$A269)*EXACT('Rule-Event map'!$G$2:$G$1477,$B269))</f>
        <v>1</v>
      </c>
      <c r="G269" s="5" t="n">
        <f aca="false">SUMPRODUCT(EXACT('Rule-Event map'!$F$2:$F$1477,$A269)*EXACT('Rule-Event map'!$G$2:$G$1477,$B269)*('Rule-Event map'!$C$2:$C$1477="New ITDR (7.6.0)"))</f>
        <v>0</v>
      </c>
      <c r="H269" s="5" t="n">
        <f aca="false">SUMPRODUCT(EXACT('Rule-Event map'!$F$2:$F$1477,$A269)*EXACT('Rule-Event map'!$G$2:$G$1477,$B269)*('Rule-Event map'!$C$2:$C$1477="Existing, re-tagged ITDR"))</f>
        <v>0</v>
      </c>
      <c r="I269" s="5" t="n">
        <f aca="false">F269-G269-H269</f>
        <v>1</v>
      </c>
      <c r="J269" s="5" t="n">
        <f aca="false">SUMPRODUCT(EXACT('Rule-Event map'!$F$2:$F$1477,$A269)*EXACT('Rule-Event map'!$G$2:$G$1477,$B269)*('Rule-Event map'!$E$2:$E$1477="Enabled"))</f>
        <v>1</v>
      </c>
      <c r="K269" s="2" t="s">
        <v>5801</v>
      </c>
    </row>
    <row r="270" customFormat="false" ht="15" hidden="false" customHeight="false" outlineLevel="0" collapsed="false">
      <c r="A270" s="5" t="s">
        <v>7670</v>
      </c>
      <c r="B270" s="2" t="s">
        <v>8042</v>
      </c>
      <c r="C270" s="5"/>
      <c r="D270" s="5"/>
      <c r="E270" s="5" t="s">
        <v>8336</v>
      </c>
      <c r="F270" s="5" t="n">
        <f aca="false">SUMPRODUCT(EXACT('Rule-Event map'!$F$2:$F$1477,$A270)*EXACT('Rule-Event map'!$G$2:$G$1477,$B270))</f>
        <v>1</v>
      </c>
      <c r="G270" s="5" t="n">
        <f aca="false">SUMPRODUCT(EXACT('Rule-Event map'!$F$2:$F$1477,$A270)*EXACT('Rule-Event map'!$G$2:$G$1477,$B270)*('Rule-Event map'!$C$2:$C$1477="New ITDR (7.6.0)"))</f>
        <v>0</v>
      </c>
      <c r="H270" s="5" t="n">
        <f aca="false">SUMPRODUCT(EXACT('Rule-Event map'!$F$2:$F$1477,$A270)*EXACT('Rule-Event map'!$G$2:$G$1477,$B270)*('Rule-Event map'!$C$2:$C$1477="Existing, re-tagged ITDR"))</f>
        <v>0</v>
      </c>
      <c r="I270" s="5" t="n">
        <f aca="false">F270-G270-H270</f>
        <v>1</v>
      </c>
      <c r="J270" s="5" t="n">
        <f aca="false">SUMPRODUCT(EXACT('Rule-Event map'!$F$2:$F$1477,$A270)*EXACT('Rule-Event map'!$G$2:$G$1477,$B270)*('Rule-Event map'!$E$2:$E$1477="Enabled"))</f>
        <v>1</v>
      </c>
      <c r="K270" s="2" t="s">
        <v>5542</v>
      </c>
    </row>
    <row r="271" customFormat="false" ht="15" hidden="false" customHeight="false" outlineLevel="0" collapsed="false">
      <c r="A271" s="5" t="s">
        <v>7670</v>
      </c>
      <c r="B271" s="2" t="s">
        <v>7925</v>
      </c>
      <c r="C271" s="5"/>
      <c r="D271" s="5"/>
      <c r="E271" s="5" t="s">
        <v>8336</v>
      </c>
      <c r="F271" s="5" t="n">
        <f aca="false">SUMPRODUCT(EXACT('Rule-Event map'!$F$2:$F$1477,$A271)*EXACT('Rule-Event map'!$G$2:$G$1477,$B271))</f>
        <v>1</v>
      </c>
      <c r="G271" s="5" t="n">
        <f aca="false">SUMPRODUCT(EXACT('Rule-Event map'!$F$2:$F$1477,$A271)*EXACT('Rule-Event map'!$G$2:$G$1477,$B271)*('Rule-Event map'!$C$2:$C$1477="New ITDR (7.6.0)"))</f>
        <v>0</v>
      </c>
      <c r="H271" s="5" t="n">
        <f aca="false">SUMPRODUCT(EXACT('Rule-Event map'!$F$2:$F$1477,$A271)*EXACT('Rule-Event map'!$G$2:$G$1477,$B271)*('Rule-Event map'!$C$2:$C$1477="Existing, re-tagged ITDR"))</f>
        <v>0</v>
      </c>
      <c r="I271" s="5" t="n">
        <f aca="false">F271-G271-H271</f>
        <v>1</v>
      </c>
      <c r="J271" s="5" t="n">
        <f aca="false">SUMPRODUCT(EXACT('Rule-Event map'!$F$2:$F$1477,$A271)*EXACT('Rule-Event map'!$G$2:$G$1477,$B271)*('Rule-Event map'!$E$2:$E$1477="Enabled"))</f>
        <v>1</v>
      </c>
      <c r="K271" s="2" t="s">
        <v>5130</v>
      </c>
    </row>
    <row r="272" customFormat="false" ht="15" hidden="false" customHeight="false" outlineLevel="0" collapsed="false">
      <c r="A272" s="5" t="s">
        <v>7670</v>
      </c>
      <c r="B272" s="2" t="s">
        <v>7957</v>
      </c>
      <c r="C272" s="5"/>
      <c r="D272" s="5"/>
      <c r="E272" s="5" t="s">
        <v>8336</v>
      </c>
      <c r="F272" s="5" t="n">
        <f aca="false">SUMPRODUCT(EXACT('Rule-Event map'!$F$2:$F$1477,$A272)*EXACT('Rule-Event map'!$G$2:$G$1477,$B272))</f>
        <v>1</v>
      </c>
      <c r="G272" s="5" t="n">
        <f aca="false">SUMPRODUCT(EXACT('Rule-Event map'!$F$2:$F$1477,$A272)*EXACT('Rule-Event map'!$G$2:$G$1477,$B272)*('Rule-Event map'!$C$2:$C$1477="New ITDR (7.6.0)"))</f>
        <v>0</v>
      </c>
      <c r="H272" s="5" t="n">
        <f aca="false">SUMPRODUCT(EXACT('Rule-Event map'!$F$2:$F$1477,$A272)*EXACT('Rule-Event map'!$G$2:$G$1477,$B272)*('Rule-Event map'!$C$2:$C$1477="Existing, re-tagged ITDR"))</f>
        <v>0</v>
      </c>
      <c r="I272" s="5" t="n">
        <f aca="false">F272-G272-H272</f>
        <v>1</v>
      </c>
      <c r="J272" s="5" t="n">
        <f aca="false">SUMPRODUCT(EXACT('Rule-Event map'!$F$2:$F$1477,$A272)*EXACT('Rule-Event map'!$G$2:$G$1477,$B272)*('Rule-Event map'!$E$2:$E$1477="Enabled"))</f>
        <v>1</v>
      </c>
      <c r="K272" s="2" t="s">
        <v>5270</v>
      </c>
    </row>
    <row r="273" customFormat="false" ht="15" hidden="false" customHeight="false" outlineLevel="0" collapsed="false">
      <c r="A273" s="5" t="s">
        <v>7670</v>
      </c>
      <c r="B273" s="2" t="s">
        <v>8034</v>
      </c>
      <c r="C273" s="5"/>
      <c r="D273" s="5"/>
      <c r="E273" s="5" t="s">
        <v>8336</v>
      </c>
      <c r="F273" s="5" t="n">
        <f aca="false">SUMPRODUCT(EXACT('Rule-Event map'!$F$2:$F$1477,$A273)*EXACT('Rule-Event map'!$G$2:$G$1477,$B273))</f>
        <v>1</v>
      </c>
      <c r="G273" s="5" t="n">
        <f aca="false">SUMPRODUCT(EXACT('Rule-Event map'!$F$2:$F$1477,$A273)*EXACT('Rule-Event map'!$G$2:$G$1477,$B273)*('Rule-Event map'!$C$2:$C$1477="New ITDR (7.6.0)"))</f>
        <v>0</v>
      </c>
      <c r="H273" s="5" t="n">
        <f aca="false">SUMPRODUCT(EXACT('Rule-Event map'!$F$2:$F$1477,$A273)*EXACT('Rule-Event map'!$G$2:$G$1477,$B273)*('Rule-Event map'!$C$2:$C$1477="Existing, re-tagged ITDR"))</f>
        <v>0</v>
      </c>
      <c r="I273" s="5" t="n">
        <f aca="false">F273-G273-H273</f>
        <v>1</v>
      </c>
      <c r="J273" s="5" t="n">
        <f aca="false">SUMPRODUCT(EXACT('Rule-Event map'!$F$2:$F$1477,$A273)*EXACT('Rule-Event map'!$G$2:$G$1477,$B273)*('Rule-Event map'!$E$2:$E$1477="Enabled"))</f>
        <v>1</v>
      </c>
      <c r="K273" s="2" t="s">
        <v>5507</v>
      </c>
    </row>
    <row r="274" customFormat="false" ht="15" hidden="false" customHeight="false" outlineLevel="0" collapsed="false">
      <c r="A274" s="5" t="s">
        <v>7670</v>
      </c>
      <c r="B274" s="2" t="s">
        <v>7955</v>
      </c>
      <c r="C274" s="5"/>
      <c r="D274" s="5"/>
      <c r="E274" s="5" t="s">
        <v>8336</v>
      </c>
      <c r="F274" s="5" t="n">
        <f aca="false">SUMPRODUCT(EXACT('Rule-Event map'!$F$2:$F$1477,$A274)*EXACT('Rule-Event map'!$G$2:$G$1477,$B274))</f>
        <v>1</v>
      </c>
      <c r="G274" s="5" t="n">
        <f aca="false">SUMPRODUCT(EXACT('Rule-Event map'!$F$2:$F$1477,$A274)*EXACT('Rule-Event map'!$G$2:$G$1477,$B274)*('Rule-Event map'!$C$2:$C$1477="New ITDR (7.6.0)"))</f>
        <v>0</v>
      </c>
      <c r="H274" s="5" t="n">
        <f aca="false">SUMPRODUCT(EXACT('Rule-Event map'!$F$2:$F$1477,$A274)*EXACT('Rule-Event map'!$G$2:$G$1477,$B274)*('Rule-Event map'!$C$2:$C$1477="Existing, re-tagged ITDR"))</f>
        <v>0</v>
      </c>
      <c r="I274" s="5" t="n">
        <f aca="false">F274-G274-H274</f>
        <v>1</v>
      </c>
      <c r="J274" s="5" t="n">
        <f aca="false">SUMPRODUCT(EXACT('Rule-Event map'!$F$2:$F$1477,$A274)*EXACT('Rule-Event map'!$G$2:$G$1477,$B274)*('Rule-Event map'!$E$2:$E$1477="Enabled"))</f>
        <v>1</v>
      </c>
      <c r="K274" s="2" t="s">
        <v>5237</v>
      </c>
    </row>
    <row r="275" customFormat="false" ht="15" hidden="false" customHeight="false" outlineLevel="0" collapsed="false">
      <c r="A275" s="5" t="s">
        <v>7670</v>
      </c>
      <c r="B275" s="2" t="s">
        <v>8144</v>
      </c>
      <c r="C275" s="5"/>
      <c r="D275" s="5"/>
      <c r="E275" s="5" t="s">
        <v>8336</v>
      </c>
      <c r="F275" s="5" t="n">
        <f aca="false">SUMPRODUCT(EXACT('Rule-Event map'!$F$2:$F$1477,$A275)*EXACT('Rule-Event map'!$G$2:$G$1477,$B275))</f>
        <v>1</v>
      </c>
      <c r="G275" s="5" t="n">
        <f aca="false">SUMPRODUCT(EXACT('Rule-Event map'!$F$2:$F$1477,$A275)*EXACT('Rule-Event map'!$G$2:$G$1477,$B275)*('Rule-Event map'!$C$2:$C$1477="New ITDR (7.6.0)"))</f>
        <v>0</v>
      </c>
      <c r="H275" s="5" t="n">
        <f aca="false">SUMPRODUCT(EXACT('Rule-Event map'!$F$2:$F$1477,$A275)*EXACT('Rule-Event map'!$G$2:$G$1477,$B275)*('Rule-Event map'!$C$2:$C$1477="Existing, re-tagged ITDR"))</f>
        <v>0</v>
      </c>
      <c r="I275" s="5" t="n">
        <f aca="false">F275-G275-H275</f>
        <v>1</v>
      </c>
      <c r="J275" s="5" t="n">
        <f aca="false">SUMPRODUCT(EXACT('Rule-Event map'!$F$2:$F$1477,$A275)*EXACT('Rule-Event map'!$G$2:$G$1477,$B275)*('Rule-Event map'!$E$2:$E$1477="Enabled"))</f>
        <v>1</v>
      </c>
      <c r="K275" s="2" t="s">
        <v>5820</v>
      </c>
    </row>
    <row r="276" customFormat="false" ht="15" hidden="false" customHeight="false" outlineLevel="0" collapsed="false">
      <c r="A276" s="5" t="s">
        <v>7670</v>
      </c>
      <c r="B276" s="2" t="s">
        <v>8052</v>
      </c>
      <c r="C276" s="5"/>
      <c r="D276" s="5"/>
      <c r="E276" s="5" t="s">
        <v>8336</v>
      </c>
      <c r="F276" s="5" t="n">
        <f aca="false">SUMPRODUCT(EXACT('Rule-Event map'!$F$2:$F$1477,$A276)*EXACT('Rule-Event map'!$G$2:$G$1477,$B276))</f>
        <v>1</v>
      </c>
      <c r="G276" s="5" t="n">
        <f aca="false">SUMPRODUCT(EXACT('Rule-Event map'!$F$2:$F$1477,$A276)*EXACT('Rule-Event map'!$G$2:$G$1477,$B276)*('Rule-Event map'!$C$2:$C$1477="New ITDR (7.6.0)"))</f>
        <v>0</v>
      </c>
      <c r="H276" s="5" t="n">
        <f aca="false">SUMPRODUCT(EXACT('Rule-Event map'!$F$2:$F$1477,$A276)*EXACT('Rule-Event map'!$G$2:$G$1477,$B276)*('Rule-Event map'!$C$2:$C$1477="Existing, re-tagged ITDR"))</f>
        <v>0</v>
      </c>
      <c r="I276" s="5" t="n">
        <f aca="false">F276-G276-H276</f>
        <v>1</v>
      </c>
      <c r="J276" s="5" t="n">
        <f aca="false">SUMPRODUCT(EXACT('Rule-Event map'!$F$2:$F$1477,$A276)*EXACT('Rule-Event map'!$G$2:$G$1477,$B276)*('Rule-Event map'!$E$2:$E$1477="Enabled"))</f>
        <v>1</v>
      </c>
      <c r="K276" s="2" t="s">
        <v>5600</v>
      </c>
    </row>
    <row r="277" customFormat="false" ht="15" hidden="false" customHeight="false" outlineLevel="0" collapsed="false">
      <c r="A277" s="5" t="s">
        <v>7670</v>
      </c>
      <c r="B277" s="2" t="s">
        <v>7949</v>
      </c>
      <c r="C277" s="5"/>
      <c r="D277" s="5"/>
      <c r="E277" s="5" t="s">
        <v>8336</v>
      </c>
      <c r="F277" s="5" t="n">
        <f aca="false">SUMPRODUCT(EXACT('Rule-Event map'!$F$2:$F$1477,$A277)*EXACT('Rule-Event map'!$G$2:$G$1477,$B277))</f>
        <v>1</v>
      </c>
      <c r="G277" s="5" t="n">
        <f aca="false">SUMPRODUCT(EXACT('Rule-Event map'!$F$2:$F$1477,$A277)*EXACT('Rule-Event map'!$G$2:$G$1477,$B277)*('Rule-Event map'!$C$2:$C$1477="New ITDR (7.6.0)"))</f>
        <v>0</v>
      </c>
      <c r="H277" s="5" t="n">
        <f aca="false">SUMPRODUCT(EXACT('Rule-Event map'!$F$2:$F$1477,$A277)*EXACT('Rule-Event map'!$G$2:$G$1477,$B277)*('Rule-Event map'!$C$2:$C$1477="Existing, re-tagged ITDR"))</f>
        <v>0</v>
      </c>
      <c r="I277" s="5" t="n">
        <f aca="false">F277-G277-H277</f>
        <v>1</v>
      </c>
      <c r="J277" s="5" t="n">
        <f aca="false">SUMPRODUCT(EXACT('Rule-Event map'!$F$2:$F$1477,$A277)*EXACT('Rule-Event map'!$G$2:$G$1477,$B277)*('Rule-Event map'!$E$2:$E$1477="Enabled"))</f>
        <v>1</v>
      </c>
      <c r="K277" s="2" t="s">
        <v>5219</v>
      </c>
    </row>
    <row r="278" customFormat="false" ht="15" hidden="false" customHeight="false" outlineLevel="0" collapsed="false">
      <c r="A278" s="5" t="s">
        <v>7670</v>
      </c>
      <c r="B278" s="2" t="s">
        <v>7990</v>
      </c>
      <c r="C278" s="5"/>
      <c r="D278" s="5"/>
      <c r="E278" s="5" t="s">
        <v>8336</v>
      </c>
      <c r="F278" s="5" t="n">
        <f aca="false">SUMPRODUCT(EXACT('Rule-Event map'!$F$2:$F$1477,$A278)*EXACT('Rule-Event map'!$G$2:$G$1477,$B278))</f>
        <v>1</v>
      </c>
      <c r="G278" s="5" t="n">
        <f aca="false">SUMPRODUCT(EXACT('Rule-Event map'!$F$2:$F$1477,$A278)*EXACT('Rule-Event map'!$G$2:$G$1477,$B278)*('Rule-Event map'!$C$2:$C$1477="New ITDR (7.6.0)"))</f>
        <v>0</v>
      </c>
      <c r="H278" s="5" t="n">
        <f aca="false">SUMPRODUCT(EXACT('Rule-Event map'!$F$2:$F$1477,$A278)*EXACT('Rule-Event map'!$G$2:$G$1477,$B278)*('Rule-Event map'!$C$2:$C$1477="Existing, re-tagged ITDR"))</f>
        <v>0</v>
      </c>
      <c r="I278" s="5" t="n">
        <f aca="false">F278-G278-H278</f>
        <v>1</v>
      </c>
      <c r="J278" s="5" t="n">
        <f aca="false">SUMPRODUCT(EXACT('Rule-Event map'!$F$2:$F$1477,$A278)*EXACT('Rule-Event map'!$G$2:$G$1477,$B278)*('Rule-Event map'!$E$2:$E$1477="Enabled"))</f>
        <v>1</v>
      </c>
      <c r="K278" s="2" t="s">
        <v>5349</v>
      </c>
    </row>
    <row r="279" customFormat="false" ht="15" hidden="false" customHeight="false" outlineLevel="0" collapsed="false">
      <c r="A279" s="5" t="s">
        <v>7670</v>
      </c>
      <c r="B279" s="2" t="s">
        <v>8070</v>
      </c>
      <c r="C279" s="5"/>
      <c r="D279" s="5"/>
      <c r="E279" s="5" t="s">
        <v>8336</v>
      </c>
      <c r="F279" s="5" t="n">
        <f aca="false">SUMPRODUCT(EXACT('Rule-Event map'!$F$2:$F$1477,$A279)*EXACT('Rule-Event map'!$G$2:$G$1477,$B279))</f>
        <v>1</v>
      </c>
      <c r="G279" s="5" t="n">
        <f aca="false">SUMPRODUCT(EXACT('Rule-Event map'!$F$2:$F$1477,$A279)*EXACT('Rule-Event map'!$G$2:$G$1477,$B279)*('Rule-Event map'!$C$2:$C$1477="New ITDR (7.6.0)"))</f>
        <v>0</v>
      </c>
      <c r="H279" s="5" t="n">
        <f aca="false">SUMPRODUCT(EXACT('Rule-Event map'!$F$2:$F$1477,$A279)*EXACT('Rule-Event map'!$G$2:$G$1477,$B279)*('Rule-Event map'!$C$2:$C$1477="Existing, re-tagged ITDR"))</f>
        <v>0</v>
      </c>
      <c r="I279" s="5" t="n">
        <f aca="false">F279-G279-H279</f>
        <v>1</v>
      </c>
      <c r="J279" s="5" t="n">
        <f aca="false">SUMPRODUCT(EXACT('Rule-Event map'!$F$2:$F$1477,$A279)*EXACT('Rule-Event map'!$G$2:$G$1477,$B279)*('Rule-Event map'!$E$2:$E$1477="Enabled"))</f>
        <v>1</v>
      </c>
      <c r="K279" s="2" t="s">
        <v>5630</v>
      </c>
    </row>
    <row r="280" customFormat="false" ht="15" hidden="false" customHeight="false" outlineLevel="0" collapsed="false">
      <c r="A280" s="5" t="s">
        <v>7670</v>
      </c>
      <c r="B280" s="2" t="s">
        <v>7943</v>
      </c>
      <c r="C280" s="5"/>
      <c r="D280" s="5"/>
      <c r="E280" s="5" t="s">
        <v>8336</v>
      </c>
      <c r="F280" s="5" t="n">
        <f aca="false">SUMPRODUCT(EXACT('Rule-Event map'!$F$2:$F$1477,$A280)*EXACT('Rule-Event map'!$G$2:$G$1477,$B280))</f>
        <v>1</v>
      </c>
      <c r="G280" s="5" t="n">
        <f aca="false">SUMPRODUCT(EXACT('Rule-Event map'!$F$2:$F$1477,$A280)*EXACT('Rule-Event map'!$G$2:$G$1477,$B280)*('Rule-Event map'!$C$2:$C$1477="New ITDR (7.6.0)"))</f>
        <v>0</v>
      </c>
      <c r="H280" s="5" t="n">
        <f aca="false">SUMPRODUCT(EXACT('Rule-Event map'!$F$2:$F$1477,$A280)*EXACT('Rule-Event map'!$G$2:$G$1477,$B280)*('Rule-Event map'!$C$2:$C$1477="Existing, re-tagged ITDR"))</f>
        <v>0</v>
      </c>
      <c r="I280" s="5" t="n">
        <f aca="false">F280-G280-H280</f>
        <v>1</v>
      </c>
      <c r="J280" s="5" t="n">
        <f aca="false">SUMPRODUCT(EXACT('Rule-Event map'!$F$2:$F$1477,$A280)*EXACT('Rule-Event map'!$G$2:$G$1477,$B280)*('Rule-Event map'!$E$2:$E$1477="Enabled"))</f>
        <v>1</v>
      </c>
      <c r="K280" s="2" t="s">
        <v>5205</v>
      </c>
    </row>
    <row r="281" customFormat="false" ht="15" hidden="false" customHeight="false" outlineLevel="0" collapsed="false">
      <c r="A281" s="5" t="s">
        <v>7670</v>
      </c>
      <c r="B281" s="2" t="s">
        <v>7945</v>
      </c>
      <c r="C281" s="5"/>
      <c r="D281" s="5"/>
      <c r="E281" s="5" t="s">
        <v>8336</v>
      </c>
      <c r="F281" s="5" t="n">
        <f aca="false">SUMPRODUCT(EXACT('Rule-Event map'!$F$2:$F$1477,$A281)*EXACT('Rule-Event map'!$G$2:$G$1477,$B281))</f>
        <v>1</v>
      </c>
      <c r="G281" s="5" t="n">
        <f aca="false">SUMPRODUCT(EXACT('Rule-Event map'!$F$2:$F$1477,$A281)*EXACT('Rule-Event map'!$G$2:$G$1477,$B281)*('Rule-Event map'!$C$2:$C$1477="New ITDR (7.6.0)"))</f>
        <v>0</v>
      </c>
      <c r="H281" s="5" t="n">
        <f aca="false">SUMPRODUCT(EXACT('Rule-Event map'!$F$2:$F$1477,$A281)*EXACT('Rule-Event map'!$G$2:$G$1477,$B281)*('Rule-Event map'!$C$2:$C$1477="Existing, re-tagged ITDR"))</f>
        <v>0</v>
      </c>
      <c r="I281" s="5" t="n">
        <f aca="false">F281-G281-H281</f>
        <v>1</v>
      </c>
      <c r="J281" s="5" t="n">
        <f aca="false">SUMPRODUCT(EXACT('Rule-Event map'!$F$2:$F$1477,$A281)*EXACT('Rule-Event map'!$G$2:$G$1477,$B281)*('Rule-Event map'!$E$2:$E$1477="Enabled"))</f>
        <v>1</v>
      </c>
      <c r="K281" s="2" t="s">
        <v>5205</v>
      </c>
    </row>
    <row r="282" customFormat="false" ht="15" hidden="false" customHeight="false" outlineLevel="0" collapsed="false">
      <c r="A282" s="5" t="s">
        <v>7670</v>
      </c>
      <c r="B282" s="2" t="s">
        <v>8104</v>
      </c>
      <c r="C282" s="5"/>
      <c r="D282" s="5"/>
      <c r="E282" s="5" t="s">
        <v>8336</v>
      </c>
      <c r="F282" s="5" t="n">
        <f aca="false">SUMPRODUCT(EXACT('Rule-Event map'!$F$2:$F$1477,$A282)*EXACT('Rule-Event map'!$G$2:$G$1477,$B282))</f>
        <v>1</v>
      </c>
      <c r="G282" s="5" t="n">
        <f aca="false">SUMPRODUCT(EXACT('Rule-Event map'!$F$2:$F$1477,$A282)*EXACT('Rule-Event map'!$G$2:$G$1477,$B282)*('Rule-Event map'!$C$2:$C$1477="New ITDR (7.6.0)"))</f>
        <v>0</v>
      </c>
      <c r="H282" s="5" t="n">
        <f aca="false">SUMPRODUCT(EXACT('Rule-Event map'!$F$2:$F$1477,$A282)*EXACT('Rule-Event map'!$G$2:$G$1477,$B282)*('Rule-Event map'!$C$2:$C$1477="Existing, re-tagged ITDR"))</f>
        <v>0</v>
      </c>
      <c r="I282" s="5" t="n">
        <f aca="false">F282-G282-H282</f>
        <v>1</v>
      </c>
      <c r="J282" s="5" t="n">
        <f aca="false">SUMPRODUCT(EXACT('Rule-Event map'!$F$2:$F$1477,$A282)*EXACT('Rule-Event map'!$G$2:$G$1477,$B282)*('Rule-Event map'!$E$2:$E$1477="Enabled"))</f>
        <v>1</v>
      </c>
      <c r="K282" s="2" t="s">
        <v>5734</v>
      </c>
    </row>
    <row r="283" customFormat="false" ht="15" hidden="false" customHeight="false" outlineLevel="0" collapsed="false">
      <c r="A283" s="5" t="s">
        <v>7670</v>
      </c>
      <c r="B283" s="2" t="s">
        <v>8134</v>
      </c>
      <c r="C283" s="5"/>
      <c r="D283" s="5"/>
      <c r="E283" s="5" t="s">
        <v>8336</v>
      </c>
      <c r="F283" s="5" t="n">
        <f aca="false">SUMPRODUCT(EXACT('Rule-Event map'!$F$2:$F$1477,$A283)*EXACT('Rule-Event map'!$G$2:$G$1477,$B283))</f>
        <v>1</v>
      </c>
      <c r="G283" s="5" t="n">
        <f aca="false">SUMPRODUCT(EXACT('Rule-Event map'!$F$2:$F$1477,$A283)*EXACT('Rule-Event map'!$G$2:$G$1477,$B283)*('Rule-Event map'!$C$2:$C$1477="New ITDR (7.6.0)"))</f>
        <v>0</v>
      </c>
      <c r="H283" s="5" t="n">
        <f aca="false">SUMPRODUCT(EXACT('Rule-Event map'!$F$2:$F$1477,$A283)*EXACT('Rule-Event map'!$G$2:$G$1477,$B283)*('Rule-Event map'!$C$2:$C$1477="Existing, re-tagged ITDR"))</f>
        <v>0</v>
      </c>
      <c r="I283" s="5" t="n">
        <f aca="false">F283-G283-H283</f>
        <v>1</v>
      </c>
      <c r="J283" s="5" t="n">
        <f aca="false">SUMPRODUCT(EXACT('Rule-Event map'!$F$2:$F$1477,$A283)*EXACT('Rule-Event map'!$G$2:$G$1477,$B283)*('Rule-Event map'!$E$2:$E$1477="Enabled"))</f>
        <v>1</v>
      </c>
      <c r="K283" s="2" t="s">
        <v>5808</v>
      </c>
    </row>
    <row r="284" customFormat="false" ht="15" hidden="false" customHeight="false" outlineLevel="0" collapsed="false">
      <c r="A284" s="5" t="s">
        <v>7670</v>
      </c>
      <c r="B284" s="2" t="s">
        <v>8164</v>
      </c>
      <c r="C284" s="5"/>
      <c r="D284" s="5"/>
      <c r="E284" s="5" t="s">
        <v>8336</v>
      </c>
      <c r="F284" s="5" t="n">
        <f aca="false">SUMPRODUCT(EXACT('Rule-Event map'!$F$2:$F$1477,$A284)*EXACT('Rule-Event map'!$G$2:$G$1477,$B284))</f>
        <v>1</v>
      </c>
      <c r="G284" s="5" t="n">
        <f aca="false">SUMPRODUCT(EXACT('Rule-Event map'!$F$2:$F$1477,$A284)*EXACT('Rule-Event map'!$G$2:$G$1477,$B284)*('Rule-Event map'!$C$2:$C$1477="New ITDR (7.6.0)"))</f>
        <v>0</v>
      </c>
      <c r="H284" s="5" t="n">
        <f aca="false">SUMPRODUCT(EXACT('Rule-Event map'!$F$2:$F$1477,$A284)*EXACT('Rule-Event map'!$G$2:$G$1477,$B284)*('Rule-Event map'!$C$2:$C$1477="Existing, re-tagged ITDR"))</f>
        <v>0</v>
      </c>
      <c r="I284" s="5" t="n">
        <f aca="false">F284-G284-H284</f>
        <v>1</v>
      </c>
      <c r="J284" s="5" t="n">
        <f aca="false">SUMPRODUCT(EXACT('Rule-Event map'!$F$2:$F$1477,$A284)*EXACT('Rule-Event map'!$G$2:$G$1477,$B284)*('Rule-Event map'!$E$2:$E$1477="Enabled"))</f>
        <v>1</v>
      </c>
      <c r="K284" s="2" t="s">
        <v>5899</v>
      </c>
    </row>
    <row r="285" customFormat="false" ht="15" hidden="false" customHeight="false" outlineLevel="0" collapsed="false">
      <c r="A285" s="5" t="s">
        <v>7670</v>
      </c>
      <c r="B285" s="2" t="s">
        <v>8194</v>
      </c>
      <c r="C285" s="5"/>
      <c r="D285" s="5"/>
      <c r="E285" s="5" t="s">
        <v>8336</v>
      </c>
      <c r="F285" s="5" t="n">
        <f aca="false">SUMPRODUCT(EXACT('Rule-Event map'!$F$2:$F$1477,$A285)*EXACT('Rule-Event map'!$G$2:$G$1477,$B285))</f>
        <v>1</v>
      </c>
      <c r="G285" s="5" t="n">
        <f aca="false">SUMPRODUCT(EXACT('Rule-Event map'!$F$2:$F$1477,$A285)*EXACT('Rule-Event map'!$G$2:$G$1477,$B285)*('Rule-Event map'!$C$2:$C$1477="New ITDR (7.6.0)"))</f>
        <v>0</v>
      </c>
      <c r="H285" s="5" t="n">
        <f aca="false">SUMPRODUCT(EXACT('Rule-Event map'!$F$2:$F$1477,$A285)*EXACT('Rule-Event map'!$G$2:$G$1477,$B285)*('Rule-Event map'!$C$2:$C$1477="Existing, re-tagged ITDR"))</f>
        <v>0</v>
      </c>
      <c r="I285" s="5" t="n">
        <f aca="false">F285-G285-H285</f>
        <v>1</v>
      </c>
      <c r="J285" s="5" t="n">
        <f aca="false">SUMPRODUCT(EXACT('Rule-Event map'!$F$2:$F$1477,$A285)*EXACT('Rule-Event map'!$G$2:$G$1477,$B285)*('Rule-Event map'!$E$2:$E$1477="Enabled"))</f>
        <v>1</v>
      </c>
      <c r="K285" s="2" t="s">
        <v>5978</v>
      </c>
    </row>
    <row r="286" customFormat="false" ht="15" hidden="false" customHeight="false" outlineLevel="0" collapsed="false">
      <c r="A286" s="5" t="s">
        <v>7670</v>
      </c>
      <c r="B286" s="2" t="s">
        <v>7953</v>
      </c>
      <c r="C286" s="5"/>
      <c r="D286" s="5"/>
      <c r="E286" s="5" t="s">
        <v>8336</v>
      </c>
      <c r="F286" s="5" t="n">
        <f aca="false">SUMPRODUCT(EXACT('Rule-Event map'!$F$2:$F$1477,$A286)*EXACT('Rule-Event map'!$G$2:$G$1477,$B286))</f>
        <v>1</v>
      </c>
      <c r="G286" s="5" t="n">
        <f aca="false">SUMPRODUCT(EXACT('Rule-Event map'!$F$2:$F$1477,$A286)*EXACT('Rule-Event map'!$G$2:$G$1477,$B286)*('Rule-Event map'!$C$2:$C$1477="New ITDR (7.6.0)"))</f>
        <v>0</v>
      </c>
      <c r="H286" s="5" t="n">
        <f aca="false">SUMPRODUCT(EXACT('Rule-Event map'!$F$2:$F$1477,$A286)*EXACT('Rule-Event map'!$G$2:$G$1477,$B286)*('Rule-Event map'!$C$2:$C$1477="Existing, re-tagged ITDR"))</f>
        <v>0</v>
      </c>
      <c r="I286" s="5" t="n">
        <f aca="false">F286-G286-H286</f>
        <v>1</v>
      </c>
      <c r="J286" s="5" t="n">
        <f aca="false">SUMPRODUCT(EXACT('Rule-Event map'!$F$2:$F$1477,$A286)*EXACT('Rule-Event map'!$G$2:$G$1477,$B286)*('Rule-Event map'!$E$2:$E$1477="Enabled"))</f>
        <v>1</v>
      </c>
      <c r="K286" s="2" t="s">
        <v>5231</v>
      </c>
    </row>
    <row r="287" customFormat="false" ht="15" hidden="false" customHeight="false" outlineLevel="0" collapsed="false">
      <c r="A287" s="5" t="s">
        <v>7670</v>
      </c>
      <c r="B287" s="2" t="s">
        <v>8008</v>
      </c>
      <c r="C287" s="5"/>
      <c r="D287" s="5"/>
      <c r="E287" s="5" t="s">
        <v>8336</v>
      </c>
      <c r="F287" s="5" t="n">
        <f aca="false">SUMPRODUCT(EXACT('Rule-Event map'!$F$2:$F$1477,$A287)*EXACT('Rule-Event map'!$G$2:$G$1477,$B287))</f>
        <v>1</v>
      </c>
      <c r="G287" s="5" t="n">
        <f aca="false">SUMPRODUCT(EXACT('Rule-Event map'!$F$2:$F$1477,$A287)*EXACT('Rule-Event map'!$G$2:$G$1477,$B287)*('Rule-Event map'!$C$2:$C$1477="New ITDR (7.6.0)"))</f>
        <v>0</v>
      </c>
      <c r="H287" s="5" t="n">
        <f aca="false">SUMPRODUCT(EXACT('Rule-Event map'!$F$2:$F$1477,$A287)*EXACT('Rule-Event map'!$G$2:$G$1477,$B287)*('Rule-Event map'!$C$2:$C$1477="Existing, re-tagged ITDR"))</f>
        <v>0</v>
      </c>
      <c r="I287" s="5" t="n">
        <f aca="false">F287-G287-H287</f>
        <v>1</v>
      </c>
      <c r="J287" s="5" t="n">
        <f aca="false">SUMPRODUCT(EXACT('Rule-Event map'!$F$2:$F$1477,$A287)*EXACT('Rule-Event map'!$G$2:$G$1477,$B287)*('Rule-Event map'!$E$2:$E$1477="Enabled"))</f>
        <v>1</v>
      </c>
      <c r="K287" s="2" t="s">
        <v>5402</v>
      </c>
    </row>
    <row r="288" customFormat="false" ht="23.85" hidden="false" customHeight="false" outlineLevel="0" collapsed="false">
      <c r="A288" s="5" t="s">
        <v>7670</v>
      </c>
      <c r="B288" s="2" t="s">
        <v>8084</v>
      </c>
      <c r="C288" s="5"/>
      <c r="D288" s="5"/>
      <c r="E288" s="5" t="s">
        <v>8336</v>
      </c>
      <c r="F288" s="5" t="n">
        <f aca="false">SUMPRODUCT(EXACT('Rule-Event map'!$F$2:$F$1477,$A288)*EXACT('Rule-Event map'!$G$2:$G$1477,$B288))</f>
        <v>1</v>
      </c>
      <c r="G288" s="5" t="n">
        <f aca="false">SUMPRODUCT(EXACT('Rule-Event map'!$F$2:$F$1477,$A288)*EXACT('Rule-Event map'!$G$2:$G$1477,$B288)*('Rule-Event map'!$C$2:$C$1477="New ITDR (7.6.0)"))</f>
        <v>0</v>
      </c>
      <c r="H288" s="5" t="n">
        <f aca="false">SUMPRODUCT(EXACT('Rule-Event map'!$F$2:$F$1477,$A288)*EXACT('Rule-Event map'!$G$2:$G$1477,$B288)*('Rule-Event map'!$C$2:$C$1477="Existing, re-tagged ITDR"))</f>
        <v>0</v>
      </c>
      <c r="I288" s="5" t="n">
        <f aca="false">F288-G288-H288</f>
        <v>1</v>
      </c>
      <c r="J288" s="5" t="n">
        <f aca="false">SUMPRODUCT(EXACT('Rule-Event map'!$F$2:$F$1477,$A288)*EXACT('Rule-Event map'!$G$2:$G$1477,$B288)*('Rule-Event map'!$E$2:$E$1477="Enabled"))</f>
        <v>1</v>
      </c>
      <c r="K288" s="2" t="s">
        <v>5655</v>
      </c>
    </row>
    <row r="289" customFormat="false" ht="15" hidden="false" customHeight="false" outlineLevel="0" collapsed="false">
      <c r="A289" s="5" t="s">
        <v>7670</v>
      </c>
      <c r="B289" s="2" t="s">
        <v>8024</v>
      </c>
      <c r="C289" s="5"/>
      <c r="D289" s="5"/>
      <c r="E289" s="5" t="s">
        <v>8336</v>
      </c>
      <c r="F289" s="5" t="n">
        <f aca="false">SUMPRODUCT(EXACT('Rule-Event map'!$F$2:$F$1477,$A289)*EXACT('Rule-Event map'!$G$2:$G$1477,$B289))</f>
        <v>1</v>
      </c>
      <c r="G289" s="5" t="n">
        <f aca="false">SUMPRODUCT(EXACT('Rule-Event map'!$F$2:$F$1477,$A289)*EXACT('Rule-Event map'!$G$2:$G$1477,$B289)*('Rule-Event map'!$C$2:$C$1477="New ITDR (7.6.0)"))</f>
        <v>0</v>
      </c>
      <c r="H289" s="5" t="n">
        <f aca="false">SUMPRODUCT(EXACT('Rule-Event map'!$F$2:$F$1477,$A289)*EXACT('Rule-Event map'!$G$2:$G$1477,$B289)*('Rule-Event map'!$C$2:$C$1477="Existing, re-tagged ITDR"))</f>
        <v>0</v>
      </c>
      <c r="I289" s="5" t="n">
        <f aca="false">F289-G289-H289</f>
        <v>1</v>
      </c>
      <c r="J289" s="5" t="n">
        <f aca="false">SUMPRODUCT(EXACT('Rule-Event map'!$F$2:$F$1477,$A289)*EXACT('Rule-Event map'!$G$2:$G$1477,$B289)*('Rule-Event map'!$E$2:$E$1477="Enabled"))</f>
        <v>1</v>
      </c>
      <c r="K289" s="2" t="s">
        <v>5465</v>
      </c>
    </row>
    <row r="290" customFormat="false" ht="15" hidden="false" customHeight="false" outlineLevel="0" collapsed="false">
      <c r="A290" s="5" t="s">
        <v>7670</v>
      </c>
      <c r="B290" s="2" t="s">
        <v>8032</v>
      </c>
      <c r="C290" s="5"/>
      <c r="D290" s="5"/>
      <c r="E290" s="5" t="s">
        <v>8336</v>
      </c>
      <c r="F290" s="5" t="n">
        <f aca="false">SUMPRODUCT(EXACT('Rule-Event map'!$F$2:$F$1477,$A290)*EXACT('Rule-Event map'!$G$2:$G$1477,$B290))</f>
        <v>1</v>
      </c>
      <c r="G290" s="5" t="n">
        <f aca="false">SUMPRODUCT(EXACT('Rule-Event map'!$F$2:$F$1477,$A290)*EXACT('Rule-Event map'!$G$2:$G$1477,$B290)*('Rule-Event map'!$C$2:$C$1477="New ITDR (7.6.0)"))</f>
        <v>0</v>
      </c>
      <c r="H290" s="5" t="n">
        <f aca="false">SUMPRODUCT(EXACT('Rule-Event map'!$F$2:$F$1477,$A290)*EXACT('Rule-Event map'!$G$2:$G$1477,$B290)*('Rule-Event map'!$C$2:$C$1477="Existing, re-tagged ITDR"))</f>
        <v>0</v>
      </c>
      <c r="I290" s="5" t="n">
        <f aca="false">F290-G290-H290</f>
        <v>1</v>
      </c>
      <c r="J290" s="5" t="n">
        <f aca="false">SUMPRODUCT(EXACT('Rule-Event map'!$F$2:$F$1477,$A290)*EXACT('Rule-Event map'!$G$2:$G$1477,$B290)*('Rule-Event map'!$E$2:$E$1477="Enabled"))</f>
        <v>1</v>
      </c>
      <c r="K290" s="2" t="s">
        <v>5501</v>
      </c>
    </row>
    <row r="291" customFormat="false" ht="15" hidden="false" customHeight="false" outlineLevel="0" collapsed="false">
      <c r="A291" s="5" t="s">
        <v>7670</v>
      </c>
      <c r="B291" s="2" t="s">
        <v>8182</v>
      </c>
      <c r="C291" s="5"/>
      <c r="D291" s="5"/>
      <c r="E291" s="5" t="s">
        <v>8336</v>
      </c>
      <c r="F291" s="5" t="n">
        <f aca="false">SUMPRODUCT(EXACT('Rule-Event map'!$F$2:$F$1477,$A291)*EXACT('Rule-Event map'!$G$2:$G$1477,$B291))</f>
        <v>1</v>
      </c>
      <c r="G291" s="5" t="n">
        <f aca="false">SUMPRODUCT(EXACT('Rule-Event map'!$F$2:$F$1477,$A291)*EXACT('Rule-Event map'!$G$2:$G$1477,$B291)*('Rule-Event map'!$C$2:$C$1477="New ITDR (7.6.0)"))</f>
        <v>0</v>
      </c>
      <c r="H291" s="5" t="n">
        <f aca="false">SUMPRODUCT(EXACT('Rule-Event map'!$F$2:$F$1477,$A291)*EXACT('Rule-Event map'!$G$2:$G$1477,$B291)*('Rule-Event map'!$C$2:$C$1477="Existing, re-tagged ITDR"))</f>
        <v>0</v>
      </c>
      <c r="I291" s="5" t="n">
        <f aca="false">F291-G291-H291</f>
        <v>1</v>
      </c>
      <c r="J291" s="5" t="n">
        <f aca="false">SUMPRODUCT(EXACT('Rule-Event map'!$F$2:$F$1477,$A291)*EXACT('Rule-Event map'!$G$2:$G$1477,$B291)*('Rule-Event map'!$E$2:$E$1477="Enabled"))</f>
        <v>1</v>
      </c>
      <c r="K291" s="2" t="s">
        <v>5961</v>
      </c>
    </row>
    <row r="292" customFormat="false" ht="15" hidden="false" customHeight="false" outlineLevel="0" collapsed="false">
      <c r="A292" s="5" t="s">
        <v>7670</v>
      </c>
      <c r="B292" s="2" t="s">
        <v>731</v>
      </c>
      <c r="C292" s="5"/>
      <c r="D292" s="5"/>
      <c r="E292" s="5" t="s">
        <v>8336</v>
      </c>
      <c r="F292" s="5" t="n">
        <f aca="false">SUMPRODUCT(EXACT('Rule-Event map'!$F$2:$F$1477,$A292)*EXACT('Rule-Event map'!$G$2:$G$1477,$B292))</f>
        <v>1</v>
      </c>
      <c r="G292" s="5" t="n">
        <f aca="false">SUMPRODUCT(EXACT('Rule-Event map'!$F$2:$F$1477,$A292)*EXACT('Rule-Event map'!$G$2:$G$1477,$B292)*('Rule-Event map'!$C$2:$C$1477="New ITDR (7.6.0)"))</f>
        <v>0</v>
      </c>
      <c r="H292" s="5" t="n">
        <f aca="false">SUMPRODUCT(EXACT('Rule-Event map'!$F$2:$F$1477,$A292)*EXACT('Rule-Event map'!$G$2:$G$1477,$B292)*('Rule-Event map'!$C$2:$C$1477="Existing, re-tagged ITDR"))</f>
        <v>1</v>
      </c>
      <c r="I292" s="5" t="n">
        <f aca="false">F292-G292-H292</f>
        <v>0</v>
      </c>
      <c r="J292" s="5" t="n">
        <f aca="false">SUMPRODUCT(EXACT('Rule-Event map'!$F$2:$F$1477,$A292)*EXACT('Rule-Event map'!$G$2:$G$1477,$B292)*('Rule-Event map'!$E$2:$E$1477="Enabled"))</f>
        <v>1</v>
      </c>
      <c r="K292" s="2" t="s">
        <v>729</v>
      </c>
    </row>
    <row r="293" customFormat="false" ht="35.05" hidden="false" customHeight="false" outlineLevel="0" collapsed="false">
      <c r="A293" s="5" t="s">
        <v>7670</v>
      </c>
      <c r="B293" s="2" t="s">
        <v>7885</v>
      </c>
      <c r="C293" s="5"/>
      <c r="D293" s="5"/>
      <c r="E293" s="5" t="s">
        <v>8336</v>
      </c>
      <c r="F293" s="5" t="n">
        <f aca="false">SUMPRODUCT(EXACT('Rule-Event map'!$F$2:$F$1477,$A293)*EXACT('Rule-Event map'!$G$2:$G$1477,$B293))</f>
        <v>3</v>
      </c>
      <c r="G293" s="5" t="n">
        <f aca="false">SUMPRODUCT(EXACT('Rule-Event map'!$F$2:$F$1477,$A293)*EXACT('Rule-Event map'!$G$2:$G$1477,$B293)*('Rule-Event map'!$C$2:$C$1477="New ITDR (7.6.0)"))</f>
        <v>0</v>
      </c>
      <c r="H293" s="5" t="n">
        <f aca="false">SUMPRODUCT(EXACT('Rule-Event map'!$F$2:$F$1477,$A293)*EXACT('Rule-Event map'!$G$2:$G$1477,$B293)*('Rule-Event map'!$C$2:$C$1477="Existing, re-tagged ITDR"))</f>
        <v>0</v>
      </c>
      <c r="I293" s="5" t="n">
        <f aca="false">F293-G293-H293</f>
        <v>3</v>
      </c>
      <c r="J293" s="5" t="n">
        <f aca="false">SUMPRODUCT(EXACT('Rule-Event map'!$F$2:$F$1477,$A293)*EXACT('Rule-Event map'!$G$2:$G$1477,$B293)*('Rule-Event map'!$E$2:$E$1477="Enabled"))</f>
        <v>3</v>
      </c>
      <c r="K293" s="2" t="s">
        <v>8373</v>
      </c>
    </row>
    <row r="294" customFormat="false" ht="15" hidden="false" customHeight="false" outlineLevel="0" collapsed="false">
      <c r="A294" s="5" t="s">
        <v>7670</v>
      </c>
      <c r="B294" s="2" t="s">
        <v>7985</v>
      </c>
      <c r="C294" s="5"/>
      <c r="D294" s="5"/>
      <c r="E294" s="5" t="s">
        <v>8336</v>
      </c>
      <c r="F294" s="5" t="n">
        <f aca="false">SUMPRODUCT(EXACT('Rule-Event map'!$F$2:$F$1477,$A294)*EXACT('Rule-Event map'!$G$2:$G$1477,$B294))</f>
        <v>1</v>
      </c>
      <c r="G294" s="5" t="n">
        <f aca="false">SUMPRODUCT(EXACT('Rule-Event map'!$F$2:$F$1477,$A294)*EXACT('Rule-Event map'!$G$2:$G$1477,$B294)*('Rule-Event map'!$C$2:$C$1477="New ITDR (7.6.0)"))</f>
        <v>0</v>
      </c>
      <c r="H294" s="5" t="n">
        <f aca="false">SUMPRODUCT(EXACT('Rule-Event map'!$F$2:$F$1477,$A294)*EXACT('Rule-Event map'!$G$2:$G$1477,$B294)*('Rule-Event map'!$C$2:$C$1477="Existing, re-tagged ITDR"))</f>
        <v>0</v>
      </c>
      <c r="I294" s="5" t="n">
        <f aca="false">F294-G294-H294</f>
        <v>1</v>
      </c>
      <c r="J294" s="5" t="n">
        <f aca="false">SUMPRODUCT(EXACT('Rule-Event map'!$F$2:$F$1477,$A294)*EXACT('Rule-Event map'!$G$2:$G$1477,$B294)*('Rule-Event map'!$E$2:$E$1477="Enabled"))</f>
        <v>0</v>
      </c>
      <c r="K294" s="2" t="s">
        <v>5290</v>
      </c>
    </row>
    <row r="295" customFormat="false" ht="15" hidden="false" customHeight="false" outlineLevel="0" collapsed="false">
      <c r="A295" s="5" t="s">
        <v>7670</v>
      </c>
      <c r="B295" s="2" t="s">
        <v>7952</v>
      </c>
      <c r="C295" s="5"/>
      <c r="D295" s="5"/>
      <c r="E295" s="5" t="s">
        <v>8336</v>
      </c>
      <c r="F295" s="5" t="n">
        <f aca="false">SUMPRODUCT(EXACT('Rule-Event map'!$F$2:$F$1477,$A295)*EXACT('Rule-Event map'!$G$2:$G$1477,$B295))</f>
        <v>1</v>
      </c>
      <c r="G295" s="5" t="n">
        <f aca="false">SUMPRODUCT(EXACT('Rule-Event map'!$F$2:$F$1477,$A295)*EXACT('Rule-Event map'!$G$2:$G$1477,$B295)*('Rule-Event map'!$C$2:$C$1477="New ITDR (7.6.0)"))</f>
        <v>0</v>
      </c>
      <c r="H295" s="5" t="n">
        <f aca="false">SUMPRODUCT(EXACT('Rule-Event map'!$F$2:$F$1477,$A295)*EXACT('Rule-Event map'!$G$2:$G$1477,$B295)*('Rule-Event map'!$C$2:$C$1477="Existing, re-tagged ITDR"))</f>
        <v>0</v>
      </c>
      <c r="I295" s="5" t="n">
        <f aca="false">F295-G295-H295</f>
        <v>1</v>
      </c>
      <c r="J295" s="5" t="n">
        <f aca="false">SUMPRODUCT(EXACT('Rule-Event map'!$F$2:$F$1477,$A295)*EXACT('Rule-Event map'!$G$2:$G$1477,$B295)*('Rule-Event map'!$E$2:$E$1477="Enabled"))</f>
        <v>1</v>
      </c>
      <c r="K295" s="2" t="s">
        <v>5225</v>
      </c>
    </row>
    <row r="296" customFormat="false" ht="15" hidden="false" customHeight="false" outlineLevel="0" collapsed="false">
      <c r="A296" s="5" t="s">
        <v>7670</v>
      </c>
      <c r="B296" s="2" t="s">
        <v>8091</v>
      </c>
      <c r="C296" s="5"/>
      <c r="D296" s="5"/>
      <c r="E296" s="5" t="s">
        <v>8336</v>
      </c>
      <c r="F296" s="5" t="n">
        <f aca="false">SUMPRODUCT(EXACT('Rule-Event map'!$F$2:$F$1477,$A296)*EXACT('Rule-Event map'!$G$2:$G$1477,$B296))</f>
        <v>1</v>
      </c>
      <c r="G296" s="5" t="n">
        <f aca="false">SUMPRODUCT(EXACT('Rule-Event map'!$F$2:$F$1477,$A296)*EXACT('Rule-Event map'!$G$2:$G$1477,$B296)*('Rule-Event map'!$C$2:$C$1477="New ITDR (7.6.0)"))</f>
        <v>0</v>
      </c>
      <c r="H296" s="5" t="n">
        <f aca="false">SUMPRODUCT(EXACT('Rule-Event map'!$F$2:$F$1477,$A296)*EXACT('Rule-Event map'!$G$2:$G$1477,$B296)*('Rule-Event map'!$C$2:$C$1477="Existing, re-tagged ITDR"))</f>
        <v>0</v>
      </c>
      <c r="I296" s="5" t="n">
        <f aca="false">F296-G296-H296</f>
        <v>1</v>
      </c>
      <c r="J296" s="5" t="n">
        <f aca="false">SUMPRODUCT(EXACT('Rule-Event map'!$F$2:$F$1477,$A296)*EXACT('Rule-Event map'!$G$2:$G$1477,$B296)*('Rule-Event map'!$E$2:$E$1477="Enabled"))</f>
        <v>1</v>
      </c>
      <c r="K296" s="2" t="s">
        <v>5685</v>
      </c>
    </row>
    <row r="297" customFormat="false" ht="15" hidden="false" customHeight="false" outlineLevel="0" collapsed="false">
      <c r="A297" s="5" t="s">
        <v>7670</v>
      </c>
      <c r="B297" s="2" t="s">
        <v>8117</v>
      </c>
      <c r="C297" s="5"/>
      <c r="D297" s="5"/>
      <c r="E297" s="5" t="s">
        <v>8336</v>
      </c>
      <c r="F297" s="5" t="n">
        <f aca="false">SUMPRODUCT(EXACT('Rule-Event map'!$F$2:$F$1477,$A297)*EXACT('Rule-Event map'!$G$2:$G$1477,$B297))</f>
        <v>1</v>
      </c>
      <c r="G297" s="5" t="n">
        <f aca="false">SUMPRODUCT(EXACT('Rule-Event map'!$F$2:$F$1477,$A297)*EXACT('Rule-Event map'!$G$2:$G$1477,$B297)*('Rule-Event map'!$C$2:$C$1477="New ITDR (7.6.0)"))</f>
        <v>0</v>
      </c>
      <c r="H297" s="5" t="n">
        <f aca="false">SUMPRODUCT(EXACT('Rule-Event map'!$F$2:$F$1477,$A297)*EXACT('Rule-Event map'!$G$2:$G$1477,$B297)*('Rule-Event map'!$C$2:$C$1477="Existing, re-tagged ITDR"))</f>
        <v>0</v>
      </c>
      <c r="I297" s="5" t="n">
        <f aca="false">F297-G297-H297</f>
        <v>1</v>
      </c>
      <c r="J297" s="5" t="n">
        <f aca="false">SUMPRODUCT(EXACT('Rule-Event map'!$F$2:$F$1477,$A297)*EXACT('Rule-Event map'!$G$2:$G$1477,$B297)*('Rule-Event map'!$E$2:$E$1477="Enabled"))</f>
        <v>1</v>
      </c>
      <c r="K297" s="2" t="s">
        <v>5769</v>
      </c>
    </row>
    <row r="298" customFormat="false" ht="15" hidden="false" customHeight="false" outlineLevel="0" collapsed="false">
      <c r="A298" s="5" t="s">
        <v>7670</v>
      </c>
      <c r="B298" s="2" t="s">
        <v>8109</v>
      </c>
      <c r="C298" s="5"/>
      <c r="D298" s="5"/>
      <c r="E298" s="5" t="s">
        <v>8336</v>
      </c>
      <c r="F298" s="5" t="n">
        <f aca="false">SUMPRODUCT(EXACT('Rule-Event map'!$F$2:$F$1477,$A298)*EXACT('Rule-Event map'!$G$2:$G$1477,$B298))</f>
        <v>1</v>
      </c>
      <c r="G298" s="5" t="n">
        <f aca="false">SUMPRODUCT(EXACT('Rule-Event map'!$F$2:$F$1477,$A298)*EXACT('Rule-Event map'!$G$2:$G$1477,$B298)*('Rule-Event map'!$C$2:$C$1477="New ITDR (7.6.0)"))</f>
        <v>0</v>
      </c>
      <c r="H298" s="5" t="n">
        <f aca="false">SUMPRODUCT(EXACT('Rule-Event map'!$F$2:$F$1477,$A298)*EXACT('Rule-Event map'!$G$2:$G$1477,$B298)*('Rule-Event map'!$C$2:$C$1477="Existing, re-tagged ITDR"))</f>
        <v>0</v>
      </c>
      <c r="I298" s="5" t="n">
        <f aca="false">F298-G298-H298</f>
        <v>1</v>
      </c>
      <c r="J298" s="5" t="n">
        <f aca="false">SUMPRODUCT(EXACT('Rule-Event map'!$F$2:$F$1477,$A298)*EXACT('Rule-Event map'!$G$2:$G$1477,$B298)*('Rule-Event map'!$E$2:$E$1477="Enabled"))</f>
        <v>1</v>
      </c>
      <c r="K298" s="2" t="s">
        <v>5745</v>
      </c>
    </row>
    <row r="299" customFormat="false" ht="15" hidden="false" customHeight="false" outlineLevel="0" collapsed="false">
      <c r="A299" s="5" t="s">
        <v>7670</v>
      </c>
      <c r="B299" s="2" t="s">
        <v>8203</v>
      </c>
      <c r="C299" s="5"/>
      <c r="D299" s="5"/>
      <c r="E299" s="5" t="s">
        <v>8336</v>
      </c>
      <c r="F299" s="5" t="n">
        <f aca="false">SUMPRODUCT(EXACT('Rule-Event map'!$F$2:$F$1477,$A299)*EXACT('Rule-Event map'!$G$2:$G$1477,$B299))</f>
        <v>1</v>
      </c>
      <c r="G299" s="5" t="n">
        <f aca="false">SUMPRODUCT(EXACT('Rule-Event map'!$F$2:$F$1477,$A299)*EXACT('Rule-Event map'!$G$2:$G$1477,$B299)*('Rule-Event map'!$C$2:$C$1477="New ITDR (7.6.0)"))</f>
        <v>0</v>
      </c>
      <c r="H299" s="5" t="n">
        <f aca="false">SUMPRODUCT(EXACT('Rule-Event map'!$F$2:$F$1477,$A299)*EXACT('Rule-Event map'!$G$2:$G$1477,$B299)*('Rule-Event map'!$C$2:$C$1477="Existing, re-tagged ITDR"))</f>
        <v>0</v>
      </c>
      <c r="I299" s="5" t="n">
        <f aca="false">F299-G299-H299</f>
        <v>1</v>
      </c>
      <c r="J299" s="5" t="n">
        <f aca="false">SUMPRODUCT(EXACT('Rule-Event map'!$F$2:$F$1477,$A299)*EXACT('Rule-Event map'!$G$2:$G$1477,$B299)*('Rule-Event map'!$E$2:$E$1477="Enabled"))</f>
        <v>1</v>
      </c>
      <c r="K299" s="2" t="s">
        <v>6014</v>
      </c>
    </row>
    <row r="300" customFormat="false" ht="15" hidden="false" customHeight="false" outlineLevel="0" collapsed="false">
      <c r="A300" s="5" t="s">
        <v>7670</v>
      </c>
      <c r="B300" s="2" t="s">
        <v>8063</v>
      </c>
      <c r="C300" s="5"/>
      <c r="D300" s="5"/>
      <c r="E300" s="5" t="s">
        <v>8336</v>
      </c>
      <c r="F300" s="5" t="n">
        <f aca="false">SUMPRODUCT(EXACT('Rule-Event map'!$F$2:$F$1477,$A300)*EXACT('Rule-Event map'!$G$2:$G$1477,$B300))</f>
        <v>1</v>
      </c>
      <c r="G300" s="5" t="n">
        <f aca="false">SUMPRODUCT(EXACT('Rule-Event map'!$F$2:$F$1477,$A300)*EXACT('Rule-Event map'!$G$2:$G$1477,$B300)*('Rule-Event map'!$C$2:$C$1477="New ITDR (7.6.0)"))</f>
        <v>0</v>
      </c>
      <c r="H300" s="5" t="n">
        <f aca="false">SUMPRODUCT(EXACT('Rule-Event map'!$F$2:$F$1477,$A300)*EXACT('Rule-Event map'!$G$2:$G$1477,$B300)*('Rule-Event map'!$C$2:$C$1477="Existing, re-tagged ITDR"))</f>
        <v>0</v>
      </c>
      <c r="I300" s="5" t="n">
        <f aca="false">F300-G300-H300</f>
        <v>1</v>
      </c>
      <c r="J300" s="5" t="n">
        <f aca="false">SUMPRODUCT(EXACT('Rule-Event map'!$F$2:$F$1477,$A300)*EXACT('Rule-Event map'!$G$2:$G$1477,$B300)*('Rule-Event map'!$E$2:$E$1477="Enabled"))</f>
        <v>1</v>
      </c>
      <c r="K300" s="2" t="s">
        <v>5618</v>
      </c>
    </row>
    <row r="301" customFormat="false" ht="15" hidden="false" customHeight="false" outlineLevel="0" collapsed="false">
      <c r="A301" s="5" t="s">
        <v>7670</v>
      </c>
      <c r="B301" s="2" t="s">
        <v>8047</v>
      </c>
      <c r="C301" s="5"/>
      <c r="D301" s="5"/>
      <c r="E301" s="5" t="s">
        <v>8336</v>
      </c>
      <c r="F301" s="5" t="n">
        <f aca="false">SUMPRODUCT(EXACT('Rule-Event map'!$F$2:$F$1477,$A301)*EXACT('Rule-Event map'!$G$2:$G$1477,$B301))</f>
        <v>1</v>
      </c>
      <c r="G301" s="5" t="n">
        <f aca="false">SUMPRODUCT(EXACT('Rule-Event map'!$F$2:$F$1477,$A301)*EXACT('Rule-Event map'!$G$2:$G$1477,$B301)*('Rule-Event map'!$C$2:$C$1477="New ITDR (7.6.0)"))</f>
        <v>0</v>
      </c>
      <c r="H301" s="5" t="n">
        <f aca="false">SUMPRODUCT(EXACT('Rule-Event map'!$F$2:$F$1477,$A301)*EXACT('Rule-Event map'!$G$2:$G$1477,$B301)*('Rule-Event map'!$C$2:$C$1477="Existing, re-tagged ITDR"))</f>
        <v>0</v>
      </c>
      <c r="I301" s="5" t="n">
        <f aca="false">F301-G301-H301</f>
        <v>1</v>
      </c>
      <c r="J301" s="5" t="n">
        <f aca="false">SUMPRODUCT(EXACT('Rule-Event map'!$F$2:$F$1477,$A301)*EXACT('Rule-Event map'!$G$2:$G$1477,$B301)*('Rule-Event map'!$E$2:$E$1477="Enabled"))</f>
        <v>1</v>
      </c>
      <c r="K301" s="2" t="s">
        <v>5565</v>
      </c>
    </row>
    <row r="302" customFormat="false" ht="15" hidden="false" customHeight="false" outlineLevel="0" collapsed="false">
      <c r="A302" s="5" t="s">
        <v>7670</v>
      </c>
      <c r="B302" s="2" t="s">
        <v>7974</v>
      </c>
      <c r="C302" s="5"/>
      <c r="D302" s="5"/>
      <c r="E302" s="5" t="s">
        <v>8336</v>
      </c>
      <c r="F302" s="5" t="n">
        <f aca="false">SUMPRODUCT(EXACT('Rule-Event map'!$F$2:$F$1477,$A302)*EXACT('Rule-Event map'!$G$2:$G$1477,$B302))</f>
        <v>1</v>
      </c>
      <c r="G302" s="5" t="n">
        <f aca="false">SUMPRODUCT(EXACT('Rule-Event map'!$F$2:$F$1477,$A302)*EXACT('Rule-Event map'!$G$2:$G$1477,$B302)*('Rule-Event map'!$C$2:$C$1477="New ITDR (7.6.0)"))</f>
        <v>0</v>
      </c>
      <c r="H302" s="5" t="n">
        <f aca="false">SUMPRODUCT(EXACT('Rule-Event map'!$F$2:$F$1477,$A302)*EXACT('Rule-Event map'!$G$2:$G$1477,$B302)*('Rule-Event map'!$C$2:$C$1477="Existing, re-tagged ITDR"))</f>
        <v>0</v>
      </c>
      <c r="I302" s="5" t="n">
        <f aca="false">F302-G302-H302</f>
        <v>1</v>
      </c>
      <c r="J302" s="5" t="n">
        <f aca="false">SUMPRODUCT(EXACT('Rule-Event map'!$F$2:$F$1477,$A302)*EXACT('Rule-Event map'!$G$2:$G$1477,$B302)*('Rule-Event map'!$E$2:$E$1477="Enabled"))</f>
        <v>1</v>
      </c>
      <c r="K302" s="2" t="s">
        <v>5283</v>
      </c>
    </row>
    <row r="303" customFormat="false" ht="15" hidden="false" customHeight="false" outlineLevel="0" collapsed="false">
      <c r="A303" s="5" t="s">
        <v>7670</v>
      </c>
      <c r="B303" s="2" t="s">
        <v>7962</v>
      </c>
      <c r="C303" s="5"/>
      <c r="D303" s="5"/>
      <c r="E303" s="5" t="s">
        <v>8336</v>
      </c>
      <c r="F303" s="5" t="n">
        <f aca="false">SUMPRODUCT(EXACT('Rule-Event map'!$F$2:$F$1477,$A303)*EXACT('Rule-Event map'!$G$2:$G$1477,$B303))</f>
        <v>1</v>
      </c>
      <c r="G303" s="5" t="n">
        <f aca="false">SUMPRODUCT(EXACT('Rule-Event map'!$F$2:$F$1477,$A303)*EXACT('Rule-Event map'!$G$2:$G$1477,$B303)*('Rule-Event map'!$C$2:$C$1477="New ITDR (7.6.0)"))</f>
        <v>0</v>
      </c>
      <c r="H303" s="5" t="n">
        <f aca="false">SUMPRODUCT(EXACT('Rule-Event map'!$F$2:$F$1477,$A303)*EXACT('Rule-Event map'!$G$2:$G$1477,$B303)*('Rule-Event map'!$C$2:$C$1477="Existing, re-tagged ITDR"))</f>
        <v>0</v>
      </c>
      <c r="I303" s="5" t="n">
        <f aca="false">F303-G303-H303</f>
        <v>1</v>
      </c>
      <c r="J303" s="5" t="n">
        <f aca="false">SUMPRODUCT(EXACT('Rule-Event map'!$F$2:$F$1477,$A303)*EXACT('Rule-Event map'!$G$2:$G$1477,$B303)*('Rule-Event map'!$E$2:$E$1477="Enabled"))</f>
        <v>1</v>
      </c>
      <c r="K303" s="2" t="s">
        <v>5277</v>
      </c>
    </row>
    <row r="304" customFormat="false" ht="15" hidden="false" customHeight="false" outlineLevel="0" collapsed="false">
      <c r="A304" s="5" t="s">
        <v>7670</v>
      </c>
      <c r="B304" s="2" t="s">
        <v>8119</v>
      </c>
      <c r="C304" s="5"/>
      <c r="D304" s="5"/>
      <c r="E304" s="5" t="s">
        <v>8336</v>
      </c>
      <c r="F304" s="5" t="n">
        <f aca="false">SUMPRODUCT(EXACT('Rule-Event map'!$F$2:$F$1477,$A304)*EXACT('Rule-Event map'!$G$2:$G$1477,$B304))</f>
        <v>1</v>
      </c>
      <c r="G304" s="5" t="n">
        <f aca="false">SUMPRODUCT(EXACT('Rule-Event map'!$F$2:$F$1477,$A304)*EXACT('Rule-Event map'!$G$2:$G$1477,$B304)*('Rule-Event map'!$C$2:$C$1477="New ITDR (7.6.0)"))</f>
        <v>0</v>
      </c>
      <c r="H304" s="5" t="n">
        <f aca="false">SUMPRODUCT(EXACT('Rule-Event map'!$F$2:$F$1477,$A304)*EXACT('Rule-Event map'!$G$2:$G$1477,$B304)*('Rule-Event map'!$C$2:$C$1477="Existing, re-tagged ITDR"))</f>
        <v>0</v>
      </c>
      <c r="I304" s="5" t="n">
        <f aca="false">F304-G304-H304</f>
        <v>1</v>
      </c>
      <c r="J304" s="5" t="n">
        <f aca="false">SUMPRODUCT(EXACT('Rule-Event map'!$F$2:$F$1477,$A304)*EXACT('Rule-Event map'!$G$2:$G$1477,$B304)*('Rule-Event map'!$E$2:$E$1477="Enabled"))</f>
        <v>1</v>
      </c>
      <c r="K304" s="2" t="s">
        <v>5769</v>
      </c>
    </row>
    <row r="305" customFormat="false" ht="15" hidden="false" customHeight="false" outlineLevel="0" collapsed="false">
      <c r="A305" s="5" t="s">
        <v>7670</v>
      </c>
      <c r="B305" s="2" t="s">
        <v>8061</v>
      </c>
      <c r="C305" s="5"/>
      <c r="D305" s="5"/>
      <c r="E305" s="5" t="s">
        <v>8336</v>
      </c>
      <c r="F305" s="5" t="n">
        <f aca="false">SUMPRODUCT(EXACT('Rule-Event map'!$F$2:$F$1477,$A305)*EXACT('Rule-Event map'!$G$2:$G$1477,$B305))</f>
        <v>1</v>
      </c>
      <c r="G305" s="5" t="n">
        <f aca="false">SUMPRODUCT(EXACT('Rule-Event map'!$F$2:$F$1477,$A305)*EXACT('Rule-Event map'!$G$2:$G$1477,$B305)*('Rule-Event map'!$C$2:$C$1477="New ITDR (7.6.0)"))</f>
        <v>0</v>
      </c>
      <c r="H305" s="5" t="n">
        <f aca="false">SUMPRODUCT(EXACT('Rule-Event map'!$F$2:$F$1477,$A305)*EXACT('Rule-Event map'!$G$2:$G$1477,$B305)*('Rule-Event map'!$C$2:$C$1477="Existing, re-tagged ITDR"))</f>
        <v>0</v>
      </c>
      <c r="I305" s="5" t="n">
        <f aca="false">F305-G305-H305</f>
        <v>1</v>
      </c>
      <c r="J305" s="5" t="n">
        <f aca="false">SUMPRODUCT(EXACT('Rule-Event map'!$F$2:$F$1477,$A305)*EXACT('Rule-Event map'!$G$2:$G$1477,$B305)*('Rule-Event map'!$E$2:$E$1477="Enabled"))</f>
        <v>1</v>
      </c>
      <c r="K305" s="2" t="s">
        <v>5618</v>
      </c>
    </row>
    <row r="306" customFormat="false" ht="15" hidden="false" customHeight="false" outlineLevel="0" collapsed="false">
      <c r="A306" s="5" t="s">
        <v>7670</v>
      </c>
      <c r="B306" s="2" t="s">
        <v>7908</v>
      </c>
      <c r="C306" s="5"/>
      <c r="D306" s="5"/>
      <c r="E306" s="5" t="s">
        <v>8336</v>
      </c>
      <c r="F306" s="5" t="n">
        <f aca="false">SUMPRODUCT(EXACT('Rule-Event map'!$F$2:$F$1477,$A306)*EXACT('Rule-Event map'!$G$2:$G$1477,$B306))</f>
        <v>1</v>
      </c>
      <c r="G306" s="5" t="n">
        <f aca="false">SUMPRODUCT(EXACT('Rule-Event map'!$F$2:$F$1477,$A306)*EXACT('Rule-Event map'!$G$2:$G$1477,$B306)*('Rule-Event map'!$C$2:$C$1477="New ITDR (7.6.0)"))</f>
        <v>0</v>
      </c>
      <c r="H306" s="5" t="n">
        <f aca="false">SUMPRODUCT(EXACT('Rule-Event map'!$F$2:$F$1477,$A306)*EXACT('Rule-Event map'!$G$2:$G$1477,$B306)*('Rule-Event map'!$C$2:$C$1477="Existing, re-tagged ITDR"))</f>
        <v>0</v>
      </c>
      <c r="I306" s="5" t="n">
        <f aca="false">F306-G306-H306</f>
        <v>1</v>
      </c>
      <c r="J306" s="5" t="n">
        <f aca="false">SUMPRODUCT(EXACT('Rule-Event map'!$F$2:$F$1477,$A306)*EXACT('Rule-Event map'!$G$2:$G$1477,$B306)*('Rule-Event map'!$E$2:$E$1477="Enabled"))</f>
        <v>1</v>
      </c>
      <c r="K306" s="2" t="s">
        <v>5047</v>
      </c>
    </row>
    <row r="307" customFormat="false" ht="15" hidden="false" customHeight="false" outlineLevel="0" collapsed="false">
      <c r="A307" s="5" t="s">
        <v>7670</v>
      </c>
      <c r="B307" s="2" t="s">
        <v>8189</v>
      </c>
      <c r="C307" s="5"/>
      <c r="D307" s="5"/>
      <c r="E307" s="5" t="s">
        <v>8336</v>
      </c>
      <c r="F307" s="5" t="n">
        <f aca="false">SUMPRODUCT(EXACT('Rule-Event map'!$F$2:$F$1477,$A307)*EXACT('Rule-Event map'!$G$2:$G$1477,$B307))</f>
        <v>1</v>
      </c>
      <c r="G307" s="5" t="n">
        <f aca="false">SUMPRODUCT(EXACT('Rule-Event map'!$F$2:$F$1477,$A307)*EXACT('Rule-Event map'!$G$2:$G$1477,$B307)*('Rule-Event map'!$C$2:$C$1477="New ITDR (7.6.0)"))</f>
        <v>0</v>
      </c>
      <c r="H307" s="5" t="n">
        <f aca="false">SUMPRODUCT(EXACT('Rule-Event map'!$F$2:$F$1477,$A307)*EXACT('Rule-Event map'!$G$2:$G$1477,$B307)*('Rule-Event map'!$C$2:$C$1477="Existing, re-tagged ITDR"))</f>
        <v>0</v>
      </c>
      <c r="I307" s="5" t="n">
        <f aca="false">F307-G307-H307</f>
        <v>1</v>
      </c>
      <c r="J307" s="5" t="n">
        <f aca="false">SUMPRODUCT(EXACT('Rule-Event map'!$F$2:$F$1477,$A307)*EXACT('Rule-Event map'!$G$2:$G$1477,$B307)*('Rule-Event map'!$E$2:$E$1477="Enabled"))</f>
        <v>0</v>
      </c>
      <c r="K307" s="2" t="s">
        <v>5972</v>
      </c>
    </row>
    <row r="308" customFormat="false" ht="15" hidden="false" customHeight="false" outlineLevel="0" collapsed="false">
      <c r="A308" s="5" t="s">
        <v>7670</v>
      </c>
      <c r="B308" s="2" t="s">
        <v>8129</v>
      </c>
      <c r="C308" s="5"/>
      <c r="D308" s="5"/>
      <c r="E308" s="5" t="s">
        <v>8336</v>
      </c>
      <c r="F308" s="5" t="n">
        <f aca="false">SUMPRODUCT(EXACT('Rule-Event map'!$F$2:$F$1477,$A308)*EXACT('Rule-Event map'!$G$2:$G$1477,$B308))</f>
        <v>1</v>
      </c>
      <c r="G308" s="5" t="n">
        <f aca="false">SUMPRODUCT(EXACT('Rule-Event map'!$F$2:$F$1477,$A308)*EXACT('Rule-Event map'!$G$2:$G$1477,$B308)*('Rule-Event map'!$C$2:$C$1477="New ITDR (7.6.0)"))</f>
        <v>0</v>
      </c>
      <c r="H308" s="5" t="n">
        <f aca="false">SUMPRODUCT(EXACT('Rule-Event map'!$F$2:$F$1477,$A308)*EXACT('Rule-Event map'!$G$2:$G$1477,$B308)*('Rule-Event map'!$C$2:$C$1477="Existing, re-tagged ITDR"))</f>
        <v>0</v>
      </c>
      <c r="I308" s="5" t="n">
        <f aca="false">F308-G308-H308</f>
        <v>1</v>
      </c>
      <c r="J308" s="5" t="n">
        <f aca="false">SUMPRODUCT(EXACT('Rule-Event map'!$F$2:$F$1477,$A308)*EXACT('Rule-Event map'!$G$2:$G$1477,$B308)*('Rule-Event map'!$E$2:$E$1477="Enabled"))</f>
        <v>1</v>
      </c>
      <c r="K308" s="2" t="s">
        <v>5789</v>
      </c>
    </row>
    <row r="309" customFormat="false" ht="15" hidden="false" customHeight="false" outlineLevel="0" collapsed="false">
      <c r="A309" s="5" t="s">
        <v>7670</v>
      </c>
      <c r="B309" s="2" t="s">
        <v>7916</v>
      </c>
      <c r="C309" s="5"/>
      <c r="D309" s="5"/>
      <c r="E309" s="5" t="s">
        <v>8336</v>
      </c>
      <c r="F309" s="5" t="n">
        <f aca="false">SUMPRODUCT(EXACT('Rule-Event map'!$F$2:$F$1477,$A309)*EXACT('Rule-Event map'!$G$2:$G$1477,$B309))</f>
        <v>1</v>
      </c>
      <c r="G309" s="5" t="n">
        <f aca="false">SUMPRODUCT(EXACT('Rule-Event map'!$F$2:$F$1477,$A309)*EXACT('Rule-Event map'!$G$2:$G$1477,$B309)*('Rule-Event map'!$C$2:$C$1477="New ITDR (7.6.0)"))</f>
        <v>0</v>
      </c>
      <c r="H309" s="5" t="n">
        <f aca="false">SUMPRODUCT(EXACT('Rule-Event map'!$F$2:$F$1477,$A309)*EXACT('Rule-Event map'!$G$2:$G$1477,$B309)*('Rule-Event map'!$C$2:$C$1477="Existing, re-tagged ITDR"))</f>
        <v>0</v>
      </c>
      <c r="I309" s="5" t="n">
        <f aca="false">F309-G309-H309</f>
        <v>1</v>
      </c>
      <c r="J309" s="5" t="n">
        <f aca="false">SUMPRODUCT(EXACT('Rule-Event map'!$F$2:$F$1477,$A309)*EXACT('Rule-Event map'!$G$2:$G$1477,$B309)*('Rule-Event map'!$E$2:$E$1477="Enabled"))</f>
        <v>1</v>
      </c>
      <c r="K309" s="2" t="s">
        <v>5071</v>
      </c>
    </row>
    <row r="310" customFormat="false" ht="15" hidden="false" customHeight="false" outlineLevel="0" collapsed="false">
      <c r="A310" s="5" t="s">
        <v>7670</v>
      </c>
      <c r="B310" s="2" t="s">
        <v>8131</v>
      </c>
      <c r="C310" s="5"/>
      <c r="D310" s="5"/>
      <c r="E310" s="5" t="s">
        <v>8336</v>
      </c>
      <c r="F310" s="5" t="n">
        <f aca="false">SUMPRODUCT(EXACT('Rule-Event map'!$F$2:$F$1477,$A310)*EXACT('Rule-Event map'!$G$2:$G$1477,$B310))</f>
        <v>1</v>
      </c>
      <c r="G310" s="5" t="n">
        <f aca="false">SUMPRODUCT(EXACT('Rule-Event map'!$F$2:$F$1477,$A310)*EXACT('Rule-Event map'!$G$2:$G$1477,$B310)*('Rule-Event map'!$C$2:$C$1477="New ITDR (7.6.0)"))</f>
        <v>0</v>
      </c>
      <c r="H310" s="5" t="n">
        <f aca="false">SUMPRODUCT(EXACT('Rule-Event map'!$F$2:$F$1477,$A310)*EXACT('Rule-Event map'!$G$2:$G$1477,$B310)*('Rule-Event map'!$C$2:$C$1477="Existing, re-tagged ITDR"))</f>
        <v>0</v>
      </c>
      <c r="I310" s="5" t="n">
        <f aca="false">F310-G310-H310</f>
        <v>1</v>
      </c>
      <c r="J310" s="5" t="n">
        <f aca="false">SUMPRODUCT(EXACT('Rule-Event map'!$F$2:$F$1477,$A310)*EXACT('Rule-Event map'!$G$2:$G$1477,$B310)*('Rule-Event map'!$E$2:$E$1477="Enabled"))</f>
        <v>1</v>
      </c>
      <c r="K310" s="2" t="s">
        <v>5789</v>
      </c>
    </row>
    <row r="311" customFormat="false" ht="15" hidden="false" customHeight="false" outlineLevel="0" collapsed="false">
      <c r="A311" s="5" t="s">
        <v>7670</v>
      </c>
      <c r="B311" s="2" t="s">
        <v>8151</v>
      </c>
      <c r="C311" s="5"/>
      <c r="D311" s="5"/>
      <c r="E311" s="5" t="s">
        <v>8336</v>
      </c>
      <c r="F311" s="5" t="n">
        <f aca="false">SUMPRODUCT(EXACT('Rule-Event map'!$F$2:$F$1477,$A311)*EXACT('Rule-Event map'!$G$2:$G$1477,$B311))</f>
        <v>1</v>
      </c>
      <c r="G311" s="5" t="n">
        <f aca="false">SUMPRODUCT(EXACT('Rule-Event map'!$F$2:$F$1477,$A311)*EXACT('Rule-Event map'!$G$2:$G$1477,$B311)*('Rule-Event map'!$C$2:$C$1477="New ITDR (7.6.0)"))</f>
        <v>0</v>
      </c>
      <c r="H311" s="5" t="n">
        <f aca="false">SUMPRODUCT(EXACT('Rule-Event map'!$F$2:$F$1477,$A311)*EXACT('Rule-Event map'!$G$2:$G$1477,$B311)*('Rule-Event map'!$C$2:$C$1477="Existing, re-tagged ITDR"))</f>
        <v>0</v>
      </c>
      <c r="I311" s="5" t="n">
        <f aca="false">F311-G311-H311</f>
        <v>1</v>
      </c>
      <c r="J311" s="5" t="n">
        <f aca="false">SUMPRODUCT(EXACT('Rule-Event map'!$F$2:$F$1477,$A311)*EXACT('Rule-Event map'!$G$2:$G$1477,$B311)*('Rule-Event map'!$E$2:$E$1477="Enabled"))</f>
        <v>1</v>
      </c>
      <c r="K311" s="2" t="s">
        <v>5850</v>
      </c>
    </row>
    <row r="312" customFormat="false" ht="15" hidden="false" customHeight="false" outlineLevel="0" collapsed="false">
      <c r="A312" s="5" t="s">
        <v>7670</v>
      </c>
      <c r="B312" s="2" t="s">
        <v>8118</v>
      </c>
      <c r="C312" s="5"/>
      <c r="D312" s="5"/>
      <c r="E312" s="5" t="s">
        <v>8336</v>
      </c>
      <c r="F312" s="5" t="n">
        <f aca="false">SUMPRODUCT(EXACT('Rule-Event map'!$F$2:$F$1477,$A312)*EXACT('Rule-Event map'!$G$2:$G$1477,$B312))</f>
        <v>1</v>
      </c>
      <c r="G312" s="5" t="n">
        <f aca="false">SUMPRODUCT(EXACT('Rule-Event map'!$F$2:$F$1477,$A312)*EXACT('Rule-Event map'!$G$2:$G$1477,$B312)*('Rule-Event map'!$C$2:$C$1477="New ITDR (7.6.0)"))</f>
        <v>0</v>
      </c>
      <c r="H312" s="5" t="n">
        <f aca="false">SUMPRODUCT(EXACT('Rule-Event map'!$F$2:$F$1477,$A312)*EXACT('Rule-Event map'!$G$2:$G$1477,$B312)*('Rule-Event map'!$C$2:$C$1477="Existing, re-tagged ITDR"))</f>
        <v>0</v>
      </c>
      <c r="I312" s="5" t="n">
        <f aca="false">F312-G312-H312</f>
        <v>1</v>
      </c>
      <c r="J312" s="5" t="n">
        <f aca="false">SUMPRODUCT(EXACT('Rule-Event map'!$F$2:$F$1477,$A312)*EXACT('Rule-Event map'!$G$2:$G$1477,$B312)*('Rule-Event map'!$E$2:$E$1477="Enabled"))</f>
        <v>1</v>
      </c>
      <c r="K312" s="2" t="s">
        <v>5769</v>
      </c>
    </row>
    <row r="313" customFormat="false" ht="15" hidden="false" customHeight="false" outlineLevel="0" collapsed="false">
      <c r="A313" s="5" t="s">
        <v>7670</v>
      </c>
      <c r="B313" s="2" t="s">
        <v>8065</v>
      </c>
      <c r="C313" s="5"/>
      <c r="D313" s="5"/>
      <c r="E313" s="5" t="s">
        <v>8336</v>
      </c>
      <c r="F313" s="5" t="n">
        <f aca="false">SUMPRODUCT(EXACT('Rule-Event map'!$F$2:$F$1477,$A313)*EXACT('Rule-Event map'!$G$2:$G$1477,$B313))</f>
        <v>1</v>
      </c>
      <c r="G313" s="5" t="n">
        <f aca="false">SUMPRODUCT(EXACT('Rule-Event map'!$F$2:$F$1477,$A313)*EXACT('Rule-Event map'!$G$2:$G$1477,$B313)*('Rule-Event map'!$C$2:$C$1477="New ITDR (7.6.0)"))</f>
        <v>0</v>
      </c>
      <c r="H313" s="5" t="n">
        <f aca="false">SUMPRODUCT(EXACT('Rule-Event map'!$F$2:$F$1477,$A313)*EXACT('Rule-Event map'!$G$2:$G$1477,$B313)*('Rule-Event map'!$C$2:$C$1477="Existing, re-tagged ITDR"))</f>
        <v>0</v>
      </c>
      <c r="I313" s="5" t="n">
        <f aca="false">F313-G313-H313</f>
        <v>1</v>
      </c>
      <c r="J313" s="5" t="n">
        <f aca="false">SUMPRODUCT(EXACT('Rule-Event map'!$F$2:$F$1477,$A313)*EXACT('Rule-Event map'!$G$2:$G$1477,$B313)*('Rule-Event map'!$E$2:$E$1477="Enabled"))</f>
        <v>1</v>
      </c>
      <c r="K313" s="2" t="s">
        <v>5618</v>
      </c>
    </row>
    <row r="314" customFormat="false" ht="15" hidden="false" customHeight="false" outlineLevel="0" collapsed="false">
      <c r="A314" s="5" t="s">
        <v>7670</v>
      </c>
      <c r="B314" s="2" t="s">
        <v>8067</v>
      </c>
      <c r="C314" s="5"/>
      <c r="D314" s="5"/>
      <c r="E314" s="5" t="s">
        <v>8336</v>
      </c>
      <c r="F314" s="5" t="n">
        <f aca="false">SUMPRODUCT(EXACT('Rule-Event map'!$F$2:$F$1477,$A314)*EXACT('Rule-Event map'!$G$2:$G$1477,$B314))</f>
        <v>1</v>
      </c>
      <c r="G314" s="5" t="n">
        <f aca="false">SUMPRODUCT(EXACT('Rule-Event map'!$F$2:$F$1477,$A314)*EXACT('Rule-Event map'!$G$2:$G$1477,$B314)*('Rule-Event map'!$C$2:$C$1477="New ITDR (7.6.0)"))</f>
        <v>0</v>
      </c>
      <c r="H314" s="5" t="n">
        <f aca="false">SUMPRODUCT(EXACT('Rule-Event map'!$F$2:$F$1477,$A314)*EXACT('Rule-Event map'!$G$2:$G$1477,$B314)*('Rule-Event map'!$C$2:$C$1477="Existing, re-tagged ITDR"))</f>
        <v>0</v>
      </c>
      <c r="I314" s="5" t="n">
        <f aca="false">F314-G314-H314</f>
        <v>1</v>
      </c>
      <c r="J314" s="5" t="n">
        <f aca="false">SUMPRODUCT(EXACT('Rule-Event map'!$F$2:$F$1477,$A314)*EXACT('Rule-Event map'!$G$2:$G$1477,$B314)*('Rule-Event map'!$E$2:$E$1477="Enabled"))</f>
        <v>1</v>
      </c>
      <c r="K314" s="2" t="s">
        <v>5618</v>
      </c>
    </row>
    <row r="315" customFormat="false" ht="15" hidden="false" customHeight="false" outlineLevel="0" collapsed="false">
      <c r="A315" s="5" t="s">
        <v>7670</v>
      </c>
      <c r="B315" s="2" t="s">
        <v>8157</v>
      </c>
      <c r="C315" s="5"/>
      <c r="D315" s="5"/>
      <c r="E315" s="5" t="s">
        <v>8336</v>
      </c>
      <c r="F315" s="5" t="n">
        <f aca="false">SUMPRODUCT(EXACT('Rule-Event map'!$F$2:$F$1477,$A315)*EXACT('Rule-Event map'!$G$2:$G$1477,$B315))</f>
        <v>1</v>
      </c>
      <c r="G315" s="5" t="n">
        <f aca="false">SUMPRODUCT(EXACT('Rule-Event map'!$F$2:$F$1477,$A315)*EXACT('Rule-Event map'!$G$2:$G$1477,$B315)*('Rule-Event map'!$C$2:$C$1477="New ITDR (7.6.0)"))</f>
        <v>0</v>
      </c>
      <c r="H315" s="5" t="n">
        <f aca="false">SUMPRODUCT(EXACT('Rule-Event map'!$F$2:$F$1477,$A315)*EXACT('Rule-Event map'!$G$2:$G$1477,$B315)*('Rule-Event map'!$C$2:$C$1477="Existing, re-tagged ITDR"))</f>
        <v>0</v>
      </c>
      <c r="I315" s="5" t="n">
        <f aca="false">F315-G315-H315</f>
        <v>1</v>
      </c>
      <c r="J315" s="5" t="n">
        <f aca="false">SUMPRODUCT(EXACT('Rule-Event map'!$F$2:$F$1477,$A315)*EXACT('Rule-Event map'!$G$2:$G$1477,$B315)*('Rule-Event map'!$E$2:$E$1477="Enabled"))</f>
        <v>1</v>
      </c>
      <c r="K315" s="2" t="s">
        <v>5874</v>
      </c>
    </row>
    <row r="316" customFormat="false" ht="15" hidden="false" customHeight="false" outlineLevel="0" collapsed="false">
      <c r="A316" s="5" t="s">
        <v>7670</v>
      </c>
      <c r="B316" s="2" t="s">
        <v>8190</v>
      </c>
      <c r="C316" s="5"/>
      <c r="D316" s="5"/>
      <c r="E316" s="5" t="s">
        <v>8336</v>
      </c>
      <c r="F316" s="5" t="n">
        <f aca="false">SUMPRODUCT(EXACT('Rule-Event map'!$F$2:$F$1477,$A316)*EXACT('Rule-Event map'!$G$2:$G$1477,$B316))</f>
        <v>1</v>
      </c>
      <c r="G316" s="5" t="n">
        <f aca="false">SUMPRODUCT(EXACT('Rule-Event map'!$F$2:$F$1477,$A316)*EXACT('Rule-Event map'!$G$2:$G$1477,$B316)*('Rule-Event map'!$C$2:$C$1477="New ITDR (7.6.0)"))</f>
        <v>0</v>
      </c>
      <c r="H316" s="5" t="n">
        <f aca="false">SUMPRODUCT(EXACT('Rule-Event map'!$F$2:$F$1477,$A316)*EXACT('Rule-Event map'!$G$2:$G$1477,$B316)*('Rule-Event map'!$C$2:$C$1477="Existing, re-tagged ITDR"))</f>
        <v>0</v>
      </c>
      <c r="I316" s="5" t="n">
        <f aca="false">F316-G316-H316</f>
        <v>1</v>
      </c>
      <c r="J316" s="5" t="n">
        <f aca="false">SUMPRODUCT(EXACT('Rule-Event map'!$F$2:$F$1477,$A316)*EXACT('Rule-Event map'!$G$2:$G$1477,$B316)*('Rule-Event map'!$E$2:$E$1477="Enabled"))</f>
        <v>0</v>
      </c>
      <c r="K316" s="2" t="s">
        <v>5972</v>
      </c>
    </row>
    <row r="317" customFormat="false" ht="15" hidden="false" customHeight="false" outlineLevel="0" collapsed="false">
      <c r="A317" s="5" t="s">
        <v>7670</v>
      </c>
      <c r="B317" s="2" t="s">
        <v>7914</v>
      </c>
      <c r="C317" s="5"/>
      <c r="D317" s="5"/>
      <c r="E317" s="5" t="s">
        <v>8336</v>
      </c>
      <c r="F317" s="5" t="n">
        <f aca="false">SUMPRODUCT(EXACT('Rule-Event map'!$F$2:$F$1477,$A317)*EXACT('Rule-Event map'!$G$2:$G$1477,$B317))</f>
        <v>1</v>
      </c>
      <c r="G317" s="5" t="n">
        <f aca="false">SUMPRODUCT(EXACT('Rule-Event map'!$F$2:$F$1477,$A317)*EXACT('Rule-Event map'!$G$2:$G$1477,$B317)*('Rule-Event map'!$C$2:$C$1477="New ITDR (7.6.0)"))</f>
        <v>0</v>
      </c>
      <c r="H317" s="5" t="n">
        <f aca="false">SUMPRODUCT(EXACT('Rule-Event map'!$F$2:$F$1477,$A317)*EXACT('Rule-Event map'!$G$2:$G$1477,$B317)*('Rule-Event map'!$C$2:$C$1477="Existing, re-tagged ITDR"))</f>
        <v>0</v>
      </c>
      <c r="I317" s="5" t="n">
        <f aca="false">F317-G317-H317</f>
        <v>1</v>
      </c>
      <c r="J317" s="5" t="n">
        <f aca="false">SUMPRODUCT(EXACT('Rule-Event map'!$F$2:$F$1477,$A317)*EXACT('Rule-Event map'!$G$2:$G$1477,$B317)*('Rule-Event map'!$E$2:$E$1477="Enabled"))</f>
        <v>1</v>
      </c>
      <c r="K317" s="2" t="s">
        <v>5071</v>
      </c>
    </row>
    <row r="318" customFormat="false" ht="15" hidden="false" customHeight="false" outlineLevel="0" collapsed="false">
      <c r="A318" s="5" t="s">
        <v>7670</v>
      </c>
      <c r="B318" s="2" t="s">
        <v>8069</v>
      </c>
      <c r="C318" s="5"/>
      <c r="D318" s="5"/>
      <c r="E318" s="5" t="s">
        <v>8336</v>
      </c>
      <c r="F318" s="5" t="n">
        <f aca="false">SUMPRODUCT(EXACT('Rule-Event map'!$F$2:$F$1477,$A318)*EXACT('Rule-Event map'!$G$2:$G$1477,$B318))</f>
        <v>1</v>
      </c>
      <c r="G318" s="5" t="n">
        <f aca="false">SUMPRODUCT(EXACT('Rule-Event map'!$F$2:$F$1477,$A318)*EXACT('Rule-Event map'!$G$2:$G$1477,$B318)*('Rule-Event map'!$C$2:$C$1477="New ITDR (7.6.0)"))</f>
        <v>0</v>
      </c>
      <c r="H318" s="5" t="n">
        <f aca="false">SUMPRODUCT(EXACT('Rule-Event map'!$F$2:$F$1477,$A318)*EXACT('Rule-Event map'!$G$2:$G$1477,$B318)*('Rule-Event map'!$C$2:$C$1477="Existing, re-tagged ITDR"))</f>
        <v>0</v>
      </c>
      <c r="I318" s="5" t="n">
        <f aca="false">F318-G318-H318</f>
        <v>1</v>
      </c>
      <c r="J318" s="5" t="n">
        <f aca="false">SUMPRODUCT(EXACT('Rule-Event map'!$F$2:$F$1477,$A318)*EXACT('Rule-Event map'!$G$2:$G$1477,$B318)*('Rule-Event map'!$E$2:$E$1477="Enabled"))</f>
        <v>1</v>
      </c>
      <c r="K318" s="2" t="s">
        <v>5624</v>
      </c>
    </row>
    <row r="319" customFormat="false" ht="15" hidden="false" customHeight="false" outlineLevel="0" collapsed="false">
      <c r="A319" s="5" t="s">
        <v>7670</v>
      </c>
      <c r="B319" s="2" t="s">
        <v>8039</v>
      </c>
      <c r="C319" s="5"/>
      <c r="D319" s="5"/>
      <c r="E319" s="5" t="s">
        <v>8336</v>
      </c>
      <c r="F319" s="5" t="n">
        <f aca="false">SUMPRODUCT(EXACT('Rule-Event map'!$F$2:$F$1477,$A319)*EXACT('Rule-Event map'!$G$2:$G$1477,$B319))</f>
        <v>1</v>
      </c>
      <c r="G319" s="5" t="n">
        <f aca="false">SUMPRODUCT(EXACT('Rule-Event map'!$F$2:$F$1477,$A319)*EXACT('Rule-Event map'!$G$2:$G$1477,$B319)*('Rule-Event map'!$C$2:$C$1477="New ITDR (7.6.0)"))</f>
        <v>0</v>
      </c>
      <c r="H319" s="5" t="n">
        <f aca="false">SUMPRODUCT(EXACT('Rule-Event map'!$F$2:$F$1477,$A319)*EXACT('Rule-Event map'!$G$2:$G$1477,$B319)*('Rule-Event map'!$C$2:$C$1477="Existing, re-tagged ITDR"))</f>
        <v>0</v>
      </c>
      <c r="I319" s="5" t="n">
        <f aca="false">F319-G319-H319</f>
        <v>1</v>
      </c>
      <c r="J319" s="5" t="n">
        <f aca="false">SUMPRODUCT(EXACT('Rule-Event map'!$F$2:$F$1477,$A319)*EXACT('Rule-Event map'!$G$2:$G$1477,$B319)*('Rule-Event map'!$E$2:$E$1477="Enabled"))</f>
        <v>1</v>
      </c>
      <c r="K319" s="2" t="s">
        <v>5530</v>
      </c>
    </row>
    <row r="320" customFormat="false" ht="15" hidden="false" customHeight="false" outlineLevel="0" collapsed="false">
      <c r="A320" s="5" t="s">
        <v>7670</v>
      </c>
      <c r="B320" s="2" t="s">
        <v>8163</v>
      </c>
      <c r="C320" s="5"/>
      <c r="D320" s="5"/>
      <c r="E320" s="5" t="s">
        <v>8336</v>
      </c>
      <c r="F320" s="5" t="n">
        <f aca="false">SUMPRODUCT(EXACT('Rule-Event map'!$F$2:$F$1477,$A320)*EXACT('Rule-Event map'!$G$2:$G$1477,$B320))</f>
        <v>1</v>
      </c>
      <c r="G320" s="5" t="n">
        <f aca="false">SUMPRODUCT(EXACT('Rule-Event map'!$F$2:$F$1477,$A320)*EXACT('Rule-Event map'!$G$2:$G$1477,$B320)*('Rule-Event map'!$C$2:$C$1477="New ITDR (7.6.0)"))</f>
        <v>0</v>
      </c>
      <c r="H320" s="5" t="n">
        <f aca="false">SUMPRODUCT(EXACT('Rule-Event map'!$F$2:$F$1477,$A320)*EXACT('Rule-Event map'!$G$2:$G$1477,$B320)*('Rule-Event map'!$C$2:$C$1477="Existing, re-tagged ITDR"))</f>
        <v>0</v>
      </c>
      <c r="I320" s="5" t="n">
        <f aca="false">F320-G320-H320</f>
        <v>1</v>
      </c>
      <c r="J320" s="5" t="n">
        <f aca="false">SUMPRODUCT(EXACT('Rule-Event map'!$F$2:$F$1477,$A320)*EXACT('Rule-Event map'!$G$2:$G$1477,$B320)*('Rule-Event map'!$E$2:$E$1477="Enabled"))</f>
        <v>1</v>
      </c>
      <c r="K320" s="2" t="s">
        <v>5892</v>
      </c>
    </row>
    <row r="321" customFormat="false" ht="15" hidden="false" customHeight="false" outlineLevel="0" collapsed="false">
      <c r="A321" s="5" t="s">
        <v>7670</v>
      </c>
      <c r="B321" s="2" t="s">
        <v>8099</v>
      </c>
      <c r="C321" s="5"/>
      <c r="D321" s="5"/>
      <c r="E321" s="5" t="s">
        <v>8336</v>
      </c>
      <c r="F321" s="5" t="n">
        <f aca="false">SUMPRODUCT(EXACT('Rule-Event map'!$F$2:$F$1477,$A321)*EXACT('Rule-Event map'!$G$2:$G$1477,$B321))</f>
        <v>1</v>
      </c>
      <c r="G321" s="5" t="n">
        <f aca="false">SUMPRODUCT(EXACT('Rule-Event map'!$F$2:$F$1477,$A321)*EXACT('Rule-Event map'!$G$2:$G$1477,$B321)*('Rule-Event map'!$C$2:$C$1477="New ITDR (7.6.0)"))</f>
        <v>0</v>
      </c>
      <c r="H321" s="5" t="n">
        <f aca="false">SUMPRODUCT(EXACT('Rule-Event map'!$F$2:$F$1477,$A321)*EXACT('Rule-Event map'!$G$2:$G$1477,$B321)*('Rule-Event map'!$C$2:$C$1477="Existing, re-tagged ITDR"))</f>
        <v>0</v>
      </c>
      <c r="I321" s="5" t="n">
        <f aca="false">F321-G321-H321</f>
        <v>1</v>
      </c>
      <c r="J321" s="5" t="n">
        <f aca="false">SUMPRODUCT(EXACT('Rule-Event map'!$F$2:$F$1477,$A321)*EXACT('Rule-Event map'!$G$2:$G$1477,$B321)*('Rule-Event map'!$E$2:$E$1477="Enabled"))</f>
        <v>0</v>
      </c>
      <c r="K321" s="2" t="s">
        <v>5715</v>
      </c>
    </row>
    <row r="322" customFormat="false" ht="15" hidden="false" customHeight="false" outlineLevel="0" collapsed="false">
      <c r="A322" s="5" t="s">
        <v>7670</v>
      </c>
      <c r="B322" s="2" t="s">
        <v>7932</v>
      </c>
      <c r="C322" s="5"/>
      <c r="D322" s="5"/>
      <c r="E322" s="5" t="s">
        <v>8336</v>
      </c>
      <c r="F322" s="5" t="n">
        <f aca="false">SUMPRODUCT(EXACT('Rule-Event map'!$F$2:$F$1477,$A322)*EXACT('Rule-Event map'!$G$2:$G$1477,$B322))</f>
        <v>1</v>
      </c>
      <c r="G322" s="5" t="n">
        <f aca="false">SUMPRODUCT(EXACT('Rule-Event map'!$F$2:$F$1477,$A322)*EXACT('Rule-Event map'!$G$2:$G$1477,$B322)*('Rule-Event map'!$C$2:$C$1477="New ITDR (7.6.0)"))</f>
        <v>0</v>
      </c>
      <c r="H322" s="5" t="n">
        <f aca="false">SUMPRODUCT(EXACT('Rule-Event map'!$F$2:$F$1477,$A322)*EXACT('Rule-Event map'!$G$2:$G$1477,$B322)*('Rule-Event map'!$C$2:$C$1477="Existing, re-tagged ITDR"))</f>
        <v>0</v>
      </c>
      <c r="I322" s="5" t="n">
        <f aca="false">F322-G322-H322</f>
        <v>1</v>
      </c>
      <c r="J322" s="5" t="n">
        <f aca="false">SUMPRODUCT(EXACT('Rule-Event map'!$F$2:$F$1477,$A322)*EXACT('Rule-Event map'!$G$2:$G$1477,$B322)*('Rule-Event map'!$E$2:$E$1477="Enabled"))</f>
        <v>1</v>
      </c>
      <c r="K322" s="2" t="s">
        <v>5164</v>
      </c>
    </row>
    <row r="323" customFormat="false" ht="15" hidden="false" customHeight="false" outlineLevel="0" collapsed="false">
      <c r="A323" s="5" t="s">
        <v>7670</v>
      </c>
      <c r="B323" s="2" t="s">
        <v>8161</v>
      </c>
      <c r="C323" s="5"/>
      <c r="D323" s="5"/>
      <c r="E323" s="5" t="s">
        <v>8336</v>
      </c>
      <c r="F323" s="5" t="n">
        <f aca="false">SUMPRODUCT(EXACT('Rule-Event map'!$F$2:$F$1477,$A323)*EXACT('Rule-Event map'!$G$2:$G$1477,$B323))</f>
        <v>1</v>
      </c>
      <c r="G323" s="5" t="n">
        <f aca="false">SUMPRODUCT(EXACT('Rule-Event map'!$F$2:$F$1477,$A323)*EXACT('Rule-Event map'!$G$2:$G$1477,$B323)*('Rule-Event map'!$C$2:$C$1477="New ITDR (7.6.0)"))</f>
        <v>0</v>
      </c>
      <c r="H323" s="5" t="n">
        <f aca="false">SUMPRODUCT(EXACT('Rule-Event map'!$F$2:$F$1477,$A323)*EXACT('Rule-Event map'!$G$2:$G$1477,$B323)*('Rule-Event map'!$C$2:$C$1477="Existing, re-tagged ITDR"))</f>
        <v>0</v>
      </c>
      <c r="I323" s="5" t="n">
        <f aca="false">F323-G323-H323</f>
        <v>1</v>
      </c>
      <c r="J323" s="5" t="n">
        <f aca="false">SUMPRODUCT(EXACT('Rule-Event map'!$F$2:$F$1477,$A323)*EXACT('Rule-Event map'!$G$2:$G$1477,$B323)*('Rule-Event map'!$E$2:$E$1477="Enabled"))</f>
        <v>1</v>
      </c>
      <c r="K323" s="2" t="s">
        <v>5892</v>
      </c>
    </row>
    <row r="324" customFormat="false" ht="15" hidden="false" customHeight="false" outlineLevel="0" collapsed="false">
      <c r="A324" s="5" t="s">
        <v>7670</v>
      </c>
      <c r="B324" s="2" t="s">
        <v>8170</v>
      </c>
      <c r="C324" s="5"/>
      <c r="D324" s="5"/>
      <c r="E324" s="5" t="s">
        <v>8336</v>
      </c>
      <c r="F324" s="5" t="n">
        <f aca="false">SUMPRODUCT(EXACT('Rule-Event map'!$F$2:$F$1477,$A324)*EXACT('Rule-Event map'!$G$2:$G$1477,$B324))</f>
        <v>1</v>
      </c>
      <c r="G324" s="5" t="n">
        <f aca="false">SUMPRODUCT(EXACT('Rule-Event map'!$F$2:$F$1477,$A324)*EXACT('Rule-Event map'!$G$2:$G$1477,$B324)*('Rule-Event map'!$C$2:$C$1477="New ITDR (7.6.0)"))</f>
        <v>0</v>
      </c>
      <c r="H324" s="5" t="n">
        <f aca="false">SUMPRODUCT(EXACT('Rule-Event map'!$F$2:$F$1477,$A324)*EXACT('Rule-Event map'!$G$2:$G$1477,$B324)*('Rule-Event map'!$C$2:$C$1477="Existing, re-tagged ITDR"))</f>
        <v>0</v>
      </c>
      <c r="I324" s="5" t="n">
        <f aca="false">F324-G324-H324</f>
        <v>1</v>
      </c>
      <c r="J324" s="5" t="n">
        <f aca="false">SUMPRODUCT(EXACT('Rule-Event map'!$F$2:$F$1477,$A324)*EXACT('Rule-Event map'!$G$2:$G$1477,$B324)*('Rule-Event map'!$E$2:$E$1477="Enabled"))</f>
        <v>0</v>
      </c>
      <c r="K324" s="2" t="s">
        <v>5911</v>
      </c>
    </row>
    <row r="325" customFormat="false" ht="15" hidden="false" customHeight="false" outlineLevel="0" collapsed="false">
      <c r="A325" s="5" t="s">
        <v>7670</v>
      </c>
      <c r="B325" s="2" t="s">
        <v>8171</v>
      </c>
      <c r="C325" s="5"/>
      <c r="D325" s="5"/>
      <c r="E325" s="5" t="s">
        <v>8336</v>
      </c>
      <c r="F325" s="5" t="n">
        <f aca="false">SUMPRODUCT(EXACT('Rule-Event map'!$F$2:$F$1477,$A325)*EXACT('Rule-Event map'!$G$2:$G$1477,$B325))</f>
        <v>1</v>
      </c>
      <c r="G325" s="5" t="n">
        <f aca="false">SUMPRODUCT(EXACT('Rule-Event map'!$F$2:$F$1477,$A325)*EXACT('Rule-Event map'!$G$2:$G$1477,$B325)*('Rule-Event map'!$C$2:$C$1477="New ITDR (7.6.0)"))</f>
        <v>0</v>
      </c>
      <c r="H325" s="5" t="n">
        <f aca="false">SUMPRODUCT(EXACT('Rule-Event map'!$F$2:$F$1477,$A325)*EXACT('Rule-Event map'!$G$2:$G$1477,$B325)*('Rule-Event map'!$C$2:$C$1477="Existing, re-tagged ITDR"))</f>
        <v>0</v>
      </c>
      <c r="I325" s="5" t="n">
        <f aca="false">F325-G325-H325</f>
        <v>1</v>
      </c>
      <c r="J325" s="5" t="n">
        <f aca="false">SUMPRODUCT(EXACT('Rule-Event map'!$F$2:$F$1477,$A325)*EXACT('Rule-Event map'!$G$2:$G$1477,$B325)*('Rule-Event map'!$E$2:$E$1477="Enabled"))</f>
        <v>0</v>
      </c>
      <c r="K325" s="2" t="s">
        <v>5911</v>
      </c>
    </row>
    <row r="326" customFormat="false" ht="15" hidden="false" customHeight="false" outlineLevel="0" collapsed="false">
      <c r="A326" s="5" t="s">
        <v>7670</v>
      </c>
      <c r="B326" s="2" t="s">
        <v>8121</v>
      </c>
      <c r="C326" s="5"/>
      <c r="D326" s="5"/>
      <c r="E326" s="5" t="s">
        <v>8336</v>
      </c>
      <c r="F326" s="5" t="n">
        <f aca="false">SUMPRODUCT(EXACT('Rule-Event map'!$F$2:$F$1477,$A326)*EXACT('Rule-Event map'!$G$2:$G$1477,$B326))</f>
        <v>1</v>
      </c>
      <c r="G326" s="5" t="n">
        <f aca="false">SUMPRODUCT(EXACT('Rule-Event map'!$F$2:$F$1477,$A326)*EXACT('Rule-Event map'!$G$2:$G$1477,$B326)*('Rule-Event map'!$C$2:$C$1477="New ITDR (7.6.0)"))</f>
        <v>0</v>
      </c>
      <c r="H326" s="5" t="n">
        <f aca="false">SUMPRODUCT(EXACT('Rule-Event map'!$F$2:$F$1477,$A326)*EXACT('Rule-Event map'!$G$2:$G$1477,$B326)*('Rule-Event map'!$C$2:$C$1477="Existing, re-tagged ITDR"))</f>
        <v>0</v>
      </c>
      <c r="I326" s="5" t="n">
        <f aca="false">F326-G326-H326</f>
        <v>1</v>
      </c>
      <c r="J326" s="5" t="n">
        <f aca="false">SUMPRODUCT(EXACT('Rule-Event map'!$F$2:$F$1477,$A326)*EXACT('Rule-Event map'!$G$2:$G$1477,$B326)*('Rule-Event map'!$E$2:$E$1477="Enabled"))</f>
        <v>1</v>
      </c>
      <c r="K326" s="2" t="s">
        <v>5769</v>
      </c>
    </row>
    <row r="327" customFormat="false" ht="15" hidden="false" customHeight="false" outlineLevel="0" collapsed="false">
      <c r="A327" s="5" t="s">
        <v>7670</v>
      </c>
      <c r="B327" s="2" t="s">
        <v>7936</v>
      </c>
      <c r="C327" s="5"/>
      <c r="D327" s="5"/>
      <c r="E327" s="5" t="s">
        <v>8336</v>
      </c>
      <c r="F327" s="5" t="n">
        <f aca="false">SUMPRODUCT(EXACT('Rule-Event map'!$F$2:$F$1477,$A327)*EXACT('Rule-Event map'!$G$2:$G$1477,$B327))</f>
        <v>1</v>
      </c>
      <c r="G327" s="5" t="n">
        <f aca="false">SUMPRODUCT(EXACT('Rule-Event map'!$F$2:$F$1477,$A327)*EXACT('Rule-Event map'!$G$2:$G$1477,$B327)*('Rule-Event map'!$C$2:$C$1477="New ITDR (7.6.0)"))</f>
        <v>0</v>
      </c>
      <c r="H327" s="5" t="n">
        <f aca="false">SUMPRODUCT(EXACT('Rule-Event map'!$F$2:$F$1477,$A327)*EXACT('Rule-Event map'!$G$2:$G$1477,$B327)*('Rule-Event map'!$C$2:$C$1477="Existing, re-tagged ITDR"))</f>
        <v>0</v>
      </c>
      <c r="I327" s="5" t="n">
        <f aca="false">F327-G327-H327</f>
        <v>1</v>
      </c>
      <c r="J327" s="5" t="n">
        <f aca="false">SUMPRODUCT(EXACT('Rule-Event map'!$F$2:$F$1477,$A327)*EXACT('Rule-Event map'!$G$2:$G$1477,$B327)*('Rule-Event map'!$E$2:$E$1477="Enabled"))</f>
        <v>1</v>
      </c>
      <c r="K327" s="2" t="s">
        <v>5164</v>
      </c>
    </row>
    <row r="328" customFormat="false" ht="15" hidden="false" customHeight="false" outlineLevel="0" collapsed="false">
      <c r="A328" s="5" t="s">
        <v>7670</v>
      </c>
      <c r="B328" s="2" t="s">
        <v>8005</v>
      </c>
      <c r="C328" s="5"/>
      <c r="D328" s="5"/>
      <c r="E328" s="5" t="s">
        <v>8336</v>
      </c>
      <c r="F328" s="5" t="n">
        <f aca="false">SUMPRODUCT(EXACT('Rule-Event map'!$F$2:$F$1477,$A328)*EXACT('Rule-Event map'!$G$2:$G$1477,$B328))</f>
        <v>1</v>
      </c>
      <c r="G328" s="5" t="n">
        <f aca="false">SUMPRODUCT(EXACT('Rule-Event map'!$F$2:$F$1477,$A328)*EXACT('Rule-Event map'!$G$2:$G$1477,$B328)*('Rule-Event map'!$C$2:$C$1477="New ITDR (7.6.0)"))</f>
        <v>0</v>
      </c>
      <c r="H328" s="5" t="n">
        <f aca="false">SUMPRODUCT(EXACT('Rule-Event map'!$F$2:$F$1477,$A328)*EXACT('Rule-Event map'!$G$2:$G$1477,$B328)*('Rule-Event map'!$C$2:$C$1477="Existing, re-tagged ITDR"))</f>
        <v>0</v>
      </c>
      <c r="I328" s="5" t="n">
        <f aca="false">F328-G328-H328</f>
        <v>1</v>
      </c>
      <c r="J328" s="5" t="n">
        <f aca="false">SUMPRODUCT(EXACT('Rule-Event map'!$F$2:$F$1477,$A328)*EXACT('Rule-Event map'!$G$2:$G$1477,$B328)*('Rule-Event map'!$E$2:$E$1477="Enabled"))</f>
        <v>0</v>
      </c>
      <c r="K328" s="2" t="s">
        <v>5395</v>
      </c>
    </row>
    <row r="329" customFormat="false" ht="15" hidden="false" customHeight="false" outlineLevel="0" collapsed="false">
      <c r="A329" s="5" t="s">
        <v>7670</v>
      </c>
      <c r="B329" s="2" t="s">
        <v>8006</v>
      </c>
      <c r="C329" s="5"/>
      <c r="D329" s="5"/>
      <c r="E329" s="5" t="s">
        <v>8336</v>
      </c>
      <c r="F329" s="5" t="n">
        <f aca="false">SUMPRODUCT(EXACT('Rule-Event map'!$F$2:$F$1477,$A329)*EXACT('Rule-Event map'!$G$2:$G$1477,$B329))</f>
        <v>1</v>
      </c>
      <c r="G329" s="5" t="n">
        <f aca="false">SUMPRODUCT(EXACT('Rule-Event map'!$F$2:$F$1477,$A329)*EXACT('Rule-Event map'!$G$2:$G$1477,$B329)*('Rule-Event map'!$C$2:$C$1477="New ITDR (7.6.0)"))</f>
        <v>0</v>
      </c>
      <c r="H329" s="5" t="n">
        <f aca="false">SUMPRODUCT(EXACT('Rule-Event map'!$F$2:$F$1477,$A329)*EXACT('Rule-Event map'!$G$2:$G$1477,$B329)*('Rule-Event map'!$C$2:$C$1477="Existing, re-tagged ITDR"))</f>
        <v>0</v>
      </c>
      <c r="I329" s="5" t="n">
        <f aca="false">F329-G329-H329</f>
        <v>1</v>
      </c>
      <c r="J329" s="5" t="n">
        <f aca="false">SUMPRODUCT(EXACT('Rule-Event map'!$F$2:$F$1477,$A329)*EXACT('Rule-Event map'!$G$2:$G$1477,$B329)*('Rule-Event map'!$E$2:$E$1477="Enabled"))</f>
        <v>0</v>
      </c>
      <c r="K329" s="2" t="s">
        <v>5395</v>
      </c>
    </row>
    <row r="330" customFormat="false" ht="15" hidden="false" customHeight="false" outlineLevel="0" collapsed="false">
      <c r="A330" s="5" t="s">
        <v>7670</v>
      </c>
      <c r="B330" s="2" t="s">
        <v>8191</v>
      </c>
      <c r="C330" s="5"/>
      <c r="D330" s="5"/>
      <c r="E330" s="5" t="s">
        <v>8336</v>
      </c>
      <c r="F330" s="5" t="n">
        <f aca="false">SUMPRODUCT(EXACT('Rule-Event map'!$F$2:$F$1477,$A330)*EXACT('Rule-Event map'!$G$2:$G$1477,$B330))</f>
        <v>1</v>
      </c>
      <c r="G330" s="5" t="n">
        <f aca="false">SUMPRODUCT(EXACT('Rule-Event map'!$F$2:$F$1477,$A330)*EXACT('Rule-Event map'!$G$2:$G$1477,$B330)*('Rule-Event map'!$C$2:$C$1477="New ITDR (7.6.0)"))</f>
        <v>0</v>
      </c>
      <c r="H330" s="5" t="n">
        <f aca="false">SUMPRODUCT(EXACT('Rule-Event map'!$F$2:$F$1477,$A330)*EXACT('Rule-Event map'!$G$2:$G$1477,$B330)*('Rule-Event map'!$C$2:$C$1477="Existing, re-tagged ITDR"))</f>
        <v>0</v>
      </c>
      <c r="I330" s="5" t="n">
        <f aca="false">F330-G330-H330</f>
        <v>1</v>
      </c>
      <c r="J330" s="5" t="n">
        <f aca="false">SUMPRODUCT(EXACT('Rule-Event map'!$F$2:$F$1477,$A330)*EXACT('Rule-Event map'!$G$2:$G$1477,$B330)*('Rule-Event map'!$E$2:$E$1477="Enabled"))</f>
        <v>0</v>
      </c>
      <c r="K330" s="2" t="s">
        <v>5972</v>
      </c>
    </row>
    <row r="331" customFormat="false" ht="15" hidden="false" customHeight="false" outlineLevel="0" collapsed="false">
      <c r="A331" s="5" t="s">
        <v>7670</v>
      </c>
      <c r="B331" s="2" t="s">
        <v>8004</v>
      </c>
      <c r="C331" s="5"/>
      <c r="D331" s="5"/>
      <c r="E331" s="5" t="s">
        <v>8336</v>
      </c>
      <c r="F331" s="5" t="n">
        <f aca="false">SUMPRODUCT(EXACT('Rule-Event map'!$F$2:$F$1477,$A331)*EXACT('Rule-Event map'!$G$2:$G$1477,$B331))</f>
        <v>1</v>
      </c>
      <c r="G331" s="5" t="n">
        <f aca="false">SUMPRODUCT(EXACT('Rule-Event map'!$F$2:$F$1477,$A331)*EXACT('Rule-Event map'!$G$2:$G$1477,$B331)*('Rule-Event map'!$C$2:$C$1477="New ITDR (7.6.0)"))</f>
        <v>0</v>
      </c>
      <c r="H331" s="5" t="n">
        <f aca="false">SUMPRODUCT(EXACT('Rule-Event map'!$F$2:$F$1477,$A331)*EXACT('Rule-Event map'!$G$2:$G$1477,$B331)*('Rule-Event map'!$C$2:$C$1477="Existing, re-tagged ITDR"))</f>
        <v>0</v>
      </c>
      <c r="I331" s="5" t="n">
        <f aca="false">F331-G331-H331</f>
        <v>1</v>
      </c>
      <c r="J331" s="5" t="n">
        <f aca="false">SUMPRODUCT(EXACT('Rule-Event map'!$F$2:$F$1477,$A331)*EXACT('Rule-Event map'!$G$2:$G$1477,$B331)*('Rule-Event map'!$E$2:$E$1477="Enabled"))</f>
        <v>0</v>
      </c>
      <c r="K331" s="2" t="s">
        <v>5395</v>
      </c>
    </row>
    <row r="332" customFormat="false" ht="23.85" hidden="false" customHeight="false" outlineLevel="0" collapsed="false">
      <c r="A332" s="5" t="s">
        <v>7670</v>
      </c>
      <c r="B332" s="2" t="s">
        <v>7912</v>
      </c>
      <c r="C332" s="5"/>
      <c r="D332" s="5"/>
      <c r="E332" s="5" t="s">
        <v>8336</v>
      </c>
      <c r="F332" s="5" t="n">
        <f aca="false">SUMPRODUCT(EXACT('Rule-Event map'!$F$2:$F$1477,$A332)*EXACT('Rule-Event map'!$G$2:$G$1477,$B332))</f>
        <v>2</v>
      </c>
      <c r="G332" s="5" t="n">
        <f aca="false">SUMPRODUCT(EXACT('Rule-Event map'!$F$2:$F$1477,$A332)*EXACT('Rule-Event map'!$G$2:$G$1477,$B332)*('Rule-Event map'!$C$2:$C$1477="New ITDR (7.6.0)"))</f>
        <v>0</v>
      </c>
      <c r="H332" s="5" t="n">
        <f aca="false">SUMPRODUCT(EXACT('Rule-Event map'!$F$2:$F$1477,$A332)*EXACT('Rule-Event map'!$G$2:$G$1477,$B332)*('Rule-Event map'!$C$2:$C$1477="Existing, re-tagged ITDR"))</f>
        <v>0</v>
      </c>
      <c r="I332" s="5" t="n">
        <f aca="false">F332-G332-H332</f>
        <v>2</v>
      </c>
      <c r="J332" s="5" t="n">
        <f aca="false">SUMPRODUCT(EXACT('Rule-Event map'!$F$2:$F$1477,$A332)*EXACT('Rule-Event map'!$G$2:$G$1477,$B332)*('Rule-Event map'!$E$2:$E$1477="Enabled"))</f>
        <v>2</v>
      </c>
      <c r="K332" s="2" t="s">
        <v>8369</v>
      </c>
    </row>
    <row r="333" customFormat="false" ht="15" hidden="false" customHeight="false" outlineLevel="0" collapsed="false">
      <c r="A333" s="5" t="s">
        <v>7670</v>
      </c>
      <c r="B333" s="2" t="s">
        <v>7930</v>
      </c>
      <c r="C333" s="5"/>
      <c r="D333" s="5"/>
      <c r="E333" s="5" t="s">
        <v>8336</v>
      </c>
      <c r="F333" s="5" t="n">
        <f aca="false">SUMPRODUCT(EXACT('Rule-Event map'!$F$2:$F$1477,$A333)*EXACT('Rule-Event map'!$G$2:$G$1477,$B333))</f>
        <v>1</v>
      </c>
      <c r="G333" s="5" t="n">
        <f aca="false">SUMPRODUCT(EXACT('Rule-Event map'!$F$2:$F$1477,$A333)*EXACT('Rule-Event map'!$G$2:$G$1477,$B333)*('Rule-Event map'!$C$2:$C$1477="New ITDR (7.6.0)"))</f>
        <v>0</v>
      </c>
      <c r="H333" s="5" t="n">
        <f aca="false">SUMPRODUCT(EXACT('Rule-Event map'!$F$2:$F$1477,$A333)*EXACT('Rule-Event map'!$G$2:$G$1477,$B333)*('Rule-Event map'!$C$2:$C$1477="Existing, re-tagged ITDR"))</f>
        <v>0</v>
      </c>
      <c r="I333" s="5" t="n">
        <f aca="false">F333-G333-H333</f>
        <v>1</v>
      </c>
      <c r="J333" s="5" t="n">
        <f aca="false">SUMPRODUCT(EXACT('Rule-Event map'!$F$2:$F$1477,$A333)*EXACT('Rule-Event map'!$G$2:$G$1477,$B333)*('Rule-Event map'!$E$2:$E$1477="Enabled"))</f>
        <v>0</v>
      </c>
      <c r="K333" s="2" t="s">
        <v>5153</v>
      </c>
    </row>
    <row r="334" customFormat="false" ht="23.85" hidden="false" customHeight="false" outlineLevel="0" collapsed="false">
      <c r="A334" s="5" t="s">
        <v>7670</v>
      </c>
      <c r="B334" s="2" t="s">
        <v>7999</v>
      </c>
      <c r="C334" s="5"/>
      <c r="D334" s="5"/>
      <c r="E334" s="5" t="s">
        <v>8336</v>
      </c>
      <c r="F334" s="5" t="n">
        <f aca="false">SUMPRODUCT(EXACT('Rule-Event map'!$F$2:$F$1477,$A334)*EXACT('Rule-Event map'!$G$2:$G$1477,$B334))</f>
        <v>1</v>
      </c>
      <c r="G334" s="5" t="n">
        <f aca="false">SUMPRODUCT(EXACT('Rule-Event map'!$F$2:$F$1477,$A334)*EXACT('Rule-Event map'!$G$2:$G$1477,$B334)*('Rule-Event map'!$C$2:$C$1477="New ITDR (7.6.0)"))</f>
        <v>0</v>
      </c>
      <c r="H334" s="5" t="n">
        <f aca="false">SUMPRODUCT(EXACT('Rule-Event map'!$F$2:$F$1477,$A334)*EXACT('Rule-Event map'!$G$2:$G$1477,$B334)*('Rule-Event map'!$C$2:$C$1477="Existing, re-tagged ITDR"))</f>
        <v>0</v>
      </c>
      <c r="I334" s="5" t="n">
        <f aca="false">F334-G334-H334</f>
        <v>1</v>
      </c>
      <c r="J334" s="5" t="n">
        <f aca="false">SUMPRODUCT(EXACT('Rule-Event map'!$F$2:$F$1477,$A334)*EXACT('Rule-Event map'!$G$2:$G$1477,$B334)*('Rule-Event map'!$E$2:$E$1477="Enabled"))</f>
        <v>0</v>
      </c>
      <c r="K334" s="2" t="s">
        <v>5383</v>
      </c>
    </row>
    <row r="335" customFormat="false" ht="15" hidden="false" customHeight="false" outlineLevel="0" collapsed="false">
      <c r="A335" s="5" t="s">
        <v>7670</v>
      </c>
      <c r="B335" s="2" t="s">
        <v>7980</v>
      </c>
      <c r="C335" s="5"/>
      <c r="D335" s="5"/>
      <c r="E335" s="5" t="s">
        <v>8336</v>
      </c>
      <c r="F335" s="5" t="n">
        <f aca="false">SUMPRODUCT(EXACT('Rule-Event map'!$F$2:$F$1477,$A335)*EXACT('Rule-Event map'!$G$2:$G$1477,$B335))</f>
        <v>1</v>
      </c>
      <c r="G335" s="5" t="n">
        <f aca="false">SUMPRODUCT(EXACT('Rule-Event map'!$F$2:$F$1477,$A335)*EXACT('Rule-Event map'!$G$2:$G$1477,$B335)*('Rule-Event map'!$C$2:$C$1477="New ITDR (7.6.0)"))</f>
        <v>0</v>
      </c>
      <c r="H335" s="5" t="n">
        <f aca="false">SUMPRODUCT(EXACT('Rule-Event map'!$F$2:$F$1477,$A335)*EXACT('Rule-Event map'!$G$2:$G$1477,$B335)*('Rule-Event map'!$C$2:$C$1477="Existing, re-tagged ITDR"))</f>
        <v>0</v>
      </c>
      <c r="I335" s="5" t="n">
        <f aca="false">F335-G335-H335</f>
        <v>1</v>
      </c>
      <c r="J335" s="5" t="n">
        <f aca="false">SUMPRODUCT(EXACT('Rule-Event map'!$F$2:$F$1477,$A335)*EXACT('Rule-Event map'!$G$2:$G$1477,$B335)*('Rule-Event map'!$E$2:$E$1477="Enabled"))</f>
        <v>1</v>
      </c>
      <c r="K335" s="2" t="s">
        <v>5283</v>
      </c>
    </row>
    <row r="336" customFormat="false" ht="15" hidden="false" customHeight="false" outlineLevel="0" collapsed="false">
      <c r="A336" s="5" t="s">
        <v>7670</v>
      </c>
      <c r="B336" s="2" t="s">
        <v>8007</v>
      </c>
      <c r="C336" s="5"/>
      <c r="D336" s="5"/>
      <c r="E336" s="5" t="s">
        <v>8336</v>
      </c>
      <c r="F336" s="5" t="n">
        <f aca="false">SUMPRODUCT(EXACT('Rule-Event map'!$F$2:$F$1477,$A336)*EXACT('Rule-Event map'!$G$2:$G$1477,$B336))</f>
        <v>1</v>
      </c>
      <c r="G336" s="5" t="n">
        <f aca="false">SUMPRODUCT(EXACT('Rule-Event map'!$F$2:$F$1477,$A336)*EXACT('Rule-Event map'!$G$2:$G$1477,$B336)*('Rule-Event map'!$C$2:$C$1477="New ITDR (7.6.0)"))</f>
        <v>0</v>
      </c>
      <c r="H336" s="5" t="n">
        <f aca="false">SUMPRODUCT(EXACT('Rule-Event map'!$F$2:$F$1477,$A336)*EXACT('Rule-Event map'!$G$2:$G$1477,$B336)*('Rule-Event map'!$C$2:$C$1477="Existing, re-tagged ITDR"))</f>
        <v>0</v>
      </c>
      <c r="I336" s="5" t="n">
        <f aca="false">F336-G336-H336</f>
        <v>1</v>
      </c>
      <c r="J336" s="5" t="n">
        <f aca="false">SUMPRODUCT(EXACT('Rule-Event map'!$F$2:$F$1477,$A336)*EXACT('Rule-Event map'!$G$2:$G$1477,$B336)*('Rule-Event map'!$E$2:$E$1477="Enabled"))</f>
        <v>0</v>
      </c>
      <c r="K336" s="2" t="s">
        <v>5395</v>
      </c>
    </row>
    <row r="337" customFormat="false" ht="23.85" hidden="false" customHeight="false" outlineLevel="0" collapsed="false">
      <c r="A337" s="5" t="s">
        <v>7670</v>
      </c>
      <c r="B337" s="2" t="s">
        <v>7894</v>
      </c>
      <c r="C337" s="5"/>
      <c r="D337" s="5"/>
      <c r="E337" s="5" t="s">
        <v>8336</v>
      </c>
      <c r="F337" s="5" t="n">
        <f aca="false">SUMPRODUCT(EXACT('Rule-Event map'!$F$2:$F$1477,$A337)*EXACT('Rule-Event map'!$G$2:$G$1477,$B337))</f>
        <v>2</v>
      </c>
      <c r="G337" s="5" t="n">
        <f aca="false">SUMPRODUCT(EXACT('Rule-Event map'!$F$2:$F$1477,$A337)*EXACT('Rule-Event map'!$G$2:$G$1477,$B337)*('Rule-Event map'!$C$2:$C$1477="New ITDR (7.6.0)"))</f>
        <v>0</v>
      </c>
      <c r="H337" s="5" t="n">
        <f aca="false">SUMPRODUCT(EXACT('Rule-Event map'!$F$2:$F$1477,$A337)*EXACT('Rule-Event map'!$G$2:$G$1477,$B337)*('Rule-Event map'!$C$2:$C$1477="Existing, re-tagged ITDR"))</f>
        <v>0</v>
      </c>
      <c r="I337" s="5" t="n">
        <f aca="false">F337-G337-H337</f>
        <v>2</v>
      </c>
      <c r="J337" s="5" t="n">
        <f aca="false">SUMPRODUCT(EXACT('Rule-Event map'!$F$2:$F$1477,$A337)*EXACT('Rule-Event map'!$G$2:$G$1477,$B337)*('Rule-Event map'!$E$2:$E$1477="Enabled"))</f>
        <v>1</v>
      </c>
      <c r="K337" s="2" t="s">
        <v>8370</v>
      </c>
    </row>
    <row r="338" customFormat="false" ht="23.85" hidden="false" customHeight="false" outlineLevel="0" collapsed="false">
      <c r="A338" s="5" t="s">
        <v>7670</v>
      </c>
      <c r="B338" s="2" t="s">
        <v>7795</v>
      </c>
      <c r="C338" s="5"/>
      <c r="D338" s="5"/>
      <c r="E338" s="5" t="s">
        <v>8336</v>
      </c>
      <c r="F338" s="5" t="n">
        <f aca="false">SUMPRODUCT(EXACT('Rule-Event map'!$F$2:$F$1477,$A338)*EXACT('Rule-Event map'!$G$2:$G$1477,$B338))</f>
        <v>2</v>
      </c>
      <c r="G338" s="5" t="n">
        <f aca="false">SUMPRODUCT(EXACT('Rule-Event map'!$F$2:$F$1477,$A338)*EXACT('Rule-Event map'!$G$2:$G$1477,$B338)*('Rule-Event map'!$C$2:$C$1477="New ITDR (7.6.0)"))</f>
        <v>0</v>
      </c>
      <c r="H338" s="5" t="n">
        <f aca="false">SUMPRODUCT(EXACT('Rule-Event map'!$F$2:$F$1477,$A338)*EXACT('Rule-Event map'!$G$2:$G$1477,$B338)*('Rule-Event map'!$C$2:$C$1477="Existing, re-tagged ITDR"))</f>
        <v>0</v>
      </c>
      <c r="I338" s="5" t="n">
        <f aca="false">F338-G338-H338</f>
        <v>2</v>
      </c>
      <c r="J338" s="5" t="n">
        <f aca="false">SUMPRODUCT(EXACT('Rule-Event map'!$F$2:$F$1477,$A338)*EXACT('Rule-Event map'!$G$2:$G$1477,$B338)*('Rule-Event map'!$E$2:$E$1477="Enabled"))</f>
        <v>2</v>
      </c>
      <c r="K338" s="2" t="s">
        <v>8371</v>
      </c>
    </row>
    <row r="339" customFormat="false" ht="15" hidden="false" customHeight="false" outlineLevel="0" collapsed="false">
      <c r="A339" s="5" t="s">
        <v>7670</v>
      </c>
      <c r="B339" s="2" t="s">
        <v>8177</v>
      </c>
      <c r="C339" s="5"/>
      <c r="D339" s="5"/>
      <c r="E339" s="5" t="s">
        <v>8336</v>
      </c>
      <c r="F339" s="5" t="n">
        <f aca="false">SUMPRODUCT(EXACT('Rule-Event map'!$F$2:$F$1477,$A339)*EXACT('Rule-Event map'!$G$2:$G$1477,$B339))</f>
        <v>1</v>
      </c>
      <c r="G339" s="5" t="n">
        <f aca="false">SUMPRODUCT(EXACT('Rule-Event map'!$F$2:$F$1477,$A339)*EXACT('Rule-Event map'!$G$2:$G$1477,$B339)*('Rule-Event map'!$C$2:$C$1477="New ITDR (7.6.0)"))</f>
        <v>0</v>
      </c>
      <c r="H339" s="5" t="n">
        <f aca="false">SUMPRODUCT(EXACT('Rule-Event map'!$F$2:$F$1477,$A339)*EXACT('Rule-Event map'!$G$2:$G$1477,$B339)*('Rule-Event map'!$C$2:$C$1477="Existing, re-tagged ITDR"))</f>
        <v>0</v>
      </c>
      <c r="I339" s="5" t="n">
        <f aca="false">F339-G339-H339</f>
        <v>1</v>
      </c>
      <c r="J339" s="5" t="n">
        <f aca="false">SUMPRODUCT(EXACT('Rule-Event map'!$F$2:$F$1477,$A339)*EXACT('Rule-Event map'!$G$2:$G$1477,$B339)*('Rule-Event map'!$E$2:$E$1477="Enabled"))</f>
        <v>1</v>
      </c>
      <c r="K339" s="2" t="s">
        <v>5936</v>
      </c>
    </row>
    <row r="340" customFormat="false" ht="15" hidden="false" customHeight="false" outlineLevel="0" collapsed="false">
      <c r="A340" s="5" t="s">
        <v>7670</v>
      </c>
      <c r="B340" s="2" t="s">
        <v>8143</v>
      </c>
      <c r="C340" s="5"/>
      <c r="D340" s="5"/>
      <c r="E340" s="5" t="s">
        <v>8336</v>
      </c>
      <c r="F340" s="5" t="n">
        <f aca="false">SUMPRODUCT(EXACT('Rule-Event map'!$F$2:$F$1477,$A340)*EXACT('Rule-Event map'!$G$2:$G$1477,$B340))</f>
        <v>1</v>
      </c>
      <c r="G340" s="5" t="n">
        <f aca="false">SUMPRODUCT(EXACT('Rule-Event map'!$F$2:$F$1477,$A340)*EXACT('Rule-Event map'!$G$2:$G$1477,$B340)*('Rule-Event map'!$C$2:$C$1477="New ITDR (7.6.0)"))</f>
        <v>0</v>
      </c>
      <c r="H340" s="5" t="n">
        <f aca="false">SUMPRODUCT(EXACT('Rule-Event map'!$F$2:$F$1477,$A340)*EXACT('Rule-Event map'!$G$2:$G$1477,$B340)*('Rule-Event map'!$C$2:$C$1477="Existing, re-tagged ITDR"))</f>
        <v>0</v>
      </c>
      <c r="I340" s="5" t="n">
        <f aca="false">F340-G340-H340</f>
        <v>1</v>
      </c>
      <c r="J340" s="5" t="n">
        <f aca="false">SUMPRODUCT(EXACT('Rule-Event map'!$F$2:$F$1477,$A340)*EXACT('Rule-Event map'!$G$2:$G$1477,$B340)*('Rule-Event map'!$E$2:$E$1477="Enabled"))</f>
        <v>1</v>
      </c>
      <c r="K340" s="2" t="s">
        <v>5820</v>
      </c>
    </row>
    <row r="341" customFormat="false" ht="15" hidden="false" customHeight="false" outlineLevel="0" collapsed="false">
      <c r="A341" s="5" t="s">
        <v>7670</v>
      </c>
      <c r="B341" s="2" t="s">
        <v>8173</v>
      </c>
      <c r="C341" s="5"/>
      <c r="D341" s="5"/>
      <c r="E341" s="5" t="s">
        <v>8336</v>
      </c>
      <c r="F341" s="5" t="n">
        <f aca="false">SUMPRODUCT(EXACT('Rule-Event map'!$F$2:$F$1477,$A341)*EXACT('Rule-Event map'!$G$2:$G$1477,$B341))</f>
        <v>1</v>
      </c>
      <c r="G341" s="5" t="n">
        <f aca="false">SUMPRODUCT(EXACT('Rule-Event map'!$F$2:$F$1477,$A341)*EXACT('Rule-Event map'!$G$2:$G$1477,$B341)*('Rule-Event map'!$C$2:$C$1477="New ITDR (7.6.0)"))</f>
        <v>0</v>
      </c>
      <c r="H341" s="5" t="n">
        <f aca="false">SUMPRODUCT(EXACT('Rule-Event map'!$F$2:$F$1477,$A341)*EXACT('Rule-Event map'!$G$2:$G$1477,$B341)*('Rule-Event map'!$C$2:$C$1477="Existing, re-tagged ITDR"))</f>
        <v>0</v>
      </c>
      <c r="I341" s="5" t="n">
        <f aca="false">F341-G341-H341</f>
        <v>1</v>
      </c>
      <c r="J341" s="5" t="n">
        <f aca="false">SUMPRODUCT(EXACT('Rule-Event map'!$F$2:$F$1477,$A341)*EXACT('Rule-Event map'!$G$2:$G$1477,$B341)*('Rule-Event map'!$E$2:$E$1477="Enabled"))</f>
        <v>0</v>
      </c>
      <c r="K341" s="2" t="s">
        <v>5918</v>
      </c>
    </row>
    <row r="342" customFormat="false" ht="15" hidden="false" customHeight="false" outlineLevel="0" collapsed="false">
      <c r="A342" s="5" t="s">
        <v>7670</v>
      </c>
      <c r="B342" s="2" t="s">
        <v>8175</v>
      </c>
      <c r="C342" s="5"/>
      <c r="D342" s="5"/>
      <c r="E342" s="5" t="s">
        <v>8336</v>
      </c>
      <c r="F342" s="5" t="n">
        <f aca="false">SUMPRODUCT(EXACT('Rule-Event map'!$F$2:$F$1477,$A342)*EXACT('Rule-Event map'!$G$2:$G$1477,$B342))</f>
        <v>1</v>
      </c>
      <c r="G342" s="5" t="n">
        <f aca="false">SUMPRODUCT(EXACT('Rule-Event map'!$F$2:$F$1477,$A342)*EXACT('Rule-Event map'!$G$2:$G$1477,$B342)*('Rule-Event map'!$C$2:$C$1477="New ITDR (7.6.0)"))</f>
        <v>0</v>
      </c>
      <c r="H342" s="5" t="n">
        <f aca="false">SUMPRODUCT(EXACT('Rule-Event map'!$F$2:$F$1477,$A342)*EXACT('Rule-Event map'!$G$2:$G$1477,$B342)*('Rule-Event map'!$C$2:$C$1477="Existing, re-tagged ITDR"))</f>
        <v>0</v>
      </c>
      <c r="I342" s="5" t="n">
        <f aca="false">F342-G342-H342</f>
        <v>1</v>
      </c>
      <c r="J342" s="5" t="n">
        <f aca="false">SUMPRODUCT(EXACT('Rule-Event map'!$F$2:$F$1477,$A342)*EXACT('Rule-Event map'!$G$2:$G$1477,$B342)*('Rule-Event map'!$E$2:$E$1477="Enabled"))</f>
        <v>0</v>
      </c>
      <c r="K342" s="2" t="s">
        <v>5923</v>
      </c>
    </row>
    <row r="343" customFormat="false" ht="15" hidden="false" customHeight="false" outlineLevel="0" collapsed="false">
      <c r="A343" s="5" t="s">
        <v>7670</v>
      </c>
      <c r="B343" s="2" t="s">
        <v>8045</v>
      </c>
      <c r="C343" s="5"/>
      <c r="D343" s="5"/>
      <c r="E343" s="5" t="s">
        <v>8336</v>
      </c>
      <c r="F343" s="5" t="n">
        <f aca="false">SUMPRODUCT(EXACT('Rule-Event map'!$F$2:$F$1477,$A343)*EXACT('Rule-Event map'!$G$2:$G$1477,$B343))</f>
        <v>1</v>
      </c>
      <c r="G343" s="5" t="n">
        <f aca="false">SUMPRODUCT(EXACT('Rule-Event map'!$F$2:$F$1477,$A343)*EXACT('Rule-Event map'!$G$2:$G$1477,$B343)*('Rule-Event map'!$C$2:$C$1477="New ITDR (7.6.0)"))</f>
        <v>0</v>
      </c>
      <c r="H343" s="5" t="n">
        <f aca="false">SUMPRODUCT(EXACT('Rule-Event map'!$F$2:$F$1477,$A343)*EXACT('Rule-Event map'!$G$2:$G$1477,$B343)*('Rule-Event map'!$C$2:$C$1477="Existing, re-tagged ITDR"))</f>
        <v>0</v>
      </c>
      <c r="I343" s="5" t="n">
        <f aca="false">F343-G343-H343</f>
        <v>1</v>
      </c>
      <c r="J343" s="5" t="n">
        <f aca="false">SUMPRODUCT(EXACT('Rule-Event map'!$F$2:$F$1477,$A343)*EXACT('Rule-Event map'!$G$2:$G$1477,$B343)*('Rule-Event map'!$E$2:$E$1477="Enabled"))</f>
        <v>1</v>
      </c>
      <c r="K343" s="2" t="s">
        <v>5554</v>
      </c>
    </row>
    <row r="344" customFormat="false" ht="15" hidden="false" customHeight="false" outlineLevel="0" collapsed="false">
      <c r="A344" s="5" t="s">
        <v>7670</v>
      </c>
      <c r="B344" s="2" t="s">
        <v>8111</v>
      </c>
      <c r="C344" s="5"/>
      <c r="D344" s="5"/>
      <c r="E344" s="5" t="s">
        <v>8336</v>
      </c>
      <c r="F344" s="5" t="n">
        <f aca="false">SUMPRODUCT(EXACT('Rule-Event map'!$F$2:$F$1477,$A344)*EXACT('Rule-Event map'!$G$2:$G$1477,$B344))</f>
        <v>1</v>
      </c>
      <c r="G344" s="5" t="n">
        <f aca="false">SUMPRODUCT(EXACT('Rule-Event map'!$F$2:$F$1477,$A344)*EXACT('Rule-Event map'!$G$2:$G$1477,$B344)*('Rule-Event map'!$C$2:$C$1477="New ITDR (7.6.0)"))</f>
        <v>0</v>
      </c>
      <c r="H344" s="5" t="n">
        <f aca="false">SUMPRODUCT(EXACT('Rule-Event map'!$F$2:$F$1477,$A344)*EXACT('Rule-Event map'!$G$2:$G$1477,$B344)*('Rule-Event map'!$C$2:$C$1477="Existing, re-tagged ITDR"))</f>
        <v>0</v>
      </c>
      <c r="I344" s="5" t="n">
        <f aca="false">F344-G344-H344</f>
        <v>1</v>
      </c>
      <c r="J344" s="5" t="n">
        <f aca="false">SUMPRODUCT(EXACT('Rule-Event map'!$F$2:$F$1477,$A344)*EXACT('Rule-Event map'!$G$2:$G$1477,$B344)*('Rule-Event map'!$E$2:$E$1477="Enabled"))</f>
        <v>0</v>
      </c>
      <c r="K344" s="2" t="s">
        <v>5757</v>
      </c>
    </row>
    <row r="345" customFormat="false" ht="15" hidden="false" customHeight="false" outlineLevel="0" collapsed="false">
      <c r="A345" s="5" t="s">
        <v>7670</v>
      </c>
      <c r="B345" s="2" t="s">
        <v>8107</v>
      </c>
      <c r="C345" s="5"/>
      <c r="D345" s="5"/>
      <c r="E345" s="5" t="s">
        <v>8336</v>
      </c>
      <c r="F345" s="5" t="n">
        <f aca="false">SUMPRODUCT(EXACT('Rule-Event map'!$F$2:$F$1477,$A345)*EXACT('Rule-Event map'!$G$2:$G$1477,$B345))</f>
        <v>1</v>
      </c>
      <c r="G345" s="5" t="n">
        <f aca="false">SUMPRODUCT(EXACT('Rule-Event map'!$F$2:$F$1477,$A345)*EXACT('Rule-Event map'!$G$2:$G$1477,$B345)*('Rule-Event map'!$C$2:$C$1477="New ITDR (7.6.0)"))</f>
        <v>0</v>
      </c>
      <c r="H345" s="5" t="n">
        <f aca="false">SUMPRODUCT(EXACT('Rule-Event map'!$F$2:$F$1477,$A345)*EXACT('Rule-Event map'!$G$2:$G$1477,$B345)*('Rule-Event map'!$C$2:$C$1477="Existing, re-tagged ITDR"))</f>
        <v>0</v>
      </c>
      <c r="I345" s="5" t="n">
        <f aca="false">F345-G345-H345</f>
        <v>1</v>
      </c>
      <c r="J345" s="5" t="n">
        <f aca="false">SUMPRODUCT(EXACT('Rule-Event map'!$F$2:$F$1477,$A345)*EXACT('Rule-Event map'!$G$2:$G$1477,$B345)*('Rule-Event map'!$E$2:$E$1477="Enabled"))</f>
        <v>1</v>
      </c>
      <c r="K345" s="2" t="s">
        <v>5745</v>
      </c>
    </row>
    <row r="346" customFormat="false" ht="15" hidden="false" customHeight="false" outlineLevel="0" collapsed="false">
      <c r="A346" s="5" t="s">
        <v>7670</v>
      </c>
      <c r="B346" s="2" t="s">
        <v>8141</v>
      </c>
      <c r="C346" s="5"/>
      <c r="D346" s="5"/>
      <c r="E346" s="5" t="s">
        <v>8336</v>
      </c>
      <c r="F346" s="5" t="n">
        <f aca="false">SUMPRODUCT(EXACT('Rule-Event map'!$F$2:$F$1477,$A346)*EXACT('Rule-Event map'!$G$2:$G$1477,$B346))</f>
        <v>1</v>
      </c>
      <c r="G346" s="5" t="n">
        <f aca="false">SUMPRODUCT(EXACT('Rule-Event map'!$F$2:$F$1477,$A346)*EXACT('Rule-Event map'!$G$2:$G$1477,$B346)*('Rule-Event map'!$C$2:$C$1477="New ITDR (7.6.0)"))</f>
        <v>0</v>
      </c>
      <c r="H346" s="5" t="n">
        <f aca="false">SUMPRODUCT(EXACT('Rule-Event map'!$F$2:$F$1477,$A346)*EXACT('Rule-Event map'!$G$2:$G$1477,$B346)*('Rule-Event map'!$C$2:$C$1477="Existing, re-tagged ITDR"))</f>
        <v>0</v>
      </c>
      <c r="I346" s="5" t="n">
        <f aca="false">F346-G346-H346</f>
        <v>1</v>
      </c>
      <c r="J346" s="5" t="n">
        <f aca="false">SUMPRODUCT(EXACT('Rule-Event map'!$F$2:$F$1477,$A346)*EXACT('Rule-Event map'!$G$2:$G$1477,$B346)*('Rule-Event map'!$E$2:$E$1477="Enabled"))</f>
        <v>1</v>
      </c>
      <c r="K346" s="2" t="s">
        <v>5820</v>
      </c>
    </row>
    <row r="347" customFormat="false" ht="15" hidden="false" customHeight="false" outlineLevel="0" collapsed="false">
      <c r="A347" s="5" t="s">
        <v>7670</v>
      </c>
      <c r="B347" s="2" t="s">
        <v>7928</v>
      </c>
      <c r="C347" s="5"/>
      <c r="D347" s="5"/>
      <c r="E347" s="5" t="s">
        <v>8336</v>
      </c>
      <c r="F347" s="5" t="n">
        <f aca="false">SUMPRODUCT(EXACT('Rule-Event map'!$F$2:$F$1477,$A347)*EXACT('Rule-Event map'!$G$2:$G$1477,$B347))</f>
        <v>1</v>
      </c>
      <c r="G347" s="5" t="n">
        <f aca="false">SUMPRODUCT(EXACT('Rule-Event map'!$F$2:$F$1477,$A347)*EXACT('Rule-Event map'!$G$2:$G$1477,$B347)*('Rule-Event map'!$C$2:$C$1477="New ITDR (7.6.0)"))</f>
        <v>0</v>
      </c>
      <c r="H347" s="5" t="n">
        <f aca="false">SUMPRODUCT(EXACT('Rule-Event map'!$F$2:$F$1477,$A347)*EXACT('Rule-Event map'!$G$2:$G$1477,$B347)*('Rule-Event map'!$C$2:$C$1477="Existing, re-tagged ITDR"))</f>
        <v>0</v>
      </c>
      <c r="I347" s="5" t="n">
        <f aca="false">F347-G347-H347</f>
        <v>1</v>
      </c>
      <c r="J347" s="5" t="n">
        <f aca="false">SUMPRODUCT(EXACT('Rule-Event map'!$F$2:$F$1477,$A347)*EXACT('Rule-Event map'!$G$2:$G$1477,$B347)*('Rule-Event map'!$E$2:$E$1477="Enabled"))</f>
        <v>0</v>
      </c>
      <c r="K347" s="2" t="s">
        <v>5142</v>
      </c>
    </row>
    <row r="348" customFormat="false" ht="15" hidden="false" customHeight="false" outlineLevel="0" collapsed="false">
      <c r="A348" s="5" t="s">
        <v>7670</v>
      </c>
      <c r="B348" s="2" t="s">
        <v>8193</v>
      </c>
      <c r="C348" s="5"/>
      <c r="D348" s="5"/>
      <c r="E348" s="5" t="s">
        <v>8336</v>
      </c>
      <c r="F348" s="5" t="n">
        <f aca="false">SUMPRODUCT(EXACT('Rule-Event map'!$F$2:$F$1477,$A348)*EXACT('Rule-Event map'!$G$2:$G$1477,$B348))</f>
        <v>1</v>
      </c>
      <c r="G348" s="5" t="n">
        <f aca="false">SUMPRODUCT(EXACT('Rule-Event map'!$F$2:$F$1477,$A348)*EXACT('Rule-Event map'!$G$2:$G$1477,$B348)*('Rule-Event map'!$C$2:$C$1477="New ITDR (7.6.0)"))</f>
        <v>0</v>
      </c>
      <c r="H348" s="5" t="n">
        <f aca="false">SUMPRODUCT(EXACT('Rule-Event map'!$F$2:$F$1477,$A348)*EXACT('Rule-Event map'!$G$2:$G$1477,$B348)*('Rule-Event map'!$C$2:$C$1477="Existing, re-tagged ITDR"))</f>
        <v>0</v>
      </c>
      <c r="I348" s="5" t="n">
        <f aca="false">F348-G348-H348</f>
        <v>1</v>
      </c>
      <c r="J348" s="5" t="n">
        <f aca="false">SUMPRODUCT(EXACT('Rule-Event map'!$F$2:$F$1477,$A348)*EXACT('Rule-Event map'!$G$2:$G$1477,$B348)*('Rule-Event map'!$E$2:$E$1477="Enabled"))</f>
        <v>0</v>
      </c>
      <c r="K348" s="2" t="s">
        <v>5972</v>
      </c>
    </row>
    <row r="349" customFormat="false" ht="15" hidden="false" customHeight="false" outlineLevel="0" collapsed="false">
      <c r="A349" s="5" t="s">
        <v>7670</v>
      </c>
      <c r="B349" s="2" t="s">
        <v>8192</v>
      </c>
      <c r="C349" s="5"/>
      <c r="D349" s="5"/>
      <c r="E349" s="5" t="s">
        <v>8336</v>
      </c>
      <c r="F349" s="5" t="n">
        <f aca="false">SUMPRODUCT(EXACT('Rule-Event map'!$F$2:$F$1477,$A349)*EXACT('Rule-Event map'!$G$2:$G$1477,$B349))</f>
        <v>1</v>
      </c>
      <c r="G349" s="5" t="n">
        <f aca="false">SUMPRODUCT(EXACT('Rule-Event map'!$F$2:$F$1477,$A349)*EXACT('Rule-Event map'!$G$2:$G$1477,$B349)*('Rule-Event map'!$C$2:$C$1477="New ITDR (7.6.0)"))</f>
        <v>0</v>
      </c>
      <c r="H349" s="5" t="n">
        <f aca="false">SUMPRODUCT(EXACT('Rule-Event map'!$F$2:$F$1477,$A349)*EXACT('Rule-Event map'!$G$2:$G$1477,$B349)*('Rule-Event map'!$C$2:$C$1477="Existing, re-tagged ITDR"))</f>
        <v>0</v>
      </c>
      <c r="I349" s="5" t="n">
        <f aca="false">F349-G349-H349</f>
        <v>1</v>
      </c>
      <c r="J349" s="5" t="n">
        <f aca="false">SUMPRODUCT(EXACT('Rule-Event map'!$F$2:$F$1477,$A349)*EXACT('Rule-Event map'!$G$2:$G$1477,$B349)*('Rule-Event map'!$E$2:$E$1477="Enabled"))</f>
        <v>0</v>
      </c>
      <c r="K349" s="2" t="s">
        <v>5972</v>
      </c>
    </row>
    <row r="350" customFormat="false" ht="15" hidden="false" customHeight="false" outlineLevel="0" collapsed="false">
      <c r="A350" s="5" t="s">
        <v>7670</v>
      </c>
      <c r="B350" s="2" t="s">
        <v>8197</v>
      </c>
      <c r="C350" s="5"/>
      <c r="D350" s="5"/>
      <c r="E350" s="5" t="s">
        <v>8336</v>
      </c>
      <c r="F350" s="5" t="n">
        <f aca="false">SUMPRODUCT(EXACT('Rule-Event map'!$F$2:$F$1477,$A350)*EXACT('Rule-Event map'!$G$2:$G$1477,$B350))</f>
        <v>1</v>
      </c>
      <c r="G350" s="5" t="n">
        <f aca="false">SUMPRODUCT(EXACT('Rule-Event map'!$F$2:$F$1477,$A350)*EXACT('Rule-Event map'!$G$2:$G$1477,$B350)*('Rule-Event map'!$C$2:$C$1477="New ITDR (7.6.0)"))</f>
        <v>0</v>
      </c>
      <c r="H350" s="5" t="n">
        <f aca="false">SUMPRODUCT(EXACT('Rule-Event map'!$F$2:$F$1477,$A350)*EXACT('Rule-Event map'!$G$2:$G$1477,$B350)*('Rule-Event map'!$C$2:$C$1477="Existing, re-tagged ITDR"))</f>
        <v>0</v>
      </c>
      <c r="I350" s="5" t="n">
        <f aca="false">F350-G350-H350</f>
        <v>1</v>
      </c>
      <c r="J350" s="5" t="n">
        <f aca="false">SUMPRODUCT(EXACT('Rule-Event map'!$F$2:$F$1477,$A350)*EXACT('Rule-Event map'!$G$2:$G$1477,$B350)*('Rule-Event map'!$E$2:$E$1477="Enabled"))</f>
        <v>0</v>
      </c>
      <c r="K350" s="2" t="s">
        <v>5989</v>
      </c>
    </row>
    <row r="351" customFormat="false" ht="15" hidden="false" customHeight="false" outlineLevel="0" collapsed="false">
      <c r="A351" s="5" t="s">
        <v>7670</v>
      </c>
      <c r="B351" s="2" t="s">
        <v>8181</v>
      </c>
      <c r="C351" s="5"/>
      <c r="D351" s="5"/>
      <c r="E351" s="5" t="s">
        <v>8336</v>
      </c>
      <c r="F351" s="5" t="n">
        <f aca="false">SUMPRODUCT(EXACT('Rule-Event map'!$F$2:$F$1477,$A351)*EXACT('Rule-Event map'!$G$2:$G$1477,$B351))</f>
        <v>1</v>
      </c>
      <c r="G351" s="5" t="n">
        <f aca="false">SUMPRODUCT(EXACT('Rule-Event map'!$F$2:$F$1477,$A351)*EXACT('Rule-Event map'!$G$2:$G$1477,$B351)*('Rule-Event map'!$C$2:$C$1477="New ITDR (7.6.0)"))</f>
        <v>0</v>
      </c>
      <c r="H351" s="5" t="n">
        <f aca="false">SUMPRODUCT(EXACT('Rule-Event map'!$F$2:$F$1477,$A351)*EXACT('Rule-Event map'!$G$2:$G$1477,$B351)*('Rule-Event map'!$C$2:$C$1477="Existing, re-tagged ITDR"))</f>
        <v>0</v>
      </c>
      <c r="I351" s="5" t="n">
        <f aca="false">F351-G351-H351</f>
        <v>1</v>
      </c>
      <c r="J351" s="5" t="n">
        <f aca="false">SUMPRODUCT(EXACT('Rule-Event map'!$F$2:$F$1477,$A351)*EXACT('Rule-Event map'!$G$2:$G$1477,$B351)*('Rule-Event map'!$E$2:$E$1477="Enabled"))</f>
        <v>0</v>
      </c>
      <c r="K351" s="2" t="s">
        <v>5955</v>
      </c>
    </row>
    <row r="352" customFormat="false" ht="15" hidden="false" customHeight="false" outlineLevel="0" collapsed="false">
      <c r="A352" s="5" t="s">
        <v>7670</v>
      </c>
      <c r="B352" s="2" t="s">
        <v>8120</v>
      </c>
      <c r="C352" s="5"/>
      <c r="D352" s="5"/>
      <c r="E352" s="5" t="s">
        <v>8336</v>
      </c>
      <c r="F352" s="5" t="n">
        <f aca="false">SUMPRODUCT(EXACT('Rule-Event map'!$F$2:$F$1477,$A352)*EXACT('Rule-Event map'!$G$2:$G$1477,$B352))</f>
        <v>1</v>
      </c>
      <c r="G352" s="5" t="n">
        <f aca="false">SUMPRODUCT(EXACT('Rule-Event map'!$F$2:$F$1477,$A352)*EXACT('Rule-Event map'!$G$2:$G$1477,$B352)*('Rule-Event map'!$C$2:$C$1477="New ITDR (7.6.0)"))</f>
        <v>0</v>
      </c>
      <c r="H352" s="5" t="n">
        <f aca="false">SUMPRODUCT(EXACT('Rule-Event map'!$F$2:$F$1477,$A352)*EXACT('Rule-Event map'!$G$2:$G$1477,$B352)*('Rule-Event map'!$C$2:$C$1477="Existing, re-tagged ITDR"))</f>
        <v>0</v>
      </c>
      <c r="I352" s="5" t="n">
        <f aca="false">F352-G352-H352</f>
        <v>1</v>
      </c>
      <c r="J352" s="5" t="n">
        <f aca="false">SUMPRODUCT(EXACT('Rule-Event map'!$F$2:$F$1477,$A352)*EXACT('Rule-Event map'!$G$2:$G$1477,$B352)*('Rule-Event map'!$E$2:$E$1477="Enabled"))</f>
        <v>1</v>
      </c>
      <c r="K352" s="2" t="s">
        <v>5769</v>
      </c>
    </row>
    <row r="353" customFormat="false" ht="15" hidden="false" customHeight="false" outlineLevel="0" collapsed="false">
      <c r="A353" s="5" t="s">
        <v>7670</v>
      </c>
      <c r="B353" s="2" t="s">
        <v>8155</v>
      </c>
      <c r="C353" s="5"/>
      <c r="D353" s="5"/>
      <c r="E353" s="5" t="s">
        <v>8336</v>
      </c>
      <c r="F353" s="5" t="n">
        <f aca="false">SUMPRODUCT(EXACT('Rule-Event map'!$F$2:$F$1477,$A353)*EXACT('Rule-Event map'!$G$2:$G$1477,$B353))</f>
        <v>1</v>
      </c>
      <c r="G353" s="5" t="n">
        <f aca="false">SUMPRODUCT(EXACT('Rule-Event map'!$F$2:$F$1477,$A353)*EXACT('Rule-Event map'!$G$2:$G$1477,$B353)*('Rule-Event map'!$C$2:$C$1477="New ITDR (7.6.0)"))</f>
        <v>0</v>
      </c>
      <c r="H353" s="5" t="n">
        <f aca="false">SUMPRODUCT(EXACT('Rule-Event map'!$F$2:$F$1477,$A353)*EXACT('Rule-Event map'!$G$2:$G$1477,$B353)*('Rule-Event map'!$C$2:$C$1477="Existing, re-tagged ITDR"))</f>
        <v>0</v>
      </c>
      <c r="I353" s="5" t="n">
        <f aca="false">F353-G353-H353</f>
        <v>1</v>
      </c>
      <c r="J353" s="5" t="n">
        <f aca="false">SUMPRODUCT(EXACT('Rule-Event map'!$F$2:$F$1477,$A353)*EXACT('Rule-Event map'!$G$2:$G$1477,$B353)*('Rule-Event map'!$E$2:$E$1477="Enabled"))</f>
        <v>0</v>
      </c>
      <c r="K353" s="2" t="s">
        <v>5863</v>
      </c>
    </row>
    <row r="354" customFormat="false" ht="15" hidden="false" customHeight="false" outlineLevel="0" collapsed="false">
      <c r="A354" s="5" t="s">
        <v>7670</v>
      </c>
      <c r="B354" s="2" t="s">
        <v>8123</v>
      </c>
      <c r="C354" s="5"/>
      <c r="D354" s="5"/>
      <c r="E354" s="5" t="s">
        <v>8336</v>
      </c>
      <c r="F354" s="5" t="n">
        <f aca="false">SUMPRODUCT(EXACT('Rule-Event map'!$F$2:$F$1477,$A354)*EXACT('Rule-Event map'!$G$2:$G$1477,$B354))</f>
        <v>1</v>
      </c>
      <c r="G354" s="5" t="n">
        <f aca="false">SUMPRODUCT(EXACT('Rule-Event map'!$F$2:$F$1477,$A354)*EXACT('Rule-Event map'!$G$2:$G$1477,$B354)*('Rule-Event map'!$C$2:$C$1477="New ITDR (7.6.0)"))</f>
        <v>0</v>
      </c>
      <c r="H354" s="5" t="n">
        <f aca="false">SUMPRODUCT(EXACT('Rule-Event map'!$F$2:$F$1477,$A354)*EXACT('Rule-Event map'!$G$2:$G$1477,$B354)*('Rule-Event map'!$C$2:$C$1477="Existing, re-tagged ITDR"))</f>
        <v>0</v>
      </c>
      <c r="I354" s="5" t="n">
        <f aca="false">F354-G354-H354</f>
        <v>1</v>
      </c>
      <c r="J354" s="5" t="n">
        <f aca="false">SUMPRODUCT(EXACT('Rule-Event map'!$F$2:$F$1477,$A354)*EXACT('Rule-Event map'!$G$2:$G$1477,$B354)*('Rule-Event map'!$E$2:$E$1477="Enabled"))</f>
        <v>0</v>
      </c>
      <c r="K354" s="2" t="s">
        <v>5776</v>
      </c>
    </row>
    <row r="355" customFormat="false" ht="23.85" hidden="false" customHeight="false" outlineLevel="0" collapsed="false">
      <c r="A355" s="5" t="s">
        <v>7670</v>
      </c>
      <c r="B355" s="2" t="s">
        <v>7989</v>
      </c>
      <c r="C355" s="5"/>
      <c r="D355" s="5"/>
      <c r="E355" s="5" t="s">
        <v>8336</v>
      </c>
      <c r="F355" s="5" t="n">
        <f aca="false">SUMPRODUCT(EXACT('Rule-Event map'!$F$2:$F$1477,$A355)*EXACT('Rule-Event map'!$G$2:$G$1477,$B355))</f>
        <v>1</v>
      </c>
      <c r="G355" s="5" t="n">
        <f aca="false">SUMPRODUCT(EXACT('Rule-Event map'!$F$2:$F$1477,$A355)*EXACT('Rule-Event map'!$G$2:$G$1477,$B355)*('Rule-Event map'!$C$2:$C$1477="New ITDR (7.6.0)"))</f>
        <v>0</v>
      </c>
      <c r="H355" s="5" t="n">
        <f aca="false">SUMPRODUCT(EXACT('Rule-Event map'!$F$2:$F$1477,$A355)*EXACT('Rule-Event map'!$G$2:$G$1477,$B355)*('Rule-Event map'!$C$2:$C$1477="Existing, re-tagged ITDR"))</f>
        <v>0</v>
      </c>
      <c r="I355" s="5" t="n">
        <f aca="false">F355-G355-H355</f>
        <v>1</v>
      </c>
      <c r="J355" s="5" t="n">
        <f aca="false">SUMPRODUCT(EXACT('Rule-Event map'!$F$2:$F$1477,$A355)*EXACT('Rule-Event map'!$G$2:$G$1477,$B355)*('Rule-Event map'!$E$2:$E$1477="Enabled"))</f>
        <v>1</v>
      </c>
      <c r="K355" s="2" t="s">
        <v>5321</v>
      </c>
    </row>
    <row r="356" customFormat="false" ht="15" hidden="false" customHeight="false" outlineLevel="0" collapsed="false">
      <c r="A356" s="5" t="s">
        <v>7670</v>
      </c>
      <c r="B356" s="2" t="s">
        <v>7898</v>
      </c>
      <c r="C356" s="5"/>
      <c r="D356" s="5"/>
      <c r="E356" s="5" t="s">
        <v>8336</v>
      </c>
      <c r="F356" s="5" t="n">
        <f aca="false">SUMPRODUCT(EXACT('Rule-Event map'!$F$2:$F$1477,$A356)*EXACT('Rule-Event map'!$G$2:$G$1477,$B356))</f>
        <v>1</v>
      </c>
      <c r="G356" s="5" t="n">
        <f aca="false">SUMPRODUCT(EXACT('Rule-Event map'!$F$2:$F$1477,$A356)*EXACT('Rule-Event map'!$G$2:$G$1477,$B356)*('Rule-Event map'!$C$2:$C$1477="New ITDR (7.6.0)"))</f>
        <v>0</v>
      </c>
      <c r="H356" s="5" t="n">
        <f aca="false">SUMPRODUCT(EXACT('Rule-Event map'!$F$2:$F$1477,$A356)*EXACT('Rule-Event map'!$G$2:$G$1477,$B356)*('Rule-Event map'!$C$2:$C$1477="Existing, re-tagged ITDR"))</f>
        <v>0</v>
      </c>
      <c r="I356" s="5" t="n">
        <f aca="false">F356-G356-H356</f>
        <v>1</v>
      </c>
      <c r="J356" s="5" t="n">
        <f aca="false">SUMPRODUCT(EXACT('Rule-Event map'!$F$2:$F$1477,$A356)*EXACT('Rule-Event map'!$G$2:$G$1477,$B356)*('Rule-Event map'!$E$2:$E$1477="Enabled"))</f>
        <v>0</v>
      </c>
      <c r="K356" s="2" t="s">
        <v>5009</v>
      </c>
    </row>
    <row r="357" customFormat="false" ht="15" hidden="false" customHeight="false" outlineLevel="0" collapsed="false">
      <c r="A357" s="5" t="s">
        <v>7670</v>
      </c>
      <c r="B357" s="2" t="s">
        <v>8137</v>
      </c>
      <c r="C357" s="5"/>
      <c r="D357" s="5"/>
      <c r="E357" s="5" t="s">
        <v>8336</v>
      </c>
      <c r="F357" s="5" t="n">
        <f aca="false">SUMPRODUCT(EXACT('Rule-Event map'!$F$2:$F$1477,$A357)*EXACT('Rule-Event map'!$G$2:$G$1477,$B357))</f>
        <v>1</v>
      </c>
      <c r="G357" s="5" t="n">
        <f aca="false">SUMPRODUCT(EXACT('Rule-Event map'!$F$2:$F$1477,$A357)*EXACT('Rule-Event map'!$G$2:$G$1477,$B357)*('Rule-Event map'!$C$2:$C$1477="New ITDR (7.6.0)"))</f>
        <v>0</v>
      </c>
      <c r="H357" s="5" t="n">
        <f aca="false">SUMPRODUCT(EXACT('Rule-Event map'!$F$2:$F$1477,$A357)*EXACT('Rule-Event map'!$G$2:$G$1477,$B357)*('Rule-Event map'!$C$2:$C$1477="Existing, re-tagged ITDR"))</f>
        <v>0</v>
      </c>
      <c r="I357" s="5" t="n">
        <f aca="false">F357-G357-H357</f>
        <v>1</v>
      </c>
      <c r="J357" s="5" t="n">
        <f aca="false">SUMPRODUCT(EXACT('Rule-Event map'!$F$2:$F$1477,$A357)*EXACT('Rule-Event map'!$G$2:$G$1477,$B357)*('Rule-Event map'!$E$2:$E$1477="Enabled"))</f>
        <v>1</v>
      </c>
      <c r="K357" s="2" t="s">
        <v>5814</v>
      </c>
    </row>
    <row r="358" customFormat="false" ht="15" hidden="false" customHeight="false" outlineLevel="0" collapsed="false">
      <c r="A358" s="5" t="s">
        <v>7670</v>
      </c>
      <c r="B358" s="2" t="s">
        <v>7938</v>
      </c>
      <c r="C358" s="5"/>
      <c r="D358" s="5"/>
      <c r="E358" s="5" t="s">
        <v>8336</v>
      </c>
      <c r="F358" s="5" t="n">
        <f aca="false">SUMPRODUCT(EXACT('Rule-Event map'!$F$2:$F$1477,$A358)*EXACT('Rule-Event map'!$G$2:$G$1477,$B358))</f>
        <v>1</v>
      </c>
      <c r="G358" s="5" t="n">
        <f aca="false">SUMPRODUCT(EXACT('Rule-Event map'!$F$2:$F$1477,$A358)*EXACT('Rule-Event map'!$G$2:$G$1477,$B358)*('Rule-Event map'!$C$2:$C$1477="New ITDR (7.6.0)"))</f>
        <v>0</v>
      </c>
      <c r="H358" s="5" t="n">
        <f aca="false">SUMPRODUCT(EXACT('Rule-Event map'!$F$2:$F$1477,$A358)*EXACT('Rule-Event map'!$G$2:$G$1477,$B358)*('Rule-Event map'!$C$2:$C$1477="Existing, re-tagged ITDR"))</f>
        <v>0</v>
      </c>
      <c r="I358" s="5" t="n">
        <f aca="false">F358-G358-H358</f>
        <v>1</v>
      </c>
      <c r="J358" s="5" t="n">
        <f aca="false">SUMPRODUCT(EXACT('Rule-Event map'!$F$2:$F$1477,$A358)*EXACT('Rule-Event map'!$G$2:$G$1477,$B358)*('Rule-Event map'!$E$2:$E$1477="Enabled"))</f>
        <v>0</v>
      </c>
      <c r="K358" s="2" t="s">
        <v>5171</v>
      </c>
    </row>
    <row r="359" customFormat="false" ht="15" hidden="false" customHeight="false" outlineLevel="0" collapsed="false">
      <c r="A359" s="5" t="s">
        <v>7670</v>
      </c>
      <c r="B359" s="2" t="s">
        <v>7910</v>
      </c>
      <c r="C359" s="5"/>
      <c r="D359" s="5"/>
      <c r="E359" s="5" t="s">
        <v>8336</v>
      </c>
      <c r="F359" s="5" t="n">
        <f aca="false">SUMPRODUCT(EXACT('Rule-Event map'!$F$2:$F$1477,$A359)*EXACT('Rule-Event map'!$G$2:$G$1477,$B359))</f>
        <v>1</v>
      </c>
      <c r="G359" s="5" t="n">
        <f aca="false">SUMPRODUCT(EXACT('Rule-Event map'!$F$2:$F$1477,$A359)*EXACT('Rule-Event map'!$G$2:$G$1477,$B359)*('Rule-Event map'!$C$2:$C$1477="New ITDR (7.6.0)"))</f>
        <v>0</v>
      </c>
      <c r="H359" s="5" t="n">
        <f aca="false">SUMPRODUCT(EXACT('Rule-Event map'!$F$2:$F$1477,$A359)*EXACT('Rule-Event map'!$G$2:$G$1477,$B359)*('Rule-Event map'!$C$2:$C$1477="Existing, re-tagged ITDR"))</f>
        <v>0</v>
      </c>
      <c r="I359" s="5" t="n">
        <f aca="false">F359-G359-H359</f>
        <v>1</v>
      </c>
      <c r="J359" s="5" t="n">
        <f aca="false">SUMPRODUCT(EXACT('Rule-Event map'!$F$2:$F$1477,$A359)*EXACT('Rule-Event map'!$G$2:$G$1477,$B359)*('Rule-Event map'!$E$2:$E$1477="Enabled"))</f>
        <v>1</v>
      </c>
      <c r="K359" s="2" t="s">
        <v>5071</v>
      </c>
    </row>
    <row r="360" customFormat="false" ht="15" hidden="false" customHeight="false" outlineLevel="0" collapsed="false">
      <c r="A360" s="5" t="s">
        <v>7670</v>
      </c>
      <c r="B360" s="2" t="s">
        <v>8199</v>
      </c>
      <c r="C360" s="5"/>
      <c r="D360" s="5"/>
      <c r="E360" s="5" t="s">
        <v>8336</v>
      </c>
      <c r="F360" s="5" t="n">
        <f aca="false">SUMPRODUCT(EXACT('Rule-Event map'!$F$2:$F$1477,$A360)*EXACT('Rule-Event map'!$G$2:$G$1477,$B360))</f>
        <v>1</v>
      </c>
      <c r="G360" s="5" t="n">
        <f aca="false">SUMPRODUCT(EXACT('Rule-Event map'!$F$2:$F$1477,$A360)*EXACT('Rule-Event map'!$G$2:$G$1477,$B360)*('Rule-Event map'!$C$2:$C$1477="New ITDR (7.6.0)"))</f>
        <v>0</v>
      </c>
      <c r="H360" s="5" t="n">
        <f aca="false">SUMPRODUCT(EXACT('Rule-Event map'!$F$2:$F$1477,$A360)*EXACT('Rule-Event map'!$G$2:$G$1477,$B360)*('Rule-Event map'!$C$2:$C$1477="Existing, re-tagged ITDR"))</f>
        <v>0</v>
      </c>
      <c r="I360" s="5" t="n">
        <f aca="false">F360-G360-H360</f>
        <v>1</v>
      </c>
      <c r="J360" s="5" t="n">
        <f aca="false">SUMPRODUCT(EXACT('Rule-Event map'!$F$2:$F$1477,$A360)*EXACT('Rule-Event map'!$G$2:$G$1477,$B360)*('Rule-Event map'!$E$2:$E$1477="Enabled"))</f>
        <v>1</v>
      </c>
      <c r="K360" s="2" t="s">
        <v>5996</v>
      </c>
    </row>
    <row r="361" customFormat="false" ht="15" hidden="false" customHeight="false" outlineLevel="0" collapsed="false">
      <c r="A361" s="5" t="s">
        <v>7670</v>
      </c>
      <c r="B361" s="2" t="s">
        <v>7993</v>
      </c>
      <c r="C361" s="5"/>
      <c r="D361" s="5"/>
      <c r="E361" s="5" t="s">
        <v>8336</v>
      </c>
      <c r="F361" s="5" t="n">
        <f aca="false">SUMPRODUCT(EXACT('Rule-Event map'!$F$2:$F$1477,$A361)*EXACT('Rule-Event map'!$G$2:$G$1477,$B361))</f>
        <v>1</v>
      </c>
      <c r="G361" s="5" t="n">
        <f aca="false">SUMPRODUCT(EXACT('Rule-Event map'!$F$2:$F$1477,$A361)*EXACT('Rule-Event map'!$G$2:$G$1477,$B361)*('Rule-Event map'!$C$2:$C$1477="New ITDR (7.6.0)"))</f>
        <v>0</v>
      </c>
      <c r="H361" s="5" t="n">
        <f aca="false">SUMPRODUCT(EXACT('Rule-Event map'!$F$2:$F$1477,$A361)*EXACT('Rule-Event map'!$G$2:$G$1477,$B361)*('Rule-Event map'!$C$2:$C$1477="Existing, re-tagged ITDR"))</f>
        <v>0</v>
      </c>
      <c r="I361" s="5" t="n">
        <f aca="false">F361-G361-H361</f>
        <v>1</v>
      </c>
      <c r="J361" s="5" t="n">
        <f aca="false">SUMPRODUCT(EXACT('Rule-Event map'!$F$2:$F$1477,$A361)*EXACT('Rule-Event map'!$G$2:$G$1477,$B361)*('Rule-Event map'!$E$2:$E$1477="Enabled"))</f>
        <v>1</v>
      </c>
      <c r="K361" s="2" t="s">
        <v>5360</v>
      </c>
    </row>
    <row r="362" customFormat="false" ht="15" hidden="false" customHeight="false" outlineLevel="0" collapsed="false">
      <c r="A362" s="5" t="s">
        <v>7670</v>
      </c>
      <c r="B362" s="2" t="s">
        <v>7940</v>
      </c>
      <c r="C362" s="5"/>
      <c r="D362" s="5"/>
      <c r="E362" s="5" t="s">
        <v>8336</v>
      </c>
      <c r="F362" s="5" t="n">
        <f aca="false">SUMPRODUCT(EXACT('Rule-Event map'!$F$2:$F$1477,$A362)*EXACT('Rule-Event map'!$G$2:$G$1477,$B362))</f>
        <v>1</v>
      </c>
      <c r="G362" s="5" t="n">
        <f aca="false">SUMPRODUCT(EXACT('Rule-Event map'!$F$2:$F$1477,$A362)*EXACT('Rule-Event map'!$G$2:$G$1477,$B362)*('Rule-Event map'!$C$2:$C$1477="New ITDR (7.6.0)"))</f>
        <v>0</v>
      </c>
      <c r="H362" s="5" t="n">
        <f aca="false">SUMPRODUCT(EXACT('Rule-Event map'!$F$2:$F$1477,$A362)*EXACT('Rule-Event map'!$G$2:$G$1477,$B362)*('Rule-Event map'!$C$2:$C$1477="Existing, re-tagged ITDR"))</f>
        <v>0</v>
      </c>
      <c r="I362" s="5" t="n">
        <f aca="false">F362-G362-H362</f>
        <v>1</v>
      </c>
      <c r="J362" s="5" t="n">
        <f aca="false">SUMPRODUCT(EXACT('Rule-Event map'!$F$2:$F$1477,$A362)*EXACT('Rule-Event map'!$G$2:$G$1477,$B362)*('Rule-Event map'!$E$2:$E$1477="Enabled"))</f>
        <v>1</v>
      </c>
      <c r="K362" s="2" t="s">
        <v>5187</v>
      </c>
    </row>
    <row r="363" customFormat="false" ht="15" hidden="false" customHeight="false" outlineLevel="0" collapsed="false">
      <c r="A363" s="5" t="s">
        <v>7670</v>
      </c>
      <c r="B363" s="2" t="s">
        <v>8013</v>
      </c>
      <c r="C363" s="5"/>
      <c r="D363" s="5"/>
      <c r="E363" s="5" t="s">
        <v>8336</v>
      </c>
      <c r="F363" s="5" t="n">
        <f aca="false">SUMPRODUCT(EXACT('Rule-Event map'!$F$2:$F$1477,$A363)*EXACT('Rule-Event map'!$G$2:$G$1477,$B363))</f>
        <v>1</v>
      </c>
      <c r="G363" s="5" t="n">
        <f aca="false">SUMPRODUCT(EXACT('Rule-Event map'!$F$2:$F$1477,$A363)*EXACT('Rule-Event map'!$G$2:$G$1477,$B363)*('Rule-Event map'!$C$2:$C$1477="New ITDR (7.6.0)"))</f>
        <v>0</v>
      </c>
      <c r="H363" s="5" t="n">
        <f aca="false">SUMPRODUCT(EXACT('Rule-Event map'!$F$2:$F$1477,$A363)*EXACT('Rule-Event map'!$G$2:$G$1477,$B363)*('Rule-Event map'!$C$2:$C$1477="Existing, re-tagged ITDR"))</f>
        <v>0</v>
      </c>
      <c r="I363" s="5" t="n">
        <f aca="false">F363-G363-H363</f>
        <v>1</v>
      </c>
      <c r="J363" s="5" t="n">
        <f aca="false">SUMPRODUCT(EXACT('Rule-Event map'!$F$2:$F$1477,$A363)*EXACT('Rule-Event map'!$G$2:$G$1477,$B363)*('Rule-Event map'!$E$2:$E$1477="Enabled"))</f>
        <v>0</v>
      </c>
      <c r="K363" s="2" t="s">
        <v>5424</v>
      </c>
    </row>
    <row r="364" customFormat="false" ht="15" hidden="false" customHeight="false" outlineLevel="0" collapsed="false">
      <c r="A364" s="5" t="s">
        <v>7670</v>
      </c>
      <c r="B364" s="2" t="s">
        <v>8031</v>
      </c>
      <c r="C364" s="5"/>
      <c r="D364" s="5"/>
      <c r="E364" s="5" t="s">
        <v>8336</v>
      </c>
      <c r="F364" s="5" t="n">
        <f aca="false">SUMPRODUCT(EXACT('Rule-Event map'!$F$2:$F$1477,$A364)*EXACT('Rule-Event map'!$G$2:$G$1477,$B364))</f>
        <v>1</v>
      </c>
      <c r="G364" s="5" t="n">
        <f aca="false">SUMPRODUCT(EXACT('Rule-Event map'!$F$2:$F$1477,$A364)*EXACT('Rule-Event map'!$G$2:$G$1477,$B364)*('Rule-Event map'!$C$2:$C$1477="New ITDR (7.6.0)"))</f>
        <v>0</v>
      </c>
      <c r="H364" s="5" t="n">
        <f aca="false">SUMPRODUCT(EXACT('Rule-Event map'!$F$2:$F$1477,$A364)*EXACT('Rule-Event map'!$G$2:$G$1477,$B364)*('Rule-Event map'!$C$2:$C$1477="Existing, re-tagged ITDR"))</f>
        <v>0</v>
      </c>
      <c r="I364" s="5" t="n">
        <f aca="false">F364-G364-H364</f>
        <v>1</v>
      </c>
      <c r="J364" s="5" t="n">
        <f aca="false">SUMPRODUCT(EXACT('Rule-Event map'!$F$2:$F$1477,$A364)*EXACT('Rule-Event map'!$G$2:$G$1477,$B364)*('Rule-Event map'!$E$2:$E$1477="Enabled"))</f>
        <v>1</v>
      </c>
      <c r="K364" s="2" t="s">
        <v>5495</v>
      </c>
    </row>
    <row r="365" customFormat="false" ht="15" hidden="false" customHeight="false" outlineLevel="0" collapsed="false">
      <c r="A365" s="5" t="s">
        <v>7670</v>
      </c>
      <c r="B365" s="2" t="s">
        <v>8073</v>
      </c>
      <c r="C365" s="5"/>
      <c r="D365" s="5"/>
      <c r="E365" s="5" t="s">
        <v>8336</v>
      </c>
      <c r="F365" s="5" t="n">
        <f aca="false">SUMPRODUCT(EXACT('Rule-Event map'!$F$2:$F$1477,$A365)*EXACT('Rule-Event map'!$G$2:$G$1477,$B365))</f>
        <v>1</v>
      </c>
      <c r="G365" s="5" t="n">
        <f aca="false">SUMPRODUCT(EXACT('Rule-Event map'!$F$2:$F$1477,$A365)*EXACT('Rule-Event map'!$G$2:$G$1477,$B365)*('Rule-Event map'!$C$2:$C$1477="New ITDR (7.6.0)"))</f>
        <v>0</v>
      </c>
      <c r="H365" s="5" t="n">
        <f aca="false">SUMPRODUCT(EXACT('Rule-Event map'!$F$2:$F$1477,$A365)*EXACT('Rule-Event map'!$G$2:$G$1477,$B365)*('Rule-Event map'!$C$2:$C$1477="Existing, re-tagged ITDR"))</f>
        <v>0</v>
      </c>
      <c r="I365" s="5" t="n">
        <f aca="false">F365-G365-H365</f>
        <v>1</v>
      </c>
      <c r="J365" s="5" t="n">
        <f aca="false">SUMPRODUCT(EXACT('Rule-Event map'!$F$2:$F$1477,$A365)*EXACT('Rule-Event map'!$G$2:$G$1477,$B365)*('Rule-Event map'!$E$2:$E$1477="Enabled"))</f>
        <v>1</v>
      </c>
      <c r="K365" s="2" t="s">
        <v>5637</v>
      </c>
    </row>
    <row r="366" customFormat="false" ht="15" hidden="false" customHeight="false" outlineLevel="0" collapsed="false">
      <c r="A366" s="5" t="s">
        <v>7670</v>
      </c>
      <c r="B366" s="2" t="s">
        <v>8159</v>
      </c>
      <c r="C366" s="5"/>
      <c r="D366" s="5"/>
      <c r="E366" s="5" t="s">
        <v>8336</v>
      </c>
      <c r="F366" s="5" t="n">
        <f aca="false">SUMPRODUCT(EXACT('Rule-Event map'!$F$2:$F$1477,$A366)*EXACT('Rule-Event map'!$G$2:$G$1477,$B366))</f>
        <v>1</v>
      </c>
      <c r="G366" s="5" t="n">
        <f aca="false">SUMPRODUCT(EXACT('Rule-Event map'!$F$2:$F$1477,$A366)*EXACT('Rule-Event map'!$G$2:$G$1477,$B366)*('Rule-Event map'!$C$2:$C$1477="New ITDR (7.6.0)"))</f>
        <v>0</v>
      </c>
      <c r="H366" s="5" t="n">
        <f aca="false">SUMPRODUCT(EXACT('Rule-Event map'!$F$2:$F$1477,$A366)*EXACT('Rule-Event map'!$G$2:$G$1477,$B366)*('Rule-Event map'!$C$2:$C$1477="Existing, re-tagged ITDR"))</f>
        <v>0</v>
      </c>
      <c r="I366" s="5" t="n">
        <f aca="false">F366-G366-H366</f>
        <v>1</v>
      </c>
      <c r="J366" s="5" t="n">
        <f aca="false">SUMPRODUCT(EXACT('Rule-Event map'!$F$2:$F$1477,$A366)*EXACT('Rule-Event map'!$G$2:$G$1477,$B366)*('Rule-Event map'!$E$2:$E$1477="Enabled"))</f>
        <v>1</v>
      </c>
      <c r="K366" s="2" t="s">
        <v>5885</v>
      </c>
    </row>
    <row r="367" customFormat="false" ht="15" hidden="false" customHeight="false" outlineLevel="0" collapsed="false">
      <c r="A367" s="5" t="s">
        <v>7670</v>
      </c>
      <c r="B367" s="2" t="s">
        <v>8049</v>
      </c>
      <c r="C367" s="5"/>
      <c r="D367" s="5"/>
      <c r="E367" s="5" t="s">
        <v>8336</v>
      </c>
      <c r="F367" s="5" t="n">
        <f aca="false">SUMPRODUCT(EXACT('Rule-Event map'!$F$2:$F$1477,$A367)*EXACT('Rule-Event map'!$G$2:$G$1477,$B367))</f>
        <v>1</v>
      </c>
      <c r="G367" s="5" t="n">
        <f aca="false">SUMPRODUCT(EXACT('Rule-Event map'!$F$2:$F$1477,$A367)*EXACT('Rule-Event map'!$G$2:$G$1477,$B367)*('Rule-Event map'!$C$2:$C$1477="New ITDR (7.6.0)"))</f>
        <v>0</v>
      </c>
      <c r="H367" s="5" t="n">
        <f aca="false">SUMPRODUCT(EXACT('Rule-Event map'!$F$2:$F$1477,$A367)*EXACT('Rule-Event map'!$G$2:$G$1477,$B367)*('Rule-Event map'!$C$2:$C$1477="Existing, re-tagged ITDR"))</f>
        <v>0</v>
      </c>
      <c r="I367" s="5" t="n">
        <f aca="false">F367-G367-H367</f>
        <v>1</v>
      </c>
      <c r="J367" s="5" t="n">
        <f aca="false">SUMPRODUCT(EXACT('Rule-Event map'!$F$2:$F$1477,$A367)*EXACT('Rule-Event map'!$G$2:$G$1477,$B367)*('Rule-Event map'!$E$2:$E$1477="Enabled"))</f>
        <v>1</v>
      </c>
      <c r="K367" s="2" t="s">
        <v>5577</v>
      </c>
    </row>
    <row r="368" customFormat="false" ht="15" hidden="false" customHeight="false" outlineLevel="0" collapsed="false">
      <c r="A368" s="5" t="s">
        <v>7670</v>
      </c>
      <c r="B368" s="2" t="s">
        <v>7896</v>
      </c>
      <c r="C368" s="5"/>
      <c r="D368" s="5"/>
      <c r="E368" s="5" t="s">
        <v>8336</v>
      </c>
      <c r="F368" s="5" t="n">
        <f aca="false">SUMPRODUCT(EXACT('Rule-Event map'!$F$2:$F$1477,$A368)*EXACT('Rule-Event map'!$G$2:$G$1477,$B368))</f>
        <v>1</v>
      </c>
      <c r="G368" s="5" t="n">
        <f aca="false">SUMPRODUCT(EXACT('Rule-Event map'!$F$2:$F$1477,$A368)*EXACT('Rule-Event map'!$G$2:$G$1477,$B368)*('Rule-Event map'!$C$2:$C$1477="New ITDR (7.6.0)"))</f>
        <v>0</v>
      </c>
      <c r="H368" s="5" t="n">
        <f aca="false">SUMPRODUCT(EXACT('Rule-Event map'!$F$2:$F$1477,$A368)*EXACT('Rule-Event map'!$G$2:$G$1477,$B368)*('Rule-Event map'!$C$2:$C$1477="Existing, re-tagged ITDR"))</f>
        <v>0</v>
      </c>
      <c r="I368" s="5" t="n">
        <f aca="false">F368-G368-H368</f>
        <v>1</v>
      </c>
      <c r="J368" s="5" t="n">
        <f aca="false">SUMPRODUCT(EXACT('Rule-Event map'!$F$2:$F$1477,$A368)*EXACT('Rule-Event map'!$G$2:$G$1477,$B368)*('Rule-Event map'!$E$2:$E$1477="Enabled"))</f>
        <v>1</v>
      </c>
      <c r="K368" s="2" t="s">
        <v>5002</v>
      </c>
    </row>
    <row r="369" customFormat="false" ht="23.85" hidden="false" customHeight="false" outlineLevel="0" collapsed="false">
      <c r="A369" s="5" t="s">
        <v>7670</v>
      </c>
      <c r="B369" s="2" t="s">
        <v>7906</v>
      </c>
      <c r="C369" s="5"/>
      <c r="D369" s="5"/>
      <c r="E369" s="5" t="s">
        <v>8336</v>
      </c>
      <c r="F369" s="5" t="n">
        <f aca="false">SUMPRODUCT(EXACT('Rule-Event map'!$F$2:$F$1477,$A369)*EXACT('Rule-Event map'!$G$2:$G$1477,$B369))</f>
        <v>1</v>
      </c>
      <c r="G369" s="5" t="n">
        <f aca="false">SUMPRODUCT(EXACT('Rule-Event map'!$F$2:$F$1477,$A369)*EXACT('Rule-Event map'!$G$2:$G$1477,$B369)*('Rule-Event map'!$C$2:$C$1477="New ITDR (7.6.0)"))</f>
        <v>0</v>
      </c>
      <c r="H369" s="5" t="n">
        <f aca="false">SUMPRODUCT(EXACT('Rule-Event map'!$F$2:$F$1477,$A369)*EXACT('Rule-Event map'!$G$2:$G$1477,$B369)*('Rule-Event map'!$C$2:$C$1477="Existing, re-tagged ITDR"))</f>
        <v>0</v>
      </c>
      <c r="I369" s="5" t="n">
        <f aca="false">F369-G369-H369</f>
        <v>1</v>
      </c>
      <c r="J369" s="5" t="n">
        <f aca="false">SUMPRODUCT(EXACT('Rule-Event map'!$F$2:$F$1477,$A369)*EXACT('Rule-Event map'!$G$2:$G$1477,$B369)*('Rule-Event map'!$E$2:$E$1477="Enabled"))</f>
        <v>1</v>
      </c>
      <c r="K369" s="2" t="s">
        <v>5033</v>
      </c>
    </row>
    <row r="370" customFormat="false" ht="23.85" hidden="false" customHeight="false" outlineLevel="0" collapsed="false">
      <c r="A370" s="5" t="s">
        <v>7670</v>
      </c>
      <c r="B370" s="2" t="s">
        <v>8089</v>
      </c>
      <c r="C370" s="5"/>
      <c r="D370" s="5"/>
      <c r="E370" s="5" t="s">
        <v>8336</v>
      </c>
      <c r="F370" s="5" t="n">
        <f aca="false">SUMPRODUCT(EXACT('Rule-Event map'!$F$2:$F$1477,$A370)*EXACT('Rule-Event map'!$G$2:$G$1477,$B370))</f>
        <v>1</v>
      </c>
      <c r="G370" s="5" t="n">
        <f aca="false">SUMPRODUCT(EXACT('Rule-Event map'!$F$2:$F$1477,$A370)*EXACT('Rule-Event map'!$G$2:$G$1477,$B370)*('Rule-Event map'!$C$2:$C$1477="New ITDR (7.6.0)"))</f>
        <v>0</v>
      </c>
      <c r="H370" s="5" t="n">
        <f aca="false">SUMPRODUCT(EXACT('Rule-Event map'!$F$2:$F$1477,$A370)*EXACT('Rule-Event map'!$G$2:$G$1477,$B370)*('Rule-Event map'!$C$2:$C$1477="Existing, re-tagged ITDR"))</f>
        <v>0</v>
      </c>
      <c r="I370" s="5" t="n">
        <f aca="false">F370-G370-H370</f>
        <v>1</v>
      </c>
      <c r="J370" s="5" t="n">
        <f aca="false">SUMPRODUCT(EXACT('Rule-Event map'!$F$2:$F$1477,$A370)*EXACT('Rule-Event map'!$G$2:$G$1477,$B370)*('Rule-Event map'!$E$2:$E$1477="Enabled"))</f>
        <v>1</v>
      </c>
      <c r="K370" s="2" t="s">
        <v>5678</v>
      </c>
    </row>
    <row r="371" customFormat="false" ht="15" hidden="false" customHeight="false" outlineLevel="0" collapsed="false">
      <c r="A371" s="5" t="s">
        <v>7670</v>
      </c>
      <c r="B371" s="2" t="s">
        <v>8201</v>
      </c>
      <c r="C371" s="5"/>
      <c r="D371" s="5"/>
      <c r="E371" s="5" t="s">
        <v>8336</v>
      </c>
      <c r="F371" s="5" t="n">
        <f aca="false">SUMPRODUCT(EXACT('Rule-Event map'!$F$2:$F$1477,$A371)*EXACT('Rule-Event map'!$G$2:$G$1477,$B371))</f>
        <v>1</v>
      </c>
      <c r="G371" s="5" t="n">
        <f aca="false">SUMPRODUCT(EXACT('Rule-Event map'!$F$2:$F$1477,$A371)*EXACT('Rule-Event map'!$G$2:$G$1477,$B371)*('Rule-Event map'!$C$2:$C$1477="New ITDR (7.6.0)"))</f>
        <v>0</v>
      </c>
      <c r="H371" s="5" t="n">
        <f aca="false">SUMPRODUCT(EXACT('Rule-Event map'!$F$2:$F$1477,$A371)*EXACT('Rule-Event map'!$G$2:$G$1477,$B371)*('Rule-Event map'!$C$2:$C$1477="Existing, re-tagged ITDR"))</f>
        <v>0</v>
      </c>
      <c r="I371" s="5" t="n">
        <f aca="false">F371-G371-H371</f>
        <v>1</v>
      </c>
      <c r="J371" s="5" t="n">
        <f aca="false">SUMPRODUCT(EXACT('Rule-Event map'!$F$2:$F$1477,$A371)*EXACT('Rule-Event map'!$G$2:$G$1477,$B371)*('Rule-Event map'!$E$2:$E$1477="Enabled"))</f>
        <v>1</v>
      </c>
      <c r="K371" s="2" t="s">
        <v>6007</v>
      </c>
    </row>
    <row r="372" customFormat="false" ht="15" hidden="false" customHeight="false" outlineLevel="0" collapsed="false">
      <c r="A372" s="5" t="s">
        <v>7670</v>
      </c>
      <c r="B372" s="2" t="s">
        <v>8095</v>
      </c>
      <c r="C372" s="5"/>
      <c r="D372" s="5"/>
      <c r="E372" s="5" t="s">
        <v>8336</v>
      </c>
      <c r="F372" s="5" t="n">
        <f aca="false">SUMPRODUCT(EXACT('Rule-Event map'!$F$2:$F$1477,$A372)*EXACT('Rule-Event map'!$G$2:$G$1477,$B372))</f>
        <v>1</v>
      </c>
      <c r="G372" s="5" t="n">
        <f aca="false">SUMPRODUCT(EXACT('Rule-Event map'!$F$2:$F$1477,$A372)*EXACT('Rule-Event map'!$G$2:$G$1477,$B372)*('Rule-Event map'!$C$2:$C$1477="New ITDR (7.6.0)"))</f>
        <v>0</v>
      </c>
      <c r="H372" s="5" t="n">
        <f aca="false">SUMPRODUCT(EXACT('Rule-Event map'!$F$2:$F$1477,$A372)*EXACT('Rule-Event map'!$G$2:$G$1477,$B372)*('Rule-Event map'!$C$2:$C$1477="Existing, re-tagged ITDR"))</f>
        <v>0</v>
      </c>
      <c r="I372" s="5" t="n">
        <f aca="false">F372-G372-H372</f>
        <v>1</v>
      </c>
      <c r="J372" s="5" t="n">
        <f aca="false">SUMPRODUCT(EXACT('Rule-Event map'!$F$2:$F$1477,$A372)*EXACT('Rule-Event map'!$G$2:$G$1477,$B372)*('Rule-Event map'!$E$2:$E$1477="Enabled"))</f>
        <v>1</v>
      </c>
      <c r="K372" s="2" t="s">
        <v>5703</v>
      </c>
    </row>
    <row r="373" customFormat="false" ht="15" hidden="false" customHeight="false" outlineLevel="0" collapsed="false">
      <c r="A373" s="5" t="s">
        <v>7670</v>
      </c>
      <c r="B373" s="2" t="s">
        <v>8097</v>
      </c>
      <c r="C373" s="5"/>
      <c r="D373" s="5"/>
      <c r="E373" s="5" t="s">
        <v>8336</v>
      </c>
      <c r="F373" s="5" t="n">
        <f aca="false">SUMPRODUCT(EXACT('Rule-Event map'!$F$2:$F$1477,$A373)*EXACT('Rule-Event map'!$G$2:$G$1477,$B373))</f>
        <v>1</v>
      </c>
      <c r="G373" s="5" t="n">
        <f aca="false">SUMPRODUCT(EXACT('Rule-Event map'!$F$2:$F$1477,$A373)*EXACT('Rule-Event map'!$G$2:$G$1477,$B373)*('Rule-Event map'!$C$2:$C$1477="New ITDR (7.6.0)"))</f>
        <v>0</v>
      </c>
      <c r="H373" s="5" t="n">
        <f aca="false">SUMPRODUCT(EXACT('Rule-Event map'!$F$2:$F$1477,$A373)*EXACT('Rule-Event map'!$G$2:$G$1477,$B373)*('Rule-Event map'!$C$2:$C$1477="Existing, re-tagged ITDR"))</f>
        <v>0</v>
      </c>
      <c r="I373" s="5" t="n">
        <f aca="false">F373-G373-H373</f>
        <v>1</v>
      </c>
      <c r="J373" s="5" t="n">
        <f aca="false">SUMPRODUCT(EXACT('Rule-Event map'!$F$2:$F$1477,$A373)*EXACT('Rule-Event map'!$G$2:$G$1477,$B373)*('Rule-Event map'!$E$2:$E$1477="Enabled"))</f>
        <v>1</v>
      </c>
      <c r="K373" s="2" t="s">
        <v>5703</v>
      </c>
    </row>
    <row r="374" customFormat="false" ht="23.85" hidden="false" customHeight="false" outlineLevel="0" collapsed="false">
      <c r="A374" s="5" t="s">
        <v>7670</v>
      </c>
      <c r="B374" s="2" t="s">
        <v>8051</v>
      </c>
      <c r="C374" s="5"/>
      <c r="D374" s="5"/>
      <c r="E374" s="5" t="s">
        <v>8336</v>
      </c>
      <c r="F374" s="5" t="n">
        <f aca="false">SUMPRODUCT(EXACT('Rule-Event map'!$F$2:$F$1477,$A374)*EXACT('Rule-Event map'!$G$2:$G$1477,$B374))</f>
        <v>1</v>
      </c>
      <c r="G374" s="5" t="n">
        <f aca="false">SUMPRODUCT(EXACT('Rule-Event map'!$F$2:$F$1477,$A374)*EXACT('Rule-Event map'!$G$2:$G$1477,$B374)*('Rule-Event map'!$C$2:$C$1477="New ITDR (7.6.0)"))</f>
        <v>0</v>
      </c>
      <c r="H374" s="5" t="n">
        <f aca="false">SUMPRODUCT(EXACT('Rule-Event map'!$F$2:$F$1477,$A374)*EXACT('Rule-Event map'!$G$2:$G$1477,$B374)*('Rule-Event map'!$C$2:$C$1477="Existing, re-tagged ITDR"))</f>
        <v>0</v>
      </c>
      <c r="I374" s="5" t="n">
        <f aca="false">F374-G374-H374</f>
        <v>1</v>
      </c>
      <c r="J374" s="5" t="n">
        <f aca="false">SUMPRODUCT(EXACT('Rule-Event map'!$F$2:$F$1477,$A374)*EXACT('Rule-Event map'!$G$2:$G$1477,$B374)*('Rule-Event map'!$E$2:$E$1477="Enabled"))</f>
        <v>1</v>
      </c>
      <c r="K374" s="2" t="s">
        <v>5589</v>
      </c>
    </row>
    <row r="375" customFormat="false" ht="15" hidden="false" customHeight="false" outlineLevel="0" collapsed="false">
      <c r="A375" s="5" t="s">
        <v>7670</v>
      </c>
      <c r="B375" s="2" t="s">
        <v>7922</v>
      </c>
      <c r="C375" s="5"/>
      <c r="D375" s="5"/>
      <c r="E375" s="5" t="s">
        <v>8336</v>
      </c>
      <c r="F375" s="5" t="n">
        <f aca="false">SUMPRODUCT(EXACT('Rule-Event map'!$F$2:$F$1477,$A375)*EXACT('Rule-Event map'!$G$2:$G$1477,$B375))</f>
        <v>1</v>
      </c>
      <c r="G375" s="5" t="n">
        <f aca="false">SUMPRODUCT(EXACT('Rule-Event map'!$F$2:$F$1477,$A375)*EXACT('Rule-Event map'!$G$2:$G$1477,$B375)*('Rule-Event map'!$C$2:$C$1477="New ITDR (7.6.0)"))</f>
        <v>0</v>
      </c>
      <c r="H375" s="5" t="n">
        <f aca="false">SUMPRODUCT(EXACT('Rule-Event map'!$F$2:$F$1477,$A375)*EXACT('Rule-Event map'!$G$2:$G$1477,$B375)*('Rule-Event map'!$C$2:$C$1477="Existing, re-tagged ITDR"))</f>
        <v>0</v>
      </c>
      <c r="I375" s="5" t="n">
        <f aca="false">F375-G375-H375</f>
        <v>1</v>
      </c>
      <c r="J375" s="5" t="n">
        <f aca="false">SUMPRODUCT(EXACT('Rule-Event map'!$F$2:$F$1477,$A375)*EXACT('Rule-Event map'!$G$2:$G$1477,$B375)*('Rule-Event map'!$E$2:$E$1477="Enabled"))</f>
        <v>1</v>
      </c>
      <c r="K375" s="2" t="s">
        <v>5107</v>
      </c>
    </row>
    <row r="376" customFormat="false" ht="23.85" hidden="false" customHeight="false" outlineLevel="0" collapsed="false">
      <c r="A376" s="5" t="s">
        <v>7670</v>
      </c>
      <c r="B376" s="2" t="s">
        <v>8167</v>
      </c>
      <c r="C376" s="5"/>
      <c r="D376" s="5"/>
      <c r="E376" s="5" t="s">
        <v>8336</v>
      </c>
      <c r="F376" s="5" t="n">
        <f aca="false">SUMPRODUCT(EXACT('Rule-Event map'!$F$2:$F$1477,$A376)*EXACT('Rule-Event map'!$G$2:$G$1477,$B376))</f>
        <v>1</v>
      </c>
      <c r="G376" s="5" t="n">
        <f aca="false">SUMPRODUCT(EXACT('Rule-Event map'!$F$2:$F$1477,$A376)*EXACT('Rule-Event map'!$G$2:$G$1477,$B376)*('Rule-Event map'!$C$2:$C$1477="New ITDR (7.6.0)"))</f>
        <v>0</v>
      </c>
      <c r="H376" s="5" t="n">
        <f aca="false">SUMPRODUCT(EXACT('Rule-Event map'!$F$2:$F$1477,$A376)*EXACT('Rule-Event map'!$G$2:$G$1477,$B376)*('Rule-Event map'!$C$2:$C$1477="Existing, re-tagged ITDR"))</f>
        <v>0</v>
      </c>
      <c r="I376" s="5" t="n">
        <f aca="false">F376-G376-H376</f>
        <v>1</v>
      </c>
      <c r="J376" s="5" t="n">
        <f aca="false">SUMPRODUCT(EXACT('Rule-Event map'!$F$2:$F$1477,$A376)*EXACT('Rule-Event map'!$G$2:$G$1477,$B376)*('Rule-Event map'!$E$2:$E$1477="Enabled"))</f>
        <v>1</v>
      </c>
      <c r="K376" s="2" t="s">
        <v>5905</v>
      </c>
    </row>
    <row r="377" customFormat="false" ht="15" hidden="false" customHeight="false" outlineLevel="0" collapsed="false">
      <c r="A377" s="5" t="s">
        <v>7670</v>
      </c>
      <c r="B377" s="2" t="s">
        <v>7900</v>
      </c>
      <c r="C377" s="5"/>
      <c r="D377" s="5"/>
      <c r="E377" s="5" t="s">
        <v>8336</v>
      </c>
      <c r="F377" s="5" t="n">
        <f aca="false">SUMPRODUCT(EXACT('Rule-Event map'!$F$2:$F$1477,$A377)*EXACT('Rule-Event map'!$G$2:$G$1477,$B377))</f>
        <v>1</v>
      </c>
      <c r="G377" s="5" t="n">
        <f aca="false">SUMPRODUCT(EXACT('Rule-Event map'!$F$2:$F$1477,$A377)*EXACT('Rule-Event map'!$G$2:$G$1477,$B377)*('Rule-Event map'!$C$2:$C$1477="New ITDR (7.6.0)"))</f>
        <v>0</v>
      </c>
      <c r="H377" s="5" t="n">
        <f aca="false">SUMPRODUCT(EXACT('Rule-Event map'!$F$2:$F$1477,$A377)*EXACT('Rule-Event map'!$G$2:$G$1477,$B377)*('Rule-Event map'!$C$2:$C$1477="Existing, re-tagged ITDR"))</f>
        <v>0</v>
      </c>
      <c r="I377" s="5" t="n">
        <f aca="false">F377-G377-H377</f>
        <v>1</v>
      </c>
      <c r="J377" s="5" t="n">
        <f aca="false">SUMPRODUCT(EXACT('Rule-Event map'!$F$2:$F$1477,$A377)*EXACT('Rule-Event map'!$G$2:$G$1477,$B377)*('Rule-Event map'!$E$2:$E$1477="Enabled"))</f>
        <v>1</v>
      </c>
      <c r="K377" s="2" t="s">
        <v>5021</v>
      </c>
    </row>
    <row r="378" customFormat="false" ht="23.85" hidden="false" customHeight="false" outlineLevel="0" collapsed="false">
      <c r="A378" s="5" t="s">
        <v>7670</v>
      </c>
      <c r="B378" s="2" t="s">
        <v>8179</v>
      </c>
      <c r="C378" s="5"/>
      <c r="D378" s="5"/>
      <c r="E378" s="5" t="s">
        <v>8336</v>
      </c>
      <c r="F378" s="5" t="n">
        <f aca="false">SUMPRODUCT(EXACT('Rule-Event map'!$F$2:$F$1477,$A378)*EXACT('Rule-Event map'!$G$2:$G$1477,$B378))</f>
        <v>1</v>
      </c>
      <c r="G378" s="5" t="n">
        <f aca="false">SUMPRODUCT(EXACT('Rule-Event map'!$F$2:$F$1477,$A378)*EXACT('Rule-Event map'!$G$2:$G$1477,$B378)*('Rule-Event map'!$C$2:$C$1477="New ITDR (7.6.0)"))</f>
        <v>0</v>
      </c>
      <c r="H378" s="5" t="n">
        <f aca="false">SUMPRODUCT(EXACT('Rule-Event map'!$F$2:$F$1477,$A378)*EXACT('Rule-Event map'!$G$2:$G$1477,$B378)*('Rule-Event map'!$C$2:$C$1477="Existing, re-tagged ITDR"))</f>
        <v>0</v>
      </c>
      <c r="I378" s="5" t="n">
        <f aca="false">F378-G378-H378</f>
        <v>1</v>
      </c>
      <c r="J378" s="5" t="n">
        <f aca="false">SUMPRODUCT(EXACT('Rule-Event map'!$F$2:$F$1477,$A378)*EXACT('Rule-Event map'!$G$2:$G$1477,$B378)*('Rule-Event map'!$E$2:$E$1477="Enabled"))</f>
        <v>1</v>
      </c>
      <c r="K378" s="2" t="s">
        <v>5948</v>
      </c>
    </row>
    <row r="379" customFormat="false" ht="15" hidden="false" customHeight="false" outlineLevel="0" collapsed="false">
      <c r="A379" s="5" t="s">
        <v>7670</v>
      </c>
      <c r="B379" s="2" t="s">
        <v>7904</v>
      </c>
      <c r="C379" s="5"/>
      <c r="D379" s="5"/>
      <c r="E379" s="5" t="s">
        <v>8336</v>
      </c>
      <c r="F379" s="5" t="n">
        <f aca="false">SUMPRODUCT(EXACT('Rule-Event map'!$F$2:$F$1477,$A379)*EXACT('Rule-Event map'!$G$2:$G$1477,$B379))</f>
        <v>1</v>
      </c>
      <c r="G379" s="5" t="n">
        <f aca="false">SUMPRODUCT(EXACT('Rule-Event map'!$F$2:$F$1477,$A379)*EXACT('Rule-Event map'!$G$2:$G$1477,$B379)*('Rule-Event map'!$C$2:$C$1477="New ITDR (7.6.0)"))</f>
        <v>0</v>
      </c>
      <c r="H379" s="5" t="n">
        <f aca="false">SUMPRODUCT(EXACT('Rule-Event map'!$F$2:$F$1477,$A379)*EXACT('Rule-Event map'!$G$2:$G$1477,$B379)*('Rule-Event map'!$C$2:$C$1477="Existing, re-tagged ITDR"))</f>
        <v>0</v>
      </c>
      <c r="I379" s="5" t="n">
        <f aca="false">F379-G379-H379</f>
        <v>1</v>
      </c>
      <c r="J379" s="5" t="n">
        <f aca="false">SUMPRODUCT(EXACT('Rule-Event map'!$F$2:$F$1477,$A379)*EXACT('Rule-Event map'!$G$2:$G$1477,$B379)*('Rule-Event map'!$E$2:$E$1477="Enabled"))</f>
        <v>1</v>
      </c>
      <c r="K379" s="2" t="s">
        <v>5021</v>
      </c>
    </row>
    <row r="380" customFormat="false" ht="23.85" hidden="false" customHeight="false" outlineLevel="0" collapsed="false">
      <c r="A380" s="5" t="s">
        <v>7670</v>
      </c>
      <c r="B380" s="2" t="s">
        <v>8023</v>
      </c>
      <c r="C380" s="5"/>
      <c r="D380" s="5"/>
      <c r="E380" s="5" t="s">
        <v>8336</v>
      </c>
      <c r="F380" s="5" t="n">
        <f aca="false">SUMPRODUCT(EXACT('Rule-Event map'!$F$2:$F$1477,$A380)*EXACT('Rule-Event map'!$G$2:$G$1477,$B380))</f>
        <v>1</v>
      </c>
      <c r="G380" s="5" t="n">
        <f aca="false">SUMPRODUCT(EXACT('Rule-Event map'!$F$2:$F$1477,$A380)*EXACT('Rule-Event map'!$G$2:$G$1477,$B380)*('Rule-Event map'!$C$2:$C$1477="New ITDR (7.6.0)"))</f>
        <v>0</v>
      </c>
      <c r="H380" s="5" t="n">
        <f aca="false">SUMPRODUCT(EXACT('Rule-Event map'!$F$2:$F$1477,$A380)*EXACT('Rule-Event map'!$G$2:$G$1477,$B380)*('Rule-Event map'!$C$2:$C$1477="Existing, re-tagged ITDR"))</f>
        <v>0</v>
      </c>
      <c r="I380" s="5" t="n">
        <f aca="false">F380-G380-H380</f>
        <v>1</v>
      </c>
      <c r="J380" s="5" t="n">
        <f aca="false">SUMPRODUCT(EXACT('Rule-Event map'!$F$2:$F$1477,$A380)*EXACT('Rule-Event map'!$G$2:$G$1477,$B380)*('Rule-Event map'!$E$2:$E$1477="Enabled"))</f>
        <v>1</v>
      </c>
      <c r="K380" s="2" t="s">
        <v>5458</v>
      </c>
    </row>
    <row r="381" customFormat="false" ht="15" hidden="false" customHeight="false" outlineLevel="0" collapsed="false">
      <c r="A381" s="5" t="s">
        <v>7670</v>
      </c>
      <c r="B381" s="2" t="s">
        <v>7902</v>
      </c>
      <c r="C381" s="5"/>
      <c r="D381" s="5"/>
      <c r="E381" s="5" t="s">
        <v>8336</v>
      </c>
      <c r="F381" s="5" t="n">
        <f aca="false">SUMPRODUCT(EXACT('Rule-Event map'!$F$2:$F$1477,$A381)*EXACT('Rule-Event map'!$G$2:$G$1477,$B381))</f>
        <v>1</v>
      </c>
      <c r="G381" s="5" t="n">
        <f aca="false">SUMPRODUCT(EXACT('Rule-Event map'!$F$2:$F$1477,$A381)*EXACT('Rule-Event map'!$G$2:$G$1477,$B381)*('Rule-Event map'!$C$2:$C$1477="New ITDR (7.6.0)"))</f>
        <v>0</v>
      </c>
      <c r="H381" s="5" t="n">
        <f aca="false">SUMPRODUCT(EXACT('Rule-Event map'!$F$2:$F$1477,$A381)*EXACT('Rule-Event map'!$G$2:$G$1477,$B381)*('Rule-Event map'!$C$2:$C$1477="Existing, re-tagged ITDR"))</f>
        <v>0</v>
      </c>
      <c r="I381" s="5" t="n">
        <f aca="false">F381-G381-H381</f>
        <v>1</v>
      </c>
      <c r="J381" s="5" t="n">
        <f aca="false">SUMPRODUCT(EXACT('Rule-Event map'!$F$2:$F$1477,$A381)*EXACT('Rule-Event map'!$G$2:$G$1477,$B381)*('Rule-Event map'!$E$2:$E$1477="Enabled"))</f>
        <v>1</v>
      </c>
      <c r="K381" s="2" t="s">
        <v>5021</v>
      </c>
    </row>
    <row r="382" customFormat="false" ht="15" hidden="false" customHeight="false" outlineLevel="0" collapsed="false">
      <c r="A382" s="5" t="s">
        <v>7670</v>
      </c>
      <c r="B382" s="2" t="s">
        <v>7997</v>
      </c>
      <c r="C382" s="5"/>
      <c r="D382" s="5"/>
      <c r="E382" s="5" t="s">
        <v>8336</v>
      </c>
      <c r="F382" s="5" t="n">
        <f aca="false">SUMPRODUCT(EXACT('Rule-Event map'!$F$2:$F$1477,$A382)*EXACT('Rule-Event map'!$G$2:$G$1477,$B382))</f>
        <v>1</v>
      </c>
      <c r="G382" s="5" t="n">
        <f aca="false">SUMPRODUCT(EXACT('Rule-Event map'!$F$2:$F$1477,$A382)*EXACT('Rule-Event map'!$G$2:$G$1477,$B382)*('Rule-Event map'!$C$2:$C$1477="New ITDR (7.6.0)"))</f>
        <v>0</v>
      </c>
      <c r="H382" s="5" t="n">
        <f aca="false">SUMPRODUCT(EXACT('Rule-Event map'!$F$2:$F$1477,$A382)*EXACT('Rule-Event map'!$G$2:$G$1477,$B382)*('Rule-Event map'!$C$2:$C$1477="Existing, re-tagged ITDR"))</f>
        <v>0</v>
      </c>
      <c r="I382" s="5" t="n">
        <f aca="false">F382-G382-H382</f>
        <v>1</v>
      </c>
      <c r="J382" s="5" t="n">
        <f aca="false">SUMPRODUCT(EXACT('Rule-Event map'!$F$2:$F$1477,$A382)*EXACT('Rule-Event map'!$G$2:$G$1477,$B382)*('Rule-Event map'!$E$2:$E$1477="Enabled"))</f>
        <v>1</v>
      </c>
      <c r="K382" s="2" t="s">
        <v>5377</v>
      </c>
    </row>
    <row r="383" customFormat="false" ht="15" hidden="false" customHeight="false" outlineLevel="0" collapsed="false">
      <c r="A383" s="5" t="s">
        <v>7670</v>
      </c>
      <c r="B383" s="2" t="s">
        <v>8029</v>
      </c>
      <c r="C383" s="5"/>
      <c r="D383" s="5"/>
      <c r="E383" s="5" t="s">
        <v>8336</v>
      </c>
      <c r="F383" s="5" t="n">
        <f aca="false">SUMPRODUCT(EXACT('Rule-Event map'!$F$2:$F$1477,$A383)*EXACT('Rule-Event map'!$G$2:$G$1477,$B383))</f>
        <v>1</v>
      </c>
      <c r="G383" s="5" t="n">
        <f aca="false">SUMPRODUCT(EXACT('Rule-Event map'!$F$2:$F$1477,$A383)*EXACT('Rule-Event map'!$G$2:$G$1477,$B383)*('Rule-Event map'!$C$2:$C$1477="New ITDR (7.6.0)"))</f>
        <v>0</v>
      </c>
      <c r="H383" s="5" t="n">
        <f aca="false">SUMPRODUCT(EXACT('Rule-Event map'!$F$2:$F$1477,$A383)*EXACT('Rule-Event map'!$G$2:$G$1477,$B383)*('Rule-Event map'!$C$2:$C$1477="Existing, re-tagged ITDR"))</f>
        <v>0</v>
      </c>
      <c r="I383" s="5" t="n">
        <f aca="false">F383-G383-H383</f>
        <v>1</v>
      </c>
      <c r="J383" s="5" t="n">
        <f aca="false">SUMPRODUCT(EXACT('Rule-Event map'!$F$2:$F$1477,$A383)*EXACT('Rule-Event map'!$G$2:$G$1477,$B383)*('Rule-Event map'!$E$2:$E$1477="Enabled"))</f>
        <v>1</v>
      </c>
      <c r="K383" s="2" t="s">
        <v>5488</v>
      </c>
    </row>
    <row r="384" customFormat="false" ht="15" hidden="false" customHeight="false" outlineLevel="0" collapsed="false">
      <c r="A384" s="5" t="s">
        <v>7670</v>
      </c>
      <c r="B384" s="2" t="s">
        <v>8011</v>
      </c>
      <c r="C384" s="5"/>
      <c r="D384" s="5"/>
      <c r="E384" s="5" t="s">
        <v>8336</v>
      </c>
      <c r="F384" s="5" t="n">
        <f aca="false">SUMPRODUCT(EXACT('Rule-Event map'!$F$2:$F$1477,$A384)*EXACT('Rule-Event map'!$G$2:$G$1477,$B384))</f>
        <v>1</v>
      </c>
      <c r="G384" s="5" t="n">
        <f aca="false">SUMPRODUCT(EXACT('Rule-Event map'!$F$2:$F$1477,$A384)*EXACT('Rule-Event map'!$G$2:$G$1477,$B384)*('Rule-Event map'!$C$2:$C$1477="New ITDR (7.6.0)"))</f>
        <v>0</v>
      </c>
      <c r="H384" s="5" t="n">
        <f aca="false">SUMPRODUCT(EXACT('Rule-Event map'!$F$2:$F$1477,$A384)*EXACT('Rule-Event map'!$G$2:$G$1477,$B384)*('Rule-Event map'!$C$2:$C$1477="Existing, re-tagged ITDR"))</f>
        <v>0</v>
      </c>
      <c r="I384" s="5" t="n">
        <f aca="false">F384-G384-H384</f>
        <v>1</v>
      </c>
      <c r="J384" s="5" t="n">
        <f aca="false">SUMPRODUCT(EXACT('Rule-Event map'!$F$2:$F$1477,$A384)*EXACT('Rule-Event map'!$G$2:$G$1477,$B384)*('Rule-Event map'!$E$2:$E$1477="Enabled"))</f>
        <v>1</v>
      </c>
      <c r="K384" s="2" t="s">
        <v>5413</v>
      </c>
    </row>
    <row r="385" customFormat="false" ht="15" hidden="false" customHeight="false" outlineLevel="0" collapsed="false">
      <c r="A385" s="5" t="s">
        <v>7670</v>
      </c>
      <c r="B385" s="2" t="s">
        <v>7948</v>
      </c>
      <c r="C385" s="5"/>
      <c r="D385" s="5"/>
      <c r="E385" s="5" t="s">
        <v>8336</v>
      </c>
      <c r="F385" s="5" t="n">
        <f aca="false">SUMPRODUCT(EXACT('Rule-Event map'!$F$2:$F$1477,$A385)*EXACT('Rule-Event map'!$G$2:$G$1477,$B385))</f>
        <v>1</v>
      </c>
      <c r="G385" s="5" t="n">
        <f aca="false">SUMPRODUCT(EXACT('Rule-Event map'!$F$2:$F$1477,$A385)*EXACT('Rule-Event map'!$G$2:$G$1477,$B385)*('Rule-Event map'!$C$2:$C$1477="New ITDR (7.6.0)"))</f>
        <v>0</v>
      </c>
      <c r="H385" s="5" t="n">
        <f aca="false">SUMPRODUCT(EXACT('Rule-Event map'!$F$2:$F$1477,$A385)*EXACT('Rule-Event map'!$G$2:$G$1477,$B385)*('Rule-Event map'!$C$2:$C$1477="Existing, re-tagged ITDR"))</f>
        <v>0</v>
      </c>
      <c r="I385" s="5" t="n">
        <f aca="false">F385-G385-H385</f>
        <v>1</v>
      </c>
      <c r="J385" s="5" t="n">
        <f aca="false">SUMPRODUCT(EXACT('Rule-Event map'!$F$2:$F$1477,$A385)*EXACT('Rule-Event map'!$G$2:$G$1477,$B385)*('Rule-Event map'!$E$2:$E$1477="Enabled"))</f>
        <v>1</v>
      </c>
      <c r="K385" s="2" t="s">
        <v>5212</v>
      </c>
    </row>
    <row r="386" customFormat="false" ht="15" hidden="false" customHeight="false" outlineLevel="0" collapsed="false">
      <c r="A386" s="5" t="s">
        <v>7670</v>
      </c>
      <c r="B386" s="2" t="s">
        <v>8147</v>
      </c>
      <c r="C386" s="5"/>
      <c r="D386" s="5"/>
      <c r="E386" s="5" t="s">
        <v>8336</v>
      </c>
      <c r="F386" s="5" t="n">
        <f aca="false">SUMPRODUCT(EXACT('Rule-Event map'!$F$2:$F$1477,$A386)*EXACT('Rule-Event map'!$G$2:$G$1477,$B386))</f>
        <v>1</v>
      </c>
      <c r="G386" s="5" t="n">
        <f aca="false">SUMPRODUCT(EXACT('Rule-Event map'!$F$2:$F$1477,$A386)*EXACT('Rule-Event map'!$G$2:$G$1477,$B386)*('Rule-Event map'!$C$2:$C$1477="New ITDR (7.6.0)"))</f>
        <v>0</v>
      </c>
      <c r="H386" s="5" t="n">
        <f aca="false">SUMPRODUCT(EXACT('Rule-Event map'!$F$2:$F$1477,$A386)*EXACT('Rule-Event map'!$G$2:$G$1477,$B386)*('Rule-Event map'!$C$2:$C$1477="Existing, re-tagged ITDR"))</f>
        <v>0</v>
      </c>
      <c r="I386" s="5" t="n">
        <f aca="false">F386-G386-H386</f>
        <v>1</v>
      </c>
      <c r="J386" s="5" t="n">
        <f aca="false">SUMPRODUCT(EXACT('Rule-Event map'!$F$2:$F$1477,$A386)*EXACT('Rule-Event map'!$G$2:$G$1477,$B386)*('Rule-Event map'!$E$2:$E$1477="Enabled"))</f>
        <v>1</v>
      </c>
      <c r="K386" s="2" t="s">
        <v>5831</v>
      </c>
    </row>
    <row r="387" customFormat="false" ht="15" hidden="false" customHeight="false" outlineLevel="0" collapsed="false">
      <c r="A387" s="5" t="s">
        <v>7670</v>
      </c>
      <c r="B387" s="2" t="s">
        <v>7918</v>
      </c>
      <c r="C387" s="5"/>
      <c r="D387" s="5"/>
      <c r="E387" s="5" t="s">
        <v>8336</v>
      </c>
      <c r="F387" s="5" t="n">
        <f aca="false">SUMPRODUCT(EXACT('Rule-Event map'!$F$2:$F$1477,$A387)*EXACT('Rule-Event map'!$G$2:$G$1477,$B387))</f>
        <v>1</v>
      </c>
      <c r="G387" s="5" t="n">
        <f aca="false">SUMPRODUCT(EXACT('Rule-Event map'!$F$2:$F$1477,$A387)*EXACT('Rule-Event map'!$G$2:$G$1477,$B387)*('Rule-Event map'!$C$2:$C$1477="New ITDR (7.6.0)"))</f>
        <v>0</v>
      </c>
      <c r="H387" s="5" t="n">
        <f aca="false">SUMPRODUCT(EXACT('Rule-Event map'!$F$2:$F$1477,$A387)*EXACT('Rule-Event map'!$G$2:$G$1477,$B387)*('Rule-Event map'!$C$2:$C$1477="Existing, re-tagged ITDR"))</f>
        <v>0</v>
      </c>
      <c r="I387" s="5" t="n">
        <f aca="false">F387-G387-H387</f>
        <v>1</v>
      </c>
      <c r="J387" s="5" t="n">
        <f aca="false">SUMPRODUCT(EXACT('Rule-Event map'!$F$2:$F$1477,$A387)*EXACT('Rule-Event map'!$G$2:$G$1477,$B387)*('Rule-Event map'!$E$2:$E$1477="Enabled"))</f>
        <v>1</v>
      </c>
      <c r="K387" s="2" t="s">
        <v>5083</v>
      </c>
    </row>
    <row r="388" customFormat="false" ht="15" hidden="false" customHeight="false" outlineLevel="0" collapsed="false">
      <c r="A388" s="5" t="s">
        <v>7670</v>
      </c>
      <c r="B388" s="2" t="s">
        <v>7924</v>
      </c>
      <c r="C388" s="5"/>
      <c r="D388" s="5"/>
      <c r="E388" s="5" t="s">
        <v>8336</v>
      </c>
      <c r="F388" s="5" t="n">
        <f aca="false">SUMPRODUCT(EXACT('Rule-Event map'!$F$2:$F$1477,$A388)*EXACT('Rule-Event map'!$G$2:$G$1477,$B388))</f>
        <v>1</v>
      </c>
      <c r="G388" s="5" t="n">
        <f aca="false">SUMPRODUCT(EXACT('Rule-Event map'!$F$2:$F$1477,$A388)*EXACT('Rule-Event map'!$G$2:$G$1477,$B388)*('Rule-Event map'!$C$2:$C$1477="New ITDR (7.6.0)"))</f>
        <v>0</v>
      </c>
      <c r="H388" s="5" t="n">
        <f aca="false">SUMPRODUCT(EXACT('Rule-Event map'!$F$2:$F$1477,$A388)*EXACT('Rule-Event map'!$G$2:$G$1477,$B388)*('Rule-Event map'!$C$2:$C$1477="Existing, re-tagged ITDR"))</f>
        <v>0</v>
      </c>
      <c r="I388" s="5" t="n">
        <f aca="false">F388-G388-H388</f>
        <v>1</v>
      </c>
      <c r="J388" s="5" t="n">
        <f aca="false">SUMPRODUCT(EXACT('Rule-Event map'!$F$2:$F$1477,$A388)*EXACT('Rule-Event map'!$G$2:$G$1477,$B388)*('Rule-Event map'!$E$2:$E$1477="Enabled"))</f>
        <v>1</v>
      </c>
      <c r="K388" s="2" t="s">
        <v>5119</v>
      </c>
    </row>
    <row r="389" customFormat="false" ht="15" hidden="false" customHeight="false" outlineLevel="0" collapsed="false">
      <c r="A389" s="5" t="s">
        <v>7670</v>
      </c>
      <c r="B389" s="2" t="s">
        <v>8021</v>
      </c>
      <c r="C389" s="5"/>
      <c r="D389" s="5"/>
      <c r="E389" s="5" t="s">
        <v>8336</v>
      </c>
      <c r="F389" s="5" t="n">
        <f aca="false">SUMPRODUCT(EXACT('Rule-Event map'!$F$2:$F$1477,$A389)*EXACT('Rule-Event map'!$G$2:$G$1477,$B389))</f>
        <v>1</v>
      </c>
      <c r="G389" s="5" t="n">
        <f aca="false">SUMPRODUCT(EXACT('Rule-Event map'!$F$2:$F$1477,$A389)*EXACT('Rule-Event map'!$G$2:$G$1477,$B389)*('Rule-Event map'!$C$2:$C$1477="New ITDR (7.6.0)"))</f>
        <v>0</v>
      </c>
      <c r="H389" s="5" t="n">
        <f aca="false">SUMPRODUCT(EXACT('Rule-Event map'!$F$2:$F$1477,$A389)*EXACT('Rule-Event map'!$G$2:$G$1477,$B389)*('Rule-Event map'!$C$2:$C$1477="Existing, re-tagged ITDR"))</f>
        <v>0</v>
      </c>
      <c r="I389" s="5" t="n">
        <f aca="false">F389-G389-H389</f>
        <v>1</v>
      </c>
      <c r="J389" s="5" t="n">
        <f aca="false">SUMPRODUCT(EXACT('Rule-Event map'!$F$2:$F$1477,$A389)*EXACT('Rule-Event map'!$G$2:$G$1477,$B389)*('Rule-Event map'!$E$2:$E$1477="Enabled"))</f>
        <v>1</v>
      </c>
      <c r="K389" s="2" t="s">
        <v>5447</v>
      </c>
    </row>
    <row r="390" customFormat="false" ht="15" hidden="false" customHeight="false" outlineLevel="0" collapsed="false">
      <c r="A390" s="5" t="s">
        <v>7670</v>
      </c>
      <c r="B390" s="2" t="s">
        <v>8027</v>
      </c>
      <c r="C390" s="5"/>
      <c r="D390" s="5"/>
      <c r="E390" s="5" t="s">
        <v>8336</v>
      </c>
      <c r="F390" s="5" t="n">
        <f aca="false">SUMPRODUCT(EXACT('Rule-Event map'!$F$2:$F$1477,$A390)*EXACT('Rule-Event map'!$G$2:$G$1477,$B390))</f>
        <v>1</v>
      </c>
      <c r="G390" s="5" t="n">
        <f aca="false">SUMPRODUCT(EXACT('Rule-Event map'!$F$2:$F$1477,$A390)*EXACT('Rule-Event map'!$G$2:$G$1477,$B390)*('Rule-Event map'!$C$2:$C$1477="New ITDR (7.6.0)"))</f>
        <v>0</v>
      </c>
      <c r="H390" s="5" t="n">
        <f aca="false">SUMPRODUCT(EXACT('Rule-Event map'!$F$2:$F$1477,$A390)*EXACT('Rule-Event map'!$G$2:$G$1477,$B390)*('Rule-Event map'!$C$2:$C$1477="Existing, re-tagged ITDR"))</f>
        <v>0</v>
      </c>
      <c r="I390" s="5" t="n">
        <f aca="false">F390-G390-H390</f>
        <v>1</v>
      </c>
      <c r="J390" s="5" t="n">
        <f aca="false">SUMPRODUCT(EXACT('Rule-Event map'!$F$2:$F$1477,$A390)*EXACT('Rule-Event map'!$G$2:$G$1477,$B390)*('Rule-Event map'!$E$2:$E$1477="Enabled"))</f>
        <v>1</v>
      </c>
      <c r="K390" s="2" t="s">
        <v>5476</v>
      </c>
    </row>
    <row r="391" customFormat="false" ht="15" hidden="false" customHeight="false" outlineLevel="0" collapsed="false">
      <c r="A391" s="5" t="s">
        <v>7670</v>
      </c>
      <c r="B391" s="2" t="s">
        <v>8041</v>
      </c>
      <c r="C391" s="5"/>
      <c r="D391" s="5"/>
      <c r="E391" s="5" t="s">
        <v>8336</v>
      </c>
      <c r="F391" s="5" t="n">
        <f aca="false">SUMPRODUCT(EXACT('Rule-Event map'!$F$2:$F$1477,$A391)*EXACT('Rule-Event map'!$G$2:$G$1477,$B391))</f>
        <v>1</v>
      </c>
      <c r="G391" s="5" t="n">
        <f aca="false">SUMPRODUCT(EXACT('Rule-Event map'!$F$2:$F$1477,$A391)*EXACT('Rule-Event map'!$G$2:$G$1477,$B391)*('Rule-Event map'!$C$2:$C$1477="New ITDR (7.6.0)"))</f>
        <v>0</v>
      </c>
      <c r="H391" s="5" t="n">
        <f aca="false">SUMPRODUCT(EXACT('Rule-Event map'!$F$2:$F$1477,$A391)*EXACT('Rule-Event map'!$G$2:$G$1477,$B391)*('Rule-Event map'!$C$2:$C$1477="Existing, re-tagged ITDR"))</f>
        <v>0</v>
      </c>
      <c r="I391" s="5" t="n">
        <f aca="false">F391-G391-H391</f>
        <v>1</v>
      </c>
      <c r="J391" s="5" t="n">
        <f aca="false">SUMPRODUCT(EXACT('Rule-Event map'!$F$2:$F$1477,$A391)*EXACT('Rule-Event map'!$G$2:$G$1477,$B391)*('Rule-Event map'!$E$2:$E$1477="Enabled"))</f>
        <v>1</v>
      </c>
      <c r="K391" s="2" t="s">
        <v>5530</v>
      </c>
    </row>
    <row r="392" customFormat="false" ht="23.85" hidden="false" customHeight="false" outlineLevel="0" collapsed="false">
      <c r="A392" s="5" t="s">
        <v>7670</v>
      </c>
      <c r="B392" s="2" t="s">
        <v>7934</v>
      </c>
      <c r="C392" s="5"/>
      <c r="D392" s="5"/>
      <c r="E392" s="5" t="s">
        <v>8336</v>
      </c>
      <c r="F392" s="5" t="n">
        <f aca="false">SUMPRODUCT(EXACT('Rule-Event map'!$F$2:$F$1477,$A392)*EXACT('Rule-Event map'!$G$2:$G$1477,$B392))</f>
        <v>2</v>
      </c>
      <c r="G392" s="5" t="n">
        <f aca="false">SUMPRODUCT(EXACT('Rule-Event map'!$F$2:$F$1477,$A392)*EXACT('Rule-Event map'!$G$2:$G$1477,$B392)*('Rule-Event map'!$C$2:$C$1477="New ITDR (7.6.0)"))</f>
        <v>0</v>
      </c>
      <c r="H392" s="5" t="n">
        <f aca="false">SUMPRODUCT(EXACT('Rule-Event map'!$F$2:$F$1477,$A392)*EXACT('Rule-Event map'!$G$2:$G$1477,$B392)*('Rule-Event map'!$C$2:$C$1477="Existing, re-tagged ITDR"))</f>
        <v>0</v>
      </c>
      <c r="I392" s="5" t="n">
        <f aca="false">F392-G392-H392</f>
        <v>2</v>
      </c>
      <c r="J392" s="5" t="n">
        <f aca="false">SUMPRODUCT(EXACT('Rule-Event map'!$F$2:$F$1477,$A392)*EXACT('Rule-Event map'!$G$2:$G$1477,$B392)*('Rule-Event map'!$E$2:$E$1477="Enabled"))</f>
        <v>2</v>
      </c>
      <c r="K392" s="2" t="s">
        <v>8372</v>
      </c>
    </row>
    <row r="393" customFormat="false" ht="15" hidden="false" customHeight="false" outlineLevel="0" collapsed="false">
      <c r="A393" s="5" t="s">
        <v>7670</v>
      </c>
      <c r="B393" s="2" t="s">
        <v>7970</v>
      </c>
      <c r="C393" s="5"/>
      <c r="D393" s="5"/>
      <c r="E393" s="5" t="s">
        <v>8336</v>
      </c>
      <c r="F393" s="5" t="n">
        <f aca="false">SUMPRODUCT(EXACT('Rule-Event map'!$F$2:$F$1477,$A393)*EXACT('Rule-Event map'!$G$2:$G$1477,$B393))</f>
        <v>1</v>
      </c>
      <c r="G393" s="5" t="n">
        <f aca="false">SUMPRODUCT(EXACT('Rule-Event map'!$F$2:$F$1477,$A393)*EXACT('Rule-Event map'!$G$2:$G$1477,$B393)*('Rule-Event map'!$C$2:$C$1477="New ITDR (7.6.0)"))</f>
        <v>0</v>
      </c>
      <c r="H393" s="5" t="n">
        <f aca="false">SUMPRODUCT(EXACT('Rule-Event map'!$F$2:$F$1477,$A393)*EXACT('Rule-Event map'!$G$2:$G$1477,$B393)*('Rule-Event map'!$C$2:$C$1477="Existing, re-tagged ITDR"))</f>
        <v>0</v>
      </c>
      <c r="I393" s="5" t="n">
        <f aca="false">F393-G393-H393</f>
        <v>1</v>
      </c>
      <c r="J393" s="5" t="n">
        <f aca="false">SUMPRODUCT(EXACT('Rule-Event map'!$F$2:$F$1477,$A393)*EXACT('Rule-Event map'!$G$2:$G$1477,$B393)*('Rule-Event map'!$E$2:$E$1477="Enabled"))</f>
        <v>1</v>
      </c>
      <c r="K393" s="2" t="s">
        <v>5283</v>
      </c>
    </row>
    <row r="394" customFormat="false" ht="15" hidden="false" customHeight="false" outlineLevel="0" collapsed="false">
      <c r="A394" s="5" t="s">
        <v>7670</v>
      </c>
      <c r="B394" s="2" t="s">
        <v>7968</v>
      </c>
      <c r="C394" s="5"/>
      <c r="D394" s="5"/>
      <c r="E394" s="5" t="s">
        <v>8336</v>
      </c>
      <c r="F394" s="5" t="n">
        <f aca="false">SUMPRODUCT(EXACT('Rule-Event map'!$F$2:$F$1477,$A394)*EXACT('Rule-Event map'!$G$2:$G$1477,$B394))</f>
        <v>1</v>
      </c>
      <c r="G394" s="5" t="n">
        <f aca="false">SUMPRODUCT(EXACT('Rule-Event map'!$F$2:$F$1477,$A394)*EXACT('Rule-Event map'!$G$2:$G$1477,$B394)*('Rule-Event map'!$C$2:$C$1477="New ITDR (7.6.0)"))</f>
        <v>0</v>
      </c>
      <c r="H394" s="5" t="n">
        <f aca="false">SUMPRODUCT(EXACT('Rule-Event map'!$F$2:$F$1477,$A394)*EXACT('Rule-Event map'!$G$2:$G$1477,$B394)*('Rule-Event map'!$C$2:$C$1477="Existing, re-tagged ITDR"))</f>
        <v>0</v>
      </c>
      <c r="I394" s="5" t="n">
        <f aca="false">F394-G394-H394</f>
        <v>1</v>
      </c>
      <c r="J394" s="5" t="n">
        <f aca="false">SUMPRODUCT(EXACT('Rule-Event map'!$F$2:$F$1477,$A394)*EXACT('Rule-Event map'!$G$2:$G$1477,$B394)*('Rule-Event map'!$E$2:$E$1477="Enabled"))</f>
        <v>1</v>
      </c>
      <c r="K394" s="2" t="s">
        <v>5283</v>
      </c>
    </row>
    <row r="395" customFormat="false" ht="15" hidden="false" customHeight="false" outlineLevel="0" collapsed="false">
      <c r="A395" s="5" t="s">
        <v>7670</v>
      </c>
      <c r="B395" s="2" t="s">
        <v>7960</v>
      </c>
      <c r="C395" s="5"/>
      <c r="D395" s="5"/>
      <c r="E395" s="5" t="s">
        <v>8336</v>
      </c>
      <c r="F395" s="5" t="n">
        <f aca="false">SUMPRODUCT(EXACT('Rule-Event map'!$F$2:$F$1477,$A395)*EXACT('Rule-Event map'!$G$2:$G$1477,$B395))</f>
        <v>1</v>
      </c>
      <c r="G395" s="5" t="n">
        <f aca="false">SUMPRODUCT(EXACT('Rule-Event map'!$F$2:$F$1477,$A395)*EXACT('Rule-Event map'!$G$2:$G$1477,$B395)*('Rule-Event map'!$C$2:$C$1477="New ITDR (7.6.0)"))</f>
        <v>0</v>
      </c>
      <c r="H395" s="5" t="n">
        <f aca="false">SUMPRODUCT(EXACT('Rule-Event map'!$F$2:$F$1477,$A395)*EXACT('Rule-Event map'!$G$2:$G$1477,$B395)*('Rule-Event map'!$C$2:$C$1477="Existing, re-tagged ITDR"))</f>
        <v>0</v>
      </c>
      <c r="I395" s="5" t="n">
        <f aca="false">F395-G395-H395</f>
        <v>1</v>
      </c>
      <c r="J395" s="5" t="n">
        <f aca="false">SUMPRODUCT(EXACT('Rule-Event map'!$F$2:$F$1477,$A395)*EXACT('Rule-Event map'!$G$2:$G$1477,$B395)*('Rule-Event map'!$E$2:$E$1477="Enabled"))</f>
        <v>1</v>
      </c>
      <c r="K395" s="2" t="s">
        <v>5277</v>
      </c>
    </row>
    <row r="396" customFormat="false" ht="23.85" hidden="false" customHeight="false" outlineLevel="0" collapsed="false">
      <c r="A396" s="5" t="s">
        <v>7670</v>
      </c>
      <c r="B396" s="2" t="s">
        <v>8093</v>
      </c>
      <c r="C396" s="5"/>
      <c r="D396" s="5"/>
      <c r="E396" s="5" t="s">
        <v>8336</v>
      </c>
      <c r="F396" s="5" t="n">
        <f aca="false">SUMPRODUCT(EXACT('Rule-Event map'!$F$2:$F$1477,$A396)*EXACT('Rule-Event map'!$G$2:$G$1477,$B396))</f>
        <v>1</v>
      </c>
      <c r="G396" s="5" t="n">
        <f aca="false">SUMPRODUCT(EXACT('Rule-Event map'!$F$2:$F$1477,$A396)*EXACT('Rule-Event map'!$G$2:$G$1477,$B396)*('Rule-Event map'!$C$2:$C$1477="New ITDR (7.6.0)"))</f>
        <v>0</v>
      </c>
      <c r="H396" s="5" t="n">
        <f aca="false">SUMPRODUCT(EXACT('Rule-Event map'!$F$2:$F$1477,$A396)*EXACT('Rule-Event map'!$G$2:$G$1477,$B396)*('Rule-Event map'!$C$2:$C$1477="Existing, re-tagged ITDR"))</f>
        <v>0</v>
      </c>
      <c r="I396" s="5" t="n">
        <f aca="false">F396-G396-H396</f>
        <v>1</v>
      </c>
      <c r="J396" s="5" t="n">
        <f aca="false">SUMPRODUCT(EXACT('Rule-Event map'!$F$2:$F$1477,$A396)*EXACT('Rule-Event map'!$G$2:$G$1477,$B396)*('Rule-Event map'!$E$2:$E$1477="Enabled"))</f>
        <v>1</v>
      </c>
      <c r="K396" s="2" t="s">
        <v>5692</v>
      </c>
    </row>
    <row r="397" customFormat="false" ht="15" hidden="false" customHeight="false" outlineLevel="0" collapsed="false">
      <c r="A397" s="5" t="s">
        <v>7670</v>
      </c>
      <c r="B397" s="2" t="s">
        <v>7964</v>
      </c>
      <c r="C397" s="5"/>
      <c r="D397" s="5"/>
      <c r="E397" s="5" t="s">
        <v>8336</v>
      </c>
      <c r="F397" s="5" t="n">
        <f aca="false">SUMPRODUCT(EXACT('Rule-Event map'!$F$2:$F$1477,$A397)*EXACT('Rule-Event map'!$G$2:$G$1477,$B397))</f>
        <v>1</v>
      </c>
      <c r="G397" s="5" t="n">
        <f aca="false">SUMPRODUCT(EXACT('Rule-Event map'!$F$2:$F$1477,$A397)*EXACT('Rule-Event map'!$G$2:$G$1477,$B397)*('Rule-Event map'!$C$2:$C$1477="New ITDR (7.6.0)"))</f>
        <v>0</v>
      </c>
      <c r="H397" s="5" t="n">
        <f aca="false">SUMPRODUCT(EXACT('Rule-Event map'!$F$2:$F$1477,$A397)*EXACT('Rule-Event map'!$G$2:$G$1477,$B397)*('Rule-Event map'!$C$2:$C$1477="Existing, re-tagged ITDR"))</f>
        <v>0</v>
      </c>
      <c r="I397" s="5" t="n">
        <f aca="false">F397-G397-H397</f>
        <v>1</v>
      </c>
      <c r="J397" s="5" t="n">
        <f aca="false">SUMPRODUCT(EXACT('Rule-Event map'!$F$2:$F$1477,$A397)*EXACT('Rule-Event map'!$G$2:$G$1477,$B397)*('Rule-Event map'!$E$2:$E$1477="Enabled"))</f>
        <v>1</v>
      </c>
      <c r="K397" s="2" t="s">
        <v>5277</v>
      </c>
    </row>
    <row r="398" customFormat="false" ht="15" hidden="false" customHeight="false" outlineLevel="0" collapsed="false">
      <c r="A398" s="5" t="s">
        <v>7670</v>
      </c>
      <c r="B398" s="2" t="s">
        <v>8087</v>
      </c>
      <c r="C398" s="5"/>
      <c r="D398" s="5"/>
      <c r="E398" s="5" t="s">
        <v>8336</v>
      </c>
      <c r="F398" s="5" t="n">
        <f aca="false">SUMPRODUCT(EXACT('Rule-Event map'!$F$2:$F$1477,$A398)*EXACT('Rule-Event map'!$G$2:$G$1477,$B398))</f>
        <v>1</v>
      </c>
      <c r="G398" s="5" t="n">
        <f aca="false">SUMPRODUCT(EXACT('Rule-Event map'!$F$2:$F$1477,$A398)*EXACT('Rule-Event map'!$G$2:$G$1477,$B398)*('Rule-Event map'!$C$2:$C$1477="New ITDR (7.6.0)"))</f>
        <v>0</v>
      </c>
      <c r="H398" s="5" t="n">
        <f aca="false">SUMPRODUCT(EXACT('Rule-Event map'!$F$2:$F$1477,$A398)*EXACT('Rule-Event map'!$G$2:$G$1477,$B398)*('Rule-Event map'!$C$2:$C$1477="Existing, re-tagged ITDR"))</f>
        <v>0</v>
      </c>
      <c r="I398" s="5" t="n">
        <f aca="false">F398-G398-H398</f>
        <v>1</v>
      </c>
      <c r="J398" s="5" t="n">
        <f aca="false">SUMPRODUCT(EXACT('Rule-Event map'!$F$2:$F$1477,$A398)*EXACT('Rule-Event map'!$G$2:$G$1477,$B398)*('Rule-Event map'!$E$2:$E$1477="Enabled"))</f>
        <v>1</v>
      </c>
      <c r="K398" s="2" t="s">
        <v>5666</v>
      </c>
    </row>
    <row r="399" customFormat="false" ht="15" hidden="false" customHeight="false" outlineLevel="0" collapsed="false">
      <c r="A399" s="5" t="s">
        <v>7670</v>
      </c>
      <c r="B399" s="2" t="s">
        <v>8127</v>
      </c>
      <c r="C399" s="5"/>
      <c r="D399" s="5"/>
      <c r="E399" s="5" t="s">
        <v>8336</v>
      </c>
      <c r="F399" s="5" t="n">
        <f aca="false">SUMPRODUCT(EXACT('Rule-Event map'!$F$2:$F$1477,$A399)*EXACT('Rule-Event map'!$G$2:$G$1477,$B399))</f>
        <v>1</v>
      </c>
      <c r="G399" s="5" t="n">
        <f aca="false">SUMPRODUCT(EXACT('Rule-Event map'!$F$2:$F$1477,$A399)*EXACT('Rule-Event map'!$G$2:$G$1477,$B399)*('Rule-Event map'!$C$2:$C$1477="New ITDR (7.6.0)"))</f>
        <v>0</v>
      </c>
      <c r="H399" s="5" t="n">
        <f aca="false">SUMPRODUCT(EXACT('Rule-Event map'!$F$2:$F$1477,$A399)*EXACT('Rule-Event map'!$G$2:$G$1477,$B399)*('Rule-Event map'!$C$2:$C$1477="Existing, re-tagged ITDR"))</f>
        <v>0</v>
      </c>
      <c r="I399" s="5" t="n">
        <f aca="false">F399-G399-H399</f>
        <v>1</v>
      </c>
      <c r="J399" s="5" t="n">
        <f aca="false">SUMPRODUCT(EXACT('Rule-Event map'!$F$2:$F$1477,$A399)*EXACT('Rule-Event map'!$G$2:$G$1477,$B399)*('Rule-Event map'!$E$2:$E$1477="Enabled"))</f>
        <v>1</v>
      </c>
      <c r="K399" s="2" t="s">
        <v>5789</v>
      </c>
    </row>
    <row r="400" customFormat="false" ht="15" hidden="false" customHeight="false" outlineLevel="0" collapsed="false">
      <c r="A400" s="5" t="s">
        <v>7670</v>
      </c>
      <c r="B400" s="2" t="s">
        <v>8153</v>
      </c>
      <c r="C400" s="5"/>
      <c r="D400" s="5"/>
      <c r="E400" s="5" t="s">
        <v>8336</v>
      </c>
      <c r="F400" s="5" t="n">
        <f aca="false">SUMPRODUCT(EXACT('Rule-Event map'!$F$2:$F$1477,$A400)*EXACT('Rule-Event map'!$G$2:$G$1477,$B400))</f>
        <v>1</v>
      </c>
      <c r="G400" s="5" t="n">
        <f aca="false">SUMPRODUCT(EXACT('Rule-Event map'!$F$2:$F$1477,$A400)*EXACT('Rule-Event map'!$G$2:$G$1477,$B400)*('Rule-Event map'!$C$2:$C$1477="New ITDR (7.6.0)"))</f>
        <v>0</v>
      </c>
      <c r="H400" s="5" t="n">
        <f aca="false">SUMPRODUCT(EXACT('Rule-Event map'!$F$2:$F$1477,$A400)*EXACT('Rule-Event map'!$G$2:$G$1477,$B400)*('Rule-Event map'!$C$2:$C$1477="Existing, re-tagged ITDR"))</f>
        <v>0</v>
      </c>
      <c r="I400" s="5" t="n">
        <f aca="false">F400-G400-H400</f>
        <v>1</v>
      </c>
      <c r="J400" s="5" t="n">
        <f aca="false">SUMPRODUCT(EXACT('Rule-Event map'!$F$2:$F$1477,$A400)*EXACT('Rule-Event map'!$G$2:$G$1477,$B400)*('Rule-Event map'!$E$2:$E$1477="Enabled"))</f>
        <v>1</v>
      </c>
      <c r="K400" s="2" t="s">
        <v>5856</v>
      </c>
    </row>
    <row r="401" customFormat="false" ht="15" hidden="false" customHeight="false" outlineLevel="0" collapsed="false">
      <c r="A401" s="5" t="s">
        <v>7670</v>
      </c>
      <c r="B401" s="2" t="s">
        <v>7966</v>
      </c>
      <c r="C401" s="5"/>
      <c r="D401" s="5"/>
      <c r="E401" s="5" t="s">
        <v>8336</v>
      </c>
      <c r="F401" s="5" t="n">
        <f aca="false">SUMPRODUCT(EXACT('Rule-Event map'!$F$2:$F$1477,$A401)*EXACT('Rule-Event map'!$G$2:$G$1477,$B401))</f>
        <v>1</v>
      </c>
      <c r="G401" s="5" t="n">
        <f aca="false">SUMPRODUCT(EXACT('Rule-Event map'!$F$2:$F$1477,$A401)*EXACT('Rule-Event map'!$G$2:$G$1477,$B401)*('Rule-Event map'!$C$2:$C$1477="New ITDR (7.6.0)"))</f>
        <v>0</v>
      </c>
      <c r="H401" s="5" t="n">
        <f aca="false">SUMPRODUCT(EXACT('Rule-Event map'!$F$2:$F$1477,$A401)*EXACT('Rule-Event map'!$G$2:$G$1477,$B401)*('Rule-Event map'!$C$2:$C$1477="Existing, re-tagged ITDR"))</f>
        <v>0</v>
      </c>
      <c r="I401" s="5" t="n">
        <f aca="false">F401-G401-H401</f>
        <v>1</v>
      </c>
      <c r="J401" s="5" t="n">
        <f aca="false">SUMPRODUCT(EXACT('Rule-Event map'!$F$2:$F$1477,$A401)*EXACT('Rule-Event map'!$G$2:$G$1477,$B401)*('Rule-Event map'!$E$2:$E$1477="Enabled"))</f>
        <v>1</v>
      </c>
      <c r="K401" s="2" t="s">
        <v>5277</v>
      </c>
    </row>
    <row r="402" customFormat="false" ht="23.85" hidden="false" customHeight="false" outlineLevel="0" collapsed="false">
      <c r="A402" s="5" t="s">
        <v>7670</v>
      </c>
      <c r="B402" s="2" t="s">
        <v>7942</v>
      </c>
      <c r="C402" s="5"/>
      <c r="D402" s="5"/>
      <c r="E402" s="5" t="s">
        <v>8336</v>
      </c>
      <c r="F402" s="5" t="n">
        <f aca="false">SUMPRODUCT(EXACT('Rule-Event map'!$F$2:$F$1477,$A402)*EXACT('Rule-Event map'!$G$2:$G$1477,$B402))</f>
        <v>1</v>
      </c>
      <c r="G402" s="5" t="n">
        <f aca="false">SUMPRODUCT(EXACT('Rule-Event map'!$F$2:$F$1477,$A402)*EXACT('Rule-Event map'!$G$2:$G$1477,$B402)*('Rule-Event map'!$C$2:$C$1477="New ITDR (7.6.0)"))</f>
        <v>0</v>
      </c>
      <c r="H402" s="5" t="n">
        <f aca="false">SUMPRODUCT(EXACT('Rule-Event map'!$F$2:$F$1477,$A402)*EXACT('Rule-Event map'!$G$2:$G$1477,$B402)*('Rule-Event map'!$C$2:$C$1477="Existing, re-tagged ITDR"))</f>
        <v>0</v>
      </c>
      <c r="I402" s="5" t="n">
        <f aca="false">F402-G402-H402</f>
        <v>1</v>
      </c>
      <c r="J402" s="5" t="n">
        <f aca="false">SUMPRODUCT(EXACT('Rule-Event map'!$F$2:$F$1477,$A402)*EXACT('Rule-Event map'!$G$2:$G$1477,$B402)*('Rule-Event map'!$E$2:$E$1477="Enabled"))</f>
        <v>1</v>
      </c>
      <c r="K402" s="2" t="s">
        <v>5194</v>
      </c>
    </row>
    <row r="403" customFormat="false" ht="15" hidden="false" customHeight="false" outlineLevel="0" collapsed="false">
      <c r="A403" s="5" t="s">
        <v>7670</v>
      </c>
      <c r="B403" s="2" t="s">
        <v>7995</v>
      </c>
      <c r="C403" s="5"/>
      <c r="D403" s="5"/>
      <c r="E403" s="5" t="s">
        <v>8336</v>
      </c>
      <c r="F403" s="5" t="n">
        <f aca="false">SUMPRODUCT(EXACT('Rule-Event map'!$F$2:$F$1477,$A403)*EXACT('Rule-Event map'!$G$2:$G$1477,$B403))</f>
        <v>1</v>
      </c>
      <c r="G403" s="5" t="n">
        <f aca="false">SUMPRODUCT(EXACT('Rule-Event map'!$F$2:$F$1477,$A403)*EXACT('Rule-Event map'!$G$2:$G$1477,$B403)*('Rule-Event map'!$C$2:$C$1477="New ITDR (7.6.0)"))</f>
        <v>0</v>
      </c>
      <c r="H403" s="5" t="n">
        <f aca="false">SUMPRODUCT(EXACT('Rule-Event map'!$F$2:$F$1477,$A403)*EXACT('Rule-Event map'!$G$2:$G$1477,$B403)*('Rule-Event map'!$C$2:$C$1477="Existing, re-tagged ITDR"))</f>
        <v>0</v>
      </c>
      <c r="I403" s="5" t="n">
        <f aca="false">F403-G403-H403</f>
        <v>1</v>
      </c>
      <c r="J403" s="5" t="n">
        <f aca="false">SUMPRODUCT(EXACT('Rule-Event map'!$F$2:$F$1477,$A403)*EXACT('Rule-Event map'!$G$2:$G$1477,$B403)*('Rule-Event map'!$E$2:$E$1477="Enabled"))</f>
        <v>1</v>
      </c>
      <c r="K403" s="2" t="s">
        <v>5366</v>
      </c>
    </row>
    <row r="404" customFormat="false" ht="15" hidden="false" customHeight="false" outlineLevel="0" collapsed="false">
      <c r="A404" s="5" t="s">
        <v>7670</v>
      </c>
      <c r="B404" s="2" t="s">
        <v>8125</v>
      </c>
      <c r="C404" s="5"/>
      <c r="D404" s="5"/>
      <c r="E404" s="5" t="s">
        <v>8336</v>
      </c>
      <c r="F404" s="5" t="n">
        <f aca="false">SUMPRODUCT(EXACT('Rule-Event map'!$F$2:$F$1477,$A404)*EXACT('Rule-Event map'!$G$2:$G$1477,$B404))</f>
        <v>1</v>
      </c>
      <c r="G404" s="5" t="n">
        <f aca="false">SUMPRODUCT(EXACT('Rule-Event map'!$F$2:$F$1477,$A404)*EXACT('Rule-Event map'!$G$2:$G$1477,$B404)*('Rule-Event map'!$C$2:$C$1477="New ITDR (7.6.0)"))</f>
        <v>0</v>
      </c>
      <c r="H404" s="5" t="n">
        <f aca="false">SUMPRODUCT(EXACT('Rule-Event map'!$F$2:$F$1477,$A404)*EXACT('Rule-Event map'!$G$2:$G$1477,$B404)*('Rule-Event map'!$C$2:$C$1477="Existing, re-tagged ITDR"))</f>
        <v>0</v>
      </c>
      <c r="I404" s="5" t="n">
        <f aca="false">F404-G404-H404</f>
        <v>1</v>
      </c>
      <c r="J404" s="5" t="n">
        <f aca="false">SUMPRODUCT(EXACT('Rule-Event map'!$F$2:$F$1477,$A404)*EXACT('Rule-Event map'!$G$2:$G$1477,$B404)*('Rule-Event map'!$E$2:$E$1477="Enabled"))</f>
        <v>1</v>
      </c>
      <c r="K404" s="2" t="s">
        <v>5783</v>
      </c>
    </row>
    <row r="405" customFormat="false" ht="15" hidden="false" customHeight="false" outlineLevel="0" collapsed="false">
      <c r="A405" s="5" t="s">
        <v>7670</v>
      </c>
      <c r="B405" s="2" t="s">
        <v>7920</v>
      </c>
      <c r="C405" s="5"/>
      <c r="D405" s="5"/>
      <c r="E405" s="5" t="s">
        <v>8336</v>
      </c>
      <c r="F405" s="5" t="n">
        <f aca="false">SUMPRODUCT(EXACT('Rule-Event map'!$F$2:$F$1477,$A405)*EXACT('Rule-Event map'!$G$2:$G$1477,$B405))</f>
        <v>1</v>
      </c>
      <c r="G405" s="5" t="n">
        <f aca="false">SUMPRODUCT(EXACT('Rule-Event map'!$F$2:$F$1477,$A405)*EXACT('Rule-Event map'!$G$2:$G$1477,$B405)*('Rule-Event map'!$C$2:$C$1477="New ITDR (7.6.0)"))</f>
        <v>0</v>
      </c>
      <c r="H405" s="5" t="n">
        <f aca="false">SUMPRODUCT(EXACT('Rule-Event map'!$F$2:$F$1477,$A405)*EXACT('Rule-Event map'!$G$2:$G$1477,$B405)*('Rule-Event map'!$C$2:$C$1477="Existing, re-tagged ITDR"))</f>
        <v>0</v>
      </c>
      <c r="I405" s="5" t="n">
        <f aca="false">F405-G405-H405</f>
        <v>1</v>
      </c>
      <c r="J405" s="5" t="n">
        <f aca="false">SUMPRODUCT(EXACT('Rule-Event map'!$F$2:$F$1477,$A405)*EXACT('Rule-Event map'!$G$2:$G$1477,$B405)*('Rule-Event map'!$E$2:$E$1477="Enabled"))</f>
        <v>1</v>
      </c>
      <c r="K405" s="2" t="s">
        <v>5090</v>
      </c>
    </row>
    <row r="406" customFormat="false" ht="15" hidden="false" customHeight="false" outlineLevel="0" collapsed="false">
      <c r="A406" s="5" t="s">
        <v>7670</v>
      </c>
      <c r="B406" s="2" t="s">
        <v>8015</v>
      </c>
      <c r="C406" s="5"/>
      <c r="D406" s="5"/>
      <c r="E406" s="5" t="s">
        <v>8336</v>
      </c>
      <c r="F406" s="5" t="n">
        <f aca="false">SUMPRODUCT(EXACT('Rule-Event map'!$F$2:$F$1477,$A406)*EXACT('Rule-Event map'!$G$2:$G$1477,$B406))</f>
        <v>1</v>
      </c>
      <c r="G406" s="5" t="n">
        <f aca="false">SUMPRODUCT(EXACT('Rule-Event map'!$F$2:$F$1477,$A406)*EXACT('Rule-Event map'!$G$2:$G$1477,$B406)*('Rule-Event map'!$C$2:$C$1477="New ITDR (7.6.0)"))</f>
        <v>0</v>
      </c>
      <c r="H406" s="5" t="n">
        <f aca="false">SUMPRODUCT(EXACT('Rule-Event map'!$F$2:$F$1477,$A406)*EXACT('Rule-Event map'!$G$2:$G$1477,$B406)*('Rule-Event map'!$C$2:$C$1477="Existing, re-tagged ITDR"))</f>
        <v>0</v>
      </c>
      <c r="I406" s="5" t="n">
        <f aca="false">F406-G406-H406</f>
        <v>1</v>
      </c>
      <c r="J406" s="5" t="n">
        <f aca="false">SUMPRODUCT(EXACT('Rule-Event map'!$F$2:$F$1477,$A406)*EXACT('Rule-Event map'!$G$2:$G$1477,$B406)*('Rule-Event map'!$E$2:$E$1477="Enabled"))</f>
        <v>1</v>
      </c>
      <c r="K406" s="2" t="s">
        <v>5440</v>
      </c>
    </row>
    <row r="407" customFormat="false" ht="15" hidden="false" customHeight="false" outlineLevel="0" collapsed="false">
      <c r="A407" s="5" t="s">
        <v>7670</v>
      </c>
      <c r="B407" s="2" t="s">
        <v>8139</v>
      </c>
      <c r="C407" s="5"/>
      <c r="D407" s="5"/>
      <c r="E407" s="5" t="s">
        <v>8336</v>
      </c>
      <c r="F407" s="5" t="n">
        <f aca="false">SUMPRODUCT(EXACT('Rule-Event map'!$F$2:$F$1477,$A407)*EXACT('Rule-Event map'!$G$2:$G$1477,$B407))</f>
        <v>1</v>
      </c>
      <c r="G407" s="5" t="n">
        <f aca="false">SUMPRODUCT(EXACT('Rule-Event map'!$F$2:$F$1477,$A407)*EXACT('Rule-Event map'!$G$2:$G$1477,$B407)*('Rule-Event map'!$C$2:$C$1477="New ITDR (7.6.0)"))</f>
        <v>0</v>
      </c>
      <c r="H407" s="5" t="n">
        <f aca="false">SUMPRODUCT(EXACT('Rule-Event map'!$F$2:$F$1477,$A407)*EXACT('Rule-Event map'!$G$2:$G$1477,$B407)*('Rule-Event map'!$C$2:$C$1477="Existing, re-tagged ITDR"))</f>
        <v>0</v>
      </c>
      <c r="I407" s="5" t="n">
        <f aca="false">F407-G407-H407</f>
        <v>1</v>
      </c>
      <c r="J407" s="5" t="n">
        <f aca="false">SUMPRODUCT(EXACT('Rule-Event map'!$F$2:$F$1477,$A407)*EXACT('Rule-Event map'!$G$2:$G$1477,$B407)*('Rule-Event map'!$E$2:$E$1477="Enabled"))</f>
        <v>1</v>
      </c>
      <c r="K407" s="2" t="s">
        <v>5820</v>
      </c>
    </row>
    <row r="408" customFormat="false" ht="23.85" hidden="false" customHeight="false" outlineLevel="0" collapsed="false">
      <c r="A408" s="5" t="s">
        <v>7670</v>
      </c>
      <c r="B408" s="2" t="s">
        <v>8149</v>
      </c>
      <c r="C408" s="5"/>
      <c r="D408" s="5"/>
      <c r="E408" s="5" t="s">
        <v>8336</v>
      </c>
      <c r="F408" s="5" t="n">
        <f aca="false">SUMPRODUCT(EXACT('Rule-Event map'!$F$2:$F$1477,$A408)*EXACT('Rule-Event map'!$G$2:$G$1477,$B408))</f>
        <v>1</v>
      </c>
      <c r="G408" s="5" t="n">
        <f aca="false">SUMPRODUCT(EXACT('Rule-Event map'!$F$2:$F$1477,$A408)*EXACT('Rule-Event map'!$G$2:$G$1477,$B408)*('Rule-Event map'!$C$2:$C$1477="New ITDR (7.6.0)"))</f>
        <v>0</v>
      </c>
      <c r="H408" s="5" t="n">
        <f aca="false">SUMPRODUCT(EXACT('Rule-Event map'!$F$2:$F$1477,$A408)*EXACT('Rule-Event map'!$G$2:$G$1477,$B408)*('Rule-Event map'!$C$2:$C$1477="Existing, re-tagged ITDR"))</f>
        <v>0</v>
      </c>
      <c r="I408" s="5" t="n">
        <f aca="false">F408-G408-H408</f>
        <v>1</v>
      </c>
      <c r="J408" s="5" t="n">
        <f aca="false">SUMPRODUCT(EXACT('Rule-Event map'!$F$2:$F$1477,$A408)*EXACT('Rule-Event map'!$G$2:$G$1477,$B408)*('Rule-Event map'!$E$2:$E$1477="Enabled"))</f>
        <v>1</v>
      </c>
      <c r="K408" s="2" t="s">
        <v>5843</v>
      </c>
    </row>
    <row r="409" customFormat="false" ht="15" hidden="false" customHeight="false" outlineLevel="0" collapsed="false">
      <c r="A409" s="5" t="s">
        <v>7670</v>
      </c>
      <c r="B409" s="2" t="s">
        <v>8019</v>
      </c>
      <c r="C409" s="5"/>
      <c r="D409" s="5"/>
      <c r="E409" s="5" t="s">
        <v>8336</v>
      </c>
      <c r="F409" s="5" t="n">
        <f aca="false">SUMPRODUCT(EXACT('Rule-Event map'!$F$2:$F$1477,$A409)*EXACT('Rule-Event map'!$G$2:$G$1477,$B409))</f>
        <v>1</v>
      </c>
      <c r="G409" s="5" t="n">
        <f aca="false">SUMPRODUCT(EXACT('Rule-Event map'!$F$2:$F$1477,$A409)*EXACT('Rule-Event map'!$G$2:$G$1477,$B409)*('Rule-Event map'!$C$2:$C$1477="New ITDR (7.6.0)"))</f>
        <v>0</v>
      </c>
      <c r="H409" s="5" t="n">
        <f aca="false">SUMPRODUCT(EXACT('Rule-Event map'!$F$2:$F$1477,$A409)*EXACT('Rule-Event map'!$G$2:$G$1477,$B409)*('Rule-Event map'!$C$2:$C$1477="Existing, re-tagged ITDR"))</f>
        <v>0</v>
      </c>
      <c r="I409" s="5" t="n">
        <f aca="false">F409-G409-H409</f>
        <v>1</v>
      </c>
      <c r="J409" s="5" t="n">
        <f aca="false">SUMPRODUCT(EXACT('Rule-Event map'!$F$2:$F$1477,$A409)*EXACT('Rule-Event map'!$G$2:$G$1477,$B409)*('Rule-Event map'!$E$2:$E$1477="Enabled"))</f>
        <v>1</v>
      </c>
      <c r="K409" s="2" t="s">
        <v>5440</v>
      </c>
    </row>
    <row r="410" customFormat="false" ht="15" hidden="false" customHeight="false" outlineLevel="0" collapsed="false">
      <c r="A410" s="5" t="s">
        <v>7670</v>
      </c>
      <c r="B410" s="2" t="s">
        <v>8017</v>
      </c>
      <c r="C410" s="5"/>
      <c r="D410" s="5"/>
      <c r="E410" s="5" t="s">
        <v>8336</v>
      </c>
      <c r="F410" s="5" t="n">
        <f aca="false">SUMPRODUCT(EXACT('Rule-Event map'!$F$2:$F$1477,$A410)*EXACT('Rule-Event map'!$G$2:$G$1477,$B410))</f>
        <v>1</v>
      </c>
      <c r="G410" s="5" t="n">
        <f aca="false">SUMPRODUCT(EXACT('Rule-Event map'!$F$2:$F$1477,$A410)*EXACT('Rule-Event map'!$G$2:$G$1477,$B410)*('Rule-Event map'!$C$2:$C$1477="New ITDR (7.6.0)"))</f>
        <v>0</v>
      </c>
      <c r="H410" s="5" t="n">
        <f aca="false">SUMPRODUCT(EXACT('Rule-Event map'!$F$2:$F$1477,$A410)*EXACT('Rule-Event map'!$G$2:$G$1477,$B410)*('Rule-Event map'!$C$2:$C$1477="Existing, re-tagged ITDR"))</f>
        <v>0</v>
      </c>
      <c r="I410" s="5" t="n">
        <f aca="false">F410-G410-H410</f>
        <v>1</v>
      </c>
      <c r="J410" s="5" t="n">
        <f aca="false">SUMPRODUCT(EXACT('Rule-Event map'!$F$2:$F$1477,$A410)*EXACT('Rule-Event map'!$G$2:$G$1477,$B410)*('Rule-Event map'!$E$2:$E$1477="Enabled"))</f>
        <v>1</v>
      </c>
      <c r="K410" s="2" t="s">
        <v>5440</v>
      </c>
    </row>
    <row r="411" customFormat="false" ht="15" hidden="false" customHeight="false" outlineLevel="0" collapsed="false">
      <c r="A411" s="5" t="s">
        <v>7670</v>
      </c>
      <c r="B411" s="2" t="s">
        <v>8075</v>
      </c>
      <c r="C411" s="5"/>
      <c r="D411" s="5"/>
      <c r="E411" s="5" t="s">
        <v>8336</v>
      </c>
      <c r="F411" s="5" t="n">
        <f aca="false">SUMPRODUCT(EXACT('Rule-Event map'!$F$2:$F$1477,$A411)*EXACT('Rule-Event map'!$G$2:$G$1477,$B411))</f>
        <v>1</v>
      </c>
      <c r="G411" s="5" t="n">
        <f aca="false">SUMPRODUCT(EXACT('Rule-Event map'!$F$2:$F$1477,$A411)*EXACT('Rule-Event map'!$G$2:$G$1477,$B411)*('Rule-Event map'!$C$2:$C$1477="New ITDR (7.6.0)"))</f>
        <v>0</v>
      </c>
      <c r="H411" s="5" t="n">
        <f aca="false">SUMPRODUCT(EXACT('Rule-Event map'!$F$2:$F$1477,$A411)*EXACT('Rule-Event map'!$G$2:$G$1477,$B411)*('Rule-Event map'!$C$2:$C$1477="Existing, re-tagged ITDR"))</f>
        <v>0</v>
      </c>
      <c r="I411" s="5" t="n">
        <f aca="false">F411-G411-H411</f>
        <v>1</v>
      </c>
      <c r="J411" s="5" t="n">
        <f aca="false">SUMPRODUCT(EXACT('Rule-Event map'!$F$2:$F$1477,$A411)*EXACT('Rule-Event map'!$G$2:$G$1477,$B411)*('Rule-Event map'!$E$2:$E$1477="Enabled"))</f>
        <v>1</v>
      </c>
      <c r="K411" s="2" t="s">
        <v>5643</v>
      </c>
    </row>
    <row r="412" customFormat="false" ht="15" hidden="false" customHeight="false" outlineLevel="0" collapsed="false">
      <c r="A412" s="5" t="s">
        <v>7670</v>
      </c>
      <c r="B412" s="2" t="s">
        <v>8077</v>
      </c>
      <c r="C412" s="5"/>
      <c r="D412" s="5"/>
      <c r="E412" s="5" t="s">
        <v>8336</v>
      </c>
      <c r="F412" s="5" t="n">
        <f aca="false">SUMPRODUCT(EXACT('Rule-Event map'!$F$2:$F$1477,$A412)*EXACT('Rule-Event map'!$G$2:$G$1477,$B412))</f>
        <v>1</v>
      </c>
      <c r="G412" s="5" t="n">
        <f aca="false">SUMPRODUCT(EXACT('Rule-Event map'!$F$2:$F$1477,$A412)*EXACT('Rule-Event map'!$G$2:$G$1477,$B412)*('Rule-Event map'!$C$2:$C$1477="New ITDR (7.6.0)"))</f>
        <v>0</v>
      </c>
      <c r="H412" s="5" t="n">
        <f aca="false">SUMPRODUCT(EXACT('Rule-Event map'!$F$2:$F$1477,$A412)*EXACT('Rule-Event map'!$G$2:$G$1477,$B412)*('Rule-Event map'!$C$2:$C$1477="Existing, re-tagged ITDR"))</f>
        <v>0</v>
      </c>
      <c r="I412" s="5" t="n">
        <f aca="false">F412-G412-H412</f>
        <v>1</v>
      </c>
      <c r="J412" s="5" t="n">
        <f aca="false">SUMPRODUCT(EXACT('Rule-Event map'!$F$2:$F$1477,$A412)*EXACT('Rule-Event map'!$G$2:$G$1477,$B412)*('Rule-Event map'!$E$2:$E$1477="Enabled"))</f>
        <v>1</v>
      </c>
      <c r="K412" s="2" t="s">
        <v>5643</v>
      </c>
    </row>
    <row r="413" customFormat="false" ht="15" hidden="false" customHeight="false" outlineLevel="0" collapsed="false">
      <c r="A413" s="5" t="s">
        <v>7670</v>
      </c>
      <c r="B413" s="2" t="s">
        <v>8079</v>
      </c>
      <c r="C413" s="5"/>
      <c r="D413" s="5"/>
      <c r="E413" s="5" t="s">
        <v>8336</v>
      </c>
      <c r="F413" s="5" t="n">
        <f aca="false">SUMPRODUCT(EXACT('Rule-Event map'!$F$2:$F$1477,$A413)*EXACT('Rule-Event map'!$G$2:$G$1477,$B413))</f>
        <v>1</v>
      </c>
      <c r="G413" s="5" t="n">
        <f aca="false">SUMPRODUCT(EXACT('Rule-Event map'!$F$2:$F$1477,$A413)*EXACT('Rule-Event map'!$G$2:$G$1477,$B413)*('Rule-Event map'!$C$2:$C$1477="New ITDR (7.6.0)"))</f>
        <v>0</v>
      </c>
      <c r="H413" s="5" t="n">
        <f aca="false">SUMPRODUCT(EXACT('Rule-Event map'!$F$2:$F$1477,$A413)*EXACT('Rule-Event map'!$G$2:$G$1477,$B413)*('Rule-Event map'!$C$2:$C$1477="Existing, re-tagged ITDR"))</f>
        <v>0</v>
      </c>
      <c r="I413" s="5" t="n">
        <f aca="false">F413-G413-H413</f>
        <v>1</v>
      </c>
      <c r="J413" s="5" t="n">
        <f aca="false">SUMPRODUCT(EXACT('Rule-Event map'!$F$2:$F$1477,$A413)*EXACT('Rule-Event map'!$G$2:$G$1477,$B413)*('Rule-Event map'!$E$2:$E$1477="Enabled"))</f>
        <v>1</v>
      </c>
      <c r="K413" s="2" t="s">
        <v>5643</v>
      </c>
    </row>
    <row r="414" customFormat="false" ht="15" hidden="false" customHeight="false" outlineLevel="0" collapsed="false">
      <c r="A414" s="5" t="s">
        <v>7670</v>
      </c>
      <c r="B414" s="2" t="s">
        <v>8037</v>
      </c>
      <c r="C414" s="5"/>
      <c r="D414" s="5"/>
      <c r="E414" s="5" t="s">
        <v>8336</v>
      </c>
      <c r="F414" s="5" t="n">
        <f aca="false">SUMPRODUCT(EXACT('Rule-Event map'!$F$2:$F$1477,$A414)*EXACT('Rule-Event map'!$G$2:$G$1477,$B414))</f>
        <v>1</v>
      </c>
      <c r="G414" s="5" t="n">
        <f aca="false">SUMPRODUCT(EXACT('Rule-Event map'!$F$2:$F$1477,$A414)*EXACT('Rule-Event map'!$G$2:$G$1477,$B414)*('Rule-Event map'!$C$2:$C$1477="New ITDR (7.6.0)"))</f>
        <v>0</v>
      </c>
      <c r="H414" s="5" t="n">
        <f aca="false">SUMPRODUCT(EXACT('Rule-Event map'!$F$2:$F$1477,$A414)*EXACT('Rule-Event map'!$G$2:$G$1477,$B414)*('Rule-Event map'!$C$2:$C$1477="Existing, re-tagged ITDR"))</f>
        <v>0</v>
      </c>
      <c r="I414" s="5" t="n">
        <f aca="false">F414-G414-H414</f>
        <v>1</v>
      </c>
      <c r="J414" s="5" t="n">
        <f aca="false">SUMPRODUCT(EXACT('Rule-Event map'!$F$2:$F$1477,$A414)*EXACT('Rule-Event map'!$G$2:$G$1477,$B414)*('Rule-Event map'!$E$2:$E$1477="Enabled"))</f>
        <v>1</v>
      </c>
      <c r="K414" s="2" t="s">
        <v>5530</v>
      </c>
    </row>
    <row r="415" customFormat="false" ht="15" hidden="false" customHeight="false" outlineLevel="0" collapsed="false">
      <c r="A415" s="5" t="s">
        <v>7670</v>
      </c>
      <c r="B415" s="2" t="s">
        <v>7972</v>
      </c>
      <c r="C415" s="5"/>
      <c r="D415" s="5"/>
      <c r="E415" s="5" t="s">
        <v>8336</v>
      </c>
      <c r="F415" s="5" t="n">
        <f aca="false">SUMPRODUCT(EXACT('Rule-Event map'!$F$2:$F$1477,$A415)*EXACT('Rule-Event map'!$G$2:$G$1477,$B415))</f>
        <v>1</v>
      </c>
      <c r="G415" s="5" t="n">
        <f aca="false">SUMPRODUCT(EXACT('Rule-Event map'!$F$2:$F$1477,$A415)*EXACT('Rule-Event map'!$G$2:$G$1477,$B415)*('Rule-Event map'!$C$2:$C$1477="New ITDR (7.6.0)"))</f>
        <v>0</v>
      </c>
      <c r="H415" s="5" t="n">
        <f aca="false">SUMPRODUCT(EXACT('Rule-Event map'!$F$2:$F$1477,$A415)*EXACT('Rule-Event map'!$G$2:$G$1477,$B415)*('Rule-Event map'!$C$2:$C$1477="Existing, re-tagged ITDR"))</f>
        <v>0</v>
      </c>
      <c r="I415" s="5" t="n">
        <f aca="false">F415-G415-H415</f>
        <v>1</v>
      </c>
      <c r="J415" s="5" t="n">
        <f aca="false">SUMPRODUCT(EXACT('Rule-Event map'!$F$2:$F$1477,$A415)*EXACT('Rule-Event map'!$G$2:$G$1477,$B415)*('Rule-Event map'!$E$2:$E$1477="Enabled"))</f>
        <v>1</v>
      </c>
      <c r="K415" s="2" t="s">
        <v>5283</v>
      </c>
    </row>
    <row r="416" customFormat="false" ht="15" hidden="false" customHeight="false" outlineLevel="0" collapsed="false">
      <c r="A416" s="5" t="s">
        <v>7670</v>
      </c>
      <c r="B416" s="2" t="s">
        <v>8101</v>
      </c>
      <c r="C416" s="5"/>
      <c r="D416" s="5"/>
      <c r="E416" s="5" t="s">
        <v>8336</v>
      </c>
      <c r="F416" s="5" t="n">
        <f aca="false">SUMPRODUCT(EXACT('Rule-Event map'!$F$2:$F$1477,$A416)*EXACT('Rule-Event map'!$G$2:$G$1477,$B416))</f>
        <v>1</v>
      </c>
      <c r="G416" s="5" t="n">
        <f aca="false">SUMPRODUCT(EXACT('Rule-Event map'!$F$2:$F$1477,$A416)*EXACT('Rule-Event map'!$G$2:$G$1477,$B416)*('Rule-Event map'!$C$2:$C$1477="New ITDR (7.6.0)"))</f>
        <v>0</v>
      </c>
      <c r="H416" s="5" t="n">
        <f aca="false">SUMPRODUCT(EXACT('Rule-Event map'!$F$2:$F$1477,$A416)*EXACT('Rule-Event map'!$G$2:$G$1477,$B416)*('Rule-Event map'!$C$2:$C$1477="Existing, re-tagged ITDR"))</f>
        <v>0</v>
      </c>
      <c r="I416" s="5" t="n">
        <f aca="false">F416-G416-H416</f>
        <v>1</v>
      </c>
      <c r="J416" s="5" t="n">
        <f aca="false">SUMPRODUCT(EXACT('Rule-Event map'!$F$2:$F$1477,$A416)*EXACT('Rule-Event map'!$G$2:$G$1477,$B416)*('Rule-Event map'!$E$2:$E$1477="Enabled"))</f>
        <v>1</v>
      </c>
      <c r="K416" s="2" t="s">
        <v>5722</v>
      </c>
    </row>
    <row r="417" customFormat="false" ht="15" hidden="false" customHeight="false" outlineLevel="0" collapsed="false">
      <c r="A417" s="5" t="s">
        <v>7670</v>
      </c>
      <c r="B417" s="2" t="s">
        <v>8103</v>
      </c>
      <c r="C417" s="5"/>
      <c r="D417" s="5"/>
      <c r="E417" s="5" t="s">
        <v>8336</v>
      </c>
      <c r="F417" s="5" t="n">
        <f aca="false">SUMPRODUCT(EXACT('Rule-Event map'!$F$2:$F$1477,$A417)*EXACT('Rule-Event map'!$G$2:$G$1477,$B417))</f>
        <v>1</v>
      </c>
      <c r="G417" s="5" t="n">
        <f aca="false">SUMPRODUCT(EXACT('Rule-Event map'!$F$2:$F$1477,$A417)*EXACT('Rule-Event map'!$G$2:$G$1477,$B417)*('Rule-Event map'!$C$2:$C$1477="New ITDR (7.6.0)"))</f>
        <v>0</v>
      </c>
      <c r="H417" s="5" t="n">
        <f aca="false">SUMPRODUCT(EXACT('Rule-Event map'!$F$2:$F$1477,$A417)*EXACT('Rule-Event map'!$G$2:$G$1477,$B417)*('Rule-Event map'!$C$2:$C$1477="Existing, re-tagged ITDR"))</f>
        <v>0</v>
      </c>
      <c r="I417" s="5" t="n">
        <f aca="false">F417-G417-H417</f>
        <v>1</v>
      </c>
      <c r="J417" s="5" t="n">
        <f aca="false">SUMPRODUCT(EXACT('Rule-Event map'!$F$2:$F$1477,$A417)*EXACT('Rule-Event map'!$G$2:$G$1477,$B417)*('Rule-Event map'!$E$2:$E$1477="Enabled"))</f>
        <v>1</v>
      </c>
      <c r="K417" s="2" t="s">
        <v>5722</v>
      </c>
    </row>
    <row r="418" customFormat="false" ht="15" hidden="false" customHeight="false" outlineLevel="0" collapsed="false">
      <c r="A418" s="5" t="s">
        <v>7670</v>
      </c>
      <c r="B418" s="2" t="s">
        <v>7978</v>
      </c>
      <c r="C418" s="5"/>
      <c r="D418" s="5"/>
      <c r="E418" s="5" t="s">
        <v>8336</v>
      </c>
      <c r="F418" s="5" t="n">
        <f aca="false">SUMPRODUCT(EXACT('Rule-Event map'!$F$2:$F$1477,$A418)*EXACT('Rule-Event map'!$G$2:$G$1477,$B418))</f>
        <v>1</v>
      </c>
      <c r="G418" s="5" t="n">
        <f aca="false">SUMPRODUCT(EXACT('Rule-Event map'!$F$2:$F$1477,$A418)*EXACT('Rule-Event map'!$G$2:$G$1477,$B418)*('Rule-Event map'!$C$2:$C$1477="New ITDR (7.6.0)"))</f>
        <v>0</v>
      </c>
      <c r="H418" s="5" t="n">
        <f aca="false">SUMPRODUCT(EXACT('Rule-Event map'!$F$2:$F$1477,$A418)*EXACT('Rule-Event map'!$G$2:$G$1477,$B418)*('Rule-Event map'!$C$2:$C$1477="Existing, re-tagged ITDR"))</f>
        <v>0</v>
      </c>
      <c r="I418" s="5" t="n">
        <f aca="false">F418-G418-H418</f>
        <v>1</v>
      </c>
      <c r="J418" s="5" t="n">
        <f aca="false">SUMPRODUCT(EXACT('Rule-Event map'!$F$2:$F$1477,$A418)*EXACT('Rule-Event map'!$G$2:$G$1477,$B418)*('Rule-Event map'!$E$2:$E$1477="Enabled"))</f>
        <v>1</v>
      </c>
      <c r="K418" s="2" t="s">
        <v>5283</v>
      </c>
    </row>
    <row r="419" customFormat="false" ht="15" hidden="false" customHeight="false" outlineLevel="0" collapsed="false">
      <c r="A419" s="5" t="s">
        <v>7670</v>
      </c>
      <c r="B419" s="2" t="s">
        <v>8081</v>
      </c>
      <c r="C419" s="5"/>
      <c r="D419" s="5"/>
      <c r="E419" s="5" t="s">
        <v>8336</v>
      </c>
      <c r="F419" s="5" t="n">
        <f aca="false">SUMPRODUCT(EXACT('Rule-Event map'!$F$2:$F$1477,$A419)*EXACT('Rule-Event map'!$G$2:$G$1477,$B419))</f>
        <v>1</v>
      </c>
      <c r="G419" s="5" t="n">
        <f aca="false">SUMPRODUCT(EXACT('Rule-Event map'!$F$2:$F$1477,$A419)*EXACT('Rule-Event map'!$G$2:$G$1477,$B419)*('Rule-Event map'!$C$2:$C$1477="New ITDR (7.6.0)"))</f>
        <v>0</v>
      </c>
      <c r="H419" s="5" t="n">
        <f aca="false">SUMPRODUCT(EXACT('Rule-Event map'!$F$2:$F$1477,$A419)*EXACT('Rule-Event map'!$G$2:$G$1477,$B419)*('Rule-Event map'!$C$2:$C$1477="Existing, re-tagged ITDR"))</f>
        <v>0</v>
      </c>
      <c r="I419" s="5" t="n">
        <f aca="false">F419-G419-H419</f>
        <v>1</v>
      </c>
      <c r="J419" s="5" t="n">
        <f aca="false">SUMPRODUCT(EXACT('Rule-Event map'!$F$2:$F$1477,$A419)*EXACT('Rule-Event map'!$G$2:$G$1477,$B419)*('Rule-Event map'!$E$2:$E$1477="Enabled"))</f>
        <v>1</v>
      </c>
      <c r="K419" s="2" t="s">
        <v>5649</v>
      </c>
    </row>
    <row r="420" customFormat="false" ht="15" hidden="false" customHeight="false" outlineLevel="0" collapsed="false">
      <c r="A420" s="5" t="s">
        <v>7670</v>
      </c>
      <c r="B420" s="2" t="s">
        <v>8083</v>
      </c>
      <c r="C420" s="5"/>
      <c r="D420" s="5"/>
      <c r="E420" s="5" t="s">
        <v>8336</v>
      </c>
      <c r="F420" s="5" t="n">
        <f aca="false">SUMPRODUCT(EXACT('Rule-Event map'!$F$2:$F$1477,$A420)*EXACT('Rule-Event map'!$G$2:$G$1477,$B420))</f>
        <v>1</v>
      </c>
      <c r="G420" s="5" t="n">
        <f aca="false">SUMPRODUCT(EXACT('Rule-Event map'!$F$2:$F$1477,$A420)*EXACT('Rule-Event map'!$G$2:$G$1477,$B420)*('Rule-Event map'!$C$2:$C$1477="New ITDR (7.6.0)"))</f>
        <v>0</v>
      </c>
      <c r="H420" s="5" t="n">
        <f aca="false">SUMPRODUCT(EXACT('Rule-Event map'!$F$2:$F$1477,$A420)*EXACT('Rule-Event map'!$G$2:$G$1477,$B420)*('Rule-Event map'!$C$2:$C$1477="Existing, re-tagged ITDR"))</f>
        <v>0</v>
      </c>
      <c r="I420" s="5" t="n">
        <f aca="false">F420-G420-H420</f>
        <v>1</v>
      </c>
      <c r="J420" s="5" t="n">
        <f aca="false">SUMPRODUCT(EXACT('Rule-Event map'!$F$2:$F$1477,$A420)*EXACT('Rule-Event map'!$G$2:$G$1477,$B420)*('Rule-Event map'!$E$2:$E$1477="Enabled"))</f>
        <v>1</v>
      </c>
      <c r="K420" s="2" t="s">
        <v>5649</v>
      </c>
    </row>
    <row r="421" customFormat="false" ht="15" hidden="false" customHeight="false" outlineLevel="0" collapsed="false">
      <c r="A421" s="5" t="s">
        <v>7670</v>
      </c>
      <c r="B421" s="2" t="s">
        <v>8059</v>
      </c>
      <c r="C421" s="5"/>
      <c r="D421" s="5"/>
      <c r="E421" s="5" t="s">
        <v>8336</v>
      </c>
      <c r="F421" s="5" t="n">
        <f aca="false">SUMPRODUCT(EXACT('Rule-Event map'!$F$2:$F$1477,$A421)*EXACT('Rule-Event map'!$G$2:$G$1477,$B421))</f>
        <v>1</v>
      </c>
      <c r="G421" s="5" t="n">
        <f aca="false">SUMPRODUCT(EXACT('Rule-Event map'!$F$2:$F$1477,$A421)*EXACT('Rule-Event map'!$G$2:$G$1477,$B421)*('Rule-Event map'!$C$2:$C$1477="New ITDR (7.6.0)"))</f>
        <v>0</v>
      </c>
      <c r="H421" s="5" t="n">
        <f aca="false">SUMPRODUCT(EXACT('Rule-Event map'!$F$2:$F$1477,$A421)*EXACT('Rule-Event map'!$G$2:$G$1477,$B421)*('Rule-Event map'!$C$2:$C$1477="Existing, re-tagged ITDR"))</f>
        <v>0</v>
      </c>
      <c r="I421" s="5" t="n">
        <f aca="false">F421-G421-H421</f>
        <v>1</v>
      </c>
      <c r="J421" s="5" t="n">
        <f aca="false">SUMPRODUCT(EXACT('Rule-Event map'!$F$2:$F$1477,$A421)*EXACT('Rule-Event map'!$G$2:$G$1477,$B421)*('Rule-Event map'!$E$2:$E$1477="Enabled"))</f>
        <v>1</v>
      </c>
      <c r="K421" s="2" t="s">
        <v>5612</v>
      </c>
    </row>
    <row r="422" customFormat="false" ht="15" hidden="false" customHeight="false" outlineLevel="0" collapsed="false">
      <c r="A422" s="5" t="s">
        <v>7670</v>
      </c>
      <c r="B422" s="2" t="s">
        <v>8055</v>
      </c>
      <c r="C422" s="5"/>
      <c r="D422" s="5"/>
      <c r="E422" s="5" t="s">
        <v>8336</v>
      </c>
      <c r="F422" s="5" t="n">
        <f aca="false">SUMPRODUCT(EXACT('Rule-Event map'!$F$2:$F$1477,$A422)*EXACT('Rule-Event map'!$G$2:$G$1477,$B422))</f>
        <v>1</v>
      </c>
      <c r="G422" s="5" t="n">
        <f aca="false">SUMPRODUCT(EXACT('Rule-Event map'!$F$2:$F$1477,$A422)*EXACT('Rule-Event map'!$G$2:$G$1477,$B422)*('Rule-Event map'!$C$2:$C$1477="New ITDR (7.6.0)"))</f>
        <v>0</v>
      </c>
      <c r="H422" s="5" t="n">
        <f aca="false">SUMPRODUCT(EXACT('Rule-Event map'!$F$2:$F$1477,$A422)*EXACT('Rule-Event map'!$G$2:$G$1477,$B422)*('Rule-Event map'!$C$2:$C$1477="Existing, re-tagged ITDR"))</f>
        <v>0</v>
      </c>
      <c r="I422" s="5" t="n">
        <f aca="false">F422-G422-H422</f>
        <v>1</v>
      </c>
      <c r="J422" s="5" t="n">
        <f aca="false">SUMPRODUCT(EXACT('Rule-Event map'!$F$2:$F$1477,$A422)*EXACT('Rule-Event map'!$G$2:$G$1477,$B422)*('Rule-Event map'!$E$2:$E$1477="Enabled"))</f>
        <v>1</v>
      </c>
      <c r="K422" s="2" t="s">
        <v>5612</v>
      </c>
    </row>
    <row r="423" customFormat="false" ht="15" hidden="false" customHeight="false" outlineLevel="0" collapsed="false">
      <c r="A423" s="5" t="s">
        <v>7670</v>
      </c>
      <c r="B423" s="2" t="s">
        <v>8057</v>
      </c>
      <c r="C423" s="5"/>
      <c r="D423" s="5"/>
      <c r="E423" s="5" t="s">
        <v>8336</v>
      </c>
      <c r="F423" s="5" t="n">
        <f aca="false">SUMPRODUCT(EXACT('Rule-Event map'!$F$2:$F$1477,$A423)*EXACT('Rule-Event map'!$G$2:$G$1477,$B423))</f>
        <v>1</v>
      </c>
      <c r="G423" s="5" t="n">
        <f aca="false">SUMPRODUCT(EXACT('Rule-Event map'!$F$2:$F$1477,$A423)*EXACT('Rule-Event map'!$G$2:$G$1477,$B423)*('Rule-Event map'!$C$2:$C$1477="New ITDR (7.6.0)"))</f>
        <v>0</v>
      </c>
      <c r="H423" s="5" t="n">
        <f aca="false">SUMPRODUCT(EXACT('Rule-Event map'!$F$2:$F$1477,$A423)*EXACT('Rule-Event map'!$G$2:$G$1477,$B423)*('Rule-Event map'!$C$2:$C$1477="Existing, re-tagged ITDR"))</f>
        <v>0</v>
      </c>
      <c r="I423" s="5" t="n">
        <f aca="false">F423-G423-H423</f>
        <v>1</v>
      </c>
      <c r="J423" s="5" t="n">
        <f aca="false">SUMPRODUCT(EXACT('Rule-Event map'!$F$2:$F$1477,$A423)*EXACT('Rule-Event map'!$G$2:$G$1477,$B423)*('Rule-Event map'!$E$2:$E$1477="Enabled"))</f>
        <v>1</v>
      </c>
      <c r="K423" s="2" t="s">
        <v>5612</v>
      </c>
    </row>
    <row r="424" customFormat="false" ht="15" hidden="false" customHeight="false" outlineLevel="0" collapsed="false">
      <c r="A424" s="5" t="s">
        <v>7670</v>
      </c>
      <c r="B424" s="2" t="s">
        <v>7982</v>
      </c>
      <c r="C424" s="5"/>
      <c r="D424" s="5"/>
      <c r="E424" s="5" t="s">
        <v>8336</v>
      </c>
      <c r="F424" s="5" t="n">
        <f aca="false">SUMPRODUCT(EXACT('Rule-Event map'!$F$2:$F$1477,$A424)*EXACT('Rule-Event map'!$G$2:$G$1477,$B424))</f>
        <v>1</v>
      </c>
      <c r="G424" s="5" t="n">
        <f aca="false">SUMPRODUCT(EXACT('Rule-Event map'!$F$2:$F$1477,$A424)*EXACT('Rule-Event map'!$G$2:$G$1477,$B424)*('Rule-Event map'!$C$2:$C$1477="New ITDR (7.6.0)"))</f>
        <v>0</v>
      </c>
      <c r="H424" s="5" t="n">
        <f aca="false">SUMPRODUCT(EXACT('Rule-Event map'!$F$2:$F$1477,$A424)*EXACT('Rule-Event map'!$G$2:$G$1477,$B424)*('Rule-Event map'!$C$2:$C$1477="Existing, re-tagged ITDR"))</f>
        <v>0</v>
      </c>
      <c r="I424" s="5" t="n">
        <f aca="false">F424-G424-H424</f>
        <v>1</v>
      </c>
      <c r="J424" s="5" t="n">
        <f aca="false">SUMPRODUCT(EXACT('Rule-Event map'!$F$2:$F$1477,$A424)*EXACT('Rule-Event map'!$G$2:$G$1477,$B424)*('Rule-Event map'!$E$2:$E$1477="Enabled"))</f>
        <v>1</v>
      </c>
      <c r="K424" s="2" t="s">
        <v>5283</v>
      </c>
    </row>
    <row r="425" customFormat="false" ht="15" hidden="false" customHeight="false" outlineLevel="0" collapsed="false">
      <c r="A425" s="5" t="s">
        <v>7670</v>
      </c>
      <c r="B425" s="2" t="s">
        <v>7976</v>
      </c>
      <c r="C425" s="5"/>
      <c r="D425" s="5"/>
      <c r="E425" s="5" t="s">
        <v>8336</v>
      </c>
      <c r="F425" s="5" t="n">
        <f aca="false">SUMPRODUCT(EXACT('Rule-Event map'!$F$2:$F$1477,$A425)*EXACT('Rule-Event map'!$G$2:$G$1477,$B425))</f>
        <v>1</v>
      </c>
      <c r="G425" s="5" t="n">
        <f aca="false">SUMPRODUCT(EXACT('Rule-Event map'!$F$2:$F$1477,$A425)*EXACT('Rule-Event map'!$G$2:$G$1477,$B425)*('Rule-Event map'!$C$2:$C$1477="New ITDR (7.6.0)"))</f>
        <v>0</v>
      </c>
      <c r="H425" s="5" t="n">
        <f aca="false">SUMPRODUCT(EXACT('Rule-Event map'!$F$2:$F$1477,$A425)*EXACT('Rule-Event map'!$G$2:$G$1477,$B425)*('Rule-Event map'!$C$2:$C$1477="Existing, re-tagged ITDR"))</f>
        <v>0</v>
      </c>
      <c r="I425" s="5" t="n">
        <f aca="false">F425-G425-H425</f>
        <v>1</v>
      </c>
      <c r="J425" s="5" t="n">
        <f aca="false">SUMPRODUCT(EXACT('Rule-Event map'!$F$2:$F$1477,$A425)*EXACT('Rule-Event map'!$G$2:$G$1477,$B425)*('Rule-Event map'!$E$2:$E$1477="Enabled"))</f>
        <v>1</v>
      </c>
      <c r="K425" s="2" t="s">
        <v>5283</v>
      </c>
    </row>
    <row r="426" customFormat="false" ht="15" hidden="false" customHeight="false" outlineLevel="0" collapsed="false">
      <c r="A426" s="5" t="s">
        <v>7670</v>
      </c>
      <c r="B426" s="2" t="s">
        <v>8133</v>
      </c>
      <c r="C426" s="5"/>
      <c r="D426" s="5"/>
      <c r="E426" s="5" t="s">
        <v>8336</v>
      </c>
      <c r="F426" s="5" t="n">
        <f aca="false">SUMPRODUCT(EXACT('Rule-Event map'!$F$2:$F$1477,$A426)*EXACT('Rule-Event map'!$G$2:$G$1477,$B426))</f>
        <v>1</v>
      </c>
      <c r="G426" s="5" t="n">
        <f aca="false">SUMPRODUCT(EXACT('Rule-Event map'!$F$2:$F$1477,$A426)*EXACT('Rule-Event map'!$G$2:$G$1477,$B426)*('Rule-Event map'!$C$2:$C$1477="New ITDR (7.6.0)"))</f>
        <v>0</v>
      </c>
      <c r="H426" s="5" t="n">
        <f aca="false">SUMPRODUCT(EXACT('Rule-Event map'!$F$2:$F$1477,$A426)*EXACT('Rule-Event map'!$G$2:$G$1477,$B426)*('Rule-Event map'!$C$2:$C$1477="Existing, re-tagged ITDR"))</f>
        <v>0</v>
      </c>
      <c r="I426" s="5" t="n">
        <f aca="false">F426-G426-H426</f>
        <v>1</v>
      </c>
      <c r="J426" s="5" t="n">
        <f aca="false">SUMPRODUCT(EXACT('Rule-Event map'!$F$2:$F$1477,$A426)*EXACT('Rule-Event map'!$G$2:$G$1477,$B426)*('Rule-Event map'!$E$2:$E$1477="Enabled"))</f>
        <v>1</v>
      </c>
      <c r="K426" s="2" t="s">
        <v>5801</v>
      </c>
    </row>
    <row r="427" customFormat="false" ht="15" hidden="false" customHeight="false" outlineLevel="0" collapsed="false">
      <c r="A427" s="5" t="s">
        <v>7670</v>
      </c>
      <c r="B427" s="2" t="s">
        <v>8043</v>
      </c>
      <c r="C427" s="5"/>
      <c r="D427" s="5"/>
      <c r="E427" s="5" t="s">
        <v>8336</v>
      </c>
      <c r="F427" s="5" t="n">
        <f aca="false">SUMPRODUCT(EXACT('Rule-Event map'!$F$2:$F$1477,$A427)*EXACT('Rule-Event map'!$G$2:$G$1477,$B427))</f>
        <v>1</v>
      </c>
      <c r="G427" s="5" t="n">
        <f aca="false">SUMPRODUCT(EXACT('Rule-Event map'!$F$2:$F$1477,$A427)*EXACT('Rule-Event map'!$G$2:$G$1477,$B427)*('Rule-Event map'!$C$2:$C$1477="New ITDR (7.6.0)"))</f>
        <v>0</v>
      </c>
      <c r="H427" s="5" t="n">
        <f aca="false">SUMPRODUCT(EXACT('Rule-Event map'!$F$2:$F$1477,$A427)*EXACT('Rule-Event map'!$G$2:$G$1477,$B427)*('Rule-Event map'!$C$2:$C$1477="Existing, re-tagged ITDR"))</f>
        <v>0</v>
      </c>
      <c r="I427" s="5" t="n">
        <f aca="false">F427-G427-H427</f>
        <v>1</v>
      </c>
      <c r="J427" s="5" t="n">
        <f aca="false">SUMPRODUCT(EXACT('Rule-Event map'!$F$2:$F$1477,$A427)*EXACT('Rule-Event map'!$G$2:$G$1477,$B427)*('Rule-Event map'!$E$2:$E$1477="Enabled"))</f>
        <v>1</v>
      </c>
      <c r="K427" s="2" t="s">
        <v>5542</v>
      </c>
    </row>
    <row r="428" customFormat="false" ht="15" hidden="false" customHeight="false" outlineLevel="0" collapsed="false">
      <c r="A428" s="5" t="s">
        <v>7670</v>
      </c>
      <c r="B428" s="2" t="s">
        <v>7926</v>
      </c>
      <c r="C428" s="5"/>
      <c r="D428" s="5"/>
      <c r="E428" s="5" t="s">
        <v>8336</v>
      </c>
      <c r="F428" s="5" t="n">
        <f aca="false">SUMPRODUCT(EXACT('Rule-Event map'!$F$2:$F$1477,$A428)*EXACT('Rule-Event map'!$G$2:$G$1477,$B428))</f>
        <v>1</v>
      </c>
      <c r="G428" s="5" t="n">
        <f aca="false">SUMPRODUCT(EXACT('Rule-Event map'!$F$2:$F$1477,$A428)*EXACT('Rule-Event map'!$G$2:$G$1477,$B428)*('Rule-Event map'!$C$2:$C$1477="New ITDR (7.6.0)"))</f>
        <v>0</v>
      </c>
      <c r="H428" s="5" t="n">
        <f aca="false">SUMPRODUCT(EXACT('Rule-Event map'!$F$2:$F$1477,$A428)*EXACT('Rule-Event map'!$G$2:$G$1477,$B428)*('Rule-Event map'!$C$2:$C$1477="Existing, re-tagged ITDR"))</f>
        <v>0</v>
      </c>
      <c r="I428" s="5" t="n">
        <f aca="false">F428-G428-H428</f>
        <v>1</v>
      </c>
      <c r="J428" s="5" t="n">
        <f aca="false">SUMPRODUCT(EXACT('Rule-Event map'!$F$2:$F$1477,$A428)*EXACT('Rule-Event map'!$G$2:$G$1477,$B428)*('Rule-Event map'!$E$2:$E$1477="Enabled"))</f>
        <v>1</v>
      </c>
      <c r="K428" s="2" t="s">
        <v>5130</v>
      </c>
    </row>
    <row r="429" customFormat="false" ht="15" hidden="false" customHeight="false" outlineLevel="0" collapsed="false">
      <c r="A429" s="5" t="s">
        <v>7670</v>
      </c>
      <c r="B429" s="2" t="s">
        <v>7958</v>
      </c>
      <c r="C429" s="5"/>
      <c r="D429" s="5"/>
      <c r="E429" s="5" t="s">
        <v>8336</v>
      </c>
      <c r="F429" s="5" t="n">
        <f aca="false">SUMPRODUCT(EXACT('Rule-Event map'!$F$2:$F$1477,$A429)*EXACT('Rule-Event map'!$G$2:$G$1477,$B429))</f>
        <v>1</v>
      </c>
      <c r="G429" s="5" t="n">
        <f aca="false">SUMPRODUCT(EXACT('Rule-Event map'!$F$2:$F$1477,$A429)*EXACT('Rule-Event map'!$G$2:$G$1477,$B429)*('Rule-Event map'!$C$2:$C$1477="New ITDR (7.6.0)"))</f>
        <v>0</v>
      </c>
      <c r="H429" s="5" t="n">
        <f aca="false">SUMPRODUCT(EXACT('Rule-Event map'!$F$2:$F$1477,$A429)*EXACT('Rule-Event map'!$G$2:$G$1477,$B429)*('Rule-Event map'!$C$2:$C$1477="Existing, re-tagged ITDR"))</f>
        <v>0</v>
      </c>
      <c r="I429" s="5" t="n">
        <f aca="false">F429-G429-H429</f>
        <v>1</v>
      </c>
      <c r="J429" s="5" t="n">
        <f aca="false">SUMPRODUCT(EXACT('Rule-Event map'!$F$2:$F$1477,$A429)*EXACT('Rule-Event map'!$G$2:$G$1477,$B429)*('Rule-Event map'!$E$2:$E$1477="Enabled"))</f>
        <v>1</v>
      </c>
      <c r="K429" s="2" t="s">
        <v>5270</v>
      </c>
    </row>
    <row r="430" customFormat="false" ht="15" hidden="false" customHeight="false" outlineLevel="0" collapsed="false">
      <c r="A430" s="5" t="s">
        <v>7670</v>
      </c>
      <c r="B430" s="2" t="s">
        <v>8035</v>
      </c>
      <c r="C430" s="5"/>
      <c r="D430" s="5"/>
      <c r="E430" s="5" t="s">
        <v>8336</v>
      </c>
      <c r="F430" s="5" t="n">
        <f aca="false">SUMPRODUCT(EXACT('Rule-Event map'!$F$2:$F$1477,$A430)*EXACT('Rule-Event map'!$G$2:$G$1477,$B430))</f>
        <v>1</v>
      </c>
      <c r="G430" s="5" t="n">
        <f aca="false">SUMPRODUCT(EXACT('Rule-Event map'!$F$2:$F$1477,$A430)*EXACT('Rule-Event map'!$G$2:$G$1477,$B430)*('Rule-Event map'!$C$2:$C$1477="New ITDR (7.6.0)"))</f>
        <v>0</v>
      </c>
      <c r="H430" s="5" t="n">
        <f aca="false">SUMPRODUCT(EXACT('Rule-Event map'!$F$2:$F$1477,$A430)*EXACT('Rule-Event map'!$G$2:$G$1477,$B430)*('Rule-Event map'!$C$2:$C$1477="Existing, re-tagged ITDR"))</f>
        <v>0</v>
      </c>
      <c r="I430" s="5" t="n">
        <f aca="false">F430-G430-H430</f>
        <v>1</v>
      </c>
      <c r="J430" s="5" t="n">
        <f aca="false">SUMPRODUCT(EXACT('Rule-Event map'!$F$2:$F$1477,$A430)*EXACT('Rule-Event map'!$G$2:$G$1477,$B430)*('Rule-Event map'!$E$2:$E$1477="Enabled"))</f>
        <v>1</v>
      </c>
      <c r="K430" s="2" t="s">
        <v>5507</v>
      </c>
    </row>
    <row r="431" customFormat="false" ht="15" hidden="false" customHeight="false" outlineLevel="0" collapsed="false">
      <c r="A431" s="5" t="s">
        <v>7670</v>
      </c>
      <c r="B431" s="2" t="s">
        <v>7956</v>
      </c>
      <c r="C431" s="5"/>
      <c r="D431" s="5"/>
      <c r="E431" s="5" t="s">
        <v>8336</v>
      </c>
      <c r="F431" s="5" t="n">
        <f aca="false">SUMPRODUCT(EXACT('Rule-Event map'!$F$2:$F$1477,$A431)*EXACT('Rule-Event map'!$G$2:$G$1477,$B431))</f>
        <v>1</v>
      </c>
      <c r="G431" s="5" t="n">
        <f aca="false">SUMPRODUCT(EXACT('Rule-Event map'!$F$2:$F$1477,$A431)*EXACT('Rule-Event map'!$G$2:$G$1477,$B431)*('Rule-Event map'!$C$2:$C$1477="New ITDR (7.6.0)"))</f>
        <v>0</v>
      </c>
      <c r="H431" s="5" t="n">
        <f aca="false">SUMPRODUCT(EXACT('Rule-Event map'!$F$2:$F$1477,$A431)*EXACT('Rule-Event map'!$G$2:$G$1477,$B431)*('Rule-Event map'!$C$2:$C$1477="Existing, re-tagged ITDR"))</f>
        <v>0</v>
      </c>
      <c r="I431" s="5" t="n">
        <f aca="false">F431-G431-H431</f>
        <v>1</v>
      </c>
      <c r="J431" s="5" t="n">
        <f aca="false">SUMPRODUCT(EXACT('Rule-Event map'!$F$2:$F$1477,$A431)*EXACT('Rule-Event map'!$G$2:$G$1477,$B431)*('Rule-Event map'!$E$2:$E$1477="Enabled"))</f>
        <v>1</v>
      </c>
      <c r="K431" s="2" t="s">
        <v>5237</v>
      </c>
    </row>
    <row r="432" customFormat="false" ht="15" hidden="false" customHeight="false" outlineLevel="0" collapsed="false">
      <c r="A432" s="5" t="s">
        <v>7670</v>
      </c>
      <c r="B432" s="2" t="s">
        <v>8145</v>
      </c>
      <c r="C432" s="5"/>
      <c r="D432" s="5"/>
      <c r="E432" s="5" t="s">
        <v>8336</v>
      </c>
      <c r="F432" s="5" t="n">
        <f aca="false">SUMPRODUCT(EXACT('Rule-Event map'!$F$2:$F$1477,$A432)*EXACT('Rule-Event map'!$G$2:$G$1477,$B432))</f>
        <v>1</v>
      </c>
      <c r="G432" s="5" t="n">
        <f aca="false">SUMPRODUCT(EXACT('Rule-Event map'!$F$2:$F$1477,$A432)*EXACT('Rule-Event map'!$G$2:$G$1477,$B432)*('Rule-Event map'!$C$2:$C$1477="New ITDR (7.6.0)"))</f>
        <v>0</v>
      </c>
      <c r="H432" s="5" t="n">
        <f aca="false">SUMPRODUCT(EXACT('Rule-Event map'!$F$2:$F$1477,$A432)*EXACT('Rule-Event map'!$G$2:$G$1477,$B432)*('Rule-Event map'!$C$2:$C$1477="Existing, re-tagged ITDR"))</f>
        <v>0</v>
      </c>
      <c r="I432" s="5" t="n">
        <f aca="false">F432-G432-H432</f>
        <v>1</v>
      </c>
      <c r="J432" s="5" t="n">
        <f aca="false">SUMPRODUCT(EXACT('Rule-Event map'!$F$2:$F$1477,$A432)*EXACT('Rule-Event map'!$G$2:$G$1477,$B432)*('Rule-Event map'!$E$2:$E$1477="Enabled"))</f>
        <v>1</v>
      </c>
      <c r="K432" s="2" t="s">
        <v>5820</v>
      </c>
    </row>
    <row r="433" customFormat="false" ht="15" hidden="false" customHeight="false" outlineLevel="0" collapsed="false">
      <c r="A433" s="5" t="s">
        <v>7670</v>
      </c>
      <c r="B433" s="2" t="s">
        <v>8053</v>
      </c>
      <c r="C433" s="5"/>
      <c r="D433" s="5"/>
      <c r="E433" s="5" t="s">
        <v>8336</v>
      </c>
      <c r="F433" s="5" t="n">
        <f aca="false">SUMPRODUCT(EXACT('Rule-Event map'!$F$2:$F$1477,$A433)*EXACT('Rule-Event map'!$G$2:$G$1477,$B433))</f>
        <v>1</v>
      </c>
      <c r="G433" s="5" t="n">
        <f aca="false">SUMPRODUCT(EXACT('Rule-Event map'!$F$2:$F$1477,$A433)*EXACT('Rule-Event map'!$G$2:$G$1477,$B433)*('Rule-Event map'!$C$2:$C$1477="New ITDR (7.6.0)"))</f>
        <v>0</v>
      </c>
      <c r="H433" s="5" t="n">
        <f aca="false">SUMPRODUCT(EXACT('Rule-Event map'!$F$2:$F$1477,$A433)*EXACT('Rule-Event map'!$G$2:$G$1477,$B433)*('Rule-Event map'!$C$2:$C$1477="Existing, re-tagged ITDR"))</f>
        <v>0</v>
      </c>
      <c r="I433" s="5" t="n">
        <f aca="false">F433-G433-H433</f>
        <v>1</v>
      </c>
      <c r="J433" s="5" t="n">
        <f aca="false">SUMPRODUCT(EXACT('Rule-Event map'!$F$2:$F$1477,$A433)*EXACT('Rule-Event map'!$G$2:$G$1477,$B433)*('Rule-Event map'!$E$2:$E$1477="Enabled"))</f>
        <v>1</v>
      </c>
      <c r="K433" s="2" t="s">
        <v>5600</v>
      </c>
    </row>
    <row r="434" customFormat="false" ht="15" hidden="false" customHeight="false" outlineLevel="0" collapsed="false">
      <c r="A434" s="5" t="s">
        <v>7670</v>
      </c>
      <c r="B434" s="2" t="s">
        <v>7950</v>
      </c>
      <c r="C434" s="5"/>
      <c r="D434" s="5"/>
      <c r="E434" s="5" t="s">
        <v>8336</v>
      </c>
      <c r="F434" s="5" t="n">
        <f aca="false">SUMPRODUCT(EXACT('Rule-Event map'!$F$2:$F$1477,$A434)*EXACT('Rule-Event map'!$G$2:$G$1477,$B434))</f>
        <v>1</v>
      </c>
      <c r="G434" s="5" t="n">
        <f aca="false">SUMPRODUCT(EXACT('Rule-Event map'!$F$2:$F$1477,$A434)*EXACT('Rule-Event map'!$G$2:$G$1477,$B434)*('Rule-Event map'!$C$2:$C$1477="New ITDR (7.6.0)"))</f>
        <v>0</v>
      </c>
      <c r="H434" s="5" t="n">
        <f aca="false">SUMPRODUCT(EXACT('Rule-Event map'!$F$2:$F$1477,$A434)*EXACT('Rule-Event map'!$G$2:$G$1477,$B434)*('Rule-Event map'!$C$2:$C$1477="Existing, re-tagged ITDR"))</f>
        <v>0</v>
      </c>
      <c r="I434" s="5" t="n">
        <f aca="false">F434-G434-H434</f>
        <v>1</v>
      </c>
      <c r="J434" s="5" t="n">
        <f aca="false">SUMPRODUCT(EXACT('Rule-Event map'!$F$2:$F$1477,$A434)*EXACT('Rule-Event map'!$G$2:$G$1477,$B434)*('Rule-Event map'!$E$2:$E$1477="Enabled"))</f>
        <v>1</v>
      </c>
      <c r="K434" s="2" t="s">
        <v>5219</v>
      </c>
    </row>
    <row r="435" customFormat="false" ht="15" hidden="false" customHeight="false" outlineLevel="0" collapsed="false">
      <c r="A435" s="5" t="s">
        <v>7670</v>
      </c>
      <c r="B435" s="2" t="s">
        <v>7991</v>
      </c>
      <c r="C435" s="5"/>
      <c r="D435" s="5"/>
      <c r="E435" s="5" t="s">
        <v>8336</v>
      </c>
      <c r="F435" s="5" t="n">
        <f aca="false">SUMPRODUCT(EXACT('Rule-Event map'!$F$2:$F$1477,$A435)*EXACT('Rule-Event map'!$G$2:$G$1477,$B435))</f>
        <v>1</v>
      </c>
      <c r="G435" s="5" t="n">
        <f aca="false">SUMPRODUCT(EXACT('Rule-Event map'!$F$2:$F$1477,$A435)*EXACT('Rule-Event map'!$G$2:$G$1477,$B435)*('Rule-Event map'!$C$2:$C$1477="New ITDR (7.6.0)"))</f>
        <v>0</v>
      </c>
      <c r="H435" s="5" t="n">
        <f aca="false">SUMPRODUCT(EXACT('Rule-Event map'!$F$2:$F$1477,$A435)*EXACT('Rule-Event map'!$G$2:$G$1477,$B435)*('Rule-Event map'!$C$2:$C$1477="Existing, re-tagged ITDR"))</f>
        <v>0</v>
      </c>
      <c r="I435" s="5" t="n">
        <f aca="false">F435-G435-H435</f>
        <v>1</v>
      </c>
      <c r="J435" s="5" t="n">
        <f aca="false">SUMPRODUCT(EXACT('Rule-Event map'!$F$2:$F$1477,$A435)*EXACT('Rule-Event map'!$G$2:$G$1477,$B435)*('Rule-Event map'!$E$2:$E$1477="Enabled"))</f>
        <v>1</v>
      </c>
      <c r="K435" s="2" t="s">
        <v>5349</v>
      </c>
    </row>
    <row r="436" customFormat="false" ht="15" hidden="false" customHeight="false" outlineLevel="0" collapsed="false">
      <c r="A436" s="5" t="s">
        <v>7670</v>
      </c>
      <c r="B436" s="2" t="s">
        <v>8071</v>
      </c>
      <c r="C436" s="5"/>
      <c r="D436" s="5"/>
      <c r="E436" s="5" t="s">
        <v>8336</v>
      </c>
      <c r="F436" s="5" t="n">
        <f aca="false">SUMPRODUCT(EXACT('Rule-Event map'!$F$2:$F$1477,$A436)*EXACT('Rule-Event map'!$G$2:$G$1477,$B436))</f>
        <v>1</v>
      </c>
      <c r="G436" s="5" t="n">
        <f aca="false">SUMPRODUCT(EXACT('Rule-Event map'!$F$2:$F$1477,$A436)*EXACT('Rule-Event map'!$G$2:$G$1477,$B436)*('Rule-Event map'!$C$2:$C$1477="New ITDR (7.6.0)"))</f>
        <v>0</v>
      </c>
      <c r="H436" s="5" t="n">
        <f aca="false">SUMPRODUCT(EXACT('Rule-Event map'!$F$2:$F$1477,$A436)*EXACT('Rule-Event map'!$G$2:$G$1477,$B436)*('Rule-Event map'!$C$2:$C$1477="Existing, re-tagged ITDR"))</f>
        <v>0</v>
      </c>
      <c r="I436" s="5" t="n">
        <f aca="false">F436-G436-H436</f>
        <v>1</v>
      </c>
      <c r="J436" s="5" t="n">
        <f aca="false">SUMPRODUCT(EXACT('Rule-Event map'!$F$2:$F$1477,$A436)*EXACT('Rule-Event map'!$G$2:$G$1477,$B436)*('Rule-Event map'!$E$2:$E$1477="Enabled"))</f>
        <v>1</v>
      </c>
      <c r="K436" s="2" t="s">
        <v>5630</v>
      </c>
    </row>
    <row r="437" customFormat="false" ht="15" hidden="false" customHeight="false" outlineLevel="0" collapsed="false">
      <c r="A437" s="5" t="s">
        <v>7670</v>
      </c>
      <c r="B437" s="2" t="s">
        <v>7944</v>
      </c>
      <c r="C437" s="5"/>
      <c r="D437" s="5"/>
      <c r="E437" s="5" t="s">
        <v>8336</v>
      </c>
      <c r="F437" s="5" t="n">
        <f aca="false">SUMPRODUCT(EXACT('Rule-Event map'!$F$2:$F$1477,$A437)*EXACT('Rule-Event map'!$G$2:$G$1477,$B437))</f>
        <v>1</v>
      </c>
      <c r="G437" s="5" t="n">
        <f aca="false">SUMPRODUCT(EXACT('Rule-Event map'!$F$2:$F$1477,$A437)*EXACT('Rule-Event map'!$G$2:$G$1477,$B437)*('Rule-Event map'!$C$2:$C$1477="New ITDR (7.6.0)"))</f>
        <v>0</v>
      </c>
      <c r="H437" s="5" t="n">
        <f aca="false">SUMPRODUCT(EXACT('Rule-Event map'!$F$2:$F$1477,$A437)*EXACT('Rule-Event map'!$G$2:$G$1477,$B437)*('Rule-Event map'!$C$2:$C$1477="Existing, re-tagged ITDR"))</f>
        <v>0</v>
      </c>
      <c r="I437" s="5" t="n">
        <f aca="false">F437-G437-H437</f>
        <v>1</v>
      </c>
      <c r="J437" s="5" t="n">
        <f aca="false">SUMPRODUCT(EXACT('Rule-Event map'!$F$2:$F$1477,$A437)*EXACT('Rule-Event map'!$G$2:$G$1477,$B437)*('Rule-Event map'!$E$2:$E$1477="Enabled"))</f>
        <v>1</v>
      </c>
      <c r="K437" s="2" t="s">
        <v>5205</v>
      </c>
    </row>
    <row r="438" customFormat="false" ht="15" hidden="false" customHeight="false" outlineLevel="0" collapsed="false">
      <c r="A438" s="5" t="s">
        <v>7670</v>
      </c>
      <c r="B438" s="2" t="s">
        <v>7946</v>
      </c>
      <c r="C438" s="5"/>
      <c r="D438" s="5"/>
      <c r="E438" s="5" t="s">
        <v>8336</v>
      </c>
      <c r="F438" s="5" t="n">
        <f aca="false">SUMPRODUCT(EXACT('Rule-Event map'!$F$2:$F$1477,$A438)*EXACT('Rule-Event map'!$G$2:$G$1477,$B438))</f>
        <v>1</v>
      </c>
      <c r="G438" s="5" t="n">
        <f aca="false">SUMPRODUCT(EXACT('Rule-Event map'!$F$2:$F$1477,$A438)*EXACT('Rule-Event map'!$G$2:$G$1477,$B438)*('Rule-Event map'!$C$2:$C$1477="New ITDR (7.6.0)"))</f>
        <v>0</v>
      </c>
      <c r="H438" s="5" t="n">
        <f aca="false">SUMPRODUCT(EXACT('Rule-Event map'!$F$2:$F$1477,$A438)*EXACT('Rule-Event map'!$G$2:$G$1477,$B438)*('Rule-Event map'!$C$2:$C$1477="Existing, re-tagged ITDR"))</f>
        <v>0</v>
      </c>
      <c r="I438" s="5" t="n">
        <f aca="false">F438-G438-H438</f>
        <v>1</v>
      </c>
      <c r="J438" s="5" t="n">
        <f aca="false">SUMPRODUCT(EXACT('Rule-Event map'!$F$2:$F$1477,$A438)*EXACT('Rule-Event map'!$G$2:$G$1477,$B438)*('Rule-Event map'!$E$2:$E$1477="Enabled"))</f>
        <v>1</v>
      </c>
      <c r="K438" s="2" t="s">
        <v>5205</v>
      </c>
    </row>
    <row r="439" customFormat="false" ht="15" hidden="false" customHeight="false" outlineLevel="0" collapsed="false">
      <c r="A439" s="5" t="s">
        <v>7670</v>
      </c>
      <c r="B439" s="2" t="s">
        <v>8105</v>
      </c>
      <c r="C439" s="5"/>
      <c r="D439" s="5"/>
      <c r="E439" s="5" t="s">
        <v>8336</v>
      </c>
      <c r="F439" s="5" t="n">
        <f aca="false">SUMPRODUCT(EXACT('Rule-Event map'!$F$2:$F$1477,$A439)*EXACT('Rule-Event map'!$G$2:$G$1477,$B439))</f>
        <v>1</v>
      </c>
      <c r="G439" s="5" t="n">
        <f aca="false">SUMPRODUCT(EXACT('Rule-Event map'!$F$2:$F$1477,$A439)*EXACT('Rule-Event map'!$G$2:$G$1477,$B439)*('Rule-Event map'!$C$2:$C$1477="New ITDR (7.6.0)"))</f>
        <v>0</v>
      </c>
      <c r="H439" s="5" t="n">
        <f aca="false">SUMPRODUCT(EXACT('Rule-Event map'!$F$2:$F$1477,$A439)*EXACT('Rule-Event map'!$G$2:$G$1477,$B439)*('Rule-Event map'!$C$2:$C$1477="Existing, re-tagged ITDR"))</f>
        <v>0</v>
      </c>
      <c r="I439" s="5" t="n">
        <f aca="false">F439-G439-H439</f>
        <v>1</v>
      </c>
      <c r="J439" s="5" t="n">
        <f aca="false">SUMPRODUCT(EXACT('Rule-Event map'!$F$2:$F$1477,$A439)*EXACT('Rule-Event map'!$G$2:$G$1477,$B439)*('Rule-Event map'!$E$2:$E$1477="Enabled"))</f>
        <v>1</v>
      </c>
      <c r="K439" s="2" t="s">
        <v>5734</v>
      </c>
    </row>
    <row r="440" customFormat="false" ht="15" hidden="false" customHeight="false" outlineLevel="0" collapsed="false">
      <c r="A440" s="5" t="s">
        <v>7670</v>
      </c>
      <c r="B440" s="2" t="s">
        <v>8135</v>
      </c>
      <c r="C440" s="5"/>
      <c r="D440" s="5"/>
      <c r="E440" s="5" t="s">
        <v>8336</v>
      </c>
      <c r="F440" s="5" t="n">
        <f aca="false">SUMPRODUCT(EXACT('Rule-Event map'!$F$2:$F$1477,$A440)*EXACT('Rule-Event map'!$G$2:$G$1477,$B440))</f>
        <v>1</v>
      </c>
      <c r="G440" s="5" t="n">
        <f aca="false">SUMPRODUCT(EXACT('Rule-Event map'!$F$2:$F$1477,$A440)*EXACT('Rule-Event map'!$G$2:$G$1477,$B440)*('Rule-Event map'!$C$2:$C$1477="New ITDR (7.6.0)"))</f>
        <v>0</v>
      </c>
      <c r="H440" s="5" t="n">
        <f aca="false">SUMPRODUCT(EXACT('Rule-Event map'!$F$2:$F$1477,$A440)*EXACT('Rule-Event map'!$G$2:$G$1477,$B440)*('Rule-Event map'!$C$2:$C$1477="Existing, re-tagged ITDR"))</f>
        <v>0</v>
      </c>
      <c r="I440" s="5" t="n">
        <f aca="false">F440-G440-H440</f>
        <v>1</v>
      </c>
      <c r="J440" s="5" t="n">
        <f aca="false">SUMPRODUCT(EXACT('Rule-Event map'!$F$2:$F$1477,$A440)*EXACT('Rule-Event map'!$G$2:$G$1477,$B440)*('Rule-Event map'!$E$2:$E$1477="Enabled"))</f>
        <v>1</v>
      </c>
      <c r="K440" s="2" t="s">
        <v>5808</v>
      </c>
    </row>
    <row r="441" customFormat="false" ht="15" hidden="false" customHeight="false" outlineLevel="0" collapsed="false">
      <c r="A441" s="5" t="s">
        <v>7670</v>
      </c>
      <c r="B441" s="2" t="s">
        <v>8165</v>
      </c>
      <c r="C441" s="5"/>
      <c r="D441" s="5"/>
      <c r="E441" s="5" t="s">
        <v>8336</v>
      </c>
      <c r="F441" s="5" t="n">
        <f aca="false">SUMPRODUCT(EXACT('Rule-Event map'!$F$2:$F$1477,$A441)*EXACT('Rule-Event map'!$G$2:$G$1477,$B441))</f>
        <v>1</v>
      </c>
      <c r="G441" s="5" t="n">
        <f aca="false">SUMPRODUCT(EXACT('Rule-Event map'!$F$2:$F$1477,$A441)*EXACT('Rule-Event map'!$G$2:$G$1477,$B441)*('Rule-Event map'!$C$2:$C$1477="New ITDR (7.6.0)"))</f>
        <v>0</v>
      </c>
      <c r="H441" s="5" t="n">
        <f aca="false">SUMPRODUCT(EXACT('Rule-Event map'!$F$2:$F$1477,$A441)*EXACT('Rule-Event map'!$G$2:$G$1477,$B441)*('Rule-Event map'!$C$2:$C$1477="Existing, re-tagged ITDR"))</f>
        <v>0</v>
      </c>
      <c r="I441" s="5" t="n">
        <f aca="false">F441-G441-H441</f>
        <v>1</v>
      </c>
      <c r="J441" s="5" t="n">
        <f aca="false">SUMPRODUCT(EXACT('Rule-Event map'!$F$2:$F$1477,$A441)*EXACT('Rule-Event map'!$G$2:$G$1477,$B441)*('Rule-Event map'!$E$2:$E$1477="Enabled"))</f>
        <v>1</v>
      </c>
      <c r="K441" s="2" t="s">
        <v>5899</v>
      </c>
    </row>
    <row r="442" customFormat="false" ht="15" hidden="false" customHeight="false" outlineLevel="0" collapsed="false">
      <c r="A442" s="5" t="s">
        <v>7670</v>
      </c>
      <c r="B442" s="2" t="s">
        <v>8195</v>
      </c>
      <c r="C442" s="5"/>
      <c r="D442" s="5"/>
      <c r="E442" s="5" t="s">
        <v>8336</v>
      </c>
      <c r="F442" s="5" t="n">
        <f aca="false">SUMPRODUCT(EXACT('Rule-Event map'!$F$2:$F$1477,$A442)*EXACT('Rule-Event map'!$G$2:$G$1477,$B442))</f>
        <v>1</v>
      </c>
      <c r="G442" s="5" t="n">
        <f aca="false">SUMPRODUCT(EXACT('Rule-Event map'!$F$2:$F$1477,$A442)*EXACT('Rule-Event map'!$G$2:$G$1477,$B442)*('Rule-Event map'!$C$2:$C$1477="New ITDR (7.6.0)"))</f>
        <v>0</v>
      </c>
      <c r="H442" s="5" t="n">
        <f aca="false">SUMPRODUCT(EXACT('Rule-Event map'!$F$2:$F$1477,$A442)*EXACT('Rule-Event map'!$G$2:$G$1477,$B442)*('Rule-Event map'!$C$2:$C$1477="Existing, re-tagged ITDR"))</f>
        <v>0</v>
      </c>
      <c r="I442" s="5" t="n">
        <f aca="false">F442-G442-H442</f>
        <v>1</v>
      </c>
      <c r="J442" s="5" t="n">
        <f aca="false">SUMPRODUCT(EXACT('Rule-Event map'!$F$2:$F$1477,$A442)*EXACT('Rule-Event map'!$G$2:$G$1477,$B442)*('Rule-Event map'!$E$2:$E$1477="Enabled"))</f>
        <v>1</v>
      </c>
      <c r="K442" s="2" t="s">
        <v>5978</v>
      </c>
    </row>
    <row r="443" customFormat="false" ht="15" hidden="false" customHeight="false" outlineLevel="0" collapsed="false">
      <c r="A443" s="5" t="s">
        <v>7670</v>
      </c>
      <c r="B443" s="2" t="s">
        <v>7954</v>
      </c>
      <c r="C443" s="5"/>
      <c r="D443" s="5"/>
      <c r="E443" s="5" t="s">
        <v>8336</v>
      </c>
      <c r="F443" s="5" t="n">
        <f aca="false">SUMPRODUCT(EXACT('Rule-Event map'!$F$2:$F$1477,$A443)*EXACT('Rule-Event map'!$G$2:$G$1477,$B443))</f>
        <v>1</v>
      </c>
      <c r="G443" s="5" t="n">
        <f aca="false">SUMPRODUCT(EXACT('Rule-Event map'!$F$2:$F$1477,$A443)*EXACT('Rule-Event map'!$G$2:$G$1477,$B443)*('Rule-Event map'!$C$2:$C$1477="New ITDR (7.6.0)"))</f>
        <v>0</v>
      </c>
      <c r="H443" s="5" t="n">
        <f aca="false">SUMPRODUCT(EXACT('Rule-Event map'!$F$2:$F$1477,$A443)*EXACT('Rule-Event map'!$G$2:$G$1477,$B443)*('Rule-Event map'!$C$2:$C$1477="Existing, re-tagged ITDR"))</f>
        <v>0</v>
      </c>
      <c r="I443" s="5" t="n">
        <f aca="false">F443-G443-H443</f>
        <v>1</v>
      </c>
      <c r="J443" s="5" t="n">
        <f aca="false">SUMPRODUCT(EXACT('Rule-Event map'!$F$2:$F$1477,$A443)*EXACT('Rule-Event map'!$G$2:$G$1477,$B443)*('Rule-Event map'!$E$2:$E$1477="Enabled"))</f>
        <v>1</v>
      </c>
      <c r="K443" s="2" t="s">
        <v>5231</v>
      </c>
    </row>
    <row r="444" customFormat="false" ht="15" hidden="false" customHeight="false" outlineLevel="0" collapsed="false">
      <c r="A444" s="5" t="s">
        <v>7670</v>
      </c>
      <c r="B444" s="2" t="s">
        <v>8009</v>
      </c>
      <c r="C444" s="5"/>
      <c r="D444" s="5"/>
      <c r="E444" s="5" t="s">
        <v>8336</v>
      </c>
      <c r="F444" s="5" t="n">
        <f aca="false">SUMPRODUCT(EXACT('Rule-Event map'!$F$2:$F$1477,$A444)*EXACT('Rule-Event map'!$G$2:$G$1477,$B444))</f>
        <v>1</v>
      </c>
      <c r="G444" s="5" t="n">
        <f aca="false">SUMPRODUCT(EXACT('Rule-Event map'!$F$2:$F$1477,$A444)*EXACT('Rule-Event map'!$G$2:$G$1477,$B444)*('Rule-Event map'!$C$2:$C$1477="New ITDR (7.6.0)"))</f>
        <v>0</v>
      </c>
      <c r="H444" s="5" t="n">
        <f aca="false">SUMPRODUCT(EXACT('Rule-Event map'!$F$2:$F$1477,$A444)*EXACT('Rule-Event map'!$G$2:$G$1477,$B444)*('Rule-Event map'!$C$2:$C$1477="Existing, re-tagged ITDR"))</f>
        <v>0</v>
      </c>
      <c r="I444" s="5" t="n">
        <f aca="false">F444-G444-H444</f>
        <v>1</v>
      </c>
      <c r="J444" s="5" t="n">
        <f aca="false">SUMPRODUCT(EXACT('Rule-Event map'!$F$2:$F$1477,$A444)*EXACT('Rule-Event map'!$G$2:$G$1477,$B444)*('Rule-Event map'!$E$2:$E$1477="Enabled"))</f>
        <v>1</v>
      </c>
      <c r="K444" s="2" t="s">
        <v>5402</v>
      </c>
    </row>
    <row r="445" customFormat="false" ht="23.85" hidden="false" customHeight="false" outlineLevel="0" collapsed="false">
      <c r="A445" s="5" t="s">
        <v>7670</v>
      </c>
      <c r="B445" s="2" t="s">
        <v>8085</v>
      </c>
      <c r="C445" s="5"/>
      <c r="D445" s="5"/>
      <c r="E445" s="5" t="s">
        <v>8336</v>
      </c>
      <c r="F445" s="5" t="n">
        <f aca="false">SUMPRODUCT(EXACT('Rule-Event map'!$F$2:$F$1477,$A445)*EXACT('Rule-Event map'!$G$2:$G$1477,$B445))</f>
        <v>1</v>
      </c>
      <c r="G445" s="5" t="n">
        <f aca="false">SUMPRODUCT(EXACT('Rule-Event map'!$F$2:$F$1477,$A445)*EXACT('Rule-Event map'!$G$2:$G$1477,$B445)*('Rule-Event map'!$C$2:$C$1477="New ITDR (7.6.0)"))</f>
        <v>0</v>
      </c>
      <c r="H445" s="5" t="n">
        <f aca="false">SUMPRODUCT(EXACT('Rule-Event map'!$F$2:$F$1477,$A445)*EXACT('Rule-Event map'!$G$2:$G$1477,$B445)*('Rule-Event map'!$C$2:$C$1477="Existing, re-tagged ITDR"))</f>
        <v>0</v>
      </c>
      <c r="I445" s="5" t="n">
        <f aca="false">F445-G445-H445</f>
        <v>1</v>
      </c>
      <c r="J445" s="5" t="n">
        <f aca="false">SUMPRODUCT(EXACT('Rule-Event map'!$F$2:$F$1477,$A445)*EXACT('Rule-Event map'!$G$2:$G$1477,$B445)*('Rule-Event map'!$E$2:$E$1477="Enabled"))</f>
        <v>1</v>
      </c>
      <c r="K445" s="2" t="s">
        <v>5655</v>
      </c>
    </row>
    <row r="446" customFormat="false" ht="15" hidden="false" customHeight="false" outlineLevel="0" collapsed="false">
      <c r="A446" s="5" t="s">
        <v>7670</v>
      </c>
      <c r="B446" s="2" t="s">
        <v>8025</v>
      </c>
      <c r="C446" s="5"/>
      <c r="D446" s="5"/>
      <c r="E446" s="5" t="s">
        <v>8336</v>
      </c>
      <c r="F446" s="5" t="n">
        <f aca="false">SUMPRODUCT(EXACT('Rule-Event map'!$F$2:$F$1477,$A446)*EXACT('Rule-Event map'!$G$2:$G$1477,$B446))</f>
        <v>1</v>
      </c>
      <c r="G446" s="5" t="n">
        <f aca="false">SUMPRODUCT(EXACT('Rule-Event map'!$F$2:$F$1477,$A446)*EXACT('Rule-Event map'!$G$2:$G$1477,$B446)*('Rule-Event map'!$C$2:$C$1477="New ITDR (7.6.0)"))</f>
        <v>0</v>
      </c>
      <c r="H446" s="5" t="n">
        <f aca="false">SUMPRODUCT(EXACT('Rule-Event map'!$F$2:$F$1477,$A446)*EXACT('Rule-Event map'!$G$2:$G$1477,$B446)*('Rule-Event map'!$C$2:$C$1477="Existing, re-tagged ITDR"))</f>
        <v>0</v>
      </c>
      <c r="I446" s="5" t="n">
        <f aca="false">F446-G446-H446</f>
        <v>1</v>
      </c>
      <c r="J446" s="5" t="n">
        <f aca="false">SUMPRODUCT(EXACT('Rule-Event map'!$F$2:$F$1477,$A446)*EXACT('Rule-Event map'!$G$2:$G$1477,$B446)*('Rule-Event map'!$E$2:$E$1477="Enabled"))</f>
        <v>1</v>
      </c>
      <c r="K446" s="2" t="s">
        <v>5465</v>
      </c>
    </row>
    <row r="447" customFormat="false" ht="15" hidden="false" customHeight="false" outlineLevel="0" collapsed="false">
      <c r="A447" s="5" t="s">
        <v>7670</v>
      </c>
      <c r="B447" s="2" t="s">
        <v>8033</v>
      </c>
      <c r="C447" s="5"/>
      <c r="D447" s="5"/>
      <c r="E447" s="5" t="s">
        <v>8336</v>
      </c>
      <c r="F447" s="5" t="n">
        <f aca="false">SUMPRODUCT(EXACT('Rule-Event map'!$F$2:$F$1477,$A447)*EXACT('Rule-Event map'!$G$2:$G$1477,$B447))</f>
        <v>1</v>
      </c>
      <c r="G447" s="5" t="n">
        <f aca="false">SUMPRODUCT(EXACT('Rule-Event map'!$F$2:$F$1477,$A447)*EXACT('Rule-Event map'!$G$2:$G$1477,$B447)*('Rule-Event map'!$C$2:$C$1477="New ITDR (7.6.0)"))</f>
        <v>0</v>
      </c>
      <c r="H447" s="5" t="n">
        <f aca="false">SUMPRODUCT(EXACT('Rule-Event map'!$F$2:$F$1477,$A447)*EXACT('Rule-Event map'!$G$2:$G$1477,$B447)*('Rule-Event map'!$C$2:$C$1477="Existing, re-tagged ITDR"))</f>
        <v>0</v>
      </c>
      <c r="I447" s="5" t="n">
        <f aca="false">F447-G447-H447</f>
        <v>1</v>
      </c>
      <c r="J447" s="5" t="n">
        <f aca="false">SUMPRODUCT(EXACT('Rule-Event map'!$F$2:$F$1477,$A447)*EXACT('Rule-Event map'!$G$2:$G$1477,$B447)*('Rule-Event map'!$E$2:$E$1477="Enabled"))</f>
        <v>1</v>
      </c>
      <c r="K447" s="2" t="s">
        <v>5501</v>
      </c>
    </row>
    <row r="448" customFormat="false" ht="15" hidden="false" customHeight="false" outlineLevel="0" collapsed="false">
      <c r="A448" s="5" t="s">
        <v>7670</v>
      </c>
      <c r="B448" s="2" t="s">
        <v>8183</v>
      </c>
      <c r="C448" s="5"/>
      <c r="D448" s="5"/>
      <c r="E448" s="5" t="s">
        <v>8336</v>
      </c>
      <c r="F448" s="5" t="n">
        <f aca="false">SUMPRODUCT(EXACT('Rule-Event map'!$F$2:$F$1477,$A448)*EXACT('Rule-Event map'!$G$2:$G$1477,$B448))</f>
        <v>1</v>
      </c>
      <c r="G448" s="5" t="n">
        <f aca="false">SUMPRODUCT(EXACT('Rule-Event map'!$F$2:$F$1477,$A448)*EXACT('Rule-Event map'!$G$2:$G$1477,$B448)*('Rule-Event map'!$C$2:$C$1477="New ITDR (7.6.0)"))</f>
        <v>0</v>
      </c>
      <c r="H448" s="5" t="n">
        <f aca="false">SUMPRODUCT(EXACT('Rule-Event map'!$F$2:$F$1477,$A448)*EXACT('Rule-Event map'!$G$2:$G$1477,$B448)*('Rule-Event map'!$C$2:$C$1477="Existing, re-tagged ITDR"))</f>
        <v>0</v>
      </c>
      <c r="I448" s="5" t="n">
        <f aca="false">F448-G448-H448</f>
        <v>1</v>
      </c>
      <c r="J448" s="5" t="n">
        <f aca="false">SUMPRODUCT(EXACT('Rule-Event map'!$F$2:$F$1477,$A448)*EXACT('Rule-Event map'!$G$2:$G$1477,$B448)*('Rule-Event map'!$E$2:$E$1477="Enabled"))</f>
        <v>1</v>
      </c>
      <c r="K448" s="2" t="s">
        <v>5961</v>
      </c>
    </row>
    <row r="449" customFormat="false" ht="15" hidden="false" customHeight="false" outlineLevel="0" collapsed="false">
      <c r="A449" s="5" t="s">
        <v>7670</v>
      </c>
      <c r="B449" s="2" t="s">
        <v>4858</v>
      </c>
      <c r="C449" s="5"/>
      <c r="D449" s="5"/>
      <c r="E449" s="5" t="s">
        <v>8336</v>
      </c>
      <c r="F449" s="5" t="n">
        <f aca="false">SUMPRODUCT(EXACT('Rule-Event map'!$F$2:$F$1477,$A449)*EXACT('Rule-Event map'!$G$2:$G$1477,$B449))</f>
        <v>1</v>
      </c>
      <c r="G449" s="5" t="n">
        <f aca="false">SUMPRODUCT(EXACT('Rule-Event map'!$F$2:$F$1477,$A449)*EXACT('Rule-Event map'!$G$2:$G$1477,$B449)*('Rule-Event map'!$C$2:$C$1477="New ITDR (7.6.0)"))</f>
        <v>0</v>
      </c>
      <c r="H449" s="5" t="n">
        <f aca="false">SUMPRODUCT(EXACT('Rule-Event map'!$F$2:$F$1477,$A449)*EXACT('Rule-Event map'!$G$2:$G$1477,$B449)*('Rule-Event map'!$C$2:$C$1477="Existing, re-tagged ITDR"))</f>
        <v>0</v>
      </c>
      <c r="I449" s="5" t="n">
        <f aca="false">F449-G449-H449</f>
        <v>1</v>
      </c>
      <c r="J449" s="5" t="n">
        <f aca="false">SUMPRODUCT(EXACT('Rule-Event map'!$F$2:$F$1477,$A449)*EXACT('Rule-Event map'!$G$2:$G$1477,$B449)*('Rule-Event map'!$E$2:$E$1477="Enabled"))</f>
        <v>1</v>
      </c>
      <c r="K449" s="2" t="s">
        <v>4857</v>
      </c>
    </row>
    <row r="450" customFormat="false" ht="15" hidden="false" customHeight="false" outlineLevel="0" collapsed="false">
      <c r="A450" s="5" t="s">
        <v>7670</v>
      </c>
      <c r="B450" s="2" t="s">
        <v>4865</v>
      </c>
      <c r="C450" s="5"/>
      <c r="D450" s="5"/>
      <c r="E450" s="5" t="s">
        <v>8336</v>
      </c>
      <c r="F450" s="5" t="n">
        <f aca="false">SUMPRODUCT(EXACT('Rule-Event map'!$F$2:$F$1477,$A450)*EXACT('Rule-Event map'!$G$2:$G$1477,$B450))</f>
        <v>1</v>
      </c>
      <c r="G450" s="5" t="n">
        <f aca="false">SUMPRODUCT(EXACT('Rule-Event map'!$F$2:$F$1477,$A450)*EXACT('Rule-Event map'!$G$2:$G$1477,$B450)*('Rule-Event map'!$C$2:$C$1477="New ITDR (7.6.0)"))</f>
        <v>0</v>
      </c>
      <c r="H450" s="5" t="n">
        <f aca="false">SUMPRODUCT(EXACT('Rule-Event map'!$F$2:$F$1477,$A450)*EXACT('Rule-Event map'!$G$2:$G$1477,$B450)*('Rule-Event map'!$C$2:$C$1477="Existing, re-tagged ITDR"))</f>
        <v>0</v>
      </c>
      <c r="I450" s="5" t="n">
        <f aca="false">F450-G450-H450</f>
        <v>1</v>
      </c>
      <c r="J450" s="5" t="n">
        <f aca="false">SUMPRODUCT(EXACT('Rule-Event map'!$F$2:$F$1477,$A450)*EXACT('Rule-Event map'!$G$2:$G$1477,$B450)*('Rule-Event map'!$E$2:$E$1477="Enabled"))</f>
        <v>1</v>
      </c>
      <c r="K450" s="2" t="s">
        <v>4864</v>
      </c>
    </row>
    <row r="451" customFormat="false" ht="15" hidden="false" customHeight="false" outlineLevel="0" collapsed="false">
      <c r="A451" s="5" t="s">
        <v>7670</v>
      </c>
      <c r="B451" s="2" t="s">
        <v>7887</v>
      </c>
      <c r="C451" s="5"/>
      <c r="D451" s="5"/>
      <c r="E451" s="5" t="s">
        <v>8336</v>
      </c>
      <c r="F451" s="5" t="n">
        <f aca="false">SUMPRODUCT(EXACT('Rule-Event map'!$F$2:$F$1477,$A451)*EXACT('Rule-Event map'!$G$2:$G$1477,$B451))</f>
        <v>1</v>
      </c>
      <c r="G451" s="5" t="n">
        <f aca="false">SUMPRODUCT(EXACT('Rule-Event map'!$F$2:$F$1477,$A451)*EXACT('Rule-Event map'!$G$2:$G$1477,$B451)*('Rule-Event map'!$C$2:$C$1477="New ITDR (7.6.0)"))</f>
        <v>0</v>
      </c>
      <c r="H451" s="5" t="n">
        <f aca="false">SUMPRODUCT(EXACT('Rule-Event map'!$F$2:$F$1477,$A451)*EXACT('Rule-Event map'!$G$2:$G$1477,$B451)*('Rule-Event map'!$C$2:$C$1477="Existing, re-tagged ITDR"))</f>
        <v>0</v>
      </c>
      <c r="I451" s="5" t="n">
        <f aca="false">F451-G451-H451</f>
        <v>1</v>
      </c>
      <c r="J451" s="5" t="n">
        <f aca="false">SUMPRODUCT(EXACT('Rule-Event map'!$F$2:$F$1477,$A451)*EXACT('Rule-Event map'!$G$2:$G$1477,$B451)*('Rule-Event map'!$E$2:$E$1477="Enabled"))</f>
        <v>1</v>
      </c>
      <c r="K451" s="2" t="s">
        <v>4872</v>
      </c>
    </row>
    <row r="452" customFormat="false" ht="15" hidden="false" customHeight="false" outlineLevel="0" collapsed="false">
      <c r="A452" s="5" t="s">
        <v>7670</v>
      </c>
      <c r="B452" s="2" t="s">
        <v>7886</v>
      </c>
      <c r="C452" s="5"/>
      <c r="D452" s="5"/>
      <c r="E452" s="5" t="s">
        <v>8336</v>
      </c>
      <c r="F452" s="5" t="n">
        <f aca="false">SUMPRODUCT(EXACT('Rule-Event map'!$F$2:$F$1477,$A452)*EXACT('Rule-Event map'!$G$2:$G$1477,$B452))</f>
        <v>1</v>
      </c>
      <c r="G452" s="5" t="n">
        <f aca="false">SUMPRODUCT(EXACT('Rule-Event map'!$F$2:$F$1477,$A452)*EXACT('Rule-Event map'!$G$2:$G$1477,$B452)*('Rule-Event map'!$C$2:$C$1477="New ITDR (7.6.0)"))</f>
        <v>0</v>
      </c>
      <c r="H452" s="5" t="n">
        <f aca="false">SUMPRODUCT(EXACT('Rule-Event map'!$F$2:$F$1477,$A452)*EXACT('Rule-Event map'!$G$2:$G$1477,$B452)*('Rule-Event map'!$C$2:$C$1477="Existing, re-tagged ITDR"))</f>
        <v>0</v>
      </c>
      <c r="I452" s="5" t="n">
        <f aca="false">F452-G452-H452</f>
        <v>1</v>
      </c>
      <c r="J452" s="5" t="n">
        <f aca="false">SUMPRODUCT(EXACT('Rule-Event map'!$F$2:$F$1477,$A452)*EXACT('Rule-Event map'!$G$2:$G$1477,$B452)*('Rule-Event map'!$E$2:$E$1477="Enabled"))</f>
        <v>1</v>
      </c>
      <c r="K452" s="2" t="s">
        <v>4872</v>
      </c>
    </row>
    <row r="453" customFormat="false" ht="15" hidden="false" customHeight="false" outlineLevel="0" collapsed="false">
      <c r="A453" s="5" t="s">
        <v>7670</v>
      </c>
      <c r="B453" s="2" t="s">
        <v>7889</v>
      </c>
      <c r="C453" s="5"/>
      <c r="D453" s="5"/>
      <c r="E453" s="5" t="s">
        <v>8336</v>
      </c>
      <c r="F453" s="5" t="n">
        <f aca="false">SUMPRODUCT(EXACT('Rule-Event map'!$F$2:$F$1477,$A453)*EXACT('Rule-Event map'!$G$2:$G$1477,$B453))</f>
        <v>1</v>
      </c>
      <c r="G453" s="5" t="n">
        <f aca="false">SUMPRODUCT(EXACT('Rule-Event map'!$F$2:$F$1477,$A453)*EXACT('Rule-Event map'!$G$2:$G$1477,$B453)*('Rule-Event map'!$C$2:$C$1477="New ITDR (7.6.0)"))</f>
        <v>0</v>
      </c>
      <c r="H453" s="5" t="n">
        <f aca="false">SUMPRODUCT(EXACT('Rule-Event map'!$F$2:$F$1477,$A453)*EXACT('Rule-Event map'!$G$2:$G$1477,$B453)*('Rule-Event map'!$C$2:$C$1477="Existing, re-tagged ITDR"))</f>
        <v>0</v>
      </c>
      <c r="I453" s="5" t="n">
        <f aca="false">F453-G453-H453</f>
        <v>1</v>
      </c>
      <c r="J453" s="5" t="n">
        <f aca="false">SUMPRODUCT(EXACT('Rule-Event map'!$F$2:$F$1477,$A453)*EXACT('Rule-Event map'!$G$2:$G$1477,$B453)*('Rule-Event map'!$E$2:$E$1477="Enabled"))</f>
        <v>1</v>
      </c>
      <c r="K453" s="2" t="s">
        <v>4872</v>
      </c>
    </row>
    <row r="454" customFormat="false" ht="15" hidden="false" customHeight="false" outlineLevel="0" collapsed="false">
      <c r="A454" s="5" t="s">
        <v>7670</v>
      </c>
      <c r="B454" s="2" t="s">
        <v>7888</v>
      </c>
      <c r="C454" s="5"/>
      <c r="D454" s="5"/>
      <c r="E454" s="5" t="s">
        <v>8336</v>
      </c>
      <c r="F454" s="5" t="n">
        <f aca="false">SUMPRODUCT(EXACT('Rule-Event map'!$F$2:$F$1477,$A454)*EXACT('Rule-Event map'!$G$2:$G$1477,$B454))</f>
        <v>1</v>
      </c>
      <c r="G454" s="5" t="n">
        <f aca="false">SUMPRODUCT(EXACT('Rule-Event map'!$F$2:$F$1477,$A454)*EXACT('Rule-Event map'!$G$2:$G$1477,$B454)*('Rule-Event map'!$C$2:$C$1477="New ITDR (7.6.0)"))</f>
        <v>0</v>
      </c>
      <c r="H454" s="5" t="n">
        <f aca="false">SUMPRODUCT(EXACT('Rule-Event map'!$F$2:$F$1477,$A454)*EXACT('Rule-Event map'!$G$2:$G$1477,$B454)*('Rule-Event map'!$C$2:$C$1477="Existing, re-tagged ITDR"))</f>
        <v>0</v>
      </c>
      <c r="I454" s="5" t="n">
        <f aca="false">F454-G454-H454</f>
        <v>1</v>
      </c>
      <c r="J454" s="5" t="n">
        <f aca="false">SUMPRODUCT(EXACT('Rule-Event map'!$F$2:$F$1477,$A454)*EXACT('Rule-Event map'!$G$2:$G$1477,$B454)*('Rule-Event map'!$E$2:$E$1477="Enabled"))</f>
        <v>1</v>
      </c>
      <c r="K454" s="2" t="s">
        <v>4872</v>
      </c>
    </row>
    <row r="455" customFormat="false" ht="15" hidden="false" customHeight="false" outlineLevel="0" collapsed="false">
      <c r="A455" s="5" t="s">
        <v>7670</v>
      </c>
      <c r="B455" s="2" t="s">
        <v>7890</v>
      </c>
      <c r="C455" s="5"/>
      <c r="D455" s="5"/>
      <c r="E455" s="5" t="s">
        <v>8336</v>
      </c>
      <c r="F455" s="5" t="n">
        <f aca="false">SUMPRODUCT(EXACT('Rule-Event map'!$F$2:$F$1477,$A455)*EXACT('Rule-Event map'!$G$2:$G$1477,$B455))</f>
        <v>1</v>
      </c>
      <c r="G455" s="5" t="n">
        <f aca="false">SUMPRODUCT(EXACT('Rule-Event map'!$F$2:$F$1477,$A455)*EXACT('Rule-Event map'!$G$2:$G$1477,$B455)*('Rule-Event map'!$C$2:$C$1477="New ITDR (7.6.0)"))</f>
        <v>0</v>
      </c>
      <c r="H455" s="5" t="n">
        <f aca="false">SUMPRODUCT(EXACT('Rule-Event map'!$F$2:$F$1477,$A455)*EXACT('Rule-Event map'!$G$2:$G$1477,$B455)*('Rule-Event map'!$C$2:$C$1477="Existing, re-tagged ITDR"))</f>
        <v>0</v>
      </c>
      <c r="I455" s="5" t="n">
        <f aca="false">F455-G455-H455</f>
        <v>1</v>
      </c>
      <c r="J455" s="5" t="n">
        <f aca="false">SUMPRODUCT(EXACT('Rule-Event map'!$F$2:$F$1477,$A455)*EXACT('Rule-Event map'!$G$2:$G$1477,$B455)*('Rule-Event map'!$E$2:$E$1477="Enabled"))</f>
        <v>1</v>
      </c>
      <c r="K455" s="2" t="s">
        <v>4881</v>
      </c>
    </row>
    <row r="456" customFormat="false" ht="46.25" hidden="false" customHeight="false" outlineLevel="0" collapsed="false">
      <c r="A456" s="5" t="s">
        <v>7670</v>
      </c>
      <c r="B456" s="2" t="s">
        <v>5329</v>
      </c>
      <c r="C456" s="5"/>
      <c r="D456" s="5"/>
      <c r="E456" s="5" t="s">
        <v>8336</v>
      </c>
      <c r="F456" s="5" t="n">
        <f aca="false">SUMPRODUCT(EXACT('Rule-Event map'!$F$2:$F$1477,$A456)*EXACT('Rule-Event map'!$G$2:$G$1477,$B456))</f>
        <v>4</v>
      </c>
      <c r="G456" s="5" t="n">
        <f aca="false">SUMPRODUCT(EXACT('Rule-Event map'!$F$2:$F$1477,$A456)*EXACT('Rule-Event map'!$G$2:$G$1477,$B456)*('Rule-Event map'!$C$2:$C$1477="New ITDR (7.6.0)"))</f>
        <v>0</v>
      </c>
      <c r="H456" s="5" t="n">
        <f aca="false">SUMPRODUCT(EXACT('Rule-Event map'!$F$2:$F$1477,$A456)*EXACT('Rule-Event map'!$G$2:$G$1477,$B456)*('Rule-Event map'!$C$2:$C$1477="Existing, re-tagged ITDR"))</f>
        <v>0</v>
      </c>
      <c r="I456" s="5" t="n">
        <f aca="false">F456-G456-H456</f>
        <v>4</v>
      </c>
      <c r="J456" s="5" t="n">
        <f aca="false">SUMPRODUCT(EXACT('Rule-Event map'!$F$2:$F$1477,$A456)*EXACT('Rule-Event map'!$G$2:$G$1477,$B456)*('Rule-Event map'!$E$2:$E$1477="Enabled"))</f>
        <v>1</v>
      </c>
      <c r="K456" s="2" t="s">
        <v>8374</v>
      </c>
    </row>
    <row r="457" customFormat="false" ht="15" hidden="false" customHeight="false" outlineLevel="0" collapsed="false">
      <c r="A457" s="5" t="s">
        <v>7670</v>
      </c>
      <c r="B457" s="2" t="s">
        <v>2387</v>
      </c>
      <c r="C457" s="5"/>
      <c r="D457" s="5"/>
      <c r="E457" s="5" t="s">
        <v>8336</v>
      </c>
      <c r="F457" s="5" t="n">
        <f aca="false">SUMPRODUCT(EXACT('Rule-Event map'!$F$2:$F$1477,$A457)*EXACT('Rule-Event map'!$G$2:$G$1477,$B457))</f>
        <v>1</v>
      </c>
      <c r="G457" s="5" t="n">
        <f aca="false">SUMPRODUCT(EXACT('Rule-Event map'!$F$2:$F$1477,$A457)*EXACT('Rule-Event map'!$G$2:$G$1477,$B457)*('Rule-Event map'!$C$2:$C$1477="New ITDR (7.6.0)"))</f>
        <v>0</v>
      </c>
      <c r="H457" s="5" t="n">
        <f aca="false">SUMPRODUCT(EXACT('Rule-Event map'!$F$2:$F$1477,$A457)*EXACT('Rule-Event map'!$G$2:$G$1477,$B457)*('Rule-Event map'!$C$2:$C$1477="Existing, re-tagged ITDR"))</f>
        <v>0</v>
      </c>
      <c r="I457" s="5" t="n">
        <f aca="false">F457-G457-H457</f>
        <v>1</v>
      </c>
      <c r="J457" s="5" t="n">
        <f aca="false">SUMPRODUCT(EXACT('Rule-Event map'!$F$2:$F$1477,$A457)*EXACT('Rule-Event map'!$G$2:$G$1477,$B457)*('Rule-Event map'!$E$2:$E$1477="Enabled"))</f>
        <v>1</v>
      </c>
      <c r="K457" s="2" t="s">
        <v>2385</v>
      </c>
    </row>
    <row r="458" customFormat="false" ht="15" hidden="false" customHeight="false" outlineLevel="0" collapsed="false">
      <c r="A458" s="5" t="s">
        <v>7670</v>
      </c>
      <c r="B458" s="2" t="s">
        <v>2427</v>
      </c>
      <c r="C458" s="5"/>
      <c r="D458" s="5"/>
      <c r="E458" s="5" t="s">
        <v>8336</v>
      </c>
      <c r="F458" s="5" t="n">
        <f aca="false">SUMPRODUCT(EXACT('Rule-Event map'!$F$2:$F$1477,$A458)*EXACT('Rule-Event map'!$G$2:$G$1477,$B458))</f>
        <v>1</v>
      </c>
      <c r="G458" s="5" t="n">
        <f aca="false">SUMPRODUCT(EXACT('Rule-Event map'!$F$2:$F$1477,$A458)*EXACT('Rule-Event map'!$G$2:$G$1477,$B458)*('Rule-Event map'!$C$2:$C$1477="New ITDR (7.6.0)"))</f>
        <v>0</v>
      </c>
      <c r="H458" s="5" t="n">
        <f aca="false">SUMPRODUCT(EXACT('Rule-Event map'!$F$2:$F$1477,$A458)*EXACT('Rule-Event map'!$G$2:$G$1477,$B458)*('Rule-Event map'!$C$2:$C$1477="Existing, re-tagged ITDR"))</f>
        <v>0</v>
      </c>
      <c r="I458" s="5" t="n">
        <f aca="false">F458-G458-H458</f>
        <v>1</v>
      </c>
      <c r="J458" s="5" t="n">
        <f aca="false">SUMPRODUCT(EXACT('Rule-Event map'!$F$2:$F$1477,$A458)*EXACT('Rule-Event map'!$G$2:$G$1477,$B458)*('Rule-Event map'!$E$2:$E$1477="Enabled"))</f>
        <v>1</v>
      </c>
      <c r="K458" s="2" t="s">
        <v>2425</v>
      </c>
    </row>
    <row r="459" customFormat="false" ht="15" hidden="false" customHeight="false" outlineLevel="0" collapsed="false">
      <c r="A459" s="5" t="s">
        <v>7670</v>
      </c>
      <c r="B459" s="2" t="s">
        <v>2410</v>
      </c>
      <c r="C459" s="5"/>
      <c r="D459" s="5"/>
      <c r="E459" s="5" t="s">
        <v>8336</v>
      </c>
      <c r="F459" s="5" t="n">
        <f aca="false">SUMPRODUCT(EXACT('Rule-Event map'!$F$2:$F$1477,$A459)*EXACT('Rule-Event map'!$G$2:$G$1477,$B459))</f>
        <v>1</v>
      </c>
      <c r="G459" s="5" t="n">
        <f aca="false">SUMPRODUCT(EXACT('Rule-Event map'!$F$2:$F$1477,$A459)*EXACT('Rule-Event map'!$G$2:$G$1477,$B459)*('Rule-Event map'!$C$2:$C$1477="New ITDR (7.6.0)"))</f>
        <v>0</v>
      </c>
      <c r="H459" s="5" t="n">
        <f aca="false">SUMPRODUCT(EXACT('Rule-Event map'!$F$2:$F$1477,$A459)*EXACT('Rule-Event map'!$G$2:$G$1477,$B459)*('Rule-Event map'!$C$2:$C$1477="Existing, re-tagged ITDR"))</f>
        <v>0</v>
      </c>
      <c r="I459" s="5" t="n">
        <f aca="false">F459-G459-H459</f>
        <v>1</v>
      </c>
      <c r="J459" s="5" t="n">
        <f aca="false">SUMPRODUCT(EXACT('Rule-Event map'!$F$2:$F$1477,$A459)*EXACT('Rule-Event map'!$G$2:$G$1477,$B459)*('Rule-Event map'!$E$2:$E$1477="Enabled"))</f>
        <v>1</v>
      </c>
      <c r="K459" s="2" t="s">
        <v>2409</v>
      </c>
    </row>
    <row r="460" customFormat="false" ht="15" hidden="false" customHeight="false" outlineLevel="0" collapsed="false">
      <c r="A460" s="5" t="s">
        <v>7670</v>
      </c>
      <c r="B460" s="2" t="s">
        <v>2395</v>
      </c>
      <c r="C460" s="5"/>
      <c r="D460" s="5"/>
      <c r="E460" s="5" t="s">
        <v>8336</v>
      </c>
      <c r="F460" s="5" t="n">
        <f aca="false">SUMPRODUCT(EXACT('Rule-Event map'!$F$2:$F$1477,$A460)*EXACT('Rule-Event map'!$G$2:$G$1477,$B460))</f>
        <v>1</v>
      </c>
      <c r="G460" s="5" t="n">
        <f aca="false">SUMPRODUCT(EXACT('Rule-Event map'!$F$2:$F$1477,$A460)*EXACT('Rule-Event map'!$G$2:$G$1477,$B460)*('Rule-Event map'!$C$2:$C$1477="New ITDR (7.6.0)"))</f>
        <v>0</v>
      </c>
      <c r="H460" s="5" t="n">
        <f aca="false">SUMPRODUCT(EXACT('Rule-Event map'!$F$2:$F$1477,$A460)*EXACT('Rule-Event map'!$G$2:$G$1477,$B460)*('Rule-Event map'!$C$2:$C$1477="Existing, re-tagged ITDR"))</f>
        <v>0</v>
      </c>
      <c r="I460" s="5" t="n">
        <f aca="false">F460-G460-H460</f>
        <v>1</v>
      </c>
      <c r="J460" s="5" t="n">
        <f aca="false">SUMPRODUCT(EXACT('Rule-Event map'!$F$2:$F$1477,$A460)*EXACT('Rule-Event map'!$G$2:$G$1477,$B460)*('Rule-Event map'!$E$2:$E$1477="Enabled"))</f>
        <v>1</v>
      </c>
      <c r="K460" s="2" t="s">
        <v>2394</v>
      </c>
    </row>
    <row r="461" customFormat="false" ht="15" hidden="false" customHeight="false" outlineLevel="0" collapsed="false">
      <c r="A461" s="5" t="s">
        <v>7670</v>
      </c>
      <c r="B461" s="2" t="s">
        <v>2434</v>
      </c>
      <c r="C461" s="5"/>
      <c r="D461" s="5"/>
      <c r="E461" s="5" t="s">
        <v>8336</v>
      </c>
      <c r="F461" s="5" t="n">
        <f aca="false">SUMPRODUCT(EXACT('Rule-Event map'!$F$2:$F$1477,$A461)*EXACT('Rule-Event map'!$G$2:$G$1477,$B461))</f>
        <v>1</v>
      </c>
      <c r="G461" s="5" t="n">
        <f aca="false">SUMPRODUCT(EXACT('Rule-Event map'!$F$2:$F$1477,$A461)*EXACT('Rule-Event map'!$G$2:$G$1477,$B461)*('Rule-Event map'!$C$2:$C$1477="New ITDR (7.6.0)"))</f>
        <v>0</v>
      </c>
      <c r="H461" s="5" t="n">
        <f aca="false">SUMPRODUCT(EXACT('Rule-Event map'!$F$2:$F$1477,$A461)*EXACT('Rule-Event map'!$G$2:$G$1477,$B461)*('Rule-Event map'!$C$2:$C$1477="Existing, re-tagged ITDR"))</f>
        <v>0</v>
      </c>
      <c r="I461" s="5" t="n">
        <f aca="false">F461-G461-H461</f>
        <v>1</v>
      </c>
      <c r="J461" s="5" t="n">
        <f aca="false">SUMPRODUCT(EXACT('Rule-Event map'!$F$2:$F$1477,$A461)*EXACT('Rule-Event map'!$G$2:$G$1477,$B461)*('Rule-Event map'!$E$2:$E$1477="Enabled"))</f>
        <v>1</v>
      </c>
      <c r="K461" s="2" t="s">
        <v>2433</v>
      </c>
    </row>
    <row r="462" customFormat="false" ht="15" hidden="false" customHeight="false" outlineLevel="0" collapsed="false">
      <c r="A462" s="5" t="s">
        <v>7670</v>
      </c>
      <c r="B462" s="2" t="s">
        <v>2418</v>
      </c>
      <c r="C462" s="5"/>
      <c r="D462" s="5"/>
      <c r="E462" s="5" t="s">
        <v>8336</v>
      </c>
      <c r="F462" s="5" t="n">
        <f aca="false">SUMPRODUCT(EXACT('Rule-Event map'!$F$2:$F$1477,$A462)*EXACT('Rule-Event map'!$G$2:$G$1477,$B462))</f>
        <v>1</v>
      </c>
      <c r="G462" s="5" t="n">
        <f aca="false">SUMPRODUCT(EXACT('Rule-Event map'!$F$2:$F$1477,$A462)*EXACT('Rule-Event map'!$G$2:$G$1477,$B462)*('Rule-Event map'!$C$2:$C$1477="New ITDR (7.6.0)"))</f>
        <v>0</v>
      </c>
      <c r="H462" s="5" t="n">
        <f aca="false">SUMPRODUCT(EXACT('Rule-Event map'!$F$2:$F$1477,$A462)*EXACT('Rule-Event map'!$G$2:$G$1477,$B462)*('Rule-Event map'!$C$2:$C$1477="Existing, re-tagged ITDR"))</f>
        <v>0</v>
      </c>
      <c r="I462" s="5" t="n">
        <f aca="false">F462-G462-H462</f>
        <v>1</v>
      </c>
      <c r="J462" s="5" t="n">
        <f aca="false">SUMPRODUCT(EXACT('Rule-Event map'!$F$2:$F$1477,$A462)*EXACT('Rule-Event map'!$G$2:$G$1477,$B462)*('Rule-Event map'!$E$2:$E$1477="Enabled"))</f>
        <v>1</v>
      </c>
      <c r="K462" s="2" t="s">
        <v>2417</v>
      </c>
    </row>
    <row r="463" customFormat="false" ht="15" hidden="false" customHeight="false" outlineLevel="0" collapsed="false">
      <c r="A463" s="5" t="s">
        <v>7670</v>
      </c>
      <c r="B463" s="2" t="s">
        <v>2441</v>
      </c>
      <c r="C463" s="5"/>
      <c r="D463" s="5"/>
      <c r="E463" s="5" t="s">
        <v>8336</v>
      </c>
      <c r="F463" s="5" t="n">
        <f aca="false">SUMPRODUCT(EXACT('Rule-Event map'!$F$2:$F$1477,$A463)*EXACT('Rule-Event map'!$G$2:$G$1477,$B463))</f>
        <v>1</v>
      </c>
      <c r="G463" s="5" t="n">
        <f aca="false">SUMPRODUCT(EXACT('Rule-Event map'!$F$2:$F$1477,$A463)*EXACT('Rule-Event map'!$G$2:$G$1477,$B463)*('Rule-Event map'!$C$2:$C$1477="New ITDR (7.6.0)"))</f>
        <v>0</v>
      </c>
      <c r="H463" s="5" t="n">
        <f aca="false">SUMPRODUCT(EXACT('Rule-Event map'!$F$2:$F$1477,$A463)*EXACT('Rule-Event map'!$G$2:$G$1477,$B463)*('Rule-Event map'!$C$2:$C$1477="Existing, re-tagged ITDR"))</f>
        <v>0</v>
      </c>
      <c r="I463" s="5" t="n">
        <f aca="false">F463-G463-H463</f>
        <v>1</v>
      </c>
      <c r="J463" s="5" t="n">
        <f aca="false">SUMPRODUCT(EXACT('Rule-Event map'!$F$2:$F$1477,$A463)*EXACT('Rule-Event map'!$G$2:$G$1477,$B463)*('Rule-Event map'!$E$2:$E$1477="Enabled"))</f>
        <v>1</v>
      </c>
      <c r="K463" s="2" t="s">
        <v>2440</v>
      </c>
    </row>
    <row r="464" customFormat="false" ht="15" hidden="false" customHeight="false" outlineLevel="0" collapsed="false">
      <c r="A464" s="5" t="s">
        <v>7670</v>
      </c>
      <c r="B464" s="2" t="s">
        <v>2401</v>
      </c>
      <c r="C464" s="5"/>
      <c r="D464" s="5"/>
      <c r="E464" s="5" t="s">
        <v>8336</v>
      </c>
      <c r="F464" s="5" t="n">
        <f aca="false">SUMPRODUCT(EXACT('Rule-Event map'!$F$2:$F$1477,$A464)*EXACT('Rule-Event map'!$G$2:$G$1477,$B464))</f>
        <v>1</v>
      </c>
      <c r="G464" s="5" t="n">
        <f aca="false">SUMPRODUCT(EXACT('Rule-Event map'!$F$2:$F$1477,$A464)*EXACT('Rule-Event map'!$G$2:$G$1477,$B464)*('Rule-Event map'!$C$2:$C$1477="New ITDR (7.6.0)"))</f>
        <v>0</v>
      </c>
      <c r="H464" s="5" t="n">
        <f aca="false">SUMPRODUCT(EXACT('Rule-Event map'!$F$2:$F$1477,$A464)*EXACT('Rule-Event map'!$G$2:$G$1477,$B464)*('Rule-Event map'!$C$2:$C$1477="Existing, re-tagged ITDR"))</f>
        <v>0</v>
      </c>
      <c r="I464" s="5" t="n">
        <f aca="false">F464-G464-H464</f>
        <v>1</v>
      </c>
      <c r="J464" s="5" t="n">
        <f aca="false">SUMPRODUCT(EXACT('Rule-Event map'!$F$2:$F$1477,$A464)*EXACT('Rule-Event map'!$G$2:$G$1477,$B464)*('Rule-Event map'!$E$2:$E$1477="Enabled"))</f>
        <v>1</v>
      </c>
      <c r="K464" s="2" t="s">
        <v>2400</v>
      </c>
    </row>
    <row r="465" customFormat="false" ht="15" hidden="false" customHeight="false" outlineLevel="0" collapsed="false">
      <c r="A465" s="5" t="s">
        <v>7670</v>
      </c>
      <c r="B465" s="2" t="s">
        <v>7710</v>
      </c>
      <c r="C465" s="5"/>
      <c r="D465" s="5"/>
      <c r="E465" s="5" t="s">
        <v>8336</v>
      </c>
      <c r="F465" s="5" t="n">
        <f aca="false">SUMPRODUCT(EXACT('Rule-Event map'!$F$2:$F$1477,$A465)*EXACT('Rule-Event map'!$G$2:$G$1477,$B465))</f>
        <v>1</v>
      </c>
      <c r="G465" s="5" t="n">
        <f aca="false">SUMPRODUCT(EXACT('Rule-Event map'!$F$2:$F$1477,$A465)*EXACT('Rule-Event map'!$G$2:$G$1477,$B465)*('Rule-Event map'!$C$2:$C$1477="New ITDR (7.6.0)"))</f>
        <v>0</v>
      </c>
      <c r="H465" s="5" t="n">
        <f aca="false">SUMPRODUCT(EXACT('Rule-Event map'!$F$2:$F$1477,$A465)*EXACT('Rule-Event map'!$G$2:$G$1477,$B465)*('Rule-Event map'!$C$2:$C$1477="Existing, re-tagged ITDR"))</f>
        <v>1</v>
      </c>
      <c r="I465" s="5" t="n">
        <f aca="false">F465-G465-H465</f>
        <v>0</v>
      </c>
      <c r="J465" s="5" t="n">
        <f aca="false">SUMPRODUCT(EXACT('Rule-Event map'!$F$2:$F$1477,$A465)*EXACT('Rule-Event map'!$G$2:$G$1477,$B465)*('Rule-Event map'!$E$2:$E$1477="Enabled"))</f>
        <v>1</v>
      </c>
      <c r="K465" s="2" t="s">
        <v>739</v>
      </c>
    </row>
    <row r="466" customFormat="false" ht="15" hidden="false" customHeight="false" outlineLevel="0" collapsed="false">
      <c r="A466" s="5" t="s">
        <v>7670</v>
      </c>
      <c r="B466" s="2" t="s">
        <v>2842</v>
      </c>
      <c r="C466" s="5"/>
      <c r="D466" s="5"/>
      <c r="E466" s="5" t="s">
        <v>8336</v>
      </c>
      <c r="F466" s="5" t="n">
        <f aca="false">SUMPRODUCT(EXACT('Rule-Event map'!$F$2:$F$1477,$A466)*EXACT('Rule-Event map'!$G$2:$G$1477,$B466))</f>
        <v>1</v>
      </c>
      <c r="G466" s="5" t="n">
        <f aca="false">SUMPRODUCT(EXACT('Rule-Event map'!$F$2:$F$1477,$A466)*EXACT('Rule-Event map'!$G$2:$G$1477,$B466)*('Rule-Event map'!$C$2:$C$1477="New ITDR (7.6.0)"))</f>
        <v>0</v>
      </c>
      <c r="H466" s="5" t="n">
        <f aca="false">SUMPRODUCT(EXACT('Rule-Event map'!$F$2:$F$1477,$A466)*EXACT('Rule-Event map'!$G$2:$G$1477,$B466)*('Rule-Event map'!$C$2:$C$1477="Existing, re-tagged ITDR"))</f>
        <v>0</v>
      </c>
      <c r="I466" s="5" t="n">
        <f aca="false">F466-G466-H466</f>
        <v>1</v>
      </c>
      <c r="J466" s="5" t="n">
        <f aca="false">SUMPRODUCT(EXACT('Rule-Event map'!$F$2:$F$1477,$A466)*EXACT('Rule-Event map'!$G$2:$G$1477,$B466)*('Rule-Event map'!$E$2:$E$1477="Enabled"))</f>
        <v>0</v>
      </c>
      <c r="K466" s="2" t="s">
        <v>2840</v>
      </c>
    </row>
    <row r="467" customFormat="false" ht="15" hidden="false" customHeight="false" outlineLevel="0" collapsed="false">
      <c r="A467" s="5" t="s">
        <v>7670</v>
      </c>
      <c r="B467" s="2" t="s">
        <v>2514</v>
      </c>
      <c r="C467" s="5"/>
      <c r="D467" s="5"/>
      <c r="E467" s="5" t="s">
        <v>8336</v>
      </c>
      <c r="F467" s="5" t="n">
        <f aca="false">SUMPRODUCT(EXACT('Rule-Event map'!$F$2:$F$1477,$A467)*EXACT('Rule-Event map'!$G$2:$G$1477,$B467))</f>
        <v>1</v>
      </c>
      <c r="G467" s="5" t="n">
        <f aca="false">SUMPRODUCT(EXACT('Rule-Event map'!$F$2:$F$1477,$A467)*EXACT('Rule-Event map'!$G$2:$G$1477,$B467)*('Rule-Event map'!$C$2:$C$1477="New ITDR (7.6.0)"))</f>
        <v>0</v>
      </c>
      <c r="H467" s="5" t="n">
        <f aca="false">SUMPRODUCT(EXACT('Rule-Event map'!$F$2:$F$1477,$A467)*EXACT('Rule-Event map'!$G$2:$G$1477,$B467)*('Rule-Event map'!$C$2:$C$1477="Existing, re-tagged ITDR"))</f>
        <v>0</v>
      </c>
      <c r="I467" s="5" t="n">
        <f aca="false">F467-G467-H467</f>
        <v>1</v>
      </c>
      <c r="J467" s="5" t="n">
        <f aca="false">SUMPRODUCT(EXACT('Rule-Event map'!$F$2:$F$1477,$A467)*EXACT('Rule-Event map'!$G$2:$G$1477,$B467)*('Rule-Event map'!$E$2:$E$1477="Enabled"))</f>
        <v>1</v>
      </c>
      <c r="K467" s="2" t="s">
        <v>2513</v>
      </c>
    </row>
    <row r="468" customFormat="false" ht="15" hidden="false" customHeight="false" outlineLevel="0" collapsed="false">
      <c r="A468" s="5" t="s">
        <v>7670</v>
      </c>
      <c r="B468" s="2" t="s">
        <v>2556</v>
      </c>
      <c r="C468" s="5"/>
      <c r="D468" s="5"/>
      <c r="E468" s="5" t="s">
        <v>8336</v>
      </c>
      <c r="F468" s="5" t="n">
        <f aca="false">SUMPRODUCT(EXACT('Rule-Event map'!$F$2:$F$1477,$A468)*EXACT('Rule-Event map'!$G$2:$G$1477,$B468))</f>
        <v>1</v>
      </c>
      <c r="G468" s="5" t="n">
        <f aca="false">SUMPRODUCT(EXACT('Rule-Event map'!$F$2:$F$1477,$A468)*EXACT('Rule-Event map'!$G$2:$G$1477,$B468)*('Rule-Event map'!$C$2:$C$1477="New ITDR (7.6.0)"))</f>
        <v>0</v>
      </c>
      <c r="H468" s="5" t="n">
        <f aca="false">SUMPRODUCT(EXACT('Rule-Event map'!$F$2:$F$1477,$A468)*EXACT('Rule-Event map'!$G$2:$G$1477,$B468)*('Rule-Event map'!$C$2:$C$1477="Existing, re-tagged ITDR"))</f>
        <v>0</v>
      </c>
      <c r="I468" s="5" t="n">
        <f aca="false">F468-G468-H468</f>
        <v>1</v>
      </c>
      <c r="J468" s="5" t="n">
        <f aca="false">SUMPRODUCT(EXACT('Rule-Event map'!$F$2:$F$1477,$A468)*EXACT('Rule-Event map'!$G$2:$G$1477,$B468)*('Rule-Event map'!$E$2:$E$1477="Enabled"))</f>
        <v>1</v>
      </c>
      <c r="K468" s="2" t="s">
        <v>2555</v>
      </c>
    </row>
    <row r="469" customFormat="false" ht="15" hidden="false" customHeight="false" outlineLevel="0" collapsed="false">
      <c r="A469" s="5" t="s">
        <v>7670</v>
      </c>
      <c r="B469" s="2" t="s">
        <v>2543</v>
      </c>
      <c r="C469" s="5"/>
      <c r="D469" s="5"/>
      <c r="E469" s="5" t="s">
        <v>8336</v>
      </c>
      <c r="F469" s="5" t="n">
        <f aca="false">SUMPRODUCT(EXACT('Rule-Event map'!$F$2:$F$1477,$A469)*EXACT('Rule-Event map'!$G$2:$G$1477,$B469))</f>
        <v>2</v>
      </c>
      <c r="G469" s="5" t="n">
        <f aca="false">SUMPRODUCT(EXACT('Rule-Event map'!$F$2:$F$1477,$A469)*EXACT('Rule-Event map'!$G$2:$G$1477,$B469)*('Rule-Event map'!$C$2:$C$1477="New ITDR (7.6.0)"))</f>
        <v>0</v>
      </c>
      <c r="H469" s="5" t="n">
        <f aca="false">SUMPRODUCT(EXACT('Rule-Event map'!$F$2:$F$1477,$A469)*EXACT('Rule-Event map'!$G$2:$G$1477,$B469)*('Rule-Event map'!$C$2:$C$1477="Existing, re-tagged ITDR"))</f>
        <v>0</v>
      </c>
      <c r="I469" s="5" t="n">
        <f aca="false">F469-G469-H469</f>
        <v>2</v>
      </c>
      <c r="J469" s="5" t="n">
        <f aca="false">SUMPRODUCT(EXACT('Rule-Event map'!$F$2:$F$1477,$A469)*EXACT('Rule-Event map'!$G$2:$G$1477,$B469)*('Rule-Event map'!$E$2:$E$1477="Enabled"))</f>
        <v>2</v>
      </c>
      <c r="K469" s="2" t="s">
        <v>8375</v>
      </c>
    </row>
    <row r="470" customFormat="false" ht="15" hidden="false" customHeight="false" outlineLevel="0" collapsed="false">
      <c r="A470" s="5" t="s">
        <v>7670</v>
      </c>
      <c r="B470" s="2" t="s">
        <v>7782</v>
      </c>
      <c r="C470" s="5"/>
      <c r="D470" s="5"/>
      <c r="E470" s="5" t="s">
        <v>8336</v>
      </c>
      <c r="F470" s="5" t="n">
        <f aca="false">SUMPRODUCT(EXACT('Rule-Event map'!$F$2:$F$1477,$A470)*EXACT('Rule-Event map'!$G$2:$G$1477,$B470))</f>
        <v>1</v>
      </c>
      <c r="G470" s="5" t="n">
        <f aca="false">SUMPRODUCT(EXACT('Rule-Event map'!$F$2:$F$1477,$A470)*EXACT('Rule-Event map'!$G$2:$G$1477,$B470)*('Rule-Event map'!$C$2:$C$1477="New ITDR (7.6.0)"))</f>
        <v>0</v>
      </c>
      <c r="H470" s="5" t="n">
        <f aca="false">SUMPRODUCT(EXACT('Rule-Event map'!$F$2:$F$1477,$A470)*EXACT('Rule-Event map'!$G$2:$G$1477,$B470)*('Rule-Event map'!$C$2:$C$1477="Existing, re-tagged ITDR"))</f>
        <v>0</v>
      </c>
      <c r="I470" s="5" t="n">
        <f aca="false">F470-G470-H470</f>
        <v>1</v>
      </c>
      <c r="J470" s="5" t="n">
        <f aca="false">SUMPRODUCT(EXACT('Rule-Event map'!$F$2:$F$1477,$A470)*EXACT('Rule-Event map'!$G$2:$G$1477,$B470)*('Rule-Event map'!$E$2:$E$1477="Enabled"))</f>
        <v>1</v>
      </c>
      <c r="K470" s="2" t="s">
        <v>2535</v>
      </c>
    </row>
    <row r="471" customFormat="false" ht="15" hidden="false" customHeight="false" outlineLevel="0" collapsed="false">
      <c r="A471" s="5" t="s">
        <v>7670</v>
      </c>
      <c r="B471" s="2" t="s">
        <v>2537</v>
      </c>
      <c r="C471" s="5"/>
      <c r="D471" s="5"/>
      <c r="E471" s="5" t="s">
        <v>8336</v>
      </c>
      <c r="F471" s="5" t="n">
        <f aca="false">SUMPRODUCT(EXACT('Rule-Event map'!$F$2:$F$1477,$A471)*EXACT('Rule-Event map'!$G$2:$G$1477,$B471))</f>
        <v>1</v>
      </c>
      <c r="G471" s="5" t="n">
        <f aca="false">SUMPRODUCT(EXACT('Rule-Event map'!$F$2:$F$1477,$A471)*EXACT('Rule-Event map'!$G$2:$G$1477,$B471)*('Rule-Event map'!$C$2:$C$1477="New ITDR (7.6.0)"))</f>
        <v>0</v>
      </c>
      <c r="H471" s="5" t="n">
        <f aca="false">SUMPRODUCT(EXACT('Rule-Event map'!$F$2:$F$1477,$A471)*EXACT('Rule-Event map'!$G$2:$G$1477,$B471)*('Rule-Event map'!$C$2:$C$1477="Existing, re-tagged ITDR"))</f>
        <v>0</v>
      </c>
      <c r="I471" s="5" t="n">
        <f aca="false">F471-G471-H471</f>
        <v>1</v>
      </c>
      <c r="J471" s="5" t="n">
        <f aca="false">SUMPRODUCT(EXACT('Rule-Event map'!$F$2:$F$1477,$A471)*EXACT('Rule-Event map'!$G$2:$G$1477,$B471)*('Rule-Event map'!$E$2:$E$1477="Enabled"))</f>
        <v>1</v>
      </c>
      <c r="K471" s="2" t="s">
        <v>2578</v>
      </c>
    </row>
    <row r="472" customFormat="false" ht="15" hidden="false" customHeight="false" outlineLevel="0" collapsed="false">
      <c r="A472" s="5" t="s">
        <v>7670</v>
      </c>
      <c r="B472" s="2" t="s">
        <v>2562</v>
      </c>
      <c r="C472" s="5"/>
      <c r="D472" s="5"/>
      <c r="E472" s="5" t="s">
        <v>8336</v>
      </c>
      <c r="F472" s="5" t="n">
        <f aca="false">SUMPRODUCT(EXACT('Rule-Event map'!$F$2:$F$1477,$A472)*EXACT('Rule-Event map'!$G$2:$G$1477,$B472))</f>
        <v>1</v>
      </c>
      <c r="G472" s="5" t="n">
        <f aca="false">SUMPRODUCT(EXACT('Rule-Event map'!$F$2:$F$1477,$A472)*EXACT('Rule-Event map'!$G$2:$G$1477,$B472)*('Rule-Event map'!$C$2:$C$1477="New ITDR (7.6.0)"))</f>
        <v>0</v>
      </c>
      <c r="H472" s="5" t="n">
        <f aca="false">SUMPRODUCT(EXACT('Rule-Event map'!$F$2:$F$1477,$A472)*EXACT('Rule-Event map'!$G$2:$G$1477,$B472)*('Rule-Event map'!$C$2:$C$1477="Existing, re-tagged ITDR"))</f>
        <v>0</v>
      </c>
      <c r="I472" s="5" t="n">
        <f aca="false">F472-G472-H472</f>
        <v>1</v>
      </c>
      <c r="J472" s="5" t="n">
        <f aca="false">SUMPRODUCT(EXACT('Rule-Event map'!$F$2:$F$1477,$A472)*EXACT('Rule-Event map'!$G$2:$G$1477,$B472)*('Rule-Event map'!$E$2:$E$1477="Enabled"))</f>
        <v>1</v>
      </c>
      <c r="K472" s="2" t="s">
        <v>2561</v>
      </c>
    </row>
    <row r="473" customFormat="false" ht="15" hidden="false" customHeight="false" outlineLevel="0" collapsed="false">
      <c r="A473" s="5" t="s">
        <v>7670</v>
      </c>
      <c r="B473" s="2" t="s">
        <v>2574</v>
      </c>
      <c r="C473" s="5"/>
      <c r="D473" s="5"/>
      <c r="E473" s="5" t="s">
        <v>8336</v>
      </c>
      <c r="F473" s="5" t="n">
        <f aca="false">SUMPRODUCT(EXACT('Rule-Event map'!$F$2:$F$1477,$A473)*EXACT('Rule-Event map'!$G$2:$G$1477,$B473))</f>
        <v>2</v>
      </c>
      <c r="G473" s="5" t="n">
        <f aca="false">SUMPRODUCT(EXACT('Rule-Event map'!$F$2:$F$1477,$A473)*EXACT('Rule-Event map'!$G$2:$G$1477,$B473)*('Rule-Event map'!$C$2:$C$1477="New ITDR (7.6.0)"))</f>
        <v>0</v>
      </c>
      <c r="H473" s="5" t="n">
        <f aca="false">SUMPRODUCT(EXACT('Rule-Event map'!$F$2:$F$1477,$A473)*EXACT('Rule-Event map'!$G$2:$G$1477,$B473)*('Rule-Event map'!$C$2:$C$1477="Existing, re-tagged ITDR"))</f>
        <v>0</v>
      </c>
      <c r="I473" s="5" t="n">
        <f aca="false">F473-G473-H473</f>
        <v>2</v>
      </c>
      <c r="J473" s="5" t="n">
        <f aca="false">SUMPRODUCT(EXACT('Rule-Event map'!$F$2:$F$1477,$A473)*EXACT('Rule-Event map'!$G$2:$G$1477,$B473)*('Rule-Event map'!$E$2:$E$1477="Enabled"))</f>
        <v>2</v>
      </c>
      <c r="K473" s="2" t="s">
        <v>8376</v>
      </c>
    </row>
    <row r="474" customFormat="false" ht="15" hidden="false" customHeight="false" outlineLevel="0" collapsed="false">
      <c r="A474" s="5" t="s">
        <v>7670</v>
      </c>
      <c r="B474" s="2" t="s">
        <v>2585</v>
      </c>
      <c r="C474" s="5"/>
      <c r="D474" s="5"/>
      <c r="E474" s="5" t="s">
        <v>8336</v>
      </c>
      <c r="F474" s="5" t="n">
        <f aca="false">SUMPRODUCT(EXACT('Rule-Event map'!$F$2:$F$1477,$A474)*EXACT('Rule-Event map'!$G$2:$G$1477,$B474))</f>
        <v>1</v>
      </c>
      <c r="G474" s="5" t="n">
        <f aca="false">SUMPRODUCT(EXACT('Rule-Event map'!$F$2:$F$1477,$A474)*EXACT('Rule-Event map'!$G$2:$G$1477,$B474)*('Rule-Event map'!$C$2:$C$1477="New ITDR (7.6.0)"))</f>
        <v>0</v>
      </c>
      <c r="H474" s="5" t="n">
        <f aca="false">SUMPRODUCT(EXACT('Rule-Event map'!$F$2:$F$1477,$A474)*EXACT('Rule-Event map'!$G$2:$G$1477,$B474)*('Rule-Event map'!$C$2:$C$1477="Existing, re-tagged ITDR"))</f>
        <v>0</v>
      </c>
      <c r="I474" s="5" t="n">
        <f aca="false">F474-G474-H474</f>
        <v>1</v>
      </c>
      <c r="J474" s="5" t="n">
        <f aca="false">SUMPRODUCT(EXACT('Rule-Event map'!$F$2:$F$1477,$A474)*EXACT('Rule-Event map'!$G$2:$G$1477,$B474)*('Rule-Event map'!$E$2:$E$1477="Enabled"))</f>
        <v>1</v>
      </c>
      <c r="K474" s="2" t="s">
        <v>2584</v>
      </c>
    </row>
    <row r="475" customFormat="false" ht="23.85" hidden="false" customHeight="false" outlineLevel="0" collapsed="false">
      <c r="A475" s="5" t="s">
        <v>7670</v>
      </c>
      <c r="B475" s="2" t="s">
        <v>2472</v>
      </c>
      <c r="C475" s="5"/>
      <c r="D475" s="5"/>
      <c r="E475" s="5" t="s">
        <v>8336</v>
      </c>
      <c r="F475" s="5" t="n">
        <f aca="false">SUMPRODUCT(EXACT('Rule-Event map'!$F$2:$F$1477,$A475)*EXACT('Rule-Event map'!$G$2:$G$1477,$B475))</f>
        <v>1</v>
      </c>
      <c r="G475" s="5" t="n">
        <f aca="false">SUMPRODUCT(EXACT('Rule-Event map'!$F$2:$F$1477,$A475)*EXACT('Rule-Event map'!$G$2:$G$1477,$B475)*('Rule-Event map'!$C$2:$C$1477="New ITDR (7.6.0)"))</f>
        <v>0</v>
      </c>
      <c r="H475" s="5" t="n">
        <f aca="false">SUMPRODUCT(EXACT('Rule-Event map'!$F$2:$F$1477,$A475)*EXACT('Rule-Event map'!$G$2:$G$1477,$B475)*('Rule-Event map'!$C$2:$C$1477="Existing, re-tagged ITDR"))</f>
        <v>0</v>
      </c>
      <c r="I475" s="5" t="n">
        <f aca="false">F475-G475-H475</f>
        <v>1</v>
      </c>
      <c r="J475" s="5" t="n">
        <f aca="false">SUMPRODUCT(EXACT('Rule-Event map'!$F$2:$F$1477,$A475)*EXACT('Rule-Event map'!$G$2:$G$1477,$B475)*('Rule-Event map'!$E$2:$E$1477="Enabled"))</f>
        <v>1</v>
      </c>
      <c r="K475" s="2" t="s">
        <v>2471</v>
      </c>
    </row>
    <row r="476" customFormat="false" ht="23.85" hidden="false" customHeight="false" outlineLevel="0" collapsed="false">
      <c r="A476" s="5" t="s">
        <v>7670</v>
      </c>
      <c r="B476" s="2" t="s">
        <v>2457</v>
      </c>
      <c r="C476" s="5"/>
      <c r="D476" s="5"/>
      <c r="E476" s="5" t="s">
        <v>8336</v>
      </c>
      <c r="F476" s="5" t="n">
        <f aca="false">SUMPRODUCT(EXACT('Rule-Event map'!$F$2:$F$1477,$A476)*EXACT('Rule-Event map'!$G$2:$G$1477,$B476))</f>
        <v>1</v>
      </c>
      <c r="G476" s="5" t="n">
        <f aca="false">SUMPRODUCT(EXACT('Rule-Event map'!$F$2:$F$1477,$A476)*EXACT('Rule-Event map'!$G$2:$G$1477,$B476)*('Rule-Event map'!$C$2:$C$1477="New ITDR (7.6.0)"))</f>
        <v>0</v>
      </c>
      <c r="H476" s="5" t="n">
        <f aca="false">SUMPRODUCT(EXACT('Rule-Event map'!$F$2:$F$1477,$A476)*EXACT('Rule-Event map'!$G$2:$G$1477,$B476)*('Rule-Event map'!$C$2:$C$1477="Existing, re-tagged ITDR"))</f>
        <v>0</v>
      </c>
      <c r="I476" s="5" t="n">
        <f aca="false">F476-G476-H476</f>
        <v>1</v>
      </c>
      <c r="J476" s="5" t="n">
        <f aca="false">SUMPRODUCT(EXACT('Rule-Event map'!$F$2:$F$1477,$A476)*EXACT('Rule-Event map'!$G$2:$G$1477,$B476)*('Rule-Event map'!$E$2:$E$1477="Enabled"))</f>
        <v>1</v>
      </c>
      <c r="K476" s="2" t="s">
        <v>2456</v>
      </c>
    </row>
    <row r="477" customFormat="false" ht="23.85" hidden="false" customHeight="false" outlineLevel="0" collapsed="false">
      <c r="A477" s="5" t="s">
        <v>7670</v>
      </c>
      <c r="B477" s="2" t="s">
        <v>2464</v>
      </c>
      <c r="C477" s="5"/>
      <c r="D477" s="5"/>
      <c r="E477" s="5" t="s">
        <v>8336</v>
      </c>
      <c r="F477" s="5" t="n">
        <f aca="false">SUMPRODUCT(EXACT('Rule-Event map'!$F$2:$F$1477,$A477)*EXACT('Rule-Event map'!$G$2:$G$1477,$B477))</f>
        <v>1</v>
      </c>
      <c r="G477" s="5" t="n">
        <f aca="false">SUMPRODUCT(EXACT('Rule-Event map'!$F$2:$F$1477,$A477)*EXACT('Rule-Event map'!$G$2:$G$1477,$B477)*('Rule-Event map'!$C$2:$C$1477="New ITDR (7.6.0)"))</f>
        <v>0</v>
      </c>
      <c r="H477" s="5" t="n">
        <f aca="false">SUMPRODUCT(EXACT('Rule-Event map'!$F$2:$F$1477,$A477)*EXACT('Rule-Event map'!$G$2:$G$1477,$B477)*('Rule-Event map'!$C$2:$C$1477="Existing, re-tagged ITDR"))</f>
        <v>0</v>
      </c>
      <c r="I477" s="5" t="n">
        <f aca="false">F477-G477-H477</f>
        <v>1</v>
      </c>
      <c r="J477" s="5" t="n">
        <f aca="false">SUMPRODUCT(EXACT('Rule-Event map'!$F$2:$F$1477,$A477)*EXACT('Rule-Event map'!$G$2:$G$1477,$B477)*('Rule-Event map'!$E$2:$E$1477="Enabled"))</f>
        <v>1</v>
      </c>
      <c r="K477" s="2" t="s">
        <v>2463</v>
      </c>
    </row>
    <row r="478" customFormat="false" ht="23.85" hidden="false" customHeight="false" outlineLevel="0" collapsed="false">
      <c r="A478" s="5" t="s">
        <v>7670</v>
      </c>
      <c r="B478" s="2" t="s">
        <v>2449</v>
      </c>
      <c r="C478" s="5"/>
      <c r="D478" s="5"/>
      <c r="E478" s="5" t="s">
        <v>8336</v>
      </c>
      <c r="F478" s="5" t="n">
        <f aca="false">SUMPRODUCT(EXACT('Rule-Event map'!$F$2:$F$1477,$A478)*EXACT('Rule-Event map'!$G$2:$G$1477,$B478))</f>
        <v>1</v>
      </c>
      <c r="G478" s="5" t="n">
        <f aca="false">SUMPRODUCT(EXACT('Rule-Event map'!$F$2:$F$1477,$A478)*EXACT('Rule-Event map'!$G$2:$G$1477,$B478)*('Rule-Event map'!$C$2:$C$1477="New ITDR (7.6.0)"))</f>
        <v>0</v>
      </c>
      <c r="H478" s="5" t="n">
        <f aca="false">SUMPRODUCT(EXACT('Rule-Event map'!$F$2:$F$1477,$A478)*EXACT('Rule-Event map'!$G$2:$G$1477,$B478)*('Rule-Event map'!$C$2:$C$1477="Existing, re-tagged ITDR"))</f>
        <v>0</v>
      </c>
      <c r="I478" s="5" t="n">
        <f aca="false">F478-G478-H478</f>
        <v>1</v>
      </c>
      <c r="J478" s="5" t="n">
        <f aca="false">SUMPRODUCT(EXACT('Rule-Event map'!$F$2:$F$1477,$A478)*EXACT('Rule-Event map'!$G$2:$G$1477,$B478)*('Rule-Event map'!$E$2:$E$1477="Enabled"))</f>
        <v>1</v>
      </c>
      <c r="K478" s="2" t="s">
        <v>2447</v>
      </c>
    </row>
    <row r="479" customFormat="false" ht="15" hidden="false" customHeight="false" outlineLevel="0" collapsed="false">
      <c r="A479" s="5" t="s">
        <v>7670</v>
      </c>
      <c r="B479" s="2" t="s">
        <v>2834</v>
      </c>
      <c r="C479" s="5"/>
      <c r="D479" s="5"/>
      <c r="E479" s="5" t="s">
        <v>8336</v>
      </c>
      <c r="F479" s="5" t="n">
        <f aca="false">SUMPRODUCT(EXACT('Rule-Event map'!$F$2:$F$1477,$A479)*EXACT('Rule-Event map'!$G$2:$G$1477,$B479))</f>
        <v>1</v>
      </c>
      <c r="G479" s="5" t="n">
        <f aca="false">SUMPRODUCT(EXACT('Rule-Event map'!$F$2:$F$1477,$A479)*EXACT('Rule-Event map'!$G$2:$G$1477,$B479)*('Rule-Event map'!$C$2:$C$1477="New ITDR (7.6.0)"))</f>
        <v>0</v>
      </c>
      <c r="H479" s="5" t="n">
        <f aca="false">SUMPRODUCT(EXACT('Rule-Event map'!$F$2:$F$1477,$A479)*EXACT('Rule-Event map'!$G$2:$G$1477,$B479)*('Rule-Event map'!$C$2:$C$1477="Existing, re-tagged ITDR"))</f>
        <v>0</v>
      </c>
      <c r="I479" s="5" t="n">
        <f aca="false">F479-G479-H479</f>
        <v>1</v>
      </c>
      <c r="J479" s="5" t="n">
        <f aca="false">SUMPRODUCT(EXACT('Rule-Event map'!$F$2:$F$1477,$A479)*EXACT('Rule-Event map'!$G$2:$G$1477,$B479)*('Rule-Event map'!$E$2:$E$1477="Enabled"))</f>
        <v>0</v>
      </c>
      <c r="K479" s="2" t="s">
        <v>2833</v>
      </c>
    </row>
    <row r="480" customFormat="false" ht="23.85" hidden="false" customHeight="false" outlineLevel="0" collapsed="false">
      <c r="A480" s="5" t="s">
        <v>7670</v>
      </c>
      <c r="B480" s="2" t="s">
        <v>4958</v>
      </c>
      <c r="C480" s="5"/>
      <c r="D480" s="5"/>
      <c r="E480" s="5" t="s">
        <v>8336</v>
      </c>
      <c r="F480" s="5" t="n">
        <f aca="false">SUMPRODUCT(EXACT('Rule-Event map'!$F$2:$F$1477,$A480)*EXACT('Rule-Event map'!$G$2:$G$1477,$B480))</f>
        <v>2</v>
      </c>
      <c r="G480" s="5" t="n">
        <f aca="false">SUMPRODUCT(EXACT('Rule-Event map'!$F$2:$F$1477,$A480)*EXACT('Rule-Event map'!$G$2:$G$1477,$B480)*('Rule-Event map'!$C$2:$C$1477="New ITDR (7.6.0)"))</f>
        <v>0</v>
      </c>
      <c r="H480" s="5" t="n">
        <f aca="false">SUMPRODUCT(EXACT('Rule-Event map'!$F$2:$F$1477,$A480)*EXACT('Rule-Event map'!$G$2:$G$1477,$B480)*('Rule-Event map'!$C$2:$C$1477="Existing, re-tagged ITDR"))</f>
        <v>0</v>
      </c>
      <c r="I480" s="5" t="n">
        <f aca="false">F480-G480-H480</f>
        <v>2</v>
      </c>
      <c r="J480" s="5" t="n">
        <f aca="false">SUMPRODUCT(EXACT('Rule-Event map'!$F$2:$F$1477,$A480)*EXACT('Rule-Event map'!$G$2:$G$1477,$B480)*('Rule-Event map'!$E$2:$E$1477="Enabled"))</f>
        <v>2</v>
      </c>
      <c r="K480" s="2" t="s">
        <v>8377</v>
      </c>
    </row>
    <row r="481" customFormat="false" ht="23.85" hidden="false" customHeight="false" outlineLevel="0" collapsed="false">
      <c r="A481" s="5" t="s">
        <v>7670</v>
      </c>
      <c r="B481" s="2" t="s">
        <v>4967</v>
      </c>
      <c r="C481" s="5"/>
      <c r="D481" s="5"/>
      <c r="E481" s="5" t="s">
        <v>8336</v>
      </c>
      <c r="F481" s="5" t="n">
        <f aca="false">SUMPRODUCT(EXACT('Rule-Event map'!$F$2:$F$1477,$A481)*EXACT('Rule-Event map'!$G$2:$G$1477,$B481))</f>
        <v>2</v>
      </c>
      <c r="G481" s="5" t="n">
        <f aca="false">SUMPRODUCT(EXACT('Rule-Event map'!$F$2:$F$1477,$A481)*EXACT('Rule-Event map'!$G$2:$G$1477,$B481)*('Rule-Event map'!$C$2:$C$1477="New ITDR (7.6.0)"))</f>
        <v>0</v>
      </c>
      <c r="H481" s="5" t="n">
        <f aca="false">SUMPRODUCT(EXACT('Rule-Event map'!$F$2:$F$1477,$A481)*EXACT('Rule-Event map'!$G$2:$G$1477,$B481)*('Rule-Event map'!$C$2:$C$1477="Existing, re-tagged ITDR"))</f>
        <v>0</v>
      </c>
      <c r="I481" s="5" t="n">
        <f aca="false">F481-G481-H481</f>
        <v>2</v>
      </c>
      <c r="J481" s="5" t="n">
        <f aca="false">SUMPRODUCT(EXACT('Rule-Event map'!$F$2:$F$1477,$A481)*EXACT('Rule-Event map'!$G$2:$G$1477,$B481)*('Rule-Event map'!$E$2:$E$1477="Enabled"))</f>
        <v>2</v>
      </c>
      <c r="K481" s="2" t="s">
        <v>8378</v>
      </c>
    </row>
    <row r="482" customFormat="false" ht="23.85" hidden="false" customHeight="false" outlineLevel="0" collapsed="false">
      <c r="A482" s="5" t="s">
        <v>7670</v>
      </c>
      <c r="B482" s="2" t="s">
        <v>4973</v>
      </c>
      <c r="C482" s="5"/>
      <c r="D482" s="5"/>
      <c r="E482" s="5" t="s">
        <v>8336</v>
      </c>
      <c r="F482" s="5" t="n">
        <f aca="false">SUMPRODUCT(EXACT('Rule-Event map'!$F$2:$F$1477,$A482)*EXACT('Rule-Event map'!$G$2:$G$1477,$B482))</f>
        <v>2</v>
      </c>
      <c r="G482" s="5" t="n">
        <f aca="false">SUMPRODUCT(EXACT('Rule-Event map'!$F$2:$F$1477,$A482)*EXACT('Rule-Event map'!$G$2:$G$1477,$B482)*('Rule-Event map'!$C$2:$C$1477="New ITDR (7.6.0)"))</f>
        <v>0</v>
      </c>
      <c r="H482" s="5" t="n">
        <f aca="false">SUMPRODUCT(EXACT('Rule-Event map'!$F$2:$F$1477,$A482)*EXACT('Rule-Event map'!$G$2:$G$1477,$B482)*('Rule-Event map'!$C$2:$C$1477="Existing, re-tagged ITDR"))</f>
        <v>0</v>
      </c>
      <c r="I482" s="5" t="n">
        <f aca="false">F482-G482-H482</f>
        <v>2</v>
      </c>
      <c r="J482" s="5" t="n">
        <f aca="false">SUMPRODUCT(EXACT('Rule-Event map'!$F$2:$F$1477,$A482)*EXACT('Rule-Event map'!$G$2:$G$1477,$B482)*('Rule-Event map'!$E$2:$E$1477="Enabled"))</f>
        <v>2</v>
      </c>
      <c r="K482" s="2" t="s">
        <v>8379</v>
      </c>
    </row>
    <row r="483" customFormat="false" ht="23.85" hidden="false" customHeight="false" outlineLevel="0" collapsed="false">
      <c r="A483" s="5" t="s">
        <v>7670</v>
      </c>
      <c r="B483" s="2" t="s">
        <v>7677</v>
      </c>
      <c r="C483" s="5"/>
      <c r="D483" s="5"/>
      <c r="E483" s="5" t="s">
        <v>8336</v>
      </c>
      <c r="F483" s="5" t="n">
        <f aca="false">SUMPRODUCT(EXACT('Rule-Event map'!$F$2:$F$1477,$A483)*EXACT('Rule-Event map'!$G$2:$G$1477,$B483))</f>
        <v>1</v>
      </c>
      <c r="G483" s="5" t="n">
        <f aca="false">SUMPRODUCT(EXACT('Rule-Event map'!$F$2:$F$1477,$A483)*EXACT('Rule-Event map'!$G$2:$G$1477,$B483)*('Rule-Event map'!$C$2:$C$1477="New ITDR (7.6.0)"))</f>
        <v>0</v>
      </c>
      <c r="H483" s="5" t="n">
        <f aca="false">SUMPRODUCT(EXACT('Rule-Event map'!$F$2:$F$1477,$A483)*EXACT('Rule-Event map'!$G$2:$G$1477,$B483)*('Rule-Event map'!$C$2:$C$1477="Existing, re-tagged ITDR"))</f>
        <v>1</v>
      </c>
      <c r="I483" s="5" t="n">
        <f aca="false">F483-G483-H483</f>
        <v>0</v>
      </c>
      <c r="J483" s="5" t="n">
        <f aca="false">SUMPRODUCT(EXACT('Rule-Event map'!$F$2:$F$1477,$A483)*EXACT('Rule-Event map'!$G$2:$G$1477,$B483)*('Rule-Event map'!$E$2:$E$1477="Enabled"))</f>
        <v>1</v>
      </c>
      <c r="K483" s="2" t="s">
        <v>592</v>
      </c>
    </row>
    <row r="484" customFormat="false" ht="23.85" hidden="false" customHeight="false" outlineLevel="0" collapsed="false">
      <c r="A484" s="5" t="s">
        <v>7670</v>
      </c>
      <c r="B484" s="2" t="s">
        <v>7676</v>
      </c>
      <c r="C484" s="5"/>
      <c r="D484" s="5"/>
      <c r="E484" s="5" t="s">
        <v>8336</v>
      </c>
      <c r="F484" s="5" t="n">
        <f aca="false">SUMPRODUCT(EXACT('Rule-Event map'!$F$2:$F$1477,$A484)*EXACT('Rule-Event map'!$G$2:$G$1477,$B484))</f>
        <v>1</v>
      </c>
      <c r="G484" s="5" t="n">
        <f aca="false">SUMPRODUCT(EXACT('Rule-Event map'!$F$2:$F$1477,$A484)*EXACT('Rule-Event map'!$G$2:$G$1477,$B484)*('Rule-Event map'!$C$2:$C$1477="New ITDR (7.6.0)"))</f>
        <v>0</v>
      </c>
      <c r="H484" s="5" t="n">
        <f aca="false">SUMPRODUCT(EXACT('Rule-Event map'!$F$2:$F$1477,$A484)*EXACT('Rule-Event map'!$G$2:$G$1477,$B484)*('Rule-Event map'!$C$2:$C$1477="Existing, re-tagged ITDR"))</f>
        <v>1</v>
      </c>
      <c r="I484" s="5" t="n">
        <f aca="false">F484-G484-H484</f>
        <v>0</v>
      </c>
      <c r="J484" s="5" t="n">
        <f aca="false">SUMPRODUCT(EXACT('Rule-Event map'!$F$2:$F$1477,$A484)*EXACT('Rule-Event map'!$G$2:$G$1477,$B484)*('Rule-Event map'!$E$2:$E$1477="Enabled"))</f>
        <v>1</v>
      </c>
      <c r="K484" s="2" t="s">
        <v>592</v>
      </c>
    </row>
    <row r="485" customFormat="false" ht="15" hidden="false" customHeight="false" outlineLevel="0" collapsed="false">
      <c r="A485" s="5" t="s">
        <v>7670</v>
      </c>
      <c r="B485" s="2" t="s">
        <v>1061</v>
      </c>
      <c r="C485" s="5"/>
      <c r="D485" s="5"/>
      <c r="E485" s="5" t="s">
        <v>8336</v>
      </c>
      <c r="F485" s="5" t="n">
        <f aca="false">SUMPRODUCT(EXACT('Rule-Event map'!$F$2:$F$1477,$A485)*EXACT('Rule-Event map'!$G$2:$G$1477,$B485))</f>
        <v>1</v>
      </c>
      <c r="G485" s="5" t="n">
        <f aca="false">SUMPRODUCT(EXACT('Rule-Event map'!$F$2:$F$1477,$A485)*EXACT('Rule-Event map'!$G$2:$G$1477,$B485)*('Rule-Event map'!$C$2:$C$1477="New ITDR (7.6.0)"))</f>
        <v>0</v>
      </c>
      <c r="H485" s="5" t="n">
        <f aca="false">SUMPRODUCT(EXACT('Rule-Event map'!$F$2:$F$1477,$A485)*EXACT('Rule-Event map'!$G$2:$G$1477,$B485)*('Rule-Event map'!$C$2:$C$1477="Existing, re-tagged ITDR"))</f>
        <v>1</v>
      </c>
      <c r="I485" s="5" t="n">
        <f aca="false">F485-G485-H485</f>
        <v>0</v>
      </c>
      <c r="J485" s="5" t="n">
        <f aca="false">SUMPRODUCT(EXACT('Rule-Event map'!$F$2:$F$1477,$A485)*EXACT('Rule-Event map'!$G$2:$G$1477,$B485)*('Rule-Event map'!$E$2:$E$1477="Enabled"))</f>
        <v>1</v>
      </c>
      <c r="K485" s="2" t="s">
        <v>1060</v>
      </c>
    </row>
    <row r="486" customFormat="false" ht="15" hidden="false" customHeight="false" outlineLevel="0" collapsed="false">
      <c r="A486" s="5" t="s">
        <v>7670</v>
      </c>
      <c r="B486" s="2" t="s">
        <v>1067</v>
      </c>
      <c r="C486" s="5"/>
      <c r="D486" s="5"/>
      <c r="E486" s="5" t="s">
        <v>8336</v>
      </c>
      <c r="F486" s="5" t="n">
        <f aca="false">SUMPRODUCT(EXACT('Rule-Event map'!$F$2:$F$1477,$A486)*EXACT('Rule-Event map'!$G$2:$G$1477,$B486))</f>
        <v>1</v>
      </c>
      <c r="G486" s="5" t="n">
        <f aca="false">SUMPRODUCT(EXACT('Rule-Event map'!$F$2:$F$1477,$A486)*EXACT('Rule-Event map'!$G$2:$G$1477,$B486)*('Rule-Event map'!$C$2:$C$1477="New ITDR (7.6.0)"))</f>
        <v>0</v>
      </c>
      <c r="H486" s="5" t="n">
        <f aca="false">SUMPRODUCT(EXACT('Rule-Event map'!$F$2:$F$1477,$A486)*EXACT('Rule-Event map'!$G$2:$G$1477,$B486)*('Rule-Event map'!$C$2:$C$1477="Existing, re-tagged ITDR"))</f>
        <v>1</v>
      </c>
      <c r="I486" s="5" t="n">
        <f aca="false">F486-G486-H486</f>
        <v>0</v>
      </c>
      <c r="J486" s="5" t="n">
        <f aca="false">SUMPRODUCT(EXACT('Rule-Event map'!$F$2:$F$1477,$A486)*EXACT('Rule-Event map'!$G$2:$G$1477,$B486)*('Rule-Event map'!$E$2:$E$1477="Enabled"))</f>
        <v>1</v>
      </c>
      <c r="K486" s="2" t="s">
        <v>1066</v>
      </c>
    </row>
    <row r="487" customFormat="false" ht="23.85" hidden="false" customHeight="false" outlineLevel="0" collapsed="false">
      <c r="A487" s="5" t="s">
        <v>7670</v>
      </c>
      <c r="B487" s="2" t="s">
        <v>2199</v>
      </c>
      <c r="C487" s="5"/>
      <c r="D487" s="5"/>
      <c r="E487" s="5" t="s">
        <v>8336</v>
      </c>
      <c r="F487" s="5" t="n">
        <f aca="false">SUMPRODUCT(EXACT('Rule-Event map'!$F$2:$F$1477,$A487)*EXACT('Rule-Event map'!$G$2:$G$1477,$B487))</f>
        <v>1</v>
      </c>
      <c r="G487" s="5" t="n">
        <f aca="false">SUMPRODUCT(EXACT('Rule-Event map'!$F$2:$F$1477,$A487)*EXACT('Rule-Event map'!$G$2:$G$1477,$B487)*('Rule-Event map'!$C$2:$C$1477="New ITDR (7.6.0)"))</f>
        <v>0</v>
      </c>
      <c r="H487" s="5" t="n">
        <f aca="false">SUMPRODUCT(EXACT('Rule-Event map'!$F$2:$F$1477,$A487)*EXACT('Rule-Event map'!$G$2:$G$1477,$B487)*('Rule-Event map'!$C$2:$C$1477="Existing, re-tagged ITDR"))</f>
        <v>0</v>
      </c>
      <c r="I487" s="5" t="n">
        <f aca="false">F487-G487-H487</f>
        <v>1</v>
      </c>
      <c r="J487" s="5" t="n">
        <f aca="false">SUMPRODUCT(EXACT('Rule-Event map'!$F$2:$F$1477,$A487)*EXACT('Rule-Event map'!$G$2:$G$1477,$B487)*('Rule-Event map'!$E$2:$E$1477="Enabled"))</f>
        <v>1</v>
      </c>
      <c r="K487" s="2" t="s">
        <v>2198</v>
      </c>
    </row>
    <row r="488" customFormat="false" ht="15" hidden="false" customHeight="false" outlineLevel="0" collapsed="false">
      <c r="A488" s="5" t="s">
        <v>7670</v>
      </c>
      <c r="B488" s="2" t="s">
        <v>949</v>
      </c>
      <c r="C488" s="5"/>
      <c r="D488" s="5"/>
      <c r="E488" s="5" t="s">
        <v>8336</v>
      </c>
      <c r="F488" s="5" t="n">
        <f aca="false">SUMPRODUCT(EXACT('Rule-Event map'!$F$2:$F$1477,$A488)*EXACT('Rule-Event map'!$G$2:$G$1477,$B488))</f>
        <v>1</v>
      </c>
      <c r="G488" s="5" t="n">
        <f aca="false">SUMPRODUCT(EXACT('Rule-Event map'!$F$2:$F$1477,$A488)*EXACT('Rule-Event map'!$G$2:$G$1477,$B488)*('Rule-Event map'!$C$2:$C$1477="New ITDR (7.6.0)"))</f>
        <v>0</v>
      </c>
      <c r="H488" s="5" t="n">
        <f aca="false">SUMPRODUCT(EXACT('Rule-Event map'!$F$2:$F$1477,$A488)*EXACT('Rule-Event map'!$G$2:$G$1477,$B488)*('Rule-Event map'!$C$2:$C$1477="Existing, re-tagged ITDR"))</f>
        <v>1</v>
      </c>
      <c r="I488" s="5" t="n">
        <f aca="false">F488-G488-H488</f>
        <v>0</v>
      </c>
      <c r="J488" s="5" t="n">
        <f aca="false">SUMPRODUCT(EXACT('Rule-Event map'!$F$2:$F$1477,$A488)*EXACT('Rule-Event map'!$G$2:$G$1477,$B488)*('Rule-Event map'!$E$2:$E$1477="Enabled"))</f>
        <v>1</v>
      </c>
      <c r="K488" s="2" t="s">
        <v>947</v>
      </c>
    </row>
    <row r="489" customFormat="false" ht="15" hidden="false" customHeight="false" outlineLevel="0" collapsed="false">
      <c r="A489" s="5" t="s">
        <v>7670</v>
      </c>
      <c r="B489" s="2" t="s">
        <v>2638</v>
      </c>
      <c r="C489" s="5"/>
      <c r="D489" s="5"/>
      <c r="E489" s="5" t="s">
        <v>8336</v>
      </c>
      <c r="F489" s="5" t="n">
        <f aca="false">SUMPRODUCT(EXACT('Rule-Event map'!$F$2:$F$1477,$A489)*EXACT('Rule-Event map'!$G$2:$G$1477,$B489))</f>
        <v>1</v>
      </c>
      <c r="G489" s="5" t="n">
        <f aca="false">SUMPRODUCT(EXACT('Rule-Event map'!$F$2:$F$1477,$A489)*EXACT('Rule-Event map'!$G$2:$G$1477,$B489)*('Rule-Event map'!$C$2:$C$1477="New ITDR (7.6.0)"))</f>
        <v>0</v>
      </c>
      <c r="H489" s="5" t="n">
        <f aca="false">SUMPRODUCT(EXACT('Rule-Event map'!$F$2:$F$1477,$A489)*EXACT('Rule-Event map'!$G$2:$G$1477,$B489)*('Rule-Event map'!$C$2:$C$1477="Existing, re-tagged ITDR"))</f>
        <v>0</v>
      </c>
      <c r="I489" s="5" t="n">
        <f aca="false">F489-G489-H489</f>
        <v>1</v>
      </c>
      <c r="J489" s="5" t="n">
        <f aca="false">SUMPRODUCT(EXACT('Rule-Event map'!$F$2:$F$1477,$A489)*EXACT('Rule-Event map'!$G$2:$G$1477,$B489)*('Rule-Event map'!$E$2:$E$1477="Enabled"))</f>
        <v>1</v>
      </c>
      <c r="K489" s="2" t="s">
        <v>2636</v>
      </c>
    </row>
    <row r="490" customFormat="false" ht="23.85" hidden="false" customHeight="false" outlineLevel="0" collapsed="false">
      <c r="A490" s="5" t="s">
        <v>7670</v>
      </c>
      <c r="B490" s="2" t="s">
        <v>2212</v>
      </c>
      <c r="C490" s="5"/>
      <c r="D490" s="5"/>
      <c r="E490" s="5" t="s">
        <v>8336</v>
      </c>
      <c r="F490" s="5" t="n">
        <f aca="false">SUMPRODUCT(EXACT('Rule-Event map'!$F$2:$F$1477,$A490)*EXACT('Rule-Event map'!$G$2:$G$1477,$B490))</f>
        <v>1</v>
      </c>
      <c r="G490" s="5" t="n">
        <f aca="false">SUMPRODUCT(EXACT('Rule-Event map'!$F$2:$F$1477,$A490)*EXACT('Rule-Event map'!$G$2:$G$1477,$B490)*('Rule-Event map'!$C$2:$C$1477="New ITDR (7.6.0)"))</f>
        <v>0</v>
      </c>
      <c r="H490" s="5" t="n">
        <f aca="false">SUMPRODUCT(EXACT('Rule-Event map'!$F$2:$F$1477,$A490)*EXACT('Rule-Event map'!$G$2:$G$1477,$B490)*('Rule-Event map'!$C$2:$C$1477="Existing, re-tagged ITDR"))</f>
        <v>0</v>
      </c>
      <c r="I490" s="5" t="n">
        <f aca="false">F490-G490-H490</f>
        <v>1</v>
      </c>
      <c r="J490" s="5" t="n">
        <f aca="false">SUMPRODUCT(EXACT('Rule-Event map'!$F$2:$F$1477,$A490)*EXACT('Rule-Event map'!$G$2:$G$1477,$B490)*('Rule-Event map'!$E$2:$E$1477="Enabled"))</f>
        <v>1</v>
      </c>
      <c r="K490" s="2" t="s">
        <v>2211</v>
      </c>
    </row>
    <row r="491" customFormat="false" ht="15" hidden="false" customHeight="false" outlineLevel="0" collapsed="false">
      <c r="A491" s="5" t="s">
        <v>7670</v>
      </c>
      <c r="B491" s="2" t="s">
        <v>2218</v>
      </c>
      <c r="C491" s="5"/>
      <c r="D491" s="5"/>
      <c r="E491" s="5" t="s">
        <v>8336</v>
      </c>
      <c r="F491" s="5" t="n">
        <f aca="false">SUMPRODUCT(EXACT('Rule-Event map'!$F$2:$F$1477,$A491)*EXACT('Rule-Event map'!$G$2:$G$1477,$B491))</f>
        <v>1</v>
      </c>
      <c r="G491" s="5" t="n">
        <f aca="false">SUMPRODUCT(EXACT('Rule-Event map'!$F$2:$F$1477,$A491)*EXACT('Rule-Event map'!$G$2:$G$1477,$B491)*('Rule-Event map'!$C$2:$C$1477="New ITDR (7.6.0)"))</f>
        <v>0</v>
      </c>
      <c r="H491" s="5" t="n">
        <f aca="false">SUMPRODUCT(EXACT('Rule-Event map'!$F$2:$F$1477,$A491)*EXACT('Rule-Event map'!$G$2:$G$1477,$B491)*('Rule-Event map'!$C$2:$C$1477="Existing, re-tagged ITDR"))</f>
        <v>0</v>
      </c>
      <c r="I491" s="5" t="n">
        <f aca="false">F491-G491-H491</f>
        <v>1</v>
      </c>
      <c r="J491" s="5" t="n">
        <f aca="false">SUMPRODUCT(EXACT('Rule-Event map'!$F$2:$F$1477,$A491)*EXACT('Rule-Event map'!$G$2:$G$1477,$B491)*('Rule-Event map'!$E$2:$E$1477="Enabled"))</f>
        <v>1</v>
      </c>
      <c r="K491" s="2" t="s">
        <v>2217</v>
      </c>
    </row>
    <row r="492" customFormat="false" ht="15" hidden="false" customHeight="false" outlineLevel="0" collapsed="false">
      <c r="A492" s="5" t="s">
        <v>7670</v>
      </c>
      <c r="B492" s="2" t="s">
        <v>4773</v>
      </c>
      <c r="C492" s="5"/>
      <c r="D492" s="5"/>
      <c r="E492" s="5" t="s">
        <v>8336</v>
      </c>
      <c r="F492" s="5" t="n">
        <f aca="false">SUMPRODUCT(EXACT('Rule-Event map'!$F$2:$F$1477,$A492)*EXACT('Rule-Event map'!$G$2:$G$1477,$B492))</f>
        <v>1</v>
      </c>
      <c r="G492" s="5" t="n">
        <f aca="false">SUMPRODUCT(EXACT('Rule-Event map'!$F$2:$F$1477,$A492)*EXACT('Rule-Event map'!$G$2:$G$1477,$B492)*('Rule-Event map'!$C$2:$C$1477="New ITDR (7.6.0)"))</f>
        <v>0</v>
      </c>
      <c r="H492" s="5" t="n">
        <f aca="false">SUMPRODUCT(EXACT('Rule-Event map'!$F$2:$F$1477,$A492)*EXACT('Rule-Event map'!$G$2:$G$1477,$B492)*('Rule-Event map'!$C$2:$C$1477="Existing, re-tagged ITDR"))</f>
        <v>0</v>
      </c>
      <c r="I492" s="5" t="n">
        <f aca="false">F492-G492-H492</f>
        <v>1</v>
      </c>
      <c r="J492" s="5" t="n">
        <f aca="false">SUMPRODUCT(EXACT('Rule-Event map'!$F$2:$F$1477,$A492)*EXACT('Rule-Event map'!$G$2:$G$1477,$B492)*('Rule-Event map'!$E$2:$E$1477="Enabled"))</f>
        <v>1</v>
      </c>
      <c r="K492" s="2" t="s">
        <v>4772</v>
      </c>
    </row>
    <row r="493" customFormat="false" ht="23.85" hidden="false" customHeight="false" outlineLevel="0" collapsed="false">
      <c r="A493" s="5" t="s">
        <v>7670</v>
      </c>
      <c r="B493" s="2" t="s">
        <v>4779</v>
      </c>
      <c r="C493" s="5"/>
      <c r="D493" s="5"/>
      <c r="E493" s="5" t="s">
        <v>8336</v>
      </c>
      <c r="F493" s="5" t="n">
        <f aca="false">SUMPRODUCT(EXACT('Rule-Event map'!$F$2:$F$1477,$A493)*EXACT('Rule-Event map'!$G$2:$G$1477,$B493))</f>
        <v>1</v>
      </c>
      <c r="G493" s="5" t="n">
        <f aca="false">SUMPRODUCT(EXACT('Rule-Event map'!$F$2:$F$1477,$A493)*EXACT('Rule-Event map'!$G$2:$G$1477,$B493)*('Rule-Event map'!$C$2:$C$1477="New ITDR (7.6.0)"))</f>
        <v>0</v>
      </c>
      <c r="H493" s="5" t="n">
        <f aca="false">SUMPRODUCT(EXACT('Rule-Event map'!$F$2:$F$1477,$A493)*EXACT('Rule-Event map'!$G$2:$G$1477,$B493)*('Rule-Event map'!$C$2:$C$1477="Existing, re-tagged ITDR"))</f>
        <v>0</v>
      </c>
      <c r="I493" s="5" t="n">
        <f aca="false">F493-G493-H493</f>
        <v>1</v>
      </c>
      <c r="J493" s="5" t="n">
        <f aca="false">SUMPRODUCT(EXACT('Rule-Event map'!$F$2:$F$1477,$A493)*EXACT('Rule-Event map'!$G$2:$G$1477,$B493)*('Rule-Event map'!$E$2:$E$1477="Enabled"))</f>
        <v>1</v>
      </c>
      <c r="K493" s="2" t="s">
        <v>4778</v>
      </c>
    </row>
    <row r="494" customFormat="false" ht="15" hidden="false" customHeight="false" outlineLevel="0" collapsed="false">
      <c r="A494" s="5" t="s">
        <v>7670</v>
      </c>
      <c r="B494" s="2" t="s">
        <v>2206</v>
      </c>
      <c r="C494" s="5"/>
      <c r="D494" s="5"/>
      <c r="E494" s="5" t="s">
        <v>8336</v>
      </c>
      <c r="F494" s="5" t="n">
        <f aca="false">SUMPRODUCT(EXACT('Rule-Event map'!$F$2:$F$1477,$A494)*EXACT('Rule-Event map'!$G$2:$G$1477,$B494))</f>
        <v>1</v>
      </c>
      <c r="G494" s="5" t="n">
        <f aca="false">SUMPRODUCT(EXACT('Rule-Event map'!$F$2:$F$1477,$A494)*EXACT('Rule-Event map'!$G$2:$G$1477,$B494)*('Rule-Event map'!$C$2:$C$1477="New ITDR (7.6.0)"))</f>
        <v>0</v>
      </c>
      <c r="H494" s="5" t="n">
        <f aca="false">SUMPRODUCT(EXACT('Rule-Event map'!$F$2:$F$1477,$A494)*EXACT('Rule-Event map'!$G$2:$G$1477,$B494)*('Rule-Event map'!$C$2:$C$1477="Existing, re-tagged ITDR"))</f>
        <v>0</v>
      </c>
      <c r="I494" s="5" t="n">
        <f aca="false">F494-G494-H494</f>
        <v>1</v>
      </c>
      <c r="J494" s="5" t="n">
        <f aca="false">SUMPRODUCT(EXACT('Rule-Event map'!$F$2:$F$1477,$A494)*EXACT('Rule-Event map'!$G$2:$G$1477,$B494)*('Rule-Event map'!$E$2:$E$1477="Enabled"))</f>
        <v>1</v>
      </c>
      <c r="K494" s="2" t="s">
        <v>2205</v>
      </c>
    </row>
    <row r="495" customFormat="false" ht="15" hidden="false" customHeight="false" outlineLevel="0" collapsed="false">
      <c r="A495" s="5" t="s">
        <v>7670</v>
      </c>
      <c r="B495" s="2" t="s">
        <v>2226</v>
      </c>
      <c r="C495" s="5"/>
      <c r="D495" s="5"/>
      <c r="E495" s="5" t="s">
        <v>8336</v>
      </c>
      <c r="F495" s="5" t="n">
        <f aca="false">SUMPRODUCT(EXACT('Rule-Event map'!$F$2:$F$1477,$A495)*EXACT('Rule-Event map'!$G$2:$G$1477,$B495))</f>
        <v>1</v>
      </c>
      <c r="G495" s="5" t="n">
        <f aca="false">SUMPRODUCT(EXACT('Rule-Event map'!$F$2:$F$1477,$A495)*EXACT('Rule-Event map'!$G$2:$G$1477,$B495)*('Rule-Event map'!$C$2:$C$1477="New ITDR (7.6.0)"))</f>
        <v>0</v>
      </c>
      <c r="H495" s="5" t="n">
        <f aca="false">SUMPRODUCT(EXACT('Rule-Event map'!$F$2:$F$1477,$A495)*EXACT('Rule-Event map'!$G$2:$G$1477,$B495)*('Rule-Event map'!$C$2:$C$1477="Existing, re-tagged ITDR"))</f>
        <v>0</v>
      </c>
      <c r="I495" s="5" t="n">
        <f aca="false">F495-G495-H495</f>
        <v>1</v>
      </c>
      <c r="J495" s="5" t="n">
        <f aca="false">SUMPRODUCT(EXACT('Rule-Event map'!$F$2:$F$1477,$A495)*EXACT('Rule-Event map'!$G$2:$G$1477,$B495)*('Rule-Event map'!$E$2:$E$1477="Enabled"))</f>
        <v>1</v>
      </c>
      <c r="K495" s="2" t="s">
        <v>2225</v>
      </c>
    </row>
    <row r="496" customFormat="false" ht="15" hidden="false" customHeight="false" outlineLevel="0" collapsed="false">
      <c r="A496" s="5" t="s">
        <v>7670</v>
      </c>
      <c r="B496" s="2" t="s">
        <v>7780</v>
      </c>
      <c r="C496" s="5"/>
      <c r="D496" s="5"/>
      <c r="E496" s="5" t="s">
        <v>8336</v>
      </c>
      <c r="F496" s="5" t="n">
        <f aca="false">SUMPRODUCT(EXACT('Rule-Event map'!$F$2:$F$1477,$A496)*EXACT('Rule-Event map'!$G$2:$G$1477,$B496))</f>
        <v>2</v>
      </c>
      <c r="G496" s="5" t="n">
        <f aca="false">SUMPRODUCT(EXACT('Rule-Event map'!$F$2:$F$1477,$A496)*EXACT('Rule-Event map'!$G$2:$G$1477,$B496)*('Rule-Event map'!$C$2:$C$1477="New ITDR (7.6.0)"))</f>
        <v>0</v>
      </c>
      <c r="H496" s="5" t="n">
        <f aca="false">SUMPRODUCT(EXACT('Rule-Event map'!$F$2:$F$1477,$A496)*EXACT('Rule-Event map'!$G$2:$G$1477,$B496)*('Rule-Event map'!$C$2:$C$1477="Existing, re-tagged ITDR"))</f>
        <v>0</v>
      </c>
      <c r="I496" s="5" t="n">
        <f aca="false">F496-G496-H496</f>
        <v>2</v>
      </c>
      <c r="J496" s="5" t="n">
        <f aca="false">SUMPRODUCT(EXACT('Rule-Event map'!$F$2:$F$1477,$A496)*EXACT('Rule-Event map'!$G$2:$G$1477,$B496)*('Rule-Event map'!$E$2:$E$1477="Enabled"))</f>
        <v>2</v>
      </c>
      <c r="K496" s="2" t="s">
        <v>8365</v>
      </c>
    </row>
    <row r="497" customFormat="false" ht="15" hidden="false" customHeight="false" outlineLevel="0" collapsed="false">
      <c r="A497" s="5" t="s">
        <v>7670</v>
      </c>
      <c r="B497" s="2" t="s">
        <v>899</v>
      </c>
      <c r="C497" s="5"/>
      <c r="D497" s="5"/>
      <c r="E497" s="5" t="s">
        <v>8336</v>
      </c>
      <c r="F497" s="5" t="n">
        <f aca="false">SUMPRODUCT(EXACT('Rule-Event map'!$F$2:$F$1477,$A497)*EXACT('Rule-Event map'!$G$2:$G$1477,$B497))</f>
        <v>1</v>
      </c>
      <c r="G497" s="5" t="n">
        <f aca="false">SUMPRODUCT(EXACT('Rule-Event map'!$F$2:$F$1477,$A497)*EXACT('Rule-Event map'!$G$2:$G$1477,$B497)*('Rule-Event map'!$C$2:$C$1477="New ITDR (7.6.0)"))</f>
        <v>0</v>
      </c>
      <c r="H497" s="5" t="n">
        <f aca="false">SUMPRODUCT(EXACT('Rule-Event map'!$F$2:$F$1477,$A497)*EXACT('Rule-Event map'!$G$2:$G$1477,$B497)*('Rule-Event map'!$C$2:$C$1477="Existing, re-tagged ITDR"))</f>
        <v>1</v>
      </c>
      <c r="I497" s="5" t="n">
        <f aca="false">F497-G497-H497</f>
        <v>0</v>
      </c>
      <c r="J497" s="5" t="n">
        <f aca="false">SUMPRODUCT(EXACT('Rule-Event map'!$F$2:$F$1477,$A497)*EXACT('Rule-Event map'!$G$2:$G$1477,$B497)*('Rule-Event map'!$E$2:$E$1477="Enabled"))</f>
        <v>1</v>
      </c>
      <c r="K497" s="2" t="s">
        <v>897</v>
      </c>
    </row>
    <row r="498" customFormat="false" ht="15" hidden="false" customHeight="false" outlineLevel="0" collapsed="false">
      <c r="A498" s="5" t="s">
        <v>7670</v>
      </c>
      <c r="B498" s="2" t="s">
        <v>2675</v>
      </c>
      <c r="C498" s="5"/>
      <c r="D498" s="5"/>
      <c r="E498" s="5" t="s">
        <v>8336</v>
      </c>
      <c r="F498" s="5" t="n">
        <f aca="false">SUMPRODUCT(EXACT('Rule-Event map'!$F$2:$F$1477,$A498)*EXACT('Rule-Event map'!$G$2:$G$1477,$B498))</f>
        <v>1</v>
      </c>
      <c r="G498" s="5" t="n">
        <f aca="false">SUMPRODUCT(EXACT('Rule-Event map'!$F$2:$F$1477,$A498)*EXACT('Rule-Event map'!$G$2:$G$1477,$B498)*('Rule-Event map'!$C$2:$C$1477="New ITDR (7.6.0)"))</f>
        <v>0</v>
      </c>
      <c r="H498" s="5" t="n">
        <f aca="false">SUMPRODUCT(EXACT('Rule-Event map'!$F$2:$F$1477,$A498)*EXACT('Rule-Event map'!$G$2:$G$1477,$B498)*('Rule-Event map'!$C$2:$C$1477="Existing, re-tagged ITDR"))</f>
        <v>0</v>
      </c>
      <c r="I498" s="5" t="n">
        <f aca="false">F498-G498-H498</f>
        <v>1</v>
      </c>
      <c r="J498" s="5" t="n">
        <f aca="false">SUMPRODUCT(EXACT('Rule-Event map'!$F$2:$F$1477,$A498)*EXACT('Rule-Event map'!$G$2:$G$1477,$B498)*('Rule-Event map'!$E$2:$E$1477="Enabled"))</f>
        <v>1</v>
      </c>
      <c r="K498" s="2" t="s">
        <v>2674</v>
      </c>
    </row>
    <row r="499" customFormat="false" ht="23.85" hidden="false" customHeight="false" outlineLevel="0" collapsed="false">
      <c r="A499" s="5" t="s">
        <v>7670</v>
      </c>
      <c r="B499" s="2" t="s">
        <v>2652</v>
      </c>
      <c r="C499" s="5"/>
      <c r="D499" s="5"/>
      <c r="E499" s="5" t="s">
        <v>8336</v>
      </c>
      <c r="F499" s="5" t="n">
        <f aca="false">SUMPRODUCT(EXACT('Rule-Event map'!$F$2:$F$1477,$A499)*EXACT('Rule-Event map'!$G$2:$G$1477,$B499))</f>
        <v>1</v>
      </c>
      <c r="G499" s="5" t="n">
        <f aca="false">SUMPRODUCT(EXACT('Rule-Event map'!$F$2:$F$1477,$A499)*EXACT('Rule-Event map'!$G$2:$G$1477,$B499)*('Rule-Event map'!$C$2:$C$1477="New ITDR (7.6.0)"))</f>
        <v>0</v>
      </c>
      <c r="H499" s="5" t="n">
        <f aca="false">SUMPRODUCT(EXACT('Rule-Event map'!$F$2:$F$1477,$A499)*EXACT('Rule-Event map'!$G$2:$G$1477,$B499)*('Rule-Event map'!$C$2:$C$1477="Existing, re-tagged ITDR"))</f>
        <v>0</v>
      </c>
      <c r="I499" s="5" t="n">
        <f aca="false">F499-G499-H499</f>
        <v>1</v>
      </c>
      <c r="J499" s="5" t="n">
        <f aca="false">SUMPRODUCT(EXACT('Rule-Event map'!$F$2:$F$1477,$A499)*EXACT('Rule-Event map'!$G$2:$G$1477,$B499)*('Rule-Event map'!$E$2:$E$1477="Enabled"))</f>
        <v>1</v>
      </c>
      <c r="K499" s="2" t="s">
        <v>2651</v>
      </c>
    </row>
    <row r="500" customFormat="false" ht="15" hidden="false" customHeight="false" outlineLevel="0" collapsed="false">
      <c r="A500" s="5" t="s">
        <v>7670</v>
      </c>
      <c r="B500" s="2" t="s">
        <v>2660</v>
      </c>
      <c r="C500" s="5"/>
      <c r="D500" s="5"/>
      <c r="E500" s="5" t="s">
        <v>8336</v>
      </c>
      <c r="F500" s="5" t="n">
        <f aca="false">SUMPRODUCT(EXACT('Rule-Event map'!$F$2:$F$1477,$A500)*EXACT('Rule-Event map'!$G$2:$G$1477,$B500))</f>
        <v>1</v>
      </c>
      <c r="G500" s="5" t="n">
        <f aca="false">SUMPRODUCT(EXACT('Rule-Event map'!$F$2:$F$1477,$A500)*EXACT('Rule-Event map'!$G$2:$G$1477,$B500)*('Rule-Event map'!$C$2:$C$1477="New ITDR (7.6.0)"))</f>
        <v>0</v>
      </c>
      <c r="H500" s="5" t="n">
        <f aca="false">SUMPRODUCT(EXACT('Rule-Event map'!$F$2:$F$1477,$A500)*EXACT('Rule-Event map'!$G$2:$G$1477,$B500)*('Rule-Event map'!$C$2:$C$1477="Existing, re-tagged ITDR"))</f>
        <v>0</v>
      </c>
      <c r="I500" s="5" t="n">
        <f aca="false">F500-G500-H500</f>
        <v>1</v>
      </c>
      <c r="J500" s="5" t="n">
        <f aca="false">SUMPRODUCT(EXACT('Rule-Event map'!$F$2:$F$1477,$A500)*EXACT('Rule-Event map'!$G$2:$G$1477,$B500)*('Rule-Event map'!$E$2:$E$1477="Enabled"))</f>
        <v>1</v>
      </c>
      <c r="K500" s="2" t="s">
        <v>2659</v>
      </c>
    </row>
    <row r="501" customFormat="false" ht="15" hidden="false" customHeight="false" outlineLevel="0" collapsed="false">
      <c r="A501" s="5" t="s">
        <v>7670</v>
      </c>
      <c r="B501" s="2" t="s">
        <v>7790</v>
      </c>
      <c r="C501" s="5"/>
      <c r="D501" s="5"/>
      <c r="E501" s="5" t="s">
        <v>8336</v>
      </c>
      <c r="F501" s="5" t="n">
        <f aca="false">SUMPRODUCT(EXACT('Rule-Event map'!$F$2:$F$1477,$A501)*EXACT('Rule-Event map'!$G$2:$G$1477,$B501))</f>
        <v>1</v>
      </c>
      <c r="G501" s="5" t="n">
        <f aca="false">SUMPRODUCT(EXACT('Rule-Event map'!$F$2:$F$1477,$A501)*EXACT('Rule-Event map'!$G$2:$G$1477,$B501)*('Rule-Event map'!$C$2:$C$1477="New ITDR (7.6.0)"))</f>
        <v>0</v>
      </c>
      <c r="H501" s="5" t="n">
        <f aca="false">SUMPRODUCT(EXACT('Rule-Event map'!$F$2:$F$1477,$A501)*EXACT('Rule-Event map'!$G$2:$G$1477,$B501)*('Rule-Event map'!$C$2:$C$1477="Existing, re-tagged ITDR"))</f>
        <v>0</v>
      </c>
      <c r="I501" s="5" t="n">
        <f aca="false">F501-G501-H501</f>
        <v>1</v>
      </c>
      <c r="J501" s="5" t="n">
        <f aca="false">SUMPRODUCT(EXACT('Rule-Event map'!$F$2:$F$1477,$A501)*EXACT('Rule-Event map'!$G$2:$G$1477,$B501)*('Rule-Event map'!$E$2:$E$1477="Enabled"))</f>
        <v>1</v>
      </c>
      <c r="K501" s="2" t="s">
        <v>2681</v>
      </c>
    </row>
    <row r="502" customFormat="false" ht="23.85" hidden="false" customHeight="false" outlineLevel="0" collapsed="false">
      <c r="A502" s="5" t="s">
        <v>7670</v>
      </c>
      <c r="B502" s="2" t="s">
        <v>2697</v>
      </c>
      <c r="C502" s="5"/>
      <c r="D502" s="5"/>
      <c r="E502" s="5" t="s">
        <v>8336</v>
      </c>
      <c r="F502" s="5" t="n">
        <f aca="false">SUMPRODUCT(EXACT('Rule-Event map'!$F$2:$F$1477,$A502)*EXACT('Rule-Event map'!$G$2:$G$1477,$B502))</f>
        <v>1</v>
      </c>
      <c r="G502" s="5" t="n">
        <f aca="false">SUMPRODUCT(EXACT('Rule-Event map'!$F$2:$F$1477,$A502)*EXACT('Rule-Event map'!$G$2:$G$1477,$B502)*('Rule-Event map'!$C$2:$C$1477="New ITDR (7.6.0)"))</f>
        <v>0</v>
      </c>
      <c r="H502" s="5" t="n">
        <f aca="false">SUMPRODUCT(EXACT('Rule-Event map'!$F$2:$F$1477,$A502)*EXACT('Rule-Event map'!$G$2:$G$1477,$B502)*('Rule-Event map'!$C$2:$C$1477="Existing, re-tagged ITDR"))</f>
        <v>0</v>
      </c>
      <c r="I502" s="5" t="n">
        <f aca="false">F502-G502-H502</f>
        <v>1</v>
      </c>
      <c r="J502" s="5" t="n">
        <f aca="false">SUMPRODUCT(EXACT('Rule-Event map'!$F$2:$F$1477,$A502)*EXACT('Rule-Event map'!$G$2:$G$1477,$B502)*('Rule-Event map'!$E$2:$E$1477="Enabled"))</f>
        <v>1</v>
      </c>
      <c r="K502" s="2" t="s">
        <v>2696</v>
      </c>
    </row>
    <row r="503" customFormat="false" ht="15" hidden="false" customHeight="false" outlineLevel="0" collapsed="false">
      <c r="A503" s="5" t="s">
        <v>7670</v>
      </c>
      <c r="B503" s="2" t="s">
        <v>7789</v>
      </c>
      <c r="C503" s="5"/>
      <c r="D503" s="5"/>
      <c r="E503" s="5" t="s">
        <v>8336</v>
      </c>
      <c r="F503" s="5" t="n">
        <f aca="false">SUMPRODUCT(EXACT('Rule-Event map'!$F$2:$F$1477,$A503)*EXACT('Rule-Event map'!$G$2:$G$1477,$B503))</f>
        <v>1</v>
      </c>
      <c r="G503" s="5" t="n">
        <f aca="false">SUMPRODUCT(EXACT('Rule-Event map'!$F$2:$F$1477,$A503)*EXACT('Rule-Event map'!$G$2:$G$1477,$B503)*('Rule-Event map'!$C$2:$C$1477="New ITDR (7.6.0)"))</f>
        <v>0</v>
      </c>
      <c r="H503" s="5" t="n">
        <f aca="false">SUMPRODUCT(EXACT('Rule-Event map'!$F$2:$F$1477,$A503)*EXACT('Rule-Event map'!$G$2:$G$1477,$B503)*('Rule-Event map'!$C$2:$C$1477="Existing, re-tagged ITDR"))</f>
        <v>0</v>
      </c>
      <c r="I503" s="5" t="n">
        <f aca="false">F503-G503-H503</f>
        <v>1</v>
      </c>
      <c r="J503" s="5" t="n">
        <f aca="false">SUMPRODUCT(EXACT('Rule-Event map'!$F$2:$F$1477,$A503)*EXACT('Rule-Event map'!$G$2:$G$1477,$B503)*('Rule-Event map'!$E$2:$E$1477="Enabled"))</f>
        <v>1</v>
      </c>
      <c r="K503" s="2" t="s">
        <v>2681</v>
      </c>
    </row>
    <row r="504" customFormat="false" ht="15" hidden="false" customHeight="false" outlineLevel="0" collapsed="false">
      <c r="A504" s="5" t="s">
        <v>7670</v>
      </c>
      <c r="B504" s="2" t="s">
        <v>7792</v>
      </c>
      <c r="C504" s="5"/>
      <c r="D504" s="5"/>
      <c r="E504" s="5" t="s">
        <v>8336</v>
      </c>
      <c r="F504" s="5" t="n">
        <f aca="false">SUMPRODUCT(EXACT('Rule-Event map'!$F$2:$F$1477,$A504)*EXACT('Rule-Event map'!$G$2:$G$1477,$B504))</f>
        <v>1</v>
      </c>
      <c r="G504" s="5" t="n">
        <f aca="false">SUMPRODUCT(EXACT('Rule-Event map'!$F$2:$F$1477,$A504)*EXACT('Rule-Event map'!$G$2:$G$1477,$B504)*('Rule-Event map'!$C$2:$C$1477="New ITDR (7.6.0)"))</f>
        <v>0</v>
      </c>
      <c r="H504" s="5" t="n">
        <f aca="false">SUMPRODUCT(EXACT('Rule-Event map'!$F$2:$F$1477,$A504)*EXACT('Rule-Event map'!$G$2:$G$1477,$B504)*('Rule-Event map'!$C$2:$C$1477="Existing, re-tagged ITDR"))</f>
        <v>0</v>
      </c>
      <c r="I504" s="5" t="n">
        <f aca="false">F504-G504-H504</f>
        <v>1</v>
      </c>
      <c r="J504" s="5" t="n">
        <f aca="false">SUMPRODUCT(EXACT('Rule-Event map'!$F$2:$F$1477,$A504)*EXACT('Rule-Event map'!$G$2:$G$1477,$B504)*('Rule-Event map'!$E$2:$E$1477="Enabled"))</f>
        <v>1</v>
      </c>
      <c r="K504" s="2" t="s">
        <v>2689</v>
      </c>
    </row>
    <row r="505" customFormat="false" ht="23.85" hidden="false" customHeight="false" outlineLevel="0" collapsed="false">
      <c r="A505" s="5" t="s">
        <v>7670</v>
      </c>
      <c r="B505" s="2" t="s">
        <v>907</v>
      </c>
      <c r="C505" s="5"/>
      <c r="D505" s="5"/>
      <c r="E505" s="5" t="s">
        <v>8336</v>
      </c>
      <c r="F505" s="5" t="n">
        <f aca="false">SUMPRODUCT(EXACT('Rule-Event map'!$F$2:$F$1477,$A505)*EXACT('Rule-Event map'!$G$2:$G$1477,$B505))</f>
        <v>1</v>
      </c>
      <c r="G505" s="5" t="n">
        <f aca="false">SUMPRODUCT(EXACT('Rule-Event map'!$F$2:$F$1477,$A505)*EXACT('Rule-Event map'!$G$2:$G$1477,$B505)*('Rule-Event map'!$C$2:$C$1477="New ITDR (7.6.0)"))</f>
        <v>0</v>
      </c>
      <c r="H505" s="5" t="n">
        <f aca="false">SUMPRODUCT(EXACT('Rule-Event map'!$F$2:$F$1477,$A505)*EXACT('Rule-Event map'!$G$2:$G$1477,$B505)*('Rule-Event map'!$C$2:$C$1477="Existing, re-tagged ITDR"))</f>
        <v>1</v>
      </c>
      <c r="I505" s="5" t="n">
        <f aca="false">F505-G505-H505</f>
        <v>0</v>
      </c>
      <c r="J505" s="5" t="n">
        <f aca="false">SUMPRODUCT(EXACT('Rule-Event map'!$F$2:$F$1477,$A505)*EXACT('Rule-Event map'!$G$2:$G$1477,$B505)*('Rule-Event map'!$E$2:$E$1477="Enabled"))</f>
        <v>1</v>
      </c>
      <c r="K505" s="2" t="s">
        <v>906</v>
      </c>
    </row>
    <row r="506" customFormat="false" ht="15" hidden="false" customHeight="false" outlineLevel="0" collapsed="false">
      <c r="A506" s="5" t="s">
        <v>7670</v>
      </c>
      <c r="B506" s="2" t="s">
        <v>7791</v>
      </c>
      <c r="C506" s="5"/>
      <c r="D506" s="5"/>
      <c r="E506" s="5" t="s">
        <v>8336</v>
      </c>
      <c r="F506" s="5" t="n">
        <f aca="false">SUMPRODUCT(EXACT('Rule-Event map'!$F$2:$F$1477,$A506)*EXACT('Rule-Event map'!$G$2:$G$1477,$B506))</f>
        <v>1</v>
      </c>
      <c r="G506" s="5" t="n">
        <f aca="false">SUMPRODUCT(EXACT('Rule-Event map'!$F$2:$F$1477,$A506)*EXACT('Rule-Event map'!$G$2:$G$1477,$B506)*('Rule-Event map'!$C$2:$C$1477="New ITDR (7.6.0)"))</f>
        <v>0</v>
      </c>
      <c r="H506" s="5" t="n">
        <f aca="false">SUMPRODUCT(EXACT('Rule-Event map'!$F$2:$F$1477,$A506)*EXACT('Rule-Event map'!$G$2:$G$1477,$B506)*('Rule-Event map'!$C$2:$C$1477="Existing, re-tagged ITDR"))</f>
        <v>0</v>
      </c>
      <c r="I506" s="5" t="n">
        <f aca="false">F506-G506-H506</f>
        <v>1</v>
      </c>
      <c r="J506" s="5" t="n">
        <f aca="false">SUMPRODUCT(EXACT('Rule-Event map'!$F$2:$F$1477,$A506)*EXACT('Rule-Event map'!$G$2:$G$1477,$B506)*('Rule-Event map'!$E$2:$E$1477="Enabled"))</f>
        <v>1</v>
      </c>
      <c r="K506" s="2" t="s">
        <v>2689</v>
      </c>
    </row>
    <row r="507" customFormat="false" ht="15" hidden="false" customHeight="false" outlineLevel="0" collapsed="false">
      <c r="A507" s="5" t="s">
        <v>7670</v>
      </c>
      <c r="B507" s="2" t="s">
        <v>2668</v>
      </c>
      <c r="C507" s="5"/>
      <c r="D507" s="5"/>
      <c r="E507" s="5" t="s">
        <v>8336</v>
      </c>
      <c r="F507" s="5" t="n">
        <f aca="false">SUMPRODUCT(EXACT('Rule-Event map'!$F$2:$F$1477,$A507)*EXACT('Rule-Event map'!$G$2:$G$1477,$B507))</f>
        <v>1</v>
      </c>
      <c r="G507" s="5" t="n">
        <f aca="false">SUMPRODUCT(EXACT('Rule-Event map'!$F$2:$F$1477,$A507)*EXACT('Rule-Event map'!$G$2:$G$1477,$B507)*('Rule-Event map'!$C$2:$C$1477="New ITDR (7.6.0)"))</f>
        <v>0</v>
      </c>
      <c r="H507" s="5" t="n">
        <f aca="false">SUMPRODUCT(EXACT('Rule-Event map'!$F$2:$F$1477,$A507)*EXACT('Rule-Event map'!$G$2:$G$1477,$B507)*('Rule-Event map'!$C$2:$C$1477="Existing, re-tagged ITDR"))</f>
        <v>0</v>
      </c>
      <c r="I507" s="5" t="n">
        <f aca="false">F507-G507-H507</f>
        <v>1</v>
      </c>
      <c r="J507" s="5" t="n">
        <f aca="false">SUMPRODUCT(EXACT('Rule-Event map'!$F$2:$F$1477,$A507)*EXACT('Rule-Event map'!$G$2:$G$1477,$B507)*('Rule-Event map'!$E$2:$E$1477="Enabled"))</f>
        <v>1</v>
      </c>
      <c r="K507" s="2" t="s">
        <v>2667</v>
      </c>
    </row>
    <row r="508" customFormat="false" ht="23.85" hidden="false" customHeight="false" outlineLevel="0" collapsed="false">
      <c r="A508" s="5" t="s">
        <v>7670</v>
      </c>
      <c r="B508" s="2" t="s">
        <v>4904</v>
      </c>
      <c r="C508" s="5"/>
      <c r="D508" s="5"/>
      <c r="E508" s="5" t="s">
        <v>8336</v>
      </c>
      <c r="F508" s="5" t="n">
        <f aca="false">SUMPRODUCT(EXACT('Rule-Event map'!$F$2:$F$1477,$A508)*EXACT('Rule-Event map'!$G$2:$G$1477,$B508))</f>
        <v>1</v>
      </c>
      <c r="G508" s="5" t="n">
        <f aca="false">SUMPRODUCT(EXACT('Rule-Event map'!$F$2:$F$1477,$A508)*EXACT('Rule-Event map'!$G$2:$G$1477,$B508)*('Rule-Event map'!$C$2:$C$1477="New ITDR (7.6.0)"))</f>
        <v>0</v>
      </c>
      <c r="H508" s="5" t="n">
        <f aca="false">SUMPRODUCT(EXACT('Rule-Event map'!$F$2:$F$1477,$A508)*EXACT('Rule-Event map'!$G$2:$G$1477,$B508)*('Rule-Event map'!$C$2:$C$1477="Existing, re-tagged ITDR"))</f>
        <v>0</v>
      </c>
      <c r="I508" s="5" t="n">
        <f aca="false">F508-G508-H508</f>
        <v>1</v>
      </c>
      <c r="J508" s="5" t="n">
        <f aca="false">SUMPRODUCT(EXACT('Rule-Event map'!$F$2:$F$1477,$A508)*EXACT('Rule-Event map'!$G$2:$G$1477,$B508)*('Rule-Event map'!$E$2:$E$1477="Enabled"))</f>
        <v>0</v>
      </c>
      <c r="K508" s="2" t="s">
        <v>4903</v>
      </c>
    </row>
    <row r="509" customFormat="false" ht="15" hidden="false" customHeight="false" outlineLevel="0" collapsed="false">
      <c r="A509" s="5" t="s">
        <v>7670</v>
      </c>
      <c r="B509" s="2" t="s">
        <v>503</v>
      </c>
      <c r="C509" s="5"/>
      <c r="D509" s="5"/>
      <c r="E509" s="5" t="s">
        <v>8336</v>
      </c>
      <c r="F509" s="5" t="n">
        <f aca="false">SUMPRODUCT(EXACT('Rule-Event map'!$F$2:$F$1477,$A509)*EXACT('Rule-Event map'!$G$2:$G$1477,$B509))</f>
        <v>1</v>
      </c>
      <c r="G509" s="5" t="n">
        <f aca="false">SUMPRODUCT(EXACT('Rule-Event map'!$F$2:$F$1477,$A509)*EXACT('Rule-Event map'!$G$2:$G$1477,$B509)*('Rule-Event map'!$C$2:$C$1477="New ITDR (7.6.0)"))</f>
        <v>0</v>
      </c>
      <c r="H509" s="5" t="n">
        <f aca="false">SUMPRODUCT(EXACT('Rule-Event map'!$F$2:$F$1477,$A509)*EXACT('Rule-Event map'!$G$2:$G$1477,$B509)*('Rule-Event map'!$C$2:$C$1477="Existing, re-tagged ITDR"))</f>
        <v>1</v>
      </c>
      <c r="I509" s="5" t="n">
        <f aca="false">F509-G509-H509</f>
        <v>0</v>
      </c>
      <c r="J509" s="5" t="n">
        <f aca="false">SUMPRODUCT(EXACT('Rule-Event map'!$F$2:$F$1477,$A509)*EXACT('Rule-Event map'!$G$2:$G$1477,$B509)*('Rule-Event map'!$E$2:$E$1477="Enabled"))</f>
        <v>1</v>
      </c>
      <c r="K509" s="2" t="s">
        <v>501</v>
      </c>
    </row>
    <row r="510" customFormat="false" ht="15" hidden="false" customHeight="false" outlineLevel="0" collapsed="false">
      <c r="A510" s="5" t="s">
        <v>7670</v>
      </c>
      <c r="B510" s="2" t="s">
        <v>2377</v>
      </c>
      <c r="C510" s="5"/>
      <c r="D510" s="5"/>
      <c r="E510" s="5" t="s">
        <v>8336</v>
      </c>
      <c r="F510" s="5" t="n">
        <f aca="false">SUMPRODUCT(EXACT('Rule-Event map'!$F$2:$F$1477,$A510)*EXACT('Rule-Event map'!$G$2:$G$1477,$B510))</f>
        <v>1</v>
      </c>
      <c r="G510" s="5" t="n">
        <f aca="false">SUMPRODUCT(EXACT('Rule-Event map'!$F$2:$F$1477,$A510)*EXACT('Rule-Event map'!$G$2:$G$1477,$B510)*('Rule-Event map'!$C$2:$C$1477="New ITDR (7.6.0)"))</f>
        <v>0</v>
      </c>
      <c r="H510" s="5" t="n">
        <f aca="false">SUMPRODUCT(EXACT('Rule-Event map'!$F$2:$F$1477,$A510)*EXACT('Rule-Event map'!$G$2:$G$1477,$B510)*('Rule-Event map'!$C$2:$C$1477="Existing, re-tagged ITDR"))</f>
        <v>0</v>
      </c>
      <c r="I510" s="5" t="n">
        <f aca="false">F510-G510-H510</f>
        <v>1</v>
      </c>
      <c r="J510" s="5" t="n">
        <f aca="false">SUMPRODUCT(EXACT('Rule-Event map'!$F$2:$F$1477,$A510)*EXACT('Rule-Event map'!$G$2:$G$1477,$B510)*('Rule-Event map'!$E$2:$E$1477="Enabled"))</f>
        <v>1</v>
      </c>
      <c r="K510" s="2" t="s">
        <v>2375</v>
      </c>
    </row>
    <row r="511" customFormat="false" ht="15" hidden="false" customHeight="false" outlineLevel="0" collapsed="false">
      <c r="A511" s="5" t="s">
        <v>7670</v>
      </c>
      <c r="B511" s="2" t="s">
        <v>2341</v>
      </c>
      <c r="C511" s="5"/>
      <c r="D511" s="5"/>
      <c r="E511" s="5" t="s">
        <v>8336</v>
      </c>
      <c r="F511" s="5" t="n">
        <f aca="false">SUMPRODUCT(EXACT('Rule-Event map'!$F$2:$F$1477,$A511)*EXACT('Rule-Event map'!$G$2:$G$1477,$B511))</f>
        <v>1</v>
      </c>
      <c r="G511" s="5" t="n">
        <f aca="false">SUMPRODUCT(EXACT('Rule-Event map'!$F$2:$F$1477,$A511)*EXACT('Rule-Event map'!$G$2:$G$1477,$B511)*('Rule-Event map'!$C$2:$C$1477="New ITDR (7.6.0)"))</f>
        <v>0</v>
      </c>
      <c r="H511" s="5" t="n">
        <f aca="false">SUMPRODUCT(EXACT('Rule-Event map'!$F$2:$F$1477,$A511)*EXACT('Rule-Event map'!$G$2:$G$1477,$B511)*('Rule-Event map'!$C$2:$C$1477="Existing, re-tagged ITDR"))</f>
        <v>0</v>
      </c>
      <c r="I511" s="5" t="n">
        <f aca="false">F511-G511-H511</f>
        <v>1</v>
      </c>
      <c r="J511" s="5" t="n">
        <f aca="false">SUMPRODUCT(EXACT('Rule-Event map'!$F$2:$F$1477,$A511)*EXACT('Rule-Event map'!$G$2:$G$1477,$B511)*('Rule-Event map'!$E$2:$E$1477="Enabled"))</f>
        <v>1</v>
      </c>
      <c r="K511" s="2" t="s">
        <v>2338</v>
      </c>
    </row>
    <row r="512" customFormat="false" ht="15" hidden="false" customHeight="false" outlineLevel="0" collapsed="false">
      <c r="A512" s="5" t="s">
        <v>7670</v>
      </c>
      <c r="B512" s="2" t="s">
        <v>2331</v>
      </c>
      <c r="C512" s="5"/>
      <c r="D512" s="5"/>
      <c r="E512" s="5" t="s">
        <v>8336</v>
      </c>
      <c r="F512" s="5" t="n">
        <f aca="false">SUMPRODUCT(EXACT('Rule-Event map'!$F$2:$F$1477,$A512)*EXACT('Rule-Event map'!$G$2:$G$1477,$B512))</f>
        <v>1</v>
      </c>
      <c r="G512" s="5" t="n">
        <f aca="false">SUMPRODUCT(EXACT('Rule-Event map'!$F$2:$F$1477,$A512)*EXACT('Rule-Event map'!$G$2:$G$1477,$B512)*('Rule-Event map'!$C$2:$C$1477="New ITDR (7.6.0)"))</f>
        <v>0</v>
      </c>
      <c r="H512" s="5" t="n">
        <f aca="false">SUMPRODUCT(EXACT('Rule-Event map'!$F$2:$F$1477,$A512)*EXACT('Rule-Event map'!$G$2:$G$1477,$B512)*('Rule-Event map'!$C$2:$C$1477="Existing, re-tagged ITDR"))</f>
        <v>0</v>
      </c>
      <c r="I512" s="5" t="n">
        <f aca="false">F512-G512-H512</f>
        <v>1</v>
      </c>
      <c r="J512" s="5" t="n">
        <f aca="false">SUMPRODUCT(EXACT('Rule-Event map'!$F$2:$F$1477,$A512)*EXACT('Rule-Event map'!$G$2:$G$1477,$B512)*('Rule-Event map'!$E$2:$E$1477="Enabled"))</f>
        <v>0</v>
      </c>
      <c r="K512" s="2" t="s">
        <v>2330</v>
      </c>
    </row>
    <row r="513" customFormat="false" ht="15" hidden="false" customHeight="false" outlineLevel="0" collapsed="false">
      <c r="A513" s="5" t="s">
        <v>7670</v>
      </c>
      <c r="B513" s="2" t="s">
        <v>2294</v>
      </c>
      <c r="C513" s="5"/>
      <c r="D513" s="5"/>
      <c r="E513" s="5" t="s">
        <v>8336</v>
      </c>
      <c r="F513" s="5" t="n">
        <f aca="false">SUMPRODUCT(EXACT('Rule-Event map'!$F$2:$F$1477,$A513)*EXACT('Rule-Event map'!$G$2:$G$1477,$B513))</f>
        <v>1</v>
      </c>
      <c r="G513" s="5" t="n">
        <f aca="false">SUMPRODUCT(EXACT('Rule-Event map'!$F$2:$F$1477,$A513)*EXACT('Rule-Event map'!$G$2:$G$1477,$B513)*('Rule-Event map'!$C$2:$C$1477="New ITDR (7.6.0)"))</f>
        <v>0</v>
      </c>
      <c r="H513" s="5" t="n">
        <f aca="false">SUMPRODUCT(EXACT('Rule-Event map'!$F$2:$F$1477,$A513)*EXACT('Rule-Event map'!$G$2:$G$1477,$B513)*('Rule-Event map'!$C$2:$C$1477="Existing, re-tagged ITDR"))</f>
        <v>0</v>
      </c>
      <c r="I513" s="5" t="n">
        <f aca="false">F513-G513-H513</f>
        <v>1</v>
      </c>
      <c r="J513" s="5" t="n">
        <f aca="false">SUMPRODUCT(EXACT('Rule-Event map'!$F$2:$F$1477,$A513)*EXACT('Rule-Event map'!$G$2:$G$1477,$B513)*('Rule-Event map'!$E$2:$E$1477="Enabled"))</f>
        <v>1</v>
      </c>
      <c r="K513" s="2" t="s">
        <v>2291</v>
      </c>
    </row>
    <row r="514" customFormat="false" ht="15" hidden="false" customHeight="false" outlineLevel="0" collapsed="false">
      <c r="A514" s="5" t="s">
        <v>7670</v>
      </c>
      <c r="B514" s="2" t="s">
        <v>2313</v>
      </c>
      <c r="C514" s="5"/>
      <c r="D514" s="5"/>
      <c r="E514" s="5" t="s">
        <v>8336</v>
      </c>
      <c r="F514" s="5" t="n">
        <f aca="false">SUMPRODUCT(EXACT('Rule-Event map'!$F$2:$F$1477,$A514)*EXACT('Rule-Event map'!$G$2:$G$1477,$B514))</f>
        <v>1</v>
      </c>
      <c r="G514" s="5" t="n">
        <f aca="false">SUMPRODUCT(EXACT('Rule-Event map'!$F$2:$F$1477,$A514)*EXACT('Rule-Event map'!$G$2:$G$1477,$B514)*('Rule-Event map'!$C$2:$C$1477="New ITDR (7.6.0)"))</f>
        <v>0</v>
      </c>
      <c r="H514" s="5" t="n">
        <f aca="false">SUMPRODUCT(EXACT('Rule-Event map'!$F$2:$F$1477,$A514)*EXACT('Rule-Event map'!$G$2:$G$1477,$B514)*('Rule-Event map'!$C$2:$C$1477="Existing, re-tagged ITDR"))</f>
        <v>0</v>
      </c>
      <c r="I514" s="5" t="n">
        <f aca="false">F514-G514-H514</f>
        <v>1</v>
      </c>
      <c r="J514" s="5" t="n">
        <f aca="false">SUMPRODUCT(EXACT('Rule-Event map'!$F$2:$F$1477,$A514)*EXACT('Rule-Event map'!$G$2:$G$1477,$B514)*('Rule-Event map'!$E$2:$E$1477="Enabled"))</f>
        <v>1</v>
      </c>
      <c r="K514" s="2" t="s">
        <v>2312</v>
      </c>
    </row>
    <row r="515" customFormat="false" ht="15" hidden="false" customHeight="false" outlineLevel="0" collapsed="false">
      <c r="A515" s="5" t="s">
        <v>7670</v>
      </c>
      <c r="B515" s="2" t="s">
        <v>2965</v>
      </c>
      <c r="C515" s="5"/>
      <c r="D515" s="5"/>
      <c r="E515" s="5" t="s">
        <v>8336</v>
      </c>
      <c r="F515" s="5" t="n">
        <f aca="false">SUMPRODUCT(EXACT('Rule-Event map'!$F$2:$F$1477,$A515)*EXACT('Rule-Event map'!$G$2:$G$1477,$B515))</f>
        <v>1</v>
      </c>
      <c r="G515" s="5" t="n">
        <f aca="false">SUMPRODUCT(EXACT('Rule-Event map'!$F$2:$F$1477,$A515)*EXACT('Rule-Event map'!$G$2:$G$1477,$B515)*('Rule-Event map'!$C$2:$C$1477="New ITDR (7.6.0)"))</f>
        <v>0</v>
      </c>
      <c r="H515" s="5" t="n">
        <f aca="false">SUMPRODUCT(EXACT('Rule-Event map'!$F$2:$F$1477,$A515)*EXACT('Rule-Event map'!$G$2:$G$1477,$B515)*('Rule-Event map'!$C$2:$C$1477="Existing, re-tagged ITDR"))</f>
        <v>0</v>
      </c>
      <c r="I515" s="5" t="n">
        <f aca="false">F515-G515-H515</f>
        <v>1</v>
      </c>
      <c r="J515" s="5" t="n">
        <f aca="false">SUMPRODUCT(EXACT('Rule-Event map'!$F$2:$F$1477,$A515)*EXACT('Rule-Event map'!$G$2:$G$1477,$B515)*('Rule-Event map'!$E$2:$E$1477="Enabled"))</f>
        <v>1</v>
      </c>
      <c r="K515" s="2" t="s">
        <v>2964</v>
      </c>
    </row>
    <row r="516" customFormat="false" ht="15" hidden="false" customHeight="false" outlineLevel="0" collapsed="false">
      <c r="A516" s="5" t="s">
        <v>7670</v>
      </c>
      <c r="B516" s="2" t="s">
        <v>1089</v>
      </c>
      <c r="C516" s="5"/>
      <c r="D516" s="5"/>
      <c r="E516" s="5" t="s">
        <v>8336</v>
      </c>
      <c r="F516" s="5" t="n">
        <f aca="false">SUMPRODUCT(EXACT('Rule-Event map'!$F$2:$F$1477,$A516)*EXACT('Rule-Event map'!$G$2:$G$1477,$B516))</f>
        <v>1</v>
      </c>
      <c r="G516" s="5" t="n">
        <f aca="false">SUMPRODUCT(EXACT('Rule-Event map'!$F$2:$F$1477,$A516)*EXACT('Rule-Event map'!$G$2:$G$1477,$B516)*('Rule-Event map'!$C$2:$C$1477="New ITDR (7.6.0)"))</f>
        <v>0</v>
      </c>
      <c r="H516" s="5" t="n">
        <f aca="false">SUMPRODUCT(EXACT('Rule-Event map'!$F$2:$F$1477,$A516)*EXACT('Rule-Event map'!$G$2:$G$1477,$B516)*('Rule-Event map'!$C$2:$C$1477="Existing, re-tagged ITDR"))</f>
        <v>1</v>
      </c>
      <c r="I516" s="5" t="n">
        <f aca="false">F516-G516-H516</f>
        <v>0</v>
      </c>
      <c r="J516" s="5" t="n">
        <f aca="false">SUMPRODUCT(EXACT('Rule-Event map'!$F$2:$F$1477,$A516)*EXACT('Rule-Event map'!$G$2:$G$1477,$B516)*('Rule-Event map'!$E$2:$E$1477="Enabled"))</f>
        <v>1</v>
      </c>
      <c r="K516" s="2" t="s">
        <v>1086</v>
      </c>
    </row>
    <row r="517" customFormat="false" ht="23.85" hidden="false" customHeight="false" outlineLevel="0" collapsed="false">
      <c r="A517" s="5" t="s">
        <v>7670</v>
      </c>
      <c r="B517" s="2" t="s">
        <v>967</v>
      </c>
      <c r="C517" s="5"/>
      <c r="D517" s="5"/>
      <c r="E517" s="5" t="s">
        <v>8336</v>
      </c>
      <c r="F517" s="5" t="n">
        <f aca="false">SUMPRODUCT(EXACT('Rule-Event map'!$F$2:$F$1477,$A517)*EXACT('Rule-Event map'!$G$2:$G$1477,$B517))</f>
        <v>1</v>
      </c>
      <c r="G517" s="5" t="n">
        <f aca="false">SUMPRODUCT(EXACT('Rule-Event map'!$F$2:$F$1477,$A517)*EXACT('Rule-Event map'!$G$2:$G$1477,$B517)*('Rule-Event map'!$C$2:$C$1477="New ITDR (7.6.0)"))</f>
        <v>0</v>
      </c>
      <c r="H517" s="5" t="n">
        <f aca="false">SUMPRODUCT(EXACT('Rule-Event map'!$F$2:$F$1477,$A517)*EXACT('Rule-Event map'!$G$2:$G$1477,$B517)*('Rule-Event map'!$C$2:$C$1477="Existing, re-tagged ITDR"))</f>
        <v>1</v>
      </c>
      <c r="I517" s="5" t="n">
        <f aca="false">F517-G517-H517</f>
        <v>0</v>
      </c>
      <c r="J517" s="5" t="n">
        <f aca="false">SUMPRODUCT(EXACT('Rule-Event map'!$F$2:$F$1477,$A517)*EXACT('Rule-Event map'!$G$2:$G$1477,$B517)*('Rule-Event map'!$E$2:$E$1477="Enabled"))</f>
        <v>0</v>
      </c>
      <c r="K517" s="2" t="s">
        <v>965</v>
      </c>
    </row>
    <row r="518" customFormat="false" ht="23.85" hidden="false" customHeight="false" outlineLevel="0" collapsed="false">
      <c r="A518" s="5" t="s">
        <v>7670</v>
      </c>
      <c r="B518" s="2" t="s">
        <v>994</v>
      </c>
      <c r="C518" s="5"/>
      <c r="D518" s="5"/>
      <c r="E518" s="5" t="s">
        <v>8336</v>
      </c>
      <c r="F518" s="5" t="n">
        <f aca="false">SUMPRODUCT(EXACT('Rule-Event map'!$F$2:$F$1477,$A518)*EXACT('Rule-Event map'!$G$2:$G$1477,$B518))</f>
        <v>3</v>
      </c>
      <c r="G518" s="5" t="n">
        <f aca="false">SUMPRODUCT(EXACT('Rule-Event map'!$F$2:$F$1477,$A518)*EXACT('Rule-Event map'!$G$2:$G$1477,$B518)*('Rule-Event map'!$C$2:$C$1477="New ITDR (7.6.0)"))</f>
        <v>0</v>
      </c>
      <c r="H518" s="5" t="n">
        <f aca="false">SUMPRODUCT(EXACT('Rule-Event map'!$F$2:$F$1477,$A518)*EXACT('Rule-Event map'!$G$2:$G$1477,$B518)*('Rule-Event map'!$C$2:$C$1477="Existing, re-tagged ITDR"))</f>
        <v>3</v>
      </c>
      <c r="I518" s="5" t="n">
        <f aca="false">F518-G518-H518</f>
        <v>0</v>
      </c>
      <c r="J518" s="5" t="n">
        <f aca="false">SUMPRODUCT(EXACT('Rule-Event map'!$F$2:$F$1477,$A518)*EXACT('Rule-Event map'!$G$2:$G$1477,$B518)*('Rule-Event map'!$E$2:$E$1477="Enabled"))</f>
        <v>1</v>
      </c>
      <c r="K518" s="2" t="s">
        <v>8380</v>
      </c>
    </row>
    <row r="519" customFormat="false" ht="23.85" hidden="false" customHeight="false" outlineLevel="0" collapsed="false">
      <c r="A519" s="5" t="s">
        <v>7670</v>
      </c>
      <c r="B519" s="2" t="s">
        <v>975</v>
      </c>
      <c r="C519" s="5"/>
      <c r="D519" s="5"/>
      <c r="E519" s="5" t="s">
        <v>8336</v>
      </c>
      <c r="F519" s="5" t="n">
        <f aca="false">SUMPRODUCT(EXACT('Rule-Event map'!$F$2:$F$1477,$A519)*EXACT('Rule-Event map'!$G$2:$G$1477,$B519))</f>
        <v>2</v>
      </c>
      <c r="G519" s="5" t="n">
        <f aca="false">SUMPRODUCT(EXACT('Rule-Event map'!$F$2:$F$1477,$A519)*EXACT('Rule-Event map'!$G$2:$G$1477,$B519)*('Rule-Event map'!$C$2:$C$1477="New ITDR (7.6.0)"))</f>
        <v>0</v>
      </c>
      <c r="H519" s="5" t="n">
        <f aca="false">SUMPRODUCT(EXACT('Rule-Event map'!$F$2:$F$1477,$A519)*EXACT('Rule-Event map'!$G$2:$G$1477,$B519)*('Rule-Event map'!$C$2:$C$1477="Existing, re-tagged ITDR"))</f>
        <v>2</v>
      </c>
      <c r="I519" s="5" t="n">
        <f aca="false">F519-G519-H519</f>
        <v>0</v>
      </c>
      <c r="J519" s="5" t="n">
        <f aca="false">SUMPRODUCT(EXACT('Rule-Event map'!$F$2:$F$1477,$A519)*EXACT('Rule-Event map'!$G$2:$G$1477,$B519)*('Rule-Event map'!$E$2:$E$1477="Enabled"))</f>
        <v>1</v>
      </c>
      <c r="K519" s="2" t="s">
        <v>8381</v>
      </c>
    </row>
    <row r="520" customFormat="false" ht="23.85" hidden="false" customHeight="false" outlineLevel="0" collapsed="false">
      <c r="A520" s="5" t="s">
        <v>7670</v>
      </c>
      <c r="B520" s="2" t="s">
        <v>986</v>
      </c>
      <c r="C520" s="5"/>
      <c r="D520" s="5"/>
      <c r="E520" s="5" t="s">
        <v>8336</v>
      </c>
      <c r="F520" s="5" t="n">
        <f aca="false">SUMPRODUCT(EXACT('Rule-Event map'!$F$2:$F$1477,$A520)*EXACT('Rule-Event map'!$G$2:$G$1477,$B520))</f>
        <v>3</v>
      </c>
      <c r="G520" s="5" t="n">
        <f aca="false">SUMPRODUCT(EXACT('Rule-Event map'!$F$2:$F$1477,$A520)*EXACT('Rule-Event map'!$G$2:$G$1477,$B520)*('Rule-Event map'!$C$2:$C$1477="New ITDR (7.6.0)"))</f>
        <v>0</v>
      </c>
      <c r="H520" s="5" t="n">
        <f aca="false">SUMPRODUCT(EXACT('Rule-Event map'!$F$2:$F$1477,$A520)*EXACT('Rule-Event map'!$G$2:$G$1477,$B520)*('Rule-Event map'!$C$2:$C$1477="Existing, re-tagged ITDR"))</f>
        <v>3</v>
      </c>
      <c r="I520" s="5" t="n">
        <f aca="false">F520-G520-H520</f>
        <v>0</v>
      </c>
      <c r="J520" s="5" t="n">
        <f aca="false">SUMPRODUCT(EXACT('Rule-Event map'!$F$2:$F$1477,$A520)*EXACT('Rule-Event map'!$G$2:$G$1477,$B520)*('Rule-Event map'!$E$2:$E$1477="Enabled"))</f>
        <v>2</v>
      </c>
      <c r="K520" s="2" t="s">
        <v>8382</v>
      </c>
    </row>
    <row r="521" customFormat="false" ht="23.85" hidden="false" customHeight="false" outlineLevel="0" collapsed="false">
      <c r="A521" s="5" t="s">
        <v>7670</v>
      </c>
      <c r="B521" s="2" t="s">
        <v>7716</v>
      </c>
      <c r="C521" s="5"/>
      <c r="D521" s="5"/>
      <c r="E521" s="5" t="s">
        <v>8336</v>
      </c>
      <c r="F521" s="5" t="n">
        <f aca="false">SUMPRODUCT(EXACT('Rule-Event map'!$F$2:$F$1477,$A521)*EXACT('Rule-Event map'!$G$2:$G$1477,$B521))</f>
        <v>1</v>
      </c>
      <c r="G521" s="5" t="n">
        <f aca="false">SUMPRODUCT(EXACT('Rule-Event map'!$F$2:$F$1477,$A521)*EXACT('Rule-Event map'!$G$2:$G$1477,$B521)*('Rule-Event map'!$C$2:$C$1477="New ITDR (7.6.0)"))</f>
        <v>0</v>
      </c>
      <c r="H521" s="5" t="n">
        <f aca="false">SUMPRODUCT(EXACT('Rule-Event map'!$F$2:$F$1477,$A521)*EXACT('Rule-Event map'!$G$2:$G$1477,$B521)*('Rule-Event map'!$C$2:$C$1477="Existing, re-tagged ITDR"))</f>
        <v>1</v>
      </c>
      <c r="I521" s="5" t="n">
        <f aca="false">F521-G521-H521</f>
        <v>0</v>
      </c>
      <c r="J521" s="5" t="n">
        <f aca="false">SUMPRODUCT(EXACT('Rule-Event map'!$F$2:$F$1477,$A521)*EXACT('Rule-Event map'!$G$2:$G$1477,$B521)*('Rule-Event map'!$E$2:$E$1477="Enabled"))</f>
        <v>1</v>
      </c>
      <c r="K521" s="2" t="s">
        <v>1049</v>
      </c>
    </row>
    <row r="522" customFormat="false" ht="23.85" hidden="false" customHeight="false" outlineLevel="0" collapsed="false">
      <c r="A522" s="5" t="s">
        <v>7670</v>
      </c>
      <c r="B522" s="2" t="s">
        <v>1004</v>
      </c>
      <c r="C522" s="5"/>
      <c r="D522" s="5"/>
      <c r="E522" s="5" t="s">
        <v>8336</v>
      </c>
      <c r="F522" s="5" t="n">
        <f aca="false">SUMPRODUCT(EXACT('Rule-Event map'!$F$2:$F$1477,$A522)*EXACT('Rule-Event map'!$G$2:$G$1477,$B522))</f>
        <v>3</v>
      </c>
      <c r="G522" s="5" t="n">
        <f aca="false">SUMPRODUCT(EXACT('Rule-Event map'!$F$2:$F$1477,$A522)*EXACT('Rule-Event map'!$G$2:$G$1477,$B522)*('Rule-Event map'!$C$2:$C$1477="New ITDR (7.6.0)"))</f>
        <v>0</v>
      </c>
      <c r="H522" s="5" t="n">
        <f aca="false">SUMPRODUCT(EXACT('Rule-Event map'!$F$2:$F$1477,$A522)*EXACT('Rule-Event map'!$G$2:$G$1477,$B522)*('Rule-Event map'!$C$2:$C$1477="Existing, re-tagged ITDR"))</f>
        <v>3</v>
      </c>
      <c r="I522" s="5" t="n">
        <f aca="false">F522-G522-H522</f>
        <v>0</v>
      </c>
      <c r="J522" s="5" t="n">
        <f aca="false">SUMPRODUCT(EXACT('Rule-Event map'!$F$2:$F$1477,$A522)*EXACT('Rule-Event map'!$G$2:$G$1477,$B522)*('Rule-Event map'!$E$2:$E$1477="Enabled"))</f>
        <v>2</v>
      </c>
      <c r="K522" s="2" t="s">
        <v>8383</v>
      </c>
    </row>
    <row r="523" customFormat="false" ht="23.85" hidden="false" customHeight="false" outlineLevel="0" collapsed="false">
      <c r="A523" s="5" t="s">
        <v>7670</v>
      </c>
      <c r="B523" s="2" t="s">
        <v>1013</v>
      </c>
      <c r="C523" s="5"/>
      <c r="D523" s="5"/>
      <c r="E523" s="5" t="s">
        <v>8336</v>
      </c>
      <c r="F523" s="5" t="n">
        <f aca="false">SUMPRODUCT(EXACT('Rule-Event map'!$F$2:$F$1477,$A523)*EXACT('Rule-Event map'!$G$2:$G$1477,$B523))</f>
        <v>2</v>
      </c>
      <c r="G523" s="5" t="n">
        <f aca="false">SUMPRODUCT(EXACT('Rule-Event map'!$F$2:$F$1477,$A523)*EXACT('Rule-Event map'!$G$2:$G$1477,$B523)*('Rule-Event map'!$C$2:$C$1477="New ITDR (7.6.0)"))</f>
        <v>0</v>
      </c>
      <c r="H523" s="5" t="n">
        <f aca="false">SUMPRODUCT(EXACT('Rule-Event map'!$F$2:$F$1477,$A523)*EXACT('Rule-Event map'!$G$2:$G$1477,$B523)*('Rule-Event map'!$C$2:$C$1477="Existing, re-tagged ITDR"))</f>
        <v>2</v>
      </c>
      <c r="I523" s="5" t="n">
        <f aca="false">F523-G523-H523</f>
        <v>0</v>
      </c>
      <c r="J523" s="5" t="n">
        <f aca="false">SUMPRODUCT(EXACT('Rule-Event map'!$F$2:$F$1477,$A523)*EXACT('Rule-Event map'!$G$2:$G$1477,$B523)*('Rule-Event map'!$E$2:$E$1477="Enabled"))</f>
        <v>1</v>
      </c>
      <c r="K523" s="2" t="s">
        <v>8384</v>
      </c>
    </row>
    <row r="524" customFormat="false" ht="23.85" hidden="false" customHeight="false" outlineLevel="0" collapsed="false">
      <c r="A524" s="5" t="s">
        <v>7670</v>
      </c>
      <c r="B524" s="2" t="s">
        <v>1024</v>
      </c>
      <c r="C524" s="5"/>
      <c r="D524" s="5"/>
      <c r="E524" s="5" t="s">
        <v>8336</v>
      </c>
      <c r="F524" s="5" t="n">
        <f aca="false">SUMPRODUCT(EXACT('Rule-Event map'!$F$2:$F$1477,$A524)*EXACT('Rule-Event map'!$G$2:$G$1477,$B524))</f>
        <v>2</v>
      </c>
      <c r="G524" s="5" t="n">
        <f aca="false">SUMPRODUCT(EXACT('Rule-Event map'!$F$2:$F$1477,$A524)*EXACT('Rule-Event map'!$G$2:$G$1477,$B524)*('Rule-Event map'!$C$2:$C$1477="New ITDR (7.6.0)"))</f>
        <v>0</v>
      </c>
      <c r="H524" s="5" t="n">
        <f aca="false">SUMPRODUCT(EXACT('Rule-Event map'!$F$2:$F$1477,$A524)*EXACT('Rule-Event map'!$G$2:$G$1477,$B524)*('Rule-Event map'!$C$2:$C$1477="Existing, re-tagged ITDR"))</f>
        <v>2</v>
      </c>
      <c r="I524" s="5" t="n">
        <f aca="false">F524-G524-H524</f>
        <v>0</v>
      </c>
      <c r="J524" s="5" t="n">
        <f aca="false">SUMPRODUCT(EXACT('Rule-Event map'!$F$2:$F$1477,$A524)*EXACT('Rule-Event map'!$G$2:$G$1477,$B524)*('Rule-Event map'!$E$2:$E$1477="Enabled"))</f>
        <v>1</v>
      </c>
      <c r="K524" s="2" t="s">
        <v>8385</v>
      </c>
    </row>
    <row r="525" customFormat="false" ht="23.85" hidden="false" customHeight="false" outlineLevel="0" collapsed="false">
      <c r="A525" s="5" t="s">
        <v>7670</v>
      </c>
      <c r="B525" s="2" t="s">
        <v>7717</v>
      </c>
      <c r="C525" s="5"/>
      <c r="D525" s="5"/>
      <c r="E525" s="5" t="s">
        <v>8336</v>
      </c>
      <c r="F525" s="5" t="n">
        <f aca="false">SUMPRODUCT(EXACT('Rule-Event map'!$F$2:$F$1477,$A525)*EXACT('Rule-Event map'!$G$2:$G$1477,$B525))</f>
        <v>1</v>
      </c>
      <c r="G525" s="5" t="n">
        <f aca="false">SUMPRODUCT(EXACT('Rule-Event map'!$F$2:$F$1477,$A525)*EXACT('Rule-Event map'!$G$2:$G$1477,$B525)*('Rule-Event map'!$C$2:$C$1477="New ITDR (7.6.0)"))</f>
        <v>0</v>
      </c>
      <c r="H525" s="5" t="n">
        <f aca="false">SUMPRODUCT(EXACT('Rule-Event map'!$F$2:$F$1477,$A525)*EXACT('Rule-Event map'!$G$2:$G$1477,$B525)*('Rule-Event map'!$C$2:$C$1477="Existing, re-tagged ITDR"))</f>
        <v>1</v>
      </c>
      <c r="I525" s="5" t="n">
        <f aca="false">F525-G525-H525</f>
        <v>0</v>
      </c>
      <c r="J525" s="5" t="n">
        <f aca="false">SUMPRODUCT(EXACT('Rule-Event map'!$F$2:$F$1477,$A525)*EXACT('Rule-Event map'!$G$2:$G$1477,$B525)*('Rule-Event map'!$E$2:$E$1477="Enabled"))</f>
        <v>1</v>
      </c>
      <c r="K525" s="2" t="s">
        <v>1049</v>
      </c>
    </row>
    <row r="526" customFormat="false" ht="15" hidden="false" customHeight="false" outlineLevel="0" collapsed="false">
      <c r="A526" s="5" t="s">
        <v>7670</v>
      </c>
      <c r="B526" s="2" t="s">
        <v>2301</v>
      </c>
      <c r="C526" s="5"/>
      <c r="D526" s="5"/>
      <c r="E526" s="5" t="s">
        <v>8336</v>
      </c>
      <c r="F526" s="5" t="n">
        <f aca="false">SUMPRODUCT(EXACT('Rule-Event map'!$F$2:$F$1477,$A526)*EXACT('Rule-Event map'!$G$2:$G$1477,$B526))</f>
        <v>1</v>
      </c>
      <c r="G526" s="5" t="n">
        <f aca="false">SUMPRODUCT(EXACT('Rule-Event map'!$F$2:$F$1477,$A526)*EXACT('Rule-Event map'!$G$2:$G$1477,$B526)*('Rule-Event map'!$C$2:$C$1477="New ITDR (7.6.0)"))</f>
        <v>0</v>
      </c>
      <c r="H526" s="5" t="n">
        <f aca="false">SUMPRODUCT(EXACT('Rule-Event map'!$F$2:$F$1477,$A526)*EXACT('Rule-Event map'!$G$2:$G$1477,$B526)*('Rule-Event map'!$C$2:$C$1477="Existing, re-tagged ITDR"))</f>
        <v>0</v>
      </c>
      <c r="I526" s="5" t="n">
        <f aca="false">F526-G526-H526</f>
        <v>1</v>
      </c>
      <c r="J526" s="5" t="n">
        <f aca="false">SUMPRODUCT(EXACT('Rule-Event map'!$F$2:$F$1477,$A526)*EXACT('Rule-Event map'!$G$2:$G$1477,$B526)*('Rule-Event map'!$E$2:$E$1477="Enabled"))</f>
        <v>1</v>
      </c>
      <c r="K526" s="2" t="s">
        <v>2746</v>
      </c>
    </row>
    <row r="527" customFormat="false" ht="23.85" hidden="false" customHeight="false" outlineLevel="0" collapsed="false">
      <c r="A527" s="5" t="s">
        <v>7670</v>
      </c>
      <c r="B527" s="2" t="s">
        <v>7718</v>
      </c>
      <c r="C527" s="5"/>
      <c r="D527" s="5"/>
      <c r="E527" s="5" t="s">
        <v>8336</v>
      </c>
      <c r="F527" s="5" t="n">
        <f aca="false">SUMPRODUCT(EXACT('Rule-Event map'!$F$2:$F$1477,$A527)*EXACT('Rule-Event map'!$G$2:$G$1477,$B527))</f>
        <v>1</v>
      </c>
      <c r="G527" s="5" t="n">
        <f aca="false">SUMPRODUCT(EXACT('Rule-Event map'!$F$2:$F$1477,$A527)*EXACT('Rule-Event map'!$G$2:$G$1477,$B527)*('Rule-Event map'!$C$2:$C$1477="New ITDR (7.6.0)"))</f>
        <v>0</v>
      </c>
      <c r="H527" s="5" t="n">
        <f aca="false">SUMPRODUCT(EXACT('Rule-Event map'!$F$2:$F$1477,$A527)*EXACT('Rule-Event map'!$G$2:$G$1477,$B527)*('Rule-Event map'!$C$2:$C$1477="Existing, re-tagged ITDR"))</f>
        <v>1</v>
      </c>
      <c r="I527" s="5" t="n">
        <f aca="false">F527-G527-H527</f>
        <v>0</v>
      </c>
      <c r="J527" s="5" t="n">
        <f aca="false">SUMPRODUCT(EXACT('Rule-Event map'!$F$2:$F$1477,$A527)*EXACT('Rule-Event map'!$G$2:$G$1477,$B527)*('Rule-Event map'!$E$2:$E$1477="Enabled"))</f>
        <v>1</v>
      </c>
      <c r="K527" s="2" t="s">
        <v>1049</v>
      </c>
    </row>
    <row r="528" customFormat="false" ht="15" hidden="false" customHeight="false" outlineLevel="0" collapsed="false">
      <c r="A528" s="5" t="s">
        <v>7670</v>
      </c>
      <c r="B528" s="2" t="s">
        <v>6066</v>
      </c>
      <c r="C528" s="5"/>
      <c r="D528" s="5"/>
      <c r="E528" s="5" t="s">
        <v>8336</v>
      </c>
      <c r="F528" s="5" t="n">
        <f aca="false">SUMPRODUCT(EXACT('Rule-Event map'!$F$2:$F$1477,$A528)*EXACT('Rule-Event map'!$G$2:$G$1477,$B528))</f>
        <v>1</v>
      </c>
      <c r="G528" s="5" t="n">
        <f aca="false">SUMPRODUCT(EXACT('Rule-Event map'!$F$2:$F$1477,$A528)*EXACT('Rule-Event map'!$G$2:$G$1477,$B528)*('Rule-Event map'!$C$2:$C$1477="New ITDR (7.6.0)"))</f>
        <v>0</v>
      </c>
      <c r="H528" s="5" t="n">
        <f aca="false">SUMPRODUCT(EXACT('Rule-Event map'!$F$2:$F$1477,$A528)*EXACT('Rule-Event map'!$G$2:$G$1477,$B528)*('Rule-Event map'!$C$2:$C$1477="Existing, re-tagged ITDR"))</f>
        <v>0</v>
      </c>
      <c r="I528" s="5" t="n">
        <f aca="false">F528-G528-H528</f>
        <v>1</v>
      </c>
      <c r="J528" s="5" t="n">
        <f aca="false">SUMPRODUCT(EXACT('Rule-Event map'!$F$2:$F$1477,$A528)*EXACT('Rule-Event map'!$G$2:$G$1477,$B528)*('Rule-Event map'!$E$2:$E$1477="Enabled"))</f>
        <v>1</v>
      </c>
      <c r="K528" s="2" t="s">
        <v>6065</v>
      </c>
    </row>
    <row r="529" customFormat="false" ht="15" hidden="false" customHeight="false" outlineLevel="0" collapsed="false">
      <c r="A529" s="5" t="s">
        <v>7670</v>
      </c>
      <c r="B529" s="2" t="s">
        <v>6058</v>
      </c>
      <c r="C529" s="5"/>
      <c r="D529" s="5"/>
      <c r="E529" s="5" t="s">
        <v>8336</v>
      </c>
      <c r="F529" s="5" t="n">
        <f aca="false">SUMPRODUCT(EXACT('Rule-Event map'!$F$2:$F$1477,$A529)*EXACT('Rule-Event map'!$G$2:$G$1477,$B529))</f>
        <v>1</v>
      </c>
      <c r="G529" s="5" t="n">
        <f aca="false">SUMPRODUCT(EXACT('Rule-Event map'!$F$2:$F$1477,$A529)*EXACT('Rule-Event map'!$G$2:$G$1477,$B529)*('Rule-Event map'!$C$2:$C$1477="New ITDR (7.6.0)"))</f>
        <v>0</v>
      </c>
      <c r="H529" s="5" t="n">
        <f aca="false">SUMPRODUCT(EXACT('Rule-Event map'!$F$2:$F$1477,$A529)*EXACT('Rule-Event map'!$G$2:$G$1477,$B529)*('Rule-Event map'!$C$2:$C$1477="Existing, re-tagged ITDR"))</f>
        <v>0</v>
      </c>
      <c r="I529" s="5" t="n">
        <f aca="false">F529-G529-H529</f>
        <v>1</v>
      </c>
      <c r="J529" s="5" t="n">
        <f aca="false">SUMPRODUCT(EXACT('Rule-Event map'!$F$2:$F$1477,$A529)*EXACT('Rule-Event map'!$G$2:$G$1477,$B529)*('Rule-Event map'!$E$2:$E$1477="Enabled"))</f>
        <v>1</v>
      </c>
      <c r="K529" s="2" t="s">
        <v>6057</v>
      </c>
    </row>
    <row r="530" customFormat="false" ht="15" hidden="false" customHeight="false" outlineLevel="0" collapsed="false">
      <c r="A530" s="5" t="s">
        <v>7670</v>
      </c>
      <c r="B530" s="2" t="s">
        <v>6073</v>
      </c>
      <c r="C530" s="5"/>
      <c r="D530" s="5"/>
      <c r="E530" s="5" t="s">
        <v>8336</v>
      </c>
      <c r="F530" s="5" t="n">
        <f aca="false">SUMPRODUCT(EXACT('Rule-Event map'!$F$2:$F$1477,$A530)*EXACT('Rule-Event map'!$G$2:$G$1477,$B530))</f>
        <v>1</v>
      </c>
      <c r="G530" s="5" t="n">
        <f aca="false">SUMPRODUCT(EXACT('Rule-Event map'!$F$2:$F$1477,$A530)*EXACT('Rule-Event map'!$G$2:$G$1477,$B530)*('Rule-Event map'!$C$2:$C$1477="New ITDR (7.6.0)"))</f>
        <v>0</v>
      </c>
      <c r="H530" s="5" t="n">
        <f aca="false">SUMPRODUCT(EXACT('Rule-Event map'!$F$2:$F$1477,$A530)*EXACT('Rule-Event map'!$G$2:$G$1477,$B530)*('Rule-Event map'!$C$2:$C$1477="Existing, re-tagged ITDR"))</f>
        <v>0</v>
      </c>
      <c r="I530" s="5" t="n">
        <f aca="false">F530-G530-H530</f>
        <v>1</v>
      </c>
      <c r="J530" s="5" t="n">
        <f aca="false">SUMPRODUCT(EXACT('Rule-Event map'!$F$2:$F$1477,$A530)*EXACT('Rule-Event map'!$G$2:$G$1477,$B530)*('Rule-Event map'!$E$2:$E$1477="Enabled"))</f>
        <v>1</v>
      </c>
      <c r="K530" s="2" t="s">
        <v>6072</v>
      </c>
    </row>
    <row r="531" customFormat="false" ht="15" hidden="false" customHeight="false" outlineLevel="0" collapsed="false">
      <c r="A531" s="5" t="s">
        <v>7670</v>
      </c>
      <c r="B531" s="2" t="s">
        <v>8204</v>
      </c>
      <c r="C531" s="5"/>
      <c r="D531" s="5"/>
      <c r="E531" s="5" t="s">
        <v>8336</v>
      </c>
      <c r="F531" s="5" t="n">
        <f aca="false">SUMPRODUCT(EXACT('Rule-Event map'!$F$2:$F$1477,$A531)*EXACT('Rule-Event map'!$G$2:$G$1477,$B531))</f>
        <v>1</v>
      </c>
      <c r="G531" s="5" t="n">
        <f aca="false">SUMPRODUCT(EXACT('Rule-Event map'!$F$2:$F$1477,$A531)*EXACT('Rule-Event map'!$G$2:$G$1477,$B531)*('Rule-Event map'!$C$2:$C$1477="New ITDR (7.6.0)"))</f>
        <v>0</v>
      </c>
      <c r="H531" s="5" t="n">
        <f aca="false">SUMPRODUCT(EXACT('Rule-Event map'!$F$2:$F$1477,$A531)*EXACT('Rule-Event map'!$G$2:$G$1477,$B531)*('Rule-Event map'!$C$2:$C$1477="Existing, re-tagged ITDR"))</f>
        <v>0</v>
      </c>
      <c r="I531" s="5" t="n">
        <f aca="false">F531-G531-H531</f>
        <v>1</v>
      </c>
      <c r="J531" s="5" t="n">
        <f aca="false">SUMPRODUCT(EXACT('Rule-Event map'!$F$2:$F$1477,$A531)*EXACT('Rule-Event map'!$G$2:$G$1477,$B531)*('Rule-Event map'!$E$2:$E$1477="Enabled"))</f>
        <v>1</v>
      </c>
      <c r="K531" s="2" t="s">
        <v>6078</v>
      </c>
    </row>
    <row r="532" customFormat="false" ht="15" hidden="false" customHeight="false" outlineLevel="0" collapsed="false">
      <c r="A532" s="5" t="s">
        <v>7670</v>
      </c>
      <c r="B532" s="2" t="s">
        <v>8206</v>
      </c>
      <c r="C532" s="5"/>
      <c r="D532" s="5"/>
      <c r="E532" s="5" t="s">
        <v>8336</v>
      </c>
      <c r="F532" s="5" t="n">
        <f aca="false">SUMPRODUCT(EXACT('Rule-Event map'!$F$2:$F$1477,$A532)*EXACT('Rule-Event map'!$G$2:$G$1477,$B532))</f>
        <v>1</v>
      </c>
      <c r="G532" s="5" t="n">
        <f aca="false">SUMPRODUCT(EXACT('Rule-Event map'!$F$2:$F$1477,$A532)*EXACT('Rule-Event map'!$G$2:$G$1477,$B532)*('Rule-Event map'!$C$2:$C$1477="New ITDR (7.6.0)"))</f>
        <v>0</v>
      </c>
      <c r="H532" s="5" t="n">
        <f aca="false">SUMPRODUCT(EXACT('Rule-Event map'!$F$2:$F$1477,$A532)*EXACT('Rule-Event map'!$G$2:$G$1477,$B532)*('Rule-Event map'!$C$2:$C$1477="Existing, re-tagged ITDR"))</f>
        <v>0</v>
      </c>
      <c r="I532" s="5" t="n">
        <f aca="false">F532-G532-H532</f>
        <v>1</v>
      </c>
      <c r="J532" s="5" t="n">
        <f aca="false">SUMPRODUCT(EXACT('Rule-Event map'!$F$2:$F$1477,$A532)*EXACT('Rule-Event map'!$G$2:$G$1477,$B532)*('Rule-Event map'!$E$2:$E$1477="Enabled"))</f>
        <v>1</v>
      </c>
      <c r="K532" s="2" t="s">
        <v>6085</v>
      </c>
    </row>
    <row r="533" customFormat="false" ht="15" hidden="false" customHeight="false" outlineLevel="0" collapsed="false">
      <c r="A533" s="5" t="s">
        <v>7670</v>
      </c>
      <c r="B533" s="2" t="s">
        <v>8205</v>
      </c>
      <c r="C533" s="5"/>
      <c r="D533" s="5"/>
      <c r="E533" s="5" t="s">
        <v>8336</v>
      </c>
      <c r="F533" s="5" t="n">
        <f aca="false">SUMPRODUCT(EXACT('Rule-Event map'!$F$2:$F$1477,$A533)*EXACT('Rule-Event map'!$G$2:$G$1477,$B533))</f>
        <v>1</v>
      </c>
      <c r="G533" s="5" t="n">
        <f aca="false">SUMPRODUCT(EXACT('Rule-Event map'!$F$2:$F$1477,$A533)*EXACT('Rule-Event map'!$G$2:$G$1477,$B533)*('Rule-Event map'!$C$2:$C$1477="New ITDR (7.6.0)"))</f>
        <v>0</v>
      </c>
      <c r="H533" s="5" t="n">
        <f aca="false">SUMPRODUCT(EXACT('Rule-Event map'!$F$2:$F$1477,$A533)*EXACT('Rule-Event map'!$G$2:$G$1477,$B533)*('Rule-Event map'!$C$2:$C$1477="Existing, re-tagged ITDR"))</f>
        <v>0</v>
      </c>
      <c r="I533" s="5" t="n">
        <f aca="false">F533-G533-H533</f>
        <v>1</v>
      </c>
      <c r="J533" s="5" t="n">
        <f aca="false">SUMPRODUCT(EXACT('Rule-Event map'!$F$2:$F$1477,$A533)*EXACT('Rule-Event map'!$G$2:$G$1477,$B533)*('Rule-Event map'!$E$2:$E$1477="Enabled"))</f>
        <v>1</v>
      </c>
      <c r="K533" s="2" t="s">
        <v>6078</v>
      </c>
    </row>
    <row r="534" customFormat="false" ht="15" hidden="false" customHeight="false" outlineLevel="0" collapsed="false">
      <c r="A534" s="5" t="s">
        <v>7670</v>
      </c>
      <c r="B534" s="2" t="s">
        <v>8207</v>
      </c>
      <c r="C534" s="5"/>
      <c r="D534" s="5"/>
      <c r="E534" s="5" t="s">
        <v>8336</v>
      </c>
      <c r="F534" s="5" t="n">
        <f aca="false">SUMPRODUCT(EXACT('Rule-Event map'!$F$2:$F$1477,$A534)*EXACT('Rule-Event map'!$G$2:$G$1477,$B534))</f>
        <v>1</v>
      </c>
      <c r="G534" s="5" t="n">
        <f aca="false">SUMPRODUCT(EXACT('Rule-Event map'!$F$2:$F$1477,$A534)*EXACT('Rule-Event map'!$G$2:$G$1477,$B534)*('Rule-Event map'!$C$2:$C$1477="New ITDR (7.6.0)"))</f>
        <v>0</v>
      </c>
      <c r="H534" s="5" t="n">
        <f aca="false">SUMPRODUCT(EXACT('Rule-Event map'!$F$2:$F$1477,$A534)*EXACT('Rule-Event map'!$G$2:$G$1477,$B534)*('Rule-Event map'!$C$2:$C$1477="Existing, re-tagged ITDR"))</f>
        <v>0</v>
      </c>
      <c r="I534" s="5" t="n">
        <f aca="false">F534-G534-H534</f>
        <v>1</v>
      </c>
      <c r="J534" s="5" t="n">
        <f aca="false">SUMPRODUCT(EXACT('Rule-Event map'!$F$2:$F$1477,$A534)*EXACT('Rule-Event map'!$G$2:$G$1477,$B534)*('Rule-Event map'!$E$2:$E$1477="Enabled"))</f>
        <v>1</v>
      </c>
      <c r="K534" s="2" t="s">
        <v>6085</v>
      </c>
    </row>
    <row r="535" customFormat="false" ht="15" hidden="false" customHeight="false" outlineLevel="0" collapsed="false">
      <c r="A535" s="5" t="s">
        <v>7670</v>
      </c>
      <c r="B535" s="2" t="s">
        <v>6043</v>
      </c>
      <c r="C535" s="5"/>
      <c r="D535" s="5"/>
      <c r="E535" s="5" t="s">
        <v>8336</v>
      </c>
      <c r="F535" s="5" t="n">
        <f aca="false">SUMPRODUCT(EXACT('Rule-Event map'!$F$2:$F$1477,$A535)*EXACT('Rule-Event map'!$G$2:$G$1477,$B535))</f>
        <v>1</v>
      </c>
      <c r="G535" s="5" t="n">
        <f aca="false">SUMPRODUCT(EXACT('Rule-Event map'!$F$2:$F$1477,$A535)*EXACT('Rule-Event map'!$G$2:$G$1477,$B535)*('Rule-Event map'!$C$2:$C$1477="New ITDR (7.6.0)"))</f>
        <v>0</v>
      </c>
      <c r="H535" s="5" t="n">
        <f aca="false">SUMPRODUCT(EXACT('Rule-Event map'!$F$2:$F$1477,$A535)*EXACT('Rule-Event map'!$G$2:$G$1477,$B535)*('Rule-Event map'!$C$2:$C$1477="Existing, re-tagged ITDR"))</f>
        <v>0</v>
      </c>
      <c r="I535" s="5" t="n">
        <f aca="false">F535-G535-H535</f>
        <v>1</v>
      </c>
      <c r="J535" s="5" t="n">
        <f aca="false">SUMPRODUCT(EXACT('Rule-Event map'!$F$2:$F$1477,$A535)*EXACT('Rule-Event map'!$G$2:$G$1477,$B535)*('Rule-Event map'!$E$2:$E$1477="Enabled"))</f>
        <v>1</v>
      </c>
      <c r="K535" s="2" t="s">
        <v>6041</v>
      </c>
    </row>
    <row r="536" customFormat="false" ht="15" hidden="false" customHeight="false" outlineLevel="0" collapsed="false">
      <c r="A536" s="5" t="s">
        <v>7670</v>
      </c>
      <c r="B536" s="2" t="s">
        <v>6051</v>
      </c>
      <c r="C536" s="5"/>
      <c r="D536" s="5"/>
      <c r="E536" s="5" t="s">
        <v>8336</v>
      </c>
      <c r="F536" s="5" t="n">
        <f aca="false">SUMPRODUCT(EXACT('Rule-Event map'!$F$2:$F$1477,$A536)*EXACT('Rule-Event map'!$G$2:$G$1477,$B536))</f>
        <v>1</v>
      </c>
      <c r="G536" s="5" t="n">
        <f aca="false">SUMPRODUCT(EXACT('Rule-Event map'!$F$2:$F$1477,$A536)*EXACT('Rule-Event map'!$G$2:$G$1477,$B536)*('Rule-Event map'!$C$2:$C$1477="New ITDR (7.6.0)"))</f>
        <v>0</v>
      </c>
      <c r="H536" s="5" t="n">
        <f aca="false">SUMPRODUCT(EXACT('Rule-Event map'!$F$2:$F$1477,$A536)*EXACT('Rule-Event map'!$G$2:$G$1477,$B536)*('Rule-Event map'!$C$2:$C$1477="Existing, re-tagged ITDR"))</f>
        <v>0</v>
      </c>
      <c r="I536" s="5" t="n">
        <f aca="false">F536-G536-H536</f>
        <v>1</v>
      </c>
      <c r="J536" s="5" t="n">
        <f aca="false">SUMPRODUCT(EXACT('Rule-Event map'!$F$2:$F$1477,$A536)*EXACT('Rule-Event map'!$G$2:$G$1477,$B536)*('Rule-Event map'!$E$2:$E$1477="Enabled"))</f>
        <v>1</v>
      </c>
      <c r="K536" s="2" t="s">
        <v>6050</v>
      </c>
    </row>
    <row r="537" customFormat="false" ht="15" hidden="false" customHeight="false" outlineLevel="0" collapsed="false">
      <c r="A537" s="5" t="s">
        <v>7670</v>
      </c>
      <c r="B537" s="2" t="s">
        <v>1081</v>
      </c>
      <c r="C537" s="5"/>
      <c r="D537" s="5"/>
      <c r="E537" s="5" t="s">
        <v>8336</v>
      </c>
      <c r="F537" s="5" t="n">
        <f aca="false">SUMPRODUCT(EXACT('Rule-Event map'!$F$2:$F$1477,$A537)*EXACT('Rule-Event map'!$G$2:$G$1477,$B537))</f>
        <v>1</v>
      </c>
      <c r="G537" s="5" t="n">
        <f aca="false">SUMPRODUCT(EXACT('Rule-Event map'!$F$2:$F$1477,$A537)*EXACT('Rule-Event map'!$G$2:$G$1477,$B537)*('Rule-Event map'!$C$2:$C$1477="New ITDR (7.6.0)"))</f>
        <v>0</v>
      </c>
      <c r="H537" s="5" t="n">
        <f aca="false">SUMPRODUCT(EXACT('Rule-Event map'!$F$2:$F$1477,$A537)*EXACT('Rule-Event map'!$G$2:$G$1477,$B537)*('Rule-Event map'!$C$2:$C$1477="Existing, re-tagged ITDR"))</f>
        <v>1</v>
      </c>
      <c r="I537" s="5" t="n">
        <f aca="false">F537-G537-H537</f>
        <v>0</v>
      </c>
      <c r="J537" s="5" t="n">
        <f aca="false">SUMPRODUCT(EXACT('Rule-Event map'!$F$2:$F$1477,$A537)*EXACT('Rule-Event map'!$G$2:$G$1477,$B537)*('Rule-Event map'!$E$2:$E$1477="Enabled"))</f>
        <v>1</v>
      </c>
      <c r="K537" s="2" t="s">
        <v>1080</v>
      </c>
    </row>
    <row r="538" customFormat="false" ht="15" hidden="false" customHeight="false" outlineLevel="0" collapsed="false">
      <c r="A538" s="5" t="s">
        <v>7670</v>
      </c>
      <c r="B538" s="2" t="s">
        <v>1074</v>
      </c>
      <c r="C538" s="5"/>
      <c r="D538" s="5"/>
      <c r="E538" s="5" t="s">
        <v>8336</v>
      </c>
      <c r="F538" s="5" t="n">
        <f aca="false">SUMPRODUCT(EXACT('Rule-Event map'!$F$2:$F$1477,$A538)*EXACT('Rule-Event map'!$G$2:$G$1477,$B538))</f>
        <v>1</v>
      </c>
      <c r="G538" s="5" t="n">
        <f aca="false">SUMPRODUCT(EXACT('Rule-Event map'!$F$2:$F$1477,$A538)*EXACT('Rule-Event map'!$G$2:$G$1477,$B538)*('Rule-Event map'!$C$2:$C$1477="New ITDR (7.6.0)"))</f>
        <v>0</v>
      </c>
      <c r="H538" s="5" t="n">
        <f aca="false">SUMPRODUCT(EXACT('Rule-Event map'!$F$2:$F$1477,$A538)*EXACT('Rule-Event map'!$G$2:$G$1477,$B538)*('Rule-Event map'!$C$2:$C$1477="Existing, re-tagged ITDR"))</f>
        <v>1</v>
      </c>
      <c r="I538" s="5" t="n">
        <f aca="false">F538-G538-H538</f>
        <v>0</v>
      </c>
      <c r="J538" s="5" t="n">
        <f aca="false">SUMPRODUCT(EXACT('Rule-Event map'!$F$2:$F$1477,$A538)*EXACT('Rule-Event map'!$G$2:$G$1477,$B538)*('Rule-Event map'!$E$2:$E$1477="Enabled"))</f>
        <v>1</v>
      </c>
      <c r="K538" s="2" t="s">
        <v>1072</v>
      </c>
    </row>
    <row r="539" customFormat="false" ht="15" hidden="false" customHeight="false" outlineLevel="0" collapsed="false">
      <c r="A539" s="5" t="s">
        <v>7670</v>
      </c>
      <c r="B539" s="2" t="s">
        <v>4751</v>
      </c>
      <c r="C539" s="5"/>
      <c r="D539" s="5"/>
      <c r="E539" s="5" t="s">
        <v>8336</v>
      </c>
      <c r="F539" s="5" t="n">
        <f aca="false">SUMPRODUCT(EXACT('Rule-Event map'!$F$2:$F$1477,$A539)*EXACT('Rule-Event map'!$G$2:$G$1477,$B539))</f>
        <v>1</v>
      </c>
      <c r="G539" s="5" t="n">
        <f aca="false">SUMPRODUCT(EXACT('Rule-Event map'!$F$2:$F$1477,$A539)*EXACT('Rule-Event map'!$G$2:$G$1477,$B539)*('Rule-Event map'!$C$2:$C$1477="New ITDR (7.6.0)"))</f>
        <v>0</v>
      </c>
      <c r="H539" s="5" t="n">
        <f aca="false">SUMPRODUCT(EXACT('Rule-Event map'!$F$2:$F$1477,$A539)*EXACT('Rule-Event map'!$G$2:$G$1477,$B539)*('Rule-Event map'!$C$2:$C$1477="Existing, re-tagged ITDR"))</f>
        <v>0</v>
      </c>
      <c r="I539" s="5" t="n">
        <f aca="false">F539-G539-H539</f>
        <v>1</v>
      </c>
      <c r="J539" s="5" t="n">
        <f aca="false">SUMPRODUCT(EXACT('Rule-Event map'!$F$2:$F$1477,$A539)*EXACT('Rule-Event map'!$G$2:$G$1477,$B539)*('Rule-Event map'!$E$2:$E$1477="Enabled"))</f>
        <v>1</v>
      </c>
      <c r="K539" s="2" t="s">
        <v>4749</v>
      </c>
    </row>
    <row r="540" customFormat="false" ht="15" hidden="false" customHeight="false" outlineLevel="0" collapsed="false">
      <c r="A540" s="5" t="s">
        <v>7670</v>
      </c>
      <c r="B540" s="2" t="s">
        <v>641</v>
      </c>
      <c r="C540" s="5"/>
      <c r="D540" s="5"/>
      <c r="E540" s="5" t="s">
        <v>8336</v>
      </c>
      <c r="F540" s="5" t="n">
        <f aca="false">SUMPRODUCT(EXACT('Rule-Event map'!$F$2:$F$1477,$A540)*EXACT('Rule-Event map'!$G$2:$G$1477,$B540))</f>
        <v>1</v>
      </c>
      <c r="G540" s="5" t="n">
        <f aca="false">SUMPRODUCT(EXACT('Rule-Event map'!$F$2:$F$1477,$A540)*EXACT('Rule-Event map'!$G$2:$G$1477,$B540)*('Rule-Event map'!$C$2:$C$1477="New ITDR (7.6.0)"))</f>
        <v>0</v>
      </c>
      <c r="H540" s="5" t="n">
        <f aca="false">SUMPRODUCT(EXACT('Rule-Event map'!$F$2:$F$1477,$A540)*EXACT('Rule-Event map'!$G$2:$G$1477,$B540)*('Rule-Event map'!$C$2:$C$1477="Existing, re-tagged ITDR"))</f>
        <v>0</v>
      </c>
      <c r="I540" s="5" t="n">
        <f aca="false">F540-G540-H540</f>
        <v>1</v>
      </c>
      <c r="J540" s="5" t="n">
        <f aca="false">SUMPRODUCT(EXACT('Rule-Event map'!$F$2:$F$1477,$A540)*EXACT('Rule-Event map'!$G$2:$G$1477,$B540)*('Rule-Event map'!$E$2:$E$1477="Enabled"))</f>
        <v>1</v>
      </c>
      <c r="K540" s="2" t="s">
        <v>2275</v>
      </c>
    </row>
    <row r="541" customFormat="false" ht="35.05" hidden="false" customHeight="false" outlineLevel="0" collapsed="false">
      <c r="A541" s="5" t="s">
        <v>7721</v>
      </c>
      <c r="B541" s="2" t="s">
        <v>7755</v>
      </c>
      <c r="C541" s="5"/>
      <c r="D541" s="5"/>
      <c r="E541" s="5" t="s">
        <v>8336</v>
      </c>
      <c r="F541" s="5" t="n">
        <f aca="false">SUMPRODUCT(EXACT('Rule-Event map'!$F$2:$F$1477,$A541)*EXACT('Rule-Event map'!$G$2:$G$1477,$B541))</f>
        <v>3</v>
      </c>
      <c r="G541" s="5" t="n">
        <f aca="false">SUMPRODUCT(EXACT('Rule-Event map'!$F$2:$F$1477,$A541)*EXACT('Rule-Event map'!$G$2:$G$1477,$B541)*('Rule-Event map'!$C$2:$C$1477="New ITDR (7.6.0)"))</f>
        <v>0</v>
      </c>
      <c r="H541" s="5" t="n">
        <f aca="false">SUMPRODUCT(EXACT('Rule-Event map'!$F$2:$F$1477,$A541)*EXACT('Rule-Event map'!$G$2:$G$1477,$B541)*('Rule-Event map'!$C$2:$C$1477="Existing, re-tagged ITDR"))</f>
        <v>2</v>
      </c>
      <c r="I541" s="5" t="n">
        <f aca="false">F541-G541-H541</f>
        <v>1</v>
      </c>
      <c r="J541" s="5" t="n">
        <f aca="false">SUMPRODUCT(EXACT('Rule-Event map'!$F$2:$F$1477,$A541)*EXACT('Rule-Event map'!$G$2:$G$1477,$B541)*('Rule-Event map'!$E$2:$E$1477="Enabled"))</f>
        <v>3</v>
      </c>
      <c r="K541" s="2" t="s">
        <v>8386</v>
      </c>
    </row>
    <row r="542" customFormat="false" ht="35.05" hidden="false" customHeight="false" outlineLevel="0" collapsed="false">
      <c r="A542" s="5" t="s">
        <v>7721</v>
      </c>
      <c r="B542" s="2" t="s">
        <v>7748</v>
      </c>
      <c r="C542" s="5"/>
      <c r="D542" s="5"/>
      <c r="E542" s="5" t="s">
        <v>8336</v>
      </c>
      <c r="F542" s="5" t="n">
        <f aca="false">SUMPRODUCT(EXACT('Rule-Event map'!$F$2:$F$1477,$A542)*EXACT('Rule-Event map'!$G$2:$G$1477,$B542))</f>
        <v>9</v>
      </c>
      <c r="G542" s="5" t="n">
        <f aca="false">SUMPRODUCT(EXACT('Rule-Event map'!$F$2:$F$1477,$A542)*EXACT('Rule-Event map'!$G$2:$G$1477,$B542)*('Rule-Event map'!$C$2:$C$1477="New ITDR (7.6.0)"))</f>
        <v>0</v>
      </c>
      <c r="H542" s="5" t="n">
        <f aca="false">SUMPRODUCT(EXACT('Rule-Event map'!$F$2:$F$1477,$A542)*EXACT('Rule-Event map'!$G$2:$G$1477,$B542)*('Rule-Event map'!$C$2:$C$1477="Existing, re-tagged ITDR"))</f>
        <v>1</v>
      </c>
      <c r="I542" s="5" t="n">
        <f aca="false">F542-G542-H542</f>
        <v>8</v>
      </c>
      <c r="J542" s="5" t="n">
        <f aca="false">SUMPRODUCT(EXACT('Rule-Event map'!$F$2:$F$1477,$A542)*EXACT('Rule-Event map'!$G$2:$G$1477,$B542)*('Rule-Event map'!$E$2:$E$1477="Enabled"))</f>
        <v>8</v>
      </c>
      <c r="K542" s="2" t="s">
        <v>8387</v>
      </c>
    </row>
    <row r="543" customFormat="false" ht="46.25" hidden="false" customHeight="false" outlineLevel="0" collapsed="false">
      <c r="A543" s="5" t="s">
        <v>7721</v>
      </c>
      <c r="B543" s="2" t="s">
        <v>7819</v>
      </c>
      <c r="C543" s="5"/>
      <c r="D543" s="5"/>
      <c r="E543" s="5" t="s">
        <v>8336</v>
      </c>
      <c r="F543" s="5" t="n">
        <f aca="false">SUMPRODUCT(EXACT('Rule-Event map'!$F$2:$F$1477,$A543)*EXACT('Rule-Event map'!$G$2:$G$1477,$B543))</f>
        <v>6</v>
      </c>
      <c r="G543" s="5" t="n">
        <f aca="false">SUMPRODUCT(EXACT('Rule-Event map'!$F$2:$F$1477,$A543)*EXACT('Rule-Event map'!$G$2:$G$1477,$B543)*('Rule-Event map'!$C$2:$C$1477="New ITDR (7.6.0)"))</f>
        <v>0</v>
      </c>
      <c r="H543" s="5" t="n">
        <f aca="false">SUMPRODUCT(EXACT('Rule-Event map'!$F$2:$F$1477,$A543)*EXACT('Rule-Event map'!$G$2:$G$1477,$B543)*('Rule-Event map'!$C$2:$C$1477="Existing, re-tagged ITDR"))</f>
        <v>0</v>
      </c>
      <c r="I543" s="5" t="n">
        <f aca="false">F543-G543-H543</f>
        <v>6</v>
      </c>
      <c r="J543" s="5" t="n">
        <f aca="false">SUMPRODUCT(EXACT('Rule-Event map'!$F$2:$F$1477,$A543)*EXACT('Rule-Event map'!$G$2:$G$1477,$B543)*('Rule-Event map'!$E$2:$E$1477="Enabled"))</f>
        <v>6</v>
      </c>
      <c r="K543" s="2" t="s">
        <v>8388</v>
      </c>
    </row>
    <row r="544" customFormat="false" ht="15" hidden="false" customHeight="false" outlineLevel="0" collapsed="false">
      <c r="A544" s="5" t="s">
        <v>7721</v>
      </c>
      <c r="B544" s="2" t="s">
        <v>8211</v>
      </c>
      <c r="C544" s="5"/>
      <c r="D544" s="5"/>
      <c r="E544" s="5" t="s">
        <v>8336</v>
      </c>
      <c r="F544" s="5" t="n">
        <f aca="false">SUMPRODUCT(EXACT('Rule-Event map'!$F$2:$F$1477,$A544)*EXACT('Rule-Event map'!$G$2:$G$1477,$B544))</f>
        <v>1</v>
      </c>
      <c r="G544" s="5" t="n">
        <f aca="false">SUMPRODUCT(EXACT('Rule-Event map'!$F$2:$F$1477,$A544)*EXACT('Rule-Event map'!$G$2:$G$1477,$B544)*('Rule-Event map'!$C$2:$C$1477="New ITDR (7.6.0)"))</f>
        <v>0</v>
      </c>
      <c r="H544" s="5" t="n">
        <f aca="false">SUMPRODUCT(EXACT('Rule-Event map'!$F$2:$F$1477,$A544)*EXACT('Rule-Event map'!$G$2:$G$1477,$B544)*('Rule-Event map'!$C$2:$C$1477="Existing, re-tagged ITDR"))</f>
        <v>0</v>
      </c>
      <c r="I544" s="5" t="n">
        <f aca="false">F544-G544-H544</f>
        <v>1</v>
      </c>
      <c r="J544" s="5" t="n">
        <f aca="false">SUMPRODUCT(EXACT('Rule-Event map'!$F$2:$F$1477,$A544)*EXACT('Rule-Event map'!$G$2:$G$1477,$B544)*('Rule-Event map'!$E$2:$E$1477="Enabled"))</f>
        <v>1</v>
      </c>
      <c r="K544" s="2" t="s">
        <v>6275</v>
      </c>
    </row>
    <row r="545" customFormat="false" ht="15" hidden="false" customHeight="false" outlineLevel="0" collapsed="false">
      <c r="A545" s="5" t="s">
        <v>7721</v>
      </c>
      <c r="B545" s="2" t="s">
        <v>7738</v>
      </c>
      <c r="C545" s="5"/>
      <c r="D545" s="5"/>
      <c r="E545" s="5" t="s">
        <v>8336</v>
      </c>
      <c r="F545" s="5" t="n">
        <f aca="false">SUMPRODUCT(EXACT('Rule-Event map'!$F$2:$F$1477,$A545)*EXACT('Rule-Event map'!$G$2:$G$1477,$B545))</f>
        <v>2</v>
      </c>
      <c r="G545" s="5" t="n">
        <f aca="false">SUMPRODUCT(EXACT('Rule-Event map'!$F$2:$F$1477,$A545)*EXACT('Rule-Event map'!$G$2:$G$1477,$B545)*('Rule-Event map'!$C$2:$C$1477="New ITDR (7.6.0)"))</f>
        <v>0</v>
      </c>
      <c r="H545" s="5" t="n">
        <f aca="false">SUMPRODUCT(EXACT('Rule-Event map'!$F$2:$F$1477,$A545)*EXACT('Rule-Event map'!$G$2:$G$1477,$B545)*('Rule-Event map'!$C$2:$C$1477="Existing, re-tagged ITDR"))</f>
        <v>2</v>
      </c>
      <c r="I545" s="5" t="n">
        <f aca="false">F545-G545-H545</f>
        <v>0</v>
      </c>
      <c r="J545" s="5" t="n">
        <f aca="false">SUMPRODUCT(EXACT('Rule-Event map'!$F$2:$F$1477,$A545)*EXACT('Rule-Event map'!$G$2:$G$1477,$B545)*('Rule-Event map'!$E$2:$E$1477="Enabled"))</f>
        <v>2</v>
      </c>
      <c r="K545" s="2" t="s">
        <v>8389</v>
      </c>
    </row>
    <row r="546" customFormat="false" ht="15" hidden="false" customHeight="false" outlineLevel="0" collapsed="false">
      <c r="A546" s="5" t="s">
        <v>7721</v>
      </c>
      <c r="B546" s="2" t="s">
        <v>8213</v>
      </c>
      <c r="C546" s="5"/>
      <c r="D546" s="5"/>
      <c r="E546" s="5" t="s">
        <v>8336</v>
      </c>
      <c r="F546" s="5" t="n">
        <f aca="false">SUMPRODUCT(EXACT('Rule-Event map'!$F$2:$F$1477,$A546)*EXACT('Rule-Event map'!$G$2:$G$1477,$B546))</f>
        <v>1</v>
      </c>
      <c r="G546" s="5" t="n">
        <f aca="false">SUMPRODUCT(EXACT('Rule-Event map'!$F$2:$F$1477,$A546)*EXACT('Rule-Event map'!$G$2:$G$1477,$B546)*('Rule-Event map'!$C$2:$C$1477="New ITDR (7.6.0)"))</f>
        <v>0</v>
      </c>
      <c r="H546" s="5" t="n">
        <f aca="false">SUMPRODUCT(EXACT('Rule-Event map'!$F$2:$F$1477,$A546)*EXACT('Rule-Event map'!$G$2:$G$1477,$B546)*('Rule-Event map'!$C$2:$C$1477="Existing, re-tagged ITDR"))</f>
        <v>0</v>
      </c>
      <c r="I546" s="5" t="n">
        <f aca="false">F546-G546-H546</f>
        <v>1</v>
      </c>
      <c r="J546" s="5" t="n">
        <f aca="false">SUMPRODUCT(EXACT('Rule-Event map'!$F$2:$F$1477,$A546)*EXACT('Rule-Event map'!$G$2:$G$1477,$B546)*('Rule-Event map'!$E$2:$E$1477="Enabled"))</f>
        <v>1</v>
      </c>
      <c r="K546" s="2" t="s">
        <v>6443</v>
      </c>
    </row>
    <row r="547" customFormat="false" ht="35.05" hidden="false" customHeight="false" outlineLevel="0" collapsed="false">
      <c r="A547" s="5" t="s">
        <v>7721</v>
      </c>
      <c r="B547" s="2" t="s">
        <v>64</v>
      </c>
      <c r="C547" s="5"/>
      <c r="D547" s="5"/>
      <c r="E547" s="5" t="s">
        <v>8336</v>
      </c>
      <c r="F547" s="5" t="n">
        <f aca="false">SUMPRODUCT(EXACT('Rule-Event map'!$F$2:$F$1477,$A547)*EXACT('Rule-Event map'!$G$2:$G$1477,$B547))</f>
        <v>18</v>
      </c>
      <c r="G547" s="5" t="n">
        <f aca="false">SUMPRODUCT(EXACT('Rule-Event map'!$F$2:$F$1477,$A547)*EXACT('Rule-Event map'!$G$2:$G$1477,$B547)*('Rule-Event map'!$C$2:$C$1477="New ITDR (7.6.0)"))</f>
        <v>0</v>
      </c>
      <c r="H547" s="5" t="n">
        <f aca="false">SUMPRODUCT(EXACT('Rule-Event map'!$F$2:$F$1477,$A547)*EXACT('Rule-Event map'!$G$2:$G$1477,$B547)*('Rule-Event map'!$C$2:$C$1477="Existing, re-tagged ITDR"))</f>
        <v>2</v>
      </c>
      <c r="I547" s="5" t="n">
        <f aca="false">F547-G547-H547</f>
        <v>16</v>
      </c>
      <c r="J547" s="5" t="n">
        <f aca="false">SUMPRODUCT(EXACT('Rule-Event map'!$F$2:$F$1477,$A547)*EXACT('Rule-Event map'!$G$2:$G$1477,$B547)*('Rule-Event map'!$E$2:$E$1477="Enabled"))</f>
        <v>18</v>
      </c>
      <c r="K547" s="2" t="s">
        <v>8390</v>
      </c>
    </row>
    <row r="548" customFormat="false" ht="46.25" hidden="false" customHeight="false" outlineLevel="0" collapsed="false">
      <c r="A548" s="5" t="s">
        <v>7721</v>
      </c>
      <c r="B548" s="2" t="s">
        <v>7757</v>
      </c>
      <c r="C548" s="5"/>
      <c r="D548" s="5"/>
      <c r="E548" s="5" t="s">
        <v>8336</v>
      </c>
      <c r="F548" s="5" t="n">
        <f aca="false">SUMPRODUCT(EXACT('Rule-Event map'!$F$2:$F$1477,$A548)*EXACT('Rule-Event map'!$G$2:$G$1477,$B548))</f>
        <v>6</v>
      </c>
      <c r="G548" s="5" t="n">
        <f aca="false">SUMPRODUCT(EXACT('Rule-Event map'!$F$2:$F$1477,$A548)*EXACT('Rule-Event map'!$G$2:$G$1477,$B548)*('Rule-Event map'!$C$2:$C$1477="New ITDR (7.6.0)"))</f>
        <v>0</v>
      </c>
      <c r="H548" s="5" t="n">
        <f aca="false">SUMPRODUCT(EXACT('Rule-Event map'!$F$2:$F$1477,$A548)*EXACT('Rule-Event map'!$G$2:$G$1477,$B548)*('Rule-Event map'!$C$2:$C$1477="Existing, re-tagged ITDR"))</f>
        <v>1</v>
      </c>
      <c r="I548" s="5" t="n">
        <f aca="false">F548-G548-H548</f>
        <v>5</v>
      </c>
      <c r="J548" s="5" t="n">
        <f aca="false">SUMPRODUCT(EXACT('Rule-Event map'!$F$2:$F$1477,$A548)*EXACT('Rule-Event map'!$G$2:$G$1477,$B548)*('Rule-Event map'!$E$2:$E$1477="Enabled"))</f>
        <v>2</v>
      </c>
      <c r="K548" s="2" t="s">
        <v>8391</v>
      </c>
    </row>
    <row r="549" customFormat="false" ht="15" hidden="false" customHeight="false" outlineLevel="0" collapsed="false">
      <c r="A549" s="5" t="s">
        <v>7721</v>
      </c>
      <c r="B549" s="2" t="s">
        <v>7866</v>
      </c>
      <c r="C549" s="5"/>
      <c r="D549" s="5"/>
      <c r="E549" s="5" t="s">
        <v>8336</v>
      </c>
      <c r="F549" s="5" t="n">
        <f aca="false">SUMPRODUCT(EXACT('Rule-Event map'!$F$2:$F$1477,$A549)*EXACT('Rule-Event map'!$G$2:$G$1477,$B549))</f>
        <v>1</v>
      </c>
      <c r="G549" s="5" t="n">
        <f aca="false">SUMPRODUCT(EXACT('Rule-Event map'!$F$2:$F$1477,$A549)*EXACT('Rule-Event map'!$G$2:$G$1477,$B549)*('Rule-Event map'!$C$2:$C$1477="New ITDR (7.6.0)"))</f>
        <v>0</v>
      </c>
      <c r="H549" s="5" t="n">
        <f aca="false">SUMPRODUCT(EXACT('Rule-Event map'!$F$2:$F$1477,$A549)*EXACT('Rule-Event map'!$G$2:$G$1477,$B549)*('Rule-Event map'!$C$2:$C$1477="Existing, re-tagged ITDR"))</f>
        <v>0</v>
      </c>
      <c r="I549" s="5" t="n">
        <f aca="false">F549-G549-H549</f>
        <v>1</v>
      </c>
      <c r="J549" s="5" t="n">
        <f aca="false">SUMPRODUCT(EXACT('Rule-Event map'!$F$2:$F$1477,$A549)*EXACT('Rule-Event map'!$G$2:$G$1477,$B549)*('Rule-Event map'!$E$2:$E$1477="Enabled"))</f>
        <v>1</v>
      </c>
      <c r="K549" s="2" t="s">
        <v>4160</v>
      </c>
    </row>
    <row r="550" customFormat="false" ht="15" hidden="false" customHeight="false" outlineLevel="0" collapsed="false">
      <c r="A550" s="5" t="s">
        <v>7721</v>
      </c>
      <c r="B550" s="2" t="s">
        <v>8210</v>
      </c>
      <c r="C550" s="5"/>
      <c r="D550" s="5"/>
      <c r="E550" s="5" t="s">
        <v>8336</v>
      </c>
      <c r="F550" s="5" t="n">
        <f aca="false">SUMPRODUCT(EXACT('Rule-Event map'!$F$2:$F$1477,$A550)*EXACT('Rule-Event map'!$G$2:$G$1477,$B550))</f>
        <v>1</v>
      </c>
      <c r="G550" s="5" t="n">
        <f aca="false">SUMPRODUCT(EXACT('Rule-Event map'!$F$2:$F$1477,$A550)*EXACT('Rule-Event map'!$G$2:$G$1477,$B550)*('Rule-Event map'!$C$2:$C$1477="New ITDR (7.6.0)"))</f>
        <v>0</v>
      </c>
      <c r="H550" s="5" t="n">
        <f aca="false">SUMPRODUCT(EXACT('Rule-Event map'!$F$2:$F$1477,$A550)*EXACT('Rule-Event map'!$G$2:$G$1477,$B550)*('Rule-Event map'!$C$2:$C$1477="Existing, re-tagged ITDR"))</f>
        <v>0</v>
      </c>
      <c r="I550" s="5" t="n">
        <f aca="false">F550-G550-H550</f>
        <v>1</v>
      </c>
      <c r="J550" s="5" t="n">
        <f aca="false">SUMPRODUCT(EXACT('Rule-Event map'!$F$2:$F$1477,$A550)*EXACT('Rule-Event map'!$G$2:$G$1477,$B550)*('Rule-Event map'!$E$2:$E$1477="Enabled"))</f>
        <v>1</v>
      </c>
      <c r="K550" s="2" t="s">
        <v>6221</v>
      </c>
    </row>
    <row r="551" customFormat="false" ht="35.05" hidden="false" customHeight="false" outlineLevel="0" collapsed="false">
      <c r="A551" s="5" t="s">
        <v>7635</v>
      </c>
      <c r="B551" s="2" t="s">
        <v>7636</v>
      </c>
      <c r="C551" s="5" t="s">
        <v>3134</v>
      </c>
      <c r="D551" s="5" t="s">
        <v>8392</v>
      </c>
      <c r="E551" s="5" t="s">
        <v>8332</v>
      </c>
      <c r="F551" s="5" t="n">
        <f aca="false">SUMPRODUCT(EXACT('Rule-Event map'!$F$2:$F$1477,$A551)*EXACT('Rule-Event map'!$G$2:$G$1477,$B551))</f>
        <v>46</v>
      </c>
      <c r="G551" s="5" t="n">
        <f aca="false">SUMPRODUCT(EXACT('Rule-Event map'!$F$2:$F$1477,$A551)*EXACT('Rule-Event map'!$G$2:$G$1477,$B551)*('Rule-Event map'!$C$2:$C$1477="New ITDR (7.6.0)"))</f>
        <v>15</v>
      </c>
      <c r="H551" s="5" t="n">
        <f aca="false">SUMPRODUCT(EXACT('Rule-Event map'!$F$2:$F$1477,$A551)*EXACT('Rule-Event map'!$G$2:$G$1477,$B551)*('Rule-Event map'!$C$2:$C$1477="Existing, re-tagged ITDR"))</f>
        <v>0</v>
      </c>
      <c r="I551" s="5" t="n">
        <f aca="false">F551-G551-H551</f>
        <v>31</v>
      </c>
      <c r="J551" s="5" t="n">
        <f aca="false">SUMPRODUCT(EXACT('Rule-Event map'!$F$2:$F$1477,$A551)*EXACT('Rule-Event map'!$G$2:$G$1477,$B551)*('Rule-Event map'!$E$2:$E$1477="Enabled"))</f>
        <v>44</v>
      </c>
      <c r="K551" s="2" t="s">
        <v>8393</v>
      </c>
    </row>
    <row r="552" customFormat="false" ht="15" hidden="false" customHeight="false" outlineLevel="0" collapsed="false">
      <c r="A552" s="5" t="s">
        <v>7635</v>
      </c>
      <c r="B552" s="2" t="s">
        <v>6028</v>
      </c>
      <c r="C552" s="5"/>
      <c r="D552" s="5"/>
      <c r="E552" s="5" t="s">
        <v>8336</v>
      </c>
      <c r="F552" s="5" t="n">
        <f aca="false">SUMPRODUCT(EXACT('Rule-Event map'!$F$2:$F$1477,$A552)*EXACT('Rule-Event map'!$G$2:$G$1477,$B552))</f>
        <v>1</v>
      </c>
      <c r="G552" s="5" t="n">
        <f aca="false">SUMPRODUCT(EXACT('Rule-Event map'!$F$2:$F$1477,$A552)*EXACT('Rule-Event map'!$G$2:$G$1477,$B552)*('Rule-Event map'!$C$2:$C$1477="New ITDR (7.6.0)"))</f>
        <v>0</v>
      </c>
      <c r="H552" s="5" t="n">
        <f aca="false">SUMPRODUCT(EXACT('Rule-Event map'!$F$2:$F$1477,$A552)*EXACT('Rule-Event map'!$G$2:$G$1477,$B552)*('Rule-Event map'!$C$2:$C$1477="Existing, re-tagged ITDR"))</f>
        <v>0</v>
      </c>
      <c r="I552" s="5" t="n">
        <f aca="false">F552-G552-H552</f>
        <v>1</v>
      </c>
      <c r="J552" s="5" t="n">
        <f aca="false">SUMPRODUCT(EXACT('Rule-Event map'!$F$2:$F$1477,$A552)*EXACT('Rule-Event map'!$G$2:$G$1477,$B552)*('Rule-Event map'!$E$2:$E$1477="Enabled"))</f>
        <v>0</v>
      </c>
      <c r="K552" s="2" t="s">
        <v>6026</v>
      </c>
    </row>
    <row r="553" customFormat="false" ht="46.25" hidden="false" customHeight="false" outlineLevel="0" collapsed="false">
      <c r="A553" s="5" t="s">
        <v>7635</v>
      </c>
      <c r="B553" s="2" t="s">
        <v>3183</v>
      </c>
      <c r="C553" s="5"/>
      <c r="D553" s="5"/>
      <c r="E553" s="5" t="s">
        <v>8336</v>
      </c>
      <c r="F553" s="5" t="n">
        <f aca="false">SUMPRODUCT(EXACT('Rule-Event map'!$F$2:$F$1477,$A553)*EXACT('Rule-Event map'!$G$2:$G$1477,$B553))</f>
        <v>4</v>
      </c>
      <c r="G553" s="5" t="n">
        <f aca="false">SUMPRODUCT(EXACT('Rule-Event map'!$F$2:$F$1477,$A553)*EXACT('Rule-Event map'!$G$2:$G$1477,$B553)*('Rule-Event map'!$C$2:$C$1477="New ITDR (7.6.0)"))</f>
        <v>0</v>
      </c>
      <c r="H553" s="5" t="n">
        <f aca="false">SUMPRODUCT(EXACT('Rule-Event map'!$F$2:$F$1477,$A553)*EXACT('Rule-Event map'!$G$2:$G$1477,$B553)*('Rule-Event map'!$C$2:$C$1477="Existing, re-tagged ITDR"))</f>
        <v>0</v>
      </c>
      <c r="I553" s="5" t="n">
        <f aca="false">F553-G553-H553</f>
        <v>4</v>
      </c>
      <c r="J553" s="5" t="n">
        <f aca="false">SUMPRODUCT(EXACT('Rule-Event map'!$F$2:$F$1477,$A553)*EXACT('Rule-Event map'!$G$2:$G$1477,$B553)*('Rule-Event map'!$E$2:$E$1477="Enabled"))</f>
        <v>4</v>
      </c>
      <c r="K553" s="2" t="s">
        <v>8394</v>
      </c>
    </row>
    <row r="554" customFormat="false" ht="35.05" hidden="false" customHeight="false" outlineLevel="0" collapsed="false">
      <c r="A554" s="5" t="s">
        <v>7633</v>
      </c>
      <c r="B554" s="2" t="s">
        <v>7634</v>
      </c>
      <c r="C554" s="5" t="s">
        <v>309</v>
      </c>
      <c r="D554" s="5" t="s">
        <v>8395</v>
      </c>
      <c r="E554" s="5" t="s">
        <v>8332</v>
      </c>
      <c r="F554" s="5" t="n">
        <f aca="false">SUMPRODUCT(EXACT('Rule-Event map'!$F$2:$F$1477,$A554)*EXACT('Rule-Event map'!$G$2:$G$1477,$B554))</f>
        <v>220</v>
      </c>
      <c r="G554" s="5" t="n">
        <f aca="false">SUMPRODUCT(EXACT('Rule-Event map'!$F$2:$F$1477,$A554)*EXACT('Rule-Event map'!$G$2:$G$1477,$B554)*('Rule-Event map'!$C$2:$C$1477="New ITDR (7.6.0)"))</f>
        <v>18</v>
      </c>
      <c r="H554" s="5" t="n">
        <f aca="false">SUMPRODUCT(EXACT('Rule-Event map'!$F$2:$F$1477,$A554)*EXACT('Rule-Event map'!$G$2:$G$1477,$B554)*('Rule-Event map'!$C$2:$C$1477="Existing, re-tagged ITDR"))</f>
        <v>89</v>
      </c>
      <c r="I554" s="5" t="n">
        <f aca="false">F554-G554-H554</f>
        <v>113</v>
      </c>
      <c r="J554" s="5" t="n">
        <f aca="false">SUMPRODUCT(EXACT('Rule-Event map'!$F$2:$F$1477,$A554)*EXACT('Rule-Event map'!$G$2:$G$1477,$B554)*('Rule-Event map'!$E$2:$E$1477="Enabled"))</f>
        <v>200</v>
      </c>
      <c r="K554" s="2" t="s">
        <v>8393</v>
      </c>
    </row>
    <row r="555" customFormat="false" ht="35.05" hidden="false" customHeight="false" outlineLevel="0" collapsed="false">
      <c r="A555" s="5" t="s">
        <v>7633</v>
      </c>
      <c r="B555" s="2" t="s">
        <v>7659</v>
      </c>
      <c r="C555" s="5" t="s">
        <v>372</v>
      </c>
      <c r="D555" s="5" t="s">
        <v>8396</v>
      </c>
      <c r="E555" s="5" t="s">
        <v>8332</v>
      </c>
      <c r="F555" s="5" t="n">
        <f aca="false">SUMPRODUCT(EXACT('Rule-Event map'!$F$2:$F$1477,$A555)*EXACT('Rule-Event map'!$G$2:$G$1477,$B555))</f>
        <v>15</v>
      </c>
      <c r="G555" s="5" t="n">
        <f aca="false">SUMPRODUCT(EXACT('Rule-Event map'!$F$2:$F$1477,$A555)*EXACT('Rule-Event map'!$G$2:$G$1477,$B555)*('Rule-Event map'!$C$2:$C$1477="New ITDR (7.6.0)"))</f>
        <v>2</v>
      </c>
      <c r="H555" s="5" t="n">
        <f aca="false">SUMPRODUCT(EXACT('Rule-Event map'!$F$2:$F$1477,$A555)*EXACT('Rule-Event map'!$G$2:$G$1477,$B555)*('Rule-Event map'!$C$2:$C$1477="Existing, re-tagged ITDR"))</f>
        <v>8</v>
      </c>
      <c r="I555" s="5" t="n">
        <f aca="false">F555-G555-H555</f>
        <v>5</v>
      </c>
      <c r="J555" s="5" t="n">
        <f aca="false">SUMPRODUCT(EXACT('Rule-Event map'!$F$2:$F$1477,$A555)*EXACT('Rule-Event map'!$G$2:$G$1477,$B555)*('Rule-Event map'!$E$2:$E$1477="Enabled"))</f>
        <v>14</v>
      </c>
      <c r="K555" s="2" t="s">
        <v>8397</v>
      </c>
    </row>
    <row r="556" customFormat="false" ht="35.05" hidden="false" customHeight="false" outlineLevel="0" collapsed="false">
      <c r="A556" s="5" t="s">
        <v>7633</v>
      </c>
      <c r="B556" s="2" t="s">
        <v>7733</v>
      </c>
      <c r="C556" s="5"/>
      <c r="D556" s="5"/>
      <c r="E556" s="5" t="s">
        <v>8336</v>
      </c>
      <c r="F556" s="5" t="n">
        <f aca="false">SUMPRODUCT(EXACT('Rule-Event map'!$F$2:$F$1477,$A556)*EXACT('Rule-Event map'!$G$2:$G$1477,$B556))</f>
        <v>37</v>
      </c>
      <c r="G556" s="5" t="n">
        <f aca="false">SUMPRODUCT(EXACT('Rule-Event map'!$F$2:$F$1477,$A556)*EXACT('Rule-Event map'!$G$2:$G$1477,$B556)*('Rule-Event map'!$C$2:$C$1477="New ITDR (7.6.0)"))</f>
        <v>0</v>
      </c>
      <c r="H556" s="5" t="n">
        <f aca="false">SUMPRODUCT(EXACT('Rule-Event map'!$F$2:$F$1477,$A556)*EXACT('Rule-Event map'!$G$2:$G$1477,$B556)*('Rule-Event map'!$C$2:$C$1477="Existing, re-tagged ITDR"))</f>
        <v>19</v>
      </c>
      <c r="I556" s="5" t="n">
        <f aca="false">F556-G556-H556</f>
        <v>18</v>
      </c>
      <c r="J556" s="5" t="n">
        <f aca="false">SUMPRODUCT(EXACT('Rule-Event map'!$F$2:$F$1477,$A556)*EXACT('Rule-Event map'!$G$2:$G$1477,$B556)*('Rule-Event map'!$E$2:$E$1477="Enabled"))</f>
        <v>33</v>
      </c>
      <c r="K556" s="2" t="s">
        <v>8398</v>
      </c>
    </row>
    <row r="557" customFormat="false" ht="35.05" hidden="false" customHeight="false" outlineLevel="0" collapsed="false">
      <c r="A557" s="5" t="s">
        <v>7633</v>
      </c>
      <c r="B557" s="2" t="s">
        <v>7736</v>
      </c>
      <c r="C557" s="5" t="s">
        <v>1225</v>
      </c>
      <c r="D557" s="5" t="s">
        <v>8399</v>
      </c>
      <c r="E557" s="5" t="s">
        <v>8332</v>
      </c>
      <c r="F557" s="5" t="n">
        <f aca="false">SUMPRODUCT(EXACT('Rule-Event map'!$F$2:$F$1477,$A557)*EXACT('Rule-Event map'!$G$2:$G$1477,$B557))</f>
        <v>9</v>
      </c>
      <c r="G557" s="5" t="n">
        <f aca="false">SUMPRODUCT(EXACT('Rule-Event map'!$F$2:$F$1477,$A557)*EXACT('Rule-Event map'!$G$2:$G$1477,$B557)*('Rule-Event map'!$C$2:$C$1477="New ITDR (7.6.0)"))</f>
        <v>0</v>
      </c>
      <c r="H557" s="5" t="n">
        <f aca="false">SUMPRODUCT(EXACT('Rule-Event map'!$F$2:$F$1477,$A557)*EXACT('Rule-Event map'!$G$2:$G$1477,$B557)*('Rule-Event map'!$C$2:$C$1477="Existing, re-tagged ITDR"))</f>
        <v>5</v>
      </c>
      <c r="I557" s="5" t="n">
        <f aca="false">F557-G557-H557</f>
        <v>4</v>
      </c>
      <c r="J557" s="5" t="n">
        <f aca="false">SUMPRODUCT(EXACT('Rule-Event map'!$F$2:$F$1477,$A557)*EXACT('Rule-Event map'!$G$2:$G$1477,$B557)*('Rule-Event map'!$E$2:$E$1477="Enabled"))</f>
        <v>8</v>
      </c>
      <c r="K557" s="2" t="s">
        <v>8400</v>
      </c>
    </row>
    <row r="558" customFormat="false" ht="35.05" hidden="false" customHeight="false" outlineLevel="0" collapsed="false">
      <c r="A558" s="5" t="s">
        <v>7633</v>
      </c>
      <c r="B558" s="2" t="s">
        <v>7835</v>
      </c>
      <c r="C558" s="5" t="s">
        <v>1225</v>
      </c>
      <c r="D558" s="5" t="s">
        <v>8399</v>
      </c>
      <c r="E558" s="5" t="s">
        <v>8332</v>
      </c>
      <c r="F558" s="5" t="n">
        <f aca="false">SUMPRODUCT(EXACT('Rule-Event map'!$F$2:$F$1477,$A558)*EXACT('Rule-Event map'!$G$2:$G$1477,$B558))</f>
        <v>14</v>
      </c>
      <c r="G558" s="5" t="n">
        <f aca="false">SUMPRODUCT(EXACT('Rule-Event map'!$F$2:$F$1477,$A558)*EXACT('Rule-Event map'!$G$2:$G$1477,$B558)*('Rule-Event map'!$C$2:$C$1477="New ITDR (7.6.0)"))</f>
        <v>0</v>
      </c>
      <c r="H558" s="5" t="n">
        <f aca="false">SUMPRODUCT(EXACT('Rule-Event map'!$F$2:$F$1477,$A558)*EXACT('Rule-Event map'!$G$2:$G$1477,$B558)*('Rule-Event map'!$C$2:$C$1477="Existing, re-tagged ITDR"))</f>
        <v>0</v>
      </c>
      <c r="I558" s="5" t="n">
        <f aca="false">F558-G558-H558</f>
        <v>14</v>
      </c>
      <c r="J558" s="5" t="n">
        <f aca="false">SUMPRODUCT(EXACT('Rule-Event map'!$F$2:$F$1477,$A558)*EXACT('Rule-Event map'!$G$2:$G$1477,$B558)*('Rule-Event map'!$E$2:$E$1477="Enabled"))</f>
        <v>12</v>
      </c>
      <c r="K558" s="2" t="s">
        <v>8401</v>
      </c>
    </row>
    <row r="559" customFormat="false" ht="35.05" hidden="false" customHeight="false" outlineLevel="0" collapsed="false">
      <c r="A559" s="5" t="s">
        <v>7633</v>
      </c>
      <c r="B559" s="2" t="s">
        <v>7832</v>
      </c>
      <c r="C559" s="5"/>
      <c r="D559" s="5"/>
      <c r="E559" s="5" t="s">
        <v>8336</v>
      </c>
      <c r="F559" s="5" t="n">
        <f aca="false">SUMPRODUCT(EXACT('Rule-Event map'!$F$2:$F$1477,$A559)*EXACT('Rule-Event map'!$G$2:$G$1477,$B559))</f>
        <v>3</v>
      </c>
      <c r="G559" s="5" t="n">
        <f aca="false">SUMPRODUCT(EXACT('Rule-Event map'!$F$2:$F$1477,$A559)*EXACT('Rule-Event map'!$G$2:$G$1477,$B559)*('Rule-Event map'!$C$2:$C$1477="New ITDR (7.6.0)"))</f>
        <v>0</v>
      </c>
      <c r="H559" s="5" t="n">
        <f aca="false">SUMPRODUCT(EXACT('Rule-Event map'!$F$2:$F$1477,$A559)*EXACT('Rule-Event map'!$G$2:$G$1477,$B559)*('Rule-Event map'!$C$2:$C$1477="Existing, re-tagged ITDR"))</f>
        <v>0</v>
      </c>
      <c r="I559" s="5" t="n">
        <f aca="false">F559-G559-H559</f>
        <v>3</v>
      </c>
      <c r="J559" s="5" t="n">
        <f aca="false">SUMPRODUCT(EXACT('Rule-Event map'!$F$2:$F$1477,$A559)*EXACT('Rule-Event map'!$G$2:$G$1477,$B559)*('Rule-Event map'!$E$2:$E$1477="Enabled"))</f>
        <v>3</v>
      </c>
      <c r="K559" s="2" t="s">
        <v>8402</v>
      </c>
    </row>
    <row r="560" customFormat="false" ht="35.05" hidden="false" customHeight="false" outlineLevel="0" collapsed="false">
      <c r="A560" s="5" t="s">
        <v>7633</v>
      </c>
      <c r="B560" s="2" t="s">
        <v>7841</v>
      </c>
      <c r="C560" s="5"/>
      <c r="D560" s="5"/>
      <c r="E560" s="5" t="s">
        <v>8336</v>
      </c>
      <c r="F560" s="5" t="n">
        <f aca="false">SUMPRODUCT(EXACT('Rule-Event map'!$F$2:$F$1477,$A560)*EXACT('Rule-Event map'!$G$2:$G$1477,$B560))</f>
        <v>3</v>
      </c>
      <c r="G560" s="5" t="n">
        <f aca="false">SUMPRODUCT(EXACT('Rule-Event map'!$F$2:$F$1477,$A560)*EXACT('Rule-Event map'!$G$2:$G$1477,$B560)*('Rule-Event map'!$C$2:$C$1477="New ITDR (7.6.0)"))</f>
        <v>0</v>
      </c>
      <c r="H560" s="5" t="n">
        <f aca="false">SUMPRODUCT(EXACT('Rule-Event map'!$F$2:$F$1477,$A560)*EXACT('Rule-Event map'!$G$2:$G$1477,$B560)*('Rule-Event map'!$C$2:$C$1477="Existing, re-tagged ITDR"))</f>
        <v>0</v>
      </c>
      <c r="I560" s="5" t="n">
        <f aca="false">F560-G560-H560</f>
        <v>3</v>
      </c>
      <c r="J560" s="5" t="n">
        <f aca="false">SUMPRODUCT(EXACT('Rule-Event map'!$F$2:$F$1477,$A560)*EXACT('Rule-Event map'!$G$2:$G$1477,$B560)*('Rule-Event map'!$E$2:$E$1477="Enabled"))</f>
        <v>1</v>
      </c>
      <c r="K560" s="2" t="s">
        <v>8403</v>
      </c>
    </row>
    <row r="561" customFormat="false" ht="35.05" hidden="false" customHeight="false" outlineLevel="0" collapsed="false">
      <c r="A561" s="5" t="s">
        <v>7633</v>
      </c>
      <c r="B561" s="2" t="s">
        <v>7837</v>
      </c>
      <c r="C561" s="5"/>
      <c r="D561" s="5"/>
      <c r="E561" s="5" t="s">
        <v>8336</v>
      </c>
      <c r="F561" s="5" t="n">
        <f aca="false">SUMPRODUCT(EXACT('Rule-Event map'!$F$2:$F$1477,$A561)*EXACT('Rule-Event map'!$G$2:$G$1477,$B561))</f>
        <v>3</v>
      </c>
      <c r="G561" s="5" t="n">
        <f aca="false">SUMPRODUCT(EXACT('Rule-Event map'!$F$2:$F$1477,$A561)*EXACT('Rule-Event map'!$G$2:$G$1477,$B561)*('Rule-Event map'!$C$2:$C$1477="New ITDR (7.6.0)"))</f>
        <v>0</v>
      </c>
      <c r="H561" s="5" t="n">
        <f aca="false">SUMPRODUCT(EXACT('Rule-Event map'!$F$2:$F$1477,$A561)*EXACT('Rule-Event map'!$G$2:$G$1477,$B561)*('Rule-Event map'!$C$2:$C$1477="Existing, re-tagged ITDR"))</f>
        <v>0</v>
      </c>
      <c r="I561" s="5" t="n">
        <f aca="false">F561-G561-H561</f>
        <v>3</v>
      </c>
      <c r="J561" s="5" t="n">
        <f aca="false">SUMPRODUCT(EXACT('Rule-Event map'!$F$2:$F$1477,$A561)*EXACT('Rule-Event map'!$G$2:$G$1477,$B561)*('Rule-Event map'!$E$2:$E$1477="Enabled"))</f>
        <v>3</v>
      </c>
      <c r="K561" s="2" t="s">
        <v>8404</v>
      </c>
    </row>
    <row r="562" customFormat="false" ht="46.25" hidden="false" customHeight="false" outlineLevel="0" collapsed="false">
      <c r="A562" s="5" t="s">
        <v>7633</v>
      </c>
      <c r="B562" s="2" t="s">
        <v>7735</v>
      </c>
      <c r="C562" s="5"/>
      <c r="D562" s="5"/>
      <c r="E562" s="5" t="s">
        <v>8336</v>
      </c>
      <c r="F562" s="5" t="n">
        <f aca="false">SUMPRODUCT(EXACT('Rule-Event map'!$F$2:$F$1477,$A562)*EXACT('Rule-Event map'!$G$2:$G$1477,$B562))</f>
        <v>12</v>
      </c>
      <c r="G562" s="5" t="n">
        <f aca="false">SUMPRODUCT(EXACT('Rule-Event map'!$F$2:$F$1477,$A562)*EXACT('Rule-Event map'!$G$2:$G$1477,$B562)*('Rule-Event map'!$C$2:$C$1477="New ITDR (7.6.0)"))</f>
        <v>0</v>
      </c>
      <c r="H562" s="5" t="n">
        <f aca="false">SUMPRODUCT(EXACT('Rule-Event map'!$F$2:$F$1477,$A562)*EXACT('Rule-Event map'!$G$2:$G$1477,$B562)*('Rule-Event map'!$C$2:$C$1477="Existing, re-tagged ITDR"))</f>
        <v>8</v>
      </c>
      <c r="I562" s="5" t="n">
        <f aca="false">F562-G562-H562</f>
        <v>4</v>
      </c>
      <c r="J562" s="5" t="n">
        <f aca="false">SUMPRODUCT(EXACT('Rule-Event map'!$F$2:$F$1477,$A562)*EXACT('Rule-Event map'!$G$2:$G$1477,$B562)*('Rule-Event map'!$E$2:$E$1477="Enabled"))</f>
        <v>11</v>
      </c>
      <c r="K562" s="2" t="s">
        <v>8405</v>
      </c>
    </row>
    <row r="563" customFormat="false" ht="23.85" hidden="false" customHeight="false" outlineLevel="0" collapsed="false">
      <c r="A563" s="5" t="s">
        <v>7633</v>
      </c>
      <c r="B563" s="2" t="s">
        <v>8212</v>
      </c>
      <c r="C563" s="5"/>
      <c r="D563" s="5"/>
      <c r="E563" s="5" t="s">
        <v>8336</v>
      </c>
      <c r="F563" s="5" t="n">
        <f aca="false">SUMPRODUCT(EXACT('Rule-Event map'!$F$2:$F$1477,$A563)*EXACT('Rule-Event map'!$G$2:$G$1477,$B563))</f>
        <v>2</v>
      </c>
      <c r="G563" s="5" t="n">
        <f aca="false">SUMPRODUCT(EXACT('Rule-Event map'!$F$2:$F$1477,$A563)*EXACT('Rule-Event map'!$G$2:$G$1477,$B563)*('Rule-Event map'!$C$2:$C$1477="New ITDR (7.6.0)"))</f>
        <v>0</v>
      </c>
      <c r="H563" s="5" t="n">
        <f aca="false">SUMPRODUCT(EXACT('Rule-Event map'!$F$2:$F$1477,$A563)*EXACT('Rule-Event map'!$G$2:$G$1477,$B563)*('Rule-Event map'!$C$2:$C$1477="Existing, re-tagged ITDR"))</f>
        <v>0</v>
      </c>
      <c r="I563" s="5" t="n">
        <f aca="false">F563-G563-H563</f>
        <v>2</v>
      </c>
      <c r="J563" s="5" t="n">
        <f aca="false">SUMPRODUCT(EXACT('Rule-Event map'!$F$2:$F$1477,$A563)*EXACT('Rule-Event map'!$G$2:$G$1477,$B563)*('Rule-Event map'!$E$2:$E$1477="Enabled"))</f>
        <v>2</v>
      </c>
      <c r="K563" s="2" t="s">
        <v>8406</v>
      </c>
    </row>
    <row r="564" customFormat="false" ht="23.85" hidden="false" customHeight="false" outlineLevel="0" collapsed="false">
      <c r="A564" s="5" t="s">
        <v>269</v>
      </c>
      <c r="B564" s="2" t="s">
        <v>7804</v>
      </c>
      <c r="C564" s="5"/>
      <c r="D564" s="5"/>
      <c r="E564" s="5" t="s">
        <v>8336</v>
      </c>
      <c r="F564" s="5" t="n">
        <f aca="false">SUMPRODUCT(EXACT('Rule-Event map'!$F$2:$F$1477,$A564)*EXACT('Rule-Event map'!$G$2:$G$1477,$B564))</f>
        <v>2</v>
      </c>
      <c r="G564" s="5" t="n">
        <f aca="false">SUMPRODUCT(EXACT('Rule-Event map'!$F$2:$F$1477,$A564)*EXACT('Rule-Event map'!$G$2:$G$1477,$B564)*('Rule-Event map'!$C$2:$C$1477="New ITDR (7.6.0)"))</f>
        <v>0</v>
      </c>
      <c r="H564" s="5" t="n">
        <f aca="false">SUMPRODUCT(EXACT('Rule-Event map'!$F$2:$F$1477,$A564)*EXACT('Rule-Event map'!$G$2:$G$1477,$B564)*('Rule-Event map'!$C$2:$C$1477="Existing, re-tagged ITDR"))</f>
        <v>0</v>
      </c>
      <c r="I564" s="5" t="n">
        <f aca="false">F564-G564-H564</f>
        <v>2</v>
      </c>
      <c r="J564" s="5" t="n">
        <f aca="false">SUMPRODUCT(EXACT('Rule-Event map'!$F$2:$F$1477,$A564)*EXACT('Rule-Event map'!$G$2:$G$1477,$B564)*('Rule-Event map'!$E$2:$E$1477="Enabled"))</f>
        <v>1</v>
      </c>
      <c r="K564" s="2" t="s">
        <v>8407</v>
      </c>
    </row>
    <row r="565" customFormat="false" ht="15" hidden="false" customHeight="false" outlineLevel="0" collapsed="false">
      <c r="A565" s="5" t="s">
        <v>269</v>
      </c>
      <c r="B565" s="2" t="s">
        <v>7810</v>
      </c>
      <c r="C565" s="5"/>
      <c r="D565" s="5"/>
      <c r="E565" s="5" t="s">
        <v>8336</v>
      </c>
      <c r="F565" s="5" t="n">
        <f aca="false">SUMPRODUCT(EXACT('Rule-Event map'!$F$2:$F$1477,$A565)*EXACT('Rule-Event map'!$G$2:$G$1477,$B565))</f>
        <v>1</v>
      </c>
      <c r="G565" s="5" t="n">
        <f aca="false">SUMPRODUCT(EXACT('Rule-Event map'!$F$2:$F$1477,$A565)*EXACT('Rule-Event map'!$G$2:$G$1477,$B565)*('Rule-Event map'!$C$2:$C$1477="New ITDR (7.6.0)"))</f>
        <v>0</v>
      </c>
      <c r="H565" s="5" t="n">
        <f aca="false">SUMPRODUCT(EXACT('Rule-Event map'!$F$2:$F$1477,$A565)*EXACT('Rule-Event map'!$G$2:$G$1477,$B565)*('Rule-Event map'!$C$2:$C$1477="Existing, re-tagged ITDR"))</f>
        <v>0</v>
      </c>
      <c r="I565" s="5" t="n">
        <f aca="false">F565-G565-H565</f>
        <v>1</v>
      </c>
      <c r="J565" s="5" t="n">
        <f aca="false">SUMPRODUCT(EXACT('Rule-Event map'!$F$2:$F$1477,$A565)*EXACT('Rule-Event map'!$G$2:$G$1477,$B565)*('Rule-Event map'!$E$2:$E$1477="Enabled"))</f>
        <v>1</v>
      </c>
      <c r="K565" s="2" t="s">
        <v>3022</v>
      </c>
    </row>
    <row r="566" customFormat="false" ht="15" hidden="false" customHeight="false" outlineLevel="0" collapsed="false">
      <c r="A566" s="5" t="s">
        <v>269</v>
      </c>
      <c r="B566" s="2" t="s">
        <v>7812</v>
      </c>
      <c r="C566" s="5"/>
      <c r="D566" s="5"/>
      <c r="E566" s="5" t="s">
        <v>8336</v>
      </c>
      <c r="F566" s="5" t="n">
        <f aca="false">SUMPRODUCT(EXACT('Rule-Event map'!$F$2:$F$1477,$A566)*EXACT('Rule-Event map'!$G$2:$G$1477,$B566))</f>
        <v>1</v>
      </c>
      <c r="G566" s="5" t="n">
        <f aca="false">SUMPRODUCT(EXACT('Rule-Event map'!$F$2:$F$1477,$A566)*EXACT('Rule-Event map'!$G$2:$G$1477,$B566)*('Rule-Event map'!$C$2:$C$1477="New ITDR (7.6.0)"))</f>
        <v>0</v>
      </c>
      <c r="H566" s="5" t="n">
        <f aca="false">SUMPRODUCT(EXACT('Rule-Event map'!$F$2:$F$1477,$A566)*EXACT('Rule-Event map'!$G$2:$G$1477,$B566)*('Rule-Event map'!$C$2:$C$1477="Existing, re-tagged ITDR"))</f>
        <v>0</v>
      </c>
      <c r="I566" s="5" t="n">
        <f aca="false">F566-G566-H566</f>
        <v>1</v>
      </c>
      <c r="J566" s="5" t="n">
        <f aca="false">SUMPRODUCT(EXACT('Rule-Event map'!$F$2:$F$1477,$A566)*EXACT('Rule-Event map'!$G$2:$G$1477,$B566)*('Rule-Event map'!$E$2:$E$1477="Enabled"))</f>
        <v>1</v>
      </c>
      <c r="K566" s="2" t="s">
        <v>3030</v>
      </c>
    </row>
    <row r="567" customFormat="false" ht="15" hidden="false" customHeight="false" outlineLevel="0" collapsed="false">
      <c r="A567" s="5" t="s">
        <v>269</v>
      </c>
      <c r="B567" s="2" t="s">
        <v>7756</v>
      </c>
      <c r="C567" s="5"/>
      <c r="D567" s="5"/>
      <c r="E567" s="5" t="s">
        <v>8336</v>
      </c>
      <c r="F567" s="5" t="n">
        <f aca="false">SUMPRODUCT(EXACT('Rule-Event map'!$F$2:$F$1477,$A567)*EXACT('Rule-Event map'!$G$2:$G$1477,$B567))</f>
        <v>1</v>
      </c>
      <c r="G567" s="5" t="n">
        <f aca="false">SUMPRODUCT(EXACT('Rule-Event map'!$F$2:$F$1477,$A567)*EXACT('Rule-Event map'!$G$2:$G$1477,$B567)*('Rule-Event map'!$C$2:$C$1477="New ITDR (7.6.0)"))</f>
        <v>0</v>
      </c>
      <c r="H567" s="5" t="n">
        <f aca="false">SUMPRODUCT(EXACT('Rule-Event map'!$F$2:$F$1477,$A567)*EXACT('Rule-Event map'!$G$2:$G$1477,$B567)*('Rule-Event map'!$C$2:$C$1477="Existing, re-tagged ITDR"))</f>
        <v>1</v>
      </c>
      <c r="I567" s="5" t="n">
        <f aca="false">F567-G567-H567</f>
        <v>0</v>
      </c>
      <c r="J567" s="5" t="n">
        <f aca="false">SUMPRODUCT(EXACT('Rule-Event map'!$F$2:$F$1477,$A567)*EXACT('Rule-Event map'!$G$2:$G$1477,$B567)*('Rule-Event map'!$E$2:$E$1477="Enabled"))</f>
        <v>1</v>
      </c>
      <c r="K567" s="2" t="s">
        <v>1800</v>
      </c>
    </row>
    <row r="568" customFormat="false" ht="15" hidden="false" customHeight="false" outlineLevel="0" collapsed="false">
      <c r="A568" s="5" t="s">
        <v>269</v>
      </c>
      <c r="B568" s="2" t="s">
        <v>7873</v>
      </c>
      <c r="C568" s="5"/>
      <c r="D568" s="5"/>
      <c r="E568" s="5" t="s">
        <v>8336</v>
      </c>
      <c r="F568" s="5" t="n">
        <f aca="false">SUMPRODUCT(EXACT('Rule-Event map'!$F$2:$F$1477,$A568)*EXACT('Rule-Event map'!$G$2:$G$1477,$B568))</f>
        <v>1</v>
      </c>
      <c r="G568" s="5" t="n">
        <f aca="false">SUMPRODUCT(EXACT('Rule-Event map'!$F$2:$F$1477,$A568)*EXACT('Rule-Event map'!$G$2:$G$1477,$B568)*('Rule-Event map'!$C$2:$C$1477="New ITDR (7.6.0)"))</f>
        <v>0</v>
      </c>
      <c r="H568" s="5" t="n">
        <f aca="false">SUMPRODUCT(EXACT('Rule-Event map'!$F$2:$F$1477,$A568)*EXACT('Rule-Event map'!$G$2:$G$1477,$B568)*('Rule-Event map'!$C$2:$C$1477="Existing, re-tagged ITDR"))</f>
        <v>0</v>
      </c>
      <c r="I568" s="5" t="n">
        <f aca="false">F568-G568-H568</f>
        <v>1</v>
      </c>
      <c r="J568" s="5" t="n">
        <f aca="false">SUMPRODUCT(EXACT('Rule-Event map'!$F$2:$F$1477,$A568)*EXACT('Rule-Event map'!$G$2:$G$1477,$B568)*('Rule-Event map'!$E$2:$E$1477="Enabled"))</f>
        <v>1</v>
      </c>
      <c r="K568" s="2" t="s">
        <v>4633</v>
      </c>
    </row>
    <row r="569" customFormat="false" ht="35.05" hidden="false" customHeight="false" outlineLevel="0" collapsed="false">
      <c r="A569" s="5" t="s">
        <v>269</v>
      </c>
      <c r="B569" s="2" t="s">
        <v>7749</v>
      </c>
      <c r="C569" s="5" t="s">
        <v>1537</v>
      </c>
      <c r="D569" s="5" t="s">
        <v>8408</v>
      </c>
      <c r="E569" s="5" t="s">
        <v>8332</v>
      </c>
      <c r="F569" s="5" t="n">
        <f aca="false">SUMPRODUCT(EXACT('Rule-Event map'!$F$2:$F$1477,$A569)*EXACT('Rule-Event map'!$G$2:$G$1477,$B569))</f>
        <v>16</v>
      </c>
      <c r="G569" s="5" t="n">
        <f aca="false">SUMPRODUCT(EXACT('Rule-Event map'!$F$2:$F$1477,$A569)*EXACT('Rule-Event map'!$G$2:$G$1477,$B569)*('Rule-Event map'!$C$2:$C$1477="New ITDR (7.6.0)"))</f>
        <v>0</v>
      </c>
      <c r="H569" s="5" t="n">
        <f aca="false">SUMPRODUCT(EXACT('Rule-Event map'!$F$2:$F$1477,$A569)*EXACT('Rule-Event map'!$G$2:$G$1477,$B569)*('Rule-Event map'!$C$2:$C$1477="Existing, re-tagged ITDR"))</f>
        <v>2</v>
      </c>
      <c r="I569" s="5" t="n">
        <f aca="false">F569-G569-H569</f>
        <v>14</v>
      </c>
      <c r="J569" s="5" t="n">
        <f aca="false">SUMPRODUCT(EXACT('Rule-Event map'!$F$2:$F$1477,$A569)*EXACT('Rule-Event map'!$G$2:$G$1477,$B569)*('Rule-Event map'!$E$2:$E$1477="Enabled"))</f>
        <v>14</v>
      </c>
      <c r="K569" s="2" t="s">
        <v>8409</v>
      </c>
    </row>
    <row r="570" customFormat="false" ht="35.05" hidden="false" customHeight="false" outlineLevel="0" collapsed="false">
      <c r="A570" s="5" t="s">
        <v>269</v>
      </c>
      <c r="B570" s="2" t="s">
        <v>7770</v>
      </c>
      <c r="C570" s="5" t="s">
        <v>1537</v>
      </c>
      <c r="D570" s="5" t="s">
        <v>8408</v>
      </c>
      <c r="E570" s="5" t="s">
        <v>8332</v>
      </c>
      <c r="F570" s="5" t="n">
        <f aca="false">SUMPRODUCT(EXACT('Rule-Event map'!$F$2:$F$1477,$A570)*EXACT('Rule-Event map'!$G$2:$G$1477,$B570))</f>
        <v>6</v>
      </c>
      <c r="G570" s="5" t="n">
        <f aca="false">SUMPRODUCT(EXACT('Rule-Event map'!$F$2:$F$1477,$A570)*EXACT('Rule-Event map'!$G$2:$G$1477,$B570)*('Rule-Event map'!$C$2:$C$1477="New ITDR (7.6.0)"))</f>
        <v>0</v>
      </c>
      <c r="H570" s="5" t="n">
        <f aca="false">SUMPRODUCT(EXACT('Rule-Event map'!$F$2:$F$1477,$A570)*EXACT('Rule-Event map'!$G$2:$G$1477,$B570)*('Rule-Event map'!$C$2:$C$1477="Existing, re-tagged ITDR"))</f>
        <v>0</v>
      </c>
      <c r="I570" s="5" t="n">
        <f aca="false">F570-G570-H570</f>
        <v>6</v>
      </c>
      <c r="J570" s="5" t="n">
        <f aca="false">SUMPRODUCT(EXACT('Rule-Event map'!$F$2:$F$1477,$A570)*EXACT('Rule-Event map'!$G$2:$G$1477,$B570)*('Rule-Event map'!$E$2:$E$1477="Enabled"))</f>
        <v>5</v>
      </c>
      <c r="K570" s="2" t="s">
        <v>8410</v>
      </c>
    </row>
    <row r="571" customFormat="false" ht="15" hidden="false" customHeight="false" outlineLevel="0" collapsed="false">
      <c r="A571" s="5" t="s">
        <v>269</v>
      </c>
      <c r="B571" s="2" t="s">
        <v>7875</v>
      </c>
      <c r="C571" s="5" t="s">
        <v>1537</v>
      </c>
      <c r="D571" s="5" t="s">
        <v>8408</v>
      </c>
      <c r="E571" s="5" t="s">
        <v>8332</v>
      </c>
      <c r="F571" s="5" t="n">
        <f aca="false">SUMPRODUCT(EXACT('Rule-Event map'!$F$2:$F$1477,$A571)*EXACT('Rule-Event map'!$G$2:$G$1477,$B571))</f>
        <v>1</v>
      </c>
      <c r="G571" s="5" t="n">
        <f aca="false">SUMPRODUCT(EXACT('Rule-Event map'!$F$2:$F$1477,$A571)*EXACT('Rule-Event map'!$G$2:$G$1477,$B571)*('Rule-Event map'!$C$2:$C$1477="New ITDR (7.6.0)"))</f>
        <v>0</v>
      </c>
      <c r="H571" s="5" t="n">
        <f aca="false">SUMPRODUCT(EXACT('Rule-Event map'!$F$2:$F$1477,$A571)*EXACT('Rule-Event map'!$G$2:$G$1477,$B571)*('Rule-Event map'!$C$2:$C$1477="Existing, re-tagged ITDR"))</f>
        <v>0</v>
      </c>
      <c r="I571" s="5" t="n">
        <f aca="false">F571-G571-H571</f>
        <v>1</v>
      </c>
      <c r="J571" s="5" t="n">
        <f aca="false">SUMPRODUCT(EXACT('Rule-Event map'!$F$2:$F$1477,$A571)*EXACT('Rule-Event map'!$G$2:$G$1477,$B571)*('Rule-Event map'!$E$2:$E$1477="Enabled"))</f>
        <v>0</v>
      </c>
      <c r="K571" s="2" t="s">
        <v>4671</v>
      </c>
    </row>
    <row r="572" customFormat="false" ht="15" hidden="false" customHeight="false" outlineLevel="0" collapsed="false">
      <c r="A572" s="5" t="s">
        <v>269</v>
      </c>
      <c r="B572" s="2" t="s">
        <v>7877</v>
      </c>
      <c r="C572" s="5"/>
      <c r="D572" s="5"/>
      <c r="E572" s="5" t="s">
        <v>8336</v>
      </c>
      <c r="F572" s="5" t="n">
        <f aca="false">SUMPRODUCT(EXACT('Rule-Event map'!$F$2:$F$1477,$A572)*EXACT('Rule-Event map'!$G$2:$G$1477,$B572))</f>
        <v>1</v>
      </c>
      <c r="G572" s="5" t="n">
        <f aca="false">SUMPRODUCT(EXACT('Rule-Event map'!$F$2:$F$1477,$A572)*EXACT('Rule-Event map'!$G$2:$G$1477,$B572)*('Rule-Event map'!$C$2:$C$1477="New ITDR (7.6.0)"))</f>
        <v>0</v>
      </c>
      <c r="H572" s="5" t="n">
        <f aca="false">SUMPRODUCT(EXACT('Rule-Event map'!$F$2:$F$1477,$A572)*EXACT('Rule-Event map'!$G$2:$G$1477,$B572)*('Rule-Event map'!$C$2:$C$1477="Existing, re-tagged ITDR"))</f>
        <v>0</v>
      </c>
      <c r="I572" s="5" t="n">
        <f aca="false">F572-G572-H572</f>
        <v>1</v>
      </c>
      <c r="J572" s="5" t="n">
        <f aca="false">SUMPRODUCT(EXACT('Rule-Event map'!$F$2:$F$1477,$A572)*EXACT('Rule-Event map'!$G$2:$G$1477,$B572)*('Rule-Event map'!$E$2:$E$1477="Enabled"))</f>
        <v>0</v>
      </c>
      <c r="K572" s="2" t="s">
        <v>4671</v>
      </c>
    </row>
    <row r="573" customFormat="false" ht="15" hidden="false" customHeight="false" outlineLevel="0" collapsed="false">
      <c r="A573" s="5" t="s">
        <v>269</v>
      </c>
      <c r="B573" s="2" t="s">
        <v>7870</v>
      </c>
      <c r="C573" s="5"/>
      <c r="D573" s="5"/>
      <c r="E573" s="5" t="s">
        <v>8336</v>
      </c>
      <c r="F573" s="5" t="n">
        <f aca="false">SUMPRODUCT(EXACT('Rule-Event map'!$F$2:$F$1477,$A573)*EXACT('Rule-Event map'!$G$2:$G$1477,$B573))</f>
        <v>1</v>
      </c>
      <c r="G573" s="5" t="n">
        <f aca="false">SUMPRODUCT(EXACT('Rule-Event map'!$F$2:$F$1477,$A573)*EXACT('Rule-Event map'!$G$2:$G$1477,$B573)*('Rule-Event map'!$C$2:$C$1477="New ITDR (7.6.0)"))</f>
        <v>0</v>
      </c>
      <c r="H573" s="5" t="n">
        <f aca="false">SUMPRODUCT(EXACT('Rule-Event map'!$F$2:$F$1477,$A573)*EXACT('Rule-Event map'!$G$2:$G$1477,$B573)*('Rule-Event map'!$C$2:$C$1477="Existing, re-tagged ITDR"))</f>
        <v>0</v>
      </c>
      <c r="I573" s="5" t="n">
        <f aca="false">F573-G573-H573</f>
        <v>1</v>
      </c>
      <c r="J573" s="5" t="n">
        <f aca="false">SUMPRODUCT(EXACT('Rule-Event map'!$F$2:$F$1477,$A573)*EXACT('Rule-Event map'!$G$2:$G$1477,$B573)*('Rule-Event map'!$E$2:$E$1477="Enabled"))</f>
        <v>1</v>
      </c>
      <c r="K573" s="2" t="s">
        <v>4377</v>
      </c>
    </row>
    <row r="574" customFormat="false" ht="15" hidden="false" customHeight="false" outlineLevel="0" collapsed="false">
      <c r="A574" s="5" t="s">
        <v>269</v>
      </c>
      <c r="B574" s="2" t="s">
        <v>7868</v>
      </c>
      <c r="C574" s="5"/>
      <c r="D574" s="5"/>
      <c r="E574" s="5" t="s">
        <v>8336</v>
      </c>
      <c r="F574" s="5" t="n">
        <f aca="false">SUMPRODUCT(EXACT('Rule-Event map'!$F$2:$F$1477,$A574)*EXACT('Rule-Event map'!$G$2:$G$1477,$B574))</f>
        <v>1</v>
      </c>
      <c r="G574" s="5" t="n">
        <f aca="false">SUMPRODUCT(EXACT('Rule-Event map'!$F$2:$F$1477,$A574)*EXACT('Rule-Event map'!$G$2:$G$1477,$B574)*('Rule-Event map'!$C$2:$C$1477="New ITDR (7.6.0)"))</f>
        <v>0</v>
      </c>
      <c r="H574" s="5" t="n">
        <f aca="false">SUMPRODUCT(EXACT('Rule-Event map'!$F$2:$F$1477,$A574)*EXACT('Rule-Event map'!$G$2:$G$1477,$B574)*('Rule-Event map'!$C$2:$C$1477="Existing, re-tagged ITDR"))</f>
        <v>0</v>
      </c>
      <c r="I574" s="5" t="n">
        <f aca="false">F574-G574-H574</f>
        <v>1</v>
      </c>
      <c r="J574" s="5" t="n">
        <f aca="false">SUMPRODUCT(EXACT('Rule-Event map'!$F$2:$F$1477,$A574)*EXACT('Rule-Event map'!$G$2:$G$1477,$B574)*('Rule-Event map'!$E$2:$E$1477="Enabled"))</f>
        <v>1</v>
      </c>
      <c r="K574" s="2" t="s">
        <v>4204</v>
      </c>
    </row>
    <row r="575" customFormat="false" ht="35.05" hidden="false" customHeight="false" outlineLevel="0" collapsed="false">
      <c r="A575" s="5" t="s">
        <v>269</v>
      </c>
      <c r="B575" s="2" t="s">
        <v>7746</v>
      </c>
      <c r="C575" s="5"/>
      <c r="D575" s="5"/>
      <c r="E575" s="5" t="s">
        <v>8336</v>
      </c>
      <c r="F575" s="5" t="n">
        <f aca="false">SUMPRODUCT(EXACT('Rule-Event map'!$F$2:$F$1477,$A575)*EXACT('Rule-Event map'!$G$2:$G$1477,$B575))</f>
        <v>13</v>
      </c>
      <c r="G575" s="5" t="n">
        <f aca="false">SUMPRODUCT(EXACT('Rule-Event map'!$F$2:$F$1477,$A575)*EXACT('Rule-Event map'!$G$2:$G$1477,$B575)*('Rule-Event map'!$C$2:$C$1477="New ITDR (7.6.0)"))</f>
        <v>0</v>
      </c>
      <c r="H575" s="5" t="n">
        <f aca="false">SUMPRODUCT(EXACT('Rule-Event map'!$F$2:$F$1477,$A575)*EXACT('Rule-Event map'!$G$2:$G$1477,$B575)*('Rule-Event map'!$C$2:$C$1477="Existing, re-tagged ITDR"))</f>
        <v>5</v>
      </c>
      <c r="I575" s="5" t="n">
        <f aca="false">F575-G575-H575</f>
        <v>8</v>
      </c>
      <c r="J575" s="5" t="n">
        <f aca="false">SUMPRODUCT(EXACT('Rule-Event map'!$F$2:$F$1477,$A575)*EXACT('Rule-Event map'!$G$2:$G$1477,$B575)*('Rule-Event map'!$E$2:$E$1477="Enabled"))</f>
        <v>13</v>
      </c>
      <c r="K575" s="2" t="s">
        <v>8411</v>
      </c>
    </row>
    <row r="576" customFormat="false" ht="35.05" hidden="false" customHeight="false" outlineLevel="0" collapsed="false">
      <c r="A576" s="5" t="s">
        <v>269</v>
      </c>
      <c r="B576" s="2" t="s">
        <v>7843</v>
      </c>
      <c r="C576" s="5"/>
      <c r="D576" s="5"/>
      <c r="E576" s="5" t="s">
        <v>8336</v>
      </c>
      <c r="F576" s="5" t="n">
        <f aca="false">SUMPRODUCT(EXACT('Rule-Event map'!$F$2:$F$1477,$A576)*EXACT('Rule-Event map'!$G$2:$G$1477,$B576))</f>
        <v>5</v>
      </c>
      <c r="G576" s="5" t="n">
        <f aca="false">SUMPRODUCT(EXACT('Rule-Event map'!$F$2:$F$1477,$A576)*EXACT('Rule-Event map'!$G$2:$G$1477,$B576)*('Rule-Event map'!$C$2:$C$1477="New ITDR (7.6.0)"))</f>
        <v>0</v>
      </c>
      <c r="H576" s="5" t="n">
        <f aca="false">SUMPRODUCT(EXACT('Rule-Event map'!$F$2:$F$1477,$A576)*EXACT('Rule-Event map'!$G$2:$G$1477,$B576)*('Rule-Event map'!$C$2:$C$1477="Existing, re-tagged ITDR"))</f>
        <v>0</v>
      </c>
      <c r="I576" s="5" t="n">
        <f aca="false">F576-G576-H576</f>
        <v>5</v>
      </c>
      <c r="J576" s="5" t="n">
        <f aca="false">SUMPRODUCT(EXACT('Rule-Event map'!$F$2:$F$1477,$A576)*EXACT('Rule-Event map'!$G$2:$G$1477,$B576)*('Rule-Event map'!$E$2:$E$1477="Enabled"))</f>
        <v>5</v>
      </c>
      <c r="K576" s="2" t="s">
        <v>8412</v>
      </c>
    </row>
    <row r="577" customFormat="false" ht="15" hidden="false" customHeight="false" outlineLevel="0" collapsed="false">
      <c r="A577" s="5" t="s">
        <v>269</v>
      </c>
      <c r="B577" s="2" t="s">
        <v>7863</v>
      </c>
      <c r="C577" s="5"/>
      <c r="D577" s="5"/>
      <c r="E577" s="5" t="s">
        <v>8336</v>
      </c>
      <c r="F577" s="5" t="n">
        <f aca="false">SUMPRODUCT(EXACT('Rule-Event map'!$F$2:$F$1477,$A577)*EXACT('Rule-Event map'!$G$2:$G$1477,$B577))</f>
        <v>1</v>
      </c>
      <c r="G577" s="5" t="n">
        <f aca="false">SUMPRODUCT(EXACT('Rule-Event map'!$F$2:$F$1477,$A577)*EXACT('Rule-Event map'!$G$2:$G$1477,$B577)*('Rule-Event map'!$C$2:$C$1477="New ITDR (7.6.0)"))</f>
        <v>0</v>
      </c>
      <c r="H577" s="5" t="n">
        <f aca="false">SUMPRODUCT(EXACT('Rule-Event map'!$F$2:$F$1477,$A577)*EXACT('Rule-Event map'!$G$2:$G$1477,$B577)*('Rule-Event map'!$C$2:$C$1477="Existing, re-tagged ITDR"))</f>
        <v>0</v>
      </c>
      <c r="I577" s="5" t="n">
        <f aca="false">F577-G577-H577</f>
        <v>1</v>
      </c>
      <c r="J577" s="5" t="n">
        <f aca="false">SUMPRODUCT(EXACT('Rule-Event map'!$F$2:$F$1477,$A577)*EXACT('Rule-Event map'!$G$2:$G$1477,$B577)*('Rule-Event map'!$E$2:$E$1477="Enabled"))</f>
        <v>1</v>
      </c>
      <c r="K577" s="2" t="s">
        <v>4051</v>
      </c>
    </row>
    <row r="578" customFormat="false" ht="23.85" hidden="false" customHeight="false" outlineLevel="0" collapsed="false">
      <c r="A578" s="5" t="s">
        <v>269</v>
      </c>
      <c r="B578" s="2" t="s">
        <v>7827</v>
      </c>
      <c r="C578" s="5"/>
      <c r="D578" s="5"/>
      <c r="E578" s="5" t="s">
        <v>8336</v>
      </c>
      <c r="F578" s="5" t="n">
        <f aca="false">SUMPRODUCT(EXACT('Rule-Event map'!$F$2:$F$1477,$A578)*EXACT('Rule-Event map'!$G$2:$G$1477,$B578))</f>
        <v>3</v>
      </c>
      <c r="G578" s="5" t="n">
        <f aca="false">SUMPRODUCT(EXACT('Rule-Event map'!$F$2:$F$1477,$A578)*EXACT('Rule-Event map'!$G$2:$G$1477,$B578)*('Rule-Event map'!$C$2:$C$1477="New ITDR (7.6.0)"))</f>
        <v>0</v>
      </c>
      <c r="H578" s="5" t="n">
        <f aca="false">SUMPRODUCT(EXACT('Rule-Event map'!$F$2:$F$1477,$A578)*EXACT('Rule-Event map'!$G$2:$G$1477,$B578)*('Rule-Event map'!$C$2:$C$1477="Existing, re-tagged ITDR"))</f>
        <v>0</v>
      </c>
      <c r="I578" s="5" t="n">
        <f aca="false">F578-G578-H578</f>
        <v>3</v>
      </c>
      <c r="J578" s="5" t="n">
        <f aca="false">SUMPRODUCT(EXACT('Rule-Event map'!$F$2:$F$1477,$A578)*EXACT('Rule-Event map'!$G$2:$G$1477,$B578)*('Rule-Event map'!$E$2:$E$1477="Enabled"))</f>
        <v>3</v>
      </c>
      <c r="K578" s="2" t="s">
        <v>8413</v>
      </c>
    </row>
    <row r="579" customFormat="false" ht="35.05" hidden="false" customHeight="false" outlineLevel="0" collapsed="false">
      <c r="A579" s="5" t="s">
        <v>269</v>
      </c>
      <c r="B579" s="2" t="s">
        <v>7723</v>
      </c>
      <c r="C579" s="5" t="s">
        <v>1118</v>
      </c>
      <c r="D579" s="5" t="s">
        <v>8414</v>
      </c>
      <c r="E579" s="5" t="s">
        <v>8332</v>
      </c>
      <c r="F579" s="5" t="n">
        <f aca="false">SUMPRODUCT(EXACT('Rule-Event map'!$F$2:$F$1477,$A579)*EXACT('Rule-Event map'!$G$2:$G$1477,$B579))</f>
        <v>6</v>
      </c>
      <c r="G579" s="5" t="n">
        <f aca="false">SUMPRODUCT(EXACT('Rule-Event map'!$F$2:$F$1477,$A579)*EXACT('Rule-Event map'!$G$2:$G$1477,$B579)*('Rule-Event map'!$C$2:$C$1477="New ITDR (7.6.0)"))</f>
        <v>0</v>
      </c>
      <c r="H579" s="5" t="n">
        <f aca="false">SUMPRODUCT(EXACT('Rule-Event map'!$F$2:$F$1477,$A579)*EXACT('Rule-Event map'!$G$2:$G$1477,$B579)*('Rule-Event map'!$C$2:$C$1477="Existing, re-tagged ITDR"))</f>
        <v>4</v>
      </c>
      <c r="I579" s="5" t="n">
        <f aca="false">F579-G579-H579</f>
        <v>2</v>
      </c>
      <c r="J579" s="5" t="n">
        <f aca="false">SUMPRODUCT(EXACT('Rule-Event map'!$F$2:$F$1477,$A579)*EXACT('Rule-Event map'!$G$2:$G$1477,$B579)*('Rule-Event map'!$E$2:$E$1477="Enabled"))</f>
        <v>5</v>
      </c>
      <c r="K579" s="2" t="s">
        <v>8415</v>
      </c>
    </row>
    <row r="580" customFormat="false" ht="35.05" hidden="false" customHeight="false" outlineLevel="0" collapsed="false">
      <c r="A580" s="5" t="s">
        <v>269</v>
      </c>
      <c r="B580" s="2" t="s">
        <v>7747</v>
      </c>
      <c r="C580" s="5"/>
      <c r="D580" s="5"/>
      <c r="E580" s="5" t="s">
        <v>8336</v>
      </c>
      <c r="F580" s="5" t="n">
        <f aca="false">SUMPRODUCT(EXACT('Rule-Event map'!$F$2:$F$1477,$A580)*EXACT('Rule-Event map'!$G$2:$G$1477,$B580))</f>
        <v>14</v>
      </c>
      <c r="G580" s="5" t="n">
        <f aca="false">SUMPRODUCT(EXACT('Rule-Event map'!$F$2:$F$1477,$A580)*EXACT('Rule-Event map'!$G$2:$G$1477,$B580)*('Rule-Event map'!$C$2:$C$1477="New ITDR (7.6.0)"))</f>
        <v>0</v>
      </c>
      <c r="H580" s="5" t="n">
        <f aca="false">SUMPRODUCT(EXACT('Rule-Event map'!$F$2:$F$1477,$A580)*EXACT('Rule-Event map'!$G$2:$G$1477,$B580)*('Rule-Event map'!$C$2:$C$1477="Existing, re-tagged ITDR"))</f>
        <v>4</v>
      </c>
      <c r="I580" s="5" t="n">
        <f aca="false">F580-G580-H580</f>
        <v>10</v>
      </c>
      <c r="J580" s="5" t="n">
        <f aca="false">SUMPRODUCT(EXACT('Rule-Event map'!$F$2:$F$1477,$A580)*EXACT('Rule-Event map'!$G$2:$G$1477,$B580)*('Rule-Event map'!$E$2:$E$1477="Enabled"))</f>
        <v>13</v>
      </c>
      <c r="K580" s="2" t="s">
        <v>8416</v>
      </c>
    </row>
    <row r="581" customFormat="false" ht="23.85" hidden="false" customHeight="false" outlineLevel="0" collapsed="false">
      <c r="A581" s="5" t="s">
        <v>269</v>
      </c>
      <c r="B581" s="2" t="s">
        <v>7739</v>
      </c>
      <c r="C581" s="5" t="s">
        <v>1311</v>
      </c>
      <c r="D581" s="5" t="s">
        <v>8417</v>
      </c>
      <c r="E581" s="5" t="s">
        <v>8332</v>
      </c>
      <c r="F581" s="5" t="n">
        <f aca="false">SUMPRODUCT(EXACT('Rule-Event map'!$F$2:$F$1477,$A581)*EXACT('Rule-Event map'!$G$2:$G$1477,$B581))</f>
        <v>2</v>
      </c>
      <c r="G581" s="5" t="n">
        <f aca="false">SUMPRODUCT(EXACT('Rule-Event map'!$F$2:$F$1477,$A581)*EXACT('Rule-Event map'!$G$2:$G$1477,$B581)*('Rule-Event map'!$C$2:$C$1477="New ITDR (7.6.0)"))</f>
        <v>0</v>
      </c>
      <c r="H581" s="5" t="n">
        <f aca="false">SUMPRODUCT(EXACT('Rule-Event map'!$F$2:$F$1477,$A581)*EXACT('Rule-Event map'!$G$2:$G$1477,$B581)*('Rule-Event map'!$C$2:$C$1477="Existing, re-tagged ITDR"))</f>
        <v>1</v>
      </c>
      <c r="I581" s="5" t="n">
        <f aca="false">F581-G581-H581</f>
        <v>1</v>
      </c>
      <c r="J581" s="5" t="n">
        <f aca="false">SUMPRODUCT(EXACT('Rule-Event map'!$F$2:$F$1477,$A581)*EXACT('Rule-Event map'!$G$2:$G$1477,$B581)*('Rule-Event map'!$E$2:$E$1477="Enabled"))</f>
        <v>2</v>
      </c>
      <c r="K581" s="2" t="s">
        <v>8418</v>
      </c>
    </row>
    <row r="582" customFormat="false" ht="15" hidden="false" customHeight="false" outlineLevel="0" collapsed="false">
      <c r="A582" s="5" t="s">
        <v>269</v>
      </c>
      <c r="B582" s="2" t="s">
        <v>7869</v>
      </c>
      <c r="C582" s="5"/>
      <c r="D582" s="5"/>
      <c r="E582" s="5" t="s">
        <v>8336</v>
      </c>
      <c r="F582" s="5" t="n">
        <f aca="false">SUMPRODUCT(EXACT('Rule-Event map'!$F$2:$F$1477,$A582)*EXACT('Rule-Event map'!$G$2:$G$1477,$B582))</f>
        <v>1</v>
      </c>
      <c r="G582" s="5" t="n">
        <f aca="false">SUMPRODUCT(EXACT('Rule-Event map'!$F$2:$F$1477,$A582)*EXACT('Rule-Event map'!$G$2:$G$1477,$B582)*('Rule-Event map'!$C$2:$C$1477="New ITDR (7.6.0)"))</f>
        <v>0</v>
      </c>
      <c r="H582" s="5" t="n">
        <f aca="false">SUMPRODUCT(EXACT('Rule-Event map'!$F$2:$F$1477,$A582)*EXACT('Rule-Event map'!$G$2:$G$1477,$B582)*('Rule-Event map'!$C$2:$C$1477="Existing, re-tagged ITDR"))</f>
        <v>0</v>
      </c>
      <c r="I582" s="5" t="n">
        <f aca="false">F582-G582-H582</f>
        <v>1</v>
      </c>
      <c r="J582" s="5" t="n">
        <f aca="false">SUMPRODUCT(EXACT('Rule-Event map'!$F$2:$F$1477,$A582)*EXACT('Rule-Event map'!$G$2:$G$1477,$B582)*('Rule-Event map'!$E$2:$E$1477="Enabled"))</f>
        <v>1</v>
      </c>
      <c r="K582" s="2" t="s">
        <v>4223</v>
      </c>
    </row>
    <row r="583" customFormat="false" ht="35.05" hidden="false" customHeight="false" outlineLevel="0" collapsed="false">
      <c r="A583" s="5" t="s">
        <v>269</v>
      </c>
      <c r="B583" s="2" t="s">
        <v>7631</v>
      </c>
      <c r="C583" s="5"/>
      <c r="D583" s="5"/>
      <c r="E583" s="5" t="s">
        <v>8336</v>
      </c>
      <c r="F583" s="5" t="n">
        <f aca="false">SUMPRODUCT(EXACT('Rule-Event map'!$F$2:$F$1477,$A583)*EXACT('Rule-Event map'!$G$2:$G$1477,$B583))</f>
        <v>18</v>
      </c>
      <c r="G583" s="5" t="n">
        <f aca="false">SUMPRODUCT(EXACT('Rule-Event map'!$F$2:$F$1477,$A583)*EXACT('Rule-Event map'!$G$2:$G$1477,$B583)*('Rule-Event map'!$C$2:$C$1477="New ITDR (7.6.0)"))</f>
        <v>18</v>
      </c>
      <c r="H583" s="5" t="n">
        <f aca="false">SUMPRODUCT(EXACT('Rule-Event map'!$F$2:$F$1477,$A583)*EXACT('Rule-Event map'!$G$2:$G$1477,$B583)*('Rule-Event map'!$C$2:$C$1477="Existing, re-tagged ITDR"))</f>
        <v>0</v>
      </c>
      <c r="I583" s="5" t="n">
        <f aca="false">F583-G583-H583</f>
        <v>0</v>
      </c>
      <c r="J583" s="5" t="n">
        <f aca="false">SUMPRODUCT(EXACT('Rule-Event map'!$F$2:$F$1477,$A583)*EXACT('Rule-Event map'!$G$2:$G$1477,$B583)*('Rule-Event map'!$E$2:$E$1477="Enabled"))</f>
        <v>18</v>
      </c>
      <c r="K583" s="2" t="s">
        <v>8393</v>
      </c>
    </row>
    <row r="584" customFormat="false" ht="15" hidden="false" customHeight="false" outlineLevel="0" collapsed="false">
      <c r="A584" s="5" t="s">
        <v>269</v>
      </c>
      <c r="B584" s="2" t="s">
        <v>7737</v>
      </c>
      <c r="C584" s="5"/>
      <c r="D584" s="5"/>
      <c r="E584" s="5" t="s">
        <v>8336</v>
      </c>
      <c r="F584" s="5" t="n">
        <f aca="false">SUMPRODUCT(EXACT('Rule-Event map'!$F$2:$F$1477,$A584)*EXACT('Rule-Event map'!$G$2:$G$1477,$B584))</f>
        <v>1</v>
      </c>
      <c r="G584" s="5" t="n">
        <f aca="false">SUMPRODUCT(EXACT('Rule-Event map'!$F$2:$F$1477,$A584)*EXACT('Rule-Event map'!$G$2:$G$1477,$B584)*('Rule-Event map'!$C$2:$C$1477="New ITDR (7.6.0)"))</f>
        <v>0</v>
      </c>
      <c r="H584" s="5" t="n">
        <f aca="false">SUMPRODUCT(EXACT('Rule-Event map'!$F$2:$F$1477,$A584)*EXACT('Rule-Event map'!$G$2:$G$1477,$B584)*('Rule-Event map'!$C$2:$C$1477="Existing, re-tagged ITDR"))</f>
        <v>1</v>
      </c>
      <c r="I584" s="5" t="n">
        <f aca="false">F584-G584-H584</f>
        <v>0</v>
      </c>
      <c r="J584" s="5" t="n">
        <f aca="false">SUMPRODUCT(EXACT('Rule-Event map'!$F$2:$F$1477,$A584)*EXACT('Rule-Event map'!$G$2:$G$1477,$B584)*('Rule-Event map'!$E$2:$E$1477="Enabled"))</f>
        <v>1</v>
      </c>
      <c r="K584" s="2" t="s">
        <v>1241</v>
      </c>
    </row>
    <row r="585" customFormat="false" ht="35.05" hidden="false" customHeight="false" outlineLevel="0" collapsed="false">
      <c r="A585" s="5" t="s">
        <v>269</v>
      </c>
      <c r="B585" s="2" t="s">
        <v>7734</v>
      </c>
      <c r="C585" s="5"/>
      <c r="D585" s="5"/>
      <c r="E585" s="5" t="s">
        <v>8336</v>
      </c>
      <c r="F585" s="5" t="n">
        <f aca="false">SUMPRODUCT(EXACT('Rule-Event map'!$F$2:$F$1477,$A585)*EXACT('Rule-Event map'!$G$2:$G$1477,$B585))</f>
        <v>20</v>
      </c>
      <c r="G585" s="5" t="n">
        <f aca="false">SUMPRODUCT(EXACT('Rule-Event map'!$F$2:$F$1477,$A585)*EXACT('Rule-Event map'!$G$2:$G$1477,$B585)*('Rule-Event map'!$C$2:$C$1477="New ITDR (7.6.0)"))</f>
        <v>0</v>
      </c>
      <c r="H585" s="5" t="n">
        <f aca="false">SUMPRODUCT(EXACT('Rule-Event map'!$F$2:$F$1477,$A585)*EXACT('Rule-Event map'!$G$2:$G$1477,$B585)*('Rule-Event map'!$C$2:$C$1477="Existing, re-tagged ITDR"))</f>
        <v>2</v>
      </c>
      <c r="I585" s="5" t="n">
        <f aca="false">F585-G585-H585</f>
        <v>18</v>
      </c>
      <c r="J585" s="5" t="n">
        <f aca="false">SUMPRODUCT(EXACT('Rule-Event map'!$F$2:$F$1477,$A585)*EXACT('Rule-Event map'!$G$2:$G$1477,$B585)*('Rule-Event map'!$E$2:$E$1477="Enabled"))</f>
        <v>19</v>
      </c>
      <c r="K585" s="2" t="s">
        <v>8419</v>
      </c>
    </row>
    <row r="586" customFormat="false" ht="15" hidden="false" customHeight="false" outlineLevel="0" collapsed="false">
      <c r="A586" s="5" t="s">
        <v>269</v>
      </c>
      <c r="B586" s="2" t="s">
        <v>7871</v>
      </c>
      <c r="C586" s="5"/>
      <c r="D586" s="5"/>
      <c r="E586" s="5" t="s">
        <v>8336</v>
      </c>
      <c r="F586" s="5" t="n">
        <f aca="false">SUMPRODUCT(EXACT('Rule-Event map'!$F$2:$F$1477,$A586)*EXACT('Rule-Event map'!$G$2:$G$1477,$B586))</f>
        <v>1</v>
      </c>
      <c r="G586" s="5" t="n">
        <f aca="false">SUMPRODUCT(EXACT('Rule-Event map'!$F$2:$F$1477,$A586)*EXACT('Rule-Event map'!$G$2:$G$1477,$B586)*('Rule-Event map'!$C$2:$C$1477="New ITDR (7.6.0)"))</f>
        <v>0</v>
      </c>
      <c r="H586" s="5" t="n">
        <f aca="false">SUMPRODUCT(EXACT('Rule-Event map'!$F$2:$F$1477,$A586)*EXACT('Rule-Event map'!$G$2:$G$1477,$B586)*('Rule-Event map'!$C$2:$C$1477="Existing, re-tagged ITDR"))</f>
        <v>0</v>
      </c>
      <c r="I586" s="5" t="n">
        <f aca="false">F586-G586-H586</f>
        <v>1</v>
      </c>
      <c r="J586" s="5" t="n">
        <f aca="false">SUMPRODUCT(EXACT('Rule-Event map'!$F$2:$F$1477,$A586)*EXACT('Rule-Event map'!$G$2:$G$1477,$B586)*('Rule-Event map'!$E$2:$E$1477="Enabled"))</f>
        <v>1</v>
      </c>
      <c r="K586" s="2" t="s">
        <v>4385</v>
      </c>
    </row>
    <row r="587" customFormat="false" ht="15" hidden="false" customHeight="false" outlineLevel="0" collapsed="false">
      <c r="A587" s="5" t="s">
        <v>269</v>
      </c>
      <c r="B587" s="2" t="s">
        <v>7856</v>
      </c>
      <c r="C587" s="5"/>
      <c r="D587" s="5"/>
      <c r="E587" s="5" t="s">
        <v>8336</v>
      </c>
      <c r="F587" s="5" t="n">
        <f aca="false">SUMPRODUCT(EXACT('Rule-Event map'!$F$2:$F$1477,$A587)*EXACT('Rule-Event map'!$G$2:$G$1477,$B587))</f>
        <v>1</v>
      </c>
      <c r="G587" s="5" t="n">
        <f aca="false">SUMPRODUCT(EXACT('Rule-Event map'!$F$2:$F$1477,$A587)*EXACT('Rule-Event map'!$G$2:$G$1477,$B587)*('Rule-Event map'!$C$2:$C$1477="New ITDR (7.6.0)"))</f>
        <v>0</v>
      </c>
      <c r="H587" s="5" t="n">
        <f aca="false">SUMPRODUCT(EXACT('Rule-Event map'!$F$2:$F$1477,$A587)*EXACT('Rule-Event map'!$G$2:$G$1477,$B587)*('Rule-Event map'!$C$2:$C$1477="Existing, re-tagged ITDR"))</f>
        <v>0</v>
      </c>
      <c r="I587" s="5" t="n">
        <f aca="false">F587-G587-H587</f>
        <v>1</v>
      </c>
      <c r="J587" s="5" t="n">
        <f aca="false">SUMPRODUCT(EXACT('Rule-Event map'!$F$2:$F$1477,$A587)*EXACT('Rule-Event map'!$G$2:$G$1477,$B587)*('Rule-Event map'!$E$2:$E$1477="Enabled"))</f>
        <v>1</v>
      </c>
      <c r="K587" s="2" t="s">
        <v>3734</v>
      </c>
    </row>
    <row r="588" customFormat="false" ht="15" hidden="false" customHeight="false" outlineLevel="0" collapsed="false">
      <c r="A588" s="5" t="s">
        <v>269</v>
      </c>
      <c r="B588" s="2" t="s">
        <v>7857</v>
      </c>
      <c r="C588" s="5"/>
      <c r="D588" s="5"/>
      <c r="E588" s="5" t="s">
        <v>8336</v>
      </c>
      <c r="F588" s="5" t="n">
        <f aca="false">SUMPRODUCT(EXACT('Rule-Event map'!$F$2:$F$1477,$A588)*EXACT('Rule-Event map'!$G$2:$G$1477,$B588))</f>
        <v>1</v>
      </c>
      <c r="G588" s="5" t="n">
        <f aca="false">SUMPRODUCT(EXACT('Rule-Event map'!$F$2:$F$1477,$A588)*EXACT('Rule-Event map'!$G$2:$G$1477,$B588)*('Rule-Event map'!$C$2:$C$1477="New ITDR (7.6.0)"))</f>
        <v>0</v>
      </c>
      <c r="H588" s="5" t="n">
        <f aca="false">SUMPRODUCT(EXACT('Rule-Event map'!$F$2:$F$1477,$A588)*EXACT('Rule-Event map'!$G$2:$G$1477,$B588)*('Rule-Event map'!$C$2:$C$1477="Existing, re-tagged ITDR"))</f>
        <v>0</v>
      </c>
      <c r="I588" s="5" t="n">
        <f aca="false">F588-G588-H588</f>
        <v>1</v>
      </c>
      <c r="J588" s="5" t="n">
        <f aca="false">SUMPRODUCT(EXACT('Rule-Event map'!$F$2:$F$1477,$A588)*EXACT('Rule-Event map'!$G$2:$G$1477,$B588)*('Rule-Event map'!$E$2:$E$1477="Enabled"))</f>
        <v>1</v>
      </c>
      <c r="K588" s="2" t="s">
        <v>3734</v>
      </c>
    </row>
    <row r="589" customFormat="false" ht="15" hidden="false" customHeight="false" outlineLevel="0" collapsed="false">
      <c r="A589" s="5" t="s">
        <v>269</v>
      </c>
      <c r="B589" s="2" t="s">
        <v>7872</v>
      </c>
      <c r="C589" s="5"/>
      <c r="D589" s="5"/>
      <c r="E589" s="5" t="s">
        <v>8336</v>
      </c>
      <c r="F589" s="5" t="n">
        <f aca="false">SUMPRODUCT(EXACT('Rule-Event map'!$F$2:$F$1477,$A589)*EXACT('Rule-Event map'!$G$2:$G$1477,$B589))</f>
        <v>1</v>
      </c>
      <c r="G589" s="5" t="n">
        <f aca="false">SUMPRODUCT(EXACT('Rule-Event map'!$F$2:$F$1477,$A589)*EXACT('Rule-Event map'!$G$2:$G$1477,$B589)*('Rule-Event map'!$C$2:$C$1477="New ITDR (7.6.0)"))</f>
        <v>0</v>
      </c>
      <c r="H589" s="5" t="n">
        <f aca="false">SUMPRODUCT(EXACT('Rule-Event map'!$F$2:$F$1477,$A589)*EXACT('Rule-Event map'!$G$2:$G$1477,$B589)*('Rule-Event map'!$C$2:$C$1477="Existing, re-tagged ITDR"))</f>
        <v>0</v>
      </c>
      <c r="I589" s="5" t="n">
        <f aca="false">F589-G589-H589</f>
        <v>1</v>
      </c>
      <c r="J589" s="5" t="n">
        <f aca="false">SUMPRODUCT(EXACT('Rule-Event map'!$F$2:$F$1477,$A589)*EXACT('Rule-Event map'!$G$2:$G$1477,$B589)*('Rule-Event map'!$E$2:$E$1477="Enabled"))</f>
        <v>1</v>
      </c>
      <c r="K589" s="2" t="s">
        <v>4393</v>
      </c>
    </row>
    <row r="590" customFormat="false" ht="15" hidden="false" customHeight="false" outlineLevel="0" collapsed="false">
      <c r="A590" s="5" t="s">
        <v>269</v>
      </c>
      <c r="B590" s="2" t="s">
        <v>7842</v>
      </c>
      <c r="C590" s="5"/>
      <c r="D590" s="5"/>
      <c r="E590" s="5" t="s">
        <v>8336</v>
      </c>
      <c r="F590" s="5" t="n">
        <f aca="false">SUMPRODUCT(EXACT('Rule-Event map'!$F$2:$F$1477,$A590)*EXACT('Rule-Event map'!$G$2:$G$1477,$B590))</f>
        <v>1</v>
      </c>
      <c r="G590" s="5" t="n">
        <f aca="false">SUMPRODUCT(EXACT('Rule-Event map'!$F$2:$F$1477,$A590)*EXACT('Rule-Event map'!$G$2:$G$1477,$B590)*('Rule-Event map'!$C$2:$C$1477="New ITDR (7.6.0)"))</f>
        <v>0</v>
      </c>
      <c r="H590" s="5" t="n">
        <f aca="false">SUMPRODUCT(EXACT('Rule-Event map'!$F$2:$F$1477,$A590)*EXACT('Rule-Event map'!$G$2:$G$1477,$B590)*('Rule-Event map'!$C$2:$C$1477="Existing, re-tagged ITDR"))</f>
        <v>0</v>
      </c>
      <c r="I590" s="5" t="n">
        <f aca="false">F590-G590-H590</f>
        <v>1</v>
      </c>
      <c r="J590" s="5" t="n">
        <f aca="false">SUMPRODUCT(EXACT('Rule-Event map'!$F$2:$F$1477,$A590)*EXACT('Rule-Event map'!$G$2:$G$1477,$B590)*('Rule-Event map'!$E$2:$E$1477="Enabled"))</f>
        <v>1</v>
      </c>
      <c r="K590" s="2" t="s">
        <v>3490</v>
      </c>
    </row>
    <row r="591" customFormat="false" ht="15" hidden="false" customHeight="false" outlineLevel="0" collapsed="false">
      <c r="A591" s="5" t="s">
        <v>269</v>
      </c>
      <c r="B591" s="2" t="s">
        <v>7652</v>
      </c>
      <c r="C591" s="5" t="s">
        <v>214</v>
      </c>
      <c r="D591" s="5" t="s">
        <v>8420</v>
      </c>
      <c r="E591" s="5" t="s">
        <v>8332</v>
      </c>
      <c r="F591" s="5" t="n">
        <f aca="false">SUMPRODUCT(EXACT('Rule-Event map'!$F$2:$F$1477,$A591)*EXACT('Rule-Event map'!$G$2:$G$1477,$B591))</f>
        <v>2</v>
      </c>
      <c r="G591" s="5" t="n">
        <f aca="false">SUMPRODUCT(EXACT('Rule-Event map'!$F$2:$F$1477,$A591)*EXACT('Rule-Event map'!$G$2:$G$1477,$B591)*('Rule-Event map'!$C$2:$C$1477="New ITDR (7.6.0)"))</f>
        <v>1</v>
      </c>
      <c r="H591" s="5" t="n">
        <f aca="false">SUMPRODUCT(EXACT('Rule-Event map'!$F$2:$F$1477,$A591)*EXACT('Rule-Event map'!$G$2:$G$1477,$B591)*('Rule-Event map'!$C$2:$C$1477="Existing, re-tagged ITDR"))</f>
        <v>0</v>
      </c>
      <c r="I591" s="5" t="n">
        <f aca="false">F591-G591-H591</f>
        <v>1</v>
      </c>
      <c r="J591" s="5" t="n">
        <f aca="false">SUMPRODUCT(EXACT('Rule-Event map'!$F$2:$F$1477,$A591)*EXACT('Rule-Event map'!$G$2:$G$1477,$B591)*('Rule-Event map'!$E$2:$E$1477="Enabled"))</f>
        <v>2</v>
      </c>
      <c r="K591" s="2" t="s">
        <v>8421</v>
      </c>
    </row>
    <row r="592" customFormat="false" ht="15" hidden="false" customHeight="false" outlineLevel="0" collapsed="false">
      <c r="A592" s="5" t="s">
        <v>269</v>
      </c>
      <c r="B592" s="2" t="s">
        <v>7653</v>
      </c>
      <c r="C592" s="5" t="s">
        <v>214</v>
      </c>
      <c r="D592" s="5" t="s">
        <v>8420</v>
      </c>
      <c r="E592" s="5" t="s">
        <v>8332</v>
      </c>
      <c r="F592" s="5" t="n">
        <f aca="false">SUMPRODUCT(EXACT('Rule-Event map'!$F$2:$F$1477,$A592)*EXACT('Rule-Event map'!$G$2:$G$1477,$B592))</f>
        <v>1</v>
      </c>
      <c r="G592" s="5" t="n">
        <f aca="false">SUMPRODUCT(EXACT('Rule-Event map'!$F$2:$F$1477,$A592)*EXACT('Rule-Event map'!$G$2:$G$1477,$B592)*('Rule-Event map'!$C$2:$C$1477="New ITDR (7.6.0)"))</f>
        <v>1</v>
      </c>
      <c r="H592" s="5" t="n">
        <f aca="false">SUMPRODUCT(EXACT('Rule-Event map'!$F$2:$F$1477,$A592)*EXACT('Rule-Event map'!$G$2:$G$1477,$B592)*('Rule-Event map'!$C$2:$C$1477="Existing, re-tagged ITDR"))</f>
        <v>0</v>
      </c>
      <c r="I592" s="5" t="n">
        <f aca="false">F592-G592-H592</f>
        <v>0</v>
      </c>
      <c r="J592" s="5" t="n">
        <f aca="false">SUMPRODUCT(EXACT('Rule-Event map'!$F$2:$F$1477,$A592)*EXACT('Rule-Event map'!$G$2:$G$1477,$B592)*('Rule-Event map'!$E$2:$E$1477="Enabled"))</f>
        <v>1</v>
      </c>
      <c r="K592" s="2" t="s">
        <v>313</v>
      </c>
    </row>
    <row r="593" customFormat="false" ht="15" hidden="false" customHeight="false" outlineLevel="0" collapsed="false">
      <c r="A593" s="5" t="s">
        <v>269</v>
      </c>
      <c r="B593" s="2" t="s">
        <v>7655</v>
      </c>
      <c r="C593" s="5" t="s">
        <v>214</v>
      </c>
      <c r="D593" s="5" t="s">
        <v>8420</v>
      </c>
      <c r="E593" s="5" t="s">
        <v>8332</v>
      </c>
      <c r="F593" s="5" t="n">
        <f aca="false">SUMPRODUCT(EXACT('Rule-Event map'!$F$2:$F$1477,$A593)*EXACT('Rule-Event map'!$G$2:$G$1477,$B593))</f>
        <v>1</v>
      </c>
      <c r="G593" s="5" t="n">
        <f aca="false">SUMPRODUCT(EXACT('Rule-Event map'!$F$2:$F$1477,$A593)*EXACT('Rule-Event map'!$G$2:$G$1477,$B593)*('Rule-Event map'!$C$2:$C$1477="New ITDR (7.6.0)"))</f>
        <v>1</v>
      </c>
      <c r="H593" s="5" t="n">
        <f aca="false">SUMPRODUCT(EXACT('Rule-Event map'!$F$2:$F$1477,$A593)*EXACT('Rule-Event map'!$G$2:$G$1477,$B593)*('Rule-Event map'!$C$2:$C$1477="Existing, re-tagged ITDR"))</f>
        <v>0</v>
      </c>
      <c r="I593" s="5" t="n">
        <f aca="false">F593-G593-H593</f>
        <v>0</v>
      </c>
      <c r="J593" s="5" t="n">
        <f aca="false">SUMPRODUCT(EXACT('Rule-Event map'!$F$2:$F$1477,$A593)*EXACT('Rule-Event map'!$G$2:$G$1477,$B593)*('Rule-Event map'!$E$2:$E$1477="Enabled"))</f>
        <v>1</v>
      </c>
      <c r="K593" s="2" t="s">
        <v>313</v>
      </c>
    </row>
    <row r="594" customFormat="false" ht="23.85" hidden="false" customHeight="false" outlineLevel="0" collapsed="false">
      <c r="A594" s="5" t="s">
        <v>269</v>
      </c>
      <c r="B594" s="2" t="s">
        <v>7798</v>
      </c>
      <c r="C594" s="5"/>
      <c r="D594" s="5"/>
      <c r="E594" s="5" t="s">
        <v>8336</v>
      </c>
      <c r="F594" s="5" t="n">
        <f aca="false">SUMPRODUCT(EXACT('Rule-Event map'!$F$2:$F$1477,$A594)*EXACT('Rule-Event map'!$G$2:$G$1477,$B594))</f>
        <v>3</v>
      </c>
      <c r="G594" s="5" t="n">
        <f aca="false">SUMPRODUCT(EXACT('Rule-Event map'!$F$2:$F$1477,$A594)*EXACT('Rule-Event map'!$G$2:$G$1477,$B594)*('Rule-Event map'!$C$2:$C$1477="New ITDR (7.6.0)"))</f>
        <v>0</v>
      </c>
      <c r="H594" s="5" t="n">
        <f aca="false">SUMPRODUCT(EXACT('Rule-Event map'!$F$2:$F$1477,$A594)*EXACT('Rule-Event map'!$G$2:$G$1477,$B594)*('Rule-Event map'!$C$2:$C$1477="Existing, re-tagged ITDR"))</f>
        <v>0</v>
      </c>
      <c r="I594" s="5" t="n">
        <f aca="false">F594-G594-H594</f>
        <v>3</v>
      </c>
      <c r="J594" s="5" t="n">
        <f aca="false">SUMPRODUCT(EXACT('Rule-Event map'!$F$2:$F$1477,$A594)*EXACT('Rule-Event map'!$G$2:$G$1477,$B594)*('Rule-Event map'!$E$2:$E$1477="Enabled"))</f>
        <v>3</v>
      </c>
      <c r="K594" s="2" t="s">
        <v>8422</v>
      </c>
    </row>
    <row r="595" customFormat="false" ht="23.85" hidden="false" customHeight="false" outlineLevel="0" collapsed="false">
      <c r="A595" s="5" t="s">
        <v>269</v>
      </c>
      <c r="B595" s="2" t="s">
        <v>7625</v>
      </c>
      <c r="C595" s="5" t="s">
        <v>192</v>
      </c>
      <c r="D595" s="5" t="s">
        <v>8423</v>
      </c>
      <c r="E595" s="5" t="s">
        <v>8332</v>
      </c>
      <c r="F595" s="5" t="n">
        <f aca="false">SUMPRODUCT(EXACT('Rule-Event map'!$F$2:$F$1477,$A595)*EXACT('Rule-Event map'!$G$2:$G$1477,$B595))</f>
        <v>7</v>
      </c>
      <c r="G595" s="5" t="n">
        <f aca="false">SUMPRODUCT(EXACT('Rule-Event map'!$F$2:$F$1477,$A595)*EXACT('Rule-Event map'!$G$2:$G$1477,$B595)*('Rule-Event map'!$C$2:$C$1477="New ITDR (7.6.0)"))</f>
        <v>2</v>
      </c>
      <c r="H595" s="5" t="n">
        <f aca="false">SUMPRODUCT(EXACT('Rule-Event map'!$F$2:$F$1477,$A595)*EXACT('Rule-Event map'!$G$2:$G$1477,$B595)*('Rule-Event map'!$C$2:$C$1477="Existing, re-tagged ITDR"))</f>
        <v>0</v>
      </c>
      <c r="I595" s="5" t="n">
        <f aca="false">F595-G595-H595</f>
        <v>5</v>
      </c>
      <c r="J595" s="5" t="n">
        <f aca="false">SUMPRODUCT(EXACT('Rule-Event map'!$F$2:$F$1477,$A595)*EXACT('Rule-Event map'!$G$2:$G$1477,$B595)*('Rule-Event map'!$E$2:$E$1477="Enabled"))</f>
        <v>7</v>
      </c>
      <c r="K595" s="2" t="s">
        <v>8424</v>
      </c>
    </row>
    <row r="596" customFormat="false" ht="15" hidden="false" customHeight="false" outlineLevel="0" collapsed="false">
      <c r="A596" s="5" t="s">
        <v>269</v>
      </c>
      <c r="B596" s="2" t="s">
        <v>7813</v>
      </c>
      <c r="C596" s="5" t="s">
        <v>192</v>
      </c>
      <c r="D596" s="5" t="s">
        <v>8423</v>
      </c>
      <c r="E596" s="5" t="s">
        <v>8332</v>
      </c>
      <c r="F596" s="5" t="n">
        <f aca="false">SUMPRODUCT(EXACT('Rule-Event map'!$F$2:$F$1477,$A596)*EXACT('Rule-Event map'!$G$2:$G$1477,$B596))</f>
        <v>1</v>
      </c>
      <c r="G596" s="5" t="n">
        <f aca="false">SUMPRODUCT(EXACT('Rule-Event map'!$F$2:$F$1477,$A596)*EXACT('Rule-Event map'!$G$2:$G$1477,$B596)*('Rule-Event map'!$C$2:$C$1477="New ITDR (7.6.0)"))</f>
        <v>0</v>
      </c>
      <c r="H596" s="5" t="n">
        <f aca="false">SUMPRODUCT(EXACT('Rule-Event map'!$F$2:$F$1477,$A596)*EXACT('Rule-Event map'!$G$2:$G$1477,$B596)*('Rule-Event map'!$C$2:$C$1477="Existing, re-tagged ITDR"))</f>
        <v>0</v>
      </c>
      <c r="I596" s="5" t="n">
        <f aca="false">F596-G596-H596</f>
        <v>1</v>
      </c>
      <c r="J596" s="5" t="n">
        <f aca="false">SUMPRODUCT(EXACT('Rule-Event map'!$F$2:$F$1477,$A596)*EXACT('Rule-Event map'!$G$2:$G$1477,$B596)*('Rule-Event map'!$E$2:$E$1477="Enabled"))</f>
        <v>1</v>
      </c>
      <c r="K596" s="2" t="s">
        <v>3047</v>
      </c>
    </row>
    <row r="597" customFormat="false" ht="15" hidden="false" customHeight="false" outlineLevel="0" collapsed="false">
      <c r="A597" s="5" t="s">
        <v>269</v>
      </c>
      <c r="B597" s="2" t="s">
        <v>7816</v>
      </c>
      <c r="C597" s="5"/>
      <c r="D597" s="5"/>
      <c r="E597" s="5" t="s">
        <v>8336</v>
      </c>
      <c r="F597" s="5" t="n">
        <f aca="false">SUMPRODUCT(EXACT('Rule-Event map'!$F$2:$F$1477,$A597)*EXACT('Rule-Event map'!$G$2:$G$1477,$B597))</f>
        <v>1</v>
      </c>
      <c r="G597" s="5" t="n">
        <f aca="false">SUMPRODUCT(EXACT('Rule-Event map'!$F$2:$F$1477,$A597)*EXACT('Rule-Event map'!$G$2:$G$1477,$B597)*('Rule-Event map'!$C$2:$C$1477="New ITDR (7.6.0)"))</f>
        <v>0</v>
      </c>
      <c r="H597" s="5" t="n">
        <f aca="false">SUMPRODUCT(EXACT('Rule-Event map'!$F$2:$F$1477,$A597)*EXACT('Rule-Event map'!$G$2:$G$1477,$B597)*('Rule-Event map'!$C$2:$C$1477="Existing, re-tagged ITDR"))</f>
        <v>0</v>
      </c>
      <c r="I597" s="5" t="n">
        <f aca="false">F597-G597-H597</f>
        <v>1</v>
      </c>
      <c r="J597" s="5" t="n">
        <f aca="false">SUMPRODUCT(EXACT('Rule-Event map'!$F$2:$F$1477,$A597)*EXACT('Rule-Event map'!$G$2:$G$1477,$B597)*('Rule-Event map'!$E$2:$E$1477="Enabled"))</f>
        <v>1</v>
      </c>
      <c r="K597" s="2" t="s">
        <v>3090</v>
      </c>
    </row>
    <row r="598" customFormat="false" ht="15" hidden="false" customHeight="false" outlineLevel="0" collapsed="false">
      <c r="A598" s="5" t="s">
        <v>269</v>
      </c>
      <c r="B598" s="2" t="s">
        <v>7658</v>
      </c>
      <c r="C598" s="5" t="s">
        <v>192</v>
      </c>
      <c r="D598" s="5" t="s">
        <v>8423</v>
      </c>
      <c r="E598" s="5" t="s">
        <v>8332</v>
      </c>
      <c r="F598" s="5" t="n">
        <f aca="false">SUMPRODUCT(EXACT('Rule-Event map'!$F$2:$F$1477,$A598)*EXACT('Rule-Event map'!$G$2:$G$1477,$B598))</f>
        <v>2</v>
      </c>
      <c r="G598" s="5" t="n">
        <f aca="false">SUMPRODUCT(EXACT('Rule-Event map'!$F$2:$F$1477,$A598)*EXACT('Rule-Event map'!$G$2:$G$1477,$B598)*('Rule-Event map'!$C$2:$C$1477="New ITDR (7.6.0)"))</f>
        <v>1</v>
      </c>
      <c r="H598" s="5" t="n">
        <f aca="false">SUMPRODUCT(EXACT('Rule-Event map'!$F$2:$F$1477,$A598)*EXACT('Rule-Event map'!$G$2:$G$1477,$B598)*('Rule-Event map'!$C$2:$C$1477="Existing, re-tagged ITDR"))</f>
        <v>0</v>
      </c>
      <c r="I598" s="5" t="n">
        <f aca="false">F598-G598-H598</f>
        <v>1</v>
      </c>
      <c r="J598" s="5" t="n">
        <f aca="false">SUMPRODUCT(EXACT('Rule-Event map'!$F$2:$F$1477,$A598)*EXACT('Rule-Event map'!$G$2:$G$1477,$B598)*('Rule-Event map'!$E$2:$E$1477="Enabled"))</f>
        <v>2</v>
      </c>
      <c r="K598" s="2" t="s">
        <v>8425</v>
      </c>
    </row>
    <row r="599" customFormat="false" ht="35.05" hidden="false" customHeight="false" outlineLevel="0" collapsed="false">
      <c r="A599" s="5" t="s">
        <v>269</v>
      </c>
      <c r="B599" s="2" t="s">
        <v>7666</v>
      </c>
      <c r="C599" s="5" t="s">
        <v>192</v>
      </c>
      <c r="D599" s="5" t="s">
        <v>8423</v>
      </c>
      <c r="E599" s="5" t="s">
        <v>8332</v>
      </c>
      <c r="F599" s="5" t="n">
        <f aca="false">SUMPRODUCT(EXACT('Rule-Event map'!$F$2:$F$1477,$A599)*EXACT('Rule-Event map'!$G$2:$G$1477,$B599))</f>
        <v>5</v>
      </c>
      <c r="G599" s="5" t="n">
        <f aca="false">SUMPRODUCT(EXACT('Rule-Event map'!$F$2:$F$1477,$A599)*EXACT('Rule-Event map'!$G$2:$G$1477,$B599)*('Rule-Event map'!$C$2:$C$1477="New ITDR (7.6.0)"))</f>
        <v>1</v>
      </c>
      <c r="H599" s="5" t="n">
        <f aca="false">SUMPRODUCT(EXACT('Rule-Event map'!$F$2:$F$1477,$A599)*EXACT('Rule-Event map'!$G$2:$G$1477,$B599)*('Rule-Event map'!$C$2:$C$1477="Existing, re-tagged ITDR"))</f>
        <v>0</v>
      </c>
      <c r="I599" s="5" t="n">
        <f aca="false">F599-G599-H599</f>
        <v>4</v>
      </c>
      <c r="J599" s="5" t="n">
        <f aca="false">SUMPRODUCT(EXACT('Rule-Event map'!$F$2:$F$1477,$A599)*EXACT('Rule-Event map'!$G$2:$G$1477,$B599)*('Rule-Event map'!$E$2:$E$1477="Enabled"))</f>
        <v>5</v>
      </c>
      <c r="K599" s="2" t="s">
        <v>8426</v>
      </c>
    </row>
    <row r="600" customFormat="false" ht="15" hidden="false" customHeight="false" outlineLevel="0" collapsed="false">
      <c r="A600" s="5" t="s">
        <v>269</v>
      </c>
      <c r="B600" s="2" t="s">
        <v>7815</v>
      </c>
      <c r="C600" s="5"/>
      <c r="D600" s="5"/>
      <c r="E600" s="5" t="s">
        <v>8336</v>
      </c>
      <c r="F600" s="5" t="n">
        <f aca="false">SUMPRODUCT(EXACT('Rule-Event map'!$F$2:$F$1477,$A600)*EXACT('Rule-Event map'!$G$2:$G$1477,$B600))</f>
        <v>1</v>
      </c>
      <c r="G600" s="5" t="n">
        <f aca="false">SUMPRODUCT(EXACT('Rule-Event map'!$F$2:$F$1477,$A600)*EXACT('Rule-Event map'!$G$2:$G$1477,$B600)*('Rule-Event map'!$C$2:$C$1477="New ITDR (7.6.0)"))</f>
        <v>0</v>
      </c>
      <c r="H600" s="5" t="n">
        <f aca="false">SUMPRODUCT(EXACT('Rule-Event map'!$F$2:$F$1477,$A600)*EXACT('Rule-Event map'!$G$2:$G$1477,$B600)*('Rule-Event map'!$C$2:$C$1477="Existing, re-tagged ITDR"))</f>
        <v>0</v>
      </c>
      <c r="I600" s="5" t="n">
        <f aca="false">F600-G600-H600</f>
        <v>1</v>
      </c>
      <c r="J600" s="5" t="n">
        <f aca="false">SUMPRODUCT(EXACT('Rule-Event map'!$F$2:$F$1477,$A600)*EXACT('Rule-Event map'!$G$2:$G$1477,$B600)*('Rule-Event map'!$E$2:$E$1477="Enabled"))</f>
        <v>1</v>
      </c>
      <c r="K600" s="2" t="s">
        <v>3076</v>
      </c>
    </row>
    <row r="601" customFormat="false" ht="35.05" hidden="false" customHeight="false" outlineLevel="0" collapsed="false">
      <c r="A601" s="5" t="s">
        <v>269</v>
      </c>
      <c r="B601" s="2" t="s">
        <v>7626</v>
      </c>
      <c r="C601" s="5" t="s">
        <v>192</v>
      </c>
      <c r="D601" s="5" t="s">
        <v>8423</v>
      </c>
      <c r="E601" s="5" t="s">
        <v>8332</v>
      </c>
      <c r="F601" s="5" t="n">
        <f aca="false">SUMPRODUCT(EXACT('Rule-Event map'!$F$2:$F$1477,$A601)*EXACT('Rule-Event map'!$G$2:$G$1477,$B601))</f>
        <v>3</v>
      </c>
      <c r="G601" s="5" t="n">
        <f aca="false">SUMPRODUCT(EXACT('Rule-Event map'!$F$2:$F$1477,$A601)*EXACT('Rule-Event map'!$G$2:$G$1477,$B601)*('Rule-Event map'!$C$2:$C$1477="New ITDR (7.6.0)"))</f>
        <v>2</v>
      </c>
      <c r="H601" s="5" t="n">
        <f aca="false">SUMPRODUCT(EXACT('Rule-Event map'!$F$2:$F$1477,$A601)*EXACT('Rule-Event map'!$G$2:$G$1477,$B601)*('Rule-Event map'!$C$2:$C$1477="Existing, re-tagged ITDR"))</f>
        <v>1</v>
      </c>
      <c r="I601" s="5" t="n">
        <f aca="false">F601-G601-H601</f>
        <v>0</v>
      </c>
      <c r="J601" s="5" t="n">
        <f aca="false">SUMPRODUCT(EXACT('Rule-Event map'!$F$2:$F$1477,$A601)*EXACT('Rule-Event map'!$G$2:$G$1477,$B601)*('Rule-Event map'!$E$2:$E$1477="Enabled"))</f>
        <v>3</v>
      </c>
      <c r="K601" s="2" t="s">
        <v>8427</v>
      </c>
    </row>
    <row r="602" customFormat="false" ht="23.85" hidden="false" customHeight="false" outlineLevel="0" collapsed="false">
      <c r="A602" s="5" t="s">
        <v>269</v>
      </c>
      <c r="B602" s="2" t="s">
        <v>7660</v>
      </c>
      <c r="C602" s="5" t="s">
        <v>192</v>
      </c>
      <c r="D602" s="5" t="s">
        <v>8423</v>
      </c>
      <c r="E602" s="5" t="s">
        <v>8332</v>
      </c>
      <c r="F602" s="5" t="n">
        <f aca="false">SUMPRODUCT(EXACT('Rule-Event map'!$F$2:$F$1477,$A602)*EXACT('Rule-Event map'!$G$2:$G$1477,$B602))</f>
        <v>2</v>
      </c>
      <c r="G602" s="5" t="n">
        <f aca="false">SUMPRODUCT(EXACT('Rule-Event map'!$F$2:$F$1477,$A602)*EXACT('Rule-Event map'!$G$2:$G$1477,$B602)*('Rule-Event map'!$C$2:$C$1477="New ITDR (7.6.0)"))</f>
        <v>1</v>
      </c>
      <c r="H602" s="5" t="n">
        <f aca="false">SUMPRODUCT(EXACT('Rule-Event map'!$F$2:$F$1477,$A602)*EXACT('Rule-Event map'!$G$2:$G$1477,$B602)*('Rule-Event map'!$C$2:$C$1477="Existing, re-tagged ITDR"))</f>
        <v>0</v>
      </c>
      <c r="I602" s="5" t="n">
        <f aca="false">F602-G602-H602</f>
        <v>1</v>
      </c>
      <c r="J602" s="5" t="n">
        <f aca="false">SUMPRODUCT(EXACT('Rule-Event map'!$F$2:$F$1477,$A602)*EXACT('Rule-Event map'!$G$2:$G$1477,$B602)*('Rule-Event map'!$E$2:$E$1477="Enabled"))</f>
        <v>2</v>
      </c>
      <c r="K602" s="2" t="s">
        <v>8428</v>
      </c>
    </row>
    <row r="603" customFormat="false" ht="15" hidden="false" customHeight="false" outlineLevel="0" collapsed="false">
      <c r="A603" s="5" t="s">
        <v>269</v>
      </c>
      <c r="B603" s="2" t="s">
        <v>7821</v>
      </c>
      <c r="C603" s="5"/>
      <c r="D603" s="5"/>
      <c r="E603" s="5" t="s">
        <v>8336</v>
      </c>
      <c r="F603" s="5" t="n">
        <f aca="false">SUMPRODUCT(EXACT('Rule-Event map'!$F$2:$F$1477,$A603)*EXACT('Rule-Event map'!$G$2:$G$1477,$B603))</f>
        <v>1</v>
      </c>
      <c r="G603" s="5" t="n">
        <f aca="false">SUMPRODUCT(EXACT('Rule-Event map'!$F$2:$F$1477,$A603)*EXACT('Rule-Event map'!$G$2:$G$1477,$B603)*('Rule-Event map'!$C$2:$C$1477="New ITDR (7.6.0)"))</f>
        <v>0</v>
      </c>
      <c r="H603" s="5" t="n">
        <f aca="false">SUMPRODUCT(EXACT('Rule-Event map'!$F$2:$F$1477,$A603)*EXACT('Rule-Event map'!$G$2:$G$1477,$B603)*('Rule-Event map'!$C$2:$C$1477="Existing, re-tagged ITDR"))</f>
        <v>0</v>
      </c>
      <c r="I603" s="5" t="n">
        <f aca="false">F603-G603-H603</f>
        <v>1</v>
      </c>
      <c r="J603" s="5" t="n">
        <f aca="false">SUMPRODUCT(EXACT('Rule-Event map'!$F$2:$F$1477,$A603)*EXACT('Rule-Event map'!$G$2:$G$1477,$B603)*('Rule-Event map'!$E$2:$E$1477="Enabled"))</f>
        <v>1</v>
      </c>
      <c r="K603" s="2" t="s">
        <v>3116</v>
      </c>
    </row>
    <row r="604" customFormat="false" ht="23.85" hidden="false" customHeight="false" outlineLevel="0" collapsed="false">
      <c r="A604" s="5" t="s">
        <v>269</v>
      </c>
      <c r="B604" s="2" t="s">
        <v>7628</v>
      </c>
      <c r="C604" s="5" t="s">
        <v>192</v>
      </c>
      <c r="D604" s="5" t="s">
        <v>8423</v>
      </c>
      <c r="E604" s="5" t="s">
        <v>8332</v>
      </c>
      <c r="F604" s="5" t="n">
        <f aca="false">SUMPRODUCT(EXACT('Rule-Event map'!$F$2:$F$1477,$A604)*EXACT('Rule-Event map'!$G$2:$G$1477,$B604))</f>
        <v>3</v>
      </c>
      <c r="G604" s="5" t="n">
        <f aca="false">SUMPRODUCT(EXACT('Rule-Event map'!$F$2:$F$1477,$A604)*EXACT('Rule-Event map'!$G$2:$G$1477,$B604)*('Rule-Event map'!$C$2:$C$1477="New ITDR (7.6.0)"))</f>
        <v>2</v>
      </c>
      <c r="H604" s="5" t="n">
        <f aca="false">SUMPRODUCT(EXACT('Rule-Event map'!$F$2:$F$1477,$A604)*EXACT('Rule-Event map'!$G$2:$G$1477,$B604)*('Rule-Event map'!$C$2:$C$1477="Existing, re-tagged ITDR"))</f>
        <v>1</v>
      </c>
      <c r="I604" s="5" t="n">
        <f aca="false">F604-G604-H604</f>
        <v>0</v>
      </c>
      <c r="J604" s="5" t="n">
        <f aca="false">SUMPRODUCT(EXACT('Rule-Event map'!$F$2:$F$1477,$A604)*EXACT('Rule-Event map'!$G$2:$G$1477,$B604)*('Rule-Event map'!$E$2:$E$1477="Enabled"))</f>
        <v>3</v>
      </c>
      <c r="K604" s="2" t="s">
        <v>8429</v>
      </c>
    </row>
    <row r="605" customFormat="false" ht="15" hidden="false" customHeight="false" outlineLevel="0" collapsed="false">
      <c r="A605" s="5" t="s">
        <v>269</v>
      </c>
      <c r="B605" s="2" t="s">
        <v>7662</v>
      </c>
      <c r="C605" s="5" t="s">
        <v>192</v>
      </c>
      <c r="D605" s="5" t="s">
        <v>8423</v>
      </c>
      <c r="E605" s="5" t="s">
        <v>8332</v>
      </c>
      <c r="F605" s="5" t="n">
        <f aca="false">SUMPRODUCT(EXACT('Rule-Event map'!$F$2:$F$1477,$A605)*EXACT('Rule-Event map'!$G$2:$G$1477,$B605))</f>
        <v>1</v>
      </c>
      <c r="G605" s="5" t="n">
        <f aca="false">SUMPRODUCT(EXACT('Rule-Event map'!$F$2:$F$1477,$A605)*EXACT('Rule-Event map'!$G$2:$G$1477,$B605)*('Rule-Event map'!$C$2:$C$1477="New ITDR (7.6.0)"))</f>
        <v>1</v>
      </c>
      <c r="H605" s="5" t="n">
        <f aca="false">SUMPRODUCT(EXACT('Rule-Event map'!$F$2:$F$1477,$A605)*EXACT('Rule-Event map'!$G$2:$G$1477,$B605)*('Rule-Event map'!$C$2:$C$1477="Existing, re-tagged ITDR"))</f>
        <v>0</v>
      </c>
      <c r="I605" s="5" t="n">
        <f aca="false">F605-G605-H605</f>
        <v>0</v>
      </c>
      <c r="J605" s="5" t="n">
        <f aca="false">SUMPRODUCT(EXACT('Rule-Event map'!$F$2:$F$1477,$A605)*EXACT('Rule-Event map'!$G$2:$G$1477,$B605)*('Rule-Event map'!$E$2:$E$1477="Enabled"))</f>
        <v>1</v>
      </c>
      <c r="K605" s="2" t="s">
        <v>376</v>
      </c>
    </row>
    <row r="606" customFormat="false" ht="35.05" hidden="false" customHeight="false" outlineLevel="0" collapsed="false">
      <c r="A606" s="5" t="s">
        <v>269</v>
      </c>
      <c r="B606" s="2" t="s">
        <v>7724</v>
      </c>
      <c r="C606" s="5" t="s">
        <v>192</v>
      </c>
      <c r="D606" s="5" t="s">
        <v>8423</v>
      </c>
      <c r="E606" s="5" t="s">
        <v>8332</v>
      </c>
      <c r="F606" s="5" t="n">
        <f aca="false">SUMPRODUCT(EXACT('Rule-Event map'!$F$2:$F$1477,$A606)*EXACT('Rule-Event map'!$G$2:$G$1477,$B606))</f>
        <v>4</v>
      </c>
      <c r="G606" s="5" t="n">
        <f aca="false">SUMPRODUCT(EXACT('Rule-Event map'!$F$2:$F$1477,$A606)*EXACT('Rule-Event map'!$G$2:$G$1477,$B606)*('Rule-Event map'!$C$2:$C$1477="New ITDR (7.6.0)"))</f>
        <v>0</v>
      </c>
      <c r="H606" s="5" t="n">
        <f aca="false">SUMPRODUCT(EXACT('Rule-Event map'!$F$2:$F$1477,$A606)*EXACT('Rule-Event map'!$G$2:$G$1477,$B606)*('Rule-Event map'!$C$2:$C$1477="Existing, re-tagged ITDR"))</f>
        <v>2</v>
      </c>
      <c r="I606" s="5" t="n">
        <f aca="false">F606-G606-H606</f>
        <v>2</v>
      </c>
      <c r="J606" s="5" t="n">
        <f aca="false">SUMPRODUCT(EXACT('Rule-Event map'!$F$2:$F$1477,$A606)*EXACT('Rule-Event map'!$G$2:$G$1477,$B606)*('Rule-Event map'!$E$2:$E$1477="Enabled"))</f>
        <v>4</v>
      </c>
      <c r="K606" s="2" t="s">
        <v>8430</v>
      </c>
    </row>
    <row r="607" customFormat="false" ht="15" hidden="false" customHeight="false" outlineLevel="0" collapsed="false">
      <c r="A607" s="5" t="s">
        <v>269</v>
      </c>
      <c r="B607" s="2" t="s">
        <v>7725</v>
      </c>
      <c r="C607" s="5"/>
      <c r="D607" s="5"/>
      <c r="E607" s="5" t="s">
        <v>8336</v>
      </c>
      <c r="F607" s="5" t="n">
        <f aca="false">SUMPRODUCT(EXACT('Rule-Event map'!$F$2:$F$1477,$A607)*EXACT('Rule-Event map'!$G$2:$G$1477,$B607))</f>
        <v>1</v>
      </c>
      <c r="G607" s="5" t="n">
        <f aca="false">SUMPRODUCT(EXACT('Rule-Event map'!$F$2:$F$1477,$A607)*EXACT('Rule-Event map'!$G$2:$G$1477,$B607)*('Rule-Event map'!$C$2:$C$1477="New ITDR (7.6.0)"))</f>
        <v>0</v>
      </c>
      <c r="H607" s="5" t="n">
        <f aca="false">SUMPRODUCT(EXACT('Rule-Event map'!$F$2:$F$1477,$A607)*EXACT('Rule-Event map'!$G$2:$G$1477,$B607)*('Rule-Event map'!$C$2:$C$1477="Existing, re-tagged ITDR"))</f>
        <v>1</v>
      </c>
      <c r="I607" s="5" t="n">
        <f aca="false">F607-G607-H607</f>
        <v>0</v>
      </c>
      <c r="J607" s="5" t="n">
        <f aca="false">SUMPRODUCT(EXACT('Rule-Event map'!$F$2:$F$1477,$A607)*EXACT('Rule-Event map'!$G$2:$G$1477,$B607)*('Rule-Event map'!$E$2:$E$1477="Enabled"))</f>
        <v>1</v>
      </c>
      <c r="K607" s="2" t="s">
        <v>1131</v>
      </c>
    </row>
    <row r="608" customFormat="false" ht="15" hidden="false" customHeight="false" outlineLevel="0" collapsed="false">
      <c r="A608" s="5" t="s">
        <v>269</v>
      </c>
      <c r="B608" s="2" t="s">
        <v>7752</v>
      </c>
      <c r="C608" s="5"/>
      <c r="D608" s="5"/>
      <c r="E608" s="5" t="s">
        <v>8336</v>
      </c>
      <c r="F608" s="5" t="n">
        <f aca="false">SUMPRODUCT(EXACT('Rule-Event map'!$F$2:$F$1477,$A608)*EXACT('Rule-Event map'!$G$2:$G$1477,$B608))</f>
        <v>1</v>
      </c>
      <c r="G608" s="5" t="n">
        <f aca="false">SUMPRODUCT(EXACT('Rule-Event map'!$F$2:$F$1477,$A608)*EXACT('Rule-Event map'!$G$2:$G$1477,$B608)*('Rule-Event map'!$C$2:$C$1477="New ITDR (7.6.0)"))</f>
        <v>0</v>
      </c>
      <c r="H608" s="5" t="n">
        <f aca="false">SUMPRODUCT(EXACT('Rule-Event map'!$F$2:$F$1477,$A608)*EXACT('Rule-Event map'!$G$2:$G$1477,$B608)*('Rule-Event map'!$C$2:$C$1477="Existing, re-tagged ITDR"))</f>
        <v>1</v>
      </c>
      <c r="I608" s="5" t="n">
        <f aca="false">F608-G608-H608</f>
        <v>0</v>
      </c>
      <c r="J608" s="5" t="n">
        <f aca="false">SUMPRODUCT(EXACT('Rule-Event map'!$F$2:$F$1477,$A608)*EXACT('Rule-Event map'!$G$2:$G$1477,$B608)*('Rule-Event map'!$E$2:$E$1477="Enabled"))</f>
        <v>1</v>
      </c>
      <c r="K608" s="2" t="s">
        <v>1602</v>
      </c>
    </row>
    <row r="609" customFormat="false" ht="15" hidden="false" customHeight="false" outlineLevel="0" collapsed="false">
      <c r="A609" s="5" t="s">
        <v>269</v>
      </c>
      <c r="B609" s="2" t="s">
        <v>7727</v>
      </c>
      <c r="C609" s="5"/>
      <c r="D609" s="5"/>
      <c r="E609" s="5" t="s">
        <v>8336</v>
      </c>
      <c r="F609" s="5" t="n">
        <f aca="false">SUMPRODUCT(EXACT('Rule-Event map'!$F$2:$F$1477,$A609)*EXACT('Rule-Event map'!$G$2:$G$1477,$B609))</f>
        <v>1</v>
      </c>
      <c r="G609" s="5" t="n">
        <f aca="false">SUMPRODUCT(EXACT('Rule-Event map'!$F$2:$F$1477,$A609)*EXACT('Rule-Event map'!$G$2:$G$1477,$B609)*('Rule-Event map'!$C$2:$C$1477="New ITDR (7.6.0)"))</f>
        <v>0</v>
      </c>
      <c r="H609" s="5" t="n">
        <f aca="false">SUMPRODUCT(EXACT('Rule-Event map'!$F$2:$F$1477,$A609)*EXACT('Rule-Event map'!$G$2:$G$1477,$B609)*('Rule-Event map'!$C$2:$C$1477="Existing, re-tagged ITDR"))</f>
        <v>1</v>
      </c>
      <c r="I609" s="5" t="n">
        <f aca="false">F609-G609-H609</f>
        <v>0</v>
      </c>
      <c r="J609" s="5" t="n">
        <f aca="false">SUMPRODUCT(EXACT('Rule-Event map'!$F$2:$F$1477,$A609)*EXACT('Rule-Event map'!$G$2:$G$1477,$B609)*('Rule-Event map'!$E$2:$E$1477="Enabled"))</f>
        <v>1</v>
      </c>
      <c r="K609" s="2" t="s">
        <v>1131</v>
      </c>
    </row>
    <row r="610" customFormat="false" ht="23.85" hidden="false" customHeight="false" outlineLevel="0" collapsed="false">
      <c r="A610" s="5" t="s">
        <v>269</v>
      </c>
      <c r="B610" s="2" t="s">
        <v>7629</v>
      </c>
      <c r="C610" s="5" t="s">
        <v>192</v>
      </c>
      <c r="D610" s="5" t="s">
        <v>8423</v>
      </c>
      <c r="E610" s="5" t="s">
        <v>8332</v>
      </c>
      <c r="F610" s="5" t="n">
        <f aca="false">SUMPRODUCT(EXACT('Rule-Event map'!$F$2:$F$1477,$A610)*EXACT('Rule-Event map'!$G$2:$G$1477,$B610))</f>
        <v>2</v>
      </c>
      <c r="G610" s="5" t="n">
        <f aca="false">SUMPRODUCT(EXACT('Rule-Event map'!$F$2:$F$1477,$A610)*EXACT('Rule-Event map'!$G$2:$G$1477,$B610)*('Rule-Event map'!$C$2:$C$1477="New ITDR (7.6.0)"))</f>
        <v>2</v>
      </c>
      <c r="H610" s="5" t="n">
        <f aca="false">SUMPRODUCT(EXACT('Rule-Event map'!$F$2:$F$1477,$A610)*EXACT('Rule-Event map'!$G$2:$G$1477,$B610)*('Rule-Event map'!$C$2:$C$1477="Existing, re-tagged ITDR"))</f>
        <v>0</v>
      </c>
      <c r="I610" s="5" t="n">
        <f aca="false">F610-G610-H610</f>
        <v>0</v>
      </c>
      <c r="J610" s="5" t="n">
        <f aca="false">SUMPRODUCT(EXACT('Rule-Event map'!$F$2:$F$1477,$A610)*EXACT('Rule-Event map'!$G$2:$G$1477,$B610)*('Rule-Event map'!$E$2:$E$1477="Enabled"))</f>
        <v>2</v>
      </c>
      <c r="K610" s="2" t="s">
        <v>8431</v>
      </c>
    </row>
    <row r="611" customFormat="false" ht="15" hidden="false" customHeight="false" outlineLevel="0" collapsed="false">
      <c r="A611" s="5" t="s">
        <v>269</v>
      </c>
      <c r="B611" s="2" t="s">
        <v>7664</v>
      </c>
      <c r="C611" s="5" t="s">
        <v>192</v>
      </c>
      <c r="D611" s="5" t="s">
        <v>8423</v>
      </c>
      <c r="E611" s="5" t="s">
        <v>8332</v>
      </c>
      <c r="F611" s="5" t="n">
        <f aca="false">SUMPRODUCT(EXACT('Rule-Event map'!$F$2:$F$1477,$A611)*EXACT('Rule-Event map'!$G$2:$G$1477,$B611))</f>
        <v>1</v>
      </c>
      <c r="G611" s="5" t="n">
        <f aca="false">SUMPRODUCT(EXACT('Rule-Event map'!$F$2:$F$1477,$A611)*EXACT('Rule-Event map'!$G$2:$G$1477,$B611)*('Rule-Event map'!$C$2:$C$1477="New ITDR (7.6.0)"))</f>
        <v>1</v>
      </c>
      <c r="H611" s="5" t="n">
        <f aca="false">SUMPRODUCT(EXACT('Rule-Event map'!$F$2:$F$1477,$A611)*EXACT('Rule-Event map'!$G$2:$G$1477,$B611)*('Rule-Event map'!$C$2:$C$1477="Existing, re-tagged ITDR"))</f>
        <v>0</v>
      </c>
      <c r="I611" s="5" t="n">
        <f aca="false">F611-G611-H611</f>
        <v>0</v>
      </c>
      <c r="J611" s="5" t="n">
        <f aca="false">SUMPRODUCT(EXACT('Rule-Event map'!$F$2:$F$1477,$A611)*EXACT('Rule-Event map'!$G$2:$G$1477,$B611)*('Rule-Event map'!$E$2:$E$1477="Enabled"))</f>
        <v>1</v>
      </c>
      <c r="K611" s="2" t="s">
        <v>376</v>
      </c>
    </row>
    <row r="612" customFormat="false" ht="15" hidden="false" customHeight="false" outlineLevel="0" collapsed="false">
      <c r="A612" s="5" t="s">
        <v>269</v>
      </c>
      <c r="B612" s="2" t="s">
        <v>7729</v>
      </c>
      <c r="C612" s="5"/>
      <c r="D612" s="5"/>
      <c r="E612" s="5" t="s">
        <v>8336</v>
      </c>
      <c r="F612" s="5" t="n">
        <f aca="false">SUMPRODUCT(EXACT('Rule-Event map'!$F$2:$F$1477,$A612)*EXACT('Rule-Event map'!$G$2:$G$1477,$B612))</f>
        <v>1</v>
      </c>
      <c r="G612" s="5" t="n">
        <f aca="false">SUMPRODUCT(EXACT('Rule-Event map'!$F$2:$F$1477,$A612)*EXACT('Rule-Event map'!$G$2:$G$1477,$B612)*('Rule-Event map'!$C$2:$C$1477="New ITDR (7.6.0)"))</f>
        <v>0</v>
      </c>
      <c r="H612" s="5" t="n">
        <f aca="false">SUMPRODUCT(EXACT('Rule-Event map'!$F$2:$F$1477,$A612)*EXACT('Rule-Event map'!$G$2:$G$1477,$B612)*('Rule-Event map'!$C$2:$C$1477="Existing, re-tagged ITDR"))</f>
        <v>1</v>
      </c>
      <c r="I612" s="5" t="n">
        <f aca="false">F612-G612-H612</f>
        <v>0</v>
      </c>
      <c r="J612" s="5" t="n">
        <f aca="false">SUMPRODUCT(EXACT('Rule-Event map'!$F$2:$F$1477,$A612)*EXACT('Rule-Event map'!$G$2:$G$1477,$B612)*('Rule-Event map'!$E$2:$E$1477="Enabled"))</f>
        <v>1</v>
      </c>
      <c r="K612" s="2" t="s">
        <v>1143</v>
      </c>
    </row>
    <row r="613" customFormat="false" ht="15" hidden="false" customHeight="false" outlineLevel="0" collapsed="false">
      <c r="A613" s="5" t="s">
        <v>269</v>
      </c>
      <c r="B613" s="2" t="s">
        <v>7731</v>
      </c>
      <c r="C613" s="5"/>
      <c r="D613" s="5"/>
      <c r="E613" s="5" t="s">
        <v>8336</v>
      </c>
      <c r="F613" s="5" t="n">
        <f aca="false">SUMPRODUCT(EXACT('Rule-Event map'!$F$2:$F$1477,$A613)*EXACT('Rule-Event map'!$G$2:$G$1477,$B613))</f>
        <v>1</v>
      </c>
      <c r="G613" s="5" t="n">
        <f aca="false">SUMPRODUCT(EXACT('Rule-Event map'!$F$2:$F$1477,$A613)*EXACT('Rule-Event map'!$G$2:$G$1477,$B613)*('Rule-Event map'!$C$2:$C$1477="New ITDR (7.6.0)"))</f>
        <v>0</v>
      </c>
      <c r="H613" s="5" t="n">
        <f aca="false">SUMPRODUCT(EXACT('Rule-Event map'!$F$2:$F$1477,$A613)*EXACT('Rule-Event map'!$G$2:$G$1477,$B613)*('Rule-Event map'!$C$2:$C$1477="Existing, re-tagged ITDR"))</f>
        <v>1</v>
      </c>
      <c r="I613" s="5" t="n">
        <f aca="false">F613-G613-H613</f>
        <v>0</v>
      </c>
      <c r="J613" s="5" t="n">
        <f aca="false">SUMPRODUCT(EXACT('Rule-Event map'!$F$2:$F$1477,$A613)*EXACT('Rule-Event map'!$G$2:$G$1477,$B613)*('Rule-Event map'!$E$2:$E$1477="Enabled"))</f>
        <v>1</v>
      </c>
      <c r="K613" s="2" t="s">
        <v>1143</v>
      </c>
    </row>
    <row r="614" customFormat="false" ht="15" hidden="false" customHeight="false" outlineLevel="0" collapsed="false">
      <c r="A614" s="5" t="s">
        <v>269</v>
      </c>
      <c r="B614" s="2" t="s">
        <v>7797</v>
      </c>
      <c r="C614" s="5"/>
      <c r="D614" s="5"/>
      <c r="E614" s="5" t="s">
        <v>8336</v>
      </c>
      <c r="F614" s="5" t="n">
        <f aca="false">SUMPRODUCT(EXACT('Rule-Event map'!$F$2:$F$1477,$A614)*EXACT('Rule-Event map'!$G$2:$G$1477,$B614))</f>
        <v>1</v>
      </c>
      <c r="G614" s="5" t="n">
        <f aca="false">SUMPRODUCT(EXACT('Rule-Event map'!$F$2:$F$1477,$A614)*EXACT('Rule-Event map'!$G$2:$G$1477,$B614)*('Rule-Event map'!$C$2:$C$1477="New ITDR (7.6.0)"))</f>
        <v>0</v>
      </c>
      <c r="H614" s="5" t="n">
        <f aca="false">SUMPRODUCT(EXACT('Rule-Event map'!$F$2:$F$1477,$A614)*EXACT('Rule-Event map'!$G$2:$G$1477,$B614)*('Rule-Event map'!$C$2:$C$1477="Existing, re-tagged ITDR"))</f>
        <v>0</v>
      </c>
      <c r="I614" s="5" t="n">
        <f aca="false">F614-G614-H614</f>
        <v>1</v>
      </c>
      <c r="J614" s="5" t="n">
        <f aca="false">SUMPRODUCT(EXACT('Rule-Event map'!$F$2:$F$1477,$A614)*EXACT('Rule-Event map'!$G$2:$G$1477,$B614)*('Rule-Event map'!$E$2:$E$1477="Enabled"))</f>
        <v>1</v>
      </c>
      <c r="K614" s="2" t="s">
        <v>2918</v>
      </c>
    </row>
    <row r="615" customFormat="false" ht="23.85" hidden="false" customHeight="false" outlineLevel="0" collapsed="false">
      <c r="A615" s="5" t="s">
        <v>269</v>
      </c>
      <c r="B615" s="2" t="s">
        <v>7740</v>
      </c>
      <c r="C615" s="5" t="s">
        <v>346</v>
      </c>
      <c r="D615" s="5" t="s">
        <v>8432</v>
      </c>
      <c r="E615" s="5" t="s">
        <v>8332</v>
      </c>
      <c r="F615" s="5" t="n">
        <f aca="false">SUMPRODUCT(EXACT('Rule-Event map'!$F$2:$F$1477,$A615)*EXACT('Rule-Event map'!$G$2:$G$1477,$B615))</f>
        <v>3</v>
      </c>
      <c r="G615" s="5" t="n">
        <f aca="false">SUMPRODUCT(EXACT('Rule-Event map'!$F$2:$F$1477,$A615)*EXACT('Rule-Event map'!$G$2:$G$1477,$B615)*('Rule-Event map'!$C$2:$C$1477="New ITDR (7.6.0)"))</f>
        <v>0</v>
      </c>
      <c r="H615" s="5" t="n">
        <f aca="false">SUMPRODUCT(EXACT('Rule-Event map'!$F$2:$F$1477,$A615)*EXACT('Rule-Event map'!$G$2:$G$1477,$B615)*('Rule-Event map'!$C$2:$C$1477="Existing, re-tagged ITDR"))</f>
        <v>2</v>
      </c>
      <c r="I615" s="5" t="n">
        <f aca="false">F615-G615-H615</f>
        <v>1</v>
      </c>
      <c r="J615" s="5" t="n">
        <f aca="false">SUMPRODUCT(EXACT('Rule-Event map'!$F$2:$F$1477,$A615)*EXACT('Rule-Event map'!$G$2:$G$1477,$B615)*('Rule-Event map'!$E$2:$E$1477="Enabled"))</f>
        <v>2</v>
      </c>
      <c r="K615" s="2" t="s">
        <v>8433</v>
      </c>
    </row>
    <row r="616" customFormat="false" ht="35.05" hidden="false" customHeight="false" outlineLevel="0" collapsed="false">
      <c r="A616" s="5" t="s">
        <v>269</v>
      </c>
      <c r="B616" s="2" t="s">
        <v>7657</v>
      </c>
      <c r="C616" s="5" t="s">
        <v>346</v>
      </c>
      <c r="D616" s="5" t="s">
        <v>8432</v>
      </c>
      <c r="E616" s="5" t="s">
        <v>8332</v>
      </c>
      <c r="F616" s="5" t="n">
        <f aca="false">SUMPRODUCT(EXACT('Rule-Event map'!$F$2:$F$1477,$A616)*EXACT('Rule-Event map'!$G$2:$G$1477,$B616))</f>
        <v>4</v>
      </c>
      <c r="G616" s="5" t="n">
        <f aca="false">SUMPRODUCT(EXACT('Rule-Event map'!$F$2:$F$1477,$A616)*EXACT('Rule-Event map'!$G$2:$G$1477,$B616)*('Rule-Event map'!$C$2:$C$1477="New ITDR (7.6.0)"))</f>
        <v>1</v>
      </c>
      <c r="H616" s="5" t="n">
        <f aca="false">SUMPRODUCT(EXACT('Rule-Event map'!$F$2:$F$1477,$A616)*EXACT('Rule-Event map'!$G$2:$G$1477,$B616)*('Rule-Event map'!$C$2:$C$1477="Existing, re-tagged ITDR"))</f>
        <v>2</v>
      </c>
      <c r="I616" s="5" t="n">
        <f aca="false">F616-G616-H616</f>
        <v>1</v>
      </c>
      <c r="J616" s="5" t="n">
        <f aca="false">SUMPRODUCT(EXACT('Rule-Event map'!$F$2:$F$1477,$A616)*EXACT('Rule-Event map'!$G$2:$G$1477,$B616)*('Rule-Event map'!$E$2:$E$1477="Enabled"))</f>
        <v>4</v>
      </c>
      <c r="K616" s="2" t="s">
        <v>8434</v>
      </c>
    </row>
    <row r="617" customFormat="false" ht="15" hidden="false" customHeight="false" outlineLevel="0" collapsed="false">
      <c r="A617" s="5" t="s">
        <v>269</v>
      </c>
      <c r="B617" s="2" t="s">
        <v>7743</v>
      </c>
      <c r="C617" s="5" t="s">
        <v>346</v>
      </c>
      <c r="D617" s="5" t="s">
        <v>8432</v>
      </c>
      <c r="E617" s="5" t="s">
        <v>8332</v>
      </c>
      <c r="F617" s="5" t="n">
        <f aca="false">SUMPRODUCT(EXACT('Rule-Event map'!$F$2:$F$1477,$A617)*EXACT('Rule-Event map'!$G$2:$G$1477,$B617))</f>
        <v>1</v>
      </c>
      <c r="G617" s="5" t="n">
        <f aca="false">SUMPRODUCT(EXACT('Rule-Event map'!$F$2:$F$1477,$A617)*EXACT('Rule-Event map'!$G$2:$G$1477,$B617)*('Rule-Event map'!$C$2:$C$1477="New ITDR (7.6.0)"))</f>
        <v>0</v>
      </c>
      <c r="H617" s="5" t="n">
        <f aca="false">SUMPRODUCT(EXACT('Rule-Event map'!$F$2:$F$1477,$A617)*EXACT('Rule-Event map'!$G$2:$G$1477,$B617)*('Rule-Event map'!$C$2:$C$1477="Existing, re-tagged ITDR"))</f>
        <v>1</v>
      </c>
      <c r="I617" s="5" t="n">
        <f aca="false">F617-G617-H617</f>
        <v>0</v>
      </c>
      <c r="J617" s="5" t="n">
        <f aca="false">SUMPRODUCT(EXACT('Rule-Event map'!$F$2:$F$1477,$A617)*EXACT('Rule-Event map'!$G$2:$G$1477,$B617)*('Rule-Event map'!$E$2:$E$1477="Enabled"))</f>
        <v>1</v>
      </c>
      <c r="K617" s="2" t="s">
        <v>1436</v>
      </c>
    </row>
    <row r="618" customFormat="false" ht="23.85" hidden="false" customHeight="false" outlineLevel="0" collapsed="false">
      <c r="A618" s="5" t="s">
        <v>269</v>
      </c>
      <c r="B618" s="2" t="s">
        <v>7825</v>
      </c>
      <c r="C618" s="5"/>
      <c r="D618" s="5"/>
      <c r="E618" s="5" t="s">
        <v>8336</v>
      </c>
      <c r="F618" s="5" t="n">
        <f aca="false">SUMPRODUCT(EXACT('Rule-Event map'!$F$2:$F$1477,$A618)*EXACT('Rule-Event map'!$G$2:$G$1477,$B618))</f>
        <v>3</v>
      </c>
      <c r="G618" s="5" t="n">
        <f aca="false">SUMPRODUCT(EXACT('Rule-Event map'!$F$2:$F$1477,$A618)*EXACT('Rule-Event map'!$G$2:$G$1477,$B618)*('Rule-Event map'!$C$2:$C$1477="New ITDR (7.6.0)"))</f>
        <v>0</v>
      </c>
      <c r="H618" s="5" t="n">
        <f aca="false">SUMPRODUCT(EXACT('Rule-Event map'!$F$2:$F$1477,$A618)*EXACT('Rule-Event map'!$G$2:$G$1477,$B618)*('Rule-Event map'!$C$2:$C$1477="Existing, re-tagged ITDR"))</f>
        <v>0</v>
      </c>
      <c r="I618" s="5" t="n">
        <f aca="false">F618-G618-H618</f>
        <v>3</v>
      </c>
      <c r="J618" s="5" t="n">
        <f aca="false">SUMPRODUCT(EXACT('Rule-Event map'!$F$2:$F$1477,$A618)*EXACT('Rule-Event map'!$G$2:$G$1477,$B618)*('Rule-Event map'!$E$2:$E$1477="Enabled"))</f>
        <v>2</v>
      </c>
      <c r="K618" s="2" t="s">
        <v>8435</v>
      </c>
    </row>
    <row r="619" customFormat="false" ht="23.85" hidden="false" customHeight="false" outlineLevel="0" collapsed="false">
      <c r="A619" s="5" t="s">
        <v>269</v>
      </c>
      <c r="B619" s="2" t="s">
        <v>7814</v>
      </c>
      <c r="C619" s="5"/>
      <c r="D619" s="5"/>
      <c r="E619" s="5" t="s">
        <v>8336</v>
      </c>
      <c r="F619" s="5" t="n">
        <f aca="false">SUMPRODUCT(EXACT('Rule-Event map'!$F$2:$F$1477,$A619)*EXACT('Rule-Event map'!$G$2:$G$1477,$B619))</f>
        <v>2</v>
      </c>
      <c r="G619" s="5" t="n">
        <f aca="false">SUMPRODUCT(EXACT('Rule-Event map'!$F$2:$F$1477,$A619)*EXACT('Rule-Event map'!$G$2:$G$1477,$B619)*('Rule-Event map'!$C$2:$C$1477="New ITDR (7.6.0)"))</f>
        <v>0</v>
      </c>
      <c r="H619" s="5" t="n">
        <f aca="false">SUMPRODUCT(EXACT('Rule-Event map'!$F$2:$F$1477,$A619)*EXACT('Rule-Event map'!$G$2:$G$1477,$B619)*('Rule-Event map'!$C$2:$C$1477="Existing, re-tagged ITDR"))</f>
        <v>0</v>
      </c>
      <c r="I619" s="5" t="n">
        <f aca="false">F619-G619-H619</f>
        <v>2</v>
      </c>
      <c r="J619" s="5" t="n">
        <f aca="false">SUMPRODUCT(EXACT('Rule-Event map'!$F$2:$F$1477,$A619)*EXACT('Rule-Event map'!$G$2:$G$1477,$B619)*('Rule-Event map'!$E$2:$E$1477="Enabled"))</f>
        <v>2</v>
      </c>
      <c r="K619" s="2" t="s">
        <v>8436</v>
      </c>
    </row>
    <row r="620" customFormat="false" ht="15" hidden="false" customHeight="false" outlineLevel="0" collapsed="false">
      <c r="A620" s="5" t="s">
        <v>269</v>
      </c>
      <c r="B620" s="2" t="s">
        <v>7751</v>
      </c>
      <c r="C620" s="5"/>
      <c r="D620" s="5"/>
      <c r="E620" s="5" t="s">
        <v>8336</v>
      </c>
      <c r="F620" s="5" t="n">
        <f aca="false">SUMPRODUCT(EXACT('Rule-Event map'!$F$2:$F$1477,$A620)*EXACT('Rule-Event map'!$G$2:$G$1477,$B620))</f>
        <v>1</v>
      </c>
      <c r="G620" s="5" t="n">
        <f aca="false">SUMPRODUCT(EXACT('Rule-Event map'!$F$2:$F$1477,$A620)*EXACT('Rule-Event map'!$G$2:$G$1477,$B620)*('Rule-Event map'!$C$2:$C$1477="New ITDR (7.6.0)"))</f>
        <v>0</v>
      </c>
      <c r="H620" s="5" t="n">
        <f aca="false">SUMPRODUCT(EXACT('Rule-Event map'!$F$2:$F$1477,$A620)*EXACT('Rule-Event map'!$G$2:$G$1477,$B620)*('Rule-Event map'!$C$2:$C$1477="Existing, re-tagged ITDR"))</f>
        <v>1</v>
      </c>
      <c r="I620" s="5" t="n">
        <f aca="false">F620-G620-H620</f>
        <v>0</v>
      </c>
      <c r="J620" s="5" t="n">
        <f aca="false">SUMPRODUCT(EXACT('Rule-Event map'!$F$2:$F$1477,$A620)*EXACT('Rule-Event map'!$G$2:$G$1477,$B620)*('Rule-Event map'!$E$2:$E$1477="Enabled"))</f>
        <v>1</v>
      </c>
      <c r="K620" s="2" t="s">
        <v>1568</v>
      </c>
    </row>
    <row r="621" customFormat="false" ht="15" hidden="false" customHeight="false" outlineLevel="0" collapsed="false">
      <c r="A621" s="5" t="s">
        <v>269</v>
      </c>
      <c r="B621" s="2" t="s">
        <v>7859</v>
      </c>
      <c r="C621" s="5"/>
      <c r="D621" s="5"/>
      <c r="E621" s="5" t="s">
        <v>8336</v>
      </c>
      <c r="F621" s="5" t="n">
        <f aca="false">SUMPRODUCT(EXACT('Rule-Event map'!$F$2:$F$1477,$A621)*EXACT('Rule-Event map'!$G$2:$G$1477,$B621))</f>
        <v>1</v>
      </c>
      <c r="G621" s="5" t="n">
        <f aca="false">SUMPRODUCT(EXACT('Rule-Event map'!$F$2:$F$1477,$A621)*EXACT('Rule-Event map'!$G$2:$G$1477,$B621)*('Rule-Event map'!$C$2:$C$1477="New ITDR (7.6.0)"))</f>
        <v>0</v>
      </c>
      <c r="H621" s="5" t="n">
        <f aca="false">SUMPRODUCT(EXACT('Rule-Event map'!$F$2:$F$1477,$A621)*EXACT('Rule-Event map'!$G$2:$G$1477,$B621)*('Rule-Event map'!$C$2:$C$1477="Existing, re-tagged ITDR"))</f>
        <v>0</v>
      </c>
      <c r="I621" s="5" t="n">
        <f aca="false">F621-G621-H621</f>
        <v>1</v>
      </c>
      <c r="J621" s="5" t="n">
        <f aca="false">SUMPRODUCT(EXACT('Rule-Event map'!$F$2:$F$1477,$A621)*EXACT('Rule-Event map'!$G$2:$G$1477,$B621)*('Rule-Event map'!$E$2:$E$1477="Enabled"))</f>
        <v>1</v>
      </c>
      <c r="K621" s="2" t="s">
        <v>3831</v>
      </c>
    </row>
    <row r="622" customFormat="false" ht="15" hidden="false" customHeight="false" outlineLevel="0" collapsed="false">
      <c r="A622" s="5" t="s">
        <v>269</v>
      </c>
      <c r="B622" s="2" t="s">
        <v>7839</v>
      </c>
      <c r="C622" s="5"/>
      <c r="D622" s="5"/>
      <c r="E622" s="5" t="s">
        <v>8336</v>
      </c>
      <c r="F622" s="5" t="n">
        <f aca="false">SUMPRODUCT(EXACT('Rule-Event map'!$F$2:$F$1477,$A622)*EXACT('Rule-Event map'!$G$2:$G$1477,$B622))</f>
        <v>1</v>
      </c>
      <c r="G622" s="5" t="n">
        <f aca="false">SUMPRODUCT(EXACT('Rule-Event map'!$F$2:$F$1477,$A622)*EXACT('Rule-Event map'!$G$2:$G$1477,$B622)*('Rule-Event map'!$C$2:$C$1477="New ITDR (7.6.0)"))</f>
        <v>0</v>
      </c>
      <c r="H622" s="5" t="n">
        <f aca="false">SUMPRODUCT(EXACT('Rule-Event map'!$F$2:$F$1477,$A622)*EXACT('Rule-Event map'!$G$2:$G$1477,$B622)*('Rule-Event map'!$C$2:$C$1477="Existing, re-tagged ITDR"))</f>
        <v>0</v>
      </c>
      <c r="I622" s="5" t="n">
        <f aca="false">F622-G622-H622</f>
        <v>1</v>
      </c>
      <c r="J622" s="5" t="n">
        <f aca="false">SUMPRODUCT(EXACT('Rule-Event map'!$F$2:$F$1477,$A622)*EXACT('Rule-Event map'!$G$2:$G$1477,$B622)*('Rule-Event map'!$E$2:$E$1477="Enabled"))</f>
        <v>1</v>
      </c>
      <c r="K622" s="2" t="s">
        <v>3414</v>
      </c>
    </row>
    <row r="623" customFormat="false" ht="15" hidden="false" customHeight="false" outlineLevel="0" collapsed="false">
      <c r="A623" s="5" t="s">
        <v>269</v>
      </c>
      <c r="B623" s="2" t="s">
        <v>7638</v>
      </c>
      <c r="C623" s="5" t="s">
        <v>249</v>
      </c>
      <c r="D623" s="5" t="s">
        <v>8437</v>
      </c>
      <c r="E623" s="5" t="s">
        <v>8332</v>
      </c>
      <c r="F623" s="5" t="n">
        <f aca="false">SUMPRODUCT(EXACT('Rule-Event map'!$F$2:$F$1477,$A623)*EXACT('Rule-Event map'!$G$2:$G$1477,$B623))</f>
        <v>1</v>
      </c>
      <c r="G623" s="5" t="n">
        <f aca="false">SUMPRODUCT(EXACT('Rule-Event map'!$F$2:$F$1477,$A623)*EXACT('Rule-Event map'!$G$2:$G$1477,$B623)*('Rule-Event map'!$C$2:$C$1477="New ITDR (7.6.0)"))</f>
        <v>1</v>
      </c>
      <c r="H623" s="5" t="n">
        <f aca="false">SUMPRODUCT(EXACT('Rule-Event map'!$F$2:$F$1477,$A623)*EXACT('Rule-Event map'!$G$2:$G$1477,$B623)*('Rule-Event map'!$C$2:$C$1477="Existing, re-tagged ITDR"))</f>
        <v>0</v>
      </c>
      <c r="I623" s="5" t="n">
        <f aca="false">F623-G623-H623</f>
        <v>0</v>
      </c>
      <c r="J623" s="5" t="n">
        <f aca="false">SUMPRODUCT(EXACT('Rule-Event map'!$F$2:$F$1477,$A623)*EXACT('Rule-Event map'!$G$2:$G$1477,$B623)*('Rule-Event map'!$E$2:$E$1477="Enabled"))</f>
        <v>1</v>
      </c>
      <c r="K623" s="2" t="s">
        <v>245</v>
      </c>
    </row>
    <row r="624" customFormat="false" ht="15" hidden="false" customHeight="false" outlineLevel="0" collapsed="false">
      <c r="A624" s="5" t="s">
        <v>269</v>
      </c>
      <c r="B624" s="2" t="s">
        <v>7642</v>
      </c>
      <c r="C624" s="5" t="s">
        <v>249</v>
      </c>
      <c r="D624" s="5" t="s">
        <v>8437</v>
      </c>
      <c r="E624" s="5" t="s">
        <v>8332</v>
      </c>
      <c r="F624" s="5" t="n">
        <f aca="false">SUMPRODUCT(EXACT('Rule-Event map'!$F$2:$F$1477,$A624)*EXACT('Rule-Event map'!$G$2:$G$1477,$B624))</f>
        <v>1</v>
      </c>
      <c r="G624" s="5" t="n">
        <f aca="false">SUMPRODUCT(EXACT('Rule-Event map'!$F$2:$F$1477,$A624)*EXACT('Rule-Event map'!$G$2:$G$1477,$B624)*('Rule-Event map'!$C$2:$C$1477="New ITDR (7.6.0)"))</f>
        <v>1</v>
      </c>
      <c r="H624" s="5" t="n">
        <f aca="false">SUMPRODUCT(EXACT('Rule-Event map'!$F$2:$F$1477,$A624)*EXACT('Rule-Event map'!$G$2:$G$1477,$B624)*('Rule-Event map'!$C$2:$C$1477="Existing, re-tagged ITDR"))</f>
        <v>0</v>
      </c>
      <c r="I624" s="5" t="n">
        <f aca="false">F624-G624-H624</f>
        <v>0</v>
      </c>
      <c r="J624" s="5" t="n">
        <f aca="false">SUMPRODUCT(EXACT('Rule-Event map'!$F$2:$F$1477,$A624)*EXACT('Rule-Event map'!$G$2:$G$1477,$B624)*('Rule-Event map'!$E$2:$E$1477="Enabled"))</f>
        <v>1</v>
      </c>
      <c r="K624" s="2" t="s">
        <v>283</v>
      </c>
    </row>
    <row r="625" customFormat="false" ht="15" hidden="false" customHeight="false" outlineLevel="0" collapsed="false">
      <c r="A625" s="5" t="s">
        <v>269</v>
      </c>
      <c r="B625" s="2" t="s">
        <v>7644</v>
      </c>
      <c r="C625" s="5"/>
      <c r="D625" s="5"/>
      <c r="E625" s="5" t="s">
        <v>8336</v>
      </c>
      <c r="F625" s="5" t="n">
        <f aca="false">SUMPRODUCT(EXACT('Rule-Event map'!$F$2:$F$1477,$A625)*EXACT('Rule-Event map'!$G$2:$G$1477,$B625))</f>
        <v>1</v>
      </c>
      <c r="G625" s="5" t="n">
        <f aca="false">SUMPRODUCT(EXACT('Rule-Event map'!$F$2:$F$1477,$A625)*EXACT('Rule-Event map'!$G$2:$G$1477,$B625)*('Rule-Event map'!$C$2:$C$1477="New ITDR (7.6.0)"))</f>
        <v>1</v>
      </c>
      <c r="H625" s="5" t="n">
        <f aca="false">SUMPRODUCT(EXACT('Rule-Event map'!$F$2:$F$1477,$A625)*EXACT('Rule-Event map'!$G$2:$G$1477,$B625)*('Rule-Event map'!$C$2:$C$1477="Existing, re-tagged ITDR"))</f>
        <v>0</v>
      </c>
      <c r="I625" s="5" t="n">
        <f aca="false">F625-G625-H625</f>
        <v>0</v>
      </c>
      <c r="J625" s="5" t="n">
        <f aca="false">SUMPRODUCT(EXACT('Rule-Event map'!$F$2:$F$1477,$A625)*EXACT('Rule-Event map'!$G$2:$G$1477,$B625)*('Rule-Event map'!$E$2:$E$1477="Enabled"))</f>
        <v>1</v>
      </c>
      <c r="K625" s="2" t="s">
        <v>283</v>
      </c>
    </row>
    <row r="626" customFormat="false" ht="15" hidden="false" customHeight="false" outlineLevel="0" collapsed="false">
      <c r="A626" s="5" t="s">
        <v>269</v>
      </c>
      <c r="B626" s="2" t="s">
        <v>7646</v>
      </c>
      <c r="C626" s="5"/>
      <c r="D626" s="5"/>
      <c r="E626" s="5" t="s">
        <v>8336</v>
      </c>
      <c r="F626" s="5" t="n">
        <f aca="false">SUMPRODUCT(EXACT('Rule-Event map'!$F$2:$F$1477,$A626)*EXACT('Rule-Event map'!$G$2:$G$1477,$B626))</f>
        <v>1</v>
      </c>
      <c r="G626" s="5" t="n">
        <f aca="false">SUMPRODUCT(EXACT('Rule-Event map'!$F$2:$F$1477,$A626)*EXACT('Rule-Event map'!$G$2:$G$1477,$B626)*('Rule-Event map'!$C$2:$C$1477="New ITDR (7.6.0)"))</f>
        <v>1</v>
      </c>
      <c r="H626" s="5" t="n">
        <f aca="false">SUMPRODUCT(EXACT('Rule-Event map'!$F$2:$F$1477,$A626)*EXACT('Rule-Event map'!$G$2:$G$1477,$B626)*('Rule-Event map'!$C$2:$C$1477="Existing, re-tagged ITDR"))</f>
        <v>0</v>
      </c>
      <c r="I626" s="5" t="n">
        <f aca="false">F626-G626-H626</f>
        <v>0</v>
      </c>
      <c r="J626" s="5" t="n">
        <f aca="false">SUMPRODUCT(EXACT('Rule-Event map'!$F$2:$F$1477,$A626)*EXACT('Rule-Event map'!$G$2:$G$1477,$B626)*('Rule-Event map'!$E$2:$E$1477="Enabled"))</f>
        <v>1</v>
      </c>
      <c r="K626" s="2" t="s">
        <v>283</v>
      </c>
    </row>
    <row r="627" customFormat="false" ht="15" hidden="false" customHeight="false" outlineLevel="0" collapsed="false">
      <c r="A627" s="5" t="s">
        <v>269</v>
      </c>
      <c r="B627" s="2" t="s">
        <v>7648</v>
      </c>
      <c r="C627" s="5"/>
      <c r="D627" s="5"/>
      <c r="E627" s="5" t="s">
        <v>8336</v>
      </c>
      <c r="F627" s="5" t="n">
        <f aca="false">SUMPRODUCT(EXACT('Rule-Event map'!$F$2:$F$1477,$A627)*EXACT('Rule-Event map'!$G$2:$G$1477,$B627))</f>
        <v>1</v>
      </c>
      <c r="G627" s="5" t="n">
        <f aca="false">SUMPRODUCT(EXACT('Rule-Event map'!$F$2:$F$1477,$A627)*EXACT('Rule-Event map'!$G$2:$G$1477,$B627)*('Rule-Event map'!$C$2:$C$1477="New ITDR (7.6.0)"))</f>
        <v>1</v>
      </c>
      <c r="H627" s="5" t="n">
        <f aca="false">SUMPRODUCT(EXACT('Rule-Event map'!$F$2:$F$1477,$A627)*EXACT('Rule-Event map'!$G$2:$G$1477,$B627)*('Rule-Event map'!$C$2:$C$1477="Existing, re-tagged ITDR"))</f>
        <v>0</v>
      </c>
      <c r="I627" s="5" t="n">
        <f aca="false">F627-G627-H627</f>
        <v>0</v>
      </c>
      <c r="J627" s="5" t="n">
        <f aca="false">SUMPRODUCT(EXACT('Rule-Event map'!$F$2:$F$1477,$A627)*EXACT('Rule-Event map'!$G$2:$G$1477,$B627)*('Rule-Event map'!$E$2:$E$1477="Enabled"))</f>
        <v>1</v>
      </c>
      <c r="K627" s="2" t="s">
        <v>283</v>
      </c>
    </row>
    <row r="628" customFormat="false" ht="15" hidden="false" customHeight="false" outlineLevel="0" collapsed="false">
      <c r="A628" s="5" t="s">
        <v>269</v>
      </c>
      <c r="B628" s="2" t="s">
        <v>7650</v>
      </c>
      <c r="C628" s="5"/>
      <c r="D628" s="5"/>
      <c r="E628" s="5" t="s">
        <v>8336</v>
      </c>
      <c r="F628" s="5" t="n">
        <f aca="false">SUMPRODUCT(EXACT('Rule-Event map'!$F$2:$F$1477,$A628)*EXACT('Rule-Event map'!$G$2:$G$1477,$B628))</f>
        <v>1</v>
      </c>
      <c r="G628" s="5" t="n">
        <f aca="false">SUMPRODUCT(EXACT('Rule-Event map'!$F$2:$F$1477,$A628)*EXACT('Rule-Event map'!$G$2:$G$1477,$B628)*('Rule-Event map'!$C$2:$C$1477="New ITDR (7.6.0)"))</f>
        <v>1</v>
      </c>
      <c r="H628" s="5" t="n">
        <f aca="false">SUMPRODUCT(EXACT('Rule-Event map'!$F$2:$F$1477,$A628)*EXACT('Rule-Event map'!$G$2:$G$1477,$B628)*('Rule-Event map'!$C$2:$C$1477="Existing, re-tagged ITDR"))</f>
        <v>0</v>
      </c>
      <c r="I628" s="5" t="n">
        <f aca="false">F628-G628-H628</f>
        <v>0</v>
      </c>
      <c r="J628" s="5" t="n">
        <f aca="false">SUMPRODUCT(EXACT('Rule-Event map'!$F$2:$F$1477,$A628)*EXACT('Rule-Event map'!$G$2:$G$1477,$B628)*('Rule-Event map'!$E$2:$E$1477="Enabled"))</f>
        <v>1</v>
      </c>
      <c r="K628" s="2" t="s">
        <v>283</v>
      </c>
    </row>
    <row r="629" customFormat="false" ht="23.85" hidden="false" customHeight="false" outlineLevel="0" collapsed="false">
      <c r="A629" s="5" t="s">
        <v>269</v>
      </c>
      <c r="B629" s="2" t="s">
        <v>7828</v>
      </c>
      <c r="C629" s="5" t="s">
        <v>249</v>
      </c>
      <c r="D629" s="5" t="s">
        <v>8437</v>
      </c>
      <c r="E629" s="5" t="s">
        <v>8332</v>
      </c>
      <c r="F629" s="5" t="n">
        <f aca="false">SUMPRODUCT(EXACT('Rule-Event map'!$F$2:$F$1477,$A629)*EXACT('Rule-Event map'!$G$2:$G$1477,$B629))</f>
        <v>2</v>
      </c>
      <c r="G629" s="5" t="n">
        <f aca="false">SUMPRODUCT(EXACT('Rule-Event map'!$F$2:$F$1477,$A629)*EXACT('Rule-Event map'!$G$2:$G$1477,$B629)*('Rule-Event map'!$C$2:$C$1477="New ITDR (7.6.0)"))</f>
        <v>0</v>
      </c>
      <c r="H629" s="5" t="n">
        <f aca="false">SUMPRODUCT(EXACT('Rule-Event map'!$F$2:$F$1477,$A629)*EXACT('Rule-Event map'!$G$2:$G$1477,$B629)*('Rule-Event map'!$C$2:$C$1477="Existing, re-tagged ITDR"))</f>
        <v>0</v>
      </c>
      <c r="I629" s="5" t="n">
        <f aca="false">F629-G629-H629</f>
        <v>2</v>
      </c>
      <c r="J629" s="5" t="n">
        <f aca="false">SUMPRODUCT(EXACT('Rule-Event map'!$F$2:$F$1477,$A629)*EXACT('Rule-Event map'!$G$2:$G$1477,$B629)*('Rule-Event map'!$E$2:$E$1477="Enabled"))</f>
        <v>2</v>
      </c>
      <c r="K629" s="2" t="s">
        <v>8438</v>
      </c>
    </row>
    <row r="630" customFormat="false" ht="23.85" hidden="false" customHeight="false" outlineLevel="0" collapsed="false">
      <c r="A630" s="5" t="s">
        <v>269</v>
      </c>
      <c r="B630" s="2" t="s">
        <v>7830</v>
      </c>
      <c r="C630" s="5" t="s">
        <v>249</v>
      </c>
      <c r="D630" s="5" t="s">
        <v>8437</v>
      </c>
      <c r="E630" s="5" t="s">
        <v>8332</v>
      </c>
      <c r="F630" s="5" t="n">
        <f aca="false">SUMPRODUCT(EXACT('Rule-Event map'!$F$2:$F$1477,$A630)*EXACT('Rule-Event map'!$G$2:$G$1477,$B630))</f>
        <v>2</v>
      </c>
      <c r="G630" s="5" t="n">
        <f aca="false">SUMPRODUCT(EXACT('Rule-Event map'!$F$2:$F$1477,$A630)*EXACT('Rule-Event map'!$G$2:$G$1477,$B630)*('Rule-Event map'!$C$2:$C$1477="New ITDR (7.6.0)"))</f>
        <v>0</v>
      </c>
      <c r="H630" s="5" t="n">
        <f aca="false">SUMPRODUCT(EXACT('Rule-Event map'!$F$2:$F$1477,$A630)*EXACT('Rule-Event map'!$G$2:$G$1477,$B630)*('Rule-Event map'!$C$2:$C$1477="Existing, re-tagged ITDR"))</f>
        <v>0</v>
      </c>
      <c r="I630" s="5" t="n">
        <f aca="false">F630-G630-H630</f>
        <v>2</v>
      </c>
      <c r="J630" s="5" t="n">
        <f aca="false">SUMPRODUCT(EXACT('Rule-Event map'!$F$2:$F$1477,$A630)*EXACT('Rule-Event map'!$G$2:$G$1477,$B630)*('Rule-Event map'!$E$2:$E$1477="Enabled"))</f>
        <v>2</v>
      </c>
      <c r="K630" s="2" t="s">
        <v>8438</v>
      </c>
    </row>
    <row r="631" customFormat="false" ht="15" hidden="false" customHeight="false" outlineLevel="0" collapsed="false">
      <c r="A631" s="5" t="s">
        <v>269</v>
      </c>
      <c r="B631" s="2" t="s">
        <v>7758</v>
      </c>
      <c r="C631" s="5"/>
      <c r="D631" s="5"/>
      <c r="E631" s="5" t="s">
        <v>8336</v>
      </c>
      <c r="F631" s="5" t="n">
        <f aca="false">SUMPRODUCT(EXACT('Rule-Event map'!$F$2:$F$1477,$A631)*EXACT('Rule-Event map'!$G$2:$G$1477,$B631))</f>
        <v>1</v>
      </c>
      <c r="G631" s="5" t="n">
        <f aca="false">SUMPRODUCT(EXACT('Rule-Event map'!$F$2:$F$1477,$A631)*EXACT('Rule-Event map'!$G$2:$G$1477,$B631)*('Rule-Event map'!$C$2:$C$1477="New ITDR (7.6.0)"))</f>
        <v>0</v>
      </c>
      <c r="H631" s="5" t="n">
        <f aca="false">SUMPRODUCT(EXACT('Rule-Event map'!$F$2:$F$1477,$A631)*EXACT('Rule-Event map'!$G$2:$G$1477,$B631)*('Rule-Event map'!$C$2:$C$1477="Existing, re-tagged ITDR"))</f>
        <v>1</v>
      </c>
      <c r="I631" s="5" t="n">
        <f aca="false">F631-G631-H631</f>
        <v>0</v>
      </c>
      <c r="J631" s="5" t="n">
        <f aca="false">SUMPRODUCT(EXACT('Rule-Event map'!$F$2:$F$1477,$A631)*EXACT('Rule-Event map'!$G$2:$G$1477,$B631)*('Rule-Event map'!$E$2:$E$1477="Enabled"))</f>
        <v>1</v>
      </c>
      <c r="K631" s="2" t="s">
        <v>2069</v>
      </c>
    </row>
    <row r="632" customFormat="false" ht="15" hidden="false" customHeight="false" outlineLevel="0" collapsed="false">
      <c r="A632" s="5" t="s">
        <v>269</v>
      </c>
      <c r="B632" s="2" t="s">
        <v>7760</v>
      </c>
      <c r="C632" s="5"/>
      <c r="D632" s="5"/>
      <c r="E632" s="5" t="s">
        <v>8336</v>
      </c>
      <c r="F632" s="5" t="n">
        <f aca="false">SUMPRODUCT(EXACT('Rule-Event map'!$F$2:$F$1477,$A632)*EXACT('Rule-Event map'!$G$2:$G$1477,$B632))</f>
        <v>1</v>
      </c>
      <c r="G632" s="5" t="n">
        <f aca="false">SUMPRODUCT(EXACT('Rule-Event map'!$F$2:$F$1477,$A632)*EXACT('Rule-Event map'!$G$2:$G$1477,$B632)*('Rule-Event map'!$C$2:$C$1477="New ITDR (7.6.0)"))</f>
        <v>0</v>
      </c>
      <c r="H632" s="5" t="n">
        <f aca="false">SUMPRODUCT(EXACT('Rule-Event map'!$F$2:$F$1477,$A632)*EXACT('Rule-Event map'!$G$2:$G$1477,$B632)*('Rule-Event map'!$C$2:$C$1477="Existing, re-tagged ITDR"))</f>
        <v>1</v>
      </c>
      <c r="I632" s="5" t="n">
        <f aca="false">F632-G632-H632</f>
        <v>0</v>
      </c>
      <c r="J632" s="5" t="n">
        <f aca="false">SUMPRODUCT(EXACT('Rule-Event map'!$F$2:$F$1477,$A632)*EXACT('Rule-Event map'!$G$2:$G$1477,$B632)*('Rule-Event map'!$E$2:$E$1477="Enabled"))</f>
        <v>1</v>
      </c>
      <c r="K632" s="2" t="s">
        <v>2069</v>
      </c>
    </row>
    <row r="633" customFormat="false" ht="35.05" hidden="false" customHeight="false" outlineLevel="0" collapsed="false">
      <c r="A633" s="5" t="s">
        <v>269</v>
      </c>
      <c r="B633" s="2" t="s">
        <v>7838</v>
      </c>
      <c r="C633" s="5"/>
      <c r="D633" s="5"/>
      <c r="E633" s="5" t="s">
        <v>8336</v>
      </c>
      <c r="F633" s="5" t="n">
        <f aca="false">SUMPRODUCT(EXACT('Rule-Event map'!$F$2:$F$1477,$A633)*EXACT('Rule-Event map'!$G$2:$G$1477,$B633))</f>
        <v>3</v>
      </c>
      <c r="G633" s="5" t="n">
        <f aca="false">SUMPRODUCT(EXACT('Rule-Event map'!$F$2:$F$1477,$A633)*EXACT('Rule-Event map'!$G$2:$G$1477,$B633)*('Rule-Event map'!$C$2:$C$1477="New ITDR (7.6.0)"))</f>
        <v>0</v>
      </c>
      <c r="H633" s="5" t="n">
        <f aca="false">SUMPRODUCT(EXACT('Rule-Event map'!$F$2:$F$1477,$A633)*EXACT('Rule-Event map'!$G$2:$G$1477,$B633)*('Rule-Event map'!$C$2:$C$1477="Existing, re-tagged ITDR"))</f>
        <v>0</v>
      </c>
      <c r="I633" s="5" t="n">
        <f aca="false">F633-G633-H633</f>
        <v>3</v>
      </c>
      <c r="J633" s="5" t="n">
        <f aca="false">SUMPRODUCT(EXACT('Rule-Event map'!$F$2:$F$1477,$A633)*EXACT('Rule-Event map'!$G$2:$G$1477,$B633)*('Rule-Event map'!$E$2:$E$1477="Enabled"))</f>
        <v>3</v>
      </c>
      <c r="K633" s="2" t="s">
        <v>8439</v>
      </c>
    </row>
    <row r="634" customFormat="false" ht="15" hidden="false" customHeight="false" outlineLevel="0" collapsed="false">
      <c r="A634" s="5" t="s">
        <v>269</v>
      </c>
      <c r="B634" s="2" t="s">
        <v>7845</v>
      </c>
      <c r="C634" s="5"/>
      <c r="D634" s="5"/>
      <c r="E634" s="5" t="s">
        <v>8336</v>
      </c>
      <c r="F634" s="5" t="n">
        <f aca="false">SUMPRODUCT(EXACT('Rule-Event map'!$F$2:$F$1477,$A634)*EXACT('Rule-Event map'!$G$2:$G$1477,$B634))</f>
        <v>1</v>
      </c>
      <c r="G634" s="5" t="n">
        <f aca="false">SUMPRODUCT(EXACT('Rule-Event map'!$F$2:$F$1477,$A634)*EXACT('Rule-Event map'!$G$2:$G$1477,$B634)*('Rule-Event map'!$C$2:$C$1477="New ITDR (7.6.0)"))</f>
        <v>0</v>
      </c>
      <c r="H634" s="5" t="n">
        <f aca="false">SUMPRODUCT(EXACT('Rule-Event map'!$F$2:$F$1477,$A634)*EXACT('Rule-Event map'!$G$2:$G$1477,$B634)*('Rule-Event map'!$C$2:$C$1477="Existing, re-tagged ITDR"))</f>
        <v>0</v>
      </c>
      <c r="I634" s="5" t="n">
        <f aca="false">F634-G634-H634</f>
        <v>1</v>
      </c>
      <c r="J634" s="5" t="n">
        <f aca="false">SUMPRODUCT(EXACT('Rule-Event map'!$F$2:$F$1477,$A634)*EXACT('Rule-Event map'!$G$2:$G$1477,$B634)*('Rule-Event map'!$E$2:$E$1477="Enabled"))</f>
        <v>1</v>
      </c>
      <c r="K634" s="2" t="s">
        <v>3534</v>
      </c>
    </row>
    <row r="635" customFormat="false" ht="46.25" hidden="false" customHeight="false" outlineLevel="0" collapsed="false">
      <c r="A635" s="5" t="s">
        <v>269</v>
      </c>
      <c r="B635" s="2" t="s">
        <v>7637</v>
      </c>
      <c r="C635" s="5" t="s">
        <v>214</v>
      </c>
      <c r="D635" s="5" t="s">
        <v>8420</v>
      </c>
      <c r="E635" s="5" t="s">
        <v>8332</v>
      </c>
      <c r="F635" s="5" t="n">
        <f aca="false">SUMPRODUCT(EXACT('Rule-Event map'!$F$2:$F$1477,$A635)*EXACT('Rule-Event map'!$G$2:$G$1477,$B635))</f>
        <v>24</v>
      </c>
      <c r="G635" s="5" t="n">
        <f aca="false">SUMPRODUCT(EXACT('Rule-Event map'!$F$2:$F$1477,$A635)*EXACT('Rule-Event map'!$G$2:$G$1477,$B635)*('Rule-Event map'!$C$2:$C$1477="New ITDR (7.6.0)"))</f>
        <v>13</v>
      </c>
      <c r="H635" s="5" t="n">
        <f aca="false">SUMPRODUCT(EXACT('Rule-Event map'!$F$2:$F$1477,$A635)*EXACT('Rule-Event map'!$G$2:$G$1477,$B635)*('Rule-Event map'!$C$2:$C$1477="Existing, re-tagged ITDR"))</f>
        <v>4</v>
      </c>
      <c r="I635" s="5" t="n">
        <f aca="false">F635-G635-H635</f>
        <v>7</v>
      </c>
      <c r="J635" s="5" t="n">
        <f aca="false">SUMPRODUCT(EXACT('Rule-Event map'!$F$2:$F$1477,$A635)*EXACT('Rule-Event map'!$G$2:$G$1477,$B635)*('Rule-Event map'!$E$2:$E$1477="Enabled"))</f>
        <v>22</v>
      </c>
      <c r="K635" s="2" t="s">
        <v>8440</v>
      </c>
    </row>
    <row r="636" customFormat="false" ht="23.85" hidden="false" customHeight="false" outlineLevel="0" collapsed="false">
      <c r="A636" s="5" t="s">
        <v>269</v>
      </c>
      <c r="B636" s="2" t="s">
        <v>7775</v>
      </c>
      <c r="C636" s="5" t="s">
        <v>214</v>
      </c>
      <c r="D636" s="5" t="s">
        <v>8420</v>
      </c>
      <c r="E636" s="5" t="s">
        <v>8332</v>
      </c>
      <c r="F636" s="5" t="n">
        <f aca="false">SUMPRODUCT(EXACT('Rule-Event map'!$F$2:$F$1477,$A636)*EXACT('Rule-Event map'!$G$2:$G$1477,$B636))</f>
        <v>2</v>
      </c>
      <c r="G636" s="5" t="n">
        <f aca="false">SUMPRODUCT(EXACT('Rule-Event map'!$F$2:$F$1477,$A636)*EXACT('Rule-Event map'!$G$2:$G$1477,$B636)*('Rule-Event map'!$C$2:$C$1477="New ITDR (7.6.0)"))</f>
        <v>0</v>
      </c>
      <c r="H636" s="5" t="n">
        <f aca="false">SUMPRODUCT(EXACT('Rule-Event map'!$F$2:$F$1477,$A636)*EXACT('Rule-Event map'!$G$2:$G$1477,$B636)*('Rule-Event map'!$C$2:$C$1477="Existing, re-tagged ITDR"))</f>
        <v>0</v>
      </c>
      <c r="I636" s="5" t="n">
        <f aca="false">F636-G636-H636</f>
        <v>2</v>
      </c>
      <c r="J636" s="5" t="n">
        <f aca="false">SUMPRODUCT(EXACT('Rule-Event map'!$F$2:$F$1477,$A636)*EXACT('Rule-Event map'!$G$2:$G$1477,$B636)*('Rule-Event map'!$E$2:$E$1477="Enabled"))</f>
        <v>1</v>
      </c>
      <c r="K636" s="2" t="s">
        <v>8441</v>
      </c>
    </row>
    <row r="637" customFormat="false" ht="15" hidden="false" customHeight="false" outlineLevel="0" collapsed="false">
      <c r="A637" s="5" t="s">
        <v>269</v>
      </c>
      <c r="B637" s="2" t="s">
        <v>7824</v>
      </c>
      <c r="C637" s="5"/>
      <c r="D637" s="5"/>
      <c r="E637" s="5" t="s">
        <v>8336</v>
      </c>
      <c r="F637" s="5" t="n">
        <f aca="false">SUMPRODUCT(EXACT('Rule-Event map'!$F$2:$F$1477,$A637)*EXACT('Rule-Event map'!$G$2:$G$1477,$B637))</f>
        <v>1</v>
      </c>
      <c r="G637" s="5" t="n">
        <f aca="false">SUMPRODUCT(EXACT('Rule-Event map'!$F$2:$F$1477,$A637)*EXACT('Rule-Event map'!$G$2:$G$1477,$B637)*('Rule-Event map'!$C$2:$C$1477="New ITDR (7.6.0)"))</f>
        <v>0</v>
      </c>
      <c r="H637" s="5" t="n">
        <f aca="false">SUMPRODUCT(EXACT('Rule-Event map'!$F$2:$F$1477,$A637)*EXACT('Rule-Event map'!$G$2:$G$1477,$B637)*('Rule-Event map'!$C$2:$C$1477="Existing, re-tagged ITDR"))</f>
        <v>0</v>
      </c>
      <c r="I637" s="5" t="n">
        <f aca="false">F637-G637-H637</f>
        <v>1</v>
      </c>
      <c r="J637" s="5" t="n">
        <f aca="false">SUMPRODUCT(EXACT('Rule-Event map'!$F$2:$F$1477,$A637)*EXACT('Rule-Event map'!$G$2:$G$1477,$B637)*('Rule-Event map'!$E$2:$E$1477="Enabled"))</f>
        <v>1</v>
      </c>
      <c r="K637" s="2" t="s">
        <v>3138</v>
      </c>
    </row>
    <row r="638" customFormat="false" ht="35.05" hidden="false" customHeight="false" outlineLevel="0" collapsed="false">
      <c r="A638" s="5" t="s">
        <v>269</v>
      </c>
      <c r="B638" s="2" t="s">
        <v>7754</v>
      </c>
      <c r="C638" s="5"/>
      <c r="D638" s="5"/>
      <c r="E638" s="5" t="s">
        <v>8336</v>
      </c>
      <c r="F638" s="5" t="n">
        <f aca="false">SUMPRODUCT(EXACT('Rule-Event map'!$F$2:$F$1477,$A638)*EXACT('Rule-Event map'!$G$2:$G$1477,$B638))</f>
        <v>17</v>
      </c>
      <c r="G638" s="5" t="n">
        <f aca="false">SUMPRODUCT(EXACT('Rule-Event map'!$F$2:$F$1477,$A638)*EXACT('Rule-Event map'!$G$2:$G$1477,$B638)*('Rule-Event map'!$C$2:$C$1477="New ITDR (7.6.0)"))</f>
        <v>0</v>
      </c>
      <c r="H638" s="5" t="n">
        <f aca="false">SUMPRODUCT(EXACT('Rule-Event map'!$F$2:$F$1477,$A638)*EXACT('Rule-Event map'!$G$2:$G$1477,$B638)*('Rule-Event map'!$C$2:$C$1477="Existing, re-tagged ITDR"))</f>
        <v>3</v>
      </c>
      <c r="I638" s="5" t="n">
        <f aca="false">F638-G638-H638</f>
        <v>14</v>
      </c>
      <c r="J638" s="5" t="n">
        <f aca="false">SUMPRODUCT(EXACT('Rule-Event map'!$F$2:$F$1477,$A638)*EXACT('Rule-Event map'!$G$2:$G$1477,$B638)*('Rule-Event map'!$E$2:$E$1477="Enabled"))</f>
        <v>17</v>
      </c>
      <c r="K638" s="2" t="s">
        <v>8442</v>
      </c>
    </row>
    <row r="639" customFormat="false" ht="23.85" hidden="false" customHeight="false" outlineLevel="0" collapsed="false">
      <c r="A639" s="5" t="s">
        <v>269</v>
      </c>
      <c r="B639" s="2" t="s">
        <v>7865</v>
      </c>
      <c r="C639" s="5"/>
      <c r="D639" s="5"/>
      <c r="E639" s="5" t="s">
        <v>8336</v>
      </c>
      <c r="F639" s="5" t="n">
        <f aca="false">SUMPRODUCT(EXACT('Rule-Event map'!$F$2:$F$1477,$A639)*EXACT('Rule-Event map'!$G$2:$G$1477,$B639))</f>
        <v>3</v>
      </c>
      <c r="G639" s="5" t="n">
        <f aca="false">SUMPRODUCT(EXACT('Rule-Event map'!$F$2:$F$1477,$A639)*EXACT('Rule-Event map'!$G$2:$G$1477,$B639)*('Rule-Event map'!$C$2:$C$1477="New ITDR (7.6.0)"))</f>
        <v>0</v>
      </c>
      <c r="H639" s="5" t="n">
        <f aca="false">SUMPRODUCT(EXACT('Rule-Event map'!$F$2:$F$1477,$A639)*EXACT('Rule-Event map'!$G$2:$G$1477,$B639)*('Rule-Event map'!$C$2:$C$1477="Existing, re-tagged ITDR"))</f>
        <v>0</v>
      </c>
      <c r="I639" s="5" t="n">
        <f aca="false">F639-G639-H639</f>
        <v>3</v>
      </c>
      <c r="J639" s="5" t="n">
        <f aca="false">SUMPRODUCT(EXACT('Rule-Event map'!$F$2:$F$1477,$A639)*EXACT('Rule-Event map'!$G$2:$G$1477,$B639)*('Rule-Event map'!$E$2:$E$1477="Enabled"))</f>
        <v>3</v>
      </c>
      <c r="K639" s="2" t="s">
        <v>8443</v>
      </c>
    </row>
    <row r="640" customFormat="false" ht="15" hidden="false" customHeight="false" outlineLevel="0" collapsed="false">
      <c r="A640" s="5" t="s">
        <v>269</v>
      </c>
      <c r="B640" s="2" t="s">
        <v>7880</v>
      </c>
      <c r="C640" s="5"/>
      <c r="D640" s="5"/>
      <c r="E640" s="5" t="s">
        <v>8336</v>
      </c>
      <c r="F640" s="5" t="n">
        <f aca="false">SUMPRODUCT(EXACT('Rule-Event map'!$F$2:$F$1477,$A640)*EXACT('Rule-Event map'!$G$2:$G$1477,$B640))</f>
        <v>1</v>
      </c>
      <c r="G640" s="5" t="n">
        <f aca="false">SUMPRODUCT(EXACT('Rule-Event map'!$F$2:$F$1477,$A640)*EXACT('Rule-Event map'!$G$2:$G$1477,$B640)*('Rule-Event map'!$C$2:$C$1477="New ITDR (7.6.0)"))</f>
        <v>0</v>
      </c>
      <c r="H640" s="5" t="n">
        <f aca="false">SUMPRODUCT(EXACT('Rule-Event map'!$F$2:$F$1477,$A640)*EXACT('Rule-Event map'!$G$2:$G$1477,$B640)*('Rule-Event map'!$C$2:$C$1477="Existing, re-tagged ITDR"))</f>
        <v>0</v>
      </c>
      <c r="I640" s="5" t="n">
        <f aca="false">F640-G640-H640</f>
        <v>1</v>
      </c>
      <c r="J640" s="5" t="n">
        <f aca="false">SUMPRODUCT(EXACT('Rule-Event map'!$F$2:$F$1477,$A640)*EXACT('Rule-Event map'!$G$2:$G$1477,$B640)*('Rule-Event map'!$E$2:$E$1477="Enabled"))</f>
        <v>1</v>
      </c>
      <c r="K640" s="2" t="s">
        <v>4731</v>
      </c>
    </row>
    <row r="641" customFormat="false" ht="35.05" hidden="false" customHeight="false" outlineLevel="0" collapsed="false">
      <c r="A641" s="5" t="s">
        <v>269</v>
      </c>
      <c r="B641" s="2" t="s">
        <v>7862</v>
      </c>
      <c r="C641" s="5"/>
      <c r="D641" s="5"/>
      <c r="E641" s="5" t="s">
        <v>8336</v>
      </c>
      <c r="F641" s="5" t="n">
        <f aca="false">SUMPRODUCT(EXACT('Rule-Event map'!$F$2:$F$1477,$A641)*EXACT('Rule-Event map'!$G$2:$G$1477,$B641))</f>
        <v>3</v>
      </c>
      <c r="G641" s="5" t="n">
        <f aca="false">SUMPRODUCT(EXACT('Rule-Event map'!$F$2:$F$1477,$A641)*EXACT('Rule-Event map'!$G$2:$G$1477,$B641)*('Rule-Event map'!$C$2:$C$1477="New ITDR (7.6.0)"))</f>
        <v>0</v>
      </c>
      <c r="H641" s="5" t="n">
        <f aca="false">SUMPRODUCT(EXACT('Rule-Event map'!$F$2:$F$1477,$A641)*EXACT('Rule-Event map'!$G$2:$G$1477,$B641)*('Rule-Event map'!$C$2:$C$1477="Existing, re-tagged ITDR"))</f>
        <v>0</v>
      </c>
      <c r="I641" s="5" t="n">
        <f aca="false">F641-G641-H641</f>
        <v>3</v>
      </c>
      <c r="J641" s="5" t="n">
        <f aca="false">SUMPRODUCT(EXACT('Rule-Event map'!$F$2:$F$1477,$A641)*EXACT('Rule-Event map'!$G$2:$G$1477,$B641)*('Rule-Event map'!$E$2:$E$1477="Enabled"))</f>
        <v>3</v>
      </c>
      <c r="K641" s="2" t="s">
        <v>8444</v>
      </c>
    </row>
    <row r="642" customFormat="false" ht="15" hidden="false" customHeight="false" outlineLevel="0" collapsed="false">
      <c r="A642" s="5" t="s">
        <v>269</v>
      </c>
      <c r="B642" s="2" t="s">
        <v>7849</v>
      </c>
      <c r="C642" s="5"/>
      <c r="D642" s="5"/>
      <c r="E642" s="5" t="s">
        <v>8336</v>
      </c>
      <c r="F642" s="5" t="n">
        <f aca="false">SUMPRODUCT(EXACT('Rule-Event map'!$F$2:$F$1477,$A642)*EXACT('Rule-Event map'!$G$2:$G$1477,$B642))</f>
        <v>1</v>
      </c>
      <c r="G642" s="5" t="n">
        <f aca="false">SUMPRODUCT(EXACT('Rule-Event map'!$F$2:$F$1477,$A642)*EXACT('Rule-Event map'!$G$2:$G$1477,$B642)*('Rule-Event map'!$C$2:$C$1477="New ITDR (7.6.0)"))</f>
        <v>0</v>
      </c>
      <c r="H642" s="5" t="n">
        <f aca="false">SUMPRODUCT(EXACT('Rule-Event map'!$F$2:$F$1477,$A642)*EXACT('Rule-Event map'!$G$2:$G$1477,$B642)*('Rule-Event map'!$C$2:$C$1477="Existing, re-tagged ITDR"))</f>
        <v>0</v>
      </c>
      <c r="I642" s="5" t="n">
        <f aca="false">F642-G642-H642</f>
        <v>1</v>
      </c>
      <c r="J642" s="5" t="n">
        <f aca="false">SUMPRODUCT(EXACT('Rule-Event map'!$F$2:$F$1477,$A642)*EXACT('Rule-Event map'!$G$2:$G$1477,$B642)*('Rule-Event map'!$E$2:$E$1477="Enabled"))</f>
        <v>1</v>
      </c>
      <c r="K642" s="2" t="s">
        <v>3625</v>
      </c>
    </row>
    <row r="643" customFormat="false" ht="23.85" hidden="false" customHeight="false" outlineLevel="0" collapsed="false">
      <c r="A643" s="5" t="s">
        <v>269</v>
      </c>
      <c r="B643" s="2" t="s">
        <v>7851</v>
      </c>
      <c r="C643" s="5"/>
      <c r="D643" s="5"/>
      <c r="E643" s="5" t="s">
        <v>8336</v>
      </c>
      <c r="F643" s="5" t="n">
        <f aca="false">SUMPRODUCT(EXACT('Rule-Event map'!$F$2:$F$1477,$A643)*EXACT('Rule-Event map'!$G$2:$G$1477,$B643))</f>
        <v>2</v>
      </c>
      <c r="G643" s="5" t="n">
        <f aca="false">SUMPRODUCT(EXACT('Rule-Event map'!$F$2:$F$1477,$A643)*EXACT('Rule-Event map'!$G$2:$G$1477,$B643)*('Rule-Event map'!$C$2:$C$1477="New ITDR (7.6.0)"))</f>
        <v>0</v>
      </c>
      <c r="H643" s="5" t="n">
        <f aca="false">SUMPRODUCT(EXACT('Rule-Event map'!$F$2:$F$1477,$A643)*EXACT('Rule-Event map'!$G$2:$G$1477,$B643)*('Rule-Event map'!$C$2:$C$1477="Existing, re-tagged ITDR"))</f>
        <v>0</v>
      </c>
      <c r="I643" s="5" t="n">
        <f aca="false">F643-G643-H643</f>
        <v>2</v>
      </c>
      <c r="J643" s="5" t="n">
        <f aca="false">SUMPRODUCT(EXACT('Rule-Event map'!$F$2:$F$1477,$A643)*EXACT('Rule-Event map'!$G$2:$G$1477,$B643)*('Rule-Event map'!$E$2:$E$1477="Enabled"))</f>
        <v>2</v>
      </c>
      <c r="K643" s="2" t="s">
        <v>8445</v>
      </c>
    </row>
    <row r="644" customFormat="false" ht="15" hidden="false" customHeight="false" outlineLevel="0" collapsed="false">
      <c r="A644" s="5" t="s">
        <v>269</v>
      </c>
      <c r="B644" s="2" t="s">
        <v>7853</v>
      </c>
      <c r="C644" s="5"/>
      <c r="D644" s="5"/>
      <c r="E644" s="5" t="s">
        <v>8336</v>
      </c>
      <c r="F644" s="5" t="n">
        <f aca="false">SUMPRODUCT(EXACT('Rule-Event map'!$F$2:$F$1477,$A644)*EXACT('Rule-Event map'!$G$2:$G$1477,$B644))</f>
        <v>1</v>
      </c>
      <c r="G644" s="5" t="n">
        <f aca="false">SUMPRODUCT(EXACT('Rule-Event map'!$F$2:$F$1477,$A644)*EXACT('Rule-Event map'!$G$2:$G$1477,$B644)*('Rule-Event map'!$C$2:$C$1477="New ITDR (7.6.0)"))</f>
        <v>0</v>
      </c>
      <c r="H644" s="5" t="n">
        <f aca="false">SUMPRODUCT(EXACT('Rule-Event map'!$F$2:$F$1477,$A644)*EXACT('Rule-Event map'!$G$2:$G$1477,$B644)*('Rule-Event map'!$C$2:$C$1477="Existing, re-tagged ITDR"))</f>
        <v>0</v>
      </c>
      <c r="I644" s="5" t="n">
        <f aca="false">F644-G644-H644</f>
        <v>1</v>
      </c>
      <c r="J644" s="5" t="n">
        <f aca="false">SUMPRODUCT(EXACT('Rule-Event map'!$F$2:$F$1477,$A644)*EXACT('Rule-Event map'!$G$2:$G$1477,$B644)*('Rule-Event map'!$E$2:$E$1477="Enabled"))</f>
        <v>1</v>
      </c>
      <c r="K644" s="2" t="s">
        <v>3644</v>
      </c>
    </row>
    <row r="645" customFormat="false" ht="15" hidden="false" customHeight="false" outlineLevel="0" collapsed="false">
      <c r="A645" s="5" t="s">
        <v>269</v>
      </c>
      <c r="B645" s="2" t="s">
        <v>7847</v>
      </c>
      <c r="C645" s="5"/>
      <c r="D645" s="5"/>
      <c r="E645" s="5" t="s">
        <v>8336</v>
      </c>
      <c r="F645" s="5" t="n">
        <f aca="false">SUMPRODUCT(EXACT('Rule-Event map'!$F$2:$F$1477,$A645)*EXACT('Rule-Event map'!$G$2:$G$1477,$B645))</f>
        <v>1</v>
      </c>
      <c r="G645" s="5" t="n">
        <f aca="false">SUMPRODUCT(EXACT('Rule-Event map'!$F$2:$F$1477,$A645)*EXACT('Rule-Event map'!$G$2:$G$1477,$B645)*('Rule-Event map'!$C$2:$C$1477="New ITDR (7.6.0)"))</f>
        <v>0</v>
      </c>
      <c r="H645" s="5" t="n">
        <f aca="false">SUMPRODUCT(EXACT('Rule-Event map'!$F$2:$F$1477,$A645)*EXACT('Rule-Event map'!$G$2:$G$1477,$B645)*('Rule-Event map'!$C$2:$C$1477="Existing, re-tagged ITDR"))</f>
        <v>0</v>
      </c>
      <c r="I645" s="5" t="n">
        <f aca="false">F645-G645-H645</f>
        <v>1</v>
      </c>
      <c r="J645" s="5" t="n">
        <f aca="false">SUMPRODUCT(EXACT('Rule-Event map'!$F$2:$F$1477,$A645)*EXACT('Rule-Event map'!$G$2:$G$1477,$B645)*('Rule-Event map'!$E$2:$E$1477="Enabled"))</f>
        <v>1</v>
      </c>
      <c r="K645" s="2" t="s">
        <v>3534</v>
      </c>
    </row>
    <row r="646" customFormat="false" ht="23.85" hidden="false" customHeight="false" outlineLevel="0" collapsed="false">
      <c r="A646" s="5" t="s">
        <v>269</v>
      </c>
      <c r="B646" s="2" t="s">
        <v>7844</v>
      </c>
      <c r="C646" s="5"/>
      <c r="D646" s="5"/>
      <c r="E646" s="5" t="s">
        <v>8336</v>
      </c>
      <c r="F646" s="5" t="n">
        <f aca="false">SUMPRODUCT(EXACT('Rule-Event map'!$F$2:$F$1477,$A646)*EXACT('Rule-Event map'!$G$2:$G$1477,$B646))</f>
        <v>1</v>
      </c>
      <c r="G646" s="5" t="n">
        <f aca="false">SUMPRODUCT(EXACT('Rule-Event map'!$F$2:$F$1477,$A646)*EXACT('Rule-Event map'!$G$2:$G$1477,$B646)*('Rule-Event map'!$C$2:$C$1477="New ITDR (7.6.0)"))</f>
        <v>0</v>
      </c>
      <c r="H646" s="5" t="n">
        <f aca="false">SUMPRODUCT(EXACT('Rule-Event map'!$F$2:$F$1477,$A646)*EXACT('Rule-Event map'!$G$2:$G$1477,$B646)*('Rule-Event map'!$C$2:$C$1477="Existing, re-tagged ITDR"))</f>
        <v>0</v>
      </c>
      <c r="I646" s="5" t="n">
        <f aca="false">F646-G646-H646</f>
        <v>1</v>
      </c>
      <c r="J646" s="5" t="n">
        <f aca="false">SUMPRODUCT(EXACT('Rule-Event map'!$F$2:$F$1477,$A646)*EXACT('Rule-Event map'!$G$2:$G$1477,$B646)*('Rule-Event map'!$E$2:$E$1477="Enabled"))</f>
        <v>1</v>
      </c>
      <c r="K646" s="2" t="s">
        <v>3513</v>
      </c>
    </row>
    <row r="647" customFormat="false" ht="15" hidden="false" customHeight="false" outlineLevel="0" collapsed="false">
      <c r="A647" s="5" t="s">
        <v>269</v>
      </c>
      <c r="B647" s="2" t="s">
        <v>7840</v>
      </c>
      <c r="C647" s="5"/>
      <c r="D647" s="5"/>
      <c r="E647" s="5" t="s">
        <v>8336</v>
      </c>
      <c r="F647" s="5" t="n">
        <f aca="false">SUMPRODUCT(EXACT('Rule-Event map'!$F$2:$F$1477,$A647)*EXACT('Rule-Event map'!$G$2:$G$1477,$B647))</f>
        <v>1</v>
      </c>
      <c r="G647" s="5" t="n">
        <f aca="false">SUMPRODUCT(EXACT('Rule-Event map'!$F$2:$F$1477,$A647)*EXACT('Rule-Event map'!$G$2:$G$1477,$B647)*('Rule-Event map'!$C$2:$C$1477="New ITDR (7.6.0)"))</f>
        <v>0</v>
      </c>
      <c r="H647" s="5" t="n">
        <f aca="false">SUMPRODUCT(EXACT('Rule-Event map'!$F$2:$F$1477,$A647)*EXACT('Rule-Event map'!$G$2:$G$1477,$B647)*('Rule-Event map'!$C$2:$C$1477="Existing, re-tagged ITDR"))</f>
        <v>0</v>
      </c>
      <c r="I647" s="5" t="n">
        <f aca="false">F647-G647-H647</f>
        <v>1</v>
      </c>
      <c r="J647" s="5" t="n">
        <f aca="false">SUMPRODUCT(EXACT('Rule-Event map'!$F$2:$F$1477,$A647)*EXACT('Rule-Event map'!$G$2:$G$1477,$B647)*('Rule-Event map'!$E$2:$E$1477="Enabled"))</f>
        <v>1</v>
      </c>
      <c r="K647" s="2" t="s">
        <v>3422</v>
      </c>
    </row>
    <row r="648" customFormat="false" ht="15" hidden="false" customHeight="false" outlineLevel="0" collapsed="false">
      <c r="A648" s="5" t="s">
        <v>7667</v>
      </c>
      <c r="B648" s="2" t="s">
        <v>7807</v>
      </c>
      <c r="C648" s="5"/>
      <c r="D648" s="5"/>
      <c r="E648" s="5" t="s">
        <v>8336</v>
      </c>
      <c r="F648" s="5" t="n">
        <f aca="false">SUMPRODUCT(EXACT('Rule-Event map'!$F$2:$F$1477,$A648)*EXACT('Rule-Event map'!$G$2:$G$1477,$B648))</f>
        <v>1</v>
      </c>
      <c r="G648" s="5" t="n">
        <f aca="false">SUMPRODUCT(EXACT('Rule-Event map'!$F$2:$F$1477,$A648)*EXACT('Rule-Event map'!$G$2:$G$1477,$B648)*('Rule-Event map'!$C$2:$C$1477="New ITDR (7.6.0)"))</f>
        <v>0</v>
      </c>
      <c r="H648" s="5" t="n">
        <f aca="false">SUMPRODUCT(EXACT('Rule-Event map'!$F$2:$F$1477,$A648)*EXACT('Rule-Event map'!$G$2:$G$1477,$B648)*('Rule-Event map'!$C$2:$C$1477="Existing, re-tagged ITDR"))</f>
        <v>0</v>
      </c>
      <c r="I648" s="5" t="n">
        <f aca="false">F648-G648-H648</f>
        <v>1</v>
      </c>
      <c r="J648" s="5" t="n">
        <f aca="false">SUMPRODUCT(EXACT('Rule-Event map'!$F$2:$F$1477,$A648)*EXACT('Rule-Event map'!$G$2:$G$1477,$B648)*('Rule-Event map'!$E$2:$E$1477="Enabled"))</f>
        <v>1</v>
      </c>
      <c r="K648" s="2" t="s">
        <v>3011</v>
      </c>
    </row>
    <row r="649" customFormat="false" ht="15" hidden="false" customHeight="false" outlineLevel="0" collapsed="false">
      <c r="A649" s="5" t="s">
        <v>7667</v>
      </c>
      <c r="B649" s="2" t="s">
        <v>7805</v>
      </c>
      <c r="C649" s="5"/>
      <c r="D649" s="5"/>
      <c r="E649" s="5" t="s">
        <v>8336</v>
      </c>
      <c r="F649" s="5" t="n">
        <f aca="false">SUMPRODUCT(EXACT('Rule-Event map'!$F$2:$F$1477,$A649)*EXACT('Rule-Event map'!$G$2:$G$1477,$B649))</f>
        <v>1</v>
      </c>
      <c r="G649" s="5" t="n">
        <f aca="false">SUMPRODUCT(EXACT('Rule-Event map'!$F$2:$F$1477,$A649)*EXACT('Rule-Event map'!$G$2:$G$1477,$B649)*('Rule-Event map'!$C$2:$C$1477="New ITDR (7.6.0)"))</f>
        <v>0</v>
      </c>
      <c r="H649" s="5" t="n">
        <f aca="false">SUMPRODUCT(EXACT('Rule-Event map'!$F$2:$F$1477,$A649)*EXACT('Rule-Event map'!$G$2:$G$1477,$B649)*('Rule-Event map'!$C$2:$C$1477="Existing, re-tagged ITDR"))</f>
        <v>0</v>
      </c>
      <c r="I649" s="5" t="n">
        <f aca="false">F649-G649-H649</f>
        <v>1</v>
      </c>
      <c r="J649" s="5" t="n">
        <f aca="false">SUMPRODUCT(EXACT('Rule-Event map'!$F$2:$F$1477,$A649)*EXACT('Rule-Event map'!$G$2:$G$1477,$B649)*('Rule-Event map'!$E$2:$E$1477="Enabled"))</f>
        <v>1</v>
      </c>
      <c r="K649" s="2" t="s">
        <v>3011</v>
      </c>
    </row>
    <row r="650" customFormat="false" ht="35.05" hidden="false" customHeight="false" outlineLevel="0" collapsed="false">
      <c r="A650" s="5" t="s">
        <v>7667</v>
      </c>
      <c r="B650" s="2" t="s">
        <v>7668</v>
      </c>
      <c r="C650" s="5"/>
      <c r="D650" s="5"/>
      <c r="E650" s="5" t="s">
        <v>8336</v>
      </c>
      <c r="F650" s="5" t="n">
        <f aca="false">SUMPRODUCT(EXACT('Rule-Event map'!$F$2:$F$1477,$A650)*EXACT('Rule-Event map'!$G$2:$G$1477,$B650))</f>
        <v>5</v>
      </c>
      <c r="G650" s="5" t="n">
        <f aca="false">SUMPRODUCT(EXACT('Rule-Event map'!$F$2:$F$1477,$A650)*EXACT('Rule-Event map'!$G$2:$G$1477,$B650)*('Rule-Event map'!$C$2:$C$1477="New ITDR (7.6.0)"))</f>
        <v>1</v>
      </c>
      <c r="H650" s="5" t="n">
        <f aca="false">SUMPRODUCT(EXACT('Rule-Event map'!$F$2:$F$1477,$A650)*EXACT('Rule-Event map'!$G$2:$G$1477,$B650)*('Rule-Event map'!$C$2:$C$1477="Existing, re-tagged ITDR"))</f>
        <v>1</v>
      </c>
      <c r="I650" s="5" t="n">
        <f aca="false">F650-G650-H650</f>
        <v>3</v>
      </c>
      <c r="J650" s="5" t="n">
        <f aca="false">SUMPRODUCT(EXACT('Rule-Event map'!$F$2:$F$1477,$A650)*EXACT('Rule-Event map'!$G$2:$G$1477,$B650)*('Rule-Event map'!$E$2:$E$1477="Enabled"))</f>
        <v>5</v>
      </c>
      <c r="K650" s="2" t="s">
        <v>8446</v>
      </c>
    </row>
    <row r="651" customFormat="false" ht="15" hidden="false" customHeight="false" outlineLevel="0" collapsed="false">
      <c r="A651" s="7" t="s">
        <v>8447</v>
      </c>
      <c r="B651" s="3"/>
      <c r="C651" s="7"/>
      <c r="D651" s="7"/>
      <c r="E651" s="7"/>
      <c r="F651" s="7" t="n">
        <f aca="false">SUM(F2:F650)</f>
        <v>1476</v>
      </c>
      <c r="G651" s="7" t="n">
        <f aca="false">SUM(G2:G650)</f>
        <v>108</v>
      </c>
      <c r="H651" s="7" t="n">
        <f aca="false">SUM(H2:H650)</f>
        <v>309</v>
      </c>
      <c r="I651" s="7" t="n">
        <f aca="false">SUM(I2:I650)</f>
        <v>1059</v>
      </c>
      <c r="J651" s="7" t="n">
        <f aca="false">SUM(J2:J650)</f>
        <v>1309</v>
      </c>
      <c r="K651" s="3" t="s">
        <v>8448</v>
      </c>
    </row>
    <row r="652" customFormat="false" ht="15" hidden="false" customHeight="false" outlineLevel="0" collapsed="false">
      <c r="A652" s="7" t="s">
        <v>8449</v>
      </c>
      <c r="B652" s="3"/>
      <c r="C652" s="7"/>
      <c r="D652" s="7"/>
      <c r="E652" s="7"/>
      <c r="F652" s="7" t="n">
        <f aca="false">COUNTA('Rule-Event map'!$A$2:$A$1477)</f>
        <v>1476</v>
      </c>
      <c r="G652" s="7"/>
      <c r="H652" s="7"/>
      <c r="I652" s="7"/>
      <c r="J652" s="7"/>
      <c r="K652" s="3" t="s">
        <v>8450</v>
      </c>
    </row>
    <row r="653" customFormat="false" ht="15" hidden="false" customHeight="false" outlineLevel="0" collapsed="false">
      <c r="A653" s="7" t="s">
        <v>8326</v>
      </c>
      <c r="B653" s="3"/>
      <c r="C653" s="7"/>
      <c r="D653" s="7"/>
      <c r="E653" s="7"/>
      <c r="F653" s="7" t="str">
        <f aca="false">IF(F651=F652,"OK","MISMATCH")</f>
        <v>OK</v>
      </c>
      <c r="G653" s="7"/>
      <c r="H653" s="7"/>
      <c r="I653" s="7"/>
      <c r="J653" s="7"/>
      <c r="K653" s="3"/>
    </row>
  </sheetData>
  <autoFilter ref="A1:K65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36"/>
    <col collapsed="false" customWidth="true" hidden="false" outlineLevel="0" max="3" min="3" style="0" width="8"/>
    <col collapsed="false" customWidth="true" hidden="false" outlineLevel="0" max="4" min="4" style="0" width="9"/>
    <col collapsed="false" customWidth="true" hidden="false" outlineLevel="0" max="5" min="5" style="0" width="12"/>
    <col collapsed="false" customWidth="true" hidden="false" outlineLevel="0" max="6" min="6" style="0" width="10"/>
    <col collapsed="false" customWidth="true" hidden="false" outlineLevel="0" max="7" min="7" style="0" width="46"/>
    <col collapsed="false" customWidth="true" hidden="false" outlineLevel="0" max="8" min="8" style="0" width="14"/>
    <col collapsed="false" customWidth="true" hidden="false" outlineLevel="0" max="9" min="9" style="0" width="26"/>
    <col collapsed="false" customWidth="true" hidden="false" outlineLevel="0" max="10" min="10" style="0" width="20"/>
    <col collapsed="false" customWidth="true" hidden="false" outlineLevel="0" max="11" min="11" style="0" width="12"/>
    <col collapsed="false" customWidth="true" hidden="false" outlineLevel="0" max="12" min="12" style="0" width="28"/>
    <col collapsed="false" customWidth="true" hidden="false" outlineLevel="0" max="13" min="13" style="0" width="70"/>
  </cols>
  <sheetData>
    <row r="1" customFormat="false" ht="31.5" hidden="false" customHeight="true" outlineLevel="0" collapsed="false">
      <c r="A1" s="4" t="s">
        <v>8451</v>
      </c>
      <c r="B1" s="4" t="s">
        <v>30</v>
      </c>
      <c r="C1" s="4" t="s">
        <v>36</v>
      </c>
      <c r="D1" s="4" t="s">
        <v>35</v>
      </c>
      <c r="E1" s="4" t="s">
        <v>8452</v>
      </c>
      <c r="F1" s="4" t="s">
        <v>8453</v>
      </c>
      <c r="G1" s="4" t="s">
        <v>8454</v>
      </c>
      <c r="H1" s="4" t="s">
        <v>8455</v>
      </c>
      <c r="I1" s="4" t="s">
        <v>8456</v>
      </c>
      <c r="J1" s="4" t="s">
        <v>8457</v>
      </c>
      <c r="K1" s="4" t="s">
        <v>8458</v>
      </c>
      <c r="L1" s="4" t="s">
        <v>8459</v>
      </c>
      <c r="M1" s="4" t="s">
        <v>8460</v>
      </c>
    </row>
    <row r="2" customFormat="false" ht="35.05" hidden="false" customHeight="false" outlineLevel="0" collapsed="false">
      <c r="A2" s="2" t="s">
        <v>150</v>
      </c>
      <c r="B2" s="5" t="s">
        <v>149</v>
      </c>
      <c r="C2" s="5" t="n">
        <v>9</v>
      </c>
      <c r="D2" s="5" t="s">
        <v>62</v>
      </c>
      <c r="E2" s="5" t="s">
        <v>8461</v>
      </c>
      <c r="F2" s="5" t="s">
        <v>83</v>
      </c>
      <c r="G2" s="2" t="s">
        <v>8462</v>
      </c>
      <c r="H2" s="5" t="s">
        <v>83</v>
      </c>
      <c r="I2" s="2" t="s">
        <v>8463</v>
      </c>
      <c r="J2" s="8" t="s">
        <v>8464</v>
      </c>
      <c r="K2" s="5" t="s">
        <v>8336</v>
      </c>
      <c r="L2" s="2" t="s">
        <v>8465</v>
      </c>
      <c r="M2" s="2" t="s">
        <v>8466</v>
      </c>
    </row>
    <row r="3" customFormat="false" ht="23.85" hidden="false" customHeight="false" outlineLevel="0" collapsed="false">
      <c r="A3" s="2" t="s">
        <v>160</v>
      </c>
      <c r="B3" s="5" t="s">
        <v>159</v>
      </c>
      <c r="C3" s="5" t="n">
        <v>9</v>
      </c>
      <c r="D3" s="5" t="s">
        <v>62</v>
      </c>
      <c r="E3" s="5" t="s">
        <v>8461</v>
      </c>
      <c r="F3" s="5" t="s">
        <v>83</v>
      </c>
      <c r="G3" s="2" t="s">
        <v>8467</v>
      </c>
      <c r="H3" s="5" t="s">
        <v>83</v>
      </c>
      <c r="I3" s="2" t="s">
        <v>8468</v>
      </c>
      <c r="J3" s="8" t="s">
        <v>8464</v>
      </c>
      <c r="K3" s="5" t="s">
        <v>8336</v>
      </c>
      <c r="L3" s="2" t="s">
        <v>8465</v>
      </c>
      <c r="M3" s="2" t="s">
        <v>8469</v>
      </c>
    </row>
    <row r="4" customFormat="false" ht="23.85" hidden="false" customHeight="false" outlineLevel="0" collapsed="false">
      <c r="A4" s="2" t="s">
        <v>171</v>
      </c>
      <c r="B4" s="5" t="s">
        <v>170</v>
      </c>
      <c r="C4" s="5" t="n">
        <v>8</v>
      </c>
      <c r="D4" s="5" t="s">
        <v>62</v>
      </c>
      <c r="E4" s="5" t="s">
        <v>8461</v>
      </c>
      <c r="F4" s="5" t="s">
        <v>83</v>
      </c>
      <c r="G4" s="2" t="s">
        <v>174</v>
      </c>
      <c r="H4" s="5" t="s">
        <v>83</v>
      </c>
      <c r="I4" s="2" t="s">
        <v>174</v>
      </c>
      <c r="J4" s="8" t="s">
        <v>8464</v>
      </c>
      <c r="K4" s="5" t="s">
        <v>8336</v>
      </c>
      <c r="L4" s="2" t="s">
        <v>8465</v>
      </c>
      <c r="M4" s="2" t="s">
        <v>8470</v>
      </c>
    </row>
    <row r="5" customFormat="false" ht="15" hidden="false" customHeight="false" outlineLevel="0" collapsed="false">
      <c r="A5" s="2" t="s">
        <v>58</v>
      </c>
      <c r="B5" s="5" t="s">
        <v>57</v>
      </c>
      <c r="C5" s="5" t="n">
        <v>9</v>
      </c>
      <c r="D5" s="5" t="s">
        <v>62</v>
      </c>
      <c r="E5" s="5" t="s">
        <v>8471</v>
      </c>
      <c r="F5" s="5" t="s">
        <v>76</v>
      </c>
      <c r="G5" s="2" t="s">
        <v>7619</v>
      </c>
      <c r="H5" s="5" t="s">
        <v>76</v>
      </c>
      <c r="I5" s="2" t="s">
        <v>83</v>
      </c>
      <c r="J5" s="9" t="s">
        <v>8472</v>
      </c>
      <c r="K5" s="5" t="s">
        <v>8336</v>
      </c>
      <c r="L5" s="2" t="s">
        <v>8473</v>
      </c>
      <c r="M5" s="2" t="s">
        <v>8474</v>
      </c>
    </row>
    <row r="6" customFormat="false" ht="15" hidden="false" customHeight="false" outlineLevel="0" collapsed="false">
      <c r="A6" s="2" t="s">
        <v>80</v>
      </c>
      <c r="B6" s="5" t="s">
        <v>79</v>
      </c>
      <c r="C6" s="5" t="n">
        <v>10</v>
      </c>
      <c r="D6" s="5" t="s">
        <v>62</v>
      </c>
      <c r="E6" s="5" t="s">
        <v>8471</v>
      </c>
      <c r="F6" s="5" t="s">
        <v>76</v>
      </c>
      <c r="G6" s="2" t="s">
        <v>7619</v>
      </c>
      <c r="H6" s="5" t="s">
        <v>76</v>
      </c>
      <c r="I6" s="2" t="s">
        <v>83</v>
      </c>
      <c r="J6" s="9" t="s">
        <v>8472</v>
      </c>
      <c r="K6" s="5" t="s">
        <v>8336</v>
      </c>
      <c r="L6" s="2" t="s">
        <v>8473</v>
      </c>
      <c r="M6" s="2"/>
    </row>
    <row r="7" customFormat="false" ht="23.85" hidden="false" customHeight="false" outlineLevel="0" collapsed="false">
      <c r="A7" s="2" t="s">
        <v>88</v>
      </c>
      <c r="B7" s="5" t="s">
        <v>87</v>
      </c>
      <c r="C7" s="5" t="n">
        <v>8</v>
      </c>
      <c r="D7" s="5" t="s">
        <v>62</v>
      </c>
      <c r="E7" s="5" t="s">
        <v>8471</v>
      </c>
      <c r="F7" s="5" t="s">
        <v>76</v>
      </c>
      <c r="G7" s="2" t="s">
        <v>7619</v>
      </c>
      <c r="H7" s="5" t="s">
        <v>76</v>
      </c>
      <c r="I7" s="2" t="s">
        <v>83</v>
      </c>
      <c r="J7" s="9" t="s">
        <v>8472</v>
      </c>
      <c r="K7" s="5" t="s">
        <v>8336</v>
      </c>
      <c r="L7" s="2" t="s">
        <v>8473</v>
      </c>
      <c r="M7" s="2"/>
    </row>
    <row r="8" customFormat="false" ht="15" hidden="false" customHeight="false" outlineLevel="0" collapsed="false">
      <c r="A8" s="2" t="s">
        <v>98</v>
      </c>
      <c r="B8" s="5" t="s">
        <v>97</v>
      </c>
      <c r="C8" s="5" t="n">
        <v>9</v>
      </c>
      <c r="D8" s="5" t="s">
        <v>62</v>
      </c>
      <c r="E8" s="5" t="s">
        <v>8471</v>
      </c>
      <c r="F8" s="5" t="s">
        <v>105</v>
      </c>
      <c r="G8" s="2" t="s">
        <v>7620</v>
      </c>
      <c r="H8" s="5" t="s">
        <v>105</v>
      </c>
      <c r="I8" s="2" t="s">
        <v>83</v>
      </c>
      <c r="J8" s="9" t="s">
        <v>8472</v>
      </c>
      <c r="K8" s="5" t="s">
        <v>8336</v>
      </c>
      <c r="L8" s="2" t="s">
        <v>8473</v>
      </c>
      <c r="M8" s="2" t="s">
        <v>8475</v>
      </c>
    </row>
    <row r="9" customFormat="false" ht="15" hidden="false" customHeight="false" outlineLevel="0" collapsed="false">
      <c r="A9" s="2" t="s">
        <v>109</v>
      </c>
      <c r="B9" s="5" t="s">
        <v>108</v>
      </c>
      <c r="C9" s="5" t="n">
        <v>10</v>
      </c>
      <c r="D9" s="5" t="s">
        <v>62</v>
      </c>
      <c r="E9" s="5" t="s">
        <v>8471</v>
      </c>
      <c r="F9" s="5" t="s">
        <v>76</v>
      </c>
      <c r="G9" s="2" t="s">
        <v>7619</v>
      </c>
      <c r="H9" s="5" t="s">
        <v>76</v>
      </c>
      <c r="I9" s="2" t="s">
        <v>83</v>
      </c>
      <c r="J9" s="9" t="s">
        <v>8472</v>
      </c>
      <c r="K9" s="5" t="s">
        <v>8336</v>
      </c>
      <c r="L9" s="2" t="s">
        <v>8473</v>
      </c>
      <c r="M9" s="2"/>
    </row>
    <row r="10" customFormat="false" ht="15" hidden="false" customHeight="false" outlineLevel="0" collapsed="false">
      <c r="A10" s="2" t="s">
        <v>115</v>
      </c>
      <c r="B10" s="5" t="s">
        <v>114</v>
      </c>
      <c r="C10" s="5" t="n">
        <v>9</v>
      </c>
      <c r="D10" s="5" t="s">
        <v>62</v>
      </c>
      <c r="E10" s="5" t="s">
        <v>8471</v>
      </c>
      <c r="F10" s="5" t="s">
        <v>76</v>
      </c>
      <c r="G10" s="2" t="s">
        <v>8476</v>
      </c>
      <c r="H10" s="5" t="s">
        <v>76</v>
      </c>
      <c r="I10" s="2" t="s">
        <v>83</v>
      </c>
      <c r="J10" s="9" t="s">
        <v>8472</v>
      </c>
      <c r="K10" s="5" t="s">
        <v>8336</v>
      </c>
      <c r="L10" s="2" t="s">
        <v>8473</v>
      </c>
      <c r="M10" s="2"/>
    </row>
    <row r="11" customFormat="false" ht="15" hidden="false" customHeight="false" outlineLevel="0" collapsed="false">
      <c r="A11" s="2" t="s">
        <v>122</v>
      </c>
      <c r="B11" s="5" t="s">
        <v>121</v>
      </c>
      <c r="C11" s="5" t="n">
        <v>9</v>
      </c>
      <c r="D11" s="5" t="s">
        <v>62</v>
      </c>
      <c r="E11" s="5" t="s">
        <v>8471</v>
      </c>
      <c r="F11" s="5" t="s">
        <v>76</v>
      </c>
      <c r="G11" s="2" t="s">
        <v>7619</v>
      </c>
      <c r="H11" s="5" t="s">
        <v>76</v>
      </c>
      <c r="I11" s="2" t="s">
        <v>83</v>
      </c>
      <c r="J11" s="9" t="s">
        <v>8472</v>
      </c>
      <c r="K11" s="5" t="s">
        <v>8336</v>
      </c>
      <c r="L11" s="2" t="s">
        <v>8473</v>
      </c>
      <c r="M11" s="2"/>
    </row>
    <row r="12" customFormat="false" ht="15" hidden="false" customHeight="false" outlineLevel="0" collapsed="false">
      <c r="A12" s="2" t="s">
        <v>130</v>
      </c>
      <c r="B12" s="5" t="s">
        <v>129</v>
      </c>
      <c r="C12" s="5" t="n">
        <v>9</v>
      </c>
      <c r="D12" s="5" t="s">
        <v>62</v>
      </c>
      <c r="E12" s="5" t="s">
        <v>8471</v>
      </c>
      <c r="F12" s="5" t="s">
        <v>76</v>
      </c>
      <c r="G12" s="2" t="s">
        <v>7619</v>
      </c>
      <c r="H12" s="5" t="s">
        <v>76</v>
      </c>
      <c r="I12" s="2" t="s">
        <v>83</v>
      </c>
      <c r="J12" s="9" t="s">
        <v>8472</v>
      </c>
      <c r="K12" s="5" t="s">
        <v>8336</v>
      </c>
      <c r="L12" s="2" t="s">
        <v>8473</v>
      </c>
      <c r="M12" s="2"/>
    </row>
    <row r="13" customFormat="false" ht="15" hidden="false" customHeight="false" outlineLevel="0" collapsed="false">
      <c r="A13" s="2" t="s">
        <v>135</v>
      </c>
      <c r="B13" s="5" t="s">
        <v>134</v>
      </c>
      <c r="C13" s="5" t="n">
        <v>10</v>
      </c>
      <c r="D13" s="5" t="s">
        <v>62</v>
      </c>
      <c r="E13" s="5" t="s">
        <v>8471</v>
      </c>
      <c r="F13" s="5" t="s">
        <v>76</v>
      </c>
      <c r="G13" s="2" t="s">
        <v>7619</v>
      </c>
      <c r="H13" s="5" t="s">
        <v>76</v>
      </c>
      <c r="I13" s="2" t="s">
        <v>83</v>
      </c>
      <c r="J13" s="9" t="s">
        <v>8472</v>
      </c>
      <c r="K13" s="5" t="s">
        <v>8336</v>
      </c>
      <c r="L13" s="2" t="s">
        <v>8473</v>
      </c>
      <c r="M13" s="2"/>
    </row>
    <row r="14" customFormat="false" ht="15" hidden="false" customHeight="false" outlineLevel="0" collapsed="false">
      <c r="A14" s="2" t="s">
        <v>140</v>
      </c>
      <c r="B14" s="5" t="s">
        <v>139</v>
      </c>
      <c r="C14" s="5" t="n">
        <v>10</v>
      </c>
      <c r="D14" s="5" t="s">
        <v>62</v>
      </c>
      <c r="E14" s="5" t="s">
        <v>8471</v>
      </c>
      <c r="F14" s="5" t="s">
        <v>76</v>
      </c>
      <c r="G14" s="2" t="s">
        <v>7619</v>
      </c>
      <c r="H14" s="5" t="s">
        <v>76</v>
      </c>
      <c r="I14" s="2" t="s">
        <v>83</v>
      </c>
      <c r="J14" s="9" t="s">
        <v>8472</v>
      </c>
      <c r="K14" s="5" t="s">
        <v>8336</v>
      </c>
      <c r="L14" s="2" t="s">
        <v>8473</v>
      </c>
      <c r="M14" s="2"/>
    </row>
    <row r="15" customFormat="false" ht="15" hidden="false" customHeight="false" outlineLevel="0" collapsed="false">
      <c r="A15" s="2" t="s">
        <v>145</v>
      </c>
      <c r="B15" s="5" t="s">
        <v>144</v>
      </c>
      <c r="C15" s="5" t="n">
        <v>9</v>
      </c>
      <c r="D15" s="5" t="s">
        <v>62</v>
      </c>
      <c r="E15" s="5" t="s">
        <v>8471</v>
      </c>
      <c r="F15" s="5" t="s">
        <v>76</v>
      </c>
      <c r="G15" s="2" t="s">
        <v>7619</v>
      </c>
      <c r="H15" s="5" t="s">
        <v>76</v>
      </c>
      <c r="I15" s="2" t="s">
        <v>83</v>
      </c>
      <c r="J15" s="9" t="s">
        <v>8472</v>
      </c>
      <c r="K15" s="5" t="s">
        <v>8336</v>
      </c>
      <c r="L15" s="2" t="s">
        <v>8473</v>
      </c>
      <c r="M15" s="2"/>
    </row>
    <row r="16" customFormat="false" ht="35.05" hidden="false" customHeight="false" outlineLevel="0" collapsed="false">
      <c r="A16" s="2" t="s">
        <v>181</v>
      </c>
      <c r="B16" s="5" t="s">
        <v>180</v>
      </c>
      <c r="C16" s="5" t="n">
        <v>9</v>
      </c>
      <c r="D16" s="5" t="s">
        <v>62</v>
      </c>
      <c r="E16" s="5" t="s">
        <v>8471</v>
      </c>
      <c r="F16" s="5" t="s">
        <v>192</v>
      </c>
      <c r="G16" s="2" t="s">
        <v>8477</v>
      </c>
      <c r="H16" s="5" t="s">
        <v>192</v>
      </c>
      <c r="I16" s="2" t="s">
        <v>83</v>
      </c>
      <c r="J16" s="9" t="s">
        <v>8472</v>
      </c>
      <c r="K16" s="5" t="s">
        <v>8336</v>
      </c>
      <c r="L16" s="2" t="s">
        <v>8478</v>
      </c>
      <c r="M16" s="2" t="s">
        <v>8479</v>
      </c>
    </row>
    <row r="17" customFormat="false" ht="23.85" hidden="false" customHeight="false" outlineLevel="0" collapsed="false">
      <c r="A17" s="2" t="s">
        <v>263</v>
      </c>
      <c r="B17" s="5" t="s">
        <v>262</v>
      </c>
      <c r="C17" s="5" t="n">
        <v>9</v>
      </c>
      <c r="D17" s="5" t="s">
        <v>62</v>
      </c>
      <c r="E17" s="5" t="s">
        <v>8471</v>
      </c>
      <c r="F17" s="5" t="s">
        <v>214</v>
      </c>
      <c r="G17" s="2" t="s">
        <v>7637</v>
      </c>
      <c r="H17" s="5" t="s">
        <v>214</v>
      </c>
      <c r="I17" s="2" t="s">
        <v>83</v>
      </c>
      <c r="J17" s="9" t="s">
        <v>8472</v>
      </c>
      <c r="K17" s="5" t="s">
        <v>8336</v>
      </c>
      <c r="L17" s="2" t="s">
        <v>8478</v>
      </c>
      <c r="M17" s="2" t="s">
        <v>8480</v>
      </c>
    </row>
    <row r="18" customFormat="false" ht="23.85" hidden="false" customHeight="false" outlineLevel="0" collapsed="false">
      <c r="A18" s="2" t="s">
        <v>313</v>
      </c>
      <c r="B18" s="5" t="s">
        <v>312</v>
      </c>
      <c r="C18" s="5" t="n">
        <v>9</v>
      </c>
      <c r="D18" s="5" t="s">
        <v>62</v>
      </c>
      <c r="E18" s="5" t="s">
        <v>8471</v>
      </c>
      <c r="F18" s="5" t="s">
        <v>214</v>
      </c>
      <c r="G18" s="2" t="s">
        <v>8481</v>
      </c>
      <c r="H18" s="5" t="s">
        <v>214</v>
      </c>
      <c r="I18" s="2" t="s">
        <v>83</v>
      </c>
      <c r="J18" s="9" t="s">
        <v>8472</v>
      </c>
      <c r="K18" s="5" t="s">
        <v>8336</v>
      </c>
      <c r="L18" s="2" t="s">
        <v>8478</v>
      </c>
      <c r="M18" s="2" t="s">
        <v>8482</v>
      </c>
    </row>
    <row r="19" customFormat="false" ht="15" hidden="false" customHeight="false" outlineLevel="0" collapsed="false">
      <c r="A19" s="2" t="s">
        <v>350</v>
      </c>
      <c r="B19" s="5" t="s">
        <v>349</v>
      </c>
      <c r="C19" s="5" t="n">
        <v>10</v>
      </c>
      <c r="D19" s="5" t="s">
        <v>62</v>
      </c>
      <c r="E19" s="5" t="s">
        <v>8471</v>
      </c>
      <c r="F19" s="5" t="s">
        <v>192</v>
      </c>
      <c r="G19" s="2" t="s">
        <v>7658</v>
      </c>
      <c r="H19" s="5" t="s">
        <v>192</v>
      </c>
      <c r="I19" s="2" t="s">
        <v>83</v>
      </c>
      <c r="J19" s="9" t="s">
        <v>8472</v>
      </c>
      <c r="K19" s="5" t="s">
        <v>8336</v>
      </c>
      <c r="L19" s="2" t="s">
        <v>8478</v>
      </c>
      <c r="M19" s="2"/>
    </row>
    <row r="20" customFormat="false" ht="23.85" hidden="false" customHeight="false" outlineLevel="0" collapsed="false">
      <c r="A20" s="2" t="s">
        <v>338</v>
      </c>
      <c r="B20" s="5" t="s">
        <v>337</v>
      </c>
      <c r="C20" s="5" t="n">
        <v>7</v>
      </c>
      <c r="D20" s="5" t="s">
        <v>62</v>
      </c>
      <c r="E20" s="5" t="s">
        <v>8471</v>
      </c>
      <c r="F20" s="5" t="s">
        <v>346</v>
      </c>
      <c r="G20" s="2" t="s">
        <v>7657</v>
      </c>
      <c r="H20" s="5" t="s">
        <v>346</v>
      </c>
      <c r="I20" s="2" t="s">
        <v>83</v>
      </c>
      <c r="J20" s="9" t="s">
        <v>8472</v>
      </c>
      <c r="K20" s="5" t="s">
        <v>8336</v>
      </c>
      <c r="L20" s="2" t="s">
        <v>8478</v>
      </c>
      <c r="M20" s="2" t="s">
        <v>8483</v>
      </c>
    </row>
    <row r="21" customFormat="false" ht="23.85" hidden="false" customHeight="false" outlineLevel="0" collapsed="false">
      <c r="A21" s="2" t="s">
        <v>376</v>
      </c>
      <c r="B21" s="5" t="s">
        <v>375</v>
      </c>
      <c r="C21" s="5" t="n">
        <v>7</v>
      </c>
      <c r="D21" s="5" t="s">
        <v>62</v>
      </c>
      <c r="E21" s="5" t="s">
        <v>8471</v>
      </c>
      <c r="F21" s="5" t="s">
        <v>192</v>
      </c>
      <c r="G21" s="2" t="s">
        <v>8484</v>
      </c>
      <c r="H21" s="5" t="s">
        <v>192</v>
      </c>
      <c r="I21" s="2" t="s">
        <v>83</v>
      </c>
      <c r="J21" s="9" t="s">
        <v>8472</v>
      </c>
      <c r="K21" s="5" t="s">
        <v>8336</v>
      </c>
      <c r="L21" s="2" t="s">
        <v>8478</v>
      </c>
      <c r="M21" s="2"/>
    </row>
    <row r="22" customFormat="false" ht="15" hidden="false" customHeight="false" outlineLevel="0" collapsed="false">
      <c r="A22" s="2" t="s">
        <v>384</v>
      </c>
      <c r="B22" s="5" t="s">
        <v>383</v>
      </c>
      <c r="C22" s="5" t="n">
        <v>7</v>
      </c>
      <c r="D22" s="5" t="s">
        <v>62</v>
      </c>
      <c r="E22" s="5" t="s">
        <v>8471</v>
      </c>
      <c r="F22" s="5" t="s">
        <v>192</v>
      </c>
      <c r="G22" s="2" t="s">
        <v>7625</v>
      </c>
      <c r="H22" s="5" t="s">
        <v>192</v>
      </c>
      <c r="I22" s="2" t="s">
        <v>83</v>
      </c>
      <c r="J22" s="9" t="s">
        <v>8472</v>
      </c>
      <c r="K22" s="5" t="s">
        <v>8336</v>
      </c>
      <c r="L22" s="2" t="s">
        <v>8478</v>
      </c>
      <c r="M22" s="2"/>
    </row>
    <row r="23" customFormat="false" ht="15" hidden="false" customHeight="false" outlineLevel="0" collapsed="false">
      <c r="A23" s="2" t="s">
        <v>390</v>
      </c>
      <c r="B23" s="5" t="s">
        <v>389</v>
      </c>
      <c r="C23" s="5" t="n">
        <v>7</v>
      </c>
      <c r="D23" s="5" t="s">
        <v>62</v>
      </c>
      <c r="E23" s="5" t="s">
        <v>8471</v>
      </c>
      <c r="F23" s="5" t="s">
        <v>192</v>
      </c>
      <c r="G23" s="2" t="s">
        <v>7666</v>
      </c>
      <c r="H23" s="5" t="s">
        <v>192</v>
      </c>
      <c r="I23" s="2" t="s">
        <v>83</v>
      </c>
      <c r="J23" s="9" t="s">
        <v>8472</v>
      </c>
      <c r="K23" s="5" t="s">
        <v>8336</v>
      </c>
      <c r="L23" s="2" t="s">
        <v>8478</v>
      </c>
      <c r="M23" s="2"/>
    </row>
    <row r="24" customFormat="false" ht="23.85" hidden="false" customHeight="false" outlineLevel="0" collapsed="false">
      <c r="A24" s="2" t="s">
        <v>428</v>
      </c>
      <c r="B24" s="5" t="s">
        <v>427</v>
      </c>
      <c r="C24" s="5" t="n">
        <v>9</v>
      </c>
      <c r="D24" s="5" t="s">
        <v>62</v>
      </c>
      <c r="E24" s="5" t="s">
        <v>8471</v>
      </c>
      <c r="F24" s="5" t="s">
        <v>214</v>
      </c>
      <c r="G24" s="2" t="s">
        <v>7637</v>
      </c>
      <c r="H24" s="5" t="s">
        <v>214</v>
      </c>
      <c r="I24" s="2" t="s">
        <v>83</v>
      </c>
      <c r="J24" s="9" t="s">
        <v>8472</v>
      </c>
      <c r="K24" s="5" t="s">
        <v>8336</v>
      </c>
      <c r="L24" s="2" t="s">
        <v>8478</v>
      </c>
      <c r="M24" s="2" t="s">
        <v>8480</v>
      </c>
    </row>
    <row r="25" customFormat="false" ht="23.85" hidden="false" customHeight="false" outlineLevel="0" collapsed="false">
      <c r="A25" s="2" t="s">
        <v>443</v>
      </c>
      <c r="B25" s="5" t="s">
        <v>442</v>
      </c>
      <c r="C25" s="5" t="n">
        <v>9</v>
      </c>
      <c r="D25" s="5" t="s">
        <v>62</v>
      </c>
      <c r="E25" s="5" t="s">
        <v>8471</v>
      </c>
      <c r="F25" s="5" t="s">
        <v>214</v>
      </c>
      <c r="G25" s="2" t="s">
        <v>7637</v>
      </c>
      <c r="H25" s="5" t="s">
        <v>214</v>
      </c>
      <c r="I25" s="2" t="s">
        <v>83</v>
      </c>
      <c r="J25" s="9" t="s">
        <v>8472</v>
      </c>
      <c r="K25" s="5" t="s">
        <v>8336</v>
      </c>
      <c r="L25" s="2" t="s">
        <v>8478</v>
      </c>
      <c r="M25" s="2" t="s">
        <v>8480</v>
      </c>
    </row>
    <row r="26" customFormat="false" ht="23.85" hidden="false" customHeight="false" outlineLevel="0" collapsed="false">
      <c r="A26" s="2" t="s">
        <v>461</v>
      </c>
      <c r="B26" s="5" t="s">
        <v>460</v>
      </c>
      <c r="C26" s="5" t="n">
        <v>10</v>
      </c>
      <c r="D26" s="5" t="s">
        <v>62</v>
      </c>
      <c r="E26" s="5" t="s">
        <v>8471</v>
      </c>
      <c r="F26" s="5" t="s">
        <v>214</v>
      </c>
      <c r="G26" s="2" t="s">
        <v>7637</v>
      </c>
      <c r="H26" s="5" t="s">
        <v>214</v>
      </c>
      <c r="I26" s="2" t="s">
        <v>83</v>
      </c>
      <c r="J26" s="9" t="s">
        <v>8472</v>
      </c>
      <c r="K26" s="5" t="s">
        <v>8336</v>
      </c>
      <c r="L26" s="2" t="s">
        <v>8478</v>
      </c>
      <c r="M26" s="2" t="s">
        <v>8480</v>
      </c>
    </row>
    <row r="27" customFormat="false" ht="35.05" hidden="false" customHeight="false" outlineLevel="0" collapsed="false">
      <c r="A27" s="2" t="s">
        <v>207</v>
      </c>
      <c r="B27" s="5" t="s">
        <v>206</v>
      </c>
      <c r="C27" s="5" t="n">
        <v>8</v>
      </c>
      <c r="D27" s="5" t="s">
        <v>62</v>
      </c>
      <c r="E27" s="5" t="s">
        <v>8485</v>
      </c>
      <c r="F27" s="5" t="s">
        <v>249</v>
      </c>
      <c r="G27" s="2" t="s">
        <v>7637</v>
      </c>
      <c r="H27" s="5" t="s">
        <v>214</v>
      </c>
      <c r="I27" s="2" t="s">
        <v>83</v>
      </c>
      <c r="J27" s="9" t="s">
        <v>8472</v>
      </c>
      <c r="K27" s="10" t="s">
        <v>8332</v>
      </c>
      <c r="L27" s="2" t="s">
        <v>8478</v>
      </c>
      <c r="M27" s="2" t="s">
        <v>8486</v>
      </c>
    </row>
    <row r="28" customFormat="false" ht="35.05" hidden="false" customHeight="false" outlineLevel="0" collapsed="false">
      <c r="A28" s="2" t="s">
        <v>218</v>
      </c>
      <c r="B28" s="5" t="s">
        <v>217</v>
      </c>
      <c r="C28" s="5" t="n">
        <v>8</v>
      </c>
      <c r="D28" s="5" t="s">
        <v>62</v>
      </c>
      <c r="E28" s="5" t="s">
        <v>8485</v>
      </c>
      <c r="F28" s="5" t="s">
        <v>249</v>
      </c>
      <c r="G28" s="2" t="s">
        <v>7637</v>
      </c>
      <c r="H28" s="5" t="s">
        <v>214</v>
      </c>
      <c r="I28" s="2" t="s">
        <v>83</v>
      </c>
      <c r="J28" s="9" t="s">
        <v>8472</v>
      </c>
      <c r="K28" s="10" t="s">
        <v>8332</v>
      </c>
      <c r="L28" s="2" t="s">
        <v>8478</v>
      </c>
      <c r="M28" s="2" t="s">
        <v>8486</v>
      </c>
    </row>
    <row r="29" customFormat="false" ht="35.05" hidden="false" customHeight="false" outlineLevel="0" collapsed="false">
      <c r="A29" s="2" t="s">
        <v>228</v>
      </c>
      <c r="B29" s="5" t="s">
        <v>227</v>
      </c>
      <c r="C29" s="5" t="n">
        <v>7</v>
      </c>
      <c r="D29" s="5" t="s">
        <v>62</v>
      </c>
      <c r="E29" s="5" t="s">
        <v>8485</v>
      </c>
      <c r="F29" s="5" t="s">
        <v>249</v>
      </c>
      <c r="G29" s="2" t="s">
        <v>7637</v>
      </c>
      <c r="H29" s="5" t="s">
        <v>214</v>
      </c>
      <c r="I29" s="2" t="s">
        <v>83</v>
      </c>
      <c r="J29" s="9" t="s">
        <v>8472</v>
      </c>
      <c r="K29" s="10" t="s">
        <v>8332</v>
      </c>
      <c r="L29" s="2" t="s">
        <v>8478</v>
      </c>
      <c r="M29" s="2" t="s">
        <v>8486</v>
      </c>
    </row>
    <row r="30" customFormat="false" ht="35.05" hidden="false" customHeight="false" outlineLevel="0" collapsed="false">
      <c r="A30" s="2" t="s">
        <v>234</v>
      </c>
      <c r="B30" s="5" t="s">
        <v>233</v>
      </c>
      <c r="C30" s="5" t="n">
        <v>8</v>
      </c>
      <c r="D30" s="5" t="s">
        <v>62</v>
      </c>
      <c r="E30" s="5" t="s">
        <v>8485</v>
      </c>
      <c r="F30" s="5" t="s">
        <v>249</v>
      </c>
      <c r="G30" s="2" t="s">
        <v>7637</v>
      </c>
      <c r="H30" s="5" t="s">
        <v>214</v>
      </c>
      <c r="I30" s="2" t="s">
        <v>83</v>
      </c>
      <c r="J30" s="9" t="s">
        <v>8472</v>
      </c>
      <c r="K30" s="10" t="s">
        <v>8332</v>
      </c>
      <c r="L30" s="2" t="s">
        <v>8478</v>
      </c>
      <c r="M30" s="2" t="s">
        <v>8486</v>
      </c>
    </row>
    <row r="31" customFormat="false" ht="35.05" hidden="false" customHeight="false" outlineLevel="0" collapsed="false">
      <c r="A31" s="2" t="s">
        <v>239</v>
      </c>
      <c r="B31" s="5" t="s">
        <v>238</v>
      </c>
      <c r="C31" s="5" t="n">
        <v>8</v>
      </c>
      <c r="D31" s="5" t="s">
        <v>62</v>
      </c>
      <c r="E31" s="5" t="s">
        <v>8485</v>
      </c>
      <c r="F31" s="5" t="s">
        <v>249</v>
      </c>
      <c r="G31" s="2" t="s">
        <v>7637</v>
      </c>
      <c r="H31" s="5" t="s">
        <v>214</v>
      </c>
      <c r="I31" s="2" t="s">
        <v>83</v>
      </c>
      <c r="J31" s="9" t="s">
        <v>8472</v>
      </c>
      <c r="K31" s="10" t="s">
        <v>8332</v>
      </c>
      <c r="L31" s="2" t="s">
        <v>8478</v>
      </c>
      <c r="M31" s="2" t="s">
        <v>8486</v>
      </c>
    </row>
    <row r="32" customFormat="false" ht="23.85" hidden="false" customHeight="false" outlineLevel="0" collapsed="false">
      <c r="A32" s="2" t="s">
        <v>245</v>
      </c>
      <c r="B32" s="5" t="s">
        <v>244</v>
      </c>
      <c r="C32" s="5" t="n">
        <v>8</v>
      </c>
      <c r="D32" s="5" t="s">
        <v>62</v>
      </c>
      <c r="E32" s="5" t="s">
        <v>8485</v>
      </c>
      <c r="F32" s="5" t="s">
        <v>249</v>
      </c>
      <c r="G32" s="2" t="s">
        <v>7638</v>
      </c>
      <c r="H32" s="5" t="s">
        <v>249</v>
      </c>
      <c r="I32" s="2" t="s">
        <v>83</v>
      </c>
      <c r="J32" s="9" t="s">
        <v>8472</v>
      </c>
      <c r="K32" s="5" t="s">
        <v>8336</v>
      </c>
      <c r="L32" s="2" t="s">
        <v>8487</v>
      </c>
      <c r="M32" s="2" t="s">
        <v>8488</v>
      </c>
    </row>
    <row r="33" customFormat="false" ht="35.05" hidden="false" customHeight="false" outlineLevel="0" collapsed="false">
      <c r="A33" s="2" t="s">
        <v>253</v>
      </c>
      <c r="B33" s="5" t="s">
        <v>252</v>
      </c>
      <c r="C33" s="5" t="n">
        <v>7</v>
      </c>
      <c r="D33" s="5" t="s">
        <v>62</v>
      </c>
      <c r="E33" s="5" t="s">
        <v>8485</v>
      </c>
      <c r="F33" s="5" t="s">
        <v>249</v>
      </c>
      <c r="G33" s="2" t="s">
        <v>8489</v>
      </c>
      <c r="H33" s="5" t="s">
        <v>83</v>
      </c>
      <c r="I33" s="2" t="s">
        <v>7640</v>
      </c>
      <c r="J33" s="10" t="s">
        <v>8490</v>
      </c>
      <c r="K33" s="10" t="s">
        <v>8332</v>
      </c>
      <c r="L33" s="2" t="s">
        <v>8491</v>
      </c>
      <c r="M33" s="2" t="s">
        <v>8492</v>
      </c>
    </row>
    <row r="34" customFormat="false" ht="23.85" hidden="false" customHeight="false" outlineLevel="0" collapsed="false">
      <c r="A34" s="2" t="s">
        <v>283</v>
      </c>
      <c r="B34" s="5" t="s">
        <v>282</v>
      </c>
      <c r="C34" s="5" t="n">
        <v>9</v>
      </c>
      <c r="D34" s="5" t="s">
        <v>62</v>
      </c>
      <c r="E34" s="5" t="s">
        <v>8485</v>
      </c>
      <c r="F34" s="5" t="s">
        <v>249</v>
      </c>
      <c r="G34" s="2" t="s">
        <v>8493</v>
      </c>
      <c r="H34" s="5" t="s">
        <v>249</v>
      </c>
      <c r="I34" s="2" t="s">
        <v>8494</v>
      </c>
      <c r="J34" s="11" t="s">
        <v>8495</v>
      </c>
      <c r="K34" s="5" t="s">
        <v>8336</v>
      </c>
      <c r="L34" s="2" t="s">
        <v>8487</v>
      </c>
      <c r="M34" s="2" t="s">
        <v>8496</v>
      </c>
    </row>
    <row r="35" customFormat="false" ht="35.05" hidden="false" customHeight="false" outlineLevel="0" collapsed="false">
      <c r="A35" s="2" t="s">
        <v>291</v>
      </c>
      <c r="B35" s="5" t="s">
        <v>290</v>
      </c>
      <c r="C35" s="5" t="n">
        <v>8</v>
      </c>
      <c r="D35" s="5" t="s">
        <v>62</v>
      </c>
      <c r="E35" s="5" t="s">
        <v>8485</v>
      </c>
      <c r="F35" s="5" t="s">
        <v>249</v>
      </c>
      <c r="G35" s="2" t="s">
        <v>7637</v>
      </c>
      <c r="H35" s="5" t="s">
        <v>214</v>
      </c>
      <c r="I35" s="2" t="s">
        <v>83</v>
      </c>
      <c r="J35" s="9" t="s">
        <v>8472</v>
      </c>
      <c r="K35" s="10" t="s">
        <v>8332</v>
      </c>
      <c r="L35" s="2" t="s">
        <v>8478</v>
      </c>
      <c r="M35" s="2" t="s">
        <v>8486</v>
      </c>
    </row>
    <row r="36" customFormat="false" ht="35.05" hidden="false" customHeight="false" outlineLevel="0" collapsed="false">
      <c r="A36" s="2" t="s">
        <v>322</v>
      </c>
      <c r="B36" s="5" t="s">
        <v>321</v>
      </c>
      <c r="C36" s="5" t="n">
        <v>9</v>
      </c>
      <c r="D36" s="5" t="s">
        <v>62</v>
      </c>
      <c r="E36" s="5" t="s">
        <v>8485</v>
      </c>
      <c r="F36" s="5" t="s">
        <v>249</v>
      </c>
      <c r="G36" s="2" t="s">
        <v>7637</v>
      </c>
      <c r="H36" s="5" t="s">
        <v>214</v>
      </c>
      <c r="I36" s="2" t="s">
        <v>83</v>
      </c>
      <c r="J36" s="9" t="s">
        <v>8472</v>
      </c>
      <c r="K36" s="10" t="s">
        <v>8332</v>
      </c>
      <c r="L36" s="2" t="s">
        <v>8478</v>
      </c>
      <c r="M36" s="2" t="s">
        <v>8486</v>
      </c>
    </row>
    <row r="37" customFormat="false" ht="35.05" hidden="false" customHeight="false" outlineLevel="0" collapsed="false">
      <c r="A37" s="2" t="s">
        <v>327</v>
      </c>
      <c r="B37" s="5" t="s">
        <v>326</v>
      </c>
      <c r="C37" s="5" t="n">
        <v>9</v>
      </c>
      <c r="D37" s="5" t="s">
        <v>62</v>
      </c>
      <c r="E37" s="5" t="s">
        <v>8485</v>
      </c>
      <c r="F37" s="5" t="s">
        <v>249</v>
      </c>
      <c r="G37" s="2" t="s">
        <v>7637</v>
      </c>
      <c r="H37" s="5" t="s">
        <v>214</v>
      </c>
      <c r="I37" s="2" t="s">
        <v>83</v>
      </c>
      <c r="J37" s="9" t="s">
        <v>8472</v>
      </c>
      <c r="K37" s="10" t="s">
        <v>8332</v>
      </c>
      <c r="L37" s="2" t="s">
        <v>8478</v>
      </c>
      <c r="M37" s="2" t="s">
        <v>8486</v>
      </c>
    </row>
    <row r="38" customFormat="false" ht="35.05" hidden="false" customHeight="false" outlineLevel="0" collapsed="false">
      <c r="A38" s="2" t="s">
        <v>196</v>
      </c>
      <c r="B38" s="5" t="s">
        <v>195</v>
      </c>
      <c r="C38" s="5" t="n">
        <v>8</v>
      </c>
      <c r="D38" s="5" t="s">
        <v>62</v>
      </c>
      <c r="E38" s="5" t="s">
        <v>8497</v>
      </c>
      <c r="F38" s="5" t="s">
        <v>309</v>
      </c>
      <c r="G38" s="2" t="s">
        <v>8498</v>
      </c>
      <c r="H38" s="5" t="s">
        <v>203</v>
      </c>
      <c r="I38" s="2" t="s">
        <v>7631</v>
      </c>
      <c r="J38" s="9" t="s">
        <v>8499</v>
      </c>
      <c r="K38" s="5" t="s">
        <v>8336</v>
      </c>
      <c r="L38" s="2" t="s">
        <v>8500</v>
      </c>
      <c r="M38" s="2" t="s">
        <v>8501</v>
      </c>
    </row>
    <row r="39" customFormat="false" ht="35.05" hidden="false" customHeight="false" outlineLevel="0" collapsed="false">
      <c r="A39" s="2" t="s">
        <v>223</v>
      </c>
      <c r="B39" s="5" t="s">
        <v>222</v>
      </c>
      <c r="C39" s="5" t="n">
        <v>9</v>
      </c>
      <c r="D39" s="5" t="s">
        <v>62</v>
      </c>
      <c r="E39" s="5" t="s">
        <v>8497</v>
      </c>
      <c r="F39" s="5" t="s">
        <v>309</v>
      </c>
      <c r="G39" s="2" t="s">
        <v>8498</v>
      </c>
      <c r="H39" s="5" t="s">
        <v>203</v>
      </c>
      <c r="I39" s="2" t="s">
        <v>7631</v>
      </c>
      <c r="J39" s="9" t="s">
        <v>8499</v>
      </c>
      <c r="K39" s="5" t="s">
        <v>8336</v>
      </c>
      <c r="L39" s="2" t="s">
        <v>8500</v>
      </c>
      <c r="M39" s="2" t="s">
        <v>8501</v>
      </c>
    </row>
    <row r="40" customFormat="false" ht="35.05" hidden="false" customHeight="false" outlineLevel="0" collapsed="false">
      <c r="A40" s="2" t="s">
        <v>268</v>
      </c>
      <c r="B40" s="5" t="s">
        <v>267</v>
      </c>
      <c r="C40" s="5" t="n">
        <v>9</v>
      </c>
      <c r="D40" s="5" t="s">
        <v>62</v>
      </c>
      <c r="E40" s="5" t="s">
        <v>8497</v>
      </c>
      <c r="F40" s="5" t="s">
        <v>1225</v>
      </c>
      <c r="G40" s="2" t="s">
        <v>8498</v>
      </c>
      <c r="H40" s="5" t="s">
        <v>203</v>
      </c>
      <c r="I40" s="2" t="s">
        <v>7631</v>
      </c>
      <c r="J40" s="9" t="s">
        <v>8499</v>
      </c>
      <c r="K40" s="10" t="s">
        <v>8332</v>
      </c>
      <c r="L40" s="2" t="s">
        <v>8500</v>
      </c>
      <c r="M40" s="2" t="s">
        <v>8502</v>
      </c>
    </row>
    <row r="41" customFormat="false" ht="35.05" hidden="false" customHeight="false" outlineLevel="0" collapsed="false">
      <c r="A41" s="2" t="s">
        <v>275</v>
      </c>
      <c r="B41" s="5" t="s">
        <v>274</v>
      </c>
      <c r="C41" s="5" t="n">
        <v>9</v>
      </c>
      <c r="D41" s="5" t="s">
        <v>62</v>
      </c>
      <c r="E41" s="5" t="s">
        <v>8497</v>
      </c>
      <c r="F41" s="5" t="s">
        <v>309</v>
      </c>
      <c r="G41" s="2" t="s">
        <v>8498</v>
      </c>
      <c r="H41" s="5" t="s">
        <v>203</v>
      </c>
      <c r="I41" s="2" t="s">
        <v>7631</v>
      </c>
      <c r="J41" s="9" t="s">
        <v>8499</v>
      </c>
      <c r="K41" s="5" t="s">
        <v>8336</v>
      </c>
      <c r="L41" s="2" t="s">
        <v>8500</v>
      </c>
      <c r="M41" s="2" t="s">
        <v>8501</v>
      </c>
    </row>
    <row r="42" customFormat="false" ht="35.05" hidden="false" customHeight="false" outlineLevel="0" collapsed="false">
      <c r="A42" s="2" t="s">
        <v>332</v>
      </c>
      <c r="B42" s="5" t="s">
        <v>331</v>
      </c>
      <c r="C42" s="5" t="n">
        <v>10</v>
      </c>
      <c r="D42" s="5" t="s">
        <v>62</v>
      </c>
      <c r="E42" s="5" t="s">
        <v>8497</v>
      </c>
      <c r="F42" s="5" t="s">
        <v>309</v>
      </c>
      <c r="G42" s="2" t="s">
        <v>8498</v>
      </c>
      <c r="H42" s="5" t="s">
        <v>203</v>
      </c>
      <c r="I42" s="2" t="s">
        <v>7631</v>
      </c>
      <c r="J42" s="9" t="s">
        <v>8499</v>
      </c>
      <c r="K42" s="5" t="s">
        <v>8336</v>
      </c>
      <c r="L42" s="2" t="s">
        <v>8500</v>
      </c>
      <c r="M42" s="2" t="s">
        <v>8501</v>
      </c>
    </row>
    <row r="43" customFormat="false" ht="35.05" hidden="false" customHeight="false" outlineLevel="0" collapsed="false">
      <c r="A43" s="2" t="s">
        <v>366</v>
      </c>
      <c r="B43" s="5" t="s">
        <v>365</v>
      </c>
      <c r="C43" s="5" t="n">
        <v>9</v>
      </c>
      <c r="D43" s="5" t="s">
        <v>62</v>
      </c>
      <c r="E43" s="5" t="s">
        <v>8497</v>
      </c>
      <c r="F43" s="5" t="s">
        <v>372</v>
      </c>
      <c r="G43" s="2" t="s">
        <v>7659</v>
      </c>
      <c r="H43" s="5" t="s">
        <v>372</v>
      </c>
      <c r="I43" s="2" t="s">
        <v>83</v>
      </c>
      <c r="J43" s="9" t="s">
        <v>8472</v>
      </c>
      <c r="K43" s="5" t="s">
        <v>8336</v>
      </c>
      <c r="L43" s="2" t="s">
        <v>8500</v>
      </c>
      <c r="M43" s="2" t="s">
        <v>8503</v>
      </c>
    </row>
    <row r="44" customFormat="false" ht="35.05" hidden="false" customHeight="false" outlineLevel="0" collapsed="false">
      <c r="A44" s="2" t="s">
        <v>396</v>
      </c>
      <c r="B44" s="5" t="s">
        <v>395</v>
      </c>
      <c r="C44" s="5" t="n">
        <v>9</v>
      </c>
      <c r="D44" s="5" t="s">
        <v>62</v>
      </c>
      <c r="E44" s="5" t="s">
        <v>8497</v>
      </c>
      <c r="F44" s="5" t="s">
        <v>309</v>
      </c>
      <c r="G44" s="2" t="s">
        <v>8498</v>
      </c>
      <c r="H44" s="5" t="s">
        <v>203</v>
      </c>
      <c r="I44" s="2" t="s">
        <v>7631</v>
      </c>
      <c r="J44" s="9" t="s">
        <v>8499</v>
      </c>
      <c r="K44" s="5" t="s">
        <v>8336</v>
      </c>
      <c r="L44" s="2" t="s">
        <v>8500</v>
      </c>
      <c r="M44" s="2" t="s">
        <v>8501</v>
      </c>
    </row>
    <row r="45" customFormat="false" ht="35.05" hidden="false" customHeight="false" outlineLevel="0" collapsed="false">
      <c r="A45" s="2" t="s">
        <v>407</v>
      </c>
      <c r="B45" s="5" t="s">
        <v>406</v>
      </c>
      <c r="C45" s="5" t="n">
        <v>9</v>
      </c>
      <c r="D45" s="5" t="s">
        <v>62</v>
      </c>
      <c r="E45" s="5" t="s">
        <v>8497</v>
      </c>
      <c r="F45" s="5" t="s">
        <v>372</v>
      </c>
      <c r="G45" s="2" t="s">
        <v>8504</v>
      </c>
      <c r="H45" s="5" t="s">
        <v>309</v>
      </c>
      <c r="I45" s="2" t="s">
        <v>7631</v>
      </c>
      <c r="J45" s="9" t="s">
        <v>8499</v>
      </c>
      <c r="K45" s="10" t="s">
        <v>8332</v>
      </c>
      <c r="L45" s="2" t="s">
        <v>8500</v>
      </c>
      <c r="M45" s="2" t="s">
        <v>8505</v>
      </c>
    </row>
    <row r="46" customFormat="false" ht="23.85" hidden="false" customHeight="false" outlineLevel="0" collapsed="false">
      <c r="A46" s="2" t="s">
        <v>412</v>
      </c>
      <c r="B46" s="5" t="s">
        <v>411</v>
      </c>
      <c r="C46" s="5" t="n">
        <v>9</v>
      </c>
      <c r="D46" s="5" t="s">
        <v>62</v>
      </c>
      <c r="E46" s="5" t="s">
        <v>8497</v>
      </c>
      <c r="F46" s="5" t="s">
        <v>309</v>
      </c>
      <c r="G46" s="2" t="s">
        <v>7668</v>
      </c>
      <c r="H46" s="5" t="s">
        <v>83</v>
      </c>
      <c r="I46" s="2" t="s">
        <v>7668</v>
      </c>
      <c r="J46" s="10" t="s">
        <v>8490</v>
      </c>
      <c r="K46" s="10" t="s">
        <v>8332</v>
      </c>
      <c r="L46" s="2" t="s">
        <v>8506</v>
      </c>
      <c r="M46" s="2" t="s">
        <v>8507</v>
      </c>
    </row>
    <row r="47" customFormat="false" ht="35.05" hidden="false" customHeight="false" outlineLevel="0" collapsed="false">
      <c r="A47" s="2" t="s">
        <v>433</v>
      </c>
      <c r="B47" s="5" t="s">
        <v>432</v>
      </c>
      <c r="C47" s="5" t="n">
        <v>9</v>
      </c>
      <c r="D47" s="5" t="s">
        <v>62</v>
      </c>
      <c r="E47" s="5" t="s">
        <v>8497</v>
      </c>
      <c r="F47" s="5" t="s">
        <v>309</v>
      </c>
      <c r="G47" s="2" t="s">
        <v>8498</v>
      </c>
      <c r="H47" s="5" t="s">
        <v>203</v>
      </c>
      <c r="I47" s="2" t="s">
        <v>7631</v>
      </c>
      <c r="J47" s="9" t="s">
        <v>8499</v>
      </c>
      <c r="K47" s="5" t="s">
        <v>8336</v>
      </c>
      <c r="L47" s="2" t="s">
        <v>8500</v>
      </c>
      <c r="M47" s="2" t="s">
        <v>8501</v>
      </c>
    </row>
    <row r="48" customFormat="false" ht="35.05" hidden="false" customHeight="false" outlineLevel="0" collapsed="false">
      <c r="A48" s="2" t="s">
        <v>466</v>
      </c>
      <c r="B48" s="5" t="s">
        <v>465</v>
      </c>
      <c r="C48" s="5" t="n">
        <v>9</v>
      </c>
      <c r="D48" s="5" t="s">
        <v>62</v>
      </c>
      <c r="E48" s="5" t="s">
        <v>8497</v>
      </c>
      <c r="F48" s="5" t="s">
        <v>1225</v>
      </c>
      <c r="G48" s="2" t="s">
        <v>8498</v>
      </c>
      <c r="H48" s="5" t="s">
        <v>203</v>
      </c>
      <c r="I48" s="2" t="s">
        <v>7631</v>
      </c>
      <c r="J48" s="9" t="s">
        <v>8499</v>
      </c>
      <c r="K48" s="10" t="s">
        <v>8332</v>
      </c>
      <c r="L48" s="2" t="s">
        <v>8500</v>
      </c>
      <c r="M48" s="2" t="s">
        <v>8508</v>
      </c>
    </row>
    <row r="49" customFormat="false" ht="35.05" hidden="false" customHeight="false" outlineLevel="0" collapsed="false">
      <c r="A49" s="2" t="s">
        <v>448</v>
      </c>
      <c r="B49" s="5" t="s">
        <v>447</v>
      </c>
      <c r="C49" s="5" t="n">
        <v>9</v>
      </c>
      <c r="D49" s="5" t="s">
        <v>62</v>
      </c>
      <c r="E49" s="5" t="s">
        <v>8497</v>
      </c>
      <c r="F49" s="5" t="s">
        <v>309</v>
      </c>
      <c r="G49" s="2" t="s">
        <v>8498</v>
      </c>
      <c r="H49" s="5" t="s">
        <v>203</v>
      </c>
      <c r="I49" s="2" t="s">
        <v>7631</v>
      </c>
      <c r="J49" s="9" t="s">
        <v>8499</v>
      </c>
      <c r="K49" s="5" t="s">
        <v>8336</v>
      </c>
      <c r="L49" s="2" t="s">
        <v>8500</v>
      </c>
      <c r="M49" s="2" t="s">
        <v>8501</v>
      </c>
    </row>
    <row r="50" customFormat="false" ht="35.05" hidden="false" customHeight="false" outlineLevel="0" collapsed="false">
      <c r="A50" s="2" t="s">
        <v>455</v>
      </c>
      <c r="B50" s="5" t="s">
        <v>454</v>
      </c>
      <c r="C50" s="5" t="n">
        <v>9</v>
      </c>
      <c r="D50" s="5" t="s">
        <v>62</v>
      </c>
      <c r="E50" s="5" t="s">
        <v>8497</v>
      </c>
      <c r="F50" s="5" t="s">
        <v>309</v>
      </c>
      <c r="G50" s="2" t="s">
        <v>8504</v>
      </c>
      <c r="H50" s="5" t="s">
        <v>309</v>
      </c>
      <c r="I50" s="2" t="s">
        <v>7631</v>
      </c>
      <c r="J50" s="9" t="s">
        <v>8499</v>
      </c>
      <c r="K50" s="5" t="s">
        <v>8336</v>
      </c>
      <c r="L50" s="2" t="s">
        <v>8500</v>
      </c>
      <c r="M50" s="2" t="s">
        <v>8509</v>
      </c>
    </row>
    <row r="51" customFormat="false" ht="35.05" hidden="false" customHeight="false" outlineLevel="0" collapsed="false">
      <c r="A51" s="2" t="s">
        <v>472</v>
      </c>
      <c r="B51" s="5" t="s">
        <v>471</v>
      </c>
      <c r="C51" s="5" t="n">
        <v>9</v>
      </c>
      <c r="D51" s="5" t="s">
        <v>62</v>
      </c>
      <c r="E51" s="5" t="s">
        <v>8497</v>
      </c>
      <c r="F51" s="5" t="s">
        <v>372</v>
      </c>
      <c r="G51" s="2" t="s">
        <v>7659</v>
      </c>
      <c r="H51" s="5" t="s">
        <v>372</v>
      </c>
      <c r="I51" s="2" t="s">
        <v>83</v>
      </c>
      <c r="J51" s="9" t="s">
        <v>8472</v>
      </c>
      <c r="K51" s="5" t="s">
        <v>8336</v>
      </c>
      <c r="L51" s="2" t="s">
        <v>8500</v>
      </c>
      <c r="M51" s="2" t="s">
        <v>8510</v>
      </c>
    </row>
    <row r="52" customFormat="false" ht="35.05" hidden="false" customHeight="false" outlineLevel="0" collapsed="false">
      <c r="A52" s="2" t="s">
        <v>302</v>
      </c>
      <c r="B52" s="5" t="s">
        <v>301</v>
      </c>
      <c r="C52" s="5" t="n">
        <v>9</v>
      </c>
      <c r="D52" s="5" t="s">
        <v>62</v>
      </c>
      <c r="E52" s="5" t="s">
        <v>8497</v>
      </c>
      <c r="F52" s="5" t="s">
        <v>372</v>
      </c>
      <c r="G52" s="2" t="s">
        <v>8504</v>
      </c>
      <c r="H52" s="5" t="s">
        <v>309</v>
      </c>
      <c r="I52" s="2" t="s">
        <v>7631</v>
      </c>
      <c r="J52" s="9" t="s">
        <v>8499</v>
      </c>
      <c r="K52" s="10" t="s">
        <v>8332</v>
      </c>
      <c r="L52" s="2" t="s">
        <v>8500</v>
      </c>
      <c r="M52" s="2" t="s">
        <v>8511</v>
      </c>
    </row>
    <row r="53" customFormat="false" ht="35.05" hidden="false" customHeight="false" outlineLevel="0" collapsed="false">
      <c r="A53" s="2" t="s">
        <v>297</v>
      </c>
      <c r="B53" s="5" t="s">
        <v>296</v>
      </c>
      <c r="C53" s="5" t="n">
        <v>9</v>
      </c>
      <c r="D53" s="5" t="s">
        <v>62</v>
      </c>
      <c r="E53" s="5" t="s">
        <v>8512</v>
      </c>
      <c r="F53" s="5" t="s">
        <v>3134</v>
      </c>
      <c r="G53" s="2" t="s">
        <v>8498</v>
      </c>
      <c r="H53" s="5" t="s">
        <v>203</v>
      </c>
      <c r="I53" s="2" t="s">
        <v>7631</v>
      </c>
      <c r="J53" s="9" t="s">
        <v>8499</v>
      </c>
      <c r="K53" s="5" t="s">
        <v>8336</v>
      </c>
      <c r="L53" s="2" t="s">
        <v>8500</v>
      </c>
      <c r="M53" s="2" t="s">
        <v>8501</v>
      </c>
    </row>
    <row r="54" customFormat="false" ht="35.05" hidden="false" customHeight="false" outlineLevel="0" collapsed="false">
      <c r="A54" s="2" t="s">
        <v>360</v>
      </c>
      <c r="B54" s="5" t="s">
        <v>359</v>
      </c>
      <c r="C54" s="5" t="n">
        <v>9</v>
      </c>
      <c r="D54" s="5" t="s">
        <v>62</v>
      </c>
      <c r="E54" s="5" t="s">
        <v>8512</v>
      </c>
      <c r="F54" s="5" t="s">
        <v>3134</v>
      </c>
      <c r="G54" s="2" t="s">
        <v>8498</v>
      </c>
      <c r="H54" s="5" t="s">
        <v>203</v>
      </c>
      <c r="I54" s="2" t="s">
        <v>7631</v>
      </c>
      <c r="J54" s="9" t="s">
        <v>8499</v>
      </c>
      <c r="K54" s="5" t="s">
        <v>8336</v>
      </c>
      <c r="L54" s="2" t="s">
        <v>8500</v>
      </c>
      <c r="M54" s="2" t="s">
        <v>8501</v>
      </c>
    </row>
    <row r="55" customFormat="false" ht="35.05" hidden="false" customHeight="false" outlineLevel="0" collapsed="false">
      <c r="A55" s="2" t="s">
        <v>402</v>
      </c>
      <c r="B55" s="5" t="s">
        <v>401</v>
      </c>
      <c r="C55" s="5" t="n">
        <v>9</v>
      </c>
      <c r="D55" s="5" t="s">
        <v>62</v>
      </c>
      <c r="E55" s="5" t="s">
        <v>8512</v>
      </c>
      <c r="F55" s="5" t="s">
        <v>3134</v>
      </c>
      <c r="G55" s="2" t="s">
        <v>8498</v>
      </c>
      <c r="H55" s="5" t="s">
        <v>203</v>
      </c>
      <c r="I55" s="2" t="s">
        <v>7631</v>
      </c>
      <c r="J55" s="9" t="s">
        <v>8499</v>
      </c>
      <c r="K55" s="5" t="s">
        <v>8336</v>
      </c>
      <c r="L55" s="2" t="s">
        <v>8500</v>
      </c>
      <c r="M55" s="2" t="s">
        <v>8501</v>
      </c>
    </row>
    <row r="56" customFormat="false" ht="35.05" hidden="false" customHeight="false" outlineLevel="0" collapsed="false">
      <c r="A56" s="2" t="s">
        <v>423</v>
      </c>
      <c r="B56" s="5" t="s">
        <v>422</v>
      </c>
      <c r="C56" s="5" t="n">
        <v>9</v>
      </c>
      <c r="D56" s="5" t="s">
        <v>62</v>
      </c>
      <c r="E56" s="5" t="s">
        <v>8512</v>
      </c>
      <c r="F56" s="5" t="s">
        <v>3134</v>
      </c>
      <c r="G56" s="2" t="s">
        <v>8498</v>
      </c>
      <c r="H56" s="5" t="s">
        <v>203</v>
      </c>
      <c r="I56" s="2" t="s">
        <v>7631</v>
      </c>
      <c r="J56" s="9" t="s">
        <v>8499</v>
      </c>
      <c r="K56" s="5" t="s">
        <v>8336</v>
      </c>
      <c r="L56" s="2" t="s">
        <v>8500</v>
      </c>
      <c r="M56" s="2" t="s">
        <v>8501</v>
      </c>
    </row>
    <row r="57" customFormat="false" ht="35.05" hidden="false" customHeight="false" outlineLevel="0" collapsed="false">
      <c r="A57" s="2" t="s">
        <v>438</v>
      </c>
      <c r="B57" s="5" t="s">
        <v>437</v>
      </c>
      <c r="C57" s="5" t="n">
        <v>9</v>
      </c>
      <c r="D57" s="5" t="s">
        <v>62</v>
      </c>
      <c r="E57" s="5" t="s">
        <v>8512</v>
      </c>
      <c r="F57" s="5" t="s">
        <v>3134</v>
      </c>
      <c r="G57" s="2" t="s">
        <v>8498</v>
      </c>
      <c r="H57" s="5" t="s">
        <v>203</v>
      </c>
      <c r="I57" s="2" t="s">
        <v>7631</v>
      </c>
      <c r="J57" s="9" t="s">
        <v>8499</v>
      </c>
      <c r="K57" s="5" t="s">
        <v>8336</v>
      </c>
      <c r="L57" s="2" t="s">
        <v>8500</v>
      </c>
      <c r="M57" s="2" t="s">
        <v>8501</v>
      </c>
    </row>
    <row r="58" customFormat="false" ht="35.05" hidden="false" customHeight="false" outlineLevel="0" collapsed="false">
      <c r="A58" s="2" t="s">
        <v>479</v>
      </c>
      <c r="B58" s="5" t="s">
        <v>478</v>
      </c>
      <c r="C58" s="5" t="n">
        <v>9</v>
      </c>
      <c r="D58" s="5" t="s">
        <v>62</v>
      </c>
      <c r="E58" s="5" t="s">
        <v>8512</v>
      </c>
      <c r="F58" s="5" t="s">
        <v>3134</v>
      </c>
      <c r="G58" s="2" t="s">
        <v>8498</v>
      </c>
      <c r="H58" s="5" t="s">
        <v>203</v>
      </c>
      <c r="I58" s="2" t="s">
        <v>7631</v>
      </c>
      <c r="J58" s="9" t="s">
        <v>8499</v>
      </c>
      <c r="K58" s="5" t="s">
        <v>8336</v>
      </c>
      <c r="L58" s="2" t="s">
        <v>8500</v>
      </c>
      <c r="M58" s="2" t="s">
        <v>8501</v>
      </c>
    </row>
    <row r="60" customFormat="false" ht="15" hidden="false" customHeight="false" outlineLevel="0" collapsed="false">
      <c r="A60" s="12" t="s">
        <v>8513</v>
      </c>
    </row>
    <row r="61" customFormat="false" ht="15" hidden="false" customHeight="false" outlineLevel="0" collapsed="false">
      <c r="A61" s="13" t="s">
        <v>8472</v>
      </c>
      <c r="B61" s="13" t="n">
        <f aca="false">COUNTIF($J$2:$J$58,A61)</f>
        <v>33</v>
      </c>
    </row>
    <row r="62" customFormat="false" ht="15" hidden="false" customHeight="false" outlineLevel="0" collapsed="false">
      <c r="A62" s="13" t="s">
        <v>8499</v>
      </c>
      <c r="B62" s="13" t="n">
        <f aca="false">COUNTIF($J$2:$J$58,A62)</f>
        <v>18</v>
      </c>
    </row>
    <row r="63" customFormat="false" ht="15" hidden="false" customHeight="false" outlineLevel="0" collapsed="false">
      <c r="A63" s="13" t="s">
        <v>8495</v>
      </c>
      <c r="B63" s="13" t="n">
        <f aca="false">COUNTIF($J$2:$J$58,A63)</f>
        <v>1</v>
      </c>
    </row>
    <row r="64" customFormat="false" ht="15" hidden="false" customHeight="false" outlineLevel="0" collapsed="false">
      <c r="A64" s="13" t="s">
        <v>8490</v>
      </c>
      <c r="B64" s="13" t="n">
        <f aca="false">COUNTIF($J$2:$J$58,A64)</f>
        <v>2</v>
      </c>
    </row>
    <row r="65" customFormat="false" ht="15" hidden="false" customHeight="false" outlineLevel="0" collapsed="false">
      <c r="A65" s="13" t="s">
        <v>8464</v>
      </c>
      <c r="B65" s="13" t="n">
        <f aca="false">COUNTIF($J$2:$J$58,A65)</f>
        <v>3</v>
      </c>
    </row>
    <row r="66" customFormat="false" ht="15" hidden="false" customHeight="false" outlineLevel="0" collapsed="false">
      <c r="A66" s="12" t="s">
        <v>8514</v>
      </c>
      <c r="B66" s="12" t="n">
        <f aca="false">SUM(B61:B65)</f>
        <v>57</v>
      </c>
    </row>
    <row r="67" customFormat="false" ht="15" hidden="false" customHeight="false" outlineLevel="0" collapsed="false">
      <c r="A67" s="13" t="s">
        <v>8515</v>
      </c>
      <c r="B67" s="13" t="n">
        <f aca="false">COUNTIF($K$2:$K$58,"Yes")</f>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0"/>
    <col collapsed="false" customWidth="true" hidden="false" outlineLevel="0" max="6" min="4" style="0" width="30"/>
    <col collapsed="false" customWidth="true" hidden="false" outlineLevel="0" max="9" min="7" style="0" width="10"/>
    <col collapsed="false" customWidth="true" hidden="false" outlineLevel="0" max="10" min="10" style="0" width="22"/>
    <col collapsed="false" customWidth="true" hidden="false" outlineLevel="0" max="11" min="11" style="0" width="80"/>
  </cols>
  <sheetData>
    <row r="1" customFormat="false" ht="31.5" hidden="false" customHeight="true" outlineLevel="0" collapsed="false">
      <c r="A1" s="4" t="s">
        <v>8516</v>
      </c>
      <c r="B1" s="4" t="s">
        <v>7616</v>
      </c>
      <c r="C1" s="4" t="s">
        <v>8452</v>
      </c>
      <c r="D1" s="4" t="s">
        <v>8517</v>
      </c>
      <c r="E1" s="4" t="s">
        <v>8518</v>
      </c>
      <c r="F1" s="4" t="s">
        <v>8519</v>
      </c>
      <c r="G1" s="4" t="s">
        <v>8520</v>
      </c>
      <c r="H1" s="4" t="s">
        <v>8521</v>
      </c>
      <c r="I1" s="4" t="s">
        <v>8522</v>
      </c>
      <c r="J1" s="4" t="s">
        <v>8523</v>
      </c>
      <c r="K1" s="4" t="s">
        <v>8524</v>
      </c>
    </row>
    <row r="2" customFormat="false" ht="68.65" hidden="false" customHeight="false" outlineLevel="0" collapsed="false">
      <c r="A2" s="5" t="s">
        <v>105</v>
      </c>
      <c r="B2" s="2" t="s">
        <v>8334</v>
      </c>
      <c r="C2" s="5" t="s">
        <v>8471</v>
      </c>
      <c r="D2" s="2" t="s">
        <v>7620</v>
      </c>
      <c r="E2" s="2" t="s">
        <v>7620</v>
      </c>
      <c r="F2" s="2" t="s">
        <v>83</v>
      </c>
      <c r="G2" s="5" t="n">
        <f aca="false">COUNTIFS('Rule-Row map'!$E$2:$E$405,"ei",'Rule-Row map'!$C$2:$C$405,"New ITDR (7.6.0)")</f>
        <v>1</v>
      </c>
      <c r="H2" s="5" t="n">
        <f aca="false">COUNTIFS('Rule-Row map'!$E$2:$E$405,"ei",'Rule-Row map'!$C$2:$C$405,"Existing, re-tagged ITDR")</f>
        <v>0</v>
      </c>
      <c r="I2" s="5" t="n">
        <f aca="false">COUNTIFS('Rule-Row map'!$E$2:$E$405,"ei")-G2-H2</f>
        <v>0</v>
      </c>
      <c r="J2" s="2" t="s">
        <v>8525</v>
      </c>
      <c r="K2" s="2" t="s">
        <v>8526</v>
      </c>
    </row>
    <row r="3" customFormat="false" ht="35.05" hidden="false" customHeight="false" outlineLevel="0" collapsed="false">
      <c r="A3" s="5" t="s">
        <v>76</v>
      </c>
      <c r="B3" s="2" t="s">
        <v>8331</v>
      </c>
      <c r="C3" s="5" t="s">
        <v>8471</v>
      </c>
      <c r="D3" s="2" t="s">
        <v>8527</v>
      </c>
      <c r="E3" s="2" t="s">
        <v>7619</v>
      </c>
      <c r="F3" s="2" t="s">
        <v>83</v>
      </c>
      <c r="G3" s="5" t="n">
        <f aca="false">COUNTIFS('Rule-Row map'!$E$2:$E$405,"ea",'Rule-Row map'!$C$2:$C$405,"New ITDR (7.6.0)")</f>
        <v>10</v>
      </c>
      <c r="H3" s="5" t="n">
        <f aca="false">COUNTIFS('Rule-Row map'!$E$2:$E$405,"ea",'Rule-Row map'!$C$2:$C$405,"Existing, re-tagged ITDR")</f>
        <v>0</v>
      </c>
      <c r="I3" s="5" t="n">
        <f aca="false">COUNTIFS('Rule-Row map'!$E$2:$E$405,"ea")-G3-H3</f>
        <v>0</v>
      </c>
      <c r="J3" s="2" t="s">
        <v>8528</v>
      </c>
      <c r="K3" s="2" t="s">
        <v>8529</v>
      </c>
    </row>
    <row r="4" customFormat="false" ht="35.05" hidden="false" customHeight="false" outlineLevel="0" collapsed="false">
      <c r="A4" s="5" t="s">
        <v>8530</v>
      </c>
      <c r="B4" s="2" t="s">
        <v>8531</v>
      </c>
      <c r="C4" s="5" t="s">
        <v>8532</v>
      </c>
      <c r="D4" s="2" t="s">
        <v>8533</v>
      </c>
      <c r="E4" s="2" t="s">
        <v>83</v>
      </c>
      <c r="F4" s="2" t="s">
        <v>83</v>
      </c>
      <c r="G4" s="5" t="n">
        <f aca="false">COUNTIFS('Rule-Row map'!$E$2:$E$405,"en",'Rule-Row map'!$C$2:$C$405,"New ITDR (7.6.0)")</f>
        <v>0</v>
      </c>
      <c r="H4" s="5" t="n">
        <f aca="false">COUNTIFS('Rule-Row map'!$E$2:$E$405,"en",'Rule-Row map'!$C$2:$C$405,"Existing, re-tagged ITDR")</f>
        <v>0</v>
      </c>
      <c r="I4" s="5" t="n">
        <f aca="false">COUNTIFS('Rule-Row map'!$E$2:$E$405,"en")-G4-H4</f>
        <v>0</v>
      </c>
      <c r="J4" s="2" t="s">
        <v>8534</v>
      </c>
      <c r="K4" s="2" t="s">
        <v>8535</v>
      </c>
    </row>
    <row r="5" customFormat="false" ht="15" hidden="false" customHeight="false" outlineLevel="0" collapsed="false">
      <c r="A5" s="5" t="s">
        <v>8536</v>
      </c>
      <c r="B5" s="2" t="s">
        <v>8537</v>
      </c>
      <c r="C5" s="5" t="s">
        <v>8532</v>
      </c>
      <c r="D5" s="2" t="s">
        <v>8538</v>
      </c>
      <c r="E5" s="2" t="s">
        <v>83</v>
      </c>
      <c r="F5" s="2" t="s">
        <v>83</v>
      </c>
      <c r="G5" s="5" t="n">
        <f aca="false">COUNTIFS('Rule-Row map'!$E$2:$E$405,"es",'Rule-Row map'!$C$2:$C$405,"New ITDR (7.6.0)")</f>
        <v>0</v>
      </c>
      <c r="H5" s="5" t="n">
        <f aca="false">COUNTIFS('Rule-Row map'!$E$2:$E$405,"es",'Rule-Row map'!$C$2:$C$405,"Existing, re-tagged ITDR")</f>
        <v>0</v>
      </c>
      <c r="I5" s="5" t="n">
        <f aca="false">COUNTIFS('Rule-Row map'!$E$2:$E$405,"es")-G5-H5</f>
        <v>0</v>
      </c>
      <c r="J5" s="2" t="s">
        <v>8539</v>
      </c>
      <c r="K5" s="2" t="s">
        <v>8540</v>
      </c>
    </row>
    <row r="6" customFormat="false" ht="15" hidden="false" customHeight="false" outlineLevel="0" collapsed="false">
      <c r="A6" s="5" t="s">
        <v>8541</v>
      </c>
      <c r="B6" s="2" t="s">
        <v>8542</v>
      </c>
      <c r="C6" s="5" t="s">
        <v>8532</v>
      </c>
      <c r="D6" s="2" t="s">
        <v>8543</v>
      </c>
      <c r="E6" s="2" t="s">
        <v>83</v>
      </c>
      <c r="F6" s="2" t="s">
        <v>83</v>
      </c>
      <c r="G6" s="5" t="n">
        <f aca="false">COUNTIFS('Rule-Row map'!$E$2:$E$405,"em",'Rule-Row map'!$C$2:$C$405,"New ITDR (7.6.0)")</f>
        <v>0</v>
      </c>
      <c r="H6" s="5" t="n">
        <f aca="false">COUNTIFS('Rule-Row map'!$E$2:$E$405,"em",'Rule-Row map'!$C$2:$C$405,"Existing, re-tagged ITDR")</f>
        <v>0</v>
      </c>
      <c r="I6" s="5" t="n">
        <f aca="false">COUNTIFS('Rule-Row map'!$E$2:$E$405,"em")-G6-H6</f>
        <v>0</v>
      </c>
      <c r="J6" s="2" t="s">
        <v>8539</v>
      </c>
      <c r="K6" s="2" t="s">
        <v>8540</v>
      </c>
    </row>
    <row r="7" customFormat="false" ht="15" hidden="false" customHeight="false" outlineLevel="0" collapsed="false">
      <c r="A7" s="5" t="s">
        <v>8544</v>
      </c>
      <c r="B7" s="2" t="s">
        <v>8545</v>
      </c>
      <c r="C7" s="5" t="s">
        <v>8532</v>
      </c>
      <c r="D7" s="2" t="s">
        <v>8546</v>
      </c>
      <c r="E7" s="2" t="s">
        <v>83</v>
      </c>
      <c r="F7" s="2" t="s">
        <v>83</v>
      </c>
      <c r="G7" s="5" t="n">
        <f aca="false">COUNTIFS('Rule-Row map'!$E$2:$E$405,"ep",'Rule-Row map'!$C$2:$C$405,"New ITDR (7.6.0)")</f>
        <v>0</v>
      </c>
      <c r="H7" s="5" t="n">
        <f aca="false">COUNTIFS('Rule-Row map'!$E$2:$E$405,"ep",'Rule-Row map'!$C$2:$C$405,"Existing, re-tagged ITDR")</f>
        <v>0</v>
      </c>
      <c r="I7" s="5" t="n">
        <f aca="false">COUNTIFS('Rule-Row map'!$E$2:$E$405,"ep")-G7-H7</f>
        <v>0</v>
      </c>
      <c r="J7" s="2" t="s">
        <v>8539</v>
      </c>
      <c r="K7" s="2" t="s">
        <v>8540</v>
      </c>
    </row>
    <row r="8" customFormat="false" ht="15" hidden="false" customHeight="false" outlineLevel="0" collapsed="false">
      <c r="A8" s="5" t="s">
        <v>8547</v>
      </c>
      <c r="B8" s="2" t="s">
        <v>8548</v>
      </c>
      <c r="C8" s="5" t="s">
        <v>8532</v>
      </c>
      <c r="D8" s="2" t="s">
        <v>8549</v>
      </c>
      <c r="E8" s="2" t="s">
        <v>83</v>
      </c>
      <c r="F8" s="2" t="s">
        <v>83</v>
      </c>
      <c r="G8" s="5" t="n">
        <f aca="false">COUNTIFS('Rule-Row map'!$E$2:$E$405,"eg",'Rule-Row map'!$C$2:$C$405,"New ITDR (7.6.0)")</f>
        <v>0</v>
      </c>
      <c r="H8" s="5" t="n">
        <f aca="false">COUNTIFS('Rule-Row map'!$E$2:$E$405,"eg",'Rule-Row map'!$C$2:$C$405,"Existing, re-tagged ITDR")</f>
        <v>0</v>
      </c>
      <c r="I8" s="5" t="n">
        <f aca="false">COUNTIFS('Rule-Row map'!$E$2:$E$405,"eg")-G8-H8</f>
        <v>0</v>
      </c>
      <c r="J8" s="2" t="s">
        <v>8539</v>
      </c>
      <c r="K8" s="2" t="s">
        <v>8540</v>
      </c>
    </row>
    <row r="9" customFormat="false" ht="23.85" hidden="false" customHeight="false" outlineLevel="0" collapsed="false">
      <c r="A9" s="5" t="s">
        <v>2632</v>
      </c>
      <c r="B9" s="2" t="s">
        <v>8335</v>
      </c>
      <c r="C9" s="5" t="s">
        <v>8497</v>
      </c>
      <c r="D9" s="2" t="s">
        <v>8550</v>
      </c>
      <c r="E9" s="2" t="s">
        <v>83</v>
      </c>
      <c r="F9" s="2" t="s">
        <v>83</v>
      </c>
      <c r="G9" s="5" t="n">
        <f aca="false">COUNTIFS('Rule-Row map'!$E$2:$E$405,"pr",'Rule-Row map'!$C$2:$C$405,"New ITDR (7.6.0)")</f>
        <v>0</v>
      </c>
      <c r="H9" s="5" t="n">
        <f aca="false">COUNTIFS('Rule-Row map'!$E$2:$E$405,"pr",'Rule-Row map'!$C$2:$C$405,"Existing, re-tagged ITDR")</f>
        <v>0</v>
      </c>
      <c r="I9" s="5" t="n">
        <f aca="false">COUNTIFS('Rule-Row map'!$E$2:$E$405,"pr")-G9-H9</f>
        <v>1</v>
      </c>
      <c r="J9" s="2" t="s">
        <v>8551</v>
      </c>
      <c r="K9" s="2" t="s">
        <v>8552</v>
      </c>
    </row>
    <row r="10" customFormat="false" ht="35.05" hidden="false" customHeight="false" outlineLevel="0" collapsed="false">
      <c r="A10" s="5" t="s">
        <v>1537</v>
      </c>
      <c r="B10" s="2" t="s">
        <v>8408</v>
      </c>
      <c r="C10" s="5" t="s">
        <v>8532</v>
      </c>
      <c r="D10" s="2" t="s">
        <v>8553</v>
      </c>
      <c r="E10" s="2" t="s">
        <v>83</v>
      </c>
      <c r="F10" s="2" t="s">
        <v>7749</v>
      </c>
      <c r="G10" s="5" t="n">
        <f aca="false">COUNTIFS('Rule-Row map'!$E$2:$E$405,"a1",'Rule-Row map'!$C$2:$C$405,"New ITDR (7.6.0)")</f>
        <v>0</v>
      </c>
      <c r="H10" s="5" t="n">
        <f aca="false">COUNTIFS('Rule-Row map'!$E$2:$E$405,"a1",'Rule-Row map'!$C$2:$C$405,"Existing, re-tagged ITDR")</f>
        <v>2</v>
      </c>
      <c r="I10" s="5" t="n">
        <f aca="false">COUNTIFS('Rule-Row map'!$E$2:$E$405,"a1")-G10-H10</f>
        <v>19</v>
      </c>
      <c r="J10" s="2" t="s">
        <v>8554</v>
      </c>
      <c r="K10" s="2" t="s">
        <v>8555</v>
      </c>
    </row>
    <row r="11" customFormat="false" ht="23.85" hidden="false" customHeight="false" outlineLevel="0" collapsed="false">
      <c r="A11" s="5" t="s">
        <v>346</v>
      </c>
      <c r="B11" s="2" t="s">
        <v>8432</v>
      </c>
      <c r="C11" s="5" t="s">
        <v>8471</v>
      </c>
      <c r="D11" s="2" t="s">
        <v>8556</v>
      </c>
      <c r="E11" s="2" t="s">
        <v>7657</v>
      </c>
      <c r="F11" s="2" t="s">
        <v>8557</v>
      </c>
      <c r="G11" s="5" t="n">
        <f aca="false">COUNTIFS('Rule-Row map'!$E$2:$E$405,"a2",'Rule-Row map'!$C$2:$C$405,"New ITDR (7.6.0)")</f>
        <v>1</v>
      </c>
      <c r="H11" s="5" t="n">
        <f aca="false">COUNTIFS('Rule-Row map'!$E$2:$E$405,"a2",'Rule-Row map'!$C$2:$C$405,"Existing, re-tagged ITDR")</f>
        <v>3</v>
      </c>
      <c r="I11" s="5" t="n">
        <f aca="false">COUNTIFS('Rule-Row map'!$E$2:$E$405,"a2")-G11-H11</f>
        <v>2</v>
      </c>
      <c r="J11" s="2" t="s">
        <v>8558</v>
      </c>
      <c r="K11" s="2" t="s">
        <v>8559</v>
      </c>
    </row>
    <row r="12" customFormat="false" ht="23.85" hidden="false" customHeight="false" outlineLevel="0" collapsed="false">
      <c r="A12" s="5" t="s">
        <v>1311</v>
      </c>
      <c r="B12" s="2" t="s">
        <v>8417</v>
      </c>
      <c r="C12" s="5" t="s">
        <v>8532</v>
      </c>
      <c r="D12" s="2" t="s">
        <v>8560</v>
      </c>
      <c r="E12" s="2" t="s">
        <v>83</v>
      </c>
      <c r="F12" s="2" t="s">
        <v>7739</v>
      </c>
      <c r="G12" s="5" t="n">
        <f aca="false">COUNTIFS('Rule-Row map'!$E$2:$E$405,"a3",'Rule-Row map'!$C$2:$C$405,"New ITDR (7.6.0)")</f>
        <v>0</v>
      </c>
      <c r="H12" s="5" t="n">
        <f aca="false">COUNTIFS('Rule-Row map'!$E$2:$E$405,"a3",'Rule-Row map'!$C$2:$C$405,"Existing, re-tagged ITDR")</f>
        <v>1</v>
      </c>
      <c r="I12" s="5" t="n">
        <f aca="false">COUNTIFS('Rule-Row map'!$E$2:$E$405,"a3")-G12-H12</f>
        <v>1</v>
      </c>
      <c r="J12" s="2" t="s">
        <v>8561</v>
      </c>
      <c r="K12" s="2" t="s">
        <v>8562</v>
      </c>
    </row>
    <row r="13" customFormat="false" ht="57.45" hidden="false" customHeight="false" outlineLevel="0" collapsed="false">
      <c r="A13" s="5" t="s">
        <v>192</v>
      </c>
      <c r="B13" s="2" t="s">
        <v>8423</v>
      </c>
      <c r="C13" s="5" t="s">
        <v>8471</v>
      </c>
      <c r="D13" s="2" t="s">
        <v>8563</v>
      </c>
      <c r="E13" s="2" t="s">
        <v>8564</v>
      </c>
      <c r="F13" s="2" t="s">
        <v>8565</v>
      </c>
      <c r="G13" s="5" t="n">
        <f aca="false">COUNTIFS('Rule-Row map'!$E$2:$E$405,"a4",'Rule-Row map'!$C$2:$C$405,"New ITDR (7.6.0)")</f>
        <v>5</v>
      </c>
      <c r="H13" s="5" t="n">
        <f aca="false">COUNTIFS('Rule-Row map'!$E$2:$E$405,"a4",'Rule-Row map'!$C$2:$C$405,"Existing, re-tagged ITDR")</f>
        <v>4</v>
      </c>
      <c r="I13" s="5" t="n">
        <f aca="false">COUNTIFS('Rule-Row map'!$E$2:$E$405,"a4")-G13-H13</f>
        <v>14</v>
      </c>
      <c r="J13" s="2" t="s">
        <v>8558</v>
      </c>
      <c r="K13" s="2" t="s">
        <v>8566</v>
      </c>
    </row>
    <row r="14" customFormat="false" ht="46.25" hidden="false" customHeight="false" outlineLevel="0" collapsed="false">
      <c r="A14" s="5" t="s">
        <v>1118</v>
      </c>
      <c r="B14" s="2" t="s">
        <v>8414</v>
      </c>
      <c r="C14" s="5" t="s">
        <v>8497</v>
      </c>
      <c r="D14" s="2" t="s">
        <v>8567</v>
      </c>
      <c r="E14" s="2" t="s">
        <v>83</v>
      </c>
      <c r="F14" s="2" t="s">
        <v>7723</v>
      </c>
      <c r="G14" s="5" t="n">
        <f aca="false">COUNTIFS('Rule-Row map'!$E$2:$E$405,"a5",'Rule-Row map'!$C$2:$C$405,"New ITDR (7.6.0)")</f>
        <v>0</v>
      </c>
      <c r="H14" s="5" t="n">
        <f aca="false">COUNTIFS('Rule-Row map'!$E$2:$E$405,"a5",'Rule-Row map'!$C$2:$C$405,"Existing, re-tagged ITDR")</f>
        <v>4</v>
      </c>
      <c r="I14" s="5" t="n">
        <f aca="false">COUNTIFS('Rule-Row map'!$E$2:$E$405,"a5")-G14-H14</f>
        <v>2</v>
      </c>
      <c r="J14" s="2" t="s">
        <v>8568</v>
      </c>
      <c r="K14" s="2" t="s">
        <v>8569</v>
      </c>
    </row>
    <row r="15" customFormat="false" ht="23.85" hidden="false" customHeight="false" outlineLevel="0" collapsed="false">
      <c r="A15" s="5" t="s">
        <v>214</v>
      </c>
      <c r="B15" s="2" t="s">
        <v>8420</v>
      </c>
      <c r="C15" s="5" t="s">
        <v>8471</v>
      </c>
      <c r="D15" s="2" t="s">
        <v>8570</v>
      </c>
      <c r="E15" s="2" t="s">
        <v>8571</v>
      </c>
      <c r="F15" s="2" t="s">
        <v>7637</v>
      </c>
      <c r="G15" s="5" t="n">
        <f aca="false">COUNTIFS('Rule-Row map'!$E$2:$E$405,"a6",'Rule-Row map'!$C$2:$C$405,"New ITDR (7.6.0)")</f>
        <v>13</v>
      </c>
      <c r="H15" s="5" t="n">
        <f aca="false">COUNTIFS('Rule-Row map'!$E$2:$E$405,"a6",'Rule-Row map'!$C$2:$C$405,"Existing, re-tagged ITDR")</f>
        <v>4</v>
      </c>
      <c r="I15" s="5" t="n">
        <f aca="false">COUNTIFS('Rule-Row map'!$E$2:$E$405,"a6")-G15-H15</f>
        <v>9</v>
      </c>
      <c r="J15" s="2" t="s">
        <v>8572</v>
      </c>
      <c r="K15" s="2" t="s">
        <v>8573</v>
      </c>
    </row>
    <row r="16" customFormat="false" ht="23.85" hidden="false" customHeight="false" outlineLevel="0" collapsed="false">
      <c r="A16" s="5" t="s">
        <v>8574</v>
      </c>
      <c r="B16" s="2" t="s">
        <v>8575</v>
      </c>
      <c r="C16" s="5" t="s">
        <v>8532</v>
      </c>
      <c r="D16" s="2" t="s">
        <v>8576</v>
      </c>
      <c r="E16" s="2" t="s">
        <v>83</v>
      </c>
      <c r="F16" s="2" t="s">
        <v>83</v>
      </c>
      <c r="G16" s="5" t="n">
        <f aca="false">COUNTIFS('Rule-Row map'!$E$2:$E$405,"a7",'Rule-Row map'!$C$2:$C$405,"New ITDR (7.6.0)")</f>
        <v>0</v>
      </c>
      <c r="H16" s="5" t="n">
        <f aca="false">COUNTIFS('Rule-Row map'!$E$2:$E$405,"a7",'Rule-Row map'!$C$2:$C$405,"Existing, re-tagged ITDR")</f>
        <v>0</v>
      </c>
      <c r="I16" s="5" t="n">
        <f aca="false">COUNTIFS('Rule-Row map'!$E$2:$E$405,"a7")-G16-H16</f>
        <v>0</v>
      </c>
      <c r="J16" s="2" t="s">
        <v>8528</v>
      </c>
      <c r="K16" s="2" t="s">
        <v>8577</v>
      </c>
    </row>
    <row r="17" customFormat="false" ht="46.25" hidden="false" customHeight="false" outlineLevel="0" collapsed="false">
      <c r="A17" s="5" t="s">
        <v>249</v>
      </c>
      <c r="B17" s="2" t="s">
        <v>8437</v>
      </c>
      <c r="C17" s="5" t="s">
        <v>8471</v>
      </c>
      <c r="D17" s="2" t="s">
        <v>8578</v>
      </c>
      <c r="E17" s="2" t="s">
        <v>8579</v>
      </c>
      <c r="F17" s="2" t="s">
        <v>83</v>
      </c>
      <c r="G17" s="5" t="n">
        <f aca="false">COUNTIFS('Rule-Row map'!$E$2:$E$405,"ca",'Rule-Row map'!$C$2:$C$405,"New ITDR (7.6.0)")</f>
        <v>2</v>
      </c>
      <c r="H17" s="5" t="n">
        <f aca="false">COUNTIFS('Rule-Row map'!$E$2:$E$405,"ca",'Rule-Row map'!$C$2:$C$405,"Existing, re-tagged ITDR")</f>
        <v>0</v>
      </c>
      <c r="I17" s="5" t="n">
        <f aca="false">COUNTIFS('Rule-Row map'!$E$2:$E$405,"ca")-G17-H17</f>
        <v>2</v>
      </c>
      <c r="J17" s="2" t="s">
        <v>8580</v>
      </c>
      <c r="K17" s="2" t="s">
        <v>8581</v>
      </c>
    </row>
    <row r="18" customFormat="false" ht="35.05" hidden="false" customHeight="false" outlineLevel="0" collapsed="false">
      <c r="A18" s="5" t="s">
        <v>309</v>
      </c>
      <c r="B18" s="2" t="s">
        <v>8395</v>
      </c>
      <c r="C18" s="5" t="s">
        <v>8497</v>
      </c>
      <c r="D18" s="2" t="s">
        <v>7634</v>
      </c>
      <c r="E18" s="2" t="s">
        <v>7634</v>
      </c>
      <c r="F18" s="2" t="s">
        <v>7634</v>
      </c>
      <c r="G18" s="5" t="n">
        <f aca="false">COUNTIFS('Rule-Row map'!$E$2:$E$405,"s1",'Rule-Row map'!$C$2:$C$405,"New ITDR (7.6.0)")</f>
        <v>18</v>
      </c>
      <c r="H18" s="5" t="n">
        <f aca="false">COUNTIFS('Rule-Row map'!$E$2:$E$405,"s1",'Rule-Row map'!$C$2:$C$405,"Existing, re-tagged ITDR")</f>
        <v>89</v>
      </c>
      <c r="I18" s="5" t="n">
        <f aca="false">COUNTIFS('Rule-Row map'!$E$2:$E$405,"s1")-G18-H18</f>
        <v>113</v>
      </c>
      <c r="J18" s="2" t="s">
        <v>8582</v>
      </c>
      <c r="K18" s="2" t="s">
        <v>8583</v>
      </c>
    </row>
    <row r="19" customFormat="false" ht="23.85" hidden="false" customHeight="false" outlineLevel="0" collapsed="false">
      <c r="A19" s="5" t="s">
        <v>372</v>
      </c>
      <c r="B19" s="2" t="s">
        <v>8396</v>
      </c>
      <c r="C19" s="5" t="s">
        <v>8497</v>
      </c>
      <c r="D19" s="2" t="s">
        <v>8584</v>
      </c>
      <c r="E19" s="2" t="s">
        <v>7659</v>
      </c>
      <c r="F19" s="2" t="s">
        <v>7659</v>
      </c>
      <c r="G19" s="5" t="n">
        <f aca="false">COUNTIFS('Rule-Row map'!$E$2:$E$405,"s2",'Rule-Row map'!$C$2:$C$405,"New ITDR (7.6.0)")</f>
        <v>2</v>
      </c>
      <c r="H19" s="5" t="n">
        <f aca="false">COUNTIFS('Rule-Row map'!$E$2:$E$405,"s2",'Rule-Row map'!$C$2:$C$405,"Existing, re-tagged ITDR")</f>
        <v>8</v>
      </c>
      <c r="I19" s="5" t="n">
        <f aca="false">COUNTIFS('Rule-Row map'!$E$2:$E$405,"s2")-G19-H19</f>
        <v>5</v>
      </c>
      <c r="J19" s="2" t="s">
        <v>8585</v>
      </c>
      <c r="K19" s="2" t="s">
        <v>8586</v>
      </c>
    </row>
    <row r="20" customFormat="false" ht="23.85" hidden="false" customHeight="false" outlineLevel="0" collapsed="false">
      <c r="A20" s="5" t="s">
        <v>1225</v>
      </c>
      <c r="B20" s="2" t="s">
        <v>8399</v>
      </c>
      <c r="C20" s="5" t="s">
        <v>8497</v>
      </c>
      <c r="D20" s="2" t="s">
        <v>8587</v>
      </c>
      <c r="E20" s="2" t="s">
        <v>83</v>
      </c>
      <c r="F20" s="2" t="s">
        <v>7736</v>
      </c>
      <c r="G20" s="5" t="n">
        <f aca="false">COUNTIFS('Rule-Row map'!$E$2:$E$405,"s3",'Rule-Row map'!$C$2:$C$405,"New ITDR (7.6.0)")</f>
        <v>0</v>
      </c>
      <c r="H20" s="5" t="n">
        <f aca="false">COUNTIFS('Rule-Row map'!$E$2:$E$405,"s3",'Rule-Row map'!$C$2:$C$405,"Existing, re-tagged ITDR")</f>
        <v>5</v>
      </c>
      <c r="I20" s="5" t="n">
        <f aca="false">COUNTIFS('Rule-Row map'!$E$2:$E$405,"s3")-G20-H20</f>
        <v>18</v>
      </c>
      <c r="J20" s="2" t="s">
        <v>8588</v>
      </c>
      <c r="K20" s="2" t="s">
        <v>8589</v>
      </c>
    </row>
    <row r="21" customFormat="false" ht="23.85" hidden="false" customHeight="false" outlineLevel="0" collapsed="false">
      <c r="A21" s="5" t="s">
        <v>3134</v>
      </c>
      <c r="B21" s="2" t="s">
        <v>8392</v>
      </c>
      <c r="C21" s="5" t="s">
        <v>8512</v>
      </c>
      <c r="D21" s="2" t="s">
        <v>7636</v>
      </c>
      <c r="E21" s="2" t="s">
        <v>7636</v>
      </c>
      <c r="F21" s="2" t="s">
        <v>83</v>
      </c>
      <c r="G21" s="5" t="n">
        <f aca="false">COUNTIFS('Rule-Row map'!$E$2:$E$405,"s4",'Rule-Row map'!$C$2:$C$405,"New ITDR (7.6.0)")</f>
        <v>15</v>
      </c>
      <c r="H21" s="5" t="n">
        <f aca="false">COUNTIFS('Rule-Row map'!$E$2:$E$405,"s4",'Rule-Row map'!$C$2:$C$405,"Existing, re-tagged ITDR")</f>
        <v>0</v>
      </c>
      <c r="I21" s="5" t="n">
        <f aca="false">COUNTIFS('Rule-Row map'!$E$2:$E$405,"s4")-G21-H21</f>
        <v>31</v>
      </c>
      <c r="J21" s="2" t="s">
        <v>8590</v>
      </c>
      <c r="K21" s="2" t="s">
        <v>8591</v>
      </c>
    </row>
    <row r="22" customFormat="false" ht="23.85" hidden="false" customHeight="false" outlineLevel="0" collapsed="false">
      <c r="A22" s="5" t="s">
        <v>8592</v>
      </c>
      <c r="B22" s="2" t="s">
        <v>8593</v>
      </c>
      <c r="C22" s="5" t="s">
        <v>8594</v>
      </c>
      <c r="D22" s="2" t="s">
        <v>7634</v>
      </c>
      <c r="E22" s="2" t="s">
        <v>7634</v>
      </c>
      <c r="F22" s="2" t="s">
        <v>7634</v>
      </c>
      <c r="G22" s="5" t="n">
        <f aca="false">COUNTIFS('Rule-Row map'!$E$2:$E$405,"s1",'Rule-Row map'!$C$2:$C$405,"New ITDR (7.6.0)")</f>
        <v>18</v>
      </c>
      <c r="H22" s="5" t="n">
        <f aca="false">COUNTIFS('Rule-Row map'!$E$2:$E$405,"s1",'Rule-Row map'!$C$2:$C$405,"Existing, re-tagged ITDR")</f>
        <v>89</v>
      </c>
      <c r="I22" s="5" t="n">
        <f aca="false">COUNTIFS('Rule-Row map'!$E$2:$E$405,"s1")-G22-H22</f>
        <v>113</v>
      </c>
      <c r="J22" s="2" t="s">
        <v>8595</v>
      </c>
      <c r="K22" s="2" t="s">
        <v>8596</v>
      </c>
    </row>
    <row r="23" customFormat="false" ht="15" hidden="false" customHeight="false" outlineLevel="0" collapsed="false">
      <c r="A23" s="5" t="s">
        <v>8597</v>
      </c>
      <c r="B23" s="2" t="s">
        <v>8598</v>
      </c>
      <c r="C23" s="5" t="s">
        <v>8594</v>
      </c>
      <c r="D23" s="2" t="s">
        <v>7659</v>
      </c>
      <c r="E23" s="2" t="s">
        <v>7659</v>
      </c>
      <c r="F23" s="2" t="s">
        <v>7659</v>
      </c>
      <c r="G23" s="5" t="n">
        <f aca="false">COUNTIFS('Rule-Row map'!$E$2:$E$405,"s2",'Rule-Row map'!$C$2:$C$405,"New ITDR (7.6.0)")</f>
        <v>2</v>
      </c>
      <c r="H23" s="5" t="n">
        <f aca="false">COUNTIFS('Rule-Row map'!$E$2:$E$405,"s2",'Rule-Row map'!$C$2:$C$405,"Existing, re-tagged ITDR")</f>
        <v>8</v>
      </c>
      <c r="I23" s="5" t="n">
        <f aca="false">COUNTIFS('Rule-Row map'!$E$2:$E$405,"s2")-G23-H23</f>
        <v>5</v>
      </c>
      <c r="J23" s="2" t="s">
        <v>8595</v>
      </c>
      <c r="K23" s="2" t="s">
        <v>8599</v>
      </c>
    </row>
    <row r="24" customFormat="false" ht="15" hidden="false" customHeight="false" outlineLevel="0" collapsed="false">
      <c r="A24" s="5" t="s">
        <v>8600</v>
      </c>
      <c r="B24" s="2" t="s">
        <v>8601</v>
      </c>
      <c r="C24" s="5" t="s">
        <v>8594</v>
      </c>
      <c r="D24" s="2" t="s">
        <v>8587</v>
      </c>
      <c r="E24" s="2" t="s">
        <v>83</v>
      </c>
      <c r="F24" s="2" t="s">
        <v>7736</v>
      </c>
      <c r="G24" s="5" t="n">
        <f aca="false">COUNTIFS('Rule-Row map'!$E$2:$E$405,"s3",'Rule-Row map'!$C$2:$C$405,"New ITDR (7.6.0)")</f>
        <v>0</v>
      </c>
      <c r="H24" s="5" t="n">
        <f aca="false">COUNTIFS('Rule-Row map'!$E$2:$E$405,"s3",'Rule-Row map'!$C$2:$C$405,"Existing, re-tagged ITDR")</f>
        <v>5</v>
      </c>
      <c r="I24" s="5" t="n">
        <f aca="false">COUNTIFS('Rule-Row map'!$E$2:$E$405,"s3")-G24-H24</f>
        <v>18</v>
      </c>
      <c r="J24" s="2" t="s">
        <v>8595</v>
      </c>
      <c r="K24" s="2" t="s">
        <v>8602</v>
      </c>
    </row>
    <row r="25" customFormat="false" ht="15" hidden="false" customHeight="false" outlineLevel="0" collapsed="false">
      <c r="A25" s="5" t="s">
        <v>8603</v>
      </c>
      <c r="B25" s="2" t="s">
        <v>8604</v>
      </c>
      <c r="C25" s="5" t="s">
        <v>8594</v>
      </c>
      <c r="D25" s="2" t="s">
        <v>7636</v>
      </c>
      <c r="E25" s="2" t="s">
        <v>7636</v>
      </c>
      <c r="F25" s="2" t="s">
        <v>83</v>
      </c>
      <c r="G25" s="5" t="n">
        <f aca="false">COUNTIFS('Rule-Row map'!$E$2:$E$405,"s4",'Rule-Row map'!$C$2:$C$405,"New ITDR (7.6.0)")</f>
        <v>15</v>
      </c>
      <c r="H25" s="5" t="n">
        <f aca="false">COUNTIFS('Rule-Row map'!$E$2:$E$405,"s4",'Rule-Row map'!$C$2:$C$405,"Existing, re-tagged ITDR")</f>
        <v>0</v>
      </c>
      <c r="I25" s="5" t="n">
        <f aca="false">COUNTIFS('Rule-Row map'!$E$2:$E$405,"s4")-G25-H25</f>
        <v>31</v>
      </c>
      <c r="J25" s="2" t="s">
        <v>8595</v>
      </c>
      <c r="K25" s="2" t="s">
        <v>8605</v>
      </c>
    </row>
    <row r="27" customFormat="false" ht="15" hidden="false" customHeight="false" outlineLevel="0" collapsed="false">
      <c r="A27" s="14" t="s">
        <v>8606</v>
      </c>
    </row>
  </sheetData>
  <autoFilter ref="A1:K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8"/>
    <col collapsed="false" customWidth="true" hidden="false" outlineLevel="0" max="3" min="3" style="0" width="16"/>
    <col collapsed="false" customWidth="true" hidden="false" outlineLevel="0" max="4" min="4" style="0" width="50"/>
    <col collapsed="false" customWidth="true" hidden="false" outlineLevel="0" max="5" min="5" style="0" width="34"/>
    <col collapsed="false" customWidth="true" hidden="false" outlineLevel="0" max="6" min="6" style="0" width="80"/>
  </cols>
  <sheetData>
    <row r="1" customFormat="false" ht="31.5" hidden="false" customHeight="true" outlineLevel="0" collapsed="false">
      <c r="A1" s="4" t="s">
        <v>8607</v>
      </c>
      <c r="B1" s="4" t="s">
        <v>8608</v>
      </c>
      <c r="C1" s="4" t="s">
        <v>8609</v>
      </c>
      <c r="D1" s="4" t="s">
        <v>8610</v>
      </c>
      <c r="E1" s="4" t="s">
        <v>8459</v>
      </c>
      <c r="F1" s="4" t="s">
        <v>8611</v>
      </c>
    </row>
    <row r="2" customFormat="false" ht="35.05" hidden="false" customHeight="false" outlineLevel="0" collapsed="false">
      <c r="A2" s="2" t="s">
        <v>8612</v>
      </c>
      <c r="B2" s="2" t="s">
        <v>269</v>
      </c>
      <c r="C2" s="5" t="s">
        <v>8613</v>
      </c>
      <c r="D2" s="2" t="s">
        <v>8614</v>
      </c>
      <c r="E2" s="2" t="s">
        <v>8615</v>
      </c>
      <c r="F2" s="2" t="s">
        <v>8616</v>
      </c>
    </row>
    <row r="3" customFormat="false" ht="23.85" hidden="false" customHeight="false" outlineLevel="0" collapsed="false">
      <c r="A3" s="2" t="s">
        <v>8617</v>
      </c>
      <c r="B3" s="2" t="s">
        <v>7667</v>
      </c>
      <c r="C3" s="5" t="s">
        <v>8618</v>
      </c>
      <c r="D3" s="2" t="s">
        <v>8619</v>
      </c>
      <c r="E3" s="2" t="s">
        <v>8620</v>
      </c>
      <c r="F3" s="2" t="s">
        <v>8621</v>
      </c>
    </row>
    <row r="4" customFormat="false" ht="23.85" hidden="false" customHeight="false" outlineLevel="0" collapsed="false">
      <c r="A4" s="2" t="s">
        <v>8622</v>
      </c>
      <c r="B4" s="2" t="s">
        <v>255</v>
      </c>
      <c r="C4" s="5" t="s">
        <v>8618</v>
      </c>
      <c r="D4" s="2" t="s">
        <v>253</v>
      </c>
      <c r="E4" s="2" t="s">
        <v>8623</v>
      </c>
      <c r="F4" s="2" t="s">
        <v>8624</v>
      </c>
    </row>
    <row r="5" customFormat="false" ht="15" hidden="false" customHeight="false" outlineLevel="0" collapsed="false">
      <c r="A5" s="2" t="s">
        <v>8625</v>
      </c>
      <c r="B5" s="2" t="s">
        <v>8626</v>
      </c>
      <c r="C5" s="5" t="s">
        <v>8627</v>
      </c>
      <c r="D5" s="2" t="s">
        <v>283</v>
      </c>
      <c r="E5" s="2" t="s">
        <v>8487</v>
      </c>
      <c r="F5" s="2" t="s">
        <v>8628</v>
      </c>
    </row>
    <row r="6" customFormat="false" ht="23.85" hidden="false" customHeight="false" outlineLevel="0" collapsed="false">
      <c r="A6" s="2" t="s">
        <v>8629</v>
      </c>
      <c r="B6" s="2" t="s">
        <v>7622</v>
      </c>
      <c r="C6" s="5" t="s">
        <v>8630</v>
      </c>
      <c r="D6" s="2" t="s">
        <v>8631</v>
      </c>
      <c r="E6" s="2" t="s">
        <v>8465</v>
      </c>
      <c r="F6" s="2" t="s">
        <v>8632</v>
      </c>
    </row>
    <row r="7" customFormat="false" ht="23.85" hidden="false" customHeight="false" outlineLevel="0" collapsed="false">
      <c r="A7" s="2" t="s">
        <v>8633</v>
      </c>
      <c r="B7" s="2" t="s">
        <v>8634</v>
      </c>
      <c r="C7" s="5" t="s">
        <v>8630</v>
      </c>
      <c r="D7" s="2" t="s">
        <v>171</v>
      </c>
      <c r="E7" s="2" t="s">
        <v>8465</v>
      </c>
      <c r="F7" s="2" t="s">
        <v>8635</v>
      </c>
    </row>
    <row r="8" customFormat="false" ht="23.85" hidden="false" customHeight="false" outlineLevel="0" collapsed="false">
      <c r="A8" s="2" t="s">
        <v>8636</v>
      </c>
      <c r="B8" s="2" t="s">
        <v>7633</v>
      </c>
      <c r="C8" s="5" t="s">
        <v>8637</v>
      </c>
      <c r="D8" s="2" t="s">
        <v>8638</v>
      </c>
      <c r="E8" s="2" t="s">
        <v>8639</v>
      </c>
      <c r="F8" s="2" t="s">
        <v>8640</v>
      </c>
    </row>
    <row r="9" customFormat="false" ht="23.85" hidden="false" customHeight="false" outlineLevel="0" collapsed="false">
      <c r="A9" s="2" t="s">
        <v>8641</v>
      </c>
      <c r="B9" s="2" t="s">
        <v>269</v>
      </c>
      <c r="C9" s="5" t="s">
        <v>8637</v>
      </c>
      <c r="D9" s="2" t="s">
        <v>8642</v>
      </c>
      <c r="E9" s="2" t="s">
        <v>8643</v>
      </c>
      <c r="F9" s="2" t="s">
        <v>8644</v>
      </c>
    </row>
    <row r="10" customFormat="false" ht="35.05" hidden="false" customHeight="false" outlineLevel="0" collapsed="false">
      <c r="A10" s="2" t="s">
        <v>8645</v>
      </c>
      <c r="B10" s="2" t="s">
        <v>8646</v>
      </c>
      <c r="C10" s="5" t="s">
        <v>8647</v>
      </c>
      <c r="D10" s="2" t="s">
        <v>8648</v>
      </c>
      <c r="E10" s="2" t="s">
        <v>8473</v>
      </c>
      <c r="F10" s="2" t="s">
        <v>8649</v>
      </c>
    </row>
    <row r="11" customFormat="false" ht="23.85" hidden="false" customHeight="false" outlineLevel="0" collapsed="false">
      <c r="A11" s="2" t="s">
        <v>8650</v>
      </c>
      <c r="B11" s="2" t="s">
        <v>8651</v>
      </c>
      <c r="C11" s="5" t="s">
        <v>8532</v>
      </c>
      <c r="D11" s="2" t="s">
        <v>8652</v>
      </c>
      <c r="E11" s="2" t="s">
        <v>8653</v>
      </c>
      <c r="F11" s="2" t="s">
        <v>8654</v>
      </c>
    </row>
    <row r="12" customFormat="false" ht="23.85" hidden="false" customHeight="false" outlineLevel="0" collapsed="false">
      <c r="A12" s="2" t="s">
        <v>8655</v>
      </c>
      <c r="B12" s="2" t="s">
        <v>8656</v>
      </c>
      <c r="C12" s="5" t="s">
        <v>8657</v>
      </c>
      <c r="D12" s="2" t="s">
        <v>8658</v>
      </c>
      <c r="E12" s="2" t="s">
        <v>8659</v>
      </c>
      <c r="F12" s="2" t="s">
        <v>8660</v>
      </c>
    </row>
    <row r="13" customFormat="false" ht="23.85" hidden="false" customHeight="false" outlineLevel="0" collapsed="false">
      <c r="A13" s="2" t="s">
        <v>8661</v>
      </c>
      <c r="B13" s="2" t="s">
        <v>8662</v>
      </c>
      <c r="C13" s="5" t="s">
        <v>8618</v>
      </c>
      <c r="D13" s="2" t="s">
        <v>8663</v>
      </c>
      <c r="E13" s="2" t="s">
        <v>8478</v>
      </c>
      <c r="F13" s="2" t="s">
        <v>8664</v>
      </c>
    </row>
    <row r="14" customFormat="false" ht="35.05" hidden="false" customHeight="false" outlineLevel="0" collapsed="false">
      <c r="A14" s="2" t="s">
        <v>8665</v>
      </c>
      <c r="B14" s="2" t="s">
        <v>8662</v>
      </c>
      <c r="C14" s="5" t="s">
        <v>8666</v>
      </c>
      <c r="D14" s="2" t="s">
        <v>8667</v>
      </c>
      <c r="E14" s="2" t="s">
        <v>8478</v>
      </c>
      <c r="F14" s="2" t="s">
        <v>8668</v>
      </c>
    </row>
    <row r="15" customFormat="false" ht="35.05" hidden="false" customHeight="false" outlineLevel="0" collapsed="false">
      <c r="A15" s="2" t="s">
        <v>8669</v>
      </c>
      <c r="B15" s="2" t="s">
        <v>8670</v>
      </c>
      <c r="C15" s="5" t="s">
        <v>8666</v>
      </c>
      <c r="D15" s="2" t="s">
        <v>8667</v>
      </c>
      <c r="E15" s="2" t="s">
        <v>8473</v>
      </c>
      <c r="F15" s="2" t="s">
        <v>8671</v>
      </c>
    </row>
    <row r="16" customFormat="false" ht="35.05" hidden="false" customHeight="false" outlineLevel="0" collapsed="false">
      <c r="A16" s="2" t="s">
        <v>8672</v>
      </c>
      <c r="B16" s="2" t="s">
        <v>8673</v>
      </c>
      <c r="C16" s="5" t="s">
        <v>8674</v>
      </c>
      <c r="D16" s="2" t="s">
        <v>8675</v>
      </c>
      <c r="E16" s="2" t="s">
        <v>83</v>
      </c>
      <c r="F16" s="2" t="s">
        <v>8676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8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4"/>
    <col collapsed="false" customWidth="true" hidden="false" outlineLevel="0" max="3" min="3" style="0" width="20"/>
    <col collapsed="false" customWidth="true" hidden="false" outlineLevel="0" max="4" min="4" style="0" width="10"/>
    <col collapsed="false" customWidth="true" hidden="false" outlineLevel="0" max="5" min="5" style="0" width="8"/>
    <col collapsed="false" customWidth="true" hidden="false" outlineLevel="0" max="6" min="6" style="0" width="22"/>
    <col collapsed="false" customWidth="true" hidden="false" outlineLevel="0" max="7" min="7" style="0" width="44"/>
    <col collapsed="false" customWidth="true" hidden="false" outlineLevel="0" max="8" min="8" style="0" width="8"/>
    <col collapsed="false" customWidth="true" hidden="false" outlineLevel="0" max="9" min="9" style="0" width="16"/>
    <col collapsed="false" customWidth="true" hidden="false" outlineLevel="0" max="10" min="10" style="0" width="30"/>
    <col collapsed="false" customWidth="true" hidden="false" outlineLevel="0" max="11" min="11" style="0" width="40"/>
  </cols>
  <sheetData>
    <row r="1" customFormat="false" ht="31.5" hidden="false" customHeight="true" outlineLevel="0" collapsed="false">
      <c r="A1" s="4" t="s">
        <v>30</v>
      </c>
      <c r="B1" s="4" t="s">
        <v>31</v>
      </c>
      <c r="C1" s="4" t="s">
        <v>32</v>
      </c>
      <c r="D1" s="4" t="s">
        <v>35</v>
      </c>
      <c r="E1" s="4" t="s">
        <v>36</v>
      </c>
      <c r="F1" s="4" t="s">
        <v>41</v>
      </c>
      <c r="G1" s="4" t="s">
        <v>43</v>
      </c>
      <c r="H1" s="4" t="s">
        <v>8677</v>
      </c>
      <c r="I1" s="4" t="s">
        <v>33</v>
      </c>
      <c r="J1" s="4" t="s">
        <v>34</v>
      </c>
      <c r="K1" s="4" t="s">
        <v>56</v>
      </c>
    </row>
    <row r="2" customFormat="false" ht="15" hidden="false" customHeight="false" outlineLevel="0" collapsed="false">
      <c r="A2" s="5" t="s">
        <v>486</v>
      </c>
      <c r="B2" s="2" t="s">
        <v>487</v>
      </c>
      <c r="C2" s="5" t="s">
        <v>488</v>
      </c>
      <c r="D2" s="5" t="s">
        <v>490</v>
      </c>
      <c r="E2" s="5" t="n">
        <v>6</v>
      </c>
      <c r="F2" s="5" t="s">
        <v>100</v>
      </c>
      <c r="G2" s="2" t="s">
        <v>492</v>
      </c>
      <c r="H2" s="5" t="s">
        <v>8332</v>
      </c>
      <c r="I2" s="5" t="s">
        <v>60</v>
      </c>
      <c r="J2" s="5" t="s">
        <v>489</v>
      </c>
      <c r="K2" s="5" t="s">
        <v>499</v>
      </c>
    </row>
    <row r="3" customFormat="false" ht="15" hidden="false" customHeight="false" outlineLevel="0" collapsed="false">
      <c r="A3" s="5" t="s">
        <v>500</v>
      </c>
      <c r="B3" s="2" t="s">
        <v>501</v>
      </c>
      <c r="C3" s="5" t="s">
        <v>488</v>
      </c>
      <c r="D3" s="5" t="s">
        <v>62</v>
      </c>
      <c r="E3" s="5" t="n">
        <v>9</v>
      </c>
      <c r="F3" s="5" t="s">
        <v>100</v>
      </c>
      <c r="G3" s="2" t="s">
        <v>502</v>
      </c>
      <c r="H3" s="5" t="s">
        <v>8332</v>
      </c>
      <c r="I3" s="5" t="s">
        <v>60</v>
      </c>
      <c r="J3" s="5" t="s">
        <v>100</v>
      </c>
      <c r="K3" s="5" t="s">
        <v>508</v>
      </c>
    </row>
    <row r="4" customFormat="false" ht="35.05" hidden="false" customHeight="false" outlineLevel="0" collapsed="false">
      <c r="A4" s="5" t="s">
        <v>509</v>
      </c>
      <c r="B4" s="2" t="s">
        <v>510</v>
      </c>
      <c r="C4" s="5" t="s">
        <v>488</v>
      </c>
      <c r="D4" s="5" t="s">
        <v>62</v>
      </c>
      <c r="E4" s="5" t="n">
        <v>9</v>
      </c>
      <c r="F4" s="5" t="s">
        <v>100</v>
      </c>
      <c r="G4" s="2" t="s">
        <v>8678</v>
      </c>
      <c r="H4" s="5" t="s">
        <v>8332</v>
      </c>
      <c r="I4" s="5" t="s">
        <v>60</v>
      </c>
      <c r="J4" s="5" t="s">
        <v>489</v>
      </c>
      <c r="K4" s="5" t="s">
        <v>517</v>
      </c>
    </row>
    <row r="5" customFormat="false" ht="23.85" hidden="false" customHeight="false" outlineLevel="0" collapsed="false">
      <c r="A5" s="5" t="s">
        <v>518</v>
      </c>
      <c r="B5" s="2" t="s">
        <v>519</v>
      </c>
      <c r="C5" s="5" t="s">
        <v>488</v>
      </c>
      <c r="D5" s="5" t="s">
        <v>62</v>
      </c>
      <c r="E5" s="5" t="n">
        <v>8</v>
      </c>
      <c r="F5" s="5" t="s">
        <v>100</v>
      </c>
      <c r="G5" s="2" t="s">
        <v>8679</v>
      </c>
      <c r="H5" s="5" t="s">
        <v>8332</v>
      </c>
      <c r="I5" s="5" t="s">
        <v>60</v>
      </c>
      <c r="J5" s="5" t="s">
        <v>489</v>
      </c>
      <c r="K5" s="5" t="s">
        <v>523</v>
      </c>
    </row>
    <row r="6" customFormat="false" ht="23.85" hidden="false" customHeight="false" outlineLevel="0" collapsed="false">
      <c r="A6" s="5" t="s">
        <v>8680</v>
      </c>
      <c r="B6" s="2" t="s">
        <v>8681</v>
      </c>
      <c r="C6" s="5" t="s">
        <v>2128</v>
      </c>
      <c r="D6" s="5" t="s">
        <v>62</v>
      </c>
      <c r="E6" s="5" t="n">
        <v>7</v>
      </c>
      <c r="F6" s="5" t="s">
        <v>90</v>
      </c>
      <c r="G6" s="2" t="s">
        <v>8682</v>
      </c>
      <c r="H6" s="5" t="s">
        <v>8336</v>
      </c>
      <c r="I6" s="5"/>
      <c r="J6" s="5"/>
      <c r="K6" s="5" t="s">
        <v>8683</v>
      </c>
    </row>
    <row r="7" customFormat="false" ht="23.85" hidden="false" customHeight="false" outlineLevel="0" collapsed="false">
      <c r="A7" s="5" t="s">
        <v>8684</v>
      </c>
      <c r="B7" s="2" t="s">
        <v>8685</v>
      </c>
      <c r="C7" s="5" t="s">
        <v>2128</v>
      </c>
      <c r="D7" s="5" t="s">
        <v>62</v>
      </c>
      <c r="E7" s="5" t="n">
        <v>7</v>
      </c>
      <c r="F7" s="5" t="s">
        <v>413</v>
      </c>
      <c r="G7" s="2" t="s">
        <v>8686</v>
      </c>
      <c r="H7" s="5" t="s">
        <v>8336</v>
      </c>
      <c r="I7" s="5"/>
      <c r="J7" s="5"/>
      <c r="K7" s="5" t="s">
        <v>8687</v>
      </c>
    </row>
    <row r="8" customFormat="false" ht="15" hidden="false" customHeight="false" outlineLevel="0" collapsed="false">
      <c r="A8" s="5" t="s">
        <v>8688</v>
      </c>
      <c r="B8" s="2" t="s">
        <v>8689</v>
      </c>
      <c r="C8" s="5" t="s">
        <v>2128</v>
      </c>
      <c r="D8" s="5" t="s">
        <v>62</v>
      </c>
      <c r="E8" s="5" t="n">
        <v>9</v>
      </c>
      <c r="F8" s="5" t="s">
        <v>8690</v>
      </c>
      <c r="G8" s="2" t="s">
        <v>8691</v>
      </c>
      <c r="H8" s="5" t="s">
        <v>8336</v>
      </c>
      <c r="I8" s="5"/>
      <c r="J8" s="5"/>
      <c r="K8" s="5" t="s">
        <v>8692</v>
      </c>
    </row>
    <row r="9" customFormat="false" ht="15" hidden="false" customHeight="false" outlineLevel="0" collapsed="false">
      <c r="A9" s="5" t="s">
        <v>8693</v>
      </c>
      <c r="B9" s="2" t="s">
        <v>8694</v>
      </c>
      <c r="C9" s="5" t="s">
        <v>2128</v>
      </c>
      <c r="D9" s="5" t="s">
        <v>62</v>
      </c>
      <c r="E9" s="5" t="n">
        <v>9</v>
      </c>
      <c r="F9" s="5" t="s">
        <v>8690</v>
      </c>
      <c r="G9" s="2" t="s">
        <v>8695</v>
      </c>
      <c r="H9" s="5" t="s">
        <v>8336</v>
      </c>
      <c r="I9" s="5"/>
      <c r="J9" s="5"/>
      <c r="K9" s="5" t="s">
        <v>8696</v>
      </c>
    </row>
    <row r="10" customFormat="false" ht="15" hidden="false" customHeight="false" outlineLevel="0" collapsed="false">
      <c r="A10" s="5" t="s">
        <v>8697</v>
      </c>
      <c r="B10" s="2" t="s">
        <v>8698</v>
      </c>
      <c r="C10" s="5" t="s">
        <v>2128</v>
      </c>
      <c r="D10" s="5" t="s">
        <v>62</v>
      </c>
      <c r="E10" s="5" t="n">
        <v>7</v>
      </c>
      <c r="F10" s="5" t="s">
        <v>8690</v>
      </c>
      <c r="G10" s="2" t="s">
        <v>8695</v>
      </c>
      <c r="H10" s="5" t="s">
        <v>8336</v>
      </c>
      <c r="I10" s="5"/>
      <c r="J10" s="5"/>
      <c r="K10" s="5" t="s">
        <v>8699</v>
      </c>
    </row>
    <row r="11" customFormat="false" ht="15" hidden="false" customHeight="false" outlineLevel="0" collapsed="false">
      <c r="A11" s="5" t="s">
        <v>8700</v>
      </c>
      <c r="B11" s="2" t="s">
        <v>8701</v>
      </c>
      <c r="C11" s="5" t="s">
        <v>2128</v>
      </c>
      <c r="D11" s="5" t="s">
        <v>62</v>
      </c>
      <c r="E11" s="5" t="n">
        <v>8</v>
      </c>
      <c r="F11" s="5" t="s">
        <v>8702</v>
      </c>
      <c r="G11" s="2" t="s">
        <v>8695</v>
      </c>
      <c r="H11" s="5" t="s">
        <v>8336</v>
      </c>
      <c r="I11" s="5"/>
      <c r="J11" s="5"/>
      <c r="K11" s="5" t="s">
        <v>8703</v>
      </c>
    </row>
    <row r="12" customFormat="false" ht="23.85" hidden="false" customHeight="false" outlineLevel="0" collapsed="false">
      <c r="A12" s="5" t="s">
        <v>4758</v>
      </c>
      <c r="B12" s="2" t="s">
        <v>4759</v>
      </c>
      <c r="C12" s="5" t="s">
        <v>2128</v>
      </c>
      <c r="D12" s="5" t="s">
        <v>62</v>
      </c>
      <c r="E12" s="5" t="n">
        <v>7</v>
      </c>
      <c r="F12" s="5" t="s">
        <v>100</v>
      </c>
      <c r="G12" s="2" t="s">
        <v>8682</v>
      </c>
      <c r="H12" s="5" t="s">
        <v>8332</v>
      </c>
      <c r="I12" s="5" t="s">
        <v>4760</v>
      </c>
      <c r="J12" s="5" t="s">
        <v>100</v>
      </c>
      <c r="K12" s="5" t="s">
        <v>4764</v>
      </c>
    </row>
    <row r="13" customFormat="false" ht="15" hidden="false" customHeight="false" outlineLevel="0" collapsed="false">
      <c r="A13" s="5" t="s">
        <v>8704</v>
      </c>
      <c r="B13" s="2" t="s">
        <v>8705</v>
      </c>
      <c r="C13" s="5" t="s">
        <v>2128</v>
      </c>
      <c r="D13" s="5" t="s">
        <v>62</v>
      </c>
      <c r="E13" s="5" t="n">
        <v>7</v>
      </c>
      <c r="F13" s="5" t="s">
        <v>3005</v>
      </c>
      <c r="G13" s="2" t="s">
        <v>2129</v>
      </c>
      <c r="H13" s="5" t="s">
        <v>8336</v>
      </c>
      <c r="I13" s="5"/>
      <c r="J13" s="5"/>
      <c r="K13" s="5" t="s">
        <v>8706</v>
      </c>
    </row>
    <row r="14" customFormat="false" ht="15" hidden="false" customHeight="false" outlineLevel="0" collapsed="false">
      <c r="A14" s="5" t="s">
        <v>2126</v>
      </c>
      <c r="B14" s="2" t="s">
        <v>2127</v>
      </c>
      <c r="C14" s="5" t="s">
        <v>2128</v>
      </c>
      <c r="D14" s="5" t="s">
        <v>62</v>
      </c>
      <c r="E14" s="5" t="n">
        <v>9</v>
      </c>
      <c r="F14" s="5" t="s">
        <v>536</v>
      </c>
      <c r="G14" s="2" t="s">
        <v>2129</v>
      </c>
      <c r="H14" s="5" t="s">
        <v>8332</v>
      </c>
      <c r="I14" s="5" t="s">
        <v>60</v>
      </c>
      <c r="J14" s="5" t="s">
        <v>161</v>
      </c>
      <c r="K14" s="5" t="s">
        <v>2135</v>
      </c>
    </row>
    <row r="15" customFormat="false" ht="15" hidden="false" customHeight="false" outlineLevel="0" collapsed="false">
      <c r="A15" s="5" t="s">
        <v>2136</v>
      </c>
      <c r="B15" s="2" t="s">
        <v>2137</v>
      </c>
      <c r="C15" s="5" t="s">
        <v>2128</v>
      </c>
      <c r="D15" s="5" t="s">
        <v>62</v>
      </c>
      <c r="E15" s="5" t="n">
        <v>9</v>
      </c>
      <c r="F15" s="5" t="s">
        <v>90</v>
      </c>
      <c r="G15" s="2" t="s">
        <v>2129</v>
      </c>
      <c r="H15" s="5" t="s">
        <v>8332</v>
      </c>
      <c r="I15" s="5" t="s">
        <v>60</v>
      </c>
      <c r="J15" s="5" t="s">
        <v>161</v>
      </c>
      <c r="K15" s="5" t="s">
        <v>2143</v>
      </c>
    </row>
    <row r="16" customFormat="false" ht="15" hidden="false" customHeight="false" outlineLevel="0" collapsed="false">
      <c r="A16" s="5" t="s">
        <v>2144</v>
      </c>
      <c r="B16" s="2" t="s">
        <v>2145</v>
      </c>
      <c r="C16" s="5" t="s">
        <v>2128</v>
      </c>
      <c r="D16" s="5" t="s">
        <v>62</v>
      </c>
      <c r="E16" s="5" t="n">
        <v>9</v>
      </c>
      <c r="F16" s="5" t="s">
        <v>536</v>
      </c>
      <c r="G16" s="2" t="s">
        <v>2129</v>
      </c>
      <c r="H16" s="5" t="s">
        <v>8332</v>
      </c>
      <c r="I16" s="5" t="s">
        <v>60</v>
      </c>
      <c r="J16" s="5" t="s">
        <v>161</v>
      </c>
      <c r="K16" s="5" t="s">
        <v>2149</v>
      </c>
    </row>
    <row r="17" customFormat="false" ht="15" hidden="false" customHeight="false" outlineLevel="0" collapsed="false">
      <c r="A17" s="5" t="s">
        <v>2150</v>
      </c>
      <c r="B17" s="2" t="s">
        <v>2151</v>
      </c>
      <c r="C17" s="5" t="s">
        <v>2128</v>
      </c>
      <c r="D17" s="5" t="s">
        <v>490</v>
      </c>
      <c r="E17" s="5" t="n">
        <v>9</v>
      </c>
      <c r="F17" s="5" t="s">
        <v>2154</v>
      </c>
      <c r="G17" s="2" t="s">
        <v>2155</v>
      </c>
      <c r="H17" s="5" t="s">
        <v>8332</v>
      </c>
      <c r="I17" s="5" t="s">
        <v>60</v>
      </c>
      <c r="J17" s="5" t="s">
        <v>269</v>
      </c>
      <c r="K17" s="5" t="s">
        <v>2162</v>
      </c>
    </row>
    <row r="18" customFormat="false" ht="15" hidden="false" customHeight="false" outlineLevel="0" collapsed="false">
      <c r="A18" s="5" t="s">
        <v>8707</v>
      </c>
      <c r="B18" s="2" t="s">
        <v>8708</v>
      </c>
      <c r="C18" s="5" t="s">
        <v>2128</v>
      </c>
      <c r="D18" s="5" t="s">
        <v>62</v>
      </c>
      <c r="E18" s="5" t="n">
        <v>8</v>
      </c>
      <c r="F18" s="5" t="s">
        <v>67</v>
      </c>
      <c r="G18" s="2" t="s">
        <v>2340</v>
      </c>
      <c r="H18" s="5" t="s">
        <v>8336</v>
      </c>
      <c r="I18" s="5"/>
      <c r="J18" s="5"/>
      <c r="K18" s="5" t="s">
        <v>8709</v>
      </c>
    </row>
    <row r="19" customFormat="false" ht="23.85" hidden="false" customHeight="false" outlineLevel="0" collapsed="false">
      <c r="A19" s="5" t="s">
        <v>8710</v>
      </c>
      <c r="B19" s="2" t="s">
        <v>8711</v>
      </c>
      <c r="C19" s="5" t="s">
        <v>2128</v>
      </c>
      <c r="D19" s="5" t="s">
        <v>490</v>
      </c>
      <c r="E19" s="5" t="n">
        <v>4</v>
      </c>
      <c r="F19" s="5" t="s">
        <v>536</v>
      </c>
      <c r="G19" s="2" t="s">
        <v>8712</v>
      </c>
      <c r="H19" s="5" t="s">
        <v>8336</v>
      </c>
      <c r="I19" s="5"/>
      <c r="J19" s="5"/>
      <c r="K19" s="5" t="s">
        <v>8713</v>
      </c>
    </row>
    <row r="20" customFormat="false" ht="15" hidden="false" customHeight="false" outlineLevel="0" collapsed="false">
      <c r="A20" s="5" t="s">
        <v>8714</v>
      </c>
      <c r="B20" s="2" t="s">
        <v>8715</v>
      </c>
      <c r="C20" s="5" t="s">
        <v>2128</v>
      </c>
      <c r="D20" s="5" t="s">
        <v>62</v>
      </c>
      <c r="E20" s="5" t="n">
        <v>7</v>
      </c>
      <c r="F20" s="5" t="s">
        <v>67</v>
      </c>
      <c r="G20" s="2" t="s">
        <v>526</v>
      </c>
      <c r="H20" s="5" t="s">
        <v>8336</v>
      </c>
      <c r="I20" s="5"/>
      <c r="J20" s="5"/>
      <c r="K20" s="5" t="s">
        <v>8716</v>
      </c>
    </row>
    <row r="21" customFormat="false" ht="15" hidden="false" customHeight="false" outlineLevel="0" collapsed="false">
      <c r="A21" s="5" t="s">
        <v>8717</v>
      </c>
      <c r="B21" s="2" t="s">
        <v>8718</v>
      </c>
      <c r="C21" s="5" t="s">
        <v>2128</v>
      </c>
      <c r="D21" s="5" t="s">
        <v>62</v>
      </c>
      <c r="E21" s="5" t="n">
        <v>3</v>
      </c>
      <c r="F21" s="5" t="s">
        <v>1210</v>
      </c>
      <c r="G21" s="2" t="s">
        <v>526</v>
      </c>
      <c r="H21" s="5" t="s">
        <v>8336</v>
      </c>
      <c r="I21" s="5"/>
      <c r="J21" s="5"/>
      <c r="K21" s="5" t="s">
        <v>8719</v>
      </c>
    </row>
    <row r="22" customFormat="false" ht="15" hidden="false" customHeight="false" outlineLevel="0" collapsed="false">
      <c r="A22" s="5" t="s">
        <v>8720</v>
      </c>
      <c r="B22" s="2" t="s">
        <v>8721</v>
      </c>
      <c r="C22" s="5" t="s">
        <v>2128</v>
      </c>
      <c r="D22" s="5" t="s">
        <v>62</v>
      </c>
      <c r="E22" s="5" t="n">
        <v>9</v>
      </c>
      <c r="F22" s="5" t="s">
        <v>67</v>
      </c>
      <c r="G22" s="2" t="s">
        <v>526</v>
      </c>
      <c r="H22" s="5" t="s">
        <v>8336</v>
      </c>
      <c r="I22" s="5"/>
      <c r="J22" s="5"/>
      <c r="K22" s="5" t="s">
        <v>8722</v>
      </c>
    </row>
    <row r="23" customFormat="false" ht="15" hidden="false" customHeight="false" outlineLevel="0" collapsed="false">
      <c r="A23" s="5" t="s">
        <v>8723</v>
      </c>
      <c r="B23" s="2" t="s">
        <v>8724</v>
      </c>
      <c r="C23" s="5" t="s">
        <v>2128</v>
      </c>
      <c r="D23" s="5" t="s">
        <v>62</v>
      </c>
      <c r="E23" s="5" t="n">
        <v>3</v>
      </c>
      <c r="F23" s="5" t="s">
        <v>67</v>
      </c>
      <c r="G23" s="2" t="s">
        <v>526</v>
      </c>
      <c r="H23" s="5" t="s">
        <v>8336</v>
      </c>
      <c r="I23" s="5"/>
      <c r="J23" s="5"/>
      <c r="K23" s="5" t="s">
        <v>8725</v>
      </c>
    </row>
    <row r="24" customFormat="false" ht="15" hidden="false" customHeight="false" outlineLevel="0" collapsed="false">
      <c r="A24" s="5" t="s">
        <v>8726</v>
      </c>
      <c r="B24" s="2" t="s">
        <v>8727</v>
      </c>
      <c r="C24" s="5" t="s">
        <v>2128</v>
      </c>
      <c r="D24" s="5" t="s">
        <v>62</v>
      </c>
      <c r="E24" s="5" t="n">
        <v>9</v>
      </c>
      <c r="F24" s="5" t="s">
        <v>67</v>
      </c>
      <c r="G24" s="2" t="s">
        <v>526</v>
      </c>
      <c r="H24" s="5" t="s">
        <v>8336</v>
      </c>
      <c r="I24" s="5"/>
      <c r="J24" s="5"/>
      <c r="K24" s="5" t="s">
        <v>8728</v>
      </c>
    </row>
    <row r="25" customFormat="false" ht="15" hidden="false" customHeight="false" outlineLevel="0" collapsed="false">
      <c r="A25" s="5" t="s">
        <v>8729</v>
      </c>
      <c r="B25" s="2" t="s">
        <v>8730</v>
      </c>
      <c r="C25" s="5" t="s">
        <v>2128</v>
      </c>
      <c r="D25" s="5" t="s">
        <v>62</v>
      </c>
      <c r="E25" s="5" t="n">
        <v>5</v>
      </c>
      <c r="F25" s="5" t="s">
        <v>67</v>
      </c>
      <c r="G25" s="2" t="s">
        <v>526</v>
      </c>
      <c r="H25" s="5" t="s">
        <v>8336</v>
      </c>
      <c r="I25" s="5"/>
      <c r="J25" s="5"/>
      <c r="K25" s="5" t="s">
        <v>8731</v>
      </c>
    </row>
    <row r="26" customFormat="false" ht="15" hidden="false" customHeight="false" outlineLevel="0" collapsed="false">
      <c r="A26" s="5" t="s">
        <v>8732</v>
      </c>
      <c r="B26" s="2" t="s">
        <v>8733</v>
      </c>
      <c r="C26" s="5" t="s">
        <v>2128</v>
      </c>
      <c r="D26" s="5" t="s">
        <v>62</v>
      </c>
      <c r="E26" s="5" t="n">
        <v>9</v>
      </c>
      <c r="F26" s="5" t="s">
        <v>67</v>
      </c>
      <c r="G26" s="2" t="s">
        <v>526</v>
      </c>
      <c r="H26" s="5" t="s">
        <v>8336</v>
      </c>
      <c r="I26" s="5"/>
      <c r="J26" s="5"/>
      <c r="K26" s="5" t="s">
        <v>8734</v>
      </c>
    </row>
    <row r="27" customFormat="false" ht="15" hidden="false" customHeight="false" outlineLevel="0" collapsed="false">
      <c r="A27" s="5" t="s">
        <v>8735</v>
      </c>
      <c r="B27" s="2" t="s">
        <v>8736</v>
      </c>
      <c r="C27" s="5" t="s">
        <v>2128</v>
      </c>
      <c r="D27" s="5" t="s">
        <v>62</v>
      </c>
      <c r="E27" s="5" t="n">
        <v>9</v>
      </c>
      <c r="F27" s="5" t="s">
        <v>67</v>
      </c>
      <c r="G27" s="2" t="s">
        <v>526</v>
      </c>
      <c r="H27" s="5" t="s">
        <v>8336</v>
      </c>
      <c r="I27" s="5"/>
      <c r="J27" s="5"/>
      <c r="K27" s="5" t="s">
        <v>8737</v>
      </c>
    </row>
    <row r="28" customFormat="false" ht="15" hidden="false" customHeight="false" outlineLevel="0" collapsed="false">
      <c r="A28" s="5" t="s">
        <v>8738</v>
      </c>
      <c r="B28" s="2" t="s">
        <v>8739</v>
      </c>
      <c r="C28" s="5" t="s">
        <v>2128</v>
      </c>
      <c r="D28" s="5" t="s">
        <v>62</v>
      </c>
      <c r="E28" s="5" t="n">
        <v>7</v>
      </c>
      <c r="F28" s="5" t="s">
        <v>67</v>
      </c>
      <c r="G28" s="2" t="s">
        <v>526</v>
      </c>
      <c r="H28" s="5" t="s">
        <v>8336</v>
      </c>
      <c r="I28" s="5"/>
      <c r="J28" s="5"/>
      <c r="K28" s="5" t="s">
        <v>8740</v>
      </c>
    </row>
    <row r="29" customFormat="false" ht="15" hidden="false" customHeight="false" outlineLevel="0" collapsed="false">
      <c r="A29" s="5" t="s">
        <v>8741</v>
      </c>
      <c r="B29" s="2" t="s">
        <v>8742</v>
      </c>
      <c r="C29" s="5" t="s">
        <v>2128</v>
      </c>
      <c r="D29" s="5" t="s">
        <v>62</v>
      </c>
      <c r="E29" s="5" t="n">
        <v>7</v>
      </c>
      <c r="F29" s="5" t="s">
        <v>67</v>
      </c>
      <c r="G29" s="2" t="s">
        <v>526</v>
      </c>
      <c r="H29" s="5" t="s">
        <v>8336</v>
      </c>
      <c r="I29" s="5"/>
      <c r="J29" s="5"/>
      <c r="K29" s="5" t="s">
        <v>8743</v>
      </c>
    </row>
    <row r="30" customFormat="false" ht="15" hidden="false" customHeight="false" outlineLevel="0" collapsed="false">
      <c r="A30" s="5" t="s">
        <v>8744</v>
      </c>
      <c r="B30" s="2" t="s">
        <v>8745</v>
      </c>
      <c r="C30" s="5" t="s">
        <v>2128</v>
      </c>
      <c r="D30" s="5" t="s">
        <v>62</v>
      </c>
      <c r="E30" s="5" t="n">
        <v>9</v>
      </c>
      <c r="F30" s="5" t="s">
        <v>67</v>
      </c>
      <c r="G30" s="2" t="s">
        <v>526</v>
      </c>
      <c r="H30" s="5" t="s">
        <v>8336</v>
      </c>
      <c r="I30" s="5"/>
      <c r="J30" s="5"/>
      <c r="K30" s="5" t="s">
        <v>8746</v>
      </c>
    </row>
    <row r="31" customFormat="false" ht="15" hidden="false" customHeight="false" outlineLevel="0" collapsed="false">
      <c r="A31" s="5" t="s">
        <v>8747</v>
      </c>
      <c r="B31" s="2" t="s">
        <v>8748</v>
      </c>
      <c r="C31" s="5" t="s">
        <v>2128</v>
      </c>
      <c r="D31" s="5" t="s">
        <v>62</v>
      </c>
      <c r="E31" s="5" t="n">
        <v>7</v>
      </c>
      <c r="F31" s="5" t="s">
        <v>67</v>
      </c>
      <c r="G31" s="2" t="s">
        <v>526</v>
      </c>
      <c r="H31" s="5" t="s">
        <v>8336</v>
      </c>
      <c r="I31" s="5"/>
      <c r="J31" s="5"/>
      <c r="K31" s="5" t="s">
        <v>8749</v>
      </c>
    </row>
    <row r="32" customFormat="false" ht="15" hidden="false" customHeight="false" outlineLevel="0" collapsed="false">
      <c r="A32" s="5" t="s">
        <v>8750</v>
      </c>
      <c r="B32" s="2" t="s">
        <v>8751</v>
      </c>
      <c r="C32" s="5" t="s">
        <v>2128</v>
      </c>
      <c r="D32" s="5" t="s">
        <v>490</v>
      </c>
      <c r="E32" s="5" t="n">
        <v>4</v>
      </c>
      <c r="F32" s="5" t="s">
        <v>536</v>
      </c>
      <c r="G32" s="2" t="s">
        <v>8752</v>
      </c>
      <c r="H32" s="5" t="s">
        <v>8336</v>
      </c>
      <c r="I32" s="5"/>
      <c r="J32" s="5"/>
      <c r="K32" s="5" t="s">
        <v>8753</v>
      </c>
    </row>
    <row r="33" customFormat="false" ht="15" hidden="false" customHeight="false" outlineLevel="0" collapsed="false">
      <c r="A33" s="5" t="s">
        <v>2163</v>
      </c>
      <c r="B33" s="2" t="s">
        <v>2164</v>
      </c>
      <c r="C33" s="5" t="s">
        <v>2128</v>
      </c>
      <c r="D33" s="5" t="s">
        <v>62</v>
      </c>
      <c r="E33" s="5" t="n">
        <v>3</v>
      </c>
      <c r="F33" s="5" t="s">
        <v>544</v>
      </c>
      <c r="G33" s="2" t="s">
        <v>526</v>
      </c>
      <c r="H33" s="5" t="s">
        <v>8332</v>
      </c>
      <c r="I33" s="5" t="s">
        <v>60</v>
      </c>
      <c r="J33" s="5" t="s">
        <v>161</v>
      </c>
      <c r="K33" s="5" t="s">
        <v>2168</v>
      </c>
    </row>
    <row r="34" customFormat="false" ht="15" hidden="false" customHeight="false" outlineLevel="0" collapsed="false">
      <c r="A34" s="5" t="s">
        <v>8754</v>
      </c>
      <c r="B34" s="2" t="s">
        <v>8755</v>
      </c>
      <c r="C34" s="5" t="s">
        <v>2128</v>
      </c>
      <c r="D34" s="5" t="s">
        <v>62</v>
      </c>
      <c r="E34" s="5" t="n">
        <v>9</v>
      </c>
      <c r="F34" s="5" t="s">
        <v>67</v>
      </c>
      <c r="G34" s="2" t="s">
        <v>526</v>
      </c>
      <c r="H34" s="5" t="s">
        <v>8336</v>
      </c>
      <c r="I34" s="5"/>
      <c r="J34" s="5"/>
      <c r="K34" s="5" t="s">
        <v>8756</v>
      </c>
    </row>
    <row r="35" customFormat="false" ht="15" hidden="false" customHeight="false" outlineLevel="0" collapsed="false">
      <c r="A35" s="5" t="s">
        <v>8757</v>
      </c>
      <c r="B35" s="2" t="s">
        <v>8758</v>
      </c>
      <c r="C35" s="5" t="s">
        <v>2128</v>
      </c>
      <c r="D35" s="5" t="s">
        <v>62</v>
      </c>
      <c r="E35" s="5" t="n">
        <v>5</v>
      </c>
      <c r="F35" s="5" t="s">
        <v>67</v>
      </c>
      <c r="G35" s="2" t="s">
        <v>526</v>
      </c>
      <c r="H35" s="5" t="s">
        <v>8336</v>
      </c>
      <c r="I35" s="5"/>
      <c r="J35" s="5"/>
      <c r="K35" s="5" t="s">
        <v>8759</v>
      </c>
    </row>
    <row r="36" customFormat="false" ht="15" hidden="false" customHeight="false" outlineLevel="0" collapsed="false">
      <c r="A36" s="5" t="s">
        <v>8760</v>
      </c>
      <c r="B36" s="2" t="s">
        <v>8761</v>
      </c>
      <c r="C36" s="5" t="s">
        <v>2128</v>
      </c>
      <c r="D36" s="5" t="s">
        <v>62</v>
      </c>
      <c r="E36" s="5" t="n">
        <v>6</v>
      </c>
      <c r="F36" s="5" t="s">
        <v>67</v>
      </c>
      <c r="G36" s="2" t="s">
        <v>526</v>
      </c>
      <c r="H36" s="5" t="s">
        <v>8336</v>
      </c>
      <c r="I36" s="5"/>
      <c r="J36" s="5"/>
      <c r="K36" s="5" t="s">
        <v>8762</v>
      </c>
    </row>
    <row r="37" customFormat="false" ht="15" hidden="false" customHeight="false" outlineLevel="0" collapsed="false">
      <c r="A37" s="5" t="s">
        <v>8763</v>
      </c>
      <c r="B37" s="2" t="s">
        <v>8764</v>
      </c>
      <c r="C37" s="5" t="s">
        <v>2128</v>
      </c>
      <c r="D37" s="5" t="s">
        <v>62</v>
      </c>
      <c r="E37" s="5" t="n">
        <v>3</v>
      </c>
      <c r="F37" s="5" t="s">
        <v>413</v>
      </c>
      <c r="G37" s="2" t="s">
        <v>526</v>
      </c>
      <c r="H37" s="5" t="s">
        <v>8336</v>
      </c>
      <c r="I37" s="5"/>
      <c r="J37" s="5"/>
      <c r="K37" s="5" t="s">
        <v>8765</v>
      </c>
    </row>
    <row r="38" customFormat="false" ht="15" hidden="false" customHeight="false" outlineLevel="0" collapsed="false">
      <c r="A38" s="5" t="s">
        <v>8766</v>
      </c>
      <c r="B38" s="2" t="s">
        <v>8767</v>
      </c>
      <c r="C38" s="5" t="s">
        <v>2128</v>
      </c>
      <c r="D38" s="5" t="s">
        <v>62</v>
      </c>
      <c r="E38" s="5" t="n">
        <v>7</v>
      </c>
      <c r="F38" s="5" t="s">
        <v>67</v>
      </c>
      <c r="G38" s="2" t="s">
        <v>526</v>
      </c>
      <c r="H38" s="5" t="s">
        <v>8336</v>
      </c>
      <c r="I38" s="5"/>
      <c r="J38" s="5"/>
      <c r="K38" s="5" t="s">
        <v>8768</v>
      </c>
    </row>
    <row r="39" customFormat="false" ht="15" hidden="false" customHeight="false" outlineLevel="0" collapsed="false">
      <c r="A39" s="5" t="s">
        <v>2169</v>
      </c>
      <c r="B39" s="2" t="s">
        <v>2170</v>
      </c>
      <c r="C39" s="5" t="s">
        <v>2128</v>
      </c>
      <c r="D39" s="5" t="s">
        <v>62</v>
      </c>
      <c r="E39" s="5" t="n">
        <v>6</v>
      </c>
      <c r="F39" s="5" t="s">
        <v>544</v>
      </c>
      <c r="G39" s="2" t="s">
        <v>526</v>
      </c>
      <c r="H39" s="5" t="s">
        <v>8332</v>
      </c>
      <c r="I39" s="5" t="s">
        <v>60</v>
      </c>
      <c r="J39" s="5" t="s">
        <v>161</v>
      </c>
      <c r="K39" s="5" t="s">
        <v>2172</v>
      </c>
    </row>
    <row r="40" customFormat="false" ht="15" hidden="false" customHeight="false" outlineLevel="0" collapsed="false">
      <c r="A40" s="5" t="s">
        <v>524</v>
      </c>
      <c r="B40" s="2" t="s">
        <v>525</v>
      </c>
      <c r="C40" s="5" t="s">
        <v>488</v>
      </c>
      <c r="D40" s="5" t="s">
        <v>62</v>
      </c>
      <c r="E40" s="5" t="n">
        <v>7</v>
      </c>
      <c r="F40" s="5" t="s">
        <v>100</v>
      </c>
      <c r="G40" s="2" t="s">
        <v>526</v>
      </c>
      <c r="H40" s="5" t="s">
        <v>8332</v>
      </c>
      <c r="I40" s="5" t="s">
        <v>60</v>
      </c>
      <c r="J40" s="5" t="s">
        <v>100</v>
      </c>
      <c r="K40" s="5" t="s">
        <v>533</v>
      </c>
    </row>
    <row r="41" customFormat="false" ht="15" hidden="false" customHeight="false" outlineLevel="0" collapsed="false">
      <c r="A41" s="5" t="s">
        <v>2173</v>
      </c>
      <c r="B41" s="2" t="s">
        <v>2174</v>
      </c>
      <c r="C41" s="5" t="s">
        <v>2128</v>
      </c>
      <c r="D41" s="5" t="s">
        <v>62</v>
      </c>
      <c r="E41" s="5" t="n">
        <v>3</v>
      </c>
      <c r="F41" s="5" t="s">
        <v>544</v>
      </c>
      <c r="G41" s="2" t="s">
        <v>526</v>
      </c>
      <c r="H41" s="5" t="s">
        <v>8332</v>
      </c>
      <c r="I41" s="5" t="s">
        <v>60</v>
      </c>
      <c r="J41" s="5" t="s">
        <v>161</v>
      </c>
      <c r="K41" s="5" t="s">
        <v>2178</v>
      </c>
    </row>
    <row r="42" customFormat="false" ht="15" hidden="false" customHeight="false" outlineLevel="0" collapsed="false">
      <c r="A42" s="5" t="s">
        <v>2179</v>
      </c>
      <c r="B42" s="2" t="s">
        <v>2180</v>
      </c>
      <c r="C42" s="5" t="s">
        <v>2128</v>
      </c>
      <c r="D42" s="5" t="s">
        <v>62</v>
      </c>
      <c r="E42" s="5" t="n">
        <v>3</v>
      </c>
      <c r="F42" s="5" t="s">
        <v>536</v>
      </c>
      <c r="G42" s="2" t="s">
        <v>526</v>
      </c>
      <c r="H42" s="5" t="s">
        <v>8332</v>
      </c>
      <c r="I42" s="5" t="s">
        <v>60</v>
      </c>
      <c r="J42" s="5" t="s">
        <v>161</v>
      </c>
      <c r="K42" s="5" t="s">
        <v>2184</v>
      </c>
    </row>
    <row r="43" customFormat="false" ht="15" hidden="false" customHeight="false" outlineLevel="0" collapsed="false">
      <c r="A43" s="5" t="s">
        <v>534</v>
      </c>
      <c r="B43" s="2" t="s">
        <v>535</v>
      </c>
      <c r="C43" s="5" t="s">
        <v>488</v>
      </c>
      <c r="D43" s="5" t="s">
        <v>62</v>
      </c>
      <c r="E43" s="5" t="n">
        <v>9</v>
      </c>
      <c r="F43" s="5" t="s">
        <v>536</v>
      </c>
      <c r="G43" s="2" t="s">
        <v>526</v>
      </c>
      <c r="H43" s="5" t="s">
        <v>8332</v>
      </c>
      <c r="I43" s="5" t="s">
        <v>60</v>
      </c>
      <c r="J43" s="5" t="s">
        <v>161</v>
      </c>
      <c r="K43" s="5" t="s">
        <v>541</v>
      </c>
    </row>
    <row r="44" customFormat="false" ht="15" hidden="false" customHeight="false" outlineLevel="0" collapsed="false">
      <c r="A44" s="5" t="s">
        <v>542</v>
      </c>
      <c r="B44" s="2" t="s">
        <v>543</v>
      </c>
      <c r="C44" s="5" t="s">
        <v>488</v>
      </c>
      <c r="D44" s="5" t="s">
        <v>62</v>
      </c>
      <c r="E44" s="5" t="n">
        <v>9</v>
      </c>
      <c r="F44" s="5" t="s">
        <v>544</v>
      </c>
      <c r="G44" s="2" t="s">
        <v>526</v>
      </c>
      <c r="H44" s="5" t="s">
        <v>8332</v>
      </c>
      <c r="I44" s="5" t="s">
        <v>60</v>
      </c>
      <c r="J44" s="5" t="s">
        <v>161</v>
      </c>
      <c r="K44" s="5" t="s">
        <v>549</v>
      </c>
    </row>
    <row r="45" customFormat="false" ht="15" hidden="false" customHeight="false" outlineLevel="0" collapsed="false">
      <c r="A45" s="5" t="s">
        <v>2185</v>
      </c>
      <c r="B45" s="2" t="s">
        <v>2186</v>
      </c>
      <c r="C45" s="5" t="s">
        <v>2128</v>
      </c>
      <c r="D45" s="5" t="s">
        <v>62</v>
      </c>
      <c r="E45" s="5" t="n">
        <v>9</v>
      </c>
      <c r="F45" s="5" t="s">
        <v>90</v>
      </c>
      <c r="G45" s="2" t="s">
        <v>526</v>
      </c>
      <c r="H45" s="5" t="s">
        <v>8332</v>
      </c>
      <c r="I45" s="5" t="s">
        <v>60</v>
      </c>
      <c r="J45" s="5" t="s">
        <v>161</v>
      </c>
      <c r="K45" s="5" t="s">
        <v>2191</v>
      </c>
    </row>
    <row r="46" customFormat="false" ht="15" hidden="false" customHeight="false" outlineLevel="0" collapsed="false">
      <c r="A46" s="5" t="s">
        <v>8769</v>
      </c>
      <c r="B46" s="2" t="s">
        <v>8770</v>
      </c>
      <c r="C46" s="5" t="s">
        <v>2128</v>
      </c>
      <c r="D46" s="5" t="s">
        <v>62</v>
      </c>
      <c r="E46" s="5" t="n">
        <v>3</v>
      </c>
      <c r="F46" s="5" t="s">
        <v>277</v>
      </c>
      <c r="G46" s="2" t="s">
        <v>526</v>
      </c>
      <c r="H46" s="5" t="s">
        <v>8336</v>
      </c>
      <c r="I46" s="5"/>
      <c r="J46" s="5"/>
      <c r="K46" s="5" t="s">
        <v>8771</v>
      </c>
    </row>
    <row r="47" customFormat="false" ht="23.85" hidden="false" customHeight="false" outlineLevel="0" collapsed="false">
      <c r="A47" s="5" t="s">
        <v>550</v>
      </c>
      <c r="B47" s="2" t="s">
        <v>551</v>
      </c>
      <c r="C47" s="5" t="s">
        <v>488</v>
      </c>
      <c r="D47" s="5" t="s">
        <v>490</v>
      </c>
      <c r="E47" s="5" t="n">
        <v>10</v>
      </c>
      <c r="F47" s="5" t="s">
        <v>100</v>
      </c>
      <c r="G47" s="2" t="s">
        <v>526</v>
      </c>
      <c r="H47" s="5" t="s">
        <v>8332</v>
      </c>
      <c r="I47" s="5" t="s">
        <v>60</v>
      </c>
      <c r="J47" s="5" t="s">
        <v>100</v>
      </c>
      <c r="K47" s="5" t="s">
        <v>557</v>
      </c>
    </row>
    <row r="48" customFormat="false" ht="15" hidden="false" customHeight="false" outlineLevel="0" collapsed="false">
      <c r="A48" s="5" t="s">
        <v>2192</v>
      </c>
      <c r="B48" s="2" t="s">
        <v>2193</v>
      </c>
      <c r="C48" s="5" t="s">
        <v>2128</v>
      </c>
      <c r="D48" s="5" t="s">
        <v>62</v>
      </c>
      <c r="E48" s="5" t="n">
        <v>9</v>
      </c>
      <c r="F48" s="5" t="s">
        <v>544</v>
      </c>
      <c r="G48" s="2" t="s">
        <v>526</v>
      </c>
      <c r="H48" s="5" t="s">
        <v>8332</v>
      </c>
      <c r="I48" s="5" t="s">
        <v>60</v>
      </c>
      <c r="J48" s="5" t="s">
        <v>161</v>
      </c>
      <c r="K48" s="5" t="s">
        <v>2196</v>
      </c>
    </row>
    <row r="49" customFormat="false" ht="15" hidden="false" customHeight="false" outlineLevel="0" collapsed="false">
      <c r="A49" s="5" t="s">
        <v>8772</v>
      </c>
      <c r="B49" s="2" t="s">
        <v>8773</v>
      </c>
      <c r="C49" s="5" t="s">
        <v>2128</v>
      </c>
      <c r="D49" s="5" t="s">
        <v>62</v>
      </c>
      <c r="E49" s="5" t="n">
        <v>3</v>
      </c>
      <c r="F49" s="5" t="s">
        <v>90</v>
      </c>
      <c r="G49" s="2" t="s">
        <v>526</v>
      </c>
      <c r="H49" s="5" t="s">
        <v>8336</v>
      </c>
      <c r="I49" s="5"/>
      <c r="J49" s="5"/>
      <c r="K49" s="5" t="s">
        <v>8774</v>
      </c>
    </row>
    <row r="50" customFormat="false" ht="15" hidden="false" customHeight="false" outlineLevel="0" collapsed="false">
      <c r="A50" s="5" t="s">
        <v>8775</v>
      </c>
      <c r="B50" s="2" t="s">
        <v>8776</v>
      </c>
      <c r="C50" s="5" t="s">
        <v>2128</v>
      </c>
      <c r="D50" s="5" t="s">
        <v>62</v>
      </c>
      <c r="E50" s="5" t="n">
        <v>5</v>
      </c>
      <c r="F50" s="5" t="s">
        <v>536</v>
      </c>
      <c r="G50" s="2" t="s">
        <v>526</v>
      </c>
      <c r="H50" s="5" t="s">
        <v>8336</v>
      </c>
      <c r="I50" s="5"/>
      <c r="J50" s="5"/>
      <c r="K50" s="5" t="s">
        <v>8777</v>
      </c>
    </row>
    <row r="51" customFormat="false" ht="15" hidden="false" customHeight="false" outlineLevel="0" collapsed="false">
      <c r="A51" s="5" t="s">
        <v>8778</v>
      </c>
      <c r="B51" s="2" t="s">
        <v>8779</v>
      </c>
      <c r="C51" s="5" t="s">
        <v>2128</v>
      </c>
      <c r="D51" s="5" t="s">
        <v>62</v>
      </c>
      <c r="E51" s="5" t="n">
        <v>5</v>
      </c>
      <c r="F51" s="5" t="s">
        <v>536</v>
      </c>
      <c r="G51" s="2" t="s">
        <v>526</v>
      </c>
      <c r="H51" s="5" t="s">
        <v>8336</v>
      </c>
      <c r="I51" s="5"/>
      <c r="J51" s="5"/>
      <c r="K51" s="5" t="s">
        <v>8780</v>
      </c>
    </row>
    <row r="52" customFormat="false" ht="15" hidden="false" customHeight="false" outlineLevel="0" collapsed="false">
      <c r="A52" s="5" t="s">
        <v>558</v>
      </c>
      <c r="B52" s="2" t="s">
        <v>559</v>
      </c>
      <c r="C52" s="5" t="s">
        <v>488</v>
      </c>
      <c r="D52" s="5" t="s">
        <v>62</v>
      </c>
      <c r="E52" s="5" t="n">
        <v>10</v>
      </c>
      <c r="F52" s="5" t="s">
        <v>544</v>
      </c>
      <c r="G52" s="2" t="s">
        <v>526</v>
      </c>
      <c r="H52" s="5" t="s">
        <v>8332</v>
      </c>
      <c r="I52" s="5" t="s">
        <v>60</v>
      </c>
      <c r="J52" s="5" t="s">
        <v>161</v>
      </c>
      <c r="K52" s="5" t="s">
        <v>565</v>
      </c>
    </row>
    <row r="53" customFormat="false" ht="15" hidden="false" customHeight="false" outlineLevel="0" collapsed="false">
      <c r="A53" s="5" t="s">
        <v>8781</v>
      </c>
      <c r="B53" s="2" t="s">
        <v>8782</v>
      </c>
      <c r="C53" s="5" t="s">
        <v>2128</v>
      </c>
      <c r="D53" s="5" t="s">
        <v>62</v>
      </c>
      <c r="E53" s="5" t="n">
        <v>3</v>
      </c>
      <c r="F53" s="5" t="s">
        <v>67</v>
      </c>
      <c r="G53" s="2" t="s">
        <v>526</v>
      </c>
      <c r="H53" s="5" t="s">
        <v>8336</v>
      </c>
      <c r="I53" s="5"/>
      <c r="J53" s="5"/>
      <c r="K53" s="5" t="s">
        <v>8783</v>
      </c>
    </row>
    <row r="54" customFormat="false" ht="15" hidden="false" customHeight="false" outlineLevel="0" collapsed="false">
      <c r="A54" s="5" t="s">
        <v>8784</v>
      </c>
      <c r="B54" s="2" t="s">
        <v>8785</v>
      </c>
      <c r="C54" s="5" t="s">
        <v>2128</v>
      </c>
      <c r="D54" s="5" t="s">
        <v>62</v>
      </c>
      <c r="E54" s="5" t="n">
        <v>8</v>
      </c>
      <c r="F54" s="5" t="s">
        <v>536</v>
      </c>
      <c r="G54" s="2" t="s">
        <v>568</v>
      </c>
      <c r="H54" s="5" t="s">
        <v>8336</v>
      </c>
      <c r="I54" s="5"/>
      <c r="J54" s="5"/>
      <c r="K54" s="5" t="s">
        <v>8786</v>
      </c>
    </row>
    <row r="55" customFormat="false" ht="15" hidden="false" customHeight="false" outlineLevel="0" collapsed="false">
      <c r="A55" s="5" t="s">
        <v>8787</v>
      </c>
      <c r="B55" s="2" t="s">
        <v>8788</v>
      </c>
      <c r="C55" s="5" t="s">
        <v>2128</v>
      </c>
      <c r="D55" s="5" t="s">
        <v>62</v>
      </c>
      <c r="E55" s="5" t="n">
        <v>6</v>
      </c>
      <c r="F55" s="5" t="s">
        <v>536</v>
      </c>
      <c r="G55" s="2" t="s">
        <v>568</v>
      </c>
      <c r="H55" s="5" t="s">
        <v>8336</v>
      </c>
      <c r="I55" s="5"/>
      <c r="J55" s="5"/>
      <c r="K55" s="5" t="s">
        <v>8789</v>
      </c>
    </row>
    <row r="56" customFormat="false" ht="15" hidden="false" customHeight="false" outlineLevel="0" collapsed="false">
      <c r="A56" s="5" t="s">
        <v>8790</v>
      </c>
      <c r="B56" s="2" t="s">
        <v>8791</v>
      </c>
      <c r="C56" s="5" t="s">
        <v>2128</v>
      </c>
      <c r="D56" s="5" t="s">
        <v>62</v>
      </c>
      <c r="E56" s="5" t="n">
        <v>8</v>
      </c>
      <c r="F56" s="5" t="s">
        <v>1210</v>
      </c>
      <c r="G56" s="2" t="s">
        <v>568</v>
      </c>
      <c r="H56" s="5" t="s">
        <v>8336</v>
      </c>
      <c r="I56" s="5"/>
      <c r="J56" s="5"/>
      <c r="K56" s="5" t="s">
        <v>8792</v>
      </c>
    </row>
    <row r="57" customFormat="false" ht="23.85" hidden="false" customHeight="false" outlineLevel="0" collapsed="false">
      <c r="A57" s="5" t="s">
        <v>8793</v>
      </c>
      <c r="B57" s="2" t="s">
        <v>8794</v>
      </c>
      <c r="C57" s="5" t="s">
        <v>2128</v>
      </c>
      <c r="D57" s="5" t="s">
        <v>62</v>
      </c>
      <c r="E57" s="5" t="n">
        <v>8</v>
      </c>
      <c r="F57" s="5" t="s">
        <v>8795</v>
      </c>
      <c r="G57" s="2" t="s">
        <v>568</v>
      </c>
      <c r="H57" s="5" t="s">
        <v>8336</v>
      </c>
      <c r="I57" s="5"/>
      <c r="J57" s="5"/>
      <c r="K57" s="5" t="s">
        <v>8796</v>
      </c>
    </row>
    <row r="58" customFormat="false" ht="15" hidden="false" customHeight="false" outlineLevel="0" collapsed="false">
      <c r="A58" s="5" t="s">
        <v>566</v>
      </c>
      <c r="B58" s="2" t="s">
        <v>567</v>
      </c>
      <c r="C58" s="5" t="s">
        <v>488</v>
      </c>
      <c r="D58" s="5" t="s">
        <v>62</v>
      </c>
      <c r="E58" s="5" t="n">
        <v>8</v>
      </c>
      <c r="F58" s="5" t="s">
        <v>100</v>
      </c>
      <c r="G58" s="2" t="s">
        <v>568</v>
      </c>
      <c r="H58" s="5" t="s">
        <v>8332</v>
      </c>
      <c r="I58" s="5" t="s">
        <v>60</v>
      </c>
      <c r="J58" s="5" t="s">
        <v>100</v>
      </c>
      <c r="K58" s="5" t="s">
        <v>574</v>
      </c>
    </row>
    <row r="59" customFormat="false" ht="15" hidden="false" customHeight="false" outlineLevel="0" collapsed="false">
      <c r="A59" s="5" t="s">
        <v>8797</v>
      </c>
      <c r="B59" s="2" t="s">
        <v>8798</v>
      </c>
      <c r="C59" s="5" t="s">
        <v>2128</v>
      </c>
      <c r="D59" s="5" t="s">
        <v>62</v>
      </c>
      <c r="E59" s="5" t="n">
        <v>8</v>
      </c>
      <c r="F59" s="5" t="s">
        <v>67</v>
      </c>
      <c r="G59" s="2" t="s">
        <v>568</v>
      </c>
      <c r="H59" s="5" t="s">
        <v>8336</v>
      </c>
      <c r="I59" s="5"/>
      <c r="J59" s="5"/>
      <c r="K59" s="5" t="s">
        <v>8799</v>
      </c>
    </row>
    <row r="60" customFormat="false" ht="15" hidden="false" customHeight="false" outlineLevel="0" collapsed="false">
      <c r="A60" s="5" t="s">
        <v>8800</v>
      </c>
      <c r="B60" s="2" t="s">
        <v>8801</v>
      </c>
      <c r="C60" s="5" t="s">
        <v>2128</v>
      </c>
      <c r="D60" s="5" t="s">
        <v>62</v>
      </c>
      <c r="E60" s="5" t="n">
        <v>7</v>
      </c>
      <c r="F60" s="5" t="s">
        <v>277</v>
      </c>
      <c r="G60" s="2" t="s">
        <v>568</v>
      </c>
      <c r="H60" s="5" t="s">
        <v>8336</v>
      </c>
      <c r="I60" s="5"/>
      <c r="J60" s="5"/>
      <c r="K60" s="5" t="s">
        <v>8802</v>
      </c>
    </row>
    <row r="61" customFormat="false" ht="15" hidden="false" customHeight="false" outlineLevel="0" collapsed="false">
      <c r="A61" s="5" t="s">
        <v>8803</v>
      </c>
      <c r="B61" s="2" t="s">
        <v>8804</v>
      </c>
      <c r="C61" s="5" t="s">
        <v>2128</v>
      </c>
      <c r="D61" s="5" t="s">
        <v>62</v>
      </c>
      <c r="E61" s="5" t="n">
        <v>8</v>
      </c>
      <c r="F61" s="5" t="s">
        <v>413</v>
      </c>
      <c r="G61" s="2" t="s">
        <v>568</v>
      </c>
      <c r="H61" s="5" t="s">
        <v>8336</v>
      </c>
      <c r="I61" s="5"/>
      <c r="J61" s="5"/>
      <c r="K61" s="5" t="s">
        <v>8805</v>
      </c>
    </row>
    <row r="62" customFormat="false" ht="23.85" hidden="false" customHeight="false" outlineLevel="0" collapsed="false">
      <c r="A62" s="5" t="s">
        <v>8806</v>
      </c>
      <c r="B62" s="2" t="s">
        <v>8807</v>
      </c>
      <c r="C62" s="5" t="s">
        <v>2128</v>
      </c>
      <c r="D62" s="5" t="s">
        <v>62</v>
      </c>
      <c r="E62" s="5" t="n">
        <v>7</v>
      </c>
      <c r="F62" s="5" t="s">
        <v>536</v>
      </c>
      <c r="G62" s="2" t="s">
        <v>568</v>
      </c>
      <c r="H62" s="5" t="s">
        <v>8336</v>
      </c>
      <c r="I62" s="5"/>
      <c r="J62" s="5"/>
      <c r="K62" s="5" t="s">
        <v>8808</v>
      </c>
    </row>
    <row r="63" customFormat="false" ht="23.85" hidden="false" customHeight="false" outlineLevel="0" collapsed="false">
      <c r="A63" s="5" t="s">
        <v>8809</v>
      </c>
      <c r="B63" s="2" t="s">
        <v>8810</v>
      </c>
      <c r="C63" s="5" t="s">
        <v>2128</v>
      </c>
      <c r="D63" s="5" t="s">
        <v>62</v>
      </c>
      <c r="E63" s="5" t="n">
        <v>8</v>
      </c>
      <c r="F63" s="5" t="s">
        <v>536</v>
      </c>
      <c r="G63" s="2" t="s">
        <v>568</v>
      </c>
      <c r="H63" s="5" t="s">
        <v>8336</v>
      </c>
      <c r="I63" s="5"/>
      <c r="J63" s="5"/>
      <c r="K63" s="5" t="s">
        <v>8811</v>
      </c>
    </row>
    <row r="64" customFormat="false" ht="23.85" hidden="false" customHeight="false" outlineLevel="0" collapsed="false">
      <c r="A64" s="5" t="s">
        <v>8812</v>
      </c>
      <c r="B64" s="2" t="s">
        <v>8813</v>
      </c>
      <c r="C64" s="5" t="s">
        <v>2128</v>
      </c>
      <c r="D64" s="5" t="s">
        <v>62</v>
      </c>
      <c r="E64" s="5" t="n">
        <v>8</v>
      </c>
      <c r="F64" s="5" t="s">
        <v>536</v>
      </c>
      <c r="G64" s="2" t="s">
        <v>568</v>
      </c>
      <c r="H64" s="5" t="s">
        <v>8336</v>
      </c>
      <c r="I64" s="5"/>
      <c r="J64" s="5"/>
      <c r="K64" s="5" t="s">
        <v>8814</v>
      </c>
    </row>
    <row r="65" customFormat="false" ht="23.85" hidden="false" customHeight="false" outlineLevel="0" collapsed="false">
      <c r="A65" s="5" t="s">
        <v>8815</v>
      </c>
      <c r="B65" s="2" t="s">
        <v>8816</v>
      </c>
      <c r="C65" s="5" t="s">
        <v>2128</v>
      </c>
      <c r="D65" s="5" t="s">
        <v>62</v>
      </c>
      <c r="E65" s="5" t="n">
        <v>8</v>
      </c>
      <c r="F65" s="5" t="s">
        <v>536</v>
      </c>
      <c r="G65" s="2" t="s">
        <v>568</v>
      </c>
      <c r="H65" s="5" t="s">
        <v>8336</v>
      </c>
      <c r="I65" s="5"/>
      <c r="J65" s="5"/>
      <c r="K65" s="5" t="s">
        <v>8817</v>
      </c>
    </row>
    <row r="66" customFormat="false" ht="15" hidden="false" customHeight="false" outlineLevel="0" collapsed="false">
      <c r="A66" s="5" t="s">
        <v>8818</v>
      </c>
      <c r="B66" s="2" t="s">
        <v>8819</v>
      </c>
      <c r="C66" s="5" t="s">
        <v>2128</v>
      </c>
      <c r="D66" s="5" t="s">
        <v>62</v>
      </c>
      <c r="E66" s="5" t="n">
        <v>7</v>
      </c>
      <c r="F66" s="5" t="s">
        <v>544</v>
      </c>
      <c r="G66" s="2" t="s">
        <v>568</v>
      </c>
      <c r="H66" s="5" t="s">
        <v>8336</v>
      </c>
      <c r="I66" s="5"/>
      <c r="J66" s="5"/>
      <c r="K66" s="5" t="s">
        <v>8820</v>
      </c>
    </row>
    <row r="67" customFormat="false" ht="15" hidden="false" customHeight="false" outlineLevel="0" collapsed="false">
      <c r="A67" s="5" t="s">
        <v>4765</v>
      </c>
      <c r="B67" s="2" t="s">
        <v>4766</v>
      </c>
      <c r="C67" s="5" t="s">
        <v>2128</v>
      </c>
      <c r="D67" s="5" t="s">
        <v>62</v>
      </c>
      <c r="E67" s="5" t="n">
        <v>8</v>
      </c>
      <c r="F67" s="5" t="s">
        <v>2079</v>
      </c>
      <c r="G67" s="2" t="s">
        <v>568</v>
      </c>
      <c r="H67" s="5" t="s">
        <v>8332</v>
      </c>
      <c r="I67" s="5" t="s">
        <v>4760</v>
      </c>
      <c r="J67" s="5" t="s">
        <v>2079</v>
      </c>
      <c r="K67" s="5" t="s">
        <v>4770</v>
      </c>
    </row>
    <row r="68" customFormat="false" ht="15" hidden="false" customHeight="false" outlineLevel="0" collapsed="false">
      <c r="A68" s="5" t="s">
        <v>8821</v>
      </c>
      <c r="B68" s="2" t="s">
        <v>8822</v>
      </c>
      <c r="C68" s="5" t="s">
        <v>2128</v>
      </c>
      <c r="D68" s="5" t="s">
        <v>62</v>
      </c>
      <c r="E68" s="5" t="n">
        <v>9</v>
      </c>
      <c r="F68" s="5" t="s">
        <v>90</v>
      </c>
      <c r="G68" s="2" t="s">
        <v>568</v>
      </c>
      <c r="H68" s="5" t="s">
        <v>8336</v>
      </c>
      <c r="I68" s="5"/>
      <c r="J68" s="5"/>
      <c r="K68" s="5" t="s">
        <v>8823</v>
      </c>
    </row>
    <row r="69" customFormat="false" ht="15" hidden="false" customHeight="false" outlineLevel="0" collapsed="false">
      <c r="A69" s="5" t="s">
        <v>575</v>
      </c>
      <c r="B69" s="2" t="s">
        <v>576</v>
      </c>
      <c r="C69" s="5" t="s">
        <v>488</v>
      </c>
      <c r="D69" s="5" t="s">
        <v>62</v>
      </c>
      <c r="E69" s="5" t="n">
        <v>9</v>
      </c>
      <c r="F69" s="5" t="s">
        <v>481</v>
      </c>
      <c r="G69" s="2" t="s">
        <v>568</v>
      </c>
      <c r="H69" s="5" t="s">
        <v>8332</v>
      </c>
      <c r="I69" s="5" t="s">
        <v>60</v>
      </c>
      <c r="J69" s="5" t="s">
        <v>577</v>
      </c>
      <c r="K69" s="5" t="s">
        <v>582</v>
      </c>
    </row>
    <row r="70" customFormat="false" ht="15" hidden="false" customHeight="false" outlineLevel="0" collapsed="false">
      <c r="A70" s="5" t="s">
        <v>8824</v>
      </c>
      <c r="B70" s="2" t="s">
        <v>8825</v>
      </c>
      <c r="C70" s="5" t="s">
        <v>2128</v>
      </c>
      <c r="D70" s="5" t="s">
        <v>62</v>
      </c>
      <c r="E70" s="5" t="n">
        <v>7</v>
      </c>
      <c r="F70" s="5" t="s">
        <v>536</v>
      </c>
      <c r="G70" s="2" t="s">
        <v>568</v>
      </c>
      <c r="H70" s="5" t="s">
        <v>8336</v>
      </c>
      <c r="I70" s="5"/>
      <c r="J70" s="5"/>
      <c r="K70" s="5" t="s">
        <v>8826</v>
      </c>
    </row>
    <row r="71" customFormat="false" ht="15" hidden="false" customHeight="false" outlineLevel="0" collapsed="false">
      <c r="A71" s="5" t="s">
        <v>8827</v>
      </c>
      <c r="B71" s="2" t="s">
        <v>8828</v>
      </c>
      <c r="C71" s="5" t="s">
        <v>2128</v>
      </c>
      <c r="D71" s="5" t="s">
        <v>62</v>
      </c>
      <c r="E71" s="5" t="n">
        <v>7</v>
      </c>
      <c r="F71" s="5" t="s">
        <v>536</v>
      </c>
      <c r="G71" s="2" t="s">
        <v>568</v>
      </c>
      <c r="H71" s="5" t="s">
        <v>8336</v>
      </c>
      <c r="I71" s="5"/>
      <c r="J71" s="5"/>
      <c r="K71" s="5" t="s">
        <v>8829</v>
      </c>
    </row>
    <row r="72" customFormat="false" ht="23.85" hidden="false" customHeight="false" outlineLevel="0" collapsed="false">
      <c r="A72" s="5" t="s">
        <v>8830</v>
      </c>
      <c r="B72" s="2" t="s">
        <v>8831</v>
      </c>
      <c r="C72" s="5" t="s">
        <v>2128</v>
      </c>
      <c r="D72" s="5" t="s">
        <v>62</v>
      </c>
      <c r="E72" s="5" t="n">
        <v>8</v>
      </c>
      <c r="F72" s="5" t="s">
        <v>536</v>
      </c>
      <c r="G72" s="2" t="s">
        <v>568</v>
      </c>
      <c r="H72" s="5" t="s">
        <v>8336</v>
      </c>
      <c r="I72" s="5"/>
      <c r="J72" s="5"/>
      <c r="K72" s="5" t="s">
        <v>8832</v>
      </c>
    </row>
    <row r="73" customFormat="false" ht="15" hidden="false" customHeight="false" outlineLevel="0" collapsed="false">
      <c r="A73" s="5" t="s">
        <v>8833</v>
      </c>
      <c r="B73" s="2" t="s">
        <v>8834</v>
      </c>
      <c r="C73" s="5" t="s">
        <v>2128</v>
      </c>
      <c r="D73" s="5" t="s">
        <v>62</v>
      </c>
      <c r="E73" s="5" t="n">
        <v>8</v>
      </c>
      <c r="F73" s="5" t="s">
        <v>536</v>
      </c>
      <c r="G73" s="2" t="s">
        <v>568</v>
      </c>
      <c r="H73" s="5" t="s">
        <v>8336</v>
      </c>
      <c r="I73" s="5"/>
      <c r="J73" s="5"/>
      <c r="K73" s="5" t="s">
        <v>8835</v>
      </c>
    </row>
    <row r="74" customFormat="false" ht="15" hidden="false" customHeight="false" outlineLevel="0" collapsed="false">
      <c r="A74" s="5" t="s">
        <v>8836</v>
      </c>
      <c r="B74" s="2" t="s">
        <v>8837</v>
      </c>
      <c r="C74" s="5" t="s">
        <v>2128</v>
      </c>
      <c r="D74" s="5" t="s">
        <v>62</v>
      </c>
      <c r="E74" s="5" t="n">
        <v>7</v>
      </c>
      <c r="F74" s="5" t="s">
        <v>536</v>
      </c>
      <c r="G74" s="2" t="s">
        <v>568</v>
      </c>
      <c r="H74" s="5" t="s">
        <v>8336</v>
      </c>
      <c r="I74" s="5"/>
      <c r="J74" s="5"/>
      <c r="K74" s="5" t="s">
        <v>8838</v>
      </c>
    </row>
    <row r="75" customFormat="false" ht="15" hidden="false" customHeight="false" outlineLevel="0" collapsed="false">
      <c r="A75" s="5" t="s">
        <v>8839</v>
      </c>
      <c r="B75" s="2" t="s">
        <v>8840</v>
      </c>
      <c r="C75" s="5" t="s">
        <v>2128</v>
      </c>
      <c r="D75" s="5" t="s">
        <v>62</v>
      </c>
      <c r="E75" s="5" t="n">
        <v>7</v>
      </c>
      <c r="F75" s="5" t="s">
        <v>536</v>
      </c>
      <c r="G75" s="2" t="s">
        <v>568</v>
      </c>
      <c r="H75" s="5" t="s">
        <v>8336</v>
      </c>
      <c r="I75" s="5"/>
      <c r="J75" s="5"/>
      <c r="K75" s="5" t="s">
        <v>8841</v>
      </c>
    </row>
    <row r="76" customFormat="false" ht="15" hidden="false" customHeight="false" outlineLevel="0" collapsed="false">
      <c r="A76" s="5" t="s">
        <v>583</v>
      </c>
      <c r="B76" s="2" t="s">
        <v>584</v>
      </c>
      <c r="C76" s="5" t="s">
        <v>488</v>
      </c>
      <c r="D76" s="5" t="s">
        <v>62</v>
      </c>
      <c r="E76" s="5" t="n">
        <v>7</v>
      </c>
      <c r="F76" s="5" t="s">
        <v>100</v>
      </c>
      <c r="G76" s="2" t="s">
        <v>526</v>
      </c>
      <c r="H76" s="5" t="s">
        <v>8332</v>
      </c>
      <c r="I76" s="5" t="s">
        <v>60</v>
      </c>
      <c r="J76" s="5" t="s">
        <v>100</v>
      </c>
      <c r="K76" s="5" t="s">
        <v>590</v>
      </c>
    </row>
    <row r="77" customFormat="false" ht="15" hidden="false" customHeight="false" outlineLevel="0" collapsed="false">
      <c r="A77" s="5" t="s">
        <v>8842</v>
      </c>
      <c r="B77" s="2" t="s">
        <v>8843</v>
      </c>
      <c r="C77" s="5" t="s">
        <v>2128</v>
      </c>
      <c r="D77" s="5" t="s">
        <v>62</v>
      </c>
      <c r="E77" s="5" t="n">
        <v>9</v>
      </c>
      <c r="F77" s="5" t="s">
        <v>67</v>
      </c>
      <c r="G77" s="2" t="s">
        <v>526</v>
      </c>
      <c r="H77" s="5" t="s">
        <v>8336</v>
      </c>
      <c r="I77" s="5"/>
      <c r="J77" s="5"/>
      <c r="K77" s="5" t="s">
        <v>8844</v>
      </c>
    </row>
    <row r="78" customFormat="false" ht="15" hidden="false" customHeight="false" outlineLevel="0" collapsed="false">
      <c r="A78" s="5" t="s">
        <v>8845</v>
      </c>
      <c r="B78" s="2" t="s">
        <v>8846</v>
      </c>
      <c r="C78" s="5" t="s">
        <v>2128</v>
      </c>
      <c r="D78" s="5" t="s">
        <v>62</v>
      </c>
      <c r="E78" s="5" t="n">
        <v>8</v>
      </c>
      <c r="F78" s="5" t="s">
        <v>67</v>
      </c>
      <c r="G78" s="2" t="s">
        <v>526</v>
      </c>
      <c r="H78" s="5" t="s">
        <v>8336</v>
      </c>
      <c r="I78" s="5"/>
      <c r="J78" s="5"/>
      <c r="K78" s="5" t="s">
        <v>8847</v>
      </c>
    </row>
    <row r="79" customFormat="false" ht="23.85" hidden="false" customHeight="false" outlineLevel="0" collapsed="false">
      <c r="A79" s="5" t="s">
        <v>2197</v>
      </c>
      <c r="B79" s="2" t="s">
        <v>2198</v>
      </c>
      <c r="C79" s="5" t="s">
        <v>2128</v>
      </c>
      <c r="D79" s="5" t="s">
        <v>62</v>
      </c>
      <c r="E79" s="5" t="n">
        <v>7</v>
      </c>
      <c r="F79" s="5" t="s">
        <v>544</v>
      </c>
      <c r="G79" s="2" t="s">
        <v>593</v>
      </c>
      <c r="H79" s="5" t="s">
        <v>8332</v>
      </c>
      <c r="I79" s="5" t="s">
        <v>60</v>
      </c>
      <c r="J79" s="5" t="s">
        <v>161</v>
      </c>
      <c r="K79" s="5" t="s">
        <v>2203</v>
      </c>
    </row>
    <row r="80" customFormat="false" ht="23.85" hidden="false" customHeight="false" outlineLevel="0" collapsed="false">
      <c r="A80" s="5" t="s">
        <v>8848</v>
      </c>
      <c r="B80" s="2" t="s">
        <v>8849</v>
      </c>
      <c r="C80" s="5" t="s">
        <v>2128</v>
      </c>
      <c r="D80" s="5" t="s">
        <v>62</v>
      </c>
      <c r="E80" s="5" t="n">
        <v>3</v>
      </c>
      <c r="F80" s="5" t="s">
        <v>90</v>
      </c>
      <c r="G80" s="2" t="s">
        <v>593</v>
      </c>
      <c r="H80" s="5" t="s">
        <v>8336</v>
      </c>
      <c r="I80" s="5"/>
      <c r="J80" s="5"/>
      <c r="K80" s="5" t="s">
        <v>8850</v>
      </c>
    </row>
    <row r="81" customFormat="false" ht="23.85" hidden="false" customHeight="false" outlineLevel="0" collapsed="false">
      <c r="A81" s="5" t="s">
        <v>8851</v>
      </c>
      <c r="B81" s="2" t="s">
        <v>8852</v>
      </c>
      <c r="C81" s="5" t="s">
        <v>2128</v>
      </c>
      <c r="D81" s="5" t="s">
        <v>62</v>
      </c>
      <c r="E81" s="5" t="n">
        <v>3</v>
      </c>
      <c r="F81" s="5" t="s">
        <v>67</v>
      </c>
      <c r="G81" s="2" t="s">
        <v>593</v>
      </c>
      <c r="H81" s="5" t="s">
        <v>8336</v>
      </c>
      <c r="I81" s="5"/>
      <c r="J81" s="5"/>
      <c r="K81" s="5" t="s">
        <v>8853</v>
      </c>
    </row>
    <row r="82" customFormat="false" ht="23.85" hidden="false" customHeight="false" outlineLevel="0" collapsed="false">
      <c r="A82" s="5" t="s">
        <v>8854</v>
      </c>
      <c r="B82" s="2" t="s">
        <v>8855</v>
      </c>
      <c r="C82" s="5" t="s">
        <v>2128</v>
      </c>
      <c r="D82" s="5" t="s">
        <v>62</v>
      </c>
      <c r="E82" s="5" t="n">
        <v>3</v>
      </c>
      <c r="F82" s="5" t="s">
        <v>90</v>
      </c>
      <c r="G82" s="2" t="s">
        <v>593</v>
      </c>
      <c r="H82" s="5" t="s">
        <v>8336</v>
      </c>
      <c r="I82" s="5"/>
      <c r="J82" s="5"/>
      <c r="K82" s="5" t="s">
        <v>8856</v>
      </c>
    </row>
    <row r="83" customFormat="false" ht="23.85" hidden="false" customHeight="false" outlineLevel="0" collapsed="false">
      <c r="A83" s="5" t="s">
        <v>8857</v>
      </c>
      <c r="B83" s="2" t="s">
        <v>8858</v>
      </c>
      <c r="C83" s="5" t="s">
        <v>2128</v>
      </c>
      <c r="D83" s="5" t="s">
        <v>62</v>
      </c>
      <c r="E83" s="5" t="n">
        <v>7</v>
      </c>
      <c r="F83" s="5" t="s">
        <v>544</v>
      </c>
      <c r="G83" s="2" t="s">
        <v>593</v>
      </c>
      <c r="H83" s="5" t="s">
        <v>8336</v>
      </c>
      <c r="I83" s="5"/>
      <c r="J83" s="5"/>
      <c r="K83" s="5" t="s">
        <v>8859</v>
      </c>
    </row>
    <row r="84" customFormat="false" ht="23.85" hidden="false" customHeight="false" outlineLevel="0" collapsed="false">
      <c r="A84" s="5" t="s">
        <v>8860</v>
      </c>
      <c r="B84" s="2" t="s">
        <v>8861</v>
      </c>
      <c r="C84" s="5" t="s">
        <v>2128</v>
      </c>
      <c r="D84" s="5" t="s">
        <v>62</v>
      </c>
      <c r="E84" s="5" t="n">
        <v>5</v>
      </c>
      <c r="F84" s="5" t="s">
        <v>413</v>
      </c>
      <c r="G84" s="2" t="s">
        <v>593</v>
      </c>
      <c r="H84" s="5" t="s">
        <v>8336</v>
      </c>
      <c r="I84" s="5"/>
      <c r="J84" s="5"/>
      <c r="K84" s="5" t="s">
        <v>8862</v>
      </c>
    </row>
    <row r="85" customFormat="false" ht="23.85" hidden="false" customHeight="false" outlineLevel="0" collapsed="false">
      <c r="A85" s="5" t="s">
        <v>2204</v>
      </c>
      <c r="B85" s="2" t="s">
        <v>2205</v>
      </c>
      <c r="C85" s="5" t="s">
        <v>2128</v>
      </c>
      <c r="D85" s="5" t="s">
        <v>62</v>
      </c>
      <c r="E85" s="5" t="n">
        <v>8</v>
      </c>
      <c r="F85" s="5" t="s">
        <v>90</v>
      </c>
      <c r="G85" s="2" t="s">
        <v>593</v>
      </c>
      <c r="H85" s="5" t="s">
        <v>8332</v>
      </c>
      <c r="I85" s="5" t="s">
        <v>60</v>
      </c>
      <c r="J85" s="5" t="s">
        <v>61</v>
      </c>
      <c r="K85" s="5" t="s">
        <v>2209</v>
      </c>
    </row>
    <row r="86" customFormat="false" ht="23.85" hidden="false" customHeight="false" outlineLevel="0" collapsed="false">
      <c r="A86" s="5" t="s">
        <v>8863</v>
      </c>
      <c r="B86" s="2" t="s">
        <v>8864</v>
      </c>
      <c r="C86" s="5" t="s">
        <v>2128</v>
      </c>
      <c r="D86" s="5" t="s">
        <v>62</v>
      </c>
      <c r="E86" s="5" t="n">
        <v>5</v>
      </c>
      <c r="F86" s="5" t="s">
        <v>67</v>
      </c>
      <c r="G86" s="2" t="s">
        <v>593</v>
      </c>
      <c r="H86" s="5" t="s">
        <v>8336</v>
      </c>
      <c r="I86" s="5"/>
      <c r="J86" s="5"/>
      <c r="K86" s="5" t="s">
        <v>8865</v>
      </c>
    </row>
    <row r="87" customFormat="false" ht="15" hidden="false" customHeight="false" outlineLevel="0" collapsed="false">
      <c r="A87" s="5" t="s">
        <v>57</v>
      </c>
      <c r="B87" s="2" t="s">
        <v>58</v>
      </c>
      <c r="C87" s="5" t="s">
        <v>59</v>
      </c>
      <c r="D87" s="5" t="s">
        <v>62</v>
      </c>
      <c r="E87" s="5" t="n">
        <v>9</v>
      </c>
      <c r="F87" s="5" t="s">
        <v>67</v>
      </c>
      <c r="G87" s="2" t="s">
        <v>69</v>
      </c>
      <c r="H87" s="5" t="s">
        <v>8332</v>
      </c>
      <c r="I87" s="5" t="s">
        <v>60</v>
      </c>
      <c r="J87" s="5" t="s">
        <v>61</v>
      </c>
      <c r="K87" s="5" t="s">
        <v>78</v>
      </c>
    </row>
    <row r="88" customFormat="false" ht="15" hidden="false" customHeight="false" outlineLevel="0" collapsed="false">
      <c r="A88" s="5" t="s">
        <v>79</v>
      </c>
      <c r="B88" s="2" t="s">
        <v>80</v>
      </c>
      <c r="C88" s="5" t="s">
        <v>59</v>
      </c>
      <c r="D88" s="5" t="s">
        <v>62</v>
      </c>
      <c r="E88" s="5" t="n">
        <v>10</v>
      </c>
      <c r="F88" s="5" t="s">
        <v>67</v>
      </c>
      <c r="G88" s="2" t="s">
        <v>69</v>
      </c>
      <c r="H88" s="5" t="s">
        <v>8332</v>
      </c>
      <c r="I88" s="5" t="s">
        <v>60</v>
      </c>
      <c r="J88" s="5" t="s">
        <v>61</v>
      </c>
      <c r="K88" s="5" t="s">
        <v>86</v>
      </c>
    </row>
    <row r="89" customFormat="false" ht="23.85" hidden="false" customHeight="false" outlineLevel="0" collapsed="false">
      <c r="A89" s="5" t="s">
        <v>87</v>
      </c>
      <c r="B89" s="2" t="s">
        <v>88</v>
      </c>
      <c r="C89" s="5" t="s">
        <v>59</v>
      </c>
      <c r="D89" s="5" t="s">
        <v>62</v>
      </c>
      <c r="E89" s="5" t="n">
        <v>8</v>
      </c>
      <c r="F89" s="5" t="s">
        <v>90</v>
      </c>
      <c r="G89" s="2" t="s">
        <v>69</v>
      </c>
      <c r="H89" s="5" t="s">
        <v>8332</v>
      </c>
      <c r="I89" s="5" t="s">
        <v>60</v>
      </c>
      <c r="J89" s="5" t="s">
        <v>61</v>
      </c>
      <c r="K89" s="5" t="s">
        <v>96</v>
      </c>
    </row>
    <row r="90" customFormat="false" ht="15" hidden="false" customHeight="false" outlineLevel="0" collapsed="false">
      <c r="A90" s="5" t="s">
        <v>97</v>
      </c>
      <c r="B90" s="2" t="s">
        <v>98</v>
      </c>
      <c r="C90" s="5" t="s">
        <v>59</v>
      </c>
      <c r="D90" s="5" t="s">
        <v>62</v>
      </c>
      <c r="E90" s="5" t="n">
        <v>9</v>
      </c>
      <c r="F90" s="5" t="s">
        <v>100</v>
      </c>
      <c r="G90" s="2" t="s">
        <v>69</v>
      </c>
      <c r="H90" s="5" t="s">
        <v>8332</v>
      </c>
      <c r="I90" s="5" t="s">
        <v>60</v>
      </c>
      <c r="J90" s="5" t="s">
        <v>99</v>
      </c>
      <c r="K90" s="5" t="s">
        <v>107</v>
      </c>
    </row>
    <row r="91" customFormat="false" ht="15" hidden="false" customHeight="false" outlineLevel="0" collapsed="false">
      <c r="A91" s="5" t="s">
        <v>108</v>
      </c>
      <c r="B91" s="2" t="s">
        <v>109</v>
      </c>
      <c r="C91" s="5" t="s">
        <v>59</v>
      </c>
      <c r="D91" s="5" t="s">
        <v>62</v>
      </c>
      <c r="E91" s="5" t="n">
        <v>10</v>
      </c>
      <c r="F91" s="5" t="s">
        <v>67</v>
      </c>
      <c r="G91" s="2" t="s">
        <v>69</v>
      </c>
      <c r="H91" s="5" t="s">
        <v>8332</v>
      </c>
      <c r="I91" s="5" t="s">
        <v>60</v>
      </c>
      <c r="J91" s="5" t="s">
        <v>110</v>
      </c>
      <c r="K91" s="5" t="s">
        <v>113</v>
      </c>
    </row>
    <row r="92" customFormat="false" ht="15" hidden="false" customHeight="false" outlineLevel="0" collapsed="false">
      <c r="A92" s="5" t="s">
        <v>114</v>
      </c>
      <c r="B92" s="2" t="s">
        <v>115</v>
      </c>
      <c r="C92" s="5" t="s">
        <v>59</v>
      </c>
      <c r="D92" s="5" t="s">
        <v>62</v>
      </c>
      <c r="E92" s="5" t="n">
        <v>9</v>
      </c>
      <c r="F92" s="5" t="s">
        <v>90</v>
      </c>
      <c r="G92" s="2" t="s">
        <v>69</v>
      </c>
      <c r="H92" s="5" t="s">
        <v>8332</v>
      </c>
      <c r="I92" s="5" t="s">
        <v>60</v>
      </c>
      <c r="J92" s="5" t="s">
        <v>61</v>
      </c>
      <c r="K92" s="5" t="s">
        <v>120</v>
      </c>
    </row>
    <row r="93" customFormat="false" ht="15" hidden="false" customHeight="false" outlineLevel="0" collapsed="false">
      <c r="A93" s="5" t="s">
        <v>121</v>
      </c>
      <c r="B93" s="2" t="s">
        <v>122</v>
      </c>
      <c r="C93" s="5" t="s">
        <v>59</v>
      </c>
      <c r="D93" s="5" t="s">
        <v>62</v>
      </c>
      <c r="E93" s="5" t="n">
        <v>9</v>
      </c>
      <c r="F93" s="5" t="s">
        <v>90</v>
      </c>
      <c r="G93" s="2" t="s">
        <v>69</v>
      </c>
      <c r="H93" s="5" t="s">
        <v>8332</v>
      </c>
      <c r="I93" s="5" t="s">
        <v>60</v>
      </c>
      <c r="J93" s="5" t="s">
        <v>61</v>
      </c>
      <c r="K93" s="5" t="s">
        <v>128</v>
      </c>
    </row>
    <row r="94" customFormat="false" ht="15" hidden="false" customHeight="false" outlineLevel="0" collapsed="false">
      <c r="A94" s="5" t="s">
        <v>129</v>
      </c>
      <c r="B94" s="2" t="s">
        <v>130</v>
      </c>
      <c r="C94" s="5" t="s">
        <v>59</v>
      </c>
      <c r="D94" s="5" t="s">
        <v>62</v>
      </c>
      <c r="E94" s="5" t="n">
        <v>9</v>
      </c>
      <c r="F94" s="5" t="s">
        <v>90</v>
      </c>
      <c r="G94" s="2" t="s">
        <v>69</v>
      </c>
      <c r="H94" s="5" t="s">
        <v>8332</v>
      </c>
      <c r="I94" s="5" t="s">
        <v>60</v>
      </c>
      <c r="J94" s="5" t="s">
        <v>61</v>
      </c>
      <c r="K94" s="5" t="s">
        <v>133</v>
      </c>
    </row>
    <row r="95" customFormat="false" ht="15" hidden="false" customHeight="false" outlineLevel="0" collapsed="false">
      <c r="A95" s="5" t="s">
        <v>134</v>
      </c>
      <c r="B95" s="2" t="s">
        <v>135</v>
      </c>
      <c r="C95" s="5" t="s">
        <v>59</v>
      </c>
      <c r="D95" s="5" t="s">
        <v>62</v>
      </c>
      <c r="E95" s="5" t="n">
        <v>10</v>
      </c>
      <c r="F95" s="5" t="s">
        <v>90</v>
      </c>
      <c r="G95" s="2" t="s">
        <v>69</v>
      </c>
      <c r="H95" s="5" t="s">
        <v>8332</v>
      </c>
      <c r="I95" s="5" t="s">
        <v>60</v>
      </c>
      <c r="J95" s="5" t="s">
        <v>61</v>
      </c>
      <c r="K95" s="5" t="s">
        <v>138</v>
      </c>
    </row>
    <row r="96" customFormat="false" ht="15" hidden="false" customHeight="false" outlineLevel="0" collapsed="false">
      <c r="A96" s="5" t="s">
        <v>139</v>
      </c>
      <c r="B96" s="2" t="s">
        <v>140</v>
      </c>
      <c r="C96" s="5" t="s">
        <v>59</v>
      </c>
      <c r="D96" s="5" t="s">
        <v>62</v>
      </c>
      <c r="E96" s="5" t="n">
        <v>10</v>
      </c>
      <c r="F96" s="5" t="s">
        <v>90</v>
      </c>
      <c r="G96" s="2" t="s">
        <v>69</v>
      </c>
      <c r="H96" s="5" t="s">
        <v>8332</v>
      </c>
      <c r="I96" s="5" t="s">
        <v>60</v>
      </c>
      <c r="J96" s="5" t="s">
        <v>61</v>
      </c>
      <c r="K96" s="5" t="s">
        <v>143</v>
      </c>
    </row>
    <row r="97" customFormat="false" ht="15" hidden="false" customHeight="false" outlineLevel="0" collapsed="false">
      <c r="A97" s="5" t="s">
        <v>144</v>
      </c>
      <c r="B97" s="2" t="s">
        <v>145</v>
      </c>
      <c r="C97" s="5" t="s">
        <v>59</v>
      </c>
      <c r="D97" s="5" t="s">
        <v>62</v>
      </c>
      <c r="E97" s="5" t="n">
        <v>9</v>
      </c>
      <c r="F97" s="5" t="s">
        <v>90</v>
      </c>
      <c r="G97" s="2" t="s">
        <v>69</v>
      </c>
      <c r="H97" s="5" t="s">
        <v>8332</v>
      </c>
      <c r="I97" s="5" t="s">
        <v>60</v>
      </c>
      <c r="J97" s="5" t="s">
        <v>61</v>
      </c>
      <c r="K97" s="5" t="s">
        <v>148</v>
      </c>
    </row>
    <row r="98" customFormat="false" ht="23.85" hidden="false" customHeight="false" outlineLevel="0" collapsed="false">
      <c r="A98" s="5" t="s">
        <v>2210</v>
      </c>
      <c r="B98" s="2" t="s">
        <v>2211</v>
      </c>
      <c r="C98" s="5" t="s">
        <v>2128</v>
      </c>
      <c r="D98" s="5" t="s">
        <v>62</v>
      </c>
      <c r="E98" s="5" t="n">
        <v>7</v>
      </c>
      <c r="F98" s="5" t="s">
        <v>544</v>
      </c>
      <c r="G98" s="2" t="s">
        <v>593</v>
      </c>
      <c r="H98" s="5" t="s">
        <v>8332</v>
      </c>
      <c r="I98" s="5" t="s">
        <v>60</v>
      </c>
      <c r="J98" s="5" t="s">
        <v>161</v>
      </c>
      <c r="K98" s="5" t="s">
        <v>2215</v>
      </c>
    </row>
    <row r="99" customFormat="false" ht="23.85" hidden="false" customHeight="false" outlineLevel="0" collapsed="false">
      <c r="A99" s="5" t="s">
        <v>8866</v>
      </c>
      <c r="B99" s="2" t="s">
        <v>8867</v>
      </c>
      <c r="C99" s="5" t="s">
        <v>2128</v>
      </c>
      <c r="D99" s="5" t="s">
        <v>62</v>
      </c>
      <c r="E99" s="5" t="n">
        <v>9</v>
      </c>
      <c r="F99" s="5" t="s">
        <v>67</v>
      </c>
      <c r="G99" s="2" t="s">
        <v>593</v>
      </c>
      <c r="H99" s="5" t="s">
        <v>8336</v>
      </c>
      <c r="I99" s="5"/>
      <c r="J99" s="5"/>
      <c r="K99" s="5" t="s">
        <v>8868</v>
      </c>
    </row>
    <row r="100" customFormat="false" ht="23.85" hidden="false" customHeight="false" outlineLevel="0" collapsed="false">
      <c r="A100" s="5" t="s">
        <v>2216</v>
      </c>
      <c r="B100" s="2" t="s">
        <v>2217</v>
      </c>
      <c r="C100" s="5" t="s">
        <v>2128</v>
      </c>
      <c r="D100" s="5" t="s">
        <v>62</v>
      </c>
      <c r="E100" s="5" t="n">
        <v>3</v>
      </c>
      <c r="F100" s="5" t="s">
        <v>544</v>
      </c>
      <c r="G100" s="2" t="s">
        <v>593</v>
      </c>
      <c r="H100" s="5" t="s">
        <v>8332</v>
      </c>
      <c r="I100" s="5" t="s">
        <v>60</v>
      </c>
      <c r="J100" s="5" t="s">
        <v>110</v>
      </c>
      <c r="K100" s="5" t="s">
        <v>2223</v>
      </c>
    </row>
    <row r="101" customFormat="false" ht="23.85" hidden="false" customHeight="false" outlineLevel="0" collapsed="false">
      <c r="A101" s="5" t="s">
        <v>8869</v>
      </c>
      <c r="B101" s="2" t="s">
        <v>8870</v>
      </c>
      <c r="C101" s="5" t="s">
        <v>2128</v>
      </c>
      <c r="D101" s="5" t="s">
        <v>62</v>
      </c>
      <c r="E101" s="5" t="n">
        <v>9</v>
      </c>
      <c r="F101" s="5" t="s">
        <v>67</v>
      </c>
      <c r="G101" s="2" t="s">
        <v>593</v>
      </c>
      <c r="H101" s="5" t="s">
        <v>8336</v>
      </c>
      <c r="I101" s="5"/>
      <c r="J101" s="5"/>
      <c r="K101" s="5" t="s">
        <v>8871</v>
      </c>
    </row>
    <row r="102" customFormat="false" ht="23.85" hidden="false" customHeight="false" outlineLevel="0" collapsed="false">
      <c r="A102" s="5" t="s">
        <v>591</v>
      </c>
      <c r="B102" s="2" t="s">
        <v>592</v>
      </c>
      <c r="C102" s="5" t="s">
        <v>488</v>
      </c>
      <c r="D102" s="5" t="s">
        <v>62</v>
      </c>
      <c r="E102" s="5" t="n">
        <v>9</v>
      </c>
      <c r="F102" s="5" t="s">
        <v>90</v>
      </c>
      <c r="G102" s="2" t="s">
        <v>593</v>
      </c>
      <c r="H102" s="5" t="s">
        <v>8332</v>
      </c>
      <c r="I102" s="5" t="s">
        <v>60</v>
      </c>
      <c r="J102" s="5" t="s">
        <v>110</v>
      </c>
      <c r="K102" s="5" t="s">
        <v>599</v>
      </c>
    </row>
    <row r="103" customFormat="false" ht="15" hidden="false" customHeight="false" outlineLevel="0" collapsed="false">
      <c r="A103" s="5" t="s">
        <v>8872</v>
      </c>
      <c r="B103" s="2" t="s">
        <v>8873</v>
      </c>
      <c r="C103" s="5" t="s">
        <v>2128</v>
      </c>
      <c r="D103" s="5" t="s">
        <v>62</v>
      </c>
      <c r="E103" s="5" t="n">
        <v>3</v>
      </c>
      <c r="F103" s="5" t="s">
        <v>277</v>
      </c>
      <c r="G103" s="2" t="s">
        <v>8874</v>
      </c>
      <c r="H103" s="5" t="s">
        <v>8336</v>
      </c>
      <c r="I103" s="5"/>
      <c r="J103" s="5"/>
      <c r="K103" s="5" t="s">
        <v>8875</v>
      </c>
    </row>
    <row r="104" customFormat="false" ht="23.85" hidden="false" customHeight="false" outlineLevel="0" collapsed="false">
      <c r="A104" s="5" t="s">
        <v>4771</v>
      </c>
      <c r="B104" s="2" t="s">
        <v>4772</v>
      </c>
      <c r="C104" s="5" t="s">
        <v>2128</v>
      </c>
      <c r="D104" s="5" t="s">
        <v>62</v>
      </c>
      <c r="E104" s="5" t="n">
        <v>9</v>
      </c>
      <c r="F104" s="5" t="s">
        <v>100</v>
      </c>
      <c r="G104" s="2" t="s">
        <v>593</v>
      </c>
      <c r="H104" s="5" t="s">
        <v>8332</v>
      </c>
      <c r="I104" s="5" t="s">
        <v>4760</v>
      </c>
      <c r="J104" s="5" t="s">
        <v>100</v>
      </c>
      <c r="K104" s="5" t="s">
        <v>4776</v>
      </c>
    </row>
    <row r="105" customFormat="false" ht="23.85" hidden="false" customHeight="false" outlineLevel="0" collapsed="false">
      <c r="A105" s="5" t="s">
        <v>8876</v>
      </c>
      <c r="B105" s="2" t="s">
        <v>8877</v>
      </c>
      <c r="C105" s="5" t="s">
        <v>2128</v>
      </c>
      <c r="D105" s="5" t="s">
        <v>62</v>
      </c>
      <c r="E105" s="5" t="n">
        <v>5</v>
      </c>
      <c r="F105" s="5" t="s">
        <v>67</v>
      </c>
      <c r="G105" s="2" t="s">
        <v>593</v>
      </c>
      <c r="H105" s="5" t="s">
        <v>8336</v>
      </c>
      <c r="I105" s="5"/>
      <c r="J105" s="5"/>
      <c r="K105" s="5" t="s">
        <v>8878</v>
      </c>
    </row>
    <row r="106" customFormat="false" ht="23.85" hidden="false" customHeight="false" outlineLevel="0" collapsed="false">
      <c r="A106" s="5" t="s">
        <v>2224</v>
      </c>
      <c r="B106" s="2" t="s">
        <v>2225</v>
      </c>
      <c r="C106" s="5" t="s">
        <v>2128</v>
      </c>
      <c r="D106" s="5" t="s">
        <v>62</v>
      </c>
      <c r="E106" s="5" t="n">
        <v>7</v>
      </c>
      <c r="F106" s="5" t="s">
        <v>90</v>
      </c>
      <c r="G106" s="2" t="s">
        <v>593</v>
      </c>
      <c r="H106" s="5" t="s">
        <v>8332</v>
      </c>
      <c r="I106" s="5" t="s">
        <v>60</v>
      </c>
      <c r="J106" s="5" t="s">
        <v>110</v>
      </c>
      <c r="K106" s="5" t="s">
        <v>2229</v>
      </c>
    </row>
    <row r="107" customFormat="false" ht="23.85" hidden="false" customHeight="false" outlineLevel="0" collapsed="false">
      <c r="A107" s="5" t="s">
        <v>8879</v>
      </c>
      <c r="B107" s="2" t="s">
        <v>8880</v>
      </c>
      <c r="C107" s="5" t="s">
        <v>2128</v>
      </c>
      <c r="D107" s="5" t="s">
        <v>62</v>
      </c>
      <c r="E107" s="5" t="n">
        <v>5</v>
      </c>
      <c r="F107" s="5" t="s">
        <v>536</v>
      </c>
      <c r="G107" s="2" t="s">
        <v>593</v>
      </c>
      <c r="H107" s="5" t="s">
        <v>8336</v>
      </c>
      <c r="I107" s="5"/>
      <c r="J107" s="5"/>
      <c r="K107" s="5" t="s">
        <v>8881</v>
      </c>
    </row>
    <row r="108" customFormat="false" ht="15" hidden="false" customHeight="false" outlineLevel="0" collapsed="false">
      <c r="A108" s="5" t="s">
        <v>8882</v>
      </c>
      <c r="B108" s="2" t="s">
        <v>8883</v>
      </c>
      <c r="C108" s="5" t="s">
        <v>2128</v>
      </c>
      <c r="D108" s="5" t="s">
        <v>62</v>
      </c>
      <c r="E108" s="5" t="n">
        <v>3</v>
      </c>
      <c r="F108" s="5" t="s">
        <v>277</v>
      </c>
      <c r="G108" s="2" t="s">
        <v>8874</v>
      </c>
      <c r="H108" s="5" t="s">
        <v>8336</v>
      </c>
      <c r="I108" s="5"/>
      <c r="J108" s="5"/>
      <c r="K108" s="5" t="s">
        <v>8884</v>
      </c>
    </row>
    <row r="109" customFormat="false" ht="23.85" hidden="false" customHeight="false" outlineLevel="0" collapsed="false">
      <c r="A109" s="5" t="s">
        <v>4777</v>
      </c>
      <c r="B109" s="2" t="s">
        <v>4778</v>
      </c>
      <c r="C109" s="5" t="s">
        <v>2128</v>
      </c>
      <c r="D109" s="5" t="s">
        <v>62</v>
      </c>
      <c r="E109" s="5" t="n">
        <v>3</v>
      </c>
      <c r="F109" s="5" t="s">
        <v>100</v>
      </c>
      <c r="G109" s="2" t="s">
        <v>593</v>
      </c>
      <c r="H109" s="5" t="s">
        <v>8332</v>
      </c>
      <c r="I109" s="5" t="s">
        <v>4760</v>
      </c>
      <c r="J109" s="5" t="s">
        <v>100</v>
      </c>
      <c r="K109" s="5" t="s">
        <v>4782</v>
      </c>
    </row>
    <row r="110" customFormat="false" ht="23.85" hidden="false" customHeight="false" outlineLevel="0" collapsed="false">
      <c r="A110" s="5" t="s">
        <v>8885</v>
      </c>
      <c r="B110" s="2" t="s">
        <v>8886</v>
      </c>
      <c r="C110" s="5" t="s">
        <v>2128</v>
      </c>
      <c r="D110" s="5" t="s">
        <v>62</v>
      </c>
      <c r="E110" s="5" t="n">
        <v>9</v>
      </c>
      <c r="F110" s="5" t="s">
        <v>413</v>
      </c>
      <c r="G110" s="2" t="s">
        <v>8682</v>
      </c>
      <c r="H110" s="5" t="s">
        <v>8336</v>
      </c>
      <c r="I110" s="5"/>
      <c r="J110" s="5"/>
      <c r="K110" s="5" t="s">
        <v>8887</v>
      </c>
    </row>
    <row r="111" customFormat="false" ht="15" hidden="false" customHeight="false" outlineLevel="0" collapsed="false">
      <c r="A111" s="5" t="s">
        <v>8888</v>
      </c>
      <c r="B111" s="2" t="s">
        <v>8889</v>
      </c>
      <c r="C111" s="5" t="s">
        <v>2128</v>
      </c>
      <c r="D111" s="5" t="s">
        <v>62</v>
      </c>
      <c r="E111" s="5" t="n">
        <v>7</v>
      </c>
      <c r="F111" s="5" t="s">
        <v>67</v>
      </c>
      <c r="G111" s="2" t="s">
        <v>8890</v>
      </c>
      <c r="H111" s="5" t="s">
        <v>8336</v>
      </c>
      <c r="I111" s="5"/>
      <c r="J111" s="5"/>
      <c r="K111" s="5" t="s">
        <v>8891</v>
      </c>
    </row>
    <row r="112" customFormat="false" ht="15" hidden="false" customHeight="false" outlineLevel="0" collapsed="false">
      <c r="A112" s="5" t="s">
        <v>8892</v>
      </c>
      <c r="B112" s="2" t="s">
        <v>8893</v>
      </c>
      <c r="C112" s="5" t="s">
        <v>2128</v>
      </c>
      <c r="D112" s="5" t="s">
        <v>62</v>
      </c>
      <c r="E112" s="5" t="n">
        <v>9</v>
      </c>
      <c r="F112" s="5" t="s">
        <v>536</v>
      </c>
      <c r="G112" s="2" t="s">
        <v>8894</v>
      </c>
      <c r="H112" s="5" t="s">
        <v>8336</v>
      </c>
      <c r="I112" s="5"/>
      <c r="J112" s="5"/>
      <c r="K112" s="5" t="s">
        <v>8895</v>
      </c>
    </row>
    <row r="113" customFormat="false" ht="23.85" hidden="false" customHeight="false" outlineLevel="0" collapsed="false">
      <c r="A113" s="5" t="s">
        <v>8896</v>
      </c>
      <c r="B113" s="2" t="s">
        <v>8897</v>
      </c>
      <c r="C113" s="5" t="s">
        <v>2128</v>
      </c>
      <c r="D113" s="5" t="s">
        <v>62</v>
      </c>
      <c r="E113" s="5" t="n">
        <v>8</v>
      </c>
      <c r="F113" s="5" t="s">
        <v>413</v>
      </c>
      <c r="G113" s="2" t="s">
        <v>8898</v>
      </c>
      <c r="H113" s="5" t="s">
        <v>8336</v>
      </c>
      <c r="I113" s="5"/>
      <c r="J113" s="5"/>
      <c r="K113" s="5" t="s">
        <v>8899</v>
      </c>
    </row>
    <row r="114" customFormat="false" ht="23.85" hidden="false" customHeight="false" outlineLevel="0" collapsed="false">
      <c r="A114" s="5" t="s">
        <v>8900</v>
      </c>
      <c r="B114" s="2" t="s">
        <v>8901</v>
      </c>
      <c r="C114" s="5" t="s">
        <v>2128</v>
      </c>
      <c r="D114" s="5" t="s">
        <v>490</v>
      </c>
      <c r="E114" s="5" t="n">
        <v>9</v>
      </c>
      <c r="F114" s="5" t="s">
        <v>8902</v>
      </c>
      <c r="G114" s="2" t="s">
        <v>8898</v>
      </c>
      <c r="H114" s="5" t="s">
        <v>8336</v>
      </c>
      <c r="I114" s="5"/>
      <c r="J114" s="5"/>
      <c r="K114" s="5" t="s">
        <v>8903</v>
      </c>
    </row>
    <row r="115" customFormat="false" ht="91" hidden="false" customHeight="false" outlineLevel="0" collapsed="false">
      <c r="A115" s="5" t="s">
        <v>600</v>
      </c>
      <c r="B115" s="2" t="s">
        <v>601</v>
      </c>
      <c r="C115" s="5" t="s">
        <v>488</v>
      </c>
      <c r="D115" s="5" t="s">
        <v>62</v>
      </c>
      <c r="E115" s="5" t="n">
        <v>9</v>
      </c>
      <c r="F115" s="5" t="s">
        <v>100</v>
      </c>
      <c r="G115" s="2" t="s">
        <v>8904</v>
      </c>
      <c r="H115" s="5" t="s">
        <v>8332</v>
      </c>
      <c r="I115" s="5" t="s">
        <v>60</v>
      </c>
      <c r="J115" s="5" t="s">
        <v>100</v>
      </c>
      <c r="K115" s="5" t="s">
        <v>611</v>
      </c>
    </row>
    <row r="116" customFormat="false" ht="147" hidden="false" customHeight="false" outlineLevel="0" collapsed="false">
      <c r="A116" s="5" t="s">
        <v>612</v>
      </c>
      <c r="B116" s="2" t="s">
        <v>613</v>
      </c>
      <c r="C116" s="5" t="s">
        <v>488</v>
      </c>
      <c r="D116" s="5" t="s">
        <v>62</v>
      </c>
      <c r="E116" s="5" t="n">
        <v>9</v>
      </c>
      <c r="F116" s="5" t="s">
        <v>100</v>
      </c>
      <c r="G116" s="2" t="s">
        <v>8905</v>
      </c>
      <c r="H116" s="5" t="s">
        <v>8332</v>
      </c>
      <c r="I116" s="5" t="s">
        <v>60</v>
      </c>
      <c r="J116" s="5" t="s">
        <v>489</v>
      </c>
      <c r="K116" s="5" t="s">
        <v>618</v>
      </c>
    </row>
    <row r="117" customFormat="false" ht="15" hidden="false" customHeight="false" outlineLevel="0" collapsed="false">
      <c r="A117" s="5" t="s">
        <v>8906</v>
      </c>
      <c r="B117" s="2" t="s">
        <v>8907</v>
      </c>
      <c r="C117" s="5" t="s">
        <v>2128</v>
      </c>
      <c r="D117" s="5" t="s">
        <v>62</v>
      </c>
      <c r="E117" s="5" t="n">
        <v>8</v>
      </c>
      <c r="F117" s="5" t="s">
        <v>8908</v>
      </c>
      <c r="G117" s="2" t="s">
        <v>8259</v>
      </c>
      <c r="H117" s="5" t="s">
        <v>8336</v>
      </c>
      <c r="I117" s="5"/>
      <c r="J117" s="5"/>
      <c r="K117" s="5" t="s">
        <v>8909</v>
      </c>
    </row>
    <row r="118" customFormat="false" ht="15" hidden="false" customHeight="false" outlineLevel="0" collapsed="false">
      <c r="A118" s="5" t="s">
        <v>8910</v>
      </c>
      <c r="B118" s="2" t="s">
        <v>8911</v>
      </c>
      <c r="C118" s="5" t="s">
        <v>2128</v>
      </c>
      <c r="D118" s="5" t="s">
        <v>490</v>
      </c>
      <c r="E118" s="5" t="n">
        <v>9</v>
      </c>
      <c r="F118" s="5" t="s">
        <v>8912</v>
      </c>
      <c r="G118" s="2" t="s">
        <v>8913</v>
      </c>
      <c r="H118" s="5" t="s">
        <v>8336</v>
      </c>
      <c r="I118" s="5"/>
      <c r="J118" s="5"/>
      <c r="K118" s="5" t="s">
        <v>8914</v>
      </c>
    </row>
    <row r="119" customFormat="false" ht="15" hidden="false" customHeight="false" outlineLevel="0" collapsed="false">
      <c r="A119" s="5" t="s">
        <v>8915</v>
      </c>
      <c r="B119" s="2" t="s">
        <v>8916</v>
      </c>
      <c r="C119" s="5" t="s">
        <v>2128</v>
      </c>
      <c r="D119" s="5" t="s">
        <v>62</v>
      </c>
      <c r="E119" s="5" t="n">
        <v>9</v>
      </c>
      <c r="F119" s="5" t="s">
        <v>8912</v>
      </c>
      <c r="G119" s="2" t="s">
        <v>8913</v>
      </c>
      <c r="H119" s="5" t="s">
        <v>8336</v>
      </c>
      <c r="I119" s="5"/>
      <c r="J119" s="5"/>
      <c r="K119" s="5" t="s">
        <v>8917</v>
      </c>
    </row>
    <row r="120" customFormat="false" ht="15" hidden="false" customHeight="false" outlineLevel="0" collapsed="false">
      <c r="A120" s="5" t="s">
        <v>8918</v>
      </c>
      <c r="B120" s="2" t="s">
        <v>8919</v>
      </c>
      <c r="C120" s="5" t="s">
        <v>2128</v>
      </c>
      <c r="D120" s="5" t="s">
        <v>490</v>
      </c>
      <c r="E120" s="5" t="n">
        <v>9</v>
      </c>
      <c r="F120" s="5" t="s">
        <v>8912</v>
      </c>
      <c r="G120" s="2" t="s">
        <v>8913</v>
      </c>
      <c r="H120" s="5" t="s">
        <v>8336</v>
      </c>
      <c r="I120" s="5"/>
      <c r="J120" s="5"/>
      <c r="K120" s="5" t="s">
        <v>8920</v>
      </c>
    </row>
    <row r="121" customFormat="false" ht="15" hidden="false" customHeight="false" outlineLevel="0" collapsed="false">
      <c r="A121" s="5" t="s">
        <v>8921</v>
      </c>
      <c r="B121" s="2" t="s">
        <v>8922</v>
      </c>
      <c r="C121" s="5" t="s">
        <v>2128</v>
      </c>
      <c r="D121" s="5" t="s">
        <v>490</v>
      </c>
      <c r="E121" s="5" t="n">
        <v>7</v>
      </c>
      <c r="F121" s="5" t="s">
        <v>8912</v>
      </c>
      <c r="G121" s="2" t="s">
        <v>8913</v>
      </c>
      <c r="H121" s="5" t="s">
        <v>8336</v>
      </c>
      <c r="I121" s="5"/>
      <c r="J121" s="5"/>
      <c r="K121" s="5" t="s">
        <v>8923</v>
      </c>
    </row>
    <row r="122" customFormat="false" ht="15" hidden="false" customHeight="false" outlineLevel="0" collapsed="false">
      <c r="A122" s="5" t="s">
        <v>8924</v>
      </c>
      <c r="B122" s="2" t="s">
        <v>8925</v>
      </c>
      <c r="C122" s="5" t="s">
        <v>2128</v>
      </c>
      <c r="D122" s="5" t="s">
        <v>490</v>
      </c>
      <c r="E122" s="5" t="n">
        <v>9</v>
      </c>
      <c r="F122" s="5" t="s">
        <v>8912</v>
      </c>
      <c r="G122" s="2" t="s">
        <v>8913</v>
      </c>
      <c r="H122" s="5" t="s">
        <v>8336</v>
      </c>
      <c r="I122" s="5"/>
      <c r="J122" s="5"/>
      <c r="K122" s="5" t="s">
        <v>8926</v>
      </c>
    </row>
    <row r="123" customFormat="false" ht="15" hidden="false" customHeight="false" outlineLevel="0" collapsed="false">
      <c r="A123" s="5" t="s">
        <v>8927</v>
      </c>
      <c r="B123" s="2" t="s">
        <v>8928</v>
      </c>
      <c r="C123" s="5" t="s">
        <v>2128</v>
      </c>
      <c r="D123" s="5" t="s">
        <v>490</v>
      </c>
      <c r="E123" s="5" t="n">
        <v>7</v>
      </c>
      <c r="F123" s="5" t="s">
        <v>8912</v>
      </c>
      <c r="G123" s="2" t="s">
        <v>8913</v>
      </c>
      <c r="H123" s="5" t="s">
        <v>8336</v>
      </c>
      <c r="I123" s="5"/>
      <c r="J123" s="5"/>
      <c r="K123" s="5" t="s">
        <v>8929</v>
      </c>
    </row>
    <row r="124" customFormat="false" ht="15" hidden="false" customHeight="false" outlineLevel="0" collapsed="false">
      <c r="A124" s="5" t="s">
        <v>8930</v>
      </c>
      <c r="B124" s="2" t="s">
        <v>8931</v>
      </c>
      <c r="C124" s="5" t="s">
        <v>2128</v>
      </c>
      <c r="D124" s="5" t="s">
        <v>490</v>
      </c>
      <c r="E124" s="5" t="n">
        <v>9</v>
      </c>
      <c r="F124" s="5" t="s">
        <v>8912</v>
      </c>
      <c r="G124" s="2" t="s">
        <v>8913</v>
      </c>
      <c r="H124" s="5" t="s">
        <v>8336</v>
      </c>
      <c r="I124" s="5"/>
      <c r="J124" s="5"/>
      <c r="K124" s="5" t="s">
        <v>8932</v>
      </c>
    </row>
    <row r="125" customFormat="false" ht="15" hidden="false" customHeight="false" outlineLevel="0" collapsed="false">
      <c r="A125" s="5" t="s">
        <v>8933</v>
      </c>
      <c r="B125" s="2" t="s">
        <v>8934</v>
      </c>
      <c r="C125" s="5" t="s">
        <v>2128</v>
      </c>
      <c r="D125" s="5" t="s">
        <v>490</v>
      </c>
      <c r="E125" s="5" t="n">
        <v>7</v>
      </c>
      <c r="F125" s="5" t="s">
        <v>8912</v>
      </c>
      <c r="G125" s="2" t="s">
        <v>8913</v>
      </c>
      <c r="H125" s="5" t="s">
        <v>8336</v>
      </c>
      <c r="I125" s="5"/>
      <c r="J125" s="5"/>
      <c r="K125" s="5" t="s">
        <v>8935</v>
      </c>
    </row>
    <row r="126" customFormat="false" ht="23.85" hidden="false" customHeight="false" outlineLevel="0" collapsed="false">
      <c r="A126" s="5" t="s">
        <v>8936</v>
      </c>
      <c r="B126" s="2" t="s">
        <v>8937</v>
      </c>
      <c r="C126" s="5" t="s">
        <v>2128</v>
      </c>
      <c r="D126" s="5" t="s">
        <v>490</v>
      </c>
      <c r="E126" s="5" t="n">
        <v>5</v>
      </c>
      <c r="F126" s="5" t="s">
        <v>8908</v>
      </c>
      <c r="G126" s="2" t="s">
        <v>8938</v>
      </c>
      <c r="H126" s="5" t="s">
        <v>8336</v>
      </c>
      <c r="I126" s="5"/>
      <c r="J126" s="5"/>
      <c r="K126" s="5" t="s">
        <v>8939</v>
      </c>
    </row>
    <row r="127" customFormat="false" ht="23.85" hidden="false" customHeight="false" outlineLevel="0" collapsed="false">
      <c r="A127" s="5" t="s">
        <v>8940</v>
      </c>
      <c r="B127" s="2" t="s">
        <v>8941</v>
      </c>
      <c r="C127" s="5" t="s">
        <v>2128</v>
      </c>
      <c r="D127" s="5" t="s">
        <v>490</v>
      </c>
      <c r="E127" s="5" t="n">
        <v>7</v>
      </c>
      <c r="F127" s="5" t="s">
        <v>8908</v>
      </c>
      <c r="G127" s="2" t="s">
        <v>8938</v>
      </c>
      <c r="H127" s="5" t="s">
        <v>8336</v>
      </c>
      <c r="I127" s="5"/>
      <c r="J127" s="5"/>
      <c r="K127" s="5" t="s">
        <v>8942</v>
      </c>
    </row>
    <row r="128" customFormat="false" ht="23.85" hidden="false" customHeight="false" outlineLevel="0" collapsed="false">
      <c r="A128" s="5" t="s">
        <v>8943</v>
      </c>
      <c r="B128" s="2" t="s">
        <v>8944</v>
      </c>
      <c r="C128" s="5" t="s">
        <v>2128</v>
      </c>
      <c r="D128" s="5" t="s">
        <v>490</v>
      </c>
      <c r="E128" s="5" t="n">
        <v>1</v>
      </c>
      <c r="F128" s="5" t="s">
        <v>8945</v>
      </c>
      <c r="G128" s="2" t="s">
        <v>8938</v>
      </c>
      <c r="H128" s="5" t="s">
        <v>8336</v>
      </c>
      <c r="I128" s="5"/>
      <c r="J128" s="5"/>
      <c r="K128" s="5" t="s">
        <v>8946</v>
      </c>
    </row>
    <row r="129" customFormat="false" ht="15" hidden="false" customHeight="false" outlineLevel="0" collapsed="false">
      <c r="A129" s="5" t="s">
        <v>8947</v>
      </c>
      <c r="B129" s="2" t="s">
        <v>8948</v>
      </c>
      <c r="C129" s="5" t="s">
        <v>2128</v>
      </c>
      <c r="D129" s="5" t="s">
        <v>62</v>
      </c>
      <c r="E129" s="5" t="n">
        <v>8</v>
      </c>
      <c r="F129" s="5" t="s">
        <v>8949</v>
      </c>
      <c r="G129" s="2" t="s">
        <v>4785</v>
      </c>
      <c r="H129" s="5" t="s">
        <v>8336</v>
      </c>
      <c r="I129" s="5"/>
      <c r="J129" s="5"/>
      <c r="K129" s="5" t="s">
        <v>8950</v>
      </c>
    </row>
    <row r="130" customFormat="false" ht="15" hidden="false" customHeight="false" outlineLevel="0" collapsed="false">
      <c r="A130" s="5" t="s">
        <v>8951</v>
      </c>
      <c r="B130" s="2" t="s">
        <v>8952</v>
      </c>
      <c r="C130" s="5" t="s">
        <v>2128</v>
      </c>
      <c r="D130" s="5" t="s">
        <v>62</v>
      </c>
      <c r="E130" s="5" t="n">
        <v>9</v>
      </c>
      <c r="F130" s="5" t="s">
        <v>2154</v>
      </c>
      <c r="G130" s="2" t="s">
        <v>4785</v>
      </c>
      <c r="H130" s="5" t="s">
        <v>8336</v>
      </c>
      <c r="I130" s="5"/>
      <c r="J130" s="5"/>
      <c r="K130" s="5" t="s">
        <v>8953</v>
      </c>
    </row>
    <row r="131" customFormat="false" ht="15" hidden="false" customHeight="false" outlineLevel="0" collapsed="false">
      <c r="A131" s="5" t="s">
        <v>8954</v>
      </c>
      <c r="B131" s="2" t="s">
        <v>8955</v>
      </c>
      <c r="C131" s="5" t="s">
        <v>2128</v>
      </c>
      <c r="D131" s="5" t="s">
        <v>62</v>
      </c>
      <c r="E131" s="5" t="n">
        <v>9</v>
      </c>
      <c r="F131" s="5" t="s">
        <v>2154</v>
      </c>
      <c r="G131" s="2" t="s">
        <v>4785</v>
      </c>
      <c r="H131" s="5" t="s">
        <v>8336</v>
      </c>
      <c r="I131" s="5"/>
      <c r="J131" s="5"/>
      <c r="K131" s="5" t="s">
        <v>8956</v>
      </c>
    </row>
    <row r="132" customFormat="false" ht="15" hidden="false" customHeight="false" outlineLevel="0" collapsed="false">
      <c r="A132" s="5" t="s">
        <v>8957</v>
      </c>
      <c r="B132" s="2" t="s">
        <v>8958</v>
      </c>
      <c r="C132" s="5" t="s">
        <v>2128</v>
      </c>
      <c r="D132" s="5" t="s">
        <v>62</v>
      </c>
      <c r="E132" s="5" t="n">
        <v>8</v>
      </c>
      <c r="F132" s="5" t="s">
        <v>8959</v>
      </c>
      <c r="G132" s="2" t="s">
        <v>4785</v>
      </c>
      <c r="H132" s="5" t="s">
        <v>8336</v>
      </c>
      <c r="I132" s="5"/>
      <c r="J132" s="5"/>
      <c r="K132" s="5" t="s">
        <v>8960</v>
      </c>
    </row>
    <row r="133" customFormat="false" ht="15" hidden="false" customHeight="false" outlineLevel="0" collapsed="false">
      <c r="A133" s="5" t="s">
        <v>8961</v>
      </c>
      <c r="B133" s="2" t="s">
        <v>8962</v>
      </c>
      <c r="C133" s="5" t="s">
        <v>2128</v>
      </c>
      <c r="D133" s="5" t="s">
        <v>62</v>
      </c>
      <c r="E133" s="5" t="n">
        <v>8</v>
      </c>
      <c r="F133" s="5" t="s">
        <v>8963</v>
      </c>
      <c r="G133" s="2" t="s">
        <v>4785</v>
      </c>
      <c r="H133" s="5" t="s">
        <v>8336</v>
      </c>
      <c r="I133" s="5"/>
      <c r="J133" s="5"/>
      <c r="K133" s="5" t="s">
        <v>8964</v>
      </c>
    </row>
    <row r="134" customFormat="false" ht="15" hidden="false" customHeight="false" outlineLevel="0" collapsed="false">
      <c r="A134" s="5" t="s">
        <v>8965</v>
      </c>
      <c r="B134" s="2" t="s">
        <v>8966</v>
      </c>
      <c r="C134" s="5" t="s">
        <v>2128</v>
      </c>
      <c r="D134" s="5" t="s">
        <v>62</v>
      </c>
      <c r="E134" s="5" t="n">
        <v>9</v>
      </c>
      <c r="F134" s="5" t="s">
        <v>2154</v>
      </c>
      <c r="G134" s="2" t="s">
        <v>4785</v>
      </c>
      <c r="H134" s="5" t="s">
        <v>8336</v>
      </c>
      <c r="I134" s="5"/>
      <c r="J134" s="5"/>
      <c r="K134" s="5" t="s">
        <v>8967</v>
      </c>
    </row>
    <row r="135" customFormat="false" ht="15" hidden="false" customHeight="false" outlineLevel="0" collapsed="false">
      <c r="A135" s="5" t="s">
        <v>8968</v>
      </c>
      <c r="B135" s="2" t="s">
        <v>8969</v>
      </c>
      <c r="C135" s="5" t="s">
        <v>2128</v>
      </c>
      <c r="D135" s="5" t="s">
        <v>62</v>
      </c>
      <c r="E135" s="5" t="n">
        <v>9</v>
      </c>
      <c r="F135" s="5" t="s">
        <v>536</v>
      </c>
      <c r="G135" s="2" t="s">
        <v>4785</v>
      </c>
      <c r="H135" s="5" t="s">
        <v>8336</v>
      </c>
      <c r="I135" s="5"/>
      <c r="J135" s="5"/>
      <c r="K135" s="5" t="s">
        <v>8970</v>
      </c>
    </row>
    <row r="136" customFormat="false" ht="15" hidden="false" customHeight="false" outlineLevel="0" collapsed="false">
      <c r="A136" s="5" t="s">
        <v>8971</v>
      </c>
      <c r="B136" s="2" t="s">
        <v>8972</v>
      </c>
      <c r="C136" s="5" t="s">
        <v>2128</v>
      </c>
      <c r="D136" s="5" t="s">
        <v>62</v>
      </c>
      <c r="E136" s="5" t="n">
        <v>9</v>
      </c>
      <c r="F136" s="5" t="s">
        <v>8959</v>
      </c>
      <c r="G136" s="2" t="s">
        <v>4785</v>
      </c>
      <c r="H136" s="5" t="s">
        <v>8336</v>
      </c>
      <c r="I136" s="5"/>
      <c r="J136" s="5"/>
      <c r="K136" s="5" t="s">
        <v>8973</v>
      </c>
    </row>
    <row r="137" customFormat="false" ht="15" hidden="false" customHeight="false" outlineLevel="0" collapsed="false">
      <c r="A137" s="5" t="s">
        <v>8974</v>
      </c>
      <c r="B137" s="2" t="s">
        <v>8975</v>
      </c>
      <c r="C137" s="5" t="s">
        <v>2128</v>
      </c>
      <c r="D137" s="5" t="s">
        <v>62</v>
      </c>
      <c r="E137" s="5" t="n">
        <v>9</v>
      </c>
      <c r="F137" s="5" t="s">
        <v>8959</v>
      </c>
      <c r="G137" s="2" t="s">
        <v>4785</v>
      </c>
      <c r="H137" s="5" t="s">
        <v>8336</v>
      </c>
      <c r="I137" s="5"/>
      <c r="J137" s="5"/>
      <c r="K137" s="5" t="s">
        <v>8976</v>
      </c>
    </row>
    <row r="138" customFormat="false" ht="15" hidden="false" customHeight="false" outlineLevel="0" collapsed="false">
      <c r="A138" s="5" t="s">
        <v>8977</v>
      </c>
      <c r="B138" s="2" t="s">
        <v>8978</v>
      </c>
      <c r="C138" s="5" t="s">
        <v>2128</v>
      </c>
      <c r="D138" s="5" t="s">
        <v>62</v>
      </c>
      <c r="E138" s="5" t="n">
        <v>9</v>
      </c>
      <c r="F138" s="5" t="s">
        <v>8959</v>
      </c>
      <c r="G138" s="2" t="s">
        <v>4785</v>
      </c>
      <c r="H138" s="5" t="s">
        <v>8336</v>
      </c>
      <c r="I138" s="5"/>
      <c r="J138" s="5"/>
      <c r="K138" s="5" t="s">
        <v>8979</v>
      </c>
    </row>
    <row r="139" customFormat="false" ht="15" hidden="false" customHeight="false" outlineLevel="0" collapsed="false">
      <c r="A139" s="5" t="s">
        <v>4783</v>
      </c>
      <c r="B139" s="2" t="s">
        <v>4784</v>
      </c>
      <c r="C139" s="5" t="s">
        <v>2128</v>
      </c>
      <c r="D139" s="5" t="s">
        <v>62</v>
      </c>
      <c r="E139" s="5" t="n">
        <v>7</v>
      </c>
      <c r="F139" s="5" t="s">
        <v>100</v>
      </c>
      <c r="G139" s="2" t="s">
        <v>4785</v>
      </c>
      <c r="H139" s="5" t="s">
        <v>8332</v>
      </c>
      <c r="I139" s="5" t="s">
        <v>4760</v>
      </c>
      <c r="J139" s="5" t="s">
        <v>100</v>
      </c>
      <c r="K139" s="5" t="s">
        <v>4790</v>
      </c>
    </row>
    <row r="140" customFormat="false" ht="23.85" hidden="false" customHeight="false" outlineLevel="0" collapsed="false">
      <c r="A140" s="5" t="s">
        <v>8980</v>
      </c>
      <c r="B140" s="2" t="s">
        <v>8981</v>
      </c>
      <c r="C140" s="5" t="s">
        <v>2128</v>
      </c>
      <c r="D140" s="5" t="s">
        <v>62</v>
      </c>
      <c r="E140" s="5" t="n">
        <v>9</v>
      </c>
      <c r="F140" s="5" t="s">
        <v>8959</v>
      </c>
      <c r="G140" s="2" t="s">
        <v>4785</v>
      </c>
      <c r="H140" s="5" t="s">
        <v>8336</v>
      </c>
      <c r="I140" s="5"/>
      <c r="J140" s="5"/>
      <c r="K140" s="5" t="s">
        <v>8982</v>
      </c>
    </row>
    <row r="141" customFormat="false" ht="15" hidden="false" customHeight="false" outlineLevel="0" collapsed="false">
      <c r="A141" s="5" t="s">
        <v>8983</v>
      </c>
      <c r="B141" s="2" t="s">
        <v>8984</v>
      </c>
      <c r="C141" s="5" t="s">
        <v>2128</v>
      </c>
      <c r="D141" s="5" t="s">
        <v>62</v>
      </c>
      <c r="E141" s="5" t="n">
        <v>9</v>
      </c>
      <c r="F141" s="5" t="s">
        <v>8959</v>
      </c>
      <c r="G141" s="2" t="s">
        <v>4785</v>
      </c>
      <c r="H141" s="5" t="s">
        <v>8336</v>
      </c>
      <c r="I141" s="5"/>
      <c r="J141" s="5"/>
      <c r="K141" s="5" t="s">
        <v>8985</v>
      </c>
    </row>
    <row r="142" customFormat="false" ht="23.85" hidden="false" customHeight="false" outlineLevel="0" collapsed="false">
      <c r="A142" s="5" t="s">
        <v>8986</v>
      </c>
      <c r="B142" s="2" t="s">
        <v>8987</v>
      </c>
      <c r="C142" s="5" t="s">
        <v>2128</v>
      </c>
      <c r="D142" s="5" t="s">
        <v>62</v>
      </c>
      <c r="E142" s="5" t="n">
        <v>9</v>
      </c>
      <c r="F142" s="5" t="s">
        <v>8959</v>
      </c>
      <c r="G142" s="2" t="s">
        <v>4785</v>
      </c>
      <c r="H142" s="5" t="s">
        <v>8336</v>
      </c>
      <c r="I142" s="5"/>
      <c r="J142" s="5"/>
      <c r="K142" s="5" t="s">
        <v>8988</v>
      </c>
    </row>
    <row r="143" customFormat="false" ht="15" hidden="false" customHeight="false" outlineLevel="0" collapsed="false">
      <c r="A143" s="5" t="s">
        <v>8989</v>
      </c>
      <c r="B143" s="2" t="s">
        <v>8990</v>
      </c>
      <c r="C143" s="5" t="s">
        <v>2128</v>
      </c>
      <c r="D143" s="5" t="s">
        <v>62</v>
      </c>
      <c r="E143" s="5" t="n">
        <v>7</v>
      </c>
      <c r="F143" s="5" t="s">
        <v>8949</v>
      </c>
      <c r="G143" s="2" t="s">
        <v>4785</v>
      </c>
      <c r="H143" s="5" t="s">
        <v>8336</v>
      </c>
      <c r="I143" s="5"/>
      <c r="J143" s="5"/>
      <c r="K143" s="5" t="s">
        <v>8991</v>
      </c>
    </row>
    <row r="144" customFormat="false" ht="15" hidden="false" customHeight="false" outlineLevel="0" collapsed="false">
      <c r="A144" s="5" t="s">
        <v>8992</v>
      </c>
      <c r="B144" s="2" t="s">
        <v>8993</v>
      </c>
      <c r="C144" s="5" t="s">
        <v>2128</v>
      </c>
      <c r="D144" s="5" t="s">
        <v>62</v>
      </c>
      <c r="E144" s="5" t="n">
        <v>7</v>
      </c>
      <c r="F144" s="5" t="s">
        <v>8959</v>
      </c>
      <c r="G144" s="2" t="s">
        <v>4785</v>
      </c>
      <c r="H144" s="5" t="s">
        <v>8336</v>
      </c>
      <c r="I144" s="5"/>
      <c r="J144" s="5"/>
      <c r="K144" s="5" t="s">
        <v>8994</v>
      </c>
    </row>
    <row r="145" customFormat="false" ht="15" hidden="false" customHeight="false" outlineLevel="0" collapsed="false">
      <c r="A145" s="5" t="s">
        <v>8995</v>
      </c>
      <c r="B145" s="2" t="s">
        <v>8996</v>
      </c>
      <c r="C145" s="5" t="s">
        <v>2128</v>
      </c>
      <c r="D145" s="5" t="s">
        <v>62</v>
      </c>
      <c r="E145" s="5" t="n">
        <v>10</v>
      </c>
      <c r="F145" s="5" t="s">
        <v>8959</v>
      </c>
      <c r="G145" s="2" t="s">
        <v>4785</v>
      </c>
      <c r="H145" s="5" t="s">
        <v>8336</v>
      </c>
      <c r="I145" s="5"/>
      <c r="J145" s="5"/>
      <c r="K145" s="5" t="s">
        <v>8997</v>
      </c>
    </row>
    <row r="146" customFormat="false" ht="23.85" hidden="false" customHeight="false" outlineLevel="0" collapsed="false">
      <c r="A146" s="5" t="s">
        <v>8998</v>
      </c>
      <c r="B146" s="2" t="s">
        <v>8999</v>
      </c>
      <c r="C146" s="5" t="s">
        <v>2128</v>
      </c>
      <c r="D146" s="5" t="s">
        <v>62</v>
      </c>
      <c r="E146" s="5" t="n">
        <v>9</v>
      </c>
      <c r="F146" s="5" t="s">
        <v>8959</v>
      </c>
      <c r="G146" s="2" t="s">
        <v>4785</v>
      </c>
      <c r="H146" s="5" t="s">
        <v>8336</v>
      </c>
      <c r="I146" s="5"/>
      <c r="J146" s="5"/>
      <c r="K146" s="5" t="s">
        <v>9000</v>
      </c>
    </row>
    <row r="147" customFormat="false" ht="23.85" hidden="false" customHeight="false" outlineLevel="0" collapsed="false">
      <c r="A147" s="5" t="s">
        <v>9001</v>
      </c>
      <c r="B147" s="2" t="s">
        <v>9002</v>
      </c>
      <c r="C147" s="5" t="s">
        <v>2128</v>
      </c>
      <c r="D147" s="5" t="s">
        <v>62</v>
      </c>
      <c r="E147" s="5" t="n">
        <v>8</v>
      </c>
      <c r="F147" s="5" t="s">
        <v>8949</v>
      </c>
      <c r="G147" s="2" t="s">
        <v>4785</v>
      </c>
      <c r="H147" s="5" t="s">
        <v>8336</v>
      </c>
      <c r="I147" s="5"/>
      <c r="J147" s="5"/>
      <c r="K147" s="5" t="s">
        <v>9003</v>
      </c>
    </row>
    <row r="148" customFormat="false" ht="23.85" hidden="false" customHeight="false" outlineLevel="0" collapsed="false">
      <c r="A148" s="5" t="s">
        <v>9004</v>
      </c>
      <c r="B148" s="2" t="s">
        <v>9005</v>
      </c>
      <c r="C148" s="5" t="s">
        <v>2128</v>
      </c>
      <c r="D148" s="5" t="s">
        <v>62</v>
      </c>
      <c r="E148" s="5" t="n">
        <v>7</v>
      </c>
      <c r="F148" s="5" t="s">
        <v>8949</v>
      </c>
      <c r="G148" s="2" t="s">
        <v>4785</v>
      </c>
      <c r="H148" s="5" t="s">
        <v>8336</v>
      </c>
      <c r="I148" s="5"/>
      <c r="J148" s="5"/>
      <c r="K148" s="5" t="s">
        <v>9006</v>
      </c>
    </row>
    <row r="149" customFormat="false" ht="15" hidden="false" customHeight="false" outlineLevel="0" collapsed="false">
      <c r="A149" s="5" t="s">
        <v>9007</v>
      </c>
      <c r="B149" s="2" t="s">
        <v>9008</v>
      </c>
      <c r="C149" s="5" t="s">
        <v>2128</v>
      </c>
      <c r="D149" s="5" t="s">
        <v>62</v>
      </c>
      <c r="E149" s="5" t="n">
        <v>8</v>
      </c>
      <c r="F149" s="5" t="s">
        <v>8949</v>
      </c>
      <c r="G149" s="2" t="s">
        <v>4785</v>
      </c>
      <c r="H149" s="5" t="s">
        <v>8336</v>
      </c>
      <c r="I149" s="5"/>
      <c r="J149" s="5"/>
      <c r="K149" s="5" t="s">
        <v>9009</v>
      </c>
    </row>
    <row r="150" customFormat="false" ht="15" hidden="false" customHeight="false" outlineLevel="0" collapsed="false">
      <c r="A150" s="5" t="s">
        <v>9010</v>
      </c>
      <c r="B150" s="2" t="s">
        <v>9011</v>
      </c>
      <c r="C150" s="5" t="s">
        <v>2128</v>
      </c>
      <c r="D150" s="5" t="s">
        <v>62</v>
      </c>
      <c r="E150" s="5" t="n">
        <v>7</v>
      </c>
      <c r="F150" s="5" t="s">
        <v>8959</v>
      </c>
      <c r="G150" s="2" t="s">
        <v>4785</v>
      </c>
      <c r="H150" s="5" t="s">
        <v>8336</v>
      </c>
      <c r="I150" s="5"/>
      <c r="J150" s="5"/>
      <c r="K150" s="5" t="s">
        <v>9012</v>
      </c>
    </row>
    <row r="151" customFormat="false" ht="15" hidden="false" customHeight="false" outlineLevel="0" collapsed="false">
      <c r="A151" s="5" t="s">
        <v>9013</v>
      </c>
      <c r="B151" s="2" t="s">
        <v>9014</v>
      </c>
      <c r="C151" s="5" t="s">
        <v>2128</v>
      </c>
      <c r="D151" s="5" t="s">
        <v>62</v>
      </c>
      <c r="E151" s="5" t="n">
        <v>7</v>
      </c>
      <c r="F151" s="5" t="s">
        <v>8959</v>
      </c>
      <c r="G151" s="2" t="s">
        <v>4785</v>
      </c>
      <c r="H151" s="5" t="s">
        <v>8336</v>
      </c>
      <c r="I151" s="5"/>
      <c r="J151" s="5"/>
      <c r="K151" s="5" t="s">
        <v>9015</v>
      </c>
    </row>
    <row r="152" customFormat="false" ht="15" hidden="false" customHeight="false" outlineLevel="0" collapsed="false">
      <c r="A152" s="5" t="s">
        <v>9016</v>
      </c>
      <c r="B152" s="2" t="s">
        <v>9017</v>
      </c>
      <c r="C152" s="5" t="s">
        <v>2128</v>
      </c>
      <c r="D152" s="5" t="s">
        <v>62</v>
      </c>
      <c r="E152" s="5" t="n">
        <v>9</v>
      </c>
      <c r="F152" s="5" t="s">
        <v>8959</v>
      </c>
      <c r="G152" s="2" t="s">
        <v>4785</v>
      </c>
      <c r="H152" s="5" t="s">
        <v>8336</v>
      </c>
      <c r="I152" s="5"/>
      <c r="J152" s="5"/>
      <c r="K152" s="5" t="s">
        <v>9018</v>
      </c>
    </row>
    <row r="153" customFormat="false" ht="15" hidden="false" customHeight="false" outlineLevel="0" collapsed="false">
      <c r="A153" s="5" t="s">
        <v>9019</v>
      </c>
      <c r="B153" s="2" t="s">
        <v>9020</v>
      </c>
      <c r="C153" s="5" t="s">
        <v>2128</v>
      </c>
      <c r="D153" s="5" t="s">
        <v>62</v>
      </c>
      <c r="E153" s="5" t="n">
        <v>9</v>
      </c>
      <c r="F153" s="5" t="s">
        <v>8959</v>
      </c>
      <c r="G153" s="2" t="s">
        <v>4785</v>
      </c>
      <c r="H153" s="5" t="s">
        <v>8336</v>
      </c>
      <c r="I153" s="5"/>
      <c r="J153" s="5"/>
      <c r="K153" s="5" t="s">
        <v>9021</v>
      </c>
    </row>
    <row r="154" customFormat="false" ht="23.85" hidden="false" customHeight="false" outlineLevel="0" collapsed="false">
      <c r="A154" s="5" t="s">
        <v>9022</v>
      </c>
      <c r="B154" s="2" t="s">
        <v>9023</v>
      </c>
      <c r="C154" s="5" t="s">
        <v>2128</v>
      </c>
      <c r="D154" s="5" t="s">
        <v>62</v>
      </c>
      <c r="E154" s="5" t="n">
        <v>5</v>
      </c>
      <c r="F154" s="5" t="s">
        <v>8959</v>
      </c>
      <c r="G154" s="2" t="s">
        <v>4785</v>
      </c>
      <c r="H154" s="5" t="s">
        <v>8336</v>
      </c>
      <c r="I154" s="5"/>
      <c r="J154" s="5"/>
      <c r="K154" s="5" t="s">
        <v>9024</v>
      </c>
    </row>
    <row r="155" customFormat="false" ht="15" hidden="false" customHeight="false" outlineLevel="0" collapsed="false">
      <c r="A155" s="5" t="s">
        <v>9025</v>
      </c>
      <c r="B155" s="2" t="s">
        <v>9026</v>
      </c>
      <c r="C155" s="5" t="s">
        <v>2128</v>
      </c>
      <c r="D155" s="5" t="s">
        <v>62</v>
      </c>
      <c r="E155" s="5" t="n">
        <v>8</v>
      </c>
      <c r="F155" s="5" t="s">
        <v>9027</v>
      </c>
      <c r="G155" s="2" t="s">
        <v>4785</v>
      </c>
      <c r="H155" s="5" t="s">
        <v>8336</v>
      </c>
      <c r="I155" s="5"/>
      <c r="J155" s="5"/>
      <c r="K155" s="5" t="s">
        <v>9028</v>
      </c>
    </row>
    <row r="156" customFormat="false" ht="15" hidden="false" customHeight="false" outlineLevel="0" collapsed="false">
      <c r="A156" s="5" t="s">
        <v>9029</v>
      </c>
      <c r="B156" s="2" t="s">
        <v>9030</v>
      </c>
      <c r="C156" s="5" t="s">
        <v>2128</v>
      </c>
      <c r="D156" s="5" t="s">
        <v>62</v>
      </c>
      <c r="E156" s="5" t="n">
        <v>7</v>
      </c>
      <c r="F156" s="5" t="s">
        <v>8959</v>
      </c>
      <c r="G156" s="2" t="s">
        <v>4785</v>
      </c>
      <c r="H156" s="5" t="s">
        <v>8336</v>
      </c>
      <c r="I156" s="5"/>
      <c r="J156" s="5"/>
      <c r="K156" s="5" t="s">
        <v>9031</v>
      </c>
    </row>
    <row r="157" customFormat="false" ht="15" hidden="false" customHeight="false" outlineLevel="0" collapsed="false">
      <c r="A157" s="5" t="s">
        <v>9032</v>
      </c>
      <c r="B157" s="2" t="s">
        <v>9033</v>
      </c>
      <c r="C157" s="5" t="s">
        <v>2128</v>
      </c>
      <c r="D157" s="5" t="s">
        <v>62</v>
      </c>
      <c r="E157" s="5" t="n">
        <v>9</v>
      </c>
      <c r="F157" s="5" t="s">
        <v>8959</v>
      </c>
      <c r="G157" s="2" t="s">
        <v>4785</v>
      </c>
      <c r="H157" s="5" t="s">
        <v>8336</v>
      </c>
      <c r="I157" s="5"/>
      <c r="J157" s="5"/>
      <c r="K157" s="5" t="s">
        <v>9034</v>
      </c>
    </row>
    <row r="158" customFormat="false" ht="15" hidden="false" customHeight="false" outlineLevel="0" collapsed="false">
      <c r="A158" s="5" t="s">
        <v>9035</v>
      </c>
      <c r="B158" s="2" t="s">
        <v>9036</v>
      </c>
      <c r="C158" s="5" t="s">
        <v>2128</v>
      </c>
      <c r="D158" s="5" t="s">
        <v>62</v>
      </c>
      <c r="E158" s="5" t="n">
        <v>9</v>
      </c>
      <c r="F158" s="5" t="s">
        <v>8959</v>
      </c>
      <c r="G158" s="2" t="s">
        <v>4785</v>
      </c>
      <c r="H158" s="5" t="s">
        <v>8336</v>
      </c>
      <c r="I158" s="5"/>
      <c r="J158" s="5"/>
      <c r="K158" s="5" t="s">
        <v>9037</v>
      </c>
    </row>
    <row r="159" customFormat="false" ht="15" hidden="false" customHeight="false" outlineLevel="0" collapsed="false">
      <c r="A159" s="5" t="s">
        <v>9038</v>
      </c>
      <c r="B159" s="2" t="s">
        <v>9039</v>
      </c>
      <c r="C159" s="5" t="s">
        <v>2128</v>
      </c>
      <c r="D159" s="5" t="s">
        <v>62</v>
      </c>
      <c r="E159" s="5" t="n">
        <v>9</v>
      </c>
      <c r="F159" s="5" t="s">
        <v>8949</v>
      </c>
      <c r="G159" s="2" t="s">
        <v>4785</v>
      </c>
      <c r="H159" s="5" t="s">
        <v>8336</v>
      </c>
      <c r="I159" s="5"/>
      <c r="J159" s="5"/>
      <c r="K159" s="5" t="s">
        <v>9040</v>
      </c>
    </row>
    <row r="160" customFormat="false" ht="15" hidden="false" customHeight="false" outlineLevel="0" collapsed="false">
      <c r="A160" s="5" t="s">
        <v>9041</v>
      </c>
      <c r="B160" s="2" t="s">
        <v>9042</v>
      </c>
      <c r="C160" s="5" t="s">
        <v>2128</v>
      </c>
      <c r="D160" s="5" t="s">
        <v>62</v>
      </c>
      <c r="E160" s="5" t="n">
        <v>9</v>
      </c>
      <c r="F160" s="5" t="s">
        <v>8949</v>
      </c>
      <c r="G160" s="2" t="s">
        <v>4785</v>
      </c>
      <c r="H160" s="5" t="s">
        <v>8336</v>
      </c>
      <c r="I160" s="5"/>
      <c r="J160" s="5"/>
      <c r="K160" s="5" t="s">
        <v>9043</v>
      </c>
    </row>
    <row r="161" customFormat="false" ht="15" hidden="false" customHeight="false" outlineLevel="0" collapsed="false">
      <c r="A161" s="5" t="s">
        <v>9044</v>
      </c>
      <c r="B161" s="2" t="s">
        <v>9045</v>
      </c>
      <c r="C161" s="5" t="s">
        <v>2128</v>
      </c>
      <c r="D161" s="5" t="s">
        <v>62</v>
      </c>
      <c r="E161" s="5" t="n">
        <v>10</v>
      </c>
      <c r="F161" s="5" t="s">
        <v>536</v>
      </c>
      <c r="G161" s="2" t="s">
        <v>4785</v>
      </c>
      <c r="H161" s="5" t="s">
        <v>8336</v>
      </c>
      <c r="I161" s="5"/>
      <c r="J161" s="5"/>
      <c r="K161" s="5" t="s">
        <v>9046</v>
      </c>
    </row>
    <row r="162" customFormat="false" ht="15" hidden="false" customHeight="false" outlineLevel="0" collapsed="false">
      <c r="A162" s="5" t="s">
        <v>9047</v>
      </c>
      <c r="B162" s="2" t="s">
        <v>9048</v>
      </c>
      <c r="C162" s="5" t="s">
        <v>2128</v>
      </c>
      <c r="D162" s="5" t="s">
        <v>62</v>
      </c>
      <c r="E162" s="5" t="n">
        <v>9</v>
      </c>
      <c r="F162" s="5" t="s">
        <v>536</v>
      </c>
      <c r="G162" s="2" t="s">
        <v>4785</v>
      </c>
      <c r="H162" s="5" t="s">
        <v>8336</v>
      </c>
      <c r="I162" s="5"/>
      <c r="J162" s="5"/>
      <c r="K162" s="5" t="s">
        <v>9049</v>
      </c>
    </row>
    <row r="163" customFormat="false" ht="15" hidden="false" customHeight="false" outlineLevel="0" collapsed="false">
      <c r="A163" s="5" t="s">
        <v>9050</v>
      </c>
      <c r="B163" s="2" t="s">
        <v>9051</v>
      </c>
      <c r="C163" s="5" t="s">
        <v>2128</v>
      </c>
      <c r="D163" s="5" t="s">
        <v>62</v>
      </c>
      <c r="E163" s="5" t="n">
        <v>8</v>
      </c>
      <c r="F163" s="5" t="s">
        <v>8959</v>
      </c>
      <c r="G163" s="2" t="s">
        <v>4785</v>
      </c>
      <c r="H163" s="5" t="s">
        <v>8336</v>
      </c>
      <c r="I163" s="5"/>
      <c r="J163" s="5"/>
      <c r="K163" s="5" t="s">
        <v>9052</v>
      </c>
    </row>
    <row r="164" customFormat="false" ht="15" hidden="false" customHeight="false" outlineLevel="0" collapsed="false">
      <c r="A164" s="5" t="s">
        <v>9053</v>
      </c>
      <c r="B164" s="2" t="s">
        <v>9054</v>
      </c>
      <c r="C164" s="5" t="s">
        <v>2128</v>
      </c>
      <c r="D164" s="5" t="s">
        <v>62</v>
      </c>
      <c r="E164" s="5" t="n">
        <v>7</v>
      </c>
      <c r="F164" s="5" t="s">
        <v>8959</v>
      </c>
      <c r="G164" s="2" t="s">
        <v>4785</v>
      </c>
      <c r="H164" s="5" t="s">
        <v>8336</v>
      </c>
      <c r="I164" s="5"/>
      <c r="J164" s="5"/>
      <c r="K164" s="5" t="s">
        <v>9055</v>
      </c>
    </row>
    <row r="165" customFormat="false" ht="15" hidden="false" customHeight="false" outlineLevel="0" collapsed="false">
      <c r="A165" s="5" t="s">
        <v>9056</v>
      </c>
      <c r="B165" s="2" t="s">
        <v>9057</v>
      </c>
      <c r="C165" s="5" t="s">
        <v>2128</v>
      </c>
      <c r="D165" s="5" t="s">
        <v>62</v>
      </c>
      <c r="E165" s="5" t="n">
        <v>9</v>
      </c>
      <c r="F165" s="5" t="s">
        <v>8959</v>
      </c>
      <c r="G165" s="2" t="s">
        <v>4785</v>
      </c>
      <c r="H165" s="5" t="s">
        <v>8336</v>
      </c>
      <c r="I165" s="5"/>
      <c r="J165" s="5"/>
      <c r="K165" s="5" t="s">
        <v>9058</v>
      </c>
    </row>
    <row r="166" customFormat="false" ht="15" hidden="false" customHeight="false" outlineLevel="0" collapsed="false">
      <c r="A166" s="5" t="s">
        <v>4791</v>
      </c>
      <c r="B166" s="2" t="s">
        <v>4792</v>
      </c>
      <c r="C166" s="5" t="s">
        <v>2128</v>
      </c>
      <c r="D166" s="5" t="s">
        <v>62</v>
      </c>
      <c r="E166" s="5" t="n">
        <v>7</v>
      </c>
      <c r="F166" s="5" t="s">
        <v>100</v>
      </c>
      <c r="G166" s="2" t="s">
        <v>4785</v>
      </c>
      <c r="H166" s="5" t="s">
        <v>8332</v>
      </c>
      <c r="I166" s="5" t="s">
        <v>4760</v>
      </c>
      <c r="J166" s="5" t="s">
        <v>100</v>
      </c>
      <c r="K166" s="5" t="s">
        <v>4796</v>
      </c>
    </row>
    <row r="167" customFormat="false" ht="15" hidden="false" customHeight="false" outlineLevel="0" collapsed="false">
      <c r="A167" s="5" t="s">
        <v>9059</v>
      </c>
      <c r="B167" s="2" t="s">
        <v>9060</v>
      </c>
      <c r="C167" s="5" t="s">
        <v>2128</v>
      </c>
      <c r="D167" s="5" t="s">
        <v>62</v>
      </c>
      <c r="E167" s="5" t="n">
        <v>9</v>
      </c>
      <c r="F167" s="5" t="s">
        <v>8959</v>
      </c>
      <c r="G167" s="2" t="s">
        <v>4785</v>
      </c>
      <c r="H167" s="5" t="s">
        <v>8336</v>
      </c>
      <c r="I167" s="5"/>
      <c r="J167" s="5"/>
      <c r="K167" s="5" t="s">
        <v>9061</v>
      </c>
    </row>
    <row r="168" customFormat="false" ht="15" hidden="false" customHeight="false" outlineLevel="0" collapsed="false">
      <c r="A168" s="5" t="s">
        <v>9062</v>
      </c>
      <c r="B168" s="2" t="s">
        <v>9063</v>
      </c>
      <c r="C168" s="5" t="s">
        <v>2128</v>
      </c>
      <c r="D168" s="5" t="s">
        <v>62</v>
      </c>
      <c r="E168" s="5" t="n">
        <v>8</v>
      </c>
      <c r="F168" s="5" t="s">
        <v>8959</v>
      </c>
      <c r="G168" s="2" t="s">
        <v>4785</v>
      </c>
      <c r="H168" s="5" t="s">
        <v>8336</v>
      </c>
      <c r="I168" s="5"/>
      <c r="J168" s="5"/>
      <c r="K168" s="5" t="s">
        <v>9064</v>
      </c>
    </row>
    <row r="169" customFormat="false" ht="15" hidden="false" customHeight="false" outlineLevel="0" collapsed="false">
      <c r="A169" s="5" t="s">
        <v>9065</v>
      </c>
      <c r="B169" s="2" t="s">
        <v>9066</v>
      </c>
      <c r="C169" s="5" t="s">
        <v>2128</v>
      </c>
      <c r="D169" s="5" t="s">
        <v>62</v>
      </c>
      <c r="E169" s="5" t="n">
        <v>7</v>
      </c>
      <c r="F169" s="5" t="s">
        <v>8959</v>
      </c>
      <c r="G169" s="2" t="s">
        <v>4785</v>
      </c>
      <c r="H169" s="5" t="s">
        <v>8336</v>
      </c>
      <c r="I169" s="5"/>
      <c r="J169" s="5"/>
      <c r="K169" s="5" t="s">
        <v>9067</v>
      </c>
    </row>
    <row r="170" customFormat="false" ht="23.85" hidden="false" customHeight="false" outlineLevel="0" collapsed="false">
      <c r="A170" s="5" t="s">
        <v>9068</v>
      </c>
      <c r="B170" s="2" t="s">
        <v>9069</v>
      </c>
      <c r="C170" s="5" t="s">
        <v>2128</v>
      </c>
      <c r="D170" s="5" t="s">
        <v>62</v>
      </c>
      <c r="E170" s="5" t="n">
        <v>7</v>
      </c>
      <c r="F170" s="5" t="s">
        <v>8959</v>
      </c>
      <c r="G170" s="2" t="s">
        <v>4785</v>
      </c>
      <c r="H170" s="5" t="s">
        <v>8336</v>
      </c>
      <c r="I170" s="5"/>
      <c r="J170" s="5"/>
      <c r="K170" s="5" t="s">
        <v>9070</v>
      </c>
    </row>
    <row r="171" customFormat="false" ht="15" hidden="false" customHeight="false" outlineLevel="0" collapsed="false">
      <c r="A171" s="5" t="s">
        <v>9071</v>
      </c>
      <c r="B171" s="2" t="s">
        <v>9072</v>
      </c>
      <c r="C171" s="5" t="s">
        <v>2128</v>
      </c>
      <c r="D171" s="5" t="s">
        <v>62</v>
      </c>
      <c r="E171" s="5" t="n">
        <v>9</v>
      </c>
      <c r="F171" s="5" t="s">
        <v>8959</v>
      </c>
      <c r="G171" s="2" t="s">
        <v>4785</v>
      </c>
      <c r="H171" s="5" t="s">
        <v>8336</v>
      </c>
      <c r="I171" s="5"/>
      <c r="J171" s="5"/>
      <c r="K171" s="5" t="s">
        <v>9073</v>
      </c>
    </row>
    <row r="172" customFormat="false" ht="15" hidden="false" customHeight="false" outlineLevel="0" collapsed="false">
      <c r="A172" s="5" t="s">
        <v>9074</v>
      </c>
      <c r="B172" s="2" t="s">
        <v>9075</v>
      </c>
      <c r="C172" s="5" t="s">
        <v>2128</v>
      </c>
      <c r="D172" s="5" t="s">
        <v>62</v>
      </c>
      <c r="E172" s="5" t="n">
        <v>9</v>
      </c>
      <c r="F172" s="5" t="s">
        <v>8959</v>
      </c>
      <c r="G172" s="2" t="s">
        <v>4785</v>
      </c>
      <c r="H172" s="5" t="s">
        <v>8336</v>
      </c>
      <c r="I172" s="5"/>
      <c r="J172" s="5"/>
      <c r="K172" s="5" t="s">
        <v>9076</v>
      </c>
    </row>
    <row r="173" customFormat="false" ht="15" hidden="false" customHeight="false" outlineLevel="0" collapsed="false">
      <c r="A173" s="5" t="s">
        <v>9077</v>
      </c>
      <c r="B173" s="2" t="s">
        <v>9078</v>
      </c>
      <c r="C173" s="5" t="s">
        <v>2128</v>
      </c>
      <c r="D173" s="5" t="s">
        <v>62</v>
      </c>
      <c r="E173" s="5" t="n">
        <v>7</v>
      </c>
      <c r="F173" s="5" t="s">
        <v>9079</v>
      </c>
      <c r="G173" s="2" t="s">
        <v>4785</v>
      </c>
      <c r="H173" s="5" t="s">
        <v>8336</v>
      </c>
      <c r="I173" s="5"/>
      <c r="J173" s="5"/>
      <c r="K173" s="5" t="s">
        <v>9080</v>
      </c>
    </row>
    <row r="174" customFormat="false" ht="23.85" hidden="false" customHeight="false" outlineLevel="0" collapsed="false">
      <c r="A174" s="5" t="s">
        <v>9081</v>
      </c>
      <c r="B174" s="2" t="s">
        <v>9082</v>
      </c>
      <c r="C174" s="5" t="s">
        <v>2128</v>
      </c>
      <c r="D174" s="5" t="s">
        <v>62</v>
      </c>
      <c r="E174" s="5" t="n">
        <v>9</v>
      </c>
      <c r="F174" s="5" t="s">
        <v>8959</v>
      </c>
      <c r="G174" s="2" t="s">
        <v>4785</v>
      </c>
      <c r="H174" s="5" t="s">
        <v>8336</v>
      </c>
      <c r="I174" s="5"/>
      <c r="J174" s="5"/>
      <c r="K174" s="5" t="s">
        <v>9083</v>
      </c>
    </row>
    <row r="175" customFormat="false" ht="23.85" hidden="false" customHeight="false" outlineLevel="0" collapsed="false">
      <c r="A175" s="5" t="s">
        <v>9084</v>
      </c>
      <c r="B175" s="2" t="s">
        <v>9085</v>
      </c>
      <c r="C175" s="5" t="s">
        <v>2128</v>
      </c>
      <c r="D175" s="5" t="s">
        <v>62</v>
      </c>
      <c r="E175" s="5" t="n">
        <v>7</v>
      </c>
      <c r="F175" s="5" t="s">
        <v>8959</v>
      </c>
      <c r="G175" s="2" t="s">
        <v>4785</v>
      </c>
      <c r="H175" s="5" t="s">
        <v>8336</v>
      </c>
      <c r="I175" s="5"/>
      <c r="J175" s="5"/>
      <c r="K175" s="5" t="s">
        <v>9086</v>
      </c>
    </row>
    <row r="176" customFormat="false" ht="15" hidden="false" customHeight="false" outlineLevel="0" collapsed="false">
      <c r="A176" s="5" t="s">
        <v>9087</v>
      </c>
      <c r="B176" s="2" t="s">
        <v>9088</v>
      </c>
      <c r="C176" s="5" t="s">
        <v>2128</v>
      </c>
      <c r="D176" s="5" t="s">
        <v>62</v>
      </c>
      <c r="E176" s="5" t="n">
        <v>9</v>
      </c>
      <c r="F176" s="5" t="s">
        <v>2154</v>
      </c>
      <c r="G176" s="2" t="s">
        <v>4785</v>
      </c>
      <c r="H176" s="5" t="s">
        <v>8336</v>
      </c>
      <c r="I176" s="5"/>
      <c r="J176" s="5"/>
      <c r="K176" s="5" t="s">
        <v>9089</v>
      </c>
    </row>
    <row r="177" customFormat="false" ht="15" hidden="false" customHeight="false" outlineLevel="0" collapsed="false">
      <c r="A177" s="5" t="s">
        <v>9090</v>
      </c>
      <c r="B177" s="2" t="s">
        <v>9091</v>
      </c>
      <c r="C177" s="5" t="s">
        <v>2128</v>
      </c>
      <c r="D177" s="5" t="s">
        <v>62</v>
      </c>
      <c r="E177" s="5" t="n">
        <v>9</v>
      </c>
      <c r="F177" s="5" t="s">
        <v>8959</v>
      </c>
      <c r="G177" s="2" t="s">
        <v>4785</v>
      </c>
      <c r="H177" s="5" t="s">
        <v>8336</v>
      </c>
      <c r="I177" s="5"/>
      <c r="J177" s="5"/>
      <c r="K177" s="5" t="s">
        <v>9092</v>
      </c>
    </row>
    <row r="178" customFormat="false" ht="15" hidden="false" customHeight="false" outlineLevel="0" collapsed="false">
      <c r="A178" s="5" t="s">
        <v>9093</v>
      </c>
      <c r="B178" s="2" t="s">
        <v>9094</v>
      </c>
      <c r="C178" s="5" t="s">
        <v>2128</v>
      </c>
      <c r="D178" s="5" t="s">
        <v>62</v>
      </c>
      <c r="E178" s="5" t="n">
        <v>9</v>
      </c>
      <c r="F178" s="5" t="s">
        <v>8959</v>
      </c>
      <c r="G178" s="2" t="s">
        <v>4785</v>
      </c>
      <c r="H178" s="5" t="s">
        <v>8336</v>
      </c>
      <c r="I178" s="5"/>
      <c r="J178" s="5"/>
      <c r="K178" s="5" t="s">
        <v>9095</v>
      </c>
    </row>
    <row r="179" customFormat="false" ht="23.85" hidden="false" customHeight="false" outlineLevel="0" collapsed="false">
      <c r="A179" s="5" t="s">
        <v>9096</v>
      </c>
      <c r="B179" s="2" t="s">
        <v>9097</v>
      </c>
      <c r="C179" s="5" t="s">
        <v>2128</v>
      </c>
      <c r="D179" s="5" t="s">
        <v>62</v>
      </c>
      <c r="E179" s="5" t="n">
        <v>7</v>
      </c>
      <c r="F179" s="5" t="s">
        <v>8959</v>
      </c>
      <c r="G179" s="2" t="s">
        <v>4785</v>
      </c>
      <c r="H179" s="5" t="s">
        <v>8336</v>
      </c>
      <c r="I179" s="5"/>
      <c r="J179" s="5"/>
      <c r="K179" s="5" t="s">
        <v>9098</v>
      </c>
    </row>
    <row r="180" customFormat="false" ht="15" hidden="false" customHeight="false" outlineLevel="0" collapsed="false">
      <c r="A180" s="5" t="s">
        <v>9099</v>
      </c>
      <c r="B180" s="2" t="s">
        <v>9100</v>
      </c>
      <c r="C180" s="5" t="s">
        <v>2128</v>
      </c>
      <c r="D180" s="5" t="s">
        <v>62</v>
      </c>
      <c r="E180" s="5" t="n">
        <v>8</v>
      </c>
      <c r="F180" s="5" t="s">
        <v>8963</v>
      </c>
      <c r="G180" s="2" t="s">
        <v>4785</v>
      </c>
      <c r="H180" s="5" t="s">
        <v>8336</v>
      </c>
      <c r="I180" s="5"/>
      <c r="J180" s="5"/>
      <c r="K180" s="5" t="s">
        <v>9101</v>
      </c>
    </row>
    <row r="181" customFormat="false" ht="23.85" hidden="false" customHeight="false" outlineLevel="0" collapsed="false">
      <c r="A181" s="5" t="s">
        <v>9102</v>
      </c>
      <c r="B181" s="2" t="s">
        <v>9103</v>
      </c>
      <c r="C181" s="5" t="s">
        <v>2128</v>
      </c>
      <c r="D181" s="5" t="s">
        <v>62</v>
      </c>
      <c r="E181" s="5" t="n">
        <v>7</v>
      </c>
      <c r="F181" s="5" t="s">
        <v>8959</v>
      </c>
      <c r="G181" s="2" t="s">
        <v>4785</v>
      </c>
      <c r="H181" s="5" t="s">
        <v>8336</v>
      </c>
      <c r="I181" s="5"/>
      <c r="J181" s="5"/>
      <c r="K181" s="5" t="s">
        <v>9104</v>
      </c>
    </row>
    <row r="182" customFormat="false" ht="23.85" hidden="false" customHeight="false" outlineLevel="0" collapsed="false">
      <c r="A182" s="5" t="s">
        <v>9105</v>
      </c>
      <c r="B182" s="2" t="s">
        <v>9106</v>
      </c>
      <c r="C182" s="5" t="s">
        <v>2128</v>
      </c>
      <c r="D182" s="5" t="s">
        <v>62</v>
      </c>
      <c r="E182" s="5" t="n">
        <v>7</v>
      </c>
      <c r="F182" s="5" t="s">
        <v>8959</v>
      </c>
      <c r="G182" s="2" t="s">
        <v>4785</v>
      </c>
      <c r="H182" s="5" t="s">
        <v>8336</v>
      </c>
      <c r="I182" s="5"/>
      <c r="J182" s="5"/>
      <c r="K182" s="5" t="s">
        <v>9107</v>
      </c>
    </row>
    <row r="183" customFormat="false" ht="23.85" hidden="false" customHeight="false" outlineLevel="0" collapsed="false">
      <c r="A183" s="5" t="s">
        <v>9108</v>
      </c>
      <c r="B183" s="2" t="s">
        <v>9109</v>
      </c>
      <c r="C183" s="5" t="s">
        <v>2128</v>
      </c>
      <c r="D183" s="5" t="s">
        <v>62</v>
      </c>
      <c r="E183" s="5" t="n">
        <v>6</v>
      </c>
      <c r="F183" s="5" t="s">
        <v>8959</v>
      </c>
      <c r="G183" s="2" t="s">
        <v>4785</v>
      </c>
      <c r="H183" s="5" t="s">
        <v>8336</v>
      </c>
      <c r="I183" s="5"/>
      <c r="J183" s="5"/>
      <c r="K183" s="5" t="s">
        <v>9110</v>
      </c>
    </row>
    <row r="184" customFormat="false" ht="15" hidden="false" customHeight="false" outlineLevel="0" collapsed="false">
      <c r="A184" s="5" t="s">
        <v>9111</v>
      </c>
      <c r="B184" s="2" t="s">
        <v>9112</v>
      </c>
      <c r="C184" s="5" t="s">
        <v>2128</v>
      </c>
      <c r="D184" s="5" t="s">
        <v>62</v>
      </c>
      <c r="E184" s="5" t="n">
        <v>8</v>
      </c>
      <c r="F184" s="5" t="s">
        <v>8959</v>
      </c>
      <c r="G184" s="2" t="s">
        <v>4785</v>
      </c>
      <c r="H184" s="5" t="s">
        <v>8336</v>
      </c>
      <c r="I184" s="5"/>
      <c r="J184" s="5"/>
      <c r="K184" s="5" t="s">
        <v>9113</v>
      </c>
    </row>
    <row r="185" customFormat="false" ht="23.85" hidden="false" customHeight="false" outlineLevel="0" collapsed="false">
      <c r="A185" s="5" t="s">
        <v>9114</v>
      </c>
      <c r="B185" s="2" t="s">
        <v>9115</v>
      </c>
      <c r="C185" s="5" t="s">
        <v>2128</v>
      </c>
      <c r="D185" s="5" t="s">
        <v>62</v>
      </c>
      <c r="E185" s="5" t="n">
        <v>8</v>
      </c>
      <c r="F185" s="5" t="s">
        <v>544</v>
      </c>
      <c r="G185" s="2" t="s">
        <v>9116</v>
      </c>
      <c r="H185" s="5" t="s">
        <v>8336</v>
      </c>
      <c r="I185" s="5"/>
      <c r="J185" s="5"/>
      <c r="K185" s="5" t="s">
        <v>9117</v>
      </c>
    </row>
    <row r="186" customFormat="false" ht="23.85" hidden="false" customHeight="false" outlineLevel="0" collapsed="false">
      <c r="A186" s="5" t="s">
        <v>9118</v>
      </c>
      <c r="B186" s="2" t="s">
        <v>9119</v>
      </c>
      <c r="C186" s="5" t="s">
        <v>2128</v>
      </c>
      <c r="D186" s="5" t="s">
        <v>62</v>
      </c>
      <c r="E186" s="5" t="n">
        <v>10</v>
      </c>
      <c r="F186" s="5" t="s">
        <v>544</v>
      </c>
      <c r="G186" s="2" t="s">
        <v>9116</v>
      </c>
      <c r="H186" s="5" t="s">
        <v>8336</v>
      </c>
      <c r="I186" s="5"/>
      <c r="J186" s="5"/>
      <c r="K186" s="5" t="s">
        <v>9120</v>
      </c>
    </row>
    <row r="187" customFormat="false" ht="23.85" hidden="false" customHeight="false" outlineLevel="0" collapsed="false">
      <c r="A187" s="5" t="s">
        <v>9121</v>
      </c>
      <c r="B187" s="2" t="s">
        <v>9122</v>
      </c>
      <c r="C187" s="5" t="s">
        <v>2128</v>
      </c>
      <c r="D187" s="5" t="s">
        <v>62</v>
      </c>
      <c r="E187" s="5" t="n">
        <v>8</v>
      </c>
      <c r="F187" s="5" t="s">
        <v>544</v>
      </c>
      <c r="G187" s="2" t="s">
        <v>9116</v>
      </c>
      <c r="H187" s="5" t="s">
        <v>8336</v>
      </c>
      <c r="I187" s="5"/>
      <c r="J187" s="5"/>
      <c r="K187" s="5" t="s">
        <v>9123</v>
      </c>
    </row>
    <row r="188" customFormat="false" ht="23.85" hidden="false" customHeight="false" outlineLevel="0" collapsed="false">
      <c r="A188" s="5" t="s">
        <v>9124</v>
      </c>
      <c r="B188" s="2" t="s">
        <v>9125</v>
      </c>
      <c r="C188" s="5" t="s">
        <v>2128</v>
      </c>
      <c r="D188" s="5" t="s">
        <v>62</v>
      </c>
      <c r="E188" s="5" t="n">
        <v>10</v>
      </c>
      <c r="F188" s="5" t="s">
        <v>544</v>
      </c>
      <c r="G188" s="2" t="s">
        <v>9116</v>
      </c>
      <c r="H188" s="5" t="s">
        <v>8336</v>
      </c>
      <c r="I188" s="5"/>
      <c r="J188" s="5"/>
      <c r="K188" s="5" t="s">
        <v>9126</v>
      </c>
    </row>
    <row r="189" customFormat="false" ht="23.85" hidden="false" customHeight="false" outlineLevel="0" collapsed="false">
      <c r="A189" s="5" t="s">
        <v>9127</v>
      </c>
      <c r="B189" s="2" t="s">
        <v>9128</v>
      </c>
      <c r="C189" s="5" t="s">
        <v>2128</v>
      </c>
      <c r="D189" s="5" t="s">
        <v>62</v>
      </c>
      <c r="E189" s="5" t="n">
        <v>9</v>
      </c>
      <c r="F189" s="5" t="s">
        <v>8959</v>
      </c>
      <c r="G189" s="2" t="s">
        <v>4785</v>
      </c>
      <c r="H189" s="5" t="s">
        <v>8336</v>
      </c>
      <c r="I189" s="5"/>
      <c r="J189" s="5"/>
      <c r="K189" s="5" t="s">
        <v>9129</v>
      </c>
    </row>
    <row r="190" customFormat="false" ht="23.85" hidden="false" customHeight="false" outlineLevel="0" collapsed="false">
      <c r="A190" s="5" t="s">
        <v>9130</v>
      </c>
      <c r="B190" s="2" t="s">
        <v>9131</v>
      </c>
      <c r="C190" s="5" t="s">
        <v>2128</v>
      </c>
      <c r="D190" s="5" t="s">
        <v>62</v>
      </c>
      <c r="E190" s="5" t="n">
        <v>9</v>
      </c>
      <c r="F190" s="5" t="s">
        <v>8959</v>
      </c>
      <c r="G190" s="2" t="s">
        <v>4785</v>
      </c>
      <c r="H190" s="5" t="s">
        <v>8336</v>
      </c>
      <c r="I190" s="5"/>
      <c r="J190" s="5"/>
      <c r="K190" s="5" t="s">
        <v>9132</v>
      </c>
    </row>
    <row r="191" customFormat="false" ht="23.85" hidden="false" customHeight="false" outlineLevel="0" collapsed="false">
      <c r="A191" s="5" t="s">
        <v>9133</v>
      </c>
      <c r="B191" s="2" t="s">
        <v>9134</v>
      </c>
      <c r="C191" s="5" t="s">
        <v>2128</v>
      </c>
      <c r="D191" s="5" t="s">
        <v>62</v>
      </c>
      <c r="E191" s="5" t="n">
        <v>9</v>
      </c>
      <c r="F191" s="5" t="s">
        <v>1814</v>
      </c>
      <c r="G191" s="2" t="s">
        <v>9135</v>
      </c>
      <c r="H191" s="5" t="s">
        <v>8336</v>
      </c>
      <c r="I191" s="5"/>
      <c r="J191" s="5"/>
      <c r="K191" s="5" t="s">
        <v>9136</v>
      </c>
    </row>
    <row r="192" customFormat="false" ht="23.85" hidden="false" customHeight="false" outlineLevel="0" collapsed="false">
      <c r="A192" s="5" t="s">
        <v>9137</v>
      </c>
      <c r="B192" s="2" t="s">
        <v>9138</v>
      </c>
      <c r="C192" s="5" t="s">
        <v>2128</v>
      </c>
      <c r="D192" s="5" t="s">
        <v>62</v>
      </c>
      <c r="E192" s="5" t="n">
        <v>9</v>
      </c>
      <c r="F192" s="5" t="s">
        <v>1814</v>
      </c>
      <c r="G192" s="2" t="s">
        <v>9135</v>
      </c>
      <c r="H192" s="5" t="s">
        <v>8336</v>
      </c>
      <c r="I192" s="5"/>
      <c r="J192" s="5"/>
      <c r="K192" s="5" t="s">
        <v>9139</v>
      </c>
    </row>
    <row r="193" customFormat="false" ht="23.85" hidden="false" customHeight="false" outlineLevel="0" collapsed="false">
      <c r="A193" s="5" t="s">
        <v>9140</v>
      </c>
      <c r="B193" s="2" t="s">
        <v>9141</v>
      </c>
      <c r="C193" s="5" t="s">
        <v>2128</v>
      </c>
      <c r="D193" s="5" t="s">
        <v>62</v>
      </c>
      <c r="E193" s="5" t="n">
        <v>9</v>
      </c>
      <c r="F193" s="5" t="s">
        <v>1814</v>
      </c>
      <c r="G193" s="2" t="s">
        <v>9135</v>
      </c>
      <c r="H193" s="5" t="s">
        <v>8336</v>
      </c>
      <c r="I193" s="5"/>
      <c r="J193" s="5"/>
      <c r="K193" s="5" t="s">
        <v>9142</v>
      </c>
    </row>
    <row r="194" customFormat="false" ht="23.85" hidden="false" customHeight="false" outlineLevel="0" collapsed="false">
      <c r="A194" s="5" t="s">
        <v>9143</v>
      </c>
      <c r="B194" s="2" t="s">
        <v>9144</v>
      </c>
      <c r="C194" s="5" t="s">
        <v>2128</v>
      </c>
      <c r="D194" s="5" t="s">
        <v>62</v>
      </c>
      <c r="E194" s="5" t="n">
        <v>7</v>
      </c>
      <c r="F194" s="5" t="s">
        <v>8959</v>
      </c>
      <c r="G194" s="2" t="s">
        <v>4785</v>
      </c>
      <c r="H194" s="5" t="s">
        <v>8336</v>
      </c>
      <c r="I194" s="5"/>
      <c r="J194" s="5"/>
      <c r="K194" s="5" t="s">
        <v>9145</v>
      </c>
    </row>
    <row r="195" customFormat="false" ht="23.85" hidden="false" customHeight="false" outlineLevel="0" collapsed="false">
      <c r="A195" s="5" t="s">
        <v>9146</v>
      </c>
      <c r="B195" s="2" t="s">
        <v>9147</v>
      </c>
      <c r="C195" s="5" t="s">
        <v>2128</v>
      </c>
      <c r="D195" s="5" t="s">
        <v>62</v>
      </c>
      <c r="E195" s="5" t="n">
        <v>8</v>
      </c>
      <c r="F195" s="5" t="s">
        <v>8959</v>
      </c>
      <c r="G195" s="2" t="s">
        <v>4785</v>
      </c>
      <c r="H195" s="5" t="s">
        <v>8336</v>
      </c>
      <c r="I195" s="5"/>
      <c r="J195" s="5"/>
      <c r="K195" s="5" t="s">
        <v>9148</v>
      </c>
    </row>
    <row r="196" customFormat="false" ht="23.85" hidden="false" customHeight="false" outlineLevel="0" collapsed="false">
      <c r="A196" s="5" t="s">
        <v>9149</v>
      </c>
      <c r="B196" s="2" t="s">
        <v>9150</v>
      </c>
      <c r="C196" s="5" t="s">
        <v>2128</v>
      </c>
      <c r="D196" s="5" t="s">
        <v>62</v>
      </c>
      <c r="E196" s="5" t="n">
        <v>9</v>
      </c>
      <c r="F196" s="5" t="s">
        <v>8959</v>
      </c>
      <c r="G196" s="2" t="s">
        <v>4785</v>
      </c>
      <c r="H196" s="5" t="s">
        <v>8336</v>
      </c>
      <c r="I196" s="5"/>
      <c r="J196" s="5"/>
      <c r="K196" s="5" t="s">
        <v>9151</v>
      </c>
    </row>
    <row r="197" customFormat="false" ht="23.85" hidden="false" customHeight="false" outlineLevel="0" collapsed="false">
      <c r="A197" s="5" t="s">
        <v>9152</v>
      </c>
      <c r="B197" s="2" t="s">
        <v>9153</v>
      </c>
      <c r="C197" s="5" t="s">
        <v>2128</v>
      </c>
      <c r="D197" s="5" t="s">
        <v>62</v>
      </c>
      <c r="E197" s="5" t="n">
        <v>9</v>
      </c>
      <c r="F197" s="5" t="s">
        <v>8959</v>
      </c>
      <c r="G197" s="2" t="s">
        <v>4785</v>
      </c>
      <c r="H197" s="5" t="s">
        <v>8336</v>
      </c>
      <c r="I197" s="5"/>
      <c r="J197" s="5"/>
      <c r="K197" s="5" t="s">
        <v>9154</v>
      </c>
    </row>
    <row r="198" customFormat="false" ht="23.85" hidden="false" customHeight="false" outlineLevel="0" collapsed="false">
      <c r="A198" s="5" t="s">
        <v>9155</v>
      </c>
      <c r="B198" s="2" t="s">
        <v>9156</v>
      </c>
      <c r="C198" s="5" t="s">
        <v>2128</v>
      </c>
      <c r="D198" s="5" t="s">
        <v>62</v>
      </c>
      <c r="E198" s="5" t="n">
        <v>9</v>
      </c>
      <c r="F198" s="5" t="s">
        <v>8959</v>
      </c>
      <c r="G198" s="2" t="s">
        <v>4785</v>
      </c>
      <c r="H198" s="5" t="s">
        <v>8336</v>
      </c>
      <c r="I198" s="5"/>
      <c r="J198" s="5"/>
      <c r="K198" s="5" t="s">
        <v>9157</v>
      </c>
    </row>
    <row r="199" customFormat="false" ht="23.85" hidden="false" customHeight="false" outlineLevel="0" collapsed="false">
      <c r="A199" s="5" t="s">
        <v>9158</v>
      </c>
      <c r="B199" s="2" t="s">
        <v>9159</v>
      </c>
      <c r="C199" s="5" t="s">
        <v>2128</v>
      </c>
      <c r="D199" s="5" t="s">
        <v>62</v>
      </c>
      <c r="E199" s="5" t="n">
        <v>8</v>
      </c>
      <c r="F199" s="5" t="s">
        <v>9027</v>
      </c>
      <c r="G199" s="2" t="s">
        <v>4785</v>
      </c>
      <c r="H199" s="5" t="s">
        <v>8336</v>
      </c>
      <c r="I199" s="5"/>
      <c r="J199" s="5"/>
      <c r="K199" s="5" t="s">
        <v>9160</v>
      </c>
    </row>
    <row r="200" customFormat="false" ht="23.85" hidden="false" customHeight="false" outlineLevel="0" collapsed="false">
      <c r="A200" s="5" t="s">
        <v>9161</v>
      </c>
      <c r="B200" s="2" t="s">
        <v>9162</v>
      </c>
      <c r="C200" s="5" t="s">
        <v>2128</v>
      </c>
      <c r="D200" s="5" t="s">
        <v>62</v>
      </c>
      <c r="E200" s="5" t="n">
        <v>7</v>
      </c>
      <c r="F200" s="5" t="s">
        <v>8959</v>
      </c>
      <c r="G200" s="2" t="s">
        <v>4785</v>
      </c>
      <c r="H200" s="5" t="s">
        <v>8336</v>
      </c>
      <c r="I200" s="5"/>
      <c r="J200" s="5"/>
      <c r="K200" s="5" t="s">
        <v>9163</v>
      </c>
    </row>
    <row r="201" customFormat="false" ht="23.85" hidden="false" customHeight="false" outlineLevel="0" collapsed="false">
      <c r="A201" s="5" t="s">
        <v>9164</v>
      </c>
      <c r="B201" s="2" t="s">
        <v>9165</v>
      </c>
      <c r="C201" s="5" t="s">
        <v>2128</v>
      </c>
      <c r="D201" s="5" t="s">
        <v>62</v>
      </c>
      <c r="E201" s="5" t="n">
        <v>8</v>
      </c>
      <c r="F201" s="5" t="s">
        <v>8959</v>
      </c>
      <c r="G201" s="2" t="s">
        <v>4785</v>
      </c>
      <c r="H201" s="5" t="s">
        <v>8336</v>
      </c>
      <c r="I201" s="5"/>
      <c r="J201" s="5"/>
      <c r="K201" s="5" t="s">
        <v>9166</v>
      </c>
    </row>
    <row r="202" customFormat="false" ht="15" hidden="false" customHeight="false" outlineLevel="0" collapsed="false">
      <c r="A202" s="5" t="s">
        <v>9167</v>
      </c>
      <c r="B202" s="2" t="s">
        <v>9168</v>
      </c>
      <c r="C202" s="5" t="s">
        <v>2128</v>
      </c>
      <c r="D202" s="5" t="s">
        <v>62</v>
      </c>
      <c r="E202" s="5" t="n">
        <v>9</v>
      </c>
      <c r="F202" s="5" t="s">
        <v>8949</v>
      </c>
      <c r="G202" s="2" t="s">
        <v>4785</v>
      </c>
      <c r="H202" s="5" t="s">
        <v>8336</v>
      </c>
      <c r="I202" s="5"/>
      <c r="J202" s="5"/>
      <c r="K202" s="5" t="s">
        <v>9169</v>
      </c>
    </row>
    <row r="203" customFormat="false" ht="15" hidden="false" customHeight="false" outlineLevel="0" collapsed="false">
      <c r="A203" s="5" t="s">
        <v>9170</v>
      </c>
      <c r="B203" s="2" t="s">
        <v>9171</v>
      </c>
      <c r="C203" s="5" t="s">
        <v>2128</v>
      </c>
      <c r="D203" s="5" t="s">
        <v>62</v>
      </c>
      <c r="E203" s="5" t="n">
        <v>7</v>
      </c>
      <c r="F203" s="5" t="s">
        <v>8949</v>
      </c>
      <c r="G203" s="2" t="s">
        <v>4785</v>
      </c>
      <c r="H203" s="5" t="s">
        <v>8336</v>
      </c>
      <c r="I203" s="5"/>
      <c r="J203" s="5"/>
      <c r="K203" s="5" t="s">
        <v>9172</v>
      </c>
    </row>
    <row r="204" customFormat="false" ht="15" hidden="false" customHeight="false" outlineLevel="0" collapsed="false">
      <c r="A204" s="5" t="s">
        <v>9173</v>
      </c>
      <c r="B204" s="2" t="s">
        <v>9174</v>
      </c>
      <c r="C204" s="5" t="s">
        <v>2128</v>
      </c>
      <c r="D204" s="5" t="s">
        <v>62</v>
      </c>
      <c r="E204" s="5" t="n">
        <v>10</v>
      </c>
      <c r="F204" s="5" t="s">
        <v>8959</v>
      </c>
      <c r="G204" s="2" t="s">
        <v>4785</v>
      </c>
      <c r="H204" s="5" t="s">
        <v>8336</v>
      </c>
      <c r="I204" s="5"/>
      <c r="J204" s="5"/>
      <c r="K204" s="5" t="s">
        <v>9175</v>
      </c>
    </row>
    <row r="205" customFormat="false" ht="15" hidden="false" customHeight="false" outlineLevel="0" collapsed="false">
      <c r="A205" s="5" t="s">
        <v>9176</v>
      </c>
      <c r="B205" s="2" t="s">
        <v>9177</v>
      </c>
      <c r="C205" s="5" t="s">
        <v>2128</v>
      </c>
      <c r="D205" s="5" t="s">
        <v>62</v>
      </c>
      <c r="E205" s="5" t="n">
        <v>10</v>
      </c>
      <c r="F205" s="5" t="s">
        <v>8959</v>
      </c>
      <c r="G205" s="2" t="s">
        <v>4785</v>
      </c>
      <c r="H205" s="5" t="s">
        <v>8336</v>
      </c>
      <c r="I205" s="5"/>
      <c r="J205" s="5"/>
      <c r="K205" s="5" t="s">
        <v>9178</v>
      </c>
    </row>
    <row r="206" customFormat="false" ht="15" hidden="false" customHeight="false" outlineLevel="0" collapsed="false">
      <c r="A206" s="5" t="s">
        <v>9179</v>
      </c>
      <c r="B206" s="2" t="s">
        <v>9180</v>
      </c>
      <c r="C206" s="5" t="s">
        <v>2128</v>
      </c>
      <c r="D206" s="5" t="s">
        <v>62</v>
      </c>
      <c r="E206" s="5" t="n">
        <v>7</v>
      </c>
      <c r="F206" s="5" t="s">
        <v>8959</v>
      </c>
      <c r="G206" s="2" t="s">
        <v>4785</v>
      </c>
      <c r="H206" s="5" t="s">
        <v>8336</v>
      </c>
      <c r="I206" s="5"/>
      <c r="J206" s="5"/>
      <c r="K206" s="5" t="s">
        <v>9181</v>
      </c>
    </row>
    <row r="207" customFormat="false" ht="15" hidden="false" customHeight="false" outlineLevel="0" collapsed="false">
      <c r="A207" s="5" t="s">
        <v>9182</v>
      </c>
      <c r="B207" s="2" t="s">
        <v>9183</v>
      </c>
      <c r="C207" s="5" t="s">
        <v>2128</v>
      </c>
      <c r="D207" s="5" t="s">
        <v>62</v>
      </c>
      <c r="E207" s="5" t="n">
        <v>7</v>
      </c>
      <c r="F207" s="5" t="s">
        <v>8959</v>
      </c>
      <c r="G207" s="2" t="s">
        <v>4785</v>
      </c>
      <c r="H207" s="5" t="s">
        <v>8336</v>
      </c>
      <c r="I207" s="5"/>
      <c r="J207" s="5"/>
      <c r="K207" s="5" t="s">
        <v>9184</v>
      </c>
    </row>
    <row r="208" customFormat="false" ht="15" hidden="false" customHeight="false" outlineLevel="0" collapsed="false">
      <c r="A208" s="5" t="s">
        <v>9185</v>
      </c>
      <c r="B208" s="2" t="s">
        <v>9186</v>
      </c>
      <c r="C208" s="5" t="s">
        <v>2128</v>
      </c>
      <c r="D208" s="5" t="s">
        <v>62</v>
      </c>
      <c r="E208" s="5" t="n">
        <v>9</v>
      </c>
      <c r="F208" s="5" t="s">
        <v>8959</v>
      </c>
      <c r="G208" s="2" t="s">
        <v>4785</v>
      </c>
      <c r="H208" s="5" t="s">
        <v>8336</v>
      </c>
      <c r="I208" s="5"/>
      <c r="J208" s="5"/>
      <c r="K208" s="5" t="s">
        <v>9187</v>
      </c>
    </row>
    <row r="209" customFormat="false" ht="15" hidden="false" customHeight="false" outlineLevel="0" collapsed="false">
      <c r="A209" s="5" t="s">
        <v>9188</v>
      </c>
      <c r="B209" s="2" t="s">
        <v>9189</v>
      </c>
      <c r="C209" s="5" t="s">
        <v>2128</v>
      </c>
      <c r="D209" s="5" t="s">
        <v>62</v>
      </c>
      <c r="E209" s="5" t="n">
        <v>10</v>
      </c>
      <c r="F209" s="5" t="s">
        <v>8959</v>
      </c>
      <c r="G209" s="2" t="s">
        <v>4785</v>
      </c>
      <c r="H209" s="5" t="s">
        <v>8336</v>
      </c>
      <c r="I209" s="5"/>
      <c r="J209" s="5"/>
      <c r="K209" s="5" t="s">
        <v>9190</v>
      </c>
    </row>
    <row r="210" customFormat="false" ht="15" hidden="false" customHeight="false" outlineLevel="0" collapsed="false">
      <c r="A210" s="5" t="s">
        <v>9191</v>
      </c>
      <c r="B210" s="2" t="s">
        <v>9192</v>
      </c>
      <c r="C210" s="5" t="s">
        <v>2128</v>
      </c>
      <c r="D210" s="5" t="s">
        <v>62</v>
      </c>
      <c r="E210" s="5" t="n">
        <v>9</v>
      </c>
      <c r="F210" s="5" t="s">
        <v>8959</v>
      </c>
      <c r="G210" s="2" t="s">
        <v>4785</v>
      </c>
      <c r="H210" s="5" t="s">
        <v>8336</v>
      </c>
      <c r="I210" s="5"/>
      <c r="J210" s="5"/>
      <c r="K210" s="5" t="s">
        <v>9193</v>
      </c>
    </row>
    <row r="211" customFormat="false" ht="15" hidden="false" customHeight="false" outlineLevel="0" collapsed="false">
      <c r="A211" s="5" t="s">
        <v>9194</v>
      </c>
      <c r="B211" s="2" t="s">
        <v>9195</v>
      </c>
      <c r="C211" s="5" t="s">
        <v>2128</v>
      </c>
      <c r="D211" s="5" t="s">
        <v>62</v>
      </c>
      <c r="E211" s="5" t="n">
        <v>9</v>
      </c>
      <c r="F211" s="5" t="s">
        <v>9196</v>
      </c>
      <c r="G211" s="2" t="s">
        <v>2376</v>
      </c>
      <c r="H211" s="5" t="s">
        <v>8336</v>
      </c>
      <c r="I211" s="5"/>
      <c r="J211" s="5"/>
      <c r="K211" s="5" t="s">
        <v>9197</v>
      </c>
    </row>
    <row r="212" customFormat="false" ht="15" hidden="false" customHeight="false" outlineLevel="0" collapsed="false">
      <c r="A212" s="5" t="s">
        <v>9198</v>
      </c>
      <c r="B212" s="2" t="s">
        <v>9199</v>
      </c>
      <c r="C212" s="5" t="s">
        <v>2128</v>
      </c>
      <c r="D212" s="5" t="s">
        <v>62</v>
      </c>
      <c r="E212" s="5" t="n">
        <v>7</v>
      </c>
      <c r="F212" s="5" t="s">
        <v>9196</v>
      </c>
      <c r="G212" s="2" t="s">
        <v>2376</v>
      </c>
      <c r="H212" s="5" t="s">
        <v>8336</v>
      </c>
      <c r="I212" s="5"/>
      <c r="J212" s="5"/>
      <c r="K212" s="5" t="s">
        <v>9200</v>
      </c>
    </row>
    <row r="213" customFormat="false" ht="23.85" hidden="false" customHeight="false" outlineLevel="0" collapsed="false">
      <c r="A213" s="5" t="s">
        <v>9201</v>
      </c>
      <c r="B213" s="2" t="s">
        <v>9202</v>
      </c>
      <c r="C213" s="5" t="s">
        <v>2128</v>
      </c>
      <c r="D213" s="5" t="s">
        <v>62</v>
      </c>
      <c r="E213" s="5" t="n">
        <v>9</v>
      </c>
      <c r="F213" s="5" t="s">
        <v>413</v>
      </c>
      <c r="G213" s="2" t="s">
        <v>8682</v>
      </c>
      <c r="H213" s="5" t="s">
        <v>8336</v>
      </c>
      <c r="I213" s="5"/>
      <c r="J213" s="5"/>
      <c r="K213" s="5" t="s">
        <v>9203</v>
      </c>
    </row>
    <row r="214" customFormat="false" ht="23.85" hidden="false" customHeight="false" outlineLevel="0" collapsed="false">
      <c r="A214" s="5" t="s">
        <v>9204</v>
      </c>
      <c r="B214" s="2" t="s">
        <v>9205</v>
      </c>
      <c r="C214" s="5" t="s">
        <v>2128</v>
      </c>
      <c r="D214" s="5" t="s">
        <v>62</v>
      </c>
      <c r="E214" s="5" t="n">
        <v>8</v>
      </c>
      <c r="F214" s="5" t="s">
        <v>90</v>
      </c>
      <c r="G214" s="2" t="s">
        <v>1088</v>
      </c>
      <c r="H214" s="5" t="s">
        <v>8336</v>
      </c>
      <c r="I214" s="5"/>
      <c r="J214" s="5"/>
      <c r="K214" s="5" t="s">
        <v>9206</v>
      </c>
    </row>
    <row r="215" customFormat="false" ht="23.85" hidden="false" customHeight="false" outlineLevel="0" collapsed="false">
      <c r="A215" s="5" t="s">
        <v>9207</v>
      </c>
      <c r="B215" s="2" t="s">
        <v>9208</v>
      </c>
      <c r="C215" s="5" t="s">
        <v>2128</v>
      </c>
      <c r="D215" s="5" t="s">
        <v>62</v>
      </c>
      <c r="E215" s="5" t="n">
        <v>8</v>
      </c>
      <c r="F215" s="5" t="s">
        <v>90</v>
      </c>
      <c r="G215" s="2" t="s">
        <v>1088</v>
      </c>
      <c r="H215" s="5" t="s">
        <v>8336</v>
      </c>
      <c r="I215" s="5"/>
      <c r="J215" s="5"/>
      <c r="K215" s="5" t="s">
        <v>9209</v>
      </c>
    </row>
    <row r="216" customFormat="false" ht="23.85" hidden="false" customHeight="false" outlineLevel="0" collapsed="false">
      <c r="A216" s="5" t="s">
        <v>9210</v>
      </c>
      <c r="B216" s="2" t="s">
        <v>9211</v>
      </c>
      <c r="C216" s="5" t="s">
        <v>2128</v>
      </c>
      <c r="D216" s="5" t="s">
        <v>62</v>
      </c>
      <c r="E216" s="5" t="n">
        <v>9</v>
      </c>
      <c r="F216" s="5" t="s">
        <v>90</v>
      </c>
      <c r="G216" s="2" t="s">
        <v>8682</v>
      </c>
      <c r="H216" s="5" t="s">
        <v>8336</v>
      </c>
      <c r="I216" s="5"/>
      <c r="J216" s="5"/>
      <c r="K216" s="5" t="s">
        <v>9212</v>
      </c>
    </row>
    <row r="217" customFormat="false" ht="147" hidden="false" customHeight="false" outlineLevel="0" collapsed="false">
      <c r="A217" s="5" t="s">
        <v>2230</v>
      </c>
      <c r="B217" s="2" t="s">
        <v>2231</v>
      </c>
      <c r="C217" s="5" t="s">
        <v>2128</v>
      </c>
      <c r="D217" s="5" t="s">
        <v>62</v>
      </c>
      <c r="E217" s="5" t="n">
        <v>7</v>
      </c>
      <c r="F217" s="5" t="s">
        <v>100</v>
      </c>
      <c r="G217" s="2" t="s">
        <v>8905</v>
      </c>
      <c r="H217" s="5" t="s">
        <v>8332</v>
      </c>
      <c r="I217" s="5" t="s">
        <v>60</v>
      </c>
      <c r="J217" s="5" t="s">
        <v>489</v>
      </c>
      <c r="K217" s="5" t="s">
        <v>2237</v>
      </c>
    </row>
    <row r="218" customFormat="false" ht="147" hidden="false" customHeight="false" outlineLevel="0" collapsed="false">
      <c r="A218" s="5" t="s">
        <v>619</v>
      </c>
      <c r="B218" s="2" t="s">
        <v>620</v>
      </c>
      <c r="C218" s="5" t="s">
        <v>488</v>
      </c>
      <c r="D218" s="5" t="s">
        <v>62</v>
      </c>
      <c r="E218" s="5" t="n">
        <v>9</v>
      </c>
      <c r="F218" s="5" t="s">
        <v>100</v>
      </c>
      <c r="G218" s="2" t="s">
        <v>8905</v>
      </c>
      <c r="H218" s="5" t="s">
        <v>8332</v>
      </c>
      <c r="I218" s="5" t="s">
        <v>60</v>
      </c>
      <c r="J218" s="5" t="s">
        <v>489</v>
      </c>
      <c r="K218" s="5" t="s">
        <v>628</v>
      </c>
    </row>
    <row r="219" customFormat="false" ht="147" hidden="false" customHeight="false" outlineLevel="0" collapsed="false">
      <c r="A219" s="5" t="s">
        <v>2238</v>
      </c>
      <c r="B219" s="2" t="s">
        <v>2239</v>
      </c>
      <c r="C219" s="5" t="s">
        <v>2128</v>
      </c>
      <c r="D219" s="5" t="s">
        <v>62</v>
      </c>
      <c r="E219" s="5" t="n">
        <v>7</v>
      </c>
      <c r="F219" s="5" t="s">
        <v>100</v>
      </c>
      <c r="G219" s="2" t="s">
        <v>8905</v>
      </c>
      <c r="H219" s="5" t="s">
        <v>8332</v>
      </c>
      <c r="I219" s="5" t="s">
        <v>60</v>
      </c>
      <c r="J219" s="5" t="s">
        <v>489</v>
      </c>
      <c r="K219" s="5" t="s">
        <v>2242</v>
      </c>
    </row>
    <row r="220" customFormat="false" ht="147" hidden="false" customHeight="false" outlineLevel="0" collapsed="false">
      <c r="A220" s="5" t="s">
        <v>629</v>
      </c>
      <c r="B220" s="2" t="s">
        <v>630</v>
      </c>
      <c r="C220" s="5" t="s">
        <v>488</v>
      </c>
      <c r="D220" s="5" t="s">
        <v>62</v>
      </c>
      <c r="E220" s="5" t="n">
        <v>9</v>
      </c>
      <c r="F220" s="5" t="s">
        <v>100</v>
      </c>
      <c r="G220" s="2" t="s">
        <v>8905</v>
      </c>
      <c r="H220" s="5" t="s">
        <v>8332</v>
      </c>
      <c r="I220" s="5" t="s">
        <v>60</v>
      </c>
      <c r="J220" s="5" t="s">
        <v>489</v>
      </c>
      <c r="K220" s="5" t="s">
        <v>634</v>
      </c>
    </row>
    <row r="221" customFormat="false" ht="79.85" hidden="false" customHeight="false" outlineLevel="0" collapsed="false">
      <c r="A221" s="5" t="s">
        <v>635</v>
      </c>
      <c r="B221" s="2" t="s">
        <v>636</v>
      </c>
      <c r="C221" s="5" t="s">
        <v>488</v>
      </c>
      <c r="D221" s="5" t="s">
        <v>62</v>
      </c>
      <c r="E221" s="5" t="n">
        <v>9</v>
      </c>
      <c r="F221" s="5" t="s">
        <v>100</v>
      </c>
      <c r="G221" s="2" t="s">
        <v>9213</v>
      </c>
      <c r="H221" s="5" t="s">
        <v>8332</v>
      </c>
      <c r="I221" s="5" t="s">
        <v>60</v>
      </c>
      <c r="J221" s="5" t="s">
        <v>100</v>
      </c>
      <c r="K221" s="5" t="s">
        <v>645</v>
      </c>
    </row>
    <row r="222" customFormat="false" ht="15" hidden="false" customHeight="false" outlineLevel="0" collapsed="false">
      <c r="A222" s="5" t="s">
        <v>9214</v>
      </c>
      <c r="B222" s="2" t="s">
        <v>9215</v>
      </c>
      <c r="C222" s="5" t="s">
        <v>2128</v>
      </c>
      <c r="D222" s="5" t="s">
        <v>62</v>
      </c>
      <c r="E222" s="5" t="n">
        <v>9</v>
      </c>
      <c r="F222" s="5" t="s">
        <v>8690</v>
      </c>
      <c r="G222" s="2" t="s">
        <v>9216</v>
      </c>
      <c r="H222" s="5" t="s">
        <v>8336</v>
      </c>
      <c r="I222" s="5"/>
      <c r="J222" s="5"/>
      <c r="K222" s="5" t="s">
        <v>9217</v>
      </c>
    </row>
    <row r="223" customFormat="false" ht="15" hidden="false" customHeight="false" outlineLevel="0" collapsed="false">
      <c r="A223" s="5" t="s">
        <v>9218</v>
      </c>
      <c r="B223" s="2" t="s">
        <v>9219</v>
      </c>
      <c r="C223" s="5" t="s">
        <v>2128</v>
      </c>
      <c r="D223" s="5" t="s">
        <v>62</v>
      </c>
      <c r="E223" s="5" t="n">
        <v>7</v>
      </c>
      <c r="F223" s="5" t="s">
        <v>8690</v>
      </c>
      <c r="G223" s="2" t="s">
        <v>9216</v>
      </c>
      <c r="H223" s="5" t="s">
        <v>8336</v>
      </c>
      <c r="I223" s="5"/>
      <c r="J223" s="5"/>
      <c r="K223" s="5" t="s">
        <v>9220</v>
      </c>
    </row>
    <row r="224" customFormat="false" ht="15" hidden="false" customHeight="false" outlineLevel="0" collapsed="false">
      <c r="A224" s="5" t="s">
        <v>9221</v>
      </c>
      <c r="B224" s="2" t="s">
        <v>9222</v>
      </c>
      <c r="C224" s="5" t="s">
        <v>2128</v>
      </c>
      <c r="D224" s="5" t="s">
        <v>490</v>
      </c>
      <c r="E224" s="5" t="n">
        <v>9</v>
      </c>
      <c r="F224" s="5" t="s">
        <v>9223</v>
      </c>
      <c r="G224" s="2" t="s">
        <v>9224</v>
      </c>
      <c r="H224" s="5" t="s">
        <v>8336</v>
      </c>
      <c r="I224" s="5"/>
      <c r="J224" s="5"/>
      <c r="K224" s="5" t="s">
        <v>9225</v>
      </c>
    </row>
    <row r="225" customFormat="false" ht="15" hidden="false" customHeight="false" outlineLevel="0" collapsed="false">
      <c r="A225" s="5" t="s">
        <v>9226</v>
      </c>
      <c r="B225" s="2" t="s">
        <v>9227</v>
      </c>
      <c r="C225" s="5" t="s">
        <v>2128</v>
      </c>
      <c r="D225" s="5" t="s">
        <v>490</v>
      </c>
      <c r="E225" s="5" t="n">
        <v>9</v>
      </c>
      <c r="F225" s="5" t="s">
        <v>9223</v>
      </c>
      <c r="G225" s="2" t="s">
        <v>9224</v>
      </c>
      <c r="H225" s="5" t="s">
        <v>8336</v>
      </c>
      <c r="I225" s="5"/>
      <c r="J225" s="5"/>
      <c r="K225" s="5" t="s">
        <v>9228</v>
      </c>
    </row>
    <row r="226" customFormat="false" ht="15" hidden="false" customHeight="false" outlineLevel="0" collapsed="false">
      <c r="A226" s="5" t="s">
        <v>9229</v>
      </c>
      <c r="B226" s="2" t="s">
        <v>9230</v>
      </c>
      <c r="C226" s="5" t="s">
        <v>2128</v>
      </c>
      <c r="D226" s="5" t="s">
        <v>62</v>
      </c>
      <c r="E226" s="5" t="n">
        <v>9</v>
      </c>
      <c r="F226" s="5" t="s">
        <v>9231</v>
      </c>
      <c r="G226" s="2" t="s">
        <v>9232</v>
      </c>
      <c r="H226" s="5" t="s">
        <v>8336</v>
      </c>
      <c r="I226" s="5"/>
      <c r="J226" s="5"/>
      <c r="K226" s="5" t="s">
        <v>9233</v>
      </c>
    </row>
    <row r="227" customFormat="false" ht="15" hidden="false" customHeight="false" outlineLevel="0" collapsed="false">
      <c r="A227" s="5" t="s">
        <v>9234</v>
      </c>
      <c r="B227" s="2" t="s">
        <v>9235</v>
      </c>
      <c r="C227" s="5" t="s">
        <v>2128</v>
      </c>
      <c r="D227" s="5" t="s">
        <v>62</v>
      </c>
      <c r="E227" s="5" t="n">
        <v>9</v>
      </c>
      <c r="F227" s="5" t="s">
        <v>9231</v>
      </c>
      <c r="G227" s="2" t="s">
        <v>9232</v>
      </c>
      <c r="H227" s="5" t="s">
        <v>8336</v>
      </c>
      <c r="I227" s="5"/>
      <c r="J227" s="5"/>
      <c r="K227" s="5" t="s">
        <v>9236</v>
      </c>
    </row>
    <row r="228" customFormat="false" ht="15" hidden="false" customHeight="false" outlineLevel="0" collapsed="false">
      <c r="A228" s="5" t="s">
        <v>9237</v>
      </c>
      <c r="B228" s="2" t="s">
        <v>9238</v>
      </c>
      <c r="C228" s="5" t="s">
        <v>2128</v>
      </c>
      <c r="D228" s="5" t="s">
        <v>62</v>
      </c>
      <c r="E228" s="5" t="n">
        <v>9</v>
      </c>
      <c r="F228" s="5" t="s">
        <v>9239</v>
      </c>
      <c r="G228" s="2" t="s">
        <v>9240</v>
      </c>
      <c r="H228" s="5" t="s">
        <v>8336</v>
      </c>
      <c r="I228" s="5"/>
      <c r="J228" s="5"/>
      <c r="K228" s="5" t="s">
        <v>9241</v>
      </c>
    </row>
    <row r="229" customFormat="false" ht="23.85" hidden="false" customHeight="false" outlineLevel="0" collapsed="false">
      <c r="A229" s="5" t="s">
        <v>9242</v>
      </c>
      <c r="B229" s="2" t="s">
        <v>9243</v>
      </c>
      <c r="C229" s="5" t="s">
        <v>2128</v>
      </c>
      <c r="D229" s="5" t="s">
        <v>62</v>
      </c>
      <c r="E229" s="5" t="n">
        <v>6</v>
      </c>
      <c r="F229" s="5" t="s">
        <v>9244</v>
      </c>
      <c r="G229" s="2" t="s">
        <v>648</v>
      </c>
      <c r="H229" s="5" t="s">
        <v>8336</v>
      </c>
      <c r="I229" s="5"/>
      <c r="J229" s="5"/>
      <c r="K229" s="5" t="s">
        <v>9245</v>
      </c>
    </row>
    <row r="230" customFormat="false" ht="23.85" hidden="false" customHeight="false" outlineLevel="0" collapsed="false">
      <c r="A230" s="5" t="s">
        <v>9246</v>
      </c>
      <c r="B230" s="2" t="s">
        <v>9247</v>
      </c>
      <c r="C230" s="5" t="s">
        <v>2128</v>
      </c>
      <c r="D230" s="5" t="s">
        <v>62</v>
      </c>
      <c r="E230" s="5" t="n">
        <v>8</v>
      </c>
      <c r="F230" s="5" t="s">
        <v>9244</v>
      </c>
      <c r="G230" s="2" t="s">
        <v>648</v>
      </c>
      <c r="H230" s="5" t="s">
        <v>8336</v>
      </c>
      <c r="I230" s="5"/>
      <c r="J230" s="5"/>
      <c r="K230" s="5" t="s">
        <v>9248</v>
      </c>
    </row>
    <row r="231" customFormat="false" ht="23.85" hidden="false" customHeight="false" outlineLevel="0" collapsed="false">
      <c r="A231" s="5" t="s">
        <v>646</v>
      </c>
      <c r="B231" s="2" t="s">
        <v>647</v>
      </c>
      <c r="C231" s="5" t="s">
        <v>488</v>
      </c>
      <c r="D231" s="5" t="s">
        <v>62</v>
      </c>
      <c r="E231" s="5" t="n">
        <v>8</v>
      </c>
      <c r="F231" s="5" t="s">
        <v>481</v>
      </c>
      <c r="G231" s="2" t="s">
        <v>648</v>
      </c>
      <c r="H231" s="5" t="s">
        <v>8332</v>
      </c>
      <c r="I231" s="5" t="s">
        <v>60</v>
      </c>
      <c r="J231" s="5" t="s">
        <v>481</v>
      </c>
      <c r="K231" s="5" t="s">
        <v>654</v>
      </c>
    </row>
    <row r="232" customFormat="false" ht="23.85" hidden="false" customHeight="false" outlineLevel="0" collapsed="false">
      <c r="A232" s="5" t="s">
        <v>9249</v>
      </c>
      <c r="B232" s="2" t="s">
        <v>9250</v>
      </c>
      <c r="C232" s="5" t="s">
        <v>2128</v>
      </c>
      <c r="D232" s="5" t="s">
        <v>62</v>
      </c>
      <c r="E232" s="5" t="n">
        <v>6</v>
      </c>
      <c r="F232" s="5" t="s">
        <v>413</v>
      </c>
      <c r="G232" s="2" t="s">
        <v>648</v>
      </c>
      <c r="H232" s="5" t="s">
        <v>8336</v>
      </c>
      <c r="I232" s="5"/>
      <c r="J232" s="5"/>
      <c r="K232" s="5" t="s">
        <v>9251</v>
      </c>
    </row>
    <row r="233" customFormat="false" ht="23.85" hidden="false" customHeight="false" outlineLevel="0" collapsed="false">
      <c r="A233" s="5" t="s">
        <v>2243</v>
      </c>
      <c r="B233" s="2" t="s">
        <v>2244</v>
      </c>
      <c r="C233" s="5" t="s">
        <v>2245</v>
      </c>
      <c r="D233" s="5" t="s">
        <v>62</v>
      </c>
      <c r="E233" s="5" t="n">
        <v>8</v>
      </c>
      <c r="F233" s="5" t="s">
        <v>481</v>
      </c>
      <c r="G233" s="2" t="s">
        <v>2246</v>
      </c>
      <c r="H233" s="5" t="s">
        <v>8332</v>
      </c>
      <c r="I233" s="5" t="s">
        <v>60</v>
      </c>
      <c r="J233" s="5" t="s">
        <v>577</v>
      </c>
      <c r="K233" s="5" t="s">
        <v>2252</v>
      </c>
    </row>
    <row r="234" customFormat="false" ht="23.85" hidden="false" customHeight="false" outlineLevel="0" collapsed="false">
      <c r="A234" s="5" t="s">
        <v>655</v>
      </c>
      <c r="B234" s="2" t="s">
        <v>656</v>
      </c>
      <c r="C234" s="5" t="s">
        <v>488</v>
      </c>
      <c r="D234" s="5" t="s">
        <v>62</v>
      </c>
      <c r="E234" s="5" t="n">
        <v>8</v>
      </c>
      <c r="F234" s="5" t="s">
        <v>100</v>
      </c>
      <c r="G234" s="2" t="s">
        <v>648</v>
      </c>
      <c r="H234" s="5" t="s">
        <v>8332</v>
      </c>
      <c r="I234" s="5" t="s">
        <v>60</v>
      </c>
      <c r="J234" s="5" t="s">
        <v>100</v>
      </c>
      <c r="K234" s="5" t="s">
        <v>660</v>
      </c>
    </row>
    <row r="235" customFormat="false" ht="23.85" hidden="false" customHeight="false" outlineLevel="0" collapsed="false">
      <c r="A235" s="5" t="s">
        <v>9252</v>
      </c>
      <c r="B235" s="2" t="s">
        <v>9253</v>
      </c>
      <c r="C235" s="5" t="s">
        <v>2128</v>
      </c>
      <c r="D235" s="5" t="s">
        <v>62</v>
      </c>
      <c r="E235" s="5" t="n">
        <v>8</v>
      </c>
      <c r="F235" s="5" t="s">
        <v>536</v>
      </c>
      <c r="G235" s="2" t="s">
        <v>648</v>
      </c>
      <c r="H235" s="5" t="s">
        <v>8336</v>
      </c>
      <c r="I235" s="5"/>
      <c r="J235" s="5"/>
      <c r="K235" s="5" t="s">
        <v>9254</v>
      </c>
    </row>
    <row r="236" customFormat="false" ht="23.85" hidden="false" customHeight="false" outlineLevel="0" collapsed="false">
      <c r="A236" s="5" t="s">
        <v>9255</v>
      </c>
      <c r="B236" s="2" t="s">
        <v>9256</v>
      </c>
      <c r="C236" s="5" t="s">
        <v>2128</v>
      </c>
      <c r="D236" s="5" t="s">
        <v>62</v>
      </c>
      <c r="E236" s="5" t="n">
        <v>8</v>
      </c>
      <c r="F236" s="5" t="s">
        <v>536</v>
      </c>
      <c r="G236" s="2" t="s">
        <v>648</v>
      </c>
      <c r="H236" s="5" t="s">
        <v>8336</v>
      </c>
      <c r="I236" s="5"/>
      <c r="J236" s="5"/>
      <c r="K236" s="5" t="s">
        <v>9257</v>
      </c>
    </row>
    <row r="237" customFormat="false" ht="23.85" hidden="false" customHeight="false" outlineLevel="0" collapsed="false">
      <c r="A237" s="5" t="s">
        <v>9258</v>
      </c>
      <c r="B237" s="2" t="s">
        <v>9259</v>
      </c>
      <c r="C237" s="5" t="s">
        <v>2128</v>
      </c>
      <c r="D237" s="5" t="s">
        <v>62</v>
      </c>
      <c r="E237" s="5" t="n">
        <v>8</v>
      </c>
      <c r="F237" s="5" t="s">
        <v>8795</v>
      </c>
      <c r="G237" s="2" t="s">
        <v>648</v>
      </c>
      <c r="H237" s="5" t="s">
        <v>8336</v>
      </c>
      <c r="I237" s="5"/>
      <c r="J237" s="5"/>
      <c r="K237" s="5" t="s">
        <v>9260</v>
      </c>
    </row>
    <row r="238" customFormat="false" ht="23.85" hidden="false" customHeight="false" outlineLevel="0" collapsed="false">
      <c r="A238" s="5" t="s">
        <v>9261</v>
      </c>
      <c r="B238" s="2" t="s">
        <v>9262</v>
      </c>
      <c r="C238" s="5" t="s">
        <v>2128</v>
      </c>
      <c r="D238" s="5" t="s">
        <v>62</v>
      </c>
      <c r="E238" s="5" t="n">
        <v>8</v>
      </c>
      <c r="F238" s="5" t="s">
        <v>413</v>
      </c>
      <c r="G238" s="2" t="s">
        <v>648</v>
      </c>
      <c r="H238" s="5" t="s">
        <v>8336</v>
      </c>
      <c r="I238" s="5"/>
      <c r="J238" s="5"/>
      <c r="K238" s="5" t="s">
        <v>9263</v>
      </c>
    </row>
    <row r="239" customFormat="false" ht="23.85" hidden="false" customHeight="false" outlineLevel="0" collapsed="false">
      <c r="A239" s="5" t="s">
        <v>9264</v>
      </c>
      <c r="B239" s="2" t="s">
        <v>9265</v>
      </c>
      <c r="C239" s="5" t="s">
        <v>2128</v>
      </c>
      <c r="D239" s="5" t="s">
        <v>62</v>
      </c>
      <c r="E239" s="5" t="n">
        <v>8</v>
      </c>
      <c r="F239" s="5" t="s">
        <v>90</v>
      </c>
      <c r="G239" s="2" t="s">
        <v>648</v>
      </c>
      <c r="H239" s="5" t="s">
        <v>8336</v>
      </c>
      <c r="I239" s="5"/>
      <c r="J239" s="5"/>
      <c r="K239" s="5" t="s">
        <v>9266</v>
      </c>
    </row>
    <row r="240" customFormat="false" ht="23.85" hidden="false" customHeight="false" outlineLevel="0" collapsed="false">
      <c r="A240" s="5" t="s">
        <v>9267</v>
      </c>
      <c r="B240" s="2" t="s">
        <v>9268</v>
      </c>
      <c r="C240" s="5" t="s">
        <v>2128</v>
      </c>
      <c r="D240" s="5" t="s">
        <v>62</v>
      </c>
      <c r="E240" s="5" t="n">
        <v>8</v>
      </c>
      <c r="F240" s="5" t="s">
        <v>67</v>
      </c>
      <c r="G240" s="2" t="s">
        <v>648</v>
      </c>
      <c r="H240" s="5" t="s">
        <v>8336</v>
      </c>
      <c r="I240" s="5"/>
      <c r="J240" s="5"/>
      <c r="K240" s="5" t="s">
        <v>9269</v>
      </c>
    </row>
    <row r="241" customFormat="false" ht="23.85" hidden="false" customHeight="false" outlineLevel="0" collapsed="false">
      <c r="A241" s="5" t="s">
        <v>9270</v>
      </c>
      <c r="B241" s="2" t="s">
        <v>9271</v>
      </c>
      <c r="C241" s="5" t="s">
        <v>2128</v>
      </c>
      <c r="D241" s="5" t="s">
        <v>62</v>
      </c>
      <c r="E241" s="5" t="n">
        <v>8</v>
      </c>
      <c r="F241" s="5" t="s">
        <v>90</v>
      </c>
      <c r="G241" s="2" t="s">
        <v>648</v>
      </c>
      <c r="H241" s="5" t="s">
        <v>8336</v>
      </c>
      <c r="I241" s="5"/>
      <c r="J241" s="5"/>
      <c r="K241" s="5" t="s">
        <v>9272</v>
      </c>
    </row>
    <row r="242" customFormat="false" ht="23.85" hidden="false" customHeight="false" outlineLevel="0" collapsed="false">
      <c r="A242" s="5" t="s">
        <v>9273</v>
      </c>
      <c r="B242" s="2" t="s">
        <v>9274</v>
      </c>
      <c r="C242" s="5" t="s">
        <v>2128</v>
      </c>
      <c r="D242" s="5" t="s">
        <v>62</v>
      </c>
      <c r="E242" s="5" t="n">
        <v>8</v>
      </c>
      <c r="F242" s="5" t="s">
        <v>90</v>
      </c>
      <c r="G242" s="2" t="s">
        <v>648</v>
      </c>
      <c r="H242" s="5" t="s">
        <v>8336</v>
      </c>
      <c r="I242" s="5"/>
      <c r="J242" s="5"/>
      <c r="K242" s="5" t="s">
        <v>9275</v>
      </c>
    </row>
    <row r="243" customFormat="false" ht="23.85" hidden="false" customHeight="false" outlineLevel="0" collapsed="false">
      <c r="A243" s="5" t="s">
        <v>2253</v>
      </c>
      <c r="B243" s="2" t="s">
        <v>2254</v>
      </c>
      <c r="C243" s="5" t="s">
        <v>2245</v>
      </c>
      <c r="D243" s="5" t="s">
        <v>62</v>
      </c>
      <c r="E243" s="5" t="n">
        <v>8</v>
      </c>
      <c r="F243" s="5" t="s">
        <v>481</v>
      </c>
      <c r="G243" s="2" t="s">
        <v>2246</v>
      </c>
      <c r="H243" s="5" t="s">
        <v>8332</v>
      </c>
      <c r="I243" s="5" t="s">
        <v>60</v>
      </c>
      <c r="J243" s="5" t="s">
        <v>577</v>
      </c>
      <c r="K243" s="5" t="s">
        <v>2259</v>
      </c>
    </row>
    <row r="244" customFormat="false" ht="23.85" hidden="false" customHeight="false" outlineLevel="0" collapsed="false">
      <c r="A244" s="5" t="s">
        <v>9276</v>
      </c>
      <c r="B244" s="2" t="s">
        <v>9277</v>
      </c>
      <c r="C244" s="5" t="s">
        <v>2128</v>
      </c>
      <c r="D244" s="5" t="s">
        <v>62</v>
      </c>
      <c r="E244" s="5" t="n">
        <v>6</v>
      </c>
      <c r="F244" s="5" t="s">
        <v>413</v>
      </c>
      <c r="G244" s="2" t="s">
        <v>648</v>
      </c>
      <c r="H244" s="5" t="s">
        <v>8336</v>
      </c>
      <c r="I244" s="5"/>
      <c r="J244" s="5"/>
      <c r="K244" s="5" t="s">
        <v>9278</v>
      </c>
    </row>
    <row r="245" customFormat="false" ht="15" hidden="false" customHeight="false" outlineLevel="0" collapsed="false">
      <c r="A245" s="5" t="s">
        <v>2260</v>
      </c>
      <c r="B245" s="2" t="s">
        <v>2261</v>
      </c>
      <c r="C245" s="5" t="s">
        <v>2245</v>
      </c>
      <c r="D245" s="5" t="s">
        <v>62</v>
      </c>
      <c r="E245" s="5" t="n">
        <v>8</v>
      </c>
      <c r="F245" s="5" t="s">
        <v>481</v>
      </c>
      <c r="G245" s="2" t="s">
        <v>2246</v>
      </c>
      <c r="H245" s="5" t="s">
        <v>8332</v>
      </c>
      <c r="I245" s="5" t="s">
        <v>60</v>
      </c>
      <c r="J245" s="5" t="s">
        <v>577</v>
      </c>
      <c r="K245" s="5" t="s">
        <v>2266</v>
      </c>
    </row>
    <row r="246" customFormat="false" ht="15" hidden="false" customHeight="false" outlineLevel="0" collapsed="false">
      <c r="A246" s="5" t="s">
        <v>2267</v>
      </c>
      <c r="B246" s="2" t="s">
        <v>2268</v>
      </c>
      <c r="C246" s="5" t="s">
        <v>2245</v>
      </c>
      <c r="D246" s="5" t="s">
        <v>62</v>
      </c>
      <c r="E246" s="5" t="n">
        <v>8</v>
      </c>
      <c r="F246" s="5" t="s">
        <v>481</v>
      </c>
      <c r="G246" s="2" t="s">
        <v>2246</v>
      </c>
      <c r="H246" s="5" t="s">
        <v>8332</v>
      </c>
      <c r="I246" s="5" t="s">
        <v>60</v>
      </c>
      <c r="J246" s="5" t="s">
        <v>577</v>
      </c>
      <c r="K246" s="5" t="s">
        <v>2273</v>
      </c>
    </row>
    <row r="247" customFormat="false" ht="23.85" hidden="false" customHeight="false" outlineLevel="0" collapsed="false">
      <c r="A247" s="5" t="s">
        <v>9279</v>
      </c>
      <c r="B247" s="2" t="s">
        <v>9280</v>
      </c>
      <c r="C247" s="5" t="s">
        <v>2128</v>
      </c>
      <c r="D247" s="5" t="s">
        <v>62</v>
      </c>
      <c r="E247" s="5" t="n">
        <v>9</v>
      </c>
      <c r="F247" s="5" t="s">
        <v>90</v>
      </c>
      <c r="G247" s="2" t="s">
        <v>648</v>
      </c>
      <c r="H247" s="5" t="s">
        <v>8336</v>
      </c>
      <c r="I247" s="5"/>
      <c r="J247" s="5"/>
      <c r="K247" s="5" t="s">
        <v>9281</v>
      </c>
    </row>
    <row r="248" customFormat="false" ht="23.85" hidden="false" customHeight="false" outlineLevel="0" collapsed="false">
      <c r="A248" s="5" t="s">
        <v>9282</v>
      </c>
      <c r="B248" s="2" t="s">
        <v>9283</v>
      </c>
      <c r="C248" s="5" t="s">
        <v>2128</v>
      </c>
      <c r="D248" s="5" t="s">
        <v>62</v>
      </c>
      <c r="E248" s="5" t="n">
        <v>9</v>
      </c>
      <c r="F248" s="5" t="s">
        <v>8902</v>
      </c>
      <c r="G248" s="2" t="s">
        <v>648</v>
      </c>
      <c r="H248" s="5" t="s">
        <v>8336</v>
      </c>
      <c r="I248" s="5"/>
      <c r="J248" s="5"/>
      <c r="K248" s="5" t="s">
        <v>9284</v>
      </c>
    </row>
    <row r="249" customFormat="false" ht="23.85" hidden="false" customHeight="false" outlineLevel="0" collapsed="false">
      <c r="A249" s="5" t="s">
        <v>9285</v>
      </c>
      <c r="B249" s="2" t="s">
        <v>9286</v>
      </c>
      <c r="C249" s="5" t="s">
        <v>2128</v>
      </c>
      <c r="D249" s="5" t="s">
        <v>62</v>
      </c>
      <c r="E249" s="5" t="n">
        <v>8</v>
      </c>
      <c r="F249" s="5" t="s">
        <v>90</v>
      </c>
      <c r="G249" s="2" t="s">
        <v>648</v>
      </c>
      <c r="H249" s="5" t="s">
        <v>8336</v>
      </c>
      <c r="I249" s="5"/>
      <c r="J249" s="5"/>
      <c r="K249" s="5" t="s">
        <v>9287</v>
      </c>
    </row>
    <row r="250" customFormat="false" ht="23.85" hidden="false" customHeight="false" outlineLevel="0" collapsed="false">
      <c r="A250" s="5" t="s">
        <v>9288</v>
      </c>
      <c r="B250" s="2" t="s">
        <v>9289</v>
      </c>
      <c r="C250" s="5" t="s">
        <v>2128</v>
      </c>
      <c r="D250" s="5" t="s">
        <v>62</v>
      </c>
      <c r="E250" s="5" t="n">
        <v>8</v>
      </c>
      <c r="F250" s="5" t="s">
        <v>90</v>
      </c>
      <c r="G250" s="2" t="s">
        <v>648</v>
      </c>
      <c r="H250" s="5" t="s">
        <v>8336</v>
      </c>
      <c r="I250" s="5"/>
      <c r="J250" s="5"/>
      <c r="K250" s="5" t="s">
        <v>9290</v>
      </c>
    </row>
    <row r="251" customFormat="false" ht="23.85" hidden="false" customHeight="false" outlineLevel="0" collapsed="false">
      <c r="A251" s="5" t="s">
        <v>9291</v>
      </c>
      <c r="B251" s="2" t="s">
        <v>9292</v>
      </c>
      <c r="C251" s="5" t="s">
        <v>2128</v>
      </c>
      <c r="D251" s="5" t="s">
        <v>62</v>
      </c>
      <c r="E251" s="5" t="n">
        <v>8</v>
      </c>
      <c r="F251" s="5" t="s">
        <v>90</v>
      </c>
      <c r="G251" s="2" t="s">
        <v>648</v>
      </c>
      <c r="H251" s="5" t="s">
        <v>8336</v>
      </c>
      <c r="I251" s="5"/>
      <c r="J251" s="5"/>
      <c r="K251" s="5" t="s">
        <v>9293</v>
      </c>
    </row>
    <row r="252" customFormat="false" ht="23.85" hidden="false" customHeight="false" outlineLevel="0" collapsed="false">
      <c r="A252" s="5" t="s">
        <v>9294</v>
      </c>
      <c r="B252" s="2" t="s">
        <v>9295</v>
      </c>
      <c r="C252" s="5" t="s">
        <v>2128</v>
      </c>
      <c r="D252" s="5" t="s">
        <v>62</v>
      </c>
      <c r="E252" s="5" t="n">
        <v>9</v>
      </c>
      <c r="F252" s="5" t="s">
        <v>413</v>
      </c>
      <c r="G252" s="2" t="s">
        <v>648</v>
      </c>
      <c r="H252" s="5" t="s">
        <v>8336</v>
      </c>
      <c r="I252" s="5"/>
      <c r="J252" s="5"/>
      <c r="K252" s="5" t="s">
        <v>9296</v>
      </c>
    </row>
    <row r="253" customFormat="false" ht="23.85" hidden="false" customHeight="false" outlineLevel="0" collapsed="false">
      <c r="A253" s="5" t="s">
        <v>661</v>
      </c>
      <c r="B253" s="2" t="s">
        <v>662</v>
      </c>
      <c r="C253" s="5" t="s">
        <v>488</v>
      </c>
      <c r="D253" s="5" t="s">
        <v>62</v>
      </c>
      <c r="E253" s="5" t="n">
        <v>8</v>
      </c>
      <c r="F253" s="5" t="s">
        <v>481</v>
      </c>
      <c r="G253" s="2" t="s">
        <v>648</v>
      </c>
      <c r="H253" s="5" t="s">
        <v>8332</v>
      </c>
      <c r="I253" s="5" t="s">
        <v>60</v>
      </c>
      <c r="J253" s="5" t="s">
        <v>577</v>
      </c>
      <c r="K253" s="5" t="s">
        <v>667</v>
      </c>
    </row>
    <row r="254" customFormat="false" ht="23.85" hidden="false" customHeight="false" outlineLevel="0" collapsed="false">
      <c r="A254" s="5" t="s">
        <v>9297</v>
      </c>
      <c r="B254" s="2" t="s">
        <v>9298</v>
      </c>
      <c r="C254" s="5" t="s">
        <v>2128</v>
      </c>
      <c r="D254" s="5" t="s">
        <v>62</v>
      </c>
      <c r="E254" s="5" t="n">
        <v>8</v>
      </c>
      <c r="F254" s="5" t="s">
        <v>90</v>
      </c>
      <c r="G254" s="2" t="s">
        <v>648</v>
      </c>
      <c r="H254" s="5" t="s">
        <v>8336</v>
      </c>
      <c r="I254" s="5"/>
      <c r="J254" s="5"/>
      <c r="K254" s="5" t="s">
        <v>9299</v>
      </c>
    </row>
    <row r="255" customFormat="false" ht="23.85" hidden="false" customHeight="false" outlineLevel="0" collapsed="false">
      <c r="A255" s="5" t="s">
        <v>9300</v>
      </c>
      <c r="B255" s="2" t="s">
        <v>9301</v>
      </c>
      <c r="C255" s="5" t="s">
        <v>2128</v>
      </c>
      <c r="D255" s="5" t="s">
        <v>62</v>
      </c>
      <c r="E255" s="5" t="n">
        <v>9</v>
      </c>
      <c r="F255" s="5" t="s">
        <v>90</v>
      </c>
      <c r="G255" s="2" t="s">
        <v>648</v>
      </c>
      <c r="H255" s="5" t="s">
        <v>8336</v>
      </c>
      <c r="I255" s="5"/>
      <c r="J255" s="5"/>
      <c r="K255" s="5" t="s">
        <v>9302</v>
      </c>
    </row>
    <row r="256" customFormat="false" ht="23.85" hidden="false" customHeight="false" outlineLevel="0" collapsed="false">
      <c r="A256" s="5" t="s">
        <v>9303</v>
      </c>
      <c r="B256" s="2" t="s">
        <v>9304</v>
      </c>
      <c r="C256" s="5" t="s">
        <v>2128</v>
      </c>
      <c r="D256" s="5" t="s">
        <v>62</v>
      </c>
      <c r="E256" s="5" t="n">
        <v>7</v>
      </c>
      <c r="F256" s="5" t="s">
        <v>67</v>
      </c>
      <c r="G256" s="2" t="s">
        <v>648</v>
      </c>
      <c r="H256" s="5" t="s">
        <v>8336</v>
      </c>
      <c r="I256" s="5"/>
      <c r="J256" s="5"/>
      <c r="K256" s="5" t="s">
        <v>9305</v>
      </c>
    </row>
    <row r="257" customFormat="false" ht="23.85" hidden="false" customHeight="false" outlineLevel="0" collapsed="false">
      <c r="A257" s="5" t="s">
        <v>9306</v>
      </c>
      <c r="B257" s="2" t="s">
        <v>9307</v>
      </c>
      <c r="C257" s="5" t="s">
        <v>2128</v>
      </c>
      <c r="D257" s="5" t="s">
        <v>62</v>
      </c>
      <c r="E257" s="5" t="n">
        <v>8</v>
      </c>
      <c r="F257" s="5" t="s">
        <v>90</v>
      </c>
      <c r="G257" s="2" t="s">
        <v>648</v>
      </c>
      <c r="H257" s="5" t="s">
        <v>8336</v>
      </c>
      <c r="I257" s="5"/>
      <c r="J257" s="5"/>
      <c r="K257" s="5" t="s">
        <v>9308</v>
      </c>
    </row>
    <row r="258" customFormat="false" ht="23.85" hidden="false" customHeight="false" outlineLevel="0" collapsed="false">
      <c r="A258" s="5" t="s">
        <v>9309</v>
      </c>
      <c r="B258" s="2" t="s">
        <v>9310</v>
      </c>
      <c r="C258" s="5" t="s">
        <v>2128</v>
      </c>
      <c r="D258" s="5" t="s">
        <v>62</v>
      </c>
      <c r="E258" s="5" t="n">
        <v>6</v>
      </c>
      <c r="F258" s="5" t="s">
        <v>90</v>
      </c>
      <c r="G258" s="2" t="s">
        <v>648</v>
      </c>
      <c r="H258" s="5" t="s">
        <v>8336</v>
      </c>
      <c r="I258" s="5"/>
      <c r="J258" s="5"/>
      <c r="K258" s="5" t="s">
        <v>9311</v>
      </c>
    </row>
    <row r="259" customFormat="false" ht="23.85" hidden="false" customHeight="false" outlineLevel="0" collapsed="false">
      <c r="A259" s="5" t="s">
        <v>9312</v>
      </c>
      <c r="B259" s="2" t="s">
        <v>9313</v>
      </c>
      <c r="C259" s="5" t="s">
        <v>2128</v>
      </c>
      <c r="D259" s="5" t="s">
        <v>62</v>
      </c>
      <c r="E259" s="5" t="n">
        <v>8</v>
      </c>
      <c r="F259" s="5" t="s">
        <v>8795</v>
      </c>
      <c r="G259" s="2" t="s">
        <v>648</v>
      </c>
      <c r="H259" s="5" t="s">
        <v>8336</v>
      </c>
      <c r="I259" s="5"/>
      <c r="J259" s="5"/>
      <c r="K259" s="5" t="s">
        <v>9314</v>
      </c>
    </row>
    <row r="260" customFormat="false" ht="15" hidden="false" customHeight="false" outlineLevel="0" collapsed="false">
      <c r="A260" s="5" t="s">
        <v>668</v>
      </c>
      <c r="B260" s="2" t="s">
        <v>669</v>
      </c>
      <c r="C260" s="5" t="s">
        <v>488</v>
      </c>
      <c r="D260" s="5" t="s">
        <v>62</v>
      </c>
      <c r="E260" s="5" t="n">
        <v>8</v>
      </c>
      <c r="F260" s="5" t="s">
        <v>100</v>
      </c>
      <c r="G260" s="2" t="s">
        <v>670</v>
      </c>
      <c r="H260" s="5" t="s">
        <v>8332</v>
      </c>
      <c r="I260" s="5" t="s">
        <v>60</v>
      </c>
      <c r="J260" s="5" t="s">
        <v>100</v>
      </c>
      <c r="K260" s="5" t="s">
        <v>677</v>
      </c>
    </row>
    <row r="261" customFormat="false" ht="15" hidden="false" customHeight="false" outlineLevel="0" collapsed="false">
      <c r="A261" s="5" t="s">
        <v>4797</v>
      </c>
      <c r="B261" s="2" t="s">
        <v>4798</v>
      </c>
      <c r="C261" s="5" t="s">
        <v>2128</v>
      </c>
      <c r="D261" s="5" t="s">
        <v>62</v>
      </c>
      <c r="E261" s="5" t="n">
        <v>8</v>
      </c>
      <c r="F261" s="5" t="s">
        <v>100</v>
      </c>
      <c r="G261" s="2" t="s">
        <v>670</v>
      </c>
      <c r="H261" s="5" t="s">
        <v>8332</v>
      </c>
      <c r="I261" s="5" t="s">
        <v>4760</v>
      </c>
      <c r="J261" s="5" t="s">
        <v>100</v>
      </c>
      <c r="K261" s="5" t="s">
        <v>4802</v>
      </c>
    </row>
    <row r="262" customFormat="false" ht="15" hidden="false" customHeight="false" outlineLevel="0" collapsed="false">
      <c r="A262" s="5" t="s">
        <v>678</v>
      </c>
      <c r="B262" s="2" t="s">
        <v>679</v>
      </c>
      <c r="C262" s="5" t="s">
        <v>488</v>
      </c>
      <c r="D262" s="5" t="s">
        <v>62</v>
      </c>
      <c r="E262" s="5" t="n">
        <v>8</v>
      </c>
      <c r="F262" s="5" t="s">
        <v>100</v>
      </c>
      <c r="G262" s="2" t="s">
        <v>670</v>
      </c>
      <c r="H262" s="5" t="s">
        <v>8332</v>
      </c>
      <c r="I262" s="5" t="s">
        <v>60</v>
      </c>
      <c r="J262" s="5" t="s">
        <v>100</v>
      </c>
      <c r="K262" s="5" t="s">
        <v>684</v>
      </c>
    </row>
    <row r="263" customFormat="false" ht="15" hidden="false" customHeight="false" outlineLevel="0" collapsed="false">
      <c r="A263" s="5" t="s">
        <v>685</v>
      </c>
      <c r="B263" s="2" t="s">
        <v>686</v>
      </c>
      <c r="C263" s="5" t="s">
        <v>488</v>
      </c>
      <c r="D263" s="5" t="s">
        <v>62</v>
      </c>
      <c r="E263" s="5" t="n">
        <v>8</v>
      </c>
      <c r="F263" s="5" t="s">
        <v>100</v>
      </c>
      <c r="G263" s="2" t="s">
        <v>670</v>
      </c>
      <c r="H263" s="5" t="s">
        <v>8332</v>
      </c>
      <c r="I263" s="5" t="s">
        <v>60</v>
      </c>
      <c r="J263" s="5" t="s">
        <v>100</v>
      </c>
      <c r="K263" s="5" t="s">
        <v>691</v>
      </c>
    </row>
    <row r="264" customFormat="false" ht="15" hidden="false" customHeight="false" outlineLevel="0" collapsed="false">
      <c r="A264" s="5" t="s">
        <v>692</v>
      </c>
      <c r="B264" s="2" t="s">
        <v>693</v>
      </c>
      <c r="C264" s="5" t="s">
        <v>488</v>
      </c>
      <c r="D264" s="5" t="s">
        <v>62</v>
      </c>
      <c r="E264" s="5" t="n">
        <v>8</v>
      </c>
      <c r="F264" s="5" t="s">
        <v>100</v>
      </c>
      <c r="G264" s="2" t="s">
        <v>670</v>
      </c>
      <c r="H264" s="5" t="s">
        <v>8332</v>
      </c>
      <c r="I264" s="5" t="s">
        <v>60</v>
      </c>
      <c r="J264" s="5" t="s">
        <v>694</v>
      </c>
      <c r="K264" s="5" t="s">
        <v>698</v>
      </c>
    </row>
    <row r="265" customFormat="false" ht="23.85" hidden="false" customHeight="false" outlineLevel="0" collapsed="false">
      <c r="A265" s="5" t="s">
        <v>699</v>
      </c>
      <c r="B265" s="2" t="s">
        <v>700</v>
      </c>
      <c r="C265" s="5" t="s">
        <v>488</v>
      </c>
      <c r="D265" s="5" t="s">
        <v>62</v>
      </c>
      <c r="E265" s="5" t="n">
        <v>8</v>
      </c>
      <c r="F265" s="5" t="s">
        <v>100</v>
      </c>
      <c r="G265" s="2" t="s">
        <v>670</v>
      </c>
      <c r="H265" s="5" t="s">
        <v>8332</v>
      </c>
      <c r="I265" s="5" t="s">
        <v>60</v>
      </c>
      <c r="J265" s="5" t="s">
        <v>100</v>
      </c>
      <c r="K265" s="5" t="s">
        <v>704</v>
      </c>
    </row>
    <row r="266" customFormat="false" ht="23.85" hidden="false" customHeight="false" outlineLevel="0" collapsed="false">
      <c r="A266" s="5" t="s">
        <v>705</v>
      </c>
      <c r="B266" s="2" t="s">
        <v>706</v>
      </c>
      <c r="C266" s="5" t="s">
        <v>488</v>
      </c>
      <c r="D266" s="5" t="s">
        <v>62</v>
      </c>
      <c r="E266" s="5" t="n">
        <v>8</v>
      </c>
      <c r="F266" s="5" t="s">
        <v>100</v>
      </c>
      <c r="G266" s="2" t="s">
        <v>670</v>
      </c>
      <c r="H266" s="5" t="s">
        <v>8332</v>
      </c>
      <c r="I266" s="5" t="s">
        <v>60</v>
      </c>
      <c r="J266" s="5" t="s">
        <v>100</v>
      </c>
      <c r="K266" s="5" t="s">
        <v>709</v>
      </c>
    </row>
    <row r="267" customFormat="false" ht="15" hidden="false" customHeight="false" outlineLevel="0" collapsed="false">
      <c r="A267" s="5" t="s">
        <v>710</v>
      </c>
      <c r="B267" s="2" t="s">
        <v>711</v>
      </c>
      <c r="C267" s="5" t="s">
        <v>488</v>
      </c>
      <c r="D267" s="5" t="s">
        <v>62</v>
      </c>
      <c r="E267" s="5" t="n">
        <v>8</v>
      </c>
      <c r="F267" s="5" t="s">
        <v>100</v>
      </c>
      <c r="G267" s="2" t="s">
        <v>670</v>
      </c>
      <c r="H267" s="5" t="s">
        <v>8332</v>
      </c>
      <c r="I267" s="5" t="s">
        <v>60</v>
      </c>
      <c r="J267" s="5" t="s">
        <v>100</v>
      </c>
      <c r="K267" s="5" t="s">
        <v>715</v>
      </c>
    </row>
    <row r="268" customFormat="false" ht="15" hidden="false" customHeight="false" outlineLevel="0" collapsed="false">
      <c r="A268" s="5" t="s">
        <v>716</v>
      </c>
      <c r="B268" s="2" t="s">
        <v>717</v>
      </c>
      <c r="C268" s="5" t="s">
        <v>488</v>
      </c>
      <c r="D268" s="5" t="s">
        <v>62</v>
      </c>
      <c r="E268" s="5" t="n">
        <v>8</v>
      </c>
      <c r="F268" s="5" t="s">
        <v>100</v>
      </c>
      <c r="G268" s="2" t="s">
        <v>670</v>
      </c>
      <c r="H268" s="5" t="s">
        <v>8332</v>
      </c>
      <c r="I268" s="5" t="s">
        <v>60</v>
      </c>
      <c r="J268" s="5" t="s">
        <v>100</v>
      </c>
      <c r="K268" s="5" t="s">
        <v>721</v>
      </c>
    </row>
    <row r="269" customFormat="false" ht="15" hidden="false" customHeight="false" outlineLevel="0" collapsed="false">
      <c r="A269" s="5" t="s">
        <v>722</v>
      </c>
      <c r="B269" s="2" t="s">
        <v>723</v>
      </c>
      <c r="C269" s="5" t="s">
        <v>488</v>
      </c>
      <c r="D269" s="5" t="s">
        <v>62</v>
      </c>
      <c r="E269" s="5" t="n">
        <v>8</v>
      </c>
      <c r="F269" s="5" t="s">
        <v>100</v>
      </c>
      <c r="G269" s="2" t="s">
        <v>670</v>
      </c>
      <c r="H269" s="5" t="s">
        <v>8332</v>
      </c>
      <c r="I269" s="5" t="s">
        <v>60</v>
      </c>
      <c r="J269" s="5" t="s">
        <v>100</v>
      </c>
      <c r="K269" s="5" t="s">
        <v>727</v>
      </c>
    </row>
    <row r="270" customFormat="false" ht="15" hidden="false" customHeight="false" outlineLevel="0" collapsed="false">
      <c r="A270" s="5" t="s">
        <v>9315</v>
      </c>
      <c r="B270" s="2" t="s">
        <v>9316</v>
      </c>
      <c r="C270" s="5" t="s">
        <v>2128</v>
      </c>
      <c r="D270" s="5" t="s">
        <v>62</v>
      </c>
      <c r="E270" s="5" t="n">
        <v>8</v>
      </c>
      <c r="F270" s="5" t="s">
        <v>67</v>
      </c>
      <c r="G270" s="2" t="s">
        <v>670</v>
      </c>
      <c r="H270" s="5" t="s">
        <v>8336</v>
      </c>
      <c r="I270" s="5"/>
      <c r="J270" s="5"/>
      <c r="K270" s="5" t="s">
        <v>9317</v>
      </c>
    </row>
    <row r="271" customFormat="false" ht="15" hidden="false" customHeight="false" outlineLevel="0" collapsed="false">
      <c r="A271" s="5" t="s">
        <v>9318</v>
      </c>
      <c r="B271" s="2" t="s">
        <v>9319</v>
      </c>
      <c r="C271" s="5" t="s">
        <v>2128</v>
      </c>
      <c r="D271" s="5" t="s">
        <v>62</v>
      </c>
      <c r="E271" s="5" t="n">
        <v>9</v>
      </c>
      <c r="F271" s="5" t="s">
        <v>8690</v>
      </c>
      <c r="G271" s="2" t="s">
        <v>9320</v>
      </c>
      <c r="H271" s="5" t="s">
        <v>8336</v>
      </c>
      <c r="I271" s="5"/>
      <c r="J271" s="5"/>
      <c r="K271" s="5" t="s">
        <v>9321</v>
      </c>
    </row>
    <row r="272" customFormat="false" ht="15" hidden="false" customHeight="false" outlineLevel="0" collapsed="false">
      <c r="A272" s="5" t="s">
        <v>9322</v>
      </c>
      <c r="B272" s="2" t="s">
        <v>9323</v>
      </c>
      <c r="C272" s="5" t="s">
        <v>2128</v>
      </c>
      <c r="D272" s="5" t="s">
        <v>62</v>
      </c>
      <c r="E272" s="5" t="n">
        <v>7</v>
      </c>
      <c r="F272" s="5" t="s">
        <v>413</v>
      </c>
      <c r="G272" s="2" t="s">
        <v>8260</v>
      </c>
      <c r="H272" s="5" t="s">
        <v>8336</v>
      </c>
      <c r="I272" s="5"/>
      <c r="J272" s="5"/>
      <c r="K272" s="5" t="s">
        <v>9324</v>
      </c>
    </row>
    <row r="273" customFormat="false" ht="15" hidden="false" customHeight="false" outlineLevel="0" collapsed="false">
      <c r="A273" s="5" t="s">
        <v>9325</v>
      </c>
      <c r="B273" s="2" t="s">
        <v>9326</v>
      </c>
      <c r="C273" s="5" t="s">
        <v>2128</v>
      </c>
      <c r="D273" s="5" t="s">
        <v>62</v>
      </c>
      <c r="E273" s="5" t="n">
        <v>7</v>
      </c>
      <c r="F273" s="5" t="s">
        <v>413</v>
      </c>
      <c r="G273" s="2" t="s">
        <v>8260</v>
      </c>
      <c r="H273" s="5" t="s">
        <v>8336</v>
      </c>
      <c r="I273" s="5"/>
      <c r="J273" s="5"/>
      <c r="K273" s="5" t="s">
        <v>9327</v>
      </c>
    </row>
    <row r="274" customFormat="false" ht="15" hidden="false" customHeight="false" outlineLevel="0" collapsed="false">
      <c r="A274" s="5" t="s">
        <v>9328</v>
      </c>
      <c r="B274" s="2" t="s">
        <v>9329</v>
      </c>
      <c r="C274" s="5" t="s">
        <v>2128</v>
      </c>
      <c r="D274" s="5" t="s">
        <v>62</v>
      </c>
      <c r="E274" s="5" t="n">
        <v>7</v>
      </c>
      <c r="F274" s="5" t="s">
        <v>536</v>
      </c>
      <c r="G274" s="2" t="s">
        <v>8260</v>
      </c>
      <c r="H274" s="5" t="s">
        <v>8336</v>
      </c>
      <c r="I274" s="5"/>
      <c r="J274" s="5"/>
      <c r="K274" s="5" t="s">
        <v>9330</v>
      </c>
    </row>
    <row r="275" customFormat="false" ht="15" hidden="false" customHeight="false" outlineLevel="0" collapsed="false">
      <c r="A275" s="5" t="s">
        <v>9331</v>
      </c>
      <c r="B275" s="2" t="s">
        <v>9332</v>
      </c>
      <c r="C275" s="5" t="s">
        <v>2128</v>
      </c>
      <c r="D275" s="5" t="s">
        <v>62</v>
      </c>
      <c r="E275" s="5" t="n">
        <v>9</v>
      </c>
      <c r="F275" s="5" t="s">
        <v>90</v>
      </c>
      <c r="G275" s="2" t="s">
        <v>8260</v>
      </c>
      <c r="H275" s="5" t="s">
        <v>8336</v>
      </c>
      <c r="I275" s="5"/>
      <c r="J275" s="5"/>
      <c r="K275" s="5" t="s">
        <v>9333</v>
      </c>
    </row>
    <row r="276" customFormat="false" ht="15" hidden="false" customHeight="false" outlineLevel="0" collapsed="false">
      <c r="A276" s="5" t="s">
        <v>9334</v>
      </c>
      <c r="B276" s="2" t="s">
        <v>9335</v>
      </c>
      <c r="C276" s="5" t="s">
        <v>2128</v>
      </c>
      <c r="D276" s="5" t="s">
        <v>62</v>
      </c>
      <c r="E276" s="5" t="n">
        <v>3</v>
      </c>
      <c r="F276" s="5" t="s">
        <v>90</v>
      </c>
      <c r="G276" s="2" t="s">
        <v>8260</v>
      </c>
      <c r="H276" s="5" t="s">
        <v>8336</v>
      </c>
      <c r="I276" s="5"/>
      <c r="J276" s="5"/>
      <c r="K276" s="5" t="s">
        <v>9336</v>
      </c>
    </row>
    <row r="277" customFormat="false" ht="15" hidden="false" customHeight="false" outlineLevel="0" collapsed="false">
      <c r="A277" s="5" t="s">
        <v>9337</v>
      </c>
      <c r="B277" s="2" t="s">
        <v>9338</v>
      </c>
      <c r="C277" s="5" t="s">
        <v>2128</v>
      </c>
      <c r="D277" s="5" t="s">
        <v>62</v>
      </c>
      <c r="E277" s="5" t="n">
        <v>7</v>
      </c>
      <c r="F277" s="5" t="s">
        <v>90</v>
      </c>
      <c r="G277" s="2" t="s">
        <v>8260</v>
      </c>
      <c r="H277" s="5" t="s">
        <v>8336</v>
      </c>
      <c r="I277" s="5"/>
      <c r="J277" s="5"/>
      <c r="K277" s="5" t="s">
        <v>9339</v>
      </c>
    </row>
    <row r="278" customFormat="false" ht="15" hidden="false" customHeight="false" outlineLevel="0" collapsed="false">
      <c r="A278" s="5" t="s">
        <v>9340</v>
      </c>
      <c r="B278" s="2" t="s">
        <v>9341</v>
      </c>
      <c r="C278" s="5" t="s">
        <v>2128</v>
      </c>
      <c r="D278" s="5" t="s">
        <v>62</v>
      </c>
      <c r="E278" s="5" t="n">
        <v>7</v>
      </c>
      <c r="F278" s="5" t="s">
        <v>413</v>
      </c>
      <c r="G278" s="2" t="s">
        <v>8260</v>
      </c>
      <c r="H278" s="5" t="s">
        <v>8336</v>
      </c>
      <c r="I278" s="5"/>
      <c r="J278" s="5"/>
      <c r="K278" s="5" t="s">
        <v>9342</v>
      </c>
    </row>
    <row r="279" customFormat="false" ht="15" hidden="false" customHeight="false" outlineLevel="0" collapsed="false">
      <c r="A279" s="5" t="s">
        <v>9343</v>
      </c>
      <c r="B279" s="2" t="s">
        <v>9344</v>
      </c>
      <c r="C279" s="5" t="s">
        <v>2128</v>
      </c>
      <c r="D279" s="5" t="s">
        <v>490</v>
      </c>
      <c r="E279" s="5" t="n">
        <v>3</v>
      </c>
      <c r="F279" s="5" t="s">
        <v>413</v>
      </c>
      <c r="G279" s="2" t="s">
        <v>8260</v>
      </c>
      <c r="H279" s="5" t="s">
        <v>8336</v>
      </c>
      <c r="I279" s="5"/>
      <c r="J279" s="5"/>
      <c r="K279" s="5" t="s">
        <v>9345</v>
      </c>
    </row>
    <row r="280" customFormat="false" ht="15" hidden="false" customHeight="false" outlineLevel="0" collapsed="false">
      <c r="A280" s="5" t="s">
        <v>9346</v>
      </c>
      <c r="B280" s="2" t="s">
        <v>9347</v>
      </c>
      <c r="C280" s="5" t="s">
        <v>2128</v>
      </c>
      <c r="D280" s="5" t="s">
        <v>62</v>
      </c>
      <c r="E280" s="5" t="n">
        <v>7</v>
      </c>
      <c r="F280" s="5" t="s">
        <v>413</v>
      </c>
      <c r="G280" s="2" t="s">
        <v>8260</v>
      </c>
      <c r="H280" s="5" t="s">
        <v>8336</v>
      </c>
      <c r="I280" s="5"/>
      <c r="J280" s="5"/>
      <c r="K280" s="5" t="s">
        <v>9348</v>
      </c>
    </row>
    <row r="281" customFormat="false" ht="23.85" hidden="false" customHeight="false" outlineLevel="0" collapsed="false">
      <c r="A281" s="5" t="s">
        <v>9349</v>
      </c>
      <c r="B281" s="2" t="s">
        <v>9350</v>
      </c>
      <c r="C281" s="5" t="s">
        <v>2128</v>
      </c>
      <c r="D281" s="5" t="s">
        <v>62</v>
      </c>
      <c r="E281" s="5" t="n">
        <v>7</v>
      </c>
      <c r="F281" s="5" t="s">
        <v>3005</v>
      </c>
      <c r="G281" s="2" t="s">
        <v>9351</v>
      </c>
      <c r="H281" s="5" t="s">
        <v>8336</v>
      </c>
      <c r="I281" s="5"/>
      <c r="J281" s="5"/>
      <c r="K281" s="5" t="s">
        <v>9352</v>
      </c>
    </row>
    <row r="282" customFormat="false" ht="46.25" hidden="false" customHeight="false" outlineLevel="0" collapsed="false">
      <c r="A282" s="5" t="s">
        <v>9353</v>
      </c>
      <c r="B282" s="2" t="s">
        <v>9354</v>
      </c>
      <c r="C282" s="5" t="s">
        <v>2128</v>
      </c>
      <c r="D282" s="5" t="s">
        <v>62</v>
      </c>
      <c r="E282" s="5" t="n">
        <v>8</v>
      </c>
      <c r="F282" s="5" t="s">
        <v>9355</v>
      </c>
      <c r="G282" s="2" t="s">
        <v>9356</v>
      </c>
      <c r="H282" s="5" t="s">
        <v>8336</v>
      </c>
      <c r="I282" s="5"/>
      <c r="J282" s="5"/>
      <c r="K282" s="5" t="s">
        <v>9357</v>
      </c>
    </row>
    <row r="283" customFormat="false" ht="23.85" hidden="false" customHeight="false" outlineLevel="0" collapsed="false">
      <c r="A283" s="5" t="s">
        <v>2274</v>
      </c>
      <c r="B283" s="2" t="s">
        <v>2275</v>
      </c>
      <c r="C283" s="5" t="s">
        <v>2128</v>
      </c>
      <c r="D283" s="5" t="s">
        <v>62</v>
      </c>
      <c r="E283" s="5" t="n">
        <v>7</v>
      </c>
      <c r="F283" s="5" t="s">
        <v>90</v>
      </c>
      <c r="G283" s="2" t="s">
        <v>9351</v>
      </c>
      <c r="H283" s="5" t="s">
        <v>8332</v>
      </c>
      <c r="I283" s="5" t="s">
        <v>60</v>
      </c>
      <c r="J283" s="5" t="s">
        <v>161</v>
      </c>
      <c r="K283" s="5" t="s">
        <v>2281</v>
      </c>
    </row>
    <row r="284" customFormat="false" ht="15" hidden="false" customHeight="false" outlineLevel="0" collapsed="false">
      <c r="A284" s="5" t="s">
        <v>9358</v>
      </c>
      <c r="B284" s="2" t="s">
        <v>9359</v>
      </c>
      <c r="C284" s="5" t="s">
        <v>2128</v>
      </c>
      <c r="D284" s="5" t="s">
        <v>62</v>
      </c>
      <c r="E284" s="5" t="n">
        <v>7</v>
      </c>
      <c r="F284" s="5" t="s">
        <v>536</v>
      </c>
      <c r="G284" s="2" t="s">
        <v>9360</v>
      </c>
      <c r="H284" s="5" t="s">
        <v>8336</v>
      </c>
      <c r="I284" s="5"/>
      <c r="J284" s="5"/>
      <c r="K284" s="5" t="s">
        <v>9361</v>
      </c>
    </row>
    <row r="285" customFormat="false" ht="15" hidden="false" customHeight="false" outlineLevel="0" collapsed="false">
      <c r="A285" s="5" t="s">
        <v>9362</v>
      </c>
      <c r="B285" s="2" t="s">
        <v>9363</v>
      </c>
      <c r="C285" s="5" t="s">
        <v>2128</v>
      </c>
      <c r="D285" s="5" t="s">
        <v>62</v>
      </c>
      <c r="E285" s="5" t="n">
        <v>7</v>
      </c>
      <c r="F285" s="5" t="s">
        <v>8702</v>
      </c>
      <c r="G285" s="2" t="s">
        <v>9364</v>
      </c>
      <c r="H285" s="5" t="s">
        <v>8336</v>
      </c>
      <c r="I285" s="5"/>
      <c r="J285" s="5"/>
      <c r="K285" s="5" t="s">
        <v>9365</v>
      </c>
    </row>
    <row r="286" customFormat="false" ht="23.85" hidden="false" customHeight="false" outlineLevel="0" collapsed="false">
      <c r="A286" s="5" t="s">
        <v>9366</v>
      </c>
      <c r="B286" s="2" t="s">
        <v>9367</v>
      </c>
      <c r="C286" s="5" t="s">
        <v>2128</v>
      </c>
      <c r="D286" s="5" t="s">
        <v>62</v>
      </c>
      <c r="E286" s="5" t="n">
        <v>7</v>
      </c>
      <c r="F286" s="5" t="s">
        <v>544</v>
      </c>
      <c r="G286" s="2" t="s">
        <v>8682</v>
      </c>
      <c r="H286" s="5" t="s">
        <v>8336</v>
      </c>
      <c r="I286" s="5"/>
      <c r="J286" s="5"/>
      <c r="K286" s="5" t="s">
        <v>9368</v>
      </c>
    </row>
    <row r="287" customFormat="false" ht="15" hidden="false" customHeight="false" outlineLevel="0" collapsed="false">
      <c r="A287" s="5" t="s">
        <v>9369</v>
      </c>
      <c r="B287" s="2" t="s">
        <v>9370</v>
      </c>
      <c r="C287" s="5" t="s">
        <v>2128</v>
      </c>
      <c r="D287" s="5" t="s">
        <v>62</v>
      </c>
      <c r="E287" s="5" t="n">
        <v>7</v>
      </c>
      <c r="F287" s="5" t="s">
        <v>536</v>
      </c>
      <c r="G287" s="2" t="s">
        <v>9371</v>
      </c>
      <c r="H287" s="5" t="s">
        <v>8336</v>
      </c>
      <c r="I287" s="5"/>
      <c r="J287" s="5"/>
      <c r="K287" s="5" t="s">
        <v>9372</v>
      </c>
    </row>
    <row r="288" customFormat="false" ht="15" hidden="false" customHeight="false" outlineLevel="0" collapsed="false">
      <c r="A288" s="5" t="s">
        <v>9373</v>
      </c>
      <c r="B288" s="2" t="s">
        <v>9374</v>
      </c>
      <c r="C288" s="5" t="s">
        <v>2128</v>
      </c>
      <c r="D288" s="5" t="s">
        <v>62</v>
      </c>
      <c r="E288" s="5" t="n">
        <v>7</v>
      </c>
      <c r="F288" s="5" t="s">
        <v>536</v>
      </c>
      <c r="G288" s="2" t="s">
        <v>9371</v>
      </c>
      <c r="H288" s="5" t="s">
        <v>8336</v>
      </c>
      <c r="I288" s="5"/>
      <c r="J288" s="5"/>
      <c r="K288" s="5" t="s">
        <v>9375</v>
      </c>
    </row>
    <row r="289" customFormat="false" ht="15" hidden="false" customHeight="false" outlineLevel="0" collapsed="false">
      <c r="A289" s="5" t="s">
        <v>9376</v>
      </c>
      <c r="B289" s="2" t="s">
        <v>9377</v>
      </c>
      <c r="C289" s="5" t="s">
        <v>2128</v>
      </c>
      <c r="D289" s="5" t="s">
        <v>62</v>
      </c>
      <c r="E289" s="5" t="n">
        <v>7</v>
      </c>
      <c r="F289" s="5" t="s">
        <v>536</v>
      </c>
      <c r="G289" s="2" t="s">
        <v>9371</v>
      </c>
      <c r="H289" s="5" t="s">
        <v>8336</v>
      </c>
      <c r="I289" s="5"/>
      <c r="J289" s="5"/>
      <c r="K289" s="5" t="s">
        <v>9378</v>
      </c>
    </row>
    <row r="290" customFormat="false" ht="15" hidden="false" customHeight="false" outlineLevel="0" collapsed="false">
      <c r="A290" s="5" t="s">
        <v>9379</v>
      </c>
      <c r="B290" s="2" t="s">
        <v>9380</v>
      </c>
      <c r="C290" s="5" t="s">
        <v>2128</v>
      </c>
      <c r="D290" s="5" t="s">
        <v>62</v>
      </c>
      <c r="E290" s="5" t="n">
        <v>7</v>
      </c>
      <c r="F290" s="5" t="s">
        <v>536</v>
      </c>
      <c r="G290" s="2" t="s">
        <v>9381</v>
      </c>
      <c r="H290" s="5" t="s">
        <v>8336</v>
      </c>
      <c r="I290" s="5"/>
      <c r="J290" s="5"/>
      <c r="K290" s="5" t="s">
        <v>9382</v>
      </c>
    </row>
    <row r="291" customFormat="false" ht="15" hidden="false" customHeight="false" outlineLevel="0" collapsed="false">
      <c r="A291" s="5" t="s">
        <v>9383</v>
      </c>
      <c r="B291" s="2" t="s">
        <v>9384</v>
      </c>
      <c r="C291" s="5" t="s">
        <v>2128</v>
      </c>
      <c r="D291" s="5" t="s">
        <v>62</v>
      </c>
      <c r="E291" s="5" t="n">
        <v>7</v>
      </c>
      <c r="F291" s="5" t="s">
        <v>536</v>
      </c>
      <c r="G291" s="2" t="s">
        <v>9371</v>
      </c>
      <c r="H291" s="5" t="s">
        <v>8336</v>
      </c>
      <c r="I291" s="5"/>
      <c r="J291" s="5"/>
      <c r="K291" s="5" t="s">
        <v>9385</v>
      </c>
    </row>
    <row r="292" customFormat="false" ht="15" hidden="false" customHeight="false" outlineLevel="0" collapsed="false">
      <c r="A292" s="5" t="s">
        <v>9386</v>
      </c>
      <c r="B292" s="2" t="s">
        <v>9387</v>
      </c>
      <c r="C292" s="5" t="s">
        <v>2128</v>
      </c>
      <c r="D292" s="5" t="s">
        <v>62</v>
      </c>
      <c r="E292" s="5" t="n">
        <v>9</v>
      </c>
      <c r="F292" s="5" t="s">
        <v>8702</v>
      </c>
      <c r="G292" s="2" t="s">
        <v>8219</v>
      </c>
      <c r="H292" s="5" t="s">
        <v>8336</v>
      </c>
      <c r="I292" s="5"/>
      <c r="J292" s="5"/>
      <c r="K292" s="5" t="s">
        <v>9388</v>
      </c>
    </row>
    <row r="293" customFormat="false" ht="15" hidden="false" customHeight="false" outlineLevel="0" collapsed="false">
      <c r="A293" s="5" t="s">
        <v>9389</v>
      </c>
      <c r="B293" s="2" t="s">
        <v>9390</v>
      </c>
      <c r="C293" s="5" t="s">
        <v>2128</v>
      </c>
      <c r="D293" s="5" t="s">
        <v>62</v>
      </c>
      <c r="E293" s="5" t="n">
        <v>9</v>
      </c>
      <c r="F293" s="5" t="s">
        <v>8702</v>
      </c>
      <c r="G293" s="2" t="s">
        <v>8219</v>
      </c>
      <c r="H293" s="5" t="s">
        <v>8336</v>
      </c>
      <c r="I293" s="5"/>
      <c r="J293" s="5"/>
      <c r="K293" s="5" t="s">
        <v>9391</v>
      </c>
    </row>
    <row r="294" customFormat="false" ht="15" hidden="false" customHeight="false" outlineLevel="0" collapsed="false">
      <c r="A294" s="5" t="s">
        <v>9392</v>
      </c>
      <c r="B294" s="2" t="s">
        <v>9393</v>
      </c>
      <c r="C294" s="5" t="s">
        <v>2128</v>
      </c>
      <c r="D294" s="5" t="s">
        <v>62</v>
      </c>
      <c r="E294" s="5" t="n">
        <v>7</v>
      </c>
      <c r="F294" s="5" t="s">
        <v>8702</v>
      </c>
      <c r="G294" s="2" t="s">
        <v>9394</v>
      </c>
      <c r="H294" s="5" t="s">
        <v>8336</v>
      </c>
      <c r="I294" s="5"/>
      <c r="J294" s="5"/>
      <c r="K294" s="5" t="s">
        <v>9395</v>
      </c>
    </row>
    <row r="295" customFormat="false" ht="23.85" hidden="false" customHeight="false" outlineLevel="0" collapsed="false">
      <c r="A295" s="5" t="s">
        <v>2282</v>
      </c>
      <c r="B295" s="2" t="s">
        <v>2283</v>
      </c>
      <c r="C295" s="5" t="s">
        <v>2128</v>
      </c>
      <c r="D295" s="5" t="s">
        <v>62</v>
      </c>
      <c r="E295" s="5" t="n">
        <v>9</v>
      </c>
      <c r="F295" s="5" t="s">
        <v>100</v>
      </c>
      <c r="G295" s="2" t="s">
        <v>184</v>
      </c>
      <c r="H295" s="5" t="s">
        <v>8332</v>
      </c>
      <c r="I295" s="5" t="s">
        <v>60</v>
      </c>
      <c r="J295" s="5" t="s">
        <v>303</v>
      </c>
      <c r="K295" s="5" t="s">
        <v>2289</v>
      </c>
    </row>
    <row r="296" customFormat="false" ht="15" hidden="false" customHeight="false" outlineLevel="0" collapsed="false">
      <c r="A296" s="5" t="s">
        <v>9396</v>
      </c>
      <c r="B296" s="2" t="s">
        <v>9397</v>
      </c>
      <c r="C296" s="5" t="s">
        <v>2128</v>
      </c>
      <c r="D296" s="5" t="s">
        <v>62</v>
      </c>
      <c r="E296" s="5" t="n">
        <v>5</v>
      </c>
      <c r="F296" s="5" t="s">
        <v>9196</v>
      </c>
      <c r="G296" s="2" t="s">
        <v>2376</v>
      </c>
      <c r="H296" s="5" t="s">
        <v>8336</v>
      </c>
      <c r="I296" s="5"/>
      <c r="J296" s="5"/>
      <c r="K296" s="5" t="s">
        <v>9398</v>
      </c>
    </row>
    <row r="297" customFormat="false" ht="23.85" hidden="false" customHeight="false" outlineLevel="0" collapsed="false">
      <c r="A297" s="5" t="s">
        <v>9399</v>
      </c>
      <c r="B297" s="2" t="s">
        <v>9400</v>
      </c>
      <c r="C297" s="5" t="s">
        <v>2128</v>
      </c>
      <c r="D297" s="5" t="s">
        <v>62</v>
      </c>
      <c r="E297" s="5" t="n">
        <v>9</v>
      </c>
      <c r="F297" s="5" t="s">
        <v>536</v>
      </c>
      <c r="G297" s="2" t="s">
        <v>8682</v>
      </c>
      <c r="H297" s="5" t="s">
        <v>8336</v>
      </c>
      <c r="I297" s="5"/>
      <c r="J297" s="5"/>
      <c r="K297" s="5" t="s">
        <v>9401</v>
      </c>
    </row>
    <row r="298" customFormat="false" ht="57.45" hidden="false" customHeight="false" outlineLevel="0" collapsed="false">
      <c r="A298" s="5" t="s">
        <v>9402</v>
      </c>
      <c r="B298" s="2" t="s">
        <v>9403</v>
      </c>
      <c r="C298" s="5" t="s">
        <v>2128</v>
      </c>
      <c r="D298" s="5" t="s">
        <v>62</v>
      </c>
      <c r="E298" s="5" t="n">
        <v>9</v>
      </c>
      <c r="F298" s="5" t="s">
        <v>8902</v>
      </c>
      <c r="G298" s="2" t="s">
        <v>9404</v>
      </c>
      <c r="H298" s="5" t="s">
        <v>8336</v>
      </c>
      <c r="I298" s="5"/>
      <c r="J298" s="5"/>
      <c r="K298" s="5" t="s">
        <v>9405</v>
      </c>
    </row>
    <row r="299" customFormat="false" ht="57.45" hidden="false" customHeight="false" outlineLevel="0" collapsed="false">
      <c r="A299" s="5" t="s">
        <v>9406</v>
      </c>
      <c r="B299" s="2" t="s">
        <v>9407</v>
      </c>
      <c r="C299" s="5" t="s">
        <v>2128</v>
      </c>
      <c r="D299" s="5" t="s">
        <v>62</v>
      </c>
      <c r="E299" s="5" t="n">
        <v>9</v>
      </c>
      <c r="F299" s="5" t="s">
        <v>8902</v>
      </c>
      <c r="G299" s="2" t="s">
        <v>9404</v>
      </c>
      <c r="H299" s="5" t="s">
        <v>8336</v>
      </c>
      <c r="I299" s="5"/>
      <c r="J299" s="5"/>
      <c r="K299" s="5" t="s">
        <v>9408</v>
      </c>
    </row>
    <row r="300" customFormat="false" ht="23.85" hidden="false" customHeight="false" outlineLevel="0" collapsed="false">
      <c r="A300" s="5" t="s">
        <v>9409</v>
      </c>
      <c r="B300" s="2" t="s">
        <v>9410</v>
      </c>
      <c r="C300" s="5" t="s">
        <v>2128</v>
      </c>
      <c r="D300" s="5" t="s">
        <v>62</v>
      </c>
      <c r="E300" s="5" t="n">
        <v>9</v>
      </c>
      <c r="F300" s="5" t="s">
        <v>536</v>
      </c>
      <c r="G300" s="2" t="s">
        <v>8682</v>
      </c>
      <c r="H300" s="5" t="s">
        <v>8336</v>
      </c>
      <c r="I300" s="5"/>
      <c r="J300" s="5"/>
      <c r="K300" s="5" t="s">
        <v>9411</v>
      </c>
    </row>
    <row r="301" customFormat="false" ht="23.85" hidden="false" customHeight="false" outlineLevel="0" collapsed="false">
      <c r="A301" s="5" t="s">
        <v>9412</v>
      </c>
      <c r="B301" s="2" t="s">
        <v>9413</v>
      </c>
      <c r="C301" s="5" t="s">
        <v>2128</v>
      </c>
      <c r="D301" s="5" t="s">
        <v>62</v>
      </c>
      <c r="E301" s="5" t="n">
        <v>9</v>
      </c>
      <c r="F301" s="5" t="s">
        <v>536</v>
      </c>
      <c r="G301" s="2" t="s">
        <v>8682</v>
      </c>
      <c r="H301" s="5" t="s">
        <v>8336</v>
      </c>
      <c r="I301" s="5"/>
      <c r="J301" s="5"/>
      <c r="K301" s="5" t="s">
        <v>9414</v>
      </c>
    </row>
    <row r="302" customFormat="false" ht="23.85" hidden="false" customHeight="false" outlineLevel="0" collapsed="false">
      <c r="A302" s="5" t="s">
        <v>9415</v>
      </c>
      <c r="B302" s="2" t="s">
        <v>9416</v>
      </c>
      <c r="C302" s="5" t="s">
        <v>2128</v>
      </c>
      <c r="D302" s="5" t="s">
        <v>62</v>
      </c>
      <c r="E302" s="5" t="n">
        <v>9</v>
      </c>
      <c r="F302" s="5" t="s">
        <v>536</v>
      </c>
      <c r="G302" s="2" t="s">
        <v>8682</v>
      </c>
      <c r="H302" s="5" t="s">
        <v>8336</v>
      </c>
      <c r="I302" s="5"/>
      <c r="J302" s="5"/>
      <c r="K302" s="5" t="s">
        <v>9417</v>
      </c>
    </row>
    <row r="303" customFormat="false" ht="23.85" hidden="false" customHeight="false" outlineLevel="0" collapsed="false">
      <c r="A303" s="5" t="s">
        <v>9418</v>
      </c>
      <c r="B303" s="2" t="s">
        <v>9419</v>
      </c>
      <c r="C303" s="5" t="s">
        <v>2128</v>
      </c>
      <c r="D303" s="5" t="s">
        <v>490</v>
      </c>
      <c r="E303" s="5" t="n">
        <v>7</v>
      </c>
      <c r="F303" s="5" t="s">
        <v>1814</v>
      </c>
      <c r="G303" s="2" t="s">
        <v>8898</v>
      </c>
      <c r="H303" s="5" t="s">
        <v>8336</v>
      </c>
      <c r="I303" s="5"/>
      <c r="J303" s="5"/>
      <c r="K303" s="5" t="s">
        <v>9420</v>
      </c>
    </row>
    <row r="304" customFormat="false" ht="15" hidden="false" customHeight="false" outlineLevel="0" collapsed="false">
      <c r="A304" s="5" t="s">
        <v>9421</v>
      </c>
      <c r="B304" s="2" t="s">
        <v>9422</v>
      </c>
      <c r="C304" s="5" t="s">
        <v>2128</v>
      </c>
      <c r="D304" s="5" t="s">
        <v>62</v>
      </c>
      <c r="E304" s="5" t="n">
        <v>9</v>
      </c>
      <c r="F304" s="5" t="s">
        <v>536</v>
      </c>
      <c r="G304" s="2" t="s">
        <v>8218</v>
      </c>
      <c r="H304" s="5" t="s">
        <v>8336</v>
      </c>
      <c r="I304" s="5"/>
      <c r="J304" s="5"/>
      <c r="K304" s="5" t="s">
        <v>9423</v>
      </c>
    </row>
    <row r="305" customFormat="false" ht="15" hidden="false" customHeight="false" outlineLevel="0" collapsed="false">
      <c r="A305" s="5" t="s">
        <v>9424</v>
      </c>
      <c r="B305" s="2" t="s">
        <v>9425</v>
      </c>
      <c r="C305" s="5" t="s">
        <v>2128</v>
      </c>
      <c r="D305" s="5" t="s">
        <v>490</v>
      </c>
      <c r="E305" s="5" t="n">
        <v>9</v>
      </c>
      <c r="F305" s="5" t="s">
        <v>9196</v>
      </c>
      <c r="G305" s="2" t="s">
        <v>2376</v>
      </c>
      <c r="H305" s="5" t="s">
        <v>8336</v>
      </c>
      <c r="I305" s="5"/>
      <c r="J305" s="5"/>
      <c r="K305" s="5" t="s">
        <v>9426</v>
      </c>
    </row>
    <row r="306" customFormat="false" ht="15" hidden="false" customHeight="false" outlineLevel="0" collapsed="false">
      <c r="A306" s="5" t="s">
        <v>9427</v>
      </c>
      <c r="B306" s="2" t="s">
        <v>9428</v>
      </c>
      <c r="C306" s="5" t="s">
        <v>2128</v>
      </c>
      <c r="D306" s="5" t="s">
        <v>490</v>
      </c>
      <c r="E306" s="5" t="n">
        <v>9</v>
      </c>
      <c r="F306" s="5" t="s">
        <v>9196</v>
      </c>
      <c r="G306" s="2" t="s">
        <v>2376</v>
      </c>
      <c r="H306" s="5" t="s">
        <v>8336</v>
      </c>
      <c r="I306" s="5"/>
      <c r="J306" s="5"/>
      <c r="K306" s="5" t="s">
        <v>9429</v>
      </c>
    </row>
    <row r="307" customFormat="false" ht="23.85" hidden="false" customHeight="false" outlineLevel="0" collapsed="false">
      <c r="A307" s="5" t="s">
        <v>9430</v>
      </c>
      <c r="B307" s="2" t="s">
        <v>9431</v>
      </c>
      <c r="C307" s="5" t="s">
        <v>2128</v>
      </c>
      <c r="D307" s="5" t="s">
        <v>62</v>
      </c>
      <c r="E307" s="5" t="n">
        <v>7</v>
      </c>
      <c r="F307" s="5" t="s">
        <v>1814</v>
      </c>
      <c r="G307" s="2" t="s">
        <v>8898</v>
      </c>
      <c r="H307" s="5" t="s">
        <v>8336</v>
      </c>
      <c r="I307" s="5"/>
      <c r="J307" s="5"/>
      <c r="K307" s="5" t="s">
        <v>9432</v>
      </c>
    </row>
    <row r="308" customFormat="false" ht="15" hidden="false" customHeight="false" outlineLevel="0" collapsed="false">
      <c r="A308" s="5" t="s">
        <v>9433</v>
      </c>
      <c r="B308" s="2" t="s">
        <v>9434</v>
      </c>
      <c r="C308" s="5" t="s">
        <v>2128</v>
      </c>
      <c r="D308" s="5" t="s">
        <v>62</v>
      </c>
      <c r="E308" s="5" t="n">
        <v>5</v>
      </c>
      <c r="F308" s="5" t="s">
        <v>277</v>
      </c>
      <c r="G308" s="2" t="s">
        <v>152</v>
      </c>
      <c r="H308" s="5" t="s">
        <v>8336</v>
      </c>
      <c r="I308" s="5"/>
      <c r="J308" s="5"/>
      <c r="K308" s="5" t="s">
        <v>9435</v>
      </c>
    </row>
    <row r="309" customFormat="false" ht="15" hidden="false" customHeight="false" outlineLevel="0" collapsed="false">
      <c r="A309" s="5" t="s">
        <v>9436</v>
      </c>
      <c r="B309" s="2" t="s">
        <v>9437</v>
      </c>
      <c r="C309" s="5" t="s">
        <v>2128</v>
      </c>
      <c r="D309" s="5" t="s">
        <v>62</v>
      </c>
      <c r="E309" s="5" t="n">
        <v>9</v>
      </c>
      <c r="F309" s="5" t="s">
        <v>536</v>
      </c>
      <c r="G309" s="2" t="s">
        <v>9438</v>
      </c>
      <c r="H309" s="5" t="s">
        <v>8336</v>
      </c>
      <c r="I309" s="5"/>
      <c r="J309" s="5"/>
      <c r="K309" s="5" t="s">
        <v>9439</v>
      </c>
    </row>
    <row r="310" customFormat="false" ht="15" hidden="false" customHeight="false" outlineLevel="0" collapsed="false">
      <c r="A310" s="5" t="s">
        <v>9440</v>
      </c>
      <c r="B310" s="2" t="s">
        <v>9441</v>
      </c>
      <c r="C310" s="5" t="s">
        <v>2128</v>
      </c>
      <c r="D310" s="5" t="s">
        <v>62</v>
      </c>
      <c r="E310" s="5" t="n">
        <v>5</v>
      </c>
      <c r="F310" s="5" t="s">
        <v>536</v>
      </c>
      <c r="G310" s="2" t="s">
        <v>9438</v>
      </c>
      <c r="H310" s="5" t="s">
        <v>8336</v>
      </c>
      <c r="I310" s="5"/>
      <c r="J310" s="5"/>
      <c r="K310" s="5" t="s">
        <v>9442</v>
      </c>
    </row>
    <row r="311" customFormat="false" ht="15" hidden="false" customHeight="false" outlineLevel="0" collapsed="false">
      <c r="A311" s="5" t="s">
        <v>9443</v>
      </c>
      <c r="B311" s="2" t="s">
        <v>9444</v>
      </c>
      <c r="C311" s="5" t="s">
        <v>2128</v>
      </c>
      <c r="D311" s="5" t="s">
        <v>62</v>
      </c>
      <c r="E311" s="5" t="n">
        <v>7</v>
      </c>
      <c r="F311" s="5" t="s">
        <v>9239</v>
      </c>
      <c r="G311" s="2" t="s">
        <v>2376</v>
      </c>
      <c r="H311" s="5" t="s">
        <v>8336</v>
      </c>
      <c r="I311" s="5"/>
      <c r="J311" s="5"/>
      <c r="K311" s="5" t="s">
        <v>9445</v>
      </c>
    </row>
    <row r="312" customFormat="false" ht="15" hidden="false" customHeight="false" outlineLevel="0" collapsed="false">
      <c r="A312" s="5" t="s">
        <v>9446</v>
      </c>
      <c r="B312" s="2" t="s">
        <v>9447</v>
      </c>
      <c r="C312" s="5" t="s">
        <v>2128</v>
      </c>
      <c r="D312" s="5" t="s">
        <v>62</v>
      </c>
      <c r="E312" s="5" t="n">
        <v>9</v>
      </c>
      <c r="F312" s="5" t="s">
        <v>9239</v>
      </c>
      <c r="G312" s="2" t="s">
        <v>2376</v>
      </c>
      <c r="H312" s="5" t="s">
        <v>8336</v>
      </c>
      <c r="I312" s="5"/>
      <c r="J312" s="5"/>
      <c r="K312" s="5" t="s">
        <v>9448</v>
      </c>
    </row>
    <row r="313" customFormat="false" ht="15" hidden="false" customHeight="false" outlineLevel="0" collapsed="false">
      <c r="A313" s="5" t="s">
        <v>9449</v>
      </c>
      <c r="B313" s="2" t="s">
        <v>9450</v>
      </c>
      <c r="C313" s="5" t="s">
        <v>2128</v>
      </c>
      <c r="D313" s="5" t="s">
        <v>62</v>
      </c>
      <c r="E313" s="5" t="n">
        <v>9</v>
      </c>
      <c r="F313" s="5" t="s">
        <v>536</v>
      </c>
      <c r="G313" s="2" t="s">
        <v>9360</v>
      </c>
      <c r="H313" s="5" t="s">
        <v>8336</v>
      </c>
      <c r="I313" s="5"/>
      <c r="J313" s="5"/>
      <c r="K313" s="5" t="s">
        <v>9451</v>
      </c>
    </row>
    <row r="314" customFormat="false" ht="15" hidden="false" customHeight="false" outlineLevel="0" collapsed="false">
      <c r="A314" s="5" t="s">
        <v>9452</v>
      </c>
      <c r="B314" s="2" t="s">
        <v>9453</v>
      </c>
      <c r="C314" s="5" t="s">
        <v>2128</v>
      </c>
      <c r="D314" s="5" t="s">
        <v>62</v>
      </c>
      <c r="E314" s="5" t="n">
        <v>5</v>
      </c>
      <c r="F314" s="5" t="s">
        <v>536</v>
      </c>
      <c r="G314" s="2" t="s">
        <v>9360</v>
      </c>
      <c r="H314" s="5" t="s">
        <v>8336</v>
      </c>
      <c r="I314" s="5"/>
      <c r="J314" s="5"/>
      <c r="K314" s="5" t="s">
        <v>9454</v>
      </c>
    </row>
    <row r="315" customFormat="false" ht="15" hidden="false" customHeight="false" outlineLevel="0" collapsed="false">
      <c r="A315" s="5" t="s">
        <v>9455</v>
      </c>
      <c r="B315" s="2" t="s">
        <v>9456</v>
      </c>
      <c r="C315" s="5" t="s">
        <v>2128</v>
      </c>
      <c r="D315" s="5" t="s">
        <v>62</v>
      </c>
      <c r="E315" s="5" t="n">
        <v>9</v>
      </c>
      <c r="F315" s="5" t="s">
        <v>536</v>
      </c>
      <c r="G315" s="2" t="s">
        <v>9360</v>
      </c>
      <c r="H315" s="5" t="s">
        <v>8336</v>
      </c>
      <c r="I315" s="5"/>
      <c r="J315" s="5"/>
      <c r="K315" s="5" t="s">
        <v>9457</v>
      </c>
    </row>
    <row r="316" customFormat="false" ht="15" hidden="false" customHeight="false" outlineLevel="0" collapsed="false">
      <c r="A316" s="5" t="s">
        <v>9458</v>
      </c>
      <c r="B316" s="2" t="s">
        <v>9459</v>
      </c>
      <c r="C316" s="5" t="s">
        <v>2128</v>
      </c>
      <c r="D316" s="5" t="s">
        <v>62</v>
      </c>
      <c r="E316" s="5" t="n">
        <v>5</v>
      </c>
      <c r="F316" s="5" t="s">
        <v>536</v>
      </c>
      <c r="G316" s="2" t="s">
        <v>9360</v>
      </c>
      <c r="H316" s="5" t="s">
        <v>8336</v>
      </c>
      <c r="I316" s="5"/>
      <c r="J316" s="5"/>
      <c r="K316" s="5" t="s">
        <v>9460</v>
      </c>
    </row>
    <row r="317" customFormat="false" ht="15" hidden="false" customHeight="false" outlineLevel="0" collapsed="false">
      <c r="A317" s="5" t="s">
        <v>9461</v>
      </c>
      <c r="B317" s="2" t="s">
        <v>9462</v>
      </c>
      <c r="C317" s="5" t="s">
        <v>2128</v>
      </c>
      <c r="D317" s="5" t="s">
        <v>62</v>
      </c>
      <c r="E317" s="5" t="n">
        <v>9</v>
      </c>
      <c r="F317" s="5" t="s">
        <v>536</v>
      </c>
      <c r="G317" s="2" t="s">
        <v>9360</v>
      </c>
      <c r="H317" s="5" t="s">
        <v>8336</v>
      </c>
      <c r="I317" s="5"/>
      <c r="J317" s="5"/>
      <c r="K317" s="5" t="s">
        <v>9463</v>
      </c>
    </row>
    <row r="318" customFormat="false" ht="15" hidden="false" customHeight="false" outlineLevel="0" collapsed="false">
      <c r="A318" s="5" t="s">
        <v>9464</v>
      </c>
      <c r="B318" s="2" t="s">
        <v>9465</v>
      </c>
      <c r="C318" s="5" t="s">
        <v>2128</v>
      </c>
      <c r="D318" s="5" t="s">
        <v>62</v>
      </c>
      <c r="E318" s="5" t="n">
        <v>5</v>
      </c>
      <c r="F318" s="5" t="s">
        <v>536</v>
      </c>
      <c r="G318" s="2" t="s">
        <v>9360</v>
      </c>
      <c r="H318" s="5" t="s">
        <v>8336</v>
      </c>
      <c r="I318" s="5"/>
      <c r="J318" s="5"/>
      <c r="K318" s="5" t="s">
        <v>9466</v>
      </c>
    </row>
    <row r="319" customFormat="false" ht="15" hidden="false" customHeight="false" outlineLevel="0" collapsed="false">
      <c r="A319" s="5" t="s">
        <v>9467</v>
      </c>
      <c r="B319" s="2" t="s">
        <v>9468</v>
      </c>
      <c r="C319" s="5" t="s">
        <v>2128</v>
      </c>
      <c r="D319" s="5" t="s">
        <v>62</v>
      </c>
      <c r="E319" s="5" t="n">
        <v>9</v>
      </c>
      <c r="F319" s="5" t="s">
        <v>536</v>
      </c>
      <c r="G319" s="2" t="s">
        <v>9360</v>
      </c>
      <c r="H319" s="5" t="s">
        <v>8336</v>
      </c>
      <c r="I319" s="5"/>
      <c r="J319" s="5"/>
      <c r="K319" s="5" t="s">
        <v>9469</v>
      </c>
    </row>
    <row r="320" customFormat="false" ht="15" hidden="false" customHeight="false" outlineLevel="0" collapsed="false">
      <c r="A320" s="5" t="s">
        <v>9470</v>
      </c>
      <c r="B320" s="2" t="s">
        <v>9471</v>
      </c>
      <c r="C320" s="5" t="s">
        <v>2128</v>
      </c>
      <c r="D320" s="5" t="s">
        <v>62</v>
      </c>
      <c r="E320" s="5" t="n">
        <v>5</v>
      </c>
      <c r="F320" s="5" t="s">
        <v>536</v>
      </c>
      <c r="G320" s="2" t="s">
        <v>9360</v>
      </c>
      <c r="H320" s="5" t="s">
        <v>8336</v>
      </c>
      <c r="I320" s="5"/>
      <c r="J320" s="5"/>
      <c r="K320" s="5" t="s">
        <v>9472</v>
      </c>
    </row>
    <row r="321" customFormat="false" ht="15" hidden="false" customHeight="false" outlineLevel="0" collapsed="false">
      <c r="A321" s="5" t="s">
        <v>9473</v>
      </c>
      <c r="B321" s="2" t="s">
        <v>9474</v>
      </c>
      <c r="C321" s="5" t="s">
        <v>2128</v>
      </c>
      <c r="D321" s="5" t="s">
        <v>490</v>
      </c>
      <c r="E321" s="5" t="n">
        <v>9</v>
      </c>
      <c r="F321" s="5" t="s">
        <v>536</v>
      </c>
      <c r="G321" s="2" t="s">
        <v>9475</v>
      </c>
      <c r="H321" s="5" t="s">
        <v>8336</v>
      </c>
      <c r="I321" s="5"/>
      <c r="J321" s="5"/>
      <c r="K321" s="5" t="s">
        <v>9476</v>
      </c>
    </row>
    <row r="322" customFormat="false" ht="15" hidden="false" customHeight="false" outlineLevel="0" collapsed="false">
      <c r="A322" s="5" t="s">
        <v>9477</v>
      </c>
      <c r="B322" s="2" t="s">
        <v>9478</v>
      </c>
      <c r="C322" s="5" t="s">
        <v>2128</v>
      </c>
      <c r="D322" s="5" t="s">
        <v>490</v>
      </c>
      <c r="E322" s="5" t="n">
        <v>7</v>
      </c>
      <c r="F322" s="5" t="s">
        <v>536</v>
      </c>
      <c r="G322" s="2" t="s">
        <v>9475</v>
      </c>
      <c r="H322" s="5" t="s">
        <v>8336</v>
      </c>
      <c r="I322" s="5"/>
      <c r="J322" s="5"/>
      <c r="K322" s="5" t="s">
        <v>9479</v>
      </c>
    </row>
    <row r="323" customFormat="false" ht="15" hidden="false" customHeight="false" outlineLevel="0" collapsed="false">
      <c r="A323" s="5" t="s">
        <v>9480</v>
      </c>
      <c r="B323" s="2" t="s">
        <v>9481</v>
      </c>
      <c r="C323" s="5" t="s">
        <v>2128</v>
      </c>
      <c r="D323" s="5" t="s">
        <v>62</v>
      </c>
      <c r="E323" s="5" t="n">
        <v>9</v>
      </c>
      <c r="F323" s="5" t="s">
        <v>9196</v>
      </c>
      <c r="G323" s="2" t="s">
        <v>2376</v>
      </c>
      <c r="H323" s="5" t="s">
        <v>8336</v>
      </c>
      <c r="I323" s="5"/>
      <c r="J323" s="5"/>
      <c r="K323" s="5" t="s">
        <v>9482</v>
      </c>
    </row>
    <row r="324" customFormat="false" ht="15" hidden="false" customHeight="false" outlineLevel="0" collapsed="false">
      <c r="A324" s="5" t="s">
        <v>9483</v>
      </c>
      <c r="B324" s="2" t="s">
        <v>9484</v>
      </c>
      <c r="C324" s="5" t="s">
        <v>2128</v>
      </c>
      <c r="D324" s="5" t="s">
        <v>62</v>
      </c>
      <c r="E324" s="5" t="n">
        <v>9</v>
      </c>
      <c r="F324" s="5" t="s">
        <v>9196</v>
      </c>
      <c r="G324" s="2" t="s">
        <v>2376</v>
      </c>
      <c r="H324" s="5" t="s">
        <v>8336</v>
      </c>
      <c r="I324" s="5"/>
      <c r="J324" s="5"/>
      <c r="K324" s="5" t="s">
        <v>9485</v>
      </c>
    </row>
    <row r="325" customFormat="false" ht="23.85" hidden="false" customHeight="false" outlineLevel="0" collapsed="false">
      <c r="A325" s="5" t="s">
        <v>9486</v>
      </c>
      <c r="B325" s="2" t="s">
        <v>9487</v>
      </c>
      <c r="C325" s="5" t="s">
        <v>2128</v>
      </c>
      <c r="D325" s="5" t="s">
        <v>62</v>
      </c>
      <c r="E325" s="5" t="n">
        <v>8</v>
      </c>
      <c r="F325" s="5" t="s">
        <v>9196</v>
      </c>
      <c r="G325" s="2" t="s">
        <v>2376</v>
      </c>
      <c r="H325" s="5" t="s">
        <v>8336</v>
      </c>
      <c r="I325" s="5"/>
      <c r="J325" s="5"/>
      <c r="K325" s="5" t="s">
        <v>9488</v>
      </c>
    </row>
    <row r="326" customFormat="false" ht="23.85" hidden="false" customHeight="false" outlineLevel="0" collapsed="false">
      <c r="A326" s="5" t="s">
        <v>9489</v>
      </c>
      <c r="B326" s="2" t="s">
        <v>9490</v>
      </c>
      <c r="C326" s="5" t="s">
        <v>2128</v>
      </c>
      <c r="D326" s="5" t="s">
        <v>62</v>
      </c>
      <c r="E326" s="5" t="n">
        <v>7</v>
      </c>
      <c r="F326" s="5" t="s">
        <v>536</v>
      </c>
      <c r="G326" s="2" t="s">
        <v>8898</v>
      </c>
      <c r="H326" s="5" t="s">
        <v>8336</v>
      </c>
      <c r="I326" s="5"/>
      <c r="J326" s="5"/>
      <c r="K326" s="5" t="s">
        <v>9491</v>
      </c>
    </row>
    <row r="327" customFormat="false" ht="23.85" hidden="false" customHeight="false" outlineLevel="0" collapsed="false">
      <c r="A327" s="5" t="s">
        <v>9492</v>
      </c>
      <c r="B327" s="2" t="s">
        <v>9493</v>
      </c>
      <c r="C327" s="5" t="s">
        <v>2128</v>
      </c>
      <c r="D327" s="5" t="s">
        <v>62</v>
      </c>
      <c r="E327" s="5" t="n">
        <v>8</v>
      </c>
      <c r="F327" s="5" t="s">
        <v>536</v>
      </c>
      <c r="G327" s="2" t="s">
        <v>8898</v>
      </c>
      <c r="H327" s="5" t="s">
        <v>8336</v>
      </c>
      <c r="I327" s="5"/>
      <c r="J327" s="5"/>
      <c r="K327" s="5" t="s">
        <v>9494</v>
      </c>
    </row>
    <row r="328" customFormat="false" ht="23.85" hidden="false" customHeight="false" outlineLevel="0" collapsed="false">
      <c r="A328" s="5" t="s">
        <v>9495</v>
      </c>
      <c r="B328" s="2" t="s">
        <v>9496</v>
      </c>
      <c r="C328" s="5" t="s">
        <v>2128</v>
      </c>
      <c r="D328" s="5" t="s">
        <v>62</v>
      </c>
      <c r="E328" s="5" t="n">
        <v>7</v>
      </c>
      <c r="F328" s="5" t="s">
        <v>536</v>
      </c>
      <c r="G328" s="2" t="s">
        <v>8898</v>
      </c>
      <c r="H328" s="5" t="s">
        <v>8336</v>
      </c>
      <c r="I328" s="5"/>
      <c r="J328" s="5"/>
      <c r="K328" s="5" t="s">
        <v>9497</v>
      </c>
    </row>
    <row r="329" customFormat="false" ht="23.85" hidden="false" customHeight="false" outlineLevel="0" collapsed="false">
      <c r="A329" s="5" t="s">
        <v>9498</v>
      </c>
      <c r="B329" s="2" t="s">
        <v>9499</v>
      </c>
      <c r="C329" s="5" t="s">
        <v>2128</v>
      </c>
      <c r="D329" s="5" t="s">
        <v>62</v>
      </c>
      <c r="E329" s="5" t="n">
        <v>8</v>
      </c>
      <c r="F329" s="5" t="s">
        <v>536</v>
      </c>
      <c r="G329" s="2" t="s">
        <v>8898</v>
      </c>
      <c r="H329" s="5" t="s">
        <v>8336</v>
      </c>
      <c r="I329" s="5"/>
      <c r="J329" s="5"/>
      <c r="K329" s="5" t="s">
        <v>9500</v>
      </c>
    </row>
    <row r="330" customFormat="false" ht="23.85" hidden="false" customHeight="false" outlineLevel="0" collapsed="false">
      <c r="A330" s="5" t="s">
        <v>9501</v>
      </c>
      <c r="B330" s="2" t="s">
        <v>9502</v>
      </c>
      <c r="C330" s="5" t="s">
        <v>2128</v>
      </c>
      <c r="D330" s="5" t="s">
        <v>62</v>
      </c>
      <c r="E330" s="5" t="n">
        <v>6</v>
      </c>
      <c r="F330" s="5" t="s">
        <v>1814</v>
      </c>
      <c r="G330" s="2" t="s">
        <v>8898</v>
      </c>
      <c r="H330" s="5" t="s">
        <v>8336</v>
      </c>
      <c r="I330" s="5"/>
      <c r="J330" s="5"/>
      <c r="K330" s="5" t="s">
        <v>9503</v>
      </c>
    </row>
    <row r="331" customFormat="false" ht="23.85" hidden="false" customHeight="false" outlineLevel="0" collapsed="false">
      <c r="A331" s="5" t="s">
        <v>2290</v>
      </c>
      <c r="B331" s="2" t="s">
        <v>2291</v>
      </c>
      <c r="C331" s="5" t="s">
        <v>2128</v>
      </c>
      <c r="D331" s="5" t="s">
        <v>62</v>
      </c>
      <c r="E331" s="5" t="n">
        <v>9</v>
      </c>
      <c r="F331" s="5" t="s">
        <v>2293</v>
      </c>
      <c r="G331" s="2" t="s">
        <v>1513</v>
      </c>
      <c r="H331" s="5" t="s">
        <v>8332</v>
      </c>
      <c r="I331" s="5" t="s">
        <v>60</v>
      </c>
      <c r="J331" s="5" t="s">
        <v>751</v>
      </c>
      <c r="K331" s="5" t="s">
        <v>2300</v>
      </c>
    </row>
    <row r="332" customFormat="false" ht="23.85" hidden="false" customHeight="false" outlineLevel="0" collapsed="false">
      <c r="A332" s="5" t="s">
        <v>9504</v>
      </c>
      <c r="B332" s="2" t="s">
        <v>9505</v>
      </c>
      <c r="C332" s="5" t="s">
        <v>2128</v>
      </c>
      <c r="D332" s="5" t="s">
        <v>62</v>
      </c>
      <c r="E332" s="5" t="n">
        <v>7</v>
      </c>
      <c r="F332" s="5" t="s">
        <v>1814</v>
      </c>
      <c r="G332" s="2" t="s">
        <v>8898</v>
      </c>
      <c r="H332" s="5" t="s">
        <v>8336</v>
      </c>
      <c r="I332" s="5"/>
      <c r="J332" s="5"/>
      <c r="K332" s="5" t="s">
        <v>9506</v>
      </c>
    </row>
    <row r="333" customFormat="false" ht="23.85" hidden="false" customHeight="false" outlineLevel="0" collapsed="false">
      <c r="A333" s="5" t="s">
        <v>9507</v>
      </c>
      <c r="B333" s="2" t="s">
        <v>9508</v>
      </c>
      <c r="C333" s="5" t="s">
        <v>2128</v>
      </c>
      <c r="D333" s="5" t="s">
        <v>62</v>
      </c>
      <c r="E333" s="5" t="n">
        <v>8</v>
      </c>
      <c r="F333" s="5" t="s">
        <v>1210</v>
      </c>
      <c r="G333" s="2" t="s">
        <v>8898</v>
      </c>
      <c r="H333" s="5" t="s">
        <v>8336</v>
      </c>
      <c r="I333" s="5"/>
      <c r="J333" s="5"/>
      <c r="K333" s="5" t="s">
        <v>9509</v>
      </c>
    </row>
    <row r="334" customFormat="false" ht="23.85" hidden="false" customHeight="false" outlineLevel="0" collapsed="false">
      <c r="A334" s="5" t="s">
        <v>9510</v>
      </c>
      <c r="B334" s="2" t="s">
        <v>9511</v>
      </c>
      <c r="C334" s="5" t="s">
        <v>2128</v>
      </c>
      <c r="D334" s="5" t="s">
        <v>62</v>
      </c>
      <c r="E334" s="5" t="n">
        <v>8</v>
      </c>
      <c r="F334" s="5" t="s">
        <v>8902</v>
      </c>
      <c r="G334" s="2" t="s">
        <v>8898</v>
      </c>
      <c r="H334" s="5" t="s">
        <v>8336</v>
      </c>
      <c r="I334" s="5"/>
      <c r="J334" s="5"/>
      <c r="K334" s="5" t="s">
        <v>9512</v>
      </c>
    </row>
    <row r="335" customFormat="false" ht="23.85" hidden="false" customHeight="false" outlineLevel="0" collapsed="false">
      <c r="A335" s="5" t="s">
        <v>2301</v>
      </c>
      <c r="B335" s="2" t="s">
        <v>2302</v>
      </c>
      <c r="C335" s="5" t="s">
        <v>2128</v>
      </c>
      <c r="D335" s="5" t="s">
        <v>62</v>
      </c>
      <c r="E335" s="5" t="n">
        <v>8</v>
      </c>
      <c r="F335" s="5" t="s">
        <v>536</v>
      </c>
      <c r="G335" s="2" t="s">
        <v>184</v>
      </c>
      <c r="H335" s="5" t="s">
        <v>8332</v>
      </c>
      <c r="I335" s="5" t="s">
        <v>60</v>
      </c>
      <c r="J335" s="5" t="s">
        <v>269</v>
      </c>
      <c r="K335" s="5" t="s">
        <v>2310</v>
      </c>
    </row>
    <row r="336" customFormat="false" ht="15" hidden="false" customHeight="false" outlineLevel="0" collapsed="false">
      <c r="A336" s="5" t="s">
        <v>9513</v>
      </c>
      <c r="B336" s="2" t="s">
        <v>9514</v>
      </c>
      <c r="C336" s="5" t="s">
        <v>2128</v>
      </c>
      <c r="D336" s="5" t="s">
        <v>62</v>
      </c>
      <c r="E336" s="5" t="n">
        <v>7</v>
      </c>
      <c r="F336" s="5" t="s">
        <v>536</v>
      </c>
      <c r="G336" s="2" t="s">
        <v>255</v>
      </c>
      <c r="H336" s="5" t="s">
        <v>8336</v>
      </c>
      <c r="I336" s="5"/>
      <c r="J336" s="5"/>
      <c r="K336" s="5" t="s">
        <v>9515</v>
      </c>
    </row>
    <row r="337" customFormat="false" ht="23.85" hidden="false" customHeight="false" outlineLevel="0" collapsed="false">
      <c r="A337" s="5" t="s">
        <v>9516</v>
      </c>
      <c r="B337" s="2" t="s">
        <v>9517</v>
      </c>
      <c r="C337" s="5" t="s">
        <v>2128</v>
      </c>
      <c r="D337" s="5" t="s">
        <v>62</v>
      </c>
      <c r="E337" s="5" t="n">
        <v>7</v>
      </c>
      <c r="F337" s="5" t="s">
        <v>536</v>
      </c>
      <c r="G337" s="2" t="s">
        <v>9518</v>
      </c>
      <c r="H337" s="5" t="s">
        <v>8336</v>
      </c>
      <c r="I337" s="5"/>
      <c r="J337" s="5"/>
      <c r="K337" s="5" t="s">
        <v>9519</v>
      </c>
    </row>
    <row r="338" customFormat="false" ht="23.85" hidden="false" customHeight="false" outlineLevel="0" collapsed="false">
      <c r="A338" s="5" t="s">
        <v>9520</v>
      </c>
      <c r="B338" s="2" t="s">
        <v>9521</v>
      </c>
      <c r="C338" s="5" t="s">
        <v>2128</v>
      </c>
      <c r="D338" s="5" t="s">
        <v>62</v>
      </c>
      <c r="E338" s="5" t="n">
        <v>6</v>
      </c>
      <c r="F338" s="5" t="s">
        <v>9239</v>
      </c>
      <c r="G338" s="2" t="s">
        <v>8898</v>
      </c>
      <c r="H338" s="5" t="s">
        <v>8336</v>
      </c>
      <c r="I338" s="5"/>
      <c r="J338" s="5"/>
      <c r="K338" s="5" t="s">
        <v>9522</v>
      </c>
    </row>
    <row r="339" customFormat="false" ht="15" hidden="false" customHeight="false" outlineLevel="0" collapsed="false">
      <c r="A339" s="5" t="s">
        <v>9523</v>
      </c>
      <c r="B339" s="2" t="s">
        <v>9524</v>
      </c>
      <c r="C339" s="5" t="s">
        <v>2128</v>
      </c>
      <c r="D339" s="5" t="s">
        <v>62</v>
      </c>
      <c r="E339" s="5" t="n">
        <v>8</v>
      </c>
      <c r="F339" s="5" t="s">
        <v>536</v>
      </c>
      <c r="G339" s="2" t="s">
        <v>9525</v>
      </c>
      <c r="H339" s="5" t="s">
        <v>8336</v>
      </c>
      <c r="I339" s="5"/>
      <c r="J339" s="5"/>
      <c r="K339" s="5" t="s">
        <v>9526</v>
      </c>
    </row>
    <row r="340" customFormat="false" ht="15" hidden="false" customHeight="false" outlineLevel="0" collapsed="false">
      <c r="A340" s="5" t="s">
        <v>9527</v>
      </c>
      <c r="B340" s="2" t="s">
        <v>9528</v>
      </c>
      <c r="C340" s="5" t="s">
        <v>2128</v>
      </c>
      <c r="D340" s="5" t="s">
        <v>62</v>
      </c>
      <c r="E340" s="5" t="n">
        <v>8</v>
      </c>
      <c r="F340" s="5" t="s">
        <v>536</v>
      </c>
      <c r="G340" s="2" t="s">
        <v>9525</v>
      </c>
      <c r="H340" s="5" t="s">
        <v>8336</v>
      </c>
      <c r="I340" s="5"/>
      <c r="J340" s="5"/>
      <c r="K340" s="5" t="s">
        <v>9529</v>
      </c>
    </row>
    <row r="341" customFormat="false" ht="15" hidden="false" customHeight="false" outlineLevel="0" collapsed="false">
      <c r="A341" s="5" t="s">
        <v>9530</v>
      </c>
      <c r="B341" s="2" t="s">
        <v>9531</v>
      </c>
      <c r="C341" s="5" t="s">
        <v>2128</v>
      </c>
      <c r="D341" s="5" t="s">
        <v>62</v>
      </c>
      <c r="E341" s="5" t="n">
        <v>6</v>
      </c>
      <c r="F341" s="5" t="s">
        <v>1210</v>
      </c>
      <c r="G341" s="2" t="s">
        <v>9525</v>
      </c>
      <c r="H341" s="5" t="s">
        <v>8336</v>
      </c>
      <c r="I341" s="5"/>
      <c r="J341" s="5"/>
      <c r="K341" s="5" t="s">
        <v>9532</v>
      </c>
    </row>
    <row r="342" customFormat="false" ht="15" hidden="false" customHeight="false" outlineLevel="0" collapsed="false">
      <c r="A342" s="5" t="s">
        <v>9533</v>
      </c>
      <c r="B342" s="2" t="s">
        <v>9534</v>
      </c>
      <c r="C342" s="5" t="s">
        <v>2128</v>
      </c>
      <c r="D342" s="5" t="s">
        <v>62</v>
      </c>
      <c r="E342" s="5" t="n">
        <v>6</v>
      </c>
      <c r="F342" s="5" t="s">
        <v>1814</v>
      </c>
      <c r="G342" s="2" t="s">
        <v>9535</v>
      </c>
      <c r="H342" s="5" t="s">
        <v>8336</v>
      </c>
      <c r="I342" s="5"/>
      <c r="J342" s="5"/>
      <c r="K342" s="5" t="s">
        <v>9536</v>
      </c>
    </row>
    <row r="343" customFormat="false" ht="15" hidden="false" customHeight="false" outlineLevel="0" collapsed="false">
      <c r="A343" s="5" t="s">
        <v>9537</v>
      </c>
      <c r="B343" s="2" t="s">
        <v>9538</v>
      </c>
      <c r="C343" s="5" t="s">
        <v>2128</v>
      </c>
      <c r="D343" s="5" t="s">
        <v>62</v>
      </c>
      <c r="E343" s="5" t="n">
        <v>9</v>
      </c>
      <c r="F343" s="5" t="s">
        <v>544</v>
      </c>
      <c r="G343" s="2" t="s">
        <v>9539</v>
      </c>
      <c r="H343" s="5" t="s">
        <v>8336</v>
      </c>
      <c r="I343" s="5"/>
      <c r="J343" s="5"/>
      <c r="K343" s="5" t="s">
        <v>9540</v>
      </c>
    </row>
    <row r="344" customFormat="false" ht="23.85" hidden="false" customHeight="false" outlineLevel="0" collapsed="false">
      <c r="A344" s="5" t="s">
        <v>9541</v>
      </c>
      <c r="B344" s="2" t="s">
        <v>9542</v>
      </c>
      <c r="C344" s="5" t="s">
        <v>2128</v>
      </c>
      <c r="D344" s="5" t="s">
        <v>62</v>
      </c>
      <c r="E344" s="5" t="n">
        <v>5</v>
      </c>
      <c r="F344" s="5" t="s">
        <v>1210</v>
      </c>
      <c r="G344" s="2" t="s">
        <v>8898</v>
      </c>
      <c r="H344" s="5" t="s">
        <v>8336</v>
      </c>
      <c r="I344" s="5"/>
      <c r="J344" s="5"/>
      <c r="K344" s="5" t="s">
        <v>9543</v>
      </c>
    </row>
    <row r="345" customFormat="false" ht="23.85" hidden="false" customHeight="false" outlineLevel="0" collapsed="false">
      <c r="A345" s="5" t="s">
        <v>2311</v>
      </c>
      <c r="B345" s="2" t="s">
        <v>2312</v>
      </c>
      <c r="C345" s="5" t="s">
        <v>2128</v>
      </c>
      <c r="D345" s="5" t="s">
        <v>62</v>
      </c>
      <c r="E345" s="5" t="n">
        <v>9</v>
      </c>
      <c r="F345" s="5" t="s">
        <v>2293</v>
      </c>
      <c r="G345" s="2" t="s">
        <v>1513</v>
      </c>
      <c r="H345" s="5" t="s">
        <v>8332</v>
      </c>
      <c r="I345" s="5" t="s">
        <v>60</v>
      </c>
      <c r="J345" s="5" t="s">
        <v>751</v>
      </c>
      <c r="K345" s="5" t="s">
        <v>2316</v>
      </c>
    </row>
    <row r="346" customFormat="false" ht="46.25" hidden="false" customHeight="false" outlineLevel="0" collapsed="false">
      <c r="A346" s="5" t="s">
        <v>9544</v>
      </c>
      <c r="B346" s="2" t="s">
        <v>9545</v>
      </c>
      <c r="C346" s="5" t="s">
        <v>2128</v>
      </c>
      <c r="D346" s="5" t="s">
        <v>62</v>
      </c>
      <c r="E346" s="5" t="n">
        <v>6</v>
      </c>
      <c r="F346" s="5" t="s">
        <v>8902</v>
      </c>
      <c r="G346" s="2" t="s">
        <v>9546</v>
      </c>
      <c r="H346" s="5" t="s">
        <v>8336</v>
      </c>
      <c r="I346" s="5"/>
      <c r="J346" s="5"/>
      <c r="K346" s="5" t="s">
        <v>9547</v>
      </c>
    </row>
    <row r="347" customFormat="false" ht="23.85" hidden="false" customHeight="false" outlineLevel="0" collapsed="false">
      <c r="A347" s="5" t="s">
        <v>9548</v>
      </c>
      <c r="B347" s="2" t="s">
        <v>9549</v>
      </c>
      <c r="C347" s="5" t="s">
        <v>2128</v>
      </c>
      <c r="D347" s="5" t="s">
        <v>62</v>
      </c>
      <c r="E347" s="5" t="n">
        <v>7</v>
      </c>
      <c r="F347" s="5" t="s">
        <v>8908</v>
      </c>
      <c r="G347" s="2" t="s">
        <v>9550</v>
      </c>
      <c r="H347" s="5" t="s">
        <v>8336</v>
      </c>
      <c r="I347" s="5"/>
      <c r="J347" s="5"/>
      <c r="K347" s="5" t="s">
        <v>9551</v>
      </c>
    </row>
    <row r="348" customFormat="false" ht="23.85" hidden="false" customHeight="false" outlineLevel="0" collapsed="false">
      <c r="A348" s="5" t="s">
        <v>9552</v>
      </c>
      <c r="B348" s="2" t="s">
        <v>9553</v>
      </c>
      <c r="C348" s="5" t="s">
        <v>2128</v>
      </c>
      <c r="D348" s="5" t="s">
        <v>62</v>
      </c>
      <c r="E348" s="5" t="n">
        <v>9</v>
      </c>
      <c r="F348" s="5" t="s">
        <v>413</v>
      </c>
      <c r="G348" s="2" t="s">
        <v>8682</v>
      </c>
      <c r="H348" s="5" t="s">
        <v>8336</v>
      </c>
      <c r="I348" s="5"/>
      <c r="J348" s="5"/>
      <c r="K348" s="5" t="s">
        <v>9554</v>
      </c>
    </row>
    <row r="349" customFormat="false" ht="15" hidden="false" customHeight="false" outlineLevel="0" collapsed="false">
      <c r="A349" s="5" t="s">
        <v>9555</v>
      </c>
      <c r="B349" s="2" t="s">
        <v>9556</v>
      </c>
      <c r="C349" s="5" t="s">
        <v>2128</v>
      </c>
      <c r="D349" s="5" t="s">
        <v>62</v>
      </c>
      <c r="E349" s="5" t="n">
        <v>7</v>
      </c>
      <c r="F349" s="5" t="s">
        <v>9557</v>
      </c>
      <c r="G349" s="2" t="s">
        <v>9558</v>
      </c>
      <c r="H349" s="5" t="s">
        <v>8336</v>
      </c>
      <c r="I349" s="5"/>
      <c r="J349" s="5"/>
      <c r="K349" s="5" t="s">
        <v>9559</v>
      </c>
    </row>
    <row r="350" customFormat="false" ht="15" hidden="false" customHeight="false" outlineLevel="0" collapsed="false">
      <c r="A350" s="5" t="s">
        <v>9560</v>
      </c>
      <c r="B350" s="2" t="s">
        <v>9561</v>
      </c>
      <c r="C350" s="5" t="s">
        <v>2128</v>
      </c>
      <c r="D350" s="5" t="s">
        <v>62</v>
      </c>
      <c r="E350" s="5" t="n">
        <v>7</v>
      </c>
      <c r="F350" s="5" t="s">
        <v>9557</v>
      </c>
      <c r="G350" s="2" t="s">
        <v>8243</v>
      </c>
      <c r="H350" s="5" t="s">
        <v>8336</v>
      </c>
      <c r="I350" s="5"/>
      <c r="J350" s="5"/>
      <c r="K350" s="5" t="s">
        <v>9562</v>
      </c>
    </row>
    <row r="351" customFormat="false" ht="23.85" hidden="false" customHeight="false" outlineLevel="0" collapsed="false">
      <c r="A351" s="5" t="s">
        <v>9563</v>
      </c>
      <c r="B351" s="2" t="s">
        <v>9564</v>
      </c>
      <c r="C351" s="5" t="s">
        <v>2128</v>
      </c>
      <c r="D351" s="5" t="s">
        <v>490</v>
      </c>
      <c r="E351" s="5" t="n">
        <v>7</v>
      </c>
      <c r="F351" s="5" t="s">
        <v>536</v>
      </c>
      <c r="G351" s="2" t="s">
        <v>9565</v>
      </c>
      <c r="H351" s="5" t="s">
        <v>8336</v>
      </c>
      <c r="I351" s="5"/>
      <c r="J351" s="5"/>
      <c r="K351" s="5" t="s">
        <v>9566</v>
      </c>
    </row>
    <row r="352" customFormat="false" ht="23.85" hidden="false" customHeight="false" outlineLevel="0" collapsed="false">
      <c r="A352" s="5" t="s">
        <v>9567</v>
      </c>
      <c r="B352" s="2" t="s">
        <v>9568</v>
      </c>
      <c r="C352" s="5" t="s">
        <v>2128</v>
      </c>
      <c r="D352" s="5" t="s">
        <v>490</v>
      </c>
      <c r="E352" s="5" t="n">
        <v>7</v>
      </c>
      <c r="F352" s="5" t="s">
        <v>536</v>
      </c>
      <c r="G352" s="2" t="s">
        <v>9565</v>
      </c>
      <c r="H352" s="5" t="s">
        <v>8336</v>
      </c>
      <c r="I352" s="5"/>
      <c r="J352" s="5"/>
      <c r="K352" s="5" t="s">
        <v>9569</v>
      </c>
    </row>
    <row r="353" customFormat="false" ht="23.85" hidden="false" customHeight="false" outlineLevel="0" collapsed="false">
      <c r="A353" s="5" t="s">
        <v>9570</v>
      </c>
      <c r="B353" s="2" t="s">
        <v>9571</v>
      </c>
      <c r="C353" s="5" t="s">
        <v>2128</v>
      </c>
      <c r="D353" s="5" t="s">
        <v>490</v>
      </c>
      <c r="E353" s="5" t="n">
        <v>7</v>
      </c>
      <c r="F353" s="5" t="s">
        <v>536</v>
      </c>
      <c r="G353" s="2" t="s">
        <v>9565</v>
      </c>
      <c r="H353" s="5" t="s">
        <v>8336</v>
      </c>
      <c r="I353" s="5"/>
      <c r="J353" s="5"/>
      <c r="K353" s="5" t="s">
        <v>9572</v>
      </c>
    </row>
    <row r="354" customFormat="false" ht="23.85" hidden="false" customHeight="false" outlineLevel="0" collapsed="false">
      <c r="A354" s="5" t="s">
        <v>9573</v>
      </c>
      <c r="B354" s="2" t="s">
        <v>9574</v>
      </c>
      <c r="C354" s="5" t="s">
        <v>2128</v>
      </c>
      <c r="D354" s="5" t="s">
        <v>490</v>
      </c>
      <c r="E354" s="5" t="n">
        <v>7</v>
      </c>
      <c r="F354" s="5" t="s">
        <v>536</v>
      </c>
      <c r="G354" s="2" t="s">
        <v>9565</v>
      </c>
      <c r="H354" s="5" t="s">
        <v>8336</v>
      </c>
      <c r="I354" s="5"/>
      <c r="J354" s="5"/>
      <c r="K354" s="5" t="s">
        <v>9575</v>
      </c>
    </row>
    <row r="355" customFormat="false" ht="15" hidden="false" customHeight="false" outlineLevel="0" collapsed="false">
      <c r="A355" s="5" t="s">
        <v>9576</v>
      </c>
      <c r="B355" s="2" t="s">
        <v>9577</v>
      </c>
      <c r="C355" s="5" t="s">
        <v>2128</v>
      </c>
      <c r="D355" s="5" t="s">
        <v>62</v>
      </c>
      <c r="E355" s="5" t="n">
        <v>9</v>
      </c>
      <c r="F355" s="5" t="s">
        <v>413</v>
      </c>
      <c r="G355" s="2" t="s">
        <v>9535</v>
      </c>
      <c r="H355" s="5" t="s">
        <v>8336</v>
      </c>
      <c r="I355" s="5"/>
      <c r="J355" s="5"/>
      <c r="K355" s="5" t="s">
        <v>9578</v>
      </c>
    </row>
    <row r="356" customFormat="false" ht="15" hidden="false" customHeight="false" outlineLevel="0" collapsed="false">
      <c r="A356" s="5" t="s">
        <v>9579</v>
      </c>
      <c r="B356" s="2" t="s">
        <v>9580</v>
      </c>
      <c r="C356" s="5" t="s">
        <v>2128</v>
      </c>
      <c r="D356" s="5" t="s">
        <v>62</v>
      </c>
      <c r="E356" s="5" t="n">
        <v>5</v>
      </c>
      <c r="F356" s="5" t="s">
        <v>413</v>
      </c>
      <c r="G356" s="2" t="s">
        <v>367</v>
      </c>
      <c r="H356" s="5" t="s">
        <v>8336</v>
      </c>
      <c r="I356" s="5"/>
      <c r="J356" s="5"/>
      <c r="K356" s="5" t="s">
        <v>9581</v>
      </c>
    </row>
    <row r="357" customFormat="false" ht="15" hidden="false" customHeight="false" outlineLevel="0" collapsed="false">
      <c r="A357" s="5" t="s">
        <v>4803</v>
      </c>
      <c r="B357" s="2" t="s">
        <v>4804</v>
      </c>
      <c r="C357" s="5" t="s">
        <v>2128</v>
      </c>
      <c r="D357" s="5" t="s">
        <v>62</v>
      </c>
      <c r="E357" s="5" t="n">
        <v>9</v>
      </c>
      <c r="F357" s="5" t="s">
        <v>2079</v>
      </c>
      <c r="G357" s="2" t="s">
        <v>4806</v>
      </c>
      <c r="H357" s="5" t="s">
        <v>8332</v>
      </c>
      <c r="I357" s="5" t="s">
        <v>4760</v>
      </c>
      <c r="J357" s="5" t="s">
        <v>2079</v>
      </c>
      <c r="K357" s="5" t="s">
        <v>4812</v>
      </c>
    </row>
    <row r="358" customFormat="false" ht="15" hidden="false" customHeight="false" outlineLevel="0" collapsed="false">
      <c r="A358" s="5" t="s">
        <v>9582</v>
      </c>
      <c r="B358" s="2" t="s">
        <v>9583</v>
      </c>
      <c r="C358" s="5" t="s">
        <v>2128</v>
      </c>
      <c r="D358" s="5" t="s">
        <v>62</v>
      </c>
      <c r="E358" s="5" t="n">
        <v>7</v>
      </c>
      <c r="F358" s="5" t="s">
        <v>9196</v>
      </c>
      <c r="G358" s="2" t="s">
        <v>2376</v>
      </c>
      <c r="H358" s="5" t="s">
        <v>8336</v>
      </c>
      <c r="I358" s="5"/>
      <c r="J358" s="5"/>
      <c r="K358" s="5" t="s">
        <v>9584</v>
      </c>
    </row>
    <row r="359" customFormat="false" ht="23.85" hidden="false" customHeight="false" outlineLevel="0" collapsed="false">
      <c r="A359" s="5" t="s">
        <v>2317</v>
      </c>
      <c r="B359" s="2" t="s">
        <v>2318</v>
      </c>
      <c r="C359" s="5" t="s">
        <v>2128</v>
      </c>
      <c r="D359" s="5" t="s">
        <v>62</v>
      </c>
      <c r="E359" s="5" t="n">
        <v>8</v>
      </c>
      <c r="F359" s="5" t="s">
        <v>100</v>
      </c>
      <c r="G359" s="2" t="s">
        <v>184</v>
      </c>
      <c r="H359" s="5" t="s">
        <v>8332</v>
      </c>
      <c r="I359" s="5" t="s">
        <v>60</v>
      </c>
      <c r="J359" s="5" t="s">
        <v>2319</v>
      </c>
      <c r="K359" s="5" t="s">
        <v>2328</v>
      </c>
    </row>
    <row r="360" customFormat="false" ht="15" hidden="false" customHeight="false" outlineLevel="0" collapsed="false">
      <c r="A360" s="5" t="s">
        <v>9585</v>
      </c>
      <c r="B360" s="2" t="s">
        <v>9586</v>
      </c>
      <c r="C360" s="5" t="s">
        <v>2128</v>
      </c>
      <c r="D360" s="5" t="s">
        <v>62</v>
      </c>
      <c r="E360" s="5" t="n">
        <v>8</v>
      </c>
      <c r="F360" s="5" t="s">
        <v>3005</v>
      </c>
      <c r="G360" s="2" t="s">
        <v>9587</v>
      </c>
      <c r="H360" s="5" t="s">
        <v>8336</v>
      </c>
      <c r="I360" s="5"/>
      <c r="J360" s="5"/>
      <c r="K360" s="5" t="s">
        <v>9588</v>
      </c>
    </row>
    <row r="361" customFormat="false" ht="79.85" hidden="false" customHeight="false" outlineLevel="0" collapsed="false">
      <c r="A361" s="5" t="s">
        <v>4813</v>
      </c>
      <c r="B361" s="2" t="s">
        <v>4814</v>
      </c>
      <c r="C361" s="5" t="s">
        <v>2128</v>
      </c>
      <c r="D361" s="5" t="s">
        <v>62</v>
      </c>
      <c r="E361" s="5" t="n">
        <v>7</v>
      </c>
      <c r="F361" s="5" t="s">
        <v>100</v>
      </c>
      <c r="G361" s="2" t="s">
        <v>9213</v>
      </c>
      <c r="H361" s="5" t="s">
        <v>8332</v>
      </c>
      <c r="I361" s="5" t="s">
        <v>4760</v>
      </c>
      <c r="J361" s="5" t="s">
        <v>100</v>
      </c>
      <c r="K361" s="5" t="s">
        <v>4819</v>
      </c>
    </row>
    <row r="362" customFormat="false" ht="23.85" hidden="false" customHeight="false" outlineLevel="0" collapsed="false">
      <c r="A362" s="5" t="s">
        <v>2329</v>
      </c>
      <c r="B362" s="2" t="s">
        <v>2330</v>
      </c>
      <c r="C362" s="5" t="s">
        <v>2128</v>
      </c>
      <c r="D362" s="5" t="s">
        <v>490</v>
      </c>
      <c r="E362" s="5" t="n">
        <v>9</v>
      </c>
      <c r="F362" s="5" t="s">
        <v>2293</v>
      </c>
      <c r="G362" s="2" t="s">
        <v>1513</v>
      </c>
      <c r="H362" s="5" t="s">
        <v>8332</v>
      </c>
      <c r="I362" s="5" t="s">
        <v>60</v>
      </c>
      <c r="J362" s="5" t="s">
        <v>751</v>
      </c>
      <c r="K362" s="5" t="s">
        <v>2336</v>
      </c>
    </row>
    <row r="363" customFormat="false" ht="15" hidden="false" customHeight="false" outlineLevel="0" collapsed="false">
      <c r="A363" s="5" t="s">
        <v>9589</v>
      </c>
      <c r="B363" s="2" t="s">
        <v>9590</v>
      </c>
      <c r="C363" s="5" t="s">
        <v>2128</v>
      </c>
      <c r="D363" s="5" t="s">
        <v>62</v>
      </c>
      <c r="E363" s="5" t="n">
        <v>8</v>
      </c>
      <c r="F363" s="5" t="s">
        <v>1210</v>
      </c>
      <c r="G363" s="2" t="s">
        <v>2340</v>
      </c>
      <c r="H363" s="5" t="s">
        <v>8336</v>
      </c>
      <c r="I363" s="5"/>
      <c r="J363" s="5"/>
      <c r="K363" s="5" t="s">
        <v>9591</v>
      </c>
    </row>
    <row r="364" customFormat="false" ht="15" hidden="false" customHeight="false" outlineLevel="0" collapsed="false">
      <c r="A364" s="5" t="s">
        <v>9592</v>
      </c>
      <c r="B364" s="2" t="s">
        <v>9593</v>
      </c>
      <c r="C364" s="5" t="s">
        <v>2128</v>
      </c>
      <c r="D364" s="5" t="s">
        <v>62</v>
      </c>
      <c r="E364" s="5" t="n">
        <v>8</v>
      </c>
      <c r="F364" s="5" t="s">
        <v>67</v>
      </c>
      <c r="G364" s="2" t="s">
        <v>2340</v>
      </c>
      <c r="H364" s="5" t="s">
        <v>8336</v>
      </c>
      <c r="I364" s="5"/>
      <c r="J364" s="5"/>
      <c r="K364" s="5" t="s">
        <v>9594</v>
      </c>
    </row>
    <row r="365" customFormat="false" ht="23.85" hidden="false" customHeight="false" outlineLevel="0" collapsed="false">
      <c r="A365" s="5" t="s">
        <v>2337</v>
      </c>
      <c r="B365" s="2" t="s">
        <v>2338</v>
      </c>
      <c r="C365" s="5" t="s">
        <v>2128</v>
      </c>
      <c r="D365" s="5" t="s">
        <v>62</v>
      </c>
      <c r="E365" s="5" t="n">
        <v>9</v>
      </c>
      <c r="F365" s="5" t="s">
        <v>67</v>
      </c>
      <c r="G365" s="2" t="s">
        <v>2340</v>
      </c>
      <c r="H365" s="5" t="s">
        <v>8332</v>
      </c>
      <c r="I365" s="5" t="s">
        <v>60</v>
      </c>
      <c r="J365" s="5" t="s">
        <v>161</v>
      </c>
      <c r="K365" s="5" t="s">
        <v>2346</v>
      </c>
    </row>
    <row r="366" customFormat="false" ht="15" hidden="false" customHeight="false" outlineLevel="0" collapsed="false">
      <c r="A366" s="5" t="s">
        <v>9595</v>
      </c>
      <c r="B366" s="2" t="s">
        <v>9596</v>
      </c>
      <c r="C366" s="5" t="s">
        <v>2128</v>
      </c>
      <c r="D366" s="5" t="s">
        <v>62</v>
      </c>
      <c r="E366" s="5" t="n">
        <v>8</v>
      </c>
      <c r="F366" s="5" t="s">
        <v>67</v>
      </c>
      <c r="G366" s="2" t="s">
        <v>2340</v>
      </c>
      <c r="H366" s="5" t="s">
        <v>8336</v>
      </c>
      <c r="I366" s="5"/>
      <c r="J366" s="5"/>
      <c r="K366" s="5" t="s">
        <v>9597</v>
      </c>
    </row>
    <row r="367" customFormat="false" ht="23.85" hidden="false" customHeight="false" outlineLevel="0" collapsed="false">
      <c r="A367" s="5" t="s">
        <v>9598</v>
      </c>
      <c r="B367" s="2" t="s">
        <v>9599</v>
      </c>
      <c r="C367" s="5" t="s">
        <v>2128</v>
      </c>
      <c r="D367" s="5" t="s">
        <v>62</v>
      </c>
      <c r="E367" s="5" t="n">
        <v>9</v>
      </c>
      <c r="F367" s="5" t="s">
        <v>90</v>
      </c>
      <c r="G367" s="2" t="s">
        <v>8255</v>
      </c>
      <c r="H367" s="5" t="s">
        <v>8336</v>
      </c>
      <c r="I367" s="5"/>
      <c r="J367" s="5"/>
      <c r="K367" s="5" t="s">
        <v>9600</v>
      </c>
    </row>
    <row r="368" customFormat="false" ht="15" hidden="false" customHeight="false" outlineLevel="0" collapsed="false">
      <c r="A368" s="5" t="s">
        <v>9601</v>
      </c>
      <c r="B368" s="2" t="s">
        <v>9602</v>
      </c>
      <c r="C368" s="5" t="s">
        <v>2128</v>
      </c>
      <c r="D368" s="5" t="s">
        <v>62</v>
      </c>
      <c r="E368" s="5" t="n">
        <v>9</v>
      </c>
      <c r="F368" s="5" t="s">
        <v>90</v>
      </c>
      <c r="G368" s="2" t="s">
        <v>9603</v>
      </c>
      <c r="H368" s="5" t="s">
        <v>8336</v>
      </c>
      <c r="I368" s="5"/>
      <c r="J368" s="5"/>
      <c r="K368" s="5" t="s">
        <v>9604</v>
      </c>
    </row>
    <row r="369" customFormat="false" ht="15" hidden="false" customHeight="false" outlineLevel="0" collapsed="false">
      <c r="A369" s="5" t="s">
        <v>9605</v>
      </c>
      <c r="B369" s="2" t="s">
        <v>9606</v>
      </c>
      <c r="C369" s="5" t="s">
        <v>2128</v>
      </c>
      <c r="D369" s="5" t="s">
        <v>62</v>
      </c>
      <c r="E369" s="5" t="n">
        <v>9</v>
      </c>
      <c r="F369" s="5" t="s">
        <v>8902</v>
      </c>
      <c r="G369" s="2" t="s">
        <v>9607</v>
      </c>
      <c r="H369" s="5" t="s">
        <v>8336</v>
      </c>
      <c r="I369" s="5"/>
      <c r="J369" s="5"/>
      <c r="K369" s="5" t="s">
        <v>9608</v>
      </c>
    </row>
    <row r="370" customFormat="false" ht="23.85" hidden="false" customHeight="false" outlineLevel="0" collapsed="false">
      <c r="A370" s="5" t="s">
        <v>4820</v>
      </c>
      <c r="B370" s="2" t="s">
        <v>4821</v>
      </c>
      <c r="C370" s="5" t="s">
        <v>2128</v>
      </c>
      <c r="D370" s="5" t="s">
        <v>62</v>
      </c>
      <c r="E370" s="5" t="n">
        <v>9</v>
      </c>
      <c r="F370" s="5" t="s">
        <v>2079</v>
      </c>
      <c r="G370" s="2" t="s">
        <v>8898</v>
      </c>
      <c r="H370" s="5" t="s">
        <v>8332</v>
      </c>
      <c r="I370" s="5" t="s">
        <v>4760</v>
      </c>
      <c r="J370" s="5" t="s">
        <v>2079</v>
      </c>
      <c r="K370" s="5" t="s">
        <v>4827</v>
      </c>
    </row>
    <row r="371" customFormat="false" ht="23.85" hidden="false" customHeight="false" outlineLevel="0" collapsed="false">
      <c r="A371" s="5" t="s">
        <v>9609</v>
      </c>
      <c r="B371" s="2" t="s">
        <v>9610</v>
      </c>
      <c r="C371" s="5" t="s">
        <v>2128</v>
      </c>
      <c r="D371" s="5" t="s">
        <v>62</v>
      </c>
      <c r="E371" s="5" t="n">
        <v>6</v>
      </c>
      <c r="F371" s="5" t="s">
        <v>9239</v>
      </c>
      <c r="G371" s="2" t="s">
        <v>9611</v>
      </c>
      <c r="H371" s="5" t="s">
        <v>8336</v>
      </c>
      <c r="I371" s="5"/>
      <c r="J371" s="5"/>
      <c r="K371" s="5" t="s">
        <v>9612</v>
      </c>
    </row>
    <row r="372" customFormat="false" ht="15" hidden="false" customHeight="false" outlineLevel="0" collapsed="false">
      <c r="A372" s="5" t="s">
        <v>9613</v>
      </c>
      <c r="B372" s="2" t="s">
        <v>9614</v>
      </c>
      <c r="C372" s="5" t="s">
        <v>2128</v>
      </c>
      <c r="D372" s="5" t="s">
        <v>62</v>
      </c>
      <c r="E372" s="5" t="n">
        <v>8</v>
      </c>
      <c r="F372" s="5" t="s">
        <v>277</v>
      </c>
      <c r="G372" s="2" t="s">
        <v>9615</v>
      </c>
      <c r="H372" s="5" t="s">
        <v>8336</v>
      </c>
      <c r="I372" s="5"/>
      <c r="J372" s="5"/>
      <c r="K372" s="5" t="s">
        <v>9616</v>
      </c>
    </row>
    <row r="373" customFormat="false" ht="15" hidden="false" customHeight="false" outlineLevel="0" collapsed="false">
      <c r="A373" s="5" t="s">
        <v>4828</v>
      </c>
      <c r="B373" s="2" t="s">
        <v>4829</v>
      </c>
      <c r="C373" s="5" t="s">
        <v>2128</v>
      </c>
      <c r="D373" s="5" t="s">
        <v>62</v>
      </c>
      <c r="E373" s="5" t="n">
        <v>9</v>
      </c>
      <c r="F373" s="5" t="s">
        <v>2079</v>
      </c>
      <c r="G373" s="2" t="s">
        <v>4830</v>
      </c>
      <c r="H373" s="5" t="s">
        <v>8332</v>
      </c>
      <c r="I373" s="5" t="s">
        <v>4760</v>
      </c>
      <c r="J373" s="5" t="s">
        <v>2079</v>
      </c>
      <c r="K373" s="5" t="s">
        <v>4836</v>
      </c>
    </row>
    <row r="374" customFormat="false" ht="23.85" hidden="false" customHeight="false" outlineLevel="0" collapsed="false">
      <c r="A374" s="5" t="s">
        <v>9617</v>
      </c>
      <c r="B374" s="2" t="s">
        <v>9618</v>
      </c>
      <c r="C374" s="5" t="s">
        <v>2128</v>
      </c>
      <c r="D374" s="5" t="s">
        <v>62</v>
      </c>
      <c r="E374" s="5" t="n">
        <v>9</v>
      </c>
      <c r="F374" s="5" t="s">
        <v>9619</v>
      </c>
      <c r="G374" s="2" t="s">
        <v>4830</v>
      </c>
      <c r="H374" s="5" t="s">
        <v>8336</v>
      </c>
      <c r="I374" s="5"/>
      <c r="J374" s="5"/>
      <c r="K374" s="5" t="s">
        <v>9620</v>
      </c>
    </row>
    <row r="375" customFormat="false" ht="23.85" hidden="false" customHeight="false" outlineLevel="0" collapsed="false">
      <c r="A375" s="5" t="s">
        <v>9621</v>
      </c>
      <c r="B375" s="2" t="s">
        <v>9622</v>
      </c>
      <c r="C375" s="5" t="s">
        <v>2128</v>
      </c>
      <c r="D375" s="5" t="s">
        <v>62</v>
      </c>
      <c r="E375" s="5" t="n">
        <v>9</v>
      </c>
      <c r="F375" s="5" t="s">
        <v>9619</v>
      </c>
      <c r="G375" s="2" t="s">
        <v>4830</v>
      </c>
      <c r="H375" s="5" t="s">
        <v>8336</v>
      </c>
      <c r="I375" s="5"/>
      <c r="J375" s="5"/>
      <c r="K375" s="5" t="s">
        <v>9623</v>
      </c>
    </row>
    <row r="376" customFormat="false" ht="15" hidden="false" customHeight="false" outlineLevel="0" collapsed="false">
      <c r="A376" s="5" t="s">
        <v>9624</v>
      </c>
      <c r="B376" s="2" t="s">
        <v>9625</v>
      </c>
      <c r="C376" s="5" t="s">
        <v>2128</v>
      </c>
      <c r="D376" s="5" t="s">
        <v>62</v>
      </c>
      <c r="E376" s="5" t="n">
        <v>9</v>
      </c>
      <c r="F376" s="5" t="s">
        <v>9619</v>
      </c>
      <c r="G376" s="2" t="s">
        <v>4830</v>
      </c>
      <c r="H376" s="5" t="s">
        <v>8336</v>
      </c>
      <c r="I376" s="5"/>
      <c r="J376" s="5"/>
      <c r="K376" s="5" t="s">
        <v>9626</v>
      </c>
    </row>
    <row r="377" customFormat="false" ht="23.85" hidden="false" customHeight="false" outlineLevel="0" collapsed="false">
      <c r="A377" s="5" t="s">
        <v>9627</v>
      </c>
      <c r="B377" s="2" t="s">
        <v>9628</v>
      </c>
      <c r="C377" s="5" t="s">
        <v>2128</v>
      </c>
      <c r="D377" s="5" t="s">
        <v>62</v>
      </c>
      <c r="E377" s="5" t="n">
        <v>9</v>
      </c>
      <c r="F377" s="5" t="s">
        <v>9619</v>
      </c>
      <c r="G377" s="2" t="s">
        <v>4830</v>
      </c>
      <c r="H377" s="5" t="s">
        <v>8336</v>
      </c>
      <c r="I377" s="5"/>
      <c r="J377" s="5"/>
      <c r="K377" s="5" t="s">
        <v>9629</v>
      </c>
    </row>
    <row r="378" customFormat="false" ht="15" hidden="false" customHeight="false" outlineLevel="0" collapsed="false">
      <c r="A378" s="5" t="s">
        <v>9630</v>
      </c>
      <c r="B378" s="2" t="s">
        <v>9631</v>
      </c>
      <c r="C378" s="5" t="s">
        <v>2128</v>
      </c>
      <c r="D378" s="5" t="s">
        <v>62</v>
      </c>
      <c r="E378" s="5" t="n">
        <v>9</v>
      </c>
      <c r="F378" s="5" t="s">
        <v>9619</v>
      </c>
      <c r="G378" s="2" t="s">
        <v>4830</v>
      </c>
      <c r="H378" s="5" t="s">
        <v>8336</v>
      </c>
      <c r="I378" s="5"/>
      <c r="J378" s="5"/>
      <c r="K378" s="5" t="s">
        <v>9632</v>
      </c>
    </row>
    <row r="379" customFormat="false" ht="15" hidden="false" customHeight="false" outlineLevel="0" collapsed="false">
      <c r="A379" s="5" t="s">
        <v>9633</v>
      </c>
      <c r="B379" s="2" t="s">
        <v>9634</v>
      </c>
      <c r="C379" s="5" t="s">
        <v>2128</v>
      </c>
      <c r="D379" s="5" t="s">
        <v>62</v>
      </c>
      <c r="E379" s="5" t="n">
        <v>8</v>
      </c>
      <c r="F379" s="5" t="s">
        <v>67</v>
      </c>
      <c r="G379" s="2" t="s">
        <v>9635</v>
      </c>
      <c r="H379" s="5" t="s">
        <v>8336</v>
      </c>
      <c r="I379" s="5"/>
      <c r="J379" s="5"/>
      <c r="K379" s="5" t="s">
        <v>9636</v>
      </c>
    </row>
    <row r="380" customFormat="false" ht="15" hidden="false" customHeight="false" outlineLevel="0" collapsed="false">
      <c r="A380" s="5" t="s">
        <v>9637</v>
      </c>
      <c r="B380" s="2" t="s">
        <v>9638</v>
      </c>
      <c r="C380" s="5" t="s">
        <v>2128</v>
      </c>
      <c r="D380" s="5" t="s">
        <v>62</v>
      </c>
      <c r="E380" s="5" t="n">
        <v>7</v>
      </c>
      <c r="F380" s="5" t="s">
        <v>413</v>
      </c>
      <c r="G380" s="2" t="s">
        <v>8262</v>
      </c>
      <c r="H380" s="5" t="s">
        <v>8336</v>
      </c>
      <c r="I380" s="5"/>
      <c r="J380" s="5"/>
      <c r="K380" s="5" t="s">
        <v>9639</v>
      </c>
    </row>
    <row r="381" customFormat="false" ht="15" hidden="false" customHeight="false" outlineLevel="0" collapsed="false">
      <c r="A381" s="5" t="s">
        <v>9640</v>
      </c>
      <c r="B381" s="2" t="s">
        <v>9641</v>
      </c>
      <c r="C381" s="5" t="s">
        <v>2128</v>
      </c>
      <c r="D381" s="5" t="s">
        <v>62</v>
      </c>
      <c r="E381" s="5" t="n">
        <v>8</v>
      </c>
      <c r="F381" s="5" t="s">
        <v>413</v>
      </c>
      <c r="G381" s="2" t="s">
        <v>8262</v>
      </c>
      <c r="H381" s="5" t="s">
        <v>8336</v>
      </c>
      <c r="I381" s="5"/>
      <c r="J381" s="5"/>
      <c r="K381" s="5" t="s">
        <v>9642</v>
      </c>
    </row>
    <row r="382" customFormat="false" ht="15" hidden="false" customHeight="false" outlineLevel="0" collapsed="false">
      <c r="A382" s="5" t="s">
        <v>9643</v>
      </c>
      <c r="B382" s="2" t="s">
        <v>9644</v>
      </c>
      <c r="C382" s="5" t="s">
        <v>2128</v>
      </c>
      <c r="D382" s="5" t="s">
        <v>62</v>
      </c>
      <c r="E382" s="5" t="n">
        <v>2</v>
      </c>
      <c r="F382" s="5" t="s">
        <v>413</v>
      </c>
      <c r="G382" s="2" t="s">
        <v>8262</v>
      </c>
      <c r="H382" s="5" t="s">
        <v>8336</v>
      </c>
      <c r="I382" s="5"/>
      <c r="J382" s="5"/>
      <c r="K382" s="5" t="s">
        <v>9645</v>
      </c>
    </row>
    <row r="383" customFormat="false" ht="15" hidden="false" customHeight="false" outlineLevel="0" collapsed="false">
      <c r="A383" s="5" t="s">
        <v>9646</v>
      </c>
      <c r="B383" s="2" t="s">
        <v>9647</v>
      </c>
      <c r="C383" s="5" t="s">
        <v>2128</v>
      </c>
      <c r="D383" s="5" t="s">
        <v>62</v>
      </c>
      <c r="E383" s="5" t="n">
        <v>4</v>
      </c>
      <c r="F383" s="5" t="s">
        <v>413</v>
      </c>
      <c r="G383" s="2" t="s">
        <v>8262</v>
      </c>
      <c r="H383" s="5" t="s">
        <v>8336</v>
      </c>
      <c r="I383" s="5"/>
      <c r="J383" s="5"/>
      <c r="K383" s="5" t="s">
        <v>9648</v>
      </c>
    </row>
    <row r="384" customFormat="false" ht="15" hidden="false" customHeight="false" outlineLevel="0" collapsed="false">
      <c r="A384" s="5" t="s">
        <v>9649</v>
      </c>
      <c r="B384" s="2" t="s">
        <v>9650</v>
      </c>
      <c r="C384" s="5" t="s">
        <v>2128</v>
      </c>
      <c r="D384" s="5" t="s">
        <v>62</v>
      </c>
      <c r="E384" s="5" t="n">
        <v>9</v>
      </c>
      <c r="F384" s="5" t="s">
        <v>413</v>
      </c>
      <c r="G384" s="2" t="s">
        <v>8262</v>
      </c>
      <c r="H384" s="5" t="s">
        <v>8336</v>
      </c>
      <c r="I384" s="5"/>
      <c r="J384" s="5"/>
      <c r="K384" s="5" t="s">
        <v>9651</v>
      </c>
    </row>
    <row r="385" customFormat="false" ht="15" hidden="false" customHeight="false" outlineLevel="0" collapsed="false">
      <c r="A385" s="5" t="s">
        <v>9652</v>
      </c>
      <c r="B385" s="2" t="s">
        <v>9653</v>
      </c>
      <c r="C385" s="5" t="s">
        <v>2128</v>
      </c>
      <c r="D385" s="5" t="s">
        <v>62</v>
      </c>
      <c r="E385" s="5" t="n">
        <v>10</v>
      </c>
      <c r="F385" s="5" t="s">
        <v>413</v>
      </c>
      <c r="G385" s="2" t="s">
        <v>8262</v>
      </c>
      <c r="H385" s="5" t="s">
        <v>8336</v>
      </c>
      <c r="I385" s="5"/>
      <c r="J385" s="5"/>
      <c r="K385" s="5" t="s">
        <v>9654</v>
      </c>
    </row>
    <row r="386" customFormat="false" ht="15" hidden="false" customHeight="false" outlineLevel="0" collapsed="false">
      <c r="A386" s="5" t="s">
        <v>9655</v>
      </c>
      <c r="B386" s="2" t="s">
        <v>9656</v>
      </c>
      <c r="C386" s="5" t="s">
        <v>2128</v>
      </c>
      <c r="D386" s="5" t="s">
        <v>62</v>
      </c>
      <c r="E386" s="5" t="n">
        <v>1</v>
      </c>
      <c r="F386" s="5" t="s">
        <v>413</v>
      </c>
      <c r="G386" s="2" t="s">
        <v>8262</v>
      </c>
      <c r="H386" s="5" t="s">
        <v>8336</v>
      </c>
      <c r="I386" s="5"/>
      <c r="J386" s="5"/>
      <c r="K386" s="5" t="s">
        <v>9657</v>
      </c>
    </row>
    <row r="387" customFormat="false" ht="15" hidden="false" customHeight="false" outlineLevel="0" collapsed="false">
      <c r="A387" s="5" t="s">
        <v>9658</v>
      </c>
      <c r="B387" s="2" t="s">
        <v>9659</v>
      </c>
      <c r="C387" s="5" t="s">
        <v>2128</v>
      </c>
      <c r="D387" s="5" t="s">
        <v>62</v>
      </c>
      <c r="E387" s="5" t="n">
        <v>3</v>
      </c>
      <c r="F387" s="5" t="s">
        <v>413</v>
      </c>
      <c r="G387" s="2" t="s">
        <v>8262</v>
      </c>
      <c r="H387" s="5" t="s">
        <v>8336</v>
      </c>
      <c r="I387" s="5"/>
      <c r="J387" s="5"/>
      <c r="K387" s="5" t="s">
        <v>9660</v>
      </c>
    </row>
    <row r="388" customFormat="false" ht="15" hidden="false" customHeight="false" outlineLevel="0" collapsed="false">
      <c r="A388" s="5" t="s">
        <v>9661</v>
      </c>
      <c r="B388" s="2" t="s">
        <v>9662</v>
      </c>
      <c r="C388" s="5" t="s">
        <v>2128</v>
      </c>
      <c r="D388" s="5" t="s">
        <v>62</v>
      </c>
      <c r="E388" s="5" t="n">
        <v>7</v>
      </c>
      <c r="F388" s="5" t="s">
        <v>413</v>
      </c>
      <c r="G388" s="2" t="s">
        <v>8262</v>
      </c>
      <c r="H388" s="5" t="s">
        <v>8336</v>
      </c>
      <c r="I388" s="5"/>
      <c r="J388" s="5"/>
      <c r="K388" s="5" t="s">
        <v>9663</v>
      </c>
    </row>
    <row r="389" customFormat="false" ht="15" hidden="false" customHeight="false" outlineLevel="0" collapsed="false">
      <c r="A389" s="5" t="s">
        <v>9664</v>
      </c>
      <c r="B389" s="2" t="s">
        <v>9665</v>
      </c>
      <c r="C389" s="5" t="s">
        <v>2128</v>
      </c>
      <c r="D389" s="5" t="s">
        <v>62</v>
      </c>
      <c r="E389" s="5" t="n">
        <v>8</v>
      </c>
      <c r="F389" s="5" t="s">
        <v>413</v>
      </c>
      <c r="G389" s="2" t="s">
        <v>8262</v>
      </c>
      <c r="H389" s="5" t="s">
        <v>8336</v>
      </c>
      <c r="I389" s="5"/>
      <c r="J389" s="5"/>
      <c r="K389" s="5" t="s">
        <v>9666</v>
      </c>
    </row>
    <row r="390" customFormat="false" ht="15" hidden="false" customHeight="false" outlineLevel="0" collapsed="false">
      <c r="A390" s="5" t="s">
        <v>9667</v>
      </c>
      <c r="B390" s="2" t="s">
        <v>9668</v>
      </c>
      <c r="C390" s="5" t="s">
        <v>2128</v>
      </c>
      <c r="D390" s="5" t="s">
        <v>62</v>
      </c>
      <c r="E390" s="5" t="n">
        <v>9</v>
      </c>
      <c r="F390" s="5" t="s">
        <v>8795</v>
      </c>
      <c r="G390" s="2" t="s">
        <v>2349</v>
      </c>
      <c r="H390" s="5" t="s">
        <v>8336</v>
      </c>
      <c r="I390" s="5"/>
      <c r="J390" s="5"/>
      <c r="K390" s="5" t="s">
        <v>9669</v>
      </c>
    </row>
    <row r="391" customFormat="false" ht="15" hidden="false" customHeight="false" outlineLevel="0" collapsed="false">
      <c r="A391" s="5" t="s">
        <v>9670</v>
      </c>
      <c r="B391" s="2" t="s">
        <v>9671</v>
      </c>
      <c r="C391" s="5" t="s">
        <v>2128</v>
      </c>
      <c r="D391" s="5" t="s">
        <v>62</v>
      </c>
      <c r="E391" s="5" t="n">
        <v>8</v>
      </c>
      <c r="F391" s="5" t="s">
        <v>9619</v>
      </c>
      <c r="G391" s="2" t="s">
        <v>2349</v>
      </c>
      <c r="H391" s="5" t="s">
        <v>8336</v>
      </c>
      <c r="I391" s="5"/>
      <c r="J391" s="5"/>
      <c r="K391" s="5" t="s">
        <v>9672</v>
      </c>
    </row>
    <row r="392" customFormat="false" ht="15" hidden="false" customHeight="false" outlineLevel="0" collapsed="false">
      <c r="A392" s="5" t="s">
        <v>2347</v>
      </c>
      <c r="B392" s="2" t="s">
        <v>2348</v>
      </c>
      <c r="C392" s="5" t="s">
        <v>2128</v>
      </c>
      <c r="D392" s="5" t="s">
        <v>62</v>
      </c>
      <c r="E392" s="5" t="n">
        <v>9</v>
      </c>
      <c r="F392" s="5" t="s">
        <v>90</v>
      </c>
      <c r="G392" s="2" t="s">
        <v>2349</v>
      </c>
      <c r="H392" s="5" t="s">
        <v>8332</v>
      </c>
      <c r="I392" s="5" t="s">
        <v>60</v>
      </c>
      <c r="J392" s="5" t="s">
        <v>161</v>
      </c>
      <c r="K392" s="5" t="s">
        <v>2355</v>
      </c>
    </row>
    <row r="393" customFormat="false" ht="15" hidden="false" customHeight="false" outlineLevel="0" collapsed="false">
      <c r="A393" s="5" t="s">
        <v>2356</v>
      </c>
      <c r="B393" s="2" t="s">
        <v>2357</v>
      </c>
      <c r="C393" s="5" t="s">
        <v>2128</v>
      </c>
      <c r="D393" s="5" t="s">
        <v>62</v>
      </c>
      <c r="E393" s="5" t="n">
        <v>9</v>
      </c>
      <c r="F393" s="5" t="s">
        <v>90</v>
      </c>
      <c r="G393" s="2" t="s">
        <v>2349</v>
      </c>
      <c r="H393" s="5" t="s">
        <v>8332</v>
      </c>
      <c r="I393" s="5" t="s">
        <v>60</v>
      </c>
      <c r="J393" s="5" t="s">
        <v>161</v>
      </c>
      <c r="K393" s="5" t="s">
        <v>2361</v>
      </c>
    </row>
    <row r="394" customFormat="false" ht="15" hidden="false" customHeight="false" outlineLevel="0" collapsed="false">
      <c r="A394" s="5" t="s">
        <v>2362</v>
      </c>
      <c r="B394" s="2" t="s">
        <v>2363</v>
      </c>
      <c r="C394" s="5" t="s">
        <v>2128</v>
      </c>
      <c r="D394" s="5" t="s">
        <v>62</v>
      </c>
      <c r="E394" s="5" t="n">
        <v>9</v>
      </c>
      <c r="F394" s="5" t="s">
        <v>536</v>
      </c>
      <c r="G394" s="2" t="s">
        <v>2349</v>
      </c>
      <c r="H394" s="5" t="s">
        <v>8332</v>
      </c>
      <c r="I394" s="5" t="s">
        <v>60</v>
      </c>
      <c r="J394" s="5" t="s">
        <v>161</v>
      </c>
      <c r="K394" s="5" t="s">
        <v>2368</v>
      </c>
    </row>
    <row r="395" customFormat="false" ht="15" hidden="false" customHeight="false" outlineLevel="0" collapsed="false">
      <c r="A395" s="5" t="s">
        <v>2369</v>
      </c>
      <c r="B395" s="2" t="s">
        <v>2370</v>
      </c>
      <c r="C395" s="5" t="s">
        <v>2128</v>
      </c>
      <c r="D395" s="5" t="s">
        <v>62</v>
      </c>
      <c r="E395" s="5" t="n">
        <v>9</v>
      </c>
      <c r="F395" s="5" t="s">
        <v>536</v>
      </c>
      <c r="G395" s="2" t="s">
        <v>2349</v>
      </c>
      <c r="H395" s="5" t="s">
        <v>8332</v>
      </c>
      <c r="I395" s="5" t="s">
        <v>60</v>
      </c>
      <c r="J395" s="5" t="s">
        <v>161</v>
      </c>
      <c r="K395" s="5" t="s">
        <v>2373</v>
      </c>
    </row>
    <row r="396" customFormat="false" ht="15" hidden="false" customHeight="false" outlineLevel="0" collapsed="false">
      <c r="A396" s="5" t="s">
        <v>9673</v>
      </c>
      <c r="B396" s="2" t="s">
        <v>9674</v>
      </c>
      <c r="C396" s="5" t="s">
        <v>2128</v>
      </c>
      <c r="D396" s="5" t="s">
        <v>62</v>
      </c>
      <c r="E396" s="5" t="n">
        <v>7</v>
      </c>
      <c r="F396" s="5" t="s">
        <v>3005</v>
      </c>
      <c r="G396" s="2" t="s">
        <v>2349</v>
      </c>
      <c r="H396" s="5" t="s">
        <v>8336</v>
      </c>
      <c r="I396" s="5"/>
      <c r="J396" s="5"/>
      <c r="K396" s="5" t="s">
        <v>9675</v>
      </c>
    </row>
    <row r="397" customFormat="false" ht="23.85" hidden="false" customHeight="false" outlineLevel="0" collapsed="false">
      <c r="A397" s="5" t="s">
        <v>9676</v>
      </c>
      <c r="B397" s="2" t="s">
        <v>9677</v>
      </c>
      <c r="C397" s="5" t="s">
        <v>2128</v>
      </c>
      <c r="D397" s="5" t="s">
        <v>62</v>
      </c>
      <c r="E397" s="5" t="n">
        <v>9</v>
      </c>
      <c r="F397" s="5" t="s">
        <v>284</v>
      </c>
      <c r="G397" s="2" t="s">
        <v>9678</v>
      </c>
      <c r="H397" s="5" t="s">
        <v>8336</v>
      </c>
      <c r="I397" s="5"/>
      <c r="J397" s="5"/>
      <c r="K397" s="5" t="s">
        <v>9679</v>
      </c>
    </row>
    <row r="398" customFormat="false" ht="15" hidden="false" customHeight="false" outlineLevel="0" collapsed="false">
      <c r="A398" s="5" t="s">
        <v>9680</v>
      </c>
      <c r="B398" s="2" t="s">
        <v>9681</v>
      </c>
      <c r="C398" s="5" t="s">
        <v>2128</v>
      </c>
      <c r="D398" s="5" t="s">
        <v>62</v>
      </c>
      <c r="E398" s="5" t="n">
        <v>4</v>
      </c>
      <c r="F398" s="5" t="s">
        <v>284</v>
      </c>
      <c r="G398" s="2" t="s">
        <v>9678</v>
      </c>
      <c r="H398" s="5" t="s">
        <v>8336</v>
      </c>
      <c r="I398" s="5"/>
      <c r="J398" s="5"/>
      <c r="K398" s="5" t="s">
        <v>9682</v>
      </c>
    </row>
    <row r="399" customFormat="false" ht="15" hidden="false" customHeight="false" outlineLevel="0" collapsed="false">
      <c r="A399" s="5" t="s">
        <v>9683</v>
      </c>
      <c r="B399" s="2" t="s">
        <v>9684</v>
      </c>
      <c r="C399" s="5" t="s">
        <v>2128</v>
      </c>
      <c r="D399" s="5" t="s">
        <v>62</v>
      </c>
      <c r="E399" s="5" t="n">
        <v>6</v>
      </c>
      <c r="F399" s="5" t="s">
        <v>284</v>
      </c>
      <c r="G399" s="2" t="s">
        <v>9678</v>
      </c>
      <c r="H399" s="5" t="s">
        <v>8336</v>
      </c>
      <c r="I399" s="5"/>
      <c r="J399" s="5"/>
      <c r="K399" s="5" t="s">
        <v>9685</v>
      </c>
    </row>
    <row r="400" customFormat="false" ht="15" hidden="false" customHeight="false" outlineLevel="0" collapsed="false">
      <c r="A400" s="5" t="s">
        <v>9686</v>
      </c>
      <c r="B400" s="2" t="s">
        <v>9687</v>
      </c>
      <c r="C400" s="5" t="s">
        <v>2128</v>
      </c>
      <c r="D400" s="5" t="s">
        <v>62</v>
      </c>
      <c r="E400" s="5" t="n">
        <v>7</v>
      </c>
      <c r="F400" s="5" t="s">
        <v>9688</v>
      </c>
      <c r="G400" s="2" t="s">
        <v>9689</v>
      </c>
      <c r="H400" s="5" t="s">
        <v>8336</v>
      </c>
      <c r="I400" s="5"/>
      <c r="J400" s="5"/>
      <c r="K400" s="5" t="s">
        <v>9690</v>
      </c>
    </row>
    <row r="401" customFormat="false" ht="23.85" hidden="false" customHeight="false" outlineLevel="0" collapsed="false">
      <c r="A401" s="5" t="s">
        <v>728</v>
      </c>
      <c r="B401" s="2" t="s">
        <v>729</v>
      </c>
      <c r="C401" s="5" t="s">
        <v>488</v>
      </c>
      <c r="D401" s="5" t="s">
        <v>62</v>
      </c>
      <c r="E401" s="5" t="n">
        <v>9</v>
      </c>
      <c r="F401" s="5" t="s">
        <v>90</v>
      </c>
      <c r="G401" s="2" t="s">
        <v>730</v>
      </c>
      <c r="H401" s="5" t="s">
        <v>8332</v>
      </c>
      <c r="I401" s="5" t="s">
        <v>60</v>
      </c>
      <c r="J401" s="5" t="s">
        <v>161</v>
      </c>
      <c r="K401" s="5" t="s">
        <v>737</v>
      </c>
    </row>
    <row r="402" customFormat="false" ht="23.85" hidden="false" customHeight="false" outlineLevel="0" collapsed="false">
      <c r="A402" s="5" t="s">
        <v>9691</v>
      </c>
      <c r="B402" s="2" t="s">
        <v>9692</v>
      </c>
      <c r="C402" s="5" t="s">
        <v>2128</v>
      </c>
      <c r="D402" s="5" t="s">
        <v>62</v>
      </c>
      <c r="E402" s="5" t="n">
        <v>9</v>
      </c>
      <c r="F402" s="5" t="s">
        <v>284</v>
      </c>
      <c r="G402" s="2" t="s">
        <v>9693</v>
      </c>
      <c r="H402" s="5" t="s">
        <v>8336</v>
      </c>
      <c r="I402" s="5"/>
      <c r="J402" s="5"/>
      <c r="K402" s="5" t="s">
        <v>9694</v>
      </c>
    </row>
    <row r="403" customFormat="false" ht="23.85" hidden="false" customHeight="false" outlineLevel="0" collapsed="false">
      <c r="A403" s="5" t="s">
        <v>9695</v>
      </c>
      <c r="B403" s="2" t="s">
        <v>9696</v>
      </c>
      <c r="C403" s="5" t="s">
        <v>2128</v>
      </c>
      <c r="D403" s="5" t="s">
        <v>62</v>
      </c>
      <c r="E403" s="5" t="n">
        <v>7</v>
      </c>
      <c r="F403" s="5" t="s">
        <v>284</v>
      </c>
      <c r="G403" s="2" t="s">
        <v>9693</v>
      </c>
      <c r="H403" s="5" t="s">
        <v>8336</v>
      </c>
      <c r="I403" s="5"/>
      <c r="J403" s="5"/>
      <c r="K403" s="5" t="s">
        <v>9697</v>
      </c>
    </row>
    <row r="404" customFormat="false" ht="15" hidden="false" customHeight="false" outlineLevel="0" collapsed="false">
      <c r="A404" s="5" t="s">
        <v>9698</v>
      </c>
      <c r="B404" s="2" t="s">
        <v>9699</v>
      </c>
      <c r="C404" s="5" t="s">
        <v>2128</v>
      </c>
      <c r="D404" s="5" t="s">
        <v>62</v>
      </c>
      <c r="E404" s="5" t="n">
        <v>9</v>
      </c>
      <c r="F404" s="5" t="s">
        <v>1210</v>
      </c>
      <c r="G404" s="2" t="s">
        <v>9689</v>
      </c>
      <c r="H404" s="5" t="s">
        <v>8336</v>
      </c>
      <c r="I404" s="5"/>
      <c r="J404" s="5"/>
      <c r="K404" s="5" t="s">
        <v>9700</v>
      </c>
    </row>
    <row r="405" customFormat="false" ht="15" hidden="false" customHeight="false" outlineLevel="0" collapsed="false">
      <c r="A405" s="5" t="s">
        <v>9701</v>
      </c>
      <c r="B405" s="2" t="s">
        <v>9702</v>
      </c>
      <c r="C405" s="5" t="s">
        <v>2128</v>
      </c>
      <c r="D405" s="5" t="s">
        <v>62</v>
      </c>
      <c r="E405" s="5" t="n">
        <v>9</v>
      </c>
      <c r="F405" s="5" t="s">
        <v>1210</v>
      </c>
      <c r="G405" s="2" t="s">
        <v>9689</v>
      </c>
      <c r="H405" s="5" t="s">
        <v>8336</v>
      </c>
      <c r="I405" s="5"/>
      <c r="J405" s="5"/>
      <c r="K405" s="5" t="s">
        <v>9703</v>
      </c>
    </row>
    <row r="406" customFormat="false" ht="15" hidden="false" customHeight="false" outlineLevel="0" collapsed="false">
      <c r="A406" s="5" t="s">
        <v>9704</v>
      </c>
      <c r="B406" s="2" t="s">
        <v>9705</v>
      </c>
      <c r="C406" s="5" t="s">
        <v>2128</v>
      </c>
      <c r="D406" s="5" t="s">
        <v>62</v>
      </c>
      <c r="E406" s="5" t="n">
        <v>9</v>
      </c>
      <c r="F406" s="5" t="s">
        <v>1210</v>
      </c>
      <c r="G406" s="2" t="s">
        <v>9689</v>
      </c>
      <c r="H406" s="5" t="s">
        <v>8336</v>
      </c>
      <c r="I406" s="5"/>
      <c r="J406" s="5"/>
      <c r="K406" s="5" t="s">
        <v>9706</v>
      </c>
    </row>
    <row r="407" customFormat="false" ht="23.85" hidden="false" customHeight="false" outlineLevel="0" collapsed="false">
      <c r="A407" s="5" t="s">
        <v>4837</v>
      </c>
      <c r="B407" s="2" t="s">
        <v>4838</v>
      </c>
      <c r="C407" s="5" t="s">
        <v>2128</v>
      </c>
      <c r="D407" s="5" t="s">
        <v>62</v>
      </c>
      <c r="E407" s="5" t="n">
        <v>9</v>
      </c>
      <c r="F407" s="5" t="s">
        <v>481</v>
      </c>
      <c r="G407" s="2" t="s">
        <v>4839</v>
      </c>
      <c r="H407" s="5" t="s">
        <v>8332</v>
      </c>
      <c r="I407" s="5" t="s">
        <v>4760</v>
      </c>
      <c r="J407" s="5" t="s">
        <v>481</v>
      </c>
      <c r="K407" s="5" t="s">
        <v>4845</v>
      </c>
    </row>
    <row r="408" customFormat="false" ht="23.85" hidden="false" customHeight="false" outlineLevel="0" collapsed="false">
      <c r="A408" s="5" t="s">
        <v>4846</v>
      </c>
      <c r="B408" s="2" t="s">
        <v>4847</v>
      </c>
      <c r="C408" s="5" t="s">
        <v>2128</v>
      </c>
      <c r="D408" s="5" t="s">
        <v>62</v>
      </c>
      <c r="E408" s="5" t="n">
        <v>4</v>
      </c>
      <c r="F408" s="5" t="s">
        <v>481</v>
      </c>
      <c r="G408" s="2" t="s">
        <v>4839</v>
      </c>
      <c r="H408" s="5" t="s">
        <v>8332</v>
      </c>
      <c r="I408" s="5" t="s">
        <v>4760</v>
      </c>
      <c r="J408" s="5" t="s">
        <v>481</v>
      </c>
      <c r="K408" s="5" t="s">
        <v>4850</v>
      </c>
    </row>
    <row r="409" customFormat="false" ht="23.85" hidden="false" customHeight="false" outlineLevel="0" collapsed="false">
      <c r="A409" s="5" t="s">
        <v>4851</v>
      </c>
      <c r="B409" s="2" t="s">
        <v>4852</v>
      </c>
      <c r="C409" s="5" t="s">
        <v>2128</v>
      </c>
      <c r="D409" s="5" t="s">
        <v>62</v>
      </c>
      <c r="E409" s="5" t="n">
        <v>7</v>
      </c>
      <c r="F409" s="5" t="s">
        <v>481</v>
      </c>
      <c r="G409" s="2" t="s">
        <v>4839</v>
      </c>
      <c r="H409" s="5" t="s">
        <v>8332</v>
      </c>
      <c r="I409" s="5" t="s">
        <v>4760</v>
      </c>
      <c r="J409" s="5" t="s">
        <v>481</v>
      </c>
      <c r="K409" s="5" t="s">
        <v>4855</v>
      </c>
    </row>
    <row r="410" customFormat="false" ht="15" hidden="false" customHeight="false" outlineLevel="0" collapsed="false">
      <c r="A410" s="5" t="s">
        <v>9707</v>
      </c>
      <c r="B410" s="2" t="s">
        <v>9708</v>
      </c>
      <c r="C410" s="5" t="s">
        <v>2128</v>
      </c>
      <c r="D410" s="5" t="s">
        <v>62</v>
      </c>
      <c r="E410" s="5" t="n">
        <v>10</v>
      </c>
      <c r="F410" s="5" t="s">
        <v>1814</v>
      </c>
      <c r="G410" s="2" t="s">
        <v>9709</v>
      </c>
      <c r="H410" s="5" t="s">
        <v>8336</v>
      </c>
      <c r="I410" s="5"/>
      <c r="J410" s="5"/>
      <c r="K410" s="5" t="s">
        <v>9710</v>
      </c>
    </row>
    <row r="411" customFormat="false" ht="15" hidden="false" customHeight="false" outlineLevel="0" collapsed="false">
      <c r="A411" s="5" t="s">
        <v>9711</v>
      </c>
      <c r="B411" s="2" t="s">
        <v>9712</v>
      </c>
      <c r="C411" s="5" t="s">
        <v>2128</v>
      </c>
      <c r="D411" s="5" t="s">
        <v>62</v>
      </c>
      <c r="E411" s="5" t="n">
        <v>9</v>
      </c>
      <c r="F411" s="5" t="s">
        <v>1814</v>
      </c>
      <c r="G411" s="2" t="s">
        <v>9709</v>
      </c>
      <c r="H411" s="5" t="s">
        <v>8336</v>
      </c>
      <c r="I411" s="5"/>
      <c r="J411" s="5"/>
      <c r="K411" s="5" t="s">
        <v>9713</v>
      </c>
    </row>
    <row r="412" customFormat="false" ht="15" hidden="false" customHeight="false" outlineLevel="0" collapsed="false">
      <c r="A412" s="5" t="s">
        <v>9714</v>
      </c>
      <c r="B412" s="2" t="s">
        <v>9715</v>
      </c>
      <c r="C412" s="5" t="s">
        <v>2128</v>
      </c>
      <c r="D412" s="5" t="s">
        <v>62</v>
      </c>
      <c r="E412" s="5" t="n">
        <v>9</v>
      </c>
      <c r="F412" s="5" t="s">
        <v>284</v>
      </c>
      <c r="G412" s="2" t="s">
        <v>9709</v>
      </c>
      <c r="H412" s="5" t="s">
        <v>8336</v>
      </c>
      <c r="I412" s="5"/>
      <c r="J412" s="5"/>
      <c r="K412" s="5" t="s">
        <v>9716</v>
      </c>
    </row>
    <row r="413" customFormat="false" ht="15" hidden="false" customHeight="false" outlineLevel="0" collapsed="false">
      <c r="A413" s="5" t="s">
        <v>9717</v>
      </c>
      <c r="B413" s="2" t="s">
        <v>9718</v>
      </c>
      <c r="C413" s="5" t="s">
        <v>2128</v>
      </c>
      <c r="D413" s="5" t="s">
        <v>62</v>
      </c>
      <c r="E413" s="5" t="n">
        <v>9</v>
      </c>
      <c r="F413" s="5" t="s">
        <v>284</v>
      </c>
      <c r="G413" s="2" t="s">
        <v>9709</v>
      </c>
      <c r="H413" s="5" t="s">
        <v>8336</v>
      </c>
      <c r="I413" s="5"/>
      <c r="J413" s="5"/>
      <c r="K413" s="5" t="s">
        <v>9719</v>
      </c>
    </row>
    <row r="414" customFormat="false" ht="15" hidden="false" customHeight="false" outlineLevel="0" collapsed="false">
      <c r="A414" s="5" t="s">
        <v>9720</v>
      </c>
      <c r="B414" s="2" t="s">
        <v>9721</v>
      </c>
      <c r="C414" s="5" t="s">
        <v>2128</v>
      </c>
      <c r="D414" s="5" t="s">
        <v>62</v>
      </c>
      <c r="E414" s="5" t="n">
        <v>9</v>
      </c>
      <c r="F414" s="5" t="s">
        <v>284</v>
      </c>
      <c r="G414" s="2" t="s">
        <v>9722</v>
      </c>
      <c r="H414" s="5" t="s">
        <v>8336</v>
      </c>
      <c r="I414" s="5"/>
      <c r="J414" s="5"/>
      <c r="K414" s="5" t="s">
        <v>9723</v>
      </c>
    </row>
    <row r="415" customFormat="false" ht="15" hidden="false" customHeight="false" outlineLevel="0" collapsed="false">
      <c r="A415" s="5" t="s">
        <v>9724</v>
      </c>
      <c r="B415" s="2" t="s">
        <v>9725</v>
      </c>
      <c r="C415" s="5" t="s">
        <v>2128</v>
      </c>
      <c r="D415" s="5" t="s">
        <v>62</v>
      </c>
      <c r="E415" s="5" t="n">
        <v>4</v>
      </c>
      <c r="F415" s="5" t="s">
        <v>284</v>
      </c>
      <c r="G415" s="2" t="s">
        <v>9709</v>
      </c>
      <c r="H415" s="5" t="s">
        <v>8336</v>
      </c>
      <c r="I415" s="5"/>
      <c r="J415" s="5"/>
      <c r="K415" s="5" t="s">
        <v>9726</v>
      </c>
    </row>
    <row r="416" customFormat="false" ht="15" hidden="false" customHeight="false" outlineLevel="0" collapsed="false">
      <c r="A416" s="5" t="s">
        <v>9727</v>
      </c>
      <c r="B416" s="2" t="s">
        <v>9728</v>
      </c>
      <c r="C416" s="5" t="s">
        <v>2128</v>
      </c>
      <c r="D416" s="5" t="s">
        <v>62</v>
      </c>
      <c r="E416" s="5" t="n">
        <v>4</v>
      </c>
      <c r="F416" s="5" t="s">
        <v>284</v>
      </c>
      <c r="G416" s="2" t="s">
        <v>9709</v>
      </c>
      <c r="H416" s="5" t="s">
        <v>8336</v>
      </c>
      <c r="I416" s="5"/>
      <c r="J416" s="5"/>
      <c r="K416" s="5" t="s">
        <v>9729</v>
      </c>
    </row>
    <row r="417" customFormat="false" ht="15" hidden="false" customHeight="false" outlineLevel="0" collapsed="false">
      <c r="A417" s="5" t="s">
        <v>9730</v>
      </c>
      <c r="B417" s="2" t="s">
        <v>9731</v>
      </c>
      <c r="C417" s="5" t="s">
        <v>2128</v>
      </c>
      <c r="D417" s="5" t="s">
        <v>62</v>
      </c>
      <c r="E417" s="5" t="n">
        <v>4</v>
      </c>
      <c r="F417" s="5" t="s">
        <v>284</v>
      </c>
      <c r="G417" s="2" t="s">
        <v>9722</v>
      </c>
      <c r="H417" s="5" t="s">
        <v>8336</v>
      </c>
      <c r="I417" s="5"/>
      <c r="J417" s="5"/>
      <c r="K417" s="5" t="s">
        <v>9732</v>
      </c>
    </row>
    <row r="418" customFormat="false" ht="15" hidden="false" customHeight="false" outlineLevel="0" collapsed="false">
      <c r="A418" s="5" t="s">
        <v>9733</v>
      </c>
      <c r="B418" s="2" t="s">
        <v>9734</v>
      </c>
      <c r="C418" s="5" t="s">
        <v>2128</v>
      </c>
      <c r="D418" s="5" t="s">
        <v>62</v>
      </c>
      <c r="E418" s="5" t="n">
        <v>7</v>
      </c>
      <c r="F418" s="5" t="s">
        <v>1814</v>
      </c>
      <c r="G418" s="2" t="s">
        <v>9709</v>
      </c>
      <c r="H418" s="5" t="s">
        <v>8336</v>
      </c>
      <c r="I418" s="5"/>
      <c r="J418" s="5"/>
      <c r="K418" s="5" t="s">
        <v>9735</v>
      </c>
    </row>
    <row r="419" customFormat="false" ht="15" hidden="false" customHeight="false" outlineLevel="0" collapsed="false">
      <c r="A419" s="5" t="s">
        <v>9736</v>
      </c>
      <c r="B419" s="2" t="s">
        <v>9737</v>
      </c>
      <c r="C419" s="5" t="s">
        <v>2128</v>
      </c>
      <c r="D419" s="5" t="s">
        <v>62</v>
      </c>
      <c r="E419" s="5" t="n">
        <v>7</v>
      </c>
      <c r="F419" s="5" t="s">
        <v>284</v>
      </c>
      <c r="G419" s="2" t="s">
        <v>9709</v>
      </c>
      <c r="H419" s="5" t="s">
        <v>8336</v>
      </c>
      <c r="I419" s="5"/>
      <c r="J419" s="5"/>
      <c r="K419" s="5" t="s">
        <v>9738</v>
      </c>
    </row>
    <row r="420" customFormat="false" ht="15" hidden="false" customHeight="false" outlineLevel="0" collapsed="false">
      <c r="A420" s="5" t="s">
        <v>9739</v>
      </c>
      <c r="B420" s="2" t="s">
        <v>9740</v>
      </c>
      <c r="C420" s="5" t="s">
        <v>2128</v>
      </c>
      <c r="D420" s="5" t="s">
        <v>62</v>
      </c>
      <c r="E420" s="5" t="n">
        <v>7</v>
      </c>
      <c r="F420" s="5" t="s">
        <v>284</v>
      </c>
      <c r="G420" s="2" t="s">
        <v>9709</v>
      </c>
      <c r="H420" s="5" t="s">
        <v>8336</v>
      </c>
      <c r="I420" s="5"/>
      <c r="J420" s="5"/>
      <c r="K420" s="5" t="s">
        <v>9741</v>
      </c>
    </row>
    <row r="421" customFormat="false" ht="15" hidden="false" customHeight="false" outlineLevel="0" collapsed="false">
      <c r="A421" s="5" t="s">
        <v>9742</v>
      </c>
      <c r="B421" s="2" t="s">
        <v>9743</v>
      </c>
      <c r="C421" s="5" t="s">
        <v>2128</v>
      </c>
      <c r="D421" s="5" t="s">
        <v>62</v>
      </c>
      <c r="E421" s="5" t="n">
        <v>7</v>
      </c>
      <c r="F421" s="5" t="s">
        <v>284</v>
      </c>
      <c r="G421" s="2" t="s">
        <v>9722</v>
      </c>
      <c r="H421" s="5" t="s">
        <v>8336</v>
      </c>
      <c r="I421" s="5"/>
      <c r="J421" s="5"/>
      <c r="K421" s="5" t="s">
        <v>9744</v>
      </c>
    </row>
    <row r="422" customFormat="false" ht="15" hidden="false" customHeight="false" outlineLevel="0" collapsed="false">
      <c r="A422" s="5" t="s">
        <v>4856</v>
      </c>
      <c r="B422" s="2" t="s">
        <v>4857</v>
      </c>
      <c r="C422" s="5" t="s">
        <v>2128</v>
      </c>
      <c r="D422" s="5" t="s">
        <v>62</v>
      </c>
      <c r="E422" s="5" t="n">
        <v>9</v>
      </c>
      <c r="F422" s="5" t="s">
        <v>2079</v>
      </c>
      <c r="G422" s="2" t="s">
        <v>4806</v>
      </c>
      <c r="H422" s="5" t="s">
        <v>8332</v>
      </c>
      <c r="I422" s="5" t="s">
        <v>4760</v>
      </c>
      <c r="J422" s="5" t="s">
        <v>2079</v>
      </c>
      <c r="K422" s="5" t="s">
        <v>4862</v>
      </c>
    </row>
    <row r="423" customFormat="false" ht="23.85" hidden="false" customHeight="false" outlineLevel="0" collapsed="false">
      <c r="A423" s="5" t="s">
        <v>4863</v>
      </c>
      <c r="B423" s="2" t="s">
        <v>4864</v>
      </c>
      <c r="C423" s="5" t="s">
        <v>2128</v>
      </c>
      <c r="D423" s="5" t="s">
        <v>62</v>
      </c>
      <c r="E423" s="5" t="n">
        <v>9</v>
      </c>
      <c r="F423" s="5" t="s">
        <v>2079</v>
      </c>
      <c r="G423" s="2" t="s">
        <v>4806</v>
      </c>
      <c r="H423" s="5" t="s">
        <v>8332</v>
      </c>
      <c r="I423" s="5" t="s">
        <v>4760</v>
      </c>
      <c r="J423" s="5" t="s">
        <v>2079</v>
      </c>
      <c r="K423" s="5" t="s">
        <v>4870</v>
      </c>
    </row>
    <row r="424" customFormat="false" ht="23.85" hidden="false" customHeight="false" outlineLevel="0" collapsed="false">
      <c r="A424" s="5" t="s">
        <v>9745</v>
      </c>
      <c r="B424" s="2" t="s">
        <v>9746</v>
      </c>
      <c r="C424" s="5" t="s">
        <v>2128</v>
      </c>
      <c r="D424" s="5" t="s">
        <v>62</v>
      </c>
      <c r="E424" s="5" t="n">
        <v>9</v>
      </c>
      <c r="F424" s="5" t="s">
        <v>1210</v>
      </c>
      <c r="G424" s="2" t="s">
        <v>4806</v>
      </c>
      <c r="H424" s="5" t="s">
        <v>8336</v>
      </c>
      <c r="I424" s="5"/>
      <c r="J424" s="5"/>
      <c r="K424" s="5" t="s">
        <v>9747</v>
      </c>
    </row>
    <row r="425" customFormat="false" ht="15" hidden="false" customHeight="false" outlineLevel="0" collapsed="false">
      <c r="A425" s="5" t="s">
        <v>9748</v>
      </c>
      <c r="B425" s="2" t="s">
        <v>9749</v>
      </c>
      <c r="C425" s="5" t="s">
        <v>2128</v>
      </c>
      <c r="D425" s="5" t="s">
        <v>62</v>
      </c>
      <c r="E425" s="5" t="n">
        <v>9</v>
      </c>
      <c r="F425" s="5" t="s">
        <v>8795</v>
      </c>
      <c r="G425" s="2" t="s">
        <v>4873</v>
      </c>
      <c r="H425" s="5" t="s">
        <v>8336</v>
      </c>
      <c r="I425" s="5"/>
      <c r="J425" s="5"/>
      <c r="K425" s="5" t="s">
        <v>9750</v>
      </c>
    </row>
    <row r="426" customFormat="false" ht="23.85" hidden="false" customHeight="false" outlineLevel="0" collapsed="false">
      <c r="A426" s="5" t="s">
        <v>9751</v>
      </c>
      <c r="B426" s="2" t="s">
        <v>9752</v>
      </c>
      <c r="C426" s="5" t="s">
        <v>2128</v>
      </c>
      <c r="D426" s="5" t="s">
        <v>62</v>
      </c>
      <c r="E426" s="5" t="n">
        <v>9</v>
      </c>
      <c r="F426" s="5" t="s">
        <v>8902</v>
      </c>
      <c r="G426" s="2" t="s">
        <v>4873</v>
      </c>
      <c r="H426" s="5" t="s">
        <v>8336</v>
      </c>
      <c r="I426" s="5"/>
      <c r="J426" s="5"/>
      <c r="K426" s="5" t="s">
        <v>9753</v>
      </c>
    </row>
    <row r="427" customFormat="false" ht="23.85" hidden="false" customHeight="false" outlineLevel="0" collapsed="false">
      <c r="A427" s="5" t="s">
        <v>9754</v>
      </c>
      <c r="B427" s="2" t="s">
        <v>9755</v>
      </c>
      <c r="C427" s="5" t="s">
        <v>2128</v>
      </c>
      <c r="D427" s="5" t="s">
        <v>62</v>
      </c>
      <c r="E427" s="5" t="n">
        <v>9</v>
      </c>
      <c r="F427" s="5" t="s">
        <v>8902</v>
      </c>
      <c r="G427" s="2" t="s">
        <v>4873</v>
      </c>
      <c r="H427" s="5" t="s">
        <v>8336</v>
      </c>
      <c r="I427" s="5"/>
      <c r="J427" s="5"/>
      <c r="K427" s="5" t="s">
        <v>9756</v>
      </c>
    </row>
    <row r="428" customFormat="false" ht="23.85" hidden="false" customHeight="false" outlineLevel="0" collapsed="false">
      <c r="A428" s="5" t="s">
        <v>4871</v>
      </c>
      <c r="B428" s="2" t="s">
        <v>4872</v>
      </c>
      <c r="C428" s="5" t="s">
        <v>2128</v>
      </c>
      <c r="D428" s="5" t="s">
        <v>62</v>
      </c>
      <c r="E428" s="5" t="n">
        <v>9</v>
      </c>
      <c r="F428" s="5" t="s">
        <v>2079</v>
      </c>
      <c r="G428" s="2" t="s">
        <v>4873</v>
      </c>
      <c r="H428" s="5" t="s">
        <v>8332</v>
      </c>
      <c r="I428" s="5" t="s">
        <v>4760</v>
      </c>
      <c r="J428" s="5" t="s">
        <v>2079</v>
      </c>
      <c r="K428" s="5" t="s">
        <v>4879</v>
      </c>
    </row>
    <row r="429" customFormat="false" ht="15" hidden="false" customHeight="false" outlineLevel="0" collapsed="false">
      <c r="A429" s="5" t="s">
        <v>9757</v>
      </c>
      <c r="B429" s="2" t="s">
        <v>9758</v>
      </c>
      <c r="C429" s="5" t="s">
        <v>2128</v>
      </c>
      <c r="D429" s="5" t="s">
        <v>62</v>
      </c>
      <c r="E429" s="5" t="n">
        <v>9</v>
      </c>
      <c r="F429" s="5" t="s">
        <v>8902</v>
      </c>
      <c r="G429" s="2" t="s">
        <v>4873</v>
      </c>
      <c r="H429" s="5" t="s">
        <v>8336</v>
      </c>
      <c r="I429" s="5"/>
      <c r="J429" s="5"/>
      <c r="K429" s="5" t="s">
        <v>9759</v>
      </c>
    </row>
    <row r="430" customFormat="false" ht="15" hidden="false" customHeight="false" outlineLevel="0" collapsed="false">
      <c r="A430" s="5" t="s">
        <v>9760</v>
      </c>
      <c r="B430" s="2" t="s">
        <v>9761</v>
      </c>
      <c r="C430" s="5" t="s">
        <v>2128</v>
      </c>
      <c r="D430" s="5" t="s">
        <v>62</v>
      </c>
      <c r="E430" s="5" t="n">
        <v>7</v>
      </c>
      <c r="F430" s="5" t="s">
        <v>413</v>
      </c>
      <c r="G430" s="2" t="s">
        <v>4873</v>
      </c>
      <c r="H430" s="5" t="s">
        <v>8336</v>
      </c>
      <c r="I430" s="5"/>
      <c r="J430" s="5"/>
      <c r="K430" s="5" t="s">
        <v>9762</v>
      </c>
    </row>
    <row r="431" customFormat="false" ht="15" hidden="false" customHeight="false" outlineLevel="0" collapsed="false">
      <c r="A431" s="5" t="s">
        <v>9763</v>
      </c>
      <c r="B431" s="2" t="s">
        <v>9764</v>
      </c>
      <c r="C431" s="5" t="s">
        <v>2128</v>
      </c>
      <c r="D431" s="5" t="s">
        <v>62</v>
      </c>
      <c r="E431" s="5" t="n">
        <v>9</v>
      </c>
      <c r="F431" s="5" t="s">
        <v>413</v>
      </c>
      <c r="G431" s="2" t="s">
        <v>4873</v>
      </c>
      <c r="H431" s="5" t="s">
        <v>8336</v>
      </c>
      <c r="I431" s="5"/>
      <c r="J431" s="5"/>
      <c r="K431" s="5" t="s">
        <v>9765</v>
      </c>
    </row>
    <row r="432" customFormat="false" ht="15" hidden="false" customHeight="false" outlineLevel="0" collapsed="false">
      <c r="A432" s="5" t="s">
        <v>9766</v>
      </c>
      <c r="B432" s="2" t="s">
        <v>9767</v>
      </c>
      <c r="C432" s="5" t="s">
        <v>2128</v>
      </c>
      <c r="D432" s="5" t="s">
        <v>62</v>
      </c>
      <c r="E432" s="5" t="n">
        <v>7</v>
      </c>
      <c r="F432" s="5" t="s">
        <v>8902</v>
      </c>
      <c r="G432" s="2" t="s">
        <v>4873</v>
      </c>
      <c r="H432" s="5" t="s">
        <v>8336</v>
      </c>
      <c r="I432" s="5"/>
      <c r="J432" s="5"/>
      <c r="K432" s="5" t="s">
        <v>9768</v>
      </c>
    </row>
    <row r="433" customFormat="false" ht="15" hidden="false" customHeight="false" outlineLevel="0" collapsed="false">
      <c r="A433" s="5" t="s">
        <v>9769</v>
      </c>
      <c r="B433" s="2" t="s">
        <v>9770</v>
      </c>
      <c r="C433" s="5" t="s">
        <v>2128</v>
      </c>
      <c r="D433" s="5" t="s">
        <v>62</v>
      </c>
      <c r="E433" s="5" t="n">
        <v>9</v>
      </c>
      <c r="F433" s="5" t="s">
        <v>8902</v>
      </c>
      <c r="G433" s="2" t="s">
        <v>4873</v>
      </c>
      <c r="H433" s="5" t="s">
        <v>8336</v>
      </c>
      <c r="I433" s="5"/>
      <c r="J433" s="5"/>
      <c r="K433" s="5" t="s">
        <v>9771</v>
      </c>
    </row>
    <row r="434" customFormat="false" ht="15" hidden="false" customHeight="false" outlineLevel="0" collapsed="false">
      <c r="A434" s="5" t="s">
        <v>9772</v>
      </c>
      <c r="B434" s="2" t="s">
        <v>9773</v>
      </c>
      <c r="C434" s="5" t="s">
        <v>2128</v>
      </c>
      <c r="D434" s="5" t="s">
        <v>62</v>
      </c>
      <c r="E434" s="5" t="n">
        <v>4</v>
      </c>
      <c r="F434" s="5" t="s">
        <v>9196</v>
      </c>
      <c r="G434" s="2" t="s">
        <v>2376</v>
      </c>
      <c r="H434" s="5" t="s">
        <v>8336</v>
      </c>
      <c r="I434" s="5"/>
      <c r="J434" s="5"/>
      <c r="K434" s="5" t="s">
        <v>9774</v>
      </c>
    </row>
    <row r="435" customFormat="false" ht="15" hidden="false" customHeight="false" outlineLevel="0" collapsed="false">
      <c r="A435" s="5" t="s">
        <v>9775</v>
      </c>
      <c r="B435" s="2" t="s">
        <v>9776</v>
      </c>
      <c r="C435" s="5" t="s">
        <v>2128</v>
      </c>
      <c r="D435" s="5" t="s">
        <v>62</v>
      </c>
      <c r="E435" s="5" t="n">
        <v>9</v>
      </c>
      <c r="F435" s="5" t="s">
        <v>9196</v>
      </c>
      <c r="G435" s="2" t="s">
        <v>2376</v>
      </c>
      <c r="H435" s="5" t="s">
        <v>8336</v>
      </c>
      <c r="I435" s="5"/>
      <c r="J435" s="5"/>
      <c r="K435" s="5" t="s">
        <v>9777</v>
      </c>
    </row>
    <row r="436" customFormat="false" ht="15" hidden="false" customHeight="false" outlineLevel="0" collapsed="false">
      <c r="A436" s="5" t="s">
        <v>9778</v>
      </c>
      <c r="B436" s="2" t="s">
        <v>9779</v>
      </c>
      <c r="C436" s="5" t="s">
        <v>2128</v>
      </c>
      <c r="D436" s="5" t="s">
        <v>490</v>
      </c>
      <c r="E436" s="5" t="n">
        <v>10</v>
      </c>
      <c r="F436" s="5" t="s">
        <v>9196</v>
      </c>
      <c r="G436" s="2" t="s">
        <v>2376</v>
      </c>
      <c r="H436" s="5" t="s">
        <v>8336</v>
      </c>
      <c r="I436" s="5"/>
      <c r="J436" s="5"/>
      <c r="K436" s="5" t="s">
        <v>9780</v>
      </c>
    </row>
    <row r="437" customFormat="false" ht="15" hidden="false" customHeight="false" outlineLevel="0" collapsed="false">
      <c r="A437" s="5" t="s">
        <v>9781</v>
      </c>
      <c r="B437" s="2" t="s">
        <v>9782</v>
      </c>
      <c r="C437" s="5" t="s">
        <v>2128</v>
      </c>
      <c r="D437" s="5" t="s">
        <v>62</v>
      </c>
      <c r="E437" s="5" t="n">
        <v>9</v>
      </c>
      <c r="F437" s="5" t="s">
        <v>9196</v>
      </c>
      <c r="G437" s="2" t="s">
        <v>2376</v>
      </c>
      <c r="H437" s="5" t="s">
        <v>8336</v>
      </c>
      <c r="I437" s="5"/>
      <c r="J437" s="5"/>
      <c r="K437" s="5" t="s">
        <v>9783</v>
      </c>
    </row>
    <row r="438" customFormat="false" ht="15" hidden="false" customHeight="false" outlineLevel="0" collapsed="false">
      <c r="A438" s="5" t="s">
        <v>9784</v>
      </c>
      <c r="B438" s="2" t="s">
        <v>9785</v>
      </c>
      <c r="C438" s="5" t="s">
        <v>2128</v>
      </c>
      <c r="D438" s="5" t="s">
        <v>62</v>
      </c>
      <c r="E438" s="5" t="n">
        <v>6</v>
      </c>
      <c r="F438" s="5" t="s">
        <v>9196</v>
      </c>
      <c r="G438" s="2" t="s">
        <v>2376</v>
      </c>
      <c r="H438" s="5" t="s">
        <v>8336</v>
      </c>
      <c r="I438" s="5"/>
      <c r="J438" s="5"/>
      <c r="K438" s="5" t="s">
        <v>9786</v>
      </c>
    </row>
    <row r="439" customFormat="false" ht="23.85" hidden="false" customHeight="false" outlineLevel="0" collapsed="false">
      <c r="A439" s="5" t="s">
        <v>9787</v>
      </c>
      <c r="B439" s="2" t="s">
        <v>9788</v>
      </c>
      <c r="C439" s="5" t="s">
        <v>2128</v>
      </c>
      <c r="D439" s="5" t="s">
        <v>62</v>
      </c>
      <c r="E439" s="5" t="n">
        <v>9</v>
      </c>
      <c r="F439" s="5" t="s">
        <v>9196</v>
      </c>
      <c r="G439" s="2" t="s">
        <v>2376</v>
      </c>
      <c r="H439" s="5" t="s">
        <v>8336</v>
      </c>
      <c r="I439" s="5"/>
      <c r="J439" s="5"/>
      <c r="K439" s="5" t="s">
        <v>9789</v>
      </c>
    </row>
    <row r="440" customFormat="false" ht="15" hidden="false" customHeight="false" outlineLevel="0" collapsed="false">
      <c r="A440" s="5" t="s">
        <v>9790</v>
      </c>
      <c r="B440" s="2" t="s">
        <v>9791</v>
      </c>
      <c r="C440" s="5" t="s">
        <v>2128</v>
      </c>
      <c r="D440" s="5" t="s">
        <v>62</v>
      </c>
      <c r="E440" s="5" t="n">
        <v>4</v>
      </c>
      <c r="F440" s="5" t="s">
        <v>9196</v>
      </c>
      <c r="G440" s="2" t="s">
        <v>2376</v>
      </c>
      <c r="H440" s="5" t="s">
        <v>8336</v>
      </c>
      <c r="I440" s="5"/>
      <c r="J440" s="5"/>
      <c r="K440" s="5" t="s">
        <v>9792</v>
      </c>
    </row>
    <row r="441" customFormat="false" ht="15" hidden="false" customHeight="false" outlineLevel="0" collapsed="false">
      <c r="A441" s="5" t="s">
        <v>9793</v>
      </c>
      <c r="B441" s="2" t="s">
        <v>9794</v>
      </c>
      <c r="C441" s="5" t="s">
        <v>2128</v>
      </c>
      <c r="D441" s="5" t="s">
        <v>62</v>
      </c>
      <c r="E441" s="5" t="n">
        <v>7</v>
      </c>
      <c r="F441" s="5" t="s">
        <v>9196</v>
      </c>
      <c r="G441" s="2" t="s">
        <v>9196</v>
      </c>
      <c r="H441" s="5" t="s">
        <v>8336</v>
      </c>
      <c r="I441" s="5"/>
      <c r="J441" s="5"/>
      <c r="K441" s="5" t="s">
        <v>9795</v>
      </c>
    </row>
    <row r="442" customFormat="false" ht="15" hidden="false" customHeight="false" outlineLevel="0" collapsed="false">
      <c r="A442" s="5" t="s">
        <v>9796</v>
      </c>
      <c r="B442" s="2" t="s">
        <v>9797</v>
      </c>
      <c r="C442" s="5" t="s">
        <v>2128</v>
      </c>
      <c r="D442" s="5" t="s">
        <v>62</v>
      </c>
      <c r="E442" s="5" t="n">
        <v>9</v>
      </c>
      <c r="F442" s="5" t="s">
        <v>9196</v>
      </c>
      <c r="G442" s="2" t="s">
        <v>2376</v>
      </c>
      <c r="H442" s="5" t="s">
        <v>8336</v>
      </c>
      <c r="I442" s="5"/>
      <c r="J442" s="5"/>
      <c r="K442" s="5" t="s">
        <v>9798</v>
      </c>
    </row>
    <row r="443" customFormat="false" ht="15" hidden="false" customHeight="false" outlineLevel="0" collapsed="false">
      <c r="A443" s="5" t="s">
        <v>9799</v>
      </c>
      <c r="B443" s="2" t="s">
        <v>9800</v>
      </c>
      <c r="C443" s="5" t="s">
        <v>2128</v>
      </c>
      <c r="D443" s="5" t="s">
        <v>62</v>
      </c>
      <c r="E443" s="5" t="n">
        <v>4</v>
      </c>
      <c r="F443" s="5" t="s">
        <v>9196</v>
      </c>
      <c r="G443" s="2" t="s">
        <v>2376</v>
      </c>
      <c r="H443" s="5" t="s">
        <v>8336</v>
      </c>
      <c r="I443" s="5"/>
      <c r="J443" s="5"/>
      <c r="K443" s="5" t="s">
        <v>9801</v>
      </c>
    </row>
    <row r="444" customFormat="false" ht="15" hidden="false" customHeight="false" outlineLevel="0" collapsed="false">
      <c r="A444" s="5" t="s">
        <v>9802</v>
      </c>
      <c r="B444" s="2" t="s">
        <v>9803</v>
      </c>
      <c r="C444" s="5" t="s">
        <v>2128</v>
      </c>
      <c r="D444" s="5" t="s">
        <v>62</v>
      </c>
      <c r="E444" s="5" t="n">
        <v>9</v>
      </c>
      <c r="F444" s="5" t="s">
        <v>9196</v>
      </c>
      <c r="G444" s="2" t="s">
        <v>2376</v>
      </c>
      <c r="H444" s="5" t="s">
        <v>8336</v>
      </c>
      <c r="I444" s="5"/>
      <c r="J444" s="5"/>
      <c r="K444" s="5" t="s">
        <v>9804</v>
      </c>
    </row>
    <row r="445" customFormat="false" ht="15" hidden="false" customHeight="false" outlineLevel="0" collapsed="false">
      <c r="A445" s="5" t="s">
        <v>9805</v>
      </c>
      <c r="B445" s="2" t="s">
        <v>9806</v>
      </c>
      <c r="C445" s="5" t="s">
        <v>2128</v>
      </c>
      <c r="D445" s="5" t="s">
        <v>62</v>
      </c>
      <c r="E445" s="5" t="n">
        <v>10</v>
      </c>
      <c r="F445" s="5" t="s">
        <v>9196</v>
      </c>
      <c r="G445" s="2" t="s">
        <v>2376</v>
      </c>
      <c r="H445" s="5" t="s">
        <v>8336</v>
      </c>
      <c r="I445" s="5"/>
      <c r="J445" s="5"/>
      <c r="K445" s="5" t="s">
        <v>9807</v>
      </c>
    </row>
    <row r="446" customFormat="false" ht="15" hidden="false" customHeight="false" outlineLevel="0" collapsed="false">
      <c r="A446" s="5" t="s">
        <v>9808</v>
      </c>
      <c r="B446" s="2" t="s">
        <v>9809</v>
      </c>
      <c r="C446" s="5" t="s">
        <v>2128</v>
      </c>
      <c r="D446" s="5" t="s">
        <v>62</v>
      </c>
      <c r="E446" s="5" t="n">
        <v>7</v>
      </c>
      <c r="F446" s="5" t="s">
        <v>9196</v>
      </c>
      <c r="G446" s="2" t="s">
        <v>2376</v>
      </c>
      <c r="H446" s="5" t="s">
        <v>8336</v>
      </c>
      <c r="I446" s="5"/>
      <c r="J446" s="5"/>
      <c r="K446" s="5" t="s">
        <v>9810</v>
      </c>
    </row>
    <row r="447" customFormat="false" ht="15" hidden="false" customHeight="false" outlineLevel="0" collapsed="false">
      <c r="A447" s="5" t="s">
        <v>9811</v>
      </c>
      <c r="B447" s="2" t="s">
        <v>9812</v>
      </c>
      <c r="C447" s="5" t="s">
        <v>2128</v>
      </c>
      <c r="D447" s="5" t="s">
        <v>62</v>
      </c>
      <c r="E447" s="5" t="n">
        <v>7</v>
      </c>
      <c r="F447" s="5" t="s">
        <v>9196</v>
      </c>
      <c r="G447" s="2" t="s">
        <v>2376</v>
      </c>
      <c r="H447" s="5" t="s">
        <v>8336</v>
      </c>
      <c r="I447" s="5"/>
      <c r="J447" s="5"/>
      <c r="K447" s="5" t="s">
        <v>9813</v>
      </c>
    </row>
    <row r="448" customFormat="false" ht="15" hidden="false" customHeight="false" outlineLevel="0" collapsed="false">
      <c r="A448" s="5" t="s">
        <v>9814</v>
      </c>
      <c r="B448" s="2" t="s">
        <v>9815</v>
      </c>
      <c r="C448" s="5" t="s">
        <v>2128</v>
      </c>
      <c r="D448" s="5" t="s">
        <v>62</v>
      </c>
      <c r="E448" s="5" t="n">
        <v>4</v>
      </c>
      <c r="F448" s="5" t="s">
        <v>9196</v>
      </c>
      <c r="G448" s="2" t="s">
        <v>2376</v>
      </c>
      <c r="H448" s="5" t="s">
        <v>8336</v>
      </c>
      <c r="I448" s="5"/>
      <c r="J448" s="5"/>
      <c r="K448" s="5" t="s">
        <v>9816</v>
      </c>
    </row>
    <row r="449" customFormat="false" ht="23.85" hidden="false" customHeight="false" outlineLevel="0" collapsed="false">
      <c r="A449" s="5" t="s">
        <v>9817</v>
      </c>
      <c r="B449" s="2" t="s">
        <v>9818</v>
      </c>
      <c r="C449" s="5" t="s">
        <v>2128</v>
      </c>
      <c r="D449" s="5" t="s">
        <v>62</v>
      </c>
      <c r="E449" s="5" t="n">
        <v>9</v>
      </c>
      <c r="F449" s="5" t="s">
        <v>9196</v>
      </c>
      <c r="G449" s="2" t="s">
        <v>2376</v>
      </c>
      <c r="H449" s="5" t="s">
        <v>8336</v>
      </c>
      <c r="I449" s="5"/>
      <c r="J449" s="5"/>
      <c r="K449" s="5" t="s">
        <v>9819</v>
      </c>
    </row>
    <row r="450" customFormat="false" ht="15" hidden="false" customHeight="false" outlineLevel="0" collapsed="false">
      <c r="A450" s="5" t="s">
        <v>9820</v>
      </c>
      <c r="B450" s="2" t="s">
        <v>9821</v>
      </c>
      <c r="C450" s="5" t="s">
        <v>2128</v>
      </c>
      <c r="D450" s="5" t="s">
        <v>62</v>
      </c>
      <c r="E450" s="5" t="n">
        <v>7</v>
      </c>
      <c r="F450" s="5" t="s">
        <v>9196</v>
      </c>
      <c r="G450" s="2" t="s">
        <v>9196</v>
      </c>
      <c r="H450" s="5" t="s">
        <v>8336</v>
      </c>
      <c r="I450" s="5"/>
      <c r="J450" s="5"/>
      <c r="K450" s="5" t="s">
        <v>9822</v>
      </c>
    </row>
    <row r="451" customFormat="false" ht="23.85" hidden="false" customHeight="false" outlineLevel="0" collapsed="false">
      <c r="A451" s="5" t="s">
        <v>9823</v>
      </c>
      <c r="B451" s="2" t="s">
        <v>9824</v>
      </c>
      <c r="C451" s="5" t="s">
        <v>2128</v>
      </c>
      <c r="D451" s="5" t="s">
        <v>490</v>
      </c>
      <c r="E451" s="5" t="n">
        <v>10</v>
      </c>
      <c r="F451" s="5" t="s">
        <v>9196</v>
      </c>
      <c r="G451" s="2" t="s">
        <v>2376</v>
      </c>
      <c r="H451" s="5" t="s">
        <v>8336</v>
      </c>
      <c r="I451" s="5"/>
      <c r="J451" s="5"/>
      <c r="K451" s="5" t="s">
        <v>9825</v>
      </c>
    </row>
    <row r="452" customFormat="false" ht="15" hidden="false" customHeight="false" outlineLevel="0" collapsed="false">
      <c r="A452" s="5" t="s">
        <v>2374</v>
      </c>
      <c r="B452" s="2" t="s">
        <v>2375</v>
      </c>
      <c r="C452" s="5" t="s">
        <v>2128</v>
      </c>
      <c r="D452" s="5" t="s">
        <v>62</v>
      </c>
      <c r="E452" s="5" t="n">
        <v>7</v>
      </c>
      <c r="F452" s="5" t="s">
        <v>90</v>
      </c>
      <c r="G452" s="2" t="s">
        <v>2376</v>
      </c>
      <c r="H452" s="5" t="s">
        <v>8332</v>
      </c>
      <c r="I452" s="5" t="s">
        <v>60</v>
      </c>
      <c r="J452" s="5" t="s">
        <v>161</v>
      </c>
      <c r="K452" s="5" t="s">
        <v>2383</v>
      </c>
    </row>
    <row r="453" customFormat="false" ht="15" hidden="false" customHeight="false" outlineLevel="0" collapsed="false">
      <c r="A453" s="5" t="s">
        <v>9826</v>
      </c>
      <c r="B453" s="2" t="s">
        <v>9827</v>
      </c>
      <c r="C453" s="5" t="s">
        <v>2128</v>
      </c>
      <c r="D453" s="5" t="s">
        <v>62</v>
      </c>
      <c r="E453" s="5" t="n">
        <v>5</v>
      </c>
      <c r="F453" s="5" t="s">
        <v>9196</v>
      </c>
      <c r="G453" s="2" t="s">
        <v>2376</v>
      </c>
      <c r="H453" s="5" t="s">
        <v>8336</v>
      </c>
      <c r="I453" s="5"/>
      <c r="J453" s="5"/>
      <c r="K453" s="5" t="s">
        <v>9828</v>
      </c>
    </row>
    <row r="454" customFormat="false" ht="15" hidden="false" customHeight="false" outlineLevel="0" collapsed="false">
      <c r="A454" s="5" t="s">
        <v>9829</v>
      </c>
      <c r="B454" s="2" t="s">
        <v>9830</v>
      </c>
      <c r="C454" s="5" t="s">
        <v>2128</v>
      </c>
      <c r="D454" s="5" t="s">
        <v>490</v>
      </c>
      <c r="E454" s="5" t="n">
        <v>4</v>
      </c>
      <c r="F454" s="5" t="s">
        <v>9196</v>
      </c>
      <c r="G454" s="2" t="s">
        <v>2376</v>
      </c>
      <c r="H454" s="5" t="s">
        <v>8336</v>
      </c>
      <c r="I454" s="5"/>
      <c r="J454" s="5"/>
      <c r="K454" s="5" t="s">
        <v>9831</v>
      </c>
    </row>
    <row r="455" customFormat="false" ht="15" hidden="false" customHeight="false" outlineLevel="0" collapsed="false">
      <c r="A455" s="5" t="s">
        <v>9832</v>
      </c>
      <c r="B455" s="2" t="s">
        <v>9833</v>
      </c>
      <c r="C455" s="5" t="s">
        <v>2128</v>
      </c>
      <c r="D455" s="5" t="s">
        <v>62</v>
      </c>
      <c r="E455" s="5" t="n">
        <v>9</v>
      </c>
      <c r="F455" s="5" t="s">
        <v>9196</v>
      </c>
      <c r="G455" s="2" t="s">
        <v>2376</v>
      </c>
      <c r="H455" s="5" t="s">
        <v>8336</v>
      </c>
      <c r="I455" s="5"/>
      <c r="J455" s="5"/>
      <c r="K455" s="5" t="s">
        <v>9834</v>
      </c>
    </row>
    <row r="456" customFormat="false" ht="15" hidden="false" customHeight="false" outlineLevel="0" collapsed="false">
      <c r="A456" s="5" t="s">
        <v>9835</v>
      </c>
      <c r="B456" s="2" t="s">
        <v>9836</v>
      </c>
      <c r="C456" s="5" t="s">
        <v>2128</v>
      </c>
      <c r="D456" s="5" t="s">
        <v>62</v>
      </c>
      <c r="E456" s="5" t="n">
        <v>7</v>
      </c>
      <c r="F456" s="5" t="s">
        <v>9196</v>
      </c>
      <c r="G456" s="2" t="s">
        <v>2376</v>
      </c>
      <c r="H456" s="5" t="s">
        <v>8336</v>
      </c>
      <c r="I456" s="5"/>
      <c r="J456" s="5"/>
      <c r="K456" s="5" t="s">
        <v>9837</v>
      </c>
    </row>
    <row r="457" customFormat="false" ht="15" hidden="false" customHeight="false" outlineLevel="0" collapsed="false">
      <c r="A457" s="5" t="s">
        <v>9838</v>
      </c>
      <c r="B457" s="2" t="s">
        <v>9839</v>
      </c>
      <c r="C457" s="5" t="s">
        <v>2128</v>
      </c>
      <c r="D457" s="5" t="s">
        <v>62</v>
      </c>
      <c r="E457" s="5" t="n">
        <v>9</v>
      </c>
      <c r="F457" s="5" t="s">
        <v>536</v>
      </c>
      <c r="G457" s="2" t="s">
        <v>5328</v>
      </c>
      <c r="H457" s="5" t="s">
        <v>8336</v>
      </c>
      <c r="I457" s="5"/>
      <c r="J457" s="5"/>
      <c r="K457" s="5" t="s">
        <v>9840</v>
      </c>
    </row>
    <row r="458" customFormat="false" ht="15" hidden="false" customHeight="false" outlineLevel="0" collapsed="false">
      <c r="A458" s="5" t="s">
        <v>4880</v>
      </c>
      <c r="B458" s="2" t="s">
        <v>4881</v>
      </c>
      <c r="C458" s="5" t="s">
        <v>2128</v>
      </c>
      <c r="D458" s="5" t="s">
        <v>62</v>
      </c>
      <c r="E458" s="5" t="n">
        <v>9</v>
      </c>
      <c r="F458" s="5" t="s">
        <v>2079</v>
      </c>
      <c r="G458" s="2" t="s">
        <v>9841</v>
      </c>
      <c r="H458" s="5" t="s">
        <v>8332</v>
      </c>
      <c r="I458" s="5" t="s">
        <v>4760</v>
      </c>
      <c r="J458" s="5" t="s">
        <v>2079</v>
      </c>
      <c r="K458" s="5" t="s">
        <v>4888</v>
      </c>
    </row>
    <row r="459" customFormat="false" ht="15" hidden="false" customHeight="false" outlineLevel="0" collapsed="false">
      <c r="A459" s="5" t="s">
        <v>9842</v>
      </c>
      <c r="B459" s="2" t="s">
        <v>9843</v>
      </c>
      <c r="C459" s="5" t="s">
        <v>2128</v>
      </c>
      <c r="D459" s="5" t="s">
        <v>490</v>
      </c>
      <c r="E459" s="5" t="n">
        <v>9</v>
      </c>
      <c r="F459" s="5" t="s">
        <v>9223</v>
      </c>
      <c r="G459" s="2" t="s">
        <v>9844</v>
      </c>
      <c r="H459" s="5" t="s">
        <v>8336</v>
      </c>
      <c r="I459" s="5"/>
      <c r="J459" s="5"/>
      <c r="K459" s="5" t="s">
        <v>9845</v>
      </c>
    </row>
    <row r="460" customFormat="false" ht="15" hidden="false" customHeight="false" outlineLevel="0" collapsed="false">
      <c r="A460" s="5" t="s">
        <v>9846</v>
      </c>
      <c r="B460" s="2" t="s">
        <v>9847</v>
      </c>
      <c r="C460" s="5" t="s">
        <v>2128</v>
      </c>
      <c r="D460" s="5" t="s">
        <v>490</v>
      </c>
      <c r="E460" s="5" t="n">
        <v>9</v>
      </c>
      <c r="F460" s="5" t="s">
        <v>9223</v>
      </c>
      <c r="G460" s="2" t="s">
        <v>9844</v>
      </c>
      <c r="H460" s="5" t="s">
        <v>8336</v>
      </c>
      <c r="I460" s="5"/>
      <c r="J460" s="5"/>
      <c r="K460" s="5" t="s">
        <v>9848</v>
      </c>
    </row>
    <row r="461" customFormat="false" ht="15" hidden="false" customHeight="false" outlineLevel="0" collapsed="false">
      <c r="A461" s="5" t="s">
        <v>9849</v>
      </c>
      <c r="B461" s="2" t="s">
        <v>9850</v>
      </c>
      <c r="C461" s="5" t="s">
        <v>2128</v>
      </c>
      <c r="D461" s="5" t="s">
        <v>490</v>
      </c>
      <c r="E461" s="5" t="n">
        <v>9</v>
      </c>
      <c r="F461" s="5" t="s">
        <v>9223</v>
      </c>
      <c r="G461" s="2" t="s">
        <v>9844</v>
      </c>
      <c r="H461" s="5" t="s">
        <v>8336</v>
      </c>
      <c r="I461" s="5"/>
      <c r="J461" s="5"/>
      <c r="K461" s="5" t="s">
        <v>9851</v>
      </c>
    </row>
    <row r="462" customFormat="false" ht="15" hidden="false" customHeight="false" outlineLevel="0" collapsed="false">
      <c r="A462" s="5" t="s">
        <v>9852</v>
      </c>
      <c r="B462" s="2" t="s">
        <v>9853</v>
      </c>
      <c r="C462" s="5" t="s">
        <v>2128</v>
      </c>
      <c r="D462" s="5" t="s">
        <v>62</v>
      </c>
      <c r="E462" s="5" t="n">
        <v>4</v>
      </c>
      <c r="F462" s="5" t="s">
        <v>67</v>
      </c>
      <c r="G462" s="2" t="s">
        <v>2386</v>
      </c>
      <c r="H462" s="5" t="s">
        <v>8336</v>
      </c>
      <c r="I462" s="5"/>
      <c r="J462" s="5"/>
      <c r="K462" s="5" t="s">
        <v>9854</v>
      </c>
    </row>
    <row r="463" customFormat="false" ht="15" hidden="false" customHeight="false" outlineLevel="0" collapsed="false">
      <c r="A463" s="5" t="s">
        <v>9855</v>
      </c>
      <c r="B463" s="2" t="s">
        <v>9856</v>
      </c>
      <c r="C463" s="5" t="s">
        <v>2128</v>
      </c>
      <c r="D463" s="5" t="s">
        <v>62</v>
      </c>
      <c r="E463" s="5" t="n">
        <v>8</v>
      </c>
      <c r="F463" s="5" t="s">
        <v>67</v>
      </c>
      <c r="G463" s="2" t="s">
        <v>2386</v>
      </c>
      <c r="H463" s="5" t="s">
        <v>8336</v>
      </c>
      <c r="I463" s="5"/>
      <c r="J463" s="5"/>
      <c r="K463" s="5" t="s">
        <v>9857</v>
      </c>
    </row>
    <row r="464" customFormat="false" ht="15" hidden="false" customHeight="false" outlineLevel="0" collapsed="false">
      <c r="A464" s="5" t="s">
        <v>9858</v>
      </c>
      <c r="B464" s="2" t="s">
        <v>9859</v>
      </c>
      <c r="C464" s="5" t="s">
        <v>2128</v>
      </c>
      <c r="D464" s="5" t="s">
        <v>62</v>
      </c>
      <c r="E464" s="5" t="n">
        <v>8</v>
      </c>
      <c r="F464" s="5" t="s">
        <v>67</v>
      </c>
      <c r="G464" s="2" t="s">
        <v>2386</v>
      </c>
      <c r="H464" s="5" t="s">
        <v>8336</v>
      </c>
      <c r="I464" s="5"/>
      <c r="J464" s="5"/>
      <c r="K464" s="5" t="s">
        <v>9860</v>
      </c>
    </row>
    <row r="465" customFormat="false" ht="15" hidden="false" customHeight="false" outlineLevel="0" collapsed="false">
      <c r="A465" s="5" t="s">
        <v>2384</v>
      </c>
      <c r="B465" s="2" t="s">
        <v>2385</v>
      </c>
      <c r="C465" s="5" t="s">
        <v>2128</v>
      </c>
      <c r="D465" s="5" t="s">
        <v>62</v>
      </c>
      <c r="E465" s="5" t="n">
        <v>9</v>
      </c>
      <c r="F465" s="5" t="s">
        <v>90</v>
      </c>
      <c r="G465" s="2" t="s">
        <v>2386</v>
      </c>
      <c r="H465" s="5" t="s">
        <v>8332</v>
      </c>
      <c r="I465" s="5" t="s">
        <v>60</v>
      </c>
      <c r="J465" s="5" t="s">
        <v>161</v>
      </c>
      <c r="K465" s="5" t="s">
        <v>2392</v>
      </c>
    </row>
    <row r="466" customFormat="false" ht="15" hidden="false" customHeight="false" outlineLevel="0" collapsed="false">
      <c r="A466" s="5" t="s">
        <v>2393</v>
      </c>
      <c r="B466" s="2" t="s">
        <v>2394</v>
      </c>
      <c r="C466" s="5" t="s">
        <v>2128</v>
      </c>
      <c r="D466" s="5" t="s">
        <v>62</v>
      </c>
      <c r="E466" s="5" t="n">
        <v>9</v>
      </c>
      <c r="F466" s="5" t="s">
        <v>536</v>
      </c>
      <c r="G466" s="2" t="s">
        <v>2386</v>
      </c>
      <c r="H466" s="5" t="s">
        <v>8332</v>
      </c>
      <c r="I466" s="5" t="s">
        <v>60</v>
      </c>
      <c r="J466" s="5" t="s">
        <v>161</v>
      </c>
      <c r="K466" s="5" t="s">
        <v>2398</v>
      </c>
    </row>
    <row r="467" customFormat="false" ht="23.85" hidden="false" customHeight="false" outlineLevel="0" collapsed="false">
      <c r="A467" s="5" t="s">
        <v>2399</v>
      </c>
      <c r="B467" s="2" t="s">
        <v>2400</v>
      </c>
      <c r="C467" s="5" t="s">
        <v>2128</v>
      </c>
      <c r="D467" s="5" t="s">
        <v>62</v>
      </c>
      <c r="E467" s="5" t="n">
        <v>9</v>
      </c>
      <c r="F467" s="5" t="s">
        <v>90</v>
      </c>
      <c r="G467" s="2" t="s">
        <v>2386</v>
      </c>
      <c r="H467" s="5" t="s">
        <v>8332</v>
      </c>
      <c r="I467" s="5" t="s">
        <v>60</v>
      </c>
      <c r="J467" s="5" t="s">
        <v>161</v>
      </c>
      <c r="K467" s="5" t="s">
        <v>2407</v>
      </c>
    </row>
    <row r="468" customFormat="false" ht="15" hidden="false" customHeight="false" outlineLevel="0" collapsed="false">
      <c r="A468" s="5" t="s">
        <v>9861</v>
      </c>
      <c r="B468" s="2" t="s">
        <v>9862</v>
      </c>
      <c r="C468" s="5" t="s">
        <v>2128</v>
      </c>
      <c r="D468" s="5" t="s">
        <v>62</v>
      </c>
      <c r="E468" s="5" t="n">
        <v>8</v>
      </c>
      <c r="F468" s="5" t="s">
        <v>67</v>
      </c>
      <c r="G468" s="2" t="s">
        <v>2386</v>
      </c>
      <c r="H468" s="5" t="s">
        <v>8336</v>
      </c>
      <c r="I468" s="5"/>
      <c r="J468" s="5"/>
      <c r="K468" s="5" t="s">
        <v>9863</v>
      </c>
    </row>
    <row r="469" customFormat="false" ht="15" hidden="false" customHeight="false" outlineLevel="0" collapsed="false">
      <c r="A469" s="5" t="s">
        <v>9864</v>
      </c>
      <c r="B469" s="2" t="s">
        <v>9865</v>
      </c>
      <c r="C469" s="5" t="s">
        <v>2128</v>
      </c>
      <c r="D469" s="5" t="s">
        <v>62</v>
      </c>
      <c r="E469" s="5" t="n">
        <v>6</v>
      </c>
      <c r="F469" s="5" t="s">
        <v>67</v>
      </c>
      <c r="G469" s="2" t="s">
        <v>2386</v>
      </c>
      <c r="H469" s="5" t="s">
        <v>8336</v>
      </c>
      <c r="I469" s="5"/>
      <c r="J469" s="5"/>
      <c r="K469" s="5" t="s">
        <v>9866</v>
      </c>
    </row>
    <row r="470" customFormat="false" ht="15" hidden="false" customHeight="false" outlineLevel="0" collapsed="false">
      <c r="A470" s="5" t="s">
        <v>9867</v>
      </c>
      <c r="B470" s="2" t="s">
        <v>9868</v>
      </c>
      <c r="C470" s="5" t="s">
        <v>2128</v>
      </c>
      <c r="D470" s="5" t="s">
        <v>62</v>
      </c>
      <c r="E470" s="5" t="n">
        <v>6</v>
      </c>
      <c r="F470" s="5" t="s">
        <v>1210</v>
      </c>
      <c r="G470" s="2" t="s">
        <v>2386</v>
      </c>
      <c r="H470" s="5" t="s">
        <v>8336</v>
      </c>
      <c r="I470" s="5"/>
      <c r="J470" s="5"/>
      <c r="K470" s="5" t="s">
        <v>9869</v>
      </c>
    </row>
    <row r="471" customFormat="false" ht="15" hidden="false" customHeight="false" outlineLevel="0" collapsed="false">
      <c r="A471" s="5" t="s">
        <v>9870</v>
      </c>
      <c r="B471" s="2" t="s">
        <v>9871</v>
      </c>
      <c r="C471" s="5" t="s">
        <v>2128</v>
      </c>
      <c r="D471" s="5" t="s">
        <v>62</v>
      </c>
      <c r="E471" s="5" t="n">
        <v>6</v>
      </c>
      <c r="F471" s="5" t="s">
        <v>67</v>
      </c>
      <c r="G471" s="2" t="s">
        <v>2386</v>
      </c>
      <c r="H471" s="5" t="s">
        <v>8336</v>
      </c>
      <c r="I471" s="5"/>
      <c r="J471" s="5"/>
      <c r="K471" s="5" t="s">
        <v>9872</v>
      </c>
    </row>
    <row r="472" customFormat="false" ht="15" hidden="false" customHeight="false" outlineLevel="0" collapsed="false">
      <c r="A472" s="5" t="s">
        <v>9873</v>
      </c>
      <c r="B472" s="2" t="s">
        <v>9874</v>
      </c>
      <c r="C472" s="5" t="s">
        <v>2128</v>
      </c>
      <c r="D472" s="5" t="s">
        <v>62</v>
      </c>
      <c r="E472" s="5" t="n">
        <v>6</v>
      </c>
      <c r="F472" s="5" t="s">
        <v>1210</v>
      </c>
      <c r="G472" s="2" t="s">
        <v>2386</v>
      </c>
      <c r="H472" s="5" t="s">
        <v>8336</v>
      </c>
      <c r="I472" s="5"/>
      <c r="J472" s="5"/>
      <c r="K472" s="5" t="s">
        <v>9875</v>
      </c>
    </row>
    <row r="473" customFormat="false" ht="15" hidden="false" customHeight="false" outlineLevel="0" collapsed="false">
      <c r="A473" s="5" t="s">
        <v>9876</v>
      </c>
      <c r="B473" s="2" t="s">
        <v>9877</v>
      </c>
      <c r="C473" s="5" t="s">
        <v>2128</v>
      </c>
      <c r="D473" s="5" t="s">
        <v>62</v>
      </c>
      <c r="E473" s="5" t="n">
        <v>6</v>
      </c>
      <c r="F473" s="5" t="s">
        <v>67</v>
      </c>
      <c r="G473" s="2" t="s">
        <v>2386</v>
      </c>
      <c r="H473" s="5" t="s">
        <v>8336</v>
      </c>
      <c r="I473" s="5"/>
      <c r="J473" s="5"/>
      <c r="K473" s="5" t="s">
        <v>9878</v>
      </c>
    </row>
    <row r="474" customFormat="false" ht="15" hidden="false" customHeight="false" outlineLevel="0" collapsed="false">
      <c r="A474" s="5" t="s">
        <v>2408</v>
      </c>
      <c r="B474" s="2" t="s">
        <v>2409</v>
      </c>
      <c r="C474" s="5" t="s">
        <v>2128</v>
      </c>
      <c r="D474" s="5" t="s">
        <v>62</v>
      </c>
      <c r="E474" s="5" t="n">
        <v>9</v>
      </c>
      <c r="F474" s="5" t="s">
        <v>90</v>
      </c>
      <c r="G474" s="2" t="s">
        <v>2386</v>
      </c>
      <c r="H474" s="5" t="s">
        <v>8332</v>
      </c>
      <c r="I474" s="5" t="s">
        <v>60</v>
      </c>
      <c r="J474" s="5" t="s">
        <v>161</v>
      </c>
      <c r="K474" s="5" t="s">
        <v>2415</v>
      </c>
    </row>
    <row r="475" customFormat="false" ht="15" hidden="false" customHeight="false" outlineLevel="0" collapsed="false">
      <c r="A475" s="5" t="s">
        <v>2416</v>
      </c>
      <c r="B475" s="2" t="s">
        <v>2417</v>
      </c>
      <c r="C475" s="5" t="s">
        <v>2128</v>
      </c>
      <c r="D475" s="5" t="s">
        <v>62</v>
      </c>
      <c r="E475" s="5" t="n">
        <v>6</v>
      </c>
      <c r="F475" s="5" t="s">
        <v>536</v>
      </c>
      <c r="G475" s="2" t="s">
        <v>2386</v>
      </c>
      <c r="H475" s="5" t="s">
        <v>8332</v>
      </c>
      <c r="I475" s="5" t="s">
        <v>60</v>
      </c>
      <c r="J475" s="5" t="s">
        <v>161</v>
      </c>
      <c r="K475" s="5" t="s">
        <v>2423</v>
      </c>
    </row>
    <row r="476" customFormat="false" ht="15" hidden="false" customHeight="false" outlineLevel="0" collapsed="false">
      <c r="A476" s="5" t="s">
        <v>2424</v>
      </c>
      <c r="B476" s="2" t="s">
        <v>2425</v>
      </c>
      <c r="C476" s="5" t="s">
        <v>2128</v>
      </c>
      <c r="D476" s="5" t="s">
        <v>62</v>
      </c>
      <c r="E476" s="5" t="n">
        <v>9</v>
      </c>
      <c r="F476" s="5" t="s">
        <v>90</v>
      </c>
      <c r="G476" s="2" t="s">
        <v>2386</v>
      </c>
      <c r="H476" s="5" t="s">
        <v>8332</v>
      </c>
      <c r="I476" s="5" t="s">
        <v>60</v>
      </c>
      <c r="J476" s="5" t="s">
        <v>161</v>
      </c>
      <c r="K476" s="5" t="s">
        <v>2431</v>
      </c>
    </row>
    <row r="477" customFormat="false" ht="15" hidden="false" customHeight="false" outlineLevel="0" collapsed="false">
      <c r="A477" s="5" t="s">
        <v>2432</v>
      </c>
      <c r="B477" s="2" t="s">
        <v>2433</v>
      </c>
      <c r="C477" s="5" t="s">
        <v>2128</v>
      </c>
      <c r="D477" s="5" t="s">
        <v>62</v>
      </c>
      <c r="E477" s="5" t="n">
        <v>9</v>
      </c>
      <c r="F477" s="5" t="s">
        <v>536</v>
      </c>
      <c r="G477" s="2" t="s">
        <v>2386</v>
      </c>
      <c r="H477" s="5" t="s">
        <v>8332</v>
      </c>
      <c r="I477" s="5" t="s">
        <v>60</v>
      </c>
      <c r="J477" s="5" t="s">
        <v>161</v>
      </c>
      <c r="K477" s="5" t="s">
        <v>2438</v>
      </c>
    </row>
    <row r="478" customFormat="false" ht="15" hidden="false" customHeight="false" outlineLevel="0" collapsed="false">
      <c r="A478" s="5" t="s">
        <v>2439</v>
      </c>
      <c r="B478" s="2" t="s">
        <v>2440</v>
      </c>
      <c r="C478" s="5" t="s">
        <v>2128</v>
      </c>
      <c r="D478" s="5" t="s">
        <v>62</v>
      </c>
      <c r="E478" s="5" t="n">
        <v>8</v>
      </c>
      <c r="F478" s="5" t="s">
        <v>536</v>
      </c>
      <c r="G478" s="2" t="s">
        <v>2386</v>
      </c>
      <c r="H478" s="5" t="s">
        <v>8332</v>
      </c>
      <c r="I478" s="5" t="s">
        <v>60</v>
      </c>
      <c r="J478" s="5" t="s">
        <v>161</v>
      </c>
      <c r="K478" s="5" t="s">
        <v>2445</v>
      </c>
    </row>
    <row r="479" customFormat="false" ht="15" hidden="false" customHeight="false" outlineLevel="0" collapsed="false">
      <c r="A479" s="5" t="s">
        <v>9879</v>
      </c>
      <c r="B479" s="2" t="s">
        <v>9880</v>
      </c>
      <c r="C479" s="5" t="s">
        <v>2128</v>
      </c>
      <c r="D479" s="5" t="s">
        <v>62</v>
      </c>
      <c r="E479" s="5" t="n">
        <v>6</v>
      </c>
      <c r="F479" s="5" t="s">
        <v>1210</v>
      </c>
      <c r="G479" s="2" t="s">
        <v>2386</v>
      </c>
      <c r="H479" s="5" t="s">
        <v>8336</v>
      </c>
      <c r="I479" s="5"/>
      <c r="J479" s="5"/>
      <c r="K479" s="5" t="s">
        <v>9881</v>
      </c>
    </row>
    <row r="480" customFormat="false" ht="15" hidden="false" customHeight="false" outlineLevel="0" collapsed="false">
      <c r="A480" s="5" t="s">
        <v>9882</v>
      </c>
      <c r="B480" s="2" t="s">
        <v>9883</v>
      </c>
      <c r="C480" s="5" t="s">
        <v>2128</v>
      </c>
      <c r="D480" s="5" t="s">
        <v>62</v>
      </c>
      <c r="E480" s="5" t="n">
        <v>6</v>
      </c>
      <c r="F480" s="5" t="s">
        <v>1210</v>
      </c>
      <c r="G480" s="2" t="s">
        <v>2386</v>
      </c>
      <c r="H480" s="5" t="s">
        <v>8336</v>
      </c>
      <c r="I480" s="5"/>
      <c r="J480" s="5"/>
      <c r="K480" s="5" t="s">
        <v>9884</v>
      </c>
    </row>
    <row r="481" customFormat="false" ht="15" hidden="false" customHeight="false" outlineLevel="0" collapsed="false">
      <c r="A481" s="5" t="s">
        <v>9885</v>
      </c>
      <c r="B481" s="2" t="s">
        <v>9886</v>
      </c>
      <c r="C481" s="5" t="s">
        <v>2128</v>
      </c>
      <c r="D481" s="5" t="s">
        <v>62</v>
      </c>
      <c r="E481" s="5" t="n">
        <v>6</v>
      </c>
      <c r="F481" s="5" t="s">
        <v>67</v>
      </c>
      <c r="G481" s="2" t="s">
        <v>2386</v>
      </c>
      <c r="H481" s="5" t="s">
        <v>8336</v>
      </c>
      <c r="I481" s="5"/>
      <c r="J481" s="5"/>
      <c r="K481" s="5" t="s">
        <v>9887</v>
      </c>
    </row>
    <row r="482" customFormat="false" ht="15" hidden="false" customHeight="false" outlineLevel="0" collapsed="false">
      <c r="A482" s="5" t="s">
        <v>9888</v>
      </c>
      <c r="B482" s="2" t="s">
        <v>9889</v>
      </c>
      <c r="C482" s="5" t="s">
        <v>2128</v>
      </c>
      <c r="D482" s="5" t="s">
        <v>62</v>
      </c>
      <c r="E482" s="5" t="n">
        <v>9</v>
      </c>
      <c r="F482" s="5" t="s">
        <v>3005</v>
      </c>
      <c r="G482" s="2" t="s">
        <v>2386</v>
      </c>
      <c r="H482" s="5" t="s">
        <v>8336</v>
      </c>
      <c r="I482" s="5"/>
      <c r="J482" s="5"/>
      <c r="K482" s="5" t="s">
        <v>9890</v>
      </c>
    </row>
    <row r="483" customFormat="false" ht="15" hidden="false" customHeight="false" outlineLevel="0" collapsed="false">
      <c r="A483" s="5" t="s">
        <v>9891</v>
      </c>
      <c r="B483" s="2" t="s">
        <v>9892</v>
      </c>
      <c r="C483" s="5" t="s">
        <v>2128</v>
      </c>
      <c r="D483" s="5" t="s">
        <v>62</v>
      </c>
      <c r="E483" s="5" t="n">
        <v>6</v>
      </c>
      <c r="F483" s="5" t="s">
        <v>3005</v>
      </c>
      <c r="G483" s="2" t="s">
        <v>2386</v>
      </c>
      <c r="H483" s="5" t="s">
        <v>8336</v>
      </c>
      <c r="I483" s="5"/>
      <c r="J483" s="5"/>
      <c r="K483" s="5" t="s">
        <v>9893</v>
      </c>
    </row>
    <row r="484" customFormat="false" ht="15" hidden="false" customHeight="false" outlineLevel="0" collapsed="false">
      <c r="A484" s="5" t="s">
        <v>9894</v>
      </c>
      <c r="B484" s="2" t="s">
        <v>9895</v>
      </c>
      <c r="C484" s="5" t="s">
        <v>2128</v>
      </c>
      <c r="D484" s="5" t="s">
        <v>62</v>
      </c>
      <c r="E484" s="5" t="n">
        <v>6</v>
      </c>
      <c r="F484" s="5" t="s">
        <v>3005</v>
      </c>
      <c r="G484" s="2" t="s">
        <v>2386</v>
      </c>
      <c r="H484" s="5" t="s">
        <v>8336</v>
      </c>
      <c r="I484" s="5"/>
      <c r="J484" s="5"/>
      <c r="K484" s="5" t="s">
        <v>9896</v>
      </c>
    </row>
    <row r="485" customFormat="false" ht="35.05" hidden="false" customHeight="false" outlineLevel="0" collapsed="false">
      <c r="A485" s="5" t="s">
        <v>9897</v>
      </c>
      <c r="B485" s="2" t="s">
        <v>9898</v>
      </c>
      <c r="C485" s="5" t="s">
        <v>2128</v>
      </c>
      <c r="D485" s="5" t="s">
        <v>62</v>
      </c>
      <c r="E485" s="5" t="n">
        <v>9</v>
      </c>
      <c r="F485" s="5" t="s">
        <v>544</v>
      </c>
      <c r="G485" s="2" t="s">
        <v>9899</v>
      </c>
      <c r="H485" s="5" t="s">
        <v>8336</v>
      </c>
      <c r="I485" s="5"/>
      <c r="J485" s="5"/>
      <c r="K485" s="5" t="s">
        <v>9900</v>
      </c>
    </row>
    <row r="486" customFormat="false" ht="35.05" hidden="false" customHeight="false" outlineLevel="0" collapsed="false">
      <c r="A486" s="5" t="s">
        <v>9901</v>
      </c>
      <c r="B486" s="2" t="s">
        <v>9902</v>
      </c>
      <c r="C486" s="5" t="s">
        <v>2128</v>
      </c>
      <c r="D486" s="5" t="s">
        <v>62</v>
      </c>
      <c r="E486" s="5" t="n">
        <v>10</v>
      </c>
      <c r="F486" s="5" t="s">
        <v>544</v>
      </c>
      <c r="G486" s="2" t="s">
        <v>9899</v>
      </c>
      <c r="H486" s="5" t="s">
        <v>8336</v>
      </c>
      <c r="I486" s="5"/>
      <c r="J486" s="5"/>
      <c r="K486" s="5" t="s">
        <v>9903</v>
      </c>
    </row>
    <row r="487" customFormat="false" ht="23.85" hidden="false" customHeight="false" outlineLevel="0" collapsed="false">
      <c r="A487" s="5" t="s">
        <v>9904</v>
      </c>
      <c r="B487" s="2" t="s">
        <v>9905</v>
      </c>
      <c r="C487" s="5" t="s">
        <v>2128</v>
      </c>
      <c r="D487" s="5" t="s">
        <v>62</v>
      </c>
      <c r="E487" s="5" t="n">
        <v>9</v>
      </c>
      <c r="F487" s="5" t="s">
        <v>3005</v>
      </c>
      <c r="G487" s="2" t="s">
        <v>2448</v>
      </c>
      <c r="H487" s="5" t="s">
        <v>8336</v>
      </c>
      <c r="I487" s="5"/>
      <c r="J487" s="5"/>
      <c r="K487" s="5" t="s">
        <v>9906</v>
      </c>
    </row>
    <row r="488" customFormat="false" ht="23.85" hidden="false" customHeight="false" outlineLevel="0" collapsed="false">
      <c r="A488" s="5" t="s">
        <v>9907</v>
      </c>
      <c r="B488" s="2" t="s">
        <v>9908</v>
      </c>
      <c r="C488" s="5" t="s">
        <v>2128</v>
      </c>
      <c r="D488" s="5" t="s">
        <v>62</v>
      </c>
      <c r="E488" s="5" t="n">
        <v>10</v>
      </c>
      <c r="F488" s="5" t="s">
        <v>3005</v>
      </c>
      <c r="G488" s="2" t="s">
        <v>2448</v>
      </c>
      <c r="H488" s="5" t="s">
        <v>8336</v>
      </c>
      <c r="I488" s="5"/>
      <c r="J488" s="5"/>
      <c r="K488" s="5" t="s">
        <v>9909</v>
      </c>
    </row>
    <row r="489" customFormat="false" ht="23.85" hidden="false" customHeight="false" outlineLevel="0" collapsed="false">
      <c r="A489" s="5" t="s">
        <v>2446</v>
      </c>
      <c r="B489" s="2" t="s">
        <v>2447</v>
      </c>
      <c r="C489" s="5" t="s">
        <v>2128</v>
      </c>
      <c r="D489" s="5" t="s">
        <v>62</v>
      </c>
      <c r="E489" s="5" t="n">
        <v>7</v>
      </c>
      <c r="F489" s="5" t="s">
        <v>90</v>
      </c>
      <c r="G489" s="2" t="s">
        <v>2448</v>
      </c>
      <c r="H489" s="5" t="s">
        <v>8332</v>
      </c>
      <c r="I489" s="5" t="s">
        <v>60</v>
      </c>
      <c r="J489" s="5" t="s">
        <v>161</v>
      </c>
      <c r="K489" s="5" t="s">
        <v>2454</v>
      </c>
    </row>
    <row r="490" customFormat="false" ht="23.85" hidden="false" customHeight="false" outlineLevel="0" collapsed="false">
      <c r="A490" s="5" t="s">
        <v>9910</v>
      </c>
      <c r="B490" s="2" t="s">
        <v>9911</v>
      </c>
      <c r="C490" s="5" t="s">
        <v>2128</v>
      </c>
      <c r="D490" s="5" t="s">
        <v>62</v>
      </c>
      <c r="E490" s="5" t="n">
        <v>9</v>
      </c>
      <c r="F490" s="5" t="s">
        <v>3005</v>
      </c>
      <c r="G490" s="2" t="s">
        <v>2448</v>
      </c>
      <c r="H490" s="5" t="s">
        <v>8336</v>
      </c>
      <c r="I490" s="5"/>
      <c r="J490" s="5"/>
      <c r="K490" s="5" t="s">
        <v>9912</v>
      </c>
    </row>
    <row r="491" customFormat="false" ht="23.85" hidden="false" customHeight="false" outlineLevel="0" collapsed="false">
      <c r="A491" s="5" t="s">
        <v>9913</v>
      </c>
      <c r="B491" s="2" t="s">
        <v>9914</v>
      </c>
      <c r="C491" s="5" t="s">
        <v>2128</v>
      </c>
      <c r="D491" s="5" t="s">
        <v>62</v>
      </c>
      <c r="E491" s="5" t="n">
        <v>9</v>
      </c>
      <c r="F491" s="5" t="s">
        <v>3005</v>
      </c>
      <c r="G491" s="2" t="s">
        <v>2448</v>
      </c>
      <c r="H491" s="5" t="s">
        <v>8336</v>
      </c>
      <c r="I491" s="5"/>
      <c r="J491" s="5"/>
      <c r="K491" s="5" t="s">
        <v>9915</v>
      </c>
    </row>
    <row r="492" customFormat="false" ht="23.85" hidden="false" customHeight="false" outlineLevel="0" collapsed="false">
      <c r="A492" s="5" t="s">
        <v>9916</v>
      </c>
      <c r="B492" s="2" t="s">
        <v>9917</v>
      </c>
      <c r="C492" s="5" t="s">
        <v>2128</v>
      </c>
      <c r="D492" s="5" t="s">
        <v>62</v>
      </c>
      <c r="E492" s="5" t="n">
        <v>9</v>
      </c>
      <c r="F492" s="5" t="s">
        <v>3005</v>
      </c>
      <c r="G492" s="2" t="s">
        <v>2448</v>
      </c>
      <c r="H492" s="5" t="s">
        <v>8336</v>
      </c>
      <c r="I492" s="5"/>
      <c r="J492" s="5"/>
      <c r="K492" s="5" t="s">
        <v>9918</v>
      </c>
    </row>
    <row r="493" customFormat="false" ht="23.85" hidden="false" customHeight="false" outlineLevel="0" collapsed="false">
      <c r="A493" s="5" t="s">
        <v>2455</v>
      </c>
      <c r="B493" s="2" t="s">
        <v>2456</v>
      </c>
      <c r="C493" s="5" t="s">
        <v>2128</v>
      </c>
      <c r="D493" s="5" t="s">
        <v>62</v>
      </c>
      <c r="E493" s="5" t="n">
        <v>9</v>
      </c>
      <c r="F493" s="5" t="s">
        <v>90</v>
      </c>
      <c r="G493" s="2" t="s">
        <v>2448</v>
      </c>
      <c r="H493" s="5" t="s">
        <v>8332</v>
      </c>
      <c r="I493" s="5" t="s">
        <v>60</v>
      </c>
      <c r="J493" s="5" t="s">
        <v>161</v>
      </c>
      <c r="K493" s="5" t="s">
        <v>2461</v>
      </c>
    </row>
    <row r="494" customFormat="false" ht="23.85" hidden="false" customHeight="false" outlineLevel="0" collapsed="false">
      <c r="A494" s="5" t="s">
        <v>2462</v>
      </c>
      <c r="B494" s="2" t="s">
        <v>2463</v>
      </c>
      <c r="C494" s="5" t="s">
        <v>2128</v>
      </c>
      <c r="D494" s="5" t="s">
        <v>62</v>
      </c>
      <c r="E494" s="5" t="n">
        <v>9</v>
      </c>
      <c r="F494" s="5" t="s">
        <v>90</v>
      </c>
      <c r="G494" s="2" t="s">
        <v>2448</v>
      </c>
      <c r="H494" s="5" t="s">
        <v>8332</v>
      </c>
      <c r="I494" s="5" t="s">
        <v>60</v>
      </c>
      <c r="J494" s="5" t="s">
        <v>161</v>
      </c>
      <c r="K494" s="5" t="s">
        <v>2469</v>
      </c>
    </row>
    <row r="495" customFormat="false" ht="23.85" hidden="false" customHeight="false" outlineLevel="0" collapsed="false">
      <c r="A495" s="5" t="s">
        <v>9919</v>
      </c>
      <c r="B495" s="2" t="s">
        <v>9920</v>
      </c>
      <c r="C495" s="5" t="s">
        <v>2128</v>
      </c>
      <c r="D495" s="5" t="s">
        <v>62</v>
      </c>
      <c r="E495" s="5" t="n">
        <v>9</v>
      </c>
      <c r="F495" s="5" t="s">
        <v>3005</v>
      </c>
      <c r="G495" s="2" t="s">
        <v>2448</v>
      </c>
      <c r="H495" s="5" t="s">
        <v>8336</v>
      </c>
      <c r="I495" s="5"/>
      <c r="J495" s="5"/>
      <c r="K495" s="5" t="s">
        <v>9921</v>
      </c>
    </row>
    <row r="496" customFormat="false" ht="23.85" hidden="false" customHeight="false" outlineLevel="0" collapsed="false">
      <c r="A496" s="5" t="s">
        <v>2470</v>
      </c>
      <c r="B496" s="2" t="s">
        <v>2471</v>
      </c>
      <c r="C496" s="5" t="s">
        <v>2128</v>
      </c>
      <c r="D496" s="5" t="s">
        <v>62</v>
      </c>
      <c r="E496" s="5" t="n">
        <v>9</v>
      </c>
      <c r="F496" s="5" t="s">
        <v>90</v>
      </c>
      <c r="G496" s="2" t="s">
        <v>2448</v>
      </c>
      <c r="H496" s="5" t="s">
        <v>8332</v>
      </c>
      <c r="I496" s="5" t="s">
        <v>60</v>
      </c>
      <c r="J496" s="5" t="s">
        <v>161</v>
      </c>
      <c r="K496" s="5" t="s">
        <v>2476</v>
      </c>
    </row>
    <row r="497" customFormat="false" ht="23.85" hidden="false" customHeight="false" outlineLevel="0" collapsed="false">
      <c r="A497" s="5" t="s">
        <v>2477</v>
      </c>
      <c r="B497" s="2" t="s">
        <v>2478</v>
      </c>
      <c r="C497" s="5" t="s">
        <v>2128</v>
      </c>
      <c r="D497" s="5" t="s">
        <v>62</v>
      </c>
      <c r="E497" s="5" t="n">
        <v>7</v>
      </c>
      <c r="F497" s="5" t="s">
        <v>67</v>
      </c>
      <c r="G497" s="2" t="s">
        <v>184</v>
      </c>
      <c r="H497" s="5" t="s">
        <v>8332</v>
      </c>
      <c r="I497" s="5" t="s">
        <v>60</v>
      </c>
      <c r="J497" s="5" t="s">
        <v>182</v>
      </c>
      <c r="K497" s="5" t="s">
        <v>2484</v>
      </c>
    </row>
    <row r="498" customFormat="false" ht="23.85" hidden="false" customHeight="false" outlineLevel="0" collapsed="false">
      <c r="A498" s="5" t="s">
        <v>2485</v>
      </c>
      <c r="B498" s="2" t="s">
        <v>2486</v>
      </c>
      <c r="C498" s="5" t="s">
        <v>2128</v>
      </c>
      <c r="D498" s="5" t="s">
        <v>62</v>
      </c>
      <c r="E498" s="5" t="n">
        <v>7</v>
      </c>
      <c r="F498" s="5" t="s">
        <v>67</v>
      </c>
      <c r="G498" s="2" t="s">
        <v>184</v>
      </c>
      <c r="H498" s="5" t="s">
        <v>8332</v>
      </c>
      <c r="I498" s="5" t="s">
        <v>60</v>
      </c>
      <c r="J498" s="5" t="s">
        <v>182</v>
      </c>
      <c r="K498" s="5" t="s">
        <v>2489</v>
      </c>
    </row>
    <row r="499" customFormat="false" ht="23.85" hidden="false" customHeight="false" outlineLevel="0" collapsed="false">
      <c r="A499" s="5" t="s">
        <v>9922</v>
      </c>
      <c r="B499" s="2" t="s">
        <v>9923</v>
      </c>
      <c r="C499" s="5" t="s">
        <v>2128</v>
      </c>
      <c r="D499" s="5" t="s">
        <v>62</v>
      </c>
      <c r="E499" s="5" t="n">
        <v>7</v>
      </c>
      <c r="F499" s="5" t="s">
        <v>536</v>
      </c>
      <c r="G499" s="2" t="s">
        <v>8898</v>
      </c>
      <c r="H499" s="5" t="s">
        <v>8336</v>
      </c>
      <c r="I499" s="5"/>
      <c r="J499" s="5"/>
      <c r="K499" s="5" t="s">
        <v>9924</v>
      </c>
    </row>
    <row r="500" customFormat="false" ht="35.05" hidden="false" customHeight="false" outlineLevel="0" collapsed="false">
      <c r="A500" s="5" t="s">
        <v>9925</v>
      </c>
      <c r="B500" s="2" t="s">
        <v>9926</v>
      </c>
      <c r="C500" s="5" t="s">
        <v>2128</v>
      </c>
      <c r="D500" s="5" t="s">
        <v>62</v>
      </c>
      <c r="E500" s="5" t="n">
        <v>7</v>
      </c>
      <c r="F500" s="5" t="s">
        <v>277</v>
      </c>
      <c r="G500" s="2" t="s">
        <v>9927</v>
      </c>
      <c r="H500" s="5" t="s">
        <v>8336</v>
      </c>
      <c r="I500" s="5"/>
      <c r="J500" s="5"/>
      <c r="K500" s="5" t="s">
        <v>9928</v>
      </c>
    </row>
    <row r="501" customFormat="false" ht="23.85" hidden="false" customHeight="false" outlineLevel="0" collapsed="false">
      <c r="A501" s="5" t="s">
        <v>9929</v>
      </c>
      <c r="B501" s="2" t="s">
        <v>9930</v>
      </c>
      <c r="C501" s="5" t="s">
        <v>2128</v>
      </c>
      <c r="D501" s="5" t="s">
        <v>62</v>
      </c>
      <c r="E501" s="5" t="n">
        <v>8</v>
      </c>
      <c r="F501" s="5" t="s">
        <v>277</v>
      </c>
      <c r="G501" s="2" t="s">
        <v>8898</v>
      </c>
      <c r="H501" s="5" t="s">
        <v>8336</v>
      </c>
      <c r="I501" s="5"/>
      <c r="J501" s="5"/>
      <c r="K501" s="5" t="s">
        <v>9931</v>
      </c>
    </row>
    <row r="502" customFormat="false" ht="23.85" hidden="false" customHeight="false" outlineLevel="0" collapsed="false">
      <c r="A502" s="5" t="s">
        <v>9932</v>
      </c>
      <c r="B502" s="2" t="s">
        <v>9933</v>
      </c>
      <c r="C502" s="5" t="s">
        <v>2128</v>
      </c>
      <c r="D502" s="5" t="s">
        <v>62</v>
      </c>
      <c r="E502" s="5" t="n">
        <v>8</v>
      </c>
      <c r="F502" s="5" t="s">
        <v>277</v>
      </c>
      <c r="G502" s="2" t="s">
        <v>8898</v>
      </c>
      <c r="H502" s="5" t="s">
        <v>8336</v>
      </c>
      <c r="I502" s="5"/>
      <c r="J502" s="5"/>
      <c r="K502" s="5" t="s">
        <v>9934</v>
      </c>
    </row>
    <row r="503" customFormat="false" ht="23.85" hidden="false" customHeight="false" outlineLevel="0" collapsed="false">
      <c r="A503" s="5" t="s">
        <v>9935</v>
      </c>
      <c r="B503" s="2" t="s">
        <v>9936</v>
      </c>
      <c r="C503" s="5" t="s">
        <v>2128</v>
      </c>
      <c r="D503" s="5" t="s">
        <v>62</v>
      </c>
      <c r="E503" s="5" t="n">
        <v>7</v>
      </c>
      <c r="F503" s="5" t="s">
        <v>277</v>
      </c>
      <c r="G503" s="2" t="s">
        <v>8898</v>
      </c>
      <c r="H503" s="5" t="s">
        <v>8336</v>
      </c>
      <c r="I503" s="5"/>
      <c r="J503" s="5"/>
      <c r="K503" s="5" t="s">
        <v>9937</v>
      </c>
    </row>
    <row r="504" customFormat="false" ht="23.85" hidden="false" customHeight="false" outlineLevel="0" collapsed="false">
      <c r="A504" s="5" t="s">
        <v>9938</v>
      </c>
      <c r="B504" s="2" t="s">
        <v>9939</v>
      </c>
      <c r="C504" s="5" t="s">
        <v>2128</v>
      </c>
      <c r="D504" s="5" t="s">
        <v>62</v>
      </c>
      <c r="E504" s="5" t="n">
        <v>7</v>
      </c>
      <c r="F504" s="5" t="s">
        <v>277</v>
      </c>
      <c r="G504" s="2" t="s">
        <v>8898</v>
      </c>
      <c r="H504" s="5" t="s">
        <v>8336</v>
      </c>
      <c r="I504" s="5"/>
      <c r="J504" s="5"/>
      <c r="K504" s="5" t="s">
        <v>9940</v>
      </c>
    </row>
    <row r="505" customFormat="false" ht="35.05" hidden="false" customHeight="false" outlineLevel="0" collapsed="false">
      <c r="A505" s="5" t="s">
        <v>9941</v>
      </c>
      <c r="B505" s="2" t="s">
        <v>9942</v>
      </c>
      <c r="C505" s="5" t="s">
        <v>2128</v>
      </c>
      <c r="D505" s="5" t="s">
        <v>62</v>
      </c>
      <c r="E505" s="5" t="n">
        <v>7</v>
      </c>
      <c r="F505" s="5" t="s">
        <v>277</v>
      </c>
      <c r="G505" s="2" t="s">
        <v>9927</v>
      </c>
      <c r="H505" s="5" t="s">
        <v>8336</v>
      </c>
      <c r="I505" s="5"/>
      <c r="J505" s="5"/>
      <c r="K505" s="5" t="s">
        <v>9943</v>
      </c>
    </row>
    <row r="506" customFormat="false" ht="23.85" hidden="false" customHeight="false" outlineLevel="0" collapsed="false">
      <c r="A506" s="5" t="s">
        <v>9944</v>
      </c>
      <c r="B506" s="2" t="s">
        <v>9945</v>
      </c>
      <c r="C506" s="5" t="s">
        <v>2128</v>
      </c>
      <c r="D506" s="5" t="s">
        <v>62</v>
      </c>
      <c r="E506" s="5" t="n">
        <v>8</v>
      </c>
      <c r="F506" s="5" t="s">
        <v>277</v>
      </c>
      <c r="G506" s="2" t="s">
        <v>8898</v>
      </c>
      <c r="H506" s="5" t="s">
        <v>8336</v>
      </c>
      <c r="I506" s="5"/>
      <c r="J506" s="5"/>
      <c r="K506" s="5" t="s">
        <v>9946</v>
      </c>
    </row>
    <row r="507" customFormat="false" ht="23.85" hidden="false" customHeight="false" outlineLevel="0" collapsed="false">
      <c r="A507" s="5" t="s">
        <v>9947</v>
      </c>
      <c r="B507" s="2" t="s">
        <v>9948</v>
      </c>
      <c r="C507" s="5" t="s">
        <v>2128</v>
      </c>
      <c r="D507" s="5" t="s">
        <v>62</v>
      </c>
      <c r="E507" s="5" t="n">
        <v>8</v>
      </c>
      <c r="F507" s="5" t="s">
        <v>277</v>
      </c>
      <c r="G507" s="2" t="s">
        <v>8898</v>
      </c>
      <c r="H507" s="5" t="s">
        <v>8336</v>
      </c>
      <c r="I507" s="5"/>
      <c r="J507" s="5"/>
      <c r="K507" s="5" t="s">
        <v>9949</v>
      </c>
    </row>
    <row r="508" customFormat="false" ht="23.85" hidden="false" customHeight="false" outlineLevel="0" collapsed="false">
      <c r="A508" s="5" t="s">
        <v>9950</v>
      </c>
      <c r="B508" s="2" t="s">
        <v>9951</v>
      </c>
      <c r="C508" s="5" t="s">
        <v>2128</v>
      </c>
      <c r="D508" s="5" t="s">
        <v>62</v>
      </c>
      <c r="E508" s="5" t="n">
        <v>7</v>
      </c>
      <c r="F508" s="5" t="s">
        <v>277</v>
      </c>
      <c r="G508" s="2" t="s">
        <v>8898</v>
      </c>
      <c r="H508" s="5" t="s">
        <v>8336</v>
      </c>
      <c r="I508" s="5"/>
      <c r="J508" s="5"/>
      <c r="K508" s="5" t="s">
        <v>9952</v>
      </c>
    </row>
    <row r="509" customFormat="false" ht="23.85" hidden="false" customHeight="false" outlineLevel="0" collapsed="false">
      <c r="A509" s="5" t="s">
        <v>9953</v>
      </c>
      <c r="B509" s="2" t="s">
        <v>9954</v>
      </c>
      <c r="C509" s="5" t="s">
        <v>2128</v>
      </c>
      <c r="D509" s="5" t="s">
        <v>62</v>
      </c>
      <c r="E509" s="5" t="n">
        <v>7</v>
      </c>
      <c r="F509" s="5" t="s">
        <v>277</v>
      </c>
      <c r="G509" s="2" t="s">
        <v>8898</v>
      </c>
      <c r="H509" s="5" t="s">
        <v>8336</v>
      </c>
      <c r="I509" s="5"/>
      <c r="J509" s="5"/>
      <c r="K509" s="5" t="s">
        <v>9955</v>
      </c>
    </row>
    <row r="510" customFormat="false" ht="23.85" hidden="false" customHeight="false" outlineLevel="0" collapsed="false">
      <c r="A510" s="5" t="s">
        <v>9956</v>
      </c>
      <c r="B510" s="2" t="s">
        <v>9957</v>
      </c>
      <c r="C510" s="5" t="s">
        <v>2128</v>
      </c>
      <c r="D510" s="5" t="s">
        <v>62</v>
      </c>
      <c r="E510" s="5" t="n">
        <v>9</v>
      </c>
      <c r="F510" s="5" t="s">
        <v>277</v>
      </c>
      <c r="G510" s="2" t="s">
        <v>8898</v>
      </c>
      <c r="H510" s="5" t="s">
        <v>8336</v>
      </c>
      <c r="I510" s="5"/>
      <c r="J510" s="5"/>
      <c r="K510" s="5" t="s">
        <v>9958</v>
      </c>
    </row>
    <row r="511" customFormat="false" ht="23.85" hidden="false" customHeight="false" outlineLevel="0" collapsed="false">
      <c r="A511" s="5" t="s">
        <v>9959</v>
      </c>
      <c r="B511" s="2" t="s">
        <v>9960</v>
      </c>
      <c r="C511" s="5" t="s">
        <v>2128</v>
      </c>
      <c r="D511" s="5" t="s">
        <v>62</v>
      </c>
      <c r="E511" s="5" t="n">
        <v>9</v>
      </c>
      <c r="F511" s="5" t="s">
        <v>277</v>
      </c>
      <c r="G511" s="2" t="s">
        <v>8898</v>
      </c>
      <c r="H511" s="5" t="s">
        <v>8336</v>
      </c>
      <c r="I511" s="5"/>
      <c r="J511" s="5"/>
      <c r="K511" s="5" t="s">
        <v>9961</v>
      </c>
    </row>
    <row r="512" customFormat="false" ht="23.85" hidden="false" customHeight="false" outlineLevel="0" collapsed="false">
      <c r="A512" s="5" t="s">
        <v>9962</v>
      </c>
      <c r="B512" s="2" t="s">
        <v>9963</v>
      </c>
      <c r="C512" s="5" t="s">
        <v>2128</v>
      </c>
      <c r="D512" s="5" t="s">
        <v>62</v>
      </c>
      <c r="E512" s="5" t="n">
        <v>7</v>
      </c>
      <c r="F512" s="5" t="s">
        <v>277</v>
      </c>
      <c r="G512" s="2" t="s">
        <v>8898</v>
      </c>
      <c r="H512" s="5" t="s">
        <v>8336</v>
      </c>
      <c r="I512" s="5"/>
      <c r="J512" s="5"/>
      <c r="K512" s="5" t="s">
        <v>9964</v>
      </c>
    </row>
    <row r="513" customFormat="false" ht="15" hidden="false" customHeight="false" outlineLevel="0" collapsed="false">
      <c r="A513" s="5" t="s">
        <v>9965</v>
      </c>
      <c r="B513" s="2" t="s">
        <v>9966</v>
      </c>
      <c r="C513" s="5" t="s">
        <v>2128</v>
      </c>
      <c r="D513" s="5" t="s">
        <v>62</v>
      </c>
      <c r="E513" s="5" t="n">
        <v>7</v>
      </c>
      <c r="F513" s="5" t="s">
        <v>9557</v>
      </c>
      <c r="G513" s="2" t="s">
        <v>9558</v>
      </c>
      <c r="H513" s="5" t="s">
        <v>8336</v>
      </c>
      <c r="I513" s="5"/>
      <c r="J513" s="5"/>
      <c r="K513" s="5" t="s">
        <v>9967</v>
      </c>
    </row>
    <row r="514" customFormat="false" ht="15" hidden="false" customHeight="false" outlineLevel="0" collapsed="false">
      <c r="A514" s="5" t="s">
        <v>9968</v>
      </c>
      <c r="B514" s="2" t="s">
        <v>9969</v>
      </c>
      <c r="C514" s="5" t="s">
        <v>2128</v>
      </c>
      <c r="D514" s="5" t="s">
        <v>62</v>
      </c>
      <c r="E514" s="5" t="n">
        <v>7</v>
      </c>
      <c r="F514" s="5" t="s">
        <v>9557</v>
      </c>
      <c r="G514" s="2" t="s">
        <v>9558</v>
      </c>
      <c r="H514" s="5" t="s">
        <v>8336</v>
      </c>
      <c r="I514" s="5"/>
      <c r="J514" s="5"/>
      <c r="K514" s="5" t="s">
        <v>9970</v>
      </c>
    </row>
    <row r="515" customFormat="false" ht="15" hidden="false" customHeight="false" outlineLevel="0" collapsed="false">
      <c r="A515" s="5" t="s">
        <v>9971</v>
      </c>
      <c r="B515" s="2" t="s">
        <v>9972</v>
      </c>
      <c r="C515" s="5" t="s">
        <v>2128</v>
      </c>
      <c r="D515" s="5" t="s">
        <v>62</v>
      </c>
      <c r="E515" s="5" t="n">
        <v>8</v>
      </c>
      <c r="F515" s="5" t="s">
        <v>536</v>
      </c>
      <c r="G515" s="2" t="s">
        <v>9240</v>
      </c>
      <c r="H515" s="5" t="s">
        <v>8336</v>
      </c>
      <c r="I515" s="5"/>
      <c r="J515" s="5"/>
      <c r="K515" s="5" t="s">
        <v>9973</v>
      </c>
    </row>
    <row r="516" customFormat="false" ht="23.85" hidden="false" customHeight="false" outlineLevel="0" collapsed="false">
      <c r="A516" s="5" t="s">
        <v>9974</v>
      </c>
      <c r="B516" s="2" t="s">
        <v>9975</v>
      </c>
      <c r="C516" s="5" t="s">
        <v>2128</v>
      </c>
      <c r="D516" s="5" t="s">
        <v>62</v>
      </c>
      <c r="E516" s="5" t="n">
        <v>8</v>
      </c>
      <c r="F516" s="5" t="s">
        <v>536</v>
      </c>
      <c r="G516" s="2" t="s">
        <v>9976</v>
      </c>
      <c r="H516" s="5" t="s">
        <v>8336</v>
      </c>
      <c r="I516" s="5"/>
      <c r="J516" s="5"/>
      <c r="K516" s="5" t="s">
        <v>9977</v>
      </c>
    </row>
    <row r="517" customFormat="false" ht="15" hidden="false" customHeight="false" outlineLevel="0" collapsed="false">
      <c r="A517" s="5" t="s">
        <v>9978</v>
      </c>
      <c r="B517" s="2" t="s">
        <v>9979</v>
      </c>
      <c r="C517" s="5" t="s">
        <v>2128</v>
      </c>
      <c r="D517" s="5" t="s">
        <v>62</v>
      </c>
      <c r="E517" s="5" t="n">
        <v>8</v>
      </c>
      <c r="F517" s="5" t="s">
        <v>536</v>
      </c>
      <c r="G517" s="2" t="s">
        <v>9240</v>
      </c>
      <c r="H517" s="5" t="s">
        <v>8336</v>
      </c>
      <c r="I517" s="5"/>
      <c r="J517" s="5"/>
      <c r="K517" s="5" t="s">
        <v>9980</v>
      </c>
    </row>
    <row r="518" customFormat="false" ht="23.85" hidden="false" customHeight="false" outlineLevel="0" collapsed="false">
      <c r="A518" s="5" t="s">
        <v>9981</v>
      </c>
      <c r="B518" s="2" t="s">
        <v>9982</v>
      </c>
      <c r="C518" s="5" t="s">
        <v>2128</v>
      </c>
      <c r="D518" s="5" t="s">
        <v>62</v>
      </c>
      <c r="E518" s="5" t="n">
        <v>8</v>
      </c>
      <c r="F518" s="5" t="s">
        <v>536</v>
      </c>
      <c r="G518" s="2" t="s">
        <v>9976</v>
      </c>
      <c r="H518" s="5" t="s">
        <v>8336</v>
      </c>
      <c r="I518" s="5"/>
      <c r="J518" s="5"/>
      <c r="K518" s="5" t="s">
        <v>9983</v>
      </c>
    </row>
    <row r="519" customFormat="false" ht="23.85" hidden="false" customHeight="false" outlineLevel="0" collapsed="false">
      <c r="A519" s="5" t="s">
        <v>9984</v>
      </c>
      <c r="B519" s="2" t="s">
        <v>9985</v>
      </c>
      <c r="C519" s="5" t="s">
        <v>2128</v>
      </c>
      <c r="D519" s="5" t="s">
        <v>62</v>
      </c>
      <c r="E519" s="5" t="n">
        <v>9</v>
      </c>
      <c r="F519" s="5" t="s">
        <v>413</v>
      </c>
      <c r="G519" s="2" t="s">
        <v>8682</v>
      </c>
      <c r="H519" s="5" t="s">
        <v>8336</v>
      </c>
      <c r="I519" s="5"/>
      <c r="J519" s="5"/>
      <c r="K519" s="5" t="s">
        <v>9986</v>
      </c>
    </row>
    <row r="520" customFormat="false" ht="23.85" hidden="false" customHeight="false" outlineLevel="0" collapsed="false">
      <c r="A520" s="5" t="s">
        <v>9987</v>
      </c>
      <c r="B520" s="2" t="s">
        <v>9988</v>
      </c>
      <c r="C520" s="5" t="s">
        <v>2128</v>
      </c>
      <c r="D520" s="5" t="s">
        <v>62</v>
      </c>
      <c r="E520" s="5" t="n">
        <v>5</v>
      </c>
      <c r="F520" s="5" t="s">
        <v>413</v>
      </c>
      <c r="G520" s="2" t="s">
        <v>8682</v>
      </c>
      <c r="H520" s="5" t="s">
        <v>8336</v>
      </c>
      <c r="I520" s="5"/>
      <c r="J520" s="5"/>
      <c r="K520" s="5" t="s">
        <v>9989</v>
      </c>
    </row>
    <row r="521" customFormat="false" ht="23.85" hidden="false" customHeight="false" outlineLevel="0" collapsed="false">
      <c r="A521" s="5" t="s">
        <v>9990</v>
      </c>
      <c r="B521" s="2" t="s">
        <v>9991</v>
      </c>
      <c r="C521" s="5" t="s">
        <v>2128</v>
      </c>
      <c r="D521" s="5" t="s">
        <v>62</v>
      </c>
      <c r="E521" s="5" t="n">
        <v>9</v>
      </c>
      <c r="F521" s="5" t="s">
        <v>413</v>
      </c>
      <c r="G521" s="2" t="s">
        <v>8682</v>
      </c>
      <c r="H521" s="5" t="s">
        <v>8336</v>
      </c>
      <c r="I521" s="5"/>
      <c r="J521" s="5"/>
      <c r="K521" s="5" t="s">
        <v>9992</v>
      </c>
    </row>
    <row r="522" customFormat="false" ht="23.85" hidden="false" customHeight="false" outlineLevel="0" collapsed="false">
      <c r="A522" s="5" t="s">
        <v>9993</v>
      </c>
      <c r="B522" s="2" t="s">
        <v>9994</v>
      </c>
      <c r="C522" s="5" t="s">
        <v>2128</v>
      </c>
      <c r="D522" s="5" t="s">
        <v>62</v>
      </c>
      <c r="E522" s="5" t="n">
        <v>9</v>
      </c>
      <c r="F522" s="5" t="s">
        <v>413</v>
      </c>
      <c r="G522" s="2" t="s">
        <v>8682</v>
      </c>
      <c r="H522" s="5" t="s">
        <v>8336</v>
      </c>
      <c r="I522" s="5"/>
      <c r="J522" s="5"/>
      <c r="K522" s="5" t="s">
        <v>9995</v>
      </c>
    </row>
    <row r="523" customFormat="false" ht="23.85" hidden="false" customHeight="false" outlineLevel="0" collapsed="false">
      <c r="A523" s="5" t="s">
        <v>9996</v>
      </c>
      <c r="B523" s="2" t="s">
        <v>9997</v>
      </c>
      <c r="C523" s="5" t="s">
        <v>2128</v>
      </c>
      <c r="D523" s="5" t="s">
        <v>62</v>
      </c>
      <c r="E523" s="5" t="n">
        <v>9</v>
      </c>
      <c r="F523" s="5" t="s">
        <v>413</v>
      </c>
      <c r="G523" s="2" t="s">
        <v>8682</v>
      </c>
      <c r="H523" s="5" t="s">
        <v>8336</v>
      </c>
      <c r="I523" s="5"/>
      <c r="J523" s="5"/>
      <c r="K523" s="5" t="s">
        <v>9998</v>
      </c>
    </row>
    <row r="524" customFormat="false" ht="15" hidden="false" customHeight="false" outlineLevel="0" collapsed="false">
      <c r="A524" s="5" t="s">
        <v>9999</v>
      </c>
      <c r="B524" s="2" t="s">
        <v>10000</v>
      </c>
      <c r="C524" s="5" t="s">
        <v>2128</v>
      </c>
      <c r="D524" s="5" t="s">
        <v>62</v>
      </c>
      <c r="E524" s="5" t="n">
        <v>9</v>
      </c>
      <c r="F524" s="5" t="s">
        <v>413</v>
      </c>
      <c r="G524" s="2" t="s">
        <v>10001</v>
      </c>
      <c r="H524" s="5" t="s">
        <v>8336</v>
      </c>
      <c r="I524" s="5"/>
      <c r="J524" s="5"/>
      <c r="K524" s="5" t="s">
        <v>10002</v>
      </c>
    </row>
    <row r="525" customFormat="false" ht="23.85" hidden="false" customHeight="false" outlineLevel="0" collapsed="false">
      <c r="A525" s="5" t="s">
        <v>10003</v>
      </c>
      <c r="B525" s="2" t="s">
        <v>10004</v>
      </c>
      <c r="C525" s="5" t="s">
        <v>2128</v>
      </c>
      <c r="D525" s="5" t="s">
        <v>62</v>
      </c>
      <c r="E525" s="5" t="n">
        <v>9</v>
      </c>
      <c r="F525" s="5" t="s">
        <v>413</v>
      </c>
      <c r="G525" s="2" t="s">
        <v>8682</v>
      </c>
      <c r="H525" s="5" t="s">
        <v>8336</v>
      </c>
      <c r="I525" s="5"/>
      <c r="J525" s="5"/>
      <c r="K525" s="5" t="s">
        <v>10005</v>
      </c>
    </row>
    <row r="526" customFormat="false" ht="15" hidden="false" customHeight="false" outlineLevel="0" collapsed="false">
      <c r="A526" s="5" t="s">
        <v>10006</v>
      </c>
      <c r="B526" s="2" t="s">
        <v>10007</v>
      </c>
      <c r="C526" s="5" t="s">
        <v>2128</v>
      </c>
      <c r="D526" s="5" t="s">
        <v>62</v>
      </c>
      <c r="E526" s="5" t="n">
        <v>7</v>
      </c>
      <c r="F526" s="5" t="s">
        <v>3005</v>
      </c>
      <c r="G526" s="2" t="s">
        <v>10008</v>
      </c>
      <c r="H526" s="5" t="s">
        <v>8336</v>
      </c>
      <c r="I526" s="5"/>
      <c r="J526" s="5"/>
      <c r="K526" s="5" t="s">
        <v>10009</v>
      </c>
    </row>
    <row r="527" customFormat="false" ht="15" hidden="false" customHeight="false" outlineLevel="0" collapsed="false">
      <c r="A527" s="5" t="s">
        <v>10010</v>
      </c>
      <c r="B527" s="2" t="s">
        <v>10011</v>
      </c>
      <c r="C527" s="5" t="s">
        <v>2128</v>
      </c>
      <c r="D527" s="5" t="s">
        <v>62</v>
      </c>
      <c r="E527" s="5" t="n">
        <v>9</v>
      </c>
      <c r="F527" s="5" t="s">
        <v>8702</v>
      </c>
      <c r="G527" s="2" t="s">
        <v>2349</v>
      </c>
      <c r="H527" s="5" t="s">
        <v>8336</v>
      </c>
      <c r="I527" s="5"/>
      <c r="J527" s="5"/>
      <c r="K527" s="5" t="s">
        <v>10012</v>
      </c>
    </row>
    <row r="528" customFormat="false" ht="15" hidden="false" customHeight="false" outlineLevel="0" collapsed="false">
      <c r="A528" s="5" t="s">
        <v>10013</v>
      </c>
      <c r="B528" s="2" t="s">
        <v>10014</v>
      </c>
      <c r="C528" s="5" t="s">
        <v>2128</v>
      </c>
      <c r="D528" s="5" t="s">
        <v>490</v>
      </c>
      <c r="E528" s="5" t="n">
        <v>9</v>
      </c>
      <c r="F528" s="5" t="s">
        <v>9196</v>
      </c>
      <c r="G528" s="2" t="s">
        <v>2376</v>
      </c>
      <c r="H528" s="5" t="s">
        <v>8336</v>
      </c>
      <c r="I528" s="5"/>
      <c r="J528" s="5"/>
      <c r="K528" s="5" t="s">
        <v>10015</v>
      </c>
    </row>
    <row r="529" customFormat="false" ht="23.85" hidden="false" customHeight="false" outlineLevel="0" collapsed="false">
      <c r="A529" s="5" t="s">
        <v>10016</v>
      </c>
      <c r="B529" s="2" t="s">
        <v>10017</v>
      </c>
      <c r="C529" s="5" t="s">
        <v>2128</v>
      </c>
      <c r="D529" s="5" t="s">
        <v>490</v>
      </c>
      <c r="E529" s="5" t="n">
        <v>6</v>
      </c>
      <c r="F529" s="5" t="s">
        <v>9196</v>
      </c>
      <c r="G529" s="2" t="s">
        <v>2376</v>
      </c>
      <c r="H529" s="5" t="s">
        <v>8336</v>
      </c>
      <c r="I529" s="5"/>
      <c r="J529" s="5"/>
      <c r="K529" s="5" t="s">
        <v>10018</v>
      </c>
    </row>
    <row r="530" customFormat="false" ht="15" hidden="false" customHeight="false" outlineLevel="0" collapsed="false">
      <c r="A530" s="5" t="s">
        <v>10019</v>
      </c>
      <c r="B530" s="2" t="s">
        <v>10020</v>
      </c>
      <c r="C530" s="5" t="s">
        <v>2128</v>
      </c>
      <c r="D530" s="5" t="s">
        <v>490</v>
      </c>
      <c r="E530" s="5" t="n">
        <v>9</v>
      </c>
      <c r="F530" s="5" t="s">
        <v>10021</v>
      </c>
      <c r="G530" s="2" t="s">
        <v>10022</v>
      </c>
      <c r="H530" s="5" t="s">
        <v>8336</v>
      </c>
      <c r="I530" s="5"/>
      <c r="J530" s="5"/>
      <c r="K530" s="5" t="s">
        <v>10023</v>
      </c>
    </row>
    <row r="531" customFormat="false" ht="15" hidden="false" customHeight="false" outlineLevel="0" collapsed="false">
      <c r="A531" s="5" t="s">
        <v>10024</v>
      </c>
      <c r="B531" s="2" t="s">
        <v>10025</v>
      </c>
      <c r="C531" s="5" t="s">
        <v>2128</v>
      </c>
      <c r="D531" s="5" t="s">
        <v>490</v>
      </c>
      <c r="E531" s="5" t="n">
        <v>9</v>
      </c>
      <c r="F531" s="5" t="s">
        <v>10021</v>
      </c>
      <c r="G531" s="2" t="s">
        <v>10022</v>
      </c>
      <c r="H531" s="5" t="s">
        <v>8336</v>
      </c>
      <c r="I531" s="5"/>
      <c r="J531" s="5"/>
      <c r="K531" s="5" t="s">
        <v>10026</v>
      </c>
    </row>
    <row r="532" customFormat="false" ht="15" hidden="false" customHeight="false" outlineLevel="0" collapsed="false">
      <c r="A532" s="5" t="s">
        <v>10027</v>
      </c>
      <c r="B532" s="2" t="s">
        <v>10028</v>
      </c>
      <c r="C532" s="5" t="s">
        <v>2128</v>
      </c>
      <c r="D532" s="5" t="s">
        <v>490</v>
      </c>
      <c r="E532" s="5" t="n">
        <v>9</v>
      </c>
      <c r="F532" s="5" t="s">
        <v>10021</v>
      </c>
      <c r="G532" s="2" t="s">
        <v>10022</v>
      </c>
      <c r="H532" s="5" t="s">
        <v>8336</v>
      </c>
      <c r="I532" s="5"/>
      <c r="J532" s="5"/>
      <c r="K532" s="5" t="s">
        <v>10029</v>
      </c>
    </row>
    <row r="533" customFormat="false" ht="15" hidden="false" customHeight="false" outlineLevel="0" collapsed="false">
      <c r="A533" s="5" t="s">
        <v>10030</v>
      </c>
      <c r="B533" s="2" t="s">
        <v>10031</v>
      </c>
      <c r="C533" s="5" t="s">
        <v>2128</v>
      </c>
      <c r="D533" s="5" t="s">
        <v>490</v>
      </c>
      <c r="E533" s="5" t="n">
        <v>9</v>
      </c>
      <c r="F533" s="5" t="s">
        <v>10021</v>
      </c>
      <c r="G533" s="2" t="s">
        <v>10022</v>
      </c>
      <c r="H533" s="5" t="s">
        <v>8336</v>
      </c>
      <c r="I533" s="5"/>
      <c r="J533" s="5"/>
      <c r="K533" s="5" t="s">
        <v>10032</v>
      </c>
    </row>
    <row r="534" customFormat="false" ht="15" hidden="false" customHeight="false" outlineLevel="0" collapsed="false">
      <c r="A534" s="5" t="s">
        <v>10033</v>
      </c>
      <c r="B534" s="2" t="s">
        <v>10034</v>
      </c>
      <c r="C534" s="5" t="s">
        <v>2128</v>
      </c>
      <c r="D534" s="5" t="s">
        <v>62</v>
      </c>
      <c r="E534" s="5" t="n">
        <v>5</v>
      </c>
      <c r="F534" s="5" t="s">
        <v>536</v>
      </c>
      <c r="G534" s="2" t="s">
        <v>10035</v>
      </c>
      <c r="H534" s="5" t="s">
        <v>8336</v>
      </c>
      <c r="I534" s="5"/>
      <c r="J534" s="5"/>
      <c r="K534" s="5" t="s">
        <v>10036</v>
      </c>
    </row>
    <row r="535" customFormat="false" ht="15" hidden="false" customHeight="false" outlineLevel="0" collapsed="false">
      <c r="A535" s="5" t="s">
        <v>10037</v>
      </c>
      <c r="B535" s="2" t="s">
        <v>10038</v>
      </c>
      <c r="C535" s="5" t="s">
        <v>2128</v>
      </c>
      <c r="D535" s="5" t="s">
        <v>62</v>
      </c>
      <c r="E535" s="5" t="n">
        <v>9</v>
      </c>
      <c r="F535" s="5" t="s">
        <v>536</v>
      </c>
      <c r="G535" s="2" t="s">
        <v>10035</v>
      </c>
      <c r="H535" s="5" t="s">
        <v>8336</v>
      </c>
      <c r="I535" s="5"/>
      <c r="J535" s="5"/>
      <c r="K535" s="5" t="s">
        <v>10039</v>
      </c>
    </row>
    <row r="536" customFormat="false" ht="15" hidden="false" customHeight="false" outlineLevel="0" collapsed="false">
      <c r="A536" s="5" t="s">
        <v>10040</v>
      </c>
      <c r="B536" s="2" t="s">
        <v>10041</v>
      </c>
      <c r="C536" s="5" t="s">
        <v>2128</v>
      </c>
      <c r="D536" s="5" t="s">
        <v>62</v>
      </c>
      <c r="E536" s="5" t="n">
        <v>9</v>
      </c>
      <c r="F536" s="5" t="s">
        <v>536</v>
      </c>
      <c r="G536" s="2" t="s">
        <v>10035</v>
      </c>
      <c r="H536" s="5" t="s">
        <v>8336</v>
      </c>
      <c r="I536" s="5"/>
      <c r="J536" s="5"/>
      <c r="K536" s="5" t="s">
        <v>10042</v>
      </c>
    </row>
    <row r="537" customFormat="false" ht="15" hidden="false" customHeight="false" outlineLevel="0" collapsed="false">
      <c r="A537" s="5" t="s">
        <v>10043</v>
      </c>
      <c r="B537" s="2" t="s">
        <v>10044</v>
      </c>
      <c r="C537" s="5" t="s">
        <v>2128</v>
      </c>
      <c r="D537" s="5" t="s">
        <v>62</v>
      </c>
      <c r="E537" s="5" t="n">
        <v>7</v>
      </c>
      <c r="F537" s="5" t="s">
        <v>536</v>
      </c>
      <c r="G537" s="2" t="s">
        <v>10035</v>
      </c>
      <c r="H537" s="5" t="s">
        <v>8336</v>
      </c>
      <c r="I537" s="5"/>
      <c r="J537" s="5"/>
      <c r="K537" s="5" t="s">
        <v>10045</v>
      </c>
    </row>
    <row r="538" customFormat="false" ht="23.85" hidden="false" customHeight="false" outlineLevel="0" collapsed="false">
      <c r="A538" s="5" t="s">
        <v>10046</v>
      </c>
      <c r="B538" s="2" t="s">
        <v>10047</v>
      </c>
      <c r="C538" s="5" t="s">
        <v>2128</v>
      </c>
      <c r="D538" s="5" t="s">
        <v>62</v>
      </c>
      <c r="E538" s="5" t="n">
        <v>5</v>
      </c>
      <c r="F538" s="5" t="s">
        <v>536</v>
      </c>
      <c r="G538" s="2" t="s">
        <v>10035</v>
      </c>
      <c r="H538" s="5" t="s">
        <v>8336</v>
      </c>
      <c r="I538" s="5"/>
      <c r="J538" s="5"/>
      <c r="K538" s="5" t="s">
        <v>10048</v>
      </c>
    </row>
    <row r="539" customFormat="false" ht="23.85" hidden="false" customHeight="false" outlineLevel="0" collapsed="false">
      <c r="A539" s="5" t="s">
        <v>10049</v>
      </c>
      <c r="B539" s="2" t="s">
        <v>10050</v>
      </c>
      <c r="C539" s="5" t="s">
        <v>2128</v>
      </c>
      <c r="D539" s="5" t="s">
        <v>62</v>
      </c>
      <c r="E539" s="5" t="n">
        <v>7</v>
      </c>
      <c r="F539" s="5" t="s">
        <v>536</v>
      </c>
      <c r="G539" s="2" t="s">
        <v>10035</v>
      </c>
      <c r="H539" s="5" t="s">
        <v>8336</v>
      </c>
      <c r="I539" s="5"/>
      <c r="J539" s="5"/>
      <c r="K539" s="5" t="s">
        <v>10051</v>
      </c>
    </row>
    <row r="540" customFormat="false" ht="15" hidden="false" customHeight="false" outlineLevel="0" collapsed="false">
      <c r="A540" s="5" t="s">
        <v>10052</v>
      </c>
      <c r="B540" s="2" t="s">
        <v>10053</v>
      </c>
      <c r="C540" s="5" t="s">
        <v>2128</v>
      </c>
      <c r="D540" s="5" t="s">
        <v>62</v>
      </c>
      <c r="E540" s="5" t="n">
        <v>9</v>
      </c>
      <c r="F540" s="5" t="s">
        <v>536</v>
      </c>
      <c r="G540" s="2" t="s">
        <v>10035</v>
      </c>
      <c r="H540" s="5" t="s">
        <v>8336</v>
      </c>
      <c r="I540" s="5"/>
      <c r="J540" s="5"/>
      <c r="K540" s="5" t="s">
        <v>10054</v>
      </c>
    </row>
    <row r="541" customFormat="false" ht="15" hidden="false" customHeight="false" outlineLevel="0" collapsed="false">
      <c r="A541" s="5" t="s">
        <v>10055</v>
      </c>
      <c r="B541" s="2" t="s">
        <v>10056</v>
      </c>
      <c r="C541" s="5" t="s">
        <v>2128</v>
      </c>
      <c r="D541" s="5" t="s">
        <v>62</v>
      </c>
      <c r="E541" s="5" t="n">
        <v>7</v>
      </c>
      <c r="F541" s="5" t="s">
        <v>536</v>
      </c>
      <c r="G541" s="2" t="s">
        <v>10035</v>
      </c>
      <c r="H541" s="5" t="s">
        <v>8336</v>
      </c>
      <c r="I541" s="5"/>
      <c r="J541" s="5"/>
      <c r="K541" s="5" t="s">
        <v>10057</v>
      </c>
    </row>
    <row r="542" customFormat="false" ht="15" hidden="false" customHeight="false" outlineLevel="0" collapsed="false">
      <c r="A542" s="5" t="s">
        <v>10058</v>
      </c>
      <c r="B542" s="2" t="s">
        <v>10059</v>
      </c>
      <c r="C542" s="5" t="s">
        <v>2128</v>
      </c>
      <c r="D542" s="5" t="s">
        <v>62</v>
      </c>
      <c r="E542" s="5" t="n">
        <v>7</v>
      </c>
      <c r="F542" s="5" t="s">
        <v>536</v>
      </c>
      <c r="G542" s="2" t="s">
        <v>10035</v>
      </c>
      <c r="H542" s="5" t="s">
        <v>8336</v>
      </c>
      <c r="I542" s="5"/>
      <c r="J542" s="5"/>
      <c r="K542" s="5" t="s">
        <v>10060</v>
      </c>
    </row>
    <row r="543" customFormat="false" ht="23.85" hidden="false" customHeight="false" outlineLevel="0" collapsed="false">
      <c r="A543" s="5" t="s">
        <v>10061</v>
      </c>
      <c r="B543" s="2" t="s">
        <v>10062</v>
      </c>
      <c r="C543" s="5" t="s">
        <v>2128</v>
      </c>
      <c r="D543" s="5" t="s">
        <v>62</v>
      </c>
      <c r="E543" s="5" t="n">
        <v>7</v>
      </c>
      <c r="F543" s="5" t="s">
        <v>536</v>
      </c>
      <c r="G543" s="2" t="s">
        <v>8898</v>
      </c>
      <c r="H543" s="5" t="s">
        <v>8336</v>
      </c>
      <c r="I543" s="5"/>
      <c r="J543" s="5"/>
      <c r="K543" s="5" t="s">
        <v>10063</v>
      </c>
    </row>
    <row r="544" customFormat="false" ht="23.85" hidden="false" customHeight="false" outlineLevel="0" collapsed="false">
      <c r="A544" s="5" t="s">
        <v>10064</v>
      </c>
      <c r="B544" s="2" t="s">
        <v>10065</v>
      </c>
      <c r="C544" s="5" t="s">
        <v>2128</v>
      </c>
      <c r="D544" s="5" t="s">
        <v>62</v>
      </c>
      <c r="E544" s="5" t="n">
        <v>6</v>
      </c>
      <c r="F544" s="5" t="s">
        <v>10066</v>
      </c>
      <c r="G544" s="2" t="s">
        <v>2493</v>
      </c>
      <c r="H544" s="5" t="s">
        <v>8336</v>
      </c>
      <c r="I544" s="5"/>
      <c r="J544" s="5"/>
      <c r="K544" s="5" t="s">
        <v>10067</v>
      </c>
    </row>
    <row r="545" customFormat="false" ht="23.85" hidden="false" customHeight="false" outlineLevel="0" collapsed="false">
      <c r="A545" s="5" t="s">
        <v>10068</v>
      </c>
      <c r="B545" s="2" t="s">
        <v>10069</v>
      </c>
      <c r="C545" s="5" t="s">
        <v>2128</v>
      </c>
      <c r="D545" s="5" t="s">
        <v>62</v>
      </c>
      <c r="E545" s="5" t="n">
        <v>6</v>
      </c>
      <c r="F545" s="5" t="s">
        <v>10066</v>
      </c>
      <c r="G545" s="2" t="s">
        <v>2493</v>
      </c>
      <c r="H545" s="5" t="s">
        <v>8336</v>
      </c>
      <c r="I545" s="5"/>
      <c r="J545" s="5"/>
      <c r="K545" s="5" t="s">
        <v>10070</v>
      </c>
    </row>
    <row r="546" customFormat="false" ht="23.85" hidden="false" customHeight="false" outlineLevel="0" collapsed="false">
      <c r="A546" s="5" t="s">
        <v>10071</v>
      </c>
      <c r="B546" s="2" t="s">
        <v>10072</v>
      </c>
      <c r="C546" s="5" t="s">
        <v>2128</v>
      </c>
      <c r="D546" s="5" t="s">
        <v>62</v>
      </c>
      <c r="E546" s="5" t="n">
        <v>8</v>
      </c>
      <c r="F546" s="5" t="s">
        <v>2492</v>
      </c>
      <c r="G546" s="2" t="s">
        <v>2493</v>
      </c>
      <c r="H546" s="5" t="s">
        <v>8336</v>
      </c>
      <c r="I546" s="5"/>
      <c r="J546" s="5"/>
      <c r="K546" s="5" t="s">
        <v>10073</v>
      </c>
    </row>
    <row r="547" customFormat="false" ht="23.85" hidden="false" customHeight="false" outlineLevel="0" collapsed="false">
      <c r="A547" s="5" t="s">
        <v>10074</v>
      </c>
      <c r="B547" s="2" t="s">
        <v>10075</v>
      </c>
      <c r="C547" s="5" t="s">
        <v>2128</v>
      </c>
      <c r="D547" s="5" t="s">
        <v>62</v>
      </c>
      <c r="E547" s="5" t="n">
        <v>8</v>
      </c>
      <c r="F547" s="5" t="s">
        <v>10066</v>
      </c>
      <c r="G547" s="2" t="s">
        <v>2493</v>
      </c>
      <c r="H547" s="5" t="s">
        <v>8336</v>
      </c>
      <c r="I547" s="5"/>
      <c r="J547" s="5"/>
      <c r="K547" s="5" t="s">
        <v>10076</v>
      </c>
    </row>
    <row r="548" customFormat="false" ht="23.85" hidden="false" customHeight="false" outlineLevel="0" collapsed="false">
      <c r="A548" s="5" t="s">
        <v>10077</v>
      </c>
      <c r="B548" s="2" t="s">
        <v>10078</v>
      </c>
      <c r="C548" s="5" t="s">
        <v>2128</v>
      </c>
      <c r="D548" s="5" t="s">
        <v>62</v>
      </c>
      <c r="E548" s="5" t="n">
        <v>8</v>
      </c>
      <c r="F548" s="5" t="s">
        <v>10079</v>
      </c>
      <c r="G548" s="2" t="s">
        <v>2493</v>
      </c>
      <c r="H548" s="5" t="s">
        <v>8336</v>
      </c>
      <c r="I548" s="5"/>
      <c r="J548" s="5"/>
      <c r="K548" s="5" t="s">
        <v>10080</v>
      </c>
    </row>
    <row r="549" customFormat="false" ht="23.85" hidden="false" customHeight="false" outlineLevel="0" collapsed="false">
      <c r="A549" s="5" t="s">
        <v>10081</v>
      </c>
      <c r="B549" s="2" t="s">
        <v>10082</v>
      </c>
      <c r="C549" s="5" t="s">
        <v>2128</v>
      </c>
      <c r="D549" s="5" t="s">
        <v>62</v>
      </c>
      <c r="E549" s="5" t="n">
        <v>8</v>
      </c>
      <c r="F549" s="5" t="s">
        <v>10083</v>
      </c>
      <c r="G549" s="2" t="s">
        <v>2493</v>
      </c>
      <c r="H549" s="5" t="s">
        <v>8336</v>
      </c>
      <c r="I549" s="5"/>
      <c r="J549" s="5"/>
      <c r="K549" s="5" t="s">
        <v>10084</v>
      </c>
    </row>
    <row r="550" customFormat="false" ht="23.85" hidden="false" customHeight="false" outlineLevel="0" collapsed="false">
      <c r="A550" s="5" t="s">
        <v>10085</v>
      </c>
      <c r="B550" s="2" t="s">
        <v>10086</v>
      </c>
      <c r="C550" s="5" t="s">
        <v>2128</v>
      </c>
      <c r="D550" s="5" t="s">
        <v>62</v>
      </c>
      <c r="E550" s="5" t="n">
        <v>8</v>
      </c>
      <c r="F550" s="5" t="s">
        <v>10066</v>
      </c>
      <c r="G550" s="2" t="s">
        <v>2493</v>
      </c>
      <c r="H550" s="5" t="s">
        <v>8336</v>
      </c>
      <c r="I550" s="5"/>
      <c r="J550" s="5"/>
      <c r="K550" s="5" t="s">
        <v>10087</v>
      </c>
    </row>
    <row r="551" customFormat="false" ht="23.85" hidden="false" customHeight="false" outlineLevel="0" collapsed="false">
      <c r="A551" s="5" t="s">
        <v>10088</v>
      </c>
      <c r="B551" s="2" t="s">
        <v>10089</v>
      </c>
      <c r="C551" s="5" t="s">
        <v>2128</v>
      </c>
      <c r="D551" s="5" t="s">
        <v>62</v>
      </c>
      <c r="E551" s="5" t="n">
        <v>8</v>
      </c>
      <c r="F551" s="5" t="s">
        <v>10083</v>
      </c>
      <c r="G551" s="2" t="s">
        <v>2493</v>
      </c>
      <c r="H551" s="5" t="s">
        <v>8336</v>
      </c>
      <c r="I551" s="5"/>
      <c r="J551" s="5"/>
      <c r="K551" s="5" t="s">
        <v>10090</v>
      </c>
    </row>
    <row r="552" customFormat="false" ht="23.85" hidden="false" customHeight="false" outlineLevel="0" collapsed="false">
      <c r="A552" s="5" t="s">
        <v>10091</v>
      </c>
      <c r="B552" s="2" t="s">
        <v>10092</v>
      </c>
      <c r="C552" s="5" t="s">
        <v>2128</v>
      </c>
      <c r="D552" s="5" t="s">
        <v>62</v>
      </c>
      <c r="E552" s="5" t="n">
        <v>8</v>
      </c>
      <c r="F552" s="5" t="s">
        <v>10093</v>
      </c>
      <c r="G552" s="2" t="s">
        <v>2493</v>
      </c>
      <c r="H552" s="5" t="s">
        <v>8336</v>
      </c>
      <c r="I552" s="5"/>
      <c r="J552" s="5"/>
      <c r="K552" s="5" t="s">
        <v>10094</v>
      </c>
    </row>
    <row r="553" customFormat="false" ht="23.85" hidden="false" customHeight="false" outlineLevel="0" collapsed="false">
      <c r="A553" s="5" t="s">
        <v>10095</v>
      </c>
      <c r="B553" s="2" t="s">
        <v>10096</v>
      </c>
      <c r="C553" s="5" t="s">
        <v>2128</v>
      </c>
      <c r="D553" s="5" t="s">
        <v>62</v>
      </c>
      <c r="E553" s="5" t="n">
        <v>8</v>
      </c>
      <c r="F553" s="5" t="s">
        <v>10093</v>
      </c>
      <c r="G553" s="2" t="s">
        <v>2493</v>
      </c>
      <c r="H553" s="5" t="s">
        <v>8336</v>
      </c>
      <c r="I553" s="5"/>
      <c r="J553" s="5"/>
      <c r="K553" s="5" t="s">
        <v>10097</v>
      </c>
    </row>
    <row r="554" customFormat="false" ht="23.85" hidden="false" customHeight="false" outlineLevel="0" collapsed="false">
      <c r="A554" s="5" t="s">
        <v>10098</v>
      </c>
      <c r="B554" s="2" t="s">
        <v>10099</v>
      </c>
      <c r="C554" s="5" t="s">
        <v>2128</v>
      </c>
      <c r="D554" s="5" t="s">
        <v>62</v>
      </c>
      <c r="E554" s="5" t="n">
        <v>8</v>
      </c>
      <c r="F554" s="5" t="s">
        <v>10100</v>
      </c>
      <c r="G554" s="2" t="s">
        <v>2493</v>
      </c>
      <c r="H554" s="5" t="s">
        <v>8336</v>
      </c>
      <c r="I554" s="5"/>
      <c r="J554" s="5"/>
      <c r="K554" s="5" t="s">
        <v>10101</v>
      </c>
    </row>
    <row r="555" customFormat="false" ht="23.85" hidden="false" customHeight="false" outlineLevel="0" collapsed="false">
      <c r="A555" s="5" t="s">
        <v>10102</v>
      </c>
      <c r="B555" s="2" t="s">
        <v>10103</v>
      </c>
      <c r="C555" s="5" t="s">
        <v>2128</v>
      </c>
      <c r="D555" s="5" t="s">
        <v>62</v>
      </c>
      <c r="E555" s="5" t="n">
        <v>8</v>
      </c>
      <c r="F555" s="5" t="s">
        <v>10066</v>
      </c>
      <c r="G555" s="2" t="s">
        <v>2493</v>
      </c>
      <c r="H555" s="5" t="s">
        <v>8336</v>
      </c>
      <c r="I555" s="5"/>
      <c r="J555" s="5"/>
      <c r="K555" s="5" t="s">
        <v>10104</v>
      </c>
    </row>
    <row r="556" customFormat="false" ht="23.85" hidden="false" customHeight="false" outlineLevel="0" collapsed="false">
      <c r="A556" s="5" t="s">
        <v>2490</v>
      </c>
      <c r="B556" s="2" t="s">
        <v>2491</v>
      </c>
      <c r="C556" s="5" t="s">
        <v>2128</v>
      </c>
      <c r="D556" s="5" t="s">
        <v>62</v>
      </c>
      <c r="E556" s="5" t="n">
        <v>8</v>
      </c>
      <c r="F556" s="5" t="s">
        <v>2492</v>
      </c>
      <c r="G556" s="2" t="s">
        <v>2493</v>
      </c>
      <c r="H556" s="5" t="s">
        <v>8332</v>
      </c>
      <c r="I556" s="5" t="s">
        <v>60</v>
      </c>
      <c r="J556" s="5" t="s">
        <v>751</v>
      </c>
      <c r="K556" s="5" t="s">
        <v>2500</v>
      </c>
    </row>
    <row r="557" customFormat="false" ht="23.85" hidden="false" customHeight="false" outlineLevel="0" collapsed="false">
      <c r="A557" s="5" t="s">
        <v>10105</v>
      </c>
      <c r="B557" s="2" t="s">
        <v>10106</v>
      </c>
      <c r="C557" s="5" t="s">
        <v>2128</v>
      </c>
      <c r="D557" s="5" t="s">
        <v>62</v>
      </c>
      <c r="E557" s="5" t="n">
        <v>8</v>
      </c>
      <c r="F557" s="5" t="s">
        <v>10107</v>
      </c>
      <c r="G557" s="2" t="s">
        <v>2493</v>
      </c>
      <c r="H557" s="5" t="s">
        <v>8336</v>
      </c>
      <c r="I557" s="5"/>
      <c r="J557" s="5"/>
      <c r="K557" s="5" t="s">
        <v>10108</v>
      </c>
    </row>
    <row r="558" customFormat="false" ht="23.85" hidden="false" customHeight="false" outlineLevel="0" collapsed="false">
      <c r="A558" s="5" t="s">
        <v>10109</v>
      </c>
      <c r="B558" s="2" t="s">
        <v>10110</v>
      </c>
      <c r="C558" s="5" t="s">
        <v>2128</v>
      </c>
      <c r="D558" s="5" t="s">
        <v>62</v>
      </c>
      <c r="E558" s="5" t="n">
        <v>8</v>
      </c>
      <c r="F558" s="5" t="s">
        <v>10100</v>
      </c>
      <c r="G558" s="2" t="s">
        <v>2493</v>
      </c>
      <c r="H558" s="5" t="s">
        <v>8336</v>
      </c>
      <c r="I558" s="5"/>
      <c r="J558" s="5"/>
      <c r="K558" s="5" t="s">
        <v>10111</v>
      </c>
    </row>
    <row r="559" customFormat="false" ht="23.85" hidden="false" customHeight="false" outlineLevel="0" collapsed="false">
      <c r="A559" s="5" t="s">
        <v>10112</v>
      </c>
      <c r="B559" s="2" t="s">
        <v>10113</v>
      </c>
      <c r="C559" s="5" t="s">
        <v>2128</v>
      </c>
      <c r="D559" s="5" t="s">
        <v>62</v>
      </c>
      <c r="E559" s="5" t="n">
        <v>8</v>
      </c>
      <c r="F559" s="5" t="s">
        <v>10066</v>
      </c>
      <c r="G559" s="2" t="s">
        <v>2493</v>
      </c>
      <c r="H559" s="5" t="s">
        <v>8336</v>
      </c>
      <c r="I559" s="5"/>
      <c r="J559" s="5"/>
      <c r="K559" s="5" t="s">
        <v>10114</v>
      </c>
    </row>
    <row r="560" customFormat="false" ht="23.85" hidden="false" customHeight="false" outlineLevel="0" collapsed="false">
      <c r="A560" s="5" t="s">
        <v>10115</v>
      </c>
      <c r="B560" s="2" t="s">
        <v>10116</v>
      </c>
      <c r="C560" s="5" t="s">
        <v>2128</v>
      </c>
      <c r="D560" s="5" t="s">
        <v>62</v>
      </c>
      <c r="E560" s="5" t="n">
        <v>8</v>
      </c>
      <c r="F560" s="5" t="s">
        <v>10100</v>
      </c>
      <c r="G560" s="2" t="s">
        <v>2493</v>
      </c>
      <c r="H560" s="5" t="s">
        <v>8336</v>
      </c>
      <c r="I560" s="5"/>
      <c r="J560" s="5"/>
      <c r="K560" s="5" t="s">
        <v>10117</v>
      </c>
    </row>
    <row r="561" customFormat="false" ht="23.85" hidden="false" customHeight="false" outlineLevel="0" collapsed="false">
      <c r="A561" s="5" t="s">
        <v>10118</v>
      </c>
      <c r="B561" s="2" t="s">
        <v>10119</v>
      </c>
      <c r="C561" s="5" t="s">
        <v>2128</v>
      </c>
      <c r="D561" s="5" t="s">
        <v>62</v>
      </c>
      <c r="E561" s="5" t="n">
        <v>8</v>
      </c>
      <c r="F561" s="5" t="s">
        <v>2492</v>
      </c>
      <c r="G561" s="2" t="s">
        <v>2493</v>
      </c>
      <c r="H561" s="5" t="s">
        <v>8336</v>
      </c>
      <c r="I561" s="5"/>
      <c r="J561" s="5"/>
      <c r="K561" s="5" t="s">
        <v>10120</v>
      </c>
    </row>
    <row r="562" customFormat="false" ht="23.85" hidden="false" customHeight="false" outlineLevel="0" collapsed="false">
      <c r="A562" s="5" t="s">
        <v>10121</v>
      </c>
      <c r="B562" s="2" t="s">
        <v>10122</v>
      </c>
      <c r="C562" s="5" t="s">
        <v>2128</v>
      </c>
      <c r="D562" s="5" t="s">
        <v>62</v>
      </c>
      <c r="E562" s="5" t="n">
        <v>8</v>
      </c>
      <c r="F562" s="5" t="s">
        <v>10066</v>
      </c>
      <c r="G562" s="2" t="s">
        <v>2493</v>
      </c>
      <c r="H562" s="5" t="s">
        <v>8336</v>
      </c>
      <c r="I562" s="5"/>
      <c r="J562" s="5"/>
      <c r="K562" s="5" t="s">
        <v>10123</v>
      </c>
    </row>
    <row r="563" customFormat="false" ht="23.85" hidden="false" customHeight="false" outlineLevel="0" collapsed="false">
      <c r="A563" s="5" t="s">
        <v>10124</v>
      </c>
      <c r="B563" s="2" t="s">
        <v>10125</v>
      </c>
      <c r="C563" s="5" t="s">
        <v>2128</v>
      </c>
      <c r="D563" s="5" t="s">
        <v>62</v>
      </c>
      <c r="E563" s="5" t="n">
        <v>8</v>
      </c>
      <c r="F563" s="5" t="s">
        <v>9619</v>
      </c>
      <c r="G563" s="2" t="s">
        <v>2493</v>
      </c>
      <c r="H563" s="5" t="s">
        <v>8336</v>
      </c>
      <c r="I563" s="5"/>
      <c r="J563" s="5"/>
      <c r="K563" s="5" t="s">
        <v>10126</v>
      </c>
    </row>
    <row r="564" customFormat="false" ht="23.85" hidden="false" customHeight="false" outlineLevel="0" collapsed="false">
      <c r="A564" s="5" t="s">
        <v>10127</v>
      </c>
      <c r="B564" s="2" t="s">
        <v>10128</v>
      </c>
      <c r="C564" s="5" t="s">
        <v>2128</v>
      </c>
      <c r="D564" s="5" t="s">
        <v>62</v>
      </c>
      <c r="E564" s="5" t="n">
        <v>8</v>
      </c>
      <c r="F564" s="5" t="s">
        <v>10083</v>
      </c>
      <c r="G564" s="2" t="s">
        <v>2493</v>
      </c>
      <c r="H564" s="5" t="s">
        <v>8336</v>
      </c>
      <c r="I564" s="5"/>
      <c r="J564" s="5"/>
      <c r="K564" s="5" t="s">
        <v>10129</v>
      </c>
    </row>
    <row r="565" customFormat="false" ht="23.85" hidden="false" customHeight="false" outlineLevel="0" collapsed="false">
      <c r="A565" s="5" t="s">
        <v>10130</v>
      </c>
      <c r="B565" s="2" t="s">
        <v>10131</v>
      </c>
      <c r="C565" s="5" t="s">
        <v>2128</v>
      </c>
      <c r="D565" s="5" t="s">
        <v>62</v>
      </c>
      <c r="E565" s="5" t="n">
        <v>8</v>
      </c>
      <c r="F565" s="5" t="s">
        <v>9619</v>
      </c>
      <c r="G565" s="2" t="s">
        <v>2493</v>
      </c>
      <c r="H565" s="5" t="s">
        <v>8336</v>
      </c>
      <c r="I565" s="5"/>
      <c r="J565" s="5"/>
      <c r="K565" s="5" t="s">
        <v>10132</v>
      </c>
    </row>
    <row r="566" customFormat="false" ht="23.85" hidden="false" customHeight="false" outlineLevel="0" collapsed="false">
      <c r="A566" s="5" t="s">
        <v>10133</v>
      </c>
      <c r="B566" s="2" t="s">
        <v>10134</v>
      </c>
      <c r="C566" s="5" t="s">
        <v>2128</v>
      </c>
      <c r="D566" s="5" t="s">
        <v>62</v>
      </c>
      <c r="E566" s="5" t="n">
        <v>8</v>
      </c>
      <c r="F566" s="5" t="s">
        <v>10135</v>
      </c>
      <c r="G566" s="2" t="s">
        <v>2493</v>
      </c>
      <c r="H566" s="5" t="s">
        <v>8336</v>
      </c>
      <c r="I566" s="5"/>
      <c r="J566" s="5"/>
      <c r="K566" s="5" t="s">
        <v>10136</v>
      </c>
    </row>
    <row r="567" customFormat="false" ht="23.85" hidden="false" customHeight="false" outlineLevel="0" collapsed="false">
      <c r="A567" s="5" t="s">
        <v>10137</v>
      </c>
      <c r="B567" s="2" t="s">
        <v>10138</v>
      </c>
      <c r="C567" s="5" t="s">
        <v>2128</v>
      </c>
      <c r="D567" s="5" t="s">
        <v>62</v>
      </c>
      <c r="E567" s="5" t="n">
        <v>8</v>
      </c>
      <c r="F567" s="5" t="s">
        <v>10139</v>
      </c>
      <c r="G567" s="2" t="s">
        <v>2493</v>
      </c>
      <c r="H567" s="5" t="s">
        <v>8336</v>
      </c>
      <c r="I567" s="5"/>
      <c r="J567" s="5"/>
      <c r="K567" s="5" t="s">
        <v>10140</v>
      </c>
    </row>
    <row r="568" customFormat="false" ht="23.85" hidden="false" customHeight="false" outlineLevel="0" collapsed="false">
      <c r="A568" s="5" t="s">
        <v>10141</v>
      </c>
      <c r="B568" s="2" t="s">
        <v>10142</v>
      </c>
      <c r="C568" s="5" t="s">
        <v>2128</v>
      </c>
      <c r="D568" s="5" t="s">
        <v>62</v>
      </c>
      <c r="E568" s="5" t="n">
        <v>8</v>
      </c>
      <c r="F568" s="5" t="s">
        <v>10107</v>
      </c>
      <c r="G568" s="2" t="s">
        <v>2493</v>
      </c>
      <c r="H568" s="5" t="s">
        <v>8336</v>
      </c>
      <c r="I568" s="5"/>
      <c r="J568" s="5"/>
      <c r="K568" s="5" t="s">
        <v>10143</v>
      </c>
    </row>
    <row r="569" customFormat="false" ht="23.85" hidden="false" customHeight="false" outlineLevel="0" collapsed="false">
      <c r="A569" s="5" t="s">
        <v>10144</v>
      </c>
      <c r="B569" s="2" t="s">
        <v>10145</v>
      </c>
      <c r="C569" s="5" t="s">
        <v>2128</v>
      </c>
      <c r="D569" s="5" t="s">
        <v>62</v>
      </c>
      <c r="E569" s="5" t="n">
        <v>8</v>
      </c>
      <c r="F569" s="5" t="s">
        <v>9619</v>
      </c>
      <c r="G569" s="2" t="s">
        <v>2493</v>
      </c>
      <c r="H569" s="5" t="s">
        <v>8336</v>
      </c>
      <c r="I569" s="5"/>
      <c r="J569" s="5"/>
      <c r="K569" s="5" t="s">
        <v>10146</v>
      </c>
    </row>
    <row r="570" customFormat="false" ht="23.85" hidden="false" customHeight="false" outlineLevel="0" collapsed="false">
      <c r="A570" s="5" t="s">
        <v>10147</v>
      </c>
      <c r="B570" s="2" t="s">
        <v>10148</v>
      </c>
      <c r="C570" s="5" t="s">
        <v>2128</v>
      </c>
      <c r="D570" s="5" t="s">
        <v>62</v>
      </c>
      <c r="E570" s="5" t="n">
        <v>8</v>
      </c>
      <c r="F570" s="5" t="s">
        <v>10083</v>
      </c>
      <c r="G570" s="2" t="s">
        <v>2493</v>
      </c>
      <c r="H570" s="5" t="s">
        <v>8336</v>
      </c>
      <c r="I570" s="5"/>
      <c r="J570" s="5"/>
      <c r="K570" s="5" t="s">
        <v>10149</v>
      </c>
    </row>
    <row r="571" customFormat="false" ht="23.85" hidden="false" customHeight="false" outlineLevel="0" collapsed="false">
      <c r="A571" s="5" t="s">
        <v>10150</v>
      </c>
      <c r="B571" s="2" t="s">
        <v>10151</v>
      </c>
      <c r="C571" s="5" t="s">
        <v>2128</v>
      </c>
      <c r="D571" s="5" t="s">
        <v>62</v>
      </c>
      <c r="E571" s="5" t="n">
        <v>8</v>
      </c>
      <c r="F571" s="5" t="s">
        <v>10083</v>
      </c>
      <c r="G571" s="2" t="s">
        <v>2493</v>
      </c>
      <c r="H571" s="5" t="s">
        <v>8336</v>
      </c>
      <c r="I571" s="5"/>
      <c r="J571" s="5"/>
      <c r="K571" s="5" t="s">
        <v>10152</v>
      </c>
    </row>
    <row r="572" customFormat="false" ht="23.85" hidden="false" customHeight="false" outlineLevel="0" collapsed="false">
      <c r="A572" s="5" t="s">
        <v>10153</v>
      </c>
      <c r="B572" s="2" t="s">
        <v>10154</v>
      </c>
      <c r="C572" s="5" t="s">
        <v>2128</v>
      </c>
      <c r="D572" s="5" t="s">
        <v>62</v>
      </c>
      <c r="E572" s="5" t="n">
        <v>8</v>
      </c>
      <c r="F572" s="5" t="s">
        <v>2492</v>
      </c>
      <c r="G572" s="2" t="s">
        <v>2493</v>
      </c>
      <c r="H572" s="5" t="s">
        <v>8336</v>
      </c>
      <c r="I572" s="5"/>
      <c r="J572" s="5"/>
      <c r="K572" s="5" t="s">
        <v>10155</v>
      </c>
    </row>
    <row r="573" customFormat="false" ht="23.85" hidden="false" customHeight="false" outlineLevel="0" collapsed="false">
      <c r="A573" s="5" t="s">
        <v>10156</v>
      </c>
      <c r="B573" s="2" t="s">
        <v>10157</v>
      </c>
      <c r="C573" s="5" t="s">
        <v>2128</v>
      </c>
      <c r="D573" s="5" t="s">
        <v>62</v>
      </c>
      <c r="E573" s="5" t="n">
        <v>8</v>
      </c>
      <c r="F573" s="5" t="s">
        <v>10135</v>
      </c>
      <c r="G573" s="2" t="s">
        <v>2493</v>
      </c>
      <c r="H573" s="5" t="s">
        <v>8336</v>
      </c>
      <c r="I573" s="5"/>
      <c r="J573" s="5"/>
      <c r="K573" s="5" t="s">
        <v>10158</v>
      </c>
    </row>
    <row r="574" customFormat="false" ht="23.85" hidden="false" customHeight="false" outlineLevel="0" collapsed="false">
      <c r="A574" s="5" t="s">
        <v>10159</v>
      </c>
      <c r="B574" s="2" t="s">
        <v>10160</v>
      </c>
      <c r="C574" s="5" t="s">
        <v>2128</v>
      </c>
      <c r="D574" s="5" t="s">
        <v>62</v>
      </c>
      <c r="E574" s="5" t="n">
        <v>8</v>
      </c>
      <c r="F574" s="5" t="s">
        <v>9619</v>
      </c>
      <c r="G574" s="2" t="s">
        <v>2493</v>
      </c>
      <c r="H574" s="5" t="s">
        <v>8336</v>
      </c>
      <c r="I574" s="5"/>
      <c r="J574" s="5"/>
      <c r="K574" s="5" t="s">
        <v>10161</v>
      </c>
    </row>
    <row r="575" customFormat="false" ht="23.85" hidden="false" customHeight="false" outlineLevel="0" collapsed="false">
      <c r="A575" s="5" t="s">
        <v>10162</v>
      </c>
      <c r="B575" s="2" t="s">
        <v>10163</v>
      </c>
      <c r="C575" s="5" t="s">
        <v>2128</v>
      </c>
      <c r="D575" s="5" t="s">
        <v>62</v>
      </c>
      <c r="E575" s="5" t="n">
        <v>8</v>
      </c>
      <c r="F575" s="5" t="s">
        <v>10107</v>
      </c>
      <c r="G575" s="2" t="s">
        <v>2493</v>
      </c>
      <c r="H575" s="5" t="s">
        <v>8336</v>
      </c>
      <c r="I575" s="5"/>
      <c r="J575" s="5"/>
      <c r="K575" s="5" t="s">
        <v>10164</v>
      </c>
    </row>
    <row r="576" customFormat="false" ht="23.85" hidden="false" customHeight="false" outlineLevel="0" collapsed="false">
      <c r="A576" s="5" t="s">
        <v>10165</v>
      </c>
      <c r="B576" s="2" t="s">
        <v>10166</v>
      </c>
      <c r="C576" s="5" t="s">
        <v>2128</v>
      </c>
      <c r="D576" s="5" t="s">
        <v>62</v>
      </c>
      <c r="E576" s="5" t="n">
        <v>8</v>
      </c>
      <c r="F576" s="5" t="s">
        <v>10100</v>
      </c>
      <c r="G576" s="2" t="s">
        <v>2493</v>
      </c>
      <c r="H576" s="5" t="s">
        <v>8336</v>
      </c>
      <c r="I576" s="5"/>
      <c r="J576" s="5"/>
      <c r="K576" s="5" t="s">
        <v>10167</v>
      </c>
    </row>
    <row r="577" customFormat="false" ht="23.85" hidden="false" customHeight="false" outlineLevel="0" collapsed="false">
      <c r="A577" s="5" t="s">
        <v>10168</v>
      </c>
      <c r="B577" s="2" t="s">
        <v>10169</v>
      </c>
      <c r="C577" s="5" t="s">
        <v>2128</v>
      </c>
      <c r="D577" s="5" t="s">
        <v>62</v>
      </c>
      <c r="E577" s="5" t="n">
        <v>8</v>
      </c>
      <c r="F577" s="5" t="s">
        <v>10100</v>
      </c>
      <c r="G577" s="2" t="s">
        <v>2493</v>
      </c>
      <c r="H577" s="5" t="s">
        <v>8336</v>
      </c>
      <c r="I577" s="5"/>
      <c r="J577" s="5"/>
      <c r="K577" s="5" t="s">
        <v>10170</v>
      </c>
    </row>
    <row r="578" customFormat="false" ht="23.85" hidden="false" customHeight="false" outlineLevel="0" collapsed="false">
      <c r="A578" s="5" t="s">
        <v>10171</v>
      </c>
      <c r="B578" s="2" t="s">
        <v>10172</v>
      </c>
      <c r="C578" s="5" t="s">
        <v>2128</v>
      </c>
      <c r="D578" s="5" t="s">
        <v>62</v>
      </c>
      <c r="E578" s="5" t="n">
        <v>8</v>
      </c>
      <c r="F578" s="5" t="s">
        <v>10100</v>
      </c>
      <c r="G578" s="2" t="s">
        <v>2493</v>
      </c>
      <c r="H578" s="5" t="s">
        <v>8336</v>
      </c>
      <c r="I578" s="5"/>
      <c r="J578" s="5"/>
      <c r="K578" s="5" t="s">
        <v>10173</v>
      </c>
    </row>
    <row r="579" customFormat="false" ht="23.85" hidden="false" customHeight="false" outlineLevel="0" collapsed="false">
      <c r="A579" s="5" t="s">
        <v>10174</v>
      </c>
      <c r="B579" s="2" t="s">
        <v>10175</v>
      </c>
      <c r="C579" s="5" t="s">
        <v>2128</v>
      </c>
      <c r="D579" s="5" t="s">
        <v>62</v>
      </c>
      <c r="E579" s="5" t="n">
        <v>8</v>
      </c>
      <c r="F579" s="5" t="s">
        <v>10100</v>
      </c>
      <c r="G579" s="2" t="s">
        <v>2493</v>
      </c>
      <c r="H579" s="5" t="s">
        <v>8336</v>
      </c>
      <c r="I579" s="5"/>
      <c r="J579" s="5"/>
      <c r="K579" s="5" t="s">
        <v>10176</v>
      </c>
    </row>
    <row r="580" customFormat="false" ht="23.85" hidden="false" customHeight="false" outlineLevel="0" collapsed="false">
      <c r="A580" s="5" t="s">
        <v>10177</v>
      </c>
      <c r="B580" s="2" t="s">
        <v>10178</v>
      </c>
      <c r="C580" s="5" t="s">
        <v>2128</v>
      </c>
      <c r="D580" s="5" t="s">
        <v>62</v>
      </c>
      <c r="E580" s="5" t="n">
        <v>8</v>
      </c>
      <c r="F580" s="5" t="s">
        <v>10100</v>
      </c>
      <c r="G580" s="2" t="s">
        <v>2493</v>
      </c>
      <c r="H580" s="5" t="s">
        <v>8336</v>
      </c>
      <c r="I580" s="5"/>
      <c r="J580" s="5"/>
      <c r="K580" s="5" t="s">
        <v>10179</v>
      </c>
    </row>
    <row r="581" customFormat="false" ht="23.85" hidden="false" customHeight="false" outlineLevel="0" collapsed="false">
      <c r="A581" s="5" t="s">
        <v>10180</v>
      </c>
      <c r="B581" s="2" t="s">
        <v>10181</v>
      </c>
      <c r="C581" s="5" t="s">
        <v>2128</v>
      </c>
      <c r="D581" s="5" t="s">
        <v>62</v>
      </c>
      <c r="E581" s="5" t="n">
        <v>8</v>
      </c>
      <c r="F581" s="5" t="s">
        <v>10100</v>
      </c>
      <c r="G581" s="2" t="s">
        <v>2493</v>
      </c>
      <c r="H581" s="5" t="s">
        <v>8336</v>
      </c>
      <c r="I581" s="5"/>
      <c r="J581" s="5"/>
      <c r="K581" s="5" t="s">
        <v>10182</v>
      </c>
    </row>
    <row r="582" customFormat="false" ht="23.85" hidden="false" customHeight="false" outlineLevel="0" collapsed="false">
      <c r="A582" s="5" t="s">
        <v>10183</v>
      </c>
      <c r="B582" s="2" t="s">
        <v>10184</v>
      </c>
      <c r="C582" s="5" t="s">
        <v>2128</v>
      </c>
      <c r="D582" s="5" t="s">
        <v>62</v>
      </c>
      <c r="E582" s="5" t="n">
        <v>8</v>
      </c>
      <c r="F582" s="5" t="s">
        <v>2492</v>
      </c>
      <c r="G582" s="2" t="s">
        <v>2493</v>
      </c>
      <c r="H582" s="5" t="s">
        <v>8336</v>
      </c>
      <c r="I582" s="5"/>
      <c r="J582" s="5"/>
      <c r="K582" s="5" t="s">
        <v>10185</v>
      </c>
    </row>
    <row r="583" customFormat="false" ht="23.85" hidden="false" customHeight="false" outlineLevel="0" collapsed="false">
      <c r="A583" s="5" t="s">
        <v>10186</v>
      </c>
      <c r="B583" s="2" t="s">
        <v>10187</v>
      </c>
      <c r="C583" s="5" t="s">
        <v>2128</v>
      </c>
      <c r="D583" s="5" t="s">
        <v>62</v>
      </c>
      <c r="E583" s="5" t="n">
        <v>8</v>
      </c>
      <c r="F583" s="5" t="s">
        <v>10066</v>
      </c>
      <c r="G583" s="2" t="s">
        <v>2493</v>
      </c>
      <c r="H583" s="5" t="s">
        <v>8336</v>
      </c>
      <c r="I583" s="5"/>
      <c r="J583" s="5"/>
      <c r="K583" s="5" t="s">
        <v>10188</v>
      </c>
    </row>
    <row r="584" customFormat="false" ht="23.85" hidden="false" customHeight="false" outlineLevel="0" collapsed="false">
      <c r="A584" s="5" t="s">
        <v>10189</v>
      </c>
      <c r="B584" s="2" t="s">
        <v>10190</v>
      </c>
      <c r="C584" s="5" t="s">
        <v>2128</v>
      </c>
      <c r="D584" s="5" t="s">
        <v>62</v>
      </c>
      <c r="E584" s="5" t="n">
        <v>8</v>
      </c>
      <c r="F584" s="5" t="s">
        <v>10100</v>
      </c>
      <c r="G584" s="2" t="s">
        <v>2493</v>
      </c>
      <c r="H584" s="5" t="s">
        <v>8336</v>
      </c>
      <c r="I584" s="5"/>
      <c r="J584" s="5"/>
      <c r="K584" s="5" t="s">
        <v>10191</v>
      </c>
    </row>
    <row r="585" customFormat="false" ht="23.85" hidden="false" customHeight="false" outlineLevel="0" collapsed="false">
      <c r="A585" s="5" t="s">
        <v>10192</v>
      </c>
      <c r="B585" s="2" t="s">
        <v>10193</v>
      </c>
      <c r="C585" s="5" t="s">
        <v>2128</v>
      </c>
      <c r="D585" s="5" t="s">
        <v>62</v>
      </c>
      <c r="E585" s="5" t="n">
        <v>8</v>
      </c>
      <c r="F585" s="5" t="s">
        <v>10100</v>
      </c>
      <c r="G585" s="2" t="s">
        <v>2493</v>
      </c>
      <c r="H585" s="5" t="s">
        <v>8336</v>
      </c>
      <c r="I585" s="5"/>
      <c r="J585" s="5"/>
      <c r="K585" s="5" t="s">
        <v>10194</v>
      </c>
    </row>
    <row r="586" customFormat="false" ht="23.85" hidden="false" customHeight="false" outlineLevel="0" collapsed="false">
      <c r="A586" s="5" t="s">
        <v>10195</v>
      </c>
      <c r="B586" s="2" t="s">
        <v>10196</v>
      </c>
      <c r="C586" s="5" t="s">
        <v>2128</v>
      </c>
      <c r="D586" s="5" t="s">
        <v>62</v>
      </c>
      <c r="E586" s="5" t="n">
        <v>8</v>
      </c>
      <c r="F586" s="5" t="s">
        <v>10135</v>
      </c>
      <c r="G586" s="2" t="s">
        <v>2493</v>
      </c>
      <c r="H586" s="5" t="s">
        <v>8336</v>
      </c>
      <c r="I586" s="5"/>
      <c r="J586" s="5"/>
      <c r="K586" s="5" t="s">
        <v>10197</v>
      </c>
    </row>
    <row r="587" customFormat="false" ht="23.85" hidden="false" customHeight="false" outlineLevel="0" collapsed="false">
      <c r="A587" s="5" t="s">
        <v>10198</v>
      </c>
      <c r="B587" s="2" t="s">
        <v>10199</v>
      </c>
      <c r="C587" s="5" t="s">
        <v>2128</v>
      </c>
      <c r="D587" s="5" t="s">
        <v>62</v>
      </c>
      <c r="E587" s="5" t="n">
        <v>8</v>
      </c>
      <c r="F587" s="5" t="s">
        <v>10066</v>
      </c>
      <c r="G587" s="2" t="s">
        <v>2493</v>
      </c>
      <c r="H587" s="5" t="s">
        <v>8336</v>
      </c>
      <c r="I587" s="5"/>
      <c r="J587" s="5"/>
      <c r="K587" s="5" t="s">
        <v>10200</v>
      </c>
    </row>
    <row r="588" customFormat="false" ht="23.85" hidden="false" customHeight="false" outlineLevel="0" collapsed="false">
      <c r="A588" s="5" t="s">
        <v>10201</v>
      </c>
      <c r="B588" s="2" t="s">
        <v>10202</v>
      </c>
      <c r="C588" s="5" t="s">
        <v>2128</v>
      </c>
      <c r="D588" s="5" t="s">
        <v>62</v>
      </c>
      <c r="E588" s="5" t="n">
        <v>8</v>
      </c>
      <c r="F588" s="5" t="s">
        <v>10083</v>
      </c>
      <c r="G588" s="2" t="s">
        <v>2493</v>
      </c>
      <c r="H588" s="5" t="s">
        <v>8336</v>
      </c>
      <c r="I588" s="5"/>
      <c r="J588" s="5"/>
      <c r="K588" s="5" t="s">
        <v>10203</v>
      </c>
    </row>
    <row r="589" customFormat="false" ht="23.85" hidden="false" customHeight="false" outlineLevel="0" collapsed="false">
      <c r="A589" s="5" t="s">
        <v>10204</v>
      </c>
      <c r="B589" s="2" t="s">
        <v>10205</v>
      </c>
      <c r="C589" s="5" t="s">
        <v>2128</v>
      </c>
      <c r="D589" s="5" t="s">
        <v>62</v>
      </c>
      <c r="E589" s="5" t="n">
        <v>8</v>
      </c>
      <c r="F589" s="5" t="s">
        <v>10079</v>
      </c>
      <c r="G589" s="2" t="s">
        <v>2493</v>
      </c>
      <c r="H589" s="5" t="s">
        <v>8336</v>
      </c>
      <c r="I589" s="5"/>
      <c r="J589" s="5"/>
      <c r="K589" s="5" t="s">
        <v>10206</v>
      </c>
    </row>
    <row r="590" customFormat="false" ht="23.85" hidden="false" customHeight="false" outlineLevel="0" collapsed="false">
      <c r="A590" s="5" t="s">
        <v>10207</v>
      </c>
      <c r="B590" s="2" t="s">
        <v>10208</v>
      </c>
      <c r="C590" s="5" t="s">
        <v>2128</v>
      </c>
      <c r="D590" s="5" t="s">
        <v>62</v>
      </c>
      <c r="E590" s="5" t="n">
        <v>8</v>
      </c>
      <c r="F590" s="5" t="s">
        <v>10209</v>
      </c>
      <c r="G590" s="2" t="s">
        <v>2493</v>
      </c>
      <c r="H590" s="5" t="s">
        <v>8336</v>
      </c>
      <c r="I590" s="5"/>
      <c r="J590" s="5"/>
      <c r="K590" s="5" t="s">
        <v>10210</v>
      </c>
    </row>
    <row r="591" customFormat="false" ht="23.85" hidden="false" customHeight="false" outlineLevel="0" collapsed="false">
      <c r="A591" s="5" t="s">
        <v>10211</v>
      </c>
      <c r="B591" s="2" t="s">
        <v>10212</v>
      </c>
      <c r="C591" s="5" t="s">
        <v>2128</v>
      </c>
      <c r="D591" s="5" t="s">
        <v>62</v>
      </c>
      <c r="E591" s="5" t="n">
        <v>8</v>
      </c>
      <c r="F591" s="5" t="s">
        <v>10209</v>
      </c>
      <c r="G591" s="2" t="s">
        <v>2493</v>
      </c>
      <c r="H591" s="5" t="s">
        <v>8336</v>
      </c>
      <c r="I591" s="5"/>
      <c r="J591" s="5"/>
      <c r="K591" s="5" t="s">
        <v>10213</v>
      </c>
    </row>
    <row r="592" customFormat="false" ht="23.85" hidden="false" customHeight="false" outlineLevel="0" collapsed="false">
      <c r="A592" s="5" t="s">
        <v>10214</v>
      </c>
      <c r="B592" s="2" t="s">
        <v>10215</v>
      </c>
      <c r="C592" s="5" t="s">
        <v>2128</v>
      </c>
      <c r="D592" s="5" t="s">
        <v>62</v>
      </c>
      <c r="E592" s="5" t="n">
        <v>8</v>
      </c>
      <c r="F592" s="5" t="s">
        <v>2492</v>
      </c>
      <c r="G592" s="2" t="s">
        <v>2493</v>
      </c>
      <c r="H592" s="5" t="s">
        <v>8336</v>
      </c>
      <c r="I592" s="5"/>
      <c r="J592" s="5"/>
      <c r="K592" s="5" t="s">
        <v>10216</v>
      </c>
    </row>
    <row r="593" customFormat="false" ht="23.85" hidden="false" customHeight="false" outlineLevel="0" collapsed="false">
      <c r="A593" s="5" t="s">
        <v>10217</v>
      </c>
      <c r="B593" s="2" t="s">
        <v>10218</v>
      </c>
      <c r="C593" s="5" t="s">
        <v>2128</v>
      </c>
      <c r="D593" s="5" t="s">
        <v>62</v>
      </c>
      <c r="E593" s="5" t="n">
        <v>8</v>
      </c>
      <c r="F593" s="5" t="s">
        <v>10083</v>
      </c>
      <c r="G593" s="2" t="s">
        <v>2493</v>
      </c>
      <c r="H593" s="5" t="s">
        <v>8336</v>
      </c>
      <c r="I593" s="5"/>
      <c r="J593" s="5"/>
      <c r="K593" s="5" t="s">
        <v>10219</v>
      </c>
    </row>
    <row r="594" customFormat="false" ht="23.85" hidden="false" customHeight="false" outlineLevel="0" collapsed="false">
      <c r="A594" s="5" t="s">
        <v>10220</v>
      </c>
      <c r="B594" s="2" t="s">
        <v>10221</v>
      </c>
      <c r="C594" s="5" t="s">
        <v>2128</v>
      </c>
      <c r="D594" s="5" t="s">
        <v>62</v>
      </c>
      <c r="E594" s="5" t="n">
        <v>8</v>
      </c>
      <c r="F594" s="5" t="s">
        <v>10222</v>
      </c>
      <c r="G594" s="2" t="s">
        <v>2493</v>
      </c>
      <c r="H594" s="5" t="s">
        <v>8336</v>
      </c>
      <c r="I594" s="5"/>
      <c r="J594" s="5"/>
      <c r="K594" s="5" t="s">
        <v>10223</v>
      </c>
    </row>
    <row r="595" customFormat="false" ht="23.85" hidden="false" customHeight="false" outlineLevel="0" collapsed="false">
      <c r="A595" s="5" t="s">
        <v>10224</v>
      </c>
      <c r="B595" s="2" t="s">
        <v>10225</v>
      </c>
      <c r="C595" s="5" t="s">
        <v>2128</v>
      </c>
      <c r="D595" s="5" t="s">
        <v>62</v>
      </c>
      <c r="E595" s="5" t="n">
        <v>8</v>
      </c>
      <c r="F595" s="5" t="s">
        <v>10222</v>
      </c>
      <c r="G595" s="2" t="s">
        <v>2493</v>
      </c>
      <c r="H595" s="5" t="s">
        <v>8336</v>
      </c>
      <c r="I595" s="5"/>
      <c r="J595" s="5"/>
      <c r="K595" s="5" t="s">
        <v>10226</v>
      </c>
    </row>
    <row r="596" customFormat="false" ht="23.85" hidden="false" customHeight="false" outlineLevel="0" collapsed="false">
      <c r="A596" s="5" t="s">
        <v>10227</v>
      </c>
      <c r="B596" s="2" t="s">
        <v>10228</v>
      </c>
      <c r="C596" s="5" t="s">
        <v>2128</v>
      </c>
      <c r="D596" s="5" t="s">
        <v>62</v>
      </c>
      <c r="E596" s="5" t="n">
        <v>8</v>
      </c>
      <c r="F596" s="5" t="s">
        <v>2492</v>
      </c>
      <c r="G596" s="2" t="s">
        <v>2493</v>
      </c>
      <c r="H596" s="5" t="s">
        <v>8336</v>
      </c>
      <c r="I596" s="5"/>
      <c r="J596" s="5"/>
      <c r="K596" s="5" t="s">
        <v>10229</v>
      </c>
    </row>
    <row r="597" customFormat="false" ht="23.85" hidden="false" customHeight="false" outlineLevel="0" collapsed="false">
      <c r="A597" s="5" t="s">
        <v>10230</v>
      </c>
      <c r="B597" s="2" t="s">
        <v>10231</v>
      </c>
      <c r="C597" s="5" t="s">
        <v>2128</v>
      </c>
      <c r="D597" s="5" t="s">
        <v>62</v>
      </c>
      <c r="E597" s="5" t="n">
        <v>8</v>
      </c>
      <c r="F597" s="5" t="s">
        <v>10107</v>
      </c>
      <c r="G597" s="2" t="s">
        <v>2493</v>
      </c>
      <c r="H597" s="5" t="s">
        <v>8336</v>
      </c>
      <c r="I597" s="5"/>
      <c r="J597" s="5"/>
      <c r="K597" s="5" t="s">
        <v>10232</v>
      </c>
    </row>
    <row r="598" customFormat="false" ht="23.85" hidden="false" customHeight="false" outlineLevel="0" collapsed="false">
      <c r="A598" s="5" t="s">
        <v>10233</v>
      </c>
      <c r="B598" s="2" t="s">
        <v>10234</v>
      </c>
      <c r="C598" s="5" t="s">
        <v>2128</v>
      </c>
      <c r="D598" s="5" t="s">
        <v>62</v>
      </c>
      <c r="E598" s="5" t="n">
        <v>8</v>
      </c>
      <c r="F598" s="5" t="s">
        <v>2492</v>
      </c>
      <c r="G598" s="2" t="s">
        <v>2493</v>
      </c>
      <c r="H598" s="5" t="s">
        <v>8336</v>
      </c>
      <c r="I598" s="5"/>
      <c r="J598" s="5"/>
      <c r="K598" s="5" t="s">
        <v>10235</v>
      </c>
    </row>
    <row r="599" customFormat="false" ht="23.85" hidden="false" customHeight="false" outlineLevel="0" collapsed="false">
      <c r="A599" s="5" t="s">
        <v>10236</v>
      </c>
      <c r="B599" s="2" t="s">
        <v>10237</v>
      </c>
      <c r="C599" s="5" t="s">
        <v>2128</v>
      </c>
      <c r="D599" s="5" t="s">
        <v>62</v>
      </c>
      <c r="E599" s="5" t="n">
        <v>8</v>
      </c>
      <c r="F599" s="5" t="s">
        <v>10209</v>
      </c>
      <c r="G599" s="2" t="s">
        <v>2493</v>
      </c>
      <c r="H599" s="5" t="s">
        <v>8336</v>
      </c>
      <c r="I599" s="5"/>
      <c r="J599" s="5"/>
      <c r="K599" s="5" t="s">
        <v>10238</v>
      </c>
    </row>
    <row r="600" customFormat="false" ht="23.85" hidden="false" customHeight="false" outlineLevel="0" collapsed="false">
      <c r="A600" s="5" t="s">
        <v>10239</v>
      </c>
      <c r="B600" s="2" t="s">
        <v>10240</v>
      </c>
      <c r="C600" s="5" t="s">
        <v>2128</v>
      </c>
      <c r="D600" s="5" t="s">
        <v>62</v>
      </c>
      <c r="E600" s="5" t="n">
        <v>8</v>
      </c>
      <c r="F600" s="5" t="s">
        <v>10107</v>
      </c>
      <c r="G600" s="2" t="s">
        <v>2493</v>
      </c>
      <c r="H600" s="5" t="s">
        <v>8336</v>
      </c>
      <c r="I600" s="5"/>
      <c r="J600" s="5"/>
      <c r="K600" s="5" t="s">
        <v>10241</v>
      </c>
    </row>
    <row r="601" customFormat="false" ht="23.85" hidden="false" customHeight="false" outlineLevel="0" collapsed="false">
      <c r="A601" s="5" t="s">
        <v>10242</v>
      </c>
      <c r="B601" s="2" t="s">
        <v>10243</v>
      </c>
      <c r="C601" s="5" t="s">
        <v>2128</v>
      </c>
      <c r="D601" s="5" t="s">
        <v>62</v>
      </c>
      <c r="E601" s="5" t="n">
        <v>8</v>
      </c>
      <c r="F601" s="5" t="s">
        <v>10222</v>
      </c>
      <c r="G601" s="2" t="s">
        <v>2493</v>
      </c>
      <c r="H601" s="5" t="s">
        <v>8336</v>
      </c>
      <c r="I601" s="5"/>
      <c r="J601" s="5"/>
      <c r="K601" s="5" t="s">
        <v>10244</v>
      </c>
    </row>
    <row r="602" customFormat="false" ht="23.85" hidden="false" customHeight="false" outlineLevel="0" collapsed="false">
      <c r="A602" s="5" t="s">
        <v>10245</v>
      </c>
      <c r="B602" s="2" t="s">
        <v>10246</v>
      </c>
      <c r="C602" s="5" t="s">
        <v>2128</v>
      </c>
      <c r="D602" s="5" t="s">
        <v>62</v>
      </c>
      <c r="E602" s="5" t="n">
        <v>8</v>
      </c>
      <c r="F602" s="5" t="s">
        <v>10222</v>
      </c>
      <c r="G602" s="2" t="s">
        <v>2493</v>
      </c>
      <c r="H602" s="5" t="s">
        <v>8336</v>
      </c>
      <c r="I602" s="5"/>
      <c r="J602" s="5"/>
      <c r="K602" s="5" t="s">
        <v>10247</v>
      </c>
    </row>
    <row r="603" customFormat="false" ht="23.85" hidden="false" customHeight="false" outlineLevel="0" collapsed="false">
      <c r="A603" s="5" t="s">
        <v>10248</v>
      </c>
      <c r="B603" s="2" t="s">
        <v>10249</v>
      </c>
      <c r="C603" s="5" t="s">
        <v>2128</v>
      </c>
      <c r="D603" s="5" t="s">
        <v>62</v>
      </c>
      <c r="E603" s="5" t="n">
        <v>8</v>
      </c>
      <c r="F603" s="5" t="s">
        <v>9619</v>
      </c>
      <c r="G603" s="2" t="s">
        <v>2493</v>
      </c>
      <c r="H603" s="5" t="s">
        <v>8336</v>
      </c>
      <c r="I603" s="5"/>
      <c r="J603" s="5"/>
      <c r="K603" s="5" t="s">
        <v>10250</v>
      </c>
    </row>
    <row r="604" customFormat="false" ht="23.85" hidden="false" customHeight="false" outlineLevel="0" collapsed="false">
      <c r="A604" s="5" t="s">
        <v>10251</v>
      </c>
      <c r="B604" s="2" t="s">
        <v>10252</v>
      </c>
      <c r="C604" s="5" t="s">
        <v>2128</v>
      </c>
      <c r="D604" s="5" t="s">
        <v>62</v>
      </c>
      <c r="E604" s="5" t="n">
        <v>8</v>
      </c>
      <c r="F604" s="5" t="s">
        <v>9619</v>
      </c>
      <c r="G604" s="2" t="s">
        <v>2493</v>
      </c>
      <c r="H604" s="5" t="s">
        <v>8336</v>
      </c>
      <c r="I604" s="5"/>
      <c r="J604" s="5"/>
      <c r="K604" s="5" t="s">
        <v>10253</v>
      </c>
    </row>
    <row r="605" customFormat="false" ht="23.85" hidden="false" customHeight="false" outlineLevel="0" collapsed="false">
      <c r="A605" s="5" t="s">
        <v>10254</v>
      </c>
      <c r="B605" s="2" t="s">
        <v>10255</v>
      </c>
      <c r="C605" s="5" t="s">
        <v>2128</v>
      </c>
      <c r="D605" s="5" t="s">
        <v>62</v>
      </c>
      <c r="E605" s="5" t="n">
        <v>8</v>
      </c>
      <c r="F605" s="5" t="s">
        <v>10135</v>
      </c>
      <c r="G605" s="2" t="s">
        <v>2493</v>
      </c>
      <c r="H605" s="5" t="s">
        <v>8336</v>
      </c>
      <c r="I605" s="5"/>
      <c r="J605" s="5"/>
      <c r="K605" s="5" t="s">
        <v>10256</v>
      </c>
    </row>
    <row r="606" customFormat="false" ht="23.85" hidden="false" customHeight="false" outlineLevel="0" collapsed="false">
      <c r="A606" s="5" t="s">
        <v>2501</v>
      </c>
      <c r="B606" s="2" t="s">
        <v>2502</v>
      </c>
      <c r="C606" s="5" t="s">
        <v>2128</v>
      </c>
      <c r="D606" s="5" t="s">
        <v>62</v>
      </c>
      <c r="E606" s="5" t="n">
        <v>8</v>
      </c>
      <c r="F606" s="5" t="s">
        <v>2492</v>
      </c>
      <c r="G606" s="2" t="s">
        <v>2493</v>
      </c>
      <c r="H606" s="5" t="s">
        <v>8332</v>
      </c>
      <c r="I606" s="5" t="s">
        <v>60</v>
      </c>
      <c r="J606" s="5" t="s">
        <v>751</v>
      </c>
      <c r="K606" s="5" t="s">
        <v>2505</v>
      </c>
    </row>
    <row r="607" customFormat="false" ht="23.85" hidden="false" customHeight="false" outlineLevel="0" collapsed="false">
      <c r="A607" s="5" t="s">
        <v>10257</v>
      </c>
      <c r="B607" s="2" t="s">
        <v>10258</v>
      </c>
      <c r="C607" s="5" t="s">
        <v>2128</v>
      </c>
      <c r="D607" s="5" t="s">
        <v>62</v>
      </c>
      <c r="E607" s="5" t="n">
        <v>8</v>
      </c>
      <c r="F607" s="5" t="s">
        <v>10083</v>
      </c>
      <c r="G607" s="2" t="s">
        <v>2493</v>
      </c>
      <c r="H607" s="5" t="s">
        <v>8336</v>
      </c>
      <c r="I607" s="5"/>
      <c r="J607" s="5"/>
      <c r="K607" s="5" t="s">
        <v>10259</v>
      </c>
    </row>
    <row r="608" customFormat="false" ht="23.85" hidden="false" customHeight="false" outlineLevel="0" collapsed="false">
      <c r="A608" s="5" t="s">
        <v>10260</v>
      </c>
      <c r="B608" s="2" t="s">
        <v>10261</v>
      </c>
      <c r="C608" s="5" t="s">
        <v>2128</v>
      </c>
      <c r="D608" s="5" t="s">
        <v>62</v>
      </c>
      <c r="E608" s="5" t="n">
        <v>8</v>
      </c>
      <c r="F608" s="5" t="s">
        <v>10066</v>
      </c>
      <c r="G608" s="2" t="s">
        <v>2493</v>
      </c>
      <c r="H608" s="5" t="s">
        <v>8336</v>
      </c>
      <c r="I608" s="5"/>
      <c r="J608" s="5"/>
      <c r="K608" s="5" t="s">
        <v>10262</v>
      </c>
    </row>
    <row r="609" customFormat="false" ht="23.85" hidden="false" customHeight="false" outlineLevel="0" collapsed="false">
      <c r="A609" s="5" t="s">
        <v>10263</v>
      </c>
      <c r="B609" s="2" t="s">
        <v>10264</v>
      </c>
      <c r="C609" s="5" t="s">
        <v>2128</v>
      </c>
      <c r="D609" s="5" t="s">
        <v>62</v>
      </c>
      <c r="E609" s="5" t="n">
        <v>8</v>
      </c>
      <c r="F609" s="5" t="s">
        <v>10066</v>
      </c>
      <c r="G609" s="2" t="s">
        <v>2493</v>
      </c>
      <c r="H609" s="5" t="s">
        <v>8336</v>
      </c>
      <c r="I609" s="5"/>
      <c r="J609" s="5"/>
      <c r="K609" s="5" t="s">
        <v>10265</v>
      </c>
    </row>
    <row r="610" customFormat="false" ht="23.85" hidden="false" customHeight="false" outlineLevel="0" collapsed="false">
      <c r="A610" s="5" t="s">
        <v>10266</v>
      </c>
      <c r="B610" s="2" t="s">
        <v>10267</v>
      </c>
      <c r="C610" s="5" t="s">
        <v>2128</v>
      </c>
      <c r="D610" s="5" t="s">
        <v>62</v>
      </c>
      <c r="E610" s="5" t="n">
        <v>8</v>
      </c>
      <c r="F610" s="5" t="s">
        <v>9619</v>
      </c>
      <c r="G610" s="2" t="s">
        <v>2493</v>
      </c>
      <c r="H610" s="5" t="s">
        <v>8336</v>
      </c>
      <c r="I610" s="5"/>
      <c r="J610" s="5"/>
      <c r="K610" s="5" t="s">
        <v>10268</v>
      </c>
    </row>
    <row r="611" customFormat="false" ht="23.85" hidden="false" customHeight="false" outlineLevel="0" collapsed="false">
      <c r="A611" s="5" t="s">
        <v>10269</v>
      </c>
      <c r="B611" s="2" t="s">
        <v>10270</v>
      </c>
      <c r="C611" s="5" t="s">
        <v>2128</v>
      </c>
      <c r="D611" s="5" t="s">
        <v>62</v>
      </c>
      <c r="E611" s="5" t="n">
        <v>8</v>
      </c>
      <c r="F611" s="5" t="s">
        <v>10135</v>
      </c>
      <c r="G611" s="2" t="s">
        <v>2493</v>
      </c>
      <c r="H611" s="5" t="s">
        <v>8336</v>
      </c>
      <c r="I611" s="5"/>
      <c r="J611" s="5"/>
      <c r="K611" s="5" t="s">
        <v>10271</v>
      </c>
    </row>
    <row r="612" customFormat="false" ht="23.85" hidden="false" customHeight="false" outlineLevel="0" collapsed="false">
      <c r="A612" s="5" t="s">
        <v>10272</v>
      </c>
      <c r="B612" s="2" t="s">
        <v>10273</v>
      </c>
      <c r="C612" s="5" t="s">
        <v>2128</v>
      </c>
      <c r="D612" s="5" t="s">
        <v>62</v>
      </c>
      <c r="E612" s="5" t="n">
        <v>8</v>
      </c>
      <c r="F612" s="5" t="s">
        <v>10093</v>
      </c>
      <c r="G612" s="2" t="s">
        <v>2493</v>
      </c>
      <c r="H612" s="5" t="s">
        <v>8336</v>
      </c>
      <c r="I612" s="5"/>
      <c r="J612" s="5"/>
      <c r="K612" s="5" t="s">
        <v>10274</v>
      </c>
    </row>
    <row r="613" customFormat="false" ht="23.85" hidden="false" customHeight="false" outlineLevel="0" collapsed="false">
      <c r="A613" s="5" t="s">
        <v>10275</v>
      </c>
      <c r="B613" s="2" t="s">
        <v>10276</v>
      </c>
      <c r="C613" s="5" t="s">
        <v>2128</v>
      </c>
      <c r="D613" s="5" t="s">
        <v>62</v>
      </c>
      <c r="E613" s="5" t="n">
        <v>8</v>
      </c>
      <c r="F613" s="5" t="s">
        <v>9619</v>
      </c>
      <c r="G613" s="2" t="s">
        <v>2493</v>
      </c>
      <c r="H613" s="5" t="s">
        <v>8336</v>
      </c>
      <c r="I613" s="5"/>
      <c r="J613" s="5"/>
      <c r="K613" s="5" t="s">
        <v>10277</v>
      </c>
    </row>
    <row r="614" customFormat="false" ht="23.85" hidden="false" customHeight="false" outlineLevel="0" collapsed="false">
      <c r="A614" s="5" t="s">
        <v>10278</v>
      </c>
      <c r="B614" s="2" t="s">
        <v>10279</v>
      </c>
      <c r="C614" s="5" t="s">
        <v>2128</v>
      </c>
      <c r="D614" s="5" t="s">
        <v>62</v>
      </c>
      <c r="E614" s="5" t="n">
        <v>8</v>
      </c>
      <c r="F614" s="5" t="s">
        <v>10209</v>
      </c>
      <c r="G614" s="2" t="s">
        <v>2493</v>
      </c>
      <c r="H614" s="5" t="s">
        <v>8336</v>
      </c>
      <c r="I614" s="5"/>
      <c r="J614" s="5"/>
      <c r="K614" s="5" t="s">
        <v>10280</v>
      </c>
    </row>
    <row r="615" customFormat="false" ht="23.85" hidden="false" customHeight="false" outlineLevel="0" collapsed="false">
      <c r="A615" s="5" t="s">
        <v>10281</v>
      </c>
      <c r="B615" s="2" t="s">
        <v>10282</v>
      </c>
      <c r="C615" s="5" t="s">
        <v>2128</v>
      </c>
      <c r="D615" s="5" t="s">
        <v>62</v>
      </c>
      <c r="E615" s="5" t="n">
        <v>8</v>
      </c>
      <c r="F615" s="5" t="s">
        <v>10100</v>
      </c>
      <c r="G615" s="2" t="s">
        <v>2493</v>
      </c>
      <c r="H615" s="5" t="s">
        <v>8336</v>
      </c>
      <c r="I615" s="5"/>
      <c r="J615" s="5"/>
      <c r="K615" s="5" t="s">
        <v>10283</v>
      </c>
    </row>
    <row r="616" customFormat="false" ht="23.85" hidden="false" customHeight="false" outlineLevel="0" collapsed="false">
      <c r="A616" s="5" t="s">
        <v>10284</v>
      </c>
      <c r="B616" s="2" t="s">
        <v>10285</v>
      </c>
      <c r="C616" s="5" t="s">
        <v>2128</v>
      </c>
      <c r="D616" s="5" t="s">
        <v>62</v>
      </c>
      <c r="E616" s="5" t="n">
        <v>8</v>
      </c>
      <c r="F616" s="5" t="s">
        <v>9619</v>
      </c>
      <c r="G616" s="2" t="s">
        <v>2493</v>
      </c>
      <c r="H616" s="5" t="s">
        <v>8336</v>
      </c>
      <c r="I616" s="5"/>
      <c r="J616" s="5"/>
      <c r="K616" s="5" t="s">
        <v>10286</v>
      </c>
    </row>
    <row r="617" customFormat="false" ht="23.85" hidden="false" customHeight="false" outlineLevel="0" collapsed="false">
      <c r="A617" s="5" t="s">
        <v>10287</v>
      </c>
      <c r="B617" s="2" t="s">
        <v>10288</v>
      </c>
      <c r="C617" s="5" t="s">
        <v>2128</v>
      </c>
      <c r="D617" s="5" t="s">
        <v>62</v>
      </c>
      <c r="E617" s="5" t="n">
        <v>8</v>
      </c>
      <c r="F617" s="5" t="s">
        <v>10079</v>
      </c>
      <c r="G617" s="2" t="s">
        <v>2493</v>
      </c>
      <c r="H617" s="5" t="s">
        <v>8336</v>
      </c>
      <c r="I617" s="5"/>
      <c r="J617" s="5"/>
      <c r="K617" s="5" t="s">
        <v>10289</v>
      </c>
    </row>
    <row r="618" customFormat="false" ht="23.85" hidden="false" customHeight="false" outlineLevel="0" collapsed="false">
      <c r="A618" s="5" t="s">
        <v>10290</v>
      </c>
      <c r="B618" s="2" t="s">
        <v>10291</v>
      </c>
      <c r="C618" s="5" t="s">
        <v>2128</v>
      </c>
      <c r="D618" s="5" t="s">
        <v>62</v>
      </c>
      <c r="E618" s="5" t="n">
        <v>8</v>
      </c>
      <c r="F618" s="5" t="s">
        <v>10083</v>
      </c>
      <c r="G618" s="2" t="s">
        <v>2493</v>
      </c>
      <c r="H618" s="5" t="s">
        <v>8336</v>
      </c>
      <c r="I618" s="5"/>
      <c r="J618" s="5"/>
      <c r="K618" s="5" t="s">
        <v>10292</v>
      </c>
    </row>
    <row r="619" customFormat="false" ht="23.85" hidden="false" customHeight="false" outlineLevel="0" collapsed="false">
      <c r="A619" s="5" t="s">
        <v>10293</v>
      </c>
      <c r="B619" s="2" t="s">
        <v>10294</v>
      </c>
      <c r="C619" s="5" t="s">
        <v>2128</v>
      </c>
      <c r="D619" s="5" t="s">
        <v>62</v>
      </c>
      <c r="E619" s="5" t="n">
        <v>8</v>
      </c>
      <c r="F619" s="5" t="s">
        <v>10209</v>
      </c>
      <c r="G619" s="2" t="s">
        <v>2493</v>
      </c>
      <c r="H619" s="5" t="s">
        <v>8336</v>
      </c>
      <c r="I619" s="5"/>
      <c r="J619" s="5"/>
      <c r="K619" s="5" t="s">
        <v>10295</v>
      </c>
    </row>
    <row r="620" customFormat="false" ht="23.85" hidden="false" customHeight="false" outlineLevel="0" collapsed="false">
      <c r="A620" s="5" t="s">
        <v>10296</v>
      </c>
      <c r="B620" s="2" t="s">
        <v>10297</v>
      </c>
      <c r="C620" s="5" t="s">
        <v>2128</v>
      </c>
      <c r="D620" s="5" t="s">
        <v>62</v>
      </c>
      <c r="E620" s="5" t="n">
        <v>8</v>
      </c>
      <c r="F620" s="5" t="s">
        <v>9619</v>
      </c>
      <c r="G620" s="2" t="s">
        <v>2493</v>
      </c>
      <c r="H620" s="5" t="s">
        <v>8336</v>
      </c>
      <c r="I620" s="5"/>
      <c r="J620" s="5"/>
      <c r="K620" s="5" t="s">
        <v>10298</v>
      </c>
    </row>
    <row r="621" customFormat="false" ht="23.85" hidden="false" customHeight="false" outlineLevel="0" collapsed="false">
      <c r="A621" s="5" t="s">
        <v>10299</v>
      </c>
      <c r="B621" s="2" t="s">
        <v>10300</v>
      </c>
      <c r="C621" s="5" t="s">
        <v>2128</v>
      </c>
      <c r="D621" s="5" t="s">
        <v>62</v>
      </c>
      <c r="E621" s="5" t="n">
        <v>8</v>
      </c>
      <c r="F621" s="5" t="s">
        <v>10222</v>
      </c>
      <c r="G621" s="2" t="s">
        <v>2493</v>
      </c>
      <c r="H621" s="5" t="s">
        <v>8336</v>
      </c>
      <c r="I621" s="5"/>
      <c r="J621" s="5"/>
      <c r="K621" s="5" t="s">
        <v>10301</v>
      </c>
    </row>
    <row r="622" customFormat="false" ht="23.85" hidden="false" customHeight="false" outlineLevel="0" collapsed="false">
      <c r="A622" s="5" t="s">
        <v>4889</v>
      </c>
      <c r="B622" s="2" t="s">
        <v>4890</v>
      </c>
      <c r="C622" s="5" t="s">
        <v>2128</v>
      </c>
      <c r="D622" s="5" t="s">
        <v>62</v>
      </c>
      <c r="E622" s="5" t="n">
        <v>7</v>
      </c>
      <c r="F622" s="5" t="s">
        <v>100</v>
      </c>
      <c r="G622" s="2" t="s">
        <v>8682</v>
      </c>
      <c r="H622" s="5" t="s">
        <v>8332</v>
      </c>
      <c r="I622" s="5" t="s">
        <v>4760</v>
      </c>
      <c r="J622" s="5" t="s">
        <v>100</v>
      </c>
      <c r="K622" s="5" t="s">
        <v>4894</v>
      </c>
    </row>
    <row r="623" customFormat="false" ht="23.85" hidden="false" customHeight="false" outlineLevel="0" collapsed="false">
      <c r="A623" s="5" t="s">
        <v>10302</v>
      </c>
      <c r="B623" s="2" t="s">
        <v>10303</v>
      </c>
      <c r="C623" s="5" t="s">
        <v>2128</v>
      </c>
      <c r="D623" s="5" t="s">
        <v>490</v>
      </c>
      <c r="E623" s="5" t="n">
        <v>9</v>
      </c>
      <c r="F623" s="5" t="s">
        <v>536</v>
      </c>
      <c r="G623" s="2" t="s">
        <v>10304</v>
      </c>
      <c r="H623" s="5" t="s">
        <v>8336</v>
      </c>
      <c r="I623" s="5"/>
      <c r="J623" s="5"/>
      <c r="K623" s="5" t="s">
        <v>10305</v>
      </c>
    </row>
    <row r="624" customFormat="false" ht="35.05" hidden="false" customHeight="false" outlineLevel="0" collapsed="false">
      <c r="A624" s="5" t="s">
        <v>10306</v>
      </c>
      <c r="B624" s="2" t="s">
        <v>10307</v>
      </c>
      <c r="C624" s="5" t="s">
        <v>2128</v>
      </c>
      <c r="D624" s="5" t="s">
        <v>62</v>
      </c>
      <c r="E624" s="5" t="n">
        <v>7</v>
      </c>
      <c r="F624" s="5" t="s">
        <v>536</v>
      </c>
      <c r="G624" s="2" t="s">
        <v>10308</v>
      </c>
      <c r="H624" s="5" t="s">
        <v>8336</v>
      </c>
      <c r="I624" s="5"/>
      <c r="J624" s="5"/>
      <c r="K624" s="5" t="s">
        <v>10309</v>
      </c>
    </row>
    <row r="625" customFormat="false" ht="35.05" hidden="false" customHeight="false" outlineLevel="0" collapsed="false">
      <c r="A625" s="5" t="s">
        <v>10310</v>
      </c>
      <c r="B625" s="2" t="s">
        <v>10311</v>
      </c>
      <c r="C625" s="5" t="s">
        <v>2128</v>
      </c>
      <c r="D625" s="5" t="s">
        <v>62</v>
      </c>
      <c r="E625" s="5" t="n">
        <v>9</v>
      </c>
      <c r="F625" s="5" t="s">
        <v>536</v>
      </c>
      <c r="G625" s="2" t="s">
        <v>10308</v>
      </c>
      <c r="H625" s="5" t="s">
        <v>8336</v>
      </c>
      <c r="I625" s="5"/>
      <c r="J625" s="5"/>
      <c r="K625" s="5" t="s">
        <v>10312</v>
      </c>
    </row>
    <row r="626" customFormat="false" ht="15" hidden="false" customHeight="false" outlineLevel="0" collapsed="false">
      <c r="A626" s="5" t="s">
        <v>10313</v>
      </c>
      <c r="B626" s="2" t="s">
        <v>10314</v>
      </c>
      <c r="C626" s="5" t="s">
        <v>2128</v>
      </c>
      <c r="D626" s="5" t="s">
        <v>62</v>
      </c>
      <c r="E626" s="5" t="n">
        <v>7</v>
      </c>
      <c r="F626" s="5" t="s">
        <v>9196</v>
      </c>
      <c r="G626" s="2" t="s">
        <v>2376</v>
      </c>
      <c r="H626" s="5" t="s">
        <v>8336</v>
      </c>
      <c r="I626" s="5"/>
      <c r="J626" s="5"/>
      <c r="K626" s="5" t="s">
        <v>10315</v>
      </c>
    </row>
    <row r="627" customFormat="false" ht="23.85" hidden="false" customHeight="false" outlineLevel="0" collapsed="false">
      <c r="A627" s="5" t="s">
        <v>4895</v>
      </c>
      <c r="B627" s="2" t="s">
        <v>4896</v>
      </c>
      <c r="C627" s="5" t="s">
        <v>2128</v>
      </c>
      <c r="D627" s="5" t="s">
        <v>62</v>
      </c>
      <c r="E627" s="5" t="n">
        <v>7</v>
      </c>
      <c r="F627" s="5" t="s">
        <v>100</v>
      </c>
      <c r="G627" s="2" t="s">
        <v>8898</v>
      </c>
      <c r="H627" s="5" t="s">
        <v>8332</v>
      </c>
      <c r="I627" s="5" t="s">
        <v>4760</v>
      </c>
      <c r="J627" s="5" t="s">
        <v>100</v>
      </c>
      <c r="K627" s="5" t="s">
        <v>4901</v>
      </c>
    </row>
    <row r="628" customFormat="false" ht="23.85" hidden="false" customHeight="false" outlineLevel="0" collapsed="false">
      <c r="A628" s="5" t="s">
        <v>10316</v>
      </c>
      <c r="B628" s="2" t="s">
        <v>10317</v>
      </c>
      <c r="C628" s="5" t="s">
        <v>2128</v>
      </c>
      <c r="D628" s="5" t="s">
        <v>62</v>
      </c>
      <c r="E628" s="5" t="n">
        <v>9</v>
      </c>
      <c r="F628" s="5" t="s">
        <v>1814</v>
      </c>
      <c r="G628" s="2" t="s">
        <v>8898</v>
      </c>
      <c r="H628" s="5" t="s">
        <v>8336</v>
      </c>
      <c r="I628" s="5"/>
      <c r="J628" s="5"/>
      <c r="K628" s="5" t="s">
        <v>10318</v>
      </c>
    </row>
    <row r="629" customFormat="false" ht="23.85" hidden="false" customHeight="false" outlineLevel="0" collapsed="false">
      <c r="A629" s="5" t="s">
        <v>10319</v>
      </c>
      <c r="B629" s="2" t="s">
        <v>10320</v>
      </c>
      <c r="C629" s="5" t="s">
        <v>2128</v>
      </c>
      <c r="D629" s="5" t="s">
        <v>62</v>
      </c>
      <c r="E629" s="5" t="n">
        <v>9</v>
      </c>
      <c r="F629" s="5" t="s">
        <v>1814</v>
      </c>
      <c r="G629" s="2" t="s">
        <v>8898</v>
      </c>
      <c r="H629" s="5" t="s">
        <v>8336</v>
      </c>
      <c r="I629" s="5"/>
      <c r="J629" s="5"/>
      <c r="K629" s="5" t="s">
        <v>10321</v>
      </c>
    </row>
    <row r="630" customFormat="false" ht="15" hidden="false" customHeight="false" outlineLevel="0" collapsed="false">
      <c r="A630" s="5" t="s">
        <v>10322</v>
      </c>
      <c r="B630" s="2" t="s">
        <v>10323</v>
      </c>
      <c r="C630" s="5" t="s">
        <v>2128</v>
      </c>
      <c r="D630" s="5" t="s">
        <v>490</v>
      </c>
      <c r="E630" s="5" t="n">
        <v>9</v>
      </c>
      <c r="F630" s="5" t="s">
        <v>9196</v>
      </c>
      <c r="G630" s="2" t="s">
        <v>2376</v>
      </c>
      <c r="H630" s="5" t="s">
        <v>8336</v>
      </c>
      <c r="I630" s="5"/>
      <c r="J630" s="5"/>
      <c r="K630" s="5" t="s">
        <v>10324</v>
      </c>
    </row>
    <row r="631" customFormat="false" ht="23.85" hidden="false" customHeight="false" outlineLevel="0" collapsed="false">
      <c r="A631" s="5" t="s">
        <v>10325</v>
      </c>
      <c r="B631" s="2" t="s">
        <v>10326</v>
      </c>
      <c r="C631" s="5" t="s">
        <v>2128</v>
      </c>
      <c r="D631" s="5" t="s">
        <v>62</v>
      </c>
      <c r="E631" s="5" t="n">
        <v>5</v>
      </c>
      <c r="F631" s="5" t="s">
        <v>277</v>
      </c>
      <c r="G631" s="2" t="s">
        <v>8682</v>
      </c>
      <c r="H631" s="5" t="s">
        <v>8336</v>
      </c>
      <c r="I631" s="5"/>
      <c r="J631" s="5"/>
      <c r="K631" s="5" t="s">
        <v>10327</v>
      </c>
    </row>
    <row r="632" customFormat="false" ht="23.85" hidden="false" customHeight="false" outlineLevel="0" collapsed="false">
      <c r="A632" s="5" t="s">
        <v>10328</v>
      </c>
      <c r="B632" s="2" t="s">
        <v>10329</v>
      </c>
      <c r="C632" s="5" t="s">
        <v>2128</v>
      </c>
      <c r="D632" s="5" t="s">
        <v>62</v>
      </c>
      <c r="E632" s="5" t="n">
        <v>9</v>
      </c>
      <c r="F632" s="5" t="s">
        <v>277</v>
      </c>
      <c r="G632" s="2" t="s">
        <v>8898</v>
      </c>
      <c r="H632" s="5" t="s">
        <v>8336</v>
      </c>
      <c r="I632" s="5"/>
      <c r="J632" s="5"/>
      <c r="K632" s="5" t="s">
        <v>10330</v>
      </c>
    </row>
    <row r="633" customFormat="false" ht="23.85" hidden="false" customHeight="false" outlineLevel="0" collapsed="false">
      <c r="A633" s="5" t="s">
        <v>10331</v>
      </c>
      <c r="B633" s="2" t="s">
        <v>10332</v>
      </c>
      <c r="C633" s="5" t="s">
        <v>2128</v>
      </c>
      <c r="D633" s="5" t="s">
        <v>62</v>
      </c>
      <c r="E633" s="5" t="n">
        <v>7</v>
      </c>
      <c r="F633" s="5" t="s">
        <v>277</v>
      </c>
      <c r="G633" s="2" t="s">
        <v>8898</v>
      </c>
      <c r="H633" s="5" t="s">
        <v>8336</v>
      </c>
      <c r="I633" s="5"/>
      <c r="J633" s="5"/>
      <c r="K633" s="5" t="s">
        <v>10333</v>
      </c>
    </row>
    <row r="634" customFormat="false" ht="23.85" hidden="false" customHeight="false" outlineLevel="0" collapsed="false">
      <c r="A634" s="5" t="s">
        <v>10334</v>
      </c>
      <c r="B634" s="2" t="s">
        <v>10335</v>
      </c>
      <c r="C634" s="5" t="s">
        <v>2128</v>
      </c>
      <c r="D634" s="5" t="s">
        <v>62</v>
      </c>
      <c r="E634" s="5" t="n">
        <v>9</v>
      </c>
      <c r="F634" s="5" t="s">
        <v>1814</v>
      </c>
      <c r="G634" s="2" t="s">
        <v>8898</v>
      </c>
      <c r="H634" s="5" t="s">
        <v>8336</v>
      </c>
      <c r="I634" s="5"/>
      <c r="J634" s="5"/>
      <c r="K634" s="5" t="s">
        <v>10336</v>
      </c>
    </row>
    <row r="635" customFormat="false" ht="15" hidden="false" customHeight="false" outlineLevel="0" collapsed="false">
      <c r="A635" s="5" t="s">
        <v>10337</v>
      </c>
      <c r="B635" s="2" t="s">
        <v>10338</v>
      </c>
      <c r="C635" s="5" t="s">
        <v>2128</v>
      </c>
      <c r="D635" s="5" t="s">
        <v>62</v>
      </c>
      <c r="E635" s="5" t="n">
        <v>9</v>
      </c>
      <c r="F635" s="5" t="s">
        <v>9239</v>
      </c>
      <c r="G635" s="2" t="s">
        <v>8218</v>
      </c>
      <c r="H635" s="5" t="s">
        <v>8336</v>
      </c>
      <c r="I635" s="5"/>
      <c r="J635" s="5"/>
      <c r="K635" s="5" t="s">
        <v>10339</v>
      </c>
    </row>
    <row r="636" customFormat="false" ht="23.85" hidden="false" customHeight="false" outlineLevel="0" collapsed="false">
      <c r="A636" s="5" t="s">
        <v>10340</v>
      </c>
      <c r="B636" s="2" t="s">
        <v>10341</v>
      </c>
      <c r="C636" s="5" t="s">
        <v>2128</v>
      </c>
      <c r="D636" s="5" t="s">
        <v>62</v>
      </c>
      <c r="E636" s="5" t="n">
        <v>7</v>
      </c>
      <c r="F636" s="5" t="s">
        <v>67</v>
      </c>
      <c r="G636" s="2" t="s">
        <v>8682</v>
      </c>
      <c r="H636" s="5" t="s">
        <v>8336</v>
      </c>
      <c r="I636" s="5"/>
      <c r="J636" s="5"/>
      <c r="K636" s="5" t="s">
        <v>10342</v>
      </c>
    </row>
    <row r="637" customFormat="false" ht="15" hidden="false" customHeight="false" outlineLevel="0" collapsed="false">
      <c r="A637" s="5" t="s">
        <v>10343</v>
      </c>
      <c r="B637" s="2" t="s">
        <v>10344</v>
      </c>
      <c r="C637" s="5" t="s">
        <v>2128</v>
      </c>
      <c r="D637" s="5" t="s">
        <v>62</v>
      </c>
      <c r="E637" s="5" t="n">
        <v>7</v>
      </c>
      <c r="F637" s="5" t="s">
        <v>536</v>
      </c>
      <c r="G637" s="2" t="s">
        <v>9371</v>
      </c>
      <c r="H637" s="5" t="s">
        <v>8336</v>
      </c>
      <c r="I637" s="5"/>
      <c r="J637" s="5"/>
      <c r="K637" s="5" t="s">
        <v>10345</v>
      </c>
    </row>
    <row r="638" customFormat="false" ht="23.85" hidden="false" customHeight="false" outlineLevel="0" collapsed="false">
      <c r="A638" s="5" t="s">
        <v>10346</v>
      </c>
      <c r="B638" s="2" t="s">
        <v>10347</v>
      </c>
      <c r="C638" s="5" t="s">
        <v>2128</v>
      </c>
      <c r="D638" s="5" t="s">
        <v>62</v>
      </c>
      <c r="E638" s="5" t="n">
        <v>7</v>
      </c>
      <c r="F638" s="5" t="s">
        <v>8702</v>
      </c>
      <c r="G638" s="2" t="s">
        <v>8682</v>
      </c>
      <c r="H638" s="5" t="s">
        <v>8336</v>
      </c>
      <c r="I638" s="5"/>
      <c r="J638" s="5"/>
      <c r="K638" s="5" t="s">
        <v>10348</v>
      </c>
    </row>
    <row r="639" customFormat="false" ht="15" hidden="false" customHeight="false" outlineLevel="0" collapsed="false">
      <c r="A639" s="5" t="s">
        <v>10349</v>
      </c>
      <c r="B639" s="2" t="s">
        <v>10350</v>
      </c>
      <c r="C639" s="5" t="s">
        <v>2128</v>
      </c>
      <c r="D639" s="5" t="s">
        <v>62</v>
      </c>
      <c r="E639" s="5" t="n">
        <v>9</v>
      </c>
      <c r="F639" s="5" t="s">
        <v>536</v>
      </c>
      <c r="G639" s="2" t="s">
        <v>10351</v>
      </c>
      <c r="H639" s="5" t="s">
        <v>8336</v>
      </c>
      <c r="I639" s="5"/>
      <c r="J639" s="5"/>
      <c r="K639" s="5" t="s">
        <v>10352</v>
      </c>
    </row>
    <row r="640" customFormat="false" ht="23.85" hidden="false" customHeight="false" outlineLevel="0" collapsed="false">
      <c r="A640" s="5" t="s">
        <v>10353</v>
      </c>
      <c r="B640" s="2" t="s">
        <v>10354</v>
      </c>
      <c r="C640" s="5" t="s">
        <v>2128</v>
      </c>
      <c r="D640" s="5" t="s">
        <v>62</v>
      </c>
      <c r="E640" s="5" t="n">
        <v>8</v>
      </c>
      <c r="F640" s="5" t="s">
        <v>1814</v>
      </c>
      <c r="G640" s="2" t="s">
        <v>8898</v>
      </c>
      <c r="H640" s="5" t="s">
        <v>8336</v>
      </c>
      <c r="I640" s="5"/>
      <c r="J640" s="5"/>
      <c r="K640" s="5" t="s">
        <v>10355</v>
      </c>
    </row>
    <row r="641" customFormat="false" ht="23.85" hidden="false" customHeight="false" outlineLevel="0" collapsed="false">
      <c r="A641" s="5" t="s">
        <v>10356</v>
      </c>
      <c r="B641" s="2" t="s">
        <v>10357</v>
      </c>
      <c r="C641" s="5" t="s">
        <v>2128</v>
      </c>
      <c r="D641" s="5" t="s">
        <v>62</v>
      </c>
      <c r="E641" s="5" t="n">
        <v>8</v>
      </c>
      <c r="F641" s="5" t="s">
        <v>8902</v>
      </c>
      <c r="G641" s="2" t="s">
        <v>8898</v>
      </c>
      <c r="H641" s="5" t="s">
        <v>8336</v>
      </c>
      <c r="I641" s="5"/>
      <c r="J641" s="5"/>
      <c r="K641" s="5" t="s">
        <v>10358</v>
      </c>
    </row>
    <row r="642" customFormat="false" ht="23.85" hidden="false" customHeight="false" outlineLevel="0" collapsed="false">
      <c r="A642" s="5" t="s">
        <v>10359</v>
      </c>
      <c r="B642" s="2" t="s">
        <v>10360</v>
      </c>
      <c r="C642" s="5" t="s">
        <v>2128</v>
      </c>
      <c r="D642" s="5" t="s">
        <v>62</v>
      </c>
      <c r="E642" s="5" t="n">
        <v>8</v>
      </c>
      <c r="F642" s="5" t="s">
        <v>8902</v>
      </c>
      <c r="G642" s="2" t="s">
        <v>8898</v>
      </c>
      <c r="H642" s="5" t="s">
        <v>8336</v>
      </c>
      <c r="I642" s="5"/>
      <c r="J642" s="5"/>
      <c r="K642" s="5" t="s">
        <v>10361</v>
      </c>
    </row>
    <row r="643" customFormat="false" ht="15" hidden="false" customHeight="false" outlineLevel="0" collapsed="false">
      <c r="A643" s="5" t="s">
        <v>10362</v>
      </c>
      <c r="B643" s="2" t="s">
        <v>10363</v>
      </c>
      <c r="C643" s="5" t="s">
        <v>2128</v>
      </c>
      <c r="D643" s="5" t="s">
        <v>62</v>
      </c>
      <c r="E643" s="5" t="n">
        <v>9</v>
      </c>
      <c r="F643" s="5" t="s">
        <v>9196</v>
      </c>
      <c r="G643" s="2" t="s">
        <v>2376</v>
      </c>
      <c r="H643" s="5" t="s">
        <v>8336</v>
      </c>
      <c r="I643" s="5"/>
      <c r="J643" s="5"/>
      <c r="K643" s="5" t="s">
        <v>10364</v>
      </c>
    </row>
    <row r="644" customFormat="false" ht="15" hidden="false" customHeight="false" outlineLevel="0" collapsed="false">
      <c r="A644" s="5" t="s">
        <v>10365</v>
      </c>
      <c r="B644" s="2" t="s">
        <v>10366</v>
      </c>
      <c r="C644" s="5" t="s">
        <v>2128</v>
      </c>
      <c r="D644" s="5" t="s">
        <v>62</v>
      </c>
      <c r="E644" s="5" t="n">
        <v>9</v>
      </c>
      <c r="F644" s="5" t="s">
        <v>9196</v>
      </c>
      <c r="G644" s="2" t="s">
        <v>2376</v>
      </c>
      <c r="H644" s="5" t="s">
        <v>8336</v>
      </c>
      <c r="I644" s="5"/>
      <c r="J644" s="5"/>
      <c r="K644" s="5" t="s">
        <v>10367</v>
      </c>
    </row>
    <row r="645" customFormat="false" ht="15" hidden="false" customHeight="false" outlineLevel="0" collapsed="false">
      <c r="A645" s="5" t="s">
        <v>10368</v>
      </c>
      <c r="B645" s="2" t="s">
        <v>10369</v>
      </c>
      <c r="C645" s="5" t="s">
        <v>2128</v>
      </c>
      <c r="D645" s="5" t="s">
        <v>62</v>
      </c>
      <c r="E645" s="5" t="n">
        <v>9</v>
      </c>
      <c r="F645" s="5" t="s">
        <v>9196</v>
      </c>
      <c r="G645" s="2" t="s">
        <v>2376</v>
      </c>
      <c r="H645" s="5" t="s">
        <v>8336</v>
      </c>
      <c r="I645" s="5"/>
      <c r="J645" s="5"/>
      <c r="K645" s="5" t="s">
        <v>10370</v>
      </c>
    </row>
    <row r="646" customFormat="false" ht="15" hidden="false" customHeight="false" outlineLevel="0" collapsed="false">
      <c r="A646" s="5" t="s">
        <v>10371</v>
      </c>
      <c r="B646" s="2" t="s">
        <v>10372</v>
      </c>
      <c r="C646" s="5" t="s">
        <v>2128</v>
      </c>
      <c r="D646" s="5" t="s">
        <v>62</v>
      </c>
      <c r="E646" s="5" t="n">
        <v>9</v>
      </c>
      <c r="F646" s="5" t="s">
        <v>9196</v>
      </c>
      <c r="G646" s="2" t="s">
        <v>2376</v>
      </c>
      <c r="H646" s="5" t="s">
        <v>8336</v>
      </c>
      <c r="I646" s="5"/>
      <c r="J646" s="5"/>
      <c r="K646" s="5" t="s">
        <v>10373</v>
      </c>
    </row>
    <row r="647" customFormat="false" ht="147" hidden="false" customHeight="false" outlineLevel="0" collapsed="false">
      <c r="A647" s="5" t="s">
        <v>4902</v>
      </c>
      <c r="B647" s="2" t="s">
        <v>4903</v>
      </c>
      <c r="C647" s="5" t="s">
        <v>2128</v>
      </c>
      <c r="D647" s="5" t="s">
        <v>490</v>
      </c>
      <c r="E647" s="5" t="n">
        <v>9</v>
      </c>
      <c r="F647" s="5" t="s">
        <v>2079</v>
      </c>
      <c r="G647" s="2" t="s">
        <v>8905</v>
      </c>
      <c r="H647" s="5" t="s">
        <v>8332</v>
      </c>
      <c r="I647" s="5" t="s">
        <v>4760</v>
      </c>
      <c r="J647" s="5" t="s">
        <v>2079</v>
      </c>
      <c r="K647" s="5" t="s">
        <v>4909</v>
      </c>
    </row>
    <row r="648" customFormat="false" ht="15" hidden="false" customHeight="false" outlineLevel="0" collapsed="false">
      <c r="A648" s="5" t="s">
        <v>10374</v>
      </c>
      <c r="B648" s="2" t="s">
        <v>10375</v>
      </c>
      <c r="C648" s="5" t="s">
        <v>2128</v>
      </c>
      <c r="D648" s="5" t="s">
        <v>62</v>
      </c>
      <c r="E648" s="5" t="n">
        <v>9</v>
      </c>
      <c r="F648" s="5" t="s">
        <v>2154</v>
      </c>
      <c r="G648" s="2" t="s">
        <v>8218</v>
      </c>
      <c r="H648" s="5" t="s">
        <v>8336</v>
      </c>
      <c r="I648" s="5"/>
      <c r="J648" s="5"/>
      <c r="K648" s="5" t="s">
        <v>10376</v>
      </c>
    </row>
    <row r="649" customFormat="false" ht="15" hidden="false" customHeight="false" outlineLevel="0" collapsed="false">
      <c r="A649" s="5" t="s">
        <v>10377</v>
      </c>
      <c r="B649" s="2" t="s">
        <v>10378</v>
      </c>
      <c r="C649" s="5" t="s">
        <v>2128</v>
      </c>
      <c r="D649" s="5" t="s">
        <v>62</v>
      </c>
      <c r="E649" s="5" t="n">
        <v>7</v>
      </c>
      <c r="F649" s="5" t="s">
        <v>10379</v>
      </c>
      <c r="G649" s="2" t="s">
        <v>8238</v>
      </c>
      <c r="H649" s="5" t="s">
        <v>8336</v>
      </c>
      <c r="I649" s="5"/>
      <c r="J649" s="5"/>
      <c r="K649" s="5" t="s">
        <v>10380</v>
      </c>
    </row>
    <row r="650" customFormat="false" ht="15" hidden="false" customHeight="false" outlineLevel="0" collapsed="false">
      <c r="A650" s="5" t="s">
        <v>2506</v>
      </c>
      <c r="B650" s="2" t="s">
        <v>2507</v>
      </c>
      <c r="C650" s="5" t="s">
        <v>2128</v>
      </c>
      <c r="D650" s="5" t="s">
        <v>62</v>
      </c>
      <c r="E650" s="5" t="n">
        <v>5</v>
      </c>
      <c r="F650" s="5" t="s">
        <v>277</v>
      </c>
      <c r="G650" s="2" t="s">
        <v>152</v>
      </c>
      <c r="H650" s="5" t="s">
        <v>8332</v>
      </c>
      <c r="I650" s="5" t="s">
        <v>60</v>
      </c>
      <c r="J650" s="5" t="s">
        <v>751</v>
      </c>
      <c r="K650" s="5" t="s">
        <v>2511</v>
      </c>
    </row>
    <row r="651" customFormat="false" ht="15" hidden="false" customHeight="false" outlineLevel="0" collapsed="false">
      <c r="A651" s="5" t="s">
        <v>2512</v>
      </c>
      <c r="B651" s="2" t="s">
        <v>2513</v>
      </c>
      <c r="C651" s="5" t="s">
        <v>2128</v>
      </c>
      <c r="D651" s="5" t="s">
        <v>62</v>
      </c>
      <c r="E651" s="5" t="n">
        <v>7</v>
      </c>
      <c r="F651" s="5" t="s">
        <v>90</v>
      </c>
      <c r="G651" s="2" t="s">
        <v>741</v>
      </c>
      <c r="H651" s="5" t="s">
        <v>8332</v>
      </c>
      <c r="I651" s="5" t="s">
        <v>60</v>
      </c>
      <c r="J651" s="5" t="s">
        <v>161</v>
      </c>
      <c r="K651" s="5" t="s">
        <v>2519</v>
      </c>
    </row>
    <row r="652" customFormat="false" ht="15" hidden="false" customHeight="false" outlineLevel="0" collapsed="false">
      <c r="A652" s="5" t="s">
        <v>738</v>
      </c>
      <c r="B652" s="2" t="s">
        <v>739</v>
      </c>
      <c r="C652" s="5" t="s">
        <v>488</v>
      </c>
      <c r="D652" s="5" t="s">
        <v>62</v>
      </c>
      <c r="E652" s="5" t="n">
        <v>9</v>
      </c>
      <c r="F652" s="5" t="s">
        <v>481</v>
      </c>
      <c r="G652" s="2" t="s">
        <v>741</v>
      </c>
      <c r="H652" s="5" t="s">
        <v>8332</v>
      </c>
      <c r="I652" s="5" t="s">
        <v>60</v>
      </c>
      <c r="J652" s="5" t="s">
        <v>481</v>
      </c>
      <c r="K652" s="5" t="s">
        <v>748</v>
      </c>
    </row>
    <row r="653" customFormat="false" ht="23.85" hidden="false" customHeight="false" outlineLevel="0" collapsed="false">
      <c r="A653" s="5" t="s">
        <v>2520</v>
      </c>
      <c r="B653" s="2" t="s">
        <v>2521</v>
      </c>
      <c r="C653" s="5" t="s">
        <v>2128</v>
      </c>
      <c r="D653" s="5" t="s">
        <v>62</v>
      </c>
      <c r="E653" s="5" t="n">
        <v>7</v>
      </c>
      <c r="F653" s="5" t="s">
        <v>67</v>
      </c>
      <c r="G653" s="2" t="s">
        <v>2522</v>
      </c>
      <c r="H653" s="5" t="s">
        <v>8332</v>
      </c>
      <c r="I653" s="5" t="s">
        <v>60</v>
      </c>
      <c r="J653" s="5" t="s">
        <v>161</v>
      </c>
      <c r="K653" s="5" t="s">
        <v>2528</v>
      </c>
    </row>
    <row r="654" customFormat="false" ht="15" hidden="false" customHeight="false" outlineLevel="0" collapsed="false">
      <c r="A654" s="5" t="s">
        <v>10381</v>
      </c>
      <c r="B654" s="2" t="s">
        <v>10382</v>
      </c>
      <c r="C654" s="5" t="s">
        <v>2128</v>
      </c>
      <c r="D654" s="5" t="s">
        <v>62</v>
      </c>
      <c r="E654" s="5" t="n">
        <v>7</v>
      </c>
      <c r="F654" s="5" t="s">
        <v>67</v>
      </c>
      <c r="G654" s="2" t="s">
        <v>2522</v>
      </c>
      <c r="H654" s="5" t="s">
        <v>8336</v>
      </c>
      <c r="I654" s="5"/>
      <c r="J654" s="5"/>
      <c r="K654" s="5" t="s">
        <v>10383</v>
      </c>
    </row>
    <row r="655" customFormat="false" ht="15" hidden="false" customHeight="false" outlineLevel="0" collapsed="false">
      <c r="A655" s="5" t="s">
        <v>10384</v>
      </c>
      <c r="B655" s="2" t="s">
        <v>10385</v>
      </c>
      <c r="C655" s="5" t="s">
        <v>2128</v>
      </c>
      <c r="D655" s="5" t="s">
        <v>62</v>
      </c>
      <c r="E655" s="5" t="n">
        <v>7</v>
      </c>
      <c r="F655" s="5" t="s">
        <v>67</v>
      </c>
      <c r="G655" s="2" t="s">
        <v>2340</v>
      </c>
      <c r="H655" s="5" t="s">
        <v>8336</v>
      </c>
      <c r="I655" s="5"/>
      <c r="J655" s="5"/>
      <c r="K655" s="5" t="s">
        <v>10386</v>
      </c>
    </row>
    <row r="656" customFormat="false" ht="15" hidden="false" customHeight="false" outlineLevel="0" collapsed="false">
      <c r="A656" s="5" t="s">
        <v>10387</v>
      </c>
      <c r="B656" s="2" t="s">
        <v>10388</v>
      </c>
      <c r="C656" s="5" t="s">
        <v>2128</v>
      </c>
      <c r="D656" s="5" t="s">
        <v>62</v>
      </c>
      <c r="E656" s="5" t="n">
        <v>7</v>
      </c>
      <c r="F656" s="5" t="s">
        <v>1210</v>
      </c>
      <c r="G656" s="2" t="s">
        <v>2522</v>
      </c>
      <c r="H656" s="5" t="s">
        <v>8336</v>
      </c>
      <c r="I656" s="5"/>
      <c r="J656" s="5"/>
      <c r="K656" s="5" t="s">
        <v>10389</v>
      </c>
    </row>
    <row r="657" customFormat="false" ht="15" hidden="false" customHeight="false" outlineLevel="0" collapsed="false">
      <c r="A657" s="5" t="s">
        <v>10390</v>
      </c>
      <c r="B657" s="2" t="s">
        <v>10391</v>
      </c>
      <c r="C657" s="5" t="s">
        <v>2128</v>
      </c>
      <c r="D657" s="5" t="s">
        <v>62</v>
      </c>
      <c r="E657" s="5" t="n">
        <v>7</v>
      </c>
      <c r="F657" s="5" t="s">
        <v>67</v>
      </c>
      <c r="G657" s="2" t="s">
        <v>2522</v>
      </c>
      <c r="H657" s="5" t="s">
        <v>8336</v>
      </c>
      <c r="I657" s="5"/>
      <c r="J657" s="5"/>
      <c r="K657" s="5" t="s">
        <v>10392</v>
      </c>
    </row>
    <row r="658" customFormat="false" ht="23.85" hidden="false" customHeight="false" outlineLevel="0" collapsed="false">
      <c r="A658" s="5" t="s">
        <v>2529</v>
      </c>
      <c r="B658" s="2" t="s">
        <v>2530</v>
      </c>
      <c r="C658" s="5" t="s">
        <v>2128</v>
      </c>
      <c r="D658" s="5" t="s">
        <v>62</v>
      </c>
      <c r="E658" s="5" t="n">
        <v>9</v>
      </c>
      <c r="F658" s="5" t="s">
        <v>67</v>
      </c>
      <c r="G658" s="2" t="s">
        <v>2522</v>
      </c>
      <c r="H658" s="5" t="s">
        <v>8332</v>
      </c>
      <c r="I658" s="5" t="s">
        <v>60</v>
      </c>
      <c r="J658" s="5" t="s">
        <v>161</v>
      </c>
      <c r="K658" s="5" t="s">
        <v>2533</v>
      </c>
    </row>
    <row r="659" customFormat="false" ht="15" hidden="false" customHeight="false" outlineLevel="0" collapsed="false">
      <c r="A659" s="5" t="s">
        <v>2534</v>
      </c>
      <c r="B659" s="2" t="s">
        <v>2535</v>
      </c>
      <c r="C659" s="5" t="s">
        <v>2128</v>
      </c>
      <c r="D659" s="5" t="s">
        <v>62</v>
      </c>
      <c r="E659" s="5" t="n">
        <v>7</v>
      </c>
      <c r="F659" s="5" t="s">
        <v>90</v>
      </c>
      <c r="G659" s="2" t="s">
        <v>741</v>
      </c>
      <c r="H659" s="5" t="s">
        <v>8332</v>
      </c>
      <c r="I659" s="5" t="s">
        <v>60</v>
      </c>
      <c r="J659" s="5" t="s">
        <v>161</v>
      </c>
      <c r="K659" s="5" t="s">
        <v>2540</v>
      </c>
    </row>
    <row r="660" customFormat="false" ht="15" hidden="false" customHeight="false" outlineLevel="0" collapsed="false">
      <c r="A660" s="5" t="s">
        <v>2541</v>
      </c>
      <c r="B660" s="2" t="s">
        <v>2542</v>
      </c>
      <c r="C660" s="5" t="s">
        <v>2128</v>
      </c>
      <c r="D660" s="5" t="s">
        <v>62</v>
      </c>
      <c r="E660" s="5" t="n">
        <v>9</v>
      </c>
      <c r="F660" s="5" t="s">
        <v>90</v>
      </c>
      <c r="G660" s="2" t="s">
        <v>741</v>
      </c>
      <c r="H660" s="5" t="s">
        <v>8332</v>
      </c>
      <c r="I660" s="5" t="s">
        <v>60</v>
      </c>
      <c r="J660" s="5" t="s">
        <v>161</v>
      </c>
      <c r="K660" s="5" t="s">
        <v>2548</v>
      </c>
    </row>
    <row r="661" customFormat="false" ht="15" hidden="false" customHeight="false" outlineLevel="0" collapsed="false">
      <c r="A661" s="5" t="s">
        <v>2549</v>
      </c>
      <c r="B661" s="2" t="s">
        <v>2550</v>
      </c>
      <c r="C661" s="5" t="s">
        <v>2128</v>
      </c>
      <c r="D661" s="5" t="s">
        <v>62</v>
      </c>
      <c r="E661" s="5" t="n">
        <v>7</v>
      </c>
      <c r="F661" s="5" t="s">
        <v>90</v>
      </c>
      <c r="G661" s="2" t="s">
        <v>741</v>
      </c>
      <c r="H661" s="5" t="s">
        <v>8332</v>
      </c>
      <c r="I661" s="5" t="s">
        <v>60</v>
      </c>
      <c r="J661" s="5" t="s">
        <v>161</v>
      </c>
      <c r="K661" s="5" t="s">
        <v>2553</v>
      </c>
    </row>
    <row r="662" customFormat="false" ht="15" hidden="false" customHeight="false" outlineLevel="0" collapsed="false">
      <c r="A662" s="5" t="s">
        <v>2554</v>
      </c>
      <c r="B662" s="2" t="s">
        <v>2555</v>
      </c>
      <c r="C662" s="5" t="s">
        <v>2128</v>
      </c>
      <c r="D662" s="5" t="s">
        <v>62</v>
      </c>
      <c r="E662" s="5" t="n">
        <v>8</v>
      </c>
      <c r="F662" s="5" t="s">
        <v>90</v>
      </c>
      <c r="G662" s="2" t="s">
        <v>741</v>
      </c>
      <c r="H662" s="5" t="s">
        <v>8332</v>
      </c>
      <c r="I662" s="5" t="s">
        <v>60</v>
      </c>
      <c r="J662" s="5" t="s">
        <v>161</v>
      </c>
      <c r="K662" s="5" t="s">
        <v>2559</v>
      </c>
    </row>
    <row r="663" customFormat="false" ht="15" hidden="false" customHeight="false" outlineLevel="0" collapsed="false">
      <c r="A663" s="5" t="s">
        <v>2560</v>
      </c>
      <c r="B663" s="2" t="s">
        <v>2561</v>
      </c>
      <c r="C663" s="5" t="s">
        <v>2128</v>
      </c>
      <c r="D663" s="5" t="s">
        <v>62</v>
      </c>
      <c r="E663" s="5" t="n">
        <v>7</v>
      </c>
      <c r="F663" s="5" t="s">
        <v>90</v>
      </c>
      <c r="G663" s="2" t="s">
        <v>741</v>
      </c>
      <c r="H663" s="5" t="s">
        <v>8332</v>
      </c>
      <c r="I663" s="5" t="s">
        <v>60</v>
      </c>
      <c r="J663" s="5" t="s">
        <v>161</v>
      </c>
      <c r="K663" s="5" t="s">
        <v>2565</v>
      </c>
    </row>
    <row r="664" customFormat="false" ht="15" hidden="false" customHeight="false" outlineLevel="0" collapsed="false">
      <c r="A664" s="5" t="s">
        <v>2566</v>
      </c>
      <c r="B664" s="2" t="s">
        <v>2567</v>
      </c>
      <c r="C664" s="5" t="s">
        <v>2128</v>
      </c>
      <c r="D664" s="5" t="s">
        <v>62</v>
      </c>
      <c r="E664" s="5" t="n">
        <v>9</v>
      </c>
      <c r="F664" s="5" t="s">
        <v>90</v>
      </c>
      <c r="G664" s="2" t="s">
        <v>741</v>
      </c>
      <c r="H664" s="5" t="s">
        <v>8332</v>
      </c>
      <c r="I664" s="5" t="s">
        <v>60</v>
      </c>
      <c r="J664" s="5" t="s">
        <v>161</v>
      </c>
      <c r="K664" s="5" t="s">
        <v>2571</v>
      </c>
    </row>
    <row r="665" customFormat="false" ht="15" hidden="false" customHeight="false" outlineLevel="0" collapsed="false">
      <c r="A665" s="5" t="s">
        <v>2572</v>
      </c>
      <c r="B665" s="2" t="s">
        <v>2573</v>
      </c>
      <c r="C665" s="5" t="s">
        <v>2128</v>
      </c>
      <c r="D665" s="5" t="s">
        <v>62</v>
      </c>
      <c r="E665" s="5" t="n">
        <v>7</v>
      </c>
      <c r="F665" s="5" t="s">
        <v>90</v>
      </c>
      <c r="G665" s="2" t="s">
        <v>741</v>
      </c>
      <c r="H665" s="5" t="s">
        <v>8332</v>
      </c>
      <c r="I665" s="5" t="s">
        <v>60</v>
      </c>
      <c r="J665" s="5" t="s">
        <v>161</v>
      </c>
      <c r="K665" s="5" t="s">
        <v>2576</v>
      </c>
    </row>
    <row r="666" customFormat="false" ht="15" hidden="false" customHeight="false" outlineLevel="0" collapsed="false">
      <c r="A666" s="5" t="s">
        <v>2577</v>
      </c>
      <c r="B666" s="2" t="s">
        <v>2578</v>
      </c>
      <c r="C666" s="5" t="s">
        <v>2128</v>
      </c>
      <c r="D666" s="5" t="s">
        <v>62</v>
      </c>
      <c r="E666" s="5" t="n">
        <v>7</v>
      </c>
      <c r="F666" s="5" t="s">
        <v>90</v>
      </c>
      <c r="G666" s="2" t="s">
        <v>741</v>
      </c>
      <c r="H666" s="5" t="s">
        <v>8332</v>
      </c>
      <c r="I666" s="5" t="s">
        <v>60</v>
      </c>
      <c r="J666" s="5" t="s">
        <v>161</v>
      </c>
      <c r="K666" s="5" t="s">
        <v>2582</v>
      </c>
    </row>
    <row r="667" customFormat="false" ht="15" hidden="false" customHeight="false" outlineLevel="0" collapsed="false">
      <c r="A667" s="5" t="s">
        <v>2583</v>
      </c>
      <c r="B667" s="2" t="s">
        <v>2584</v>
      </c>
      <c r="C667" s="5" t="s">
        <v>2128</v>
      </c>
      <c r="D667" s="5" t="s">
        <v>62</v>
      </c>
      <c r="E667" s="5" t="n">
        <v>7</v>
      </c>
      <c r="F667" s="5" t="s">
        <v>90</v>
      </c>
      <c r="G667" s="2" t="s">
        <v>741</v>
      </c>
      <c r="H667" s="5" t="s">
        <v>8332</v>
      </c>
      <c r="I667" s="5" t="s">
        <v>60</v>
      </c>
      <c r="J667" s="5" t="s">
        <v>161</v>
      </c>
      <c r="K667" s="5" t="s">
        <v>2588</v>
      </c>
    </row>
    <row r="668" customFormat="false" ht="15" hidden="false" customHeight="false" outlineLevel="0" collapsed="false">
      <c r="A668" s="5" t="s">
        <v>149</v>
      </c>
      <c r="B668" s="2" t="s">
        <v>150</v>
      </c>
      <c r="C668" s="5" t="s">
        <v>59</v>
      </c>
      <c r="D668" s="5" t="s">
        <v>62</v>
      </c>
      <c r="E668" s="5" t="n">
        <v>9</v>
      </c>
      <c r="F668" s="5" t="s">
        <v>100</v>
      </c>
      <c r="G668" s="2" t="s">
        <v>152</v>
      </c>
      <c r="H668" s="5" t="s">
        <v>8332</v>
      </c>
      <c r="I668" s="5" t="s">
        <v>60</v>
      </c>
      <c r="J668" s="5" t="s">
        <v>100</v>
      </c>
      <c r="K668" s="5" t="s">
        <v>158</v>
      </c>
    </row>
    <row r="669" customFormat="false" ht="23.85" hidden="false" customHeight="false" outlineLevel="0" collapsed="false">
      <c r="A669" s="5" t="s">
        <v>159</v>
      </c>
      <c r="B669" s="2" t="s">
        <v>160</v>
      </c>
      <c r="C669" s="5" t="s">
        <v>59</v>
      </c>
      <c r="D669" s="5" t="s">
        <v>62</v>
      </c>
      <c r="E669" s="5" t="n">
        <v>9</v>
      </c>
      <c r="F669" s="5" t="s">
        <v>90</v>
      </c>
      <c r="G669" s="2" t="s">
        <v>152</v>
      </c>
      <c r="H669" s="5" t="s">
        <v>8332</v>
      </c>
      <c r="I669" s="5" t="s">
        <v>60</v>
      </c>
      <c r="J669" s="5" t="s">
        <v>161</v>
      </c>
      <c r="K669" s="5" t="s">
        <v>169</v>
      </c>
    </row>
    <row r="670" customFormat="false" ht="15" hidden="false" customHeight="false" outlineLevel="0" collapsed="false">
      <c r="A670" s="5" t="s">
        <v>10393</v>
      </c>
      <c r="B670" s="2" t="s">
        <v>10394</v>
      </c>
      <c r="C670" s="5" t="s">
        <v>2128</v>
      </c>
      <c r="D670" s="5" t="s">
        <v>62</v>
      </c>
      <c r="E670" s="5" t="n">
        <v>9</v>
      </c>
      <c r="F670" s="5" t="s">
        <v>67</v>
      </c>
      <c r="G670" s="2" t="s">
        <v>152</v>
      </c>
      <c r="H670" s="5" t="s">
        <v>8336</v>
      </c>
      <c r="I670" s="5"/>
      <c r="J670" s="5"/>
      <c r="K670" s="5" t="s">
        <v>10395</v>
      </c>
    </row>
    <row r="671" customFormat="false" ht="15" hidden="false" customHeight="false" outlineLevel="0" collapsed="false">
      <c r="A671" s="5" t="s">
        <v>10396</v>
      </c>
      <c r="B671" s="2" t="s">
        <v>10397</v>
      </c>
      <c r="C671" s="5" t="s">
        <v>2128</v>
      </c>
      <c r="D671" s="5" t="s">
        <v>62</v>
      </c>
      <c r="E671" s="5" t="n">
        <v>9</v>
      </c>
      <c r="F671" s="5" t="s">
        <v>67</v>
      </c>
      <c r="G671" s="2" t="s">
        <v>152</v>
      </c>
      <c r="H671" s="5" t="s">
        <v>8336</v>
      </c>
      <c r="I671" s="5"/>
      <c r="J671" s="5"/>
      <c r="K671" s="5" t="s">
        <v>10398</v>
      </c>
    </row>
    <row r="672" customFormat="false" ht="15" hidden="false" customHeight="false" outlineLevel="0" collapsed="false">
      <c r="A672" s="5" t="s">
        <v>10399</v>
      </c>
      <c r="B672" s="2" t="s">
        <v>10400</v>
      </c>
      <c r="C672" s="5" t="s">
        <v>2128</v>
      </c>
      <c r="D672" s="5" t="s">
        <v>62</v>
      </c>
      <c r="E672" s="5" t="n">
        <v>9</v>
      </c>
      <c r="F672" s="5" t="s">
        <v>67</v>
      </c>
      <c r="G672" s="2" t="s">
        <v>152</v>
      </c>
      <c r="H672" s="5" t="s">
        <v>8336</v>
      </c>
      <c r="I672" s="5"/>
      <c r="J672" s="5"/>
      <c r="K672" s="5" t="s">
        <v>10401</v>
      </c>
    </row>
    <row r="673" customFormat="false" ht="15" hidden="false" customHeight="false" outlineLevel="0" collapsed="false">
      <c r="A673" s="5" t="s">
        <v>10402</v>
      </c>
      <c r="B673" s="2" t="s">
        <v>10403</v>
      </c>
      <c r="C673" s="5" t="s">
        <v>2128</v>
      </c>
      <c r="D673" s="5" t="s">
        <v>62</v>
      </c>
      <c r="E673" s="5" t="n">
        <v>9</v>
      </c>
      <c r="F673" s="5" t="s">
        <v>67</v>
      </c>
      <c r="G673" s="2" t="s">
        <v>152</v>
      </c>
      <c r="H673" s="5" t="s">
        <v>8336</v>
      </c>
      <c r="I673" s="5"/>
      <c r="J673" s="5"/>
      <c r="K673" s="5" t="s">
        <v>10404</v>
      </c>
    </row>
    <row r="674" customFormat="false" ht="15" hidden="false" customHeight="false" outlineLevel="0" collapsed="false">
      <c r="A674" s="5" t="s">
        <v>10405</v>
      </c>
      <c r="B674" s="2" t="s">
        <v>10406</v>
      </c>
      <c r="C674" s="5" t="s">
        <v>2128</v>
      </c>
      <c r="D674" s="5" t="s">
        <v>62</v>
      </c>
      <c r="E674" s="5" t="n">
        <v>7</v>
      </c>
      <c r="F674" s="5" t="s">
        <v>67</v>
      </c>
      <c r="G674" s="2" t="s">
        <v>152</v>
      </c>
      <c r="H674" s="5" t="s">
        <v>8336</v>
      </c>
      <c r="I674" s="5"/>
      <c r="J674" s="5"/>
      <c r="K674" s="5" t="s">
        <v>10407</v>
      </c>
    </row>
    <row r="675" customFormat="false" ht="15" hidden="false" customHeight="false" outlineLevel="0" collapsed="false">
      <c r="A675" s="5" t="s">
        <v>10408</v>
      </c>
      <c r="B675" s="2" t="s">
        <v>10409</v>
      </c>
      <c r="C675" s="5" t="s">
        <v>2128</v>
      </c>
      <c r="D675" s="5" t="s">
        <v>62</v>
      </c>
      <c r="E675" s="5" t="n">
        <v>9</v>
      </c>
      <c r="F675" s="5" t="s">
        <v>67</v>
      </c>
      <c r="G675" s="2" t="s">
        <v>152</v>
      </c>
      <c r="H675" s="5" t="s">
        <v>8336</v>
      </c>
      <c r="I675" s="5"/>
      <c r="J675" s="5"/>
      <c r="K675" s="5" t="s">
        <v>10410</v>
      </c>
    </row>
    <row r="676" customFormat="false" ht="15" hidden="false" customHeight="false" outlineLevel="0" collapsed="false">
      <c r="A676" s="5" t="s">
        <v>10411</v>
      </c>
      <c r="B676" s="2" t="s">
        <v>10412</v>
      </c>
      <c r="C676" s="5" t="s">
        <v>2128</v>
      </c>
      <c r="D676" s="5" t="s">
        <v>62</v>
      </c>
      <c r="E676" s="5" t="n">
        <v>9</v>
      </c>
      <c r="F676" s="5" t="s">
        <v>67</v>
      </c>
      <c r="G676" s="2" t="s">
        <v>152</v>
      </c>
      <c r="H676" s="5" t="s">
        <v>8336</v>
      </c>
      <c r="I676" s="5"/>
      <c r="J676" s="5"/>
      <c r="K676" s="5" t="s">
        <v>10413</v>
      </c>
    </row>
    <row r="677" customFormat="false" ht="15" hidden="false" customHeight="false" outlineLevel="0" collapsed="false">
      <c r="A677" s="5" t="s">
        <v>2589</v>
      </c>
      <c r="B677" s="2" t="s">
        <v>2590</v>
      </c>
      <c r="C677" s="5" t="s">
        <v>2128</v>
      </c>
      <c r="D677" s="5" t="s">
        <v>490</v>
      </c>
      <c r="E677" s="5" t="n">
        <v>5</v>
      </c>
      <c r="F677" s="5" t="s">
        <v>1210</v>
      </c>
      <c r="G677" s="2" t="s">
        <v>152</v>
      </c>
      <c r="H677" s="5" t="s">
        <v>8332</v>
      </c>
      <c r="I677" s="5" t="s">
        <v>60</v>
      </c>
      <c r="J677" s="5" t="s">
        <v>2591</v>
      </c>
      <c r="K677" s="5" t="s">
        <v>2598</v>
      </c>
    </row>
    <row r="678" customFormat="false" ht="15" hidden="false" customHeight="false" outlineLevel="0" collapsed="false">
      <c r="A678" s="5" t="s">
        <v>10414</v>
      </c>
      <c r="B678" s="2" t="s">
        <v>10415</v>
      </c>
      <c r="C678" s="5" t="s">
        <v>2128</v>
      </c>
      <c r="D678" s="5" t="s">
        <v>62</v>
      </c>
      <c r="E678" s="5" t="n">
        <v>5</v>
      </c>
      <c r="F678" s="5" t="s">
        <v>90</v>
      </c>
      <c r="G678" s="2" t="s">
        <v>173</v>
      </c>
      <c r="H678" s="5" t="s">
        <v>8336</v>
      </c>
      <c r="I678" s="5"/>
      <c r="J678" s="5"/>
      <c r="K678" s="5" t="s">
        <v>10416</v>
      </c>
    </row>
    <row r="679" customFormat="false" ht="15" hidden="false" customHeight="false" outlineLevel="0" collapsed="false">
      <c r="A679" s="5" t="s">
        <v>10417</v>
      </c>
      <c r="B679" s="2" t="s">
        <v>10418</v>
      </c>
      <c r="C679" s="5" t="s">
        <v>2128</v>
      </c>
      <c r="D679" s="5" t="s">
        <v>62</v>
      </c>
      <c r="E679" s="5" t="n">
        <v>5</v>
      </c>
      <c r="F679" s="5" t="s">
        <v>90</v>
      </c>
      <c r="G679" s="2" t="s">
        <v>173</v>
      </c>
      <c r="H679" s="5" t="s">
        <v>8336</v>
      </c>
      <c r="I679" s="5"/>
      <c r="J679" s="5"/>
      <c r="K679" s="5" t="s">
        <v>10419</v>
      </c>
    </row>
    <row r="680" customFormat="false" ht="23.85" hidden="false" customHeight="false" outlineLevel="0" collapsed="false">
      <c r="A680" s="5" t="s">
        <v>10420</v>
      </c>
      <c r="B680" s="2" t="s">
        <v>10421</v>
      </c>
      <c r="C680" s="5" t="s">
        <v>2128</v>
      </c>
      <c r="D680" s="5" t="s">
        <v>62</v>
      </c>
      <c r="E680" s="5" t="n">
        <v>7</v>
      </c>
      <c r="F680" s="5" t="s">
        <v>1814</v>
      </c>
      <c r="G680" s="2" t="s">
        <v>152</v>
      </c>
      <c r="H680" s="5" t="s">
        <v>8336</v>
      </c>
      <c r="I680" s="5"/>
      <c r="J680" s="5"/>
      <c r="K680" s="5" t="s">
        <v>10422</v>
      </c>
    </row>
    <row r="681" customFormat="false" ht="15" hidden="false" customHeight="false" outlineLevel="0" collapsed="false">
      <c r="A681" s="5" t="s">
        <v>749</v>
      </c>
      <c r="B681" s="2" t="s">
        <v>750</v>
      </c>
      <c r="C681" s="5" t="s">
        <v>488</v>
      </c>
      <c r="D681" s="5" t="s">
        <v>62</v>
      </c>
      <c r="E681" s="5" t="n">
        <v>5</v>
      </c>
      <c r="F681" s="5" t="s">
        <v>277</v>
      </c>
      <c r="G681" s="2" t="s">
        <v>152</v>
      </c>
      <c r="H681" s="5" t="s">
        <v>8332</v>
      </c>
      <c r="I681" s="5" t="s">
        <v>60</v>
      </c>
      <c r="J681" s="5" t="s">
        <v>751</v>
      </c>
      <c r="K681" s="5" t="s">
        <v>758</v>
      </c>
    </row>
    <row r="682" customFormat="false" ht="23.85" hidden="false" customHeight="false" outlineLevel="0" collapsed="false">
      <c r="A682" s="5" t="s">
        <v>10423</v>
      </c>
      <c r="B682" s="2" t="s">
        <v>10424</v>
      </c>
      <c r="C682" s="5" t="s">
        <v>2128</v>
      </c>
      <c r="D682" s="5" t="s">
        <v>62</v>
      </c>
      <c r="E682" s="5" t="n">
        <v>5</v>
      </c>
      <c r="F682" s="5" t="s">
        <v>277</v>
      </c>
      <c r="G682" s="2" t="s">
        <v>152</v>
      </c>
      <c r="H682" s="5" t="s">
        <v>8336</v>
      </c>
      <c r="I682" s="5"/>
      <c r="J682" s="5"/>
      <c r="K682" s="5" t="s">
        <v>10425</v>
      </c>
    </row>
    <row r="683" customFormat="false" ht="15" hidden="false" customHeight="false" outlineLevel="0" collapsed="false">
      <c r="A683" s="5" t="s">
        <v>10426</v>
      </c>
      <c r="B683" s="2" t="s">
        <v>10427</v>
      </c>
      <c r="C683" s="5" t="s">
        <v>2128</v>
      </c>
      <c r="D683" s="5" t="s">
        <v>62</v>
      </c>
      <c r="E683" s="5" t="n">
        <v>9</v>
      </c>
      <c r="F683" s="5" t="s">
        <v>67</v>
      </c>
      <c r="G683" s="2" t="s">
        <v>152</v>
      </c>
      <c r="H683" s="5" t="s">
        <v>8336</v>
      </c>
      <c r="I683" s="5"/>
      <c r="J683" s="5"/>
      <c r="K683" s="5" t="s">
        <v>10428</v>
      </c>
    </row>
    <row r="684" customFormat="false" ht="23.85" hidden="false" customHeight="false" outlineLevel="0" collapsed="false">
      <c r="A684" s="5" t="s">
        <v>10429</v>
      </c>
      <c r="B684" s="2" t="s">
        <v>10430</v>
      </c>
      <c r="C684" s="5" t="s">
        <v>2128</v>
      </c>
      <c r="D684" s="5" t="s">
        <v>62</v>
      </c>
      <c r="E684" s="5" t="n">
        <v>7</v>
      </c>
      <c r="F684" s="5" t="s">
        <v>67</v>
      </c>
      <c r="G684" s="2" t="s">
        <v>152</v>
      </c>
      <c r="H684" s="5" t="s">
        <v>8336</v>
      </c>
      <c r="I684" s="5"/>
      <c r="J684" s="5"/>
      <c r="K684" s="5" t="s">
        <v>10431</v>
      </c>
    </row>
    <row r="685" customFormat="false" ht="23.85" hidden="false" customHeight="false" outlineLevel="0" collapsed="false">
      <c r="A685" s="5" t="s">
        <v>10432</v>
      </c>
      <c r="B685" s="2" t="s">
        <v>10433</v>
      </c>
      <c r="C685" s="5" t="s">
        <v>2128</v>
      </c>
      <c r="D685" s="5" t="s">
        <v>62</v>
      </c>
      <c r="E685" s="5" t="n">
        <v>7</v>
      </c>
      <c r="F685" s="5" t="s">
        <v>67</v>
      </c>
      <c r="G685" s="2" t="s">
        <v>152</v>
      </c>
      <c r="H685" s="5" t="s">
        <v>8336</v>
      </c>
      <c r="I685" s="5"/>
      <c r="J685" s="5"/>
      <c r="K685" s="5" t="s">
        <v>10434</v>
      </c>
    </row>
    <row r="686" customFormat="false" ht="15" hidden="false" customHeight="false" outlineLevel="0" collapsed="false">
      <c r="A686" s="5" t="s">
        <v>10435</v>
      </c>
      <c r="B686" s="2" t="s">
        <v>10436</v>
      </c>
      <c r="C686" s="5" t="s">
        <v>2128</v>
      </c>
      <c r="D686" s="5" t="s">
        <v>62</v>
      </c>
      <c r="E686" s="5" t="n">
        <v>7</v>
      </c>
      <c r="F686" s="5" t="s">
        <v>67</v>
      </c>
      <c r="G686" s="2" t="s">
        <v>152</v>
      </c>
      <c r="H686" s="5" t="s">
        <v>8336</v>
      </c>
      <c r="I686" s="5"/>
      <c r="J686" s="5"/>
      <c r="K686" s="5" t="s">
        <v>10437</v>
      </c>
    </row>
    <row r="687" customFormat="false" ht="15" hidden="false" customHeight="false" outlineLevel="0" collapsed="false">
      <c r="A687" s="5" t="s">
        <v>10438</v>
      </c>
      <c r="B687" s="2" t="s">
        <v>10439</v>
      </c>
      <c r="C687" s="5" t="s">
        <v>2128</v>
      </c>
      <c r="D687" s="5" t="s">
        <v>62</v>
      </c>
      <c r="E687" s="5" t="n">
        <v>7</v>
      </c>
      <c r="F687" s="5" t="s">
        <v>277</v>
      </c>
      <c r="G687" s="2" t="s">
        <v>152</v>
      </c>
      <c r="H687" s="5" t="s">
        <v>8336</v>
      </c>
      <c r="I687" s="5"/>
      <c r="J687" s="5"/>
      <c r="K687" s="5" t="s">
        <v>10440</v>
      </c>
    </row>
    <row r="688" customFormat="false" ht="15" hidden="false" customHeight="false" outlineLevel="0" collapsed="false">
      <c r="A688" s="5" t="s">
        <v>10441</v>
      </c>
      <c r="B688" s="2" t="s">
        <v>10442</v>
      </c>
      <c r="C688" s="5" t="s">
        <v>2128</v>
      </c>
      <c r="D688" s="5" t="s">
        <v>62</v>
      </c>
      <c r="E688" s="5" t="n">
        <v>5</v>
      </c>
      <c r="F688" s="5" t="s">
        <v>413</v>
      </c>
      <c r="G688" s="2" t="s">
        <v>152</v>
      </c>
      <c r="H688" s="5" t="s">
        <v>8336</v>
      </c>
      <c r="I688" s="5"/>
      <c r="J688" s="5"/>
      <c r="K688" s="5" t="s">
        <v>10443</v>
      </c>
    </row>
    <row r="689" customFormat="false" ht="15" hidden="false" customHeight="false" outlineLevel="0" collapsed="false">
      <c r="A689" s="5" t="s">
        <v>10444</v>
      </c>
      <c r="B689" s="2" t="s">
        <v>10445</v>
      </c>
      <c r="C689" s="5" t="s">
        <v>2128</v>
      </c>
      <c r="D689" s="5" t="s">
        <v>62</v>
      </c>
      <c r="E689" s="5" t="n">
        <v>5</v>
      </c>
      <c r="F689" s="5" t="s">
        <v>413</v>
      </c>
      <c r="G689" s="2" t="s">
        <v>152</v>
      </c>
      <c r="H689" s="5" t="s">
        <v>8336</v>
      </c>
      <c r="I689" s="5"/>
      <c r="J689" s="5"/>
      <c r="K689" s="5" t="s">
        <v>10446</v>
      </c>
    </row>
    <row r="690" customFormat="false" ht="15" hidden="false" customHeight="false" outlineLevel="0" collapsed="false">
      <c r="A690" s="5" t="s">
        <v>10447</v>
      </c>
      <c r="B690" s="2" t="s">
        <v>10448</v>
      </c>
      <c r="C690" s="5" t="s">
        <v>2128</v>
      </c>
      <c r="D690" s="5" t="s">
        <v>62</v>
      </c>
      <c r="E690" s="5" t="n">
        <v>5</v>
      </c>
      <c r="F690" s="5" t="s">
        <v>90</v>
      </c>
      <c r="G690" s="2" t="s">
        <v>173</v>
      </c>
      <c r="H690" s="5" t="s">
        <v>8336</v>
      </c>
      <c r="I690" s="5"/>
      <c r="J690" s="5"/>
      <c r="K690" s="5" t="s">
        <v>10449</v>
      </c>
    </row>
    <row r="691" customFormat="false" ht="15" hidden="false" customHeight="false" outlineLevel="0" collapsed="false">
      <c r="A691" s="5" t="s">
        <v>10450</v>
      </c>
      <c r="B691" s="2" t="s">
        <v>10451</v>
      </c>
      <c r="C691" s="5" t="s">
        <v>2128</v>
      </c>
      <c r="D691" s="5" t="s">
        <v>62</v>
      </c>
      <c r="E691" s="5" t="n">
        <v>5</v>
      </c>
      <c r="F691" s="5" t="s">
        <v>277</v>
      </c>
      <c r="G691" s="2" t="s">
        <v>152</v>
      </c>
      <c r="H691" s="5" t="s">
        <v>8336</v>
      </c>
      <c r="I691" s="5"/>
      <c r="J691" s="5"/>
      <c r="K691" s="5" t="s">
        <v>10452</v>
      </c>
    </row>
    <row r="692" customFormat="false" ht="15" hidden="false" customHeight="false" outlineLevel="0" collapsed="false">
      <c r="A692" s="5" t="s">
        <v>10453</v>
      </c>
      <c r="B692" s="2" t="s">
        <v>10454</v>
      </c>
      <c r="C692" s="5" t="s">
        <v>2128</v>
      </c>
      <c r="D692" s="5" t="s">
        <v>62</v>
      </c>
      <c r="E692" s="5" t="n">
        <v>7</v>
      </c>
      <c r="F692" s="5" t="s">
        <v>90</v>
      </c>
      <c r="G692" s="2" t="s">
        <v>152</v>
      </c>
      <c r="H692" s="5" t="s">
        <v>8336</v>
      </c>
      <c r="I692" s="5"/>
      <c r="J692" s="5"/>
      <c r="K692" s="5" t="s">
        <v>10455</v>
      </c>
    </row>
    <row r="693" customFormat="false" ht="15" hidden="false" customHeight="false" outlineLevel="0" collapsed="false">
      <c r="A693" s="5" t="s">
        <v>10456</v>
      </c>
      <c r="B693" s="2" t="s">
        <v>10457</v>
      </c>
      <c r="C693" s="5" t="s">
        <v>2128</v>
      </c>
      <c r="D693" s="5" t="s">
        <v>62</v>
      </c>
      <c r="E693" s="5" t="n">
        <v>7</v>
      </c>
      <c r="F693" s="5" t="s">
        <v>67</v>
      </c>
      <c r="G693" s="2" t="s">
        <v>152</v>
      </c>
      <c r="H693" s="5" t="s">
        <v>8336</v>
      </c>
      <c r="I693" s="5"/>
      <c r="J693" s="5"/>
      <c r="K693" s="5" t="s">
        <v>10458</v>
      </c>
    </row>
    <row r="694" customFormat="false" ht="15" hidden="false" customHeight="false" outlineLevel="0" collapsed="false">
      <c r="A694" s="5" t="s">
        <v>10459</v>
      </c>
      <c r="B694" s="2" t="s">
        <v>10460</v>
      </c>
      <c r="C694" s="5" t="s">
        <v>2128</v>
      </c>
      <c r="D694" s="5" t="s">
        <v>62</v>
      </c>
      <c r="E694" s="5" t="n">
        <v>7</v>
      </c>
      <c r="F694" s="5" t="s">
        <v>1814</v>
      </c>
      <c r="G694" s="2" t="s">
        <v>152</v>
      </c>
      <c r="H694" s="5" t="s">
        <v>8336</v>
      </c>
      <c r="I694" s="5"/>
      <c r="J694" s="5"/>
      <c r="K694" s="5" t="s">
        <v>10461</v>
      </c>
    </row>
    <row r="695" customFormat="false" ht="15" hidden="false" customHeight="false" outlineLevel="0" collapsed="false">
      <c r="A695" s="5" t="s">
        <v>10462</v>
      </c>
      <c r="B695" s="2" t="s">
        <v>10463</v>
      </c>
      <c r="C695" s="5" t="s">
        <v>2128</v>
      </c>
      <c r="D695" s="5" t="s">
        <v>62</v>
      </c>
      <c r="E695" s="5" t="n">
        <v>7</v>
      </c>
      <c r="F695" s="5" t="s">
        <v>90</v>
      </c>
      <c r="G695" s="2" t="s">
        <v>173</v>
      </c>
      <c r="H695" s="5" t="s">
        <v>8336</v>
      </c>
      <c r="I695" s="5"/>
      <c r="J695" s="5"/>
      <c r="K695" s="5" t="s">
        <v>10464</v>
      </c>
    </row>
    <row r="696" customFormat="false" ht="15" hidden="false" customHeight="false" outlineLevel="0" collapsed="false">
      <c r="A696" s="5" t="s">
        <v>10465</v>
      </c>
      <c r="B696" s="2" t="s">
        <v>10466</v>
      </c>
      <c r="C696" s="5" t="s">
        <v>2128</v>
      </c>
      <c r="D696" s="5" t="s">
        <v>62</v>
      </c>
      <c r="E696" s="5" t="n">
        <v>7</v>
      </c>
      <c r="F696" s="5" t="s">
        <v>413</v>
      </c>
      <c r="G696" s="2" t="s">
        <v>152</v>
      </c>
      <c r="H696" s="5" t="s">
        <v>8336</v>
      </c>
      <c r="I696" s="5"/>
      <c r="J696" s="5"/>
      <c r="K696" s="5" t="s">
        <v>10467</v>
      </c>
    </row>
    <row r="697" customFormat="false" ht="15" hidden="false" customHeight="false" outlineLevel="0" collapsed="false">
      <c r="A697" s="5" t="s">
        <v>4910</v>
      </c>
      <c r="B697" s="2" t="s">
        <v>4911</v>
      </c>
      <c r="C697" s="5" t="s">
        <v>2128</v>
      </c>
      <c r="D697" s="5" t="s">
        <v>62</v>
      </c>
      <c r="E697" s="5" t="n">
        <v>5</v>
      </c>
      <c r="F697" s="5" t="s">
        <v>100</v>
      </c>
      <c r="G697" s="2" t="s">
        <v>152</v>
      </c>
      <c r="H697" s="5" t="s">
        <v>8332</v>
      </c>
      <c r="I697" s="5" t="s">
        <v>4760</v>
      </c>
      <c r="J697" s="5" t="s">
        <v>100</v>
      </c>
      <c r="K697" s="5" t="s">
        <v>4915</v>
      </c>
    </row>
    <row r="698" customFormat="false" ht="15" hidden="false" customHeight="false" outlineLevel="0" collapsed="false">
      <c r="A698" s="5" t="s">
        <v>10468</v>
      </c>
      <c r="B698" s="2" t="s">
        <v>10469</v>
      </c>
      <c r="C698" s="5" t="s">
        <v>2128</v>
      </c>
      <c r="D698" s="5" t="s">
        <v>62</v>
      </c>
      <c r="E698" s="5" t="n">
        <v>7</v>
      </c>
      <c r="F698" s="5" t="s">
        <v>10470</v>
      </c>
      <c r="G698" s="2" t="s">
        <v>152</v>
      </c>
      <c r="H698" s="5" t="s">
        <v>8336</v>
      </c>
      <c r="I698" s="5"/>
      <c r="J698" s="5"/>
      <c r="K698" s="5" t="s">
        <v>10471</v>
      </c>
    </row>
    <row r="699" customFormat="false" ht="15" hidden="false" customHeight="false" outlineLevel="0" collapsed="false">
      <c r="A699" s="5" t="s">
        <v>10472</v>
      </c>
      <c r="B699" s="2" t="s">
        <v>10473</v>
      </c>
      <c r="C699" s="5" t="s">
        <v>2128</v>
      </c>
      <c r="D699" s="5" t="s">
        <v>62</v>
      </c>
      <c r="E699" s="5" t="n">
        <v>7</v>
      </c>
      <c r="F699" s="5" t="s">
        <v>10470</v>
      </c>
      <c r="G699" s="2" t="s">
        <v>152</v>
      </c>
      <c r="H699" s="5" t="s">
        <v>8336</v>
      </c>
      <c r="I699" s="5"/>
      <c r="J699" s="5"/>
      <c r="K699" s="5" t="s">
        <v>10474</v>
      </c>
    </row>
    <row r="700" customFormat="false" ht="15" hidden="false" customHeight="false" outlineLevel="0" collapsed="false">
      <c r="A700" s="5" t="s">
        <v>170</v>
      </c>
      <c r="B700" s="2" t="s">
        <v>171</v>
      </c>
      <c r="C700" s="5" t="s">
        <v>59</v>
      </c>
      <c r="D700" s="5" t="s">
        <v>62</v>
      </c>
      <c r="E700" s="5" t="n">
        <v>8</v>
      </c>
      <c r="F700" s="5" t="s">
        <v>67</v>
      </c>
      <c r="G700" s="2" t="s">
        <v>173</v>
      </c>
      <c r="H700" s="5" t="s">
        <v>8332</v>
      </c>
      <c r="I700" s="5" t="s">
        <v>60</v>
      </c>
      <c r="J700" s="5" t="s">
        <v>161</v>
      </c>
      <c r="K700" s="5" t="s">
        <v>179</v>
      </c>
    </row>
    <row r="701" customFormat="false" ht="15" hidden="false" customHeight="false" outlineLevel="0" collapsed="false">
      <c r="A701" s="5" t="s">
        <v>10475</v>
      </c>
      <c r="B701" s="2" t="s">
        <v>10476</v>
      </c>
      <c r="C701" s="5" t="s">
        <v>2128</v>
      </c>
      <c r="D701" s="5" t="s">
        <v>62</v>
      </c>
      <c r="E701" s="5" t="n">
        <v>7</v>
      </c>
      <c r="F701" s="5" t="s">
        <v>1814</v>
      </c>
      <c r="G701" s="2" t="s">
        <v>152</v>
      </c>
      <c r="H701" s="5" t="s">
        <v>8336</v>
      </c>
      <c r="I701" s="5"/>
      <c r="J701" s="5"/>
      <c r="K701" s="5" t="s">
        <v>10477</v>
      </c>
    </row>
    <row r="702" customFormat="false" ht="15" hidden="false" customHeight="false" outlineLevel="0" collapsed="false">
      <c r="A702" s="5" t="s">
        <v>10478</v>
      </c>
      <c r="B702" s="2" t="s">
        <v>10479</v>
      </c>
      <c r="C702" s="5" t="s">
        <v>2128</v>
      </c>
      <c r="D702" s="5" t="s">
        <v>62</v>
      </c>
      <c r="E702" s="5" t="n">
        <v>7</v>
      </c>
      <c r="F702" s="5" t="s">
        <v>90</v>
      </c>
      <c r="G702" s="2" t="s">
        <v>152</v>
      </c>
      <c r="H702" s="5" t="s">
        <v>8336</v>
      </c>
      <c r="I702" s="5"/>
      <c r="J702" s="5"/>
      <c r="K702" s="5" t="s">
        <v>10480</v>
      </c>
    </row>
    <row r="703" customFormat="false" ht="15" hidden="false" customHeight="false" outlineLevel="0" collapsed="false">
      <c r="A703" s="5" t="s">
        <v>10481</v>
      </c>
      <c r="B703" s="2" t="s">
        <v>10482</v>
      </c>
      <c r="C703" s="5" t="s">
        <v>2128</v>
      </c>
      <c r="D703" s="5" t="s">
        <v>490</v>
      </c>
      <c r="E703" s="5" t="n">
        <v>5</v>
      </c>
      <c r="F703" s="5" t="s">
        <v>277</v>
      </c>
      <c r="G703" s="2" t="s">
        <v>152</v>
      </c>
      <c r="H703" s="5" t="s">
        <v>8336</v>
      </c>
      <c r="I703" s="5"/>
      <c r="J703" s="5"/>
      <c r="K703" s="5" t="s">
        <v>10483</v>
      </c>
    </row>
    <row r="704" customFormat="false" ht="15" hidden="false" customHeight="false" outlineLevel="0" collapsed="false">
      <c r="A704" s="5" t="s">
        <v>10484</v>
      </c>
      <c r="B704" s="2" t="s">
        <v>10485</v>
      </c>
      <c r="C704" s="5" t="s">
        <v>2128</v>
      </c>
      <c r="D704" s="5" t="s">
        <v>62</v>
      </c>
      <c r="E704" s="5" t="n">
        <v>7</v>
      </c>
      <c r="F704" s="5" t="s">
        <v>67</v>
      </c>
      <c r="G704" s="2" t="s">
        <v>152</v>
      </c>
      <c r="H704" s="5" t="s">
        <v>8336</v>
      </c>
      <c r="I704" s="5"/>
      <c r="J704" s="5"/>
      <c r="K704" s="5" t="s">
        <v>10486</v>
      </c>
    </row>
    <row r="705" customFormat="false" ht="15" hidden="false" customHeight="false" outlineLevel="0" collapsed="false">
      <c r="A705" s="5" t="s">
        <v>4916</v>
      </c>
      <c r="B705" s="2" t="s">
        <v>4917</v>
      </c>
      <c r="C705" s="5" t="s">
        <v>2128</v>
      </c>
      <c r="D705" s="5" t="s">
        <v>62</v>
      </c>
      <c r="E705" s="5" t="n">
        <v>5</v>
      </c>
      <c r="F705" s="5" t="s">
        <v>2079</v>
      </c>
      <c r="G705" s="2" t="s">
        <v>152</v>
      </c>
      <c r="H705" s="5" t="s">
        <v>8332</v>
      </c>
      <c r="I705" s="5" t="s">
        <v>4760</v>
      </c>
      <c r="J705" s="5" t="s">
        <v>2079</v>
      </c>
      <c r="K705" s="5" t="s">
        <v>4921</v>
      </c>
    </row>
    <row r="706" customFormat="false" ht="15" hidden="false" customHeight="false" outlineLevel="0" collapsed="false">
      <c r="A706" s="5" t="s">
        <v>10487</v>
      </c>
      <c r="B706" s="2" t="s">
        <v>10488</v>
      </c>
      <c r="C706" s="5" t="s">
        <v>2128</v>
      </c>
      <c r="D706" s="5" t="s">
        <v>62</v>
      </c>
      <c r="E706" s="5" t="n">
        <v>5</v>
      </c>
      <c r="F706" s="5" t="s">
        <v>90</v>
      </c>
      <c r="G706" s="2" t="s">
        <v>152</v>
      </c>
      <c r="H706" s="5" t="s">
        <v>8336</v>
      </c>
      <c r="I706" s="5"/>
      <c r="J706" s="5"/>
      <c r="K706" s="5" t="s">
        <v>10489</v>
      </c>
    </row>
    <row r="707" customFormat="false" ht="15" hidden="false" customHeight="false" outlineLevel="0" collapsed="false">
      <c r="A707" s="5" t="s">
        <v>759</v>
      </c>
      <c r="B707" s="2" t="s">
        <v>760</v>
      </c>
      <c r="C707" s="5" t="s">
        <v>488</v>
      </c>
      <c r="D707" s="5" t="s">
        <v>62</v>
      </c>
      <c r="E707" s="5" t="n">
        <v>5</v>
      </c>
      <c r="F707" s="5" t="s">
        <v>100</v>
      </c>
      <c r="G707" s="2" t="s">
        <v>152</v>
      </c>
      <c r="H707" s="5" t="s">
        <v>8332</v>
      </c>
      <c r="I707" s="5" t="s">
        <v>60</v>
      </c>
      <c r="J707" s="5" t="s">
        <v>100</v>
      </c>
      <c r="K707" s="5" t="s">
        <v>764</v>
      </c>
    </row>
    <row r="708" customFormat="false" ht="15" hidden="false" customHeight="false" outlineLevel="0" collapsed="false">
      <c r="A708" s="5" t="s">
        <v>10490</v>
      </c>
      <c r="B708" s="2" t="s">
        <v>10491</v>
      </c>
      <c r="C708" s="5" t="s">
        <v>2128</v>
      </c>
      <c r="D708" s="5" t="s">
        <v>62</v>
      </c>
      <c r="E708" s="5" t="n">
        <v>9</v>
      </c>
      <c r="F708" s="5" t="s">
        <v>67</v>
      </c>
      <c r="G708" s="2" t="s">
        <v>152</v>
      </c>
      <c r="H708" s="5" t="s">
        <v>8336</v>
      </c>
      <c r="I708" s="5"/>
      <c r="J708" s="5"/>
      <c r="K708" s="5" t="s">
        <v>10492</v>
      </c>
    </row>
    <row r="709" customFormat="false" ht="15" hidden="false" customHeight="false" outlineLevel="0" collapsed="false">
      <c r="A709" s="5" t="s">
        <v>765</v>
      </c>
      <c r="B709" s="2" t="s">
        <v>766</v>
      </c>
      <c r="C709" s="5" t="s">
        <v>488</v>
      </c>
      <c r="D709" s="5" t="s">
        <v>62</v>
      </c>
      <c r="E709" s="5" t="n">
        <v>7</v>
      </c>
      <c r="F709" s="5" t="s">
        <v>481</v>
      </c>
      <c r="G709" s="2" t="s">
        <v>152</v>
      </c>
      <c r="H709" s="5" t="s">
        <v>8332</v>
      </c>
      <c r="I709" s="5" t="s">
        <v>60</v>
      </c>
      <c r="J709" s="5" t="s">
        <v>577</v>
      </c>
      <c r="K709" s="5" t="s">
        <v>771</v>
      </c>
    </row>
    <row r="710" customFormat="false" ht="15" hidden="false" customHeight="false" outlineLevel="0" collapsed="false">
      <c r="A710" s="5" t="s">
        <v>772</v>
      </c>
      <c r="B710" s="2" t="s">
        <v>773</v>
      </c>
      <c r="C710" s="5" t="s">
        <v>488</v>
      </c>
      <c r="D710" s="5" t="s">
        <v>62</v>
      </c>
      <c r="E710" s="5" t="n">
        <v>7</v>
      </c>
      <c r="F710" s="5" t="s">
        <v>481</v>
      </c>
      <c r="G710" s="2" t="s">
        <v>152</v>
      </c>
      <c r="H710" s="5" t="s">
        <v>8332</v>
      </c>
      <c r="I710" s="5" t="s">
        <v>60</v>
      </c>
      <c r="J710" s="5" t="s">
        <v>577</v>
      </c>
      <c r="K710" s="5" t="s">
        <v>776</v>
      </c>
    </row>
    <row r="711" customFormat="false" ht="15" hidden="false" customHeight="false" outlineLevel="0" collapsed="false">
      <c r="A711" s="5" t="s">
        <v>10493</v>
      </c>
      <c r="B711" s="2" t="s">
        <v>10494</v>
      </c>
      <c r="C711" s="5" t="s">
        <v>2128</v>
      </c>
      <c r="D711" s="5" t="s">
        <v>62</v>
      </c>
      <c r="E711" s="5" t="n">
        <v>7</v>
      </c>
      <c r="F711" s="5" t="s">
        <v>413</v>
      </c>
      <c r="G711" s="2" t="s">
        <v>152</v>
      </c>
      <c r="H711" s="5" t="s">
        <v>8336</v>
      </c>
      <c r="I711" s="5"/>
      <c r="J711" s="5"/>
      <c r="K711" s="5" t="s">
        <v>10495</v>
      </c>
    </row>
    <row r="712" customFormat="false" ht="15" hidden="false" customHeight="false" outlineLevel="0" collapsed="false">
      <c r="A712" s="5" t="s">
        <v>10496</v>
      </c>
      <c r="B712" s="2" t="s">
        <v>10497</v>
      </c>
      <c r="C712" s="5" t="s">
        <v>2128</v>
      </c>
      <c r="D712" s="5" t="s">
        <v>62</v>
      </c>
      <c r="E712" s="5" t="n">
        <v>7</v>
      </c>
      <c r="F712" s="5"/>
      <c r="G712" s="2" t="s">
        <v>152</v>
      </c>
      <c r="H712" s="5" t="s">
        <v>8336</v>
      </c>
      <c r="I712" s="5"/>
      <c r="J712" s="5"/>
      <c r="K712" s="5" t="s">
        <v>10498</v>
      </c>
    </row>
    <row r="713" customFormat="false" ht="15" hidden="false" customHeight="false" outlineLevel="0" collapsed="false">
      <c r="A713" s="5" t="s">
        <v>2599</v>
      </c>
      <c r="B713" s="2" t="s">
        <v>2600</v>
      </c>
      <c r="C713" s="5" t="s">
        <v>2128</v>
      </c>
      <c r="D713" s="5" t="s">
        <v>62</v>
      </c>
      <c r="E713" s="5" t="n">
        <v>9</v>
      </c>
      <c r="F713" s="5" t="s">
        <v>481</v>
      </c>
      <c r="G713" s="2" t="s">
        <v>173</v>
      </c>
      <c r="H713" s="5" t="s">
        <v>8332</v>
      </c>
      <c r="I713" s="5" t="s">
        <v>60</v>
      </c>
      <c r="J713" s="5" t="s">
        <v>577</v>
      </c>
      <c r="K713" s="5" t="s">
        <v>2605</v>
      </c>
    </row>
    <row r="714" customFormat="false" ht="15" hidden="false" customHeight="false" outlineLevel="0" collapsed="false">
      <c r="A714" s="5" t="s">
        <v>10499</v>
      </c>
      <c r="B714" s="2" t="s">
        <v>10500</v>
      </c>
      <c r="C714" s="5" t="s">
        <v>2128</v>
      </c>
      <c r="D714" s="5" t="s">
        <v>490</v>
      </c>
      <c r="E714" s="5" t="n">
        <v>5</v>
      </c>
      <c r="F714" s="5" t="s">
        <v>277</v>
      </c>
      <c r="G714" s="2" t="s">
        <v>152</v>
      </c>
      <c r="H714" s="5" t="s">
        <v>8336</v>
      </c>
      <c r="I714" s="5"/>
      <c r="J714" s="5"/>
      <c r="K714" s="5" t="s">
        <v>10501</v>
      </c>
    </row>
    <row r="715" customFormat="false" ht="15" hidden="false" customHeight="false" outlineLevel="0" collapsed="false">
      <c r="A715" s="5" t="s">
        <v>10502</v>
      </c>
      <c r="B715" s="2" t="s">
        <v>10503</v>
      </c>
      <c r="C715" s="5" t="s">
        <v>2128</v>
      </c>
      <c r="D715" s="5" t="s">
        <v>62</v>
      </c>
      <c r="E715" s="5" t="n">
        <v>5</v>
      </c>
      <c r="F715" s="5" t="s">
        <v>67</v>
      </c>
      <c r="G715" s="2" t="s">
        <v>152</v>
      </c>
      <c r="H715" s="5" t="s">
        <v>8336</v>
      </c>
      <c r="I715" s="5"/>
      <c r="J715" s="5"/>
      <c r="K715" s="5" t="s">
        <v>10504</v>
      </c>
    </row>
    <row r="716" customFormat="false" ht="15" hidden="false" customHeight="false" outlineLevel="0" collapsed="false">
      <c r="A716" s="5" t="s">
        <v>777</v>
      </c>
      <c r="B716" s="2" t="s">
        <v>778</v>
      </c>
      <c r="C716" s="5" t="s">
        <v>488</v>
      </c>
      <c r="D716" s="5" t="s">
        <v>62</v>
      </c>
      <c r="E716" s="5" t="n">
        <v>5</v>
      </c>
      <c r="F716" s="5" t="s">
        <v>481</v>
      </c>
      <c r="G716" s="2" t="s">
        <v>152</v>
      </c>
      <c r="H716" s="5" t="s">
        <v>8332</v>
      </c>
      <c r="I716" s="5" t="s">
        <v>60</v>
      </c>
      <c r="J716" s="5" t="s">
        <v>481</v>
      </c>
      <c r="K716" s="5" t="s">
        <v>782</v>
      </c>
    </row>
    <row r="717" customFormat="false" ht="15" hidden="false" customHeight="false" outlineLevel="0" collapsed="false">
      <c r="A717" s="5" t="s">
        <v>10505</v>
      </c>
      <c r="B717" s="2" t="s">
        <v>10506</v>
      </c>
      <c r="C717" s="5" t="s">
        <v>2128</v>
      </c>
      <c r="D717" s="5" t="s">
        <v>62</v>
      </c>
      <c r="E717" s="5" t="n">
        <v>7</v>
      </c>
      <c r="F717" s="5" t="s">
        <v>67</v>
      </c>
      <c r="G717" s="2" t="s">
        <v>152</v>
      </c>
      <c r="H717" s="5" t="s">
        <v>8336</v>
      </c>
      <c r="I717" s="5"/>
      <c r="J717" s="5"/>
      <c r="K717" s="5" t="s">
        <v>10507</v>
      </c>
    </row>
    <row r="718" customFormat="false" ht="15" hidden="false" customHeight="false" outlineLevel="0" collapsed="false">
      <c r="A718" s="5" t="s">
        <v>10508</v>
      </c>
      <c r="B718" s="2" t="s">
        <v>10509</v>
      </c>
      <c r="C718" s="5" t="s">
        <v>2128</v>
      </c>
      <c r="D718" s="5" t="s">
        <v>62</v>
      </c>
      <c r="E718" s="5" t="n">
        <v>5</v>
      </c>
      <c r="F718" s="5" t="s">
        <v>277</v>
      </c>
      <c r="G718" s="2" t="s">
        <v>152</v>
      </c>
      <c r="H718" s="5" t="s">
        <v>8336</v>
      </c>
      <c r="I718" s="5"/>
      <c r="J718" s="5"/>
      <c r="K718" s="5" t="s">
        <v>10510</v>
      </c>
    </row>
    <row r="719" customFormat="false" ht="15" hidden="false" customHeight="false" outlineLevel="0" collapsed="false">
      <c r="A719" s="5" t="s">
        <v>10511</v>
      </c>
      <c r="B719" s="2" t="s">
        <v>10512</v>
      </c>
      <c r="C719" s="5" t="s">
        <v>2128</v>
      </c>
      <c r="D719" s="5" t="s">
        <v>62</v>
      </c>
      <c r="E719" s="5" t="n">
        <v>5</v>
      </c>
      <c r="F719" s="5" t="s">
        <v>277</v>
      </c>
      <c r="G719" s="2" t="s">
        <v>152</v>
      </c>
      <c r="H719" s="5" t="s">
        <v>8336</v>
      </c>
      <c r="I719" s="5"/>
      <c r="J719" s="5"/>
      <c r="K719" s="5" t="s">
        <v>10513</v>
      </c>
    </row>
    <row r="720" customFormat="false" ht="23.85" hidden="false" customHeight="false" outlineLevel="0" collapsed="false">
      <c r="A720" s="5" t="s">
        <v>4922</v>
      </c>
      <c r="B720" s="2" t="s">
        <v>4923</v>
      </c>
      <c r="C720" s="5" t="s">
        <v>2128</v>
      </c>
      <c r="D720" s="5" t="s">
        <v>490</v>
      </c>
      <c r="E720" s="5" t="n">
        <v>7</v>
      </c>
      <c r="F720" s="5" t="s">
        <v>2079</v>
      </c>
      <c r="G720" s="2" t="s">
        <v>8898</v>
      </c>
      <c r="H720" s="5" t="s">
        <v>8332</v>
      </c>
      <c r="I720" s="5" t="s">
        <v>4760</v>
      </c>
      <c r="J720" s="5" t="s">
        <v>2079</v>
      </c>
      <c r="K720" s="5" t="s">
        <v>4929</v>
      </c>
    </row>
    <row r="721" customFormat="false" ht="23.85" hidden="false" customHeight="false" outlineLevel="0" collapsed="false">
      <c r="A721" s="5" t="s">
        <v>4930</v>
      </c>
      <c r="B721" s="2" t="s">
        <v>4931</v>
      </c>
      <c r="C721" s="5" t="s">
        <v>2128</v>
      </c>
      <c r="D721" s="5" t="s">
        <v>490</v>
      </c>
      <c r="E721" s="5" t="n">
        <v>10</v>
      </c>
      <c r="F721" s="5" t="s">
        <v>2079</v>
      </c>
      <c r="G721" s="2" t="s">
        <v>2721</v>
      </c>
      <c r="H721" s="5" t="s">
        <v>8332</v>
      </c>
      <c r="I721" s="5" t="s">
        <v>4760</v>
      </c>
      <c r="J721" s="5" t="s">
        <v>2079</v>
      </c>
      <c r="K721" s="5" t="s">
        <v>4936</v>
      </c>
    </row>
    <row r="722" customFormat="false" ht="23.85" hidden="false" customHeight="false" outlineLevel="0" collapsed="false">
      <c r="A722" s="5" t="s">
        <v>4937</v>
      </c>
      <c r="B722" s="2" t="s">
        <v>4938</v>
      </c>
      <c r="C722" s="5" t="s">
        <v>2128</v>
      </c>
      <c r="D722" s="5" t="s">
        <v>490</v>
      </c>
      <c r="E722" s="5" t="n">
        <v>10</v>
      </c>
      <c r="F722" s="5" t="s">
        <v>2079</v>
      </c>
      <c r="G722" s="2" t="s">
        <v>10514</v>
      </c>
      <c r="H722" s="5" t="s">
        <v>8332</v>
      </c>
      <c r="I722" s="5" t="s">
        <v>4760</v>
      </c>
      <c r="J722" s="5" t="s">
        <v>2079</v>
      </c>
      <c r="K722" s="5" t="s">
        <v>4943</v>
      </c>
    </row>
    <row r="723" customFormat="false" ht="23.85" hidden="false" customHeight="false" outlineLevel="0" collapsed="false">
      <c r="A723" s="5" t="s">
        <v>2606</v>
      </c>
      <c r="B723" s="2" t="s">
        <v>2607</v>
      </c>
      <c r="C723" s="5" t="s">
        <v>2128</v>
      </c>
      <c r="D723" s="5" t="s">
        <v>62</v>
      </c>
      <c r="E723" s="5" t="n">
        <v>8</v>
      </c>
      <c r="F723" s="5" t="s">
        <v>100</v>
      </c>
      <c r="G723" s="2" t="s">
        <v>184</v>
      </c>
      <c r="H723" s="5" t="s">
        <v>8332</v>
      </c>
      <c r="I723" s="5" t="s">
        <v>60</v>
      </c>
      <c r="J723" s="5" t="s">
        <v>303</v>
      </c>
      <c r="K723" s="5" t="s">
        <v>2613</v>
      </c>
    </row>
    <row r="724" customFormat="false" ht="15" hidden="false" customHeight="false" outlineLevel="0" collapsed="false">
      <c r="A724" s="5" t="s">
        <v>10515</v>
      </c>
      <c r="B724" s="2" t="s">
        <v>10516</v>
      </c>
      <c r="C724" s="5" t="s">
        <v>2128</v>
      </c>
      <c r="D724" s="5" t="s">
        <v>62</v>
      </c>
      <c r="E724" s="5" t="n">
        <v>7</v>
      </c>
      <c r="F724" s="5" t="s">
        <v>3005</v>
      </c>
      <c r="G724" s="2" t="s">
        <v>10008</v>
      </c>
      <c r="H724" s="5" t="s">
        <v>8336</v>
      </c>
      <c r="I724" s="5"/>
      <c r="J724" s="5"/>
      <c r="K724" s="5" t="s">
        <v>10517</v>
      </c>
    </row>
    <row r="725" customFormat="false" ht="15" hidden="false" customHeight="false" outlineLevel="0" collapsed="false">
      <c r="A725" s="5" t="s">
        <v>10518</v>
      </c>
      <c r="B725" s="2" t="s">
        <v>10519</v>
      </c>
      <c r="C725" s="5" t="s">
        <v>2128</v>
      </c>
      <c r="D725" s="5" t="s">
        <v>62</v>
      </c>
      <c r="E725" s="5" t="n">
        <v>7</v>
      </c>
      <c r="F725" s="5" t="s">
        <v>8702</v>
      </c>
      <c r="G725" s="2" t="s">
        <v>10520</v>
      </c>
      <c r="H725" s="5" t="s">
        <v>8336</v>
      </c>
      <c r="I725" s="5"/>
      <c r="J725" s="5"/>
      <c r="K725" s="5" t="s">
        <v>10521</v>
      </c>
    </row>
    <row r="726" customFormat="false" ht="15" hidden="false" customHeight="false" outlineLevel="0" collapsed="false">
      <c r="A726" s="5" t="s">
        <v>10522</v>
      </c>
      <c r="B726" s="2" t="s">
        <v>10523</v>
      </c>
      <c r="C726" s="5" t="s">
        <v>2128</v>
      </c>
      <c r="D726" s="5" t="s">
        <v>62</v>
      </c>
      <c r="E726" s="5" t="n">
        <v>7</v>
      </c>
      <c r="F726" s="5" t="s">
        <v>9688</v>
      </c>
      <c r="G726" s="2" t="s">
        <v>9116</v>
      </c>
      <c r="H726" s="5" t="s">
        <v>8336</v>
      </c>
      <c r="I726" s="5"/>
      <c r="J726" s="5"/>
      <c r="K726" s="5" t="s">
        <v>10524</v>
      </c>
    </row>
    <row r="727" customFormat="false" ht="23.85" hidden="false" customHeight="false" outlineLevel="0" collapsed="false">
      <c r="A727" s="5" t="s">
        <v>10525</v>
      </c>
      <c r="B727" s="2" t="s">
        <v>10526</v>
      </c>
      <c r="C727" s="5" t="s">
        <v>2128</v>
      </c>
      <c r="D727" s="5" t="s">
        <v>490</v>
      </c>
      <c r="E727" s="5" t="n">
        <v>9</v>
      </c>
      <c r="F727" s="5" t="s">
        <v>413</v>
      </c>
      <c r="G727" s="2" t="s">
        <v>6027</v>
      </c>
      <c r="H727" s="5" t="s">
        <v>8336</v>
      </c>
      <c r="I727" s="5"/>
      <c r="J727" s="5"/>
      <c r="K727" s="5" t="s">
        <v>10527</v>
      </c>
    </row>
    <row r="728" customFormat="false" ht="113.4" hidden="false" customHeight="false" outlineLevel="0" collapsed="false">
      <c r="A728" s="5" t="s">
        <v>10528</v>
      </c>
      <c r="B728" s="2" t="s">
        <v>10529</v>
      </c>
      <c r="C728" s="5" t="s">
        <v>2128</v>
      </c>
      <c r="D728" s="5" t="s">
        <v>62</v>
      </c>
      <c r="E728" s="5" t="n">
        <v>9</v>
      </c>
      <c r="F728" s="5" t="s">
        <v>8902</v>
      </c>
      <c r="G728" s="2" t="s">
        <v>10530</v>
      </c>
      <c r="H728" s="5" t="s">
        <v>8336</v>
      </c>
      <c r="I728" s="5"/>
      <c r="J728" s="5"/>
      <c r="K728" s="5" t="s">
        <v>10531</v>
      </c>
    </row>
    <row r="729" customFormat="false" ht="23.85" hidden="false" customHeight="false" outlineLevel="0" collapsed="false">
      <c r="A729" s="5" t="s">
        <v>10532</v>
      </c>
      <c r="B729" s="2" t="s">
        <v>10533</v>
      </c>
      <c r="C729" s="5" t="s">
        <v>2128</v>
      </c>
      <c r="D729" s="5" t="s">
        <v>62</v>
      </c>
      <c r="E729" s="5" t="n">
        <v>9</v>
      </c>
      <c r="F729" s="5" t="s">
        <v>90</v>
      </c>
      <c r="G729" s="2" t="s">
        <v>8682</v>
      </c>
      <c r="H729" s="5" t="s">
        <v>8336</v>
      </c>
      <c r="I729" s="5"/>
      <c r="J729" s="5"/>
      <c r="K729" s="5" t="s">
        <v>10534</v>
      </c>
    </row>
    <row r="730" customFormat="false" ht="15" hidden="false" customHeight="false" outlineLevel="0" collapsed="false">
      <c r="A730" s="5" t="s">
        <v>10535</v>
      </c>
      <c r="B730" s="2" t="s">
        <v>10536</v>
      </c>
      <c r="C730" s="5" t="s">
        <v>2128</v>
      </c>
      <c r="D730" s="5" t="s">
        <v>62</v>
      </c>
      <c r="E730" s="5" t="n">
        <v>9</v>
      </c>
      <c r="F730" s="5" t="s">
        <v>1210</v>
      </c>
      <c r="G730" s="2" t="s">
        <v>10537</v>
      </c>
      <c r="H730" s="5" t="s">
        <v>8336</v>
      </c>
      <c r="I730" s="5"/>
      <c r="J730" s="5"/>
      <c r="K730" s="5" t="s">
        <v>10538</v>
      </c>
    </row>
    <row r="731" customFormat="false" ht="23.85" hidden="false" customHeight="false" outlineLevel="0" collapsed="false">
      <c r="A731" s="5" t="s">
        <v>10539</v>
      </c>
      <c r="B731" s="2" t="s">
        <v>10540</v>
      </c>
      <c r="C731" s="5" t="s">
        <v>2128</v>
      </c>
      <c r="D731" s="5" t="s">
        <v>62</v>
      </c>
      <c r="E731" s="5" t="n">
        <v>9</v>
      </c>
      <c r="F731" s="5" t="s">
        <v>8902</v>
      </c>
      <c r="G731" s="2" t="s">
        <v>8898</v>
      </c>
      <c r="H731" s="5" t="s">
        <v>8336</v>
      </c>
      <c r="I731" s="5"/>
      <c r="J731" s="5"/>
      <c r="K731" s="5" t="s">
        <v>10541</v>
      </c>
    </row>
    <row r="732" customFormat="false" ht="113.4" hidden="false" customHeight="false" outlineLevel="0" collapsed="false">
      <c r="A732" s="5" t="s">
        <v>4944</v>
      </c>
      <c r="B732" s="2" t="s">
        <v>4945</v>
      </c>
      <c r="C732" s="5" t="s">
        <v>2128</v>
      </c>
      <c r="D732" s="5" t="s">
        <v>62</v>
      </c>
      <c r="E732" s="5" t="n">
        <v>9</v>
      </c>
      <c r="F732" s="5" t="s">
        <v>2079</v>
      </c>
      <c r="G732" s="2" t="s">
        <v>10530</v>
      </c>
      <c r="H732" s="5" t="s">
        <v>8332</v>
      </c>
      <c r="I732" s="5" t="s">
        <v>4760</v>
      </c>
      <c r="J732" s="5" t="s">
        <v>2079</v>
      </c>
      <c r="K732" s="5" t="s">
        <v>4954</v>
      </c>
    </row>
    <row r="733" customFormat="false" ht="23.85" hidden="false" customHeight="false" outlineLevel="0" collapsed="false">
      <c r="A733" s="5" t="s">
        <v>10542</v>
      </c>
      <c r="B733" s="2" t="s">
        <v>10543</v>
      </c>
      <c r="C733" s="5" t="s">
        <v>2128</v>
      </c>
      <c r="D733" s="5" t="s">
        <v>490</v>
      </c>
      <c r="E733" s="5" t="n">
        <v>6</v>
      </c>
      <c r="F733" s="5" t="s">
        <v>10544</v>
      </c>
      <c r="G733" s="2" t="s">
        <v>8712</v>
      </c>
      <c r="H733" s="5" t="s">
        <v>8336</v>
      </c>
      <c r="I733" s="5"/>
      <c r="J733" s="5"/>
      <c r="K733" s="5" t="s">
        <v>10545</v>
      </c>
    </row>
    <row r="734" customFormat="false" ht="15" hidden="false" customHeight="false" outlineLevel="0" collapsed="false">
      <c r="A734" s="5" t="s">
        <v>10546</v>
      </c>
      <c r="B734" s="2" t="s">
        <v>10547</v>
      </c>
      <c r="C734" s="5" t="s">
        <v>2128</v>
      </c>
      <c r="D734" s="5" t="s">
        <v>62</v>
      </c>
      <c r="E734" s="5" t="n">
        <v>7</v>
      </c>
      <c r="F734" s="5" t="s">
        <v>9239</v>
      </c>
      <c r="G734" s="2" t="s">
        <v>2616</v>
      </c>
      <c r="H734" s="5" t="s">
        <v>8336</v>
      </c>
      <c r="I734" s="5"/>
      <c r="J734" s="5"/>
      <c r="K734" s="5" t="s">
        <v>10548</v>
      </c>
    </row>
    <row r="735" customFormat="false" ht="15" hidden="false" customHeight="false" outlineLevel="0" collapsed="false">
      <c r="A735" s="5" t="s">
        <v>10549</v>
      </c>
      <c r="B735" s="2" t="s">
        <v>10550</v>
      </c>
      <c r="C735" s="5" t="s">
        <v>2128</v>
      </c>
      <c r="D735" s="5" t="s">
        <v>62</v>
      </c>
      <c r="E735" s="5" t="n">
        <v>9</v>
      </c>
      <c r="F735" s="5" t="s">
        <v>536</v>
      </c>
      <c r="G735" s="2" t="s">
        <v>2616</v>
      </c>
      <c r="H735" s="5" t="s">
        <v>8336</v>
      </c>
      <c r="I735" s="5"/>
      <c r="J735" s="5"/>
      <c r="K735" s="5" t="s">
        <v>10551</v>
      </c>
    </row>
    <row r="736" customFormat="false" ht="15" hidden="false" customHeight="false" outlineLevel="0" collapsed="false">
      <c r="A736" s="5" t="s">
        <v>10552</v>
      </c>
      <c r="B736" s="2" t="s">
        <v>10553</v>
      </c>
      <c r="C736" s="5" t="s">
        <v>2128</v>
      </c>
      <c r="D736" s="5" t="s">
        <v>62</v>
      </c>
      <c r="E736" s="5" t="n">
        <v>7</v>
      </c>
      <c r="F736" s="5" t="s">
        <v>9239</v>
      </c>
      <c r="G736" s="2" t="s">
        <v>2616</v>
      </c>
      <c r="H736" s="5" t="s">
        <v>8336</v>
      </c>
      <c r="I736" s="5"/>
      <c r="J736" s="5"/>
      <c r="K736" s="5" t="s">
        <v>10554</v>
      </c>
    </row>
    <row r="737" customFormat="false" ht="15" hidden="false" customHeight="false" outlineLevel="0" collapsed="false">
      <c r="A737" s="5" t="s">
        <v>10555</v>
      </c>
      <c r="B737" s="2" t="s">
        <v>10556</v>
      </c>
      <c r="C737" s="5" t="s">
        <v>2128</v>
      </c>
      <c r="D737" s="5" t="s">
        <v>62</v>
      </c>
      <c r="E737" s="5" t="n">
        <v>7</v>
      </c>
      <c r="F737" s="5" t="s">
        <v>9239</v>
      </c>
      <c r="G737" s="2" t="s">
        <v>2616</v>
      </c>
      <c r="H737" s="5" t="s">
        <v>8336</v>
      </c>
      <c r="I737" s="5"/>
      <c r="J737" s="5"/>
      <c r="K737" s="5" t="s">
        <v>10557</v>
      </c>
    </row>
    <row r="738" customFormat="false" ht="15" hidden="false" customHeight="false" outlineLevel="0" collapsed="false">
      <c r="A738" s="5" t="s">
        <v>10558</v>
      </c>
      <c r="B738" s="2" t="s">
        <v>10559</v>
      </c>
      <c r="C738" s="5" t="s">
        <v>2128</v>
      </c>
      <c r="D738" s="5" t="s">
        <v>62</v>
      </c>
      <c r="E738" s="5" t="n">
        <v>8</v>
      </c>
      <c r="F738" s="5" t="s">
        <v>9239</v>
      </c>
      <c r="G738" s="2" t="s">
        <v>2616</v>
      </c>
      <c r="H738" s="5" t="s">
        <v>8336</v>
      </c>
      <c r="I738" s="5"/>
      <c r="J738" s="5"/>
      <c r="K738" s="5" t="s">
        <v>10560</v>
      </c>
    </row>
    <row r="739" customFormat="false" ht="15" hidden="false" customHeight="false" outlineLevel="0" collapsed="false">
      <c r="A739" s="5" t="s">
        <v>10561</v>
      </c>
      <c r="B739" s="2" t="s">
        <v>10562</v>
      </c>
      <c r="C739" s="5" t="s">
        <v>2128</v>
      </c>
      <c r="D739" s="5" t="s">
        <v>62</v>
      </c>
      <c r="E739" s="5" t="n">
        <v>9</v>
      </c>
      <c r="F739" s="5" t="s">
        <v>9239</v>
      </c>
      <c r="G739" s="2" t="s">
        <v>2616</v>
      </c>
      <c r="H739" s="5" t="s">
        <v>8336</v>
      </c>
      <c r="I739" s="5"/>
      <c r="J739" s="5"/>
      <c r="K739" s="5" t="s">
        <v>10563</v>
      </c>
    </row>
    <row r="740" customFormat="false" ht="15" hidden="false" customHeight="false" outlineLevel="0" collapsed="false">
      <c r="A740" s="5" t="s">
        <v>10564</v>
      </c>
      <c r="B740" s="2" t="s">
        <v>10565</v>
      </c>
      <c r="C740" s="5" t="s">
        <v>2128</v>
      </c>
      <c r="D740" s="5" t="s">
        <v>62</v>
      </c>
      <c r="E740" s="5" t="n">
        <v>7</v>
      </c>
      <c r="F740" s="5" t="s">
        <v>8702</v>
      </c>
      <c r="G740" s="2" t="s">
        <v>2616</v>
      </c>
      <c r="H740" s="5" t="s">
        <v>8336</v>
      </c>
      <c r="I740" s="5"/>
      <c r="J740" s="5"/>
      <c r="K740" s="5" t="s">
        <v>10566</v>
      </c>
    </row>
    <row r="741" customFormat="false" ht="15" hidden="false" customHeight="false" outlineLevel="0" collapsed="false">
      <c r="A741" s="5" t="s">
        <v>10567</v>
      </c>
      <c r="B741" s="2" t="s">
        <v>10568</v>
      </c>
      <c r="C741" s="5" t="s">
        <v>2128</v>
      </c>
      <c r="D741" s="5" t="s">
        <v>62</v>
      </c>
      <c r="E741" s="5" t="n">
        <v>7</v>
      </c>
      <c r="F741" s="5" t="s">
        <v>9239</v>
      </c>
      <c r="G741" s="2" t="s">
        <v>2616</v>
      </c>
      <c r="H741" s="5" t="s">
        <v>8336</v>
      </c>
      <c r="I741" s="5"/>
      <c r="J741" s="5"/>
      <c r="K741" s="5" t="s">
        <v>10569</v>
      </c>
    </row>
    <row r="742" customFormat="false" ht="15" hidden="false" customHeight="false" outlineLevel="0" collapsed="false">
      <c r="A742" s="5" t="s">
        <v>2614</v>
      </c>
      <c r="B742" s="2" t="s">
        <v>2615</v>
      </c>
      <c r="C742" s="5" t="s">
        <v>2128</v>
      </c>
      <c r="D742" s="5" t="s">
        <v>62</v>
      </c>
      <c r="E742" s="5" t="n">
        <v>7</v>
      </c>
      <c r="F742" s="5" t="s">
        <v>90</v>
      </c>
      <c r="G742" s="2" t="s">
        <v>2616</v>
      </c>
      <c r="H742" s="5" t="s">
        <v>8332</v>
      </c>
      <c r="I742" s="5" t="s">
        <v>60</v>
      </c>
      <c r="J742" s="5" t="s">
        <v>161</v>
      </c>
      <c r="K742" s="5" t="s">
        <v>2622</v>
      </c>
    </row>
    <row r="743" customFormat="false" ht="15" hidden="false" customHeight="false" outlineLevel="0" collapsed="false">
      <c r="A743" s="5" t="s">
        <v>10570</v>
      </c>
      <c r="B743" s="2" t="s">
        <v>10571</v>
      </c>
      <c r="C743" s="5" t="s">
        <v>2128</v>
      </c>
      <c r="D743" s="5" t="s">
        <v>62</v>
      </c>
      <c r="E743" s="5" t="n">
        <v>7</v>
      </c>
      <c r="F743" s="5" t="s">
        <v>9239</v>
      </c>
      <c r="G743" s="2" t="s">
        <v>2616</v>
      </c>
      <c r="H743" s="5" t="s">
        <v>8336</v>
      </c>
      <c r="I743" s="5"/>
      <c r="J743" s="5"/>
      <c r="K743" s="5" t="s">
        <v>10572</v>
      </c>
    </row>
    <row r="744" customFormat="false" ht="15" hidden="false" customHeight="false" outlineLevel="0" collapsed="false">
      <c r="A744" s="5" t="s">
        <v>10573</v>
      </c>
      <c r="B744" s="2" t="s">
        <v>10574</v>
      </c>
      <c r="C744" s="5" t="s">
        <v>2128</v>
      </c>
      <c r="D744" s="5" t="s">
        <v>62</v>
      </c>
      <c r="E744" s="5" t="n">
        <v>7</v>
      </c>
      <c r="F744" s="5" t="s">
        <v>8702</v>
      </c>
      <c r="G744" s="2" t="s">
        <v>2616</v>
      </c>
      <c r="H744" s="5" t="s">
        <v>8336</v>
      </c>
      <c r="I744" s="5"/>
      <c r="J744" s="5"/>
      <c r="K744" s="5" t="s">
        <v>10575</v>
      </c>
    </row>
    <row r="745" customFormat="false" ht="15" hidden="false" customHeight="false" outlineLevel="0" collapsed="false">
      <c r="A745" s="5" t="s">
        <v>10576</v>
      </c>
      <c r="B745" s="2" t="s">
        <v>10577</v>
      </c>
      <c r="C745" s="5" t="s">
        <v>2128</v>
      </c>
      <c r="D745" s="5" t="s">
        <v>62</v>
      </c>
      <c r="E745" s="5" t="n">
        <v>9</v>
      </c>
      <c r="F745" s="5" t="s">
        <v>9239</v>
      </c>
      <c r="G745" s="2" t="s">
        <v>2616</v>
      </c>
      <c r="H745" s="5" t="s">
        <v>8336</v>
      </c>
      <c r="I745" s="5"/>
      <c r="J745" s="5"/>
      <c r="K745" s="5" t="s">
        <v>10578</v>
      </c>
    </row>
    <row r="746" customFormat="false" ht="15" hidden="false" customHeight="false" outlineLevel="0" collapsed="false">
      <c r="A746" s="5" t="s">
        <v>10579</v>
      </c>
      <c r="B746" s="2" t="s">
        <v>10580</v>
      </c>
      <c r="C746" s="5" t="s">
        <v>2128</v>
      </c>
      <c r="D746" s="5" t="s">
        <v>62</v>
      </c>
      <c r="E746" s="5" t="n">
        <v>9</v>
      </c>
      <c r="F746" s="5" t="s">
        <v>9239</v>
      </c>
      <c r="G746" s="2" t="s">
        <v>2616</v>
      </c>
      <c r="H746" s="5" t="s">
        <v>8336</v>
      </c>
      <c r="I746" s="5"/>
      <c r="J746" s="5"/>
      <c r="K746" s="5" t="s">
        <v>10581</v>
      </c>
    </row>
    <row r="747" customFormat="false" ht="15" hidden="false" customHeight="false" outlineLevel="0" collapsed="false">
      <c r="A747" s="5" t="s">
        <v>10582</v>
      </c>
      <c r="B747" s="2" t="s">
        <v>10583</v>
      </c>
      <c r="C747" s="5" t="s">
        <v>2128</v>
      </c>
      <c r="D747" s="5" t="s">
        <v>62</v>
      </c>
      <c r="E747" s="5" t="n">
        <v>7</v>
      </c>
      <c r="F747" s="5" t="s">
        <v>9239</v>
      </c>
      <c r="G747" s="2" t="s">
        <v>2616</v>
      </c>
      <c r="H747" s="5" t="s">
        <v>8336</v>
      </c>
      <c r="I747" s="5"/>
      <c r="J747" s="5"/>
      <c r="K747" s="5" t="s">
        <v>10584</v>
      </c>
    </row>
    <row r="748" customFormat="false" ht="15" hidden="false" customHeight="false" outlineLevel="0" collapsed="false">
      <c r="A748" s="5" t="s">
        <v>10585</v>
      </c>
      <c r="B748" s="2" t="s">
        <v>10586</v>
      </c>
      <c r="C748" s="5" t="s">
        <v>2128</v>
      </c>
      <c r="D748" s="5" t="s">
        <v>62</v>
      </c>
      <c r="E748" s="5" t="n">
        <v>6</v>
      </c>
      <c r="F748" s="5" t="s">
        <v>8690</v>
      </c>
      <c r="G748" s="2" t="s">
        <v>10587</v>
      </c>
      <c r="H748" s="5" t="s">
        <v>8336</v>
      </c>
      <c r="I748" s="5"/>
      <c r="J748" s="5"/>
      <c r="K748" s="5" t="s">
        <v>10588</v>
      </c>
    </row>
    <row r="749" customFormat="false" ht="23.85" hidden="false" customHeight="false" outlineLevel="0" collapsed="false">
      <c r="A749" s="5" t="s">
        <v>2623</v>
      </c>
      <c r="B749" s="2" t="s">
        <v>2624</v>
      </c>
      <c r="C749" s="5" t="s">
        <v>2128</v>
      </c>
      <c r="D749" s="5" t="s">
        <v>62</v>
      </c>
      <c r="E749" s="5" t="n">
        <v>9</v>
      </c>
      <c r="F749" s="5" t="s">
        <v>284</v>
      </c>
      <c r="G749" s="2" t="s">
        <v>2626</v>
      </c>
      <c r="H749" s="5" t="s">
        <v>8332</v>
      </c>
      <c r="I749" s="5" t="s">
        <v>60</v>
      </c>
      <c r="J749" s="5" t="s">
        <v>2591</v>
      </c>
      <c r="K749" s="5" t="s">
        <v>2634</v>
      </c>
    </row>
    <row r="750" customFormat="false" ht="23.85" hidden="false" customHeight="false" outlineLevel="0" collapsed="false">
      <c r="A750" s="5" t="s">
        <v>10589</v>
      </c>
      <c r="B750" s="2" t="s">
        <v>10590</v>
      </c>
      <c r="C750" s="5" t="s">
        <v>2128</v>
      </c>
      <c r="D750" s="5" t="s">
        <v>62</v>
      </c>
      <c r="E750" s="5" t="n">
        <v>9</v>
      </c>
      <c r="F750" s="5" t="s">
        <v>536</v>
      </c>
      <c r="G750" s="2" t="s">
        <v>1513</v>
      </c>
      <c r="H750" s="5" t="s">
        <v>8336</v>
      </c>
      <c r="I750" s="5"/>
      <c r="J750" s="5"/>
      <c r="K750" s="5" t="s">
        <v>10591</v>
      </c>
    </row>
    <row r="751" customFormat="false" ht="15" hidden="false" customHeight="false" outlineLevel="0" collapsed="false">
      <c r="A751" s="5" t="s">
        <v>10592</v>
      </c>
      <c r="B751" s="2" t="s">
        <v>10593</v>
      </c>
      <c r="C751" s="5" t="s">
        <v>2128</v>
      </c>
      <c r="D751" s="5" t="s">
        <v>62</v>
      </c>
      <c r="E751" s="5" t="n">
        <v>9</v>
      </c>
      <c r="F751" s="5" t="s">
        <v>10470</v>
      </c>
      <c r="G751" s="2" t="s">
        <v>10594</v>
      </c>
      <c r="H751" s="5" t="s">
        <v>8336</v>
      </c>
      <c r="I751" s="5"/>
      <c r="J751" s="5"/>
      <c r="K751" s="5" t="s">
        <v>10595</v>
      </c>
    </row>
    <row r="752" customFormat="false" ht="15" hidden="false" customHeight="false" outlineLevel="0" collapsed="false">
      <c r="A752" s="5" t="s">
        <v>10596</v>
      </c>
      <c r="B752" s="2" t="s">
        <v>10597</v>
      </c>
      <c r="C752" s="5" t="s">
        <v>2128</v>
      </c>
      <c r="D752" s="5" t="s">
        <v>62</v>
      </c>
      <c r="E752" s="5" t="n">
        <v>5</v>
      </c>
      <c r="F752" s="5" t="s">
        <v>9196</v>
      </c>
      <c r="G752" s="2" t="s">
        <v>2376</v>
      </c>
      <c r="H752" s="5" t="s">
        <v>8336</v>
      </c>
      <c r="I752" s="5"/>
      <c r="J752" s="5"/>
      <c r="K752" s="5" t="s">
        <v>10598</v>
      </c>
    </row>
    <row r="753" customFormat="false" ht="15" hidden="false" customHeight="false" outlineLevel="0" collapsed="false">
      <c r="A753" s="5" t="s">
        <v>10599</v>
      </c>
      <c r="B753" s="2" t="s">
        <v>10600</v>
      </c>
      <c r="C753" s="5" t="s">
        <v>2128</v>
      </c>
      <c r="D753" s="5" t="s">
        <v>62</v>
      </c>
      <c r="E753" s="5" t="n">
        <v>5</v>
      </c>
      <c r="F753" s="5" t="s">
        <v>67</v>
      </c>
      <c r="G753" s="2" t="s">
        <v>173</v>
      </c>
      <c r="H753" s="5" t="s">
        <v>8336</v>
      </c>
      <c r="I753" s="5"/>
      <c r="J753" s="5"/>
      <c r="K753" s="5" t="s">
        <v>10601</v>
      </c>
    </row>
    <row r="754" customFormat="false" ht="35.05" hidden="false" customHeight="false" outlineLevel="0" collapsed="false">
      <c r="A754" s="5" t="s">
        <v>10602</v>
      </c>
      <c r="B754" s="2" t="s">
        <v>10603</v>
      </c>
      <c r="C754" s="5" t="s">
        <v>2128</v>
      </c>
      <c r="D754" s="5" t="s">
        <v>62</v>
      </c>
      <c r="E754" s="5" t="n">
        <v>9</v>
      </c>
      <c r="F754" s="5" t="s">
        <v>1210</v>
      </c>
      <c r="G754" s="2" t="s">
        <v>10604</v>
      </c>
      <c r="H754" s="5" t="s">
        <v>8336</v>
      </c>
      <c r="I754" s="5"/>
      <c r="J754" s="5"/>
      <c r="K754" s="5" t="s">
        <v>10605</v>
      </c>
    </row>
    <row r="755" customFormat="false" ht="35.05" hidden="false" customHeight="false" outlineLevel="0" collapsed="false">
      <c r="A755" s="5" t="s">
        <v>10606</v>
      </c>
      <c r="B755" s="2" t="s">
        <v>10607</v>
      </c>
      <c r="C755" s="5" t="s">
        <v>2128</v>
      </c>
      <c r="D755" s="5" t="s">
        <v>62</v>
      </c>
      <c r="E755" s="5" t="n">
        <v>9</v>
      </c>
      <c r="F755" s="5" t="s">
        <v>8795</v>
      </c>
      <c r="G755" s="2" t="s">
        <v>10604</v>
      </c>
      <c r="H755" s="5" t="s">
        <v>8336</v>
      </c>
      <c r="I755" s="5"/>
      <c r="J755" s="5"/>
      <c r="K755" s="5" t="s">
        <v>10608</v>
      </c>
    </row>
    <row r="756" customFormat="false" ht="35.05" hidden="false" customHeight="false" outlineLevel="0" collapsed="false">
      <c r="A756" s="5" t="s">
        <v>4955</v>
      </c>
      <c r="B756" s="2" t="s">
        <v>4956</v>
      </c>
      <c r="C756" s="5" t="s">
        <v>2128</v>
      </c>
      <c r="D756" s="5" t="s">
        <v>62</v>
      </c>
      <c r="E756" s="5" t="n">
        <v>9</v>
      </c>
      <c r="F756" s="5" t="s">
        <v>100</v>
      </c>
      <c r="G756" s="2" t="s">
        <v>10604</v>
      </c>
      <c r="H756" s="5" t="s">
        <v>8332</v>
      </c>
      <c r="I756" s="5" t="s">
        <v>4760</v>
      </c>
      <c r="J756" s="5" t="s">
        <v>100</v>
      </c>
      <c r="K756" s="5" t="s">
        <v>4964</v>
      </c>
    </row>
    <row r="757" customFormat="false" ht="35.05" hidden="false" customHeight="false" outlineLevel="0" collapsed="false">
      <c r="A757" s="5" t="s">
        <v>10609</v>
      </c>
      <c r="B757" s="2" t="s">
        <v>10610</v>
      </c>
      <c r="C757" s="5" t="s">
        <v>2128</v>
      </c>
      <c r="D757" s="5" t="s">
        <v>62</v>
      </c>
      <c r="E757" s="5" t="n">
        <v>9</v>
      </c>
      <c r="F757" s="5" t="s">
        <v>67</v>
      </c>
      <c r="G757" s="2" t="s">
        <v>10604</v>
      </c>
      <c r="H757" s="5" t="s">
        <v>8336</v>
      </c>
      <c r="I757" s="5"/>
      <c r="J757" s="5"/>
      <c r="K757" s="5" t="s">
        <v>10611</v>
      </c>
    </row>
    <row r="758" customFormat="false" ht="35.05" hidden="false" customHeight="false" outlineLevel="0" collapsed="false">
      <c r="A758" s="5" t="s">
        <v>10612</v>
      </c>
      <c r="B758" s="2" t="s">
        <v>10613</v>
      </c>
      <c r="C758" s="5" t="s">
        <v>2128</v>
      </c>
      <c r="D758" s="5" t="s">
        <v>62</v>
      </c>
      <c r="E758" s="5" t="n">
        <v>9</v>
      </c>
      <c r="F758" s="5" t="s">
        <v>277</v>
      </c>
      <c r="G758" s="2" t="s">
        <v>10604</v>
      </c>
      <c r="H758" s="5" t="s">
        <v>8336</v>
      </c>
      <c r="I758" s="5"/>
      <c r="J758" s="5"/>
      <c r="K758" s="5" t="s">
        <v>10614</v>
      </c>
    </row>
    <row r="759" customFormat="false" ht="35.05" hidden="false" customHeight="false" outlineLevel="0" collapsed="false">
      <c r="A759" s="5" t="s">
        <v>10615</v>
      </c>
      <c r="B759" s="2" t="s">
        <v>10616</v>
      </c>
      <c r="C759" s="5" t="s">
        <v>2128</v>
      </c>
      <c r="D759" s="5" t="s">
        <v>62</v>
      </c>
      <c r="E759" s="5" t="n">
        <v>9</v>
      </c>
      <c r="F759" s="5" t="s">
        <v>413</v>
      </c>
      <c r="G759" s="2" t="s">
        <v>10604</v>
      </c>
      <c r="H759" s="5" t="s">
        <v>8336</v>
      </c>
      <c r="I759" s="5"/>
      <c r="J759" s="5"/>
      <c r="K759" s="5" t="s">
        <v>10617</v>
      </c>
    </row>
    <row r="760" customFormat="false" ht="35.05" hidden="false" customHeight="false" outlineLevel="0" collapsed="false">
      <c r="A760" s="5" t="s">
        <v>10618</v>
      </c>
      <c r="B760" s="2" t="s">
        <v>10619</v>
      </c>
      <c r="C760" s="5" t="s">
        <v>2128</v>
      </c>
      <c r="D760" s="5" t="s">
        <v>62</v>
      </c>
      <c r="E760" s="5" t="n">
        <v>9</v>
      </c>
      <c r="F760" s="5" t="s">
        <v>8902</v>
      </c>
      <c r="G760" s="2" t="s">
        <v>10604</v>
      </c>
      <c r="H760" s="5" t="s">
        <v>8336</v>
      </c>
      <c r="I760" s="5"/>
      <c r="J760" s="5"/>
      <c r="K760" s="5" t="s">
        <v>10620</v>
      </c>
    </row>
    <row r="761" customFormat="false" ht="35.05" hidden="false" customHeight="false" outlineLevel="0" collapsed="false">
      <c r="A761" s="5" t="s">
        <v>10621</v>
      </c>
      <c r="B761" s="2" t="s">
        <v>10622</v>
      </c>
      <c r="C761" s="5" t="s">
        <v>2128</v>
      </c>
      <c r="D761" s="5" t="s">
        <v>62</v>
      </c>
      <c r="E761" s="5" t="n">
        <v>9</v>
      </c>
      <c r="F761" s="5" t="s">
        <v>536</v>
      </c>
      <c r="G761" s="2" t="s">
        <v>10604</v>
      </c>
      <c r="H761" s="5" t="s">
        <v>8336</v>
      </c>
      <c r="I761" s="5"/>
      <c r="J761" s="5"/>
      <c r="K761" s="5" t="s">
        <v>10623</v>
      </c>
    </row>
    <row r="762" customFormat="false" ht="35.05" hidden="false" customHeight="false" outlineLevel="0" collapsed="false">
      <c r="A762" s="5" t="s">
        <v>10624</v>
      </c>
      <c r="B762" s="2" t="s">
        <v>10625</v>
      </c>
      <c r="C762" s="5" t="s">
        <v>2128</v>
      </c>
      <c r="D762" s="5" t="s">
        <v>62</v>
      </c>
      <c r="E762" s="5" t="n">
        <v>9</v>
      </c>
      <c r="F762" s="5" t="s">
        <v>2154</v>
      </c>
      <c r="G762" s="2" t="s">
        <v>10604</v>
      </c>
      <c r="H762" s="5" t="s">
        <v>8336</v>
      </c>
      <c r="I762" s="5"/>
      <c r="J762" s="5"/>
      <c r="K762" s="5" t="s">
        <v>10626</v>
      </c>
    </row>
    <row r="763" customFormat="false" ht="35.05" hidden="false" customHeight="false" outlineLevel="0" collapsed="false">
      <c r="A763" s="5" t="s">
        <v>10627</v>
      </c>
      <c r="B763" s="2" t="s">
        <v>10628</v>
      </c>
      <c r="C763" s="5" t="s">
        <v>2128</v>
      </c>
      <c r="D763" s="5" t="s">
        <v>62</v>
      </c>
      <c r="E763" s="5" t="n">
        <v>9</v>
      </c>
      <c r="F763" s="5" t="s">
        <v>544</v>
      </c>
      <c r="G763" s="2" t="s">
        <v>10604</v>
      </c>
      <c r="H763" s="5" t="s">
        <v>8336</v>
      </c>
      <c r="I763" s="5"/>
      <c r="J763" s="5"/>
      <c r="K763" s="5" t="s">
        <v>10629</v>
      </c>
    </row>
    <row r="764" customFormat="false" ht="35.05" hidden="false" customHeight="false" outlineLevel="0" collapsed="false">
      <c r="A764" s="5" t="s">
        <v>4965</v>
      </c>
      <c r="B764" s="2" t="s">
        <v>4966</v>
      </c>
      <c r="C764" s="5" t="s">
        <v>2128</v>
      </c>
      <c r="D764" s="5" t="s">
        <v>62</v>
      </c>
      <c r="E764" s="5" t="n">
        <v>9</v>
      </c>
      <c r="F764" s="5" t="s">
        <v>2079</v>
      </c>
      <c r="G764" s="2" t="s">
        <v>10604</v>
      </c>
      <c r="H764" s="5" t="s">
        <v>8332</v>
      </c>
      <c r="I764" s="5" t="s">
        <v>4760</v>
      </c>
      <c r="J764" s="5" t="s">
        <v>2079</v>
      </c>
      <c r="K764" s="5" t="s">
        <v>4970</v>
      </c>
    </row>
    <row r="765" customFormat="false" ht="35.05" hidden="false" customHeight="false" outlineLevel="0" collapsed="false">
      <c r="A765" s="5" t="s">
        <v>10630</v>
      </c>
      <c r="B765" s="2" t="s">
        <v>10631</v>
      </c>
      <c r="C765" s="5" t="s">
        <v>2128</v>
      </c>
      <c r="D765" s="5" t="s">
        <v>62</v>
      </c>
      <c r="E765" s="5" t="n">
        <v>9</v>
      </c>
      <c r="F765" s="5" t="s">
        <v>413</v>
      </c>
      <c r="G765" s="2" t="s">
        <v>10604</v>
      </c>
      <c r="H765" s="5" t="s">
        <v>8336</v>
      </c>
      <c r="I765" s="5"/>
      <c r="J765" s="5"/>
      <c r="K765" s="5" t="s">
        <v>10632</v>
      </c>
    </row>
    <row r="766" customFormat="false" ht="35.05" hidden="false" customHeight="false" outlineLevel="0" collapsed="false">
      <c r="A766" s="5" t="s">
        <v>10633</v>
      </c>
      <c r="B766" s="2" t="s">
        <v>10634</v>
      </c>
      <c r="C766" s="5" t="s">
        <v>2128</v>
      </c>
      <c r="D766" s="5" t="s">
        <v>62</v>
      </c>
      <c r="E766" s="5" t="n">
        <v>9</v>
      </c>
      <c r="F766" s="5" t="s">
        <v>90</v>
      </c>
      <c r="G766" s="2" t="s">
        <v>10604</v>
      </c>
      <c r="H766" s="5" t="s">
        <v>8336</v>
      </c>
      <c r="I766" s="5"/>
      <c r="J766" s="5"/>
      <c r="K766" s="5" t="s">
        <v>10635</v>
      </c>
    </row>
    <row r="767" customFormat="false" ht="35.05" hidden="false" customHeight="false" outlineLevel="0" collapsed="false">
      <c r="A767" s="5" t="s">
        <v>4971</v>
      </c>
      <c r="B767" s="2" t="s">
        <v>4972</v>
      </c>
      <c r="C767" s="5" t="s">
        <v>2128</v>
      </c>
      <c r="D767" s="5" t="s">
        <v>62</v>
      </c>
      <c r="E767" s="5" t="n">
        <v>9</v>
      </c>
      <c r="F767" s="5" t="s">
        <v>481</v>
      </c>
      <c r="G767" s="2" t="s">
        <v>10604</v>
      </c>
      <c r="H767" s="5" t="s">
        <v>8332</v>
      </c>
      <c r="I767" s="5" t="s">
        <v>4760</v>
      </c>
      <c r="J767" s="5" t="s">
        <v>481</v>
      </c>
      <c r="K767" s="5" t="s">
        <v>4976</v>
      </c>
    </row>
    <row r="768" customFormat="false" ht="35.05" hidden="false" customHeight="false" outlineLevel="0" collapsed="false">
      <c r="A768" s="5" t="s">
        <v>10636</v>
      </c>
      <c r="B768" s="2" t="s">
        <v>10637</v>
      </c>
      <c r="C768" s="5" t="s">
        <v>2128</v>
      </c>
      <c r="D768" s="5" t="s">
        <v>62</v>
      </c>
      <c r="E768" s="5" t="n">
        <v>9</v>
      </c>
      <c r="F768" s="5" t="s">
        <v>10470</v>
      </c>
      <c r="G768" s="2" t="s">
        <v>10604</v>
      </c>
      <c r="H768" s="5" t="s">
        <v>8336</v>
      </c>
      <c r="I768" s="5"/>
      <c r="J768" s="5"/>
      <c r="K768" s="5" t="s">
        <v>10638</v>
      </c>
    </row>
    <row r="769" customFormat="false" ht="35.05" hidden="false" customHeight="false" outlineLevel="0" collapsed="false">
      <c r="A769" s="5" t="s">
        <v>10639</v>
      </c>
      <c r="B769" s="2" t="s">
        <v>10640</v>
      </c>
      <c r="C769" s="5" t="s">
        <v>2128</v>
      </c>
      <c r="D769" s="5" t="s">
        <v>62</v>
      </c>
      <c r="E769" s="5" t="n">
        <v>9</v>
      </c>
      <c r="F769" s="5" t="s">
        <v>284</v>
      </c>
      <c r="G769" s="2" t="s">
        <v>10604</v>
      </c>
      <c r="H769" s="5" t="s">
        <v>8336</v>
      </c>
      <c r="I769" s="5"/>
      <c r="J769" s="5"/>
      <c r="K769" s="5" t="s">
        <v>10641</v>
      </c>
    </row>
    <row r="770" customFormat="false" ht="35.05" hidden="false" customHeight="false" outlineLevel="0" collapsed="false">
      <c r="A770" s="5" t="s">
        <v>10642</v>
      </c>
      <c r="B770" s="2" t="s">
        <v>10643</v>
      </c>
      <c r="C770" s="5" t="s">
        <v>2128</v>
      </c>
      <c r="D770" s="5" t="s">
        <v>62</v>
      </c>
      <c r="E770" s="5" t="n">
        <v>6</v>
      </c>
      <c r="F770" s="5" t="s">
        <v>1210</v>
      </c>
      <c r="G770" s="2" t="s">
        <v>10604</v>
      </c>
      <c r="H770" s="5" t="s">
        <v>8336</v>
      </c>
      <c r="I770" s="5"/>
      <c r="J770" s="5"/>
      <c r="K770" s="5" t="s">
        <v>10644</v>
      </c>
    </row>
    <row r="771" customFormat="false" ht="35.05" hidden="false" customHeight="false" outlineLevel="0" collapsed="false">
      <c r="A771" s="5" t="s">
        <v>10645</v>
      </c>
      <c r="B771" s="2" t="s">
        <v>10646</v>
      </c>
      <c r="C771" s="5" t="s">
        <v>2128</v>
      </c>
      <c r="D771" s="5" t="s">
        <v>62</v>
      </c>
      <c r="E771" s="5" t="n">
        <v>6</v>
      </c>
      <c r="F771" s="5" t="s">
        <v>8795</v>
      </c>
      <c r="G771" s="2" t="s">
        <v>10604</v>
      </c>
      <c r="H771" s="5" t="s">
        <v>8336</v>
      </c>
      <c r="I771" s="5"/>
      <c r="J771" s="5"/>
      <c r="K771" s="5" t="s">
        <v>10647</v>
      </c>
    </row>
    <row r="772" customFormat="false" ht="35.05" hidden="false" customHeight="false" outlineLevel="0" collapsed="false">
      <c r="A772" s="5" t="s">
        <v>4977</v>
      </c>
      <c r="B772" s="2" t="s">
        <v>4978</v>
      </c>
      <c r="C772" s="5" t="s">
        <v>2128</v>
      </c>
      <c r="D772" s="5" t="s">
        <v>62</v>
      </c>
      <c r="E772" s="5" t="n">
        <v>6</v>
      </c>
      <c r="F772" s="5" t="s">
        <v>100</v>
      </c>
      <c r="G772" s="2" t="s">
        <v>10604</v>
      </c>
      <c r="H772" s="5" t="s">
        <v>8332</v>
      </c>
      <c r="I772" s="5" t="s">
        <v>4760</v>
      </c>
      <c r="J772" s="5" t="s">
        <v>100</v>
      </c>
      <c r="K772" s="5" t="s">
        <v>4981</v>
      </c>
    </row>
    <row r="773" customFormat="false" ht="35.05" hidden="false" customHeight="false" outlineLevel="0" collapsed="false">
      <c r="A773" s="5" t="s">
        <v>10648</v>
      </c>
      <c r="B773" s="2" t="s">
        <v>10649</v>
      </c>
      <c r="C773" s="5" t="s">
        <v>2128</v>
      </c>
      <c r="D773" s="5" t="s">
        <v>62</v>
      </c>
      <c r="E773" s="5" t="n">
        <v>6</v>
      </c>
      <c r="F773" s="5" t="s">
        <v>67</v>
      </c>
      <c r="G773" s="2" t="s">
        <v>10604</v>
      </c>
      <c r="H773" s="5" t="s">
        <v>8336</v>
      </c>
      <c r="I773" s="5"/>
      <c r="J773" s="5"/>
      <c r="K773" s="5" t="s">
        <v>10650</v>
      </c>
    </row>
    <row r="774" customFormat="false" ht="35.05" hidden="false" customHeight="false" outlineLevel="0" collapsed="false">
      <c r="A774" s="5" t="s">
        <v>10651</v>
      </c>
      <c r="B774" s="2" t="s">
        <v>10652</v>
      </c>
      <c r="C774" s="5" t="s">
        <v>2128</v>
      </c>
      <c r="D774" s="5" t="s">
        <v>62</v>
      </c>
      <c r="E774" s="5" t="n">
        <v>6</v>
      </c>
      <c r="F774" s="5" t="s">
        <v>277</v>
      </c>
      <c r="G774" s="2" t="s">
        <v>10604</v>
      </c>
      <c r="H774" s="5" t="s">
        <v>8336</v>
      </c>
      <c r="I774" s="5"/>
      <c r="J774" s="5"/>
      <c r="K774" s="5" t="s">
        <v>10653</v>
      </c>
    </row>
    <row r="775" customFormat="false" ht="35.05" hidden="false" customHeight="false" outlineLevel="0" collapsed="false">
      <c r="A775" s="5" t="s">
        <v>10654</v>
      </c>
      <c r="B775" s="2" t="s">
        <v>10655</v>
      </c>
      <c r="C775" s="5" t="s">
        <v>2128</v>
      </c>
      <c r="D775" s="5" t="s">
        <v>62</v>
      </c>
      <c r="E775" s="5" t="n">
        <v>6</v>
      </c>
      <c r="F775" s="5" t="s">
        <v>413</v>
      </c>
      <c r="G775" s="2" t="s">
        <v>10604</v>
      </c>
      <c r="H775" s="5" t="s">
        <v>8336</v>
      </c>
      <c r="I775" s="5"/>
      <c r="J775" s="5"/>
      <c r="K775" s="5" t="s">
        <v>10656</v>
      </c>
    </row>
    <row r="776" customFormat="false" ht="35.05" hidden="false" customHeight="false" outlineLevel="0" collapsed="false">
      <c r="A776" s="5" t="s">
        <v>10657</v>
      </c>
      <c r="B776" s="2" t="s">
        <v>10658</v>
      </c>
      <c r="C776" s="5" t="s">
        <v>2128</v>
      </c>
      <c r="D776" s="5" t="s">
        <v>62</v>
      </c>
      <c r="E776" s="5" t="n">
        <v>6</v>
      </c>
      <c r="F776" s="5" t="s">
        <v>8902</v>
      </c>
      <c r="G776" s="2" t="s">
        <v>10604</v>
      </c>
      <c r="H776" s="5" t="s">
        <v>8336</v>
      </c>
      <c r="I776" s="5"/>
      <c r="J776" s="5"/>
      <c r="K776" s="5" t="s">
        <v>10659</v>
      </c>
    </row>
    <row r="777" customFormat="false" ht="35.05" hidden="false" customHeight="false" outlineLevel="0" collapsed="false">
      <c r="A777" s="5" t="s">
        <v>10660</v>
      </c>
      <c r="B777" s="2" t="s">
        <v>10661</v>
      </c>
      <c r="C777" s="5" t="s">
        <v>2128</v>
      </c>
      <c r="D777" s="5" t="s">
        <v>62</v>
      </c>
      <c r="E777" s="5" t="n">
        <v>6</v>
      </c>
      <c r="F777" s="5" t="s">
        <v>536</v>
      </c>
      <c r="G777" s="2" t="s">
        <v>10604</v>
      </c>
      <c r="H777" s="5" t="s">
        <v>8336</v>
      </c>
      <c r="I777" s="5"/>
      <c r="J777" s="5"/>
      <c r="K777" s="5" t="s">
        <v>10662</v>
      </c>
    </row>
    <row r="778" customFormat="false" ht="35.05" hidden="false" customHeight="false" outlineLevel="0" collapsed="false">
      <c r="A778" s="5" t="s">
        <v>10663</v>
      </c>
      <c r="B778" s="2" t="s">
        <v>10664</v>
      </c>
      <c r="C778" s="5" t="s">
        <v>2128</v>
      </c>
      <c r="D778" s="5" t="s">
        <v>62</v>
      </c>
      <c r="E778" s="5" t="n">
        <v>7</v>
      </c>
      <c r="F778" s="5" t="s">
        <v>2154</v>
      </c>
      <c r="G778" s="2" t="s">
        <v>10604</v>
      </c>
      <c r="H778" s="5" t="s">
        <v>8336</v>
      </c>
      <c r="I778" s="5"/>
      <c r="J778" s="5"/>
      <c r="K778" s="5" t="s">
        <v>10665</v>
      </c>
    </row>
    <row r="779" customFormat="false" ht="35.05" hidden="false" customHeight="false" outlineLevel="0" collapsed="false">
      <c r="A779" s="5" t="s">
        <v>10666</v>
      </c>
      <c r="B779" s="2" t="s">
        <v>10667</v>
      </c>
      <c r="C779" s="5" t="s">
        <v>2128</v>
      </c>
      <c r="D779" s="5" t="s">
        <v>62</v>
      </c>
      <c r="E779" s="5" t="n">
        <v>6</v>
      </c>
      <c r="F779" s="5" t="s">
        <v>544</v>
      </c>
      <c r="G779" s="2" t="s">
        <v>10604</v>
      </c>
      <c r="H779" s="5" t="s">
        <v>8336</v>
      </c>
      <c r="I779" s="5"/>
      <c r="J779" s="5"/>
      <c r="K779" s="5" t="s">
        <v>10668</v>
      </c>
    </row>
    <row r="780" customFormat="false" ht="35.05" hidden="false" customHeight="false" outlineLevel="0" collapsed="false">
      <c r="A780" s="5" t="s">
        <v>4982</v>
      </c>
      <c r="B780" s="2" t="s">
        <v>4983</v>
      </c>
      <c r="C780" s="5" t="s">
        <v>2128</v>
      </c>
      <c r="D780" s="5" t="s">
        <v>62</v>
      </c>
      <c r="E780" s="5" t="n">
        <v>6</v>
      </c>
      <c r="F780" s="5" t="s">
        <v>2079</v>
      </c>
      <c r="G780" s="2" t="s">
        <v>10604</v>
      </c>
      <c r="H780" s="5" t="s">
        <v>8332</v>
      </c>
      <c r="I780" s="5" t="s">
        <v>4760</v>
      </c>
      <c r="J780" s="5" t="s">
        <v>2079</v>
      </c>
      <c r="K780" s="5" t="s">
        <v>4985</v>
      </c>
    </row>
    <row r="781" customFormat="false" ht="35.05" hidden="false" customHeight="false" outlineLevel="0" collapsed="false">
      <c r="A781" s="5" t="s">
        <v>10669</v>
      </c>
      <c r="B781" s="2" t="s">
        <v>10670</v>
      </c>
      <c r="C781" s="5" t="s">
        <v>2128</v>
      </c>
      <c r="D781" s="5" t="s">
        <v>62</v>
      </c>
      <c r="E781" s="5" t="n">
        <v>6</v>
      </c>
      <c r="F781" s="5" t="s">
        <v>413</v>
      </c>
      <c r="G781" s="2" t="s">
        <v>10604</v>
      </c>
      <c r="H781" s="5" t="s">
        <v>8336</v>
      </c>
      <c r="I781" s="5"/>
      <c r="J781" s="5"/>
      <c r="K781" s="5" t="s">
        <v>10671</v>
      </c>
    </row>
    <row r="782" customFormat="false" ht="35.05" hidden="false" customHeight="false" outlineLevel="0" collapsed="false">
      <c r="A782" s="5" t="s">
        <v>10672</v>
      </c>
      <c r="B782" s="2" t="s">
        <v>10673</v>
      </c>
      <c r="C782" s="5" t="s">
        <v>2128</v>
      </c>
      <c r="D782" s="5" t="s">
        <v>62</v>
      </c>
      <c r="E782" s="5" t="n">
        <v>6</v>
      </c>
      <c r="F782" s="5" t="s">
        <v>90</v>
      </c>
      <c r="G782" s="2" t="s">
        <v>10604</v>
      </c>
      <c r="H782" s="5" t="s">
        <v>8336</v>
      </c>
      <c r="I782" s="5"/>
      <c r="J782" s="5"/>
      <c r="K782" s="5" t="s">
        <v>10674</v>
      </c>
    </row>
    <row r="783" customFormat="false" ht="35.05" hidden="false" customHeight="false" outlineLevel="0" collapsed="false">
      <c r="A783" s="5" t="s">
        <v>4986</v>
      </c>
      <c r="B783" s="2" t="s">
        <v>4987</v>
      </c>
      <c r="C783" s="5" t="s">
        <v>2128</v>
      </c>
      <c r="D783" s="5" t="s">
        <v>62</v>
      </c>
      <c r="E783" s="5" t="n">
        <v>6</v>
      </c>
      <c r="F783" s="5" t="s">
        <v>481</v>
      </c>
      <c r="G783" s="2" t="s">
        <v>10604</v>
      </c>
      <c r="H783" s="5" t="s">
        <v>8332</v>
      </c>
      <c r="I783" s="5" t="s">
        <v>4760</v>
      </c>
      <c r="J783" s="5" t="s">
        <v>481</v>
      </c>
      <c r="K783" s="5" t="s">
        <v>4989</v>
      </c>
    </row>
    <row r="784" customFormat="false" ht="35.05" hidden="false" customHeight="false" outlineLevel="0" collapsed="false">
      <c r="A784" s="5" t="s">
        <v>10675</v>
      </c>
      <c r="B784" s="2" t="s">
        <v>10676</v>
      </c>
      <c r="C784" s="5" t="s">
        <v>2128</v>
      </c>
      <c r="D784" s="5" t="s">
        <v>62</v>
      </c>
      <c r="E784" s="5" t="n">
        <v>6</v>
      </c>
      <c r="F784" s="5" t="s">
        <v>10470</v>
      </c>
      <c r="G784" s="2" t="s">
        <v>10604</v>
      </c>
      <c r="H784" s="5" t="s">
        <v>8336</v>
      </c>
      <c r="I784" s="5"/>
      <c r="J784" s="5"/>
      <c r="K784" s="5" t="s">
        <v>10677</v>
      </c>
    </row>
    <row r="785" customFormat="false" ht="35.05" hidden="false" customHeight="false" outlineLevel="0" collapsed="false">
      <c r="A785" s="5" t="s">
        <v>10678</v>
      </c>
      <c r="B785" s="2" t="s">
        <v>10679</v>
      </c>
      <c r="C785" s="5" t="s">
        <v>2128</v>
      </c>
      <c r="D785" s="5" t="s">
        <v>62</v>
      </c>
      <c r="E785" s="5" t="n">
        <v>6</v>
      </c>
      <c r="F785" s="5" t="s">
        <v>284</v>
      </c>
      <c r="G785" s="2" t="s">
        <v>10604</v>
      </c>
      <c r="H785" s="5" t="s">
        <v>8336</v>
      </c>
      <c r="I785" s="5"/>
      <c r="J785" s="5"/>
      <c r="K785" s="5" t="s">
        <v>10680</v>
      </c>
    </row>
    <row r="786" customFormat="false" ht="23.85" hidden="false" customHeight="false" outlineLevel="0" collapsed="false">
      <c r="A786" s="5" t="s">
        <v>2635</v>
      </c>
      <c r="B786" s="2" t="s">
        <v>2636</v>
      </c>
      <c r="C786" s="5" t="s">
        <v>2128</v>
      </c>
      <c r="D786" s="5" t="s">
        <v>62</v>
      </c>
      <c r="E786" s="5" t="n">
        <v>9</v>
      </c>
      <c r="F786" s="5" t="s">
        <v>536</v>
      </c>
      <c r="G786" s="2" t="s">
        <v>593</v>
      </c>
      <c r="H786" s="5" t="s">
        <v>8332</v>
      </c>
      <c r="I786" s="5" t="s">
        <v>60</v>
      </c>
      <c r="J786" s="5" t="s">
        <v>161</v>
      </c>
      <c r="K786" s="5" t="s">
        <v>2641</v>
      </c>
    </row>
    <row r="787" customFormat="false" ht="23.85" hidden="false" customHeight="false" outlineLevel="0" collapsed="false">
      <c r="A787" s="5" t="s">
        <v>10681</v>
      </c>
      <c r="B787" s="2" t="s">
        <v>10682</v>
      </c>
      <c r="C787" s="5" t="s">
        <v>2128</v>
      </c>
      <c r="D787" s="5" t="s">
        <v>62</v>
      </c>
      <c r="E787" s="5" t="n">
        <v>9</v>
      </c>
      <c r="F787" s="5" t="s">
        <v>413</v>
      </c>
      <c r="G787" s="2" t="s">
        <v>8682</v>
      </c>
      <c r="H787" s="5" t="s">
        <v>8336</v>
      </c>
      <c r="I787" s="5"/>
      <c r="J787" s="5"/>
      <c r="K787" s="5" t="s">
        <v>10683</v>
      </c>
    </row>
    <row r="788" customFormat="false" ht="23.85" hidden="false" customHeight="false" outlineLevel="0" collapsed="false">
      <c r="A788" s="5" t="s">
        <v>10684</v>
      </c>
      <c r="B788" s="2" t="s">
        <v>10685</v>
      </c>
      <c r="C788" s="5" t="s">
        <v>2128</v>
      </c>
      <c r="D788" s="5" t="s">
        <v>62</v>
      </c>
      <c r="E788" s="5" t="n">
        <v>7</v>
      </c>
      <c r="F788" s="5" t="s">
        <v>277</v>
      </c>
      <c r="G788" s="2" t="s">
        <v>8682</v>
      </c>
      <c r="H788" s="5" t="s">
        <v>8336</v>
      </c>
      <c r="I788" s="5"/>
      <c r="J788" s="5"/>
      <c r="K788" s="5" t="s">
        <v>10686</v>
      </c>
    </row>
    <row r="789" customFormat="false" ht="91" hidden="false" customHeight="false" outlineLevel="0" collapsed="false">
      <c r="A789" s="5" t="s">
        <v>783</v>
      </c>
      <c r="B789" s="2" t="s">
        <v>784</v>
      </c>
      <c r="C789" s="5" t="s">
        <v>488</v>
      </c>
      <c r="D789" s="5" t="s">
        <v>62</v>
      </c>
      <c r="E789" s="5" t="n">
        <v>9</v>
      </c>
      <c r="F789" s="5" t="s">
        <v>100</v>
      </c>
      <c r="G789" s="2" t="s">
        <v>10687</v>
      </c>
      <c r="H789" s="5" t="s">
        <v>8332</v>
      </c>
      <c r="I789" s="5" t="s">
        <v>60</v>
      </c>
      <c r="J789" s="5" t="s">
        <v>489</v>
      </c>
      <c r="K789" s="5" t="s">
        <v>794</v>
      </c>
    </row>
    <row r="790" customFormat="false" ht="15" hidden="false" customHeight="false" outlineLevel="0" collapsed="false">
      <c r="A790" s="5" t="s">
        <v>795</v>
      </c>
      <c r="B790" s="2" t="s">
        <v>796</v>
      </c>
      <c r="C790" s="5" t="s">
        <v>488</v>
      </c>
      <c r="D790" s="5" t="s">
        <v>62</v>
      </c>
      <c r="E790" s="5" t="n">
        <v>9</v>
      </c>
      <c r="F790" s="5" t="s">
        <v>100</v>
      </c>
      <c r="G790" s="2" t="s">
        <v>10688</v>
      </c>
      <c r="H790" s="5" t="s">
        <v>8332</v>
      </c>
      <c r="I790" s="5" t="s">
        <v>60</v>
      </c>
      <c r="J790" s="5" t="s">
        <v>489</v>
      </c>
      <c r="K790" s="5" t="s">
        <v>802</v>
      </c>
    </row>
    <row r="791" customFormat="false" ht="23.85" hidden="false" customHeight="false" outlineLevel="0" collapsed="false">
      <c r="A791" s="5" t="s">
        <v>803</v>
      </c>
      <c r="B791" s="2" t="s">
        <v>804</v>
      </c>
      <c r="C791" s="5" t="s">
        <v>488</v>
      </c>
      <c r="D791" s="5" t="s">
        <v>62</v>
      </c>
      <c r="E791" s="5" t="n">
        <v>9</v>
      </c>
      <c r="F791" s="5" t="s">
        <v>100</v>
      </c>
      <c r="G791" s="2" t="s">
        <v>9351</v>
      </c>
      <c r="H791" s="5" t="s">
        <v>8332</v>
      </c>
      <c r="I791" s="5" t="s">
        <v>60</v>
      </c>
      <c r="J791" s="5" t="s">
        <v>100</v>
      </c>
      <c r="K791" s="5" t="s">
        <v>814</v>
      </c>
    </row>
    <row r="792" customFormat="false" ht="15" hidden="false" customHeight="false" outlineLevel="0" collapsed="false">
      <c r="A792" s="5" t="s">
        <v>815</v>
      </c>
      <c r="B792" s="2" t="s">
        <v>816</v>
      </c>
      <c r="C792" s="5" t="s">
        <v>488</v>
      </c>
      <c r="D792" s="5" t="s">
        <v>490</v>
      </c>
      <c r="E792" s="5" t="n">
        <v>4</v>
      </c>
      <c r="F792" s="5" t="s">
        <v>100</v>
      </c>
      <c r="G792" s="2" t="s">
        <v>492</v>
      </c>
      <c r="H792" s="5" t="s">
        <v>8332</v>
      </c>
      <c r="I792" s="5" t="s">
        <v>60</v>
      </c>
      <c r="J792" s="5" t="s">
        <v>489</v>
      </c>
      <c r="K792" s="5" t="s">
        <v>825</v>
      </c>
    </row>
    <row r="793" customFormat="false" ht="23.85" hidden="false" customHeight="false" outlineLevel="0" collapsed="false">
      <c r="A793" s="5" t="s">
        <v>826</v>
      </c>
      <c r="B793" s="2" t="s">
        <v>827</v>
      </c>
      <c r="C793" s="5" t="s">
        <v>488</v>
      </c>
      <c r="D793" s="5" t="s">
        <v>62</v>
      </c>
      <c r="E793" s="5" t="n">
        <v>6</v>
      </c>
      <c r="F793" s="5" t="s">
        <v>100</v>
      </c>
      <c r="G793" s="2" t="s">
        <v>9351</v>
      </c>
      <c r="H793" s="5" t="s">
        <v>8332</v>
      </c>
      <c r="I793" s="5" t="s">
        <v>60</v>
      </c>
      <c r="J793" s="5" t="s">
        <v>100</v>
      </c>
      <c r="K793" s="5" t="s">
        <v>836</v>
      </c>
    </row>
    <row r="794" customFormat="false" ht="147" hidden="false" customHeight="false" outlineLevel="0" collapsed="false">
      <c r="A794" s="5" t="s">
        <v>837</v>
      </c>
      <c r="B794" s="2" t="s">
        <v>838</v>
      </c>
      <c r="C794" s="5" t="s">
        <v>488</v>
      </c>
      <c r="D794" s="5" t="s">
        <v>62</v>
      </c>
      <c r="E794" s="5" t="n">
        <v>9</v>
      </c>
      <c r="F794" s="5" t="s">
        <v>100</v>
      </c>
      <c r="G794" s="2" t="s">
        <v>8905</v>
      </c>
      <c r="H794" s="5" t="s">
        <v>8332</v>
      </c>
      <c r="I794" s="5" t="s">
        <v>60</v>
      </c>
      <c r="J794" s="5" t="s">
        <v>489</v>
      </c>
      <c r="K794" s="5" t="s">
        <v>845</v>
      </c>
    </row>
    <row r="795" customFormat="false" ht="147" hidden="false" customHeight="false" outlineLevel="0" collapsed="false">
      <c r="A795" s="5" t="s">
        <v>846</v>
      </c>
      <c r="B795" s="2" t="s">
        <v>847</v>
      </c>
      <c r="C795" s="5" t="s">
        <v>488</v>
      </c>
      <c r="D795" s="5" t="s">
        <v>62</v>
      </c>
      <c r="E795" s="5" t="n">
        <v>9</v>
      </c>
      <c r="F795" s="5" t="s">
        <v>100</v>
      </c>
      <c r="G795" s="2" t="s">
        <v>8905</v>
      </c>
      <c r="H795" s="5" t="s">
        <v>8332</v>
      </c>
      <c r="I795" s="5" t="s">
        <v>60</v>
      </c>
      <c r="J795" s="5" t="s">
        <v>489</v>
      </c>
      <c r="K795" s="5" t="s">
        <v>852</v>
      </c>
    </row>
    <row r="796" customFormat="false" ht="35.05" hidden="false" customHeight="false" outlineLevel="0" collapsed="false">
      <c r="A796" s="5" t="s">
        <v>853</v>
      </c>
      <c r="B796" s="2" t="s">
        <v>854</v>
      </c>
      <c r="C796" s="5" t="s">
        <v>488</v>
      </c>
      <c r="D796" s="5" t="s">
        <v>62</v>
      </c>
      <c r="E796" s="5" t="n">
        <v>7</v>
      </c>
      <c r="F796" s="5" t="s">
        <v>100</v>
      </c>
      <c r="G796" s="2" t="s">
        <v>10689</v>
      </c>
      <c r="H796" s="5" t="s">
        <v>8332</v>
      </c>
      <c r="I796" s="5" t="s">
        <v>60</v>
      </c>
      <c r="J796" s="5" t="s">
        <v>489</v>
      </c>
      <c r="K796" s="5" t="s">
        <v>862</v>
      </c>
    </row>
    <row r="797" customFormat="false" ht="79.85" hidden="false" customHeight="false" outlineLevel="0" collapsed="false">
      <c r="A797" s="5" t="s">
        <v>863</v>
      </c>
      <c r="B797" s="2" t="s">
        <v>864</v>
      </c>
      <c r="C797" s="5" t="s">
        <v>488</v>
      </c>
      <c r="D797" s="5" t="s">
        <v>62</v>
      </c>
      <c r="E797" s="5" t="n">
        <v>6</v>
      </c>
      <c r="F797" s="5" t="s">
        <v>100</v>
      </c>
      <c r="G797" s="2" t="s">
        <v>9213</v>
      </c>
      <c r="H797" s="5" t="s">
        <v>8332</v>
      </c>
      <c r="I797" s="5" t="s">
        <v>60</v>
      </c>
      <c r="J797" s="5" t="s">
        <v>100</v>
      </c>
      <c r="K797" s="5" t="s">
        <v>869</v>
      </c>
    </row>
    <row r="798" customFormat="false" ht="35.05" hidden="false" customHeight="false" outlineLevel="0" collapsed="false">
      <c r="A798" s="5" t="s">
        <v>870</v>
      </c>
      <c r="B798" s="2" t="s">
        <v>871</v>
      </c>
      <c r="C798" s="5" t="s">
        <v>488</v>
      </c>
      <c r="D798" s="5" t="s">
        <v>62</v>
      </c>
      <c r="E798" s="5" t="n">
        <v>7</v>
      </c>
      <c r="F798" s="5" t="s">
        <v>100</v>
      </c>
      <c r="G798" s="2" t="s">
        <v>10689</v>
      </c>
      <c r="H798" s="5" t="s">
        <v>8332</v>
      </c>
      <c r="I798" s="5" t="s">
        <v>60</v>
      </c>
      <c r="J798" s="5" t="s">
        <v>100</v>
      </c>
      <c r="K798" s="5" t="s">
        <v>877</v>
      </c>
    </row>
    <row r="799" customFormat="false" ht="46.25" hidden="false" customHeight="false" outlineLevel="0" collapsed="false">
      <c r="A799" s="5" t="s">
        <v>878</v>
      </c>
      <c r="B799" s="2" t="s">
        <v>879</v>
      </c>
      <c r="C799" s="5" t="s">
        <v>488</v>
      </c>
      <c r="D799" s="5" t="s">
        <v>62</v>
      </c>
      <c r="E799" s="5" t="n">
        <v>6</v>
      </c>
      <c r="F799" s="5" t="s">
        <v>100</v>
      </c>
      <c r="G799" s="2" t="s">
        <v>10690</v>
      </c>
      <c r="H799" s="5" t="s">
        <v>8332</v>
      </c>
      <c r="I799" s="5" t="s">
        <v>60</v>
      </c>
      <c r="J799" s="5" t="s">
        <v>100</v>
      </c>
      <c r="K799" s="5" t="s">
        <v>886</v>
      </c>
    </row>
    <row r="800" customFormat="false" ht="35.05" hidden="false" customHeight="false" outlineLevel="0" collapsed="false">
      <c r="A800" s="5" t="s">
        <v>887</v>
      </c>
      <c r="B800" s="2" t="s">
        <v>888</v>
      </c>
      <c r="C800" s="5" t="s">
        <v>488</v>
      </c>
      <c r="D800" s="5" t="s">
        <v>62</v>
      </c>
      <c r="E800" s="5" t="n">
        <v>9</v>
      </c>
      <c r="F800" s="5" t="s">
        <v>100</v>
      </c>
      <c r="G800" s="2" t="s">
        <v>10689</v>
      </c>
      <c r="H800" s="5" t="s">
        <v>8332</v>
      </c>
      <c r="I800" s="5" t="s">
        <v>60</v>
      </c>
      <c r="J800" s="5" t="s">
        <v>489</v>
      </c>
      <c r="K800" s="5" t="s">
        <v>895</v>
      </c>
    </row>
    <row r="801" customFormat="false" ht="23.85" hidden="false" customHeight="false" outlineLevel="0" collapsed="false">
      <c r="A801" s="5" t="s">
        <v>2642</v>
      </c>
      <c r="B801" s="2" t="s">
        <v>2643</v>
      </c>
      <c r="C801" s="5" t="s">
        <v>2128</v>
      </c>
      <c r="D801" s="5" t="s">
        <v>62</v>
      </c>
      <c r="E801" s="5" t="n">
        <v>9</v>
      </c>
      <c r="F801" s="5" t="s">
        <v>67</v>
      </c>
      <c r="G801" s="2" t="s">
        <v>184</v>
      </c>
      <c r="H801" s="5" t="s">
        <v>8332</v>
      </c>
      <c r="I801" s="5" t="s">
        <v>60</v>
      </c>
      <c r="J801" s="5" t="s">
        <v>182</v>
      </c>
      <c r="K801" s="5" t="s">
        <v>2649</v>
      </c>
    </row>
    <row r="802" customFormat="false" ht="15" hidden="false" customHeight="false" outlineLevel="0" collapsed="false">
      <c r="A802" s="5" t="s">
        <v>10691</v>
      </c>
      <c r="B802" s="2" t="s">
        <v>10692</v>
      </c>
      <c r="C802" s="5" t="s">
        <v>2128</v>
      </c>
      <c r="D802" s="5" t="s">
        <v>62</v>
      </c>
      <c r="E802" s="5" t="n">
        <v>9</v>
      </c>
      <c r="F802" s="5" t="s">
        <v>536</v>
      </c>
      <c r="G802" s="2" t="s">
        <v>8243</v>
      </c>
      <c r="H802" s="5" t="s">
        <v>8336</v>
      </c>
      <c r="I802" s="5"/>
      <c r="J802" s="5"/>
      <c r="K802" s="5" t="s">
        <v>10693</v>
      </c>
    </row>
    <row r="803" customFormat="false" ht="15" hidden="false" customHeight="false" outlineLevel="0" collapsed="false">
      <c r="A803" s="5" t="s">
        <v>10694</v>
      </c>
      <c r="B803" s="2" t="s">
        <v>10695</v>
      </c>
      <c r="C803" s="5" t="s">
        <v>2128</v>
      </c>
      <c r="D803" s="5" t="s">
        <v>490</v>
      </c>
      <c r="E803" s="5" t="n">
        <v>7</v>
      </c>
      <c r="F803" s="5" t="s">
        <v>9223</v>
      </c>
      <c r="G803" s="2" t="s">
        <v>10696</v>
      </c>
      <c r="H803" s="5" t="s">
        <v>8336</v>
      </c>
      <c r="I803" s="5"/>
      <c r="J803" s="5"/>
      <c r="K803" s="5" t="s">
        <v>10697</v>
      </c>
    </row>
    <row r="804" customFormat="false" ht="15" hidden="false" customHeight="false" outlineLevel="0" collapsed="false">
      <c r="A804" s="5" t="s">
        <v>10698</v>
      </c>
      <c r="B804" s="2" t="s">
        <v>10699</v>
      </c>
      <c r="C804" s="5" t="s">
        <v>2128</v>
      </c>
      <c r="D804" s="5" t="s">
        <v>490</v>
      </c>
      <c r="E804" s="5" t="n">
        <v>7</v>
      </c>
      <c r="F804" s="5" t="s">
        <v>9223</v>
      </c>
      <c r="G804" s="2" t="s">
        <v>10696</v>
      </c>
      <c r="H804" s="5" t="s">
        <v>8336</v>
      </c>
      <c r="I804" s="5"/>
      <c r="J804" s="5"/>
      <c r="K804" s="5" t="s">
        <v>10700</v>
      </c>
    </row>
    <row r="805" customFormat="false" ht="15" hidden="false" customHeight="false" outlineLevel="0" collapsed="false">
      <c r="A805" s="5" t="s">
        <v>10701</v>
      </c>
      <c r="B805" s="2" t="s">
        <v>10702</v>
      </c>
      <c r="C805" s="5" t="s">
        <v>2128</v>
      </c>
      <c r="D805" s="5" t="s">
        <v>62</v>
      </c>
      <c r="E805" s="5" t="n">
        <v>9</v>
      </c>
      <c r="F805" s="5" t="s">
        <v>536</v>
      </c>
      <c r="G805" s="2" t="s">
        <v>9240</v>
      </c>
      <c r="H805" s="5" t="s">
        <v>8336</v>
      </c>
      <c r="I805" s="5"/>
      <c r="J805" s="5"/>
      <c r="K805" s="5" t="s">
        <v>10703</v>
      </c>
    </row>
    <row r="806" customFormat="false" ht="15" hidden="false" customHeight="false" outlineLevel="0" collapsed="false">
      <c r="A806" s="5" t="s">
        <v>10704</v>
      </c>
      <c r="B806" s="2" t="s">
        <v>10705</v>
      </c>
      <c r="C806" s="5" t="s">
        <v>2128</v>
      </c>
      <c r="D806" s="5" t="s">
        <v>62</v>
      </c>
      <c r="E806" s="5" t="n">
        <v>5</v>
      </c>
      <c r="F806" s="5" t="s">
        <v>536</v>
      </c>
      <c r="G806" s="2" t="s">
        <v>9240</v>
      </c>
      <c r="H806" s="5" t="s">
        <v>8336</v>
      </c>
      <c r="I806" s="5"/>
      <c r="J806" s="5"/>
      <c r="K806" s="5" t="s">
        <v>10706</v>
      </c>
    </row>
    <row r="807" customFormat="false" ht="15" hidden="false" customHeight="false" outlineLevel="0" collapsed="false">
      <c r="A807" s="5" t="s">
        <v>10707</v>
      </c>
      <c r="B807" s="2" t="s">
        <v>10708</v>
      </c>
      <c r="C807" s="5" t="s">
        <v>2128</v>
      </c>
      <c r="D807" s="5" t="s">
        <v>62</v>
      </c>
      <c r="E807" s="5" t="n">
        <v>7</v>
      </c>
      <c r="F807" s="5" t="s">
        <v>536</v>
      </c>
      <c r="G807" s="2" t="s">
        <v>10709</v>
      </c>
      <c r="H807" s="5" t="s">
        <v>8336</v>
      </c>
      <c r="I807" s="5"/>
      <c r="J807" s="5"/>
      <c r="K807" s="5" t="s">
        <v>10710</v>
      </c>
    </row>
    <row r="808" customFormat="false" ht="15" hidden="false" customHeight="false" outlineLevel="0" collapsed="false">
      <c r="A808" s="5" t="s">
        <v>10711</v>
      </c>
      <c r="B808" s="2" t="s">
        <v>10712</v>
      </c>
      <c r="C808" s="5" t="s">
        <v>2128</v>
      </c>
      <c r="D808" s="5" t="s">
        <v>62</v>
      </c>
      <c r="E808" s="5" t="n">
        <v>7</v>
      </c>
      <c r="F808" s="5" t="s">
        <v>536</v>
      </c>
      <c r="G808" s="2" t="s">
        <v>10709</v>
      </c>
      <c r="H808" s="5" t="s">
        <v>8336</v>
      </c>
      <c r="I808" s="5"/>
      <c r="J808" s="5"/>
      <c r="K808" s="5" t="s">
        <v>10713</v>
      </c>
    </row>
    <row r="809" customFormat="false" ht="23.85" hidden="false" customHeight="false" outlineLevel="0" collapsed="false">
      <c r="A809" s="5" t="s">
        <v>10714</v>
      </c>
      <c r="B809" s="2" t="s">
        <v>10715</v>
      </c>
      <c r="C809" s="5" t="s">
        <v>2128</v>
      </c>
      <c r="D809" s="5" t="s">
        <v>62</v>
      </c>
      <c r="E809" s="5" t="n">
        <v>9</v>
      </c>
      <c r="F809" s="5" t="s">
        <v>536</v>
      </c>
      <c r="G809" s="2" t="s">
        <v>1513</v>
      </c>
      <c r="H809" s="5" t="s">
        <v>8336</v>
      </c>
      <c r="I809" s="5"/>
      <c r="J809" s="5"/>
      <c r="K809" s="5" t="s">
        <v>10716</v>
      </c>
    </row>
    <row r="810" customFormat="false" ht="15" hidden="false" customHeight="false" outlineLevel="0" collapsed="false">
      <c r="A810" s="5" t="s">
        <v>10717</v>
      </c>
      <c r="B810" s="2" t="s">
        <v>10718</v>
      </c>
      <c r="C810" s="5" t="s">
        <v>2128</v>
      </c>
      <c r="D810" s="5" t="s">
        <v>62</v>
      </c>
      <c r="E810" s="5" t="n">
        <v>9</v>
      </c>
      <c r="F810" s="5" t="s">
        <v>10719</v>
      </c>
      <c r="G810" s="2" t="s">
        <v>9240</v>
      </c>
      <c r="H810" s="5" t="s">
        <v>8336</v>
      </c>
      <c r="I810" s="5"/>
      <c r="J810" s="5"/>
      <c r="K810" s="5" t="s">
        <v>10720</v>
      </c>
    </row>
    <row r="811" customFormat="false" ht="15" hidden="false" customHeight="false" outlineLevel="0" collapsed="false">
      <c r="A811" s="5" t="s">
        <v>10721</v>
      </c>
      <c r="B811" s="2" t="s">
        <v>10722</v>
      </c>
      <c r="C811" s="5" t="s">
        <v>2128</v>
      </c>
      <c r="D811" s="5" t="s">
        <v>62</v>
      </c>
      <c r="E811" s="5" t="n">
        <v>5</v>
      </c>
      <c r="F811" s="5" t="s">
        <v>10719</v>
      </c>
      <c r="G811" s="2" t="s">
        <v>9240</v>
      </c>
      <c r="H811" s="5" t="s">
        <v>8336</v>
      </c>
      <c r="I811" s="5"/>
      <c r="J811" s="5"/>
      <c r="K811" s="5" t="s">
        <v>10723</v>
      </c>
    </row>
    <row r="812" customFormat="false" ht="15" hidden="false" customHeight="false" outlineLevel="0" collapsed="false">
      <c r="A812" s="5" t="s">
        <v>10724</v>
      </c>
      <c r="B812" s="2" t="s">
        <v>10725</v>
      </c>
      <c r="C812" s="5" t="s">
        <v>2128</v>
      </c>
      <c r="D812" s="5" t="s">
        <v>490</v>
      </c>
      <c r="E812" s="5" t="n">
        <v>9</v>
      </c>
      <c r="F812" s="5" t="s">
        <v>536</v>
      </c>
      <c r="G812" s="2" t="s">
        <v>9240</v>
      </c>
      <c r="H812" s="5" t="s">
        <v>8336</v>
      </c>
      <c r="I812" s="5"/>
      <c r="J812" s="5"/>
      <c r="K812" s="5" t="s">
        <v>10726</v>
      </c>
    </row>
    <row r="813" customFormat="false" ht="15" hidden="false" customHeight="false" outlineLevel="0" collapsed="false">
      <c r="A813" s="5" t="s">
        <v>10727</v>
      </c>
      <c r="B813" s="2" t="s">
        <v>10728</v>
      </c>
      <c r="C813" s="5" t="s">
        <v>2128</v>
      </c>
      <c r="D813" s="5" t="s">
        <v>490</v>
      </c>
      <c r="E813" s="5" t="n">
        <v>5</v>
      </c>
      <c r="F813" s="5" t="s">
        <v>536</v>
      </c>
      <c r="G813" s="2" t="s">
        <v>9240</v>
      </c>
      <c r="H813" s="5" t="s">
        <v>8336</v>
      </c>
      <c r="I813" s="5"/>
      <c r="J813" s="5"/>
      <c r="K813" s="5" t="s">
        <v>10729</v>
      </c>
    </row>
    <row r="814" customFormat="false" ht="15" hidden="false" customHeight="false" outlineLevel="0" collapsed="false">
      <c r="A814" s="5" t="s">
        <v>10730</v>
      </c>
      <c r="B814" s="2" t="s">
        <v>10731</v>
      </c>
      <c r="C814" s="5" t="s">
        <v>2128</v>
      </c>
      <c r="D814" s="5" t="s">
        <v>62</v>
      </c>
      <c r="E814" s="5" t="n">
        <v>7</v>
      </c>
      <c r="F814" s="5" t="s">
        <v>536</v>
      </c>
      <c r="G814" s="2" t="s">
        <v>9240</v>
      </c>
      <c r="H814" s="5" t="s">
        <v>8336</v>
      </c>
      <c r="I814" s="5"/>
      <c r="J814" s="5"/>
      <c r="K814" s="5" t="s">
        <v>10732</v>
      </c>
    </row>
    <row r="815" customFormat="false" ht="15" hidden="false" customHeight="false" outlineLevel="0" collapsed="false">
      <c r="A815" s="5" t="s">
        <v>10733</v>
      </c>
      <c r="B815" s="2" t="s">
        <v>10734</v>
      </c>
      <c r="C815" s="5" t="s">
        <v>2128</v>
      </c>
      <c r="D815" s="5" t="s">
        <v>62</v>
      </c>
      <c r="E815" s="5" t="n">
        <v>6</v>
      </c>
      <c r="F815" s="5" t="s">
        <v>9239</v>
      </c>
      <c r="G815" s="2" t="s">
        <v>8218</v>
      </c>
      <c r="H815" s="5" t="s">
        <v>8336</v>
      </c>
      <c r="I815" s="5"/>
      <c r="J815" s="5"/>
      <c r="K815" s="5" t="s">
        <v>10735</v>
      </c>
    </row>
    <row r="816" customFormat="false" ht="15" hidden="false" customHeight="false" outlineLevel="0" collapsed="false">
      <c r="A816" s="5" t="s">
        <v>10736</v>
      </c>
      <c r="B816" s="2" t="s">
        <v>10737</v>
      </c>
      <c r="C816" s="5" t="s">
        <v>2128</v>
      </c>
      <c r="D816" s="5" t="s">
        <v>490</v>
      </c>
      <c r="E816" s="5" t="n">
        <v>6</v>
      </c>
      <c r="F816" s="5" t="s">
        <v>67</v>
      </c>
      <c r="G816" s="2" t="s">
        <v>10738</v>
      </c>
      <c r="H816" s="5" t="s">
        <v>8336</v>
      </c>
      <c r="I816" s="5"/>
      <c r="J816" s="5"/>
      <c r="K816" s="5" t="s">
        <v>10739</v>
      </c>
    </row>
    <row r="817" customFormat="false" ht="15" hidden="false" customHeight="false" outlineLevel="0" collapsed="false">
      <c r="A817" s="5" t="s">
        <v>10740</v>
      </c>
      <c r="B817" s="2" t="s">
        <v>10741</v>
      </c>
      <c r="C817" s="5" t="s">
        <v>2128</v>
      </c>
      <c r="D817" s="5" t="s">
        <v>62</v>
      </c>
      <c r="E817" s="5" t="n">
        <v>7</v>
      </c>
      <c r="F817" s="5" t="s">
        <v>9239</v>
      </c>
      <c r="G817" s="2" t="s">
        <v>8218</v>
      </c>
      <c r="H817" s="5" t="s">
        <v>8336</v>
      </c>
      <c r="I817" s="5"/>
      <c r="J817" s="5"/>
      <c r="K817" s="5" t="s">
        <v>10742</v>
      </c>
    </row>
    <row r="818" customFormat="false" ht="15" hidden="false" customHeight="false" outlineLevel="0" collapsed="false">
      <c r="A818" s="5" t="s">
        <v>10743</v>
      </c>
      <c r="B818" s="2" t="s">
        <v>10744</v>
      </c>
      <c r="C818" s="5" t="s">
        <v>2128</v>
      </c>
      <c r="D818" s="5" t="s">
        <v>62</v>
      </c>
      <c r="E818" s="5" t="n">
        <v>9</v>
      </c>
      <c r="F818" s="5" t="s">
        <v>8945</v>
      </c>
      <c r="G818" s="2" t="s">
        <v>9240</v>
      </c>
      <c r="H818" s="5" t="s">
        <v>8336</v>
      </c>
      <c r="I818" s="5"/>
      <c r="J818" s="5"/>
      <c r="K818" s="5" t="s">
        <v>10745</v>
      </c>
    </row>
    <row r="819" customFormat="false" ht="15" hidden="false" customHeight="false" outlineLevel="0" collapsed="false">
      <c r="A819" s="5" t="s">
        <v>10746</v>
      </c>
      <c r="B819" s="2" t="s">
        <v>10747</v>
      </c>
      <c r="C819" s="5" t="s">
        <v>2128</v>
      </c>
      <c r="D819" s="5" t="s">
        <v>62</v>
      </c>
      <c r="E819" s="5" t="n">
        <v>5</v>
      </c>
      <c r="F819" s="5" t="s">
        <v>8945</v>
      </c>
      <c r="G819" s="2" t="s">
        <v>9240</v>
      </c>
      <c r="H819" s="5" t="s">
        <v>8336</v>
      </c>
      <c r="I819" s="5"/>
      <c r="J819" s="5"/>
      <c r="K819" s="5" t="s">
        <v>10748</v>
      </c>
    </row>
    <row r="820" customFormat="false" ht="15" hidden="false" customHeight="false" outlineLevel="0" collapsed="false">
      <c r="A820" s="5" t="s">
        <v>10749</v>
      </c>
      <c r="B820" s="2" t="s">
        <v>10750</v>
      </c>
      <c r="C820" s="5" t="s">
        <v>2128</v>
      </c>
      <c r="D820" s="5" t="s">
        <v>62</v>
      </c>
      <c r="E820" s="5" t="n">
        <v>9</v>
      </c>
      <c r="F820" s="5" t="s">
        <v>536</v>
      </c>
      <c r="G820" s="2" t="s">
        <v>9240</v>
      </c>
      <c r="H820" s="5" t="s">
        <v>8336</v>
      </c>
      <c r="I820" s="5"/>
      <c r="J820" s="5"/>
      <c r="K820" s="5" t="s">
        <v>10751</v>
      </c>
    </row>
    <row r="821" customFormat="false" ht="15" hidden="false" customHeight="false" outlineLevel="0" collapsed="false">
      <c r="A821" s="5" t="s">
        <v>10752</v>
      </c>
      <c r="B821" s="2" t="s">
        <v>10753</v>
      </c>
      <c r="C821" s="5" t="s">
        <v>2128</v>
      </c>
      <c r="D821" s="5" t="s">
        <v>62</v>
      </c>
      <c r="E821" s="5" t="n">
        <v>5</v>
      </c>
      <c r="F821" s="5" t="s">
        <v>536</v>
      </c>
      <c r="G821" s="2" t="s">
        <v>9240</v>
      </c>
      <c r="H821" s="5" t="s">
        <v>8336</v>
      </c>
      <c r="I821" s="5"/>
      <c r="J821" s="5"/>
      <c r="K821" s="5" t="s">
        <v>10754</v>
      </c>
    </row>
    <row r="822" customFormat="false" ht="15" hidden="false" customHeight="false" outlineLevel="0" collapsed="false">
      <c r="A822" s="5" t="s">
        <v>10755</v>
      </c>
      <c r="B822" s="2" t="s">
        <v>10756</v>
      </c>
      <c r="C822" s="5" t="s">
        <v>2128</v>
      </c>
      <c r="D822" s="5" t="s">
        <v>62</v>
      </c>
      <c r="E822" s="5" t="n">
        <v>9</v>
      </c>
      <c r="F822" s="5" t="s">
        <v>536</v>
      </c>
      <c r="G822" s="2" t="s">
        <v>9240</v>
      </c>
      <c r="H822" s="5" t="s">
        <v>8336</v>
      </c>
      <c r="I822" s="5"/>
      <c r="J822" s="5"/>
      <c r="K822" s="5" t="s">
        <v>10757</v>
      </c>
    </row>
    <row r="823" customFormat="false" ht="15" hidden="false" customHeight="false" outlineLevel="0" collapsed="false">
      <c r="A823" s="5" t="s">
        <v>10758</v>
      </c>
      <c r="B823" s="2" t="s">
        <v>10759</v>
      </c>
      <c r="C823" s="5" t="s">
        <v>2128</v>
      </c>
      <c r="D823" s="5" t="s">
        <v>62</v>
      </c>
      <c r="E823" s="5" t="n">
        <v>5</v>
      </c>
      <c r="F823" s="5" t="s">
        <v>536</v>
      </c>
      <c r="G823" s="2" t="s">
        <v>9240</v>
      </c>
      <c r="H823" s="5" t="s">
        <v>8336</v>
      </c>
      <c r="I823" s="5"/>
      <c r="J823" s="5"/>
      <c r="K823" s="5" t="s">
        <v>10760</v>
      </c>
    </row>
    <row r="824" customFormat="false" ht="15" hidden="false" customHeight="false" outlineLevel="0" collapsed="false">
      <c r="A824" s="5" t="s">
        <v>10761</v>
      </c>
      <c r="B824" s="2" t="s">
        <v>10762</v>
      </c>
      <c r="C824" s="5" t="s">
        <v>2128</v>
      </c>
      <c r="D824" s="5" t="s">
        <v>62</v>
      </c>
      <c r="E824" s="5" t="n">
        <v>9</v>
      </c>
      <c r="F824" s="5" t="s">
        <v>536</v>
      </c>
      <c r="G824" s="2" t="s">
        <v>9240</v>
      </c>
      <c r="H824" s="5" t="s">
        <v>8336</v>
      </c>
      <c r="I824" s="5"/>
      <c r="J824" s="5"/>
      <c r="K824" s="5" t="s">
        <v>10763</v>
      </c>
    </row>
    <row r="825" customFormat="false" ht="15" hidden="false" customHeight="false" outlineLevel="0" collapsed="false">
      <c r="A825" s="5" t="s">
        <v>10764</v>
      </c>
      <c r="B825" s="2" t="s">
        <v>10765</v>
      </c>
      <c r="C825" s="5" t="s">
        <v>2128</v>
      </c>
      <c r="D825" s="5" t="s">
        <v>62</v>
      </c>
      <c r="E825" s="5" t="n">
        <v>5</v>
      </c>
      <c r="F825" s="5" t="s">
        <v>536</v>
      </c>
      <c r="G825" s="2" t="s">
        <v>9240</v>
      </c>
      <c r="H825" s="5" t="s">
        <v>8336</v>
      </c>
      <c r="I825" s="5"/>
      <c r="J825" s="5"/>
      <c r="K825" s="5" t="s">
        <v>10766</v>
      </c>
    </row>
    <row r="826" customFormat="false" ht="15" hidden="false" customHeight="false" outlineLevel="0" collapsed="false">
      <c r="A826" s="5" t="s">
        <v>10767</v>
      </c>
      <c r="B826" s="2" t="s">
        <v>10768</v>
      </c>
      <c r="C826" s="5" t="s">
        <v>2128</v>
      </c>
      <c r="D826" s="5" t="s">
        <v>62</v>
      </c>
      <c r="E826" s="5" t="n">
        <v>5</v>
      </c>
      <c r="F826" s="5" t="s">
        <v>536</v>
      </c>
      <c r="G826" s="2" t="s">
        <v>10769</v>
      </c>
      <c r="H826" s="5" t="s">
        <v>8336</v>
      </c>
      <c r="I826" s="5"/>
      <c r="J826" s="5"/>
      <c r="K826" s="5" t="s">
        <v>10770</v>
      </c>
    </row>
    <row r="827" customFormat="false" ht="15" hidden="false" customHeight="false" outlineLevel="0" collapsed="false">
      <c r="A827" s="5" t="s">
        <v>10771</v>
      </c>
      <c r="B827" s="2" t="s">
        <v>10772</v>
      </c>
      <c r="C827" s="5" t="s">
        <v>2128</v>
      </c>
      <c r="D827" s="5" t="s">
        <v>490</v>
      </c>
      <c r="E827" s="5" t="n">
        <v>10</v>
      </c>
      <c r="F827" s="5" t="s">
        <v>9196</v>
      </c>
      <c r="G827" s="2" t="s">
        <v>2376</v>
      </c>
      <c r="H827" s="5" t="s">
        <v>8336</v>
      </c>
      <c r="I827" s="5"/>
      <c r="J827" s="5"/>
      <c r="K827" s="5" t="s">
        <v>10773</v>
      </c>
    </row>
    <row r="828" customFormat="false" ht="23.85" hidden="false" customHeight="false" outlineLevel="0" collapsed="false">
      <c r="A828" s="5" t="s">
        <v>10774</v>
      </c>
      <c r="B828" s="2" t="s">
        <v>10775</v>
      </c>
      <c r="C828" s="5" t="s">
        <v>2128</v>
      </c>
      <c r="D828" s="5" t="s">
        <v>490</v>
      </c>
      <c r="E828" s="5" t="n">
        <v>10</v>
      </c>
      <c r="F828" s="5" t="s">
        <v>9196</v>
      </c>
      <c r="G828" s="2" t="s">
        <v>2376</v>
      </c>
      <c r="H828" s="5" t="s">
        <v>8336</v>
      </c>
      <c r="I828" s="5"/>
      <c r="J828" s="5"/>
      <c r="K828" s="5" t="s">
        <v>10776</v>
      </c>
    </row>
    <row r="829" customFormat="false" ht="15" hidden="false" customHeight="false" outlineLevel="0" collapsed="false">
      <c r="A829" s="5" t="s">
        <v>10777</v>
      </c>
      <c r="B829" s="2" t="s">
        <v>10778</v>
      </c>
      <c r="C829" s="5" t="s">
        <v>2128</v>
      </c>
      <c r="D829" s="5" t="s">
        <v>62</v>
      </c>
      <c r="E829" s="5" t="n">
        <v>6</v>
      </c>
      <c r="F829" s="5" t="s">
        <v>9196</v>
      </c>
      <c r="G829" s="2" t="s">
        <v>2376</v>
      </c>
      <c r="H829" s="5" t="s">
        <v>8336</v>
      </c>
      <c r="I829" s="5"/>
      <c r="J829" s="5"/>
      <c r="K829" s="5" t="s">
        <v>10779</v>
      </c>
    </row>
    <row r="830" customFormat="false" ht="15" hidden="false" customHeight="false" outlineLevel="0" collapsed="false">
      <c r="A830" s="5" t="s">
        <v>10780</v>
      </c>
      <c r="B830" s="2" t="s">
        <v>10781</v>
      </c>
      <c r="C830" s="5" t="s">
        <v>2128</v>
      </c>
      <c r="D830" s="5" t="s">
        <v>62</v>
      </c>
      <c r="E830" s="5" t="n">
        <v>9</v>
      </c>
      <c r="F830" s="5" t="s">
        <v>9196</v>
      </c>
      <c r="G830" s="2" t="s">
        <v>2376</v>
      </c>
      <c r="H830" s="5" t="s">
        <v>8336</v>
      </c>
      <c r="I830" s="5"/>
      <c r="J830" s="5"/>
      <c r="K830" s="5" t="s">
        <v>10782</v>
      </c>
    </row>
    <row r="831" customFormat="false" ht="15" hidden="false" customHeight="false" outlineLevel="0" collapsed="false">
      <c r="A831" s="5" t="s">
        <v>10783</v>
      </c>
      <c r="B831" s="2" t="s">
        <v>10784</v>
      </c>
      <c r="C831" s="5" t="s">
        <v>2128</v>
      </c>
      <c r="D831" s="5" t="s">
        <v>62</v>
      </c>
      <c r="E831" s="5" t="n">
        <v>5</v>
      </c>
      <c r="F831" s="5" t="s">
        <v>9196</v>
      </c>
      <c r="G831" s="2" t="s">
        <v>2376</v>
      </c>
      <c r="H831" s="5" t="s">
        <v>8336</v>
      </c>
      <c r="I831" s="5"/>
      <c r="J831" s="5"/>
      <c r="K831" s="5" t="s">
        <v>10785</v>
      </c>
    </row>
    <row r="832" customFormat="false" ht="15" hidden="false" customHeight="false" outlineLevel="0" collapsed="false">
      <c r="A832" s="5" t="s">
        <v>10786</v>
      </c>
      <c r="B832" s="2" t="s">
        <v>10787</v>
      </c>
      <c r="C832" s="5" t="s">
        <v>2128</v>
      </c>
      <c r="D832" s="5" t="s">
        <v>62</v>
      </c>
      <c r="E832" s="5" t="n">
        <v>4</v>
      </c>
      <c r="F832" s="5" t="s">
        <v>9239</v>
      </c>
      <c r="G832" s="2" t="s">
        <v>9240</v>
      </c>
      <c r="H832" s="5" t="s">
        <v>8336</v>
      </c>
      <c r="I832" s="5"/>
      <c r="J832" s="5"/>
      <c r="K832" s="5" t="s">
        <v>10788</v>
      </c>
    </row>
    <row r="833" customFormat="false" ht="15" hidden="false" customHeight="false" outlineLevel="0" collapsed="false">
      <c r="A833" s="5" t="s">
        <v>2650</v>
      </c>
      <c r="B833" s="2" t="s">
        <v>2651</v>
      </c>
      <c r="C833" s="5" t="s">
        <v>2128</v>
      </c>
      <c r="D833" s="5" t="s">
        <v>62</v>
      </c>
      <c r="E833" s="5" t="n">
        <v>9</v>
      </c>
      <c r="F833" s="5" t="s">
        <v>90</v>
      </c>
      <c r="G833" s="2" t="s">
        <v>898</v>
      </c>
      <c r="H833" s="5" t="s">
        <v>8332</v>
      </c>
      <c r="I833" s="5" t="s">
        <v>60</v>
      </c>
      <c r="J833" s="5" t="s">
        <v>161</v>
      </c>
      <c r="K833" s="5" t="s">
        <v>2657</v>
      </c>
    </row>
    <row r="834" customFormat="false" ht="15" hidden="false" customHeight="false" outlineLevel="0" collapsed="false">
      <c r="A834" s="5" t="s">
        <v>2658</v>
      </c>
      <c r="B834" s="2" t="s">
        <v>2659</v>
      </c>
      <c r="C834" s="5" t="s">
        <v>2128</v>
      </c>
      <c r="D834" s="5" t="s">
        <v>62</v>
      </c>
      <c r="E834" s="5" t="n">
        <v>7</v>
      </c>
      <c r="F834" s="5" t="s">
        <v>90</v>
      </c>
      <c r="G834" s="2" t="s">
        <v>898</v>
      </c>
      <c r="H834" s="5" t="s">
        <v>8332</v>
      </c>
      <c r="I834" s="5" t="s">
        <v>60</v>
      </c>
      <c r="J834" s="5" t="s">
        <v>161</v>
      </c>
      <c r="K834" s="5" t="s">
        <v>2665</v>
      </c>
    </row>
    <row r="835" customFormat="false" ht="15" hidden="false" customHeight="false" outlineLevel="0" collapsed="false">
      <c r="A835" s="5" t="s">
        <v>10789</v>
      </c>
      <c r="B835" s="2" t="s">
        <v>10790</v>
      </c>
      <c r="C835" s="5" t="s">
        <v>2128</v>
      </c>
      <c r="D835" s="5" t="s">
        <v>62</v>
      </c>
      <c r="E835" s="5" t="n">
        <v>7</v>
      </c>
      <c r="F835" s="5" t="s">
        <v>67</v>
      </c>
      <c r="G835" s="2" t="s">
        <v>898</v>
      </c>
      <c r="H835" s="5" t="s">
        <v>8336</v>
      </c>
      <c r="I835" s="5"/>
      <c r="J835" s="5"/>
      <c r="K835" s="5" t="s">
        <v>10791</v>
      </c>
    </row>
    <row r="836" customFormat="false" ht="15" hidden="false" customHeight="false" outlineLevel="0" collapsed="false">
      <c r="A836" s="5" t="s">
        <v>10792</v>
      </c>
      <c r="B836" s="2" t="s">
        <v>10793</v>
      </c>
      <c r="C836" s="5" t="s">
        <v>2128</v>
      </c>
      <c r="D836" s="5" t="s">
        <v>62</v>
      </c>
      <c r="E836" s="5" t="n">
        <v>7</v>
      </c>
      <c r="F836" s="5" t="s">
        <v>67</v>
      </c>
      <c r="G836" s="2" t="s">
        <v>898</v>
      </c>
      <c r="H836" s="5" t="s">
        <v>8336</v>
      </c>
      <c r="I836" s="5"/>
      <c r="J836" s="5"/>
      <c r="K836" s="5" t="s">
        <v>10794</v>
      </c>
    </row>
    <row r="837" customFormat="false" ht="15" hidden="false" customHeight="false" outlineLevel="0" collapsed="false">
      <c r="A837" s="5" t="s">
        <v>10795</v>
      </c>
      <c r="B837" s="2" t="s">
        <v>10796</v>
      </c>
      <c r="C837" s="5" t="s">
        <v>2128</v>
      </c>
      <c r="D837" s="5" t="s">
        <v>62</v>
      </c>
      <c r="E837" s="5" t="n">
        <v>4</v>
      </c>
      <c r="F837" s="5" t="s">
        <v>3005</v>
      </c>
      <c r="G837" s="2" t="s">
        <v>898</v>
      </c>
      <c r="H837" s="5" t="s">
        <v>8336</v>
      </c>
      <c r="I837" s="5"/>
      <c r="J837" s="5"/>
      <c r="K837" s="5" t="s">
        <v>10797</v>
      </c>
    </row>
    <row r="838" customFormat="false" ht="15" hidden="false" customHeight="false" outlineLevel="0" collapsed="false">
      <c r="A838" s="5" t="s">
        <v>896</v>
      </c>
      <c r="B838" s="2" t="s">
        <v>897</v>
      </c>
      <c r="C838" s="5" t="s">
        <v>488</v>
      </c>
      <c r="D838" s="5" t="s">
        <v>62</v>
      </c>
      <c r="E838" s="5" t="n">
        <v>9</v>
      </c>
      <c r="F838" s="5" t="s">
        <v>90</v>
      </c>
      <c r="G838" s="2" t="s">
        <v>898</v>
      </c>
      <c r="H838" s="5" t="s">
        <v>8332</v>
      </c>
      <c r="I838" s="5" t="s">
        <v>60</v>
      </c>
      <c r="J838" s="5" t="s">
        <v>161</v>
      </c>
      <c r="K838" s="5" t="s">
        <v>904</v>
      </c>
    </row>
    <row r="839" customFormat="false" ht="15" hidden="false" customHeight="false" outlineLevel="0" collapsed="false">
      <c r="A839" s="5" t="s">
        <v>2666</v>
      </c>
      <c r="B839" s="2" t="s">
        <v>2667</v>
      </c>
      <c r="C839" s="5" t="s">
        <v>2128</v>
      </c>
      <c r="D839" s="5" t="s">
        <v>62</v>
      </c>
      <c r="E839" s="5" t="n">
        <v>7</v>
      </c>
      <c r="F839" s="5" t="s">
        <v>90</v>
      </c>
      <c r="G839" s="2" t="s">
        <v>898</v>
      </c>
      <c r="H839" s="5" t="s">
        <v>8332</v>
      </c>
      <c r="I839" s="5" t="s">
        <v>60</v>
      </c>
      <c r="J839" s="5" t="s">
        <v>161</v>
      </c>
      <c r="K839" s="5" t="s">
        <v>2672</v>
      </c>
    </row>
    <row r="840" customFormat="false" ht="15" hidden="false" customHeight="false" outlineLevel="0" collapsed="false">
      <c r="A840" s="5" t="s">
        <v>2673</v>
      </c>
      <c r="B840" s="2" t="s">
        <v>2674</v>
      </c>
      <c r="C840" s="5" t="s">
        <v>2128</v>
      </c>
      <c r="D840" s="5" t="s">
        <v>62</v>
      </c>
      <c r="E840" s="5" t="n">
        <v>7</v>
      </c>
      <c r="F840" s="5" t="s">
        <v>90</v>
      </c>
      <c r="G840" s="2" t="s">
        <v>898</v>
      </c>
      <c r="H840" s="5" t="s">
        <v>8332</v>
      </c>
      <c r="I840" s="5" t="s">
        <v>60</v>
      </c>
      <c r="J840" s="5" t="s">
        <v>161</v>
      </c>
      <c r="K840" s="5" t="s">
        <v>2679</v>
      </c>
    </row>
    <row r="841" customFormat="false" ht="15" hidden="false" customHeight="false" outlineLevel="0" collapsed="false">
      <c r="A841" s="5" t="s">
        <v>2680</v>
      </c>
      <c r="B841" s="2" t="s">
        <v>2681</v>
      </c>
      <c r="C841" s="5" t="s">
        <v>2128</v>
      </c>
      <c r="D841" s="5" t="s">
        <v>62</v>
      </c>
      <c r="E841" s="5" t="n">
        <v>9</v>
      </c>
      <c r="F841" s="5" t="s">
        <v>90</v>
      </c>
      <c r="G841" s="2" t="s">
        <v>898</v>
      </c>
      <c r="H841" s="5" t="s">
        <v>8332</v>
      </c>
      <c r="I841" s="5" t="s">
        <v>60</v>
      </c>
      <c r="J841" s="5" t="s">
        <v>161</v>
      </c>
      <c r="K841" s="5" t="s">
        <v>2687</v>
      </c>
    </row>
    <row r="842" customFormat="false" ht="15" hidden="false" customHeight="false" outlineLevel="0" collapsed="false">
      <c r="A842" s="5" t="s">
        <v>2688</v>
      </c>
      <c r="B842" s="2" t="s">
        <v>2689</v>
      </c>
      <c r="C842" s="5" t="s">
        <v>2128</v>
      </c>
      <c r="D842" s="5" t="s">
        <v>62</v>
      </c>
      <c r="E842" s="5" t="n">
        <v>9</v>
      </c>
      <c r="F842" s="5" t="s">
        <v>536</v>
      </c>
      <c r="G842" s="2" t="s">
        <v>898</v>
      </c>
      <c r="H842" s="5" t="s">
        <v>8332</v>
      </c>
      <c r="I842" s="5" t="s">
        <v>60</v>
      </c>
      <c r="J842" s="5" t="s">
        <v>161</v>
      </c>
      <c r="K842" s="5" t="s">
        <v>2694</v>
      </c>
    </row>
    <row r="843" customFormat="false" ht="15" hidden="false" customHeight="false" outlineLevel="0" collapsed="false">
      <c r="A843" s="5" t="s">
        <v>905</v>
      </c>
      <c r="B843" s="2" t="s">
        <v>906</v>
      </c>
      <c r="C843" s="5" t="s">
        <v>488</v>
      </c>
      <c r="D843" s="5" t="s">
        <v>62</v>
      </c>
      <c r="E843" s="5" t="n">
        <v>9</v>
      </c>
      <c r="F843" s="5" t="s">
        <v>90</v>
      </c>
      <c r="G843" s="2" t="s">
        <v>898</v>
      </c>
      <c r="H843" s="5" t="s">
        <v>8332</v>
      </c>
      <c r="I843" s="5" t="s">
        <v>60</v>
      </c>
      <c r="J843" s="5" t="s">
        <v>161</v>
      </c>
      <c r="K843" s="5" t="s">
        <v>912</v>
      </c>
    </row>
    <row r="844" customFormat="false" ht="15" hidden="false" customHeight="false" outlineLevel="0" collapsed="false">
      <c r="A844" s="5" t="s">
        <v>2695</v>
      </c>
      <c r="B844" s="2" t="s">
        <v>2696</v>
      </c>
      <c r="C844" s="5" t="s">
        <v>2128</v>
      </c>
      <c r="D844" s="5" t="s">
        <v>62</v>
      </c>
      <c r="E844" s="5" t="n">
        <v>9</v>
      </c>
      <c r="F844" s="5" t="s">
        <v>90</v>
      </c>
      <c r="G844" s="2" t="s">
        <v>898</v>
      </c>
      <c r="H844" s="5" t="s">
        <v>8332</v>
      </c>
      <c r="I844" s="5" t="s">
        <v>60</v>
      </c>
      <c r="J844" s="5" t="s">
        <v>161</v>
      </c>
      <c r="K844" s="5" t="s">
        <v>2702</v>
      </c>
    </row>
    <row r="845" customFormat="false" ht="15" hidden="false" customHeight="false" outlineLevel="0" collapsed="false">
      <c r="A845" s="5" t="s">
        <v>10798</v>
      </c>
      <c r="B845" s="2" t="s">
        <v>10799</v>
      </c>
      <c r="C845" s="5" t="s">
        <v>2128</v>
      </c>
      <c r="D845" s="5" t="s">
        <v>62</v>
      </c>
      <c r="E845" s="5" t="n">
        <v>7</v>
      </c>
      <c r="F845" s="5" t="s">
        <v>284</v>
      </c>
      <c r="G845" s="2" t="s">
        <v>898</v>
      </c>
      <c r="H845" s="5" t="s">
        <v>8336</v>
      </c>
      <c r="I845" s="5"/>
      <c r="J845" s="5"/>
      <c r="K845" s="5" t="s">
        <v>10800</v>
      </c>
    </row>
    <row r="846" customFormat="false" ht="15" hidden="false" customHeight="false" outlineLevel="0" collapsed="false">
      <c r="A846" s="5" t="s">
        <v>10801</v>
      </c>
      <c r="B846" s="2" t="s">
        <v>10802</v>
      </c>
      <c r="C846" s="5" t="s">
        <v>2128</v>
      </c>
      <c r="D846" s="5" t="s">
        <v>62</v>
      </c>
      <c r="E846" s="5" t="n">
        <v>9</v>
      </c>
      <c r="F846" s="5" t="s">
        <v>284</v>
      </c>
      <c r="G846" s="2" t="s">
        <v>916</v>
      </c>
      <c r="H846" s="5" t="s">
        <v>8336</v>
      </c>
      <c r="I846" s="5"/>
      <c r="J846" s="5"/>
      <c r="K846" s="5" t="s">
        <v>10803</v>
      </c>
    </row>
    <row r="847" customFormat="false" ht="23.85" hidden="false" customHeight="false" outlineLevel="0" collapsed="false">
      <c r="A847" s="5" t="s">
        <v>2703</v>
      </c>
      <c r="B847" s="2" t="s">
        <v>2704</v>
      </c>
      <c r="C847" s="5" t="s">
        <v>2128</v>
      </c>
      <c r="D847" s="5" t="s">
        <v>62</v>
      </c>
      <c r="E847" s="5" t="n">
        <v>9</v>
      </c>
      <c r="F847" s="5" t="s">
        <v>1210</v>
      </c>
      <c r="G847" s="2" t="s">
        <v>916</v>
      </c>
      <c r="H847" s="5" t="s">
        <v>8332</v>
      </c>
      <c r="I847" s="5" t="s">
        <v>60</v>
      </c>
      <c r="J847" s="5" t="s">
        <v>161</v>
      </c>
      <c r="K847" s="5" t="s">
        <v>2711</v>
      </c>
    </row>
    <row r="848" customFormat="false" ht="15" hidden="false" customHeight="false" outlineLevel="0" collapsed="false">
      <c r="A848" s="5" t="s">
        <v>913</v>
      </c>
      <c r="B848" s="2" t="s">
        <v>914</v>
      </c>
      <c r="C848" s="5" t="s">
        <v>488</v>
      </c>
      <c r="D848" s="5" t="s">
        <v>62</v>
      </c>
      <c r="E848" s="5" t="n">
        <v>7</v>
      </c>
      <c r="F848" s="5" t="s">
        <v>100</v>
      </c>
      <c r="G848" s="2" t="s">
        <v>916</v>
      </c>
      <c r="H848" s="5" t="s">
        <v>8332</v>
      </c>
      <c r="I848" s="5" t="s">
        <v>60</v>
      </c>
      <c r="J848" s="5" t="s">
        <v>694</v>
      </c>
      <c r="K848" s="5" t="s">
        <v>921</v>
      </c>
    </row>
    <row r="849" customFormat="false" ht="15" hidden="false" customHeight="false" outlineLevel="0" collapsed="false">
      <c r="A849" s="5" t="s">
        <v>922</v>
      </c>
      <c r="B849" s="2" t="s">
        <v>923</v>
      </c>
      <c r="C849" s="5" t="s">
        <v>488</v>
      </c>
      <c r="D849" s="5" t="s">
        <v>62</v>
      </c>
      <c r="E849" s="5" t="n">
        <v>7</v>
      </c>
      <c r="F849" s="5" t="s">
        <v>100</v>
      </c>
      <c r="G849" s="2" t="s">
        <v>916</v>
      </c>
      <c r="H849" s="5" t="s">
        <v>8332</v>
      </c>
      <c r="I849" s="5" t="s">
        <v>60</v>
      </c>
      <c r="J849" s="5" t="s">
        <v>694</v>
      </c>
      <c r="K849" s="5" t="s">
        <v>926</v>
      </c>
    </row>
    <row r="850" customFormat="false" ht="15" hidden="false" customHeight="false" outlineLevel="0" collapsed="false">
      <c r="A850" s="5" t="s">
        <v>927</v>
      </c>
      <c r="B850" s="2" t="s">
        <v>928</v>
      </c>
      <c r="C850" s="5" t="s">
        <v>488</v>
      </c>
      <c r="D850" s="5" t="s">
        <v>62</v>
      </c>
      <c r="E850" s="5" t="n">
        <v>9</v>
      </c>
      <c r="F850" s="5" t="s">
        <v>100</v>
      </c>
      <c r="G850" s="2" t="s">
        <v>916</v>
      </c>
      <c r="H850" s="5" t="s">
        <v>8332</v>
      </c>
      <c r="I850" s="5" t="s">
        <v>60</v>
      </c>
      <c r="J850" s="5" t="s">
        <v>100</v>
      </c>
      <c r="K850" s="5" t="s">
        <v>931</v>
      </c>
    </row>
    <row r="851" customFormat="false" ht="15" hidden="false" customHeight="false" outlineLevel="0" collapsed="false">
      <c r="A851" s="5" t="s">
        <v>10804</v>
      </c>
      <c r="B851" s="2" t="s">
        <v>10805</v>
      </c>
      <c r="C851" s="5" t="s">
        <v>2128</v>
      </c>
      <c r="D851" s="5" t="s">
        <v>62</v>
      </c>
      <c r="E851" s="5" t="n">
        <v>9</v>
      </c>
      <c r="F851" s="5" t="s">
        <v>1210</v>
      </c>
      <c r="G851" s="2" t="s">
        <v>916</v>
      </c>
      <c r="H851" s="5" t="s">
        <v>8336</v>
      </c>
      <c r="I851" s="5"/>
      <c r="J851" s="5"/>
      <c r="K851" s="5" t="s">
        <v>10806</v>
      </c>
    </row>
    <row r="852" customFormat="false" ht="23.85" hidden="false" customHeight="false" outlineLevel="0" collapsed="false">
      <c r="A852" s="5" t="s">
        <v>10807</v>
      </c>
      <c r="B852" s="2" t="s">
        <v>10808</v>
      </c>
      <c r="C852" s="5" t="s">
        <v>2128</v>
      </c>
      <c r="D852" s="5" t="s">
        <v>62</v>
      </c>
      <c r="E852" s="5" t="n">
        <v>9</v>
      </c>
      <c r="F852" s="5" t="s">
        <v>284</v>
      </c>
      <c r="G852" s="2" t="s">
        <v>916</v>
      </c>
      <c r="H852" s="5" t="s">
        <v>8336</v>
      </c>
      <c r="I852" s="5"/>
      <c r="J852" s="5"/>
      <c r="K852" s="5" t="s">
        <v>10809</v>
      </c>
    </row>
    <row r="853" customFormat="false" ht="15" hidden="false" customHeight="false" outlineLevel="0" collapsed="false">
      <c r="A853" s="5" t="s">
        <v>10810</v>
      </c>
      <c r="B853" s="2" t="s">
        <v>10811</v>
      </c>
      <c r="C853" s="5" t="s">
        <v>2128</v>
      </c>
      <c r="D853" s="5" t="s">
        <v>62</v>
      </c>
      <c r="E853" s="5" t="n">
        <v>9</v>
      </c>
      <c r="F853" s="5" t="s">
        <v>1210</v>
      </c>
      <c r="G853" s="2" t="s">
        <v>916</v>
      </c>
      <c r="H853" s="5" t="s">
        <v>8336</v>
      </c>
      <c r="I853" s="5"/>
      <c r="J853" s="5"/>
      <c r="K853" s="5" t="s">
        <v>10812</v>
      </c>
    </row>
    <row r="854" customFormat="false" ht="23.85" hidden="false" customHeight="false" outlineLevel="0" collapsed="false">
      <c r="A854" s="5" t="s">
        <v>10813</v>
      </c>
      <c r="B854" s="2" t="s">
        <v>10814</v>
      </c>
      <c r="C854" s="5" t="s">
        <v>2128</v>
      </c>
      <c r="D854" s="5" t="s">
        <v>62</v>
      </c>
      <c r="E854" s="5" t="n">
        <v>6</v>
      </c>
      <c r="F854" s="5" t="s">
        <v>1210</v>
      </c>
      <c r="G854" s="2" t="s">
        <v>916</v>
      </c>
      <c r="H854" s="5" t="s">
        <v>8336</v>
      </c>
      <c r="I854" s="5"/>
      <c r="J854" s="5"/>
      <c r="K854" s="5" t="s">
        <v>10815</v>
      </c>
    </row>
    <row r="855" customFormat="false" ht="15" hidden="false" customHeight="false" outlineLevel="0" collapsed="false">
      <c r="A855" s="5" t="s">
        <v>10816</v>
      </c>
      <c r="B855" s="2" t="s">
        <v>10817</v>
      </c>
      <c r="C855" s="5" t="s">
        <v>2128</v>
      </c>
      <c r="D855" s="5" t="s">
        <v>62</v>
      </c>
      <c r="E855" s="5" t="n">
        <v>6</v>
      </c>
      <c r="F855" s="5" t="s">
        <v>1210</v>
      </c>
      <c r="G855" s="2" t="s">
        <v>916</v>
      </c>
      <c r="H855" s="5" t="s">
        <v>8336</v>
      </c>
      <c r="I855" s="5"/>
      <c r="J855" s="5"/>
      <c r="K855" s="5" t="s">
        <v>10818</v>
      </c>
    </row>
    <row r="856" customFormat="false" ht="15" hidden="false" customHeight="false" outlineLevel="0" collapsed="false">
      <c r="A856" s="5" t="s">
        <v>10819</v>
      </c>
      <c r="B856" s="2" t="s">
        <v>10820</v>
      </c>
      <c r="C856" s="5" t="s">
        <v>2128</v>
      </c>
      <c r="D856" s="5" t="s">
        <v>62</v>
      </c>
      <c r="E856" s="5" t="n">
        <v>9</v>
      </c>
      <c r="F856" s="5" t="s">
        <v>1210</v>
      </c>
      <c r="G856" s="2" t="s">
        <v>916</v>
      </c>
      <c r="H856" s="5" t="s">
        <v>8336</v>
      </c>
      <c r="I856" s="5"/>
      <c r="J856" s="5"/>
      <c r="K856" s="5" t="s">
        <v>10821</v>
      </c>
    </row>
    <row r="857" customFormat="false" ht="15" hidden="false" customHeight="false" outlineLevel="0" collapsed="false">
      <c r="A857" s="5" t="s">
        <v>2712</v>
      </c>
      <c r="B857" s="2" t="s">
        <v>2713</v>
      </c>
      <c r="C857" s="5" t="s">
        <v>2128</v>
      </c>
      <c r="D857" s="5" t="s">
        <v>62</v>
      </c>
      <c r="E857" s="5" t="n">
        <v>9</v>
      </c>
      <c r="F857" s="5" t="s">
        <v>284</v>
      </c>
      <c r="G857" s="2" t="s">
        <v>916</v>
      </c>
      <c r="H857" s="5" t="s">
        <v>8332</v>
      </c>
      <c r="I857" s="5" t="s">
        <v>60</v>
      </c>
      <c r="J857" s="5" t="s">
        <v>2591</v>
      </c>
      <c r="K857" s="5" t="s">
        <v>2717</v>
      </c>
    </row>
    <row r="858" customFormat="false" ht="15" hidden="false" customHeight="false" outlineLevel="0" collapsed="false">
      <c r="A858" s="5" t="s">
        <v>10822</v>
      </c>
      <c r="B858" s="2" t="s">
        <v>10823</v>
      </c>
      <c r="C858" s="5" t="s">
        <v>2128</v>
      </c>
      <c r="D858" s="5" t="s">
        <v>62</v>
      </c>
      <c r="E858" s="5" t="n">
        <v>9</v>
      </c>
      <c r="F858" s="5" t="s">
        <v>284</v>
      </c>
      <c r="G858" s="2" t="s">
        <v>916</v>
      </c>
      <c r="H858" s="5" t="s">
        <v>8336</v>
      </c>
      <c r="I858" s="5"/>
      <c r="J858" s="5"/>
      <c r="K858" s="5" t="s">
        <v>10824</v>
      </c>
    </row>
    <row r="859" customFormat="false" ht="15" hidden="false" customHeight="false" outlineLevel="0" collapsed="false">
      <c r="A859" s="5" t="s">
        <v>932</v>
      </c>
      <c r="B859" s="2" t="s">
        <v>933</v>
      </c>
      <c r="C859" s="5" t="s">
        <v>488</v>
      </c>
      <c r="D859" s="5" t="s">
        <v>62</v>
      </c>
      <c r="E859" s="5" t="n">
        <v>6</v>
      </c>
      <c r="F859" s="5" t="s">
        <v>90</v>
      </c>
      <c r="G859" s="2" t="s">
        <v>916</v>
      </c>
      <c r="H859" s="5" t="s">
        <v>8332</v>
      </c>
      <c r="I859" s="5" t="s">
        <v>60</v>
      </c>
      <c r="J859" s="5" t="s">
        <v>61</v>
      </c>
      <c r="K859" s="5" t="s">
        <v>939</v>
      </c>
    </row>
    <row r="860" customFormat="false" ht="15" hidden="false" customHeight="false" outlineLevel="0" collapsed="false">
      <c r="A860" s="5" t="s">
        <v>10825</v>
      </c>
      <c r="B860" s="2" t="s">
        <v>10826</v>
      </c>
      <c r="C860" s="5" t="s">
        <v>2128</v>
      </c>
      <c r="D860" s="5" t="s">
        <v>62</v>
      </c>
      <c r="E860" s="5" t="n">
        <v>9</v>
      </c>
      <c r="F860" s="5" t="s">
        <v>1210</v>
      </c>
      <c r="G860" s="2" t="s">
        <v>916</v>
      </c>
      <c r="H860" s="5" t="s">
        <v>8336</v>
      </c>
      <c r="I860" s="5"/>
      <c r="J860" s="5"/>
      <c r="K860" s="5" t="s">
        <v>10827</v>
      </c>
    </row>
    <row r="861" customFormat="false" ht="15" hidden="false" customHeight="false" outlineLevel="0" collapsed="false">
      <c r="A861" s="5" t="s">
        <v>10828</v>
      </c>
      <c r="B861" s="2" t="s">
        <v>10829</v>
      </c>
      <c r="C861" s="5" t="s">
        <v>2128</v>
      </c>
      <c r="D861" s="5" t="s">
        <v>62</v>
      </c>
      <c r="E861" s="5" t="n">
        <v>9</v>
      </c>
      <c r="F861" s="5" t="s">
        <v>536</v>
      </c>
      <c r="G861" s="2" t="s">
        <v>9558</v>
      </c>
      <c r="H861" s="5" t="s">
        <v>8336</v>
      </c>
      <c r="I861" s="5"/>
      <c r="J861" s="5"/>
      <c r="K861" s="5" t="s">
        <v>10830</v>
      </c>
    </row>
    <row r="862" customFormat="false" ht="15" hidden="false" customHeight="false" outlineLevel="0" collapsed="false">
      <c r="A862" s="5" t="s">
        <v>10831</v>
      </c>
      <c r="B862" s="2" t="s">
        <v>10832</v>
      </c>
      <c r="C862" s="5" t="s">
        <v>2128</v>
      </c>
      <c r="D862" s="5" t="s">
        <v>62</v>
      </c>
      <c r="E862" s="5" t="n">
        <v>9</v>
      </c>
      <c r="F862" s="5" t="s">
        <v>536</v>
      </c>
      <c r="G862" s="2" t="s">
        <v>9558</v>
      </c>
      <c r="H862" s="5" t="s">
        <v>8336</v>
      </c>
      <c r="I862" s="5"/>
      <c r="J862" s="5"/>
      <c r="K862" s="5" t="s">
        <v>10833</v>
      </c>
    </row>
    <row r="863" customFormat="false" ht="15" hidden="false" customHeight="false" outlineLevel="0" collapsed="false">
      <c r="A863" s="5" t="s">
        <v>10834</v>
      </c>
      <c r="B863" s="2" t="s">
        <v>10835</v>
      </c>
      <c r="C863" s="5" t="s">
        <v>2128</v>
      </c>
      <c r="D863" s="5" t="s">
        <v>62</v>
      </c>
      <c r="E863" s="5" t="n">
        <v>9</v>
      </c>
      <c r="F863" s="5" t="s">
        <v>9557</v>
      </c>
      <c r="G863" s="2" t="s">
        <v>9558</v>
      </c>
      <c r="H863" s="5" t="s">
        <v>8336</v>
      </c>
      <c r="I863" s="5"/>
      <c r="J863" s="5"/>
      <c r="K863" s="5" t="s">
        <v>10836</v>
      </c>
    </row>
    <row r="864" customFormat="false" ht="15" hidden="false" customHeight="false" outlineLevel="0" collapsed="false">
      <c r="A864" s="5" t="s">
        <v>10837</v>
      </c>
      <c r="B864" s="2" t="s">
        <v>10838</v>
      </c>
      <c r="C864" s="5" t="s">
        <v>2128</v>
      </c>
      <c r="D864" s="5" t="s">
        <v>62</v>
      </c>
      <c r="E864" s="5" t="n">
        <v>8</v>
      </c>
      <c r="F864" s="5" t="s">
        <v>9557</v>
      </c>
      <c r="G864" s="2" t="s">
        <v>9558</v>
      </c>
      <c r="H864" s="5" t="s">
        <v>8336</v>
      </c>
      <c r="I864" s="5"/>
      <c r="J864" s="5"/>
      <c r="K864" s="5" t="s">
        <v>10839</v>
      </c>
    </row>
    <row r="865" customFormat="false" ht="15" hidden="false" customHeight="false" outlineLevel="0" collapsed="false">
      <c r="A865" s="5" t="s">
        <v>10840</v>
      </c>
      <c r="B865" s="2" t="s">
        <v>10841</v>
      </c>
      <c r="C865" s="5" t="s">
        <v>2128</v>
      </c>
      <c r="D865" s="5" t="s">
        <v>62</v>
      </c>
      <c r="E865" s="5" t="n">
        <v>7</v>
      </c>
      <c r="F865" s="5" t="s">
        <v>9557</v>
      </c>
      <c r="G865" s="2" t="s">
        <v>9558</v>
      </c>
      <c r="H865" s="5" t="s">
        <v>8336</v>
      </c>
      <c r="I865" s="5"/>
      <c r="J865" s="5"/>
      <c r="K865" s="5" t="s">
        <v>10842</v>
      </c>
    </row>
    <row r="866" customFormat="false" ht="15" hidden="false" customHeight="false" outlineLevel="0" collapsed="false">
      <c r="A866" s="5" t="s">
        <v>10843</v>
      </c>
      <c r="B866" s="2" t="s">
        <v>10844</v>
      </c>
      <c r="C866" s="5" t="s">
        <v>2128</v>
      </c>
      <c r="D866" s="5" t="s">
        <v>62</v>
      </c>
      <c r="E866" s="5" t="n">
        <v>7</v>
      </c>
      <c r="F866" s="5" t="s">
        <v>9557</v>
      </c>
      <c r="G866" s="2" t="s">
        <v>9558</v>
      </c>
      <c r="H866" s="5" t="s">
        <v>8336</v>
      </c>
      <c r="I866" s="5"/>
      <c r="J866" s="5"/>
      <c r="K866" s="5" t="s">
        <v>10845</v>
      </c>
    </row>
    <row r="867" customFormat="false" ht="15" hidden="false" customHeight="false" outlineLevel="0" collapsed="false">
      <c r="A867" s="5" t="s">
        <v>10846</v>
      </c>
      <c r="B867" s="2" t="s">
        <v>10847</v>
      </c>
      <c r="C867" s="5" t="s">
        <v>2128</v>
      </c>
      <c r="D867" s="5" t="s">
        <v>62</v>
      </c>
      <c r="E867" s="5" t="n">
        <v>7</v>
      </c>
      <c r="F867" s="5" t="s">
        <v>9557</v>
      </c>
      <c r="G867" s="2" t="s">
        <v>9558</v>
      </c>
      <c r="H867" s="5" t="s">
        <v>8336</v>
      </c>
      <c r="I867" s="5"/>
      <c r="J867" s="5"/>
      <c r="K867" s="5" t="s">
        <v>10848</v>
      </c>
    </row>
    <row r="868" customFormat="false" ht="15" hidden="false" customHeight="false" outlineLevel="0" collapsed="false">
      <c r="A868" s="5" t="s">
        <v>10849</v>
      </c>
      <c r="B868" s="2" t="s">
        <v>10850</v>
      </c>
      <c r="C868" s="5" t="s">
        <v>2128</v>
      </c>
      <c r="D868" s="5" t="s">
        <v>62</v>
      </c>
      <c r="E868" s="5" t="n">
        <v>7</v>
      </c>
      <c r="F868" s="5" t="s">
        <v>9027</v>
      </c>
      <c r="G868" s="2" t="s">
        <v>9558</v>
      </c>
      <c r="H868" s="5" t="s">
        <v>8336</v>
      </c>
      <c r="I868" s="5"/>
      <c r="J868" s="5"/>
      <c r="K868" s="5" t="s">
        <v>10851</v>
      </c>
    </row>
    <row r="869" customFormat="false" ht="15" hidden="false" customHeight="false" outlineLevel="0" collapsed="false">
      <c r="A869" s="5" t="s">
        <v>10852</v>
      </c>
      <c r="B869" s="2" t="s">
        <v>10853</v>
      </c>
      <c r="C869" s="5" t="s">
        <v>2128</v>
      </c>
      <c r="D869" s="5" t="s">
        <v>62</v>
      </c>
      <c r="E869" s="5" t="n">
        <v>9</v>
      </c>
      <c r="F869" s="5" t="s">
        <v>536</v>
      </c>
      <c r="G869" s="2" t="s">
        <v>8894</v>
      </c>
      <c r="H869" s="5" t="s">
        <v>8336</v>
      </c>
      <c r="I869" s="5"/>
      <c r="J869" s="5"/>
      <c r="K869" s="5" t="s">
        <v>10854</v>
      </c>
    </row>
    <row r="870" customFormat="false" ht="23.85" hidden="false" customHeight="false" outlineLevel="0" collapsed="false">
      <c r="A870" s="5" t="s">
        <v>10855</v>
      </c>
      <c r="B870" s="2" t="s">
        <v>10856</v>
      </c>
      <c r="C870" s="5" t="s">
        <v>2128</v>
      </c>
      <c r="D870" s="5" t="s">
        <v>62</v>
      </c>
      <c r="E870" s="5" t="n">
        <v>7</v>
      </c>
      <c r="F870" s="5"/>
      <c r="G870" s="2" t="s">
        <v>2349</v>
      </c>
      <c r="H870" s="5" t="s">
        <v>8336</v>
      </c>
      <c r="I870" s="5"/>
      <c r="J870" s="5"/>
      <c r="K870" s="5" t="s">
        <v>10857</v>
      </c>
    </row>
    <row r="871" customFormat="false" ht="23.85" hidden="false" customHeight="false" outlineLevel="0" collapsed="false">
      <c r="A871" s="5" t="s">
        <v>10858</v>
      </c>
      <c r="B871" s="2" t="s">
        <v>10859</v>
      </c>
      <c r="C871" s="5" t="s">
        <v>2128</v>
      </c>
      <c r="D871" s="5" t="s">
        <v>62</v>
      </c>
      <c r="E871" s="5" t="n">
        <v>7</v>
      </c>
      <c r="F871" s="5"/>
      <c r="G871" s="2" t="s">
        <v>8898</v>
      </c>
      <c r="H871" s="5" t="s">
        <v>8336</v>
      </c>
      <c r="I871" s="5"/>
      <c r="J871" s="5"/>
      <c r="K871" s="5" t="s">
        <v>10860</v>
      </c>
    </row>
    <row r="872" customFormat="false" ht="23.85" hidden="false" customHeight="false" outlineLevel="0" collapsed="false">
      <c r="A872" s="5" t="s">
        <v>10861</v>
      </c>
      <c r="B872" s="2" t="s">
        <v>10862</v>
      </c>
      <c r="C872" s="5" t="s">
        <v>2128</v>
      </c>
      <c r="D872" s="5" t="s">
        <v>62</v>
      </c>
      <c r="E872" s="5" t="n">
        <v>7</v>
      </c>
      <c r="F872" s="5"/>
      <c r="G872" s="2" t="s">
        <v>8898</v>
      </c>
      <c r="H872" s="5" t="s">
        <v>8336</v>
      </c>
      <c r="I872" s="5"/>
      <c r="J872" s="5"/>
      <c r="K872" s="5" t="s">
        <v>10863</v>
      </c>
    </row>
    <row r="873" customFormat="false" ht="23.85" hidden="false" customHeight="false" outlineLevel="0" collapsed="false">
      <c r="A873" s="5" t="s">
        <v>10864</v>
      </c>
      <c r="B873" s="2" t="s">
        <v>10865</v>
      </c>
      <c r="C873" s="5" t="s">
        <v>2128</v>
      </c>
      <c r="D873" s="5" t="s">
        <v>62</v>
      </c>
      <c r="E873" s="5" t="n">
        <v>7</v>
      </c>
      <c r="F873" s="5"/>
      <c r="G873" s="2" t="s">
        <v>8898</v>
      </c>
      <c r="H873" s="5" t="s">
        <v>8336</v>
      </c>
      <c r="I873" s="5"/>
      <c r="J873" s="5"/>
      <c r="K873" s="5" t="s">
        <v>10866</v>
      </c>
    </row>
    <row r="874" customFormat="false" ht="23.85" hidden="false" customHeight="false" outlineLevel="0" collapsed="false">
      <c r="A874" s="5" t="s">
        <v>10867</v>
      </c>
      <c r="B874" s="2" t="s">
        <v>10868</v>
      </c>
      <c r="C874" s="5" t="s">
        <v>2128</v>
      </c>
      <c r="D874" s="5" t="s">
        <v>62</v>
      </c>
      <c r="E874" s="5" t="n">
        <v>7</v>
      </c>
      <c r="F874" s="5"/>
      <c r="G874" s="2" t="s">
        <v>8898</v>
      </c>
      <c r="H874" s="5" t="s">
        <v>8336</v>
      </c>
      <c r="I874" s="5"/>
      <c r="J874" s="5"/>
      <c r="K874" s="5" t="s">
        <v>10869</v>
      </c>
    </row>
    <row r="875" customFormat="false" ht="15" hidden="false" customHeight="false" outlineLevel="0" collapsed="false">
      <c r="A875" s="5" t="s">
        <v>10870</v>
      </c>
      <c r="B875" s="2" t="s">
        <v>10871</v>
      </c>
      <c r="C875" s="5" t="s">
        <v>2128</v>
      </c>
      <c r="D875" s="5" t="s">
        <v>62</v>
      </c>
      <c r="E875" s="5" t="n">
        <v>9</v>
      </c>
      <c r="F875" s="5" t="s">
        <v>8702</v>
      </c>
      <c r="G875" s="2" t="s">
        <v>10872</v>
      </c>
      <c r="H875" s="5" t="s">
        <v>8336</v>
      </c>
      <c r="I875" s="5"/>
      <c r="J875" s="5"/>
      <c r="K875" s="5" t="s">
        <v>10873</v>
      </c>
    </row>
    <row r="876" customFormat="false" ht="15" hidden="false" customHeight="false" outlineLevel="0" collapsed="false">
      <c r="A876" s="5" t="s">
        <v>10874</v>
      </c>
      <c r="B876" s="2" t="s">
        <v>10875</v>
      </c>
      <c r="C876" s="5" t="s">
        <v>2128</v>
      </c>
      <c r="D876" s="5" t="s">
        <v>62</v>
      </c>
      <c r="E876" s="5" t="n">
        <v>9</v>
      </c>
      <c r="F876" s="5" t="s">
        <v>8702</v>
      </c>
      <c r="G876" s="2" t="s">
        <v>10872</v>
      </c>
      <c r="H876" s="5" t="s">
        <v>8336</v>
      </c>
      <c r="I876" s="5"/>
      <c r="J876" s="5"/>
      <c r="K876" s="5" t="s">
        <v>10876</v>
      </c>
    </row>
    <row r="877" customFormat="false" ht="15" hidden="false" customHeight="false" outlineLevel="0" collapsed="false">
      <c r="A877" s="5" t="s">
        <v>10877</v>
      </c>
      <c r="B877" s="2" t="s">
        <v>10878</v>
      </c>
      <c r="C877" s="5" t="s">
        <v>2128</v>
      </c>
      <c r="D877" s="5" t="s">
        <v>62</v>
      </c>
      <c r="E877" s="5" t="n">
        <v>9</v>
      </c>
      <c r="F877" s="5" t="s">
        <v>9196</v>
      </c>
      <c r="G877" s="2" t="s">
        <v>2376</v>
      </c>
      <c r="H877" s="5" t="s">
        <v>8336</v>
      </c>
      <c r="I877" s="5"/>
      <c r="J877" s="5"/>
      <c r="K877" s="5" t="s">
        <v>10879</v>
      </c>
    </row>
    <row r="878" customFormat="false" ht="23.85" hidden="false" customHeight="false" outlineLevel="0" collapsed="false">
      <c r="A878" s="5" t="s">
        <v>4990</v>
      </c>
      <c r="B878" s="2" t="s">
        <v>4991</v>
      </c>
      <c r="C878" s="5" t="s">
        <v>2128</v>
      </c>
      <c r="D878" s="5" t="s">
        <v>62</v>
      </c>
      <c r="E878" s="5" t="n">
        <v>7</v>
      </c>
      <c r="F878" s="5" t="s">
        <v>100</v>
      </c>
      <c r="G878" s="2" t="s">
        <v>8898</v>
      </c>
      <c r="H878" s="5" t="s">
        <v>8332</v>
      </c>
      <c r="I878" s="5" t="s">
        <v>4760</v>
      </c>
      <c r="J878" s="5" t="s">
        <v>100</v>
      </c>
      <c r="K878" s="5" t="s">
        <v>4994</v>
      </c>
    </row>
    <row r="879" customFormat="false" ht="23.85" hidden="false" customHeight="false" outlineLevel="0" collapsed="false">
      <c r="A879" s="5" t="s">
        <v>10880</v>
      </c>
      <c r="B879" s="2" t="s">
        <v>10881</v>
      </c>
      <c r="C879" s="5" t="s">
        <v>2128</v>
      </c>
      <c r="D879" s="5" t="s">
        <v>62</v>
      </c>
      <c r="E879" s="5" t="n">
        <v>9</v>
      </c>
      <c r="F879" s="5" t="s">
        <v>1814</v>
      </c>
      <c r="G879" s="2" t="s">
        <v>8898</v>
      </c>
      <c r="H879" s="5" t="s">
        <v>8336</v>
      </c>
      <c r="I879" s="5"/>
      <c r="J879" s="5"/>
      <c r="K879" s="5" t="s">
        <v>10882</v>
      </c>
    </row>
    <row r="880" customFormat="false" ht="23.85" hidden="false" customHeight="false" outlineLevel="0" collapsed="false">
      <c r="A880" s="5" t="s">
        <v>10883</v>
      </c>
      <c r="B880" s="2" t="s">
        <v>10884</v>
      </c>
      <c r="C880" s="5" t="s">
        <v>2128</v>
      </c>
      <c r="D880" s="5" t="s">
        <v>62</v>
      </c>
      <c r="E880" s="5" t="n">
        <v>9</v>
      </c>
      <c r="F880" s="5" t="s">
        <v>1814</v>
      </c>
      <c r="G880" s="2" t="s">
        <v>8898</v>
      </c>
      <c r="H880" s="5" t="s">
        <v>8336</v>
      </c>
      <c r="I880" s="5"/>
      <c r="J880" s="5"/>
      <c r="K880" s="5" t="s">
        <v>10885</v>
      </c>
    </row>
    <row r="881" customFormat="false" ht="23.85" hidden="false" customHeight="false" outlineLevel="0" collapsed="false">
      <c r="A881" s="5" t="s">
        <v>10886</v>
      </c>
      <c r="B881" s="2" t="s">
        <v>10887</v>
      </c>
      <c r="C881" s="5" t="s">
        <v>2128</v>
      </c>
      <c r="D881" s="5" t="s">
        <v>490</v>
      </c>
      <c r="E881" s="5" t="n">
        <v>7</v>
      </c>
      <c r="F881" s="5" t="s">
        <v>8702</v>
      </c>
      <c r="G881" s="2" t="s">
        <v>8898</v>
      </c>
      <c r="H881" s="5" t="s">
        <v>8336</v>
      </c>
      <c r="I881" s="5"/>
      <c r="J881" s="5"/>
      <c r="K881" s="5" t="s">
        <v>10888</v>
      </c>
    </row>
    <row r="882" customFormat="false" ht="15" hidden="false" customHeight="false" outlineLevel="0" collapsed="false">
      <c r="A882" s="5" t="s">
        <v>4995</v>
      </c>
      <c r="B882" s="2" t="s">
        <v>4996</v>
      </c>
      <c r="C882" s="5" t="s">
        <v>2128</v>
      </c>
      <c r="D882" s="5" t="s">
        <v>62</v>
      </c>
      <c r="E882" s="5" t="n">
        <v>9</v>
      </c>
      <c r="F882" s="5" t="s">
        <v>2079</v>
      </c>
      <c r="G882" s="2" t="s">
        <v>2721</v>
      </c>
      <c r="H882" s="5" t="s">
        <v>8332</v>
      </c>
      <c r="I882" s="5" t="s">
        <v>4760</v>
      </c>
      <c r="J882" s="5" t="s">
        <v>2079</v>
      </c>
      <c r="K882" s="5" t="s">
        <v>5000</v>
      </c>
    </row>
    <row r="883" customFormat="false" ht="23.85" hidden="false" customHeight="false" outlineLevel="0" collapsed="false">
      <c r="A883" s="5" t="s">
        <v>5001</v>
      </c>
      <c r="B883" s="2" t="s">
        <v>5002</v>
      </c>
      <c r="C883" s="5" t="s">
        <v>2128</v>
      </c>
      <c r="D883" s="5" t="s">
        <v>62</v>
      </c>
      <c r="E883" s="5" t="n">
        <v>9</v>
      </c>
      <c r="F883" s="5" t="s">
        <v>2079</v>
      </c>
      <c r="G883" s="2" t="s">
        <v>10514</v>
      </c>
      <c r="H883" s="5" t="s">
        <v>8332</v>
      </c>
      <c r="I883" s="5" t="s">
        <v>4760</v>
      </c>
      <c r="J883" s="5" t="s">
        <v>2079</v>
      </c>
      <c r="K883" s="5" t="s">
        <v>5007</v>
      </c>
    </row>
    <row r="884" customFormat="false" ht="23.85" hidden="false" customHeight="false" outlineLevel="0" collapsed="false">
      <c r="A884" s="5" t="s">
        <v>5008</v>
      </c>
      <c r="B884" s="2" t="s">
        <v>5009</v>
      </c>
      <c r="C884" s="5" t="s">
        <v>2128</v>
      </c>
      <c r="D884" s="5" t="s">
        <v>490</v>
      </c>
      <c r="E884" s="5" t="n">
        <v>9</v>
      </c>
      <c r="F884" s="5" t="s">
        <v>2079</v>
      </c>
      <c r="G884" s="2" t="s">
        <v>10514</v>
      </c>
      <c r="H884" s="5" t="s">
        <v>8332</v>
      </c>
      <c r="I884" s="5" t="s">
        <v>4760</v>
      </c>
      <c r="J884" s="5" t="s">
        <v>2079</v>
      </c>
      <c r="K884" s="5" t="s">
        <v>5014</v>
      </c>
    </row>
    <row r="885" customFormat="false" ht="23.85" hidden="false" customHeight="false" outlineLevel="0" collapsed="false">
      <c r="A885" s="5" t="s">
        <v>2718</v>
      </c>
      <c r="B885" s="2" t="s">
        <v>2719</v>
      </c>
      <c r="C885" s="5" t="s">
        <v>2128</v>
      </c>
      <c r="D885" s="5" t="s">
        <v>62</v>
      </c>
      <c r="E885" s="5" t="n">
        <v>9</v>
      </c>
      <c r="F885" s="5" t="s">
        <v>284</v>
      </c>
      <c r="G885" s="2" t="s">
        <v>2721</v>
      </c>
      <c r="H885" s="5" t="s">
        <v>8332</v>
      </c>
      <c r="I885" s="5" t="s">
        <v>60</v>
      </c>
      <c r="J885" s="5" t="s">
        <v>751</v>
      </c>
      <c r="K885" s="5" t="s">
        <v>2728</v>
      </c>
    </row>
    <row r="886" customFormat="false" ht="23.85" hidden="false" customHeight="false" outlineLevel="0" collapsed="false">
      <c r="A886" s="5" t="s">
        <v>2729</v>
      </c>
      <c r="B886" s="2" t="s">
        <v>2730</v>
      </c>
      <c r="C886" s="5" t="s">
        <v>2128</v>
      </c>
      <c r="D886" s="5" t="s">
        <v>62</v>
      </c>
      <c r="E886" s="5" t="n">
        <v>9</v>
      </c>
      <c r="F886" s="5" t="s">
        <v>284</v>
      </c>
      <c r="G886" s="2" t="s">
        <v>10514</v>
      </c>
      <c r="H886" s="5" t="s">
        <v>8332</v>
      </c>
      <c r="I886" s="5" t="s">
        <v>60</v>
      </c>
      <c r="J886" s="5" t="s">
        <v>751</v>
      </c>
      <c r="K886" s="5" t="s">
        <v>2736</v>
      </c>
    </row>
    <row r="887" customFormat="false" ht="23.85" hidden="false" customHeight="false" outlineLevel="0" collapsed="false">
      <c r="A887" s="5" t="s">
        <v>5015</v>
      </c>
      <c r="B887" s="2" t="s">
        <v>5016</v>
      </c>
      <c r="C887" s="5" t="s">
        <v>2128</v>
      </c>
      <c r="D887" s="5" t="s">
        <v>62</v>
      </c>
      <c r="E887" s="5" t="n">
        <v>9</v>
      </c>
      <c r="F887" s="5" t="s">
        <v>2079</v>
      </c>
      <c r="G887" s="2" t="s">
        <v>2721</v>
      </c>
      <c r="H887" s="5" t="s">
        <v>8332</v>
      </c>
      <c r="I887" s="5" t="s">
        <v>4760</v>
      </c>
      <c r="J887" s="5" t="s">
        <v>2079</v>
      </c>
      <c r="K887" s="5" t="s">
        <v>5019</v>
      </c>
    </row>
    <row r="888" customFormat="false" ht="23.85" hidden="false" customHeight="false" outlineLevel="0" collapsed="false">
      <c r="A888" s="5" t="s">
        <v>5020</v>
      </c>
      <c r="B888" s="2" t="s">
        <v>5021</v>
      </c>
      <c r="C888" s="5" t="s">
        <v>2128</v>
      </c>
      <c r="D888" s="5" t="s">
        <v>62</v>
      </c>
      <c r="E888" s="5" t="n">
        <v>9</v>
      </c>
      <c r="F888" s="5" t="s">
        <v>2079</v>
      </c>
      <c r="G888" s="2" t="s">
        <v>10514</v>
      </c>
      <c r="H888" s="5" t="s">
        <v>8332</v>
      </c>
      <c r="I888" s="5" t="s">
        <v>4760</v>
      </c>
      <c r="J888" s="5" t="s">
        <v>2079</v>
      </c>
      <c r="K888" s="5" t="s">
        <v>5026</v>
      </c>
    </row>
    <row r="889" customFormat="false" ht="23.85" hidden="false" customHeight="false" outlineLevel="0" collapsed="false">
      <c r="A889" s="5" t="s">
        <v>5027</v>
      </c>
      <c r="B889" s="2" t="s">
        <v>5028</v>
      </c>
      <c r="C889" s="5" t="s">
        <v>2128</v>
      </c>
      <c r="D889" s="5" t="s">
        <v>62</v>
      </c>
      <c r="E889" s="5" t="n">
        <v>9</v>
      </c>
      <c r="F889" s="5" t="s">
        <v>2079</v>
      </c>
      <c r="G889" s="2" t="s">
        <v>2721</v>
      </c>
      <c r="H889" s="5" t="s">
        <v>8332</v>
      </c>
      <c r="I889" s="5" t="s">
        <v>4760</v>
      </c>
      <c r="J889" s="5" t="s">
        <v>2079</v>
      </c>
      <c r="K889" s="5" t="s">
        <v>5031</v>
      </c>
    </row>
    <row r="890" customFormat="false" ht="23.85" hidden="false" customHeight="false" outlineLevel="0" collapsed="false">
      <c r="A890" s="5" t="s">
        <v>5032</v>
      </c>
      <c r="B890" s="2" t="s">
        <v>5033</v>
      </c>
      <c r="C890" s="5" t="s">
        <v>2128</v>
      </c>
      <c r="D890" s="5" t="s">
        <v>62</v>
      </c>
      <c r="E890" s="5" t="n">
        <v>9</v>
      </c>
      <c r="F890" s="5" t="s">
        <v>2079</v>
      </c>
      <c r="G890" s="2" t="s">
        <v>10514</v>
      </c>
      <c r="H890" s="5" t="s">
        <v>8332</v>
      </c>
      <c r="I890" s="5" t="s">
        <v>4760</v>
      </c>
      <c r="J890" s="5" t="s">
        <v>2079</v>
      </c>
      <c r="K890" s="5" t="s">
        <v>5038</v>
      </c>
    </row>
    <row r="891" customFormat="false" ht="23.85" hidden="false" customHeight="false" outlineLevel="0" collapsed="false">
      <c r="A891" s="5" t="s">
        <v>5039</v>
      </c>
      <c r="B891" s="2" t="s">
        <v>5040</v>
      </c>
      <c r="C891" s="5" t="s">
        <v>2128</v>
      </c>
      <c r="D891" s="5" t="s">
        <v>62</v>
      </c>
      <c r="E891" s="5" t="n">
        <v>9</v>
      </c>
      <c r="F891" s="5" t="s">
        <v>2079</v>
      </c>
      <c r="G891" s="2" t="s">
        <v>2721</v>
      </c>
      <c r="H891" s="5" t="s">
        <v>8332</v>
      </c>
      <c r="I891" s="5" t="s">
        <v>4760</v>
      </c>
      <c r="J891" s="5" t="s">
        <v>2079</v>
      </c>
      <c r="K891" s="5" t="s">
        <v>5045</v>
      </c>
    </row>
    <row r="892" customFormat="false" ht="23.85" hidden="false" customHeight="false" outlineLevel="0" collapsed="false">
      <c r="A892" s="5" t="s">
        <v>5046</v>
      </c>
      <c r="B892" s="2" t="s">
        <v>5047</v>
      </c>
      <c r="C892" s="5" t="s">
        <v>2128</v>
      </c>
      <c r="D892" s="5" t="s">
        <v>62</v>
      </c>
      <c r="E892" s="5" t="n">
        <v>9</v>
      </c>
      <c r="F892" s="5" t="s">
        <v>2079</v>
      </c>
      <c r="G892" s="2" t="s">
        <v>10514</v>
      </c>
      <c r="H892" s="5" t="s">
        <v>8332</v>
      </c>
      <c r="I892" s="5" t="s">
        <v>4760</v>
      </c>
      <c r="J892" s="5" t="s">
        <v>2079</v>
      </c>
      <c r="K892" s="5" t="s">
        <v>5052</v>
      </c>
    </row>
    <row r="893" customFormat="false" ht="15" hidden="false" customHeight="false" outlineLevel="0" collapsed="false">
      <c r="A893" s="5" t="s">
        <v>5053</v>
      </c>
      <c r="B893" s="2" t="s">
        <v>5054</v>
      </c>
      <c r="C893" s="5" t="s">
        <v>2128</v>
      </c>
      <c r="D893" s="5" t="s">
        <v>62</v>
      </c>
      <c r="E893" s="5" t="n">
        <v>9</v>
      </c>
      <c r="F893" s="5" t="s">
        <v>2079</v>
      </c>
      <c r="G893" s="2" t="s">
        <v>2721</v>
      </c>
      <c r="H893" s="5" t="s">
        <v>8332</v>
      </c>
      <c r="I893" s="5" t="s">
        <v>4760</v>
      </c>
      <c r="J893" s="5" t="s">
        <v>2079</v>
      </c>
      <c r="K893" s="5" t="s">
        <v>5057</v>
      </c>
    </row>
    <row r="894" customFormat="false" ht="15" hidden="false" customHeight="false" outlineLevel="0" collapsed="false">
      <c r="A894" s="5" t="s">
        <v>5058</v>
      </c>
      <c r="B894" s="2" t="s">
        <v>5059</v>
      </c>
      <c r="C894" s="5" t="s">
        <v>2128</v>
      </c>
      <c r="D894" s="5" t="s">
        <v>62</v>
      </c>
      <c r="E894" s="5" t="n">
        <v>9</v>
      </c>
      <c r="F894" s="5" t="s">
        <v>2079</v>
      </c>
      <c r="G894" s="2" t="s">
        <v>10514</v>
      </c>
      <c r="H894" s="5" t="s">
        <v>8332</v>
      </c>
      <c r="I894" s="5" t="s">
        <v>4760</v>
      </c>
      <c r="J894" s="5" t="s">
        <v>2079</v>
      </c>
      <c r="K894" s="5" t="s">
        <v>5064</v>
      </c>
    </row>
    <row r="895" customFormat="false" ht="23.85" hidden="false" customHeight="false" outlineLevel="0" collapsed="false">
      <c r="A895" s="5" t="s">
        <v>5065</v>
      </c>
      <c r="B895" s="2" t="s">
        <v>5066</v>
      </c>
      <c r="C895" s="5" t="s">
        <v>2128</v>
      </c>
      <c r="D895" s="5" t="s">
        <v>62</v>
      </c>
      <c r="E895" s="5" t="n">
        <v>9</v>
      </c>
      <c r="F895" s="5" t="s">
        <v>2079</v>
      </c>
      <c r="G895" s="2" t="s">
        <v>2721</v>
      </c>
      <c r="H895" s="5" t="s">
        <v>8332</v>
      </c>
      <c r="I895" s="5" t="s">
        <v>4760</v>
      </c>
      <c r="J895" s="5" t="s">
        <v>2079</v>
      </c>
      <c r="K895" s="5" t="s">
        <v>5069</v>
      </c>
    </row>
    <row r="896" customFormat="false" ht="23.85" hidden="false" customHeight="false" outlineLevel="0" collapsed="false">
      <c r="A896" s="5" t="s">
        <v>5070</v>
      </c>
      <c r="B896" s="2" t="s">
        <v>5071</v>
      </c>
      <c r="C896" s="5" t="s">
        <v>2128</v>
      </c>
      <c r="D896" s="5" t="s">
        <v>62</v>
      </c>
      <c r="E896" s="5" t="n">
        <v>9</v>
      </c>
      <c r="F896" s="5" t="s">
        <v>2079</v>
      </c>
      <c r="G896" s="2" t="s">
        <v>10514</v>
      </c>
      <c r="H896" s="5" t="s">
        <v>8332</v>
      </c>
      <c r="I896" s="5" t="s">
        <v>4760</v>
      </c>
      <c r="J896" s="5" t="s">
        <v>2079</v>
      </c>
      <c r="K896" s="5" t="s">
        <v>5076</v>
      </c>
    </row>
    <row r="897" customFormat="false" ht="23.85" hidden="false" customHeight="false" outlineLevel="0" collapsed="false">
      <c r="A897" s="5" t="s">
        <v>5077</v>
      </c>
      <c r="B897" s="2" t="s">
        <v>5078</v>
      </c>
      <c r="C897" s="5" t="s">
        <v>2128</v>
      </c>
      <c r="D897" s="5" t="s">
        <v>62</v>
      </c>
      <c r="E897" s="5" t="n">
        <v>10</v>
      </c>
      <c r="F897" s="5" t="s">
        <v>2079</v>
      </c>
      <c r="G897" s="2" t="s">
        <v>2721</v>
      </c>
      <c r="H897" s="5" t="s">
        <v>8332</v>
      </c>
      <c r="I897" s="5" t="s">
        <v>4760</v>
      </c>
      <c r="J897" s="5" t="s">
        <v>2079</v>
      </c>
      <c r="K897" s="5" t="s">
        <v>5081</v>
      </c>
    </row>
    <row r="898" customFormat="false" ht="23.85" hidden="false" customHeight="false" outlineLevel="0" collapsed="false">
      <c r="A898" s="5" t="s">
        <v>5082</v>
      </c>
      <c r="B898" s="2" t="s">
        <v>5083</v>
      </c>
      <c r="C898" s="5" t="s">
        <v>2128</v>
      </c>
      <c r="D898" s="5" t="s">
        <v>62</v>
      </c>
      <c r="E898" s="5" t="n">
        <v>10</v>
      </c>
      <c r="F898" s="5" t="s">
        <v>2079</v>
      </c>
      <c r="G898" s="2" t="s">
        <v>10514</v>
      </c>
      <c r="H898" s="5" t="s">
        <v>8332</v>
      </c>
      <c r="I898" s="5" t="s">
        <v>4760</v>
      </c>
      <c r="J898" s="5" t="s">
        <v>2079</v>
      </c>
      <c r="K898" s="5" t="s">
        <v>5088</v>
      </c>
    </row>
    <row r="899" customFormat="false" ht="23.85" hidden="false" customHeight="false" outlineLevel="0" collapsed="false">
      <c r="A899" s="5" t="s">
        <v>10889</v>
      </c>
      <c r="B899" s="2" t="s">
        <v>10890</v>
      </c>
      <c r="C899" s="5" t="s">
        <v>2128</v>
      </c>
      <c r="D899" s="5" t="s">
        <v>62</v>
      </c>
      <c r="E899" s="5" t="n">
        <v>9</v>
      </c>
      <c r="F899" s="5" t="s">
        <v>284</v>
      </c>
      <c r="G899" s="2" t="s">
        <v>10514</v>
      </c>
      <c r="H899" s="5" t="s">
        <v>8336</v>
      </c>
      <c r="I899" s="5"/>
      <c r="J899" s="5"/>
      <c r="K899" s="5" t="s">
        <v>10891</v>
      </c>
    </row>
    <row r="900" customFormat="false" ht="23.85" hidden="false" customHeight="false" outlineLevel="0" collapsed="false">
      <c r="A900" s="5" t="s">
        <v>5089</v>
      </c>
      <c r="B900" s="2" t="s">
        <v>5090</v>
      </c>
      <c r="C900" s="5" t="s">
        <v>2128</v>
      </c>
      <c r="D900" s="5" t="s">
        <v>62</v>
      </c>
      <c r="E900" s="5" t="n">
        <v>9</v>
      </c>
      <c r="F900" s="5" t="s">
        <v>2079</v>
      </c>
      <c r="G900" s="2" t="s">
        <v>10514</v>
      </c>
      <c r="H900" s="5" t="s">
        <v>8332</v>
      </c>
      <c r="I900" s="5" t="s">
        <v>4760</v>
      </c>
      <c r="J900" s="5" t="s">
        <v>2079</v>
      </c>
      <c r="K900" s="5" t="s">
        <v>5094</v>
      </c>
    </row>
    <row r="901" customFormat="false" ht="23.85" hidden="false" customHeight="false" outlineLevel="0" collapsed="false">
      <c r="A901" s="5" t="s">
        <v>5095</v>
      </c>
      <c r="B901" s="2" t="s">
        <v>5096</v>
      </c>
      <c r="C901" s="5" t="s">
        <v>2128</v>
      </c>
      <c r="D901" s="5" t="s">
        <v>62</v>
      </c>
      <c r="E901" s="5" t="n">
        <v>9</v>
      </c>
      <c r="F901" s="5" t="s">
        <v>2079</v>
      </c>
      <c r="G901" s="2" t="s">
        <v>2721</v>
      </c>
      <c r="H901" s="5" t="s">
        <v>8332</v>
      </c>
      <c r="I901" s="5" t="s">
        <v>4760</v>
      </c>
      <c r="J901" s="5" t="s">
        <v>2079</v>
      </c>
      <c r="K901" s="5" t="s">
        <v>5099</v>
      </c>
    </row>
    <row r="902" customFormat="false" ht="23.85" hidden="false" customHeight="false" outlineLevel="0" collapsed="false">
      <c r="A902" s="5" t="s">
        <v>5100</v>
      </c>
      <c r="B902" s="2" t="s">
        <v>5101</v>
      </c>
      <c r="C902" s="5" t="s">
        <v>2128</v>
      </c>
      <c r="D902" s="5" t="s">
        <v>62</v>
      </c>
      <c r="E902" s="5" t="n">
        <v>9</v>
      </c>
      <c r="F902" s="5" t="s">
        <v>2079</v>
      </c>
      <c r="G902" s="2" t="s">
        <v>10514</v>
      </c>
      <c r="H902" s="5" t="s">
        <v>8332</v>
      </c>
      <c r="I902" s="5" t="s">
        <v>4760</v>
      </c>
      <c r="J902" s="5" t="s">
        <v>2079</v>
      </c>
      <c r="K902" s="5" t="s">
        <v>5105</v>
      </c>
    </row>
    <row r="903" customFormat="false" ht="23.85" hidden="false" customHeight="false" outlineLevel="0" collapsed="false">
      <c r="A903" s="5" t="s">
        <v>5106</v>
      </c>
      <c r="B903" s="2" t="s">
        <v>5107</v>
      </c>
      <c r="C903" s="5" t="s">
        <v>2128</v>
      </c>
      <c r="D903" s="5" t="s">
        <v>62</v>
      </c>
      <c r="E903" s="5" t="n">
        <v>9</v>
      </c>
      <c r="F903" s="5" t="s">
        <v>2079</v>
      </c>
      <c r="G903" s="2" t="s">
        <v>10892</v>
      </c>
      <c r="H903" s="5" t="s">
        <v>8332</v>
      </c>
      <c r="I903" s="5" t="s">
        <v>4760</v>
      </c>
      <c r="J903" s="5" t="s">
        <v>2079</v>
      </c>
      <c r="K903" s="5" t="s">
        <v>5112</v>
      </c>
    </row>
    <row r="904" customFormat="false" ht="23.85" hidden="false" customHeight="false" outlineLevel="0" collapsed="false">
      <c r="A904" s="5" t="s">
        <v>5113</v>
      </c>
      <c r="B904" s="2" t="s">
        <v>5114</v>
      </c>
      <c r="C904" s="5" t="s">
        <v>2128</v>
      </c>
      <c r="D904" s="5" t="s">
        <v>62</v>
      </c>
      <c r="E904" s="5" t="n">
        <v>9</v>
      </c>
      <c r="F904" s="5" t="s">
        <v>2079</v>
      </c>
      <c r="G904" s="2" t="s">
        <v>2721</v>
      </c>
      <c r="H904" s="5" t="s">
        <v>8332</v>
      </c>
      <c r="I904" s="5" t="s">
        <v>4760</v>
      </c>
      <c r="J904" s="5" t="s">
        <v>2079</v>
      </c>
      <c r="K904" s="5" t="s">
        <v>5117</v>
      </c>
    </row>
    <row r="905" customFormat="false" ht="23.85" hidden="false" customHeight="false" outlineLevel="0" collapsed="false">
      <c r="A905" s="5" t="s">
        <v>5118</v>
      </c>
      <c r="B905" s="2" t="s">
        <v>5119</v>
      </c>
      <c r="C905" s="5" t="s">
        <v>2128</v>
      </c>
      <c r="D905" s="5" t="s">
        <v>62</v>
      </c>
      <c r="E905" s="5" t="n">
        <v>9</v>
      </c>
      <c r="F905" s="5" t="s">
        <v>2079</v>
      </c>
      <c r="G905" s="2" t="s">
        <v>10514</v>
      </c>
      <c r="H905" s="5" t="s">
        <v>8332</v>
      </c>
      <c r="I905" s="5" t="s">
        <v>4760</v>
      </c>
      <c r="J905" s="5" t="s">
        <v>2079</v>
      </c>
      <c r="K905" s="5" t="s">
        <v>5123</v>
      </c>
    </row>
    <row r="906" customFormat="false" ht="15" hidden="false" customHeight="false" outlineLevel="0" collapsed="false">
      <c r="A906" s="5" t="s">
        <v>5124</v>
      </c>
      <c r="B906" s="2" t="s">
        <v>5125</v>
      </c>
      <c r="C906" s="5" t="s">
        <v>2128</v>
      </c>
      <c r="D906" s="5" t="s">
        <v>62</v>
      </c>
      <c r="E906" s="5" t="n">
        <v>9</v>
      </c>
      <c r="F906" s="5" t="s">
        <v>2079</v>
      </c>
      <c r="G906" s="2" t="s">
        <v>2721</v>
      </c>
      <c r="H906" s="5" t="s">
        <v>8332</v>
      </c>
      <c r="I906" s="5" t="s">
        <v>4760</v>
      </c>
      <c r="J906" s="5" t="s">
        <v>2079</v>
      </c>
      <c r="K906" s="5" t="s">
        <v>5128</v>
      </c>
    </row>
    <row r="907" customFormat="false" ht="15" hidden="false" customHeight="false" outlineLevel="0" collapsed="false">
      <c r="A907" s="5" t="s">
        <v>5129</v>
      </c>
      <c r="B907" s="2" t="s">
        <v>5130</v>
      </c>
      <c r="C907" s="5" t="s">
        <v>2128</v>
      </c>
      <c r="D907" s="5" t="s">
        <v>62</v>
      </c>
      <c r="E907" s="5" t="n">
        <v>9</v>
      </c>
      <c r="F907" s="5" t="s">
        <v>2079</v>
      </c>
      <c r="G907" s="2" t="s">
        <v>10514</v>
      </c>
      <c r="H907" s="5" t="s">
        <v>8332</v>
      </c>
      <c r="I907" s="5" t="s">
        <v>4760</v>
      </c>
      <c r="J907" s="5" t="s">
        <v>2079</v>
      </c>
      <c r="K907" s="5" t="s">
        <v>5134</v>
      </c>
    </row>
    <row r="908" customFormat="false" ht="23.85" hidden="false" customHeight="false" outlineLevel="0" collapsed="false">
      <c r="A908" s="5" t="s">
        <v>5135</v>
      </c>
      <c r="B908" s="2" t="s">
        <v>5136</v>
      </c>
      <c r="C908" s="5" t="s">
        <v>2128</v>
      </c>
      <c r="D908" s="5" t="s">
        <v>490</v>
      </c>
      <c r="E908" s="5" t="n">
        <v>9</v>
      </c>
      <c r="F908" s="5" t="s">
        <v>2079</v>
      </c>
      <c r="G908" s="2" t="s">
        <v>2721</v>
      </c>
      <c r="H908" s="5" t="s">
        <v>8332</v>
      </c>
      <c r="I908" s="5" t="s">
        <v>4760</v>
      </c>
      <c r="J908" s="5" t="s">
        <v>2079</v>
      </c>
      <c r="K908" s="5" t="s">
        <v>5140</v>
      </c>
    </row>
    <row r="909" customFormat="false" ht="23.85" hidden="false" customHeight="false" outlineLevel="0" collapsed="false">
      <c r="A909" s="5" t="s">
        <v>5141</v>
      </c>
      <c r="B909" s="2" t="s">
        <v>5142</v>
      </c>
      <c r="C909" s="5" t="s">
        <v>2128</v>
      </c>
      <c r="D909" s="5" t="s">
        <v>490</v>
      </c>
      <c r="E909" s="5" t="n">
        <v>9</v>
      </c>
      <c r="F909" s="5" t="s">
        <v>2079</v>
      </c>
      <c r="G909" s="2" t="s">
        <v>10514</v>
      </c>
      <c r="H909" s="5" t="s">
        <v>8332</v>
      </c>
      <c r="I909" s="5" t="s">
        <v>4760</v>
      </c>
      <c r="J909" s="5" t="s">
        <v>2079</v>
      </c>
      <c r="K909" s="5" t="s">
        <v>5146</v>
      </c>
    </row>
    <row r="910" customFormat="false" ht="23.85" hidden="false" customHeight="false" outlineLevel="0" collapsed="false">
      <c r="A910" s="5" t="s">
        <v>5147</v>
      </c>
      <c r="B910" s="2" t="s">
        <v>5148</v>
      </c>
      <c r="C910" s="5" t="s">
        <v>2128</v>
      </c>
      <c r="D910" s="5" t="s">
        <v>490</v>
      </c>
      <c r="E910" s="5" t="n">
        <v>9</v>
      </c>
      <c r="F910" s="5" t="s">
        <v>2079</v>
      </c>
      <c r="G910" s="2" t="s">
        <v>2721</v>
      </c>
      <c r="H910" s="5" t="s">
        <v>8332</v>
      </c>
      <c r="I910" s="5" t="s">
        <v>4760</v>
      </c>
      <c r="J910" s="5" t="s">
        <v>2079</v>
      </c>
      <c r="K910" s="5" t="s">
        <v>5151</v>
      </c>
    </row>
    <row r="911" customFormat="false" ht="23.85" hidden="false" customHeight="false" outlineLevel="0" collapsed="false">
      <c r="A911" s="5" t="s">
        <v>5152</v>
      </c>
      <c r="B911" s="2" t="s">
        <v>5153</v>
      </c>
      <c r="C911" s="5" t="s">
        <v>2128</v>
      </c>
      <c r="D911" s="5" t="s">
        <v>490</v>
      </c>
      <c r="E911" s="5" t="n">
        <v>9</v>
      </c>
      <c r="F911" s="5" t="s">
        <v>2079</v>
      </c>
      <c r="G911" s="2" t="s">
        <v>10514</v>
      </c>
      <c r="H911" s="5" t="s">
        <v>8332</v>
      </c>
      <c r="I911" s="5" t="s">
        <v>4760</v>
      </c>
      <c r="J911" s="5" t="s">
        <v>2079</v>
      </c>
      <c r="K911" s="5" t="s">
        <v>5157</v>
      </c>
    </row>
    <row r="912" customFormat="false" ht="23.85" hidden="false" customHeight="false" outlineLevel="0" collapsed="false">
      <c r="A912" s="5" t="s">
        <v>5158</v>
      </c>
      <c r="B912" s="2" t="s">
        <v>5159</v>
      </c>
      <c r="C912" s="5" t="s">
        <v>2128</v>
      </c>
      <c r="D912" s="5" t="s">
        <v>62</v>
      </c>
      <c r="E912" s="5" t="n">
        <v>9</v>
      </c>
      <c r="F912" s="5" t="s">
        <v>2079</v>
      </c>
      <c r="G912" s="2" t="s">
        <v>2721</v>
      </c>
      <c r="H912" s="5" t="s">
        <v>8332</v>
      </c>
      <c r="I912" s="5" t="s">
        <v>4760</v>
      </c>
      <c r="J912" s="5" t="s">
        <v>2079</v>
      </c>
      <c r="K912" s="5" t="s">
        <v>5162</v>
      </c>
    </row>
    <row r="913" customFormat="false" ht="23.85" hidden="false" customHeight="false" outlineLevel="0" collapsed="false">
      <c r="A913" s="5" t="s">
        <v>5163</v>
      </c>
      <c r="B913" s="2" t="s">
        <v>5164</v>
      </c>
      <c r="C913" s="5" t="s">
        <v>2128</v>
      </c>
      <c r="D913" s="5" t="s">
        <v>62</v>
      </c>
      <c r="E913" s="5" t="n">
        <v>9</v>
      </c>
      <c r="F913" s="5" t="s">
        <v>2079</v>
      </c>
      <c r="G913" s="2" t="s">
        <v>10514</v>
      </c>
      <c r="H913" s="5" t="s">
        <v>8332</v>
      </c>
      <c r="I913" s="5" t="s">
        <v>4760</v>
      </c>
      <c r="J913" s="5" t="s">
        <v>2079</v>
      </c>
      <c r="K913" s="5" t="s">
        <v>5169</v>
      </c>
    </row>
    <row r="914" customFormat="false" ht="23.85" hidden="false" customHeight="false" outlineLevel="0" collapsed="false">
      <c r="A914" s="5" t="s">
        <v>10893</v>
      </c>
      <c r="B914" s="2" t="s">
        <v>10894</v>
      </c>
      <c r="C914" s="5" t="s">
        <v>2128</v>
      </c>
      <c r="D914" s="5" t="s">
        <v>490</v>
      </c>
      <c r="E914" s="5" t="n">
        <v>9</v>
      </c>
      <c r="F914" s="5" t="s">
        <v>67</v>
      </c>
      <c r="G914" s="2" t="s">
        <v>2721</v>
      </c>
      <c r="H914" s="5" t="s">
        <v>8336</v>
      </c>
      <c r="I914" s="5"/>
      <c r="J914" s="5"/>
      <c r="K914" s="5" t="s">
        <v>10895</v>
      </c>
    </row>
    <row r="915" customFormat="false" ht="23.85" hidden="false" customHeight="false" outlineLevel="0" collapsed="false">
      <c r="A915" s="5" t="s">
        <v>10896</v>
      </c>
      <c r="B915" s="2" t="s">
        <v>10897</v>
      </c>
      <c r="C915" s="5" t="s">
        <v>2128</v>
      </c>
      <c r="D915" s="5" t="s">
        <v>490</v>
      </c>
      <c r="E915" s="5" t="n">
        <v>9</v>
      </c>
      <c r="F915" s="5" t="s">
        <v>67</v>
      </c>
      <c r="G915" s="2" t="s">
        <v>2349</v>
      </c>
      <c r="H915" s="5" t="s">
        <v>8336</v>
      </c>
      <c r="I915" s="5"/>
      <c r="J915" s="5"/>
      <c r="K915" s="5" t="s">
        <v>10898</v>
      </c>
    </row>
    <row r="916" customFormat="false" ht="23.85" hidden="false" customHeight="false" outlineLevel="0" collapsed="false">
      <c r="A916" s="5" t="s">
        <v>5170</v>
      </c>
      <c r="B916" s="2" t="s">
        <v>5171</v>
      </c>
      <c r="C916" s="5" t="s">
        <v>2128</v>
      </c>
      <c r="D916" s="5" t="s">
        <v>490</v>
      </c>
      <c r="E916" s="5" t="n">
        <v>9</v>
      </c>
      <c r="F916" s="5" t="s">
        <v>2079</v>
      </c>
      <c r="G916" s="2" t="s">
        <v>10514</v>
      </c>
      <c r="H916" s="5" t="s">
        <v>8332</v>
      </c>
      <c r="I916" s="5" t="s">
        <v>4760</v>
      </c>
      <c r="J916" s="5" t="s">
        <v>2079</v>
      </c>
      <c r="K916" s="5" t="s">
        <v>5175</v>
      </c>
    </row>
    <row r="917" customFormat="false" ht="23.85" hidden="false" customHeight="false" outlineLevel="0" collapsed="false">
      <c r="A917" s="5" t="s">
        <v>5176</v>
      </c>
      <c r="B917" s="2" t="s">
        <v>5177</v>
      </c>
      <c r="C917" s="5" t="s">
        <v>2128</v>
      </c>
      <c r="D917" s="5" t="s">
        <v>490</v>
      </c>
      <c r="E917" s="5" t="n">
        <v>9</v>
      </c>
      <c r="F917" s="5" t="s">
        <v>2079</v>
      </c>
      <c r="G917" s="2" t="s">
        <v>2721</v>
      </c>
      <c r="H917" s="5" t="s">
        <v>8332</v>
      </c>
      <c r="I917" s="5" t="s">
        <v>4760</v>
      </c>
      <c r="J917" s="5" t="s">
        <v>2079</v>
      </c>
      <c r="K917" s="5" t="s">
        <v>5180</v>
      </c>
    </row>
    <row r="918" customFormat="false" ht="23.85" hidden="false" customHeight="false" outlineLevel="0" collapsed="false">
      <c r="A918" s="5" t="s">
        <v>5181</v>
      </c>
      <c r="B918" s="2" t="s">
        <v>5182</v>
      </c>
      <c r="C918" s="5" t="s">
        <v>2128</v>
      </c>
      <c r="D918" s="5" t="s">
        <v>62</v>
      </c>
      <c r="E918" s="5" t="n">
        <v>9</v>
      </c>
      <c r="F918" s="5" t="s">
        <v>2079</v>
      </c>
      <c r="G918" s="2" t="s">
        <v>2721</v>
      </c>
      <c r="H918" s="5" t="s">
        <v>8332</v>
      </c>
      <c r="I918" s="5" t="s">
        <v>4760</v>
      </c>
      <c r="J918" s="5" t="s">
        <v>2079</v>
      </c>
      <c r="K918" s="5" t="s">
        <v>5185</v>
      </c>
    </row>
    <row r="919" customFormat="false" ht="23.85" hidden="false" customHeight="false" outlineLevel="0" collapsed="false">
      <c r="A919" s="5" t="s">
        <v>5186</v>
      </c>
      <c r="B919" s="2" t="s">
        <v>5187</v>
      </c>
      <c r="C919" s="5" t="s">
        <v>2128</v>
      </c>
      <c r="D919" s="5" t="s">
        <v>62</v>
      </c>
      <c r="E919" s="5" t="n">
        <v>9</v>
      </c>
      <c r="F919" s="5" t="s">
        <v>2079</v>
      </c>
      <c r="G919" s="2" t="s">
        <v>10514</v>
      </c>
      <c r="H919" s="5" t="s">
        <v>8332</v>
      </c>
      <c r="I919" s="5" t="s">
        <v>4760</v>
      </c>
      <c r="J919" s="5" t="s">
        <v>2079</v>
      </c>
      <c r="K919" s="5" t="s">
        <v>5192</v>
      </c>
    </row>
    <row r="920" customFormat="false" ht="23.85" hidden="false" customHeight="false" outlineLevel="0" collapsed="false">
      <c r="A920" s="5" t="s">
        <v>5193</v>
      </c>
      <c r="B920" s="2" t="s">
        <v>5194</v>
      </c>
      <c r="C920" s="5" t="s">
        <v>2128</v>
      </c>
      <c r="D920" s="5" t="s">
        <v>62</v>
      </c>
      <c r="E920" s="5" t="n">
        <v>9</v>
      </c>
      <c r="F920" s="5" t="s">
        <v>2079</v>
      </c>
      <c r="G920" s="2" t="s">
        <v>10514</v>
      </c>
      <c r="H920" s="5" t="s">
        <v>8332</v>
      </c>
      <c r="I920" s="5" t="s">
        <v>4760</v>
      </c>
      <c r="J920" s="5" t="s">
        <v>2079</v>
      </c>
      <c r="K920" s="5" t="s">
        <v>5198</v>
      </c>
    </row>
    <row r="921" customFormat="false" ht="23.85" hidden="false" customHeight="false" outlineLevel="0" collapsed="false">
      <c r="A921" s="5" t="s">
        <v>10899</v>
      </c>
      <c r="B921" s="2" t="s">
        <v>10900</v>
      </c>
      <c r="C921" s="5" t="s">
        <v>2128</v>
      </c>
      <c r="D921" s="5" t="s">
        <v>62</v>
      </c>
      <c r="E921" s="5" t="n">
        <v>9</v>
      </c>
      <c r="F921" s="5" t="s">
        <v>536</v>
      </c>
      <c r="G921" s="2" t="s">
        <v>2721</v>
      </c>
      <c r="H921" s="5" t="s">
        <v>8336</v>
      </c>
      <c r="I921" s="5"/>
      <c r="J921" s="5"/>
      <c r="K921" s="5" t="s">
        <v>10901</v>
      </c>
    </row>
    <row r="922" customFormat="false" ht="23.85" hidden="false" customHeight="false" outlineLevel="0" collapsed="false">
      <c r="A922" s="5" t="s">
        <v>10902</v>
      </c>
      <c r="B922" s="2" t="s">
        <v>10903</v>
      </c>
      <c r="C922" s="5" t="s">
        <v>2128</v>
      </c>
      <c r="D922" s="5" t="s">
        <v>62</v>
      </c>
      <c r="E922" s="5" t="n">
        <v>9</v>
      </c>
      <c r="F922" s="5" t="s">
        <v>536</v>
      </c>
      <c r="G922" s="2" t="s">
        <v>10514</v>
      </c>
      <c r="H922" s="5" t="s">
        <v>8336</v>
      </c>
      <c r="I922" s="5"/>
      <c r="J922" s="5"/>
      <c r="K922" s="5" t="s">
        <v>10904</v>
      </c>
    </row>
    <row r="923" customFormat="false" ht="15" hidden="false" customHeight="false" outlineLevel="0" collapsed="false">
      <c r="A923" s="5" t="s">
        <v>5199</v>
      </c>
      <c r="B923" s="2" t="s">
        <v>5200</v>
      </c>
      <c r="C923" s="5" t="s">
        <v>2128</v>
      </c>
      <c r="D923" s="5" t="s">
        <v>62</v>
      </c>
      <c r="E923" s="5" t="n">
        <v>9</v>
      </c>
      <c r="F923" s="5" t="s">
        <v>2079</v>
      </c>
      <c r="G923" s="2" t="s">
        <v>2721</v>
      </c>
      <c r="H923" s="5" t="s">
        <v>8332</v>
      </c>
      <c r="I923" s="5" t="s">
        <v>4760</v>
      </c>
      <c r="J923" s="5" t="s">
        <v>2079</v>
      </c>
      <c r="K923" s="5" t="s">
        <v>5203</v>
      </c>
    </row>
    <row r="924" customFormat="false" ht="23.85" hidden="false" customHeight="false" outlineLevel="0" collapsed="false">
      <c r="A924" s="5" t="s">
        <v>5204</v>
      </c>
      <c r="B924" s="2" t="s">
        <v>5205</v>
      </c>
      <c r="C924" s="5" t="s">
        <v>2128</v>
      </c>
      <c r="D924" s="5" t="s">
        <v>62</v>
      </c>
      <c r="E924" s="5" t="n">
        <v>9</v>
      </c>
      <c r="F924" s="5" t="s">
        <v>2079</v>
      </c>
      <c r="G924" s="2" t="s">
        <v>10514</v>
      </c>
      <c r="H924" s="5" t="s">
        <v>8332</v>
      </c>
      <c r="I924" s="5" t="s">
        <v>4760</v>
      </c>
      <c r="J924" s="5" t="s">
        <v>2079</v>
      </c>
      <c r="K924" s="5" t="s">
        <v>5210</v>
      </c>
    </row>
    <row r="925" customFormat="false" ht="23.85" hidden="false" customHeight="false" outlineLevel="0" collapsed="false">
      <c r="A925" s="5" t="s">
        <v>5211</v>
      </c>
      <c r="B925" s="2" t="s">
        <v>5212</v>
      </c>
      <c r="C925" s="5" t="s">
        <v>2128</v>
      </c>
      <c r="D925" s="5" t="s">
        <v>62</v>
      </c>
      <c r="E925" s="5" t="n">
        <v>9</v>
      </c>
      <c r="F925" s="5" t="s">
        <v>2079</v>
      </c>
      <c r="G925" s="2" t="s">
        <v>10514</v>
      </c>
      <c r="H925" s="5" t="s">
        <v>8332</v>
      </c>
      <c r="I925" s="5" t="s">
        <v>4760</v>
      </c>
      <c r="J925" s="5" t="s">
        <v>2079</v>
      </c>
      <c r="K925" s="5" t="s">
        <v>5217</v>
      </c>
    </row>
    <row r="926" customFormat="false" ht="15" hidden="false" customHeight="false" outlineLevel="0" collapsed="false">
      <c r="A926" s="5" t="s">
        <v>5218</v>
      </c>
      <c r="B926" s="2" t="s">
        <v>5219</v>
      </c>
      <c r="C926" s="5" t="s">
        <v>2128</v>
      </c>
      <c r="D926" s="5" t="s">
        <v>62</v>
      </c>
      <c r="E926" s="5" t="n">
        <v>9</v>
      </c>
      <c r="F926" s="5" t="s">
        <v>2079</v>
      </c>
      <c r="G926" s="2" t="s">
        <v>10514</v>
      </c>
      <c r="H926" s="5" t="s">
        <v>8332</v>
      </c>
      <c r="I926" s="5" t="s">
        <v>4760</v>
      </c>
      <c r="J926" s="5" t="s">
        <v>2079</v>
      </c>
      <c r="K926" s="5" t="s">
        <v>5223</v>
      </c>
    </row>
    <row r="927" customFormat="false" ht="15" hidden="false" customHeight="false" outlineLevel="0" collapsed="false">
      <c r="A927" s="5" t="s">
        <v>5224</v>
      </c>
      <c r="B927" s="2" t="s">
        <v>5225</v>
      </c>
      <c r="C927" s="5" t="s">
        <v>2128</v>
      </c>
      <c r="D927" s="5" t="s">
        <v>62</v>
      </c>
      <c r="E927" s="5" t="n">
        <v>9</v>
      </c>
      <c r="F927" s="5" t="s">
        <v>2079</v>
      </c>
      <c r="G927" s="2" t="s">
        <v>10514</v>
      </c>
      <c r="H927" s="5" t="s">
        <v>8332</v>
      </c>
      <c r="I927" s="5" t="s">
        <v>4760</v>
      </c>
      <c r="J927" s="5" t="s">
        <v>2079</v>
      </c>
      <c r="K927" s="5" t="s">
        <v>5229</v>
      </c>
    </row>
    <row r="928" customFormat="false" ht="23.85" hidden="false" customHeight="false" outlineLevel="0" collapsed="false">
      <c r="A928" s="5" t="s">
        <v>5230</v>
      </c>
      <c r="B928" s="2" t="s">
        <v>5231</v>
      </c>
      <c r="C928" s="5" t="s">
        <v>2245</v>
      </c>
      <c r="D928" s="5" t="s">
        <v>62</v>
      </c>
      <c r="E928" s="5" t="n">
        <v>9</v>
      </c>
      <c r="F928" s="5" t="s">
        <v>2079</v>
      </c>
      <c r="G928" s="2" t="s">
        <v>10514</v>
      </c>
      <c r="H928" s="5" t="s">
        <v>8332</v>
      </c>
      <c r="I928" s="5" t="s">
        <v>4760</v>
      </c>
      <c r="J928" s="5" t="s">
        <v>2079</v>
      </c>
      <c r="K928" s="5" t="s">
        <v>5235</v>
      </c>
    </row>
    <row r="929" customFormat="false" ht="23.85" hidden="false" customHeight="false" outlineLevel="0" collapsed="false">
      <c r="A929" s="5" t="s">
        <v>5236</v>
      </c>
      <c r="B929" s="2" t="s">
        <v>5237</v>
      </c>
      <c r="C929" s="5" t="s">
        <v>2128</v>
      </c>
      <c r="D929" s="5" t="s">
        <v>62</v>
      </c>
      <c r="E929" s="5" t="n">
        <v>9</v>
      </c>
      <c r="F929" s="5" t="s">
        <v>2079</v>
      </c>
      <c r="G929" s="2" t="s">
        <v>10514</v>
      </c>
      <c r="H929" s="5" t="s">
        <v>8332</v>
      </c>
      <c r="I929" s="5" t="s">
        <v>4760</v>
      </c>
      <c r="J929" s="5" t="s">
        <v>2079</v>
      </c>
      <c r="K929" s="5" t="s">
        <v>5241</v>
      </c>
    </row>
    <row r="930" customFormat="false" ht="23.85" hidden="false" customHeight="false" outlineLevel="0" collapsed="false">
      <c r="A930" s="5" t="s">
        <v>5242</v>
      </c>
      <c r="B930" s="2" t="s">
        <v>5243</v>
      </c>
      <c r="C930" s="5" t="s">
        <v>2128</v>
      </c>
      <c r="D930" s="5" t="s">
        <v>62</v>
      </c>
      <c r="E930" s="5" t="n">
        <v>9</v>
      </c>
      <c r="F930" s="5" t="s">
        <v>2079</v>
      </c>
      <c r="G930" s="2" t="s">
        <v>2721</v>
      </c>
      <c r="H930" s="5" t="s">
        <v>8332</v>
      </c>
      <c r="I930" s="5" t="s">
        <v>4760</v>
      </c>
      <c r="J930" s="5" t="s">
        <v>2079</v>
      </c>
      <c r="K930" s="5" t="s">
        <v>5246</v>
      </c>
    </row>
    <row r="931" customFormat="false" ht="23.85" hidden="false" customHeight="false" outlineLevel="0" collapsed="false">
      <c r="A931" s="5" t="s">
        <v>5247</v>
      </c>
      <c r="B931" s="2" t="s">
        <v>5248</v>
      </c>
      <c r="C931" s="5" t="s">
        <v>2128</v>
      </c>
      <c r="D931" s="5" t="s">
        <v>62</v>
      </c>
      <c r="E931" s="5" t="n">
        <v>9</v>
      </c>
      <c r="F931" s="5" t="s">
        <v>2079</v>
      </c>
      <c r="G931" s="2" t="s">
        <v>10514</v>
      </c>
      <c r="H931" s="5" t="s">
        <v>8332</v>
      </c>
      <c r="I931" s="5" t="s">
        <v>4760</v>
      </c>
      <c r="J931" s="5" t="s">
        <v>2079</v>
      </c>
      <c r="K931" s="5" t="s">
        <v>5253</v>
      </c>
    </row>
    <row r="932" customFormat="false" ht="23.85" hidden="false" customHeight="false" outlineLevel="0" collapsed="false">
      <c r="A932" s="5" t="s">
        <v>10905</v>
      </c>
      <c r="B932" s="2" t="s">
        <v>10906</v>
      </c>
      <c r="C932" s="5" t="s">
        <v>2128</v>
      </c>
      <c r="D932" s="5" t="s">
        <v>490</v>
      </c>
      <c r="E932" s="5" t="n">
        <v>9</v>
      </c>
      <c r="F932" s="5" t="s">
        <v>67</v>
      </c>
      <c r="G932" s="2" t="s">
        <v>2721</v>
      </c>
      <c r="H932" s="5" t="s">
        <v>8336</v>
      </c>
      <c r="I932" s="5"/>
      <c r="J932" s="5"/>
      <c r="K932" s="5" t="s">
        <v>10907</v>
      </c>
    </row>
    <row r="933" customFormat="false" ht="23.85" hidden="false" customHeight="false" outlineLevel="0" collapsed="false">
      <c r="A933" s="5" t="s">
        <v>10908</v>
      </c>
      <c r="B933" s="2" t="s">
        <v>10909</v>
      </c>
      <c r="C933" s="5" t="s">
        <v>2128</v>
      </c>
      <c r="D933" s="5" t="s">
        <v>490</v>
      </c>
      <c r="E933" s="5" t="n">
        <v>9</v>
      </c>
      <c r="F933" s="5" t="s">
        <v>67</v>
      </c>
      <c r="G933" s="2" t="s">
        <v>10514</v>
      </c>
      <c r="H933" s="5" t="s">
        <v>8336</v>
      </c>
      <c r="I933" s="5"/>
      <c r="J933" s="5"/>
      <c r="K933" s="5" t="s">
        <v>10910</v>
      </c>
    </row>
    <row r="934" customFormat="false" ht="15" hidden="false" customHeight="false" outlineLevel="0" collapsed="false">
      <c r="A934" s="5" t="s">
        <v>5254</v>
      </c>
      <c r="B934" s="2" t="s">
        <v>5255</v>
      </c>
      <c r="C934" s="5" t="s">
        <v>2128</v>
      </c>
      <c r="D934" s="5" t="s">
        <v>62</v>
      </c>
      <c r="E934" s="5" t="n">
        <v>9</v>
      </c>
      <c r="F934" s="5" t="s">
        <v>2079</v>
      </c>
      <c r="G934" s="2" t="s">
        <v>2721</v>
      </c>
      <c r="H934" s="5" t="s">
        <v>8332</v>
      </c>
      <c r="I934" s="5" t="s">
        <v>4760</v>
      </c>
      <c r="J934" s="5" t="s">
        <v>2079</v>
      </c>
      <c r="K934" s="5" t="s">
        <v>5258</v>
      </c>
    </row>
    <row r="935" customFormat="false" ht="23.85" hidden="false" customHeight="false" outlineLevel="0" collapsed="false">
      <c r="A935" s="5" t="s">
        <v>5259</v>
      </c>
      <c r="B935" s="2" t="s">
        <v>5260</v>
      </c>
      <c r="C935" s="5" t="s">
        <v>2128</v>
      </c>
      <c r="D935" s="5" t="s">
        <v>62</v>
      </c>
      <c r="E935" s="5" t="n">
        <v>9</v>
      </c>
      <c r="F935" s="5" t="s">
        <v>2079</v>
      </c>
      <c r="G935" s="2" t="s">
        <v>10514</v>
      </c>
      <c r="H935" s="5" t="s">
        <v>8332</v>
      </c>
      <c r="I935" s="5" t="s">
        <v>4760</v>
      </c>
      <c r="J935" s="5" t="s">
        <v>2079</v>
      </c>
      <c r="K935" s="5" t="s">
        <v>5263</v>
      </c>
    </row>
    <row r="936" customFormat="false" ht="23.85" hidden="false" customHeight="false" outlineLevel="0" collapsed="false">
      <c r="A936" s="5" t="s">
        <v>5264</v>
      </c>
      <c r="B936" s="2" t="s">
        <v>5265</v>
      </c>
      <c r="C936" s="5" t="s">
        <v>2128</v>
      </c>
      <c r="D936" s="5" t="s">
        <v>62</v>
      </c>
      <c r="E936" s="5" t="n">
        <v>9</v>
      </c>
      <c r="F936" s="5" t="s">
        <v>2079</v>
      </c>
      <c r="G936" s="2" t="s">
        <v>2721</v>
      </c>
      <c r="H936" s="5" t="s">
        <v>8332</v>
      </c>
      <c r="I936" s="5" t="s">
        <v>4760</v>
      </c>
      <c r="J936" s="5" t="s">
        <v>2079</v>
      </c>
      <c r="K936" s="5" t="s">
        <v>5268</v>
      </c>
    </row>
    <row r="937" customFormat="false" ht="23.85" hidden="false" customHeight="false" outlineLevel="0" collapsed="false">
      <c r="A937" s="5" t="s">
        <v>5269</v>
      </c>
      <c r="B937" s="2" t="s">
        <v>5270</v>
      </c>
      <c r="C937" s="5" t="s">
        <v>2128</v>
      </c>
      <c r="D937" s="5" t="s">
        <v>62</v>
      </c>
      <c r="E937" s="5" t="n">
        <v>9</v>
      </c>
      <c r="F937" s="5" t="s">
        <v>2079</v>
      </c>
      <c r="G937" s="2" t="s">
        <v>10514</v>
      </c>
      <c r="H937" s="5" t="s">
        <v>8332</v>
      </c>
      <c r="I937" s="5" t="s">
        <v>4760</v>
      </c>
      <c r="J937" s="5" t="s">
        <v>2079</v>
      </c>
      <c r="K937" s="5" t="s">
        <v>5275</v>
      </c>
    </row>
    <row r="938" customFormat="false" ht="35.05" hidden="false" customHeight="false" outlineLevel="0" collapsed="false">
      <c r="A938" s="5" t="s">
        <v>10911</v>
      </c>
      <c r="B938" s="2" t="s">
        <v>10912</v>
      </c>
      <c r="C938" s="5" t="s">
        <v>2128</v>
      </c>
      <c r="D938" s="5" t="s">
        <v>62</v>
      </c>
      <c r="E938" s="5" t="n">
        <v>9</v>
      </c>
      <c r="F938" s="5" t="s">
        <v>8902</v>
      </c>
      <c r="G938" s="2" t="s">
        <v>9927</v>
      </c>
      <c r="H938" s="5" t="s">
        <v>8336</v>
      </c>
      <c r="I938" s="5"/>
      <c r="J938" s="5"/>
      <c r="K938" s="5" t="s">
        <v>10913</v>
      </c>
    </row>
    <row r="939" customFormat="false" ht="23.85" hidden="false" customHeight="false" outlineLevel="0" collapsed="false">
      <c r="A939" s="5" t="s">
        <v>10914</v>
      </c>
      <c r="B939" s="2" t="s">
        <v>10915</v>
      </c>
      <c r="C939" s="5" t="s">
        <v>2128</v>
      </c>
      <c r="D939" s="5" t="s">
        <v>62</v>
      </c>
      <c r="E939" s="5" t="n">
        <v>9</v>
      </c>
      <c r="F939" s="5" t="s">
        <v>8902</v>
      </c>
      <c r="G939" s="2" t="s">
        <v>10916</v>
      </c>
      <c r="H939" s="5" t="s">
        <v>8336</v>
      </c>
      <c r="I939" s="5"/>
      <c r="J939" s="5"/>
      <c r="K939" s="5" t="s">
        <v>10917</v>
      </c>
    </row>
    <row r="940" customFormat="false" ht="23.85" hidden="false" customHeight="false" outlineLevel="0" collapsed="false">
      <c r="A940" s="5" t="s">
        <v>10918</v>
      </c>
      <c r="B940" s="2" t="s">
        <v>10919</v>
      </c>
      <c r="C940" s="5" t="s">
        <v>2128</v>
      </c>
      <c r="D940" s="5" t="s">
        <v>62</v>
      </c>
      <c r="E940" s="5" t="n">
        <v>9</v>
      </c>
      <c r="F940" s="5" t="s">
        <v>8902</v>
      </c>
      <c r="G940" s="2" t="s">
        <v>10920</v>
      </c>
      <c r="H940" s="5" t="s">
        <v>8336</v>
      </c>
      <c r="I940" s="5"/>
      <c r="J940" s="5"/>
      <c r="K940" s="5" t="s">
        <v>10921</v>
      </c>
    </row>
    <row r="941" customFormat="false" ht="35.05" hidden="false" customHeight="false" outlineLevel="0" collapsed="false">
      <c r="A941" s="5" t="s">
        <v>10922</v>
      </c>
      <c r="B941" s="2" t="s">
        <v>10923</v>
      </c>
      <c r="C941" s="5" t="s">
        <v>2128</v>
      </c>
      <c r="D941" s="5" t="s">
        <v>62</v>
      </c>
      <c r="E941" s="5" t="n">
        <v>9</v>
      </c>
      <c r="F941" s="5" t="s">
        <v>8902</v>
      </c>
      <c r="G941" s="2" t="s">
        <v>9927</v>
      </c>
      <c r="H941" s="5" t="s">
        <v>8336</v>
      </c>
      <c r="I941" s="5"/>
      <c r="J941" s="5"/>
      <c r="K941" s="5" t="s">
        <v>10924</v>
      </c>
    </row>
    <row r="942" customFormat="false" ht="35.05" hidden="false" customHeight="false" outlineLevel="0" collapsed="false">
      <c r="A942" s="5" t="s">
        <v>10925</v>
      </c>
      <c r="B942" s="2" t="s">
        <v>10926</v>
      </c>
      <c r="C942" s="5" t="s">
        <v>2128</v>
      </c>
      <c r="D942" s="5" t="s">
        <v>62</v>
      </c>
      <c r="E942" s="5" t="n">
        <v>9</v>
      </c>
      <c r="F942" s="5" t="s">
        <v>8902</v>
      </c>
      <c r="G942" s="2" t="s">
        <v>9927</v>
      </c>
      <c r="H942" s="5" t="s">
        <v>8336</v>
      </c>
      <c r="I942" s="5"/>
      <c r="J942" s="5"/>
      <c r="K942" s="5" t="s">
        <v>10927</v>
      </c>
    </row>
    <row r="943" customFormat="false" ht="23.85" hidden="false" customHeight="false" outlineLevel="0" collapsed="false">
      <c r="A943" s="5" t="s">
        <v>10928</v>
      </c>
      <c r="B943" s="2" t="s">
        <v>10929</v>
      </c>
      <c r="C943" s="5" t="s">
        <v>2128</v>
      </c>
      <c r="D943" s="5" t="s">
        <v>62</v>
      </c>
      <c r="E943" s="5" t="n">
        <v>9</v>
      </c>
      <c r="F943" s="5" t="s">
        <v>8902</v>
      </c>
      <c r="G943" s="2" t="s">
        <v>2349</v>
      </c>
      <c r="H943" s="5" t="s">
        <v>8336</v>
      </c>
      <c r="I943" s="5"/>
      <c r="J943" s="5"/>
      <c r="K943" s="5" t="s">
        <v>10930</v>
      </c>
    </row>
    <row r="944" customFormat="false" ht="23.85" hidden="false" customHeight="false" outlineLevel="0" collapsed="false">
      <c r="A944" s="5" t="s">
        <v>10931</v>
      </c>
      <c r="B944" s="2" t="s">
        <v>10932</v>
      </c>
      <c r="C944" s="5" t="s">
        <v>2128</v>
      </c>
      <c r="D944" s="5" t="s">
        <v>62</v>
      </c>
      <c r="E944" s="5" t="n">
        <v>9</v>
      </c>
      <c r="F944" s="5" t="s">
        <v>8902</v>
      </c>
      <c r="G944" s="2" t="s">
        <v>2349</v>
      </c>
      <c r="H944" s="5" t="s">
        <v>8336</v>
      </c>
      <c r="I944" s="5"/>
      <c r="J944" s="5"/>
      <c r="K944" s="5" t="s">
        <v>10933</v>
      </c>
    </row>
    <row r="945" customFormat="false" ht="15" hidden="false" customHeight="false" outlineLevel="0" collapsed="false">
      <c r="A945" s="5" t="s">
        <v>10934</v>
      </c>
      <c r="B945" s="2" t="s">
        <v>10935</v>
      </c>
      <c r="C945" s="5" t="s">
        <v>2128</v>
      </c>
      <c r="D945" s="5" t="s">
        <v>62</v>
      </c>
      <c r="E945" s="5" t="n">
        <v>9</v>
      </c>
      <c r="F945" s="5" t="s">
        <v>10936</v>
      </c>
      <c r="G945" s="2" t="s">
        <v>10916</v>
      </c>
      <c r="H945" s="5" t="s">
        <v>8336</v>
      </c>
      <c r="I945" s="5"/>
      <c r="J945" s="5"/>
      <c r="K945" s="5" t="s">
        <v>10937</v>
      </c>
    </row>
    <row r="946" customFormat="false" ht="23.85" hidden="false" customHeight="false" outlineLevel="0" collapsed="false">
      <c r="A946" s="5" t="s">
        <v>10938</v>
      </c>
      <c r="B946" s="2" t="s">
        <v>10939</v>
      </c>
      <c r="C946" s="5" t="s">
        <v>2128</v>
      </c>
      <c r="D946" s="5" t="s">
        <v>62</v>
      </c>
      <c r="E946" s="5" t="n">
        <v>9</v>
      </c>
      <c r="F946" s="5" t="s">
        <v>10936</v>
      </c>
      <c r="G946" s="2" t="s">
        <v>10920</v>
      </c>
      <c r="H946" s="5" t="s">
        <v>8336</v>
      </c>
      <c r="I946" s="5"/>
      <c r="J946" s="5"/>
      <c r="K946" s="5" t="s">
        <v>10940</v>
      </c>
    </row>
    <row r="947" customFormat="false" ht="23.85" hidden="false" customHeight="false" outlineLevel="0" collapsed="false">
      <c r="A947" s="5" t="s">
        <v>5276</v>
      </c>
      <c r="B947" s="2" t="s">
        <v>5277</v>
      </c>
      <c r="C947" s="5" t="s">
        <v>2128</v>
      </c>
      <c r="D947" s="5" t="s">
        <v>62</v>
      </c>
      <c r="E947" s="5" t="n">
        <v>9</v>
      </c>
      <c r="F947" s="5" t="s">
        <v>2079</v>
      </c>
      <c r="G947" s="2" t="s">
        <v>10514</v>
      </c>
      <c r="H947" s="5" t="s">
        <v>8332</v>
      </c>
      <c r="I947" s="5" t="s">
        <v>4760</v>
      </c>
      <c r="J947" s="5" t="s">
        <v>2079</v>
      </c>
      <c r="K947" s="5" t="s">
        <v>5281</v>
      </c>
    </row>
    <row r="948" customFormat="false" ht="23.85" hidden="false" customHeight="false" outlineLevel="0" collapsed="false">
      <c r="A948" s="5" t="s">
        <v>5282</v>
      </c>
      <c r="B948" s="2" t="s">
        <v>5283</v>
      </c>
      <c r="C948" s="5" t="s">
        <v>2128</v>
      </c>
      <c r="D948" s="5" t="s">
        <v>62</v>
      </c>
      <c r="E948" s="5" t="n">
        <v>9</v>
      </c>
      <c r="F948" s="5" t="s">
        <v>2079</v>
      </c>
      <c r="G948" s="2" t="s">
        <v>10514</v>
      </c>
      <c r="H948" s="5" t="s">
        <v>8332</v>
      </c>
      <c r="I948" s="5" t="s">
        <v>4760</v>
      </c>
      <c r="J948" s="5" t="s">
        <v>2079</v>
      </c>
      <c r="K948" s="5" t="s">
        <v>5288</v>
      </c>
    </row>
    <row r="949" customFormat="false" ht="23.85" hidden="false" customHeight="false" outlineLevel="0" collapsed="false">
      <c r="A949" s="5" t="s">
        <v>10941</v>
      </c>
      <c r="B949" s="2" t="s">
        <v>10942</v>
      </c>
      <c r="C949" s="5" t="s">
        <v>2128</v>
      </c>
      <c r="D949" s="5" t="s">
        <v>62</v>
      </c>
      <c r="E949" s="5" t="n">
        <v>9</v>
      </c>
      <c r="F949" s="5" t="s">
        <v>8902</v>
      </c>
      <c r="G949" s="2" t="s">
        <v>2721</v>
      </c>
      <c r="H949" s="5" t="s">
        <v>8336</v>
      </c>
      <c r="I949" s="5"/>
      <c r="J949" s="5"/>
      <c r="K949" s="5" t="s">
        <v>10943</v>
      </c>
    </row>
    <row r="950" customFormat="false" ht="15" hidden="false" customHeight="false" outlineLevel="0" collapsed="false">
      <c r="A950" s="5" t="s">
        <v>10944</v>
      </c>
      <c r="B950" s="2" t="s">
        <v>10945</v>
      </c>
      <c r="C950" s="5" t="s">
        <v>2128</v>
      </c>
      <c r="D950" s="5" t="s">
        <v>62</v>
      </c>
      <c r="E950" s="5" t="n">
        <v>9</v>
      </c>
      <c r="F950" s="5" t="s">
        <v>8902</v>
      </c>
      <c r="G950" s="2" t="s">
        <v>10946</v>
      </c>
      <c r="H950" s="5" t="s">
        <v>8336</v>
      </c>
      <c r="I950" s="5"/>
      <c r="J950" s="5"/>
      <c r="K950" s="5" t="s">
        <v>10947</v>
      </c>
    </row>
    <row r="951" customFormat="false" ht="23.85" hidden="false" customHeight="false" outlineLevel="0" collapsed="false">
      <c r="A951" s="5" t="s">
        <v>10948</v>
      </c>
      <c r="B951" s="2" t="s">
        <v>10949</v>
      </c>
      <c r="C951" s="5" t="s">
        <v>2128</v>
      </c>
      <c r="D951" s="5" t="s">
        <v>62</v>
      </c>
      <c r="E951" s="5" t="n">
        <v>9</v>
      </c>
      <c r="F951" s="5" t="s">
        <v>8902</v>
      </c>
      <c r="G951" s="2" t="s">
        <v>10946</v>
      </c>
      <c r="H951" s="5" t="s">
        <v>8336</v>
      </c>
      <c r="I951" s="5"/>
      <c r="J951" s="5"/>
      <c r="K951" s="5" t="s">
        <v>10950</v>
      </c>
    </row>
    <row r="952" customFormat="false" ht="23.85" hidden="false" customHeight="false" outlineLevel="0" collapsed="false">
      <c r="A952" s="5" t="s">
        <v>10951</v>
      </c>
      <c r="B952" s="2" t="s">
        <v>10952</v>
      </c>
      <c r="C952" s="5" t="s">
        <v>2128</v>
      </c>
      <c r="D952" s="5" t="s">
        <v>62</v>
      </c>
      <c r="E952" s="5" t="n">
        <v>9</v>
      </c>
      <c r="F952" s="5" t="s">
        <v>8902</v>
      </c>
      <c r="G952" s="2" t="s">
        <v>2721</v>
      </c>
      <c r="H952" s="5" t="s">
        <v>8336</v>
      </c>
      <c r="I952" s="5"/>
      <c r="J952" s="5"/>
      <c r="K952" s="5" t="s">
        <v>10953</v>
      </c>
    </row>
    <row r="953" customFormat="false" ht="23.85" hidden="false" customHeight="false" outlineLevel="0" collapsed="false">
      <c r="A953" s="5" t="s">
        <v>10954</v>
      </c>
      <c r="B953" s="2" t="s">
        <v>10955</v>
      </c>
      <c r="C953" s="5" t="s">
        <v>2128</v>
      </c>
      <c r="D953" s="5" t="s">
        <v>62</v>
      </c>
      <c r="E953" s="5" t="n">
        <v>9</v>
      </c>
      <c r="F953" s="5" t="s">
        <v>8902</v>
      </c>
      <c r="G953" s="2" t="s">
        <v>2349</v>
      </c>
      <c r="H953" s="5" t="s">
        <v>8336</v>
      </c>
      <c r="I953" s="5"/>
      <c r="J953" s="5"/>
      <c r="K953" s="5" t="s">
        <v>10956</v>
      </c>
    </row>
    <row r="954" customFormat="false" ht="23.85" hidden="false" customHeight="false" outlineLevel="0" collapsed="false">
      <c r="A954" s="5" t="s">
        <v>10957</v>
      </c>
      <c r="B954" s="2" t="s">
        <v>10958</v>
      </c>
      <c r="C954" s="5" t="s">
        <v>2128</v>
      </c>
      <c r="D954" s="5" t="s">
        <v>62</v>
      </c>
      <c r="E954" s="5" t="n">
        <v>9</v>
      </c>
      <c r="F954" s="5" t="s">
        <v>8902</v>
      </c>
      <c r="G954" s="2" t="s">
        <v>10946</v>
      </c>
      <c r="H954" s="5" t="s">
        <v>8336</v>
      </c>
      <c r="I954" s="5"/>
      <c r="J954" s="5"/>
      <c r="K954" s="5" t="s">
        <v>10959</v>
      </c>
    </row>
    <row r="955" customFormat="false" ht="23.85" hidden="false" customHeight="false" outlineLevel="0" collapsed="false">
      <c r="A955" s="5" t="s">
        <v>10960</v>
      </c>
      <c r="B955" s="2" t="s">
        <v>10961</v>
      </c>
      <c r="C955" s="5" t="s">
        <v>2128</v>
      </c>
      <c r="D955" s="5" t="s">
        <v>62</v>
      </c>
      <c r="E955" s="5" t="n">
        <v>9</v>
      </c>
      <c r="F955" s="5" t="s">
        <v>10936</v>
      </c>
      <c r="G955" s="2" t="s">
        <v>2349</v>
      </c>
      <c r="H955" s="5" t="s">
        <v>8336</v>
      </c>
      <c r="I955" s="5"/>
      <c r="J955" s="5"/>
      <c r="K955" s="5" t="s">
        <v>10962</v>
      </c>
    </row>
    <row r="956" customFormat="false" ht="23.85" hidden="false" customHeight="false" outlineLevel="0" collapsed="false">
      <c r="A956" s="5" t="s">
        <v>5289</v>
      </c>
      <c r="B956" s="2" t="s">
        <v>5290</v>
      </c>
      <c r="C956" s="5" t="s">
        <v>2128</v>
      </c>
      <c r="D956" s="5" t="s">
        <v>490</v>
      </c>
      <c r="E956" s="5" t="n">
        <v>10</v>
      </c>
      <c r="F956" s="5" t="s">
        <v>2079</v>
      </c>
      <c r="G956" s="2" t="s">
        <v>10514</v>
      </c>
      <c r="H956" s="5" t="s">
        <v>8332</v>
      </c>
      <c r="I956" s="5" t="s">
        <v>4760</v>
      </c>
      <c r="J956" s="5" t="s">
        <v>2079</v>
      </c>
      <c r="K956" s="5" t="s">
        <v>5296</v>
      </c>
    </row>
    <row r="957" customFormat="false" ht="23.85" hidden="false" customHeight="false" outlineLevel="0" collapsed="false">
      <c r="A957" s="5" t="s">
        <v>5297</v>
      </c>
      <c r="B957" s="2" t="s">
        <v>5298</v>
      </c>
      <c r="C957" s="5" t="s">
        <v>2128</v>
      </c>
      <c r="D957" s="5" t="s">
        <v>62</v>
      </c>
      <c r="E957" s="5" t="n">
        <v>9</v>
      </c>
      <c r="F957" s="5" t="s">
        <v>2079</v>
      </c>
      <c r="G957" s="2" t="s">
        <v>8898</v>
      </c>
      <c r="H957" s="5" t="s">
        <v>8332</v>
      </c>
      <c r="I957" s="5" t="s">
        <v>4760</v>
      </c>
      <c r="J957" s="5" t="s">
        <v>2079</v>
      </c>
      <c r="K957" s="5" t="s">
        <v>5302</v>
      </c>
    </row>
    <row r="958" customFormat="false" ht="23.85" hidden="false" customHeight="false" outlineLevel="0" collapsed="false">
      <c r="A958" s="5" t="s">
        <v>5303</v>
      </c>
      <c r="B958" s="2" t="s">
        <v>5304</v>
      </c>
      <c r="C958" s="5" t="s">
        <v>2128</v>
      </c>
      <c r="D958" s="5" t="s">
        <v>62</v>
      </c>
      <c r="E958" s="5" t="n">
        <v>9</v>
      </c>
      <c r="F958" s="5" t="s">
        <v>2079</v>
      </c>
      <c r="G958" s="2" t="s">
        <v>10963</v>
      </c>
      <c r="H958" s="5" t="s">
        <v>8332</v>
      </c>
      <c r="I958" s="5" t="s">
        <v>4760</v>
      </c>
      <c r="J958" s="5" t="s">
        <v>2079</v>
      </c>
      <c r="K958" s="5" t="s">
        <v>5311</v>
      </c>
    </row>
    <row r="959" customFormat="false" ht="23.85" hidden="false" customHeight="false" outlineLevel="0" collapsed="false">
      <c r="A959" s="5" t="s">
        <v>5312</v>
      </c>
      <c r="B959" s="2" t="s">
        <v>5313</v>
      </c>
      <c r="C959" s="5" t="s">
        <v>2128</v>
      </c>
      <c r="D959" s="5" t="s">
        <v>62</v>
      </c>
      <c r="E959" s="5" t="n">
        <v>9</v>
      </c>
      <c r="F959" s="5" t="s">
        <v>2079</v>
      </c>
      <c r="G959" s="2" t="s">
        <v>10963</v>
      </c>
      <c r="H959" s="5" t="s">
        <v>8332</v>
      </c>
      <c r="I959" s="5" t="s">
        <v>4760</v>
      </c>
      <c r="J959" s="5" t="s">
        <v>2079</v>
      </c>
      <c r="K959" s="5" t="s">
        <v>5319</v>
      </c>
    </row>
    <row r="960" customFormat="false" ht="23.85" hidden="false" customHeight="false" outlineLevel="0" collapsed="false">
      <c r="A960" s="5" t="s">
        <v>5320</v>
      </c>
      <c r="B960" s="2" t="s">
        <v>5321</v>
      </c>
      <c r="C960" s="5" t="s">
        <v>2128</v>
      </c>
      <c r="D960" s="5" t="s">
        <v>62</v>
      </c>
      <c r="E960" s="5" t="n">
        <v>9</v>
      </c>
      <c r="F960" s="5" t="s">
        <v>2079</v>
      </c>
      <c r="G960" s="2" t="s">
        <v>10514</v>
      </c>
      <c r="H960" s="5" t="s">
        <v>8332</v>
      </c>
      <c r="I960" s="5" t="s">
        <v>4760</v>
      </c>
      <c r="J960" s="5" t="s">
        <v>2079</v>
      </c>
      <c r="K960" s="5" t="s">
        <v>5325</v>
      </c>
    </row>
    <row r="961" customFormat="false" ht="23.85" hidden="false" customHeight="false" outlineLevel="0" collapsed="false">
      <c r="A961" s="5" t="s">
        <v>5326</v>
      </c>
      <c r="B961" s="2" t="s">
        <v>5327</v>
      </c>
      <c r="C961" s="5" t="s">
        <v>2128</v>
      </c>
      <c r="D961" s="5" t="s">
        <v>62</v>
      </c>
      <c r="E961" s="5" t="n">
        <v>9</v>
      </c>
      <c r="F961" s="5" t="s">
        <v>2079</v>
      </c>
      <c r="G961" s="2" t="s">
        <v>5328</v>
      </c>
      <c r="H961" s="5" t="s">
        <v>8332</v>
      </c>
      <c r="I961" s="5" t="s">
        <v>4760</v>
      </c>
      <c r="J961" s="5" t="s">
        <v>2079</v>
      </c>
      <c r="K961" s="5" t="s">
        <v>5332</v>
      </c>
    </row>
    <row r="962" customFormat="false" ht="23.85" hidden="false" customHeight="false" outlineLevel="0" collapsed="false">
      <c r="A962" s="5" t="s">
        <v>5333</v>
      </c>
      <c r="B962" s="2" t="s">
        <v>5334</v>
      </c>
      <c r="C962" s="5" t="s">
        <v>2128</v>
      </c>
      <c r="D962" s="5" t="s">
        <v>490</v>
      </c>
      <c r="E962" s="5" t="n">
        <v>9</v>
      </c>
      <c r="F962" s="5" t="s">
        <v>2079</v>
      </c>
      <c r="G962" s="2" t="s">
        <v>5328</v>
      </c>
      <c r="H962" s="5" t="s">
        <v>8332</v>
      </c>
      <c r="I962" s="5" t="s">
        <v>4760</v>
      </c>
      <c r="J962" s="5" t="s">
        <v>2079</v>
      </c>
      <c r="K962" s="5" t="s">
        <v>5337</v>
      </c>
    </row>
    <row r="963" customFormat="false" ht="23.85" hidden="false" customHeight="false" outlineLevel="0" collapsed="false">
      <c r="A963" s="5" t="s">
        <v>5338</v>
      </c>
      <c r="B963" s="2" t="s">
        <v>5339</v>
      </c>
      <c r="C963" s="5" t="s">
        <v>2128</v>
      </c>
      <c r="D963" s="5" t="s">
        <v>490</v>
      </c>
      <c r="E963" s="5" t="n">
        <v>9</v>
      </c>
      <c r="F963" s="5" t="s">
        <v>2079</v>
      </c>
      <c r="G963" s="2" t="s">
        <v>5328</v>
      </c>
      <c r="H963" s="5" t="s">
        <v>8332</v>
      </c>
      <c r="I963" s="5" t="s">
        <v>4760</v>
      </c>
      <c r="J963" s="5" t="s">
        <v>2079</v>
      </c>
      <c r="K963" s="5" t="s">
        <v>5342</v>
      </c>
    </row>
    <row r="964" customFormat="false" ht="23.85" hidden="false" customHeight="false" outlineLevel="0" collapsed="false">
      <c r="A964" s="5" t="s">
        <v>5343</v>
      </c>
      <c r="B964" s="2" t="s">
        <v>5344</v>
      </c>
      <c r="C964" s="5" t="s">
        <v>2128</v>
      </c>
      <c r="D964" s="5" t="s">
        <v>62</v>
      </c>
      <c r="E964" s="5" t="n">
        <v>9</v>
      </c>
      <c r="F964" s="5" t="s">
        <v>2079</v>
      </c>
      <c r="G964" s="2" t="s">
        <v>2721</v>
      </c>
      <c r="H964" s="5" t="s">
        <v>8332</v>
      </c>
      <c r="I964" s="5" t="s">
        <v>4760</v>
      </c>
      <c r="J964" s="5" t="s">
        <v>2079</v>
      </c>
      <c r="K964" s="5" t="s">
        <v>5347</v>
      </c>
    </row>
    <row r="965" customFormat="false" ht="23.85" hidden="false" customHeight="false" outlineLevel="0" collapsed="false">
      <c r="A965" s="5" t="s">
        <v>5348</v>
      </c>
      <c r="B965" s="2" t="s">
        <v>5349</v>
      </c>
      <c r="C965" s="5" t="s">
        <v>2128</v>
      </c>
      <c r="D965" s="5" t="s">
        <v>62</v>
      </c>
      <c r="E965" s="5" t="n">
        <v>9</v>
      </c>
      <c r="F965" s="5" t="s">
        <v>2079</v>
      </c>
      <c r="G965" s="2" t="s">
        <v>10514</v>
      </c>
      <c r="H965" s="5" t="s">
        <v>8332</v>
      </c>
      <c r="I965" s="5" t="s">
        <v>4760</v>
      </c>
      <c r="J965" s="5" t="s">
        <v>2079</v>
      </c>
      <c r="K965" s="5" t="s">
        <v>5353</v>
      </c>
    </row>
    <row r="966" customFormat="false" ht="23.85" hidden="false" customHeight="false" outlineLevel="0" collapsed="false">
      <c r="A966" s="5" t="s">
        <v>5354</v>
      </c>
      <c r="B966" s="2" t="s">
        <v>5355</v>
      </c>
      <c r="C966" s="5" t="s">
        <v>2128</v>
      </c>
      <c r="D966" s="5" t="s">
        <v>62</v>
      </c>
      <c r="E966" s="5" t="n">
        <v>9</v>
      </c>
      <c r="F966" s="5" t="s">
        <v>2079</v>
      </c>
      <c r="G966" s="2" t="s">
        <v>2721</v>
      </c>
      <c r="H966" s="5" t="s">
        <v>8332</v>
      </c>
      <c r="I966" s="5" t="s">
        <v>4760</v>
      </c>
      <c r="J966" s="5" t="s">
        <v>2079</v>
      </c>
      <c r="K966" s="5" t="s">
        <v>5358</v>
      </c>
    </row>
    <row r="967" customFormat="false" ht="23.85" hidden="false" customHeight="false" outlineLevel="0" collapsed="false">
      <c r="A967" s="5" t="s">
        <v>5359</v>
      </c>
      <c r="B967" s="2" t="s">
        <v>5360</v>
      </c>
      <c r="C967" s="5" t="s">
        <v>2128</v>
      </c>
      <c r="D967" s="5" t="s">
        <v>62</v>
      </c>
      <c r="E967" s="5" t="n">
        <v>9</v>
      </c>
      <c r="F967" s="5" t="s">
        <v>2079</v>
      </c>
      <c r="G967" s="2" t="s">
        <v>10514</v>
      </c>
      <c r="H967" s="5" t="s">
        <v>8332</v>
      </c>
      <c r="I967" s="5" t="s">
        <v>4760</v>
      </c>
      <c r="J967" s="5" t="s">
        <v>2079</v>
      </c>
      <c r="K967" s="5" t="s">
        <v>5364</v>
      </c>
    </row>
    <row r="968" customFormat="false" ht="23.85" hidden="false" customHeight="false" outlineLevel="0" collapsed="false">
      <c r="A968" s="5" t="s">
        <v>5365</v>
      </c>
      <c r="B968" s="2" t="s">
        <v>5366</v>
      </c>
      <c r="C968" s="5" t="s">
        <v>2128</v>
      </c>
      <c r="D968" s="5" t="s">
        <v>62</v>
      </c>
      <c r="E968" s="5" t="n">
        <v>9</v>
      </c>
      <c r="F968" s="5" t="s">
        <v>2079</v>
      </c>
      <c r="G968" s="2" t="s">
        <v>10514</v>
      </c>
      <c r="H968" s="5" t="s">
        <v>8332</v>
      </c>
      <c r="I968" s="5" t="s">
        <v>4760</v>
      </c>
      <c r="J968" s="5" t="s">
        <v>2079</v>
      </c>
      <c r="K968" s="5" t="s">
        <v>5370</v>
      </c>
    </row>
    <row r="969" customFormat="false" ht="23.85" hidden="false" customHeight="false" outlineLevel="0" collapsed="false">
      <c r="A969" s="5" t="s">
        <v>5371</v>
      </c>
      <c r="B969" s="2" t="s">
        <v>5372</v>
      </c>
      <c r="C969" s="5" t="s">
        <v>2128</v>
      </c>
      <c r="D969" s="5" t="s">
        <v>62</v>
      </c>
      <c r="E969" s="5" t="n">
        <v>9</v>
      </c>
      <c r="F969" s="5" t="s">
        <v>2079</v>
      </c>
      <c r="G969" s="2" t="s">
        <v>2721</v>
      </c>
      <c r="H969" s="5" t="s">
        <v>8332</v>
      </c>
      <c r="I969" s="5" t="s">
        <v>4760</v>
      </c>
      <c r="J969" s="5" t="s">
        <v>2079</v>
      </c>
      <c r="K969" s="5" t="s">
        <v>5375</v>
      </c>
    </row>
    <row r="970" customFormat="false" ht="23.85" hidden="false" customHeight="false" outlineLevel="0" collapsed="false">
      <c r="A970" s="5" t="s">
        <v>5376</v>
      </c>
      <c r="B970" s="2" t="s">
        <v>5377</v>
      </c>
      <c r="C970" s="5" t="s">
        <v>2128</v>
      </c>
      <c r="D970" s="5" t="s">
        <v>62</v>
      </c>
      <c r="E970" s="5" t="n">
        <v>9</v>
      </c>
      <c r="F970" s="5" t="s">
        <v>2079</v>
      </c>
      <c r="G970" s="2" t="s">
        <v>10514</v>
      </c>
      <c r="H970" s="5" t="s">
        <v>8332</v>
      </c>
      <c r="I970" s="5" t="s">
        <v>4760</v>
      </c>
      <c r="J970" s="5" t="s">
        <v>2079</v>
      </c>
      <c r="K970" s="5" t="s">
        <v>5381</v>
      </c>
    </row>
    <row r="971" customFormat="false" ht="23.85" hidden="false" customHeight="false" outlineLevel="0" collapsed="false">
      <c r="A971" s="5" t="s">
        <v>10964</v>
      </c>
      <c r="B971" s="2" t="s">
        <v>10965</v>
      </c>
      <c r="C971" s="5" t="s">
        <v>2128</v>
      </c>
      <c r="D971" s="5" t="s">
        <v>490</v>
      </c>
      <c r="E971" s="5" t="n">
        <v>9</v>
      </c>
      <c r="F971" s="5" t="s">
        <v>8795</v>
      </c>
      <c r="G971" s="2" t="s">
        <v>255</v>
      </c>
      <c r="H971" s="5" t="s">
        <v>8336</v>
      </c>
      <c r="I971" s="5"/>
      <c r="J971" s="5"/>
      <c r="K971" s="5" t="s">
        <v>10966</v>
      </c>
    </row>
    <row r="972" customFormat="false" ht="15" hidden="false" customHeight="false" outlineLevel="0" collapsed="false">
      <c r="A972" s="5" t="s">
        <v>10967</v>
      </c>
      <c r="B972" s="2" t="s">
        <v>10968</v>
      </c>
      <c r="C972" s="5" t="s">
        <v>2128</v>
      </c>
      <c r="D972" s="5" t="s">
        <v>62</v>
      </c>
      <c r="E972" s="5" t="n">
        <v>9</v>
      </c>
      <c r="F972" s="5" t="s">
        <v>8795</v>
      </c>
      <c r="G972" s="2" t="s">
        <v>2349</v>
      </c>
      <c r="H972" s="5" t="s">
        <v>8336</v>
      </c>
      <c r="I972" s="5"/>
      <c r="J972" s="5"/>
      <c r="K972" s="5" t="s">
        <v>10969</v>
      </c>
    </row>
    <row r="973" customFormat="false" ht="35.05" hidden="false" customHeight="false" outlineLevel="0" collapsed="false">
      <c r="A973" s="5" t="s">
        <v>10970</v>
      </c>
      <c r="B973" s="2" t="s">
        <v>10971</v>
      </c>
      <c r="C973" s="5" t="s">
        <v>2128</v>
      </c>
      <c r="D973" s="5" t="s">
        <v>490</v>
      </c>
      <c r="E973" s="5" t="n">
        <v>9</v>
      </c>
      <c r="F973" s="5" t="s">
        <v>1814</v>
      </c>
      <c r="G973" s="2" t="s">
        <v>9927</v>
      </c>
      <c r="H973" s="5" t="s">
        <v>8336</v>
      </c>
      <c r="I973" s="5"/>
      <c r="J973" s="5"/>
      <c r="K973" s="5" t="s">
        <v>10972</v>
      </c>
    </row>
    <row r="974" customFormat="false" ht="23.85" hidden="false" customHeight="false" outlineLevel="0" collapsed="false">
      <c r="A974" s="5" t="s">
        <v>10973</v>
      </c>
      <c r="B974" s="2" t="s">
        <v>10974</v>
      </c>
      <c r="C974" s="5" t="s">
        <v>2128</v>
      </c>
      <c r="D974" s="5" t="s">
        <v>62</v>
      </c>
      <c r="E974" s="5" t="n">
        <v>9</v>
      </c>
      <c r="F974" s="5" t="s">
        <v>8795</v>
      </c>
      <c r="G974" s="2" t="s">
        <v>2349</v>
      </c>
      <c r="H974" s="5" t="s">
        <v>8336</v>
      </c>
      <c r="I974" s="5"/>
      <c r="J974" s="5"/>
      <c r="K974" s="5" t="s">
        <v>10975</v>
      </c>
    </row>
    <row r="975" customFormat="false" ht="35.05" hidden="false" customHeight="false" outlineLevel="0" collapsed="false">
      <c r="A975" s="5" t="s">
        <v>10976</v>
      </c>
      <c r="B975" s="2" t="s">
        <v>10977</v>
      </c>
      <c r="C975" s="5" t="s">
        <v>2128</v>
      </c>
      <c r="D975" s="5" t="s">
        <v>490</v>
      </c>
      <c r="E975" s="5" t="n">
        <v>9</v>
      </c>
      <c r="F975" s="5" t="s">
        <v>1814</v>
      </c>
      <c r="G975" s="2" t="s">
        <v>9927</v>
      </c>
      <c r="H975" s="5" t="s">
        <v>8336</v>
      </c>
      <c r="I975" s="5"/>
      <c r="J975" s="5"/>
      <c r="K975" s="5" t="s">
        <v>10978</v>
      </c>
    </row>
    <row r="976" customFormat="false" ht="15" hidden="false" customHeight="false" outlineLevel="0" collapsed="false">
      <c r="A976" s="5" t="s">
        <v>10979</v>
      </c>
      <c r="B976" s="2" t="s">
        <v>10980</v>
      </c>
      <c r="C976" s="5" t="s">
        <v>2128</v>
      </c>
      <c r="D976" s="5" t="s">
        <v>490</v>
      </c>
      <c r="E976" s="5" t="n">
        <v>9</v>
      </c>
      <c r="F976" s="5" t="s">
        <v>8795</v>
      </c>
      <c r="G976" s="2" t="s">
        <v>367</v>
      </c>
      <c r="H976" s="5" t="s">
        <v>8336</v>
      </c>
      <c r="I976" s="5"/>
      <c r="J976" s="5"/>
      <c r="K976" s="5" t="s">
        <v>10981</v>
      </c>
    </row>
    <row r="977" customFormat="false" ht="23.85" hidden="false" customHeight="false" outlineLevel="0" collapsed="false">
      <c r="A977" s="5" t="s">
        <v>10982</v>
      </c>
      <c r="B977" s="2" t="s">
        <v>10983</v>
      </c>
      <c r="C977" s="5" t="s">
        <v>2128</v>
      </c>
      <c r="D977" s="5" t="s">
        <v>62</v>
      </c>
      <c r="E977" s="5" t="n">
        <v>9</v>
      </c>
      <c r="F977" s="5" t="s">
        <v>536</v>
      </c>
      <c r="G977" s="2" t="s">
        <v>2721</v>
      </c>
      <c r="H977" s="5" t="s">
        <v>8336</v>
      </c>
      <c r="I977" s="5"/>
      <c r="J977" s="5"/>
      <c r="K977" s="5" t="s">
        <v>10984</v>
      </c>
    </row>
    <row r="978" customFormat="false" ht="23.85" hidden="false" customHeight="false" outlineLevel="0" collapsed="false">
      <c r="A978" s="5" t="s">
        <v>10985</v>
      </c>
      <c r="B978" s="2" t="s">
        <v>10986</v>
      </c>
      <c r="C978" s="5" t="s">
        <v>2128</v>
      </c>
      <c r="D978" s="5" t="s">
        <v>62</v>
      </c>
      <c r="E978" s="5" t="n">
        <v>9</v>
      </c>
      <c r="F978" s="5" t="s">
        <v>536</v>
      </c>
      <c r="G978" s="2" t="s">
        <v>2349</v>
      </c>
      <c r="H978" s="5" t="s">
        <v>8336</v>
      </c>
      <c r="I978" s="5"/>
      <c r="J978" s="5"/>
      <c r="K978" s="5" t="s">
        <v>10987</v>
      </c>
    </row>
    <row r="979" customFormat="false" ht="23.85" hidden="false" customHeight="false" outlineLevel="0" collapsed="false">
      <c r="A979" s="5" t="s">
        <v>5382</v>
      </c>
      <c r="B979" s="2" t="s">
        <v>5383</v>
      </c>
      <c r="C979" s="5" t="s">
        <v>2128</v>
      </c>
      <c r="D979" s="5" t="s">
        <v>490</v>
      </c>
      <c r="E979" s="5" t="n">
        <v>9</v>
      </c>
      <c r="F979" s="5" t="s">
        <v>2079</v>
      </c>
      <c r="G979" s="2" t="s">
        <v>10514</v>
      </c>
      <c r="H979" s="5" t="s">
        <v>8332</v>
      </c>
      <c r="I979" s="5" t="s">
        <v>4760</v>
      </c>
      <c r="J979" s="5" t="s">
        <v>2079</v>
      </c>
      <c r="K979" s="5" t="s">
        <v>5388</v>
      </c>
    </row>
    <row r="980" customFormat="false" ht="15" hidden="false" customHeight="false" outlineLevel="0" collapsed="false">
      <c r="A980" s="5" t="s">
        <v>5389</v>
      </c>
      <c r="B980" s="2" t="s">
        <v>5390</v>
      </c>
      <c r="C980" s="5" t="s">
        <v>2128</v>
      </c>
      <c r="D980" s="5" t="s">
        <v>490</v>
      </c>
      <c r="E980" s="5" t="n">
        <v>9</v>
      </c>
      <c r="F980" s="5" t="s">
        <v>2079</v>
      </c>
      <c r="G980" s="2" t="s">
        <v>2721</v>
      </c>
      <c r="H980" s="5" t="s">
        <v>8332</v>
      </c>
      <c r="I980" s="5" t="s">
        <v>4760</v>
      </c>
      <c r="J980" s="5" t="s">
        <v>2079</v>
      </c>
      <c r="K980" s="5" t="s">
        <v>5393</v>
      </c>
    </row>
    <row r="981" customFormat="false" ht="15" hidden="false" customHeight="false" outlineLevel="0" collapsed="false">
      <c r="A981" s="5" t="s">
        <v>5394</v>
      </c>
      <c r="B981" s="2" t="s">
        <v>5395</v>
      </c>
      <c r="C981" s="5" t="s">
        <v>2128</v>
      </c>
      <c r="D981" s="5" t="s">
        <v>490</v>
      </c>
      <c r="E981" s="5" t="n">
        <v>9</v>
      </c>
      <c r="F981" s="5" t="s">
        <v>2079</v>
      </c>
      <c r="G981" s="2" t="s">
        <v>10514</v>
      </c>
      <c r="H981" s="5" t="s">
        <v>8332</v>
      </c>
      <c r="I981" s="5" t="s">
        <v>4760</v>
      </c>
      <c r="J981" s="5" t="s">
        <v>2079</v>
      </c>
      <c r="K981" s="5" t="s">
        <v>5400</v>
      </c>
    </row>
    <row r="982" customFormat="false" ht="23.85" hidden="false" customHeight="false" outlineLevel="0" collapsed="false">
      <c r="A982" s="5" t="s">
        <v>5401</v>
      </c>
      <c r="B982" s="2" t="s">
        <v>5402</v>
      </c>
      <c r="C982" s="5" t="s">
        <v>2245</v>
      </c>
      <c r="D982" s="5" t="s">
        <v>62</v>
      </c>
      <c r="E982" s="5" t="n">
        <v>9</v>
      </c>
      <c r="F982" s="5" t="s">
        <v>2079</v>
      </c>
      <c r="G982" s="2" t="s">
        <v>10514</v>
      </c>
      <c r="H982" s="5" t="s">
        <v>8332</v>
      </c>
      <c r="I982" s="5" t="s">
        <v>4760</v>
      </c>
      <c r="J982" s="5" t="s">
        <v>2079</v>
      </c>
      <c r="K982" s="5" t="s">
        <v>5406</v>
      </c>
    </row>
    <row r="983" customFormat="false" ht="23.85" hidden="false" customHeight="false" outlineLevel="0" collapsed="false">
      <c r="A983" s="5" t="s">
        <v>5407</v>
      </c>
      <c r="B983" s="2" t="s">
        <v>5408</v>
      </c>
      <c r="C983" s="5" t="s">
        <v>2128</v>
      </c>
      <c r="D983" s="5" t="s">
        <v>62</v>
      </c>
      <c r="E983" s="5" t="n">
        <v>9</v>
      </c>
      <c r="F983" s="5" t="s">
        <v>2079</v>
      </c>
      <c r="G983" s="2" t="s">
        <v>10514</v>
      </c>
      <c r="H983" s="5" t="s">
        <v>8332</v>
      </c>
      <c r="I983" s="5" t="s">
        <v>4760</v>
      </c>
      <c r="J983" s="5" t="s">
        <v>2079</v>
      </c>
      <c r="K983" s="5" t="s">
        <v>5411</v>
      </c>
    </row>
    <row r="984" customFormat="false" ht="23.85" hidden="false" customHeight="false" outlineLevel="0" collapsed="false">
      <c r="A984" s="5" t="s">
        <v>5412</v>
      </c>
      <c r="B984" s="2" t="s">
        <v>5413</v>
      </c>
      <c r="C984" s="5" t="s">
        <v>2128</v>
      </c>
      <c r="D984" s="5" t="s">
        <v>62</v>
      </c>
      <c r="E984" s="5" t="n">
        <v>9</v>
      </c>
      <c r="F984" s="5" t="s">
        <v>2079</v>
      </c>
      <c r="G984" s="2" t="s">
        <v>10514</v>
      </c>
      <c r="H984" s="5" t="s">
        <v>8332</v>
      </c>
      <c r="I984" s="5" t="s">
        <v>4760</v>
      </c>
      <c r="J984" s="5" t="s">
        <v>2079</v>
      </c>
      <c r="K984" s="5" t="s">
        <v>5417</v>
      </c>
    </row>
    <row r="985" customFormat="false" ht="23.85" hidden="false" customHeight="false" outlineLevel="0" collapsed="false">
      <c r="A985" s="5" t="s">
        <v>5418</v>
      </c>
      <c r="B985" s="2" t="s">
        <v>5419</v>
      </c>
      <c r="C985" s="5" t="s">
        <v>2128</v>
      </c>
      <c r="D985" s="5" t="s">
        <v>490</v>
      </c>
      <c r="E985" s="5" t="n">
        <v>9</v>
      </c>
      <c r="F985" s="5" t="s">
        <v>2079</v>
      </c>
      <c r="G985" s="2" t="s">
        <v>2721</v>
      </c>
      <c r="H985" s="5" t="s">
        <v>8332</v>
      </c>
      <c r="I985" s="5" t="s">
        <v>4760</v>
      </c>
      <c r="J985" s="5" t="s">
        <v>2079</v>
      </c>
      <c r="K985" s="5" t="s">
        <v>5422</v>
      </c>
    </row>
    <row r="986" customFormat="false" ht="23.85" hidden="false" customHeight="false" outlineLevel="0" collapsed="false">
      <c r="A986" s="5" t="s">
        <v>5423</v>
      </c>
      <c r="B986" s="2" t="s">
        <v>5424</v>
      </c>
      <c r="C986" s="5" t="s">
        <v>2128</v>
      </c>
      <c r="D986" s="5" t="s">
        <v>490</v>
      </c>
      <c r="E986" s="5" t="n">
        <v>9</v>
      </c>
      <c r="F986" s="5" t="s">
        <v>2079</v>
      </c>
      <c r="G986" s="2" t="s">
        <v>10514</v>
      </c>
      <c r="H986" s="5" t="s">
        <v>8332</v>
      </c>
      <c r="I986" s="5" t="s">
        <v>4760</v>
      </c>
      <c r="J986" s="5" t="s">
        <v>2079</v>
      </c>
      <c r="K986" s="5" t="s">
        <v>5428</v>
      </c>
    </row>
    <row r="987" customFormat="false" ht="23.85" hidden="false" customHeight="false" outlineLevel="0" collapsed="false">
      <c r="A987" s="5" t="s">
        <v>5429</v>
      </c>
      <c r="B987" s="2" t="s">
        <v>5430</v>
      </c>
      <c r="C987" s="5" t="s">
        <v>2128</v>
      </c>
      <c r="D987" s="5" t="s">
        <v>62</v>
      </c>
      <c r="E987" s="5" t="n">
        <v>9</v>
      </c>
      <c r="F987" s="5" t="s">
        <v>2079</v>
      </c>
      <c r="G987" s="2" t="s">
        <v>2721</v>
      </c>
      <c r="H987" s="5" t="s">
        <v>8332</v>
      </c>
      <c r="I987" s="5" t="s">
        <v>4760</v>
      </c>
      <c r="J987" s="5" t="s">
        <v>2079</v>
      </c>
      <c r="K987" s="5" t="s">
        <v>5433</v>
      </c>
    </row>
    <row r="988" customFormat="false" ht="23.85" hidden="false" customHeight="false" outlineLevel="0" collapsed="false">
      <c r="A988" s="5" t="s">
        <v>5434</v>
      </c>
      <c r="B988" s="2" t="s">
        <v>5435</v>
      </c>
      <c r="C988" s="5" t="s">
        <v>2128</v>
      </c>
      <c r="D988" s="5" t="s">
        <v>62</v>
      </c>
      <c r="E988" s="5" t="n">
        <v>9</v>
      </c>
      <c r="F988" s="5" t="s">
        <v>2079</v>
      </c>
      <c r="G988" s="2" t="s">
        <v>10514</v>
      </c>
      <c r="H988" s="5" t="s">
        <v>8332</v>
      </c>
      <c r="I988" s="5" t="s">
        <v>4760</v>
      </c>
      <c r="J988" s="5" t="s">
        <v>2079</v>
      </c>
      <c r="K988" s="5" t="s">
        <v>5438</v>
      </c>
    </row>
    <row r="989" customFormat="false" ht="23.85" hidden="false" customHeight="false" outlineLevel="0" collapsed="false">
      <c r="A989" s="5" t="s">
        <v>10988</v>
      </c>
      <c r="B989" s="2" t="s">
        <v>10989</v>
      </c>
      <c r="C989" s="5" t="s">
        <v>2128</v>
      </c>
      <c r="D989" s="5" t="s">
        <v>62</v>
      </c>
      <c r="E989" s="5" t="n">
        <v>9</v>
      </c>
      <c r="F989" s="5" t="s">
        <v>544</v>
      </c>
      <c r="G989" s="2" t="s">
        <v>10514</v>
      </c>
      <c r="H989" s="5" t="s">
        <v>8336</v>
      </c>
      <c r="I989" s="5"/>
      <c r="J989" s="5"/>
      <c r="K989" s="5" t="s">
        <v>10990</v>
      </c>
    </row>
    <row r="990" customFormat="false" ht="23.85" hidden="false" customHeight="false" outlineLevel="0" collapsed="false">
      <c r="A990" s="5" t="s">
        <v>5439</v>
      </c>
      <c r="B990" s="2" t="s">
        <v>5440</v>
      </c>
      <c r="C990" s="5" t="s">
        <v>2128</v>
      </c>
      <c r="D990" s="5" t="s">
        <v>62</v>
      </c>
      <c r="E990" s="5" t="n">
        <v>9</v>
      </c>
      <c r="F990" s="5" t="s">
        <v>2079</v>
      </c>
      <c r="G990" s="2" t="s">
        <v>10514</v>
      </c>
      <c r="H990" s="5" t="s">
        <v>8332</v>
      </c>
      <c r="I990" s="5" t="s">
        <v>4760</v>
      </c>
      <c r="J990" s="5" t="s">
        <v>2079</v>
      </c>
      <c r="K990" s="5" t="s">
        <v>5445</v>
      </c>
    </row>
    <row r="991" customFormat="false" ht="23.85" hidden="false" customHeight="false" outlineLevel="0" collapsed="false">
      <c r="A991" s="5" t="s">
        <v>5446</v>
      </c>
      <c r="B991" s="2" t="s">
        <v>5447</v>
      </c>
      <c r="C991" s="5" t="s">
        <v>2128</v>
      </c>
      <c r="D991" s="5" t="s">
        <v>62</v>
      </c>
      <c r="E991" s="5" t="n">
        <v>9</v>
      </c>
      <c r="F991" s="5" t="s">
        <v>2079</v>
      </c>
      <c r="G991" s="2" t="s">
        <v>10514</v>
      </c>
      <c r="H991" s="5" t="s">
        <v>8332</v>
      </c>
      <c r="I991" s="5" t="s">
        <v>4760</v>
      </c>
      <c r="J991" s="5" t="s">
        <v>2079</v>
      </c>
      <c r="K991" s="5" t="s">
        <v>5451</v>
      </c>
    </row>
    <row r="992" customFormat="false" ht="23.85" hidden="false" customHeight="false" outlineLevel="0" collapsed="false">
      <c r="A992" s="5" t="s">
        <v>5452</v>
      </c>
      <c r="B992" s="2" t="s">
        <v>5453</v>
      </c>
      <c r="C992" s="5" t="s">
        <v>2128</v>
      </c>
      <c r="D992" s="5" t="s">
        <v>62</v>
      </c>
      <c r="E992" s="5" t="n">
        <v>9</v>
      </c>
      <c r="F992" s="5" t="s">
        <v>2079</v>
      </c>
      <c r="G992" s="2" t="s">
        <v>2721</v>
      </c>
      <c r="H992" s="5" t="s">
        <v>8332</v>
      </c>
      <c r="I992" s="5" t="s">
        <v>4760</v>
      </c>
      <c r="J992" s="5" t="s">
        <v>2079</v>
      </c>
      <c r="K992" s="5" t="s">
        <v>5456</v>
      </c>
    </row>
    <row r="993" customFormat="false" ht="23.85" hidden="false" customHeight="false" outlineLevel="0" collapsed="false">
      <c r="A993" s="5" t="s">
        <v>5457</v>
      </c>
      <c r="B993" s="2" t="s">
        <v>5458</v>
      </c>
      <c r="C993" s="5" t="s">
        <v>2128</v>
      </c>
      <c r="D993" s="5" t="s">
        <v>62</v>
      </c>
      <c r="E993" s="5" t="n">
        <v>9</v>
      </c>
      <c r="F993" s="5" t="s">
        <v>2079</v>
      </c>
      <c r="G993" s="2" t="s">
        <v>10514</v>
      </c>
      <c r="H993" s="5" t="s">
        <v>8332</v>
      </c>
      <c r="I993" s="5" t="s">
        <v>4760</v>
      </c>
      <c r="J993" s="5" t="s">
        <v>2079</v>
      </c>
      <c r="K993" s="5" t="s">
        <v>5463</v>
      </c>
    </row>
    <row r="994" customFormat="false" ht="23.85" hidden="false" customHeight="false" outlineLevel="0" collapsed="false">
      <c r="A994" s="5" t="s">
        <v>5464</v>
      </c>
      <c r="B994" s="2" t="s">
        <v>5465</v>
      </c>
      <c r="C994" s="5" t="s">
        <v>2245</v>
      </c>
      <c r="D994" s="5" t="s">
        <v>62</v>
      </c>
      <c r="E994" s="5" t="n">
        <v>9</v>
      </c>
      <c r="F994" s="5" t="s">
        <v>2079</v>
      </c>
      <c r="G994" s="2" t="s">
        <v>10514</v>
      </c>
      <c r="H994" s="5" t="s">
        <v>8332</v>
      </c>
      <c r="I994" s="5" t="s">
        <v>4760</v>
      </c>
      <c r="J994" s="5" t="s">
        <v>2079</v>
      </c>
      <c r="K994" s="5" t="s">
        <v>5469</v>
      </c>
    </row>
    <row r="995" customFormat="false" ht="15" hidden="false" customHeight="false" outlineLevel="0" collapsed="false">
      <c r="A995" s="5" t="s">
        <v>5470</v>
      </c>
      <c r="B995" s="2" t="s">
        <v>5471</v>
      </c>
      <c r="C995" s="5" t="s">
        <v>2128</v>
      </c>
      <c r="D995" s="5" t="s">
        <v>62</v>
      </c>
      <c r="E995" s="5" t="n">
        <v>9</v>
      </c>
      <c r="F995" s="5" t="s">
        <v>2079</v>
      </c>
      <c r="G995" s="2" t="s">
        <v>2721</v>
      </c>
      <c r="H995" s="5" t="s">
        <v>8332</v>
      </c>
      <c r="I995" s="5" t="s">
        <v>4760</v>
      </c>
      <c r="J995" s="5" t="s">
        <v>2079</v>
      </c>
      <c r="K995" s="5" t="s">
        <v>5474</v>
      </c>
    </row>
    <row r="996" customFormat="false" ht="15" hidden="false" customHeight="false" outlineLevel="0" collapsed="false">
      <c r="A996" s="5" t="s">
        <v>5475</v>
      </c>
      <c r="B996" s="2" t="s">
        <v>5476</v>
      </c>
      <c r="C996" s="5" t="s">
        <v>2128</v>
      </c>
      <c r="D996" s="5" t="s">
        <v>62</v>
      </c>
      <c r="E996" s="5" t="n">
        <v>9</v>
      </c>
      <c r="F996" s="5" t="s">
        <v>2079</v>
      </c>
      <c r="G996" s="2" t="s">
        <v>10514</v>
      </c>
      <c r="H996" s="5" t="s">
        <v>8332</v>
      </c>
      <c r="I996" s="5" t="s">
        <v>4760</v>
      </c>
      <c r="J996" s="5" t="s">
        <v>2079</v>
      </c>
      <c r="K996" s="5" t="s">
        <v>5481</v>
      </c>
    </row>
    <row r="997" customFormat="false" ht="23.85" hidden="false" customHeight="false" outlineLevel="0" collapsed="false">
      <c r="A997" s="5" t="s">
        <v>5482</v>
      </c>
      <c r="B997" s="2" t="s">
        <v>5483</v>
      </c>
      <c r="C997" s="5" t="s">
        <v>2128</v>
      </c>
      <c r="D997" s="5" t="s">
        <v>62</v>
      </c>
      <c r="E997" s="5" t="n">
        <v>9</v>
      </c>
      <c r="F997" s="5" t="s">
        <v>2079</v>
      </c>
      <c r="G997" s="2" t="s">
        <v>2721</v>
      </c>
      <c r="H997" s="5" t="s">
        <v>8332</v>
      </c>
      <c r="I997" s="5" t="s">
        <v>4760</v>
      </c>
      <c r="J997" s="5" t="s">
        <v>2079</v>
      </c>
      <c r="K997" s="5" t="s">
        <v>5486</v>
      </c>
    </row>
    <row r="998" customFormat="false" ht="23.85" hidden="false" customHeight="false" outlineLevel="0" collapsed="false">
      <c r="A998" s="5" t="s">
        <v>5487</v>
      </c>
      <c r="B998" s="2" t="s">
        <v>5488</v>
      </c>
      <c r="C998" s="5" t="s">
        <v>2128</v>
      </c>
      <c r="D998" s="5" t="s">
        <v>62</v>
      </c>
      <c r="E998" s="5" t="n">
        <v>9</v>
      </c>
      <c r="F998" s="5" t="s">
        <v>2079</v>
      </c>
      <c r="G998" s="2" t="s">
        <v>10514</v>
      </c>
      <c r="H998" s="5" t="s">
        <v>8332</v>
      </c>
      <c r="I998" s="5" t="s">
        <v>4760</v>
      </c>
      <c r="J998" s="5" t="s">
        <v>2079</v>
      </c>
      <c r="K998" s="5" t="s">
        <v>5493</v>
      </c>
    </row>
    <row r="999" customFormat="false" ht="23.85" hidden="false" customHeight="false" outlineLevel="0" collapsed="false">
      <c r="A999" s="5" t="s">
        <v>5494</v>
      </c>
      <c r="B999" s="2" t="s">
        <v>5495</v>
      </c>
      <c r="C999" s="5" t="s">
        <v>2128</v>
      </c>
      <c r="D999" s="5" t="s">
        <v>62</v>
      </c>
      <c r="E999" s="5" t="n">
        <v>9</v>
      </c>
      <c r="F999" s="5" t="s">
        <v>2079</v>
      </c>
      <c r="G999" s="2" t="s">
        <v>10514</v>
      </c>
      <c r="H999" s="5" t="s">
        <v>8332</v>
      </c>
      <c r="I999" s="5" t="s">
        <v>4760</v>
      </c>
      <c r="J999" s="5" t="s">
        <v>2079</v>
      </c>
      <c r="K999" s="5" t="s">
        <v>5499</v>
      </c>
    </row>
    <row r="1000" customFormat="false" ht="23.85" hidden="false" customHeight="false" outlineLevel="0" collapsed="false">
      <c r="A1000" s="5" t="s">
        <v>5500</v>
      </c>
      <c r="B1000" s="2" t="s">
        <v>5501</v>
      </c>
      <c r="C1000" s="5" t="s">
        <v>2245</v>
      </c>
      <c r="D1000" s="5" t="s">
        <v>62</v>
      </c>
      <c r="E1000" s="5" t="n">
        <v>9</v>
      </c>
      <c r="F1000" s="5" t="s">
        <v>2079</v>
      </c>
      <c r="G1000" s="2" t="s">
        <v>10514</v>
      </c>
      <c r="H1000" s="5" t="s">
        <v>8332</v>
      </c>
      <c r="I1000" s="5" t="s">
        <v>4760</v>
      </c>
      <c r="J1000" s="5" t="s">
        <v>2079</v>
      </c>
      <c r="K1000" s="5" t="s">
        <v>5505</v>
      </c>
    </row>
    <row r="1001" customFormat="false" ht="23.85" hidden="false" customHeight="false" outlineLevel="0" collapsed="false">
      <c r="A1001" s="5" t="s">
        <v>10991</v>
      </c>
      <c r="B1001" s="2" t="s">
        <v>10992</v>
      </c>
      <c r="C1001" s="5" t="s">
        <v>2128</v>
      </c>
      <c r="D1001" s="5" t="s">
        <v>62</v>
      </c>
      <c r="E1001" s="5" t="n">
        <v>9</v>
      </c>
      <c r="F1001" s="5" t="s">
        <v>544</v>
      </c>
      <c r="G1001" s="2" t="s">
        <v>2721</v>
      </c>
      <c r="H1001" s="5" t="s">
        <v>8336</v>
      </c>
      <c r="I1001" s="5"/>
      <c r="J1001" s="5"/>
      <c r="K1001" s="5" t="s">
        <v>10993</v>
      </c>
    </row>
    <row r="1002" customFormat="false" ht="23.85" hidden="false" customHeight="false" outlineLevel="0" collapsed="false">
      <c r="A1002" s="5" t="s">
        <v>10994</v>
      </c>
      <c r="B1002" s="2" t="s">
        <v>10995</v>
      </c>
      <c r="C1002" s="5" t="s">
        <v>2128</v>
      </c>
      <c r="D1002" s="5" t="s">
        <v>62</v>
      </c>
      <c r="E1002" s="5" t="n">
        <v>9</v>
      </c>
      <c r="F1002" s="5" t="s">
        <v>544</v>
      </c>
      <c r="G1002" s="2" t="s">
        <v>2349</v>
      </c>
      <c r="H1002" s="5" t="s">
        <v>8336</v>
      </c>
      <c r="I1002" s="5"/>
      <c r="J1002" s="5"/>
      <c r="K1002" s="5" t="s">
        <v>10996</v>
      </c>
    </row>
    <row r="1003" customFormat="false" ht="23.85" hidden="false" customHeight="false" outlineLevel="0" collapsed="false">
      <c r="A1003" s="5" t="s">
        <v>10997</v>
      </c>
      <c r="B1003" s="2" t="s">
        <v>10998</v>
      </c>
      <c r="C1003" s="5" t="s">
        <v>2128</v>
      </c>
      <c r="D1003" s="5" t="s">
        <v>62</v>
      </c>
      <c r="E1003" s="5" t="n">
        <v>9</v>
      </c>
      <c r="F1003" s="5" t="s">
        <v>544</v>
      </c>
      <c r="G1003" s="2" t="s">
        <v>2721</v>
      </c>
      <c r="H1003" s="5" t="s">
        <v>8336</v>
      </c>
      <c r="I1003" s="5"/>
      <c r="J1003" s="5"/>
      <c r="K1003" s="5" t="s">
        <v>10999</v>
      </c>
    </row>
    <row r="1004" customFormat="false" ht="23.85" hidden="false" customHeight="false" outlineLevel="0" collapsed="false">
      <c r="A1004" s="5" t="s">
        <v>11000</v>
      </c>
      <c r="B1004" s="2" t="s">
        <v>11001</v>
      </c>
      <c r="C1004" s="5" t="s">
        <v>2128</v>
      </c>
      <c r="D1004" s="5" t="s">
        <v>62</v>
      </c>
      <c r="E1004" s="5" t="n">
        <v>9</v>
      </c>
      <c r="F1004" s="5" t="s">
        <v>544</v>
      </c>
      <c r="G1004" s="2" t="s">
        <v>2349</v>
      </c>
      <c r="H1004" s="5" t="s">
        <v>8336</v>
      </c>
      <c r="I1004" s="5"/>
      <c r="J1004" s="5"/>
      <c r="K1004" s="5" t="s">
        <v>11002</v>
      </c>
    </row>
    <row r="1005" customFormat="false" ht="23.85" hidden="false" customHeight="false" outlineLevel="0" collapsed="false">
      <c r="A1005" s="5" t="s">
        <v>5506</v>
      </c>
      <c r="B1005" s="2" t="s">
        <v>5507</v>
      </c>
      <c r="C1005" s="5" t="s">
        <v>2128</v>
      </c>
      <c r="D1005" s="5" t="s">
        <v>62</v>
      </c>
      <c r="E1005" s="5" t="n">
        <v>9</v>
      </c>
      <c r="F1005" s="5" t="s">
        <v>2079</v>
      </c>
      <c r="G1005" s="2" t="s">
        <v>10514</v>
      </c>
      <c r="H1005" s="5" t="s">
        <v>8332</v>
      </c>
      <c r="I1005" s="5" t="s">
        <v>4760</v>
      </c>
      <c r="J1005" s="5" t="s">
        <v>2079</v>
      </c>
      <c r="K1005" s="5" t="s">
        <v>5511</v>
      </c>
    </row>
    <row r="1006" customFormat="false" ht="15" hidden="false" customHeight="false" outlineLevel="0" collapsed="false">
      <c r="A1006" s="5" t="s">
        <v>5512</v>
      </c>
      <c r="B1006" s="2" t="s">
        <v>5513</v>
      </c>
      <c r="C1006" s="5" t="s">
        <v>2128</v>
      </c>
      <c r="D1006" s="5" t="s">
        <v>62</v>
      </c>
      <c r="E1006" s="5" t="n">
        <v>9</v>
      </c>
      <c r="F1006" s="5" t="s">
        <v>2079</v>
      </c>
      <c r="G1006" s="2" t="s">
        <v>2721</v>
      </c>
      <c r="H1006" s="5" t="s">
        <v>8332</v>
      </c>
      <c r="I1006" s="5" t="s">
        <v>4760</v>
      </c>
      <c r="J1006" s="5" t="s">
        <v>2079</v>
      </c>
      <c r="K1006" s="5" t="s">
        <v>5516</v>
      </c>
    </row>
    <row r="1007" customFormat="false" ht="15" hidden="false" customHeight="false" outlineLevel="0" collapsed="false">
      <c r="A1007" s="5" t="s">
        <v>5517</v>
      </c>
      <c r="B1007" s="2" t="s">
        <v>5518</v>
      </c>
      <c r="C1007" s="5" t="s">
        <v>2128</v>
      </c>
      <c r="D1007" s="5" t="s">
        <v>62</v>
      </c>
      <c r="E1007" s="5" t="n">
        <v>9</v>
      </c>
      <c r="F1007" s="5" t="s">
        <v>2079</v>
      </c>
      <c r="G1007" s="2" t="s">
        <v>10514</v>
      </c>
      <c r="H1007" s="5" t="s">
        <v>8332</v>
      </c>
      <c r="I1007" s="5" t="s">
        <v>4760</v>
      </c>
      <c r="J1007" s="5" t="s">
        <v>2079</v>
      </c>
      <c r="K1007" s="5" t="s">
        <v>5523</v>
      </c>
    </row>
    <row r="1008" customFormat="false" ht="15" hidden="false" customHeight="false" outlineLevel="0" collapsed="false">
      <c r="A1008" s="5" t="s">
        <v>5524</v>
      </c>
      <c r="B1008" s="2" t="s">
        <v>5525</v>
      </c>
      <c r="C1008" s="5" t="s">
        <v>2128</v>
      </c>
      <c r="D1008" s="5" t="s">
        <v>62</v>
      </c>
      <c r="E1008" s="5" t="n">
        <v>9</v>
      </c>
      <c r="F1008" s="5" t="s">
        <v>2079</v>
      </c>
      <c r="G1008" s="2" t="s">
        <v>2721</v>
      </c>
      <c r="H1008" s="5" t="s">
        <v>8332</v>
      </c>
      <c r="I1008" s="5" t="s">
        <v>4760</v>
      </c>
      <c r="J1008" s="5" t="s">
        <v>2079</v>
      </c>
      <c r="K1008" s="5" t="s">
        <v>5528</v>
      </c>
    </row>
    <row r="1009" customFormat="false" ht="15" hidden="false" customHeight="false" outlineLevel="0" collapsed="false">
      <c r="A1009" s="5" t="s">
        <v>5529</v>
      </c>
      <c r="B1009" s="2" t="s">
        <v>5530</v>
      </c>
      <c r="C1009" s="5" t="s">
        <v>2128</v>
      </c>
      <c r="D1009" s="5" t="s">
        <v>62</v>
      </c>
      <c r="E1009" s="5" t="n">
        <v>9</v>
      </c>
      <c r="F1009" s="5" t="s">
        <v>2079</v>
      </c>
      <c r="G1009" s="2" t="s">
        <v>10514</v>
      </c>
      <c r="H1009" s="5" t="s">
        <v>8332</v>
      </c>
      <c r="I1009" s="5" t="s">
        <v>4760</v>
      </c>
      <c r="J1009" s="5" t="s">
        <v>2079</v>
      </c>
      <c r="K1009" s="5" t="s">
        <v>5535</v>
      </c>
    </row>
    <row r="1010" customFormat="false" ht="23.85" hidden="false" customHeight="false" outlineLevel="0" collapsed="false">
      <c r="A1010" s="5" t="s">
        <v>5536</v>
      </c>
      <c r="B1010" s="2" t="s">
        <v>5537</v>
      </c>
      <c r="C1010" s="5" t="s">
        <v>2128</v>
      </c>
      <c r="D1010" s="5" t="s">
        <v>62</v>
      </c>
      <c r="E1010" s="5" t="n">
        <v>9</v>
      </c>
      <c r="F1010" s="5" t="s">
        <v>2079</v>
      </c>
      <c r="G1010" s="2" t="s">
        <v>2721</v>
      </c>
      <c r="H1010" s="5" t="s">
        <v>8332</v>
      </c>
      <c r="I1010" s="5" t="s">
        <v>4760</v>
      </c>
      <c r="J1010" s="5" t="s">
        <v>2079</v>
      </c>
      <c r="K1010" s="5" t="s">
        <v>5540</v>
      </c>
    </row>
    <row r="1011" customFormat="false" ht="23.85" hidden="false" customHeight="false" outlineLevel="0" collapsed="false">
      <c r="A1011" s="5" t="s">
        <v>5541</v>
      </c>
      <c r="B1011" s="2" t="s">
        <v>5542</v>
      </c>
      <c r="C1011" s="5" t="s">
        <v>2128</v>
      </c>
      <c r="D1011" s="5" t="s">
        <v>62</v>
      </c>
      <c r="E1011" s="5" t="n">
        <v>9</v>
      </c>
      <c r="F1011" s="5" t="s">
        <v>2079</v>
      </c>
      <c r="G1011" s="2" t="s">
        <v>10514</v>
      </c>
      <c r="H1011" s="5" t="s">
        <v>8332</v>
      </c>
      <c r="I1011" s="5" t="s">
        <v>4760</v>
      </c>
      <c r="J1011" s="5" t="s">
        <v>2079</v>
      </c>
      <c r="K1011" s="5" t="s">
        <v>5546</v>
      </c>
    </row>
    <row r="1012" customFormat="false" ht="23.85" hidden="false" customHeight="false" outlineLevel="0" collapsed="false">
      <c r="A1012" s="5" t="s">
        <v>5547</v>
      </c>
      <c r="B1012" s="2" t="s">
        <v>5548</v>
      </c>
      <c r="C1012" s="5" t="s">
        <v>2128</v>
      </c>
      <c r="D1012" s="5" t="s">
        <v>62</v>
      </c>
      <c r="E1012" s="5" t="n">
        <v>9</v>
      </c>
      <c r="F1012" s="5" t="s">
        <v>2079</v>
      </c>
      <c r="G1012" s="2" t="s">
        <v>2721</v>
      </c>
      <c r="H1012" s="5" t="s">
        <v>8332</v>
      </c>
      <c r="I1012" s="5" t="s">
        <v>4760</v>
      </c>
      <c r="J1012" s="5" t="s">
        <v>2079</v>
      </c>
      <c r="K1012" s="5" t="s">
        <v>5552</v>
      </c>
    </row>
    <row r="1013" customFormat="false" ht="23.85" hidden="false" customHeight="false" outlineLevel="0" collapsed="false">
      <c r="A1013" s="5" t="s">
        <v>5553</v>
      </c>
      <c r="B1013" s="2" t="s">
        <v>5554</v>
      </c>
      <c r="C1013" s="5" t="s">
        <v>2128</v>
      </c>
      <c r="D1013" s="5" t="s">
        <v>62</v>
      </c>
      <c r="E1013" s="5" t="n">
        <v>9</v>
      </c>
      <c r="F1013" s="5" t="s">
        <v>2079</v>
      </c>
      <c r="G1013" s="2" t="s">
        <v>10514</v>
      </c>
      <c r="H1013" s="5" t="s">
        <v>8332</v>
      </c>
      <c r="I1013" s="5" t="s">
        <v>4760</v>
      </c>
      <c r="J1013" s="5" t="s">
        <v>2079</v>
      </c>
      <c r="K1013" s="5" t="s">
        <v>5558</v>
      </c>
    </row>
    <row r="1014" customFormat="false" ht="23.85" hidden="false" customHeight="false" outlineLevel="0" collapsed="false">
      <c r="A1014" s="5" t="s">
        <v>11003</v>
      </c>
      <c r="B1014" s="2" t="s">
        <v>11004</v>
      </c>
      <c r="C1014" s="5" t="s">
        <v>2128</v>
      </c>
      <c r="D1014" s="5" t="s">
        <v>490</v>
      </c>
      <c r="E1014" s="5" t="n">
        <v>9</v>
      </c>
      <c r="F1014" s="5" t="s">
        <v>284</v>
      </c>
      <c r="G1014" s="2" t="s">
        <v>2721</v>
      </c>
      <c r="H1014" s="5" t="s">
        <v>8336</v>
      </c>
      <c r="I1014" s="5"/>
      <c r="J1014" s="5"/>
      <c r="K1014" s="5" t="s">
        <v>11005</v>
      </c>
    </row>
    <row r="1015" customFormat="false" ht="23.85" hidden="false" customHeight="false" outlineLevel="0" collapsed="false">
      <c r="A1015" s="5" t="s">
        <v>11006</v>
      </c>
      <c r="B1015" s="2" t="s">
        <v>11007</v>
      </c>
      <c r="C1015" s="5" t="s">
        <v>2128</v>
      </c>
      <c r="D1015" s="5" t="s">
        <v>490</v>
      </c>
      <c r="E1015" s="5" t="n">
        <v>9</v>
      </c>
      <c r="F1015" s="5" t="s">
        <v>284</v>
      </c>
      <c r="G1015" s="2" t="s">
        <v>10514</v>
      </c>
      <c r="H1015" s="5" t="s">
        <v>8336</v>
      </c>
      <c r="I1015" s="5"/>
      <c r="J1015" s="5"/>
      <c r="K1015" s="5" t="s">
        <v>11008</v>
      </c>
    </row>
    <row r="1016" customFormat="false" ht="23.85" hidden="false" customHeight="false" outlineLevel="0" collapsed="false">
      <c r="A1016" s="5" t="s">
        <v>5559</v>
      </c>
      <c r="B1016" s="2" t="s">
        <v>5560</v>
      </c>
      <c r="C1016" s="5" t="s">
        <v>2128</v>
      </c>
      <c r="D1016" s="5" t="s">
        <v>62</v>
      </c>
      <c r="E1016" s="5" t="n">
        <v>9</v>
      </c>
      <c r="F1016" s="5" t="s">
        <v>2079</v>
      </c>
      <c r="G1016" s="2" t="s">
        <v>2721</v>
      </c>
      <c r="H1016" s="5" t="s">
        <v>8332</v>
      </c>
      <c r="I1016" s="5" t="s">
        <v>4760</v>
      </c>
      <c r="J1016" s="5" t="s">
        <v>2079</v>
      </c>
      <c r="K1016" s="5" t="s">
        <v>5563</v>
      </c>
    </row>
    <row r="1017" customFormat="false" ht="23.85" hidden="false" customHeight="false" outlineLevel="0" collapsed="false">
      <c r="A1017" s="5" t="s">
        <v>5564</v>
      </c>
      <c r="B1017" s="2" t="s">
        <v>5565</v>
      </c>
      <c r="C1017" s="5" t="s">
        <v>2128</v>
      </c>
      <c r="D1017" s="5" t="s">
        <v>62</v>
      </c>
      <c r="E1017" s="5" t="n">
        <v>9</v>
      </c>
      <c r="F1017" s="5" t="s">
        <v>2079</v>
      </c>
      <c r="G1017" s="2" t="s">
        <v>10514</v>
      </c>
      <c r="H1017" s="5" t="s">
        <v>8332</v>
      </c>
      <c r="I1017" s="5" t="s">
        <v>4760</v>
      </c>
      <c r="J1017" s="5" t="s">
        <v>2079</v>
      </c>
      <c r="K1017" s="5" t="s">
        <v>5570</v>
      </c>
    </row>
    <row r="1018" customFormat="false" ht="23.85" hidden="false" customHeight="false" outlineLevel="0" collapsed="false">
      <c r="A1018" s="5" t="s">
        <v>11009</v>
      </c>
      <c r="B1018" s="2" t="s">
        <v>11010</v>
      </c>
      <c r="C1018" s="5" t="s">
        <v>2128</v>
      </c>
      <c r="D1018" s="5" t="s">
        <v>62</v>
      </c>
      <c r="E1018" s="5" t="n">
        <v>9</v>
      </c>
      <c r="F1018" s="5" t="s">
        <v>284</v>
      </c>
      <c r="G1018" s="2" t="s">
        <v>2721</v>
      </c>
      <c r="H1018" s="5" t="s">
        <v>8336</v>
      </c>
      <c r="I1018" s="5"/>
      <c r="J1018" s="5"/>
      <c r="K1018" s="5" t="s">
        <v>11011</v>
      </c>
    </row>
    <row r="1019" customFormat="false" ht="23.85" hidden="false" customHeight="false" outlineLevel="0" collapsed="false">
      <c r="A1019" s="5" t="s">
        <v>11012</v>
      </c>
      <c r="B1019" s="2" t="s">
        <v>11013</v>
      </c>
      <c r="C1019" s="5" t="s">
        <v>2128</v>
      </c>
      <c r="D1019" s="5" t="s">
        <v>62</v>
      </c>
      <c r="E1019" s="5" t="n">
        <v>9</v>
      </c>
      <c r="F1019" s="5" t="s">
        <v>284</v>
      </c>
      <c r="G1019" s="2" t="s">
        <v>10514</v>
      </c>
      <c r="H1019" s="5" t="s">
        <v>8336</v>
      </c>
      <c r="I1019" s="5"/>
      <c r="J1019" s="5"/>
      <c r="K1019" s="5" t="s">
        <v>11014</v>
      </c>
    </row>
    <row r="1020" customFormat="false" ht="23.85" hidden="false" customHeight="false" outlineLevel="0" collapsed="false">
      <c r="A1020" s="5" t="s">
        <v>5571</v>
      </c>
      <c r="B1020" s="2" t="s">
        <v>5572</v>
      </c>
      <c r="C1020" s="5" t="s">
        <v>2128</v>
      </c>
      <c r="D1020" s="5" t="s">
        <v>62</v>
      </c>
      <c r="E1020" s="5" t="n">
        <v>9</v>
      </c>
      <c r="F1020" s="5" t="s">
        <v>2079</v>
      </c>
      <c r="G1020" s="2" t="s">
        <v>2721</v>
      </c>
      <c r="H1020" s="5" t="s">
        <v>8332</v>
      </c>
      <c r="I1020" s="5" t="s">
        <v>4760</v>
      </c>
      <c r="J1020" s="5" t="s">
        <v>2079</v>
      </c>
      <c r="K1020" s="5" t="s">
        <v>5575</v>
      </c>
    </row>
    <row r="1021" customFormat="false" ht="23.85" hidden="false" customHeight="false" outlineLevel="0" collapsed="false">
      <c r="A1021" s="5" t="s">
        <v>5576</v>
      </c>
      <c r="B1021" s="2" t="s">
        <v>5577</v>
      </c>
      <c r="C1021" s="5" t="s">
        <v>2128</v>
      </c>
      <c r="D1021" s="5" t="s">
        <v>62</v>
      </c>
      <c r="E1021" s="5" t="n">
        <v>9</v>
      </c>
      <c r="F1021" s="5" t="s">
        <v>2079</v>
      </c>
      <c r="G1021" s="2" t="s">
        <v>10514</v>
      </c>
      <c r="H1021" s="5" t="s">
        <v>8332</v>
      </c>
      <c r="I1021" s="5" t="s">
        <v>4760</v>
      </c>
      <c r="J1021" s="5" t="s">
        <v>2079</v>
      </c>
      <c r="K1021" s="5" t="s">
        <v>5582</v>
      </c>
    </row>
    <row r="1022" customFormat="false" ht="23.85" hidden="false" customHeight="false" outlineLevel="0" collapsed="false">
      <c r="A1022" s="5" t="s">
        <v>5583</v>
      </c>
      <c r="B1022" s="2" t="s">
        <v>5584</v>
      </c>
      <c r="C1022" s="5" t="s">
        <v>2128</v>
      </c>
      <c r="D1022" s="5" t="s">
        <v>62</v>
      </c>
      <c r="E1022" s="5" t="n">
        <v>9</v>
      </c>
      <c r="F1022" s="5" t="s">
        <v>2079</v>
      </c>
      <c r="G1022" s="2" t="s">
        <v>2721</v>
      </c>
      <c r="H1022" s="5" t="s">
        <v>8332</v>
      </c>
      <c r="I1022" s="5" t="s">
        <v>4760</v>
      </c>
      <c r="J1022" s="5" t="s">
        <v>2079</v>
      </c>
      <c r="K1022" s="5" t="s">
        <v>5587</v>
      </c>
    </row>
    <row r="1023" customFormat="false" ht="23.85" hidden="false" customHeight="false" outlineLevel="0" collapsed="false">
      <c r="A1023" s="5" t="s">
        <v>5588</v>
      </c>
      <c r="B1023" s="2" t="s">
        <v>5589</v>
      </c>
      <c r="C1023" s="5" t="s">
        <v>2128</v>
      </c>
      <c r="D1023" s="5" t="s">
        <v>62</v>
      </c>
      <c r="E1023" s="5" t="n">
        <v>9</v>
      </c>
      <c r="F1023" s="5" t="s">
        <v>2079</v>
      </c>
      <c r="G1023" s="2" t="s">
        <v>10514</v>
      </c>
      <c r="H1023" s="5" t="s">
        <v>8332</v>
      </c>
      <c r="I1023" s="5" t="s">
        <v>4760</v>
      </c>
      <c r="J1023" s="5" t="s">
        <v>2079</v>
      </c>
      <c r="K1023" s="5" t="s">
        <v>5593</v>
      </c>
    </row>
    <row r="1024" customFormat="false" ht="23.85" hidden="false" customHeight="false" outlineLevel="0" collapsed="false">
      <c r="A1024" s="5" t="s">
        <v>5594</v>
      </c>
      <c r="B1024" s="2" t="s">
        <v>5595</v>
      </c>
      <c r="C1024" s="5" t="s">
        <v>2128</v>
      </c>
      <c r="D1024" s="5" t="s">
        <v>62</v>
      </c>
      <c r="E1024" s="5" t="n">
        <v>9</v>
      </c>
      <c r="F1024" s="5" t="s">
        <v>2079</v>
      </c>
      <c r="G1024" s="2" t="s">
        <v>2721</v>
      </c>
      <c r="H1024" s="5" t="s">
        <v>8332</v>
      </c>
      <c r="I1024" s="5" t="s">
        <v>4760</v>
      </c>
      <c r="J1024" s="5" t="s">
        <v>2079</v>
      </c>
      <c r="K1024" s="5" t="s">
        <v>5598</v>
      </c>
    </row>
    <row r="1025" customFormat="false" ht="23.85" hidden="false" customHeight="false" outlineLevel="0" collapsed="false">
      <c r="A1025" s="5" t="s">
        <v>5599</v>
      </c>
      <c r="B1025" s="2" t="s">
        <v>5600</v>
      </c>
      <c r="C1025" s="5" t="s">
        <v>2128</v>
      </c>
      <c r="D1025" s="5" t="s">
        <v>62</v>
      </c>
      <c r="E1025" s="5" t="n">
        <v>9</v>
      </c>
      <c r="F1025" s="5" t="s">
        <v>2079</v>
      </c>
      <c r="G1025" s="2" t="s">
        <v>10514</v>
      </c>
      <c r="H1025" s="5" t="s">
        <v>8332</v>
      </c>
      <c r="I1025" s="5" t="s">
        <v>4760</v>
      </c>
      <c r="J1025" s="5" t="s">
        <v>2079</v>
      </c>
      <c r="K1025" s="5" t="s">
        <v>5605</v>
      </c>
    </row>
    <row r="1026" customFormat="false" ht="23.85" hidden="false" customHeight="false" outlineLevel="0" collapsed="false">
      <c r="A1026" s="5" t="s">
        <v>5606</v>
      </c>
      <c r="B1026" s="2" t="s">
        <v>5607</v>
      </c>
      <c r="C1026" s="5" t="s">
        <v>2128</v>
      </c>
      <c r="D1026" s="5" t="s">
        <v>62</v>
      </c>
      <c r="E1026" s="5" t="n">
        <v>9</v>
      </c>
      <c r="F1026" s="5" t="s">
        <v>2079</v>
      </c>
      <c r="G1026" s="2" t="s">
        <v>2721</v>
      </c>
      <c r="H1026" s="5" t="s">
        <v>8332</v>
      </c>
      <c r="I1026" s="5" t="s">
        <v>4760</v>
      </c>
      <c r="J1026" s="5" t="s">
        <v>2079</v>
      </c>
      <c r="K1026" s="5" t="s">
        <v>5610</v>
      </c>
    </row>
    <row r="1027" customFormat="false" ht="23.85" hidden="false" customHeight="false" outlineLevel="0" collapsed="false">
      <c r="A1027" s="5" t="s">
        <v>5611</v>
      </c>
      <c r="B1027" s="2" t="s">
        <v>5612</v>
      </c>
      <c r="C1027" s="5" t="s">
        <v>2128</v>
      </c>
      <c r="D1027" s="5" t="s">
        <v>62</v>
      </c>
      <c r="E1027" s="5" t="n">
        <v>9</v>
      </c>
      <c r="F1027" s="5" t="s">
        <v>2079</v>
      </c>
      <c r="G1027" s="2" t="s">
        <v>10514</v>
      </c>
      <c r="H1027" s="5" t="s">
        <v>8332</v>
      </c>
      <c r="I1027" s="5" t="s">
        <v>4760</v>
      </c>
      <c r="J1027" s="5" t="s">
        <v>2079</v>
      </c>
      <c r="K1027" s="5" t="s">
        <v>5616</v>
      </c>
    </row>
    <row r="1028" customFormat="false" ht="23.85" hidden="false" customHeight="false" outlineLevel="0" collapsed="false">
      <c r="A1028" s="5" t="s">
        <v>5617</v>
      </c>
      <c r="B1028" s="2" t="s">
        <v>5618</v>
      </c>
      <c r="C1028" s="5" t="s">
        <v>2128</v>
      </c>
      <c r="D1028" s="5" t="s">
        <v>62</v>
      </c>
      <c r="E1028" s="5" t="n">
        <v>9</v>
      </c>
      <c r="F1028" s="5" t="s">
        <v>2079</v>
      </c>
      <c r="G1028" s="2" t="s">
        <v>10892</v>
      </c>
      <c r="H1028" s="5" t="s">
        <v>8332</v>
      </c>
      <c r="I1028" s="5" t="s">
        <v>4760</v>
      </c>
      <c r="J1028" s="5" t="s">
        <v>2079</v>
      </c>
      <c r="K1028" s="5" t="s">
        <v>5622</v>
      </c>
    </row>
    <row r="1029" customFormat="false" ht="23.85" hidden="false" customHeight="false" outlineLevel="0" collapsed="false">
      <c r="A1029" s="5" t="s">
        <v>5623</v>
      </c>
      <c r="B1029" s="2" t="s">
        <v>5624</v>
      </c>
      <c r="C1029" s="5" t="s">
        <v>2128</v>
      </c>
      <c r="D1029" s="5" t="s">
        <v>62</v>
      </c>
      <c r="E1029" s="5" t="n">
        <v>9</v>
      </c>
      <c r="F1029" s="5" t="s">
        <v>2079</v>
      </c>
      <c r="G1029" s="2" t="s">
        <v>10892</v>
      </c>
      <c r="H1029" s="5" t="s">
        <v>8332</v>
      </c>
      <c r="I1029" s="5" t="s">
        <v>4760</v>
      </c>
      <c r="J1029" s="5" t="s">
        <v>2079</v>
      </c>
      <c r="K1029" s="5" t="s">
        <v>5628</v>
      </c>
    </row>
    <row r="1030" customFormat="false" ht="23.85" hidden="false" customHeight="false" outlineLevel="0" collapsed="false">
      <c r="A1030" s="5" t="s">
        <v>5629</v>
      </c>
      <c r="B1030" s="2" t="s">
        <v>5630</v>
      </c>
      <c r="C1030" s="5" t="s">
        <v>2128</v>
      </c>
      <c r="D1030" s="5" t="s">
        <v>62</v>
      </c>
      <c r="E1030" s="5" t="n">
        <v>9</v>
      </c>
      <c r="F1030" s="5" t="s">
        <v>2079</v>
      </c>
      <c r="G1030" s="2" t="s">
        <v>10514</v>
      </c>
      <c r="H1030" s="5" t="s">
        <v>8332</v>
      </c>
      <c r="I1030" s="5" t="s">
        <v>4760</v>
      </c>
      <c r="J1030" s="5" t="s">
        <v>2079</v>
      </c>
      <c r="K1030" s="5" t="s">
        <v>5635</v>
      </c>
    </row>
    <row r="1031" customFormat="false" ht="23.85" hidden="false" customHeight="false" outlineLevel="0" collapsed="false">
      <c r="A1031" s="5" t="s">
        <v>5636</v>
      </c>
      <c r="B1031" s="2" t="s">
        <v>5637</v>
      </c>
      <c r="C1031" s="5" t="s">
        <v>2128</v>
      </c>
      <c r="D1031" s="5" t="s">
        <v>62</v>
      </c>
      <c r="E1031" s="5" t="n">
        <v>9</v>
      </c>
      <c r="F1031" s="5" t="s">
        <v>2079</v>
      </c>
      <c r="G1031" s="2" t="s">
        <v>10514</v>
      </c>
      <c r="H1031" s="5" t="s">
        <v>8332</v>
      </c>
      <c r="I1031" s="5" t="s">
        <v>4760</v>
      </c>
      <c r="J1031" s="5" t="s">
        <v>2079</v>
      </c>
      <c r="K1031" s="5" t="s">
        <v>5641</v>
      </c>
    </row>
    <row r="1032" customFormat="false" ht="23.85" hidden="false" customHeight="false" outlineLevel="0" collapsed="false">
      <c r="A1032" s="5" t="s">
        <v>5642</v>
      </c>
      <c r="B1032" s="2" t="s">
        <v>5643</v>
      </c>
      <c r="C1032" s="5" t="s">
        <v>2128</v>
      </c>
      <c r="D1032" s="5" t="s">
        <v>62</v>
      </c>
      <c r="E1032" s="5" t="n">
        <v>9</v>
      </c>
      <c r="F1032" s="5" t="s">
        <v>2079</v>
      </c>
      <c r="G1032" s="2" t="s">
        <v>10514</v>
      </c>
      <c r="H1032" s="5" t="s">
        <v>8332</v>
      </c>
      <c r="I1032" s="5" t="s">
        <v>4760</v>
      </c>
      <c r="J1032" s="5" t="s">
        <v>2079</v>
      </c>
      <c r="K1032" s="5" t="s">
        <v>5647</v>
      </c>
    </row>
    <row r="1033" customFormat="false" ht="23.85" hidden="false" customHeight="false" outlineLevel="0" collapsed="false">
      <c r="A1033" s="5" t="s">
        <v>5648</v>
      </c>
      <c r="B1033" s="2" t="s">
        <v>5649</v>
      </c>
      <c r="C1033" s="5" t="s">
        <v>2128</v>
      </c>
      <c r="D1033" s="5" t="s">
        <v>62</v>
      </c>
      <c r="E1033" s="5" t="n">
        <v>9</v>
      </c>
      <c r="F1033" s="5" t="s">
        <v>2079</v>
      </c>
      <c r="G1033" s="2" t="s">
        <v>10514</v>
      </c>
      <c r="H1033" s="5" t="s">
        <v>8332</v>
      </c>
      <c r="I1033" s="5" t="s">
        <v>4760</v>
      </c>
      <c r="J1033" s="5" t="s">
        <v>2079</v>
      </c>
      <c r="K1033" s="5" t="s">
        <v>5653</v>
      </c>
    </row>
    <row r="1034" customFormat="false" ht="23.85" hidden="false" customHeight="false" outlineLevel="0" collapsed="false">
      <c r="A1034" s="5" t="s">
        <v>5654</v>
      </c>
      <c r="B1034" s="2" t="s">
        <v>5655</v>
      </c>
      <c r="C1034" s="5" t="s">
        <v>2245</v>
      </c>
      <c r="D1034" s="5" t="s">
        <v>62</v>
      </c>
      <c r="E1034" s="5" t="n">
        <v>9</v>
      </c>
      <c r="F1034" s="5" t="s">
        <v>2079</v>
      </c>
      <c r="G1034" s="2" t="s">
        <v>10514</v>
      </c>
      <c r="H1034" s="5" t="s">
        <v>8332</v>
      </c>
      <c r="I1034" s="5" t="s">
        <v>4760</v>
      </c>
      <c r="J1034" s="5" t="s">
        <v>2079</v>
      </c>
      <c r="K1034" s="5" t="s">
        <v>5659</v>
      </c>
    </row>
    <row r="1035" customFormat="false" ht="23.85" hidden="false" customHeight="false" outlineLevel="0" collapsed="false">
      <c r="A1035" s="5" t="s">
        <v>5660</v>
      </c>
      <c r="B1035" s="2" t="s">
        <v>5661</v>
      </c>
      <c r="C1035" s="5" t="s">
        <v>2128</v>
      </c>
      <c r="D1035" s="5" t="s">
        <v>62</v>
      </c>
      <c r="E1035" s="5" t="n">
        <v>9</v>
      </c>
      <c r="F1035" s="5" t="s">
        <v>2079</v>
      </c>
      <c r="G1035" s="2" t="s">
        <v>2721</v>
      </c>
      <c r="H1035" s="5" t="s">
        <v>8332</v>
      </c>
      <c r="I1035" s="5" t="s">
        <v>4760</v>
      </c>
      <c r="J1035" s="5" t="s">
        <v>2079</v>
      </c>
      <c r="K1035" s="5" t="s">
        <v>5664</v>
      </c>
    </row>
    <row r="1036" customFormat="false" ht="23.85" hidden="false" customHeight="false" outlineLevel="0" collapsed="false">
      <c r="A1036" s="5" t="s">
        <v>5665</v>
      </c>
      <c r="B1036" s="2" t="s">
        <v>5666</v>
      </c>
      <c r="C1036" s="5" t="s">
        <v>2128</v>
      </c>
      <c r="D1036" s="5" t="s">
        <v>62</v>
      </c>
      <c r="E1036" s="5" t="n">
        <v>9</v>
      </c>
      <c r="F1036" s="5" t="s">
        <v>2079</v>
      </c>
      <c r="G1036" s="2" t="s">
        <v>10514</v>
      </c>
      <c r="H1036" s="5" t="s">
        <v>8332</v>
      </c>
      <c r="I1036" s="5" t="s">
        <v>4760</v>
      </c>
      <c r="J1036" s="5" t="s">
        <v>2079</v>
      </c>
      <c r="K1036" s="5" t="s">
        <v>5671</v>
      </c>
    </row>
    <row r="1037" customFormat="false" ht="23.85" hidden="false" customHeight="false" outlineLevel="0" collapsed="false">
      <c r="A1037" s="5" t="s">
        <v>5672</v>
      </c>
      <c r="B1037" s="2" t="s">
        <v>5673</v>
      </c>
      <c r="C1037" s="5" t="s">
        <v>2128</v>
      </c>
      <c r="D1037" s="5" t="s">
        <v>62</v>
      </c>
      <c r="E1037" s="5" t="n">
        <v>9</v>
      </c>
      <c r="F1037" s="5" t="s">
        <v>2079</v>
      </c>
      <c r="G1037" s="2" t="s">
        <v>2721</v>
      </c>
      <c r="H1037" s="5" t="s">
        <v>8332</v>
      </c>
      <c r="I1037" s="5" t="s">
        <v>4760</v>
      </c>
      <c r="J1037" s="5" t="s">
        <v>2079</v>
      </c>
      <c r="K1037" s="5" t="s">
        <v>5676</v>
      </c>
    </row>
    <row r="1038" customFormat="false" ht="23.85" hidden="false" customHeight="false" outlineLevel="0" collapsed="false">
      <c r="A1038" s="5" t="s">
        <v>5677</v>
      </c>
      <c r="B1038" s="2" t="s">
        <v>5678</v>
      </c>
      <c r="C1038" s="5" t="s">
        <v>2128</v>
      </c>
      <c r="D1038" s="5" t="s">
        <v>62</v>
      </c>
      <c r="E1038" s="5" t="n">
        <v>9</v>
      </c>
      <c r="F1038" s="5" t="s">
        <v>2079</v>
      </c>
      <c r="G1038" s="2" t="s">
        <v>10514</v>
      </c>
      <c r="H1038" s="5" t="s">
        <v>8332</v>
      </c>
      <c r="I1038" s="5" t="s">
        <v>4760</v>
      </c>
      <c r="J1038" s="5" t="s">
        <v>2079</v>
      </c>
      <c r="K1038" s="5" t="s">
        <v>5683</v>
      </c>
    </row>
    <row r="1039" customFormat="false" ht="23.85" hidden="false" customHeight="false" outlineLevel="0" collapsed="false">
      <c r="A1039" s="5" t="s">
        <v>5684</v>
      </c>
      <c r="B1039" s="2" t="s">
        <v>5685</v>
      </c>
      <c r="C1039" s="5" t="s">
        <v>2128</v>
      </c>
      <c r="D1039" s="5" t="s">
        <v>62</v>
      </c>
      <c r="E1039" s="5" t="n">
        <v>9</v>
      </c>
      <c r="F1039" s="5" t="s">
        <v>2079</v>
      </c>
      <c r="G1039" s="2" t="s">
        <v>10514</v>
      </c>
      <c r="H1039" s="5" t="s">
        <v>8332</v>
      </c>
      <c r="I1039" s="5" t="s">
        <v>4760</v>
      </c>
      <c r="J1039" s="5" t="s">
        <v>2079</v>
      </c>
      <c r="K1039" s="5" t="s">
        <v>5690</v>
      </c>
    </row>
    <row r="1040" customFormat="false" ht="15" hidden="false" customHeight="false" outlineLevel="0" collapsed="false">
      <c r="A1040" s="5" t="s">
        <v>11015</v>
      </c>
      <c r="B1040" s="2" t="s">
        <v>11016</v>
      </c>
      <c r="C1040" s="5" t="s">
        <v>2128</v>
      </c>
      <c r="D1040" s="5" t="s">
        <v>490</v>
      </c>
      <c r="E1040" s="5" t="n">
        <v>9</v>
      </c>
      <c r="F1040" s="5" t="s">
        <v>284</v>
      </c>
      <c r="G1040" s="2" t="s">
        <v>2721</v>
      </c>
      <c r="H1040" s="5" t="s">
        <v>8336</v>
      </c>
      <c r="I1040" s="5"/>
      <c r="J1040" s="5"/>
      <c r="K1040" s="5" t="s">
        <v>11017</v>
      </c>
    </row>
    <row r="1041" customFormat="false" ht="23.85" hidden="false" customHeight="false" outlineLevel="0" collapsed="false">
      <c r="A1041" s="5" t="s">
        <v>11018</v>
      </c>
      <c r="B1041" s="2" t="s">
        <v>11019</v>
      </c>
      <c r="C1041" s="5" t="s">
        <v>2128</v>
      </c>
      <c r="D1041" s="5" t="s">
        <v>490</v>
      </c>
      <c r="E1041" s="5" t="n">
        <v>9</v>
      </c>
      <c r="F1041" s="5" t="s">
        <v>284</v>
      </c>
      <c r="G1041" s="2" t="s">
        <v>2721</v>
      </c>
      <c r="H1041" s="5" t="s">
        <v>8336</v>
      </c>
      <c r="I1041" s="5"/>
      <c r="J1041" s="5"/>
      <c r="K1041" s="5" t="s">
        <v>11020</v>
      </c>
    </row>
    <row r="1042" customFormat="false" ht="15" hidden="false" customHeight="false" outlineLevel="0" collapsed="false">
      <c r="A1042" s="5" t="s">
        <v>11021</v>
      </c>
      <c r="B1042" s="2" t="s">
        <v>11022</v>
      </c>
      <c r="C1042" s="5" t="s">
        <v>2128</v>
      </c>
      <c r="D1042" s="5" t="s">
        <v>62</v>
      </c>
      <c r="E1042" s="5" t="n">
        <v>9</v>
      </c>
      <c r="F1042" s="5" t="s">
        <v>10936</v>
      </c>
      <c r="G1042" s="2" t="s">
        <v>2721</v>
      </c>
      <c r="H1042" s="5" t="s">
        <v>8336</v>
      </c>
      <c r="I1042" s="5"/>
      <c r="J1042" s="5"/>
      <c r="K1042" s="5" t="s">
        <v>11023</v>
      </c>
    </row>
    <row r="1043" customFormat="false" ht="23.85" hidden="false" customHeight="false" outlineLevel="0" collapsed="false">
      <c r="A1043" s="5" t="s">
        <v>11024</v>
      </c>
      <c r="B1043" s="2" t="s">
        <v>11025</v>
      </c>
      <c r="C1043" s="5" t="s">
        <v>2128</v>
      </c>
      <c r="D1043" s="5" t="s">
        <v>62</v>
      </c>
      <c r="E1043" s="5" t="n">
        <v>9</v>
      </c>
      <c r="F1043" s="5" t="s">
        <v>10936</v>
      </c>
      <c r="G1043" s="2" t="s">
        <v>2349</v>
      </c>
      <c r="H1043" s="5" t="s">
        <v>8336</v>
      </c>
      <c r="I1043" s="5"/>
      <c r="J1043" s="5"/>
      <c r="K1043" s="5" t="s">
        <v>11026</v>
      </c>
    </row>
    <row r="1044" customFormat="false" ht="23.85" hidden="false" customHeight="false" outlineLevel="0" collapsed="false">
      <c r="A1044" s="5" t="s">
        <v>5691</v>
      </c>
      <c r="B1044" s="2" t="s">
        <v>5692</v>
      </c>
      <c r="C1044" s="5" t="s">
        <v>2128</v>
      </c>
      <c r="D1044" s="5" t="s">
        <v>62</v>
      </c>
      <c r="E1044" s="5" t="n">
        <v>9</v>
      </c>
      <c r="F1044" s="5" t="s">
        <v>2079</v>
      </c>
      <c r="G1044" s="2" t="s">
        <v>10514</v>
      </c>
      <c r="H1044" s="5" t="s">
        <v>8332</v>
      </c>
      <c r="I1044" s="5" t="s">
        <v>4760</v>
      </c>
      <c r="J1044" s="5" t="s">
        <v>2079</v>
      </c>
      <c r="K1044" s="5" t="s">
        <v>5696</v>
      </c>
    </row>
    <row r="1045" customFormat="false" ht="23.85" hidden="false" customHeight="false" outlineLevel="0" collapsed="false">
      <c r="A1045" s="5" t="s">
        <v>5697</v>
      </c>
      <c r="B1045" s="2" t="s">
        <v>5698</v>
      </c>
      <c r="C1045" s="5" t="s">
        <v>2128</v>
      </c>
      <c r="D1045" s="5" t="s">
        <v>62</v>
      </c>
      <c r="E1045" s="5" t="n">
        <v>9</v>
      </c>
      <c r="F1045" s="5" t="s">
        <v>2079</v>
      </c>
      <c r="G1045" s="2" t="s">
        <v>2721</v>
      </c>
      <c r="H1045" s="5" t="s">
        <v>8332</v>
      </c>
      <c r="I1045" s="5" t="s">
        <v>4760</v>
      </c>
      <c r="J1045" s="5" t="s">
        <v>2079</v>
      </c>
      <c r="K1045" s="5" t="s">
        <v>5701</v>
      </c>
    </row>
    <row r="1046" customFormat="false" ht="23.85" hidden="false" customHeight="false" outlineLevel="0" collapsed="false">
      <c r="A1046" s="5" t="s">
        <v>5702</v>
      </c>
      <c r="B1046" s="2" t="s">
        <v>5703</v>
      </c>
      <c r="C1046" s="5" t="s">
        <v>2128</v>
      </c>
      <c r="D1046" s="5" t="s">
        <v>62</v>
      </c>
      <c r="E1046" s="5" t="n">
        <v>9</v>
      </c>
      <c r="F1046" s="5" t="s">
        <v>2079</v>
      </c>
      <c r="G1046" s="2" t="s">
        <v>10514</v>
      </c>
      <c r="H1046" s="5" t="s">
        <v>8332</v>
      </c>
      <c r="I1046" s="5" t="s">
        <v>4760</v>
      </c>
      <c r="J1046" s="5" t="s">
        <v>2079</v>
      </c>
      <c r="K1046" s="5" t="s">
        <v>5708</v>
      </c>
    </row>
    <row r="1047" customFormat="false" ht="23.85" hidden="false" customHeight="false" outlineLevel="0" collapsed="false">
      <c r="A1047" s="5" t="s">
        <v>5709</v>
      </c>
      <c r="B1047" s="2" t="s">
        <v>5710</v>
      </c>
      <c r="C1047" s="5" t="s">
        <v>2128</v>
      </c>
      <c r="D1047" s="5" t="s">
        <v>490</v>
      </c>
      <c r="E1047" s="5" t="n">
        <v>9</v>
      </c>
      <c r="F1047" s="5" t="s">
        <v>2079</v>
      </c>
      <c r="G1047" s="2" t="s">
        <v>2721</v>
      </c>
      <c r="H1047" s="5" t="s">
        <v>8332</v>
      </c>
      <c r="I1047" s="5" t="s">
        <v>4760</v>
      </c>
      <c r="J1047" s="5" t="s">
        <v>2079</v>
      </c>
      <c r="K1047" s="5" t="s">
        <v>5713</v>
      </c>
    </row>
    <row r="1048" customFormat="false" ht="23.85" hidden="false" customHeight="false" outlineLevel="0" collapsed="false">
      <c r="A1048" s="5" t="s">
        <v>5714</v>
      </c>
      <c r="B1048" s="2" t="s">
        <v>5715</v>
      </c>
      <c r="C1048" s="5" t="s">
        <v>2128</v>
      </c>
      <c r="D1048" s="5" t="s">
        <v>490</v>
      </c>
      <c r="E1048" s="5" t="n">
        <v>9</v>
      </c>
      <c r="F1048" s="5" t="s">
        <v>2079</v>
      </c>
      <c r="G1048" s="2" t="s">
        <v>10514</v>
      </c>
      <c r="H1048" s="5" t="s">
        <v>8332</v>
      </c>
      <c r="I1048" s="5" t="s">
        <v>4760</v>
      </c>
      <c r="J1048" s="5" t="s">
        <v>2079</v>
      </c>
      <c r="K1048" s="5" t="s">
        <v>5720</v>
      </c>
    </row>
    <row r="1049" customFormat="false" ht="23.85" hidden="false" customHeight="false" outlineLevel="0" collapsed="false">
      <c r="A1049" s="5" t="s">
        <v>5721</v>
      </c>
      <c r="B1049" s="2" t="s">
        <v>5722</v>
      </c>
      <c r="C1049" s="5" t="s">
        <v>2128</v>
      </c>
      <c r="D1049" s="5" t="s">
        <v>62</v>
      </c>
      <c r="E1049" s="5" t="n">
        <v>9</v>
      </c>
      <c r="F1049" s="5" t="s">
        <v>2079</v>
      </c>
      <c r="G1049" s="2" t="s">
        <v>10514</v>
      </c>
      <c r="H1049" s="5" t="s">
        <v>8332</v>
      </c>
      <c r="I1049" s="5" t="s">
        <v>4760</v>
      </c>
      <c r="J1049" s="5" t="s">
        <v>2079</v>
      </c>
      <c r="K1049" s="5" t="s">
        <v>5726</v>
      </c>
    </row>
    <row r="1050" customFormat="false" ht="23.85" hidden="false" customHeight="false" outlineLevel="0" collapsed="false">
      <c r="A1050" s="5" t="s">
        <v>5727</v>
      </c>
      <c r="B1050" s="2" t="s">
        <v>5728</v>
      </c>
      <c r="C1050" s="5" t="s">
        <v>2245</v>
      </c>
      <c r="D1050" s="5" t="s">
        <v>62</v>
      </c>
      <c r="E1050" s="5" t="n">
        <v>9</v>
      </c>
      <c r="F1050" s="5" t="s">
        <v>2079</v>
      </c>
      <c r="G1050" s="2" t="s">
        <v>10514</v>
      </c>
      <c r="H1050" s="5" t="s">
        <v>8332</v>
      </c>
      <c r="I1050" s="5" t="s">
        <v>4760</v>
      </c>
      <c r="J1050" s="5" t="s">
        <v>2079</v>
      </c>
      <c r="K1050" s="5" t="s">
        <v>5732</v>
      </c>
    </row>
    <row r="1051" customFormat="false" ht="23.85" hidden="false" customHeight="false" outlineLevel="0" collapsed="false">
      <c r="A1051" s="5" t="s">
        <v>5733</v>
      </c>
      <c r="B1051" s="2" t="s">
        <v>5734</v>
      </c>
      <c r="C1051" s="5" t="s">
        <v>2128</v>
      </c>
      <c r="D1051" s="5" t="s">
        <v>62</v>
      </c>
      <c r="E1051" s="5" t="n">
        <v>9</v>
      </c>
      <c r="F1051" s="5" t="s">
        <v>2079</v>
      </c>
      <c r="G1051" s="2" t="s">
        <v>10514</v>
      </c>
      <c r="H1051" s="5" t="s">
        <v>8332</v>
      </c>
      <c r="I1051" s="5" t="s">
        <v>4760</v>
      </c>
      <c r="J1051" s="5" t="s">
        <v>2079</v>
      </c>
      <c r="K1051" s="5" t="s">
        <v>5738</v>
      </c>
    </row>
    <row r="1052" customFormat="false" ht="15" hidden="false" customHeight="false" outlineLevel="0" collapsed="false">
      <c r="A1052" s="5" t="s">
        <v>5739</v>
      </c>
      <c r="B1052" s="2" t="s">
        <v>5740</v>
      </c>
      <c r="C1052" s="5" t="s">
        <v>2128</v>
      </c>
      <c r="D1052" s="5" t="s">
        <v>62</v>
      </c>
      <c r="E1052" s="5" t="n">
        <v>9</v>
      </c>
      <c r="F1052" s="5" t="s">
        <v>2079</v>
      </c>
      <c r="G1052" s="2" t="s">
        <v>2721</v>
      </c>
      <c r="H1052" s="5" t="s">
        <v>8332</v>
      </c>
      <c r="I1052" s="5" t="s">
        <v>4760</v>
      </c>
      <c r="J1052" s="5" t="s">
        <v>2079</v>
      </c>
      <c r="K1052" s="5" t="s">
        <v>5743</v>
      </c>
    </row>
    <row r="1053" customFormat="false" ht="15" hidden="false" customHeight="false" outlineLevel="0" collapsed="false">
      <c r="A1053" s="5" t="s">
        <v>5744</v>
      </c>
      <c r="B1053" s="2" t="s">
        <v>5745</v>
      </c>
      <c r="C1053" s="5" t="s">
        <v>2128</v>
      </c>
      <c r="D1053" s="5" t="s">
        <v>62</v>
      </c>
      <c r="E1053" s="5" t="n">
        <v>9</v>
      </c>
      <c r="F1053" s="5" t="s">
        <v>2079</v>
      </c>
      <c r="G1053" s="2" t="s">
        <v>10514</v>
      </c>
      <c r="H1053" s="5" t="s">
        <v>8332</v>
      </c>
      <c r="I1053" s="5" t="s">
        <v>4760</v>
      </c>
      <c r="J1053" s="5" t="s">
        <v>2079</v>
      </c>
      <c r="K1053" s="5" t="s">
        <v>5750</v>
      </c>
    </row>
    <row r="1054" customFormat="false" ht="15" hidden="false" customHeight="false" outlineLevel="0" collapsed="false">
      <c r="A1054" s="5" t="s">
        <v>5751</v>
      </c>
      <c r="B1054" s="2" t="s">
        <v>5752</v>
      </c>
      <c r="C1054" s="5" t="s">
        <v>2128</v>
      </c>
      <c r="D1054" s="5" t="s">
        <v>490</v>
      </c>
      <c r="E1054" s="5" t="n">
        <v>9</v>
      </c>
      <c r="F1054" s="5" t="s">
        <v>2079</v>
      </c>
      <c r="G1054" s="2" t="s">
        <v>2721</v>
      </c>
      <c r="H1054" s="5" t="s">
        <v>8332</v>
      </c>
      <c r="I1054" s="5" t="s">
        <v>4760</v>
      </c>
      <c r="J1054" s="5" t="s">
        <v>2079</v>
      </c>
      <c r="K1054" s="5" t="s">
        <v>5755</v>
      </c>
    </row>
    <row r="1055" customFormat="false" ht="15" hidden="false" customHeight="false" outlineLevel="0" collapsed="false">
      <c r="A1055" s="5" t="s">
        <v>5756</v>
      </c>
      <c r="B1055" s="2" t="s">
        <v>5757</v>
      </c>
      <c r="C1055" s="5" t="s">
        <v>2128</v>
      </c>
      <c r="D1055" s="5" t="s">
        <v>490</v>
      </c>
      <c r="E1055" s="5" t="n">
        <v>9</v>
      </c>
      <c r="F1055" s="5" t="s">
        <v>2079</v>
      </c>
      <c r="G1055" s="2" t="s">
        <v>10514</v>
      </c>
      <c r="H1055" s="5" t="s">
        <v>8332</v>
      </c>
      <c r="I1055" s="5" t="s">
        <v>4760</v>
      </c>
      <c r="J1055" s="5" t="s">
        <v>2079</v>
      </c>
      <c r="K1055" s="5" t="s">
        <v>5762</v>
      </c>
    </row>
    <row r="1056" customFormat="false" ht="15" hidden="false" customHeight="false" outlineLevel="0" collapsed="false">
      <c r="A1056" s="5" t="s">
        <v>5763</v>
      </c>
      <c r="B1056" s="2" t="s">
        <v>5764</v>
      </c>
      <c r="C1056" s="5" t="s">
        <v>2128</v>
      </c>
      <c r="D1056" s="5" t="s">
        <v>490</v>
      </c>
      <c r="E1056" s="5" t="n">
        <v>9</v>
      </c>
      <c r="F1056" s="5" t="s">
        <v>481</v>
      </c>
      <c r="G1056" s="2" t="s">
        <v>2721</v>
      </c>
      <c r="H1056" s="5" t="s">
        <v>8332</v>
      </c>
      <c r="I1056" s="5" t="s">
        <v>4760</v>
      </c>
      <c r="J1056" s="5" t="s">
        <v>481</v>
      </c>
      <c r="K1056" s="5" t="s">
        <v>5767</v>
      </c>
    </row>
    <row r="1057" customFormat="false" ht="23.85" hidden="false" customHeight="false" outlineLevel="0" collapsed="false">
      <c r="A1057" s="5" t="s">
        <v>5768</v>
      </c>
      <c r="B1057" s="2" t="s">
        <v>5769</v>
      </c>
      <c r="C1057" s="5" t="s">
        <v>2128</v>
      </c>
      <c r="D1057" s="5" t="s">
        <v>62</v>
      </c>
      <c r="E1057" s="5" t="n">
        <v>9</v>
      </c>
      <c r="F1057" s="5" t="s">
        <v>481</v>
      </c>
      <c r="G1057" s="2" t="s">
        <v>10514</v>
      </c>
      <c r="H1057" s="5" t="s">
        <v>8332</v>
      </c>
      <c r="I1057" s="5" t="s">
        <v>4760</v>
      </c>
      <c r="J1057" s="5" t="s">
        <v>481</v>
      </c>
      <c r="K1057" s="5" t="s">
        <v>5774</v>
      </c>
    </row>
    <row r="1058" customFormat="false" ht="23.85" hidden="false" customHeight="false" outlineLevel="0" collapsed="false">
      <c r="A1058" s="5" t="s">
        <v>5775</v>
      </c>
      <c r="B1058" s="2" t="s">
        <v>5776</v>
      </c>
      <c r="C1058" s="5" t="s">
        <v>2128</v>
      </c>
      <c r="D1058" s="5" t="s">
        <v>490</v>
      </c>
      <c r="E1058" s="5" t="n">
        <v>9</v>
      </c>
      <c r="F1058" s="5" t="s">
        <v>2079</v>
      </c>
      <c r="G1058" s="2" t="s">
        <v>10514</v>
      </c>
      <c r="H1058" s="5" t="s">
        <v>8332</v>
      </c>
      <c r="I1058" s="5" t="s">
        <v>4760</v>
      </c>
      <c r="J1058" s="5" t="s">
        <v>2079</v>
      </c>
      <c r="K1058" s="5" t="s">
        <v>5781</v>
      </c>
    </row>
    <row r="1059" customFormat="false" ht="23.85" hidden="false" customHeight="false" outlineLevel="0" collapsed="false">
      <c r="A1059" s="5" t="s">
        <v>5782</v>
      </c>
      <c r="B1059" s="2" t="s">
        <v>5783</v>
      </c>
      <c r="C1059" s="5" t="s">
        <v>2128</v>
      </c>
      <c r="D1059" s="5" t="s">
        <v>62</v>
      </c>
      <c r="E1059" s="5" t="n">
        <v>9</v>
      </c>
      <c r="F1059" s="5" t="s">
        <v>2079</v>
      </c>
      <c r="G1059" s="2" t="s">
        <v>10514</v>
      </c>
      <c r="H1059" s="5" t="s">
        <v>8332</v>
      </c>
      <c r="I1059" s="5" t="s">
        <v>4760</v>
      </c>
      <c r="J1059" s="5" t="s">
        <v>2079</v>
      </c>
      <c r="K1059" s="5" t="s">
        <v>5787</v>
      </c>
    </row>
    <row r="1060" customFormat="false" ht="23.85" hidden="false" customHeight="false" outlineLevel="0" collapsed="false">
      <c r="A1060" s="5" t="s">
        <v>5788</v>
      </c>
      <c r="B1060" s="2" t="s">
        <v>5789</v>
      </c>
      <c r="C1060" s="5" t="s">
        <v>2128</v>
      </c>
      <c r="D1060" s="5" t="s">
        <v>62</v>
      </c>
      <c r="E1060" s="5" t="n">
        <v>9</v>
      </c>
      <c r="F1060" s="5" t="s">
        <v>2079</v>
      </c>
      <c r="G1060" s="2" t="s">
        <v>10514</v>
      </c>
      <c r="H1060" s="5" t="s">
        <v>8332</v>
      </c>
      <c r="I1060" s="5" t="s">
        <v>4760</v>
      </c>
      <c r="J1060" s="5" t="s">
        <v>2079</v>
      </c>
      <c r="K1060" s="5" t="s">
        <v>5794</v>
      </c>
    </row>
    <row r="1061" customFormat="false" ht="23.85" hidden="false" customHeight="false" outlineLevel="0" collapsed="false">
      <c r="A1061" s="5" t="s">
        <v>5795</v>
      </c>
      <c r="B1061" s="2" t="s">
        <v>5796</v>
      </c>
      <c r="C1061" s="5" t="s">
        <v>2128</v>
      </c>
      <c r="D1061" s="5" t="s">
        <v>62</v>
      </c>
      <c r="E1061" s="5" t="n">
        <v>10</v>
      </c>
      <c r="F1061" s="5" t="s">
        <v>2079</v>
      </c>
      <c r="G1061" s="2" t="s">
        <v>2721</v>
      </c>
      <c r="H1061" s="5" t="s">
        <v>8332</v>
      </c>
      <c r="I1061" s="5" t="s">
        <v>4760</v>
      </c>
      <c r="J1061" s="5" t="s">
        <v>2079</v>
      </c>
      <c r="K1061" s="5" t="s">
        <v>5799</v>
      </c>
    </row>
    <row r="1062" customFormat="false" ht="23.85" hidden="false" customHeight="false" outlineLevel="0" collapsed="false">
      <c r="A1062" s="5" t="s">
        <v>5800</v>
      </c>
      <c r="B1062" s="2" t="s">
        <v>5801</v>
      </c>
      <c r="C1062" s="5" t="s">
        <v>2128</v>
      </c>
      <c r="D1062" s="5" t="s">
        <v>62</v>
      </c>
      <c r="E1062" s="5" t="n">
        <v>10</v>
      </c>
      <c r="F1062" s="5" t="s">
        <v>2079</v>
      </c>
      <c r="G1062" s="2" t="s">
        <v>10514</v>
      </c>
      <c r="H1062" s="5" t="s">
        <v>8332</v>
      </c>
      <c r="I1062" s="5" t="s">
        <v>4760</v>
      </c>
      <c r="J1062" s="5" t="s">
        <v>2079</v>
      </c>
      <c r="K1062" s="5" t="s">
        <v>5806</v>
      </c>
    </row>
    <row r="1063" customFormat="false" ht="23.85" hidden="false" customHeight="false" outlineLevel="0" collapsed="false">
      <c r="A1063" s="5" t="s">
        <v>5807</v>
      </c>
      <c r="B1063" s="2" t="s">
        <v>5808</v>
      </c>
      <c r="C1063" s="5" t="s">
        <v>2128</v>
      </c>
      <c r="D1063" s="5" t="s">
        <v>62</v>
      </c>
      <c r="E1063" s="5" t="n">
        <v>9</v>
      </c>
      <c r="F1063" s="5" t="s">
        <v>2079</v>
      </c>
      <c r="G1063" s="2" t="s">
        <v>10514</v>
      </c>
      <c r="H1063" s="5" t="s">
        <v>8332</v>
      </c>
      <c r="I1063" s="5" t="s">
        <v>4760</v>
      </c>
      <c r="J1063" s="5" t="s">
        <v>2079</v>
      </c>
      <c r="K1063" s="5" t="s">
        <v>5812</v>
      </c>
    </row>
    <row r="1064" customFormat="false" ht="23.85" hidden="false" customHeight="false" outlineLevel="0" collapsed="false">
      <c r="A1064" s="5" t="s">
        <v>5813</v>
      </c>
      <c r="B1064" s="2" t="s">
        <v>5814</v>
      </c>
      <c r="C1064" s="5" t="s">
        <v>2128</v>
      </c>
      <c r="D1064" s="5" t="s">
        <v>62</v>
      </c>
      <c r="E1064" s="5" t="n">
        <v>9</v>
      </c>
      <c r="F1064" s="5" t="s">
        <v>2079</v>
      </c>
      <c r="G1064" s="2" t="s">
        <v>10892</v>
      </c>
      <c r="H1064" s="5" t="s">
        <v>8332</v>
      </c>
      <c r="I1064" s="5" t="s">
        <v>4760</v>
      </c>
      <c r="J1064" s="5" t="s">
        <v>2079</v>
      </c>
      <c r="K1064" s="5" t="s">
        <v>5818</v>
      </c>
    </row>
    <row r="1065" customFormat="false" ht="23.85" hidden="false" customHeight="false" outlineLevel="0" collapsed="false">
      <c r="A1065" s="5" t="s">
        <v>5819</v>
      </c>
      <c r="B1065" s="2" t="s">
        <v>5820</v>
      </c>
      <c r="C1065" s="5" t="s">
        <v>2128</v>
      </c>
      <c r="D1065" s="5" t="s">
        <v>62</v>
      </c>
      <c r="E1065" s="5" t="n">
        <v>9</v>
      </c>
      <c r="F1065" s="5" t="s">
        <v>2079</v>
      </c>
      <c r="G1065" s="2" t="s">
        <v>10514</v>
      </c>
      <c r="H1065" s="5" t="s">
        <v>8332</v>
      </c>
      <c r="I1065" s="5" t="s">
        <v>4760</v>
      </c>
      <c r="J1065" s="5" t="s">
        <v>2079</v>
      </c>
      <c r="K1065" s="5" t="s">
        <v>5824</v>
      </c>
    </row>
    <row r="1066" customFormat="false" ht="15" hidden="false" customHeight="false" outlineLevel="0" collapsed="false">
      <c r="A1066" s="5" t="s">
        <v>11027</v>
      </c>
      <c r="B1066" s="2" t="s">
        <v>11028</v>
      </c>
      <c r="C1066" s="5" t="s">
        <v>2128</v>
      </c>
      <c r="D1066" s="5" t="s">
        <v>62</v>
      </c>
      <c r="E1066" s="5" t="n">
        <v>9</v>
      </c>
      <c r="F1066" s="5" t="s">
        <v>536</v>
      </c>
      <c r="G1066" s="2" t="s">
        <v>10514</v>
      </c>
      <c r="H1066" s="5" t="s">
        <v>8336</v>
      </c>
      <c r="I1066" s="5"/>
      <c r="J1066" s="5"/>
      <c r="K1066" s="5" t="s">
        <v>11029</v>
      </c>
    </row>
    <row r="1067" customFormat="false" ht="57.45" hidden="false" customHeight="false" outlineLevel="0" collapsed="false">
      <c r="A1067" s="5" t="s">
        <v>11030</v>
      </c>
      <c r="B1067" s="2" t="s">
        <v>11031</v>
      </c>
      <c r="C1067" s="5" t="s">
        <v>2128</v>
      </c>
      <c r="D1067" s="5" t="s">
        <v>490</v>
      </c>
      <c r="E1067" s="5" t="n">
        <v>9</v>
      </c>
      <c r="F1067" s="5" t="s">
        <v>1814</v>
      </c>
      <c r="G1067" s="2" t="s">
        <v>9404</v>
      </c>
      <c r="H1067" s="5" t="s">
        <v>8336</v>
      </c>
      <c r="I1067" s="5"/>
      <c r="J1067" s="5"/>
      <c r="K1067" s="5" t="s">
        <v>11032</v>
      </c>
    </row>
    <row r="1068" customFormat="false" ht="35.05" hidden="false" customHeight="false" outlineLevel="0" collapsed="false">
      <c r="A1068" s="5" t="s">
        <v>11033</v>
      </c>
      <c r="B1068" s="2" t="s">
        <v>11034</v>
      </c>
      <c r="C1068" s="5" t="s">
        <v>2128</v>
      </c>
      <c r="D1068" s="5" t="s">
        <v>490</v>
      </c>
      <c r="E1068" s="5" t="n">
        <v>9</v>
      </c>
      <c r="F1068" s="5" t="s">
        <v>1814</v>
      </c>
      <c r="G1068" s="2" t="s">
        <v>9927</v>
      </c>
      <c r="H1068" s="5" t="s">
        <v>8336</v>
      </c>
      <c r="I1068" s="5"/>
      <c r="J1068" s="5"/>
      <c r="K1068" s="5" t="s">
        <v>11035</v>
      </c>
    </row>
    <row r="1069" customFormat="false" ht="15" hidden="false" customHeight="false" outlineLevel="0" collapsed="false">
      <c r="A1069" s="5" t="s">
        <v>11036</v>
      </c>
      <c r="B1069" s="2" t="s">
        <v>11037</v>
      </c>
      <c r="C1069" s="5" t="s">
        <v>2128</v>
      </c>
      <c r="D1069" s="5" t="s">
        <v>490</v>
      </c>
      <c r="E1069" s="5" t="n">
        <v>9</v>
      </c>
      <c r="F1069" s="5" t="s">
        <v>8795</v>
      </c>
      <c r="G1069" s="2" t="s">
        <v>367</v>
      </c>
      <c r="H1069" s="5" t="s">
        <v>8336</v>
      </c>
      <c r="I1069" s="5"/>
      <c r="J1069" s="5"/>
      <c r="K1069" s="5" t="s">
        <v>11038</v>
      </c>
    </row>
    <row r="1070" customFormat="false" ht="23.85" hidden="false" customHeight="false" outlineLevel="0" collapsed="false">
      <c r="A1070" s="5" t="s">
        <v>11039</v>
      </c>
      <c r="B1070" s="2" t="s">
        <v>11040</v>
      </c>
      <c r="C1070" s="5" t="s">
        <v>2128</v>
      </c>
      <c r="D1070" s="5" t="s">
        <v>490</v>
      </c>
      <c r="E1070" s="5" t="n">
        <v>9</v>
      </c>
      <c r="F1070" s="5" t="s">
        <v>8795</v>
      </c>
      <c r="G1070" s="2" t="s">
        <v>11041</v>
      </c>
      <c r="H1070" s="5" t="s">
        <v>8336</v>
      </c>
      <c r="I1070" s="5"/>
      <c r="J1070" s="5"/>
      <c r="K1070" s="5" t="s">
        <v>11042</v>
      </c>
    </row>
    <row r="1071" customFormat="false" ht="23.85" hidden="false" customHeight="false" outlineLevel="0" collapsed="false">
      <c r="A1071" s="5" t="s">
        <v>11043</v>
      </c>
      <c r="B1071" s="2" t="s">
        <v>11044</v>
      </c>
      <c r="C1071" s="5" t="s">
        <v>2128</v>
      </c>
      <c r="D1071" s="5" t="s">
        <v>490</v>
      </c>
      <c r="E1071" s="5" t="n">
        <v>9</v>
      </c>
      <c r="F1071" s="5" t="s">
        <v>1814</v>
      </c>
      <c r="G1071" s="2" t="s">
        <v>11041</v>
      </c>
      <c r="H1071" s="5" t="s">
        <v>8336</v>
      </c>
      <c r="I1071" s="5"/>
      <c r="J1071" s="5"/>
      <c r="K1071" s="5" t="s">
        <v>11045</v>
      </c>
    </row>
    <row r="1072" customFormat="false" ht="23.85" hidden="false" customHeight="false" outlineLevel="0" collapsed="false">
      <c r="A1072" s="5" t="s">
        <v>5825</v>
      </c>
      <c r="B1072" s="2" t="s">
        <v>5826</v>
      </c>
      <c r="C1072" s="5" t="s">
        <v>2128</v>
      </c>
      <c r="D1072" s="5" t="s">
        <v>62</v>
      </c>
      <c r="E1072" s="5" t="n">
        <v>9</v>
      </c>
      <c r="F1072" s="5" t="s">
        <v>2079</v>
      </c>
      <c r="G1072" s="2" t="s">
        <v>2721</v>
      </c>
      <c r="H1072" s="5" t="s">
        <v>8332</v>
      </c>
      <c r="I1072" s="5" t="s">
        <v>4760</v>
      </c>
      <c r="J1072" s="5" t="s">
        <v>2079</v>
      </c>
      <c r="K1072" s="5" t="s">
        <v>5829</v>
      </c>
    </row>
    <row r="1073" customFormat="false" ht="23.85" hidden="false" customHeight="false" outlineLevel="0" collapsed="false">
      <c r="A1073" s="5" t="s">
        <v>5830</v>
      </c>
      <c r="B1073" s="2" t="s">
        <v>5831</v>
      </c>
      <c r="C1073" s="5" t="s">
        <v>2128</v>
      </c>
      <c r="D1073" s="5" t="s">
        <v>62</v>
      </c>
      <c r="E1073" s="5" t="n">
        <v>9</v>
      </c>
      <c r="F1073" s="5" t="s">
        <v>2079</v>
      </c>
      <c r="G1073" s="2" t="s">
        <v>10514</v>
      </c>
      <c r="H1073" s="5" t="s">
        <v>8332</v>
      </c>
      <c r="I1073" s="5" t="s">
        <v>4760</v>
      </c>
      <c r="J1073" s="5" t="s">
        <v>2079</v>
      </c>
      <c r="K1073" s="5" t="s">
        <v>5836</v>
      </c>
    </row>
    <row r="1074" customFormat="false" ht="23.85" hidden="false" customHeight="false" outlineLevel="0" collapsed="false">
      <c r="A1074" s="5" t="s">
        <v>5837</v>
      </c>
      <c r="B1074" s="2" t="s">
        <v>5838</v>
      </c>
      <c r="C1074" s="5" t="s">
        <v>2128</v>
      </c>
      <c r="D1074" s="5" t="s">
        <v>62</v>
      </c>
      <c r="E1074" s="5" t="n">
        <v>9</v>
      </c>
      <c r="F1074" s="5" t="s">
        <v>2079</v>
      </c>
      <c r="G1074" s="2" t="s">
        <v>2721</v>
      </c>
      <c r="H1074" s="5" t="s">
        <v>8332</v>
      </c>
      <c r="I1074" s="5" t="s">
        <v>4760</v>
      </c>
      <c r="J1074" s="5" t="s">
        <v>2079</v>
      </c>
      <c r="K1074" s="5" t="s">
        <v>5841</v>
      </c>
    </row>
    <row r="1075" customFormat="false" ht="23.85" hidden="false" customHeight="false" outlineLevel="0" collapsed="false">
      <c r="A1075" s="5" t="s">
        <v>5842</v>
      </c>
      <c r="B1075" s="2" t="s">
        <v>5843</v>
      </c>
      <c r="C1075" s="5" t="s">
        <v>2128</v>
      </c>
      <c r="D1075" s="5" t="s">
        <v>62</v>
      </c>
      <c r="E1075" s="5" t="n">
        <v>9</v>
      </c>
      <c r="F1075" s="5" t="s">
        <v>2079</v>
      </c>
      <c r="G1075" s="2" t="s">
        <v>10514</v>
      </c>
      <c r="H1075" s="5" t="s">
        <v>8332</v>
      </c>
      <c r="I1075" s="5" t="s">
        <v>4760</v>
      </c>
      <c r="J1075" s="5" t="s">
        <v>2079</v>
      </c>
      <c r="K1075" s="5" t="s">
        <v>5848</v>
      </c>
    </row>
    <row r="1076" customFormat="false" ht="15" hidden="false" customHeight="false" outlineLevel="0" collapsed="false">
      <c r="A1076" s="5" t="s">
        <v>11046</v>
      </c>
      <c r="B1076" s="2" t="s">
        <v>11047</v>
      </c>
      <c r="C1076" s="5" t="s">
        <v>2128</v>
      </c>
      <c r="D1076" s="5" t="s">
        <v>490</v>
      </c>
      <c r="E1076" s="5" t="n">
        <v>9</v>
      </c>
      <c r="F1076" s="5" t="s">
        <v>284</v>
      </c>
      <c r="G1076" s="2" t="s">
        <v>2721</v>
      </c>
      <c r="H1076" s="5" t="s">
        <v>8336</v>
      </c>
      <c r="I1076" s="5"/>
      <c r="J1076" s="5"/>
      <c r="K1076" s="5" t="s">
        <v>11048</v>
      </c>
    </row>
    <row r="1077" customFormat="false" ht="23.85" hidden="false" customHeight="false" outlineLevel="0" collapsed="false">
      <c r="A1077" s="5" t="s">
        <v>11049</v>
      </c>
      <c r="B1077" s="2" t="s">
        <v>11050</v>
      </c>
      <c r="C1077" s="5" t="s">
        <v>2128</v>
      </c>
      <c r="D1077" s="5" t="s">
        <v>490</v>
      </c>
      <c r="E1077" s="5" t="n">
        <v>9</v>
      </c>
      <c r="F1077" s="5" t="s">
        <v>284</v>
      </c>
      <c r="G1077" s="2" t="s">
        <v>10514</v>
      </c>
      <c r="H1077" s="5" t="s">
        <v>8336</v>
      </c>
      <c r="I1077" s="5"/>
      <c r="J1077" s="5"/>
      <c r="K1077" s="5" t="s">
        <v>11051</v>
      </c>
    </row>
    <row r="1078" customFormat="false" ht="23.85" hidden="false" customHeight="false" outlineLevel="0" collapsed="false">
      <c r="A1078" s="5" t="s">
        <v>5849</v>
      </c>
      <c r="B1078" s="2" t="s">
        <v>5850</v>
      </c>
      <c r="C1078" s="5" t="s">
        <v>2128</v>
      </c>
      <c r="D1078" s="5" t="s">
        <v>62</v>
      </c>
      <c r="E1078" s="5" t="n">
        <v>9</v>
      </c>
      <c r="F1078" s="5" t="s">
        <v>2079</v>
      </c>
      <c r="G1078" s="2" t="s">
        <v>10514</v>
      </c>
      <c r="H1078" s="5" t="s">
        <v>8332</v>
      </c>
      <c r="I1078" s="5" t="s">
        <v>4760</v>
      </c>
      <c r="J1078" s="5" t="s">
        <v>2079</v>
      </c>
      <c r="K1078" s="5" t="s">
        <v>5854</v>
      </c>
    </row>
    <row r="1079" customFormat="false" ht="23.85" hidden="false" customHeight="false" outlineLevel="0" collapsed="false">
      <c r="A1079" s="5" t="s">
        <v>5855</v>
      </c>
      <c r="B1079" s="2" t="s">
        <v>5856</v>
      </c>
      <c r="C1079" s="5" t="s">
        <v>2128</v>
      </c>
      <c r="D1079" s="5" t="s">
        <v>62</v>
      </c>
      <c r="E1079" s="5" t="n">
        <v>9</v>
      </c>
      <c r="F1079" s="5" t="s">
        <v>2079</v>
      </c>
      <c r="G1079" s="2" t="s">
        <v>10514</v>
      </c>
      <c r="H1079" s="5" t="s">
        <v>8332</v>
      </c>
      <c r="I1079" s="5" t="s">
        <v>4760</v>
      </c>
      <c r="J1079" s="5" t="s">
        <v>2079</v>
      </c>
      <c r="K1079" s="5" t="s">
        <v>5861</v>
      </c>
    </row>
    <row r="1080" customFormat="false" ht="23.85" hidden="false" customHeight="false" outlineLevel="0" collapsed="false">
      <c r="A1080" s="5" t="s">
        <v>5862</v>
      </c>
      <c r="B1080" s="2" t="s">
        <v>5863</v>
      </c>
      <c r="C1080" s="5" t="s">
        <v>2128</v>
      </c>
      <c r="D1080" s="5" t="s">
        <v>490</v>
      </c>
      <c r="E1080" s="5" t="n">
        <v>9</v>
      </c>
      <c r="F1080" s="5" t="s">
        <v>2079</v>
      </c>
      <c r="G1080" s="2" t="s">
        <v>10514</v>
      </c>
      <c r="H1080" s="5" t="s">
        <v>8332</v>
      </c>
      <c r="I1080" s="5" t="s">
        <v>4760</v>
      </c>
      <c r="J1080" s="5" t="s">
        <v>2079</v>
      </c>
      <c r="K1080" s="5" t="s">
        <v>5867</v>
      </c>
    </row>
    <row r="1081" customFormat="false" ht="23.85" hidden="false" customHeight="false" outlineLevel="0" collapsed="false">
      <c r="A1081" s="5" t="s">
        <v>5868</v>
      </c>
      <c r="B1081" s="2" t="s">
        <v>5869</v>
      </c>
      <c r="C1081" s="5" t="s">
        <v>2128</v>
      </c>
      <c r="D1081" s="5" t="s">
        <v>62</v>
      </c>
      <c r="E1081" s="5" t="n">
        <v>9</v>
      </c>
      <c r="F1081" s="5" t="s">
        <v>2079</v>
      </c>
      <c r="G1081" s="2" t="s">
        <v>2721</v>
      </c>
      <c r="H1081" s="5" t="s">
        <v>8332</v>
      </c>
      <c r="I1081" s="5" t="s">
        <v>4760</v>
      </c>
      <c r="J1081" s="5" t="s">
        <v>2079</v>
      </c>
      <c r="K1081" s="5" t="s">
        <v>5872</v>
      </c>
    </row>
    <row r="1082" customFormat="false" ht="23.85" hidden="false" customHeight="false" outlineLevel="0" collapsed="false">
      <c r="A1082" s="5" t="s">
        <v>5873</v>
      </c>
      <c r="B1082" s="2" t="s">
        <v>5874</v>
      </c>
      <c r="C1082" s="5" t="s">
        <v>2128</v>
      </c>
      <c r="D1082" s="5" t="s">
        <v>62</v>
      </c>
      <c r="E1082" s="5" t="n">
        <v>9</v>
      </c>
      <c r="F1082" s="5" t="s">
        <v>2079</v>
      </c>
      <c r="G1082" s="2" t="s">
        <v>10514</v>
      </c>
      <c r="H1082" s="5" t="s">
        <v>8332</v>
      </c>
      <c r="I1082" s="5" t="s">
        <v>4760</v>
      </c>
      <c r="J1082" s="5" t="s">
        <v>2079</v>
      </c>
      <c r="K1082" s="5" t="s">
        <v>5878</v>
      </c>
    </row>
    <row r="1083" customFormat="false" ht="23.85" hidden="false" customHeight="false" outlineLevel="0" collapsed="false">
      <c r="A1083" s="5" t="s">
        <v>5879</v>
      </c>
      <c r="B1083" s="2" t="s">
        <v>5880</v>
      </c>
      <c r="C1083" s="5" t="s">
        <v>2128</v>
      </c>
      <c r="D1083" s="5" t="s">
        <v>62</v>
      </c>
      <c r="E1083" s="5" t="n">
        <v>9</v>
      </c>
      <c r="F1083" s="5" t="s">
        <v>2079</v>
      </c>
      <c r="G1083" s="2" t="s">
        <v>2721</v>
      </c>
      <c r="H1083" s="5" t="s">
        <v>8332</v>
      </c>
      <c r="I1083" s="5" t="s">
        <v>4760</v>
      </c>
      <c r="J1083" s="5" t="s">
        <v>2079</v>
      </c>
      <c r="K1083" s="5" t="s">
        <v>5883</v>
      </c>
    </row>
    <row r="1084" customFormat="false" ht="23.85" hidden="false" customHeight="false" outlineLevel="0" collapsed="false">
      <c r="A1084" s="5" t="s">
        <v>5884</v>
      </c>
      <c r="B1084" s="2" t="s">
        <v>5885</v>
      </c>
      <c r="C1084" s="5" t="s">
        <v>2128</v>
      </c>
      <c r="D1084" s="5" t="s">
        <v>62</v>
      </c>
      <c r="E1084" s="5" t="n">
        <v>9</v>
      </c>
      <c r="F1084" s="5" t="s">
        <v>2079</v>
      </c>
      <c r="G1084" s="2" t="s">
        <v>10514</v>
      </c>
      <c r="H1084" s="5" t="s">
        <v>8332</v>
      </c>
      <c r="I1084" s="5" t="s">
        <v>4760</v>
      </c>
      <c r="J1084" s="5" t="s">
        <v>2079</v>
      </c>
      <c r="K1084" s="5" t="s">
        <v>5890</v>
      </c>
    </row>
    <row r="1085" customFormat="false" ht="23.85" hidden="false" customHeight="false" outlineLevel="0" collapsed="false">
      <c r="A1085" s="5" t="s">
        <v>5891</v>
      </c>
      <c r="B1085" s="2" t="s">
        <v>5892</v>
      </c>
      <c r="C1085" s="5" t="s">
        <v>2128</v>
      </c>
      <c r="D1085" s="5" t="s">
        <v>62</v>
      </c>
      <c r="E1085" s="5" t="n">
        <v>9</v>
      </c>
      <c r="F1085" s="5" t="s">
        <v>2079</v>
      </c>
      <c r="G1085" s="2" t="s">
        <v>10514</v>
      </c>
      <c r="H1085" s="5" t="s">
        <v>8332</v>
      </c>
      <c r="I1085" s="5" t="s">
        <v>4760</v>
      </c>
      <c r="J1085" s="5" t="s">
        <v>2079</v>
      </c>
      <c r="K1085" s="5" t="s">
        <v>5897</v>
      </c>
    </row>
    <row r="1086" customFormat="false" ht="23.85" hidden="false" customHeight="false" outlineLevel="0" collapsed="false">
      <c r="A1086" s="5" t="s">
        <v>5898</v>
      </c>
      <c r="B1086" s="2" t="s">
        <v>5899</v>
      </c>
      <c r="C1086" s="5" t="s">
        <v>2128</v>
      </c>
      <c r="D1086" s="5" t="s">
        <v>62</v>
      </c>
      <c r="E1086" s="5" t="n">
        <v>9</v>
      </c>
      <c r="F1086" s="5" t="s">
        <v>2079</v>
      </c>
      <c r="G1086" s="2" t="s">
        <v>10514</v>
      </c>
      <c r="H1086" s="5" t="s">
        <v>8332</v>
      </c>
      <c r="I1086" s="5" t="s">
        <v>4760</v>
      </c>
      <c r="J1086" s="5" t="s">
        <v>2079</v>
      </c>
      <c r="K1086" s="5" t="s">
        <v>5903</v>
      </c>
    </row>
    <row r="1087" customFormat="false" ht="23.85" hidden="false" customHeight="false" outlineLevel="0" collapsed="false">
      <c r="A1087" s="5" t="s">
        <v>5904</v>
      </c>
      <c r="B1087" s="2" t="s">
        <v>5905</v>
      </c>
      <c r="C1087" s="5" t="s">
        <v>2128</v>
      </c>
      <c r="D1087" s="5" t="s">
        <v>62</v>
      </c>
      <c r="E1087" s="5" t="n">
        <v>9</v>
      </c>
      <c r="F1087" s="5" t="s">
        <v>2079</v>
      </c>
      <c r="G1087" s="2" t="s">
        <v>10892</v>
      </c>
      <c r="H1087" s="5" t="s">
        <v>8332</v>
      </c>
      <c r="I1087" s="5" t="s">
        <v>4760</v>
      </c>
      <c r="J1087" s="5" t="s">
        <v>2079</v>
      </c>
      <c r="K1087" s="5" t="s">
        <v>5909</v>
      </c>
    </row>
    <row r="1088" customFormat="false" ht="23.85" hidden="false" customHeight="false" outlineLevel="0" collapsed="false">
      <c r="A1088" s="5" t="s">
        <v>5910</v>
      </c>
      <c r="B1088" s="2" t="s">
        <v>5911</v>
      </c>
      <c r="C1088" s="5" t="s">
        <v>2128</v>
      </c>
      <c r="D1088" s="5" t="s">
        <v>490</v>
      </c>
      <c r="E1088" s="5" t="n">
        <v>9</v>
      </c>
      <c r="F1088" s="5" t="s">
        <v>481</v>
      </c>
      <c r="G1088" s="2" t="s">
        <v>10514</v>
      </c>
      <c r="H1088" s="5" t="s">
        <v>8332</v>
      </c>
      <c r="I1088" s="5" t="s">
        <v>4760</v>
      </c>
      <c r="J1088" s="5" t="s">
        <v>481</v>
      </c>
      <c r="K1088" s="5" t="s">
        <v>5916</v>
      </c>
    </row>
    <row r="1089" customFormat="false" ht="23.85" hidden="false" customHeight="false" outlineLevel="0" collapsed="false">
      <c r="A1089" s="5" t="s">
        <v>5917</v>
      </c>
      <c r="B1089" s="2" t="s">
        <v>5918</v>
      </c>
      <c r="C1089" s="5" t="s">
        <v>2128</v>
      </c>
      <c r="D1089" s="5" t="s">
        <v>490</v>
      </c>
      <c r="E1089" s="5" t="n">
        <v>9</v>
      </c>
      <c r="F1089" s="5" t="s">
        <v>2079</v>
      </c>
      <c r="G1089" s="2" t="s">
        <v>10514</v>
      </c>
      <c r="H1089" s="5" t="s">
        <v>8332</v>
      </c>
      <c r="I1089" s="5" t="s">
        <v>4760</v>
      </c>
      <c r="J1089" s="5" t="s">
        <v>2079</v>
      </c>
      <c r="K1089" s="5" t="s">
        <v>5921</v>
      </c>
    </row>
    <row r="1090" customFormat="false" ht="23.85" hidden="false" customHeight="false" outlineLevel="0" collapsed="false">
      <c r="A1090" s="5" t="s">
        <v>5922</v>
      </c>
      <c r="B1090" s="2" t="s">
        <v>5923</v>
      </c>
      <c r="C1090" s="5" t="s">
        <v>2128</v>
      </c>
      <c r="D1090" s="5" t="s">
        <v>490</v>
      </c>
      <c r="E1090" s="5" t="n">
        <v>9</v>
      </c>
      <c r="F1090" s="5" t="s">
        <v>2079</v>
      </c>
      <c r="G1090" s="2" t="s">
        <v>10514</v>
      </c>
      <c r="H1090" s="5" t="s">
        <v>8332</v>
      </c>
      <c r="I1090" s="5" t="s">
        <v>4760</v>
      </c>
      <c r="J1090" s="5" t="s">
        <v>2079</v>
      </c>
      <c r="K1090" s="5" t="s">
        <v>5928</v>
      </c>
    </row>
    <row r="1091" customFormat="false" ht="23.85" hidden="false" customHeight="false" outlineLevel="0" collapsed="false">
      <c r="A1091" s="5" t="s">
        <v>5929</v>
      </c>
      <c r="B1091" s="2" t="s">
        <v>5930</v>
      </c>
      <c r="C1091" s="5" t="s">
        <v>2128</v>
      </c>
      <c r="D1091" s="5" t="s">
        <v>62</v>
      </c>
      <c r="E1091" s="5" t="n">
        <v>9</v>
      </c>
      <c r="F1091" s="5" t="s">
        <v>481</v>
      </c>
      <c r="G1091" s="2" t="s">
        <v>2721</v>
      </c>
      <c r="H1091" s="5" t="s">
        <v>8332</v>
      </c>
      <c r="I1091" s="5" t="s">
        <v>4760</v>
      </c>
      <c r="J1091" s="5" t="s">
        <v>481</v>
      </c>
      <c r="K1091" s="5" t="s">
        <v>5934</v>
      </c>
    </row>
    <row r="1092" customFormat="false" ht="23.85" hidden="false" customHeight="false" outlineLevel="0" collapsed="false">
      <c r="A1092" s="5" t="s">
        <v>5935</v>
      </c>
      <c r="B1092" s="2" t="s">
        <v>5936</v>
      </c>
      <c r="C1092" s="5" t="s">
        <v>2128</v>
      </c>
      <c r="D1092" s="5" t="s">
        <v>62</v>
      </c>
      <c r="E1092" s="5" t="n">
        <v>9</v>
      </c>
      <c r="F1092" s="5" t="s">
        <v>481</v>
      </c>
      <c r="G1092" s="2" t="s">
        <v>10514</v>
      </c>
      <c r="H1092" s="5" t="s">
        <v>8332</v>
      </c>
      <c r="I1092" s="5" t="s">
        <v>4760</v>
      </c>
      <c r="J1092" s="5" t="s">
        <v>481</v>
      </c>
      <c r="K1092" s="5" t="s">
        <v>5941</v>
      </c>
    </row>
    <row r="1093" customFormat="false" ht="23.85" hidden="false" customHeight="false" outlineLevel="0" collapsed="false">
      <c r="A1093" s="5" t="s">
        <v>11052</v>
      </c>
      <c r="B1093" s="2" t="s">
        <v>11053</v>
      </c>
      <c r="C1093" s="5" t="s">
        <v>2128</v>
      </c>
      <c r="D1093" s="5" t="s">
        <v>62</v>
      </c>
      <c r="E1093" s="5" t="n">
        <v>9</v>
      </c>
      <c r="F1093" s="5" t="s">
        <v>544</v>
      </c>
      <c r="G1093" s="2" t="s">
        <v>2721</v>
      </c>
      <c r="H1093" s="5" t="s">
        <v>8336</v>
      </c>
      <c r="I1093" s="5"/>
      <c r="J1093" s="5"/>
      <c r="K1093" s="5" t="s">
        <v>11054</v>
      </c>
    </row>
    <row r="1094" customFormat="false" ht="23.85" hidden="false" customHeight="false" outlineLevel="0" collapsed="false">
      <c r="A1094" s="5" t="s">
        <v>11055</v>
      </c>
      <c r="B1094" s="2" t="s">
        <v>11056</v>
      </c>
      <c r="C1094" s="5" t="s">
        <v>2128</v>
      </c>
      <c r="D1094" s="5" t="s">
        <v>62</v>
      </c>
      <c r="E1094" s="5" t="n">
        <v>9</v>
      </c>
      <c r="F1094" s="5" t="s">
        <v>544</v>
      </c>
      <c r="G1094" s="2" t="s">
        <v>10514</v>
      </c>
      <c r="H1094" s="5" t="s">
        <v>8336</v>
      </c>
      <c r="I1094" s="5"/>
      <c r="J1094" s="5"/>
      <c r="K1094" s="5" t="s">
        <v>11057</v>
      </c>
    </row>
    <row r="1095" customFormat="false" ht="23.85" hidden="false" customHeight="false" outlineLevel="0" collapsed="false">
      <c r="A1095" s="5" t="s">
        <v>5942</v>
      </c>
      <c r="B1095" s="2" t="s">
        <v>5943</v>
      </c>
      <c r="C1095" s="5" t="s">
        <v>2128</v>
      </c>
      <c r="D1095" s="5" t="s">
        <v>62</v>
      </c>
      <c r="E1095" s="5" t="n">
        <v>9</v>
      </c>
      <c r="F1095" s="5" t="s">
        <v>2079</v>
      </c>
      <c r="G1095" s="2" t="s">
        <v>2721</v>
      </c>
      <c r="H1095" s="5" t="s">
        <v>8332</v>
      </c>
      <c r="I1095" s="5" t="s">
        <v>4760</v>
      </c>
      <c r="J1095" s="5" t="s">
        <v>2079</v>
      </c>
      <c r="K1095" s="5" t="s">
        <v>5946</v>
      </c>
    </row>
    <row r="1096" customFormat="false" ht="23.85" hidden="false" customHeight="false" outlineLevel="0" collapsed="false">
      <c r="A1096" s="5" t="s">
        <v>5947</v>
      </c>
      <c r="B1096" s="2" t="s">
        <v>5948</v>
      </c>
      <c r="C1096" s="5" t="s">
        <v>2128</v>
      </c>
      <c r="D1096" s="5" t="s">
        <v>62</v>
      </c>
      <c r="E1096" s="5" t="n">
        <v>9</v>
      </c>
      <c r="F1096" s="5" t="s">
        <v>2079</v>
      </c>
      <c r="G1096" s="2" t="s">
        <v>10514</v>
      </c>
      <c r="H1096" s="5" t="s">
        <v>8332</v>
      </c>
      <c r="I1096" s="5" t="s">
        <v>4760</v>
      </c>
      <c r="J1096" s="5" t="s">
        <v>2079</v>
      </c>
      <c r="K1096" s="5" t="s">
        <v>5953</v>
      </c>
    </row>
    <row r="1097" customFormat="false" ht="23.85" hidden="false" customHeight="false" outlineLevel="0" collapsed="false">
      <c r="A1097" s="5" t="s">
        <v>5954</v>
      </c>
      <c r="B1097" s="2" t="s">
        <v>5955</v>
      </c>
      <c r="C1097" s="5" t="s">
        <v>2128</v>
      </c>
      <c r="D1097" s="5" t="s">
        <v>490</v>
      </c>
      <c r="E1097" s="5" t="n">
        <v>9</v>
      </c>
      <c r="F1097" s="5" t="s">
        <v>2079</v>
      </c>
      <c r="G1097" s="2" t="s">
        <v>10514</v>
      </c>
      <c r="H1097" s="5" t="s">
        <v>8332</v>
      </c>
      <c r="I1097" s="5" t="s">
        <v>4760</v>
      </c>
      <c r="J1097" s="5" t="s">
        <v>2079</v>
      </c>
      <c r="K1097" s="5" t="s">
        <v>5959</v>
      </c>
    </row>
    <row r="1098" customFormat="false" ht="15" hidden="false" customHeight="false" outlineLevel="0" collapsed="false">
      <c r="A1098" s="5" t="s">
        <v>5960</v>
      </c>
      <c r="B1098" s="2" t="s">
        <v>5961</v>
      </c>
      <c r="C1098" s="5" t="s">
        <v>2245</v>
      </c>
      <c r="D1098" s="5" t="s">
        <v>62</v>
      </c>
      <c r="E1098" s="5" t="n">
        <v>9</v>
      </c>
      <c r="F1098" s="5" t="s">
        <v>2079</v>
      </c>
      <c r="G1098" s="2" t="s">
        <v>10514</v>
      </c>
      <c r="H1098" s="5" t="s">
        <v>8332</v>
      </c>
      <c r="I1098" s="5" t="s">
        <v>4760</v>
      </c>
      <c r="J1098" s="5" t="s">
        <v>2079</v>
      </c>
      <c r="K1098" s="5" t="s">
        <v>5965</v>
      </c>
    </row>
    <row r="1099" customFormat="false" ht="23.85" hidden="false" customHeight="false" outlineLevel="0" collapsed="false">
      <c r="A1099" s="5" t="s">
        <v>11058</v>
      </c>
      <c r="B1099" s="2" t="s">
        <v>11059</v>
      </c>
      <c r="C1099" s="5" t="s">
        <v>2128</v>
      </c>
      <c r="D1099" s="5" t="s">
        <v>62</v>
      </c>
      <c r="E1099" s="5" t="n">
        <v>9</v>
      </c>
      <c r="F1099" s="5" t="s">
        <v>544</v>
      </c>
      <c r="G1099" s="2" t="s">
        <v>2721</v>
      </c>
      <c r="H1099" s="5" t="s">
        <v>8336</v>
      </c>
      <c r="I1099" s="5"/>
      <c r="J1099" s="5"/>
      <c r="K1099" s="5" t="s">
        <v>11060</v>
      </c>
    </row>
    <row r="1100" customFormat="false" ht="23.85" hidden="false" customHeight="false" outlineLevel="0" collapsed="false">
      <c r="A1100" s="5" t="s">
        <v>11061</v>
      </c>
      <c r="B1100" s="2" t="s">
        <v>11062</v>
      </c>
      <c r="C1100" s="5" t="s">
        <v>2128</v>
      </c>
      <c r="D1100" s="5" t="s">
        <v>62</v>
      </c>
      <c r="E1100" s="5" t="n">
        <v>9</v>
      </c>
      <c r="F1100" s="5" t="s">
        <v>544</v>
      </c>
      <c r="G1100" s="2" t="s">
        <v>10514</v>
      </c>
      <c r="H1100" s="5" t="s">
        <v>8336</v>
      </c>
      <c r="I1100" s="5"/>
      <c r="J1100" s="5"/>
      <c r="K1100" s="5" t="s">
        <v>11063</v>
      </c>
    </row>
    <row r="1101" customFormat="false" ht="15" hidden="false" customHeight="false" outlineLevel="0" collapsed="false">
      <c r="A1101" s="5" t="s">
        <v>5966</v>
      </c>
      <c r="B1101" s="2" t="s">
        <v>5967</v>
      </c>
      <c r="C1101" s="5" t="s">
        <v>2128</v>
      </c>
      <c r="D1101" s="5" t="s">
        <v>490</v>
      </c>
      <c r="E1101" s="5" t="n">
        <v>9</v>
      </c>
      <c r="F1101" s="5" t="s">
        <v>2079</v>
      </c>
      <c r="G1101" s="2" t="s">
        <v>2721</v>
      </c>
      <c r="H1101" s="5" t="s">
        <v>8332</v>
      </c>
      <c r="I1101" s="5" t="s">
        <v>4760</v>
      </c>
      <c r="J1101" s="5" t="s">
        <v>2079</v>
      </c>
      <c r="K1101" s="5" t="s">
        <v>5970</v>
      </c>
    </row>
    <row r="1102" customFormat="false" ht="23.85" hidden="false" customHeight="false" outlineLevel="0" collapsed="false">
      <c r="A1102" s="5" t="s">
        <v>5971</v>
      </c>
      <c r="B1102" s="2" t="s">
        <v>5972</v>
      </c>
      <c r="C1102" s="5" t="s">
        <v>2128</v>
      </c>
      <c r="D1102" s="5" t="s">
        <v>490</v>
      </c>
      <c r="E1102" s="5" t="n">
        <v>9</v>
      </c>
      <c r="F1102" s="5" t="s">
        <v>2079</v>
      </c>
      <c r="G1102" s="2" t="s">
        <v>10514</v>
      </c>
      <c r="H1102" s="5" t="s">
        <v>8332</v>
      </c>
      <c r="I1102" s="5" t="s">
        <v>4760</v>
      </c>
      <c r="J1102" s="5" t="s">
        <v>2079</v>
      </c>
      <c r="K1102" s="5" t="s">
        <v>5976</v>
      </c>
    </row>
    <row r="1103" customFormat="false" ht="23.85" hidden="false" customHeight="false" outlineLevel="0" collapsed="false">
      <c r="A1103" s="5" t="s">
        <v>5977</v>
      </c>
      <c r="B1103" s="2" t="s">
        <v>5978</v>
      </c>
      <c r="C1103" s="5" t="s">
        <v>2128</v>
      </c>
      <c r="D1103" s="5" t="s">
        <v>62</v>
      </c>
      <c r="E1103" s="5" t="n">
        <v>9</v>
      </c>
      <c r="F1103" s="5" t="s">
        <v>2079</v>
      </c>
      <c r="G1103" s="2" t="s">
        <v>10514</v>
      </c>
      <c r="H1103" s="5" t="s">
        <v>8332</v>
      </c>
      <c r="I1103" s="5" t="s">
        <v>4760</v>
      </c>
      <c r="J1103" s="5" t="s">
        <v>2079</v>
      </c>
      <c r="K1103" s="5" t="s">
        <v>5982</v>
      </c>
    </row>
    <row r="1104" customFormat="false" ht="23.85" hidden="false" customHeight="false" outlineLevel="0" collapsed="false">
      <c r="A1104" s="5" t="s">
        <v>5983</v>
      </c>
      <c r="B1104" s="2" t="s">
        <v>5984</v>
      </c>
      <c r="C1104" s="5" t="s">
        <v>2128</v>
      </c>
      <c r="D1104" s="5" t="s">
        <v>490</v>
      </c>
      <c r="E1104" s="5" t="n">
        <v>9</v>
      </c>
      <c r="F1104" s="5" t="s">
        <v>481</v>
      </c>
      <c r="G1104" s="2" t="s">
        <v>2721</v>
      </c>
      <c r="H1104" s="5" t="s">
        <v>8332</v>
      </c>
      <c r="I1104" s="5" t="s">
        <v>4760</v>
      </c>
      <c r="J1104" s="5" t="s">
        <v>481</v>
      </c>
      <c r="K1104" s="5" t="s">
        <v>5987</v>
      </c>
    </row>
    <row r="1105" customFormat="false" ht="23.85" hidden="false" customHeight="false" outlineLevel="0" collapsed="false">
      <c r="A1105" s="5" t="s">
        <v>5988</v>
      </c>
      <c r="B1105" s="2" t="s">
        <v>5989</v>
      </c>
      <c r="C1105" s="5" t="s">
        <v>2128</v>
      </c>
      <c r="D1105" s="5" t="s">
        <v>490</v>
      </c>
      <c r="E1105" s="5" t="n">
        <v>9</v>
      </c>
      <c r="F1105" s="5" t="s">
        <v>481</v>
      </c>
      <c r="G1105" s="2" t="s">
        <v>10514</v>
      </c>
      <c r="H1105" s="5" t="s">
        <v>8332</v>
      </c>
      <c r="I1105" s="5" t="s">
        <v>4760</v>
      </c>
      <c r="J1105" s="5" t="s">
        <v>481</v>
      </c>
      <c r="K1105" s="5" t="s">
        <v>5994</v>
      </c>
    </row>
    <row r="1106" customFormat="false" ht="23.85" hidden="false" customHeight="false" outlineLevel="0" collapsed="false">
      <c r="A1106" s="5" t="s">
        <v>5995</v>
      </c>
      <c r="B1106" s="2" t="s">
        <v>5996</v>
      </c>
      <c r="C1106" s="5" t="s">
        <v>2128</v>
      </c>
      <c r="D1106" s="5" t="s">
        <v>62</v>
      </c>
      <c r="E1106" s="5" t="n">
        <v>9</v>
      </c>
      <c r="F1106" s="5" t="s">
        <v>2079</v>
      </c>
      <c r="G1106" s="2" t="s">
        <v>10514</v>
      </c>
      <c r="H1106" s="5" t="s">
        <v>8332</v>
      </c>
      <c r="I1106" s="5" t="s">
        <v>4760</v>
      </c>
      <c r="J1106" s="5" t="s">
        <v>2079</v>
      </c>
      <c r="K1106" s="5" t="s">
        <v>6000</v>
      </c>
    </row>
    <row r="1107" customFormat="false" ht="23.85" hidden="false" customHeight="false" outlineLevel="0" collapsed="false">
      <c r="A1107" s="5" t="s">
        <v>6001</v>
      </c>
      <c r="B1107" s="2" t="s">
        <v>6002</v>
      </c>
      <c r="C1107" s="5" t="s">
        <v>2128</v>
      </c>
      <c r="D1107" s="5" t="s">
        <v>62</v>
      </c>
      <c r="E1107" s="5" t="n">
        <v>9</v>
      </c>
      <c r="F1107" s="5" t="s">
        <v>2079</v>
      </c>
      <c r="G1107" s="2" t="s">
        <v>2721</v>
      </c>
      <c r="H1107" s="5" t="s">
        <v>8332</v>
      </c>
      <c r="I1107" s="5" t="s">
        <v>4760</v>
      </c>
      <c r="J1107" s="5" t="s">
        <v>2079</v>
      </c>
      <c r="K1107" s="5" t="s">
        <v>6005</v>
      </c>
    </row>
    <row r="1108" customFormat="false" ht="23.85" hidden="false" customHeight="false" outlineLevel="0" collapsed="false">
      <c r="A1108" s="5" t="s">
        <v>6006</v>
      </c>
      <c r="B1108" s="2" t="s">
        <v>6007</v>
      </c>
      <c r="C1108" s="5" t="s">
        <v>2128</v>
      </c>
      <c r="D1108" s="5" t="s">
        <v>62</v>
      </c>
      <c r="E1108" s="5" t="n">
        <v>9</v>
      </c>
      <c r="F1108" s="5" t="s">
        <v>2079</v>
      </c>
      <c r="G1108" s="2" t="s">
        <v>10514</v>
      </c>
      <c r="H1108" s="5" t="s">
        <v>8332</v>
      </c>
      <c r="I1108" s="5" t="s">
        <v>4760</v>
      </c>
      <c r="J1108" s="5" t="s">
        <v>2079</v>
      </c>
      <c r="K1108" s="5" t="s">
        <v>6012</v>
      </c>
    </row>
    <row r="1109" customFormat="false" ht="23.85" hidden="false" customHeight="false" outlineLevel="0" collapsed="false">
      <c r="A1109" s="5" t="s">
        <v>6013</v>
      </c>
      <c r="B1109" s="2" t="s">
        <v>6014</v>
      </c>
      <c r="C1109" s="5" t="s">
        <v>2128</v>
      </c>
      <c r="D1109" s="5" t="s">
        <v>62</v>
      </c>
      <c r="E1109" s="5" t="n">
        <v>9</v>
      </c>
      <c r="F1109" s="5" t="s">
        <v>2079</v>
      </c>
      <c r="G1109" s="2" t="s">
        <v>10514</v>
      </c>
      <c r="H1109" s="5" t="s">
        <v>8332</v>
      </c>
      <c r="I1109" s="5" t="s">
        <v>4760</v>
      </c>
      <c r="J1109" s="5" t="s">
        <v>2079</v>
      </c>
      <c r="K1109" s="5" t="s">
        <v>6018</v>
      </c>
    </row>
    <row r="1110" customFormat="false" ht="23.85" hidden="false" customHeight="false" outlineLevel="0" collapsed="false">
      <c r="A1110" s="5" t="s">
        <v>11064</v>
      </c>
      <c r="B1110" s="2" t="s">
        <v>11065</v>
      </c>
      <c r="C1110" s="5" t="s">
        <v>2128</v>
      </c>
      <c r="D1110" s="5" t="s">
        <v>490</v>
      </c>
      <c r="E1110" s="5" t="n">
        <v>7</v>
      </c>
      <c r="F1110" s="5" t="s">
        <v>8702</v>
      </c>
      <c r="G1110" s="2" t="s">
        <v>8898</v>
      </c>
      <c r="H1110" s="5" t="s">
        <v>8336</v>
      </c>
      <c r="I1110" s="5"/>
      <c r="J1110" s="5"/>
      <c r="K1110" s="5" t="s">
        <v>11066</v>
      </c>
    </row>
    <row r="1111" customFormat="false" ht="23.85" hidden="false" customHeight="false" outlineLevel="0" collapsed="false">
      <c r="A1111" s="5" t="s">
        <v>11067</v>
      </c>
      <c r="B1111" s="2" t="s">
        <v>11068</v>
      </c>
      <c r="C1111" s="5" t="s">
        <v>2128</v>
      </c>
      <c r="D1111" s="5" t="s">
        <v>62</v>
      </c>
      <c r="E1111" s="5" t="n">
        <v>7</v>
      </c>
      <c r="F1111" s="5" t="s">
        <v>8702</v>
      </c>
      <c r="G1111" s="2" t="s">
        <v>8682</v>
      </c>
      <c r="H1111" s="5" t="s">
        <v>8336</v>
      </c>
      <c r="I1111" s="5"/>
      <c r="J1111" s="5"/>
      <c r="K1111" s="5" t="s">
        <v>11069</v>
      </c>
    </row>
    <row r="1112" customFormat="false" ht="15" hidden="false" customHeight="false" outlineLevel="0" collapsed="false">
      <c r="A1112" s="5" t="s">
        <v>11070</v>
      </c>
      <c r="B1112" s="2" t="s">
        <v>11071</v>
      </c>
      <c r="C1112" s="5" t="s">
        <v>2128</v>
      </c>
      <c r="D1112" s="5" t="s">
        <v>62</v>
      </c>
      <c r="E1112" s="5" t="n">
        <v>6</v>
      </c>
      <c r="F1112" s="5" t="s">
        <v>3005</v>
      </c>
      <c r="G1112" s="2" t="s">
        <v>8221</v>
      </c>
      <c r="H1112" s="5" t="s">
        <v>8336</v>
      </c>
      <c r="I1112" s="5"/>
      <c r="J1112" s="5"/>
      <c r="K1112" s="5" t="s">
        <v>11072</v>
      </c>
    </row>
    <row r="1113" customFormat="false" ht="15" hidden="false" customHeight="false" outlineLevel="0" collapsed="false">
      <c r="A1113" s="5" t="s">
        <v>11073</v>
      </c>
      <c r="B1113" s="2" t="s">
        <v>11074</v>
      </c>
      <c r="C1113" s="5" t="s">
        <v>2128</v>
      </c>
      <c r="D1113" s="5" t="s">
        <v>62</v>
      </c>
      <c r="E1113" s="5" t="n">
        <v>4</v>
      </c>
      <c r="F1113" s="5" t="s">
        <v>3005</v>
      </c>
      <c r="G1113" s="2" t="s">
        <v>8221</v>
      </c>
      <c r="H1113" s="5" t="s">
        <v>8336</v>
      </c>
      <c r="I1113" s="5"/>
      <c r="J1113" s="5"/>
      <c r="K1113" s="5" t="s">
        <v>11075</v>
      </c>
    </row>
    <row r="1114" customFormat="false" ht="15" hidden="false" customHeight="false" outlineLevel="0" collapsed="false">
      <c r="A1114" s="5" t="s">
        <v>940</v>
      </c>
      <c r="B1114" s="2" t="s">
        <v>941</v>
      </c>
      <c r="C1114" s="5" t="s">
        <v>488</v>
      </c>
      <c r="D1114" s="5" t="s">
        <v>62</v>
      </c>
      <c r="E1114" s="5" t="n">
        <v>5</v>
      </c>
      <c r="F1114" s="5" t="s">
        <v>277</v>
      </c>
      <c r="G1114" s="2" t="s">
        <v>152</v>
      </c>
      <c r="H1114" s="5" t="s">
        <v>8332</v>
      </c>
      <c r="I1114" s="5" t="s">
        <v>60</v>
      </c>
      <c r="J1114" s="5"/>
      <c r="K1114" s="5" t="s">
        <v>945</v>
      </c>
    </row>
    <row r="1115" customFormat="false" ht="15" hidden="false" customHeight="false" outlineLevel="0" collapsed="false">
      <c r="A1115" s="5" t="s">
        <v>11076</v>
      </c>
      <c r="B1115" s="2" t="s">
        <v>11077</v>
      </c>
      <c r="C1115" s="5" t="s">
        <v>2128</v>
      </c>
      <c r="D1115" s="5" t="s">
        <v>490</v>
      </c>
      <c r="E1115" s="5" t="n">
        <v>5</v>
      </c>
      <c r="F1115" s="5" t="s">
        <v>9196</v>
      </c>
      <c r="G1115" s="2" t="s">
        <v>2376</v>
      </c>
      <c r="H1115" s="5" t="s">
        <v>8336</v>
      </c>
      <c r="I1115" s="5"/>
      <c r="J1115" s="5"/>
      <c r="K1115" s="5" t="s">
        <v>11078</v>
      </c>
    </row>
    <row r="1116" customFormat="false" ht="15" hidden="false" customHeight="false" outlineLevel="0" collapsed="false">
      <c r="A1116" s="5" t="s">
        <v>11079</v>
      </c>
      <c r="B1116" s="2" t="s">
        <v>11080</v>
      </c>
      <c r="C1116" s="5" t="s">
        <v>2128</v>
      </c>
      <c r="D1116" s="5" t="s">
        <v>490</v>
      </c>
      <c r="E1116" s="5" t="n">
        <v>5</v>
      </c>
      <c r="F1116" s="5" t="s">
        <v>9196</v>
      </c>
      <c r="G1116" s="2" t="s">
        <v>2376</v>
      </c>
      <c r="H1116" s="5" t="s">
        <v>8336</v>
      </c>
      <c r="I1116" s="5"/>
      <c r="J1116" s="5"/>
      <c r="K1116" s="5" t="s">
        <v>11081</v>
      </c>
    </row>
    <row r="1117" customFormat="false" ht="23.85" hidden="false" customHeight="false" outlineLevel="0" collapsed="false">
      <c r="A1117" s="5" t="s">
        <v>11082</v>
      </c>
      <c r="B1117" s="2" t="s">
        <v>11083</v>
      </c>
      <c r="C1117" s="5" t="s">
        <v>2128</v>
      </c>
      <c r="D1117" s="5" t="s">
        <v>490</v>
      </c>
      <c r="E1117" s="5" t="n">
        <v>5</v>
      </c>
      <c r="F1117" s="5" t="s">
        <v>9196</v>
      </c>
      <c r="G1117" s="2" t="s">
        <v>2376</v>
      </c>
      <c r="H1117" s="5" t="s">
        <v>8336</v>
      </c>
      <c r="I1117" s="5"/>
      <c r="J1117" s="5"/>
      <c r="K1117" s="5" t="s">
        <v>11084</v>
      </c>
    </row>
    <row r="1118" customFormat="false" ht="15" hidden="false" customHeight="false" outlineLevel="0" collapsed="false">
      <c r="A1118" s="5" t="s">
        <v>11085</v>
      </c>
      <c r="B1118" s="2" t="s">
        <v>11086</v>
      </c>
      <c r="C1118" s="5" t="s">
        <v>2128</v>
      </c>
      <c r="D1118" s="5" t="s">
        <v>62</v>
      </c>
      <c r="E1118" s="5" t="n">
        <v>9</v>
      </c>
      <c r="F1118" s="5" t="s">
        <v>8702</v>
      </c>
      <c r="G1118" s="2" t="s">
        <v>8219</v>
      </c>
      <c r="H1118" s="5" t="s">
        <v>8336</v>
      </c>
      <c r="I1118" s="5"/>
      <c r="J1118" s="5"/>
      <c r="K1118" s="5" t="s">
        <v>11087</v>
      </c>
    </row>
    <row r="1119" customFormat="false" ht="15" hidden="false" customHeight="false" outlineLevel="0" collapsed="false">
      <c r="A1119" s="5" t="s">
        <v>11088</v>
      </c>
      <c r="B1119" s="2" t="s">
        <v>11089</v>
      </c>
      <c r="C1119" s="5" t="s">
        <v>2128</v>
      </c>
      <c r="D1119" s="5" t="s">
        <v>62</v>
      </c>
      <c r="E1119" s="5" t="n">
        <v>9</v>
      </c>
      <c r="F1119" s="5" t="s">
        <v>8702</v>
      </c>
      <c r="G1119" s="2" t="s">
        <v>8219</v>
      </c>
      <c r="H1119" s="5" t="s">
        <v>8336</v>
      </c>
      <c r="I1119" s="5"/>
      <c r="J1119" s="5"/>
      <c r="K1119" s="5" t="s">
        <v>11090</v>
      </c>
    </row>
    <row r="1120" customFormat="false" ht="23.85" hidden="false" customHeight="false" outlineLevel="0" collapsed="false">
      <c r="A1120" s="5" t="s">
        <v>11091</v>
      </c>
      <c r="B1120" s="2" t="s">
        <v>11092</v>
      </c>
      <c r="C1120" s="5" t="s">
        <v>2128</v>
      </c>
      <c r="D1120" s="5" t="s">
        <v>62</v>
      </c>
      <c r="E1120" s="5" t="n">
        <v>9</v>
      </c>
      <c r="F1120" s="5" t="s">
        <v>8902</v>
      </c>
      <c r="G1120" s="2" t="s">
        <v>8898</v>
      </c>
      <c r="H1120" s="5" t="s">
        <v>8336</v>
      </c>
      <c r="I1120" s="5"/>
      <c r="J1120" s="5"/>
      <c r="K1120" s="5" t="s">
        <v>11093</v>
      </c>
    </row>
    <row r="1121" customFormat="false" ht="23.85" hidden="false" customHeight="false" outlineLevel="0" collapsed="false">
      <c r="A1121" s="5" t="s">
        <v>11094</v>
      </c>
      <c r="B1121" s="2" t="s">
        <v>11095</v>
      </c>
      <c r="C1121" s="5" t="s">
        <v>2128</v>
      </c>
      <c r="D1121" s="5" t="s">
        <v>62</v>
      </c>
      <c r="E1121" s="5" t="n">
        <v>9</v>
      </c>
      <c r="F1121" s="5" t="s">
        <v>8902</v>
      </c>
      <c r="G1121" s="2" t="s">
        <v>8898</v>
      </c>
      <c r="H1121" s="5" t="s">
        <v>8336</v>
      </c>
      <c r="I1121" s="5"/>
      <c r="J1121" s="5"/>
      <c r="K1121" s="5" t="s">
        <v>11096</v>
      </c>
    </row>
    <row r="1122" customFormat="false" ht="23.85" hidden="false" customHeight="false" outlineLevel="0" collapsed="false">
      <c r="A1122" s="5" t="s">
        <v>11097</v>
      </c>
      <c r="B1122" s="2" t="s">
        <v>11098</v>
      </c>
      <c r="C1122" s="5" t="s">
        <v>2128</v>
      </c>
      <c r="D1122" s="5" t="s">
        <v>62</v>
      </c>
      <c r="E1122" s="5" t="n">
        <v>9</v>
      </c>
      <c r="F1122" s="5" t="s">
        <v>8902</v>
      </c>
      <c r="G1122" s="2" t="s">
        <v>8898</v>
      </c>
      <c r="H1122" s="5" t="s">
        <v>8336</v>
      </c>
      <c r="I1122" s="5"/>
      <c r="J1122" s="5"/>
      <c r="K1122" s="5" t="s">
        <v>11099</v>
      </c>
    </row>
    <row r="1123" customFormat="false" ht="23.85" hidden="false" customHeight="false" outlineLevel="0" collapsed="false">
      <c r="A1123" s="5" t="s">
        <v>11100</v>
      </c>
      <c r="B1123" s="2" t="s">
        <v>11101</v>
      </c>
      <c r="C1123" s="5" t="s">
        <v>2128</v>
      </c>
      <c r="D1123" s="5" t="s">
        <v>62</v>
      </c>
      <c r="E1123" s="5" t="n">
        <v>9</v>
      </c>
      <c r="F1123" s="5" t="s">
        <v>8902</v>
      </c>
      <c r="G1123" s="2" t="s">
        <v>8898</v>
      </c>
      <c r="H1123" s="5" t="s">
        <v>8336</v>
      </c>
      <c r="I1123" s="5"/>
      <c r="J1123" s="5"/>
      <c r="K1123" s="5" t="s">
        <v>11102</v>
      </c>
    </row>
    <row r="1124" customFormat="false" ht="23.85" hidden="false" customHeight="false" outlineLevel="0" collapsed="false">
      <c r="A1124" s="5" t="s">
        <v>11103</v>
      </c>
      <c r="B1124" s="2" t="s">
        <v>11104</v>
      </c>
      <c r="C1124" s="5" t="s">
        <v>2128</v>
      </c>
      <c r="D1124" s="5" t="s">
        <v>62</v>
      </c>
      <c r="E1124" s="5" t="n">
        <v>9</v>
      </c>
      <c r="F1124" s="5" t="s">
        <v>8902</v>
      </c>
      <c r="G1124" s="2" t="s">
        <v>8898</v>
      </c>
      <c r="H1124" s="5" t="s">
        <v>8336</v>
      </c>
      <c r="I1124" s="5"/>
      <c r="J1124" s="5"/>
      <c r="K1124" s="5" t="s">
        <v>11105</v>
      </c>
    </row>
    <row r="1125" customFormat="false" ht="23.85" hidden="false" customHeight="false" outlineLevel="0" collapsed="false">
      <c r="A1125" s="5" t="s">
        <v>11106</v>
      </c>
      <c r="B1125" s="2" t="s">
        <v>11107</v>
      </c>
      <c r="C1125" s="5" t="s">
        <v>2128</v>
      </c>
      <c r="D1125" s="5" t="s">
        <v>62</v>
      </c>
      <c r="E1125" s="5" t="n">
        <v>9</v>
      </c>
      <c r="F1125" s="5" t="s">
        <v>8902</v>
      </c>
      <c r="G1125" s="2" t="s">
        <v>8898</v>
      </c>
      <c r="H1125" s="5" t="s">
        <v>8336</v>
      </c>
      <c r="I1125" s="5"/>
      <c r="J1125" s="5"/>
      <c r="K1125" s="5" t="s">
        <v>11108</v>
      </c>
    </row>
    <row r="1126" customFormat="false" ht="23.85" hidden="false" customHeight="false" outlineLevel="0" collapsed="false">
      <c r="A1126" s="5" t="s">
        <v>11109</v>
      </c>
      <c r="B1126" s="2" t="s">
        <v>11110</v>
      </c>
      <c r="C1126" s="5" t="s">
        <v>2128</v>
      </c>
      <c r="D1126" s="5" t="s">
        <v>62</v>
      </c>
      <c r="E1126" s="5" t="n">
        <v>9</v>
      </c>
      <c r="F1126" s="5" t="s">
        <v>8902</v>
      </c>
      <c r="G1126" s="2" t="s">
        <v>8898</v>
      </c>
      <c r="H1126" s="5" t="s">
        <v>8336</v>
      </c>
      <c r="I1126" s="5"/>
      <c r="J1126" s="5"/>
      <c r="K1126" s="5" t="s">
        <v>11111</v>
      </c>
    </row>
    <row r="1127" customFormat="false" ht="23.85" hidden="false" customHeight="false" outlineLevel="0" collapsed="false">
      <c r="A1127" s="5" t="s">
        <v>6019</v>
      </c>
      <c r="B1127" s="2" t="s">
        <v>6020</v>
      </c>
      <c r="C1127" s="5" t="s">
        <v>2128</v>
      </c>
      <c r="D1127" s="5" t="s">
        <v>62</v>
      </c>
      <c r="E1127" s="5" t="n">
        <v>9</v>
      </c>
      <c r="F1127" s="5" t="s">
        <v>2079</v>
      </c>
      <c r="G1127" s="2" t="s">
        <v>8898</v>
      </c>
      <c r="H1127" s="5" t="s">
        <v>8332</v>
      </c>
      <c r="I1127" s="5" t="s">
        <v>4760</v>
      </c>
      <c r="J1127" s="5" t="s">
        <v>2079</v>
      </c>
      <c r="K1127" s="5" t="s">
        <v>6024</v>
      </c>
    </row>
    <row r="1128" customFormat="false" ht="23.85" hidden="false" customHeight="false" outlineLevel="0" collapsed="false">
      <c r="A1128" s="5" t="s">
        <v>11112</v>
      </c>
      <c r="B1128" s="2" t="s">
        <v>11113</v>
      </c>
      <c r="C1128" s="5" t="s">
        <v>2128</v>
      </c>
      <c r="D1128" s="5" t="s">
        <v>62</v>
      </c>
      <c r="E1128" s="5" t="n">
        <v>7</v>
      </c>
      <c r="F1128" s="5" t="s">
        <v>8795</v>
      </c>
      <c r="G1128" s="2" t="s">
        <v>8898</v>
      </c>
      <c r="H1128" s="5" t="s">
        <v>8336</v>
      </c>
      <c r="I1128" s="5"/>
      <c r="J1128" s="5"/>
      <c r="K1128" s="5" t="s">
        <v>11114</v>
      </c>
    </row>
    <row r="1129" customFormat="false" ht="23.85" hidden="false" customHeight="false" outlineLevel="0" collapsed="false">
      <c r="A1129" s="5" t="s">
        <v>11115</v>
      </c>
      <c r="B1129" s="2" t="s">
        <v>11116</v>
      </c>
      <c r="C1129" s="5" t="s">
        <v>2128</v>
      </c>
      <c r="D1129" s="5" t="s">
        <v>62</v>
      </c>
      <c r="E1129" s="5" t="n">
        <v>9</v>
      </c>
      <c r="F1129" s="5" t="s">
        <v>8902</v>
      </c>
      <c r="G1129" s="2" t="s">
        <v>8898</v>
      </c>
      <c r="H1129" s="5" t="s">
        <v>8336</v>
      </c>
      <c r="I1129" s="5"/>
      <c r="J1129" s="5"/>
      <c r="K1129" s="5" t="s">
        <v>11117</v>
      </c>
    </row>
    <row r="1130" customFormat="false" ht="23.85" hidden="false" customHeight="false" outlineLevel="0" collapsed="false">
      <c r="A1130" s="5" t="s">
        <v>11118</v>
      </c>
      <c r="B1130" s="2" t="s">
        <v>11119</v>
      </c>
      <c r="C1130" s="5" t="s">
        <v>2128</v>
      </c>
      <c r="D1130" s="5" t="s">
        <v>62</v>
      </c>
      <c r="E1130" s="5" t="n">
        <v>9</v>
      </c>
      <c r="F1130" s="5" t="s">
        <v>8902</v>
      </c>
      <c r="G1130" s="2" t="s">
        <v>8898</v>
      </c>
      <c r="H1130" s="5" t="s">
        <v>8336</v>
      </c>
      <c r="I1130" s="5"/>
      <c r="J1130" s="5"/>
      <c r="K1130" s="5" t="s">
        <v>11120</v>
      </c>
    </row>
    <row r="1131" customFormat="false" ht="23.85" hidden="false" customHeight="false" outlineLevel="0" collapsed="false">
      <c r="A1131" s="5" t="s">
        <v>11121</v>
      </c>
      <c r="B1131" s="2" t="s">
        <v>11122</v>
      </c>
      <c r="C1131" s="5" t="s">
        <v>2128</v>
      </c>
      <c r="D1131" s="5" t="s">
        <v>62</v>
      </c>
      <c r="E1131" s="5" t="n">
        <v>9</v>
      </c>
      <c r="F1131" s="5" t="s">
        <v>8902</v>
      </c>
      <c r="G1131" s="2" t="s">
        <v>8898</v>
      </c>
      <c r="H1131" s="5" t="s">
        <v>8336</v>
      </c>
      <c r="I1131" s="5"/>
      <c r="J1131" s="5"/>
      <c r="K1131" s="5" t="s">
        <v>11123</v>
      </c>
    </row>
    <row r="1132" customFormat="false" ht="23.85" hidden="false" customHeight="false" outlineLevel="0" collapsed="false">
      <c r="A1132" s="5" t="s">
        <v>11124</v>
      </c>
      <c r="B1132" s="2" t="s">
        <v>11125</v>
      </c>
      <c r="C1132" s="5" t="s">
        <v>2128</v>
      </c>
      <c r="D1132" s="5" t="s">
        <v>62</v>
      </c>
      <c r="E1132" s="5" t="n">
        <v>9</v>
      </c>
      <c r="F1132" s="5" t="s">
        <v>8902</v>
      </c>
      <c r="G1132" s="2" t="s">
        <v>8898</v>
      </c>
      <c r="H1132" s="5" t="s">
        <v>8336</v>
      </c>
      <c r="I1132" s="5"/>
      <c r="J1132" s="5"/>
      <c r="K1132" s="5" t="s">
        <v>11126</v>
      </c>
    </row>
    <row r="1133" customFormat="false" ht="23.85" hidden="false" customHeight="false" outlineLevel="0" collapsed="false">
      <c r="A1133" s="5" t="s">
        <v>11127</v>
      </c>
      <c r="B1133" s="2" t="s">
        <v>11128</v>
      </c>
      <c r="C1133" s="5" t="s">
        <v>2128</v>
      </c>
      <c r="D1133" s="5" t="s">
        <v>62</v>
      </c>
      <c r="E1133" s="5" t="n">
        <v>9</v>
      </c>
      <c r="F1133" s="5" t="s">
        <v>8902</v>
      </c>
      <c r="G1133" s="2" t="s">
        <v>8898</v>
      </c>
      <c r="H1133" s="5" t="s">
        <v>8336</v>
      </c>
      <c r="I1133" s="5"/>
      <c r="J1133" s="5"/>
      <c r="K1133" s="5" t="s">
        <v>11129</v>
      </c>
    </row>
    <row r="1134" customFormat="false" ht="23.85" hidden="false" customHeight="false" outlineLevel="0" collapsed="false">
      <c r="A1134" s="5" t="s">
        <v>11130</v>
      </c>
      <c r="B1134" s="2" t="s">
        <v>11131</v>
      </c>
      <c r="C1134" s="5" t="s">
        <v>2128</v>
      </c>
      <c r="D1134" s="5" t="s">
        <v>62</v>
      </c>
      <c r="E1134" s="5" t="n">
        <v>9</v>
      </c>
      <c r="F1134" s="5" t="s">
        <v>8902</v>
      </c>
      <c r="G1134" s="2" t="s">
        <v>8898</v>
      </c>
      <c r="H1134" s="5" t="s">
        <v>8336</v>
      </c>
      <c r="I1134" s="5"/>
      <c r="J1134" s="5"/>
      <c r="K1134" s="5" t="s">
        <v>11132</v>
      </c>
    </row>
    <row r="1135" customFormat="false" ht="23.85" hidden="false" customHeight="false" outlineLevel="0" collapsed="false">
      <c r="A1135" s="5" t="s">
        <v>11133</v>
      </c>
      <c r="B1135" s="2" t="s">
        <v>11134</v>
      </c>
      <c r="C1135" s="5" t="s">
        <v>2128</v>
      </c>
      <c r="D1135" s="5" t="s">
        <v>62</v>
      </c>
      <c r="E1135" s="5" t="n">
        <v>9</v>
      </c>
      <c r="F1135" s="5" t="s">
        <v>8902</v>
      </c>
      <c r="G1135" s="2" t="s">
        <v>8898</v>
      </c>
      <c r="H1135" s="5" t="s">
        <v>8336</v>
      </c>
      <c r="I1135" s="5"/>
      <c r="J1135" s="5"/>
      <c r="K1135" s="5" t="s">
        <v>11135</v>
      </c>
    </row>
    <row r="1136" customFormat="false" ht="23.85" hidden="false" customHeight="false" outlineLevel="0" collapsed="false">
      <c r="A1136" s="5" t="s">
        <v>11136</v>
      </c>
      <c r="B1136" s="2" t="s">
        <v>11137</v>
      </c>
      <c r="C1136" s="5" t="s">
        <v>2128</v>
      </c>
      <c r="D1136" s="5" t="s">
        <v>62</v>
      </c>
      <c r="E1136" s="5" t="n">
        <v>9</v>
      </c>
      <c r="F1136" s="5" t="s">
        <v>8902</v>
      </c>
      <c r="G1136" s="2" t="s">
        <v>8898</v>
      </c>
      <c r="H1136" s="5" t="s">
        <v>8336</v>
      </c>
      <c r="I1136" s="5"/>
      <c r="J1136" s="5"/>
      <c r="K1136" s="5" t="s">
        <v>11138</v>
      </c>
    </row>
    <row r="1137" customFormat="false" ht="23.85" hidden="false" customHeight="false" outlineLevel="0" collapsed="false">
      <c r="A1137" s="5" t="s">
        <v>11139</v>
      </c>
      <c r="B1137" s="2" t="s">
        <v>11140</v>
      </c>
      <c r="C1137" s="5" t="s">
        <v>2128</v>
      </c>
      <c r="D1137" s="5" t="s">
        <v>62</v>
      </c>
      <c r="E1137" s="5" t="n">
        <v>9</v>
      </c>
      <c r="F1137" s="5" t="s">
        <v>8902</v>
      </c>
      <c r="G1137" s="2" t="s">
        <v>8898</v>
      </c>
      <c r="H1137" s="5" t="s">
        <v>8336</v>
      </c>
      <c r="I1137" s="5"/>
      <c r="J1137" s="5"/>
      <c r="K1137" s="5" t="s">
        <v>11141</v>
      </c>
    </row>
    <row r="1138" customFormat="false" ht="23.85" hidden="false" customHeight="false" outlineLevel="0" collapsed="false">
      <c r="A1138" s="5" t="s">
        <v>11142</v>
      </c>
      <c r="B1138" s="2" t="s">
        <v>11143</v>
      </c>
      <c r="C1138" s="5" t="s">
        <v>2128</v>
      </c>
      <c r="D1138" s="5" t="s">
        <v>62</v>
      </c>
      <c r="E1138" s="5" t="n">
        <v>9</v>
      </c>
      <c r="F1138" s="5" t="s">
        <v>8902</v>
      </c>
      <c r="G1138" s="2" t="s">
        <v>8898</v>
      </c>
      <c r="H1138" s="5" t="s">
        <v>8336</v>
      </c>
      <c r="I1138" s="5"/>
      <c r="J1138" s="5"/>
      <c r="K1138" s="5" t="s">
        <v>11144</v>
      </c>
    </row>
    <row r="1139" customFormat="false" ht="23.85" hidden="false" customHeight="false" outlineLevel="0" collapsed="false">
      <c r="A1139" s="5" t="s">
        <v>11145</v>
      </c>
      <c r="B1139" s="2" t="s">
        <v>11146</v>
      </c>
      <c r="C1139" s="5" t="s">
        <v>2128</v>
      </c>
      <c r="D1139" s="5" t="s">
        <v>62</v>
      </c>
      <c r="E1139" s="5" t="n">
        <v>9</v>
      </c>
      <c r="F1139" s="5" t="s">
        <v>8902</v>
      </c>
      <c r="G1139" s="2" t="s">
        <v>8898</v>
      </c>
      <c r="H1139" s="5" t="s">
        <v>8336</v>
      </c>
      <c r="I1139" s="5"/>
      <c r="J1139" s="5"/>
      <c r="K1139" s="5" t="s">
        <v>11147</v>
      </c>
    </row>
    <row r="1140" customFormat="false" ht="23.85" hidden="false" customHeight="false" outlineLevel="0" collapsed="false">
      <c r="A1140" s="5" t="s">
        <v>11148</v>
      </c>
      <c r="B1140" s="2" t="s">
        <v>11149</v>
      </c>
      <c r="C1140" s="5" t="s">
        <v>2128</v>
      </c>
      <c r="D1140" s="5" t="s">
        <v>62</v>
      </c>
      <c r="E1140" s="5" t="n">
        <v>9</v>
      </c>
      <c r="F1140" s="5" t="s">
        <v>8902</v>
      </c>
      <c r="G1140" s="2" t="s">
        <v>8898</v>
      </c>
      <c r="H1140" s="5" t="s">
        <v>8336</v>
      </c>
      <c r="I1140" s="5"/>
      <c r="J1140" s="5"/>
      <c r="K1140" s="5" t="s">
        <v>11150</v>
      </c>
    </row>
    <row r="1141" customFormat="false" ht="23.85" hidden="false" customHeight="false" outlineLevel="0" collapsed="false">
      <c r="A1141" s="5" t="s">
        <v>11151</v>
      </c>
      <c r="B1141" s="2" t="s">
        <v>11152</v>
      </c>
      <c r="C1141" s="5" t="s">
        <v>2128</v>
      </c>
      <c r="D1141" s="5" t="s">
        <v>62</v>
      </c>
      <c r="E1141" s="5" t="n">
        <v>9</v>
      </c>
      <c r="F1141" s="5" t="s">
        <v>8902</v>
      </c>
      <c r="G1141" s="2" t="s">
        <v>8898</v>
      </c>
      <c r="H1141" s="5" t="s">
        <v>8336</v>
      </c>
      <c r="I1141" s="5"/>
      <c r="J1141" s="5"/>
      <c r="K1141" s="5" t="s">
        <v>11153</v>
      </c>
    </row>
    <row r="1142" customFormat="false" ht="23.85" hidden="false" customHeight="false" outlineLevel="0" collapsed="false">
      <c r="A1142" s="5" t="s">
        <v>11154</v>
      </c>
      <c r="B1142" s="2" t="s">
        <v>11155</v>
      </c>
      <c r="C1142" s="5" t="s">
        <v>2128</v>
      </c>
      <c r="D1142" s="5" t="s">
        <v>62</v>
      </c>
      <c r="E1142" s="5" t="n">
        <v>9</v>
      </c>
      <c r="F1142" s="5" t="s">
        <v>8902</v>
      </c>
      <c r="G1142" s="2" t="s">
        <v>8898</v>
      </c>
      <c r="H1142" s="5" t="s">
        <v>8336</v>
      </c>
      <c r="I1142" s="5"/>
      <c r="J1142" s="5"/>
      <c r="K1142" s="5" t="s">
        <v>11156</v>
      </c>
    </row>
    <row r="1143" customFormat="false" ht="23.85" hidden="false" customHeight="false" outlineLevel="0" collapsed="false">
      <c r="A1143" s="5" t="s">
        <v>11157</v>
      </c>
      <c r="B1143" s="2" t="s">
        <v>11158</v>
      </c>
      <c r="C1143" s="5" t="s">
        <v>2128</v>
      </c>
      <c r="D1143" s="5" t="s">
        <v>62</v>
      </c>
      <c r="E1143" s="5" t="n">
        <v>9</v>
      </c>
      <c r="F1143" s="5" t="s">
        <v>8902</v>
      </c>
      <c r="G1143" s="2" t="s">
        <v>8898</v>
      </c>
      <c r="H1143" s="5" t="s">
        <v>8336</v>
      </c>
      <c r="I1143" s="5"/>
      <c r="J1143" s="5"/>
      <c r="K1143" s="5" t="s">
        <v>11159</v>
      </c>
    </row>
    <row r="1144" customFormat="false" ht="23.85" hidden="false" customHeight="false" outlineLevel="0" collapsed="false">
      <c r="A1144" s="5" t="s">
        <v>11160</v>
      </c>
      <c r="B1144" s="2" t="s">
        <v>11161</v>
      </c>
      <c r="C1144" s="5" t="s">
        <v>2128</v>
      </c>
      <c r="D1144" s="5" t="s">
        <v>62</v>
      </c>
      <c r="E1144" s="5" t="n">
        <v>9</v>
      </c>
      <c r="F1144" s="5" t="s">
        <v>8902</v>
      </c>
      <c r="G1144" s="2" t="s">
        <v>8898</v>
      </c>
      <c r="H1144" s="5" t="s">
        <v>8336</v>
      </c>
      <c r="I1144" s="5"/>
      <c r="J1144" s="5"/>
      <c r="K1144" s="5" t="s">
        <v>11162</v>
      </c>
    </row>
    <row r="1145" customFormat="false" ht="23.85" hidden="false" customHeight="false" outlineLevel="0" collapsed="false">
      <c r="A1145" s="5" t="s">
        <v>11163</v>
      </c>
      <c r="B1145" s="2" t="s">
        <v>11164</v>
      </c>
      <c r="C1145" s="5" t="s">
        <v>2128</v>
      </c>
      <c r="D1145" s="5" t="s">
        <v>62</v>
      </c>
      <c r="E1145" s="5" t="n">
        <v>9</v>
      </c>
      <c r="F1145" s="5" t="s">
        <v>8902</v>
      </c>
      <c r="G1145" s="2" t="s">
        <v>8898</v>
      </c>
      <c r="H1145" s="5" t="s">
        <v>8336</v>
      </c>
      <c r="I1145" s="5"/>
      <c r="J1145" s="5"/>
      <c r="K1145" s="5" t="s">
        <v>11165</v>
      </c>
    </row>
    <row r="1146" customFormat="false" ht="23.85" hidden="false" customHeight="false" outlineLevel="0" collapsed="false">
      <c r="A1146" s="5" t="s">
        <v>11166</v>
      </c>
      <c r="B1146" s="2" t="s">
        <v>11167</v>
      </c>
      <c r="C1146" s="5" t="s">
        <v>2128</v>
      </c>
      <c r="D1146" s="5" t="s">
        <v>62</v>
      </c>
      <c r="E1146" s="5" t="n">
        <v>9</v>
      </c>
      <c r="F1146" s="5" t="s">
        <v>8902</v>
      </c>
      <c r="G1146" s="2" t="s">
        <v>8898</v>
      </c>
      <c r="H1146" s="5" t="s">
        <v>8336</v>
      </c>
      <c r="I1146" s="5"/>
      <c r="J1146" s="5"/>
      <c r="K1146" s="5" t="s">
        <v>11168</v>
      </c>
    </row>
    <row r="1147" customFormat="false" ht="23.85" hidden="false" customHeight="false" outlineLevel="0" collapsed="false">
      <c r="A1147" s="5" t="s">
        <v>11169</v>
      </c>
      <c r="B1147" s="2" t="s">
        <v>11170</v>
      </c>
      <c r="C1147" s="5" t="s">
        <v>2128</v>
      </c>
      <c r="D1147" s="5" t="s">
        <v>62</v>
      </c>
      <c r="E1147" s="5" t="n">
        <v>9</v>
      </c>
      <c r="F1147" s="5" t="s">
        <v>8902</v>
      </c>
      <c r="G1147" s="2" t="s">
        <v>8898</v>
      </c>
      <c r="H1147" s="5" t="s">
        <v>8336</v>
      </c>
      <c r="I1147" s="5"/>
      <c r="J1147" s="5"/>
      <c r="K1147" s="5" t="s">
        <v>11171</v>
      </c>
    </row>
    <row r="1148" customFormat="false" ht="23.85" hidden="false" customHeight="false" outlineLevel="0" collapsed="false">
      <c r="A1148" s="5" t="s">
        <v>11172</v>
      </c>
      <c r="B1148" s="2" t="s">
        <v>11173</v>
      </c>
      <c r="C1148" s="5" t="s">
        <v>2128</v>
      </c>
      <c r="D1148" s="5" t="s">
        <v>62</v>
      </c>
      <c r="E1148" s="5" t="n">
        <v>9</v>
      </c>
      <c r="F1148" s="5" t="s">
        <v>8902</v>
      </c>
      <c r="G1148" s="2" t="s">
        <v>8898</v>
      </c>
      <c r="H1148" s="5" t="s">
        <v>8336</v>
      </c>
      <c r="I1148" s="5"/>
      <c r="J1148" s="5"/>
      <c r="K1148" s="5" t="s">
        <v>11174</v>
      </c>
    </row>
    <row r="1149" customFormat="false" ht="23.85" hidden="false" customHeight="false" outlineLevel="0" collapsed="false">
      <c r="A1149" s="5" t="s">
        <v>11175</v>
      </c>
      <c r="B1149" s="2" t="s">
        <v>11176</v>
      </c>
      <c r="C1149" s="5" t="s">
        <v>2128</v>
      </c>
      <c r="D1149" s="5" t="s">
        <v>62</v>
      </c>
      <c r="E1149" s="5" t="n">
        <v>9</v>
      </c>
      <c r="F1149" s="5" t="s">
        <v>10470</v>
      </c>
      <c r="G1149" s="2" t="s">
        <v>8682</v>
      </c>
      <c r="H1149" s="5" t="s">
        <v>8336</v>
      </c>
      <c r="I1149" s="5"/>
      <c r="J1149" s="5"/>
      <c r="K1149" s="5" t="s">
        <v>11177</v>
      </c>
    </row>
    <row r="1150" customFormat="false" ht="15" hidden="false" customHeight="false" outlineLevel="0" collapsed="false">
      <c r="A1150" s="5" t="s">
        <v>11178</v>
      </c>
      <c r="B1150" s="2" t="s">
        <v>11179</v>
      </c>
      <c r="C1150" s="5" t="s">
        <v>2128</v>
      </c>
      <c r="D1150" s="5" t="s">
        <v>62</v>
      </c>
      <c r="E1150" s="5" t="n">
        <v>9</v>
      </c>
      <c r="F1150" s="5" t="s">
        <v>536</v>
      </c>
      <c r="G1150" s="2" t="s">
        <v>9381</v>
      </c>
      <c r="H1150" s="5" t="s">
        <v>8336</v>
      </c>
      <c r="I1150" s="5"/>
      <c r="J1150" s="5"/>
      <c r="K1150" s="5" t="s">
        <v>11180</v>
      </c>
    </row>
    <row r="1151" customFormat="false" ht="15" hidden="false" customHeight="false" outlineLevel="0" collapsed="false">
      <c r="A1151" s="5" t="s">
        <v>11181</v>
      </c>
      <c r="B1151" s="2" t="s">
        <v>11182</v>
      </c>
      <c r="C1151" s="5" t="s">
        <v>2128</v>
      </c>
      <c r="D1151" s="5" t="s">
        <v>62</v>
      </c>
      <c r="E1151" s="5" t="n">
        <v>9</v>
      </c>
      <c r="F1151" s="5" t="s">
        <v>536</v>
      </c>
      <c r="G1151" s="2" t="s">
        <v>9371</v>
      </c>
      <c r="H1151" s="5" t="s">
        <v>8336</v>
      </c>
      <c r="I1151" s="5"/>
      <c r="J1151" s="5"/>
      <c r="K1151" s="5" t="s">
        <v>11183</v>
      </c>
    </row>
    <row r="1152" customFormat="false" ht="23.85" hidden="false" customHeight="false" outlineLevel="0" collapsed="false">
      <c r="A1152" s="5" t="s">
        <v>946</v>
      </c>
      <c r="B1152" s="2" t="s">
        <v>947</v>
      </c>
      <c r="C1152" s="5" t="s">
        <v>488</v>
      </c>
      <c r="D1152" s="5" t="s">
        <v>62</v>
      </c>
      <c r="E1152" s="5" t="n">
        <v>7</v>
      </c>
      <c r="F1152" s="5" t="s">
        <v>100</v>
      </c>
      <c r="G1152" s="2" t="s">
        <v>593</v>
      </c>
      <c r="H1152" s="5" t="s">
        <v>8332</v>
      </c>
      <c r="I1152" s="5" t="s">
        <v>60</v>
      </c>
      <c r="J1152" s="5" t="s">
        <v>948</v>
      </c>
      <c r="K1152" s="5" t="s">
        <v>952</v>
      </c>
    </row>
    <row r="1153" customFormat="false" ht="23.85" hidden="false" customHeight="false" outlineLevel="0" collapsed="false">
      <c r="A1153" s="5" t="s">
        <v>11184</v>
      </c>
      <c r="B1153" s="2" t="s">
        <v>11185</v>
      </c>
      <c r="C1153" s="5" t="s">
        <v>2128</v>
      </c>
      <c r="D1153" s="5" t="s">
        <v>490</v>
      </c>
      <c r="E1153" s="5" t="n">
        <v>9</v>
      </c>
      <c r="F1153" s="5" t="s">
        <v>413</v>
      </c>
      <c r="G1153" s="2" t="s">
        <v>6027</v>
      </c>
      <c r="H1153" s="5" t="s">
        <v>8336</v>
      </c>
      <c r="I1153" s="5"/>
      <c r="J1153" s="5"/>
      <c r="K1153" s="5" t="s">
        <v>11186</v>
      </c>
    </row>
    <row r="1154" customFormat="false" ht="23.85" hidden="false" customHeight="false" outlineLevel="0" collapsed="false">
      <c r="A1154" s="5" t="s">
        <v>6025</v>
      </c>
      <c r="B1154" s="2" t="s">
        <v>6026</v>
      </c>
      <c r="C1154" s="5" t="s">
        <v>2128</v>
      </c>
      <c r="D1154" s="5" t="s">
        <v>490</v>
      </c>
      <c r="E1154" s="5" t="n">
        <v>8</v>
      </c>
      <c r="F1154" s="5" t="s">
        <v>2079</v>
      </c>
      <c r="G1154" s="2" t="s">
        <v>6027</v>
      </c>
      <c r="H1154" s="5" t="s">
        <v>8332</v>
      </c>
      <c r="I1154" s="5" t="s">
        <v>4760</v>
      </c>
      <c r="J1154" s="5" t="s">
        <v>2079</v>
      </c>
      <c r="K1154" s="5" t="s">
        <v>6033</v>
      </c>
    </row>
    <row r="1155" customFormat="false" ht="23.85" hidden="false" customHeight="false" outlineLevel="0" collapsed="false">
      <c r="A1155" s="5" t="s">
        <v>11187</v>
      </c>
      <c r="B1155" s="2" t="s">
        <v>11188</v>
      </c>
      <c r="C1155" s="5" t="s">
        <v>2128</v>
      </c>
      <c r="D1155" s="5" t="s">
        <v>490</v>
      </c>
      <c r="E1155" s="5" t="n">
        <v>9</v>
      </c>
      <c r="F1155" s="5" t="s">
        <v>413</v>
      </c>
      <c r="G1155" s="2" t="s">
        <v>6027</v>
      </c>
      <c r="H1155" s="5" t="s">
        <v>8336</v>
      </c>
      <c r="I1155" s="5"/>
      <c r="J1155" s="5"/>
      <c r="K1155" s="5" t="s">
        <v>11189</v>
      </c>
    </row>
    <row r="1156" customFormat="false" ht="23.85" hidden="false" customHeight="false" outlineLevel="0" collapsed="false">
      <c r="A1156" s="5" t="s">
        <v>953</v>
      </c>
      <c r="B1156" s="2" t="s">
        <v>954</v>
      </c>
      <c r="C1156" s="5" t="s">
        <v>488</v>
      </c>
      <c r="D1156" s="5" t="s">
        <v>62</v>
      </c>
      <c r="E1156" s="5" t="n">
        <v>7</v>
      </c>
      <c r="F1156" s="5" t="s">
        <v>481</v>
      </c>
      <c r="G1156" s="2" t="s">
        <v>8682</v>
      </c>
      <c r="H1156" s="5" t="s">
        <v>8332</v>
      </c>
      <c r="I1156" s="5" t="s">
        <v>60</v>
      </c>
      <c r="J1156" s="5" t="s">
        <v>955</v>
      </c>
      <c r="K1156" s="5" t="s">
        <v>963</v>
      </c>
    </row>
    <row r="1157" customFormat="false" ht="23.85" hidden="false" customHeight="false" outlineLevel="0" collapsed="false">
      <c r="A1157" s="5" t="s">
        <v>2737</v>
      </c>
      <c r="B1157" s="2" t="s">
        <v>2738</v>
      </c>
      <c r="C1157" s="5" t="s">
        <v>2128</v>
      </c>
      <c r="D1157" s="5" t="s">
        <v>62</v>
      </c>
      <c r="E1157" s="5" t="n">
        <v>9</v>
      </c>
      <c r="F1157" s="5" t="s">
        <v>481</v>
      </c>
      <c r="G1157" s="2" t="s">
        <v>11190</v>
      </c>
      <c r="H1157" s="5" t="s">
        <v>8332</v>
      </c>
      <c r="I1157" s="5" t="s">
        <v>60</v>
      </c>
      <c r="J1157" s="5" t="s">
        <v>955</v>
      </c>
      <c r="K1157" s="5" t="s">
        <v>2744</v>
      </c>
    </row>
    <row r="1158" customFormat="false" ht="15" hidden="false" customHeight="false" outlineLevel="0" collapsed="false">
      <c r="A1158" s="5" t="s">
        <v>11191</v>
      </c>
      <c r="B1158" s="2" t="s">
        <v>11192</v>
      </c>
      <c r="C1158" s="5" t="s">
        <v>2128</v>
      </c>
      <c r="D1158" s="5" t="s">
        <v>490</v>
      </c>
      <c r="E1158" s="5" t="n">
        <v>7</v>
      </c>
      <c r="F1158" s="5" t="s">
        <v>11193</v>
      </c>
      <c r="G1158" s="2" t="s">
        <v>11194</v>
      </c>
      <c r="H1158" s="5" t="s">
        <v>8336</v>
      </c>
      <c r="I1158" s="5"/>
      <c r="J1158" s="5"/>
      <c r="K1158" s="5" t="s">
        <v>11195</v>
      </c>
    </row>
    <row r="1159" customFormat="false" ht="15" hidden="false" customHeight="false" outlineLevel="0" collapsed="false">
      <c r="A1159" s="5" t="s">
        <v>11196</v>
      </c>
      <c r="B1159" s="2" t="s">
        <v>11197</v>
      </c>
      <c r="C1159" s="5" t="s">
        <v>2128</v>
      </c>
      <c r="D1159" s="5" t="s">
        <v>490</v>
      </c>
      <c r="E1159" s="5" t="n">
        <v>7</v>
      </c>
      <c r="F1159" s="5" t="s">
        <v>11193</v>
      </c>
      <c r="G1159" s="2" t="s">
        <v>11194</v>
      </c>
      <c r="H1159" s="5" t="s">
        <v>8336</v>
      </c>
      <c r="I1159" s="5"/>
      <c r="J1159" s="5"/>
      <c r="K1159" s="5" t="s">
        <v>11198</v>
      </c>
    </row>
    <row r="1160" customFormat="false" ht="15" hidden="false" customHeight="false" outlineLevel="0" collapsed="false">
      <c r="A1160" s="5" t="s">
        <v>11199</v>
      </c>
      <c r="B1160" s="2" t="s">
        <v>11200</v>
      </c>
      <c r="C1160" s="5" t="s">
        <v>2128</v>
      </c>
      <c r="D1160" s="5" t="s">
        <v>490</v>
      </c>
      <c r="E1160" s="5" t="n">
        <v>7</v>
      </c>
      <c r="F1160" s="5" t="s">
        <v>536</v>
      </c>
      <c r="G1160" s="2" t="s">
        <v>11194</v>
      </c>
      <c r="H1160" s="5" t="s">
        <v>8336</v>
      </c>
      <c r="I1160" s="5"/>
      <c r="J1160" s="5"/>
      <c r="K1160" s="5" t="s">
        <v>11201</v>
      </c>
    </row>
    <row r="1161" customFormat="false" ht="15" hidden="false" customHeight="false" outlineLevel="0" collapsed="false">
      <c r="A1161" s="5" t="s">
        <v>11202</v>
      </c>
      <c r="B1161" s="2" t="s">
        <v>11203</v>
      </c>
      <c r="C1161" s="5" t="s">
        <v>2128</v>
      </c>
      <c r="D1161" s="5" t="s">
        <v>490</v>
      </c>
      <c r="E1161" s="5" t="n">
        <v>9</v>
      </c>
      <c r="F1161" s="5" t="s">
        <v>536</v>
      </c>
      <c r="G1161" s="2" t="s">
        <v>11194</v>
      </c>
      <c r="H1161" s="5" t="s">
        <v>8336</v>
      </c>
      <c r="I1161" s="5"/>
      <c r="J1161" s="5"/>
      <c r="K1161" s="5" t="s">
        <v>11204</v>
      </c>
    </row>
    <row r="1162" customFormat="false" ht="15" hidden="false" customHeight="false" outlineLevel="0" collapsed="false">
      <c r="A1162" s="5" t="s">
        <v>11205</v>
      </c>
      <c r="B1162" s="2" t="s">
        <v>11206</v>
      </c>
      <c r="C1162" s="5" t="s">
        <v>2128</v>
      </c>
      <c r="D1162" s="5" t="s">
        <v>490</v>
      </c>
      <c r="E1162" s="5" t="n">
        <v>7</v>
      </c>
      <c r="F1162" s="5" t="s">
        <v>11193</v>
      </c>
      <c r="G1162" s="2" t="s">
        <v>11194</v>
      </c>
      <c r="H1162" s="5" t="s">
        <v>8336</v>
      </c>
      <c r="I1162" s="5"/>
      <c r="J1162" s="5"/>
      <c r="K1162" s="5" t="s">
        <v>11207</v>
      </c>
    </row>
    <row r="1163" customFormat="false" ht="15" hidden="false" customHeight="false" outlineLevel="0" collapsed="false">
      <c r="A1163" s="5" t="s">
        <v>11208</v>
      </c>
      <c r="B1163" s="2" t="s">
        <v>11209</v>
      </c>
      <c r="C1163" s="5" t="s">
        <v>2128</v>
      </c>
      <c r="D1163" s="5" t="s">
        <v>490</v>
      </c>
      <c r="E1163" s="5" t="n">
        <v>7</v>
      </c>
      <c r="F1163" s="5" t="s">
        <v>536</v>
      </c>
      <c r="G1163" s="2" t="s">
        <v>11194</v>
      </c>
      <c r="H1163" s="5" t="s">
        <v>8336</v>
      </c>
      <c r="I1163" s="5"/>
      <c r="J1163" s="5"/>
      <c r="K1163" s="5" t="s">
        <v>11210</v>
      </c>
    </row>
    <row r="1164" customFormat="false" ht="23.85" hidden="false" customHeight="false" outlineLevel="0" collapsed="false">
      <c r="A1164" s="5" t="s">
        <v>2745</v>
      </c>
      <c r="B1164" s="2" t="s">
        <v>2746</v>
      </c>
      <c r="C1164" s="5" t="s">
        <v>2128</v>
      </c>
      <c r="D1164" s="5" t="s">
        <v>62</v>
      </c>
      <c r="E1164" s="5" t="n">
        <v>10</v>
      </c>
      <c r="F1164" s="5" t="s">
        <v>536</v>
      </c>
      <c r="G1164" s="2" t="s">
        <v>184</v>
      </c>
      <c r="H1164" s="5" t="s">
        <v>8332</v>
      </c>
      <c r="I1164" s="5" t="s">
        <v>60</v>
      </c>
      <c r="J1164" s="5" t="s">
        <v>269</v>
      </c>
      <c r="K1164" s="5" t="s">
        <v>2751</v>
      </c>
    </row>
    <row r="1165" customFormat="false" ht="91" hidden="false" customHeight="false" outlineLevel="0" collapsed="false">
      <c r="A1165" s="5" t="s">
        <v>964</v>
      </c>
      <c r="B1165" s="2" t="s">
        <v>965</v>
      </c>
      <c r="C1165" s="5" t="s">
        <v>488</v>
      </c>
      <c r="D1165" s="5" t="s">
        <v>490</v>
      </c>
      <c r="E1165" s="5" t="n">
        <v>9</v>
      </c>
      <c r="F1165" s="5" t="s">
        <v>100</v>
      </c>
      <c r="G1165" s="2" t="s">
        <v>11211</v>
      </c>
      <c r="H1165" s="5" t="s">
        <v>8332</v>
      </c>
      <c r="I1165" s="5" t="s">
        <v>60</v>
      </c>
      <c r="J1165" s="5" t="s">
        <v>100</v>
      </c>
      <c r="K1165" s="5" t="s">
        <v>972</v>
      </c>
    </row>
    <row r="1166" customFormat="false" ht="23.85" hidden="false" customHeight="false" outlineLevel="0" collapsed="false">
      <c r="A1166" s="5" t="s">
        <v>973</v>
      </c>
      <c r="B1166" s="2" t="s">
        <v>974</v>
      </c>
      <c r="C1166" s="5" t="s">
        <v>488</v>
      </c>
      <c r="D1166" s="5" t="s">
        <v>490</v>
      </c>
      <c r="E1166" s="5" t="n">
        <v>9</v>
      </c>
      <c r="F1166" s="5" t="s">
        <v>100</v>
      </c>
      <c r="G1166" s="2" t="s">
        <v>9351</v>
      </c>
      <c r="H1166" s="5" t="s">
        <v>8332</v>
      </c>
      <c r="I1166" s="5" t="s">
        <v>60</v>
      </c>
      <c r="J1166" s="5" t="s">
        <v>100</v>
      </c>
      <c r="K1166" s="5" t="s">
        <v>983</v>
      </c>
    </row>
    <row r="1167" customFormat="false" ht="15" hidden="false" customHeight="false" outlineLevel="0" collapsed="false">
      <c r="A1167" s="5" t="s">
        <v>984</v>
      </c>
      <c r="B1167" s="2" t="s">
        <v>985</v>
      </c>
      <c r="C1167" s="5" t="s">
        <v>488</v>
      </c>
      <c r="D1167" s="5" t="s">
        <v>490</v>
      </c>
      <c r="E1167" s="5" t="n">
        <v>9</v>
      </c>
      <c r="F1167" s="5" t="s">
        <v>100</v>
      </c>
      <c r="G1167" s="2" t="s">
        <v>492</v>
      </c>
      <c r="H1167" s="5" t="s">
        <v>8332</v>
      </c>
      <c r="I1167" s="5" t="s">
        <v>60</v>
      </c>
      <c r="J1167" s="5" t="s">
        <v>100</v>
      </c>
      <c r="K1167" s="5" t="s">
        <v>990</v>
      </c>
    </row>
    <row r="1168" customFormat="false" ht="46.25" hidden="false" customHeight="false" outlineLevel="0" collapsed="false">
      <c r="A1168" s="5" t="s">
        <v>991</v>
      </c>
      <c r="B1168" s="2" t="s">
        <v>992</v>
      </c>
      <c r="C1168" s="5" t="s">
        <v>488</v>
      </c>
      <c r="D1168" s="5" t="s">
        <v>490</v>
      </c>
      <c r="E1168" s="5" t="n">
        <v>9</v>
      </c>
      <c r="F1168" s="5" t="s">
        <v>100</v>
      </c>
      <c r="G1168" s="2" t="s">
        <v>11212</v>
      </c>
      <c r="H1168" s="5" t="s">
        <v>8332</v>
      </c>
      <c r="I1168" s="5" t="s">
        <v>60</v>
      </c>
      <c r="J1168" s="5" t="s">
        <v>100</v>
      </c>
      <c r="K1168" s="5" t="s">
        <v>1001</v>
      </c>
    </row>
    <row r="1169" customFormat="false" ht="35.05" hidden="false" customHeight="false" outlineLevel="0" collapsed="false">
      <c r="A1169" s="5" t="s">
        <v>1002</v>
      </c>
      <c r="B1169" s="2" t="s">
        <v>1003</v>
      </c>
      <c r="C1169" s="5" t="s">
        <v>488</v>
      </c>
      <c r="D1169" s="5" t="s">
        <v>490</v>
      </c>
      <c r="E1169" s="5" t="n">
        <v>9</v>
      </c>
      <c r="F1169" s="5" t="s">
        <v>100</v>
      </c>
      <c r="G1169" s="2" t="s">
        <v>10689</v>
      </c>
      <c r="H1169" s="5" t="s">
        <v>8332</v>
      </c>
      <c r="I1169" s="5" t="s">
        <v>60</v>
      </c>
      <c r="J1169" s="5" t="s">
        <v>100</v>
      </c>
      <c r="K1169" s="5" t="s">
        <v>1009</v>
      </c>
    </row>
    <row r="1170" customFormat="false" ht="68.65" hidden="false" customHeight="false" outlineLevel="0" collapsed="false">
      <c r="A1170" s="5" t="s">
        <v>1010</v>
      </c>
      <c r="B1170" s="2" t="s">
        <v>1011</v>
      </c>
      <c r="C1170" s="5" t="s">
        <v>488</v>
      </c>
      <c r="D1170" s="5" t="s">
        <v>490</v>
      </c>
      <c r="E1170" s="5" t="n">
        <v>9</v>
      </c>
      <c r="F1170" s="5" t="s">
        <v>100</v>
      </c>
      <c r="G1170" s="2" t="s">
        <v>11213</v>
      </c>
      <c r="H1170" s="5" t="s">
        <v>8332</v>
      </c>
      <c r="I1170" s="5" t="s">
        <v>60</v>
      </c>
      <c r="J1170" s="5" t="s">
        <v>100</v>
      </c>
      <c r="K1170" s="5" t="s">
        <v>1017</v>
      </c>
    </row>
    <row r="1171" customFormat="false" ht="35.05" hidden="false" customHeight="false" outlineLevel="0" collapsed="false">
      <c r="A1171" s="5" t="s">
        <v>1018</v>
      </c>
      <c r="B1171" s="2" t="s">
        <v>1019</v>
      </c>
      <c r="C1171" s="5" t="s">
        <v>488</v>
      </c>
      <c r="D1171" s="5" t="s">
        <v>490</v>
      </c>
      <c r="E1171" s="5" t="n">
        <v>9</v>
      </c>
      <c r="F1171" s="5" t="s">
        <v>100</v>
      </c>
      <c r="G1171" s="2" t="s">
        <v>10689</v>
      </c>
      <c r="H1171" s="5" t="s">
        <v>8332</v>
      </c>
      <c r="I1171" s="5" t="s">
        <v>60</v>
      </c>
      <c r="J1171" s="5" t="s">
        <v>100</v>
      </c>
      <c r="K1171" s="5" t="s">
        <v>1021</v>
      </c>
    </row>
    <row r="1172" customFormat="false" ht="46.25" hidden="false" customHeight="false" outlineLevel="0" collapsed="false">
      <c r="A1172" s="5" t="s">
        <v>1022</v>
      </c>
      <c r="B1172" s="2" t="s">
        <v>1023</v>
      </c>
      <c r="C1172" s="5" t="s">
        <v>488</v>
      </c>
      <c r="D1172" s="5" t="s">
        <v>490</v>
      </c>
      <c r="E1172" s="5" t="n">
        <v>9</v>
      </c>
      <c r="F1172" s="5" t="s">
        <v>100</v>
      </c>
      <c r="G1172" s="2" t="s">
        <v>10690</v>
      </c>
      <c r="H1172" s="5" t="s">
        <v>8332</v>
      </c>
      <c r="I1172" s="5" t="s">
        <v>60</v>
      </c>
      <c r="J1172" s="5" t="s">
        <v>100</v>
      </c>
      <c r="K1172" s="5" t="s">
        <v>1029</v>
      </c>
    </row>
    <row r="1173" customFormat="false" ht="23.85" hidden="false" customHeight="false" outlineLevel="0" collapsed="false">
      <c r="A1173" s="5" t="s">
        <v>6034</v>
      </c>
      <c r="B1173" s="2" t="s">
        <v>6035</v>
      </c>
      <c r="C1173" s="5" t="s">
        <v>2128</v>
      </c>
      <c r="D1173" s="5" t="s">
        <v>62</v>
      </c>
      <c r="E1173" s="5" t="n">
        <v>7</v>
      </c>
      <c r="F1173" s="5" t="s">
        <v>100</v>
      </c>
      <c r="G1173" s="2" t="s">
        <v>8682</v>
      </c>
      <c r="H1173" s="5" t="s">
        <v>8332</v>
      </c>
      <c r="I1173" s="5" t="s">
        <v>4760</v>
      </c>
      <c r="J1173" s="5" t="s">
        <v>100</v>
      </c>
      <c r="K1173" s="5" t="s">
        <v>6039</v>
      </c>
    </row>
    <row r="1174" customFormat="false" ht="15" hidden="false" customHeight="false" outlineLevel="0" collapsed="false">
      <c r="A1174" s="5" t="s">
        <v>11214</v>
      </c>
      <c r="B1174" s="2" t="s">
        <v>11215</v>
      </c>
      <c r="C1174" s="5" t="s">
        <v>2128</v>
      </c>
      <c r="D1174" s="5" t="s">
        <v>62</v>
      </c>
      <c r="E1174" s="5" t="n">
        <v>9</v>
      </c>
      <c r="F1174" s="5" t="s">
        <v>11216</v>
      </c>
      <c r="G1174" s="2" t="s">
        <v>8238</v>
      </c>
      <c r="H1174" s="5" t="s">
        <v>8336</v>
      </c>
      <c r="I1174" s="5"/>
      <c r="J1174" s="5"/>
      <c r="K1174" s="5" t="s">
        <v>11217</v>
      </c>
    </row>
    <row r="1175" customFormat="false" ht="15" hidden="false" customHeight="false" outlineLevel="0" collapsed="false">
      <c r="A1175" s="5" t="s">
        <v>11218</v>
      </c>
      <c r="B1175" s="2" t="s">
        <v>11219</v>
      </c>
      <c r="C1175" s="5" t="s">
        <v>2128</v>
      </c>
      <c r="D1175" s="5" t="s">
        <v>62</v>
      </c>
      <c r="E1175" s="5" t="n">
        <v>9</v>
      </c>
      <c r="F1175" s="5" t="s">
        <v>11216</v>
      </c>
      <c r="G1175" s="2" t="s">
        <v>8238</v>
      </c>
      <c r="H1175" s="5" t="s">
        <v>8336</v>
      </c>
      <c r="I1175" s="5"/>
      <c r="J1175" s="5"/>
      <c r="K1175" s="5" t="s">
        <v>11220</v>
      </c>
    </row>
    <row r="1176" customFormat="false" ht="15" hidden="false" customHeight="false" outlineLevel="0" collapsed="false">
      <c r="A1176" s="5" t="s">
        <v>11221</v>
      </c>
      <c r="B1176" s="2" t="s">
        <v>11222</v>
      </c>
      <c r="C1176" s="5" t="s">
        <v>2128</v>
      </c>
      <c r="D1176" s="5" t="s">
        <v>490</v>
      </c>
      <c r="E1176" s="5" t="n">
        <v>7</v>
      </c>
      <c r="F1176" s="5" t="s">
        <v>11216</v>
      </c>
      <c r="G1176" s="2" t="s">
        <v>8238</v>
      </c>
      <c r="H1176" s="5" t="s">
        <v>8336</v>
      </c>
      <c r="I1176" s="5"/>
      <c r="J1176" s="5"/>
      <c r="K1176" s="5" t="s">
        <v>11223</v>
      </c>
    </row>
    <row r="1177" customFormat="false" ht="23.85" hidden="false" customHeight="false" outlineLevel="0" collapsed="false">
      <c r="A1177" s="5" t="s">
        <v>11224</v>
      </c>
      <c r="B1177" s="2" t="s">
        <v>11225</v>
      </c>
      <c r="C1177" s="5" t="s">
        <v>2128</v>
      </c>
      <c r="D1177" s="5" t="s">
        <v>62</v>
      </c>
      <c r="E1177" s="5" t="n">
        <v>7</v>
      </c>
      <c r="F1177" s="5" t="s">
        <v>544</v>
      </c>
      <c r="G1177" s="2" t="s">
        <v>11226</v>
      </c>
      <c r="H1177" s="5" t="s">
        <v>8336</v>
      </c>
      <c r="I1177" s="5"/>
      <c r="J1177" s="5"/>
      <c r="K1177" s="5" t="s">
        <v>11227</v>
      </c>
    </row>
    <row r="1178" customFormat="false" ht="23.85" hidden="false" customHeight="false" outlineLevel="0" collapsed="false">
      <c r="A1178" s="5" t="s">
        <v>11228</v>
      </c>
      <c r="B1178" s="2" t="s">
        <v>11229</v>
      </c>
      <c r="C1178" s="5" t="s">
        <v>2128</v>
      </c>
      <c r="D1178" s="5" t="s">
        <v>62</v>
      </c>
      <c r="E1178" s="5" t="n">
        <v>9</v>
      </c>
      <c r="F1178" s="5" t="s">
        <v>90</v>
      </c>
      <c r="G1178" s="2" t="s">
        <v>8682</v>
      </c>
      <c r="H1178" s="5" t="s">
        <v>8336</v>
      </c>
      <c r="I1178" s="5"/>
      <c r="J1178" s="5"/>
      <c r="K1178" s="5" t="s">
        <v>11230</v>
      </c>
    </row>
    <row r="1179" customFormat="false" ht="15" hidden="false" customHeight="false" outlineLevel="0" collapsed="false">
      <c r="A1179" s="5" t="s">
        <v>11231</v>
      </c>
      <c r="B1179" s="2" t="s">
        <v>11232</v>
      </c>
      <c r="C1179" s="5" t="s">
        <v>2128</v>
      </c>
      <c r="D1179" s="5" t="s">
        <v>62</v>
      </c>
      <c r="E1179" s="5" t="n">
        <v>6</v>
      </c>
      <c r="F1179" s="5" t="s">
        <v>67</v>
      </c>
      <c r="G1179" s="2" t="s">
        <v>9394</v>
      </c>
      <c r="H1179" s="5" t="s">
        <v>8336</v>
      </c>
      <c r="I1179" s="5"/>
      <c r="J1179" s="5"/>
      <c r="K1179" s="5" t="s">
        <v>11233</v>
      </c>
    </row>
    <row r="1180" customFormat="false" ht="23.85" hidden="false" customHeight="false" outlineLevel="0" collapsed="false">
      <c r="A1180" s="5" t="s">
        <v>11234</v>
      </c>
      <c r="B1180" s="2" t="s">
        <v>11235</v>
      </c>
      <c r="C1180" s="5" t="s">
        <v>2128</v>
      </c>
      <c r="D1180" s="5" t="s">
        <v>490</v>
      </c>
      <c r="E1180" s="5" t="n">
        <v>6</v>
      </c>
      <c r="F1180" s="5" t="s">
        <v>67</v>
      </c>
      <c r="G1180" s="2" t="s">
        <v>11236</v>
      </c>
      <c r="H1180" s="5" t="s">
        <v>8336</v>
      </c>
      <c r="I1180" s="5"/>
      <c r="J1180" s="5"/>
      <c r="K1180" s="5" t="s">
        <v>11237</v>
      </c>
    </row>
    <row r="1181" customFormat="false" ht="46.25" hidden="false" customHeight="false" outlineLevel="0" collapsed="false">
      <c r="A1181" s="5" t="s">
        <v>11238</v>
      </c>
      <c r="B1181" s="2" t="s">
        <v>11239</v>
      </c>
      <c r="C1181" s="5" t="s">
        <v>2128</v>
      </c>
      <c r="D1181" s="5" t="s">
        <v>62</v>
      </c>
      <c r="E1181" s="5" t="n">
        <v>7</v>
      </c>
      <c r="F1181" s="5" t="s">
        <v>536</v>
      </c>
      <c r="G1181" s="2" t="s">
        <v>11240</v>
      </c>
      <c r="H1181" s="5" t="s">
        <v>8336</v>
      </c>
      <c r="I1181" s="5"/>
      <c r="J1181" s="5"/>
      <c r="K1181" s="5" t="s">
        <v>11241</v>
      </c>
    </row>
    <row r="1182" customFormat="false" ht="46.25" hidden="false" customHeight="false" outlineLevel="0" collapsed="false">
      <c r="A1182" s="5" t="s">
        <v>11242</v>
      </c>
      <c r="B1182" s="2" t="s">
        <v>11243</v>
      </c>
      <c r="C1182" s="5" t="s">
        <v>2128</v>
      </c>
      <c r="D1182" s="5" t="s">
        <v>62</v>
      </c>
      <c r="E1182" s="5" t="n">
        <v>9</v>
      </c>
      <c r="F1182" s="5" t="s">
        <v>536</v>
      </c>
      <c r="G1182" s="2" t="s">
        <v>11240</v>
      </c>
      <c r="H1182" s="5" t="s">
        <v>8336</v>
      </c>
      <c r="I1182" s="5"/>
      <c r="J1182" s="5"/>
      <c r="K1182" s="5" t="s">
        <v>11244</v>
      </c>
    </row>
    <row r="1183" customFormat="false" ht="15" hidden="false" customHeight="false" outlineLevel="0" collapsed="false">
      <c r="A1183" s="5" t="s">
        <v>11245</v>
      </c>
      <c r="B1183" s="2" t="s">
        <v>11246</v>
      </c>
      <c r="C1183" s="5" t="s">
        <v>2128</v>
      </c>
      <c r="D1183" s="5" t="s">
        <v>62</v>
      </c>
      <c r="E1183" s="5" t="n">
        <v>9</v>
      </c>
      <c r="F1183" s="5" t="s">
        <v>9196</v>
      </c>
      <c r="G1183" s="2" t="s">
        <v>2376</v>
      </c>
      <c r="H1183" s="5" t="s">
        <v>8336</v>
      </c>
      <c r="I1183" s="5"/>
      <c r="J1183" s="5"/>
      <c r="K1183" s="5" t="s">
        <v>11247</v>
      </c>
    </row>
    <row r="1184" customFormat="false" ht="23.85" hidden="false" customHeight="false" outlineLevel="0" collapsed="false">
      <c r="A1184" s="5" t="s">
        <v>2752</v>
      </c>
      <c r="B1184" s="2" t="s">
        <v>2753</v>
      </c>
      <c r="C1184" s="5" t="s">
        <v>2128</v>
      </c>
      <c r="D1184" s="5" t="s">
        <v>490</v>
      </c>
      <c r="E1184" s="5" t="n">
        <v>6</v>
      </c>
      <c r="F1184" s="5"/>
      <c r="G1184" s="2" t="s">
        <v>2755</v>
      </c>
      <c r="H1184" s="5" t="s">
        <v>8332</v>
      </c>
      <c r="I1184" s="5" t="s">
        <v>60</v>
      </c>
      <c r="J1184" s="5" t="s">
        <v>2754</v>
      </c>
      <c r="K1184" s="5" t="s">
        <v>2762</v>
      </c>
    </row>
    <row r="1185" customFormat="false" ht="23.85" hidden="false" customHeight="false" outlineLevel="0" collapsed="false">
      <c r="A1185" s="5" t="s">
        <v>6040</v>
      </c>
      <c r="B1185" s="2" t="s">
        <v>6041</v>
      </c>
      <c r="C1185" s="5" t="s">
        <v>2128</v>
      </c>
      <c r="D1185" s="5" t="s">
        <v>62</v>
      </c>
      <c r="E1185" s="5" t="n">
        <v>9</v>
      </c>
      <c r="F1185" s="5" t="s">
        <v>481</v>
      </c>
      <c r="G1185" s="2" t="s">
        <v>6042</v>
      </c>
      <c r="H1185" s="5" t="s">
        <v>8332</v>
      </c>
      <c r="I1185" s="5" t="s">
        <v>4760</v>
      </c>
      <c r="J1185" s="5" t="s">
        <v>481</v>
      </c>
      <c r="K1185" s="5" t="s">
        <v>6048</v>
      </c>
    </row>
    <row r="1186" customFormat="false" ht="23.85" hidden="false" customHeight="false" outlineLevel="0" collapsed="false">
      <c r="A1186" s="5" t="s">
        <v>6049</v>
      </c>
      <c r="B1186" s="2" t="s">
        <v>6050</v>
      </c>
      <c r="C1186" s="5" t="s">
        <v>2128</v>
      </c>
      <c r="D1186" s="5" t="s">
        <v>62</v>
      </c>
      <c r="E1186" s="5" t="n">
        <v>8</v>
      </c>
      <c r="F1186" s="5" t="s">
        <v>481</v>
      </c>
      <c r="G1186" s="2" t="s">
        <v>6042</v>
      </c>
      <c r="H1186" s="5" t="s">
        <v>8332</v>
      </c>
      <c r="I1186" s="5" t="s">
        <v>4760</v>
      </c>
      <c r="J1186" s="5" t="s">
        <v>481</v>
      </c>
      <c r="K1186" s="5" t="s">
        <v>6055</v>
      </c>
    </row>
    <row r="1187" customFormat="false" ht="23.85" hidden="false" customHeight="false" outlineLevel="0" collapsed="false">
      <c r="A1187" s="5" t="s">
        <v>6056</v>
      </c>
      <c r="B1187" s="2" t="s">
        <v>6057</v>
      </c>
      <c r="C1187" s="5" t="s">
        <v>2128</v>
      </c>
      <c r="D1187" s="5" t="s">
        <v>62</v>
      </c>
      <c r="E1187" s="5" t="n">
        <v>10</v>
      </c>
      <c r="F1187" s="5" t="s">
        <v>481</v>
      </c>
      <c r="G1187" s="2" t="s">
        <v>6042</v>
      </c>
      <c r="H1187" s="5" t="s">
        <v>8332</v>
      </c>
      <c r="I1187" s="5" t="s">
        <v>4760</v>
      </c>
      <c r="J1187" s="5" t="s">
        <v>481</v>
      </c>
      <c r="K1187" s="5" t="s">
        <v>6063</v>
      </c>
    </row>
    <row r="1188" customFormat="false" ht="23.85" hidden="false" customHeight="false" outlineLevel="0" collapsed="false">
      <c r="A1188" s="5" t="s">
        <v>6064</v>
      </c>
      <c r="B1188" s="2" t="s">
        <v>6065</v>
      </c>
      <c r="C1188" s="5" t="s">
        <v>2128</v>
      </c>
      <c r="D1188" s="5" t="s">
        <v>62</v>
      </c>
      <c r="E1188" s="5" t="n">
        <v>9</v>
      </c>
      <c r="F1188" s="5" t="s">
        <v>481</v>
      </c>
      <c r="G1188" s="2" t="s">
        <v>6042</v>
      </c>
      <c r="H1188" s="5" t="s">
        <v>8332</v>
      </c>
      <c r="I1188" s="5" t="s">
        <v>4760</v>
      </c>
      <c r="J1188" s="5" t="s">
        <v>481</v>
      </c>
      <c r="K1188" s="5" t="s">
        <v>6070</v>
      </c>
    </row>
    <row r="1189" customFormat="false" ht="23.85" hidden="false" customHeight="false" outlineLevel="0" collapsed="false">
      <c r="A1189" s="5" t="s">
        <v>6071</v>
      </c>
      <c r="B1189" s="2" t="s">
        <v>6072</v>
      </c>
      <c r="C1189" s="5" t="s">
        <v>2128</v>
      </c>
      <c r="D1189" s="5" t="s">
        <v>62</v>
      </c>
      <c r="E1189" s="5" t="n">
        <v>8</v>
      </c>
      <c r="F1189" s="5" t="s">
        <v>481</v>
      </c>
      <c r="G1189" s="2" t="s">
        <v>6042</v>
      </c>
      <c r="H1189" s="5" t="s">
        <v>8332</v>
      </c>
      <c r="I1189" s="5" t="s">
        <v>4760</v>
      </c>
      <c r="J1189" s="5" t="s">
        <v>481</v>
      </c>
      <c r="K1189" s="5" t="s">
        <v>6076</v>
      </c>
    </row>
    <row r="1190" customFormat="false" ht="23.85" hidden="false" customHeight="false" outlineLevel="0" collapsed="false">
      <c r="A1190" s="5" t="s">
        <v>6077</v>
      </c>
      <c r="B1190" s="2" t="s">
        <v>6078</v>
      </c>
      <c r="C1190" s="5" t="s">
        <v>2128</v>
      </c>
      <c r="D1190" s="5" t="s">
        <v>62</v>
      </c>
      <c r="E1190" s="5" t="n">
        <v>9</v>
      </c>
      <c r="F1190" s="5" t="s">
        <v>481</v>
      </c>
      <c r="G1190" s="2" t="s">
        <v>6042</v>
      </c>
      <c r="H1190" s="5" t="s">
        <v>8332</v>
      </c>
      <c r="I1190" s="5" t="s">
        <v>4760</v>
      </c>
      <c r="J1190" s="5" t="s">
        <v>481</v>
      </c>
      <c r="K1190" s="5" t="s">
        <v>6083</v>
      </c>
    </row>
    <row r="1191" customFormat="false" ht="23.85" hidden="false" customHeight="false" outlineLevel="0" collapsed="false">
      <c r="A1191" s="5" t="s">
        <v>6084</v>
      </c>
      <c r="B1191" s="2" t="s">
        <v>6085</v>
      </c>
      <c r="C1191" s="5" t="s">
        <v>2128</v>
      </c>
      <c r="D1191" s="5" t="s">
        <v>62</v>
      </c>
      <c r="E1191" s="5" t="n">
        <v>8</v>
      </c>
      <c r="F1191" s="5" t="s">
        <v>481</v>
      </c>
      <c r="G1191" s="2" t="s">
        <v>6042</v>
      </c>
      <c r="H1191" s="5" t="s">
        <v>8332</v>
      </c>
      <c r="I1191" s="5" t="s">
        <v>4760</v>
      </c>
      <c r="J1191" s="5" t="s">
        <v>481</v>
      </c>
      <c r="K1191" s="5" t="s">
        <v>6089</v>
      </c>
    </row>
    <row r="1192" customFormat="false" ht="23.85" hidden="false" customHeight="false" outlineLevel="0" collapsed="false">
      <c r="A1192" s="5" t="s">
        <v>11248</v>
      </c>
      <c r="B1192" s="2" t="s">
        <v>11249</v>
      </c>
      <c r="C1192" s="5" t="s">
        <v>2128</v>
      </c>
      <c r="D1192" s="5" t="s">
        <v>62</v>
      </c>
      <c r="E1192" s="5" t="n">
        <v>9</v>
      </c>
      <c r="F1192" s="5" t="s">
        <v>536</v>
      </c>
      <c r="G1192" s="2" t="s">
        <v>9976</v>
      </c>
      <c r="H1192" s="5" t="s">
        <v>8336</v>
      </c>
      <c r="I1192" s="5"/>
      <c r="J1192" s="5"/>
      <c r="K1192" s="5" t="s">
        <v>11250</v>
      </c>
    </row>
    <row r="1193" customFormat="false" ht="23.85" hidden="false" customHeight="false" outlineLevel="0" collapsed="false">
      <c r="A1193" s="5" t="s">
        <v>11251</v>
      </c>
      <c r="B1193" s="2" t="s">
        <v>11252</v>
      </c>
      <c r="C1193" s="5" t="s">
        <v>2128</v>
      </c>
      <c r="D1193" s="5" t="s">
        <v>62</v>
      </c>
      <c r="E1193" s="5" t="n">
        <v>5</v>
      </c>
      <c r="F1193" s="5" t="s">
        <v>536</v>
      </c>
      <c r="G1193" s="2" t="s">
        <v>9976</v>
      </c>
      <c r="H1193" s="5" t="s">
        <v>8336</v>
      </c>
      <c r="I1193" s="5"/>
      <c r="J1193" s="5"/>
      <c r="K1193" s="5" t="s">
        <v>11253</v>
      </c>
    </row>
    <row r="1194" customFormat="false" ht="15" hidden="false" customHeight="false" outlineLevel="0" collapsed="false">
      <c r="A1194" s="5" t="s">
        <v>11254</v>
      </c>
      <c r="B1194" s="2" t="s">
        <v>11255</v>
      </c>
      <c r="C1194" s="5" t="s">
        <v>2128</v>
      </c>
      <c r="D1194" s="5" t="s">
        <v>62</v>
      </c>
      <c r="E1194" s="5" t="n">
        <v>7</v>
      </c>
      <c r="F1194" s="5" t="s">
        <v>536</v>
      </c>
      <c r="G1194" s="2" t="s">
        <v>10709</v>
      </c>
      <c r="H1194" s="5" t="s">
        <v>8336</v>
      </c>
      <c r="I1194" s="5"/>
      <c r="J1194" s="5"/>
      <c r="K1194" s="5" t="s">
        <v>11256</v>
      </c>
    </row>
    <row r="1195" customFormat="false" ht="23.85" hidden="false" customHeight="false" outlineLevel="0" collapsed="false">
      <c r="A1195" s="5" t="s">
        <v>11257</v>
      </c>
      <c r="B1195" s="2" t="s">
        <v>11258</v>
      </c>
      <c r="C1195" s="5" t="s">
        <v>2128</v>
      </c>
      <c r="D1195" s="5" t="s">
        <v>62</v>
      </c>
      <c r="E1195" s="5" t="n">
        <v>9</v>
      </c>
      <c r="F1195" s="5" t="s">
        <v>536</v>
      </c>
      <c r="G1195" s="2" t="s">
        <v>9976</v>
      </c>
      <c r="H1195" s="5" t="s">
        <v>8336</v>
      </c>
      <c r="I1195" s="5"/>
      <c r="J1195" s="5"/>
      <c r="K1195" s="5" t="s">
        <v>11259</v>
      </c>
    </row>
    <row r="1196" customFormat="false" ht="23.85" hidden="false" customHeight="false" outlineLevel="0" collapsed="false">
      <c r="A1196" s="5" t="s">
        <v>11260</v>
      </c>
      <c r="B1196" s="2" t="s">
        <v>11261</v>
      </c>
      <c r="C1196" s="5" t="s">
        <v>2128</v>
      </c>
      <c r="D1196" s="5" t="s">
        <v>62</v>
      </c>
      <c r="E1196" s="5" t="n">
        <v>5</v>
      </c>
      <c r="F1196" s="5" t="s">
        <v>536</v>
      </c>
      <c r="G1196" s="2" t="s">
        <v>9976</v>
      </c>
      <c r="H1196" s="5" t="s">
        <v>8336</v>
      </c>
      <c r="I1196" s="5"/>
      <c r="J1196" s="5"/>
      <c r="K1196" s="5" t="s">
        <v>11262</v>
      </c>
    </row>
    <row r="1197" customFormat="false" ht="23.85" hidden="false" customHeight="false" outlineLevel="0" collapsed="false">
      <c r="A1197" s="5" t="s">
        <v>11263</v>
      </c>
      <c r="B1197" s="2" t="s">
        <v>11264</v>
      </c>
      <c r="C1197" s="5" t="s">
        <v>2128</v>
      </c>
      <c r="D1197" s="5" t="s">
        <v>62</v>
      </c>
      <c r="E1197" s="5" t="n">
        <v>9</v>
      </c>
      <c r="F1197" s="5" t="s">
        <v>536</v>
      </c>
      <c r="G1197" s="2" t="s">
        <v>9976</v>
      </c>
      <c r="H1197" s="5" t="s">
        <v>8336</v>
      </c>
      <c r="I1197" s="5"/>
      <c r="J1197" s="5"/>
      <c r="K1197" s="5" t="s">
        <v>11265</v>
      </c>
    </row>
    <row r="1198" customFormat="false" ht="23.85" hidden="false" customHeight="false" outlineLevel="0" collapsed="false">
      <c r="A1198" s="5" t="s">
        <v>11266</v>
      </c>
      <c r="B1198" s="2" t="s">
        <v>11267</v>
      </c>
      <c r="C1198" s="5" t="s">
        <v>2128</v>
      </c>
      <c r="D1198" s="5" t="s">
        <v>62</v>
      </c>
      <c r="E1198" s="5" t="n">
        <v>5</v>
      </c>
      <c r="F1198" s="5" t="s">
        <v>536</v>
      </c>
      <c r="G1198" s="2" t="s">
        <v>9976</v>
      </c>
      <c r="H1198" s="5" t="s">
        <v>8336</v>
      </c>
      <c r="I1198" s="5"/>
      <c r="J1198" s="5"/>
      <c r="K1198" s="5" t="s">
        <v>11268</v>
      </c>
    </row>
    <row r="1199" customFormat="false" ht="15" hidden="false" customHeight="false" outlineLevel="0" collapsed="false">
      <c r="A1199" s="5" t="s">
        <v>11269</v>
      </c>
      <c r="B1199" s="2" t="s">
        <v>11270</v>
      </c>
      <c r="C1199" s="5" t="s">
        <v>2128</v>
      </c>
      <c r="D1199" s="5" t="s">
        <v>62</v>
      </c>
      <c r="E1199" s="5" t="n">
        <v>7</v>
      </c>
      <c r="F1199" s="5" t="s">
        <v>536</v>
      </c>
      <c r="G1199" s="2" t="s">
        <v>10709</v>
      </c>
      <c r="H1199" s="5" t="s">
        <v>8336</v>
      </c>
      <c r="I1199" s="5"/>
      <c r="J1199" s="5"/>
      <c r="K1199" s="5" t="s">
        <v>11271</v>
      </c>
    </row>
    <row r="1200" customFormat="false" ht="15" hidden="false" customHeight="false" outlineLevel="0" collapsed="false">
      <c r="A1200" s="5" t="s">
        <v>11272</v>
      </c>
      <c r="B1200" s="2" t="s">
        <v>11273</v>
      </c>
      <c r="C1200" s="5" t="s">
        <v>2128</v>
      </c>
      <c r="D1200" s="5" t="s">
        <v>62</v>
      </c>
      <c r="E1200" s="5" t="n">
        <v>9</v>
      </c>
      <c r="F1200" s="5" t="s">
        <v>10719</v>
      </c>
      <c r="G1200" s="2" t="s">
        <v>11274</v>
      </c>
      <c r="H1200" s="5" t="s">
        <v>8336</v>
      </c>
      <c r="I1200" s="5"/>
      <c r="J1200" s="5"/>
      <c r="K1200" s="5" t="s">
        <v>11275</v>
      </c>
    </row>
    <row r="1201" customFormat="false" ht="15" hidden="false" customHeight="false" outlineLevel="0" collapsed="false">
      <c r="A1201" s="5" t="s">
        <v>11276</v>
      </c>
      <c r="B1201" s="2" t="s">
        <v>11277</v>
      </c>
      <c r="C1201" s="5" t="s">
        <v>2128</v>
      </c>
      <c r="D1201" s="5" t="s">
        <v>62</v>
      </c>
      <c r="E1201" s="5" t="n">
        <v>5</v>
      </c>
      <c r="F1201" s="5" t="s">
        <v>10719</v>
      </c>
      <c r="G1201" s="2" t="s">
        <v>11274</v>
      </c>
      <c r="H1201" s="5" t="s">
        <v>8336</v>
      </c>
      <c r="I1201" s="5"/>
      <c r="J1201" s="5"/>
      <c r="K1201" s="5" t="s">
        <v>11278</v>
      </c>
    </row>
    <row r="1202" customFormat="false" ht="23.85" hidden="false" customHeight="false" outlineLevel="0" collapsed="false">
      <c r="A1202" s="5" t="s">
        <v>11279</v>
      </c>
      <c r="B1202" s="2" t="s">
        <v>11280</v>
      </c>
      <c r="C1202" s="5" t="s">
        <v>2128</v>
      </c>
      <c r="D1202" s="5" t="s">
        <v>490</v>
      </c>
      <c r="E1202" s="5" t="n">
        <v>6</v>
      </c>
      <c r="F1202" s="5" t="s">
        <v>67</v>
      </c>
      <c r="G1202" s="2" t="s">
        <v>11281</v>
      </c>
      <c r="H1202" s="5" t="s">
        <v>8336</v>
      </c>
      <c r="I1202" s="5"/>
      <c r="J1202" s="5"/>
      <c r="K1202" s="5" t="s">
        <v>11282</v>
      </c>
    </row>
    <row r="1203" customFormat="false" ht="23.85" hidden="false" customHeight="false" outlineLevel="0" collapsed="false">
      <c r="A1203" s="5" t="s">
        <v>11283</v>
      </c>
      <c r="B1203" s="2" t="s">
        <v>11284</v>
      </c>
      <c r="C1203" s="5" t="s">
        <v>2128</v>
      </c>
      <c r="D1203" s="5" t="s">
        <v>62</v>
      </c>
      <c r="E1203" s="5" t="n">
        <v>9</v>
      </c>
      <c r="F1203" s="5" t="s">
        <v>536</v>
      </c>
      <c r="G1203" s="2" t="s">
        <v>9976</v>
      </c>
      <c r="H1203" s="5" t="s">
        <v>8336</v>
      </c>
      <c r="I1203" s="5"/>
      <c r="J1203" s="5"/>
      <c r="K1203" s="5" t="s">
        <v>11285</v>
      </c>
    </row>
    <row r="1204" customFormat="false" ht="23.85" hidden="false" customHeight="false" outlineLevel="0" collapsed="false">
      <c r="A1204" s="5" t="s">
        <v>11286</v>
      </c>
      <c r="B1204" s="2" t="s">
        <v>11287</v>
      </c>
      <c r="C1204" s="5" t="s">
        <v>2128</v>
      </c>
      <c r="D1204" s="5" t="s">
        <v>62</v>
      </c>
      <c r="E1204" s="5" t="n">
        <v>5</v>
      </c>
      <c r="F1204" s="5" t="s">
        <v>536</v>
      </c>
      <c r="G1204" s="2" t="s">
        <v>9976</v>
      </c>
      <c r="H1204" s="5" t="s">
        <v>8336</v>
      </c>
      <c r="I1204" s="5"/>
      <c r="J1204" s="5"/>
      <c r="K1204" s="5" t="s">
        <v>11288</v>
      </c>
    </row>
    <row r="1205" customFormat="false" ht="23.85" hidden="false" customHeight="false" outlineLevel="0" collapsed="false">
      <c r="A1205" s="5" t="s">
        <v>11289</v>
      </c>
      <c r="B1205" s="2" t="s">
        <v>11290</v>
      </c>
      <c r="C1205" s="5" t="s">
        <v>2128</v>
      </c>
      <c r="D1205" s="5" t="s">
        <v>62</v>
      </c>
      <c r="E1205" s="5" t="n">
        <v>9</v>
      </c>
      <c r="F1205" s="5" t="s">
        <v>536</v>
      </c>
      <c r="G1205" s="2" t="s">
        <v>9976</v>
      </c>
      <c r="H1205" s="5" t="s">
        <v>8336</v>
      </c>
      <c r="I1205" s="5"/>
      <c r="J1205" s="5"/>
      <c r="K1205" s="5" t="s">
        <v>11291</v>
      </c>
    </row>
    <row r="1206" customFormat="false" ht="23.85" hidden="false" customHeight="false" outlineLevel="0" collapsed="false">
      <c r="A1206" s="5" t="s">
        <v>11292</v>
      </c>
      <c r="B1206" s="2" t="s">
        <v>11293</v>
      </c>
      <c r="C1206" s="5" t="s">
        <v>2128</v>
      </c>
      <c r="D1206" s="5" t="s">
        <v>62</v>
      </c>
      <c r="E1206" s="5" t="n">
        <v>5</v>
      </c>
      <c r="F1206" s="5" t="s">
        <v>536</v>
      </c>
      <c r="G1206" s="2" t="s">
        <v>9976</v>
      </c>
      <c r="H1206" s="5" t="s">
        <v>8336</v>
      </c>
      <c r="I1206" s="5"/>
      <c r="J1206" s="5"/>
      <c r="K1206" s="5" t="s">
        <v>11294</v>
      </c>
    </row>
    <row r="1207" customFormat="false" ht="23.85" hidden="false" customHeight="false" outlineLevel="0" collapsed="false">
      <c r="A1207" s="5" t="s">
        <v>11295</v>
      </c>
      <c r="B1207" s="2" t="s">
        <v>11296</v>
      </c>
      <c r="C1207" s="5" t="s">
        <v>2128</v>
      </c>
      <c r="D1207" s="5" t="s">
        <v>62</v>
      </c>
      <c r="E1207" s="5" t="n">
        <v>9</v>
      </c>
      <c r="F1207" s="5" t="s">
        <v>536</v>
      </c>
      <c r="G1207" s="2" t="s">
        <v>9976</v>
      </c>
      <c r="H1207" s="5" t="s">
        <v>8336</v>
      </c>
      <c r="I1207" s="5"/>
      <c r="J1207" s="5"/>
      <c r="K1207" s="5" t="s">
        <v>11297</v>
      </c>
    </row>
    <row r="1208" customFormat="false" ht="23.85" hidden="false" customHeight="false" outlineLevel="0" collapsed="false">
      <c r="A1208" s="5" t="s">
        <v>11298</v>
      </c>
      <c r="B1208" s="2" t="s">
        <v>11299</v>
      </c>
      <c r="C1208" s="5" t="s">
        <v>2128</v>
      </c>
      <c r="D1208" s="5" t="s">
        <v>62</v>
      </c>
      <c r="E1208" s="5" t="n">
        <v>5</v>
      </c>
      <c r="F1208" s="5" t="s">
        <v>536</v>
      </c>
      <c r="G1208" s="2" t="s">
        <v>9976</v>
      </c>
      <c r="H1208" s="5" t="s">
        <v>8336</v>
      </c>
      <c r="I1208" s="5"/>
      <c r="J1208" s="5"/>
      <c r="K1208" s="5" t="s">
        <v>11300</v>
      </c>
    </row>
    <row r="1209" customFormat="false" ht="15" hidden="false" customHeight="false" outlineLevel="0" collapsed="false">
      <c r="A1209" s="5" t="s">
        <v>11301</v>
      </c>
      <c r="B1209" s="2" t="s">
        <v>11302</v>
      </c>
      <c r="C1209" s="5" t="s">
        <v>2128</v>
      </c>
      <c r="D1209" s="5" t="s">
        <v>62</v>
      </c>
      <c r="E1209" s="5" t="n">
        <v>7</v>
      </c>
      <c r="F1209" s="5" t="s">
        <v>536</v>
      </c>
      <c r="G1209" s="2" t="s">
        <v>9240</v>
      </c>
      <c r="H1209" s="5" t="s">
        <v>8336</v>
      </c>
      <c r="I1209" s="5"/>
      <c r="J1209" s="5"/>
      <c r="K1209" s="5" t="s">
        <v>11303</v>
      </c>
    </row>
    <row r="1210" customFormat="false" ht="15" hidden="false" customHeight="false" outlineLevel="0" collapsed="false">
      <c r="A1210" s="5" t="s">
        <v>11304</v>
      </c>
      <c r="B1210" s="2" t="s">
        <v>11305</v>
      </c>
      <c r="C1210" s="5" t="s">
        <v>2128</v>
      </c>
      <c r="D1210" s="5" t="s">
        <v>62</v>
      </c>
      <c r="E1210" s="5" t="n">
        <v>4</v>
      </c>
      <c r="F1210" s="5" t="s">
        <v>9239</v>
      </c>
      <c r="G1210" s="2" t="s">
        <v>9240</v>
      </c>
      <c r="H1210" s="5" t="s">
        <v>8336</v>
      </c>
      <c r="I1210" s="5"/>
      <c r="J1210" s="5"/>
      <c r="K1210" s="5" t="s">
        <v>11306</v>
      </c>
    </row>
    <row r="1211" customFormat="false" ht="23.85" hidden="false" customHeight="false" outlineLevel="0" collapsed="false">
      <c r="A1211" s="5" t="s">
        <v>11307</v>
      </c>
      <c r="B1211" s="2" t="s">
        <v>11308</v>
      </c>
      <c r="C1211" s="5" t="s">
        <v>2128</v>
      </c>
      <c r="D1211" s="5" t="s">
        <v>62</v>
      </c>
      <c r="E1211" s="5" t="n">
        <v>7</v>
      </c>
      <c r="F1211" s="5" t="s">
        <v>9239</v>
      </c>
      <c r="G1211" s="2" t="s">
        <v>9976</v>
      </c>
      <c r="H1211" s="5" t="s">
        <v>8336</v>
      </c>
      <c r="I1211" s="5"/>
      <c r="J1211" s="5"/>
      <c r="K1211" s="5" t="s">
        <v>11309</v>
      </c>
    </row>
    <row r="1212" customFormat="false" ht="23.85" hidden="false" customHeight="false" outlineLevel="0" collapsed="false">
      <c r="A1212" s="5" t="s">
        <v>11310</v>
      </c>
      <c r="B1212" s="2" t="s">
        <v>11311</v>
      </c>
      <c r="C1212" s="5" t="s">
        <v>2128</v>
      </c>
      <c r="D1212" s="5" t="s">
        <v>62</v>
      </c>
      <c r="E1212" s="5" t="n">
        <v>9</v>
      </c>
      <c r="F1212" s="5" t="s">
        <v>536</v>
      </c>
      <c r="G1212" s="2" t="s">
        <v>9976</v>
      </c>
      <c r="H1212" s="5" t="s">
        <v>8336</v>
      </c>
      <c r="I1212" s="5"/>
      <c r="J1212" s="5"/>
      <c r="K1212" s="5" t="s">
        <v>11312</v>
      </c>
    </row>
    <row r="1213" customFormat="false" ht="15" hidden="false" customHeight="false" outlineLevel="0" collapsed="false">
      <c r="A1213" s="5" t="s">
        <v>11313</v>
      </c>
      <c r="B1213" s="2" t="s">
        <v>11314</v>
      </c>
      <c r="C1213" s="5" t="s">
        <v>2128</v>
      </c>
      <c r="D1213" s="5" t="s">
        <v>62</v>
      </c>
      <c r="E1213" s="5" t="n">
        <v>7</v>
      </c>
      <c r="F1213" s="5" t="s">
        <v>536</v>
      </c>
      <c r="G1213" s="2" t="s">
        <v>11315</v>
      </c>
      <c r="H1213" s="5" t="s">
        <v>8336</v>
      </c>
      <c r="I1213" s="5"/>
      <c r="J1213" s="5"/>
      <c r="K1213" s="5" t="s">
        <v>11316</v>
      </c>
    </row>
    <row r="1214" customFormat="false" ht="15" hidden="false" customHeight="false" outlineLevel="0" collapsed="false">
      <c r="A1214" s="5" t="s">
        <v>11317</v>
      </c>
      <c r="B1214" s="2" t="s">
        <v>11318</v>
      </c>
      <c r="C1214" s="5" t="s">
        <v>2128</v>
      </c>
      <c r="D1214" s="5" t="s">
        <v>62</v>
      </c>
      <c r="E1214" s="5" t="n">
        <v>7</v>
      </c>
      <c r="F1214" s="5" t="s">
        <v>536</v>
      </c>
      <c r="G1214" s="2" t="s">
        <v>11315</v>
      </c>
      <c r="H1214" s="5" t="s">
        <v>8336</v>
      </c>
      <c r="I1214" s="5"/>
      <c r="J1214" s="5"/>
      <c r="K1214" s="5" t="s">
        <v>11319</v>
      </c>
    </row>
    <row r="1215" customFormat="false" ht="15" hidden="false" customHeight="false" outlineLevel="0" collapsed="false">
      <c r="A1215" s="5" t="s">
        <v>11320</v>
      </c>
      <c r="B1215" s="2" t="s">
        <v>11321</v>
      </c>
      <c r="C1215" s="5" t="s">
        <v>2128</v>
      </c>
      <c r="D1215" s="5" t="s">
        <v>62</v>
      </c>
      <c r="E1215" s="5" t="n">
        <v>9</v>
      </c>
      <c r="F1215" s="5" t="s">
        <v>536</v>
      </c>
      <c r="G1215" s="2" t="s">
        <v>11315</v>
      </c>
      <c r="H1215" s="5" t="s">
        <v>8336</v>
      </c>
      <c r="I1215" s="5"/>
      <c r="J1215" s="5"/>
      <c r="K1215" s="5" t="s">
        <v>11322</v>
      </c>
    </row>
    <row r="1216" customFormat="false" ht="15" hidden="false" customHeight="false" outlineLevel="0" collapsed="false">
      <c r="A1216" s="5" t="s">
        <v>11323</v>
      </c>
      <c r="B1216" s="2" t="s">
        <v>11324</v>
      </c>
      <c r="C1216" s="5" t="s">
        <v>2128</v>
      </c>
      <c r="D1216" s="5" t="s">
        <v>62</v>
      </c>
      <c r="E1216" s="5" t="n">
        <v>9</v>
      </c>
      <c r="F1216" s="5" t="s">
        <v>8908</v>
      </c>
      <c r="G1216" s="2" t="s">
        <v>11315</v>
      </c>
      <c r="H1216" s="5" t="s">
        <v>8336</v>
      </c>
      <c r="I1216" s="5"/>
      <c r="J1216" s="5"/>
      <c r="K1216" s="5" t="s">
        <v>11325</v>
      </c>
    </row>
    <row r="1217" customFormat="false" ht="15" hidden="false" customHeight="false" outlineLevel="0" collapsed="false">
      <c r="A1217" s="5" t="s">
        <v>11326</v>
      </c>
      <c r="B1217" s="2" t="s">
        <v>11327</v>
      </c>
      <c r="C1217" s="5" t="s">
        <v>2128</v>
      </c>
      <c r="D1217" s="5" t="s">
        <v>490</v>
      </c>
      <c r="E1217" s="5" t="n">
        <v>8</v>
      </c>
      <c r="F1217" s="5" t="s">
        <v>536</v>
      </c>
      <c r="G1217" s="2" t="s">
        <v>11315</v>
      </c>
      <c r="H1217" s="5" t="s">
        <v>8336</v>
      </c>
      <c r="I1217" s="5"/>
      <c r="J1217" s="5"/>
      <c r="K1217" s="5" t="s">
        <v>11328</v>
      </c>
    </row>
    <row r="1218" customFormat="false" ht="15" hidden="false" customHeight="false" outlineLevel="0" collapsed="false">
      <c r="A1218" s="5" t="s">
        <v>11329</v>
      </c>
      <c r="B1218" s="2" t="s">
        <v>11330</v>
      </c>
      <c r="C1218" s="5" t="s">
        <v>2128</v>
      </c>
      <c r="D1218" s="5" t="s">
        <v>490</v>
      </c>
      <c r="E1218" s="5" t="n">
        <v>8</v>
      </c>
      <c r="F1218" s="5" t="s">
        <v>8908</v>
      </c>
      <c r="G1218" s="2" t="s">
        <v>11315</v>
      </c>
      <c r="H1218" s="5" t="s">
        <v>8336</v>
      </c>
      <c r="I1218" s="5"/>
      <c r="J1218" s="5"/>
      <c r="K1218" s="5" t="s">
        <v>11331</v>
      </c>
    </row>
    <row r="1219" customFormat="false" ht="23.85" hidden="false" customHeight="false" outlineLevel="0" collapsed="false">
      <c r="A1219" s="5" t="s">
        <v>1030</v>
      </c>
      <c r="B1219" s="2" t="s">
        <v>1031</v>
      </c>
      <c r="C1219" s="5" t="s">
        <v>488</v>
      </c>
      <c r="D1219" s="5" t="s">
        <v>62</v>
      </c>
      <c r="E1219" s="5" t="n">
        <v>7</v>
      </c>
      <c r="F1219" s="5" t="s">
        <v>100</v>
      </c>
      <c r="G1219" s="2" t="s">
        <v>8682</v>
      </c>
      <c r="H1219" s="5" t="s">
        <v>8332</v>
      </c>
      <c r="I1219" s="5" t="s">
        <v>60</v>
      </c>
      <c r="J1219" s="5" t="s">
        <v>100</v>
      </c>
      <c r="K1219" s="5" t="s">
        <v>1036</v>
      </c>
    </row>
    <row r="1220" customFormat="false" ht="15" hidden="false" customHeight="false" outlineLevel="0" collapsed="false">
      <c r="A1220" s="5" t="s">
        <v>11332</v>
      </c>
      <c r="B1220" s="2" t="s">
        <v>11333</v>
      </c>
      <c r="C1220" s="5" t="s">
        <v>2128</v>
      </c>
      <c r="D1220" s="5" t="s">
        <v>62</v>
      </c>
      <c r="E1220" s="5" t="n">
        <v>9</v>
      </c>
      <c r="F1220" s="5" t="s">
        <v>413</v>
      </c>
      <c r="G1220" s="2" t="s">
        <v>741</v>
      </c>
      <c r="H1220" s="5" t="s">
        <v>8336</v>
      </c>
      <c r="I1220" s="5"/>
      <c r="J1220" s="5"/>
      <c r="K1220" s="5" t="s">
        <v>11334</v>
      </c>
    </row>
    <row r="1221" customFormat="false" ht="15" hidden="false" customHeight="false" outlineLevel="0" collapsed="false">
      <c r="A1221" s="5" t="s">
        <v>11335</v>
      </c>
      <c r="B1221" s="2" t="s">
        <v>11336</v>
      </c>
      <c r="C1221" s="5" t="s">
        <v>2128</v>
      </c>
      <c r="D1221" s="5" t="s">
        <v>62</v>
      </c>
      <c r="E1221" s="5" t="n">
        <v>7</v>
      </c>
      <c r="F1221" s="5" t="s">
        <v>9557</v>
      </c>
      <c r="G1221" s="2" t="s">
        <v>8243</v>
      </c>
      <c r="H1221" s="5" t="s">
        <v>8336</v>
      </c>
      <c r="I1221" s="5"/>
      <c r="J1221" s="5"/>
      <c r="K1221" s="5" t="s">
        <v>11337</v>
      </c>
    </row>
    <row r="1222" customFormat="false" ht="15" hidden="false" customHeight="false" outlineLevel="0" collapsed="false">
      <c r="A1222" s="5" t="s">
        <v>11338</v>
      </c>
      <c r="B1222" s="2" t="s">
        <v>11339</v>
      </c>
      <c r="C1222" s="5" t="s">
        <v>2128</v>
      </c>
      <c r="D1222" s="5" t="s">
        <v>62</v>
      </c>
      <c r="E1222" s="5" t="n">
        <v>9</v>
      </c>
      <c r="F1222" s="5" t="s">
        <v>536</v>
      </c>
      <c r="G1222" s="2" t="s">
        <v>9240</v>
      </c>
      <c r="H1222" s="5" t="s">
        <v>8336</v>
      </c>
      <c r="I1222" s="5"/>
      <c r="J1222" s="5"/>
      <c r="K1222" s="5" t="s">
        <v>11340</v>
      </c>
    </row>
    <row r="1223" customFormat="false" ht="23.85" hidden="false" customHeight="false" outlineLevel="0" collapsed="false">
      <c r="A1223" s="5" t="s">
        <v>11341</v>
      </c>
      <c r="B1223" s="2" t="s">
        <v>11342</v>
      </c>
      <c r="C1223" s="5" t="s">
        <v>2128</v>
      </c>
      <c r="D1223" s="5" t="s">
        <v>62</v>
      </c>
      <c r="E1223" s="5" t="n">
        <v>7</v>
      </c>
      <c r="F1223" s="5" t="s">
        <v>1210</v>
      </c>
      <c r="G1223" s="2" t="s">
        <v>11343</v>
      </c>
      <c r="H1223" s="5" t="s">
        <v>8336</v>
      </c>
      <c r="I1223" s="5"/>
      <c r="J1223" s="5"/>
      <c r="K1223" s="5" t="s">
        <v>11344</v>
      </c>
    </row>
    <row r="1224" customFormat="false" ht="15" hidden="false" customHeight="false" outlineLevel="0" collapsed="false">
      <c r="A1224" s="5" t="s">
        <v>11345</v>
      </c>
      <c r="B1224" s="2" t="s">
        <v>11346</v>
      </c>
      <c r="C1224" s="5" t="s">
        <v>2128</v>
      </c>
      <c r="D1224" s="5" t="s">
        <v>490</v>
      </c>
      <c r="E1224" s="5" t="n">
        <v>7</v>
      </c>
      <c r="F1224" s="5" t="s">
        <v>9239</v>
      </c>
      <c r="G1224" s="2" t="s">
        <v>2376</v>
      </c>
      <c r="H1224" s="5" t="s">
        <v>8336</v>
      </c>
      <c r="I1224" s="5"/>
      <c r="J1224" s="5"/>
      <c r="K1224" s="5" t="s">
        <v>11347</v>
      </c>
    </row>
    <row r="1225" customFormat="false" ht="35.05" hidden="false" customHeight="false" outlineLevel="0" collapsed="false">
      <c r="A1225" s="5" t="s">
        <v>11348</v>
      </c>
      <c r="B1225" s="2" t="s">
        <v>11349</v>
      </c>
      <c r="C1225" s="5" t="s">
        <v>2128</v>
      </c>
      <c r="D1225" s="5" t="s">
        <v>490</v>
      </c>
      <c r="E1225" s="5" t="n">
        <v>7</v>
      </c>
      <c r="F1225" s="5" t="s">
        <v>10470</v>
      </c>
      <c r="G1225" s="2" t="s">
        <v>9927</v>
      </c>
      <c r="H1225" s="5" t="s">
        <v>8336</v>
      </c>
      <c r="I1225" s="5"/>
      <c r="J1225" s="5"/>
      <c r="K1225" s="5" t="s">
        <v>11350</v>
      </c>
    </row>
    <row r="1226" customFormat="false" ht="35.05" hidden="false" customHeight="false" outlineLevel="0" collapsed="false">
      <c r="A1226" s="5" t="s">
        <v>11351</v>
      </c>
      <c r="B1226" s="2" t="s">
        <v>11352</v>
      </c>
      <c r="C1226" s="5" t="s">
        <v>2128</v>
      </c>
      <c r="D1226" s="5" t="s">
        <v>490</v>
      </c>
      <c r="E1226" s="5" t="n">
        <v>7</v>
      </c>
      <c r="F1226" s="5" t="s">
        <v>10470</v>
      </c>
      <c r="G1226" s="2" t="s">
        <v>9927</v>
      </c>
      <c r="H1226" s="5" t="s">
        <v>8336</v>
      </c>
      <c r="I1226" s="5"/>
      <c r="J1226" s="5"/>
      <c r="K1226" s="5" t="s">
        <v>11353</v>
      </c>
    </row>
    <row r="1227" customFormat="false" ht="15" hidden="false" customHeight="false" outlineLevel="0" collapsed="false">
      <c r="A1227" s="5" t="s">
        <v>11354</v>
      </c>
      <c r="B1227" s="2" t="s">
        <v>11355</v>
      </c>
      <c r="C1227" s="5" t="s">
        <v>2128</v>
      </c>
      <c r="D1227" s="5" t="s">
        <v>490</v>
      </c>
      <c r="E1227" s="5" t="n">
        <v>7</v>
      </c>
      <c r="F1227" s="5" t="s">
        <v>9239</v>
      </c>
      <c r="G1227" s="2" t="s">
        <v>2376</v>
      </c>
      <c r="H1227" s="5" t="s">
        <v>8336</v>
      </c>
      <c r="I1227" s="5"/>
      <c r="J1227" s="5"/>
      <c r="K1227" s="5" t="s">
        <v>11356</v>
      </c>
    </row>
    <row r="1228" customFormat="false" ht="23.85" hidden="false" customHeight="false" outlineLevel="0" collapsed="false">
      <c r="A1228" s="5" t="s">
        <v>11357</v>
      </c>
      <c r="B1228" s="2" t="s">
        <v>11358</v>
      </c>
      <c r="C1228" s="5" t="s">
        <v>2128</v>
      </c>
      <c r="D1228" s="5" t="s">
        <v>62</v>
      </c>
      <c r="E1228" s="5" t="n">
        <v>5</v>
      </c>
      <c r="F1228" s="5" t="s">
        <v>413</v>
      </c>
      <c r="G1228" s="2" t="s">
        <v>11359</v>
      </c>
      <c r="H1228" s="5" t="s">
        <v>8336</v>
      </c>
      <c r="I1228" s="5"/>
      <c r="J1228" s="5"/>
      <c r="K1228" s="5" t="s">
        <v>11360</v>
      </c>
    </row>
    <row r="1229" customFormat="false" ht="113.4" hidden="false" customHeight="false" outlineLevel="0" collapsed="false">
      <c r="A1229" s="5" t="s">
        <v>11361</v>
      </c>
      <c r="B1229" s="2" t="s">
        <v>11362</v>
      </c>
      <c r="C1229" s="5" t="s">
        <v>2128</v>
      </c>
      <c r="D1229" s="5" t="s">
        <v>62</v>
      </c>
      <c r="E1229" s="5" t="n">
        <v>9</v>
      </c>
      <c r="F1229" s="5" t="s">
        <v>413</v>
      </c>
      <c r="G1229" s="2" t="s">
        <v>10530</v>
      </c>
      <c r="H1229" s="5" t="s">
        <v>8336</v>
      </c>
      <c r="I1229" s="5"/>
      <c r="J1229" s="5"/>
      <c r="K1229" s="5" t="s">
        <v>11363</v>
      </c>
    </row>
    <row r="1230" customFormat="false" ht="23.85" hidden="false" customHeight="false" outlineLevel="0" collapsed="false">
      <c r="A1230" s="5" t="s">
        <v>11364</v>
      </c>
      <c r="B1230" s="2" t="s">
        <v>11365</v>
      </c>
      <c r="C1230" s="5" t="s">
        <v>2128</v>
      </c>
      <c r="D1230" s="5" t="s">
        <v>62</v>
      </c>
      <c r="E1230" s="5" t="n">
        <v>9</v>
      </c>
      <c r="F1230" s="5" t="s">
        <v>413</v>
      </c>
      <c r="G1230" s="2" t="s">
        <v>8682</v>
      </c>
      <c r="H1230" s="5" t="s">
        <v>8336</v>
      </c>
      <c r="I1230" s="5"/>
      <c r="J1230" s="5"/>
      <c r="K1230" s="5" t="s">
        <v>11366</v>
      </c>
    </row>
    <row r="1231" customFormat="false" ht="15" hidden="false" customHeight="false" outlineLevel="0" collapsed="false">
      <c r="A1231" s="5" t="s">
        <v>11367</v>
      </c>
      <c r="B1231" s="2" t="s">
        <v>11368</v>
      </c>
      <c r="C1231" s="5" t="s">
        <v>2128</v>
      </c>
      <c r="D1231" s="5" t="s">
        <v>62</v>
      </c>
      <c r="E1231" s="5" t="n">
        <v>7</v>
      </c>
      <c r="F1231" s="5" t="s">
        <v>9557</v>
      </c>
      <c r="G1231" s="2" t="s">
        <v>8243</v>
      </c>
      <c r="H1231" s="5" t="s">
        <v>8336</v>
      </c>
      <c r="I1231" s="5"/>
      <c r="J1231" s="5"/>
      <c r="K1231" s="5" t="s">
        <v>11369</v>
      </c>
    </row>
    <row r="1232" customFormat="false" ht="15" hidden="false" customHeight="false" outlineLevel="0" collapsed="false">
      <c r="A1232" s="5" t="s">
        <v>11370</v>
      </c>
      <c r="B1232" s="2" t="s">
        <v>11371</v>
      </c>
      <c r="C1232" s="5" t="s">
        <v>2128</v>
      </c>
      <c r="D1232" s="5" t="s">
        <v>62</v>
      </c>
      <c r="E1232" s="5" t="n">
        <v>7</v>
      </c>
      <c r="F1232" s="5" t="s">
        <v>9557</v>
      </c>
      <c r="G1232" s="2" t="s">
        <v>8243</v>
      </c>
      <c r="H1232" s="5" t="s">
        <v>8336</v>
      </c>
      <c r="I1232" s="5"/>
      <c r="J1232" s="5"/>
      <c r="K1232" s="5" t="s">
        <v>11372</v>
      </c>
    </row>
    <row r="1233" customFormat="false" ht="15" hidden="false" customHeight="false" outlineLevel="0" collapsed="false">
      <c r="A1233" s="5" t="s">
        <v>11373</v>
      </c>
      <c r="B1233" s="2" t="s">
        <v>11374</v>
      </c>
      <c r="C1233" s="5" t="s">
        <v>2128</v>
      </c>
      <c r="D1233" s="5" t="s">
        <v>62</v>
      </c>
      <c r="E1233" s="5" t="n">
        <v>7</v>
      </c>
      <c r="F1233" s="5" t="s">
        <v>277</v>
      </c>
      <c r="G1233" s="2" t="s">
        <v>8243</v>
      </c>
      <c r="H1233" s="5" t="s">
        <v>8336</v>
      </c>
      <c r="I1233" s="5"/>
      <c r="J1233" s="5"/>
      <c r="K1233" s="5" t="s">
        <v>11375</v>
      </c>
    </row>
    <row r="1234" customFormat="false" ht="15" hidden="false" customHeight="false" outlineLevel="0" collapsed="false">
      <c r="A1234" s="5" t="s">
        <v>11376</v>
      </c>
      <c r="B1234" s="2" t="s">
        <v>11377</v>
      </c>
      <c r="C1234" s="5" t="s">
        <v>2128</v>
      </c>
      <c r="D1234" s="5" t="s">
        <v>62</v>
      </c>
      <c r="E1234" s="5" t="n">
        <v>7</v>
      </c>
      <c r="F1234" s="5" t="s">
        <v>9557</v>
      </c>
      <c r="G1234" s="2" t="s">
        <v>8243</v>
      </c>
      <c r="H1234" s="5" t="s">
        <v>8336</v>
      </c>
      <c r="I1234" s="5"/>
      <c r="J1234" s="5"/>
      <c r="K1234" s="5" t="s">
        <v>11378</v>
      </c>
    </row>
    <row r="1235" customFormat="false" ht="15" hidden="false" customHeight="false" outlineLevel="0" collapsed="false">
      <c r="A1235" s="5" t="s">
        <v>11379</v>
      </c>
      <c r="B1235" s="2" t="s">
        <v>11380</v>
      </c>
      <c r="C1235" s="5" t="s">
        <v>2128</v>
      </c>
      <c r="D1235" s="5" t="s">
        <v>490</v>
      </c>
      <c r="E1235" s="5" t="n">
        <v>7</v>
      </c>
      <c r="F1235" s="5" t="s">
        <v>9557</v>
      </c>
      <c r="G1235" s="2" t="s">
        <v>8243</v>
      </c>
      <c r="H1235" s="5" t="s">
        <v>8336</v>
      </c>
      <c r="I1235" s="5"/>
      <c r="J1235" s="5"/>
      <c r="K1235" s="5" t="s">
        <v>11381</v>
      </c>
    </row>
    <row r="1236" customFormat="false" ht="15" hidden="false" customHeight="false" outlineLevel="0" collapsed="false">
      <c r="A1236" s="5" t="s">
        <v>11382</v>
      </c>
      <c r="B1236" s="2" t="s">
        <v>11383</v>
      </c>
      <c r="C1236" s="5" t="s">
        <v>2128</v>
      </c>
      <c r="D1236" s="5" t="s">
        <v>62</v>
      </c>
      <c r="E1236" s="5" t="n">
        <v>7</v>
      </c>
      <c r="F1236" s="5" t="s">
        <v>9557</v>
      </c>
      <c r="G1236" s="2" t="s">
        <v>8243</v>
      </c>
      <c r="H1236" s="5" t="s">
        <v>8336</v>
      </c>
      <c r="I1236" s="5"/>
      <c r="J1236" s="5"/>
      <c r="K1236" s="5" t="s">
        <v>11384</v>
      </c>
    </row>
    <row r="1237" customFormat="false" ht="15" hidden="false" customHeight="false" outlineLevel="0" collapsed="false">
      <c r="A1237" s="5" t="s">
        <v>11385</v>
      </c>
      <c r="B1237" s="2" t="s">
        <v>11386</v>
      </c>
      <c r="C1237" s="5" t="s">
        <v>2128</v>
      </c>
      <c r="D1237" s="5" t="s">
        <v>62</v>
      </c>
      <c r="E1237" s="5" t="n">
        <v>7</v>
      </c>
      <c r="F1237" s="5" t="s">
        <v>9557</v>
      </c>
      <c r="G1237" s="2" t="s">
        <v>8243</v>
      </c>
      <c r="H1237" s="5" t="s">
        <v>8336</v>
      </c>
      <c r="I1237" s="5"/>
      <c r="J1237" s="5"/>
      <c r="K1237" s="5" t="s">
        <v>11387</v>
      </c>
    </row>
    <row r="1238" customFormat="false" ht="23.85" hidden="false" customHeight="false" outlineLevel="0" collapsed="false">
      <c r="A1238" s="5" t="s">
        <v>11388</v>
      </c>
      <c r="B1238" s="2" t="s">
        <v>11389</v>
      </c>
      <c r="C1238" s="5" t="s">
        <v>2128</v>
      </c>
      <c r="D1238" s="5" t="s">
        <v>62</v>
      </c>
      <c r="E1238" s="5" t="n">
        <v>7</v>
      </c>
      <c r="F1238" s="5" t="s">
        <v>9557</v>
      </c>
      <c r="G1238" s="2" t="s">
        <v>1513</v>
      </c>
      <c r="H1238" s="5" t="s">
        <v>8336</v>
      </c>
      <c r="I1238" s="5"/>
      <c r="J1238" s="5"/>
      <c r="K1238" s="5" t="s">
        <v>11390</v>
      </c>
    </row>
    <row r="1239" customFormat="false" ht="15" hidden="false" customHeight="false" outlineLevel="0" collapsed="false">
      <c r="A1239" s="5" t="s">
        <v>11391</v>
      </c>
      <c r="B1239" s="2" t="s">
        <v>11392</v>
      </c>
      <c r="C1239" s="5" t="s">
        <v>2128</v>
      </c>
      <c r="D1239" s="5" t="s">
        <v>62</v>
      </c>
      <c r="E1239" s="5" t="n">
        <v>6</v>
      </c>
      <c r="F1239" s="5" t="s">
        <v>67</v>
      </c>
      <c r="G1239" s="2" t="s">
        <v>9394</v>
      </c>
      <c r="H1239" s="5" t="s">
        <v>8336</v>
      </c>
      <c r="I1239" s="5"/>
      <c r="J1239" s="5"/>
      <c r="K1239" s="5" t="s">
        <v>11393</v>
      </c>
    </row>
    <row r="1240" customFormat="false" ht="23.85" hidden="false" customHeight="false" outlineLevel="0" collapsed="false">
      <c r="A1240" s="5" t="s">
        <v>11394</v>
      </c>
      <c r="B1240" s="2" t="s">
        <v>11395</v>
      </c>
      <c r="C1240" s="5" t="s">
        <v>2128</v>
      </c>
      <c r="D1240" s="5" t="s">
        <v>62</v>
      </c>
      <c r="E1240" s="5" t="n">
        <v>6</v>
      </c>
      <c r="F1240" s="5" t="s">
        <v>67</v>
      </c>
      <c r="G1240" s="2" t="s">
        <v>11236</v>
      </c>
      <c r="H1240" s="5" t="s">
        <v>8336</v>
      </c>
      <c r="I1240" s="5"/>
      <c r="J1240" s="5"/>
      <c r="K1240" s="5" t="s">
        <v>11396</v>
      </c>
    </row>
    <row r="1241" customFormat="false" ht="23.85" hidden="false" customHeight="false" outlineLevel="0" collapsed="false">
      <c r="A1241" s="5" t="s">
        <v>11397</v>
      </c>
      <c r="B1241" s="2" t="s">
        <v>11398</v>
      </c>
      <c r="C1241" s="5" t="s">
        <v>2128</v>
      </c>
      <c r="D1241" s="5" t="s">
        <v>62</v>
      </c>
      <c r="E1241" s="5" t="n">
        <v>9</v>
      </c>
      <c r="F1241" s="5" t="s">
        <v>277</v>
      </c>
      <c r="G1241" s="2" t="s">
        <v>8682</v>
      </c>
      <c r="H1241" s="5" t="s">
        <v>8336</v>
      </c>
      <c r="I1241" s="5"/>
      <c r="J1241" s="5"/>
      <c r="K1241" s="5" t="s">
        <v>11399</v>
      </c>
    </row>
    <row r="1242" customFormat="false" ht="15" hidden="false" customHeight="false" outlineLevel="0" collapsed="false">
      <c r="A1242" s="5" t="s">
        <v>11400</v>
      </c>
      <c r="B1242" s="2" t="s">
        <v>11401</v>
      </c>
      <c r="C1242" s="5" t="s">
        <v>2128</v>
      </c>
      <c r="D1242" s="5" t="s">
        <v>62</v>
      </c>
      <c r="E1242" s="5" t="n">
        <v>5</v>
      </c>
      <c r="F1242" s="5" t="s">
        <v>536</v>
      </c>
      <c r="G1242" s="2" t="s">
        <v>10769</v>
      </c>
      <c r="H1242" s="5" t="s">
        <v>8336</v>
      </c>
      <c r="I1242" s="5"/>
      <c r="J1242" s="5"/>
      <c r="K1242" s="5" t="s">
        <v>11402</v>
      </c>
    </row>
    <row r="1243" customFormat="false" ht="15" hidden="false" customHeight="false" outlineLevel="0" collapsed="false">
      <c r="A1243" s="5" t="s">
        <v>11403</v>
      </c>
      <c r="B1243" s="2" t="s">
        <v>11404</v>
      </c>
      <c r="C1243" s="5" t="s">
        <v>2128</v>
      </c>
      <c r="D1243" s="5" t="s">
        <v>62</v>
      </c>
      <c r="E1243" s="5" t="n">
        <v>9</v>
      </c>
      <c r="F1243" s="5" t="s">
        <v>536</v>
      </c>
      <c r="G1243" s="2" t="s">
        <v>10769</v>
      </c>
      <c r="H1243" s="5" t="s">
        <v>8336</v>
      </c>
      <c r="I1243" s="5"/>
      <c r="J1243" s="5"/>
      <c r="K1243" s="5" t="s">
        <v>11405</v>
      </c>
    </row>
    <row r="1244" customFormat="false" ht="15" hidden="false" customHeight="false" outlineLevel="0" collapsed="false">
      <c r="A1244" s="5" t="s">
        <v>11406</v>
      </c>
      <c r="B1244" s="2" t="s">
        <v>11407</v>
      </c>
      <c r="C1244" s="5" t="s">
        <v>2128</v>
      </c>
      <c r="D1244" s="5" t="s">
        <v>62</v>
      </c>
      <c r="E1244" s="5" t="n">
        <v>9</v>
      </c>
      <c r="F1244" s="5" t="s">
        <v>536</v>
      </c>
      <c r="G1244" s="2" t="s">
        <v>10769</v>
      </c>
      <c r="H1244" s="5" t="s">
        <v>8336</v>
      </c>
      <c r="I1244" s="5"/>
      <c r="J1244" s="5"/>
      <c r="K1244" s="5" t="s">
        <v>11408</v>
      </c>
    </row>
    <row r="1245" customFormat="false" ht="15" hidden="false" customHeight="false" outlineLevel="0" collapsed="false">
      <c r="A1245" s="5" t="s">
        <v>11409</v>
      </c>
      <c r="B1245" s="2" t="s">
        <v>11410</v>
      </c>
      <c r="C1245" s="5" t="s">
        <v>2128</v>
      </c>
      <c r="D1245" s="5" t="s">
        <v>62</v>
      </c>
      <c r="E1245" s="5" t="n">
        <v>9</v>
      </c>
      <c r="F1245" s="5" t="s">
        <v>10719</v>
      </c>
      <c r="G1245" s="2" t="s">
        <v>9240</v>
      </c>
      <c r="H1245" s="5" t="s">
        <v>8336</v>
      </c>
      <c r="I1245" s="5"/>
      <c r="J1245" s="5"/>
      <c r="K1245" s="5" t="s">
        <v>11411</v>
      </c>
    </row>
    <row r="1246" customFormat="false" ht="15" hidden="false" customHeight="false" outlineLevel="0" collapsed="false">
      <c r="A1246" s="5" t="s">
        <v>11412</v>
      </c>
      <c r="B1246" s="2" t="s">
        <v>11413</v>
      </c>
      <c r="C1246" s="5" t="s">
        <v>2128</v>
      </c>
      <c r="D1246" s="5" t="s">
        <v>62</v>
      </c>
      <c r="E1246" s="5" t="n">
        <v>5</v>
      </c>
      <c r="F1246" s="5" t="s">
        <v>10719</v>
      </c>
      <c r="G1246" s="2" t="s">
        <v>9240</v>
      </c>
      <c r="H1246" s="5" t="s">
        <v>8336</v>
      </c>
      <c r="I1246" s="5"/>
      <c r="J1246" s="5"/>
      <c r="K1246" s="5" t="s">
        <v>11414</v>
      </c>
    </row>
    <row r="1247" customFormat="false" ht="15" hidden="false" customHeight="false" outlineLevel="0" collapsed="false">
      <c r="A1247" s="5" t="s">
        <v>11415</v>
      </c>
      <c r="B1247" s="2" t="s">
        <v>11416</v>
      </c>
      <c r="C1247" s="5" t="s">
        <v>2128</v>
      </c>
      <c r="D1247" s="5" t="s">
        <v>62</v>
      </c>
      <c r="E1247" s="5" t="n">
        <v>9</v>
      </c>
      <c r="F1247" s="5" t="s">
        <v>536</v>
      </c>
      <c r="G1247" s="2" t="s">
        <v>11274</v>
      </c>
      <c r="H1247" s="5" t="s">
        <v>8336</v>
      </c>
      <c r="I1247" s="5"/>
      <c r="J1247" s="5"/>
      <c r="K1247" s="5" t="s">
        <v>11417</v>
      </c>
    </row>
    <row r="1248" customFormat="false" ht="23.85" hidden="false" customHeight="false" outlineLevel="0" collapsed="false">
      <c r="A1248" s="5" t="s">
        <v>2763</v>
      </c>
      <c r="B1248" s="2" t="s">
        <v>2764</v>
      </c>
      <c r="C1248" s="5" t="s">
        <v>2128</v>
      </c>
      <c r="D1248" s="5" t="s">
        <v>62</v>
      </c>
      <c r="E1248" s="5" t="n">
        <v>8</v>
      </c>
      <c r="F1248" s="5" t="s">
        <v>100</v>
      </c>
      <c r="G1248" s="2" t="s">
        <v>184</v>
      </c>
      <c r="H1248" s="5" t="s">
        <v>8332</v>
      </c>
      <c r="I1248" s="5" t="s">
        <v>60</v>
      </c>
      <c r="J1248" s="5" t="s">
        <v>2319</v>
      </c>
      <c r="K1248" s="5" t="s">
        <v>2773</v>
      </c>
    </row>
    <row r="1249" customFormat="false" ht="15" hidden="false" customHeight="false" outlineLevel="0" collapsed="false">
      <c r="A1249" s="5" t="s">
        <v>11418</v>
      </c>
      <c r="B1249" s="2" t="s">
        <v>11419</v>
      </c>
      <c r="C1249" s="5" t="s">
        <v>2128</v>
      </c>
      <c r="D1249" s="5" t="s">
        <v>62</v>
      </c>
      <c r="E1249" s="5" t="n">
        <v>7</v>
      </c>
      <c r="F1249" s="5" t="s">
        <v>3005</v>
      </c>
      <c r="G1249" s="2" t="s">
        <v>9587</v>
      </c>
      <c r="H1249" s="5" t="s">
        <v>8336</v>
      </c>
      <c r="I1249" s="5"/>
      <c r="J1249" s="5"/>
      <c r="K1249" s="5" t="s">
        <v>11420</v>
      </c>
    </row>
    <row r="1250" customFormat="false" ht="79.85" hidden="false" customHeight="false" outlineLevel="0" collapsed="false">
      <c r="A1250" s="5" t="s">
        <v>6090</v>
      </c>
      <c r="B1250" s="2" t="s">
        <v>6091</v>
      </c>
      <c r="C1250" s="5" t="s">
        <v>2128</v>
      </c>
      <c r="D1250" s="5" t="s">
        <v>62</v>
      </c>
      <c r="E1250" s="5" t="n">
        <v>7</v>
      </c>
      <c r="F1250" s="5" t="s">
        <v>100</v>
      </c>
      <c r="G1250" s="2" t="s">
        <v>9213</v>
      </c>
      <c r="H1250" s="5" t="s">
        <v>8332</v>
      </c>
      <c r="I1250" s="5" t="s">
        <v>4760</v>
      </c>
      <c r="J1250" s="5" t="s">
        <v>100</v>
      </c>
      <c r="K1250" s="5" t="s">
        <v>6096</v>
      </c>
    </row>
    <row r="1251" customFormat="false" ht="15" hidden="false" customHeight="false" outlineLevel="0" collapsed="false">
      <c r="A1251" s="5" t="s">
        <v>2774</v>
      </c>
      <c r="B1251" s="2" t="s">
        <v>2775</v>
      </c>
      <c r="C1251" s="5" t="s">
        <v>2128</v>
      </c>
      <c r="D1251" s="5" t="s">
        <v>62</v>
      </c>
      <c r="E1251" s="5" t="n">
        <v>9</v>
      </c>
      <c r="F1251" s="5" t="s">
        <v>100</v>
      </c>
      <c r="G1251" s="2" t="s">
        <v>2777</v>
      </c>
      <c r="H1251" s="5" t="s">
        <v>8332</v>
      </c>
      <c r="I1251" s="5" t="s">
        <v>60</v>
      </c>
      <c r="J1251" s="5" t="s">
        <v>2776</v>
      </c>
      <c r="K1251" s="5" t="s">
        <v>2781</v>
      </c>
    </row>
    <row r="1252" customFormat="false" ht="35.05" hidden="false" customHeight="false" outlineLevel="0" collapsed="false">
      <c r="A1252" s="5" t="s">
        <v>11421</v>
      </c>
      <c r="B1252" s="2" t="s">
        <v>11422</v>
      </c>
      <c r="C1252" s="5" t="s">
        <v>2128</v>
      </c>
      <c r="D1252" s="5" t="s">
        <v>62</v>
      </c>
      <c r="E1252" s="5" t="n">
        <v>7</v>
      </c>
      <c r="F1252" s="5" t="s">
        <v>1814</v>
      </c>
      <c r="G1252" s="2" t="s">
        <v>9927</v>
      </c>
      <c r="H1252" s="5" t="s">
        <v>8336</v>
      </c>
      <c r="I1252" s="5"/>
      <c r="J1252" s="5"/>
      <c r="K1252" s="5" t="s">
        <v>11423</v>
      </c>
    </row>
    <row r="1253" customFormat="false" ht="15" hidden="false" customHeight="false" outlineLevel="0" collapsed="false">
      <c r="A1253" s="5" t="s">
        <v>11424</v>
      </c>
      <c r="B1253" s="2" t="s">
        <v>11425</v>
      </c>
      <c r="C1253" s="5" t="s">
        <v>2128</v>
      </c>
      <c r="D1253" s="5" t="s">
        <v>62</v>
      </c>
      <c r="E1253" s="5" t="n">
        <v>7</v>
      </c>
      <c r="F1253" s="5" t="s">
        <v>9196</v>
      </c>
      <c r="G1253" s="2" t="s">
        <v>11426</v>
      </c>
      <c r="H1253" s="5" t="s">
        <v>8336</v>
      </c>
      <c r="I1253" s="5"/>
      <c r="J1253" s="5"/>
      <c r="K1253" s="5" t="s">
        <v>11427</v>
      </c>
    </row>
    <row r="1254" customFormat="false" ht="15" hidden="false" customHeight="false" outlineLevel="0" collapsed="false">
      <c r="A1254" s="5" t="s">
        <v>11428</v>
      </c>
      <c r="B1254" s="2" t="s">
        <v>11429</v>
      </c>
      <c r="C1254" s="5" t="s">
        <v>2128</v>
      </c>
      <c r="D1254" s="5" t="s">
        <v>62</v>
      </c>
      <c r="E1254" s="5" t="n">
        <v>7</v>
      </c>
      <c r="F1254" s="5" t="s">
        <v>536</v>
      </c>
      <c r="G1254" s="2" t="s">
        <v>9360</v>
      </c>
      <c r="H1254" s="5" t="s">
        <v>8336</v>
      </c>
      <c r="I1254" s="5"/>
      <c r="J1254" s="5"/>
      <c r="K1254" s="5" t="s">
        <v>11430</v>
      </c>
    </row>
    <row r="1255" customFormat="false" ht="35.05" hidden="false" customHeight="false" outlineLevel="0" collapsed="false">
      <c r="A1255" s="5" t="s">
        <v>11431</v>
      </c>
      <c r="B1255" s="2" t="s">
        <v>11432</v>
      </c>
      <c r="C1255" s="5" t="s">
        <v>2128</v>
      </c>
      <c r="D1255" s="5" t="s">
        <v>62</v>
      </c>
      <c r="E1255" s="5" t="n">
        <v>7</v>
      </c>
      <c r="F1255" s="5" t="s">
        <v>1814</v>
      </c>
      <c r="G1255" s="2" t="s">
        <v>9927</v>
      </c>
      <c r="H1255" s="5" t="s">
        <v>8336</v>
      </c>
      <c r="I1255" s="5"/>
      <c r="J1255" s="5"/>
      <c r="K1255" s="5" t="s">
        <v>11433</v>
      </c>
    </row>
    <row r="1256" customFormat="false" ht="15" hidden="false" customHeight="false" outlineLevel="0" collapsed="false">
      <c r="A1256" s="5" t="s">
        <v>2782</v>
      </c>
      <c r="B1256" s="2" t="s">
        <v>2783</v>
      </c>
      <c r="C1256" s="5" t="s">
        <v>2128</v>
      </c>
      <c r="D1256" s="5" t="s">
        <v>62</v>
      </c>
      <c r="E1256" s="5" t="n">
        <v>7</v>
      </c>
      <c r="F1256" s="5" t="s">
        <v>544</v>
      </c>
      <c r="G1256" s="2" t="s">
        <v>2786</v>
      </c>
      <c r="H1256" s="5" t="s">
        <v>8332</v>
      </c>
      <c r="I1256" s="5" t="s">
        <v>60</v>
      </c>
      <c r="J1256" s="5" t="s">
        <v>2784</v>
      </c>
      <c r="K1256" s="5" t="s">
        <v>2791</v>
      </c>
    </row>
    <row r="1257" customFormat="false" ht="15" hidden="false" customHeight="false" outlineLevel="0" collapsed="false">
      <c r="A1257" s="5" t="s">
        <v>11434</v>
      </c>
      <c r="B1257" s="2" t="s">
        <v>11435</v>
      </c>
      <c r="C1257" s="5" t="s">
        <v>2128</v>
      </c>
      <c r="D1257" s="5" t="s">
        <v>62</v>
      </c>
      <c r="E1257" s="5" t="n">
        <v>7</v>
      </c>
      <c r="F1257" s="5" t="s">
        <v>536</v>
      </c>
      <c r="G1257" s="2" t="s">
        <v>11436</v>
      </c>
      <c r="H1257" s="5" t="s">
        <v>8336</v>
      </c>
      <c r="I1257" s="5"/>
      <c r="J1257" s="5"/>
      <c r="K1257" s="5" t="s">
        <v>11437</v>
      </c>
    </row>
    <row r="1258" customFormat="false" ht="35.05" hidden="false" customHeight="false" outlineLevel="0" collapsed="false">
      <c r="A1258" s="5" t="s">
        <v>11438</v>
      </c>
      <c r="B1258" s="2" t="s">
        <v>11439</v>
      </c>
      <c r="C1258" s="5" t="s">
        <v>2128</v>
      </c>
      <c r="D1258" s="5" t="s">
        <v>62</v>
      </c>
      <c r="E1258" s="5" t="n">
        <v>7</v>
      </c>
      <c r="F1258" s="5" t="s">
        <v>536</v>
      </c>
      <c r="G1258" s="2" t="s">
        <v>9927</v>
      </c>
      <c r="H1258" s="5" t="s">
        <v>8336</v>
      </c>
      <c r="I1258" s="5"/>
      <c r="J1258" s="5"/>
      <c r="K1258" s="5" t="s">
        <v>11440</v>
      </c>
    </row>
    <row r="1259" customFormat="false" ht="35.05" hidden="false" customHeight="false" outlineLevel="0" collapsed="false">
      <c r="A1259" s="5" t="s">
        <v>11441</v>
      </c>
      <c r="B1259" s="2" t="s">
        <v>11442</v>
      </c>
      <c r="C1259" s="5" t="s">
        <v>2128</v>
      </c>
      <c r="D1259" s="5" t="s">
        <v>62</v>
      </c>
      <c r="E1259" s="5" t="n">
        <v>7</v>
      </c>
      <c r="F1259" s="5" t="s">
        <v>536</v>
      </c>
      <c r="G1259" s="2" t="s">
        <v>9927</v>
      </c>
      <c r="H1259" s="5" t="s">
        <v>8336</v>
      </c>
      <c r="I1259" s="5"/>
      <c r="J1259" s="5"/>
      <c r="K1259" s="5" t="s">
        <v>11443</v>
      </c>
    </row>
    <row r="1260" customFormat="false" ht="35.05" hidden="false" customHeight="false" outlineLevel="0" collapsed="false">
      <c r="A1260" s="5" t="s">
        <v>11444</v>
      </c>
      <c r="B1260" s="2" t="s">
        <v>11445</v>
      </c>
      <c r="C1260" s="5" t="s">
        <v>2128</v>
      </c>
      <c r="D1260" s="5" t="s">
        <v>490</v>
      </c>
      <c r="E1260" s="5" t="n">
        <v>7</v>
      </c>
      <c r="F1260" s="5" t="s">
        <v>536</v>
      </c>
      <c r="G1260" s="2" t="s">
        <v>9927</v>
      </c>
      <c r="H1260" s="5" t="s">
        <v>8336</v>
      </c>
      <c r="I1260" s="5"/>
      <c r="J1260" s="5"/>
      <c r="K1260" s="5" t="s">
        <v>11446</v>
      </c>
    </row>
    <row r="1261" customFormat="false" ht="35.05" hidden="false" customHeight="false" outlineLevel="0" collapsed="false">
      <c r="A1261" s="5" t="s">
        <v>11447</v>
      </c>
      <c r="B1261" s="2" t="s">
        <v>11448</v>
      </c>
      <c r="C1261" s="5" t="s">
        <v>2128</v>
      </c>
      <c r="D1261" s="5" t="s">
        <v>490</v>
      </c>
      <c r="E1261" s="5" t="n">
        <v>7</v>
      </c>
      <c r="F1261" s="5" t="s">
        <v>536</v>
      </c>
      <c r="G1261" s="2" t="s">
        <v>9927</v>
      </c>
      <c r="H1261" s="5" t="s">
        <v>8336</v>
      </c>
      <c r="I1261" s="5"/>
      <c r="J1261" s="5"/>
      <c r="K1261" s="5" t="s">
        <v>11449</v>
      </c>
    </row>
    <row r="1262" customFormat="false" ht="35.05" hidden="false" customHeight="false" outlineLevel="0" collapsed="false">
      <c r="A1262" s="5" t="s">
        <v>11450</v>
      </c>
      <c r="B1262" s="2" t="s">
        <v>11451</v>
      </c>
      <c r="C1262" s="5" t="s">
        <v>2128</v>
      </c>
      <c r="D1262" s="5" t="s">
        <v>62</v>
      </c>
      <c r="E1262" s="5" t="n">
        <v>7</v>
      </c>
      <c r="F1262" s="5" t="s">
        <v>536</v>
      </c>
      <c r="G1262" s="2" t="s">
        <v>9927</v>
      </c>
      <c r="H1262" s="5" t="s">
        <v>8336</v>
      </c>
      <c r="I1262" s="5"/>
      <c r="J1262" s="5"/>
      <c r="K1262" s="5" t="s">
        <v>11452</v>
      </c>
    </row>
    <row r="1263" customFormat="false" ht="35.05" hidden="false" customHeight="false" outlineLevel="0" collapsed="false">
      <c r="A1263" s="5" t="s">
        <v>11453</v>
      </c>
      <c r="B1263" s="2" t="s">
        <v>11454</v>
      </c>
      <c r="C1263" s="5" t="s">
        <v>2128</v>
      </c>
      <c r="D1263" s="5" t="s">
        <v>62</v>
      </c>
      <c r="E1263" s="5" t="n">
        <v>7</v>
      </c>
      <c r="F1263" s="5" t="s">
        <v>536</v>
      </c>
      <c r="G1263" s="2" t="s">
        <v>9927</v>
      </c>
      <c r="H1263" s="5" t="s">
        <v>8336</v>
      </c>
      <c r="I1263" s="5"/>
      <c r="J1263" s="5"/>
      <c r="K1263" s="5" t="s">
        <v>11455</v>
      </c>
    </row>
    <row r="1264" customFormat="false" ht="15" hidden="false" customHeight="false" outlineLevel="0" collapsed="false">
      <c r="A1264" s="5" t="s">
        <v>11456</v>
      </c>
      <c r="B1264" s="2" t="s">
        <v>11457</v>
      </c>
      <c r="C1264" s="5" t="s">
        <v>2128</v>
      </c>
      <c r="D1264" s="5" t="s">
        <v>62</v>
      </c>
      <c r="E1264" s="5" t="n">
        <v>7</v>
      </c>
      <c r="F1264" s="5" t="s">
        <v>8945</v>
      </c>
      <c r="G1264" s="2" t="s">
        <v>11458</v>
      </c>
      <c r="H1264" s="5" t="s">
        <v>8336</v>
      </c>
      <c r="I1264" s="5"/>
      <c r="J1264" s="5"/>
      <c r="K1264" s="5" t="s">
        <v>11459</v>
      </c>
    </row>
    <row r="1265" customFormat="false" ht="15" hidden="false" customHeight="false" outlineLevel="0" collapsed="false">
      <c r="A1265" s="5" t="s">
        <v>11460</v>
      </c>
      <c r="B1265" s="2" t="s">
        <v>11461</v>
      </c>
      <c r="C1265" s="5" t="s">
        <v>2128</v>
      </c>
      <c r="D1265" s="5" t="s">
        <v>62</v>
      </c>
      <c r="E1265" s="5" t="n">
        <v>7</v>
      </c>
      <c r="F1265" s="5" t="s">
        <v>536</v>
      </c>
      <c r="G1265" s="2" t="s">
        <v>11458</v>
      </c>
      <c r="H1265" s="5" t="s">
        <v>8336</v>
      </c>
      <c r="I1265" s="5"/>
      <c r="J1265" s="5"/>
      <c r="K1265" s="5" t="s">
        <v>11462</v>
      </c>
    </row>
    <row r="1266" customFormat="false" ht="35.05" hidden="false" customHeight="false" outlineLevel="0" collapsed="false">
      <c r="A1266" s="5" t="s">
        <v>11463</v>
      </c>
      <c r="B1266" s="2" t="s">
        <v>11464</v>
      </c>
      <c r="C1266" s="5" t="s">
        <v>2128</v>
      </c>
      <c r="D1266" s="5" t="s">
        <v>62</v>
      </c>
      <c r="E1266" s="5" t="n">
        <v>7</v>
      </c>
      <c r="F1266" s="5" t="s">
        <v>536</v>
      </c>
      <c r="G1266" s="2" t="s">
        <v>9927</v>
      </c>
      <c r="H1266" s="5" t="s">
        <v>8336</v>
      </c>
      <c r="I1266" s="5"/>
      <c r="J1266" s="5"/>
      <c r="K1266" s="5" t="s">
        <v>11465</v>
      </c>
    </row>
    <row r="1267" customFormat="false" ht="35.05" hidden="false" customHeight="false" outlineLevel="0" collapsed="false">
      <c r="A1267" s="5" t="s">
        <v>11466</v>
      </c>
      <c r="B1267" s="2" t="s">
        <v>11467</v>
      </c>
      <c r="C1267" s="5" t="s">
        <v>2128</v>
      </c>
      <c r="D1267" s="5" t="s">
        <v>490</v>
      </c>
      <c r="E1267" s="5" t="n">
        <v>7</v>
      </c>
      <c r="F1267" s="5" t="s">
        <v>536</v>
      </c>
      <c r="G1267" s="2" t="s">
        <v>9927</v>
      </c>
      <c r="H1267" s="5" t="s">
        <v>8336</v>
      </c>
      <c r="I1267" s="5"/>
      <c r="J1267" s="5"/>
      <c r="K1267" s="5" t="s">
        <v>11468</v>
      </c>
    </row>
    <row r="1268" customFormat="false" ht="35.05" hidden="false" customHeight="false" outlineLevel="0" collapsed="false">
      <c r="A1268" s="5" t="s">
        <v>11469</v>
      </c>
      <c r="B1268" s="2" t="s">
        <v>11470</v>
      </c>
      <c r="C1268" s="5" t="s">
        <v>2128</v>
      </c>
      <c r="D1268" s="5" t="s">
        <v>490</v>
      </c>
      <c r="E1268" s="5" t="n">
        <v>7</v>
      </c>
      <c r="F1268" s="5" t="s">
        <v>536</v>
      </c>
      <c r="G1268" s="2" t="s">
        <v>9927</v>
      </c>
      <c r="H1268" s="5" t="s">
        <v>8336</v>
      </c>
      <c r="I1268" s="5"/>
      <c r="J1268" s="5"/>
      <c r="K1268" s="5" t="s">
        <v>11471</v>
      </c>
    </row>
    <row r="1269" customFormat="false" ht="15" hidden="false" customHeight="false" outlineLevel="0" collapsed="false">
      <c r="A1269" s="5" t="s">
        <v>11472</v>
      </c>
      <c r="B1269" s="2" t="s">
        <v>11473</v>
      </c>
      <c r="C1269" s="5" t="s">
        <v>2128</v>
      </c>
      <c r="D1269" s="5" t="s">
        <v>62</v>
      </c>
      <c r="E1269" s="5" t="n">
        <v>7</v>
      </c>
      <c r="F1269" s="5" t="s">
        <v>536</v>
      </c>
      <c r="G1269" s="2" t="s">
        <v>10709</v>
      </c>
      <c r="H1269" s="5" t="s">
        <v>8336</v>
      </c>
      <c r="I1269" s="5"/>
      <c r="J1269" s="5"/>
      <c r="K1269" s="5" t="s">
        <v>11474</v>
      </c>
    </row>
    <row r="1270" customFormat="false" ht="15" hidden="false" customHeight="false" outlineLevel="0" collapsed="false">
      <c r="A1270" s="5" t="s">
        <v>11475</v>
      </c>
      <c r="B1270" s="2" t="s">
        <v>11476</v>
      </c>
      <c r="C1270" s="5" t="s">
        <v>2128</v>
      </c>
      <c r="D1270" s="5" t="s">
        <v>62</v>
      </c>
      <c r="E1270" s="5" t="n">
        <v>7</v>
      </c>
      <c r="F1270" s="5" t="s">
        <v>277</v>
      </c>
      <c r="G1270" s="2" t="s">
        <v>11426</v>
      </c>
      <c r="H1270" s="5" t="s">
        <v>8336</v>
      </c>
      <c r="I1270" s="5"/>
      <c r="J1270" s="5"/>
      <c r="K1270" s="5" t="s">
        <v>11477</v>
      </c>
    </row>
    <row r="1271" customFormat="false" ht="23.85" hidden="false" customHeight="false" outlineLevel="0" collapsed="false">
      <c r="A1271" s="5" t="s">
        <v>11478</v>
      </c>
      <c r="B1271" s="2" t="s">
        <v>11479</v>
      </c>
      <c r="C1271" s="5" t="s">
        <v>2128</v>
      </c>
      <c r="D1271" s="5" t="s">
        <v>62</v>
      </c>
      <c r="E1271" s="5" t="n">
        <v>7</v>
      </c>
      <c r="F1271" s="5" t="s">
        <v>536</v>
      </c>
      <c r="G1271" s="2" t="s">
        <v>9976</v>
      </c>
      <c r="H1271" s="5" t="s">
        <v>8336</v>
      </c>
      <c r="I1271" s="5"/>
      <c r="J1271" s="5"/>
      <c r="K1271" s="5" t="s">
        <v>11480</v>
      </c>
    </row>
    <row r="1272" customFormat="false" ht="15" hidden="false" customHeight="false" outlineLevel="0" collapsed="false">
      <c r="A1272" s="5" t="s">
        <v>11481</v>
      </c>
      <c r="B1272" s="2" t="s">
        <v>11482</v>
      </c>
      <c r="C1272" s="5" t="s">
        <v>2128</v>
      </c>
      <c r="D1272" s="5" t="s">
        <v>62</v>
      </c>
      <c r="E1272" s="5" t="n">
        <v>7</v>
      </c>
      <c r="F1272" s="5" t="s">
        <v>536</v>
      </c>
      <c r="G1272" s="2" t="s">
        <v>9240</v>
      </c>
      <c r="H1272" s="5" t="s">
        <v>8336</v>
      </c>
      <c r="I1272" s="5"/>
      <c r="J1272" s="5"/>
      <c r="K1272" s="5" t="s">
        <v>11483</v>
      </c>
    </row>
    <row r="1273" customFormat="false" ht="15" hidden="false" customHeight="false" outlineLevel="0" collapsed="false">
      <c r="A1273" s="5" t="s">
        <v>11484</v>
      </c>
      <c r="B1273" s="2" t="s">
        <v>11485</v>
      </c>
      <c r="C1273" s="5" t="s">
        <v>2128</v>
      </c>
      <c r="D1273" s="5" t="s">
        <v>62</v>
      </c>
      <c r="E1273" s="5" t="n">
        <v>7</v>
      </c>
      <c r="F1273" s="5" t="s">
        <v>536</v>
      </c>
      <c r="G1273" s="2" t="s">
        <v>11315</v>
      </c>
      <c r="H1273" s="5" t="s">
        <v>8336</v>
      </c>
      <c r="I1273" s="5"/>
      <c r="J1273" s="5"/>
      <c r="K1273" s="5" t="s">
        <v>11486</v>
      </c>
    </row>
    <row r="1274" customFormat="false" ht="15" hidden="false" customHeight="false" outlineLevel="0" collapsed="false">
      <c r="A1274" s="5" t="s">
        <v>2792</v>
      </c>
      <c r="B1274" s="2" t="s">
        <v>2793</v>
      </c>
      <c r="C1274" s="5" t="s">
        <v>2128</v>
      </c>
      <c r="D1274" s="5" t="s">
        <v>62</v>
      </c>
      <c r="E1274" s="5" t="n">
        <v>7</v>
      </c>
      <c r="F1274" s="5" t="s">
        <v>544</v>
      </c>
      <c r="G1274" s="2" t="s">
        <v>2786</v>
      </c>
      <c r="H1274" s="5" t="s">
        <v>8332</v>
      </c>
      <c r="I1274" s="5" t="s">
        <v>60</v>
      </c>
      <c r="J1274" s="5" t="s">
        <v>2784</v>
      </c>
      <c r="K1274" s="5" t="s">
        <v>2798</v>
      </c>
    </row>
    <row r="1275" customFormat="false" ht="15" hidden="false" customHeight="false" outlineLevel="0" collapsed="false">
      <c r="A1275" s="5" t="s">
        <v>11487</v>
      </c>
      <c r="B1275" s="2" t="s">
        <v>11488</v>
      </c>
      <c r="C1275" s="5" t="s">
        <v>2128</v>
      </c>
      <c r="D1275" s="5" t="s">
        <v>62</v>
      </c>
      <c r="E1275" s="5" t="n">
        <v>7</v>
      </c>
      <c r="F1275" s="5" t="s">
        <v>536</v>
      </c>
      <c r="G1275" s="2" t="s">
        <v>11458</v>
      </c>
      <c r="H1275" s="5" t="s">
        <v>8336</v>
      </c>
      <c r="I1275" s="5"/>
      <c r="J1275" s="5"/>
      <c r="K1275" s="5" t="s">
        <v>11489</v>
      </c>
    </row>
    <row r="1276" customFormat="false" ht="15" hidden="false" customHeight="false" outlineLevel="0" collapsed="false">
      <c r="A1276" s="5" t="s">
        <v>11490</v>
      </c>
      <c r="B1276" s="2" t="s">
        <v>11491</v>
      </c>
      <c r="C1276" s="5" t="s">
        <v>2128</v>
      </c>
      <c r="D1276" s="5" t="s">
        <v>62</v>
      </c>
      <c r="E1276" s="5" t="n">
        <v>7</v>
      </c>
      <c r="F1276" s="5" t="s">
        <v>536</v>
      </c>
      <c r="G1276" s="2" t="s">
        <v>11458</v>
      </c>
      <c r="H1276" s="5" t="s">
        <v>8336</v>
      </c>
      <c r="I1276" s="5"/>
      <c r="J1276" s="5"/>
      <c r="K1276" s="5" t="s">
        <v>11492</v>
      </c>
    </row>
    <row r="1277" customFormat="false" ht="15" hidden="false" customHeight="false" outlineLevel="0" collapsed="false">
      <c r="A1277" s="5" t="s">
        <v>11493</v>
      </c>
      <c r="B1277" s="2" t="s">
        <v>11494</v>
      </c>
      <c r="C1277" s="5" t="s">
        <v>2128</v>
      </c>
      <c r="D1277" s="5" t="s">
        <v>62</v>
      </c>
      <c r="E1277" s="5" t="n">
        <v>7</v>
      </c>
      <c r="F1277" s="5" t="s">
        <v>8690</v>
      </c>
      <c r="G1277" s="2" t="s">
        <v>492</v>
      </c>
      <c r="H1277" s="5" t="s">
        <v>8336</v>
      </c>
      <c r="I1277" s="5"/>
      <c r="J1277" s="5"/>
      <c r="K1277" s="5" t="s">
        <v>11495</v>
      </c>
    </row>
    <row r="1278" customFormat="false" ht="15" hidden="false" customHeight="false" outlineLevel="0" collapsed="false">
      <c r="A1278" s="5" t="s">
        <v>11496</v>
      </c>
      <c r="B1278" s="2" t="s">
        <v>11497</v>
      </c>
      <c r="C1278" s="5" t="s">
        <v>2128</v>
      </c>
      <c r="D1278" s="5" t="s">
        <v>62</v>
      </c>
      <c r="E1278" s="5" t="n">
        <v>7</v>
      </c>
      <c r="F1278" s="5" t="s">
        <v>536</v>
      </c>
      <c r="G1278" s="2" t="s">
        <v>11498</v>
      </c>
      <c r="H1278" s="5" t="s">
        <v>8336</v>
      </c>
      <c r="I1278" s="5"/>
      <c r="J1278" s="5"/>
      <c r="K1278" s="5" t="s">
        <v>11499</v>
      </c>
    </row>
    <row r="1279" customFormat="false" ht="202.95" hidden="false" customHeight="false" outlineLevel="0" collapsed="false">
      <c r="A1279" s="5" t="s">
        <v>1037</v>
      </c>
      <c r="B1279" s="2" t="s">
        <v>1038</v>
      </c>
      <c r="C1279" s="5" t="s">
        <v>488</v>
      </c>
      <c r="D1279" s="5" t="s">
        <v>62</v>
      </c>
      <c r="E1279" s="5" t="n">
        <v>9</v>
      </c>
      <c r="F1279" s="5" t="s">
        <v>100</v>
      </c>
      <c r="G1279" s="2" t="s">
        <v>11500</v>
      </c>
      <c r="H1279" s="5" t="s">
        <v>8332</v>
      </c>
      <c r="I1279" s="5" t="s">
        <v>60</v>
      </c>
      <c r="J1279" s="5" t="s">
        <v>100</v>
      </c>
      <c r="K1279" s="5" t="s">
        <v>1047</v>
      </c>
    </row>
    <row r="1280" customFormat="false" ht="15" hidden="false" customHeight="false" outlineLevel="0" collapsed="false">
      <c r="A1280" s="5" t="s">
        <v>11501</v>
      </c>
      <c r="B1280" s="2" t="s">
        <v>11502</v>
      </c>
      <c r="C1280" s="5" t="s">
        <v>2128</v>
      </c>
      <c r="D1280" s="5" t="s">
        <v>62</v>
      </c>
      <c r="E1280" s="5" t="n">
        <v>7</v>
      </c>
      <c r="F1280" s="5" t="s">
        <v>8690</v>
      </c>
      <c r="G1280" s="2" t="s">
        <v>492</v>
      </c>
      <c r="H1280" s="5" t="s">
        <v>8336</v>
      </c>
      <c r="I1280" s="5"/>
      <c r="J1280" s="5"/>
      <c r="K1280" s="5" t="s">
        <v>11503</v>
      </c>
    </row>
    <row r="1281" customFormat="false" ht="15" hidden="false" customHeight="false" outlineLevel="0" collapsed="false">
      <c r="A1281" s="5" t="s">
        <v>11504</v>
      </c>
      <c r="B1281" s="2" t="s">
        <v>11505</v>
      </c>
      <c r="C1281" s="5" t="s">
        <v>2128</v>
      </c>
      <c r="D1281" s="5" t="s">
        <v>62</v>
      </c>
      <c r="E1281" s="5" t="n">
        <v>6</v>
      </c>
      <c r="F1281" s="5" t="s">
        <v>8795</v>
      </c>
      <c r="G1281" s="2" t="s">
        <v>9535</v>
      </c>
      <c r="H1281" s="5" t="s">
        <v>8336</v>
      </c>
      <c r="I1281" s="5"/>
      <c r="J1281" s="5"/>
      <c r="K1281" s="5" t="s">
        <v>11506</v>
      </c>
    </row>
    <row r="1282" customFormat="false" ht="23.85" hidden="false" customHeight="false" outlineLevel="0" collapsed="false">
      <c r="A1282" s="5" t="s">
        <v>11507</v>
      </c>
      <c r="B1282" s="2" t="s">
        <v>11508</v>
      </c>
      <c r="C1282" s="5" t="s">
        <v>2128</v>
      </c>
      <c r="D1282" s="5" t="s">
        <v>62</v>
      </c>
      <c r="E1282" s="5" t="n">
        <v>7</v>
      </c>
      <c r="F1282" s="5" t="s">
        <v>544</v>
      </c>
      <c r="G1282" s="2" t="s">
        <v>9351</v>
      </c>
      <c r="H1282" s="5" t="s">
        <v>8336</v>
      </c>
      <c r="I1282" s="5"/>
      <c r="J1282" s="5"/>
      <c r="K1282" s="5" t="s">
        <v>11509</v>
      </c>
    </row>
    <row r="1283" customFormat="false" ht="15" hidden="false" customHeight="false" outlineLevel="0" collapsed="false">
      <c r="A1283" s="5" t="s">
        <v>11510</v>
      </c>
      <c r="B1283" s="2" t="s">
        <v>11511</v>
      </c>
      <c r="C1283" s="5" t="s">
        <v>2128</v>
      </c>
      <c r="D1283" s="5" t="s">
        <v>62</v>
      </c>
      <c r="E1283" s="5" t="n">
        <v>7</v>
      </c>
      <c r="F1283" s="5" t="s">
        <v>413</v>
      </c>
      <c r="G1283" s="2" t="s">
        <v>741</v>
      </c>
      <c r="H1283" s="5" t="s">
        <v>8336</v>
      </c>
      <c r="I1283" s="5"/>
      <c r="J1283" s="5"/>
      <c r="K1283" s="5" t="s">
        <v>11512</v>
      </c>
    </row>
    <row r="1284" customFormat="false" ht="15" hidden="false" customHeight="false" outlineLevel="0" collapsed="false">
      <c r="A1284" s="5" t="s">
        <v>11513</v>
      </c>
      <c r="B1284" s="2" t="s">
        <v>11514</v>
      </c>
      <c r="C1284" s="5" t="s">
        <v>2128</v>
      </c>
      <c r="D1284" s="5" t="s">
        <v>62</v>
      </c>
      <c r="E1284" s="5" t="n">
        <v>7</v>
      </c>
      <c r="F1284" s="5" t="s">
        <v>413</v>
      </c>
      <c r="G1284" s="2" t="s">
        <v>741</v>
      </c>
      <c r="H1284" s="5" t="s">
        <v>8336</v>
      </c>
      <c r="I1284" s="5"/>
      <c r="J1284" s="5"/>
      <c r="K1284" s="5" t="s">
        <v>11515</v>
      </c>
    </row>
    <row r="1285" customFormat="false" ht="15" hidden="false" customHeight="false" outlineLevel="0" collapsed="false">
      <c r="A1285" s="5" t="s">
        <v>11516</v>
      </c>
      <c r="B1285" s="2" t="s">
        <v>11517</v>
      </c>
      <c r="C1285" s="5" t="s">
        <v>2128</v>
      </c>
      <c r="D1285" s="5" t="s">
        <v>62</v>
      </c>
      <c r="E1285" s="5" t="n">
        <v>7</v>
      </c>
      <c r="F1285" s="5" t="s">
        <v>413</v>
      </c>
      <c r="G1285" s="2" t="s">
        <v>741</v>
      </c>
      <c r="H1285" s="5" t="s">
        <v>8336</v>
      </c>
      <c r="I1285" s="5"/>
      <c r="J1285" s="5"/>
      <c r="K1285" s="5" t="s">
        <v>11518</v>
      </c>
    </row>
    <row r="1286" customFormat="false" ht="23.85" hidden="false" customHeight="false" outlineLevel="0" collapsed="false">
      <c r="A1286" s="5" t="s">
        <v>6097</v>
      </c>
      <c r="B1286" s="2" t="s">
        <v>6098</v>
      </c>
      <c r="C1286" s="5" t="s">
        <v>2128</v>
      </c>
      <c r="D1286" s="5" t="s">
        <v>62</v>
      </c>
      <c r="E1286" s="5" t="n">
        <v>9</v>
      </c>
      <c r="F1286" s="5" t="s">
        <v>100</v>
      </c>
      <c r="G1286" s="2" t="s">
        <v>11519</v>
      </c>
      <c r="H1286" s="5" t="s">
        <v>8332</v>
      </c>
      <c r="I1286" s="5" t="s">
        <v>4760</v>
      </c>
      <c r="J1286" s="5" t="s">
        <v>100</v>
      </c>
      <c r="K1286" s="5" t="s">
        <v>6105</v>
      </c>
    </row>
    <row r="1287" customFormat="false" ht="147" hidden="false" customHeight="false" outlineLevel="0" collapsed="false">
      <c r="A1287" s="5" t="s">
        <v>1048</v>
      </c>
      <c r="B1287" s="2" t="s">
        <v>1049</v>
      </c>
      <c r="C1287" s="5" t="s">
        <v>488</v>
      </c>
      <c r="D1287" s="5" t="s">
        <v>62</v>
      </c>
      <c r="E1287" s="5" t="n">
        <v>8</v>
      </c>
      <c r="F1287" s="5" t="s">
        <v>100</v>
      </c>
      <c r="G1287" s="2" t="s">
        <v>8905</v>
      </c>
      <c r="H1287" s="5" t="s">
        <v>8332</v>
      </c>
      <c r="I1287" s="5" t="s">
        <v>60</v>
      </c>
      <c r="J1287" s="5" t="s">
        <v>489</v>
      </c>
      <c r="K1287" s="5" t="s">
        <v>1058</v>
      </c>
    </row>
    <row r="1288" customFormat="false" ht="147" hidden="false" customHeight="false" outlineLevel="0" collapsed="false">
      <c r="A1288" s="5" t="s">
        <v>6106</v>
      </c>
      <c r="B1288" s="2" t="s">
        <v>6107</v>
      </c>
      <c r="C1288" s="5" t="s">
        <v>2128</v>
      </c>
      <c r="D1288" s="5" t="s">
        <v>490</v>
      </c>
      <c r="E1288" s="5" t="n">
        <v>8</v>
      </c>
      <c r="F1288" s="5" t="s">
        <v>100</v>
      </c>
      <c r="G1288" s="2" t="s">
        <v>11520</v>
      </c>
      <c r="H1288" s="5" t="s">
        <v>8332</v>
      </c>
      <c r="I1288" s="5" t="s">
        <v>4760</v>
      </c>
      <c r="J1288" s="5" t="s">
        <v>100</v>
      </c>
      <c r="K1288" s="5" t="s">
        <v>6116</v>
      </c>
    </row>
    <row r="1289" customFormat="false" ht="15" hidden="false" customHeight="false" outlineLevel="0" collapsed="false">
      <c r="A1289" s="5" t="s">
        <v>11521</v>
      </c>
      <c r="B1289" s="2" t="s">
        <v>11522</v>
      </c>
      <c r="C1289" s="5" t="s">
        <v>2128</v>
      </c>
      <c r="D1289" s="5" t="s">
        <v>62</v>
      </c>
      <c r="E1289" s="5" t="n">
        <v>6</v>
      </c>
      <c r="F1289" s="5" t="s">
        <v>9196</v>
      </c>
      <c r="G1289" s="2" t="s">
        <v>2376</v>
      </c>
      <c r="H1289" s="5" t="s">
        <v>8336</v>
      </c>
      <c r="I1289" s="5"/>
      <c r="J1289" s="5"/>
      <c r="K1289" s="5" t="s">
        <v>11523</v>
      </c>
    </row>
    <row r="1290" customFormat="false" ht="23.85" hidden="false" customHeight="false" outlineLevel="0" collapsed="false">
      <c r="A1290" s="5" t="s">
        <v>11524</v>
      </c>
      <c r="B1290" s="2" t="s">
        <v>11525</v>
      </c>
      <c r="C1290" s="5" t="s">
        <v>2128</v>
      </c>
      <c r="D1290" s="5" t="s">
        <v>62</v>
      </c>
      <c r="E1290" s="5" t="n">
        <v>7</v>
      </c>
      <c r="F1290" s="5" t="s">
        <v>413</v>
      </c>
      <c r="G1290" s="2" t="s">
        <v>8682</v>
      </c>
      <c r="H1290" s="5" t="s">
        <v>8336</v>
      </c>
      <c r="I1290" s="5"/>
      <c r="J1290" s="5"/>
      <c r="K1290" s="5" t="s">
        <v>11526</v>
      </c>
    </row>
    <row r="1291" customFormat="false" ht="23.85" hidden="false" customHeight="false" outlineLevel="0" collapsed="false">
      <c r="A1291" s="5" t="s">
        <v>11527</v>
      </c>
      <c r="B1291" s="2" t="s">
        <v>11528</v>
      </c>
      <c r="C1291" s="5" t="s">
        <v>2128</v>
      </c>
      <c r="D1291" s="5" t="s">
        <v>62</v>
      </c>
      <c r="E1291" s="5" t="n">
        <v>9</v>
      </c>
      <c r="F1291" s="5" t="s">
        <v>413</v>
      </c>
      <c r="G1291" s="2" t="s">
        <v>8682</v>
      </c>
      <c r="H1291" s="5" t="s">
        <v>8336</v>
      </c>
      <c r="I1291" s="5"/>
      <c r="J1291" s="5"/>
      <c r="K1291" s="5" t="s">
        <v>11529</v>
      </c>
    </row>
    <row r="1292" customFormat="false" ht="23.85" hidden="false" customHeight="false" outlineLevel="0" collapsed="false">
      <c r="A1292" s="5" t="s">
        <v>11530</v>
      </c>
      <c r="B1292" s="2" t="s">
        <v>11531</v>
      </c>
      <c r="C1292" s="5" t="s">
        <v>2128</v>
      </c>
      <c r="D1292" s="5" t="s">
        <v>62</v>
      </c>
      <c r="E1292" s="5" t="n">
        <v>7</v>
      </c>
      <c r="F1292" s="5" t="s">
        <v>277</v>
      </c>
      <c r="G1292" s="2" t="s">
        <v>8682</v>
      </c>
      <c r="H1292" s="5" t="s">
        <v>8336</v>
      </c>
      <c r="I1292" s="5"/>
      <c r="J1292" s="5"/>
      <c r="K1292" s="5" t="s">
        <v>11532</v>
      </c>
    </row>
    <row r="1293" customFormat="false" ht="23.85" hidden="false" customHeight="false" outlineLevel="0" collapsed="false">
      <c r="A1293" s="5" t="s">
        <v>11533</v>
      </c>
      <c r="B1293" s="2" t="s">
        <v>11534</v>
      </c>
      <c r="C1293" s="5" t="s">
        <v>2128</v>
      </c>
      <c r="D1293" s="5" t="s">
        <v>62</v>
      </c>
      <c r="E1293" s="5" t="n">
        <v>8</v>
      </c>
      <c r="F1293" s="5" t="s">
        <v>536</v>
      </c>
      <c r="G1293" s="2" t="s">
        <v>8898</v>
      </c>
      <c r="H1293" s="5" t="s">
        <v>8336</v>
      </c>
      <c r="I1293" s="5"/>
      <c r="J1293" s="5"/>
      <c r="K1293" s="5" t="s">
        <v>11535</v>
      </c>
    </row>
    <row r="1294" customFormat="false" ht="15" hidden="false" customHeight="false" outlineLevel="0" collapsed="false">
      <c r="A1294" s="5" t="s">
        <v>11536</v>
      </c>
      <c r="B1294" s="2" t="s">
        <v>11537</v>
      </c>
      <c r="C1294" s="5" t="s">
        <v>2128</v>
      </c>
      <c r="D1294" s="5" t="s">
        <v>62</v>
      </c>
      <c r="E1294" s="5" t="n">
        <v>8</v>
      </c>
      <c r="F1294" s="5" t="s">
        <v>544</v>
      </c>
      <c r="G1294" s="2" t="s">
        <v>11538</v>
      </c>
      <c r="H1294" s="5" t="s">
        <v>8336</v>
      </c>
      <c r="I1294" s="5"/>
      <c r="J1294" s="5"/>
      <c r="K1294" s="5" t="s">
        <v>11539</v>
      </c>
    </row>
    <row r="1295" customFormat="false" ht="15" hidden="false" customHeight="false" outlineLevel="0" collapsed="false">
      <c r="A1295" s="5" t="s">
        <v>11540</v>
      </c>
      <c r="B1295" s="2" t="s">
        <v>11541</v>
      </c>
      <c r="C1295" s="5" t="s">
        <v>2128</v>
      </c>
      <c r="D1295" s="5" t="s">
        <v>62</v>
      </c>
      <c r="E1295" s="5" t="n">
        <v>10</v>
      </c>
      <c r="F1295" s="5" t="s">
        <v>544</v>
      </c>
      <c r="G1295" s="2" t="s">
        <v>11538</v>
      </c>
      <c r="H1295" s="5" t="s">
        <v>8336</v>
      </c>
      <c r="I1295" s="5"/>
      <c r="J1295" s="5"/>
      <c r="K1295" s="5" t="s">
        <v>11542</v>
      </c>
    </row>
    <row r="1296" customFormat="false" ht="15" hidden="false" customHeight="false" outlineLevel="0" collapsed="false">
      <c r="A1296" s="5" t="s">
        <v>11543</v>
      </c>
      <c r="B1296" s="2" t="s">
        <v>11544</v>
      </c>
      <c r="C1296" s="5" t="s">
        <v>2128</v>
      </c>
      <c r="D1296" s="5" t="s">
        <v>62</v>
      </c>
      <c r="E1296" s="5" t="n">
        <v>7</v>
      </c>
      <c r="F1296" s="5" t="s">
        <v>67</v>
      </c>
      <c r="G1296" s="2" t="s">
        <v>11538</v>
      </c>
      <c r="H1296" s="5" t="s">
        <v>8336</v>
      </c>
      <c r="I1296" s="5"/>
      <c r="J1296" s="5"/>
      <c r="K1296" s="5" t="s">
        <v>11545</v>
      </c>
    </row>
    <row r="1297" customFormat="false" ht="15" hidden="false" customHeight="false" outlineLevel="0" collapsed="false">
      <c r="A1297" s="5" t="s">
        <v>11546</v>
      </c>
      <c r="B1297" s="2" t="s">
        <v>11547</v>
      </c>
      <c r="C1297" s="5" t="s">
        <v>2128</v>
      </c>
      <c r="D1297" s="5" t="s">
        <v>62</v>
      </c>
      <c r="E1297" s="5" t="n">
        <v>6</v>
      </c>
      <c r="F1297" s="5" t="s">
        <v>67</v>
      </c>
      <c r="G1297" s="2" t="s">
        <v>11538</v>
      </c>
      <c r="H1297" s="5" t="s">
        <v>8336</v>
      </c>
      <c r="I1297" s="5"/>
      <c r="J1297" s="5"/>
      <c r="K1297" s="5" t="s">
        <v>11548</v>
      </c>
    </row>
    <row r="1298" customFormat="false" ht="15" hidden="false" customHeight="false" outlineLevel="0" collapsed="false">
      <c r="A1298" s="5" t="s">
        <v>11549</v>
      </c>
      <c r="B1298" s="2" t="s">
        <v>11550</v>
      </c>
      <c r="C1298" s="5" t="s">
        <v>2128</v>
      </c>
      <c r="D1298" s="5" t="s">
        <v>62</v>
      </c>
      <c r="E1298" s="5" t="n">
        <v>8</v>
      </c>
      <c r="F1298" s="5" t="s">
        <v>544</v>
      </c>
      <c r="G1298" s="2" t="s">
        <v>11538</v>
      </c>
      <c r="H1298" s="5" t="s">
        <v>8336</v>
      </c>
      <c r="I1298" s="5"/>
      <c r="J1298" s="5"/>
      <c r="K1298" s="5" t="s">
        <v>11551</v>
      </c>
    </row>
    <row r="1299" customFormat="false" ht="15" hidden="false" customHeight="false" outlineLevel="0" collapsed="false">
      <c r="A1299" s="5" t="s">
        <v>11552</v>
      </c>
      <c r="B1299" s="2" t="s">
        <v>11553</v>
      </c>
      <c r="C1299" s="5" t="s">
        <v>2128</v>
      </c>
      <c r="D1299" s="5" t="s">
        <v>62</v>
      </c>
      <c r="E1299" s="5" t="n">
        <v>9</v>
      </c>
      <c r="F1299" s="5" t="s">
        <v>544</v>
      </c>
      <c r="G1299" s="2" t="s">
        <v>11538</v>
      </c>
      <c r="H1299" s="5" t="s">
        <v>8336</v>
      </c>
      <c r="I1299" s="5"/>
      <c r="J1299" s="5"/>
      <c r="K1299" s="5" t="s">
        <v>11554</v>
      </c>
    </row>
    <row r="1300" customFormat="false" ht="15" hidden="false" customHeight="false" outlineLevel="0" collapsed="false">
      <c r="A1300" s="5" t="s">
        <v>11555</v>
      </c>
      <c r="B1300" s="2" t="s">
        <v>11556</v>
      </c>
      <c r="C1300" s="5" t="s">
        <v>2128</v>
      </c>
      <c r="D1300" s="5" t="s">
        <v>62</v>
      </c>
      <c r="E1300" s="5" t="n">
        <v>7</v>
      </c>
      <c r="F1300" s="5" t="s">
        <v>544</v>
      </c>
      <c r="G1300" s="2" t="s">
        <v>11538</v>
      </c>
      <c r="H1300" s="5" t="s">
        <v>8336</v>
      </c>
      <c r="I1300" s="5"/>
      <c r="J1300" s="5"/>
      <c r="K1300" s="5" t="s">
        <v>11557</v>
      </c>
    </row>
    <row r="1301" customFormat="false" ht="23.85" hidden="false" customHeight="false" outlineLevel="0" collapsed="false">
      <c r="A1301" s="5" t="s">
        <v>11558</v>
      </c>
      <c r="B1301" s="2" t="s">
        <v>11559</v>
      </c>
      <c r="C1301" s="5" t="s">
        <v>2128</v>
      </c>
      <c r="D1301" s="5" t="s">
        <v>62</v>
      </c>
      <c r="E1301" s="5" t="n">
        <v>9</v>
      </c>
      <c r="F1301" s="5" t="s">
        <v>8902</v>
      </c>
      <c r="G1301" s="2" t="s">
        <v>8898</v>
      </c>
      <c r="H1301" s="5" t="s">
        <v>8336</v>
      </c>
      <c r="I1301" s="5"/>
      <c r="J1301" s="5"/>
      <c r="K1301" s="5" t="s">
        <v>11560</v>
      </c>
    </row>
    <row r="1302" customFormat="false" ht="23.85" hidden="false" customHeight="false" outlineLevel="0" collapsed="false">
      <c r="A1302" s="5" t="s">
        <v>11561</v>
      </c>
      <c r="B1302" s="2" t="s">
        <v>11562</v>
      </c>
      <c r="C1302" s="5" t="s">
        <v>2128</v>
      </c>
      <c r="D1302" s="5" t="s">
        <v>62</v>
      </c>
      <c r="E1302" s="5" t="n">
        <v>9</v>
      </c>
      <c r="F1302" s="5" t="s">
        <v>8902</v>
      </c>
      <c r="G1302" s="2" t="s">
        <v>8898</v>
      </c>
      <c r="H1302" s="5" t="s">
        <v>8336</v>
      </c>
      <c r="I1302" s="5"/>
      <c r="J1302" s="5"/>
      <c r="K1302" s="5" t="s">
        <v>11563</v>
      </c>
    </row>
    <row r="1303" customFormat="false" ht="23.85" hidden="false" customHeight="false" outlineLevel="0" collapsed="false">
      <c r="A1303" s="5" t="s">
        <v>11564</v>
      </c>
      <c r="B1303" s="2" t="s">
        <v>11565</v>
      </c>
      <c r="C1303" s="5" t="s">
        <v>2128</v>
      </c>
      <c r="D1303" s="5" t="s">
        <v>62</v>
      </c>
      <c r="E1303" s="5" t="n">
        <v>9</v>
      </c>
      <c r="F1303" s="5" t="s">
        <v>8902</v>
      </c>
      <c r="G1303" s="2" t="s">
        <v>8898</v>
      </c>
      <c r="H1303" s="5" t="s">
        <v>8336</v>
      </c>
      <c r="I1303" s="5"/>
      <c r="J1303" s="5"/>
      <c r="K1303" s="5" t="s">
        <v>11566</v>
      </c>
    </row>
    <row r="1304" customFormat="false" ht="23.85" hidden="false" customHeight="false" outlineLevel="0" collapsed="false">
      <c r="A1304" s="5" t="s">
        <v>11567</v>
      </c>
      <c r="B1304" s="2" t="s">
        <v>11568</v>
      </c>
      <c r="C1304" s="5" t="s">
        <v>2128</v>
      </c>
      <c r="D1304" s="5" t="s">
        <v>62</v>
      </c>
      <c r="E1304" s="5" t="n">
        <v>9</v>
      </c>
      <c r="F1304" s="5" t="s">
        <v>8902</v>
      </c>
      <c r="G1304" s="2" t="s">
        <v>8898</v>
      </c>
      <c r="H1304" s="5" t="s">
        <v>8336</v>
      </c>
      <c r="I1304" s="5"/>
      <c r="J1304" s="5"/>
      <c r="K1304" s="5" t="s">
        <v>11569</v>
      </c>
    </row>
    <row r="1305" customFormat="false" ht="23.85" hidden="false" customHeight="false" outlineLevel="0" collapsed="false">
      <c r="A1305" s="5" t="s">
        <v>11570</v>
      </c>
      <c r="B1305" s="2" t="s">
        <v>11571</v>
      </c>
      <c r="C1305" s="5" t="s">
        <v>2128</v>
      </c>
      <c r="D1305" s="5" t="s">
        <v>62</v>
      </c>
      <c r="E1305" s="5" t="n">
        <v>9</v>
      </c>
      <c r="F1305" s="5" t="s">
        <v>8902</v>
      </c>
      <c r="G1305" s="2" t="s">
        <v>8898</v>
      </c>
      <c r="H1305" s="5" t="s">
        <v>8336</v>
      </c>
      <c r="I1305" s="5"/>
      <c r="J1305" s="5"/>
      <c r="K1305" s="5" t="s">
        <v>11572</v>
      </c>
    </row>
    <row r="1306" customFormat="false" ht="23.85" hidden="false" customHeight="false" outlineLevel="0" collapsed="false">
      <c r="A1306" s="5" t="s">
        <v>11573</v>
      </c>
      <c r="B1306" s="2" t="s">
        <v>11574</v>
      </c>
      <c r="C1306" s="5" t="s">
        <v>2128</v>
      </c>
      <c r="D1306" s="5" t="s">
        <v>62</v>
      </c>
      <c r="E1306" s="5" t="n">
        <v>8</v>
      </c>
      <c r="F1306" s="5" t="s">
        <v>8795</v>
      </c>
      <c r="G1306" s="2" t="s">
        <v>8898</v>
      </c>
      <c r="H1306" s="5" t="s">
        <v>8336</v>
      </c>
      <c r="I1306" s="5"/>
      <c r="J1306" s="5"/>
      <c r="K1306" s="5" t="s">
        <v>11575</v>
      </c>
    </row>
    <row r="1307" customFormat="false" ht="23.85" hidden="false" customHeight="false" outlineLevel="0" collapsed="false">
      <c r="A1307" s="5" t="s">
        <v>11576</v>
      </c>
      <c r="B1307" s="2" t="s">
        <v>11577</v>
      </c>
      <c r="C1307" s="5" t="s">
        <v>2128</v>
      </c>
      <c r="D1307" s="5" t="s">
        <v>62</v>
      </c>
      <c r="E1307" s="5" t="n">
        <v>9</v>
      </c>
      <c r="F1307" s="5" t="s">
        <v>8902</v>
      </c>
      <c r="G1307" s="2" t="s">
        <v>8898</v>
      </c>
      <c r="H1307" s="5" t="s">
        <v>8336</v>
      </c>
      <c r="I1307" s="5"/>
      <c r="J1307" s="5"/>
      <c r="K1307" s="5" t="s">
        <v>11578</v>
      </c>
    </row>
    <row r="1308" customFormat="false" ht="23.85" hidden="false" customHeight="false" outlineLevel="0" collapsed="false">
      <c r="A1308" s="5" t="s">
        <v>11579</v>
      </c>
      <c r="B1308" s="2" t="s">
        <v>11580</v>
      </c>
      <c r="C1308" s="5" t="s">
        <v>2128</v>
      </c>
      <c r="D1308" s="5" t="s">
        <v>62</v>
      </c>
      <c r="E1308" s="5" t="n">
        <v>9</v>
      </c>
      <c r="F1308" s="5" t="s">
        <v>8902</v>
      </c>
      <c r="G1308" s="2" t="s">
        <v>8898</v>
      </c>
      <c r="H1308" s="5" t="s">
        <v>8336</v>
      </c>
      <c r="I1308" s="5"/>
      <c r="J1308" s="5"/>
      <c r="K1308" s="5" t="s">
        <v>11581</v>
      </c>
    </row>
    <row r="1309" customFormat="false" ht="23.85" hidden="false" customHeight="false" outlineLevel="0" collapsed="false">
      <c r="A1309" s="5" t="s">
        <v>11582</v>
      </c>
      <c r="B1309" s="2" t="s">
        <v>11583</v>
      </c>
      <c r="C1309" s="5" t="s">
        <v>2128</v>
      </c>
      <c r="D1309" s="5" t="s">
        <v>62</v>
      </c>
      <c r="E1309" s="5" t="n">
        <v>9</v>
      </c>
      <c r="F1309" s="5" t="s">
        <v>8902</v>
      </c>
      <c r="G1309" s="2" t="s">
        <v>8898</v>
      </c>
      <c r="H1309" s="5" t="s">
        <v>8336</v>
      </c>
      <c r="I1309" s="5"/>
      <c r="J1309" s="5"/>
      <c r="K1309" s="5" t="s">
        <v>11584</v>
      </c>
    </row>
    <row r="1310" customFormat="false" ht="23.85" hidden="false" customHeight="false" outlineLevel="0" collapsed="false">
      <c r="A1310" s="5" t="s">
        <v>6117</v>
      </c>
      <c r="B1310" s="2" t="s">
        <v>6118</v>
      </c>
      <c r="C1310" s="5" t="s">
        <v>2128</v>
      </c>
      <c r="D1310" s="5" t="s">
        <v>62</v>
      </c>
      <c r="E1310" s="5" t="n">
        <v>9</v>
      </c>
      <c r="F1310" s="5" t="s">
        <v>2079</v>
      </c>
      <c r="G1310" s="2" t="s">
        <v>8898</v>
      </c>
      <c r="H1310" s="5" t="s">
        <v>8332</v>
      </c>
      <c r="I1310" s="5" t="s">
        <v>4760</v>
      </c>
      <c r="J1310" s="5" t="s">
        <v>2079</v>
      </c>
      <c r="K1310" s="5" t="s">
        <v>6123</v>
      </c>
    </row>
    <row r="1311" customFormat="false" ht="23.85" hidden="false" customHeight="false" outlineLevel="0" collapsed="false">
      <c r="A1311" s="5" t="s">
        <v>11585</v>
      </c>
      <c r="B1311" s="2" t="s">
        <v>11586</v>
      </c>
      <c r="C1311" s="5" t="s">
        <v>2128</v>
      </c>
      <c r="D1311" s="5" t="s">
        <v>62</v>
      </c>
      <c r="E1311" s="5" t="n">
        <v>7</v>
      </c>
      <c r="F1311" s="5" t="s">
        <v>8902</v>
      </c>
      <c r="G1311" s="2" t="s">
        <v>8898</v>
      </c>
      <c r="H1311" s="5" t="s">
        <v>8336</v>
      </c>
      <c r="I1311" s="5"/>
      <c r="J1311" s="5"/>
      <c r="K1311" s="5" t="s">
        <v>11587</v>
      </c>
    </row>
    <row r="1312" customFormat="false" ht="23.85" hidden="false" customHeight="false" outlineLevel="0" collapsed="false">
      <c r="A1312" s="5" t="s">
        <v>11588</v>
      </c>
      <c r="B1312" s="2" t="s">
        <v>11589</v>
      </c>
      <c r="C1312" s="5" t="s">
        <v>2128</v>
      </c>
      <c r="D1312" s="5" t="s">
        <v>62</v>
      </c>
      <c r="E1312" s="5" t="n">
        <v>9</v>
      </c>
      <c r="F1312" s="5" t="s">
        <v>8902</v>
      </c>
      <c r="G1312" s="2" t="s">
        <v>8898</v>
      </c>
      <c r="H1312" s="5" t="s">
        <v>8336</v>
      </c>
      <c r="I1312" s="5"/>
      <c r="J1312" s="5"/>
      <c r="K1312" s="5" t="s">
        <v>11590</v>
      </c>
    </row>
    <row r="1313" customFormat="false" ht="23.85" hidden="false" customHeight="false" outlineLevel="0" collapsed="false">
      <c r="A1313" s="5" t="s">
        <v>11591</v>
      </c>
      <c r="B1313" s="2" t="s">
        <v>11592</v>
      </c>
      <c r="C1313" s="5" t="s">
        <v>2128</v>
      </c>
      <c r="D1313" s="5" t="s">
        <v>62</v>
      </c>
      <c r="E1313" s="5" t="n">
        <v>9</v>
      </c>
      <c r="F1313" s="5" t="s">
        <v>8902</v>
      </c>
      <c r="G1313" s="2" t="s">
        <v>8898</v>
      </c>
      <c r="H1313" s="5" t="s">
        <v>8336</v>
      </c>
      <c r="I1313" s="5"/>
      <c r="J1313" s="5"/>
      <c r="K1313" s="5" t="s">
        <v>11593</v>
      </c>
    </row>
    <row r="1314" customFormat="false" ht="23.85" hidden="false" customHeight="false" outlineLevel="0" collapsed="false">
      <c r="A1314" s="5" t="s">
        <v>11594</v>
      </c>
      <c r="B1314" s="2" t="s">
        <v>11595</v>
      </c>
      <c r="C1314" s="5" t="s">
        <v>2128</v>
      </c>
      <c r="D1314" s="5" t="s">
        <v>62</v>
      </c>
      <c r="E1314" s="5" t="n">
        <v>9</v>
      </c>
      <c r="F1314" s="5" t="s">
        <v>8902</v>
      </c>
      <c r="G1314" s="2" t="s">
        <v>8898</v>
      </c>
      <c r="H1314" s="5" t="s">
        <v>8336</v>
      </c>
      <c r="I1314" s="5"/>
      <c r="J1314" s="5"/>
      <c r="K1314" s="5" t="s">
        <v>11596</v>
      </c>
    </row>
    <row r="1315" customFormat="false" ht="23.85" hidden="false" customHeight="false" outlineLevel="0" collapsed="false">
      <c r="A1315" s="5" t="s">
        <v>11597</v>
      </c>
      <c r="B1315" s="2" t="s">
        <v>11598</v>
      </c>
      <c r="C1315" s="5" t="s">
        <v>2128</v>
      </c>
      <c r="D1315" s="5" t="s">
        <v>62</v>
      </c>
      <c r="E1315" s="5" t="n">
        <v>9</v>
      </c>
      <c r="F1315" s="5" t="s">
        <v>8902</v>
      </c>
      <c r="G1315" s="2" t="s">
        <v>8898</v>
      </c>
      <c r="H1315" s="5" t="s">
        <v>8336</v>
      </c>
      <c r="I1315" s="5"/>
      <c r="J1315" s="5"/>
      <c r="K1315" s="5" t="s">
        <v>11599</v>
      </c>
    </row>
    <row r="1316" customFormat="false" ht="23.85" hidden="false" customHeight="false" outlineLevel="0" collapsed="false">
      <c r="A1316" s="5" t="s">
        <v>11600</v>
      </c>
      <c r="B1316" s="2" t="s">
        <v>11601</v>
      </c>
      <c r="C1316" s="5" t="s">
        <v>2128</v>
      </c>
      <c r="D1316" s="5" t="s">
        <v>62</v>
      </c>
      <c r="E1316" s="5" t="n">
        <v>9</v>
      </c>
      <c r="F1316" s="5" t="s">
        <v>8902</v>
      </c>
      <c r="G1316" s="2" t="s">
        <v>8898</v>
      </c>
      <c r="H1316" s="5" t="s">
        <v>8336</v>
      </c>
      <c r="I1316" s="5"/>
      <c r="J1316" s="5"/>
      <c r="K1316" s="5" t="s">
        <v>11602</v>
      </c>
    </row>
    <row r="1317" customFormat="false" ht="23.85" hidden="false" customHeight="false" outlineLevel="0" collapsed="false">
      <c r="A1317" s="5" t="s">
        <v>11603</v>
      </c>
      <c r="B1317" s="2" t="s">
        <v>11604</v>
      </c>
      <c r="C1317" s="5" t="s">
        <v>2128</v>
      </c>
      <c r="D1317" s="5" t="s">
        <v>62</v>
      </c>
      <c r="E1317" s="5" t="n">
        <v>9</v>
      </c>
      <c r="F1317" s="5" t="s">
        <v>8902</v>
      </c>
      <c r="G1317" s="2" t="s">
        <v>8898</v>
      </c>
      <c r="H1317" s="5" t="s">
        <v>8336</v>
      </c>
      <c r="I1317" s="5"/>
      <c r="J1317" s="5"/>
      <c r="K1317" s="5" t="s">
        <v>11605</v>
      </c>
    </row>
    <row r="1318" customFormat="false" ht="23.85" hidden="false" customHeight="false" outlineLevel="0" collapsed="false">
      <c r="A1318" s="5" t="s">
        <v>11606</v>
      </c>
      <c r="B1318" s="2" t="s">
        <v>11607</v>
      </c>
      <c r="C1318" s="5" t="s">
        <v>2128</v>
      </c>
      <c r="D1318" s="5" t="s">
        <v>62</v>
      </c>
      <c r="E1318" s="5" t="n">
        <v>9</v>
      </c>
      <c r="F1318" s="5" t="s">
        <v>8902</v>
      </c>
      <c r="G1318" s="2" t="s">
        <v>8898</v>
      </c>
      <c r="H1318" s="5" t="s">
        <v>8336</v>
      </c>
      <c r="I1318" s="5"/>
      <c r="J1318" s="5"/>
      <c r="K1318" s="5" t="s">
        <v>11608</v>
      </c>
    </row>
    <row r="1319" customFormat="false" ht="23.85" hidden="false" customHeight="false" outlineLevel="0" collapsed="false">
      <c r="A1319" s="5" t="s">
        <v>11609</v>
      </c>
      <c r="B1319" s="2" t="s">
        <v>11610</v>
      </c>
      <c r="C1319" s="5" t="s">
        <v>2128</v>
      </c>
      <c r="D1319" s="5" t="s">
        <v>62</v>
      </c>
      <c r="E1319" s="5" t="n">
        <v>9</v>
      </c>
      <c r="F1319" s="5" t="s">
        <v>8902</v>
      </c>
      <c r="G1319" s="2" t="s">
        <v>8898</v>
      </c>
      <c r="H1319" s="5" t="s">
        <v>8336</v>
      </c>
      <c r="I1319" s="5"/>
      <c r="J1319" s="5"/>
      <c r="K1319" s="5" t="s">
        <v>11611</v>
      </c>
    </row>
    <row r="1320" customFormat="false" ht="23.85" hidden="false" customHeight="false" outlineLevel="0" collapsed="false">
      <c r="A1320" s="5" t="s">
        <v>11612</v>
      </c>
      <c r="B1320" s="2" t="s">
        <v>11613</v>
      </c>
      <c r="C1320" s="5" t="s">
        <v>2128</v>
      </c>
      <c r="D1320" s="5" t="s">
        <v>62</v>
      </c>
      <c r="E1320" s="5" t="n">
        <v>9</v>
      </c>
      <c r="F1320" s="5" t="s">
        <v>8902</v>
      </c>
      <c r="G1320" s="2" t="s">
        <v>8898</v>
      </c>
      <c r="H1320" s="5" t="s">
        <v>8336</v>
      </c>
      <c r="I1320" s="5"/>
      <c r="J1320" s="5"/>
      <c r="K1320" s="5" t="s">
        <v>11614</v>
      </c>
    </row>
    <row r="1321" customFormat="false" ht="23.85" hidden="false" customHeight="false" outlineLevel="0" collapsed="false">
      <c r="A1321" s="5" t="s">
        <v>11615</v>
      </c>
      <c r="B1321" s="2" t="s">
        <v>11616</v>
      </c>
      <c r="C1321" s="5" t="s">
        <v>2128</v>
      </c>
      <c r="D1321" s="5" t="s">
        <v>62</v>
      </c>
      <c r="E1321" s="5" t="n">
        <v>9</v>
      </c>
      <c r="F1321" s="5" t="s">
        <v>8902</v>
      </c>
      <c r="G1321" s="2" t="s">
        <v>8898</v>
      </c>
      <c r="H1321" s="5" t="s">
        <v>8336</v>
      </c>
      <c r="I1321" s="5"/>
      <c r="J1321" s="5"/>
      <c r="K1321" s="5" t="s">
        <v>11617</v>
      </c>
    </row>
    <row r="1322" customFormat="false" ht="23.85" hidden="false" customHeight="false" outlineLevel="0" collapsed="false">
      <c r="A1322" s="5" t="s">
        <v>11618</v>
      </c>
      <c r="B1322" s="2" t="s">
        <v>11619</v>
      </c>
      <c r="C1322" s="5" t="s">
        <v>2128</v>
      </c>
      <c r="D1322" s="5" t="s">
        <v>62</v>
      </c>
      <c r="E1322" s="5" t="n">
        <v>9</v>
      </c>
      <c r="F1322" s="5" t="s">
        <v>8902</v>
      </c>
      <c r="G1322" s="2" t="s">
        <v>8898</v>
      </c>
      <c r="H1322" s="5" t="s">
        <v>8336</v>
      </c>
      <c r="I1322" s="5"/>
      <c r="J1322" s="5"/>
      <c r="K1322" s="5" t="s">
        <v>11620</v>
      </c>
    </row>
    <row r="1323" customFormat="false" ht="23.85" hidden="false" customHeight="false" outlineLevel="0" collapsed="false">
      <c r="A1323" s="5" t="s">
        <v>11621</v>
      </c>
      <c r="B1323" s="2" t="s">
        <v>11622</v>
      </c>
      <c r="C1323" s="5" t="s">
        <v>2128</v>
      </c>
      <c r="D1323" s="5" t="s">
        <v>62</v>
      </c>
      <c r="E1323" s="5" t="n">
        <v>9</v>
      </c>
      <c r="F1323" s="5" t="s">
        <v>8902</v>
      </c>
      <c r="G1323" s="2" t="s">
        <v>8898</v>
      </c>
      <c r="H1323" s="5" t="s">
        <v>8336</v>
      </c>
      <c r="I1323" s="5"/>
      <c r="J1323" s="5"/>
      <c r="K1323" s="5" t="s">
        <v>11623</v>
      </c>
    </row>
    <row r="1324" customFormat="false" ht="23.85" hidden="false" customHeight="false" outlineLevel="0" collapsed="false">
      <c r="A1324" s="5" t="s">
        <v>11624</v>
      </c>
      <c r="B1324" s="2" t="s">
        <v>11625</v>
      </c>
      <c r="C1324" s="5" t="s">
        <v>2128</v>
      </c>
      <c r="D1324" s="5" t="s">
        <v>62</v>
      </c>
      <c r="E1324" s="5" t="n">
        <v>9</v>
      </c>
      <c r="F1324" s="5" t="s">
        <v>8902</v>
      </c>
      <c r="G1324" s="2" t="s">
        <v>8898</v>
      </c>
      <c r="H1324" s="5" t="s">
        <v>8336</v>
      </c>
      <c r="I1324" s="5"/>
      <c r="J1324" s="5"/>
      <c r="K1324" s="5" t="s">
        <v>11626</v>
      </c>
    </row>
    <row r="1325" customFormat="false" ht="23.85" hidden="false" customHeight="false" outlineLevel="0" collapsed="false">
      <c r="A1325" s="5" t="s">
        <v>11627</v>
      </c>
      <c r="B1325" s="2" t="s">
        <v>11628</v>
      </c>
      <c r="C1325" s="5" t="s">
        <v>2128</v>
      </c>
      <c r="D1325" s="5" t="s">
        <v>62</v>
      </c>
      <c r="E1325" s="5" t="n">
        <v>9</v>
      </c>
      <c r="F1325" s="5" t="s">
        <v>8902</v>
      </c>
      <c r="G1325" s="2" t="s">
        <v>8898</v>
      </c>
      <c r="H1325" s="5" t="s">
        <v>8336</v>
      </c>
      <c r="I1325" s="5"/>
      <c r="J1325" s="5"/>
      <c r="K1325" s="5" t="s">
        <v>11629</v>
      </c>
    </row>
    <row r="1326" customFormat="false" ht="23.85" hidden="false" customHeight="false" outlineLevel="0" collapsed="false">
      <c r="A1326" s="5" t="s">
        <v>11630</v>
      </c>
      <c r="B1326" s="2" t="s">
        <v>11631</v>
      </c>
      <c r="C1326" s="5" t="s">
        <v>2128</v>
      </c>
      <c r="D1326" s="5" t="s">
        <v>62</v>
      </c>
      <c r="E1326" s="5" t="n">
        <v>9</v>
      </c>
      <c r="F1326" s="5" t="s">
        <v>8902</v>
      </c>
      <c r="G1326" s="2" t="s">
        <v>8898</v>
      </c>
      <c r="H1326" s="5" t="s">
        <v>8336</v>
      </c>
      <c r="I1326" s="5"/>
      <c r="J1326" s="5"/>
      <c r="K1326" s="5" t="s">
        <v>11632</v>
      </c>
    </row>
    <row r="1327" customFormat="false" ht="23.85" hidden="false" customHeight="false" outlineLevel="0" collapsed="false">
      <c r="A1327" s="5" t="s">
        <v>11633</v>
      </c>
      <c r="B1327" s="2" t="s">
        <v>11634</v>
      </c>
      <c r="C1327" s="5" t="s">
        <v>2128</v>
      </c>
      <c r="D1327" s="5" t="s">
        <v>62</v>
      </c>
      <c r="E1327" s="5" t="n">
        <v>9</v>
      </c>
      <c r="F1327" s="5" t="s">
        <v>8902</v>
      </c>
      <c r="G1327" s="2" t="s">
        <v>8898</v>
      </c>
      <c r="H1327" s="5" t="s">
        <v>8336</v>
      </c>
      <c r="I1327" s="5"/>
      <c r="J1327" s="5"/>
      <c r="K1327" s="5" t="s">
        <v>11635</v>
      </c>
    </row>
    <row r="1328" customFormat="false" ht="23.85" hidden="false" customHeight="false" outlineLevel="0" collapsed="false">
      <c r="A1328" s="5" t="s">
        <v>11636</v>
      </c>
      <c r="B1328" s="2" t="s">
        <v>11637</v>
      </c>
      <c r="C1328" s="5" t="s">
        <v>2128</v>
      </c>
      <c r="D1328" s="5" t="s">
        <v>62</v>
      </c>
      <c r="E1328" s="5" t="n">
        <v>9</v>
      </c>
      <c r="F1328" s="5" t="s">
        <v>8902</v>
      </c>
      <c r="G1328" s="2" t="s">
        <v>8898</v>
      </c>
      <c r="H1328" s="5" t="s">
        <v>8336</v>
      </c>
      <c r="I1328" s="5"/>
      <c r="J1328" s="5"/>
      <c r="K1328" s="5" t="s">
        <v>11638</v>
      </c>
    </row>
    <row r="1329" customFormat="false" ht="23.85" hidden="false" customHeight="false" outlineLevel="0" collapsed="false">
      <c r="A1329" s="5" t="s">
        <v>11639</v>
      </c>
      <c r="B1329" s="2" t="s">
        <v>11640</v>
      </c>
      <c r="C1329" s="5" t="s">
        <v>2128</v>
      </c>
      <c r="D1329" s="5" t="s">
        <v>62</v>
      </c>
      <c r="E1329" s="5" t="n">
        <v>9</v>
      </c>
      <c r="F1329" s="5" t="s">
        <v>8902</v>
      </c>
      <c r="G1329" s="2" t="s">
        <v>8898</v>
      </c>
      <c r="H1329" s="5" t="s">
        <v>8336</v>
      </c>
      <c r="I1329" s="5"/>
      <c r="J1329" s="5"/>
      <c r="K1329" s="5" t="s">
        <v>11641</v>
      </c>
    </row>
    <row r="1330" customFormat="false" ht="23.85" hidden="false" customHeight="false" outlineLevel="0" collapsed="false">
      <c r="A1330" s="5" t="s">
        <v>11642</v>
      </c>
      <c r="B1330" s="2" t="s">
        <v>11643</v>
      </c>
      <c r="C1330" s="5" t="s">
        <v>2128</v>
      </c>
      <c r="D1330" s="5" t="s">
        <v>62</v>
      </c>
      <c r="E1330" s="5" t="n">
        <v>9</v>
      </c>
      <c r="F1330" s="5" t="s">
        <v>8902</v>
      </c>
      <c r="G1330" s="2" t="s">
        <v>8898</v>
      </c>
      <c r="H1330" s="5" t="s">
        <v>8336</v>
      </c>
      <c r="I1330" s="5"/>
      <c r="J1330" s="5"/>
      <c r="K1330" s="5" t="s">
        <v>11644</v>
      </c>
    </row>
    <row r="1331" customFormat="false" ht="23.85" hidden="false" customHeight="false" outlineLevel="0" collapsed="false">
      <c r="A1331" s="5" t="s">
        <v>11645</v>
      </c>
      <c r="B1331" s="2" t="s">
        <v>11646</v>
      </c>
      <c r="C1331" s="5" t="s">
        <v>2128</v>
      </c>
      <c r="D1331" s="5" t="s">
        <v>62</v>
      </c>
      <c r="E1331" s="5" t="n">
        <v>9</v>
      </c>
      <c r="F1331" s="5" t="s">
        <v>8902</v>
      </c>
      <c r="G1331" s="2" t="s">
        <v>8898</v>
      </c>
      <c r="H1331" s="5" t="s">
        <v>8336</v>
      </c>
      <c r="I1331" s="5"/>
      <c r="J1331" s="5"/>
      <c r="K1331" s="5" t="s">
        <v>11647</v>
      </c>
    </row>
    <row r="1332" customFormat="false" ht="23.85" hidden="false" customHeight="false" outlineLevel="0" collapsed="false">
      <c r="A1332" s="5" t="s">
        <v>11648</v>
      </c>
      <c r="B1332" s="2" t="s">
        <v>11649</v>
      </c>
      <c r="C1332" s="5" t="s">
        <v>2128</v>
      </c>
      <c r="D1332" s="5" t="s">
        <v>62</v>
      </c>
      <c r="E1332" s="5" t="n">
        <v>9</v>
      </c>
      <c r="F1332" s="5" t="s">
        <v>8902</v>
      </c>
      <c r="G1332" s="2" t="s">
        <v>8898</v>
      </c>
      <c r="H1332" s="5" t="s">
        <v>8336</v>
      </c>
      <c r="I1332" s="5"/>
      <c r="J1332" s="5"/>
      <c r="K1332" s="5" t="s">
        <v>11650</v>
      </c>
    </row>
    <row r="1333" customFormat="false" ht="23.85" hidden="false" customHeight="false" outlineLevel="0" collapsed="false">
      <c r="A1333" s="5" t="s">
        <v>11651</v>
      </c>
      <c r="B1333" s="2" t="s">
        <v>11652</v>
      </c>
      <c r="C1333" s="5" t="s">
        <v>2128</v>
      </c>
      <c r="D1333" s="5" t="s">
        <v>62</v>
      </c>
      <c r="E1333" s="5" t="n">
        <v>9</v>
      </c>
      <c r="F1333" s="5" t="s">
        <v>8902</v>
      </c>
      <c r="G1333" s="2" t="s">
        <v>8898</v>
      </c>
      <c r="H1333" s="5" t="s">
        <v>8336</v>
      </c>
      <c r="I1333" s="5"/>
      <c r="J1333" s="5"/>
      <c r="K1333" s="5" t="s">
        <v>11653</v>
      </c>
    </row>
    <row r="1334" customFormat="false" ht="23.85" hidden="false" customHeight="false" outlineLevel="0" collapsed="false">
      <c r="A1334" s="5" t="s">
        <v>11654</v>
      </c>
      <c r="B1334" s="2" t="s">
        <v>11655</v>
      </c>
      <c r="C1334" s="5" t="s">
        <v>2128</v>
      </c>
      <c r="D1334" s="5" t="s">
        <v>62</v>
      </c>
      <c r="E1334" s="5" t="n">
        <v>9</v>
      </c>
      <c r="F1334" s="5" t="s">
        <v>8902</v>
      </c>
      <c r="G1334" s="2" t="s">
        <v>8898</v>
      </c>
      <c r="H1334" s="5" t="s">
        <v>8336</v>
      </c>
      <c r="I1334" s="5"/>
      <c r="J1334" s="5"/>
      <c r="K1334" s="5" t="s">
        <v>11656</v>
      </c>
    </row>
    <row r="1335" customFormat="false" ht="23.85" hidden="false" customHeight="false" outlineLevel="0" collapsed="false">
      <c r="A1335" s="5" t="s">
        <v>11657</v>
      </c>
      <c r="B1335" s="2" t="s">
        <v>11658</v>
      </c>
      <c r="C1335" s="5" t="s">
        <v>2128</v>
      </c>
      <c r="D1335" s="5" t="s">
        <v>62</v>
      </c>
      <c r="E1335" s="5" t="n">
        <v>9</v>
      </c>
      <c r="F1335" s="5" t="s">
        <v>8902</v>
      </c>
      <c r="G1335" s="2" t="s">
        <v>8898</v>
      </c>
      <c r="H1335" s="5" t="s">
        <v>8336</v>
      </c>
      <c r="I1335" s="5"/>
      <c r="J1335" s="5"/>
      <c r="K1335" s="5" t="s">
        <v>11659</v>
      </c>
    </row>
    <row r="1336" customFormat="false" ht="23.85" hidden="false" customHeight="false" outlineLevel="0" collapsed="false">
      <c r="A1336" s="5" t="s">
        <v>11660</v>
      </c>
      <c r="B1336" s="2" t="s">
        <v>11661</v>
      </c>
      <c r="C1336" s="5" t="s">
        <v>2128</v>
      </c>
      <c r="D1336" s="5" t="s">
        <v>62</v>
      </c>
      <c r="E1336" s="5" t="n">
        <v>9</v>
      </c>
      <c r="F1336" s="5" t="s">
        <v>8902</v>
      </c>
      <c r="G1336" s="2" t="s">
        <v>8898</v>
      </c>
      <c r="H1336" s="5" t="s">
        <v>8336</v>
      </c>
      <c r="I1336" s="5"/>
      <c r="J1336" s="5"/>
      <c r="K1336" s="5" t="s">
        <v>11662</v>
      </c>
    </row>
    <row r="1337" customFormat="false" ht="23.85" hidden="false" customHeight="false" outlineLevel="0" collapsed="false">
      <c r="A1337" s="5" t="s">
        <v>11663</v>
      </c>
      <c r="B1337" s="2" t="s">
        <v>11664</v>
      </c>
      <c r="C1337" s="5" t="s">
        <v>2128</v>
      </c>
      <c r="D1337" s="5" t="s">
        <v>62</v>
      </c>
      <c r="E1337" s="5" t="n">
        <v>9</v>
      </c>
      <c r="F1337" s="5" t="s">
        <v>8902</v>
      </c>
      <c r="G1337" s="2" t="s">
        <v>8898</v>
      </c>
      <c r="H1337" s="5" t="s">
        <v>8336</v>
      </c>
      <c r="I1337" s="5"/>
      <c r="J1337" s="5"/>
      <c r="K1337" s="5" t="s">
        <v>11665</v>
      </c>
    </row>
    <row r="1338" customFormat="false" ht="23.85" hidden="false" customHeight="false" outlineLevel="0" collapsed="false">
      <c r="A1338" s="5" t="s">
        <v>11666</v>
      </c>
      <c r="B1338" s="2" t="s">
        <v>11667</v>
      </c>
      <c r="C1338" s="5" t="s">
        <v>2128</v>
      </c>
      <c r="D1338" s="5" t="s">
        <v>62</v>
      </c>
      <c r="E1338" s="5" t="n">
        <v>9</v>
      </c>
      <c r="F1338" s="5" t="s">
        <v>8902</v>
      </c>
      <c r="G1338" s="2" t="s">
        <v>8898</v>
      </c>
      <c r="H1338" s="5" t="s">
        <v>8336</v>
      </c>
      <c r="I1338" s="5"/>
      <c r="J1338" s="5"/>
      <c r="K1338" s="5" t="s">
        <v>11668</v>
      </c>
    </row>
    <row r="1339" customFormat="false" ht="23.85" hidden="false" customHeight="false" outlineLevel="0" collapsed="false">
      <c r="A1339" s="5" t="s">
        <v>11669</v>
      </c>
      <c r="B1339" s="2" t="s">
        <v>11670</v>
      </c>
      <c r="C1339" s="5" t="s">
        <v>2128</v>
      </c>
      <c r="D1339" s="5" t="s">
        <v>62</v>
      </c>
      <c r="E1339" s="5" t="n">
        <v>9</v>
      </c>
      <c r="F1339" s="5" t="s">
        <v>8902</v>
      </c>
      <c r="G1339" s="2" t="s">
        <v>8898</v>
      </c>
      <c r="H1339" s="5" t="s">
        <v>8336</v>
      </c>
      <c r="I1339" s="5"/>
      <c r="J1339" s="5"/>
      <c r="K1339" s="5" t="s">
        <v>11671</v>
      </c>
    </row>
    <row r="1340" customFormat="false" ht="23.85" hidden="false" customHeight="false" outlineLevel="0" collapsed="false">
      <c r="A1340" s="5" t="s">
        <v>11672</v>
      </c>
      <c r="B1340" s="2" t="s">
        <v>11673</v>
      </c>
      <c r="C1340" s="5" t="s">
        <v>2128</v>
      </c>
      <c r="D1340" s="5" t="s">
        <v>62</v>
      </c>
      <c r="E1340" s="5" t="n">
        <v>9</v>
      </c>
      <c r="F1340" s="5" t="s">
        <v>8902</v>
      </c>
      <c r="G1340" s="2" t="s">
        <v>8898</v>
      </c>
      <c r="H1340" s="5" t="s">
        <v>8336</v>
      </c>
      <c r="I1340" s="5"/>
      <c r="J1340" s="5"/>
      <c r="K1340" s="5" t="s">
        <v>11674</v>
      </c>
    </row>
    <row r="1341" customFormat="false" ht="23.85" hidden="false" customHeight="false" outlineLevel="0" collapsed="false">
      <c r="A1341" s="5" t="s">
        <v>11675</v>
      </c>
      <c r="B1341" s="2" t="s">
        <v>11676</v>
      </c>
      <c r="C1341" s="5" t="s">
        <v>2128</v>
      </c>
      <c r="D1341" s="5" t="s">
        <v>62</v>
      </c>
      <c r="E1341" s="5" t="n">
        <v>9</v>
      </c>
      <c r="F1341" s="5" t="s">
        <v>8902</v>
      </c>
      <c r="G1341" s="2" t="s">
        <v>8898</v>
      </c>
      <c r="H1341" s="5" t="s">
        <v>8336</v>
      </c>
      <c r="I1341" s="5"/>
      <c r="J1341" s="5"/>
      <c r="K1341" s="5" t="s">
        <v>11677</v>
      </c>
    </row>
    <row r="1342" customFormat="false" ht="23.85" hidden="false" customHeight="false" outlineLevel="0" collapsed="false">
      <c r="A1342" s="5" t="s">
        <v>2799</v>
      </c>
      <c r="B1342" s="2" t="s">
        <v>2800</v>
      </c>
      <c r="C1342" s="5" t="s">
        <v>2128</v>
      </c>
      <c r="D1342" s="5" t="s">
        <v>62</v>
      </c>
      <c r="E1342" s="5" t="n">
        <v>9</v>
      </c>
      <c r="F1342" s="5" t="s">
        <v>2154</v>
      </c>
      <c r="G1342" s="2" t="s">
        <v>184</v>
      </c>
      <c r="H1342" s="5" t="s">
        <v>8332</v>
      </c>
      <c r="I1342" s="5" t="s">
        <v>60</v>
      </c>
      <c r="J1342" s="5" t="s">
        <v>2801</v>
      </c>
      <c r="K1342" s="5" t="s">
        <v>2810</v>
      </c>
    </row>
    <row r="1343" customFormat="false" ht="15" hidden="false" customHeight="false" outlineLevel="0" collapsed="false">
      <c r="A1343" s="5" t="s">
        <v>2811</v>
      </c>
      <c r="B1343" s="2" t="s">
        <v>2812</v>
      </c>
      <c r="C1343" s="5" t="s">
        <v>2128</v>
      </c>
      <c r="D1343" s="5" t="s">
        <v>490</v>
      </c>
      <c r="E1343" s="5" t="n">
        <v>9</v>
      </c>
      <c r="F1343" s="5" t="s">
        <v>90</v>
      </c>
      <c r="G1343" s="2" t="s">
        <v>2155</v>
      </c>
      <c r="H1343" s="5" t="s">
        <v>8332</v>
      </c>
      <c r="I1343" s="5" t="s">
        <v>60</v>
      </c>
      <c r="J1343" s="5" t="s">
        <v>2813</v>
      </c>
      <c r="K1343" s="5" t="s">
        <v>2817</v>
      </c>
    </row>
    <row r="1344" customFormat="false" ht="15" hidden="false" customHeight="false" outlineLevel="0" collapsed="false">
      <c r="A1344" s="5" t="s">
        <v>11678</v>
      </c>
      <c r="B1344" s="2" t="s">
        <v>11679</v>
      </c>
      <c r="C1344" s="5" t="s">
        <v>2128</v>
      </c>
      <c r="D1344" s="5" t="s">
        <v>62</v>
      </c>
      <c r="E1344" s="5" t="n">
        <v>9</v>
      </c>
      <c r="F1344" s="5" t="s">
        <v>413</v>
      </c>
      <c r="G1344" s="2" t="s">
        <v>11680</v>
      </c>
      <c r="H1344" s="5" t="s">
        <v>8336</v>
      </c>
      <c r="I1344" s="5"/>
      <c r="J1344" s="5"/>
      <c r="K1344" s="5" t="s">
        <v>11681</v>
      </c>
    </row>
    <row r="1345" customFormat="false" ht="23.85" hidden="false" customHeight="false" outlineLevel="0" collapsed="false">
      <c r="A1345" s="5" t="s">
        <v>11682</v>
      </c>
      <c r="B1345" s="2" t="s">
        <v>11683</v>
      </c>
      <c r="C1345" s="5" t="s">
        <v>2128</v>
      </c>
      <c r="D1345" s="5" t="s">
        <v>62</v>
      </c>
      <c r="E1345" s="5" t="n">
        <v>7</v>
      </c>
      <c r="F1345" s="5" t="s">
        <v>1814</v>
      </c>
      <c r="G1345" s="2" t="s">
        <v>8682</v>
      </c>
      <c r="H1345" s="5" t="s">
        <v>8336</v>
      </c>
      <c r="I1345" s="5"/>
      <c r="J1345" s="5"/>
      <c r="K1345" s="5" t="s">
        <v>11684</v>
      </c>
    </row>
    <row r="1346" customFormat="false" ht="23.85" hidden="false" customHeight="false" outlineLevel="0" collapsed="false">
      <c r="A1346" s="5" t="s">
        <v>11685</v>
      </c>
      <c r="B1346" s="2" t="s">
        <v>11686</v>
      </c>
      <c r="C1346" s="5" t="s">
        <v>2128</v>
      </c>
      <c r="D1346" s="5" t="s">
        <v>62</v>
      </c>
      <c r="E1346" s="5" t="n">
        <v>7</v>
      </c>
      <c r="F1346" s="5" t="s">
        <v>11687</v>
      </c>
      <c r="G1346" s="2" t="s">
        <v>11688</v>
      </c>
      <c r="H1346" s="5" t="s">
        <v>8336</v>
      </c>
      <c r="I1346" s="5"/>
      <c r="J1346" s="5"/>
      <c r="K1346" s="5" t="s">
        <v>11689</v>
      </c>
    </row>
    <row r="1347" customFormat="false" ht="23.85" hidden="false" customHeight="false" outlineLevel="0" collapsed="false">
      <c r="A1347" s="5" t="s">
        <v>11690</v>
      </c>
      <c r="B1347" s="2" t="s">
        <v>11691</v>
      </c>
      <c r="C1347" s="5" t="s">
        <v>2128</v>
      </c>
      <c r="D1347" s="5" t="s">
        <v>62</v>
      </c>
      <c r="E1347" s="5" t="n">
        <v>7</v>
      </c>
      <c r="F1347" s="5" t="s">
        <v>11687</v>
      </c>
      <c r="G1347" s="2" t="s">
        <v>11688</v>
      </c>
      <c r="H1347" s="5" t="s">
        <v>8336</v>
      </c>
      <c r="I1347" s="5"/>
      <c r="J1347" s="5"/>
      <c r="K1347" s="5" t="s">
        <v>11692</v>
      </c>
    </row>
    <row r="1348" customFormat="false" ht="23.85" hidden="false" customHeight="false" outlineLevel="0" collapsed="false">
      <c r="A1348" s="5" t="s">
        <v>11693</v>
      </c>
      <c r="B1348" s="2" t="s">
        <v>11694</v>
      </c>
      <c r="C1348" s="5" t="s">
        <v>2128</v>
      </c>
      <c r="D1348" s="5" t="s">
        <v>62</v>
      </c>
      <c r="E1348" s="5" t="n">
        <v>7</v>
      </c>
      <c r="F1348" s="5" t="s">
        <v>11687</v>
      </c>
      <c r="G1348" s="2" t="s">
        <v>11688</v>
      </c>
      <c r="H1348" s="5" t="s">
        <v>8336</v>
      </c>
      <c r="I1348" s="5"/>
      <c r="J1348" s="5"/>
      <c r="K1348" s="5" t="s">
        <v>11695</v>
      </c>
    </row>
    <row r="1349" customFormat="false" ht="23.85" hidden="false" customHeight="false" outlineLevel="0" collapsed="false">
      <c r="A1349" s="5" t="s">
        <v>11696</v>
      </c>
      <c r="B1349" s="2" t="s">
        <v>11697</v>
      </c>
      <c r="C1349" s="5" t="s">
        <v>2128</v>
      </c>
      <c r="D1349" s="5" t="s">
        <v>62</v>
      </c>
      <c r="E1349" s="5" t="n">
        <v>7</v>
      </c>
      <c r="F1349" s="5" t="s">
        <v>11687</v>
      </c>
      <c r="G1349" s="2" t="s">
        <v>11688</v>
      </c>
      <c r="H1349" s="5" t="s">
        <v>8336</v>
      </c>
      <c r="I1349" s="5"/>
      <c r="J1349" s="5"/>
      <c r="K1349" s="5" t="s">
        <v>11698</v>
      </c>
    </row>
    <row r="1350" customFormat="false" ht="23.85" hidden="false" customHeight="false" outlineLevel="0" collapsed="false">
      <c r="A1350" s="5" t="s">
        <v>11699</v>
      </c>
      <c r="B1350" s="2" t="s">
        <v>11700</v>
      </c>
      <c r="C1350" s="5" t="s">
        <v>2128</v>
      </c>
      <c r="D1350" s="5" t="s">
        <v>62</v>
      </c>
      <c r="E1350" s="5" t="n">
        <v>7</v>
      </c>
      <c r="F1350" s="5" t="s">
        <v>11687</v>
      </c>
      <c r="G1350" s="2" t="s">
        <v>11688</v>
      </c>
      <c r="H1350" s="5" t="s">
        <v>8336</v>
      </c>
      <c r="I1350" s="5"/>
      <c r="J1350" s="5"/>
      <c r="K1350" s="5" t="s">
        <v>11701</v>
      </c>
    </row>
    <row r="1351" customFormat="false" ht="23.85" hidden="false" customHeight="false" outlineLevel="0" collapsed="false">
      <c r="A1351" s="5" t="s">
        <v>11702</v>
      </c>
      <c r="B1351" s="2" t="s">
        <v>11703</v>
      </c>
      <c r="C1351" s="5" t="s">
        <v>2128</v>
      </c>
      <c r="D1351" s="5" t="s">
        <v>62</v>
      </c>
      <c r="E1351" s="5" t="n">
        <v>7</v>
      </c>
      <c r="F1351" s="5" t="s">
        <v>11687</v>
      </c>
      <c r="G1351" s="2" t="s">
        <v>11688</v>
      </c>
      <c r="H1351" s="5" t="s">
        <v>8336</v>
      </c>
      <c r="I1351" s="5"/>
      <c r="J1351" s="5"/>
      <c r="K1351" s="5" t="s">
        <v>11704</v>
      </c>
    </row>
    <row r="1352" customFormat="false" ht="23.85" hidden="false" customHeight="false" outlineLevel="0" collapsed="false">
      <c r="A1352" s="5" t="s">
        <v>11705</v>
      </c>
      <c r="B1352" s="2" t="s">
        <v>11706</v>
      </c>
      <c r="C1352" s="5" t="s">
        <v>2128</v>
      </c>
      <c r="D1352" s="5" t="s">
        <v>62</v>
      </c>
      <c r="E1352" s="5" t="n">
        <v>7</v>
      </c>
      <c r="F1352" s="5" t="s">
        <v>11687</v>
      </c>
      <c r="G1352" s="2" t="s">
        <v>11688</v>
      </c>
      <c r="H1352" s="5" t="s">
        <v>8336</v>
      </c>
      <c r="I1352" s="5"/>
      <c r="J1352" s="5"/>
      <c r="K1352" s="5" t="s">
        <v>11707</v>
      </c>
    </row>
    <row r="1353" customFormat="false" ht="23.85" hidden="false" customHeight="false" outlineLevel="0" collapsed="false">
      <c r="A1353" s="5" t="s">
        <v>11708</v>
      </c>
      <c r="B1353" s="2" t="s">
        <v>11709</v>
      </c>
      <c r="C1353" s="5" t="s">
        <v>2128</v>
      </c>
      <c r="D1353" s="5" t="s">
        <v>62</v>
      </c>
      <c r="E1353" s="5" t="n">
        <v>7</v>
      </c>
      <c r="F1353" s="5" t="s">
        <v>11687</v>
      </c>
      <c r="G1353" s="2" t="s">
        <v>11688</v>
      </c>
      <c r="H1353" s="5" t="s">
        <v>8336</v>
      </c>
      <c r="I1353" s="5"/>
      <c r="J1353" s="5"/>
      <c r="K1353" s="5" t="s">
        <v>11710</v>
      </c>
    </row>
    <row r="1354" customFormat="false" ht="23.85" hidden="false" customHeight="false" outlineLevel="0" collapsed="false">
      <c r="A1354" s="5" t="s">
        <v>11711</v>
      </c>
      <c r="B1354" s="2" t="s">
        <v>11712</v>
      </c>
      <c r="C1354" s="5" t="s">
        <v>2128</v>
      </c>
      <c r="D1354" s="5" t="s">
        <v>62</v>
      </c>
      <c r="E1354" s="5" t="n">
        <v>7</v>
      </c>
      <c r="F1354" s="5" t="s">
        <v>11687</v>
      </c>
      <c r="G1354" s="2" t="s">
        <v>11688</v>
      </c>
      <c r="H1354" s="5" t="s">
        <v>8336</v>
      </c>
      <c r="I1354" s="5"/>
      <c r="J1354" s="5"/>
      <c r="K1354" s="5" t="s">
        <v>11713</v>
      </c>
    </row>
    <row r="1355" customFormat="false" ht="23.85" hidden="false" customHeight="false" outlineLevel="0" collapsed="false">
      <c r="A1355" s="5" t="s">
        <v>11714</v>
      </c>
      <c r="B1355" s="2" t="s">
        <v>11715</v>
      </c>
      <c r="C1355" s="5" t="s">
        <v>2128</v>
      </c>
      <c r="D1355" s="5" t="s">
        <v>62</v>
      </c>
      <c r="E1355" s="5" t="n">
        <v>7</v>
      </c>
      <c r="F1355" s="5" t="s">
        <v>11687</v>
      </c>
      <c r="G1355" s="2" t="s">
        <v>11688</v>
      </c>
      <c r="H1355" s="5" t="s">
        <v>8336</v>
      </c>
      <c r="I1355" s="5"/>
      <c r="J1355" s="5"/>
      <c r="K1355" s="5" t="s">
        <v>11716</v>
      </c>
    </row>
    <row r="1356" customFormat="false" ht="23.85" hidden="false" customHeight="false" outlineLevel="0" collapsed="false">
      <c r="A1356" s="5" t="s">
        <v>11717</v>
      </c>
      <c r="B1356" s="2" t="s">
        <v>11718</v>
      </c>
      <c r="C1356" s="5" t="s">
        <v>2128</v>
      </c>
      <c r="D1356" s="5" t="s">
        <v>62</v>
      </c>
      <c r="E1356" s="5" t="n">
        <v>7</v>
      </c>
      <c r="F1356" s="5" t="s">
        <v>11687</v>
      </c>
      <c r="G1356" s="2" t="s">
        <v>11688</v>
      </c>
      <c r="H1356" s="5" t="s">
        <v>8336</v>
      </c>
      <c r="I1356" s="5"/>
      <c r="J1356" s="5"/>
      <c r="K1356" s="5" t="s">
        <v>11719</v>
      </c>
    </row>
    <row r="1357" customFormat="false" ht="23.85" hidden="false" customHeight="false" outlineLevel="0" collapsed="false">
      <c r="A1357" s="5" t="s">
        <v>11720</v>
      </c>
      <c r="B1357" s="2" t="s">
        <v>11721</v>
      </c>
      <c r="C1357" s="5" t="s">
        <v>2128</v>
      </c>
      <c r="D1357" s="5" t="s">
        <v>62</v>
      </c>
      <c r="E1357" s="5" t="n">
        <v>7</v>
      </c>
      <c r="F1357" s="5" t="s">
        <v>11687</v>
      </c>
      <c r="G1357" s="2" t="s">
        <v>11688</v>
      </c>
      <c r="H1357" s="5" t="s">
        <v>8336</v>
      </c>
      <c r="I1357" s="5"/>
      <c r="J1357" s="5"/>
      <c r="K1357" s="5" t="s">
        <v>11722</v>
      </c>
    </row>
    <row r="1358" customFormat="false" ht="23.85" hidden="false" customHeight="false" outlineLevel="0" collapsed="false">
      <c r="A1358" s="5" t="s">
        <v>11723</v>
      </c>
      <c r="B1358" s="2" t="s">
        <v>11724</v>
      </c>
      <c r="C1358" s="5" t="s">
        <v>2128</v>
      </c>
      <c r="D1358" s="5" t="s">
        <v>62</v>
      </c>
      <c r="E1358" s="5" t="n">
        <v>7</v>
      </c>
      <c r="F1358" s="5" t="s">
        <v>11687</v>
      </c>
      <c r="G1358" s="2" t="s">
        <v>11688</v>
      </c>
      <c r="H1358" s="5" t="s">
        <v>8336</v>
      </c>
      <c r="I1358" s="5"/>
      <c r="J1358" s="5"/>
      <c r="K1358" s="5" t="s">
        <v>11725</v>
      </c>
    </row>
    <row r="1359" customFormat="false" ht="23.85" hidden="false" customHeight="false" outlineLevel="0" collapsed="false">
      <c r="A1359" s="5" t="s">
        <v>11726</v>
      </c>
      <c r="B1359" s="2" t="s">
        <v>11727</v>
      </c>
      <c r="C1359" s="5" t="s">
        <v>2128</v>
      </c>
      <c r="D1359" s="5" t="s">
        <v>62</v>
      </c>
      <c r="E1359" s="5" t="n">
        <v>7</v>
      </c>
      <c r="F1359" s="5" t="s">
        <v>11687</v>
      </c>
      <c r="G1359" s="2" t="s">
        <v>11688</v>
      </c>
      <c r="H1359" s="5" t="s">
        <v>8336</v>
      </c>
      <c r="I1359" s="5"/>
      <c r="J1359" s="5"/>
      <c r="K1359" s="5" t="s">
        <v>11728</v>
      </c>
    </row>
    <row r="1360" customFormat="false" ht="23.85" hidden="false" customHeight="false" outlineLevel="0" collapsed="false">
      <c r="A1360" s="5" t="s">
        <v>11729</v>
      </c>
      <c r="B1360" s="2" t="s">
        <v>11730</v>
      </c>
      <c r="C1360" s="5" t="s">
        <v>2128</v>
      </c>
      <c r="D1360" s="5" t="s">
        <v>62</v>
      </c>
      <c r="E1360" s="5" t="n">
        <v>7</v>
      </c>
      <c r="F1360" s="5" t="s">
        <v>11687</v>
      </c>
      <c r="G1360" s="2" t="s">
        <v>11688</v>
      </c>
      <c r="H1360" s="5" t="s">
        <v>8336</v>
      </c>
      <c r="I1360" s="5"/>
      <c r="J1360" s="5"/>
      <c r="K1360" s="5" t="s">
        <v>11731</v>
      </c>
    </row>
    <row r="1361" customFormat="false" ht="23.85" hidden="false" customHeight="false" outlineLevel="0" collapsed="false">
      <c r="A1361" s="5" t="s">
        <v>11732</v>
      </c>
      <c r="B1361" s="2" t="s">
        <v>11733</v>
      </c>
      <c r="C1361" s="5" t="s">
        <v>2128</v>
      </c>
      <c r="D1361" s="5" t="s">
        <v>62</v>
      </c>
      <c r="E1361" s="5" t="n">
        <v>7</v>
      </c>
      <c r="F1361" s="5" t="s">
        <v>11687</v>
      </c>
      <c r="G1361" s="2" t="s">
        <v>11688</v>
      </c>
      <c r="H1361" s="5" t="s">
        <v>8336</v>
      </c>
      <c r="I1361" s="5"/>
      <c r="J1361" s="5"/>
      <c r="K1361" s="5" t="s">
        <v>11734</v>
      </c>
    </row>
    <row r="1362" customFormat="false" ht="23.85" hidden="false" customHeight="false" outlineLevel="0" collapsed="false">
      <c r="A1362" s="5" t="s">
        <v>11735</v>
      </c>
      <c r="B1362" s="2" t="s">
        <v>11736</v>
      </c>
      <c r="C1362" s="5" t="s">
        <v>2128</v>
      </c>
      <c r="D1362" s="5" t="s">
        <v>62</v>
      </c>
      <c r="E1362" s="5" t="n">
        <v>7</v>
      </c>
      <c r="F1362" s="5" t="s">
        <v>11687</v>
      </c>
      <c r="G1362" s="2" t="s">
        <v>11688</v>
      </c>
      <c r="H1362" s="5" t="s">
        <v>8336</v>
      </c>
      <c r="I1362" s="5"/>
      <c r="J1362" s="5"/>
      <c r="K1362" s="5" t="s">
        <v>11737</v>
      </c>
    </row>
    <row r="1363" customFormat="false" ht="23.85" hidden="false" customHeight="false" outlineLevel="0" collapsed="false">
      <c r="A1363" s="5" t="s">
        <v>11738</v>
      </c>
      <c r="B1363" s="2" t="s">
        <v>11739</v>
      </c>
      <c r="C1363" s="5" t="s">
        <v>2128</v>
      </c>
      <c r="D1363" s="5" t="s">
        <v>62</v>
      </c>
      <c r="E1363" s="5" t="n">
        <v>7</v>
      </c>
      <c r="F1363" s="5" t="s">
        <v>11687</v>
      </c>
      <c r="G1363" s="2" t="s">
        <v>11688</v>
      </c>
      <c r="H1363" s="5" t="s">
        <v>8336</v>
      </c>
      <c r="I1363" s="5"/>
      <c r="J1363" s="5"/>
      <c r="K1363" s="5" t="s">
        <v>11740</v>
      </c>
    </row>
    <row r="1364" customFormat="false" ht="23.85" hidden="false" customHeight="false" outlineLevel="0" collapsed="false">
      <c r="A1364" s="5" t="s">
        <v>11741</v>
      </c>
      <c r="B1364" s="2" t="s">
        <v>11742</v>
      </c>
      <c r="C1364" s="5" t="s">
        <v>2128</v>
      </c>
      <c r="D1364" s="5" t="s">
        <v>490</v>
      </c>
      <c r="E1364" s="5" t="n">
        <v>7</v>
      </c>
      <c r="F1364" s="5" t="s">
        <v>11687</v>
      </c>
      <c r="G1364" s="2" t="s">
        <v>11688</v>
      </c>
      <c r="H1364" s="5" t="s">
        <v>8336</v>
      </c>
      <c r="I1364" s="5"/>
      <c r="J1364" s="5"/>
      <c r="K1364" s="5" t="s">
        <v>11743</v>
      </c>
    </row>
    <row r="1365" customFormat="false" ht="23.85" hidden="false" customHeight="false" outlineLevel="0" collapsed="false">
      <c r="A1365" s="5" t="s">
        <v>11744</v>
      </c>
      <c r="B1365" s="2" t="s">
        <v>11745</v>
      </c>
      <c r="C1365" s="5" t="s">
        <v>2128</v>
      </c>
      <c r="D1365" s="5" t="s">
        <v>490</v>
      </c>
      <c r="E1365" s="5" t="n">
        <v>7</v>
      </c>
      <c r="F1365" s="5" t="s">
        <v>11687</v>
      </c>
      <c r="G1365" s="2" t="s">
        <v>11688</v>
      </c>
      <c r="H1365" s="5" t="s">
        <v>8336</v>
      </c>
      <c r="I1365" s="5"/>
      <c r="J1365" s="5"/>
      <c r="K1365" s="5" t="s">
        <v>11746</v>
      </c>
    </row>
    <row r="1366" customFormat="false" ht="23.85" hidden="false" customHeight="false" outlineLevel="0" collapsed="false">
      <c r="A1366" s="5" t="s">
        <v>11747</v>
      </c>
      <c r="B1366" s="2" t="s">
        <v>11748</v>
      </c>
      <c r="C1366" s="5" t="s">
        <v>2128</v>
      </c>
      <c r="D1366" s="5" t="s">
        <v>490</v>
      </c>
      <c r="E1366" s="5" t="n">
        <v>7</v>
      </c>
      <c r="F1366" s="5" t="s">
        <v>11687</v>
      </c>
      <c r="G1366" s="2" t="s">
        <v>11688</v>
      </c>
      <c r="H1366" s="5" t="s">
        <v>8336</v>
      </c>
      <c r="I1366" s="5"/>
      <c r="J1366" s="5"/>
      <c r="K1366" s="5" t="s">
        <v>11749</v>
      </c>
    </row>
    <row r="1367" customFormat="false" ht="23.85" hidden="false" customHeight="false" outlineLevel="0" collapsed="false">
      <c r="A1367" s="5" t="s">
        <v>11750</v>
      </c>
      <c r="B1367" s="2" t="s">
        <v>11751</v>
      </c>
      <c r="C1367" s="5" t="s">
        <v>2128</v>
      </c>
      <c r="D1367" s="5" t="s">
        <v>490</v>
      </c>
      <c r="E1367" s="5" t="n">
        <v>7</v>
      </c>
      <c r="F1367" s="5" t="s">
        <v>11687</v>
      </c>
      <c r="G1367" s="2" t="s">
        <v>11688</v>
      </c>
      <c r="H1367" s="5" t="s">
        <v>8336</v>
      </c>
      <c r="I1367" s="5"/>
      <c r="J1367" s="5"/>
      <c r="K1367" s="5" t="s">
        <v>11752</v>
      </c>
    </row>
    <row r="1368" customFormat="false" ht="23.85" hidden="false" customHeight="false" outlineLevel="0" collapsed="false">
      <c r="A1368" s="5" t="s">
        <v>11753</v>
      </c>
      <c r="B1368" s="2" t="s">
        <v>11754</v>
      </c>
      <c r="C1368" s="5" t="s">
        <v>2128</v>
      </c>
      <c r="D1368" s="5" t="s">
        <v>490</v>
      </c>
      <c r="E1368" s="5" t="n">
        <v>7</v>
      </c>
      <c r="F1368" s="5" t="s">
        <v>11687</v>
      </c>
      <c r="G1368" s="2" t="s">
        <v>11688</v>
      </c>
      <c r="H1368" s="5" t="s">
        <v>8336</v>
      </c>
      <c r="I1368" s="5"/>
      <c r="J1368" s="5"/>
      <c r="K1368" s="5" t="s">
        <v>11755</v>
      </c>
    </row>
    <row r="1369" customFormat="false" ht="23.85" hidden="false" customHeight="false" outlineLevel="0" collapsed="false">
      <c r="A1369" s="5" t="s">
        <v>11756</v>
      </c>
      <c r="B1369" s="2" t="s">
        <v>11757</v>
      </c>
      <c r="C1369" s="5" t="s">
        <v>2128</v>
      </c>
      <c r="D1369" s="5" t="s">
        <v>490</v>
      </c>
      <c r="E1369" s="5" t="n">
        <v>7</v>
      </c>
      <c r="F1369" s="5" t="s">
        <v>11687</v>
      </c>
      <c r="G1369" s="2" t="s">
        <v>11688</v>
      </c>
      <c r="H1369" s="5" t="s">
        <v>8336</v>
      </c>
      <c r="I1369" s="5"/>
      <c r="J1369" s="5"/>
      <c r="K1369" s="5" t="s">
        <v>11758</v>
      </c>
    </row>
    <row r="1370" customFormat="false" ht="23.85" hidden="false" customHeight="false" outlineLevel="0" collapsed="false">
      <c r="A1370" s="5" t="s">
        <v>11759</v>
      </c>
      <c r="B1370" s="2" t="s">
        <v>11760</v>
      </c>
      <c r="C1370" s="5" t="s">
        <v>2128</v>
      </c>
      <c r="D1370" s="5" t="s">
        <v>62</v>
      </c>
      <c r="E1370" s="5" t="n">
        <v>7</v>
      </c>
      <c r="F1370" s="5" t="s">
        <v>11687</v>
      </c>
      <c r="G1370" s="2" t="s">
        <v>11688</v>
      </c>
      <c r="H1370" s="5" t="s">
        <v>8336</v>
      </c>
      <c r="I1370" s="5"/>
      <c r="J1370" s="5"/>
      <c r="K1370" s="5" t="s">
        <v>11761</v>
      </c>
    </row>
    <row r="1371" customFormat="false" ht="23.85" hidden="false" customHeight="false" outlineLevel="0" collapsed="false">
      <c r="A1371" s="5" t="s">
        <v>11762</v>
      </c>
      <c r="B1371" s="2" t="s">
        <v>11763</v>
      </c>
      <c r="C1371" s="5" t="s">
        <v>2128</v>
      </c>
      <c r="D1371" s="5" t="s">
        <v>490</v>
      </c>
      <c r="E1371" s="5" t="n">
        <v>7</v>
      </c>
      <c r="F1371" s="5" t="s">
        <v>1210</v>
      </c>
      <c r="G1371" s="2" t="s">
        <v>11688</v>
      </c>
      <c r="H1371" s="5" t="s">
        <v>8336</v>
      </c>
      <c r="I1371" s="5"/>
      <c r="J1371" s="5"/>
      <c r="K1371" s="5" t="s">
        <v>11764</v>
      </c>
    </row>
    <row r="1372" customFormat="false" ht="23.85" hidden="false" customHeight="false" outlineLevel="0" collapsed="false">
      <c r="A1372" s="5" t="s">
        <v>11765</v>
      </c>
      <c r="B1372" s="2" t="s">
        <v>11766</v>
      </c>
      <c r="C1372" s="5" t="s">
        <v>2128</v>
      </c>
      <c r="D1372" s="5" t="s">
        <v>490</v>
      </c>
      <c r="E1372" s="5" t="n">
        <v>7</v>
      </c>
      <c r="F1372" s="5" t="s">
        <v>1210</v>
      </c>
      <c r="G1372" s="2" t="s">
        <v>11688</v>
      </c>
      <c r="H1372" s="5" t="s">
        <v>8336</v>
      </c>
      <c r="I1372" s="5"/>
      <c r="J1372" s="5"/>
      <c r="K1372" s="5" t="s">
        <v>11767</v>
      </c>
    </row>
    <row r="1373" customFormat="false" ht="23.85" hidden="false" customHeight="false" outlineLevel="0" collapsed="false">
      <c r="A1373" s="5" t="s">
        <v>11768</v>
      </c>
      <c r="B1373" s="2" t="s">
        <v>11769</v>
      </c>
      <c r="C1373" s="5" t="s">
        <v>2128</v>
      </c>
      <c r="D1373" s="5" t="s">
        <v>490</v>
      </c>
      <c r="E1373" s="5" t="n">
        <v>7</v>
      </c>
      <c r="F1373" s="5" t="s">
        <v>11687</v>
      </c>
      <c r="G1373" s="2" t="s">
        <v>11688</v>
      </c>
      <c r="H1373" s="5" t="s">
        <v>8336</v>
      </c>
      <c r="I1373" s="5"/>
      <c r="J1373" s="5"/>
      <c r="K1373" s="5" t="s">
        <v>11770</v>
      </c>
    </row>
    <row r="1374" customFormat="false" ht="23.85" hidden="false" customHeight="false" outlineLevel="0" collapsed="false">
      <c r="A1374" s="5" t="s">
        <v>11771</v>
      </c>
      <c r="B1374" s="2" t="s">
        <v>11772</v>
      </c>
      <c r="C1374" s="5" t="s">
        <v>2128</v>
      </c>
      <c r="D1374" s="5" t="s">
        <v>490</v>
      </c>
      <c r="E1374" s="5" t="n">
        <v>7</v>
      </c>
      <c r="F1374" s="5" t="s">
        <v>1210</v>
      </c>
      <c r="G1374" s="2" t="s">
        <v>11688</v>
      </c>
      <c r="H1374" s="5" t="s">
        <v>8336</v>
      </c>
      <c r="I1374" s="5"/>
      <c r="J1374" s="5"/>
      <c r="K1374" s="5" t="s">
        <v>11773</v>
      </c>
    </row>
    <row r="1375" customFormat="false" ht="23.85" hidden="false" customHeight="false" outlineLevel="0" collapsed="false">
      <c r="A1375" s="5" t="s">
        <v>11774</v>
      </c>
      <c r="B1375" s="2" t="s">
        <v>11775</v>
      </c>
      <c r="C1375" s="5" t="s">
        <v>2128</v>
      </c>
      <c r="D1375" s="5" t="s">
        <v>490</v>
      </c>
      <c r="E1375" s="5" t="n">
        <v>7</v>
      </c>
      <c r="F1375" s="5" t="s">
        <v>11687</v>
      </c>
      <c r="G1375" s="2" t="s">
        <v>11688</v>
      </c>
      <c r="H1375" s="5" t="s">
        <v>8336</v>
      </c>
      <c r="I1375" s="5"/>
      <c r="J1375" s="5"/>
      <c r="K1375" s="5" t="s">
        <v>11776</v>
      </c>
    </row>
    <row r="1376" customFormat="false" ht="23.85" hidden="false" customHeight="false" outlineLevel="0" collapsed="false">
      <c r="A1376" s="5" t="s">
        <v>11777</v>
      </c>
      <c r="B1376" s="2" t="s">
        <v>11778</v>
      </c>
      <c r="C1376" s="5" t="s">
        <v>2128</v>
      </c>
      <c r="D1376" s="5" t="s">
        <v>490</v>
      </c>
      <c r="E1376" s="5" t="n">
        <v>7</v>
      </c>
      <c r="F1376" s="5" t="s">
        <v>11687</v>
      </c>
      <c r="G1376" s="2" t="s">
        <v>11688</v>
      </c>
      <c r="H1376" s="5" t="s">
        <v>8336</v>
      </c>
      <c r="I1376" s="5"/>
      <c r="J1376" s="5"/>
      <c r="K1376" s="5" t="s">
        <v>11779</v>
      </c>
    </row>
    <row r="1377" customFormat="false" ht="23.85" hidden="false" customHeight="false" outlineLevel="0" collapsed="false">
      <c r="A1377" s="5" t="s">
        <v>11780</v>
      </c>
      <c r="B1377" s="2" t="s">
        <v>11781</v>
      </c>
      <c r="C1377" s="5" t="s">
        <v>2128</v>
      </c>
      <c r="D1377" s="5" t="s">
        <v>62</v>
      </c>
      <c r="E1377" s="5" t="n">
        <v>7</v>
      </c>
      <c r="F1377" s="5" t="s">
        <v>11687</v>
      </c>
      <c r="G1377" s="2" t="s">
        <v>11688</v>
      </c>
      <c r="H1377" s="5" t="s">
        <v>8336</v>
      </c>
      <c r="I1377" s="5"/>
      <c r="J1377" s="5"/>
      <c r="K1377" s="5" t="s">
        <v>11782</v>
      </c>
    </row>
    <row r="1378" customFormat="false" ht="23.85" hidden="false" customHeight="false" outlineLevel="0" collapsed="false">
      <c r="A1378" s="5" t="s">
        <v>11783</v>
      </c>
      <c r="B1378" s="2" t="s">
        <v>11784</v>
      </c>
      <c r="C1378" s="5" t="s">
        <v>2128</v>
      </c>
      <c r="D1378" s="5" t="s">
        <v>62</v>
      </c>
      <c r="E1378" s="5" t="n">
        <v>7</v>
      </c>
      <c r="F1378" s="5" t="s">
        <v>11687</v>
      </c>
      <c r="G1378" s="2" t="s">
        <v>11688</v>
      </c>
      <c r="H1378" s="5" t="s">
        <v>8336</v>
      </c>
      <c r="I1378" s="5"/>
      <c r="J1378" s="5"/>
      <c r="K1378" s="5" t="s">
        <v>11785</v>
      </c>
    </row>
    <row r="1379" customFormat="false" ht="23.85" hidden="false" customHeight="false" outlineLevel="0" collapsed="false">
      <c r="A1379" s="5" t="s">
        <v>11786</v>
      </c>
      <c r="B1379" s="2" t="s">
        <v>11787</v>
      </c>
      <c r="C1379" s="5" t="s">
        <v>2128</v>
      </c>
      <c r="D1379" s="5" t="s">
        <v>62</v>
      </c>
      <c r="E1379" s="5" t="n">
        <v>7</v>
      </c>
      <c r="F1379" s="5" t="s">
        <v>11687</v>
      </c>
      <c r="G1379" s="2" t="s">
        <v>11688</v>
      </c>
      <c r="H1379" s="5" t="s">
        <v>8336</v>
      </c>
      <c r="I1379" s="5"/>
      <c r="J1379" s="5"/>
      <c r="K1379" s="5" t="s">
        <v>11788</v>
      </c>
    </row>
    <row r="1380" customFormat="false" ht="23.85" hidden="false" customHeight="false" outlineLevel="0" collapsed="false">
      <c r="A1380" s="5" t="s">
        <v>11789</v>
      </c>
      <c r="B1380" s="2" t="s">
        <v>11790</v>
      </c>
      <c r="C1380" s="5" t="s">
        <v>2128</v>
      </c>
      <c r="D1380" s="5" t="s">
        <v>490</v>
      </c>
      <c r="E1380" s="5" t="n">
        <v>7</v>
      </c>
      <c r="F1380" s="5" t="s">
        <v>11687</v>
      </c>
      <c r="G1380" s="2" t="s">
        <v>11688</v>
      </c>
      <c r="H1380" s="5" t="s">
        <v>8336</v>
      </c>
      <c r="I1380" s="5"/>
      <c r="J1380" s="5"/>
      <c r="K1380" s="5" t="s">
        <v>11791</v>
      </c>
    </row>
    <row r="1381" customFormat="false" ht="23.85" hidden="false" customHeight="false" outlineLevel="0" collapsed="false">
      <c r="A1381" s="5" t="s">
        <v>11792</v>
      </c>
      <c r="B1381" s="2" t="s">
        <v>11793</v>
      </c>
      <c r="C1381" s="5" t="s">
        <v>2128</v>
      </c>
      <c r="D1381" s="5" t="s">
        <v>490</v>
      </c>
      <c r="E1381" s="5" t="n">
        <v>7</v>
      </c>
      <c r="F1381" s="5" t="s">
        <v>11687</v>
      </c>
      <c r="G1381" s="2" t="s">
        <v>11688</v>
      </c>
      <c r="H1381" s="5" t="s">
        <v>8336</v>
      </c>
      <c r="I1381" s="5"/>
      <c r="J1381" s="5"/>
      <c r="K1381" s="5" t="s">
        <v>11794</v>
      </c>
    </row>
    <row r="1382" customFormat="false" ht="23.85" hidden="false" customHeight="false" outlineLevel="0" collapsed="false">
      <c r="A1382" s="5" t="s">
        <v>11795</v>
      </c>
      <c r="B1382" s="2" t="s">
        <v>11796</v>
      </c>
      <c r="C1382" s="5" t="s">
        <v>2128</v>
      </c>
      <c r="D1382" s="5" t="s">
        <v>490</v>
      </c>
      <c r="E1382" s="5" t="n">
        <v>7</v>
      </c>
      <c r="F1382" s="5" t="s">
        <v>11687</v>
      </c>
      <c r="G1382" s="2" t="s">
        <v>11688</v>
      </c>
      <c r="H1382" s="5" t="s">
        <v>8336</v>
      </c>
      <c r="I1382" s="5"/>
      <c r="J1382" s="5"/>
      <c r="K1382" s="5" t="s">
        <v>11797</v>
      </c>
    </row>
    <row r="1383" customFormat="false" ht="23.85" hidden="false" customHeight="false" outlineLevel="0" collapsed="false">
      <c r="A1383" s="5" t="s">
        <v>11798</v>
      </c>
      <c r="B1383" s="2" t="s">
        <v>11799</v>
      </c>
      <c r="C1383" s="5" t="s">
        <v>2128</v>
      </c>
      <c r="D1383" s="5" t="s">
        <v>490</v>
      </c>
      <c r="E1383" s="5" t="n">
        <v>7</v>
      </c>
      <c r="F1383" s="5" t="s">
        <v>11687</v>
      </c>
      <c r="G1383" s="2" t="s">
        <v>11688</v>
      </c>
      <c r="H1383" s="5" t="s">
        <v>8336</v>
      </c>
      <c r="I1383" s="5"/>
      <c r="J1383" s="5"/>
      <c r="K1383" s="5" t="s">
        <v>11800</v>
      </c>
    </row>
    <row r="1384" customFormat="false" ht="23.85" hidden="false" customHeight="false" outlineLevel="0" collapsed="false">
      <c r="A1384" s="5" t="s">
        <v>11801</v>
      </c>
      <c r="B1384" s="2" t="s">
        <v>11802</v>
      </c>
      <c r="C1384" s="5" t="s">
        <v>2128</v>
      </c>
      <c r="D1384" s="5" t="s">
        <v>490</v>
      </c>
      <c r="E1384" s="5" t="n">
        <v>7</v>
      </c>
      <c r="F1384" s="5" t="s">
        <v>11687</v>
      </c>
      <c r="G1384" s="2" t="s">
        <v>11688</v>
      </c>
      <c r="H1384" s="5" t="s">
        <v>8336</v>
      </c>
      <c r="I1384" s="5"/>
      <c r="J1384" s="5"/>
      <c r="K1384" s="5" t="s">
        <v>11803</v>
      </c>
    </row>
    <row r="1385" customFormat="false" ht="23.85" hidden="false" customHeight="false" outlineLevel="0" collapsed="false">
      <c r="A1385" s="5" t="s">
        <v>11804</v>
      </c>
      <c r="B1385" s="2" t="s">
        <v>11805</v>
      </c>
      <c r="C1385" s="5" t="s">
        <v>2128</v>
      </c>
      <c r="D1385" s="5" t="s">
        <v>62</v>
      </c>
      <c r="E1385" s="5" t="n">
        <v>7</v>
      </c>
      <c r="F1385" s="5" t="s">
        <v>11687</v>
      </c>
      <c r="G1385" s="2" t="s">
        <v>11688</v>
      </c>
      <c r="H1385" s="5" t="s">
        <v>8336</v>
      </c>
      <c r="I1385" s="5"/>
      <c r="J1385" s="5"/>
      <c r="K1385" s="5" t="s">
        <v>11806</v>
      </c>
    </row>
    <row r="1386" customFormat="false" ht="23.85" hidden="false" customHeight="false" outlineLevel="0" collapsed="false">
      <c r="A1386" s="5" t="s">
        <v>11807</v>
      </c>
      <c r="B1386" s="2" t="s">
        <v>11808</v>
      </c>
      <c r="C1386" s="5" t="s">
        <v>2128</v>
      </c>
      <c r="D1386" s="5" t="s">
        <v>62</v>
      </c>
      <c r="E1386" s="5" t="n">
        <v>7</v>
      </c>
      <c r="F1386" s="5" t="s">
        <v>11687</v>
      </c>
      <c r="G1386" s="2" t="s">
        <v>11688</v>
      </c>
      <c r="H1386" s="5" t="s">
        <v>8336</v>
      </c>
      <c r="I1386" s="5"/>
      <c r="J1386" s="5"/>
      <c r="K1386" s="5" t="s">
        <v>11809</v>
      </c>
    </row>
    <row r="1387" customFormat="false" ht="23.85" hidden="false" customHeight="false" outlineLevel="0" collapsed="false">
      <c r="A1387" s="5" t="s">
        <v>11810</v>
      </c>
      <c r="B1387" s="2" t="s">
        <v>11811</v>
      </c>
      <c r="C1387" s="5" t="s">
        <v>2128</v>
      </c>
      <c r="D1387" s="5" t="s">
        <v>62</v>
      </c>
      <c r="E1387" s="5" t="n">
        <v>7</v>
      </c>
      <c r="F1387" s="5" t="s">
        <v>11687</v>
      </c>
      <c r="G1387" s="2" t="s">
        <v>11688</v>
      </c>
      <c r="H1387" s="5" t="s">
        <v>8336</v>
      </c>
      <c r="I1387" s="5"/>
      <c r="J1387" s="5"/>
      <c r="K1387" s="5" t="s">
        <v>11812</v>
      </c>
    </row>
    <row r="1388" customFormat="false" ht="23.85" hidden="false" customHeight="false" outlineLevel="0" collapsed="false">
      <c r="A1388" s="5" t="s">
        <v>11813</v>
      </c>
      <c r="B1388" s="2" t="s">
        <v>11814</v>
      </c>
      <c r="C1388" s="5" t="s">
        <v>2128</v>
      </c>
      <c r="D1388" s="5" t="s">
        <v>62</v>
      </c>
      <c r="E1388" s="5" t="n">
        <v>9</v>
      </c>
      <c r="F1388" s="5" t="s">
        <v>11687</v>
      </c>
      <c r="G1388" s="2" t="s">
        <v>11688</v>
      </c>
      <c r="H1388" s="5" t="s">
        <v>8336</v>
      </c>
      <c r="I1388" s="5"/>
      <c r="J1388" s="5"/>
      <c r="K1388" s="5" t="s">
        <v>11815</v>
      </c>
    </row>
    <row r="1389" customFormat="false" ht="23.85" hidden="false" customHeight="false" outlineLevel="0" collapsed="false">
      <c r="A1389" s="5" t="s">
        <v>11816</v>
      </c>
      <c r="B1389" s="2" t="s">
        <v>11817</v>
      </c>
      <c r="C1389" s="5" t="s">
        <v>2128</v>
      </c>
      <c r="D1389" s="5" t="s">
        <v>490</v>
      </c>
      <c r="E1389" s="5" t="n">
        <v>7</v>
      </c>
      <c r="F1389" s="5" t="s">
        <v>11687</v>
      </c>
      <c r="G1389" s="2" t="s">
        <v>11688</v>
      </c>
      <c r="H1389" s="5" t="s">
        <v>8336</v>
      </c>
      <c r="I1389" s="5"/>
      <c r="J1389" s="5"/>
      <c r="K1389" s="5" t="s">
        <v>11818</v>
      </c>
    </row>
    <row r="1390" customFormat="false" ht="23.85" hidden="false" customHeight="false" outlineLevel="0" collapsed="false">
      <c r="A1390" s="5" t="s">
        <v>11819</v>
      </c>
      <c r="B1390" s="2" t="s">
        <v>11820</v>
      </c>
      <c r="C1390" s="5" t="s">
        <v>2128</v>
      </c>
      <c r="D1390" s="5" t="s">
        <v>62</v>
      </c>
      <c r="E1390" s="5" t="n">
        <v>7</v>
      </c>
      <c r="F1390" s="5" t="s">
        <v>11687</v>
      </c>
      <c r="G1390" s="2" t="s">
        <v>11688</v>
      </c>
      <c r="H1390" s="5" t="s">
        <v>8336</v>
      </c>
      <c r="I1390" s="5"/>
      <c r="J1390" s="5"/>
      <c r="K1390" s="5" t="s">
        <v>11821</v>
      </c>
    </row>
    <row r="1391" customFormat="false" ht="23.85" hidden="false" customHeight="false" outlineLevel="0" collapsed="false">
      <c r="A1391" s="5" t="s">
        <v>11822</v>
      </c>
      <c r="B1391" s="2" t="s">
        <v>11823</v>
      </c>
      <c r="C1391" s="5" t="s">
        <v>2128</v>
      </c>
      <c r="D1391" s="5" t="s">
        <v>490</v>
      </c>
      <c r="E1391" s="5" t="n">
        <v>7</v>
      </c>
      <c r="F1391" s="5" t="s">
        <v>11687</v>
      </c>
      <c r="G1391" s="2" t="s">
        <v>11688</v>
      </c>
      <c r="H1391" s="5" t="s">
        <v>8336</v>
      </c>
      <c r="I1391" s="5"/>
      <c r="J1391" s="5"/>
      <c r="K1391" s="5" t="s">
        <v>11824</v>
      </c>
    </row>
    <row r="1392" customFormat="false" ht="23.85" hidden="false" customHeight="false" outlineLevel="0" collapsed="false">
      <c r="A1392" s="5" t="s">
        <v>11825</v>
      </c>
      <c r="B1392" s="2" t="s">
        <v>11826</v>
      </c>
      <c r="C1392" s="5" t="s">
        <v>2128</v>
      </c>
      <c r="D1392" s="5" t="s">
        <v>490</v>
      </c>
      <c r="E1392" s="5" t="n">
        <v>7</v>
      </c>
      <c r="F1392" s="5" t="s">
        <v>11687</v>
      </c>
      <c r="G1392" s="2" t="s">
        <v>11688</v>
      </c>
      <c r="H1392" s="5" t="s">
        <v>8336</v>
      </c>
      <c r="I1392" s="5"/>
      <c r="J1392" s="5"/>
      <c r="K1392" s="5" t="s">
        <v>11827</v>
      </c>
    </row>
    <row r="1393" customFormat="false" ht="23.85" hidden="false" customHeight="false" outlineLevel="0" collapsed="false">
      <c r="A1393" s="5" t="s">
        <v>11828</v>
      </c>
      <c r="B1393" s="2" t="s">
        <v>11829</v>
      </c>
      <c r="C1393" s="5" t="s">
        <v>2128</v>
      </c>
      <c r="D1393" s="5" t="s">
        <v>490</v>
      </c>
      <c r="E1393" s="5" t="n">
        <v>7</v>
      </c>
      <c r="F1393" s="5" t="s">
        <v>11687</v>
      </c>
      <c r="G1393" s="2" t="s">
        <v>11688</v>
      </c>
      <c r="H1393" s="5" t="s">
        <v>8336</v>
      </c>
      <c r="I1393" s="5"/>
      <c r="J1393" s="5"/>
      <c r="K1393" s="5" t="s">
        <v>11830</v>
      </c>
    </row>
    <row r="1394" customFormat="false" ht="23.85" hidden="false" customHeight="false" outlineLevel="0" collapsed="false">
      <c r="A1394" s="5" t="s">
        <v>11831</v>
      </c>
      <c r="B1394" s="2" t="s">
        <v>11832</v>
      </c>
      <c r="C1394" s="5" t="s">
        <v>2128</v>
      </c>
      <c r="D1394" s="5" t="s">
        <v>490</v>
      </c>
      <c r="E1394" s="5" t="n">
        <v>7</v>
      </c>
      <c r="F1394" s="5" t="s">
        <v>1814</v>
      </c>
      <c r="G1394" s="2" t="s">
        <v>11688</v>
      </c>
      <c r="H1394" s="5" t="s">
        <v>8336</v>
      </c>
      <c r="I1394" s="5"/>
      <c r="J1394" s="5"/>
      <c r="K1394" s="5" t="s">
        <v>11833</v>
      </c>
    </row>
    <row r="1395" customFormat="false" ht="23.85" hidden="false" customHeight="false" outlineLevel="0" collapsed="false">
      <c r="A1395" s="5" t="s">
        <v>11834</v>
      </c>
      <c r="B1395" s="2" t="s">
        <v>11835</v>
      </c>
      <c r="C1395" s="5" t="s">
        <v>2128</v>
      </c>
      <c r="D1395" s="5" t="s">
        <v>490</v>
      </c>
      <c r="E1395" s="5" t="n">
        <v>7</v>
      </c>
      <c r="F1395" s="5" t="s">
        <v>11687</v>
      </c>
      <c r="G1395" s="2" t="s">
        <v>11688</v>
      </c>
      <c r="H1395" s="5" t="s">
        <v>8336</v>
      </c>
      <c r="I1395" s="5"/>
      <c r="J1395" s="5"/>
      <c r="K1395" s="5" t="s">
        <v>11836</v>
      </c>
    </row>
    <row r="1396" customFormat="false" ht="15" hidden="false" customHeight="false" outlineLevel="0" collapsed="false">
      <c r="A1396" s="5" t="s">
        <v>11837</v>
      </c>
      <c r="B1396" s="2" t="s">
        <v>11838</v>
      </c>
      <c r="C1396" s="5" t="s">
        <v>2128</v>
      </c>
      <c r="D1396" s="5" t="s">
        <v>62</v>
      </c>
      <c r="E1396" s="5" t="n">
        <v>8</v>
      </c>
      <c r="F1396" s="5" t="s">
        <v>413</v>
      </c>
      <c r="G1396" s="2" t="s">
        <v>9535</v>
      </c>
      <c r="H1396" s="5" t="s">
        <v>8336</v>
      </c>
      <c r="I1396" s="5"/>
      <c r="J1396" s="5"/>
      <c r="K1396" s="5" t="s">
        <v>11839</v>
      </c>
    </row>
    <row r="1397" customFormat="false" ht="15" hidden="false" customHeight="false" outlineLevel="0" collapsed="false">
      <c r="A1397" s="5" t="s">
        <v>11840</v>
      </c>
      <c r="B1397" s="2" t="s">
        <v>11841</v>
      </c>
      <c r="C1397" s="5" t="s">
        <v>2128</v>
      </c>
      <c r="D1397" s="5" t="s">
        <v>62</v>
      </c>
      <c r="E1397" s="5" t="n">
        <v>8</v>
      </c>
      <c r="F1397" s="5" t="s">
        <v>3005</v>
      </c>
      <c r="G1397" s="2" t="s">
        <v>8221</v>
      </c>
      <c r="H1397" s="5" t="s">
        <v>8336</v>
      </c>
      <c r="I1397" s="5"/>
      <c r="J1397" s="5"/>
      <c r="K1397" s="5" t="s">
        <v>11842</v>
      </c>
    </row>
    <row r="1398" customFormat="false" ht="15" hidden="false" customHeight="false" outlineLevel="0" collapsed="false">
      <c r="A1398" s="5" t="s">
        <v>2818</v>
      </c>
      <c r="B1398" s="2" t="s">
        <v>2819</v>
      </c>
      <c r="C1398" s="5" t="s">
        <v>2128</v>
      </c>
      <c r="D1398" s="5" t="s">
        <v>490</v>
      </c>
      <c r="E1398" s="5" t="n">
        <v>7</v>
      </c>
      <c r="F1398" s="5" t="s">
        <v>544</v>
      </c>
      <c r="G1398" s="2" t="s">
        <v>526</v>
      </c>
      <c r="H1398" s="5" t="s">
        <v>8332</v>
      </c>
      <c r="I1398" s="5" t="s">
        <v>60</v>
      </c>
      <c r="J1398" s="5" t="s">
        <v>161</v>
      </c>
      <c r="K1398" s="5" t="s">
        <v>2824</v>
      </c>
    </row>
    <row r="1399" customFormat="false" ht="15" hidden="false" customHeight="false" outlineLevel="0" collapsed="false">
      <c r="A1399" s="5" t="s">
        <v>2825</v>
      </c>
      <c r="B1399" s="2" t="s">
        <v>2826</v>
      </c>
      <c r="C1399" s="5" t="s">
        <v>2128</v>
      </c>
      <c r="D1399" s="5" t="s">
        <v>490</v>
      </c>
      <c r="E1399" s="5" t="n">
        <v>7</v>
      </c>
      <c r="F1399" s="5" t="s">
        <v>544</v>
      </c>
      <c r="G1399" s="2" t="s">
        <v>916</v>
      </c>
      <c r="H1399" s="5" t="s">
        <v>8332</v>
      </c>
      <c r="I1399" s="5" t="s">
        <v>60</v>
      </c>
      <c r="J1399" s="5" t="s">
        <v>61</v>
      </c>
      <c r="K1399" s="5" t="s">
        <v>2831</v>
      </c>
    </row>
    <row r="1400" customFormat="false" ht="23.85" hidden="false" customHeight="false" outlineLevel="0" collapsed="false">
      <c r="A1400" s="5" t="s">
        <v>2832</v>
      </c>
      <c r="B1400" s="2" t="s">
        <v>2833</v>
      </c>
      <c r="C1400" s="5" t="s">
        <v>2128</v>
      </c>
      <c r="D1400" s="5" t="s">
        <v>490</v>
      </c>
      <c r="E1400" s="5" t="n">
        <v>7</v>
      </c>
      <c r="F1400" s="5" t="s">
        <v>544</v>
      </c>
      <c r="G1400" s="2" t="s">
        <v>2448</v>
      </c>
      <c r="H1400" s="5" t="s">
        <v>8332</v>
      </c>
      <c r="I1400" s="5" t="s">
        <v>60</v>
      </c>
      <c r="J1400" s="5" t="s">
        <v>161</v>
      </c>
      <c r="K1400" s="5" t="s">
        <v>2838</v>
      </c>
    </row>
    <row r="1401" customFormat="false" ht="15" hidden="false" customHeight="false" outlineLevel="0" collapsed="false">
      <c r="A1401" s="5" t="s">
        <v>11843</v>
      </c>
      <c r="B1401" s="2" t="s">
        <v>11844</v>
      </c>
      <c r="C1401" s="5" t="s">
        <v>2128</v>
      </c>
      <c r="D1401" s="5" t="s">
        <v>490</v>
      </c>
      <c r="E1401" s="5" t="n">
        <v>7</v>
      </c>
      <c r="F1401" s="5" t="s">
        <v>67</v>
      </c>
      <c r="G1401" s="2" t="s">
        <v>11845</v>
      </c>
      <c r="H1401" s="5" t="s">
        <v>8336</v>
      </c>
      <c r="I1401" s="5"/>
      <c r="J1401" s="5"/>
      <c r="K1401" s="5" t="s">
        <v>11846</v>
      </c>
    </row>
    <row r="1402" customFormat="false" ht="15" hidden="false" customHeight="false" outlineLevel="0" collapsed="false">
      <c r="A1402" s="5" t="s">
        <v>2839</v>
      </c>
      <c r="B1402" s="2" t="s">
        <v>2840</v>
      </c>
      <c r="C1402" s="5" t="s">
        <v>2128</v>
      </c>
      <c r="D1402" s="5" t="s">
        <v>490</v>
      </c>
      <c r="E1402" s="5" t="n">
        <v>7</v>
      </c>
      <c r="F1402" s="5" t="s">
        <v>544</v>
      </c>
      <c r="G1402" s="2" t="s">
        <v>2786</v>
      </c>
      <c r="H1402" s="5" t="s">
        <v>8332</v>
      </c>
      <c r="I1402" s="5" t="s">
        <v>60</v>
      </c>
      <c r="J1402" s="5" t="s">
        <v>161</v>
      </c>
      <c r="K1402" s="5" t="s">
        <v>2846</v>
      </c>
    </row>
    <row r="1403" customFormat="false" ht="15" hidden="false" customHeight="false" outlineLevel="0" collapsed="false">
      <c r="A1403" s="5" t="s">
        <v>2847</v>
      </c>
      <c r="B1403" s="2" t="s">
        <v>2848</v>
      </c>
      <c r="C1403" s="5" t="s">
        <v>2128</v>
      </c>
      <c r="D1403" s="5" t="s">
        <v>490</v>
      </c>
      <c r="E1403" s="5" t="n">
        <v>7</v>
      </c>
      <c r="F1403" s="5" t="s">
        <v>544</v>
      </c>
      <c r="G1403" s="2" t="s">
        <v>916</v>
      </c>
      <c r="H1403" s="5" t="s">
        <v>8332</v>
      </c>
      <c r="I1403" s="5" t="s">
        <v>60</v>
      </c>
      <c r="J1403" s="5" t="s">
        <v>61</v>
      </c>
      <c r="K1403" s="5" t="s">
        <v>2851</v>
      </c>
    </row>
    <row r="1404" customFormat="false" ht="15" hidden="false" customHeight="false" outlineLevel="0" collapsed="false">
      <c r="A1404" s="5" t="s">
        <v>2852</v>
      </c>
      <c r="B1404" s="2" t="s">
        <v>2853</v>
      </c>
      <c r="C1404" s="5" t="s">
        <v>2128</v>
      </c>
      <c r="D1404" s="5" t="s">
        <v>490</v>
      </c>
      <c r="E1404" s="5" t="n">
        <v>7</v>
      </c>
      <c r="F1404" s="5" t="s">
        <v>544</v>
      </c>
      <c r="G1404" s="2" t="s">
        <v>2786</v>
      </c>
      <c r="H1404" s="5" t="s">
        <v>8332</v>
      </c>
      <c r="I1404" s="5" t="s">
        <v>60</v>
      </c>
      <c r="J1404" s="5" t="s">
        <v>161</v>
      </c>
      <c r="K1404" s="5" t="s">
        <v>2856</v>
      </c>
    </row>
    <row r="1405" customFormat="false" ht="15" hidden="false" customHeight="false" outlineLevel="0" collapsed="false">
      <c r="A1405" s="5" t="s">
        <v>11847</v>
      </c>
      <c r="B1405" s="2" t="s">
        <v>11848</v>
      </c>
      <c r="C1405" s="5" t="s">
        <v>2128</v>
      </c>
      <c r="D1405" s="5" t="s">
        <v>490</v>
      </c>
      <c r="E1405" s="5" t="n">
        <v>7</v>
      </c>
      <c r="F1405" s="5" t="s">
        <v>67</v>
      </c>
      <c r="G1405" s="2" t="s">
        <v>367</v>
      </c>
      <c r="H1405" s="5" t="s">
        <v>8336</v>
      </c>
      <c r="I1405" s="5"/>
      <c r="J1405" s="5"/>
      <c r="K1405" s="5" t="s">
        <v>11849</v>
      </c>
    </row>
    <row r="1406" customFormat="false" ht="15" hidden="false" customHeight="false" outlineLevel="0" collapsed="false">
      <c r="A1406" s="5" t="s">
        <v>11850</v>
      </c>
      <c r="B1406" s="2" t="s">
        <v>11851</v>
      </c>
      <c r="C1406" s="5" t="s">
        <v>2128</v>
      </c>
      <c r="D1406" s="5" t="s">
        <v>490</v>
      </c>
      <c r="E1406" s="5" t="n">
        <v>7</v>
      </c>
      <c r="F1406" s="5" t="s">
        <v>67</v>
      </c>
      <c r="G1406" s="2" t="s">
        <v>367</v>
      </c>
      <c r="H1406" s="5" t="s">
        <v>8336</v>
      </c>
      <c r="I1406" s="5"/>
      <c r="J1406" s="5"/>
      <c r="K1406" s="5" t="s">
        <v>11852</v>
      </c>
    </row>
    <row r="1407" customFormat="false" ht="15" hidden="false" customHeight="false" outlineLevel="0" collapsed="false">
      <c r="A1407" s="5" t="s">
        <v>2857</v>
      </c>
      <c r="B1407" s="2" t="s">
        <v>2858</v>
      </c>
      <c r="C1407" s="5" t="s">
        <v>2128</v>
      </c>
      <c r="D1407" s="5" t="s">
        <v>490</v>
      </c>
      <c r="E1407" s="5" t="n">
        <v>7</v>
      </c>
      <c r="F1407" s="5" t="s">
        <v>544</v>
      </c>
      <c r="G1407" s="2" t="s">
        <v>2786</v>
      </c>
      <c r="H1407" s="5" t="s">
        <v>8332</v>
      </c>
      <c r="I1407" s="5" t="s">
        <v>60</v>
      </c>
      <c r="J1407" s="5" t="s">
        <v>2859</v>
      </c>
      <c r="K1407" s="5" t="s">
        <v>2862</v>
      </c>
    </row>
    <row r="1408" customFormat="false" ht="15" hidden="false" customHeight="false" outlineLevel="0" collapsed="false">
      <c r="A1408" s="5" t="s">
        <v>11853</v>
      </c>
      <c r="B1408" s="2" t="s">
        <v>11854</v>
      </c>
      <c r="C1408" s="5" t="s">
        <v>2128</v>
      </c>
      <c r="D1408" s="5" t="s">
        <v>490</v>
      </c>
      <c r="E1408" s="5" t="n">
        <v>7</v>
      </c>
      <c r="F1408" s="5" t="s">
        <v>67</v>
      </c>
      <c r="G1408" s="2" t="s">
        <v>2786</v>
      </c>
      <c r="H1408" s="5" t="s">
        <v>8336</v>
      </c>
      <c r="I1408" s="5"/>
      <c r="J1408" s="5"/>
      <c r="K1408" s="5" t="s">
        <v>11855</v>
      </c>
    </row>
    <row r="1409" customFormat="false" ht="15" hidden="false" customHeight="false" outlineLevel="0" collapsed="false">
      <c r="A1409" s="5" t="s">
        <v>11856</v>
      </c>
      <c r="B1409" s="2" t="s">
        <v>11857</v>
      </c>
      <c r="C1409" s="5" t="s">
        <v>2128</v>
      </c>
      <c r="D1409" s="5" t="s">
        <v>490</v>
      </c>
      <c r="E1409" s="5" t="n">
        <v>9</v>
      </c>
      <c r="F1409" s="5" t="s">
        <v>536</v>
      </c>
      <c r="G1409" s="2" t="s">
        <v>11858</v>
      </c>
      <c r="H1409" s="5" t="s">
        <v>8336</v>
      </c>
      <c r="I1409" s="5"/>
      <c r="J1409" s="5"/>
      <c r="K1409" s="5" t="s">
        <v>11859</v>
      </c>
    </row>
    <row r="1410" customFormat="false" ht="15" hidden="false" customHeight="false" outlineLevel="0" collapsed="false">
      <c r="A1410" s="5" t="s">
        <v>11860</v>
      </c>
      <c r="B1410" s="2" t="s">
        <v>11861</v>
      </c>
      <c r="C1410" s="5" t="s">
        <v>2128</v>
      </c>
      <c r="D1410" s="5" t="s">
        <v>490</v>
      </c>
      <c r="E1410" s="5" t="n">
        <v>5</v>
      </c>
      <c r="F1410" s="5" t="s">
        <v>536</v>
      </c>
      <c r="G1410" s="2" t="s">
        <v>11858</v>
      </c>
      <c r="H1410" s="5" t="s">
        <v>8336</v>
      </c>
      <c r="I1410" s="5"/>
      <c r="J1410" s="5"/>
      <c r="K1410" s="5" t="s">
        <v>11862</v>
      </c>
    </row>
    <row r="1411" customFormat="false" ht="15" hidden="false" customHeight="false" outlineLevel="0" collapsed="false">
      <c r="A1411" s="5" t="s">
        <v>11863</v>
      </c>
      <c r="B1411" s="2" t="s">
        <v>11864</v>
      </c>
      <c r="C1411" s="5" t="s">
        <v>2128</v>
      </c>
      <c r="D1411" s="5" t="s">
        <v>62</v>
      </c>
      <c r="E1411" s="5" t="n">
        <v>6</v>
      </c>
      <c r="F1411" s="5" t="s">
        <v>536</v>
      </c>
      <c r="G1411" s="2" t="s">
        <v>741</v>
      </c>
      <c r="H1411" s="5" t="s">
        <v>8336</v>
      </c>
      <c r="I1411" s="5"/>
      <c r="J1411" s="5"/>
      <c r="K1411" s="5" t="s">
        <v>11865</v>
      </c>
    </row>
    <row r="1412" customFormat="false" ht="23.85" hidden="false" customHeight="false" outlineLevel="0" collapsed="false">
      <c r="A1412" s="5" t="s">
        <v>11866</v>
      </c>
      <c r="B1412" s="2" t="s">
        <v>11867</v>
      </c>
      <c r="C1412" s="5" t="s">
        <v>2128</v>
      </c>
      <c r="D1412" s="5" t="s">
        <v>62</v>
      </c>
      <c r="E1412" s="5" t="n">
        <v>7</v>
      </c>
      <c r="F1412" s="5" t="s">
        <v>67</v>
      </c>
      <c r="G1412" s="2" t="s">
        <v>8898</v>
      </c>
      <c r="H1412" s="5" t="s">
        <v>8336</v>
      </c>
      <c r="I1412" s="5"/>
      <c r="J1412" s="5"/>
      <c r="K1412" s="5" t="s">
        <v>11868</v>
      </c>
    </row>
    <row r="1413" customFormat="false" ht="23.85" hidden="false" customHeight="false" outlineLevel="0" collapsed="false">
      <c r="A1413" s="5" t="s">
        <v>11869</v>
      </c>
      <c r="B1413" s="2" t="s">
        <v>11870</v>
      </c>
      <c r="C1413" s="5" t="s">
        <v>2128</v>
      </c>
      <c r="D1413" s="5" t="s">
        <v>62</v>
      </c>
      <c r="E1413" s="5" t="n">
        <v>9</v>
      </c>
      <c r="F1413" s="5" t="s">
        <v>1814</v>
      </c>
      <c r="G1413" s="2" t="s">
        <v>8898</v>
      </c>
      <c r="H1413" s="5" t="s">
        <v>8336</v>
      </c>
      <c r="I1413" s="5"/>
      <c r="J1413" s="5"/>
      <c r="K1413" s="5" t="s">
        <v>11871</v>
      </c>
    </row>
    <row r="1414" customFormat="false" ht="15" hidden="false" customHeight="false" outlineLevel="0" collapsed="false">
      <c r="A1414" s="5" t="s">
        <v>11872</v>
      </c>
      <c r="B1414" s="2" t="s">
        <v>11873</v>
      </c>
      <c r="C1414" s="5" t="s">
        <v>2128</v>
      </c>
      <c r="D1414" s="5" t="s">
        <v>62</v>
      </c>
      <c r="E1414" s="5" t="n">
        <v>9</v>
      </c>
      <c r="F1414" s="5" t="s">
        <v>11874</v>
      </c>
      <c r="G1414" s="2" t="s">
        <v>11875</v>
      </c>
      <c r="H1414" s="5" t="s">
        <v>8336</v>
      </c>
      <c r="I1414" s="5"/>
      <c r="J1414" s="5"/>
      <c r="K1414" s="5" t="s">
        <v>11876</v>
      </c>
    </row>
    <row r="1415" customFormat="false" ht="15" hidden="false" customHeight="false" outlineLevel="0" collapsed="false">
      <c r="A1415" s="5" t="s">
        <v>11877</v>
      </c>
      <c r="B1415" s="2" t="s">
        <v>11878</v>
      </c>
      <c r="C1415" s="5" t="s">
        <v>2128</v>
      </c>
      <c r="D1415" s="5" t="s">
        <v>62</v>
      </c>
      <c r="E1415" s="5" t="n">
        <v>9</v>
      </c>
      <c r="F1415" s="5" t="s">
        <v>11874</v>
      </c>
      <c r="G1415" s="2" t="s">
        <v>11875</v>
      </c>
      <c r="H1415" s="5" t="s">
        <v>8336</v>
      </c>
      <c r="I1415" s="5"/>
      <c r="J1415" s="5"/>
      <c r="K1415" s="5" t="s">
        <v>11879</v>
      </c>
    </row>
    <row r="1416" customFormat="false" ht="23.85" hidden="false" customHeight="false" outlineLevel="0" collapsed="false">
      <c r="A1416" s="5" t="s">
        <v>1059</v>
      </c>
      <c r="B1416" s="2" t="s">
        <v>1060</v>
      </c>
      <c r="C1416" s="5" t="s">
        <v>488</v>
      </c>
      <c r="D1416" s="5" t="s">
        <v>62</v>
      </c>
      <c r="E1416" s="5" t="n">
        <v>9</v>
      </c>
      <c r="F1416" s="5" t="s">
        <v>544</v>
      </c>
      <c r="G1416" s="2" t="s">
        <v>593</v>
      </c>
      <c r="H1416" s="5" t="s">
        <v>8332</v>
      </c>
      <c r="I1416" s="5" t="s">
        <v>60</v>
      </c>
      <c r="J1416" s="5" t="s">
        <v>161</v>
      </c>
      <c r="K1416" s="5" t="s">
        <v>1064</v>
      </c>
    </row>
    <row r="1417" customFormat="false" ht="23.85" hidden="false" customHeight="false" outlineLevel="0" collapsed="false">
      <c r="A1417" s="5" t="s">
        <v>1065</v>
      </c>
      <c r="B1417" s="2" t="s">
        <v>1066</v>
      </c>
      <c r="C1417" s="5" t="s">
        <v>488</v>
      </c>
      <c r="D1417" s="5" t="s">
        <v>62</v>
      </c>
      <c r="E1417" s="5" t="n">
        <v>9</v>
      </c>
      <c r="F1417" s="5" t="s">
        <v>544</v>
      </c>
      <c r="G1417" s="2" t="s">
        <v>593</v>
      </c>
      <c r="H1417" s="5" t="s">
        <v>8332</v>
      </c>
      <c r="I1417" s="5" t="s">
        <v>60</v>
      </c>
      <c r="J1417" s="5" t="s">
        <v>110</v>
      </c>
      <c r="K1417" s="5" t="s">
        <v>1070</v>
      </c>
    </row>
    <row r="1418" customFormat="false" ht="23.85" hidden="false" customHeight="false" outlineLevel="0" collapsed="false">
      <c r="A1418" s="5" t="s">
        <v>2863</v>
      </c>
      <c r="B1418" s="2" t="s">
        <v>2864</v>
      </c>
      <c r="C1418" s="5" t="s">
        <v>2128</v>
      </c>
      <c r="D1418" s="5" t="s">
        <v>62</v>
      </c>
      <c r="E1418" s="5" t="n">
        <v>9</v>
      </c>
      <c r="F1418" s="5" t="s">
        <v>90</v>
      </c>
      <c r="G1418" s="2" t="s">
        <v>184</v>
      </c>
      <c r="H1418" s="5" t="s">
        <v>8332</v>
      </c>
      <c r="I1418" s="5" t="s">
        <v>60</v>
      </c>
      <c r="J1418" s="5" t="s">
        <v>2813</v>
      </c>
      <c r="K1418" s="5" t="s">
        <v>2871</v>
      </c>
    </row>
    <row r="1419" customFormat="false" ht="23.85" hidden="false" customHeight="false" outlineLevel="0" collapsed="false">
      <c r="A1419" s="5" t="s">
        <v>2872</v>
      </c>
      <c r="B1419" s="2" t="s">
        <v>2873</v>
      </c>
      <c r="C1419" s="5" t="s">
        <v>2128</v>
      </c>
      <c r="D1419" s="5" t="s">
        <v>62</v>
      </c>
      <c r="E1419" s="5" t="n">
        <v>6</v>
      </c>
      <c r="F1419" s="5" t="s">
        <v>90</v>
      </c>
      <c r="G1419" s="2" t="s">
        <v>184</v>
      </c>
      <c r="H1419" s="5" t="s">
        <v>8332</v>
      </c>
      <c r="I1419" s="5" t="s">
        <v>60</v>
      </c>
      <c r="J1419" s="5" t="s">
        <v>2813</v>
      </c>
      <c r="K1419" s="5" t="s">
        <v>2877</v>
      </c>
    </row>
    <row r="1420" customFormat="false" ht="23.85" hidden="false" customHeight="false" outlineLevel="0" collapsed="false">
      <c r="A1420" s="5" t="s">
        <v>2878</v>
      </c>
      <c r="B1420" s="2" t="s">
        <v>2879</v>
      </c>
      <c r="C1420" s="5" t="s">
        <v>2128</v>
      </c>
      <c r="D1420" s="5" t="s">
        <v>62</v>
      </c>
      <c r="E1420" s="5" t="n">
        <v>9</v>
      </c>
      <c r="F1420" s="5" t="s">
        <v>90</v>
      </c>
      <c r="G1420" s="2" t="s">
        <v>184</v>
      </c>
      <c r="H1420" s="5" t="s">
        <v>8332</v>
      </c>
      <c r="I1420" s="5" t="s">
        <v>60</v>
      </c>
      <c r="J1420" s="5" t="s">
        <v>2813</v>
      </c>
      <c r="K1420" s="5" t="s">
        <v>2882</v>
      </c>
    </row>
    <row r="1421" customFormat="false" ht="23.85" hidden="false" customHeight="false" outlineLevel="0" collapsed="false">
      <c r="A1421" s="5" t="s">
        <v>2883</v>
      </c>
      <c r="B1421" s="2" t="s">
        <v>2884</v>
      </c>
      <c r="C1421" s="5" t="s">
        <v>2128</v>
      </c>
      <c r="D1421" s="5" t="s">
        <v>62</v>
      </c>
      <c r="E1421" s="5" t="n">
        <v>9</v>
      </c>
      <c r="F1421" s="5" t="s">
        <v>90</v>
      </c>
      <c r="G1421" s="2" t="s">
        <v>184</v>
      </c>
      <c r="H1421" s="5" t="s">
        <v>8332</v>
      </c>
      <c r="I1421" s="5" t="s">
        <v>60</v>
      </c>
      <c r="J1421" s="5" t="s">
        <v>2885</v>
      </c>
      <c r="K1421" s="5" t="s">
        <v>2889</v>
      </c>
    </row>
    <row r="1422" customFormat="false" ht="23.85" hidden="false" customHeight="false" outlineLevel="0" collapsed="false">
      <c r="A1422" s="5" t="s">
        <v>2890</v>
      </c>
      <c r="B1422" s="2" t="s">
        <v>2891</v>
      </c>
      <c r="C1422" s="5" t="s">
        <v>2128</v>
      </c>
      <c r="D1422" s="5" t="s">
        <v>62</v>
      </c>
      <c r="E1422" s="5" t="n">
        <v>9</v>
      </c>
      <c r="F1422" s="5" t="s">
        <v>90</v>
      </c>
      <c r="G1422" s="2" t="s">
        <v>184</v>
      </c>
      <c r="H1422" s="5" t="s">
        <v>8332</v>
      </c>
      <c r="I1422" s="5" t="s">
        <v>60</v>
      </c>
      <c r="J1422" s="5" t="s">
        <v>2813</v>
      </c>
      <c r="K1422" s="5" t="s">
        <v>2894</v>
      </c>
    </row>
    <row r="1423" customFormat="false" ht="23.85" hidden="false" customHeight="false" outlineLevel="0" collapsed="false">
      <c r="A1423" s="5" t="s">
        <v>2895</v>
      </c>
      <c r="B1423" s="2" t="s">
        <v>2896</v>
      </c>
      <c r="C1423" s="5" t="s">
        <v>2128</v>
      </c>
      <c r="D1423" s="5" t="s">
        <v>62</v>
      </c>
      <c r="E1423" s="5" t="n">
        <v>9</v>
      </c>
      <c r="F1423" s="5" t="s">
        <v>536</v>
      </c>
      <c r="G1423" s="2" t="s">
        <v>184</v>
      </c>
      <c r="H1423" s="5" t="s">
        <v>8332</v>
      </c>
      <c r="I1423" s="5" t="s">
        <v>60</v>
      </c>
      <c r="J1423" s="5" t="s">
        <v>2813</v>
      </c>
      <c r="K1423" s="5" t="s">
        <v>2901</v>
      </c>
    </row>
    <row r="1424" customFormat="false" ht="23.85" hidden="false" customHeight="false" outlineLevel="0" collapsed="false">
      <c r="A1424" s="5" t="s">
        <v>2902</v>
      </c>
      <c r="B1424" s="2" t="s">
        <v>2903</v>
      </c>
      <c r="C1424" s="5" t="s">
        <v>2128</v>
      </c>
      <c r="D1424" s="5" t="s">
        <v>62</v>
      </c>
      <c r="E1424" s="5" t="n">
        <v>6</v>
      </c>
      <c r="F1424" s="5" t="s">
        <v>536</v>
      </c>
      <c r="G1424" s="2" t="s">
        <v>184</v>
      </c>
      <c r="H1424" s="5" t="s">
        <v>8332</v>
      </c>
      <c r="I1424" s="5" t="s">
        <v>60</v>
      </c>
      <c r="J1424" s="5" t="s">
        <v>2813</v>
      </c>
      <c r="K1424" s="5" t="s">
        <v>2905</v>
      </c>
    </row>
    <row r="1425" customFormat="false" ht="23.85" hidden="false" customHeight="false" outlineLevel="0" collapsed="false">
      <c r="A1425" s="5" t="s">
        <v>2906</v>
      </c>
      <c r="B1425" s="2" t="s">
        <v>2907</v>
      </c>
      <c r="C1425" s="5" t="s">
        <v>2128</v>
      </c>
      <c r="D1425" s="5" t="s">
        <v>62</v>
      </c>
      <c r="E1425" s="5" t="n">
        <v>9</v>
      </c>
      <c r="F1425" s="5" t="s">
        <v>536</v>
      </c>
      <c r="G1425" s="2" t="s">
        <v>184</v>
      </c>
      <c r="H1425" s="5" t="s">
        <v>8332</v>
      </c>
      <c r="I1425" s="5" t="s">
        <v>60</v>
      </c>
      <c r="J1425" s="5" t="s">
        <v>2813</v>
      </c>
      <c r="K1425" s="5" t="s">
        <v>2908</v>
      </c>
    </row>
    <row r="1426" customFormat="false" ht="23.85" hidden="false" customHeight="false" outlineLevel="0" collapsed="false">
      <c r="A1426" s="5" t="s">
        <v>2909</v>
      </c>
      <c r="B1426" s="2" t="s">
        <v>2910</v>
      </c>
      <c r="C1426" s="5" t="s">
        <v>2128</v>
      </c>
      <c r="D1426" s="5" t="s">
        <v>62</v>
      </c>
      <c r="E1426" s="5" t="n">
        <v>6</v>
      </c>
      <c r="F1426" s="5" t="s">
        <v>536</v>
      </c>
      <c r="G1426" s="2" t="s">
        <v>184</v>
      </c>
      <c r="H1426" s="5" t="s">
        <v>8332</v>
      </c>
      <c r="I1426" s="5" t="s">
        <v>60</v>
      </c>
      <c r="J1426" s="5" t="s">
        <v>2885</v>
      </c>
      <c r="K1426" s="5" t="s">
        <v>2912</v>
      </c>
    </row>
    <row r="1427" customFormat="false" ht="23.85" hidden="false" customHeight="false" outlineLevel="0" collapsed="false">
      <c r="A1427" s="5" t="s">
        <v>2913</v>
      </c>
      <c r="B1427" s="2" t="s">
        <v>2914</v>
      </c>
      <c r="C1427" s="5" t="s">
        <v>2128</v>
      </c>
      <c r="D1427" s="5" t="s">
        <v>62</v>
      </c>
      <c r="E1427" s="5" t="n">
        <v>9</v>
      </c>
      <c r="F1427" s="5" t="s">
        <v>536</v>
      </c>
      <c r="G1427" s="2" t="s">
        <v>184</v>
      </c>
      <c r="H1427" s="5" t="s">
        <v>8332</v>
      </c>
      <c r="I1427" s="5" t="s">
        <v>60</v>
      </c>
      <c r="J1427" s="5" t="s">
        <v>2813</v>
      </c>
      <c r="K1427" s="5" t="s">
        <v>2916</v>
      </c>
    </row>
    <row r="1428" customFormat="false" ht="15" hidden="false" customHeight="false" outlineLevel="0" collapsed="false">
      <c r="A1428" s="5" t="s">
        <v>11880</v>
      </c>
      <c r="B1428" s="2" t="s">
        <v>11881</v>
      </c>
      <c r="C1428" s="5" t="s">
        <v>2128</v>
      </c>
      <c r="D1428" s="5" t="s">
        <v>62</v>
      </c>
      <c r="E1428" s="5" t="n">
        <v>8</v>
      </c>
      <c r="F1428" s="5" t="s">
        <v>8690</v>
      </c>
      <c r="G1428" s="2" t="s">
        <v>11882</v>
      </c>
      <c r="H1428" s="5" t="s">
        <v>8336</v>
      </c>
      <c r="I1428" s="5"/>
      <c r="J1428" s="5"/>
      <c r="K1428" s="5" t="s">
        <v>11883</v>
      </c>
    </row>
    <row r="1429" customFormat="false" ht="15" hidden="false" customHeight="false" outlineLevel="0" collapsed="false">
      <c r="A1429" s="5" t="s">
        <v>11884</v>
      </c>
      <c r="B1429" s="2" t="s">
        <v>11885</v>
      </c>
      <c r="C1429" s="5" t="s">
        <v>2128</v>
      </c>
      <c r="D1429" s="5" t="s">
        <v>62</v>
      </c>
      <c r="E1429" s="5" t="n">
        <v>9</v>
      </c>
      <c r="F1429" s="5" t="s">
        <v>536</v>
      </c>
      <c r="G1429" s="2" t="s">
        <v>9360</v>
      </c>
      <c r="H1429" s="5" t="s">
        <v>8336</v>
      </c>
      <c r="I1429" s="5"/>
      <c r="J1429" s="5"/>
      <c r="K1429" s="5" t="s">
        <v>11886</v>
      </c>
    </row>
    <row r="1430" customFormat="false" ht="15" hidden="false" customHeight="false" outlineLevel="0" collapsed="false">
      <c r="A1430" s="5" t="s">
        <v>11887</v>
      </c>
      <c r="B1430" s="2" t="s">
        <v>11888</v>
      </c>
      <c r="C1430" s="5" t="s">
        <v>2128</v>
      </c>
      <c r="D1430" s="5" t="s">
        <v>62</v>
      </c>
      <c r="E1430" s="5" t="n">
        <v>7</v>
      </c>
      <c r="F1430" s="5" t="s">
        <v>8908</v>
      </c>
      <c r="G1430" s="2" t="s">
        <v>1073</v>
      </c>
      <c r="H1430" s="5" t="s">
        <v>8336</v>
      </c>
      <c r="I1430" s="5"/>
      <c r="J1430" s="5"/>
      <c r="K1430" s="5" t="s">
        <v>11889</v>
      </c>
    </row>
    <row r="1431" customFormat="false" ht="15" hidden="false" customHeight="false" outlineLevel="0" collapsed="false">
      <c r="A1431" s="5" t="s">
        <v>1071</v>
      </c>
      <c r="B1431" s="2" t="s">
        <v>1072</v>
      </c>
      <c r="C1431" s="5" t="s">
        <v>488</v>
      </c>
      <c r="D1431" s="5" t="s">
        <v>62</v>
      </c>
      <c r="E1431" s="5" t="n">
        <v>10</v>
      </c>
      <c r="F1431" s="5" t="s">
        <v>100</v>
      </c>
      <c r="G1431" s="2" t="s">
        <v>1073</v>
      </c>
      <c r="H1431" s="5" t="s">
        <v>8332</v>
      </c>
      <c r="I1431" s="5" t="s">
        <v>60</v>
      </c>
      <c r="J1431" s="5" t="s">
        <v>100</v>
      </c>
      <c r="K1431" s="5" t="s">
        <v>1078</v>
      </c>
    </row>
    <row r="1432" customFormat="false" ht="15" hidden="false" customHeight="false" outlineLevel="0" collapsed="false">
      <c r="A1432" s="5" t="s">
        <v>11890</v>
      </c>
      <c r="B1432" s="2" t="s">
        <v>11891</v>
      </c>
      <c r="C1432" s="5" t="s">
        <v>2128</v>
      </c>
      <c r="D1432" s="5" t="s">
        <v>62</v>
      </c>
      <c r="E1432" s="5" t="n">
        <v>9</v>
      </c>
      <c r="F1432" s="5" t="s">
        <v>536</v>
      </c>
      <c r="G1432" s="2" t="s">
        <v>1073</v>
      </c>
      <c r="H1432" s="5" t="s">
        <v>8336</v>
      </c>
      <c r="I1432" s="5"/>
      <c r="J1432" s="5"/>
      <c r="K1432" s="5" t="s">
        <v>11892</v>
      </c>
    </row>
    <row r="1433" customFormat="false" ht="15" hidden="false" customHeight="false" outlineLevel="0" collapsed="false">
      <c r="A1433" s="5" t="s">
        <v>11893</v>
      </c>
      <c r="B1433" s="2" t="s">
        <v>11894</v>
      </c>
      <c r="C1433" s="5" t="s">
        <v>2128</v>
      </c>
      <c r="D1433" s="5" t="s">
        <v>62</v>
      </c>
      <c r="E1433" s="5" t="n">
        <v>10</v>
      </c>
      <c r="F1433" s="5" t="s">
        <v>67</v>
      </c>
      <c r="G1433" s="2" t="s">
        <v>1073</v>
      </c>
      <c r="H1433" s="5" t="s">
        <v>8336</v>
      </c>
      <c r="I1433" s="5"/>
      <c r="J1433" s="5"/>
      <c r="K1433" s="5" t="s">
        <v>11895</v>
      </c>
    </row>
    <row r="1434" customFormat="false" ht="23.85" hidden="false" customHeight="false" outlineLevel="0" collapsed="false">
      <c r="A1434" s="5" t="s">
        <v>11896</v>
      </c>
      <c r="B1434" s="2" t="s">
        <v>11897</v>
      </c>
      <c r="C1434" s="5" t="s">
        <v>2128</v>
      </c>
      <c r="D1434" s="5" t="s">
        <v>62</v>
      </c>
      <c r="E1434" s="5" t="n">
        <v>7</v>
      </c>
      <c r="F1434" s="5" t="s">
        <v>8908</v>
      </c>
      <c r="G1434" s="2" t="s">
        <v>1073</v>
      </c>
      <c r="H1434" s="5" t="s">
        <v>8336</v>
      </c>
      <c r="I1434" s="5"/>
      <c r="J1434" s="5"/>
      <c r="K1434" s="5" t="s">
        <v>11898</v>
      </c>
    </row>
    <row r="1435" customFormat="false" ht="23.85" hidden="false" customHeight="false" outlineLevel="0" collapsed="false">
      <c r="A1435" s="5" t="s">
        <v>11899</v>
      </c>
      <c r="B1435" s="2" t="s">
        <v>11900</v>
      </c>
      <c r="C1435" s="5" t="s">
        <v>2128</v>
      </c>
      <c r="D1435" s="5" t="s">
        <v>62</v>
      </c>
      <c r="E1435" s="5" t="n">
        <v>5</v>
      </c>
      <c r="F1435" s="5" t="s">
        <v>8908</v>
      </c>
      <c r="G1435" s="2" t="s">
        <v>1073</v>
      </c>
      <c r="H1435" s="5" t="s">
        <v>8336</v>
      </c>
      <c r="I1435" s="5"/>
      <c r="J1435" s="5"/>
      <c r="K1435" s="5" t="s">
        <v>11901</v>
      </c>
    </row>
    <row r="1436" customFormat="false" ht="23.85" hidden="false" customHeight="false" outlineLevel="0" collapsed="false">
      <c r="A1436" s="5" t="s">
        <v>11902</v>
      </c>
      <c r="B1436" s="2" t="s">
        <v>11903</v>
      </c>
      <c r="C1436" s="5" t="s">
        <v>2128</v>
      </c>
      <c r="D1436" s="5" t="s">
        <v>62</v>
      </c>
      <c r="E1436" s="5" t="n">
        <v>5</v>
      </c>
      <c r="F1436" s="5" t="s">
        <v>3005</v>
      </c>
      <c r="G1436" s="2" t="s">
        <v>1073</v>
      </c>
      <c r="H1436" s="5" t="s">
        <v>8336</v>
      </c>
      <c r="I1436" s="5"/>
      <c r="J1436" s="5"/>
      <c r="K1436" s="5" t="s">
        <v>11904</v>
      </c>
    </row>
    <row r="1437" customFormat="false" ht="15" hidden="false" customHeight="false" outlineLevel="0" collapsed="false">
      <c r="A1437" s="5" t="s">
        <v>1079</v>
      </c>
      <c r="B1437" s="2" t="s">
        <v>1080</v>
      </c>
      <c r="C1437" s="5" t="s">
        <v>488</v>
      </c>
      <c r="D1437" s="5" t="s">
        <v>62</v>
      </c>
      <c r="E1437" s="5" t="n">
        <v>10</v>
      </c>
      <c r="F1437" s="5" t="s">
        <v>67</v>
      </c>
      <c r="G1437" s="2" t="s">
        <v>1073</v>
      </c>
      <c r="H1437" s="5" t="s">
        <v>8332</v>
      </c>
      <c r="I1437" s="5" t="s">
        <v>60</v>
      </c>
      <c r="J1437" s="5"/>
      <c r="K1437" s="5" t="s">
        <v>1084</v>
      </c>
    </row>
    <row r="1438" customFormat="false" ht="15" hidden="false" customHeight="false" outlineLevel="0" collapsed="false">
      <c r="A1438" s="5" t="s">
        <v>11905</v>
      </c>
      <c r="B1438" s="2" t="s">
        <v>11906</v>
      </c>
      <c r="C1438" s="5" t="s">
        <v>2128</v>
      </c>
      <c r="D1438" s="5" t="s">
        <v>62</v>
      </c>
      <c r="E1438" s="5" t="n">
        <v>10</v>
      </c>
      <c r="F1438" s="5" t="s">
        <v>67</v>
      </c>
      <c r="G1438" s="2" t="s">
        <v>1073</v>
      </c>
      <c r="H1438" s="5" t="s">
        <v>8336</v>
      </c>
      <c r="I1438" s="5"/>
      <c r="J1438" s="5"/>
      <c r="K1438" s="5" t="s">
        <v>11907</v>
      </c>
    </row>
    <row r="1439" customFormat="false" ht="15" hidden="false" customHeight="false" outlineLevel="0" collapsed="false">
      <c r="A1439" s="5" t="s">
        <v>11908</v>
      </c>
      <c r="B1439" s="2" t="s">
        <v>11909</v>
      </c>
      <c r="C1439" s="5" t="s">
        <v>2128</v>
      </c>
      <c r="D1439" s="5" t="s">
        <v>62</v>
      </c>
      <c r="E1439" s="5" t="n">
        <v>10</v>
      </c>
      <c r="F1439" s="5" t="s">
        <v>9244</v>
      </c>
      <c r="G1439" s="2" t="s">
        <v>1073</v>
      </c>
      <c r="H1439" s="5" t="s">
        <v>8336</v>
      </c>
      <c r="I1439" s="5"/>
      <c r="J1439" s="5"/>
      <c r="K1439" s="5" t="s">
        <v>11910</v>
      </c>
    </row>
    <row r="1440" customFormat="false" ht="23.85" hidden="false" customHeight="false" outlineLevel="0" collapsed="false">
      <c r="A1440" s="5" t="s">
        <v>11911</v>
      </c>
      <c r="B1440" s="2" t="s">
        <v>11912</v>
      </c>
      <c r="C1440" s="5" t="s">
        <v>2128</v>
      </c>
      <c r="D1440" s="5" t="s">
        <v>62</v>
      </c>
      <c r="E1440" s="5" t="n">
        <v>8</v>
      </c>
      <c r="F1440" s="5" t="s">
        <v>67</v>
      </c>
      <c r="G1440" s="2" t="s">
        <v>1073</v>
      </c>
      <c r="H1440" s="5" t="s">
        <v>8336</v>
      </c>
      <c r="I1440" s="5"/>
      <c r="J1440" s="5"/>
      <c r="K1440" s="5" t="s">
        <v>11913</v>
      </c>
    </row>
    <row r="1441" customFormat="false" ht="15" hidden="false" customHeight="false" outlineLevel="0" collapsed="false">
      <c r="A1441" s="5" t="s">
        <v>11914</v>
      </c>
      <c r="B1441" s="2" t="s">
        <v>11915</v>
      </c>
      <c r="C1441" s="5" t="s">
        <v>2128</v>
      </c>
      <c r="D1441" s="5" t="s">
        <v>62</v>
      </c>
      <c r="E1441" s="5" t="n">
        <v>8</v>
      </c>
      <c r="F1441" s="5" t="s">
        <v>536</v>
      </c>
      <c r="G1441" s="2" t="s">
        <v>1073</v>
      </c>
      <c r="H1441" s="5" t="s">
        <v>8336</v>
      </c>
      <c r="I1441" s="5"/>
      <c r="J1441" s="5"/>
      <c r="K1441" s="5" t="s">
        <v>11916</v>
      </c>
    </row>
    <row r="1442" customFormat="false" ht="15" hidden="false" customHeight="false" outlineLevel="0" collapsed="false">
      <c r="A1442" s="5" t="s">
        <v>11917</v>
      </c>
      <c r="B1442" s="2" t="s">
        <v>11918</v>
      </c>
      <c r="C1442" s="5" t="s">
        <v>2128</v>
      </c>
      <c r="D1442" s="5" t="s">
        <v>62</v>
      </c>
      <c r="E1442" s="5" t="n">
        <v>9</v>
      </c>
      <c r="F1442" s="5" t="s">
        <v>536</v>
      </c>
      <c r="G1442" s="2" t="s">
        <v>9475</v>
      </c>
      <c r="H1442" s="5" t="s">
        <v>8336</v>
      </c>
      <c r="I1442" s="5"/>
      <c r="J1442" s="5"/>
      <c r="K1442" s="5" t="s">
        <v>11919</v>
      </c>
    </row>
    <row r="1443" customFormat="false" ht="15" hidden="false" customHeight="false" outlineLevel="0" collapsed="false">
      <c r="A1443" s="5" t="s">
        <v>11920</v>
      </c>
      <c r="B1443" s="2" t="s">
        <v>11921</v>
      </c>
      <c r="C1443" s="5" t="s">
        <v>2128</v>
      </c>
      <c r="D1443" s="5" t="s">
        <v>62</v>
      </c>
      <c r="E1443" s="5" t="n">
        <v>5</v>
      </c>
      <c r="F1443" s="5" t="s">
        <v>536</v>
      </c>
      <c r="G1443" s="2" t="s">
        <v>9475</v>
      </c>
      <c r="H1443" s="5" t="s">
        <v>8336</v>
      </c>
      <c r="I1443" s="5"/>
      <c r="J1443" s="5"/>
      <c r="K1443" s="5" t="s">
        <v>11922</v>
      </c>
    </row>
    <row r="1444" customFormat="false" ht="15" hidden="false" customHeight="false" outlineLevel="0" collapsed="false">
      <c r="A1444" s="5" t="s">
        <v>11923</v>
      </c>
      <c r="B1444" s="2" t="s">
        <v>11924</v>
      </c>
      <c r="C1444" s="5" t="s">
        <v>2128</v>
      </c>
      <c r="D1444" s="5" t="s">
        <v>490</v>
      </c>
      <c r="E1444" s="5" t="n">
        <v>9</v>
      </c>
      <c r="F1444" s="5" t="s">
        <v>536</v>
      </c>
      <c r="G1444" s="2" t="s">
        <v>9475</v>
      </c>
      <c r="H1444" s="5" t="s">
        <v>8336</v>
      </c>
      <c r="I1444" s="5"/>
      <c r="J1444" s="5"/>
      <c r="K1444" s="5" t="s">
        <v>11925</v>
      </c>
    </row>
    <row r="1445" customFormat="false" ht="15" hidden="false" customHeight="false" outlineLevel="0" collapsed="false">
      <c r="A1445" s="5" t="s">
        <v>11926</v>
      </c>
      <c r="B1445" s="2" t="s">
        <v>11927</v>
      </c>
      <c r="C1445" s="5" t="s">
        <v>2128</v>
      </c>
      <c r="D1445" s="5" t="s">
        <v>490</v>
      </c>
      <c r="E1445" s="5" t="n">
        <v>5</v>
      </c>
      <c r="F1445" s="5" t="s">
        <v>536</v>
      </c>
      <c r="G1445" s="2" t="s">
        <v>9475</v>
      </c>
      <c r="H1445" s="5" t="s">
        <v>8336</v>
      </c>
      <c r="I1445" s="5"/>
      <c r="J1445" s="5"/>
      <c r="K1445" s="5" t="s">
        <v>11928</v>
      </c>
    </row>
    <row r="1446" customFormat="false" ht="15" hidden="false" customHeight="false" outlineLevel="0" collapsed="false">
      <c r="A1446" s="5" t="s">
        <v>11929</v>
      </c>
      <c r="B1446" s="2" t="s">
        <v>11930</v>
      </c>
      <c r="C1446" s="5" t="s">
        <v>2128</v>
      </c>
      <c r="D1446" s="5" t="s">
        <v>62</v>
      </c>
      <c r="E1446" s="5" t="n">
        <v>9</v>
      </c>
      <c r="F1446" s="5" t="s">
        <v>536</v>
      </c>
      <c r="G1446" s="2" t="s">
        <v>9475</v>
      </c>
      <c r="H1446" s="5" t="s">
        <v>8336</v>
      </c>
      <c r="I1446" s="5"/>
      <c r="J1446" s="5"/>
      <c r="K1446" s="5" t="s">
        <v>11931</v>
      </c>
    </row>
    <row r="1447" customFormat="false" ht="15" hidden="false" customHeight="false" outlineLevel="0" collapsed="false">
      <c r="A1447" s="5" t="s">
        <v>11932</v>
      </c>
      <c r="B1447" s="2" t="s">
        <v>11933</v>
      </c>
      <c r="C1447" s="5" t="s">
        <v>2128</v>
      </c>
      <c r="D1447" s="5" t="s">
        <v>62</v>
      </c>
      <c r="E1447" s="5" t="n">
        <v>5</v>
      </c>
      <c r="F1447" s="5" t="s">
        <v>536</v>
      </c>
      <c r="G1447" s="2" t="s">
        <v>9475</v>
      </c>
      <c r="H1447" s="5" t="s">
        <v>8336</v>
      </c>
      <c r="I1447" s="5"/>
      <c r="J1447" s="5"/>
      <c r="K1447" s="5" t="s">
        <v>11934</v>
      </c>
    </row>
    <row r="1448" customFormat="false" ht="23.85" hidden="false" customHeight="false" outlineLevel="0" collapsed="false">
      <c r="A1448" s="5" t="s">
        <v>11935</v>
      </c>
      <c r="B1448" s="2" t="s">
        <v>11936</v>
      </c>
      <c r="C1448" s="5" t="s">
        <v>2128</v>
      </c>
      <c r="D1448" s="5" t="s">
        <v>62</v>
      </c>
      <c r="E1448" s="5" t="n">
        <v>9</v>
      </c>
      <c r="F1448" s="5" t="s">
        <v>536</v>
      </c>
      <c r="G1448" s="2" t="s">
        <v>415</v>
      </c>
      <c r="H1448" s="5" t="s">
        <v>8336</v>
      </c>
      <c r="I1448" s="5"/>
      <c r="J1448" s="5"/>
      <c r="K1448" s="5" t="s">
        <v>11937</v>
      </c>
    </row>
    <row r="1449" customFormat="false" ht="23.85" hidden="false" customHeight="false" outlineLevel="0" collapsed="false">
      <c r="A1449" s="5" t="s">
        <v>6124</v>
      </c>
      <c r="B1449" s="2" t="s">
        <v>6125</v>
      </c>
      <c r="C1449" s="5" t="s">
        <v>2128</v>
      </c>
      <c r="D1449" s="5" t="s">
        <v>62</v>
      </c>
      <c r="E1449" s="5" t="n">
        <v>9</v>
      </c>
      <c r="F1449" s="5" t="s">
        <v>2079</v>
      </c>
      <c r="G1449" s="2" t="s">
        <v>8898</v>
      </c>
      <c r="H1449" s="5" t="s">
        <v>8332</v>
      </c>
      <c r="I1449" s="5" t="s">
        <v>4760</v>
      </c>
      <c r="J1449" s="5" t="s">
        <v>2079</v>
      </c>
      <c r="K1449" s="5" t="s">
        <v>6130</v>
      </c>
    </row>
    <row r="1450" customFormat="false" ht="15" hidden="false" customHeight="false" outlineLevel="0" collapsed="false">
      <c r="A1450" s="5" t="s">
        <v>11938</v>
      </c>
      <c r="B1450" s="2" t="s">
        <v>11939</v>
      </c>
      <c r="C1450" s="5" t="s">
        <v>2128</v>
      </c>
      <c r="D1450" s="5" t="s">
        <v>62</v>
      </c>
      <c r="E1450" s="5" t="n">
        <v>7</v>
      </c>
      <c r="F1450" s="5" t="s">
        <v>9223</v>
      </c>
      <c r="G1450" s="2" t="s">
        <v>9224</v>
      </c>
      <c r="H1450" s="5" t="s">
        <v>8336</v>
      </c>
      <c r="I1450" s="5"/>
      <c r="J1450" s="5"/>
      <c r="K1450" s="5" t="s">
        <v>11940</v>
      </c>
    </row>
    <row r="1451" customFormat="false" ht="15" hidden="false" customHeight="false" outlineLevel="0" collapsed="false">
      <c r="A1451" s="5" t="s">
        <v>11941</v>
      </c>
      <c r="B1451" s="2" t="s">
        <v>11942</v>
      </c>
      <c r="C1451" s="5" t="s">
        <v>2128</v>
      </c>
      <c r="D1451" s="5" t="s">
        <v>62</v>
      </c>
      <c r="E1451" s="5" t="n">
        <v>7</v>
      </c>
      <c r="F1451" s="5" t="s">
        <v>9223</v>
      </c>
      <c r="G1451" s="2" t="s">
        <v>9224</v>
      </c>
      <c r="H1451" s="5" t="s">
        <v>8336</v>
      </c>
      <c r="I1451" s="5"/>
      <c r="J1451" s="5"/>
      <c r="K1451" s="5" t="s">
        <v>11943</v>
      </c>
    </row>
    <row r="1452" customFormat="false" ht="15" hidden="false" customHeight="false" outlineLevel="0" collapsed="false">
      <c r="A1452" s="5" t="s">
        <v>11944</v>
      </c>
      <c r="B1452" s="2" t="s">
        <v>11945</v>
      </c>
      <c r="C1452" s="5" t="s">
        <v>2128</v>
      </c>
      <c r="D1452" s="5" t="s">
        <v>62</v>
      </c>
      <c r="E1452" s="5" t="n">
        <v>7</v>
      </c>
      <c r="F1452" s="5" t="s">
        <v>9231</v>
      </c>
      <c r="G1452" s="2" t="s">
        <v>9232</v>
      </c>
      <c r="H1452" s="5" t="s">
        <v>8336</v>
      </c>
      <c r="I1452" s="5"/>
      <c r="J1452" s="5"/>
      <c r="K1452" s="5" t="s">
        <v>11946</v>
      </c>
    </row>
    <row r="1453" customFormat="false" ht="15" hidden="false" customHeight="false" outlineLevel="0" collapsed="false">
      <c r="A1453" s="5" t="s">
        <v>11947</v>
      </c>
      <c r="B1453" s="2" t="s">
        <v>11948</v>
      </c>
      <c r="C1453" s="5" t="s">
        <v>2128</v>
      </c>
      <c r="D1453" s="5" t="s">
        <v>62</v>
      </c>
      <c r="E1453" s="5" t="n">
        <v>7</v>
      </c>
      <c r="F1453" s="5" t="s">
        <v>9231</v>
      </c>
      <c r="G1453" s="2" t="s">
        <v>9232</v>
      </c>
      <c r="H1453" s="5" t="s">
        <v>8336</v>
      </c>
      <c r="I1453" s="5"/>
      <c r="J1453" s="5"/>
      <c r="K1453" s="5" t="s">
        <v>11949</v>
      </c>
    </row>
    <row r="1454" customFormat="false" ht="79.85" hidden="false" customHeight="false" outlineLevel="0" collapsed="false">
      <c r="A1454" s="5" t="s">
        <v>11950</v>
      </c>
      <c r="B1454" s="2" t="s">
        <v>11951</v>
      </c>
      <c r="C1454" s="5" t="s">
        <v>2128</v>
      </c>
      <c r="D1454" s="5" t="s">
        <v>62</v>
      </c>
      <c r="E1454" s="5" t="n">
        <v>9</v>
      </c>
      <c r="F1454" s="5" t="s">
        <v>8902</v>
      </c>
      <c r="G1454" s="2" t="s">
        <v>11952</v>
      </c>
      <c r="H1454" s="5" t="s">
        <v>8336</v>
      </c>
      <c r="I1454" s="5"/>
      <c r="J1454" s="5"/>
      <c r="K1454" s="5" t="s">
        <v>11953</v>
      </c>
    </row>
    <row r="1455" customFormat="false" ht="79.85" hidden="false" customHeight="false" outlineLevel="0" collapsed="false">
      <c r="A1455" s="5" t="s">
        <v>11954</v>
      </c>
      <c r="B1455" s="2" t="s">
        <v>11955</v>
      </c>
      <c r="C1455" s="5" t="s">
        <v>2128</v>
      </c>
      <c r="D1455" s="5" t="s">
        <v>62</v>
      </c>
      <c r="E1455" s="5" t="n">
        <v>9</v>
      </c>
      <c r="F1455" s="5" t="s">
        <v>8902</v>
      </c>
      <c r="G1455" s="2" t="s">
        <v>11952</v>
      </c>
      <c r="H1455" s="5" t="s">
        <v>8336</v>
      </c>
      <c r="I1455" s="5"/>
      <c r="J1455" s="5"/>
      <c r="K1455" s="5" t="s">
        <v>11956</v>
      </c>
    </row>
    <row r="1456" customFormat="false" ht="79.85" hidden="false" customHeight="false" outlineLevel="0" collapsed="false">
      <c r="A1456" s="5" t="s">
        <v>11957</v>
      </c>
      <c r="B1456" s="2" t="s">
        <v>11958</v>
      </c>
      <c r="C1456" s="5" t="s">
        <v>2128</v>
      </c>
      <c r="D1456" s="5" t="s">
        <v>62</v>
      </c>
      <c r="E1456" s="5" t="n">
        <v>9</v>
      </c>
      <c r="F1456" s="5" t="s">
        <v>8902</v>
      </c>
      <c r="G1456" s="2" t="s">
        <v>11952</v>
      </c>
      <c r="H1456" s="5" t="s">
        <v>8336</v>
      </c>
      <c r="I1456" s="5"/>
      <c r="J1456" s="5"/>
      <c r="K1456" s="5" t="s">
        <v>11959</v>
      </c>
    </row>
    <row r="1457" customFormat="false" ht="35.05" hidden="false" customHeight="false" outlineLevel="0" collapsed="false">
      <c r="A1457" s="5" t="s">
        <v>11960</v>
      </c>
      <c r="B1457" s="2" t="s">
        <v>11961</v>
      </c>
      <c r="C1457" s="5" t="s">
        <v>2245</v>
      </c>
      <c r="D1457" s="5" t="s">
        <v>62</v>
      </c>
      <c r="E1457" s="5" t="n">
        <v>9</v>
      </c>
      <c r="F1457" s="5" t="s">
        <v>8702</v>
      </c>
      <c r="G1457" s="2" t="s">
        <v>11962</v>
      </c>
      <c r="H1457" s="5" t="s">
        <v>8336</v>
      </c>
      <c r="I1457" s="5"/>
      <c r="J1457" s="5"/>
      <c r="K1457" s="5" t="s">
        <v>11963</v>
      </c>
    </row>
    <row r="1458" customFormat="false" ht="35.05" hidden="false" customHeight="false" outlineLevel="0" collapsed="false">
      <c r="A1458" s="5" t="s">
        <v>11964</v>
      </c>
      <c r="B1458" s="2" t="s">
        <v>11965</v>
      </c>
      <c r="C1458" s="5" t="s">
        <v>2245</v>
      </c>
      <c r="D1458" s="5" t="s">
        <v>62</v>
      </c>
      <c r="E1458" s="5" t="n">
        <v>5</v>
      </c>
      <c r="F1458" s="5" t="s">
        <v>8702</v>
      </c>
      <c r="G1458" s="2" t="s">
        <v>11962</v>
      </c>
      <c r="H1458" s="5" t="s">
        <v>8336</v>
      </c>
      <c r="I1458" s="5"/>
      <c r="J1458" s="5"/>
      <c r="K1458" s="5" t="s">
        <v>11966</v>
      </c>
    </row>
    <row r="1459" customFormat="false" ht="35.05" hidden="false" customHeight="false" outlineLevel="0" collapsed="false">
      <c r="A1459" s="5" t="s">
        <v>11967</v>
      </c>
      <c r="B1459" s="2" t="s">
        <v>11968</v>
      </c>
      <c r="C1459" s="5" t="s">
        <v>2245</v>
      </c>
      <c r="D1459" s="5" t="s">
        <v>62</v>
      </c>
      <c r="E1459" s="5" t="n">
        <v>9</v>
      </c>
      <c r="F1459" s="5" t="s">
        <v>8702</v>
      </c>
      <c r="G1459" s="2" t="s">
        <v>11962</v>
      </c>
      <c r="H1459" s="5" t="s">
        <v>8336</v>
      </c>
      <c r="I1459" s="5"/>
      <c r="J1459" s="5"/>
      <c r="K1459" s="5" t="s">
        <v>11969</v>
      </c>
    </row>
    <row r="1460" customFormat="false" ht="23.85" hidden="false" customHeight="false" outlineLevel="0" collapsed="false">
      <c r="A1460" s="5" t="s">
        <v>11970</v>
      </c>
      <c r="B1460" s="2" t="s">
        <v>11971</v>
      </c>
      <c r="C1460" s="5" t="s">
        <v>2128</v>
      </c>
      <c r="D1460" s="5" t="s">
        <v>62</v>
      </c>
      <c r="E1460" s="5" t="n">
        <v>9</v>
      </c>
      <c r="F1460" s="5" t="s">
        <v>536</v>
      </c>
      <c r="G1460" s="2" t="s">
        <v>8682</v>
      </c>
      <c r="H1460" s="5" t="s">
        <v>8336</v>
      </c>
      <c r="I1460" s="5"/>
      <c r="J1460" s="5"/>
      <c r="K1460" s="5" t="s">
        <v>11972</v>
      </c>
    </row>
    <row r="1461" customFormat="false" ht="23.85" hidden="false" customHeight="false" outlineLevel="0" collapsed="false">
      <c r="A1461" s="5" t="s">
        <v>2917</v>
      </c>
      <c r="B1461" s="2" t="s">
        <v>2918</v>
      </c>
      <c r="C1461" s="5" t="s">
        <v>2128</v>
      </c>
      <c r="D1461" s="5" t="s">
        <v>62</v>
      </c>
      <c r="E1461" s="5" t="n">
        <v>7</v>
      </c>
      <c r="F1461" s="5" t="s">
        <v>90</v>
      </c>
      <c r="G1461" s="2" t="s">
        <v>184</v>
      </c>
      <c r="H1461" s="5" t="s">
        <v>8332</v>
      </c>
      <c r="I1461" s="5" t="s">
        <v>60</v>
      </c>
      <c r="J1461" s="5" t="s">
        <v>182</v>
      </c>
      <c r="K1461" s="5" t="s">
        <v>2923</v>
      </c>
    </row>
    <row r="1462" customFormat="false" ht="23.85" hidden="false" customHeight="false" outlineLevel="0" collapsed="false">
      <c r="A1462" s="5" t="s">
        <v>2924</v>
      </c>
      <c r="B1462" s="2" t="s">
        <v>2925</v>
      </c>
      <c r="C1462" s="5" t="s">
        <v>2128</v>
      </c>
      <c r="D1462" s="5" t="s">
        <v>62</v>
      </c>
      <c r="E1462" s="5" t="n">
        <v>7</v>
      </c>
      <c r="F1462" s="5" t="s">
        <v>67</v>
      </c>
      <c r="G1462" s="2" t="s">
        <v>184</v>
      </c>
      <c r="H1462" s="5" t="s">
        <v>8332</v>
      </c>
      <c r="I1462" s="5" t="s">
        <v>60</v>
      </c>
      <c r="J1462" s="5" t="s">
        <v>269</v>
      </c>
      <c r="K1462" s="5" t="s">
        <v>2932</v>
      </c>
    </row>
    <row r="1463" customFormat="false" ht="23.85" hidden="false" customHeight="false" outlineLevel="0" collapsed="false">
      <c r="A1463" s="5" t="s">
        <v>2933</v>
      </c>
      <c r="B1463" s="2" t="s">
        <v>2934</v>
      </c>
      <c r="C1463" s="5" t="s">
        <v>2128</v>
      </c>
      <c r="D1463" s="5" t="s">
        <v>62</v>
      </c>
      <c r="E1463" s="5" t="n">
        <v>9</v>
      </c>
      <c r="F1463" s="5" t="s">
        <v>2935</v>
      </c>
      <c r="G1463" s="2" t="s">
        <v>1513</v>
      </c>
      <c r="H1463" s="5" t="s">
        <v>8332</v>
      </c>
      <c r="I1463" s="5" t="s">
        <v>60</v>
      </c>
      <c r="J1463" s="5" t="s">
        <v>2784</v>
      </c>
      <c r="K1463" s="5" t="s">
        <v>2940</v>
      </c>
    </row>
    <row r="1464" customFormat="false" ht="23.85" hidden="false" customHeight="false" outlineLevel="0" collapsed="false">
      <c r="A1464" s="5" t="s">
        <v>2941</v>
      </c>
      <c r="B1464" s="2" t="s">
        <v>2942</v>
      </c>
      <c r="C1464" s="5" t="s">
        <v>2128</v>
      </c>
      <c r="D1464" s="5" t="s">
        <v>62</v>
      </c>
      <c r="E1464" s="5" t="n">
        <v>9</v>
      </c>
      <c r="F1464" s="5" t="s">
        <v>2935</v>
      </c>
      <c r="G1464" s="2" t="s">
        <v>1513</v>
      </c>
      <c r="H1464" s="5" t="s">
        <v>8332</v>
      </c>
      <c r="I1464" s="5" t="s">
        <v>60</v>
      </c>
      <c r="J1464" s="5" t="s">
        <v>2784</v>
      </c>
      <c r="K1464" s="5" t="s">
        <v>2946</v>
      </c>
    </row>
    <row r="1465" customFormat="false" ht="23.85" hidden="false" customHeight="false" outlineLevel="0" collapsed="false">
      <c r="A1465" s="5" t="s">
        <v>2947</v>
      </c>
      <c r="B1465" s="2" t="s">
        <v>2948</v>
      </c>
      <c r="C1465" s="5" t="s">
        <v>2128</v>
      </c>
      <c r="D1465" s="5" t="s">
        <v>62</v>
      </c>
      <c r="E1465" s="5" t="n">
        <v>9</v>
      </c>
      <c r="F1465" s="5" t="s">
        <v>2935</v>
      </c>
      <c r="G1465" s="2" t="s">
        <v>1513</v>
      </c>
      <c r="H1465" s="5" t="s">
        <v>8332</v>
      </c>
      <c r="I1465" s="5" t="s">
        <v>60</v>
      </c>
      <c r="J1465" s="5" t="s">
        <v>2784</v>
      </c>
      <c r="K1465" s="5" t="s">
        <v>2952</v>
      </c>
    </row>
    <row r="1466" customFormat="false" ht="15" hidden="false" customHeight="false" outlineLevel="0" collapsed="false">
      <c r="A1466" s="5" t="s">
        <v>11973</v>
      </c>
      <c r="B1466" s="2" t="s">
        <v>11974</v>
      </c>
      <c r="C1466" s="5" t="s">
        <v>2128</v>
      </c>
      <c r="D1466" s="5" t="s">
        <v>62</v>
      </c>
      <c r="E1466" s="5" t="n">
        <v>7</v>
      </c>
      <c r="F1466" s="5" t="s">
        <v>67</v>
      </c>
      <c r="G1466" s="2" t="s">
        <v>2956</v>
      </c>
      <c r="H1466" s="5" t="s">
        <v>8336</v>
      </c>
      <c r="I1466" s="5"/>
      <c r="J1466" s="5"/>
      <c r="K1466" s="5" t="s">
        <v>11975</v>
      </c>
    </row>
    <row r="1467" customFormat="false" ht="15" hidden="false" customHeight="false" outlineLevel="0" collapsed="false">
      <c r="A1467" s="5" t="s">
        <v>11976</v>
      </c>
      <c r="B1467" s="2" t="s">
        <v>11977</v>
      </c>
      <c r="C1467" s="5" t="s">
        <v>2128</v>
      </c>
      <c r="D1467" s="5" t="s">
        <v>62</v>
      </c>
      <c r="E1467" s="5" t="n">
        <v>7</v>
      </c>
      <c r="F1467" s="5" t="s">
        <v>67</v>
      </c>
      <c r="G1467" s="2" t="s">
        <v>2956</v>
      </c>
      <c r="H1467" s="5" t="s">
        <v>8336</v>
      </c>
      <c r="I1467" s="5"/>
      <c r="J1467" s="5"/>
      <c r="K1467" s="5" t="s">
        <v>11978</v>
      </c>
    </row>
    <row r="1468" customFormat="false" ht="23.85" hidden="false" customHeight="false" outlineLevel="0" collapsed="false">
      <c r="A1468" s="5" t="s">
        <v>11979</v>
      </c>
      <c r="B1468" s="2" t="s">
        <v>11980</v>
      </c>
      <c r="C1468" s="5" t="s">
        <v>2128</v>
      </c>
      <c r="D1468" s="5" t="s">
        <v>62</v>
      </c>
      <c r="E1468" s="5" t="n">
        <v>7</v>
      </c>
      <c r="F1468" s="5" t="s">
        <v>67</v>
      </c>
      <c r="G1468" s="2" t="s">
        <v>2956</v>
      </c>
      <c r="H1468" s="5" t="s">
        <v>8336</v>
      </c>
      <c r="I1468" s="5"/>
      <c r="J1468" s="5"/>
      <c r="K1468" s="5" t="s">
        <v>11981</v>
      </c>
    </row>
    <row r="1469" customFormat="false" ht="15" hidden="false" customHeight="false" outlineLevel="0" collapsed="false">
      <c r="A1469" s="5" t="s">
        <v>11982</v>
      </c>
      <c r="B1469" s="2" t="s">
        <v>11983</v>
      </c>
      <c r="C1469" s="5" t="s">
        <v>2128</v>
      </c>
      <c r="D1469" s="5" t="s">
        <v>62</v>
      </c>
      <c r="E1469" s="5" t="n">
        <v>7</v>
      </c>
      <c r="F1469" s="5" t="s">
        <v>1210</v>
      </c>
      <c r="G1469" s="2" t="s">
        <v>2956</v>
      </c>
      <c r="H1469" s="5" t="s">
        <v>8336</v>
      </c>
      <c r="I1469" s="5"/>
      <c r="J1469" s="5"/>
      <c r="K1469" s="5" t="s">
        <v>11984</v>
      </c>
    </row>
    <row r="1470" customFormat="false" ht="15" hidden="false" customHeight="false" outlineLevel="0" collapsed="false">
      <c r="A1470" s="5" t="s">
        <v>11985</v>
      </c>
      <c r="B1470" s="2" t="s">
        <v>11986</v>
      </c>
      <c r="C1470" s="5" t="s">
        <v>2128</v>
      </c>
      <c r="D1470" s="5" t="s">
        <v>62</v>
      </c>
      <c r="E1470" s="5" t="n">
        <v>7</v>
      </c>
      <c r="F1470" s="5" t="s">
        <v>67</v>
      </c>
      <c r="G1470" s="2" t="s">
        <v>2956</v>
      </c>
      <c r="H1470" s="5" t="s">
        <v>8336</v>
      </c>
      <c r="I1470" s="5"/>
      <c r="J1470" s="5"/>
      <c r="K1470" s="5" t="s">
        <v>11987</v>
      </c>
    </row>
    <row r="1471" customFormat="false" ht="15" hidden="false" customHeight="false" outlineLevel="0" collapsed="false">
      <c r="A1471" s="5" t="s">
        <v>11988</v>
      </c>
      <c r="B1471" s="2" t="s">
        <v>11989</v>
      </c>
      <c r="C1471" s="5" t="s">
        <v>2128</v>
      </c>
      <c r="D1471" s="5" t="s">
        <v>62</v>
      </c>
      <c r="E1471" s="5" t="n">
        <v>7</v>
      </c>
      <c r="F1471" s="5" t="s">
        <v>67</v>
      </c>
      <c r="G1471" s="2" t="s">
        <v>2956</v>
      </c>
      <c r="H1471" s="5" t="s">
        <v>8336</v>
      </c>
      <c r="I1471" s="5"/>
      <c r="J1471" s="5"/>
      <c r="K1471" s="5" t="s">
        <v>11990</v>
      </c>
    </row>
    <row r="1472" customFormat="false" ht="15" hidden="false" customHeight="false" outlineLevel="0" collapsed="false">
      <c r="A1472" s="5" t="s">
        <v>2953</v>
      </c>
      <c r="B1472" s="2" t="s">
        <v>2954</v>
      </c>
      <c r="C1472" s="5" t="s">
        <v>2128</v>
      </c>
      <c r="D1472" s="5" t="s">
        <v>62</v>
      </c>
      <c r="E1472" s="5" t="n">
        <v>7</v>
      </c>
      <c r="F1472" s="5" t="s">
        <v>67</v>
      </c>
      <c r="G1472" s="2" t="s">
        <v>2956</v>
      </c>
      <c r="H1472" s="5" t="s">
        <v>8332</v>
      </c>
      <c r="I1472" s="5" t="s">
        <v>60</v>
      </c>
      <c r="J1472" s="5" t="s">
        <v>161</v>
      </c>
      <c r="K1472" s="5" t="s">
        <v>2962</v>
      </c>
    </row>
    <row r="1473" customFormat="false" ht="23.85" hidden="false" customHeight="false" outlineLevel="0" collapsed="false">
      <c r="A1473" s="5" t="s">
        <v>1085</v>
      </c>
      <c r="B1473" s="2" t="s">
        <v>1086</v>
      </c>
      <c r="C1473" s="5" t="s">
        <v>488</v>
      </c>
      <c r="D1473" s="5" t="s">
        <v>62</v>
      </c>
      <c r="E1473" s="5" t="n">
        <v>8</v>
      </c>
      <c r="F1473" s="5" t="s">
        <v>481</v>
      </c>
      <c r="G1473" s="2" t="s">
        <v>1088</v>
      </c>
      <c r="H1473" s="5" t="s">
        <v>8332</v>
      </c>
      <c r="I1473" s="5" t="s">
        <v>60</v>
      </c>
      <c r="J1473" s="5" t="s">
        <v>481</v>
      </c>
      <c r="K1473" s="5" t="s">
        <v>1094</v>
      </c>
    </row>
    <row r="1474" customFormat="false" ht="23.85" hidden="false" customHeight="false" outlineLevel="0" collapsed="false">
      <c r="A1474" s="5" t="s">
        <v>11991</v>
      </c>
      <c r="B1474" s="2" t="s">
        <v>11992</v>
      </c>
      <c r="C1474" s="5" t="s">
        <v>2128</v>
      </c>
      <c r="D1474" s="5" t="s">
        <v>490</v>
      </c>
      <c r="E1474" s="5" t="n">
        <v>9</v>
      </c>
      <c r="F1474" s="5" t="s">
        <v>9231</v>
      </c>
      <c r="G1474" s="2" t="s">
        <v>415</v>
      </c>
      <c r="H1474" s="5" t="s">
        <v>8336</v>
      </c>
      <c r="I1474" s="5"/>
      <c r="J1474" s="5"/>
      <c r="K1474" s="5" t="s">
        <v>11993</v>
      </c>
    </row>
    <row r="1475" customFormat="false" ht="23.85" hidden="false" customHeight="false" outlineLevel="0" collapsed="false">
      <c r="A1475" s="5" t="s">
        <v>11994</v>
      </c>
      <c r="B1475" s="2" t="s">
        <v>11995</v>
      </c>
      <c r="C1475" s="5" t="s">
        <v>2128</v>
      </c>
      <c r="D1475" s="5" t="s">
        <v>62</v>
      </c>
      <c r="E1475" s="5" t="n">
        <v>9</v>
      </c>
      <c r="F1475" s="5" t="s">
        <v>8690</v>
      </c>
      <c r="G1475" s="2" t="s">
        <v>11996</v>
      </c>
      <c r="H1475" s="5" t="s">
        <v>8336</v>
      </c>
      <c r="I1475" s="5"/>
      <c r="J1475" s="5"/>
      <c r="K1475" s="5" t="s">
        <v>11997</v>
      </c>
    </row>
    <row r="1476" customFormat="false" ht="15" hidden="false" customHeight="false" outlineLevel="0" collapsed="false">
      <c r="A1476" s="5" t="s">
        <v>2963</v>
      </c>
      <c r="B1476" s="2" t="s">
        <v>2964</v>
      </c>
      <c r="C1476" s="5" t="s">
        <v>2128</v>
      </c>
      <c r="D1476" s="5" t="s">
        <v>62</v>
      </c>
      <c r="E1476" s="5" t="n">
        <v>4</v>
      </c>
      <c r="F1476" s="5" t="s">
        <v>100</v>
      </c>
      <c r="G1476" s="2" t="s">
        <v>2777</v>
      </c>
      <c r="H1476" s="5" t="s">
        <v>8332</v>
      </c>
      <c r="I1476" s="5" t="s">
        <v>60</v>
      </c>
      <c r="J1476" s="5" t="s">
        <v>1104</v>
      </c>
      <c r="K1476" s="5" t="s">
        <v>2971</v>
      </c>
    </row>
    <row r="1477" customFormat="false" ht="23.85" hidden="false" customHeight="false" outlineLevel="0" collapsed="false">
      <c r="A1477" s="5" t="s">
        <v>2972</v>
      </c>
      <c r="B1477" s="2" t="s">
        <v>2973</v>
      </c>
      <c r="C1477" s="5" t="s">
        <v>2128</v>
      </c>
      <c r="D1477" s="5" t="s">
        <v>490</v>
      </c>
      <c r="E1477" s="5" t="n">
        <v>7</v>
      </c>
      <c r="F1477" s="5" t="s">
        <v>1210</v>
      </c>
      <c r="G1477" s="2" t="s">
        <v>184</v>
      </c>
      <c r="H1477" s="5" t="s">
        <v>8332</v>
      </c>
      <c r="I1477" s="5" t="s">
        <v>60</v>
      </c>
      <c r="J1477" s="5" t="s">
        <v>269</v>
      </c>
      <c r="K1477" s="5" t="s">
        <v>2981</v>
      </c>
    </row>
    <row r="1478" customFormat="false" ht="23.85" hidden="false" customHeight="false" outlineLevel="0" collapsed="false">
      <c r="A1478" s="5" t="s">
        <v>11998</v>
      </c>
      <c r="B1478" s="2" t="s">
        <v>11999</v>
      </c>
      <c r="C1478" s="5" t="s">
        <v>2128</v>
      </c>
      <c r="D1478" s="5" t="s">
        <v>62</v>
      </c>
      <c r="E1478" s="5" t="n">
        <v>9</v>
      </c>
      <c r="F1478" s="5" t="s">
        <v>536</v>
      </c>
      <c r="G1478" s="2" t="s">
        <v>1513</v>
      </c>
      <c r="H1478" s="5" t="s">
        <v>8336</v>
      </c>
      <c r="I1478" s="5"/>
      <c r="J1478" s="5"/>
      <c r="K1478" s="5" t="s">
        <v>12000</v>
      </c>
    </row>
    <row r="1479" customFormat="false" ht="23.85" hidden="false" customHeight="false" outlineLevel="0" collapsed="false">
      <c r="A1479" s="5" t="s">
        <v>12001</v>
      </c>
      <c r="B1479" s="2" t="s">
        <v>12002</v>
      </c>
      <c r="C1479" s="5" t="s">
        <v>2128</v>
      </c>
      <c r="D1479" s="5" t="s">
        <v>62</v>
      </c>
      <c r="E1479" s="5" t="n">
        <v>7</v>
      </c>
      <c r="F1479" s="5" t="s">
        <v>12003</v>
      </c>
      <c r="G1479" s="2" t="s">
        <v>1513</v>
      </c>
      <c r="H1479" s="5" t="s">
        <v>8336</v>
      </c>
      <c r="I1479" s="5"/>
      <c r="J1479" s="5"/>
      <c r="K1479" s="5" t="s">
        <v>12004</v>
      </c>
    </row>
    <row r="1480" customFormat="false" ht="23.85" hidden="false" customHeight="false" outlineLevel="0" collapsed="false">
      <c r="A1480" s="5" t="s">
        <v>12005</v>
      </c>
      <c r="B1480" s="2" t="s">
        <v>12006</v>
      </c>
      <c r="C1480" s="5" t="s">
        <v>2128</v>
      </c>
      <c r="D1480" s="5" t="s">
        <v>62</v>
      </c>
      <c r="E1480" s="5" t="n">
        <v>9</v>
      </c>
      <c r="F1480" s="5" t="s">
        <v>12003</v>
      </c>
      <c r="G1480" s="2" t="s">
        <v>1513</v>
      </c>
      <c r="H1480" s="5" t="s">
        <v>8336</v>
      </c>
      <c r="I1480" s="5"/>
      <c r="J1480" s="5"/>
      <c r="K1480" s="5" t="s">
        <v>12007</v>
      </c>
    </row>
    <row r="1481" customFormat="false" ht="23.85" hidden="false" customHeight="false" outlineLevel="0" collapsed="false">
      <c r="A1481" s="5" t="s">
        <v>12008</v>
      </c>
      <c r="B1481" s="2" t="s">
        <v>12009</v>
      </c>
      <c r="C1481" s="5" t="s">
        <v>2128</v>
      </c>
      <c r="D1481" s="5" t="s">
        <v>62</v>
      </c>
      <c r="E1481" s="5" t="n">
        <v>7</v>
      </c>
      <c r="F1481" s="5" t="s">
        <v>12003</v>
      </c>
      <c r="G1481" s="2" t="s">
        <v>1513</v>
      </c>
      <c r="H1481" s="5" t="s">
        <v>8336</v>
      </c>
      <c r="I1481" s="5"/>
      <c r="J1481" s="5"/>
      <c r="K1481" s="5" t="s">
        <v>12010</v>
      </c>
    </row>
    <row r="1482" customFormat="false" ht="23.85" hidden="false" customHeight="false" outlineLevel="0" collapsed="false">
      <c r="A1482" s="5" t="s">
        <v>12011</v>
      </c>
      <c r="B1482" s="2" t="s">
        <v>12012</v>
      </c>
      <c r="C1482" s="5" t="s">
        <v>2128</v>
      </c>
      <c r="D1482" s="5" t="s">
        <v>62</v>
      </c>
      <c r="E1482" s="5" t="n">
        <v>7</v>
      </c>
      <c r="F1482" s="5" t="s">
        <v>12003</v>
      </c>
      <c r="G1482" s="2" t="s">
        <v>1513</v>
      </c>
      <c r="H1482" s="5" t="s">
        <v>8336</v>
      </c>
      <c r="I1482" s="5"/>
      <c r="J1482" s="5"/>
      <c r="K1482" s="5" t="s">
        <v>12013</v>
      </c>
    </row>
    <row r="1483" customFormat="false" ht="23.85" hidden="false" customHeight="false" outlineLevel="0" collapsed="false">
      <c r="A1483" s="5" t="s">
        <v>2982</v>
      </c>
      <c r="B1483" s="2" t="s">
        <v>2983</v>
      </c>
      <c r="C1483" s="5" t="s">
        <v>2128</v>
      </c>
      <c r="D1483" s="5" t="s">
        <v>62</v>
      </c>
      <c r="E1483" s="5" t="n">
        <v>7</v>
      </c>
      <c r="F1483" s="5" t="s">
        <v>90</v>
      </c>
      <c r="G1483" s="2" t="s">
        <v>184</v>
      </c>
      <c r="H1483" s="5" t="s">
        <v>8332</v>
      </c>
      <c r="I1483" s="5" t="s">
        <v>60</v>
      </c>
      <c r="J1483" s="5" t="s">
        <v>2813</v>
      </c>
      <c r="K1483" s="5" t="s">
        <v>2988</v>
      </c>
    </row>
    <row r="1484" customFormat="false" ht="23.85" hidden="false" customHeight="false" outlineLevel="0" collapsed="false">
      <c r="A1484" s="5" t="s">
        <v>2989</v>
      </c>
      <c r="B1484" s="2" t="s">
        <v>2990</v>
      </c>
      <c r="C1484" s="5" t="s">
        <v>2128</v>
      </c>
      <c r="D1484" s="5" t="s">
        <v>62</v>
      </c>
      <c r="E1484" s="5" t="n">
        <v>7</v>
      </c>
      <c r="F1484" s="5" t="s">
        <v>90</v>
      </c>
      <c r="G1484" s="2" t="s">
        <v>184</v>
      </c>
      <c r="H1484" s="5" t="s">
        <v>8332</v>
      </c>
      <c r="I1484" s="5" t="s">
        <v>60</v>
      </c>
      <c r="J1484" s="5" t="s">
        <v>2813</v>
      </c>
      <c r="K1484" s="5" t="s">
        <v>2994</v>
      </c>
    </row>
    <row r="1485" customFormat="false" ht="23.85" hidden="false" customHeight="false" outlineLevel="0" collapsed="false">
      <c r="A1485" s="5" t="s">
        <v>2995</v>
      </c>
      <c r="B1485" s="2" t="s">
        <v>2996</v>
      </c>
      <c r="C1485" s="5" t="s">
        <v>2128</v>
      </c>
      <c r="D1485" s="5" t="s">
        <v>62</v>
      </c>
      <c r="E1485" s="5" t="n">
        <v>7</v>
      </c>
      <c r="F1485" s="5" t="s">
        <v>90</v>
      </c>
      <c r="G1485" s="2" t="s">
        <v>184</v>
      </c>
      <c r="H1485" s="5" t="s">
        <v>8332</v>
      </c>
      <c r="I1485" s="5" t="s">
        <v>60</v>
      </c>
      <c r="J1485" s="5" t="s">
        <v>2813</v>
      </c>
      <c r="K1485" s="5" t="s">
        <v>3000</v>
      </c>
    </row>
    <row r="1486" customFormat="false" ht="23.85" hidden="false" customHeight="false" outlineLevel="0" collapsed="false">
      <c r="A1486" s="5" t="s">
        <v>3001</v>
      </c>
      <c r="B1486" s="2" t="s">
        <v>3002</v>
      </c>
      <c r="C1486" s="5" t="s">
        <v>2128</v>
      </c>
      <c r="D1486" s="5" t="s">
        <v>490</v>
      </c>
      <c r="E1486" s="5" t="n">
        <v>9</v>
      </c>
      <c r="F1486" s="5" t="s">
        <v>67</v>
      </c>
      <c r="G1486" s="2" t="s">
        <v>184</v>
      </c>
      <c r="H1486" s="5" t="s">
        <v>8332</v>
      </c>
      <c r="I1486" s="5" t="s">
        <v>60</v>
      </c>
      <c r="J1486" s="5" t="s">
        <v>269</v>
      </c>
      <c r="K1486" s="5" t="s">
        <v>3009</v>
      </c>
    </row>
    <row r="1487" customFormat="false" ht="23.85" hidden="false" customHeight="false" outlineLevel="0" collapsed="false">
      <c r="A1487" s="5" t="s">
        <v>3010</v>
      </c>
      <c r="B1487" s="2" t="s">
        <v>3011</v>
      </c>
      <c r="C1487" s="5" t="s">
        <v>2128</v>
      </c>
      <c r="D1487" s="5" t="s">
        <v>62</v>
      </c>
      <c r="E1487" s="5" t="n">
        <v>9</v>
      </c>
      <c r="F1487" s="5" t="s">
        <v>67</v>
      </c>
      <c r="G1487" s="2" t="s">
        <v>184</v>
      </c>
      <c r="H1487" s="5" t="s">
        <v>8332</v>
      </c>
      <c r="I1487" s="5" t="s">
        <v>60</v>
      </c>
      <c r="J1487" s="5" t="s">
        <v>269</v>
      </c>
      <c r="K1487" s="5" t="s">
        <v>3020</v>
      </c>
    </row>
    <row r="1488" customFormat="false" ht="23.85" hidden="false" customHeight="false" outlineLevel="0" collapsed="false">
      <c r="A1488" s="5" t="s">
        <v>12014</v>
      </c>
      <c r="B1488" s="2" t="s">
        <v>12015</v>
      </c>
      <c r="C1488" s="5" t="s">
        <v>2128</v>
      </c>
      <c r="D1488" s="5" t="s">
        <v>62</v>
      </c>
      <c r="E1488" s="5" t="n">
        <v>6</v>
      </c>
      <c r="F1488" s="5" t="s">
        <v>413</v>
      </c>
      <c r="G1488" s="2" t="s">
        <v>1088</v>
      </c>
      <c r="H1488" s="5" t="s">
        <v>8336</v>
      </c>
      <c r="I1488" s="5"/>
      <c r="J1488" s="5"/>
      <c r="K1488" s="5" t="s">
        <v>12016</v>
      </c>
    </row>
    <row r="1489" customFormat="false" ht="15" hidden="false" customHeight="false" outlineLevel="0" collapsed="false">
      <c r="A1489" s="5" t="s">
        <v>12017</v>
      </c>
      <c r="B1489" s="2" t="s">
        <v>12018</v>
      </c>
      <c r="C1489" s="5" t="s">
        <v>2128</v>
      </c>
      <c r="D1489" s="5" t="s">
        <v>490</v>
      </c>
      <c r="E1489" s="5" t="n">
        <v>9</v>
      </c>
      <c r="F1489" s="5" t="s">
        <v>67</v>
      </c>
      <c r="G1489" s="2" t="s">
        <v>367</v>
      </c>
      <c r="H1489" s="5" t="s">
        <v>8336</v>
      </c>
      <c r="I1489" s="5"/>
      <c r="J1489" s="5"/>
      <c r="K1489" s="5" t="s">
        <v>12019</v>
      </c>
    </row>
    <row r="1490" customFormat="false" ht="15" hidden="false" customHeight="false" outlineLevel="0" collapsed="false">
      <c r="A1490" s="5" t="s">
        <v>12020</v>
      </c>
      <c r="B1490" s="2" t="s">
        <v>12021</v>
      </c>
      <c r="C1490" s="5" t="s">
        <v>2128</v>
      </c>
      <c r="D1490" s="5" t="s">
        <v>62</v>
      </c>
      <c r="E1490" s="5" t="n">
        <v>8</v>
      </c>
      <c r="F1490" s="5" t="s">
        <v>67</v>
      </c>
      <c r="G1490" s="2" t="s">
        <v>1088</v>
      </c>
      <c r="H1490" s="5" t="s">
        <v>8336</v>
      </c>
      <c r="I1490" s="5"/>
      <c r="J1490" s="5"/>
      <c r="K1490" s="5" t="s">
        <v>12022</v>
      </c>
    </row>
    <row r="1491" customFormat="false" ht="23.85" hidden="false" customHeight="false" outlineLevel="0" collapsed="false">
      <c r="A1491" s="5" t="s">
        <v>12023</v>
      </c>
      <c r="B1491" s="2" t="s">
        <v>12024</v>
      </c>
      <c r="C1491" s="5" t="s">
        <v>2128</v>
      </c>
      <c r="D1491" s="5" t="s">
        <v>62</v>
      </c>
      <c r="E1491" s="5" t="n">
        <v>7</v>
      </c>
      <c r="F1491" s="5" t="s">
        <v>1210</v>
      </c>
      <c r="G1491" s="2" t="s">
        <v>11688</v>
      </c>
      <c r="H1491" s="5" t="s">
        <v>8336</v>
      </c>
      <c r="I1491" s="5"/>
      <c r="J1491" s="5"/>
      <c r="K1491" s="5" t="s">
        <v>12025</v>
      </c>
    </row>
    <row r="1492" customFormat="false" ht="23.85" hidden="false" customHeight="false" outlineLevel="0" collapsed="false">
      <c r="A1492" s="5" t="s">
        <v>3021</v>
      </c>
      <c r="B1492" s="2" t="s">
        <v>3022</v>
      </c>
      <c r="C1492" s="5" t="s">
        <v>2128</v>
      </c>
      <c r="D1492" s="5" t="s">
        <v>62</v>
      </c>
      <c r="E1492" s="5" t="n">
        <v>9</v>
      </c>
      <c r="F1492" s="5" t="s">
        <v>67</v>
      </c>
      <c r="G1492" s="2" t="s">
        <v>184</v>
      </c>
      <c r="H1492" s="5" t="s">
        <v>8332</v>
      </c>
      <c r="I1492" s="5" t="s">
        <v>60</v>
      </c>
      <c r="J1492" s="5" t="s">
        <v>269</v>
      </c>
      <c r="K1492" s="5" t="s">
        <v>3028</v>
      </c>
    </row>
    <row r="1493" customFormat="false" ht="23.85" hidden="false" customHeight="false" outlineLevel="0" collapsed="false">
      <c r="A1493" s="5" t="s">
        <v>3029</v>
      </c>
      <c r="B1493" s="2" t="s">
        <v>3030</v>
      </c>
      <c r="C1493" s="5" t="s">
        <v>2128</v>
      </c>
      <c r="D1493" s="5" t="s">
        <v>62</v>
      </c>
      <c r="E1493" s="5" t="n">
        <v>9</v>
      </c>
      <c r="F1493" s="5" t="s">
        <v>67</v>
      </c>
      <c r="G1493" s="2" t="s">
        <v>184</v>
      </c>
      <c r="H1493" s="5" t="s">
        <v>8332</v>
      </c>
      <c r="I1493" s="5" t="s">
        <v>60</v>
      </c>
      <c r="J1493" s="5" t="s">
        <v>269</v>
      </c>
      <c r="K1493" s="5" t="s">
        <v>3035</v>
      </c>
    </row>
    <row r="1494" customFormat="false" ht="23.85" hidden="false" customHeight="false" outlineLevel="0" collapsed="false">
      <c r="A1494" s="5" t="s">
        <v>12026</v>
      </c>
      <c r="B1494" s="2" t="s">
        <v>12027</v>
      </c>
      <c r="C1494" s="5" t="s">
        <v>2128</v>
      </c>
      <c r="D1494" s="5" t="s">
        <v>490</v>
      </c>
      <c r="E1494" s="5" t="n">
        <v>9</v>
      </c>
      <c r="F1494" s="5" t="s">
        <v>536</v>
      </c>
      <c r="G1494" s="2" t="s">
        <v>8712</v>
      </c>
      <c r="H1494" s="5" t="s">
        <v>8336</v>
      </c>
      <c r="I1494" s="5"/>
      <c r="J1494" s="5"/>
      <c r="K1494" s="5" t="s">
        <v>12028</v>
      </c>
    </row>
    <row r="1495" customFormat="false" ht="23.85" hidden="false" customHeight="false" outlineLevel="0" collapsed="false">
      <c r="A1495" s="5" t="s">
        <v>12029</v>
      </c>
      <c r="B1495" s="2" t="s">
        <v>12030</v>
      </c>
      <c r="C1495" s="5" t="s">
        <v>2128</v>
      </c>
      <c r="D1495" s="5" t="s">
        <v>490</v>
      </c>
      <c r="E1495" s="5" t="n">
        <v>5</v>
      </c>
      <c r="F1495" s="5" t="s">
        <v>536</v>
      </c>
      <c r="G1495" s="2" t="s">
        <v>8712</v>
      </c>
      <c r="H1495" s="5" t="s">
        <v>8336</v>
      </c>
      <c r="I1495" s="5"/>
      <c r="J1495" s="5"/>
      <c r="K1495" s="5" t="s">
        <v>12031</v>
      </c>
    </row>
    <row r="1496" customFormat="false" ht="23.85" hidden="false" customHeight="false" outlineLevel="0" collapsed="false">
      <c r="A1496" s="5" t="s">
        <v>12032</v>
      </c>
      <c r="B1496" s="2" t="s">
        <v>12033</v>
      </c>
      <c r="C1496" s="5" t="s">
        <v>2128</v>
      </c>
      <c r="D1496" s="5" t="s">
        <v>62</v>
      </c>
      <c r="E1496" s="5" t="n">
        <v>9</v>
      </c>
      <c r="F1496" s="5" t="s">
        <v>536</v>
      </c>
      <c r="G1496" s="2" t="s">
        <v>8712</v>
      </c>
      <c r="H1496" s="5" t="s">
        <v>8336</v>
      </c>
      <c r="I1496" s="5"/>
      <c r="J1496" s="5"/>
      <c r="K1496" s="5" t="s">
        <v>12034</v>
      </c>
    </row>
    <row r="1497" customFormat="false" ht="23.85" hidden="false" customHeight="false" outlineLevel="0" collapsed="false">
      <c r="A1497" s="5" t="s">
        <v>12035</v>
      </c>
      <c r="B1497" s="2" t="s">
        <v>12036</v>
      </c>
      <c r="C1497" s="5" t="s">
        <v>2128</v>
      </c>
      <c r="D1497" s="5" t="s">
        <v>62</v>
      </c>
      <c r="E1497" s="5" t="n">
        <v>6</v>
      </c>
      <c r="F1497" s="5" t="s">
        <v>536</v>
      </c>
      <c r="G1497" s="2" t="s">
        <v>415</v>
      </c>
      <c r="H1497" s="5" t="s">
        <v>8336</v>
      </c>
      <c r="I1497" s="5"/>
      <c r="J1497" s="5"/>
      <c r="K1497" s="5" t="s">
        <v>12037</v>
      </c>
    </row>
    <row r="1498" customFormat="false" ht="15" hidden="false" customHeight="false" outlineLevel="0" collapsed="false">
      <c r="A1498" s="5" t="s">
        <v>12038</v>
      </c>
      <c r="B1498" s="2" t="s">
        <v>12039</v>
      </c>
      <c r="C1498" s="5" t="s">
        <v>2128</v>
      </c>
      <c r="D1498" s="5" t="s">
        <v>62</v>
      </c>
      <c r="E1498" s="5" t="n">
        <v>7</v>
      </c>
      <c r="F1498" s="5" t="s">
        <v>8902</v>
      </c>
      <c r="G1498" s="2" t="s">
        <v>2956</v>
      </c>
      <c r="H1498" s="5" t="s">
        <v>8336</v>
      </c>
      <c r="I1498" s="5"/>
      <c r="J1498" s="5"/>
      <c r="K1498" s="5" t="s">
        <v>12040</v>
      </c>
    </row>
    <row r="1499" customFormat="false" ht="23.85" hidden="false" customHeight="false" outlineLevel="0" collapsed="false">
      <c r="A1499" s="5" t="s">
        <v>3036</v>
      </c>
      <c r="B1499" s="2" t="s">
        <v>3037</v>
      </c>
      <c r="C1499" s="5" t="s">
        <v>2128</v>
      </c>
      <c r="D1499" s="5" t="s">
        <v>490</v>
      </c>
      <c r="E1499" s="5" t="n">
        <v>5</v>
      </c>
      <c r="F1499" s="5" t="s">
        <v>1210</v>
      </c>
      <c r="G1499" s="2" t="s">
        <v>184</v>
      </c>
      <c r="H1499" s="5" t="s">
        <v>8332</v>
      </c>
      <c r="I1499" s="5" t="s">
        <v>60</v>
      </c>
      <c r="J1499" s="5" t="s">
        <v>269</v>
      </c>
      <c r="K1499" s="5" t="s">
        <v>3041</v>
      </c>
    </row>
    <row r="1500" customFormat="false" ht="23.85" hidden="false" customHeight="false" outlineLevel="0" collapsed="false">
      <c r="A1500" s="5" t="s">
        <v>12041</v>
      </c>
      <c r="B1500" s="2" t="s">
        <v>12042</v>
      </c>
      <c r="C1500" s="5" t="s">
        <v>2128</v>
      </c>
      <c r="D1500" s="5" t="s">
        <v>62</v>
      </c>
      <c r="E1500" s="5" t="n">
        <v>6</v>
      </c>
      <c r="F1500" s="5" t="s">
        <v>413</v>
      </c>
      <c r="G1500" s="2" t="s">
        <v>12043</v>
      </c>
      <c r="H1500" s="5" t="s">
        <v>8336</v>
      </c>
      <c r="I1500" s="5"/>
      <c r="J1500" s="5"/>
      <c r="K1500" s="5" t="s">
        <v>12044</v>
      </c>
    </row>
    <row r="1501" customFormat="false" ht="23.85" hidden="false" customHeight="false" outlineLevel="0" collapsed="false">
      <c r="A1501" s="5" t="s">
        <v>12045</v>
      </c>
      <c r="B1501" s="2" t="s">
        <v>12046</v>
      </c>
      <c r="C1501" s="5" t="s">
        <v>2128</v>
      </c>
      <c r="D1501" s="5" t="s">
        <v>62</v>
      </c>
      <c r="E1501" s="5" t="n">
        <v>7</v>
      </c>
      <c r="F1501" s="5" t="s">
        <v>1814</v>
      </c>
      <c r="G1501" s="2" t="s">
        <v>11688</v>
      </c>
      <c r="H1501" s="5" t="s">
        <v>8336</v>
      </c>
      <c r="I1501" s="5"/>
      <c r="J1501" s="5"/>
      <c r="K1501" s="5" t="s">
        <v>12047</v>
      </c>
    </row>
    <row r="1502" customFormat="false" ht="23.85" hidden="false" customHeight="false" outlineLevel="0" collapsed="false">
      <c r="A1502" s="5" t="s">
        <v>3042</v>
      </c>
      <c r="B1502" s="2" t="s">
        <v>3043</v>
      </c>
      <c r="C1502" s="5" t="s">
        <v>2128</v>
      </c>
      <c r="D1502" s="5" t="s">
        <v>62</v>
      </c>
      <c r="E1502" s="5" t="n">
        <v>7</v>
      </c>
      <c r="F1502" s="5" t="s">
        <v>90</v>
      </c>
      <c r="G1502" s="2" t="s">
        <v>184</v>
      </c>
      <c r="H1502" s="5" t="s">
        <v>8332</v>
      </c>
      <c r="I1502" s="5" t="s">
        <v>60</v>
      </c>
      <c r="J1502" s="5" t="s">
        <v>182</v>
      </c>
      <c r="K1502" s="5" t="s">
        <v>3045</v>
      </c>
    </row>
    <row r="1503" customFormat="false" ht="23.85" hidden="false" customHeight="false" outlineLevel="0" collapsed="false">
      <c r="A1503" s="5" t="s">
        <v>3046</v>
      </c>
      <c r="B1503" s="2" t="s">
        <v>3047</v>
      </c>
      <c r="C1503" s="5" t="s">
        <v>2128</v>
      </c>
      <c r="D1503" s="5" t="s">
        <v>62</v>
      </c>
      <c r="E1503" s="5" t="n">
        <v>7</v>
      </c>
      <c r="F1503" s="5" t="s">
        <v>90</v>
      </c>
      <c r="G1503" s="2" t="s">
        <v>184</v>
      </c>
      <c r="H1503" s="5" t="s">
        <v>8332</v>
      </c>
      <c r="I1503" s="5" t="s">
        <v>60</v>
      </c>
      <c r="J1503" s="5" t="s">
        <v>182</v>
      </c>
      <c r="K1503" s="5" t="s">
        <v>3051</v>
      </c>
    </row>
    <row r="1504" customFormat="false" ht="23.85" hidden="false" customHeight="false" outlineLevel="0" collapsed="false">
      <c r="A1504" s="5" t="s">
        <v>3052</v>
      </c>
      <c r="B1504" s="2" t="s">
        <v>3053</v>
      </c>
      <c r="C1504" s="5" t="s">
        <v>2128</v>
      </c>
      <c r="D1504" s="5" t="s">
        <v>62</v>
      </c>
      <c r="E1504" s="5" t="n">
        <v>7</v>
      </c>
      <c r="F1504" s="5" t="s">
        <v>90</v>
      </c>
      <c r="G1504" s="2" t="s">
        <v>184</v>
      </c>
      <c r="H1504" s="5" t="s">
        <v>8332</v>
      </c>
      <c r="I1504" s="5" t="s">
        <v>60</v>
      </c>
      <c r="J1504" s="5" t="s">
        <v>182</v>
      </c>
      <c r="K1504" s="5" t="s">
        <v>3057</v>
      </c>
    </row>
    <row r="1505" customFormat="false" ht="23.85" hidden="false" customHeight="false" outlineLevel="0" collapsed="false">
      <c r="A1505" s="5" t="s">
        <v>3058</v>
      </c>
      <c r="B1505" s="2" t="s">
        <v>3059</v>
      </c>
      <c r="C1505" s="5" t="s">
        <v>2128</v>
      </c>
      <c r="D1505" s="5" t="s">
        <v>62</v>
      </c>
      <c r="E1505" s="5" t="n">
        <v>7</v>
      </c>
      <c r="F1505" s="5" t="s">
        <v>90</v>
      </c>
      <c r="G1505" s="2" t="s">
        <v>184</v>
      </c>
      <c r="H1505" s="5" t="s">
        <v>8332</v>
      </c>
      <c r="I1505" s="5" t="s">
        <v>60</v>
      </c>
      <c r="J1505" s="5" t="s">
        <v>182</v>
      </c>
      <c r="K1505" s="5" t="s">
        <v>3063</v>
      </c>
    </row>
    <row r="1506" customFormat="false" ht="23.85" hidden="false" customHeight="false" outlineLevel="0" collapsed="false">
      <c r="A1506" s="5" t="s">
        <v>3064</v>
      </c>
      <c r="B1506" s="2" t="s">
        <v>3065</v>
      </c>
      <c r="C1506" s="5" t="s">
        <v>2128</v>
      </c>
      <c r="D1506" s="5" t="s">
        <v>62</v>
      </c>
      <c r="E1506" s="5" t="n">
        <v>7</v>
      </c>
      <c r="F1506" s="5" t="s">
        <v>90</v>
      </c>
      <c r="G1506" s="2" t="s">
        <v>184</v>
      </c>
      <c r="H1506" s="5" t="s">
        <v>8332</v>
      </c>
      <c r="I1506" s="5" t="s">
        <v>60</v>
      </c>
      <c r="J1506" s="5" t="s">
        <v>2813</v>
      </c>
      <c r="K1506" s="5" t="s">
        <v>3070</v>
      </c>
    </row>
    <row r="1507" customFormat="false" ht="23.85" hidden="false" customHeight="false" outlineLevel="0" collapsed="false">
      <c r="A1507" s="5" t="s">
        <v>3071</v>
      </c>
      <c r="B1507" s="2" t="s">
        <v>3072</v>
      </c>
      <c r="C1507" s="5" t="s">
        <v>2128</v>
      </c>
      <c r="D1507" s="5" t="s">
        <v>62</v>
      </c>
      <c r="E1507" s="5" t="n">
        <v>7</v>
      </c>
      <c r="F1507" s="5" t="s">
        <v>90</v>
      </c>
      <c r="G1507" s="2" t="s">
        <v>184</v>
      </c>
      <c r="H1507" s="5" t="s">
        <v>8332</v>
      </c>
      <c r="I1507" s="5" t="s">
        <v>60</v>
      </c>
      <c r="J1507" s="5" t="s">
        <v>182</v>
      </c>
      <c r="K1507" s="5" t="s">
        <v>3074</v>
      </c>
    </row>
    <row r="1508" customFormat="false" ht="23.85" hidden="false" customHeight="false" outlineLevel="0" collapsed="false">
      <c r="A1508" s="5" t="s">
        <v>3075</v>
      </c>
      <c r="B1508" s="2" t="s">
        <v>3076</v>
      </c>
      <c r="C1508" s="5" t="s">
        <v>2128</v>
      </c>
      <c r="D1508" s="5" t="s">
        <v>62</v>
      </c>
      <c r="E1508" s="5" t="n">
        <v>7</v>
      </c>
      <c r="F1508" s="5" t="s">
        <v>90</v>
      </c>
      <c r="G1508" s="2" t="s">
        <v>184</v>
      </c>
      <c r="H1508" s="5" t="s">
        <v>8332</v>
      </c>
      <c r="I1508" s="5" t="s">
        <v>60</v>
      </c>
      <c r="J1508" s="5" t="s">
        <v>182</v>
      </c>
      <c r="K1508" s="5" t="s">
        <v>3080</v>
      </c>
    </row>
    <row r="1509" customFormat="false" ht="23.85" hidden="false" customHeight="false" outlineLevel="0" collapsed="false">
      <c r="A1509" s="5" t="s">
        <v>3081</v>
      </c>
      <c r="B1509" s="2" t="s">
        <v>3082</v>
      </c>
      <c r="C1509" s="5" t="s">
        <v>2128</v>
      </c>
      <c r="D1509" s="5" t="s">
        <v>490</v>
      </c>
      <c r="E1509" s="5" t="n">
        <v>6</v>
      </c>
      <c r="F1509" s="5" t="s">
        <v>90</v>
      </c>
      <c r="G1509" s="2" t="s">
        <v>184</v>
      </c>
      <c r="H1509" s="5" t="s">
        <v>8332</v>
      </c>
      <c r="I1509" s="5" t="s">
        <v>60</v>
      </c>
      <c r="J1509" s="5" t="s">
        <v>2885</v>
      </c>
      <c r="K1509" s="5" t="s">
        <v>3088</v>
      </c>
    </row>
    <row r="1510" customFormat="false" ht="23.85" hidden="false" customHeight="false" outlineLevel="0" collapsed="false">
      <c r="A1510" s="5" t="s">
        <v>3089</v>
      </c>
      <c r="B1510" s="2" t="s">
        <v>3090</v>
      </c>
      <c r="C1510" s="5" t="s">
        <v>2128</v>
      </c>
      <c r="D1510" s="5" t="s">
        <v>62</v>
      </c>
      <c r="E1510" s="5" t="n">
        <v>7</v>
      </c>
      <c r="F1510" s="5" t="s">
        <v>90</v>
      </c>
      <c r="G1510" s="2" t="s">
        <v>184</v>
      </c>
      <c r="H1510" s="5" t="s">
        <v>8332</v>
      </c>
      <c r="I1510" s="5" t="s">
        <v>60</v>
      </c>
      <c r="J1510" s="5" t="s">
        <v>182</v>
      </c>
      <c r="K1510" s="5" t="s">
        <v>3094</v>
      </c>
    </row>
    <row r="1511" customFormat="false" ht="23.85" hidden="false" customHeight="false" outlineLevel="0" collapsed="false">
      <c r="A1511" s="5" t="s">
        <v>3095</v>
      </c>
      <c r="B1511" s="2" t="s">
        <v>3096</v>
      </c>
      <c r="C1511" s="5" t="s">
        <v>2128</v>
      </c>
      <c r="D1511" s="5" t="s">
        <v>62</v>
      </c>
      <c r="E1511" s="5" t="n">
        <v>7</v>
      </c>
      <c r="F1511" s="5" t="s">
        <v>90</v>
      </c>
      <c r="G1511" s="2" t="s">
        <v>184</v>
      </c>
      <c r="H1511" s="5" t="s">
        <v>8332</v>
      </c>
      <c r="I1511" s="5" t="s">
        <v>60</v>
      </c>
      <c r="J1511" s="5" t="s">
        <v>2813</v>
      </c>
      <c r="K1511" s="5" t="s">
        <v>3100</v>
      </c>
    </row>
    <row r="1512" customFormat="false" ht="23.85" hidden="false" customHeight="false" outlineLevel="0" collapsed="false">
      <c r="A1512" s="5" t="s">
        <v>12048</v>
      </c>
      <c r="B1512" s="2" t="s">
        <v>12049</v>
      </c>
      <c r="C1512" s="5" t="s">
        <v>2128</v>
      </c>
      <c r="D1512" s="5" t="s">
        <v>62</v>
      </c>
      <c r="E1512" s="5" t="n">
        <v>7</v>
      </c>
      <c r="F1512" s="5" t="s">
        <v>90</v>
      </c>
      <c r="G1512" s="2" t="s">
        <v>367</v>
      </c>
      <c r="H1512" s="5" t="s">
        <v>8336</v>
      </c>
      <c r="I1512" s="5"/>
      <c r="J1512" s="5"/>
      <c r="K1512" s="5" t="s">
        <v>12050</v>
      </c>
    </row>
    <row r="1513" customFormat="false" ht="15" hidden="false" customHeight="false" outlineLevel="0" collapsed="false">
      <c r="A1513" s="5" t="s">
        <v>12051</v>
      </c>
      <c r="B1513" s="2" t="s">
        <v>12052</v>
      </c>
      <c r="C1513" s="5" t="s">
        <v>2128</v>
      </c>
      <c r="D1513" s="5" t="s">
        <v>62</v>
      </c>
      <c r="E1513" s="5" t="n">
        <v>7</v>
      </c>
      <c r="F1513" s="5" t="s">
        <v>1210</v>
      </c>
      <c r="G1513" s="2" t="s">
        <v>367</v>
      </c>
      <c r="H1513" s="5" t="s">
        <v>8336</v>
      </c>
      <c r="I1513" s="5"/>
      <c r="J1513" s="5"/>
      <c r="K1513" s="5" t="s">
        <v>12053</v>
      </c>
    </row>
    <row r="1514" customFormat="false" ht="23.85" hidden="false" customHeight="false" outlineLevel="0" collapsed="false">
      <c r="A1514" s="5" t="s">
        <v>1095</v>
      </c>
      <c r="B1514" s="2" t="s">
        <v>1096</v>
      </c>
      <c r="C1514" s="5" t="s">
        <v>488</v>
      </c>
      <c r="D1514" s="5" t="s">
        <v>62</v>
      </c>
      <c r="E1514" s="5" t="n">
        <v>3</v>
      </c>
      <c r="F1514" s="5" t="s">
        <v>90</v>
      </c>
      <c r="G1514" s="2" t="s">
        <v>184</v>
      </c>
      <c r="H1514" s="5" t="s">
        <v>8332</v>
      </c>
      <c r="I1514" s="5" t="s">
        <v>60</v>
      </c>
      <c r="J1514" s="5" t="s">
        <v>182</v>
      </c>
      <c r="K1514" s="5" t="s">
        <v>1101</v>
      </c>
    </row>
    <row r="1515" customFormat="false" ht="23.85" hidden="false" customHeight="false" outlineLevel="0" collapsed="false">
      <c r="A1515" s="5" t="s">
        <v>3101</v>
      </c>
      <c r="B1515" s="2" t="s">
        <v>3102</v>
      </c>
      <c r="C1515" s="5" t="s">
        <v>2128</v>
      </c>
      <c r="D1515" s="5" t="s">
        <v>62</v>
      </c>
      <c r="E1515" s="5" t="n">
        <v>3</v>
      </c>
      <c r="F1515" s="5" t="s">
        <v>90</v>
      </c>
      <c r="G1515" s="2" t="s">
        <v>184</v>
      </c>
      <c r="H1515" s="5" t="s">
        <v>8332</v>
      </c>
      <c r="I1515" s="5" t="s">
        <v>60</v>
      </c>
      <c r="J1515" s="5" t="s">
        <v>182</v>
      </c>
      <c r="K1515" s="5" t="s">
        <v>3106</v>
      </c>
    </row>
    <row r="1516" customFormat="false" ht="23.85" hidden="false" customHeight="false" outlineLevel="0" collapsed="false">
      <c r="A1516" s="5" t="s">
        <v>3107</v>
      </c>
      <c r="B1516" s="2" t="s">
        <v>3108</v>
      </c>
      <c r="C1516" s="5" t="s">
        <v>2128</v>
      </c>
      <c r="D1516" s="5" t="s">
        <v>62</v>
      </c>
      <c r="E1516" s="5" t="n">
        <v>5</v>
      </c>
      <c r="F1516" s="5" t="s">
        <v>90</v>
      </c>
      <c r="G1516" s="2" t="s">
        <v>184</v>
      </c>
      <c r="H1516" s="5" t="s">
        <v>8332</v>
      </c>
      <c r="I1516" s="5" t="s">
        <v>60</v>
      </c>
      <c r="J1516" s="5" t="s">
        <v>269</v>
      </c>
      <c r="K1516" s="5" t="s">
        <v>3114</v>
      </c>
    </row>
    <row r="1517" customFormat="false" ht="23.85" hidden="false" customHeight="false" outlineLevel="0" collapsed="false">
      <c r="A1517" s="5" t="s">
        <v>3115</v>
      </c>
      <c r="B1517" s="2" t="s">
        <v>3116</v>
      </c>
      <c r="C1517" s="5" t="s">
        <v>2128</v>
      </c>
      <c r="D1517" s="5" t="s">
        <v>62</v>
      </c>
      <c r="E1517" s="5" t="n">
        <v>3</v>
      </c>
      <c r="F1517" s="5" t="s">
        <v>90</v>
      </c>
      <c r="G1517" s="2" t="s">
        <v>184</v>
      </c>
      <c r="H1517" s="5" t="s">
        <v>8332</v>
      </c>
      <c r="I1517" s="5" t="s">
        <v>60</v>
      </c>
      <c r="J1517" s="5" t="s">
        <v>182</v>
      </c>
      <c r="K1517" s="5" t="s">
        <v>3120</v>
      </c>
    </row>
    <row r="1518" customFormat="false" ht="23.85" hidden="false" customHeight="false" outlineLevel="0" collapsed="false">
      <c r="A1518" s="5" t="s">
        <v>3121</v>
      </c>
      <c r="B1518" s="2" t="s">
        <v>3122</v>
      </c>
      <c r="C1518" s="5" t="s">
        <v>2128</v>
      </c>
      <c r="D1518" s="5" t="s">
        <v>62</v>
      </c>
      <c r="E1518" s="5" t="n">
        <v>7</v>
      </c>
      <c r="F1518" s="5" t="s">
        <v>90</v>
      </c>
      <c r="G1518" s="2" t="s">
        <v>367</v>
      </c>
      <c r="H1518" s="5" t="s">
        <v>8332</v>
      </c>
      <c r="I1518" s="5" t="s">
        <v>60</v>
      </c>
      <c r="J1518" s="5" t="s">
        <v>3123</v>
      </c>
      <c r="K1518" s="5" t="s">
        <v>3126</v>
      </c>
    </row>
    <row r="1519" customFormat="false" ht="46.25" hidden="false" customHeight="false" outlineLevel="0" collapsed="false">
      <c r="A1519" s="5" t="s">
        <v>3127</v>
      </c>
      <c r="B1519" s="2" t="s">
        <v>3128</v>
      </c>
      <c r="C1519" s="5" t="s">
        <v>2245</v>
      </c>
      <c r="D1519" s="5" t="s">
        <v>62</v>
      </c>
      <c r="E1519" s="5" t="n">
        <v>7</v>
      </c>
      <c r="F1519" s="5" t="s">
        <v>90</v>
      </c>
      <c r="G1519" s="2" t="s">
        <v>12054</v>
      </c>
      <c r="H1519" s="5" t="s">
        <v>8332</v>
      </c>
      <c r="I1519" s="5" t="s">
        <v>60</v>
      </c>
      <c r="J1519" s="5" t="s">
        <v>3123</v>
      </c>
      <c r="K1519" s="5" t="s">
        <v>3136</v>
      </c>
    </row>
    <row r="1520" customFormat="false" ht="46.25" hidden="false" customHeight="false" outlineLevel="0" collapsed="false">
      <c r="A1520" s="5" t="s">
        <v>12055</v>
      </c>
      <c r="B1520" s="2" t="s">
        <v>12056</v>
      </c>
      <c r="C1520" s="5" t="s">
        <v>2245</v>
      </c>
      <c r="D1520" s="5" t="s">
        <v>62</v>
      </c>
      <c r="E1520" s="5" t="n">
        <v>7</v>
      </c>
      <c r="F1520" s="5" t="s">
        <v>90</v>
      </c>
      <c r="G1520" s="2" t="s">
        <v>12057</v>
      </c>
      <c r="H1520" s="5" t="s">
        <v>8336</v>
      </c>
      <c r="I1520" s="5"/>
      <c r="J1520" s="5"/>
      <c r="K1520" s="5" t="s">
        <v>12058</v>
      </c>
    </row>
    <row r="1521" customFormat="false" ht="23.85" hidden="false" customHeight="false" outlineLevel="0" collapsed="false">
      <c r="A1521" s="5" t="s">
        <v>12059</v>
      </c>
      <c r="B1521" s="2" t="s">
        <v>12060</v>
      </c>
      <c r="C1521" s="5" t="s">
        <v>2128</v>
      </c>
      <c r="D1521" s="5" t="s">
        <v>62</v>
      </c>
      <c r="E1521" s="5" t="n">
        <v>7</v>
      </c>
      <c r="F1521" s="5" t="s">
        <v>67</v>
      </c>
      <c r="G1521" s="2" t="s">
        <v>367</v>
      </c>
      <c r="H1521" s="5" t="s">
        <v>8336</v>
      </c>
      <c r="I1521" s="5"/>
      <c r="J1521" s="5"/>
      <c r="K1521" s="5" t="s">
        <v>12061</v>
      </c>
    </row>
    <row r="1522" customFormat="false" ht="46.25" hidden="false" customHeight="false" outlineLevel="0" collapsed="false">
      <c r="A1522" s="5" t="s">
        <v>12062</v>
      </c>
      <c r="B1522" s="2" t="s">
        <v>12063</v>
      </c>
      <c r="C1522" s="5" t="s">
        <v>2245</v>
      </c>
      <c r="D1522" s="5" t="s">
        <v>62</v>
      </c>
      <c r="E1522" s="5" t="n">
        <v>7</v>
      </c>
      <c r="F1522" s="5" t="s">
        <v>67</v>
      </c>
      <c r="G1522" s="2" t="s">
        <v>12054</v>
      </c>
      <c r="H1522" s="5" t="s">
        <v>8336</v>
      </c>
      <c r="I1522" s="5"/>
      <c r="J1522" s="5"/>
      <c r="K1522" s="5" t="s">
        <v>12064</v>
      </c>
    </row>
    <row r="1523" customFormat="false" ht="23.85" hidden="false" customHeight="false" outlineLevel="0" collapsed="false">
      <c r="A1523" s="5" t="s">
        <v>12065</v>
      </c>
      <c r="B1523" s="2" t="s">
        <v>12066</v>
      </c>
      <c r="C1523" s="5" t="s">
        <v>2128</v>
      </c>
      <c r="D1523" s="5" t="s">
        <v>62</v>
      </c>
      <c r="E1523" s="5" t="n">
        <v>7</v>
      </c>
      <c r="F1523" s="5" t="s">
        <v>90</v>
      </c>
      <c r="G1523" s="2" t="s">
        <v>367</v>
      </c>
      <c r="H1523" s="5" t="s">
        <v>8336</v>
      </c>
      <c r="I1523" s="5"/>
      <c r="J1523" s="5"/>
      <c r="K1523" s="5" t="s">
        <v>12067</v>
      </c>
    </row>
    <row r="1524" customFormat="false" ht="15" hidden="false" customHeight="false" outlineLevel="0" collapsed="false">
      <c r="A1524" s="5" t="s">
        <v>12068</v>
      </c>
      <c r="B1524" s="2" t="s">
        <v>12069</v>
      </c>
      <c r="C1524" s="5" t="s">
        <v>2128</v>
      </c>
      <c r="D1524" s="5" t="s">
        <v>62</v>
      </c>
      <c r="E1524" s="5" t="n">
        <v>7</v>
      </c>
      <c r="F1524" s="5" t="s">
        <v>90</v>
      </c>
      <c r="G1524" s="2" t="s">
        <v>367</v>
      </c>
      <c r="H1524" s="5" t="s">
        <v>8336</v>
      </c>
      <c r="I1524" s="5"/>
      <c r="J1524" s="5"/>
      <c r="K1524" s="5" t="s">
        <v>12070</v>
      </c>
    </row>
    <row r="1525" customFormat="false" ht="15" hidden="false" customHeight="false" outlineLevel="0" collapsed="false">
      <c r="A1525" s="5" t="s">
        <v>12071</v>
      </c>
      <c r="B1525" s="2" t="s">
        <v>12072</v>
      </c>
      <c r="C1525" s="5" t="s">
        <v>2128</v>
      </c>
      <c r="D1525" s="5" t="s">
        <v>62</v>
      </c>
      <c r="E1525" s="5" t="n">
        <v>5</v>
      </c>
      <c r="F1525" s="5" t="s">
        <v>90</v>
      </c>
      <c r="G1525" s="2" t="s">
        <v>367</v>
      </c>
      <c r="H1525" s="5" t="s">
        <v>8336</v>
      </c>
      <c r="I1525" s="5"/>
      <c r="J1525" s="5"/>
      <c r="K1525" s="5" t="s">
        <v>12073</v>
      </c>
    </row>
    <row r="1526" customFormat="false" ht="23.85" hidden="false" customHeight="false" outlineLevel="0" collapsed="false">
      <c r="A1526" s="5" t="s">
        <v>3137</v>
      </c>
      <c r="B1526" s="2" t="s">
        <v>3138</v>
      </c>
      <c r="C1526" s="5" t="s">
        <v>2128</v>
      </c>
      <c r="D1526" s="5" t="s">
        <v>62</v>
      </c>
      <c r="E1526" s="5" t="n">
        <v>3</v>
      </c>
      <c r="F1526" s="5" t="s">
        <v>2079</v>
      </c>
      <c r="G1526" s="2" t="s">
        <v>184</v>
      </c>
      <c r="H1526" s="5" t="s">
        <v>8332</v>
      </c>
      <c r="I1526" s="5" t="s">
        <v>60</v>
      </c>
      <c r="J1526" s="5" t="s">
        <v>2078</v>
      </c>
      <c r="K1526" s="5" t="s">
        <v>3145</v>
      </c>
    </row>
    <row r="1527" customFormat="false" ht="23.85" hidden="false" customHeight="false" outlineLevel="0" collapsed="false">
      <c r="A1527" s="5" t="s">
        <v>180</v>
      </c>
      <c r="B1527" s="2" t="s">
        <v>181</v>
      </c>
      <c r="C1527" s="5" t="s">
        <v>59</v>
      </c>
      <c r="D1527" s="5" t="s">
        <v>62</v>
      </c>
      <c r="E1527" s="5" t="n">
        <v>9</v>
      </c>
      <c r="F1527" s="5" t="s">
        <v>90</v>
      </c>
      <c r="G1527" s="2" t="s">
        <v>184</v>
      </c>
      <c r="H1527" s="5" t="s">
        <v>8332</v>
      </c>
      <c r="I1527" s="5" t="s">
        <v>60</v>
      </c>
      <c r="J1527" s="5" t="s">
        <v>182</v>
      </c>
      <c r="K1527" s="5" t="s">
        <v>194</v>
      </c>
    </row>
    <row r="1528" customFormat="false" ht="23.85" hidden="false" customHeight="false" outlineLevel="0" collapsed="false">
      <c r="A1528" s="5" t="s">
        <v>3146</v>
      </c>
      <c r="B1528" s="2" t="s">
        <v>3147</v>
      </c>
      <c r="C1528" s="5" t="s">
        <v>2128</v>
      </c>
      <c r="D1528" s="5" t="s">
        <v>62</v>
      </c>
      <c r="E1528" s="5" t="n">
        <v>5</v>
      </c>
      <c r="F1528" s="5" t="s">
        <v>90</v>
      </c>
      <c r="G1528" s="2" t="s">
        <v>184</v>
      </c>
      <c r="H1528" s="5" t="s">
        <v>8332</v>
      </c>
      <c r="I1528" s="5" t="s">
        <v>60</v>
      </c>
      <c r="J1528" s="5" t="s">
        <v>269</v>
      </c>
      <c r="K1528" s="5" t="s">
        <v>3153</v>
      </c>
    </row>
    <row r="1529" customFormat="false" ht="46.25" hidden="false" customHeight="false" outlineLevel="0" collapsed="false">
      <c r="A1529" s="5" t="s">
        <v>12074</v>
      </c>
      <c r="B1529" s="2" t="s">
        <v>12075</v>
      </c>
      <c r="C1529" s="5" t="s">
        <v>2245</v>
      </c>
      <c r="D1529" s="5" t="s">
        <v>62</v>
      </c>
      <c r="E1529" s="5" t="n">
        <v>5</v>
      </c>
      <c r="F1529" s="5" t="s">
        <v>67</v>
      </c>
      <c r="G1529" s="2" t="s">
        <v>12057</v>
      </c>
      <c r="H1529" s="5" t="s">
        <v>8336</v>
      </c>
      <c r="I1529" s="5"/>
      <c r="J1529" s="5"/>
      <c r="K1529" s="5" t="s">
        <v>12076</v>
      </c>
    </row>
    <row r="1530" customFormat="false" ht="46.25" hidden="false" customHeight="false" outlineLevel="0" collapsed="false">
      <c r="A1530" s="5" t="s">
        <v>3154</v>
      </c>
      <c r="B1530" s="2" t="s">
        <v>3155</v>
      </c>
      <c r="C1530" s="5" t="s">
        <v>2245</v>
      </c>
      <c r="D1530" s="5" t="s">
        <v>490</v>
      </c>
      <c r="E1530" s="5" t="n">
        <v>3</v>
      </c>
      <c r="F1530" s="5" t="s">
        <v>67</v>
      </c>
      <c r="G1530" s="2" t="s">
        <v>12077</v>
      </c>
      <c r="H1530" s="5" t="s">
        <v>8332</v>
      </c>
      <c r="I1530" s="5" t="s">
        <v>60</v>
      </c>
      <c r="J1530" s="5" t="s">
        <v>3156</v>
      </c>
      <c r="K1530" s="5" t="s">
        <v>3160</v>
      </c>
    </row>
    <row r="1531" customFormat="false" ht="46.25" hidden="false" customHeight="false" outlineLevel="0" collapsed="false">
      <c r="A1531" s="5" t="s">
        <v>3161</v>
      </c>
      <c r="B1531" s="2" t="s">
        <v>3162</v>
      </c>
      <c r="C1531" s="5" t="s">
        <v>2245</v>
      </c>
      <c r="D1531" s="5" t="s">
        <v>62</v>
      </c>
      <c r="E1531" s="5" t="n">
        <v>3</v>
      </c>
      <c r="F1531" s="5" t="s">
        <v>277</v>
      </c>
      <c r="G1531" s="2" t="s">
        <v>12054</v>
      </c>
      <c r="H1531" s="5" t="s">
        <v>8332</v>
      </c>
      <c r="I1531" s="5" t="s">
        <v>60</v>
      </c>
      <c r="J1531" s="5" t="s">
        <v>751</v>
      </c>
      <c r="K1531" s="5" t="s">
        <v>3165</v>
      </c>
    </row>
    <row r="1532" customFormat="false" ht="23.85" hidden="false" customHeight="false" outlineLevel="0" collapsed="false">
      <c r="A1532" s="5" t="s">
        <v>1102</v>
      </c>
      <c r="B1532" s="2" t="s">
        <v>1103</v>
      </c>
      <c r="C1532" s="5" t="s">
        <v>488</v>
      </c>
      <c r="D1532" s="5" t="s">
        <v>62</v>
      </c>
      <c r="E1532" s="5" t="n">
        <v>5</v>
      </c>
      <c r="F1532" s="5" t="s">
        <v>100</v>
      </c>
      <c r="G1532" s="2" t="s">
        <v>367</v>
      </c>
      <c r="H1532" s="5" t="s">
        <v>8332</v>
      </c>
      <c r="I1532" s="5" t="s">
        <v>60</v>
      </c>
      <c r="J1532" s="5" t="s">
        <v>1104</v>
      </c>
      <c r="K1532" s="5" t="s">
        <v>1110</v>
      </c>
    </row>
    <row r="1533" customFormat="false" ht="46.25" hidden="false" customHeight="false" outlineLevel="0" collapsed="false">
      <c r="A1533" s="5" t="s">
        <v>3166</v>
      </c>
      <c r="B1533" s="2" t="s">
        <v>3167</v>
      </c>
      <c r="C1533" s="5" t="s">
        <v>2245</v>
      </c>
      <c r="D1533" s="5" t="s">
        <v>62</v>
      </c>
      <c r="E1533" s="5" t="n">
        <v>3</v>
      </c>
      <c r="F1533" s="5" t="s">
        <v>277</v>
      </c>
      <c r="G1533" s="2" t="s">
        <v>12054</v>
      </c>
      <c r="H1533" s="5" t="s">
        <v>8332</v>
      </c>
      <c r="I1533" s="5" t="s">
        <v>60</v>
      </c>
      <c r="J1533" s="5" t="s">
        <v>751</v>
      </c>
      <c r="K1533" s="5" t="s">
        <v>3170</v>
      </c>
    </row>
    <row r="1534" customFormat="false" ht="23.85" hidden="false" customHeight="false" outlineLevel="0" collapsed="false">
      <c r="A1534" s="5" t="s">
        <v>1111</v>
      </c>
      <c r="B1534" s="2" t="s">
        <v>1112</v>
      </c>
      <c r="C1534" s="5" t="s">
        <v>488</v>
      </c>
      <c r="D1534" s="5" t="s">
        <v>62</v>
      </c>
      <c r="E1534" s="5" t="n">
        <v>9</v>
      </c>
      <c r="F1534" s="5" t="s">
        <v>100</v>
      </c>
      <c r="G1534" s="2" t="s">
        <v>184</v>
      </c>
      <c r="H1534" s="5" t="s">
        <v>8332</v>
      </c>
      <c r="I1534" s="5" t="s">
        <v>60</v>
      </c>
      <c r="J1534" s="5" t="s">
        <v>449</v>
      </c>
      <c r="K1534" s="5" t="s">
        <v>1120</v>
      </c>
    </row>
    <row r="1535" customFormat="false" ht="23.85" hidden="false" customHeight="false" outlineLevel="0" collapsed="false">
      <c r="A1535" s="5" t="s">
        <v>3171</v>
      </c>
      <c r="B1535" s="2" t="s">
        <v>3172</v>
      </c>
      <c r="C1535" s="5" t="s">
        <v>2128</v>
      </c>
      <c r="D1535" s="5" t="s">
        <v>62</v>
      </c>
      <c r="E1535" s="5" t="n">
        <v>5</v>
      </c>
      <c r="F1535" s="5" t="s">
        <v>90</v>
      </c>
      <c r="G1535" s="2" t="s">
        <v>367</v>
      </c>
      <c r="H1535" s="5" t="s">
        <v>8332</v>
      </c>
      <c r="I1535" s="5" t="s">
        <v>60</v>
      </c>
      <c r="J1535" s="5" t="s">
        <v>751</v>
      </c>
      <c r="K1535" s="5" t="s">
        <v>3175</v>
      </c>
    </row>
    <row r="1536" customFormat="false" ht="23.85" hidden="false" customHeight="false" outlineLevel="0" collapsed="false">
      <c r="A1536" s="5" t="s">
        <v>3176</v>
      </c>
      <c r="B1536" s="2" t="s">
        <v>3177</v>
      </c>
      <c r="C1536" s="5" t="s">
        <v>2128</v>
      </c>
      <c r="D1536" s="5" t="s">
        <v>62</v>
      </c>
      <c r="E1536" s="5" t="n">
        <v>5</v>
      </c>
      <c r="F1536" s="5" t="s">
        <v>90</v>
      </c>
      <c r="G1536" s="2" t="s">
        <v>367</v>
      </c>
      <c r="H1536" s="5" t="s">
        <v>8332</v>
      </c>
      <c r="I1536" s="5" t="s">
        <v>60</v>
      </c>
      <c r="J1536" s="5" t="s">
        <v>751</v>
      </c>
      <c r="K1536" s="5" t="s">
        <v>3180</v>
      </c>
    </row>
    <row r="1537" customFormat="false" ht="23.85" hidden="false" customHeight="false" outlineLevel="0" collapsed="false">
      <c r="A1537" s="5" t="s">
        <v>1121</v>
      </c>
      <c r="B1537" s="2" t="s">
        <v>1122</v>
      </c>
      <c r="C1537" s="5" t="s">
        <v>488</v>
      </c>
      <c r="D1537" s="5" t="s">
        <v>62</v>
      </c>
      <c r="E1537" s="5" t="n">
        <v>7</v>
      </c>
      <c r="F1537" s="5" t="s">
        <v>90</v>
      </c>
      <c r="G1537" s="2" t="s">
        <v>184</v>
      </c>
      <c r="H1537" s="5" t="s">
        <v>8332</v>
      </c>
      <c r="I1537" s="5" t="s">
        <v>60</v>
      </c>
      <c r="J1537" s="5" t="s">
        <v>182</v>
      </c>
      <c r="K1537" s="5" t="s">
        <v>1129</v>
      </c>
    </row>
    <row r="1538" customFormat="false" ht="46.25" hidden="false" customHeight="false" outlineLevel="0" collapsed="false">
      <c r="A1538" s="5" t="s">
        <v>195</v>
      </c>
      <c r="B1538" s="2" t="s">
        <v>196</v>
      </c>
      <c r="C1538" s="5" t="s">
        <v>59</v>
      </c>
      <c r="D1538" s="5" t="s">
        <v>62</v>
      </c>
      <c r="E1538" s="5" t="n">
        <v>8</v>
      </c>
      <c r="F1538" s="5" t="s">
        <v>67</v>
      </c>
      <c r="G1538" s="2" t="s">
        <v>12078</v>
      </c>
      <c r="H1538" s="5" t="s">
        <v>8332</v>
      </c>
      <c r="I1538" s="5" t="s">
        <v>60</v>
      </c>
      <c r="J1538" s="5" t="s">
        <v>197</v>
      </c>
      <c r="K1538" s="5" t="s">
        <v>205</v>
      </c>
    </row>
    <row r="1539" customFormat="false" ht="23.85" hidden="false" customHeight="false" outlineLevel="0" collapsed="false">
      <c r="A1539" s="5" t="s">
        <v>206</v>
      </c>
      <c r="B1539" s="2" t="s">
        <v>207</v>
      </c>
      <c r="C1539" s="5" t="s">
        <v>59</v>
      </c>
      <c r="D1539" s="5" t="s">
        <v>62</v>
      </c>
      <c r="E1539" s="5" t="n">
        <v>8</v>
      </c>
      <c r="F1539" s="5" t="s">
        <v>100</v>
      </c>
      <c r="G1539" s="2" t="s">
        <v>184</v>
      </c>
      <c r="H1539" s="5" t="s">
        <v>8332</v>
      </c>
      <c r="I1539" s="5" t="s">
        <v>60</v>
      </c>
      <c r="J1539" s="5" t="s">
        <v>208</v>
      </c>
      <c r="K1539" s="5" t="s">
        <v>216</v>
      </c>
    </row>
    <row r="1540" customFormat="false" ht="23.85" hidden="false" customHeight="false" outlineLevel="0" collapsed="false">
      <c r="A1540" s="5" t="s">
        <v>217</v>
      </c>
      <c r="B1540" s="2" t="s">
        <v>218</v>
      </c>
      <c r="C1540" s="5" t="s">
        <v>59</v>
      </c>
      <c r="D1540" s="5" t="s">
        <v>62</v>
      </c>
      <c r="E1540" s="5" t="n">
        <v>8</v>
      </c>
      <c r="F1540" s="5" t="s">
        <v>100</v>
      </c>
      <c r="G1540" s="2" t="s">
        <v>184</v>
      </c>
      <c r="H1540" s="5" t="s">
        <v>8332</v>
      </c>
      <c r="I1540" s="5" t="s">
        <v>60</v>
      </c>
      <c r="J1540" s="5" t="s">
        <v>208</v>
      </c>
      <c r="K1540" s="5" t="s">
        <v>221</v>
      </c>
    </row>
    <row r="1541" customFormat="false" ht="46.25" hidden="false" customHeight="false" outlineLevel="0" collapsed="false">
      <c r="A1541" s="5" t="s">
        <v>222</v>
      </c>
      <c r="B1541" s="2" t="s">
        <v>223</v>
      </c>
      <c r="C1541" s="5" t="s">
        <v>59</v>
      </c>
      <c r="D1541" s="5" t="s">
        <v>62</v>
      </c>
      <c r="E1541" s="5" t="n">
        <v>9</v>
      </c>
      <c r="F1541" s="5" t="s">
        <v>67</v>
      </c>
      <c r="G1541" s="2" t="s">
        <v>12078</v>
      </c>
      <c r="H1541" s="5" t="s">
        <v>8332</v>
      </c>
      <c r="I1541" s="5" t="s">
        <v>60</v>
      </c>
      <c r="J1541" s="5" t="s">
        <v>197</v>
      </c>
      <c r="K1541" s="5" t="s">
        <v>226</v>
      </c>
    </row>
    <row r="1542" customFormat="false" ht="23.85" hidden="false" customHeight="false" outlineLevel="0" collapsed="false">
      <c r="A1542" s="5" t="s">
        <v>227</v>
      </c>
      <c r="B1542" s="2" t="s">
        <v>228</v>
      </c>
      <c r="C1542" s="5" t="s">
        <v>59</v>
      </c>
      <c r="D1542" s="5" t="s">
        <v>62</v>
      </c>
      <c r="E1542" s="5" t="n">
        <v>7</v>
      </c>
      <c r="F1542" s="5" t="s">
        <v>100</v>
      </c>
      <c r="G1542" s="2" t="s">
        <v>184</v>
      </c>
      <c r="H1542" s="5" t="s">
        <v>8332</v>
      </c>
      <c r="I1542" s="5" t="s">
        <v>60</v>
      </c>
      <c r="J1542" s="5" t="s">
        <v>208</v>
      </c>
      <c r="K1542" s="5" t="s">
        <v>232</v>
      </c>
    </row>
    <row r="1543" customFormat="false" ht="23.85" hidden="false" customHeight="false" outlineLevel="0" collapsed="false">
      <c r="A1543" s="5" t="s">
        <v>233</v>
      </c>
      <c r="B1543" s="2" t="s">
        <v>234</v>
      </c>
      <c r="C1543" s="5" t="s">
        <v>59</v>
      </c>
      <c r="D1543" s="5" t="s">
        <v>62</v>
      </c>
      <c r="E1543" s="5" t="n">
        <v>8</v>
      </c>
      <c r="F1543" s="5" t="s">
        <v>100</v>
      </c>
      <c r="G1543" s="2" t="s">
        <v>184</v>
      </c>
      <c r="H1543" s="5" t="s">
        <v>8332</v>
      </c>
      <c r="I1543" s="5" t="s">
        <v>60</v>
      </c>
      <c r="J1543" s="5" t="s">
        <v>208</v>
      </c>
      <c r="K1543" s="5" t="s">
        <v>237</v>
      </c>
    </row>
    <row r="1544" customFormat="false" ht="23.85" hidden="false" customHeight="false" outlineLevel="0" collapsed="false">
      <c r="A1544" s="5" t="s">
        <v>238</v>
      </c>
      <c r="B1544" s="2" t="s">
        <v>239</v>
      </c>
      <c r="C1544" s="5" t="s">
        <v>59</v>
      </c>
      <c r="D1544" s="5" t="s">
        <v>62</v>
      </c>
      <c r="E1544" s="5" t="n">
        <v>8</v>
      </c>
      <c r="F1544" s="5" t="s">
        <v>100</v>
      </c>
      <c r="G1544" s="2" t="s">
        <v>184</v>
      </c>
      <c r="H1544" s="5" t="s">
        <v>8332</v>
      </c>
      <c r="I1544" s="5" t="s">
        <v>60</v>
      </c>
      <c r="J1544" s="5" t="s">
        <v>208</v>
      </c>
      <c r="K1544" s="5" t="s">
        <v>243</v>
      </c>
    </row>
    <row r="1545" customFormat="false" ht="23.85" hidden="false" customHeight="false" outlineLevel="0" collapsed="false">
      <c r="A1545" s="5" t="s">
        <v>244</v>
      </c>
      <c r="B1545" s="2" t="s">
        <v>245</v>
      </c>
      <c r="C1545" s="5" t="s">
        <v>59</v>
      </c>
      <c r="D1545" s="5" t="s">
        <v>62</v>
      </c>
      <c r="E1545" s="5" t="n">
        <v>8</v>
      </c>
      <c r="F1545" s="5" t="s">
        <v>100</v>
      </c>
      <c r="G1545" s="2" t="s">
        <v>184</v>
      </c>
      <c r="H1545" s="5" t="s">
        <v>8332</v>
      </c>
      <c r="I1545" s="5" t="s">
        <v>60</v>
      </c>
      <c r="J1545" s="5" t="s">
        <v>208</v>
      </c>
      <c r="K1545" s="5" t="s">
        <v>251</v>
      </c>
    </row>
    <row r="1546" customFormat="false" ht="15" hidden="false" customHeight="false" outlineLevel="0" collapsed="false">
      <c r="A1546" s="5" t="s">
        <v>252</v>
      </c>
      <c r="B1546" s="2" t="s">
        <v>253</v>
      </c>
      <c r="C1546" s="5" t="s">
        <v>59</v>
      </c>
      <c r="D1546" s="5" t="s">
        <v>62</v>
      </c>
      <c r="E1546" s="5" t="n">
        <v>7</v>
      </c>
      <c r="F1546" s="5" t="s">
        <v>100</v>
      </c>
      <c r="G1546" s="2" t="s">
        <v>255</v>
      </c>
      <c r="H1546" s="5" t="s">
        <v>8332</v>
      </c>
      <c r="I1546" s="5" t="s">
        <v>60</v>
      </c>
      <c r="J1546" s="5" t="s">
        <v>254</v>
      </c>
      <c r="K1546" s="5" t="s">
        <v>261</v>
      </c>
    </row>
    <row r="1547" customFormat="false" ht="46.25" hidden="false" customHeight="false" outlineLevel="0" collapsed="false">
      <c r="A1547" s="5" t="s">
        <v>3181</v>
      </c>
      <c r="B1547" s="2" t="s">
        <v>3182</v>
      </c>
      <c r="C1547" s="5" t="s">
        <v>2245</v>
      </c>
      <c r="D1547" s="5" t="s">
        <v>62</v>
      </c>
      <c r="E1547" s="5" t="n">
        <v>3</v>
      </c>
      <c r="F1547" s="5" t="s">
        <v>277</v>
      </c>
      <c r="G1547" s="2" t="s">
        <v>12054</v>
      </c>
      <c r="H1547" s="5" t="s">
        <v>8332</v>
      </c>
      <c r="I1547" s="5" t="s">
        <v>60</v>
      </c>
      <c r="J1547" s="5" t="s">
        <v>751</v>
      </c>
      <c r="K1547" s="5" t="s">
        <v>3188</v>
      </c>
    </row>
    <row r="1548" customFormat="false" ht="46.25" hidden="false" customHeight="false" outlineLevel="0" collapsed="false">
      <c r="A1548" s="5" t="s">
        <v>3189</v>
      </c>
      <c r="B1548" s="2" t="s">
        <v>3190</v>
      </c>
      <c r="C1548" s="5" t="s">
        <v>2245</v>
      </c>
      <c r="D1548" s="5" t="s">
        <v>62</v>
      </c>
      <c r="E1548" s="5" t="n">
        <v>3</v>
      </c>
      <c r="F1548" s="5" t="s">
        <v>277</v>
      </c>
      <c r="G1548" s="2" t="s">
        <v>12054</v>
      </c>
      <c r="H1548" s="5" t="s">
        <v>8332</v>
      </c>
      <c r="I1548" s="5" t="s">
        <v>60</v>
      </c>
      <c r="J1548" s="5" t="s">
        <v>751</v>
      </c>
      <c r="K1548" s="5" t="s">
        <v>3193</v>
      </c>
    </row>
    <row r="1549" customFormat="false" ht="23.85" hidden="false" customHeight="false" outlineLevel="0" collapsed="false">
      <c r="A1549" s="5" t="s">
        <v>3194</v>
      </c>
      <c r="B1549" s="2" t="s">
        <v>3195</v>
      </c>
      <c r="C1549" s="5" t="s">
        <v>2128</v>
      </c>
      <c r="D1549" s="5" t="s">
        <v>62</v>
      </c>
      <c r="E1549" s="5" t="n">
        <v>9</v>
      </c>
      <c r="F1549" s="5" t="s">
        <v>67</v>
      </c>
      <c r="G1549" s="2" t="s">
        <v>184</v>
      </c>
      <c r="H1549" s="5" t="s">
        <v>8332</v>
      </c>
      <c r="I1549" s="5" t="s">
        <v>60</v>
      </c>
      <c r="J1549" s="5" t="s">
        <v>276</v>
      </c>
      <c r="K1549" s="5" t="s">
        <v>3200</v>
      </c>
    </row>
    <row r="1550" customFormat="false" ht="23.85" hidden="false" customHeight="false" outlineLevel="0" collapsed="false">
      <c r="A1550" s="5" t="s">
        <v>3201</v>
      </c>
      <c r="B1550" s="2" t="s">
        <v>3202</v>
      </c>
      <c r="C1550" s="5" t="s">
        <v>2128</v>
      </c>
      <c r="D1550" s="5" t="s">
        <v>62</v>
      </c>
      <c r="E1550" s="5" t="n">
        <v>7</v>
      </c>
      <c r="F1550" s="5" t="s">
        <v>277</v>
      </c>
      <c r="G1550" s="2" t="s">
        <v>184</v>
      </c>
      <c r="H1550" s="5" t="s">
        <v>8332</v>
      </c>
      <c r="I1550" s="5" t="s">
        <v>60</v>
      </c>
      <c r="J1550" s="5" t="s">
        <v>276</v>
      </c>
      <c r="K1550" s="5" t="s">
        <v>3208</v>
      </c>
    </row>
    <row r="1551" customFormat="false" ht="23.85" hidden="false" customHeight="false" outlineLevel="0" collapsed="false">
      <c r="A1551" s="5" t="s">
        <v>3209</v>
      </c>
      <c r="B1551" s="2" t="s">
        <v>3210</v>
      </c>
      <c r="C1551" s="5" t="s">
        <v>2128</v>
      </c>
      <c r="D1551" s="5" t="s">
        <v>62</v>
      </c>
      <c r="E1551" s="5" t="n">
        <v>3</v>
      </c>
      <c r="F1551" s="5" t="s">
        <v>90</v>
      </c>
      <c r="G1551" s="2" t="s">
        <v>184</v>
      </c>
      <c r="H1551" s="5" t="s">
        <v>8332</v>
      </c>
      <c r="I1551" s="5" t="s">
        <v>60</v>
      </c>
      <c r="J1551" s="5" t="s">
        <v>3211</v>
      </c>
      <c r="K1551" s="5" t="s">
        <v>3217</v>
      </c>
    </row>
    <row r="1552" customFormat="false" ht="23.85" hidden="false" customHeight="false" outlineLevel="0" collapsed="false">
      <c r="A1552" s="5" t="s">
        <v>3218</v>
      </c>
      <c r="B1552" s="2" t="s">
        <v>3219</v>
      </c>
      <c r="C1552" s="5" t="s">
        <v>2128</v>
      </c>
      <c r="D1552" s="5" t="s">
        <v>62</v>
      </c>
      <c r="E1552" s="5" t="n">
        <v>7</v>
      </c>
      <c r="F1552" s="5" t="s">
        <v>90</v>
      </c>
      <c r="G1552" s="2" t="s">
        <v>184</v>
      </c>
      <c r="H1552" s="5" t="s">
        <v>8332</v>
      </c>
      <c r="I1552" s="5" t="s">
        <v>60</v>
      </c>
      <c r="J1552" s="5" t="s">
        <v>3211</v>
      </c>
      <c r="K1552" s="5" t="s">
        <v>3222</v>
      </c>
    </row>
    <row r="1553" customFormat="false" ht="46.25" hidden="false" customHeight="false" outlineLevel="0" collapsed="false">
      <c r="A1553" s="5" t="s">
        <v>12079</v>
      </c>
      <c r="B1553" s="2" t="s">
        <v>12080</v>
      </c>
      <c r="C1553" s="5" t="s">
        <v>2245</v>
      </c>
      <c r="D1553" s="5" t="s">
        <v>62</v>
      </c>
      <c r="E1553" s="5" t="n">
        <v>5</v>
      </c>
      <c r="F1553" s="5" t="s">
        <v>90</v>
      </c>
      <c r="G1553" s="2" t="s">
        <v>12057</v>
      </c>
      <c r="H1553" s="5" t="s">
        <v>8336</v>
      </c>
      <c r="I1553" s="5"/>
      <c r="J1553" s="5"/>
      <c r="K1553" s="5" t="s">
        <v>12081</v>
      </c>
    </row>
    <row r="1554" customFormat="false" ht="46.25" hidden="false" customHeight="false" outlineLevel="0" collapsed="false">
      <c r="A1554" s="5" t="s">
        <v>12082</v>
      </c>
      <c r="B1554" s="2" t="s">
        <v>12083</v>
      </c>
      <c r="C1554" s="5" t="s">
        <v>2245</v>
      </c>
      <c r="D1554" s="5" t="s">
        <v>62</v>
      </c>
      <c r="E1554" s="5" t="n">
        <v>7</v>
      </c>
      <c r="F1554" s="5" t="s">
        <v>90</v>
      </c>
      <c r="G1554" s="2" t="s">
        <v>12057</v>
      </c>
      <c r="H1554" s="5" t="s">
        <v>8336</v>
      </c>
      <c r="I1554" s="5"/>
      <c r="J1554" s="5"/>
      <c r="K1554" s="5" t="s">
        <v>12084</v>
      </c>
    </row>
    <row r="1555" customFormat="false" ht="46.25" hidden="false" customHeight="false" outlineLevel="0" collapsed="false">
      <c r="A1555" s="5" t="s">
        <v>12085</v>
      </c>
      <c r="B1555" s="2" t="s">
        <v>12086</v>
      </c>
      <c r="C1555" s="5" t="s">
        <v>2245</v>
      </c>
      <c r="D1555" s="5" t="s">
        <v>62</v>
      </c>
      <c r="E1555" s="5" t="n">
        <v>5</v>
      </c>
      <c r="F1555" s="5" t="s">
        <v>67</v>
      </c>
      <c r="G1555" s="2" t="s">
        <v>12057</v>
      </c>
      <c r="H1555" s="5" t="s">
        <v>8336</v>
      </c>
      <c r="I1555" s="5"/>
      <c r="J1555" s="5"/>
      <c r="K1555" s="5" t="s">
        <v>12087</v>
      </c>
    </row>
    <row r="1556" customFormat="false" ht="15" hidden="false" customHeight="false" outlineLevel="0" collapsed="false">
      <c r="A1556" s="5" t="s">
        <v>12088</v>
      </c>
      <c r="B1556" s="2" t="s">
        <v>12089</v>
      </c>
      <c r="C1556" s="5" t="s">
        <v>2128</v>
      </c>
      <c r="D1556" s="5" t="s">
        <v>62</v>
      </c>
      <c r="E1556" s="5" t="n">
        <v>7</v>
      </c>
      <c r="F1556" s="5" t="s">
        <v>90</v>
      </c>
      <c r="G1556" s="2" t="s">
        <v>367</v>
      </c>
      <c r="H1556" s="5" t="s">
        <v>8336</v>
      </c>
      <c r="I1556" s="5"/>
      <c r="J1556" s="5"/>
      <c r="K1556" s="5" t="s">
        <v>12090</v>
      </c>
    </row>
    <row r="1557" customFormat="false" ht="15" hidden="false" customHeight="false" outlineLevel="0" collapsed="false">
      <c r="A1557" s="5" t="s">
        <v>12091</v>
      </c>
      <c r="B1557" s="2" t="s">
        <v>12092</v>
      </c>
      <c r="C1557" s="5" t="s">
        <v>2128</v>
      </c>
      <c r="D1557" s="5" t="s">
        <v>62</v>
      </c>
      <c r="E1557" s="5" t="n">
        <v>5</v>
      </c>
      <c r="F1557" s="5" t="s">
        <v>90</v>
      </c>
      <c r="G1557" s="2" t="s">
        <v>367</v>
      </c>
      <c r="H1557" s="5" t="s">
        <v>8336</v>
      </c>
      <c r="I1557" s="5"/>
      <c r="J1557" s="5"/>
      <c r="K1557" s="5" t="s">
        <v>12093</v>
      </c>
    </row>
    <row r="1558" customFormat="false" ht="23.85" hidden="false" customHeight="false" outlineLevel="0" collapsed="false">
      <c r="A1558" s="5" t="s">
        <v>1130</v>
      </c>
      <c r="B1558" s="2" t="s">
        <v>1131</v>
      </c>
      <c r="C1558" s="5" t="s">
        <v>488</v>
      </c>
      <c r="D1558" s="5" t="s">
        <v>62</v>
      </c>
      <c r="E1558" s="5" t="n">
        <v>3</v>
      </c>
      <c r="F1558" s="5" t="s">
        <v>90</v>
      </c>
      <c r="G1558" s="2" t="s">
        <v>184</v>
      </c>
      <c r="H1558" s="5" t="s">
        <v>8332</v>
      </c>
      <c r="I1558" s="5" t="s">
        <v>60</v>
      </c>
      <c r="J1558" s="5" t="s">
        <v>182</v>
      </c>
      <c r="K1558" s="5" t="s">
        <v>1135</v>
      </c>
    </row>
    <row r="1559" customFormat="false" ht="46.25" hidden="false" customHeight="false" outlineLevel="0" collapsed="false">
      <c r="A1559" s="5" t="s">
        <v>12094</v>
      </c>
      <c r="B1559" s="2" t="s">
        <v>12095</v>
      </c>
      <c r="C1559" s="5" t="s">
        <v>2245</v>
      </c>
      <c r="D1559" s="5" t="s">
        <v>62</v>
      </c>
      <c r="E1559" s="5" t="n">
        <v>5</v>
      </c>
      <c r="F1559" s="5" t="s">
        <v>90</v>
      </c>
      <c r="G1559" s="2" t="s">
        <v>12057</v>
      </c>
      <c r="H1559" s="5" t="s">
        <v>8336</v>
      </c>
      <c r="I1559" s="5"/>
      <c r="J1559" s="5"/>
      <c r="K1559" s="5" t="s">
        <v>12096</v>
      </c>
    </row>
    <row r="1560" customFormat="false" ht="23.85" hidden="false" customHeight="false" outlineLevel="0" collapsed="false">
      <c r="A1560" s="5" t="s">
        <v>12097</v>
      </c>
      <c r="B1560" s="2" t="s">
        <v>12098</v>
      </c>
      <c r="C1560" s="5" t="s">
        <v>2128</v>
      </c>
      <c r="D1560" s="5" t="s">
        <v>62</v>
      </c>
      <c r="E1560" s="5" t="n">
        <v>7</v>
      </c>
      <c r="F1560" s="5" t="s">
        <v>90</v>
      </c>
      <c r="G1560" s="2" t="s">
        <v>367</v>
      </c>
      <c r="H1560" s="5" t="s">
        <v>8336</v>
      </c>
      <c r="I1560" s="5"/>
      <c r="J1560" s="5"/>
      <c r="K1560" s="5" t="s">
        <v>12099</v>
      </c>
    </row>
    <row r="1561" customFormat="false" ht="15" hidden="false" customHeight="false" outlineLevel="0" collapsed="false">
      <c r="A1561" s="5" t="s">
        <v>12100</v>
      </c>
      <c r="B1561" s="2" t="s">
        <v>12101</v>
      </c>
      <c r="C1561" s="5" t="s">
        <v>2128</v>
      </c>
      <c r="D1561" s="5" t="s">
        <v>62</v>
      </c>
      <c r="E1561" s="5" t="n">
        <v>7</v>
      </c>
      <c r="F1561" s="5" t="s">
        <v>67</v>
      </c>
      <c r="G1561" s="2" t="s">
        <v>367</v>
      </c>
      <c r="H1561" s="5" t="s">
        <v>8336</v>
      </c>
      <c r="I1561" s="5"/>
      <c r="J1561" s="5"/>
      <c r="K1561" s="5" t="s">
        <v>12102</v>
      </c>
    </row>
    <row r="1562" customFormat="false" ht="15" hidden="false" customHeight="false" outlineLevel="0" collapsed="false">
      <c r="A1562" s="5" t="s">
        <v>1136</v>
      </c>
      <c r="B1562" s="2" t="s">
        <v>1137</v>
      </c>
      <c r="C1562" s="5" t="s">
        <v>488</v>
      </c>
      <c r="D1562" s="5" t="s">
        <v>62</v>
      </c>
      <c r="E1562" s="5" t="n">
        <v>5</v>
      </c>
      <c r="F1562" s="5" t="s">
        <v>90</v>
      </c>
      <c r="G1562" s="2" t="s">
        <v>367</v>
      </c>
      <c r="H1562" s="5" t="s">
        <v>8332</v>
      </c>
      <c r="I1562" s="5" t="s">
        <v>60</v>
      </c>
      <c r="J1562" s="5"/>
      <c r="K1562" s="5" t="s">
        <v>1141</v>
      </c>
    </row>
    <row r="1563" customFormat="false" ht="23.85" hidden="false" customHeight="false" outlineLevel="0" collapsed="false">
      <c r="A1563" s="5" t="s">
        <v>12103</v>
      </c>
      <c r="B1563" s="2" t="s">
        <v>12104</v>
      </c>
      <c r="C1563" s="5" t="s">
        <v>2128</v>
      </c>
      <c r="D1563" s="5" t="s">
        <v>62</v>
      </c>
      <c r="E1563" s="5" t="n">
        <v>5</v>
      </c>
      <c r="F1563" s="5" t="s">
        <v>90</v>
      </c>
      <c r="G1563" s="2" t="s">
        <v>367</v>
      </c>
      <c r="H1563" s="5" t="s">
        <v>8336</v>
      </c>
      <c r="I1563" s="5"/>
      <c r="J1563" s="5"/>
      <c r="K1563" s="5" t="s">
        <v>12105</v>
      </c>
    </row>
    <row r="1564" customFormat="false" ht="46.25" hidden="false" customHeight="false" outlineLevel="0" collapsed="false">
      <c r="A1564" s="5" t="s">
        <v>12106</v>
      </c>
      <c r="B1564" s="2" t="s">
        <v>12107</v>
      </c>
      <c r="C1564" s="5" t="s">
        <v>2245</v>
      </c>
      <c r="D1564" s="5" t="s">
        <v>62</v>
      </c>
      <c r="E1564" s="5" t="n">
        <v>5</v>
      </c>
      <c r="F1564" s="5" t="s">
        <v>90</v>
      </c>
      <c r="G1564" s="2" t="s">
        <v>12054</v>
      </c>
      <c r="H1564" s="5" t="s">
        <v>8336</v>
      </c>
      <c r="I1564" s="5"/>
      <c r="J1564" s="5"/>
      <c r="K1564" s="5" t="s">
        <v>12108</v>
      </c>
    </row>
    <row r="1565" customFormat="false" ht="46.25" hidden="false" customHeight="false" outlineLevel="0" collapsed="false">
      <c r="A1565" s="5" t="s">
        <v>12109</v>
      </c>
      <c r="B1565" s="2" t="s">
        <v>12110</v>
      </c>
      <c r="C1565" s="5" t="s">
        <v>2245</v>
      </c>
      <c r="D1565" s="5" t="s">
        <v>62</v>
      </c>
      <c r="E1565" s="5" t="n">
        <v>5</v>
      </c>
      <c r="F1565" s="5" t="s">
        <v>90</v>
      </c>
      <c r="G1565" s="2" t="s">
        <v>12057</v>
      </c>
      <c r="H1565" s="5" t="s">
        <v>8336</v>
      </c>
      <c r="I1565" s="5"/>
      <c r="J1565" s="5"/>
      <c r="K1565" s="5" t="s">
        <v>12111</v>
      </c>
    </row>
    <row r="1566" customFormat="false" ht="23.85" hidden="false" customHeight="false" outlineLevel="0" collapsed="false">
      <c r="A1566" s="5" t="s">
        <v>3223</v>
      </c>
      <c r="B1566" s="2" t="s">
        <v>3224</v>
      </c>
      <c r="C1566" s="5" t="s">
        <v>2128</v>
      </c>
      <c r="D1566" s="5" t="s">
        <v>62</v>
      </c>
      <c r="E1566" s="5" t="n">
        <v>5</v>
      </c>
      <c r="F1566" s="5" t="s">
        <v>544</v>
      </c>
      <c r="G1566" s="2" t="s">
        <v>184</v>
      </c>
      <c r="H1566" s="5" t="s">
        <v>8332</v>
      </c>
      <c r="I1566" s="5" t="s">
        <v>60</v>
      </c>
      <c r="J1566" s="5" t="s">
        <v>276</v>
      </c>
      <c r="K1566" s="5" t="s">
        <v>3229</v>
      </c>
    </row>
    <row r="1567" customFormat="false" ht="23.85" hidden="false" customHeight="false" outlineLevel="0" collapsed="false">
      <c r="A1567" s="5" t="s">
        <v>1142</v>
      </c>
      <c r="B1567" s="2" t="s">
        <v>1143</v>
      </c>
      <c r="C1567" s="5" t="s">
        <v>488</v>
      </c>
      <c r="D1567" s="5" t="s">
        <v>62</v>
      </c>
      <c r="E1567" s="5" t="n">
        <v>5</v>
      </c>
      <c r="F1567" s="5" t="s">
        <v>481</v>
      </c>
      <c r="G1567" s="2" t="s">
        <v>184</v>
      </c>
      <c r="H1567" s="5" t="s">
        <v>8332</v>
      </c>
      <c r="I1567" s="5" t="s">
        <v>60</v>
      </c>
      <c r="J1567" s="5" t="s">
        <v>1144</v>
      </c>
      <c r="K1567" s="5" t="s">
        <v>1151</v>
      </c>
    </row>
    <row r="1568" customFormat="false" ht="46.25" hidden="false" customHeight="false" outlineLevel="0" collapsed="false">
      <c r="A1568" s="5" t="s">
        <v>3230</v>
      </c>
      <c r="B1568" s="2" t="s">
        <v>3231</v>
      </c>
      <c r="C1568" s="5" t="s">
        <v>2245</v>
      </c>
      <c r="D1568" s="5" t="s">
        <v>490</v>
      </c>
      <c r="E1568" s="5" t="n">
        <v>5</v>
      </c>
      <c r="F1568" s="5" t="s">
        <v>277</v>
      </c>
      <c r="G1568" s="2" t="s">
        <v>12057</v>
      </c>
      <c r="H1568" s="5" t="s">
        <v>8332</v>
      </c>
      <c r="I1568" s="5" t="s">
        <v>60</v>
      </c>
      <c r="J1568" s="5" t="s">
        <v>751</v>
      </c>
      <c r="K1568" s="5" t="s">
        <v>3235</v>
      </c>
    </row>
    <row r="1569" customFormat="false" ht="46.25" hidden="false" customHeight="false" outlineLevel="0" collapsed="false">
      <c r="A1569" s="5" t="s">
        <v>3236</v>
      </c>
      <c r="B1569" s="2" t="s">
        <v>3237</v>
      </c>
      <c r="C1569" s="5" t="s">
        <v>2245</v>
      </c>
      <c r="D1569" s="5" t="s">
        <v>62</v>
      </c>
      <c r="E1569" s="5" t="n">
        <v>5</v>
      </c>
      <c r="F1569" s="5" t="s">
        <v>1210</v>
      </c>
      <c r="G1569" s="2" t="s">
        <v>12057</v>
      </c>
      <c r="H1569" s="5" t="s">
        <v>8332</v>
      </c>
      <c r="I1569" s="5" t="s">
        <v>60</v>
      </c>
      <c r="J1569" s="5" t="s">
        <v>751</v>
      </c>
      <c r="K1569" s="5" t="s">
        <v>3243</v>
      </c>
    </row>
    <row r="1570" customFormat="false" ht="23.85" hidden="false" customHeight="false" outlineLevel="0" collapsed="false">
      <c r="A1570" s="5" t="s">
        <v>3244</v>
      </c>
      <c r="B1570" s="2" t="s">
        <v>3245</v>
      </c>
      <c r="C1570" s="5" t="s">
        <v>2128</v>
      </c>
      <c r="D1570" s="5" t="s">
        <v>62</v>
      </c>
      <c r="E1570" s="5" t="n">
        <v>3</v>
      </c>
      <c r="F1570" s="5" t="s">
        <v>67</v>
      </c>
      <c r="G1570" s="2" t="s">
        <v>184</v>
      </c>
      <c r="H1570" s="5" t="s">
        <v>8332</v>
      </c>
      <c r="I1570" s="5" t="s">
        <v>60</v>
      </c>
      <c r="J1570" s="5" t="s">
        <v>269</v>
      </c>
      <c r="K1570" s="5" t="s">
        <v>3249</v>
      </c>
    </row>
    <row r="1571" customFormat="false" ht="23.85" hidden="false" customHeight="false" outlineLevel="0" collapsed="false">
      <c r="A1571" s="5" t="s">
        <v>262</v>
      </c>
      <c r="B1571" s="2" t="s">
        <v>263</v>
      </c>
      <c r="C1571" s="5" t="s">
        <v>59</v>
      </c>
      <c r="D1571" s="5" t="s">
        <v>62</v>
      </c>
      <c r="E1571" s="5" t="n">
        <v>9</v>
      </c>
      <c r="F1571" s="5" t="s">
        <v>90</v>
      </c>
      <c r="G1571" s="2" t="s">
        <v>184</v>
      </c>
      <c r="H1571" s="5" t="s">
        <v>8332</v>
      </c>
      <c r="I1571" s="5" t="s">
        <v>60</v>
      </c>
      <c r="J1571" s="5" t="s">
        <v>182</v>
      </c>
      <c r="K1571" s="5" t="s">
        <v>266</v>
      </c>
    </row>
    <row r="1572" customFormat="false" ht="46.25" hidden="false" customHeight="false" outlineLevel="0" collapsed="false">
      <c r="A1572" s="5" t="s">
        <v>12112</v>
      </c>
      <c r="B1572" s="2" t="s">
        <v>12113</v>
      </c>
      <c r="C1572" s="5" t="s">
        <v>2245</v>
      </c>
      <c r="D1572" s="5" t="s">
        <v>62</v>
      </c>
      <c r="E1572" s="5" t="n">
        <v>5</v>
      </c>
      <c r="F1572" s="5" t="s">
        <v>67</v>
      </c>
      <c r="G1572" s="2" t="s">
        <v>12057</v>
      </c>
      <c r="H1572" s="5" t="s">
        <v>8336</v>
      </c>
      <c r="I1572" s="5"/>
      <c r="J1572" s="5"/>
      <c r="K1572" s="5" t="s">
        <v>12114</v>
      </c>
    </row>
    <row r="1573" customFormat="false" ht="46.25" hidden="false" customHeight="false" outlineLevel="0" collapsed="false">
      <c r="A1573" s="5" t="s">
        <v>3250</v>
      </c>
      <c r="B1573" s="2" t="s">
        <v>3251</v>
      </c>
      <c r="C1573" s="5" t="s">
        <v>2245</v>
      </c>
      <c r="D1573" s="5" t="s">
        <v>62</v>
      </c>
      <c r="E1573" s="5" t="n">
        <v>5</v>
      </c>
      <c r="F1573" s="5" t="s">
        <v>1814</v>
      </c>
      <c r="G1573" s="2" t="s">
        <v>12057</v>
      </c>
      <c r="H1573" s="5" t="s">
        <v>8332</v>
      </c>
      <c r="I1573" s="5" t="s">
        <v>60</v>
      </c>
      <c r="J1573" s="5" t="s">
        <v>751</v>
      </c>
      <c r="K1573" s="5" t="s">
        <v>3255</v>
      </c>
    </row>
    <row r="1574" customFormat="false" ht="46.25" hidden="false" customHeight="false" outlineLevel="0" collapsed="false">
      <c r="A1574" s="5" t="s">
        <v>12115</v>
      </c>
      <c r="B1574" s="2" t="s">
        <v>12116</v>
      </c>
      <c r="C1574" s="5" t="s">
        <v>2245</v>
      </c>
      <c r="D1574" s="5" t="s">
        <v>62</v>
      </c>
      <c r="E1574" s="5" t="n">
        <v>5</v>
      </c>
      <c r="F1574" s="5" t="s">
        <v>277</v>
      </c>
      <c r="G1574" s="2" t="s">
        <v>12057</v>
      </c>
      <c r="H1574" s="5" t="s">
        <v>8336</v>
      </c>
      <c r="I1574" s="5"/>
      <c r="J1574" s="5"/>
      <c r="K1574" s="5" t="s">
        <v>12117</v>
      </c>
    </row>
    <row r="1575" customFormat="false" ht="46.25" hidden="false" customHeight="false" outlineLevel="0" collapsed="false">
      <c r="A1575" s="5" t="s">
        <v>12118</v>
      </c>
      <c r="B1575" s="2" t="s">
        <v>12119</v>
      </c>
      <c r="C1575" s="5" t="s">
        <v>2245</v>
      </c>
      <c r="D1575" s="5" t="s">
        <v>62</v>
      </c>
      <c r="E1575" s="5" t="n">
        <v>7</v>
      </c>
      <c r="F1575" s="5" t="s">
        <v>413</v>
      </c>
      <c r="G1575" s="2" t="s">
        <v>12057</v>
      </c>
      <c r="H1575" s="5" t="s">
        <v>8336</v>
      </c>
      <c r="I1575" s="5"/>
      <c r="J1575" s="5"/>
      <c r="K1575" s="5" t="s">
        <v>12120</v>
      </c>
    </row>
    <row r="1576" customFormat="false" ht="15" hidden="false" customHeight="false" outlineLevel="0" collapsed="false">
      <c r="A1576" s="5" t="s">
        <v>12121</v>
      </c>
      <c r="B1576" s="2" t="s">
        <v>12122</v>
      </c>
      <c r="C1576" s="5" t="s">
        <v>2128</v>
      </c>
      <c r="D1576" s="5" t="s">
        <v>62</v>
      </c>
      <c r="E1576" s="5" t="n">
        <v>5</v>
      </c>
      <c r="F1576" s="5" t="s">
        <v>90</v>
      </c>
      <c r="G1576" s="2" t="s">
        <v>367</v>
      </c>
      <c r="H1576" s="5" t="s">
        <v>8336</v>
      </c>
      <c r="I1576" s="5"/>
      <c r="J1576" s="5"/>
      <c r="K1576" s="5" t="s">
        <v>12123</v>
      </c>
    </row>
    <row r="1577" customFormat="false" ht="46.25" hidden="false" customHeight="false" outlineLevel="0" collapsed="false">
      <c r="A1577" s="5" t="s">
        <v>12124</v>
      </c>
      <c r="B1577" s="2" t="s">
        <v>12125</v>
      </c>
      <c r="C1577" s="5" t="s">
        <v>2245</v>
      </c>
      <c r="D1577" s="5" t="s">
        <v>62</v>
      </c>
      <c r="E1577" s="5" t="n">
        <v>7</v>
      </c>
      <c r="F1577" s="5" t="s">
        <v>536</v>
      </c>
      <c r="G1577" s="2" t="s">
        <v>12057</v>
      </c>
      <c r="H1577" s="5" t="s">
        <v>8336</v>
      </c>
      <c r="I1577" s="5"/>
      <c r="J1577" s="5"/>
      <c r="K1577" s="5" t="s">
        <v>12126</v>
      </c>
    </row>
    <row r="1578" customFormat="false" ht="23.85" hidden="false" customHeight="false" outlineLevel="0" collapsed="false">
      <c r="A1578" s="5" t="s">
        <v>3256</v>
      </c>
      <c r="B1578" s="2" t="s">
        <v>3257</v>
      </c>
      <c r="C1578" s="5" t="s">
        <v>2128</v>
      </c>
      <c r="D1578" s="5" t="s">
        <v>62</v>
      </c>
      <c r="E1578" s="5" t="n">
        <v>7</v>
      </c>
      <c r="F1578" s="5" t="s">
        <v>90</v>
      </c>
      <c r="G1578" s="2" t="s">
        <v>184</v>
      </c>
      <c r="H1578" s="5" t="s">
        <v>8332</v>
      </c>
      <c r="I1578" s="5" t="s">
        <v>60</v>
      </c>
      <c r="J1578" s="5" t="s">
        <v>269</v>
      </c>
      <c r="K1578" s="5" t="s">
        <v>3261</v>
      </c>
    </row>
    <row r="1579" customFormat="false" ht="46.25" hidden="false" customHeight="false" outlineLevel="0" collapsed="false">
      <c r="A1579" s="5" t="s">
        <v>12127</v>
      </c>
      <c r="B1579" s="2" t="s">
        <v>12128</v>
      </c>
      <c r="C1579" s="5" t="s">
        <v>2245</v>
      </c>
      <c r="D1579" s="5" t="s">
        <v>62</v>
      </c>
      <c r="E1579" s="5" t="n">
        <v>5</v>
      </c>
      <c r="F1579" s="5" t="s">
        <v>67</v>
      </c>
      <c r="G1579" s="2" t="s">
        <v>12057</v>
      </c>
      <c r="H1579" s="5" t="s">
        <v>8336</v>
      </c>
      <c r="I1579" s="5"/>
      <c r="J1579" s="5"/>
      <c r="K1579" s="5" t="s">
        <v>12129</v>
      </c>
    </row>
    <row r="1580" customFormat="false" ht="23.85" hidden="false" customHeight="false" outlineLevel="0" collapsed="false">
      <c r="A1580" s="5" t="s">
        <v>12130</v>
      </c>
      <c r="B1580" s="2" t="s">
        <v>12131</v>
      </c>
      <c r="C1580" s="5" t="s">
        <v>2128</v>
      </c>
      <c r="D1580" s="5" t="s">
        <v>62</v>
      </c>
      <c r="E1580" s="5" t="n">
        <v>7</v>
      </c>
      <c r="F1580" s="5" t="s">
        <v>90</v>
      </c>
      <c r="G1580" s="2" t="s">
        <v>367</v>
      </c>
      <c r="H1580" s="5" t="s">
        <v>8336</v>
      </c>
      <c r="I1580" s="5"/>
      <c r="J1580" s="5"/>
      <c r="K1580" s="5" t="s">
        <v>12132</v>
      </c>
    </row>
    <row r="1581" customFormat="false" ht="46.25" hidden="false" customHeight="false" outlineLevel="0" collapsed="false">
      <c r="A1581" s="5" t="s">
        <v>12133</v>
      </c>
      <c r="B1581" s="2" t="s">
        <v>12134</v>
      </c>
      <c r="C1581" s="5" t="s">
        <v>2245</v>
      </c>
      <c r="D1581" s="5" t="s">
        <v>62</v>
      </c>
      <c r="E1581" s="5" t="n">
        <v>5</v>
      </c>
      <c r="F1581" s="5" t="s">
        <v>413</v>
      </c>
      <c r="G1581" s="2" t="s">
        <v>12054</v>
      </c>
      <c r="H1581" s="5" t="s">
        <v>8336</v>
      </c>
      <c r="I1581" s="5"/>
      <c r="J1581" s="5"/>
      <c r="K1581" s="5" t="s">
        <v>12135</v>
      </c>
    </row>
    <row r="1582" customFormat="false" ht="46.25" hidden="false" customHeight="false" outlineLevel="0" collapsed="false">
      <c r="A1582" s="5" t="s">
        <v>12136</v>
      </c>
      <c r="B1582" s="2" t="s">
        <v>12137</v>
      </c>
      <c r="C1582" s="5" t="s">
        <v>2245</v>
      </c>
      <c r="D1582" s="5" t="s">
        <v>62</v>
      </c>
      <c r="E1582" s="5" t="n">
        <v>5</v>
      </c>
      <c r="F1582" s="5" t="s">
        <v>413</v>
      </c>
      <c r="G1582" s="2" t="s">
        <v>12057</v>
      </c>
      <c r="H1582" s="5" t="s">
        <v>8336</v>
      </c>
      <c r="I1582" s="5"/>
      <c r="J1582" s="5"/>
      <c r="K1582" s="5" t="s">
        <v>12138</v>
      </c>
    </row>
    <row r="1583" customFormat="false" ht="23.85" hidden="false" customHeight="false" outlineLevel="0" collapsed="false">
      <c r="A1583" s="5" t="s">
        <v>3262</v>
      </c>
      <c r="B1583" s="2" t="s">
        <v>3263</v>
      </c>
      <c r="C1583" s="5" t="s">
        <v>2128</v>
      </c>
      <c r="D1583" s="5" t="s">
        <v>62</v>
      </c>
      <c r="E1583" s="5" t="n">
        <v>5</v>
      </c>
      <c r="F1583" s="5" t="s">
        <v>67</v>
      </c>
      <c r="G1583" s="2" t="s">
        <v>367</v>
      </c>
      <c r="H1583" s="5" t="s">
        <v>8332</v>
      </c>
      <c r="I1583" s="5" t="s">
        <v>60</v>
      </c>
      <c r="J1583" s="5" t="s">
        <v>161</v>
      </c>
      <c r="K1583" s="5" t="s">
        <v>3267</v>
      </c>
    </row>
    <row r="1584" customFormat="false" ht="15" hidden="false" customHeight="false" outlineLevel="0" collapsed="false">
      <c r="A1584" s="5" t="s">
        <v>3268</v>
      </c>
      <c r="B1584" s="2" t="s">
        <v>3269</v>
      </c>
      <c r="C1584" s="5" t="s">
        <v>2128</v>
      </c>
      <c r="D1584" s="5" t="s">
        <v>62</v>
      </c>
      <c r="E1584" s="5" t="n">
        <v>5</v>
      </c>
      <c r="F1584" s="5" t="s">
        <v>67</v>
      </c>
      <c r="G1584" s="2" t="s">
        <v>367</v>
      </c>
      <c r="H1584" s="5" t="s">
        <v>8332</v>
      </c>
      <c r="I1584" s="5" t="s">
        <v>60</v>
      </c>
      <c r="J1584" s="5" t="s">
        <v>161</v>
      </c>
      <c r="K1584" s="5" t="s">
        <v>3273</v>
      </c>
    </row>
    <row r="1585" customFormat="false" ht="46.25" hidden="false" customHeight="false" outlineLevel="0" collapsed="false">
      <c r="A1585" s="5" t="s">
        <v>12139</v>
      </c>
      <c r="B1585" s="2" t="s">
        <v>12140</v>
      </c>
      <c r="C1585" s="5" t="s">
        <v>2245</v>
      </c>
      <c r="D1585" s="5" t="s">
        <v>62</v>
      </c>
      <c r="E1585" s="5" t="n">
        <v>7</v>
      </c>
      <c r="F1585" s="5" t="s">
        <v>90</v>
      </c>
      <c r="G1585" s="2" t="s">
        <v>12054</v>
      </c>
      <c r="H1585" s="5" t="s">
        <v>8336</v>
      </c>
      <c r="I1585" s="5"/>
      <c r="J1585" s="5"/>
      <c r="K1585" s="5" t="s">
        <v>12141</v>
      </c>
    </row>
    <row r="1586" customFormat="false" ht="46.25" hidden="false" customHeight="false" outlineLevel="0" collapsed="false">
      <c r="A1586" s="5" t="s">
        <v>12142</v>
      </c>
      <c r="B1586" s="2" t="s">
        <v>12143</v>
      </c>
      <c r="C1586" s="5" t="s">
        <v>2245</v>
      </c>
      <c r="D1586" s="5" t="s">
        <v>490</v>
      </c>
      <c r="E1586" s="5" t="n">
        <v>7</v>
      </c>
      <c r="F1586" s="5" t="s">
        <v>90</v>
      </c>
      <c r="G1586" s="2" t="s">
        <v>12057</v>
      </c>
      <c r="H1586" s="5" t="s">
        <v>8336</v>
      </c>
      <c r="I1586" s="5"/>
      <c r="J1586" s="5"/>
      <c r="K1586" s="5" t="s">
        <v>12144</v>
      </c>
    </row>
    <row r="1587" customFormat="false" ht="46.25" hidden="false" customHeight="false" outlineLevel="0" collapsed="false">
      <c r="A1587" s="5" t="s">
        <v>12145</v>
      </c>
      <c r="B1587" s="2" t="s">
        <v>12146</v>
      </c>
      <c r="C1587" s="5" t="s">
        <v>2245</v>
      </c>
      <c r="D1587" s="5" t="s">
        <v>62</v>
      </c>
      <c r="E1587" s="5" t="n">
        <v>5</v>
      </c>
      <c r="F1587" s="5" t="s">
        <v>90</v>
      </c>
      <c r="G1587" s="2" t="s">
        <v>12057</v>
      </c>
      <c r="H1587" s="5" t="s">
        <v>8336</v>
      </c>
      <c r="I1587" s="5"/>
      <c r="J1587" s="5"/>
      <c r="K1587" s="5" t="s">
        <v>12147</v>
      </c>
    </row>
    <row r="1588" customFormat="false" ht="46.25" hidden="false" customHeight="false" outlineLevel="0" collapsed="false">
      <c r="A1588" s="5" t="s">
        <v>12148</v>
      </c>
      <c r="B1588" s="2" t="s">
        <v>12149</v>
      </c>
      <c r="C1588" s="5" t="s">
        <v>2245</v>
      </c>
      <c r="D1588" s="5" t="s">
        <v>62</v>
      </c>
      <c r="E1588" s="5" t="n">
        <v>7</v>
      </c>
      <c r="F1588" s="5" t="s">
        <v>90</v>
      </c>
      <c r="G1588" s="2" t="s">
        <v>12057</v>
      </c>
      <c r="H1588" s="5" t="s">
        <v>8336</v>
      </c>
      <c r="I1588" s="5"/>
      <c r="J1588" s="5"/>
      <c r="K1588" s="5" t="s">
        <v>12150</v>
      </c>
    </row>
    <row r="1589" customFormat="false" ht="23.85" hidden="false" customHeight="false" outlineLevel="0" collapsed="false">
      <c r="A1589" s="5" t="s">
        <v>12151</v>
      </c>
      <c r="B1589" s="2" t="s">
        <v>12152</v>
      </c>
      <c r="C1589" s="5" t="s">
        <v>2128</v>
      </c>
      <c r="D1589" s="5" t="s">
        <v>62</v>
      </c>
      <c r="E1589" s="5" t="n">
        <v>5</v>
      </c>
      <c r="F1589" s="5" t="s">
        <v>90</v>
      </c>
      <c r="G1589" s="2" t="s">
        <v>415</v>
      </c>
      <c r="H1589" s="5" t="s">
        <v>8336</v>
      </c>
      <c r="I1589" s="5"/>
      <c r="J1589" s="5"/>
      <c r="K1589" s="5" t="s">
        <v>12153</v>
      </c>
    </row>
    <row r="1590" customFormat="false" ht="15" hidden="false" customHeight="false" outlineLevel="0" collapsed="false">
      <c r="A1590" s="5" t="s">
        <v>12154</v>
      </c>
      <c r="B1590" s="2" t="s">
        <v>12155</v>
      </c>
      <c r="C1590" s="5" t="s">
        <v>2128</v>
      </c>
      <c r="D1590" s="5" t="s">
        <v>62</v>
      </c>
      <c r="E1590" s="5" t="n">
        <v>5</v>
      </c>
      <c r="F1590" s="5" t="s">
        <v>1814</v>
      </c>
      <c r="G1590" s="2" t="s">
        <v>367</v>
      </c>
      <c r="H1590" s="5" t="s">
        <v>8336</v>
      </c>
      <c r="I1590" s="5"/>
      <c r="J1590" s="5"/>
      <c r="K1590" s="5" t="s">
        <v>12156</v>
      </c>
    </row>
    <row r="1591" customFormat="false" ht="15" hidden="false" customHeight="false" outlineLevel="0" collapsed="false">
      <c r="A1591" s="5" t="s">
        <v>12157</v>
      </c>
      <c r="B1591" s="2" t="s">
        <v>12158</v>
      </c>
      <c r="C1591" s="5" t="s">
        <v>2128</v>
      </c>
      <c r="D1591" s="5" t="s">
        <v>62</v>
      </c>
      <c r="E1591" s="5" t="n">
        <v>5</v>
      </c>
      <c r="F1591" s="5" t="s">
        <v>1814</v>
      </c>
      <c r="G1591" s="2" t="s">
        <v>367</v>
      </c>
      <c r="H1591" s="5" t="s">
        <v>8336</v>
      </c>
      <c r="I1591" s="5"/>
      <c r="J1591" s="5"/>
      <c r="K1591" s="5" t="s">
        <v>12159</v>
      </c>
    </row>
    <row r="1592" customFormat="false" ht="15" hidden="false" customHeight="false" outlineLevel="0" collapsed="false">
      <c r="A1592" s="5" t="s">
        <v>12160</v>
      </c>
      <c r="B1592" s="2" t="s">
        <v>12161</v>
      </c>
      <c r="C1592" s="5" t="s">
        <v>2128</v>
      </c>
      <c r="D1592" s="5" t="s">
        <v>62</v>
      </c>
      <c r="E1592" s="5" t="n">
        <v>5</v>
      </c>
      <c r="F1592" s="5" t="s">
        <v>413</v>
      </c>
      <c r="G1592" s="2" t="s">
        <v>367</v>
      </c>
      <c r="H1592" s="5" t="s">
        <v>8336</v>
      </c>
      <c r="I1592" s="5"/>
      <c r="J1592" s="5"/>
      <c r="K1592" s="5" t="s">
        <v>12162</v>
      </c>
    </row>
    <row r="1593" customFormat="false" ht="46.25" hidden="false" customHeight="false" outlineLevel="0" collapsed="false">
      <c r="A1593" s="5" t="s">
        <v>12163</v>
      </c>
      <c r="B1593" s="2" t="s">
        <v>12164</v>
      </c>
      <c r="C1593" s="5" t="s">
        <v>2245</v>
      </c>
      <c r="D1593" s="5" t="s">
        <v>62</v>
      </c>
      <c r="E1593" s="5" t="n">
        <v>5</v>
      </c>
      <c r="F1593" s="5" t="s">
        <v>413</v>
      </c>
      <c r="G1593" s="2" t="s">
        <v>12057</v>
      </c>
      <c r="H1593" s="5" t="s">
        <v>8336</v>
      </c>
      <c r="I1593" s="5"/>
      <c r="J1593" s="5"/>
      <c r="K1593" s="5" t="s">
        <v>12165</v>
      </c>
    </row>
    <row r="1594" customFormat="false" ht="23.85" hidden="false" customHeight="false" outlineLevel="0" collapsed="false">
      <c r="A1594" s="5" t="s">
        <v>3274</v>
      </c>
      <c r="B1594" s="2" t="s">
        <v>3275</v>
      </c>
      <c r="C1594" s="5" t="s">
        <v>2128</v>
      </c>
      <c r="D1594" s="5" t="s">
        <v>62</v>
      </c>
      <c r="E1594" s="5" t="n">
        <v>3</v>
      </c>
      <c r="F1594" s="5" t="s">
        <v>536</v>
      </c>
      <c r="G1594" s="2" t="s">
        <v>184</v>
      </c>
      <c r="H1594" s="5" t="s">
        <v>8332</v>
      </c>
      <c r="I1594" s="5" t="s">
        <v>60</v>
      </c>
      <c r="J1594" s="5" t="s">
        <v>269</v>
      </c>
      <c r="K1594" s="5" t="s">
        <v>3279</v>
      </c>
    </row>
    <row r="1595" customFormat="false" ht="15" hidden="false" customHeight="false" outlineLevel="0" collapsed="false">
      <c r="A1595" s="5" t="s">
        <v>12166</v>
      </c>
      <c r="B1595" s="2" t="s">
        <v>12167</v>
      </c>
      <c r="C1595" s="5" t="s">
        <v>2128</v>
      </c>
      <c r="D1595" s="5" t="s">
        <v>62</v>
      </c>
      <c r="E1595" s="5" t="n">
        <v>5</v>
      </c>
      <c r="F1595" s="5" t="s">
        <v>67</v>
      </c>
      <c r="G1595" s="2" t="s">
        <v>367</v>
      </c>
      <c r="H1595" s="5" t="s">
        <v>8336</v>
      </c>
      <c r="I1595" s="5"/>
      <c r="J1595" s="5"/>
      <c r="K1595" s="5" t="s">
        <v>12168</v>
      </c>
    </row>
    <row r="1596" customFormat="false" ht="23.85" hidden="false" customHeight="false" outlineLevel="0" collapsed="false">
      <c r="A1596" s="5" t="s">
        <v>12169</v>
      </c>
      <c r="B1596" s="2" t="s">
        <v>12170</v>
      </c>
      <c r="C1596" s="5" t="s">
        <v>2128</v>
      </c>
      <c r="D1596" s="5" t="s">
        <v>62</v>
      </c>
      <c r="E1596" s="5" t="n">
        <v>5</v>
      </c>
      <c r="F1596" s="5" t="s">
        <v>90</v>
      </c>
      <c r="G1596" s="2" t="s">
        <v>367</v>
      </c>
      <c r="H1596" s="5" t="s">
        <v>8336</v>
      </c>
      <c r="I1596" s="5"/>
      <c r="J1596" s="5"/>
      <c r="K1596" s="5" t="s">
        <v>12171</v>
      </c>
    </row>
    <row r="1597" customFormat="false" ht="46.25" hidden="false" customHeight="false" outlineLevel="0" collapsed="false">
      <c r="A1597" s="5" t="s">
        <v>12172</v>
      </c>
      <c r="B1597" s="2" t="s">
        <v>12173</v>
      </c>
      <c r="C1597" s="5" t="s">
        <v>2245</v>
      </c>
      <c r="D1597" s="5" t="s">
        <v>490</v>
      </c>
      <c r="E1597" s="5" t="n">
        <v>5</v>
      </c>
      <c r="F1597" s="5" t="s">
        <v>413</v>
      </c>
      <c r="G1597" s="2" t="s">
        <v>12174</v>
      </c>
      <c r="H1597" s="5" t="s">
        <v>8336</v>
      </c>
      <c r="I1597" s="5"/>
      <c r="J1597" s="5"/>
      <c r="K1597" s="5" t="s">
        <v>12175</v>
      </c>
    </row>
    <row r="1598" customFormat="false" ht="46.25" hidden="false" customHeight="false" outlineLevel="0" collapsed="false">
      <c r="A1598" s="5" t="s">
        <v>12176</v>
      </c>
      <c r="B1598" s="2" t="s">
        <v>12177</v>
      </c>
      <c r="C1598" s="5" t="s">
        <v>2245</v>
      </c>
      <c r="D1598" s="5" t="s">
        <v>490</v>
      </c>
      <c r="E1598" s="5" t="n">
        <v>7</v>
      </c>
      <c r="F1598" s="5" t="s">
        <v>90</v>
      </c>
      <c r="G1598" s="2" t="s">
        <v>12178</v>
      </c>
      <c r="H1598" s="5" t="s">
        <v>8336</v>
      </c>
      <c r="I1598" s="5"/>
      <c r="J1598" s="5"/>
      <c r="K1598" s="5" t="s">
        <v>12179</v>
      </c>
    </row>
    <row r="1599" customFormat="false" ht="23.85" hidden="false" customHeight="false" outlineLevel="0" collapsed="false">
      <c r="A1599" s="5" t="s">
        <v>12180</v>
      </c>
      <c r="B1599" s="2" t="s">
        <v>12181</v>
      </c>
      <c r="C1599" s="5" t="s">
        <v>2128</v>
      </c>
      <c r="D1599" s="5" t="s">
        <v>62</v>
      </c>
      <c r="E1599" s="5" t="n">
        <v>5</v>
      </c>
      <c r="F1599" s="5" t="s">
        <v>90</v>
      </c>
      <c r="G1599" s="2" t="s">
        <v>12182</v>
      </c>
      <c r="H1599" s="5" t="s">
        <v>8336</v>
      </c>
      <c r="I1599" s="5"/>
      <c r="J1599" s="5"/>
      <c r="K1599" s="5" t="s">
        <v>12183</v>
      </c>
    </row>
    <row r="1600" customFormat="false" ht="46.25" hidden="false" customHeight="false" outlineLevel="0" collapsed="false">
      <c r="A1600" s="5" t="s">
        <v>12184</v>
      </c>
      <c r="B1600" s="2" t="s">
        <v>12185</v>
      </c>
      <c r="C1600" s="5" t="s">
        <v>2245</v>
      </c>
      <c r="D1600" s="5" t="s">
        <v>490</v>
      </c>
      <c r="E1600" s="5" t="n">
        <v>5</v>
      </c>
      <c r="F1600" s="5" t="s">
        <v>90</v>
      </c>
      <c r="G1600" s="2" t="s">
        <v>12178</v>
      </c>
      <c r="H1600" s="5" t="s">
        <v>8336</v>
      </c>
      <c r="I1600" s="5"/>
      <c r="J1600" s="5"/>
      <c r="K1600" s="5" t="s">
        <v>12186</v>
      </c>
    </row>
    <row r="1601" customFormat="false" ht="23.85" hidden="false" customHeight="false" outlineLevel="0" collapsed="false">
      <c r="A1601" s="5" t="s">
        <v>12187</v>
      </c>
      <c r="B1601" s="2" t="s">
        <v>12188</v>
      </c>
      <c r="C1601" s="5" t="s">
        <v>2128</v>
      </c>
      <c r="D1601" s="5" t="s">
        <v>62</v>
      </c>
      <c r="E1601" s="5" t="n">
        <v>5</v>
      </c>
      <c r="F1601" s="5" t="s">
        <v>90</v>
      </c>
      <c r="G1601" s="2" t="s">
        <v>367</v>
      </c>
      <c r="H1601" s="5" t="s">
        <v>8336</v>
      </c>
      <c r="I1601" s="5"/>
      <c r="J1601" s="5"/>
      <c r="K1601" s="5" t="s">
        <v>12189</v>
      </c>
    </row>
    <row r="1602" customFormat="false" ht="23.85" hidden="false" customHeight="false" outlineLevel="0" collapsed="false">
      <c r="A1602" s="5" t="s">
        <v>12190</v>
      </c>
      <c r="B1602" s="2" t="s">
        <v>12191</v>
      </c>
      <c r="C1602" s="5" t="s">
        <v>2128</v>
      </c>
      <c r="D1602" s="5" t="s">
        <v>62</v>
      </c>
      <c r="E1602" s="5" t="n">
        <v>5</v>
      </c>
      <c r="F1602" s="5" t="s">
        <v>90</v>
      </c>
      <c r="G1602" s="2" t="s">
        <v>367</v>
      </c>
      <c r="H1602" s="5" t="s">
        <v>8336</v>
      </c>
      <c r="I1602" s="5"/>
      <c r="J1602" s="5"/>
      <c r="K1602" s="5" t="s">
        <v>12192</v>
      </c>
    </row>
    <row r="1603" customFormat="false" ht="46.25" hidden="false" customHeight="false" outlineLevel="0" collapsed="false">
      <c r="A1603" s="5" t="s">
        <v>12193</v>
      </c>
      <c r="B1603" s="2" t="s">
        <v>12194</v>
      </c>
      <c r="C1603" s="5" t="s">
        <v>2245</v>
      </c>
      <c r="D1603" s="5" t="s">
        <v>62</v>
      </c>
      <c r="E1603" s="5" t="n">
        <v>5</v>
      </c>
      <c r="F1603" s="5" t="s">
        <v>1814</v>
      </c>
      <c r="G1603" s="2" t="s">
        <v>12057</v>
      </c>
      <c r="H1603" s="5" t="s">
        <v>8336</v>
      </c>
      <c r="I1603" s="5"/>
      <c r="J1603" s="5"/>
      <c r="K1603" s="5" t="s">
        <v>12195</v>
      </c>
    </row>
    <row r="1604" customFormat="false" ht="46.25" hidden="false" customHeight="false" outlineLevel="0" collapsed="false">
      <c r="A1604" s="5" t="s">
        <v>12196</v>
      </c>
      <c r="B1604" s="2" t="s">
        <v>12197</v>
      </c>
      <c r="C1604" s="5" t="s">
        <v>2245</v>
      </c>
      <c r="D1604" s="5" t="s">
        <v>62</v>
      </c>
      <c r="E1604" s="5" t="n">
        <v>7</v>
      </c>
      <c r="F1604" s="5" t="s">
        <v>90</v>
      </c>
      <c r="G1604" s="2" t="s">
        <v>12057</v>
      </c>
      <c r="H1604" s="5" t="s">
        <v>8336</v>
      </c>
      <c r="I1604" s="5"/>
      <c r="J1604" s="5"/>
      <c r="K1604" s="5" t="s">
        <v>12198</v>
      </c>
    </row>
    <row r="1605" customFormat="false" ht="46.25" hidden="false" customHeight="false" outlineLevel="0" collapsed="false">
      <c r="A1605" s="5" t="s">
        <v>12199</v>
      </c>
      <c r="B1605" s="2" t="s">
        <v>12200</v>
      </c>
      <c r="C1605" s="5" t="s">
        <v>2245</v>
      </c>
      <c r="D1605" s="5" t="s">
        <v>62</v>
      </c>
      <c r="E1605" s="5" t="n">
        <v>5</v>
      </c>
      <c r="F1605" s="5" t="s">
        <v>90</v>
      </c>
      <c r="G1605" s="2" t="s">
        <v>12057</v>
      </c>
      <c r="H1605" s="5" t="s">
        <v>8336</v>
      </c>
      <c r="I1605" s="5"/>
      <c r="J1605" s="5"/>
      <c r="K1605" s="5" t="s">
        <v>12201</v>
      </c>
    </row>
    <row r="1606" customFormat="false" ht="15" hidden="false" customHeight="false" outlineLevel="0" collapsed="false">
      <c r="A1606" s="5" t="s">
        <v>12202</v>
      </c>
      <c r="B1606" s="2" t="s">
        <v>12203</v>
      </c>
      <c r="C1606" s="5" t="s">
        <v>2128</v>
      </c>
      <c r="D1606" s="5" t="s">
        <v>62</v>
      </c>
      <c r="E1606" s="5" t="n">
        <v>5</v>
      </c>
      <c r="F1606" s="5" t="s">
        <v>90</v>
      </c>
      <c r="G1606" s="2" t="s">
        <v>367</v>
      </c>
      <c r="H1606" s="5" t="s">
        <v>8336</v>
      </c>
      <c r="I1606" s="5"/>
      <c r="J1606" s="5"/>
      <c r="K1606" s="5" t="s">
        <v>12204</v>
      </c>
    </row>
    <row r="1607" customFormat="false" ht="15" hidden="false" customHeight="false" outlineLevel="0" collapsed="false">
      <c r="A1607" s="5" t="s">
        <v>12205</v>
      </c>
      <c r="B1607" s="2" t="s">
        <v>12206</v>
      </c>
      <c r="C1607" s="5" t="s">
        <v>2128</v>
      </c>
      <c r="D1607" s="5" t="s">
        <v>62</v>
      </c>
      <c r="E1607" s="5" t="n">
        <v>5</v>
      </c>
      <c r="F1607" s="5" t="s">
        <v>90</v>
      </c>
      <c r="G1607" s="2" t="s">
        <v>367</v>
      </c>
      <c r="H1607" s="5" t="s">
        <v>8336</v>
      </c>
      <c r="I1607" s="5"/>
      <c r="J1607" s="5"/>
      <c r="K1607" s="5" t="s">
        <v>12207</v>
      </c>
    </row>
    <row r="1608" customFormat="false" ht="23.85" hidden="false" customHeight="false" outlineLevel="0" collapsed="false">
      <c r="A1608" s="5" t="s">
        <v>12208</v>
      </c>
      <c r="B1608" s="2" t="s">
        <v>12209</v>
      </c>
      <c r="C1608" s="5" t="s">
        <v>2128</v>
      </c>
      <c r="D1608" s="5" t="s">
        <v>62</v>
      </c>
      <c r="E1608" s="5" t="n">
        <v>5</v>
      </c>
      <c r="F1608" s="5" t="s">
        <v>544</v>
      </c>
      <c r="G1608" s="2" t="s">
        <v>367</v>
      </c>
      <c r="H1608" s="5" t="s">
        <v>8336</v>
      </c>
      <c r="I1608" s="5"/>
      <c r="J1608" s="5"/>
      <c r="K1608" s="5" t="s">
        <v>12210</v>
      </c>
    </row>
    <row r="1609" customFormat="false" ht="23.85" hidden="false" customHeight="false" outlineLevel="0" collapsed="false">
      <c r="A1609" s="5" t="s">
        <v>12211</v>
      </c>
      <c r="B1609" s="2" t="s">
        <v>12212</v>
      </c>
      <c r="C1609" s="5" t="s">
        <v>2128</v>
      </c>
      <c r="D1609" s="5" t="s">
        <v>62</v>
      </c>
      <c r="E1609" s="5" t="n">
        <v>7</v>
      </c>
      <c r="F1609" s="5" t="s">
        <v>67</v>
      </c>
      <c r="G1609" s="2" t="s">
        <v>367</v>
      </c>
      <c r="H1609" s="5" t="s">
        <v>8336</v>
      </c>
      <c r="I1609" s="5"/>
      <c r="J1609" s="5"/>
      <c r="K1609" s="5" t="s">
        <v>12213</v>
      </c>
    </row>
    <row r="1610" customFormat="false" ht="46.25" hidden="false" customHeight="false" outlineLevel="0" collapsed="false">
      <c r="A1610" s="5" t="s">
        <v>12214</v>
      </c>
      <c r="B1610" s="2" t="s">
        <v>12215</v>
      </c>
      <c r="C1610" s="5" t="s">
        <v>2245</v>
      </c>
      <c r="D1610" s="5" t="s">
        <v>62</v>
      </c>
      <c r="E1610" s="5" t="n">
        <v>5</v>
      </c>
      <c r="F1610" s="5" t="s">
        <v>90</v>
      </c>
      <c r="G1610" s="2" t="s">
        <v>12057</v>
      </c>
      <c r="H1610" s="5" t="s">
        <v>8336</v>
      </c>
      <c r="I1610" s="5"/>
      <c r="J1610" s="5"/>
      <c r="K1610" s="5" t="s">
        <v>12216</v>
      </c>
    </row>
    <row r="1611" customFormat="false" ht="46.25" hidden="false" customHeight="false" outlineLevel="0" collapsed="false">
      <c r="A1611" s="5" t="s">
        <v>12217</v>
      </c>
      <c r="B1611" s="2" t="s">
        <v>12218</v>
      </c>
      <c r="C1611" s="5" t="s">
        <v>2245</v>
      </c>
      <c r="D1611" s="5" t="s">
        <v>62</v>
      </c>
      <c r="E1611" s="5" t="n">
        <v>5</v>
      </c>
      <c r="F1611" s="5" t="s">
        <v>90</v>
      </c>
      <c r="G1611" s="2" t="s">
        <v>12057</v>
      </c>
      <c r="H1611" s="5" t="s">
        <v>8336</v>
      </c>
      <c r="I1611" s="5"/>
      <c r="J1611" s="5"/>
      <c r="K1611" s="5" t="s">
        <v>12219</v>
      </c>
    </row>
    <row r="1612" customFormat="false" ht="46.25" hidden="false" customHeight="false" outlineLevel="0" collapsed="false">
      <c r="A1612" s="5" t="s">
        <v>12220</v>
      </c>
      <c r="B1612" s="2" t="s">
        <v>12221</v>
      </c>
      <c r="C1612" s="5" t="s">
        <v>2245</v>
      </c>
      <c r="D1612" s="5" t="s">
        <v>62</v>
      </c>
      <c r="E1612" s="5" t="n">
        <v>5</v>
      </c>
      <c r="F1612" s="5" t="s">
        <v>90</v>
      </c>
      <c r="G1612" s="2" t="s">
        <v>12057</v>
      </c>
      <c r="H1612" s="5" t="s">
        <v>8336</v>
      </c>
      <c r="I1612" s="5"/>
      <c r="J1612" s="5"/>
      <c r="K1612" s="5" t="s">
        <v>12222</v>
      </c>
    </row>
    <row r="1613" customFormat="false" ht="15" hidden="false" customHeight="false" outlineLevel="0" collapsed="false">
      <c r="A1613" s="5" t="s">
        <v>12223</v>
      </c>
      <c r="B1613" s="2" t="s">
        <v>12224</v>
      </c>
      <c r="C1613" s="5" t="s">
        <v>2128</v>
      </c>
      <c r="D1613" s="5" t="s">
        <v>62</v>
      </c>
      <c r="E1613" s="5" t="n">
        <v>5</v>
      </c>
      <c r="F1613" s="5" t="s">
        <v>90</v>
      </c>
      <c r="G1613" s="2" t="s">
        <v>367</v>
      </c>
      <c r="H1613" s="5" t="s">
        <v>8336</v>
      </c>
      <c r="I1613" s="5"/>
      <c r="J1613" s="5"/>
      <c r="K1613" s="5" t="s">
        <v>12225</v>
      </c>
    </row>
    <row r="1614" customFormat="false" ht="23.85" hidden="false" customHeight="false" outlineLevel="0" collapsed="false">
      <c r="A1614" s="5" t="s">
        <v>3280</v>
      </c>
      <c r="B1614" s="2" t="s">
        <v>3281</v>
      </c>
      <c r="C1614" s="5" t="s">
        <v>2128</v>
      </c>
      <c r="D1614" s="5" t="s">
        <v>62</v>
      </c>
      <c r="E1614" s="5" t="n">
        <v>7</v>
      </c>
      <c r="F1614" s="5" t="s">
        <v>1814</v>
      </c>
      <c r="G1614" s="2" t="s">
        <v>184</v>
      </c>
      <c r="H1614" s="5" t="s">
        <v>8332</v>
      </c>
      <c r="I1614" s="5" t="s">
        <v>60</v>
      </c>
      <c r="J1614" s="5" t="s">
        <v>269</v>
      </c>
      <c r="K1614" s="5" t="s">
        <v>3286</v>
      </c>
    </row>
    <row r="1615" customFormat="false" ht="46.25" hidden="false" customHeight="false" outlineLevel="0" collapsed="false">
      <c r="A1615" s="5" t="s">
        <v>3287</v>
      </c>
      <c r="B1615" s="2" t="s">
        <v>3288</v>
      </c>
      <c r="C1615" s="5" t="s">
        <v>2245</v>
      </c>
      <c r="D1615" s="5" t="s">
        <v>490</v>
      </c>
      <c r="E1615" s="5" t="n">
        <v>7</v>
      </c>
      <c r="F1615" s="5" t="s">
        <v>1210</v>
      </c>
      <c r="G1615" s="2" t="s">
        <v>12057</v>
      </c>
      <c r="H1615" s="5" t="s">
        <v>8332</v>
      </c>
      <c r="I1615" s="5" t="s">
        <v>60</v>
      </c>
      <c r="J1615" s="5" t="s">
        <v>3289</v>
      </c>
      <c r="K1615" s="5" t="s">
        <v>3293</v>
      </c>
    </row>
    <row r="1616" customFormat="false" ht="15" hidden="false" customHeight="false" outlineLevel="0" collapsed="false">
      <c r="A1616" s="5" t="s">
        <v>12226</v>
      </c>
      <c r="B1616" s="2" t="s">
        <v>12227</v>
      </c>
      <c r="C1616" s="5" t="s">
        <v>2128</v>
      </c>
      <c r="D1616" s="5" t="s">
        <v>62</v>
      </c>
      <c r="E1616" s="5" t="n">
        <v>5</v>
      </c>
      <c r="F1616" s="5" t="s">
        <v>1210</v>
      </c>
      <c r="G1616" s="2" t="s">
        <v>367</v>
      </c>
      <c r="H1616" s="5" t="s">
        <v>8336</v>
      </c>
      <c r="I1616" s="5"/>
      <c r="J1616" s="5"/>
      <c r="K1616" s="5" t="s">
        <v>12228</v>
      </c>
    </row>
    <row r="1617" customFormat="false" ht="15" hidden="false" customHeight="false" outlineLevel="0" collapsed="false">
      <c r="A1617" s="5" t="s">
        <v>12229</v>
      </c>
      <c r="B1617" s="2" t="s">
        <v>12230</v>
      </c>
      <c r="C1617" s="5" t="s">
        <v>2128</v>
      </c>
      <c r="D1617" s="5" t="s">
        <v>62</v>
      </c>
      <c r="E1617" s="5" t="n">
        <v>5</v>
      </c>
      <c r="F1617" s="5" t="s">
        <v>1210</v>
      </c>
      <c r="G1617" s="2" t="s">
        <v>367</v>
      </c>
      <c r="H1617" s="5" t="s">
        <v>8336</v>
      </c>
      <c r="I1617" s="5"/>
      <c r="J1617" s="5"/>
      <c r="K1617" s="5" t="s">
        <v>12231</v>
      </c>
    </row>
    <row r="1618" customFormat="false" ht="23.85" hidden="false" customHeight="false" outlineLevel="0" collapsed="false">
      <c r="A1618" s="5" t="s">
        <v>12232</v>
      </c>
      <c r="B1618" s="2" t="s">
        <v>12233</v>
      </c>
      <c r="C1618" s="5" t="s">
        <v>2128</v>
      </c>
      <c r="D1618" s="5" t="s">
        <v>62</v>
      </c>
      <c r="E1618" s="5" t="n">
        <v>9</v>
      </c>
      <c r="F1618" s="5" t="s">
        <v>536</v>
      </c>
      <c r="G1618" s="2" t="s">
        <v>1513</v>
      </c>
      <c r="H1618" s="5" t="s">
        <v>8336</v>
      </c>
      <c r="I1618" s="5"/>
      <c r="J1618" s="5"/>
      <c r="K1618" s="5" t="s">
        <v>12234</v>
      </c>
    </row>
    <row r="1619" customFormat="false" ht="15" hidden="false" customHeight="false" outlineLevel="0" collapsed="false">
      <c r="A1619" s="5" t="s">
        <v>12235</v>
      </c>
      <c r="B1619" s="2" t="s">
        <v>12236</v>
      </c>
      <c r="C1619" s="5" t="s">
        <v>2128</v>
      </c>
      <c r="D1619" s="5" t="s">
        <v>62</v>
      </c>
      <c r="E1619" s="5" t="n">
        <v>7</v>
      </c>
      <c r="F1619" s="5" t="s">
        <v>67</v>
      </c>
      <c r="G1619" s="2" t="s">
        <v>367</v>
      </c>
      <c r="H1619" s="5" t="s">
        <v>8336</v>
      </c>
      <c r="I1619" s="5"/>
      <c r="J1619" s="5"/>
      <c r="K1619" s="5" t="s">
        <v>12237</v>
      </c>
    </row>
    <row r="1620" customFormat="false" ht="23.85" hidden="false" customHeight="false" outlineLevel="0" collapsed="false">
      <c r="A1620" s="5" t="s">
        <v>12238</v>
      </c>
      <c r="B1620" s="2" t="s">
        <v>12239</v>
      </c>
      <c r="C1620" s="5" t="s">
        <v>2128</v>
      </c>
      <c r="D1620" s="5" t="s">
        <v>62</v>
      </c>
      <c r="E1620" s="5" t="n">
        <v>7</v>
      </c>
      <c r="F1620" s="5" t="s">
        <v>67</v>
      </c>
      <c r="G1620" s="2" t="s">
        <v>367</v>
      </c>
      <c r="H1620" s="5" t="s">
        <v>8336</v>
      </c>
      <c r="I1620" s="5"/>
      <c r="J1620" s="5"/>
      <c r="K1620" s="5" t="s">
        <v>12240</v>
      </c>
    </row>
    <row r="1621" customFormat="false" ht="46.25" hidden="false" customHeight="false" outlineLevel="0" collapsed="false">
      <c r="A1621" s="5" t="s">
        <v>267</v>
      </c>
      <c r="B1621" s="2" t="s">
        <v>268</v>
      </c>
      <c r="C1621" s="5" t="s">
        <v>59</v>
      </c>
      <c r="D1621" s="5" t="s">
        <v>62</v>
      </c>
      <c r="E1621" s="5" t="n">
        <v>9</v>
      </c>
      <c r="F1621" s="5" t="s">
        <v>90</v>
      </c>
      <c r="G1621" s="2" t="s">
        <v>12078</v>
      </c>
      <c r="H1621" s="5" t="s">
        <v>8332</v>
      </c>
      <c r="I1621" s="5" t="s">
        <v>60</v>
      </c>
      <c r="J1621" s="5" t="s">
        <v>269</v>
      </c>
      <c r="K1621" s="5" t="s">
        <v>273</v>
      </c>
    </row>
    <row r="1622" customFormat="false" ht="46.25" hidden="false" customHeight="false" outlineLevel="0" collapsed="false">
      <c r="A1622" s="5" t="s">
        <v>12241</v>
      </c>
      <c r="B1622" s="2" t="s">
        <v>12242</v>
      </c>
      <c r="C1622" s="5" t="s">
        <v>2245</v>
      </c>
      <c r="D1622" s="5" t="s">
        <v>62</v>
      </c>
      <c r="E1622" s="5" t="n">
        <v>3</v>
      </c>
      <c r="F1622" s="5" t="s">
        <v>277</v>
      </c>
      <c r="G1622" s="2" t="s">
        <v>12054</v>
      </c>
      <c r="H1622" s="5" t="s">
        <v>8336</v>
      </c>
      <c r="I1622" s="5"/>
      <c r="J1622" s="5"/>
      <c r="K1622" s="5" t="s">
        <v>12243</v>
      </c>
    </row>
    <row r="1623" customFormat="false" ht="46.25" hidden="false" customHeight="false" outlineLevel="0" collapsed="false">
      <c r="A1623" s="5" t="s">
        <v>12244</v>
      </c>
      <c r="B1623" s="2" t="s">
        <v>12245</v>
      </c>
      <c r="C1623" s="5" t="s">
        <v>2245</v>
      </c>
      <c r="D1623" s="5" t="s">
        <v>62</v>
      </c>
      <c r="E1623" s="5" t="n">
        <v>5</v>
      </c>
      <c r="F1623" s="5" t="s">
        <v>1210</v>
      </c>
      <c r="G1623" s="2" t="s">
        <v>12054</v>
      </c>
      <c r="H1623" s="5" t="s">
        <v>8336</v>
      </c>
      <c r="I1623" s="5"/>
      <c r="J1623" s="5"/>
      <c r="K1623" s="5" t="s">
        <v>12246</v>
      </c>
    </row>
    <row r="1624" customFormat="false" ht="15" hidden="false" customHeight="false" outlineLevel="0" collapsed="false">
      <c r="A1624" s="5" t="s">
        <v>1152</v>
      </c>
      <c r="B1624" s="2" t="s">
        <v>1153</v>
      </c>
      <c r="C1624" s="5" t="s">
        <v>488</v>
      </c>
      <c r="D1624" s="5" t="s">
        <v>62</v>
      </c>
      <c r="E1624" s="5" t="n">
        <v>5</v>
      </c>
      <c r="F1624" s="5" t="s">
        <v>100</v>
      </c>
      <c r="G1624" s="2" t="s">
        <v>367</v>
      </c>
      <c r="H1624" s="5" t="s">
        <v>8332</v>
      </c>
      <c r="I1624" s="5" t="s">
        <v>60</v>
      </c>
      <c r="J1624" s="5" t="s">
        <v>100</v>
      </c>
      <c r="K1624" s="5" t="s">
        <v>1157</v>
      </c>
    </row>
    <row r="1625" customFormat="false" ht="23.85" hidden="false" customHeight="false" outlineLevel="0" collapsed="false">
      <c r="A1625" s="5" t="s">
        <v>12247</v>
      </c>
      <c r="B1625" s="2" t="s">
        <v>12248</v>
      </c>
      <c r="C1625" s="5" t="s">
        <v>2128</v>
      </c>
      <c r="D1625" s="5" t="s">
        <v>62</v>
      </c>
      <c r="E1625" s="5" t="n">
        <v>5</v>
      </c>
      <c r="F1625" s="5" t="s">
        <v>90</v>
      </c>
      <c r="G1625" s="2" t="s">
        <v>367</v>
      </c>
      <c r="H1625" s="5" t="s">
        <v>8336</v>
      </c>
      <c r="I1625" s="5"/>
      <c r="J1625" s="5"/>
      <c r="K1625" s="5" t="s">
        <v>12249</v>
      </c>
    </row>
    <row r="1626" customFormat="false" ht="23.85" hidden="false" customHeight="false" outlineLevel="0" collapsed="false">
      <c r="A1626" s="5" t="s">
        <v>12250</v>
      </c>
      <c r="B1626" s="2" t="s">
        <v>12251</v>
      </c>
      <c r="C1626" s="5" t="s">
        <v>2128</v>
      </c>
      <c r="D1626" s="5" t="s">
        <v>62</v>
      </c>
      <c r="E1626" s="5" t="n">
        <v>5</v>
      </c>
      <c r="F1626" s="5" t="s">
        <v>90</v>
      </c>
      <c r="G1626" s="2" t="s">
        <v>367</v>
      </c>
      <c r="H1626" s="5" t="s">
        <v>8336</v>
      </c>
      <c r="I1626" s="5"/>
      <c r="J1626" s="5"/>
      <c r="K1626" s="5" t="s">
        <v>12252</v>
      </c>
    </row>
    <row r="1627" customFormat="false" ht="23.85" hidden="false" customHeight="false" outlineLevel="0" collapsed="false">
      <c r="A1627" s="5" t="s">
        <v>3294</v>
      </c>
      <c r="B1627" s="2" t="s">
        <v>3295</v>
      </c>
      <c r="C1627" s="5" t="s">
        <v>2128</v>
      </c>
      <c r="D1627" s="5" t="s">
        <v>62</v>
      </c>
      <c r="E1627" s="5" t="n">
        <v>5</v>
      </c>
      <c r="F1627" s="5" t="s">
        <v>277</v>
      </c>
      <c r="G1627" s="2" t="s">
        <v>184</v>
      </c>
      <c r="H1627" s="5" t="s">
        <v>8332</v>
      </c>
      <c r="I1627" s="5" t="s">
        <v>60</v>
      </c>
      <c r="J1627" s="5" t="s">
        <v>3296</v>
      </c>
      <c r="K1627" s="5" t="s">
        <v>3301</v>
      </c>
    </row>
    <row r="1628" customFormat="false" ht="23.85" hidden="false" customHeight="false" outlineLevel="0" collapsed="false">
      <c r="A1628" s="5" t="s">
        <v>3302</v>
      </c>
      <c r="B1628" s="2" t="s">
        <v>3303</v>
      </c>
      <c r="C1628" s="5" t="s">
        <v>2128</v>
      </c>
      <c r="D1628" s="5" t="s">
        <v>62</v>
      </c>
      <c r="E1628" s="5" t="n">
        <v>5</v>
      </c>
      <c r="F1628" s="5" t="s">
        <v>277</v>
      </c>
      <c r="G1628" s="2" t="s">
        <v>184</v>
      </c>
      <c r="H1628" s="5" t="s">
        <v>8332</v>
      </c>
      <c r="I1628" s="5" t="s">
        <v>60</v>
      </c>
      <c r="J1628" s="5" t="s">
        <v>3296</v>
      </c>
      <c r="K1628" s="5" t="s">
        <v>3306</v>
      </c>
    </row>
    <row r="1629" customFormat="false" ht="46.25" hidden="false" customHeight="false" outlineLevel="0" collapsed="false">
      <c r="A1629" s="5" t="s">
        <v>6131</v>
      </c>
      <c r="B1629" s="2" t="s">
        <v>6132</v>
      </c>
      <c r="C1629" s="5" t="s">
        <v>2245</v>
      </c>
      <c r="D1629" s="5" t="s">
        <v>490</v>
      </c>
      <c r="E1629" s="5" t="n">
        <v>7</v>
      </c>
      <c r="F1629" s="5" t="s">
        <v>2079</v>
      </c>
      <c r="G1629" s="2" t="s">
        <v>12057</v>
      </c>
      <c r="H1629" s="5" t="s">
        <v>8332</v>
      </c>
      <c r="I1629" s="5" t="s">
        <v>4760</v>
      </c>
      <c r="J1629" s="5" t="s">
        <v>2079</v>
      </c>
      <c r="K1629" s="5" t="s">
        <v>6135</v>
      </c>
    </row>
    <row r="1630" customFormat="false" ht="23.85" hidden="false" customHeight="false" outlineLevel="0" collapsed="false">
      <c r="A1630" s="5" t="s">
        <v>12253</v>
      </c>
      <c r="B1630" s="2" t="s">
        <v>12254</v>
      </c>
      <c r="C1630" s="5" t="s">
        <v>2128</v>
      </c>
      <c r="D1630" s="5" t="s">
        <v>62</v>
      </c>
      <c r="E1630" s="5" t="n">
        <v>5</v>
      </c>
      <c r="F1630" s="5" t="s">
        <v>67</v>
      </c>
      <c r="G1630" s="2" t="s">
        <v>1513</v>
      </c>
      <c r="H1630" s="5" t="s">
        <v>8336</v>
      </c>
      <c r="I1630" s="5"/>
      <c r="J1630" s="5"/>
      <c r="K1630" s="5" t="s">
        <v>12255</v>
      </c>
    </row>
    <row r="1631" customFormat="false" ht="46.25" hidden="false" customHeight="false" outlineLevel="0" collapsed="false">
      <c r="A1631" s="5" t="s">
        <v>12256</v>
      </c>
      <c r="B1631" s="2" t="s">
        <v>12257</v>
      </c>
      <c r="C1631" s="5" t="s">
        <v>2245</v>
      </c>
      <c r="D1631" s="5" t="s">
        <v>62</v>
      </c>
      <c r="E1631" s="5" t="n">
        <v>5</v>
      </c>
      <c r="F1631" s="5" t="s">
        <v>536</v>
      </c>
      <c r="G1631" s="2" t="s">
        <v>12057</v>
      </c>
      <c r="H1631" s="5" t="s">
        <v>8336</v>
      </c>
      <c r="I1631" s="5"/>
      <c r="J1631" s="5"/>
      <c r="K1631" s="5" t="s">
        <v>12258</v>
      </c>
    </row>
    <row r="1632" customFormat="false" ht="23.85" hidden="false" customHeight="false" outlineLevel="0" collapsed="false">
      <c r="A1632" s="5" t="s">
        <v>12259</v>
      </c>
      <c r="B1632" s="2" t="s">
        <v>12260</v>
      </c>
      <c r="C1632" s="5" t="s">
        <v>2128</v>
      </c>
      <c r="D1632" s="5" t="s">
        <v>62</v>
      </c>
      <c r="E1632" s="5" t="n">
        <v>7</v>
      </c>
      <c r="F1632" s="5" t="s">
        <v>67</v>
      </c>
      <c r="G1632" s="2" t="s">
        <v>367</v>
      </c>
      <c r="H1632" s="5" t="s">
        <v>8336</v>
      </c>
      <c r="I1632" s="5"/>
      <c r="J1632" s="5"/>
      <c r="K1632" s="5" t="s">
        <v>12261</v>
      </c>
    </row>
    <row r="1633" customFormat="false" ht="46.25" hidden="false" customHeight="false" outlineLevel="0" collapsed="false">
      <c r="A1633" s="5" t="s">
        <v>12262</v>
      </c>
      <c r="B1633" s="2" t="s">
        <v>12263</v>
      </c>
      <c r="C1633" s="5" t="s">
        <v>2245</v>
      </c>
      <c r="D1633" s="5" t="s">
        <v>62</v>
      </c>
      <c r="E1633" s="5" t="n">
        <v>9</v>
      </c>
      <c r="F1633" s="5" t="s">
        <v>413</v>
      </c>
      <c r="G1633" s="2" t="s">
        <v>12054</v>
      </c>
      <c r="H1633" s="5" t="s">
        <v>8336</v>
      </c>
      <c r="I1633" s="5"/>
      <c r="J1633" s="5"/>
      <c r="K1633" s="5" t="s">
        <v>12264</v>
      </c>
    </row>
    <row r="1634" customFormat="false" ht="15" hidden="false" customHeight="false" outlineLevel="0" collapsed="false">
      <c r="A1634" s="5" t="s">
        <v>12265</v>
      </c>
      <c r="B1634" s="2" t="s">
        <v>12266</v>
      </c>
      <c r="C1634" s="5" t="s">
        <v>2128</v>
      </c>
      <c r="D1634" s="5" t="s">
        <v>62</v>
      </c>
      <c r="E1634" s="5" t="n">
        <v>7</v>
      </c>
      <c r="F1634" s="5" t="s">
        <v>90</v>
      </c>
      <c r="G1634" s="2" t="s">
        <v>367</v>
      </c>
      <c r="H1634" s="5" t="s">
        <v>8336</v>
      </c>
      <c r="I1634" s="5"/>
      <c r="J1634" s="5"/>
      <c r="K1634" s="5" t="s">
        <v>12267</v>
      </c>
    </row>
    <row r="1635" customFormat="false" ht="46.25" hidden="false" customHeight="false" outlineLevel="0" collapsed="false">
      <c r="A1635" s="5" t="s">
        <v>12268</v>
      </c>
      <c r="B1635" s="2" t="s">
        <v>12269</v>
      </c>
      <c r="C1635" s="5" t="s">
        <v>2245</v>
      </c>
      <c r="D1635" s="5" t="s">
        <v>62</v>
      </c>
      <c r="E1635" s="5" t="n">
        <v>5</v>
      </c>
      <c r="F1635" s="5" t="s">
        <v>90</v>
      </c>
      <c r="G1635" s="2" t="s">
        <v>12057</v>
      </c>
      <c r="H1635" s="5" t="s">
        <v>8336</v>
      </c>
      <c r="I1635" s="5"/>
      <c r="J1635" s="5"/>
      <c r="K1635" s="5" t="s">
        <v>12270</v>
      </c>
    </row>
    <row r="1636" customFormat="false" ht="46.25" hidden="false" customHeight="false" outlineLevel="0" collapsed="false">
      <c r="A1636" s="5" t="s">
        <v>12271</v>
      </c>
      <c r="B1636" s="2" t="s">
        <v>12272</v>
      </c>
      <c r="C1636" s="5" t="s">
        <v>2245</v>
      </c>
      <c r="D1636" s="5" t="s">
        <v>62</v>
      </c>
      <c r="E1636" s="5" t="n">
        <v>3</v>
      </c>
      <c r="F1636" s="5" t="s">
        <v>90</v>
      </c>
      <c r="G1636" s="2" t="s">
        <v>12057</v>
      </c>
      <c r="H1636" s="5" t="s">
        <v>8336</v>
      </c>
      <c r="I1636" s="5"/>
      <c r="J1636" s="5"/>
      <c r="K1636" s="5" t="s">
        <v>12273</v>
      </c>
    </row>
    <row r="1637" customFormat="false" ht="23.85" hidden="false" customHeight="false" outlineLevel="0" collapsed="false">
      <c r="A1637" s="5" t="s">
        <v>3307</v>
      </c>
      <c r="B1637" s="2" t="s">
        <v>3308</v>
      </c>
      <c r="C1637" s="5" t="s">
        <v>2128</v>
      </c>
      <c r="D1637" s="5" t="s">
        <v>62</v>
      </c>
      <c r="E1637" s="5" t="n">
        <v>7</v>
      </c>
      <c r="F1637" s="5" t="s">
        <v>67</v>
      </c>
      <c r="G1637" s="2" t="s">
        <v>184</v>
      </c>
      <c r="H1637" s="5" t="s">
        <v>8332</v>
      </c>
      <c r="I1637" s="5" t="s">
        <v>60</v>
      </c>
      <c r="J1637" s="5" t="s">
        <v>269</v>
      </c>
      <c r="K1637" s="5" t="s">
        <v>3313</v>
      </c>
    </row>
    <row r="1638" customFormat="false" ht="23.85" hidden="false" customHeight="false" outlineLevel="0" collapsed="false">
      <c r="A1638" s="5" t="s">
        <v>3314</v>
      </c>
      <c r="B1638" s="2" t="s">
        <v>3315</v>
      </c>
      <c r="C1638" s="5" t="s">
        <v>2128</v>
      </c>
      <c r="D1638" s="5" t="s">
        <v>62</v>
      </c>
      <c r="E1638" s="5" t="n">
        <v>7</v>
      </c>
      <c r="F1638" s="5" t="s">
        <v>67</v>
      </c>
      <c r="G1638" s="2" t="s">
        <v>184</v>
      </c>
      <c r="H1638" s="5" t="s">
        <v>8332</v>
      </c>
      <c r="I1638" s="5" t="s">
        <v>60</v>
      </c>
      <c r="J1638" s="5" t="s">
        <v>269</v>
      </c>
      <c r="K1638" s="5" t="s">
        <v>3318</v>
      </c>
    </row>
    <row r="1639" customFormat="false" ht="23.85" hidden="false" customHeight="false" outlineLevel="0" collapsed="false">
      <c r="A1639" s="5" t="s">
        <v>12274</v>
      </c>
      <c r="B1639" s="2" t="s">
        <v>12275</v>
      </c>
      <c r="C1639" s="5" t="s">
        <v>2128</v>
      </c>
      <c r="D1639" s="5" t="s">
        <v>62</v>
      </c>
      <c r="E1639" s="5" t="n">
        <v>7</v>
      </c>
      <c r="F1639" s="5" t="s">
        <v>67</v>
      </c>
      <c r="G1639" s="2" t="s">
        <v>12276</v>
      </c>
      <c r="H1639" s="5" t="s">
        <v>8336</v>
      </c>
      <c r="I1639" s="5"/>
      <c r="J1639" s="5"/>
      <c r="K1639" s="5" t="s">
        <v>12277</v>
      </c>
    </row>
    <row r="1640" customFormat="false" ht="23.85" hidden="false" customHeight="false" outlineLevel="0" collapsed="false">
      <c r="A1640" s="5" t="s">
        <v>3319</v>
      </c>
      <c r="B1640" s="2" t="s">
        <v>3320</v>
      </c>
      <c r="C1640" s="5" t="s">
        <v>2128</v>
      </c>
      <c r="D1640" s="5" t="s">
        <v>62</v>
      </c>
      <c r="E1640" s="5" t="n">
        <v>5</v>
      </c>
      <c r="F1640" s="5" t="s">
        <v>67</v>
      </c>
      <c r="G1640" s="2" t="s">
        <v>184</v>
      </c>
      <c r="H1640" s="5" t="s">
        <v>8332</v>
      </c>
      <c r="I1640" s="5" t="s">
        <v>60</v>
      </c>
      <c r="J1640" s="5" t="s">
        <v>269</v>
      </c>
      <c r="K1640" s="5" t="s">
        <v>3324</v>
      </c>
    </row>
    <row r="1641" customFormat="false" ht="23.85" hidden="false" customHeight="false" outlineLevel="0" collapsed="false">
      <c r="A1641" s="5" t="s">
        <v>12278</v>
      </c>
      <c r="B1641" s="2" t="s">
        <v>12279</v>
      </c>
      <c r="C1641" s="5" t="s">
        <v>2128</v>
      </c>
      <c r="D1641" s="5" t="s">
        <v>62</v>
      </c>
      <c r="E1641" s="5" t="n">
        <v>5</v>
      </c>
      <c r="F1641" s="5" t="s">
        <v>67</v>
      </c>
      <c r="G1641" s="2" t="s">
        <v>12276</v>
      </c>
      <c r="H1641" s="5" t="s">
        <v>8336</v>
      </c>
      <c r="I1641" s="5"/>
      <c r="J1641" s="5"/>
      <c r="K1641" s="5" t="s">
        <v>12280</v>
      </c>
    </row>
    <row r="1642" customFormat="false" ht="15" hidden="false" customHeight="false" outlineLevel="0" collapsed="false">
      <c r="A1642" s="5" t="s">
        <v>1158</v>
      </c>
      <c r="B1642" s="2" t="s">
        <v>1159</v>
      </c>
      <c r="C1642" s="5" t="s">
        <v>488</v>
      </c>
      <c r="D1642" s="5" t="s">
        <v>62</v>
      </c>
      <c r="E1642" s="5" t="n">
        <v>7</v>
      </c>
      <c r="F1642" s="5" t="s">
        <v>277</v>
      </c>
      <c r="G1642" s="2" t="s">
        <v>367</v>
      </c>
      <c r="H1642" s="5" t="s">
        <v>8332</v>
      </c>
      <c r="I1642" s="5" t="s">
        <v>60</v>
      </c>
      <c r="J1642" s="5" t="s">
        <v>751</v>
      </c>
      <c r="K1642" s="5" t="s">
        <v>1165</v>
      </c>
    </row>
    <row r="1643" customFormat="false" ht="46.25" hidden="false" customHeight="false" outlineLevel="0" collapsed="false">
      <c r="A1643" s="5" t="s">
        <v>274</v>
      </c>
      <c r="B1643" s="2" t="s">
        <v>275</v>
      </c>
      <c r="C1643" s="5" t="s">
        <v>59</v>
      </c>
      <c r="D1643" s="5" t="s">
        <v>62</v>
      </c>
      <c r="E1643" s="5" t="n">
        <v>9</v>
      </c>
      <c r="F1643" s="5" t="s">
        <v>277</v>
      </c>
      <c r="G1643" s="2" t="s">
        <v>12078</v>
      </c>
      <c r="H1643" s="5" t="s">
        <v>8332</v>
      </c>
      <c r="I1643" s="5" t="s">
        <v>60</v>
      </c>
      <c r="J1643" s="5" t="s">
        <v>276</v>
      </c>
      <c r="K1643" s="5" t="s">
        <v>281</v>
      </c>
    </row>
    <row r="1644" customFormat="false" ht="23.85" hidden="false" customHeight="false" outlineLevel="0" collapsed="false">
      <c r="A1644" s="5" t="s">
        <v>12281</v>
      </c>
      <c r="B1644" s="2" t="s">
        <v>12282</v>
      </c>
      <c r="C1644" s="5" t="s">
        <v>2128</v>
      </c>
      <c r="D1644" s="5" t="s">
        <v>62</v>
      </c>
      <c r="E1644" s="5" t="n">
        <v>7</v>
      </c>
      <c r="F1644" s="5" t="s">
        <v>536</v>
      </c>
      <c r="G1644" s="2" t="s">
        <v>367</v>
      </c>
      <c r="H1644" s="5" t="s">
        <v>8336</v>
      </c>
      <c r="I1644" s="5"/>
      <c r="J1644" s="5"/>
      <c r="K1644" s="5" t="s">
        <v>12283</v>
      </c>
    </row>
    <row r="1645" customFormat="false" ht="46.25" hidden="false" customHeight="false" outlineLevel="0" collapsed="false">
      <c r="A1645" s="5" t="s">
        <v>12284</v>
      </c>
      <c r="B1645" s="2" t="s">
        <v>12285</v>
      </c>
      <c r="C1645" s="5" t="s">
        <v>2245</v>
      </c>
      <c r="D1645" s="5" t="s">
        <v>62</v>
      </c>
      <c r="E1645" s="5" t="n">
        <v>3</v>
      </c>
      <c r="F1645" s="5" t="s">
        <v>67</v>
      </c>
      <c r="G1645" s="2" t="s">
        <v>12057</v>
      </c>
      <c r="H1645" s="5" t="s">
        <v>8336</v>
      </c>
      <c r="I1645" s="5"/>
      <c r="J1645" s="5"/>
      <c r="K1645" s="5" t="s">
        <v>12286</v>
      </c>
    </row>
    <row r="1646" customFormat="false" ht="15" hidden="false" customHeight="false" outlineLevel="0" collapsed="false">
      <c r="A1646" s="5" t="s">
        <v>12287</v>
      </c>
      <c r="B1646" s="2" t="s">
        <v>12288</v>
      </c>
      <c r="C1646" s="5" t="s">
        <v>2128</v>
      </c>
      <c r="D1646" s="5" t="s">
        <v>62</v>
      </c>
      <c r="E1646" s="5" t="n">
        <v>5</v>
      </c>
      <c r="F1646" s="5" t="s">
        <v>1210</v>
      </c>
      <c r="G1646" s="2" t="s">
        <v>367</v>
      </c>
      <c r="H1646" s="5" t="s">
        <v>8336</v>
      </c>
      <c r="I1646" s="5"/>
      <c r="J1646" s="5"/>
      <c r="K1646" s="5" t="s">
        <v>12289</v>
      </c>
    </row>
    <row r="1647" customFormat="false" ht="46.25" hidden="false" customHeight="false" outlineLevel="0" collapsed="false">
      <c r="A1647" s="5" t="s">
        <v>3325</v>
      </c>
      <c r="B1647" s="2" t="s">
        <v>3326</v>
      </c>
      <c r="C1647" s="5" t="s">
        <v>2245</v>
      </c>
      <c r="D1647" s="5" t="s">
        <v>62</v>
      </c>
      <c r="E1647" s="5" t="n">
        <v>7</v>
      </c>
      <c r="F1647" s="5" t="s">
        <v>67</v>
      </c>
      <c r="G1647" s="2" t="s">
        <v>12057</v>
      </c>
      <c r="H1647" s="5" t="s">
        <v>8332</v>
      </c>
      <c r="I1647" s="5" t="s">
        <v>60</v>
      </c>
      <c r="J1647" s="5" t="s">
        <v>161</v>
      </c>
      <c r="K1647" s="5" t="s">
        <v>3332</v>
      </c>
    </row>
    <row r="1648" customFormat="false" ht="46.25" hidden="false" customHeight="false" outlineLevel="0" collapsed="false">
      <c r="A1648" s="5" t="s">
        <v>12290</v>
      </c>
      <c r="B1648" s="2" t="s">
        <v>12291</v>
      </c>
      <c r="C1648" s="5" t="s">
        <v>2245</v>
      </c>
      <c r="D1648" s="5" t="s">
        <v>62</v>
      </c>
      <c r="E1648" s="5" t="n">
        <v>7</v>
      </c>
      <c r="F1648" s="5" t="s">
        <v>90</v>
      </c>
      <c r="G1648" s="2" t="s">
        <v>12057</v>
      </c>
      <c r="H1648" s="5" t="s">
        <v>8336</v>
      </c>
      <c r="I1648" s="5"/>
      <c r="J1648" s="5"/>
      <c r="K1648" s="5" t="s">
        <v>12292</v>
      </c>
    </row>
    <row r="1649" customFormat="false" ht="46.25" hidden="false" customHeight="false" outlineLevel="0" collapsed="false">
      <c r="A1649" s="5" t="s">
        <v>3333</v>
      </c>
      <c r="B1649" s="2" t="s">
        <v>3334</v>
      </c>
      <c r="C1649" s="5" t="s">
        <v>2245</v>
      </c>
      <c r="D1649" s="5" t="s">
        <v>62</v>
      </c>
      <c r="E1649" s="5" t="n">
        <v>7</v>
      </c>
      <c r="F1649" s="5" t="s">
        <v>67</v>
      </c>
      <c r="G1649" s="2" t="s">
        <v>12057</v>
      </c>
      <c r="H1649" s="5" t="s">
        <v>8332</v>
      </c>
      <c r="I1649" s="5" t="s">
        <v>60</v>
      </c>
      <c r="J1649" s="5" t="s">
        <v>161</v>
      </c>
      <c r="K1649" s="5" t="s">
        <v>3337</v>
      </c>
    </row>
    <row r="1650" customFormat="false" ht="15" hidden="false" customHeight="false" outlineLevel="0" collapsed="false">
      <c r="A1650" s="5" t="s">
        <v>3338</v>
      </c>
      <c r="B1650" s="2" t="s">
        <v>3339</v>
      </c>
      <c r="C1650" s="5" t="s">
        <v>2128</v>
      </c>
      <c r="D1650" s="5" t="s">
        <v>62</v>
      </c>
      <c r="E1650" s="5" t="n">
        <v>7</v>
      </c>
      <c r="F1650" s="5" t="s">
        <v>67</v>
      </c>
      <c r="G1650" s="2" t="s">
        <v>367</v>
      </c>
      <c r="H1650" s="5" t="s">
        <v>8332</v>
      </c>
      <c r="I1650" s="5" t="s">
        <v>60</v>
      </c>
      <c r="J1650" s="5" t="s">
        <v>161</v>
      </c>
      <c r="K1650" s="5" t="s">
        <v>3342</v>
      </c>
    </row>
    <row r="1651" customFormat="false" ht="15" hidden="false" customHeight="false" outlineLevel="0" collapsed="false">
      <c r="A1651" s="5" t="s">
        <v>1166</v>
      </c>
      <c r="B1651" s="2" t="s">
        <v>1167</v>
      </c>
      <c r="C1651" s="5" t="s">
        <v>488</v>
      </c>
      <c r="D1651" s="5" t="s">
        <v>62</v>
      </c>
      <c r="E1651" s="5" t="n">
        <v>7</v>
      </c>
      <c r="F1651" s="5" t="s">
        <v>481</v>
      </c>
      <c r="G1651" s="2" t="s">
        <v>367</v>
      </c>
      <c r="H1651" s="5" t="s">
        <v>8332</v>
      </c>
      <c r="I1651" s="5" t="s">
        <v>60</v>
      </c>
      <c r="J1651" s="5" t="s">
        <v>577</v>
      </c>
      <c r="K1651" s="5" t="s">
        <v>1171</v>
      </c>
    </row>
    <row r="1652" customFormat="false" ht="15" hidden="false" customHeight="false" outlineLevel="0" collapsed="false">
      <c r="A1652" s="5" t="s">
        <v>3343</v>
      </c>
      <c r="B1652" s="2" t="s">
        <v>3344</v>
      </c>
      <c r="C1652" s="5" t="s">
        <v>2128</v>
      </c>
      <c r="D1652" s="5" t="s">
        <v>62</v>
      </c>
      <c r="E1652" s="5" t="n">
        <v>7</v>
      </c>
      <c r="F1652" s="5" t="s">
        <v>67</v>
      </c>
      <c r="G1652" s="2" t="s">
        <v>367</v>
      </c>
      <c r="H1652" s="5" t="s">
        <v>8332</v>
      </c>
      <c r="I1652" s="5" t="s">
        <v>60</v>
      </c>
      <c r="J1652" s="5" t="s">
        <v>161</v>
      </c>
      <c r="K1652" s="5" t="s">
        <v>3347</v>
      </c>
    </row>
    <row r="1653" customFormat="false" ht="46.25" hidden="false" customHeight="false" outlineLevel="0" collapsed="false">
      <c r="A1653" s="5" t="s">
        <v>12293</v>
      </c>
      <c r="B1653" s="2" t="s">
        <v>12294</v>
      </c>
      <c r="C1653" s="5" t="s">
        <v>2245</v>
      </c>
      <c r="D1653" s="5" t="s">
        <v>62</v>
      </c>
      <c r="E1653" s="5" t="n">
        <v>5</v>
      </c>
      <c r="F1653" s="5" t="s">
        <v>90</v>
      </c>
      <c r="G1653" s="2" t="s">
        <v>12057</v>
      </c>
      <c r="H1653" s="5" t="s">
        <v>8336</v>
      </c>
      <c r="I1653" s="5"/>
      <c r="J1653" s="5"/>
      <c r="K1653" s="5" t="s">
        <v>12295</v>
      </c>
    </row>
    <row r="1654" customFormat="false" ht="23.85" hidden="false" customHeight="false" outlineLevel="0" collapsed="false">
      <c r="A1654" s="5" t="s">
        <v>282</v>
      </c>
      <c r="B1654" s="2" t="s">
        <v>283</v>
      </c>
      <c r="C1654" s="5" t="s">
        <v>59</v>
      </c>
      <c r="D1654" s="5" t="s">
        <v>62</v>
      </c>
      <c r="E1654" s="5" t="n">
        <v>9</v>
      </c>
      <c r="F1654" s="5" t="s">
        <v>284</v>
      </c>
      <c r="G1654" s="2" t="s">
        <v>184</v>
      </c>
      <c r="H1654" s="5" t="s">
        <v>8332</v>
      </c>
      <c r="I1654" s="5" t="s">
        <v>60</v>
      </c>
      <c r="J1654" s="5" t="s">
        <v>197</v>
      </c>
      <c r="K1654" s="5" t="s">
        <v>289</v>
      </c>
    </row>
    <row r="1655" customFormat="false" ht="23.85" hidden="false" customHeight="false" outlineLevel="0" collapsed="false">
      <c r="A1655" s="5" t="s">
        <v>12296</v>
      </c>
      <c r="B1655" s="2" t="s">
        <v>12297</v>
      </c>
      <c r="C1655" s="5" t="s">
        <v>2128</v>
      </c>
      <c r="D1655" s="5" t="s">
        <v>62</v>
      </c>
      <c r="E1655" s="5" t="n">
        <v>7</v>
      </c>
      <c r="F1655" s="5" t="s">
        <v>90</v>
      </c>
      <c r="G1655" s="2" t="s">
        <v>367</v>
      </c>
      <c r="H1655" s="5" t="s">
        <v>8336</v>
      </c>
      <c r="I1655" s="5"/>
      <c r="J1655" s="5"/>
      <c r="K1655" s="5" t="s">
        <v>12298</v>
      </c>
    </row>
    <row r="1656" customFormat="false" ht="15" hidden="false" customHeight="false" outlineLevel="0" collapsed="false">
      <c r="A1656" s="5" t="s">
        <v>12299</v>
      </c>
      <c r="B1656" s="2" t="s">
        <v>12300</v>
      </c>
      <c r="C1656" s="5" t="s">
        <v>2128</v>
      </c>
      <c r="D1656" s="5" t="s">
        <v>62</v>
      </c>
      <c r="E1656" s="5" t="n">
        <v>5</v>
      </c>
      <c r="F1656" s="5" t="s">
        <v>90</v>
      </c>
      <c r="G1656" s="2" t="s">
        <v>367</v>
      </c>
      <c r="H1656" s="5" t="s">
        <v>8336</v>
      </c>
      <c r="I1656" s="5"/>
      <c r="J1656" s="5"/>
      <c r="K1656" s="5" t="s">
        <v>12301</v>
      </c>
    </row>
    <row r="1657" customFormat="false" ht="46.25" hidden="false" customHeight="false" outlineLevel="0" collapsed="false">
      <c r="A1657" s="5" t="s">
        <v>12302</v>
      </c>
      <c r="B1657" s="2" t="s">
        <v>12303</v>
      </c>
      <c r="C1657" s="5" t="s">
        <v>2245</v>
      </c>
      <c r="D1657" s="5" t="s">
        <v>490</v>
      </c>
      <c r="E1657" s="5" t="n">
        <v>5</v>
      </c>
      <c r="F1657" s="5" t="s">
        <v>90</v>
      </c>
      <c r="G1657" s="2" t="s">
        <v>12174</v>
      </c>
      <c r="H1657" s="5" t="s">
        <v>8336</v>
      </c>
      <c r="I1657" s="5"/>
      <c r="J1657" s="5"/>
      <c r="K1657" s="5" t="s">
        <v>12304</v>
      </c>
    </row>
    <row r="1658" customFormat="false" ht="15" hidden="false" customHeight="false" outlineLevel="0" collapsed="false">
      <c r="A1658" s="5" t="s">
        <v>3348</v>
      </c>
      <c r="B1658" s="2" t="s">
        <v>3349</v>
      </c>
      <c r="C1658" s="5" t="s">
        <v>2128</v>
      </c>
      <c r="D1658" s="5" t="s">
        <v>62</v>
      </c>
      <c r="E1658" s="5" t="n">
        <v>5</v>
      </c>
      <c r="F1658" s="5" t="s">
        <v>90</v>
      </c>
      <c r="G1658" s="2" t="s">
        <v>367</v>
      </c>
      <c r="H1658" s="5" t="s">
        <v>8332</v>
      </c>
      <c r="I1658" s="5" t="s">
        <v>60</v>
      </c>
      <c r="J1658" s="5" t="s">
        <v>2754</v>
      </c>
      <c r="K1658" s="5" t="s">
        <v>3352</v>
      </c>
    </row>
    <row r="1659" customFormat="false" ht="46.25" hidden="false" customHeight="false" outlineLevel="0" collapsed="false">
      <c r="A1659" s="5" t="s">
        <v>6136</v>
      </c>
      <c r="B1659" s="2" t="s">
        <v>6137</v>
      </c>
      <c r="C1659" s="5" t="s">
        <v>2245</v>
      </c>
      <c r="D1659" s="5" t="s">
        <v>62</v>
      </c>
      <c r="E1659" s="5" t="n">
        <v>5</v>
      </c>
      <c r="F1659" s="5" t="s">
        <v>100</v>
      </c>
      <c r="G1659" s="2" t="s">
        <v>12057</v>
      </c>
      <c r="H1659" s="5" t="s">
        <v>8332</v>
      </c>
      <c r="I1659" s="5" t="s">
        <v>4760</v>
      </c>
      <c r="J1659" s="5" t="s">
        <v>100</v>
      </c>
      <c r="K1659" s="5" t="s">
        <v>6140</v>
      </c>
    </row>
    <row r="1660" customFormat="false" ht="46.25" hidden="false" customHeight="false" outlineLevel="0" collapsed="false">
      <c r="A1660" s="5" t="s">
        <v>6141</v>
      </c>
      <c r="B1660" s="2" t="s">
        <v>6142</v>
      </c>
      <c r="C1660" s="5" t="s">
        <v>2245</v>
      </c>
      <c r="D1660" s="5" t="s">
        <v>62</v>
      </c>
      <c r="E1660" s="5" t="n">
        <v>5</v>
      </c>
      <c r="F1660" s="5" t="s">
        <v>100</v>
      </c>
      <c r="G1660" s="2" t="s">
        <v>12054</v>
      </c>
      <c r="H1660" s="5" t="s">
        <v>8332</v>
      </c>
      <c r="I1660" s="5" t="s">
        <v>4760</v>
      </c>
      <c r="J1660" s="5" t="s">
        <v>100</v>
      </c>
      <c r="K1660" s="5" t="s">
        <v>6145</v>
      </c>
    </row>
    <row r="1661" customFormat="false" ht="46.25" hidden="false" customHeight="false" outlineLevel="0" collapsed="false">
      <c r="A1661" s="5" t="s">
        <v>12305</v>
      </c>
      <c r="B1661" s="2" t="s">
        <v>12306</v>
      </c>
      <c r="C1661" s="5" t="s">
        <v>2245</v>
      </c>
      <c r="D1661" s="5" t="s">
        <v>490</v>
      </c>
      <c r="E1661" s="5" t="n">
        <v>5</v>
      </c>
      <c r="F1661" s="5" t="s">
        <v>90</v>
      </c>
      <c r="G1661" s="2" t="s">
        <v>12174</v>
      </c>
      <c r="H1661" s="5" t="s">
        <v>8336</v>
      </c>
      <c r="I1661" s="5"/>
      <c r="J1661" s="5"/>
      <c r="K1661" s="5" t="s">
        <v>12307</v>
      </c>
    </row>
    <row r="1662" customFormat="false" ht="46.25" hidden="false" customHeight="false" outlineLevel="0" collapsed="false">
      <c r="A1662" s="5" t="s">
        <v>12308</v>
      </c>
      <c r="B1662" s="2" t="s">
        <v>12309</v>
      </c>
      <c r="C1662" s="5" t="s">
        <v>2245</v>
      </c>
      <c r="D1662" s="5" t="s">
        <v>490</v>
      </c>
      <c r="E1662" s="5" t="n">
        <v>9</v>
      </c>
      <c r="F1662" s="5" t="s">
        <v>90</v>
      </c>
      <c r="G1662" s="2" t="s">
        <v>12310</v>
      </c>
      <c r="H1662" s="5" t="s">
        <v>8336</v>
      </c>
      <c r="I1662" s="5"/>
      <c r="J1662" s="5"/>
      <c r="K1662" s="5" t="s">
        <v>12311</v>
      </c>
    </row>
    <row r="1663" customFormat="false" ht="23.85" hidden="false" customHeight="false" outlineLevel="0" collapsed="false">
      <c r="A1663" s="5" t="s">
        <v>290</v>
      </c>
      <c r="B1663" s="2" t="s">
        <v>291</v>
      </c>
      <c r="C1663" s="5" t="s">
        <v>59</v>
      </c>
      <c r="D1663" s="5" t="s">
        <v>62</v>
      </c>
      <c r="E1663" s="5" t="n">
        <v>8</v>
      </c>
      <c r="F1663" s="5" t="s">
        <v>100</v>
      </c>
      <c r="G1663" s="2" t="s">
        <v>184</v>
      </c>
      <c r="H1663" s="5" t="s">
        <v>8332</v>
      </c>
      <c r="I1663" s="5" t="s">
        <v>60</v>
      </c>
      <c r="J1663" s="5" t="s">
        <v>208</v>
      </c>
      <c r="K1663" s="5" t="s">
        <v>295</v>
      </c>
    </row>
    <row r="1664" customFormat="false" ht="46.25" hidden="false" customHeight="false" outlineLevel="0" collapsed="false">
      <c r="A1664" s="5" t="s">
        <v>3353</v>
      </c>
      <c r="B1664" s="2" t="s">
        <v>3354</v>
      </c>
      <c r="C1664" s="5" t="s">
        <v>2245</v>
      </c>
      <c r="D1664" s="5" t="s">
        <v>490</v>
      </c>
      <c r="E1664" s="5" t="n">
        <v>5</v>
      </c>
      <c r="F1664" s="5" t="s">
        <v>90</v>
      </c>
      <c r="G1664" s="2" t="s">
        <v>12077</v>
      </c>
      <c r="H1664" s="5" t="s">
        <v>8332</v>
      </c>
      <c r="I1664" s="5" t="s">
        <v>60</v>
      </c>
      <c r="J1664" s="5" t="s">
        <v>3355</v>
      </c>
      <c r="K1664" s="5" t="s">
        <v>3358</v>
      </c>
    </row>
    <row r="1665" customFormat="false" ht="46.25" hidden="false" customHeight="false" outlineLevel="0" collapsed="false">
      <c r="A1665" s="5" t="s">
        <v>296</v>
      </c>
      <c r="B1665" s="2" t="s">
        <v>297</v>
      </c>
      <c r="C1665" s="5" t="s">
        <v>59</v>
      </c>
      <c r="D1665" s="5" t="s">
        <v>62</v>
      </c>
      <c r="E1665" s="5" t="n">
        <v>9</v>
      </c>
      <c r="F1665" s="5" t="s">
        <v>100</v>
      </c>
      <c r="G1665" s="2" t="s">
        <v>12078</v>
      </c>
      <c r="H1665" s="5" t="s">
        <v>8332</v>
      </c>
      <c r="I1665" s="5" t="s">
        <v>60</v>
      </c>
      <c r="J1665" s="5" t="s">
        <v>208</v>
      </c>
      <c r="K1665" s="5" t="s">
        <v>300</v>
      </c>
    </row>
    <row r="1666" customFormat="false" ht="23.85" hidden="false" customHeight="false" outlineLevel="0" collapsed="false">
      <c r="A1666" s="5" t="s">
        <v>12312</v>
      </c>
      <c r="B1666" s="2" t="s">
        <v>12313</v>
      </c>
      <c r="C1666" s="5" t="s">
        <v>2128</v>
      </c>
      <c r="D1666" s="5" t="s">
        <v>62</v>
      </c>
      <c r="E1666" s="5" t="n">
        <v>7</v>
      </c>
      <c r="F1666" s="5" t="s">
        <v>90</v>
      </c>
      <c r="G1666" s="2" t="s">
        <v>367</v>
      </c>
      <c r="H1666" s="5" t="s">
        <v>8336</v>
      </c>
      <c r="I1666" s="5"/>
      <c r="J1666" s="5"/>
      <c r="K1666" s="5" t="s">
        <v>12314</v>
      </c>
    </row>
    <row r="1667" customFormat="false" ht="15" hidden="false" customHeight="false" outlineLevel="0" collapsed="false">
      <c r="A1667" s="5" t="s">
        <v>12315</v>
      </c>
      <c r="B1667" s="2" t="s">
        <v>12316</v>
      </c>
      <c r="C1667" s="5" t="s">
        <v>2128</v>
      </c>
      <c r="D1667" s="5" t="s">
        <v>62</v>
      </c>
      <c r="E1667" s="5" t="n">
        <v>3</v>
      </c>
      <c r="F1667" s="5" t="s">
        <v>90</v>
      </c>
      <c r="G1667" s="2" t="s">
        <v>367</v>
      </c>
      <c r="H1667" s="5" t="s">
        <v>8336</v>
      </c>
      <c r="I1667" s="5"/>
      <c r="J1667" s="5"/>
      <c r="K1667" s="5" t="s">
        <v>12317</v>
      </c>
    </row>
    <row r="1668" customFormat="false" ht="23.85" hidden="false" customHeight="false" outlineLevel="0" collapsed="false">
      <c r="A1668" s="5" t="s">
        <v>12318</v>
      </c>
      <c r="B1668" s="2" t="s">
        <v>12319</v>
      </c>
      <c r="C1668" s="5" t="s">
        <v>2128</v>
      </c>
      <c r="D1668" s="5" t="s">
        <v>62</v>
      </c>
      <c r="E1668" s="5" t="n">
        <v>5</v>
      </c>
      <c r="F1668" s="5" t="s">
        <v>413</v>
      </c>
      <c r="G1668" s="2" t="s">
        <v>367</v>
      </c>
      <c r="H1668" s="5" t="s">
        <v>8336</v>
      </c>
      <c r="I1668" s="5"/>
      <c r="J1668" s="5"/>
      <c r="K1668" s="5" t="s">
        <v>12320</v>
      </c>
    </row>
    <row r="1669" customFormat="false" ht="46.25" hidden="false" customHeight="false" outlineLevel="0" collapsed="false">
      <c r="A1669" s="5" t="s">
        <v>12321</v>
      </c>
      <c r="B1669" s="2" t="s">
        <v>12322</v>
      </c>
      <c r="C1669" s="5" t="s">
        <v>2245</v>
      </c>
      <c r="D1669" s="5" t="s">
        <v>62</v>
      </c>
      <c r="E1669" s="5" t="n">
        <v>5</v>
      </c>
      <c r="F1669" s="5" t="s">
        <v>413</v>
      </c>
      <c r="G1669" s="2" t="s">
        <v>12054</v>
      </c>
      <c r="H1669" s="5" t="s">
        <v>8336</v>
      </c>
      <c r="I1669" s="5"/>
      <c r="J1669" s="5"/>
      <c r="K1669" s="5" t="s">
        <v>12323</v>
      </c>
    </row>
    <row r="1670" customFormat="false" ht="46.25" hidden="false" customHeight="false" outlineLevel="0" collapsed="false">
      <c r="A1670" s="5" t="s">
        <v>12324</v>
      </c>
      <c r="B1670" s="2" t="s">
        <v>12325</v>
      </c>
      <c r="C1670" s="5" t="s">
        <v>2245</v>
      </c>
      <c r="D1670" s="5" t="s">
        <v>62</v>
      </c>
      <c r="E1670" s="5" t="n">
        <v>7</v>
      </c>
      <c r="F1670" s="5" t="s">
        <v>67</v>
      </c>
      <c r="G1670" s="2" t="s">
        <v>12057</v>
      </c>
      <c r="H1670" s="5" t="s">
        <v>8336</v>
      </c>
      <c r="I1670" s="5"/>
      <c r="J1670" s="5"/>
      <c r="K1670" s="5" t="s">
        <v>12326</v>
      </c>
    </row>
    <row r="1671" customFormat="false" ht="46.25" hidden="false" customHeight="false" outlineLevel="0" collapsed="false">
      <c r="A1671" s="5" t="s">
        <v>12327</v>
      </c>
      <c r="B1671" s="2" t="s">
        <v>12328</v>
      </c>
      <c r="C1671" s="5" t="s">
        <v>2245</v>
      </c>
      <c r="D1671" s="5" t="s">
        <v>62</v>
      </c>
      <c r="E1671" s="5" t="n">
        <v>7</v>
      </c>
      <c r="F1671" s="5" t="s">
        <v>67</v>
      </c>
      <c r="G1671" s="2" t="s">
        <v>12057</v>
      </c>
      <c r="H1671" s="5" t="s">
        <v>8336</v>
      </c>
      <c r="I1671" s="5"/>
      <c r="J1671" s="5"/>
      <c r="K1671" s="5" t="s">
        <v>12329</v>
      </c>
    </row>
    <row r="1672" customFormat="false" ht="46.25" hidden="false" customHeight="false" outlineLevel="0" collapsed="false">
      <c r="A1672" s="5" t="s">
        <v>12330</v>
      </c>
      <c r="B1672" s="2" t="s">
        <v>12331</v>
      </c>
      <c r="C1672" s="5" t="s">
        <v>2245</v>
      </c>
      <c r="D1672" s="5" t="s">
        <v>62</v>
      </c>
      <c r="E1672" s="5" t="n">
        <v>5</v>
      </c>
      <c r="F1672" s="5" t="s">
        <v>1814</v>
      </c>
      <c r="G1672" s="2" t="s">
        <v>12054</v>
      </c>
      <c r="H1672" s="5" t="s">
        <v>8336</v>
      </c>
      <c r="I1672" s="5"/>
      <c r="J1672" s="5"/>
      <c r="K1672" s="5" t="s">
        <v>12332</v>
      </c>
    </row>
    <row r="1673" customFormat="false" ht="46.25" hidden="false" customHeight="false" outlineLevel="0" collapsed="false">
      <c r="A1673" s="5" t="s">
        <v>12333</v>
      </c>
      <c r="B1673" s="2" t="s">
        <v>12334</v>
      </c>
      <c r="C1673" s="5" t="s">
        <v>2245</v>
      </c>
      <c r="D1673" s="5" t="s">
        <v>62</v>
      </c>
      <c r="E1673" s="5" t="n">
        <v>7</v>
      </c>
      <c r="F1673" s="5" t="s">
        <v>90</v>
      </c>
      <c r="G1673" s="2" t="s">
        <v>12057</v>
      </c>
      <c r="H1673" s="5" t="s">
        <v>8336</v>
      </c>
      <c r="I1673" s="5"/>
      <c r="J1673" s="5"/>
      <c r="K1673" s="5" t="s">
        <v>12335</v>
      </c>
    </row>
    <row r="1674" customFormat="false" ht="15" hidden="false" customHeight="false" outlineLevel="0" collapsed="false">
      <c r="A1674" s="5" t="s">
        <v>12336</v>
      </c>
      <c r="B1674" s="2" t="s">
        <v>12337</v>
      </c>
      <c r="C1674" s="5" t="s">
        <v>2128</v>
      </c>
      <c r="D1674" s="5" t="s">
        <v>62</v>
      </c>
      <c r="E1674" s="5" t="n">
        <v>7</v>
      </c>
      <c r="F1674" s="5" t="s">
        <v>90</v>
      </c>
      <c r="G1674" s="2" t="s">
        <v>367</v>
      </c>
      <c r="H1674" s="5" t="s">
        <v>8336</v>
      </c>
      <c r="I1674" s="5"/>
      <c r="J1674" s="5"/>
      <c r="K1674" s="5" t="s">
        <v>12338</v>
      </c>
    </row>
    <row r="1675" customFormat="false" ht="46.25" hidden="false" customHeight="false" outlineLevel="0" collapsed="false">
      <c r="A1675" s="5" t="s">
        <v>12339</v>
      </c>
      <c r="B1675" s="2" t="s">
        <v>12340</v>
      </c>
      <c r="C1675" s="5" t="s">
        <v>2245</v>
      </c>
      <c r="D1675" s="5" t="s">
        <v>62</v>
      </c>
      <c r="E1675" s="5" t="n">
        <v>7</v>
      </c>
      <c r="F1675" s="5" t="s">
        <v>90</v>
      </c>
      <c r="G1675" s="2" t="s">
        <v>12057</v>
      </c>
      <c r="H1675" s="5" t="s">
        <v>8336</v>
      </c>
      <c r="I1675" s="5"/>
      <c r="J1675" s="5"/>
      <c r="K1675" s="5" t="s">
        <v>12341</v>
      </c>
    </row>
    <row r="1676" customFormat="false" ht="46.25" hidden="false" customHeight="false" outlineLevel="0" collapsed="false">
      <c r="A1676" s="5" t="s">
        <v>12342</v>
      </c>
      <c r="B1676" s="2" t="s">
        <v>12343</v>
      </c>
      <c r="C1676" s="5" t="s">
        <v>2245</v>
      </c>
      <c r="D1676" s="5" t="s">
        <v>62</v>
      </c>
      <c r="E1676" s="5" t="n">
        <v>5</v>
      </c>
      <c r="F1676" s="5" t="s">
        <v>90</v>
      </c>
      <c r="G1676" s="2" t="s">
        <v>12057</v>
      </c>
      <c r="H1676" s="5" t="s">
        <v>8336</v>
      </c>
      <c r="I1676" s="5"/>
      <c r="J1676" s="5"/>
      <c r="K1676" s="5" t="s">
        <v>12344</v>
      </c>
    </row>
    <row r="1677" customFormat="false" ht="15" hidden="false" customHeight="false" outlineLevel="0" collapsed="false">
      <c r="A1677" s="5" t="s">
        <v>12345</v>
      </c>
      <c r="B1677" s="2" t="s">
        <v>12346</v>
      </c>
      <c r="C1677" s="5" t="s">
        <v>2128</v>
      </c>
      <c r="D1677" s="5" t="s">
        <v>62</v>
      </c>
      <c r="E1677" s="5" t="n">
        <v>5</v>
      </c>
      <c r="F1677" s="5" t="s">
        <v>67</v>
      </c>
      <c r="G1677" s="2" t="s">
        <v>367</v>
      </c>
      <c r="H1677" s="5" t="s">
        <v>8336</v>
      </c>
      <c r="I1677" s="5"/>
      <c r="J1677" s="5"/>
      <c r="K1677" s="5" t="s">
        <v>12347</v>
      </c>
    </row>
    <row r="1678" customFormat="false" ht="46.25" hidden="false" customHeight="false" outlineLevel="0" collapsed="false">
      <c r="A1678" s="5" t="s">
        <v>12348</v>
      </c>
      <c r="B1678" s="2" t="s">
        <v>12349</v>
      </c>
      <c r="C1678" s="5" t="s">
        <v>2245</v>
      </c>
      <c r="D1678" s="5" t="s">
        <v>62</v>
      </c>
      <c r="E1678" s="5" t="n">
        <v>5</v>
      </c>
      <c r="F1678" s="5" t="s">
        <v>67</v>
      </c>
      <c r="G1678" s="2" t="s">
        <v>12054</v>
      </c>
      <c r="H1678" s="5" t="s">
        <v>8336</v>
      </c>
      <c r="I1678" s="5"/>
      <c r="J1678" s="5"/>
      <c r="K1678" s="5" t="s">
        <v>12350</v>
      </c>
    </row>
    <row r="1679" customFormat="false" ht="46.25" hidden="false" customHeight="false" outlineLevel="0" collapsed="false">
      <c r="A1679" s="5" t="s">
        <v>12351</v>
      </c>
      <c r="B1679" s="2" t="s">
        <v>12352</v>
      </c>
      <c r="C1679" s="5" t="s">
        <v>2245</v>
      </c>
      <c r="D1679" s="5" t="s">
        <v>62</v>
      </c>
      <c r="E1679" s="5" t="n">
        <v>5</v>
      </c>
      <c r="F1679" s="5" t="s">
        <v>67</v>
      </c>
      <c r="G1679" s="2" t="s">
        <v>12054</v>
      </c>
      <c r="H1679" s="5" t="s">
        <v>8336</v>
      </c>
      <c r="I1679" s="5"/>
      <c r="J1679" s="5"/>
      <c r="K1679" s="5" t="s">
        <v>12353</v>
      </c>
    </row>
    <row r="1680" customFormat="false" ht="46.25" hidden="false" customHeight="false" outlineLevel="0" collapsed="false">
      <c r="A1680" s="5" t="s">
        <v>12354</v>
      </c>
      <c r="B1680" s="2" t="s">
        <v>12355</v>
      </c>
      <c r="C1680" s="5" t="s">
        <v>2245</v>
      </c>
      <c r="D1680" s="5" t="s">
        <v>62</v>
      </c>
      <c r="E1680" s="5" t="n">
        <v>7</v>
      </c>
      <c r="F1680" s="5" t="s">
        <v>67</v>
      </c>
      <c r="G1680" s="2" t="s">
        <v>12054</v>
      </c>
      <c r="H1680" s="5" t="s">
        <v>8336</v>
      </c>
      <c r="I1680" s="5"/>
      <c r="J1680" s="5"/>
      <c r="K1680" s="5" t="s">
        <v>12356</v>
      </c>
    </row>
    <row r="1681" customFormat="false" ht="46.25" hidden="false" customHeight="false" outlineLevel="0" collapsed="false">
      <c r="A1681" s="5" t="s">
        <v>12357</v>
      </c>
      <c r="B1681" s="2" t="s">
        <v>12358</v>
      </c>
      <c r="C1681" s="5" t="s">
        <v>2245</v>
      </c>
      <c r="D1681" s="5" t="s">
        <v>490</v>
      </c>
      <c r="E1681" s="5" t="n">
        <v>5</v>
      </c>
      <c r="F1681" s="5" t="s">
        <v>90</v>
      </c>
      <c r="G1681" s="2" t="s">
        <v>12057</v>
      </c>
      <c r="H1681" s="5" t="s">
        <v>8336</v>
      </c>
      <c r="I1681" s="5"/>
      <c r="J1681" s="5"/>
      <c r="K1681" s="5" t="s">
        <v>12359</v>
      </c>
    </row>
    <row r="1682" customFormat="false" ht="46.25" hidden="false" customHeight="false" outlineLevel="0" collapsed="false">
      <c r="A1682" s="5" t="s">
        <v>12360</v>
      </c>
      <c r="B1682" s="2" t="s">
        <v>12361</v>
      </c>
      <c r="C1682" s="5" t="s">
        <v>2245</v>
      </c>
      <c r="D1682" s="5" t="s">
        <v>62</v>
      </c>
      <c r="E1682" s="5" t="n">
        <v>5</v>
      </c>
      <c r="F1682" s="5" t="s">
        <v>67</v>
      </c>
      <c r="G1682" s="2" t="s">
        <v>12057</v>
      </c>
      <c r="H1682" s="5" t="s">
        <v>8336</v>
      </c>
      <c r="I1682" s="5"/>
      <c r="J1682" s="5"/>
      <c r="K1682" s="5" t="s">
        <v>12362</v>
      </c>
    </row>
    <row r="1683" customFormat="false" ht="46.25" hidden="false" customHeight="false" outlineLevel="0" collapsed="false">
      <c r="A1683" s="5" t="s">
        <v>12363</v>
      </c>
      <c r="B1683" s="2" t="s">
        <v>12364</v>
      </c>
      <c r="C1683" s="5" t="s">
        <v>2245</v>
      </c>
      <c r="D1683" s="5" t="s">
        <v>62</v>
      </c>
      <c r="E1683" s="5" t="n">
        <v>5</v>
      </c>
      <c r="F1683" s="5" t="s">
        <v>1814</v>
      </c>
      <c r="G1683" s="2" t="s">
        <v>12057</v>
      </c>
      <c r="H1683" s="5" t="s">
        <v>8336</v>
      </c>
      <c r="I1683" s="5"/>
      <c r="J1683" s="5"/>
      <c r="K1683" s="5" t="s">
        <v>12365</v>
      </c>
    </row>
    <row r="1684" customFormat="false" ht="46.25" hidden="false" customHeight="false" outlineLevel="0" collapsed="false">
      <c r="A1684" s="5" t="s">
        <v>12366</v>
      </c>
      <c r="B1684" s="2" t="s">
        <v>12367</v>
      </c>
      <c r="C1684" s="5" t="s">
        <v>2245</v>
      </c>
      <c r="D1684" s="5" t="s">
        <v>62</v>
      </c>
      <c r="E1684" s="5" t="n">
        <v>5</v>
      </c>
      <c r="F1684" s="5" t="s">
        <v>1814</v>
      </c>
      <c r="G1684" s="2" t="s">
        <v>12057</v>
      </c>
      <c r="H1684" s="5" t="s">
        <v>8336</v>
      </c>
      <c r="I1684" s="5"/>
      <c r="J1684" s="5"/>
      <c r="K1684" s="5" t="s">
        <v>12368</v>
      </c>
    </row>
    <row r="1685" customFormat="false" ht="46.25" hidden="false" customHeight="false" outlineLevel="0" collapsed="false">
      <c r="A1685" s="5" t="s">
        <v>12369</v>
      </c>
      <c r="B1685" s="2" t="s">
        <v>12370</v>
      </c>
      <c r="C1685" s="5" t="s">
        <v>2245</v>
      </c>
      <c r="D1685" s="5" t="s">
        <v>62</v>
      </c>
      <c r="E1685" s="5" t="n">
        <v>5</v>
      </c>
      <c r="F1685" s="5" t="s">
        <v>1814</v>
      </c>
      <c r="G1685" s="2" t="s">
        <v>12057</v>
      </c>
      <c r="H1685" s="5" t="s">
        <v>8336</v>
      </c>
      <c r="I1685" s="5"/>
      <c r="J1685" s="5"/>
      <c r="K1685" s="5" t="s">
        <v>12371</v>
      </c>
    </row>
    <row r="1686" customFormat="false" ht="46.25" hidden="false" customHeight="false" outlineLevel="0" collapsed="false">
      <c r="A1686" s="5" t="s">
        <v>12372</v>
      </c>
      <c r="B1686" s="2" t="s">
        <v>12373</v>
      </c>
      <c r="C1686" s="5" t="s">
        <v>2245</v>
      </c>
      <c r="D1686" s="5" t="s">
        <v>62</v>
      </c>
      <c r="E1686" s="5" t="n">
        <v>5</v>
      </c>
      <c r="F1686" s="5" t="s">
        <v>1814</v>
      </c>
      <c r="G1686" s="2" t="s">
        <v>12057</v>
      </c>
      <c r="H1686" s="5" t="s">
        <v>8336</v>
      </c>
      <c r="I1686" s="5"/>
      <c r="J1686" s="5"/>
      <c r="K1686" s="5" t="s">
        <v>12374</v>
      </c>
    </row>
    <row r="1687" customFormat="false" ht="15" hidden="false" customHeight="false" outlineLevel="0" collapsed="false">
      <c r="A1687" s="5" t="s">
        <v>12375</v>
      </c>
      <c r="B1687" s="2" t="s">
        <v>12376</v>
      </c>
      <c r="C1687" s="5" t="s">
        <v>2128</v>
      </c>
      <c r="D1687" s="5" t="s">
        <v>62</v>
      </c>
      <c r="E1687" s="5" t="n">
        <v>5</v>
      </c>
      <c r="F1687" s="5" t="s">
        <v>413</v>
      </c>
      <c r="G1687" s="2" t="s">
        <v>367</v>
      </c>
      <c r="H1687" s="5" t="s">
        <v>8336</v>
      </c>
      <c r="I1687" s="5"/>
      <c r="J1687" s="5"/>
      <c r="K1687" s="5" t="s">
        <v>12377</v>
      </c>
    </row>
    <row r="1688" customFormat="false" ht="46.25" hidden="false" customHeight="false" outlineLevel="0" collapsed="false">
      <c r="A1688" s="5" t="s">
        <v>12378</v>
      </c>
      <c r="B1688" s="2" t="s">
        <v>12379</v>
      </c>
      <c r="C1688" s="5" t="s">
        <v>2245</v>
      </c>
      <c r="D1688" s="5" t="s">
        <v>490</v>
      </c>
      <c r="E1688" s="5" t="n">
        <v>5</v>
      </c>
      <c r="F1688" s="5" t="s">
        <v>67</v>
      </c>
      <c r="G1688" s="2" t="s">
        <v>12057</v>
      </c>
      <c r="H1688" s="5" t="s">
        <v>8336</v>
      </c>
      <c r="I1688" s="5"/>
      <c r="J1688" s="5"/>
      <c r="K1688" s="5" t="s">
        <v>12380</v>
      </c>
    </row>
    <row r="1689" customFormat="false" ht="23.85" hidden="false" customHeight="false" outlineLevel="0" collapsed="false">
      <c r="A1689" s="5" t="s">
        <v>12381</v>
      </c>
      <c r="B1689" s="2" t="s">
        <v>12382</v>
      </c>
      <c r="C1689" s="5" t="s">
        <v>2128</v>
      </c>
      <c r="D1689" s="5" t="s">
        <v>62</v>
      </c>
      <c r="E1689" s="5" t="n">
        <v>7</v>
      </c>
      <c r="F1689" s="5" t="s">
        <v>413</v>
      </c>
      <c r="G1689" s="2" t="s">
        <v>367</v>
      </c>
      <c r="H1689" s="5" t="s">
        <v>8336</v>
      </c>
      <c r="I1689" s="5"/>
      <c r="J1689" s="5"/>
      <c r="K1689" s="5" t="s">
        <v>12383</v>
      </c>
    </row>
    <row r="1690" customFormat="false" ht="15" hidden="false" customHeight="false" outlineLevel="0" collapsed="false">
      <c r="A1690" s="5" t="s">
        <v>12384</v>
      </c>
      <c r="B1690" s="2" t="s">
        <v>12385</v>
      </c>
      <c r="C1690" s="5" t="s">
        <v>2128</v>
      </c>
      <c r="D1690" s="5" t="s">
        <v>62</v>
      </c>
      <c r="E1690" s="5" t="n">
        <v>7</v>
      </c>
      <c r="F1690" s="5" t="s">
        <v>413</v>
      </c>
      <c r="G1690" s="2" t="s">
        <v>367</v>
      </c>
      <c r="H1690" s="5" t="s">
        <v>8336</v>
      </c>
      <c r="I1690" s="5"/>
      <c r="J1690" s="5"/>
      <c r="K1690" s="5" t="s">
        <v>12386</v>
      </c>
    </row>
    <row r="1691" customFormat="false" ht="15" hidden="false" customHeight="false" outlineLevel="0" collapsed="false">
      <c r="A1691" s="5" t="s">
        <v>12387</v>
      </c>
      <c r="B1691" s="2" t="s">
        <v>12388</v>
      </c>
      <c r="C1691" s="5" t="s">
        <v>2128</v>
      </c>
      <c r="D1691" s="5" t="s">
        <v>62</v>
      </c>
      <c r="E1691" s="5" t="n">
        <v>7</v>
      </c>
      <c r="F1691" s="5" t="s">
        <v>67</v>
      </c>
      <c r="G1691" s="2" t="s">
        <v>367</v>
      </c>
      <c r="H1691" s="5" t="s">
        <v>8336</v>
      </c>
      <c r="I1691" s="5"/>
      <c r="J1691" s="5"/>
      <c r="K1691" s="5" t="s">
        <v>12389</v>
      </c>
    </row>
    <row r="1692" customFormat="false" ht="15" hidden="false" customHeight="false" outlineLevel="0" collapsed="false">
      <c r="A1692" s="5" t="s">
        <v>12390</v>
      </c>
      <c r="B1692" s="2" t="s">
        <v>12391</v>
      </c>
      <c r="C1692" s="5" t="s">
        <v>2128</v>
      </c>
      <c r="D1692" s="5" t="s">
        <v>62</v>
      </c>
      <c r="E1692" s="5" t="n">
        <v>7</v>
      </c>
      <c r="F1692" s="5" t="s">
        <v>67</v>
      </c>
      <c r="G1692" s="2" t="s">
        <v>367</v>
      </c>
      <c r="H1692" s="5" t="s">
        <v>8336</v>
      </c>
      <c r="I1692" s="5"/>
      <c r="J1692" s="5"/>
      <c r="K1692" s="5" t="s">
        <v>12392</v>
      </c>
    </row>
    <row r="1693" customFormat="false" ht="23.85" hidden="false" customHeight="false" outlineLevel="0" collapsed="false">
      <c r="A1693" s="5" t="s">
        <v>3359</v>
      </c>
      <c r="B1693" s="2" t="s">
        <v>3360</v>
      </c>
      <c r="C1693" s="5" t="s">
        <v>2128</v>
      </c>
      <c r="D1693" s="5" t="s">
        <v>62</v>
      </c>
      <c r="E1693" s="5" t="n">
        <v>7</v>
      </c>
      <c r="F1693" s="5" t="s">
        <v>67</v>
      </c>
      <c r="G1693" s="2" t="s">
        <v>367</v>
      </c>
      <c r="H1693" s="5" t="s">
        <v>8332</v>
      </c>
      <c r="I1693" s="5" t="s">
        <v>60</v>
      </c>
      <c r="J1693" s="5" t="s">
        <v>161</v>
      </c>
      <c r="K1693" s="5" t="s">
        <v>3364</v>
      </c>
    </row>
    <row r="1694" customFormat="false" ht="15" hidden="false" customHeight="false" outlineLevel="0" collapsed="false">
      <c r="A1694" s="5" t="s">
        <v>12393</v>
      </c>
      <c r="B1694" s="2" t="s">
        <v>12394</v>
      </c>
      <c r="C1694" s="5" t="s">
        <v>2128</v>
      </c>
      <c r="D1694" s="5" t="s">
        <v>62</v>
      </c>
      <c r="E1694" s="5" t="n">
        <v>7</v>
      </c>
      <c r="F1694" s="5" t="s">
        <v>67</v>
      </c>
      <c r="G1694" s="2" t="s">
        <v>367</v>
      </c>
      <c r="H1694" s="5" t="s">
        <v>8336</v>
      </c>
      <c r="I1694" s="5"/>
      <c r="J1694" s="5"/>
      <c r="K1694" s="5" t="s">
        <v>12395</v>
      </c>
    </row>
    <row r="1695" customFormat="false" ht="23.85" hidden="false" customHeight="false" outlineLevel="0" collapsed="false">
      <c r="A1695" s="5" t="s">
        <v>3365</v>
      </c>
      <c r="B1695" s="2" t="s">
        <v>3366</v>
      </c>
      <c r="C1695" s="5" t="s">
        <v>2128</v>
      </c>
      <c r="D1695" s="5" t="s">
        <v>62</v>
      </c>
      <c r="E1695" s="5" t="n">
        <v>7</v>
      </c>
      <c r="F1695" s="5" t="s">
        <v>413</v>
      </c>
      <c r="G1695" s="2" t="s">
        <v>184</v>
      </c>
      <c r="H1695" s="5" t="s">
        <v>8332</v>
      </c>
      <c r="I1695" s="5" t="s">
        <v>60</v>
      </c>
      <c r="J1695" s="5" t="s">
        <v>269</v>
      </c>
      <c r="K1695" s="5" t="s">
        <v>3369</v>
      </c>
    </row>
    <row r="1696" customFormat="false" ht="15" hidden="false" customHeight="false" outlineLevel="0" collapsed="false">
      <c r="A1696" s="5" t="s">
        <v>12396</v>
      </c>
      <c r="B1696" s="2" t="s">
        <v>12397</v>
      </c>
      <c r="C1696" s="5" t="s">
        <v>2128</v>
      </c>
      <c r="D1696" s="5" t="s">
        <v>62</v>
      </c>
      <c r="E1696" s="5" t="n">
        <v>7</v>
      </c>
      <c r="F1696" s="5" t="s">
        <v>67</v>
      </c>
      <c r="G1696" s="2" t="s">
        <v>367</v>
      </c>
      <c r="H1696" s="5" t="s">
        <v>8336</v>
      </c>
      <c r="I1696" s="5"/>
      <c r="J1696" s="5"/>
      <c r="K1696" s="5" t="s">
        <v>12398</v>
      </c>
    </row>
    <row r="1697" customFormat="false" ht="46.25" hidden="false" customHeight="false" outlineLevel="0" collapsed="false">
      <c r="A1697" s="5" t="s">
        <v>12399</v>
      </c>
      <c r="B1697" s="2" t="s">
        <v>12400</v>
      </c>
      <c r="C1697" s="5" t="s">
        <v>2245</v>
      </c>
      <c r="D1697" s="5" t="s">
        <v>62</v>
      </c>
      <c r="E1697" s="5" t="n">
        <v>9</v>
      </c>
      <c r="F1697" s="5" t="s">
        <v>90</v>
      </c>
      <c r="G1697" s="2" t="s">
        <v>12057</v>
      </c>
      <c r="H1697" s="5" t="s">
        <v>8336</v>
      </c>
      <c r="I1697" s="5"/>
      <c r="J1697" s="5"/>
      <c r="K1697" s="5" t="s">
        <v>12401</v>
      </c>
    </row>
    <row r="1698" customFormat="false" ht="46.25" hidden="false" customHeight="false" outlineLevel="0" collapsed="false">
      <c r="A1698" s="5" t="s">
        <v>12402</v>
      </c>
      <c r="B1698" s="2" t="s">
        <v>12403</v>
      </c>
      <c r="C1698" s="5" t="s">
        <v>2245</v>
      </c>
      <c r="D1698" s="5" t="s">
        <v>62</v>
      </c>
      <c r="E1698" s="5" t="n">
        <v>9</v>
      </c>
      <c r="F1698" s="5" t="s">
        <v>90</v>
      </c>
      <c r="G1698" s="2" t="s">
        <v>12057</v>
      </c>
      <c r="H1698" s="5" t="s">
        <v>8336</v>
      </c>
      <c r="I1698" s="5"/>
      <c r="J1698" s="5"/>
      <c r="K1698" s="5" t="s">
        <v>12404</v>
      </c>
    </row>
    <row r="1699" customFormat="false" ht="46.25" hidden="false" customHeight="false" outlineLevel="0" collapsed="false">
      <c r="A1699" s="5" t="s">
        <v>12405</v>
      </c>
      <c r="B1699" s="2" t="s">
        <v>12406</v>
      </c>
      <c r="C1699" s="5" t="s">
        <v>2245</v>
      </c>
      <c r="D1699" s="5" t="s">
        <v>62</v>
      </c>
      <c r="E1699" s="5" t="n">
        <v>7</v>
      </c>
      <c r="F1699" s="5" t="s">
        <v>90</v>
      </c>
      <c r="G1699" s="2" t="s">
        <v>12057</v>
      </c>
      <c r="H1699" s="5" t="s">
        <v>8336</v>
      </c>
      <c r="I1699" s="5"/>
      <c r="J1699" s="5"/>
      <c r="K1699" s="5" t="s">
        <v>12407</v>
      </c>
    </row>
    <row r="1700" customFormat="false" ht="23.85" hidden="false" customHeight="false" outlineLevel="0" collapsed="false">
      <c r="A1700" s="5" t="s">
        <v>12408</v>
      </c>
      <c r="B1700" s="2" t="s">
        <v>12409</v>
      </c>
      <c r="C1700" s="5" t="s">
        <v>2128</v>
      </c>
      <c r="D1700" s="5" t="s">
        <v>62</v>
      </c>
      <c r="E1700" s="5" t="n">
        <v>9</v>
      </c>
      <c r="F1700" s="5" t="s">
        <v>413</v>
      </c>
      <c r="G1700" s="2" t="s">
        <v>415</v>
      </c>
      <c r="H1700" s="5" t="s">
        <v>8336</v>
      </c>
      <c r="I1700" s="5"/>
      <c r="J1700" s="5"/>
      <c r="K1700" s="5" t="s">
        <v>12410</v>
      </c>
    </row>
    <row r="1701" customFormat="false" ht="46.25" hidden="false" customHeight="false" outlineLevel="0" collapsed="false">
      <c r="A1701" s="5" t="s">
        <v>12411</v>
      </c>
      <c r="B1701" s="2" t="s">
        <v>12412</v>
      </c>
      <c r="C1701" s="5" t="s">
        <v>2245</v>
      </c>
      <c r="D1701" s="5" t="s">
        <v>62</v>
      </c>
      <c r="E1701" s="5" t="n">
        <v>7</v>
      </c>
      <c r="F1701" s="5" t="s">
        <v>90</v>
      </c>
      <c r="G1701" s="2" t="s">
        <v>12054</v>
      </c>
      <c r="H1701" s="5" t="s">
        <v>8336</v>
      </c>
      <c r="I1701" s="5"/>
      <c r="J1701" s="5"/>
      <c r="K1701" s="5" t="s">
        <v>12413</v>
      </c>
    </row>
    <row r="1702" customFormat="false" ht="15" hidden="false" customHeight="false" outlineLevel="0" collapsed="false">
      <c r="A1702" s="5" t="s">
        <v>12414</v>
      </c>
      <c r="B1702" s="2" t="s">
        <v>12415</v>
      </c>
      <c r="C1702" s="5" t="s">
        <v>2128</v>
      </c>
      <c r="D1702" s="5" t="s">
        <v>62</v>
      </c>
      <c r="E1702" s="5" t="n">
        <v>5</v>
      </c>
      <c r="F1702" s="5" t="s">
        <v>67</v>
      </c>
      <c r="G1702" s="2" t="s">
        <v>367</v>
      </c>
      <c r="H1702" s="5" t="s">
        <v>8336</v>
      </c>
      <c r="I1702" s="5"/>
      <c r="J1702" s="5"/>
      <c r="K1702" s="5" t="s">
        <v>12416</v>
      </c>
    </row>
    <row r="1703" customFormat="false" ht="23.85" hidden="false" customHeight="false" outlineLevel="0" collapsed="false">
      <c r="A1703" s="5" t="s">
        <v>12417</v>
      </c>
      <c r="B1703" s="2" t="s">
        <v>12418</v>
      </c>
      <c r="C1703" s="5" t="s">
        <v>2128</v>
      </c>
      <c r="D1703" s="5" t="s">
        <v>62</v>
      </c>
      <c r="E1703" s="5" t="n">
        <v>7</v>
      </c>
      <c r="F1703" s="5" t="s">
        <v>90</v>
      </c>
      <c r="G1703" s="2" t="s">
        <v>12419</v>
      </c>
      <c r="H1703" s="5" t="s">
        <v>8336</v>
      </c>
      <c r="I1703" s="5"/>
      <c r="J1703" s="5"/>
      <c r="K1703" s="5" t="s">
        <v>12420</v>
      </c>
    </row>
    <row r="1704" customFormat="false" ht="46.25" hidden="false" customHeight="false" outlineLevel="0" collapsed="false">
      <c r="A1704" s="5" t="s">
        <v>12421</v>
      </c>
      <c r="B1704" s="2" t="s">
        <v>12422</v>
      </c>
      <c r="C1704" s="5" t="s">
        <v>2245</v>
      </c>
      <c r="D1704" s="5" t="s">
        <v>490</v>
      </c>
      <c r="E1704" s="5" t="n">
        <v>7</v>
      </c>
      <c r="F1704" s="5" t="s">
        <v>90</v>
      </c>
      <c r="G1704" s="2" t="s">
        <v>12423</v>
      </c>
      <c r="H1704" s="5" t="s">
        <v>8336</v>
      </c>
      <c r="I1704" s="5"/>
      <c r="J1704" s="5"/>
      <c r="K1704" s="5" t="s">
        <v>12424</v>
      </c>
    </row>
    <row r="1705" customFormat="false" ht="46.25" hidden="false" customHeight="false" outlineLevel="0" collapsed="false">
      <c r="A1705" s="5" t="s">
        <v>12425</v>
      </c>
      <c r="B1705" s="2" t="s">
        <v>12426</v>
      </c>
      <c r="C1705" s="5" t="s">
        <v>2245</v>
      </c>
      <c r="D1705" s="5" t="s">
        <v>490</v>
      </c>
      <c r="E1705" s="5" t="n">
        <v>7</v>
      </c>
      <c r="F1705" s="5" t="s">
        <v>90</v>
      </c>
      <c r="G1705" s="2" t="s">
        <v>12423</v>
      </c>
      <c r="H1705" s="5" t="s">
        <v>8336</v>
      </c>
      <c r="I1705" s="5"/>
      <c r="J1705" s="5"/>
      <c r="K1705" s="5" t="s">
        <v>12427</v>
      </c>
    </row>
    <row r="1706" customFormat="false" ht="46.25" hidden="false" customHeight="false" outlineLevel="0" collapsed="false">
      <c r="A1706" s="5" t="s">
        <v>12428</v>
      </c>
      <c r="B1706" s="2" t="s">
        <v>12429</v>
      </c>
      <c r="C1706" s="5" t="s">
        <v>2245</v>
      </c>
      <c r="D1706" s="5" t="s">
        <v>490</v>
      </c>
      <c r="E1706" s="5" t="n">
        <v>7</v>
      </c>
      <c r="F1706" s="5" t="s">
        <v>90</v>
      </c>
      <c r="G1706" s="2" t="s">
        <v>12423</v>
      </c>
      <c r="H1706" s="5" t="s">
        <v>8336</v>
      </c>
      <c r="I1706" s="5"/>
      <c r="J1706" s="5"/>
      <c r="K1706" s="5" t="s">
        <v>12430</v>
      </c>
    </row>
    <row r="1707" customFormat="false" ht="46.25" hidden="false" customHeight="false" outlineLevel="0" collapsed="false">
      <c r="A1707" s="5" t="s">
        <v>12431</v>
      </c>
      <c r="B1707" s="2" t="s">
        <v>12432</v>
      </c>
      <c r="C1707" s="5" t="s">
        <v>2245</v>
      </c>
      <c r="D1707" s="5" t="s">
        <v>490</v>
      </c>
      <c r="E1707" s="5" t="n">
        <v>7</v>
      </c>
      <c r="F1707" s="5" t="s">
        <v>90</v>
      </c>
      <c r="G1707" s="2" t="s">
        <v>12423</v>
      </c>
      <c r="H1707" s="5" t="s">
        <v>8336</v>
      </c>
      <c r="I1707" s="5"/>
      <c r="J1707" s="5"/>
      <c r="K1707" s="5" t="s">
        <v>12433</v>
      </c>
    </row>
    <row r="1708" customFormat="false" ht="46.25" hidden="false" customHeight="false" outlineLevel="0" collapsed="false">
      <c r="A1708" s="5" t="s">
        <v>12434</v>
      </c>
      <c r="B1708" s="2" t="s">
        <v>12435</v>
      </c>
      <c r="C1708" s="5" t="s">
        <v>2245</v>
      </c>
      <c r="D1708" s="5" t="s">
        <v>490</v>
      </c>
      <c r="E1708" s="5" t="n">
        <v>7</v>
      </c>
      <c r="F1708" s="5" t="s">
        <v>90</v>
      </c>
      <c r="G1708" s="2" t="s">
        <v>12423</v>
      </c>
      <c r="H1708" s="5" t="s">
        <v>8336</v>
      </c>
      <c r="I1708" s="5"/>
      <c r="J1708" s="5"/>
      <c r="K1708" s="5" t="s">
        <v>12436</v>
      </c>
    </row>
    <row r="1709" customFormat="false" ht="23.85" hidden="false" customHeight="false" outlineLevel="0" collapsed="false">
      <c r="A1709" s="5" t="s">
        <v>12437</v>
      </c>
      <c r="B1709" s="2" t="s">
        <v>12438</v>
      </c>
      <c r="C1709" s="5" t="s">
        <v>2128</v>
      </c>
      <c r="D1709" s="5" t="s">
        <v>62</v>
      </c>
      <c r="E1709" s="5" t="n">
        <v>7</v>
      </c>
      <c r="F1709" s="5" t="s">
        <v>90</v>
      </c>
      <c r="G1709" s="2" t="s">
        <v>12419</v>
      </c>
      <c r="H1709" s="5" t="s">
        <v>8336</v>
      </c>
      <c r="I1709" s="5"/>
      <c r="J1709" s="5"/>
      <c r="K1709" s="5" t="s">
        <v>12439</v>
      </c>
    </row>
    <row r="1710" customFormat="false" ht="46.25" hidden="false" customHeight="false" outlineLevel="0" collapsed="false">
      <c r="A1710" s="5" t="s">
        <v>12440</v>
      </c>
      <c r="B1710" s="2" t="s">
        <v>12441</v>
      </c>
      <c r="C1710" s="5" t="s">
        <v>2245</v>
      </c>
      <c r="D1710" s="5" t="s">
        <v>490</v>
      </c>
      <c r="E1710" s="5" t="n">
        <v>7</v>
      </c>
      <c r="F1710" s="5" t="s">
        <v>90</v>
      </c>
      <c r="G1710" s="2" t="s">
        <v>12423</v>
      </c>
      <c r="H1710" s="5" t="s">
        <v>8336</v>
      </c>
      <c r="I1710" s="5"/>
      <c r="J1710" s="5"/>
      <c r="K1710" s="5" t="s">
        <v>12442</v>
      </c>
    </row>
    <row r="1711" customFormat="false" ht="46.25" hidden="false" customHeight="false" outlineLevel="0" collapsed="false">
      <c r="A1711" s="5" t="s">
        <v>12443</v>
      </c>
      <c r="B1711" s="2" t="s">
        <v>12444</v>
      </c>
      <c r="C1711" s="5" t="s">
        <v>2245</v>
      </c>
      <c r="D1711" s="5" t="s">
        <v>490</v>
      </c>
      <c r="E1711" s="5" t="n">
        <v>7</v>
      </c>
      <c r="F1711" s="5" t="s">
        <v>90</v>
      </c>
      <c r="G1711" s="2" t="s">
        <v>12423</v>
      </c>
      <c r="H1711" s="5" t="s">
        <v>8336</v>
      </c>
      <c r="I1711" s="5"/>
      <c r="J1711" s="5"/>
      <c r="K1711" s="5" t="s">
        <v>12445</v>
      </c>
    </row>
    <row r="1712" customFormat="false" ht="46.25" hidden="false" customHeight="false" outlineLevel="0" collapsed="false">
      <c r="A1712" s="5" t="s">
        <v>12446</v>
      </c>
      <c r="B1712" s="2" t="s">
        <v>12447</v>
      </c>
      <c r="C1712" s="5" t="s">
        <v>2245</v>
      </c>
      <c r="D1712" s="5" t="s">
        <v>490</v>
      </c>
      <c r="E1712" s="5" t="n">
        <v>7</v>
      </c>
      <c r="F1712" s="5" t="s">
        <v>90</v>
      </c>
      <c r="G1712" s="2" t="s">
        <v>12423</v>
      </c>
      <c r="H1712" s="5" t="s">
        <v>8336</v>
      </c>
      <c r="I1712" s="5"/>
      <c r="J1712" s="5"/>
      <c r="K1712" s="5" t="s">
        <v>12448</v>
      </c>
    </row>
    <row r="1713" customFormat="false" ht="46.25" hidden="false" customHeight="false" outlineLevel="0" collapsed="false">
      <c r="A1713" s="5" t="s">
        <v>12449</v>
      </c>
      <c r="B1713" s="2" t="s">
        <v>12450</v>
      </c>
      <c r="C1713" s="5" t="s">
        <v>2245</v>
      </c>
      <c r="D1713" s="5" t="s">
        <v>62</v>
      </c>
      <c r="E1713" s="5" t="n">
        <v>5</v>
      </c>
      <c r="F1713" s="5" t="s">
        <v>90</v>
      </c>
      <c r="G1713" s="2" t="s">
        <v>12057</v>
      </c>
      <c r="H1713" s="5" t="s">
        <v>8336</v>
      </c>
      <c r="I1713" s="5"/>
      <c r="J1713" s="5"/>
      <c r="K1713" s="5" t="s">
        <v>12451</v>
      </c>
    </row>
    <row r="1714" customFormat="false" ht="46.25" hidden="false" customHeight="false" outlineLevel="0" collapsed="false">
      <c r="A1714" s="5" t="s">
        <v>12452</v>
      </c>
      <c r="B1714" s="2" t="s">
        <v>12453</v>
      </c>
      <c r="C1714" s="5" t="s">
        <v>2245</v>
      </c>
      <c r="D1714" s="5" t="s">
        <v>62</v>
      </c>
      <c r="E1714" s="5" t="n">
        <v>7</v>
      </c>
      <c r="F1714" s="5" t="s">
        <v>90</v>
      </c>
      <c r="G1714" s="2" t="s">
        <v>12057</v>
      </c>
      <c r="H1714" s="5" t="s">
        <v>8336</v>
      </c>
      <c r="I1714" s="5"/>
      <c r="J1714" s="5"/>
      <c r="K1714" s="5" t="s">
        <v>12454</v>
      </c>
    </row>
    <row r="1715" customFormat="false" ht="46.25" hidden="false" customHeight="false" outlineLevel="0" collapsed="false">
      <c r="A1715" s="5" t="s">
        <v>12455</v>
      </c>
      <c r="B1715" s="2" t="s">
        <v>12456</v>
      </c>
      <c r="C1715" s="5" t="s">
        <v>2245</v>
      </c>
      <c r="D1715" s="5" t="s">
        <v>62</v>
      </c>
      <c r="E1715" s="5" t="n">
        <v>5</v>
      </c>
      <c r="F1715" s="5" t="s">
        <v>90</v>
      </c>
      <c r="G1715" s="2" t="s">
        <v>12057</v>
      </c>
      <c r="H1715" s="5" t="s">
        <v>8336</v>
      </c>
      <c r="I1715" s="5"/>
      <c r="J1715" s="5"/>
      <c r="K1715" s="5" t="s">
        <v>12457</v>
      </c>
    </row>
    <row r="1716" customFormat="false" ht="46.25" hidden="false" customHeight="false" outlineLevel="0" collapsed="false">
      <c r="A1716" s="5" t="s">
        <v>12458</v>
      </c>
      <c r="B1716" s="2" t="s">
        <v>12459</v>
      </c>
      <c r="C1716" s="5" t="s">
        <v>2245</v>
      </c>
      <c r="D1716" s="5" t="s">
        <v>62</v>
      </c>
      <c r="E1716" s="5" t="n">
        <v>5</v>
      </c>
      <c r="F1716" s="5" t="s">
        <v>90</v>
      </c>
      <c r="G1716" s="2" t="s">
        <v>12057</v>
      </c>
      <c r="H1716" s="5" t="s">
        <v>8336</v>
      </c>
      <c r="I1716" s="5"/>
      <c r="J1716" s="5"/>
      <c r="K1716" s="5" t="s">
        <v>12460</v>
      </c>
    </row>
    <row r="1717" customFormat="false" ht="23.85" hidden="false" customHeight="false" outlineLevel="0" collapsed="false">
      <c r="A1717" s="5" t="s">
        <v>12461</v>
      </c>
      <c r="B1717" s="2" t="s">
        <v>12462</v>
      </c>
      <c r="C1717" s="5" t="s">
        <v>2128</v>
      </c>
      <c r="D1717" s="5" t="s">
        <v>62</v>
      </c>
      <c r="E1717" s="5" t="n">
        <v>5</v>
      </c>
      <c r="F1717" s="5" t="s">
        <v>1814</v>
      </c>
      <c r="G1717" s="2" t="s">
        <v>367</v>
      </c>
      <c r="H1717" s="5" t="s">
        <v>8336</v>
      </c>
      <c r="I1717" s="5"/>
      <c r="J1717" s="5"/>
      <c r="K1717" s="5" t="s">
        <v>12463</v>
      </c>
    </row>
    <row r="1718" customFormat="false" ht="46.25" hidden="false" customHeight="false" outlineLevel="0" collapsed="false">
      <c r="A1718" s="5" t="s">
        <v>12464</v>
      </c>
      <c r="B1718" s="2" t="s">
        <v>12465</v>
      </c>
      <c r="C1718" s="5" t="s">
        <v>2245</v>
      </c>
      <c r="D1718" s="5" t="s">
        <v>62</v>
      </c>
      <c r="E1718" s="5" t="n">
        <v>7</v>
      </c>
      <c r="F1718" s="5" t="s">
        <v>1814</v>
      </c>
      <c r="G1718" s="2" t="s">
        <v>12057</v>
      </c>
      <c r="H1718" s="5" t="s">
        <v>8336</v>
      </c>
      <c r="I1718" s="5"/>
      <c r="J1718" s="5"/>
      <c r="K1718" s="5" t="s">
        <v>12466</v>
      </c>
    </row>
    <row r="1719" customFormat="false" ht="23.85" hidden="false" customHeight="false" outlineLevel="0" collapsed="false">
      <c r="A1719" s="5" t="s">
        <v>12467</v>
      </c>
      <c r="B1719" s="2" t="s">
        <v>12468</v>
      </c>
      <c r="C1719" s="5" t="s">
        <v>2128</v>
      </c>
      <c r="D1719" s="5" t="s">
        <v>62</v>
      </c>
      <c r="E1719" s="5" t="n">
        <v>7</v>
      </c>
      <c r="F1719" s="5" t="s">
        <v>1814</v>
      </c>
      <c r="G1719" s="2" t="s">
        <v>367</v>
      </c>
      <c r="H1719" s="5" t="s">
        <v>8336</v>
      </c>
      <c r="I1719" s="5"/>
      <c r="J1719" s="5"/>
      <c r="K1719" s="5" t="s">
        <v>12469</v>
      </c>
    </row>
    <row r="1720" customFormat="false" ht="46.25" hidden="false" customHeight="false" outlineLevel="0" collapsed="false">
      <c r="A1720" s="5" t="s">
        <v>12470</v>
      </c>
      <c r="B1720" s="2" t="s">
        <v>12471</v>
      </c>
      <c r="C1720" s="5" t="s">
        <v>2245</v>
      </c>
      <c r="D1720" s="5" t="s">
        <v>62</v>
      </c>
      <c r="E1720" s="5" t="n">
        <v>5</v>
      </c>
      <c r="F1720" s="5" t="s">
        <v>1814</v>
      </c>
      <c r="G1720" s="2" t="s">
        <v>12057</v>
      </c>
      <c r="H1720" s="5" t="s">
        <v>8336</v>
      </c>
      <c r="I1720" s="5"/>
      <c r="J1720" s="5"/>
      <c r="K1720" s="5" t="s">
        <v>12472</v>
      </c>
    </row>
    <row r="1721" customFormat="false" ht="23.85" hidden="false" customHeight="false" outlineLevel="0" collapsed="false">
      <c r="A1721" s="5" t="s">
        <v>12473</v>
      </c>
      <c r="B1721" s="2" t="s">
        <v>12474</v>
      </c>
      <c r="C1721" s="5" t="s">
        <v>2128</v>
      </c>
      <c r="D1721" s="5" t="s">
        <v>62</v>
      </c>
      <c r="E1721" s="5" t="n">
        <v>5</v>
      </c>
      <c r="F1721" s="5" t="s">
        <v>1210</v>
      </c>
      <c r="G1721" s="2" t="s">
        <v>367</v>
      </c>
      <c r="H1721" s="5" t="s">
        <v>8336</v>
      </c>
      <c r="I1721" s="5"/>
      <c r="J1721" s="5"/>
      <c r="K1721" s="5" t="s">
        <v>12475</v>
      </c>
    </row>
    <row r="1722" customFormat="false" ht="23.85" hidden="false" customHeight="false" outlineLevel="0" collapsed="false">
      <c r="A1722" s="5" t="s">
        <v>12476</v>
      </c>
      <c r="B1722" s="2" t="s">
        <v>12477</v>
      </c>
      <c r="C1722" s="5" t="s">
        <v>2128</v>
      </c>
      <c r="D1722" s="5" t="s">
        <v>62</v>
      </c>
      <c r="E1722" s="5" t="n">
        <v>5</v>
      </c>
      <c r="F1722" s="5" t="s">
        <v>1210</v>
      </c>
      <c r="G1722" s="2" t="s">
        <v>367</v>
      </c>
      <c r="H1722" s="5" t="s">
        <v>8336</v>
      </c>
      <c r="I1722" s="5"/>
      <c r="J1722" s="5"/>
      <c r="K1722" s="5" t="s">
        <v>12478</v>
      </c>
    </row>
    <row r="1723" customFormat="false" ht="46.25" hidden="false" customHeight="false" outlineLevel="0" collapsed="false">
      <c r="A1723" s="5" t="s">
        <v>12479</v>
      </c>
      <c r="B1723" s="2" t="s">
        <v>12480</v>
      </c>
      <c r="C1723" s="5" t="s">
        <v>2245</v>
      </c>
      <c r="D1723" s="5" t="s">
        <v>62</v>
      </c>
      <c r="E1723" s="5" t="n">
        <v>3</v>
      </c>
      <c r="F1723" s="5" t="s">
        <v>1210</v>
      </c>
      <c r="G1723" s="2" t="s">
        <v>12057</v>
      </c>
      <c r="H1723" s="5" t="s">
        <v>8336</v>
      </c>
      <c r="I1723" s="5"/>
      <c r="J1723" s="5"/>
      <c r="K1723" s="5" t="s">
        <v>12481</v>
      </c>
    </row>
    <row r="1724" customFormat="false" ht="46.25" hidden="false" customHeight="false" outlineLevel="0" collapsed="false">
      <c r="A1724" s="5" t="s">
        <v>12482</v>
      </c>
      <c r="B1724" s="2" t="s">
        <v>12483</v>
      </c>
      <c r="C1724" s="5" t="s">
        <v>2245</v>
      </c>
      <c r="D1724" s="5" t="s">
        <v>62</v>
      </c>
      <c r="E1724" s="5" t="n">
        <v>3</v>
      </c>
      <c r="F1724" s="5" t="s">
        <v>1210</v>
      </c>
      <c r="G1724" s="2" t="s">
        <v>12057</v>
      </c>
      <c r="H1724" s="5" t="s">
        <v>8336</v>
      </c>
      <c r="I1724" s="5"/>
      <c r="J1724" s="5"/>
      <c r="K1724" s="5" t="s">
        <v>12484</v>
      </c>
    </row>
    <row r="1725" customFormat="false" ht="23.85" hidden="false" customHeight="false" outlineLevel="0" collapsed="false">
      <c r="A1725" s="5" t="s">
        <v>12485</v>
      </c>
      <c r="B1725" s="2" t="s">
        <v>12486</v>
      </c>
      <c r="C1725" s="5" t="s">
        <v>2128</v>
      </c>
      <c r="D1725" s="5" t="s">
        <v>62</v>
      </c>
      <c r="E1725" s="5" t="n">
        <v>5</v>
      </c>
      <c r="F1725" s="5" t="s">
        <v>277</v>
      </c>
      <c r="G1725" s="2" t="s">
        <v>367</v>
      </c>
      <c r="H1725" s="5" t="s">
        <v>8336</v>
      </c>
      <c r="I1725" s="5"/>
      <c r="J1725" s="5"/>
      <c r="K1725" s="5" t="s">
        <v>12487</v>
      </c>
    </row>
    <row r="1726" customFormat="false" ht="46.25" hidden="false" customHeight="false" outlineLevel="0" collapsed="false">
      <c r="A1726" s="5" t="s">
        <v>12488</v>
      </c>
      <c r="B1726" s="2" t="s">
        <v>12489</v>
      </c>
      <c r="C1726" s="5" t="s">
        <v>2245</v>
      </c>
      <c r="D1726" s="5" t="s">
        <v>62</v>
      </c>
      <c r="E1726" s="5" t="n">
        <v>5</v>
      </c>
      <c r="F1726" s="5" t="s">
        <v>277</v>
      </c>
      <c r="G1726" s="2" t="s">
        <v>12054</v>
      </c>
      <c r="H1726" s="5" t="s">
        <v>8336</v>
      </c>
      <c r="I1726" s="5"/>
      <c r="J1726" s="5"/>
      <c r="K1726" s="5" t="s">
        <v>12490</v>
      </c>
    </row>
    <row r="1727" customFormat="false" ht="23.85" hidden="false" customHeight="false" outlineLevel="0" collapsed="false">
      <c r="A1727" s="5" t="s">
        <v>1172</v>
      </c>
      <c r="B1727" s="2" t="s">
        <v>1173</v>
      </c>
      <c r="C1727" s="5" t="s">
        <v>488</v>
      </c>
      <c r="D1727" s="5" t="s">
        <v>62</v>
      </c>
      <c r="E1727" s="5" t="n">
        <v>5</v>
      </c>
      <c r="F1727" s="5" t="s">
        <v>90</v>
      </c>
      <c r="G1727" s="2" t="s">
        <v>367</v>
      </c>
      <c r="H1727" s="5" t="s">
        <v>8332</v>
      </c>
      <c r="I1727" s="5" t="s">
        <v>60</v>
      </c>
      <c r="J1727" s="5" t="s">
        <v>1174</v>
      </c>
      <c r="K1727" s="5" t="s">
        <v>1178</v>
      </c>
    </row>
    <row r="1728" customFormat="false" ht="23.85" hidden="false" customHeight="false" outlineLevel="0" collapsed="false">
      <c r="A1728" s="5" t="s">
        <v>12491</v>
      </c>
      <c r="B1728" s="2" t="s">
        <v>12492</v>
      </c>
      <c r="C1728" s="5" t="s">
        <v>2128</v>
      </c>
      <c r="D1728" s="5" t="s">
        <v>62</v>
      </c>
      <c r="E1728" s="5" t="n">
        <v>5</v>
      </c>
      <c r="F1728" s="5" t="s">
        <v>413</v>
      </c>
      <c r="G1728" s="2" t="s">
        <v>367</v>
      </c>
      <c r="H1728" s="5" t="s">
        <v>8336</v>
      </c>
      <c r="I1728" s="5"/>
      <c r="J1728" s="5"/>
      <c r="K1728" s="5" t="s">
        <v>12493</v>
      </c>
    </row>
    <row r="1729" customFormat="false" ht="35.05" hidden="false" customHeight="false" outlineLevel="0" collapsed="false">
      <c r="A1729" s="5" t="s">
        <v>301</v>
      </c>
      <c r="B1729" s="2" t="s">
        <v>302</v>
      </c>
      <c r="C1729" s="5" t="s">
        <v>59</v>
      </c>
      <c r="D1729" s="5" t="s">
        <v>62</v>
      </c>
      <c r="E1729" s="5" t="n">
        <v>9</v>
      </c>
      <c r="F1729" s="5" t="s">
        <v>100</v>
      </c>
      <c r="G1729" s="2" t="s">
        <v>12494</v>
      </c>
      <c r="H1729" s="5" t="s">
        <v>8332</v>
      </c>
      <c r="I1729" s="5" t="s">
        <v>60</v>
      </c>
      <c r="J1729" s="5" t="s">
        <v>303</v>
      </c>
      <c r="K1729" s="5" t="s">
        <v>311</v>
      </c>
    </row>
    <row r="1730" customFormat="false" ht="23.85" hidden="false" customHeight="false" outlineLevel="0" collapsed="false">
      <c r="A1730" s="5" t="s">
        <v>12495</v>
      </c>
      <c r="B1730" s="2" t="s">
        <v>12496</v>
      </c>
      <c r="C1730" s="5" t="s">
        <v>2128</v>
      </c>
      <c r="D1730" s="5" t="s">
        <v>62</v>
      </c>
      <c r="E1730" s="5" t="n">
        <v>5</v>
      </c>
      <c r="F1730" s="5" t="s">
        <v>90</v>
      </c>
      <c r="G1730" s="2" t="s">
        <v>367</v>
      </c>
      <c r="H1730" s="5" t="s">
        <v>8336</v>
      </c>
      <c r="I1730" s="5"/>
      <c r="J1730" s="5"/>
      <c r="K1730" s="5" t="s">
        <v>12497</v>
      </c>
    </row>
    <row r="1731" customFormat="false" ht="15" hidden="false" customHeight="false" outlineLevel="0" collapsed="false">
      <c r="A1731" s="5" t="s">
        <v>12498</v>
      </c>
      <c r="B1731" s="2" t="s">
        <v>12499</v>
      </c>
      <c r="C1731" s="5" t="s">
        <v>2128</v>
      </c>
      <c r="D1731" s="5" t="s">
        <v>62</v>
      </c>
      <c r="E1731" s="5" t="n">
        <v>7</v>
      </c>
      <c r="F1731" s="5" t="s">
        <v>413</v>
      </c>
      <c r="G1731" s="2" t="s">
        <v>367</v>
      </c>
      <c r="H1731" s="5" t="s">
        <v>8336</v>
      </c>
      <c r="I1731" s="5"/>
      <c r="J1731" s="5"/>
      <c r="K1731" s="5" t="s">
        <v>12500</v>
      </c>
    </row>
    <row r="1732" customFormat="false" ht="15" hidden="false" customHeight="false" outlineLevel="0" collapsed="false">
      <c r="A1732" s="5" t="s">
        <v>3370</v>
      </c>
      <c r="B1732" s="2" t="s">
        <v>3371</v>
      </c>
      <c r="C1732" s="5" t="s">
        <v>2128</v>
      </c>
      <c r="D1732" s="5" t="s">
        <v>62</v>
      </c>
      <c r="E1732" s="5" t="n">
        <v>7</v>
      </c>
      <c r="F1732" s="5" t="s">
        <v>1814</v>
      </c>
      <c r="G1732" s="2" t="s">
        <v>367</v>
      </c>
      <c r="H1732" s="5" t="s">
        <v>8332</v>
      </c>
      <c r="I1732" s="5" t="s">
        <v>60</v>
      </c>
      <c r="J1732" s="5" t="s">
        <v>2754</v>
      </c>
      <c r="K1732" s="5" t="s">
        <v>3378</v>
      </c>
    </row>
    <row r="1733" customFormat="false" ht="15" hidden="false" customHeight="false" outlineLevel="0" collapsed="false">
      <c r="A1733" s="5" t="s">
        <v>12501</v>
      </c>
      <c r="B1733" s="2" t="s">
        <v>12502</v>
      </c>
      <c r="C1733" s="5" t="s">
        <v>2128</v>
      </c>
      <c r="D1733" s="5" t="s">
        <v>62</v>
      </c>
      <c r="E1733" s="5" t="n">
        <v>5</v>
      </c>
      <c r="F1733" s="5" t="s">
        <v>90</v>
      </c>
      <c r="G1733" s="2" t="s">
        <v>367</v>
      </c>
      <c r="H1733" s="5" t="s">
        <v>8336</v>
      </c>
      <c r="I1733" s="5"/>
      <c r="J1733" s="5"/>
      <c r="K1733" s="5" t="s">
        <v>12503</v>
      </c>
    </row>
    <row r="1734" customFormat="false" ht="15" hidden="false" customHeight="false" outlineLevel="0" collapsed="false">
      <c r="A1734" s="5" t="s">
        <v>12504</v>
      </c>
      <c r="B1734" s="2" t="s">
        <v>12505</v>
      </c>
      <c r="C1734" s="5" t="s">
        <v>2128</v>
      </c>
      <c r="D1734" s="5" t="s">
        <v>62</v>
      </c>
      <c r="E1734" s="5" t="n">
        <v>7</v>
      </c>
      <c r="F1734" s="5" t="s">
        <v>67</v>
      </c>
      <c r="G1734" s="2" t="s">
        <v>367</v>
      </c>
      <c r="H1734" s="5" t="s">
        <v>8336</v>
      </c>
      <c r="I1734" s="5"/>
      <c r="J1734" s="5"/>
      <c r="K1734" s="5" t="s">
        <v>12506</v>
      </c>
    </row>
    <row r="1735" customFormat="false" ht="23.85" hidden="false" customHeight="false" outlineLevel="0" collapsed="false">
      <c r="A1735" s="5" t="s">
        <v>12507</v>
      </c>
      <c r="B1735" s="2" t="s">
        <v>12508</v>
      </c>
      <c r="C1735" s="5" t="s">
        <v>2128</v>
      </c>
      <c r="D1735" s="5" t="s">
        <v>62</v>
      </c>
      <c r="E1735" s="5" t="n">
        <v>5</v>
      </c>
      <c r="F1735" s="5" t="s">
        <v>413</v>
      </c>
      <c r="G1735" s="2" t="s">
        <v>367</v>
      </c>
      <c r="H1735" s="5" t="s">
        <v>8336</v>
      </c>
      <c r="I1735" s="5"/>
      <c r="J1735" s="5"/>
      <c r="K1735" s="5" t="s">
        <v>12509</v>
      </c>
    </row>
    <row r="1736" customFormat="false" ht="23.85" hidden="false" customHeight="false" outlineLevel="0" collapsed="false">
      <c r="A1736" s="5" t="s">
        <v>12510</v>
      </c>
      <c r="B1736" s="2" t="s">
        <v>12511</v>
      </c>
      <c r="C1736" s="5" t="s">
        <v>2128</v>
      </c>
      <c r="D1736" s="5" t="s">
        <v>62</v>
      </c>
      <c r="E1736" s="5" t="n">
        <v>7</v>
      </c>
      <c r="F1736" s="5" t="s">
        <v>90</v>
      </c>
      <c r="G1736" s="2" t="s">
        <v>367</v>
      </c>
      <c r="H1736" s="5" t="s">
        <v>8336</v>
      </c>
      <c r="I1736" s="5"/>
      <c r="J1736" s="5"/>
      <c r="K1736" s="5" t="s">
        <v>12512</v>
      </c>
    </row>
    <row r="1737" customFormat="false" ht="23.85" hidden="false" customHeight="false" outlineLevel="0" collapsed="false">
      <c r="A1737" s="5" t="s">
        <v>12513</v>
      </c>
      <c r="B1737" s="2" t="s">
        <v>12514</v>
      </c>
      <c r="C1737" s="5" t="s">
        <v>2128</v>
      </c>
      <c r="D1737" s="5" t="s">
        <v>62</v>
      </c>
      <c r="E1737" s="5" t="n">
        <v>7</v>
      </c>
      <c r="F1737" s="5" t="s">
        <v>1210</v>
      </c>
      <c r="G1737" s="2" t="s">
        <v>367</v>
      </c>
      <c r="H1737" s="5" t="s">
        <v>8336</v>
      </c>
      <c r="I1737" s="5"/>
      <c r="J1737" s="5"/>
      <c r="K1737" s="5" t="s">
        <v>12515</v>
      </c>
    </row>
    <row r="1738" customFormat="false" ht="23.85" hidden="false" customHeight="false" outlineLevel="0" collapsed="false">
      <c r="A1738" s="5" t="s">
        <v>12516</v>
      </c>
      <c r="B1738" s="2" t="s">
        <v>12517</v>
      </c>
      <c r="C1738" s="5" t="s">
        <v>2128</v>
      </c>
      <c r="D1738" s="5" t="s">
        <v>62</v>
      </c>
      <c r="E1738" s="5" t="n">
        <v>7</v>
      </c>
      <c r="F1738" s="5" t="s">
        <v>536</v>
      </c>
      <c r="G1738" s="2" t="s">
        <v>367</v>
      </c>
      <c r="H1738" s="5" t="s">
        <v>8336</v>
      </c>
      <c r="I1738" s="5"/>
      <c r="J1738" s="5"/>
      <c r="K1738" s="5" t="s">
        <v>12518</v>
      </c>
    </row>
    <row r="1739" customFormat="false" ht="23.85" hidden="false" customHeight="false" outlineLevel="0" collapsed="false">
      <c r="A1739" s="5" t="s">
        <v>1179</v>
      </c>
      <c r="B1739" s="2" t="s">
        <v>1180</v>
      </c>
      <c r="C1739" s="5" t="s">
        <v>488</v>
      </c>
      <c r="D1739" s="5" t="s">
        <v>62</v>
      </c>
      <c r="E1739" s="5" t="n">
        <v>7</v>
      </c>
      <c r="F1739" s="5" t="s">
        <v>100</v>
      </c>
      <c r="G1739" s="2" t="s">
        <v>367</v>
      </c>
      <c r="H1739" s="5" t="s">
        <v>8332</v>
      </c>
      <c r="I1739" s="5" t="s">
        <v>60</v>
      </c>
      <c r="J1739" s="5" t="s">
        <v>100</v>
      </c>
      <c r="K1739" s="5" t="s">
        <v>1183</v>
      </c>
    </row>
    <row r="1740" customFormat="false" ht="46.25" hidden="false" customHeight="false" outlineLevel="0" collapsed="false">
      <c r="A1740" s="5" t="s">
        <v>12519</v>
      </c>
      <c r="B1740" s="2" t="s">
        <v>12520</v>
      </c>
      <c r="C1740" s="5" t="s">
        <v>2245</v>
      </c>
      <c r="D1740" s="5" t="s">
        <v>490</v>
      </c>
      <c r="E1740" s="5" t="n">
        <v>5</v>
      </c>
      <c r="F1740" s="5" t="s">
        <v>1210</v>
      </c>
      <c r="G1740" s="2" t="s">
        <v>12521</v>
      </c>
      <c r="H1740" s="5" t="s">
        <v>8336</v>
      </c>
      <c r="I1740" s="5"/>
      <c r="J1740" s="5"/>
      <c r="K1740" s="5" t="s">
        <v>12522</v>
      </c>
    </row>
    <row r="1741" customFormat="false" ht="46.25" hidden="false" customHeight="false" outlineLevel="0" collapsed="false">
      <c r="A1741" s="5" t="s">
        <v>12523</v>
      </c>
      <c r="B1741" s="2" t="s">
        <v>12524</v>
      </c>
      <c r="C1741" s="5" t="s">
        <v>2245</v>
      </c>
      <c r="D1741" s="5" t="s">
        <v>62</v>
      </c>
      <c r="E1741" s="5" t="n">
        <v>5</v>
      </c>
      <c r="F1741" s="5" t="s">
        <v>67</v>
      </c>
      <c r="G1741" s="2" t="s">
        <v>12057</v>
      </c>
      <c r="H1741" s="5" t="s">
        <v>8336</v>
      </c>
      <c r="I1741" s="5"/>
      <c r="J1741" s="5"/>
      <c r="K1741" s="5" t="s">
        <v>12525</v>
      </c>
    </row>
    <row r="1742" customFormat="false" ht="23.85" hidden="false" customHeight="false" outlineLevel="0" collapsed="false">
      <c r="A1742" s="5" t="s">
        <v>3379</v>
      </c>
      <c r="B1742" s="2" t="s">
        <v>3380</v>
      </c>
      <c r="C1742" s="5" t="s">
        <v>2128</v>
      </c>
      <c r="D1742" s="5" t="s">
        <v>62</v>
      </c>
      <c r="E1742" s="5" t="n">
        <v>7</v>
      </c>
      <c r="F1742" s="5" t="s">
        <v>67</v>
      </c>
      <c r="G1742" s="2" t="s">
        <v>184</v>
      </c>
      <c r="H1742" s="5" t="s">
        <v>8332</v>
      </c>
      <c r="I1742" s="5" t="s">
        <v>60</v>
      </c>
      <c r="J1742" s="5" t="s">
        <v>269</v>
      </c>
      <c r="K1742" s="5" t="s">
        <v>3385</v>
      </c>
    </row>
    <row r="1743" customFormat="false" ht="23.85" hidden="false" customHeight="false" outlineLevel="0" collapsed="false">
      <c r="A1743" s="5" t="s">
        <v>3386</v>
      </c>
      <c r="B1743" s="2" t="s">
        <v>3387</v>
      </c>
      <c r="C1743" s="5" t="s">
        <v>2128</v>
      </c>
      <c r="D1743" s="5" t="s">
        <v>62</v>
      </c>
      <c r="E1743" s="5" t="n">
        <v>7</v>
      </c>
      <c r="F1743" s="5" t="s">
        <v>3005</v>
      </c>
      <c r="G1743" s="2" t="s">
        <v>184</v>
      </c>
      <c r="H1743" s="5" t="s">
        <v>8332</v>
      </c>
      <c r="I1743" s="5" t="s">
        <v>60</v>
      </c>
      <c r="J1743" s="5" t="s">
        <v>269</v>
      </c>
      <c r="K1743" s="5" t="s">
        <v>3390</v>
      </c>
    </row>
    <row r="1744" customFormat="false" ht="46.25" hidden="false" customHeight="false" outlineLevel="0" collapsed="false">
      <c r="A1744" s="5" t="s">
        <v>3391</v>
      </c>
      <c r="B1744" s="2" t="s">
        <v>3392</v>
      </c>
      <c r="C1744" s="5" t="s">
        <v>2245</v>
      </c>
      <c r="D1744" s="5" t="s">
        <v>62</v>
      </c>
      <c r="E1744" s="5" t="n">
        <v>7</v>
      </c>
      <c r="F1744" s="5" t="s">
        <v>100</v>
      </c>
      <c r="G1744" s="2" t="s">
        <v>12054</v>
      </c>
      <c r="H1744" s="5" t="s">
        <v>8332</v>
      </c>
      <c r="I1744" s="5" t="s">
        <v>60</v>
      </c>
      <c r="J1744" s="5" t="s">
        <v>1104</v>
      </c>
      <c r="K1744" s="5" t="s">
        <v>3395</v>
      </c>
    </row>
    <row r="1745" customFormat="false" ht="15" hidden="false" customHeight="false" outlineLevel="0" collapsed="false">
      <c r="A1745" s="5" t="s">
        <v>12526</v>
      </c>
      <c r="B1745" s="2" t="s">
        <v>12527</v>
      </c>
      <c r="C1745" s="5" t="s">
        <v>2128</v>
      </c>
      <c r="D1745" s="5" t="s">
        <v>62</v>
      </c>
      <c r="E1745" s="5" t="n">
        <v>5</v>
      </c>
      <c r="F1745" s="5" t="s">
        <v>90</v>
      </c>
      <c r="G1745" s="2" t="s">
        <v>367</v>
      </c>
      <c r="H1745" s="5" t="s">
        <v>8336</v>
      </c>
      <c r="I1745" s="5"/>
      <c r="J1745" s="5"/>
      <c r="K1745" s="5" t="s">
        <v>12528</v>
      </c>
    </row>
    <row r="1746" customFormat="false" ht="15" hidden="false" customHeight="false" outlineLevel="0" collapsed="false">
      <c r="A1746" s="5" t="s">
        <v>1184</v>
      </c>
      <c r="B1746" s="2" t="s">
        <v>1185</v>
      </c>
      <c r="C1746" s="5" t="s">
        <v>488</v>
      </c>
      <c r="D1746" s="5" t="s">
        <v>62</v>
      </c>
      <c r="E1746" s="5" t="n">
        <v>7</v>
      </c>
      <c r="F1746" s="5" t="s">
        <v>100</v>
      </c>
      <c r="G1746" s="2" t="s">
        <v>367</v>
      </c>
      <c r="H1746" s="5" t="s">
        <v>8332</v>
      </c>
      <c r="I1746" s="5" t="s">
        <v>60</v>
      </c>
      <c r="J1746" s="5" t="s">
        <v>100</v>
      </c>
      <c r="K1746" s="5" t="s">
        <v>1188</v>
      </c>
    </row>
    <row r="1747" customFormat="false" ht="23.85" hidden="false" customHeight="false" outlineLevel="0" collapsed="false">
      <c r="A1747" s="5" t="s">
        <v>12529</v>
      </c>
      <c r="B1747" s="2" t="s">
        <v>12530</v>
      </c>
      <c r="C1747" s="5" t="s">
        <v>2128</v>
      </c>
      <c r="D1747" s="5" t="s">
        <v>62</v>
      </c>
      <c r="E1747" s="5" t="n">
        <v>7</v>
      </c>
      <c r="F1747" s="5" t="s">
        <v>90</v>
      </c>
      <c r="G1747" s="2" t="s">
        <v>367</v>
      </c>
      <c r="H1747" s="5" t="s">
        <v>8336</v>
      </c>
      <c r="I1747" s="5"/>
      <c r="J1747" s="5"/>
      <c r="K1747" s="5" t="s">
        <v>12531</v>
      </c>
    </row>
    <row r="1748" customFormat="false" ht="15" hidden="false" customHeight="false" outlineLevel="0" collapsed="false">
      <c r="A1748" s="5" t="s">
        <v>12532</v>
      </c>
      <c r="B1748" s="2" t="s">
        <v>12533</v>
      </c>
      <c r="C1748" s="5" t="s">
        <v>2128</v>
      </c>
      <c r="D1748" s="5" t="s">
        <v>62</v>
      </c>
      <c r="E1748" s="5" t="n">
        <v>5</v>
      </c>
      <c r="F1748" s="5" t="s">
        <v>90</v>
      </c>
      <c r="G1748" s="2" t="s">
        <v>367</v>
      </c>
      <c r="H1748" s="5" t="s">
        <v>8336</v>
      </c>
      <c r="I1748" s="5"/>
      <c r="J1748" s="5"/>
      <c r="K1748" s="5" t="s">
        <v>12534</v>
      </c>
    </row>
    <row r="1749" customFormat="false" ht="23.85" hidden="false" customHeight="false" outlineLevel="0" collapsed="false">
      <c r="A1749" s="5" t="s">
        <v>3396</v>
      </c>
      <c r="B1749" s="2" t="s">
        <v>3397</v>
      </c>
      <c r="C1749" s="5" t="s">
        <v>2128</v>
      </c>
      <c r="D1749" s="5" t="s">
        <v>62</v>
      </c>
      <c r="E1749" s="5" t="n">
        <v>7</v>
      </c>
      <c r="F1749" s="5" t="s">
        <v>90</v>
      </c>
      <c r="G1749" s="2" t="s">
        <v>367</v>
      </c>
      <c r="H1749" s="5" t="s">
        <v>8332</v>
      </c>
      <c r="I1749" s="5" t="s">
        <v>60</v>
      </c>
      <c r="J1749" s="5" t="s">
        <v>161</v>
      </c>
      <c r="K1749" s="5" t="s">
        <v>3400</v>
      </c>
    </row>
    <row r="1750" customFormat="false" ht="46.25" hidden="false" customHeight="false" outlineLevel="0" collapsed="false">
      <c r="A1750" s="5" t="s">
        <v>12535</v>
      </c>
      <c r="B1750" s="2" t="s">
        <v>12536</v>
      </c>
      <c r="C1750" s="5" t="s">
        <v>2245</v>
      </c>
      <c r="D1750" s="5" t="s">
        <v>62</v>
      </c>
      <c r="E1750" s="5" t="n">
        <v>5</v>
      </c>
      <c r="F1750" s="5" t="s">
        <v>90</v>
      </c>
      <c r="G1750" s="2" t="s">
        <v>12057</v>
      </c>
      <c r="H1750" s="5" t="s">
        <v>8336</v>
      </c>
      <c r="I1750" s="5"/>
      <c r="J1750" s="5"/>
      <c r="K1750" s="5" t="s">
        <v>12537</v>
      </c>
    </row>
    <row r="1751" customFormat="false" ht="15" hidden="false" customHeight="false" outlineLevel="0" collapsed="false">
      <c r="A1751" s="5" t="s">
        <v>12538</v>
      </c>
      <c r="B1751" s="2" t="s">
        <v>12539</v>
      </c>
      <c r="C1751" s="5" t="s">
        <v>2128</v>
      </c>
      <c r="D1751" s="5" t="s">
        <v>62</v>
      </c>
      <c r="E1751" s="5" t="n">
        <v>5</v>
      </c>
      <c r="F1751" s="5" t="s">
        <v>67</v>
      </c>
      <c r="G1751" s="2" t="s">
        <v>367</v>
      </c>
      <c r="H1751" s="5" t="s">
        <v>8336</v>
      </c>
      <c r="I1751" s="5"/>
      <c r="J1751" s="5"/>
      <c r="K1751" s="5" t="s">
        <v>12540</v>
      </c>
    </row>
    <row r="1752" customFormat="false" ht="23.85" hidden="false" customHeight="false" outlineLevel="0" collapsed="false">
      <c r="A1752" s="5" t="s">
        <v>12541</v>
      </c>
      <c r="B1752" s="2" t="s">
        <v>12542</v>
      </c>
      <c r="C1752" s="5" t="s">
        <v>2128</v>
      </c>
      <c r="D1752" s="5" t="s">
        <v>62</v>
      </c>
      <c r="E1752" s="5" t="n">
        <v>7</v>
      </c>
      <c r="F1752" s="5" t="s">
        <v>67</v>
      </c>
      <c r="G1752" s="2" t="s">
        <v>367</v>
      </c>
      <c r="H1752" s="5" t="s">
        <v>8336</v>
      </c>
      <c r="I1752" s="5"/>
      <c r="J1752" s="5"/>
      <c r="K1752" s="5" t="s">
        <v>12543</v>
      </c>
    </row>
    <row r="1753" customFormat="false" ht="15" hidden="false" customHeight="false" outlineLevel="0" collapsed="false">
      <c r="A1753" s="5" t="s">
        <v>1189</v>
      </c>
      <c r="B1753" s="2" t="s">
        <v>1190</v>
      </c>
      <c r="C1753" s="5" t="s">
        <v>488</v>
      </c>
      <c r="D1753" s="5" t="s">
        <v>62</v>
      </c>
      <c r="E1753" s="5" t="n">
        <v>7</v>
      </c>
      <c r="F1753" s="5" t="s">
        <v>100</v>
      </c>
      <c r="G1753" s="2" t="s">
        <v>367</v>
      </c>
      <c r="H1753" s="5" t="s">
        <v>8332</v>
      </c>
      <c r="I1753" s="5" t="s">
        <v>60</v>
      </c>
      <c r="J1753" s="5" t="s">
        <v>100</v>
      </c>
      <c r="K1753" s="5" t="s">
        <v>1195</v>
      </c>
    </row>
    <row r="1754" customFormat="false" ht="46.25" hidden="false" customHeight="false" outlineLevel="0" collapsed="false">
      <c r="A1754" s="5" t="s">
        <v>12544</v>
      </c>
      <c r="B1754" s="2" t="s">
        <v>12545</v>
      </c>
      <c r="C1754" s="5" t="s">
        <v>2245</v>
      </c>
      <c r="D1754" s="5" t="s">
        <v>62</v>
      </c>
      <c r="E1754" s="5" t="n">
        <v>7</v>
      </c>
      <c r="F1754" s="5" t="s">
        <v>90</v>
      </c>
      <c r="G1754" s="2" t="s">
        <v>12057</v>
      </c>
      <c r="H1754" s="5" t="s">
        <v>8336</v>
      </c>
      <c r="I1754" s="5"/>
      <c r="J1754" s="5"/>
      <c r="K1754" s="5" t="s">
        <v>12546</v>
      </c>
    </row>
    <row r="1755" customFormat="false" ht="23.85" hidden="false" customHeight="false" outlineLevel="0" collapsed="false">
      <c r="A1755" s="5" t="s">
        <v>1196</v>
      </c>
      <c r="B1755" s="2" t="s">
        <v>1197</v>
      </c>
      <c r="C1755" s="5" t="s">
        <v>488</v>
      </c>
      <c r="D1755" s="5" t="s">
        <v>62</v>
      </c>
      <c r="E1755" s="5" t="n">
        <v>7</v>
      </c>
      <c r="F1755" s="5" t="s">
        <v>413</v>
      </c>
      <c r="G1755" s="2" t="s">
        <v>184</v>
      </c>
      <c r="H1755" s="5" t="s">
        <v>8332</v>
      </c>
      <c r="I1755" s="5" t="s">
        <v>60</v>
      </c>
      <c r="J1755" s="5" t="s">
        <v>269</v>
      </c>
      <c r="K1755" s="5" t="s">
        <v>1203</v>
      </c>
    </row>
    <row r="1756" customFormat="false" ht="23.85" hidden="false" customHeight="false" outlineLevel="0" collapsed="false">
      <c r="A1756" s="5" t="s">
        <v>1204</v>
      </c>
      <c r="B1756" s="2" t="s">
        <v>1205</v>
      </c>
      <c r="C1756" s="5" t="s">
        <v>488</v>
      </c>
      <c r="D1756" s="5" t="s">
        <v>62</v>
      </c>
      <c r="E1756" s="5" t="n">
        <v>7</v>
      </c>
      <c r="F1756" s="5" t="s">
        <v>413</v>
      </c>
      <c r="G1756" s="2" t="s">
        <v>415</v>
      </c>
      <c r="H1756" s="5" t="s">
        <v>8332</v>
      </c>
      <c r="I1756" s="5" t="s">
        <v>60</v>
      </c>
      <c r="J1756" s="5"/>
      <c r="K1756" s="5" t="s">
        <v>1207</v>
      </c>
    </row>
    <row r="1757" customFormat="false" ht="23.85" hidden="false" customHeight="false" outlineLevel="0" collapsed="false">
      <c r="A1757" s="5" t="s">
        <v>1208</v>
      </c>
      <c r="B1757" s="2" t="s">
        <v>1209</v>
      </c>
      <c r="C1757" s="5" t="s">
        <v>488</v>
      </c>
      <c r="D1757" s="5" t="s">
        <v>62</v>
      </c>
      <c r="E1757" s="5" t="n">
        <v>5</v>
      </c>
      <c r="F1757" s="5" t="s">
        <v>1210</v>
      </c>
      <c r="G1757" s="2" t="s">
        <v>367</v>
      </c>
      <c r="H1757" s="5" t="s">
        <v>8332</v>
      </c>
      <c r="I1757" s="5" t="s">
        <v>60</v>
      </c>
      <c r="J1757" s="5"/>
      <c r="K1757" s="5" t="s">
        <v>1217</v>
      </c>
    </row>
    <row r="1758" customFormat="false" ht="23.85" hidden="false" customHeight="false" outlineLevel="0" collapsed="false">
      <c r="A1758" s="5" t="s">
        <v>12547</v>
      </c>
      <c r="B1758" s="2" t="s">
        <v>12548</v>
      </c>
      <c r="C1758" s="5" t="s">
        <v>2128</v>
      </c>
      <c r="D1758" s="5" t="s">
        <v>62</v>
      </c>
      <c r="E1758" s="5" t="n">
        <v>7</v>
      </c>
      <c r="F1758" s="5" t="s">
        <v>67</v>
      </c>
      <c r="G1758" s="2" t="s">
        <v>367</v>
      </c>
      <c r="H1758" s="5" t="s">
        <v>8336</v>
      </c>
      <c r="I1758" s="5"/>
      <c r="J1758" s="5"/>
      <c r="K1758" s="5" t="s">
        <v>12549</v>
      </c>
    </row>
    <row r="1759" customFormat="false" ht="46.25" hidden="false" customHeight="false" outlineLevel="0" collapsed="false">
      <c r="A1759" s="5" t="s">
        <v>12550</v>
      </c>
      <c r="B1759" s="2" t="s">
        <v>12551</v>
      </c>
      <c r="C1759" s="5" t="s">
        <v>2245</v>
      </c>
      <c r="D1759" s="5" t="s">
        <v>62</v>
      </c>
      <c r="E1759" s="5" t="n">
        <v>5</v>
      </c>
      <c r="F1759" s="5" t="s">
        <v>90</v>
      </c>
      <c r="G1759" s="2" t="s">
        <v>12057</v>
      </c>
      <c r="H1759" s="5" t="s">
        <v>8336</v>
      </c>
      <c r="I1759" s="5"/>
      <c r="J1759" s="5"/>
      <c r="K1759" s="5" t="s">
        <v>12552</v>
      </c>
    </row>
    <row r="1760" customFormat="false" ht="46.25" hidden="false" customHeight="false" outlineLevel="0" collapsed="false">
      <c r="A1760" s="5" t="s">
        <v>12553</v>
      </c>
      <c r="B1760" s="2" t="s">
        <v>12554</v>
      </c>
      <c r="C1760" s="5" t="s">
        <v>2245</v>
      </c>
      <c r="D1760" s="5" t="s">
        <v>62</v>
      </c>
      <c r="E1760" s="5" t="n">
        <v>7</v>
      </c>
      <c r="F1760" s="5" t="s">
        <v>413</v>
      </c>
      <c r="G1760" s="2" t="s">
        <v>12057</v>
      </c>
      <c r="H1760" s="5" t="s">
        <v>8336</v>
      </c>
      <c r="I1760" s="5"/>
      <c r="J1760" s="5"/>
      <c r="K1760" s="5" t="s">
        <v>12555</v>
      </c>
    </row>
    <row r="1761" customFormat="false" ht="46.25" hidden="false" customHeight="false" outlineLevel="0" collapsed="false">
      <c r="A1761" s="5" t="s">
        <v>12556</v>
      </c>
      <c r="B1761" s="2" t="s">
        <v>12557</v>
      </c>
      <c r="C1761" s="5" t="s">
        <v>2245</v>
      </c>
      <c r="D1761" s="5" t="s">
        <v>62</v>
      </c>
      <c r="E1761" s="5" t="n">
        <v>5</v>
      </c>
      <c r="F1761" s="5" t="s">
        <v>413</v>
      </c>
      <c r="G1761" s="2" t="s">
        <v>12057</v>
      </c>
      <c r="H1761" s="5" t="s">
        <v>8336</v>
      </c>
      <c r="I1761" s="5"/>
      <c r="J1761" s="5"/>
      <c r="K1761" s="5" t="s">
        <v>12558</v>
      </c>
    </row>
    <row r="1762" customFormat="false" ht="46.25" hidden="false" customHeight="false" outlineLevel="0" collapsed="false">
      <c r="A1762" s="5" t="s">
        <v>12559</v>
      </c>
      <c r="B1762" s="2" t="s">
        <v>12560</v>
      </c>
      <c r="C1762" s="5" t="s">
        <v>2245</v>
      </c>
      <c r="D1762" s="5" t="s">
        <v>62</v>
      </c>
      <c r="E1762" s="5" t="n">
        <v>5</v>
      </c>
      <c r="F1762" s="5" t="s">
        <v>413</v>
      </c>
      <c r="G1762" s="2" t="s">
        <v>12077</v>
      </c>
      <c r="H1762" s="5" t="s">
        <v>8336</v>
      </c>
      <c r="I1762" s="5"/>
      <c r="J1762" s="5"/>
      <c r="K1762" s="5" t="s">
        <v>12561</v>
      </c>
    </row>
    <row r="1763" customFormat="false" ht="15" hidden="false" customHeight="false" outlineLevel="0" collapsed="false">
      <c r="A1763" s="5" t="s">
        <v>12562</v>
      </c>
      <c r="B1763" s="2" t="s">
        <v>12563</v>
      </c>
      <c r="C1763" s="5" t="s">
        <v>2128</v>
      </c>
      <c r="D1763" s="5" t="s">
        <v>62</v>
      </c>
      <c r="E1763" s="5" t="n">
        <v>7</v>
      </c>
      <c r="F1763" s="5" t="s">
        <v>1814</v>
      </c>
      <c r="G1763" s="2" t="s">
        <v>367</v>
      </c>
      <c r="H1763" s="5" t="s">
        <v>8336</v>
      </c>
      <c r="I1763" s="5"/>
      <c r="J1763" s="5"/>
      <c r="K1763" s="5" t="s">
        <v>12564</v>
      </c>
    </row>
    <row r="1764" customFormat="false" ht="46.25" hidden="false" customHeight="false" outlineLevel="0" collapsed="false">
      <c r="A1764" s="5" t="s">
        <v>12565</v>
      </c>
      <c r="B1764" s="2" t="s">
        <v>12566</v>
      </c>
      <c r="C1764" s="5" t="s">
        <v>2245</v>
      </c>
      <c r="D1764" s="5" t="s">
        <v>62</v>
      </c>
      <c r="E1764" s="5" t="n">
        <v>5</v>
      </c>
      <c r="F1764" s="5" t="s">
        <v>90</v>
      </c>
      <c r="G1764" s="2" t="s">
        <v>12057</v>
      </c>
      <c r="H1764" s="5" t="s">
        <v>8336</v>
      </c>
      <c r="I1764" s="5"/>
      <c r="J1764" s="5"/>
      <c r="K1764" s="5" t="s">
        <v>12567</v>
      </c>
    </row>
    <row r="1765" customFormat="false" ht="46.25" hidden="false" customHeight="false" outlineLevel="0" collapsed="false">
      <c r="A1765" s="5" t="s">
        <v>12568</v>
      </c>
      <c r="B1765" s="2" t="s">
        <v>12569</v>
      </c>
      <c r="C1765" s="5" t="s">
        <v>2245</v>
      </c>
      <c r="D1765" s="5" t="s">
        <v>62</v>
      </c>
      <c r="E1765" s="5" t="n">
        <v>7</v>
      </c>
      <c r="F1765" s="5" t="s">
        <v>67</v>
      </c>
      <c r="G1765" s="2" t="s">
        <v>12057</v>
      </c>
      <c r="H1765" s="5" t="s">
        <v>8336</v>
      </c>
      <c r="I1765" s="5"/>
      <c r="J1765" s="5"/>
      <c r="K1765" s="5" t="s">
        <v>12570</v>
      </c>
    </row>
    <row r="1766" customFormat="false" ht="15" hidden="false" customHeight="false" outlineLevel="0" collapsed="false">
      <c r="A1766" s="5" t="s">
        <v>12571</v>
      </c>
      <c r="B1766" s="2" t="s">
        <v>12572</v>
      </c>
      <c r="C1766" s="5" t="s">
        <v>2128</v>
      </c>
      <c r="D1766" s="5" t="s">
        <v>62</v>
      </c>
      <c r="E1766" s="5" t="n">
        <v>3</v>
      </c>
      <c r="F1766" s="5" t="s">
        <v>1210</v>
      </c>
      <c r="G1766" s="2" t="s">
        <v>367</v>
      </c>
      <c r="H1766" s="5" t="s">
        <v>8336</v>
      </c>
      <c r="I1766" s="5"/>
      <c r="J1766" s="5"/>
      <c r="K1766" s="5" t="s">
        <v>12573</v>
      </c>
    </row>
    <row r="1767" customFormat="false" ht="46.25" hidden="false" customHeight="false" outlineLevel="0" collapsed="false">
      <c r="A1767" s="5" t="s">
        <v>12574</v>
      </c>
      <c r="B1767" s="2" t="s">
        <v>12575</v>
      </c>
      <c r="C1767" s="5" t="s">
        <v>2245</v>
      </c>
      <c r="D1767" s="5" t="s">
        <v>62</v>
      </c>
      <c r="E1767" s="5" t="n">
        <v>5</v>
      </c>
      <c r="F1767" s="5" t="s">
        <v>90</v>
      </c>
      <c r="G1767" s="2" t="s">
        <v>12057</v>
      </c>
      <c r="H1767" s="5" t="s">
        <v>8336</v>
      </c>
      <c r="I1767" s="5"/>
      <c r="J1767" s="5"/>
      <c r="K1767" s="5" t="s">
        <v>12576</v>
      </c>
    </row>
    <row r="1768" customFormat="false" ht="23.85" hidden="false" customHeight="false" outlineLevel="0" collapsed="false">
      <c r="A1768" s="5" t="s">
        <v>3401</v>
      </c>
      <c r="B1768" s="2" t="s">
        <v>3402</v>
      </c>
      <c r="C1768" s="5" t="s">
        <v>2128</v>
      </c>
      <c r="D1768" s="5" t="s">
        <v>62</v>
      </c>
      <c r="E1768" s="5" t="n">
        <v>5</v>
      </c>
      <c r="F1768" s="5" t="s">
        <v>2079</v>
      </c>
      <c r="G1768" s="2" t="s">
        <v>184</v>
      </c>
      <c r="H1768" s="5" t="s">
        <v>8332</v>
      </c>
      <c r="I1768" s="5" t="s">
        <v>60</v>
      </c>
      <c r="J1768" s="5" t="s">
        <v>2078</v>
      </c>
      <c r="K1768" s="5" t="s">
        <v>3405</v>
      </c>
    </row>
    <row r="1769" customFormat="false" ht="23.85" hidden="false" customHeight="false" outlineLevel="0" collapsed="false">
      <c r="A1769" s="5" t="s">
        <v>3406</v>
      </c>
      <c r="B1769" s="2" t="s">
        <v>3407</v>
      </c>
      <c r="C1769" s="5" t="s">
        <v>2128</v>
      </c>
      <c r="D1769" s="5" t="s">
        <v>62</v>
      </c>
      <c r="E1769" s="5" t="n">
        <v>7</v>
      </c>
      <c r="F1769" s="5" t="s">
        <v>2079</v>
      </c>
      <c r="G1769" s="2" t="s">
        <v>184</v>
      </c>
      <c r="H1769" s="5" t="s">
        <v>8332</v>
      </c>
      <c r="I1769" s="5" t="s">
        <v>60</v>
      </c>
      <c r="J1769" s="5" t="s">
        <v>2078</v>
      </c>
      <c r="K1769" s="5" t="s">
        <v>3412</v>
      </c>
    </row>
    <row r="1770" customFormat="false" ht="46.25" hidden="false" customHeight="false" outlineLevel="0" collapsed="false">
      <c r="A1770" s="5" t="s">
        <v>12577</v>
      </c>
      <c r="B1770" s="2" t="s">
        <v>12578</v>
      </c>
      <c r="C1770" s="5" t="s">
        <v>2245</v>
      </c>
      <c r="D1770" s="5" t="s">
        <v>62</v>
      </c>
      <c r="E1770" s="5" t="n">
        <v>7</v>
      </c>
      <c r="F1770" s="5" t="s">
        <v>90</v>
      </c>
      <c r="G1770" s="2" t="s">
        <v>12057</v>
      </c>
      <c r="H1770" s="5" t="s">
        <v>8336</v>
      </c>
      <c r="I1770" s="5"/>
      <c r="J1770" s="5"/>
      <c r="K1770" s="5" t="s">
        <v>12579</v>
      </c>
    </row>
    <row r="1771" customFormat="false" ht="15" hidden="false" customHeight="false" outlineLevel="0" collapsed="false">
      <c r="A1771" s="5" t="s">
        <v>12580</v>
      </c>
      <c r="B1771" s="2" t="s">
        <v>12581</v>
      </c>
      <c r="C1771" s="5" t="s">
        <v>2128</v>
      </c>
      <c r="D1771" s="5" t="s">
        <v>62</v>
      </c>
      <c r="E1771" s="5" t="n">
        <v>7</v>
      </c>
      <c r="F1771" s="5" t="s">
        <v>536</v>
      </c>
      <c r="G1771" s="2" t="s">
        <v>367</v>
      </c>
      <c r="H1771" s="5" t="s">
        <v>8336</v>
      </c>
      <c r="I1771" s="5"/>
      <c r="J1771" s="5"/>
      <c r="K1771" s="5" t="s">
        <v>12582</v>
      </c>
    </row>
    <row r="1772" customFormat="false" ht="46.25" hidden="false" customHeight="false" outlineLevel="0" collapsed="false">
      <c r="A1772" s="5" t="s">
        <v>12583</v>
      </c>
      <c r="B1772" s="2" t="s">
        <v>12584</v>
      </c>
      <c r="C1772" s="5" t="s">
        <v>2245</v>
      </c>
      <c r="D1772" s="5" t="s">
        <v>490</v>
      </c>
      <c r="E1772" s="5" t="n">
        <v>5</v>
      </c>
      <c r="F1772" s="5" t="s">
        <v>90</v>
      </c>
      <c r="G1772" s="2" t="s">
        <v>12057</v>
      </c>
      <c r="H1772" s="5" t="s">
        <v>8336</v>
      </c>
      <c r="I1772" s="5"/>
      <c r="J1772" s="5"/>
      <c r="K1772" s="5" t="s">
        <v>12585</v>
      </c>
    </row>
    <row r="1773" customFormat="false" ht="15" hidden="false" customHeight="false" outlineLevel="0" collapsed="false">
      <c r="A1773" s="5" t="s">
        <v>12586</v>
      </c>
      <c r="B1773" s="2" t="s">
        <v>12587</v>
      </c>
      <c r="C1773" s="5" t="s">
        <v>2128</v>
      </c>
      <c r="D1773" s="5" t="s">
        <v>62</v>
      </c>
      <c r="E1773" s="5" t="n">
        <v>7</v>
      </c>
      <c r="F1773" s="5" t="s">
        <v>536</v>
      </c>
      <c r="G1773" s="2" t="s">
        <v>367</v>
      </c>
      <c r="H1773" s="5" t="s">
        <v>8336</v>
      </c>
      <c r="I1773" s="5"/>
      <c r="J1773" s="5"/>
      <c r="K1773" s="5" t="s">
        <v>12588</v>
      </c>
    </row>
    <row r="1774" customFormat="false" ht="46.25" hidden="false" customHeight="false" outlineLevel="0" collapsed="false">
      <c r="A1774" s="5" t="s">
        <v>12589</v>
      </c>
      <c r="B1774" s="2" t="s">
        <v>12590</v>
      </c>
      <c r="C1774" s="5" t="s">
        <v>2245</v>
      </c>
      <c r="D1774" s="5" t="s">
        <v>490</v>
      </c>
      <c r="E1774" s="5" t="n">
        <v>7</v>
      </c>
      <c r="F1774" s="5" t="s">
        <v>536</v>
      </c>
      <c r="G1774" s="2" t="s">
        <v>12054</v>
      </c>
      <c r="H1774" s="5" t="s">
        <v>8336</v>
      </c>
      <c r="I1774" s="5"/>
      <c r="J1774" s="5"/>
      <c r="K1774" s="5" t="s">
        <v>12591</v>
      </c>
    </row>
    <row r="1775" customFormat="false" ht="15" hidden="false" customHeight="false" outlineLevel="0" collapsed="false">
      <c r="A1775" s="5" t="s">
        <v>12592</v>
      </c>
      <c r="B1775" s="2" t="s">
        <v>12593</v>
      </c>
      <c r="C1775" s="5" t="s">
        <v>2128</v>
      </c>
      <c r="D1775" s="5" t="s">
        <v>62</v>
      </c>
      <c r="E1775" s="5" t="n">
        <v>5</v>
      </c>
      <c r="F1775" s="5" t="s">
        <v>536</v>
      </c>
      <c r="G1775" s="2" t="s">
        <v>367</v>
      </c>
      <c r="H1775" s="5" t="s">
        <v>8336</v>
      </c>
      <c r="I1775" s="5"/>
      <c r="J1775" s="5"/>
      <c r="K1775" s="5" t="s">
        <v>12594</v>
      </c>
    </row>
    <row r="1776" customFormat="false" ht="23.85" hidden="false" customHeight="false" outlineLevel="0" collapsed="false">
      <c r="A1776" s="5" t="s">
        <v>12595</v>
      </c>
      <c r="B1776" s="2" t="s">
        <v>12596</v>
      </c>
      <c r="C1776" s="5" t="s">
        <v>2128</v>
      </c>
      <c r="D1776" s="5" t="s">
        <v>62</v>
      </c>
      <c r="E1776" s="5" t="n">
        <v>7</v>
      </c>
      <c r="F1776" s="5" t="s">
        <v>536</v>
      </c>
      <c r="G1776" s="2" t="s">
        <v>367</v>
      </c>
      <c r="H1776" s="5" t="s">
        <v>8336</v>
      </c>
      <c r="I1776" s="5"/>
      <c r="J1776" s="5"/>
      <c r="K1776" s="5" t="s">
        <v>12597</v>
      </c>
    </row>
    <row r="1777" customFormat="false" ht="46.25" hidden="false" customHeight="false" outlineLevel="0" collapsed="false">
      <c r="A1777" s="5" t="s">
        <v>12598</v>
      </c>
      <c r="B1777" s="2" t="s">
        <v>12599</v>
      </c>
      <c r="C1777" s="5" t="s">
        <v>2245</v>
      </c>
      <c r="D1777" s="5" t="s">
        <v>62</v>
      </c>
      <c r="E1777" s="5" t="n">
        <v>7</v>
      </c>
      <c r="F1777" s="5" t="s">
        <v>536</v>
      </c>
      <c r="G1777" s="2" t="s">
        <v>12054</v>
      </c>
      <c r="H1777" s="5" t="s">
        <v>8336</v>
      </c>
      <c r="I1777" s="5"/>
      <c r="J1777" s="5"/>
      <c r="K1777" s="5" t="s">
        <v>12600</v>
      </c>
    </row>
    <row r="1778" customFormat="false" ht="23.85" hidden="false" customHeight="false" outlineLevel="0" collapsed="false">
      <c r="A1778" s="5" t="s">
        <v>3413</v>
      </c>
      <c r="B1778" s="2" t="s">
        <v>3414</v>
      </c>
      <c r="C1778" s="5" t="s">
        <v>2128</v>
      </c>
      <c r="D1778" s="5" t="s">
        <v>62</v>
      </c>
      <c r="E1778" s="5" t="n">
        <v>5</v>
      </c>
      <c r="F1778" s="5" t="s">
        <v>2079</v>
      </c>
      <c r="G1778" s="2" t="s">
        <v>184</v>
      </c>
      <c r="H1778" s="5" t="s">
        <v>8332</v>
      </c>
      <c r="I1778" s="5" t="s">
        <v>60</v>
      </c>
      <c r="J1778" s="5" t="s">
        <v>2078</v>
      </c>
      <c r="K1778" s="5" t="s">
        <v>3420</v>
      </c>
    </row>
    <row r="1779" customFormat="false" ht="23.85" hidden="false" customHeight="false" outlineLevel="0" collapsed="false">
      <c r="A1779" s="5" t="s">
        <v>12601</v>
      </c>
      <c r="B1779" s="2" t="s">
        <v>12602</v>
      </c>
      <c r="C1779" s="5" t="s">
        <v>2128</v>
      </c>
      <c r="D1779" s="5" t="s">
        <v>62</v>
      </c>
      <c r="E1779" s="5" t="n">
        <v>7</v>
      </c>
      <c r="F1779" s="5" t="s">
        <v>90</v>
      </c>
      <c r="G1779" s="2" t="s">
        <v>367</v>
      </c>
      <c r="H1779" s="5" t="s">
        <v>8336</v>
      </c>
      <c r="I1779" s="5"/>
      <c r="J1779" s="5"/>
      <c r="K1779" s="5" t="s">
        <v>12603</v>
      </c>
    </row>
    <row r="1780" customFormat="false" ht="23.85" hidden="false" customHeight="false" outlineLevel="0" collapsed="false">
      <c r="A1780" s="5" t="s">
        <v>12604</v>
      </c>
      <c r="B1780" s="2" t="s">
        <v>12605</v>
      </c>
      <c r="C1780" s="5" t="s">
        <v>2128</v>
      </c>
      <c r="D1780" s="5" t="s">
        <v>62</v>
      </c>
      <c r="E1780" s="5" t="n">
        <v>5</v>
      </c>
      <c r="F1780" s="5" t="s">
        <v>90</v>
      </c>
      <c r="G1780" s="2" t="s">
        <v>12182</v>
      </c>
      <c r="H1780" s="5" t="s">
        <v>8336</v>
      </c>
      <c r="I1780" s="5"/>
      <c r="J1780" s="5"/>
      <c r="K1780" s="5" t="s">
        <v>12606</v>
      </c>
    </row>
    <row r="1781" customFormat="false" ht="23.85" hidden="false" customHeight="false" outlineLevel="0" collapsed="false">
      <c r="A1781" s="5" t="s">
        <v>12607</v>
      </c>
      <c r="B1781" s="2" t="s">
        <v>12608</v>
      </c>
      <c r="C1781" s="5" t="s">
        <v>2128</v>
      </c>
      <c r="D1781" s="5" t="s">
        <v>62</v>
      </c>
      <c r="E1781" s="5" t="n">
        <v>5</v>
      </c>
      <c r="F1781" s="5" t="s">
        <v>90</v>
      </c>
      <c r="G1781" s="2" t="s">
        <v>12182</v>
      </c>
      <c r="H1781" s="5" t="s">
        <v>8336</v>
      </c>
      <c r="I1781" s="5"/>
      <c r="J1781" s="5"/>
      <c r="K1781" s="5" t="s">
        <v>12609</v>
      </c>
    </row>
    <row r="1782" customFormat="false" ht="46.25" hidden="false" customHeight="false" outlineLevel="0" collapsed="false">
      <c r="A1782" s="5" t="s">
        <v>12610</v>
      </c>
      <c r="B1782" s="2" t="s">
        <v>12611</v>
      </c>
      <c r="C1782" s="5" t="s">
        <v>2245</v>
      </c>
      <c r="D1782" s="5" t="s">
        <v>62</v>
      </c>
      <c r="E1782" s="5" t="n">
        <v>5</v>
      </c>
      <c r="F1782" s="5" t="s">
        <v>90</v>
      </c>
      <c r="G1782" s="2" t="s">
        <v>12057</v>
      </c>
      <c r="H1782" s="5" t="s">
        <v>8336</v>
      </c>
      <c r="I1782" s="5"/>
      <c r="J1782" s="5"/>
      <c r="K1782" s="5" t="s">
        <v>12612</v>
      </c>
    </row>
    <row r="1783" customFormat="false" ht="23.85" hidden="false" customHeight="false" outlineLevel="0" collapsed="false">
      <c r="A1783" s="5" t="s">
        <v>12613</v>
      </c>
      <c r="B1783" s="2" t="s">
        <v>12614</v>
      </c>
      <c r="C1783" s="5" t="s">
        <v>2128</v>
      </c>
      <c r="D1783" s="5" t="s">
        <v>62</v>
      </c>
      <c r="E1783" s="5" t="n">
        <v>3</v>
      </c>
      <c r="F1783" s="5" t="s">
        <v>67</v>
      </c>
      <c r="G1783" s="2" t="s">
        <v>367</v>
      </c>
      <c r="H1783" s="5" t="s">
        <v>8336</v>
      </c>
      <c r="I1783" s="5"/>
      <c r="J1783" s="5"/>
      <c r="K1783" s="5" t="s">
        <v>12615</v>
      </c>
    </row>
    <row r="1784" customFormat="false" ht="15" hidden="false" customHeight="false" outlineLevel="0" collapsed="false">
      <c r="A1784" s="5" t="s">
        <v>12616</v>
      </c>
      <c r="B1784" s="2" t="s">
        <v>12617</v>
      </c>
      <c r="C1784" s="5" t="s">
        <v>2128</v>
      </c>
      <c r="D1784" s="5" t="s">
        <v>62</v>
      </c>
      <c r="E1784" s="5" t="n">
        <v>5</v>
      </c>
      <c r="F1784" s="5" t="s">
        <v>90</v>
      </c>
      <c r="G1784" s="2" t="s">
        <v>367</v>
      </c>
      <c r="H1784" s="5" t="s">
        <v>8336</v>
      </c>
      <c r="I1784" s="5"/>
      <c r="J1784" s="5"/>
      <c r="K1784" s="5" t="s">
        <v>12618</v>
      </c>
    </row>
    <row r="1785" customFormat="false" ht="46.25" hidden="false" customHeight="false" outlineLevel="0" collapsed="false">
      <c r="A1785" s="5" t="s">
        <v>12619</v>
      </c>
      <c r="B1785" s="2" t="s">
        <v>12620</v>
      </c>
      <c r="C1785" s="5" t="s">
        <v>2245</v>
      </c>
      <c r="D1785" s="5" t="s">
        <v>62</v>
      </c>
      <c r="E1785" s="5" t="n">
        <v>5</v>
      </c>
      <c r="F1785" s="5" t="s">
        <v>90</v>
      </c>
      <c r="G1785" s="2" t="s">
        <v>12054</v>
      </c>
      <c r="H1785" s="5" t="s">
        <v>8336</v>
      </c>
      <c r="I1785" s="5"/>
      <c r="J1785" s="5"/>
      <c r="K1785" s="5" t="s">
        <v>12621</v>
      </c>
    </row>
    <row r="1786" customFormat="false" ht="23.85" hidden="false" customHeight="false" outlineLevel="0" collapsed="false">
      <c r="A1786" s="5" t="s">
        <v>12622</v>
      </c>
      <c r="B1786" s="2" t="s">
        <v>12623</v>
      </c>
      <c r="C1786" s="5" t="s">
        <v>2128</v>
      </c>
      <c r="D1786" s="5" t="s">
        <v>62</v>
      </c>
      <c r="E1786" s="5" t="n">
        <v>5</v>
      </c>
      <c r="F1786" s="5" t="s">
        <v>413</v>
      </c>
      <c r="G1786" s="2" t="s">
        <v>367</v>
      </c>
      <c r="H1786" s="5" t="s">
        <v>8336</v>
      </c>
      <c r="I1786" s="5"/>
      <c r="J1786" s="5"/>
      <c r="K1786" s="5" t="s">
        <v>12624</v>
      </c>
    </row>
    <row r="1787" customFormat="false" ht="46.25" hidden="false" customHeight="false" outlineLevel="0" collapsed="false">
      <c r="A1787" s="5" t="s">
        <v>12625</v>
      </c>
      <c r="B1787" s="2" t="s">
        <v>12626</v>
      </c>
      <c r="C1787" s="5" t="s">
        <v>2245</v>
      </c>
      <c r="D1787" s="5" t="s">
        <v>490</v>
      </c>
      <c r="E1787" s="5" t="n">
        <v>7</v>
      </c>
      <c r="F1787" s="5" t="s">
        <v>90</v>
      </c>
      <c r="G1787" s="2" t="s">
        <v>12057</v>
      </c>
      <c r="H1787" s="5" t="s">
        <v>8336</v>
      </c>
      <c r="I1787" s="5"/>
      <c r="J1787" s="5"/>
      <c r="K1787" s="5" t="s">
        <v>12627</v>
      </c>
    </row>
    <row r="1788" customFormat="false" ht="23.85" hidden="false" customHeight="false" outlineLevel="0" collapsed="false">
      <c r="A1788" s="5" t="s">
        <v>3421</v>
      </c>
      <c r="B1788" s="2" t="s">
        <v>3422</v>
      </c>
      <c r="C1788" s="5" t="s">
        <v>2128</v>
      </c>
      <c r="D1788" s="5" t="s">
        <v>62</v>
      </c>
      <c r="E1788" s="5" t="n">
        <v>5</v>
      </c>
      <c r="F1788" s="5" t="s">
        <v>90</v>
      </c>
      <c r="G1788" s="2" t="s">
        <v>184</v>
      </c>
      <c r="H1788" s="5" t="s">
        <v>8332</v>
      </c>
      <c r="I1788" s="5" t="s">
        <v>60</v>
      </c>
      <c r="J1788" s="5" t="s">
        <v>269</v>
      </c>
      <c r="K1788" s="5" t="s">
        <v>3426</v>
      </c>
    </row>
    <row r="1789" customFormat="false" ht="23.85" hidden="false" customHeight="false" outlineLevel="0" collapsed="false">
      <c r="A1789" s="5" t="s">
        <v>12628</v>
      </c>
      <c r="B1789" s="2" t="s">
        <v>12629</v>
      </c>
      <c r="C1789" s="5" t="s">
        <v>2128</v>
      </c>
      <c r="D1789" s="5" t="s">
        <v>62</v>
      </c>
      <c r="E1789" s="5" t="n">
        <v>7</v>
      </c>
      <c r="F1789" s="5" t="s">
        <v>90</v>
      </c>
      <c r="G1789" s="2" t="s">
        <v>367</v>
      </c>
      <c r="H1789" s="5" t="s">
        <v>8336</v>
      </c>
      <c r="I1789" s="5"/>
      <c r="J1789" s="5"/>
      <c r="K1789" s="5" t="s">
        <v>12630</v>
      </c>
    </row>
    <row r="1790" customFormat="false" ht="46.25" hidden="false" customHeight="false" outlineLevel="0" collapsed="false">
      <c r="A1790" s="5" t="s">
        <v>12631</v>
      </c>
      <c r="B1790" s="2" t="s">
        <v>12632</v>
      </c>
      <c r="C1790" s="5" t="s">
        <v>2245</v>
      </c>
      <c r="D1790" s="5" t="s">
        <v>62</v>
      </c>
      <c r="E1790" s="5" t="n">
        <v>7</v>
      </c>
      <c r="F1790" s="5" t="s">
        <v>67</v>
      </c>
      <c r="G1790" s="2" t="s">
        <v>12057</v>
      </c>
      <c r="H1790" s="5" t="s">
        <v>8336</v>
      </c>
      <c r="I1790" s="5"/>
      <c r="J1790" s="5"/>
      <c r="K1790" s="5" t="s">
        <v>12633</v>
      </c>
    </row>
    <row r="1791" customFormat="false" ht="23.85" hidden="false" customHeight="false" outlineLevel="0" collapsed="false">
      <c r="A1791" s="5" t="s">
        <v>12634</v>
      </c>
      <c r="B1791" s="2" t="s">
        <v>12635</v>
      </c>
      <c r="C1791" s="5" t="s">
        <v>2128</v>
      </c>
      <c r="D1791" s="5" t="s">
        <v>62</v>
      </c>
      <c r="E1791" s="5" t="n">
        <v>7</v>
      </c>
      <c r="F1791" s="5" t="s">
        <v>67</v>
      </c>
      <c r="G1791" s="2" t="s">
        <v>415</v>
      </c>
      <c r="H1791" s="5" t="s">
        <v>8336</v>
      </c>
      <c r="I1791" s="5"/>
      <c r="J1791" s="5"/>
      <c r="K1791" s="5" t="s">
        <v>12636</v>
      </c>
    </row>
    <row r="1792" customFormat="false" ht="23.85" hidden="false" customHeight="false" outlineLevel="0" collapsed="false">
      <c r="A1792" s="5" t="s">
        <v>12637</v>
      </c>
      <c r="B1792" s="2" t="s">
        <v>12638</v>
      </c>
      <c r="C1792" s="5" t="s">
        <v>2128</v>
      </c>
      <c r="D1792" s="5" t="s">
        <v>62</v>
      </c>
      <c r="E1792" s="5" t="n">
        <v>9</v>
      </c>
      <c r="F1792" s="5" t="s">
        <v>67</v>
      </c>
      <c r="G1792" s="2" t="s">
        <v>415</v>
      </c>
      <c r="H1792" s="5" t="s">
        <v>8336</v>
      </c>
      <c r="I1792" s="5"/>
      <c r="J1792" s="5"/>
      <c r="K1792" s="5" t="s">
        <v>12639</v>
      </c>
    </row>
    <row r="1793" customFormat="false" ht="23.85" hidden="false" customHeight="false" outlineLevel="0" collapsed="false">
      <c r="A1793" s="5" t="s">
        <v>3427</v>
      </c>
      <c r="B1793" s="2" t="s">
        <v>3428</v>
      </c>
      <c r="C1793" s="5" t="s">
        <v>2128</v>
      </c>
      <c r="D1793" s="5" t="s">
        <v>62</v>
      </c>
      <c r="E1793" s="5" t="n">
        <v>9</v>
      </c>
      <c r="F1793" s="5" t="s">
        <v>90</v>
      </c>
      <c r="G1793" s="2" t="s">
        <v>184</v>
      </c>
      <c r="H1793" s="5" t="s">
        <v>8332</v>
      </c>
      <c r="I1793" s="5" t="s">
        <v>60</v>
      </c>
      <c r="J1793" s="5" t="s">
        <v>269</v>
      </c>
      <c r="K1793" s="5" t="s">
        <v>3432</v>
      </c>
    </row>
    <row r="1794" customFormat="false" ht="15" hidden="false" customHeight="false" outlineLevel="0" collapsed="false">
      <c r="A1794" s="5" t="s">
        <v>12640</v>
      </c>
      <c r="B1794" s="2" t="s">
        <v>12641</v>
      </c>
      <c r="C1794" s="5" t="s">
        <v>2128</v>
      </c>
      <c r="D1794" s="5" t="s">
        <v>62</v>
      </c>
      <c r="E1794" s="5" t="n">
        <v>5</v>
      </c>
      <c r="F1794" s="5" t="s">
        <v>90</v>
      </c>
      <c r="G1794" s="2" t="s">
        <v>367</v>
      </c>
      <c r="H1794" s="5" t="s">
        <v>8336</v>
      </c>
      <c r="I1794" s="5"/>
      <c r="J1794" s="5"/>
      <c r="K1794" s="5" t="s">
        <v>12642</v>
      </c>
    </row>
    <row r="1795" customFormat="false" ht="15" hidden="false" customHeight="false" outlineLevel="0" collapsed="false">
      <c r="A1795" s="5" t="s">
        <v>12643</v>
      </c>
      <c r="B1795" s="2" t="s">
        <v>12644</v>
      </c>
      <c r="C1795" s="5" t="s">
        <v>2128</v>
      </c>
      <c r="D1795" s="5" t="s">
        <v>62</v>
      </c>
      <c r="E1795" s="5" t="n">
        <v>3</v>
      </c>
      <c r="F1795" s="5" t="s">
        <v>67</v>
      </c>
      <c r="G1795" s="2" t="s">
        <v>367</v>
      </c>
      <c r="H1795" s="5" t="s">
        <v>8336</v>
      </c>
      <c r="I1795" s="5"/>
      <c r="J1795" s="5"/>
      <c r="K1795" s="5" t="s">
        <v>12645</v>
      </c>
    </row>
    <row r="1796" customFormat="false" ht="46.25" hidden="false" customHeight="false" outlineLevel="0" collapsed="false">
      <c r="A1796" s="5" t="s">
        <v>3433</v>
      </c>
      <c r="B1796" s="2" t="s">
        <v>3434</v>
      </c>
      <c r="C1796" s="5" t="s">
        <v>2245</v>
      </c>
      <c r="D1796" s="5" t="s">
        <v>62</v>
      </c>
      <c r="E1796" s="5" t="n">
        <v>7</v>
      </c>
      <c r="F1796" s="5" t="s">
        <v>90</v>
      </c>
      <c r="G1796" s="2" t="s">
        <v>12057</v>
      </c>
      <c r="H1796" s="5" t="s">
        <v>8332</v>
      </c>
      <c r="I1796" s="5" t="s">
        <v>60</v>
      </c>
      <c r="J1796" s="5" t="s">
        <v>751</v>
      </c>
      <c r="K1796" s="5" t="s">
        <v>3437</v>
      </c>
    </row>
    <row r="1797" customFormat="false" ht="46.25" hidden="false" customHeight="false" outlineLevel="0" collapsed="false">
      <c r="A1797" s="5" t="s">
        <v>3438</v>
      </c>
      <c r="B1797" s="2" t="s">
        <v>3439</v>
      </c>
      <c r="C1797" s="5" t="s">
        <v>2245</v>
      </c>
      <c r="D1797" s="5" t="s">
        <v>62</v>
      </c>
      <c r="E1797" s="5" t="n">
        <v>5</v>
      </c>
      <c r="F1797" s="5" t="s">
        <v>277</v>
      </c>
      <c r="G1797" s="2" t="s">
        <v>12054</v>
      </c>
      <c r="H1797" s="5" t="s">
        <v>8332</v>
      </c>
      <c r="I1797" s="5" t="s">
        <v>60</v>
      </c>
      <c r="J1797" s="5" t="s">
        <v>751</v>
      </c>
      <c r="K1797" s="5" t="s">
        <v>3443</v>
      </c>
    </row>
    <row r="1798" customFormat="false" ht="15" hidden="false" customHeight="false" outlineLevel="0" collapsed="false">
      <c r="A1798" s="5" t="s">
        <v>12646</v>
      </c>
      <c r="B1798" s="2" t="s">
        <v>12647</v>
      </c>
      <c r="C1798" s="5" t="s">
        <v>2128</v>
      </c>
      <c r="D1798" s="5" t="s">
        <v>62</v>
      </c>
      <c r="E1798" s="5" t="n">
        <v>3</v>
      </c>
      <c r="F1798" s="5" t="s">
        <v>277</v>
      </c>
      <c r="G1798" s="2" t="s">
        <v>367</v>
      </c>
      <c r="H1798" s="5" t="s">
        <v>8336</v>
      </c>
      <c r="I1798" s="5"/>
      <c r="J1798" s="5"/>
      <c r="K1798" s="5" t="s">
        <v>12648</v>
      </c>
    </row>
    <row r="1799" customFormat="false" ht="46.25" hidden="false" customHeight="false" outlineLevel="0" collapsed="false">
      <c r="A1799" s="5" t="s">
        <v>12649</v>
      </c>
      <c r="B1799" s="2" t="s">
        <v>12650</v>
      </c>
      <c r="C1799" s="5" t="s">
        <v>2245</v>
      </c>
      <c r="D1799" s="5" t="s">
        <v>62</v>
      </c>
      <c r="E1799" s="5" t="n">
        <v>5</v>
      </c>
      <c r="F1799" s="5" t="s">
        <v>67</v>
      </c>
      <c r="G1799" s="2" t="s">
        <v>12057</v>
      </c>
      <c r="H1799" s="5" t="s">
        <v>8336</v>
      </c>
      <c r="I1799" s="5"/>
      <c r="J1799" s="5"/>
      <c r="K1799" s="5" t="s">
        <v>12651</v>
      </c>
    </row>
    <row r="1800" customFormat="false" ht="46.25" hidden="false" customHeight="false" outlineLevel="0" collapsed="false">
      <c r="A1800" s="5" t="s">
        <v>12652</v>
      </c>
      <c r="B1800" s="2" t="s">
        <v>12653</v>
      </c>
      <c r="C1800" s="5" t="s">
        <v>2245</v>
      </c>
      <c r="D1800" s="5" t="s">
        <v>62</v>
      </c>
      <c r="E1800" s="5" t="n">
        <v>5</v>
      </c>
      <c r="F1800" s="5" t="s">
        <v>90</v>
      </c>
      <c r="G1800" s="2" t="s">
        <v>12057</v>
      </c>
      <c r="H1800" s="5" t="s">
        <v>8336</v>
      </c>
      <c r="I1800" s="5"/>
      <c r="J1800" s="5"/>
      <c r="K1800" s="5" t="s">
        <v>12654</v>
      </c>
    </row>
    <row r="1801" customFormat="false" ht="15" hidden="false" customHeight="false" outlineLevel="0" collapsed="false">
      <c r="A1801" s="5" t="s">
        <v>12655</v>
      </c>
      <c r="B1801" s="2" t="s">
        <v>12656</v>
      </c>
      <c r="C1801" s="5" t="s">
        <v>2128</v>
      </c>
      <c r="D1801" s="5" t="s">
        <v>62</v>
      </c>
      <c r="E1801" s="5" t="n">
        <v>7</v>
      </c>
      <c r="F1801" s="5" t="s">
        <v>536</v>
      </c>
      <c r="G1801" s="2" t="s">
        <v>367</v>
      </c>
      <c r="H1801" s="5" t="s">
        <v>8336</v>
      </c>
      <c r="I1801" s="5"/>
      <c r="J1801" s="5"/>
      <c r="K1801" s="5" t="s">
        <v>12657</v>
      </c>
    </row>
    <row r="1802" customFormat="false" ht="46.25" hidden="false" customHeight="false" outlineLevel="0" collapsed="false">
      <c r="A1802" s="5" t="s">
        <v>12658</v>
      </c>
      <c r="B1802" s="2" t="s">
        <v>12659</v>
      </c>
      <c r="C1802" s="5" t="s">
        <v>2245</v>
      </c>
      <c r="D1802" s="5" t="s">
        <v>62</v>
      </c>
      <c r="E1802" s="5" t="n">
        <v>5</v>
      </c>
      <c r="F1802" s="5" t="s">
        <v>67</v>
      </c>
      <c r="G1802" s="2" t="s">
        <v>12057</v>
      </c>
      <c r="H1802" s="5" t="s">
        <v>8336</v>
      </c>
      <c r="I1802" s="5"/>
      <c r="J1802" s="5"/>
      <c r="K1802" s="5" t="s">
        <v>12660</v>
      </c>
    </row>
    <row r="1803" customFormat="false" ht="46.25" hidden="false" customHeight="false" outlineLevel="0" collapsed="false">
      <c r="A1803" s="5" t="s">
        <v>12661</v>
      </c>
      <c r="B1803" s="2" t="s">
        <v>12662</v>
      </c>
      <c r="C1803" s="5" t="s">
        <v>2245</v>
      </c>
      <c r="D1803" s="5" t="s">
        <v>62</v>
      </c>
      <c r="E1803" s="5" t="n">
        <v>7</v>
      </c>
      <c r="F1803" s="5" t="s">
        <v>90</v>
      </c>
      <c r="G1803" s="2" t="s">
        <v>12057</v>
      </c>
      <c r="H1803" s="5" t="s">
        <v>8336</v>
      </c>
      <c r="I1803" s="5"/>
      <c r="J1803" s="5"/>
      <c r="K1803" s="5" t="s">
        <v>12663</v>
      </c>
    </row>
    <row r="1804" customFormat="false" ht="46.25" hidden="false" customHeight="false" outlineLevel="0" collapsed="false">
      <c r="A1804" s="5" t="s">
        <v>12664</v>
      </c>
      <c r="B1804" s="2" t="s">
        <v>12665</v>
      </c>
      <c r="C1804" s="5" t="s">
        <v>2245</v>
      </c>
      <c r="D1804" s="5" t="s">
        <v>62</v>
      </c>
      <c r="E1804" s="5" t="n">
        <v>5</v>
      </c>
      <c r="F1804" s="5" t="s">
        <v>90</v>
      </c>
      <c r="G1804" s="2" t="s">
        <v>12057</v>
      </c>
      <c r="H1804" s="5" t="s">
        <v>8336</v>
      </c>
      <c r="I1804" s="5"/>
      <c r="J1804" s="5"/>
      <c r="K1804" s="5" t="s">
        <v>12666</v>
      </c>
    </row>
    <row r="1805" customFormat="false" ht="15" hidden="false" customHeight="false" outlineLevel="0" collapsed="false">
      <c r="A1805" s="5" t="s">
        <v>12667</v>
      </c>
      <c r="B1805" s="2" t="s">
        <v>12668</v>
      </c>
      <c r="C1805" s="5" t="s">
        <v>2128</v>
      </c>
      <c r="D1805" s="5" t="s">
        <v>62</v>
      </c>
      <c r="E1805" s="5" t="n">
        <v>7</v>
      </c>
      <c r="F1805" s="5" t="s">
        <v>67</v>
      </c>
      <c r="G1805" s="2" t="s">
        <v>367</v>
      </c>
      <c r="H1805" s="5" t="s">
        <v>8336</v>
      </c>
      <c r="I1805" s="5"/>
      <c r="J1805" s="5"/>
      <c r="K1805" s="5" t="s">
        <v>12669</v>
      </c>
    </row>
    <row r="1806" customFormat="false" ht="46.25" hidden="false" customHeight="false" outlineLevel="0" collapsed="false">
      <c r="A1806" s="5" t="s">
        <v>12670</v>
      </c>
      <c r="B1806" s="2" t="s">
        <v>12671</v>
      </c>
      <c r="C1806" s="5" t="s">
        <v>2245</v>
      </c>
      <c r="D1806" s="5" t="s">
        <v>62</v>
      </c>
      <c r="E1806" s="5" t="n">
        <v>7</v>
      </c>
      <c r="F1806" s="5" t="s">
        <v>90</v>
      </c>
      <c r="G1806" s="2" t="s">
        <v>12054</v>
      </c>
      <c r="H1806" s="5" t="s">
        <v>8336</v>
      </c>
      <c r="I1806" s="5"/>
      <c r="J1806" s="5"/>
      <c r="K1806" s="5" t="s">
        <v>12672</v>
      </c>
    </row>
    <row r="1807" customFormat="false" ht="46.25" hidden="false" customHeight="false" outlineLevel="0" collapsed="false">
      <c r="A1807" s="5" t="s">
        <v>12673</v>
      </c>
      <c r="B1807" s="2" t="s">
        <v>12674</v>
      </c>
      <c r="C1807" s="5" t="s">
        <v>2245</v>
      </c>
      <c r="D1807" s="5" t="s">
        <v>62</v>
      </c>
      <c r="E1807" s="5" t="n">
        <v>7</v>
      </c>
      <c r="F1807" s="5" t="s">
        <v>67</v>
      </c>
      <c r="G1807" s="2" t="s">
        <v>12054</v>
      </c>
      <c r="H1807" s="5" t="s">
        <v>8336</v>
      </c>
      <c r="I1807" s="5"/>
      <c r="J1807" s="5"/>
      <c r="K1807" s="5" t="s">
        <v>12675</v>
      </c>
    </row>
    <row r="1808" customFormat="false" ht="46.25" hidden="false" customHeight="false" outlineLevel="0" collapsed="false">
      <c r="A1808" s="5" t="s">
        <v>12676</v>
      </c>
      <c r="B1808" s="2" t="s">
        <v>12677</v>
      </c>
      <c r="C1808" s="5" t="s">
        <v>2245</v>
      </c>
      <c r="D1808" s="5" t="s">
        <v>62</v>
      </c>
      <c r="E1808" s="5" t="n">
        <v>5</v>
      </c>
      <c r="F1808" s="5" t="s">
        <v>90</v>
      </c>
      <c r="G1808" s="2" t="s">
        <v>12057</v>
      </c>
      <c r="H1808" s="5" t="s">
        <v>8336</v>
      </c>
      <c r="I1808" s="5"/>
      <c r="J1808" s="5"/>
      <c r="K1808" s="5" t="s">
        <v>12678</v>
      </c>
    </row>
    <row r="1809" customFormat="false" ht="46.25" hidden="false" customHeight="false" outlineLevel="0" collapsed="false">
      <c r="A1809" s="5" t="s">
        <v>12679</v>
      </c>
      <c r="B1809" s="2" t="s">
        <v>12680</v>
      </c>
      <c r="C1809" s="5" t="s">
        <v>2245</v>
      </c>
      <c r="D1809" s="5" t="s">
        <v>62</v>
      </c>
      <c r="E1809" s="5" t="n">
        <v>7</v>
      </c>
      <c r="F1809" s="5" t="s">
        <v>90</v>
      </c>
      <c r="G1809" s="2" t="s">
        <v>12057</v>
      </c>
      <c r="H1809" s="5" t="s">
        <v>8336</v>
      </c>
      <c r="I1809" s="5"/>
      <c r="J1809" s="5"/>
      <c r="K1809" s="5" t="s">
        <v>12681</v>
      </c>
    </row>
    <row r="1810" customFormat="false" ht="23.85" hidden="false" customHeight="false" outlineLevel="0" collapsed="false">
      <c r="A1810" s="5" t="s">
        <v>12682</v>
      </c>
      <c r="B1810" s="2" t="s">
        <v>12683</v>
      </c>
      <c r="C1810" s="5" t="s">
        <v>2128</v>
      </c>
      <c r="D1810" s="5" t="s">
        <v>62</v>
      </c>
      <c r="E1810" s="5" t="n">
        <v>7</v>
      </c>
      <c r="F1810" s="5" t="s">
        <v>67</v>
      </c>
      <c r="G1810" s="2" t="s">
        <v>367</v>
      </c>
      <c r="H1810" s="5" t="s">
        <v>8336</v>
      </c>
      <c r="I1810" s="5"/>
      <c r="J1810" s="5"/>
      <c r="K1810" s="5" t="s">
        <v>12684</v>
      </c>
    </row>
    <row r="1811" customFormat="false" ht="46.25" hidden="false" customHeight="false" outlineLevel="0" collapsed="false">
      <c r="A1811" s="5" t="s">
        <v>12685</v>
      </c>
      <c r="B1811" s="2" t="s">
        <v>12686</v>
      </c>
      <c r="C1811" s="5" t="s">
        <v>2245</v>
      </c>
      <c r="D1811" s="5" t="s">
        <v>62</v>
      </c>
      <c r="E1811" s="5" t="n">
        <v>5</v>
      </c>
      <c r="F1811" s="5" t="s">
        <v>90</v>
      </c>
      <c r="G1811" s="2" t="s">
        <v>12057</v>
      </c>
      <c r="H1811" s="5" t="s">
        <v>8336</v>
      </c>
      <c r="I1811" s="5"/>
      <c r="J1811" s="5"/>
      <c r="K1811" s="5" t="s">
        <v>12687</v>
      </c>
    </row>
    <row r="1812" customFormat="false" ht="23.85" hidden="false" customHeight="false" outlineLevel="0" collapsed="false">
      <c r="A1812" s="5" t="s">
        <v>12688</v>
      </c>
      <c r="B1812" s="2" t="s">
        <v>12689</v>
      </c>
      <c r="C1812" s="5" t="s">
        <v>2128</v>
      </c>
      <c r="D1812" s="5" t="s">
        <v>62</v>
      </c>
      <c r="E1812" s="5" t="n">
        <v>7</v>
      </c>
      <c r="F1812" s="5" t="s">
        <v>67</v>
      </c>
      <c r="G1812" s="2" t="s">
        <v>367</v>
      </c>
      <c r="H1812" s="5" t="s">
        <v>8336</v>
      </c>
      <c r="I1812" s="5"/>
      <c r="J1812" s="5"/>
      <c r="K1812" s="5" t="s">
        <v>12690</v>
      </c>
    </row>
    <row r="1813" customFormat="false" ht="46.25" hidden="false" customHeight="false" outlineLevel="0" collapsed="false">
      <c r="A1813" s="5" t="s">
        <v>12691</v>
      </c>
      <c r="B1813" s="2" t="s">
        <v>12692</v>
      </c>
      <c r="C1813" s="5" t="s">
        <v>2245</v>
      </c>
      <c r="D1813" s="5" t="s">
        <v>62</v>
      </c>
      <c r="E1813" s="5" t="n">
        <v>7</v>
      </c>
      <c r="F1813" s="5" t="s">
        <v>90</v>
      </c>
      <c r="G1813" s="2" t="s">
        <v>12057</v>
      </c>
      <c r="H1813" s="5" t="s">
        <v>8336</v>
      </c>
      <c r="I1813" s="5"/>
      <c r="J1813" s="5"/>
      <c r="K1813" s="5" t="s">
        <v>12693</v>
      </c>
    </row>
    <row r="1814" customFormat="false" ht="46.25" hidden="false" customHeight="false" outlineLevel="0" collapsed="false">
      <c r="A1814" s="5" t="s">
        <v>12694</v>
      </c>
      <c r="B1814" s="2" t="s">
        <v>12695</v>
      </c>
      <c r="C1814" s="5" t="s">
        <v>2245</v>
      </c>
      <c r="D1814" s="5" t="s">
        <v>62</v>
      </c>
      <c r="E1814" s="5" t="n">
        <v>5</v>
      </c>
      <c r="F1814" s="5" t="s">
        <v>90</v>
      </c>
      <c r="G1814" s="2" t="s">
        <v>12057</v>
      </c>
      <c r="H1814" s="5" t="s">
        <v>8336</v>
      </c>
      <c r="I1814" s="5"/>
      <c r="J1814" s="5"/>
      <c r="K1814" s="5" t="s">
        <v>12696</v>
      </c>
    </row>
    <row r="1815" customFormat="false" ht="15" hidden="false" customHeight="false" outlineLevel="0" collapsed="false">
      <c r="A1815" s="5" t="s">
        <v>12697</v>
      </c>
      <c r="B1815" s="2" t="s">
        <v>12698</v>
      </c>
      <c r="C1815" s="5" t="s">
        <v>2128</v>
      </c>
      <c r="D1815" s="5" t="s">
        <v>62</v>
      </c>
      <c r="E1815" s="5" t="n">
        <v>7</v>
      </c>
      <c r="F1815" s="5" t="s">
        <v>67</v>
      </c>
      <c r="G1815" s="2" t="s">
        <v>367</v>
      </c>
      <c r="H1815" s="5" t="s">
        <v>8336</v>
      </c>
      <c r="I1815" s="5"/>
      <c r="J1815" s="5"/>
      <c r="K1815" s="5" t="s">
        <v>12699</v>
      </c>
    </row>
    <row r="1816" customFormat="false" ht="46.25" hidden="false" customHeight="false" outlineLevel="0" collapsed="false">
      <c r="A1816" s="5" t="s">
        <v>12700</v>
      </c>
      <c r="B1816" s="2" t="s">
        <v>12701</v>
      </c>
      <c r="C1816" s="5" t="s">
        <v>2245</v>
      </c>
      <c r="D1816" s="5" t="s">
        <v>62</v>
      </c>
      <c r="E1816" s="5" t="n">
        <v>5</v>
      </c>
      <c r="F1816" s="5" t="s">
        <v>67</v>
      </c>
      <c r="G1816" s="2" t="s">
        <v>12057</v>
      </c>
      <c r="H1816" s="5" t="s">
        <v>8336</v>
      </c>
      <c r="I1816" s="5"/>
      <c r="J1816" s="5"/>
      <c r="K1816" s="5" t="s">
        <v>12702</v>
      </c>
    </row>
    <row r="1817" customFormat="false" ht="46.25" hidden="false" customHeight="false" outlineLevel="0" collapsed="false">
      <c r="A1817" s="5" t="s">
        <v>12703</v>
      </c>
      <c r="B1817" s="2" t="s">
        <v>12704</v>
      </c>
      <c r="C1817" s="5" t="s">
        <v>2245</v>
      </c>
      <c r="D1817" s="5" t="s">
        <v>62</v>
      </c>
      <c r="E1817" s="5" t="n">
        <v>7</v>
      </c>
      <c r="F1817" s="5" t="s">
        <v>90</v>
      </c>
      <c r="G1817" s="2" t="s">
        <v>12054</v>
      </c>
      <c r="H1817" s="5" t="s">
        <v>8336</v>
      </c>
      <c r="I1817" s="5"/>
      <c r="J1817" s="5"/>
      <c r="K1817" s="5" t="s">
        <v>12705</v>
      </c>
    </row>
    <row r="1818" customFormat="false" ht="15" hidden="false" customHeight="false" outlineLevel="0" collapsed="false">
      <c r="A1818" s="5" t="s">
        <v>12706</v>
      </c>
      <c r="B1818" s="2" t="s">
        <v>12707</v>
      </c>
      <c r="C1818" s="5" t="s">
        <v>2128</v>
      </c>
      <c r="D1818" s="5" t="s">
        <v>62</v>
      </c>
      <c r="E1818" s="5" t="n">
        <v>7</v>
      </c>
      <c r="F1818" s="5" t="s">
        <v>67</v>
      </c>
      <c r="G1818" s="2" t="s">
        <v>367</v>
      </c>
      <c r="H1818" s="5" t="s">
        <v>8336</v>
      </c>
      <c r="I1818" s="5"/>
      <c r="J1818" s="5"/>
      <c r="K1818" s="5" t="s">
        <v>12708</v>
      </c>
    </row>
    <row r="1819" customFormat="false" ht="15" hidden="false" customHeight="false" outlineLevel="0" collapsed="false">
      <c r="A1819" s="5" t="s">
        <v>12709</v>
      </c>
      <c r="B1819" s="2" t="s">
        <v>12710</v>
      </c>
      <c r="C1819" s="5" t="s">
        <v>2128</v>
      </c>
      <c r="D1819" s="5" t="s">
        <v>62</v>
      </c>
      <c r="E1819" s="5" t="n">
        <v>7</v>
      </c>
      <c r="F1819" s="5" t="s">
        <v>67</v>
      </c>
      <c r="G1819" s="2" t="s">
        <v>367</v>
      </c>
      <c r="H1819" s="5" t="s">
        <v>8336</v>
      </c>
      <c r="I1819" s="5"/>
      <c r="J1819" s="5"/>
      <c r="K1819" s="5" t="s">
        <v>12711</v>
      </c>
    </row>
    <row r="1820" customFormat="false" ht="46.25" hidden="false" customHeight="false" outlineLevel="0" collapsed="false">
      <c r="A1820" s="5" t="s">
        <v>12712</v>
      </c>
      <c r="B1820" s="2" t="s">
        <v>12713</v>
      </c>
      <c r="C1820" s="5" t="s">
        <v>2245</v>
      </c>
      <c r="D1820" s="5" t="s">
        <v>62</v>
      </c>
      <c r="E1820" s="5" t="n">
        <v>7</v>
      </c>
      <c r="F1820" s="5" t="s">
        <v>90</v>
      </c>
      <c r="G1820" s="2" t="s">
        <v>12057</v>
      </c>
      <c r="H1820" s="5" t="s">
        <v>8336</v>
      </c>
      <c r="I1820" s="5"/>
      <c r="J1820" s="5"/>
      <c r="K1820" s="5" t="s">
        <v>12714</v>
      </c>
    </row>
    <row r="1821" customFormat="false" ht="46.25" hidden="false" customHeight="false" outlineLevel="0" collapsed="false">
      <c r="A1821" s="5" t="s">
        <v>12715</v>
      </c>
      <c r="B1821" s="2" t="s">
        <v>12716</v>
      </c>
      <c r="C1821" s="5" t="s">
        <v>2245</v>
      </c>
      <c r="D1821" s="5" t="s">
        <v>490</v>
      </c>
      <c r="E1821" s="5" t="n">
        <v>7</v>
      </c>
      <c r="F1821" s="5" t="s">
        <v>90</v>
      </c>
      <c r="G1821" s="2" t="s">
        <v>12057</v>
      </c>
      <c r="H1821" s="5" t="s">
        <v>8336</v>
      </c>
      <c r="I1821" s="5"/>
      <c r="J1821" s="5"/>
      <c r="K1821" s="5" t="s">
        <v>12717</v>
      </c>
    </row>
    <row r="1822" customFormat="false" ht="15" hidden="false" customHeight="false" outlineLevel="0" collapsed="false">
      <c r="A1822" s="5" t="s">
        <v>12718</v>
      </c>
      <c r="B1822" s="2" t="s">
        <v>12719</v>
      </c>
      <c r="C1822" s="5" t="s">
        <v>2128</v>
      </c>
      <c r="D1822" s="5" t="s">
        <v>62</v>
      </c>
      <c r="E1822" s="5" t="n">
        <v>3</v>
      </c>
      <c r="F1822" s="5" t="s">
        <v>277</v>
      </c>
      <c r="G1822" s="2" t="s">
        <v>367</v>
      </c>
      <c r="H1822" s="5" t="s">
        <v>8336</v>
      </c>
      <c r="I1822" s="5"/>
      <c r="J1822" s="5"/>
      <c r="K1822" s="5" t="s">
        <v>12720</v>
      </c>
    </row>
    <row r="1823" customFormat="false" ht="46.25" hidden="false" customHeight="false" outlineLevel="0" collapsed="false">
      <c r="A1823" s="5" t="s">
        <v>12721</v>
      </c>
      <c r="B1823" s="2" t="s">
        <v>12722</v>
      </c>
      <c r="C1823" s="5" t="s">
        <v>2245</v>
      </c>
      <c r="D1823" s="5" t="s">
        <v>62</v>
      </c>
      <c r="E1823" s="5" t="n">
        <v>5</v>
      </c>
      <c r="F1823" s="5" t="s">
        <v>90</v>
      </c>
      <c r="G1823" s="2" t="s">
        <v>12057</v>
      </c>
      <c r="H1823" s="5" t="s">
        <v>8336</v>
      </c>
      <c r="I1823" s="5"/>
      <c r="J1823" s="5"/>
      <c r="K1823" s="5" t="s">
        <v>12723</v>
      </c>
    </row>
    <row r="1824" customFormat="false" ht="46.25" hidden="false" customHeight="false" outlineLevel="0" collapsed="false">
      <c r="A1824" s="5" t="s">
        <v>12724</v>
      </c>
      <c r="B1824" s="2" t="s">
        <v>12725</v>
      </c>
      <c r="C1824" s="5" t="s">
        <v>2245</v>
      </c>
      <c r="D1824" s="5" t="s">
        <v>62</v>
      </c>
      <c r="E1824" s="5" t="n">
        <v>5</v>
      </c>
      <c r="F1824" s="5" t="s">
        <v>90</v>
      </c>
      <c r="G1824" s="2" t="s">
        <v>12057</v>
      </c>
      <c r="H1824" s="5" t="s">
        <v>8336</v>
      </c>
      <c r="I1824" s="5"/>
      <c r="J1824" s="5"/>
      <c r="K1824" s="5" t="s">
        <v>12726</v>
      </c>
    </row>
    <row r="1825" customFormat="false" ht="15" hidden="false" customHeight="false" outlineLevel="0" collapsed="false">
      <c r="A1825" s="5" t="s">
        <v>12727</v>
      </c>
      <c r="B1825" s="2" t="s">
        <v>12728</v>
      </c>
      <c r="C1825" s="5" t="s">
        <v>2128</v>
      </c>
      <c r="D1825" s="5" t="s">
        <v>62</v>
      </c>
      <c r="E1825" s="5" t="n">
        <v>5</v>
      </c>
      <c r="F1825" s="5" t="s">
        <v>67</v>
      </c>
      <c r="G1825" s="2" t="s">
        <v>367</v>
      </c>
      <c r="H1825" s="5" t="s">
        <v>8336</v>
      </c>
      <c r="I1825" s="5"/>
      <c r="J1825" s="5"/>
      <c r="K1825" s="5" t="s">
        <v>12729</v>
      </c>
    </row>
    <row r="1826" customFormat="false" ht="46.25" hidden="false" customHeight="false" outlineLevel="0" collapsed="false">
      <c r="A1826" s="5" t="s">
        <v>12730</v>
      </c>
      <c r="B1826" s="2" t="s">
        <v>12731</v>
      </c>
      <c r="C1826" s="5" t="s">
        <v>2245</v>
      </c>
      <c r="D1826" s="5" t="s">
        <v>62</v>
      </c>
      <c r="E1826" s="5" t="n">
        <v>5</v>
      </c>
      <c r="F1826" s="5" t="s">
        <v>67</v>
      </c>
      <c r="G1826" s="2" t="s">
        <v>12057</v>
      </c>
      <c r="H1826" s="5" t="s">
        <v>8336</v>
      </c>
      <c r="I1826" s="5"/>
      <c r="J1826" s="5"/>
      <c r="K1826" s="5" t="s">
        <v>12732</v>
      </c>
    </row>
    <row r="1827" customFormat="false" ht="15" hidden="false" customHeight="false" outlineLevel="0" collapsed="false">
      <c r="A1827" s="5" t="s">
        <v>12733</v>
      </c>
      <c r="B1827" s="2" t="s">
        <v>12734</v>
      </c>
      <c r="C1827" s="5" t="s">
        <v>2128</v>
      </c>
      <c r="D1827" s="5" t="s">
        <v>62</v>
      </c>
      <c r="E1827" s="5" t="n">
        <v>5</v>
      </c>
      <c r="F1827" s="5" t="s">
        <v>90</v>
      </c>
      <c r="G1827" s="2" t="s">
        <v>367</v>
      </c>
      <c r="H1827" s="5" t="s">
        <v>8336</v>
      </c>
      <c r="I1827" s="5"/>
      <c r="J1827" s="5"/>
      <c r="K1827" s="5" t="s">
        <v>12735</v>
      </c>
    </row>
    <row r="1828" customFormat="false" ht="23.85" hidden="false" customHeight="false" outlineLevel="0" collapsed="false">
      <c r="A1828" s="5" t="s">
        <v>12736</v>
      </c>
      <c r="B1828" s="2" t="s">
        <v>12737</v>
      </c>
      <c r="C1828" s="5" t="s">
        <v>2128</v>
      </c>
      <c r="D1828" s="5" t="s">
        <v>62</v>
      </c>
      <c r="E1828" s="5" t="n">
        <v>5</v>
      </c>
      <c r="F1828" s="5" t="s">
        <v>90</v>
      </c>
      <c r="G1828" s="2" t="s">
        <v>367</v>
      </c>
      <c r="H1828" s="5" t="s">
        <v>8336</v>
      </c>
      <c r="I1828" s="5"/>
      <c r="J1828" s="5"/>
      <c r="K1828" s="5" t="s">
        <v>12738</v>
      </c>
    </row>
    <row r="1829" customFormat="false" ht="23.85" hidden="false" customHeight="false" outlineLevel="0" collapsed="false">
      <c r="A1829" s="5" t="s">
        <v>12739</v>
      </c>
      <c r="B1829" s="2" t="s">
        <v>12740</v>
      </c>
      <c r="C1829" s="5" t="s">
        <v>2128</v>
      </c>
      <c r="D1829" s="5" t="s">
        <v>62</v>
      </c>
      <c r="E1829" s="5" t="n">
        <v>7</v>
      </c>
      <c r="F1829" s="5" t="s">
        <v>90</v>
      </c>
      <c r="G1829" s="2" t="s">
        <v>367</v>
      </c>
      <c r="H1829" s="5" t="s">
        <v>8336</v>
      </c>
      <c r="I1829" s="5"/>
      <c r="J1829" s="5"/>
      <c r="K1829" s="5" t="s">
        <v>12741</v>
      </c>
    </row>
    <row r="1830" customFormat="false" ht="15" hidden="false" customHeight="false" outlineLevel="0" collapsed="false">
      <c r="A1830" s="5" t="s">
        <v>1218</v>
      </c>
      <c r="B1830" s="2" t="s">
        <v>1219</v>
      </c>
      <c r="C1830" s="5" t="s">
        <v>488</v>
      </c>
      <c r="D1830" s="5" t="s">
        <v>62</v>
      </c>
      <c r="E1830" s="5" t="n">
        <v>7</v>
      </c>
      <c r="F1830" s="5" t="s">
        <v>90</v>
      </c>
      <c r="G1830" s="2" t="s">
        <v>367</v>
      </c>
      <c r="H1830" s="5" t="s">
        <v>8332</v>
      </c>
      <c r="I1830" s="5" t="s">
        <v>60</v>
      </c>
      <c r="J1830" s="5"/>
      <c r="K1830" s="5" t="s">
        <v>1227</v>
      </c>
    </row>
    <row r="1831" customFormat="false" ht="23.85" hidden="false" customHeight="false" outlineLevel="0" collapsed="false">
      <c r="A1831" s="5" t="s">
        <v>12742</v>
      </c>
      <c r="B1831" s="2" t="s">
        <v>12743</v>
      </c>
      <c r="C1831" s="5" t="s">
        <v>2128</v>
      </c>
      <c r="D1831" s="5" t="s">
        <v>62</v>
      </c>
      <c r="E1831" s="5" t="n">
        <v>7</v>
      </c>
      <c r="F1831" s="5" t="s">
        <v>67</v>
      </c>
      <c r="G1831" s="2" t="s">
        <v>367</v>
      </c>
      <c r="H1831" s="5" t="s">
        <v>8336</v>
      </c>
      <c r="I1831" s="5"/>
      <c r="J1831" s="5"/>
      <c r="K1831" s="5" t="s">
        <v>12744</v>
      </c>
    </row>
    <row r="1832" customFormat="false" ht="15" hidden="false" customHeight="false" outlineLevel="0" collapsed="false">
      <c r="A1832" s="5" t="s">
        <v>12745</v>
      </c>
      <c r="B1832" s="2" t="s">
        <v>12746</v>
      </c>
      <c r="C1832" s="5" t="s">
        <v>2128</v>
      </c>
      <c r="D1832" s="5" t="s">
        <v>62</v>
      </c>
      <c r="E1832" s="5" t="n">
        <v>5</v>
      </c>
      <c r="F1832" s="5" t="s">
        <v>90</v>
      </c>
      <c r="G1832" s="2" t="s">
        <v>367</v>
      </c>
      <c r="H1832" s="5" t="s">
        <v>8336</v>
      </c>
      <c r="I1832" s="5"/>
      <c r="J1832" s="5"/>
      <c r="K1832" s="5" t="s">
        <v>12747</v>
      </c>
    </row>
    <row r="1833" customFormat="false" ht="23.85" hidden="false" customHeight="false" outlineLevel="0" collapsed="false">
      <c r="A1833" s="5" t="s">
        <v>12748</v>
      </c>
      <c r="B1833" s="2" t="s">
        <v>12749</v>
      </c>
      <c r="C1833" s="5" t="s">
        <v>2128</v>
      </c>
      <c r="D1833" s="5" t="s">
        <v>62</v>
      </c>
      <c r="E1833" s="5" t="n">
        <v>7</v>
      </c>
      <c r="F1833" s="5" t="s">
        <v>67</v>
      </c>
      <c r="G1833" s="2" t="s">
        <v>367</v>
      </c>
      <c r="H1833" s="5" t="s">
        <v>8336</v>
      </c>
      <c r="I1833" s="5"/>
      <c r="J1833" s="5"/>
      <c r="K1833" s="5" t="s">
        <v>12750</v>
      </c>
    </row>
    <row r="1834" customFormat="false" ht="15" hidden="false" customHeight="false" outlineLevel="0" collapsed="false">
      <c r="A1834" s="5" t="s">
        <v>12751</v>
      </c>
      <c r="B1834" s="2" t="s">
        <v>12752</v>
      </c>
      <c r="C1834" s="5" t="s">
        <v>2128</v>
      </c>
      <c r="D1834" s="5" t="s">
        <v>62</v>
      </c>
      <c r="E1834" s="5" t="n">
        <v>7</v>
      </c>
      <c r="F1834" s="5" t="s">
        <v>67</v>
      </c>
      <c r="G1834" s="2" t="s">
        <v>367</v>
      </c>
      <c r="H1834" s="5" t="s">
        <v>8336</v>
      </c>
      <c r="I1834" s="5"/>
      <c r="J1834" s="5"/>
      <c r="K1834" s="5" t="s">
        <v>12753</v>
      </c>
    </row>
    <row r="1835" customFormat="false" ht="15" hidden="false" customHeight="false" outlineLevel="0" collapsed="false">
      <c r="A1835" s="5" t="s">
        <v>12754</v>
      </c>
      <c r="B1835" s="2" t="s">
        <v>12755</v>
      </c>
      <c r="C1835" s="5" t="s">
        <v>2128</v>
      </c>
      <c r="D1835" s="5" t="s">
        <v>62</v>
      </c>
      <c r="E1835" s="5" t="n">
        <v>7</v>
      </c>
      <c r="F1835" s="5" t="s">
        <v>67</v>
      </c>
      <c r="G1835" s="2" t="s">
        <v>367</v>
      </c>
      <c r="H1835" s="5" t="s">
        <v>8336</v>
      </c>
      <c r="I1835" s="5"/>
      <c r="J1835" s="5"/>
      <c r="K1835" s="5" t="s">
        <v>12756</v>
      </c>
    </row>
    <row r="1836" customFormat="false" ht="15" hidden="false" customHeight="false" outlineLevel="0" collapsed="false">
      <c r="A1836" s="5" t="s">
        <v>12757</v>
      </c>
      <c r="B1836" s="2" t="s">
        <v>12758</v>
      </c>
      <c r="C1836" s="5" t="s">
        <v>2128</v>
      </c>
      <c r="D1836" s="5" t="s">
        <v>62</v>
      </c>
      <c r="E1836" s="5" t="n">
        <v>7</v>
      </c>
      <c r="F1836" s="5" t="s">
        <v>90</v>
      </c>
      <c r="G1836" s="2" t="s">
        <v>367</v>
      </c>
      <c r="H1836" s="5" t="s">
        <v>8336</v>
      </c>
      <c r="I1836" s="5"/>
      <c r="J1836" s="5"/>
      <c r="K1836" s="5" t="s">
        <v>12759</v>
      </c>
    </row>
    <row r="1837" customFormat="false" ht="23.85" hidden="false" customHeight="false" outlineLevel="0" collapsed="false">
      <c r="A1837" s="5" t="s">
        <v>12760</v>
      </c>
      <c r="B1837" s="2" t="s">
        <v>12761</v>
      </c>
      <c r="C1837" s="5" t="s">
        <v>2128</v>
      </c>
      <c r="D1837" s="5" t="s">
        <v>62</v>
      </c>
      <c r="E1837" s="5" t="n">
        <v>5</v>
      </c>
      <c r="F1837" s="5" t="s">
        <v>67</v>
      </c>
      <c r="G1837" s="2" t="s">
        <v>367</v>
      </c>
      <c r="H1837" s="5" t="s">
        <v>8336</v>
      </c>
      <c r="I1837" s="5"/>
      <c r="J1837" s="5"/>
      <c r="K1837" s="5" t="s">
        <v>12762</v>
      </c>
    </row>
    <row r="1838" customFormat="false" ht="46.25" hidden="false" customHeight="false" outlineLevel="0" collapsed="false">
      <c r="A1838" s="5" t="s">
        <v>3444</v>
      </c>
      <c r="B1838" s="2" t="s">
        <v>3445</v>
      </c>
      <c r="C1838" s="5" t="s">
        <v>2245</v>
      </c>
      <c r="D1838" s="5" t="s">
        <v>490</v>
      </c>
      <c r="E1838" s="5" t="n">
        <v>3</v>
      </c>
      <c r="F1838" s="5" t="s">
        <v>67</v>
      </c>
      <c r="G1838" s="2" t="s">
        <v>12054</v>
      </c>
      <c r="H1838" s="5" t="s">
        <v>8332</v>
      </c>
      <c r="I1838" s="5" t="s">
        <v>60</v>
      </c>
      <c r="J1838" s="5" t="s">
        <v>161</v>
      </c>
      <c r="K1838" s="5" t="s">
        <v>3449</v>
      </c>
    </row>
    <row r="1839" customFormat="false" ht="46.25" hidden="false" customHeight="false" outlineLevel="0" collapsed="false">
      <c r="A1839" s="5" t="s">
        <v>3450</v>
      </c>
      <c r="B1839" s="2" t="s">
        <v>3451</v>
      </c>
      <c r="C1839" s="5" t="s">
        <v>2245</v>
      </c>
      <c r="D1839" s="5" t="s">
        <v>490</v>
      </c>
      <c r="E1839" s="5" t="n">
        <v>5</v>
      </c>
      <c r="F1839" s="5" t="s">
        <v>67</v>
      </c>
      <c r="G1839" s="2" t="s">
        <v>12054</v>
      </c>
      <c r="H1839" s="5" t="s">
        <v>8332</v>
      </c>
      <c r="I1839" s="5" t="s">
        <v>60</v>
      </c>
      <c r="J1839" s="5" t="s">
        <v>1174</v>
      </c>
      <c r="K1839" s="5" t="s">
        <v>3454</v>
      </c>
    </row>
    <row r="1840" customFormat="false" ht="23.85" hidden="false" customHeight="false" outlineLevel="0" collapsed="false">
      <c r="A1840" s="5" t="s">
        <v>12763</v>
      </c>
      <c r="B1840" s="2" t="s">
        <v>12764</v>
      </c>
      <c r="C1840" s="5" t="s">
        <v>2128</v>
      </c>
      <c r="D1840" s="5" t="s">
        <v>62</v>
      </c>
      <c r="E1840" s="5" t="n">
        <v>7</v>
      </c>
      <c r="F1840" s="5" t="s">
        <v>1814</v>
      </c>
      <c r="G1840" s="2" t="s">
        <v>367</v>
      </c>
      <c r="H1840" s="5" t="s">
        <v>8336</v>
      </c>
      <c r="I1840" s="5"/>
      <c r="J1840" s="5"/>
      <c r="K1840" s="5" t="s">
        <v>12765</v>
      </c>
    </row>
    <row r="1841" customFormat="false" ht="23.85" hidden="false" customHeight="false" outlineLevel="0" collapsed="false">
      <c r="A1841" s="5" t="s">
        <v>12766</v>
      </c>
      <c r="B1841" s="2" t="s">
        <v>12767</v>
      </c>
      <c r="C1841" s="5" t="s">
        <v>2128</v>
      </c>
      <c r="D1841" s="5" t="s">
        <v>62</v>
      </c>
      <c r="E1841" s="5" t="n">
        <v>7</v>
      </c>
      <c r="F1841" s="5" t="s">
        <v>90</v>
      </c>
      <c r="G1841" s="2" t="s">
        <v>367</v>
      </c>
      <c r="H1841" s="5" t="s">
        <v>8336</v>
      </c>
      <c r="I1841" s="5"/>
      <c r="J1841" s="5"/>
      <c r="K1841" s="5" t="s">
        <v>12768</v>
      </c>
    </row>
    <row r="1842" customFormat="false" ht="46.25" hidden="false" customHeight="false" outlineLevel="0" collapsed="false">
      <c r="A1842" s="5" t="s">
        <v>12769</v>
      </c>
      <c r="B1842" s="2" t="s">
        <v>12770</v>
      </c>
      <c r="C1842" s="5" t="s">
        <v>2245</v>
      </c>
      <c r="D1842" s="5" t="s">
        <v>490</v>
      </c>
      <c r="E1842" s="5" t="n">
        <v>7</v>
      </c>
      <c r="F1842" s="5" t="s">
        <v>1814</v>
      </c>
      <c r="G1842" s="2" t="s">
        <v>12057</v>
      </c>
      <c r="H1842" s="5" t="s">
        <v>8336</v>
      </c>
      <c r="I1842" s="5"/>
      <c r="J1842" s="5"/>
      <c r="K1842" s="5" t="s">
        <v>12771</v>
      </c>
    </row>
    <row r="1843" customFormat="false" ht="23.85" hidden="false" customHeight="false" outlineLevel="0" collapsed="false">
      <c r="A1843" s="5" t="s">
        <v>12772</v>
      </c>
      <c r="B1843" s="2" t="s">
        <v>12773</v>
      </c>
      <c r="C1843" s="5" t="s">
        <v>2128</v>
      </c>
      <c r="D1843" s="5" t="s">
        <v>62</v>
      </c>
      <c r="E1843" s="5" t="n">
        <v>7</v>
      </c>
      <c r="F1843" s="5" t="s">
        <v>8902</v>
      </c>
      <c r="G1843" s="2" t="s">
        <v>12774</v>
      </c>
      <c r="H1843" s="5" t="s">
        <v>8336</v>
      </c>
      <c r="I1843" s="5"/>
      <c r="J1843" s="5"/>
      <c r="K1843" s="5" t="s">
        <v>12775</v>
      </c>
    </row>
    <row r="1844" customFormat="false" ht="23.85" hidden="false" customHeight="false" outlineLevel="0" collapsed="false">
      <c r="A1844" s="5" t="s">
        <v>12776</v>
      </c>
      <c r="B1844" s="2" t="s">
        <v>12777</v>
      </c>
      <c r="C1844" s="5" t="s">
        <v>2128</v>
      </c>
      <c r="D1844" s="5" t="s">
        <v>62</v>
      </c>
      <c r="E1844" s="5" t="n">
        <v>7</v>
      </c>
      <c r="F1844" s="5" t="s">
        <v>8902</v>
      </c>
      <c r="G1844" s="2" t="s">
        <v>367</v>
      </c>
      <c r="H1844" s="5" t="s">
        <v>8336</v>
      </c>
      <c r="I1844" s="5"/>
      <c r="J1844" s="5"/>
      <c r="K1844" s="5" t="s">
        <v>12778</v>
      </c>
    </row>
    <row r="1845" customFormat="false" ht="15" hidden="false" customHeight="false" outlineLevel="0" collapsed="false">
      <c r="A1845" s="5" t="s">
        <v>12779</v>
      </c>
      <c r="B1845" s="2" t="s">
        <v>12780</v>
      </c>
      <c r="C1845" s="5" t="s">
        <v>2128</v>
      </c>
      <c r="D1845" s="5" t="s">
        <v>62</v>
      </c>
      <c r="E1845" s="5" t="n">
        <v>7</v>
      </c>
      <c r="F1845" s="5" t="s">
        <v>8902</v>
      </c>
      <c r="G1845" s="2" t="s">
        <v>367</v>
      </c>
      <c r="H1845" s="5" t="s">
        <v>8336</v>
      </c>
      <c r="I1845" s="5"/>
      <c r="J1845" s="5"/>
      <c r="K1845" s="5" t="s">
        <v>12781</v>
      </c>
    </row>
    <row r="1846" customFormat="false" ht="23.85" hidden="false" customHeight="false" outlineLevel="0" collapsed="false">
      <c r="A1846" s="5" t="s">
        <v>12782</v>
      </c>
      <c r="B1846" s="2" t="s">
        <v>12783</v>
      </c>
      <c r="C1846" s="5" t="s">
        <v>2128</v>
      </c>
      <c r="D1846" s="5" t="s">
        <v>62</v>
      </c>
      <c r="E1846" s="5" t="n">
        <v>7</v>
      </c>
      <c r="F1846" s="5" t="s">
        <v>8902</v>
      </c>
      <c r="G1846" s="2" t="s">
        <v>12774</v>
      </c>
      <c r="H1846" s="5" t="s">
        <v>8336</v>
      </c>
      <c r="I1846" s="5"/>
      <c r="J1846" s="5"/>
      <c r="K1846" s="5" t="s">
        <v>12784</v>
      </c>
    </row>
    <row r="1847" customFormat="false" ht="23.85" hidden="false" customHeight="false" outlineLevel="0" collapsed="false">
      <c r="A1847" s="5" t="s">
        <v>12785</v>
      </c>
      <c r="B1847" s="2" t="s">
        <v>12786</v>
      </c>
      <c r="C1847" s="5" t="s">
        <v>2128</v>
      </c>
      <c r="D1847" s="5" t="s">
        <v>62</v>
      </c>
      <c r="E1847" s="5" t="n">
        <v>7</v>
      </c>
      <c r="F1847" s="5" t="s">
        <v>8902</v>
      </c>
      <c r="G1847" s="2" t="s">
        <v>367</v>
      </c>
      <c r="H1847" s="5" t="s">
        <v>8336</v>
      </c>
      <c r="I1847" s="5"/>
      <c r="J1847" s="5"/>
      <c r="K1847" s="5" t="s">
        <v>12787</v>
      </c>
    </row>
    <row r="1848" customFormat="false" ht="46.25" hidden="false" customHeight="false" outlineLevel="0" collapsed="false">
      <c r="A1848" s="5" t="s">
        <v>6146</v>
      </c>
      <c r="B1848" s="2" t="s">
        <v>6147</v>
      </c>
      <c r="C1848" s="5" t="s">
        <v>2245</v>
      </c>
      <c r="D1848" s="5" t="s">
        <v>490</v>
      </c>
      <c r="E1848" s="5" t="n">
        <v>3</v>
      </c>
      <c r="F1848" s="5" t="s">
        <v>2079</v>
      </c>
      <c r="G1848" s="2" t="s">
        <v>12057</v>
      </c>
      <c r="H1848" s="5" t="s">
        <v>8332</v>
      </c>
      <c r="I1848" s="5" t="s">
        <v>4760</v>
      </c>
      <c r="J1848" s="5" t="s">
        <v>2079</v>
      </c>
      <c r="K1848" s="5" t="s">
        <v>6150</v>
      </c>
    </row>
    <row r="1849" customFormat="false" ht="46.25" hidden="false" customHeight="false" outlineLevel="0" collapsed="false">
      <c r="A1849" s="5" t="s">
        <v>12788</v>
      </c>
      <c r="B1849" s="2" t="s">
        <v>12789</v>
      </c>
      <c r="C1849" s="5" t="s">
        <v>2245</v>
      </c>
      <c r="D1849" s="5" t="s">
        <v>62</v>
      </c>
      <c r="E1849" s="5" t="n">
        <v>3</v>
      </c>
      <c r="F1849" s="5" t="s">
        <v>90</v>
      </c>
      <c r="G1849" s="2" t="s">
        <v>12057</v>
      </c>
      <c r="H1849" s="5" t="s">
        <v>8336</v>
      </c>
      <c r="I1849" s="5"/>
      <c r="J1849" s="5"/>
      <c r="K1849" s="5" t="s">
        <v>12790</v>
      </c>
    </row>
    <row r="1850" customFormat="false" ht="46.25" hidden="false" customHeight="false" outlineLevel="0" collapsed="false">
      <c r="A1850" s="5" t="s">
        <v>12791</v>
      </c>
      <c r="B1850" s="2" t="s">
        <v>12792</v>
      </c>
      <c r="C1850" s="5" t="s">
        <v>2245</v>
      </c>
      <c r="D1850" s="5" t="s">
        <v>62</v>
      </c>
      <c r="E1850" s="5" t="n">
        <v>5</v>
      </c>
      <c r="F1850" s="5" t="s">
        <v>90</v>
      </c>
      <c r="G1850" s="2" t="s">
        <v>12057</v>
      </c>
      <c r="H1850" s="5" t="s">
        <v>8336</v>
      </c>
      <c r="I1850" s="5"/>
      <c r="J1850" s="5"/>
      <c r="K1850" s="5" t="s">
        <v>12793</v>
      </c>
    </row>
    <row r="1851" customFormat="false" ht="46.25" hidden="false" customHeight="false" outlineLevel="0" collapsed="false">
      <c r="A1851" s="5" t="s">
        <v>12794</v>
      </c>
      <c r="B1851" s="2" t="s">
        <v>12795</v>
      </c>
      <c r="C1851" s="5" t="s">
        <v>2245</v>
      </c>
      <c r="D1851" s="5" t="s">
        <v>490</v>
      </c>
      <c r="E1851" s="5" t="n">
        <v>5</v>
      </c>
      <c r="F1851" s="5" t="s">
        <v>1814</v>
      </c>
      <c r="G1851" s="2" t="s">
        <v>12057</v>
      </c>
      <c r="H1851" s="5" t="s">
        <v>8336</v>
      </c>
      <c r="I1851" s="5"/>
      <c r="J1851" s="5"/>
      <c r="K1851" s="5" t="s">
        <v>12796</v>
      </c>
    </row>
    <row r="1852" customFormat="false" ht="46.25" hidden="false" customHeight="false" outlineLevel="0" collapsed="false">
      <c r="A1852" s="5" t="s">
        <v>12797</v>
      </c>
      <c r="B1852" s="2" t="s">
        <v>12798</v>
      </c>
      <c r="C1852" s="5" t="s">
        <v>2245</v>
      </c>
      <c r="D1852" s="5" t="s">
        <v>62</v>
      </c>
      <c r="E1852" s="5" t="n">
        <v>5</v>
      </c>
      <c r="F1852" s="5" t="s">
        <v>1814</v>
      </c>
      <c r="G1852" s="2" t="s">
        <v>12057</v>
      </c>
      <c r="H1852" s="5" t="s">
        <v>8336</v>
      </c>
      <c r="I1852" s="5"/>
      <c r="J1852" s="5"/>
      <c r="K1852" s="5" t="s">
        <v>12799</v>
      </c>
    </row>
    <row r="1853" customFormat="false" ht="46.25" hidden="false" customHeight="false" outlineLevel="0" collapsed="false">
      <c r="A1853" s="5" t="s">
        <v>12800</v>
      </c>
      <c r="B1853" s="2" t="s">
        <v>12801</v>
      </c>
      <c r="C1853" s="5" t="s">
        <v>2245</v>
      </c>
      <c r="D1853" s="5" t="s">
        <v>490</v>
      </c>
      <c r="E1853" s="5" t="n">
        <v>5</v>
      </c>
      <c r="F1853" s="5" t="s">
        <v>8902</v>
      </c>
      <c r="G1853" s="2" t="s">
        <v>12802</v>
      </c>
      <c r="H1853" s="5" t="s">
        <v>8336</v>
      </c>
      <c r="I1853" s="5"/>
      <c r="J1853" s="5"/>
      <c r="K1853" s="5" t="s">
        <v>12803</v>
      </c>
    </row>
    <row r="1854" customFormat="false" ht="46.25" hidden="false" customHeight="false" outlineLevel="0" collapsed="false">
      <c r="A1854" s="5" t="s">
        <v>12804</v>
      </c>
      <c r="B1854" s="2" t="s">
        <v>12805</v>
      </c>
      <c r="C1854" s="5" t="s">
        <v>2245</v>
      </c>
      <c r="D1854" s="5" t="s">
        <v>490</v>
      </c>
      <c r="E1854" s="5" t="n">
        <v>5</v>
      </c>
      <c r="F1854" s="5" t="s">
        <v>90</v>
      </c>
      <c r="G1854" s="2" t="s">
        <v>12802</v>
      </c>
      <c r="H1854" s="5" t="s">
        <v>8336</v>
      </c>
      <c r="I1854" s="5"/>
      <c r="J1854" s="5"/>
      <c r="K1854" s="5" t="s">
        <v>12806</v>
      </c>
    </row>
    <row r="1855" customFormat="false" ht="46.25" hidden="false" customHeight="false" outlineLevel="0" collapsed="false">
      <c r="A1855" s="5" t="s">
        <v>12807</v>
      </c>
      <c r="B1855" s="2" t="s">
        <v>12808</v>
      </c>
      <c r="C1855" s="5" t="s">
        <v>2245</v>
      </c>
      <c r="D1855" s="5" t="s">
        <v>62</v>
      </c>
      <c r="E1855" s="5" t="n">
        <v>5</v>
      </c>
      <c r="F1855" s="5" t="s">
        <v>1814</v>
      </c>
      <c r="G1855" s="2" t="s">
        <v>12057</v>
      </c>
      <c r="H1855" s="5" t="s">
        <v>8336</v>
      </c>
      <c r="I1855" s="5"/>
      <c r="J1855" s="5"/>
      <c r="K1855" s="5" t="s">
        <v>12809</v>
      </c>
    </row>
    <row r="1856" customFormat="false" ht="15" hidden="false" customHeight="false" outlineLevel="0" collapsed="false">
      <c r="A1856" s="5" t="s">
        <v>12810</v>
      </c>
      <c r="B1856" s="2" t="s">
        <v>12811</v>
      </c>
      <c r="C1856" s="5" t="s">
        <v>2128</v>
      </c>
      <c r="D1856" s="5" t="s">
        <v>62</v>
      </c>
      <c r="E1856" s="5" t="n">
        <v>7</v>
      </c>
      <c r="F1856" s="5" t="s">
        <v>1814</v>
      </c>
      <c r="G1856" s="2" t="s">
        <v>367</v>
      </c>
      <c r="H1856" s="5" t="s">
        <v>8336</v>
      </c>
      <c r="I1856" s="5"/>
      <c r="J1856" s="5"/>
      <c r="K1856" s="5" t="s">
        <v>12812</v>
      </c>
    </row>
    <row r="1857" customFormat="false" ht="46.25" hidden="false" customHeight="false" outlineLevel="0" collapsed="false">
      <c r="A1857" s="5" t="s">
        <v>3455</v>
      </c>
      <c r="B1857" s="2" t="s">
        <v>3456</v>
      </c>
      <c r="C1857" s="5" t="s">
        <v>2245</v>
      </c>
      <c r="D1857" s="5" t="s">
        <v>62</v>
      </c>
      <c r="E1857" s="5" t="n">
        <v>3</v>
      </c>
      <c r="F1857" s="5" t="s">
        <v>277</v>
      </c>
      <c r="G1857" s="2" t="s">
        <v>12057</v>
      </c>
      <c r="H1857" s="5" t="s">
        <v>8332</v>
      </c>
      <c r="I1857" s="5" t="s">
        <v>60</v>
      </c>
      <c r="J1857" s="5" t="s">
        <v>751</v>
      </c>
      <c r="K1857" s="5" t="s">
        <v>3462</v>
      </c>
    </row>
    <row r="1858" customFormat="false" ht="46.25" hidden="false" customHeight="false" outlineLevel="0" collapsed="false">
      <c r="A1858" s="5" t="s">
        <v>12813</v>
      </c>
      <c r="B1858" s="2" t="s">
        <v>12814</v>
      </c>
      <c r="C1858" s="5" t="s">
        <v>2245</v>
      </c>
      <c r="D1858" s="5" t="s">
        <v>490</v>
      </c>
      <c r="E1858" s="5" t="n">
        <v>7</v>
      </c>
      <c r="F1858" s="5" t="s">
        <v>67</v>
      </c>
      <c r="G1858" s="2" t="s">
        <v>12802</v>
      </c>
      <c r="H1858" s="5" t="s">
        <v>8336</v>
      </c>
      <c r="I1858" s="5"/>
      <c r="J1858" s="5"/>
      <c r="K1858" s="5" t="s">
        <v>12815</v>
      </c>
    </row>
    <row r="1859" customFormat="false" ht="46.25" hidden="false" customHeight="false" outlineLevel="0" collapsed="false">
      <c r="A1859" s="5" t="s">
        <v>12816</v>
      </c>
      <c r="B1859" s="2" t="s">
        <v>12817</v>
      </c>
      <c r="C1859" s="5" t="s">
        <v>2245</v>
      </c>
      <c r="D1859" s="5" t="s">
        <v>62</v>
      </c>
      <c r="E1859" s="5" t="n">
        <v>5</v>
      </c>
      <c r="F1859" s="5" t="s">
        <v>67</v>
      </c>
      <c r="G1859" s="2" t="s">
        <v>12057</v>
      </c>
      <c r="H1859" s="5" t="s">
        <v>8336</v>
      </c>
      <c r="I1859" s="5"/>
      <c r="J1859" s="5"/>
      <c r="K1859" s="5" t="s">
        <v>12818</v>
      </c>
    </row>
    <row r="1860" customFormat="false" ht="15" hidden="false" customHeight="false" outlineLevel="0" collapsed="false">
      <c r="A1860" s="5" t="s">
        <v>1228</v>
      </c>
      <c r="B1860" s="2" t="s">
        <v>1229</v>
      </c>
      <c r="C1860" s="5" t="s">
        <v>488</v>
      </c>
      <c r="D1860" s="5" t="s">
        <v>62</v>
      </c>
      <c r="E1860" s="5" t="n">
        <v>5</v>
      </c>
      <c r="F1860" s="5" t="s">
        <v>277</v>
      </c>
      <c r="G1860" s="2" t="s">
        <v>367</v>
      </c>
      <c r="H1860" s="5" t="s">
        <v>8332</v>
      </c>
      <c r="I1860" s="5" t="s">
        <v>60</v>
      </c>
      <c r="J1860" s="5" t="s">
        <v>751</v>
      </c>
      <c r="K1860" s="5" t="s">
        <v>1232</v>
      </c>
    </row>
    <row r="1861" customFormat="false" ht="23.85" hidden="false" customHeight="false" outlineLevel="0" collapsed="false">
      <c r="A1861" s="5" t="s">
        <v>312</v>
      </c>
      <c r="B1861" s="2" t="s">
        <v>313</v>
      </c>
      <c r="C1861" s="5" t="s">
        <v>59</v>
      </c>
      <c r="D1861" s="5" t="s">
        <v>62</v>
      </c>
      <c r="E1861" s="5" t="n">
        <v>9</v>
      </c>
      <c r="F1861" s="5" t="s">
        <v>277</v>
      </c>
      <c r="G1861" s="2" t="s">
        <v>184</v>
      </c>
      <c r="H1861" s="5" t="s">
        <v>8332</v>
      </c>
      <c r="I1861" s="5" t="s">
        <v>60</v>
      </c>
      <c r="J1861" s="5" t="s">
        <v>276</v>
      </c>
      <c r="K1861" s="5" t="s">
        <v>320</v>
      </c>
    </row>
    <row r="1862" customFormat="false" ht="23.85" hidden="false" customHeight="false" outlineLevel="0" collapsed="false">
      <c r="A1862" s="5" t="s">
        <v>12819</v>
      </c>
      <c r="B1862" s="2" t="s">
        <v>12820</v>
      </c>
      <c r="C1862" s="5" t="s">
        <v>2128</v>
      </c>
      <c r="D1862" s="5" t="s">
        <v>62</v>
      </c>
      <c r="E1862" s="5" t="n">
        <v>5</v>
      </c>
      <c r="F1862" s="5" t="s">
        <v>413</v>
      </c>
      <c r="G1862" s="2" t="s">
        <v>367</v>
      </c>
      <c r="H1862" s="5" t="s">
        <v>8336</v>
      </c>
      <c r="I1862" s="5"/>
      <c r="J1862" s="5"/>
      <c r="K1862" s="5" t="s">
        <v>12821</v>
      </c>
    </row>
    <row r="1863" customFormat="false" ht="23.85" hidden="false" customHeight="false" outlineLevel="0" collapsed="false">
      <c r="A1863" s="5" t="s">
        <v>12822</v>
      </c>
      <c r="B1863" s="2" t="s">
        <v>12823</v>
      </c>
      <c r="C1863" s="5" t="s">
        <v>2128</v>
      </c>
      <c r="D1863" s="5" t="s">
        <v>62</v>
      </c>
      <c r="E1863" s="5" t="n">
        <v>7</v>
      </c>
      <c r="F1863" s="5" t="s">
        <v>90</v>
      </c>
      <c r="G1863" s="2" t="s">
        <v>367</v>
      </c>
      <c r="H1863" s="5" t="s">
        <v>8336</v>
      </c>
      <c r="I1863" s="5"/>
      <c r="J1863" s="5"/>
      <c r="K1863" s="5" t="s">
        <v>12824</v>
      </c>
    </row>
    <row r="1864" customFormat="false" ht="15" hidden="false" customHeight="false" outlineLevel="0" collapsed="false">
      <c r="A1864" s="5" t="s">
        <v>12825</v>
      </c>
      <c r="B1864" s="2" t="s">
        <v>12826</v>
      </c>
      <c r="C1864" s="5" t="s">
        <v>2128</v>
      </c>
      <c r="D1864" s="5" t="s">
        <v>62</v>
      </c>
      <c r="E1864" s="5" t="n">
        <v>7</v>
      </c>
      <c r="F1864" s="5" t="s">
        <v>1814</v>
      </c>
      <c r="G1864" s="2" t="s">
        <v>367</v>
      </c>
      <c r="H1864" s="5" t="s">
        <v>8336</v>
      </c>
      <c r="I1864" s="5"/>
      <c r="J1864" s="5"/>
      <c r="K1864" s="5" t="s">
        <v>12827</v>
      </c>
    </row>
    <row r="1865" customFormat="false" ht="23.85" hidden="false" customHeight="false" outlineLevel="0" collapsed="false">
      <c r="A1865" s="5" t="s">
        <v>12828</v>
      </c>
      <c r="B1865" s="2" t="s">
        <v>12829</v>
      </c>
      <c r="C1865" s="5" t="s">
        <v>2128</v>
      </c>
      <c r="D1865" s="5" t="s">
        <v>62</v>
      </c>
      <c r="E1865" s="5" t="n">
        <v>5</v>
      </c>
      <c r="F1865" s="5" t="s">
        <v>90</v>
      </c>
      <c r="G1865" s="2" t="s">
        <v>367</v>
      </c>
      <c r="H1865" s="5" t="s">
        <v>8336</v>
      </c>
      <c r="I1865" s="5"/>
      <c r="J1865" s="5"/>
      <c r="K1865" s="5" t="s">
        <v>12830</v>
      </c>
    </row>
    <row r="1866" customFormat="false" ht="23.85" hidden="false" customHeight="false" outlineLevel="0" collapsed="false">
      <c r="A1866" s="5" t="s">
        <v>12831</v>
      </c>
      <c r="B1866" s="2" t="s">
        <v>12832</v>
      </c>
      <c r="C1866" s="5" t="s">
        <v>2128</v>
      </c>
      <c r="D1866" s="5" t="s">
        <v>62</v>
      </c>
      <c r="E1866" s="5" t="n">
        <v>5</v>
      </c>
      <c r="F1866" s="5" t="s">
        <v>90</v>
      </c>
      <c r="G1866" s="2" t="s">
        <v>367</v>
      </c>
      <c r="H1866" s="5" t="s">
        <v>8336</v>
      </c>
      <c r="I1866" s="5"/>
      <c r="J1866" s="5"/>
      <c r="K1866" s="5" t="s">
        <v>12833</v>
      </c>
    </row>
    <row r="1867" customFormat="false" ht="15" hidden="false" customHeight="false" outlineLevel="0" collapsed="false">
      <c r="A1867" s="5" t="s">
        <v>12834</v>
      </c>
      <c r="B1867" s="2" t="s">
        <v>12835</v>
      </c>
      <c r="C1867" s="5" t="s">
        <v>2128</v>
      </c>
      <c r="D1867" s="5" t="s">
        <v>62</v>
      </c>
      <c r="E1867" s="5" t="n">
        <v>7</v>
      </c>
      <c r="F1867" s="5" t="s">
        <v>1814</v>
      </c>
      <c r="G1867" s="2" t="s">
        <v>367</v>
      </c>
      <c r="H1867" s="5" t="s">
        <v>8336</v>
      </c>
      <c r="I1867" s="5"/>
      <c r="J1867" s="5"/>
      <c r="K1867" s="5" t="s">
        <v>12836</v>
      </c>
    </row>
    <row r="1868" customFormat="false" ht="46.25" hidden="false" customHeight="false" outlineLevel="0" collapsed="false">
      <c r="A1868" s="5" t="s">
        <v>6151</v>
      </c>
      <c r="B1868" s="2" t="s">
        <v>6152</v>
      </c>
      <c r="C1868" s="5" t="s">
        <v>2245</v>
      </c>
      <c r="D1868" s="5" t="s">
        <v>62</v>
      </c>
      <c r="E1868" s="5" t="n">
        <v>7</v>
      </c>
      <c r="F1868" s="5" t="s">
        <v>100</v>
      </c>
      <c r="G1868" s="2" t="s">
        <v>12057</v>
      </c>
      <c r="H1868" s="5" t="s">
        <v>8332</v>
      </c>
      <c r="I1868" s="5" t="s">
        <v>4760</v>
      </c>
      <c r="J1868" s="5" t="s">
        <v>100</v>
      </c>
      <c r="K1868" s="5" t="s">
        <v>6155</v>
      </c>
    </row>
    <row r="1869" customFormat="false" ht="23.85" hidden="false" customHeight="false" outlineLevel="0" collapsed="false">
      <c r="A1869" s="5" t="s">
        <v>1233</v>
      </c>
      <c r="B1869" s="2" t="s">
        <v>1234</v>
      </c>
      <c r="C1869" s="5" t="s">
        <v>488</v>
      </c>
      <c r="D1869" s="5" t="s">
        <v>62</v>
      </c>
      <c r="E1869" s="5" t="n">
        <v>7</v>
      </c>
      <c r="F1869" s="5" t="s">
        <v>100</v>
      </c>
      <c r="G1869" s="2" t="s">
        <v>184</v>
      </c>
      <c r="H1869" s="5" t="s">
        <v>8332</v>
      </c>
      <c r="I1869" s="5" t="s">
        <v>60</v>
      </c>
      <c r="J1869" s="5" t="s">
        <v>449</v>
      </c>
      <c r="K1869" s="5" t="s">
        <v>1239</v>
      </c>
    </row>
    <row r="1870" customFormat="false" ht="23.85" hidden="false" customHeight="false" outlineLevel="0" collapsed="false">
      <c r="A1870" s="5" t="s">
        <v>1240</v>
      </c>
      <c r="B1870" s="2" t="s">
        <v>1241</v>
      </c>
      <c r="C1870" s="5" t="s">
        <v>488</v>
      </c>
      <c r="D1870" s="5" t="s">
        <v>62</v>
      </c>
      <c r="E1870" s="5" t="n">
        <v>5</v>
      </c>
      <c r="F1870" s="5" t="s">
        <v>100</v>
      </c>
      <c r="G1870" s="2" t="s">
        <v>184</v>
      </c>
      <c r="H1870" s="5" t="s">
        <v>8332</v>
      </c>
      <c r="I1870" s="5" t="s">
        <v>60</v>
      </c>
      <c r="J1870" s="5" t="s">
        <v>449</v>
      </c>
      <c r="K1870" s="5" t="s">
        <v>1245</v>
      </c>
    </row>
    <row r="1871" customFormat="false" ht="46.25" hidden="false" customHeight="false" outlineLevel="0" collapsed="false">
      <c r="A1871" s="5" t="s">
        <v>12837</v>
      </c>
      <c r="B1871" s="2" t="s">
        <v>12838</v>
      </c>
      <c r="C1871" s="5" t="s">
        <v>2245</v>
      </c>
      <c r="D1871" s="5" t="s">
        <v>62</v>
      </c>
      <c r="E1871" s="5" t="n">
        <v>7</v>
      </c>
      <c r="F1871" s="5" t="s">
        <v>90</v>
      </c>
      <c r="G1871" s="2" t="s">
        <v>12057</v>
      </c>
      <c r="H1871" s="5" t="s">
        <v>8336</v>
      </c>
      <c r="I1871" s="5"/>
      <c r="J1871" s="5"/>
      <c r="K1871" s="5" t="s">
        <v>12839</v>
      </c>
    </row>
    <row r="1872" customFormat="false" ht="46.25" hidden="false" customHeight="false" outlineLevel="0" collapsed="false">
      <c r="A1872" s="5" t="s">
        <v>12840</v>
      </c>
      <c r="B1872" s="2" t="s">
        <v>12841</v>
      </c>
      <c r="C1872" s="5" t="s">
        <v>2245</v>
      </c>
      <c r="D1872" s="5" t="s">
        <v>62</v>
      </c>
      <c r="E1872" s="5" t="n">
        <v>5</v>
      </c>
      <c r="F1872" s="5" t="s">
        <v>67</v>
      </c>
      <c r="G1872" s="2" t="s">
        <v>12057</v>
      </c>
      <c r="H1872" s="5" t="s">
        <v>8336</v>
      </c>
      <c r="I1872" s="5"/>
      <c r="J1872" s="5"/>
      <c r="K1872" s="5" t="s">
        <v>12842</v>
      </c>
    </row>
    <row r="1873" customFormat="false" ht="15" hidden="false" customHeight="false" outlineLevel="0" collapsed="false">
      <c r="A1873" s="5" t="s">
        <v>12843</v>
      </c>
      <c r="B1873" s="2" t="s">
        <v>12844</v>
      </c>
      <c r="C1873" s="5" t="s">
        <v>2128</v>
      </c>
      <c r="D1873" s="5" t="s">
        <v>62</v>
      </c>
      <c r="E1873" s="5" t="n">
        <v>5</v>
      </c>
      <c r="F1873" s="5" t="s">
        <v>90</v>
      </c>
      <c r="G1873" s="2" t="s">
        <v>367</v>
      </c>
      <c r="H1873" s="5" t="s">
        <v>8336</v>
      </c>
      <c r="I1873" s="5"/>
      <c r="J1873" s="5"/>
      <c r="K1873" s="5" t="s">
        <v>12845</v>
      </c>
    </row>
    <row r="1874" customFormat="false" ht="23.85" hidden="false" customHeight="false" outlineLevel="0" collapsed="false">
      <c r="A1874" s="5" t="s">
        <v>12846</v>
      </c>
      <c r="B1874" s="2" t="s">
        <v>12847</v>
      </c>
      <c r="C1874" s="5" t="s">
        <v>2128</v>
      </c>
      <c r="D1874" s="5" t="s">
        <v>62</v>
      </c>
      <c r="E1874" s="5" t="n">
        <v>5</v>
      </c>
      <c r="F1874" s="5" t="s">
        <v>90</v>
      </c>
      <c r="G1874" s="2" t="s">
        <v>367</v>
      </c>
      <c r="H1874" s="5" t="s">
        <v>8336</v>
      </c>
      <c r="I1874" s="5"/>
      <c r="J1874" s="5"/>
      <c r="K1874" s="5" t="s">
        <v>12848</v>
      </c>
    </row>
    <row r="1875" customFormat="false" ht="15" hidden="false" customHeight="false" outlineLevel="0" collapsed="false">
      <c r="A1875" s="5" t="s">
        <v>1246</v>
      </c>
      <c r="B1875" s="2" t="s">
        <v>1247</v>
      </c>
      <c r="C1875" s="5" t="s">
        <v>488</v>
      </c>
      <c r="D1875" s="5" t="s">
        <v>62</v>
      </c>
      <c r="E1875" s="5" t="n">
        <v>5</v>
      </c>
      <c r="F1875" s="5" t="s">
        <v>100</v>
      </c>
      <c r="G1875" s="2" t="s">
        <v>367</v>
      </c>
      <c r="H1875" s="5" t="s">
        <v>8332</v>
      </c>
      <c r="I1875" s="5" t="s">
        <v>60</v>
      </c>
      <c r="J1875" s="5" t="s">
        <v>948</v>
      </c>
      <c r="K1875" s="5" t="s">
        <v>1251</v>
      </c>
    </row>
    <row r="1876" customFormat="false" ht="46.25" hidden="false" customHeight="false" outlineLevel="0" collapsed="false">
      <c r="A1876" s="5" t="s">
        <v>3463</v>
      </c>
      <c r="B1876" s="2" t="s">
        <v>3464</v>
      </c>
      <c r="C1876" s="5" t="s">
        <v>2245</v>
      </c>
      <c r="D1876" s="5" t="s">
        <v>62</v>
      </c>
      <c r="E1876" s="5" t="n">
        <v>7</v>
      </c>
      <c r="F1876" s="5" t="s">
        <v>413</v>
      </c>
      <c r="G1876" s="2" t="s">
        <v>12057</v>
      </c>
      <c r="H1876" s="5" t="s">
        <v>8332</v>
      </c>
      <c r="I1876" s="5" t="s">
        <v>60</v>
      </c>
      <c r="J1876" s="5" t="s">
        <v>3123</v>
      </c>
      <c r="K1876" s="5" t="s">
        <v>3467</v>
      </c>
    </row>
    <row r="1877" customFormat="false" ht="46.25" hidden="false" customHeight="false" outlineLevel="0" collapsed="false">
      <c r="A1877" s="5" t="s">
        <v>3468</v>
      </c>
      <c r="B1877" s="2" t="s">
        <v>3469</v>
      </c>
      <c r="C1877" s="5" t="s">
        <v>2245</v>
      </c>
      <c r="D1877" s="5" t="s">
        <v>62</v>
      </c>
      <c r="E1877" s="5" t="n">
        <v>7</v>
      </c>
      <c r="F1877" s="5" t="s">
        <v>413</v>
      </c>
      <c r="G1877" s="2" t="s">
        <v>12054</v>
      </c>
      <c r="H1877" s="5" t="s">
        <v>8332</v>
      </c>
      <c r="I1877" s="5" t="s">
        <v>60</v>
      </c>
      <c r="J1877" s="5" t="s">
        <v>3123</v>
      </c>
      <c r="K1877" s="5" t="s">
        <v>3472</v>
      </c>
    </row>
    <row r="1878" customFormat="false" ht="46.25" hidden="false" customHeight="false" outlineLevel="0" collapsed="false">
      <c r="A1878" s="5" t="s">
        <v>12849</v>
      </c>
      <c r="B1878" s="2" t="s">
        <v>12850</v>
      </c>
      <c r="C1878" s="5" t="s">
        <v>2245</v>
      </c>
      <c r="D1878" s="5" t="s">
        <v>62</v>
      </c>
      <c r="E1878" s="5" t="n">
        <v>5</v>
      </c>
      <c r="F1878" s="5" t="s">
        <v>90</v>
      </c>
      <c r="G1878" s="2" t="s">
        <v>12054</v>
      </c>
      <c r="H1878" s="5" t="s">
        <v>8336</v>
      </c>
      <c r="I1878" s="5"/>
      <c r="J1878" s="5"/>
      <c r="K1878" s="5" t="s">
        <v>12851</v>
      </c>
    </row>
    <row r="1879" customFormat="false" ht="23.85" hidden="false" customHeight="false" outlineLevel="0" collapsed="false">
      <c r="A1879" s="5" t="s">
        <v>1252</v>
      </c>
      <c r="B1879" s="2" t="s">
        <v>1253</v>
      </c>
      <c r="C1879" s="5" t="s">
        <v>488</v>
      </c>
      <c r="D1879" s="5" t="s">
        <v>62</v>
      </c>
      <c r="E1879" s="5" t="n">
        <v>5</v>
      </c>
      <c r="F1879" s="5" t="s">
        <v>90</v>
      </c>
      <c r="G1879" s="2" t="s">
        <v>1254</v>
      </c>
      <c r="H1879" s="5" t="s">
        <v>8332</v>
      </c>
      <c r="I1879" s="5" t="s">
        <v>60</v>
      </c>
      <c r="J1879" s="5" t="s">
        <v>751</v>
      </c>
      <c r="K1879" s="5" t="s">
        <v>1260</v>
      </c>
    </row>
    <row r="1880" customFormat="false" ht="15" hidden="false" customHeight="false" outlineLevel="0" collapsed="false">
      <c r="A1880" s="5" t="s">
        <v>1261</v>
      </c>
      <c r="B1880" s="2" t="s">
        <v>1262</v>
      </c>
      <c r="C1880" s="5" t="s">
        <v>488</v>
      </c>
      <c r="D1880" s="5" t="s">
        <v>62</v>
      </c>
      <c r="E1880" s="5" t="n">
        <v>7</v>
      </c>
      <c r="F1880" s="5" t="s">
        <v>100</v>
      </c>
      <c r="G1880" s="2" t="s">
        <v>367</v>
      </c>
      <c r="H1880" s="5" t="s">
        <v>8332</v>
      </c>
      <c r="I1880" s="5" t="s">
        <v>60</v>
      </c>
      <c r="J1880" s="5" t="s">
        <v>100</v>
      </c>
      <c r="K1880" s="5" t="s">
        <v>1265</v>
      </c>
    </row>
    <row r="1881" customFormat="false" ht="15" hidden="false" customHeight="false" outlineLevel="0" collapsed="false">
      <c r="A1881" s="5" t="s">
        <v>1266</v>
      </c>
      <c r="B1881" s="2" t="s">
        <v>1267</v>
      </c>
      <c r="C1881" s="5" t="s">
        <v>488</v>
      </c>
      <c r="D1881" s="5" t="s">
        <v>62</v>
      </c>
      <c r="E1881" s="5" t="n">
        <v>5</v>
      </c>
      <c r="F1881" s="5" t="s">
        <v>100</v>
      </c>
      <c r="G1881" s="2" t="s">
        <v>367</v>
      </c>
      <c r="H1881" s="5" t="s">
        <v>8332</v>
      </c>
      <c r="I1881" s="5" t="s">
        <v>60</v>
      </c>
      <c r="J1881" s="5" t="s">
        <v>100</v>
      </c>
      <c r="K1881" s="5" t="s">
        <v>1271</v>
      </c>
    </row>
    <row r="1882" customFormat="false" ht="15" hidden="false" customHeight="false" outlineLevel="0" collapsed="false">
      <c r="A1882" s="5" t="s">
        <v>1272</v>
      </c>
      <c r="B1882" s="2" t="s">
        <v>1273</v>
      </c>
      <c r="C1882" s="5" t="s">
        <v>488</v>
      </c>
      <c r="D1882" s="5" t="s">
        <v>62</v>
      </c>
      <c r="E1882" s="5" t="n">
        <v>5</v>
      </c>
      <c r="F1882" s="5" t="s">
        <v>100</v>
      </c>
      <c r="G1882" s="2" t="s">
        <v>367</v>
      </c>
      <c r="H1882" s="5" t="s">
        <v>8332</v>
      </c>
      <c r="I1882" s="5" t="s">
        <v>60</v>
      </c>
      <c r="J1882" s="5" t="s">
        <v>100</v>
      </c>
      <c r="K1882" s="5" t="s">
        <v>1276</v>
      </c>
    </row>
    <row r="1883" customFormat="false" ht="15" hidden="false" customHeight="false" outlineLevel="0" collapsed="false">
      <c r="A1883" s="5" t="s">
        <v>12852</v>
      </c>
      <c r="B1883" s="2" t="s">
        <v>12853</v>
      </c>
      <c r="C1883" s="5" t="s">
        <v>2128</v>
      </c>
      <c r="D1883" s="5" t="s">
        <v>62</v>
      </c>
      <c r="E1883" s="5" t="n">
        <v>9</v>
      </c>
      <c r="F1883" s="5" t="s">
        <v>90</v>
      </c>
      <c r="G1883" s="2" t="s">
        <v>367</v>
      </c>
      <c r="H1883" s="5" t="s">
        <v>8336</v>
      </c>
      <c r="I1883" s="5"/>
      <c r="J1883" s="5"/>
      <c r="K1883" s="5" t="s">
        <v>12854</v>
      </c>
    </row>
    <row r="1884" customFormat="false" ht="46.25" hidden="false" customHeight="false" outlineLevel="0" collapsed="false">
      <c r="A1884" s="5" t="s">
        <v>12855</v>
      </c>
      <c r="B1884" s="2" t="s">
        <v>12856</v>
      </c>
      <c r="C1884" s="5" t="s">
        <v>2245</v>
      </c>
      <c r="D1884" s="5" t="s">
        <v>62</v>
      </c>
      <c r="E1884" s="5" t="n">
        <v>5</v>
      </c>
      <c r="F1884" s="5" t="s">
        <v>67</v>
      </c>
      <c r="G1884" s="2" t="s">
        <v>12057</v>
      </c>
      <c r="H1884" s="5" t="s">
        <v>8336</v>
      </c>
      <c r="I1884" s="5"/>
      <c r="J1884" s="5"/>
      <c r="K1884" s="5" t="s">
        <v>12857</v>
      </c>
    </row>
    <row r="1885" customFormat="false" ht="15" hidden="false" customHeight="false" outlineLevel="0" collapsed="false">
      <c r="A1885" s="5" t="s">
        <v>12858</v>
      </c>
      <c r="B1885" s="2" t="s">
        <v>12859</v>
      </c>
      <c r="C1885" s="5" t="s">
        <v>2128</v>
      </c>
      <c r="D1885" s="5" t="s">
        <v>62</v>
      </c>
      <c r="E1885" s="5" t="n">
        <v>3</v>
      </c>
      <c r="F1885" s="5" t="s">
        <v>67</v>
      </c>
      <c r="G1885" s="2" t="s">
        <v>367</v>
      </c>
      <c r="H1885" s="5" t="s">
        <v>8336</v>
      </c>
      <c r="I1885" s="5"/>
      <c r="J1885" s="5"/>
      <c r="K1885" s="5" t="s">
        <v>12860</v>
      </c>
    </row>
    <row r="1886" customFormat="false" ht="46.25" hidden="false" customHeight="false" outlineLevel="0" collapsed="false">
      <c r="A1886" s="5" t="s">
        <v>12861</v>
      </c>
      <c r="B1886" s="2" t="s">
        <v>12862</v>
      </c>
      <c r="C1886" s="5" t="s">
        <v>2245</v>
      </c>
      <c r="D1886" s="5" t="s">
        <v>62</v>
      </c>
      <c r="E1886" s="5" t="n">
        <v>5</v>
      </c>
      <c r="F1886" s="5" t="s">
        <v>90</v>
      </c>
      <c r="G1886" s="2" t="s">
        <v>12057</v>
      </c>
      <c r="H1886" s="5" t="s">
        <v>8336</v>
      </c>
      <c r="I1886" s="5"/>
      <c r="J1886" s="5"/>
      <c r="K1886" s="5" t="s">
        <v>12863</v>
      </c>
    </row>
    <row r="1887" customFormat="false" ht="15" hidden="false" customHeight="false" outlineLevel="0" collapsed="false">
      <c r="A1887" s="5" t="s">
        <v>12864</v>
      </c>
      <c r="B1887" s="2" t="s">
        <v>12865</v>
      </c>
      <c r="C1887" s="5" t="s">
        <v>2128</v>
      </c>
      <c r="D1887" s="5" t="s">
        <v>62</v>
      </c>
      <c r="E1887" s="5" t="n">
        <v>7</v>
      </c>
      <c r="F1887" s="5" t="s">
        <v>90</v>
      </c>
      <c r="G1887" s="2" t="s">
        <v>367</v>
      </c>
      <c r="H1887" s="5" t="s">
        <v>8336</v>
      </c>
      <c r="I1887" s="5"/>
      <c r="J1887" s="5"/>
      <c r="K1887" s="5" t="s">
        <v>12866</v>
      </c>
    </row>
    <row r="1888" customFormat="false" ht="15" hidden="false" customHeight="false" outlineLevel="0" collapsed="false">
      <c r="A1888" s="5" t="s">
        <v>3473</v>
      </c>
      <c r="B1888" s="2" t="s">
        <v>3474</v>
      </c>
      <c r="C1888" s="5" t="s">
        <v>2128</v>
      </c>
      <c r="D1888" s="5" t="s">
        <v>62</v>
      </c>
      <c r="E1888" s="5" t="n">
        <v>9</v>
      </c>
      <c r="F1888" s="5" t="s">
        <v>67</v>
      </c>
      <c r="G1888" s="2" t="s">
        <v>367</v>
      </c>
      <c r="H1888" s="5" t="s">
        <v>8332</v>
      </c>
      <c r="I1888" s="5" t="s">
        <v>60</v>
      </c>
      <c r="J1888" s="5" t="s">
        <v>161</v>
      </c>
      <c r="K1888" s="5" t="s">
        <v>3477</v>
      </c>
    </row>
    <row r="1889" customFormat="false" ht="46.25" hidden="false" customHeight="false" outlineLevel="0" collapsed="false">
      <c r="A1889" s="5" t="s">
        <v>3478</v>
      </c>
      <c r="B1889" s="2" t="s">
        <v>3479</v>
      </c>
      <c r="C1889" s="5" t="s">
        <v>2245</v>
      </c>
      <c r="D1889" s="5" t="s">
        <v>62</v>
      </c>
      <c r="E1889" s="5" t="n">
        <v>7</v>
      </c>
      <c r="F1889" s="5" t="s">
        <v>67</v>
      </c>
      <c r="G1889" s="2" t="s">
        <v>12057</v>
      </c>
      <c r="H1889" s="5" t="s">
        <v>8332</v>
      </c>
      <c r="I1889" s="5" t="s">
        <v>60</v>
      </c>
      <c r="J1889" s="5" t="s">
        <v>751</v>
      </c>
      <c r="K1889" s="5" t="s">
        <v>3483</v>
      </c>
    </row>
    <row r="1890" customFormat="false" ht="46.25" hidden="false" customHeight="false" outlineLevel="0" collapsed="false">
      <c r="A1890" s="5" t="s">
        <v>3484</v>
      </c>
      <c r="B1890" s="2" t="s">
        <v>3485</v>
      </c>
      <c r="C1890" s="5" t="s">
        <v>2245</v>
      </c>
      <c r="D1890" s="5" t="s">
        <v>62</v>
      </c>
      <c r="E1890" s="5" t="n">
        <v>7</v>
      </c>
      <c r="F1890" s="5" t="s">
        <v>67</v>
      </c>
      <c r="G1890" s="2" t="s">
        <v>12057</v>
      </c>
      <c r="H1890" s="5" t="s">
        <v>8332</v>
      </c>
      <c r="I1890" s="5" t="s">
        <v>60</v>
      </c>
      <c r="J1890" s="5" t="s">
        <v>751</v>
      </c>
      <c r="K1890" s="5" t="s">
        <v>3488</v>
      </c>
    </row>
    <row r="1891" customFormat="false" ht="46.25" hidden="false" customHeight="false" outlineLevel="0" collapsed="false">
      <c r="A1891" s="5" t="s">
        <v>12867</v>
      </c>
      <c r="B1891" s="2" t="s">
        <v>12868</v>
      </c>
      <c r="C1891" s="5" t="s">
        <v>2245</v>
      </c>
      <c r="D1891" s="5" t="s">
        <v>62</v>
      </c>
      <c r="E1891" s="5" t="n">
        <v>5</v>
      </c>
      <c r="F1891" s="5" t="s">
        <v>90</v>
      </c>
      <c r="G1891" s="2" t="s">
        <v>12057</v>
      </c>
      <c r="H1891" s="5" t="s">
        <v>8336</v>
      </c>
      <c r="I1891" s="5"/>
      <c r="J1891" s="5"/>
      <c r="K1891" s="5" t="s">
        <v>12869</v>
      </c>
    </row>
    <row r="1892" customFormat="false" ht="46.25" hidden="false" customHeight="false" outlineLevel="0" collapsed="false">
      <c r="A1892" s="5" t="s">
        <v>12870</v>
      </c>
      <c r="B1892" s="2" t="s">
        <v>12871</v>
      </c>
      <c r="C1892" s="5" t="s">
        <v>2245</v>
      </c>
      <c r="D1892" s="5" t="s">
        <v>62</v>
      </c>
      <c r="E1892" s="5" t="n">
        <v>5</v>
      </c>
      <c r="F1892" s="5" t="s">
        <v>413</v>
      </c>
      <c r="G1892" s="2" t="s">
        <v>12057</v>
      </c>
      <c r="H1892" s="5" t="s">
        <v>8336</v>
      </c>
      <c r="I1892" s="5"/>
      <c r="J1892" s="5"/>
      <c r="K1892" s="5" t="s">
        <v>12872</v>
      </c>
    </row>
    <row r="1893" customFormat="false" ht="46.25" hidden="false" customHeight="false" outlineLevel="0" collapsed="false">
      <c r="A1893" s="5" t="s">
        <v>12873</v>
      </c>
      <c r="B1893" s="2" t="s">
        <v>12874</v>
      </c>
      <c r="C1893" s="5" t="s">
        <v>2128</v>
      </c>
      <c r="D1893" s="5" t="s">
        <v>62</v>
      </c>
      <c r="E1893" s="5" t="n">
        <v>5</v>
      </c>
      <c r="F1893" s="5" t="s">
        <v>90</v>
      </c>
      <c r="G1893" s="2" t="s">
        <v>12057</v>
      </c>
      <c r="H1893" s="5" t="s">
        <v>8336</v>
      </c>
      <c r="I1893" s="5"/>
      <c r="J1893" s="5"/>
      <c r="K1893" s="5" t="s">
        <v>12875</v>
      </c>
    </row>
    <row r="1894" customFormat="false" ht="46.25" hidden="false" customHeight="false" outlineLevel="0" collapsed="false">
      <c r="A1894" s="5" t="s">
        <v>6156</v>
      </c>
      <c r="B1894" s="2" t="s">
        <v>6157</v>
      </c>
      <c r="C1894" s="5" t="s">
        <v>2245</v>
      </c>
      <c r="D1894" s="5" t="s">
        <v>62</v>
      </c>
      <c r="E1894" s="5" t="n">
        <v>5</v>
      </c>
      <c r="F1894" s="5" t="s">
        <v>2079</v>
      </c>
      <c r="G1894" s="2" t="s">
        <v>12054</v>
      </c>
      <c r="H1894" s="5" t="s">
        <v>8332</v>
      </c>
      <c r="I1894" s="5" t="s">
        <v>4760</v>
      </c>
      <c r="J1894" s="5" t="s">
        <v>2079</v>
      </c>
      <c r="K1894" s="5" t="s">
        <v>6161</v>
      </c>
    </row>
    <row r="1895" customFormat="false" ht="23.85" hidden="false" customHeight="false" outlineLevel="0" collapsed="false">
      <c r="A1895" s="5" t="s">
        <v>3489</v>
      </c>
      <c r="B1895" s="2" t="s">
        <v>3490</v>
      </c>
      <c r="C1895" s="5" t="s">
        <v>2128</v>
      </c>
      <c r="D1895" s="5" t="s">
        <v>62</v>
      </c>
      <c r="E1895" s="5" t="n">
        <v>7</v>
      </c>
      <c r="F1895" s="5" t="s">
        <v>90</v>
      </c>
      <c r="G1895" s="2" t="s">
        <v>184</v>
      </c>
      <c r="H1895" s="5" t="s">
        <v>8332</v>
      </c>
      <c r="I1895" s="5" t="s">
        <v>60</v>
      </c>
      <c r="J1895" s="5" t="s">
        <v>182</v>
      </c>
      <c r="K1895" s="5" t="s">
        <v>3496</v>
      </c>
    </row>
    <row r="1896" customFormat="false" ht="46.25" hidden="false" customHeight="false" outlineLevel="0" collapsed="false">
      <c r="A1896" s="5" t="s">
        <v>12876</v>
      </c>
      <c r="B1896" s="2" t="s">
        <v>12877</v>
      </c>
      <c r="C1896" s="5" t="s">
        <v>2245</v>
      </c>
      <c r="D1896" s="5" t="s">
        <v>62</v>
      </c>
      <c r="E1896" s="5" t="n">
        <v>5</v>
      </c>
      <c r="F1896" s="5" t="s">
        <v>67</v>
      </c>
      <c r="G1896" s="2" t="s">
        <v>12057</v>
      </c>
      <c r="H1896" s="5" t="s">
        <v>8336</v>
      </c>
      <c r="I1896" s="5"/>
      <c r="J1896" s="5"/>
      <c r="K1896" s="5" t="s">
        <v>12878</v>
      </c>
    </row>
    <row r="1897" customFormat="false" ht="46.25" hidden="false" customHeight="false" outlineLevel="0" collapsed="false">
      <c r="A1897" s="5" t="s">
        <v>12879</v>
      </c>
      <c r="B1897" s="2" t="s">
        <v>12880</v>
      </c>
      <c r="C1897" s="5" t="s">
        <v>2245</v>
      </c>
      <c r="D1897" s="5" t="s">
        <v>62</v>
      </c>
      <c r="E1897" s="5" t="n">
        <v>5</v>
      </c>
      <c r="F1897" s="5" t="s">
        <v>277</v>
      </c>
      <c r="G1897" s="2" t="s">
        <v>12057</v>
      </c>
      <c r="H1897" s="5" t="s">
        <v>8336</v>
      </c>
      <c r="I1897" s="5"/>
      <c r="J1897" s="5"/>
      <c r="K1897" s="5" t="s">
        <v>12881</v>
      </c>
    </row>
    <row r="1898" customFormat="false" ht="46.25" hidden="false" customHeight="false" outlineLevel="0" collapsed="false">
      <c r="A1898" s="5" t="s">
        <v>12882</v>
      </c>
      <c r="B1898" s="2" t="s">
        <v>12883</v>
      </c>
      <c r="C1898" s="5" t="s">
        <v>2245</v>
      </c>
      <c r="D1898" s="5" t="s">
        <v>62</v>
      </c>
      <c r="E1898" s="5" t="n">
        <v>5</v>
      </c>
      <c r="F1898" s="5" t="s">
        <v>90</v>
      </c>
      <c r="G1898" s="2" t="s">
        <v>12054</v>
      </c>
      <c r="H1898" s="5" t="s">
        <v>8336</v>
      </c>
      <c r="I1898" s="5"/>
      <c r="J1898" s="5"/>
      <c r="K1898" s="5" t="s">
        <v>12884</v>
      </c>
    </row>
    <row r="1899" customFormat="false" ht="15" hidden="false" customHeight="false" outlineLevel="0" collapsed="false">
      <c r="A1899" s="5" t="s">
        <v>1277</v>
      </c>
      <c r="B1899" s="2" t="s">
        <v>1278</v>
      </c>
      <c r="C1899" s="5" t="s">
        <v>488</v>
      </c>
      <c r="D1899" s="5" t="s">
        <v>62</v>
      </c>
      <c r="E1899" s="5" t="n">
        <v>5</v>
      </c>
      <c r="F1899" s="5" t="s">
        <v>100</v>
      </c>
      <c r="G1899" s="2" t="s">
        <v>367</v>
      </c>
      <c r="H1899" s="5" t="s">
        <v>8332</v>
      </c>
      <c r="I1899" s="5" t="s">
        <v>60</v>
      </c>
      <c r="J1899" s="5" t="s">
        <v>100</v>
      </c>
      <c r="K1899" s="5" t="s">
        <v>1282</v>
      </c>
    </row>
    <row r="1900" customFormat="false" ht="15" hidden="false" customHeight="false" outlineLevel="0" collapsed="false">
      <c r="A1900" s="5" t="s">
        <v>1283</v>
      </c>
      <c r="B1900" s="2" t="s">
        <v>1284</v>
      </c>
      <c r="C1900" s="5" t="s">
        <v>488</v>
      </c>
      <c r="D1900" s="5" t="s">
        <v>62</v>
      </c>
      <c r="E1900" s="5" t="n">
        <v>5</v>
      </c>
      <c r="F1900" s="5" t="s">
        <v>100</v>
      </c>
      <c r="G1900" s="2" t="s">
        <v>367</v>
      </c>
      <c r="H1900" s="5" t="s">
        <v>8332</v>
      </c>
      <c r="I1900" s="5" t="s">
        <v>60</v>
      </c>
      <c r="J1900" s="5" t="s">
        <v>100</v>
      </c>
      <c r="K1900" s="5" t="s">
        <v>1287</v>
      </c>
    </row>
    <row r="1901" customFormat="false" ht="15" hidden="false" customHeight="false" outlineLevel="0" collapsed="false">
      <c r="A1901" s="5" t="s">
        <v>12885</v>
      </c>
      <c r="B1901" s="2" t="s">
        <v>12886</v>
      </c>
      <c r="C1901" s="5" t="s">
        <v>2128</v>
      </c>
      <c r="D1901" s="5" t="s">
        <v>62</v>
      </c>
      <c r="E1901" s="5" t="n">
        <v>7</v>
      </c>
      <c r="F1901" s="5" t="s">
        <v>413</v>
      </c>
      <c r="G1901" s="2" t="s">
        <v>367</v>
      </c>
      <c r="H1901" s="5" t="s">
        <v>8336</v>
      </c>
      <c r="I1901" s="5"/>
      <c r="J1901" s="5"/>
      <c r="K1901" s="5" t="s">
        <v>12887</v>
      </c>
    </row>
    <row r="1902" customFormat="false" ht="23.85" hidden="false" customHeight="false" outlineLevel="0" collapsed="false">
      <c r="A1902" s="5" t="s">
        <v>321</v>
      </c>
      <c r="B1902" s="2" t="s">
        <v>322</v>
      </c>
      <c r="C1902" s="5" t="s">
        <v>59</v>
      </c>
      <c r="D1902" s="5" t="s">
        <v>62</v>
      </c>
      <c r="E1902" s="5" t="n">
        <v>9</v>
      </c>
      <c r="F1902" s="5" t="s">
        <v>100</v>
      </c>
      <c r="G1902" s="2" t="s">
        <v>184</v>
      </c>
      <c r="H1902" s="5" t="s">
        <v>8332</v>
      </c>
      <c r="I1902" s="5" t="s">
        <v>60</v>
      </c>
      <c r="J1902" s="5" t="s">
        <v>208</v>
      </c>
      <c r="K1902" s="5" t="s">
        <v>325</v>
      </c>
    </row>
    <row r="1903" customFormat="false" ht="23.85" hidden="false" customHeight="false" outlineLevel="0" collapsed="false">
      <c r="A1903" s="5" t="s">
        <v>326</v>
      </c>
      <c r="B1903" s="2" t="s">
        <v>327</v>
      </c>
      <c r="C1903" s="5" t="s">
        <v>59</v>
      </c>
      <c r="D1903" s="5" t="s">
        <v>62</v>
      </c>
      <c r="E1903" s="5" t="n">
        <v>9</v>
      </c>
      <c r="F1903" s="5" t="s">
        <v>100</v>
      </c>
      <c r="G1903" s="2" t="s">
        <v>184</v>
      </c>
      <c r="H1903" s="5" t="s">
        <v>8332</v>
      </c>
      <c r="I1903" s="5" t="s">
        <v>60</v>
      </c>
      <c r="J1903" s="5" t="s">
        <v>208</v>
      </c>
      <c r="K1903" s="5" t="s">
        <v>330</v>
      </c>
    </row>
    <row r="1904" customFormat="false" ht="46.25" hidden="false" customHeight="false" outlineLevel="0" collapsed="false">
      <c r="A1904" s="5" t="s">
        <v>331</v>
      </c>
      <c r="B1904" s="2" t="s">
        <v>332</v>
      </c>
      <c r="C1904" s="5" t="s">
        <v>59</v>
      </c>
      <c r="D1904" s="5" t="s">
        <v>62</v>
      </c>
      <c r="E1904" s="5" t="n">
        <v>10</v>
      </c>
      <c r="F1904" s="5" t="s">
        <v>100</v>
      </c>
      <c r="G1904" s="2" t="s">
        <v>12078</v>
      </c>
      <c r="H1904" s="5" t="s">
        <v>8332</v>
      </c>
      <c r="I1904" s="5" t="s">
        <v>60</v>
      </c>
      <c r="J1904" s="5" t="s">
        <v>333</v>
      </c>
      <c r="K1904" s="5" t="s">
        <v>336</v>
      </c>
    </row>
    <row r="1905" customFormat="false" ht="15" hidden="false" customHeight="false" outlineLevel="0" collapsed="false">
      <c r="A1905" s="5" t="s">
        <v>1288</v>
      </c>
      <c r="B1905" s="2" t="s">
        <v>1289</v>
      </c>
      <c r="C1905" s="5" t="s">
        <v>488</v>
      </c>
      <c r="D1905" s="5" t="s">
        <v>62</v>
      </c>
      <c r="E1905" s="5" t="n">
        <v>5</v>
      </c>
      <c r="F1905" s="5" t="s">
        <v>100</v>
      </c>
      <c r="G1905" s="2" t="s">
        <v>367</v>
      </c>
      <c r="H1905" s="5" t="s">
        <v>8332</v>
      </c>
      <c r="I1905" s="5" t="s">
        <v>60</v>
      </c>
      <c r="J1905" s="5" t="s">
        <v>1104</v>
      </c>
      <c r="K1905" s="5" t="s">
        <v>1292</v>
      </c>
    </row>
    <row r="1906" customFormat="false" ht="15" hidden="false" customHeight="false" outlineLevel="0" collapsed="false">
      <c r="A1906" s="5" t="s">
        <v>1293</v>
      </c>
      <c r="B1906" s="2" t="s">
        <v>1294</v>
      </c>
      <c r="C1906" s="5" t="s">
        <v>488</v>
      </c>
      <c r="D1906" s="5" t="s">
        <v>62</v>
      </c>
      <c r="E1906" s="5" t="n">
        <v>5</v>
      </c>
      <c r="F1906" s="5" t="s">
        <v>1210</v>
      </c>
      <c r="G1906" s="2" t="s">
        <v>367</v>
      </c>
      <c r="H1906" s="5" t="s">
        <v>8332</v>
      </c>
      <c r="I1906" s="5" t="s">
        <v>60</v>
      </c>
      <c r="J1906" s="5"/>
      <c r="K1906" s="5" t="s">
        <v>1298</v>
      </c>
    </row>
    <row r="1907" customFormat="false" ht="23.85" hidden="false" customHeight="false" outlineLevel="0" collapsed="false">
      <c r="A1907" s="5" t="s">
        <v>1299</v>
      </c>
      <c r="B1907" s="2" t="s">
        <v>1300</v>
      </c>
      <c r="C1907" s="5" t="s">
        <v>488</v>
      </c>
      <c r="D1907" s="5" t="s">
        <v>62</v>
      </c>
      <c r="E1907" s="5" t="n">
        <v>7</v>
      </c>
      <c r="F1907" s="5" t="s">
        <v>100</v>
      </c>
      <c r="G1907" s="2" t="s">
        <v>367</v>
      </c>
      <c r="H1907" s="5" t="s">
        <v>8332</v>
      </c>
      <c r="I1907" s="5" t="s">
        <v>60</v>
      </c>
      <c r="J1907" s="5" t="s">
        <v>100</v>
      </c>
      <c r="K1907" s="5" t="s">
        <v>1304</v>
      </c>
    </row>
    <row r="1908" customFormat="false" ht="46.25" hidden="false" customHeight="false" outlineLevel="0" collapsed="false">
      <c r="A1908" s="5" t="s">
        <v>12888</v>
      </c>
      <c r="B1908" s="2" t="s">
        <v>12889</v>
      </c>
      <c r="C1908" s="5" t="s">
        <v>2245</v>
      </c>
      <c r="D1908" s="5" t="s">
        <v>62</v>
      </c>
      <c r="E1908" s="5" t="n">
        <v>3</v>
      </c>
      <c r="F1908" s="5" t="s">
        <v>67</v>
      </c>
      <c r="G1908" s="2" t="s">
        <v>12057</v>
      </c>
      <c r="H1908" s="5" t="s">
        <v>8336</v>
      </c>
      <c r="I1908" s="5"/>
      <c r="J1908" s="5"/>
      <c r="K1908" s="5" t="s">
        <v>12890</v>
      </c>
    </row>
    <row r="1909" customFormat="false" ht="46.25" hidden="false" customHeight="false" outlineLevel="0" collapsed="false">
      <c r="A1909" s="5" t="s">
        <v>12891</v>
      </c>
      <c r="B1909" s="2" t="s">
        <v>12892</v>
      </c>
      <c r="C1909" s="5" t="s">
        <v>2245</v>
      </c>
      <c r="D1909" s="5" t="s">
        <v>62</v>
      </c>
      <c r="E1909" s="5" t="n">
        <v>3</v>
      </c>
      <c r="F1909" s="5" t="s">
        <v>67</v>
      </c>
      <c r="G1909" s="2" t="s">
        <v>12057</v>
      </c>
      <c r="H1909" s="5" t="s">
        <v>8336</v>
      </c>
      <c r="I1909" s="5"/>
      <c r="J1909" s="5"/>
      <c r="K1909" s="5" t="s">
        <v>12893</v>
      </c>
    </row>
    <row r="1910" customFormat="false" ht="46.25" hidden="false" customHeight="false" outlineLevel="0" collapsed="false">
      <c r="A1910" s="5" t="s">
        <v>3497</v>
      </c>
      <c r="B1910" s="2" t="s">
        <v>3498</v>
      </c>
      <c r="C1910" s="5" t="s">
        <v>2245</v>
      </c>
      <c r="D1910" s="5" t="s">
        <v>62</v>
      </c>
      <c r="E1910" s="5" t="n">
        <v>7</v>
      </c>
      <c r="F1910" s="5" t="s">
        <v>67</v>
      </c>
      <c r="G1910" s="2" t="s">
        <v>12894</v>
      </c>
      <c r="H1910" s="5" t="s">
        <v>8332</v>
      </c>
      <c r="I1910" s="5" t="s">
        <v>60</v>
      </c>
      <c r="J1910" s="5" t="s">
        <v>269</v>
      </c>
      <c r="K1910" s="5" t="s">
        <v>3505</v>
      </c>
    </row>
    <row r="1911" customFormat="false" ht="46.25" hidden="false" customHeight="false" outlineLevel="0" collapsed="false">
      <c r="A1911" s="5" t="s">
        <v>12895</v>
      </c>
      <c r="B1911" s="2" t="s">
        <v>12896</v>
      </c>
      <c r="C1911" s="5" t="s">
        <v>2245</v>
      </c>
      <c r="D1911" s="5" t="s">
        <v>62</v>
      </c>
      <c r="E1911" s="5" t="n">
        <v>7</v>
      </c>
      <c r="F1911" s="5" t="s">
        <v>67</v>
      </c>
      <c r="G1911" s="2" t="s">
        <v>12057</v>
      </c>
      <c r="H1911" s="5" t="s">
        <v>8336</v>
      </c>
      <c r="I1911" s="5"/>
      <c r="J1911" s="5"/>
      <c r="K1911" s="5" t="s">
        <v>12897</v>
      </c>
    </row>
    <row r="1912" customFormat="false" ht="15" hidden="false" customHeight="false" outlineLevel="0" collapsed="false">
      <c r="A1912" s="5" t="s">
        <v>12898</v>
      </c>
      <c r="B1912" s="2" t="s">
        <v>12899</v>
      </c>
      <c r="C1912" s="5" t="s">
        <v>2128</v>
      </c>
      <c r="D1912" s="5" t="s">
        <v>62</v>
      </c>
      <c r="E1912" s="5" t="n">
        <v>7</v>
      </c>
      <c r="F1912" s="5" t="s">
        <v>90</v>
      </c>
      <c r="G1912" s="2" t="s">
        <v>367</v>
      </c>
      <c r="H1912" s="5" t="s">
        <v>8336</v>
      </c>
      <c r="I1912" s="5"/>
      <c r="J1912" s="5"/>
      <c r="K1912" s="5" t="s">
        <v>12900</v>
      </c>
    </row>
    <row r="1913" customFormat="false" ht="46.25" hidden="false" customHeight="false" outlineLevel="0" collapsed="false">
      <c r="A1913" s="5" t="s">
        <v>12901</v>
      </c>
      <c r="B1913" s="2" t="s">
        <v>12902</v>
      </c>
      <c r="C1913" s="5" t="s">
        <v>2245</v>
      </c>
      <c r="D1913" s="5" t="s">
        <v>490</v>
      </c>
      <c r="E1913" s="5" t="n">
        <v>5</v>
      </c>
      <c r="F1913" s="5" t="s">
        <v>90</v>
      </c>
      <c r="G1913" s="2" t="s">
        <v>12174</v>
      </c>
      <c r="H1913" s="5" t="s">
        <v>8336</v>
      </c>
      <c r="I1913" s="5"/>
      <c r="J1913" s="5"/>
      <c r="K1913" s="5" t="s">
        <v>12903</v>
      </c>
    </row>
    <row r="1914" customFormat="false" ht="23.85" hidden="false" customHeight="false" outlineLevel="0" collapsed="false">
      <c r="A1914" s="5" t="s">
        <v>12904</v>
      </c>
      <c r="B1914" s="2" t="s">
        <v>12905</v>
      </c>
      <c r="C1914" s="5" t="s">
        <v>2128</v>
      </c>
      <c r="D1914" s="5" t="s">
        <v>62</v>
      </c>
      <c r="E1914" s="5" t="n">
        <v>5</v>
      </c>
      <c r="F1914" s="5" t="s">
        <v>67</v>
      </c>
      <c r="G1914" s="2" t="s">
        <v>415</v>
      </c>
      <c r="H1914" s="5" t="s">
        <v>8336</v>
      </c>
      <c r="I1914" s="5"/>
      <c r="J1914" s="5"/>
      <c r="K1914" s="5" t="s">
        <v>12906</v>
      </c>
    </row>
    <row r="1915" customFormat="false" ht="46.25" hidden="false" customHeight="false" outlineLevel="0" collapsed="false">
      <c r="A1915" s="5" t="s">
        <v>12907</v>
      </c>
      <c r="B1915" s="2" t="s">
        <v>12908</v>
      </c>
      <c r="C1915" s="5" t="s">
        <v>2245</v>
      </c>
      <c r="D1915" s="5" t="s">
        <v>62</v>
      </c>
      <c r="E1915" s="5" t="n">
        <v>5</v>
      </c>
      <c r="F1915" s="5" t="s">
        <v>90</v>
      </c>
      <c r="G1915" s="2" t="s">
        <v>12057</v>
      </c>
      <c r="H1915" s="5" t="s">
        <v>8336</v>
      </c>
      <c r="I1915" s="5"/>
      <c r="J1915" s="5"/>
      <c r="K1915" s="5" t="s">
        <v>12909</v>
      </c>
    </row>
    <row r="1916" customFormat="false" ht="15" hidden="false" customHeight="false" outlineLevel="0" collapsed="false">
      <c r="A1916" s="5" t="s">
        <v>12910</v>
      </c>
      <c r="B1916" s="2" t="s">
        <v>12911</v>
      </c>
      <c r="C1916" s="5" t="s">
        <v>2128</v>
      </c>
      <c r="D1916" s="5" t="s">
        <v>62</v>
      </c>
      <c r="E1916" s="5" t="n">
        <v>5</v>
      </c>
      <c r="F1916" s="5" t="s">
        <v>67</v>
      </c>
      <c r="G1916" s="2" t="s">
        <v>367</v>
      </c>
      <c r="H1916" s="5" t="s">
        <v>8336</v>
      </c>
      <c r="I1916" s="5"/>
      <c r="J1916" s="5"/>
      <c r="K1916" s="5" t="s">
        <v>12912</v>
      </c>
    </row>
    <row r="1917" customFormat="false" ht="46.25" hidden="false" customHeight="false" outlineLevel="0" collapsed="false">
      <c r="A1917" s="5" t="s">
        <v>12913</v>
      </c>
      <c r="B1917" s="2" t="s">
        <v>12914</v>
      </c>
      <c r="C1917" s="5" t="s">
        <v>2245</v>
      </c>
      <c r="D1917" s="5" t="s">
        <v>62</v>
      </c>
      <c r="E1917" s="5" t="n">
        <v>7</v>
      </c>
      <c r="F1917" s="5" t="s">
        <v>90</v>
      </c>
      <c r="G1917" s="2" t="s">
        <v>12057</v>
      </c>
      <c r="H1917" s="5" t="s">
        <v>8336</v>
      </c>
      <c r="I1917" s="5"/>
      <c r="J1917" s="5"/>
      <c r="K1917" s="5" t="s">
        <v>12915</v>
      </c>
    </row>
    <row r="1918" customFormat="false" ht="15" hidden="false" customHeight="false" outlineLevel="0" collapsed="false">
      <c r="A1918" s="5" t="s">
        <v>12916</v>
      </c>
      <c r="B1918" s="2" t="s">
        <v>12917</v>
      </c>
      <c r="C1918" s="5" t="s">
        <v>2128</v>
      </c>
      <c r="D1918" s="5" t="s">
        <v>62</v>
      </c>
      <c r="E1918" s="5" t="n">
        <v>7</v>
      </c>
      <c r="F1918" s="5" t="s">
        <v>413</v>
      </c>
      <c r="G1918" s="2" t="s">
        <v>367</v>
      </c>
      <c r="H1918" s="5" t="s">
        <v>8336</v>
      </c>
      <c r="I1918" s="5"/>
      <c r="J1918" s="5"/>
      <c r="K1918" s="5" t="s">
        <v>12918</v>
      </c>
    </row>
    <row r="1919" customFormat="false" ht="46.25" hidden="false" customHeight="false" outlineLevel="0" collapsed="false">
      <c r="A1919" s="5" t="s">
        <v>12919</v>
      </c>
      <c r="B1919" s="2" t="s">
        <v>12920</v>
      </c>
      <c r="C1919" s="5" t="s">
        <v>2245</v>
      </c>
      <c r="D1919" s="5" t="s">
        <v>490</v>
      </c>
      <c r="E1919" s="5" t="n">
        <v>7</v>
      </c>
      <c r="F1919" s="5" t="s">
        <v>90</v>
      </c>
      <c r="G1919" s="2" t="s">
        <v>12310</v>
      </c>
      <c r="H1919" s="5" t="s">
        <v>8336</v>
      </c>
      <c r="I1919" s="5"/>
      <c r="J1919" s="5"/>
      <c r="K1919" s="5" t="s">
        <v>12921</v>
      </c>
    </row>
    <row r="1920" customFormat="false" ht="23.85" hidden="false" customHeight="false" outlineLevel="0" collapsed="false">
      <c r="A1920" s="5" t="s">
        <v>12922</v>
      </c>
      <c r="B1920" s="2" t="s">
        <v>12923</v>
      </c>
      <c r="C1920" s="5" t="s">
        <v>2128</v>
      </c>
      <c r="D1920" s="5" t="s">
        <v>62</v>
      </c>
      <c r="E1920" s="5" t="n">
        <v>7</v>
      </c>
      <c r="F1920" s="5" t="s">
        <v>67</v>
      </c>
      <c r="G1920" s="2" t="s">
        <v>367</v>
      </c>
      <c r="H1920" s="5" t="s">
        <v>8336</v>
      </c>
      <c r="I1920" s="5"/>
      <c r="J1920" s="5"/>
      <c r="K1920" s="5" t="s">
        <v>12924</v>
      </c>
    </row>
    <row r="1921" customFormat="false" ht="15" hidden="false" customHeight="false" outlineLevel="0" collapsed="false">
      <c r="A1921" s="5" t="s">
        <v>12925</v>
      </c>
      <c r="B1921" s="2" t="s">
        <v>12926</v>
      </c>
      <c r="C1921" s="5" t="s">
        <v>2128</v>
      </c>
      <c r="D1921" s="5" t="s">
        <v>62</v>
      </c>
      <c r="E1921" s="5" t="n">
        <v>5</v>
      </c>
      <c r="F1921" s="5" t="s">
        <v>413</v>
      </c>
      <c r="G1921" s="2" t="s">
        <v>367</v>
      </c>
      <c r="H1921" s="5" t="s">
        <v>8336</v>
      </c>
      <c r="I1921" s="5"/>
      <c r="J1921" s="5"/>
      <c r="K1921" s="5" t="s">
        <v>12927</v>
      </c>
    </row>
    <row r="1922" customFormat="false" ht="46.25" hidden="false" customHeight="false" outlineLevel="0" collapsed="false">
      <c r="A1922" s="5" t="s">
        <v>12928</v>
      </c>
      <c r="B1922" s="2" t="s">
        <v>12929</v>
      </c>
      <c r="C1922" s="5" t="s">
        <v>2245</v>
      </c>
      <c r="D1922" s="5" t="s">
        <v>62</v>
      </c>
      <c r="E1922" s="5" t="n">
        <v>5</v>
      </c>
      <c r="F1922" s="5" t="s">
        <v>413</v>
      </c>
      <c r="G1922" s="2" t="s">
        <v>12057</v>
      </c>
      <c r="H1922" s="5" t="s">
        <v>8336</v>
      </c>
      <c r="I1922" s="5"/>
      <c r="J1922" s="5"/>
      <c r="K1922" s="5" t="s">
        <v>12930</v>
      </c>
    </row>
    <row r="1923" customFormat="false" ht="15" hidden="false" customHeight="false" outlineLevel="0" collapsed="false">
      <c r="A1923" s="5" t="s">
        <v>12931</v>
      </c>
      <c r="B1923" s="2" t="s">
        <v>12932</v>
      </c>
      <c r="C1923" s="5" t="s">
        <v>2128</v>
      </c>
      <c r="D1923" s="5" t="s">
        <v>62</v>
      </c>
      <c r="E1923" s="5" t="n">
        <v>5</v>
      </c>
      <c r="F1923" s="5" t="s">
        <v>90</v>
      </c>
      <c r="G1923" s="2" t="s">
        <v>367</v>
      </c>
      <c r="H1923" s="5" t="s">
        <v>8336</v>
      </c>
      <c r="I1923" s="5"/>
      <c r="J1923" s="5"/>
      <c r="K1923" s="5" t="s">
        <v>12933</v>
      </c>
    </row>
    <row r="1924" customFormat="false" ht="15" hidden="false" customHeight="false" outlineLevel="0" collapsed="false">
      <c r="A1924" s="5" t="s">
        <v>12934</v>
      </c>
      <c r="B1924" s="2" t="s">
        <v>12935</v>
      </c>
      <c r="C1924" s="5" t="s">
        <v>2128</v>
      </c>
      <c r="D1924" s="5" t="s">
        <v>62</v>
      </c>
      <c r="E1924" s="5" t="n">
        <v>5</v>
      </c>
      <c r="F1924" s="5" t="s">
        <v>67</v>
      </c>
      <c r="G1924" s="2" t="s">
        <v>367</v>
      </c>
      <c r="H1924" s="5" t="s">
        <v>8336</v>
      </c>
      <c r="I1924" s="5"/>
      <c r="J1924" s="5"/>
      <c r="K1924" s="5" t="s">
        <v>12936</v>
      </c>
    </row>
    <row r="1925" customFormat="false" ht="46.25" hidden="false" customHeight="false" outlineLevel="0" collapsed="false">
      <c r="A1925" s="5" t="s">
        <v>6162</v>
      </c>
      <c r="B1925" s="2" t="s">
        <v>6163</v>
      </c>
      <c r="C1925" s="5" t="s">
        <v>2245</v>
      </c>
      <c r="D1925" s="5" t="s">
        <v>62</v>
      </c>
      <c r="E1925" s="5" t="n">
        <v>5</v>
      </c>
      <c r="F1925" s="5" t="s">
        <v>2079</v>
      </c>
      <c r="G1925" s="2" t="s">
        <v>12054</v>
      </c>
      <c r="H1925" s="5" t="s">
        <v>8332</v>
      </c>
      <c r="I1925" s="5" t="s">
        <v>4760</v>
      </c>
      <c r="J1925" s="5" t="s">
        <v>2079</v>
      </c>
      <c r="K1925" s="5" t="s">
        <v>6166</v>
      </c>
    </row>
    <row r="1926" customFormat="false" ht="15" hidden="false" customHeight="false" outlineLevel="0" collapsed="false">
      <c r="A1926" s="5" t="s">
        <v>12937</v>
      </c>
      <c r="B1926" s="2" t="s">
        <v>12938</v>
      </c>
      <c r="C1926" s="5" t="s">
        <v>2128</v>
      </c>
      <c r="D1926" s="5" t="s">
        <v>62</v>
      </c>
      <c r="E1926" s="5" t="n">
        <v>7</v>
      </c>
      <c r="F1926" s="5" t="s">
        <v>90</v>
      </c>
      <c r="G1926" s="2" t="s">
        <v>367</v>
      </c>
      <c r="H1926" s="5" t="s">
        <v>8336</v>
      </c>
      <c r="I1926" s="5"/>
      <c r="J1926" s="5"/>
      <c r="K1926" s="5" t="s">
        <v>12939</v>
      </c>
    </row>
    <row r="1927" customFormat="false" ht="46.25" hidden="false" customHeight="false" outlineLevel="0" collapsed="false">
      <c r="A1927" s="5" t="s">
        <v>12940</v>
      </c>
      <c r="B1927" s="2" t="s">
        <v>12941</v>
      </c>
      <c r="C1927" s="5" t="s">
        <v>2245</v>
      </c>
      <c r="D1927" s="5" t="s">
        <v>62</v>
      </c>
      <c r="E1927" s="5" t="n">
        <v>7</v>
      </c>
      <c r="F1927" s="5" t="s">
        <v>90</v>
      </c>
      <c r="G1927" s="2" t="s">
        <v>12057</v>
      </c>
      <c r="H1927" s="5" t="s">
        <v>8336</v>
      </c>
      <c r="I1927" s="5"/>
      <c r="J1927" s="5"/>
      <c r="K1927" s="5" t="s">
        <v>12942</v>
      </c>
    </row>
    <row r="1928" customFormat="false" ht="15" hidden="false" customHeight="false" outlineLevel="0" collapsed="false">
      <c r="A1928" s="5" t="s">
        <v>12943</v>
      </c>
      <c r="B1928" s="2" t="s">
        <v>12944</v>
      </c>
      <c r="C1928" s="5" t="s">
        <v>2128</v>
      </c>
      <c r="D1928" s="5" t="s">
        <v>62</v>
      </c>
      <c r="E1928" s="5" t="n">
        <v>7</v>
      </c>
      <c r="F1928" s="5" t="s">
        <v>544</v>
      </c>
      <c r="G1928" s="2" t="s">
        <v>367</v>
      </c>
      <c r="H1928" s="5" t="s">
        <v>8336</v>
      </c>
      <c r="I1928" s="5"/>
      <c r="J1928" s="5"/>
      <c r="K1928" s="5" t="s">
        <v>12945</v>
      </c>
    </row>
    <row r="1929" customFormat="false" ht="15" hidden="false" customHeight="false" outlineLevel="0" collapsed="false">
      <c r="A1929" s="5" t="s">
        <v>12946</v>
      </c>
      <c r="B1929" s="2" t="s">
        <v>12947</v>
      </c>
      <c r="C1929" s="5" t="s">
        <v>2128</v>
      </c>
      <c r="D1929" s="5" t="s">
        <v>62</v>
      </c>
      <c r="E1929" s="5" t="n">
        <v>7</v>
      </c>
      <c r="F1929" s="5" t="s">
        <v>90</v>
      </c>
      <c r="G1929" s="2" t="s">
        <v>367</v>
      </c>
      <c r="H1929" s="5" t="s">
        <v>8336</v>
      </c>
      <c r="I1929" s="5"/>
      <c r="J1929" s="5"/>
      <c r="K1929" s="5" t="s">
        <v>12948</v>
      </c>
    </row>
    <row r="1930" customFormat="false" ht="23.85" hidden="false" customHeight="false" outlineLevel="0" collapsed="false">
      <c r="A1930" s="5" t="s">
        <v>12949</v>
      </c>
      <c r="B1930" s="2" t="s">
        <v>12950</v>
      </c>
      <c r="C1930" s="5" t="s">
        <v>2128</v>
      </c>
      <c r="D1930" s="5" t="s">
        <v>62</v>
      </c>
      <c r="E1930" s="5" t="n">
        <v>7</v>
      </c>
      <c r="F1930" s="5" t="s">
        <v>90</v>
      </c>
      <c r="G1930" s="2" t="s">
        <v>367</v>
      </c>
      <c r="H1930" s="5" t="s">
        <v>8336</v>
      </c>
      <c r="I1930" s="5"/>
      <c r="J1930" s="5"/>
      <c r="K1930" s="5" t="s">
        <v>12951</v>
      </c>
    </row>
    <row r="1931" customFormat="false" ht="23.85" hidden="false" customHeight="false" outlineLevel="0" collapsed="false">
      <c r="A1931" s="5" t="s">
        <v>12952</v>
      </c>
      <c r="B1931" s="2" t="s">
        <v>12953</v>
      </c>
      <c r="C1931" s="5" t="s">
        <v>2128</v>
      </c>
      <c r="D1931" s="5" t="s">
        <v>62</v>
      </c>
      <c r="E1931" s="5" t="n">
        <v>7</v>
      </c>
      <c r="F1931" s="5" t="s">
        <v>90</v>
      </c>
      <c r="G1931" s="2" t="s">
        <v>367</v>
      </c>
      <c r="H1931" s="5" t="s">
        <v>8336</v>
      </c>
      <c r="I1931" s="5"/>
      <c r="J1931" s="5"/>
      <c r="K1931" s="5" t="s">
        <v>12954</v>
      </c>
    </row>
    <row r="1932" customFormat="false" ht="15" hidden="false" customHeight="false" outlineLevel="0" collapsed="false">
      <c r="A1932" s="5" t="s">
        <v>12955</v>
      </c>
      <c r="B1932" s="2" t="s">
        <v>12956</v>
      </c>
      <c r="C1932" s="5" t="s">
        <v>2128</v>
      </c>
      <c r="D1932" s="5" t="s">
        <v>62</v>
      </c>
      <c r="E1932" s="5" t="n">
        <v>7</v>
      </c>
      <c r="F1932" s="5" t="s">
        <v>90</v>
      </c>
      <c r="G1932" s="2" t="s">
        <v>367</v>
      </c>
      <c r="H1932" s="5" t="s">
        <v>8336</v>
      </c>
      <c r="I1932" s="5"/>
      <c r="J1932" s="5"/>
      <c r="K1932" s="5" t="s">
        <v>12957</v>
      </c>
    </row>
    <row r="1933" customFormat="false" ht="15" hidden="false" customHeight="false" outlineLevel="0" collapsed="false">
      <c r="A1933" s="5" t="s">
        <v>12958</v>
      </c>
      <c r="B1933" s="2" t="s">
        <v>12959</v>
      </c>
      <c r="C1933" s="5" t="s">
        <v>2128</v>
      </c>
      <c r="D1933" s="5" t="s">
        <v>62</v>
      </c>
      <c r="E1933" s="5" t="n">
        <v>7</v>
      </c>
      <c r="F1933" s="5" t="s">
        <v>90</v>
      </c>
      <c r="G1933" s="2" t="s">
        <v>367</v>
      </c>
      <c r="H1933" s="5" t="s">
        <v>8336</v>
      </c>
      <c r="I1933" s="5"/>
      <c r="J1933" s="5"/>
      <c r="K1933" s="5" t="s">
        <v>12960</v>
      </c>
    </row>
    <row r="1934" customFormat="false" ht="15" hidden="false" customHeight="false" outlineLevel="0" collapsed="false">
      <c r="A1934" s="5" t="s">
        <v>3506</v>
      </c>
      <c r="B1934" s="2" t="s">
        <v>3507</v>
      </c>
      <c r="C1934" s="5" t="s">
        <v>2128</v>
      </c>
      <c r="D1934" s="5" t="s">
        <v>62</v>
      </c>
      <c r="E1934" s="5" t="n">
        <v>7</v>
      </c>
      <c r="F1934" s="5" t="s">
        <v>67</v>
      </c>
      <c r="G1934" s="2" t="s">
        <v>367</v>
      </c>
      <c r="H1934" s="5" t="s">
        <v>8332</v>
      </c>
      <c r="I1934" s="5" t="s">
        <v>60</v>
      </c>
      <c r="J1934" s="5" t="s">
        <v>161</v>
      </c>
      <c r="K1934" s="5" t="s">
        <v>3511</v>
      </c>
    </row>
    <row r="1935" customFormat="false" ht="15" hidden="false" customHeight="false" outlineLevel="0" collapsed="false">
      <c r="A1935" s="5" t="s">
        <v>12961</v>
      </c>
      <c r="B1935" s="2" t="s">
        <v>12962</v>
      </c>
      <c r="C1935" s="5" t="s">
        <v>2128</v>
      </c>
      <c r="D1935" s="5" t="s">
        <v>62</v>
      </c>
      <c r="E1935" s="5" t="n">
        <v>5</v>
      </c>
      <c r="F1935" s="5" t="s">
        <v>90</v>
      </c>
      <c r="G1935" s="2" t="s">
        <v>367</v>
      </c>
      <c r="H1935" s="5" t="s">
        <v>8336</v>
      </c>
      <c r="I1935" s="5"/>
      <c r="J1935" s="5"/>
      <c r="K1935" s="5" t="s">
        <v>12963</v>
      </c>
    </row>
    <row r="1936" customFormat="false" ht="15" hidden="false" customHeight="false" outlineLevel="0" collapsed="false">
      <c r="A1936" s="5" t="s">
        <v>12964</v>
      </c>
      <c r="B1936" s="2" t="s">
        <v>12965</v>
      </c>
      <c r="C1936" s="5" t="s">
        <v>2128</v>
      </c>
      <c r="D1936" s="5" t="s">
        <v>62</v>
      </c>
      <c r="E1936" s="5" t="n">
        <v>7</v>
      </c>
      <c r="F1936" s="5" t="s">
        <v>277</v>
      </c>
      <c r="G1936" s="2" t="s">
        <v>367</v>
      </c>
      <c r="H1936" s="5" t="s">
        <v>8336</v>
      </c>
      <c r="I1936" s="5"/>
      <c r="J1936" s="5"/>
      <c r="K1936" s="5" t="s">
        <v>12966</v>
      </c>
    </row>
    <row r="1937" customFormat="false" ht="15" hidden="false" customHeight="false" outlineLevel="0" collapsed="false">
      <c r="A1937" s="5" t="s">
        <v>12967</v>
      </c>
      <c r="B1937" s="2" t="s">
        <v>12968</v>
      </c>
      <c r="C1937" s="5" t="s">
        <v>2128</v>
      </c>
      <c r="D1937" s="5" t="s">
        <v>62</v>
      </c>
      <c r="E1937" s="5" t="n">
        <v>3</v>
      </c>
      <c r="F1937" s="5" t="s">
        <v>277</v>
      </c>
      <c r="G1937" s="2" t="s">
        <v>367</v>
      </c>
      <c r="H1937" s="5" t="s">
        <v>8336</v>
      </c>
      <c r="I1937" s="5"/>
      <c r="J1937" s="5"/>
      <c r="K1937" s="5" t="s">
        <v>12969</v>
      </c>
    </row>
    <row r="1938" customFormat="false" ht="46.25" hidden="false" customHeight="false" outlineLevel="0" collapsed="false">
      <c r="A1938" s="5" t="s">
        <v>12970</v>
      </c>
      <c r="B1938" s="2" t="s">
        <v>12971</v>
      </c>
      <c r="C1938" s="5" t="s">
        <v>2245</v>
      </c>
      <c r="D1938" s="5" t="s">
        <v>62</v>
      </c>
      <c r="E1938" s="5" t="n">
        <v>7</v>
      </c>
      <c r="F1938" s="5" t="s">
        <v>67</v>
      </c>
      <c r="G1938" s="2" t="s">
        <v>12057</v>
      </c>
      <c r="H1938" s="5" t="s">
        <v>8336</v>
      </c>
      <c r="I1938" s="5"/>
      <c r="J1938" s="5"/>
      <c r="K1938" s="5" t="s">
        <v>12972</v>
      </c>
    </row>
    <row r="1939" customFormat="false" ht="23.85" hidden="false" customHeight="false" outlineLevel="0" collapsed="false">
      <c r="A1939" s="5" t="s">
        <v>3512</v>
      </c>
      <c r="B1939" s="2" t="s">
        <v>3513</v>
      </c>
      <c r="C1939" s="5" t="s">
        <v>2128</v>
      </c>
      <c r="D1939" s="5" t="s">
        <v>62</v>
      </c>
      <c r="E1939" s="5" t="n">
        <v>3</v>
      </c>
      <c r="F1939" s="5" t="s">
        <v>544</v>
      </c>
      <c r="G1939" s="2" t="s">
        <v>184</v>
      </c>
      <c r="H1939" s="5" t="s">
        <v>8332</v>
      </c>
      <c r="I1939" s="5" t="s">
        <v>60</v>
      </c>
      <c r="J1939" s="5" t="s">
        <v>269</v>
      </c>
      <c r="K1939" s="5" t="s">
        <v>3520</v>
      </c>
    </row>
    <row r="1940" customFormat="false" ht="23.85" hidden="false" customHeight="false" outlineLevel="0" collapsed="false">
      <c r="A1940" s="5" t="s">
        <v>3521</v>
      </c>
      <c r="B1940" s="2" t="s">
        <v>3522</v>
      </c>
      <c r="C1940" s="5" t="s">
        <v>2128</v>
      </c>
      <c r="D1940" s="5" t="s">
        <v>62</v>
      </c>
      <c r="E1940" s="5" t="n">
        <v>5</v>
      </c>
      <c r="F1940" s="5" t="s">
        <v>544</v>
      </c>
      <c r="G1940" s="2" t="s">
        <v>184</v>
      </c>
      <c r="H1940" s="5" t="s">
        <v>8332</v>
      </c>
      <c r="I1940" s="5" t="s">
        <v>60</v>
      </c>
      <c r="J1940" s="5" t="s">
        <v>269</v>
      </c>
      <c r="K1940" s="5" t="s">
        <v>3527</v>
      </c>
    </row>
    <row r="1941" customFormat="false" ht="23.85" hidden="false" customHeight="false" outlineLevel="0" collapsed="false">
      <c r="A1941" s="5" t="s">
        <v>3528</v>
      </c>
      <c r="B1941" s="2" t="s">
        <v>3529</v>
      </c>
      <c r="C1941" s="5" t="s">
        <v>2128</v>
      </c>
      <c r="D1941" s="5" t="s">
        <v>62</v>
      </c>
      <c r="E1941" s="5" t="n">
        <v>7</v>
      </c>
      <c r="F1941" s="5" t="s">
        <v>544</v>
      </c>
      <c r="G1941" s="2" t="s">
        <v>184</v>
      </c>
      <c r="H1941" s="5" t="s">
        <v>8332</v>
      </c>
      <c r="I1941" s="5" t="s">
        <v>60</v>
      </c>
      <c r="J1941" s="5" t="s">
        <v>269</v>
      </c>
      <c r="K1941" s="5" t="s">
        <v>3532</v>
      </c>
    </row>
    <row r="1942" customFormat="false" ht="46.25" hidden="false" customHeight="false" outlineLevel="0" collapsed="false">
      <c r="A1942" s="5" t="s">
        <v>6167</v>
      </c>
      <c r="B1942" s="2" t="s">
        <v>6168</v>
      </c>
      <c r="C1942" s="5" t="s">
        <v>2245</v>
      </c>
      <c r="D1942" s="5" t="s">
        <v>62</v>
      </c>
      <c r="E1942" s="5" t="n">
        <v>5</v>
      </c>
      <c r="F1942" s="5" t="s">
        <v>100</v>
      </c>
      <c r="G1942" s="2" t="s">
        <v>12054</v>
      </c>
      <c r="H1942" s="5" t="s">
        <v>8332</v>
      </c>
      <c r="I1942" s="5" t="s">
        <v>4760</v>
      </c>
      <c r="J1942" s="5" t="s">
        <v>100</v>
      </c>
      <c r="K1942" s="5" t="s">
        <v>6171</v>
      </c>
    </row>
    <row r="1943" customFormat="false" ht="15" hidden="false" customHeight="false" outlineLevel="0" collapsed="false">
      <c r="A1943" s="5" t="s">
        <v>12973</v>
      </c>
      <c r="B1943" s="2" t="s">
        <v>12974</v>
      </c>
      <c r="C1943" s="5" t="s">
        <v>2128</v>
      </c>
      <c r="D1943" s="5" t="s">
        <v>62</v>
      </c>
      <c r="E1943" s="5" t="n">
        <v>9</v>
      </c>
      <c r="F1943" s="5" t="s">
        <v>67</v>
      </c>
      <c r="G1943" s="2" t="s">
        <v>367</v>
      </c>
      <c r="H1943" s="5" t="s">
        <v>8336</v>
      </c>
      <c r="I1943" s="5"/>
      <c r="J1943" s="5"/>
      <c r="K1943" s="5" t="s">
        <v>12975</v>
      </c>
    </row>
    <row r="1944" customFormat="false" ht="46.25" hidden="false" customHeight="false" outlineLevel="0" collapsed="false">
      <c r="A1944" s="5" t="s">
        <v>3533</v>
      </c>
      <c r="B1944" s="2" t="s">
        <v>3534</v>
      </c>
      <c r="C1944" s="5" t="s">
        <v>2245</v>
      </c>
      <c r="D1944" s="5" t="s">
        <v>62</v>
      </c>
      <c r="E1944" s="5" t="n">
        <v>1</v>
      </c>
      <c r="F1944" s="5" t="s">
        <v>67</v>
      </c>
      <c r="G1944" s="2" t="s">
        <v>12894</v>
      </c>
      <c r="H1944" s="5" t="s">
        <v>8332</v>
      </c>
      <c r="I1944" s="5" t="s">
        <v>60</v>
      </c>
      <c r="J1944" s="5" t="s">
        <v>269</v>
      </c>
      <c r="K1944" s="5" t="s">
        <v>3541</v>
      </c>
    </row>
    <row r="1945" customFormat="false" ht="46.25" hidden="false" customHeight="false" outlineLevel="0" collapsed="false">
      <c r="A1945" s="5" t="s">
        <v>12976</v>
      </c>
      <c r="B1945" s="2" t="s">
        <v>12977</v>
      </c>
      <c r="C1945" s="5" t="s">
        <v>2245</v>
      </c>
      <c r="D1945" s="5" t="s">
        <v>490</v>
      </c>
      <c r="E1945" s="5" t="n">
        <v>5</v>
      </c>
      <c r="F1945" s="5" t="s">
        <v>10470</v>
      </c>
      <c r="G1945" s="2" t="s">
        <v>12802</v>
      </c>
      <c r="H1945" s="5" t="s">
        <v>8336</v>
      </c>
      <c r="I1945" s="5"/>
      <c r="J1945" s="5"/>
      <c r="K1945" s="5" t="s">
        <v>12978</v>
      </c>
    </row>
    <row r="1946" customFormat="false" ht="23.85" hidden="false" customHeight="false" outlineLevel="0" collapsed="false">
      <c r="A1946" s="5" t="s">
        <v>3542</v>
      </c>
      <c r="B1946" s="2" t="s">
        <v>3543</v>
      </c>
      <c r="C1946" s="5" t="s">
        <v>2128</v>
      </c>
      <c r="D1946" s="5" t="s">
        <v>62</v>
      </c>
      <c r="E1946" s="5" t="n">
        <v>5</v>
      </c>
      <c r="F1946" s="5" t="s">
        <v>544</v>
      </c>
      <c r="G1946" s="2" t="s">
        <v>184</v>
      </c>
      <c r="H1946" s="5" t="s">
        <v>8332</v>
      </c>
      <c r="I1946" s="5" t="s">
        <v>60</v>
      </c>
      <c r="J1946" s="5" t="s">
        <v>269</v>
      </c>
      <c r="K1946" s="5" t="s">
        <v>3550</v>
      </c>
    </row>
    <row r="1947" customFormat="false" ht="23.85" hidden="false" customHeight="false" outlineLevel="0" collapsed="false">
      <c r="A1947" s="5" t="s">
        <v>12979</v>
      </c>
      <c r="B1947" s="2" t="s">
        <v>12980</v>
      </c>
      <c r="C1947" s="5" t="s">
        <v>2128</v>
      </c>
      <c r="D1947" s="5" t="s">
        <v>62</v>
      </c>
      <c r="E1947" s="5" t="n">
        <v>7</v>
      </c>
      <c r="F1947" s="5" t="s">
        <v>90</v>
      </c>
      <c r="G1947" s="2" t="s">
        <v>12981</v>
      </c>
      <c r="H1947" s="5" t="s">
        <v>8336</v>
      </c>
      <c r="I1947" s="5"/>
      <c r="J1947" s="5"/>
      <c r="K1947" s="5" t="s">
        <v>12982</v>
      </c>
    </row>
    <row r="1948" customFormat="false" ht="23.85" hidden="false" customHeight="false" outlineLevel="0" collapsed="false">
      <c r="A1948" s="5" t="s">
        <v>1305</v>
      </c>
      <c r="B1948" s="2" t="s">
        <v>1306</v>
      </c>
      <c r="C1948" s="5" t="s">
        <v>488</v>
      </c>
      <c r="D1948" s="5" t="s">
        <v>62</v>
      </c>
      <c r="E1948" s="5" t="n">
        <v>7</v>
      </c>
      <c r="F1948" s="5" t="s">
        <v>100</v>
      </c>
      <c r="G1948" s="2" t="s">
        <v>184</v>
      </c>
      <c r="H1948" s="5" t="s">
        <v>8332</v>
      </c>
      <c r="I1948" s="5" t="s">
        <v>60</v>
      </c>
      <c r="J1948" s="5" t="s">
        <v>397</v>
      </c>
      <c r="K1948" s="5" t="s">
        <v>1313</v>
      </c>
    </row>
    <row r="1949" customFormat="false" ht="15" hidden="false" customHeight="false" outlineLevel="0" collapsed="false">
      <c r="A1949" s="5" t="s">
        <v>12983</v>
      </c>
      <c r="B1949" s="2" t="s">
        <v>12984</v>
      </c>
      <c r="C1949" s="5" t="s">
        <v>2128</v>
      </c>
      <c r="D1949" s="5" t="s">
        <v>62</v>
      </c>
      <c r="E1949" s="5" t="n">
        <v>7</v>
      </c>
      <c r="F1949" s="5" t="s">
        <v>67</v>
      </c>
      <c r="G1949" s="2" t="s">
        <v>367</v>
      </c>
      <c r="H1949" s="5" t="s">
        <v>8336</v>
      </c>
      <c r="I1949" s="5"/>
      <c r="J1949" s="5"/>
      <c r="K1949" s="5" t="s">
        <v>12985</v>
      </c>
    </row>
    <row r="1950" customFormat="false" ht="46.25" hidden="false" customHeight="false" outlineLevel="0" collapsed="false">
      <c r="A1950" s="5" t="s">
        <v>3551</v>
      </c>
      <c r="B1950" s="2" t="s">
        <v>3552</v>
      </c>
      <c r="C1950" s="5" t="s">
        <v>2245</v>
      </c>
      <c r="D1950" s="5" t="s">
        <v>490</v>
      </c>
      <c r="E1950" s="5" t="n">
        <v>5</v>
      </c>
      <c r="F1950" s="5" t="s">
        <v>90</v>
      </c>
      <c r="G1950" s="2" t="s">
        <v>12894</v>
      </c>
      <c r="H1950" s="5" t="s">
        <v>8332</v>
      </c>
      <c r="I1950" s="5" t="s">
        <v>60</v>
      </c>
      <c r="J1950" s="5" t="s">
        <v>269</v>
      </c>
      <c r="K1950" s="5" t="s">
        <v>3555</v>
      </c>
    </row>
    <row r="1951" customFormat="false" ht="23.85" hidden="false" customHeight="false" outlineLevel="0" collapsed="false">
      <c r="A1951" s="5" t="s">
        <v>12986</v>
      </c>
      <c r="B1951" s="2" t="s">
        <v>12987</v>
      </c>
      <c r="C1951" s="5" t="s">
        <v>2128</v>
      </c>
      <c r="D1951" s="5" t="s">
        <v>62</v>
      </c>
      <c r="E1951" s="5" t="n">
        <v>3</v>
      </c>
      <c r="F1951" s="5" t="s">
        <v>277</v>
      </c>
      <c r="G1951" s="2" t="s">
        <v>367</v>
      </c>
      <c r="H1951" s="5" t="s">
        <v>8336</v>
      </c>
      <c r="I1951" s="5"/>
      <c r="J1951" s="5"/>
      <c r="K1951" s="5" t="s">
        <v>12988</v>
      </c>
    </row>
    <row r="1952" customFormat="false" ht="23.85" hidden="false" customHeight="false" outlineLevel="0" collapsed="false">
      <c r="A1952" s="5" t="s">
        <v>12989</v>
      </c>
      <c r="B1952" s="2" t="s">
        <v>12990</v>
      </c>
      <c r="C1952" s="5" t="s">
        <v>2128</v>
      </c>
      <c r="D1952" s="5" t="s">
        <v>62</v>
      </c>
      <c r="E1952" s="5" t="n">
        <v>7</v>
      </c>
      <c r="F1952" s="5" t="s">
        <v>90</v>
      </c>
      <c r="G1952" s="2" t="s">
        <v>367</v>
      </c>
      <c r="H1952" s="5" t="s">
        <v>8336</v>
      </c>
      <c r="I1952" s="5"/>
      <c r="J1952" s="5"/>
      <c r="K1952" s="5" t="s">
        <v>12991</v>
      </c>
    </row>
    <row r="1953" customFormat="false" ht="23.85" hidden="false" customHeight="false" outlineLevel="0" collapsed="false">
      <c r="A1953" s="5" t="s">
        <v>3556</v>
      </c>
      <c r="B1953" s="2" t="s">
        <v>3557</v>
      </c>
      <c r="C1953" s="5" t="s">
        <v>2128</v>
      </c>
      <c r="D1953" s="5" t="s">
        <v>62</v>
      </c>
      <c r="E1953" s="5" t="n">
        <v>5</v>
      </c>
      <c r="F1953" s="5" t="s">
        <v>90</v>
      </c>
      <c r="G1953" s="2" t="s">
        <v>367</v>
      </c>
      <c r="H1953" s="5" t="s">
        <v>8332</v>
      </c>
      <c r="I1953" s="5" t="s">
        <v>60</v>
      </c>
      <c r="J1953" s="5" t="s">
        <v>2754</v>
      </c>
      <c r="K1953" s="5" t="s">
        <v>3560</v>
      </c>
    </row>
    <row r="1954" customFormat="false" ht="46.25" hidden="false" customHeight="false" outlineLevel="0" collapsed="false">
      <c r="A1954" s="5" t="s">
        <v>12992</v>
      </c>
      <c r="B1954" s="2" t="s">
        <v>12993</v>
      </c>
      <c r="C1954" s="5" t="s">
        <v>2245</v>
      </c>
      <c r="D1954" s="5" t="s">
        <v>62</v>
      </c>
      <c r="E1954" s="5" t="n">
        <v>5</v>
      </c>
      <c r="F1954" s="5" t="s">
        <v>90</v>
      </c>
      <c r="G1954" s="2" t="s">
        <v>12057</v>
      </c>
      <c r="H1954" s="5" t="s">
        <v>8336</v>
      </c>
      <c r="I1954" s="5"/>
      <c r="J1954" s="5"/>
      <c r="K1954" s="5" t="s">
        <v>12994</v>
      </c>
    </row>
    <row r="1955" customFormat="false" ht="46.25" hidden="false" customHeight="false" outlineLevel="0" collapsed="false">
      <c r="A1955" s="5" t="s">
        <v>12995</v>
      </c>
      <c r="B1955" s="2" t="s">
        <v>12996</v>
      </c>
      <c r="C1955" s="5" t="s">
        <v>2245</v>
      </c>
      <c r="D1955" s="5" t="s">
        <v>62</v>
      </c>
      <c r="E1955" s="5" t="n">
        <v>5</v>
      </c>
      <c r="F1955" s="5" t="s">
        <v>67</v>
      </c>
      <c r="G1955" s="2" t="s">
        <v>12057</v>
      </c>
      <c r="H1955" s="5" t="s">
        <v>8336</v>
      </c>
      <c r="I1955" s="5"/>
      <c r="J1955" s="5"/>
      <c r="K1955" s="5" t="s">
        <v>12997</v>
      </c>
    </row>
    <row r="1956" customFormat="false" ht="15" hidden="false" customHeight="false" outlineLevel="0" collapsed="false">
      <c r="A1956" s="5" t="s">
        <v>12998</v>
      </c>
      <c r="B1956" s="2" t="s">
        <v>12999</v>
      </c>
      <c r="C1956" s="5" t="s">
        <v>2128</v>
      </c>
      <c r="D1956" s="5" t="s">
        <v>62</v>
      </c>
      <c r="E1956" s="5" t="n">
        <v>3</v>
      </c>
      <c r="F1956" s="5" t="s">
        <v>67</v>
      </c>
      <c r="G1956" s="2" t="s">
        <v>367</v>
      </c>
      <c r="H1956" s="5" t="s">
        <v>8336</v>
      </c>
      <c r="I1956" s="5"/>
      <c r="J1956" s="5"/>
      <c r="K1956" s="5" t="s">
        <v>13000</v>
      </c>
    </row>
    <row r="1957" customFormat="false" ht="46.25" hidden="false" customHeight="false" outlineLevel="0" collapsed="false">
      <c r="A1957" s="5" t="s">
        <v>13001</v>
      </c>
      <c r="B1957" s="2" t="s">
        <v>13002</v>
      </c>
      <c r="C1957" s="5" t="s">
        <v>2245</v>
      </c>
      <c r="D1957" s="5" t="s">
        <v>62</v>
      </c>
      <c r="E1957" s="5" t="n">
        <v>5</v>
      </c>
      <c r="F1957" s="5" t="s">
        <v>1814</v>
      </c>
      <c r="G1957" s="2" t="s">
        <v>12057</v>
      </c>
      <c r="H1957" s="5" t="s">
        <v>8336</v>
      </c>
      <c r="I1957" s="5"/>
      <c r="J1957" s="5"/>
      <c r="K1957" s="5" t="s">
        <v>13003</v>
      </c>
    </row>
    <row r="1958" customFormat="false" ht="46.25" hidden="false" customHeight="false" outlineLevel="0" collapsed="false">
      <c r="A1958" s="5" t="s">
        <v>13004</v>
      </c>
      <c r="B1958" s="2" t="s">
        <v>13005</v>
      </c>
      <c r="C1958" s="5" t="s">
        <v>2245</v>
      </c>
      <c r="D1958" s="5" t="s">
        <v>62</v>
      </c>
      <c r="E1958" s="5" t="n">
        <v>7</v>
      </c>
      <c r="F1958" s="5" t="s">
        <v>1814</v>
      </c>
      <c r="G1958" s="2" t="s">
        <v>12057</v>
      </c>
      <c r="H1958" s="5" t="s">
        <v>8336</v>
      </c>
      <c r="I1958" s="5"/>
      <c r="J1958" s="5"/>
      <c r="K1958" s="5" t="s">
        <v>13006</v>
      </c>
    </row>
    <row r="1959" customFormat="false" ht="46.25" hidden="false" customHeight="false" outlineLevel="0" collapsed="false">
      <c r="A1959" s="5" t="s">
        <v>13007</v>
      </c>
      <c r="B1959" s="2" t="s">
        <v>13008</v>
      </c>
      <c r="C1959" s="5" t="s">
        <v>2245</v>
      </c>
      <c r="D1959" s="5" t="s">
        <v>62</v>
      </c>
      <c r="E1959" s="5" t="n">
        <v>5</v>
      </c>
      <c r="F1959" s="5" t="s">
        <v>90</v>
      </c>
      <c r="G1959" s="2" t="s">
        <v>12057</v>
      </c>
      <c r="H1959" s="5" t="s">
        <v>8336</v>
      </c>
      <c r="I1959" s="5"/>
      <c r="J1959" s="5"/>
      <c r="K1959" s="5" t="s">
        <v>13009</v>
      </c>
    </row>
    <row r="1960" customFormat="false" ht="15" hidden="false" customHeight="false" outlineLevel="0" collapsed="false">
      <c r="A1960" s="5" t="s">
        <v>13010</v>
      </c>
      <c r="B1960" s="2" t="s">
        <v>13011</v>
      </c>
      <c r="C1960" s="5" t="s">
        <v>2128</v>
      </c>
      <c r="D1960" s="5" t="s">
        <v>62</v>
      </c>
      <c r="E1960" s="5" t="n">
        <v>5</v>
      </c>
      <c r="F1960" s="5" t="s">
        <v>90</v>
      </c>
      <c r="G1960" s="2" t="s">
        <v>367</v>
      </c>
      <c r="H1960" s="5" t="s">
        <v>8336</v>
      </c>
      <c r="I1960" s="5"/>
      <c r="J1960" s="5"/>
      <c r="K1960" s="5" t="s">
        <v>13012</v>
      </c>
    </row>
    <row r="1961" customFormat="false" ht="15" hidden="false" customHeight="false" outlineLevel="0" collapsed="false">
      <c r="A1961" s="5" t="s">
        <v>13013</v>
      </c>
      <c r="B1961" s="2" t="s">
        <v>13014</v>
      </c>
      <c r="C1961" s="5" t="s">
        <v>2128</v>
      </c>
      <c r="D1961" s="5" t="s">
        <v>62</v>
      </c>
      <c r="E1961" s="5" t="n">
        <v>5</v>
      </c>
      <c r="F1961" s="5" t="s">
        <v>67</v>
      </c>
      <c r="G1961" s="2" t="s">
        <v>367</v>
      </c>
      <c r="H1961" s="5" t="s">
        <v>8336</v>
      </c>
      <c r="I1961" s="5"/>
      <c r="J1961" s="5"/>
      <c r="K1961" s="5" t="s">
        <v>13015</v>
      </c>
    </row>
    <row r="1962" customFormat="false" ht="23.85" hidden="false" customHeight="false" outlineLevel="0" collapsed="false">
      <c r="A1962" s="5" t="s">
        <v>13016</v>
      </c>
      <c r="B1962" s="2" t="s">
        <v>13017</v>
      </c>
      <c r="C1962" s="5" t="s">
        <v>2128</v>
      </c>
      <c r="D1962" s="5" t="s">
        <v>62</v>
      </c>
      <c r="E1962" s="5" t="n">
        <v>7</v>
      </c>
      <c r="F1962" s="5" t="s">
        <v>67</v>
      </c>
      <c r="G1962" s="2" t="s">
        <v>367</v>
      </c>
      <c r="H1962" s="5" t="s">
        <v>8336</v>
      </c>
      <c r="I1962" s="5"/>
      <c r="J1962" s="5"/>
      <c r="K1962" s="5" t="s">
        <v>13018</v>
      </c>
    </row>
    <row r="1963" customFormat="false" ht="15" hidden="false" customHeight="false" outlineLevel="0" collapsed="false">
      <c r="A1963" s="5" t="s">
        <v>13019</v>
      </c>
      <c r="B1963" s="2" t="s">
        <v>13020</v>
      </c>
      <c r="C1963" s="5" t="s">
        <v>2128</v>
      </c>
      <c r="D1963" s="5" t="s">
        <v>62</v>
      </c>
      <c r="E1963" s="5" t="n">
        <v>7</v>
      </c>
      <c r="F1963" s="5" t="s">
        <v>1814</v>
      </c>
      <c r="G1963" s="2" t="s">
        <v>367</v>
      </c>
      <c r="H1963" s="5" t="s">
        <v>8336</v>
      </c>
      <c r="I1963" s="5"/>
      <c r="J1963" s="5"/>
      <c r="K1963" s="5" t="s">
        <v>13021</v>
      </c>
    </row>
    <row r="1964" customFormat="false" ht="23.85" hidden="false" customHeight="false" outlineLevel="0" collapsed="false">
      <c r="A1964" s="5" t="s">
        <v>13022</v>
      </c>
      <c r="B1964" s="2" t="s">
        <v>13023</v>
      </c>
      <c r="C1964" s="5" t="s">
        <v>2128</v>
      </c>
      <c r="D1964" s="5" t="s">
        <v>62</v>
      </c>
      <c r="E1964" s="5" t="n">
        <v>7</v>
      </c>
      <c r="F1964" s="5" t="s">
        <v>67</v>
      </c>
      <c r="G1964" s="2" t="s">
        <v>367</v>
      </c>
      <c r="H1964" s="5" t="s">
        <v>8336</v>
      </c>
      <c r="I1964" s="5"/>
      <c r="J1964" s="5"/>
      <c r="K1964" s="5" t="s">
        <v>13024</v>
      </c>
    </row>
    <row r="1965" customFormat="false" ht="15" hidden="false" customHeight="false" outlineLevel="0" collapsed="false">
      <c r="A1965" s="5" t="s">
        <v>13025</v>
      </c>
      <c r="B1965" s="2" t="s">
        <v>13026</v>
      </c>
      <c r="C1965" s="5" t="s">
        <v>2128</v>
      </c>
      <c r="D1965" s="5" t="s">
        <v>62</v>
      </c>
      <c r="E1965" s="5" t="n">
        <v>7</v>
      </c>
      <c r="F1965" s="5" t="s">
        <v>1814</v>
      </c>
      <c r="G1965" s="2" t="s">
        <v>367</v>
      </c>
      <c r="H1965" s="5" t="s">
        <v>8336</v>
      </c>
      <c r="I1965" s="5"/>
      <c r="J1965" s="5"/>
      <c r="K1965" s="5" t="s">
        <v>13027</v>
      </c>
    </row>
    <row r="1966" customFormat="false" ht="15" hidden="false" customHeight="false" outlineLevel="0" collapsed="false">
      <c r="A1966" s="5" t="s">
        <v>3561</v>
      </c>
      <c r="B1966" s="2" t="s">
        <v>3562</v>
      </c>
      <c r="C1966" s="5" t="s">
        <v>2128</v>
      </c>
      <c r="D1966" s="5" t="s">
        <v>62</v>
      </c>
      <c r="E1966" s="5" t="n">
        <v>5</v>
      </c>
      <c r="F1966" s="5" t="s">
        <v>90</v>
      </c>
      <c r="G1966" s="2" t="s">
        <v>367</v>
      </c>
      <c r="H1966" s="5" t="s">
        <v>8332</v>
      </c>
      <c r="I1966" s="5" t="s">
        <v>60</v>
      </c>
      <c r="J1966" s="5" t="s">
        <v>2754</v>
      </c>
      <c r="K1966" s="5" t="s">
        <v>3565</v>
      </c>
    </row>
    <row r="1967" customFormat="false" ht="46.25" hidden="false" customHeight="false" outlineLevel="0" collapsed="false">
      <c r="A1967" s="5" t="s">
        <v>13028</v>
      </c>
      <c r="B1967" s="2" t="s">
        <v>13029</v>
      </c>
      <c r="C1967" s="5" t="s">
        <v>2245</v>
      </c>
      <c r="D1967" s="5" t="s">
        <v>62</v>
      </c>
      <c r="E1967" s="5" t="n">
        <v>5</v>
      </c>
      <c r="F1967" s="5" t="s">
        <v>90</v>
      </c>
      <c r="G1967" s="2" t="s">
        <v>12057</v>
      </c>
      <c r="H1967" s="5" t="s">
        <v>8336</v>
      </c>
      <c r="I1967" s="5"/>
      <c r="J1967" s="5"/>
      <c r="K1967" s="5" t="s">
        <v>13030</v>
      </c>
    </row>
    <row r="1968" customFormat="false" ht="46.25" hidden="false" customHeight="false" outlineLevel="0" collapsed="false">
      <c r="A1968" s="5" t="s">
        <v>13031</v>
      </c>
      <c r="B1968" s="2" t="s">
        <v>13032</v>
      </c>
      <c r="C1968" s="5" t="s">
        <v>2245</v>
      </c>
      <c r="D1968" s="5" t="s">
        <v>62</v>
      </c>
      <c r="E1968" s="5" t="n">
        <v>7</v>
      </c>
      <c r="F1968" s="5" t="s">
        <v>90</v>
      </c>
      <c r="G1968" s="2" t="s">
        <v>12057</v>
      </c>
      <c r="H1968" s="5" t="s">
        <v>8336</v>
      </c>
      <c r="I1968" s="5"/>
      <c r="J1968" s="5"/>
      <c r="K1968" s="5" t="s">
        <v>13033</v>
      </c>
    </row>
    <row r="1969" customFormat="false" ht="46.25" hidden="false" customHeight="false" outlineLevel="0" collapsed="false">
      <c r="A1969" s="5" t="s">
        <v>13034</v>
      </c>
      <c r="B1969" s="2" t="s">
        <v>13035</v>
      </c>
      <c r="C1969" s="5" t="s">
        <v>2245</v>
      </c>
      <c r="D1969" s="5" t="s">
        <v>62</v>
      </c>
      <c r="E1969" s="5" t="n">
        <v>7</v>
      </c>
      <c r="F1969" s="5" t="s">
        <v>277</v>
      </c>
      <c r="G1969" s="2" t="s">
        <v>12057</v>
      </c>
      <c r="H1969" s="5" t="s">
        <v>8336</v>
      </c>
      <c r="I1969" s="5"/>
      <c r="J1969" s="5"/>
      <c r="K1969" s="5" t="s">
        <v>13036</v>
      </c>
    </row>
    <row r="1970" customFormat="false" ht="46.25" hidden="false" customHeight="false" outlineLevel="0" collapsed="false">
      <c r="A1970" s="5" t="s">
        <v>3566</v>
      </c>
      <c r="B1970" s="2" t="s">
        <v>3567</v>
      </c>
      <c r="C1970" s="5" t="s">
        <v>2245</v>
      </c>
      <c r="D1970" s="5" t="s">
        <v>62</v>
      </c>
      <c r="E1970" s="5" t="n">
        <v>7</v>
      </c>
      <c r="F1970" s="5" t="s">
        <v>90</v>
      </c>
      <c r="G1970" s="2" t="s">
        <v>12057</v>
      </c>
      <c r="H1970" s="5" t="s">
        <v>8332</v>
      </c>
      <c r="I1970" s="5" t="s">
        <v>60</v>
      </c>
      <c r="J1970" s="5" t="s">
        <v>2754</v>
      </c>
      <c r="K1970" s="5" t="s">
        <v>3570</v>
      </c>
    </row>
    <row r="1971" customFormat="false" ht="46.25" hidden="false" customHeight="false" outlineLevel="0" collapsed="false">
      <c r="A1971" s="5" t="s">
        <v>3571</v>
      </c>
      <c r="B1971" s="2" t="s">
        <v>3572</v>
      </c>
      <c r="C1971" s="5" t="s">
        <v>2245</v>
      </c>
      <c r="D1971" s="5" t="s">
        <v>62</v>
      </c>
      <c r="E1971" s="5" t="n">
        <v>5</v>
      </c>
      <c r="F1971" s="5" t="s">
        <v>536</v>
      </c>
      <c r="G1971" s="2" t="s">
        <v>12057</v>
      </c>
      <c r="H1971" s="5" t="s">
        <v>8332</v>
      </c>
      <c r="I1971" s="5" t="s">
        <v>60</v>
      </c>
      <c r="J1971" s="5" t="s">
        <v>751</v>
      </c>
      <c r="K1971" s="5" t="s">
        <v>3575</v>
      </c>
    </row>
    <row r="1972" customFormat="false" ht="23.85" hidden="false" customHeight="false" outlineLevel="0" collapsed="false">
      <c r="A1972" s="5" t="s">
        <v>13037</v>
      </c>
      <c r="B1972" s="2" t="s">
        <v>13038</v>
      </c>
      <c r="C1972" s="5" t="s">
        <v>2128</v>
      </c>
      <c r="D1972" s="5" t="s">
        <v>62</v>
      </c>
      <c r="E1972" s="5" t="n">
        <v>7</v>
      </c>
      <c r="F1972" s="5" t="s">
        <v>67</v>
      </c>
      <c r="G1972" s="2" t="s">
        <v>367</v>
      </c>
      <c r="H1972" s="5" t="s">
        <v>8336</v>
      </c>
      <c r="I1972" s="5"/>
      <c r="J1972" s="5"/>
      <c r="K1972" s="5" t="s">
        <v>13039</v>
      </c>
    </row>
    <row r="1973" customFormat="false" ht="23.85" hidden="false" customHeight="false" outlineLevel="0" collapsed="false">
      <c r="A1973" s="5" t="s">
        <v>13040</v>
      </c>
      <c r="B1973" s="2" t="s">
        <v>13041</v>
      </c>
      <c r="C1973" s="5" t="s">
        <v>2128</v>
      </c>
      <c r="D1973" s="5" t="s">
        <v>62</v>
      </c>
      <c r="E1973" s="5" t="n">
        <v>7</v>
      </c>
      <c r="F1973" s="5" t="s">
        <v>413</v>
      </c>
      <c r="G1973" s="2" t="s">
        <v>367</v>
      </c>
      <c r="H1973" s="5" t="s">
        <v>8336</v>
      </c>
      <c r="I1973" s="5"/>
      <c r="J1973" s="5"/>
      <c r="K1973" s="5" t="s">
        <v>13042</v>
      </c>
    </row>
    <row r="1974" customFormat="false" ht="46.25" hidden="false" customHeight="false" outlineLevel="0" collapsed="false">
      <c r="A1974" s="5" t="s">
        <v>13043</v>
      </c>
      <c r="B1974" s="2" t="s">
        <v>13044</v>
      </c>
      <c r="C1974" s="5" t="s">
        <v>2245</v>
      </c>
      <c r="D1974" s="5" t="s">
        <v>490</v>
      </c>
      <c r="E1974" s="5" t="n">
        <v>7</v>
      </c>
      <c r="F1974" s="5" t="s">
        <v>90</v>
      </c>
      <c r="G1974" s="2" t="s">
        <v>12057</v>
      </c>
      <c r="H1974" s="5" t="s">
        <v>8336</v>
      </c>
      <c r="I1974" s="5"/>
      <c r="J1974" s="5"/>
      <c r="K1974" s="5" t="s">
        <v>13045</v>
      </c>
    </row>
    <row r="1975" customFormat="false" ht="46.25" hidden="false" customHeight="false" outlineLevel="0" collapsed="false">
      <c r="A1975" s="5" t="s">
        <v>13046</v>
      </c>
      <c r="B1975" s="2" t="s">
        <v>13047</v>
      </c>
      <c r="C1975" s="5" t="s">
        <v>2245</v>
      </c>
      <c r="D1975" s="5" t="s">
        <v>62</v>
      </c>
      <c r="E1975" s="5" t="n">
        <v>5</v>
      </c>
      <c r="F1975" s="5" t="s">
        <v>67</v>
      </c>
      <c r="G1975" s="2" t="s">
        <v>12057</v>
      </c>
      <c r="H1975" s="5" t="s">
        <v>8336</v>
      </c>
      <c r="I1975" s="5"/>
      <c r="J1975" s="5"/>
      <c r="K1975" s="5" t="s">
        <v>13048</v>
      </c>
    </row>
    <row r="1976" customFormat="false" ht="23.85" hidden="false" customHeight="false" outlineLevel="0" collapsed="false">
      <c r="A1976" s="5" t="s">
        <v>13049</v>
      </c>
      <c r="B1976" s="2" t="s">
        <v>13050</v>
      </c>
      <c r="C1976" s="5" t="s">
        <v>2128</v>
      </c>
      <c r="D1976" s="5" t="s">
        <v>62</v>
      </c>
      <c r="E1976" s="5" t="n">
        <v>7</v>
      </c>
      <c r="F1976" s="5" t="s">
        <v>67</v>
      </c>
      <c r="G1976" s="2" t="s">
        <v>367</v>
      </c>
      <c r="H1976" s="5" t="s">
        <v>8336</v>
      </c>
      <c r="I1976" s="5"/>
      <c r="J1976" s="5"/>
      <c r="K1976" s="5" t="s">
        <v>13051</v>
      </c>
    </row>
    <row r="1977" customFormat="false" ht="15" hidden="false" customHeight="false" outlineLevel="0" collapsed="false">
      <c r="A1977" s="5" t="s">
        <v>13052</v>
      </c>
      <c r="B1977" s="2" t="s">
        <v>13053</v>
      </c>
      <c r="C1977" s="5" t="s">
        <v>2128</v>
      </c>
      <c r="D1977" s="5" t="s">
        <v>62</v>
      </c>
      <c r="E1977" s="5" t="n">
        <v>7</v>
      </c>
      <c r="F1977" s="5" t="s">
        <v>67</v>
      </c>
      <c r="G1977" s="2" t="s">
        <v>367</v>
      </c>
      <c r="H1977" s="5" t="s">
        <v>8336</v>
      </c>
      <c r="I1977" s="5"/>
      <c r="J1977" s="5"/>
      <c r="K1977" s="5" t="s">
        <v>13054</v>
      </c>
    </row>
    <row r="1978" customFormat="false" ht="15" hidden="false" customHeight="false" outlineLevel="0" collapsed="false">
      <c r="A1978" s="5" t="s">
        <v>1314</v>
      </c>
      <c r="B1978" s="2" t="s">
        <v>1315</v>
      </c>
      <c r="C1978" s="5" t="s">
        <v>488</v>
      </c>
      <c r="D1978" s="5" t="s">
        <v>62</v>
      </c>
      <c r="E1978" s="5" t="n">
        <v>7</v>
      </c>
      <c r="F1978" s="5" t="s">
        <v>100</v>
      </c>
      <c r="G1978" s="2" t="s">
        <v>367</v>
      </c>
      <c r="H1978" s="5" t="s">
        <v>8332</v>
      </c>
      <c r="I1978" s="5" t="s">
        <v>60</v>
      </c>
      <c r="J1978" s="5" t="s">
        <v>1104</v>
      </c>
      <c r="K1978" s="5" t="s">
        <v>1319</v>
      </c>
    </row>
    <row r="1979" customFormat="false" ht="15" hidden="false" customHeight="false" outlineLevel="0" collapsed="false">
      <c r="A1979" s="5" t="s">
        <v>13055</v>
      </c>
      <c r="B1979" s="2" t="s">
        <v>13056</v>
      </c>
      <c r="C1979" s="5" t="s">
        <v>2128</v>
      </c>
      <c r="D1979" s="5" t="s">
        <v>62</v>
      </c>
      <c r="E1979" s="5" t="n">
        <v>5</v>
      </c>
      <c r="F1979" s="5" t="s">
        <v>67</v>
      </c>
      <c r="G1979" s="2" t="s">
        <v>367</v>
      </c>
      <c r="H1979" s="5" t="s">
        <v>8336</v>
      </c>
      <c r="I1979" s="5"/>
      <c r="J1979" s="5"/>
      <c r="K1979" s="5" t="s">
        <v>13057</v>
      </c>
    </row>
    <row r="1980" customFormat="false" ht="15" hidden="false" customHeight="false" outlineLevel="0" collapsed="false">
      <c r="A1980" s="5" t="s">
        <v>13058</v>
      </c>
      <c r="B1980" s="2" t="s">
        <v>13059</v>
      </c>
      <c r="C1980" s="5" t="s">
        <v>2128</v>
      </c>
      <c r="D1980" s="5" t="s">
        <v>62</v>
      </c>
      <c r="E1980" s="5" t="n">
        <v>7</v>
      </c>
      <c r="F1980" s="5" t="s">
        <v>1814</v>
      </c>
      <c r="G1980" s="2" t="s">
        <v>367</v>
      </c>
      <c r="H1980" s="5" t="s">
        <v>8336</v>
      </c>
      <c r="I1980" s="5"/>
      <c r="J1980" s="5"/>
      <c r="K1980" s="5" t="s">
        <v>13060</v>
      </c>
    </row>
    <row r="1981" customFormat="false" ht="46.25" hidden="false" customHeight="false" outlineLevel="0" collapsed="false">
      <c r="A1981" s="5" t="s">
        <v>13061</v>
      </c>
      <c r="B1981" s="2" t="s">
        <v>13062</v>
      </c>
      <c r="C1981" s="5" t="s">
        <v>2245</v>
      </c>
      <c r="D1981" s="5" t="s">
        <v>62</v>
      </c>
      <c r="E1981" s="5" t="n">
        <v>3</v>
      </c>
      <c r="F1981" s="5" t="s">
        <v>90</v>
      </c>
      <c r="G1981" s="2" t="s">
        <v>12057</v>
      </c>
      <c r="H1981" s="5" t="s">
        <v>8336</v>
      </c>
      <c r="I1981" s="5"/>
      <c r="J1981" s="5"/>
      <c r="K1981" s="5" t="s">
        <v>13063</v>
      </c>
    </row>
    <row r="1982" customFormat="false" ht="15" hidden="false" customHeight="false" outlineLevel="0" collapsed="false">
      <c r="A1982" s="5" t="s">
        <v>13064</v>
      </c>
      <c r="B1982" s="2" t="s">
        <v>13065</v>
      </c>
      <c r="C1982" s="5" t="s">
        <v>2128</v>
      </c>
      <c r="D1982" s="5" t="s">
        <v>62</v>
      </c>
      <c r="E1982" s="5" t="n">
        <v>5</v>
      </c>
      <c r="F1982" s="5" t="s">
        <v>67</v>
      </c>
      <c r="G1982" s="2" t="s">
        <v>367</v>
      </c>
      <c r="H1982" s="5" t="s">
        <v>8336</v>
      </c>
      <c r="I1982" s="5"/>
      <c r="J1982" s="5"/>
      <c r="K1982" s="5" t="s">
        <v>13066</v>
      </c>
    </row>
    <row r="1983" customFormat="false" ht="15" hidden="false" customHeight="false" outlineLevel="0" collapsed="false">
      <c r="A1983" s="5" t="s">
        <v>13067</v>
      </c>
      <c r="B1983" s="2" t="s">
        <v>13068</v>
      </c>
      <c r="C1983" s="5" t="s">
        <v>2128</v>
      </c>
      <c r="D1983" s="5" t="s">
        <v>62</v>
      </c>
      <c r="E1983" s="5" t="n">
        <v>5</v>
      </c>
      <c r="F1983" s="5" t="s">
        <v>67</v>
      </c>
      <c r="G1983" s="2" t="s">
        <v>367</v>
      </c>
      <c r="H1983" s="5" t="s">
        <v>8336</v>
      </c>
      <c r="I1983" s="5"/>
      <c r="J1983" s="5"/>
      <c r="K1983" s="5" t="s">
        <v>13069</v>
      </c>
    </row>
    <row r="1984" customFormat="false" ht="46.25" hidden="false" customHeight="false" outlineLevel="0" collapsed="false">
      <c r="A1984" s="5" t="s">
        <v>13070</v>
      </c>
      <c r="B1984" s="2" t="s">
        <v>13071</v>
      </c>
      <c r="C1984" s="5" t="s">
        <v>2245</v>
      </c>
      <c r="D1984" s="5" t="s">
        <v>62</v>
      </c>
      <c r="E1984" s="5" t="n">
        <v>5</v>
      </c>
      <c r="F1984" s="5" t="s">
        <v>90</v>
      </c>
      <c r="G1984" s="2" t="s">
        <v>12057</v>
      </c>
      <c r="H1984" s="5" t="s">
        <v>8336</v>
      </c>
      <c r="I1984" s="5"/>
      <c r="J1984" s="5"/>
      <c r="K1984" s="5" t="s">
        <v>13072</v>
      </c>
    </row>
    <row r="1985" customFormat="false" ht="23.85" hidden="false" customHeight="false" outlineLevel="0" collapsed="false">
      <c r="A1985" s="5" t="s">
        <v>3576</v>
      </c>
      <c r="B1985" s="2" t="s">
        <v>3577</v>
      </c>
      <c r="C1985" s="5" t="s">
        <v>2128</v>
      </c>
      <c r="D1985" s="5" t="s">
        <v>62</v>
      </c>
      <c r="E1985" s="5" t="n">
        <v>7</v>
      </c>
      <c r="F1985" s="5" t="s">
        <v>2079</v>
      </c>
      <c r="G1985" s="2" t="s">
        <v>184</v>
      </c>
      <c r="H1985" s="5" t="s">
        <v>8332</v>
      </c>
      <c r="I1985" s="5" t="s">
        <v>60</v>
      </c>
      <c r="J1985" s="5" t="s">
        <v>2078</v>
      </c>
      <c r="K1985" s="5" t="s">
        <v>3580</v>
      </c>
    </row>
    <row r="1986" customFormat="false" ht="23.85" hidden="false" customHeight="false" outlineLevel="0" collapsed="false">
      <c r="A1986" s="5" t="s">
        <v>13073</v>
      </c>
      <c r="B1986" s="2" t="s">
        <v>13074</v>
      </c>
      <c r="C1986" s="5" t="s">
        <v>2128</v>
      </c>
      <c r="D1986" s="5" t="s">
        <v>62</v>
      </c>
      <c r="E1986" s="5" t="n">
        <v>5</v>
      </c>
      <c r="F1986" s="5" t="s">
        <v>1210</v>
      </c>
      <c r="G1986" s="2" t="s">
        <v>367</v>
      </c>
      <c r="H1986" s="5" t="s">
        <v>8336</v>
      </c>
      <c r="I1986" s="5"/>
      <c r="J1986" s="5"/>
      <c r="K1986" s="5" t="s">
        <v>13075</v>
      </c>
    </row>
    <row r="1987" customFormat="false" ht="46.25" hidden="false" customHeight="false" outlineLevel="0" collapsed="false">
      <c r="A1987" s="5" t="s">
        <v>13076</v>
      </c>
      <c r="B1987" s="2" t="s">
        <v>13077</v>
      </c>
      <c r="C1987" s="5" t="s">
        <v>2245</v>
      </c>
      <c r="D1987" s="5" t="s">
        <v>62</v>
      </c>
      <c r="E1987" s="5" t="n">
        <v>7</v>
      </c>
      <c r="F1987" s="5" t="s">
        <v>90</v>
      </c>
      <c r="G1987" s="2" t="s">
        <v>12057</v>
      </c>
      <c r="H1987" s="5" t="s">
        <v>8336</v>
      </c>
      <c r="I1987" s="5"/>
      <c r="J1987" s="5"/>
      <c r="K1987" s="5" t="s">
        <v>13078</v>
      </c>
    </row>
    <row r="1988" customFormat="false" ht="46.25" hidden="false" customHeight="false" outlineLevel="0" collapsed="false">
      <c r="A1988" s="5" t="s">
        <v>13079</v>
      </c>
      <c r="B1988" s="2" t="s">
        <v>13080</v>
      </c>
      <c r="C1988" s="5" t="s">
        <v>2245</v>
      </c>
      <c r="D1988" s="5" t="s">
        <v>62</v>
      </c>
      <c r="E1988" s="5" t="n">
        <v>7</v>
      </c>
      <c r="F1988" s="5" t="s">
        <v>90</v>
      </c>
      <c r="G1988" s="2" t="s">
        <v>12057</v>
      </c>
      <c r="H1988" s="5" t="s">
        <v>8336</v>
      </c>
      <c r="I1988" s="5"/>
      <c r="J1988" s="5"/>
      <c r="K1988" s="5" t="s">
        <v>13081</v>
      </c>
    </row>
    <row r="1989" customFormat="false" ht="15" hidden="false" customHeight="false" outlineLevel="0" collapsed="false">
      <c r="A1989" s="5" t="s">
        <v>13082</v>
      </c>
      <c r="B1989" s="2" t="s">
        <v>13083</v>
      </c>
      <c r="C1989" s="5" t="s">
        <v>2128</v>
      </c>
      <c r="D1989" s="5" t="s">
        <v>62</v>
      </c>
      <c r="E1989" s="5" t="n">
        <v>7</v>
      </c>
      <c r="F1989" s="5" t="s">
        <v>90</v>
      </c>
      <c r="G1989" s="2" t="s">
        <v>367</v>
      </c>
      <c r="H1989" s="5" t="s">
        <v>8336</v>
      </c>
      <c r="I1989" s="5"/>
      <c r="J1989" s="5"/>
      <c r="K1989" s="5" t="s">
        <v>13084</v>
      </c>
    </row>
    <row r="1990" customFormat="false" ht="15" hidden="false" customHeight="false" outlineLevel="0" collapsed="false">
      <c r="A1990" s="5" t="s">
        <v>13085</v>
      </c>
      <c r="B1990" s="2" t="s">
        <v>13086</v>
      </c>
      <c r="C1990" s="5" t="s">
        <v>2128</v>
      </c>
      <c r="D1990" s="5" t="s">
        <v>62</v>
      </c>
      <c r="E1990" s="5" t="n">
        <v>7</v>
      </c>
      <c r="F1990" s="5" t="s">
        <v>67</v>
      </c>
      <c r="G1990" s="2" t="s">
        <v>367</v>
      </c>
      <c r="H1990" s="5" t="s">
        <v>8336</v>
      </c>
      <c r="I1990" s="5"/>
      <c r="J1990" s="5"/>
      <c r="K1990" s="5" t="s">
        <v>13087</v>
      </c>
    </row>
    <row r="1991" customFormat="false" ht="15" hidden="false" customHeight="false" outlineLevel="0" collapsed="false">
      <c r="A1991" s="5" t="s">
        <v>13088</v>
      </c>
      <c r="B1991" s="2" t="s">
        <v>13089</v>
      </c>
      <c r="C1991" s="5" t="s">
        <v>2128</v>
      </c>
      <c r="D1991" s="5" t="s">
        <v>62</v>
      </c>
      <c r="E1991" s="5" t="n">
        <v>3</v>
      </c>
      <c r="F1991" s="5" t="s">
        <v>277</v>
      </c>
      <c r="G1991" s="2" t="s">
        <v>367</v>
      </c>
      <c r="H1991" s="5" t="s">
        <v>8336</v>
      </c>
      <c r="I1991" s="5"/>
      <c r="J1991" s="5"/>
      <c r="K1991" s="5" t="s">
        <v>13090</v>
      </c>
    </row>
    <row r="1992" customFormat="false" ht="15" hidden="false" customHeight="false" outlineLevel="0" collapsed="false">
      <c r="A1992" s="5" t="s">
        <v>13091</v>
      </c>
      <c r="B1992" s="2" t="s">
        <v>13092</v>
      </c>
      <c r="C1992" s="5" t="s">
        <v>2128</v>
      </c>
      <c r="D1992" s="5" t="s">
        <v>62</v>
      </c>
      <c r="E1992" s="5" t="n">
        <v>7</v>
      </c>
      <c r="F1992" s="5" t="s">
        <v>90</v>
      </c>
      <c r="G1992" s="2" t="s">
        <v>367</v>
      </c>
      <c r="H1992" s="5" t="s">
        <v>8336</v>
      </c>
      <c r="I1992" s="5"/>
      <c r="J1992" s="5"/>
      <c r="K1992" s="5" t="s">
        <v>13093</v>
      </c>
    </row>
    <row r="1993" customFormat="false" ht="15" hidden="false" customHeight="false" outlineLevel="0" collapsed="false">
      <c r="A1993" s="5" t="s">
        <v>13094</v>
      </c>
      <c r="B1993" s="2" t="s">
        <v>13095</v>
      </c>
      <c r="C1993" s="5" t="s">
        <v>2128</v>
      </c>
      <c r="D1993" s="5" t="s">
        <v>62</v>
      </c>
      <c r="E1993" s="5" t="n">
        <v>7</v>
      </c>
      <c r="F1993" s="5" t="s">
        <v>413</v>
      </c>
      <c r="G1993" s="2" t="s">
        <v>367</v>
      </c>
      <c r="H1993" s="5" t="s">
        <v>8336</v>
      </c>
      <c r="I1993" s="5"/>
      <c r="J1993" s="5"/>
      <c r="K1993" s="5" t="s">
        <v>13096</v>
      </c>
    </row>
    <row r="1994" customFormat="false" ht="23.85" hidden="false" customHeight="false" outlineLevel="0" collapsed="false">
      <c r="A1994" s="5" t="s">
        <v>13097</v>
      </c>
      <c r="B1994" s="2" t="s">
        <v>13098</v>
      </c>
      <c r="C1994" s="5" t="s">
        <v>2128</v>
      </c>
      <c r="D1994" s="5" t="s">
        <v>62</v>
      </c>
      <c r="E1994" s="5" t="n">
        <v>5</v>
      </c>
      <c r="F1994" s="5" t="s">
        <v>90</v>
      </c>
      <c r="G1994" s="2" t="s">
        <v>367</v>
      </c>
      <c r="H1994" s="5" t="s">
        <v>8336</v>
      </c>
      <c r="I1994" s="5"/>
      <c r="J1994" s="5"/>
      <c r="K1994" s="5" t="s">
        <v>13099</v>
      </c>
    </row>
    <row r="1995" customFormat="false" ht="46.25" hidden="false" customHeight="false" outlineLevel="0" collapsed="false">
      <c r="A1995" s="5" t="s">
        <v>3581</v>
      </c>
      <c r="B1995" s="2" t="s">
        <v>3582</v>
      </c>
      <c r="C1995" s="5" t="s">
        <v>2245</v>
      </c>
      <c r="D1995" s="5" t="s">
        <v>62</v>
      </c>
      <c r="E1995" s="5" t="n">
        <v>5</v>
      </c>
      <c r="F1995" s="5" t="s">
        <v>277</v>
      </c>
      <c r="G1995" s="2" t="s">
        <v>12054</v>
      </c>
      <c r="H1995" s="5" t="s">
        <v>8332</v>
      </c>
      <c r="I1995" s="5" t="s">
        <v>60</v>
      </c>
      <c r="J1995" s="5" t="s">
        <v>3355</v>
      </c>
      <c r="K1995" s="5" t="s">
        <v>3586</v>
      </c>
    </row>
    <row r="1996" customFormat="false" ht="46.25" hidden="false" customHeight="false" outlineLevel="0" collapsed="false">
      <c r="A1996" s="5" t="s">
        <v>13100</v>
      </c>
      <c r="B1996" s="2" t="s">
        <v>13101</v>
      </c>
      <c r="C1996" s="5" t="s">
        <v>2245</v>
      </c>
      <c r="D1996" s="5" t="s">
        <v>62</v>
      </c>
      <c r="E1996" s="5" t="n">
        <v>5</v>
      </c>
      <c r="F1996" s="5" t="s">
        <v>1814</v>
      </c>
      <c r="G1996" s="2" t="s">
        <v>12057</v>
      </c>
      <c r="H1996" s="5" t="s">
        <v>8336</v>
      </c>
      <c r="I1996" s="5"/>
      <c r="J1996" s="5"/>
      <c r="K1996" s="5" t="s">
        <v>13102</v>
      </c>
    </row>
    <row r="1997" customFormat="false" ht="15" hidden="false" customHeight="false" outlineLevel="0" collapsed="false">
      <c r="A1997" s="5" t="s">
        <v>13103</v>
      </c>
      <c r="B1997" s="2" t="s">
        <v>13104</v>
      </c>
      <c r="C1997" s="5" t="s">
        <v>2128</v>
      </c>
      <c r="D1997" s="5" t="s">
        <v>62</v>
      </c>
      <c r="E1997" s="5" t="n">
        <v>5</v>
      </c>
      <c r="F1997" s="5" t="s">
        <v>1814</v>
      </c>
      <c r="G1997" s="2" t="s">
        <v>367</v>
      </c>
      <c r="H1997" s="5" t="s">
        <v>8336</v>
      </c>
      <c r="I1997" s="5"/>
      <c r="J1997" s="5"/>
      <c r="K1997" s="5" t="s">
        <v>13105</v>
      </c>
    </row>
    <row r="1998" customFormat="false" ht="15" hidden="false" customHeight="false" outlineLevel="0" collapsed="false">
      <c r="A1998" s="5" t="s">
        <v>3587</v>
      </c>
      <c r="B1998" s="2" t="s">
        <v>3588</v>
      </c>
      <c r="C1998" s="5" t="s">
        <v>2128</v>
      </c>
      <c r="D1998" s="5" t="s">
        <v>62</v>
      </c>
      <c r="E1998" s="5" t="n">
        <v>5</v>
      </c>
      <c r="F1998" s="5" t="s">
        <v>90</v>
      </c>
      <c r="G1998" s="2" t="s">
        <v>367</v>
      </c>
      <c r="H1998" s="5" t="s">
        <v>8332</v>
      </c>
      <c r="I1998" s="5" t="s">
        <v>60</v>
      </c>
      <c r="J1998" s="5" t="s">
        <v>751</v>
      </c>
      <c r="K1998" s="5" t="s">
        <v>3591</v>
      </c>
    </row>
    <row r="1999" customFormat="false" ht="15" hidden="false" customHeight="false" outlineLevel="0" collapsed="false">
      <c r="A1999" s="5" t="s">
        <v>3592</v>
      </c>
      <c r="B1999" s="2" t="s">
        <v>3593</v>
      </c>
      <c r="C1999" s="5" t="s">
        <v>2128</v>
      </c>
      <c r="D1999" s="5" t="s">
        <v>62</v>
      </c>
      <c r="E1999" s="5" t="n">
        <v>5</v>
      </c>
      <c r="F1999" s="5" t="s">
        <v>90</v>
      </c>
      <c r="G1999" s="2" t="s">
        <v>367</v>
      </c>
      <c r="H1999" s="5" t="s">
        <v>8332</v>
      </c>
      <c r="I1999" s="5" t="s">
        <v>60</v>
      </c>
      <c r="J1999" s="5" t="s">
        <v>751</v>
      </c>
      <c r="K1999" s="5" t="s">
        <v>3597</v>
      </c>
    </row>
    <row r="2000" customFormat="false" ht="15" hidden="false" customHeight="false" outlineLevel="0" collapsed="false">
      <c r="A2000" s="5" t="s">
        <v>13106</v>
      </c>
      <c r="B2000" s="2" t="s">
        <v>13107</v>
      </c>
      <c r="C2000" s="5" t="s">
        <v>2128</v>
      </c>
      <c r="D2000" s="5" t="s">
        <v>62</v>
      </c>
      <c r="E2000" s="5" t="n">
        <v>5</v>
      </c>
      <c r="F2000" s="5" t="s">
        <v>67</v>
      </c>
      <c r="G2000" s="2" t="s">
        <v>367</v>
      </c>
      <c r="H2000" s="5" t="s">
        <v>8336</v>
      </c>
      <c r="I2000" s="5"/>
      <c r="J2000" s="5"/>
      <c r="K2000" s="5" t="s">
        <v>13108</v>
      </c>
    </row>
    <row r="2001" customFormat="false" ht="23.85" hidden="false" customHeight="false" outlineLevel="0" collapsed="false">
      <c r="A2001" s="5" t="s">
        <v>3598</v>
      </c>
      <c r="B2001" s="2" t="s">
        <v>3599</v>
      </c>
      <c r="C2001" s="5" t="s">
        <v>2128</v>
      </c>
      <c r="D2001" s="5" t="s">
        <v>62</v>
      </c>
      <c r="E2001" s="5" t="n">
        <v>5</v>
      </c>
      <c r="F2001" s="5" t="s">
        <v>277</v>
      </c>
      <c r="G2001" s="2" t="s">
        <v>367</v>
      </c>
      <c r="H2001" s="5" t="s">
        <v>8332</v>
      </c>
      <c r="I2001" s="5" t="s">
        <v>60</v>
      </c>
      <c r="J2001" s="5" t="s">
        <v>161</v>
      </c>
      <c r="K2001" s="5" t="s">
        <v>3602</v>
      </c>
    </row>
    <row r="2002" customFormat="false" ht="46.25" hidden="false" customHeight="false" outlineLevel="0" collapsed="false">
      <c r="A2002" s="5" t="s">
        <v>3603</v>
      </c>
      <c r="B2002" s="2" t="s">
        <v>3604</v>
      </c>
      <c r="C2002" s="5" t="s">
        <v>2245</v>
      </c>
      <c r="D2002" s="5" t="s">
        <v>62</v>
      </c>
      <c r="E2002" s="5" t="n">
        <v>5</v>
      </c>
      <c r="F2002" s="5" t="s">
        <v>67</v>
      </c>
      <c r="G2002" s="2" t="s">
        <v>12894</v>
      </c>
      <c r="H2002" s="5" t="s">
        <v>8332</v>
      </c>
      <c r="I2002" s="5" t="s">
        <v>60</v>
      </c>
      <c r="J2002" s="5" t="s">
        <v>182</v>
      </c>
      <c r="K2002" s="5" t="s">
        <v>3608</v>
      </c>
    </row>
    <row r="2003" customFormat="false" ht="15" hidden="false" customHeight="false" outlineLevel="0" collapsed="false">
      <c r="A2003" s="5" t="s">
        <v>13109</v>
      </c>
      <c r="B2003" s="2" t="s">
        <v>13110</v>
      </c>
      <c r="C2003" s="5" t="s">
        <v>2128</v>
      </c>
      <c r="D2003" s="5" t="s">
        <v>62</v>
      </c>
      <c r="E2003" s="5" t="n">
        <v>5</v>
      </c>
      <c r="F2003" s="5" t="s">
        <v>90</v>
      </c>
      <c r="G2003" s="2" t="s">
        <v>367</v>
      </c>
      <c r="H2003" s="5" t="s">
        <v>8336</v>
      </c>
      <c r="I2003" s="5"/>
      <c r="J2003" s="5"/>
      <c r="K2003" s="5" t="s">
        <v>13111</v>
      </c>
    </row>
    <row r="2004" customFormat="false" ht="15" hidden="false" customHeight="false" outlineLevel="0" collapsed="false">
      <c r="A2004" s="5" t="s">
        <v>3609</v>
      </c>
      <c r="B2004" s="2" t="s">
        <v>3610</v>
      </c>
      <c r="C2004" s="5" t="s">
        <v>2128</v>
      </c>
      <c r="D2004" s="5" t="s">
        <v>62</v>
      </c>
      <c r="E2004" s="5" t="n">
        <v>7</v>
      </c>
      <c r="F2004" s="5" t="s">
        <v>1210</v>
      </c>
      <c r="G2004" s="2" t="s">
        <v>367</v>
      </c>
      <c r="H2004" s="5" t="s">
        <v>8332</v>
      </c>
      <c r="I2004" s="5" t="s">
        <v>60</v>
      </c>
      <c r="J2004" s="5" t="s">
        <v>751</v>
      </c>
      <c r="K2004" s="5" t="s">
        <v>3613</v>
      </c>
    </row>
    <row r="2005" customFormat="false" ht="23.85" hidden="false" customHeight="false" outlineLevel="0" collapsed="false">
      <c r="A2005" s="5" t="s">
        <v>1320</v>
      </c>
      <c r="B2005" s="2" t="s">
        <v>1321</v>
      </c>
      <c r="C2005" s="5" t="s">
        <v>488</v>
      </c>
      <c r="D2005" s="5" t="s">
        <v>62</v>
      </c>
      <c r="E2005" s="5" t="n">
        <v>7</v>
      </c>
      <c r="F2005" s="5" t="s">
        <v>277</v>
      </c>
      <c r="G2005" s="2" t="s">
        <v>367</v>
      </c>
      <c r="H2005" s="5" t="s">
        <v>8332</v>
      </c>
      <c r="I2005" s="5" t="s">
        <v>60</v>
      </c>
      <c r="J2005" s="5" t="s">
        <v>751</v>
      </c>
      <c r="K2005" s="5" t="s">
        <v>1325</v>
      </c>
    </row>
    <row r="2006" customFormat="false" ht="46.25" hidden="false" customHeight="false" outlineLevel="0" collapsed="false">
      <c r="A2006" s="5" t="s">
        <v>13112</v>
      </c>
      <c r="B2006" s="2" t="s">
        <v>13113</v>
      </c>
      <c r="C2006" s="5" t="s">
        <v>2245</v>
      </c>
      <c r="D2006" s="5" t="s">
        <v>62</v>
      </c>
      <c r="E2006" s="5" t="n">
        <v>7</v>
      </c>
      <c r="F2006" s="5" t="s">
        <v>67</v>
      </c>
      <c r="G2006" s="2" t="s">
        <v>12057</v>
      </c>
      <c r="H2006" s="5" t="s">
        <v>8336</v>
      </c>
      <c r="I2006" s="5"/>
      <c r="J2006" s="5"/>
      <c r="K2006" s="5" t="s">
        <v>13114</v>
      </c>
    </row>
    <row r="2007" customFormat="false" ht="15" hidden="false" customHeight="false" outlineLevel="0" collapsed="false">
      <c r="A2007" s="5" t="s">
        <v>3614</v>
      </c>
      <c r="B2007" s="2" t="s">
        <v>3615</v>
      </c>
      <c r="C2007" s="5" t="s">
        <v>2128</v>
      </c>
      <c r="D2007" s="5" t="s">
        <v>62</v>
      </c>
      <c r="E2007" s="5" t="n">
        <v>7</v>
      </c>
      <c r="F2007" s="5" t="s">
        <v>90</v>
      </c>
      <c r="G2007" s="2" t="s">
        <v>367</v>
      </c>
      <c r="H2007" s="5" t="s">
        <v>8332</v>
      </c>
      <c r="I2007" s="5" t="s">
        <v>60</v>
      </c>
      <c r="J2007" s="5" t="s">
        <v>3156</v>
      </c>
      <c r="K2007" s="5" t="s">
        <v>3618</v>
      </c>
    </row>
    <row r="2008" customFormat="false" ht="15" hidden="false" customHeight="false" outlineLevel="0" collapsed="false">
      <c r="A2008" s="5" t="s">
        <v>3619</v>
      </c>
      <c r="B2008" s="2" t="s">
        <v>3620</v>
      </c>
      <c r="C2008" s="5" t="s">
        <v>2128</v>
      </c>
      <c r="D2008" s="5" t="s">
        <v>62</v>
      </c>
      <c r="E2008" s="5" t="n">
        <v>7</v>
      </c>
      <c r="F2008" s="5" t="s">
        <v>90</v>
      </c>
      <c r="G2008" s="2" t="s">
        <v>367</v>
      </c>
      <c r="H2008" s="5" t="s">
        <v>8332</v>
      </c>
      <c r="I2008" s="5" t="s">
        <v>60</v>
      </c>
      <c r="J2008" s="5" t="s">
        <v>3156</v>
      </c>
      <c r="K2008" s="5" t="s">
        <v>3623</v>
      </c>
    </row>
    <row r="2009" customFormat="false" ht="46.25" hidden="false" customHeight="false" outlineLevel="0" collapsed="false">
      <c r="A2009" s="5" t="s">
        <v>13115</v>
      </c>
      <c r="B2009" s="2" t="s">
        <v>13116</v>
      </c>
      <c r="C2009" s="5" t="s">
        <v>2245</v>
      </c>
      <c r="D2009" s="5" t="s">
        <v>62</v>
      </c>
      <c r="E2009" s="5" t="n">
        <v>7</v>
      </c>
      <c r="F2009" s="5" t="s">
        <v>90</v>
      </c>
      <c r="G2009" s="2" t="s">
        <v>12057</v>
      </c>
      <c r="H2009" s="5" t="s">
        <v>8336</v>
      </c>
      <c r="I2009" s="5"/>
      <c r="J2009" s="5"/>
      <c r="K2009" s="5" t="s">
        <v>13117</v>
      </c>
    </row>
    <row r="2010" customFormat="false" ht="46.25" hidden="false" customHeight="false" outlineLevel="0" collapsed="false">
      <c r="A2010" s="5" t="s">
        <v>13118</v>
      </c>
      <c r="B2010" s="2" t="s">
        <v>13119</v>
      </c>
      <c r="C2010" s="5" t="s">
        <v>2245</v>
      </c>
      <c r="D2010" s="5" t="s">
        <v>62</v>
      </c>
      <c r="E2010" s="5" t="n">
        <v>7</v>
      </c>
      <c r="F2010" s="5" t="s">
        <v>90</v>
      </c>
      <c r="G2010" s="2" t="s">
        <v>12057</v>
      </c>
      <c r="H2010" s="5" t="s">
        <v>8336</v>
      </c>
      <c r="I2010" s="5"/>
      <c r="J2010" s="5"/>
      <c r="K2010" s="5" t="s">
        <v>13120</v>
      </c>
    </row>
    <row r="2011" customFormat="false" ht="15" hidden="false" customHeight="false" outlineLevel="0" collapsed="false">
      <c r="A2011" s="5" t="s">
        <v>13121</v>
      </c>
      <c r="B2011" s="2" t="s">
        <v>13122</v>
      </c>
      <c r="C2011" s="5" t="s">
        <v>2128</v>
      </c>
      <c r="D2011" s="5" t="s">
        <v>62</v>
      </c>
      <c r="E2011" s="5" t="n">
        <v>7</v>
      </c>
      <c r="F2011" s="5" t="s">
        <v>67</v>
      </c>
      <c r="G2011" s="2" t="s">
        <v>367</v>
      </c>
      <c r="H2011" s="5" t="s">
        <v>8336</v>
      </c>
      <c r="I2011" s="5"/>
      <c r="J2011" s="5"/>
      <c r="K2011" s="5" t="s">
        <v>13123</v>
      </c>
    </row>
    <row r="2012" customFormat="false" ht="15" hidden="false" customHeight="false" outlineLevel="0" collapsed="false">
      <c r="A2012" s="5" t="s">
        <v>13124</v>
      </c>
      <c r="B2012" s="2" t="s">
        <v>13125</v>
      </c>
      <c r="C2012" s="5" t="s">
        <v>2128</v>
      </c>
      <c r="D2012" s="5" t="s">
        <v>62</v>
      </c>
      <c r="E2012" s="5" t="n">
        <v>7</v>
      </c>
      <c r="F2012" s="5" t="s">
        <v>90</v>
      </c>
      <c r="G2012" s="2" t="s">
        <v>367</v>
      </c>
      <c r="H2012" s="5" t="s">
        <v>8336</v>
      </c>
      <c r="I2012" s="5"/>
      <c r="J2012" s="5"/>
      <c r="K2012" s="5" t="s">
        <v>13126</v>
      </c>
    </row>
    <row r="2013" customFormat="false" ht="23.85" hidden="false" customHeight="false" outlineLevel="0" collapsed="false">
      <c r="A2013" s="5" t="s">
        <v>13127</v>
      </c>
      <c r="B2013" s="2" t="s">
        <v>13128</v>
      </c>
      <c r="C2013" s="5" t="s">
        <v>2128</v>
      </c>
      <c r="D2013" s="5" t="s">
        <v>62</v>
      </c>
      <c r="E2013" s="5" t="n">
        <v>7</v>
      </c>
      <c r="F2013" s="5" t="s">
        <v>413</v>
      </c>
      <c r="G2013" s="2" t="s">
        <v>367</v>
      </c>
      <c r="H2013" s="5" t="s">
        <v>8336</v>
      </c>
      <c r="I2013" s="5"/>
      <c r="J2013" s="5"/>
      <c r="K2013" s="5" t="s">
        <v>13129</v>
      </c>
    </row>
    <row r="2014" customFormat="false" ht="23.85" hidden="false" customHeight="false" outlineLevel="0" collapsed="false">
      <c r="A2014" s="5" t="s">
        <v>13130</v>
      </c>
      <c r="B2014" s="2" t="s">
        <v>13131</v>
      </c>
      <c r="C2014" s="5" t="s">
        <v>2128</v>
      </c>
      <c r="D2014" s="5" t="s">
        <v>62</v>
      </c>
      <c r="E2014" s="5" t="n">
        <v>7</v>
      </c>
      <c r="F2014" s="5" t="s">
        <v>413</v>
      </c>
      <c r="G2014" s="2" t="s">
        <v>367</v>
      </c>
      <c r="H2014" s="5" t="s">
        <v>8336</v>
      </c>
      <c r="I2014" s="5"/>
      <c r="J2014" s="5"/>
      <c r="K2014" s="5" t="s">
        <v>13132</v>
      </c>
    </row>
    <row r="2015" customFormat="false" ht="23.85" hidden="false" customHeight="false" outlineLevel="0" collapsed="false">
      <c r="A2015" s="5" t="s">
        <v>1326</v>
      </c>
      <c r="B2015" s="2" t="s">
        <v>1327</v>
      </c>
      <c r="C2015" s="5" t="s">
        <v>488</v>
      </c>
      <c r="D2015" s="5" t="s">
        <v>62</v>
      </c>
      <c r="E2015" s="5" t="n">
        <v>7</v>
      </c>
      <c r="F2015" s="5" t="s">
        <v>100</v>
      </c>
      <c r="G2015" s="2" t="s">
        <v>367</v>
      </c>
      <c r="H2015" s="5" t="s">
        <v>8332</v>
      </c>
      <c r="I2015" s="5" t="s">
        <v>60</v>
      </c>
      <c r="J2015" s="5" t="s">
        <v>100</v>
      </c>
      <c r="K2015" s="5" t="s">
        <v>1331</v>
      </c>
    </row>
    <row r="2016" customFormat="false" ht="15" hidden="false" customHeight="false" outlineLevel="0" collapsed="false">
      <c r="A2016" s="5" t="s">
        <v>1332</v>
      </c>
      <c r="B2016" s="2" t="s">
        <v>1333</v>
      </c>
      <c r="C2016" s="5" t="s">
        <v>488</v>
      </c>
      <c r="D2016" s="5" t="s">
        <v>62</v>
      </c>
      <c r="E2016" s="5" t="n">
        <v>7</v>
      </c>
      <c r="F2016" s="5" t="s">
        <v>100</v>
      </c>
      <c r="G2016" s="2" t="s">
        <v>367</v>
      </c>
      <c r="H2016" s="5" t="s">
        <v>8332</v>
      </c>
      <c r="I2016" s="5" t="s">
        <v>60</v>
      </c>
      <c r="J2016" s="5" t="s">
        <v>100</v>
      </c>
      <c r="K2016" s="5" t="s">
        <v>1337</v>
      </c>
    </row>
    <row r="2017" customFormat="false" ht="46.25" hidden="false" customHeight="false" outlineLevel="0" collapsed="false">
      <c r="A2017" s="5" t="s">
        <v>6172</v>
      </c>
      <c r="B2017" s="2" t="s">
        <v>6173</v>
      </c>
      <c r="C2017" s="5" t="s">
        <v>2245</v>
      </c>
      <c r="D2017" s="5" t="s">
        <v>62</v>
      </c>
      <c r="E2017" s="5" t="n">
        <v>9</v>
      </c>
      <c r="F2017" s="5" t="s">
        <v>100</v>
      </c>
      <c r="G2017" s="2" t="s">
        <v>12057</v>
      </c>
      <c r="H2017" s="5" t="s">
        <v>8332</v>
      </c>
      <c r="I2017" s="5" t="s">
        <v>4760</v>
      </c>
      <c r="J2017" s="5" t="s">
        <v>100</v>
      </c>
      <c r="K2017" s="5" t="s">
        <v>6177</v>
      </c>
    </row>
    <row r="2018" customFormat="false" ht="23.85" hidden="false" customHeight="false" outlineLevel="0" collapsed="false">
      <c r="A2018" s="5" t="s">
        <v>13133</v>
      </c>
      <c r="B2018" s="2" t="s">
        <v>13134</v>
      </c>
      <c r="C2018" s="5" t="s">
        <v>2128</v>
      </c>
      <c r="D2018" s="5" t="s">
        <v>62</v>
      </c>
      <c r="E2018" s="5" t="n">
        <v>7</v>
      </c>
      <c r="F2018" s="5" t="s">
        <v>413</v>
      </c>
      <c r="G2018" s="2" t="s">
        <v>367</v>
      </c>
      <c r="H2018" s="5" t="s">
        <v>8336</v>
      </c>
      <c r="I2018" s="5"/>
      <c r="J2018" s="5"/>
      <c r="K2018" s="5" t="s">
        <v>13135</v>
      </c>
    </row>
    <row r="2019" customFormat="false" ht="46.25" hidden="false" customHeight="false" outlineLevel="0" collapsed="false">
      <c r="A2019" s="5" t="s">
        <v>13136</v>
      </c>
      <c r="B2019" s="2" t="s">
        <v>13137</v>
      </c>
      <c r="C2019" s="5" t="s">
        <v>2245</v>
      </c>
      <c r="D2019" s="5" t="s">
        <v>62</v>
      </c>
      <c r="E2019" s="5" t="n">
        <v>9</v>
      </c>
      <c r="F2019" s="5" t="s">
        <v>90</v>
      </c>
      <c r="G2019" s="2" t="s">
        <v>12057</v>
      </c>
      <c r="H2019" s="5" t="s">
        <v>8336</v>
      </c>
      <c r="I2019" s="5"/>
      <c r="J2019" s="5"/>
      <c r="K2019" s="5" t="s">
        <v>13138</v>
      </c>
    </row>
    <row r="2020" customFormat="false" ht="23.85" hidden="false" customHeight="false" outlineLevel="0" collapsed="false">
      <c r="A2020" s="5" t="s">
        <v>13139</v>
      </c>
      <c r="B2020" s="2" t="s">
        <v>13140</v>
      </c>
      <c r="C2020" s="5" t="s">
        <v>2128</v>
      </c>
      <c r="D2020" s="5" t="s">
        <v>62</v>
      </c>
      <c r="E2020" s="5" t="n">
        <v>9</v>
      </c>
      <c r="F2020" s="5" t="s">
        <v>90</v>
      </c>
      <c r="G2020" s="2" t="s">
        <v>367</v>
      </c>
      <c r="H2020" s="5" t="s">
        <v>8336</v>
      </c>
      <c r="I2020" s="5"/>
      <c r="J2020" s="5"/>
      <c r="K2020" s="5" t="s">
        <v>13141</v>
      </c>
    </row>
    <row r="2021" customFormat="false" ht="46.25" hidden="false" customHeight="false" outlineLevel="0" collapsed="false">
      <c r="A2021" s="5" t="s">
        <v>6178</v>
      </c>
      <c r="B2021" s="2" t="s">
        <v>6179</v>
      </c>
      <c r="C2021" s="5" t="s">
        <v>2245</v>
      </c>
      <c r="D2021" s="5" t="s">
        <v>490</v>
      </c>
      <c r="E2021" s="5" t="n">
        <v>7</v>
      </c>
      <c r="F2021" s="5" t="s">
        <v>100</v>
      </c>
      <c r="G2021" s="2" t="s">
        <v>12057</v>
      </c>
      <c r="H2021" s="5" t="s">
        <v>8332</v>
      </c>
      <c r="I2021" s="5" t="s">
        <v>4760</v>
      </c>
      <c r="J2021" s="5" t="s">
        <v>100</v>
      </c>
      <c r="K2021" s="5" t="s">
        <v>6183</v>
      </c>
    </row>
    <row r="2022" customFormat="false" ht="23.85" hidden="false" customHeight="false" outlineLevel="0" collapsed="false">
      <c r="A2022" s="5" t="s">
        <v>1338</v>
      </c>
      <c r="B2022" s="2" t="s">
        <v>1339</v>
      </c>
      <c r="C2022" s="5" t="s">
        <v>488</v>
      </c>
      <c r="D2022" s="5" t="s">
        <v>62</v>
      </c>
      <c r="E2022" s="5" t="n">
        <v>9</v>
      </c>
      <c r="F2022" s="5" t="s">
        <v>100</v>
      </c>
      <c r="G2022" s="2" t="s">
        <v>367</v>
      </c>
      <c r="H2022" s="5" t="s">
        <v>8332</v>
      </c>
      <c r="I2022" s="5" t="s">
        <v>60</v>
      </c>
      <c r="J2022" s="5" t="s">
        <v>100</v>
      </c>
      <c r="K2022" s="5" t="s">
        <v>1342</v>
      </c>
    </row>
    <row r="2023" customFormat="false" ht="23.85" hidden="false" customHeight="false" outlineLevel="0" collapsed="false">
      <c r="A2023" s="5" t="s">
        <v>1343</v>
      </c>
      <c r="B2023" s="2" t="s">
        <v>1344</v>
      </c>
      <c r="C2023" s="5" t="s">
        <v>488</v>
      </c>
      <c r="D2023" s="5" t="s">
        <v>62</v>
      </c>
      <c r="E2023" s="5" t="n">
        <v>9</v>
      </c>
      <c r="F2023" s="5" t="s">
        <v>100</v>
      </c>
      <c r="G2023" s="2" t="s">
        <v>367</v>
      </c>
      <c r="H2023" s="5" t="s">
        <v>8332</v>
      </c>
      <c r="I2023" s="5" t="s">
        <v>60</v>
      </c>
      <c r="J2023" s="5" t="s">
        <v>100</v>
      </c>
      <c r="K2023" s="5" t="s">
        <v>1348</v>
      </c>
    </row>
    <row r="2024" customFormat="false" ht="46.25" hidden="false" customHeight="false" outlineLevel="0" collapsed="false">
      <c r="A2024" s="5" t="s">
        <v>13142</v>
      </c>
      <c r="B2024" s="2" t="s">
        <v>13143</v>
      </c>
      <c r="C2024" s="5" t="s">
        <v>2245</v>
      </c>
      <c r="D2024" s="5" t="s">
        <v>490</v>
      </c>
      <c r="E2024" s="5" t="n">
        <v>7</v>
      </c>
      <c r="F2024" s="5" t="s">
        <v>90</v>
      </c>
      <c r="G2024" s="2" t="s">
        <v>12057</v>
      </c>
      <c r="H2024" s="5" t="s">
        <v>8336</v>
      </c>
      <c r="I2024" s="5"/>
      <c r="J2024" s="5"/>
      <c r="K2024" s="5" t="s">
        <v>13144</v>
      </c>
    </row>
    <row r="2025" customFormat="false" ht="46.25" hidden="false" customHeight="false" outlineLevel="0" collapsed="false">
      <c r="A2025" s="5" t="s">
        <v>13145</v>
      </c>
      <c r="B2025" s="2" t="s">
        <v>13146</v>
      </c>
      <c r="C2025" s="5" t="s">
        <v>2245</v>
      </c>
      <c r="D2025" s="5" t="s">
        <v>62</v>
      </c>
      <c r="E2025" s="5" t="n">
        <v>7</v>
      </c>
      <c r="F2025" s="5" t="s">
        <v>90</v>
      </c>
      <c r="G2025" s="2" t="s">
        <v>12057</v>
      </c>
      <c r="H2025" s="5" t="s">
        <v>8336</v>
      </c>
      <c r="I2025" s="5"/>
      <c r="J2025" s="5"/>
      <c r="K2025" s="5" t="s">
        <v>13147</v>
      </c>
    </row>
    <row r="2026" customFormat="false" ht="46.25" hidden="false" customHeight="false" outlineLevel="0" collapsed="false">
      <c r="A2026" s="5" t="s">
        <v>3624</v>
      </c>
      <c r="B2026" s="2" t="s">
        <v>3625</v>
      </c>
      <c r="C2026" s="5" t="s">
        <v>2245</v>
      </c>
      <c r="D2026" s="5" t="s">
        <v>62</v>
      </c>
      <c r="E2026" s="5" t="n">
        <v>7</v>
      </c>
      <c r="F2026" s="5" t="s">
        <v>90</v>
      </c>
      <c r="G2026" s="2" t="s">
        <v>12894</v>
      </c>
      <c r="H2026" s="5" t="s">
        <v>8332</v>
      </c>
      <c r="I2026" s="5" t="s">
        <v>60</v>
      </c>
      <c r="J2026" s="5" t="s">
        <v>269</v>
      </c>
      <c r="K2026" s="5" t="s">
        <v>3631</v>
      </c>
    </row>
    <row r="2027" customFormat="false" ht="46.25" hidden="false" customHeight="false" outlineLevel="0" collapsed="false">
      <c r="A2027" s="5" t="s">
        <v>13148</v>
      </c>
      <c r="B2027" s="2" t="s">
        <v>13149</v>
      </c>
      <c r="C2027" s="5" t="s">
        <v>2245</v>
      </c>
      <c r="D2027" s="5" t="s">
        <v>62</v>
      </c>
      <c r="E2027" s="5" t="n">
        <v>7</v>
      </c>
      <c r="F2027" s="5" t="s">
        <v>90</v>
      </c>
      <c r="G2027" s="2" t="s">
        <v>12057</v>
      </c>
      <c r="H2027" s="5" t="s">
        <v>8336</v>
      </c>
      <c r="I2027" s="5"/>
      <c r="J2027" s="5"/>
      <c r="K2027" s="5" t="s">
        <v>13150</v>
      </c>
    </row>
    <row r="2028" customFormat="false" ht="23.85" hidden="false" customHeight="false" outlineLevel="0" collapsed="false">
      <c r="A2028" s="5" t="s">
        <v>13151</v>
      </c>
      <c r="B2028" s="2" t="s">
        <v>13152</v>
      </c>
      <c r="C2028" s="5" t="s">
        <v>2128</v>
      </c>
      <c r="D2028" s="5" t="s">
        <v>62</v>
      </c>
      <c r="E2028" s="5" t="n">
        <v>7</v>
      </c>
      <c r="F2028" s="5" t="s">
        <v>413</v>
      </c>
      <c r="G2028" s="2" t="s">
        <v>367</v>
      </c>
      <c r="H2028" s="5" t="s">
        <v>8336</v>
      </c>
      <c r="I2028" s="5"/>
      <c r="J2028" s="5"/>
      <c r="K2028" s="5" t="s">
        <v>13153</v>
      </c>
    </row>
    <row r="2029" customFormat="false" ht="46.25" hidden="false" customHeight="false" outlineLevel="0" collapsed="false">
      <c r="A2029" s="5" t="s">
        <v>13154</v>
      </c>
      <c r="B2029" s="2" t="s">
        <v>13155</v>
      </c>
      <c r="C2029" s="5" t="s">
        <v>2245</v>
      </c>
      <c r="D2029" s="5" t="s">
        <v>62</v>
      </c>
      <c r="E2029" s="5" t="n">
        <v>7</v>
      </c>
      <c r="F2029" s="5" t="s">
        <v>90</v>
      </c>
      <c r="G2029" s="2" t="s">
        <v>12054</v>
      </c>
      <c r="H2029" s="5" t="s">
        <v>8336</v>
      </c>
      <c r="I2029" s="5"/>
      <c r="J2029" s="5"/>
      <c r="K2029" s="5" t="s">
        <v>13156</v>
      </c>
    </row>
    <row r="2030" customFormat="false" ht="46.25" hidden="false" customHeight="false" outlineLevel="0" collapsed="false">
      <c r="A2030" s="5" t="s">
        <v>6184</v>
      </c>
      <c r="B2030" s="2" t="s">
        <v>6185</v>
      </c>
      <c r="C2030" s="5" t="s">
        <v>2245</v>
      </c>
      <c r="D2030" s="5" t="s">
        <v>62</v>
      </c>
      <c r="E2030" s="5" t="n">
        <v>7</v>
      </c>
      <c r="F2030" s="5" t="s">
        <v>100</v>
      </c>
      <c r="G2030" s="2" t="s">
        <v>12057</v>
      </c>
      <c r="H2030" s="5" t="s">
        <v>8332</v>
      </c>
      <c r="I2030" s="5" t="s">
        <v>4760</v>
      </c>
      <c r="J2030" s="5" t="s">
        <v>100</v>
      </c>
      <c r="K2030" s="5" t="s">
        <v>6188</v>
      </c>
    </row>
    <row r="2031" customFormat="false" ht="23.85" hidden="false" customHeight="false" outlineLevel="0" collapsed="false">
      <c r="A2031" s="5" t="s">
        <v>13157</v>
      </c>
      <c r="B2031" s="2" t="s">
        <v>13158</v>
      </c>
      <c r="C2031" s="5" t="s">
        <v>2128</v>
      </c>
      <c r="D2031" s="5" t="s">
        <v>62</v>
      </c>
      <c r="E2031" s="5" t="n">
        <v>7</v>
      </c>
      <c r="F2031" s="5" t="s">
        <v>90</v>
      </c>
      <c r="G2031" s="2" t="s">
        <v>367</v>
      </c>
      <c r="H2031" s="5" t="s">
        <v>8336</v>
      </c>
      <c r="I2031" s="5"/>
      <c r="J2031" s="5"/>
      <c r="K2031" s="5" t="s">
        <v>13159</v>
      </c>
    </row>
    <row r="2032" customFormat="false" ht="23.85" hidden="false" customHeight="false" outlineLevel="0" collapsed="false">
      <c r="A2032" s="5" t="s">
        <v>1349</v>
      </c>
      <c r="B2032" s="2" t="s">
        <v>1350</v>
      </c>
      <c r="C2032" s="5" t="s">
        <v>488</v>
      </c>
      <c r="D2032" s="5" t="s">
        <v>62</v>
      </c>
      <c r="E2032" s="5" t="n">
        <v>7</v>
      </c>
      <c r="F2032" s="5" t="s">
        <v>100</v>
      </c>
      <c r="G2032" s="2" t="s">
        <v>367</v>
      </c>
      <c r="H2032" s="5" t="s">
        <v>8332</v>
      </c>
      <c r="I2032" s="5" t="s">
        <v>60</v>
      </c>
      <c r="J2032" s="5" t="s">
        <v>100</v>
      </c>
      <c r="K2032" s="5" t="s">
        <v>1354</v>
      </c>
    </row>
    <row r="2033" customFormat="false" ht="46.25" hidden="false" customHeight="false" outlineLevel="0" collapsed="false">
      <c r="A2033" s="5" t="s">
        <v>13160</v>
      </c>
      <c r="B2033" s="2" t="s">
        <v>13161</v>
      </c>
      <c r="C2033" s="5" t="s">
        <v>2245</v>
      </c>
      <c r="D2033" s="5" t="s">
        <v>490</v>
      </c>
      <c r="E2033" s="5" t="n">
        <v>7</v>
      </c>
      <c r="F2033" s="5" t="s">
        <v>67</v>
      </c>
      <c r="G2033" s="2" t="s">
        <v>12057</v>
      </c>
      <c r="H2033" s="5" t="s">
        <v>8336</v>
      </c>
      <c r="I2033" s="5"/>
      <c r="J2033" s="5"/>
      <c r="K2033" s="5" t="s">
        <v>13162</v>
      </c>
    </row>
    <row r="2034" customFormat="false" ht="15" hidden="false" customHeight="false" outlineLevel="0" collapsed="false">
      <c r="A2034" s="5" t="s">
        <v>13163</v>
      </c>
      <c r="B2034" s="2" t="s">
        <v>13164</v>
      </c>
      <c r="C2034" s="5" t="s">
        <v>2128</v>
      </c>
      <c r="D2034" s="5" t="s">
        <v>62</v>
      </c>
      <c r="E2034" s="5" t="n">
        <v>7</v>
      </c>
      <c r="F2034" s="5" t="s">
        <v>90</v>
      </c>
      <c r="G2034" s="2" t="s">
        <v>367</v>
      </c>
      <c r="H2034" s="5" t="s">
        <v>8336</v>
      </c>
      <c r="I2034" s="5"/>
      <c r="J2034" s="5"/>
      <c r="K2034" s="5" t="s">
        <v>13165</v>
      </c>
    </row>
    <row r="2035" customFormat="false" ht="46.25" hidden="false" customHeight="false" outlineLevel="0" collapsed="false">
      <c r="A2035" s="5" t="s">
        <v>6189</v>
      </c>
      <c r="B2035" s="2" t="s">
        <v>6190</v>
      </c>
      <c r="C2035" s="5" t="s">
        <v>2245</v>
      </c>
      <c r="D2035" s="5" t="s">
        <v>490</v>
      </c>
      <c r="E2035" s="5" t="n">
        <v>7</v>
      </c>
      <c r="F2035" s="5" t="s">
        <v>100</v>
      </c>
      <c r="G2035" s="2" t="s">
        <v>12057</v>
      </c>
      <c r="H2035" s="5" t="s">
        <v>8332</v>
      </c>
      <c r="I2035" s="5" t="s">
        <v>4760</v>
      </c>
      <c r="J2035" s="5" t="s">
        <v>100</v>
      </c>
      <c r="K2035" s="5" t="s">
        <v>6193</v>
      </c>
    </row>
    <row r="2036" customFormat="false" ht="15" hidden="false" customHeight="false" outlineLevel="0" collapsed="false">
      <c r="A2036" s="5" t="s">
        <v>13166</v>
      </c>
      <c r="B2036" s="2" t="s">
        <v>13167</v>
      </c>
      <c r="C2036" s="5" t="s">
        <v>2128</v>
      </c>
      <c r="D2036" s="5" t="s">
        <v>62</v>
      </c>
      <c r="E2036" s="5" t="n">
        <v>5</v>
      </c>
      <c r="F2036" s="5" t="s">
        <v>67</v>
      </c>
      <c r="G2036" s="2" t="s">
        <v>367</v>
      </c>
      <c r="H2036" s="5" t="s">
        <v>8336</v>
      </c>
      <c r="I2036" s="5"/>
      <c r="J2036" s="5"/>
      <c r="K2036" s="5" t="s">
        <v>13168</v>
      </c>
    </row>
    <row r="2037" customFormat="false" ht="15" hidden="false" customHeight="false" outlineLevel="0" collapsed="false">
      <c r="A2037" s="5" t="s">
        <v>1355</v>
      </c>
      <c r="B2037" s="2" t="s">
        <v>1356</v>
      </c>
      <c r="C2037" s="5" t="s">
        <v>488</v>
      </c>
      <c r="D2037" s="5" t="s">
        <v>62</v>
      </c>
      <c r="E2037" s="5" t="n">
        <v>9</v>
      </c>
      <c r="F2037" s="5" t="s">
        <v>100</v>
      </c>
      <c r="G2037" s="2" t="s">
        <v>367</v>
      </c>
      <c r="H2037" s="5" t="s">
        <v>8332</v>
      </c>
      <c r="I2037" s="5" t="s">
        <v>60</v>
      </c>
      <c r="J2037" s="5" t="s">
        <v>100</v>
      </c>
      <c r="K2037" s="5" t="s">
        <v>1360</v>
      </c>
    </row>
    <row r="2038" customFormat="false" ht="23.85" hidden="false" customHeight="false" outlineLevel="0" collapsed="false">
      <c r="A2038" s="5" t="s">
        <v>13169</v>
      </c>
      <c r="B2038" s="2" t="s">
        <v>13170</v>
      </c>
      <c r="C2038" s="5" t="s">
        <v>2128</v>
      </c>
      <c r="D2038" s="5" t="s">
        <v>62</v>
      </c>
      <c r="E2038" s="5" t="n">
        <v>5</v>
      </c>
      <c r="F2038" s="5" t="s">
        <v>413</v>
      </c>
      <c r="G2038" s="2" t="s">
        <v>367</v>
      </c>
      <c r="H2038" s="5" t="s">
        <v>8336</v>
      </c>
      <c r="I2038" s="5"/>
      <c r="J2038" s="5"/>
      <c r="K2038" s="5" t="s">
        <v>13171</v>
      </c>
    </row>
    <row r="2039" customFormat="false" ht="15" hidden="false" customHeight="false" outlineLevel="0" collapsed="false">
      <c r="A2039" s="5" t="s">
        <v>13172</v>
      </c>
      <c r="B2039" s="2" t="s">
        <v>13173</v>
      </c>
      <c r="C2039" s="5" t="s">
        <v>2128</v>
      </c>
      <c r="D2039" s="5" t="s">
        <v>62</v>
      </c>
      <c r="E2039" s="5" t="n">
        <v>7</v>
      </c>
      <c r="F2039" s="5" t="s">
        <v>413</v>
      </c>
      <c r="G2039" s="2" t="s">
        <v>367</v>
      </c>
      <c r="H2039" s="5" t="s">
        <v>8336</v>
      </c>
      <c r="I2039" s="5"/>
      <c r="J2039" s="5"/>
      <c r="K2039" s="5" t="s">
        <v>13174</v>
      </c>
    </row>
    <row r="2040" customFormat="false" ht="46.25" hidden="false" customHeight="false" outlineLevel="0" collapsed="false">
      <c r="A2040" s="5" t="s">
        <v>6194</v>
      </c>
      <c r="B2040" s="2" t="s">
        <v>6195</v>
      </c>
      <c r="C2040" s="5" t="s">
        <v>2245</v>
      </c>
      <c r="D2040" s="5" t="s">
        <v>62</v>
      </c>
      <c r="E2040" s="5" t="n">
        <v>9</v>
      </c>
      <c r="F2040" s="5" t="s">
        <v>100</v>
      </c>
      <c r="G2040" s="2" t="s">
        <v>12057</v>
      </c>
      <c r="H2040" s="5" t="s">
        <v>8332</v>
      </c>
      <c r="I2040" s="5" t="s">
        <v>4760</v>
      </c>
      <c r="J2040" s="5" t="s">
        <v>100</v>
      </c>
      <c r="K2040" s="5" t="s">
        <v>6198</v>
      </c>
    </row>
    <row r="2041" customFormat="false" ht="15" hidden="false" customHeight="false" outlineLevel="0" collapsed="false">
      <c r="A2041" s="5" t="s">
        <v>1361</v>
      </c>
      <c r="B2041" s="2" t="s">
        <v>1362</v>
      </c>
      <c r="C2041" s="5" t="s">
        <v>488</v>
      </c>
      <c r="D2041" s="5" t="s">
        <v>62</v>
      </c>
      <c r="E2041" s="5" t="n">
        <v>7</v>
      </c>
      <c r="F2041" s="5" t="s">
        <v>100</v>
      </c>
      <c r="G2041" s="2" t="s">
        <v>367</v>
      </c>
      <c r="H2041" s="5" t="s">
        <v>8332</v>
      </c>
      <c r="I2041" s="5" t="s">
        <v>60</v>
      </c>
      <c r="J2041" s="5" t="s">
        <v>1363</v>
      </c>
      <c r="K2041" s="5" t="s">
        <v>1366</v>
      </c>
    </row>
    <row r="2042" customFormat="false" ht="15" hidden="false" customHeight="false" outlineLevel="0" collapsed="false">
      <c r="A2042" s="5" t="s">
        <v>1367</v>
      </c>
      <c r="B2042" s="2" t="s">
        <v>1368</v>
      </c>
      <c r="C2042" s="5" t="s">
        <v>488</v>
      </c>
      <c r="D2042" s="5" t="s">
        <v>62</v>
      </c>
      <c r="E2042" s="5" t="n">
        <v>7</v>
      </c>
      <c r="F2042" s="5" t="s">
        <v>100</v>
      </c>
      <c r="G2042" s="2" t="s">
        <v>367</v>
      </c>
      <c r="H2042" s="5" t="s">
        <v>8332</v>
      </c>
      <c r="I2042" s="5" t="s">
        <v>60</v>
      </c>
      <c r="J2042" s="5" t="s">
        <v>1363</v>
      </c>
      <c r="K2042" s="5" t="s">
        <v>1371</v>
      </c>
    </row>
    <row r="2043" customFormat="false" ht="46.25" hidden="false" customHeight="false" outlineLevel="0" collapsed="false">
      <c r="A2043" s="5" t="s">
        <v>13175</v>
      </c>
      <c r="B2043" s="2" t="s">
        <v>13176</v>
      </c>
      <c r="C2043" s="5" t="s">
        <v>2245</v>
      </c>
      <c r="D2043" s="5" t="s">
        <v>490</v>
      </c>
      <c r="E2043" s="5" t="n">
        <v>5</v>
      </c>
      <c r="F2043" s="5" t="s">
        <v>90</v>
      </c>
      <c r="G2043" s="2" t="s">
        <v>12057</v>
      </c>
      <c r="H2043" s="5" t="s">
        <v>8336</v>
      </c>
      <c r="I2043" s="5"/>
      <c r="J2043" s="5"/>
      <c r="K2043" s="5" t="s">
        <v>13177</v>
      </c>
    </row>
    <row r="2044" customFormat="false" ht="15" hidden="false" customHeight="false" outlineLevel="0" collapsed="false">
      <c r="A2044" s="5" t="s">
        <v>13178</v>
      </c>
      <c r="B2044" s="2" t="s">
        <v>13179</v>
      </c>
      <c r="C2044" s="5" t="s">
        <v>2128</v>
      </c>
      <c r="D2044" s="5" t="s">
        <v>62</v>
      </c>
      <c r="E2044" s="5" t="n">
        <v>7</v>
      </c>
      <c r="F2044" s="5" t="s">
        <v>90</v>
      </c>
      <c r="G2044" s="2" t="s">
        <v>367</v>
      </c>
      <c r="H2044" s="5" t="s">
        <v>8336</v>
      </c>
      <c r="I2044" s="5"/>
      <c r="J2044" s="5"/>
      <c r="K2044" s="5" t="s">
        <v>13180</v>
      </c>
    </row>
    <row r="2045" customFormat="false" ht="15" hidden="false" customHeight="false" outlineLevel="0" collapsed="false">
      <c r="A2045" s="5" t="s">
        <v>1372</v>
      </c>
      <c r="B2045" s="2" t="s">
        <v>1373</v>
      </c>
      <c r="C2045" s="5" t="s">
        <v>488</v>
      </c>
      <c r="D2045" s="5" t="s">
        <v>62</v>
      </c>
      <c r="E2045" s="5" t="n">
        <v>7</v>
      </c>
      <c r="F2045" s="5" t="s">
        <v>100</v>
      </c>
      <c r="G2045" s="2" t="s">
        <v>367</v>
      </c>
      <c r="H2045" s="5" t="s">
        <v>8332</v>
      </c>
      <c r="I2045" s="5" t="s">
        <v>60</v>
      </c>
      <c r="J2045" s="5" t="s">
        <v>100</v>
      </c>
      <c r="K2045" s="5" t="s">
        <v>1376</v>
      </c>
    </row>
    <row r="2046" customFormat="false" ht="46.25" hidden="false" customHeight="false" outlineLevel="0" collapsed="false">
      <c r="A2046" s="5" t="s">
        <v>3632</v>
      </c>
      <c r="B2046" s="2" t="s">
        <v>3633</v>
      </c>
      <c r="C2046" s="5" t="s">
        <v>2245</v>
      </c>
      <c r="D2046" s="5" t="s">
        <v>490</v>
      </c>
      <c r="E2046" s="5" t="n">
        <v>7</v>
      </c>
      <c r="F2046" s="5" t="s">
        <v>277</v>
      </c>
      <c r="G2046" s="2" t="s">
        <v>12057</v>
      </c>
      <c r="H2046" s="5" t="s">
        <v>8332</v>
      </c>
      <c r="I2046" s="5" t="s">
        <v>60</v>
      </c>
      <c r="J2046" s="5" t="s">
        <v>751</v>
      </c>
      <c r="K2046" s="5" t="s">
        <v>3636</v>
      </c>
    </row>
    <row r="2047" customFormat="false" ht="46.25" hidden="false" customHeight="false" outlineLevel="0" collapsed="false">
      <c r="A2047" s="5" t="s">
        <v>3637</v>
      </c>
      <c r="B2047" s="2" t="s">
        <v>3638</v>
      </c>
      <c r="C2047" s="5" t="s">
        <v>2245</v>
      </c>
      <c r="D2047" s="5" t="s">
        <v>490</v>
      </c>
      <c r="E2047" s="5" t="n">
        <v>7</v>
      </c>
      <c r="F2047" s="5" t="s">
        <v>413</v>
      </c>
      <c r="G2047" s="2" t="s">
        <v>12057</v>
      </c>
      <c r="H2047" s="5" t="s">
        <v>8332</v>
      </c>
      <c r="I2047" s="5" t="s">
        <v>60</v>
      </c>
      <c r="J2047" s="5" t="s">
        <v>751</v>
      </c>
      <c r="K2047" s="5" t="s">
        <v>3642</v>
      </c>
    </row>
    <row r="2048" customFormat="false" ht="46.25" hidden="false" customHeight="false" outlineLevel="0" collapsed="false">
      <c r="A2048" s="5" t="s">
        <v>3643</v>
      </c>
      <c r="B2048" s="2" t="s">
        <v>3644</v>
      </c>
      <c r="C2048" s="5" t="s">
        <v>2245</v>
      </c>
      <c r="D2048" s="5" t="s">
        <v>62</v>
      </c>
      <c r="E2048" s="5" t="n">
        <v>7</v>
      </c>
      <c r="F2048" s="5" t="s">
        <v>67</v>
      </c>
      <c r="G2048" s="2" t="s">
        <v>12894</v>
      </c>
      <c r="H2048" s="5" t="s">
        <v>8332</v>
      </c>
      <c r="I2048" s="5" t="s">
        <v>60</v>
      </c>
      <c r="J2048" s="5" t="s">
        <v>269</v>
      </c>
      <c r="K2048" s="5" t="s">
        <v>3650</v>
      </c>
    </row>
    <row r="2049" customFormat="false" ht="15" hidden="false" customHeight="false" outlineLevel="0" collapsed="false">
      <c r="A2049" s="5" t="s">
        <v>13181</v>
      </c>
      <c r="B2049" s="2" t="s">
        <v>13182</v>
      </c>
      <c r="C2049" s="5" t="s">
        <v>2128</v>
      </c>
      <c r="D2049" s="5" t="s">
        <v>62</v>
      </c>
      <c r="E2049" s="5" t="n">
        <v>7</v>
      </c>
      <c r="F2049" s="5" t="s">
        <v>90</v>
      </c>
      <c r="G2049" s="2" t="s">
        <v>367</v>
      </c>
      <c r="H2049" s="5" t="s">
        <v>8336</v>
      </c>
      <c r="I2049" s="5"/>
      <c r="J2049" s="5"/>
      <c r="K2049" s="5" t="s">
        <v>13183</v>
      </c>
    </row>
    <row r="2050" customFormat="false" ht="46.25" hidden="false" customHeight="false" outlineLevel="0" collapsed="false">
      <c r="A2050" s="5" t="s">
        <v>13184</v>
      </c>
      <c r="B2050" s="2" t="s">
        <v>13185</v>
      </c>
      <c r="C2050" s="5" t="s">
        <v>2245</v>
      </c>
      <c r="D2050" s="5" t="s">
        <v>62</v>
      </c>
      <c r="E2050" s="5" t="n">
        <v>7</v>
      </c>
      <c r="F2050" s="5" t="s">
        <v>67</v>
      </c>
      <c r="G2050" s="2" t="s">
        <v>12057</v>
      </c>
      <c r="H2050" s="5" t="s">
        <v>8336</v>
      </c>
      <c r="I2050" s="5"/>
      <c r="J2050" s="5"/>
      <c r="K2050" s="5" t="s">
        <v>13186</v>
      </c>
    </row>
    <row r="2051" customFormat="false" ht="23.85" hidden="false" customHeight="false" outlineLevel="0" collapsed="false">
      <c r="A2051" s="5" t="s">
        <v>13187</v>
      </c>
      <c r="B2051" s="2" t="s">
        <v>13188</v>
      </c>
      <c r="C2051" s="5" t="s">
        <v>2128</v>
      </c>
      <c r="D2051" s="5" t="s">
        <v>62</v>
      </c>
      <c r="E2051" s="5" t="n">
        <v>7</v>
      </c>
      <c r="F2051" s="5" t="s">
        <v>413</v>
      </c>
      <c r="G2051" s="2" t="s">
        <v>367</v>
      </c>
      <c r="H2051" s="5" t="s">
        <v>8336</v>
      </c>
      <c r="I2051" s="5"/>
      <c r="J2051" s="5"/>
      <c r="K2051" s="5" t="s">
        <v>13189</v>
      </c>
    </row>
    <row r="2052" customFormat="false" ht="15" hidden="false" customHeight="false" outlineLevel="0" collapsed="false">
      <c r="A2052" s="5" t="s">
        <v>13190</v>
      </c>
      <c r="B2052" s="2" t="s">
        <v>13191</v>
      </c>
      <c r="C2052" s="5" t="s">
        <v>2128</v>
      </c>
      <c r="D2052" s="5" t="s">
        <v>62</v>
      </c>
      <c r="E2052" s="5" t="n">
        <v>7</v>
      </c>
      <c r="F2052" s="5" t="s">
        <v>67</v>
      </c>
      <c r="G2052" s="2" t="s">
        <v>367</v>
      </c>
      <c r="H2052" s="5" t="s">
        <v>8336</v>
      </c>
      <c r="I2052" s="5"/>
      <c r="J2052" s="5"/>
      <c r="K2052" s="5" t="s">
        <v>13192</v>
      </c>
    </row>
    <row r="2053" customFormat="false" ht="23.85" hidden="false" customHeight="false" outlineLevel="0" collapsed="false">
      <c r="A2053" s="5" t="s">
        <v>13193</v>
      </c>
      <c r="B2053" s="2" t="s">
        <v>13194</v>
      </c>
      <c r="C2053" s="5" t="s">
        <v>2128</v>
      </c>
      <c r="D2053" s="5" t="s">
        <v>62</v>
      </c>
      <c r="E2053" s="5" t="n">
        <v>7</v>
      </c>
      <c r="F2053" s="5" t="s">
        <v>67</v>
      </c>
      <c r="G2053" s="2" t="s">
        <v>367</v>
      </c>
      <c r="H2053" s="5" t="s">
        <v>8336</v>
      </c>
      <c r="I2053" s="5"/>
      <c r="J2053" s="5"/>
      <c r="K2053" s="5" t="s">
        <v>13195</v>
      </c>
    </row>
    <row r="2054" customFormat="false" ht="15" hidden="false" customHeight="false" outlineLevel="0" collapsed="false">
      <c r="A2054" s="5" t="s">
        <v>13196</v>
      </c>
      <c r="B2054" s="2" t="s">
        <v>13197</v>
      </c>
      <c r="C2054" s="5" t="s">
        <v>2128</v>
      </c>
      <c r="D2054" s="5" t="s">
        <v>62</v>
      </c>
      <c r="E2054" s="5" t="n">
        <v>9</v>
      </c>
      <c r="F2054" s="5" t="s">
        <v>90</v>
      </c>
      <c r="G2054" s="2" t="s">
        <v>367</v>
      </c>
      <c r="H2054" s="5" t="s">
        <v>8336</v>
      </c>
      <c r="I2054" s="5"/>
      <c r="J2054" s="5"/>
      <c r="K2054" s="5" t="s">
        <v>13198</v>
      </c>
    </row>
    <row r="2055" customFormat="false" ht="15" hidden="false" customHeight="false" outlineLevel="0" collapsed="false">
      <c r="A2055" s="5" t="s">
        <v>1377</v>
      </c>
      <c r="B2055" s="2" t="s">
        <v>1378</v>
      </c>
      <c r="C2055" s="5" t="s">
        <v>488</v>
      </c>
      <c r="D2055" s="5" t="s">
        <v>62</v>
      </c>
      <c r="E2055" s="5" t="n">
        <v>7</v>
      </c>
      <c r="F2055" s="5" t="s">
        <v>100</v>
      </c>
      <c r="G2055" s="2" t="s">
        <v>367</v>
      </c>
      <c r="H2055" s="5" t="s">
        <v>8332</v>
      </c>
      <c r="I2055" s="5" t="s">
        <v>60</v>
      </c>
      <c r="J2055" s="5" t="s">
        <v>100</v>
      </c>
      <c r="K2055" s="5" t="s">
        <v>1381</v>
      </c>
    </row>
    <row r="2056" customFormat="false" ht="23.85" hidden="false" customHeight="false" outlineLevel="0" collapsed="false">
      <c r="A2056" s="5" t="s">
        <v>13199</v>
      </c>
      <c r="B2056" s="2" t="s">
        <v>13200</v>
      </c>
      <c r="C2056" s="5" t="s">
        <v>2128</v>
      </c>
      <c r="D2056" s="5" t="s">
        <v>62</v>
      </c>
      <c r="E2056" s="5" t="n">
        <v>7</v>
      </c>
      <c r="F2056" s="5" t="s">
        <v>67</v>
      </c>
      <c r="G2056" s="2" t="s">
        <v>367</v>
      </c>
      <c r="H2056" s="5" t="s">
        <v>8336</v>
      </c>
      <c r="I2056" s="5"/>
      <c r="J2056" s="5"/>
      <c r="K2056" s="5" t="s">
        <v>13201</v>
      </c>
    </row>
    <row r="2057" customFormat="false" ht="46.25" hidden="false" customHeight="false" outlineLevel="0" collapsed="false">
      <c r="A2057" s="5" t="s">
        <v>3651</v>
      </c>
      <c r="B2057" s="2" t="s">
        <v>3652</v>
      </c>
      <c r="C2057" s="5" t="s">
        <v>2245</v>
      </c>
      <c r="D2057" s="5" t="s">
        <v>62</v>
      </c>
      <c r="E2057" s="5" t="n">
        <v>7</v>
      </c>
      <c r="F2057" s="5" t="s">
        <v>100</v>
      </c>
      <c r="G2057" s="2" t="s">
        <v>12057</v>
      </c>
      <c r="H2057" s="5" t="s">
        <v>8332</v>
      </c>
      <c r="I2057" s="5" t="s">
        <v>60</v>
      </c>
      <c r="J2057" s="5" t="s">
        <v>1384</v>
      </c>
      <c r="K2057" s="5" t="s">
        <v>3655</v>
      </c>
    </row>
    <row r="2058" customFormat="false" ht="46.25" hidden="false" customHeight="false" outlineLevel="0" collapsed="false">
      <c r="A2058" s="5" t="s">
        <v>13202</v>
      </c>
      <c r="B2058" s="2" t="s">
        <v>13203</v>
      </c>
      <c r="C2058" s="5" t="s">
        <v>2245</v>
      </c>
      <c r="D2058" s="5" t="s">
        <v>62</v>
      </c>
      <c r="E2058" s="5" t="n">
        <v>7</v>
      </c>
      <c r="F2058" s="5" t="s">
        <v>90</v>
      </c>
      <c r="G2058" s="2" t="s">
        <v>12057</v>
      </c>
      <c r="H2058" s="5" t="s">
        <v>8336</v>
      </c>
      <c r="I2058" s="5"/>
      <c r="J2058" s="5"/>
      <c r="K2058" s="5" t="s">
        <v>13204</v>
      </c>
    </row>
    <row r="2059" customFormat="false" ht="15" hidden="false" customHeight="false" outlineLevel="0" collapsed="false">
      <c r="A2059" s="5" t="s">
        <v>1382</v>
      </c>
      <c r="B2059" s="2" t="s">
        <v>1383</v>
      </c>
      <c r="C2059" s="5" t="s">
        <v>488</v>
      </c>
      <c r="D2059" s="5" t="s">
        <v>62</v>
      </c>
      <c r="E2059" s="5" t="n">
        <v>9</v>
      </c>
      <c r="F2059" s="5" t="s">
        <v>100</v>
      </c>
      <c r="G2059" s="2" t="s">
        <v>367</v>
      </c>
      <c r="H2059" s="5" t="s">
        <v>8332</v>
      </c>
      <c r="I2059" s="5" t="s">
        <v>60</v>
      </c>
      <c r="J2059" s="5" t="s">
        <v>1384</v>
      </c>
      <c r="K2059" s="5" t="s">
        <v>1387</v>
      </c>
    </row>
    <row r="2060" customFormat="false" ht="46.25" hidden="false" customHeight="false" outlineLevel="0" collapsed="false">
      <c r="A2060" s="5" t="s">
        <v>3656</v>
      </c>
      <c r="B2060" s="2" t="s">
        <v>3657</v>
      </c>
      <c r="C2060" s="5" t="s">
        <v>2245</v>
      </c>
      <c r="D2060" s="5" t="s">
        <v>62</v>
      </c>
      <c r="E2060" s="5" t="n">
        <v>7</v>
      </c>
      <c r="F2060" s="5" t="s">
        <v>100</v>
      </c>
      <c r="G2060" s="2" t="s">
        <v>12054</v>
      </c>
      <c r="H2060" s="5" t="s">
        <v>8332</v>
      </c>
      <c r="I2060" s="5" t="s">
        <v>60</v>
      </c>
      <c r="J2060" s="5" t="s">
        <v>1384</v>
      </c>
      <c r="K2060" s="5" t="s">
        <v>3660</v>
      </c>
    </row>
    <row r="2061" customFormat="false" ht="15" hidden="false" customHeight="false" outlineLevel="0" collapsed="false">
      <c r="A2061" s="5" t="s">
        <v>1388</v>
      </c>
      <c r="B2061" s="2" t="s">
        <v>1389</v>
      </c>
      <c r="C2061" s="5" t="s">
        <v>488</v>
      </c>
      <c r="D2061" s="5" t="s">
        <v>62</v>
      </c>
      <c r="E2061" s="5" t="n">
        <v>9</v>
      </c>
      <c r="F2061" s="5" t="s">
        <v>100</v>
      </c>
      <c r="G2061" s="2" t="s">
        <v>367</v>
      </c>
      <c r="H2061" s="5" t="s">
        <v>8332</v>
      </c>
      <c r="I2061" s="5" t="s">
        <v>60</v>
      </c>
      <c r="J2061" s="5" t="s">
        <v>100</v>
      </c>
      <c r="K2061" s="5" t="s">
        <v>1393</v>
      </c>
    </row>
    <row r="2062" customFormat="false" ht="15" hidden="false" customHeight="false" outlineLevel="0" collapsed="false">
      <c r="A2062" s="5" t="s">
        <v>13205</v>
      </c>
      <c r="B2062" s="2" t="s">
        <v>13206</v>
      </c>
      <c r="C2062" s="5" t="s">
        <v>2128</v>
      </c>
      <c r="D2062" s="5" t="s">
        <v>62</v>
      </c>
      <c r="E2062" s="5" t="n">
        <v>9</v>
      </c>
      <c r="F2062" s="5" t="s">
        <v>90</v>
      </c>
      <c r="G2062" s="2" t="s">
        <v>367</v>
      </c>
      <c r="H2062" s="5" t="s">
        <v>8336</v>
      </c>
      <c r="I2062" s="5"/>
      <c r="J2062" s="5"/>
      <c r="K2062" s="5" t="s">
        <v>13207</v>
      </c>
    </row>
    <row r="2063" customFormat="false" ht="15" hidden="false" customHeight="false" outlineLevel="0" collapsed="false">
      <c r="A2063" s="5" t="s">
        <v>13208</v>
      </c>
      <c r="B2063" s="2" t="s">
        <v>13209</v>
      </c>
      <c r="C2063" s="5" t="s">
        <v>2128</v>
      </c>
      <c r="D2063" s="5" t="s">
        <v>62</v>
      </c>
      <c r="E2063" s="5" t="n">
        <v>7</v>
      </c>
      <c r="F2063" s="5" t="s">
        <v>1814</v>
      </c>
      <c r="G2063" s="2" t="s">
        <v>367</v>
      </c>
      <c r="H2063" s="5" t="s">
        <v>8336</v>
      </c>
      <c r="I2063" s="5"/>
      <c r="J2063" s="5"/>
      <c r="K2063" s="5" t="s">
        <v>13210</v>
      </c>
    </row>
    <row r="2064" customFormat="false" ht="46.25" hidden="false" customHeight="false" outlineLevel="0" collapsed="false">
      <c r="A2064" s="5" t="s">
        <v>13211</v>
      </c>
      <c r="B2064" s="2" t="s">
        <v>13212</v>
      </c>
      <c r="C2064" s="5" t="s">
        <v>2245</v>
      </c>
      <c r="D2064" s="5" t="s">
        <v>62</v>
      </c>
      <c r="E2064" s="5" t="n">
        <v>7</v>
      </c>
      <c r="F2064" s="5" t="s">
        <v>67</v>
      </c>
      <c r="G2064" s="2" t="s">
        <v>12057</v>
      </c>
      <c r="H2064" s="5" t="s">
        <v>8336</v>
      </c>
      <c r="I2064" s="5"/>
      <c r="J2064" s="5"/>
      <c r="K2064" s="5" t="s">
        <v>13213</v>
      </c>
    </row>
    <row r="2065" customFormat="false" ht="15" hidden="false" customHeight="false" outlineLevel="0" collapsed="false">
      <c r="A2065" s="5" t="s">
        <v>13214</v>
      </c>
      <c r="B2065" s="2" t="s">
        <v>13215</v>
      </c>
      <c r="C2065" s="5" t="s">
        <v>2128</v>
      </c>
      <c r="D2065" s="5" t="s">
        <v>62</v>
      </c>
      <c r="E2065" s="5" t="n">
        <v>7</v>
      </c>
      <c r="F2065" s="5" t="s">
        <v>90</v>
      </c>
      <c r="G2065" s="2" t="s">
        <v>367</v>
      </c>
      <c r="H2065" s="5" t="s">
        <v>8336</v>
      </c>
      <c r="I2065" s="5"/>
      <c r="J2065" s="5"/>
      <c r="K2065" s="5" t="s">
        <v>13216</v>
      </c>
    </row>
    <row r="2066" customFormat="false" ht="15" hidden="false" customHeight="false" outlineLevel="0" collapsed="false">
      <c r="A2066" s="5" t="s">
        <v>13217</v>
      </c>
      <c r="B2066" s="2" t="s">
        <v>13218</v>
      </c>
      <c r="C2066" s="5" t="s">
        <v>2128</v>
      </c>
      <c r="D2066" s="5" t="s">
        <v>62</v>
      </c>
      <c r="E2066" s="5" t="n">
        <v>7</v>
      </c>
      <c r="F2066" s="5" t="s">
        <v>67</v>
      </c>
      <c r="G2066" s="2" t="s">
        <v>367</v>
      </c>
      <c r="H2066" s="5" t="s">
        <v>8336</v>
      </c>
      <c r="I2066" s="5"/>
      <c r="J2066" s="5"/>
      <c r="K2066" s="5" t="s">
        <v>13219</v>
      </c>
    </row>
    <row r="2067" customFormat="false" ht="15" hidden="false" customHeight="false" outlineLevel="0" collapsed="false">
      <c r="A2067" s="5" t="s">
        <v>13220</v>
      </c>
      <c r="B2067" s="2" t="s">
        <v>13221</v>
      </c>
      <c r="C2067" s="5" t="s">
        <v>2128</v>
      </c>
      <c r="D2067" s="5" t="s">
        <v>62</v>
      </c>
      <c r="E2067" s="5" t="n">
        <v>7</v>
      </c>
      <c r="F2067" s="5" t="s">
        <v>67</v>
      </c>
      <c r="G2067" s="2" t="s">
        <v>367</v>
      </c>
      <c r="H2067" s="5" t="s">
        <v>8336</v>
      </c>
      <c r="I2067" s="5"/>
      <c r="J2067" s="5"/>
      <c r="K2067" s="5" t="s">
        <v>13222</v>
      </c>
    </row>
    <row r="2068" customFormat="false" ht="15" hidden="false" customHeight="false" outlineLevel="0" collapsed="false">
      <c r="A2068" s="5" t="s">
        <v>13223</v>
      </c>
      <c r="B2068" s="2" t="s">
        <v>13224</v>
      </c>
      <c r="C2068" s="5" t="s">
        <v>2128</v>
      </c>
      <c r="D2068" s="5" t="s">
        <v>62</v>
      </c>
      <c r="E2068" s="5" t="n">
        <v>7</v>
      </c>
      <c r="F2068" s="5" t="s">
        <v>67</v>
      </c>
      <c r="G2068" s="2" t="s">
        <v>367</v>
      </c>
      <c r="H2068" s="5" t="s">
        <v>8336</v>
      </c>
      <c r="I2068" s="5"/>
      <c r="J2068" s="5"/>
      <c r="K2068" s="5" t="s">
        <v>13225</v>
      </c>
    </row>
    <row r="2069" customFormat="false" ht="15" hidden="false" customHeight="false" outlineLevel="0" collapsed="false">
      <c r="A2069" s="5" t="s">
        <v>3661</v>
      </c>
      <c r="B2069" s="2" t="s">
        <v>3662</v>
      </c>
      <c r="C2069" s="5" t="s">
        <v>2128</v>
      </c>
      <c r="D2069" s="5" t="s">
        <v>62</v>
      </c>
      <c r="E2069" s="5" t="n">
        <v>5</v>
      </c>
      <c r="F2069" s="5" t="s">
        <v>90</v>
      </c>
      <c r="G2069" s="2" t="s">
        <v>367</v>
      </c>
      <c r="H2069" s="5" t="s">
        <v>8332</v>
      </c>
      <c r="I2069" s="5" t="s">
        <v>60</v>
      </c>
      <c r="J2069" s="5" t="s">
        <v>751</v>
      </c>
      <c r="K2069" s="5" t="s">
        <v>3665</v>
      </c>
    </row>
    <row r="2070" customFormat="false" ht="15" hidden="false" customHeight="false" outlineLevel="0" collapsed="false">
      <c r="A2070" s="5" t="s">
        <v>3666</v>
      </c>
      <c r="B2070" s="2" t="s">
        <v>3667</v>
      </c>
      <c r="C2070" s="5" t="s">
        <v>2128</v>
      </c>
      <c r="D2070" s="5" t="s">
        <v>62</v>
      </c>
      <c r="E2070" s="5" t="n">
        <v>7</v>
      </c>
      <c r="F2070" s="5" t="s">
        <v>277</v>
      </c>
      <c r="G2070" s="2" t="s">
        <v>367</v>
      </c>
      <c r="H2070" s="5" t="s">
        <v>8332</v>
      </c>
      <c r="I2070" s="5" t="s">
        <v>60</v>
      </c>
      <c r="J2070" s="5" t="s">
        <v>751</v>
      </c>
      <c r="K2070" s="5" t="s">
        <v>3671</v>
      </c>
    </row>
    <row r="2071" customFormat="false" ht="46.25" hidden="false" customHeight="false" outlineLevel="0" collapsed="false">
      <c r="A2071" s="5" t="s">
        <v>6199</v>
      </c>
      <c r="B2071" s="2" t="s">
        <v>6200</v>
      </c>
      <c r="C2071" s="5" t="s">
        <v>2245</v>
      </c>
      <c r="D2071" s="5" t="s">
        <v>62</v>
      </c>
      <c r="E2071" s="5" t="n">
        <v>7</v>
      </c>
      <c r="F2071" s="5" t="s">
        <v>2079</v>
      </c>
      <c r="G2071" s="2" t="s">
        <v>12057</v>
      </c>
      <c r="H2071" s="5" t="s">
        <v>8332</v>
      </c>
      <c r="I2071" s="5" t="s">
        <v>4760</v>
      </c>
      <c r="J2071" s="5" t="s">
        <v>2079</v>
      </c>
      <c r="K2071" s="5" t="s">
        <v>6203</v>
      </c>
    </row>
    <row r="2072" customFormat="false" ht="23.85" hidden="false" customHeight="false" outlineLevel="0" collapsed="false">
      <c r="A2072" s="5" t="s">
        <v>13226</v>
      </c>
      <c r="B2072" s="2" t="s">
        <v>13227</v>
      </c>
      <c r="C2072" s="5" t="s">
        <v>2128</v>
      </c>
      <c r="D2072" s="5" t="s">
        <v>62</v>
      </c>
      <c r="E2072" s="5" t="n">
        <v>9</v>
      </c>
      <c r="F2072" s="5" t="s">
        <v>67</v>
      </c>
      <c r="G2072" s="2" t="s">
        <v>367</v>
      </c>
      <c r="H2072" s="5" t="s">
        <v>8336</v>
      </c>
      <c r="I2072" s="5"/>
      <c r="J2072" s="5"/>
      <c r="K2072" s="5" t="s">
        <v>13228</v>
      </c>
    </row>
    <row r="2073" customFormat="false" ht="46.25" hidden="false" customHeight="false" outlineLevel="0" collapsed="false">
      <c r="A2073" s="5" t="s">
        <v>13229</v>
      </c>
      <c r="B2073" s="2" t="s">
        <v>13230</v>
      </c>
      <c r="C2073" s="5" t="s">
        <v>2245</v>
      </c>
      <c r="D2073" s="5" t="s">
        <v>62</v>
      </c>
      <c r="E2073" s="5" t="n">
        <v>7</v>
      </c>
      <c r="F2073" s="5" t="s">
        <v>277</v>
      </c>
      <c r="G2073" s="2" t="s">
        <v>12057</v>
      </c>
      <c r="H2073" s="5" t="s">
        <v>8336</v>
      </c>
      <c r="I2073" s="5"/>
      <c r="J2073" s="5"/>
      <c r="K2073" s="5" t="s">
        <v>13231</v>
      </c>
    </row>
    <row r="2074" customFormat="false" ht="46.25" hidden="false" customHeight="false" outlineLevel="0" collapsed="false">
      <c r="A2074" s="5" t="s">
        <v>6204</v>
      </c>
      <c r="B2074" s="2" t="s">
        <v>6205</v>
      </c>
      <c r="C2074" s="5" t="s">
        <v>2245</v>
      </c>
      <c r="D2074" s="5" t="s">
        <v>62</v>
      </c>
      <c r="E2074" s="5" t="n">
        <v>7</v>
      </c>
      <c r="F2074" s="5" t="s">
        <v>2079</v>
      </c>
      <c r="G2074" s="2" t="s">
        <v>12057</v>
      </c>
      <c r="H2074" s="5" t="s">
        <v>8332</v>
      </c>
      <c r="I2074" s="5" t="s">
        <v>4760</v>
      </c>
      <c r="J2074" s="5" t="s">
        <v>2079</v>
      </c>
      <c r="K2074" s="5" t="s">
        <v>6208</v>
      </c>
    </row>
    <row r="2075" customFormat="false" ht="23.85" hidden="false" customHeight="false" outlineLevel="0" collapsed="false">
      <c r="A2075" s="5" t="s">
        <v>13232</v>
      </c>
      <c r="B2075" s="2" t="s">
        <v>13233</v>
      </c>
      <c r="C2075" s="5" t="s">
        <v>2128</v>
      </c>
      <c r="D2075" s="5" t="s">
        <v>62</v>
      </c>
      <c r="E2075" s="5" t="n">
        <v>7</v>
      </c>
      <c r="F2075" s="5" t="s">
        <v>90</v>
      </c>
      <c r="G2075" s="2" t="s">
        <v>367</v>
      </c>
      <c r="H2075" s="5" t="s">
        <v>8336</v>
      </c>
      <c r="I2075" s="5"/>
      <c r="J2075" s="5"/>
      <c r="K2075" s="5" t="s">
        <v>13234</v>
      </c>
    </row>
    <row r="2076" customFormat="false" ht="23.85" hidden="false" customHeight="false" outlineLevel="0" collapsed="false">
      <c r="A2076" s="5" t="s">
        <v>13235</v>
      </c>
      <c r="B2076" s="2" t="s">
        <v>13236</v>
      </c>
      <c r="C2076" s="5" t="s">
        <v>2128</v>
      </c>
      <c r="D2076" s="5" t="s">
        <v>62</v>
      </c>
      <c r="E2076" s="5" t="n">
        <v>7</v>
      </c>
      <c r="F2076" s="5" t="s">
        <v>90</v>
      </c>
      <c r="G2076" s="2" t="s">
        <v>367</v>
      </c>
      <c r="H2076" s="5" t="s">
        <v>8336</v>
      </c>
      <c r="I2076" s="5"/>
      <c r="J2076" s="5"/>
      <c r="K2076" s="5" t="s">
        <v>13237</v>
      </c>
    </row>
    <row r="2077" customFormat="false" ht="23.85" hidden="false" customHeight="false" outlineLevel="0" collapsed="false">
      <c r="A2077" s="5" t="s">
        <v>13238</v>
      </c>
      <c r="B2077" s="2" t="s">
        <v>13239</v>
      </c>
      <c r="C2077" s="5" t="s">
        <v>2128</v>
      </c>
      <c r="D2077" s="5" t="s">
        <v>62</v>
      </c>
      <c r="E2077" s="5" t="n">
        <v>9</v>
      </c>
      <c r="F2077" s="5" t="s">
        <v>90</v>
      </c>
      <c r="G2077" s="2" t="s">
        <v>367</v>
      </c>
      <c r="H2077" s="5" t="s">
        <v>8336</v>
      </c>
      <c r="I2077" s="5"/>
      <c r="J2077" s="5"/>
      <c r="K2077" s="5" t="s">
        <v>13240</v>
      </c>
    </row>
    <row r="2078" customFormat="false" ht="46.25" hidden="false" customHeight="false" outlineLevel="0" collapsed="false">
      <c r="A2078" s="5" t="s">
        <v>3672</v>
      </c>
      <c r="B2078" s="2" t="s">
        <v>3673</v>
      </c>
      <c r="C2078" s="5" t="s">
        <v>2245</v>
      </c>
      <c r="D2078" s="5" t="s">
        <v>62</v>
      </c>
      <c r="E2078" s="5" t="n">
        <v>7</v>
      </c>
      <c r="F2078" s="5" t="s">
        <v>90</v>
      </c>
      <c r="G2078" s="2" t="s">
        <v>12057</v>
      </c>
      <c r="H2078" s="5" t="s">
        <v>8332</v>
      </c>
      <c r="I2078" s="5" t="s">
        <v>60</v>
      </c>
      <c r="J2078" s="5" t="s">
        <v>751</v>
      </c>
      <c r="K2078" s="5" t="s">
        <v>3676</v>
      </c>
    </row>
    <row r="2079" customFormat="false" ht="15" hidden="false" customHeight="false" outlineLevel="0" collapsed="false">
      <c r="A2079" s="5" t="s">
        <v>13241</v>
      </c>
      <c r="B2079" s="2" t="s">
        <v>13242</v>
      </c>
      <c r="C2079" s="5" t="s">
        <v>2128</v>
      </c>
      <c r="D2079" s="5" t="s">
        <v>62</v>
      </c>
      <c r="E2079" s="5" t="n">
        <v>7</v>
      </c>
      <c r="F2079" s="5" t="s">
        <v>67</v>
      </c>
      <c r="G2079" s="2" t="s">
        <v>367</v>
      </c>
      <c r="H2079" s="5" t="s">
        <v>8336</v>
      </c>
      <c r="I2079" s="5"/>
      <c r="J2079" s="5"/>
      <c r="K2079" s="5" t="s">
        <v>13243</v>
      </c>
    </row>
    <row r="2080" customFormat="false" ht="15" hidden="false" customHeight="false" outlineLevel="0" collapsed="false">
      <c r="A2080" s="5" t="s">
        <v>13244</v>
      </c>
      <c r="B2080" s="2" t="s">
        <v>13245</v>
      </c>
      <c r="C2080" s="5" t="s">
        <v>2128</v>
      </c>
      <c r="D2080" s="5" t="s">
        <v>62</v>
      </c>
      <c r="E2080" s="5" t="n">
        <v>7</v>
      </c>
      <c r="F2080" s="5" t="s">
        <v>67</v>
      </c>
      <c r="G2080" s="2" t="s">
        <v>367</v>
      </c>
      <c r="H2080" s="5" t="s">
        <v>8336</v>
      </c>
      <c r="I2080" s="5"/>
      <c r="J2080" s="5"/>
      <c r="K2080" s="5" t="s">
        <v>13246</v>
      </c>
    </row>
    <row r="2081" customFormat="false" ht="15" hidden="false" customHeight="false" outlineLevel="0" collapsed="false">
      <c r="A2081" s="5" t="s">
        <v>6209</v>
      </c>
      <c r="B2081" s="2" t="s">
        <v>6210</v>
      </c>
      <c r="C2081" s="5" t="s">
        <v>2128</v>
      </c>
      <c r="D2081" s="5" t="s">
        <v>62</v>
      </c>
      <c r="E2081" s="5" t="n">
        <v>9</v>
      </c>
      <c r="F2081" s="5" t="s">
        <v>481</v>
      </c>
      <c r="G2081" s="2" t="s">
        <v>367</v>
      </c>
      <c r="H2081" s="5" t="s">
        <v>8332</v>
      </c>
      <c r="I2081" s="5" t="s">
        <v>4760</v>
      </c>
      <c r="J2081" s="5" t="s">
        <v>481</v>
      </c>
      <c r="K2081" s="5" t="s">
        <v>6213</v>
      </c>
    </row>
    <row r="2082" customFormat="false" ht="15" hidden="false" customHeight="false" outlineLevel="0" collapsed="false">
      <c r="A2082" s="5" t="s">
        <v>3677</v>
      </c>
      <c r="B2082" s="2" t="s">
        <v>3678</v>
      </c>
      <c r="C2082" s="5" t="s">
        <v>2128</v>
      </c>
      <c r="D2082" s="5" t="s">
        <v>62</v>
      </c>
      <c r="E2082" s="5" t="n">
        <v>7</v>
      </c>
      <c r="F2082" s="5" t="s">
        <v>277</v>
      </c>
      <c r="G2082" s="2" t="s">
        <v>367</v>
      </c>
      <c r="H2082" s="5" t="s">
        <v>8332</v>
      </c>
      <c r="I2082" s="5" t="s">
        <v>60</v>
      </c>
      <c r="J2082" s="5" t="s">
        <v>751</v>
      </c>
      <c r="K2082" s="5" t="s">
        <v>3681</v>
      </c>
    </row>
    <row r="2083" customFormat="false" ht="15" hidden="false" customHeight="false" outlineLevel="0" collapsed="false">
      <c r="A2083" s="5" t="s">
        <v>3682</v>
      </c>
      <c r="B2083" s="2" t="s">
        <v>3683</v>
      </c>
      <c r="C2083" s="5" t="s">
        <v>2128</v>
      </c>
      <c r="D2083" s="5" t="s">
        <v>62</v>
      </c>
      <c r="E2083" s="5" t="n">
        <v>7</v>
      </c>
      <c r="F2083" s="5" t="s">
        <v>67</v>
      </c>
      <c r="G2083" s="2" t="s">
        <v>367</v>
      </c>
      <c r="H2083" s="5" t="s">
        <v>8332</v>
      </c>
      <c r="I2083" s="5" t="s">
        <v>60</v>
      </c>
      <c r="J2083" s="5" t="s">
        <v>161</v>
      </c>
      <c r="K2083" s="5" t="s">
        <v>3687</v>
      </c>
    </row>
    <row r="2084" customFormat="false" ht="23.85" hidden="false" customHeight="false" outlineLevel="0" collapsed="false">
      <c r="A2084" s="5" t="s">
        <v>1394</v>
      </c>
      <c r="B2084" s="2" t="s">
        <v>1395</v>
      </c>
      <c r="C2084" s="5" t="s">
        <v>488</v>
      </c>
      <c r="D2084" s="5" t="s">
        <v>62</v>
      </c>
      <c r="E2084" s="5" t="n">
        <v>9</v>
      </c>
      <c r="F2084" s="5" t="s">
        <v>100</v>
      </c>
      <c r="G2084" s="2" t="s">
        <v>367</v>
      </c>
      <c r="H2084" s="5" t="s">
        <v>8332</v>
      </c>
      <c r="I2084" s="5" t="s">
        <v>60</v>
      </c>
      <c r="J2084" s="5" t="s">
        <v>1384</v>
      </c>
      <c r="K2084" s="5" t="s">
        <v>1399</v>
      </c>
    </row>
    <row r="2085" customFormat="false" ht="15" hidden="false" customHeight="false" outlineLevel="0" collapsed="false">
      <c r="A2085" s="5" t="s">
        <v>13247</v>
      </c>
      <c r="B2085" s="2" t="s">
        <v>13248</v>
      </c>
      <c r="C2085" s="5" t="s">
        <v>2128</v>
      </c>
      <c r="D2085" s="5" t="s">
        <v>62</v>
      </c>
      <c r="E2085" s="5" t="n">
        <v>7</v>
      </c>
      <c r="F2085" s="5" t="s">
        <v>277</v>
      </c>
      <c r="G2085" s="2" t="s">
        <v>367</v>
      </c>
      <c r="H2085" s="5" t="s">
        <v>8336</v>
      </c>
      <c r="I2085" s="5"/>
      <c r="J2085" s="5"/>
      <c r="K2085" s="5" t="s">
        <v>13249</v>
      </c>
    </row>
    <row r="2086" customFormat="false" ht="46.25" hidden="false" customHeight="false" outlineLevel="0" collapsed="false">
      <c r="A2086" s="5" t="s">
        <v>3688</v>
      </c>
      <c r="B2086" s="2" t="s">
        <v>3689</v>
      </c>
      <c r="C2086" s="5" t="s">
        <v>2245</v>
      </c>
      <c r="D2086" s="5" t="s">
        <v>62</v>
      </c>
      <c r="E2086" s="5" t="n">
        <v>7</v>
      </c>
      <c r="F2086" s="5" t="s">
        <v>100</v>
      </c>
      <c r="G2086" s="2" t="s">
        <v>12057</v>
      </c>
      <c r="H2086" s="5" t="s">
        <v>8332</v>
      </c>
      <c r="I2086" s="5" t="s">
        <v>60</v>
      </c>
      <c r="J2086" s="5" t="s">
        <v>1104</v>
      </c>
      <c r="K2086" s="5" t="s">
        <v>3692</v>
      </c>
    </row>
    <row r="2087" customFormat="false" ht="46.25" hidden="false" customHeight="false" outlineLevel="0" collapsed="false">
      <c r="A2087" s="5" t="s">
        <v>3693</v>
      </c>
      <c r="B2087" s="2" t="s">
        <v>3694</v>
      </c>
      <c r="C2087" s="5" t="s">
        <v>2245</v>
      </c>
      <c r="D2087" s="5" t="s">
        <v>62</v>
      </c>
      <c r="E2087" s="5" t="n">
        <v>7</v>
      </c>
      <c r="F2087" s="5" t="s">
        <v>100</v>
      </c>
      <c r="G2087" s="2" t="s">
        <v>12054</v>
      </c>
      <c r="H2087" s="5" t="s">
        <v>8332</v>
      </c>
      <c r="I2087" s="5" t="s">
        <v>60</v>
      </c>
      <c r="J2087" s="5" t="s">
        <v>1104</v>
      </c>
      <c r="K2087" s="5" t="s">
        <v>3697</v>
      </c>
    </row>
    <row r="2088" customFormat="false" ht="23.85" hidden="false" customHeight="false" outlineLevel="0" collapsed="false">
      <c r="A2088" s="5" t="s">
        <v>13250</v>
      </c>
      <c r="B2088" s="2" t="s">
        <v>13251</v>
      </c>
      <c r="C2088" s="5" t="s">
        <v>2128</v>
      </c>
      <c r="D2088" s="5" t="s">
        <v>62</v>
      </c>
      <c r="E2088" s="5" t="n">
        <v>7</v>
      </c>
      <c r="F2088" s="5" t="s">
        <v>90</v>
      </c>
      <c r="G2088" s="2" t="s">
        <v>367</v>
      </c>
      <c r="H2088" s="5" t="s">
        <v>8336</v>
      </c>
      <c r="I2088" s="5"/>
      <c r="J2088" s="5"/>
      <c r="K2088" s="5" t="s">
        <v>13252</v>
      </c>
    </row>
    <row r="2089" customFormat="false" ht="46.25" hidden="false" customHeight="false" outlineLevel="0" collapsed="false">
      <c r="A2089" s="5" t="s">
        <v>6214</v>
      </c>
      <c r="B2089" s="2" t="s">
        <v>6215</v>
      </c>
      <c r="C2089" s="5" t="s">
        <v>2245</v>
      </c>
      <c r="D2089" s="5" t="s">
        <v>490</v>
      </c>
      <c r="E2089" s="5" t="n">
        <v>7</v>
      </c>
      <c r="F2089" s="5" t="s">
        <v>100</v>
      </c>
      <c r="G2089" s="2" t="s">
        <v>12057</v>
      </c>
      <c r="H2089" s="5" t="s">
        <v>8332</v>
      </c>
      <c r="I2089" s="5" t="s">
        <v>4760</v>
      </c>
      <c r="J2089" s="5" t="s">
        <v>100</v>
      </c>
      <c r="K2089" s="5" t="s">
        <v>6219</v>
      </c>
    </row>
    <row r="2090" customFormat="false" ht="23.85" hidden="false" customHeight="false" outlineLevel="0" collapsed="false">
      <c r="A2090" s="5" t="s">
        <v>3698</v>
      </c>
      <c r="B2090" s="2" t="s">
        <v>3699</v>
      </c>
      <c r="C2090" s="5" t="s">
        <v>2128</v>
      </c>
      <c r="D2090" s="5" t="s">
        <v>62</v>
      </c>
      <c r="E2090" s="5" t="n">
        <v>7</v>
      </c>
      <c r="F2090" s="5" t="s">
        <v>67</v>
      </c>
      <c r="G2090" s="2" t="s">
        <v>184</v>
      </c>
      <c r="H2090" s="5" t="s">
        <v>8332</v>
      </c>
      <c r="I2090" s="5" t="s">
        <v>60</v>
      </c>
      <c r="J2090" s="5" t="s">
        <v>269</v>
      </c>
      <c r="K2090" s="5" t="s">
        <v>3704</v>
      </c>
    </row>
    <row r="2091" customFormat="false" ht="46.25" hidden="false" customHeight="false" outlineLevel="0" collapsed="false">
      <c r="A2091" s="5" t="s">
        <v>13253</v>
      </c>
      <c r="B2091" s="2" t="s">
        <v>13254</v>
      </c>
      <c r="C2091" s="5" t="s">
        <v>2245</v>
      </c>
      <c r="D2091" s="5" t="s">
        <v>62</v>
      </c>
      <c r="E2091" s="5" t="n">
        <v>7</v>
      </c>
      <c r="F2091" s="5" t="s">
        <v>413</v>
      </c>
      <c r="G2091" s="2" t="s">
        <v>12077</v>
      </c>
      <c r="H2091" s="5" t="s">
        <v>8336</v>
      </c>
      <c r="I2091" s="5"/>
      <c r="J2091" s="5"/>
      <c r="K2091" s="5" t="s">
        <v>13255</v>
      </c>
    </row>
    <row r="2092" customFormat="false" ht="15" hidden="false" customHeight="false" outlineLevel="0" collapsed="false">
      <c r="A2092" s="5" t="s">
        <v>1400</v>
      </c>
      <c r="B2092" s="2" t="s">
        <v>1401</v>
      </c>
      <c r="C2092" s="5" t="s">
        <v>488</v>
      </c>
      <c r="D2092" s="5" t="s">
        <v>62</v>
      </c>
      <c r="E2092" s="5" t="n">
        <v>7</v>
      </c>
      <c r="F2092" s="5" t="s">
        <v>413</v>
      </c>
      <c r="G2092" s="2" t="s">
        <v>367</v>
      </c>
      <c r="H2092" s="5" t="s">
        <v>8332</v>
      </c>
      <c r="I2092" s="5" t="s">
        <v>60</v>
      </c>
      <c r="J2092" s="5"/>
      <c r="K2092" s="5" t="s">
        <v>1406</v>
      </c>
    </row>
    <row r="2093" customFormat="false" ht="23.85" hidden="false" customHeight="false" outlineLevel="0" collapsed="false">
      <c r="A2093" s="5" t="s">
        <v>13256</v>
      </c>
      <c r="B2093" s="2" t="s">
        <v>13257</v>
      </c>
      <c r="C2093" s="5" t="s">
        <v>2128</v>
      </c>
      <c r="D2093" s="5" t="s">
        <v>62</v>
      </c>
      <c r="E2093" s="5" t="n">
        <v>5</v>
      </c>
      <c r="F2093" s="5" t="s">
        <v>413</v>
      </c>
      <c r="G2093" s="2" t="s">
        <v>367</v>
      </c>
      <c r="H2093" s="5" t="s">
        <v>8336</v>
      </c>
      <c r="I2093" s="5"/>
      <c r="J2093" s="5"/>
      <c r="K2093" s="5" t="s">
        <v>13258</v>
      </c>
    </row>
    <row r="2094" customFormat="false" ht="23.85" hidden="false" customHeight="false" outlineLevel="0" collapsed="false">
      <c r="A2094" s="5" t="s">
        <v>1407</v>
      </c>
      <c r="B2094" s="2" t="s">
        <v>1408</v>
      </c>
      <c r="C2094" s="5" t="s">
        <v>488</v>
      </c>
      <c r="D2094" s="5" t="s">
        <v>62</v>
      </c>
      <c r="E2094" s="5" t="n">
        <v>5</v>
      </c>
      <c r="F2094" s="5" t="s">
        <v>100</v>
      </c>
      <c r="G2094" s="2" t="s">
        <v>367</v>
      </c>
      <c r="H2094" s="5" t="s">
        <v>8332</v>
      </c>
      <c r="I2094" s="5" t="s">
        <v>60</v>
      </c>
      <c r="J2094" s="5" t="s">
        <v>100</v>
      </c>
      <c r="K2094" s="5" t="s">
        <v>1412</v>
      </c>
    </row>
    <row r="2095" customFormat="false" ht="15" hidden="false" customHeight="false" outlineLevel="0" collapsed="false">
      <c r="A2095" s="5" t="s">
        <v>13259</v>
      </c>
      <c r="B2095" s="2" t="s">
        <v>13260</v>
      </c>
      <c r="C2095" s="5" t="s">
        <v>2128</v>
      </c>
      <c r="D2095" s="5" t="s">
        <v>62</v>
      </c>
      <c r="E2095" s="5" t="n">
        <v>5</v>
      </c>
      <c r="F2095" s="5" t="s">
        <v>67</v>
      </c>
      <c r="G2095" s="2" t="s">
        <v>367</v>
      </c>
      <c r="H2095" s="5" t="s">
        <v>8336</v>
      </c>
      <c r="I2095" s="5"/>
      <c r="J2095" s="5"/>
      <c r="K2095" s="5" t="s">
        <v>13261</v>
      </c>
    </row>
    <row r="2096" customFormat="false" ht="46.25" hidden="false" customHeight="false" outlineLevel="0" collapsed="false">
      <c r="A2096" s="5" t="s">
        <v>13262</v>
      </c>
      <c r="B2096" s="2" t="s">
        <v>13263</v>
      </c>
      <c r="C2096" s="5" t="s">
        <v>2245</v>
      </c>
      <c r="D2096" s="5" t="s">
        <v>62</v>
      </c>
      <c r="E2096" s="5" t="n">
        <v>5</v>
      </c>
      <c r="F2096" s="5" t="s">
        <v>67</v>
      </c>
      <c r="G2096" s="2" t="s">
        <v>12057</v>
      </c>
      <c r="H2096" s="5" t="s">
        <v>8336</v>
      </c>
      <c r="I2096" s="5"/>
      <c r="J2096" s="5"/>
      <c r="K2096" s="5" t="s">
        <v>13264</v>
      </c>
    </row>
    <row r="2097" customFormat="false" ht="23.85" hidden="false" customHeight="false" outlineLevel="0" collapsed="false">
      <c r="A2097" s="5" t="s">
        <v>3705</v>
      </c>
      <c r="B2097" s="2" t="s">
        <v>3706</v>
      </c>
      <c r="C2097" s="5" t="s">
        <v>2128</v>
      </c>
      <c r="D2097" s="5" t="s">
        <v>62</v>
      </c>
      <c r="E2097" s="5" t="n">
        <v>7</v>
      </c>
      <c r="F2097" s="5" t="s">
        <v>90</v>
      </c>
      <c r="G2097" s="2" t="s">
        <v>184</v>
      </c>
      <c r="H2097" s="5" t="s">
        <v>8332</v>
      </c>
      <c r="I2097" s="5" t="s">
        <v>60</v>
      </c>
      <c r="J2097" s="5" t="s">
        <v>182</v>
      </c>
      <c r="K2097" s="5" t="s">
        <v>3709</v>
      </c>
    </row>
    <row r="2098" customFormat="false" ht="15" hidden="false" customHeight="false" outlineLevel="0" collapsed="false">
      <c r="A2098" s="5" t="s">
        <v>13265</v>
      </c>
      <c r="B2098" s="2" t="s">
        <v>13266</v>
      </c>
      <c r="C2098" s="5" t="s">
        <v>2128</v>
      </c>
      <c r="D2098" s="5" t="s">
        <v>62</v>
      </c>
      <c r="E2098" s="5" t="n">
        <v>5</v>
      </c>
      <c r="F2098" s="5" t="s">
        <v>413</v>
      </c>
      <c r="G2098" s="2" t="s">
        <v>367</v>
      </c>
      <c r="H2098" s="5" t="s">
        <v>8336</v>
      </c>
      <c r="I2098" s="5"/>
      <c r="J2098" s="5"/>
      <c r="K2098" s="5" t="s">
        <v>13267</v>
      </c>
    </row>
    <row r="2099" customFormat="false" ht="46.25" hidden="false" customHeight="false" outlineLevel="0" collapsed="false">
      <c r="A2099" s="5" t="s">
        <v>13268</v>
      </c>
      <c r="B2099" s="2" t="s">
        <v>13269</v>
      </c>
      <c r="C2099" s="5" t="s">
        <v>2245</v>
      </c>
      <c r="D2099" s="5" t="s">
        <v>62</v>
      </c>
      <c r="E2099" s="5" t="n">
        <v>7</v>
      </c>
      <c r="F2099" s="5" t="s">
        <v>90</v>
      </c>
      <c r="G2099" s="2" t="s">
        <v>12057</v>
      </c>
      <c r="H2099" s="5" t="s">
        <v>8336</v>
      </c>
      <c r="I2099" s="5"/>
      <c r="J2099" s="5"/>
      <c r="K2099" s="5" t="s">
        <v>13270</v>
      </c>
    </row>
    <row r="2100" customFormat="false" ht="15" hidden="false" customHeight="false" outlineLevel="0" collapsed="false">
      <c r="A2100" s="5" t="s">
        <v>13271</v>
      </c>
      <c r="B2100" s="2" t="s">
        <v>13272</v>
      </c>
      <c r="C2100" s="5" t="s">
        <v>2128</v>
      </c>
      <c r="D2100" s="5" t="s">
        <v>62</v>
      </c>
      <c r="E2100" s="5" t="n">
        <v>5</v>
      </c>
      <c r="F2100" s="5" t="s">
        <v>67</v>
      </c>
      <c r="G2100" s="2" t="s">
        <v>367</v>
      </c>
      <c r="H2100" s="5" t="s">
        <v>8336</v>
      </c>
      <c r="I2100" s="5"/>
      <c r="J2100" s="5"/>
      <c r="K2100" s="5" t="s">
        <v>13273</v>
      </c>
    </row>
    <row r="2101" customFormat="false" ht="46.25" hidden="false" customHeight="false" outlineLevel="0" collapsed="false">
      <c r="A2101" s="5" t="s">
        <v>13274</v>
      </c>
      <c r="B2101" s="2" t="s">
        <v>13275</v>
      </c>
      <c r="C2101" s="5" t="s">
        <v>2245</v>
      </c>
      <c r="D2101" s="5" t="s">
        <v>62</v>
      </c>
      <c r="E2101" s="5" t="n">
        <v>5</v>
      </c>
      <c r="F2101" s="5" t="s">
        <v>67</v>
      </c>
      <c r="G2101" s="2" t="s">
        <v>12057</v>
      </c>
      <c r="H2101" s="5" t="s">
        <v>8336</v>
      </c>
      <c r="I2101" s="5"/>
      <c r="J2101" s="5"/>
      <c r="K2101" s="5" t="s">
        <v>13276</v>
      </c>
    </row>
    <row r="2102" customFormat="false" ht="15" hidden="false" customHeight="false" outlineLevel="0" collapsed="false">
      <c r="A2102" s="5" t="s">
        <v>1413</v>
      </c>
      <c r="B2102" s="2" t="s">
        <v>1414</v>
      </c>
      <c r="C2102" s="5" t="s">
        <v>488</v>
      </c>
      <c r="D2102" s="5" t="s">
        <v>62</v>
      </c>
      <c r="E2102" s="5" t="n">
        <v>7</v>
      </c>
      <c r="F2102" s="5" t="s">
        <v>100</v>
      </c>
      <c r="G2102" s="2" t="s">
        <v>367</v>
      </c>
      <c r="H2102" s="5" t="s">
        <v>8332</v>
      </c>
      <c r="I2102" s="5" t="s">
        <v>60</v>
      </c>
      <c r="J2102" s="5" t="s">
        <v>100</v>
      </c>
      <c r="K2102" s="5" t="s">
        <v>1417</v>
      </c>
    </row>
    <row r="2103" customFormat="false" ht="46.25" hidden="false" customHeight="false" outlineLevel="0" collapsed="false">
      <c r="A2103" s="5" t="s">
        <v>3710</v>
      </c>
      <c r="B2103" s="2" t="s">
        <v>3711</v>
      </c>
      <c r="C2103" s="5" t="s">
        <v>2245</v>
      </c>
      <c r="D2103" s="5" t="s">
        <v>490</v>
      </c>
      <c r="E2103" s="5" t="n">
        <v>7</v>
      </c>
      <c r="F2103" s="5" t="s">
        <v>481</v>
      </c>
      <c r="G2103" s="2" t="s">
        <v>12057</v>
      </c>
      <c r="H2103" s="5" t="s">
        <v>8332</v>
      </c>
      <c r="I2103" s="5" t="s">
        <v>60</v>
      </c>
      <c r="J2103" s="5" t="s">
        <v>3712</v>
      </c>
      <c r="K2103" s="5" t="s">
        <v>3715</v>
      </c>
    </row>
    <row r="2104" customFormat="false" ht="23.85" hidden="false" customHeight="false" outlineLevel="0" collapsed="false">
      <c r="A2104" s="5" t="s">
        <v>13277</v>
      </c>
      <c r="B2104" s="2" t="s">
        <v>13278</v>
      </c>
      <c r="C2104" s="5" t="s">
        <v>2128</v>
      </c>
      <c r="D2104" s="5" t="s">
        <v>62</v>
      </c>
      <c r="E2104" s="5" t="n">
        <v>7</v>
      </c>
      <c r="F2104" s="5" t="s">
        <v>544</v>
      </c>
      <c r="G2104" s="2" t="s">
        <v>367</v>
      </c>
      <c r="H2104" s="5" t="s">
        <v>8336</v>
      </c>
      <c r="I2104" s="5"/>
      <c r="J2104" s="5"/>
      <c r="K2104" s="5" t="s">
        <v>13279</v>
      </c>
    </row>
    <row r="2105" customFormat="false" ht="46.25" hidden="false" customHeight="false" outlineLevel="0" collapsed="false">
      <c r="A2105" s="5" t="s">
        <v>13280</v>
      </c>
      <c r="B2105" s="2" t="s">
        <v>13281</v>
      </c>
      <c r="C2105" s="5" t="s">
        <v>2245</v>
      </c>
      <c r="D2105" s="5" t="s">
        <v>490</v>
      </c>
      <c r="E2105" s="5" t="n">
        <v>7</v>
      </c>
      <c r="F2105" s="5" t="s">
        <v>90</v>
      </c>
      <c r="G2105" s="2" t="s">
        <v>12174</v>
      </c>
      <c r="H2105" s="5" t="s">
        <v>8336</v>
      </c>
      <c r="I2105" s="5"/>
      <c r="J2105" s="5"/>
      <c r="K2105" s="5" t="s">
        <v>13282</v>
      </c>
    </row>
    <row r="2106" customFormat="false" ht="23.85" hidden="false" customHeight="false" outlineLevel="0" collapsed="false">
      <c r="A2106" s="5" t="s">
        <v>3716</v>
      </c>
      <c r="B2106" s="2" t="s">
        <v>3717</v>
      </c>
      <c r="C2106" s="5" t="s">
        <v>2128</v>
      </c>
      <c r="D2106" s="5" t="s">
        <v>62</v>
      </c>
      <c r="E2106" s="5" t="n">
        <v>7</v>
      </c>
      <c r="F2106" s="5" t="s">
        <v>90</v>
      </c>
      <c r="G2106" s="2" t="s">
        <v>184</v>
      </c>
      <c r="H2106" s="5" t="s">
        <v>8332</v>
      </c>
      <c r="I2106" s="5" t="s">
        <v>60</v>
      </c>
      <c r="J2106" s="5" t="s">
        <v>269</v>
      </c>
      <c r="K2106" s="5" t="s">
        <v>3722</v>
      </c>
    </row>
    <row r="2107" customFormat="false" ht="23.85" hidden="false" customHeight="false" outlineLevel="0" collapsed="false">
      <c r="A2107" s="5" t="s">
        <v>13283</v>
      </c>
      <c r="B2107" s="2" t="s">
        <v>13284</v>
      </c>
      <c r="C2107" s="5" t="s">
        <v>2128</v>
      </c>
      <c r="D2107" s="5" t="s">
        <v>62</v>
      </c>
      <c r="E2107" s="5" t="n">
        <v>7</v>
      </c>
      <c r="F2107" s="5" t="s">
        <v>90</v>
      </c>
      <c r="G2107" s="2" t="s">
        <v>367</v>
      </c>
      <c r="H2107" s="5" t="s">
        <v>8336</v>
      </c>
      <c r="I2107" s="5"/>
      <c r="J2107" s="5"/>
      <c r="K2107" s="5" t="s">
        <v>13285</v>
      </c>
    </row>
    <row r="2108" customFormat="false" ht="46.25" hidden="false" customHeight="false" outlineLevel="0" collapsed="false">
      <c r="A2108" s="5" t="s">
        <v>13286</v>
      </c>
      <c r="B2108" s="2" t="s">
        <v>13287</v>
      </c>
      <c r="C2108" s="5" t="s">
        <v>2245</v>
      </c>
      <c r="D2108" s="5" t="s">
        <v>490</v>
      </c>
      <c r="E2108" s="5" t="n">
        <v>7</v>
      </c>
      <c r="F2108" s="5" t="s">
        <v>90</v>
      </c>
      <c r="G2108" s="2" t="s">
        <v>12174</v>
      </c>
      <c r="H2108" s="5" t="s">
        <v>8336</v>
      </c>
      <c r="I2108" s="5"/>
      <c r="J2108" s="5"/>
      <c r="K2108" s="5" t="s">
        <v>13288</v>
      </c>
    </row>
    <row r="2109" customFormat="false" ht="15" hidden="false" customHeight="false" outlineLevel="0" collapsed="false">
      <c r="A2109" s="5" t="s">
        <v>1418</v>
      </c>
      <c r="B2109" s="2" t="s">
        <v>1419</v>
      </c>
      <c r="C2109" s="5" t="s">
        <v>488</v>
      </c>
      <c r="D2109" s="5" t="s">
        <v>62</v>
      </c>
      <c r="E2109" s="5" t="n">
        <v>7</v>
      </c>
      <c r="F2109" s="5" t="s">
        <v>100</v>
      </c>
      <c r="G2109" s="2" t="s">
        <v>367</v>
      </c>
      <c r="H2109" s="5" t="s">
        <v>8332</v>
      </c>
      <c r="I2109" s="5" t="s">
        <v>60</v>
      </c>
      <c r="J2109" s="5" t="s">
        <v>100</v>
      </c>
      <c r="K2109" s="5" t="s">
        <v>1422</v>
      </c>
    </row>
    <row r="2110" customFormat="false" ht="46.25" hidden="false" customHeight="false" outlineLevel="0" collapsed="false">
      <c r="A2110" s="5" t="s">
        <v>13289</v>
      </c>
      <c r="B2110" s="2" t="s">
        <v>13290</v>
      </c>
      <c r="C2110" s="5" t="s">
        <v>2245</v>
      </c>
      <c r="D2110" s="5" t="s">
        <v>62</v>
      </c>
      <c r="E2110" s="5" t="n">
        <v>7</v>
      </c>
      <c r="F2110" s="5" t="s">
        <v>90</v>
      </c>
      <c r="G2110" s="2" t="s">
        <v>12057</v>
      </c>
      <c r="H2110" s="5" t="s">
        <v>8336</v>
      </c>
      <c r="I2110" s="5"/>
      <c r="J2110" s="5"/>
      <c r="K2110" s="5" t="s">
        <v>13291</v>
      </c>
    </row>
    <row r="2111" customFormat="false" ht="46.25" hidden="false" customHeight="false" outlineLevel="0" collapsed="false">
      <c r="A2111" s="5" t="s">
        <v>13292</v>
      </c>
      <c r="B2111" s="2" t="s">
        <v>13293</v>
      </c>
      <c r="C2111" s="5" t="s">
        <v>2128</v>
      </c>
      <c r="D2111" s="5" t="s">
        <v>490</v>
      </c>
      <c r="E2111" s="5" t="n">
        <v>7</v>
      </c>
      <c r="F2111" s="5" t="s">
        <v>90</v>
      </c>
      <c r="G2111" s="2" t="s">
        <v>12057</v>
      </c>
      <c r="H2111" s="5" t="s">
        <v>8336</v>
      </c>
      <c r="I2111" s="5"/>
      <c r="J2111" s="5"/>
      <c r="K2111" s="5" t="s">
        <v>13294</v>
      </c>
    </row>
    <row r="2112" customFormat="false" ht="46.25" hidden="false" customHeight="false" outlineLevel="0" collapsed="false">
      <c r="A2112" s="5" t="s">
        <v>13295</v>
      </c>
      <c r="B2112" s="2" t="s">
        <v>13296</v>
      </c>
      <c r="C2112" s="5" t="s">
        <v>2245</v>
      </c>
      <c r="D2112" s="5" t="s">
        <v>62</v>
      </c>
      <c r="E2112" s="5" t="n">
        <v>5</v>
      </c>
      <c r="F2112" s="5" t="s">
        <v>90</v>
      </c>
      <c r="G2112" s="2" t="s">
        <v>12057</v>
      </c>
      <c r="H2112" s="5" t="s">
        <v>8336</v>
      </c>
      <c r="I2112" s="5"/>
      <c r="J2112" s="5"/>
      <c r="K2112" s="5" t="s">
        <v>13297</v>
      </c>
    </row>
    <row r="2113" customFormat="false" ht="46.25" hidden="false" customHeight="false" outlineLevel="0" collapsed="false">
      <c r="A2113" s="5" t="s">
        <v>13298</v>
      </c>
      <c r="B2113" s="2" t="s">
        <v>13299</v>
      </c>
      <c r="C2113" s="5" t="s">
        <v>2245</v>
      </c>
      <c r="D2113" s="5" t="s">
        <v>62</v>
      </c>
      <c r="E2113" s="5" t="n">
        <v>7</v>
      </c>
      <c r="F2113" s="5" t="s">
        <v>90</v>
      </c>
      <c r="G2113" s="2" t="s">
        <v>12057</v>
      </c>
      <c r="H2113" s="5" t="s">
        <v>8336</v>
      </c>
      <c r="I2113" s="5"/>
      <c r="J2113" s="5"/>
      <c r="K2113" s="5" t="s">
        <v>13300</v>
      </c>
    </row>
    <row r="2114" customFormat="false" ht="46.25" hidden="false" customHeight="false" outlineLevel="0" collapsed="false">
      <c r="A2114" s="5" t="s">
        <v>13301</v>
      </c>
      <c r="B2114" s="2" t="s">
        <v>13302</v>
      </c>
      <c r="C2114" s="5" t="s">
        <v>2128</v>
      </c>
      <c r="D2114" s="5" t="s">
        <v>62</v>
      </c>
      <c r="E2114" s="5" t="n">
        <v>7</v>
      </c>
      <c r="F2114" s="5" t="s">
        <v>90</v>
      </c>
      <c r="G2114" s="2" t="s">
        <v>12057</v>
      </c>
      <c r="H2114" s="5" t="s">
        <v>8336</v>
      </c>
      <c r="I2114" s="5"/>
      <c r="J2114" s="5"/>
      <c r="K2114" s="5" t="s">
        <v>13303</v>
      </c>
    </row>
    <row r="2115" customFormat="false" ht="15" hidden="false" customHeight="false" outlineLevel="0" collapsed="false">
      <c r="A2115" s="5" t="s">
        <v>13304</v>
      </c>
      <c r="B2115" s="2" t="s">
        <v>13305</v>
      </c>
      <c r="C2115" s="5" t="s">
        <v>2128</v>
      </c>
      <c r="D2115" s="5" t="s">
        <v>62</v>
      </c>
      <c r="E2115" s="5" t="n">
        <v>5</v>
      </c>
      <c r="F2115" s="5" t="s">
        <v>90</v>
      </c>
      <c r="G2115" s="2" t="s">
        <v>367</v>
      </c>
      <c r="H2115" s="5" t="s">
        <v>8336</v>
      </c>
      <c r="I2115" s="5"/>
      <c r="J2115" s="5"/>
      <c r="K2115" s="5" t="s">
        <v>13306</v>
      </c>
    </row>
    <row r="2116" customFormat="false" ht="23.85" hidden="false" customHeight="false" outlineLevel="0" collapsed="false">
      <c r="A2116" s="5" t="s">
        <v>13307</v>
      </c>
      <c r="B2116" s="2" t="s">
        <v>13308</v>
      </c>
      <c r="C2116" s="5" t="s">
        <v>2128</v>
      </c>
      <c r="D2116" s="5" t="s">
        <v>62</v>
      </c>
      <c r="E2116" s="5" t="n">
        <v>5</v>
      </c>
      <c r="F2116" s="5" t="s">
        <v>90</v>
      </c>
      <c r="G2116" s="2" t="s">
        <v>367</v>
      </c>
      <c r="H2116" s="5" t="s">
        <v>8336</v>
      </c>
      <c r="I2116" s="5"/>
      <c r="J2116" s="5"/>
      <c r="K2116" s="5" t="s">
        <v>13309</v>
      </c>
    </row>
    <row r="2117" customFormat="false" ht="46.25" hidden="false" customHeight="false" outlineLevel="0" collapsed="false">
      <c r="A2117" s="5" t="s">
        <v>13310</v>
      </c>
      <c r="B2117" s="2" t="s">
        <v>13311</v>
      </c>
      <c r="C2117" s="5" t="s">
        <v>2245</v>
      </c>
      <c r="D2117" s="5" t="s">
        <v>62</v>
      </c>
      <c r="E2117" s="5" t="n">
        <v>5</v>
      </c>
      <c r="F2117" s="5" t="s">
        <v>90</v>
      </c>
      <c r="G2117" s="2" t="s">
        <v>12057</v>
      </c>
      <c r="H2117" s="5" t="s">
        <v>8336</v>
      </c>
      <c r="I2117" s="5"/>
      <c r="J2117" s="5"/>
      <c r="K2117" s="5" t="s">
        <v>13312</v>
      </c>
    </row>
    <row r="2118" customFormat="false" ht="46.25" hidden="false" customHeight="false" outlineLevel="0" collapsed="false">
      <c r="A2118" s="5" t="s">
        <v>13313</v>
      </c>
      <c r="B2118" s="2" t="s">
        <v>13314</v>
      </c>
      <c r="C2118" s="5" t="s">
        <v>2245</v>
      </c>
      <c r="D2118" s="5" t="s">
        <v>490</v>
      </c>
      <c r="E2118" s="5" t="n">
        <v>5</v>
      </c>
      <c r="F2118" s="5" t="s">
        <v>90</v>
      </c>
      <c r="G2118" s="2" t="s">
        <v>12057</v>
      </c>
      <c r="H2118" s="5" t="s">
        <v>8336</v>
      </c>
      <c r="I2118" s="5"/>
      <c r="J2118" s="5"/>
      <c r="K2118" s="5" t="s">
        <v>13315</v>
      </c>
    </row>
    <row r="2119" customFormat="false" ht="23.85" hidden="false" customHeight="false" outlineLevel="0" collapsed="false">
      <c r="A2119" s="5" t="s">
        <v>13316</v>
      </c>
      <c r="B2119" s="2" t="s">
        <v>13317</v>
      </c>
      <c r="C2119" s="5" t="s">
        <v>2128</v>
      </c>
      <c r="D2119" s="5" t="s">
        <v>62</v>
      </c>
      <c r="E2119" s="5" t="n">
        <v>7</v>
      </c>
      <c r="F2119" s="5" t="s">
        <v>90</v>
      </c>
      <c r="G2119" s="2" t="s">
        <v>367</v>
      </c>
      <c r="H2119" s="5" t="s">
        <v>8336</v>
      </c>
      <c r="I2119" s="5"/>
      <c r="J2119" s="5"/>
      <c r="K2119" s="5" t="s">
        <v>13318</v>
      </c>
    </row>
    <row r="2120" customFormat="false" ht="23.85" hidden="false" customHeight="false" outlineLevel="0" collapsed="false">
      <c r="A2120" s="5" t="s">
        <v>3723</v>
      </c>
      <c r="B2120" s="2" t="s">
        <v>3724</v>
      </c>
      <c r="C2120" s="5" t="s">
        <v>2128</v>
      </c>
      <c r="D2120" s="5" t="s">
        <v>62</v>
      </c>
      <c r="E2120" s="5" t="n">
        <v>7</v>
      </c>
      <c r="F2120" s="5" t="s">
        <v>2079</v>
      </c>
      <c r="G2120" s="2" t="s">
        <v>184</v>
      </c>
      <c r="H2120" s="5" t="s">
        <v>8332</v>
      </c>
      <c r="I2120" s="5" t="s">
        <v>60</v>
      </c>
      <c r="J2120" s="5" t="s">
        <v>2078</v>
      </c>
      <c r="K2120" s="5" t="s">
        <v>3727</v>
      </c>
    </row>
    <row r="2121" customFormat="false" ht="15" hidden="false" customHeight="false" outlineLevel="0" collapsed="false">
      <c r="A2121" s="5" t="s">
        <v>13319</v>
      </c>
      <c r="B2121" s="2" t="s">
        <v>13320</v>
      </c>
      <c r="C2121" s="5" t="s">
        <v>2128</v>
      </c>
      <c r="D2121" s="5" t="s">
        <v>62</v>
      </c>
      <c r="E2121" s="5" t="n">
        <v>7</v>
      </c>
      <c r="F2121" s="5" t="s">
        <v>1210</v>
      </c>
      <c r="G2121" s="2" t="s">
        <v>367</v>
      </c>
      <c r="H2121" s="5" t="s">
        <v>8336</v>
      </c>
      <c r="I2121" s="5"/>
      <c r="J2121" s="5"/>
      <c r="K2121" s="5" t="s">
        <v>13321</v>
      </c>
    </row>
    <row r="2122" customFormat="false" ht="23.85" hidden="false" customHeight="false" outlineLevel="0" collapsed="false">
      <c r="A2122" s="5" t="s">
        <v>3728</v>
      </c>
      <c r="B2122" s="2" t="s">
        <v>3729</v>
      </c>
      <c r="C2122" s="5" t="s">
        <v>2128</v>
      </c>
      <c r="D2122" s="5" t="s">
        <v>62</v>
      </c>
      <c r="E2122" s="5" t="n">
        <v>5</v>
      </c>
      <c r="F2122" s="5" t="s">
        <v>1814</v>
      </c>
      <c r="G2122" s="2" t="s">
        <v>367</v>
      </c>
      <c r="H2122" s="5" t="s">
        <v>8332</v>
      </c>
      <c r="I2122" s="5" t="s">
        <v>60</v>
      </c>
      <c r="J2122" s="5" t="s">
        <v>751</v>
      </c>
      <c r="K2122" s="5" t="s">
        <v>3732</v>
      </c>
    </row>
    <row r="2123" customFormat="false" ht="46.25" hidden="false" customHeight="false" outlineLevel="0" collapsed="false">
      <c r="A2123" s="5" t="s">
        <v>13322</v>
      </c>
      <c r="B2123" s="2" t="s">
        <v>13323</v>
      </c>
      <c r="C2123" s="5" t="s">
        <v>2245</v>
      </c>
      <c r="D2123" s="5" t="s">
        <v>62</v>
      </c>
      <c r="E2123" s="5" t="n">
        <v>5</v>
      </c>
      <c r="F2123" s="5" t="s">
        <v>413</v>
      </c>
      <c r="G2123" s="2" t="s">
        <v>12054</v>
      </c>
      <c r="H2123" s="5" t="s">
        <v>8336</v>
      </c>
      <c r="I2123" s="5"/>
      <c r="J2123" s="5"/>
      <c r="K2123" s="5" t="s">
        <v>13324</v>
      </c>
    </row>
    <row r="2124" customFormat="false" ht="23.85" hidden="false" customHeight="false" outlineLevel="0" collapsed="false">
      <c r="A2124" s="5" t="s">
        <v>13325</v>
      </c>
      <c r="B2124" s="2" t="s">
        <v>13326</v>
      </c>
      <c r="C2124" s="5" t="s">
        <v>2128</v>
      </c>
      <c r="D2124" s="5" t="s">
        <v>62</v>
      </c>
      <c r="E2124" s="5" t="n">
        <v>5</v>
      </c>
      <c r="F2124" s="5" t="s">
        <v>413</v>
      </c>
      <c r="G2124" s="2" t="s">
        <v>367</v>
      </c>
      <c r="H2124" s="5" t="s">
        <v>8336</v>
      </c>
      <c r="I2124" s="5"/>
      <c r="J2124" s="5"/>
      <c r="K2124" s="5" t="s">
        <v>13327</v>
      </c>
    </row>
    <row r="2125" customFormat="false" ht="46.25" hidden="false" customHeight="false" outlineLevel="0" collapsed="false">
      <c r="A2125" s="5" t="s">
        <v>13328</v>
      </c>
      <c r="B2125" s="2" t="s">
        <v>13329</v>
      </c>
      <c r="C2125" s="5" t="s">
        <v>2245</v>
      </c>
      <c r="D2125" s="5" t="s">
        <v>62</v>
      </c>
      <c r="E2125" s="5" t="n">
        <v>7</v>
      </c>
      <c r="F2125" s="5" t="s">
        <v>536</v>
      </c>
      <c r="G2125" s="2" t="s">
        <v>13330</v>
      </c>
      <c r="H2125" s="5" t="s">
        <v>8336</v>
      </c>
      <c r="I2125" s="5"/>
      <c r="J2125" s="5"/>
      <c r="K2125" s="5" t="s">
        <v>13331</v>
      </c>
    </row>
    <row r="2126" customFormat="false" ht="23.85" hidden="false" customHeight="false" outlineLevel="0" collapsed="false">
      <c r="A2126" s="5" t="s">
        <v>3733</v>
      </c>
      <c r="B2126" s="2" t="s">
        <v>3734</v>
      </c>
      <c r="C2126" s="5" t="s">
        <v>2128</v>
      </c>
      <c r="D2126" s="5" t="s">
        <v>62</v>
      </c>
      <c r="E2126" s="5" t="n">
        <v>7</v>
      </c>
      <c r="F2126" s="5" t="s">
        <v>413</v>
      </c>
      <c r="G2126" s="2" t="s">
        <v>184</v>
      </c>
      <c r="H2126" s="5" t="s">
        <v>8332</v>
      </c>
      <c r="I2126" s="5" t="s">
        <v>60</v>
      </c>
      <c r="J2126" s="5" t="s">
        <v>269</v>
      </c>
      <c r="K2126" s="5" t="s">
        <v>3742</v>
      </c>
    </row>
    <row r="2127" customFormat="false" ht="46.25" hidden="false" customHeight="false" outlineLevel="0" collapsed="false">
      <c r="A2127" s="5" t="s">
        <v>3743</v>
      </c>
      <c r="B2127" s="2" t="s">
        <v>3744</v>
      </c>
      <c r="C2127" s="5" t="s">
        <v>2245</v>
      </c>
      <c r="D2127" s="5" t="s">
        <v>62</v>
      </c>
      <c r="E2127" s="5" t="n">
        <v>7</v>
      </c>
      <c r="F2127" s="5" t="s">
        <v>90</v>
      </c>
      <c r="G2127" s="2" t="s">
        <v>12894</v>
      </c>
      <c r="H2127" s="5" t="s">
        <v>8332</v>
      </c>
      <c r="I2127" s="5" t="s">
        <v>60</v>
      </c>
      <c r="J2127" s="5" t="s">
        <v>269</v>
      </c>
      <c r="K2127" s="5" t="s">
        <v>3750</v>
      </c>
    </row>
    <row r="2128" customFormat="false" ht="23.85" hidden="false" customHeight="false" outlineLevel="0" collapsed="false">
      <c r="A2128" s="5" t="s">
        <v>13332</v>
      </c>
      <c r="B2128" s="2" t="s">
        <v>13333</v>
      </c>
      <c r="C2128" s="5" t="s">
        <v>2128</v>
      </c>
      <c r="D2128" s="5" t="s">
        <v>62</v>
      </c>
      <c r="E2128" s="5" t="n">
        <v>7</v>
      </c>
      <c r="F2128" s="5" t="s">
        <v>67</v>
      </c>
      <c r="G2128" s="2" t="s">
        <v>415</v>
      </c>
      <c r="H2128" s="5" t="s">
        <v>8336</v>
      </c>
      <c r="I2128" s="5"/>
      <c r="J2128" s="5"/>
      <c r="K2128" s="5" t="s">
        <v>13334</v>
      </c>
    </row>
    <row r="2129" customFormat="false" ht="23.85" hidden="false" customHeight="false" outlineLevel="0" collapsed="false">
      <c r="A2129" s="5" t="s">
        <v>13335</v>
      </c>
      <c r="B2129" s="2" t="s">
        <v>13336</v>
      </c>
      <c r="C2129" s="5" t="s">
        <v>2128</v>
      </c>
      <c r="D2129" s="5" t="s">
        <v>62</v>
      </c>
      <c r="E2129" s="5" t="n">
        <v>7</v>
      </c>
      <c r="F2129" s="5" t="s">
        <v>90</v>
      </c>
      <c r="G2129" s="2" t="s">
        <v>415</v>
      </c>
      <c r="H2129" s="5" t="s">
        <v>8336</v>
      </c>
      <c r="I2129" s="5"/>
      <c r="J2129" s="5"/>
      <c r="K2129" s="5" t="s">
        <v>13337</v>
      </c>
    </row>
    <row r="2130" customFormat="false" ht="23.85" hidden="false" customHeight="false" outlineLevel="0" collapsed="false">
      <c r="A2130" s="5" t="s">
        <v>13338</v>
      </c>
      <c r="B2130" s="2" t="s">
        <v>13339</v>
      </c>
      <c r="C2130" s="5" t="s">
        <v>2128</v>
      </c>
      <c r="D2130" s="5" t="s">
        <v>62</v>
      </c>
      <c r="E2130" s="5" t="n">
        <v>7</v>
      </c>
      <c r="F2130" s="5" t="s">
        <v>90</v>
      </c>
      <c r="G2130" s="2" t="s">
        <v>415</v>
      </c>
      <c r="H2130" s="5" t="s">
        <v>8336</v>
      </c>
      <c r="I2130" s="5"/>
      <c r="J2130" s="5"/>
      <c r="K2130" s="5" t="s">
        <v>13340</v>
      </c>
    </row>
    <row r="2131" customFormat="false" ht="15" hidden="false" customHeight="false" outlineLevel="0" collapsed="false">
      <c r="A2131" s="5" t="s">
        <v>13341</v>
      </c>
      <c r="B2131" s="2" t="s">
        <v>13342</v>
      </c>
      <c r="C2131" s="5" t="s">
        <v>2128</v>
      </c>
      <c r="D2131" s="5" t="s">
        <v>62</v>
      </c>
      <c r="E2131" s="5" t="n">
        <v>5</v>
      </c>
      <c r="F2131" s="5" t="s">
        <v>67</v>
      </c>
      <c r="G2131" s="2" t="s">
        <v>367</v>
      </c>
      <c r="H2131" s="5" t="s">
        <v>8336</v>
      </c>
      <c r="I2131" s="5"/>
      <c r="J2131" s="5"/>
      <c r="K2131" s="5" t="s">
        <v>13343</v>
      </c>
    </row>
    <row r="2132" customFormat="false" ht="15" hidden="false" customHeight="false" outlineLevel="0" collapsed="false">
      <c r="A2132" s="5" t="s">
        <v>13344</v>
      </c>
      <c r="B2132" s="2" t="s">
        <v>13345</v>
      </c>
      <c r="C2132" s="5" t="s">
        <v>2128</v>
      </c>
      <c r="D2132" s="5" t="s">
        <v>62</v>
      </c>
      <c r="E2132" s="5" t="n">
        <v>7</v>
      </c>
      <c r="F2132" s="5" t="s">
        <v>67</v>
      </c>
      <c r="G2132" s="2" t="s">
        <v>367</v>
      </c>
      <c r="H2132" s="5" t="s">
        <v>8336</v>
      </c>
      <c r="I2132" s="5"/>
      <c r="J2132" s="5"/>
      <c r="K2132" s="5" t="s">
        <v>13346</v>
      </c>
    </row>
    <row r="2133" customFormat="false" ht="23.85" hidden="false" customHeight="false" outlineLevel="0" collapsed="false">
      <c r="A2133" s="5" t="s">
        <v>13347</v>
      </c>
      <c r="B2133" s="2" t="s">
        <v>13348</v>
      </c>
      <c r="C2133" s="5" t="s">
        <v>2128</v>
      </c>
      <c r="D2133" s="5" t="s">
        <v>62</v>
      </c>
      <c r="E2133" s="5" t="n">
        <v>3</v>
      </c>
      <c r="F2133" s="5" t="s">
        <v>90</v>
      </c>
      <c r="G2133" s="2" t="s">
        <v>367</v>
      </c>
      <c r="H2133" s="5" t="s">
        <v>8336</v>
      </c>
      <c r="I2133" s="5"/>
      <c r="J2133" s="5"/>
      <c r="K2133" s="5" t="s">
        <v>13349</v>
      </c>
    </row>
    <row r="2134" customFormat="false" ht="46.25" hidden="false" customHeight="false" outlineLevel="0" collapsed="false">
      <c r="A2134" s="5" t="s">
        <v>13350</v>
      </c>
      <c r="B2134" s="2" t="s">
        <v>13351</v>
      </c>
      <c r="C2134" s="5" t="s">
        <v>2245</v>
      </c>
      <c r="D2134" s="5" t="s">
        <v>62</v>
      </c>
      <c r="E2134" s="5" t="n">
        <v>5</v>
      </c>
      <c r="F2134" s="5" t="s">
        <v>67</v>
      </c>
      <c r="G2134" s="2" t="s">
        <v>12057</v>
      </c>
      <c r="H2134" s="5" t="s">
        <v>8336</v>
      </c>
      <c r="I2134" s="5"/>
      <c r="J2134" s="5"/>
      <c r="K2134" s="5" t="s">
        <v>13352</v>
      </c>
    </row>
    <row r="2135" customFormat="false" ht="46.25" hidden="false" customHeight="false" outlineLevel="0" collapsed="false">
      <c r="A2135" s="5" t="s">
        <v>13353</v>
      </c>
      <c r="B2135" s="2" t="s">
        <v>13354</v>
      </c>
      <c r="C2135" s="5" t="s">
        <v>2245</v>
      </c>
      <c r="D2135" s="5" t="s">
        <v>490</v>
      </c>
      <c r="E2135" s="5" t="n">
        <v>5</v>
      </c>
      <c r="F2135" s="5" t="s">
        <v>67</v>
      </c>
      <c r="G2135" s="2" t="s">
        <v>12057</v>
      </c>
      <c r="H2135" s="5" t="s">
        <v>8336</v>
      </c>
      <c r="I2135" s="5"/>
      <c r="J2135" s="5"/>
      <c r="K2135" s="5" t="s">
        <v>13355</v>
      </c>
    </row>
    <row r="2136" customFormat="false" ht="46.25" hidden="false" customHeight="false" outlineLevel="0" collapsed="false">
      <c r="A2136" s="5" t="s">
        <v>13356</v>
      </c>
      <c r="B2136" s="2" t="s">
        <v>13357</v>
      </c>
      <c r="C2136" s="5" t="s">
        <v>2245</v>
      </c>
      <c r="D2136" s="5" t="s">
        <v>62</v>
      </c>
      <c r="E2136" s="5" t="n">
        <v>5</v>
      </c>
      <c r="F2136" s="5" t="s">
        <v>67</v>
      </c>
      <c r="G2136" s="2" t="s">
        <v>12057</v>
      </c>
      <c r="H2136" s="5" t="s">
        <v>8336</v>
      </c>
      <c r="I2136" s="5"/>
      <c r="J2136" s="5"/>
      <c r="K2136" s="5" t="s">
        <v>13358</v>
      </c>
    </row>
    <row r="2137" customFormat="false" ht="15" hidden="false" customHeight="false" outlineLevel="0" collapsed="false">
      <c r="A2137" s="5" t="s">
        <v>13359</v>
      </c>
      <c r="B2137" s="2" t="s">
        <v>13360</v>
      </c>
      <c r="C2137" s="5" t="s">
        <v>2128</v>
      </c>
      <c r="D2137" s="5" t="s">
        <v>62</v>
      </c>
      <c r="E2137" s="5" t="n">
        <v>5</v>
      </c>
      <c r="F2137" s="5" t="s">
        <v>90</v>
      </c>
      <c r="G2137" s="2" t="s">
        <v>367</v>
      </c>
      <c r="H2137" s="5" t="s">
        <v>8336</v>
      </c>
      <c r="I2137" s="5"/>
      <c r="J2137" s="5"/>
      <c r="K2137" s="5" t="s">
        <v>13361</v>
      </c>
    </row>
    <row r="2138" customFormat="false" ht="46.25" hidden="false" customHeight="false" outlineLevel="0" collapsed="false">
      <c r="A2138" s="5" t="s">
        <v>13362</v>
      </c>
      <c r="B2138" s="2" t="s">
        <v>13363</v>
      </c>
      <c r="C2138" s="5" t="s">
        <v>2245</v>
      </c>
      <c r="D2138" s="5" t="s">
        <v>62</v>
      </c>
      <c r="E2138" s="5" t="n">
        <v>5</v>
      </c>
      <c r="F2138" s="5" t="s">
        <v>90</v>
      </c>
      <c r="G2138" s="2" t="s">
        <v>12057</v>
      </c>
      <c r="H2138" s="5" t="s">
        <v>8336</v>
      </c>
      <c r="I2138" s="5"/>
      <c r="J2138" s="5"/>
      <c r="K2138" s="5" t="s">
        <v>13364</v>
      </c>
    </row>
    <row r="2139" customFormat="false" ht="46.25" hidden="false" customHeight="false" outlineLevel="0" collapsed="false">
      <c r="A2139" s="5" t="s">
        <v>13365</v>
      </c>
      <c r="B2139" s="2" t="s">
        <v>13366</v>
      </c>
      <c r="C2139" s="5" t="s">
        <v>2245</v>
      </c>
      <c r="D2139" s="5" t="s">
        <v>62</v>
      </c>
      <c r="E2139" s="5" t="n">
        <v>5</v>
      </c>
      <c r="F2139" s="5" t="s">
        <v>90</v>
      </c>
      <c r="G2139" s="2" t="s">
        <v>12057</v>
      </c>
      <c r="H2139" s="5" t="s">
        <v>8336</v>
      </c>
      <c r="I2139" s="5"/>
      <c r="J2139" s="5"/>
      <c r="K2139" s="5" t="s">
        <v>13367</v>
      </c>
    </row>
    <row r="2140" customFormat="false" ht="23.85" hidden="false" customHeight="false" outlineLevel="0" collapsed="false">
      <c r="A2140" s="5" t="s">
        <v>13368</v>
      </c>
      <c r="B2140" s="2" t="s">
        <v>13369</v>
      </c>
      <c r="C2140" s="5" t="s">
        <v>2128</v>
      </c>
      <c r="D2140" s="5" t="s">
        <v>62</v>
      </c>
      <c r="E2140" s="5" t="n">
        <v>5</v>
      </c>
      <c r="F2140" s="5" t="s">
        <v>90</v>
      </c>
      <c r="G2140" s="2" t="s">
        <v>367</v>
      </c>
      <c r="H2140" s="5" t="s">
        <v>8336</v>
      </c>
      <c r="I2140" s="5"/>
      <c r="J2140" s="5"/>
      <c r="K2140" s="5" t="s">
        <v>13370</v>
      </c>
    </row>
    <row r="2141" customFormat="false" ht="15" hidden="false" customHeight="false" outlineLevel="0" collapsed="false">
      <c r="A2141" s="5" t="s">
        <v>13371</v>
      </c>
      <c r="B2141" s="2" t="s">
        <v>13372</v>
      </c>
      <c r="C2141" s="5" t="s">
        <v>2128</v>
      </c>
      <c r="D2141" s="5" t="s">
        <v>62</v>
      </c>
      <c r="E2141" s="5" t="n">
        <v>5</v>
      </c>
      <c r="F2141" s="5" t="s">
        <v>1814</v>
      </c>
      <c r="G2141" s="2" t="s">
        <v>367</v>
      </c>
      <c r="H2141" s="5" t="s">
        <v>8336</v>
      </c>
      <c r="I2141" s="5"/>
      <c r="J2141" s="5"/>
      <c r="K2141" s="5" t="s">
        <v>13373</v>
      </c>
    </row>
    <row r="2142" customFormat="false" ht="46.25" hidden="false" customHeight="false" outlineLevel="0" collapsed="false">
      <c r="A2142" s="5" t="s">
        <v>13374</v>
      </c>
      <c r="B2142" s="2" t="s">
        <v>13375</v>
      </c>
      <c r="C2142" s="5" t="s">
        <v>2245</v>
      </c>
      <c r="D2142" s="5" t="s">
        <v>490</v>
      </c>
      <c r="E2142" s="5" t="n">
        <v>7</v>
      </c>
      <c r="F2142" s="5" t="s">
        <v>90</v>
      </c>
      <c r="G2142" s="2" t="s">
        <v>12057</v>
      </c>
      <c r="H2142" s="5" t="s">
        <v>8336</v>
      </c>
      <c r="I2142" s="5"/>
      <c r="J2142" s="5"/>
      <c r="K2142" s="5" t="s">
        <v>13376</v>
      </c>
    </row>
    <row r="2143" customFormat="false" ht="15" hidden="false" customHeight="false" outlineLevel="0" collapsed="false">
      <c r="A2143" s="5" t="s">
        <v>1423</v>
      </c>
      <c r="B2143" s="2" t="s">
        <v>1424</v>
      </c>
      <c r="C2143" s="5" t="s">
        <v>488</v>
      </c>
      <c r="D2143" s="5" t="s">
        <v>62</v>
      </c>
      <c r="E2143" s="5" t="n">
        <v>7</v>
      </c>
      <c r="F2143" s="5" t="s">
        <v>413</v>
      </c>
      <c r="G2143" s="2" t="s">
        <v>367</v>
      </c>
      <c r="H2143" s="5" t="s">
        <v>8332</v>
      </c>
      <c r="I2143" s="5" t="s">
        <v>60</v>
      </c>
      <c r="J2143" s="5"/>
      <c r="K2143" s="5" t="s">
        <v>1428</v>
      </c>
    </row>
    <row r="2144" customFormat="false" ht="46.25" hidden="false" customHeight="false" outlineLevel="0" collapsed="false">
      <c r="A2144" s="5" t="s">
        <v>13377</v>
      </c>
      <c r="B2144" s="2" t="s">
        <v>13378</v>
      </c>
      <c r="C2144" s="5" t="s">
        <v>2245</v>
      </c>
      <c r="D2144" s="5" t="s">
        <v>62</v>
      </c>
      <c r="E2144" s="5" t="n">
        <v>3</v>
      </c>
      <c r="F2144" s="5" t="s">
        <v>90</v>
      </c>
      <c r="G2144" s="2" t="s">
        <v>12057</v>
      </c>
      <c r="H2144" s="5" t="s">
        <v>8336</v>
      </c>
      <c r="I2144" s="5"/>
      <c r="J2144" s="5"/>
      <c r="K2144" s="5" t="s">
        <v>13379</v>
      </c>
    </row>
    <row r="2145" customFormat="false" ht="46.25" hidden="false" customHeight="false" outlineLevel="0" collapsed="false">
      <c r="A2145" s="5" t="s">
        <v>13380</v>
      </c>
      <c r="B2145" s="2" t="s">
        <v>13381</v>
      </c>
      <c r="C2145" s="5" t="s">
        <v>2245</v>
      </c>
      <c r="D2145" s="5" t="s">
        <v>62</v>
      </c>
      <c r="E2145" s="5" t="n">
        <v>5</v>
      </c>
      <c r="F2145" s="5" t="s">
        <v>90</v>
      </c>
      <c r="G2145" s="2" t="s">
        <v>12057</v>
      </c>
      <c r="H2145" s="5" t="s">
        <v>8336</v>
      </c>
      <c r="I2145" s="5"/>
      <c r="J2145" s="5"/>
      <c r="K2145" s="5" t="s">
        <v>13382</v>
      </c>
    </row>
    <row r="2146" customFormat="false" ht="15" hidden="false" customHeight="false" outlineLevel="0" collapsed="false">
      <c r="A2146" s="5" t="s">
        <v>13383</v>
      </c>
      <c r="B2146" s="2" t="s">
        <v>13384</v>
      </c>
      <c r="C2146" s="5" t="s">
        <v>2128</v>
      </c>
      <c r="D2146" s="5" t="s">
        <v>62</v>
      </c>
      <c r="E2146" s="5" t="n">
        <v>9</v>
      </c>
      <c r="F2146" s="5" t="s">
        <v>1814</v>
      </c>
      <c r="G2146" s="2" t="s">
        <v>367</v>
      </c>
      <c r="H2146" s="5" t="s">
        <v>8336</v>
      </c>
      <c r="I2146" s="5"/>
      <c r="J2146" s="5"/>
      <c r="K2146" s="5" t="s">
        <v>13385</v>
      </c>
    </row>
    <row r="2147" customFormat="false" ht="23.85" hidden="false" customHeight="false" outlineLevel="0" collapsed="false">
      <c r="A2147" s="5" t="s">
        <v>1429</v>
      </c>
      <c r="B2147" s="2" t="s">
        <v>1430</v>
      </c>
      <c r="C2147" s="5" t="s">
        <v>488</v>
      </c>
      <c r="D2147" s="5" t="s">
        <v>62</v>
      </c>
      <c r="E2147" s="5" t="n">
        <v>5</v>
      </c>
      <c r="F2147" s="5" t="s">
        <v>100</v>
      </c>
      <c r="G2147" s="2" t="s">
        <v>367</v>
      </c>
      <c r="H2147" s="5" t="s">
        <v>8332</v>
      </c>
      <c r="I2147" s="5" t="s">
        <v>60</v>
      </c>
      <c r="J2147" s="5" t="s">
        <v>1104</v>
      </c>
      <c r="K2147" s="5" t="s">
        <v>1434</v>
      </c>
    </row>
    <row r="2148" customFormat="false" ht="46.25" hidden="false" customHeight="false" outlineLevel="0" collapsed="false">
      <c r="A2148" s="5" t="s">
        <v>13386</v>
      </c>
      <c r="B2148" s="2" t="s">
        <v>13387</v>
      </c>
      <c r="C2148" s="5" t="s">
        <v>2245</v>
      </c>
      <c r="D2148" s="5" t="s">
        <v>62</v>
      </c>
      <c r="E2148" s="5" t="n">
        <v>7</v>
      </c>
      <c r="F2148" s="5" t="s">
        <v>413</v>
      </c>
      <c r="G2148" s="2" t="s">
        <v>12054</v>
      </c>
      <c r="H2148" s="5" t="s">
        <v>8336</v>
      </c>
      <c r="I2148" s="5"/>
      <c r="J2148" s="5"/>
      <c r="K2148" s="5" t="s">
        <v>13388</v>
      </c>
    </row>
    <row r="2149" customFormat="false" ht="46.25" hidden="false" customHeight="false" outlineLevel="0" collapsed="false">
      <c r="A2149" s="5" t="s">
        <v>13389</v>
      </c>
      <c r="B2149" s="2" t="s">
        <v>13390</v>
      </c>
      <c r="C2149" s="5" t="s">
        <v>2245</v>
      </c>
      <c r="D2149" s="5" t="s">
        <v>62</v>
      </c>
      <c r="E2149" s="5" t="n">
        <v>7</v>
      </c>
      <c r="F2149" s="5" t="s">
        <v>413</v>
      </c>
      <c r="G2149" s="2" t="s">
        <v>12054</v>
      </c>
      <c r="H2149" s="5" t="s">
        <v>8336</v>
      </c>
      <c r="I2149" s="5"/>
      <c r="J2149" s="5"/>
      <c r="K2149" s="5" t="s">
        <v>13391</v>
      </c>
    </row>
    <row r="2150" customFormat="false" ht="46.25" hidden="false" customHeight="false" outlineLevel="0" collapsed="false">
      <c r="A2150" s="5" t="s">
        <v>3751</v>
      </c>
      <c r="B2150" s="2" t="s">
        <v>3752</v>
      </c>
      <c r="C2150" s="5" t="s">
        <v>2245</v>
      </c>
      <c r="D2150" s="5" t="s">
        <v>62</v>
      </c>
      <c r="E2150" s="5" t="n">
        <v>7</v>
      </c>
      <c r="F2150" s="5" t="s">
        <v>413</v>
      </c>
      <c r="G2150" s="2" t="s">
        <v>12894</v>
      </c>
      <c r="H2150" s="5" t="s">
        <v>8332</v>
      </c>
      <c r="I2150" s="5" t="s">
        <v>60</v>
      </c>
      <c r="J2150" s="5" t="s">
        <v>269</v>
      </c>
      <c r="K2150" s="5" t="s">
        <v>3755</v>
      </c>
    </row>
    <row r="2151" customFormat="false" ht="23.85" hidden="false" customHeight="false" outlineLevel="0" collapsed="false">
      <c r="A2151" s="5" t="s">
        <v>13392</v>
      </c>
      <c r="B2151" s="2" t="s">
        <v>13393</v>
      </c>
      <c r="C2151" s="5" t="s">
        <v>2128</v>
      </c>
      <c r="D2151" s="5" t="s">
        <v>62</v>
      </c>
      <c r="E2151" s="5" t="n">
        <v>7</v>
      </c>
      <c r="F2151" s="5" t="s">
        <v>413</v>
      </c>
      <c r="G2151" s="2" t="s">
        <v>367</v>
      </c>
      <c r="H2151" s="5" t="s">
        <v>8336</v>
      </c>
      <c r="I2151" s="5"/>
      <c r="J2151" s="5"/>
      <c r="K2151" s="5" t="s">
        <v>13394</v>
      </c>
    </row>
    <row r="2152" customFormat="false" ht="46.25" hidden="false" customHeight="false" outlineLevel="0" collapsed="false">
      <c r="A2152" s="5" t="s">
        <v>13395</v>
      </c>
      <c r="B2152" s="2" t="s">
        <v>13396</v>
      </c>
      <c r="C2152" s="5" t="s">
        <v>2245</v>
      </c>
      <c r="D2152" s="5" t="s">
        <v>62</v>
      </c>
      <c r="E2152" s="5" t="n">
        <v>7</v>
      </c>
      <c r="F2152" s="5" t="s">
        <v>413</v>
      </c>
      <c r="G2152" s="2" t="s">
        <v>12077</v>
      </c>
      <c r="H2152" s="5" t="s">
        <v>8336</v>
      </c>
      <c r="I2152" s="5"/>
      <c r="J2152" s="5"/>
      <c r="K2152" s="5" t="s">
        <v>13397</v>
      </c>
    </row>
    <row r="2153" customFormat="false" ht="46.25" hidden="false" customHeight="false" outlineLevel="0" collapsed="false">
      <c r="A2153" s="5" t="s">
        <v>13398</v>
      </c>
      <c r="B2153" s="2" t="s">
        <v>13399</v>
      </c>
      <c r="C2153" s="5" t="s">
        <v>2245</v>
      </c>
      <c r="D2153" s="5" t="s">
        <v>62</v>
      </c>
      <c r="E2153" s="5" t="n">
        <v>5</v>
      </c>
      <c r="F2153" s="5" t="s">
        <v>413</v>
      </c>
      <c r="G2153" s="2" t="s">
        <v>12054</v>
      </c>
      <c r="H2153" s="5" t="s">
        <v>8336</v>
      </c>
      <c r="I2153" s="5"/>
      <c r="J2153" s="5"/>
      <c r="K2153" s="5" t="s">
        <v>13400</v>
      </c>
    </row>
    <row r="2154" customFormat="false" ht="46.25" hidden="false" customHeight="false" outlineLevel="0" collapsed="false">
      <c r="A2154" s="5" t="s">
        <v>13401</v>
      </c>
      <c r="B2154" s="2" t="s">
        <v>13402</v>
      </c>
      <c r="C2154" s="5" t="s">
        <v>2245</v>
      </c>
      <c r="D2154" s="5" t="s">
        <v>62</v>
      </c>
      <c r="E2154" s="5" t="n">
        <v>5</v>
      </c>
      <c r="F2154" s="5" t="s">
        <v>413</v>
      </c>
      <c r="G2154" s="2" t="s">
        <v>12054</v>
      </c>
      <c r="H2154" s="5" t="s">
        <v>8336</v>
      </c>
      <c r="I2154" s="5"/>
      <c r="J2154" s="5"/>
      <c r="K2154" s="5" t="s">
        <v>13403</v>
      </c>
    </row>
    <row r="2155" customFormat="false" ht="23.85" hidden="false" customHeight="false" outlineLevel="0" collapsed="false">
      <c r="A2155" s="5" t="s">
        <v>3756</v>
      </c>
      <c r="B2155" s="2" t="s">
        <v>3757</v>
      </c>
      <c r="C2155" s="5" t="s">
        <v>2128</v>
      </c>
      <c r="D2155" s="5" t="s">
        <v>62</v>
      </c>
      <c r="E2155" s="5" t="n">
        <v>5</v>
      </c>
      <c r="F2155" s="5" t="s">
        <v>413</v>
      </c>
      <c r="G2155" s="2" t="s">
        <v>184</v>
      </c>
      <c r="H2155" s="5" t="s">
        <v>8332</v>
      </c>
      <c r="I2155" s="5" t="s">
        <v>60</v>
      </c>
      <c r="J2155" s="5" t="s">
        <v>269</v>
      </c>
      <c r="K2155" s="5" t="s">
        <v>3760</v>
      </c>
    </row>
    <row r="2156" customFormat="false" ht="23.85" hidden="false" customHeight="false" outlineLevel="0" collapsed="false">
      <c r="A2156" s="5" t="s">
        <v>13404</v>
      </c>
      <c r="B2156" s="2" t="s">
        <v>13405</v>
      </c>
      <c r="C2156" s="5" t="s">
        <v>2128</v>
      </c>
      <c r="D2156" s="5" t="s">
        <v>62</v>
      </c>
      <c r="E2156" s="5" t="n">
        <v>5</v>
      </c>
      <c r="F2156" s="5" t="s">
        <v>413</v>
      </c>
      <c r="G2156" s="2" t="s">
        <v>367</v>
      </c>
      <c r="H2156" s="5" t="s">
        <v>8336</v>
      </c>
      <c r="I2156" s="5"/>
      <c r="J2156" s="5"/>
      <c r="K2156" s="5" t="s">
        <v>13406</v>
      </c>
    </row>
    <row r="2157" customFormat="false" ht="23.85" hidden="false" customHeight="false" outlineLevel="0" collapsed="false">
      <c r="A2157" s="5" t="s">
        <v>13407</v>
      </c>
      <c r="B2157" s="2" t="s">
        <v>13408</v>
      </c>
      <c r="C2157" s="5" t="s">
        <v>2128</v>
      </c>
      <c r="D2157" s="5" t="s">
        <v>62</v>
      </c>
      <c r="E2157" s="5" t="n">
        <v>5</v>
      </c>
      <c r="F2157" s="5" t="s">
        <v>413</v>
      </c>
      <c r="G2157" s="2" t="s">
        <v>415</v>
      </c>
      <c r="H2157" s="5" t="s">
        <v>8336</v>
      </c>
      <c r="I2157" s="5"/>
      <c r="J2157" s="5"/>
      <c r="K2157" s="5" t="s">
        <v>13409</v>
      </c>
    </row>
    <row r="2158" customFormat="false" ht="46.25" hidden="false" customHeight="false" outlineLevel="0" collapsed="false">
      <c r="A2158" s="5" t="s">
        <v>13410</v>
      </c>
      <c r="B2158" s="2" t="s">
        <v>13411</v>
      </c>
      <c r="C2158" s="5" t="s">
        <v>2245</v>
      </c>
      <c r="D2158" s="5" t="s">
        <v>62</v>
      </c>
      <c r="E2158" s="5" t="n">
        <v>7</v>
      </c>
      <c r="F2158" s="5" t="s">
        <v>413</v>
      </c>
      <c r="G2158" s="2" t="s">
        <v>12054</v>
      </c>
      <c r="H2158" s="5" t="s">
        <v>8336</v>
      </c>
      <c r="I2158" s="5"/>
      <c r="J2158" s="5"/>
      <c r="K2158" s="5" t="s">
        <v>13412</v>
      </c>
    </row>
    <row r="2159" customFormat="false" ht="46.25" hidden="false" customHeight="false" outlineLevel="0" collapsed="false">
      <c r="A2159" s="5" t="s">
        <v>13413</v>
      </c>
      <c r="B2159" s="2" t="s">
        <v>13414</v>
      </c>
      <c r="C2159" s="5" t="s">
        <v>2245</v>
      </c>
      <c r="D2159" s="5" t="s">
        <v>62</v>
      </c>
      <c r="E2159" s="5" t="n">
        <v>7</v>
      </c>
      <c r="F2159" s="5" t="s">
        <v>413</v>
      </c>
      <c r="G2159" s="2" t="s">
        <v>12054</v>
      </c>
      <c r="H2159" s="5" t="s">
        <v>8336</v>
      </c>
      <c r="I2159" s="5"/>
      <c r="J2159" s="5"/>
      <c r="K2159" s="5" t="s">
        <v>13415</v>
      </c>
    </row>
    <row r="2160" customFormat="false" ht="23.85" hidden="false" customHeight="false" outlineLevel="0" collapsed="false">
      <c r="A2160" s="5" t="s">
        <v>13416</v>
      </c>
      <c r="B2160" s="2" t="s">
        <v>13417</v>
      </c>
      <c r="C2160" s="5" t="s">
        <v>2128</v>
      </c>
      <c r="D2160" s="5" t="s">
        <v>62</v>
      </c>
      <c r="E2160" s="5" t="n">
        <v>7</v>
      </c>
      <c r="F2160" s="5" t="s">
        <v>413</v>
      </c>
      <c r="G2160" s="2" t="s">
        <v>367</v>
      </c>
      <c r="H2160" s="5" t="s">
        <v>8336</v>
      </c>
      <c r="I2160" s="5"/>
      <c r="J2160" s="5"/>
      <c r="K2160" s="5" t="s">
        <v>13418</v>
      </c>
    </row>
    <row r="2161" customFormat="false" ht="23.85" hidden="false" customHeight="false" outlineLevel="0" collapsed="false">
      <c r="A2161" s="5" t="s">
        <v>13419</v>
      </c>
      <c r="B2161" s="2" t="s">
        <v>13420</v>
      </c>
      <c r="C2161" s="5" t="s">
        <v>2128</v>
      </c>
      <c r="D2161" s="5" t="s">
        <v>62</v>
      </c>
      <c r="E2161" s="5" t="n">
        <v>7</v>
      </c>
      <c r="F2161" s="5" t="s">
        <v>90</v>
      </c>
      <c r="G2161" s="2" t="s">
        <v>367</v>
      </c>
      <c r="H2161" s="5" t="s">
        <v>8336</v>
      </c>
      <c r="I2161" s="5"/>
      <c r="J2161" s="5"/>
      <c r="K2161" s="5" t="s">
        <v>13421</v>
      </c>
    </row>
    <row r="2162" customFormat="false" ht="46.25" hidden="false" customHeight="false" outlineLevel="0" collapsed="false">
      <c r="A2162" s="5" t="s">
        <v>13422</v>
      </c>
      <c r="B2162" s="2" t="s">
        <v>13423</v>
      </c>
      <c r="C2162" s="5" t="s">
        <v>2245</v>
      </c>
      <c r="D2162" s="5" t="s">
        <v>62</v>
      </c>
      <c r="E2162" s="5" t="n">
        <v>5</v>
      </c>
      <c r="F2162" s="5" t="s">
        <v>413</v>
      </c>
      <c r="G2162" s="2" t="s">
        <v>12054</v>
      </c>
      <c r="H2162" s="5" t="s">
        <v>8336</v>
      </c>
      <c r="I2162" s="5"/>
      <c r="J2162" s="5"/>
      <c r="K2162" s="5" t="s">
        <v>13424</v>
      </c>
    </row>
    <row r="2163" customFormat="false" ht="46.25" hidden="false" customHeight="false" outlineLevel="0" collapsed="false">
      <c r="A2163" s="5" t="s">
        <v>13425</v>
      </c>
      <c r="B2163" s="2" t="s">
        <v>13426</v>
      </c>
      <c r="C2163" s="5" t="s">
        <v>2245</v>
      </c>
      <c r="D2163" s="5" t="s">
        <v>62</v>
      </c>
      <c r="E2163" s="5" t="n">
        <v>5</v>
      </c>
      <c r="F2163" s="5" t="s">
        <v>413</v>
      </c>
      <c r="G2163" s="2" t="s">
        <v>12054</v>
      </c>
      <c r="H2163" s="5" t="s">
        <v>8336</v>
      </c>
      <c r="I2163" s="5"/>
      <c r="J2163" s="5"/>
      <c r="K2163" s="5" t="s">
        <v>13427</v>
      </c>
    </row>
    <row r="2164" customFormat="false" ht="46.25" hidden="false" customHeight="false" outlineLevel="0" collapsed="false">
      <c r="A2164" s="5" t="s">
        <v>3761</v>
      </c>
      <c r="B2164" s="2" t="s">
        <v>3762</v>
      </c>
      <c r="C2164" s="5" t="s">
        <v>2245</v>
      </c>
      <c r="D2164" s="5" t="s">
        <v>62</v>
      </c>
      <c r="E2164" s="5" t="n">
        <v>5</v>
      </c>
      <c r="F2164" s="5" t="s">
        <v>413</v>
      </c>
      <c r="G2164" s="2" t="s">
        <v>12894</v>
      </c>
      <c r="H2164" s="5" t="s">
        <v>8332</v>
      </c>
      <c r="I2164" s="5" t="s">
        <v>60</v>
      </c>
      <c r="J2164" s="5" t="s">
        <v>269</v>
      </c>
      <c r="K2164" s="5" t="s">
        <v>3765</v>
      </c>
    </row>
    <row r="2165" customFormat="false" ht="23.85" hidden="false" customHeight="false" outlineLevel="0" collapsed="false">
      <c r="A2165" s="5" t="s">
        <v>13428</v>
      </c>
      <c r="B2165" s="2" t="s">
        <v>13429</v>
      </c>
      <c r="C2165" s="5" t="s">
        <v>2128</v>
      </c>
      <c r="D2165" s="5" t="s">
        <v>62</v>
      </c>
      <c r="E2165" s="5" t="n">
        <v>5</v>
      </c>
      <c r="F2165" s="5" t="s">
        <v>413</v>
      </c>
      <c r="G2165" s="2" t="s">
        <v>415</v>
      </c>
      <c r="H2165" s="5" t="s">
        <v>8336</v>
      </c>
      <c r="I2165" s="5"/>
      <c r="J2165" s="5"/>
      <c r="K2165" s="5" t="s">
        <v>13430</v>
      </c>
    </row>
    <row r="2166" customFormat="false" ht="46.25" hidden="false" customHeight="false" outlineLevel="0" collapsed="false">
      <c r="A2166" s="5" t="s">
        <v>13431</v>
      </c>
      <c r="B2166" s="2" t="s">
        <v>13432</v>
      </c>
      <c r="C2166" s="5" t="s">
        <v>2245</v>
      </c>
      <c r="D2166" s="5" t="s">
        <v>62</v>
      </c>
      <c r="E2166" s="5" t="n">
        <v>7</v>
      </c>
      <c r="F2166" s="5" t="s">
        <v>413</v>
      </c>
      <c r="G2166" s="2" t="s">
        <v>12054</v>
      </c>
      <c r="H2166" s="5" t="s">
        <v>8336</v>
      </c>
      <c r="I2166" s="5"/>
      <c r="J2166" s="5"/>
      <c r="K2166" s="5" t="s">
        <v>13433</v>
      </c>
    </row>
    <row r="2167" customFormat="false" ht="46.25" hidden="false" customHeight="false" outlineLevel="0" collapsed="false">
      <c r="A2167" s="5" t="s">
        <v>13434</v>
      </c>
      <c r="B2167" s="2" t="s">
        <v>13435</v>
      </c>
      <c r="C2167" s="5" t="s">
        <v>2245</v>
      </c>
      <c r="D2167" s="5" t="s">
        <v>62</v>
      </c>
      <c r="E2167" s="5" t="n">
        <v>7</v>
      </c>
      <c r="F2167" s="5" t="s">
        <v>413</v>
      </c>
      <c r="G2167" s="2" t="s">
        <v>12054</v>
      </c>
      <c r="H2167" s="5" t="s">
        <v>8336</v>
      </c>
      <c r="I2167" s="5"/>
      <c r="J2167" s="5"/>
      <c r="K2167" s="5" t="s">
        <v>13436</v>
      </c>
    </row>
    <row r="2168" customFormat="false" ht="23.85" hidden="false" customHeight="false" outlineLevel="0" collapsed="false">
      <c r="A2168" s="5" t="s">
        <v>3766</v>
      </c>
      <c r="B2168" s="2" t="s">
        <v>3767</v>
      </c>
      <c r="C2168" s="5" t="s">
        <v>2128</v>
      </c>
      <c r="D2168" s="5" t="s">
        <v>62</v>
      </c>
      <c r="E2168" s="5" t="n">
        <v>7</v>
      </c>
      <c r="F2168" s="5" t="s">
        <v>413</v>
      </c>
      <c r="G2168" s="2" t="s">
        <v>184</v>
      </c>
      <c r="H2168" s="5" t="s">
        <v>8332</v>
      </c>
      <c r="I2168" s="5" t="s">
        <v>60</v>
      </c>
      <c r="J2168" s="5" t="s">
        <v>269</v>
      </c>
      <c r="K2168" s="5" t="s">
        <v>3770</v>
      </c>
    </row>
    <row r="2169" customFormat="false" ht="46.25" hidden="false" customHeight="false" outlineLevel="0" collapsed="false">
      <c r="A2169" s="5" t="s">
        <v>3771</v>
      </c>
      <c r="B2169" s="2" t="s">
        <v>3772</v>
      </c>
      <c r="C2169" s="5" t="s">
        <v>2245</v>
      </c>
      <c r="D2169" s="5" t="s">
        <v>62</v>
      </c>
      <c r="E2169" s="5" t="n">
        <v>7</v>
      </c>
      <c r="F2169" s="5" t="s">
        <v>413</v>
      </c>
      <c r="G2169" s="2" t="s">
        <v>12894</v>
      </c>
      <c r="H2169" s="5" t="s">
        <v>8332</v>
      </c>
      <c r="I2169" s="5" t="s">
        <v>60</v>
      </c>
      <c r="J2169" s="5" t="s">
        <v>269</v>
      </c>
      <c r="K2169" s="5" t="s">
        <v>3775</v>
      </c>
    </row>
    <row r="2170" customFormat="false" ht="23.85" hidden="false" customHeight="false" outlineLevel="0" collapsed="false">
      <c r="A2170" s="5" t="s">
        <v>13437</v>
      </c>
      <c r="B2170" s="2" t="s">
        <v>13438</v>
      </c>
      <c r="C2170" s="5" t="s">
        <v>2128</v>
      </c>
      <c r="D2170" s="5" t="s">
        <v>62</v>
      </c>
      <c r="E2170" s="5" t="n">
        <v>7</v>
      </c>
      <c r="F2170" s="5" t="s">
        <v>413</v>
      </c>
      <c r="G2170" s="2" t="s">
        <v>367</v>
      </c>
      <c r="H2170" s="5" t="s">
        <v>8336</v>
      </c>
      <c r="I2170" s="5"/>
      <c r="J2170" s="5"/>
      <c r="K2170" s="5" t="s">
        <v>13439</v>
      </c>
    </row>
    <row r="2171" customFormat="false" ht="46.25" hidden="false" customHeight="false" outlineLevel="0" collapsed="false">
      <c r="A2171" s="5" t="s">
        <v>13440</v>
      </c>
      <c r="B2171" s="2" t="s">
        <v>13441</v>
      </c>
      <c r="C2171" s="5" t="s">
        <v>2245</v>
      </c>
      <c r="D2171" s="5" t="s">
        <v>62</v>
      </c>
      <c r="E2171" s="5" t="n">
        <v>7</v>
      </c>
      <c r="F2171" s="5" t="s">
        <v>413</v>
      </c>
      <c r="G2171" s="2" t="s">
        <v>12077</v>
      </c>
      <c r="H2171" s="5" t="s">
        <v>8336</v>
      </c>
      <c r="I2171" s="5"/>
      <c r="J2171" s="5"/>
      <c r="K2171" s="5" t="s">
        <v>13442</v>
      </c>
    </row>
    <row r="2172" customFormat="false" ht="23.85" hidden="false" customHeight="false" outlineLevel="0" collapsed="false">
      <c r="A2172" s="5" t="s">
        <v>3776</v>
      </c>
      <c r="B2172" s="2" t="s">
        <v>3777</v>
      </c>
      <c r="C2172" s="5" t="s">
        <v>2128</v>
      </c>
      <c r="D2172" s="5" t="s">
        <v>62</v>
      </c>
      <c r="E2172" s="5" t="n">
        <v>7</v>
      </c>
      <c r="F2172" s="5" t="s">
        <v>413</v>
      </c>
      <c r="G2172" s="2" t="s">
        <v>184</v>
      </c>
      <c r="H2172" s="5" t="s">
        <v>8332</v>
      </c>
      <c r="I2172" s="5" t="s">
        <v>60</v>
      </c>
      <c r="J2172" s="5" t="s">
        <v>269</v>
      </c>
      <c r="K2172" s="5" t="s">
        <v>3780</v>
      </c>
    </row>
    <row r="2173" customFormat="false" ht="46.25" hidden="false" customHeight="false" outlineLevel="0" collapsed="false">
      <c r="A2173" s="5" t="s">
        <v>13443</v>
      </c>
      <c r="B2173" s="2" t="s">
        <v>13444</v>
      </c>
      <c r="C2173" s="5" t="s">
        <v>2245</v>
      </c>
      <c r="D2173" s="5" t="s">
        <v>62</v>
      </c>
      <c r="E2173" s="5" t="n">
        <v>7</v>
      </c>
      <c r="F2173" s="5" t="s">
        <v>413</v>
      </c>
      <c r="G2173" s="2" t="s">
        <v>12077</v>
      </c>
      <c r="H2173" s="5" t="s">
        <v>8336</v>
      </c>
      <c r="I2173" s="5"/>
      <c r="J2173" s="5"/>
      <c r="K2173" s="5" t="s">
        <v>13445</v>
      </c>
    </row>
    <row r="2174" customFormat="false" ht="46.25" hidden="false" customHeight="false" outlineLevel="0" collapsed="false">
      <c r="A2174" s="5" t="s">
        <v>13446</v>
      </c>
      <c r="B2174" s="2" t="s">
        <v>13447</v>
      </c>
      <c r="C2174" s="5" t="s">
        <v>2245</v>
      </c>
      <c r="D2174" s="5" t="s">
        <v>62</v>
      </c>
      <c r="E2174" s="5" t="n">
        <v>7</v>
      </c>
      <c r="F2174" s="5" t="s">
        <v>413</v>
      </c>
      <c r="G2174" s="2" t="s">
        <v>12054</v>
      </c>
      <c r="H2174" s="5" t="s">
        <v>8336</v>
      </c>
      <c r="I2174" s="5"/>
      <c r="J2174" s="5"/>
      <c r="K2174" s="5" t="s">
        <v>13448</v>
      </c>
    </row>
    <row r="2175" customFormat="false" ht="46.25" hidden="false" customHeight="false" outlineLevel="0" collapsed="false">
      <c r="A2175" s="5" t="s">
        <v>13449</v>
      </c>
      <c r="B2175" s="2" t="s">
        <v>13450</v>
      </c>
      <c r="C2175" s="5" t="s">
        <v>2245</v>
      </c>
      <c r="D2175" s="5" t="s">
        <v>62</v>
      </c>
      <c r="E2175" s="5" t="n">
        <v>7</v>
      </c>
      <c r="F2175" s="5" t="s">
        <v>413</v>
      </c>
      <c r="G2175" s="2" t="s">
        <v>12054</v>
      </c>
      <c r="H2175" s="5" t="s">
        <v>8336</v>
      </c>
      <c r="I2175" s="5"/>
      <c r="J2175" s="5"/>
      <c r="K2175" s="5" t="s">
        <v>13451</v>
      </c>
    </row>
    <row r="2176" customFormat="false" ht="23.85" hidden="false" customHeight="false" outlineLevel="0" collapsed="false">
      <c r="A2176" s="5" t="s">
        <v>3781</v>
      </c>
      <c r="B2176" s="2" t="s">
        <v>3782</v>
      </c>
      <c r="C2176" s="5" t="s">
        <v>2128</v>
      </c>
      <c r="D2176" s="5" t="s">
        <v>62</v>
      </c>
      <c r="E2176" s="5" t="n">
        <v>7</v>
      </c>
      <c r="F2176" s="5" t="s">
        <v>413</v>
      </c>
      <c r="G2176" s="2" t="s">
        <v>184</v>
      </c>
      <c r="H2176" s="5" t="s">
        <v>8332</v>
      </c>
      <c r="I2176" s="5" t="s">
        <v>60</v>
      </c>
      <c r="J2176" s="5" t="s">
        <v>269</v>
      </c>
      <c r="K2176" s="5" t="s">
        <v>3785</v>
      </c>
    </row>
    <row r="2177" customFormat="false" ht="15" hidden="false" customHeight="false" outlineLevel="0" collapsed="false">
      <c r="A2177" s="5" t="s">
        <v>13452</v>
      </c>
      <c r="B2177" s="2" t="s">
        <v>13453</v>
      </c>
      <c r="C2177" s="5" t="s">
        <v>2128</v>
      </c>
      <c r="D2177" s="5" t="s">
        <v>62</v>
      </c>
      <c r="E2177" s="5" t="n">
        <v>7</v>
      </c>
      <c r="F2177" s="5" t="s">
        <v>413</v>
      </c>
      <c r="G2177" s="2" t="s">
        <v>367</v>
      </c>
      <c r="H2177" s="5" t="s">
        <v>8336</v>
      </c>
      <c r="I2177" s="5"/>
      <c r="J2177" s="5"/>
      <c r="K2177" s="5" t="s">
        <v>13454</v>
      </c>
    </row>
    <row r="2178" customFormat="false" ht="23.85" hidden="false" customHeight="false" outlineLevel="0" collapsed="false">
      <c r="A2178" s="5" t="s">
        <v>13455</v>
      </c>
      <c r="B2178" s="2" t="s">
        <v>13456</v>
      </c>
      <c r="C2178" s="5" t="s">
        <v>2128</v>
      </c>
      <c r="D2178" s="5" t="s">
        <v>62</v>
      </c>
      <c r="E2178" s="5" t="n">
        <v>7</v>
      </c>
      <c r="F2178" s="5" t="s">
        <v>413</v>
      </c>
      <c r="G2178" s="2" t="s">
        <v>415</v>
      </c>
      <c r="H2178" s="5" t="s">
        <v>8336</v>
      </c>
      <c r="I2178" s="5"/>
      <c r="J2178" s="5"/>
      <c r="K2178" s="5" t="s">
        <v>13457</v>
      </c>
    </row>
    <row r="2179" customFormat="false" ht="46.25" hidden="false" customHeight="false" outlineLevel="0" collapsed="false">
      <c r="A2179" s="5" t="s">
        <v>13458</v>
      </c>
      <c r="B2179" s="2" t="s">
        <v>13459</v>
      </c>
      <c r="C2179" s="5" t="s">
        <v>2245</v>
      </c>
      <c r="D2179" s="5" t="s">
        <v>62</v>
      </c>
      <c r="E2179" s="5" t="n">
        <v>7</v>
      </c>
      <c r="F2179" s="5" t="s">
        <v>413</v>
      </c>
      <c r="G2179" s="2" t="s">
        <v>12054</v>
      </c>
      <c r="H2179" s="5" t="s">
        <v>8336</v>
      </c>
      <c r="I2179" s="5"/>
      <c r="J2179" s="5"/>
      <c r="K2179" s="5" t="s">
        <v>13460</v>
      </c>
    </row>
    <row r="2180" customFormat="false" ht="46.25" hidden="false" customHeight="false" outlineLevel="0" collapsed="false">
      <c r="A2180" s="5" t="s">
        <v>13461</v>
      </c>
      <c r="B2180" s="2" t="s">
        <v>13462</v>
      </c>
      <c r="C2180" s="5" t="s">
        <v>2245</v>
      </c>
      <c r="D2180" s="5" t="s">
        <v>62</v>
      </c>
      <c r="E2180" s="5" t="n">
        <v>7</v>
      </c>
      <c r="F2180" s="5" t="s">
        <v>413</v>
      </c>
      <c r="G2180" s="2" t="s">
        <v>12054</v>
      </c>
      <c r="H2180" s="5" t="s">
        <v>8336</v>
      </c>
      <c r="I2180" s="5"/>
      <c r="J2180" s="5"/>
      <c r="K2180" s="5" t="s">
        <v>13463</v>
      </c>
    </row>
    <row r="2181" customFormat="false" ht="23.85" hidden="false" customHeight="false" outlineLevel="0" collapsed="false">
      <c r="A2181" s="5" t="s">
        <v>3786</v>
      </c>
      <c r="B2181" s="2" t="s">
        <v>3787</v>
      </c>
      <c r="C2181" s="5" t="s">
        <v>2128</v>
      </c>
      <c r="D2181" s="5" t="s">
        <v>62</v>
      </c>
      <c r="E2181" s="5" t="n">
        <v>7</v>
      </c>
      <c r="F2181" s="5" t="s">
        <v>413</v>
      </c>
      <c r="G2181" s="2" t="s">
        <v>184</v>
      </c>
      <c r="H2181" s="5" t="s">
        <v>8332</v>
      </c>
      <c r="I2181" s="5" t="s">
        <v>60</v>
      </c>
      <c r="J2181" s="5" t="s">
        <v>269</v>
      </c>
      <c r="K2181" s="5" t="s">
        <v>3790</v>
      </c>
    </row>
    <row r="2182" customFormat="false" ht="15" hidden="false" customHeight="false" outlineLevel="0" collapsed="false">
      <c r="A2182" s="5" t="s">
        <v>13464</v>
      </c>
      <c r="B2182" s="2" t="s">
        <v>13465</v>
      </c>
      <c r="C2182" s="5" t="s">
        <v>2128</v>
      </c>
      <c r="D2182" s="5" t="s">
        <v>62</v>
      </c>
      <c r="E2182" s="5" t="n">
        <v>7</v>
      </c>
      <c r="F2182" s="5" t="s">
        <v>413</v>
      </c>
      <c r="G2182" s="2" t="s">
        <v>367</v>
      </c>
      <c r="H2182" s="5" t="s">
        <v>8336</v>
      </c>
      <c r="I2182" s="5"/>
      <c r="J2182" s="5"/>
      <c r="K2182" s="5" t="s">
        <v>13466</v>
      </c>
    </row>
    <row r="2183" customFormat="false" ht="23.85" hidden="false" customHeight="false" outlineLevel="0" collapsed="false">
      <c r="A2183" s="5" t="s">
        <v>13467</v>
      </c>
      <c r="B2183" s="2" t="s">
        <v>13468</v>
      </c>
      <c r="C2183" s="5" t="s">
        <v>2128</v>
      </c>
      <c r="D2183" s="5" t="s">
        <v>62</v>
      </c>
      <c r="E2183" s="5" t="n">
        <v>7</v>
      </c>
      <c r="F2183" s="5" t="s">
        <v>413</v>
      </c>
      <c r="G2183" s="2" t="s">
        <v>415</v>
      </c>
      <c r="H2183" s="5" t="s">
        <v>8336</v>
      </c>
      <c r="I2183" s="5"/>
      <c r="J2183" s="5"/>
      <c r="K2183" s="5" t="s">
        <v>13469</v>
      </c>
    </row>
    <row r="2184" customFormat="false" ht="46.25" hidden="false" customHeight="false" outlineLevel="0" collapsed="false">
      <c r="A2184" s="5" t="s">
        <v>13470</v>
      </c>
      <c r="B2184" s="2" t="s">
        <v>13471</v>
      </c>
      <c r="C2184" s="5" t="s">
        <v>2245</v>
      </c>
      <c r="D2184" s="5" t="s">
        <v>62</v>
      </c>
      <c r="E2184" s="5" t="n">
        <v>7</v>
      </c>
      <c r="F2184" s="5" t="s">
        <v>413</v>
      </c>
      <c r="G2184" s="2" t="s">
        <v>12054</v>
      </c>
      <c r="H2184" s="5" t="s">
        <v>8336</v>
      </c>
      <c r="I2184" s="5"/>
      <c r="J2184" s="5"/>
      <c r="K2184" s="5" t="s">
        <v>13472</v>
      </c>
    </row>
    <row r="2185" customFormat="false" ht="46.25" hidden="false" customHeight="false" outlineLevel="0" collapsed="false">
      <c r="A2185" s="5" t="s">
        <v>13473</v>
      </c>
      <c r="B2185" s="2" t="s">
        <v>13474</v>
      </c>
      <c r="C2185" s="5" t="s">
        <v>2245</v>
      </c>
      <c r="D2185" s="5" t="s">
        <v>62</v>
      </c>
      <c r="E2185" s="5" t="n">
        <v>7</v>
      </c>
      <c r="F2185" s="5" t="s">
        <v>413</v>
      </c>
      <c r="G2185" s="2" t="s">
        <v>12054</v>
      </c>
      <c r="H2185" s="5" t="s">
        <v>8336</v>
      </c>
      <c r="I2185" s="5"/>
      <c r="J2185" s="5"/>
      <c r="K2185" s="5" t="s">
        <v>13475</v>
      </c>
    </row>
    <row r="2186" customFormat="false" ht="23.85" hidden="false" customHeight="false" outlineLevel="0" collapsed="false">
      <c r="A2186" s="5" t="s">
        <v>3791</v>
      </c>
      <c r="B2186" s="2" t="s">
        <v>3792</v>
      </c>
      <c r="C2186" s="5" t="s">
        <v>2128</v>
      </c>
      <c r="D2186" s="5" t="s">
        <v>62</v>
      </c>
      <c r="E2186" s="5" t="n">
        <v>7</v>
      </c>
      <c r="F2186" s="5" t="s">
        <v>413</v>
      </c>
      <c r="G2186" s="2" t="s">
        <v>184</v>
      </c>
      <c r="H2186" s="5" t="s">
        <v>8332</v>
      </c>
      <c r="I2186" s="5" t="s">
        <v>60</v>
      </c>
      <c r="J2186" s="5" t="s">
        <v>269</v>
      </c>
      <c r="K2186" s="5" t="s">
        <v>3795</v>
      </c>
    </row>
    <row r="2187" customFormat="false" ht="23.85" hidden="false" customHeight="false" outlineLevel="0" collapsed="false">
      <c r="A2187" s="5" t="s">
        <v>13476</v>
      </c>
      <c r="B2187" s="2" t="s">
        <v>13477</v>
      </c>
      <c r="C2187" s="5" t="s">
        <v>2128</v>
      </c>
      <c r="D2187" s="5" t="s">
        <v>62</v>
      </c>
      <c r="E2187" s="5" t="n">
        <v>7</v>
      </c>
      <c r="F2187" s="5" t="s">
        <v>413</v>
      </c>
      <c r="G2187" s="2" t="s">
        <v>367</v>
      </c>
      <c r="H2187" s="5" t="s">
        <v>8336</v>
      </c>
      <c r="I2187" s="5"/>
      <c r="J2187" s="5"/>
      <c r="K2187" s="5" t="s">
        <v>13478</v>
      </c>
    </row>
    <row r="2188" customFormat="false" ht="23.85" hidden="false" customHeight="false" outlineLevel="0" collapsed="false">
      <c r="A2188" s="5" t="s">
        <v>13479</v>
      </c>
      <c r="B2188" s="2" t="s">
        <v>13480</v>
      </c>
      <c r="C2188" s="5" t="s">
        <v>2128</v>
      </c>
      <c r="D2188" s="5" t="s">
        <v>62</v>
      </c>
      <c r="E2188" s="5" t="n">
        <v>7</v>
      </c>
      <c r="F2188" s="5" t="s">
        <v>413</v>
      </c>
      <c r="G2188" s="2" t="s">
        <v>415</v>
      </c>
      <c r="H2188" s="5" t="s">
        <v>8336</v>
      </c>
      <c r="I2188" s="5"/>
      <c r="J2188" s="5"/>
      <c r="K2188" s="5" t="s">
        <v>13481</v>
      </c>
    </row>
    <row r="2189" customFormat="false" ht="46.25" hidden="false" customHeight="false" outlineLevel="0" collapsed="false">
      <c r="A2189" s="5" t="s">
        <v>13482</v>
      </c>
      <c r="B2189" s="2" t="s">
        <v>13483</v>
      </c>
      <c r="C2189" s="5" t="s">
        <v>2245</v>
      </c>
      <c r="D2189" s="5" t="s">
        <v>62</v>
      </c>
      <c r="E2189" s="5" t="n">
        <v>7</v>
      </c>
      <c r="F2189" s="5" t="s">
        <v>413</v>
      </c>
      <c r="G2189" s="2" t="s">
        <v>12054</v>
      </c>
      <c r="H2189" s="5" t="s">
        <v>8336</v>
      </c>
      <c r="I2189" s="5"/>
      <c r="J2189" s="5"/>
      <c r="K2189" s="5" t="s">
        <v>13484</v>
      </c>
    </row>
    <row r="2190" customFormat="false" ht="46.25" hidden="false" customHeight="false" outlineLevel="0" collapsed="false">
      <c r="A2190" s="5" t="s">
        <v>13485</v>
      </c>
      <c r="B2190" s="2" t="s">
        <v>13486</v>
      </c>
      <c r="C2190" s="5" t="s">
        <v>2245</v>
      </c>
      <c r="D2190" s="5" t="s">
        <v>62</v>
      </c>
      <c r="E2190" s="5" t="n">
        <v>7</v>
      </c>
      <c r="F2190" s="5" t="s">
        <v>413</v>
      </c>
      <c r="G2190" s="2" t="s">
        <v>12054</v>
      </c>
      <c r="H2190" s="5" t="s">
        <v>8336</v>
      </c>
      <c r="I2190" s="5"/>
      <c r="J2190" s="5"/>
      <c r="K2190" s="5" t="s">
        <v>13487</v>
      </c>
    </row>
    <row r="2191" customFormat="false" ht="23.85" hidden="false" customHeight="false" outlineLevel="0" collapsed="false">
      <c r="A2191" s="5" t="s">
        <v>3796</v>
      </c>
      <c r="B2191" s="2" t="s">
        <v>3797</v>
      </c>
      <c r="C2191" s="5" t="s">
        <v>2128</v>
      </c>
      <c r="D2191" s="5" t="s">
        <v>62</v>
      </c>
      <c r="E2191" s="5" t="n">
        <v>7</v>
      </c>
      <c r="F2191" s="5" t="s">
        <v>413</v>
      </c>
      <c r="G2191" s="2" t="s">
        <v>184</v>
      </c>
      <c r="H2191" s="5" t="s">
        <v>8332</v>
      </c>
      <c r="I2191" s="5" t="s">
        <v>60</v>
      </c>
      <c r="J2191" s="5" t="s">
        <v>269</v>
      </c>
      <c r="K2191" s="5" t="s">
        <v>3800</v>
      </c>
    </row>
    <row r="2192" customFormat="false" ht="23.85" hidden="false" customHeight="false" outlineLevel="0" collapsed="false">
      <c r="A2192" s="5" t="s">
        <v>13488</v>
      </c>
      <c r="B2192" s="2" t="s">
        <v>13489</v>
      </c>
      <c r="C2192" s="5" t="s">
        <v>2128</v>
      </c>
      <c r="D2192" s="5" t="s">
        <v>62</v>
      </c>
      <c r="E2192" s="5" t="n">
        <v>7</v>
      </c>
      <c r="F2192" s="5" t="s">
        <v>413</v>
      </c>
      <c r="G2192" s="2" t="s">
        <v>415</v>
      </c>
      <c r="H2192" s="5" t="s">
        <v>8336</v>
      </c>
      <c r="I2192" s="5"/>
      <c r="J2192" s="5"/>
      <c r="K2192" s="5" t="s">
        <v>13490</v>
      </c>
    </row>
    <row r="2193" customFormat="false" ht="46.25" hidden="false" customHeight="false" outlineLevel="0" collapsed="false">
      <c r="A2193" s="5" t="s">
        <v>13491</v>
      </c>
      <c r="B2193" s="2" t="s">
        <v>13492</v>
      </c>
      <c r="C2193" s="5" t="s">
        <v>2245</v>
      </c>
      <c r="D2193" s="5" t="s">
        <v>490</v>
      </c>
      <c r="E2193" s="5" t="n">
        <v>5</v>
      </c>
      <c r="F2193" s="5" t="s">
        <v>536</v>
      </c>
      <c r="G2193" s="2" t="s">
        <v>12077</v>
      </c>
      <c r="H2193" s="5" t="s">
        <v>8336</v>
      </c>
      <c r="I2193" s="5"/>
      <c r="J2193" s="5"/>
      <c r="K2193" s="5" t="s">
        <v>13493</v>
      </c>
    </row>
    <row r="2194" customFormat="false" ht="15" hidden="false" customHeight="false" outlineLevel="0" collapsed="false">
      <c r="A2194" s="5" t="s">
        <v>13494</v>
      </c>
      <c r="B2194" s="2" t="s">
        <v>13495</v>
      </c>
      <c r="C2194" s="5" t="s">
        <v>2128</v>
      </c>
      <c r="D2194" s="5" t="s">
        <v>62</v>
      </c>
      <c r="E2194" s="5" t="n">
        <v>7</v>
      </c>
      <c r="F2194" s="5" t="s">
        <v>544</v>
      </c>
      <c r="G2194" s="2" t="s">
        <v>367</v>
      </c>
      <c r="H2194" s="5" t="s">
        <v>8336</v>
      </c>
      <c r="I2194" s="5"/>
      <c r="J2194" s="5"/>
      <c r="K2194" s="5" t="s">
        <v>13496</v>
      </c>
    </row>
    <row r="2195" customFormat="false" ht="23.85" hidden="false" customHeight="false" outlineLevel="0" collapsed="false">
      <c r="A2195" s="5" t="s">
        <v>3801</v>
      </c>
      <c r="B2195" s="2" t="s">
        <v>3802</v>
      </c>
      <c r="C2195" s="5" t="s">
        <v>2128</v>
      </c>
      <c r="D2195" s="5" t="s">
        <v>62</v>
      </c>
      <c r="E2195" s="5" t="n">
        <v>5</v>
      </c>
      <c r="F2195" s="5" t="s">
        <v>544</v>
      </c>
      <c r="G2195" s="2" t="s">
        <v>184</v>
      </c>
      <c r="H2195" s="5" t="s">
        <v>8332</v>
      </c>
      <c r="I2195" s="5" t="s">
        <v>60</v>
      </c>
      <c r="J2195" s="5" t="s">
        <v>269</v>
      </c>
      <c r="K2195" s="5" t="s">
        <v>3807</v>
      </c>
    </row>
    <row r="2196" customFormat="false" ht="23.85" hidden="false" customHeight="false" outlineLevel="0" collapsed="false">
      <c r="A2196" s="5" t="s">
        <v>13497</v>
      </c>
      <c r="B2196" s="2" t="s">
        <v>13498</v>
      </c>
      <c r="C2196" s="5" t="s">
        <v>2128</v>
      </c>
      <c r="D2196" s="5" t="s">
        <v>62</v>
      </c>
      <c r="E2196" s="5" t="n">
        <v>5</v>
      </c>
      <c r="F2196" s="5" t="s">
        <v>90</v>
      </c>
      <c r="G2196" s="2" t="s">
        <v>367</v>
      </c>
      <c r="H2196" s="5" t="s">
        <v>8336</v>
      </c>
      <c r="I2196" s="5"/>
      <c r="J2196" s="5"/>
      <c r="K2196" s="5" t="s">
        <v>13499</v>
      </c>
    </row>
    <row r="2197" customFormat="false" ht="15" hidden="false" customHeight="false" outlineLevel="0" collapsed="false">
      <c r="A2197" s="5" t="s">
        <v>13500</v>
      </c>
      <c r="B2197" s="2" t="s">
        <v>13501</v>
      </c>
      <c r="C2197" s="5" t="s">
        <v>2128</v>
      </c>
      <c r="D2197" s="5" t="s">
        <v>62</v>
      </c>
      <c r="E2197" s="5" t="n">
        <v>5</v>
      </c>
      <c r="F2197" s="5" t="s">
        <v>413</v>
      </c>
      <c r="G2197" s="2" t="s">
        <v>367</v>
      </c>
      <c r="H2197" s="5" t="s">
        <v>8336</v>
      </c>
      <c r="I2197" s="5"/>
      <c r="J2197" s="5"/>
      <c r="K2197" s="5" t="s">
        <v>13502</v>
      </c>
    </row>
    <row r="2198" customFormat="false" ht="46.25" hidden="false" customHeight="false" outlineLevel="0" collapsed="false">
      <c r="A2198" s="5" t="s">
        <v>13503</v>
      </c>
      <c r="B2198" s="2" t="s">
        <v>13504</v>
      </c>
      <c r="C2198" s="5" t="s">
        <v>2245</v>
      </c>
      <c r="D2198" s="5" t="s">
        <v>62</v>
      </c>
      <c r="E2198" s="5" t="n">
        <v>3</v>
      </c>
      <c r="F2198" s="5" t="s">
        <v>90</v>
      </c>
      <c r="G2198" s="2" t="s">
        <v>12057</v>
      </c>
      <c r="H2198" s="5" t="s">
        <v>8336</v>
      </c>
      <c r="I2198" s="5"/>
      <c r="J2198" s="5"/>
      <c r="K2198" s="5" t="s">
        <v>13505</v>
      </c>
    </row>
    <row r="2199" customFormat="false" ht="23.85" hidden="false" customHeight="false" outlineLevel="0" collapsed="false">
      <c r="A2199" s="5" t="s">
        <v>13506</v>
      </c>
      <c r="B2199" s="2" t="s">
        <v>13507</v>
      </c>
      <c r="C2199" s="5" t="s">
        <v>2128</v>
      </c>
      <c r="D2199" s="5" t="s">
        <v>62</v>
      </c>
      <c r="E2199" s="5" t="n">
        <v>7</v>
      </c>
      <c r="F2199" s="5" t="s">
        <v>90</v>
      </c>
      <c r="G2199" s="2" t="s">
        <v>367</v>
      </c>
      <c r="H2199" s="5" t="s">
        <v>8336</v>
      </c>
      <c r="I2199" s="5"/>
      <c r="J2199" s="5"/>
      <c r="K2199" s="5" t="s">
        <v>13508</v>
      </c>
    </row>
    <row r="2200" customFormat="false" ht="46.25" hidden="false" customHeight="false" outlineLevel="0" collapsed="false">
      <c r="A2200" s="5" t="s">
        <v>3808</v>
      </c>
      <c r="B2200" s="2" t="s">
        <v>3809</v>
      </c>
      <c r="C2200" s="5" t="s">
        <v>2245</v>
      </c>
      <c r="D2200" s="5" t="s">
        <v>62</v>
      </c>
      <c r="E2200" s="5" t="n">
        <v>5</v>
      </c>
      <c r="F2200" s="5" t="s">
        <v>100</v>
      </c>
      <c r="G2200" s="2" t="s">
        <v>12894</v>
      </c>
      <c r="H2200" s="5" t="s">
        <v>8332</v>
      </c>
      <c r="I2200" s="5" t="s">
        <v>60</v>
      </c>
      <c r="J2200" s="5" t="s">
        <v>397</v>
      </c>
      <c r="K2200" s="5" t="s">
        <v>3813</v>
      </c>
    </row>
    <row r="2201" customFormat="false" ht="23.85" hidden="false" customHeight="false" outlineLevel="0" collapsed="false">
      <c r="A2201" s="5" t="s">
        <v>337</v>
      </c>
      <c r="B2201" s="2" t="s">
        <v>338</v>
      </c>
      <c r="C2201" s="5" t="s">
        <v>59</v>
      </c>
      <c r="D2201" s="5" t="s">
        <v>62</v>
      </c>
      <c r="E2201" s="5" t="n">
        <v>7</v>
      </c>
      <c r="F2201" s="5" t="s">
        <v>100</v>
      </c>
      <c r="G2201" s="2" t="s">
        <v>184</v>
      </c>
      <c r="H2201" s="5" t="s">
        <v>8332</v>
      </c>
      <c r="I2201" s="5" t="s">
        <v>60</v>
      </c>
      <c r="J2201" s="5" t="s">
        <v>339</v>
      </c>
      <c r="K2201" s="5" t="s">
        <v>348</v>
      </c>
    </row>
    <row r="2202" customFormat="false" ht="23.85" hidden="false" customHeight="false" outlineLevel="0" collapsed="false">
      <c r="A2202" s="5" t="s">
        <v>1435</v>
      </c>
      <c r="B2202" s="2" t="s">
        <v>1436</v>
      </c>
      <c r="C2202" s="5" t="s">
        <v>488</v>
      </c>
      <c r="D2202" s="5" t="s">
        <v>62</v>
      </c>
      <c r="E2202" s="5" t="n">
        <v>7</v>
      </c>
      <c r="F2202" s="5" t="s">
        <v>100</v>
      </c>
      <c r="G2202" s="2" t="s">
        <v>184</v>
      </c>
      <c r="H2202" s="5" t="s">
        <v>8332</v>
      </c>
      <c r="I2202" s="5" t="s">
        <v>60</v>
      </c>
      <c r="J2202" s="5" t="s">
        <v>397</v>
      </c>
      <c r="K2202" s="5" t="s">
        <v>1443</v>
      </c>
    </row>
    <row r="2203" customFormat="false" ht="46.25" hidden="false" customHeight="false" outlineLevel="0" collapsed="false">
      <c r="A2203" s="5" t="s">
        <v>13509</v>
      </c>
      <c r="B2203" s="2" t="s">
        <v>13510</v>
      </c>
      <c r="C2203" s="5" t="s">
        <v>2245</v>
      </c>
      <c r="D2203" s="5" t="s">
        <v>62</v>
      </c>
      <c r="E2203" s="5" t="n">
        <v>7</v>
      </c>
      <c r="F2203" s="5" t="s">
        <v>90</v>
      </c>
      <c r="G2203" s="2" t="s">
        <v>12057</v>
      </c>
      <c r="H2203" s="5" t="s">
        <v>8336</v>
      </c>
      <c r="I2203" s="5"/>
      <c r="J2203" s="5"/>
      <c r="K2203" s="5" t="s">
        <v>13511</v>
      </c>
    </row>
    <row r="2204" customFormat="false" ht="23.85" hidden="false" customHeight="false" outlineLevel="0" collapsed="false">
      <c r="A2204" s="5" t="s">
        <v>3814</v>
      </c>
      <c r="B2204" s="2" t="s">
        <v>3815</v>
      </c>
      <c r="C2204" s="5" t="s">
        <v>2128</v>
      </c>
      <c r="D2204" s="5" t="s">
        <v>62</v>
      </c>
      <c r="E2204" s="5" t="n">
        <v>7</v>
      </c>
      <c r="F2204" s="5" t="s">
        <v>90</v>
      </c>
      <c r="G2204" s="2" t="s">
        <v>415</v>
      </c>
      <c r="H2204" s="5" t="s">
        <v>8332</v>
      </c>
      <c r="I2204" s="5" t="s">
        <v>60</v>
      </c>
      <c r="J2204" s="5" t="s">
        <v>751</v>
      </c>
      <c r="K2204" s="5" t="s">
        <v>3819</v>
      </c>
    </row>
    <row r="2205" customFormat="false" ht="23.85" hidden="false" customHeight="false" outlineLevel="0" collapsed="false">
      <c r="A2205" s="5" t="s">
        <v>349</v>
      </c>
      <c r="B2205" s="2" t="s">
        <v>350</v>
      </c>
      <c r="C2205" s="5" t="s">
        <v>59</v>
      </c>
      <c r="D2205" s="5" t="s">
        <v>62</v>
      </c>
      <c r="E2205" s="5" t="n">
        <v>10</v>
      </c>
      <c r="F2205" s="5" t="s">
        <v>100</v>
      </c>
      <c r="G2205" s="2" t="s">
        <v>184</v>
      </c>
      <c r="H2205" s="5" t="s">
        <v>8332</v>
      </c>
      <c r="I2205" s="5" t="s">
        <v>60</v>
      </c>
      <c r="J2205" s="5" t="s">
        <v>351</v>
      </c>
      <c r="K2205" s="5" t="s">
        <v>358</v>
      </c>
    </row>
    <row r="2206" customFormat="false" ht="15" hidden="false" customHeight="false" outlineLevel="0" collapsed="false">
      <c r="A2206" s="5" t="s">
        <v>13512</v>
      </c>
      <c r="B2206" s="2" t="s">
        <v>13513</v>
      </c>
      <c r="C2206" s="5" t="s">
        <v>2128</v>
      </c>
      <c r="D2206" s="5" t="s">
        <v>62</v>
      </c>
      <c r="E2206" s="5" t="n">
        <v>5</v>
      </c>
      <c r="F2206" s="5" t="s">
        <v>67</v>
      </c>
      <c r="G2206" s="2" t="s">
        <v>367</v>
      </c>
      <c r="H2206" s="5" t="s">
        <v>8336</v>
      </c>
      <c r="I2206" s="5"/>
      <c r="J2206" s="5"/>
      <c r="K2206" s="5" t="s">
        <v>13514</v>
      </c>
    </row>
    <row r="2207" customFormat="false" ht="46.25" hidden="false" customHeight="false" outlineLevel="0" collapsed="false">
      <c r="A2207" s="5" t="s">
        <v>359</v>
      </c>
      <c r="B2207" s="2" t="s">
        <v>360</v>
      </c>
      <c r="C2207" s="5" t="s">
        <v>59</v>
      </c>
      <c r="D2207" s="5" t="s">
        <v>62</v>
      </c>
      <c r="E2207" s="5" t="n">
        <v>9</v>
      </c>
      <c r="F2207" s="5" t="s">
        <v>100</v>
      </c>
      <c r="G2207" s="2" t="s">
        <v>12078</v>
      </c>
      <c r="H2207" s="5" t="s">
        <v>8332</v>
      </c>
      <c r="I2207" s="5" t="s">
        <v>60</v>
      </c>
      <c r="J2207" s="5" t="s">
        <v>303</v>
      </c>
      <c r="K2207" s="5" t="s">
        <v>364</v>
      </c>
    </row>
    <row r="2208" customFormat="false" ht="15" hidden="false" customHeight="false" outlineLevel="0" collapsed="false">
      <c r="A2208" s="5" t="s">
        <v>13515</v>
      </c>
      <c r="B2208" s="2" t="s">
        <v>13516</v>
      </c>
      <c r="C2208" s="5" t="s">
        <v>2128</v>
      </c>
      <c r="D2208" s="5" t="s">
        <v>62</v>
      </c>
      <c r="E2208" s="5" t="n">
        <v>7</v>
      </c>
      <c r="F2208" s="5" t="s">
        <v>90</v>
      </c>
      <c r="G2208" s="2" t="s">
        <v>367</v>
      </c>
      <c r="H2208" s="5" t="s">
        <v>8336</v>
      </c>
      <c r="I2208" s="5"/>
      <c r="J2208" s="5"/>
      <c r="K2208" s="5" t="s">
        <v>13517</v>
      </c>
    </row>
    <row r="2209" customFormat="false" ht="15" hidden="false" customHeight="false" outlineLevel="0" collapsed="false">
      <c r="A2209" s="5" t="s">
        <v>13518</v>
      </c>
      <c r="B2209" s="2" t="s">
        <v>13519</v>
      </c>
      <c r="C2209" s="5" t="s">
        <v>2128</v>
      </c>
      <c r="D2209" s="5" t="s">
        <v>62</v>
      </c>
      <c r="E2209" s="5" t="n">
        <v>7</v>
      </c>
      <c r="F2209" s="5" t="s">
        <v>90</v>
      </c>
      <c r="G2209" s="2" t="s">
        <v>367</v>
      </c>
      <c r="H2209" s="5" t="s">
        <v>8336</v>
      </c>
      <c r="I2209" s="5"/>
      <c r="J2209" s="5"/>
      <c r="K2209" s="5" t="s">
        <v>13520</v>
      </c>
    </row>
    <row r="2210" customFormat="false" ht="15" hidden="false" customHeight="false" outlineLevel="0" collapsed="false">
      <c r="A2210" s="5" t="s">
        <v>13521</v>
      </c>
      <c r="B2210" s="2" t="s">
        <v>13522</v>
      </c>
      <c r="C2210" s="5" t="s">
        <v>2128</v>
      </c>
      <c r="D2210" s="5" t="s">
        <v>62</v>
      </c>
      <c r="E2210" s="5" t="n">
        <v>7</v>
      </c>
      <c r="F2210" s="5" t="s">
        <v>90</v>
      </c>
      <c r="G2210" s="2" t="s">
        <v>367</v>
      </c>
      <c r="H2210" s="5" t="s">
        <v>8336</v>
      </c>
      <c r="I2210" s="5"/>
      <c r="J2210" s="5"/>
      <c r="K2210" s="5" t="s">
        <v>13523</v>
      </c>
    </row>
    <row r="2211" customFormat="false" ht="46.25" hidden="false" customHeight="false" outlineLevel="0" collapsed="false">
      <c r="A2211" s="5" t="s">
        <v>13524</v>
      </c>
      <c r="B2211" s="2" t="s">
        <v>13525</v>
      </c>
      <c r="C2211" s="5" t="s">
        <v>2245</v>
      </c>
      <c r="D2211" s="5" t="s">
        <v>490</v>
      </c>
      <c r="E2211" s="5" t="n">
        <v>7</v>
      </c>
      <c r="F2211" s="5" t="s">
        <v>1814</v>
      </c>
      <c r="G2211" s="2" t="s">
        <v>12057</v>
      </c>
      <c r="H2211" s="5" t="s">
        <v>8336</v>
      </c>
      <c r="I2211" s="5"/>
      <c r="J2211" s="5"/>
      <c r="K2211" s="5" t="s">
        <v>13526</v>
      </c>
    </row>
    <row r="2212" customFormat="false" ht="15" hidden="false" customHeight="false" outlineLevel="0" collapsed="false">
      <c r="A2212" s="5" t="s">
        <v>13527</v>
      </c>
      <c r="B2212" s="2" t="s">
        <v>13528</v>
      </c>
      <c r="C2212" s="5" t="s">
        <v>2128</v>
      </c>
      <c r="D2212" s="5" t="s">
        <v>62</v>
      </c>
      <c r="E2212" s="5" t="n">
        <v>7</v>
      </c>
      <c r="F2212" s="5" t="s">
        <v>413</v>
      </c>
      <c r="G2212" s="2" t="s">
        <v>367</v>
      </c>
      <c r="H2212" s="5" t="s">
        <v>8336</v>
      </c>
      <c r="I2212" s="5"/>
      <c r="J2212" s="5"/>
      <c r="K2212" s="5" t="s">
        <v>13529</v>
      </c>
    </row>
    <row r="2213" customFormat="false" ht="46.25" hidden="false" customHeight="false" outlineLevel="0" collapsed="false">
      <c r="A2213" s="5" t="s">
        <v>13530</v>
      </c>
      <c r="B2213" s="2" t="s">
        <v>13531</v>
      </c>
      <c r="C2213" s="5" t="s">
        <v>2245</v>
      </c>
      <c r="D2213" s="5" t="s">
        <v>62</v>
      </c>
      <c r="E2213" s="5" t="n">
        <v>7</v>
      </c>
      <c r="F2213" s="5" t="s">
        <v>90</v>
      </c>
      <c r="G2213" s="2" t="s">
        <v>12054</v>
      </c>
      <c r="H2213" s="5" t="s">
        <v>8336</v>
      </c>
      <c r="I2213" s="5"/>
      <c r="J2213" s="5"/>
      <c r="K2213" s="5" t="s">
        <v>13532</v>
      </c>
    </row>
    <row r="2214" customFormat="false" ht="46.25" hidden="false" customHeight="false" outlineLevel="0" collapsed="false">
      <c r="A2214" s="5" t="s">
        <v>13533</v>
      </c>
      <c r="B2214" s="2" t="s">
        <v>13534</v>
      </c>
      <c r="C2214" s="5" t="s">
        <v>2245</v>
      </c>
      <c r="D2214" s="5" t="s">
        <v>62</v>
      </c>
      <c r="E2214" s="5" t="n">
        <v>5</v>
      </c>
      <c r="F2214" s="5" t="s">
        <v>90</v>
      </c>
      <c r="G2214" s="2" t="s">
        <v>12057</v>
      </c>
      <c r="H2214" s="5" t="s">
        <v>8336</v>
      </c>
      <c r="I2214" s="5"/>
      <c r="J2214" s="5"/>
      <c r="K2214" s="5" t="s">
        <v>13535</v>
      </c>
    </row>
    <row r="2215" customFormat="false" ht="46.25" hidden="false" customHeight="false" outlineLevel="0" collapsed="false">
      <c r="A2215" s="5" t="s">
        <v>13536</v>
      </c>
      <c r="B2215" s="2" t="s">
        <v>13537</v>
      </c>
      <c r="C2215" s="5" t="s">
        <v>2245</v>
      </c>
      <c r="D2215" s="5" t="s">
        <v>62</v>
      </c>
      <c r="E2215" s="5" t="n">
        <v>7</v>
      </c>
      <c r="F2215" s="5" t="s">
        <v>90</v>
      </c>
      <c r="G2215" s="2" t="s">
        <v>12057</v>
      </c>
      <c r="H2215" s="5" t="s">
        <v>8336</v>
      </c>
      <c r="I2215" s="5"/>
      <c r="J2215" s="5"/>
      <c r="K2215" s="5" t="s">
        <v>13538</v>
      </c>
    </row>
    <row r="2216" customFormat="false" ht="46.25" hidden="false" customHeight="false" outlineLevel="0" collapsed="false">
      <c r="A2216" s="5" t="s">
        <v>13539</v>
      </c>
      <c r="B2216" s="2" t="s">
        <v>13540</v>
      </c>
      <c r="C2216" s="5" t="s">
        <v>2245</v>
      </c>
      <c r="D2216" s="5" t="s">
        <v>62</v>
      </c>
      <c r="E2216" s="5" t="n">
        <v>7</v>
      </c>
      <c r="F2216" s="5" t="s">
        <v>90</v>
      </c>
      <c r="G2216" s="2" t="s">
        <v>12057</v>
      </c>
      <c r="H2216" s="5" t="s">
        <v>8336</v>
      </c>
      <c r="I2216" s="5"/>
      <c r="J2216" s="5"/>
      <c r="K2216" s="5" t="s">
        <v>13541</v>
      </c>
    </row>
    <row r="2217" customFormat="false" ht="46.25" hidden="false" customHeight="false" outlineLevel="0" collapsed="false">
      <c r="A2217" s="5" t="s">
        <v>13542</v>
      </c>
      <c r="B2217" s="2" t="s">
        <v>13543</v>
      </c>
      <c r="C2217" s="5" t="s">
        <v>2245</v>
      </c>
      <c r="D2217" s="5" t="s">
        <v>62</v>
      </c>
      <c r="E2217" s="5" t="n">
        <v>7</v>
      </c>
      <c r="F2217" s="5" t="s">
        <v>536</v>
      </c>
      <c r="G2217" s="2" t="s">
        <v>12057</v>
      </c>
      <c r="H2217" s="5" t="s">
        <v>8336</v>
      </c>
      <c r="I2217" s="5"/>
      <c r="J2217" s="5"/>
      <c r="K2217" s="5" t="s">
        <v>13544</v>
      </c>
    </row>
    <row r="2218" customFormat="false" ht="46.25" hidden="false" customHeight="false" outlineLevel="0" collapsed="false">
      <c r="A2218" s="5" t="s">
        <v>13545</v>
      </c>
      <c r="B2218" s="2" t="s">
        <v>13546</v>
      </c>
      <c r="C2218" s="5" t="s">
        <v>2245</v>
      </c>
      <c r="D2218" s="5" t="s">
        <v>62</v>
      </c>
      <c r="E2218" s="5" t="n">
        <v>3</v>
      </c>
      <c r="F2218" s="5" t="s">
        <v>536</v>
      </c>
      <c r="G2218" s="2" t="s">
        <v>12057</v>
      </c>
      <c r="H2218" s="5" t="s">
        <v>8336</v>
      </c>
      <c r="I2218" s="5"/>
      <c r="J2218" s="5"/>
      <c r="K2218" s="5" t="s">
        <v>13547</v>
      </c>
    </row>
    <row r="2219" customFormat="false" ht="23.85" hidden="false" customHeight="false" outlineLevel="0" collapsed="false">
      <c r="A2219" s="5" t="s">
        <v>3820</v>
      </c>
      <c r="B2219" s="2" t="s">
        <v>3821</v>
      </c>
      <c r="C2219" s="5" t="s">
        <v>2128</v>
      </c>
      <c r="D2219" s="5" t="s">
        <v>62</v>
      </c>
      <c r="E2219" s="5" t="n">
        <v>7</v>
      </c>
      <c r="F2219" s="5" t="s">
        <v>67</v>
      </c>
      <c r="G2219" s="2" t="s">
        <v>367</v>
      </c>
      <c r="H2219" s="5" t="s">
        <v>8332</v>
      </c>
      <c r="I2219" s="5" t="s">
        <v>60</v>
      </c>
      <c r="J2219" s="5" t="s">
        <v>161</v>
      </c>
      <c r="K2219" s="5" t="s">
        <v>3825</v>
      </c>
    </row>
    <row r="2220" customFormat="false" ht="46.25" hidden="false" customHeight="false" outlineLevel="0" collapsed="false">
      <c r="A2220" s="5" t="s">
        <v>13548</v>
      </c>
      <c r="B2220" s="2" t="s">
        <v>13549</v>
      </c>
      <c r="C2220" s="5" t="s">
        <v>2245</v>
      </c>
      <c r="D2220" s="5" t="s">
        <v>62</v>
      </c>
      <c r="E2220" s="5" t="n">
        <v>5</v>
      </c>
      <c r="F2220" s="5" t="s">
        <v>90</v>
      </c>
      <c r="G2220" s="2" t="s">
        <v>12057</v>
      </c>
      <c r="H2220" s="5" t="s">
        <v>8336</v>
      </c>
      <c r="I2220" s="5"/>
      <c r="J2220" s="5"/>
      <c r="K2220" s="5" t="s">
        <v>13550</v>
      </c>
    </row>
    <row r="2221" customFormat="false" ht="23.85" hidden="false" customHeight="false" outlineLevel="0" collapsed="false">
      <c r="A2221" s="5" t="s">
        <v>13551</v>
      </c>
      <c r="B2221" s="2" t="s">
        <v>13552</v>
      </c>
      <c r="C2221" s="5" t="s">
        <v>2128</v>
      </c>
      <c r="D2221" s="5" t="s">
        <v>62</v>
      </c>
      <c r="E2221" s="5" t="n">
        <v>7</v>
      </c>
      <c r="F2221" s="5" t="s">
        <v>90</v>
      </c>
      <c r="G2221" s="2" t="s">
        <v>13553</v>
      </c>
      <c r="H2221" s="5" t="s">
        <v>8336</v>
      </c>
      <c r="I2221" s="5"/>
      <c r="J2221" s="5"/>
      <c r="K2221" s="5" t="s">
        <v>13554</v>
      </c>
    </row>
    <row r="2222" customFormat="false" ht="15" hidden="false" customHeight="false" outlineLevel="0" collapsed="false">
      <c r="A2222" s="5" t="s">
        <v>13555</v>
      </c>
      <c r="B2222" s="2" t="s">
        <v>13556</v>
      </c>
      <c r="C2222" s="5" t="s">
        <v>2128</v>
      </c>
      <c r="D2222" s="5" t="s">
        <v>62</v>
      </c>
      <c r="E2222" s="5" t="n">
        <v>3</v>
      </c>
      <c r="F2222" s="5" t="s">
        <v>277</v>
      </c>
      <c r="G2222" s="2" t="s">
        <v>367</v>
      </c>
      <c r="H2222" s="5" t="s">
        <v>8336</v>
      </c>
      <c r="I2222" s="5"/>
      <c r="J2222" s="5"/>
      <c r="K2222" s="5" t="s">
        <v>13557</v>
      </c>
    </row>
    <row r="2223" customFormat="false" ht="46.25" hidden="false" customHeight="false" outlineLevel="0" collapsed="false">
      <c r="A2223" s="5" t="s">
        <v>13558</v>
      </c>
      <c r="B2223" s="2" t="s">
        <v>13559</v>
      </c>
      <c r="C2223" s="5" t="s">
        <v>2245</v>
      </c>
      <c r="D2223" s="5" t="s">
        <v>62</v>
      </c>
      <c r="E2223" s="5" t="n">
        <v>5</v>
      </c>
      <c r="F2223" s="5" t="s">
        <v>90</v>
      </c>
      <c r="G2223" s="2" t="s">
        <v>12057</v>
      </c>
      <c r="H2223" s="5" t="s">
        <v>8336</v>
      </c>
      <c r="I2223" s="5"/>
      <c r="J2223" s="5"/>
      <c r="K2223" s="5" t="s">
        <v>13560</v>
      </c>
    </row>
    <row r="2224" customFormat="false" ht="23.85" hidden="false" customHeight="false" outlineLevel="0" collapsed="false">
      <c r="A2224" s="5" t="s">
        <v>1444</v>
      </c>
      <c r="B2224" s="2" t="s">
        <v>1445</v>
      </c>
      <c r="C2224" s="5" t="s">
        <v>488</v>
      </c>
      <c r="D2224" s="5" t="s">
        <v>62</v>
      </c>
      <c r="E2224" s="5" t="n">
        <v>3</v>
      </c>
      <c r="F2224" s="5" t="s">
        <v>277</v>
      </c>
      <c r="G2224" s="2" t="s">
        <v>367</v>
      </c>
      <c r="H2224" s="5" t="s">
        <v>8332</v>
      </c>
      <c r="I2224" s="5" t="s">
        <v>60</v>
      </c>
      <c r="J2224" s="5"/>
      <c r="K2224" s="5" t="s">
        <v>1449</v>
      </c>
    </row>
    <row r="2225" customFormat="false" ht="46.25" hidden="false" customHeight="false" outlineLevel="0" collapsed="false">
      <c r="A2225" s="5" t="s">
        <v>13561</v>
      </c>
      <c r="B2225" s="2" t="s">
        <v>13562</v>
      </c>
      <c r="C2225" s="5" t="s">
        <v>2245</v>
      </c>
      <c r="D2225" s="5" t="s">
        <v>62</v>
      </c>
      <c r="E2225" s="5" t="n">
        <v>5</v>
      </c>
      <c r="F2225" s="5" t="s">
        <v>1814</v>
      </c>
      <c r="G2225" s="2" t="s">
        <v>12057</v>
      </c>
      <c r="H2225" s="5" t="s">
        <v>8336</v>
      </c>
      <c r="I2225" s="5"/>
      <c r="J2225" s="5"/>
      <c r="K2225" s="5" t="s">
        <v>13563</v>
      </c>
    </row>
    <row r="2226" customFormat="false" ht="23.85" hidden="false" customHeight="false" outlineLevel="0" collapsed="false">
      <c r="A2226" s="5" t="s">
        <v>13564</v>
      </c>
      <c r="B2226" s="2" t="s">
        <v>13565</v>
      </c>
      <c r="C2226" s="5" t="s">
        <v>2128</v>
      </c>
      <c r="D2226" s="5" t="s">
        <v>62</v>
      </c>
      <c r="E2226" s="5" t="n">
        <v>7</v>
      </c>
      <c r="F2226" s="5" t="s">
        <v>1210</v>
      </c>
      <c r="G2226" s="2" t="s">
        <v>415</v>
      </c>
      <c r="H2226" s="5" t="s">
        <v>8336</v>
      </c>
      <c r="I2226" s="5"/>
      <c r="J2226" s="5"/>
      <c r="K2226" s="5" t="s">
        <v>13566</v>
      </c>
    </row>
    <row r="2227" customFormat="false" ht="23.85" hidden="false" customHeight="false" outlineLevel="0" collapsed="false">
      <c r="A2227" s="5" t="s">
        <v>3826</v>
      </c>
      <c r="B2227" s="2" t="s">
        <v>3827</v>
      </c>
      <c r="C2227" s="5" t="s">
        <v>2128</v>
      </c>
      <c r="D2227" s="5" t="s">
        <v>62</v>
      </c>
      <c r="E2227" s="5" t="n">
        <v>3</v>
      </c>
      <c r="F2227" s="5" t="s">
        <v>90</v>
      </c>
      <c r="G2227" s="2" t="s">
        <v>184</v>
      </c>
      <c r="H2227" s="5" t="s">
        <v>8332</v>
      </c>
      <c r="I2227" s="5" t="s">
        <v>60</v>
      </c>
      <c r="J2227" s="5" t="s">
        <v>182</v>
      </c>
      <c r="K2227" s="5" t="s">
        <v>3829</v>
      </c>
    </row>
    <row r="2228" customFormat="false" ht="23.85" hidden="false" customHeight="false" outlineLevel="0" collapsed="false">
      <c r="A2228" s="5" t="s">
        <v>3830</v>
      </c>
      <c r="B2228" s="2" t="s">
        <v>3831</v>
      </c>
      <c r="C2228" s="5" t="s">
        <v>2128</v>
      </c>
      <c r="D2228" s="5" t="s">
        <v>62</v>
      </c>
      <c r="E2228" s="5" t="n">
        <v>3</v>
      </c>
      <c r="F2228" s="5" t="s">
        <v>90</v>
      </c>
      <c r="G2228" s="2" t="s">
        <v>184</v>
      </c>
      <c r="H2228" s="5" t="s">
        <v>8332</v>
      </c>
      <c r="I2228" s="5" t="s">
        <v>60</v>
      </c>
      <c r="J2228" s="5" t="s">
        <v>269</v>
      </c>
      <c r="K2228" s="5" t="s">
        <v>3835</v>
      </c>
    </row>
    <row r="2229" customFormat="false" ht="23.85" hidden="false" customHeight="false" outlineLevel="0" collapsed="false">
      <c r="A2229" s="5" t="s">
        <v>1450</v>
      </c>
      <c r="B2229" s="2" t="s">
        <v>1451</v>
      </c>
      <c r="C2229" s="5" t="s">
        <v>488</v>
      </c>
      <c r="D2229" s="5" t="s">
        <v>62</v>
      </c>
      <c r="E2229" s="5" t="n">
        <v>5</v>
      </c>
      <c r="F2229" s="5" t="s">
        <v>90</v>
      </c>
      <c r="G2229" s="2" t="s">
        <v>367</v>
      </c>
      <c r="H2229" s="5" t="s">
        <v>8332</v>
      </c>
      <c r="I2229" s="5" t="s">
        <v>60</v>
      </c>
      <c r="J2229" s="5" t="s">
        <v>161</v>
      </c>
      <c r="K2229" s="5" t="s">
        <v>1454</v>
      </c>
    </row>
    <row r="2230" customFormat="false" ht="23.85" hidden="false" customHeight="false" outlineLevel="0" collapsed="false">
      <c r="A2230" s="5" t="s">
        <v>3836</v>
      </c>
      <c r="B2230" s="2" t="s">
        <v>3837</v>
      </c>
      <c r="C2230" s="5" t="s">
        <v>2128</v>
      </c>
      <c r="D2230" s="5" t="s">
        <v>62</v>
      </c>
      <c r="E2230" s="5" t="n">
        <v>3</v>
      </c>
      <c r="F2230" s="5" t="s">
        <v>413</v>
      </c>
      <c r="G2230" s="2" t="s">
        <v>184</v>
      </c>
      <c r="H2230" s="5" t="s">
        <v>8332</v>
      </c>
      <c r="I2230" s="5" t="s">
        <v>60</v>
      </c>
      <c r="J2230" s="5" t="s">
        <v>269</v>
      </c>
      <c r="K2230" s="5" t="s">
        <v>3841</v>
      </c>
    </row>
    <row r="2231" customFormat="false" ht="46.25" hidden="false" customHeight="false" outlineLevel="0" collapsed="false">
      <c r="A2231" s="5" t="s">
        <v>13567</v>
      </c>
      <c r="B2231" s="2" t="s">
        <v>13568</v>
      </c>
      <c r="C2231" s="5" t="s">
        <v>2245</v>
      </c>
      <c r="D2231" s="5" t="s">
        <v>62</v>
      </c>
      <c r="E2231" s="5" t="n">
        <v>7</v>
      </c>
      <c r="F2231" s="5" t="s">
        <v>67</v>
      </c>
      <c r="G2231" s="2" t="s">
        <v>12057</v>
      </c>
      <c r="H2231" s="5" t="s">
        <v>8336</v>
      </c>
      <c r="I2231" s="5"/>
      <c r="J2231" s="5"/>
      <c r="K2231" s="5" t="s">
        <v>13569</v>
      </c>
    </row>
    <row r="2232" customFormat="false" ht="23.85" hidden="false" customHeight="false" outlineLevel="0" collapsed="false">
      <c r="A2232" s="5" t="s">
        <v>13570</v>
      </c>
      <c r="B2232" s="2" t="s">
        <v>13571</v>
      </c>
      <c r="C2232" s="5" t="s">
        <v>2128</v>
      </c>
      <c r="D2232" s="5" t="s">
        <v>62</v>
      </c>
      <c r="E2232" s="5" t="n">
        <v>5</v>
      </c>
      <c r="F2232" s="5" t="s">
        <v>90</v>
      </c>
      <c r="G2232" s="2" t="s">
        <v>367</v>
      </c>
      <c r="H2232" s="5" t="s">
        <v>8336</v>
      </c>
      <c r="I2232" s="5"/>
      <c r="J2232" s="5"/>
      <c r="K2232" s="5" t="s">
        <v>13572</v>
      </c>
    </row>
    <row r="2233" customFormat="false" ht="46.25" hidden="false" customHeight="false" outlineLevel="0" collapsed="false">
      <c r="A2233" s="5" t="s">
        <v>13573</v>
      </c>
      <c r="B2233" s="2" t="s">
        <v>13574</v>
      </c>
      <c r="C2233" s="5" t="s">
        <v>2245</v>
      </c>
      <c r="D2233" s="5" t="s">
        <v>62</v>
      </c>
      <c r="E2233" s="5" t="n">
        <v>7</v>
      </c>
      <c r="F2233" s="5" t="s">
        <v>1814</v>
      </c>
      <c r="G2233" s="2" t="s">
        <v>12057</v>
      </c>
      <c r="H2233" s="5" t="s">
        <v>8336</v>
      </c>
      <c r="I2233" s="5"/>
      <c r="J2233" s="5"/>
      <c r="K2233" s="5" t="s">
        <v>13575</v>
      </c>
    </row>
    <row r="2234" customFormat="false" ht="46.25" hidden="false" customHeight="false" outlineLevel="0" collapsed="false">
      <c r="A2234" s="5" t="s">
        <v>13576</v>
      </c>
      <c r="B2234" s="2" t="s">
        <v>13577</v>
      </c>
      <c r="C2234" s="5" t="s">
        <v>2245</v>
      </c>
      <c r="D2234" s="5" t="s">
        <v>62</v>
      </c>
      <c r="E2234" s="5" t="n">
        <v>5</v>
      </c>
      <c r="F2234" s="5" t="s">
        <v>90</v>
      </c>
      <c r="G2234" s="2" t="s">
        <v>12057</v>
      </c>
      <c r="H2234" s="5" t="s">
        <v>8336</v>
      </c>
      <c r="I2234" s="5"/>
      <c r="J2234" s="5"/>
      <c r="K2234" s="5" t="s">
        <v>13578</v>
      </c>
    </row>
    <row r="2235" customFormat="false" ht="15" hidden="false" customHeight="false" outlineLevel="0" collapsed="false">
      <c r="A2235" s="5" t="s">
        <v>13579</v>
      </c>
      <c r="B2235" s="2" t="s">
        <v>13580</v>
      </c>
      <c r="C2235" s="5" t="s">
        <v>2128</v>
      </c>
      <c r="D2235" s="5" t="s">
        <v>62</v>
      </c>
      <c r="E2235" s="5" t="n">
        <v>5</v>
      </c>
      <c r="F2235" s="5" t="s">
        <v>90</v>
      </c>
      <c r="G2235" s="2" t="s">
        <v>367</v>
      </c>
      <c r="H2235" s="5" t="s">
        <v>8336</v>
      </c>
      <c r="I2235" s="5"/>
      <c r="J2235" s="5"/>
      <c r="K2235" s="5" t="s">
        <v>13581</v>
      </c>
    </row>
    <row r="2236" customFormat="false" ht="15" hidden="false" customHeight="false" outlineLevel="0" collapsed="false">
      <c r="A2236" s="5" t="s">
        <v>13582</v>
      </c>
      <c r="B2236" s="2" t="s">
        <v>13583</v>
      </c>
      <c r="C2236" s="5" t="s">
        <v>2128</v>
      </c>
      <c r="D2236" s="5" t="s">
        <v>62</v>
      </c>
      <c r="E2236" s="5" t="n">
        <v>5</v>
      </c>
      <c r="F2236" s="5" t="s">
        <v>90</v>
      </c>
      <c r="G2236" s="2" t="s">
        <v>367</v>
      </c>
      <c r="H2236" s="5" t="s">
        <v>8336</v>
      </c>
      <c r="I2236" s="5"/>
      <c r="J2236" s="5"/>
      <c r="K2236" s="5" t="s">
        <v>13584</v>
      </c>
    </row>
    <row r="2237" customFormat="false" ht="46.25" hidden="false" customHeight="false" outlineLevel="0" collapsed="false">
      <c r="A2237" s="5" t="s">
        <v>13585</v>
      </c>
      <c r="B2237" s="2" t="s">
        <v>13586</v>
      </c>
      <c r="C2237" s="5" t="s">
        <v>2245</v>
      </c>
      <c r="D2237" s="5" t="s">
        <v>62</v>
      </c>
      <c r="E2237" s="5" t="n">
        <v>5</v>
      </c>
      <c r="F2237" s="5" t="s">
        <v>90</v>
      </c>
      <c r="G2237" s="2" t="s">
        <v>12057</v>
      </c>
      <c r="H2237" s="5" t="s">
        <v>8336</v>
      </c>
      <c r="I2237" s="5"/>
      <c r="J2237" s="5"/>
      <c r="K2237" s="5" t="s">
        <v>13587</v>
      </c>
    </row>
    <row r="2238" customFormat="false" ht="15" hidden="false" customHeight="false" outlineLevel="0" collapsed="false">
      <c r="A2238" s="5" t="s">
        <v>365</v>
      </c>
      <c r="B2238" s="2" t="s">
        <v>366</v>
      </c>
      <c r="C2238" s="5" t="s">
        <v>59</v>
      </c>
      <c r="D2238" s="5" t="s">
        <v>62</v>
      </c>
      <c r="E2238" s="5" t="n">
        <v>9</v>
      </c>
      <c r="F2238" s="5" t="s">
        <v>100</v>
      </c>
      <c r="G2238" s="2" t="s">
        <v>367</v>
      </c>
      <c r="H2238" s="5" t="s">
        <v>8332</v>
      </c>
      <c r="I2238" s="5" t="s">
        <v>60</v>
      </c>
      <c r="J2238" s="5" t="s">
        <v>100</v>
      </c>
      <c r="K2238" s="5" t="s">
        <v>374</v>
      </c>
    </row>
    <row r="2239" customFormat="false" ht="46.25" hidden="false" customHeight="false" outlineLevel="0" collapsed="false">
      <c r="A2239" s="5" t="s">
        <v>6220</v>
      </c>
      <c r="B2239" s="2" t="s">
        <v>6221</v>
      </c>
      <c r="C2239" s="5" t="s">
        <v>2245</v>
      </c>
      <c r="D2239" s="5" t="s">
        <v>62</v>
      </c>
      <c r="E2239" s="5" t="n">
        <v>7</v>
      </c>
      <c r="F2239" s="5" t="s">
        <v>100</v>
      </c>
      <c r="G2239" s="2" t="s">
        <v>12174</v>
      </c>
      <c r="H2239" s="5" t="s">
        <v>8332</v>
      </c>
      <c r="I2239" s="5" t="s">
        <v>4760</v>
      </c>
      <c r="J2239" s="5" t="s">
        <v>100</v>
      </c>
      <c r="K2239" s="5" t="s">
        <v>6228</v>
      </c>
    </row>
    <row r="2240" customFormat="false" ht="23.85" hidden="false" customHeight="false" outlineLevel="0" collapsed="false">
      <c r="A2240" s="5" t="s">
        <v>1455</v>
      </c>
      <c r="B2240" s="2" t="s">
        <v>1456</v>
      </c>
      <c r="C2240" s="5" t="s">
        <v>488</v>
      </c>
      <c r="D2240" s="5" t="s">
        <v>62</v>
      </c>
      <c r="E2240" s="5" t="n">
        <v>7</v>
      </c>
      <c r="F2240" s="5" t="s">
        <v>100</v>
      </c>
      <c r="G2240" s="2" t="s">
        <v>184</v>
      </c>
      <c r="H2240" s="5" t="s">
        <v>8332</v>
      </c>
      <c r="I2240" s="5" t="s">
        <v>60</v>
      </c>
      <c r="J2240" s="5" t="s">
        <v>303</v>
      </c>
      <c r="K2240" s="5" t="s">
        <v>1462</v>
      </c>
    </row>
    <row r="2241" customFormat="false" ht="23.85" hidden="false" customHeight="false" outlineLevel="0" collapsed="false">
      <c r="A2241" s="5" t="s">
        <v>1463</v>
      </c>
      <c r="B2241" s="2" t="s">
        <v>1464</v>
      </c>
      <c r="C2241" s="5" t="s">
        <v>488</v>
      </c>
      <c r="D2241" s="5" t="s">
        <v>62</v>
      </c>
      <c r="E2241" s="5" t="n">
        <v>7</v>
      </c>
      <c r="F2241" s="5" t="s">
        <v>100</v>
      </c>
      <c r="G2241" s="2" t="s">
        <v>367</v>
      </c>
      <c r="H2241" s="5" t="s">
        <v>8332</v>
      </c>
      <c r="I2241" s="5" t="s">
        <v>60</v>
      </c>
      <c r="J2241" s="5" t="s">
        <v>100</v>
      </c>
      <c r="K2241" s="5" t="s">
        <v>1468</v>
      </c>
    </row>
    <row r="2242" customFormat="false" ht="46.25" hidden="false" customHeight="false" outlineLevel="0" collapsed="false">
      <c r="A2242" s="5" t="s">
        <v>6229</v>
      </c>
      <c r="B2242" s="2" t="s">
        <v>6230</v>
      </c>
      <c r="C2242" s="5" t="s">
        <v>2245</v>
      </c>
      <c r="D2242" s="5" t="s">
        <v>62</v>
      </c>
      <c r="E2242" s="5" t="n">
        <v>7</v>
      </c>
      <c r="F2242" s="5" t="s">
        <v>100</v>
      </c>
      <c r="G2242" s="2" t="s">
        <v>12057</v>
      </c>
      <c r="H2242" s="5" t="s">
        <v>8332</v>
      </c>
      <c r="I2242" s="5" t="s">
        <v>4760</v>
      </c>
      <c r="J2242" s="5" t="s">
        <v>100</v>
      </c>
      <c r="K2242" s="5" t="s">
        <v>6233</v>
      </c>
    </row>
    <row r="2243" customFormat="false" ht="46.25" hidden="false" customHeight="false" outlineLevel="0" collapsed="false">
      <c r="A2243" s="5" t="s">
        <v>6234</v>
      </c>
      <c r="B2243" s="2" t="s">
        <v>6235</v>
      </c>
      <c r="C2243" s="5" t="s">
        <v>2245</v>
      </c>
      <c r="D2243" s="5" t="s">
        <v>62</v>
      </c>
      <c r="E2243" s="5" t="n">
        <v>7</v>
      </c>
      <c r="F2243" s="5" t="s">
        <v>100</v>
      </c>
      <c r="G2243" s="2" t="s">
        <v>12057</v>
      </c>
      <c r="H2243" s="5" t="s">
        <v>8332</v>
      </c>
      <c r="I2243" s="5" t="s">
        <v>4760</v>
      </c>
      <c r="J2243" s="5" t="s">
        <v>100</v>
      </c>
      <c r="K2243" s="5" t="s">
        <v>6238</v>
      </c>
    </row>
    <row r="2244" customFormat="false" ht="23.85" hidden="false" customHeight="false" outlineLevel="0" collapsed="false">
      <c r="A2244" s="5" t="s">
        <v>1469</v>
      </c>
      <c r="B2244" s="2" t="s">
        <v>1470</v>
      </c>
      <c r="C2244" s="5" t="s">
        <v>488</v>
      </c>
      <c r="D2244" s="5" t="s">
        <v>62</v>
      </c>
      <c r="E2244" s="5" t="n">
        <v>7</v>
      </c>
      <c r="F2244" s="5" t="s">
        <v>100</v>
      </c>
      <c r="G2244" s="2" t="s">
        <v>367</v>
      </c>
      <c r="H2244" s="5" t="s">
        <v>8332</v>
      </c>
      <c r="I2244" s="5" t="s">
        <v>60</v>
      </c>
      <c r="J2244" s="5" t="s">
        <v>100</v>
      </c>
      <c r="K2244" s="5" t="s">
        <v>1473</v>
      </c>
    </row>
    <row r="2245" customFormat="false" ht="15" hidden="false" customHeight="false" outlineLevel="0" collapsed="false">
      <c r="A2245" s="5" t="s">
        <v>1474</v>
      </c>
      <c r="B2245" s="2" t="s">
        <v>1475</v>
      </c>
      <c r="C2245" s="5" t="s">
        <v>488</v>
      </c>
      <c r="D2245" s="5" t="s">
        <v>62</v>
      </c>
      <c r="E2245" s="5" t="n">
        <v>9</v>
      </c>
      <c r="F2245" s="5" t="s">
        <v>100</v>
      </c>
      <c r="G2245" s="2" t="s">
        <v>367</v>
      </c>
      <c r="H2245" s="5" t="s">
        <v>8332</v>
      </c>
      <c r="I2245" s="5" t="s">
        <v>60</v>
      </c>
      <c r="J2245" s="5" t="s">
        <v>100</v>
      </c>
      <c r="K2245" s="5" t="s">
        <v>1479</v>
      </c>
    </row>
    <row r="2246" customFormat="false" ht="46.25" hidden="false" customHeight="false" outlineLevel="0" collapsed="false">
      <c r="A2246" s="5" t="s">
        <v>6239</v>
      </c>
      <c r="B2246" s="2" t="s">
        <v>6240</v>
      </c>
      <c r="C2246" s="5" t="s">
        <v>2245</v>
      </c>
      <c r="D2246" s="5" t="s">
        <v>490</v>
      </c>
      <c r="E2246" s="5" t="n">
        <v>7</v>
      </c>
      <c r="F2246" s="5" t="s">
        <v>100</v>
      </c>
      <c r="G2246" s="2" t="s">
        <v>12521</v>
      </c>
      <c r="H2246" s="5" t="s">
        <v>8332</v>
      </c>
      <c r="I2246" s="5" t="s">
        <v>4760</v>
      </c>
      <c r="J2246" s="5" t="s">
        <v>100</v>
      </c>
      <c r="K2246" s="5" t="s">
        <v>6246</v>
      </c>
    </row>
    <row r="2247" customFormat="false" ht="23.85" hidden="false" customHeight="false" outlineLevel="0" collapsed="false">
      <c r="A2247" s="5" t="s">
        <v>1480</v>
      </c>
      <c r="B2247" s="2" t="s">
        <v>1481</v>
      </c>
      <c r="C2247" s="5" t="s">
        <v>488</v>
      </c>
      <c r="D2247" s="5" t="s">
        <v>62</v>
      </c>
      <c r="E2247" s="5" t="n">
        <v>7</v>
      </c>
      <c r="F2247" s="5" t="s">
        <v>100</v>
      </c>
      <c r="G2247" s="2" t="s">
        <v>367</v>
      </c>
      <c r="H2247" s="5" t="s">
        <v>8332</v>
      </c>
      <c r="I2247" s="5" t="s">
        <v>60</v>
      </c>
      <c r="J2247" s="5" t="s">
        <v>100</v>
      </c>
      <c r="K2247" s="5" t="s">
        <v>1484</v>
      </c>
    </row>
    <row r="2248" customFormat="false" ht="46.25" hidden="false" customHeight="false" outlineLevel="0" collapsed="false">
      <c r="A2248" s="5" t="s">
        <v>6247</v>
      </c>
      <c r="B2248" s="2" t="s">
        <v>6248</v>
      </c>
      <c r="C2248" s="5" t="s">
        <v>2245</v>
      </c>
      <c r="D2248" s="5" t="s">
        <v>62</v>
      </c>
      <c r="E2248" s="5" t="n">
        <v>7</v>
      </c>
      <c r="F2248" s="5" t="s">
        <v>100</v>
      </c>
      <c r="G2248" s="2" t="s">
        <v>12057</v>
      </c>
      <c r="H2248" s="5" t="s">
        <v>8332</v>
      </c>
      <c r="I2248" s="5" t="s">
        <v>4760</v>
      </c>
      <c r="J2248" s="5" t="s">
        <v>100</v>
      </c>
      <c r="K2248" s="5" t="s">
        <v>6251</v>
      </c>
    </row>
    <row r="2249" customFormat="false" ht="15" hidden="false" customHeight="false" outlineLevel="0" collapsed="false">
      <c r="A2249" s="5" t="s">
        <v>1485</v>
      </c>
      <c r="B2249" s="2" t="s">
        <v>1486</v>
      </c>
      <c r="C2249" s="5" t="s">
        <v>488</v>
      </c>
      <c r="D2249" s="5" t="s">
        <v>62</v>
      </c>
      <c r="E2249" s="5" t="n">
        <v>7</v>
      </c>
      <c r="F2249" s="5" t="s">
        <v>100</v>
      </c>
      <c r="G2249" s="2" t="s">
        <v>367</v>
      </c>
      <c r="H2249" s="5" t="s">
        <v>8332</v>
      </c>
      <c r="I2249" s="5" t="s">
        <v>60</v>
      </c>
      <c r="J2249" s="5" t="s">
        <v>100</v>
      </c>
      <c r="K2249" s="5" t="s">
        <v>1489</v>
      </c>
    </row>
    <row r="2250" customFormat="false" ht="23.85" hidden="false" customHeight="false" outlineLevel="0" collapsed="false">
      <c r="A2250" s="5" t="s">
        <v>1490</v>
      </c>
      <c r="B2250" s="2" t="s">
        <v>1491</v>
      </c>
      <c r="C2250" s="5" t="s">
        <v>488</v>
      </c>
      <c r="D2250" s="5" t="s">
        <v>62</v>
      </c>
      <c r="E2250" s="5" t="n">
        <v>7</v>
      </c>
      <c r="F2250" s="5" t="s">
        <v>100</v>
      </c>
      <c r="G2250" s="2" t="s">
        <v>367</v>
      </c>
      <c r="H2250" s="5" t="s">
        <v>8332</v>
      </c>
      <c r="I2250" s="5" t="s">
        <v>60</v>
      </c>
      <c r="J2250" s="5" t="s">
        <v>100</v>
      </c>
      <c r="K2250" s="5" t="s">
        <v>1494</v>
      </c>
    </row>
    <row r="2251" customFormat="false" ht="46.25" hidden="false" customHeight="false" outlineLevel="0" collapsed="false">
      <c r="A2251" s="5" t="s">
        <v>13588</v>
      </c>
      <c r="B2251" s="2" t="s">
        <v>13589</v>
      </c>
      <c r="C2251" s="5" t="s">
        <v>2245</v>
      </c>
      <c r="D2251" s="5" t="s">
        <v>62</v>
      </c>
      <c r="E2251" s="5" t="n">
        <v>7</v>
      </c>
      <c r="F2251" s="5" t="s">
        <v>67</v>
      </c>
      <c r="G2251" s="2" t="s">
        <v>12057</v>
      </c>
      <c r="H2251" s="5" t="s">
        <v>8336</v>
      </c>
      <c r="I2251" s="5"/>
      <c r="J2251" s="5"/>
      <c r="K2251" s="5" t="s">
        <v>13590</v>
      </c>
    </row>
    <row r="2252" customFormat="false" ht="46.25" hidden="false" customHeight="false" outlineLevel="0" collapsed="false">
      <c r="A2252" s="5" t="s">
        <v>13591</v>
      </c>
      <c r="B2252" s="2" t="s">
        <v>13592</v>
      </c>
      <c r="C2252" s="5" t="s">
        <v>2245</v>
      </c>
      <c r="D2252" s="5" t="s">
        <v>490</v>
      </c>
      <c r="E2252" s="5" t="n">
        <v>9</v>
      </c>
      <c r="F2252" s="5" t="s">
        <v>90</v>
      </c>
      <c r="G2252" s="2" t="s">
        <v>12310</v>
      </c>
      <c r="H2252" s="5" t="s">
        <v>8336</v>
      </c>
      <c r="I2252" s="5"/>
      <c r="J2252" s="5"/>
      <c r="K2252" s="5" t="s">
        <v>13593</v>
      </c>
    </row>
    <row r="2253" customFormat="false" ht="23.85" hidden="false" customHeight="false" outlineLevel="0" collapsed="false">
      <c r="A2253" s="5" t="s">
        <v>13594</v>
      </c>
      <c r="B2253" s="2" t="s">
        <v>13595</v>
      </c>
      <c r="C2253" s="5" t="s">
        <v>2128</v>
      </c>
      <c r="D2253" s="5" t="s">
        <v>62</v>
      </c>
      <c r="E2253" s="5" t="n">
        <v>7</v>
      </c>
      <c r="F2253" s="5" t="s">
        <v>413</v>
      </c>
      <c r="G2253" s="2" t="s">
        <v>367</v>
      </c>
      <c r="H2253" s="5" t="s">
        <v>8336</v>
      </c>
      <c r="I2253" s="5"/>
      <c r="J2253" s="5"/>
      <c r="K2253" s="5" t="s">
        <v>13596</v>
      </c>
    </row>
    <row r="2254" customFormat="false" ht="23.85" hidden="false" customHeight="false" outlineLevel="0" collapsed="false">
      <c r="A2254" s="5" t="s">
        <v>13597</v>
      </c>
      <c r="B2254" s="2" t="s">
        <v>13598</v>
      </c>
      <c r="C2254" s="5" t="s">
        <v>2128</v>
      </c>
      <c r="D2254" s="5" t="s">
        <v>62</v>
      </c>
      <c r="E2254" s="5" t="n">
        <v>7</v>
      </c>
      <c r="F2254" s="5" t="s">
        <v>67</v>
      </c>
      <c r="G2254" s="2" t="s">
        <v>367</v>
      </c>
      <c r="H2254" s="5" t="s">
        <v>8336</v>
      </c>
      <c r="I2254" s="5"/>
      <c r="J2254" s="5"/>
      <c r="K2254" s="5" t="s">
        <v>13599</v>
      </c>
    </row>
    <row r="2255" customFormat="false" ht="46.25" hidden="false" customHeight="false" outlineLevel="0" collapsed="false">
      <c r="A2255" s="5" t="s">
        <v>13600</v>
      </c>
      <c r="B2255" s="2" t="s">
        <v>13601</v>
      </c>
      <c r="C2255" s="5" t="s">
        <v>2245</v>
      </c>
      <c r="D2255" s="5" t="s">
        <v>62</v>
      </c>
      <c r="E2255" s="5" t="n">
        <v>5</v>
      </c>
      <c r="F2255" s="5" t="s">
        <v>90</v>
      </c>
      <c r="G2255" s="2" t="s">
        <v>12057</v>
      </c>
      <c r="H2255" s="5" t="s">
        <v>8336</v>
      </c>
      <c r="I2255" s="5"/>
      <c r="J2255" s="5"/>
      <c r="K2255" s="5" t="s">
        <v>13602</v>
      </c>
    </row>
    <row r="2256" customFormat="false" ht="46.25" hidden="false" customHeight="false" outlineLevel="0" collapsed="false">
      <c r="A2256" s="5" t="s">
        <v>13603</v>
      </c>
      <c r="B2256" s="2" t="s">
        <v>13604</v>
      </c>
      <c r="C2256" s="5" t="s">
        <v>2245</v>
      </c>
      <c r="D2256" s="5" t="s">
        <v>62</v>
      </c>
      <c r="E2256" s="5" t="n">
        <v>9</v>
      </c>
      <c r="F2256" s="5" t="s">
        <v>90</v>
      </c>
      <c r="G2256" s="2" t="s">
        <v>12057</v>
      </c>
      <c r="H2256" s="5" t="s">
        <v>8336</v>
      </c>
      <c r="I2256" s="5"/>
      <c r="J2256" s="5"/>
      <c r="K2256" s="5" t="s">
        <v>13605</v>
      </c>
    </row>
    <row r="2257" customFormat="false" ht="46.25" hidden="false" customHeight="false" outlineLevel="0" collapsed="false">
      <c r="A2257" s="5" t="s">
        <v>13606</v>
      </c>
      <c r="B2257" s="2" t="s">
        <v>13607</v>
      </c>
      <c r="C2257" s="5" t="s">
        <v>2245</v>
      </c>
      <c r="D2257" s="5" t="s">
        <v>62</v>
      </c>
      <c r="E2257" s="5" t="n">
        <v>7</v>
      </c>
      <c r="F2257" s="5" t="s">
        <v>413</v>
      </c>
      <c r="G2257" s="2" t="s">
        <v>12054</v>
      </c>
      <c r="H2257" s="5" t="s">
        <v>8336</v>
      </c>
      <c r="I2257" s="5"/>
      <c r="J2257" s="5"/>
      <c r="K2257" s="5" t="s">
        <v>13608</v>
      </c>
    </row>
    <row r="2258" customFormat="false" ht="23.85" hidden="false" customHeight="false" outlineLevel="0" collapsed="false">
      <c r="A2258" s="5" t="s">
        <v>13609</v>
      </c>
      <c r="B2258" s="2" t="s">
        <v>13610</v>
      </c>
      <c r="C2258" s="5" t="s">
        <v>2128</v>
      </c>
      <c r="D2258" s="5" t="s">
        <v>62</v>
      </c>
      <c r="E2258" s="5" t="n">
        <v>5</v>
      </c>
      <c r="F2258" s="5" t="s">
        <v>90</v>
      </c>
      <c r="G2258" s="2" t="s">
        <v>367</v>
      </c>
      <c r="H2258" s="5" t="s">
        <v>8336</v>
      </c>
      <c r="I2258" s="5"/>
      <c r="J2258" s="5"/>
      <c r="K2258" s="5" t="s">
        <v>13611</v>
      </c>
    </row>
    <row r="2259" customFormat="false" ht="46.25" hidden="false" customHeight="false" outlineLevel="0" collapsed="false">
      <c r="A2259" s="5" t="s">
        <v>13612</v>
      </c>
      <c r="B2259" s="2" t="s">
        <v>13613</v>
      </c>
      <c r="C2259" s="5" t="s">
        <v>2245</v>
      </c>
      <c r="D2259" s="5" t="s">
        <v>62</v>
      </c>
      <c r="E2259" s="5" t="n">
        <v>5</v>
      </c>
      <c r="F2259" s="5" t="s">
        <v>413</v>
      </c>
      <c r="G2259" s="2" t="s">
        <v>12054</v>
      </c>
      <c r="H2259" s="5" t="s">
        <v>8336</v>
      </c>
      <c r="I2259" s="5"/>
      <c r="J2259" s="5"/>
      <c r="K2259" s="5" t="s">
        <v>13614</v>
      </c>
    </row>
    <row r="2260" customFormat="false" ht="46.25" hidden="false" customHeight="false" outlineLevel="0" collapsed="false">
      <c r="A2260" s="5" t="s">
        <v>13615</v>
      </c>
      <c r="B2260" s="2" t="s">
        <v>13616</v>
      </c>
      <c r="C2260" s="5" t="s">
        <v>2245</v>
      </c>
      <c r="D2260" s="5" t="s">
        <v>62</v>
      </c>
      <c r="E2260" s="5" t="n">
        <v>7</v>
      </c>
      <c r="F2260" s="5" t="s">
        <v>413</v>
      </c>
      <c r="G2260" s="2" t="s">
        <v>12054</v>
      </c>
      <c r="H2260" s="5" t="s">
        <v>8336</v>
      </c>
      <c r="I2260" s="5"/>
      <c r="J2260" s="5"/>
      <c r="K2260" s="5" t="s">
        <v>13617</v>
      </c>
    </row>
    <row r="2261" customFormat="false" ht="23.85" hidden="false" customHeight="false" outlineLevel="0" collapsed="false">
      <c r="A2261" s="5" t="s">
        <v>13618</v>
      </c>
      <c r="B2261" s="2" t="s">
        <v>13619</v>
      </c>
      <c r="C2261" s="5" t="s">
        <v>2128</v>
      </c>
      <c r="D2261" s="5" t="s">
        <v>62</v>
      </c>
      <c r="E2261" s="5" t="n">
        <v>3</v>
      </c>
      <c r="F2261" s="5" t="s">
        <v>90</v>
      </c>
      <c r="G2261" s="2" t="s">
        <v>367</v>
      </c>
      <c r="H2261" s="5" t="s">
        <v>8336</v>
      </c>
      <c r="I2261" s="5"/>
      <c r="J2261" s="5"/>
      <c r="K2261" s="5" t="s">
        <v>13620</v>
      </c>
    </row>
    <row r="2262" customFormat="false" ht="46.25" hidden="false" customHeight="false" outlineLevel="0" collapsed="false">
      <c r="A2262" s="5" t="s">
        <v>3842</v>
      </c>
      <c r="B2262" s="2" t="s">
        <v>3843</v>
      </c>
      <c r="C2262" s="5" t="s">
        <v>2245</v>
      </c>
      <c r="D2262" s="5" t="s">
        <v>62</v>
      </c>
      <c r="E2262" s="5" t="n">
        <v>7</v>
      </c>
      <c r="F2262" s="5" t="s">
        <v>67</v>
      </c>
      <c r="G2262" s="2" t="s">
        <v>12057</v>
      </c>
      <c r="H2262" s="5" t="s">
        <v>8332</v>
      </c>
      <c r="I2262" s="5" t="s">
        <v>60</v>
      </c>
      <c r="J2262" s="5" t="s">
        <v>2591</v>
      </c>
      <c r="K2262" s="5" t="s">
        <v>3847</v>
      </c>
    </row>
    <row r="2263" customFormat="false" ht="46.25" hidden="false" customHeight="false" outlineLevel="0" collapsed="false">
      <c r="A2263" s="5" t="s">
        <v>3848</v>
      </c>
      <c r="B2263" s="2" t="s">
        <v>3849</v>
      </c>
      <c r="C2263" s="5" t="s">
        <v>2245</v>
      </c>
      <c r="D2263" s="5" t="s">
        <v>62</v>
      </c>
      <c r="E2263" s="5" t="n">
        <v>5</v>
      </c>
      <c r="F2263" s="5" t="s">
        <v>90</v>
      </c>
      <c r="G2263" s="2" t="s">
        <v>12054</v>
      </c>
      <c r="H2263" s="5" t="s">
        <v>8332</v>
      </c>
      <c r="I2263" s="5" t="s">
        <v>60</v>
      </c>
      <c r="J2263" s="5" t="s">
        <v>1174</v>
      </c>
      <c r="K2263" s="5" t="s">
        <v>3853</v>
      </c>
    </row>
    <row r="2264" customFormat="false" ht="23.85" hidden="false" customHeight="false" outlineLevel="0" collapsed="false">
      <c r="A2264" s="5" t="s">
        <v>375</v>
      </c>
      <c r="B2264" s="2" t="s">
        <v>376</v>
      </c>
      <c r="C2264" s="5" t="s">
        <v>59</v>
      </c>
      <c r="D2264" s="5" t="s">
        <v>62</v>
      </c>
      <c r="E2264" s="5" t="n">
        <v>7</v>
      </c>
      <c r="F2264" s="5" t="s">
        <v>90</v>
      </c>
      <c r="G2264" s="2" t="s">
        <v>184</v>
      </c>
      <c r="H2264" s="5" t="s">
        <v>8332</v>
      </c>
      <c r="I2264" s="5" t="s">
        <v>60</v>
      </c>
      <c r="J2264" s="5" t="s">
        <v>182</v>
      </c>
      <c r="K2264" s="5" t="s">
        <v>382</v>
      </c>
    </row>
    <row r="2265" customFormat="false" ht="23.85" hidden="false" customHeight="false" outlineLevel="0" collapsed="false">
      <c r="A2265" s="5" t="s">
        <v>383</v>
      </c>
      <c r="B2265" s="2" t="s">
        <v>384</v>
      </c>
      <c r="C2265" s="5" t="s">
        <v>59</v>
      </c>
      <c r="D2265" s="5" t="s">
        <v>62</v>
      </c>
      <c r="E2265" s="5" t="n">
        <v>7</v>
      </c>
      <c r="F2265" s="5" t="s">
        <v>90</v>
      </c>
      <c r="G2265" s="2" t="s">
        <v>184</v>
      </c>
      <c r="H2265" s="5" t="s">
        <v>8332</v>
      </c>
      <c r="I2265" s="5" t="s">
        <v>60</v>
      </c>
      <c r="J2265" s="5" t="s">
        <v>182</v>
      </c>
      <c r="K2265" s="5" t="s">
        <v>388</v>
      </c>
    </row>
    <row r="2266" customFormat="false" ht="23.85" hidden="false" customHeight="false" outlineLevel="0" collapsed="false">
      <c r="A2266" s="5" t="s">
        <v>389</v>
      </c>
      <c r="B2266" s="2" t="s">
        <v>390</v>
      </c>
      <c r="C2266" s="5" t="s">
        <v>59</v>
      </c>
      <c r="D2266" s="5" t="s">
        <v>62</v>
      </c>
      <c r="E2266" s="5" t="n">
        <v>7</v>
      </c>
      <c r="F2266" s="5" t="s">
        <v>90</v>
      </c>
      <c r="G2266" s="2" t="s">
        <v>184</v>
      </c>
      <c r="H2266" s="5" t="s">
        <v>8332</v>
      </c>
      <c r="I2266" s="5" t="s">
        <v>60</v>
      </c>
      <c r="J2266" s="5" t="s">
        <v>182</v>
      </c>
      <c r="K2266" s="5" t="s">
        <v>394</v>
      </c>
    </row>
    <row r="2267" customFormat="false" ht="15" hidden="false" customHeight="false" outlineLevel="0" collapsed="false">
      <c r="A2267" s="5" t="s">
        <v>13621</v>
      </c>
      <c r="B2267" s="2" t="s">
        <v>13622</v>
      </c>
      <c r="C2267" s="5" t="s">
        <v>2128</v>
      </c>
      <c r="D2267" s="5" t="s">
        <v>62</v>
      </c>
      <c r="E2267" s="5" t="n">
        <v>7</v>
      </c>
      <c r="F2267" s="5" t="s">
        <v>67</v>
      </c>
      <c r="G2267" s="2" t="s">
        <v>367</v>
      </c>
      <c r="H2267" s="5" t="s">
        <v>8336</v>
      </c>
      <c r="I2267" s="5"/>
      <c r="J2267" s="5"/>
      <c r="K2267" s="5" t="s">
        <v>13623</v>
      </c>
    </row>
    <row r="2268" customFormat="false" ht="46.25" hidden="false" customHeight="false" outlineLevel="0" collapsed="false">
      <c r="A2268" s="5" t="s">
        <v>13624</v>
      </c>
      <c r="B2268" s="2" t="s">
        <v>13625</v>
      </c>
      <c r="C2268" s="5" t="s">
        <v>2245</v>
      </c>
      <c r="D2268" s="5" t="s">
        <v>62</v>
      </c>
      <c r="E2268" s="5" t="n">
        <v>3</v>
      </c>
      <c r="F2268" s="5" t="s">
        <v>67</v>
      </c>
      <c r="G2268" s="2" t="s">
        <v>12057</v>
      </c>
      <c r="H2268" s="5" t="s">
        <v>8336</v>
      </c>
      <c r="I2268" s="5"/>
      <c r="J2268" s="5"/>
      <c r="K2268" s="5" t="s">
        <v>13626</v>
      </c>
    </row>
    <row r="2269" customFormat="false" ht="23.85" hidden="false" customHeight="false" outlineLevel="0" collapsed="false">
      <c r="A2269" s="5" t="s">
        <v>13627</v>
      </c>
      <c r="B2269" s="2" t="s">
        <v>13628</v>
      </c>
      <c r="C2269" s="5" t="s">
        <v>2128</v>
      </c>
      <c r="D2269" s="5" t="s">
        <v>62</v>
      </c>
      <c r="E2269" s="5" t="n">
        <v>5</v>
      </c>
      <c r="F2269" s="5" t="s">
        <v>1814</v>
      </c>
      <c r="G2269" s="2" t="s">
        <v>415</v>
      </c>
      <c r="H2269" s="5" t="s">
        <v>8336</v>
      </c>
      <c r="I2269" s="5"/>
      <c r="J2269" s="5"/>
      <c r="K2269" s="5" t="s">
        <v>13629</v>
      </c>
    </row>
    <row r="2270" customFormat="false" ht="23.85" hidden="false" customHeight="false" outlineLevel="0" collapsed="false">
      <c r="A2270" s="5" t="s">
        <v>3854</v>
      </c>
      <c r="B2270" s="2" t="s">
        <v>3855</v>
      </c>
      <c r="C2270" s="5" t="s">
        <v>2128</v>
      </c>
      <c r="D2270" s="5" t="s">
        <v>62</v>
      </c>
      <c r="E2270" s="5" t="n">
        <v>7</v>
      </c>
      <c r="F2270" s="5" t="s">
        <v>2079</v>
      </c>
      <c r="G2270" s="2" t="s">
        <v>184</v>
      </c>
      <c r="H2270" s="5" t="s">
        <v>8332</v>
      </c>
      <c r="I2270" s="5" t="s">
        <v>60</v>
      </c>
      <c r="J2270" s="5" t="s">
        <v>2078</v>
      </c>
      <c r="K2270" s="5" t="s">
        <v>3860</v>
      </c>
    </row>
    <row r="2271" customFormat="false" ht="23.85" hidden="false" customHeight="false" outlineLevel="0" collapsed="false">
      <c r="A2271" s="5" t="s">
        <v>3861</v>
      </c>
      <c r="B2271" s="2" t="s">
        <v>3862</v>
      </c>
      <c r="C2271" s="5" t="s">
        <v>2128</v>
      </c>
      <c r="D2271" s="5" t="s">
        <v>490</v>
      </c>
      <c r="E2271" s="5" t="n">
        <v>7</v>
      </c>
      <c r="F2271" s="5" t="s">
        <v>2079</v>
      </c>
      <c r="G2271" s="2" t="s">
        <v>184</v>
      </c>
      <c r="H2271" s="5" t="s">
        <v>8332</v>
      </c>
      <c r="I2271" s="5" t="s">
        <v>60</v>
      </c>
      <c r="J2271" s="5" t="s">
        <v>2078</v>
      </c>
      <c r="K2271" s="5" t="s">
        <v>3867</v>
      </c>
    </row>
    <row r="2272" customFormat="false" ht="23.85" hidden="false" customHeight="false" outlineLevel="0" collapsed="false">
      <c r="A2272" s="5" t="s">
        <v>3868</v>
      </c>
      <c r="B2272" s="2" t="s">
        <v>3869</v>
      </c>
      <c r="C2272" s="5" t="s">
        <v>2128</v>
      </c>
      <c r="D2272" s="5" t="s">
        <v>62</v>
      </c>
      <c r="E2272" s="5" t="n">
        <v>9</v>
      </c>
      <c r="F2272" s="5" t="s">
        <v>67</v>
      </c>
      <c r="G2272" s="2" t="s">
        <v>184</v>
      </c>
      <c r="H2272" s="5" t="s">
        <v>8332</v>
      </c>
      <c r="I2272" s="5" t="s">
        <v>60</v>
      </c>
      <c r="J2272" s="5" t="s">
        <v>269</v>
      </c>
      <c r="K2272" s="5" t="s">
        <v>3873</v>
      </c>
    </row>
    <row r="2273" customFormat="false" ht="23.85" hidden="false" customHeight="false" outlineLevel="0" collapsed="false">
      <c r="A2273" s="5" t="s">
        <v>13630</v>
      </c>
      <c r="B2273" s="2" t="s">
        <v>13631</v>
      </c>
      <c r="C2273" s="5" t="s">
        <v>2128</v>
      </c>
      <c r="D2273" s="5" t="s">
        <v>62</v>
      </c>
      <c r="E2273" s="5" t="n">
        <v>9</v>
      </c>
      <c r="F2273" s="5" t="s">
        <v>67</v>
      </c>
      <c r="G2273" s="2" t="s">
        <v>415</v>
      </c>
      <c r="H2273" s="5" t="s">
        <v>8336</v>
      </c>
      <c r="I2273" s="5"/>
      <c r="J2273" s="5"/>
      <c r="K2273" s="5" t="s">
        <v>13632</v>
      </c>
    </row>
    <row r="2274" customFormat="false" ht="23.85" hidden="false" customHeight="false" outlineLevel="0" collapsed="false">
      <c r="A2274" s="5" t="s">
        <v>13633</v>
      </c>
      <c r="B2274" s="2" t="s">
        <v>13634</v>
      </c>
      <c r="C2274" s="5" t="s">
        <v>2128</v>
      </c>
      <c r="D2274" s="5" t="s">
        <v>62</v>
      </c>
      <c r="E2274" s="5" t="n">
        <v>7</v>
      </c>
      <c r="F2274" s="5" t="s">
        <v>1814</v>
      </c>
      <c r="G2274" s="2" t="s">
        <v>367</v>
      </c>
      <c r="H2274" s="5" t="s">
        <v>8336</v>
      </c>
      <c r="I2274" s="5"/>
      <c r="J2274" s="5"/>
      <c r="K2274" s="5" t="s">
        <v>13635</v>
      </c>
    </row>
    <row r="2275" customFormat="false" ht="23.85" hidden="false" customHeight="false" outlineLevel="0" collapsed="false">
      <c r="A2275" s="5" t="s">
        <v>3874</v>
      </c>
      <c r="B2275" s="2" t="s">
        <v>3875</v>
      </c>
      <c r="C2275" s="5" t="s">
        <v>2128</v>
      </c>
      <c r="D2275" s="5" t="s">
        <v>62</v>
      </c>
      <c r="E2275" s="5" t="n">
        <v>7</v>
      </c>
      <c r="F2275" s="5" t="s">
        <v>67</v>
      </c>
      <c r="G2275" s="2" t="s">
        <v>184</v>
      </c>
      <c r="H2275" s="5" t="s">
        <v>8332</v>
      </c>
      <c r="I2275" s="5" t="s">
        <v>60</v>
      </c>
      <c r="J2275" s="5" t="s">
        <v>269</v>
      </c>
      <c r="K2275" s="5" t="s">
        <v>3880</v>
      </c>
    </row>
    <row r="2276" customFormat="false" ht="46.25" hidden="false" customHeight="false" outlineLevel="0" collapsed="false">
      <c r="A2276" s="5" t="s">
        <v>13636</v>
      </c>
      <c r="B2276" s="2" t="s">
        <v>13637</v>
      </c>
      <c r="C2276" s="5" t="s">
        <v>2245</v>
      </c>
      <c r="D2276" s="5" t="s">
        <v>62</v>
      </c>
      <c r="E2276" s="5" t="n">
        <v>7</v>
      </c>
      <c r="F2276" s="5" t="s">
        <v>90</v>
      </c>
      <c r="G2276" s="2" t="s">
        <v>12174</v>
      </c>
      <c r="H2276" s="5" t="s">
        <v>8336</v>
      </c>
      <c r="I2276" s="5"/>
      <c r="J2276" s="5"/>
      <c r="K2276" s="5" t="s">
        <v>13638</v>
      </c>
    </row>
    <row r="2277" customFormat="false" ht="23.85" hidden="false" customHeight="false" outlineLevel="0" collapsed="false">
      <c r="A2277" s="5" t="s">
        <v>13639</v>
      </c>
      <c r="B2277" s="2" t="s">
        <v>13640</v>
      </c>
      <c r="C2277" s="5" t="s">
        <v>2128</v>
      </c>
      <c r="D2277" s="5" t="s">
        <v>62</v>
      </c>
      <c r="E2277" s="5" t="n">
        <v>5</v>
      </c>
      <c r="F2277" s="5" t="s">
        <v>413</v>
      </c>
      <c r="G2277" s="2" t="s">
        <v>367</v>
      </c>
      <c r="H2277" s="5" t="s">
        <v>8336</v>
      </c>
      <c r="I2277" s="5"/>
      <c r="J2277" s="5"/>
      <c r="K2277" s="5" t="s">
        <v>13641</v>
      </c>
    </row>
    <row r="2278" customFormat="false" ht="15" hidden="false" customHeight="false" outlineLevel="0" collapsed="false">
      <c r="A2278" s="5" t="s">
        <v>13642</v>
      </c>
      <c r="B2278" s="2" t="s">
        <v>13643</v>
      </c>
      <c r="C2278" s="5" t="s">
        <v>2128</v>
      </c>
      <c r="D2278" s="5" t="s">
        <v>62</v>
      </c>
      <c r="E2278" s="5" t="n">
        <v>7</v>
      </c>
      <c r="F2278" s="5" t="s">
        <v>90</v>
      </c>
      <c r="G2278" s="2" t="s">
        <v>367</v>
      </c>
      <c r="H2278" s="5" t="s">
        <v>8336</v>
      </c>
      <c r="I2278" s="5"/>
      <c r="J2278" s="5"/>
      <c r="K2278" s="5" t="s">
        <v>13644</v>
      </c>
    </row>
    <row r="2279" customFormat="false" ht="23.85" hidden="false" customHeight="false" outlineLevel="0" collapsed="false">
      <c r="A2279" s="5" t="s">
        <v>1495</v>
      </c>
      <c r="B2279" s="2" t="s">
        <v>1496</v>
      </c>
      <c r="C2279" s="5" t="s">
        <v>488</v>
      </c>
      <c r="D2279" s="5" t="s">
        <v>62</v>
      </c>
      <c r="E2279" s="5" t="n">
        <v>7</v>
      </c>
      <c r="F2279" s="5" t="s">
        <v>90</v>
      </c>
      <c r="G2279" s="2" t="s">
        <v>367</v>
      </c>
      <c r="H2279" s="5" t="s">
        <v>8332</v>
      </c>
      <c r="I2279" s="5" t="s">
        <v>60</v>
      </c>
      <c r="J2279" s="5"/>
      <c r="K2279" s="5" t="s">
        <v>1499</v>
      </c>
    </row>
    <row r="2280" customFormat="false" ht="23.85" hidden="false" customHeight="false" outlineLevel="0" collapsed="false">
      <c r="A2280" s="5" t="s">
        <v>13645</v>
      </c>
      <c r="B2280" s="2" t="s">
        <v>13646</v>
      </c>
      <c r="C2280" s="5" t="s">
        <v>2128</v>
      </c>
      <c r="D2280" s="5" t="s">
        <v>62</v>
      </c>
      <c r="E2280" s="5" t="n">
        <v>7</v>
      </c>
      <c r="F2280" s="5" t="s">
        <v>67</v>
      </c>
      <c r="G2280" s="2" t="s">
        <v>1513</v>
      </c>
      <c r="H2280" s="5" t="s">
        <v>8336</v>
      </c>
      <c r="I2280" s="5"/>
      <c r="J2280" s="5"/>
      <c r="K2280" s="5" t="s">
        <v>13647</v>
      </c>
    </row>
    <row r="2281" customFormat="false" ht="15" hidden="false" customHeight="false" outlineLevel="0" collapsed="false">
      <c r="A2281" s="5" t="s">
        <v>13648</v>
      </c>
      <c r="B2281" s="2" t="s">
        <v>13649</v>
      </c>
      <c r="C2281" s="5" t="s">
        <v>2128</v>
      </c>
      <c r="D2281" s="5" t="s">
        <v>62</v>
      </c>
      <c r="E2281" s="5" t="n">
        <v>7</v>
      </c>
      <c r="F2281" s="5" t="s">
        <v>67</v>
      </c>
      <c r="G2281" s="2" t="s">
        <v>367</v>
      </c>
      <c r="H2281" s="5" t="s">
        <v>8336</v>
      </c>
      <c r="I2281" s="5"/>
      <c r="J2281" s="5"/>
      <c r="K2281" s="5" t="s">
        <v>13650</v>
      </c>
    </row>
    <row r="2282" customFormat="false" ht="23.85" hidden="false" customHeight="false" outlineLevel="0" collapsed="false">
      <c r="A2282" s="5" t="s">
        <v>13651</v>
      </c>
      <c r="B2282" s="2" t="s">
        <v>13652</v>
      </c>
      <c r="C2282" s="5" t="s">
        <v>2128</v>
      </c>
      <c r="D2282" s="5" t="s">
        <v>62</v>
      </c>
      <c r="E2282" s="5" t="n">
        <v>5</v>
      </c>
      <c r="F2282" s="5" t="s">
        <v>90</v>
      </c>
      <c r="G2282" s="2" t="s">
        <v>367</v>
      </c>
      <c r="H2282" s="5" t="s">
        <v>8336</v>
      </c>
      <c r="I2282" s="5"/>
      <c r="J2282" s="5"/>
      <c r="K2282" s="5" t="s">
        <v>13653</v>
      </c>
    </row>
    <row r="2283" customFormat="false" ht="23.85" hidden="false" customHeight="false" outlineLevel="0" collapsed="false">
      <c r="A2283" s="5" t="s">
        <v>13654</v>
      </c>
      <c r="B2283" s="2" t="s">
        <v>13655</v>
      </c>
      <c r="C2283" s="5" t="s">
        <v>2128</v>
      </c>
      <c r="D2283" s="5" t="s">
        <v>62</v>
      </c>
      <c r="E2283" s="5" t="n">
        <v>7</v>
      </c>
      <c r="F2283" s="5" t="s">
        <v>413</v>
      </c>
      <c r="G2283" s="2" t="s">
        <v>367</v>
      </c>
      <c r="H2283" s="5" t="s">
        <v>8336</v>
      </c>
      <c r="I2283" s="5"/>
      <c r="J2283" s="5"/>
      <c r="K2283" s="5" t="s">
        <v>13656</v>
      </c>
    </row>
    <row r="2284" customFormat="false" ht="46.25" hidden="false" customHeight="false" outlineLevel="0" collapsed="false">
      <c r="A2284" s="5" t="s">
        <v>395</v>
      </c>
      <c r="B2284" s="2" t="s">
        <v>396</v>
      </c>
      <c r="C2284" s="5" t="s">
        <v>59</v>
      </c>
      <c r="D2284" s="5" t="s">
        <v>62</v>
      </c>
      <c r="E2284" s="5" t="n">
        <v>9</v>
      </c>
      <c r="F2284" s="5" t="s">
        <v>100</v>
      </c>
      <c r="G2284" s="2" t="s">
        <v>12078</v>
      </c>
      <c r="H2284" s="5" t="s">
        <v>8332</v>
      </c>
      <c r="I2284" s="5" t="s">
        <v>60</v>
      </c>
      <c r="J2284" s="5" t="s">
        <v>397</v>
      </c>
      <c r="K2284" s="5" t="s">
        <v>400</v>
      </c>
    </row>
    <row r="2285" customFormat="false" ht="23.85" hidden="false" customHeight="false" outlineLevel="0" collapsed="false">
      <c r="A2285" s="5" t="s">
        <v>1500</v>
      </c>
      <c r="B2285" s="2" t="s">
        <v>1501</v>
      </c>
      <c r="C2285" s="5" t="s">
        <v>488</v>
      </c>
      <c r="D2285" s="5" t="s">
        <v>62</v>
      </c>
      <c r="E2285" s="5" t="n">
        <v>7</v>
      </c>
      <c r="F2285" s="5" t="s">
        <v>100</v>
      </c>
      <c r="G2285" s="2" t="s">
        <v>184</v>
      </c>
      <c r="H2285" s="5" t="s">
        <v>8332</v>
      </c>
      <c r="I2285" s="5" t="s">
        <v>60</v>
      </c>
      <c r="J2285" s="5" t="s">
        <v>449</v>
      </c>
      <c r="K2285" s="5" t="s">
        <v>1505</v>
      </c>
    </row>
    <row r="2286" customFormat="false" ht="15" hidden="false" customHeight="false" outlineLevel="0" collapsed="false">
      <c r="A2286" s="5" t="s">
        <v>1506</v>
      </c>
      <c r="B2286" s="2" t="s">
        <v>1507</v>
      </c>
      <c r="C2286" s="5" t="s">
        <v>488</v>
      </c>
      <c r="D2286" s="5" t="s">
        <v>62</v>
      </c>
      <c r="E2286" s="5" t="n">
        <v>9</v>
      </c>
      <c r="F2286" s="5" t="s">
        <v>90</v>
      </c>
      <c r="G2286" s="2" t="s">
        <v>367</v>
      </c>
      <c r="H2286" s="5" t="s">
        <v>8332</v>
      </c>
      <c r="I2286" s="5" t="s">
        <v>60</v>
      </c>
      <c r="J2286" s="5"/>
      <c r="K2286" s="5" t="s">
        <v>1510</v>
      </c>
    </row>
    <row r="2287" customFormat="false" ht="15" hidden="false" customHeight="false" outlineLevel="0" collapsed="false">
      <c r="A2287" s="5" t="s">
        <v>6252</v>
      </c>
      <c r="B2287" s="2" t="s">
        <v>6253</v>
      </c>
      <c r="C2287" s="5" t="s">
        <v>2245</v>
      </c>
      <c r="D2287" s="5" t="s">
        <v>490</v>
      </c>
      <c r="E2287" s="5" t="n">
        <v>7</v>
      </c>
      <c r="F2287" s="5" t="s">
        <v>100</v>
      </c>
      <c r="G2287" s="2" t="s">
        <v>670</v>
      </c>
      <c r="H2287" s="5" t="s">
        <v>8332</v>
      </c>
      <c r="I2287" s="5" t="s">
        <v>4760</v>
      </c>
      <c r="J2287" s="5" t="s">
        <v>100</v>
      </c>
      <c r="K2287" s="5" t="s">
        <v>6257</v>
      </c>
    </row>
    <row r="2288" customFormat="false" ht="46.25" hidden="false" customHeight="false" outlineLevel="0" collapsed="false">
      <c r="A2288" s="5" t="s">
        <v>13657</v>
      </c>
      <c r="B2288" s="2" t="s">
        <v>13658</v>
      </c>
      <c r="C2288" s="5" t="s">
        <v>2245</v>
      </c>
      <c r="D2288" s="5" t="s">
        <v>490</v>
      </c>
      <c r="E2288" s="5" t="n">
        <v>7</v>
      </c>
      <c r="F2288" s="5" t="s">
        <v>413</v>
      </c>
      <c r="G2288" s="2" t="s">
        <v>12057</v>
      </c>
      <c r="H2288" s="5" t="s">
        <v>8336</v>
      </c>
      <c r="I2288" s="5"/>
      <c r="J2288" s="5"/>
      <c r="K2288" s="5" t="s">
        <v>13659</v>
      </c>
    </row>
    <row r="2289" customFormat="false" ht="46.25" hidden="false" customHeight="false" outlineLevel="0" collapsed="false">
      <c r="A2289" s="5" t="s">
        <v>13660</v>
      </c>
      <c r="B2289" s="2" t="s">
        <v>13661</v>
      </c>
      <c r="C2289" s="5" t="s">
        <v>2245</v>
      </c>
      <c r="D2289" s="5" t="s">
        <v>490</v>
      </c>
      <c r="E2289" s="5" t="n">
        <v>5</v>
      </c>
      <c r="F2289" s="5" t="s">
        <v>413</v>
      </c>
      <c r="G2289" s="2" t="s">
        <v>12057</v>
      </c>
      <c r="H2289" s="5" t="s">
        <v>8336</v>
      </c>
      <c r="I2289" s="5"/>
      <c r="J2289" s="5"/>
      <c r="K2289" s="5" t="s">
        <v>13662</v>
      </c>
    </row>
    <row r="2290" customFormat="false" ht="15" hidden="false" customHeight="false" outlineLevel="0" collapsed="false">
      <c r="A2290" s="5" t="s">
        <v>6258</v>
      </c>
      <c r="B2290" s="2" t="s">
        <v>6259</v>
      </c>
      <c r="C2290" s="5" t="s">
        <v>2128</v>
      </c>
      <c r="D2290" s="5" t="s">
        <v>62</v>
      </c>
      <c r="E2290" s="5" t="n">
        <v>7</v>
      </c>
      <c r="F2290" s="5" t="s">
        <v>2079</v>
      </c>
      <c r="G2290" s="2" t="s">
        <v>367</v>
      </c>
      <c r="H2290" s="5" t="s">
        <v>8332</v>
      </c>
      <c r="I2290" s="5" t="s">
        <v>4760</v>
      </c>
      <c r="J2290" s="5" t="s">
        <v>2079</v>
      </c>
      <c r="K2290" s="5" t="s">
        <v>6262</v>
      </c>
    </row>
    <row r="2291" customFormat="false" ht="15" hidden="false" customHeight="false" outlineLevel="0" collapsed="false">
      <c r="A2291" s="5" t="s">
        <v>6263</v>
      </c>
      <c r="B2291" s="2" t="s">
        <v>6264</v>
      </c>
      <c r="C2291" s="5" t="s">
        <v>2128</v>
      </c>
      <c r="D2291" s="5" t="s">
        <v>62</v>
      </c>
      <c r="E2291" s="5" t="n">
        <v>7</v>
      </c>
      <c r="F2291" s="5" t="s">
        <v>2079</v>
      </c>
      <c r="G2291" s="2" t="s">
        <v>367</v>
      </c>
      <c r="H2291" s="5" t="s">
        <v>8332</v>
      </c>
      <c r="I2291" s="5" t="s">
        <v>4760</v>
      </c>
      <c r="J2291" s="5" t="s">
        <v>2079</v>
      </c>
      <c r="K2291" s="5" t="s">
        <v>6267</v>
      </c>
    </row>
    <row r="2292" customFormat="false" ht="46.25" hidden="false" customHeight="false" outlineLevel="0" collapsed="false">
      <c r="A2292" s="5" t="s">
        <v>13663</v>
      </c>
      <c r="B2292" s="2" t="s">
        <v>13664</v>
      </c>
      <c r="C2292" s="5" t="s">
        <v>2245</v>
      </c>
      <c r="D2292" s="5" t="s">
        <v>62</v>
      </c>
      <c r="E2292" s="5" t="n">
        <v>3</v>
      </c>
      <c r="F2292" s="5" t="s">
        <v>67</v>
      </c>
      <c r="G2292" s="2" t="s">
        <v>12057</v>
      </c>
      <c r="H2292" s="5" t="s">
        <v>8336</v>
      </c>
      <c r="I2292" s="5"/>
      <c r="J2292" s="5"/>
      <c r="K2292" s="5" t="s">
        <v>13665</v>
      </c>
    </row>
    <row r="2293" customFormat="false" ht="15" hidden="false" customHeight="false" outlineLevel="0" collapsed="false">
      <c r="A2293" s="5" t="s">
        <v>3881</v>
      </c>
      <c r="B2293" s="2" t="s">
        <v>3882</v>
      </c>
      <c r="C2293" s="5" t="s">
        <v>2128</v>
      </c>
      <c r="D2293" s="5" t="s">
        <v>62</v>
      </c>
      <c r="E2293" s="5" t="n">
        <v>5</v>
      </c>
      <c r="F2293" s="5" t="s">
        <v>67</v>
      </c>
      <c r="G2293" s="2" t="s">
        <v>367</v>
      </c>
      <c r="H2293" s="5" t="s">
        <v>8332</v>
      </c>
      <c r="I2293" s="5" t="s">
        <v>60</v>
      </c>
      <c r="J2293" s="5" t="s">
        <v>1174</v>
      </c>
      <c r="K2293" s="5" t="s">
        <v>3885</v>
      </c>
    </row>
    <row r="2294" customFormat="false" ht="46.25" hidden="false" customHeight="false" outlineLevel="0" collapsed="false">
      <c r="A2294" s="5" t="s">
        <v>3886</v>
      </c>
      <c r="B2294" s="2" t="s">
        <v>3887</v>
      </c>
      <c r="C2294" s="5" t="s">
        <v>2245</v>
      </c>
      <c r="D2294" s="5" t="s">
        <v>62</v>
      </c>
      <c r="E2294" s="5" t="n">
        <v>5</v>
      </c>
      <c r="F2294" s="5" t="s">
        <v>67</v>
      </c>
      <c r="G2294" s="2" t="s">
        <v>12054</v>
      </c>
      <c r="H2294" s="5" t="s">
        <v>8332</v>
      </c>
      <c r="I2294" s="5" t="s">
        <v>60</v>
      </c>
      <c r="J2294" s="5" t="s">
        <v>1174</v>
      </c>
      <c r="K2294" s="5" t="s">
        <v>3890</v>
      </c>
    </row>
    <row r="2295" customFormat="false" ht="46.25" hidden="false" customHeight="false" outlineLevel="0" collapsed="false">
      <c r="A2295" s="5" t="s">
        <v>13666</v>
      </c>
      <c r="B2295" s="2" t="s">
        <v>13667</v>
      </c>
      <c r="C2295" s="5" t="s">
        <v>2245</v>
      </c>
      <c r="D2295" s="5" t="s">
        <v>62</v>
      </c>
      <c r="E2295" s="5" t="n">
        <v>7</v>
      </c>
      <c r="F2295" s="5" t="s">
        <v>90</v>
      </c>
      <c r="G2295" s="2" t="s">
        <v>12057</v>
      </c>
      <c r="H2295" s="5" t="s">
        <v>8336</v>
      </c>
      <c r="I2295" s="5"/>
      <c r="J2295" s="5"/>
      <c r="K2295" s="5" t="s">
        <v>13668</v>
      </c>
    </row>
    <row r="2296" customFormat="false" ht="15" hidden="false" customHeight="false" outlineLevel="0" collapsed="false">
      <c r="A2296" s="5" t="s">
        <v>13669</v>
      </c>
      <c r="B2296" s="2" t="s">
        <v>13670</v>
      </c>
      <c r="C2296" s="5" t="s">
        <v>2128</v>
      </c>
      <c r="D2296" s="5" t="s">
        <v>62</v>
      </c>
      <c r="E2296" s="5" t="n">
        <v>5</v>
      </c>
      <c r="F2296" s="5" t="s">
        <v>67</v>
      </c>
      <c r="G2296" s="2" t="s">
        <v>367</v>
      </c>
      <c r="H2296" s="5" t="s">
        <v>8336</v>
      </c>
      <c r="I2296" s="5"/>
      <c r="J2296" s="5"/>
      <c r="K2296" s="5" t="s">
        <v>13671</v>
      </c>
    </row>
    <row r="2297" customFormat="false" ht="23.85" hidden="false" customHeight="false" outlineLevel="0" collapsed="false">
      <c r="A2297" s="5" t="s">
        <v>13672</v>
      </c>
      <c r="B2297" s="2" t="s">
        <v>13673</v>
      </c>
      <c r="C2297" s="5" t="s">
        <v>2128</v>
      </c>
      <c r="D2297" s="5" t="s">
        <v>62</v>
      </c>
      <c r="E2297" s="5" t="n">
        <v>9</v>
      </c>
      <c r="F2297" s="5" t="s">
        <v>90</v>
      </c>
      <c r="G2297" s="2" t="s">
        <v>415</v>
      </c>
      <c r="H2297" s="5" t="s">
        <v>8336</v>
      </c>
      <c r="I2297" s="5"/>
      <c r="J2297" s="5"/>
      <c r="K2297" s="5" t="s">
        <v>13674</v>
      </c>
    </row>
    <row r="2298" customFormat="false" ht="15" hidden="false" customHeight="false" outlineLevel="0" collapsed="false">
      <c r="A2298" s="5" t="s">
        <v>13675</v>
      </c>
      <c r="B2298" s="2" t="s">
        <v>13676</v>
      </c>
      <c r="C2298" s="5" t="s">
        <v>2128</v>
      </c>
      <c r="D2298" s="5" t="s">
        <v>62</v>
      </c>
      <c r="E2298" s="5" t="n">
        <v>7</v>
      </c>
      <c r="F2298" s="5" t="s">
        <v>90</v>
      </c>
      <c r="G2298" s="2" t="s">
        <v>367</v>
      </c>
      <c r="H2298" s="5" t="s">
        <v>8336</v>
      </c>
      <c r="I2298" s="5"/>
      <c r="J2298" s="5"/>
      <c r="K2298" s="5" t="s">
        <v>13677</v>
      </c>
    </row>
    <row r="2299" customFormat="false" ht="46.25" hidden="false" customHeight="false" outlineLevel="0" collapsed="false">
      <c r="A2299" s="5" t="s">
        <v>13678</v>
      </c>
      <c r="B2299" s="2" t="s">
        <v>13679</v>
      </c>
      <c r="C2299" s="5" t="s">
        <v>2245</v>
      </c>
      <c r="D2299" s="5" t="s">
        <v>62</v>
      </c>
      <c r="E2299" s="5" t="n">
        <v>7</v>
      </c>
      <c r="F2299" s="5" t="s">
        <v>90</v>
      </c>
      <c r="G2299" s="2" t="s">
        <v>12057</v>
      </c>
      <c r="H2299" s="5" t="s">
        <v>8336</v>
      </c>
      <c r="I2299" s="5"/>
      <c r="J2299" s="5"/>
      <c r="K2299" s="5" t="s">
        <v>13680</v>
      </c>
    </row>
    <row r="2300" customFormat="false" ht="15" hidden="false" customHeight="false" outlineLevel="0" collapsed="false">
      <c r="A2300" s="5" t="s">
        <v>13681</v>
      </c>
      <c r="B2300" s="2" t="s">
        <v>13682</v>
      </c>
      <c r="C2300" s="5" t="s">
        <v>2128</v>
      </c>
      <c r="D2300" s="5" t="s">
        <v>62</v>
      </c>
      <c r="E2300" s="5" t="n">
        <v>7</v>
      </c>
      <c r="F2300" s="5" t="s">
        <v>67</v>
      </c>
      <c r="G2300" s="2" t="s">
        <v>367</v>
      </c>
      <c r="H2300" s="5" t="s">
        <v>8336</v>
      </c>
      <c r="I2300" s="5"/>
      <c r="J2300" s="5"/>
      <c r="K2300" s="5" t="s">
        <v>13683</v>
      </c>
    </row>
    <row r="2301" customFormat="false" ht="15" hidden="false" customHeight="false" outlineLevel="0" collapsed="false">
      <c r="A2301" s="5" t="s">
        <v>13684</v>
      </c>
      <c r="B2301" s="2" t="s">
        <v>13685</v>
      </c>
      <c r="C2301" s="5" t="s">
        <v>2128</v>
      </c>
      <c r="D2301" s="5" t="s">
        <v>62</v>
      </c>
      <c r="E2301" s="5" t="n">
        <v>5</v>
      </c>
      <c r="F2301" s="5" t="s">
        <v>90</v>
      </c>
      <c r="G2301" s="2" t="s">
        <v>367</v>
      </c>
      <c r="H2301" s="5" t="s">
        <v>8336</v>
      </c>
      <c r="I2301" s="5"/>
      <c r="J2301" s="5"/>
      <c r="K2301" s="5" t="s">
        <v>13686</v>
      </c>
    </row>
    <row r="2302" customFormat="false" ht="46.25" hidden="false" customHeight="false" outlineLevel="0" collapsed="false">
      <c r="A2302" s="5" t="s">
        <v>13687</v>
      </c>
      <c r="B2302" s="2" t="s">
        <v>13688</v>
      </c>
      <c r="C2302" s="5" t="s">
        <v>2245</v>
      </c>
      <c r="D2302" s="5" t="s">
        <v>490</v>
      </c>
      <c r="E2302" s="5" t="n">
        <v>5</v>
      </c>
      <c r="F2302" s="5" t="s">
        <v>90</v>
      </c>
      <c r="G2302" s="2" t="s">
        <v>12310</v>
      </c>
      <c r="H2302" s="5" t="s">
        <v>8336</v>
      </c>
      <c r="I2302" s="5"/>
      <c r="J2302" s="5"/>
      <c r="K2302" s="5" t="s">
        <v>13689</v>
      </c>
    </row>
    <row r="2303" customFormat="false" ht="23.85" hidden="false" customHeight="false" outlineLevel="0" collapsed="false">
      <c r="A2303" s="5" t="s">
        <v>13690</v>
      </c>
      <c r="B2303" s="2" t="s">
        <v>13691</v>
      </c>
      <c r="C2303" s="5" t="s">
        <v>2128</v>
      </c>
      <c r="D2303" s="5" t="s">
        <v>62</v>
      </c>
      <c r="E2303" s="5" t="n">
        <v>7</v>
      </c>
      <c r="F2303" s="5" t="s">
        <v>67</v>
      </c>
      <c r="G2303" s="2" t="s">
        <v>367</v>
      </c>
      <c r="H2303" s="5" t="s">
        <v>8336</v>
      </c>
      <c r="I2303" s="5"/>
      <c r="J2303" s="5"/>
      <c r="K2303" s="5" t="s">
        <v>13692</v>
      </c>
    </row>
    <row r="2304" customFormat="false" ht="15" hidden="false" customHeight="false" outlineLevel="0" collapsed="false">
      <c r="A2304" s="5" t="s">
        <v>13693</v>
      </c>
      <c r="B2304" s="2" t="s">
        <v>13694</v>
      </c>
      <c r="C2304" s="5" t="s">
        <v>2128</v>
      </c>
      <c r="D2304" s="5" t="s">
        <v>62</v>
      </c>
      <c r="E2304" s="5" t="n">
        <v>7</v>
      </c>
      <c r="F2304" s="5" t="s">
        <v>90</v>
      </c>
      <c r="G2304" s="2" t="s">
        <v>367</v>
      </c>
      <c r="H2304" s="5" t="s">
        <v>8336</v>
      </c>
      <c r="I2304" s="5"/>
      <c r="J2304" s="5"/>
      <c r="K2304" s="5" t="s">
        <v>13695</v>
      </c>
    </row>
    <row r="2305" customFormat="false" ht="23.85" hidden="false" customHeight="false" outlineLevel="0" collapsed="false">
      <c r="A2305" s="5" t="s">
        <v>13696</v>
      </c>
      <c r="B2305" s="2" t="s">
        <v>13697</v>
      </c>
      <c r="C2305" s="5" t="s">
        <v>2128</v>
      </c>
      <c r="D2305" s="5" t="s">
        <v>62</v>
      </c>
      <c r="E2305" s="5" t="n">
        <v>5</v>
      </c>
      <c r="F2305" s="5" t="s">
        <v>90</v>
      </c>
      <c r="G2305" s="2" t="s">
        <v>1513</v>
      </c>
      <c r="H2305" s="5" t="s">
        <v>8336</v>
      </c>
      <c r="I2305" s="5"/>
      <c r="J2305" s="5"/>
      <c r="K2305" s="5" t="s">
        <v>13698</v>
      </c>
    </row>
    <row r="2306" customFormat="false" ht="23.85" hidden="false" customHeight="false" outlineLevel="0" collapsed="false">
      <c r="A2306" s="5" t="s">
        <v>13699</v>
      </c>
      <c r="B2306" s="2" t="s">
        <v>13700</v>
      </c>
      <c r="C2306" s="5" t="s">
        <v>2128</v>
      </c>
      <c r="D2306" s="5" t="s">
        <v>62</v>
      </c>
      <c r="E2306" s="5" t="n">
        <v>5</v>
      </c>
      <c r="F2306" s="5" t="s">
        <v>67</v>
      </c>
      <c r="G2306" s="2" t="s">
        <v>1513</v>
      </c>
      <c r="H2306" s="5" t="s">
        <v>8336</v>
      </c>
      <c r="I2306" s="5"/>
      <c r="J2306" s="5"/>
      <c r="K2306" s="5" t="s">
        <v>13701</v>
      </c>
    </row>
    <row r="2307" customFormat="false" ht="15" hidden="false" customHeight="false" outlineLevel="0" collapsed="false">
      <c r="A2307" s="5" t="s">
        <v>13702</v>
      </c>
      <c r="B2307" s="2" t="s">
        <v>13703</v>
      </c>
      <c r="C2307" s="5" t="s">
        <v>2128</v>
      </c>
      <c r="D2307" s="5" t="s">
        <v>62</v>
      </c>
      <c r="E2307" s="5" t="n">
        <v>5</v>
      </c>
      <c r="F2307" s="5" t="s">
        <v>67</v>
      </c>
      <c r="G2307" s="2" t="s">
        <v>367</v>
      </c>
      <c r="H2307" s="5" t="s">
        <v>8336</v>
      </c>
      <c r="I2307" s="5"/>
      <c r="J2307" s="5"/>
      <c r="K2307" s="5" t="s">
        <v>13704</v>
      </c>
    </row>
    <row r="2308" customFormat="false" ht="15" hidden="false" customHeight="false" outlineLevel="0" collapsed="false">
      <c r="A2308" s="5" t="s">
        <v>13705</v>
      </c>
      <c r="B2308" s="2" t="s">
        <v>13706</v>
      </c>
      <c r="C2308" s="5" t="s">
        <v>2128</v>
      </c>
      <c r="D2308" s="5" t="s">
        <v>62</v>
      </c>
      <c r="E2308" s="5" t="n">
        <v>5</v>
      </c>
      <c r="F2308" s="5" t="s">
        <v>67</v>
      </c>
      <c r="G2308" s="2" t="s">
        <v>367</v>
      </c>
      <c r="H2308" s="5" t="s">
        <v>8336</v>
      </c>
      <c r="I2308" s="5"/>
      <c r="J2308" s="5"/>
      <c r="K2308" s="5" t="s">
        <v>13707</v>
      </c>
    </row>
    <row r="2309" customFormat="false" ht="23.85" hidden="false" customHeight="false" outlineLevel="0" collapsed="false">
      <c r="A2309" s="5" t="s">
        <v>1511</v>
      </c>
      <c r="B2309" s="2" t="s">
        <v>1512</v>
      </c>
      <c r="C2309" s="5" t="s">
        <v>488</v>
      </c>
      <c r="D2309" s="5" t="s">
        <v>62</v>
      </c>
      <c r="E2309" s="5" t="n">
        <v>7</v>
      </c>
      <c r="F2309" s="5" t="s">
        <v>90</v>
      </c>
      <c r="G2309" s="2" t="s">
        <v>1513</v>
      </c>
      <c r="H2309" s="5" t="s">
        <v>8332</v>
      </c>
      <c r="I2309" s="5" t="s">
        <v>60</v>
      </c>
      <c r="J2309" s="5" t="s">
        <v>161</v>
      </c>
      <c r="K2309" s="5" t="s">
        <v>1518</v>
      </c>
    </row>
    <row r="2310" customFormat="false" ht="46.25" hidden="false" customHeight="false" outlineLevel="0" collapsed="false">
      <c r="A2310" s="5" t="s">
        <v>13708</v>
      </c>
      <c r="B2310" s="2" t="s">
        <v>13709</v>
      </c>
      <c r="C2310" s="5" t="s">
        <v>2245</v>
      </c>
      <c r="D2310" s="5" t="s">
        <v>490</v>
      </c>
      <c r="E2310" s="5" t="n">
        <v>5</v>
      </c>
      <c r="F2310" s="5" t="s">
        <v>536</v>
      </c>
      <c r="G2310" s="2" t="s">
        <v>12521</v>
      </c>
      <c r="H2310" s="5" t="s">
        <v>8336</v>
      </c>
      <c r="I2310" s="5"/>
      <c r="J2310" s="5"/>
      <c r="K2310" s="5" t="s">
        <v>13710</v>
      </c>
    </row>
    <row r="2311" customFormat="false" ht="23.85" hidden="false" customHeight="false" outlineLevel="0" collapsed="false">
      <c r="A2311" s="5" t="s">
        <v>13711</v>
      </c>
      <c r="B2311" s="2" t="s">
        <v>13712</v>
      </c>
      <c r="C2311" s="5" t="s">
        <v>2128</v>
      </c>
      <c r="D2311" s="5" t="s">
        <v>62</v>
      </c>
      <c r="E2311" s="5" t="n">
        <v>7</v>
      </c>
      <c r="F2311" s="5" t="s">
        <v>90</v>
      </c>
      <c r="G2311" s="2" t="s">
        <v>1513</v>
      </c>
      <c r="H2311" s="5" t="s">
        <v>8336</v>
      </c>
      <c r="I2311" s="5"/>
      <c r="J2311" s="5"/>
      <c r="K2311" s="5" t="s">
        <v>13713</v>
      </c>
    </row>
    <row r="2312" customFormat="false" ht="46.25" hidden="false" customHeight="false" outlineLevel="0" collapsed="false">
      <c r="A2312" s="5" t="s">
        <v>13714</v>
      </c>
      <c r="B2312" s="2" t="s">
        <v>13715</v>
      </c>
      <c r="C2312" s="5" t="s">
        <v>2245</v>
      </c>
      <c r="D2312" s="5" t="s">
        <v>62</v>
      </c>
      <c r="E2312" s="5" t="n">
        <v>3</v>
      </c>
      <c r="F2312" s="5" t="s">
        <v>90</v>
      </c>
      <c r="G2312" s="2" t="s">
        <v>12521</v>
      </c>
      <c r="H2312" s="5" t="s">
        <v>8336</v>
      </c>
      <c r="I2312" s="5"/>
      <c r="J2312" s="5"/>
      <c r="K2312" s="5" t="s">
        <v>13716</v>
      </c>
    </row>
    <row r="2313" customFormat="false" ht="46.25" hidden="false" customHeight="false" outlineLevel="0" collapsed="false">
      <c r="A2313" s="5" t="s">
        <v>13717</v>
      </c>
      <c r="B2313" s="2" t="s">
        <v>13718</v>
      </c>
      <c r="C2313" s="5" t="s">
        <v>2245</v>
      </c>
      <c r="D2313" s="5" t="s">
        <v>62</v>
      </c>
      <c r="E2313" s="5" t="n">
        <v>5</v>
      </c>
      <c r="F2313" s="5" t="s">
        <v>90</v>
      </c>
      <c r="G2313" s="2" t="s">
        <v>12521</v>
      </c>
      <c r="H2313" s="5" t="s">
        <v>8336</v>
      </c>
      <c r="I2313" s="5"/>
      <c r="J2313" s="5"/>
      <c r="K2313" s="5" t="s">
        <v>13719</v>
      </c>
    </row>
    <row r="2314" customFormat="false" ht="23.85" hidden="false" customHeight="false" outlineLevel="0" collapsed="false">
      <c r="A2314" s="5" t="s">
        <v>13720</v>
      </c>
      <c r="B2314" s="2" t="s">
        <v>13721</v>
      </c>
      <c r="C2314" s="5" t="s">
        <v>2128</v>
      </c>
      <c r="D2314" s="5" t="s">
        <v>62</v>
      </c>
      <c r="E2314" s="5" t="n">
        <v>7</v>
      </c>
      <c r="F2314" s="5" t="s">
        <v>90</v>
      </c>
      <c r="G2314" s="2" t="s">
        <v>1513</v>
      </c>
      <c r="H2314" s="5" t="s">
        <v>8336</v>
      </c>
      <c r="I2314" s="5"/>
      <c r="J2314" s="5"/>
      <c r="K2314" s="5" t="s">
        <v>13722</v>
      </c>
    </row>
    <row r="2315" customFormat="false" ht="23.85" hidden="false" customHeight="false" outlineLevel="0" collapsed="false">
      <c r="A2315" s="5" t="s">
        <v>13723</v>
      </c>
      <c r="B2315" s="2" t="s">
        <v>13724</v>
      </c>
      <c r="C2315" s="5" t="s">
        <v>2128</v>
      </c>
      <c r="D2315" s="5" t="s">
        <v>62</v>
      </c>
      <c r="E2315" s="5" t="n">
        <v>7</v>
      </c>
      <c r="F2315" s="5" t="s">
        <v>90</v>
      </c>
      <c r="G2315" s="2" t="s">
        <v>1513</v>
      </c>
      <c r="H2315" s="5" t="s">
        <v>8336</v>
      </c>
      <c r="I2315" s="5"/>
      <c r="J2315" s="5"/>
      <c r="K2315" s="5" t="s">
        <v>13725</v>
      </c>
    </row>
    <row r="2316" customFormat="false" ht="23.85" hidden="false" customHeight="false" outlineLevel="0" collapsed="false">
      <c r="A2316" s="5" t="s">
        <v>13726</v>
      </c>
      <c r="B2316" s="2" t="s">
        <v>13727</v>
      </c>
      <c r="C2316" s="5" t="s">
        <v>2128</v>
      </c>
      <c r="D2316" s="5" t="s">
        <v>62</v>
      </c>
      <c r="E2316" s="5" t="n">
        <v>7</v>
      </c>
      <c r="F2316" s="5" t="s">
        <v>90</v>
      </c>
      <c r="G2316" s="2" t="s">
        <v>1513</v>
      </c>
      <c r="H2316" s="5" t="s">
        <v>8336</v>
      </c>
      <c r="I2316" s="5"/>
      <c r="J2316" s="5"/>
      <c r="K2316" s="5" t="s">
        <v>13728</v>
      </c>
    </row>
    <row r="2317" customFormat="false" ht="23.85" hidden="false" customHeight="false" outlineLevel="0" collapsed="false">
      <c r="A2317" s="5" t="s">
        <v>13729</v>
      </c>
      <c r="B2317" s="2" t="s">
        <v>13730</v>
      </c>
      <c r="C2317" s="5" t="s">
        <v>2128</v>
      </c>
      <c r="D2317" s="5" t="s">
        <v>62</v>
      </c>
      <c r="E2317" s="5" t="n">
        <v>7</v>
      </c>
      <c r="F2317" s="5" t="s">
        <v>90</v>
      </c>
      <c r="G2317" s="2" t="s">
        <v>367</v>
      </c>
      <c r="H2317" s="5" t="s">
        <v>8336</v>
      </c>
      <c r="I2317" s="5"/>
      <c r="J2317" s="5"/>
      <c r="K2317" s="5" t="s">
        <v>13731</v>
      </c>
    </row>
    <row r="2318" customFormat="false" ht="15" hidden="false" customHeight="false" outlineLevel="0" collapsed="false">
      <c r="A2318" s="5" t="s">
        <v>13732</v>
      </c>
      <c r="B2318" s="2" t="s">
        <v>13733</v>
      </c>
      <c r="C2318" s="5" t="s">
        <v>2128</v>
      </c>
      <c r="D2318" s="5" t="s">
        <v>62</v>
      </c>
      <c r="E2318" s="5" t="n">
        <v>3</v>
      </c>
      <c r="F2318" s="5" t="s">
        <v>1814</v>
      </c>
      <c r="G2318" s="2" t="s">
        <v>367</v>
      </c>
      <c r="H2318" s="5" t="s">
        <v>8336</v>
      </c>
      <c r="I2318" s="5"/>
      <c r="J2318" s="5"/>
      <c r="K2318" s="5" t="s">
        <v>13734</v>
      </c>
    </row>
    <row r="2319" customFormat="false" ht="46.25" hidden="false" customHeight="false" outlineLevel="0" collapsed="false">
      <c r="A2319" s="5" t="s">
        <v>13735</v>
      </c>
      <c r="B2319" s="2" t="s">
        <v>13736</v>
      </c>
      <c r="C2319" s="5" t="s">
        <v>2245</v>
      </c>
      <c r="D2319" s="5" t="s">
        <v>62</v>
      </c>
      <c r="E2319" s="5" t="n">
        <v>5</v>
      </c>
      <c r="F2319" s="5" t="s">
        <v>67</v>
      </c>
      <c r="G2319" s="2" t="s">
        <v>12057</v>
      </c>
      <c r="H2319" s="5" t="s">
        <v>8336</v>
      </c>
      <c r="I2319" s="5"/>
      <c r="J2319" s="5"/>
      <c r="K2319" s="5" t="s">
        <v>13737</v>
      </c>
    </row>
    <row r="2320" customFormat="false" ht="46.25" hidden="false" customHeight="false" outlineLevel="0" collapsed="false">
      <c r="A2320" s="5" t="s">
        <v>401</v>
      </c>
      <c r="B2320" s="2" t="s">
        <v>402</v>
      </c>
      <c r="C2320" s="5" t="s">
        <v>59</v>
      </c>
      <c r="D2320" s="5" t="s">
        <v>62</v>
      </c>
      <c r="E2320" s="5" t="n">
        <v>9</v>
      </c>
      <c r="F2320" s="5" t="s">
        <v>100</v>
      </c>
      <c r="G2320" s="2" t="s">
        <v>12078</v>
      </c>
      <c r="H2320" s="5" t="s">
        <v>8332</v>
      </c>
      <c r="I2320" s="5" t="s">
        <v>60</v>
      </c>
      <c r="J2320" s="5" t="s">
        <v>397</v>
      </c>
      <c r="K2320" s="5" t="s">
        <v>405</v>
      </c>
    </row>
    <row r="2321" customFormat="false" ht="15" hidden="false" customHeight="false" outlineLevel="0" collapsed="false">
      <c r="A2321" s="5" t="s">
        <v>13738</v>
      </c>
      <c r="B2321" s="2" t="s">
        <v>13739</v>
      </c>
      <c r="C2321" s="5" t="s">
        <v>2128</v>
      </c>
      <c r="D2321" s="5" t="s">
        <v>62</v>
      </c>
      <c r="E2321" s="5" t="n">
        <v>7</v>
      </c>
      <c r="F2321" s="5" t="s">
        <v>90</v>
      </c>
      <c r="G2321" s="2" t="s">
        <v>367</v>
      </c>
      <c r="H2321" s="5" t="s">
        <v>8336</v>
      </c>
      <c r="I2321" s="5"/>
      <c r="J2321" s="5"/>
      <c r="K2321" s="5" t="s">
        <v>13740</v>
      </c>
    </row>
    <row r="2322" customFormat="false" ht="46.25" hidden="false" customHeight="false" outlineLevel="0" collapsed="false">
      <c r="A2322" s="5" t="s">
        <v>13741</v>
      </c>
      <c r="B2322" s="2" t="s">
        <v>13742</v>
      </c>
      <c r="C2322" s="5" t="s">
        <v>2245</v>
      </c>
      <c r="D2322" s="5" t="s">
        <v>62</v>
      </c>
      <c r="E2322" s="5" t="n">
        <v>7</v>
      </c>
      <c r="F2322" s="5" t="s">
        <v>67</v>
      </c>
      <c r="G2322" s="2" t="s">
        <v>12057</v>
      </c>
      <c r="H2322" s="5" t="s">
        <v>8336</v>
      </c>
      <c r="I2322" s="5"/>
      <c r="J2322" s="5"/>
      <c r="K2322" s="5" t="s">
        <v>13743</v>
      </c>
    </row>
    <row r="2323" customFormat="false" ht="46.25" hidden="false" customHeight="false" outlineLevel="0" collapsed="false">
      <c r="A2323" s="5" t="s">
        <v>13744</v>
      </c>
      <c r="B2323" s="2" t="s">
        <v>13745</v>
      </c>
      <c r="C2323" s="5" t="s">
        <v>2245</v>
      </c>
      <c r="D2323" s="5" t="s">
        <v>490</v>
      </c>
      <c r="E2323" s="5" t="n">
        <v>5</v>
      </c>
      <c r="F2323" s="5" t="s">
        <v>1814</v>
      </c>
      <c r="G2323" s="2" t="s">
        <v>12054</v>
      </c>
      <c r="H2323" s="5" t="s">
        <v>8336</v>
      </c>
      <c r="I2323" s="5"/>
      <c r="J2323" s="5"/>
      <c r="K2323" s="5" t="s">
        <v>13746</v>
      </c>
    </row>
    <row r="2324" customFormat="false" ht="15" hidden="false" customHeight="false" outlineLevel="0" collapsed="false">
      <c r="A2324" s="5" t="s">
        <v>3891</v>
      </c>
      <c r="B2324" s="2" t="s">
        <v>3892</v>
      </c>
      <c r="C2324" s="5" t="s">
        <v>2128</v>
      </c>
      <c r="D2324" s="5" t="s">
        <v>62</v>
      </c>
      <c r="E2324" s="5" t="n">
        <v>7</v>
      </c>
      <c r="F2324" s="5" t="s">
        <v>67</v>
      </c>
      <c r="G2324" s="2" t="s">
        <v>367</v>
      </c>
      <c r="H2324" s="5" t="s">
        <v>8332</v>
      </c>
      <c r="I2324" s="5" t="s">
        <v>60</v>
      </c>
      <c r="J2324" s="5" t="s">
        <v>269</v>
      </c>
      <c r="K2324" s="5" t="s">
        <v>3897</v>
      </c>
    </row>
    <row r="2325" customFormat="false" ht="15" hidden="false" customHeight="false" outlineLevel="0" collapsed="false">
      <c r="A2325" s="5" t="s">
        <v>13747</v>
      </c>
      <c r="B2325" s="2" t="s">
        <v>13748</v>
      </c>
      <c r="C2325" s="5" t="s">
        <v>2128</v>
      </c>
      <c r="D2325" s="5" t="s">
        <v>62</v>
      </c>
      <c r="E2325" s="5" t="n">
        <v>7</v>
      </c>
      <c r="F2325" s="5" t="s">
        <v>67</v>
      </c>
      <c r="G2325" s="2" t="s">
        <v>367</v>
      </c>
      <c r="H2325" s="5" t="s">
        <v>8336</v>
      </c>
      <c r="I2325" s="5"/>
      <c r="J2325" s="5"/>
      <c r="K2325" s="5" t="s">
        <v>13749</v>
      </c>
    </row>
    <row r="2326" customFormat="false" ht="23.85" hidden="false" customHeight="false" outlineLevel="0" collapsed="false">
      <c r="A2326" s="5" t="s">
        <v>3898</v>
      </c>
      <c r="B2326" s="2" t="s">
        <v>3899</v>
      </c>
      <c r="C2326" s="5" t="s">
        <v>2128</v>
      </c>
      <c r="D2326" s="5" t="s">
        <v>62</v>
      </c>
      <c r="E2326" s="5" t="n">
        <v>5</v>
      </c>
      <c r="F2326" s="5" t="s">
        <v>67</v>
      </c>
      <c r="G2326" s="2" t="s">
        <v>367</v>
      </c>
      <c r="H2326" s="5" t="s">
        <v>8332</v>
      </c>
      <c r="I2326" s="5" t="s">
        <v>60</v>
      </c>
      <c r="J2326" s="5" t="s">
        <v>751</v>
      </c>
      <c r="K2326" s="5" t="s">
        <v>3903</v>
      </c>
    </row>
    <row r="2327" customFormat="false" ht="23.85" hidden="false" customHeight="false" outlineLevel="0" collapsed="false">
      <c r="A2327" s="5" t="s">
        <v>13750</v>
      </c>
      <c r="B2327" s="2" t="s">
        <v>13751</v>
      </c>
      <c r="C2327" s="5" t="s">
        <v>2128</v>
      </c>
      <c r="D2327" s="5" t="s">
        <v>62</v>
      </c>
      <c r="E2327" s="5" t="n">
        <v>5</v>
      </c>
      <c r="F2327" s="5" t="s">
        <v>90</v>
      </c>
      <c r="G2327" s="2" t="s">
        <v>415</v>
      </c>
      <c r="H2327" s="5" t="s">
        <v>8336</v>
      </c>
      <c r="I2327" s="5"/>
      <c r="J2327" s="5"/>
      <c r="K2327" s="5" t="s">
        <v>13752</v>
      </c>
    </row>
    <row r="2328" customFormat="false" ht="46.25" hidden="false" customHeight="false" outlineLevel="0" collapsed="false">
      <c r="A2328" s="5" t="s">
        <v>13753</v>
      </c>
      <c r="B2328" s="2" t="s">
        <v>13754</v>
      </c>
      <c r="C2328" s="5" t="s">
        <v>2245</v>
      </c>
      <c r="D2328" s="5" t="s">
        <v>62</v>
      </c>
      <c r="E2328" s="5" t="n">
        <v>5</v>
      </c>
      <c r="F2328" s="5" t="s">
        <v>1814</v>
      </c>
      <c r="G2328" s="2" t="s">
        <v>12057</v>
      </c>
      <c r="H2328" s="5" t="s">
        <v>8336</v>
      </c>
      <c r="I2328" s="5"/>
      <c r="J2328" s="5"/>
      <c r="K2328" s="5" t="s">
        <v>13755</v>
      </c>
    </row>
    <row r="2329" customFormat="false" ht="23.85" hidden="false" customHeight="false" outlineLevel="0" collapsed="false">
      <c r="A2329" s="5" t="s">
        <v>13756</v>
      </c>
      <c r="B2329" s="2" t="s">
        <v>13757</v>
      </c>
      <c r="C2329" s="5" t="s">
        <v>2128</v>
      </c>
      <c r="D2329" s="5" t="s">
        <v>62</v>
      </c>
      <c r="E2329" s="5" t="n">
        <v>7</v>
      </c>
      <c r="F2329" s="5" t="s">
        <v>536</v>
      </c>
      <c r="G2329" s="2" t="s">
        <v>367</v>
      </c>
      <c r="H2329" s="5" t="s">
        <v>8336</v>
      </c>
      <c r="I2329" s="5"/>
      <c r="J2329" s="5"/>
      <c r="K2329" s="5" t="s">
        <v>13758</v>
      </c>
    </row>
    <row r="2330" customFormat="false" ht="46.25" hidden="false" customHeight="false" outlineLevel="0" collapsed="false">
      <c r="A2330" s="5" t="s">
        <v>13759</v>
      </c>
      <c r="B2330" s="2" t="s">
        <v>13760</v>
      </c>
      <c r="C2330" s="5" t="s">
        <v>2245</v>
      </c>
      <c r="D2330" s="5" t="s">
        <v>62</v>
      </c>
      <c r="E2330" s="5" t="n">
        <v>7</v>
      </c>
      <c r="F2330" s="5" t="s">
        <v>90</v>
      </c>
      <c r="G2330" s="2" t="s">
        <v>12057</v>
      </c>
      <c r="H2330" s="5" t="s">
        <v>8336</v>
      </c>
      <c r="I2330" s="5"/>
      <c r="J2330" s="5"/>
      <c r="K2330" s="5" t="s">
        <v>13761</v>
      </c>
    </row>
    <row r="2331" customFormat="false" ht="46.25" hidden="false" customHeight="false" outlineLevel="0" collapsed="false">
      <c r="A2331" s="5" t="s">
        <v>13762</v>
      </c>
      <c r="B2331" s="2" t="s">
        <v>13763</v>
      </c>
      <c r="C2331" s="5" t="s">
        <v>2128</v>
      </c>
      <c r="D2331" s="5" t="s">
        <v>62</v>
      </c>
      <c r="E2331" s="5" t="n">
        <v>7</v>
      </c>
      <c r="F2331" s="5" t="s">
        <v>1814</v>
      </c>
      <c r="G2331" s="2" t="s">
        <v>12057</v>
      </c>
      <c r="H2331" s="5" t="s">
        <v>8336</v>
      </c>
      <c r="I2331" s="5"/>
      <c r="J2331" s="5"/>
      <c r="K2331" s="5" t="s">
        <v>13764</v>
      </c>
    </row>
    <row r="2332" customFormat="false" ht="46.25" hidden="false" customHeight="false" outlineLevel="0" collapsed="false">
      <c r="A2332" s="5" t="s">
        <v>13765</v>
      </c>
      <c r="B2332" s="2" t="s">
        <v>13766</v>
      </c>
      <c r="C2332" s="5" t="s">
        <v>2245</v>
      </c>
      <c r="D2332" s="5" t="s">
        <v>62</v>
      </c>
      <c r="E2332" s="5" t="n">
        <v>5</v>
      </c>
      <c r="F2332" s="5" t="s">
        <v>1814</v>
      </c>
      <c r="G2332" s="2" t="s">
        <v>12057</v>
      </c>
      <c r="H2332" s="5" t="s">
        <v>8336</v>
      </c>
      <c r="I2332" s="5"/>
      <c r="J2332" s="5"/>
      <c r="K2332" s="5" t="s">
        <v>13767</v>
      </c>
    </row>
    <row r="2333" customFormat="false" ht="46.25" hidden="false" customHeight="false" outlineLevel="0" collapsed="false">
      <c r="A2333" s="5" t="s">
        <v>13768</v>
      </c>
      <c r="B2333" s="2" t="s">
        <v>13769</v>
      </c>
      <c r="C2333" s="5" t="s">
        <v>2245</v>
      </c>
      <c r="D2333" s="5" t="s">
        <v>62</v>
      </c>
      <c r="E2333" s="5" t="n">
        <v>5</v>
      </c>
      <c r="F2333" s="5" t="s">
        <v>1814</v>
      </c>
      <c r="G2333" s="2" t="s">
        <v>12057</v>
      </c>
      <c r="H2333" s="5" t="s">
        <v>8336</v>
      </c>
      <c r="I2333" s="5"/>
      <c r="J2333" s="5"/>
      <c r="K2333" s="5" t="s">
        <v>13770</v>
      </c>
    </row>
    <row r="2334" customFormat="false" ht="46.25" hidden="false" customHeight="false" outlineLevel="0" collapsed="false">
      <c r="A2334" s="5" t="s">
        <v>13771</v>
      </c>
      <c r="B2334" s="2" t="s">
        <v>13772</v>
      </c>
      <c r="C2334" s="5" t="s">
        <v>2245</v>
      </c>
      <c r="D2334" s="5" t="s">
        <v>62</v>
      </c>
      <c r="E2334" s="5" t="n">
        <v>5</v>
      </c>
      <c r="F2334" s="5" t="s">
        <v>1814</v>
      </c>
      <c r="G2334" s="2" t="s">
        <v>12057</v>
      </c>
      <c r="H2334" s="5" t="s">
        <v>8336</v>
      </c>
      <c r="I2334" s="5"/>
      <c r="J2334" s="5"/>
      <c r="K2334" s="5" t="s">
        <v>13773</v>
      </c>
    </row>
    <row r="2335" customFormat="false" ht="46.25" hidden="false" customHeight="false" outlineLevel="0" collapsed="false">
      <c r="A2335" s="5" t="s">
        <v>13774</v>
      </c>
      <c r="B2335" s="2" t="s">
        <v>13775</v>
      </c>
      <c r="C2335" s="5" t="s">
        <v>2245</v>
      </c>
      <c r="D2335" s="5" t="s">
        <v>62</v>
      </c>
      <c r="E2335" s="5" t="n">
        <v>5</v>
      </c>
      <c r="F2335" s="5" t="s">
        <v>1814</v>
      </c>
      <c r="G2335" s="2" t="s">
        <v>12057</v>
      </c>
      <c r="H2335" s="5" t="s">
        <v>8336</v>
      </c>
      <c r="I2335" s="5"/>
      <c r="J2335" s="5"/>
      <c r="K2335" s="5" t="s">
        <v>13776</v>
      </c>
    </row>
    <row r="2336" customFormat="false" ht="46.25" hidden="false" customHeight="false" outlineLevel="0" collapsed="false">
      <c r="A2336" s="5" t="s">
        <v>13777</v>
      </c>
      <c r="B2336" s="2" t="s">
        <v>13778</v>
      </c>
      <c r="C2336" s="5" t="s">
        <v>2245</v>
      </c>
      <c r="D2336" s="5" t="s">
        <v>62</v>
      </c>
      <c r="E2336" s="5" t="n">
        <v>3</v>
      </c>
      <c r="F2336" s="5" t="s">
        <v>8902</v>
      </c>
      <c r="G2336" s="2" t="s">
        <v>12057</v>
      </c>
      <c r="H2336" s="5" t="s">
        <v>8336</v>
      </c>
      <c r="I2336" s="5"/>
      <c r="J2336" s="5"/>
      <c r="K2336" s="5" t="s">
        <v>13779</v>
      </c>
    </row>
    <row r="2337" customFormat="false" ht="46.25" hidden="false" customHeight="false" outlineLevel="0" collapsed="false">
      <c r="A2337" s="5" t="s">
        <v>13780</v>
      </c>
      <c r="B2337" s="2" t="s">
        <v>13781</v>
      </c>
      <c r="C2337" s="5" t="s">
        <v>2245</v>
      </c>
      <c r="D2337" s="5" t="s">
        <v>62</v>
      </c>
      <c r="E2337" s="5" t="n">
        <v>5</v>
      </c>
      <c r="F2337" s="5" t="s">
        <v>1814</v>
      </c>
      <c r="G2337" s="2" t="s">
        <v>12057</v>
      </c>
      <c r="H2337" s="5" t="s">
        <v>8336</v>
      </c>
      <c r="I2337" s="5"/>
      <c r="J2337" s="5"/>
      <c r="K2337" s="5" t="s">
        <v>13782</v>
      </c>
    </row>
    <row r="2338" customFormat="false" ht="46.25" hidden="false" customHeight="false" outlineLevel="0" collapsed="false">
      <c r="A2338" s="5" t="s">
        <v>13783</v>
      </c>
      <c r="B2338" s="2" t="s">
        <v>13784</v>
      </c>
      <c r="C2338" s="5" t="s">
        <v>2245</v>
      </c>
      <c r="D2338" s="5" t="s">
        <v>490</v>
      </c>
      <c r="E2338" s="5" t="n">
        <v>7</v>
      </c>
      <c r="F2338" s="5" t="s">
        <v>1814</v>
      </c>
      <c r="G2338" s="2" t="s">
        <v>12057</v>
      </c>
      <c r="H2338" s="5" t="s">
        <v>8336</v>
      </c>
      <c r="I2338" s="5"/>
      <c r="J2338" s="5"/>
      <c r="K2338" s="5" t="s">
        <v>13785</v>
      </c>
    </row>
    <row r="2339" customFormat="false" ht="46.25" hidden="false" customHeight="false" outlineLevel="0" collapsed="false">
      <c r="A2339" s="5" t="s">
        <v>13786</v>
      </c>
      <c r="B2339" s="2" t="s">
        <v>13787</v>
      </c>
      <c r="C2339" s="5" t="s">
        <v>2245</v>
      </c>
      <c r="D2339" s="5" t="s">
        <v>62</v>
      </c>
      <c r="E2339" s="5" t="n">
        <v>7</v>
      </c>
      <c r="F2339" s="5" t="s">
        <v>90</v>
      </c>
      <c r="G2339" s="2" t="s">
        <v>12057</v>
      </c>
      <c r="H2339" s="5" t="s">
        <v>8336</v>
      </c>
      <c r="I2339" s="5"/>
      <c r="J2339" s="5"/>
      <c r="K2339" s="5" t="s">
        <v>13788</v>
      </c>
    </row>
    <row r="2340" customFormat="false" ht="15" hidden="false" customHeight="false" outlineLevel="0" collapsed="false">
      <c r="A2340" s="5" t="s">
        <v>13789</v>
      </c>
      <c r="B2340" s="2" t="s">
        <v>13790</v>
      </c>
      <c r="C2340" s="5" t="s">
        <v>2128</v>
      </c>
      <c r="D2340" s="5" t="s">
        <v>62</v>
      </c>
      <c r="E2340" s="5" t="n">
        <v>7</v>
      </c>
      <c r="F2340" s="5" t="s">
        <v>277</v>
      </c>
      <c r="G2340" s="2" t="s">
        <v>367</v>
      </c>
      <c r="H2340" s="5" t="s">
        <v>8336</v>
      </c>
      <c r="I2340" s="5"/>
      <c r="J2340" s="5"/>
      <c r="K2340" s="5" t="s">
        <v>13791</v>
      </c>
    </row>
    <row r="2341" customFormat="false" ht="23.85" hidden="false" customHeight="false" outlineLevel="0" collapsed="false">
      <c r="A2341" s="5" t="s">
        <v>13792</v>
      </c>
      <c r="B2341" s="2" t="s">
        <v>13793</v>
      </c>
      <c r="C2341" s="5" t="s">
        <v>2128</v>
      </c>
      <c r="D2341" s="5" t="s">
        <v>62</v>
      </c>
      <c r="E2341" s="5" t="n">
        <v>7</v>
      </c>
      <c r="F2341" s="5" t="s">
        <v>90</v>
      </c>
      <c r="G2341" s="2" t="s">
        <v>367</v>
      </c>
      <c r="H2341" s="5" t="s">
        <v>8336</v>
      </c>
      <c r="I2341" s="5"/>
      <c r="J2341" s="5"/>
      <c r="K2341" s="5" t="s">
        <v>13794</v>
      </c>
    </row>
    <row r="2342" customFormat="false" ht="46.25" hidden="false" customHeight="false" outlineLevel="0" collapsed="false">
      <c r="A2342" s="5" t="s">
        <v>13795</v>
      </c>
      <c r="B2342" s="2" t="s">
        <v>13796</v>
      </c>
      <c r="C2342" s="5" t="s">
        <v>2245</v>
      </c>
      <c r="D2342" s="5" t="s">
        <v>62</v>
      </c>
      <c r="E2342" s="5" t="n">
        <v>1</v>
      </c>
      <c r="F2342" s="5" t="s">
        <v>413</v>
      </c>
      <c r="G2342" s="2" t="s">
        <v>12057</v>
      </c>
      <c r="H2342" s="5" t="s">
        <v>8336</v>
      </c>
      <c r="I2342" s="5"/>
      <c r="J2342" s="5"/>
      <c r="K2342" s="5" t="s">
        <v>13797</v>
      </c>
    </row>
    <row r="2343" customFormat="false" ht="46.25" hidden="false" customHeight="false" outlineLevel="0" collapsed="false">
      <c r="A2343" s="5" t="s">
        <v>13798</v>
      </c>
      <c r="B2343" s="2" t="s">
        <v>13799</v>
      </c>
      <c r="C2343" s="5" t="s">
        <v>2245</v>
      </c>
      <c r="D2343" s="5" t="s">
        <v>62</v>
      </c>
      <c r="E2343" s="5" t="n">
        <v>5</v>
      </c>
      <c r="F2343" s="5" t="s">
        <v>67</v>
      </c>
      <c r="G2343" s="2" t="s">
        <v>12057</v>
      </c>
      <c r="H2343" s="5" t="s">
        <v>8336</v>
      </c>
      <c r="I2343" s="5"/>
      <c r="J2343" s="5"/>
      <c r="K2343" s="5" t="s">
        <v>13800</v>
      </c>
    </row>
    <row r="2344" customFormat="false" ht="46.25" hidden="false" customHeight="false" outlineLevel="0" collapsed="false">
      <c r="A2344" s="5" t="s">
        <v>13801</v>
      </c>
      <c r="B2344" s="2" t="s">
        <v>13802</v>
      </c>
      <c r="C2344" s="5" t="s">
        <v>2245</v>
      </c>
      <c r="D2344" s="5" t="s">
        <v>62</v>
      </c>
      <c r="E2344" s="5" t="n">
        <v>5</v>
      </c>
      <c r="F2344" s="5" t="s">
        <v>67</v>
      </c>
      <c r="G2344" s="2" t="s">
        <v>12057</v>
      </c>
      <c r="H2344" s="5" t="s">
        <v>8336</v>
      </c>
      <c r="I2344" s="5"/>
      <c r="J2344" s="5"/>
      <c r="K2344" s="5" t="s">
        <v>13803</v>
      </c>
    </row>
    <row r="2345" customFormat="false" ht="46.25" hidden="false" customHeight="false" outlineLevel="0" collapsed="false">
      <c r="A2345" s="5" t="s">
        <v>13804</v>
      </c>
      <c r="B2345" s="2" t="s">
        <v>13805</v>
      </c>
      <c r="C2345" s="5" t="s">
        <v>2245</v>
      </c>
      <c r="D2345" s="5" t="s">
        <v>62</v>
      </c>
      <c r="E2345" s="5" t="n">
        <v>5</v>
      </c>
      <c r="F2345" s="5" t="s">
        <v>67</v>
      </c>
      <c r="G2345" s="2" t="s">
        <v>12057</v>
      </c>
      <c r="H2345" s="5" t="s">
        <v>8336</v>
      </c>
      <c r="I2345" s="5"/>
      <c r="J2345" s="5"/>
      <c r="K2345" s="5" t="s">
        <v>13806</v>
      </c>
    </row>
    <row r="2346" customFormat="false" ht="23.85" hidden="false" customHeight="false" outlineLevel="0" collapsed="false">
      <c r="A2346" s="5" t="s">
        <v>3904</v>
      </c>
      <c r="B2346" s="2" t="s">
        <v>3905</v>
      </c>
      <c r="C2346" s="5" t="s">
        <v>2128</v>
      </c>
      <c r="D2346" s="5" t="s">
        <v>62</v>
      </c>
      <c r="E2346" s="5" t="n">
        <v>3</v>
      </c>
      <c r="F2346" s="5" t="s">
        <v>67</v>
      </c>
      <c r="G2346" s="2" t="s">
        <v>184</v>
      </c>
      <c r="H2346" s="5" t="s">
        <v>8332</v>
      </c>
      <c r="I2346" s="5" t="s">
        <v>60</v>
      </c>
      <c r="J2346" s="5" t="s">
        <v>269</v>
      </c>
      <c r="K2346" s="5" t="s">
        <v>3909</v>
      </c>
    </row>
    <row r="2347" customFormat="false" ht="15" hidden="false" customHeight="false" outlineLevel="0" collapsed="false">
      <c r="A2347" s="5" t="s">
        <v>13807</v>
      </c>
      <c r="B2347" s="2" t="s">
        <v>13808</v>
      </c>
      <c r="C2347" s="5" t="s">
        <v>2128</v>
      </c>
      <c r="D2347" s="5" t="s">
        <v>62</v>
      </c>
      <c r="E2347" s="5" t="n">
        <v>5</v>
      </c>
      <c r="F2347" s="5" t="s">
        <v>90</v>
      </c>
      <c r="G2347" s="2" t="s">
        <v>367</v>
      </c>
      <c r="H2347" s="5" t="s">
        <v>8336</v>
      </c>
      <c r="I2347" s="5"/>
      <c r="J2347" s="5"/>
      <c r="K2347" s="5" t="s">
        <v>13809</v>
      </c>
    </row>
    <row r="2348" customFormat="false" ht="23.85" hidden="false" customHeight="false" outlineLevel="0" collapsed="false">
      <c r="A2348" s="5" t="s">
        <v>13810</v>
      </c>
      <c r="B2348" s="2" t="s">
        <v>13811</v>
      </c>
      <c r="C2348" s="5" t="s">
        <v>2128</v>
      </c>
      <c r="D2348" s="5" t="s">
        <v>62</v>
      </c>
      <c r="E2348" s="5" t="n">
        <v>5</v>
      </c>
      <c r="F2348" s="5" t="s">
        <v>90</v>
      </c>
      <c r="G2348" s="2" t="s">
        <v>367</v>
      </c>
      <c r="H2348" s="5" t="s">
        <v>8336</v>
      </c>
      <c r="I2348" s="5"/>
      <c r="J2348" s="5"/>
      <c r="K2348" s="5" t="s">
        <v>13812</v>
      </c>
    </row>
    <row r="2349" customFormat="false" ht="23.85" hidden="false" customHeight="false" outlineLevel="0" collapsed="false">
      <c r="A2349" s="5" t="s">
        <v>13813</v>
      </c>
      <c r="B2349" s="2" t="s">
        <v>13814</v>
      </c>
      <c r="C2349" s="5" t="s">
        <v>2128</v>
      </c>
      <c r="D2349" s="5" t="s">
        <v>62</v>
      </c>
      <c r="E2349" s="5" t="n">
        <v>5</v>
      </c>
      <c r="F2349" s="5" t="s">
        <v>90</v>
      </c>
      <c r="G2349" s="2" t="s">
        <v>367</v>
      </c>
      <c r="H2349" s="5" t="s">
        <v>8336</v>
      </c>
      <c r="I2349" s="5"/>
      <c r="J2349" s="5"/>
      <c r="K2349" s="5" t="s">
        <v>13815</v>
      </c>
    </row>
    <row r="2350" customFormat="false" ht="46.25" hidden="false" customHeight="false" outlineLevel="0" collapsed="false">
      <c r="A2350" s="5" t="s">
        <v>13816</v>
      </c>
      <c r="B2350" s="2" t="s">
        <v>13817</v>
      </c>
      <c r="C2350" s="5" t="s">
        <v>2245</v>
      </c>
      <c r="D2350" s="5" t="s">
        <v>62</v>
      </c>
      <c r="E2350" s="5" t="n">
        <v>5</v>
      </c>
      <c r="F2350" s="5" t="s">
        <v>67</v>
      </c>
      <c r="G2350" s="2" t="s">
        <v>12057</v>
      </c>
      <c r="H2350" s="5" t="s">
        <v>8336</v>
      </c>
      <c r="I2350" s="5"/>
      <c r="J2350" s="5"/>
      <c r="K2350" s="5" t="s">
        <v>13818</v>
      </c>
    </row>
    <row r="2351" customFormat="false" ht="46.25" hidden="false" customHeight="false" outlineLevel="0" collapsed="false">
      <c r="A2351" s="5" t="s">
        <v>3910</v>
      </c>
      <c r="B2351" s="2" t="s">
        <v>3911</v>
      </c>
      <c r="C2351" s="5" t="s">
        <v>2245</v>
      </c>
      <c r="D2351" s="5" t="s">
        <v>490</v>
      </c>
      <c r="E2351" s="5" t="n">
        <v>5</v>
      </c>
      <c r="F2351" s="5" t="s">
        <v>67</v>
      </c>
      <c r="G2351" s="2" t="s">
        <v>12057</v>
      </c>
      <c r="H2351" s="5" t="s">
        <v>8332</v>
      </c>
      <c r="I2351" s="5" t="s">
        <v>60</v>
      </c>
      <c r="J2351" s="5" t="s">
        <v>1174</v>
      </c>
      <c r="K2351" s="5" t="s">
        <v>3914</v>
      </c>
    </row>
    <row r="2352" customFormat="false" ht="46.25" hidden="false" customHeight="false" outlineLevel="0" collapsed="false">
      <c r="A2352" s="5" t="s">
        <v>13819</v>
      </c>
      <c r="B2352" s="2" t="s">
        <v>13820</v>
      </c>
      <c r="C2352" s="5" t="s">
        <v>2245</v>
      </c>
      <c r="D2352" s="5" t="s">
        <v>62</v>
      </c>
      <c r="E2352" s="5" t="n">
        <v>7</v>
      </c>
      <c r="F2352" s="5" t="s">
        <v>67</v>
      </c>
      <c r="G2352" s="2" t="s">
        <v>12057</v>
      </c>
      <c r="H2352" s="5" t="s">
        <v>8336</v>
      </c>
      <c r="I2352" s="5"/>
      <c r="J2352" s="5"/>
      <c r="K2352" s="5" t="s">
        <v>13821</v>
      </c>
    </row>
    <row r="2353" customFormat="false" ht="23.85" hidden="false" customHeight="false" outlineLevel="0" collapsed="false">
      <c r="A2353" s="5" t="s">
        <v>13822</v>
      </c>
      <c r="B2353" s="2" t="s">
        <v>13823</v>
      </c>
      <c r="C2353" s="5" t="s">
        <v>2128</v>
      </c>
      <c r="D2353" s="5" t="s">
        <v>62</v>
      </c>
      <c r="E2353" s="5" t="n">
        <v>7</v>
      </c>
      <c r="F2353" s="5" t="s">
        <v>67</v>
      </c>
      <c r="G2353" s="2" t="s">
        <v>367</v>
      </c>
      <c r="H2353" s="5" t="s">
        <v>8336</v>
      </c>
      <c r="I2353" s="5"/>
      <c r="J2353" s="5"/>
      <c r="K2353" s="5" t="s">
        <v>13824</v>
      </c>
    </row>
    <row r="2354" customFormat="false" ht="46.25" hidden="false" customHeight="false" outlineLevel="0" collapsed="false">
      <c r="A2354" s="5" t="s">
        <v>13825</v>
      </c>
      <c r="B2354" s="2" t="s">
        <v>13826</v>
      </c>
      <c r="C2354" s="5" t="s">
        <v>2245</v>
      </c>
      <c r="D2354" s="5" t="s">
        <v>62</v>
      </c>
      <c r="E2354" s="5" t="n">
        <v>7</v>
      </c>
      <c r="F2354" s="5" t="s">
        <v>90</v>
      </c>
      <c r="G2354" s="2" t="s">
        <v>12057</v>
      </c>
      <c r="H2354" s="5" t="s">
        <v>8336</v>
      </c>
      <c r="I2354" s="5"/>
      <c r="J2354" s="5"/>
      <c r="K2354" s="5" t="s">
        <v>13827</v>
      </c>
    </row>
    <row r="2355" customFormat="false" ht="35.05" hidden="false" customHeight="false" outlineLevel="0" collapsed="false">
      <c r="A2355" s="5" t="s">
        <v>13828</v>
      </c>
      <c r="B2355" s="2" t="s">
        <v>13829</v>
      </c>
      <c r="C2355" s="5" t="s">
        <v>2128</v>
      </c>
      <c r="D2355" s="5" t="s">
        <v>62</v>
      </c>
      <c r="E2355" s="5" t="n">
        <v>7</v>
      </c>
      <c r="F2355" s="5" t="s">
        <v>90</v>
      </c>
      <c r="G2355" s="2" t="s">
        <v>13830</v>
      </c>
      <c r="H2355" s="5" t="s">
        <v>8336</v>
      </c>
      <c r="I2355" s="5"/>
      <c r="J2355" s="5"/>
      <c r="K2355" s="5" t="s">
        <v>13831</v>
      </c>
    </row>
    <row r="2356" customFormat="false" ht="46.25" hidden="false" customHeight="false" outlineLevel="0" collapsed="false">
      <c r="A2356" s="5" t="s">
        <v>13832</v>
      </c>
      <c r="B2356" s="2" t="s">
        <v>13833</v>
      </c>
      <c r="C2356" s="5" t="s">
        <v>2245</v>
      </c>
      <c r="D2356" s="5" t="s">
        <v>490</v>
      </c>
      <c r="E2356" s="5" t="n">
        <v>5</v>
      </c>
      <c r="F2356" s="5" t="s">
        <v>90</v>
      </c>
      <c r="G2356" s="2" t="s">
        <v>13834</v>
      </c>
      <c r="H2356" s="5" t="s">
        <v>8336</v>
      </c>
      <c r="I2356" s="5"/>
      <c r="J2356" s="5"/>
      <c r="K2356" s="5" t="s">
        <v>13835</v>
      </c>
    </row>
    <row r="2357" customFormat="false" ht="15" hidden="false" customHeight="false" outlineLevel="0" collapsed="false">
      <c r="A2357" s="5" t="s">
        <v>13836</v>
      </c>
      <c r="B2357" s="2" t="s">
        <v>13837</v>
      </c>
      <c r="C2357" s="5" t="s">
        <v>2128</v>
      </c>
      <c r="D2357" s="5" t="s">
        <v>62</v>
      </c>
      <c r="E2357" s="5" t="n">
        <v>5</v>
      </c>
      <c r="F2357" s="5" t="s">
        <v>67</v>
      </c>
      <c r="G2357" s="2" t="s">
        <v>367</v>
      </c>
      <c r="H2357" s="5" t="s">
        <v>8336</v>
      </c>
      <c r="I2357" s="5"/>
      <c r="J2357" s="5"/>
      <c r="K2357" s="5" t="s">
        <v>13838</v>
      </c>
    </row>
    <row r="2358" customFormat="false" ht="23.85" hidden="false" customHeight="false" outlineLevel="0" collapsed="false">
      <c r="A2358" s="5" t="s">
        <v>1519</v>
      </c>
      <c r="B2358" s="2" t="s">
        <v>1520</v>
      </c>
      <c r="C2358" s="5" t="s">
        <v>488</v>
      </c>
      <c r="D2358" s="5" t="s">
        <v>62</v>
      </c>
      <c r="E2358" s="5" t="n">
        <v>5</v>
      </c>
      <c r="F2358" s="5" t="s">
        <v>100</v>
      </c>
      <c r="G2358" s="2" t="s">
        <v>367</v>
      </c>
      <c r="H2358" s="5" t="s">
        <v>8332</v>
      </c>
      <c r="I2358" s="5" t="s">
        <v>60</v>
      </c>
      <c r="J2358" s="5" t="s">
        <v>100</v>
      </c>
      <c r="K2358" s="5" t="s">
        <v>1523</v>
      </c>
    </row>
    <row r="2359" customFormat="false" ht="15" hidden="false" customHeight="false" outlineLevel="0" collapsed="false">
      <c r="A2359" s="5" t="s">
        <v>13839</v>
      </c>
      <c r="B2359" s="2" t="s">
        <v>13840</v>
      </c>
      <c r="C2359" s="5" t="s">
        <v>2128</v>
      </c>
      <c r="D2359" s="5" t="s">
        <v>62</v>
      </c>
      <c r="E2359" s="5" t="n">
        <v>5</v>
      </c>
      <c r="F2359" s="5" t="s">
        <v>90</v>
      </c>
      <c r="G2359" s="2" t="s">
        <v>367</v>
      </c>
      <c r="H2359" s="5" t="s">
        <v>8336</v>
      </c>
      <c r="I2359" s="5"/>
      <c r="J2359" s="5"/>
      <c r="K2359" s="5" t="s">
        <v>13841</v>
      </c>
    </row>
    <row r="2360" customFormat="false" ht="46.25" hidden="false" customHeight="false" outlineLevel="0" collapsed="false">
      <c r="A2360" s="5" t="s">
        <v>13842</v>
      </c>
      <c r="B2360" s="2" t="s">
        <v>13843</v>
      </c>
      <c r="C2360" s="5" t="s">
        <v>2245</v>
      </c>
      <c r="D2360" s="5" t="s">
        <v>490</v>
      </c>
      <c r="E2360" s="5" t="n">
        <v>5</v>
      </c>
      <c r="F2360" s="5" t="s">
        <v>90</v>
      </c>
      <c r="G2360" s="2" t="s">
        <v>12174</v>
      </c>
      <c r="H2360" s="5" t="s">
        <v>8336</v>
      </c>
      <c r="I2360" s="5"/>
      <c r="J2360" s="5"/>
      <c r="K2360" s="5" t="s">
        <v>13844</v>
      </c>
    </row>
    <row r="2361" customFormat="false" ht="46.25" hidden="false" customHeight="false" outlineLevel="0" collapsed="false">
      <c r="A2361" s="5" t="s">
        <v>13845</v>
      </c>
      <c r="B2361" s="2" t="s">
        <v>13846</v>
      </c>
      <c r="C2361" s="5" t="s">
        <v>2245</v>
      </c>
      <c r="D2361" s="5" t="s">
        <v>62</v>
      </c>
      <c r="E2361" s="5" t="n">
        <v>7</v>
      </c>
      <c r="F2361" s="5" t="s">
        <v>90</v>
      </c>
      <c r="G2361" s="2" t="s">
        <v>12057</v>
      </c>
      <c r="H2361" s="5" t="s">
        <v>8336</v>
      </c>
      <c r="I2361" s="5"/>
      <c r="J2361" s="5"/>
      <c r="K2361" s="5" t="s">
        <v>13847</v>
      </c>
    </row>
    <row r="2362" customFormat="false" ht="23.85" hidden="false" customHeight="false" outlineLevel="0" collapsed="false">
      <c r="A2362" s="5" t="s">
        <v>1524</v>
      </c>
      <c r="B2362" s="2" t="s">
        <v>1525</v>
      </c>
      <c r="C2362" s="5" t="s">
        <v>488</v>
      </c>
      <c r="D2362" s="5" t="s">
        <v>62</v>
      </c>
      <c r="E2362" s="5" t="n">
        <v>5</v>
      </c>
      <c r="F2362" s="5" t="s">
        <v>100</v>
      </c>
      <c r="G2362" s="2" t="s">
        <v>367</v>
      </c>
      <c r="H2362" s="5" t="s">
        <v>8332</v>
      </c>
      <c r="I2362" s="5" t="s">
        <v>60</v>
      </c>
      <c r="J2362" s="5" t="s">
        <v>100</v>
      </c>
      <c r="K2362" s="5" t="s">
        <v>1528</v>
      </c>
    </row>
    <row r="2363" customFormat="false" ht="46.25" hidden="false" customHeight="false" outlineLevel="0" collapsed="false">
      <c r="A2363" s="5" t="s">
        <v>13848</v>
      </c>
      <c r="B2363" s="2" t="s">
        <v>13849</v>
      </c>
      <c r="C2363" s="5" t="s">
        <v>2245</v>
      </c>
      <c r="D2363" s="5" t="s">
        <v>62</v>
      </c>
      <c r="E2363" s="5" t="n">
        <v>3</v>
      </c>
      <c r="F2363" s="5" t="s">
        <v>90</v>
      </c>
      <c r="G2363" s="2" t="s">
        <v>12057</v>
      </c>
      <c r="H2363" s="5" t="s">
        <v>8336</v>
      </c>
      <c r="I2363" s="5"/>
      <c r="J2363" s="5"/>
      <c r="K2363" s="5" t="s">
        <v>13850</v>
      </c>
    </row>
    <row r="2364" customFormat="false" ht="23.85" hidden="false" customHeight="false" outlineLevel="0" collapsed="false">
      <c r="A2364" s="5" t="s">
        <v>3915</v>
      </c>
      <c r="B2364" s="2" t="s">
        <v>3916</v>
      </c>
      <c r="C2364" s="5" t="s">
        <v>2128</v>
      </c>
      <c r="D2364" s="5" t="s">
        <v>62</v>
      </c>
      <c r="E2364" s="5" t="n">
        <v>7</v>
      </c>
      <c r="F2364" s="5" t="s">
        <v>90</v>
      </c>
      <c r="G2364" s="2" t="s">
        <v>184</v>
      </c>
      <c r="H2364" s="5" t="s">
        <v>8332</v>
      </c>
      <c r="I2364" s="5" t="s">
        <v>60</v>
      </c>
      <c r="J2364" s="5" t="s">
        <v>182</v>
      </c>
      <c r="K2364" s="5" t="s">
        <v>3922</v>
      </c>
    </row>
    <row r="2365" customFormat="false" ht="15" hidden="false" customHeight="false" outlineLevel="0" collapsed="false">
      <c r="A2365" s="5" t="s">
        <v>13851</v>
      </c>
      <c r="B2365" s="2" t="s">
        <v>13852</v>
      </c>
      <c r="C2365" s="5" t="s">
        <v>2128</v>
      </c>
      <c r="D2365" s="5" t="s">
        <v>62</v>
      </c>
      <c r="E2365" s="5" t="n">
        <v>5</v>
      </c>
      <c r="F2365" s="5" t="s">
        <v>1814</v>
      </c>
      <c r="G2365" s="2" t="s">
        <v>367</v>
      </c>
      <c r="H2365" s="5" t="s">
        <v>8336</v>
      </c>
      <c r="I2365" s="5"/>
      <c r="J2365" s="5"/>
      <c r="K2365" s="5" t="s">
        <v>13853</v>
      </c>
    </row>
    <row r="2366" customFormat="false" ht="23.85" hidden="false" customHeight="false" outlineLevel="0" collapsed="false">
      <c r="A2366" s="5" t="s">
        <v>13854</v>
      </c>
      <c r="B2366" s="2" t="s">
        <v>13855</v>
      </c>
      <c r="C2366" s="5" t="s">
        <v>2128</v>
      </c>
      <c r="D2366" s="5" t="s">
        <v>62</v>
      </c>
      <c r="E2366" s="5" t="n">
        <v>5</v>
      </c>
      <c r="F2366" s="5" t="s">
        <v>90</v>
      </c>
      <c r="G2366" s="2" t="s">
        <v>415</v>
      </c>
      <c r="H2366" s="5" t="s">
        <v>8336</v>
      </c>
      <c r="I2366" s="5"/>
      <c r="J2366" s="5"/>
      <c r="K2366" s="5" t="s">
        <v>13856</v>
      </c>
    </row>
    <row r="2367" customFormat="false" ht="23.85" hidden="false" customHeight="false" outlineLevel="0" collapsed="false">
      <c r="A2367" s="5" t="s">
        <v>13857</v>
      </c>
      <c r="B2367" s="2" t="s">
        <v>13858</v>
      </c>
      <c r="C2367" s="5" t="s">
        <v>2128</v>
      </c>
      <c r="D2367" s="5" t="s">
        <v>62</v>
      </c>
      <c r="E2367" s="5" t="n">
        <v>5</v>
      </c>
      <c r="F2367" s="5" t="s">
        <v>90</v>
      </c>
      <c r="G2367" s="2" t="s">
        <v>415</v>
      </c>
      <c r="H2367" s="5" t="s">
        <v>8336</v>
      </c>
      <c r="I2367" s="5"/>
      <c r="J2367" s="5"/>
      <c r="K2367" s="5" t="s">
        <v>13859</v>
      </c>
    </row>
    <row r="2368" customFormat="false" ht="23.85" hidden="false" customHeight="false" outlineLevel="0" collapsed="false">
      <c r="A2368" s="5" t="s">
        <v>13860</v>
      </c>
      <c r="B2368" s="2" t="s">
        <v>13861</v>
      </c>
      <c r="C2368" s="5" t="s">
        <v>2128</v>
      </c>
      <c r="D2368" s="5" t="s">
        <v>62</v>
      </c>
      <c r="E2368" s="5" t="n">
        <v>5</v>
      </c>
      <c r="F2368" s="5" t="s">
        <v>90</v>
      </c>
      <c r="G2368" s="2" t="s">
        <v>367</v>
      </c>
      <c r="H2368" s="5" t="s">
        <v>8336</v>
      </c>
      <c r="I2368" s="5"/>
      <c r="J2368" s="5"/>
      <c r="K2368" s="5" t="s">
        <v>13862</v>
      </c>
    </row>
    <row r="2369" customFormat="false" ht="15" hidden="false" customHeight="false" outlineLevel="0" collapsed="false">
      <c r="A2369" s="5" t="s">
        <v>13863</v>
      </c>
      <c r="B2369" s="2" t="s">
        <v>13864</v>
      </c>
      <c r="C2369" s="5" t="s">
        <v>2128</v>
      </c>
      <c r="D2369" s="5" t="s">
        <v>62</v>
      </c>
      <c r="E2369" s="5" t="n">
        <v>5</v>
      </c>
      <c r="F2369" s="5" t="s">
        <v>90</v>
      </c>
      <c r="G2369" s="2" t="s">
        <v>367</v>
      </c>
      <c r="H2369" s="5" t="s">
        <v>8336</v>
      </c>
      <c r="I2369" s="5"/>
      <c r="J2369" s="5"/>
      <c r="K2369" s="5" t="s">
        <v>13865</v>
      </c>
    </row>
    <row r="2370" customFormat="false" ht="46.25" hidden="false" customHeight="false" outlineLevel="0" collapsed="false">
      <c r="A2370" s="5" t="s">
        <v>13866</v>
      </c>
      <c r="B2370" s="2" t="s">
        <v>13867</v>
      </c>
      <c r="C2370" s="5" t="s">
        <v>2245</v>
      </c>
      <c r="D2370" s="5" t="s">
        <v>62</v>
      </c>
      <c r="E2370" s="5" t="n">
        <v>1</v>
      </c>
      <c r="F2370" s="5" t="s">
        <v>413</v>
      </c>
      <c r="G2370" s="2" t="s">
        <v>12057</v>
      </c>
      <c r="H2370" s="5" t="s">
        <v>8336</v>
      </c>
      <c r="I2370" s="5"/>
      <c r="J2370" s="5"/>
      <c r="K2370" s="5" t="s">
        <v>13868</v>
      </c>
    </row>
    <row r="2371" customFormat="false" ht="15" hidden="false" customHeight="false" outlineLevel="0" collapsed="false">
      <c r="A2371" s="5" t="s">
        <v>13869</v>
      </c>
      <c r="B2371" s="2" t="s">
        <v>13870</v>
      </c>
      <c r="C2371" s="5" t="s">
        <v>2128</v>
      </c>
      <c r="D2371" s="5" t="s">
        <v>62</v>
      </c>
      <c r="E2371" s="5" t="n">
        <v>3</v>
      </c>
      <c r="F2371" s="5" t="s">
        <v>90</v>
      </c>
      <c r="G2371" s="2" t="s">
        <v>367</v>
      </c>
      <c r="H2371" s="5" t="s">
        <v>8336</v>
      </c>
      <c r="I2371" s="5"/>
      <c r="J2371" s="5"/>
      <c r="K2371" s="5" t="s">
        <v>13871</v>
      </c>
    </row>
    <row r="2372" customFormat="false" ht="15" hidden="false" customHeight="false" outlineLevel="0" collapsed="false">
      <c r="A2372" s="5" t="s">
        <v>13872</v>
      </c>
      <c r="B2372" s="2" t="s">
        <v>13873</v>
      </c>
      <c r="C2372" s="5" t="s">
        <v>2128</v>
      </c>
      <c r="D2372" s="5" t="s">
        <v>62</v>
      </c>
      <c r="E2372" s="5" t="n">
        <v>5</v>
      </c>
      <c r="F2372" s="5" t="s">
        <v>413</v>
      </c>
      <c r="G2372" s="2" t="s">
        <v>367</v>
      </c>
      <c r="H2372" s="5" t="s">
        <v>8336</v>
      </c>
      <c r="I2372" s="5"/>
      <c r="J2372" s="5"/>
      <c r="K2372" s="5" t="s">
        <v>13874</v>
      </c>
    </row>
    <row r="2373" customFormat="false" ht="23.85" hidden="false" customHeight="false" outlineLevel="0" collapsed="false">
      <c r="A2373" s="5" t="s">
        <v>6268</v>
      </c>
      <c r="B2373" s="2" t="s">
        <v>6269</v>
      </c>
      <c r="C2373" s="5" t="s">
        <v>2128</v>
      </c>
      <c r="D2373" s="5" t="s">
        <v>62</v>
      </c>
      <c r="E2373" s="5" t="n">
        <v>5</v>
      </c>
      <c r="F2373" s="5" t="s">
        <v>2079</v>
      </c>
      <c r="G2373" s="2" t="s">
        <v>367</v>
      </c>
      <c r="H2373" s="5" t="s">
        <v>8332</v>
      </c>
      <c r="I2373" s="5" t="s">
        <v>4760</v>
      </c>
      <c r="J2373" s="5" t="s">
        <v>2079</v>
      </c>
      <c r="K2373" s="5" t="s">
        <v>6273</v>
      </c>
    </row>
    <row r="2374" customFormat="false" ht="23.85" hidden="false" customHeight="false" outlineLevel="0" collapsed="false">
      <c r="A2374" s="5" t="s">
        <v>13875</v>
      </c>
      <c r="B2374" s="2" t="s">
        <v>13876</v>
      </c>
      <c r="C2374" s="5" t="s">
        <v>2128</v>
      </c>
      <c r="D2374" s="5" t="s">
        <v>62</v>
      </c>
      <c r="E2374" s="5" t="n">
        <v>5</v>
      </c>
      <c r="F2374" s="5" t="s">
        <v>67</v>
      </c>
      <c r="G2374" s="2" t="s">
        <v>367</v>
      </c>
      <c r="H2374" s="5" t="s">
        <v>8336</v>
      </c>
      <c r="I2374" s="5"/>
      <c r="J2374" s="5"/>
      <c r="K2374" s="5" t="s">
        <v>13877</v>
      </c>
    </row>
    <row r="2375" customFormat="false" ht="23.85" hidden="false" customHeight="false" outlineLevel="0" collapsed="false">
      <c r="A2375" s="5" t="s">
        <v>3923</v>
      </c>
      <c r="B2375" s="2" t="s">
        <v>3924</v>
      </c>
      <c r="C2375" s="5" t="s">
        <v>2128</v>
      </c>
      <c r="D2375" s="5" t="s">
        <v>62</v>
      </c>
      <c r="E2375" s="5" t="n">
        <v>5</v>
      </c>
      <c r="F2375" s="5" t="s">
        <v>67</v>
      </c>
      <c r="G2375" s="2" t="s">
        <v>367</v>
      </c>
      <c r="H2375" s="5" t="s">
        <v>8332</v>
      </c>
      <c r="I2375" s="5" t="s">
        <v>60</v>
      </c>
      <c r="J2375" s="5" t="s">
        <v>2754</v>
      </c>
      <c r="K2375" s="5" t="s">
        <v>3927</v>
      </c>
    </row>
    <row r="2376" customFormat="false" ht="46.25" hidden="false" customHeight="false" outlineLevel="0" collapsed="false">
      <c r="A2376" s="5" t="s">
        <v>13878</v>
      </c>
      <c r="B2376" s="2" t="s">
        <v>13879</v>
      </c>
      <c r="C2376" s="5" t="s">
        <v>2245</v>
      </c>
      <c r="D2376" s="5" t="s">
        <v>62</v>
      </c>
      <c r="E2376" s="5" t="n">
        <v>5</v>
      </c>
      <c r="F2376" s="5" t="s">
        <v>536</v>
      </c>
      <c r="G2376" s="2" t="s">
        <v>12057</v>
      </c>
      <c r="H2376" s="5" t="s">
        <v>8336</v>
      </c>
      <c r="I2376" s="5"/>
      <c r="J2376" s="5"/>
      <c r="K2376" s="5" t="s">
        <v>13880</v>
      </c>
    </row>
    <row r="2377" customFormat="false" ht="46.25" hidden="false" customHeight="false" outlineLevel="0" collapsed="false">
      <c r="A2377" s="5" t="s">
        <v>13881</v>
      </c>
      <c r="B2377" s="2" t="s">
        <v>13882</v>
      </c>
      <c r="C2377" s="5" t="s">
        <v>2245</v>
      </c>
      <c r="D2377" s="5" t="s">
        <v>490</v>
      </c>
      <c r="E2377" s="5" t="n">
        <v>7</v>
      </c>
      <c r="F2377" s="5" t="s">
        <v>90</v>
      </c>
      <c r="G2377" s="2" t="s">
        <v>12057</v>
      </c>
      <c r="H2377" s="5" t="s">
        <v>8336</v>
      </c>
      <c r="I2377" s="5"/>
      <c r="J2377" s="5"/>
      <c r="K2377" s="5" t="s">
        <v>13883</v>
      </c>
    </row>
    <row r="2378" customFormat="false" ht="15" hidden="false" customHeight="false" outlineLevel="0" collapsed="false">
      <c r="A2378" s="5" t="s">
        <v>13884</v>
      </c>
      <c r="B2378" s="2" t="s">
        <v>13885</v>
      </c>
      <c r="C2378" s="5" t="s">
        <v>2128</v>
      </c>
      <c r="D2378" s="5" t="s">
        <v>62</v>
      </c>
      <c r="E2378" s="5" t="n">
        <v>3</v>
      </c>
      <c r="F2378" s="5" t="s">
        <v>90</v>
      </c>
      <c r="G2378" s="2" t="s">
        <v>367</v>
      </c>
      <c r="H2378" s="5" t="s">
        <v>8336</v>
      </c>
      <c r="I2378" s="5"/>
      <c r="J2378" s="5"/>
      <c r="K2378" s="5" t="s">
        <v>13886</v>
      </c>
    </row>
    <row r="2379" customFormat="false" ht="15" hidden="false" customHeight="false" outlineLevel="0" collapsed="false">
      <c r="A2379" s="5" t="s">
        <v>13887</v>
      </c>
      <c r="B2379" s="2" t="s">
        <v>13888</v>
      </c>
      <c r="C2379" s="5" t="s">
        <v>2128</v>
      </c>
      <c r="D2379" s="5" t="s">
        <v>62</v>
      </c>
      <c r="E2379" s="5" t="n">
        <v>3</v>
      </c>
      <c r="F2379" s="5" t="s">
        <v>90</v>
      </c>
      <c r="G2379" s="2" t="s">
        <v>367</v>
      </c>
      <c r="H2379" s="5" t="s">
        <v>8336</v>
      </c>
      <c r="I2379" s="5"/>
      <c r="J2379" s="5"/>
      <c r="K2379" s="5" t="s">
        <v>13889</v>
      </c>
    </row>
    <row r="2380" customFormat="false" ht="46.25" hidden="false" customHeight="false" outlineLevel="0" collapsed="false">
      <c r="A2380" s="5" t="s">
        <v>13890</v>
      </c>
      <c r="B2380" s="2" t="s">
        <v>13891</v>
      </c>
      <c r="C2380" s="5" t="s">
        <v>2245</v>
      </c>
      <c r="D2380" s="5" t="s">
        <v>62</v>
      </c>
      <c r="E2380" s="5" t="n">
        <v>7</v>
      </c>
      <c r="F2380" s="5" t="s">
        <v>90</v>
      </c>
      <c r="G2380" s="2" t="s">
        <v>12057</v>
      </c>
      <c r="H2380" s="5" t="s">
        <v>8336</v>
      </c>
      <c r="I2380" s="5"/>
      <c r="J2380" s="5"/>
      <c r="K2380" s="5" t="s">
        <v>13892</v>
      </c>
    </row>
    <row r="2381" customFormat="false" ht="15" hidden="false" customHeight="false" outlineLevel="0" collapsed="false">
      <c r="A2381" s="5" t="s">
        <v>3928</v>
      </c>
      <c r="B2381" s="2" t="s">
        <v>3929</v>
      </c>
      <c r="C2381" s="5" t="s">
        <v>2128</v>
      </c>
      <c r="D2381" s="5" t="s">
        <v>62</v>
      </c>
      <c r="E2381" s="5" t="n">
        <v>5</v>
      </c>
      <c r="F2381" s="5" t="s">
        <v>90</v>
      </c>
      <c r="G2381" s="2" t="s">
        <v>367</v>
      </c>
      <c r="H2381" s="5" t="s">
        <v>8332</v>
      </c>
      <c r="I2381" s="5" t="s">
        <v>60</v>
      </c>
      <c r="J2381" s="5" t="s">
        <v>161</v>
      </c>
      <c r="K2381" s="5" t="s">
        <v>3932</v>
      </c>
    </row>
    <row r="2382" customFormat="false" ht="23.85" hidden="false" customHeight="false" outlineLevel="0" collapsed="false">
      <c r="A2382" s="5" t="s">
        <v>3933</v>
      </c>
      <c r="B2382" s="2" t="s">
        <v>3934</v>
      </c>
      <c r="C2382" s="5" t="s">
        <v>2128</v>
      </c>
      <c r="D2382" s="5" t="s">
        <v>62</v>
      </c>
      <c r="E2382" s="5" t="n">
        <v>7</v>
      </c>
      <c r="F2382" s="5" t="s">
        <v>90</v>
      </c>
      <c r="G2382" s="2" t="s">
        <v>367</v>
      </c>
      <c r="H2382" s="5" t="s">
        <v>8332</v>
      </c>
      <c r="I2382" s="5" t="s">
        <v>60</v>
      </c>
      <c r="J2382" s="5" t="s">
        <v>161</v>
      </c>
      <c r="K2382" s="5" t="s">
        <v>3937</v>
      </c>
    </row>
    <row r="2383" customFormat="false" ht="46.25" hidden="false" customHeight="false" outlineLevel="0" collapsed="false">
      <c r="A2383" s="5" t="s">
        <v>13893</v>
      </c>
      <c r="B2383" s="2" t="s">
        <v>13894</v>
      </c>
      <c r="C2383" s="5" t="s">
        <v>2245</v>
      </c>
      <c r="D2383" s="5" t="s">
        <v>62</v>
      </c>
      <c r="E2383" s="5" t="n">
        <v>5</v>
      </c>
      <c r="F2383" s="5" t="s">
        <v>90</v>
      </c>
      <c r="G2383" s="2" t="s">
        <v>12057</v>
      </c>
      <c r="H2383" s="5" t="s">
        <v>8336</v>
      </c>
      <c r="I2383" s="5"/>
      <c r="J2383" s="5"/>
      <c r="K2383" s="5" t="s">
        <v>13895</v>
      </c>
    </row>
    <row r="2384" customFormat="false" ht="23.85" hidden="false" customHeight="false" outlineLevel="0" collapsed="false">
      <c r="A2384" s="5" t="s">
        <v>1529</v>
      </c>
      <c r="B2384" s="2" t="s">
        <v>1530</v>
      </c>
      <c r="C2384" s="5" t="s">
        <v>488</v>
      </c>
      <c r="D2384" s="5" t="s">
        <v>62</v>
      </c>
      <c r="E2384" s="5" t="n">
        <v>7</v>
      </c>
      <c r="F2384" s="5" t="s">
        <v>67</v>
      </c>
      <c r="G2384" s="2" t="s">
        <v>184</v>
      </c>
      <c r="H2384" s="5" t="s">
        <v>8332</v>
      </c>
      <c r="I2384" s="5" t="s">
        <v>60</v>
      </c>
      <c r="J2384" s="5" t="s">
        <v>1531</v>
      </c>
      <c r="K2384" s="5" t="s">
        <v>1539</v>
      </c>
    </row>
    <row r="2385" customFormat="false" ht="35.05" hidden="false" customHeight="false" outlineLevel="0" collapsed="false">
      <c r="A2385" s="5" t="s">
        <v>13896</v>
      </c>
      <c r="B2385" s="2" t="s">
        <v>13897</v>
      </c>
      <c r="C2385" s="5" t="s">
        <v>2128</v>
      </c>
      <c r="D2385" s="5" t="s">
        <v>62</v>
      </c>
      <c r="E2385" s="5" t="n">
        <v>7</v>
      </c>
      <c r="F2385" s="5" t="s">
        <v>90</v>
      </c>
      <c r="G2385" s="2" t="s">
        <v>8250</v>
      </c>
      <c r="H2385" s="5" t="s">
        <v>8336</v>
      </c>
      <c r="I2385" s="5"/>
      <c r="J2385" s="5"/>
      <c r="K2385" s="5" t="s">
        <v>13898</v>
      </c>
    </row>
    <row r="2386" customFormat="false" ht="46.25" hidden="false" customHeight="false" outlineLevel="0" collapsed="false">
      <c r="A2386" s="5" t="s">
        <v>3938</v>
      </c>
      <c r="B2386" s="2" t="s">
        <v>3939</v>
      </c>
      <c r="C2386" s="5" t="s">
        <v>2245</v>
      </c>
      <c r="D2386" s="5" t="s">
        <v>490</v>
      </c>
      <c r="E2386" s="5" t="n">
        <v>3</v>
      </c>
      <c r="F2386" s="5" t="s">
        <v>100</v>
      </c>
      <c r="G2386" s="2" t="s">
        <v>12077</v>
      </c>
      <c r="H2386" s="5" t="s">
        <v>8332</v>
      </c>
      <c r="I2386" s="5" t="s">
        <v>60</v>
      </c>
      <c r="J2386" s="5" t="s">
        <v>1384</v>
      </c>
      <c r="K2386" s="5" t="s">
        <v>3942</v>
      </c>
    </row>
    <row r="2387" customFormat="false" ht="15" hidden="false" customHeight="false" outlineLevel="0" collapsed="false">
      <c r="A2387" s="5" t="s">
        <v>13899</v>
      </c>
      <c r="B2387" s="2" t="s">
        <v>13900</v>
      </c>
      <c r="C2387" s="5" t="s">
        <v>2128</v>
      </c>
      <c r="D2387" s="5" t="s">
        <v>62</v>
      </c>
      <c r="E2387" s="5" t="n">
        <v>5</v>
      </c>
      <c r="F2387" s="5" t="s">
        <v>413</v>
      </c>
      <c r="G2387" s="2" t="s">
        <v>367</v>
      </c>
      <c r="H2387" s="5" t="s">
        <v>8336</v>
      </c>
      <c r="I2387" s="5"/>
      <c r="J2387" s="5"/>
      <c r="K2387" s="5" t="s">
        <v>13901</v>
      </c>
    </row>
    <row r="2388" customFormat="false" ht="46.25" hidden="false" customHeight="false" outlineLevel="0" collapsed="false">
      <c r="A2388" s="5" t="s">
        <v>13902</v>
      </c>
      <c r="B2388" s="2" t="s">
        <v>13903</v>
      </c>
      <c r="C2388" s="5" t="s">
        <v>2245</v>
      </c>
      <c r="D2388" s="5" t="s">
        <v>490</v>
      </c>
      <c r="E2388" s="5" t="n">
        <v>3</v>
      </c>
      <c r="F2388" s="5" t="s">
        <v>413</v>
      </c>
      <c r="G2388" s="2" t="s">
        <v>12057</v>
      </c>
      <c r="H2388" s="5" t="s">
        <v>8336</v>
      </c>
      <c r="I2388" s="5"/>
      <c r="J2388" s="5"/>
      <c r="K2388" s="5" t="s">
        <v>13904</v>
      </c>
    </row>
    <row r="2389" customFormat="false" ht="23.85" hidden="false" customHeight="false" outlineLevel="0" collapsed="false">
      <c r="A2389" s="5" t="s">
        <v>13905</v>
      </c>
      <c r="B2389" s="2" t="s">
        <v>13906</v>
      </c>
      <c r="C2389" s="5" t="s">
        <v>2128</v>
      </c>
      <c r="D2389" s="5" t="s">
        <v>62</v>
      </c>
      <c r="E2389" s="5" t="n">
        <v>3</v>
      </c>
      <c r="F2389" s="5" t="s">
        <v>413</v>
      </c>
      <c r="G2389" s="2" t="s">
        <v>367</v>
      </c>
      <c r="H2389" s="5" t="s">
        <v>8336</v>
      </c>
      <c r="I2389" s="5"/>
      <c r="J2389" s="5"/>
      <c r="K2389" s="5" t="s">
        <v>13907</v>
      </c>
    </row>
    <row r="2390" customFormat="false" ht="15" hidden="false" customHeight="false" outlineLevel="0" collapsed="false">
      <c r="A2390" s="5" t="s">
        <v>13908</v>
      </c>
      <c r="B2390" s="2" t="s">
        <v>13909</v>
      </c>
      <c r="C2390" s="5" t="s">
        <v>2128</v>
      </c>
      <c r="D2390" s="5" t="s">
        <v>62</v>
      </c>
      <c r="E2390" s="5" t="n">
        <v>7</v>
      </c>
      <c r="F2390" s="5" t="s">
        <v>67</v>
      </c>
      <c r="G2390" s="2" t="s">
        <v>367</v>
      </c>
      <c r="H2390" s="5" t="s">
        <v>8336</v>
      </c>
      <c r="I2390" s="5"/>
      <c r="J2390" s="5"/>
      <c r="K2390" s="5" t="s">
        <v>13910</v>
      </c>
    </row>
    <row r="2391" customFormat="false" ht="46.25" hidden="false" customHeight="false" outlineLevel="0" collapsed="false">
      <c r="A2391" s="5" t="s">
        <v>13911</v>
      </c>
      <c r="B2391" s="2" t="s">
        <v>13912</v>
      </c>
      <c r="C2391" s="5" t="s">
        <v>2245</v>
      </c>
      <c r="D2391" s="5" t="s">
        <v>490</v>
      </c>
      <c r="E2391" s="5" t="n">
        <v>3</v>
      </c>
      <c r="F2391" s="5" t="s">
        <v>277</v>
      </c>
      <c r="G2391" s="2" t="s">
        <v>12057</v>
      </c>
      <c r="H2391" s="5" t="s">
        <v>8336</v>
      </c>
      <c r="I2391" s="5"/>
      <c r="J2391" s="5"/>
      <c r="K2391" s="5" t="s">
        <v>13913</v>
      </c>
    </row>
    <row r="2392" customFormat="false" ht="46.25" hidden="false" customHeight="false" outlineLevel="0" collapsed="false">
      <c r="A2392" s="5" t="s">
        <v>13914</v>
      </c>
      <c r="B2392" s="2" t="s">
        <v>13915</v>
      </c>
      <c r="C2392" s="5" t="s">
        <v>2245</v>
      </c>
      <c r="D2392" s="5" t="s">
        <v>490</v>
      </c>
      <c r="E2392" s="5" t="n">
        <v>5</v>
      </c>
      <c r="F2392" s="5" t="s">
        <v>544</v>
      </c>
      <c r="G2392" s="2" t="s">
        <v>12057</v>
      </c>
      <c r="H2392" s="5" t="s">
        <v>8336</v>
      </c>
      <c r="I2392" s="5"/>
      <c r="J2392" s="5"/>
      <c r="K2392" s="5" t="s">
        <v>13916</v>
      </c>
    </row>
    <row r="2393" customFormat="false" ht="15" hidden="false" customHeight="false" outlineLevel="0" collapsed="false">
      <c r="A2393" s="5" t="s">
        <v>1540</v>
      </c>
      <c r="B2393" s="2" t="s">
        <v>1541</v>
      </c>
      <c r="C2393" s="5" t="s">
        <v>488</v>
      </c>
      <c r="D2393" s="5" t="s">
        <v>62</v>
      </c>
      <c r="E2393" s="5" t="n">
        <v>7</v>
      </c>
      <c r="F2393" s="5" t="s">
        <v>90</v>
      </c>
      <c r="G2393" s="2" t="s">
        <v>367</v>
      </c>
      <c r="H2393" s="5" t="s">
        <v>8332</v>
      </c>
      <c r="I2393" s="5" t="s">
        <v>60</v>
      </c>
      <c r="J2393" s="5"/>
      <c r="K2393" s="5" t="s">
        <v>1544</v>
      </c>
    </row>
    <row r="2394" customFormat="false" ht="46.25" hidden="false" customHeight="false" outlineLevel="0" collapsed="false">
      <c r="A2394" s="5" t="s">
        <v>13917</v>
      </c>
      <c r="B2394" s="2" t="s">
        <v>13918</v>
      </c>
      <c r="C2394" s="5" t="s">
        <v>2245</v>
      </c>
      <c r="D2394" s="5" t="s">
        <v>490</v>
      </c>
      <c r="E2394" s="5" t="n">
        <v>5</v>
      </c>
      <c r="F2394" s="5" t="s">
        <v>413</v>
      </c>
      <c r="G2394" s="2" t="s">
        <v>12054</v>
      </c>
      <c r="H2394" s="5" t="s">
        <v>8336</v>
      </c>
      <c r="I2394" s="5"/>
      <c r="J2394" s="5"/>
      <c r="K2394" s="5" t="s">
        <v>13919</v>
      </c>
    </row>
    <row r="2395" customFormat="false" ht="23.85" hidden="false" customHeight="false" outlineLevel="0" collapsed="false">
      <c r="A2395" s="5" t="s">
        <v>13920</v>
      </c>
      <c r="B2395" s="2" t="s">
        <v>13921</v>
      </c>
      <c r="C2395" s="5" t="s">
        <v>2128</v>
      </c>
      <c r="D2395" s="5" t="s">
        <v>62</v>
      </c>
      <c r="E2395" s="5" t="n">
        <v>5</v>
      </c>
      <c r="F2395" s="5" t="s">
        <v>90</v>
      </c>
      <c r="G2395" s="2" t="s">
        <v>367</v>
      </c>
      <c r="H2395" s="5" t="s">
        <v>8336</v>
      </c>
      <c r="I2395" s="5"/>
      <c r="J2395" s="5"/>
      <c r="K2395" s="5" t="s">
        <v>13922</v>
      </c>
    </row>
    <row r="2396" customFormat="false" ht="15" hidden="false" customHeight="false" outlineLevel="0" collapsed="false">
      <c r="A2396" s="5" t="s">
        <v>1545</v>
      </c>
      <c r="B2396" s="2" t="s">
        <v>1546</v>
      </c>
      <c r="C2396" s="5" t="s">
        <v>488</v>
      </c>
      <c r="D2396" s="5" t="s">
        <v>62</v>
      </c>
      <c r="E2396" s="5" t="n">
        <v>3</v>
      </c>
      <c r="F2396" s="5" t="s">
        <v>100</v>
      </c>
      <c r="G2396" s="2" t="s">
        <v>367</v>
      </c>
      <c r="H2396" s="5" t="s">
        <v>8332</v>
      </c>
      <c r="I2396" s="5" t="s">
        <v>60</v>
      </c>
      <c r="J2396" s="5" t="s">
        <v>1104</v>
      </c>
      <c r="K2396" s="5" t="s">
        <v>1549</v>
      </c>
    </row>
    <row r="2397" customFormat="false" ht="23.85" hidden="false" customHeight="false" outlineLevel="0" collapsed="false">
      <c r="A2397" s="5" t="s">
        <v>1550</v>
      </c>
      <c r="B2397" s="2" t="s">
        <v>1551</v>
      </c>
      <c r="C2397" s="5" t="s">
        <v>488</v>
      </c>
      <c r="D2397" s="5" t="s">
        <v>62</v>
      </c>
      <c r="E2397" s="5" t="n">
        <v>7</v>
      </c>
      <c r="F2397" s="5" t="s">
        <v>100</v>
      </c>
      <c r="G2397" s="2" t="s">
        <v>367</v>
      </c>
      <c r="H2397" s="5" t="s">
        <v>8332</v>
      </c>
      <c r="I2397" s="5" t="s">
        <v>60</v>
      </c>
      <c r="J2397" s="5" t="s">
        <v>1104</v>
      </c>
      <c r="K2397" s="5" t="s">
        <v>1555</v>
      </c>
    </row>
    <row r="2398" customFormat="false" ht="15" hidden="false" customHeight="false" outlineLevel="0" collapsed="false">
      <c r="A2398" s="5" t="s">
        <v>1556</v>
      </c>
      <c r="B2398" s="2" t="s">
        <v>1557</v>
      </c>
      <c r="C2398" s="5" t="s">
        <v>488</v>
      </c>
      <c r="D2398" s="5" t="s">
        <v>62</v>
      </c>
      <c r="E2398" s="5" t="n">
        <v>7</v>
      </c>
      <c r="F2398" s="5" t="s">
        <v>100</v>
      </c>
      <c r="G2398" s="2" t="s">
        <v>367</v>
      </c>
      <c r="H2398" s="5" t="s">
        <v>8332</v>
      </c>
      <c r="I2398" s="5" t="s">
        <v>60</v>
      </c>
      <c r="J2398" s="5" t="s">
        <v>1104</v>
      </c>
      <c r="K2398" s="5" t="s">
        <v>1560</v>
      </c>
    </row>
    <row r="2399" customFormat="false" ht="23.85" hidden="false" customHeight="false" outlineLevel="0" collapsed="false">
      <c r="A2399" s="5" t="s">
        <v>1561</v>
      </c>
      <c r="B2399" s="2" t="s">
        <v>1562</v>
      </c>
      <c r="C2399" s="5" t="s">
        <v>488</v>
      </c>
      <c r="D2399" s="5" t="s">
        <v>62</v>
      </c>
      <c r="E2399" s="5" t="n">
        <v>5</v>
      </c>
      <c r="F2399" s="5" t="s">
        <v>90</v>
      </c>
      <c r="G2399" s="2" t="s">
        <v>1254</v>
      </c>
      <c r="H2399" s="5" t="s">
        <v>8332</v>
      </c>
      <c r="I2399" s="5" t="s">
        <v>60</v>
      </c>
      <c r="J2399" s="5" t="s">
        <v>751</v>
      </c>
      <c r="K2399" s="5" t="s">
        <v>1566</v>
      </c>
    </row>
    <row r="2400" customFormat="false" ht="46.25" hidden="false" customHeight="false" outlineLevel="0" collapsed="false">
      <c r="A2400" s="5" t="s">
        <v>13923</v>
      </c>
      <c r="B2400" s="2" t="s">
        <v>13924</v>
      </c>
      <c r="C2400" s="5" t="s">
        <v>2245</v>
      </c>
      <c r="D2400" s="5" t="s">
        <v>62</v>
      </c>
      <c r="E2400" s="5" t="n">
        <v>7</v>
      </c>
      <c r="F2400" s="5" t="s">
        <v>67</v>
      </c>
      <c r="G2400" s="2" t="s">
        <v>12054</v>
      </c>
      <c r="H2400" s="5" t="s">
        <v>8336</v>
      </c>
      <c r="I2400" s="5"/>
      <c r="J2400" s="5"/>
      <c r="K2400" s="5" t="s">
        <v>13925</v>
      </c>
    </row>
    <row r="2401" customFormat="false" ht="23.85" hidden="false" customHeight="false" outlineLevel="0" collapsed="false">
      <c r="A2401" s="5" t="s">
        <v>13926</v>
      </c>
      <c r="B2401" s="2" t="s">
        <v>13927</v>
      </c>
      <c r="C2401" s="5" t="s">
        <v>2128</v>
      </c>
      <c r="D2401" s="5" t="s">
        <v>62</v>
      </c>
      <c r="E2401" s="5" t="n">
        <v>7</v>
      </c>
      <c r="F2401" s="5" t="s">
        <v>536</v>
      </c>
      <c r="G2401" s="2" t="s">
        <v>415</v>
      </c>
      <c r="H2401" s="5" t="s">
        <v>8336</v>
      </c>
      <c r="I2401" s="5"/>
      <c r="J2401" s="5"/>
      <c r="K2401" s="5" t="s">
        <v>13928</v>
      </c>
    </row>
    <row r="2402" customFormat="false" ht="46.25" hidden="false" customHeight="false" outlineLevel="0" collapsed="false">
      <c r="A2402" s="5" t="s">
        <v>13929</v>
      </c>
      <c r="B2402" s="2" t="s">
        <v>13930</v>
      </c>
      <c r="C2402" s="5" t="s">
        <v>2245</v>
      </c>
      <c r="D2402" s="5" t="s">
        <v>490</v>
      </c>
      <c r="E2402" s="5" t="n">
        <v>5</v>
      </c>
      <c r="F2402" s="5" t="s">
        <v>90</v>
      </c>
      <c r="G2402" s="2" t="s">
        <v>12174</v>
      </c>
      <c r="H2402" s="5" t="s">
        <v>8336</v>
      </c>
      <c r="I2402" s="5"/>
      <c r="J2402" s="5"/>
      <c r="K2402" s="5" t="s">
        <v>13931</v>
      </c>
    </row>
    <row r="2403" customFormat="false" ht="46.25" hidden="false" customHeight="false" outlineLevel="0" collapsed="false">
      <c r="A2403" s="5" t="s">
        <v>13932</v>
      </c>
      <c r="B2403" s="2" t="s">
        <v>13933</v>
      </c>
      <c r="C2403" s="5" t="s">
        <v>2245</v>
      </c>
      <c r="D2403" s="5" t="s">
        <v>490</v>
      </c>
      <c r="E2403" s="5" t="n">
        <v>3</v>
      </c>
      <c r="F2403" s="5" t="s">
        <v>67</v>
      </c>
      <c r="G2403" s="2" t="s">
        <v>12174</v>
      </c>
      <c r="H2403" s="5" t="s">
        <v>8336</v>
      </c>
      <c r="I2403" s="5"/>
      <c r="J2403" s="5"/>
      <c r="K2403" s="5" t="s">
        <v>13934</v>
      </c>
    </row>
    <row r="2404" customFormat="false" ht="23.85" hidden="false" customHeight="false" outlineLevel="0" collapsed="false">
      <c r="A2404" s="5" t="s">
        <v>13935</v>
      </c>
      <c r="B2404" s="2" t="s">
        <v>13936</v>
      </c>
      <c r="C2404" s="5" t="s">
        <v>2128</v>
      </c>
      <c r="D2404" s="5" t="s">
        <v>62</v>
      </c>
      <c r="E2404" s="5" t="n">
        <v>3</v>
      </c>
      <c r="F2404" s="5" t="s">
        <v>67</v>
      </c>
      <c r="G2404" s="2" t="s">
        <v>415</v>
      </c>
      <c r="H2404" s="5" t="s">
        <v>8336</v>
      </c>
      <c r="I2404" s="5"/>
      <c r="J2404" s="5"/>
      <c r="K2404" s="5" t="s">
        <v>13937</v>
      </c>
    </row>
    <row r="2405" customFormat="false" ht="15" hidden="false" customHeight="false" outlineLevel="0" collapsed="false">
      <c r="A2405" s="5" t="s">
        <v>13938</v>
      </c>
      <c r="B2405" s="2" t="s">
        <v>13939</v>
      </c>
      <c r="C2405" s="5" t="s">
        <v>2128</v>
      </c>
      <c r="D2405" s="5" t="s">
        <v>62</v>
      </c>
      <c r="E2405" s="5" t="n">
        <v>5</v>
      </c>
      <c r="F2405" s="5" t="s">
        <v>90</v>
      </c>
      <c r="G2405" s="2" t="s">
        <v>367</v>
      </c>
      <c r="H2405" s="5" t="s">
        <v>8336</v>
      </c>
      <c r="I2405" s="5"/>
      <c r="J2405" s="5"/>
      <c r="K2405" s="5" t="s">
        <v>13940</v>
      </c>
    </row>
    <row r="2406" customFormat="false" ht="15" hidden="false" customHeight="false" outlineLevel="0" collapsed="false">
      <c r="A2406" s="5" t="s">
        <v>13941</v>
      </c>
      <c r="B2406" s="2" t="s">
        <v>13942</v>
      </c>
      <c r="C2406" s="5" t="s">
        <v>2128</v>
      </c>
      <c r="D2406" s="5" t="s">
        <v>62</v>
      </c>
      <c r="E2406" s="5" t="n">
        <v>5</v>
      </c>
      <c r="F2406" s="5" t="s">
        <v>90</v>
      </c>
      <c r="G2406" s="2" t="s">
        <v>367</v>
      </c>
      <c r="H2406" s="5" t="s">
        <v>8336</v>
      </c>
      <c r="I2406" s="5"/>
      <c r="J2406" s="5"/>
      <c r="K2406" s="5" t="s">
        <v>13943</v>
      </c>
    </row>
    <row r="2407" customFormat="false" ht="46.25" hidden="false" customHeight="false" outlineLevel="0" collapsed="false">
      <c r="A2407" s="5" t="s">
        <v>13944</v>
      </c>
      <c r="B2407" s="2" t="s">
        <v>13945</v>
      </c>
      <c r="C2407" s="5" t="s">
        <v>2245</v>
      </c>
      <c r="D2407" s="5" t="s">
        <v>490</v>
      </c>
      <c r="E2407" s="5" t="n">
        <v>7</v>
      </c>
      <c r="F2407" s="5" t="s">
        <v>67</v>
      </c>
      <c r="G2407" s="2" t="s">
        <v>12057</v>
      </c>
      <c r="H2407" s="5" t="s">
        <v>8336</v>
      </c>
      <c r="I2407" s="5"/>
      <c r="J2407" s="5"/>
      <c r="K2407" s="5" t="s">
        <v>13946</v>
      </c>
    </row>
    <row r="2408" customFormat="false" ht="46.25" hidden="false" customHeight="false" outlineLevel="0" collapsed="false">
      <c r="A2408" s="5" t="s">
        <v>13947</v>
      </c>
      <c r="B2408" s="2" t="s">
        <v>13948</v>
      </c>
      <c r="C2408" s="5" t="s">
        <v>2245</v>
      </c>
      <c r="D2408" s="5" t="s">
        <v>62</v>
      </c>
      <c r="E2408" s="5" t="n">
        <v>7</v>
      </c>
      <c r="F2408" s="5" t="s">
        <v>413</v>
      </c>
      <c r="G2408" s="2" t="s">
        <v>12057</v>
      </c>
      <c r="H2408" s="5" t="s">
        <v>8336</v>
      </c>
      <c r="I2408" s="5"/>
      <c r="J2408" s="5"/>
      <c r="K2408" s="5" t="s">
        <v>13949</v>
      </c>
    </row>
    <row r="2409" customFormat="false" ht="15" hidden="false" customHeight="false" outlineLevel="0" collapsed="false">
      <c r="A2409" s="5" t="s">
        <v>13950</v>
      </c>
      <c r="B2409" s="2" t="s">
        <v>13951</v>
      </c>
      <c r="C2409" s="5" t="s">
        <v>2128</v>
      </c>
      <c r="D2409" s="5" t="s">
        <v>62</v>
      </c>
      <c r="E2409" s="5" t="n">
        <v>7</v>
      </c>
      <c r="F2409" s="5" t="s">
        <v>544</v>
      </c>
      <c r="G2409" s="2" t="s">
        <v>367</v>
      </c>
      <c r="H2409" s="5" t="s">
        <v>8336</v>
      </c>
      <c r="I2409" s="5"/>
      <c r="J2409" s="5"/>
      <c r="K2409" s="5" t="s">
        <v>13952</v>
      </c>
    </row>
    <row r="2410" customFormat="false" ht="46.25" hidden="false" customHeight="false" outlineLevel="0" collapsed="false">
      <c r="A2410" s="5" t="s">
        <v>13953</v>
      </c>
      <c r="B2410" s="2" t="s">
        <v>13954</v>
      </c>
      <c r="C2410" s="5" t="s">
        <v>2245</v>
      </c>
      <c r="D2410" s="5" t="s">
        <v>62</v>
      </c>
      <c r="E2410" s="5" t="n">
        <v>7</v>
      </c>
      <c r="F2410" s="5" t="s">
        <v>67</v>
      </c>
      <c r="G2410" s="2" t="s">
        <v>12057</v>
      </c>
      <c r="H2410" s="5" t="s">
        <v>8336</v>
      </c>
      <c r="I2410" s="5"/>
      <c r="J2410" s="5"/>
      <c r="K2410" s="5" t="s">
        <v>13955</v>
      </c>
    </row>
    <row r="2411" customFormat="false" ht="46.25" hidden="false" customHeight="false" outlineLevel="0" collapsed="false">
      <c r="A2411" s="5" t="s">
        <v>13956</v>
      </c>
      <c r="B2411" s="2" t="s">
        <v>13957</v>
      </c>
      <c r="C2411" s="5" t="s">
        <v>2245</v>
      </c>
      <c r="D2411" s="5" t="s">
        <v>62</v>
      </c>
      <c r="E2411" s="5" t="n">
        <v>5</v>
      </c>
      <c r="F2411" s="5" t="s">
        <v>90</v>
      </c>
      <c r="G2411" s="2" t="s">
        <v>12057</v>
      </c>
      <c r="H2411" s="5" t="s">
        <v>8336</v>
      </c>
      <c r="I2411" s="5"/>
      <c r="J2411" s="5"/>
      <c r="K2411" s="5" t="s">
        <v>13958</v>
      </c>
    </row>
    <row r="2412" customFormat="false" ht="15" hidden="false" customHeight="false" outlineLevel="0" collapsed="false">
      <c r="A2412" s="5" t="s">
        <v>13959</v>
      </c>
      <c r="B2412" s="2" t="s">
        <v>13960</v>
      </c>
      <c r="C2412" s="5" t="s">
        <v>2128</v>
      </c>
      <c r="D2412" s="5" t="s">
        <v>62</v>
      </c>
      <c r="E2412" s="5" t="n">
        <v>5</v>
      </c>
      <c r="F2412" s="5" t="s">
        <v>90</v>
      </c>
      <c r="G2412" s="2" t="s">
        <v>367</v>
      </c>
      <c r="H2412" s="5" t="s">
        <v>8336</v>
      </c>
      <c r="I2412" s="5"/>
      <c r="J2412" s="5"/>
      <c r="K2412" s="5" t="s">
        <v>13961</v>
      </c>
    </row>
    <row r="2413" customFormat="false" ht="15" hidden="false" customHeight="false" outlineLevel="0" collapsed="false">
      <c r="A2413" s="5" t="s">
        <v>13962</v>
      </c>
      <c r="B2413" s="2" t="s">
        <v>13963</v>
      </c>
      <c r="C2413" s="5" t="s">
        <v>2128</v>
      </c>
      <c r="D2413" s="5" t="s">
        <v>62</v>
      </c>
      <c r="E2413" s="5" t="n">
        <v>3</v>
      </c>
      <c r="F2413" s="5" t="s">
        <v>544</v>
      </c>
      <c r="G2413" s="2" t="s">
        <v>367</v>
      </c>
      <c r="H2413" s="5" t="s">
        <v>8336</v>
      </c>
      <c r="I2413" s="5"/>
      <c r="J2413" s="5"/>
      <c r="K2413" s="5" t="s">
        <v>13964</v>
      </c>
    </row>
    <row r="2414" customFormat="false" ht="23.85" hidden="false" customHeight="false" outlineLevel="0" collapsed="false">
      <c r="A2414" s="5" t="s">
        <v>13965</v>
      </c>
      <c r="B2414" s="2" t="s">
        <v>13966</v>
      </c>
      <c r="C2414" s="5" t="s">
        <v>2128</v>
      </c>
      <c r="D2414" s="5" t="s">
        <v>62</v>
      </c>
      <c r="E2414" s="5" t="n">
        <v>7</v>
      </c>
      <c r="F2414" s="5" t="s">
        <v>544</v>
      </c>
      <c r="G2414" s="2" t="s">
        <v>367</v>
      </c>
      <c r="H2414" s="5" t="s">
        <v>8336</v>
      </c>
      <c r="I2414" s="5"/>
      <c r="J2414" s="5"/>
      <c r="K2414" s="5" t="s">
        <v>13967</v>
      </c>
    </row>
    <row r="2415" customFormat="false" ht="15" hidden="false" customHeight="false" outlineLevel="0" collapsed="false">
      <c r="A2415" s="5" t="s">
        <v>13968</v>
      </c>
      <c r="B2415" s="2" t="s">
        <v>13969</v>
      </c>
      <c r="C2415" s="5" t="s">
        <v>2128</v>
      </c>
      <c r="D2415" s="5" t="s">
        <v>62</v>
      </c>
      <c r="E2415" s="5" t="n">
        <v>5</v>
      </c>
      <c r="F2415" s="5" t="s">
        <v>544</v>
      </c>
      <c r="G2415" s="2" t="s">
        <v>367</v>
      </c>
      <c r="H2415" s="5" t="s">
        <v>8336</v>
      </c>
      <c r="I2415" s="5"/>
      <c r="J2415" s="5"/>
      <c r="K2415" s="5" t="s">
        <v>13970</v>
      </c>
    </row>
    <row r="2416" customFormat="false" ht="46.25" hidden="false" customHeight="false" outlineLevel="0" collapsed="false">
      <c r="A2416" s="5" t="s">
        <v>13971</v>
      </c>
      <c r="B2416" s="2" t="s">
        <v>13972</v>
      </c>
      <c r="C2416" s="5" t="s">
        <v>2245</v>
      </c>
      <c r="D2416" s="5" t="s">
        <v>62</v>
      </c>
      <c r="E2416" s="5" t="n">
        <v>5</v>
      </c>
      <c r="F2416" s="5" t="s">
        <v>90</v>
      </c>
      <c r="G2416" s="2" t="s">
        <v>12057</v>
      </c>
      <c r="H2416" s="5" t="s">
        <v>8336</v>
      </c>
      <c r="I2416" s="5"/>
      <c r="J2416" s="5"/>
      <c r="K2416" s="5" t="s">
        <v>13973</v>
      </c>
    </row>
    <row r="2417" customFormat="false" ht="23.85" hidden="false" customHeight="false" outlineLevel="0" collapsed="false">
      <c r="A2417" s="5" t="s">
        <v>13974</v>
      </c>
      <c r="B2417" s="2" t="s">
        <v>13975</v>
      </c>
      <c r="C2417" s="5" t="s">
        <v>2128</v>
      </c>
      <c r="D2417" s="5" t="s">
        <v>62</v>
      </c>
      <c r="E2417" s="5" t="n">
        <v>5</v>
      </c>
      <c r="F2417" s="5" t="s">
        <v>90</v>
      </c>
      <c r="G2417" s="2" t="s">
        <v>367</v>
      </c>
      <c r="H2417" s="5" t="s">
        <v>8336</v>
      </c>
      <c r="I2417" s="5"/>
      <c r="J2417" s="5"/>
      <c r="K2417" s="5" t="s">
        <v>13976</v>
      </c>
    </row>
    <row r="2418" customFormat="false" ht="46.25" hidden="false" customHeight="false" outlineLevel="0" collapsed="false">
      <c r="A2418" s="5" t="s">
        <v>13977</v>
      </c>
      <c r="B2418" s="2" t="s">
        <v>13978</v>
      </c>
      <c r="C2418" s="5" t="s">
        <v>2245</v>
      </c>
      <c r="D2418" s="5" t="s">
        <v>62</v>
      </c>
      <c r="E2418" s="5" t="n">
        <v>7</v>
      </c>
      <c r="F2418" s="5" t="s">
        <v>67</v>
      </c>
      <c r="G2418" s="2" t="s">
        <v>12057</v>
      </c>
      <c r="H2418" s="5" t="s">
        <v>8336</v>
      </c>
      <c r="I2418" s="5"/>
      <c r="J2418" s="5"/>
      <c r="K2418" s="5" t="s">
        <v>13979</v>
      </c>
    </row>
    <row r="2419" customFormat="false" ht="46.25" hidden="false" customHeight="false" outlineLevel="0" collapsed="false">
      <c r="A2419" s="5" t="s">
        <v>13980</v>
      </c>
      <c r="B2419" s="2" t="s">
        <v>13981</v>
      </c>
      <c r="C2419" s="5" t="s">
        <v>2245</v>
      </c>
      <c r="D2419" s="5" t="s">
        <v>490</v>
      </c>
      <c r="E2419" s="5" t="n">
        <v>5</v>
      </c>
      <c r="F2419" s="5" t="s">
        <v>1814</v>
      </c>
      <c r="G2419" s="2" t="s">
        <v>12057</v>
      </c>
      <c r="H2419" s="5" t="s">
        <v>8336</v>
      </c>
      <c r="I2419" s="5"/>
      <c r="J2419" s="5"/>
      <c r="K2419" s="5" t="s">
        <v>13982</v>
      </c>
    </row>
    <row r="2420" customFormat="false" ht="23.85" hidden="false" customHeight="false" outlineLevel="0" collapsed="false">
      <c r="A2420" s="5" t="s">
        <v>6274</v>
      </c>
      <c r="B2420" s="2" t="s">
        <v>6275</v>
      </c>
      <c r="C2420" s="5" t="s">
        <v>2128</v>
      </c>
      <c r="D2420" s="5" t="s">
        <v>62</v>
      </c>
      <c r="E2420" s="5" t="n">
        <v>5</v>
      </c>
      <c r="F2420" s="5" t="s">
        <v>2079</v>
      </c>
      <c r="G2420" s="2" t="s">
        <v>6276</v>
      </c>
      <c r="H2420" s="5" t="s">
        <v>8332</v>
      </c>
      <c r="I2420" s="5" t="s">
        <v>4760</v>
      </c>
      <c r="J2420" s="5" t="s">
        <v>2079</v>
      </c>
      <c r="K2420" s="5" t="s">
        <v>6282</v>
      </c>
    </row>
    <row r="2421" customFormat="false" ht="15" hidden="false" customHeight="false" outlineLevel="0" collapsed="false">
      <c r="A2421" s="5" t="s">
        <v>13983</v>
      </c>
      <c r="B2421" s="2" t="s">
        <v>13984</v>
      </c>
      <c r="C2421" s="5" t="s">
        <v>2128</v>
      </c>
      <c r="D2421" s="5" t="s">
        <v>62</v>
      </c>
      <c r="E2421" s="5" t="n">
        <v>7</v>
      </c>
      <c r="F2421" s="5" t="s">
        <v>90</v>
      </c>
      <c r="G2421" s="2" t="s">
        <v>367</v>
      </c>
      <c r="H2421" s="5" t="s">
        <v>8336</v>
      </c>
      <c r="I2421" s="5"/>
      <c r="J2421" s="5"/>
      <c r="K2421" s="5" t="s">
        <v>13985</v>
      </c>
    </row>
    <row r="2422" customFormat="false" ht="23.85" hidden="false" customHeight="false" outlineLevel="0" collapsed="false">
      <c r="A2422" s="5" t="s">
        <v>13986</v>
      </c>
      <c r="B2422" s="2" t="s">
        <v>13987</v>
      </c>
      <c r="C2422" s="5" t="s">
        <v>2128</v>
      </c>
      <c r="D2422" s="5" t="s">
        <v>62</v>
      </c>
      <c r="E2422" s="5" t="n">
        <v>7</v>
      </c>
      <c r="F2422" s="5" t="s">
        <v>413</v>
      </c>
      <c r="G2422" s="2" t="s">
        <v>367</v>
      </c>
      <c r="H2422" s="5" t="s">
        <v>8336</v>
      </c>
      <c r="I2422" s="5"/>
      <c r="J2422" s="5"/>
      <c r="K2422" s="5" t="s">
        <v>13988</v>
      </c>
    </row>
    <row r="2423" customFormat="false" ht="15" hidden="false" customHeight="false" outlineLevel="0" collapsed="false">
      <c r="A2423" s="5" t="s">
        <v>13989</v>
      </c>
      <c r="B2423" s="2" t="s">
        <v>13990</v>
      </c>
      <c r="C2423" s="5" t="s">
        <v>2128</v>
      </c>
      <c r="D2423" s="5" t="s">
        <v>62</v>
      </c>
      <c r="E2423" s="5" t="n">
        <v>7</v>
      </c>
      <c r="F2423" s="5" t="s">
        <v>413</v>
      </c>
      <c r="G2423" s="2" t="s">
        <v>367</v>
      </c>
      <c r="H2423" s="5" t="s">
        <v>8336</v>
      </c>
      <c r="I2423" s="5"/>
      <c r="J2423" s="5"/>
      <c r="K2423" s="5" t="s">
        <v>13991</v>
      </c>
    </row>
    <row r="2424" customFormat="false" ht="46.25" hidden="false" customHeight="false" outlineLevel="0" collapsed="false">
      <c r="A2424" s="5" t="s">
        <v>13992</v>
      </c>
      <c r="B2424" s="2" t="s">
        <v>13993</v>
      </c>
      <c r="C2424" s="5" t="s">
        <v>2245</v>
      </c>
      <c r="D2424" s="5" t="s">
        <v>62</v>
      </c>
      <c r="E2424" s="5" t="n">
        <v>7</v>
      </c>
      <c r="F2424" s="5" t="s">
        <v>67</v>
      </c>
      <c r="G2424" s="2" t="s">
        <v>12057</v>
      </c>
      <c r="H2424" s="5" t="s">
        <v>8336</v>
      </c>
      <c r="I2424" s="5"/>
      <c r="J2424" s="5"/>
      <c r="K2424" s="5" t="s">
        <v>13994</v>
      </c>
    </row>
    <row r="2425" customFormat="false" ht="46.25" hidden="false" customHeight="false" outlineLevel="0" collapsed="false">
      <c r="A2425" s="5" t="s">
        <v>13995</v>
      </c>
      <c r="B2425" s="2" t="s">
        <v>13996</v>
      </c>
      <c r="C2425" s="5" t="s">
        <v>2245</v>
      </c>
      <c r="D2425" s="5" t="s">
        <v>62</v>
      </c>
      <c r="E2425" s="5" t="n">
        <v>7</v>
      </c>
      <c r="F2425" s="5" t="s">
        <v>1814</v>
      </c>
      <c r="G2425" s="2" t="s">
        <v>12057</v>
      </c>
      <c r="H2425" s="5" t="s">
        <v>8336</v>
      </c>
      <c r="I2425" s="5"/>
      <c r="J2425" s="5"/>
      <c r="K2425" s="5" t="s">
        <v>13997</v>
      </c>
    </row>
    <row r="2426" customFormat="false" ht="23.85" hidden="false" customHeight="false" outlineLevel="0" collapsed="false">
      <c r="A2426" s="5" t="s">
        <v>13998</v>
      </c>
      <c r="B2426" s="2" t="s">
        <v>13999</v>
      </c>
      <c r="C2426" s="5" t="s">
        <v>2128</v>
      </c>
      <c r="D2426" s="5" t="s">
        <v>62</v>
      </c>
      <c r="E2426" s="5" t="n">
        <v>5</v>
      </c>
      <c r="F2426" s="5" t="s">
        <v>67</v>
      </c>
      <c r="G2426" s="2" t="s">
        <v>367</v>
      </c>
      <c r="H2426" s="5" t="s">
        <v>8336</v>
      </c>
      <c r="I2426" s="5"/>
      <c r="J2426" s="5"/>
      <c r="K2426" s="5" t="s">
        <v>14000</v>
      </c>
    </row>
    <row r="2427" customFormat="false" ht="46.25" hidden="false" customHeight="false" outlineLevel="0" collapsed="false">
      <c r="A2427" s="5" t="s">
        <v>6283</v>
      </c>
      <c r="B2427" s="2" t="s">
        <v>6284</v>
      </c>
      <c r="C2427" s="5" t="s">
        <v>2245</v>
      </c>
      <c r="D2427" s="5" t="s">
        <v>62</v>
      </c>
      <c r="E2427" s="5" t="n">
        <v>7</v>
      </c>
      <c r="F2427" s="5" t="s">
        <v>2079</v>
      </c>
      <c r="G2427" s="2" t="s">
        <v>12057</v>
      </c>
      <c r="H2427" s="5" t="s">
        <v>8332</v>
      </c>
      <c r="I2427" s="5" t="s">
        <v>4760</v>
      </c>
      <c r="J2427" s="5" t="s">
        <v>2079</v>
      </c>
      <c r="K2427" s="5" t="s">
        <v>6288</v>
      </c>
    </row>
    <row r="2428" customFormat="false" ht="46.25" hidden="false" customHeight="false" outlineLevel="0" collapsed="false">
      <c r="A2428" s="5" t="s">
        <v>3943</v>
      </c>
      <c r="B2428" s="2" t="s">
        <v>3944</v>
      </c>
      <c r="C2428" s="5" t="s">
        <v>2245</v>
      </c>
      <c r="D2428" s="5" t="s">
        <v>62</v>
      </c>
      <c r="E2428" s="5" t="n">
        <v>3</v>
      </c>
      <c r="F2428" s="5" t="s">
        <v>90</v>
      </c>
      <c r="G2428" s="2" t="s">
        <v>12894</v>
      </c>
      <c r="H2428" s="5" t="s">
        <v>8332</v>
      </c>
      <c r="I2428" s="5" t="s">
        <v>60</v>
      </c>
      <c r="J2428" s="5" t="s">
        <v>269</v>
      </c>
      <c r="K2428" s="5" t="s">
        <v>3948</v>
      </c>
    </row>
    <row r="2429" customFormat="false" ht="23.85" hidden="false" customHeight="false" outlineLevel="0" collapsed="false">
      <c r="A2429" s="5" t="s">
        <v>14001</v>
      </c>
      <c r="B2429" s="2" t="s">
        <v>14002</v>
      </c>
      <c r="C2429" s="5" t="s">
        <v>2128</v>
      </c>
      <c r="D2429" s="5" t="s">
        <v>62</v>
      </c>
      <c r="E2429" s="5" t="n">
        <v>7</v>
      </c>
      <c r="F2429" s="5" t="s">
        <v>67</v>
      </c>
      <c r="G2429" s="2" t="s">
        <v>367</v>
      </c>
      <c r="H2429" s="5" t="s">
        <v>8336</v>
      </c>
      <c r="I2429" s="5"/>
      <c r="J2429" s="5"/>
      <c r="K2429" s="5" t="s">
        <v>14003</v>
      </c>
    </row>
    <row r="2430" customFormat="false" ht="46.25" hidden="false" customHeight="false" outlineLevel="0" collapsed="false">
      <c r="A2430" s="5" t="s">
        <v>14004</v>
      </c>
      <c r="B2430" s="2" t="s">
        <v>14005</v>
      </c>
      <c r="C2430" s="5" t="s">
        <v>2245</v>
      </c>
      <c r="D2430" s="5" t="s">
        <v>62</v>
      </c>
      <c r="E2430" s="5" t="n">
        <v>7</v>
      </c>
      <c r="F2430" s="5" t="s">
        <v>67</v>
      </c>
      <c r="G2430" s="2" t="s">
        <v>12057</v>
      </c>
      <c r="H2430" s="5" t="s">
        <v>8336</v>
      </c>
      <c r="I2430" s="5"/>
      <c r="J2430" s="5"/>
      <c r="K2430" s="5" t="s">
        <v>14006</v>
      </c>
    </row>
    <row r="2431" customFormat="false" ht="46.25" hidden="false" customHeight="false" outlineLevel="0" collapsed="false">
      <c r="A2431" s="5" t="s">
        <v>14007</v>
      </c>
      <c r="B2431" s="2" t="s">
        <v>14008</v>
      </c>
      <c r="C2431" s="5" t="s">
        <v>2245</v>
      </c>
      <c r="D2431" s="5" t="s">
        <v>62</v>
      </c>
      <c r="E2431" s="5" t="n">
        <v>7</v>
      </c>
      <c r="F2431" s="5" t="s">
        <v>1814</v>
      </c>
      <c r="G2431" s="2" t="s">
        <v>12057</v>
      </c>
      <c r="H2431" s="5" t="s">
        <v>8336</v>
      </c>
      <c r="I2431" s="5"/>
      <c r="J2431" s="5"/>
      <c r="K2431" s="5" t="s">
        <v>14009</v>
      </c>
    </row>
    <row r="2432" customFormat="false" ht="46.25" hidden="false" customHeight="false" outlineLevel="0" collapsed="false">
      <c r="A2432" s="5" t="s">
        <v>14010</v>
      </c>
      <c r="B2432" s="2" t="s">
        <v>14011</v>
      </c>
      <c r="C2432" s="5" t="s">
        <v>2245</v>
      </c>
      <c r="D2432" s="5" t="s">
        <v>62</v>
      </c>
      <c r="E2432" s="5" t="n">
        <v>5</v>
      </c>
      <c r="F2432" s="5" t="s">
        <v>90</v>
      </c>
      <c r="G2432" s="2" t="s">
        <v>12057</v>
      </c>
      <c r="H2432" s="5" t="s">
        <v>8336</v>
      </c>
      <c r="I2432" s="5"/>
      <c r="J2432" s="5"/>
      <c r="K2432" s="5" t="s">
        <v>14012</v>
      </c>
    </row>
    <row r="2433" customFormat="false" ht="23.85" hidden="false" customHeight="false" outlineLevel="0" collapsed="false">
      <c r="A2433" s="5" t="s">
        <v>14013</v>
      </c>
      <c r="B2433" s="2" t="s">
        <v>14014</v>
      </c>
      <c r="C2433" s="5" t="s">
        <v>2128</v>
      </c>
      <c r="D2433" s="5" t="s">
        <v>62</v>
      </c>
      <c r="E2433" s="5" t="n">
        <v>5</v>
      </c>
      <c r="F2433" s="5" t="s">
        <v>413</v>
      </c>
      <c r="G2433" s="2" t="s">
        <v>415</v>
      </c>
      <c r="H2433" s="5" t="s">
        <v>8336</v>
      </c>
      <c r="I2433" s="5"/>
      <c r="J2433" s="5"/>
      <c r="K2433" s="5" t="s">
        <v>14015</v>
      </c>
    </row>
    <row r="2434" customFormat="false" ht="46.25" hidden="false" customHeight="false" outlineLevel="0" collapsed="false">
      <c r="A2434" s="5" t="s">
        <v>3949</v>
      </c>
      <c r="B2434" s="2" t="s">
        <v>3950</v>
      </c>
      <c r="C2434" s="5" t="s">
        <v>2245</v>
      </c>
      <c r="D2434" s="5" t="s">
        <v>62</v>
      </c>
      <c r="E2434" s="5" t="n">
        <v>5</v>
      </c>
      <c r="F2434" s="5" t="s">
        <v>67</v>
      </c>
      <c r="G2434" s="2" t="s">
        <v>12894</v>
      </c>
      <c r="H2434" s="5" t="s">
        <v>8332</v>
      </c>
      <c r="I2434" s="5" t="s">
        <v>60</v>
      </c>
      <c r="J2434" s="5" t="s">
        <v>269</v>
      </c>
      <c r="K2434" s="5" t="s">
        <v>3954</v>
      </c>
    </row>
    <row r="2435" customFormat="false" ht="23.85" hidden="false" customHeight="false" outlineLevel="0" collapsed="false">
      <c r="A2435" s="5" t="s">
        <v>1567</v>
      </c>
      <c r="B2435" s="2" t="s">
        <v>1568</v>
      </c>
      <c r="C2435" s="5" t="s">
        <v>488</v>
      </c>
      <c r="D2435" s="5" t="s">
        <v>62</v>
      </c>
      <c r="E2435" s="5" t="n">
        <v>7</v>
      </c>
      <c r="F2435" s="5" t="s">
        <v>90</v>
      </c>
      <c r="G2435" s="2" t="s">
        <v>184</v>
      </c>
      <c r="H2435" s="5" t="s">
        <v>8332</v>
      </c>
      <c r="I2435" s="5" t="s">
        <v>60</v>
      </c>
      <c r="J2435" s="5" t="s">
        <v>182</v>
      </c>
      <c r="K2435" s="5" t="s">
        <v>1572</v>
      </c>
    </row>
    <row r="2436" customFormat="false" ht="15" hidden="false" customHeight="false" outlineLevel="0" collapsed="false">
      <c r="A2436" s="5" t="s">
        <v>1573</v>
      </c>
      <c r="B2436" s="2" t="s">
        <v>1574</v>
      </c>
      <c r="C2436" s="5" t="s">
        <v>488</v>
      </c>
      <c r="D2436" s="5" t="s">
        <v>62</v>
      </c>
      <c r="E2436" s="5" t="n">
        <v>7</v>
      </c>
      <c r="F2436" s="5" t="s">
        <v>100</v>
      </c>
      <c r="G2436" s="2" t="s">
        <v>367</v>
      </c>
      <c r="H2436" s="5" t="s">
        <v>8332</v>
      </c>
      <c r="I2436" s="5" t="s">
        <v>60</v>
      </c>
      <c r="J2436" s="5" t="s">
        <v>100</v>
      </c>
      <c r="K2436" s="5" t="s">
        <v>1578</v>
      </c>
    </row>
    <row r="2437" customFormat="false" ht="23.85" hidden="false" customHeight="false" outlineLevel="0" collapsed="false">
      <c r="A2437" s="5" t="s">
        <v>1579</v>
      </c>
      <c r="B2437" s="2" t="s">
        <v>1580</v>
      </c>
      <c r="C2437" s="5" t="s">
        <v>488</v>
      </c>
      <c r="D2437" s="5" t="s">
        <v>62</v>
      </c>
      <c r="E2437" s="5" t="n">
        <v>7</v>
      </c>
      <c r="F2437" s="5" t="s">
        <v>100</v>
      </c>
      <c r="G2437" s="2" t="s">
        <v>184</v>
      </c>
      <c r="H2437" s="5" t="s">
        <v>8332</v>
      </c>
      <c r="I2437" s="5" t="s">
        <v>60</v>
      </c>
      <c r="J2437" s="5" t="s">
        <v>303</v>
      </c>
      <c r="K2437" s="5" t="s">
        <v>1586</v>
      </c>
    </row>
    <row r="2438" customFormat="false" ht="46.25" hidden="false" customHeight="false" outlineLevel="0" collapsed="false">
      <c r="A2438" s="5" t="s">
        <v>6289</v>
      </c>
      <c r="B2438" s="2" t="s">
        <v>6290</v>
      </c>
      <c r="C2438" s="5" t="s">
        <v>2245</v>
      </c>
      <c r="D2438" s="5" t="s">
        <v>62</v>
      </c>
      <c r="E2438" s="5" t="n">
        <v>7</v>
      </c>
      <c r="F2438" s="5" t="s">
        <v>100</v>
      </c>
      <c r="G2438" s="2" t="s">
        <v>12057</v>
      </c>
      <c r="H2438" s="5" t="s">
        <v>8332</v>
      </c>
      <c r="I2438" s="5" t="s">
        <v>4760</v>
      </c>
      <c r="J2438" s="5" t="s">
        <v>100</v>
      </c>
      <c r="K2438" s="5" t="s">
        <v>6296</v>
      </c>
    </row>
    <row r="2439" customFormat="false" ht="46.25" hidden="false" customHeight="false" outlineLevel="0" collapsed="false">
      <c r="A2439" s="5" t="s">
        <v>3955</v>
      </c>
      <c r="B2439" s="2" t="s">
        <v>3956</v>
      </c>
      <c r="C2439" s="5" t="s">
        <v>2245</v>
      </c>
      <c r="D2439" s="5" t="s">
        <v>62</v>
      </c>
      <c r="E2439" s="5" t="n">
        <v>3</v>
      </c>
      <c r="F2439" s="5" t="s">
        <v>277</v>
      </c>
      <c r="G2439" s="2" t="s">
        <v>12054</v>
      </c>
      <c r="H2439" s="5" t="s">
        <v>8332</v>
      </c>
      <c r="I2439" s="5" t="s">
        <v>60</v>
      </c>
      <c r="J2439" s="5" t="s">
        <v>751</v>
      </c>
      <c r="K2439" s="5" t="s">
        <v>3959</v>
      </c>
    </row>
    <row r="2440" customFormat="false" ht="46.25" hidden="false" customHeight="false" outlineLevel="0" collapsed="false">
      <c r="A2440" s="5" t="s">
        <v>3960</v>
      </c>
      <c r="B2440" s="2" t="s">
        <v>3961</v>
      </c>
      <c r="C2440" s="5" t="s">
        <v>2245</v>
      </c>
      <c r="D2440" s="5" t="s">
        <v>62</v>
      </c>
      <c r="E2440" s="5" t="n">
        <v>5</v>
      </c>
      <c r="F2440" s="5" t="s">
        <v>277</v>
      </c>
      <c r="G2440" s="2" t="s">
        <v>12894</v>
      </c>
      <c r="H2440" s="5" t="s">
        <v>8332</v>
      </c>
      <c r="I2440" s="5" t="s">
        <v>60</v>
      </c>
      <c r="J2440" s="5" t="s">
        <v>269</v>
      </c>
      <c r="K2440" s="5" t="s">
        <v>3965</v>
      </c>
    </row>
    <row r="2441" customFormat="false" ht="23.85" hidden="false" customHeight="false" outlineLevel="0" collapsed="false">
      <c r="A2441" s="5" t="s">
        <v>3966</v>
      </c>
      <c r="B2441" s="2" t="s">
        <v>3967</v>
      </c>
      <c r="C2441" s="5" t="s">
        <v>2128</v>
      </c>
      <c r="D2441" s="5" t="s">
        <v>62</v>
      </c>
      <c r="E2441" s="5" t="n">
        <v>5</v>
      </c>
      <c r="F2441" s="5" t="s">
        <v>90</v>
      </c>
      <c r="G2441" s="2" t="s">
        <v>184</v>
      </c>
      <c r="H2441" s="5" t="s">
        <v>8332</v>
      </c>
      <c r="I2441" s="5" t="s">
        <v>60</v>
      </c>
      <c r="J2441" s="5" t="s">
        <v>269</v>
      </c>
      <c r="K2441" s="5" t="s">
        <v>3972</v>
      </c>
    </row>
    <row r="2442" customFormat="false" ht="23.85" hidden="false" customHeight="false" outlineLevel="0" collapsed="false">
      <c r="A2442" s="5" t="s">
        <v>3973</v>
      </c>
      <c r="B2442" s="2" t="s">
        <v>3974</v>
      </c>
      <c r="C2442" s="5" t="s">
        <v>2128</v>
      </c>
      <c r="D2442" s="5" t="s">
        <v>62</v>
      </c>
      <c r="E2442" s="5" t="n">
        <v>7</v>
      </c>
      <c r="F2442" s="5" t="s">
        <v>90</v>
      </c>
      <c r="G2442" s="2" t="s">
        <v>184</v>
      </c>
      <c r="H2442" s="5" t="s">
        <v>8332</v>
      </c>
      <c r="I2442" s="5" t="s">
        <v>60</v>
      </c>
      <c r="J2442" s="5" t="s">
        <v>269</v>
      </c>
      <c r="K2442" s="5" t="s">
        <v>3977</v>
      </c>
    </row>
    <row r="2443" customFormat="false" ht="23.85" hidden="false" customHeight="false" outlineLevel="0" collapsed="false">
      <c r="A2443" s="5" t="s">
        <v>3978</v>
      </c>
      <c r="B2443" s="2" t="s">
        <v>3979</v>
      </c>
      <c r="C2443" s="5" t="s">
        <v>2128</v>
      </c>
      <c r="D2443" s="5" t="s">
        <v>62</v>
      </c>
      <c r="E2443" s="5" t="n">
        <v>7</v>
      </c>
      <c r="F2443" s="5" t="s">
        <v>90</v>
      </c>
      <c r="G2443" s="2" t="s">
        <v>184</v>
      </c>
      <c r="H2443" s="5" t="s">
        <v>8332</v>
      </c>
      <c r="I2443" s="5" t="s">
        <v>60</v>
      </c>
      <c r="J2443" s="5" t="s">
        <v>269</v>
      </c>
      <c r="K2443" s="5" t="s">
        <v>3982</v>
      </c>
    </row>
    <row r="2444" customFormat="false" ht="23.85" hidden="false" customHeight="false" outlineLevel="0" collapsed="false">
      <c r="A2444" s="5" t="s">
        <v>14016</v>
      </c>
      <c r="B2444" s="2" t="s">
        <v>14017</v>
      </c>
      <c r="C2444" s="5" t="s">
        <v>2128</v>
      </c>
      <c r="D2444" s="5" t="s">
        <v>62</v>
      </c>
      <c r="E2444" s="5" t="n">
        <v>5</v>
      </c>
      <c r="F2444" s="5" t="s">
        <v>90</v>
      </c>
      <c r="G2444" s="2" t="s">
        <v>367</v>
      </c>
      <c r="H2444" s="5" t="s">
        <v>8336</v>
      </c>
      <c r="I2444" s="5"/>
      <c r="J2444" s="5"/>
      <c r="K2444" s="5" t="s">
        <v>14018</v>
      </c>
    </row>
    <row r="2445" customFormat="false" ht="46.25" hidden="false" customHeight="false" outlineLevel="0" collapsed="false">
      <c r="A2445" s="5" t="s">
        <v>14019</v>
      </c>
      <c r="B2445" s="2" t="s">
        <v>14020</v>
      </c>
      <c r="C2445" s="5" t="s">
        <v>2245</v>
      </c>
      <c r="D2445" s="5" t="s">
        <v>490</v>
      </c>
      <c r="E2445" s="5" t="n">
        <v>5</v>
      </c>
      <c r="F2445" s="5" t="s">
        <v>413</v>
      </c>
      <c r="G2445" s="2" t="s">
        <v>12057</v>
      </c>
      <c r="H2445" s="5" t="s">
        <v>8336</v>
      </c>
      <c r="I2445" s="5"/>
      <c r="J2445" s="5"/>
      <c r="K2445" s="5" t="s">
        <v>14021</v>
      </c>
    </row>
    <row r="2446" customFormat="false" ht="15" hidden="false" customHeight="false" outlineLevel="0" collapsed="false">
      <c r="A2446" s="5" t="s">
        <v>14022</v>
      </c>
      <c r="B2446" s="2" t="s">
        <v>14023</v>
      </c>
      <c r="C2446" s="5" t="s">
        <v>2128</v>
      </c>
      <c r="D2446" s="5" t="s">
        <v>62</v>
      </c>
      <c r="E2446" s="5" t="n">
        <v>5</v>
      </c>
      <c r="F2446" s="5" t="s">
        <v>90</v>
      </c>
      <c r="G2446" s="2" t="s">
        <v>367</v>
      </c>
      <c r="H2446" s="5" t="s">
        <v>8336</v>
      </c>
      <c r="I2446" s="5"/>
      <c r="J2446" s="5"/>
      <c r="K2446" s="5" t="s">
        <v>14024</v>
      </c>
    </row>
    <row r="2447" customFormat="false" ht="15" hidden="false" customHeight="false" outlineLevel="0" collapsed="false">
      <c r="A2447" s="5" t="s">
        <v>14025</v>
      </c>
      <c r="B2447" s="2" t="s">
        <v>14026</v>
      </c>
      <c r="C2447" s="5" t="s">
        <v>2128</v>
      </c>
      <c r="D2447" s="5" t="s">
        <v>62</v>
      </c>
      <c r="E2447" s="5" t="n">
        <v>7</v>
      </c>
      <c r="F2447" s="5" t="s">
        <v>90</v>
      </c>
      <c r="G2447" s="2" t="s">
        <v>367</v>
      </c>
      <c r="H2447" s="5" t="s">
        <v>8336</v>
      </c>
      <c r="I2447" s="5"/>
      <c r="J2447" s="5"/>
      <c r="K2447" s="5" t="s">
        <v>14027</v>
      </c>
    </row>
    <row r="2448" customFormat="false" ht="15" hidden="false" customHeight="false" outlineLevel="0" collapsed="false">
      <c r="A2448" s="5" t="s">
        <v>14028</v>
      </c>
      <c r="B2448" s="2" t="s">
        <v>14029</v>
      </c>
      <c r="C2448" s="5" t="s">
        <v>2128</v>
      </c>
      <c r="D2448" s="5" t="s">
        <v>62</v>
      </c>
      <c r="E2448" s="5" t="n">
        <v>7</v>
      </c>
      <c r="F2448" s="5" t="s">
        <v>90</v>
      </c>
      <c r="G2448" s="2" t="s">
        <v>367</v>
      </c>
      <c r="H2448" s="5" t="s">
        <v>8336</v>
      </c>
      <c r="I2448" s="5"/>
      <c r="J2448" s="5"/>
      <c r="K2448" s="5" t="s">
        <v>14030</v>
      </c>
    </row>
    <row r="2449" customFormat="false" ht="46.25" hidden="false" customHeight="false" outlineLevel="0" collapsed="false">
      <c r="A2449" s="5" t="s">
        <v>14031</v>
      </c>
      <c r="B2449" s="2" t="s">
        <v>14032</v>
      </c>
      <c r="C2449" s="5" t="s">
        <v>2245</v>
      </c>
      <c r="D2449" s="5" t="s">
        <v>62</v>
      </c>
      <c r="E2449" s="5" t="n">
        <v>7</v>
      </c>
      <c r="F2449" s="5" t="s">
        <v>90</v>
      </c>
      <c r="G2449" s="2" t="s">
        <v>12057</v>
      </c>
      <c r="H2449" s="5" t="s">
        <v>8336</v>
      </c>
      <c r="I2449" s="5"/>
      <c r="J2449" s="5"/>
      <c r="K2449" s="5" t="s">
        <v>14033</v>
      </c>
    </row>
    <row r="2450" customFormat="false" ht="23.85" hidden="false" customHeight="false" outlineLevel="0" collapsed="false">
      <c r="A2450" s="5" t="s">
        <v>14034</v>
      </c>
      <c r="B2450" s="2" t="s">
        <v>14035</v>
      </c>
      <c r="C2450" s="5" t="s">
        <v>2128</v>
      </c>
      <c r="D2450" s="5" t="s">
        <v>62</v>
      </c>
      <c r="E2450" s="5" t="n">
        <v>5</v>
      </c>
      <c r="F2450" s="5" t="s">
        <v>413</v>
      </c>
      <c r="G2450" s="2" t="s">
        <v>367</v>
      </c>
      <c r="H2450" s="5" t="s">
        <v>8336</v>
      </c>
      <c r="I2450" s="5"/>
      <c r="J2450" s="5"/>
      <c r="K2450" s="5" t="s">
        <v>14036</v>
      </c>
    </row>
    <row r="2451" customFormat="false" ht="46.25" hidden="false" customHeight="false" outlineLevel="0" collapsed="false">
      <c r="A2451" s="5" t="s">
        <v>14037</v>
      </c>
      <c r="B2451" s="2" t="s">
        <v>14038</v>
      </c>
      <c r="C2451" s="5" t="s">
        <v>2245</v>
      </c>
      <c r="D2451" s="5" t="s">
        <v>62</v>
      </c>
      <c r="E2451" s="5" t="n">
        <v>5</v>
      </c>
      <c r="F2451" s="5" t="s">
        <v>1210</v>
      </c>
      <c r="G2451" s="2" t="s">
        <v>12057</v>
      </c>
      <c r="H2451" s="5" t="s">
        <v>8336</v>
      </c>
      <c r="I2451" s="5"/>
      <c r="J2451" s="5"/>
      <c r="K2451" s="5" t="s">
        <v>14039</v>
      </c>
    </row>
    <row r="2452" customFormat="false" ht="15" hidden="false" customHeight="false" outlineLevel="0" collapsed="false">
      <c r="A2452" s="5" t="s">
        <v>14040</v>
      </c>
      <c r="B2452" s="2" t="s">
        <v>14041</v>
      </c>
      <c r="C2452" s="5" t="s">
        <v>2128</v>
      </c>
      <c r="D2452" s="5" t="s">
        <v>62</v>
      </c>
      <c r="E2452" s="5" t="n">
        <v>5</v>
      </c>
      <c r="F2452" s="5" t="s">
        <v>90</v>
      </c>
      <c r="G2452" s="2" t="s">
        <v>367</v>
      </c>
      <c r="H2452" s="5" t="s">
        <v>8336</v>
      </c>
      <c r="I2452" s="5"/>
      <c r="J2452" s="5"/>
      <c r="K2452" s="5" t="s">
        <v>14042</v>
      </c>
    </row>
    <row r="2453" customFormat="false" ht="15" hidden="false" customHeight="false" outlineLevel="0" collapsed="false">
      <c r="A2453" s="5" t="s">
        <v>14043</v>
      </c>
      <c r="B2453" s="2" t="s">
        <v>14044</v>
      </c>
      <c r="C2453" s="5" t="s">
        <v>2128</v>
      </c>
      <c r="D2453" s="5" t="s">
        <v>62</v>
      </c>
      <c r="E2453" s="5" t="n">
        <v>5</v>
      </c>
      <c r="F2453" s="5" t="s">
        <v>277</v>
      </c>
      <c r="G2453" s="2" t="s">
        <v>367</v>
      </c>
      <c r="H2453" s="5" t="s">
        <v>8336</v>
      </c>
      <c r="I2453" s="5"/>
      <c r="J2453" s="5"/>
      <c r="K2453" s="5" t="s">
        <v>14045</v>
      </c>
    </row>
    <row r="2454" customFormat="false" ht="23.85" hidden="false" customHeight="false" outlineLevel="0" collapsed="false">
      <c r="A2454" s="5" t="s">
        <v>1587</v>
      </c>
      <c r="B2454" s="2" t="s">
        <v>1588</v>
      </c>
      <c r="C2454" s="5" t="s">
        <v>488</v>
      </c>
      <c r="D2454" s="5" t="s">
        <v>62</v>
      </c>
      <c r="E2454" s="5" t="n">
        <v>5</v>
      </c>
      <c r="F2454" s="5" t="s">
        <v>100</v>
      </c>
      <c r="G2454" s="2" t="s">
        <v>367</v>
      </c>
      <c r="H2454" s="5" t="s">
        <v>8332</v>
      </c>
      <c r="I2454" s="5" t="s">
        <v>60</v>
      </c>
      <c r="J2454" s="5" t="s">
        <v>100</v>
      </c>
      <c r="K2454" s="5" t="s">
        <v>1591</v>
      </c>
    </row>
    <row r="2455" customFormat="false" ht="23.85" hidden="false" customHeight="false" outlineLevel="0" collapsed="false">
      <c r="A2455" s="5" t="s">
        <v>3983</v>
      </c>
      <c r="B2455" s="2" t="s">
        <v>3984</v>
      </c>
      <c r="C2455" s="5" t="s">
        <v>2128</v>
      </c>
      <c r="D2455" s="5" t="s">
        <v>62</v>
      </c>
      <c r="E2455" s="5" t="n">
        <v>7</v>
      </c>
      <c r="F2455" s="5" t="s">
        <v>413</v>
      </c>
      <c r="G2455" s="2" t="s">
        <v>184</v>
      </c>
      <c r="H2455" s="5" t="s">
        <v>8332</v>
      </c>
      <c r="I2455" s="5" t="s">
        <v>60</v>
      </c>
      <c r="J2455" s="5" t="s">
        <v>276</v>
      </c>
      <c r="K2455" s="5" t="s">
        <v>3990</v>
      </c>
    </row>
    <row r="2456" customFormat="false" ht="46.25" hidden="false" customHeight="false" outlineLevel="0" collapsed="false">
      <c r="A2456" s="5" t="s">
        <v>14046</v>
      </c>
      <c r="B2456" s="2" t="s">
        <v>14047</v>
      </c>
      <c r="C2456" s="5" t="s">
        <v>2245</v>
      </c>
      <c r="D2456" s="5" t="s">
        <v>62</v>
      </c>
      <c r="E2456" s="5" t="n">
        <v>5</v>
      </c>
      <c r="F2456" s="5" t="s">
        <v>90</v>
      </c>
      <c r="G2456" s="2" t="s">
        <v>12057</v>
      </c>
      <c r="H2456" s="5" t="s">
        <v>8336</v>
      </c>
      <c r="I2456" s="5"/>
      <c r="J2456" s="5"/>
      <c r="K2456" s="5" t="s">
        <v>14048</v>
      </c>
    </row>
    <row r="2457" customFormat="false" ht="46.25" hidden="false" customHeight="false" outlineLevel="0" collapsed="false">
      <c r="A2457" s="5" t="s">
        <v>14049</v>
      </c>
      <c r="B2457" s="2" t="s">
        <v>14050</v>
      </c>
      <c r="C2457" s="5" t="s">
        <v>2245</v>
      </c>
      <c r="D2457" s="5" t="s">
        <v>62</v>
      </c>
      <c r="E2457" s="5" t="n">
        <v>7</v>
      </c>
      <c r="F2457" s="5" t="s">
        <v>90</v>
      </c>
      <c r="G2457" s="2" t="s">
        <v>12057</v>
      </c>
      <c r="H2457" s="5" t="s">
        <v>8336</v>
      </c>
      <c r="I2457" s="5"/>
      <c r="J2457" s="5"/>
      <c r="K2457" s="5" t="s">
        <v>14051</v>
      </c>
    </row>
    <row r="2458" customFormat="false" ht="46.25" hidden="false" customHeight="false" outlineLevel="0" collapsed="false">
      <c r="A2458" s="5" t="s">
        <v>14052</v>
      </c>
      <c r="B2458" s="2" t="s">
        <v>14053</v>
      </c>
      <c r="C2458" s="5" t="s">
        <v>2245</v>
      </c>
      <c r="D2458" s="5" t="s">
        <v>62</v>
      </c>
      <c r="E2458" s="5" t="n">
        <v>5</v>
      </c>
      <c r="F2458" s="5" t="s">
        <v>67</v>
      </c>
      <c r="G2458" s="2" t="s">
        <v>12057</v>
      </c>
      <c r="H2458" s="5" t="s">
        <v>8336</v>
      </c>
      <c r="I2458" s="5"/>
      <c r="J2458" s="5"/>
      <c r="K2458" s="5" t="s">
        <v>14054</v>
      </c>
    </row>
    <row r="2459" customFormat="false" ht="15" hidden="false" customHeight="false" outlineLevel="0" collapsed="false">
      <c r="A2459" s="5" t="s">
        <v>14055</v>
      </c>
      <c r="B2459" s="2" t="s">
        <v>14056</v>
      </c>
      <c r="C2459" s="5" t="s">
        <v>2128</v>
      </c>
      <c r="D2459" s="5" t="s">
        <v>62</v>
      </c>
      <c r="E2459" s="5" t="n">
        <v>9</v>
      </c>
      <c r="F2459" s="5" t="s">
        <v>90</v>
      </c>
      <c r="G2459" s="2" t="s">
        <v>367</v>
      </c>
      <c r="H2459" s="5" t="s">
        <v>8336</v>
      </c>
      <c r="I2459" s="5"/>
      <c r="J2459" s="5"/>
      <c r="K2459" s="5" t="s">
        <v>14057</v>
      </c>
    </row>
    <row r="2460" customFormat="false" ht="23.85" hidden="false" customHeight="false" outlineLevel="0" collapsed="false">
      <c r="A2460" s="5" t="s">
        <v>14058</v>
      </c>
      <c r="B2460" s="2" t="s">
        <v>14059</v>
      </c>
      <c r="C2460" s="5" t="s">
        <v>2128</v>
      </c>
      <c r="D2460" s="5" t="s">
        <v>62</v>
      </c>
      <c r="E2460" s="5" t="n">
        <v>5</v>
      </c>
      <c r="F2460" s="5" t="s">
        <v>90</v>
      </c>
      <c r="G2460" s="2" t="s">
        <v>367</v>
      </c>
      <c r="H2460" s="5" t="s">
        <v>8336</v>
      </c>
      <c r="I2460" s="5"/>
      <c r="J2460" s="5"/>
      <c r="K2460" s="5" t="s">
        <v>14060</v>
      </c>
    </row>
    <row r="2461" customFormat="false" ht="23.85" hidden="false" customHeight="false" outlineLevel="0" collapsed="false">
      <c r="A2461" s="5" t="s">
        <v>1592</v>
      </c>
      <c r="B2461" s="2" t="s">
        <v>1593</v>
      </c>
      <c r="C2461" s="5" t="s">
        <v>488</v>
      </c>
      <c r="D2461" s="5" t="s">
        <v>62</v>
      </c>
      <c r="E2461" s="5" t="n">
        <v>7</v>
      </c>
      <c r="F2461" s="5" t="s">
        <v>100</v>
      </c>
      <c r="G2461" s="2" t="s">
        <v>184</v>
      </c>
      <c r="H2461" s="5" t="s">
        <v>8332</v>
      </c>
      <c r="I2461" s="5" t="s">
        <v>60</v>
      </c>
      <c r="J2461" s="5" t="s">
        <v>339</v>
      </c>
      <c r="K2461" s="5" t="s">
        <v>1600</v>
      </c>
    </row>
    <row r="2462" customFormat="false" ht="15" hidden="false" customHeight="false" outlineLevel="0" collapsed="false">
      <c r="A2462" s="5" t="s">
        <v>14061</v>
      </c>
      <c r="B2462" s="2" t="s">
        <v>14062</v>
      </c>
      <c r="C2462" s="5" t="s">
        <v>2128</v>
      </c>
      <c r="D2462" s="5" t="s">
        <v>62</v>
      </c>
      <c r="E2462" s="5" t="n">
        <v>7</v>
      </c>
      <c r="F2462" s="5" t="s">
        <v>90</v>
      </c>
      <c r="G2462" s="2" t="s">
        <v>367</v>
      </c>
      <c r="H2462" s="5" t="s">
        <v>8336</v>
      </c>
      <c r="I2462" s="5"/>
      <c r="J2462" s="5"/>
      <c r="K2462" s="5" t="s">
        <v>14063</v>
      </c>
    </row>
    <row r="2463" customFormat="false" ht="15" hidden="false" customHeight="false" outlineLevel="0" collapsed="false">
      <c r="A2463" s="5" t="s">
        <v>14064</v>
      </c>
      <c r="B2463" s="2" t="s">
        <v>14065</v>
      </c>
      <c r="C2463" s="5" t="s">
        <v>2128</v>
      </c>
      <c r="D2463" s="5" t="s">
        <v>62</v>
      </c>
      <c r="E2463" s="5" t="n">
        <v>5</v>
      </c>
      <c r="F2463" s="5" t="s">
        <v>90</v>
      </c>
      <c r="G2463" s="2" t="s">
        <v>367</v>
      </c>
      <c r="H2463" s="5" t="s">
        <v>8336</v>
      </c>
      <c r="I2463" s="5"/>
      <c r="J2463" s="5"/>
      <c r="K2463" s="5" t="s">
        <v>14066</v>
      </c>
    </row>
    <row r="2464" customFormat="false" ht="15" hidden="false" customHeight="false" outlineLevel="0" collapsed="false">
      <c r="A2464" s="5" t="s">
        <v>14067</v>
      </c>
      <c r="B2464" s="2" t="s">
        <v>14068</v>
      </c>
      <c r="C2464" s="5" t="s">
        <v>2128</v>
      </c>
      <c r="D2464" s="5" t="s">
        <v>62</v>
      </c>
      <c r="E2464" s="5" t="n">
        <v>7</v>
      </c>
      <c r="F2464" s="5" t="s">
        <v>67</v>
      </c>
      <c r="G2464" s="2" t="s">
        <v>367</v>
      </c>
      <c r="H2464" s="5" t="s">
        <v>8336</v>
      </c>
      <c r="I2464" s="5"/>
      <c r="J2464" s="5"/>
      <c r="K2464" s="5" t="s">
        <v>14069</v>
      </c>
    </row>
    <row r="2465" customFormat="false" ht="15" hidden="false" customHeight="false" outlineLevel="0" collapsed="false">
      <c r="A2465" s="5" t="s">
        <v>14070</v>
      </c>
      <c r="B2465" s="2" t="s">
        <v>14071</v>
      </c>
      <c r="C2465" s="5" t="s">
        <v>2128</v>
      </c>
      <c r="D2465" s="5" t="s">
        <v>62</v>
      </c>
      <c r="E2465" s="5" t="n">
        <v>7</v>
      </c>
      <c r="F2465" s="5" t="s">
        <v>1814</v>
      </c>
      <c r="G2465" s="2" t="s">
        <v>367</v>
      </c>
      <c r="H2465" s="5" t="s">
        <v>8336</v>
      </c>
      <c r="I2465" s="5"/>
      <c r="J2465" s="5"/>
      <c r="K2465" s="5" t="s">
        <v>14072</v>
      </c>
    </row>
    <row r="2466" customFormat="false" ht="46.25" hidden="false" customHeight="false" outlineLevel="0" collapsed="false">
      <c r="A2466" s="5" t="s">
        <v>14073</v>
      </c>
      <c r="B2466" s="2" t="s">
        <v>14074</v>
      </c>
      <c r="C2466" s="5" t="s">
        <v>2245</v>
      </c>
      <c r="D2466" s="5" t="s">
        <v>62</v>
      </c>
      <c r="E2466" s="5" t="n">
        <v>5</v>
      </c>
      <c r="F2466" s="5" t="s">
        <v>536</v>
      </c>
      <c r="G2466" s="2" t="s">
        <v>12057</v>
      </c>
      <c r="H2466" s="5" t="s">
        <v>8336</v>
      </c>
      <c r="I2466" s="5"/>
      <c r="J2466" s="5"/>
      <c r="K2466" s="5" t="s">
        <v>14075</v>
      </c>
    </row>
    <row r="2467" customFormat="false" ht="23.85" hidden="false" customHeight="false" outlineLevel="0" collapsed="false">
      <c r="A2467" s="5" t="s">
        <v>1601</v>
      </c>
      <c r="B2467" s="2" t="s">
        <v>1602</v>
      </c>
      <c r="C2467" s="5" t="s">
        <v>488</v>
      </c>
      <c r="D2467" s="5" t="s">
        <v>62</v>
      </c>
      <c r="E2467" s="5" t="n">
        <v>5</v>
      </c>
      <c r="F2467" s="5" t="s">
        <v>67</v>
      </c>
      <c r="G2467" s="2" t="s">
        <v>184</v>
      </c>
      <c r="H2467" s="5" t="s">
        <v>8332</v>
      </c>
      <c r="I2467" s="5" t="s">
        <v>60</v>
      </c>
      <c r="J2467" s="5" t="s">
        <v>182</v>
      </c>
      <c r="K2467" s="5" t="s">
        <v>1609</v>
      </c>
    </row>
    <row r="2468" customFormat="false" ht="23.85" hidden="false" customHeight="false" outlineLevel="0" collapsed="false">
      <c r="A2468" s="5" t="s">
        <v>1610</v>
      </c>
      <c r="B2468" s="2" t="s">
        <v>1611</v>
      </c>
      <c r="C2468" s="5" t="s">
        <v>488</v>
      </c>
      <c r="D2468" s="5" t="s">
        <v>62</v>
      </c>
      <c r="E2468" s="5" t="n">
        <v>7</v>
      </c>
      <c r="F2468" s="5" t="s">
        <v>100</v>
      </c>
      <c r="G2468" s="2" t="s">
        <v>184</v>
      </c>
      <c r="H2468" s="5" t="s">
        <v>8332</v>
      </c>
      <c r="I2468" s="5" t="s">
        <v>60</v>
      </c>
      <c r="J2468" s="5" t="s">
        <v>449</v>
      </c>
      <c r="K2468" s="5" t="s">
        <v>1617</v>
      </c>
    </row>
    <row r="2469" customFormat="false" ht="23.85" hidden="false" customHeight="false" outlineLevel="0" collapsed="false">
      <c r="A2469" s="5" t="s">
        <v>1618</v>
      </c>
      <c r="B2469" s="2" t="s">
        <v>1619</v>
      </c>
      <c r="C2469" s="5" t="s">
        <v>488</v>
      </c>
      <c r="D2469" s="5" t="s">
        <v>62</v>
      </c>
      <c r="E2469" s="5" t="n">
        <v>7</v>
      </c>
      <c r="F2469" s="5" t="s">
        <v>100</v>
      </c>
      <c r="G2469" s="2" t="s">
        <v>184</v>
      </c>
      <c r="H2469" s="5" t="s">
        <v>8332</v>
      </c>
      <c r="I2469" s="5" t="s">
        <v>60</v>
      </c>
      <c r="J2469" s="5" t="s">
        <v>303</v>
      </c>
      <c r="K2469" s="5" t="s">
        <v>1623</v>
      </c>
    </row>
    <row r="2470" customFormat="false" ht="23.85" hidden="false" customHeight="false" outlineLevel="0" collapsed="false">
      <c r="A2470" s="5" t="s">
        <v>14076</v>
      </c>
      <c r="B2470" s="2" t="s">
        <v>14077</v>
      </c>
      <c r="C2470" s="5" t="s">
        <v>2128</v>
      </c>
      <c r="D2470" s="5" t="s">
        <v>62</v>
      </c>
      <c r="E2470" s="5" t="n">
        <v>7</v>
      </c>
      <c r="F2470" s="5" t="s">
        <v>67</v>
      </c>
      <c r="G2470" s="2" t="s">
        <v>367</v>
      </c>
      <c r="H2470" s="5" t="s">
        <v>8336</v>
      </c>
      <c r="I2470" s="5"/>
      <c r="J2470" s="5"/>
      <c r="K2470" s="5" t="s">
        <v>14078</v>
      </c>
    </row>
    <row r="2471" customFormat="false" ht="23.85" hidden="false" customHeight="false" outlineLevel="0" collapsed="false">
      <c r="A2471" s="5" t="s">
        <v>1624</v>
      </c>
      <c r="B2471" s="2" t="s">
        <v>1625</v>
      </c>
      <c r="C2471" s="5" t="s">
        <v>488</v>
      </c>
      <c r="D2471" s="5" t="s">
        <v>62</v>
      </c>
      <c r="E2471" s="5" t="n">
        <v>7</v>
      </c>
      <c r="F2471" s="5" t="s">
        <v>90</v>
      </c>
      <c r="G2471" s="2" t="s">
        <v>184</v>
      </c>
      <c r="H2471" s="5" t="s">
        <v>8332</v>
      </c>
      <c r="I2471" s="5" t="s">
        <v>60</v>
      </c>
      <c r="J2471" s="5" t="s">
        <v>276</v>
      </c>
      <c r="K2471" s="5" t="s">
        <v>1629</v>
      </c>
    </row>
    <row r="2472" customFormat="false" ht="46.25" hidden="false" customHeight="false" outlineLevel="0" collapsed="false">
      <c r="A2472" s="5" t="s">
        <v>14079</v>
      </c>
      <c r="B2472" s="2" t="s">
        <v>14080</v>
      </c>
      <c r="C2472" s="5" t="s">
        <v>2245</v>
      </c>
      <c r="D2472" s="5" t="s">
        <v>62</v>
      </c>
      <c r="E2472" s="5" t="n">
        <v>3</v>
      </c>
      <c r="F2472" s="5" t="s">
        <v>67</v>
      </c>
      <c r="G2472" s="2" t="s">
        <v>12057</v>
      </c>
      <c r="H2472" s="5" t="s">
        <v>8336</v>
      </c>
      <c r="I2472" s="5"/>
      <c r="J2472" s="5"/>
      <c r="K2472" s="5" t="s">
        <v>14081</v>
      </c>
    </row>
    <row r="2473" customFormat="false" ht="23.85" hidden="false" customHeight="false" outlineLevel="0" collapsed="false">
      <c r="A2473" s="5" t="s">
        <v>3991</v>
      </c>
      <c r="B2473" s="2" t="s">
        <v>3992</v>
      </c>
      <c r="C2473" s="5" t="s">
        <v>2128</v>
      </c>
      <c r="D2473" s="5" t="s">
        <v>62</v>
      </c>
      <c r="E2473" s="5" t="n">
        <v>5</v>
      </c>
      <c r="F2473" s="5" t="s">
        <v>67</v>
      </c>
      <c r="G2473" s="2" t="s">
        <v>184</v>
      </c>
      <c r="H2473" s="5" t="s">
        <v>8332</v>
      </c>
      <c r="I2473" s="5" t="s">
        <v>60</v>
      </c>
      <c r="J2473" s="5" t="s">
        <v>269</v>
      </c>
      <c r="K2473" s="5" t="s">
        <v>3996</v>
      </c>
    </row>
    <row r="2474" customFormat="false" ht="23.85" hidden="false" customHeight="false" outlineLevel="0" collapsed="false">
      <c r="A2474" s="5" t="s">
        <v>3997</v>
      </c>
      <c r="B2474" s="2" t="s">
        <v>3998</v>
      </c>
      <c r="C2474" s="5" t="s">
        <v>2128</v>
      </c>
      <c r="D2474" s="5" t="s">
        <v>62</v>
      </c>
      <c r="E2474" s="5" t="n">
        <v>5</v>
      </c>
      <c r="F2474" s="5" t="s">
        <v>90</v>
      </c>
      <c r="G2474" s="2" t="s">
        <v>367</v>
      </c>
      <c r="H2474" s="5" t="s">
        <v>8332</v>
      </c>
      <c r="I2474" s="5" t="s">
        <v>60</v>
      </c>
      <c r="J2474" s="5" t="s">
        <v>751</v>
      </c>
      <c r="K2474" s="5" t="s">
        <v>4001</v>
      </c>
    </row>
    <row r="2475" customFormat="false" ht="46.25" hidden="false" customHeight="false" outlineLevel="0" collapsed="false">
      <c r="A2475" s="5" t="s">
        <v>4002</v>
      </c>
      <c r="B2475" s="2" t="s">
        <v>4003</v>
      </c>
      <c r="C2475" s="5" t="s">
        <v>2245</v>
      </c>
      <c r="D2475" s="5" t="s">
        <v>62</v>
      </c>
      <c r="E2475" s="5" t="n">
        <v>5</v>
      </c>
      <c r="F2475" s="5" t="s">
        <v>90</v>
      </c>
      <c r="G2475" s="2" t="s">
        <v>12054</v>
      </c>
      <c r="H2475" s="5" t="s">
        <v>8332</v>
      </c>
      <c r="I2475" s="5" t="s">
        <v>60</v>
      </c>
      <c r="J2475" s="5" t="s">
        <v>751</v>
      </c>
      <c r="K2475" s="5" t="s">
        <v>4006</v>
      </c>
    </row>
    <row r="2476" customFormat="false" ht="46.25" hidden="false" customHeight="false" outlineLevel="0" collapsed="false">
      <c r="A2476" s="5" t="s">
        <v>4007</v>
      </c>
      <c r="B2476" s="2" t="s">
        <v>4008</v>
      </c>
      <c r="C2476" s="5" t="s">
        <v>2245</v>
      </c>
      <c r="D2476" s="5" t="s">
        <v>62</v>
      </c>
      <c r="E2476" s="5" t="n">
        <v>5</v>
      </c>
      <c r="F2476" s="5" t="s">
        <v>90</v>
      </c>
      <c r="G2476" s="2" t="s">
        <v>12054</v>
      </c>
      <c r="H2476" s="5" t="s">
        <v>8332</v>
      </c>
      <c r="I2476" s="5" t="s">
        <v>60</v>
      </c>
      <c r="J2476" s="5" t="s">
        <v>751</v>
      </c>
      <c r="K2476" s="5" t="s">
        <v>4011</v>
      </c>
    </row>
    <row r="2477" customFormat="false" ht="23.85" hidden="false" customHeight="false" outlineLevel="0" collapsed="false">
      <c r="A2477" s="5" t="s">
        <v>1630</v>
      </c>
      <c r="B2477" s="2" t="s">
        <v>1631</v>
      </c>
      <c r="C2477" s="5" t="s">
        <v>488</v>
      </c>
      <c r="D2477" s="5" t="s">
        <v>62</v>
      </c>
      <c r="E2477" s="5" t="n">
        <v>5</v>
      </c>
      <c r="F2477" s="5" t="s">
        <v>277</v>
      </c>
      <c r="G2477" s="2" t="s">
        <v>184</v>
      </c>
      <c r="H2477" s="5" t="s">
        <v>8332</v>
      </c>
      <c r="I2477" s="5" t="s">
        <v>60</v>
      </c>
      <c r="J2477" s="5" t="s">
        <v>276</v>
      </c>
      <c r="K2477" s="5" t="s">
        <v>1637</v>
      </c>
    </row>
    <row r="2478" customFormat="false" ht="23.85" hidden="false" customHeight="false" outlineLevel="0" collapsed="false">
      <c r="A2478" s="5" t="s">
        <v>1638</v>
      </c>
      <c r="B2478" s="2" t="s">
        <v>1639</v>
      </c>
      <c r="C2478" s="5" t="s">
        <v>488</v>
      </c>
      <c r="D2478" s="5" t="s">
        <v>62</v>
      </c>
      <c r="E2478" s="5" t="n">
        <v>5</v>
      </c>
      <c r="F2478" s="5" t="s">
        <v>277</v>
      </c>
      <c r="G2478" s="2" t="s">
        <v>184</v>
      </c>
      <c r="H2478" s="5" t="s">
        <v>8332</v>
      </c>
      <c r="I2478" s="5" t="s">
        <v>60</v>
      </c>
      <c r="J2478" s="5" t="s">
        <v>276</v>
      </c>
      <c r="K2478" s="5" t="s">
        <v>1643</v>
      </c>
    </row>
    <row r="2479" customFormat="false" ht="46.25" hidden="false" customHeight="false" outlineLevel="0" collapsed="false">
      <c r="A2479" s="5" t="s">
        <v>14082</v>
      </c>
      <c r="B2479" s="2" t="s">
        <v>14083</v>
      </c>
      <c r="C2479" s="5" t="s">
        <v>2245</v>
      </c>
      <c r="D2479" s="5" t="s">
        <v>62</v>
      </c>
      <c r="E2479" s="5" t="n">
        <v>5</v>
      </c>
      <c r="F2479" s="5" t="s">
        <v>90</v>
      </c>
      <c r="G2479" s="2" t="s">
        <v>12057</v>
      </c>
      <c r="H2479" s="5" t="s">
        <v>8336</v>
      </c>
      <c r="I2479" s="5"/>
      <c r="J2479" s="5"/>
      <c r="K2479" s="5" t="s">
        <v>14084</v>
      </c>
    </row>
    <row r="2480" customFormat="false" ht="46.25" hidden="false" customHeight="false" outlineLevel="0" collapsed="false">
      <c r="A2480" s="5" t="s">
        <v>14085</v>
      </c>
      <c r="B2480" s="2" t="s">
        <v>14086</v>
      </c>
      <c r="C2480" s="5" t="s">
        <v>2245</v>
      </c>
      <c r="D2480" s="5" t="s">
        <v>62</v>
      </c>
      <c r="E2480" s="5" t="n">
        <v>5</v>
      </c>
      <c r="F2480" s="5" t="s">
        <v>90</v>
      </c>
      <c r="G2480" s="2" t="s">
        <v>12054</v>
      </c>
      <c r="H2480" s="5" t="s">
        <v>8336</v>
      </c>
      <c r="I2480" s="5"/>
      <c r="J2480" s="5"/>
      <c r="K2480" s="5" t="s">
        <v>14087</v>
      </c>
    </row>
    <row r="2481" customFormat="false" ht="15" hidden="false" customHeight="false" outlineLevel="0" collapsed="false">
      <c r="A2481" s="5" t="s">
        <v>14088</v>
      </c>
      <c r="B2481" s="2" t="s">
        <v>14089</v>
      </c>
      <c r="C2481" s="5" t="s">
        <v>2128</v>
      </c>
      <c r="D2481" s="5" t="s">
        <v>62</v>
      </c>
      <c r="E2481" s="5" t="n">
        <v>5</v>
      </c>
      <c r="F2481" s="5" t="s">
        <v>67</v>
      </c>
      <c r="G2481" s="2" t="s">
        <v>367</v>
      </c>
      <c r="H2481" s="5" t="s">
        <v>8336</v>
      </c>
      <c r="I2481" s="5"/>
      <c r="J2481" s="5"/>
      <c r="K2481" s="5" t="s">
        <v>14090</v>
      </c>
    </row>
    <row r="2482" customFormat="false" ht="15" hidden="false" customHeight="false" outlineLevel="0" collapsed="false">
      <c r="A2482" s="5" t="s">
        <v>14091</v>
      </c>
      <c r="B2482" s="2" t="s">
        <v>14092</v>
      </c>
      <c r="C2482" s="5" t="s">
        <v>2128</v>
      </c>
      <c r="D2482" s="5" t="s">
        <v>62</v>
      </c>
      <c r="E2482" s="5" t="n">
        <v>7</v>
      </c>
      <c r="F2482" s="5" t="s">
        <v>67</v>
      </c>
      <c r="G2482" s="2" t="s">
        <v>367</v>
      </c>
      <c r="H2482" s="5" t="s">
        <v>8336</v>
      </c>
      <c r="I2482" s="5"/>
      <c r="J2482" s="5"/>
      <c r="K2482" s="5" t="s">
        <v>14093</v>
      </c>
    </row>
    <row r="2483" customFormat="false" ht="46.25" hidden="false" customHeight="false" outlineLevel="0" collapsed="false">
      <c r="A2483" s="5" t="s">
        <v>14094</v>
      </c>
      <c r="B2483" s="2" t="s">
        <v>14095</v>
      </c>
      <c r="C2483" s="5" t="s">
        <v>2245</v>
      </c>
      <c r="D2483" s="5" t="s">
        <v>62</v>
      </c>
      <c r="E2483" s="5" t="n">
        <v>7</v>
      </c>
      <c r="F2483" s="5" t="s">
        <v>90</v>
      </c>
      <c r="G2483" s="2" t="s">
        <v>12057</v>
      </c>
      <c r="H2483" s="5" t="s">
        <v>8336</v>
      </c>
      <c r="I2483" s="5"/>
      <c r="J2483" s="5"/>
      <c r="K2483" s="5" t="s">
        <v>14096</v>
      </c>
    </row>
    <row r="2484" customFormat="false" ht="23.85" hidden="false" customHeight="false" outlineLevel="0" collapsed="false">
      <c r="A2484" s="5" t="s">
        <v>14097</v>
      </c>
      <c r="B2484" s="2" t="s">
        <v>14098</v>
      </c>
      <c r="C2484" s="5" t="s">
        <v>2128</v>
      </c>
      <c r="D2484" s="5" t="s">
        <v>62</v>
      </c>
      <c r="E2484" s="5" t="n">
        <v>5</v>
      </c>
      <c r="F2484" s="5" t="s">
        <v>67</v>
      </c>
      <c r="G2484" s="2" t="s">
        <v>367</v>
      </c>
      <c r="H2484" s="5" t="s">
        <v>8336</v>
      </c>
      <c r="I2484" s="5"/>
      <c r="J2484" s="5"/>
      <c r="K2484" s="5" t="s">
        <v>14099</v>
      </c>
    </row>
    <row r="2485" customFormat="false" ht="46.25" hidden="false" customHeight="false" outlineLevel="0" collapsed="false">
      <c r="A2485" s="5" t="s">
        <v>14100</v>
      </c>
      <c r="B2485" s="2" t="s">
        <v>14101</v>
      </c>
      <c r="C2485" s="5" t="s">
        <v>2245</v>
      </c>
      <c r="D2485" s="5" t="s">
        <v>62</v>
      </c>
      <c r="E2485" s="5" t="n">
        <v>7</v>
      </c>
      <c r="F2485" s="5" t="s">
        <v>67</v>
      </c>
      <c r="G2485" s="2" t="s">
        <v>12057</v>
      </c>
      <c r="H2485" s="5" t="s">
        <v>8336</v>
      </c>
      <c r="I2485" s="5"/>
      <c r="J2485" s="5"/>
      <c r="K2485" s="5" t="s">
        <v>14102</v>
      </c>
    </row>
    <row r="2486" customFormat="false" ht="23.85" hidden="false" customHeight="false" outlineLevel="0" collapsed="false">
      <c r="A2486" s="5" t="s">
        <v>14103</v>
      </c>
      <c r="B2486" s="2" t="s">
        <v>14104</v>
      </c>
      <c r="C2486" s="5" t="s">
        <v>2128</v>
      </c>
      <c r="D2486" s="5" t="s">
        <v>62</v>
      </c>
      <c r="E2486" s="5" t="n">
        <v>7</v>
      </c>
      <c r="F2486" s="5" t="s">
        <v>90</v>
      </c>
      <c r="G2486" s="2" t="s">
        <v>367</v>
      </c>
      <c r="H2486" s="5" t="s">
        <v>8336</v>
      </c>
      <c r="I2486" s="5"/>
      <c r="J2486" s="5"/>
      <c r="K2486" s="5" t="s">
        <v>14105</v>
      </c>
    </row>
    <row r="2487" customFormat="false" ht="23.85" hidden="false" customHeight="false" outlineLevel="0" collapsed="false">
      <c r="A2487" s="5" t="s">
        <v>14106</v>
      </c>
      <c r="B2487" s="2" t="s">
        <v>14107</v>
      </c>
      <c r="C2487" s="5" t="s">
        <v>2128</v>
      </c>
      <c r="D2487" s="5" t="s">
        <v>62</v>
      </c>
      <c r="E2487" s="5" t="n">
        <v>5</v>
      </c>
      <c r="F2487" s="5" t="s">
        <v>67</v>
      </c>
      <c r="G2487" s="2" t="s">
        <v>367</v>
      </c>
      <c r="H2487" s="5" t="s">
        <v>8336</v>
      </c>
      <c r="I2487" s="5"/>
      <c r="J2487" s="5"/>
      <c r="K2487" s="5" t="s">
        <v>14108</v>
      </c>
    </row>
    <row r="2488" customFormat="false" ht="23.85" hidden="false" customHeight="false" outlineLevel="0" collapsed="false">
      <c r="A2488" s="5" t="s">
        <v>14109</v>
      </c>
      <c r="B2488" s="2" t="s">
        <v>14110</v>
      </c>
      <c r="C2488" s="5" t="s">
        <v>2128</v>
      </c>
      <c r="D2488" s="5" t="s">
        <v>62</v>
      </c>
      <c r="E2488" s="5" t="n">
        <v>5</v>
      </c>
      <c r="F2488" s="5" t="s">
        <v>67</v>
      </c>
      <c r="G2488" s="2" t="s">
        <v>367</v>
      </c>
      <c r="H2488" s="5" t="s">
        <v>8336</v>
      </c>
      <c r="I2488" s="5"/>
      <c r="J2488" s="5"/>
      <c r="K2488" s="5" t="s">
        <v>14111</v>
      </c>
    </row>
    <row r="2489" customFormat="false" ht="23.85" hidden="false" customHeight="false" outlineLevel="0" collapsed="false">
      <c r="A2489" s="5" t="s">
        <v>14112</v>
      </c>
      <c r="B2489" s="2" t="s">
        <v>14113</v>
      </c>
      <c r="C2489" s="5" t="s">
        <v>2128</v>
      </c>
      <c r="D2489" s="5" t="s">
        <v>62</v>
      </c>
      <c r="E2489" s="5" t="n">
        <v>5</v>
      </c>
      <c r="F2489" s="5" t="s">
        <v>67</v>
      </c>
      <c r="G2489" s="2" t="s">
        <v>367</v>
      </c>
      <c r="H2489" s="5" t="s">
        <v>8336</v>
      </c>
      <c r="I2489" s="5"/>
      <c r="J2489" s="5"/>
      <c r="K2489" s="5" t="s">
        <v>14114</v>
      </c>
    </row>
    <row r="2490" customFormat="false" ht="46.25" hidden="false" customHeight="false" outlineLevel="0" collapsed="false">
      <c r="A2490" s="5" t="s">
        <v>14115</v>
      </c>
      <c r="B2490" s="2" t="s">
        <v>14116</v>
      </c>
      <c r="C2490" s="5" t="s">
        <v>2245</v>
      </c>
      <c r="D2490" s="5" t="s">
        <v>62</v>
      </c>
      <c r="E2490" s="5" t="n">
        <v>5</v>
      </c>
      <c r="F2490" s="5" t="s">
        <v>67</v>
      </c>
      <c r="G2490" s="2" t="s">
        <v>12057</v>
      </c>
      <c r="H2490" s="5" t="s">
        <v>8336</v>
      </c>
      <c r="I2490" s="5"/>
      <c r="J2490" s="5"/>
      <c r="K2490" s="5" t="s">
        <v>14117</v>
      </c>
    </row>
    <row r="2491" customFormat="false" ht="46.25" hidden="false" customHeight="false" outlineLevel="0" collapsed="false">
      <c r="A2491" s="5" t="s">
        <v>4012</v>
      </c>
      <c r="B2491" s="2" t="s">
        <v>4013</v>
      </c>
      <c r="C2491" s="5" t="s">
        <v>2245</v>
      </c>
      <c r="D2491" s="5" t="s">
        <v>490</v>
      </c>
      <c r="E2491" s="5" t="n">
        <v>5</v>
      </c>
      <c r="F2491" s="5" t="s">
        <v>90</v>
      </c>
      <c r="G2491" s="2" t="s">
        <v>12894</v>
      </c>
      <c r="H2491" s="5" t="s">
        <v>8332</v>
      </c>
      <c r="I2491" s="5" t="s">
        <v>60</v>
      </c>
      <c r="J2491" s="5" t="s">
        <v>1531</v>
      </c>
      <c r="K2491" s="5" t="s">
        <v>4017</v>
      </c>
    </row>
    <row r="2492" customFormat="false" ht="46.25" hidden="false" customHeight="false" outlineLevel="0" collapsed="false">
      <c r="A2492" s="5" t="s">
        <v>14118</v>
      </c>
      <c r="B2492" s="2" t="s">
        <v>14119</v>
      </c>
      <c r="C2492" s="5" t="s">
        <v>2245</v>
      </c>
      <c r="D2492" s="5" t="s">
        <v>62</v>
      </c>
      <c r="E2492" s="5" t="n">
        <v>7</v>
      </c>
      <c r="F2492" s="5" t="s">
        <v>90</v>
      </c>
      <c r="G2492" s="2" t="s">
        <v>12057</v>
      </c>
      <c r="H2492" s="5" t="s">
        <v>8336</v>
      </c>
      <c r="I2492" s="5"/>
      <c r="J2492" s="5"/>
      <c r="K2492" s="5" t="s">
        <v>14120</v>
      </c>
    </row>
    <row r="2493" customFormat="false" ht="46.25" hidden="false" customHeight="false" outlineLevel="0" collapsed="false">
      <c r="A2493" s="5" t="s">
        <v>14121</v>
      </c>
      <c r="B2493" s="2" t="s">
        <v>14122</v>
      </c>
      <c r="C2493" s="5" t="s">
        <v>2245</v>
      </c>
      <c r="D2493" s="5" t="s">
        <v>62</v>
      </c>
      <c r="E2493" s="5" t="n">
        <v>7</v>
      </c>
      <c r="F2493" s="5" t="s">
        <v>90</v>
      </c>
      <c r="G2493" s="2" t="s">
        <v>12057</v>
      </c>
      <c r="H2493" s="5" t="s">
        <v>8336</v>
      </c>
      <c r="I2493" s="5"/>
      <c r="J2493" s="5"/>
      <c r="K2493" s="5" t="s">
        <v>14123</v>
      </c>
    </row>
    <row r="2494" customFormat="false" ht="46.25" hidden="false" customHeight="false" outlineLevel="0" collapsed="false">
      <c r="A2494" s="5" t="s">
        <v>14124</v>
      </c>
      <c r="B2494" s="2" t="s">
        <v>14125</v>
      </c>
      <c r="C2494" s="5" t="s">
        <v>2245</v>
      </c>
      <c r="D2494" s="5" t="s">
        <v>62</v>
      </c>
      <c r="E2494" s="5" t="n">
        <v>7</v>
      </c>
      <c r="F2494" s="5" t="s">
        <v>90</v>
      </c>
      <c r="G2494" s="2" t="s">
        <v>12057</v>
      </c>
      <c r="H2494" s="5" t="s">
        <v>8336</v>
      </c>
      <c r="I2494" s="5"/>
      <c r="J2494" s="5"/>
      <c r="K2494" s="5" t="s">
        <v>14126</v>
      </c>
    </row>
    <row r="2495" customFormat="false" ht="46.25" hidden="false" customHeight="false" outlineLevel="0" collapsed="false">
      <c r="A2495" s="5" t="s">
        <v>14127</v>
      </c>
      <c r="B2495" s="2" t="s">
        <v>14128</v>
      </c>
      <c r="C2495" s="5" t="s">
        <v>2245</v>
      </c>
      <c r="D2495" s="5" t="s">
        <v>62</v>
      </c>
      <c r="E2495" s="5" t="n">
        <v>5</v>
      </c>
      <c r="F2495" s="5" t="s">
        <v>67</v>
      </c>
      <c r="G2495" s="2" t="s">
        <v>12057</v>
      </c>
      <c r="H2495" s="5" t="s">
        <v>8336</v>
      </c>
      <c r="I2495" s="5"/>
      <c r="J2495" s="5"/>
      <c r="K2495" s="5" t="s">
        <v>14129</v>
      </c>
    </row>
    <row r="2496" customFormat="false" ht="15" hidden="false" customHeight="false" outlineLevel="0" collapsed="false">
      <c r="A2496" s="5" t="s">
        <v>4018</v>
      </c>
      <c r="B2496" s="2" t="s">
        <v>4019</v>
      </c>
      <c r="C2496" s="5" t="s">
        <v>2128</v>
      </c>
      <c r="D2496" s="5" t="s">
        <v>62</v>
      </c>
      <c r="E2496" s="5" t="n">
        <v>3</v>
      </c>
      <c r="F2496" s="5" t="s">
        <v>67</v>
      </c>
      <c r="G2496" s="2" t="s">
        <v>367</v>
      </c>
      <c r="H2496" s="5" t="s">
        <v>8332</v>
      </c>
      <c r="I2496" s="5" t="s">
        <v>60</v>
      </c>
      <c r="J2496" s="5" t="s">
        <v>3123</v>
      </c>
      <c r="K2496" s="5" t="s">
        <v>4022</v>
      </c>
    </row>
    <row r="2497" customFormat="false" ht="23.85" hidden="false" customHeight="false" outlineLevel="0" collapsed="false">
      <c r="A2497" s="5" t="s">
        <v>14130</v>
      </c>
      <c r="B2497" s="2" t="s">
        <v>14131</v>
      </c>
      <c r="C2497" s="5" t="s">
        <v>2128</v>
      </c>
      <c r="D2497" s="5" t="s">
        <v>62</v>
      </c>
      <c r="E2497" s="5" t="n">
        <v>5</v>
      </c>
      <c r="F2497" s="5" t="s">
        <v>90</v>
      </c>
      <c r="G2497" s="2" t="s">
        <v>367</v>
      </c>
      <c r="H2497" s="5" t="s">
        <v>8336</v>
      </c>
      <c r="I2497" s="5"/>
      <c r="J2497" s="5"/>
      <c r="K2497" s="5" t="s">
        <v>14132</v>
      </c>
    </row>
    <row r="2498" customFormat="false" ht="46.25" hidden="false" customHeight="false" outlineLevel="0" collapsed="false">
      <c r="A2498" s="5" t="s">
        <v>14133</v>
      </c>
      <c r="B2498" s="2" t="s">
        <v>14134</v>
      </c>
      <c r="C2498" s="5" t="s">
        <v>2245</v>
      </c>
      <c r="D2498" s="5" t="s">
        <v>62</v>
      </c>
      <c r="E2498" s="5" t="n">
        <v>5</v>
      </c>
      <c r="F2498" s="5" t="s">
        <v>90</v>
      </c>
      <c r="G2498" s="2" t="s">
        <v>12057</v>
      </c>
      <c r="H2498" s="5" t="s">
        <v>8336</v>
      </c>
      <c r="I2498" s="5"/>
      <c r="J2498" s="5"/>
      <c r="K2498" s="5" t="s">
        <v>14135</v>
      </c>
    </row>
    <row r="2499" customFormat="false" ht="15" hidden="false" customHeight="false" outlineLevel="0" collapsed="false">
      <c r="A2499" s="5" t="s">
        <v>1644</v>
      </c>
      <c r="B2499" s="2" t="s">
        <v>1645</v>
      </c>
      <c r="C2499" s="5" t="s">
        <v>488</v>
      </c>
      <c r="D2499" s="5" t="s">
        <v>62</v>
      </c>
      <c r="E2499" s="5" t="n">
        <v>5</v>
      </c>
      <c r="F2499" s="5" t="s">
        <v>100</v>
      </c>
      <c r="G2499" s="2" t="s">
        <v>367</v>
      </c>
      <c r="H2499" s="5" t="s">
        <v>8332</v>
      </c>
      <c r="I2499" s="5" t="s">
        <v>60</v>
      </c>
      <c r="J2499" s="5" t="s">
        <v>100</v>
      </c>
      <c r="K2499" s="5" t="s">
        <v>1649</v>
      </c>
    </row>
    <row r="2500" customFormat="false" ht="46.25" hidden="false" customHeight="false" outlineLevel="0" collapsed="false">
      <c r="A2500" s="5" t="s">
        <v>14136</v>
      </c>
      <c r="B2500" s="2" t="s">
        <v>14137</v>
      </c>
      <c r="C2500" s="5" t="s">
        <v>2245</v>
      </c>
      <c r="D2500" s="5" t="s">
        <v>62</v>
      </c>
      <c r="E2500" s="5" t="n">
        <v>5</v>
      </c>
      <c r="F2500" s="5" t="s">
        <v>67</v>
      </c>
      <c r="G2500" s="2" t="s">
        <v>12057</v>
      </c>
      <c r="H2500" s="5" t="s">
        <v>8336</v>
      </c>
      <c r="I2500" s="5"/>
      <c r="J2500" s="5"/>
      <c r="K2500" s="5" t="s">
        <v>14138</v>
      </c>
    </row>
    <row r="2501" customFormat="false" ht="46.25" hidden="false" customHeight="false" outlineLevel="0" collapsed="false">
      <c r="A2501" s="5" t="s">
        <v>14139</v>
      </c>
      <c r="B2501" s="2" t="s">
        <v>14140</v>
      </c>
      <c r="C2501" s="5" t="s">
        <v>2245</v>
      </c>
      <c r="D2501" s="5" t="s">
        <v>62</v>
      </c>
      <c r="E2501" s="5" t="n">
        <v>5</v>
      </c>
      <c r="F2501" s="5" t="s">
        <v>67</v>
      </c>
      <c r="G2501" s="2" t="s">
        <v>12057</v>
      </c>
      <c r="H2501" s="5" t="s">
        <v>8336</v>
      </c>
      <c r="I2501" s="5"/>
      <c r="J2501" s="5"/>
      <c r="K2501" s="5" t="s">
        <v>14141</v>
      </c>
    </row>
    <row r="2502" customFormat="false" ht="23.85" hidden="false" customHeight="false" outlineLevel="0" collapsed="false">
      <c r="A2502" s="5" t="s">
        <v>14142</v>
      </c>
      <c r="B2502" s="2" t="s">
        <v>14143</v>
      </c>
      <c r="C2502" s="5" t="s">
        <v>2128</v>
      </c>
      <c r="D2502" s="5" t="s">
        <v>62</v>
      </c>
      <c r="E2502" s="5" t="n">
        <v>5</v>
      </c>
      <c r="F2502" s="5" t="s">
        <v>67</v>
      </c>
      <c r="G2502" s="2" t="s">
        <v>367</v>
      </c>
      <c r="H2502" s="5" t="s">
        <v>8336</v>
      </c>
      <c r="I2502" s="5"/>
      <c r="J2502" s="5"/>
      <c r="K2502" s="5" t="s">
        <v>14144</v>
      </c>
    </row>
    <row r="2503" customFormat="false" ht="46.25" hidden="false" customHeight="false" outlineLevel="0" collapsed="false">
      <c r="A2503" s="5" t="s">
        <v>14145</v>
      </c>
      <c r="B2503" s="2" t="s">
        <v>14146</v>
      </c>
      <c r="C2503" s="5" t="s">
        <v>2245</v>
      </c>
      <c r="D2503" s="5" t="s">
        <v>490</v>
      </c>
      <c r="E2503" s="5" t="n">
        <v>7</v>
      </c>
      <c r="F2503" s="5" t="s">
        <v>413</v>
      </c>
      <c r="G2503" s="2" t="s">
        <v>12057</v>
      </c>
      <c r="H2503" s="5" t="s">
        <v>8336</v>
      </c>
      <c r="I2503" s="5"/>
      <c r="J2503" s="5"/>
      <c r="K2503" s="5" t="s">
        <v>14147</v>
      </c>
    </row>
    <row r="2504" customFormat="false" ht="15" hidden="false" customHeight="false" outlineLevel="0" collapsed="false">
      <c r="A2504" s="5" t="s">
        <v>14148</v>
      </c>
      <c r="B2504" s="2" t="s">
        <v>14149</v>
      </c>
      <c r="C2504" s="5" t="s">
        <v>2128</v>
      </c>
      <c r="D2504" s="5" t="s">
        <v>62</v>
      </c>
      <c r="E2504" s="5" t="n">
        <v>7</v>
      </c>
      <c r="F2504" s="5" t="s">
        <v>90</v>
      </c>
      <c r="G2504" s="2" t="s">
        <v>367</v>
      </c>
      <c r="H2504" s="5" t="s">
        <v>8336</v>
      </c>
      <c r="I2504" s="5"/>
      <c r="J2504" s="5"/>
      <c r="K2504" s="5" t="s">
        <v>14150</v>
      </c>
    </row>
    <row r="2505" customFormat="false" ht="46.25" hidden="false" customHeight="false" outlineLevel="0" collapsed="false">
      <c r="A2505" s="5" t="s">
        <v>14151</v>
      </c>
      <c r="B2505" s="2" t="s">
        <v>14152</v>
      </c>
      <c r="C2505" s="5" t="s">
        <v>2245</v>
      </c>
      <c r="D2505" s="5" t="s">
        <v>62</v>
      </c>
      <c r="E2505" s="5" t="n">
        <v>7</v>
      </c>
      <c r="F2505" s="5" t="s">
        <v>413</v>
      </c>
      <c r="G2505" s="2" t="s">
        <v>12057</v>
      </c>
      <c r="H2505" s="5" t="s">
        <v>8336</v>
      </c>
      <c r="I2505" s="5"/>
      <c r="J2505" s="5"/>
      <c r="K2505" s="5" t="s">
        <v>14153</v>
      </c>
    </row>
    <row r="2506" customFormat="false" ht="46.25" hidden="false" customHeight="false" outlineLevel="0" collapsed="false">
      <c r="A2506" s="5" t="s">
        <v>14154</v>
      </c>
      <c r="B2506" s="2" t="s">
        <v>14155</v>
      </c>
      <c r="C2506" s="5" t="s">
        <v>2245</v>
      </c>
      <c r="D2506" s="5" t="s">
        <v>62</v>
      </c>
      <c r="E2506" s="5" t="n">
        <v>5</v>
      </c>
      <c r="F2506" s="5" t="s">
        <v>90</v>
      </c>
      <c r="G2506" s="2" t="s">
        <v>12057</v>
      </c>
      <c r="H2506" s="5" t="s">
        <v>8336</v>
      </c>
      <c r="I2506" s="5"/>
      <c r="J2506" s="5"/>
      <c r="K2506" s="5" t="s">
        <v>14156</v>
      </c>
    </row>
    <row r="2507" customFormat="false" ht="23.85" hidden="false" customHeight="false" outlineLevel="0" collapsed="false">
      <c r="A2507" s="5" t="s">
        <v>14157</v>
      </c>
      <c r="B2507" s="2" t="s">
        <v>14158</v>
      </c>
      <c r="C2507" s="5" t="s">
        <v>2128</v>
      </c>
      <c r="D2507" s="5" t="s">
        <v>62</v>
      </c>
      <c r="E2507" s="5" t="n">
        <v>5</v>
      </c>
      <c r="F2507" s="5" t="s">
        <v>90</v>
      </c>
      <c r="G2507" s="2" t="s">
        <v>367</v>
      </c>
      <c r="H2507" s="5" t="s">
        <v>8336</v>
      </c>
      <c r="I2507" s="5"/>
      <c r="J2507" s="5"/>
      <c r="K2507" s="5" t="s">
        <v>14159</v>
      </c>
    </row>
    <row r="2508" customFormat="false" ht="46.25" hidden="false" customHeight="false" outlineLevel="0" collapsed="false">
      <c r="A2508" s="5" t="s">
        <v>14160</v>
      </c>
      <c r="B2508" s="2" t="s">
        <v>14161</v>
      </c>
      <c r="C2508" s="5" t="s">
        <v>2245</v>
      </c>
      <c r="D2508" s="5" t="s">
        <v>62</v>
      </c>
      <c r="E2508" s="5" t="n">
        <v>5</v>
      </c>
      <c r="F2508" s="5" t="s">
        <v>1814</v>
      </c>
      <c r="G2508" s="2" t="s">
        <v>12054</v>
      </c>
      <c r="H2508" s="5" t="s">
        <v>8336</v>
      </c>
      <c r="I2508" s="5"/>
      <c r="J2508" s="5"/>
      <c r="K2508" s="5" t="s">
        <v>14162</v>
      </c>
    </row>
    <row r="2509" customFormat="false" ht="23.85" hidden="false" customHeight="false" outlineLevel="0" collapsed="false">
      <c r="A2509" s="5" t="s">
        <v>14163</v>
      </c>
      <c r="B2509" s="2" t="s">
        <v>14164</v>
      </c>
      <c r="C2509" s="5" t="s">
        <v>2128</v>
      </c>
      <c r="D2509" s="5" t="s">
        <v>62</v>
      </c>
      <c r="E2509" s="5" t="n">
        <v>5</v>
      </c>
      <c r="F2509" s="5" t="s">
        <v>90</v>
      </c>
      <c r="G2509" s="2" t="s">
        <v>367</v>
      </c>
      <c r="H2509" s="5" t="s">
        <v>8336</v>
      </c>
      <c r="I2509" s="5"/>
      <c r="J2509" s="5"/>
      <c r="K2509" s="5" t="s">
        <v>14165</v>
      </c>
    </row>
    <row r="2510" customFormat="false" ht="23.85" hidden="false" customHeight="false" outlineLevel="0" collapsed="false">
      <c r="A2510" s="5" t="s">
        <v>14166</v>
      </c>
      <c r="B2510" s="2" t="s">
        <v>14167</v>
      </c>
      <c r="C2510" s="5" t="s">
        <v>2128</v>
      </c>
      <c r="D2510" s="5" t="s">
        <v>62</v>
      </c>
      <c r="E2510" s="5" t="n">
        <v>7</v>
      </c>
      <c r="F2510" s="5" t="s">
        <v>413</v>
      </c>
      <c r="G2510" s="2" t="s">
        <v>367</v>
      </c>
      <c r="H2510" s="5" t="s">
        <v>8336</v>
      </c>
      <c r="I2510" s="5"/>
      <c r="J2510" s="5"/>
      <c r="K2510" s="5" t="s">
        <v>14168</v>
      </c>
    </row>
    <row r="2511" customFormat="false" ht="23.85" hidden="false" customHeight="false" outlineLevel="0" collapsed="false">
      <c r="A2511" s="5" t="s">
        <v>14169</v>
      </c>
      <c r="B2511" s="2" t="s">
        <v>14170</v>
      </c>
      <c r="C2511" s="5" t="s">
        <v>2128</v>
      </c>
      <c r="D2511" s="5" t="s">
        <v>62</v>
      </c>
      <c r="E2511" s="5" t="n">
        <v>5</v>
      </c>
      <c r="F2511" s="5" t="s">
        <v>277</v>
      </c>
      <c r="G2511" s="2" t="s">
        <v>367</v>
      </c>
      <c r="H2511" s="5" t="s">
        <v>8336</v>
      </c>
      <c r="I2511" s="5"/>
      <c r="J2511" s="5"/>
      <c r="K2511" s="5" t="s">
        <v>14171</v>
      </c>
    </row>
    <row r="2512" customFormat="false" ht="46.25" hidden="false" customHeight="false" outlineLevel="0" collapsed="false">
      <c r="A2512" s="5" t="s">
        <v>14172</v>
      </c>
      <c r="B2512" s="2" t="s">
        <v>14173</v>
      </c>
      <c r="C2512" s="5" t="s">
        <v>2245</v>
      </c>
      <c r="D2512" s="5" t="s">
        <v>62</v>
      </c>
      <c r="E2512" s="5" t="n">
        <v>5</v>
      </c>
      <c r="F2512" s="5" t="s">
        <v>90</v>
      </c>
      <c r="G2512" s="2" t="s">
        <v>12057</v>
      </c>
      <c r="H2512" s="5" t="s">
        <v>8336</v>
      </c>
      <c r="I2512" s="5"/>
      <c r="J2512" s="5"/>
      <c r="K2512" s="5" t="s">
        <v>14174</v>
      </c>
    </row>
    <row r="2513" customFormat="false" ht="23.85" hidden="false" customHeight="false" outlineLevel="0" collapsed="false">
      <c r="A2513" s="5" t="s">
        <v>1650</v>
      </c>
      <c r="B2513" s="2" t="s">
        <v>1651</v>
      </c>
      <c r="C2513" s="5" t="s">
        <v>488</v>
      </c>
      <c r="D2513" s="5" t="s">
        <v>62</v>
      </c>
      <c r="E2513" s="5" t="n">
        <v>7</v>
      </c>
      <c r="F2513" s="5" t="s">
        <v>100</v>
      </c>
      <c r="G2513" s="2" t="s">
        <v>367</v>
      </c>
      <c r="H2513" s="5" t="s">
        <v>8332</v>
      </c>
      <c r="I2513" s="5" t="s">
        <v>60</v>
      </c>
      <c r="J2513" s="5" t="s">
        <v>100</v>
      </c>
      <c r="K2513" s="5" t="s">
        <v>1655</v>
      </c>
    </row>
    <row r="2514" customFormat="false" ht="23.85" hidden="false" customHeight="false" outlineLevel="0" collapsed="false">
      <c r="A2514" s="5" t="s">
        <v>14175</v>
      </c>
      <c r="B2514" s="2" t="s">
        <v>14176</v>
      </c>
      <c r="C2514" s="5" t="s">
        <v>2128</v>
      </c>
      <c r="D2514" s="5" t="s">
        <v>62</v>
      </c>
      <c r="E2514" s="5" t="n">
        <v>7</v>
      </c>
      <c r="F2514" s="5" t="s">
        <v>90</v>
      </c>
      <c r="G2514" s="2" t="s">
        <v>367</v>
      </c>
      <c r="H2514" s="5" t="s">
        <v>8336</v>
      </c>
      <c r="I2514" s="5"/>
      <c r="J2514" s="5"/>
      <c r="K2514" s="5" t="s">
        <v>14177</v>
      </c>
    </row>
    <row r="2515" customFormat="false" ht="46.25" hidden="false" customHeight="false" outlineLevel="0" collapsed="false">
      <c r="A2515" s="5" t="s">
        <v>14178</v>
      </c>
      <c r="B2515" s="2" t="s">
        <v>14179</v>
      </c>
      <c r="C2515" s="5" t="s">
        <v>2245</v>
      </c>
      <c r="D2515" s="5" t="s">
        <v>62</v>
      </c>
      <c r="E2515" s="5" t="n">
        <v>5</v>
      </c>
      <c r="F2515" s="5" t="s">
        <v>90</v>
      </c>
      <c r="G2515" s="2" t="s">
        <v>12057</v>
      </c>
      <c r="H2515" s="5" t="s">
        <v>8336</v>
      </c>
      <c r="I2515" s="5"/>
      <c r="J2515" s="5"/>
      <c r="K2515" s="5" t="s">
        <v>14180</v>
      </c>
    </row>
    <row r="2516" customFormat="false" ht="15" hidden="false" customHeight="false" outlineLevel="0" collapsed="false">
      <c r="A2516" s="5" t="s">
        <v>1656</v>
      </c>
      <c r="B2516" s="2" t="s">
        <v>1657</v>
      </c>
      <c r="C2516" s="5" t="s">
        <v>488</v>
      </c>
      <c r="D2516" s="5" t="s">
        <v>62</v>
      </c>
      <c r="E2516" s="5" t="n">
        <v>7</v>
      </c>
      <c r="F2516" s="5" t="s">
        <v>100</v>
      </c>
      <c r="G2516" s="2" t="s">
        <v>367</v>
      </c>
      <c r="H2516" s="5" t="s">
        <v>8332</v>
      </c>
      <c r="I2516" s="5" t="s">
        <v>60</v>
      </c>
      <c r="J2516" s="5" t="s">
        <v>100</v>
      </c>
      <c r="K2516" s="5" t="s">
        <v>1661</v>
      </c>
    </row>
    <row r="2517" customFormat="false" ht="15" hidden="false" customHeight="false" outlineLevel="0" collapsed="false">
      <c r="A2517" s="5" t="s">
        <v>14181</v>
      </c>
      <c r="B2517" s="2" t="s">
        <v>14182</v>
      </c>
      <c r="C2517" s="5" t="s">
        <v>2128</v>
      </c>
      <c r="D2517" s="5" t="s">
        <v>62</v>
      </c>
      <c r="E2517" s="5" t="n">
        <v>7</v>
      </c>
      <c r="F2517" s="5" t="s">
        <v>536</v>
      </c>
      <c r="G2517" s="2" t="s">
        <v>367</v>
      </c>
      <c r="H2517" s="5" t="s">
        <v>8336</v>
      </c>
      <c r="I2517" s="5"/>
      <c r="J2517" s="5"/>
      <c r="K2517" s="5" t="s">
        <v>14183</v>
      </c>
    </row>
    <row r="2518" customFormat="false" ht="23.85" hidden="false" customHeight="false" outlineLevel="0" collapsed="false">
      <c r="A2518" s="5" t="s">
        <v>14184</v>
      </c>
      <c r="B2518" s="2" t="s">
        <v>14185</v>
      </c>
      <c r="C2518" s="5" t="s">
        <v>2128</v>
      </c>
      <c r="D2518" s="5" t="s">
        <v>62</v>
      </c>
      <c r="E2518" s="5" t="n">
        <v>7</v>
      </c>
      <c r="F2518" s="5" t="s">
        <v>413</v>
      </c>
      <c r="G2518" s="2" t="s">
        <v>367</v>
      </c>
      <c r="H2518" s="5" t="s">
        <v>8336</v>
      </c>
      <c r="I2518" s="5"/>
      <c r="J2518" s="5"/>
      <c r="K2518" s="5" t="s">
        <v>14186</v>
      </c>
    </row>
    <row r="2519" customFormat="false" ht="46.25" hidden="false" customHeight="false" outlineLevel="0" collapsed="false">
      <c r="A2519" s="5" t="s">
        <v>14187</v>
      </c>
      <c r="B2519" s="2" t="s">
        <v>14188</v>
      </c>
      <c r="C2519" s="5" t="s">
        <v>2245</v>
      </c>
      <c r="D2519" s="5" t="s">
        <v>62</v>
      </c>
      <c r="E2519" s="5" t="n">
        <v>5</v>
      </c>
      <c r="F2519" s="5" t="s">
        <v>90</v>
      </c>
      <c r="G2519" s="2" t="s">
        <v>12054</v>
      </c>
      <c r="H2519" s="5" t="s">
        <v>8336</v>
      </c>
      <c r="I2519" s="5"/>
      <c r="J2519" s="5"/>
      <c r="K2519" s="5" t="s">
        <v>14189</v>
      </c>
    </row>
    <row r="2520" customFormat="false" ht="23.85" hidden="false" customHeight="false" outlineLevel="0" collapsed="false">
      <c r="A2520" s="5" t="s">
        <v>14190</v>
      </c>
      <c r="B2520" s="2" t="s">
        <v>14191</v>
      </c>
      <c r="C2520" s="5" t="s">
        <v>2128</v>
      </c>
      <c r="D2520" s="5" t="s">
        <v>62</v>
      </c>
      <c r="E2520" s="5" t="n">
        <v>7</v>
      </c>
      <c r="F2520" s="5" t="s">
        <v>1210</v>
      </c>
      <c r="G2520" s="2" t="s">
        <v>367</v>
      </c>
      <c r="H2520" s="5" t="s">
        <v>8336</v>
      </c>
      <c r="I2520" s="5"/>
      <c r="J2520" s="5"/>
      <c r="K2520" s="5" t="s">
        <v>14192</v>
      </c>
    </row>
    <row r="2521" customFormat="false" ht="23.85" hidden="false" customHeight="false" outlineLevel="0" collapsed="false">
      <c r="A2521" s="5" t="s">
        <v>6297</v>
      </c>
      <c r="B2521" s="2" t="s">
        <v>6298</v>
      </c>
      <c r="C2521" s="5" t="s">
        <v>2128</v>
      </c>
      <c r="D2521" s="5" t="s">
        <v>62</v>
      </c>
      <c r="E2521" s="5" t="n">
        <v>9</v>
      </c>
      <c r="F2521" s="5" t="s">
        <v>2079</v>
      </c>
      <c r="G2521" s="2" t="s">
        <v>367</v>
      </c>
      <c r="H2521" s="5" t="s">
        <v>8332</v>
      </c>
      <c r="I2521" s="5" t="s">
        <v>4760</v>
      </c>
      <c r="J2521" s="5" t="s">
        <v>2079</v>
      </c>
      <c r="K2521" s="5" t="s">
        <v>6301</v>
      </c>
    </row>
    <row r="2522" customFormat="false" ht="23.85" hidden="false" customHeight="false" outlineLevel="0" collapsed="false">
      <c r="A2522" s="5" t="s">
        <v>6302</v>
      </c>
      <c r="B2522" s="2" t="s">
        <v>6303</v>
      </c>
      <c r="C2522" s="5" t="s">
        <v>2128</v>
      </c>
      <c r="D2522" s="5" t="s">
        <v>62</v>
      </c>
      <c r="E2522" s="5" t="n">
        <v>9</v>
      </c>
      <c r="F2522" s="5" t="s">
        <v>2079</v>
      </c>
      <c r="G2522" s="2" t="s">
        <v>367</v>
      </c>
      <c r="H2522" s="5" t="s">
        <v>8332</v>
      </c>
      <c r="I2522" s="5" t="s">
        <v>4760</v>
      </c>
      <c r="J2522" s="5" t="s">
        <v>2079</v>
      </c>
      <c r="K2522" s="5" t="s">
        <v>6306</v>
      </c>
    </row>
    <row r="2523" customFormat="false" ht="23.85" hidden="false" customHeight="false" outlineLevel="0" collapsed="false">
      <c r="A2523" s="5" t="s">
        <v>14193</v>
      </c>
      <c r="B2523" s="2" t="s">
        <v>14194</v>
      </c>
      <c r="C2523" s="5" t="s">
        <v>2128</v>
      </c>
      <c r="D2523" s="5" t="s">
        <v>62</v>
      </c>
      <c r="E2523" s="5" t="n">
        <v>5</v>
      </c>
      <c r="F2523" s="5" t="s">
        <v>67</v>
      </c>
      <c r="G2523" s="2" t="s">
        <v>367</v>
      </c>
      <c r="H2523" s="5" t="s">
        <v>8336</v>
      </c>
      <c r="I2523" s="5"/>
      <c r="J2523" s="5"/>
      <c r="K2523" s="5" t="s">
        <v>14195</v>
      </c>
    </row>
    <row r="2524" customFormat="false" ht="46.25" hidden="false" customHeight="false" outlineLevel="0" collapsed="false">
      <c r="A2524" s="5" t="s">
        <v>14196</v>
      </c>
      <c r="B2524" s="2" t="s">
        <v>14197</v>
      </c>
      <c r="C2524" s="5" t="s">
        <v>2245</v>
      </c>
      <c r="D2524" s="5" t="s">
        <v>62</v>
      </c>
      <c r="E2524" s="5" t="n">
        <v>3</v>
      </c>
      <c r="F2524" s="5" t="s">
        <v>67</v>
      </c>
      <c r="G2524" s="2" t="s">
        <v>12057</v>
      </c>
      <c r="H2524" s="5" t="s">
        <v>8336</v>
      </c>
      <c r="I2524" s="5"/>
      <c r="J2524" s="5"/>
      <c r="K2524" s="5" t="s">
        <v>14198</v>
      </c>
    </row>
    <row r="2525" customFormat="false" ht="23.85" hidden="false" customHeight="false" outlineLevel="0" collapsed="false">
      <c r="A2525" s="5" t="s">
        <v>14199</v>
      </c>
      <c r="B2525" s="2" t="s">
        <v>14200</v>
      </c>
      <c r="C2525" s="5" t="s">
        <v>2128</v>
      </c>
      <c r="D2525" s="5" t="s">
        <v>62</v>
      </c>
      <c r="E2525" s="5" t="n">
        <v>7</v>
      </c>
      <c r="F2525" s="5" t="s">
        <v>67</v>
      </c>
      <c r="G2525" s="2" t="s">
        <v>367</v>
      </c>
      <c r="H2525" s="5" t="s">
        <v>8336</v>
      </c>
      <c r="I2525" s="5"/>
      <c r="J2525" s="5"/>
      <c r="K2525" s="5" t="s">
        <v>14201</v>
      </c>
    </row>
    <row r="2526" customFormat="false" ht="23.85" hidden="false" customHeight="false" outlineLevel="0" collapsed="false">
      <c r="A2526" s="5" t="s">
        <v>14202</v>
      </c>
      <c r="B2526" s="2" t="s">
        <v>14203</v>
      </c>
      <c r="C2526" s="5" t="s">
        <v>2128</v>
      </c>
      <c r="D2526" s="5" t="s">
        <v>62</v>
      </c>
      <c r="E2526" s="5" t="n">
        <v>7</v>
      </c>
      <c r="F2526" s="5" t="s">
        <v>67</v>
      </c>
      <c r="G2526" s="2" t="s">
        <v>367</v>
      </c>
      <c r="H2526" s="5" t="s">
        <v>8336</v>
      </c>
      <c r="I2526" s="5"/>
      <c r="J2526" s="5"/>
      <c r="K2526" s="5" t="s">
        <v>14204</v>
      </c>
    </row>
    <row r="2527" customFormat="false" ht="46.25" hidden="false" customHeight="false" outlineLevel="0" collapsed="false">
      <c r="A2527" s="5" t="s">
        <v>14205</v>
      </c>
      <c r="B2527" s="2" t="s">
        <v>14206</v>
      </c>
      <c r="C2527" s="5" t="s">
        <v>2245</v>
      </c>
      <c r="D2527" s="5" t="s">
        <v>62</v>
      </c>
      <c r="E2527" s="5" t="n">
        <v>5</v>
      </c>
      <c r="F2527" s="5" t="s">
        <v>413</v>
      </c>
      <c r="G2527" s="2" t="s">
        <v>12057</v>
      </c>
      <c r="H2527" s="5" t="s">
        <v>8336</v>
      </c>
      <c r="I2527" s="5"/>
      <c r="J2527" s="5"/>
      <c r="K2527" s="5" t="s">
        <v>14207</v>
      </c>
    </row>
    <row r="2528" customFormat="false" ht="23.85" hidden="false" customHeight="false" outlineLevel="0" collapsed="false">
      <c r="A2528" s="5" t="s">
        <v>14208</v>
      </c>
      <c r="B2528" s="2" t="s">
        <v>14209</v>
      </c>
      <c r="C2528" s="5" t="s">
        <v>2128</v>
      </c>
      <c r="D2528" s="5" t="s">
        <v>62</v>
      </c>
      <c r="E2528" s="5" t="n">
        <v>5</v>
      </c>
      <c r="F2528" s="5" t="s">
        <v>90</v>
      </c>
      <c r="G2528" s="2" t="s">
        <v>367</v>
      </c>
      <c r="H2528" s="5" t="s">
        <v>8336</v>
      </c>
      <c r="I2528" s="5"/>
      <c r="J2528" s="5"/>
      <c r="K2528" s="5" t="s">
        <v>14210</v>
      </c>
    </row>
    <row r="2529" customFormat="false" ht="23.85" hidden="false" customHeight="false" outlineLevel="0" collapsed="false">
      <c r="A2529" s="5" t="s">
        <v>14211</v>
      </c>
      <c r="B2529" s="2" t="s">
        <v>14212</v>
      </c>
      <c r="C2529" s="5" t="s">
        <v>2128</v>
      </c>
      <c r="D2529" s="5" t="s">
        <v>62</v>
      </c>
      <c r="E2529" s="5" t="n">
        <v>5</v>
      </c>
      <c r="F2529" s="5" t="s">
        <v>90</v>
      </c>
      <c r="G2529" s="2" t="s">
        <v>367</v>
      </c>
      <c r="H2529" s="5" t="s">
        <v>8336</v>
      </c>
      <c r="I2529" s="5"/>
      <c r="J2529" s="5"/>
      <c r="K2529" s="5" t="s">
        <v>14213</v>
      </c>
    </row>
    <row r="2530" customFormat="false" ht="23.85" hidden="false" customHeight="false" outlineLevel="0" collapsed="false">
      <c r="A2530" s="5" t="s">
        <v>14214</v>
      </c>
      <c r="B2530" s="2" t="s">
        <v>14215</v>
      </c>
      <c r="C2530" s="5" t="s">
        <v>2128</v>
      </c>
      <c r="D2530" s="5" t="s">
        <v>62</v>
      </c>
      <c r="E2530" s="5" t="n">
        <v>5</v>
      </c>
      <c r="F2530" s="5" t="s">
        <v>67</v>
      </c>
      <c r="G2530" s="2" t="s">
        <v>367</v>
      </c>
      <c r="H2530" s="5" t="s">
        <v>8336</v>
      </c>
      <c r="I2530" s="5"/>
      <c r="J2530" s="5"/>
      <c r="K2530" s="5" t="s">
        <v>14216</v>
      </c>
    </row>
    <row r="2531" customFormat="false" ht="46.25" hidden="false" customHeight="false" outlineLevel="0" collapsed="false">
      <c r="A2531" s="5" t="s">
        <v>14217</v>
      </c>
      <c r="B2531" s="2" t="s">
        <v>14218</v>
      </c>
      <c r="C2531" s="5" t="s">
        <v>2245</v>
      </c>
      <c r="D2531" s="5" t="s">
        <v>62</v>
      </c>
      <c r="E2531" s="5" t="n">
        <v>5</v>
      </c>
      <c r="F2531" s="5" t="s">
        <v>90</v>
      </c>
      <c r="G2531" s="2" t="s">
        <v>12057</v>
      </c>
      <c r="H2531" s="5" t="s">
        <v>8336</v>
      </c>
      <c r="I2531" s="5"/>
      <c r="J2531" s="5"/>
      <c r="K2531" s="5" t="s">
        <v>14219</v>
      </c>
    </row>
    <row r="2532" customFormat="false" ht="23.85" hidden="false" customHeight="false" outlineLevel="0" collapsed="false">
      <c r="A2532" s="5" t="s">
        <v>14220</v>
      </c>
      <c r="B2532" s="2" t="s">
        <v>14221</v>
      </c>
      <c r="C2532" s="5" t="s">
        <v>2128</v>
      </c>
      <c r="D2532" s="5" t="s">
        <v>62</v>
      </c>
      <c r="E2532" s="5" t="n">
        <v>5</v>
      </c>
      <c r="F2532" s="5" t="s">
        <v>67</v>
      </c>
      <c r="G2532" s="2" t="s">
        <v>367</v>
      </c>
      <c r="H2532" s="5" t="s">
        <v>8336</v>
      </c>
      <c r="I2532" s="5"/>
      <c r="J2532" s="5"/>
      <c r="K2532" s="5" t="s">
        <v>14222</v>
      </c>
    </row>
    <row r="2533" customFormat="false" ht="23.85" hidden="false" customHeight="false" outlineLevel="0" collapsed="false">
      <c r="A2533" s="5" t="s">
        <v>14223</v>
      </c>
      <c r="B2533" s="2" t="s">
        <v>14224</v>
      </c>
      <c r="C2533" s="5" t="s">
        <v>2128</v>
      </c>
      <c r="D2533" s="5" t="s">
        <v>62</v>
      </c>
      <c r="E2533" s="5" t="n">
        <v>5</v>
      </c>
      <c r="F2533" s="5" t="s">
        <v>67</v>
      </c>
      <c r="G2533" s="2" t="s">
        <v>367</v>
      </c>
      <c r="H2533" s="5" t="s">
        <v>8336</v>
      </c>
      <c r="I2533" s="5"/>
      <c r="J2533" s="5"/>
      <c r="K2533" s="5" t="s">
        <v>14225</v>
      </c>
    </row>
    <row r="2534" customFormat="false" ht="46.25" hidden="false" customHeight="false" outlineLevel="0" collapsed="false">
      <c r="A2534" s="5" t="s">
        <v>14226</v>
      </c>
      <c r="B2534" s="2" t="s">
        <v>14227</v>
      </c>
      <c r="C2534" s="5" t="s">
        <v>2245</v>
      </c>
      <c r="D2534" s="5" t="s">
        <v>62</v>
      </c>
      <c r="E2534" s="5" t="n">
        <v>5</v>
      </c>
      <c r="F2534" s="5" t="s">
        <v>67</v>
      </c>
      <c r="G2534" s="2" t="s">
        <v>12057</v>
      </c>
      <c r="H2534" s="5" t="s">
        <v>8336</v>
      </c>
      <c r="I2534" s="5"/>
      <c r="J2534" s="5"/>
      <c r="K2534" s="5" t="s">
        <v>14228</v>
      </c>
    </row>
    <row r="2535" customFormat="false" ht="46.25" hidden="false" customHeight="false" outlineLevel="0" collapsed="false">
      <c r="A2535" s="5" t="s">
        <v>14229</v>
      </c>
      <c r="B2535" s="2" t="s">
        <v>14230</v>
      </c>
      <c r="C2535" s="5" t="s">
        <v>2245</v>
      </c>
      <c r="D2535" s="5" t="s">
        <v>62</v>
      </c>
      <c r="E2535" s="5" t="n">
        <v>7</v>
      </c>
      <c r="F2535" s="5" t="s">
        <v>67</v>
      </c>
      <c r="G2535" s="2" t="s">
        <v>12057</v>
      </c>
      <c r="H2535" s="5" t="s">
        <v>8336</v>
      </c>
      <c r="I2535" s="5"/>
      <c r="J2535" s="5"/>
      <c r="K2535" s="5" t="s">
        <v>14231</v>
      </c>
    </row>
    <row r="2536" customFormat="false" ht="23.85" hidden="false" customHeight="false" outlineLevel="0" collapsed="false">
      <c r="A2536" s="5" t="s">
        <v>14232</v>
      </c>
      <c r="B2536" s="2" t="s">
        <v>14233</v>
      </c>
      <c r="C2536" s="5" t="s">
        <v>2128</v>
      </c>
      <c r="D2536" s="5" t="s">
        <v>62</v>
      </c>
      <c r="E2536" s="5" t="n">
        <v>5</v>
      </c>
      <c r="F2536" s="5" t="s">
        <v>67</v>
      </c>
      <c r="G2536" s="2" t="s">
        <v>367</v>
      </c>
      <c r="H2536" s="5" t="s">
        <v>8336</v>
      </c>
      <c r="I2536" s="5"/>
      <c r="J2536" s="5"/>
      <c r="K2536" s="5" t="s">
        <v>14234</v>
      </c>
    </row>
    <row r="2537" customFormat="false" ht="46.25" hidden="false" customHeight="false" outlineLevel="0" collapsed="false">
      <c r="A2537" s="5" t="s">
        <v>14235</v>
      </c>
      <c r="B2537" s="2" t="s">
        <v>14236</v>
      </c>
      <c r="C2537" s="5" t="s">
        <v>2245</v>
      </c>
      <c r="D2537" s="5" t="s">
        <v>62</v>
      </c>
      <c r="E2537" s="5" t="n">
        <v>5</v>
      </c>
      <c r="F2537" s="5" t="s">
        <v>67</v>
      </c>
      <c r="G2537" s="2" t="s">
        <v>12057</v>
      </c>
      <c r="H2537" s="5" t="s">
        <v>8336</v>
      </c>
      <c r="I2537" s="5"/>
      <c r="J2537" s="5"/>
      <c r="K2537" s="5" t="s">
        <v>14237</v>
      </c>
    </row>
    <row r="2538" customFormat="false" ht="46.25" hidden="false" customHeight="false" outlineLevel="0" collapsed="false">
      <c r="A2538" s="5" t="s">
        <v>14238</v>
      </c>
      <c r="B2538" s="2" t="s">
        <v>14239</v>
      </c>
      <c r="C2538" s="5" t="s">
        <v>2245</v>
      </c>
      <c r="D2538" s="5" t="s">
        <v>62</v>
      </c>
      <c r="E2538" s="5" t="n">
        <v>5</v>
      </c>
      <c r="F2538" s="5" t="s">
        <v>67</v>
      </c>
      <c r="G2538" s="2" t="s">
        <v>12057</v>
      </c>
      <c r="H2538" s="5" t="s">
        <v>8336</v>
      </c>
      <c r="I2538" s="5"/>
      <c r="J2538" s="5"/>
      <c r="K2538" s="5" t="s">
        <v>14240</v>
      </c>
    </row>
    <row r="2539" customFormat="false" ht="23.85" hidden="false" customHeight="false" outlineLevel="0" collapsed="false">
      <c r="A2539" s="5" t="s">
        <v>14241</v>
      </c>
      <c r="B2539" s="2" t="s">
        <v>14242</v>
      </c>
      <c r="C2539" s="5" t="s">
        <v>2128</v>
      </c>
      <c r="D2539" s="5" t="s">
        <v>62</v>
      </c>
      <c r="E2539" s="5" t="n">
        <v>7</v>
      </c>
      <c r="F2539" s="5" t="s">
        <v>67</v>
      </c>
      <c r="G2539" s="2" t="s">
        <v>367</v>
      </c>
      <c r="H2539" s="5" t="s">
        <v>8336</v>
      </c>
      <c r="I2539" s="5"/>
      <c r="J2539" s="5"/>
      <c r="K2539" s="5" t="s">
        <v>14243</v>
      </c>
    </row>
    <row r="2540" customFormat="false" ht="23.85" hidden="false" customHeight="false" outlineLevel="0" collapsed="false">
      <c r="A2540" s="5" t="s">
        <v>14244</v>
      </c>
      <c r="B2540" s="2" t="s">
        <v>14245</v>
      </c>
      <c r="C2540" s="5" t="s">
        <v>2128</v>
      </c>
      <c r="D2540" s="5" t="s">
        <v>62</v>
      </c>
      <c r="E2540" s="5" t="n">
        <v>5</v>
      </c>
      <c r="F2540" s="5" t="s">
        <v>90</v>
      </c>
      <c r="G2540" s="2" t="s">
        <v>367</v>
      </c>
      <c r="H2540" s="5" t="s">
        <v>8336</v>
      </c>
      <c r="I2540" s="5"/>
      <c r="J2540" s="5"/>
      <c r="K2540" s="5" t="s">
        <v>14246</v>
      </c>
    </row>
    <row r="2541" customFormat="false" ht="23.85" hidden="false" customHeight="false" outlineLevel="0" collapsed="false">
      <c r="A2541" s="5" t="s">
        <v>14247</v>
      </c>
      <c r="B2541" s="2" t="s">
        <v>14248</v>
      </c>
      <c r="C2541" s="5" t="s">
        <v>2128</v>
      </c>
      <c r="D2541" s="5" t="s">
        <v>62</v>
      </c>
      <c r="E2541" s="5" t="n">
        <v>5</v>
      </c>
      <c r="F2541" s="5" t="s">
        <v>67</v>
      </c>
      <c r="G2541" s="2" t="s">
        <v>367</v>
      </c>
      <c r="H2541" s="5" t="s">
        <v>8336</v>
      </c>
      <c r="I2541" s="5"/>
      <c r="J2541" s="5"/>
      <c r="K2541" s="5" t="s">
        <v>14249</v>
      </c>
    </row>
    <row r="2542" customFormat="false" ht="15" hidden="false" customHeight="false" outlineLevel="0" collapsed="false">
      <c r="A2542" s="5" t="s">
        <v>14250</v>
      </c>
      <c r="B2542" s="2" t="s">
        <v>14251</v>
      </c>
      <c r="C2542" s="5" t="s">
        <v>2128</v>
      </c>
      <c r="D2542" s="5" t="s">
        <v>62</v>
      </c>
      <c r="E2542" s="5" t="n">
        <v>7</v>
      </c>
      <c r="F2542" s="5" t="s">
        <v>67</v>
      </c>
      <c r="G2542" s="2" t="s">
        <v>367</v>
      </c>
      <c r="H2542" s="5" t="s">
        <v>8336</v>
      </c>
      <c r="I2542" s="5"/>
      <c r="J2542" s="5"/>
      <c r="K2542" s="5" t="s">
        <v>14252</v>
      </c>
    </row>
    <row r="2543" customFormat="false" ht="23.85" hidden="false" customHeight="false" outlineLevel="0" collapsed="false">
      <c r="A2543" s="5" t="s">
        <v>14253</v>
      </c>
      <c r="B2543" s="2" t="s">
        <v>14254</v>
      </c>
      <c r="C2543" s="5" t="s">
        <v>2128</v>
      </c>
      <c r="D2543" s="5" t="s">
        <v>62</v>
      </c>
      <c r="E2543" s="5" t="n">
        <v>5</v>
      </c>
      <c r="F2543" s="5" t="s">
        <v>67</v>
      </c>
      <c r="G2543" s="2" t="s">
        <v>367</v>
      </c>
      <c r="H2543" s="5" t="s">
        <v>8336</v>
      </c>
      <c r="I2543" s="5"/>
      <c r="J2543" s="5"/>
      <c r="K2543" s="5" t="s">
        <v>14255</v>
      </c>
    </row>
    <row r="2544" customFormat="false" ht="15" hidden="false" customHeight="false" outlineLevel="0" collapsed="false">
      <c r="A2544" s="5" t="s">
        <v>14256</v>
      </c>
      <c r="B2544" s="2" t="s">
        <v>14257</v>
      </c>
      <c r="C2544" s="5" t="s">
        <v>2128</v>
      </c>
      <c r="D2544" s="5" t="s">
        <v>62</v>
      </c>
      <c r="E2544" s="5" t="n">
        <v>5</v>
      </c>
      <c r="F2544" s="5" t="s">
        <v>67</v>
      </c>
      <c r="G2544" s="2" t="s">
        <v>367</v>
      </c>
      <c r="H2544" s="5" t="s">
        <v>8336</v>
      </c>
      <c r="I2544" s="5"/>
      <c r="J2544" s="5"/>
      <c r="K2544" s="5" t="s">
        <v>14258</v>
      </c>
    </row>
    <row r="2545" customFormat="false" ht="15" hidden="false" customHeight="false" outlineLevel="0" collapsed="false">
      <c r="A2545" s="5" t="s">
        <v>14259</v>
      </c>
      <c r="B2545" s="2" t="s">
        <v>14260</v>
      </c>
      <c r="C2545" s="5" t="s">
        <v>2128</v>
      </c>
      <c r="D2545" s="5" t="s">
        <v>62</v>
      </c>
      <c r="E2545" s="5" t="n">
        <v>7</v>
      </c>
      <c r="F2545" s="5" t="s">
        <v>67</v>
      </c>
      <c r="G2545" s="2" t="s">
        <v>367</v>
      </c>
      <c r="H2545" s="5" t="s">
        <v>8336</v>
      </c>
      <c r="I2545" s="5"/>
      <c r="J2545" s="5"/>
      <c r="K2545" s="5" t="s">
        <v>14261</v>
      </c>
    </row>
    <row r="2546" customFormat="false" ht="15" hidden="false" customHeight="false" outlineLevel="0" collapsed="false">
      <c r="A2546" s="5" t="s">
        <v>14262</v>
      </c>
      <c r="B2546" s="2" t="s">
        <v>14263</v>
      </c>
      <c r="C2546" s="5" t="s">
        <v>2128</v>
      </c>
      <c r="D2546" s="5" t="s">
        <v>62</v>
      </c>
      <c r="E2546" s="5" t="n">
        <v>5</v>
      </c>
      <c r="F2546" s="5" t="s">
        <v>90</v>
      </c>
      <c r="G2546" s="2" t="s">
        <v>367</v>
      </c>
      <c r="H2546" s="5" t="s">
        <v>8336</v>
      </c>
      <c r="I2546" s="5"/>
      <c r="J2546" s="5"/>
      <c r="K2546" s="5" t="s">
        <v>14264</v>
      </c>
    </row>
    <row r="2547" customFormat="false" ht="23.85" hidden="false" customHeight="false" outlineLevel="0" collapsed="false">
      <c r="A2547" s="5" t="s">
        <v>14265</v>
      </c>
      <c r="B2547" s="2" t="s">
        <v>14266</v>
      </c>
      <c r="C2547" s="5" t="s">
        <v>2128</v>
      </c>
      <c r="D2547" s="5" t="s">
        <v>62</v>
      </c>
      <c r="E2547" s="5" t="n">
        <v>5</v>
      </c>
      <c r="F2547" s="5" t="s">
        <v>1814</v>
      </c>
      <c r="G2547" s="2" t="s">
        <v>367</v>
      </c>
      <c r="H2547" s="5" t="s">
        <v>8336</v>
      </c>
      <c r="I2547" s="5"/>
      <c r="J2547" s="5"/>
      <c r="K2547" s="5" t="s">
        <v>14267</v>
      </c>
    </row>
    <row r="2548" customFormat="false" ht="46.25" hidden="false" customHeight="false" outlineLevel="0" collapsed="false">
      <c r="A2548" s="5" t="s">
        <v>14268</v>
      </c>
      <c r="B2548" s="2" t="s">
        <v>14269</v>
      </c>
      <c r="C2548" s="5" t="s">
        <v>2245</v>
      </c>
      <c r="D2548" s="5" t="s">
        <v>62</v>
      </c>
      <c r="E2548" s="5" t="n">
        <v>5</v>
      </c>
      <c r="F2548" s="5" t="s">
        <v>413</v>
      </c>
      <c r="G2548" s="2" t="s">
        <v>12057</v>
      </c>
      <c r="H2548" s="5" t="s">
        <v>8336</v>
      </c>
      <c r="I2548" s="5"/>
      <c r="J2548" s="5"/>
      <c r="K2548" s="5" t="s">
        <v>14270</v>
      </c>
    </row>
    <row r="2549" customFormat="false" ht="46.25" hidden="false" customHeight="false" outlineLevel="0" collapsed="false">
      <c r="A2549" s="5" t="s">
        <v>14271</v>
      </c>
      <c r="B2549" s="2" t="s">
        <v>14272</v>
      </c>
      <c r="C2549" s="5" t="s">
        <v>2245</v>
      </c>
      <c r="D2549" s="5" t="s">
        <v>62</v>
      </c>
      <c r="E2549" s="5" t="n">
        <v>7</v>
      </c>
      <c r="F2549" s="5" t="s">
        <v>67</v>
      </c>
      <c r="G2549" s="2" t="s">
        <v>12057</v>
      </c>
      <c r="H2549" s="5" t="s">
        <v>8336</v>
      </c>
      <c r="I2549" s="5"/>
      <c r="J2549" s="5"/>
      <c r="K2549" s="5" t="s">
        <v>14273</v>
      </c>
    </row>
    <row r="2550" customFormat="false" ht="46.25" hidden="false" customHeight="false" outlineLevel="0" collapsed="false">
      <c r="A2550" s="5" t="s">
        <v>14274</v>
      </c>
      <c r="B2550" s="2" t="s">
        <v>14275</v>
      </c>
      <c r="C2550" s="5" t="s">
        <v>2245</v>
      </c>
      <c r="D2550" s="5" t="s">
        <v>62</v>
      </c>
      <c r="E2550" s="5" t="n">
        <v>7</v>
      </c>
      <c r="F2550" s="5" t="s">
        <v>67</v>
      </c>
      <c r="G2550" s="2" t="s">
        <v>12057</v>
      </c>
      <c r="H2550" s="5" t="s">
        <v>8336</v>
      </c>
      <c r="I2550" s="5"/>
      <c r="J2550" s="5"/>
      <c r="K2550" s="5" t="s">
        <v>14276</v>
      </c>
    </row>
    <row r="2551" customFormat="false" ht="23.85" hidden="false" customHeight="false" outlineLevel="0" collapsed="false">
      <c r="A2551" s="5" t="s">
        <v>14277</v>
      </c>
      <c r="B2551" s="2" t="s">
        <v>14278</v>
      </c>
      <c r="C2551" s="5" t="s">
        <v>2128</v>
      </c>
      <c r="D2551" s="5" t="s">
        <v>62</v>
      </c>
      <c r="E2551" s="5" t="n">
        <v>3</v>
      </c>
      <c r="F2551" s="5" t="s">
        <v>413</v>
      </c>
      <c r="G2551" s="2" t="s">
        <v>367</v>
      </c>
      <c r="H2551" s="5" t="s">
        <v>8336</v>
      </c>
      <c r="I2551" s="5"/>
      <c r="J2551" s="5"/>
      <c r="K2551" s="5" t="s">
        <v>14279</v>
      </c>
    </row>
    <row r="2552" customFormat="false" ht="46.25" hidden="false" customHeight="false" outlineLevel="0" collapsed="false">
      <c r="A2552" s="5" t="s">
        <v>14280</v>
      </c>
      <c r="B2552" s="2" t="s">
        <v>14281</v>
      </c>
      <c r="C2552" s="5" t="s">
        <v>2245</v>
      </c>
      <c r="D2552" s="5" t="s">
        <v>62</v>
      </c>
      <c r="E2552" s="5" t="n">
        <v>7</v>
      </c>
      <c r="F2552" s="5" t="s">
        <v>90</v>
      </c>
      <c r="G2552" s="2" t="s">
        <v>12057</v>
      </c>
      <c r="H2552" s="5" t="s">
        <v>8336</v>
      </c>
      <c r="I2552" s="5"/>
      <c r="J2552" s="5"/>
      <c r="K2552" s="5" t="s">
        <v>14282</v>
      </c>
    </row>
    <row r="2553" customFormat="false" ht="46.25" hidden="false" customHeight="false" outlineLevel="0" collapsed="false">
      <c r="A2553" s="5" t="s">
        <v>6307</v>
      </c>
      <c r="B2553" s="2" t="s">
        <v>6308</v>
      </c>
      <c r="C2553" s="5" t="s">
        <v>2245</v>
      </c>
      <c r="D2553" s="5" t="s">
        <v>62</v>
      </c>
      <c r="E2553" s="5" t="n">
        <v>7</v>
      </c>
      <c r="F2553" s="5" t="s">
        <v>2079</v>
      </c>
      <c r="G2553" s="2" t="s">
        <v>12057</v>
      </c>
      <c r="H2553" s="5" t="s">
        <v>8332</v>
      </c>
      <c r="I2553" s="5" t="s">
        <v>4760</v>
      </c>
      <c r="J2553" s="5" t="s">
        <v>2079</v>
      </c>
      <c r="K2553" s="5" t="s">
        <v>6311</v>
      </c>
    </row>
    <row r="2554" customFormat="false" ht="15" hidden="false" customHeight="false" outlineLevel="0" collapsed="false">
      <c r="A2554" s="5" t="s">
        <v>14283</v>
      </c>
      <c r="B2554" s="2" t="s">
        <v>14284</v>
      </c>
      <c r="C2554" s="5" t="s">
        <v>2128</v>
      </c>
      <c r="D2554" s="5" t="s">
        <v>62</v>
      </c>
      <c r="E2554" s="5" t="n">
        <v>3</v>
      </c>
      <c r="F2554" s="5" t="s">
        <v>284</v>
      </c>
      <c r="G2554" s="2" t="s">
        <v>367</v>
      </c>
      <c r="H2554" s="5" t="s">
        <v>8336</v>
      </c>
      <c r="I2554" s="5"/>
      <c r="J2554" s="5"/>
      <c r="K2554" s="5" t="s">
        <v>14285</v>
      </c>
    </row>
    <row r="2555" customFormat="false" ht="23.85" hidden="false" customHeight="false" outlineLevel="0" collapsed="false">
      <c r="A2555" s="5" t="s">
        <v>14286</v>
      </c>
      <c r="B2555" s="2" t="s">
        <v>14287</v>
      </c>
      <c r="C2555" s="5" t="s">
        <v>2128</v>
      </c>
      <c r="D2555" s="5" t="s">
        <v>62</v>
      </c>
      <c r="E2555" s="5" t="n">
        <v>5</v>
      </c>
      <c r="F2555" s="5" t="s">
        <v>90</v>
      </c>
      <c r="G2555" s="2" t="s">
        <v>367</v>
      </c>
      <c r="H2555" s="5" t="s">
        <v>8336</v>
      </c>
      <c r="I2555" s="5"/>
      <c r="J2555" s="5"/>
      <c r="K2555" s="5" t="s">
        <v>14288</v>
      </c>
    </row>
    <row r="2556" customFormat="false" ht="46.25" hidden="false" customHeight="false" outlineLevel="0" collapsed="false">
      <c r="A2556" s="5" t="s">
        <v>14289</v>
      </c>
      <c r="B2556" s="2" t="s">
        <v>14290</v>
      </c>
      <c r="C2556" s="5" t="s">
        <v>2245</v>
      </c>
      <c r="D2556" s="5" t="s">
        <v>62</v>
      </c>
      <c r="E2556" s="5" t="n">
        <v>5</v>
      </c>
      <c r="F2556" s="5" t="s">
        <v>90</v>
      </c>
      <c r="G2556" s="2" t="s">
        <v>12057</v>
      </c>
      <c r="H2556" s="5" t="s">
        <v>8336</v>
      </c>
      <c r="I2556" s="5"/>
      <c r="J2556" s="5"/>
      <c r="K2556" s="5" t="s">
        <v>14291</v>
      </c>
    </row>
    <row r="2557" customFormat="false" ht="46.25" hidden="false" customHeight="false" outlineLevel="0" collapsed="false">
      <c r="A2557" s="5" t="s">
        <v>14292</v>
      </c>
      <c r="B2557" s="2" t="s">
        <v>14293</v>
      </c>
      <c r="C2557" s="5" t="s">
        <v>2245</v>
      </c>
      <c r="D2557" s="5" t="s">
        <v>62</v>
      </c>
      <c r="E2557" s="5" t="n">
        <v>7</v>
      </c>
      <c r="F2557" s="5" t="s">
        <v>67</v>
      </c>
      <c r="G2557" s="2" t="s">
        <v>12057</v>
      </c>
      <c r="H2557" s="5" t="s">
        <v>8336</v>
      </c>
      <c r="I2557" s="5"/>
      <c r="J2557" s="5"/>
      <c r="K2557" s="5" t="s">
        <v>14294</v>
      </c>
    </row>
    <row r="2558" customFormat="false" ht="23.85" hidden="false" customHeight="false" outlineLevel="0" collapsed="false">
      <c r="A2558" s="5" t="s">
        <v>14295</v>
      </c>
      <c r="B2558" s="2" t="s">
        <v>14296</v>
      </c>
      <c r="C2558" s="5" t="s">
        <v>2128</v>
      </c>
      <c r="D2558" s="5" t="s">
        <v>62</v>
      </c>
      <c r="E2558" s="5" t="n">
        <v>7</v>
      </c>
      <c r="F2558" s="5" t="s">
        <v>536</v>
      </c>
      <c r="G2558" s="2" t="s">
        <v>367</v>
      </c>
      <c r="H2558" s="5" t="s">
        <v>8336</v>
      </c>
      <c r="I2558" s="5"/>
      <c r="J2558" s="5"/>
      <c r="K2558" s="5" t="s">
        <v>14297</v>
      </c>
    </row>
    <row r="2559" customFormat="false" ht="15" hidden="false" customHeight="false" outlineLevel="0" collapsed="false">
      <c r="A2559" s="5" t="s">
        <v>14298</v>
      </c>
      <c r="B2559" s="2" t="s">
        <v>14299</v>
      </c>
      <c r="C2559" s="5" t="s">
        <v>2128</v>
      </c>
      <c r="D2559" s="5" t="s">
        <v>62</v>
      </c>
      <c r="E2559" s="5" t="n">
        <v>5</v>
      </c>
      <c r="F2559" s="5" t="s">
        <v>67</v>
      </c>
      <c r="G2559" s="2" t="s">
        <v>367</v>
      </c>
      <c r="H2559" s="5" t="s">
        <v>8336</v>
      </c>
      <c r="I2559" s="5"/>
      <c r="J2559" s="5"/>
      <c r="K2559" s="5" t="s">
        <v>14300</v>
      </c>
    </row>
    <row r="2560" customFormat="false" ht="46.25" hidden="false" customHeight="false" outlineLevel="0" collapsed="false">
      <c r="A2560" s="5" t="s">
        <v>14301</v>
      </c>
      <c r="B2560" s="2" t="s">
        <v>14302</v>
      </c>
      <c r="C2560" s="5" t="s">
        <v>2245</v>
      </c>
      <c r="D2560" s="5" t="s">
        <v>62</v>
      </c>
      <c r="E2560" s="5" t="n">
        <v>5</v>
      </c>
      <c r="F2560" s="5" t="s">
        <v>67</v>
      </c>
      <c r="G2560" s="2" t="s">
        <v>12057</v>
      </c>
      <c r="H2560" s="5" t="s">
        <v>8336</v>
      </c>
      <c r="I2560" s="5"/>
      <c r="J2560" s="5"/>
      <c r="K2560" s="5" t="s">
        <v>14303</v>
      </c>
    </row>
    <row r="2561" customFormat="false" ht="46.25" hidden="false" customHeight="false" outlineLevel="0" collapsed="false">
      <c r="A2561" s="5" t="s">
        <v>14304</v>
      </c>
      <c r="B2561" s="2" t="s">
        <v>14305</v>
      </c>
      <c r="C2561" s="5" t="s">
        <v>2245</v>
      </c>
      <c r="D2561" s="5" t="s">
        <v>62</v>
      </c>
      <c r="E2561" s="5" t="n">
        <v>5</v>
      </c>
      <c r="F2561" s="5" t="s">
        <v>67</v>
      </c>
      <c r="G2561" s="2" t="s">
        <v>12057</v>
      </c>
      <c r="H2561" s="5" t="s">
        <v>8336</v>
      </c>
      <c r="I2561" s="5"/>
      <c r="J2561" s="5"/>
      <c r="K2561" s="5" t="s">
        <v>14306</v>
      </c>
    </row>
    <row r="2562" customFormat="false" ht="23.85" hidden="false" customHeight="false" outlineLevel="0" collapsed="false">
      <c r="A2562" s="5" t="s">
        <v>14307</v>
      </c>
      <c r="B2562" s="2" t="s">
        <v>14308</v>
      </c>
      <c r="C2562" s="5" t="s">
        <v>2128</v>
      </c>
      <c r="D2562" s="5" t="s">
        <v>490</v>
      </c>
      <c r="E2562" s="5" t="n">
        <v>5</v>
      </c>
      <c r="F2562" s="5" t="s">
        <v>67</v>
      </c>
      <c r="G2562" s="2" t="s">
        <v>367</v>
      </c>
      <c r="H2562" s="5" t="s">
        <v>8336</v>
      </c>
      <c r="I2562" s="5"/>
      <c r="J2562" s="5"/>
      <c r="K2562" s="5" t="s">
        <v>14309</v>
      </c>
    </row>
    <row r="2563" customFormat="false" ht="23.85" hidden="false" customHeight="false" outlineLevel="0" collapsed="false">
      <c r="A2563" s="5" t="s">
        <v>14310</v>
      </c>
      <c r="B2563" s="2" t="s">
        <v>14311</v>
      </c>
      <c r="C2563" s="5" t="s">
        <v>2128</v>
      </c>
      <c r="D2563" s="5" t="s">
        <v>490</v>
      </c>
      <c r="E2563" s="5" t="n">
        <v>5</v>
      </c>
      <c r="F2563" s="5" t="s">
        <v>67</v>
      </c>
      <c r="G2563" s="2" t="s">
        <v>367</v>
      </c>
      <c r="H2563" s="5" t="s">
        <v>8336</v>
      </c>
      <c r="I2563" s="5"/>
      <c r="J2563" s="5"/>
      <c r="K2563" s="5" t="s">
        <v>14312</v>
      </c>
    </row>
    <row r="2564" customFormat="false" ht="46.25" hidden="false" customHeight="false" outlineLevel="0" collapsed="false">
      <c r="A2564" s="5" t="s">
        <v>14313</v>
      </c>
      <c r="B2564" s="2" t="s">
        <v>14314</v>
      </c>
      <c r="C2564" s="5" t="s">
        <v>2245</v>
      </c>
      <c r="D2564" s="5" t="s">
        <v>62</v>
      </c>
      <c r="E2564" s="5" t="n">
        <v>5</v>
      </c>
      <c r="F2564" s="5" t="s">
        <v>90</v>
      </c>
      <c r="G2564" s="2" t="s">
        <v>12054</v>
      </c>
      <c r="H2564" s="5" t="s">
        <v>8336</v>
      </c>
      <c r="I2564" s="5"/>
      <c r="J2564" s="5"/>
      <c r="K2564" s="5" t="s">
        <v>14315</v>
      </c>
    </row>
    <row r="2565" customFormat="false" ht="23.85" hidden="false" customHeight="false" outlineLevel="0" collapsed="false">
      <c r="A2565" s="5" t="s">
        <v>14316</v>
      </c>
      <c r="B2565" s="2" t="s">
        <v>14317</v>
      </c>
      <c r="C2565" s="5" t="s">
        <v>2128</v>
      </c>
      <c r="D2565" s="5" t="s">
        <v>62</v>
      </c>
      <c r="E2565" s="5" t="n">
        <v>5</v>
      </c>
      <c r="F2565" s="5" t="s">
        <v>67</v>
      </c>
      <c r="G2565" s="2" t="s">
        <v>367</v>
      </c>
      <c r="H2565" s="5" t="s">
        <v>8336</v>
      </c>
      <c r="I2565" s="5"/>
      <c r="J2565" s="5"/>
      <c r="K2565" s="5" t="s">
        <v>14318</v>
      </c>
    </row>
    <row r="2566" customFormat="false" ht="46.25" hidden="false" customHeight="false" outlineLevel="0" collapsed="false">
      <c r="A2566" s="5" t="s">
        <v>14319</v>
      </c>
      <c r="B2566" s="2" t="s">
        <v>14320</v>
      </c>
      <c r="C2566" s="5" t="s">
        <v>2245</v>
      </c>
      <c r="D2566" s="5" t="s">
        <v>62</v>
      </c>
      <c r="E2566" s="5" t="n">
        <v>7</v>
      </c>
      <c r="F2566" s="5" t="s">
        <v>90</v>
      </c>
      <c r="G2566" s="2" t="s">
        <v>12054</v>
      </c>
      <c r="H2566" s="5" t="s">
        <v>8336</v>
      </c>
      <c r="I2566" s="5"/>
      <c r="J2566" s="5"/>
      <c r="K2566" s="5" t="s">
        <v>14321</v>
      </c>
    </row>
    <row r="2567" customFormat="false" ht="15" hidden="false" customHeight="false" outlineLevel="0" collapsed="false">
      <c r="A2567" s="5" t="s">
        <v>14322</v>
      </c>
      <c r="B2567" s="2" t="s">
        <v>14323</v>
      </c>
      <c r="C2567" s="5" t="s">
        <v>2128</v>
      </c>
      <c r="D2567" s="5" t="s">
        <v>62</v>
      </c>
      <c r="E2567" s="5" t="n">
        <v>7</v>
      </c>
      <c r="F2567" s="5" t="s">
        <v>67</v>
      </c>
      <c r="G2567" s="2" t="s">
        <v>367</v>
      </c>
      <c r="H2567" s="5" t="s">
        <v>8336</v>
      </c>
      <c r="I2567" s="5"/>
      <c r="J2567" s="5"/>
      <c r="K2567" s="5" t="s">
        <v>14324</v>
      </c>
    </row>
    <row r="2568" customFormat="false" ht="46.25" hidden="false" customHeight="false" outlineLevel="0" collapsed="false">
      <c r="A2568" s="5" t="s">
        <v>14325</v>
      </c>
      <c r="B2568" s="2" t="s">
        <v>14326</v>
      </c>
      <c r="C2568" s="5" t="s">
        <v>2245</v>
      </c>
      <c r="D2568" s="5" t="s">
        <v>490</v>
      </c>
      <c r="E2568" s="5" t="n">
        <v>7</v>
      </c>
      <c r="F2568" s="5" t="s">
        <v>67</v>
      </c>
      <c r="G2568" s="2" t="s">
        <v>12057</v>
      </c>
      <c r="H2568" s="5" t="s">
        <v>8336</v>
      </c>
      <c r="I2568" s="5"/>
      <c r="J2568" s="5"/>
      <c r="K2568" s="5" t="s">
        <v>14327</v>
      </c>
    </row>
    <row r="2569" customFormat="false" ht="46.25" hidden="false" customHeight="false" outlineLevel="0" collapsed="false">
      <c r="A2569" s="5" t="s">
        <v>4023</v>
      </c>
      <c r="B2569" s="2" t="s">
        <v>4024</v>
      </c>
      <c r="C2569" s="5" t="s">
        <v>2245</v>
      </c>
      <c r="D2569" s="5" t="s">
        <v>490</v>
      </c>
      <c r="E2569" s="5" t="n">
        <v>7</v>
      </c>
      <c r="F2569" s="5" t="s">
        <v>90</v>
      </c>
      <c r="G2569" s="2" t="s">
        <v>12894</v>
      </c>
      <c r="H2569" s="5" t="s">
        <v>8332</v>
      </c>
      <c r="I2569" s="5" t="s">
        <v>60</v>
      </c>
      <c r="J2569" s="5" t="s">
        <v>4025</v>
      </c>
      <c r="K2569" s="5" t="s">
        <v>4032</v>
      </c>
    </row>
    <row r="2570" customFormat="false" ht="46.25" hidden="false" customHeight="false" outlineLevel="0" collapsed="false">
      <c r="A2570" s="5" t="s">
        <v>14328</v>
      </c>
      <c r="B2570" s="2" t="s">
        <v>14329</v>
      </c>
      <c r="C2570" s="5" t="s">
        <v>2245</v>
      </c>
      <c r="D2570" s="5" t="s">
        <v>62</v>
      </c>
      <c r="E2570" s="5" t="n">
        <v>5</v>
      </c>
      <c r="F2570" s="5" t="s">
        <v>1210</v>
      </c>
      <c r="G2570" s="2" t="s">
        <v>12054</v>
      </c>
      <c r="H2570" s="5" t="s">
        <v>8336</v>
      </c>
      <c r="I2570" s="5"/>
      <c r="J2570" s="5"/>
      <c r="K2570" s="5" t="s">
        <v>14330</v>
      </c>
    </row>
    <row r="2571" customFormat="false" ht="46.25" hidden="false" customHeight="false" outlineLevel="0" collapsed="false">
      <c r="A2571" s="5" t="s">
        <v>6312</v>
      </c>
      <c r="B2571" s="2" t="s">
        <v>6313</v>
      </c>
      <c r="C2571" s="5" t="s">
        <v>2245</v>
      </c>
      <c r="D2571" s="5" t="s">
        <v>490</v>
      </c>
      <c r="E2571" s="5" t="n">
        <v>5</v>
      </c>
      <c r="F2571" s="5" t="s">
        <v>2079</v>
      </c>
      <c r="G2571" s="2" t="s">
        <v>12057</v>
      </c>
      <c r="H2571" s="5" t="s">
        <v>8332</v>
      </c>
      <c r="I2571" s="5" t="s">
        <v>4760</v>
      </c>
      <c r="J2571" s="5" t="s">
        <v>2079</v>
      </c>
      <c r="K2571" s="5" t="s">
        <v>6316</v>
      </c>
    </row>
    <row r="2572" customFormat="false" ht="15" hidden="false" customHeight="false" outlineLevel="0" collapsed="false">
      <c r="A2572" s="5" t="s">
        <v>14331</v>
      </c>
      <c r="B2572" s="2" t="s">
        <v>14332</v>
      </c>
      <c r="C2572" s="5" t="s">
        <v>2128</v>
      </c>
      <c r="D2572" s="5" t="s">
        <v>62</v>
      </c>
      <c r="E2572" s="5" t="n">
        <v>7</v>
      </c>
      <c r="F2572" s="5" t="s">
        <v>67</v>
      </c>
      <c r="G2572" s="2" t="s">
        <v>367</v>
      </c>
      <c r="H2572" s="5" t="s">
        <v>8336</v>
      </c>
      <c r="I2572" s="5"/>
      <c r="J2572" s="5"/>
      <c r="K2572" s="5" t="s">
        <v>14333</v>
      </c>
    </row>
    <row r="2573" customFormat="false" ht="15" hidden="false" customHeight="false" outlineLevel="0" collapsed="false">
      <c r="A2573" s="5" t="s">
        <v>14334</v>
      </c>
      <c r="B2573" s="2" t="s">
        <v>14335</v>
      </c>
      <c r="C2573" s="5" t="s">
        <v>2128</v>
      </c>
      <c r="D2573" s="5" t="s">
        <v>62</v>
      </c>
      <c r="E2573" s="5" t="n">
        <v>5</v>
      </c>
      <c r="F2573" s="5" t="s">
        <v>67</v>
      </c>
      <c r="G2573" s="2" t="s">
        <v>367</v>
      </c>
      <c r="H2573" s="5" t="s">
        <v>8336</v>
      </c>
      <c r="I2573" s="5"/>
      <c r="J2573" s="5"/>
      <c r="K2573" s="5" t="s">
        <v>14336</v>
      </c>
    </row>
    <row r="2574" customFormat="false" ht="23.85" hidden="false" customHeight="false" outlineLevel="0" collapsed="false">
      <c r="A2574" s="5" t="s">
        <v>1662</v>
      </c>
      <c r="B2574" s="2" t="s">
        <v>1663</v>
      </c>
      <c r="C2574" s="5" t="s">
        <v>488</v>
      </c>
      <c r="D2574" s="5" t="s">
        <v>62</v>
      </c>
      <c r="E2574" s="5" t="n">
        <v>7</v>
      </c>
      <c r="F2574" s="5" t="s">
        <v>100</v>
      </c>
      <c r="G2574" s="2" t="s">
        <v>367</v>
      </c>
      <c r="H2574" s="5" t="s">
        <v>8332</v>
      </c>
      <c r="I2574" s="5" t="s">
        <v>60</v>
      </c>
      <c r="J2574" s="5" t="s">
        <v>1384</v>
      </c>
      <c r="K2574" s="5" t="s">
        <v>1666</v>
      </c>
    </row>
    <row r="2575" customFormat="false" ht="23.85" hidden="false" customHeight="false" outlineLevel="0" collapsed="false">
      <c r="A2575" s="5" t="s">
        <v>14337</v>
      </c>
      <c r="B2575" s="2" t="s">
        <v>14338</v>
      </c>
      <c r="C2575" s="5" t="s">
        <v>2128</v>
      </c>
      <c r="D2575" s="5" t="s">
        <v>62</v>
      </c>
      <c r="E2575" s="5" t="n">
        <v>5</v>
      </c>
      <c r="F2575" s="5" t="s">
        <v>90</v>
      </c>
      <c r="G2575" s="2" t="s">
        <v>12182</v>
      </c>
      <c r="H2575" s="5" t="s">
        <v>8336</v>
      </c>
      <c r="I2575" s="5"/>
      <c r="J2575" s="5"/>
      <c r="K2575" s="5" t="s">
        <v>14339</v>
      </c>
    </row>
    <row r="2576" customFormat="false" ht="23.85" hidden="false" customHeight="false" outlineLevel="0" collapsed="false">
      <c r="A2576" s="5" t="s">
        <v>14340</v>
      </c>
      <c r="B2576" s="2" t="s">
        <v>14341</v>
      </c>
      <c r="C2576" s="5" t="s">
        <v>2128</v>
      </c>
      <c r="D2576" s="5" t="s">
        <v>62</v>
      </c>
      <c r="E2576" s="5" t="n">
        <v>7</v>
      </c>
      <c r="F2576" s="5" t="s">
        <v>90</v>
      </c>
      <c r="G2576" s="2" t="s">
        <v>367</v>
      </c>
      <c r="H2576" s="5" t="s">
        <v>8336</v>
      </c>
      <c r="I2576" s="5"/>
      <c r="J2576" s="5"/>
      <c r="K2576" s="5" t="s">
        <v>14342</v>
      </c>
    </row>
    <row r="2577" customFormat="false" ht="46.25" hidden="false" customHeight="false" outlineLevel="0" collapsed="false">
      <c r="A2577" s="5" t="s">
        <v>14343</v>
      </c>
      <c r="B2577" s="2" t="s">
        <v>14344</v>
      </c>
      <c r="C2577" s="5" t="s">
        <v>2245</v>
      </c>
      <c r="D2577" s="5" t="s">
        <v>62</v>
      </c>
      <c r="E2577" s="5" t="n">
        <v>5</v>
      </c>
      <c r="F2577" s="5" t="s">
        <v>90</v>
      </c>
      <c r="G2577" s="2" t="s">
        <v>12057</v>
      </c>
      <c r="H2577" s="5" t="s">
        <v>8336</v>
      </c>
      <c r="I2577" s="5"/>
      <c r="J2577" s="5"/>
      <c r="K2577" s="5" t="s">
        <v>14345</v>
      </c>
    </row>
    <row r="2578" customFormat="false" ht="15" hidden="false" customHeight="false" outlineLevel="0" collapsed="false">
      <c r="A2578" s="5" t="s">
        <v>14346</v>
      </c>
      <c r="B2578" s="2" t="s">
        <v>14347</v>
      </c>
      <c r="C2578" s="5" t="s">
        <v>2128</v>
      </c>
      <c r="D2578" s="5" t="s">
        <v>62</v>
      </c>
      <c r="E2578" s="5" t="n">
        <v>7</v>
      </c>
      <c r="F2578" s="5" t="s">
        <v>67</v>
      </c>
      <c r="G2578" s="2" t="s">
        <v>367</v>
      </c>
      <c r="H2578" s="5" t="s">
        <v>8336</v>
      </c>
      <c r="I2578" s="5"/>
      <c r="J2578" s="5"/>
      <c r="K2578" s="5" t="s">
        <v>14348</v>
      </c>
    </row>
    <row r="2579" customFormat="false" ht="46.25" hidden="false" customHeight="false" outlineLevel="0" collapsed="false">
      <c r="A2579" s="5" t="s">
        <v>14349</v>
      </c>
      <c r="B2579" s="2" t="s">
        <v>14350</v>
      </c>
      <c r="C2579" s="5" t="s">
        <v>2245</v>
      </c>
      <c r="D2579" s="5" t="s">
        <v>62</v>
      </c>
      <c r="E2579" s="5" t="n">
        <v>5</v>
      </c>
      <c r="F2579" s="5" t="s">
        <v>67</v>
      </c>
      <c r="G2579" s="2" t="s">
        <v>12057</v>
      </c>
      <c r="H2579" s="5" t="s">
        <v>8336</v>
      </c>
      <c r="I2579" s="5"/>
      <c r="J2579" s="5"/>
      <c r="K2579" s="5" t="s">
        <v>14351</v>
      </c>
    </row>
    <row r="2580" customFormat="false" ht="46.25" hidden="false" customHeight="false" outlineLevel="0" collapsed="false">
      <c r="A2580" s="5" t="s">
        <v>14352</v>
      </c>
      <c r="B2580" s="2" t="s">
        <v>14353</v>
      </c>
      <c r="C2580" s="5" t="s">
        <v>2245</v>
      </c>
      <c r="D2580" s="5" t="s">
        <v>62</v>
      </c>
      <c r="E2580" s="5" t="n">
        <v>5</v>
      </c>
      <c r="F2580" s="5" t="s">
        <v>90</v>
      </c>
      <c r="G2580" s="2" t="s">
        <v>12057</v>
      </c>
      <c r="H2580" s="5" t="s">
        <v>8336</v>
      </c>
      <c r="I2580" s="5"/>
      <c r="J2580" s="5"/>
      <c r="K2580" s="5" t="s">
        <v>14354</v>
      </c>
    </row>
    <row r="2581" customFormat="false" ht="15" hidden="false" customHeight="false" outlineLevel="0" collapsed="false">
      <c r="A2581" s="5" t="s">
        <v>14355</v>
      </c>
      <c r="B2581" s="2" t="s">
        <v>14356</v>
      </c>
      <c r="C2581" s="5" t="s">
        <v>2128</v>
      </c>
      <c r="D2581" s="5" t="s">
        <v>62</v>
      </c>
      <c r="E2581" s="5" t="n">
        <v>7</v>
      </c>
      <c r="F2581" s="5" t="s">
        <v>67</v>
      </c>
      <c r="G2581" s="2" t="s">
        <v>367</v>
      </c>
      <c r="H2581" s="5" t="s">
        <v>8336</v>
      </c>
      <c r="I2581" s="5"/>
      <c r="J2581" s="5"/>
      <c r="K2581" s="5" t="s">
        <v>14357</v>
      </c>
    </row>
    <row r="2582" customFormat="false" ht="23.85" hidden="false" customHeight="false" outlineLevel="0" collapsed="false">
      <c r="A2582" s="5" t="s">
        <v>14358</v>
      </c>
      <c r="B2582" s="2" t="s">
        <v>14359</v>
      </c>
      <c r="C2582" s="5" t="s">
        <v>2128</v>
      </c>
      <c r="D2582" s="5" t="s">
        <v>62</v>
      </c>
      <c r="E2582" s="5" t="n">
        <v>7</v>
      </c>
      <c r="F2582" s="5" t="s">
        <v>67</v>
      </c>
      <c r="G2582" s="2" t="s">
        <v>367</v>
      </c>
      <c r="H2582" s="5" t="s">
        <v>8336</v>
      </c>
      <c r="I2582" s="5"/>
      <c r="J2582" s="5"/>
      <c r="K2582" s="5" t="s">
        <v>14360</v>
      </c>
    </row>
    <row r="2583" customFormat="false" ht="46.25" hidden="false" customHeight="false" outlineLevel="0" collapsed="false">
      <c r="A2583" s="5" t="s">
        <v>14361</v>
      </c>
      <c r="B2583" s="2" t="s">
        <v>14362</v>
      </c>
      <c r="C2583" s="5" t="s">
        <v>2245</v>
      </c>
      <c r="D2583" s="5" t="s">
        <v>62</v>
      </c>
      <c r="E2583" s="5" t="n">
        <v>5</v>
      </c>
      <c r="F2583" s="5" t="s">
        <v>90</v>
      </c>
      <c r="G2583" s="2" t="s">
        <v>12057</v>
      </c>
      <c r="H2583" s="5" t="s">
        <v>8336</v>
      </c>
      <c r="I2583" s="5"/>
      <c r="J2583" s="5"/>
      <c r="K2583" s="5" t="s">
        <v>14363</v>
      </c>
    </row>
    <row r="2584" customFormat="false" ht="15" hidden="false" customHeight="false" outlineLevel="0" collapsed="false">
      <c r="A2584" s="5" t="s">
        <v>14364</v>
      </c>
      <c r="B2584" s="2" t="s">
        <v>14365</v>
      </c>
      <c r="C2584" s="5" t="s">
        <v>2128</v>
      </c>
      <c r="D2584" s="5" t="s">
        <v>62</v>
      </c>
      <c r="E2584" s="5" t="n">
        <v>7</v>
      </c>
      <c r="F2584" s="5" t="s">
        <v>67</v>
      </c>
      <c r="G2584" s="2" t="s">
        <v>367</v>
      </c>
      <c r="H2584" s="5" t="s">
        <v>8336</v>
      </c>
      <c r="I2584" s="5"/>
      <c r="J2584" s="5"/>
      <c r="K2584" s="5" t="s">
        <v>14366</v>
      </c>
    </row>
    <row r="2585" customFormat="false" ht="15" hidden="false" customHeight="false" outlineLevel="0" collapsed="false">
      <c r="A2585" s="5" t="s">
        <v>6317</v>
      </c>
      <c r="B2585" s="2" t="s">
        <v>6318</v>
      </c>
      <c r="C2585" s="5" t="s">
        <v>2128</v>
      </c>
      <c r="D2585" s="5" t="s">
        <v>62</v>
      </c>
      <c r="E2585" s="5" t="n">
        <v>7</v>
      </c>
      <c r="F2585" s="5" t="s">
        <v>2079</v>
      </c>
      <c r="G2585" s="2" t="s">
        <v>367</v>
      </c>
      <c r="H2585" s="5" t="s">
        <v>8332</v>
      </c>
      <c r="I2585" s="5" t="s">
        <v>4760</v>
      </c>
      <c r="J2585" s="5" t="s">
        <v>2079</v>
      </c>
      <c r="K2585" s="5" t="s">
        <v>6322</v>
      </c>
    </row>
    <row r="2586" customFormat="false" ht="23.85" hidden="false" customHeight="false" outlineLevel="0" collapsed="false">
      <c r="A2586" s="5" t="s">
        <v>1667</v>
      </c>
      <c r="B2586" s="2" t="s">
        <v>1668</v>
      </c>
      <c r="C2586" s="5" t="s">
        <v>488</v>
      </c>
      <c r="D2586" s="5" t="s">
        <v>62</v>
      </c>
      <c r="E2586" s="5" t="n">
        <v>5</v>
      </c>
      <c r="F2586" s="5" t="s">
        <v>100</v>
      </c>
      <c r="G2586" s="2" t="s">
        <v>367</v>
      </c>
      <c r="H2586" s="5" t="s">
        <v>8332</v>
      </c>
      <c r="I2586" s="5" t="s">
        <v>60</v>
      </c>
      <c r="J2586" s="5" t="s">
        <v>100</v>
      </c>
      <c r="K2586" s="5" t="s">
        <v>1671</v>
      </c>
    </row>
    <row r="2587" customFormat="false" ht="15" hidden="false" customHeight="false" outlineLevel="0" collapsed="false">
      <c r="A2587" s="5" t="s">
        <v>4033</v>
      </c>
      <c r="B2587" s="2" t="s">
        <v>4034</v>
      </c>
      <c r="C2587" s="5" t="s">
        <v>2128</v>
      </c>
      <c r="D2587" s="5" t="s">
        <v>62</v>
      </c>
      <c r="E2587" s="5" t="n">
        <v>7</v>
      </c>
      <c r="F2587" s="5" t="s">
        <v>90</v>
      </c>
      <c r="G2587" s="2" t="s">
        <v>367</v>
      </c>
      <c r="H2587" s="5" t="s">
        <v>8332</v>
      </c>
      <c r="I2587" s="5" t="s">
        <v>60</v>
      </c>
      <c r="J2587" s="5" t="s">
        <v>2754</v>
      </c>
      <c r="K2587" s="5" t="s">
        <v>4037</v>
      </c>
    </row>
    <row r="2588" customFormat="false" ht="46.25" hidden="false" customHeight="false" outlineLevel="0" collapsed="false">
      <c r="A2588" s="5" t="s">
        <v>14367</v>
      </c>
      <c r="B2588" s="2" t="s">
        <v>14368</v>
      </c>
      <c r="C2588" s="5" t="s">
        <v>2245</v>
      </c>
      <c r="D2588" s="5" t="s">
        <v>62</v>
      </c>
      <c r="E2588" s="5" t="n">
        <v>5</v>
      </c>
      <c r="F2588" s="5" t="s">
        <v>90</v>
      </c>
      <c r="G2588" s="2" t="s">
        <v>12057</v>
      </c>
      <c r="H2588" s="5" t="s">
        <v>8336</v>
      </c>
      <c r="I2588" s="5"/>
      <c r="J2588" s="5"/>
      <c r="K2588" s="5" t="s">
        <v>14369</v>
      </c>
    </row>
    <row r="2589" customFormat="false" ht="46.25" hidden="false" customHeight="false" outlineLevel="0" collapsed="false">
      <c r="A2589" s="5" t="s">
        <v>6323</v>
      </c>
      <c r="B2589" s="2" t="s">
        <v>6324</v>
      </c>
      <c r="C2589" s="5" t="s">
        <v>2245</v>
      </c>
      <c r="D2589" s="5" t="s">
        <v>62</v>
      </c>
      <c r="E2589" s="5" t="n">
        <v>5</v>
      </c>
      <c r="F2589" s="5" t="s">
        <v>100</v>
      </c>
      <c r="G2589" s="2" t="s">
        <v>12054</v>
      </c>
      <c r="H2589" s="5" t="s">
        <v>8332</v>
      </c>
      <c r="I2589" s="5" t="s">
        <v>4760</v>
      </c>
      <c r="J2589" s="5" t="s">
        <v>100</v>
      </c>
      <c r="K2589" s="5" t="s">
        <v>6327</v>
      </c>
    </row>
    <row r="2590" customFormat="false" ht="23.85" hidden="false" customHeight="false" outlineLevel="0" collapsed="false">
      <c r="A2590" s="5" t="s">
        <v>1672</v>
      </c>
      <c r="B2590" s="2" t="s">
        <v>1673</v>
      </c>
      <c r="C2590" s="5" t="s">
        <v>488</v>
      </c>
      <c r="D2590" s="5" t="s">
        <v>62</v>
      </c>
      <c r="E2590" s="5" t="n">
        <v>9</v>
      </c>
      <c r="F2590" s="5" t="s">
        <v>67</v>
      </c>
      <c r="G2590" s="2" t="s">
        <v>184</v>
      </c>
      <c r="H2590" s="5" t="s">
        <v>8332</v>
      </c>
      <c r="I2590" s="5" t="s">
        <v>60</v>
      </c>
      <c r="J2590" s="5" t="s">
        <v>269</v>
      </c>
      <c r="K2590" s="5" t="s">
        <v>1680</v>
      </c>
    </row>
    <row r="2591" customFormat="false" ht="23.85" hidden="false" customHeight="false" outlineLevel="0" collapsed="false">
      <c r="A2591" s="5" t="s">
        <v>1681</v>
      </c>
      <c r="B2591" s="2" t="s">
        <v>1682</v>
      </c>
      <c r="C2591" s="5" t="s">
        <v>488</v>
      </c>
      <c r="D2591" s="5" t="s">
        <v>62</v>
      </c>
      <c r="E2591" s="5" t="n">
        <v>5</v>
      </c>
      <c r="F2591" s="5" t="s">
        <v>90</v>
      </c>
      <c r="G2591" s="2" t="s">
        <v>367</v>
      </c>
      <c r="H2591" s="5" t="s">
        <v>8332</v>
      </c>
      <c r="I2591" s="5" t="s">
        <v>60</v>
      </c>
      <c r="J2591" s="5"/>
      <c r="K2591" s="5" t="s">
        <v>1685</v>
      </c>
    </row>
    <row r="2592" customFormat="false" ht="46.25" hidden="false" customHeight="false" outlineLevel="0" collapsed="false">
      <c r="A2592" s="5" t="s">
        <v>14370</v>
      </c>
      <c r="B2592" s="2" t="s">
        <v>14371</v>
      </c>
      <c r="C2592" s="5" t="s">
        <v>2245</v>
      </c>
      <c r="D2592" s="5" t="s">
        <v>62</v>
      </c>
      <c r="E2592" s="5" t="n">
        <v>5</v>
      </c>
      <c r="F2592" s="5" t="s">
        <v>67</v>
      </c>
      <c r="G2592" s="2" t="s">
        <v>12057</v>
      </c>
      <c r="H2592" s="5" t="s">
        <v>8336</v>
      </c>
      <c r="I2592" s="5"/>
      <c r="J2592" s="5"/>
      <c r="K2592" s="5" t="s">
        <v>14372</v>
      </c>
    </row>
    <row r="2593" customFormat="false" ht="23.85" hidden="false" customHeight="false" outlineLevel="0" collapsed="false">
      <c r="A2593" s="5" t="s">
        <v>14373</v>
      </c>
      <c r="B2593" s="2" t="s">
        <v>14374</v>
      </c>
      <c r="C2593" s="5" t="s">
        <v>2128</v>
      </c>
      <c r="D2593" s="5" t="s">
        <v>62</v>
      </c>
      <c r="E2593" s="5" t="n">
        <v>5</v>
      </c>
      <c r="F2593" s="5" t="s">
        <v>90</v>
      </c>
      <c r="G2593" s="2" t="s">
        <v>367</v>
      </c>
      <c r="H2593" s="5" t="s">
        <v>8336</v>
      </c>
      <c r="I2593" s="5"/>
      <c r="J2593" s="5"/>
      <c r="K2593" s="5" t="s">
        <v>14375</v>
      </c>
    </row>
    <row r="2594" customFormat="false" ht="23.85" hidden="false" customHeight="false" outlineLevel="0" collapsed="false">
      <c r="A2594" s="5" t="s">
        <v>14376</v>
      </c>
      <c r="B2594" s="2" t="s">
        <v>14377</v>
      </c>
      <c r="C2594" s="5" t="s">
        <v>2128</v>
      </c>
      <c r="D2594" s="5" t="s">
        <v>62</v>
      </c>
      <c r="E2594" s="5" t="n">
        <v>5</v>
      </c>
      <c r="F2594" s="5" t="s">
        <v>67</v>
      </c>
      <c r="G2594" s="2" t="s">
        <v>367</v>
      </c>
      <c r="H2594" s="5" t="s">
        <v>8336</v>
      </c>
      <c r="I2594" s="5"/>
      <c r="J2594" s="5"/>
      <c r="K2594" s="5" t="s">
        <v>14378</v>
      </c>
    </row>
    <row r="2595" customFormat="false" ht="23.85" hidden="false" customHeight="false" outlineLevel="0" collapsed="false">
      <c r="A2595" s="5" t="s">
        <v>14379</v>
      </c>
      <c r="B2595" s="2" t="s">
        <v>14380</v>
      </c>
      <c r="C2595" s="5" t="s">
        <v>2128</v>
      </c>
      <c r="D2595" s="5" t="s">
        <v>62</v>
      </c>
      <c r="E2595" s="5" t="n">
        <v>5</v>
      </c>
      <c r="F2595" s="5" t="s">
        <v>90</v>
      </c>
      <c r="G2595" s="2" t="s">
        <v>367</v>
      </c>
      <c r="H2595" s="5" t="s">
        <v>8336</v>
      </c>
      <c r="I2595" s="5"/>
      <c r="J2595" s="5"/>
      <c r="K2595" s="5" t="s">
        <v>14381</v>
      </c>
    </row>
    <row r="2596" customFormat="false" ht="46.25" hidden="false" customHeight="false" outlineLevel="0" collapsed="false">
      <c r="A2596" s="5" t="s">
        <v>14382</v>
      </c>
      <c r="B2596" s="2" t="s">
        <v>14383</v>
      </c>
      <c r="C2596" s="5" t="s">
        <v>2245</v>
      </c>
      <c r="D2596" s="5" t="s">
        <v>62</v>
      </c>
      <c r="E2596" s="5" t="n">
        <v>5</v>
      </c>
      <c r="F2596" s="5" t="s">
        <v>90</v>
      </c>
      <c r="G2596" s="2" t="s">
        <v>12057</v>
      </c>
      <c r="H2596" s="5" t="s">
        <v>8336</v>
      </c>
      <c r="I2596" s="5"/>
      <c r="J2596" s="5"/>
      <c r="K2596" s="5" t="s">
        <v>14384</v>
      </c>
    </row>
    <row r="2597" customFormat="false" ht="46.25" hidden="false" customHeight="false" outlineLevel="0" collapsed="false">
      <c r="A2597" s="5" t="s">
        <v>14385</v>
      </c>
      <c r="B2597" s="2" t="s">
        <v>14386</v>
      </c>
      <c r="C2597" s="5" t="s">
        <v>2245</v>
      </c>
      <c r="D2597" s="5" t="s">
        <v>62</v>
      </c>
      <c r="E2597" s="5" t="n">
        <v>7</v>
      </c>
      <c r="F2597" s="5" t="s">
        <v>90</v>
      </c>
      <c r="G2597" s="2" t="s">
        <v>12057</v>
      </c>
      <c r="H2597" s="5" t="s">
        <v>8336</v>
      </c>
      <c r="I2597" s="5"/>
      <c r="J2597" s="5"/>
      <c r="K2597" s="5" t="s">
        <v>14387</v>
      </c>
    </row>
    <row r="2598" customFormat="false" ht="46.25" hidden="false" customHeight="false" outlineLevel="0" collapsed="false">
      <c r="A2598" s="5" t="s">
        <v>14388</v>
      </c>
      <c r="B2598" s="2" t="s">
        <v>14389</v>
      </c>
      <c r="C2598" s="5" t="s">
        <v>2245</v>
      </c>
      <c r="D2598" s="5" t="s">
        <v>62</v>
      </c>
      <c r="E2598" s="5" t="n">
        <v>5</v>
      </c>
      <c r="F2598" s="5" t="s">
        <v>90</v>
      </c>
      <c r="G2598" s="2" t="s">
        <v>12057</v>
      </c>
      <c r="H2598" s="5" t="s">
        <v>8336</v>
      </c>
      <c r="I2598" s="5"/>
      <c r="J2598" s="5"/>
      <c r="K2598" s="5" t="s">
        <v>14390</v>
      </c>
    </row>
    <row r="2599" customFormat="false" ht="46.25" hidden="false" customHeight="false" outlineLevel="0" collapsed="false">
      <c r="A2599" s="5" t="s">
        <v>14391</v>
      </c>
      <c r="B2599" s="2" t="s">
        <v>14392</v>
      </c>
      <c r="C2599" s="5" t="s">
        <v>2245</v>
      </c>
      <c r="D2599" s="5" t="s">
        <v>62</v>
      </c>
      <c r="E2599" s="5" t="n">
        <v>7</v>
      </c>
      <c r="F2599" s="5" t="s">
        <v>90</v>
      </c>
      <c r="G2599" s="2" t="s">
        <v>12057</v>
      </c>
      <c r="H2599" s="5" t="s">
        <v>8336</v>
      </c>
      <c r="I2599" s="5"/>
      <c r="J2599" s="5"/>
      <c r="K2599" s="5" t="s">
        <v>14393</v>
      </c>
    </row>
    <row r="2600" customFormat="false" ht="46.25" hidden="false" customHeight="false" outlineLevel="0" collapsed="false">
      <c r="A2600" s="5" t="s">
        <v>14394</v>
      </c>
      <c r="B2600" s="2" t="s">
        <v>14395</v>
      </c>
      <c r="C2600" s="5" t="s">
        <v>2245</v>
      </c>
      <c r="D2600" s="5" t="s">
        <v>62</v>
      </c>
      <c r="E2600" s="5" t="n">
        <v>7</v>
      </c>
      <c r="F2600" s="5" t="s">
        <v>90</v>
      </c>
      <c r="G2600" s="2" t="s">
        <v>12057</v>
      </c>
      <c r="H2600" s="5" t="s">
        <v>8336</v>
      </c>
      <c r="I2600" s="5"/>
      <c r="J2600" s="5"/>
      <c r="K2600" s="5" t="s">
        <v>14396</v>
      </c>
    </row>
    <row r="2601" customFormat="false" ht="46.25" hidden="false" customHeight="false" outlineLevel="0" collapsed="false">
      <c r="A2601" s="5" t="s">
        <v>14397</v>
      </c>
      <c r="B2601" s="2" t="s">
        <v>14398</v>
      </c>
      <c r="C2601" s="5" t="s">
        <v>2245</v>
      </c>
      <c r="D2601" s="5" t="s">
        <v>62</v>
      </c>
      <c r="E2601" s="5" t="n">
        <v>5</v>
      </c>
      <c r="F2601" s="5" t="s">
        <v>67</v>
      </c>
      <c r="G2601" s="2" t="s">
        <v>12057</v>
      </c>
      <c r="H2601" s="5" t="s">
        <v>8336</v>
      </c>
      <c r="I2601" s="5"/>
      <c r="J2601" s="5"/>
      <c r="K2601" s="5" t="s">
        <v>14399</v>
      </c>
    </row>
    <row r="2602" customFormat="false" ht="46.25" hidden="false" customHeight="false" outlineLevel="0" collapsed="false">
      <c r="A2602" s="5" t="s">
        <v>14400</v>
      </c>
      <c r="B2602" s="2" t="s">
        <v>14401</v>
      </c>
      <c r="C2602" s="5" t="s">
        <v>2245</v>
      </c>
      <c r="D2602" s="5" t="s">
        <v>62</v>
      </c>
      <c r="E2602" s="5" t="n">
        <v>5</v>
      </c>
      <c r="F2602" s="5" t="s">
        <v>90</v>
      </c>
      <c r="G2602" s="2" t="s">
        <v>12057</v>
      </c>
      <c r="H2602" s="5" t="s">
        <v>8336</v>
      </c>
      <c r="I2602" s="5"/>
      <c r="J2602" s="5"/>
      <c r="K2602" s="5" t="s">
        <v>14402</v>
      </c>
    </row>
    <row r="2603" customFormat="false" ht="46.25" hidden="false" customHeight="false" outlineLevel="0" collapsed="false">
      <c r="A2603" s="5" t="s">
        <v>14403</v>
      </c>
      <c r="B2603" s="2" t="s">
        <v>14404</v>
      </c>
      <c r="C2603" s="5" t="s">
        <v>2245</v>
      </c>
      <c r="D2603" s="5" t="s">
        <v>62</v>
      </c>
      <c r="E2603" s="5" t="n">
        <v>7</v>
      </c>
      <c r="F2603" s="5" t="s">
        <v>90</v>
      </c>
      <c r="G2603" s="2" t="s">
        <v>12057</v>
      </c>
      <c r="H2603" s="5" t="s">
        <v>8336</v>
      </c>
      <c r="I2603" s="5"/>
      <c r="J2603" s="5"/>
      <c r="K2603" s="5" t="s">
        <v>14405</v>
      </c>
    </row>
    <row r="2604" customFormat="false" ht="46.25" hidden="false" customHeight="false" outlineLevel="0" collapsed="false">
      <c r="A2604" s="5" t="s">
        <v>14406</v>
      </c>
      <c r="B2604" s="2" t="s">
        <v>14407</v>
      </c>
      <c r="C2604" s="5" t="s">
        <v>2245</v>
      </c>
      <c r="D2604" s="5" t="s">
        <v>62</v>
      </c>
      <c r="E2604" s="5" t="n">
        <v>5</v>
      </c>
      <c r="F2604" s="5" t="s">
        <v>67</v>
      </c>
      <c r="G2604" s="2" t="s">
        <v>12057</v>
      </c>
      <c r="H2604" s="5" t="s">
        <v>8336</v>
      </c>
      <c r="I2604" s="5"/>
      <c r="J2604" s="5"/>
      <c r="K2604" s="5" t="s">
        <v>14408</v>
      </c>
    </row>
    <row r="2605" customFormat="false" ht="46.25" hidden="false" customHeight="false" outlineLevel="0" collapsed="false">
      <c r="A2605" s="5" t="s">
        <v>14409</v>
      </c>
      <c r="B2605" s="2" t="s">
        <v>14410</v>
      </c>
      <c r="C2605" s="5" t="s">
        <v>2245</v>
      </c>
      <c r="D2605" s="5" t="s">
        <v>62</v>
      </c>
      <c r="E2605" s="5" t="n">
        <v>7</v>
      </c>
      <c r="F2605" s="5" t="s">
        <v>90</v>
      </c>
      <c r="G2605" s="2" t="s">
        <v>12057</v>
      </c>
      <c r="H2605" s="5" t="s">
        <v>8336</v>
      </c>
      <c r="I2605" s="5"/>
      <c r="J2605" s="5"/>
      <c r="K2605" s="5" t="s">
        <v>14411</v>
      </c>
    </row>
    <row r="2606" customFormat="false" ht="46.25" hidden="false" customHeight="false" outlineLevel="0" collapsed="false">
      <c r="A2606" s="5" t="s">
        <v>14412</v>
      </c>
      <c r="B2606" s="2" t="s">
        <v>14413</v>
      </c>
      <c r="C2606" s="5" t="s">
        <v>2245</v>
      </c>
      <c r="D2606" s="5" t="s">
        <v>62</v>
      </c>
      <c r="E2606" s="5" t="n">
        <v>7</v>
      </c>
      <c r="F2606" s="5" t="s">
        <v>90</v>
      </c>
      <c r="G2606" s="2" t="s">
        <v>12057</v>
      </c>
      <c r="H2606" s="5" t="s">
        <v>8336</v>
      </c>
      <c r="I2606" s="5"/>
      <c r="J2606" s="5"/>
      <c r="K2606" s="5" t="s">
        <v>14414</v>
      </c>
    </row>
    <row r="2607" customFormat="false" ht="46.25" hidden="false" customHeight="false" outlineLevel="0" collapsed="false">
      <c r="A2607" s="5" t="s">
        <v>14415</v>
      </c>
      <c r="B2607" s="2" t="s">
        <v>14416</v>
      </c>
      <c r="C2607" s="5" t="s">
        <v>2245</v>
      </c>
      <c r="D2607" s="5" t="s">
        <v>62</v>
      </c>
      <c r="E2607" s="5" t="n">
        <v>5</v>
      </c>
      <c r="F2607" s="5" t="s">
        <v>90</v>
      </c>
      <c r="G2607" s="2" t="s">
        <v>12057</v>
      </c>
      <c r="H2607" s="5" t="s">
        <v>8336</v>
      </c>
      <c r="I2607" s="5"/>
      <c r="J2607" s="5"/>
      <c r="K2607" s="5" t="s">
        <v>14417</v>
      </c>
    </row>
    <row r="2608" customFormat="false" ht="46.25" hidden="false" customHeight="false" outlineLevel="0" collapsed="false">
      <c r="A2608" s="5" t="s">
        <v>14418</v>
      </c>
      <c r="B2608" s="2" t="s">
        <v>14419</v>
      </c>
      <c r="C2608" s="5" t="s">
        <v>2245</v>
      </c>
      <c r="D2608" s="5" t="s">
        <v>62</v>
      </c>
      <c r="E2608" s="5" t="n">
        <v>7</v>
      </c>
      <c r="F2608" s="5" t="s">
        <v>90</v>
      </c>
      <c r="G2608" s="2" t="s">
        <v>12057</v>
      </c>
      <c r="H2608" s="5" t="s">
        <v>8336</v>
      </c>
      <c r="I2608" s="5"/>
      <c r="J2608" s="5"/>
      <c r="K2608" s="5" t="s">
        <v>14420</v>
      </c>
    </row>
    <row r="2609" customFormat="false" ht="23.85" hidden="false" customHeight="false" outlineLevel="0" collapsed="false">
      <c r="A2609" s="5" t="s">
        <v>14421</v>
      </c>
      <c r="B2609" s="2" t="s">
        <v>14422</v>
      </c>
      <c r="C2609" s="5" t="s">
        <v>2128</v>
      </c>
      <c r="D2609" s="5" t="s">
        <v>62</v>
      </c>
      <c r="E2609" s="5" t="n">
        <v>5</v>
      </c>
      <c r="F2609" s="5" t="s">
        <v>413</v>
      </c>
      <c r="G2609" s="2" t="s">
        <v>367</v>
      </c>
      <c r="H2609" s="5" t="s">
        <v>8336</v>
      </c>
      <c r="I2609" s="5"/>
      <c r="J2609" s="5"/>
      <c r="K2609" s="5" t="s">
        <v>14423</v>
      </c>
    </row>
    <row r="2610" customFormat="false" ht="23.85" hidden="false" customHeight="false" outlineLevel="0" collapsed="false">
      <c r="A2610" s="5" t="s">
        <v>14424</v>
      </c>
      <c r="B2610" s="2" t="s">
        <v>14425</v>
      </c>
      <c r="C2610" s="5" t="s">
        <v>2128</v>
      </c>
      <c r="D2610" s="5" t="s">
        <v>62</v>
      </c>
      <c r="E2610" s="5" t="n">
        <v>7</v>
      </c>
      <c r="F2610" s="5" t="s">
        <v>90</v>
      </c>
      <c r="G2610" s="2" t="s">
        <v>367</v>
      </c>
      <c r="H2610" s="5" t="s">
        <v>8336</v>
      </c>
      <c r="I2610" s="5"/>
      <c r="J2610" s="5"/>
      <c r="K2610" s="5" t="s">
        <v>14426</v>
      </c>
    </row>
    <row r="2611" customFormat="false" ht="46.25" hidden="false" customHeight="false" outlineLevel="0" collapsed="false">
      <c r="A2611" s="5" t="s">
        <v>14427</v>
      </c>
      <c r="B2611" s="2" t="s">
        <v>14428</v>
      </c>
      <c r="C2611" s="5" t="s">
        <v>2245</v>
      </c>
      <c r="D2611" s="5" t="s">
        <v>62</v>
      </c>
      <c r="E2611" s="5" t="n">
        <v>7</v>
      </c>
      <c r="F2611" s="5" t="s">
        <v>90</v>
      </c>
      <c r="G2611" s="2" t="s">
        <v>12057</v>
      </c>
      <c r="H2611" s="5" t="s">
        <v>8336</v>
      </c>
      <c r="I2611" s="5"/>
      <c r="J2611" s="5"/>
      <c r="K2611" s="5" t="s">
        <v>14429</v>
      </c>
    </row>
    <row r="2612" customFormat="false" ht="46.25" hidden="false" customHeight="false" outlineLevel="0" collapsed="false">
      <c r="A2612" s="5" t="s">
        <v>14430</v>
      </c>
      <c r="B2612" s="2" t="s">
        <v>14431</v>
      </c>
      <c r="C2612" s="5" t="s">
        <v>2245</v>
      </c>
      <c r="D2612" s="5" t="s">
        <v>62</v>
      </c>
      <c r="E2612" s="5" t="n">
        <v>7</v>
      </c>
      <c r="F2612" s="5" t="s">
        <v>90</v>
      </c>
      <c r="G2612" s="2" t="s">
        <v>12057</v>
      </c>
      <c r="H2612" s="5" t="s">
        <v>8336</v>
      </c>
      <c r="I2612" s="5"/>
      <c r="J2612" s="5"/>
      <c r="K2612" s="5" t="s">
        <v>14432</v>
      </c>
    </row>
    <row r="2613" customFormat="false" ht="46.25" hidden="false" customHeight="false" outlineLevel="0" collapsed="false">
      <c r="A2613" s="5" t="s">
        <v>14433</v>
      </c>
      <c r="B2613" s="2" t="s">
        <v>14434</v>
      </c>
      <c r="C2613" s="5" t="s">
        <v>2245</v>
      </c>
      <c r="D2613" s="5" t="s">
        <v>62</v>
      </c>
      <c r="E2613" s="5" t="n">
        <v>7</v>
      </c>
      <c r="F2613" s="5" t="s">
        <v>90</v>
      </c>
      <c r="G2613" s="2" t="s">
        <v>12057</v>
      </c>
      <c r="H2613" s="5" t="s">
        <v>8336</v>
      </c>
      <c r="I2613" s="5"/>
      <c r="J2613" s="5"/>
      <c r="K2613" s="5" t="s">
        <v>14435</v>
      </c>
    </row>
    <row r="2614" customFormat="false" ht="15" hidden="false" customHeight="false" outlineLevel="0" collapsed="false">
      <c r="A2614" s="5" t="s">
        <v>14436</v>
      </c>
      <c r="B2614" s="2" t="s">
        <v>14437</v>
      </c>
      <c r="C2614" s="5" t="s">
        <v>2128</v>
      </c>
      <c r="D2614" s="5" t="s">
        <v>62</v>
      </c>
      <c r="E2614" s="5" t="n">
        <v>7</v>
      </c>
      <c r="F2614" s="5" t="s">
        <v>90</v>
      </c>
      <c r="G2614" s="2" t="s">
        <v>367</v>
      </c>
      <c r="H2614" s="5" t="s">
        <v>8336</v>
      </c>
      <c r="I2614" s="5"/>
      <c r="J2614" s="5"/>
      <c r="K2614" s="5" t="s">
        <v>14438</v>
      </c>
    </row>
    <row r="2615" customFormat="false" ht="46.25" hidden="false" customHeight="false" outlineLevel="0" collapsed="false">
      <c r="A2615" s="5" t="s">
        <v>14439</v>
      </c>
      <c r="B2615" s="2" t="s">
        <v>14440</v>
      </c>
      <c r="C2615" s="5" t="s">
        <v>2245</v>
      </c>
      <c r="D2615" s="5" t="s">
        <v>62</v>
      </c>
      <c r="E2615" s="5" t="n">
        <v>5</v>
      </c>
      <c r="F2615" s="5" t="s">
        <v>90</v>
      </c>
      <c r="G2615" s="2" t="s">
        <v>12057</v>
      </c>
      <c r="H2615" s="5" t="s">
        <v>8336</v>
      </c>
      <c r="I2615" s="5"/>
      <c r="J2615" s="5"/>
      <c r="K2615" s="5" t="s">
        <v>14441</v>
      </c>
    </row>
    <row r="2616" customFormat="false" ht="46.25" hidden="false" customHeight="false" outlineLevel="0" collapsed="false">
      <c r="A2616" s="5" t="s">
        <v>14442</v>
      </c>
      <c r="B2616" s="2" t="s">
        <v>14443</v>
      </c>
      <c r="C2616" s="5" t="s">
        <v>2245</v>
      </c>
      <c r="D2616" s="5" t="s">
        <v>62</v>
      </c>
      <c r="E2616" s="5" t="n">
        <v>5</v>
      </c>
      <c r="F2616" s="5" t="s">
        <v>90</v>
      </c>
      <c r="G2616" s="2" t="s">
        <v>12057</v>
      </c>
      <c r="H2616" s="5" t="s">
        <v>8336</v>
      </c>
      <c r="I2616" s="5"/>
      <c r="J2616" s="5"/>
      <c r="K2616" s="5" t="s">
        <v>14444</v>
      </c>
    </row>
    <row r="2617" customFormat="false" ht="15" hidden="false" customHeight="false" outlineLevel="0" collapsed="false">
      <c r="A2617" s="5" t="s">
        <v>14445</v>
      </c>
      <c r="B2617" s="2" t="s">
        <v>14446</v>
      </c>
      <c r="C2617" s="5" t="s">
        <v>2128</v>
      </c>
      <c r="D2617" s="5" t="s">
        <v>62</v>
      </c>
      <c r="E2617" s="5" t="n">
        <v>5</v>
      </c>
      <c r="F2617" s="5" t="s">
        <v>90</v>
      </c>
      <c r="G2617" s="2" t="s">
        <v>367</v>
      </c>
      <c r="H2617" s="5" t="s">
        <v>8336</v>
      </c>
      <c r="I2617" s="5"/>
      <c r="J2617" s="5"/>
      <c r="K2617" s="5" t="s">
        <v>14447</v>
      </c>
    </row>
    <row r="2618" customFormat="false" ht="15" hidden="false" customHeight="false" outlineLevel="0" collapsed="false">
      <c r="A2618" s="5" t="s">
        <v>14448</v>
      </c>
      <c r="B2618" s="2" t="s">
        <v>14449</v>
      </c>
      <c r="C2618" s="5" t="s">
        <v>2128</v>
      </c>
      <c r="D2618" s="5" t="s">
        <v>62</v>
      </c>
      <c r="E2618" s="5" t="n">
        <v>7</v>
      </c>
      <c r="F2618" s="5" t="s">
        <v>90</v>
      </c>
      <c r="G2618" s="2" t="s">
        <v>367</v>
      </c>
      <c r="H2618" s="5" t="s">
        <v>8336</v>
      </c>
      <c r="I2618" s="5"/>
      <c r="J2618" s="5"/>
      <c r="K2618" s="5" t="s">
        <v>14450</v>
      </c>
    </row>
    <row r="2619" customFormat="false" ht="46.25" hidden="false" customHeight="false" outlineLevel="0" collapsed="false">
      <c r="A2619" s="5" t="s">
        <v>14451</v>
      </c>
      <c r="B2619" s="2" t="s">
        <v>14452</v>
      </c>
      <c r="C2619" s="5" t="s">
        <v>2245</v>
      </c>
      <c r="D2619" s="5" t="s">
        <v>62</v>
      </c>
      <c r="E2619" s="5" t="n">
        <v>7</v>
      </c>
      <c r="F2619" s="5" t="s">
        <v>67</v>
      </c>
      <c r="G2619" s="2" t="s">
        <v>12057</v>
      </c>
      <c r="H2619" s="5" t="s">
        <v>8336</v>
      </c>
      <c r="I2619" s="5"/>
      <c r="J2619" s="5"/>
      <c r="K2619" s="5" t="s">
        <v>14453</v>
      </c>
    </row>
    <row r="2620" customFormat="false" ht="46.25" hidden="false" customHeight="false" outlineLevel="0" collapsed="false">
      <c r="A2620" s="5" t="s">
        <v>14454</v>
      </c>
      <c r="B2620" s="2" t="s">
        <v>14455</v>
      </c>
      <c r="C2620" s="5" t="s">
        <v>2245</v>
      </c>
      <c r="D2620" s="5" t="s">
        <v>62</v>
      </c>
      <c r="E2620" s="5" t="n">
        <v>7</v>
      </c>
      <c r="F2620" s="5" t="s">
        <v>1814</v>
      </c>
      <c r="G2620" s="2" t="s">
        <v>12057</v>
      </c>
      <c r="H2620" s="5" t="s">
        <v>8336</v>
      </c>
      <c r="I2620" s="5"/>
      <c r="J2620" s="5"/>
      <c r="K2620" s="5" t="s">
        <v>14456</v>
      </c>
    </row>
    <row r="2621" customFormat="false" ht="46.25" hidden="false" customHeight="false" outlineLevel="0" collapsed="false">
      <c r="A2621" s="5" t="s">
        <v>14457</v>
      </c>
      <c r="B2621" s="2" t="s">
        <v>14458</v>
      </c>
      <c r="C2621" s="5" t="s">
        <v>2245</v>
      </c>
      <c r="D2621" s="5" t="s">
        <v>62</v>
      </c>
      <c r="E2621" s="5" t="n">
        <v>7</v>
      </c>
      <c r="F2621" s="5" t="s">
        <v>67</v>
      </c>
      <c r="G2621" s="2" t="s">
        <v>12057</v>
      </c>
      <c r="H2621" s="5" t="s">
        <v>8336</v>
      </c>
      <c r="I2621" s="5"/>
      <c r="J2621" s="5"/>
      <c r="K2621" s="5" t="s">
        <v>14459</v>
      </c>
    </row>
    <row r="2622" customFormat="false" ht="23.85" hidden="false" customHeight="false" outlineLevel="0" collapsed="false">
      <c r="A2622" s="5" t="s">
        <v>14460</v>
      </c>
      <c r="B2622" s="2" t="s">
        <v>14461</v>
      </c>
      <c r="C2622" s="5" t="s">
        <v>2128</v>
      </c>
      <c r="D2622" s="5" t="s">
        <v>62</v>
      </c>
      <c r="E2622" s="5" t="n">
        <v>7</v>
      </c>
      <c r="F2622" s="5" t="s">
        <v>413</v>
      </c>
      <c r="G2622" s="2" t="s">
        <v>367</v>
      </c>
      <c r="H2622" s="5" t="s">
        <v>8336</v>
      </c>
      <c r="I2622" s="5"/>
      <c r="J2622" s="5"/>
      <c r="K2622" s="5" t="s">
        <v>14462</v>
      </c>
    </row>
    <row r="2623" customFormat="false" ht="46.25" hidden="false" customHeight="false" outlineLevel="0" collapsed="false">
      <c r="A2623" s="5" t="s">
        <v>14463</v>
      </c>
      <c r="B2623" s="2" t="s">
        <v>14464</v>
      </c>
      <c r="C2623" s="5" t="s">
        <v>2245</v>
      </c>
      <c r="D2623" s="5" t="s">
        <v>62</v>
      </c>
      <c r="E2623" s="5" t="n">
        <v>5</v>
      </c>
      <c r="F2623" s="5" t="s">
        <v>90</v>
      </c>
      <c r="G2623" s="2" t="s">
        <v>12054</v>
      </c>
      <c r="H2623" s="5" t="s">
        <v>8336</v>
      </c>
      <c r="I2623" s="5"/>
      <c r="J2623" s="5"/>
      <c r="K2623" s="5" t="s">
        <v>14465</v>
      </c>
    </row>
    <row r="2624" customFormat="false" ht="46.25" hidden="false" customHeight="false" outlineLevel="0" collapsed="false">
      <c r="A2624" s="5" t="s">
        <v>14466</v>
      </c>
      <c r="B2624" s="2" t="s">
        <v>14467</v>
      </c>
      <c r="C2624" s="5" t="s">
        <v>2245</v>
      </c>
      <c r="D2624" s="5" t="s">
        <v>62</v>
      </c>
      <c r="E2624" s="5" t="n">
        <v>5</v>
      </c>
      <c r="F2624" s="5" t="s">
        <v>90</v>
      </c>
      <c r="G2624" s="2" t="s">
        <v>12057</v>
      </c>
      <c r="H2624" s="5" t="s">
        <v>8336</v>
      </c>
      <c r="I2624" s="5"/>
      <c r="J2624" s="5"/>
      <c r="K2624" s="5" t="s">
        <v>14468</v>
      </c>
    </row>
    <row r="2625" customFormat="false" ht="46.25" hidden="false" customHeight="false" outlineLevel="0" collapsed="false">
      <c r="A2625" s="5" t="s">
        <v>14469</v>
      </c>
      <c r="B2625" s="2" t="s">
        <v>14470</v>
      </c>
      <c r="C2625" s="5" t="s">
        <v>2245</v>
      </c>
      <c r="D2625" s="5" t="s">
        <v>62</v>
      </c>
      <c r="E2625" s="5" t="n">
        <v>7</v>
      </c>
      <c r="F2625" s="5" t="s">
        <v>90</v>
      </c>
      <c r="G2625" s="2" t="s">
        <v>12054</v>
      </c>
      <c r="H2625" s="5" t="s">
        <v>8336</v>
      </c>
      <c r="I2625" s="5"/>
      <c r="J2625" s="5"/>
      <c r="K2625" s="5" t="s">
        <v>14471</v>
      </c>
    </row>
    <row r="2626" customFormat="false" ht="46.25" hidden="false" customHeight="false" outlineLevel="0" collapsed="false">
      <c r="A2626" s="5" t="s">
        <v>14472</v>
      </c>
      <c r="B2626" s="2" t="s">
        <v>14473</v>
      </c>
      <c r="C2626" s="5" t="s">
        <v>2245</v>
      </c>
      <c r="D2626" s="5" t="s">
        <v>62</v>
      </c>
      <c r="E2626" s="5" t="n">
        <v>7</v>
      </c>
      <c r="F2626" s="5" t="s">
        <v>90</v>
      </c>
      <c r="G2626" s="2" t="s">
        <v>12057</v>
      </c>
      <c r="H2626" s="5" t="s">
        <v>8336</v>
      </c>
      <c r="I2626" s="5"/>
      <c r="J2626" s="5"/>
      <c r="K2626" s="5" t="s">
        <v>14474</v>
      </c>
    </row>
    <row r="2627" customFormat="false" ht="46.25" hidden="false" customHeight="false" outlineLevel="0" collapsed="false">
      <c r="A2627" s="5" t="s">
        <v>14475</v>
      </c>
      <c r="B2627" s="2" t="s">
        <v>14476</v>
      </c>
      <c r="C2627" s="5" t="s">
        <v>2245</v>
      </c>
      <c r="D2627" s="5" t="s">
        <v>62</v>
      </c>
      <c r="E2627" s="5" t="n">
        <v>5</v>
      </c>
      <c r="F2627" s="5" t="s">
        <v>90</v>
      </c>
      <c r="G2627" s="2" t="s">
        <v>12057</v>
      </c>
      <c r="H2627" s="5" t="s">
        <v>8336</v>
      </c>
      <c r="I2627" s="5"/>
      <c r="J2627" s="5"/>
      <c r="K2627" s="5" t="s">
        <v>14477</v>
      </c>
    </row>
    <row r="2628" customFormat="false" ht="46.25" hidden="false" customHeight="false" outlineLevel="0" collapsed="false">
      <c r="A2628" s="5" t="s">
        <v>14478</v>
      </c>
      <c r="B2628" s="2" t="s">
        <v>14479</v>
      </c>
      <c r="C2628" s="5" t="s">
        <v>2245</v>
      </c>
      <c r="D2628" s="5" t="s">
        <v>62</v>
      </c>
      <c r="E2628" s="5" t="n">
        <v>7</v>
      </c>
      <c r="F2628" s="5" t="s">
        <v>90</v>
      </c>
      <c r="G2628" s="2" t="s">
        <v>12057</v>
      </c>
      <c r="H2628" s="5" t="s">
        <v>8336</v>
      </c>
      <c r="I2628" s="5"/>
      <c r="J2628" s="5"/>
      <c r="K2628" s="5" t="s">
        <v>14480</v>
      </c>
    </row>
    <row r="2629" customFormat="false" ht="46.25" hidden="false" customHeight="false" outlineLevel="0" collapsed="false">
      <c r="A2629" s="5" t="s">
        <v>14481</v>
      </c>
      <c r="B2629" s="2" t="s">
        <v>14482</v>
      </c>
      <c r="C2629" s="5" t="s">
        <v>2245</v>
      </c>
      <c r="D2629" s="5" t="s">
        <v>62</v>
      </c>
      <c r="E2629" s="5" t="n">
        <v>5</v>
      </c>
      <c r="F2629" s="5" t="s">
        <v>90</v>
      </c>
      <c r="G2629" s="2" t="s">
        <v>12057</v>
      </c>
      <c r="H2629" s="5" t="s">
        <v>8336</v>
      </c>
      <c r="I2629" s="5"/>
      <c r="J2629" s="5"/>
      <c r="K2629" s="5" t="s">
        <v>14483</v>
      </c>
    </row>
    <row r="2630" customFormat="false" ht="46.25" hidden="false" customHeight="false" outlineLevel="0" collapsed="false">
      <c r="A2630" s="5" t="s">
        <v>14484</v>
      </c>
      <c r="B2630" s="2" t="s">
        <v>14485</v>
      </c>
      <c r="C2630" s="5" t="s">
        <v>2245</v>
      </c>
      <c r="D2630" s="5" t="s">
        <v>62</v>
      </c>
      <c r="E2630" s="5" t="n">
        <v>5</v>
      </c>
      <c r="F2630" s="5" t="s">
        <v>90</v>
      </c>
      <c r="G2630" s="2" t="s">
        <v>12057</v>
      </c>
      <c r="H2630" s="5" t="s">
        <v>8336</v>
      </c>
      <c r="I2630" s="5"/>
      <c r="J2630" s="5"/>
      <c r="K2630" s="5" t="s">
        <v>14486</v>
      </c>
    </row>
    <row r="2631" customFormat="false" ht="23.85" hidden="false" customHeight="false" outlineLevel="0" collapsed="false">
      <c r="A2631" s="5" t="s">
        <v>14487</v>
      </c>
      <c r="B2631" s="2" t="s">
        <v>14488</v>
      </c>
      <c r="C2631" s="5" t="s">
        <v>2128</v>
      </c>
      <c r="D2631" s="5" t="s">
        <v>62</v>
      </c>
      <c r="E2631" s="5" t="n">
        <v>7</v>
      </c>
      <c r="F2631" s="5" t="s">
        <v>413</v>
      </c>
      <c r="G2631" s="2" t="s">
        <v>367</v>
      </c>
      <c r="H2631" s="5" t="s">
        <v>8336</v>
      </c>
      <c r="I2631" s="5"/>
      <c r="J2631" s="5"/>
      <c r="K2631" s="5" t="s">
        <v>14489</v>
      </c>
    </row>
    <row r="2632" customFormat="false" ht="46.25" hidden="false" customHeight="false" outlineLevel="0" collapsed="false">
      <c r="A2632" s="5" t="s">
        <v>6328</v>
      </c>
      <c r="B2632" s="2" t="s">
        <v>6329</v>
      </c>
      <c r="C2632" s="5" t="s">
        <v>2245</v>
      </c>
      <c r="D2632" s="5" t="s">
        <v>490</v>
      </c>
      <c r="E2632" s="5" t="n">
        <v>5</v>
      </c>
      <c r="F2632" s="5" t="s">
        <v>100</v>
      </c>
      <c r="G2632" s="2" t="s">
        <v>12057</v>
      </c>
      <c r="H2632" s="5" t="s">
        <v>8332</v>
      </c>
      <c r="I2632" s="5" t="s">
        <v>4760</v>
      </c>
      <c r="J2632" s="5" t="s">
        <v>100</v>
      </c>
      <c r="K2632" s="5" t="s">
        <v>6332</v>
      </c>
    </row>
    <row r="2633" customFormat="false" ht="15" hidden="false" customHeight="false" outlineLevel="0" collapsed="false">
      <c r="A2633" s="5" t="s">
        <v>14490</v>
      </c>
      <c r="B2633" s="2" t="s">
        <v>14491</v>
      </c>
      <c r="C2633" s="5" t="s">
        <v>2128</v>
      </c>
      <c r="D2633" s="5" t="s">
        <v>62</v>
      </c>
      <c r="E2633" s="5" t="n">
        <v>5</v>
      </c>
      <c r="F2633" s="5" t="s">
        <v>413</v>
      </c>
      <c r="G2633" s="2" t="s">
        <v>367</v>
      </c>
      <c r="H2633" s="5" t="s">
        <v>8336</v>
      </c>
      <c r="I2633" s="5"/>
      <c r="J2633" s="5"/>
      <c r="K2633" s="5" t="s">
        <v>14492</v>
      </c>
    </row>
    <row r="2634" customFormat="false" ht="46.25" hidden="false" customHeight="false" outlineLevel="0" collapsed="false">
      <c r="A2634" s="5" t="s">
        <v>14493</v>
      </c>
      <c r="B2634" s="2" t="s">
        <v>14494</v>
      </c>
      <c r="C2634" s="5" t="s">
        <v>2245</v>
      </c>
      <c r="D2634" s="5" t="s">
        <v>62</v>
      </c>
      <c r="E2634" s="5" t="n">
        <v>5</v>
      </c>
      <c r="F2634" s="5" t="s">
        <v>90</v>
      </c>
      <c r="G2634" s="2" t="s">
        <v>12057</v>
      </c>
      <c r="H2634" s="5" t="s">
        <v>8336</v>
      </c>
      <c r="I2634" s="5"/>
      <c r="J2634" s="5"/>
      <c r="K2634" s="5" t="s">
        <v>14495</v>
      </c>
    </row>
    <row r="2635" customFormat="false" ht="23.85" hidden="false" customHeight="false" outlineLevel="0" collapsed="false">
      <c r="A2635" s="5" t="s">
        <v>14496</v>
      </c>
      <c r="B2635" s="2" t="s">
        <v>14497</v>
      </c>
      <c r="C2635" s="5" t="s">
        <v>2128</v>
      </c>
      <c r="D2635" s="5" t="s">
        <v>62</v>
      </c>
      <c r="E2635" s="5" t="n">
        <v>7</v>
      </c>
      <c r="F2635" s="5" t="s">
        <v>90</v>
      </c>
      <c r="G2635" s="2" t="s">
        <v>367</v>
      </c>
      <c r="H2635" s="5" t="s">
        <v>8336</v>
      </c>
      <c r="I2635" s="5"/>
      <c r="J2635" s="5"/>
      <c r="K2635" s="5" t="s">
        <v>14498</v>
      </c>
    </row>
    <row r="2636" customFormat="false" ht="15" hidden="false" customHeight="false" outlineLevel="0" collapsed="false">
      <c r="A2636" s="5" t="s">
        <v>14499</v>
      </c>
      <c r="B2636" s="2" t="s">
        <v>14500</v>
      </c>
      <c r="C2636" s="5" t="s">
        <v>2128</v>
      </c>
      <c r="D2636" s="5" t="s">
        <v>62</v>
      </c>
      <c r="E2636" s="5" t="n">
        <v>7</v>
      </c>
      <c r="F2636" s="5" t="s">
        <v>67</v>
      </c>
      <c r="G2636" s="2" t="s">
        <v>367</v>
      </c>
      <c r="H2636" s="5" t="s">
        <v>8336</v>
      </c>
      <c r="I2636" s="5"/>
      <c r="J2636" s="5"/>
      <c r="K2636" s="5" t="s">
        <v>14501</v>
      </c>
    </row>
    <row r="2637" customFormat="false" ht="46.25" hidden="false" customHeight="false" outlineLevel="0" collapsed="false">
      <c r="A2637" s="5" t="s">
        <v>14502</v>
      </c>
      <c r="B2637" s="2" t="s">
        <v>14503</v>
      </c>
      <c r="C2637" s="5" t="s">
        <v>2245</v>
      </c>
      <c r="D2637" s="5" t="s">
        <v>62</v>
      </c>
      <c r="E2637" s="5" t="n">
        <v>3</v>
      </c>
      <c r="F2637" s="5" t="s">
        <v>413</v>
      </c>
      <c r="G2637" s="2" t="s">
        <v>12054</v>
      </c>
      <c r="H2637" s="5" t="s">
        <v>8336</v>
      </c>
      <c r="I2637" s="5"/>
      <c r="J2637" s="5"/>
      <c r="K2637" s="5" t="s">
        <v>14504</v>
      </c>
    </row>
    <row r="2638" customFormat="false" ht="46.25" hidden="false" customHeight="false" outlineLevel="0" collapsed="false">
      <c r="A2638" s="5" t="s">
        <v>14505</v>
      </c>
      <c r="B2638" s="2" t="s">
        <v>14506</v>
      </c>
      <c r="C2638" s="5" t="s">
        <v>2245</v>
      </c>
      <c r="D2638" s="5" t="s">
        <v>62</v>
      </c>
      <c r="E2638" s="5" t="n">
        <v>3</v>
      </c>
      <c r="F2638" s="5" t="s">
        <v>413</v>
      </c>
      <c r="G2638" s="2" t="s">
        <v>12054</v>
      </c>
      <c r="H2638" s="5" t="s">
        <v>8336</v>
      </c>
      <c r="I2638" s="5"/>
      <c r="J2638" s="5"/>
      <c r="K2638" s="5" t="s">
        <v>14507</v>
      </c>
    </row>
    <row r="2639" customFormat="false" ht="23.85" hidden="false" customHeight="false" outlineLevel="0" collapsed="false">
      <c r="A2639" s="5" t="s">
        <v>14508</v>
      </c>
      <c r="B2639" s="2" t="s">
        <v>14509</v>
      </c>
      <c r="C2639" s="5" t="s">
        <v>2128</v>
      </c>
      <c r="D2639" s="5" t="s">
        <v>62</v>
      </c>
      <c r="E2639" s="5" t="n">
        <v>7</v>
      </c>
      <c r="F2639" s="5" t="s">
        <v>413</v>
      </c>
      <c r="G2639" s="2" t="s">
        <v>367</v>
      </c>
      <c r="H2639" s="5" t="s">
        <v>8336</v>
      </c>
      <c r="I2639" s="5"/>
      <c r="J2639" s="5"/>
      <c r="K2639" s="5" t="s">
        <v>14510</v>
      </c>
    </row>
    <row r="2640" customFormat="false" ht="23.85" hidden="false" customHeight="false" outlineLevel="0" collapsed="false">
      <c r="A2640" s="5" t="s">
        <v>14511</v>
      </c>
      <c r="B2640" s="2" t="s">
        <v>14512</v>
      </c>
      <c r="C2640" s="5" t="s">
        <v>2128</v>
      </c>
      <c r="D2640" s="5" t="s">
        <v>62</v>
      </c>
      <c r="E2640" s="5" t="n">
        <v>7</v>
      </c>
      <c r="F2640" s="5" t="s">
        <v>67</v>
      </c>
      <c r="G2640" s="2" t="s">
        <v>367</v>
      </c>
      <c r="H2640" s="5" t="s">
        <v>8336</v>
      </c>
      <c r="I2640" s="5"/>
      <c r="J2640" s="5"/>
      <c r="K2640" s="5" t="s">
        <v>14513</v>
      </c>
    </row>
    <row r="2641" customFormat="false" ht="23.85" hidden="false" customHeight="false" outlineLevel="0" collapsed="false">
      <c r="A2641" s="5" t="s">
        <v>14514</v>
      </c>
      <c r="B2641" s="2" t="s">
        <v>14515</v>
      </c>
      <c r="C2641" s="5" t="s">
        <v>2128</v>
      </c>
      <c r="D2641" s="5" t="s">
        <v>62</v>
      </c>
      <c r="E2641" s="5" t="n">
        <v>7</v>
      </c>
      <c r="F2641" s="5" t="s">
        <v>413</v>
      </c>
      <c r="G2641" s="2" t="s">
        <v>367</v>
      </c>
      <c r="H2641" s="5" t="s">
        <v>8336</v>
      </c>
      <c r="I2641" s="5"/>
      <c r="J2641" s="5"/>
      <c r="K2641" s="5" t="s">
        <v>14516</v>
      </c>
    </row>
    <row r="2642" customFormat="false" ht="23.85" hidden="false" customHeight="false" outlineLevel="0" collapsed="false">
      <c r="A2642" s="5" t="s">
        <v>14517</v>
      </c>
      <c r="B2642" s="2" t="s">
        <v>14518</v>
      </c>
      <c r="C2642" s="5" t="s">
        <v>2128</v>
      </c>
      <c r="D2642" s="5" t="s">
        <v>62</v>
      </c>
      <c r="E2642" s="5" t="n">
        <v>7</v>
      </c>
      <c r="F2642" s="5" t="s">
        <v>90</v>
      </c>
      <c r="G2642" s="2" t="s">
        <v>367</v>
      </c>
      <c r="H2642" s="5" t="s">
        <v>8336</v>
      </c>
      <c r="I2642" s="5"/>
      <c r="J2642" s="5"/>
      <c r="K2642" s="5" t="s">
        <v>14519</v>
      </c>
    </row>
    <row r="2643" customFormat="false" ht="23.85" hidden="false" customHeight="false" outlineLevel="0" collapsed="false">
      <c r="A2643" s="5" t="s">
        <v>14520</v>
      </c>
      <c r="B2643" s="2" t="s">
        <v>14521</v>
      </c>
      <c r="C2643" s="5" t="s">
        <v>2128</v>
      </c>
      <c r="D2643" s="5" t="s">
        <v>62</v>
      </c>
      <c r="E2643" s="5" t="n">
        <v>7</v>
      </c>
      <c r="F2643" s="5" t="s">
        <v>284</v>
      </c>
      <c r="G2643" s="2" t="s">
        <v>367</v>
      </c>
      <c r="H2643" s="5" t="s">
        <v>8336</v>
      </c>
      <c r="I2643" s="5"/>
      <c r="J2643" s="5"/>
      <c r="K2643" s="5" t="s">
        <v>14522</v>
      </c>
    </row>
    <row r="2644" customFormat="false" ht="23.85" hidden="false" customHeight="false" outlineLevel="0" collapsed="false">
      <c r="A2644" s="5" t="s">
        <v>14523</v>
      </c>
      <c r="B2644" s="2" t="s">
        <v>14524</v>
      </c>
      <c r="C2644" s="5" t="s">
        <v>2128</v>
      </c>
      <c r="D2644" s="5" t="s">
        <v>62</v>
      </c>
      <c r="E2644" s="5" t="n">
        <v>7</v>
      </c>
      <c r="F2644" s="5" t="s">
        <v>90</v>
      </c>
      <c r="G2644" s="2" t="s">
        <v>367</v>
      </c>
      <c r="H2644" s="5" t="s">
        <v>8336</v>
      </c>
      <c r="I2644" s="5"/>
      <c r="J2644" s="5"/>
      <c r="K2644" s="5" t="s">
        <v>14525</v>
      </c>
    </row>
    <row r="2645" customFormat="false" ht="46.25" hidden="false" customHeight="false" outlineLevel="0" collapsed="false">
      <c r="A2645" s="5" t="s">
        <v>4038</v>
      </c>
      <c r="B2645" s="2" t="s">
        <v>4039</v>
      </c>
      <c r="C2645" s="5" t="s">
        <v>2245</v>
      </c>
      <c r="D2645" s="5" t="s">
        <v>62</v>
      </c>
      <c r="E2645" s="5" t="n">
        <v>7</v>
      </c>
      <c r="F2645" s="5" t="s">
        <v>90</v>
      </c>
      <c r="G2645" s="2" t="s">
        <v>12894</v>
      </c>
      <c r="H2645" s="5" t="s">
        <v>8332</v>
      </c>
      <c r="I2645" s="5" t="s">
        <v>60</v>
      </c>
      <c r="J2645" s="5" t="s">
        <v>4025</v>
      </c>
      <c r="K2645" s="5" t="s">
        <v>4043</v>
      </c>
    </row>
    <row r="2646" customFormat="false" ht="23.85" hidden="false" customHeight="false" outlineLevel="0" collapsed="false">
      <c r="A2646" s="5" t="s">
        <v>14526</v>
      </c>
      <c r="B2646" s="2" t="s">
        <v>14527</v>
      </c>
      <c r="C2646" s="5" t="s">
        <v>2128</v>
      </c>
      <c r="D2646" s="5" t="s">
        <v>62</v>
      </c>
      <c r="E2646" s="5" t="n">
        <v>7</v>
      </c>
      <c r="F2646" s="5" t="s">
        <v>67</v>
      </c>
      <c r="G2646" s="2" t="s">
        <v>367</v>
      </c>
      <c r="H2646" s="5" t="s">
        <v>8336</v>
      </c>
      <c r="I2646" s="5"/>
      <c r="J2646" s="5"/>
      <c r="K2646" s="5" t="s">
        <v>14528</v>
      </c>
    </row>
    <row r="2647" customFormat="false" ht="23.85" hidden="false" customHeight="false" outlineLevel="0" collapsed="false">
      <c r="A2647" s="5" t="s">
        <v>4044</v>
      </c>
      <c r="B2647" s="2" t="s">
        <v>4045</v>
      </c>
      <c r="C2647" s="5" t="s">
        <v>2128</v>
      </c>
      <c r="D2647" s="5" t="s">
        <v>62</v>
      </c>
      <c r="E2647" s="5" t="n">
        <v>5</v>
      </c>
      <c r="F2647" s="5" t="s">
        <v>67</v>
      </c>
      <c r="G2647" s="2" t="s">
        <v>184</v>
      </c>
      <c r="H2647" s="5" t="s">
        <v>8332</v>
      </c>
      <c r="I2647" s="5" t="s">
        <v>60</v>
      </c>
      <c r="J2647" s="5" t="s">
        <v>269</v>
      </c>
      <c r="K2647" s="5" t="s">
        <v>4049</v>
      </c>
    </row>
    <row r="2648" customFormat="false" ht="46.25" hidden="false" customHeight="false" outlineLevel="0" collapsed="false">
      <c r="A2648" s="5" t="s">
        <v>14529</v>
      </c>
      <c r="B2648" s="2" t="s">
        <v>14530</v>
      </c>
      <c r="C2648" s="5" t="s">
        <v>2245</v>
      </c>
      <c r="D2648" s="5" t="s">
        <v>62</v>
      </c>
      <c r="E2648" s="5" t="n">
        <v>5</v>
      </c>
      <c r="F2648" s="5" t="s">
        <v>90</v>
      </c>
      <c r="G2648" s="2" t="s">
        <v>12057</v>
      </c>
      <c r="H2648" s="5" t="s">
        <v>8336</v>
      </c>
      <c r="I2648" s="5"/>
      <c r="J2648" s="5"/>
      <c r="K2648" s="5" t="s">
        <v>14531</v>
      </c>
    </row>
    <row r="2649" customFormat="false" ht="46.25" hidden="false" customHeight="false" outlineLevel="0" collapsed="false">
      <c r="A2649" s="5" t="s">
        <v>14532</v>
      </c>
      <c r="B2649" s="2" t="s">
        <v>14533</v>
      </c>
      <c r="C2649" s="5" t="s">
        <v>2245</v>
      </c>
      <c r="D2649" s="5" t="s">
        <v>62</v>
      </c>
      <c r="E2649" s="5" t="n">
        <v>5</v>
      </c>
      <c r="F2649" s="5" t="s">
        <v>67</v>
      </c>
      <c r="G2649" s="2" t="s">
        <v>12057</v>
      </c>
      <c r="H2649" s="5" t="s">
        <v>8336</v>
      </c>
      <c r="I2649" s="5"/>
      <c r="J2649" s="5"/>
      <c r="K2649" s="5" t="s">
        <v>14534</v>
      </c>
    </row>
    <row r="2650" customFormat="false" ht="15" hidden="false" customHeight="false" outlineLevel="0" collapsed="false">
      <c r="A2650" s="5" t="s">
        <v>14535</v>
      </c>
      <c r="B2650" s="2" t="s">
        <v>14536</v>
      </c>
      <c r="C2650" s="5" t="s">
        <v>2128</v>
      </c>
      <c r="D2650" s="5" t="s">
        <v>62</v>
      </c>
      <c r="E2650" s="5" t="n">
        <v>7</v>
      </c>
      <c r="F2650" s="5" t="s">
        <v>90</v>
      </c>
      <c r="G2650" s="2" t="s">
        <v>367</v>
      </c>
      <c r="H2650" s="5" t="s">
        <v>8336</v>
      </c>
      <c r="I2650" s="5"/>
      <c r="J2650" s="5"/>
      <c r="K2650" s="5" t="s">
        <v>14537</v>
      </c>
    </row>
    <row r="2651" customFormat="false" ht="23.85" hidden="false" customHeight="false" outlineLevel="0" collapsed="false">
      <c r="A2651" s="5" t="s">
        <v>14538</v>
      </c>
      <c r="B2651" s="2" t="s">
        <v>14539</v>
      </c>
      <c r="C2651" s="5" t="s">
        <v>2128</v>
      </c>
      <c r="D2651" s="5" t="s">
        <v>62</v>
      </c>
      <c r="E2651" s="5" t="n">
        <v>5</v>
      </c>
      <c r="F2651" s="5" t="s">
        <v>413</v>
      </c>
      <c r="G2651" s="2" t="s">
        <v>367</v>
      </c>
      <c r="H2651" s="5" t="s">
        <v>8336</v>
      </c>
      <c r="I2651" s="5"/>
      <c r="J2651" s="5"/>
      <c r="K2651" s="5" t="s">
        <v>14540</v>
      </c>
    </row>
    <row r="2652" customFormat="false" ht="23.85" hidden="false" customHeight="false" outlineLevel="0" collapsed="false">
      <c r="A2652" s="5" t="s">
        <v>14541</v>
      </c>
      <c r="B2652" s="2" t="s">
        <v>14542</v>
      </c>
      <c r="C2652" s="5" t="s">
        <v>2128</v>
      </c>
      <c r="D2652" s="5" t="s">
        <v>62</v>
      </c>
      <c r="E2652" s="5" t="n">
        <v>5</v>
      </c>
      <c r="F2652" s="5" t="s">
        <v>413</v>
      </c>
      <c r="G2652" s="2" t="s">
        <v>367</v>
      </c>
      <c r="H2652" s="5" t="s">
        <v>8336</v>
      </c>
      <c r="I2652" s="5"/>
      <c r="J2652" s="5"/>
      <c r="K2652" s="5" t="s">
        <v>14543</v>
      </c>
    </row>
    <row r="2653" customFormat="false" ht="46.25" hidden="false" customHeight="false" outlineLevel="0" collapsed="false">
      <c r="A2653" s="5" t="s">
        <v>14544</v>
      </c>
      <c r="B2653" s="2" t="s">
        <v>14545</v>
      </c>
      <c r="C2653" s="5" t="s">
        <v>2245</v>
      </c>
      <c r="D2653" s="5" t="s">
        <v>62</v>
      </c>
      <c r="E2653" s="5" t="n">
        <v>7</v>
      </c>
      <c r="F2653" s="5" t="s">
        <v>90</v>
      </c>
      <c r="G2653" s="2" t="s">
        <v>12057</v>
      </c>
      <c r="H2653" s="5" t="s">
        <v>8336</v>
      </c>
      <c r="I2653" s="5"/>
      <c r="J2653" s="5"/>
      <c r="K2653" s="5" t="s">
        <v>14546</v>
      </c>
    </row>
    <row r="2654" customFormat="false" ht="46.25" hidden="false" customHeight="false" outlineLevel="0" collapsed="false">
      <c r="A2654" s="5" t="s">
        <v>14547</v>
      </c>
      <c r="B2654" s="2" t="s">
        <v>14548</v>
      </c>
      <c r="C2654" s="5" t="s">
        <v>2245</v>
      </c>
      <c r="D2654" s="5" t="s">
        <v>62</v>
      </c>
      <c r="E2654" s="5" t="n">
        <v>7</v>
      </c>
      <c r="F2654" s="5" t="s">
        <v>90</v>
      </c>
      <c r="G2654" s="2" t="s">
        <v>12057</v>
      </c>
      <c r="H2654" s="5" t="s">
        <v>8336</v>
      </c>
      <c r="I2654" s="5"/>
      <c r="J2654" s="5"/>
      <c r="K2654" s="5" t="s">
        <v>14549</v>
      </c>
    </row>
    <row r="2655" customFormat="false" ht="46.25" hidden="false" customHeight="false" outlineLevel="0" collapsed="false">
      <c r="A2655" s="5" t="s">
        <v>14550</v>
      </c>
      <c r="B2655" s="2" t="s">
        <v>14551</v>
      </c>
      <c r="C2655" s="5" t="s">
        <v>2245</v>
      </c>
      <c r="D2655" s="5" t="s">
        <v>62</v>
      </c>
      <c r="E2655" s="5" t="n">
        <v>5</v>
      </c>
      <c r="F2655" s="5" t="s">
        <v>90</v>
      </c>
      <c r="G2655" s="2" t="s">
        <v>12057</v>
      </c>
      <c r="H2655" s="5" t="s">
        <v>8336</v>
      </c>
      <c r="I2655" s="5"/>
      <c r="J2655" s="5"/>
      <c r="K2655" s="5" t="s">
        <v>14552</v>
      </c>
    </row>
    <row r="2656" customFormat="false" ht="15" hidden="false" customHeight="false" outlineLevel="0" collapsed="false">
      <c r="A2656" s="5" t="s">
        <v>14553</v>
      </c>
      <c r="B2656" s="2" t="s">
        <v>14554</v>
      </c>
      <c r="C2656" s="5" t="s">
        <v>2128</v>
      </c>
      <c r="D2656" s="5" t="s">
        <v>62</v>
      </c>
      <c r="E2656" s="5" t="n">
        <v>7</v>
      </c>
      <c r="F2656" s="5" t="s">
        <v>284</v>
      </c>
      <c r="G2656" s="2" t="s">
        <v>367</v>
      </c>
      <c r="H2656" s="5" t="s">
        <v>8336</v>
      </c>
      <c r="I2656" s="5"/>
      <c r="J2656" s="5"/>
      <c r="K2656" s="5" t="s">
        <v>14555</v>
      </c>
    </row>
    <row r="2657" customFormat="false" ht="46.25" hidden="false" customHeight="false" outlineLevel="0" collapsed="false">
      <c r="A2657" s="5" t="s">
        <v>14556</v>
      </c>
      <c r="B2657" s="2" t="s">
        <v>14557</v>
      </c>
      <c r="C2657" s="5" t="s">
        <v>2245</v>
      </c>
      <c r="D2657" s="5" t="s">
        <v>62</v>
      </c>
      <c r="E2657" s="5" t="n">
        <v>7</v>
      </c>
      <c r="F2657" s="5" t="s">
        <v>90</v>
      </c>
      <c r="G2657" s="2" t="s">
        <v>12057</v>
      </c>
      <c r="H2657" s="5" t="s">
        <v>8336</v>
      </c>
      <c r="I2657" s="5"/>
      <c r="J2657" s="5"/>
      <c r="K2657" s="5" t="s">
        <v>14558</v>
      </c>
    </row>
    <row r="2658" customFormat="false" ht="46.25" hidden="false" customHeight="false" outlineLevel="0" collapsed="false">
      <c r="A2658" s="5" t="s">
        <v>14559</v>
      </c>
      <c r="B2658" s="2" t="s">
        <v>14560</v>
      </c>
      <c r="C2658" s="5" t="s">
        <v>2245</v>
      </c>
      <c r="D2658" s="5" t="s">
        <v>62</v>
      </c>
      <c r="E2658" s="5" t="n">
        <v>5</v>
      </c>
      <c r="F2658" s="5" t="s">
        <v>67</v>
      </c>
      <c r="G2658" s="2" t="s">
        <v>12057</v>
      </c>
      <c r="H2658" s="5" t="s">
        <v>8336</v>
      </c>
      <c r="I2658" s="5"/>
      <c r="J2658" s="5"/>
      <c r="K2658" s="5" t="s">
        <v>14561</v>
      </c>
    </row>
    <row r="2659" customFormat="false" ht="15" hidden="false" customHeight="false" outlineLevel="0" collapsed="false">
      <c r="A2659" s="5" t="s">
        <v>14562</v>
      </c>
      <c r="B2659" s="2" t="s">
        <v>14563</v>
      </c>
      <c r="C2659" s="5" t="s">
        <v>2128</v>
      </c>
      <c r="D2659" s="5" t="s">
        <v>62</v>
      </c>
      <c r="E2659" s="5" t="n">
        <v>7</v>
      </c>
      <c r="F2659" s="5" t="s">
        <v>67</v>
      </c>
      <c r="G2659" s="2" t="s">
        <v>367</v>
      </c>
      <c r="H2659" s="5" t="s">
        <v>8336</v>
      </c>
      <c r="I2659" s="5"/>
      <c r="J2659" s="5"/>
      <c r="K2659" s="5" t="s">
        <v>14564</v>
      </c>
    </row>
    <row r="2660" customFormat="false" ht="46.25" hidden="false" customHeight="false" outlineLevel="0" collapsed="false">
      <c r="A2660" s="5" t="s">
        <v>14565</v>
      </c>
      <c r="B2660" s="2" t="s">
        <v>14566</v>
      </c>
      <c r="C2660" s="5" t="s">
        <v>2245</v>
      </c>
      <c r="D2660" s="5" t="s">
        <v>62</v>
      </c>
      <c r="E2660" s="5" t="n">
        <v>7</v>
      </c>
      <c r="F2660" s="5" t="s">
        <v>536</v>
      </c>
      <c r="G2660" s="2" t="s">
        <v>12057</v>
      </c>
      <c r="H2660" s="5" t="s">
        <v>8336</v>
      </c>
      <c r="I2660" s="5"/>
      <c r="J2660" s="5"/>
      <c r="K2660" s="5" t="s">
        <v>14567</v>
      </c>
    </row>
    <row r="2661" customFormat="false" ht="23.85" hidden="false" customHeight="false" outlineLevel="0" collapsed="false">
      <c r="A2661" s="5" t="s">
        <v>14568</v>
      </c>
      <c r="B2661" s="2" t="s">
        <v>14569</v>
      </c>
      <c r="C2661" s="5" t="s">
        <v>2128</v>
      </c>
      <c r="D2661" s="5" t="s">
        <v>62</v>
      </c>
      <c r="E2661" s="5" t="n">
        <v>5</v>
      </c>
      <c r="F2661" s="5" t="s">
        <v>67</v>
      </c>
      <c r="G2661" s="2" t="s">
        <v>367</v>
      </c>
      <c r="H2661" s="5" t="s">
        <v>8336</v>
      </c>
      <c r="I2661" s="5"/>
      <c r="J2661" s="5"/>
      <c r="K2661" s="5" t="s">
        <v>14570</v>
      </c>
    </row>
    <row r="2662" customFormat="false" ht="15" hidden="false" customHeight="false" outlineLevel="0" collapsed="false">
      <c r="A2662" s="5" t="s">
        <v>14571</v>
      </c>
      <c r="B2662" s="2" t="s">
        <v>14572</v>
      </c>
      <c r="C2662" s="5" t="s">
        <v>2128</v>
      </c>
      <c r="D2662" s="5" t="s">
        <v>62</v>
      </c>
      <c r="E2662" s="5" t="n">
        <v>7</v>
      </c>
      <c r="F2662" s="5" t="s">
        <v>67</v>
      </c>
      <c r="G2662" s="2" t="s">
        <v>367</v>
      </c>
      <c r="H2662" s="5" t="s">
        <v>8336</v>
      </c>
      <c r="I2662" s="5"/>
      <c r="J2662" s="5"/>
      <c r="K2662" s="5" t="s">
        <v>14573</v>
      </c>
    </row>
    <row r="2663" customFormat="false" ht="15" hidden="false" customHeight="false" outlineLevel="0" collapsed="false">
      <c r="A2663" s="5" t="s">
        <v>14574</v>
      </c>
      <c r="B2663" s="2" t="s">
        <v>14575</v>
      </c>
      <c r="C2663" s="5" t="s">
        <v>2128</v>
      </c>
      <c r="D2663" s="5" t="s">
        <v>62</v>
      </c>
      <c r="E2663" s="5" t="n">
        <v>5</v>
      </c>
      <c r="F2663" s="5" t="s">
        <v>90</v>
      </c>
      <c r="G2663" s="2" t="s">
        <v>367</v>
      </c>
      <c r="H2663" s="5" t="s">
        <v>8336</v>
      </c>
      <c r="I2663" s="5"/>
      <c r="J2663" s="5"/>
      <c r="K2663" s="5" t="s">
        <v>14576</v>
      </c>
    </row>
    <row r="2664" customFormat="false" ht="15" hidden="false" customHeight="false" outlineLevel="0" collapsed="false">
      <c r="A2664" s="5" t="s">
        <v>14577</v>
      </c>
      <c r="B2664" s="2" t="s">
        <v>14578</v>
      </c>
      <c r="C2664" s="5" t="s">
        <v>2128</v>
      </c>
      <c r="D2664" s="5" t="s">
        <v>62</v>
      </c>
      <c r="E2664" s="5" t="n">
        <v>7</v>
      </c>
      <c r="F2664" s="5" t="s">
        <v>1814</v>
      </c>
      <c r="G2664" s="2" t="s">
        <v>367</v>
      </c>
      <c r="H2664" s="5" t="s">
        <v>8336</v>
      </c>
      <c r="I2664" s="5"/>
      <c r="J2664" s="5"/>
      <c r="K2664" s="5" t="s">
        <v>14579</v>
      </c>
    </row>
    <row r="2665" customFormat="false" ht="15" hidden="false" customHeight="false" outlineLevel="0" collapsed="false">
      <c r="A2665" s="5" t="s">
        <v>14580</v>
      </c>
      <c r="B2665" s="2" t="s">
        <v>14581</v>
      </c>
      <c r="C2665" s="5" t="s">
        <v>2128</v>
      </c>
      <c r="D2665" s="5" t="s">
        <v>62</v>
      </c>
      <c r="E2665" s="5" t="n">
        <v>7</v>
      </c>
      <c r="F2665" s="5" t="s">
        <v>1814</v>
      </c>
      <c r="G2665" s="2" t="s">
        <v>367</v>
      </c>
      <c r="H2665" s="5" t="s">
        <v>8336</v>
      </c>
      <c r="I2665" s="5"/>
      <c r="J2665" s="5"/>
      <c r="K2665" s="5" t="s">
        <v>14582</v>
      </c>
    </row>
    <row r="2666" customFormat="false" ht="23.85" hidden="false" customHeight="false" outlineLevel="0" collapsed="false">
      <c r="A2666" s="5" t="s">
        <v>14583</v>
      </c>
      <c r="B2666" s="2" t="s">
        <v>14584</v>
      </c>
      <c r="C2666" s="5" t="s">
        <v>2128</v>
      </c>
      <c r="D2666" s="5" t="s">
        <v>62</v>
      </c>
      <c r="E2666" s="5" t="n">
        <v>7</v>
      </c>
      <c r="F2666" s="5" t="s">
        <v>90</v>
      </c>
      <c r="G2666" s="2" t="s">
        <v>367</v>
      </c>
      <c r="H2666" s="5" t="s">
        <v>8336</v>
      </c>
      <c r="I2666" s="5"/>
      <c r="J2666" s="5"/>
      <c r="K2666" s="5" t="s">
        <v>14585</v>
      </c>
    </row>
    <row r="2667" customFormat="false" ht="15" hidden="false" customHeight="false" outlineLevel="0" collapsed="false">
      <c r="A2667" s="5" t="s">
        <v>14586</v>
      </c>
      <c r="B2667" s="2" t="s">
        <v>14587</v>
      </c>
      <c r="C2667" s="5" t="s">
        <v>2128</v>
      </c>
      <c r="D2667" s="5" t="s">
        <v>62</v>
      </c>
      <c r="E2667" s="5" t="n">
        <v>7</v>
      </c>
      <c r="F2667" s="5" t="s">
        <v>277</v>
      </c>
      <c r="G2667" s="2" t="s">
        <v>367</v>
      </c>
      <c r="H2667" s="5" t="s">
        <v>8336</v>
      </c>
      <c r="I2667" s="5"/>
      <c r="J2667" s="5"/>
      <c r="K2667" s="5" t="s">
        <v>14588</v>
      </c>
    </row>
    <row r="2668" customFormat="false" ht="23.85" hidden="false" customHeight="false" outlineLevel="0" collapsed="false">
      <c r="A2668" s="5" t="s">
        <v>14589</v>
      </c>
      <c r="B2668" s="2" t="s">
        <v>14590</v>
      </c>
      <c r="C2668" s="5" t="s">
        <v>2128</v>
      </c>
      <c r="D2668" s="5" t="s">
        <v>62</v>
      </c>
      <c r="E2668" s="5" t="n">
        <v>5</v>
      </c>
      <c r="F2668" s="5" t="s">
        <v>413</v>
      </c>
      <c r="G2668" s="2" t="s">
        <v>367</v>
      </c>
      <c r="H2668" s="5" t="s">
        <v>8336</v>
      </c>
      <c r="I2668" s="5"/>
      <c r="J2668" s="5"/>
      <c r="K2668" s="5" t="s">
        <v>14591</v>
      </c>
    </row>
    <row r="2669" customFormat="false" ht="23.85" hidden="false" customHeight="false" outlineLevel="0" collapsed="false">
      <c r="A2669" s="5" t="s">
        <v>1686</v>
      </c>
      <c r="B2669" s="2" t="s">
        <v>1687</v>
      </c>
      <c r="C2669" s="5" t="s">
        <v>488</v>
      </c>
      <c r="D2669" s="5" t="s">
        <v>62</v>
      </c>
      <c r="E2669" s="5" t="n">
        <v>7</v>
      </c>
      <c r="F2669" s="5" t="s">
        <v>100</v>
      </c>
      <c r="G2669" s="2" t="s">
        <v>367</v>
      </c>
      <c r="H2669" s="5" t="s">
        <v>8332</v>
      </c>
      <c r="I2669" s="5" t="s">
        <v>60</v>
      </c>
      <c r="J2669" s="5" t="s">
        <v>100</v>
      </c>
      <c r="K2669" s="5" t="s">
        <v>1690</v>
      </c>
    </row>
    <row r="2670" customFormat="false" ht="46.25" hidden="false" customHeight="false" outlineLevel="0" collapsed="false">
      <c r="A2670" s="5" t="s">
        <v>14592</v>
      </c>
      <c r="B2670" s="2" t="s">
        <v>14593</v>
      </c>
      <c r="C2670" s="5" t="s">
        <v>2245</v>
      </c>
      <c r="D2670" s="5" t="s">
        <v>62</v>
      </c>
      <c r="E2670" s="5" t="n">
        <v>5</v>
      </c>
      <c r="F2670" s="5" t="s">
        <v>90</v>
      </c>
      <c r="G2670" s="2" t="s">
        <v>12057</v>
      </c>
      <c r="H2670" s="5" t="s">
        <v>8336</v>
      </c>
      <c r="I2670" s="5"/>
      <c r="J2670" s="5"/>
      <c r="K2670" s="5" t="s">
        <v>14594</v>
      </c>
    </row>
    <row r="2671" customFormat="false" ht="46.25" hidden="false" customHeight="false" outlineLevel="0" collapsed="false">
      <c r="A2671" s="5" t="s">
        <v>14595</v>
      </c>
      <c r="B2671" s="2" t="s">
        <v>14596</v>
      </c>
      <c r="C2671" s="5" t="s">
        <v>2245</v>
      </c>
      <c r="D2671" s="5" t="s">
        <v>62</v>
      </c>
      <c r="E2671" s="5" t="n">
        <v>5</v>
      </c>
      <c r="F2671" s="5" t="s">
        <v>90</v>
      </c>
      <c r="G2671" s="2" t="s">
        <v>12057</v>
      </c>
      <c r="H2671" s="5" t="s">
        <v>8336</v>
      </c>
      <c r="I2671" s="5"/>
      <c r="J2671" s="5"/>
      <c r="K2671" s="5" t="s">
        <v>14597</v>
      </c>
    </row>
    <row r="2672" customFormat="false" ht="46.25" hidden="false" customHeight="false" outlineLevel="0" collapsed="false">
      <c r="A2672" s="5" t="s">
        <v>14598</v>
      </c>
      <c r="B2672" s="2" t="s">
        <v>14599</v>
      </c>
      <c r="C2672" s="5" t="s">
        <v>2245</v>
      </c>
      <c r="D2672" s="5" t="s">
        <v>62</v>
      </c>
      <c r="E2672" s="5" t="n">
        <v>5</v>
      </c>
      <c r="F2672" s="5" t="s">
        <v>90</v>
      </c>
      <c r="G2672" s="2" t="s">
        <v>12057</v>
      </c>
      <c r="H2672" s="5" t="s">
        <v>8336</v>
      </c>
      <c r="I2672" s="5"/>
      <c r="J2672" s="5"/>
      <c r="K2672" s="5" t="s">
        <v>14600</v>
      </c>
    </row>
    <row r="2673" customFormat="false" ht="23.85" hidden="false" customHeight="false" outlineLevel="0" collapsed="false">
      <c r="A2673" s="5" t="s">
        <v>14601</v>
      </c>
      <c r="B2673" s="2" t="s">
        <v>14602</v>
      </c>
      <c r="C2673" s="5" t="s">
        <v>2128</v>
      </c>
      <c r="D2673" s="5" t="s">
        <v>62</v>
      </c>
      <c r="E2673" s="5" t="n">
        <v>7</v>
      </c>
      <c r="F2673" s="5" t="s">
        <v>67</v>
      </c>
      <c r="G2673" s="2" t="s">
        <v>367</v>
      </c>
      <c r="H2673" s="5" t="s">
        <v>8336</v>
      </c>
      <c r="I2673" s="5"/>
      <c r="J2673" s="5"/>
      <c r="K2673" s="5" t="s">
        <v>14603</v>
      </c>
    </row>
    <row r="2674" customFormat="false" ht="23.85" hidden="false" customHeight="false" outlineLevel="0" collapsed="false">
      <c r="A2674" s="5" t="s">
        <v>14604</v>
      </c>
      <c r="B2674" s="2" t="s">
        <v>14605</v>
      </c>
      <c r="C2674" s="5" t="s">
        <v>2128</v>
      </c>
      <c r="D2674" s="5" t="s">
        <v>62</v>
      </c>
      <c r="E2674" s="5" t="n">
        <v>7</v>
      </c>
      <c r="F2674" s="5" t="s">
        <v>90</v>
      </c>
      <c r="G2674" s="2" t="s">
        <v>367</v>
      </c>
      <c r="H2674" s="5" t="s">
        <v>8336</v>
      </c>
      <c r="I2674" s="5"/>
      <c r="J2674" s="5"/>
      <c r="K2674" s="5" t="s">
        <v>14606</v>
      </c>
    </row>
    <row r="2675" customFormat="false" ht="46.25" hidden="false" customHeight="false" outlineLevel="0" collapsed="false">
      <c r="A2675" s="5" t="s">
        <v>14607</v>
      </c>
      <c r="B2675" s="2" t="s">
        <v>14608</v>
      </c>
      <c r="C2675" s="5" t="s">
        <v>2245</v>
      </c>
      <c r="D2675" s="5" t="s">
        <v>490</v>
      </c>
      <c r="E2675" s="5" t="n">
        <v>5</v>
      </c>
      <c r="F2675" s="5" t="s">
        <v>90</v>
      </c>
      <c r="G2675" s="2" t="s">
        <v>12174</v>
      </c>
      <c r="H2675" s="5" t="s">
        <v>8336</v>
      </c>
      <c r="I2675" s="5"/>
      <c r="J2675" s="5"/>
      <c r="K2675" s="5" t="s">
        <v>14609</v>
      </c>
    </row>
    <row r="2676" customFormat="false" ht="15" hidden="false" customHeight="false" outlineLevel="0" collapsed="false">
      <c r="A2676" s="5" t="s">
        <v>14610</v>
      </c>
      <c r="B2676" s="2" t="s">
        <v>14611</v>
      </c>
      <c r="C2676" s="5" t="s">
        <v>2128</v>
      </c>
      <c r="D2676" s="5" t="s">
        <v>62</v>
      </c>
      <c r="E2676" s="5" t="n">
        <v>5</v>
      </c>
      <c r="F2676" s="5" t="s">
        <v>90</v>
      </c>
      <c r="G2676" s="2" t="s">
        <v>367</v>
      </c>
      <c r="H2676" s="5" t="s">
        <v>8336</v>
      </c>
      <c r="I2676" s="5"/>
      <c r="J2676" s="5"/>
      <c r="K2676" s="5" t="s">
        <v>14612</v>
      </c>
    </row>
    <row r="2677" customFormat="false" ht="23.85" hidden="false" customHeight="false" outlineLevel="0" collapsed="false">
      <c r="A2677" s="5" t="s">
        <v>14613</v>
      </c>
      <c r="B2677" s="2" t="s">
        <v>14614</v>
      </c>
      <c r="C2677" s="5" t="s">
        <v>2128</v>
      </c>
      <c r="D2677" s="5" t="s">
        <v>62</v>
      </c>
      <c r="E2677" s="5" t="n">
        <v>5</v>
      </c>
      <c r="F2677" s="5" t="s">
        <v>67</v>
      </c>
      <c r="G2677" s="2" t="s">
        <v>367</v>
      </c>
      <c r="H2677" s="5" t="s">
        <v>8336</v>
      </c>
      <c r="I2677" s="5"/>
      <c r="J2677" s="5"/>
      <c r="K2677" s="5" t="s">
        <v>14615</v>
      </c>
    </row>
    <row r="2678" customFormat="false" ht="46.25" hidden="false" customHeight="false" outlineLevel="0" collapsed="false">
      <c r="A2678" s="5" t="s">
        <v>14616</v>
      </c>
      <c r="B2678" s="2" t="s">
        <v>14617</v>
      </c>
      <c r="C2678" s="5" t="s">
        <v>2245</v>
      </c>
      <c r="D2678" s="5" t="s">
        <v>490</v>
      </c>
      <c r="E2678" s="5" t="n">
        <v>7</v>
      </c>
      <c r="F2678" s="5" t="s">
        <v>90</v>
      </c>
      <c r="G2678" s="2" t="s">
        <v>12054</v>
      </c>
      <c r="H2678" s="5" t="s">
        <v>8336</v>
      </c>
      <c r="I2678" s="5"/>
      <c r="J2678" s="5"/>
      <c r="K2678" s="5" t="s">
        <v>14618</v>
      </c>
    </row>
    <row r="2679" customFormat="false" ht="46.25" hidden="false" customHeight="false" outlineLevel="0" collapsed="false">
      <c r="A2679" s="5" t="s">
        <v>14619</v>
      </c>
      <c r="B2679" s="2" t="s">
        <v>14620</v>
      </c>
      <c r="C2679" s="5" t="s">
        <v>2245</v>
      </c>
      <c r="D2679" s="5" t="s">
        <v>62</v>
      </c>
      <c r="E2679" s="5" t="n">
        <v>7</v>
      </c>
      <c r="F2679" s="5" t="s">
        <v>90</v>
      </c>
      <c r="G2679" s="2" t="s">
        <v>12054</v>
      </c>
      <c r="H2679" s="5" t="s">
        <v>8336</v>
      </c>
      <c r="I2679" s="5"/>
      <c r="J2679" s="5"/>
      <c r="K2679" s="5" t="s">
        <v>14621</v>
      </c>
    </row>
    <row r="2680" customFormat="false" ht="46.25" hidden="false" customHeight="false" outlineLevel="0" collapsed="false">
      <c r="A2680" s="5" t="s">
        <v>14622</v>
      </c>
      <c r="B2680" s="2" t="s">
        <v>14623</v>
      </c>
      <c r="C2680" s="5" t="s">
        <v>2245</v>
      </c>
      <c r="D2680" s="5" t="s">
        <v>62</v>
      </c>
      <c r="E2680" s="5" t="n">
        <v>7</v>
      </c>
      <c r="F2680" s="5" t="s">
        <v>90</v>
      </c>
      <c r="G2680" s="2" t="s">
        <v>12054</v>
      </c>
      <c r="H2680" s="5" t="s">
        <v>8336</v>
      </c>
      <c r="I2680" s="5"/>
      <c r="J2680" s="5"/>
      <c r="K2680" s="5" t="s">
        <v>14624</v>
      </c>
    </row>
    <row r="2681" customFormat="false" ht="15" hidden="false" customHeight="false" outlineLevel="0" collapsed="false">
      <c r="A2681" s="5" t="s">
        <v>14625</v>
      </c>
      <c r="B2681" s="2" t="s">
        <v>14626</v>
      </c>
      <c r="C2681" s="5" t="s">
        <v>2128</v>
      </c>
      <c r="D2681" s="5" t="s">
        <v>62</v>
      </c>
      <c r="E2681" s="5" t="n">
        <v>7</v>
      </c>
      <c r="F2681" s="5" t="s">
        <v>90</v>
      </c>
      <c r="G2681" s="2" t="s">
        <v>367</v>
      </c>
      <c r="H2681" s="5" t="s">
        <v>8336</v>
      </c>
      <c r="I2681" s="5"/>
      <c r="J2681" s="5"/>
      <c r="K2681" s="5" t="s">
        <v>14627</v>
      </c>
    </row>
    <row r="2682" customFormat="false" ht="15" hidden="false" customHeight="false" outlineLevel="0" collapsed="false">
      <c r="A2682" s="5" t="s">
        <v>14628</v>
      </c>
      <c r="B2682" s="2" t="s">
        <v>14629</v>
      </c>
      <c r="C2682" s="5" t="s">
        <v>2128</v>
      </c>
      <c r="D2682" s="5" t="s">
        <v>62</v>
      </c>
      <c r="E2682" s="5" t="n">
        <v>7</v>
      </c>
      <c r="F2682" s="5" t="s">
        <v>90</v>
      </c>
      <c r="G2682" s="2" t="s">
        <v>367</v>
      </c>
      <c r="H2682" s="5" t="s">
        <v>8336</v>
      </c>
      <c r="I2682" s="5"/>
      <c r="J2682" s="5"/>
      <c r="K2682" s="5" t="s">
        <v>14630</v>
      </c>
    </row>
    <row r="2683" customFormat="false" ht="46.25" hidden="false" customHeight="false" outlineLevel="0" collapsed="false">
      <c r="A2683" s="5" t="s">
        <v>14631</v>
      </c>
      <c r="B2683" s="2" t="s">
        <v>14632</v>
      </c>
      <c r="C2683" s="5" t="s">
        <v>2245</v>
      </c>
      <c r="D2683" s="5" t="s">
        <v>62</v>
      </c>
      <c r="E2683" s="5" t="n">
        <v>5</v>
      </c>
      <c r="F2683" s="5" t="s">
        <v>67</v>
      </c>
      <c r="G2683" s="2" t="s">
        <v>12057</v>
      </c>
      <c r="H2683" s="5" t="s">
        <v>8336</v>
      </c>
      <c r="I2683" s="5"/>
      <c r="J2683" s="5"/>
      <c r="K2683" s="5" t="s">
        <v>14633</v>
      </c>
    </row>
    <row r="2684" customFormat="false" ht="46.25" hidden="false" customHeight="false" outlineLevel="0" collapsed="false">
      <c r="A2684" s="5" t="s">
        <v>14634</v>
      </c>
      <c r="B2684" s="2" t="s">
        <v>14635</v>
      </c>
      <c r="C2684" s="5" t="s">
        <v>2245</v>
      </c>
      <c r="D2684" s="5" t="s">
        <v>62</v>
      </c>
      <c r="E2684" s="5" t="n">
        <v>7</v>
      </c>
      <c r="F2684" s="5" t="s">
        <v>67</v>
      </c>
      <c r="G2684" s="2" t="s">
        <v>12057</v>
      </c>
      <c r="H2684" s="5" t="s">
        <v>8336</v>
      </c>
      <c r="I2684" s="5"/>
      <c r="J2684" s="5"/>
      <c r="K2684" s="5" t="s">
        <v>14636</v>
      </c>
    </row>
    <row r="2685" customFormat="false" ht="15" hidden="false" customHeight="false" outlineLevel="0" collapsed="false">
      <c r="A2685" s="5" t="s">
        <v>14637</v>
      </c>
      <c r="B2685" s="2" t="s">
        <v>14638</v>
      </c>
      <c r="C2685" s="5" t="s">
        <v>2128</v>
      </c>
      <c r="D2685" s="5" t="s">
        <v>62</v>
      </c>
      <c r="E2685" s="5" t="n">
        <v>5</v>
      </c>
      <c r="F2685" s="5" t="s">
        <v>67</v>
      </c>
      <c r="G2685" s="2" t="s">
        <v>367</v>
      </c>
      <c r="H2685" s="5" t="s">
        <v>8336</v>
      </c>
      <c r="I2685" s="5"/>
      <c r="J2685" s="5"/>
      <c r="K2685" s="5" t="s">
        <v>14639</v>
      </c>
    </row>
    <row r="2686" customFormat="false" ht="23.85" hidden="false" customHeight="false" outlineLevel="0" collapsed="false">
      <c r="A2686" s="5" t="s">
        <v>14640</v>
      </c>
      <c r="B2686" s="2" t="s">
        <v>14641</v>
      </c>
      <c r="C2686" s="5" t="s">
        <v>2128</v>
      </c>
      <c r="D2686" s="5" t="s">
        <v>62</v>
      </c>
      <c r="E2686" s="5" t="n">
        <v>7</v>
      </c>
      <c r="F2686" s="5" t="s">
        <v>67</v>
      </c>
      <c r="G2686" s="2" t="s">
        <v>367</v>
      </c>
      <c r="H2686" s="5" t="s">
        <v>8336</v>
      </c>
      <c r="I2686" s="5"/>
      <c r="J2686" s="5"/>
      <c r="K2686" s="5" t="s">
        <v>14642</v>
      </c>
    </row>
    <row r="2687" customFormat="false" ht="15" hidden="false" customHeight="false" outlineLevel="0" collapsed="false">
      <c r="A2687" s="5" t="s">
        <v>1691</v>
      </c>
      <c r="B2687" s="2" t="s">
        <v>1692</v>
      </c>
      <c r="C2687" s="5" t="s">
        <v>488</v>
      </c>
      <c r="D2687" s="5" t="s">
        <v>62</v>
      </c>
      <c r="E2687" s="5" t="n">
        <v>7</v>
      </c>
      <c r="F2687" s="5" t="s">
        <v>100</v>
      </c>
      <c r="G2687" s="2" t="s">
        <v>367</v>
      </c>
      <c r="H2687" s="5" t="s">
        <v>8332</v>
      </c>
      <c r="I2687" s="5" t="s">
        <v>60</v>
      </c>
      <c r="J2687" s="5" t="s">
        <v>100</v>
      </c>
      <c r="K2687" s="5" t="s">
        <v>1695</v>
      </c>
    </row>
    <row r="2688" customFormat="false" ht="46.25" hidden="false" customHeight="false" outlineLevel="0" collapsed="false">
      <c r="A2688" s="5" t="s">
        <v>14643</v>
      </c>
      <c r="B2688" s="2" t="s">
        <v>14644</v>
      </c>
      <c r="C2688" s="5" t="s">
        <v>2245</v>
      </c>
      <c r="D2688" s="5" t="s">
        <v>62</v>
      </c>
      <c r="E2688" s="5" t="n">
        <v>5</v>
      </c>
      <c r="F2688" s="5" t="s">
        <v>90</v>
      </c>
      <c r="G2688" s="2" t="s">
        <v>12057</v>
      </c>
      <c r="H2688" s="5" t="s">
        <v>8336</v>
      </c>
      <c r="I2688" s="5"/>
      <c r="J2688" s="5"/>
      <c r="K2688" s="5" t="s">
        <v>14645</v>
      </c>
    </row>
    <row r="2689" customFormat="false" ht="46.25" hidden="false" customHeight="false" outlineLevel="0" collapsed="false">
      <c r="A2689" s="5" t="s">
        <v>4050</v>
      </c>
      <c r="B2689" s="2" t="s">
        <v>4051</v>
      </c>
      <c r="C2689" s="5" t="s">
        <v>2245</v>
      </c>
      <c r="D2689" s="5" t="s">
        <v>62</v>
      </c>
      <c r="E2689" s="5" t="n">
        <v>5</v>
      </c>
      <c r="F2689" s="5" t="s">
        <v>67</v>
      </c>
      <c r="G2689" s="2" t="s">
        <v>12894</v>
      </c>
      <c r="H2689" s="5" t="s">
        <v>8332</v>
      </c>
      <c r="I2689" s="5" t="s">
        <v>60</v>
      </c>
      <c r="J2689" s="5" t="s">
        <v>269</v>
      </c>
      <c r="K2689" s="5" t="s">
        <v>4057</v>
      </c>
    </row>
    <row r="2690" customFormat="false" ht="46.25" hidden="false" customHeight="false" outlineLevel="0" collapsed="false">
      <c r="A2690" s="5" t="s">
        <v>14646</v>
      </c>
      <c r="B2690" s="2" t="s">
        <v>14647</v>
      </c>
      <c r="C2690" s="5" t="s">
        <v>2245</v>
      </c>
      <c r="D2690" s="5" t="s">
        <v>62</v>
      </c>
      <c r="E2690" s="5" t="n">
        <v>5</v>
      </c>
      <c r="F2690" s="5" t="s">
        <v>90</v>
      </c>
      <c r="G2690" s="2" t="s">
        <v>12057</v>
      </c>
      <c r="H2690" s="5" t="s">
        <v>8336</v>
      </c>
      <c r="I2690" s="5"/>
      <c r="J2690" s="5"/>
      <c r="K2690" s="5" t="s">
        <v>14648</v>
      </c>
    </row>
    <row r="2691" customFormat="false" ht="46.25" hidden="false" customHeight="false" outlineLevel="0" collapsed="false">
      <c r="A2691" s="5" t="s">
        <v>14649</v>
      </c>
      <c r="B2691" s="2" t="s">
        <v>14650</v>
      </c>
      <c r="C2691" s="5" t="s">
        <v>2245</v>
      </c>
      <c r="D2691" s="5" t="s">
        <v>62</v>
      </c>
      <c r="E2691" s="5" t="n">
        <v>5</v>
      </c>
      <c r="F2691" s="5" t="s">
        <v>90</v>
      </c>
      <c r="G2691" s="2" t="s">
        <v>12057</v>
      </c>
      <c r="H2691" s="5" t="s">
        <v>8336</v>
      </c>
      <c r="I2691" s="5"/>
      <c r="J2691" s="5"/>
      <c r="K2691" s="5" t="s">
        <v>14651</v>
      </c>
    </row>
    <row r="2692" customFormat="false" ht="46.25" hidden="false" customHeight="false" outlineLevel="0" collapsed="false">
      <c r="A2692" s="5" t="s">
        <v>14652</v>
      </c>
      <c r="B2692" s="2" t="s">
        <v>14653</v>
      </c>
      <c r="C2692" s="5" t="s">
        <v>2245</v>
      </c>
      <c r="D2692" s="5" t="s">
        <v>62</v>
      </c>
      <c r="E2692" s="5" t="n">
        <v>5</v>
      </c>
      <c r="F2692" s="5" t="s">
        <v>67</v>
      </c>
      <c r="G2692" s="2" t="s">
        <v>12057</v>
      </c>
      <c r="H2692" s="5" t="s">
        <v>8336</v>
      </c>
      <c r="I2692" s="5"/>
      <c r="J2692" s="5"/>
      <c r="K2692" s="5" t="s">
        <v>14654</v>
      </c>
    </row>
    <row r="2693" customFormat="false" ht="23.85" hidden="false" customHeight="false" outlineLevel="0" collapsed="false">
      <c r="A2693" s="5" t="s">
        <v>14655</v>
      </c>
      <c r="B2693" s="2" t="s">
        <v>14656</v>
      </c>
      <c r="C2693" s="5" t="s">
        <v>2128</v>
      </c>
      <c r="D2693" s="5" t="s">
        <v>62</v>
      </c>
      <c r="E2693" s="5" t="n">
        <v>7</v>
      </c>
      <c r="F2693" s="5" t="s">
        <v>90</v>
      </c>
      <c r="G2693" s="2" t="s">
        <v>367</v>
      </c>
      <c r="H2693" s="5" t="s">
        <v>8336</v>
      </c>
      <c r="I2693" s="5"/>
      <c r="J2693" s="5"/>
      <c r="K2693" s="5" t="s">
        <v>14657</v>
      </c>
    </row>
    <row r="2694" customFormat="false" ht="23.85" hidden="false" customHeight="false" outlineLevel="0" collapsed="false">
      <c r="A2694" s="5" t="s">
        <v>14658</v>
      </c>
      <c r="B2694" s="2" t="s">
        <v>14659</v>
      </c>
      <c r="C2694" s="5" t="s">
        <v>2128</v>
      </c>
      <c r="D2694" s="5" t="s">
        <v>62</v>
      </c>
      <c r="E2694" s="5" t="n">
        <v>7</v>
      </c>
      <c r="F2694" s="5" t="s">
        <v>90</v>
      </c>
      <c r="G2694" s="2" t="s">
        <v>367</v>
      </c>
      <c r="H2694" s="5" t="s">
        <v>8336</v>
      </c>
      <c r="I2694" s="5"/>
      <c r="J2694" s="5"/>
      <c r="K2694" s="5" t="s">
        <v>14660</v>
      </c>
    </row>
    <row r="2695" customFormat="false" ht="46.25" hidden="false" customHeight="false" outlineLevel="0" collapsed="false">
      <c r="A2695" s="5" t="s">
        <v>14661</v>
      </c>
      <c r="B2695" s="2" t="s">
        <v>14662</v>
      </c>
      <c r="C2695" s="5" t="s">
        <v>2245</v>
      </c>
      <c r="D2695" s="5" t="s">
        <v>62</v>
      </c>
      <c r="E2695" s="5" t="n">
        <v>7</v>
      </c>
      <c r="F2695" s="5" t="s">
        <v>90</v>
      </c>
      <c r="G2695" s="2" t="s">
        <v>12057</v>
      </c>
      <c r="H2695" s="5" t="s">
        <v>8336</v>
      </c>
      <c r="I2695" s="5"/>
      <c r="J2695" s="5"/>
      <c r="K2695" s="5" t="s">
        <v>14663</v>
      </c>
    </row>
    <row r="2696" customFormat="false" ht="46.25" hidden="false" customHeight="false" outlineLevel="0" collapsed="false">
      <c r="A2696" s="5" t="s">
        <v>14664</v>
      </c>
      <c r="B2696" s="2" t="s">
        <v>14665</v>
      </c>
      <c r="C2696" s="5" t="s">
        <v>2245</v>
      </c>
      <c r="D2696" s="5" t="s">
        <v>62</v>
      </c>
      <c r="E2696" s="5" t="n">
        <v>7</v>
      </c>
      <c r="F2696" s="5" t="s">
        <v>67</v>
      </c>
      <c r="G2696" s="2" t="s">
        <v>12057</v>
      </c>
      <c r="H2696" s="5" t="s">
        <v>8336</v>
      </c>
      <c r="I2696" s="5"/>
      <c r="J2696" s="5"/>
      <c r="K2696" s="5" t="s">
        <v>14666</v>
      </c>
    </row>
    <row r="2697" customFormat="false" ht="15" hidden="false" customHeight="false" outlineLevel="0" collapsed="false">
      <c r="A2697" s="5" t="s">
        <v>14667</v>
      </c>
      <c r="B2697" s="2" t="s">
        <v>14668</v>
      </c>
      <c r="C2697" s="5" t="s">
        <v>2128</v>
      </c>
      <c r="D2697" s="5" t="s">
        <v>62</v>
      </c>
      <c r="E2697" s="5" t="n">
        <v>9</v>
      </c>
      <c r="F2697" s="5" t="s">
        <v>1210</v>
      </c>
      <c r="G2697" s="2" t="s">
        <v>367</v>
      </c>
      <c r="H2697" s="5" t="s">
        <v>8336</v>
      </c>
      <c r="I2697" s="5"/>
      <c r="J2697" s="5"/>
      <c r="K2697" s="5" t="s">
        <v>14669</v>
      </c>
    </row>
    <row r="2698" customFormat="false" ht="15" hidden="false" customHeight="false" outlineLevel="0" collapsed="false">
      <c r="A2698" s="5" t="s">
        <v>14670</v>
      </c>
      <c r="B2698" s="2" t="s">
        <v>14671</v>
      </c>
      <c r="C2698" s="5" t="s">
        <v>2128</v>
      </c>
      <c r="D2698" s="5" t="s">
        <v>62</v>
      </c>
      <c r="E2698" s="5" t="n">
        <v>5</v>
      </c>
      <c r="F2698" s="5" t="s">
        <v>67</v>
      </c>
      <c r="G2698" s="2" t="s">
        <v>367</v>
      </c>
      <c r="H2698" s="5" t="s">
        <v>8336</v>
      </c>
      <c r="I2698" s="5"/>
      <c r="J2698" s="5"/>
      <c r="K2698" s="5" t="s">
        <v>14672</v>
      </c>
    </row>
    <row r="2699" customFormat="false" ht="23.85" hidden="false" customHeight="false" outlineLevel="0" collapsed="false">
      <c r="A2699" s="5" t="s">
        <v>1696</v>
      </c>
      <c r="B2699" s="2" t="s">
        <v>1697</v>
      </c>
      <c r="C2699" s="5" t="s">
        <v>488</v>
      </c>
      <c r="D2699" s="5" t="s">
        <v>62</v>
      </c>
      <c r="E2699" s="5" t="n">
        <v>5</v>
      </c>
      <c r="F2699" s="5" t="s">
        <v>100</v>
      </c>
      <c r="G2699" s="2" t="s">
        <v>367</v>
      </c>
      <c r="H2699" s="5" t="s">
        <v>8332</v>
      </c>
      <c r="I2699" s="5" t="s">
        <v>60</v>
      </c>
      <c r="J2699" s="5" t="s">
        <v>1363</v>
      </c>
      <c r="K2699" s="5" t="s">
        <v>1700</v>
      </c>
    </row>
    <row r="2700" customFormat="false" ht="46.25" hidden="false" customHeight="false" outlineLevel="0" collapsed="false">
      <c r="A2700" s="5" t="s">
        <v>14673</v>
      </c>
      <c r="B2700" s="2" t="s">
        <v>14674</v>
      </c>
      <c r="C2700" s="5" t="s">
        <v>2245</v>
      </c>
      <c r="D2700" s="5" t="s">
        <v>490</v>
      </c>
      <c r="E2700" s="5" t="n">
        <v>7</v>
      </c>
      <c r="F2700" s="5" t="s">
        <v>413</v>
      </c>
      <c r="G2700" s="2" t="s">
        <v>12057</v>
      </c>
      <c r="H2700" s="5" t="s">
        <v>8336</v>
      </c>
      <c r="I2700" s="5"/>
      <c r="J2700" s="5"/>
      <c r="K2700" s="5" t="s">
        <v>14675</v>
      </c>
    </row>
    <row r="2701" customFormat="false" ht="15" hidden="false" customHeight="false" outlineLevel="0" collapsed="false">
      <c r="A2701" s="5" t="s">
        <v>14676</v>
      </c>
      <c r="B2701" s="2" t="s">
        <v>14677</v>
      </c>
      <c r="C2701" s="5" t="s">
        <v>2128</v>
      </c>
      <c r="D2701" s="5" t="s">
        <v>62</v>
      </c>
      <c r="E2701" s="5" t="n">
        <v>5</v>
      </c>
      <c r="F2701" s="5" t="s">
        <v>67</v>
      </c>
      <c r="G2701" s="2" t="s">
        <v>367</v>
      </c>
      <c r="H2701" s="5" t="s">
        <v>8336</v>
      </c>
      <c r="I2701" s="5"/>
      <c r="J2701" s="5"/>
      <c r="K2701" s="5" t="s">
        <v>14678</v>
      </c>
    </row>
    <row r="2702" customFormat="false" ht="46.25" hidden="false" customHeight="false" outlineLevel="0" collapsed="false">
      <c r="A2702" s="5" t="s">
        <v>14679</v>
      </c>
      <c r="B2702" s="2" t="s">
        <v>14680</v>
      </c>
      <c r="C2702" s="5" t="s">
        <v>2245</v>
      </c>
      <c r="D2702" s="5" t="s">
        <v>62</v>
      </c>
      <c r="E2702" s="5" t="n">
        <v>5</v>
      </c>
      <c r="F2702" s="5" t="s">
        <v>413</v>
      </c>
      <c r="G2702" s="2" t="s">
        <v>12057</v>
      </c>
      <c r="H2702" s="5" t="s">
        <v>8336</v>
      </c>
      <c r="I2702" s="5"/>
      <c r="J2702" s="5"/>
      <c r="K2702" s="5" t="s">
        <v>14681</v>
      </c>
    </row>
    <row r="2703" customFormat="false" ht="15" hidden="false" customHeight="false" outlineLevel="0" collapsed="false">
      <c r="A2703" s="5" t="s">
        <v>14682</v>
      </c>
      <c r="B2703" s="2" t="s">
        <v>14683</v>
      </c>
      <c r="C2703" s="5" t="s">
        <v>2128</v>
      </c>
      <c r="D2703" s="5" t="s">
        <v>62</v>
      </c>
      <c r="E2703" s="5" t="n">
        <v>7</v>
      </c>
      <c r="F2703" s="5" t="s">
        <v>90</v>
      </c>
      <c r="G2703" s="2" t="s">
        <v>367</v>
      </c>
      <c r="H2703" s="5" t="s">
        <v>8336</v>
      </c>
      <c r="I2703" s="5"/>
      <c r="J2703" s="5"/>
      <c r="K2703" s="5" t="s">
        <v>14684</v>
      </c>
    </row>
    <row r="2704" customFormat="false" ht="46.25" hidden="false" customHeight="false" outlineLevel="0" collapsed="false">
      <c r="A2704" s="5" t="s">
        <v>14685</v>
      </c>
      <c r="B2704" s="2" t="s">
        <v>14686</v>
      </c>
      <c r="C2704" s="5" t="s">
        <v>2245</v>
      </c>
      <c r="D2704" s="5" t="s">
        <v>62</v>
      </c>
      <c r="E2704" s="5" t="n">
        <v>5</v>
      </c>
      <c r="F2704" s="5" t="s">
        <v>413</v>
      </c>
      <c r="G2704" s="2" t="s">
        <v>12054</v>
      </c>
      <c r="H2704" s="5" t="s">
        <v>8336</v>
      </c>
      <c r="I2704" s="5"/>
      <c r="J2704" s="5"/>
      <c r="K2704" s="5" t="s">
        <v>14687</v>
      </c>
    </row>
    <row r="2705" customFormat="false" ht="23.85" hidden="false" customHeight="false" outlineLevel="0" collapsed="false">
      <c r="A2705" s="5" t="s">
        <v>14688</v>
      </c>
      <c r="B2705" s="2" t="s">
        <v>14689</v>
      </c>
      <c r="C2705" s="5" t="s">
        <v>2128</v>
      </c>
      <c r="D2705" s="5" t="s">
        <v>62</v>
      </c>
      <c r="E2705" s="5" t="n">
        <v>5</v>
      </c>
      <c r="F2705" s="5" t="s">
        <v>90</v>
      </c>
      <c r="G2705" s="2" t="s">
        <v>367</v>
      </c>
      <c r="H2705" s="5" t="s">
        <v>8336</v>
      </c>
      <c r="I2705" s="5"/>
      <c r="J2705" s="5"/>
      <c r="K2705" s="5" t="s">
        <v>14690</v>
      </c>
    </row>
    <row r="2706" customFormat="false" ht="23.85" hidden="false" customHeight="false" outlineLevel="0" collapsed="false">
      <c r="A2706" s="5" t="s">
        <v>14691</v>
      </c>
      <c r="B2706" s="2" t="s">
        <v>14692</v>
      </c>
      <c r="C2706" s="5" t="s">
        <v>2128</v>
      </c>
      <c r="D2706" s="5" t="s">
        <v>62</v>
      </c>
      <c r="E2706" s="5" t="n">
        <v>5</v>
      </c>
      <c r="F2706" s="5" t="s">
        <v>67</v>
      </c>
      <c r="G2706" s="2" t="s">
        <v>367</v>
      </c>
      <c r="H2706" s="5" t="s">
        <v>8336</v>
      </c>
      <c r="I2706" s="5"/>
      <c r="J2706" s="5"/>
      <c r="K2706" s="5" t="s">
        <v>14693</v>
      </c>
    </row>
    <row r="2707" customFormat="false" ht="46.25" hidden="false" customHeight="false" outlineLevel="0" collapsed="false">
      <c r="A2707" s="5" t="s">
        <v>14694</v>
      </c>
      <c r="B2707" s="2" t="s">
        <v>14695</v>
      </c>
      <c r="C2707" s="5" t="s">
        <v>2245</v>
      </c>
      <c r="D2707" s="5" t="s">
        <v>62</v>
      </c>
      <c r="E2707" s="5" t="n">
        <v>5</v>
      </c>
      <c r="F2707" s="5" t="s">
        <v>90</v>
      </c>
      <c r="G2707" s="2" t="s">
        <v>12054</v>
      </c>
      <c r="H2707" s="5" t="s">
        <v>8336</v>
      </c>
      <c r="I2707" s="5"/>
      <c r="J2707" s="5"/>
      <c r="K2707" s="5" t="s">
        <v>14696</v>
      </c>
    </row>
    <row r="2708" customFormat="false" ht="23.85" hidden="false" customHeight="false" outlineLevel="0" collapsed="false">
      <c r="A2708" s="5" t="s">
        <v>14697</v>
      </c>
      <c r="B2708" s="2" t="s">
        <v>14698</v>
      </c>
      <c r="C2708" s="5" t="s">
        <v>2128</v>
      </c>
      <c r="D2708" s="5" t="s">
        <v>62</v>
      </c>
      <c r="E2708" s="5" t="n">
        <v>5</v>
      </c>
      <c r="F2708" s="5" t="s">
        <v>90</v>
      </c>
      <c r="G2708" s="2" t="s">
        <v>367</v>
      </c>
      <c r="H2708" s="5" t="s">
        <v>8336</v>
      </c>
      <c r="I2708" s="5"/>
      <c r="J2708" s="5"/>
      <c r="K2708" s="5" t="s">
        <v>14699</v>
      </c>
    </row>
    <row r="2709" customFormat="false" ht="46.25" hidden="false" customHeight="false" outlineLevel="0" collapsed="false">
      <c r="A2709" s="5" t="s">
        <v>14700</v>
      </c>
      <c r="B2709" s="2" t="s">
        <v>14701</v>
      </c>
      <c r="C2709" s="5" t="s">
        <v>2245</v>
      </c>
      <c r="D2709" s="5" t="s">
        <v>62</v>
      </c>
      <c r="E2709" s="5" t="n">
        <v>7</v>
      </c>
      <c r="F2709" s="5" t="s">
        <v>90</v>
      </c>
      <c r="G2709" s="2" t="s">
        <v>12057</v>
      </c>
      <c r="H2709" s="5" t="s">
        <v>8336</v>
      </c>
      <c r="I2709" s="5"/>
      <c r="J2709" s="5"/>
      <c r="K2709" s="5" t="s">
        <v>14702</v>
      </c>
    </row>
    <row r="2710" customFormat="false" ht="23.85" hidden="false" customHeight="false" outlineLevel="0" collapsed="false">
      <c r="A2710" s="5" t="s">
        <v>14703</v>
      </c>
      <c r="B2710" s="2" t="s">
        <v>14704</v>
      </c>
      <c r="C2710" s="5" t="s">
        <v>2128</v>
      </c>
      <c r="D2710" s="5" t="s">
        <v>62</v>
      </c>
      <c r="E2710" s="5" t="n">
        <v>7</v>
      </c>
      <c r="F2710" s="5" t="s">
        <v>67</v>
      </c>
      <c r="G2710" s="2" t="s">
        <v>367</v>
      </c>
      <c r="H2710" s="5" t="s">
        <v>8336</v>
      </c>
      <c r="I2710" s="5"/>
      <c r="J2710" s="5"/>
      <c r="K2710" s="5" t="s">
        <v>14705</v>
      </c>
    </row>
    <row r="2711" customFormat="false" ht="23.85" hidden="false" customHeight="false" outlineLevel="0" collapsed="false">
      <c r="A2711" s="5" t="s">
        <v>14706</v>
      </c>
      <c r="B2711" s="2" t="s">
        <v>14707</v>
      </c>
      <c r="C2711" s="5" t="s">
        <v>2128</v>
      </c>
      <c r="D2711" s="5" t="s">
        <v>62</v>
      </c>
      <c r="E2711" s="5" t="n">
        <v>7</v>
      </c>
      <c r="F2711" s="5" t="s">
        <v>67</v>
      </c>
      <c r="G2711" s="2" t="s">
        <v>367</v>
      </c>
      <c r="H2711" s="5" t="s">
        <v>8336</v>
      </c>
      <c r="I2711" s="5"/>
      <c r="J2711" s="5"/>
      <c r="K2711" s="5" t="s">
        <v>14708</v>
      </c>
    </row>
    <row r="2712" customFormat="false" ht="15" hidden="false" customHeight="false" outlineLevel="0" collapsed="false">
      <c r="A2712" s="5" t="s">
        <v>4058</v>
      </c>
      <c r="B2712" s="2" t="s">
        <v>4059</v>
      </c>
      <c r="C2712" s="5" t="s">
        <v>2128</v>
      </c>
      <c r="D2712" s="5" t="s">
        <v>62</v>
      </c>
      <c r="E2712" s="5" t="n">
        <v>5</v>
      </c>
      <c r="F2712" s="5" t="s">
        <v>67</v>
      </c>
      <c r="G2712" s="2" t="s">
        <v>367</v>
      </c>
      <c r="H2712" s="5" t="s">
        <v>8332</v>
      </c>
      <c r="I2712" s="5" t="s">
        <v>60</v>
      </c>
      <c r="J2712" s="5" t="s">
        <v>161</v>
      </c>
      <c r="K2712" s="5" t="s">
        <v>4063</v>
      </c>
    </row>
    <row r="2713" customFormat="false" ht="46.25" hidden="false" customHeight="false" outlineLevel="0" collapsed="false">
      <c r="A2713" s="5" t="s">
        <v>14709</v>
      </c>
      <c r="B2713" s="2" t="s">
        <v>14710</v>
      </c>
      <c r="C2713" s="5" t="s">
        <v>2245</v>
      </c>
      <c r="D2713" s="5" t="s">
        <v>490</v>
      </c>
      <c r="E2713" s="5" t="n">
        <v>5</v>
      </c>
      <c r="F2713" s="5" t="s">
        <v>10470</v>
      </c>
      <c r="G2713" s="2" t="s">
        <v>12054</v>
      </c>
      <c r="H2713" s="5" t="s">
        <v>8336</v>
      </c>
      <c r="I2713" s="5"/>
      <c r="J2713" s="5"/>
      <c r="K2713" s="5" t="s">
        <v>14711</v>
      </c>
    </row>
    <row r="2714" customFormat="false" ht="23.85" hidden="false" customHeight="false" outlineLevel="0" collapsed="false">
      <c r="A2714" s="5" t="s">
        <v>14712</v>
      </c>
      <c r="B2714" s="2" t="s">
        <v>14713</v>
      </c>
      <c r="C2714" s="5" t="s">
        <v>2128</v>
      </c>
      <c r="D2714" s="5" t="s">
        <v>62</v>
      </c>
      <c r="E2714" s="5" t="n">
        <v>7</v>
      </c>
      <c r="F2714" s="5" t="s">
        <v>413</v>
      </c>
      <c r="G2714" s="2" t="s">
        <v>367</v>
      </c>
      <c r="H2714" s="5" t="s">
        <v>8336</v>
      </c>
      <c r="I2714" s="5"/>
      <c r="J2714" s="5"/>
      <c r="K2714" s="5" t="s">
        <v>14714</v>
      </c>
    </row>
    <row r="2715" customFormat="false" ht="46.25" hidden="false" customHeight="false" outlineLevel="0" collapsed="false">
      <c r="A2715" s="5" t="s">
        <v>14715</v>
      </c>
      <c r="B2715" s="2" t="s">
        <v>14716</v>
      </c>
      <c r="C2715" s="5" t="s">
        <v>2245</v>
      </c>
      <c r="D2715" s="5" t="s">
        <v>62</v>
      </c>
      <c r="E2715" s="5" t="n">
        <v>5</v>
      </c>
      <c r="F2715" s="5" t="s">
        <v>67</v>
      </c>
      <c r="G2715" s="2" t="s">
        <v>12057</v>
      </c>
      <c r="H2715" s="5" t="s">
        <v>8336</v>
      </c>
      <c r="I2715" s="5"/>
      <c r="J2715" s="5"/>
      <c r="K2715" s="5" t="s">
        <v>14717</v>
      </c>
    </row>
    <row r="2716" customFormat="false" ht="46.25" hidden="false" customHeight="false" outlineLevel="0" collapsed="false">
      <c r="A2716" s="5" t="s">
        <v>14718</v>
      </c>
      <c r="B2716" s="2" t="s">
        <v>14719</v>
      </c>
      <c r="C2716" s="5" t="s">
        <v>2245</v>
      </c>
      <c r="D2716" s="5" t="s">
        <v>62</v>
      </c>
      <c r="E2716" s="5" t="n">
        <v>7</v>
      </c>
      <c r="F2716" s="5" t="s">
        <v>67</v>
      </c>
      <c r="G2716" s="2" t="s">
        <v>12057</v>
      </c>
      <c r="H2716" s="5" t="s">
        <v>8336</v>
      </c>
      <c r="I2716" s="5"/>
      <c r="J2716" s="5"/>
      <c r="K2716" s="5" t="s">
        <v>14720</v>
      </c>
    </row>
    <row r="2717" customFormat="false" ht="23.85" hidden="false" customHeight="false" outlineLevel="0" collapsed="false">
      <c r="A2717" s="5" t="s">
        <v>14721</v>
      </c>
      <c r="B2717" s="2" t="s">
        <v>14722</v>
      </c>
      <c r="C2717" s="5" t="s">
        <v>2128</v>
      </c>
      <c r="D2717" s="5" t="s">
        <v>62</v>
      </c>
      <c r="E2717" s="5" t="n">
        <v>5</v>
      </c>
      <c r="F2717" s="5" t="s">
        <v>67</v>
      </c>
      <c r="G2717" s="2" t="s">
        <v>367</v>
      </c>
      <c r="H2717" s="5" t="s">
        <v>8336</v>
      </c>
      <c r="I2717" s="5"/>
      <c r="J2717" s="5"/>
      <c r="K2717" s="5" t="s">
        <v>14723</v>
      </c>
    </row>
    <row r="2718" customFormat="false" ht="46.25" hidden="false" customHeight="false" outlineLevel="0" collapsed="false">
      <c r="A2718" s="5" t="s">
        <v>14724</v>
      </c>
      <c r="B2718" s="2" t="s">
        <v>14725</v>
      </c>
      <c r="C2718" s="5" t="s">
        <v>2245</v>
      </c>
      <c r="D2718" s="5" t="s">
        <v>62</v>
      </c>
      <c r="E2718" s="5" t="n">
        <v>5</v>
      </c>
      <c r="F2718" s="5" t="s">
        <v>90</v>
      </c>
      <c r="G2718" s="2" t="s">
        <v>12057</v>
      </c>
      <c r="H2718" s="5" t="s">
        <v>8336</v>
      </c>
      <c r="I2718" s="5"/>
      <c r="J2718" s="5"/>
      <c r="K2718" s="5" t="s">
        <v>14726</v>
      </c>
    </row>
    <row r="2719" customFormat="false" ht="46.25" hidden="false" customHeight="false" outlineLevel="0" collapsed="false">
      <c r="A2719" s="5" t="s">
        <v>14727</v>
      </c>
      <c r="B2719" s="2" t="s">
        <v>14728</v>
      </c>
      <c r="C2719" s="5" t="s">
        <v>2245</v>
      </c>
      <c r="D2719" s="5" t="s">
        <v>62</v>
      </c>
      <c r="E2719" s="5" t="n">
        <v>7</v>
      </c>
      <c r="F2719" s="5" t="s">
        <v>67</v>
      </c>
      <c r="G2719" s="2" t="s">
        <v>12057</v>
      </c>
      <c r="H2719" s="5" t="s">
        <v>8336</v>
      </c>
      <c r="I2719" s="5"/>
      <c r="J2719" s="5"/>
      <c r="K2719" s="5" t="s">
        <v>14729</v>
      </c>
    </row>
    <row r="2720" customFormat="false" ht="15" hidden="false" customHeight="false" outlineLevel="0" collapsed="false">
      <c r="A2720" s="5" t="s">
        <v>14730</v>
      </c>
      <c r="B2720" s="2" t="s">
        <v>14731</v>
      </c>
      <c r="C2720" s="5" t="s">
        <v>2128</v>
      </c>
      <c r="D2720" s="5" t="s">
        <v>62</v>
      </c>
      <c r="E2720" s="5" t="n">
        <v>7</v>
      </c>
      <c r="F2720" s="5" t="s">
        <v>413</v>
      </c>
      <c r="G2720" s="2" t="s">
        <v>367</v>
      </c>
      <c r="H2720" s="5" t="s">
        <v>8336</v>
      </c>
      <c r="I2720" s="5"/>
      <c r="J2720" s="5"/>
      <c r="K2720" s="5" t="s">
        <v>14732</v>
      </c>
    </row>
    <row r="2721" customFormat="false" ht="46.25" hidden="false" customHeight="false" outlineLevel="0" collapsed="false">
      <c r="A2721" s="5" t="s">
        <v>14733</v>
      </c>
      <c r="B2721" s="2" t="s">
        <v>14734</v>
      </c>
      <c r="C2721" s="5" t="s">
        <v>2245</v>
      </c>
      <c r="D2721" s="5" t="s">
        <v>62</v>
      </c>
      <c r="E2721" s="5" t="n">
        <v>7</v>
      </c>
      <c r="F2721" s="5" t="s">
        <v>413</v>
      </c>
      <c r="G2721" s="2" t="s">
        <v>12054</v>
      </c>
      <c r="H2721" s="5" t="s">
        <v>8336</v>
      </c>
      <c r="I2721" s="5"/>
      <c r="J2721" s="5"/>
      <c r="K2721" s="5" t="s">
        <v>14735</v>
      </c>
    </row>
    <row r="2722" customFormat="false" ht="46.25" hidden="false" customHeight="false" outlineLevel="0" collapsed="false">
      <c r="A2722" s="5" t="s">
        <v>6333</v>
      </c>
      <c r="B2722" s="2" t="s">
        <v>6334</v>
      </c>
      <c r="C2722" s="5" t="s">
        <v>2245</v>
      </c>
      <c r="D2722" s="5" t="s">
        <v>62</v>
      </c>
      <c r="E2722" s="5" t="n">
        <v>7</v>
      </c>
      <c r="F2722" s="5" t="s">
        <v>100</v>
      </c>
      <c r="G2722" s="2" t="s">
        <v>12057</v>
      </c>
      <c r="H2722" s="5" t="s">
        <v>8332</v>
      </c>
      <c r="I2722" s="5" t="s">
        <v>4760</v>
      </c>
      <c r="J2722" s="5" t="s">
        <v>100</v>
      </c>
      <c r="K2722" s="5" t="s">
        <v>6337</v>
      </c>
    </row>
    <row r="2723" customFormat="false" ht="23.85" hidden="false" customHeight="false" outlineLevel="0" collapsed="false">
      <c r="A2723" s="5" t="s">
        <v>14736</v>
      </c>
      <c r="B2723" s="2" t="s">
        <v>14737</v>
      </c>
      <c r="C2723" s="5" t="s">
        <v>2128</v>
      </c>
      <c r="D2723" s="5" t="s">
        <v>62</v>
      </c>
      <c r="E2723" s="5" t="n">
        <v>7</v>
      </c>
      <c r="F2723" s="5" t="s">
        <v>90</v>
      </c>
      <c r="G2723" s="2" t="s">
        <v>367</v>
      </c>
      <c r="H2723" s="5" t="s">
        <v>8336</v>
      </c>
      <c r="I2723" s="5"/>
      <c r="J2723" s="5"/>
      <c r="K2723" s="5" t="s">
        <v>14738</v>
      </c>
    </row>
    <row r="2724" customFormat="false" ht="15" hidden="false" customHeight="false" outlineLevel="0" collapsed="false">
      <c r="A2724" s="5" t="s">
        <v>14739</v>
      </c>
      <c r="B2724" s="2" t="s">
        <v>14740</v>
      </c>
      <c r="C2724" s="5" t="s">
        <v>2128</v>
      </c>
      <c r="D2724" s="5" t="s">
        <v>62</v>
      </c>
      <c r="E2724" s="5" t="n">
        <v>7</v>
      </c>
      <c r="F2724" s="5" t="s">
        <v>90</v>
      </c>
      <c r="G2724" s="2" t="s">
        <v>367</v>
      </c>
      <c r="H2724" s="5" t="s">
        <v>8336</v>
      </c>
      <c r="I2724" s="5"/>
      <c r="J2724" s="5"/>
      <c r="K2724" s="5" t="s">
        <v>14741</v>
      </c>
    </row>
    <row r="2725" customFormat="false" ht="23.85" hidden="false" customHeight="false" outlineLevel="0" collapsed="false">
      <c r="A2725" s="5" t="s">
        <v>14742</v>
      </c>
      <c r="B2725" s="2" t="s">
        <v>14743</v>
      </c>
      <c r="C2725" s="5" t="s">
        <v>2128</v>
      </c>
      <c r="D2725" s="5" t="s">
        <v>62</v>
      </c>
      <c r="E2725" s="5" t="n">
        <v>5</v>
      </c>
      <c r="F2725" s="5" t="s">
        <v>413</v>
      </c>
      <c r="G2725" s="2" t="s">
        <v>367</v>
      </c>
      <c r="H2725" s="5" t="s">
        <v>8336</v>
      </c>
      <c r="I2725" s="5"/>
      <c r="J2725" s="5"/>
      <c r="K2725" s="5" t="s">
        <v>14744</v>
      </c>
    </row>
    <row r="2726" customFormat="false" ht="46.25" hidden="false" customHeight="false" outlineLevel="0" collapsed="false">
      <c r="A2726" s="5" t="s">
        <v>14745</v>
      </c>
      <c r="B2726" s="2" t="s">
        <v>14746</v>
      </c>
      <c r="C2726" s="5" t="s">
        <v>2245</v>
      </c>
      <c r="D2726" s="5" t="s">
        <v>62</v>
      </c>
      <c r="E2726" s="5" t="n">
        <v>5</v>
      </c>
      <c r="F2726" s="5" t="s">
        <v>67</v>
      </c>
      <c r="G2726" s="2" t="s">
        <v>12057</v>
      </c>
      <c r="H2726" s="5" t="s">
        <v>8336</v>
      </c>
      <c r="I2726" s="5"/>
      <c r="J2726" s="5"/>
      <c r="K2726" s="5" t="s">
        <v>14747</v>
      </c>
    </row>
    <row r="2727" customFormat="false" ht="23.85" hidden="false" customHeight="false" outlineLevel="0" collapsed="false">
      <c r="A2727" s="5" t="s">
        <v>14748</v>
      </c>
      <c r="B2727" s="2" t="s">
        <v>14749</v>
      </c>
      <c r="C2727" s="5" t="s">
        <v>2128</v>
      </c>
      <c r="D2727" s="5" t="s">
        <v>62</v>
      </c>
      <c r="E2727" s="5" t="n">
        <v>5</v>
      </c>
      <c r="F2727" s="5" t="s">
        <v>90</v>
      </c>
      <c r="G2727" s="2" t="s">
        <v>367</v>
      </c>
      <c r="H2727" s="5" t="s">
        <v>8336</v>
      </c>
      <c r="I2727" s="5"/>
      <c r="J2727" s="5"/>
      <c r="K2727" s="5" t="s">
        <v>14750</v>
      </c>
    </row>
    <row r="2728" customFormat="false" ht="23.85" hidden="false" customHeight="false" outlineLevel="0" collapsed="false">
      <c r="A2728" s="5" t="s">
        <v>1701</v>
      </c>
      <c r="B2728" s="2" t="s">
        <v>1702</v>
      </c>
      <c r="C2728" s="5" t="s">
        <v>488</v>
      </c>
      <c r="D2728" s="5" t="s">
        <v>62</v>
      </c>
      <c r="E2728" s="5" t="n">
        <v>7</v>
      </c>
      <c r="F2728" s="5" t="s">
        <v>100</v>
      </c>
      <c r="G2728" s="2" t="s">
        <v>184</v>
      </c>
      <c r="H2728" s="5" t="s">
        <v>8332</v>
      </c>
      <c r="I2728" s="5" t="s">
        <v>60</v>
      </c>
      <c r="J2728" s="5" t="s">
        <v>303</v>
      </c>
      <c r="K2728" s="5" t="s">
        <v>1706</v>
      </c>
    </row>
    <row r="2729" customFormat="false" ht="46.25" hidden="false" customHeight="false" outlineLevel="0" collapsed="false">
      <c r="A2729" s="5" t="s">
        <v>14751</v>
      </c>
      <c r="B2729" s="2" t="s">
        <v>14752</v>
      </c>
      <c r="C2729" s="5" t="s">
        <v>2245</v>
      </c>
      <c r="D2729" s="5" t="s">
        <v>62</v>
      </c>
      <c r="E2729" s="5" t="n">
        <v>7</v>
      </c>
      <c r="F2729" s="5" t="s">
        <v>90</v>
      </c>
      <c r="G2729" s="2" t="s">
        <v>12057</v>
      </c>
      <c r="H2729" s="5" t="s">
        <v>8336</v>
      </c>
      <c r="I2729" s="5"/>
      <c r="J2729" s="5"/>
      <c r="K2729" s="5" t="s">
        <v>14753</v>
      </c>
    </row>
    <row r="2730" customFormat="false" ht="23.85" hidden="false" customHeight="false" outlineLevel="0" collapsed="false">
      <c r="A2730" s="5" t="s">
        <v>14754</v>
      </c>
      <c r="B2730" s="2" t="s">
        <v>14755</v>
      </c>
      <c r="C2730" s="5" t="s">
        <v>2128</v>
      </c>
      <c r="D2730" s="5" t="s">
        <v>62</v>
      </c>
      <c r="E2730" s="5" t="n">
        <v>5</v>
      </c>
      <c r="F2730" s="5" t="s">
        <v>90</v>
      </c>
      <c r="G2730" s="2" t="s">
        <v>367</v>
      </c>
      <c r="H2730" s="5" t="s">
        <v>8336</v>
      </c>
      <c r="I2730" s="5"/>
      <c r="J2730" s="5"/>
      <c r="K2730" s="5" t="s">
        <v>14756</v>
      </c>
    </row>
    <row r="2731" customFormat="false" ht="46.25" hidden="false" customHeight="false" outlineLevel="0" collapsed="false">
      <c r="A2731" s="5" t="s">
        <v>14757</v>
      </c>
      <c r="B2731" s="2" t="s">
        <v>14758</v>
      </c>
      <c r="C2731" s="5" t="s">
        <v>2245</v>
      </c>
      <c r="D2731" s="5" t="s">
        <v>62</v>
      </c>
      <c r="E2731" s="5" t="n">
        <v>7</v>
      </c>
      <c r="F2731" s="5" t="s">
        <v>90</v>
      </c>
      <c r="G2731" s="2" t="s">
        <v>12057</v>
      </c>
      <c r="H2731" s="5" t="s">
        <v>8336</v>
      </c>
      <c r="I2731" s="5"/>
      <c r="J2731" s="5"/>
      <c r="K2731" s="5" t="s">
        <v>14759</v>
      </c>
    </row>
    <row r="2732" customFormat="false" ht="46.25" hidden="false" customHeight="false" outlineLevel="0" collapsed="false">
      <c r="A2732" s="5" t="s">
        <v>14760</v>
      </c>
      <c r="B2732" s="2" t="s">
        <v>14761</v>
      </c>
      <c r="C2732" s="5" t="s">
        <v>2245</v>
      </c>
      <c r="D2732" s="5" t="s">
        <v>62</v>
      </c>
      <c r="E2732" s="5" t="n">
        <v>5</v>
      </c>
      <c r="F2732" s="5" t="s">
        <v>90</v>
      </c>
      <c r="G2732" s="2" t="s">
        <v>12054</v>
      </c>
      <c r="H2732" s="5" t="s">
        <v>8336</v>
      </c>
      <c r="I2732" s="5"/>
      <c r="J2732" s="5"/>
      <c r="K2732" s="5" t="s">
        <v>14762</v>
      </c>
    </row>
    <row r="2733" customFormat="false" ht="46.25" hidden="false" customHeight="false" outlineLevel="0" collapsed="false">
      <c r="A2733" s="5" t="s">
        <v>14763</v>
      </c>
      <c r="B2733" s="2" t="s">
        <v>14764</v>
      </c>
      <c r="C2733" s="5" t="s">
        <v>2245</v>
      </c>
      <c r="D2733" s="5" t="s">
        <v>62</v>
      </c>
      <c r="E2733" s="5" t="n">
        <v>5</v>
      </c>
      <c r="F2733" s="5" t="s">
        <v>90</v>
      </c>
      <c r="G2733" s="2" t="s">
        <v>12057</v>
      </c>
      <c r="H2733" s="5" t="s">
        <v>8336</v>
      </c>
      <c r="I2733" s="5"/>
      <c r="J2733" s="5"/>
      <c r="K2733" s="5" t="s">
        <v>14765</v>
      </c>
    </row>
    <row r="2734" customFormat="false" ht="46.25" hidden="false" customHeight="false" outlineLevel="0" collapsed="false">
      <c r="A2734" s="5" t="s">
        <v>14766</v>
      </c>
      <c r="B2734" s="2" t="s">
        <v>14767</v>
      </c>
      <c r="C2734" s="5" t="s">
        <v>2245</v>
      </c>
      <c r="D2734" s="5" t="s">
        <v>62</v>
      </c>
      <c r="E2734" s="5" t="n">
        <v>5</v>
      </c>
      <c r="F2734" s="5" t="s">
        <v>90</v>
      </c>
      <c r="G2734" s="2" t="s">
        <v>12057</v>
      </c>
      <c r="H2734" s="5" t="s">
        <v>8336</v>
      </c>
      <c r="I2734" s="5"/>
      <c r="J2734" s="5"/>
      <c r="K2734" s="5" t="s">
        <v>14768</v>
      </c>
    </row>
    <row r="2735" customFormat="false" ht="46.25" hidden="false" customHeight="false" outlineLevel="0" collapsed="false">
      <c r="A2735" s="5" t="s">
        <v>14769</v>
      </c>
      <c r="B2735" s="2" t="s">
        <v>14770</v>
      </c>
      <c r="C2735" s="5" t="s">
        <v>2245</v>
      </c>
      <c r="D2735" s="5" t="s">
        <v>62</v>
      </c>
      <c r="E2735" s="5" t="n">
        <v>5</v>
      </c>
      <c r="F2735" s="5" t="s">
        <v>67</v>
      </c>
      <c r="G2735" s="2" t="s">
        <v>12057</v>
      </c>
      <c r="H2735" s="5" t="s">
        <v>8336</v>
      </c>
      <c r="I2735" s="5"/>
      <c r="J2735" s="5"/>
      <c r="K2735" s="5" t="s">
        <v>14771</v>
      </c>
    </row>
    <row r="2736" customFormat="false" ht="23.85" hidden="false" customHeight="false" outlineLevel="0" collapsed="false">
      <c r="A2736" s="5" t="s">
        <v>14772</v>
      </c>
      <c r="B2736" s="2" t="s">
        <v>14773</v>
      </c>
      <c r="C2736" s="5" t="s">
        <v>2128</v>
      </c>
      <c r="D2736" s="5" t="s">
        <v>62</v>
      </c>
      <c r="E2736" s="5" t="n">
        <v>5</v>
      </c>
      <c r="F2736" s="5" t="s">
        <v>67</v>
      </c>
      <c r="G2736" s="2" t="s">
        <v>367</v>
      </c>
      <c r="H2736" s="5" t="s">
        <v>8336</v>
      </c>
      <c r="I2736" s="5"/>
      <c r="J2736" s="5"/>
      <c r="K2736" s="5" t="s">
        <v>14774</v>
      </c>
    </row>
    <row r="2737" customFormat="false" ht="46.25" hidden="false" customHeight="false" outlineLevel="0" collapsed="false">
      <c r="A2737" s="5" t="s">
        <v>14775</v>
      </c>
      <c r="B2737" s="2" t="s">
        <v>14776</v>
      </c>
      <c r="C2737" s="5" t="s">
        <v>2245</v>
      </c>
      <c r="D2737" s="5" t="s">
        <v>62</v>
      </c>
      <c r="E2737" s="5" t="n">
        <v>5</v>
      </c>
      <c r="F2737" s="5" t="s">
        <v>413</v>
      </c>
      <c r="G2737" s="2" t="s">
        <v>12057</v>
      </c>
      <c r="H2737" s="5" t="s">
        <v>8336</v>
      </c>
      <c r="I2737" s="5"/>
      <c r="J2737" s="5"/>
      <c r="K2737" s="5" t="s">
        <v>14777</v>
      </c>
    </row>
    <row r="2738" customFormat="false" ht="46.25" hidden="false" customHeight="false" outlineLevel="0" collapsed="false">
      <c r="A2738" s="5" t="s">
        <v>14778</v>
      </c>
      <c r="B2738" s="2" t="s">
        <v>14779</v>
      </c>
      <c r="C2738" s="5" t="s">
        <v>2245</v>
      </c>
      <c r="D2738" s="5" t="s">
        <v>490</v>
      </c>
      <c r="E2738" s="5" t="n">
        <v>7</v>
      </c>
      <c r="F2738" s="5" t="s">
        <v>67</v>
      </c>
      <c r="G2738" s="2" t="s">
        <v>12057</v>
      </c>
      <c r="H2738" s="5" t="s">
        <v>8336</v>
      </c>
      <c r="I2738" s="5"/>
      <c r="J2738" s="5"/>
      <c r="K2738" s="5" t="s">
        <v>14780</v>
      </c>
    </row>
    <row r="2739" customFormat="false" ht="23.85" hidden="false" customHeight="false" outlineLevel="0" collapsed="false">
      <c r="A2739" s="5" t="s">
        <v>14781</v>
      </c>
      <c r="B2739" s="2" t="s">
        <v>14782</v>
      </c>
      <c r="C2739" s="5" t="s">
        <v>2128</v>
      </c>
      <c r="D2739" s="5" t="s">
        <v>62</v>
      </c>
      <c r="E2739" s="5" t="n">
        <v>5</v>
      </c>
      <c r="F2739" s="5" t="s">
        <v>90</v>
      </c>
      <c r="G2739" s="2" t="s">
        <v>367</v>
      </c>
      <c r="H2739" s="5" t="s">
        <v>8336</v>
      </c>
      <c r="I2739" s="5"/>
      <c r="J2739" s="5"/>
      <c r="K2739" s="5" t="s">
        <v>14783</v>
      </c>
    </row>
    <row r="2740" customFormat="false" ht="46.25" hidden="false" customHeight="false" outlineLevel="0" collapsed="false">
      <c r="A2740" s="5" t="s">
        <v>14784</v>
      </c>
      <c r="B2740" s="2" t="s">
        <v>14785</v>
      </c>
      <c r="C2740" s="5" t="s">
        <v>2245</v>
      </c>
      <c r="D2740" s="5" t="s">
        <v>62</v>
      </c>
      <c r="E2740" s="5" t="n">
        <v>7</v>
      </c>
      <c r="F2740" s="5" t="s">
        <v>413</v>
      </c>
      <c r="G2740" s="2" t="s">
        <v>12057</v>
      </c>
      <c r="H2740" s="5" t="s">
        <v>8336</v>
      </c>
      <c r="I2740" s="5"/>
      <c r="J2740" s="5"/>
      <c r="K2740" s="5" t="s">
        <v>14786</v>
      </c>
    </row>
    <row r="2741" customFormat="false" ht="46.25" hidden="false" customHeight="false" outlineLevel="0" collapsed="false">
      <c r="A2741" s="5" t="s">
        <v>14787</v>
      </c>
      <c r="B2741" s="2" t="s">
        <v>14788</v>
      </c>
      <c r="C2741" s="5" t="s">
        <v>2245</v>
      </c>
      <c r="D2741" s="5" t="s">
        <v>62</v>
      </c>
      <c r="E2741" s="5" t="n">
        <v>5</v>
      </c>
      <c r="F2741" s="5" t="s">
        <v>536</v>
      </c>
      <c r="G2741" s="2" t="s">
        <v>12057</v>
      </c>
      <c r="H2741" s="5" t="s">
        <v>8336</v>
      </c>
      <c r="I2741" s="5"/>
      <c r="J2741" s="5"/>
      <c r="K2741" s="5" t="s">
        <v>14789</v>
      </c>
    </row>
    <row r="2742" customFormat="false" ht="46.25" hidden="false" customHeight="false" outlineLevel="0" collapsed="false">
      <c r="A2742" s="5" t="s">
        <v>14790</v>
      </c>
      <c r="B2742" s="2" t="s">
        <v>14791</v>
      </c>
      <c r="C2742" s="5" t="s">
        <v>2245</v>
      </c>
      <c r="D2742" s="5" t="s">
        <v>62</v>
      </c>
      <c r="E2742" s="5" t="n">
        <v>5</v>
      </c>
      <c r="F2742" s="5" t="s">
        <v>536</v>
      </c>
      <c r="G2742" s="2" t="s">
        <v>12057</v>
      </c>
      <c r="H2742" s="5" t="s">
        <v>8336</v>
      </c>
      <c r="I2742" s="5"/>
      <c r="J2742" s="5"/>
      <c r="K2742" s="5" t="s">
        <v>14792</v>
      </c>
    </row>
    <row r="2743" customFormat="false" ht="46.25" hidden="false" customHeight="false" outlineLevel="0" collapsed="false">
      <c r="A2743" s="5" t="s">
        <v>14793</v>
      </c>
      <c r="B2743" s="2" t="s">
        <v>14794</v>
      </c>
      <c r="C2743" s="5" t="s">
        <v>2245</v>
      </c>
      <c r="D2743" s="5" t="s">
        <v>62</v>
      </c>
      <c r="E2743" s="5" t="n">
        <v>7</v>
      </c>
      <c r="F2743" s="5" t="s">
        <v>67</v>
      </c>
      <c r="G2743" s="2" t="s">
        <v>12057</v>
      </c>
      <c r="H2743" s="5" t="s">
        <v>8336</v>
      </c>
      <c r="I2743" s="5"/>
      <c r="J2743" s="5"/>
      <c r="K2743" s="5" t="s">
        <v>14795</v>
      </c>
    </row>
    <row r="2744" customFormat="false" ht="46.25" hidden="false" customHeight="false" outlineLevel="0" collapsed="false">
      <c r="A2744" s="5" t="s">
        <v>14796</v>
      </c>
      <c r="B2744" s="2" t="s">
        <v>14797</v>
      </c>
      <c r="C2744" s="5" t="s">
        <v>2245</v>
      </c>
      <c r="D2744" s="5" t="s">
        <v>62</v>
      </c>
      <c r="E2744" s="5" t="n">
        <v>5</v>
      </c>
      <c r="F2744" s="5" t="s">
        <v>90</v>
      </c>
      <c r="G2744" s="2" t="s">
        <v>12057</v>
      </c>
      <c r="H2744" s="5" t="s">
        <v>8336</v>
      </c>
      <c r="I2744" s="5"/>
      <c r="J2744" s="5"/>
      <c r="K2744" s="5" t="s">
        <v>14798</v>
      </c>
    </row>
    <row r="2745" customFormat="false" ht="46.25" hidden="false" customHeight="false" outlineLevel="0" collapsed="false">
      <c r="A2745" s="5" t="s">
        <v>14799</v>
      </c>
      <c r="B2745" s="2" t="s">
        <v>14800</v>
      </c>
      <c r="C2745" s="5" t="s">
        <v>2245</v>
      </c>
      <c r="D2745" s="5" t="s">
        <v>62</v>
      </c>
      <c r="E2745" s="5" t="n">
        <v>5</v>
      </c>
      <c r="F2745" s="5" t="s">
        <v>90</v>
      </c>
      <c r="G2745" s="2" t="s">
        <v>12057</v>
      </c>
      <c r="H2745" s="5" t="s">
        <v>8336</v>
      </c>
      <c r="I2745" s="5"/>
      <c r="J2745" s="5"/>
      <c r="K2745" s="5" t="s">
        <v>14801</v>
      </c>
    </row>
    <row r="2746" customFormat="false" ht="23.85" hidden="false" customHeight="false" outlineLevel="0" collapsed="false">
      <c r="A2746" s="5" t="s">
        <v>4064</v>
      </c>
      <c r="B2746" s="2" t="s">
        <v>4065</v>
      </c>
      <c r="C2746" s="5" t="s">
        <v>2128</v>
      </c>
      <c r="D2746" s="5" t="s">
        <v>62</v>
      </c>
      <c r="E2746" s="5" t="n">
        <v>7</v>
      </c>
      <c r="F2746" s="5" t="s">
        <v>67</v>
      </c>
      <c r="G2746" s="2" t="s">
        <v>367</v>
      </c>
      <c r="H2746" s="5" t="s">
        <v>8332</v>
      </c>
      <c r="I2746" s="5" t="s">
        <v>60</v>
      </c>
      <c r="J2746" s="5" t="s">
        <v>161</v>
      </c>
      <c r="K2746" s="5" t="s">
        <v>4068</v>
      </c>
    </row>
    <row r="2747" customFormat="false" ht="46.25" hidden="false" customHeight="false" outlineLevel="0" collapsed="false">
      <c r="A2747" s="5" t="s">
        <v>14802</v>
      </c>
      <c r="B2747" s="2" t="s">
        <v>14803</v>
      </c>
      <c r="C2747" s="5" t="s">
        <v>2245</v>
      </c>
      <c r="D2747" s="5" t="s">
        <v>62</v>
      </c>
      <c r="E2747" s="5" t="n">
        <v>5</v>
      </c>
      <c r="F2747" s="5" t="s">
        <v>90</v>
      </c>
      <c r="G2747" s="2" t="s">
        <v>12057</v>
      </c>
      <c r="H2747" s="5" t="s">
        <v>8336</v>
      </c>
      <c r="I2747" s="5"/>
      <c r="J2747" s="5"/>
      <c r="K2747" s="5" t="s">
        <v>14804</v>
      </c>
    </row>
    <row r="2748" customFormat="false" ht="23.85" hidden="false" customHeight="false" outlineLevel="0" collapsed="false">
      <c r="A2748" s="5" t="s">
        <v>14805</v>
      </c>
      <c r="B2748" s="2" t="s">
        <v>14806</v>
      </c>
      <c r="C2748" s="5" t="s">
        <v>2128</v>
      </c>
      <c r="D2748" s="5" t="s">
        <v>62</v>
      </c>
      <c r="E2748" s="5" t="n">
        <v>7</v>
      </c>
      <c r="F2748" s="5" t="s">
        <v>90</v>
      </c>
      <c r="G2748" s="2" t="s">
        <v>367</v>
      </c>
      <c r="H2748" s="5" t="s">
        <v>8336</v>
      </c>
      <c r="I2748" s="5"/>
      <c r="J2748" s="5"/>
      <c r="K2748" s="5" t="s">
        <v>14807</v>
      </c>
    </row>
    <row r="2749" customFormat="false" ht="23.85" hidden="false" customHeight="false" outlineLevel="0" collapsed="false">
      <c r="A2749" s="5" t="s">
        <v>14808</v>
      </c>
      <c r="B2749" s="2" t="s">
        <v>14809</v>
      </c>
      <c r="C2749" s="5" t="s">
        <v>2128</v>
      </c>
      <c r="D2749" s="5" t="s">
        <v>62</v>
      </c>
      <c r="E2749" s="5" t="n">
        <v>5</v>
      </c>
      <c r="F2749" s="5" t="s">
        <v>90</v>
      </c>
      <c r="G2749" s="2" t="s">
        <v>367</v>
      </c>
      <c r="H2749" s="5" t="s">
        <v>8336</v>
      </c>
      <c r="I2749" s="5"/>
      <c r="J2749" s="5"/>
      <c r="K2749" s="5" t="s">
        <v>14810</v>
      </c>
    </row>
    <row r="2750" customFormat="false" ht="23.85" hidden="false" customHeight="false" outlineLevel="0" collapsed="false">
      <c r="A2750" s="5" t="s">
        <v>14811</v>
      </c>
      <c r="B2750" s="2" t="s">
        <v>14812</v>
      </c>
      <c r="C2750" s="5" t="s">
        <v>2128</v>
      </c>
      <c r="D2750" s="5" t="s">
        <v>62</v>
      </c>
      <c r="E2750" s="5" t="n">
        <v>7</v>
      </c>
      <c r="F2750" s="5" t="s">
        <v>67</v>
      </c>
      <c r="G2750" s="2" t="s">
        <v>367</v>
      </c>
      <c r="H2750" s="5" t="s">
        <v>8336</v>
      </c>
      <c r="I2750" s="5"/>
      <c r="J2750" s="5"/>
      <c r="K2750" s="5" t="s">
        <v>14813</v>
      </c>
    </row>
    <row r="2751" customFormat="false" ht="46.25" hidden="false" customHeight="false" outlineLevel="0" collapsed="false">
      <c r="A2751" s="5" t="s">
        <v>14814</v>
      </c>
      <c r="B2751" s="2" t="s">
        <v>14815</v>
      </c>
      <c r="C2751" s="5" t="s">
        <v>2245</v>
      </c>
      <c r="D2751" s="5" t="s">
        <v>62</v>
      </c>
      <c r="E2751" s="5" t="n">
        <v>5</v>
      </c>
      <c r="F2751" s="5" t="s">
        <v>67</v>
      </c>
      <c r="G2751" s="2" t="s">
        <v>12057</v>
      </c>
      <c r="H2751" s="5" t="s">
        <v>8336</v>
      </c>
      <c r="I2751" s="5"/>
      <c r="J2751" s="5"/>
      <c r="K2751" s="5" t="s">
        <v>14816</v>
      </c>
    </row>
    <row r="2752" customFormat="false" ht="46.25" hidden="false" customHeight="false" outlineLevel="0" collapsed="false">
      <c r="A2752" s="5" t="s">
        <v>6338</v>
      </c>
      <c r="B2752" s="2" t="s">
        <v>6339</v>
      </c>
      <c r="C2752" s="5" t="s">
        <v>2245</v>
      </c>
      <c r="D2752" s="5" t="s">
        <v>490</v>
      </c>
      <c r="E2752" s="5" t="n">
        <v>5</v>
      </c>
      <c r="F2752" s="5" t="s">
        <v>2079</v>
      </c>
      <c r="G2752" s="2" t="s">
        <v>12057</v>
      </c>
      <c r="H2752" s="5" t="s">
        <v>8332</v>
      </c>
      <c r="I2752" s="5" t="s">
        <v>4760</v>
      </c>
      <c r="J2752" s="5" t="s">
        <v>2079</v>
      </c>
      <c r="K2752" s="5" t="s">
        <v>6342</v>
      </c>
    </row>
    <row r="2753" customFormat="false" ht="46.25" hidden="false" customHeight="false" outlineLevel="0" collapsed="false">
      <c r="A2753" s="5" t="s">
        <v>14817</v>
      </c>
      <c r="B2753" s="2" t="s">
        <v>14818</v>
      </c>
      <c r="C2753" s="5" t="s">
        <v>2128</v>
      </c>
      <c r="D2753" s="5" t="s">
        <v>62</v>
      </c>
      <c r="E2753" s="5" t="n">
        <v>7</v>
      </c>
      <c r="F2753" s="5" t="s">
        <v>90</v>
      </c>
      <c r="G2753" s="2" t="s">
        <v>12057</v>
      </c>
      <c r="H2753" s="5" t="s">
        <v>8336</v>
      </c>
      <c r="I2753" s="5"/>
      <c r="J2753" s="5"/>
      <c r="K2753" s="5" t="s">
        <v>14819</v>
      </c>
    </row>
    <row r="2754" customFormat="false" ht="46.25" hidden="false" customHeight="false" outlineLevel="0" collapsed="false">
      <c r="A2754" s="5" t="s">
        <v>14820</v>
      </c>
      <c r="B2754" s="2" t="s">
        <v>14821</v>
      </c>
      <c r="C2754" s="5" t="s">
        <v>2245</v>
      </c>
      <c r="D2754" s="5" t="s">
        <v>62</v>
      </c>
      <c r="E2754" s="5" t="n">
        <v>7</v>
      </c>
      <c r="F2754" s="5" t="s">
        <v>90</v>
      </c>
      <c r="G2754" s="2" t="s">
        <v>12057</v>
      </c>
      <c r="H2754" s="5" t="s">
        <v>8336</v>
      </c>
      <c r="I2754" s="5"/>
      <c r="J2754" s="5"/>
      <c r="K2754" s="5" t="s">
        <v>14822</v>
      </c>
    </row>
    <row r="2755" customFormat="false" ht="23.85" hidden="false" customHeight="false" outlineLevel="0" collapsed="false">
      <c r="A2755" s="5" t="s">
        <v>14823</v>
      </c>
      <c r="B2755" s="2" t="s">
        <v>14824</v>
      </c>
      <c r="C2755" s="5" t="s">
        <v>2128</v>
      </c>
      <c r="D2755" s="5" t="s">
        <v>62</v>
      </c>
      <c r="E2755" s="5" t="n">
        <v>7</v>
      </c>
      <c r="F2755" s="5" t="s">
        <v>90</v>
      </c>
      <c r="G2755" s="2" t="s">
        <v>367</v>
      </c>
      <c r="H2755" s="5" t="s">
        <v>8336</v>
      </c>
      <c r="I2755" s="5"/>
      <c r="J2755" s="5"/>
      <c r="K2755" s="5" t="s">
        <v>14825</v>
      </c>
    </row>
    <row r="2756" customFormat="false" ht="46.25" hidden="false" customHeight="false" outlineLevel="0" collapsed="false">
      <c r="A2756" s="5" t="s">
        <v>6343</v>
      </c>
      <c r="B2756" s="2" t="s">
        <v>6344</v>
      </c>
      <c r="C2756" s="5" t="s">
        <v>2245</v>
      </c>
      <c r="D2756" s="5" t="s">
        <v>62</v>
      </c>
      <c r="E2756" s="5" t="n">
        <v>5</v>
      </c>
      <c r="F2756" s="5" t="s">
        <v>100</v>
      </c>
      <c r="G2756" s="2" t="s">
        <v>12057</v>
      </c>
      <c r="H2756" s="5" t="s">
        <v>8332</v>
      </c>
      <c r="I2756" s="5" t="s">
        <v>4760</v>
      </c>
      <c r="J2756" s="5" t="s">
        <v>100</v>
      </c>
      <c r="K2756" s="5" t="s">
        <v>6347</v>
      </c>
    </row>
    <row r="2757" customFormat="false" ht="46.25" hidden="false" customHeight="false" outlineLevel="0" collapsed="false">
      <c r="A2757" s="5" t="s">
        <v>14826</v>
      </c>
      <c r="B2757" s="2" t="s">
        <v>14827</v>
      </c>
      <c r="C2757" s="5" t="s">
        <v>2245</v>
      </c>
      <c r="D2757" s="5" t="s">
        <v>490</v>
      </c>
      <c r="E2757" s="5" t="n">
        <v>5</v>
      </c>
      <c r="F2757" s="5" t="s">
        <v>413</v>
      </c>
      <c r="G2757" s="2" t="s">
        <v>12057</v>
      </c>
      <c r="H2757" s="5" t="s">
        <v>8336</v>
      </c>
      <c r="I2757" s="5"/>
      <c r="J2757" s="5"/>
      <c r="K2757" s="5" t="s">
        <v>14828</v>
      </c>
    </row>
    <row r="2758" customFormat="false" ht="23.85" hidden="false" customHeight="false" outlineLevel="0" collapsed="false">
      <c r="A2758" s="5" t="s">
        <v>1707</v>
      </c>
      <c r="B2758" s="2" t="s">
        <v>1708</v>
      </c>
      <c r="C2758" s="5" t="s">
        <v>488</v>
      </c>
      <c r="D2758" s="5" t="s">
        <v>62</v>
      </c>
      <c r="E2758" s="5" t="n">
        <v>5</v>
      </c>
      <c r="F2758" s="5" t="s">
        <v>100</v>
      </c>
      <c r="G2758" s="2" t="s">
        <v>367</v>
      </c>
      <c r="H2758" s="5" t="s">
        <v>8332</v>
      </c>
      <c r="I2758" s="5" t="s">
        <v>60</v>
      </c>
      <c r="J2758" s="5" t="s">
        <v>100</v>
      </c>
      <c r="K2758" s="5" t="s">
        <v>1711</v>
      </c>
    </row>
    <row r="2759" customFormat="false" ht="23.85" hidden="false" customHeight="false" outlineLevel="0" collapsed="false">
      <c r="A2759" s="5" t="s">
        <v>14829</v>
      </c>
      <c r="B2759" s="2" t="s">
        <v>14830</v>
      </c>
      <c r="C2759" s="5" t="s">
        <v>2128</v>
      </c>
      <c r="D2759" s="5" t="s">
        <v>62</v>
      </c>
      <c r="E2759" s="5" t="n">
        <v>5</v>
      </c>
      <c r="F2759" s="5" t="s">
        <v>1814</v>
      </c>
      <c r="G2759" s="2" t="s">
        <v>367</v>
      </c>
      <c r="H2759" s="5" t="s">
        <v>8336</v>
      </c>
      <c r="I2759" s="5"/>
      <c r="J2759" s="5"/>
      <c r="K2759" s="5" t="s">
        <v>14831</v>
      </c>
    </row>
    <row r="2760" customFormat="false" ht="23.85" hidden="false" customHeight="false" outlineLevel="0" collapsed="false">
      <c r="A2760" s="5" t="s">
        <v>14832</v>
      </c>
      <c r="B2760" s="2" t="s">
        <v>14833</v>
      </c>
      <c r="C2760" s="5" t="s">
        <v>2128</v>
      </c>
      <c r="D2760" s="5" t="s">
        <v>62</v>
      </c>
      <c r="E2760" s="5" t="n">
        <v>3</v>
      </c>
      <c r="F2760" s="5" t="s">
        <v>90</v>
      </c>
      <c r="G2760" s="2" t="s">
        <v>367</v>
      </c>
      <c r="H2760" s="5" t="s">
        <v>8336</v>
      </c>
      <c r="I2760" s="5"/>
      <c r="J2760" s="5"/>
      <c r="K2760" s="5" t="s">
        <v>14834</v>
      </c>
    </row>
    <row r="2761" customFormat="false" ht="23.85" hidden="false" customHeight="false" outlineLevel="0" collapsed="false">
      <c r="A2761" s="5" t="s">
        <v>14835</v>
      </c>
      <c r="B2761" s="2" t="s">
        <v>14836</v>
      </c>
      <c r="C2761" s="5" t="s">
        <v>2128</v>
      </c>
      <c r="D2761" s="5" t="s">
        <v>62</v>
      </c>
      <c r="E2761" s="5" t="n">
        <v>5</v>
      </c>
      <c r="F2761" s="5" t="s">
        <v>90</v>
      </c>
      <c r="G2761" s="2" t="s">
        <v>367</v>
      </c>
      <c r="H2761" s="5" t="s">
        <v>8336</v>
      </c>
      <c r="I2761" s="5"/>
      <c r="J2761" s="5"/>
      <c r="K2761" s="5" t="s">
        <v>14837</v>
      </c>
    </row>
    <row r="2762" customFormat="false" ht="46.25" hidden="false" customHeight="false" outlineLevel="0" collapsed="false">
      <c r="A2762" s="5" t="s">
        <v>14838</v>
      </c>
      <c r="B2762" s="2" t="s">
        <v>14839</v>
      </c>
      <c r="C2762" s="5" t="s">
        <v>2245</v>
      </c>
      <c r="D2762" s="5" t="s">
        <v>62</v>
      </c>
      <c r="E2762" s="5" t="n">
        <v>7</v>
      </c>
      <c r="F2762" s="5" t="s">
        <v>90</v>
      </c>
      <c r="G2762" s="2" t="s">
        <v>12057</v>
      </c>
      <c r="H2762" s="5" t="s">
        <v>8336</v>
      </c>
      <c r="I2762" s="5"/>
      <c r="J2762" s="5"/>
      <c r="K2762" s="5" t="s">
        <v>14840</v>
      </c>
    </row>
    <row r="2763" customFormat="false" ht="46.25" hidden="false" customHeight="false" outlineLevel="0" collapsed="false">
      <c r="A2763" s="5" t="s">
        <v>14841</v>
      </c>
      <c r="B2763" s="2" t="s">
        <v>14842</v>
      </c>
      <c r="C2763" s="5" t="s">
        <v>2245</v>
      </c>
      <c r="D2763" s="5" t="s">
        <v>62</v>
      </c>
      <c r="E2763" s="5" t="n">
        <v>7</v>
      </c>
      <c r="F2763" s="5" t="s">
        <v>67</v>
      </c>
      <c r="G2763" s="2" t="s">
        <v>12057</v>
      </c>
      <c r="H2763" s="5" t="s">
        <v>8336</v>
      </c>
      <c r="I2763" s="5"/>
      <c r="J2763" s="5"/>
      <c r="K2763" s="5" t="s">
        <v>14843</v>
      </c>
    </row>
    <row r="2764" customFormat="false" ht="46.25" hidden="false" customHeight="false" outlineLevel="0" collapsed="false">
      <c r="A2764" s="5" t="s">
        <v>14844</v>
      </c>
      <c r="B2764" s="2" t="s">
        <v>14845</v>
      </c>
      <c r="C2764" s="5" t="s">
        <v>2245</v>
      </c>
      <c r="D2764" s="5" t="s">
        <v>62</v>
      </c>
      <c r="E2764" s="5" t="n">
        <v>5</v>
      </c>
      <c r="F2764" s="5" t="s">
        <v>67</v>
      </c>
      <c r="G2764" s="2" t="s">
        <v>12057</v>
      </c>
      <c r="H2764" s="5" t="s">
        <v>8336</v>
      </c>
      <c r="I2764" s="5"/>
      <c r="J2764" s="5"/>
      <c r="K2764" s="5" t="s">
        <v>14846</v>
      </c>
    </row>
    <row r="2765" customFormat="false" ht="46.25" hidden="false" customHeight="false" outlineLevel="0" collapsed="false">
      <c r="A2765" s="5" t="s">
        <v>14847</v>
      </c>
      <c r="B2765" s="2" t="s">
        <v>14848</v>
      </c>
      <c r="C2765" s="5" t="s">
        <v>2245</v>
      </c>
      <c r="D2765" s="5" t="s">
        <v>62</v>
      </c>
      <c r="E2765" s="5" t="n">
        <v>5</v>
      </c>
      <c r="F2765" s="5" t="s">
        <v>413</v>
      </c>
      <c r="G2765" s="2" t="s">
        <v>12057</v>
      </c>
      <c r="H2765" s="5" t="s">
        <v>8336</v>
      </c>
      <c r="I2765" s="5"/>
      <c r="J2765" s="5"/>
      <c r="K2765" s="5" t="s">
        <v>14849</v>
      </c>
    </row>
    <row r="2766" customFormat="false" ht="46.25" hidden="false" customHeight="false" outlineLevel="0" collapsed="false">
      <c r="A2766" s="5" t="s">
        <v>14850</v>
      </c>
      <c r="B2766" s="2" t="s">
        <v>14851</v>
      </c>
      <c r="C2766" s="5" t="s">
        <v>2245</v>
      </c>
      <c r="D2766" s="5" t="s">
        <v>62</v>
      </c>
      <c r="E2766" s="5" t="n">
        <v>7</v>
      </c>
      <c r="F2766" s="5" t="s">
        <v>67</v>
      </c>
      <c r="G2766" s="2" t="s">
        <v>12057</v>
      </c>
      <c r="H2766" s="5" t="s">
        <v>8336</v>
      </c>
      <c r="I2766" s="5"/>
      <c r="J2766" s="5"/>
      <c r="K2766" s="5" t="s">
        <v>14852</v>
      </c>
    </row>
    <row r="2767" customFormat="false" ht="15" hidden="false" customHeight="false" outlineLevel="0" collapsed="false">
      <c r="A2767" s="5" t="s">
        <v>14853</v>
      </c>
      <c r="B2767" s="2" t="s">
        <v>14854</v>
      </c>
      <c r="C2767" s="5" t="s">
        <v>2128</v>
      </c>
      <c r="D2767" s="5" t="s">
        <v>62</v>
      </c>
      <c r="E2767" s="5" t="n">
        <v>5</v>
      </c>
      <c r="F2767" s="5" t="s">
        <v>67</v>
      </c>
      <c r="G2767" s="2" t="s">
        <v>367</v>
      </c>
      <c r="H2767" s="5" t="s">
        <v>8336</v>
      </c>
      <c r="I2767" s="5"/>
      <c r="J2767" s="5"/>
      <c r="K2767" s="5" t="s">
        <v>14855</v>
      </c>
    </row>
    <row r="2768" customFormat="false" ht="46.25" hidden="false" customHeight="false" outlineLevel="0" collapsed="false">
      <c r="A2768" s="5" t="s">
        <v>14856</v>
      </c>
      <c r="B2768" s="2" t="s">
        <v>14857</v>
      </c>
      <c r="C2768" s="5" t="s">
        <v>2245</v>
      </c>
      <c r="D2768" s="5" t="s">
        <v>62</v>
      </c>
      <c r="E2768" s="5" t="n">
        <v>5</v>
      </c>
      <c r="F2768" s="5" t="s">
        <v>67</v>
      </c>
      <c r="G2768" s="2" t="s">
        <v>12057</v>
      </c>
      <c r="H2768" s="5" t="s">
        <v>8336</v>
      </c>
      <c r="I2768" s="5"/>
      <c r="J2768" s="5"/>
      <c r="K2768" s="5" t="s">
        <v>14858</v>
      </c>
    </row>
    <row r="2769" customFormat="false" ht="46.25" hidden="false" customHeight="false" outlineLevel="0" collapsed="false">
      <c r="A2769" s="5" t="s">
        <v>14859</v>
      </c>
      <c r="B2769" s="2" t="s">
        <v>14860</v>
      </c>
      <c r="C2769" s="5" t="s">
        <v>2245</v>
      </c>
      <c r="D2769" s="5" t="s">
        <v>62</v>
      </c>
      <c r="E2769" s="5" t="n">
        <v>5</v>
      </c>
      <c r="F2769" s="5" t="s">
        <v>90</v>
      </c>
      <c r="G2769" s="2" t="s">
        <v>12057</v>
      </c>
      <c r="H2769" s="5" t="s">
        <v>8336</v>
      </c>
      <c r="I2769" s="5"/>
      <c r="J2769" s="5"/>
      <c r="K2769" s="5" t="s">
        <v>14861</v>
      </c>
    </row>
    <row r="2770" customFormat="false" ht="46.25" hidden="false" customHeight="false" outlineLevel="0" collapsed="false">
      <c r="A2770" s="5" t="s">
        <v>14862</v>
      </c>
      <c r="B2770" s="2" t="s">
        <v>14863</v>
      </c>
      <c r="C2770" s="5" t="s">
        <v>2245</v>
      </c>
      <c r="D2770" s="5" t="s">
        <v>62</v>
      </c>
      <c r="E2770" s="5" t="n">
        <v>5</v>
      </c>
      <c r="F2770" s="5" t="s">
        <v>1814</v>
      </c>
      <c r="G2770" s="2" t="s">
        <v>12057</v>
      </c>
      <c r="H2770" s="5" t="s">
        <v>8336</v>
      </c>
      <c r="I2770" s="5"/>
      <c r="J2770" s="5"/>
      <c r="K2770" s="5" t="s">
        <v>14864</v>
      </c>
    </row>
    <row r="2771" customFormat="false" ht="23.85" hidden="false" customHeight="false" outlineLevel="0" collapsed="false">
      <c r="A2771" s="5" t="s">
        <v>1712</v>
      </c>
      <c r="B2771" s="2" t="s">
        <v>1713</v>
      </c>
      <c r="C2771" s="5" t="s">
        <v>488</v>
      </c>
      <c r="D2771" s="5" t="s">
        <v>62</v>
      </c>
      <c r="E2771" s="5" t="n">
        <v>7</v>
      </c>
      <c r="F2771" s="5" t="s">
        <v>536</v>
      </c>
      <c r="G2771" s="2" t="s">
        <v>367</v>
      </c>
      <c r="H2771" s="5" t="s">
        <v>8332</v>
      </c>
      <c r="I2771" s="5" t="s">
        <v>60</v>
      </c>
      <c r="J2771" s="5"/>
      <c r="K2771" s="5" t="s">
        <v>1718</v>
      </c>
    </row>
    <row r="2772" customFormat="false" ht="46.25" hidden="false" customHeight="false" outlineLevel="0" collapsed="false">
      <c r="A2772" s="5" t="s">
        <v>14865</v>
      </c>
      <c r="B2772" s="2" t="s">
        <v>14866</v>
      </c>
      <c r="C2772" s="5" t="s">
        <v>2245</v>
      </c>
      <c r="D2772" s="5" t="s">
        <v>490</v>
      </c>
      <c r="E2772" s="5" t="n">
        <v>5</v>
      </c>
      <c r="F2772" s="5" t="s">
        <v>90</v>
      </c>
      <c r="G2772" s="2" t="s">
        <v>12057</v>
      </c>
      <c r="H2772" s="5" t="s">
        <v>8336</v>
      </c>
      <c r="I2772" s="5"/>
      <c r="J2772" s="5"/>
      <c r="K2772" s="5" t="s">
        <v>14867</v>
      </c>
    </row>
    <row r="2773" customFormat="false" ht="46.25" hidden="false" customHeight="false" outlineLevel="0" collapsed="false">
      <c r="A2773" s="5" t="s">
        <v>14868</v>
      </c>
      <c r="B2773" s="2" t="s">
        <v>14869</v>
      </c>
      <c r="C2773" s="5" t="s">
        <v>2245</v>
      </c>
      <c r="D2773" s="5" t="s">
        <v>62</v>
      </c>
      <c r="E2773" s="5" t="n">
        <v>5</v>
      </c>
      <c r="F2773" s="5" t="s">
        <v>413</v>
      </c>
      <c r="G2773" s="2" t="s">
        <v>12057</v>
      </c>
      <c r="H2773" s="5" t="s">
        <v>8336</v>
      </c>
      <c r="I2773" s="5"/>
      <c r="J2773" s="5"/>
      <c r="K2773" s="5" t="s">
        <v>14870</v>
      </c>
    </row>
    <row r="2774" customFormat="false" ht="23.85" hidden="false" customHeight="false" outlineLevel="0" collapsed="false">
      <c r="A2774" s="5" t="s">
        <v>14871</v>
      </c>
      <c r="B2774" s="2" t="s">
        <v>14872</v>
      </c>
      <c r="C2774" s="5" t="s">
        <v>2128</v>
      </c>
      <c r="D2774" s="5" t="s">
        <v>62</v>
      </c>
      <c r="E2774" s="5" t="n">
        <v>7</v>
      </c>
      <c r="F2774" s="5" t="s">
        <v>90</v>
      </c>
      <c r="G2774" s="2" t="s">
        <v>367</v>
      </c>
      <c r="H2774" s="5" t="s">
        <v>8336</v>
      </c>
      <c r="I2774" s="5"/>
      <c r="J2774" s="5"/>
      <c r="K2774" s="5" t="s">
        <v>14873</v>
      </c>
    </row>
    <row r="2775" customFormat="false" ht="46.25" hidden="false" customHeight="false" outlineLevel="0" collapsed="false">
      <c r="A2775" s="5" t="s">
        <v>14874</v>
      </c>
      <c r="B2775" s="2" t="s">
        <v>14875</v>
      </c>
      <c r="C2775" s="5" t="s">
        <v>2245</v>
      </c>
      <c r="D2775" s="5" t="s">
        <v>62</v>
      </c>
      <c r="E2775" s="5" t="n">
        <v>7</v>
      </c>
      <c r="F2775" s="5" t="s">
        <v>90</v>
      </c>
      <c r="G2775" s="2" t="s">
        <v>12054</v>
      </c>
      <c r="H2775" s="5" t="s">
        <v>8336</v>
      </c>
      <c r="I2775" s="5"/>
      <c r="J2775" s="5"/>
      <c r="K2775" s="5" t="s">
        <v>14876</v>
      </c>
    </row>
    <row r="2776" customFormat="false" ht="46.25" hidden="false" customHeight="false" outlineLevel="0" collapsed="false">
      <c r="A2776" s="5" t="s">
        <v>4069</v>
      </c>
      <c r="B2776" s="2" t="s">
        <v>4070</v>
      </c>
      <c r="C2776" s="5" t="s">
        <v>2245</v>
      </c>
      <c r="D2776" s="5" t="s">
        <v>62</v>
      </c>
      <c r="E2776" s="5" t="n">
        <v>7</v>
      </c>
      <c r="F2776" s="5" t="s">
        <v>413</v>
      </c>
      <c r="G2776" s="2" t="s">
        <v>12054</v>
      </c>
      <c r="H2776" s="5" t="s">
        <v>8332</v>
      </c>
      <c r="I2776" s="5" t="s">
        <v>60</v>
      </c>
      <c r="J2776" s="5" t="s">
        <v>751</v>
      </c>
      <c r="K2776" s="5" t="s">
        <v>4073</v>
      </c>
    </row>
    <row r="2777" customFormat="false" ht="46.25" hidden="false" customHeight="false" outlineLevel="0" collapsed="false">
      <c r="A2777" s="5" t="s">
        <v>14877</v>
      </c>
      <c r="B2777" s="2" t="s">
        <v>14878</v>
      </c>
      <c r="C2777" s="5" t="s">
        <v>2245</v>
      </c>
      <c r="D2777" s="5" t="s">
        <v>62</v>
      </c>
      <c r="E2777" s="5" t="n">
        <v>7</v>
      </c>
      <c r="F2777" s="5" t="s">
        <v>413</v>
      </c>
      <c r="G2777" s="2" t="s">
        <v>12057</v>
      </c>
      <c r="H2777" s="5" t="s">
        <v>8336</v>
      </c>
      <c r="I2777" s="5"/>
      <c r="J2777" s="5"/>
      <c r="K2777" s="5" t="s">
        <v>14879</v>
      </c>
    </row>
    <row r="2778" customFormat="false" ht="23.85" hidden="false" customHeight="false" outlineLevel="0" collapsed="false">
      <c r="A2778" s="5" t="s">
        <v>14880</v>
      </c>
      <c r="B2778" s="2" t="s">
        <v>14881</v>
      </c>
      <c r="C2778" s="5" t="s">
        <v>2128</v>
      </c>
      <c r="D2778" s="5" t="s">
        <v>62</v>
      </c>
      <c r="E2778" s="5" t="n">
        <v>7</v>
      </c>
      <c r="F2778" s="5" t="s">
        <v>67</v>
      </c>
      <c r="G2778" s="2" t="s">
        <v>367</v>
      </c>
      <c r="H2778" s="5" t="s">
        <v>8336</v>
      </c>
      <c r="I2778" s="5"/>
      <c r="J2778" s="5"/>
      <c r="K2778" s="5" t="s">
        <v>14882</v>
      </c>
    </row>
    <row r="2779" customFormat="false" ht="15" hidden="false" customHeight="false" outlineLevel="0" collapsed="false">
      <c r="A2779" s="5" t="s">
        <v>14883</v>
      </c>
      <c r="B2779" s="2" t="s">
        <v>14884</v>
      </c>
      <c r="C2779" s="5" t="s">
        <v>2128</v>
      </c>
      <c r="D2779" s="5" t="s">
        <v>62</v>
      </c>
      <c r="E2779" s="5" t="n">
        <v>7</v>
      </c>
      <c r="F2779" s="5" t="s">
        <v>413</v>
      </c>
      <c r="G2779" s="2" t="s">
        <v>367</v>
      </c>
      <c r="H2779" s="5" t="s">
        <v>8336</v>
      </c>
      <c r="I2779" s="5"/>
      <c r="J2779" s="5"/>
      <c r="K2779" s="5" t="s">
        <v>14885</v>
      </c>
    </row>
    <row r="2780" customFormat="false" ht="23.85" hidden="false" customHeight="false" outlineLevel="0" collapsed="false">
      <c r="A2780" s="5" t="s">
        <v>14886</v>
      </c>
      <c r="B2780" s="2" t="s">
        <v>14887</v>
      </c>
      <c r="C2780" s="5" t="s">
        <v>2128</v>
      </c>
      <c r="D2780" s="5" t="s">
        <v>62</v>
      </c>
      <c r="E2780" s="5" t="n">
        <v>7</v>
      </c>
      <c r="F2780" s="5" t="s">
        <v>413</v>
      </c>
      <c r="G2780" s="2" t="s">
        <v>367</v>
      </c>
      <c r="H2780" s="5" t="s">
        <v>8336</v>
      </c>
      <c r="I2780" s="5"/>
      <c r="J2780" s="5"/>
      <c r="K2780" s="5" t="s">
        <v>14888</v>
      </c>
    </row>
    <row r="2781" customFormat="false" ht="23.85" hidden="false" customHeight="false" outlineLevel="0" collapsed="false">
      <c r="A2781" s="5" t="s">
        <v>14889</v>
      </c>
      <c r="B2781" s="2" t="s">
        <v>14890</v>
      </c>
      <c r="C2781" s="5" t="s">
        <v>2128</v>
      </c>
      <c r="D2781" s="5" t="s">
        <v>62</v>
      </c>
      <c r="E2781" s="5" t="n">
        <v>7</v>
      </c>
      <c r="F2781" s="5" t="s">
        <v>67</v>
      </c>
      <c r="G2781" s="2" t="s">
        <v>367</v>
      </c>
      <c r="H2781" s="5" t="s">
        <v>8336</v>
      </c>
      <c r="I2781" s="5"/>
      <c r="J2781" s="5"/>
      <c r="K2781" s="5" t="s">
        <v>14891</v>
      </c>
    </row>
    <row r="2782" customFormat="false" ht="23.85" hidden="false" customHeight="false" outlineLevel="0" collapsed="false">
      <c r="A2782" s="5" t="s">
        <v>14892</v>
      </c>
      <c r="B2782" s="2" t="s">
        <v>14893</v>
      </c>
      <c r="C2782" s="5" t="s">
        <v>2128</v>
      </c>
      <c r="D2782" s="5" t="s">
        <v>62</v>
      </c>
      <c r="E2782" s="5" t="n">
        <v>7</v>
      </c>
      <c r="F2782" s="5" t="s">
        <v>413</v>
      </c>
      <c r="G2782" s="2" t="s">
        <v>367</v>
      </c>
      <c r="H2782" s="5" t="s">
        <v>8336</v>
      </c>
      <c r="I2782" s="5"/>
      <c r="J2782" s="5"/>
      <c r="K2782" s="5" t="s">
        <v>14894</v>
      </c>
    </row>
    <row r="2783" customFormat="false" ht="15" hidden="false" customHeight="false" outlineLevel="0" collapsed="false">
      <c r="A2783" s="5" t="s">
        <v>14895</v>
      </c>
      <c r="B2783" s="2" t="s">
        <v>14896</v>
      </c>
      <c r="C2783" s="5" t="s">
        <v>2128</v>
      </c>
      <c r="D2783" s="5" t="s">
        <v>62</v>
      </c>
      <c r="E2783" s="5" t="n">
        <v>7</v>
      </c>
      <c r="F2783" s="5" t="s">
        <v>413</v>
      </c>
      <c r="G2783" s="2" t="s">
        <v>367</v>
      </c>
      <c r="H2783" s="5" t="s">
        <v>8336</v>
      </c>
      <c r="I2783" s="5"/>
      <c r="J2783" s="5"/>
      <c r="K2783" s="5" t="s">
        <v>14897</v>
      </c>
    </row>
    <row r="2784" customFormat="false" ht="46.25" hidden="false" customHeight="false" outlineLevel="0" collapsed="false">
      <c r="A2784" s="5" t="s">
        <v>14898</v>
      </c>
      <c r="B2784" s="2" t="s">
        <v>14899</v>
      </c>
      <c r="C2784" s="5" t="s">
        <v>2245</v>
      </c>
      <c r="D2784" s="5" t="s">
        <v>490</v>
      </c>
      <c r="E2784" s="5" t="n">
        <v>7</v>
      </c>
      <c r="F2784" s="5" t="s">
        <v>413</v>
      </c>
      <c r="G2784" s="2" t="s">
        <v>12054</v>
      </c>
      <c r="H2784" s="5" t="s">
        <v>8336</v>
      </c>
      <c r="I2784" s="5"/>
      <c r="J2784" s="5"/>
      <c r="K2784" s="5" t="s">
        <v>14900</v>
      </c>
    </row>
    <row r="2785" customFormat="false" ht="46.25" hidden="false" customHeight="false" outlineLevel="0" collapsed="false">
      <c r="A2785" s="5" t="s">
        <v>14901</v>
      </c>
      <c r="B2785" s="2" t="s">
        <v>14902</v>
      </c>
      <c r="C2785" s="5" t="s">
        <v>2245</v>
      </c>
      <c r="D2785" s="5" t="s">
        <v>62</v>
      </c>
      <c r="E2785" s="5" t="n">
        <v>5</v>
      </c>
      <c r="F2785" s="5" t="s">
        <v>90</v>
      </c>
      <c r="G2785" s="2" t="s">
        <v>12057</v>
      </c>
      <c r="H2785" s="5" t="s">
        <v>8336</v>
      </c>
      <c r="I2785" s="5"/>
      <c r="J2785" s="5"/>
      <c r="K2785" s="5" t="s">
        <v>14903</v>
      </c>
    </row>
    <row r="2786" customFormat="false" ht="23.85" hidden="false" customHeight="false" outlineLevel="0" collapsed="false">
      <c r="A2786" s="5" t="s">
        <v>14904</v>
      </c>
      <c r="B2786" s="2" t="s">
        <v>14905</v>
      </c>
      <c r="C2786" s="5" t="s">
        <v>2128</v>
      </c>
      <c r="D2786" s="5" t="s">
        <v>62</v>
      </c>
      <c r="E2786" s="5" t="n">
        <v>5</v>
      </c>
      <c r="F2786" s="5" t="s">
        <v>413</v>
      </c>
      <c r="G2786" s="2" t="s">
        <v>367</v>
      </c>
      <c r="H2786" s="5" t="s">
        <v>8336</v>
      </c>
      <c r="I2786" s="5"/>
      <c r="J2786" s="5"/>
      <c r="K2786" s="5" t="s">
        <v>14906</v>
      </c>
    </row>
    <row r="2787" customFormat="false" ht="46.25" hidden="false" customHeight="false" outlineLevel="0" collapsed="false">
      <c r="A2787" s="5" t="s">
        <v>14907</v>
      </c>
      <c r="B2787" s="2" t="s">
        <v>14908</v>
      </c>
      <c r="C2787" s="5" t="s">
        <v>2245</v>
      </c>
      <c r="D2787" s="5" t="s">
        <v>62</v>
      </c>
      <c r="E2787" s="5" t="n">
        <v>5</v>
      </c>
      <c r="F2787" s="5" t="s">
        <v>90</v>
      </c>
      <c r="G2787" s="2" t="s">
        <v>12057</v>
      </c>
      <c r="H2787" s="5" t="s">
        <v>8336</v>
      </c>
      <c r="I2787" s="5"/>
      <c r="J2787" s="5"/>
      <c r="K2787" s="5" t="s">
        <v>14909</v>
      </c>
    </row>
    <row r="2788" customFormat="false" ht="46.25" hidden="false" customHeight="false" outlineLevel="0" collapsed="false">
      <c r="A2788" s="5" t="s">
        <v>4074</v>
      </c>
      <c r="B2788" s="2" t="s">
        <v>4075</v>
      </c>
      <c r="C2788" s="5" t="s">
        <v>2245</v>
      </c>
      <c r="D2788" s="5" t="s">
        <v>62</v>
      </c>
      <c r="E2788" s="5" t="n">
        <v>5</v>
      </c>
      <c r="F2788" s="5" t="s">
        <v>90</v>
      </c>
      <c r="G2788" s="2" t="s">
        <v>12054</v>
      </c>
      <c r="H2788" s="5" t="s">
        <v>8332</v>
      </c>
      <c r="I2788" s="5" t="s">
        <v>60</v>
      </c>
      <c r="J2788" s="5" t="s">
        <v>161</v>
      </c>
      <c r="K2788" s="5" t="s">
        <v>4078</v>
      </c>
    </row>
    <row r="2789" customFormat="false" ht="46.25" hidden="false" customHeight="false" outlineLevel="0" collapsed="false">
      <c r="A2789" s="5" t="s">
        <v>14910</v>
      </c>
      <c r="B2789" s="2" t="s">
        <v>14911</v>
      </c>
      <c r="C2789" s="5" t="s">
        <v>2245</v>
      </c>
      <c r="D2789" s="5" t="s">
        <v>62</v>
      </c>
      <c r="E2789" s="5" t="n">
        <v>5</v>
      </c>
      <c r="F2789" s="5" t="s">
        <v>413</v>
      </c>
      <c r="G2789" s="2" t="s">
        <v>12054</v>
      </c>
      <c r="H2789" s="5" t="s">
        <v>8336</v>
      </c>
      <c r="I2789" s="5"/>
      <c r="J2789" s="5"/>
      <c r="K2789" s="5" t="s">
        <v>14912</v>
      </c>
    </row>
    <row r="2790" customFormat="false" ht="46.25" hidden="false" customHeight="false" outlineLevel="0" collapsed="false">
      <c r="A2790" s="5" t="s">
        <v>14913</v>
      </c>
      <c r="B2790" s="2" t="s">
        <v>14914</v>
      </c>
      <c r="C2790" s="5" t="s">
        <v>2245</v>
      </c>
      <c r="D2790" s="5" t="s">
        <v>62</v>
      </c>
      <c r="E2790" s="5" t="n">
        <v>7</v>
      </c>
      <c r="F2790" s="5" t="s">
        <v>413</v>
      </c>
      <c r="G2790" s="2" t="s">
        <v>12054</v>
      </c>
      <c r="H2790" s="5" t="s">
        <v>8336</v>
      </c>
      <c r="I2790" s="5"/>
      <c r="J2790" s="5"/>
      <c r="K2790" s="5" t="s">
        <v>14915</v>
      </c>
    </row>
    <row r="2791" customFormat="false" ht="46.25" hidden="false" customHeight="false" outlineLevel="0" collapsed="false">
      <c r="A2791" s="5" t="s">
        <v>14916</v>
      </c>
      <c r="B2791" s="2" t="s">
        <v>14917</v>
      </c>
      <c r="C2791" s="5" t="s">
        <v>2245</v>
      </c>
      <c r="D2791" s="5" t="s">
        <v>62</v>
      </c>
      <c r="E2791" s="5" t="n">
        <v>1</v>
      </c>
      <c r="F2791" s="5" t="s">
        <v>67</v>
      </c>
      <c r="G2791" s="2" t="s">
        <v>12054</v>
      </c>
      <c r="H2791" s="5" t="s">
        <v>8336</v>
      </c>
      <c r="I2791" s="5"/>
      <c r="J2791" s="5"/>
      <c r="K2791" s="5" t="s">
        <v>14918</v>
      </c>
    </row>
    <row r="2792" customFormat="false" ht="15" hidden="false" customHeight="false" outlineLevel="0" collapsed="false">
      <c r="A2792" s="5" t="s">
        <v>14919</v>
      </c>
      <c r="B2792" s="2" t="s">
        <v>14920</v>
      </c>
      <c r="C2792" s="5" t="s">
        <v>2128</v>
      </c>
      <c r="D2792" s="5" t="s">
        <v>62</v>
      </c>
      <c r="E2792" s="5" t="n">
        <v>7</v>
      </c>
      <c r="F2792" s="5" t="s">
        <v>67</v>
      </c>
      <c r="G2792" s="2" t="s">
        <v>367</v>
      </c>
      <c r="H2792" s="5" t="s">
        <v>8336</v>
      </c>
      <c r="I2792" s="5"/>
      <c r="J2792" s="5"/>
      <c r="K2792" s="5" t="s">
        <v>14921</v>
      </c>
    </row>
    <row r="2793" customFormat="false" ht="15" hidden="false" customHeight="false" outlineLevel="0" collapsed="false">
      <c r="A2793" s="5" t="s">
        <v>14922</v>
      </c>
      <c r="B2793" s="2" t="s">
        <v>14923</v>
      </c>
      <c r="C2793" s="5" t="s">
        <v>2128</v>
      </c>
      <c r="D2793" s="5" t="s">
        <v>62</v>
      </c>
      <c r="E2793" s="5" t="n">
        <v>5</v>
      </c>
      <c r="F2793" s="5" t="s">
        <v>67</v>
      </c>
      <c r="G2793" s="2" t="s">
        <v>367</v>
      </c>
      <c r="H2793" s="5" t="s">
        <v>8336</v>
      </c>
      <c r="I2793" s="5"/>
      <c r="J2793" s="5"/>
      <c r="K2793" s="5" t="s">
        <v>14924</v>
      </c>
    </row>
    <row r="2794" customFormat="false" ht="46.25" hidden="false" customHeight="false" outlineLevel="0" collapsed="false">
      <c r="A2794" s="5" t="s">
        <v>14925</v>
      </c>
      <c r="B2794" s="2" t="s">
        <v>14926</v>
      </c>
      <c r="C2794" s="5" t="s">
        <v>2245</v>
      </c>
      <c r="D2794" s="5" t="s">
        <v>490</v>
      </c>
      <c r="E2794" s="5" t="n">
        <v>7</v>
      </c>
      <c r="F2794" s="5" t="s">
        <v>90</v>
      </c>
      <c r="G2794" s="2" t="s">
        <v>12057</v>
      </c>
      <c r="H2794" s="5" t="s">
        <v>8336</v>
      </c>
      <c r="I2794" s="5"/>
      <c r="J2794" s="5"/>
      <c r="K2794" s="5" t="s">
        <v>14927</v>
      </c>
    </row>
    <row r="2795" customFormat="false" ht="46.25" hidden="false" customHeight="false" outlineLevel="0" collapsed="false">
      <c r="A2795" s="5" t="s">
        <v>14928</v>
      </c>
      <c r="B2795" s="2" t="s">
        <v>14929</v>
      </c>
      <c r="C2795" s="5" t="s">
        <v>2245</v>
      </c>
      <c r="D2795" s="5" t="s">
        <v>62</v>
      </c>
      <c r="E2795" s="5" t="n">
        <v>5</v>
      </c>
      <c r="F2795" s="5" t="s">
        <v>67</v>
      </c>
      <c r="G2795" s="2" t="s">
        <v>12054</v>
      </c>
      <c r="H2795" s="5" t="s">
        <v>8336</v>
      </c>
      <c r="I2795" s="5"/>
      <c r="J2795" s="5"/>
      <c r="K2795" s="5" t="s">
        <v>14930</v>
      </c>
    </row>
    <row r="2796" customFormat="false" ht="46.25" hidden="false" customHeight="false" outlineLevel="0" collapsed="false">
      <c r="A2796" s="5" t="s">
        <v>14931</v>
      </c>
      <c r="B2796" s="2" t="s">
        <v>14932</v>
      </c>
      <c r="C2796" s="5" t="s">
        <v>2245</v>
      </c>
      <c r="D2796" s="5" t="s">
        <v>62</v>
      </c>
      <c r="E2796" s="5" t="n">
        <v>5</v>
      </c>
      <c r="F2796" s="5" t="s">
        <v>67</v>
      </c>
      <c r="G2796" s="2" t="s">
        <v>12054</v>
      </c>
      <c r="H2796" s="5" t="s">
        <v>8336</v>
      </c>
      <c r="I2796" s="5"/>
      <c r="J2796" s="5"/>
      <c r="K2796" s="5" t="s">
        <v>14933</v>
      </c>
    </row>
    <row r="2797" customFormat="false" ht="46.25" hidden="false" customHeight="false" outlineLevel="0" collapsed="false">
      <c r="A2797" s="5" t="s">
        <v>14934</v>
      </c>
      <c r="B2797" s="2" t="s">
        <v>14935</v>
      </c>
      <c r="C2797" s="5" t="s">
        <v>2245</v>
      </c>
      <c r="D2797" s="5" t="s">
        <v>62</v>
      </c>
      <c r="E2797" s="5" t="n">
        <v>5</v>
      </c>
      <c r="F2797" s="5" t="s">
        <v>277</v>
      </c>
      <c r="G2797" s="2" t="s">
        <v>12054</v>
      </c>
      <c r="H2797" s="5" t="s">
        <v>8336</v>
      </c>
      <c r="I2797" s="5"/>
      <c r="J2797" s="5"/>
      <c r="K2797" s="5" t="s">
        <v>14936</v>
      </c>
    </row>
    <row r="2798" customFormat="false" ht="46.25" hidden="false" customHeight="false" outlineLevel="0" collapsed="false">
      <c r="A2798" s="5" t="s">
        <v>14937</v>
      </c>
      <c r="B2798" s="2" t="s">
        <v>14938</v>
      </c>
      <c r="C2798" s="5" t="s">
        <v>2245</v>
      </c>
      <c r="D2798" s="5" t="s">
        <v>62</v>
      </c>
      <c r="E2798" s="5" t="n">
        <v>7</v>
      </c>
      <c r="F2798" s="5" t="s">
        <v>90</v>
      </c>
      <c r="G2798" s="2" t="s">
        <v>12054</v>
      </c>
      <c r="H2798" s="5" t="s">
        <v>8336</v>
      </c>
      <c r="I2798" s="5"/>
      <c r="J2798" s="5"/>
      <c r="K2798" s="5" t="s">
        <v>14939</v>
      </c>
    </row>
    <row r="2799" customFormat="false" ht="46.25" hidden="false" customHeight="false" outlineLevel="0" collapsed="false">
      <c r="A2799" s="5" t="s">
        <v>14940</v>
      </c>
      <c r="B2799" s="2" t="s">
        <v>14941</v>
      </c>
      <c r="C2799" s="5" t="s">
        <v>2245</v>
      </c>
      <c r="D2799" s="5" t="s">
        <v>490</v>
      </c>
      <c r="E2799" s="5" t="n">
        <v>5</v>
      </c>
      <c r="F2799" s="5" t="s">
        <v>413</v>
      </c>
      <c r="G2799" s="2" t="s">
        <v>12054</v>
      </c>
      <c r="H2799" s="5" t="s">
        <v>8336</v>
      </c>
      <c r="I2799" s="5"/>
      <c r="J2799" s="5"/>
      <c r="K2799" s="5" t="s">
        <v>14942</v>
      </c>
    </row>
    <row r="2800" customFormat="false" ht="23.85" hidden="false" customHeight="false" outlineLevel="0" collapsed="false">
      <c r="A2800" s="5" t="s">
        <v>14943</v>
      </c>
      <c r="B2800" s="2" t="s">
        <v>14944</v>
      </c>
      <c r="C2800" s="5" t="s">
        <v>2128</v>
      </c>
      <c r="D2800" s="5" t="s">
        <v>62</v>
      </c>
      <c r="E2800" s="5" t="n">
        <v>7</v>
      </c>
      <c r="F2800" s="5" t="s">
        <v>90</v>
      </c>
      <c r="G2800" s="2" t="s">
        <v>367</v>
      </c>
      <c r="H2800" s="5" t="s">
        <v>8336</v>
      </c>
      <c r="I2800" s="5"/>
      <c r="J2800" s="5"/>
      <c r="K2800" s="5" t="s">
        <v>14945</v>
      </c>
    </row>
    <row r="2801" customFormat="false" ht="46.25" hidden="false" customHeight="false" outlineLevel="0" collapsed="false">
      <c r="A2801" s="5" t="s">
        <v>14946</v>
      </c>
      <c r="B2801" s="2" t="s">
        <v>14947</v>
      </c>
      <c r="C2801" s="5" t="s">
        <v>2245</v>
      </c>
      <c r="D2801" s="5" t="s">
        <v>490</v>
      </c>
      <c r="E2801" s="5" t="n">
        <v>3</v>
      </c>
      <c r="F2801" s="5" t="s">
        <v>1814</v>
      </c>
      <c r="G2801" s="2" t="s">
        <v>12054</v>
      </c>
      <c r="H2801" s="5" t="s">
        <v>8336</v>
      </c>
      <c r="I2801" s="5"/>
      <c r="J2801" s="5"/>
      <c r="K2801" s="5" t="s">
        <v>14948</v>
      </c>
    </row>
    <row r="2802" customFormat="false" ht="46.25" hidden="false" customHeight="false" outlineLevel="0" collapsed="false">
      <c r="A2802" s="5" t="s">
        <v>14949</v>
      </c>
      <c r="B2802" s="2" t="s">
        <v>14950</v>
      </c>
      <c r="C2802" s="5" t="s">
        <v>2245</v>
      </c>
      <c r="D2802" s="5" t="s">
        <v>62</v>
      </c>
      <c r="E2802" s="5" t="n">
        <v>5</v>
      </c>
      <c r="F2802" s="5" t="s">
        <v>413</v>
      </c>
      <c r="G2802" s="2" t="s">
        <v>12054</v>
      </c>
      <c r="H2802" s="5" t="s">
        <v>8336</v>
      </c>
      <c r="I2802" s="5"/>
      <c r="J2802" s="5"/>
      <c r="K2802" s="5" t="s">
        <v>14951</v>
      </c>
    </row>
    <row r="2803" customFormat="false" ht="46.25" hidden="false" customHeight="false" outlineLevel="0" collapsed="false">
      <c r="A2803" s="5" t="s">
        <v>14952</v>
      </c>
      <c r="B2803" s="2" t="s">
        <v>14953</v>
      </c>
      <c r="C2803" s="5" t="s">
        <v>2245</v>
      </c>
      <c r="D2803" s="5" t="s">
        <v>62</v>
      </c>
      <c r="E2803" s="5" t="n">
        <v>5</v>
      </c>
      <c r="F2803" s="5" t="s">
        <v>67</v>
      </c>
      <c r="G2803" s="2" t="s">
        <v>12057</v>
      </c>
      <c r="H2803" s="5" t="s">
        <v>8336</v>
      </c>
      <c r="I2803" s="5"/>
      <c r="J2803" s="5"/>
      <c r="K2803" s="5" t="s">
        <v>14954</v>
      </c>
    </row>
    <row r="2804" customFormat="false" ht="46.25" hidden="false" customHeight="false" outlineLevel="0" collapsed="false">
      <c r="A2804" s="5" t="s">
        <v>14955</v>
      </c>
      <c r="B2804" s="2" t="s">
        <v>14956</v>
      </c>
      <c r="C2804" s="5" t="s">
        <v>2245</v>
      </c>
      <c r="D2804" s="5" t="s">
        <v>62</v>
      </c>
      <c r="E2804" s="5" t="n">
        <v>7</v>
      </c>
      <c r="F2804" s="5" t="s">
        <v>90</v>
      </c>
      <c r="G2804" s="2" t="s">
        <v>12057</v>
      </c>
      <c r="H2804" s="5" t="s">
        <v>8336</v>
      </c>
      <c r="I2804" s="5"/>
      <c r="J2804" s="5"/>
      <c r="K2804" s="5" t="s">
        <v>14957</v>
      </c>
    </row>
    <row r="2805" customFormat="false" ht="46.25" hidden="false" customHeight="false" outlineLevel="0" collapsed="false">
      <c r="A2805" s="5" t="s">
        <v>14958</v>
      </c>
      <c r="B2805" s="2" t="s">
        <v>14959</v>
      </c>
      <c r="C2805" s="5" t="s">
        <v>2245</v>
      </c>
      <c r="D2805" s="5" t="s">
        <v>62</v>
      </c>
      <c r="E2805" s="5" t="n">
        <v>5</v>
      </c>
      <c r="F2805" s="5" t="s">
        <v>1210</v>
      </c>
      <c r="G2805" s="2" t="s">
        <v>12054</v>
      </c>
      <c r="H2805" s="5" t="s">
        <v>8336</v>
      </c>
      <c r="I2805" s="5"/>
      <c r="J2805" s="5"/>
      <c r="K2805" s="5" t="s">
        <v>14960</v>
      </c>
    </row>
    <row r="2806" customFormat="false" ht="15" hidden="false" customHeight="false" outlineLevel="0" collapsed="false">
      <c r="A2806" s="5" t="s">
        <v>14961</v>
      </c>
      <c r="B2806" s="2" t="s">
        <v>14962</v>
      </c>
      <c r="C2806" s="5" t="s">
        <v>2128</v>
      </c>
      <c r="D2806" s="5" t="s">
        <v>62</v>
      </c>
      <c r="E2806" s="5" t="n">
        <v>5</v>
      </c>
      <c r="F2806" s="5" t="s">
        <v>1210</v>
      </c>
      <c r="G2806" s="2" t="s">
        <v>367</v>
      </c>
      <c r="H2806" s="5" t="s">
        <v>8336</v>
      </c>
      <c r="I2806" s="5"/>
      <c r="J2806" s="5"/>
      <c r="K2806" s="5" t="s">
        <v>14963</v>
      </c>
    </row>
    <row r="2807" customFormat="false" ht="15" hidden="false" customHeight="false" outlineLevel="0" collapsed="false">
      <c r="A2807" s="5" t="s">
        <v>1719</v>
      </c>
      <c r="B2807" s="2" t="s">
        <v>1720</v>
      </c>
      <c r="C2807" s="5" t="s">
        <v>488</v>
      </c>
      <c r="D2807" s="5" t="s">
        <v>62</v>
      </c>
      <c r="E2807" s="5" t="n">
        <v>7</v>
      </c>
      <c r="F2807" s="5" t="s">
        <v>100</v>
      </c>
      <c r="G2807" s="2" t="s">
        <v>367</v>
      </c>
      <c r="H2807" s="5" t="s">
        <v>8332</v>
      </c>
      <c r="I2807" s="5" t="s">
        <v>60</v>
      </c>
      <c r="J2807" s="5" t="s">
        <v>100</v>
      </c>
      <c r="K2807" s="5" t="s">
        <v>1724</v>
      </c>
    </row>
    <row r="2808" customFormat="false" ht="46.25" hidden="false" customHeight="false" outlineLevel="0" collapsed="false">
      <c r="A2808" s="5" t="s">
        <v>6348</v>
      </c>
      <c r="B2808" s="2" t="s">
        <v>6349</v>
      </c>
      <c r="C2808" s="5" t="s">
        <v>2245</v>
      </c>
      <c r="D2808" s="5" t="s">
        <v>62</v>
      </c>
      <c r="E2808" s="5" t="n">
        <v>7</v>
      </c>
      <c r="F2808" s="5" t="s">
        <v>100</v>
      </c>
      <c r="G2808" s="2" t="s">
        <v>12054</v>
      </c>
      <c r="H2808" s="5" t="s">
        <v>8332</v>
      </c>
      <c r="I2808" s="5" t="s">
        <v>4760</v>
      </c>
      <c r="J2808" s="5" t="s">
        <v>100</v>
      </c>
      <c r="K2808" s="5" t="s">
        <v>6352</v>
      </c>
    </row>
    <row r="2809" customFormat="false" ht="46.25" hidden="false" customHeight="false" outlineLevel="0" collapsed="false">
      <c r="A2809" s="5" t="s">
        <v>14964</v>
      </c>
      <c r="B2809" s="2" t="s">
        <v>14965</v>
      </c>
      <c r="C2809" s="5" t="s">
        <v>2245</v>
      </c>
      <c r="D2809" s="5" t="s">
        <v>62</v>
      </c>
      <c r="E2809" s="5" t="n">
        <v>5</v>
      </c>
      <c r="F2809" s="5" t="s">
        <v>90</v>
      </c>
      <c r="G2809" s="2" t="s">
        <v>12054</v>
      </c>
      <c r="H2809" s="5" t="s">
        <v>8336</v>
      </c>
      <c r="I2809" s="5"/>
      <c r="J2809" s="5"/>
      <c r="K2809" s="5" t="s">
        <v>14966</v>
      </c>
    </row>
    <row r="2810" customFormat="false" ht="46.25" hidden="false" customHeight="false" outlineLevel="0" collapsed="false">
      <c r="A2810" s="5" t="s">
        <v>14967</v>
      </c>
      <c r="B2810" s="2" t="s">
        <v>14968</v>
      </c>
      <c r="C2810" s="5" t="s">
        <v>2245</v>
      </c>
      <c r="D2810" s="5" t="s">
        <v>62</v>
      </c>
      <c r="E2810" s="5" t="n">
        <v>5</v>
      </c>
      <c r="F2810" s="5" t="s">
        <v>8902</v>
      </c>
      <c r="G2810" s="2" t="s">
        <v>12054</v>
      </c>
      <c r="H2810" s="5" t="s">
        <v>8336</v>
      </c>
      <c r="I2810" s="5"/>
      <c r="J2810" s="5"/>
      <c r="K2810" s="5" t="s">
        <v>14969</v>
      </c>
    </row>
    <row r="2811" customFormat="false" ht="15" hidden="false" customHeight="false" outlineLevel="0" collapsed="false">
      <c r="A2811" s="5" t="s">
        <v>14970</v>
      </c>
      <c r="B2811" s="2" t="s">
        <v>14971</v>
      </c>
      <c r="C2811" s="5" t="s">
        <v>2128</v>
      </c>
      <c r="D2811" s="5" t="s">
        <v>62</v>
      </c>
      <c r="E2811" s="5" t="n">
        <v>5</v>
      </c>
      <c r="F2811" s="5" t="s">
        <v>90</v>
      </c>
      <c r="G2811" s="2" t="s">
        <v>367</v>
      </c>
      <c r="H2811" s="5" t="s">
        <v>8336</v>
      </c>
      <c r="I2811" s="5"/>
      <c r="J2811" s="5"/>
      <c r="K2811" s="5" t="s">
        <v>14972</v>
      </c>
    </row>
    <row r="2812" customFormat="false" ht="46.25" hidden="false" customHeight="false" outlineLevel="0" collapsed="false">
      <c r="A2812" s="5" t="s">
        <v>4079</v>
      </c>
      <c r="B2812" s="2" t="s">
        <v>4080</v>
      </c>
      <c r="C2812" s="5" t="s">
        <v>2245</v>
      </c>
      <c r="D2812" s="5" t="s">
        <v>62</v>
      </c>
      <c r="E2812" s="5" t="n">
        <v>7</v>
      </c>
      <c r="F2812" s="5" t="s">
        <v>100</v>
      </c>
      <c r="G2812" s="2" t="s">
        <v>12054</v>
      </c>
      <c r="H2812" s="5" t="s">
        <v>8332</v>
      </c>
      <c r="I2812" s="5" t="s">
        <v>60</v>
      </c>
      <c r="J2812" s="5" t="s">
        <v>948</v>
      </c>
      <c r="K2812" s="5" t="s">
        <v>4083</v>
      </c>
    </row>
    <row r="2813" customFormat="false" ht="46.25" hidden="false" customHeight="false" outlineLevel="0" collapsed="false">
      <c r="A2813" s="5" t="s">
        <v>14973</v>
      </c>
      <c r="B2813" s="2" t="s">
        <v>14974</v>
      </c>
      <c r="C2813" s="5" t="s">
        <v>2245</v>
      </c>
      <c r="D2813" s="5" t="s">
        <v>62</v>
      </c>
      <c r="E2813" s="5" t="n">
        <v>5</v>
      </c>
      <c r="F2813" s="5" t="s">
        <v>1210</v>
      </c>
      <c r="G2813" s="2" t="s">
        <v>12054</v>
      </c>
      <c r="H2813" s="5" t="s">
        <v>8336</v>
      </c>
      <c r="I2813" s="5"/>
      <c r="J2813" s="5"/>
      <c r="K2813" s="5" t="s">
        <v>14975</v>
      </c>
    </row>
    <row r="2814" customFormat="false" ht="46.25" hidden="false" customHeight="false" outlineLevel="0" collapsed="false">
      <c r="A2814" s="5" t="s">
        <v>14976</v>
      </c>
      <c r="B2814" s="2" t="s">
        <v>14977</v>
      </c>
      <c r="C2814" s="5" t="s">
        <v>2245</v>
      </c>
      <c r="D2814" s="5" t="s">
        <v>62</v>
      </c>
      <c r="E2814" s="5" t="n">
        <v>5</v>
      </c>
      <c r="F2814" s="5" t="s">
        <v>1210</v>
      </c>
      <c r="G2814" s="2" t="s">
        <v>12054</v>
      </c>
      <c r="H2814" s="5" t="s">
        <v>8336</v>
      </c>
      <c r="I2814" s="5"/>
      <c r="J2814" s="5"/>
      <c r="K2814" s="5" t="s">
        <v>14978</v>
      </c>
    </row>
    <row r="2815" customFormat="false" ht="46.25" hidden="false" customHeight="false" outlineLevel="0" collapsed="false">
      <c r="A2815" s="5" t="s">
        <v>14979</v>
      </c>
      <c r="B2815" s="2" t="s">
        <v>14980</v>
      </c>
      <c r="C2815" s="5" t="s">
        <v>2245</v>
      </c>
      <c r="D2815" s="5" t="s">
        <v>62</v>
      </c>
      <c r="E2815" s="5" t="n">
        <v>5</v>
      </c>
      <c r="F2815" s="5" t="s">
        <v>90</v>
      </c>
      <c r="G2815" s="2" t="s">
        <v>12054</v>
      </c>
      <c r="H2815" s="5" t="s">
        <v>8336</v>
      </c>
      <c r="I2815" s="5"/>
      <c r="J2815" s="5"/>
      <c r="K2815" s="5" t="s">
        <v>14981</v>
      </c>
    </row>
    <row r="2816" customFormat="false" ht="46.25" hidden="false" customHeight="false" outlineLevel="0" collapsed="false">
      <c r="A2816" s="5" t="s">
        <v>14982</v>
      </c>
      <c r="B2816" s="2" t="s">
        <v>14983</v>
      </c>
      <c r="C2816" s="5" t="s">
        <v>2245</v>
      </c>
      <c r="D2816" s="5" t="s">
        <v>62</v>
      </c>
      <c r="E2816" s="5" t="n">
        <v>7</v>
      </c>
      <c r="F2816" s="5" t="s">
        <v>67</v>
      </c>
      <c r="G2816" s="2" t="s">
        <v>12057</v>
      </c>
      <c r="H2816" s="5" t="s">
        <v>8336</v>
      </c>
      <c r="I2816" s="5"/>
      <c r="J2816" s="5"/>
      <c r="K2816" s="5" t="s">
        <v>14984</v>
      </c>
    </row>
    <row r="2817" customFormat="false" ht="15" hidden="false" customHeight="false" outlineLevel="0" collapsed="false">
      <c r="A2817" s="5" t="s">
        <v>14985</v>
      </c>
      <c r="B2817" s="2" t="s">
        <v>14986</v>
      </c>
      <c r="C2817" s="5" t="s">
        <v>2128</v>
      </c>
      <c r="D2817" s="5" t="s">
        <v>62</v>
      </c>
      <c r="E2817" s="5" t="n">
        <v>3</v>
      </c>
      <c r="F2817" s="5" t="s">
        <v>90</v>
      </c>
      <c r="G2817" s="2" t="s">
        <v>367</v>
      </c>
      <c r="H2817" s="5" t="s">
        <v>8336</v>
      </c>
      <c r="I2817" s="5"/>
      <c r="J2817" s="5"/>
      <c r="K2817" s="5" t="s">
        <v>14987</v>
      </c>
    </row>
    <row r="2818" customFormat="false" ht="23.85" hidden="false" customHeight="false" outlineLevel="0" collapsed="false">
      <c r="A2818" s="5" t="s">
        <v>14988</v>
      </c>
      <c r="B2818" s="2" t="s">
        <v>14989</v>
      </c>
      <c r="C2818" s="5" t="s">
        <v>2128</v>
      </c>
      <c r="D2818" s="5" t="s">
        <v>62</v>
      </c>
      <c r="E2818" s="5" t="n">
        <v>5</v>
      </c>
      <c r="F2818" s="5" t="s">
        <v>90</v>
      </c>
      <c r="G2818" s="2" t="s">
        <v>367</v>
      </c>
      <c r="H2818" s="5" t="s">
        <v>8336</v>
      </c>
      <c r="I2818" s="5"/>
      <c r="J2818" s="5"/>
      <c r="K2818" s="5" t="s">
        <v>14990</v>
      </c>
    </row>
    <row r="2819" customFormat="false" ht="46.25" hidden="false" customHeight="false" outlineLevel="0" collapsed="false">
      <c r="A2819" s="5" t="s">
        <v>14991</v>
      </c>
      <c r="B2819" s="2" t="s">
        <v>14992</v>
      </c>
      <c r="C2819" s="5" t="s">
        <v>2245</v>
      </c>
      <c r="D2819" s="5" t="s">
        <v>490</v>
      </c>
      <c r="E2819" s="5" t="n">
        <v>5</v>
      </c>
      <c r="F2819" s="5" t="s">
        <v>1814</v>
      </c>
      <c r="G2819" s="2" t="s">
        <v>12057</v>
      </c>
      <c r="H2819" s="5" t="s">
        <v>8336</v>
      </c>
      <c r="I2819" s="5"/>
      <c r="J2819" s="5"/>
      <c r="K2819" s="5" t="s">
        <v>14993</v>
      </c>
    </row>
    <row r="2820" customFormat="false" ht="46.25" hidden="false" customHeight="false" outlineLevel="0" collapsed="false">
      <c r="A2820" s="5" t="s">
        <v>14994</v>
      </c>
      <c r="B2820" s="2" t="s">
        <v>14995</v>
      </c>
      <c r="C2820" s="5" t="s">
        <v>2245</v>
      </c>
      <c r="D2820" s="5" t="s">
        <v>62</v>
      </c>
      <c r="E2820" s="5" t="n">
        <v>5</v>
      </c>
      <c r="F2820" s="5" t="s">
        <v>413</v>
      </c>
      <c r="G2820" s="2" t="s">
        <v>12054</v>
      </c>
      <c r="H2820" s="5" t="s">
        <v>8336</v>
      </c>
      <c r="I2820" s="5"/>
      <c r="J2820" s="5"/>
      <c r="K2820" s="5" t="s">
        <v>14996</v>
      </c>
    </row>
    <row r="2821" customFormat="false" ht="23.85" hidden="false" customHeight="false" outlineLevel="0" collapsed="false">
      <c r="A2821" s="5" t="s">
        <v>14997</v>
      </c>
      <c r="B2821" s="2" t="s">
        <v>14998</v>
      </c>
      <c r="C2821" s="5" t="s">
        <v>2128</v>
      </c>
      <c r="D2821" s="5" t="s">
        <v>62</v>
      </c>
      <c r="E2821" s="5" t="n">
        <v>7</v>
      </c>
      <c r="F2821" s="5" t="s">
        <v>8795</v>
      </c>
      <c r="G2821" s="2" t="s">
        <v>6027</v>
      </c>
      <c r="H2821" s="5" t="s">
        <v>8336</v>
      </c>
      <c r="I2821" s="5"/>
      <c r="J2821" s="5"/>
      <c r="K2821" s="5" t="s">
        <v>14999</v>
      </c>
    </row>
    <row r="2822" customFormat="false" ht="15" hidden="false" customHeight="false" outlineLevel="0" collapsed="false">
      <c r="A2822" s="5" t="s">
        <v>15000</v>
      </c>
      <c r="B2822" s="2" t="s">
        <v>15001</v>
      </c>
      <c r="C2822" s="5" t="s">
        <v>2128</v>
      </c>
      <c r="D2822" s="5" t="s">
        <v>62</v>
      </c>
      <c r="E2822" s="5" t="n">
        <v>7</v>
      </c>
      <c r="F2822" s="5" t="s">
        <v>90</v>
      </c>
      <c r="G2822" s="2" t="s">
        <v>367</v>
      </c>
      <c r="H2822" s="5" t="s">
        <v>8336</v>
      </c>
      <c r="I2822" s="5"/>
      <c r="J2822" s="5"/>
      <c r="K2822" s="5" t="s">
        <v>15002</v>
      </c>
    </row>
    <row r="2823" customFormat="false" ht="46.25" hidden="false" customHeight="false" outlineLevel="0" collapsed="false">
      <c r="A2823" s="5" t="s">
        <v>15003</v>
      </c>
      <c r="B2823" s="2" t="s">
        <v>15004</v>
      </c>
      <c r="C2823" s="5" t="s">
        <v>2245</v>
      </c>
      <c r="D2823" s="5" t="s">
        <v>62</v>
      </c>
      <c r="E2823" s="5" t="n">
        <v>7</v>
      </c>
      <c r="F2823" s="5" t="s">
        <v>413</v>
      </c>
      <c r="G2823" s="2" t="s">
        <v>12054</v>
      </c>
      <c r="H2823" s="5" t="s">
        <v>8336</v>
      </c>
      <c r="I2823" s="5"/>
      <c r="J2823" s="5"/>
      <c r="K2823" s="5" t="s">
        <v>15005</v>
      </c>
    </row>
    <row r="2824" customFormat="false" ht="46.25" hidden="false" customHeight="false" outlineLevel="0" collapsed="false">
      <c r="A2824" s="5" t="s">
        <v>15006</v>
      </c>
      <c r="B2824" s="2" t="s">
        <v>15007</v>
      </c>
      <c r="C2824" s="5" t="s">
        <v>2245</v>
      </c>
      <c r="D2824" s="5" t="s">
        <v>62</v>
      </c>
      <c r="E2824" s="5" t="n">
        <v>5</v>
      </c>
      <c r="F2824" s="5" t="s">
        <v>413</v>
      </c>
      <c r="G2824" s="2" t="s">
        <v>12054</v>
      </c>
      <c r="H2824" s="5" t="s">
        <v>8336</v>
      </c>
      <c r="I2824" s="5"/>
      <c r="J2824" s="5"/>
      <c r="K2824" s="5" t="s">
        <v>15008</v>
      </c>
    </row>
    <row r="2825" customFormat="false" ht="15" hidden="false" customHeight="false" outlineLevel="0" collapsed="false">
      <c r="A2825" s="5" t="s">
        <v>1725</v>
      </c>
      <c r="B2825" s="2" t="s">
        <v>1726</v>
      </c>
      <c r="C2825" s="5" t="s">
        <v>488</v>
      </c>
      <c r="D2825" s="5" t="s">
        <v>62</v>
      </c>
      <c r="E2825" s="5" t="n">
        <v>7</v>
      </c>
      <c r="F2825" s="5" t="s">
        <v>100</v>
      </c>
      <c r="G2825" s="2" t="s">
        <v>367</v>
      </c>
      <c r="H2825" s="5" t="s">
        <v>8332</v>
      </c>
      <c r="I2825" s="5" t="s">
        <v>60</v>
      </c>
      <c r="J2825" s="5" t="s">
        <v>100</v>
      </c>
      <c r="K2825" s="5" t="s">
        <v>1729</v>
      </c>
    </row>
    <row r="2826" customFormat="false" ht="46.25" hidden="false" customHeight="false" outlineLevel="0" collapsed="false">
      <c r="A2826" s="5" t="s">
        <v>15009</v>
      </c>
      <c r="B2826" s="2" t="s">
        <v>15010</v>
      </c>
      <c r="C2826" s="5" t="s">
        <v>2245</v>
      </c>
      <c r="D2826" s="5" t="s">
        <v>62</v>
      </c>
      <c r="E2826" s="5" t="n">
        <v>7</v>
      </c>
      <c r="F2826" s="5" t="s">
        <v>90</v>
      </c>
      <c r="G2826" s="2" t="s">
        <v>12057</v>
      </c>
      <c r="H2826" s="5" t="s">
        <v>8336</v>
      </c>
      <c r="I2826" s="5"/>
      <c r="J2826" s="5"/>
      <c r="K2826" s="5" t="s">
        <v>15011</v>
      </c>
    </row>
    <row r="2827" customFormat="false" ht="46.25" hidden="false" customHeight="false" outlineLevel="0" collapsed="false">
      <c r="A2827" s="5" t="s">
        <v>15012</v>
      </c>
      <c r="B2827" s="2" t="s">
        <v>15013</v>
      </c>
      <c r="C2827" s="5" t="s">
        <v>2245</v>
      </c>
      <c r="D2827" s="5" t="s">
        <v>62</v>
      </c>
      <c r="E2827" s="5" t="n">
        <v>3</v>
      </c>
      <c r="F2827" s="5" t="s">
        <v>90</v>
      </c>
      <c r="G2827" s="2" t="s">
        <v>12054</v>
      </c>
      <c r="H2827" s="5" t="s">
        <v>8336</v>
      </c>
      <c r="I2827" s="5"/>
      <c r="J2827" s="5"/>
      <c r="K2827" s="5" t="s">
        <v>15014</v>
      </c>
    </row>
    <row r="2828" customFormat="false" ht="23.85" hidden="false" customHeight="false" outlineLevel="0" collapsed="false">
      <c r="A2828" s="5" t="s">
        <v>15015</v>
      </c>
      <c r="B2828" s="2" t="s">
        <v>15016</v>
      </c>
      <c r="C2828" s="5" t="s">
        <v>2128</v>
      </c>
      <c r="D2828" s="5" t="s">
        <v>62</v>
      </c>
      <c r="E2828" s="5" t="n">
        <v>3</v>
      </c>
      <c r="F2828" s="5" t="s">
        <v>90</v>
      </c>
      <c r="G2828" s="2" t="s">
        <v>367</v>
      </c>
      <c r="H2828" s="5" t="s">
        <v>8336</v>
      </c>
      <c r="I2828" s="5"/>
      <c r="J2828" s="5"/>
      <c r="K2828" s="5" t="s">
        <v>15017</v>
      </c>
    </row>
    <row r="2829" customFormat="false" ht="46.25" hidden="false" customHeight="false" outlineLevel="0" collapsed="false">
      <c r="A2829" s="5" t="s">
        <v>15018</v>
      </c>
      <c r="B2829" s="2" t="s">
        <v>15019</v>
      </c>
      <c r="C2829" s="5" t="s">
        <v>2245</v>
      </c>
      <c r="D2829" s="5" t="s">
        <v>62</v>
      </c>
      <c r="E2829" s="5" t="n">
        <v>3</v>
      </c>
      <c r="F2829" s="5" t="s">
        <v>90</v>
      </c>
      <c r="G2829" s="2" t="s">
        <v>12057</v>
      </c>
      <c r="H2829" s="5" t="s">
        <v>8336</v>
      </c>
      <c r="I2829" s="5"/>
      <c r="J2829" s="5"/>
      <c r="K2829" s="5" t="s">
        <v>15020</v>
      </c>
    </row>
    <row r="2830" customFormat="false" ht="15" hidden="false" customHeight="false" outlineLevel="0" collapsed="false">
      <c r="A2830" s="5" t="s">
        <v>15021</v>
      </c>
      <c r="B2830" s="2" t="s">
        <v>15022</v>
      </c>
      <c r="C2830" s="5" t="s">
        <v>2128</v>
      </c>
      <c r="D2830" s="5" t="s">
        <v>62</v>
      </c>
      <c r="E2830" s="5" t="n">
        <v>5</v>
      </c>
      <c r="F2830" s="5" t="s">
        <v>413</v>
      </c>
      <c r="G2830" s="2" t="s">
        <v>367</v>
      </c>
      <c r="H2830" s="5" t="s">
        <v>8336</v>
      </c>
      <c r="I2830" s="5"/>
      <c r="J2830" s="5"/>
      <c r="K2830" s="5" t="s">
        <v>15023</v>
      </c>
    </row>
    <row r="2831" customFormat="false" ht="46.25" hidden="false" customHeight="false" outlineLevel="0" collapsed="false">
      <c r="A2831" s="5" t="s">
        <v>15024</v>
      </c>
      <c r="B2831" s="2" t="s">
        <v>15025</v>
      </c>
      <c r="C2831" s="5" t="s">
        <v>2245</v>
      </c>
      <c r="D2831" s="5" t="s">
        <v>62</v>
      </c>
      <c r="E2831" s="5" t="n">
        <v>5</v>
      </c>
      <c r="F2831" s="5" t="s">
        <v>90</v>
      </c>
      <c r="G2831" s="2" t="s">
        <v>12054</v>
      </c>
      <c r="H2831" s="5" t="s">
        <v>8336</v>
      </c>
      <c r="I2831" s="5"/>
      <c r="J2831" s="5"/>
      <c r="K2831" s="5" t="s">
        <v>15026</v>
      </c>
    </row>
    <row r="2832" customFormat="false" ht="46.25" hidden="false" customHeight="false" outlineLevel="0" collapsed="false">
      <c r="A2832" s="5" t="s">
        <v>15027</v>
      </c>
      <c r="B2832" s="2" t="s">
        <v>15028</v>
      </c>
      <c r="C2832" s="5" t="s">
        <v>2245</v>
      </c>
      <c r="D2832" s="5" t="s">
        <v>62</v>
      </c>
      <c r="E2832" s="5" t="n">
        <v>3</v>
      </c>
      <c r="F2832" s="5" t="s">
        <v>90</v>
      </c>
      <c r="G2832" s="2" t="s">
        <v>12054</v>
      </c>
      <c r="H2832" s="5" t="s">
        <v>8336</v>
      </c>
      <c r="I2832" s="5"/>
      <c r="J2832" s="5"/>
      <c r="K2832" s="5" t="s">
        <v>15029</v>
      </c>
    </row>
    <row r="2833" customFormat="false" ht="23.85" hidden="false" customHeight="false" outlineLevel="0" collapsed="false">
      <c r="A2833" s="5" t="s">
        <v>15030</v>
      </c>
      <c r="B2833" s="2" t="s">
        <v>15031</v>
      </c>
      <c r="C2833" s="5" t="s">
        <v>2128</v>
      </c>
      <c r="D2833" s="5" t="s">
        <v>62</v>
      </c>
      <c r="E2833" s="5" t="n">
        <v>7</v>
      </c>
      <c r="F2833" s="5" t="s">
        <v>413</v>
      </c>
      <c r="G2833" s="2" t="s">
        <v>415</v>
      </c>
      <c r="H2833" s="5" t="s">
        <v>8336</v>
      </c>
      <c r="I2833" s="5"/>
      <c r="J2833" s="5"/>
      <c r="K2833" s="5" t="s">
        <v>15032</v>
      </c>
    </row>
    <row r="2834" customFormat="false" ht="46.25" hidden="false" customHeight="false" outlineLevel="0" collapsed="false">
      <c r="A2834" s="5" t="s">
        <v>4084</v>
      </c>
      <c r="B2834" s="2" t="s">
        <v>4085</v>
      </c>
      <c r="C2834" s="5" t="s">
        <v>2245</v>
      </c>
      <c r="D2834" s="5" t="s">
        <v>62</v>
      </c>
      <c r="E2834" s="5" t="n">
        <v>7</v>
      </c>
      <c r="F2834" s="5" t="s">
        <v>413</v>
      </c>
      <c r="G2834" s="2" t="s">
        <v>12894</v>
      </c>
      <c r="H2834" s="5" t="s">
        <v>8332</v>
      </c>
      <c r="I2834" s="5" t="s">
        <v>60</v>
      </c>
      <c r="J2834" s="5" t="s">
        <v>269</v>
      </c>
      <c r="K2834" s="5" t="s">
        <v>4088</v>
      </c>
    </row>
    <row r="2835" customFormat="false" ht="46.25" hidden="false" customHeight="false" outlineLevel="0" collapsed="false">
      <c r="A2835" s="5" t="s">
        <v>15033</v>
      </c>
      <c r="B2835" s="2" t="s">
        <v>15034</v>
      </c>
      <c r="C2835" s="5" t="s">
        <v>2245</v>
      </c>
      <c r="D2835" s="5" t="s">
        <v>62</v>
      </c>
      <c r="E2835" s="5" t="n">
        <v>5</v>
      </c>
      <c r="F2835" s="5" t="s">
        <v>277</v>
      </c>
      <c r="G2835" s="2" t="s">
        <v>12054</v>
      </c>
      <c r="H2835" s="5" t="s">
        <v>8336</v>
      </c>
      <c r="I2835" s="5"/>
      <c r="J2835" s="5"/>
      <c r="K2835" s="5" t="s">
        <v>15035</v>
      </c>
    </row>
    <row r="2836" customFormat="false" ht="46.25" hidden="false" customHeight="false" outlineLevel="0" collapsed="false">
      <c r="A2836" s="5" t="s">
        <v>15036</v>
      </c>
      <c r="B2836" s="2" t="s">
        <v>15037</v>
      </c>
      <c r="C2836" s="5" t="s">
        <v>2245</v>
      </c>
      <c r="D2836" s="5" t="s">
        <v>62</v>
      </c>
      <c r="E2836" s="5" t="n">
        <v>7</v>
      </c>
      <c r="F2836" s="5" t="s">
        <v>90</v>
      </c>
      <c r="G2836" s="2" t="s">
        <v>12057</v>
      </c>
      <c r="H2836" s="5" t="s">
        <v>8336</v>
      </c>
      <c r="I2836" s="5"/>
      <c r="J2836" s="5"/>
      <c r="K2836" s="5" t="s">
        <v>15038</v>
      </c>
    </row>
    <row r="2837" customFormat="false" ht="46.25" hidden="false" customHeight="false" outlineLevel="0" collapsed="false">
      <c r="A2837" s="5" t="s">
        <v>15039</v>
      </c>
      <c r="B2837" s="2" t="s">
        <v>15040</v>
      </c>
      <c r="C2837" s="5" t="s">
        <v>2245</v>
      </c>
      <c r="D2837" s="5" t="s">
        <v>62</v>
      </c>
      <c r="E2837" s="5" t="n">
        <v>7</v>
      </c>
      <c r="F2837" s="5" t="s">
        <v>90</v>
      </c>
      <c r="G2837" s="2" t="s">
        <v>12054</v>
      </c>
      <c r="H2837" s="5" t="s">
        <v>8336</v>
      </c>
      <c r="I2837" s="5"/>
      <c r="J2837" s="5"/>
      <c r="K2837" s="5" t="s">
        <v>15041</v>
      </c>
    </row>
    <row r="2838" customFormat="false" ht="46.25" hidden="false" customHeight="false" outlineLevel="0" collapsed="false">
      <c r="A2838" s="5" t="s">
        <v>15042</v>
      </c>
      <c r="B2838" s="2" t="s">
        <v>15043</v>
      </c>
      <c r="C2838" s="5" t="s">
        <v>2245</v>
      </c>
      <c r="D2838" s="5" t="s">
        <v>62</v>
      </c>
      <c r="E2838" s="5" t="n">
        <v>7</v>
      </c>
      <c r="F2838" s="5" t="s">
        <v>413</v>
      </c>
      <c r="G2838" s="2" t="s">
        <v>12054</v>
      </c>
      <c r="H2838" s="5" t="s">
        <v>8336</v>
      </c>
      <c r="I2838" s="5"/>
      <c r="J2838" s="5"/>
      <c r="K2838" s="5" t="s">
        <v>15044</v>
      </c>
    </row>
    <row r="2839" customFormat="false" ht="46.25" hidden="false" customHeight="false" outlineLevel="0" collapsed="false">
      <c r="A2839" s="5" t="s">
        <v>15045</v>
      </c>
      <c r="B2839" s="2" t="s">
        <v>15046</v>
      </c>
      <c r="C2839" s="5" t="s">
        <v>2245</v>
      </c>
      <c r="D2839" s="5" t="s">
        <v>62</v>
      </c>
      <c r="E2839" s="5" t="n">
        <v>5</v>
      </c>
      <c r="F2839" s="5" t="s">
        <v>67</v>
      </c>
      <c r="G2839" s="2" t="s">
        <v>12054</v>
      </c>
      <c r="H2839" s="5" t="s">
        <v>8336</v>
      </c>
      <c r="I2839" s="5"/>
      <c r="J2839" s="5"/>
      <c r="K2839" s="5" t="s">
        <v>15047</v>
      </c>
    </row>
    <row r="2840" customFormat="false" ht="46.25" hidden="false" customHeight="false" outlineLevel="0" collapsed="false">
      <c r="A2840" s="5" t="s">
        <v>15048</v>
      </c>
      <c r="B2840" s="2" t="s">
        <v>15049</v>
      </c>
      <c r="C2840" s="5" t="s">
        <v>2245</v>
      </c>
      <c r="D2840" s="5" t="s">
        <v>62</v>
      </c>
      <c r="E2840" s="5" t="n">
        <v>3</v>
      </c>
      <c r="F2840" s="5" t="s">
        <v>277</v>
      </c>
      <c r="G2840" s="2" t="s">
        <v>12054</v>
      </c>
      <c r="H2840" s="5" t="s">
        <v>8336</v>
      </c>
      <c r="I2840" s="5"/>
      <c r="J2840" s="5"/>
      <c r="K2840" s="5" t="s">
        <v>15050</v>
      </c>
    </row>
    <row r="2841" customFormat="false" ht="46.25" hidden="false" customHeight="false" outlineLevel="0" collapsed="false">
      <c r="A2841" s="5" t="s">
        <v>15051</v>
      </c>
      <c r="B2841" s="2" t="s">
        <v>15052</v>
      </c>
      <c r="C2841" s="5" t="s">
        <v>2245</v>
      </c>
      <c r="D2841" s="5" t="s">
        <v>62</v>
      </c>
      <c r="E2841" s="5" t="n">
        <v>5</v>
      </c>
      <c r="F2841" s="5" t="s">
        <v>67</v>
      </c>
      <c r="G2841" s="2" t="s">
        <v>12054</v>
      </c>
      <c r="H2841" s="5" t="s">
        <v>8336</v>
      </c>
      <c r="I2841" s="5"/>
      <c r="J2841" s="5"/>
      <c r="K2841" s="5" t="s">
        <v>15053</v>
      </c>
    </row>
    <row r="2842" customFormat="false" ht="23.85" hidden="false" customHeight="false" outlineLevel="0" collapsed="false">
      <c r="A2842" s="5" t="s">
        <v>15054</v>
      </c>
      <c r="B2842" s="2" t="s">
        <v>15055</v>
      </c>
      <c r="C2842" s="5" t="s">
        <v>2128</v>
      </c>
      <c r="D2842" s="5" t="s">
        <v>62</v>
      </c>
      <c r="E2842" s="5" t="n">
        <v>7</v>
      </c>
      <c r="F2842" s="5" t="s">
        <v>90</v>
      </c>
      <c r="G2842" s="2" t="s">
        <v>367</v>
      </c>
      <c r="H2842" s="5" t="s">
        <v>8336</v>
      </c>
      <c r="I2842" s="5"/>
      <c r="J2842" s="5"/>
      <c r="K2842" s="5" t="s">
        <v>15056</v>
      </c>
    </row>
    <row r="2843" customFormat="false" ht="46.25" hidden="false" customHeight="false" outlineLevel="0" collapsed="false">
      <c r="A2843" s="5" t="s">
        <v>4089</v>
      </c>
      <c r="B2843" s="2" t="s">
        <v>4090</v>
      </c>
      <c r="C2843" s="5" t="s">
        <v>2245</v>
      </c>
      <c r="D2843" s="5" t="s">
        <v>62</v>
      </c>
      <c r="E2843" s="5" t="n">
        <v>7</v>
      </c>
      <c r="F2843" s="5" t="s">
        <v>67</v>
      </c>
      <c r="G2843" s="2" t="s">
        <v>12057</v>
      </c>
      <c r="H2843" s="5" t="s">
        <v>8332</v>
      </c>
      <c r="I2843" s="5" t="s">
        <v>60</v>
      </c>
      <c r="J2843" s="5" t="s">
        <v>161</v>
      </c>
      <c r="K2843" s="5" t="s">
        <v>4093</v>
      </c>
    </row>
    <row r="2844" customFormat="false" ht="46.25" hidden="false" customHeight="false" outlineLevel="0" collapsed="false">
      <c r="A2844" s="5" t="s">
        <v>15057</v>
      </c>
      <c r="B2844" s="2" t="s">
        <v>15058</v>
      </c>
      <c r="C2844" s="5" t="s">
        <v>2245</v>
      </c>
      <c r="D2844" s="5" t="s">
        <v>62</v>
      </c>
      <c r="E2844" s="5" t="n">
        <v>7</v>
      </c>
      <c r="F2844" s="5" t="s">
        <v>413</v>
      </c>
      <c r="G2844" s="2" t="s">
        <v>12054</v>
      </c>
      <c r="H2844" s="5" t="s">
        <v>8336</v>
      </c>
      <c r="I2844" s="5"/>
      <c r="J2844" s="5"/>
      <c r="K2844" s="5" t="s">
        <v>15059</v>
      </c>
    </row>
    <row r="2845" customFormat="false" ht="46.25" hidden="false" customHeight="false" outlineLevel="0" collapsed="false">
      <c r="A2845" s="5" t="s">
        <v>15060</v>
      </c>
      <c r="B2845" s="2" t="s">
        <v>15061</v>
      </c>
      <c r="C2845" s="5" t="s">
        <v>2245</v>
      </c>
      <c r="D2845" s="5" t="s">
        <v>62</v>
      </c>
      <c r="E2845" s="5" t="n">
        <v>5</v>
      </c>
      <c r="F2845" s="5" t="s">
        <v>90</v>
      </c>
      <c r="G2845" s="2" t="s">
        <v>12054</v>
      </c>
      <c r="H2845" s="5" t="s">
        <v>8336</v>
      </c>
      <c r="I2845" s="5"/>
      <c r="J2845" s="5"/>
      <c r="K2845" s="5" t="s">
        <v>15062</v>
      </c>
    </row>
    <row r="2846" customFormat="false" ht="46.25" hidden="false" customHeight="false" outlineLevel="0" collapsed="false">
      <c r="A2846" s="5" t="s">
        <v>15063</v>
      </c>
      <c r="B2846" s="2" t="s">
        <v>15064</v>
      </c>
      <c r="C2846" s="5" t="s">
        <v>2245</v>
      </c>
      <c r="D2846" s="5" t="s">
        <v>62</v>
      </c>
      <c r="E2846" s="5" t="n">
        <v>5</v>
      </c>
      <c r="F2846" s="5" t="s">
        <v>67</v>
      </c>
      <c r="G2846" s="2" t="s">
        <v>12054</v>
      </c>
      <c r="H2846" s="5" t="s">
        <v>8336</v>
      </c>
      <c r="I2846" s="5"/>
      <c r="J2846" s="5"/>
      <c r="K2846" s="5" t="s">
        <v>15065</v>
      </c>
    </row>
    <row r="2847" customFormat="false" ht="46.25" hidden="false" customHeight="false" outlineLevel="0" collapsed="false">
      <c r="A2847" s="5" t="s">
        <v>15066</v>
      </c>
      <c r="B2847" s="2" t="s">
        <v>15067</v>
      </c>
      <c r="C2847" s="5" t="s">
        <v>2245</v>
      </c>
      <c r="D2847" s="5" t="s">
        <v>62</v>
      </c>
      <c r="E2847" s="5" t="n">
        <v>5</v>
      </c>
      <c r="F2847" s="5" t="s">
        <v>90</v>
      </c>
      <c r="G2847" s="2" t="s">
        <v>12054</v>
      </c>
      <c r="H2847" s="5" t="s">
        <v>8336</v>
      </c>
      <c r="I2847" s="5"/>
      <c r="J2847" s="5"/>
      <c r="K2847" s="5" t="s">
        <v>15068</v>
      </c>
    </row>
    <row r="2848" customFormat="false" ht="15" hidden="false" customHeight="false" outlineLevel="0" collapsed="false">
      <c r="A2848" s="5" t="s">
        <v>15069</v>
      </c>
      <c r="B2848" s="2" t="s">
        <v>15070</v>
      </c>
      <c r="C2848" s="5" t="s">
        <v>2128</v>
      </c>
      <c r="D2848" s="5" t="s">
        <v>62</v>
      </c>
      <c r="E2848" s="5" t="n">
        <v>7</v>
      </c>
      <c r="F2848" s="5" t="s">
        <v>90</v>
      </c>
      <c r="G2848" s="2" t="s">
        <v>367</v>
      </c>
      <c r="H2848" s="5" t="s">
        <v>8336</v>
      </c>
      <c r="I2848" s="5"/>
      <c r="J2848" s="5"/>
      <c r="K2848" s="5" t="s">
        <v>15071</v>
      </c>
    </row>
    <row r="2849" customFormat="false" ht="46.25" hidden="false" customHeight="false" outlineLevel="0" collapsed="false">
      <c r="A2849" s="5" t="s">
        <v>15072</v>
      </c>
      <c r="B2849" s="2" t="s">
        <v>15073</v>
      </c>
      <c r="C2849" s="5" t="s">
        <v>2245</v>
      </c>
      <c r="D2849" s="5" t="s">
        <v>62</v>
      </c>
      <c r="E2849" s="5" t="n">
        <v>5</v>
      </c>
      <c r="F2849" s="5" t="s">
        <v>413</v>
      </c>
      <c r="G2849" s="2" t="s">
        <v>12054</v>
      </c>
      <c r="H2849" s="5" t="s">
        <v>8336</v>
      </c>
      <c r="I2849" s="5"/>
      <c r="J2849" s="5"/>
      <c r="K2849" s="5" t="s">
        <v>15074</v>
      </c>
    </row>
    <row r="2850" customFormat="false" ht="15" hidden="false" customHeight="false" outlineLevel="0" collapsed="false">
      <c r="A2850" s="5" t="s">
        <v>15075</v>
      </c>
      <c r="B2850" s="2" t="s">
        <v>15076</v>
      </c>
      <c r="C2850" s="5" t="s">
        <v>2128</v>
      </c>
      <c r="D2850" s="5" t="s">
        <v>62</v>
      </c>
      <c r="E2850" s="5" t="n">
        <v>7</v>
      </c>
      <c r="F2850" s="5" t="s">
        <v>67</v>
      </c>
      <c r="G2850" s="2" t="s">
        <v>367</v>
      </c>
      <c r="H2850" s="5" t="s">
        <v>8336</v>
      </c>
      <c r="I2850" s="5"/>
      <c r="J2850" s="5"/>
      <c r="K2850" s="5" t="s">
        <v>15077</v>
      </c>
    </row>
    <row r="2851" customFormat="false" ht="23.85" hidden="false" customHeight="false" outlineLevel="0" collapsed="false">
      <c r="A2851" s="5" t="s">
        <v>1730</v>
      </c>
      <c r="B2851" s="2" t="s">
        <v>1731</v>
      </c>
      <c r="C2851" s="5" t="s">
        <v>488</v>
      </c>
      <c r="D2851" s="5" t="s">
        <v>62</v>
      </c>
      <c r="E2851" s="5" t="n">
        <v>7</v>
      </c>
      <c r="F2851" s="5" t="s">
        <v>90</v>
      </c>
      <c r="G2851" s="2" t="s">
        <v>184</v>
      </c>
      <c r="H2851" s="5" t="s">
        <v>8332</v>
      </c>
      <c r="I2851" s="5" t="s">
        <v>60</v>
      </c>
      <c r="J2851" s="5" t="s">
        <v>276</v>
      </c>
      <c r="K2851" s="5" t="s">
        <v>1735</v>
      </c>
    </row>
    <row r="2852" customFormat="false" ht="46.25" hidden="false" customHeight="false" outlineLevel="0" collapsed="false">
      <c r="A2852" s="5" t="s">
        <v>15078</v>
      </c>
      <c r="B2852" s="2" t="s">
        <v>15079</v>
      </c>
      <c r="C2852" s="5" t="s">
        <v>2245</v>
      </c>
      <c r="D2852" s="5" t="s">
        <v>62</v>
      </c>
      <c r="E2852" s="5" t="n">
        <v>7</v>
      </c>
      <c r="F2852" s="5" t="s">
        <v>413</v>
      </c>
      <c r="G2852" s="2" t="s">
        <v>12054</v>
      </c>
      <c r="H2852" s="5" t="s">
        <v>8336</v>
      </c>
      <c r="I2852" s="5"/>
      <c r="J2852" s="5"/>
      <c r="K2852" s="5" t="s">
        <v>15080</v>
      </c>
    </row>
    <row r="2853" customFormat="false" ht="46.25" hidden="false" customHeight="false" outlineLevel="0" collapsed="false">
      <c r="A2853" s="5" t="s">
        <v>6353</v>
      </c>
      <c r="B2853" s="2" t="s">
        <v>6354</v>
      </c>
      <c r="C2853" s="5" t="s">
        <v>2245</v>
      </c>
      <c r="D2853" s="5" t="s">
        <v>490</v>
      </c>
      <c r="E2853" s="5" t="n">
        <v>7</v>
      </c>
      <c r="F2853" s="5" t="s">
        <v>100</v>
      </c>
      <c r="G2853" s="2" t="s">
        <v>12057</v>
      </c>
      <c r="H2853" s="5" t="s">
        <v>8332</v>
      </c>
      <c r="I2853" s="5" t="s">
        <v>4760</v>
      </c>
      <c r="J2853" s="5" t="s">
        <v>100</v>
      </c>
      <c r="K2853" s="5" t="s">
        <v>6357</v>
      </c>
    </row>
    <row r="2854" customFormat="false" ht="46.25" hidden="false" customHeight="false" outlineLevel="0" collapsed="false">
      <c r="A2854" s="5" t="s">
        <v>15081</v>
      </c>
      <c r="B2854" s="2" t="s">
        <v>15082</v>
      </c>
      <c r="C2854" s="5" t="s">
        <v>2245</v>
      </c>
      <c r="D2854" s="5" t="s">
        <v>62</v>
      </c>
      <c r="E2854" s="5" t="n">
        <v>7</v>
      </c>
      <c r="F2854" s="5" t="s">
        <v>67</v>
      </c>
      <c r="G2854" s="2" t="s">
        <v>12057</v>
      </c>
      <c r="H2854" s="5" t="s">
        <v>8336</v>
      </c>
      <c r="I2854" s="5"/>
      <c r="J2854" s="5"/>
      <c r="K2854" s="5" t="s">
        <v>15083</v>
      </c>
    </row>
    <row r="2855" customFormat="false" ht="46.25" hidden="false" customHeight="false" outlineLevel="0" collapsed="false">
      <c r="A2855" s="5" t="s">
        <v>15084</v>
      </c>
      <c r="B2855" s="2" t="s">
        <v>15085</v>
      </c>
      <c r="C2855" s="5" t="s">
        <v>2245</v>
      </c>
      <c r="D2855" s="5" t="s">
        <v>490</v>
      </c>
      <c r="E2855" s="5" t="n">
        <v>3</v>
      </c>
      <c r="F2855" s="5" t="s">
        <v>90</v>
      </c>
      <c r="G2855" s="2" t="s">
        <v>12174</v>
      </c>
      <c r="H2855" s="5" t="s">
        <v>8336</v>
      </c>
      <c r="I2855" s="5"/>
      <c r="J2855" s="5"/>
      <c r="K2855" s="5" t="s">
        <v>15086</v>
      </c>
    </row>
    <row r="2856" customFormat="false" ht="15" hidden="false" customHeight="false" outlineLevel="0" collapsed="false">
      <c r="A2856" s="5" t="s">
        <v>15087</v>
      </c>
      <c r="B2856" s="2" t="s">
        <v>15088</v>
      </c>
      <c r="C2856" s="5" t="s">
        <v>2128</v>
      </c>
      <c r="D2856" s="5" t="s">
        <v>62</v>
      </c>
      <c r="E2856" s="5" t="n">
        <v>7</v>
      </c>
      <c r="F2856" s="5" t="s">
        <v>67</v>
      </c>
      <c r="G2856" s="2" t="s">
        <v>367</v>
      </c>
      <c r="H2856" s="5" t="s">
        <v>8336</v>
      </c>
      <c r="I2856" s="5"/>
      <c r="J2856" s="5"/>
      <c r="K2856" s="5" t="s">
        <v>15089</v>
      </c>
    </row>
    <row r="2857" customFormat="false" ht="23.85" hidden="false" customHeight="false" outlineLevel="0" collapsed="false">
      <c r="A2857" s="5" t="s">
        <v>1736</v>
      </c>
      <c r="B2857" s="2" t="s">
        <v>1737</v>
      </c>
      <c r="C2857" s="5" t="s">
        <v>488</v>
      </c>
      <c r="D2857" s="5" t="s">
        <v>62</v>
      </c>
      <c r="E2857" s="5" t="n">
        <v>5</v>
      </c>
      <c r="F2857" s="5" t="s">
        <v>100</v>
      </c>
      <c r="G2857" s="2" t="s">
        <v>367</v>
      </c>
      <c r="H2857" s="5" t="s">
        <v>8332</v>
      </c>
      <c r="I2857" s="5" t="s">
        <v>60</v>
      </c>
      <c r="J2857" s="5" t="s">
        <v>100</v>
      </c>
      <c r="K2857" s="5" t="s">
        <v>1740</v>
      </c>
    </row>
    <row r="2858" customFormat="false" ht="23.85" hidden="false" customHeight="false" outlineLevel="0" collapsed="false">
      <c r="A2858" s="5" t="s">
        <v>15090</v>
      </c>
      <c r="B2858" s="2" t="s">
        <v>15091</v>
      </c>
      <c r="C2858" s="5" t="s">
        <v>2128</v>
      </c>
      <c r="D2858" s="5" t="s">
        <v>62</v>
      </c>
      <c r="E2858" s="5" t="n">
        <v>7</v>
      </c>
      <c r="F2858" s="5" t="s">
        <v>90</v>
      </c>
      <c r="G2858" s="2" t="s">
        <v>367</v>
      </c>
      <c r="H2858" s="5" t="s">
        <v>8336</v>
      </c>
      <c r="I2858" s="5"/>
      <c r="J2858" s="5"/>
      <c r="K2858" s="5" t="s">
        <v>15092</v>
      </c>
    </row>
    <row r="2859" customFormat="false" ht="15" hidden="false" customHeight="false" outlineLevel="0" collapsed="false">
      <c r="A2859" s="5" t="s">
        <v>1741</v>
      </c>
      <c r="B2859" s="2" t="s">
        <v>1742</v>
      </c>
      <c r="C2859" s="5" t="s">
        <v>488</v>
      </c>
      <c r="D2859" s="5" t="s">
        <v>62</v>
      </c>
      <c r="E2859" s="5" t="n">
        <v>7</v>
      </c>
      <c r="F2859" s="5" t="s">
        <v>100</v>
      </c>
      <c r="G2859" s="2" t="s">
        <v>367</v>
      </c>
      <c r="H2859" s="5" t="s">
        <v>8332</v>
      </c>
      <c r="I2859" s="5" t="s">
        <v>60</v>
      </c>
      <c r="J2859" s="5" t="s">
        <v>1384</v>
      </c>
      <c r="K2859" s="5" t="s">
        <v>1745</v>
      </c>
    </row>
    <row r="2860" customFormat="false" ht="15" hidden="false" customHeight="false" outlineLevel="0" collapsed="false">
      <c r="A2860" s="5" t="s">
        <v>1746</v>
      </c>
      <c r="B2860" s="2" t="s">
        <v>1747</v>
      </c>
      <c r="C2860" s="5" t="s">
        <v>488</v>
      </c>
      <c r="D2860" s="5" t="s">
        <v>62</v>
      </c>
      <c r="E2860" s="5" t="n">
        <v>5</v>
      </c>
      <c r="F2860" s="5" t="s">
        <v>100</v>
      </c>
      <c r="G2860" s="2" t="s">
        <v>367</v>
      </c>
      <c r="H2860" s="5" t="s">
        <v>8332</v>
      </c>
      <c r="I2860" s="5" t="s">
        <v>60</v>
      </c>
      <c r="J2860" s="5" t="s">
        <v>1384</v>
      </c>
      <c r="K2860" s="5" t="s">
        <v>1750</v>
      </c>
    </row>
    <row r="2861" customFormat="false" ht="35.05" hidden="false" customHeight="false" outlineLevel="0" collapsed="false">
      <c r="A2861" s="5" t="s">
        <v>406</v>
      </c>
      <c r="B2861" s="2" t="s">
        <v>407</v>
      </c>
      <c r="C2861" s="5" t="s">
        <v>59</v>
      </c>
      <c r="D2861" s="5" t="s">
        <v>62</v>
      </c>
      <c r="E2861" s="5" t="n">
        <v>9</v>
      </c>
      <c r="F2861" s="5" t="s">
        <v>100</v>
      </c>
      <c r="G2861" s="2" t="s">
        <v>12494</v>
      </c>
      <c r="H2861" s="5" t="s">
        <v>8332</v>
      </c>
      <c r="I2861" s="5" t="s">
        <v>60</v>
      </c>
      <c r="J2861" s="5" t="s">
        <v>397</v>
      </c>
      <c r="K2861" s="5" t="s">
        <v>410</v>
      </c>
    </row>
    <row r="2862" customFormat="false" ht="23.85" hidden="false" customHeight="false" outlineLevel="0" collapsed="false">
      <c r="A2862" s="5" t="s">
        <v>1751</v>
      </c>
      <c r="B2862" s="2" t="s">
        <v>1752</v>
      </c>
      <c r="C2862" s="5" t="s">
        <v>488</v>
      </c>
      <c r="D2862" s="5" t="s">
        <v>62</v>
      </c>
      <c r="E2862" s="5" t="n">
        <v>7</v>
      </c>
      <c r="F2862" s="5" t="s">
        <v>67</v>
      </c>
      <c r="G2862" s="2" t="s">
        <v>367</v>
      </c>
      <c r="H2862" s="5" t="s">
        <v>8332</v>
      </c>
      <c r="I2862" s="5" t="s">
        <v>60</v>
      </c>
      <c r="J2862" s="5"/>
      <c r="K2862" s="5" t="s">
        <v>1756</v>
      </c>
    </row>
    <row r="2863" customFormat="false" ht="15" hidden="false" customHeight="false" outlineLevel="0" collapsed="false">
      <c r="A2863" s="5" t="s">
        <v>15093</v>
      </c>
      <c r="B2863" s="2" t="s">
        <v>15094</v>
      </c>
      <c r="C2863" s="5" t="s">
        <v>2128</v>
      </c>
      <c r="D2863" s="5" t="s">
        <v>62</v>
      </c>
      <c r="E2863" s="5" t="n">
        <v>5</v>
      </c>
      <c r="F2863" s="5" t="s">
        <v>90</v>
      </c>
      <c r="G2863" s="2" t="s">
        <v>367</v>
      </c>
      <c r="H2863" s="5" t="s">
        <v>8336</v>
      </c>
      <c r="I2863" s="5"/>
      <c r="J2863" s="5"/>
      <c r="K2863" s="5" t="s">
        <v>15095</v>
      </c>
    </row>
    <row r="2864" customFormat="false" ht="46.25" hidden="false" customHeight="false" outlineLevel="0" collapsed="false">
      <c r="A2864" s="5" t="s">
        <v>15096</v>
      </c>
      <c r="B2864" s="2" t="s">
        <v>15097</v>
      </c>
      <c r="C2864" s="5" t="s">
        <v>2245</v>
      </c>
      <c r="D2864" s="5" t="s">
        <v>62</v>
      </c>
      <c r="E2864" s="5" t="n">
        <v>5</v>
      </c>
      <c r="F2864" s="5" t="s">
        <v>90</v>
      </c>
      <c r="G2864" s="2" t="s">
        <v>12057</v>
      </c>
      <c r="H2864" s="5" t="s">
        <v>8336</v>
      </c>
      <c r="I2864" s="5"/>
      <c r="J2864" s="5"/>
      <c r="K2864" s="5" t="s">
        <v>15098</v>
      </c>
    </row>
    <row r="2865" customFormat="false" ht="15" hidden="false" customHeight="false" outlineLevel="0" collapsed="false">
      <c r="A2865" s="5" t="s">
        <v>1757</v>
      </c>
      <c r="B2865" s="2" t="s">
        <v>1758</v>
      </c>
      <c r="C2865" s="5" t="s">
        <v>488</v>
      </c>
      <c r="D2865" s="5" t="s">
        <v>62</v>
      </c>
      <c r="E2865" s="5" t="n">
        <v>7</v>
      </c>
      <c r="F2865" s="5" t="s">
        <v>100</v>
      </c>
      <c r="G2865" s="2" t="s">
        <v>367</v>
      </c>
      <c r="H2865" s="5" t="s">
        <v>8332</v>
      </c>
      <c r="I2865" s="5" t="s">
        <v>60</v>
      </c>
      <c r="J2865" s="5" t="s">
        <v>100</v>
      </c>
      <c r="K2865" s="5" t="s">
        <v>1761</v>
      </c>
    </row>
    <row r="2866" customFormat="false" ht="23.85" hidden="false" customHeight="false" outlineLevel="0" collapsed="false">
      <c r="A2866" s="5" t="s">
        <v>15099</v>
      </c>
      <c r="B2866" s="2" t="s">
        <v>15100</v>
      </c>
      <c r="C2866" s="5" t="s">
        <v>2128</v>
      </c>
      <c r="D2866" s="5" t="s">
        <v>62</v>
      </c>
      <c r="E2866" s="5" t="n">
        <v>7</v>
      </c>
      <c r="F2866" s="5" t="s">
        <v>90</v>
      </c>
      <c r="G2866" s="2" t="s">
        <v>367</v>
      </c>
      <c r="H2866" s="5" t="s">
        <v>8336</v>
      </c>
      <c r="I2866" s="5"/>
      <c r="J2866" s="5"/>
      <c r="K2866" s="5" t="s">
        <v>15101</v>
      </c>
    </row>
    <row r="2867" customFormat="false" ht="23.85" hidden="false" customHeight="false" outlineLevel="0" collapsed="false">
      <c r="A2867" s="5" t="s">
        <v>1762</v>
      </c>
      <c r="B2867" s="2" t="s">
        <v>1763</v>
      </c>
      <c r="C2867" s="5" t="s">
        <v>488</v>
      </c>
      <c r="D2867" s="5" t="s">
        <v>62</v>
      </c>
      <c r="E2867" s="5" t="n">
        <v>7</v>
      </c>
      <c r="F2867" s="5" t="s">
        <v>481</v>
      </c>
      <c r="G2867" s="2" t="s">
        <v>367</v>
      </c>
      <c r="H2867" s="5" t="s">
        <v>8332</v>
      </c>
      <c r="I2867" s="5" t="s">
        <v>60</v>
      </c>
      <c r="J2867" s="5" t="s">
        <v>481</v>
      </c>
      <c r="K2867" s="5" t="s">
        <v>1767</v>
      </c>
    </row>
    <row r="2868" customFormat="false" ht="46.25" hidden="false" customHeight="false" outlineLevel="0" collapsed="false">
      <c r="A2868" s="5" t="s">
        <v>15102</v>
      </c>
      <c r="B2868" s="2" t="s">
        <v>15103</v>
      </c>
      <c r="C2868" s="5" t="s">
        <v>2245</v>
      </c>
      <c r="D2868" s="5" t="s">
        <v>62</v>
      </c>
      <c r="E2868" s="5" t="n">
        <v>7</v>
      </c>
      <c r="F2868" s="5" t="s">
        <v>1814</v>
      </c>
      <c r="G2868" s="2" t="s">
        <v>12057</v>
      </c>
      <c r="H2868" s="5" t="s">
        <v>8336</v>
      </c>
      <c r="I2868" s="5"/>
      <c r="J2868" s="5"/>
      <c r="K2868" s="5" t="s">
        <v>15104</v>
      </c>
    </row>
    <row r="2869" customFormat="false" ht="46.25" hidden="false" customHeight="false" outlineLevel="0" collapsed="false">
      <c r="A2869" s="5" t="s">
        <v>15105</v>
      </c>
      <c r="B2869" s="2" t="s">
        <v>15106</v>
      </c>
      <c r="C2869" s="5" t="s">
        <v>2245</v>
      </c>
      <c r="D2869" s="5" t="s">
        <v>62</v>
      </c>
      <c r="E2869" s="5" t="n">
        <v>5</v>
      </c>
      <c r="F2869" s="5" t="s">
        <v>90</v>
      </c>
      <c r="G2869" s="2" t="s">
        <v>12057</v>
      </c>
      <c r="H2869" s="5" t="s">
        <v>8336</v>
      </c>
      <c r="I2869" s="5"/>
      <c r="J2869" s="5"/>
      <c r="K2869" s="5" t="s">
        <v>15107</v>
      </c>
    </row>
    <row r="2870" customFormat="false" ht="15" hidden="false" customHeight="false" outlineLevel="0" collapsed="false">
      <c r="A2870" s="5" t="s">
        <v>1768</v>
      </c>
      <c r="B2870" s="2" t="s">
        <v>1769</v>
      </c>
      <c r="C2870" s="5" t="s">
        <v>488</v>
      </c>
      <c r="D2870" s="5" t="s">
        <v>62</v>
      </c>
      <c r="E2870" s="5" t="n">
        <v>5</v>
      </c>
      <c r="F2870" s="5" t="s">
        <v>90</v>
      </c>
      <c r="G2870" s="2" t="s">
        <v>367</v>
      </c>
      <c r="H2870" s="5" t="s">
        <v>8332</v>
      </c>
      <c r="I2870" s="5" t="s">
        <v>60</v>
      </c>
      <c r="J2870" s="5"/>
      <c r="K2870" s="5" t="s">
        <v>1772</v>
      </c>
    </row>
    <row r="2871" customFormat="false" ht="23.85" hidden="false" customHeight="false" outlineLevel="0" collapsed="false">
      <c r="A2871" s="5" t="s">
        <v>1773</v>
      </c>
      <c r="B2871" s="2" t="s">
        <v>1774</v>
      </c>
      <c r="C2871" s="5" t="s">
        <v>488</v>
      </c>
      <c r="D2871" s="5" t="s">
        <v>62</v>
      </c>
      <c r="E2871" s="5" t="n">
        <v>7</v>
      </c>
      <c r="F2871" s="5" t="s">
        <v>100</v>
      </c>
      <c r="G2871" s="2" t="s">
        <v>367</v>
      </c>
      <c r="H2871" s="5" t="s">
        <v>8332</v>
      </c>
      <c r="I2871" s="5" t="s">
        <v>60</v>
      </c>
      <c r="J2871" s="5" t="s">
        <v>1384</v>
      </c>
      <c r="K2871" s="5" t="s">
        <v>1777</v>
      </c>
    </row>
    <row r="2872" customFormat="false" ht="23.85" hidden="false" customHeight="false" outlineLevel="0" collapsed="false">
      <c r="A2872" s="5" t="s">
        <v>1778</v>
      </c>
      <c r="B2872" s="2" t="s">
        <v>1779</v>
      </c>
      <c r="C2872" s="5" t="s">
        <v>488</v>
      </c>
      <c r="D2872" s="5" t="s">
        <v>62</v>
      </c>
      <c r="E2872" s="5" t="n">
        <v>5</v>
      </c>
      <c r="F2872" s="5" t="s">
        <v>481</v>
      </c>
      <c r="G2872" s="2" t="s">
        <v>367</v>
      </c>
      <c r="H2872" s="5" t="s">
        <v>8332</v>
      </c>
      <c r="I2872" s="5" t="s">
        <v>60</v>
      </c>
      <c r="J2872" s="5" t="s">
        <v>481</v>
      </c>
      <c r="K2872" s="5" t="s">
        <v>1782</v>
      </c>
    </row>
    <row r="2873" customFormat="false" ht="15" hidden="false" customHeight="false" outlineLevel="0" collapsed="false">
      <c r="A2873" s="5" t="s">
        <v>15108</v>
      </c>
      <c r="B2873" s="2" t="s">
        <v>15109</v>
      </c>
      <c r="C2873" s="5" t="s">
        <v>2128</v>
      </c>
      <c r="D2873" s="5" t="s">
        <v>62</v>
      </c>
      <c r="E2873" s="5" t="n">
        <v>5</v>
      </c>
      <c r="F2873" s="5" t="s">
        <v>413</v>
      </c>
      <c r="G2873" s="2" t="s">
        <v>367</v>
      </c>
      <c r="H2873" s="5" t="s">
        <v>8336</v>
      </c>
      <c r="I2873" s="5"/>
      <c r="J2873" s="5"/>
      <c r="K2873" s="5" t="s">
        <v>15110</v>
      </c>
    </row>
    <row r="2874" customFormat="false" ht="23.85" hidden="false" customHeight="false" outlineLevel="0" collapsed="false">
      <c r="A2874" s="5" t="s">
        <v>4094</v>
      </c>
      <c r="B2874" s="2" t="s">
        <v>4095</v>
      </c>
      <c r="C2874" s="5" t="s">
        <v>2128</v>
      </c>
      <c r="D2874" s="5" t="s">
        <v>62</v>
      </c>
      <c r="E2874" s="5" t="n">
        <v>5</v>
      </c>
      <c r="F2874" s="5" t="s">
        <v>1210</v>
      </c>
      <c r="G2874" s="2" t="s">
        <v>184</v>
      </c>
      <c r="H2874" s="5" t="s">
        <v>8332</v>
      </c>
      <c r="I2874" s="5" t="s">
        <v>60</v>
      </c>
      <c r="J2874" s="5" t="s">
        <v>269</v>
      </c>
      <c r="K2874" s="5" t="s">
        <v>4101</v>
      </c>
    </row>
    <row r="2875" customFormat="false" ht="23.85" hidden="false" customHeight="false" outlineLevel="0" collapsed="false">
      <c r="A2875" s="5" t="s">
        <v>15111</v>
      </c>
      <c r="B2875" s="2" t="s">
        <v>15112</v>
      </c>
      <c r="C2875" s="5" t="s">
        <v>2128</v>
      </c>
      <c r="D2875" s="5" t="s">
        <v>62</v>
      </c>
      <c r="E2875" s="5" t="n">
        <v>7</v>
      </c>
      <c r="F2875" s="5" t="s">
        <v>413</v>
      </c>
      <c r="G2875" s="2" t="s">
        <v>415</v>
      </c>
      <c r="H2875" s="5" t="s">
        <v>8336</v>
      </c>
      <c r="I2875" s="5"/>
      <c r="J2875" s="5"/>
      <c r="K2875" s="5" t="s">
        <v>15113</v>
      </c>
    </row>
    <row r="2876" customFormat="false" ht="23.85" hidden="false" customHeight="false" outlineLevel="0" collapsed="false">
      <c r="A2876" s="5" t="s">
        <v>15114</v>
      </c>
      <c r="B2876" s="2" t="s">
        <v>15115</v>
      </c>
      <c r="C2876" s="5" t="s">
        <v>2128</v>
      </c>
      <c r="D2876" s="5" t="s">
        <v>62</v>
      </c>
      <c r="E2876" s="5" t="n">
        <v>5</v>
      </c>
      <c r="F2876" s="5" t="s">
        <v>67</v>
      </c>
      <c r="G2876" s="2" t="s">
        <v>367</v>
      </c>
      <c r="H2876" s="5" t="s">
        <v>8336</v>
      </c>
      <c r="I2876" s="5"/>
      <c r="J2876" s="5"/>
      <c r="K2876" s="5" t="s">
        <v>15116</v>
      </c>
    </row>
    <row r="2877" customFormat="false" ht="23.85" hidden="false" customHeight="false" outlineLevel="0" collapsed="false">
      <c r="A2877" s="5" t="s">
        <v>4102</v>
      </c>
      <c r="B2877" s="2" t="s">
        <v>4103</v>
      </c>
      <c r="C2877" s="5" t="s">
        <v>2128</v>
      </c>
      <c r="D2877" s="5" t="s">
        <v>62</v>
      </c>
      <c r="E2877" s="5" t="n">
        <v>7</v>
      </c>
      <c r="F2877" s="5" t="s">
        <v>2079</v>
      </c>
      <c r="G2877" s="2" t="s">
        <v>184</v>
      </c>
      <c r="H2877" s="5" t="s">
        <v>8332</v>
      </c>
      <c r="I2877" s="5" t="s">
        <v>60</v>
      </c>
      <c r="J2877" s="5" t="s">
        <v>4104</v>
      </c>
      <c r="K2877" s="5" t="s">
        <v>4107</v>
      </c>
    </row>
    <row r="2878" customFormat="false" ht="46.25" hidden="false" customHeight="false" outlineLevel="0" collapsed="false">
      <c r="A2878" s="5" t="s">
        <v>15117</v>
      </c>
      <c r="B2878" s="2" t="s">
        <v>15118</v>
      </c>
      <c r="C2878" s="5" t="s">
        <v>2245</v>
      </c>
      <c r="D2878" s="5" t="s">
        <v>490</v>
      </c>
      <c r="E2878" s="5" t="n">
        <v>5</v>
      </c>
      <c r="F2878" s="5" t="s">
        <v>67</v>
      </c>
      <c r="G2878" s="2" t="s">
        <v>12057</v>
      </c>
      <c r="H2878" s="5" t="s">
        <v>8336</v>
      </c>
      <c r="I2878" s="5"/>
      <c r="J2878" s="5"/>
      <c r="K2878" s="5" t="s">
        <v>15119</v>
      </c>
    </row>
    <row r="2879" customFormat="false" ht="15" hidden="false" customHeight="false" outlineLevel="0" collapsed="false">
      <c r="A2879" s="5" t="s">
        <v>15120</v>
      </c>
      <c r="B2879" s="2" t="s">
        <v>15121</v>
      </c>
      <c r="C2879" s="5" t="s">
        <v>2128</v>
      </c>
      <c r="D2879" s="5" t="s">
        <v>62</v>
      </c>
      <c r="E2879" s="5" t="n">
        <v>7</v>
      </c>
      <c r="F2879" s="5" t="s">
        <v>90</v>
      </c>
      <c r="G2879" s="2" t="s">
        <v>367</v>
      </c>
      <c r="H2879" s="5" t="s">
        <v>8336</v>
      </c>
      <c r="I2879" s="5"/>
      <c r="J2879" s="5"/>
      <c r="K2879" s="5" t="s">
        <v>15122</v>
      </c>
    </row>
    <row r="2880" customFormat="false" ht="46.25" hidden="false" customHeight="false" outlineLevel="0" collapsed="false">
      <c r="A2880" s="5" t="s">
        <v>15123</v>
      </c>
      <c r="B2880" s="2" t="s">
        <v>15124</v>
      </c>
      <c r="C2880" s="5" t="s">
        <v>2245</v>
      </c>
      <c r="D2880" s="5" t="s">
        <v>490</v>
      </c>
      <c r="E2880" s="5" t="n">
        <v>9</v>
      </c>
      <c r="F2880" s="5" t="s">
        <v>284</v>
      </c>
      <c r="G2880" s="2" t="s">
        <v>12310</v>
      </c>
      <c r="H2880" s="5" t="s">
        <v>8336</v>
      </c>
      <c r="I2880" s="5"/>
      <c r="J2880" s="5"/>
      <c r="K2880" s="5" t="s">
        <v>15125</v>
      </c>
    </row>
    <row r="2881" customFormat="false" ht="46.25" hidden="false" customHeight="false" outlineLevel="0" collapsed="false">
      <c r="A2881" s="5" t="s">
        <v>15126</v>
      </c>
      <c r="B2881" s="2" t="s">
        <v>15127</v>
      </c>
      <c r="C2881" s="5" t="s">
        <v>2245</v>
      </c>
      <c r="D2881" s="5" t="s">
        <v>62</v>
      </c>
      <c r="E2881" s="5" t="n">
        <v>7</v>
      </c>
      <c r="F2881" s="5" t="s">
        <v>413</v>
      </c>
      <c r="G2881" s="2" t="s">
        <v>12054</v>
      </c>
      <c r="H2881" s="5" t="s">
        <v>8336</v>
      </c>
      <c r="I2881" s="5"/>
      <c r="J2881" s="5"/>
      <c r="K2881" s="5" t="s">
        <v>15128</v>
      </c>
    </row>
    <row r="2882" customFormat="false" ht="46.25" hidden="false" customHeight="false" outlineLevel="0" collapsed="false">
      <c r="A2882" s="5" t="s">
        <v>15129</v>
      </c>
      <c r="B2882" s="2" t="s">
        <v>15130</v>
      </c>
      <c r="C2882" s="5" t="s">
        <v>2245</v>
      </c>
      <c r="D2882" s="5" t="s">
        <v>62</v>
      </c>
      <c r="E2882" s="5" t="n">
        <v>7</v>
      </c>
      <c r="F2882" s="5" t="s">
        <v>413</v>
      </c>
      <c r="G2882" s="2" t="s">
        <v>12174</v>
      </c>
      <c r="H2882" s="5" t="s">
        <v>8336</v>
      </c>
      <c r="I2882" s="5"/>
      <c r="J2882" s="5"/>
      <c r="K2882" s="5" t="s">
        <v>15131</v>
      </c>
    </row>
    <row r="2883" customFormat="false" ht="15" hidden="false" customHeight="false" outlineLevel="0" collapsed="false">
      <c r="A2883" s="5" t="s">
        <v>15132</v>
      </c>
      <c r="B2883" s="2" t="s">
        <v>15133</v>
      </c>
      <c r="C2883" s="5" t="s">
        <v>2128</v>
      </c>
      <c r="D2883" s="5" t="s">
        <v>62</v>
      </c>
      <c r="E2883" s="5" t="n">
        <v>5</v>
      </c>
      <c r="F2883" s="5" t="s">
        <v>90</v>
      </c>
      <c r="G2883" s="2" t="s">
        <v>367</v>
      </c>
      <c r="H2883" s="5" t="s">
        <v>8336</v>
      </c>
      <c r="I2883" s="5"/>
      <c r="J2883" s="5"/>
      <c r="K2883" s="5" t="s">
        <v>15134</v>
      </c>
    </row>
    <row r="2884" customFormat="false" ht="15" hidden="false" customHeight="false" outlineLevel="0" collapsed="false">
      <c r="A2884" s="5" t="s">
        <v>6358</v>
      </c>
      <c r="B2884" s="2" t="s">
        <v>6359</v>
      </c>
      <c r="C2884" s="5" t="s">
        <v>2128</v>
      </c>
      <c r="D2884" s="5" t="s">
        <v>62</v>
      </c>
      <c r="E2884" s="5" t="n">
        <v>7</v>
      </c>
      <c r="F2884" s="5" t="s">
        <v>2079</v>
      </c>
      <c r="G2884" s="2" t="s">
        <v>367</v>
      </c>
      <c r="H2884" s="5" t="s">
        <v>8332</v>
      </c>
      <c r="I2884" s="5" t="s">
        <v>4760</v>
      </c>
      <c r="J2884" s="5" t="s">
        <v>2079</v>
      </c>
      <c r="K2884" s="5" t="s">
        <v>6362</v>
      </c>
    </row>
    <row r="2885" customFormat="false" ht="23.85" hidden="false" customHeight="false" outlineLevel="0" collapsed="false">
      <c r="A2885" s="5" t="s">
        <v>15135</v>
      </c>
      <c r="B2885" s="2" t="s">
        <v>15136</v>
      </c>
      <c r="C2885" s="5" t="s">
        <v>2128</v>
      </c>
      <c r="D2885" s="5" t="s">
        <v>62</v>
      </c>
      <c r="E2885" s="5" t="n">
        <v>7</v>
      </c>
      <c r="F2885" s="5" t="s">
        <v>90</v>
      </c>
      <c r="G2885" s="2" t="s">
        <v>367</v>
      </c>
      <c r="H2885" s="5" t="s">
        <v>8336</v>
      </c>
      <c r="I2885" s="5"/>
      <c r="J2885" s="5"/>
      <c r="K2885" s="5" t="s">
        <v>15137</v>
      </c>
    </row>
    <row r="2886" customFormat="false" ht="23.85" hidden="false" customHeight="false" outlineLevel="0" collapsed="false">
      <c r="A2886" s="5" t="s">
        <v>411</v>
      </c>
      <c r="B2886" s="2" t="s">
        <v>412</v>
      </c>
      <c r="C2886" s="5" t="s">
        <v>59</v>
      </c>
      <c r="D2886" s="5" t="s">
        <v>62</v>
      </c>
      <c r="E2886" s="5" t="n">
        <v>9</v>
      </c>
      <c r="F2886" s="5" t="s">
        <v>413</v>
      </c>
      <c r="G2886" s="2" t="s">
        <v>415</v>
      </c>
      <c r="H2886" s="5" t="s">
        <v>8332</v>
      </c>
      <c r="I2886" s="5" t="s">
        <v>60</v>
      </c>
      <c r="J2886" s="5"/>
      <c r="K2886" s="5" t="s">
        <v>421</v>
      </c>
    </row>
    <row r="2887" customFormat="false" ht="15" hidden="false" customHeight="false" outlineLevel="0" collapsed="false">
      <c r="A2887" s="5" t="s">
        <v>15138</v>
      </c>
      <c r="B2887" s="2" t="s">
        <v>15139</v>
      </c>
      <c r="C2887" s="5" t="s">
        <v>2128</v>
      </c>
      <c r="D2887" s="5" t="s">
        <v>62</v>
      </c>
      <c r="E2887" s="5" t="n">
        <v>5</v>
      </c>
      <c r="F2887" s="5" t="s">
        <v>90</v>
      </c>
      <c r="G2887" s="2" t="s">
        <v>367</v>
      </c>
      <c r="H2887" s="5" t="s">
        <v>8336</v>
      </c>
      <c r="I2887" s="5"/>
      <c r="J2887" s="5"/>
      <c r="K2887" s="5" t="s">
        <v>15140</v>
      </c>
    </row>
    <row r="2888" customFormat="false" ht="15" hidden="false" customHeight="false" outlineLevel="0" collapsed="false">
      <c r="A2888" s="5" t="s">
        <v>15141</v>
      </c>
      <c r="B2888" s="2" t="s">
        <v>15142</v>
      </c>
      <c r="C2888" s="5" t="s">
        <v>2128</v>
      </c>
      <c r="D2888" s="5" t="s">
        <v>62</v>
      </c>
      <c r="E2888" s="5" t="n">
        <v>3</v>
      </c>
      <c r="F2888" s="5" t="s">
        <v>413</v>
      </c>
      <c r="G2888" s="2" t="s">
        <v>367</v>
      </c>
      <c r="H2888" s="5" t="s">
        <v>8336</v>
      </c>
      <c r="I2888" s="5"/>
      <c r="J2888" s="5"/>
      <c r="K2888" s="5" t="s">
        <v>15143</v>
      </c>
    </row>
    <row r="2889" customFormat="false" ht="46.25" hidden="false" customHeight="false" outlineLevel="0" collapsed="false">
      <c r="A2889" s="5" t="s">
        <v>15144</v>
      </c>
      <c r="B2889" s="2" t="s">
        <v>15145</v>
      </c>
      <c r="C2889" s="5" t="s">
        <v>2245</v>
      </c>
      <c r="D2889" s="5" t="s">
        <v>62</v>
      </c>
      <c r="E2889" s="5" t="n">
        <v>5</v>
      </c>
      <c r="F2889" s="5" t="s">
        <v>413</v>
      </c>
      <c r="G2889" s="2" t="s">
        <v>12077</v>
      </c>
      <c r="H2889" s="5" t="s">
        <v>8336</v>
      </c>
      <c r="I2889" s="5"/>
      <c r="J2889" s="5"/>
      <c r="K2889" s="5" t="s">
        <v>15146</v>
      </c>
    </row>
    <row r="2890" customFormat="false" ht="46.25" hidden="false" customHeight="false" outlineLevel="0" collapsed="false">
      <c r="A2890" s="5" t="s">
        <v>15147</v>
      </c>
      <c r="B2890" s="2" t="s">
        <v>15148</v>
      </c>
      <c r="C2890" s="5" t="s">
        <v>2245</v>
      </c>
      <c r="D2890" s="5" t="s">
        <v>62</v>
      </c>
      <c r="E2890" s="5" t="n">
        <v>5</v>
      </c>
      <c r="F2890" s="5" t="s">
        <v>413</v>
      </c>
      <c r="G2890" s="2" t="s">
        <v>12057</v>
      </c>
      <c r="H2890" s="5" t="s">
        <v>8336</v>
      </c>
      <c r="I2890" s="5"/>
      <c r="J2890" s="5"/>
      <c r="K2890" s="5" t="s">
        <v>15149</v>
      </c>
    </row>
    <row r="2891" customFormat="false" ht="23.85" hidden="false" customHeight="false" outlineLevel="0" collapsed="false">
      <c r="A2891" s="5" t="s">
        <v>15150</v>
      </c>
      <c r="B2891" s="2" t="s">
        <v>15151</v>
      </c>
      <c r="C2891" s="5" t="s">
        <v>2128</v>
      </c>
      <c r="D2891" s="5" t="s">
        <v>62</v>
      </c>
      <c r="E2891" s="5" t="n">
        <v>7</v>
      </c>
      <c r="F2891" s="5" t="s">
        <v>284</v>
      </c>
      <c r="G2891" s="2" t="s">
        <v>367</v>
      </c>
      <c r="H2891" s="5" t="s">
        <v>8336</v>
      </c>
      <c r="I2891" s="5"/>
      <c r="J2891" s="5"/>
      <c r="K2891" s="5" t="s">
        <v>15152</v>
      </c>
    </row>
    <row r="2892" customFormat="false" ht="46.25" hidden="false" customHeight="false" outlineLevel="0" collapsed="false">
      <c r="A2892" s="5" t="s">
        <v>15153</v>
      </c>
      <c r="B2892" s="2" t="s">
        <v>15154</v>
      </c>
      <c r="C2892" s="5" t="s">
        <v>2245</v>
      </c>
      <c r="D2892" s="5" t="s">
        <v>62</v>
      </c>
      <c r="E2892" s="5" t="n">
        <v>5</v>
      </c>
      <c r="F2892" s="5" t="s">
        <v>90</v>
      </c>
      <c r="G2892" s="2" t="s">
        <v>12057</v>
      </c>
      <c r="H2892" s="5" t="s">
        <v>8336</v>
      </c>
      <c r="I2892" s="5"/>
      <c r="J2892" s="5"/>
      <c r="K2892" s="5" t="s">
        <v>15155</v>
      </c>
    </row>
    <row r="2893" customFormat="false" ht="15" hidden="false" customHeight="false" outlineLevel="0" collapsed="false">
      <c r="A2893" s="5" t="s">
        <v>15156</v>
      </c>
      <c r="B2893" s="2" t="s">
        <v>15157</v>
      </c>
      <c r="C2893" s="5" t="s">
        <v>2128</v>
      </c>
      <c r="D2893" s="5" t="s">
        <v>62</v>
      </c>
      <c r="E2893" s="5" t="n">
        <v>7</v>
      </c>
      <c r="F2893" s="5" t="s">
        <v>1814</v>
      </c>
      <c r="G2893" s="2" t="s">
        <v>367</v>
      </c>
      <c r="H2893" s="5" t="s">
        <v>8336</v>
      </c>
      <c r="I2893" s="5"/>
      <c r="J2893" s="5"/>
      <c r="K2893" s="5" t="s">
        <v>15158</v>
      </c>
    </row>
    <row r="2894" customFormat="false" ht="15" hidden="false" customHeight="false" outlineLevel="0" collapsed="false">
      <c r="A2894" s="5" t="s">
        <v>15159</v>
      </c>
      <c r="B2894" s="2" t="s">
        <v>15160</v>
      </c>
      <c r="C2894" s="5" t="s">
        <v>2128</v>
      </c>
      <c r="D2894" s="5" t="s">
        <v>62</v>
      </c>
      <c r="E2894" s="5" t="n">
        <v>7</v>
      </c>
      <c r="F2894" s="5" t="s">
        <v>277</v>
      </c>
      <c r="G2894" s="2" t="s">
        <v>367</v>
      </c>
      <c r="H2894" s="5" t="s">
        <v>8336</v>
      </c>
      <c r="I2894" s="5"/>
      <c r="J2894" s="5"/>
      <c r="K2894" s="5" t="s">
        <v>15161</v>
      </c>
    </row>
    <row r="2895" customFormat="false" ht="46.25" hidden="false" customHeight="false" outlineLevel="0" collapsed="false">
      <c r="A2895" s="5" t="s">
        <v>4108</v>
      </c>
      <c r="B2895" s="2" t="s">
        <v>4109</v>
      </c>
      <c r="C2895" s="5" t="s">
        <v>2245</v>
      </c>
      <c r="D2895" s="5" t="s">
        <v>490</v>
      </c>
      <c r="E2895" s="5" t="n">
        <v>5</v>
      </c>
      <c r="F2895" s="5" t="s">
        <v>277</v>
      </c>
      <c r="G2895" s="2" t="s">
        <v>12057</v>
      </c>
      <c r="H2895" s="5" t="s">
        <v>8332</v>
      </c>
      <c r="I2895" s="5" t="s">
        <v>60</v>
      </c>
      <c r="J2895" s="5" t="s">
        <v>751</v>
      </c>
      <c r="K2895" s="5" t="s">
        <v>4113</v>
      </c>
    </row>
    <row r="2896" customFormat="false" ht="15" hidden="false" customHeight="false" outlineLevel="0" collapsed="false">
      <c r="A2896" s="5" t="s">
        <v>15162</v>
      </c>
      <c r="B2896" s="2" t="s">
        <v>15163</v>
      </c>
      <c r="C2896" s="5" t="s">
        <v>2128</v>
      </c>
      <c r="D2896" s="5" t="s">
        <v>62</v>
      </c>
      <c r="E2896" s="5" t="n">
        <v>5</v>
      </c>
      <c r="F2896" s="5" t="s">
        <v>277</v>
      </c>
      <c r="G2896" s="2" t="s">
        <v>367</v>
      </c>
      <c r="H2896" s="5" t="s">
        <v>8336</v>
      </c>
      <c r="I2896" s="5"/>
      <c r="J2896" s="5"/>
      <c r="K2896" s="5" t="s">
        <v>15164</v>
      </c>
    </row>
    <row r="2897" customFormat="false" ht="15" hidden="false" customHeight="false" outlineLevel="0" collapsed="false">
      <c r="A2897" s="5" t="s">
        <v>15165</v>
      </c>
      <c r="B2897" s="2" t="s">
        <v>15166</v>
      </c>
      <c r="C2897" s="5" t="s">
        <v>2128</v>
      </c>
      <c r="D2897" s="5" t="s">
        <v>62</v>
      </c>
      <c r="E2897" s="5" t="n">
        <v>5</v>
      </c>
      <c r="F2897" s="5" t="s">
        <v>277</v>
      </c>
      <c r="G2897" s="2" t="s">
        <v>367</v>
      </c>
      <c r="H2897" s="5" t="s">
        <v>8336</v>
      </c>
      <c r="I2897" s="5"/>
      <c r="J2897" s="5"/>
      <c r="K2897" s="5" t="s">
        <v>15167</v>
      </c>
    </row>
    <row r="2898" customFormat="false" ht="15" hidden="false" customHeight="false" outlineLevel="0" collapsed="false">
      <c r="A2898" s="5" t="s">
        <v>15168</v>
      </c>
      <c r="B2898" s="2" t="s">
        <v>15169</v>
      </c>
      <c r="C2898" s="5" t="s">
        <v>2128</v>
      </c>
      <c r="D2898" s="5" t="s">
        <v>62</v>
      </c>
      <c r="E2898" s="5" t="n">
        <v>5</v>
      </c>
      <c r="F2898" s="5" t="s">
        <v>90</v>
      </c>
      <c r="G2898" s="2" t="s">
        <v>367</v>
      </c>
      <c r="H2898" s="5" t="s">
        <v>8336</v>
      </c>
      <c r="I2898" s="5"/>
      <c r="J2898" s="5"/>
      <c r="K2898" s="5" t="s">
        <v>15170</v>
      </c>
    </row>
    <row r="2899" customFormat="false" ht="15" hidden="false" customHeight="false" outlineLevel="0" collapsed="false">
      <c r="A2899" s="5" t="s">
        <v>15171</v>
      </c>
      <c r="B2899" s="2" t="s">
        <v>15172</v>
      </c>
      <c r="C2899" s="5" t="s">
        <v>2128</v>
      </c>
      <c r="D2899" s="5" t="s">
        <v>62</v>
      </c>
      <c r="E2899" s="5" t="n">
        <v>7</v>
      </c>
      <c r="F2899" s="5" t="s">
        <v>90</v>
      </c>
      <c r="G2899" s="2" t="s">
        <v>367</v>
      </c>
      <c r="H2899" s="5" t="s">
        <v>8336</v>
      </c>
      <c r="I2899" s="5"/>
      <c r="J2899" s="5"/>
      <c r="K2899" s="5" t="s">
        <v>15173</v>
      </c>
    </row>
    <row r="2900" customFormat="false" ht="15" hidden="false" customHeight="false" outlineLevel="0" collapsed="false">
      <c r="A2900" s="5" t="s">
        <v>15174</v>
      </c>
      <c r="B2900" s="2" t="s">
        <v>15175</v>
      </c>
      <c r="C2900" s="5" t="s">
        <v>2128</v>
      </c>
      <c r="D2900" s="5" t="s">
        <v>62</v>
      </c>
      <c r="E2900" s="5" t="n">
        <v>7</v>
      </c>
      <c r="F2900" s="5" t="s">
        <v>1814</v>
      </c>
      <c r="G2900" s="2" t="s">
        <v>367</v>
      </c>
      <c r="H2900" s="5" t="s">
        <v>8336</v>
      </c>
      <c r="I2900" s="5"/>
      <c r="J2900" s="5"/>
      <c r="K2900" s="5" t="s">
        <v>15176</v>
      </c>
    </row>
    <row r="2901" customFormat="false" ht="15" hidden="false" customHeight="false" outlineLevel="0" collapsed="false">
      <c r="A2901" s="5" t="s">
        <v>15177</v>
      </c>
      <c r="B2901" s="2" t="s">
        <v>15178</v>
      </c>
      <c r="C2901" s="5" t="s">
        <v>2128</v>
      </c>
      <c r="D2901" s="5" t="s">
        <v>62</v>
      </c>
      <c r="E2901" s="5" t="n">
        <v>7</v>
      </c>
      <c r="F2901" s="5" t="s">
        <v>10470</v>
      </c>
      <c r="G2901" s="2" t="s">
        <v>367</v>
      </c>
      <c r="H2901" s="5" t="s">
        <v>8336</v>
      </c>
      <c r="I2901" s="5"/>
      <c r="J2901" s="5"/>
      <c r="K2901" s="5" t="s">
        <v>15179</v>
      </c>
    </row>
    <row r="2902" customFormat="false" ht="15" hidden="false" customHeight="false" outlineLevel="0" collapsed="false">
      <c r="A2902" s="5" t="s">
        <v>15180</v>
      </c>
      <c r="B2902" s="2" t="s">
        <v>15181</v>
      </c>
      <c r="C2902" s="5" t="s">
        <v>2128</v>
      </c>
      <c r="D2902" s="5" t="s">
        <v>62</v>
      </c>
      <c r="E2902" s="5" t="n">
        <v>7</v>
      </c>
      <c r="F2902" s="5" t="s">
        <v>284</v>
      </c>
      <c r="G2902" s="2" t="s">
        <v>367</v>
      </c>
      <c r="H2902" s="5" t="s">
        <v>8336</v>
      </c>
      <c r="I2902" s="5"/>
      <c r="J2902" s="5"/>
      <c r="K2902" s="5" t="s">
        <v>15182</v>
      </c>
    </row>
    <row r="2903" customFormat="false" ht="15" hidden="false" customHeight="false" outlineLevel="0" collapsed="false">
      <c r="A2903" s="5" t="s">
        <v>15183</v>
      </c>
      <c r="B2903" s="2" t="s">
        <v>15184</v>
      </c>
      <c r="C2903" s="5" t="s">
        <v>2128</v>
      </c>
      <c r="D2903" s="5" t="s">
        <v>62</v>
      </c>
      <c r="E2903" s="5" t="n">
        <v>7</v>
      </c>
      <c r="F2903" s="5" t="s">
        <v>67</v>
      </c>
      <c r="G2903" s="2" t="s">
        <v>367</v>
      </c>
      <c r="H2903" s="5" t="s">
        <v>8336</v>
      </c>
      <c r="I2903" s="5"/>
      <c r="J2903" s="5"/>
      <c r="K2903" s="5" t="s">
        <v>15185</v>
      </c>
    </row>
    <row r="2904" customFormat="false" ht="15" hidden="false" customHeight="false" outlineLevel="0" collapsed="false">
      <c r="A2904" s="5" t="s">
        <v>1783</v>
      </c>
      <c r="B2904" s="2" t="s">
        <v>1784</v>
      </c>
      <c r="C2904" s="5" t="s">
        <v>488</v>
      </c>
      <c r="D2904" s="5" t="s">
        <v>62</v>
      </c>
      <c r="E2904" s="5" t="n">
        <v>7</v>
      </c>
      <c r="F2904" s="5" t="s">
        <v>100</v>
      </c>
      <c r="G2904" s="2" t="s">
        <v>367</v>
      </c>
      <c r="H2904" s="5" t="s">
        <v>8332</v>
      </c>
      <c r="I2904" s="5" t="s">
        <v>60</v>
      </c>
      <c r="J2904" s="5" t="s">
        <v>1104</v>
      </c>
      <c r="K2904" s="5" t="s">
        <v>1787</v>
      </c>
    </row>
    <row r="2905" customFormat="false" ht="15" hidden="false" customHeight="false" outlineLevel="0" collapsed="false">
      <c r="A2905" s="5" t="s">
        <v>15186</v>
      </c>
      <c r="B2905" s="2" t="s">
        <v>15187</v>
      </c>
      <c r="C2905" s="5" t="s">
        <v>2128</v>
      </c>
      <c r="D2905" s="5" t="s">
        <v>62</v>
      </c>
      <c r="E2905" s="5" t="n">
        <v>7</v>
      </c>
      <c r="F2905" s="5" t="s">
        <v>90</v>
      </c>
      <c r="G2905" s="2" t="s">
        <v>367</v>
      </c>
      <c r="H2905" s="5" t="s">
        <v>8336</v>
      </c>
      <c r="I2905" s="5"/>
      <c r="J2905" s="5"/>
      <c r="K2905" s="5" t="s">
        <v>15188</v>
      </c>
    </row>
    <row r="2906" customFormat="false" ht="46.25" hidden="false" customHeight="false" outlineLevel="0" collapsed="false">
      <c r="A2906" s="5" t="s">
        <v>15189</v>
      </c>
      <c r="B2906" s="2" t="s">
        <v>15190</v>
      </c>
      <c r="C2906" s="5" t="s">
        <v>2245</v>
      </c>
      <c r="D2906" s="5" t="s">
        <v>490</v>
      </c>
      <c r="E2906" s="5" t="n">
        <v>7</v>
      </c>
      <c r="F2906" s="5" t="s">
        <v>90</v>
      </c>
      <c r="G2906" s="2" t="s">
        <v>12057</v>
      </c>
      <c r="H2906" s="5" t="s">
        <v>8336</v>
      </c>
      <c r="I2906" s="5"/>
      <c r="J2906" s="5"/>
      <c r="K2906" s="5" t="s">
        <v>15191</v>
      </c>
    </row>
    <row r="2907" customFormat="false" ht="46.25" hidden="false" customHeight="false" outlineLevel="0" collapsed="false">
      <c r="A2907" s="5" t="s">
        <v>6363</v>
      </c>
      <c r="B2907" s="2" t="s">
        <v>6364</v>
      </c>
      <c r="C2907" s="5" t="s">
        <v>2245</v>
      </c>
      <c r="D2907" s="5" t="s">
        <v>490</v>
      </c>
      <c r="E2907" s="5" t="n">
        <v>7</v>
      </c>
      <c r="F2907" s="5" t="s">
        <v>100</v>
      </c>
      <c r="G2907" s="2" t="s">
        <v>12057</v>
      </c>
      <c r="H2907" s="5" t="s">
        <v>8332</v>
      </c>
      <c r="I2907" s="5" t="s">
        <v>4760</v>
      </c>
      <c r="J2907" s="5" t="s">
        <v>100</v>
      </c>
      <c r="K2907" s="5" t="s">
        <v>6367</v>
      </c>
    </row>
    <row r="2908" customFormat="false" ht="15" hidden="false" customHeight="false" outlineLevel="0" collapsed="false">
      <c r="A2908" s="5" t="s">
        <v>15192</v>
      </c>
      <c r="B2908" s="2" t="s">
        <v>15193</v>
      </c>
      <c r="C2908" s="5" t="s">
        <v>2128</v>
      </c>
      <c r="D2908" s="5" t="s">
        <v>62</v>
      </c>
      <c r="E2908" s="5" t="n">
        <v>5</v>
      </c>
      <c r="F2908" s="5" t="s">
        <v>1210</v>
      </c>
      <c r="G2908" s="2" t="s">
        <v>367</v>
      </c>
      <c r="H2908" s="5" t="s">
        <v>8336</v>
      </c>
      <c r="I2908" s="5"/>
      <c r="J2908" s="5"/>
      <c r="K2908" s="5" t="s">
        <v>15194</v>
      </c>
    </row>
    <row r="2909" customFormat="false" ht="15" hidden="false" customHeight="false" outlineLevel="0" collapsed="false">
      <c r="A2909" s="5" t="s">
        <v>15195</v>
      </c>
      <c r="B2909" s="2" t="s">
        <v>15196</v>
      </c>
      <c r="C2909" s="5" t="s">
        <v>2128</v>
      </c>
      <c r="D2909" s="5" t="s">
        <v>62</v>
      </c>
      <c r="E2909" s="5" t="n">
        <v>7</v>
      </c>
      <c r="F2909" s="5" t="s">
        <v>1814</v>
      </c>
      <c r="G2909" s="2" t="s">
        <v>367</v>
      </c>
      <c r="H2909" s="5" t="s">
        <v>8336</v>
      </c>
      <c r="I2909" s="5"/>
      <c r="J2909" s="5"/>
      <c r="K2909" s="5" t="s">
        <v>15197</v>
      </c>
    </row>
    <row r="2910" customFormat="false" ht="15" hidden="false" customHeight="false" outlineLevel="0" collapsed="false">
      <c r="A2910" s="5" t="s">
        <v>15198</v>
      </c>
      <c r="B2910" s="2" t="s">
        <v>15199</v>
      </c>
      <c r="C2910" s="5" t="s">
        <v>2128</v>
      </c>
      <c r="D2910" s="5" t="s">
        <v>62</v>
      </c>
      <c r="E2910" s="5" t="n">
        <v>7</v>
      </c>
      <c r="F2910" s="5" t="s">
        <v>1814</v>
      </c>
      <c r="G2910" s="2" t="s">
        <v>367</v>
      </c>
      <c r="H2910" s="5" t="s">
        <v>8336</v>
      </c>
      <c r="I2910" s="5"/>
      <c r="J2910" s="5"/>
      <c r="K2910" s="5" t="s">
        <v>15200</v>
      </c>
    </row>
    <row r="2911" customFormat="false" ht="15" hidden="false" customHeight="false" outlineLevel="0" collapsed="false">
      <c r="A2911" s="5" t="s">
        <v>15201</v>
      </c>
      <c r="B2911" s="2" t="s">
        <v>15202</v>
      </c>
      <c r="C2911" s="5" t="s">
        <v>2128</v>
      </c>
      <c r="D2911" s="5" t="s">
        <v>62</v>
      </c>
      <c r="E2911" s="5" t="n">
        <v>7</v>
      </c>
      <c r="F2911" s="5" t="s">
        <v>1814</v>
      </c>
      <c r="G2911" s="2" t="s">
        <v>367</v>
      </c>
      <c r="H2911" s="5" t="s">
        <v>8336</v>
      </c>
      <c r="I2911" s="5"/>
      <c r="J2911" s="5"/>
      <c r="K2911" s="5" t="s">
        <v>15203</v>
      </c>
    </row>
    <row r="2912" customFormat="false" ht="46.25" hidden="false" customHeight="false" outlineLevel="0" collapsed="false">
      <c r="A2912" s="5" t="s">
        <v>15204</v>
      </c>
      <c r="B2912" s="2" t="s">
        <v>15205</v>
      </c>
      <c r="C2912" s="5" t="s">
        <v>2245</v>
      </c>
      <c r="D2912" s="5" t="s">
        <v>62</v>
      </c>
      <c r="E2912" s="5" t="n">
        <v>5</v>
      </c>
      <c r="F2912" s="5" t="s">
        <v>277</v>
      </c>
      <c r="G2912" s="2" t="s">
        <v>12057</v>
      </c>
      <c r="H2912" s="5" t="s">
        <v>8336</v>
      </c>
      <c r="I2912" s="5"/>
      <c r="J2912" s="5"/>
      <c r="K2912" s="5" t="s">
        <v>15206</v>
      </c>
    </row>
    <row r="2913" customFormat="false" ht="15" hidden="false" customHeight="false" outlineLevel="0" collapsed="false">
      <c r="A2913" s="5" t="s">
        <v>15207</v>
      </c>
      <c r="B2913" s="2" t="s">
        <v>15208</v>
      </c>
      <c r="C2913" s="5" t="s">
        <v>2128</v>
      </c>
      <c r="D2913" s="5" t="s">
        <v>62</v>
      </c>
      <c r="E2913" s="5" t="n">
        <v>5</v>
      </c>
      <c r="F2913" s="5" t="s">
        <v>413</v>
      </c>
      <c r="G2913" s="2" t="s">
        <v>367</v>
      </c>
      <c r="H2913" s="5" t="s">
        <v>8336</v>
      </c>
      <c r="I2913" s="5"/>
      <c r="J2913" s="5"/>
      <c r="K2913" s="5" t="s">
        <v>15209</v>
      </c>
    </row>
    <row r="2914" customFormat="false" ht="23.85" hidden="false" customHeight="false" outlineLevel="0" collapsed="false">
      <c r="A2914" s="5" t="s">
        <v>15210</v>
      </c>
      <c r="B2914" s="2" t="s">
        <v>15211</v>
      </c>
      <c r="C2914" s="5" t="s">
        <v>2128</v>
      </c>
      <c r="D2914" s="5" t="s">
        <v>62</v>
      </c>
      <c r="E2914" s="5" t="n">
        <v>7</v>
      </c>
      <c r="F2914" s="5" t="s">
        <v>413</v>
      </c>
      <c r="G2914" s="2" t="s">
        <v>367</v>
      </c>
      <c r="H2914" s="5" t="s">
        <v>8336</v>
      </c>
      <c r="I2914" s="5"/>
      <c r="J2914" s="5"/>
      <c r="K2914" s="5" t="s">
        <v>15212</v>
      </c>
    </row>
    <row r="2915" customFormat="false" ht="15" hidden="false" customHeight="false" outlineLevel="0" collapsed="false">
      <c r="A2915" s="5" t="s">
        <v>15213</v>
      </c>
      <c r="B2915" s="2" t="s">
        <v>15214</v>
      </c>
      <c r="C2915" s="5" t="s">
        <v>2128</v>
      </c>
      <c r="D2915" s="5" t="s">
        <v>62</v>
      </c>
      <c r="E2915" s="5" t="n">
        <v>7</v>
      </c>
      <c r="F2915" s="5" t="s">
        <v>277</v>
      </c>
      <c r="G2915" s="2" t="s">
        <v>367</v>
      </c>
      <c r="H2915" s="5" t="s">
        <v>8336</v>
      </c>
      <c r="I2915" s="5"/>
      <c r="J2915" s="5"/>
      <c r="K2915" s="5" t="s">
        <v>15215</v>
      </c>
    </row>
    <row r="2916" customFormat="false" ht="15" hidden="false" customHeight="false" outlineLevel="0" collapsed="false">
      <c r="A2916" s="5" t="s">
        <v>15216</v>
      </c>
      <c r="B2916" s="2" t="s">
        <v>15217</v>
      </c>
      <c r="C2916" s="5" t="s">
        <v>2128</v>
      </c>
      <c r="D2916" s="5" t="s">
        <v>62</v>
      </c>
      <c r="E2916" s="5" t="n">
        <v>7</v>
      </c>
      <c r="F2916" s="5" t="s">
        <v>90</v>
      </c>
      <c r="G2916" s="2" t="s">
        <v>367</v>
      </c>
      <c r="H2916" s="5" t="s">
        <v>8336</v>
      </c>
      <c r="I2916" s="5"/>
      <c r="J2916" s="5"/>
      <c r="K2916" s="5" t="s">
        <v>15218</v>
      </c>
    </row>
    <row r="2917" customFormat="false" ht="15" hidden="false" customHeight="false" outlineLevel="0" collapsed="false">
      <c r="A2917" s="5" t="s">
        <v>15219</v>
      </c>
      <c r="B2917" s="2" t="s">
        <v>15220</v>
      </c>
      <c r="C2917" s="5" t="s">
        <v>2128</v>
      </c>
      <c r="D2917" s="5" t="s">
        <v>62</v>
      </c>
      <c r="E2917" s="5" t="n">
        <v>7</v>
      </c>
      <c r="F2917" s="5" t="s">
        <v>413</v>
      </c>
      <c r="G2917" s="2" t="s">
        <v>367</v>
      </c>
      <c r="H2917" s="5" t="s">
        <v>8336</v>
      </c>
      <c r="I2917" s="5"/>
      <c r="J2917" s="5"/>
      <c r="K2917" s="5" t="s">
        <v>15221</v>
      </c>
    </row>
    <row r="2918" customFormat="false" ht="46.25" hidden="false" customHeight="false" outlineLevel="0" collapsed="false">
      <c r="A2918" s="5" t="s">
        <v>15222</v>
      </c>
      <c r="B2918" s="2" t="s">
        <v>15223</v>
      </c>
      <c r="C2918" s="5" t="s">
        <v>2245</v>
      </c>
      <c r="D2918" s="5" t="s">
        <v>62</v>
      </c>
      <c r="E2918" s="5" t="n">
        <v>5</v>
      </c>
      <c r="F2918" s="5" t="s">
        <v>413</v>
      </c>
      <c r="G2918" s="2" t="s">
        <v>12057</v>
      </c>
      <c r="H2918" s="5" t="s">
        <v>8336</v>
      </c>
      <c r="I2918" s="5"/>
      <c r="J2918" s="5"/>
      <c r="K2918" s="5" t="s">
        <v>15224</v>
      </c>
    </row>
    <row r="2919" customFormat="false" ht="46.25" hidden="false" customHeight="false" outlineLevel="0" collapsed="false">
      <c r="A2919" s="5" t="s">
        <v>4114</v>
      </c>
      <c r="B2919" s="2" t="s">
        <v>4115</v>
      </c>
      <c r="C2919" s="5" t="s">
        <v>2245</v>
      </c>
      <c r="D2919" s="5" t="s">
        <v>62</v>
      </c>
      <c r="E2919" s="5" t="n">
        <v>7</v>
      </c>
      <c r="F2919" s="5" t="s">
        <v>90</v>
      </c>
      <c r="G2919" s="2" t="s">
        <v>12057</v>
      </c>
      <c r="H2919" s="5" t="s">
        <v>8332</v>
      </c>
      <c r="I2919" s="5" t="s">
        <v>60</v>
      </c>
      <c r="J2919" s="5" t="s">
        <v>751</v>
      </c>
      <c r="K2919" s="5" t="s">
        <v>4119</v>
      </c>
    </row>
    <row r="2920" customFormat="false" ht="23.85" hidden="false" customHeight="false" outlineLevel="0" collapsed="false">
      <c r="A2920" s="5" t="s">
        <v>15225</v>
      </c>
      <c r="B2920" s="2" t="s">
        <v>15226</v>
      </c>
      <c r="C2920" s="5" t="s">
        <v>2128</v>
      </c>
      <c r="D2920" s="5" t="s">
        <v>62</v>
      </c>
      <c r="E2920" s="5" t="n">
        <v>5</v>
      </c>
      <c r="F2920" s="5" t="s">
        <v>67</v>
      </c>
      <c r="G2920" s="2" t="s">
        <v>367</v>
      </c>
      <c r="H2920" s="5" t="s">
        <v>8336</v>
      </c>
      <c r="I2920" s="5"/>
      <c r="J2920" s="5"/>
      <c r="K2920" s="5" t="s">
        <v>15227</v>
      </c>
    </row>
    <row r="2921" customFormat="false" ht="15" hidden="false" customHeight="false" outlineLevel="0" collapsed="false">
      <c r="A2921" s="5" t="s">
        <v>15228</v>
      </c>
      <c r="B2921" s="2" t="s">
        <v>15229</v>
      </c>
      <c r="C2921" s="5" t="s">
        <v>2128</v>
      </c>
      <c r="D2921" s="5" t="s">
        <v>62</v>
      </c>
      <c r="E2921" s="5" t="n">
        <v>7</v>
      </c>
      <c r="F2921" s="5" t="s">
        <v>90</v>
      </c>
      <c r="G2921" s="2" t="s">
        <v>367</v>
      </c>
      <c r="H2921" s="5" t="s">
        <v>8336</v>
      </c>
      <c r="I2921" s="5"/>
      <c r="J2921" s="5"/>
      <c r="K2921" s="5" t="s">
        <v>15230</v>
      </c>
    </row>
    <row r="2922" customFormat="false" ht="15" hidden="false" customHeight="false" outlineLevel="0" collapsed="false">
      <c r="A2922" s="5" t="s">
        <v>15231</v>
      </c>
      <c r="B2922" s="2" t="s">
        <v>15232</v>
      </c>
      <c r="C2922" s="5" t="s">
        <v>2128</v>
      </c>
      <c r="D2922" s="5" t="s">
        <v>62</v>
      </c>
      <c r="E2922" s="5" t="n">
        <v>7</v>
      </c>
      <c r="F2922" s="5" t="s">
        <v>90</v>
      </c>
      <c r="G2922" s="2" t="s">
        <v>367</v>
      </c>
      <c r="H2922" s="5" t="s">
        <v>8336</v>
      </c>
      <c r="I2922" s="5"/>
      <c r="J2922" s="5"/>
      <c r="K2922" s="5" t="s">
        <v>15233</v>
      </c>
    </row>
    <row r="2923" customFormat="false" ht="15" hidden="false" customHeight="false" outlineLevel="0" collapsed="false">
      <c r="A2923" s="5" t="s">
        <v>15234</v>
      </c>
      <c r="B2923" s="2" t="s">
        <v>15235</v>
      </c>
      <c r="C2923" s="5" t="s">
        <v>2128</v>
      </c>
      <c r="D2923" s="5" t="s">
        <v>62</v>
      </c>
      <c r="E2923" s="5" t="n">
        <v>7</v>
      </c>
      <c r="F2923" s="5" t="s">
        <v>8902</v>
      </c>
      <c r="G2923" s="2" t="s">
        <v>367</v>
      </c>
      <c r="H2923" s="5" t="s">
        <v>8336</v>
      </c>
      <c r="I2923" s="5"/>
      <c r="J2923" s="5"/>
      <c r="K2923" s="5" t="s">
        <v>15236</v>
      </c>
    </row>
    <row r="2924" customFormat="false" ht="46.25" hidden="false" customHeight="false" outlineLevel="0" collapsed="false">
      <c r="A2924" s="5" t="s">
        <v>15237</v>
      </c>
      <c r="B2924" s="2" t="s">
        <v>15238</v>
      </c>
      <c r="C2924" s="5" t="s">
        <v>2245</v>
      </c>
      <c r="D2924" s="5" t="s">
        <v>490</v>
      </c>
      <c r="E2924" s="5" t="n">
        <v>7</v>
      </c>
      <c r="F2924" s="5" t="s">
        <v>8902</v>
      </c>
      <c r="G2924" s="2" t="s">
        <v>12057</v>
      </c>
      <c r="H2924" s="5" t="s">
        <v>8336</v>
      </c>
      <c r="I2924" s="5"/>
      <c r="J2924" s="5"/>
      <c r="K2924" s="5" t="s">
        <v>15239</v>
      </c>
    </row>
    <row r="2925" customFormat="false" ht="15" hidden="false" customHeight="false" outlineLevel="0" collapsed="false">
      <c r="A2925" s="5" t="s">
        <v>15240</v>
      </c>
      <c r="B2925" s="2" t="s">
        <v>15241</v>
      </c>
      <c r="C2925" s="5" t="s">
        <v>2128</v>
      </c>
      <c r="D2925" s="5" t="s">
        <v>62</v>
      </c>
      <c r="E2925" s="5" t="n">
        <v>7</v>
      </c>
      <c r="F2925" s="5" t="s">
        <v>413</v>
      </c>
      <c r="G2925" s="2" t="s">
        <v>367</v>
      </c>
      <c r="H2925" s="5" t="s">
        <v>8336</v>
      </c>
      <c r="I2925" s="5"/>
      <c r="J2925" s="5"/>
      <c r="K2925" s="5" t="s">
        <v>15242</v>
      </c>
    </row>
    <row r="2926" customFormat="false" ht="15" hidden="false" customHeight="false" outlineLevel="0" collapsed="false">
      <c r="A2926" s="5" t="s">
        <v>15243</v>
      </c>
      <c r="B2926" s="2" t="s">
        <v>15244</v>
      </c>
      <c r="C2926" s="5" t="s">
        <v>2128</v>
      </c>
      <c r="D2926" s="5" t="s">
        <v>62</v>
      </c>
      <c r="E2926" s="5" t="n">
        <v>7</v>
      </c>
      <c r="F2926" s="5" t="s">
        <v>277</v>
      </c>
      <c r="G2926" s="2" t="s">
        <v>367</v>
      </c>
      <c r="H2926" s="5" t="s">
        <v>8336</v>
      </c>
      <c r="I2926" s="5"/>
      <c r="J2926" s="5"/>
      <c r="K2926" s="5" t="s">
        <v>15245</v>
      </c>
    </row>
    <row r="2927" customFormat="false" ht="46.25" hidden="false" customHeight="false" outlineLevel="0" collapsed="false">
      <c r="A2927" s="5" t="s">
        <v>15246</v>
      </c>
      <c r="B2927" s="2" t="s">
        <v>15247</v>
      </c>
      <c r="C2927" s="5" t="s">
        <v>2245</v>
      </c>
      <c r="D2927" s="5" t="s">
        <v>62</v>
      </c>
      <c r="E2927" s="5" t="n">
        <v>5</v>
      </c>
      <c r="F2927" s="5" t="s">
        <v>277</v>
      </c>
      <c r="G2927" s="2" t="s">
        <v>12057</v>
      </c>
      <c r="H2927" s="5" t="s">
        <v>8336</v>
      </c>
      <c r="I2927" s="5"/>
      <c r="J2927" s="5"/>
      <c r="K2927" s="5" t="s">
        <v>15248</v>
      </c>
    </row>
    <row r="2928" customFormat="false" ht="23.85" hidden="false" customHeight="false" outlineLevel="0" collapsed="false">
      <c r="A2928" s="5" t="s">
        <v>4120</v>
      </c>
      <c r="B2928" s="2" t="s">
        <v>4121</v>
      </c>
      <c r="C2928" s="5" t="s">
        <v>2128</v>
      </c>
      <c r="D2928" s="5" t="s">
        <v>62</v>
      </c>
      <c r="E2928" s="5" t="n">
        <v>7</v>
      </c>
      <c r="F2928" s="5" t="s">
        <v>277</v>
      </c>
      <c r="G2928" s="2" t="s">
        <v>367</v>
      </c>
      <c r="H2928" s="5" t="s">
        <v>8332</v>
      </c>
      <c r="I2928" s="5" t="s">
        <v>60</v>
      </c>
      <c r="J2928" s="5" t="s">
        <v>751</v>
      </c>
      <c r="K2928" s="5" t="s">
        <v>4124</v>
      </c>
    </row>
    <row r="2929" customFormat="false" ht="46.25" hidden="false" customHeight="false" outlineLevel="0" collapsed="false">
      <c r="A2929" s="5" t="s">
        <v>15249</v>
      </c>
      <c r="B2929" s="2" t="s">
        <v>15250</v>
      </c>
      <c r="C2929" s="5" t="s">
        <v>2245</v>
      </c>
      <c r="D2929" s="5" t="s">
        <v>62</v>
      </c>
      <c r="E2929" s="5" t="n">
        <v>3</v>
      </c>
      <c r="F2929" s="5" t="s">
        <v>284</v>
      </c>
      <c r="G2929" s="2" t="s">
        <v>12057</v>
      </c>
      <c r="H2929" s="5" t="s">
        <v>8336</v>
      </c>
      <c r="I2929" s="5"/>
      <c r="J2929" s="5"/>
      <c r="K2929" s="5" t="s">
        <v>15251</v>
      </c>
    </row>
    <row r="2930" customFormat="false" ht="15" hidden="false" customHeight="false" outlineLevel="0" collapsed="false">
      <c r="A2930" s="5" t="s">
        <v>15252</v>
      </c>
      <c r="B2930" s="2" t="s">
        <v>15253</v>
      </c>
      <c r="C2930" s="5" t="s">
        <v>2128</v>
      </c>
      <c r="D2930" s="5" t="s">
        <v>62</v>
      </c>
      <c r="E2930" s="5" t="n">
        <v>5</v>
      </c>
      <c r="F2930" s="5" t="s">
        <v>90</v>
      </c>
      <c r="G2930" s="2" t="s">
        <v>367</v>
      </c>
      <c r="H2930" s="5" t="s">
        <v>8336</v>
      </c>
      <c r="I2930" s="5"/>
      <c r="J2930" s="5"/>
      <c r="K2930" s="5" t="s">
        <v>15254</v>
      </c>
    </row>
    <row r="2931" customFormat="false" ht="15" hidden="false" customHeight="false" outlineLevel="0" collapsed="false">
      <c r="A2931" s="5" t="s">
        <v>15255</v>
      </c>
      <c r="B2931" s="2" t="s">
        <v>15256</v>
      </c>
      <c r="C2931" s="5" t="s">
        <v>2128</v>
      </c>
      <c r="D2931" s="5" t="s">
        <v>62</v>
      </c>
      <c r="E2931" s="5" t="n">
        <v>5</v>
      </c>
      <c r="F2931" s="5" t="s">
        <v>90</v>
      </c>
      <c r="G2931" s="2" t="s">
        <v>367</v>
      </c>
      <c r="H2931" s="5" t="s">
        <v>8336</v>
      </c>
      <c r="I2931" s="5"/>
      <c r="J2931" s="5"/>
      <c r="K2931" s="5" t="s">
        <v>15257</v>
      </c>
    </row>
    <row r="2932" customFormat="false" ht="46.25" hidden="false" customHeight="false" outlineLevel="0" collapsed="false">
      <c r="A2932" s="5" t="s">
        <v>6368</v>
      </c>
      <c r="B2932" s="2" t="s">
        <v>6369</v>
      </c>
      <c r="C2932" s="5" t="s">
        <v>2245</v>
      </c>
      <c r="D2932" s="5" t="s">
        <v>490</v>
      </c>
      <c r="E2932" s="5" t="n">
        <v>5</v>
      </c>
      <c r="F2932" s="5" t="s">
        <v>100</v>
      </c>
      <c r="G2932" s="2" t="s">
        <v>12057</v>
      </c>
      <c r="H2932" s="5" t="s">
        <v>8332</v>
      </c>
      <c r="I2932" s="5" t="s">
        <v>4760</v>
      </c>
      <c r="J2932" s="5" t="s">
        <v>100</v>
      </c>
      <c r="K2932" s="5" t="s">
        <v>6372</v>
      </c>
    </row>
    <row r="2933" customFormat="false" ht="15" hidden="false" customHeight="false" outlineLevel="0" collapsed="false">
      <c r="A2933" s="5" t="s">
        <v>1788</v>
      </c>
      <c r="B2933" s="2" t="s">
        <v>1789</v>
      </c>
      <c r="C2933" s="5" t="s">
        <v>488</v>
      </c>
      <c r="D2933" s="5" t="s">
        <v>62</v>
      </c>
      <c r="E2933" s="5" t="n">
        <v>5</v>
      </c>
      <c r="F2933" s="5" t="s">
        <v>100</v>
      </c>
      <c r="G2933" s="2" t="s">
        <v>367</v>
      </c>
      <c r="H2933" s="5" t="s">
        <v>8332</v>
      </c>
      <c r="I2933" s="5" t="s">
        <v>60</v>
      </c>
      <c r="J2933" s="5" t="s">
        <v>100</v>
      </c>
      <c r="K2933" s="5" t="s">
        <v>1793</v>
      </c>
    </row>
    <row r="2934" customFormat="false" ht="15" hidden="false" customHeight="false" outlineLevel="0" collapsed="false">
      <c r="A2934" s="5" t="s">
        <v>15258</v>
      </c>
      <c r="B2934" s="2" t="s">
        <v>15259</v>
      </c>
      <c r="C2934" s="5" t="s">
        <v>2128</v>
      </c>
      <c r="D2934" s="5" t="s">
        <v>62</v>
      </c>
      <c r="E2934" s="5" t="n">
        <v>7</v>
      </c>
      <c r="F2934" s="5" t="s">
        <v>90</v>
      </c>
      <c r="G2934" s="2" t="s">
        <v>367</v>
      </c>
      <c r="H2934" s="5" t="s">
        <v>8336</v>
      </c>
      <c r="I2934" s="5"/>
      <c r="J2934" s="5"/>
      <c r="K2934" s="5" t="s">
        <v>15260</v>
      </c>
    </row>
    <row r="2935" customFormat="false" ht="15" hidden="false" customHeight="false" outlineLevel="0" collapsed="false">
      <c r="A2935" s="5" t="s">
        <v>15261</v>
      </c>
      <c r="B2935" s="2" t="s">
        <v>15262</v>
      </c>
      <c r="C2935" s="5" t="s">
        <v>2128</v>
      </c>
      <c r="D2935" s="5" t="s">
        <v>62</v>
      </c>
      <c r="E2935" s="5" t="n">
        <v>7</v>
      </c>
      <c r="F2935" s="5" t="s">
        <v>90</v>
      </c>
      <c r="G2935" s="2" t="s">
        <v>367</v>
      </c>
      <c r="H2935" s="5" t="s">
        <v>8336</v>
      </c>
      <c r="I2935" s="5"/>
      <c r="J2935" s="5"/>
      <c r="K2935" s="5" t="s">
        <v>15263</v>
      </c>
    </row>
    <row r="2936" customFormat="false" ht="23.85" hidden="false" customHeight="false" outlineLevel="0" collapsed="false">
      <c r="A2936" s="5" t="s">
        <v>15264</v>
      </c>
      <c r="B2936" s="2" t="s">
        <v>15265</v>
      </c>
      <c r="C2936" s="5" t="s">
        <v>2128</v>
      </c>
      <c r="D2936" s="5" t="s">
        <v>62</v>
      </c>
      <c r="E2936" s="5" t="n">
        <v>5</v>
      </c>
      <c r="F2936" s="5" t="s">
        <v>90</v>
      </c>
      <c r="G2936" s="2" t="s">
        <v>367</v>
      </c>
      <c r="H2936" s="5" t="s">
        <v>8336</v>
      </c>
      <c r="I2936" s="5"/>
      <c r="J2936" s="5"/>
      <c r="K2936" s="5" t="s">
        <v>15266</v>
      </c>
    </row>
    <row r="2937" customFormat="false" ht="15" hidden="false" customHeight="false" outlineLevel="0" collapsed="false">
      <c r="A2937" s="5" t="s">
        <v>15267</v>
      </c>
      <c r="B2937" s="2" t="s">
        <v>15268</v>
      </c>
      <c r="C2937" s="5" t="s">
        <v>2128</v>
      </c>
      <c r="D2937" s="5" t="s">
        <v>62</v>
      </c>
      <c r="E2937" s="5" t="n">
        <v>5</v>
      </c>
      <c r="F2937" s="5" t="s">
        <v>67</v>
      </c>
      <c r="G2937" s="2" t="s">
        <v>367</v>
      </c>
      <c r="H2937" s="5" t="s">
        <v>8336</v>
      </c>
      <c r="I2937" s="5"/>
      <c r="J2937" s="5"/>
      <c r="K2937" s="5" t="s">
        <v>15269</v>
      </c>
    </row>
    <row r="2938" customFormat="false" ht="46.25" hidden="false" customHeight="false" outlineLevel="0" collapsed="false">
      <c r="A2938" s="5" t="s">
        <v>422</v>
      </c>
      <c r="B2938" s="2" t="s">
        <v>423</v>
      </c>
      <c r="C2938" s="5" t="s">
        <v>59</v>
      </c>
      <c r="D2938" s="5" t="s">
        <v>62</v>
      </c>
      <c r="E2938" s="5" t="n">
        <v>9</v>
      </c>
      <c r="F2938" s="5" t="s">
        <v>100</v>
      </c>
      <c r="G2938" s="2" t="s">
        <v>12078</v>
      </c>
      <c r="H2938" s="5" t="s">
        <v>8332</v>
      </c>
      <c r="I2938" s="5" t="s">
        <v>60</v>
      </c>
      <c r="J2938" s="5" t="s">
        <v>303</v>
      </c>
      <c r="K2938" s="5" t="s">
        <v>426</v>
      </c>
    </row>
    <row r="2939" customFormat="false" ht="46.25" hidden="false" customHeight="false" outlineLevel="0" collapsed="false">
      <c r="A2939" s="5" t="s">
        <v>15270</v>
      </c>
      <c r="B2939" s="2" t="s">
        <v>15271</v>
      </c>
      <c r="C2939" s="5" t="s">
        <v>2245</v>
      </c>
      <c r="D2939" s="5" t="s">
        <v>62</v>
      </c>
      <c r="E2939" s="5" t="n">
        <v>7</v>
      </c>
      <c r="F2939" s="5" t="s">
        <v>90</v>
      </c>
      <c r="G2939" s="2" t="s">
        <v>12057</v>
      </c>
      <c r="H2939" s="5" t="s">
        <v>8336</v>
      </c>
      <c r="I2939" s="5"/>
      <c r="J2939" s="5"/>
      <c r="K2939" s="5" t="s">
        <v>15272</v>
      </c>
    </row>
    <row r="2940" customFormat="false" ht="46.25" hidden="false" customHeight="false" outlineLevel="0" collapsed="false">
      <c r="A2940" s="5" t="s">
        <v>15273</v>
      </c>
      <c r="B2940" s="2" t="s">
        <v>15274</v>
      </c>
      <c r="C2940" s="5" t="s">
        <v>2245</v>
      </c>
      <c r="D2940" s="5" t="s">
        <v>62</v>
      </c>
      <c r="E2940" s="5" t="n">
        <v>7</v>
      </c>
      <c r="F2940" s="5" t="s">
        <v>90</v>
      </c>
      <c r="G2940" s="2" t="s">
        <v>12057</v>
      </c>
      <c r="H2940" s="5" t="s">
        <v>8336</v>
      </c>
      <c r="I2940" s="5"/>
      <c r="J2940" s="5"/>
      <c r="K2940" s="5" t="s">
        <v>15275</v>
      </c>
    </row>
    <row r="2941" customFormat="false" ht="15" hidden="false" customHeight="false" outlineLevel="0" collapsed="false">
      <c r="A2941" s="5" t="s">
        <v>15276</v>
      </c>
      <c r="B2941" s="2" t="s">
        <v>15277</v>
      </c>
      <c r="C2941" s="5" t="s">
        <v>2128</v>
      </c>
      <c r="D2941" s="5" t="s">
        <v>62</v>
      </c>
      <c r="E2941" s="5" t="n">
        <v>5</v>
      </c>
      <c r="F2941" s="5" t="s">
        <v>277</v>
      </c>
      <c r="G2941" s="2" t="s">
        <v>367</v>
      </c>
      <c r="H2941" s="5" t="s">
        <v>8336</v>
      </c>
      <c r="I2941" s="5"/>
      <c r="J2941" s="5"/>
      <c r="K2941" s="5" t="s">
        <v>15278</v>
      </c>
    </row>
    <row r="2942" customFormat="false" ht="15" hidden="false" customHeight="false" outlineLevel="0" collapsed="false">
      <c r="A2942" s="5" t="s">
        <v>15279</v>
      </c>
      <c r="B2942" s="2" t="s">
        <v>15280</v>
      </c>
      <c r="C2942" s="5" t="s">
        <v>2128</v>
      </c>
      <c r="D2942" s="5" t="s">
        <v>62</v>
      </c>
      <c r="E2942" s="5" t="n">
        <v>5</v>
      </c>
      <c r="F2942" s="5" t="s">
        <v>90</v>
      </c>
      <c r="G2942" s="2" t="s">
        <v>367</v>
      </c>
      <c r="H2942" s="5" t="s">
        <v>8336</v>
      </c>
      <c r="I2942" s="5"/>
      <c r="J2942" s="5"/>
      <c r="K2942" s="5" t="s">
        <v>15281</v>
      </c>
    </row>
    <row r="2943" customFormat="false" ht="46.25" hidden="false" customHeight="false" outlineLevel="0" collapsed="false">
      <c r="A2943" s="5" t="s">
        <v>15282</v>
      </c>
      <c r="B2943" s="2" t="s">
        <v>15283</v>
      </c>
      <c r="C2943" s="5" t="s">
        <v>2245</v>
      </c>
      <c r="D2943" s="5" t="s">
        <v>490</v>
      </c>
      <c r="E2943" s="5" t="n">
        <v>7</v>
      </c>
      <c r="F2943" s="5" t="s">
        <v>413</v>
      </c>
      <c r="G2943" s="2" t="s">
        <v>12057</v>
      </c>
      <c r="H2943" s="5" t="s">
        <v>8336</v>
      </c>
      <c r="I2943" s="5"/>
      <c r="J2943" s="5"/>
      <c r="K2943" s="5" t="s">
        <v>15284</v>
      </c>
    </row>
    <row r="2944" customFormat="false" ht="15" hidden="false" customHeight="false" outlineLevel="0" collapsed="false">
      <c r="A2944" s="5" t="s">
        <v>15285</v>
      </c>
      <c r="B2944" s="2" t="s">
        <v>15286</v>
      </c>
      <c r="C2944" s="5" t="s">
        <v>2128</v>
      </c>
      <c r="D2944" s="5" t="s">
        <v>62</v>
      </c>
      <c r="E2944" s="5" t="n">
        <v>5</v>
      </c>
      <c r="F2944" s="5" t="s">
        <v>67</v>
      </c>
      <c r="G2944" s="2" t="s">
        <v>367</v>
      </c>
      <c r="H2944" s="5" t="s">
        <v>8336</v>
      </c>
      <c r="I2944" s="5"/>
      <c r="J2944" s="5"/>
      <c r="K2944" s="5" t="s">
        <v>15287</v>
      </c>
    </row>
    <row r="2945" customFormat="false" ht="15" hidden="false" customHeight="false" outlineLevel="0" collapsed="false">
      <c r="A2945" s="5" t="s">
        <v>15288</v>
      </c>
      <c r="B2945" s="2" t="s">
        <v>15289</v>
      </c>
      <c r="C2945" s="5" t="s">
        <v>2128</v>
      </c>
      <c r="D2945" s="5" t="s">
        <v>62</v>
      </c>
      <c r="E2945" s="5" t="n">
        <v>7</v>
      </c>
      <c r="F2945" s="5" t="s">
        <v>90</v>
      </c>
      <c r="G2945" s="2" t="s">
        <v>367</v>
      </c>
      <c r="H2945" s="5" t="s">
        <v>8336</v>
      </c>
      <c r="I2945" s="5"/>
      <c r="J2945" s="5"/>
      <c r="K2945" s="5" t="s">
        <v>15290</v>
      </c>
    </row>
    <row r="2946" customFormat="false" ht="15" hidden="false" customHeight="false" outlineLevel="0" collapsed="false">
      <c r="A2946" s="5" t="s">
        <v>1794</v>
      </c>
      <c r="B2946" s="2" t="s">
        <v>1795</v>
      </c>
      <c r="C2946" s="5" t="s">
        <v>488</v>
      </c>
      <c r="D2946" s="5" t="s">
        <v>62</v>
      </c>
      <c r="E2946" s="5" t="n">
        <v>9</v>
      </c>
      <c r="F2946" s="5" t="s">
        <v>100</v>
      </c>
      <c r="G2946" s="2" t="s">
        <v>367</v>
      </c>
      <c r="H2946" s="5" t="s">
        <v>8332</v>
      </c>
      <c r="I2946" s="5" t="s">
        <v>60</v>
      </c>
      <c r="J2946" s="5" t="s">
        <v>1104</v>
      </c>
      <c r="K2946" s="5" t="s">
        <v>1798</v>
      </c>
    </row>
    <row r="2947" customFormat="false" ht="46.25" hidden="false" customHeight="false" outlineLevel="0" collapsed="false">
      <c r="A2947" s="5" t="s">
        <v>15291</v>
      </c>
      <c r="B2947" s="2" t="s">
        <v>15292</v>
      </c>
      <c r="C2947" s="5" t="s">
        <v>2245</v>
      </c>
      <c r="D2947" s="5" t="s">
        <v>490</v>
      </c>
      <c r="E2947" s="5" t="n">
        <v>7</v>
      </c>
      <c r="F2947" s="5" t="s">
        <v>1814</v>
      </c>
      <c r="G2947" s="2" t="s">
        <v>12802</v>
      </c>
      <c r="H2947" s="5" t="s">
        <v>8336</v>
      </c>
      <c r="I2947" s="5"/>
      <c r="J2947" s="5"/>
      <c r="K2947" s="5" t="s">
        <v>15293</v>
      </c>
    </row>
    <row r="2948" customFormat="false" ht="15" hidden="false" customHeight="false" outlineLevel="0" collapsed="false">
      <c r="A2948" s="5" t="s">
        <v>15294</v>
      </c>
      <c r="B2948" s="2" t="s">
        <v>15295</v>
      </c>
      <c r="C2948" s="5" t="s">
        <v>2128</v>
      </c>
      <c r="D2948" s="5" t="s">
        <v>62</v>
      </c>
      <c r="E2948" s="5" t="n">
        <v>5</v>
      </c>
      <c r="F2948" s="5" t="s">
        <v>90</v>
      </c>
      <c r="G2948" s="2" t="s">
        <v>367</v>
      </c>
      <c r="H2948" s="5" t="s">
        <v>8336</v>
      </c>
      <c r="I2948" s="5"/>
      <c r="J2948" s="5"/>
      <c r="K2948" s="5" t="s">
        <v>15296</v>
      </c>
    </row>
    <row r="2949" customFormat="false" ht="46.25" hidden="false" customHeight="false" outlineLevel="0" collapsed="false">
      <c r="A2949" s="5" t="s">
        <v>15297</v>
      </c>
      <c r="B2949" s="2" t="s">
        <v>15298</v>
      </c>
      <c r="C2949" s="5" t="s">
        <v>2245</v>
      </c>
      <c r="D2949" s="5" t="s">
        <v>490</v>
      </c>
      <c r="E2949" s="5" t="n">
        <v>3</v>
      </c>
      <c r="F2949" s="5" t="s">
        <v>90</v>
      </c>
      <c r="G2949" s="2" t="s">
        <v>12057</v>
      </c>
      <c r="H2949" s="5" t="s">
        <v>8336</v>
      </c>
      <c r="I2949" s="5"/>
      <c r="J2949" s="5"/>
      <c r="K2949" s="5" t="s">
        <v>15299</v>
      </c>
    </row>
    <row r="2950" customFormat="false" ht="15" hidden="false" customHeight="false" outlineLevel="0" collapsed="false">
      <c r="A2950" s="5" t="s">
        <v>15300</v>
      </c>
      <c r="B2950" s="2" t="s">
        <v>15301</v>
      </c>
      <c r="C2950" s="5" t="s">
        <v>2128</v>
      </c>
      <c r="D2950" s="5" t="s">
        <v>62</v>
      </c>
      <c r="E2950" s="5" t="n">
        <v>7</v>
      </c>
      <c r="F2950" s="5" t="s">
        <v>67</v>
      </c>
      <c r="G2950" s="2" t="s">
        <v>367</v>
      </c>
      <c r="H2950" s="5" t="s">
        <v>8336</v>
      </c>
      <c r="I2950" s="5"/>
      <c r="J2950" s="5"/>
      <c r="K2950" s="5" t="s">
        <v>15302</v>
      </c>
    </row>
    <row r="2951" customFormat="false" ht="23.85" hidden="false" customHeight="false" outlineLevel="0" collapsed="false">
      <c r="A2951" s="5" t="s">
        <v>15303</v>
      </c>
      <c r="B2951" s="2" t="s">
        <v>15304</v>
      </c>
      <c r="C2951" s="5" t="s">
        <v>2128</v>
      </c>
      <c r="D2951" s="5" t="s">
        <v>62</v>
      </c>
      <c r="E2951" s="5" t="n">
        <v>7</v>
      </c>
      <c r="F2951" s="5" t="s">
        <v>1210</v>
      </c>
      <c r="G2951" s="2" t="s">
        <v>367</v>
      </c>
      <c r="H2951" s="5" t="s">
        <v>8336</v>
      </c>
      <c r="I2951" s="5"/>
      <c r="J2951" s="5"/>
      <c r="K2951" s="5" t="s">
        <v>15305</v>
      </c>
    </row>
    <row r="2952" customFormat="false" ht="46.25" hidden="false" customHeight="false" outlineLevel="0" collapsed="false">
      <c r="A2952" s="5" t="s">
        <v>15306</v>
      </c>
      <c r="B2952" s="2" t="s">
        <v>15307</v>
      </c>
      <c r="C2952" s="5" t="s">
        <v>2245</v>
      </c>
      <c r="D2952" s="5" t="s">
        <v>62</v>
      </c>
      <c r="E2952" s="5" t="n">
        <v>7</v>
      </c>
      <c r="F2952" s="5" t="s">
        <v>90</v>
      </c>
      <c r="G2952" s="2" t="s">
        <v>12057</v>
      </c>
      <c r="H2952" s="5" t="s">
        <v>8336</v>
      </c>
      <c r="I2952" s="5"/>
      <c r="J2952" s="5"/>
      <c r="K2952" s="5" t="s">
        <v>15308</v>
      </c>
    </row>
    <row r="2953" customFormat="false" ht="23.85" hidden="false" customHeight="false" outlineLevel="0" collapsed="false">
      <c r="A2953" s="5" t="s">
        <v>427</v>
      </c>
      <c r="B2953" s="2" t="s">
        <v>428</v>
      </c>
      <c r="C2953" s="5" t="s">
        <v>59</v>
      </c>
      <c r="D2953" s="5" t="s">
        <v>62</v>
      </c>
      <c r="E2953" s="5" t="n">
        <v>9</v>
      </c>
      <c r="F2953" s="5" t="s">
        <v>90</v>
      </c>
      <c r="G2953" s="2" t="s">
        <v>184</v>
      </c>
      <c r="H2953" s="5" t="s">
        <v>8332</v>
      </c>
      <c r="I2953" s="5" t="s">
        <v>60</v>
      </c>
      <c r="J2953" s="5" t="s">
        <v>182</v>
      </c>
      <c r="K2953" s="5" t="s">
        <v>431</v>
      </c>
    </row>
    <row r="2954" customFormat="false" ht="15" hidden="false" customHeight="false" outlineLevel="0" collapsed="false">
      <c r="A2954" s="5" t="s">
        <v>15309</v>
      </c>
      <c r="B2954" s="2" t="s">
        <v>15310</v>
      </c>
      <c r="C2954" s="5" t="s">
        <v>2128</v>
      </c>
      <c r="D2954" s="5" t="s">
        <v>62</v>
      </c>
      <c r="E2954" s="5" t="n">
        <v>7</v>
      </c>
      <c r="F2954" s="5" t="s">
        <v>67</v>
      </c>
      <c r="G2954" s="2" t="s">
        <v>367</v>
      </c>
      <c r="H2954" s="5" t="s">
        <v>8336</v>
      </c>
      <c r="I2954" s="5"/>
      <c r="J2954" s="5"/>
      <c r="K2954" s="5" t="s">
        <v>15311</v>
      </c>
    </row>
    <row r="2955" customFormat="false" ht="46.25" hidden="false" customHeight="false" outlineLevel="0" collapsed="false">
      <c r="A2955" s="5" t="s">
        <v>15312</v>
      </c>
      <c r="B2955" s="2" t="s">
        <v>15313</v>
      </c>
      <c r="C2955" s="5" t="s">
        <v>2245</v>
      </c>
      <c r="D2955" s="5" t="s">
        <v>490</v>
      </c>
      <c r="E2955" s="5" t="n">
        <v>5</v>
      </c>
      <c r="F2955" s="5" t="s">
        <v>413</v>
      </c>
      <c r="G2955" s="2" t="s">
        <v>12057</v>
      </c>
      <c r="H2955" s="5" t="s">
        <v>8336</v>
      </c>
      <c r="I2955" s="5"/>
      <c r="J2955" s="5"/>
      <c r="K2955" s="5" t="s">
        <v>15314</v>
      </c>
    </row>
    <row r="2956" customFormat="false" ht="23.85" hidden="false" customHeight="false" outlineLevel="0" collapsed="false">
      <c r="A2956" s="5" t="s">
        <v>4125</v>
      </c>
      <c r="B2956" s="2" t="s">
        <v>4126</v>
      </c>
      <c r="C2956" s="5" t="s">
        <v>2128</v>
      </c>
      <c r="D2956" s="5" t="s">
        <v>62</v>
      </c>
      <c r="E2956" s="5" t="n">
        <v>7</v>
      </c>
      <c r="F2956" s="5" t="s">
        <v>2079</v>
      </c>
      <c r="G2956" s="2" t="s">
        <v>184</v>
      </c>
      <c r="H2956" s="5" t="s">
        <v>8332</v>
      </c>
      <c r="I2956" s="5" t="s">
        <v>60</v>
      </c>
      <c r="J2956" s="5" t="s">
        <v>2078</v>
      </c>
      <c r="K2956" s="5" t="s">
        <v>4129</v>
      </c>
    </row>
    <row r="2957" customFormat="false" ht="15" hidden="false" customHeight="false" outlineLevel="0" collapsed="false">
      <c r="A2957" s="5" t="s">
        <v>15315</v>
      </c>
      <c r="B2957" s="2" t="s">
        <v>15316</v>
      </c>
      <c r="C2957" s="5" t="s">
        <v>2128</v>
      </c>
      <c r="D2957" s="5" t="s">
        <v>62</v>
      </c>
      <c r="E2957" s="5" t="n">
        <v>7</v>
      </c>
      <c r="F2957" s="5" t="s">
        <v>1814</v>
      </c>
      <c r="G2957" s="2" t="s">
        <v>367</v>
      </c>
      <c r="H2957" s="5" t="s">
        <v>8336</v>
      </c>
      <c r="I2957" s="5"/>
      <c r="J2957" s="5"/>
      <c r="K2957" s="5" t="s">
        <v>15317</v>
      </c>
    </row>
    <row r="2958" customFormat="false" ht="23.85" hidden="false" customHeight="false" outlineLevel="0" collapsed="false">
      <c r="A2958" s="5" t="s">
        <v>4130</v>
      </c>
      <c r="B2958" s="2" t="s">
        <v>4131</v>
      </c>
      <c r="C2958" s="5" t="s">
        <v>2128</v>
      </c>
      <c r="D2958" s="5" t="s">
        <v>62</v>
      </c>
      <c r="E2958" s="5" t="n">
        <v>7</v>
      </c>
      <c r="F2958" s="5" t="s">
        <v>1814</v>
      </c>
      <c r="G2958" s="2" t="s">
        <v>184</v>
      </c>
      <c r="H2958" s="5" t="s">
        <v>8332</v>
      </c>
      <c r="I2958" s="5" t="s">
        <v>60</v>
      </c>
      <c r="J2958" s="5" t="s">
        <v>269</v>
      </c>
      <c r="K2958" s="5" t="s">
        <v>4138</v>
      </c>
    </row>
    <row r="2959" customFormat="false" ht="23.85" hidden="false" customHeight="false" outlineLevel="0" collapsed="false">
      <c r="A2959" s="5" t="s">
        <v>15318</v>
      </c>
      <c r="B2959" s="2" t="s">
        <v>15319</v>
      </c>
      <c r="C2959" s="5" t="s">
        <v>2128</v>
      </c>
      <c r="D2959" s="5" t="s">
        <v>62</v>
      </c>
      <c r="E2959" s="5" t="n">
        <v>7</v>
      </c>
      <c r="F2959" s="5" t="s">
        <v>90</v>
      </c>
      <c r="G2959" s="2" t="s">
        <v>367</v>
      </c>
      <c r="H2959" s="5" t="s">
        <v>8336</v>
      </c>
      <c r="I2959" s="5"/>
      <c r="J2959" s="5"/>
      <c r="K2959" s="5" t="s">
        <v>15320</v>
      </c>
    </row>
    <row r="2960" customFormat="false" ht="46.25" hidden="false" customHeight="false" outlineLevel="0" collapsed="false">
      <c r="A2960" s="5" t="s">
        <v>15321</v>
      </c>
      <c r="B2960" s="2" t="s">
        <v>15322</v>
      </c>
      <c r="C2960" s="5" t="s">
        <v>2245</v>
      </c>
      <c r="D2960" s="5" t="s">
        <v>62</v>
      </c>
      <c r="E2960" s="5" t="n">
        <v>5</v>
      </c>
      <c r="F2960" s="5" t="s">
        <v>67</v>
      </c>
      <c r="G2960" s="2" t="s">
        <v>12057</v>
      </c>
      <c r="H2960" s="5" t="s">
        <v>8336</v>
      </c>
      <c r="I2960" s="5"/>
      <c r="J2960" s="5"/>
      <c r="K2960" s="5" t="s">
        <v>15323</v>
      </c>
    </row>
    <row r="2961" customFormat="false" ht="15" hidden="false" customHeight="false" outlineLevel="0" collapsed="false">
      <c r="A2961" s="5" t="s">
        <v>15324</v>
      </c>
      <c r="B2961" s="2" t="s">
        <v>15325</v>
      </c>
      <c r="C2961" s="5" t="s">
        <v>2128</v>
      </c>
      <c r="D2961" s="5" t="s">
        <v>62</v>
      </c>
      <c r="E2961" s="5" t="n">
        <v>7</v>
      </c>
      <c r="F2961" s="5" t="s">
        <v>1814</v>
      </c>
      <c r="G2961" s="2" t="s">
        <v>367</v>
      </c>
      <c r="H2961" s="5" t="s">
        <v>8336</v>
      </c>
      <c r="I2961" s="5"/>
      <c r="J2961" s="5"/>
      <c r="K2961" s="5" t="s">
        <v>15326</v>
      </c>
    </row>
    <row r="2962" customFormat="false" ht="15" hidden="false" customHeight="false" outlineLevel="0" collapsed="false">
      <c r="A2962" s="5" t="s">
        <v>15327</v>
      </c>
      <c r="B2962" s="2" t="s">
        <v>15328</v>
      </c>
      <c r="C2962" s="5" t="s">
        <v>2128</v>
      </c>
      <c r="D2962" s="5" t="s">
        <v>490</v>
      </c>
      <c r="E2962" s="5" t="n">
        <v>5</v>
      </c>
      <c r="F2962" s="5" t="s">
        <v>413</v>
      </c>
      <c r="G2962" s="2" t="s">
        <v>367</v>
      </c>
      <c r="H2962" s="5" t="s">
        <v>8336</v>
      </c>
      <c r="I2962" s="5"/>
      <c r="J2962" s="5"/>
      <c r="K2962" s="5" t="s">
        <v>15329</v>
      </c>
    </row>
    <row r="2963" customFormat="false" ht="46.25" hidden="false" customHeight="false" outlineLevel="0" collapsed="false">
      <c r="A2963" s="5" t="s">
        <v>15330</v>
      </c>
      <c r="B2963" s="2" t="s">
        <v>15331</v>
      </c>
      <c r="C2963" s="5" t="s">
        <v>2245</v>
      </c>
      <c r="D2963" s="5" t="s">
        <v>62</v>
      </c>
      <c r="E2963" s="5" t="n">
        <v>5</v>
      </c>
      <c r="F2963" s="5" t="s">
        <v>90</v>
      </c>
      <c r="G2963" s="2" t="s">
        <v>12057</v>
      </c>
      <c r="H2963" s="5" t="s">
        <v>8336</v>
      </c>
      <c r="I2963" s="5"/>
      <c r="J2963" s="5"/>
      <c r="K2963" s="5" t="s">
        <v>15332</v>
      </c>
    </row>
    <row r="2964" customFormat="false" ht="46.25" hidden="false" customHeight="false" outlineLevel="0" collapsed="false">
      <c r="A2964" s="5" t="s">
        <v>15333</v>
      </c>
      <c r="B2964" s="2" t="s">
        <v>15334</v>
      </c>
      <c r="C2964" s="5" t="s">
        <v>2245</v>
      </c>
      <c r="D2964" s="5" t="s">
        <v>62</v>
      </c>
      <c r="E2964" s="5" t="n">
        <v>5</v>
      </c>
      <c r="F2964" s="5" t="s">
        <v>277</v>
      </c>
      <c r="G2964" s="2" t="s">
        <v>12057</v>
      </c>
      <c r="H2964" s="5" t="s">
        <v>8336</v>
      </c>
      <c r="I2964" s="5"/>
      <c r="J2964" s="5"/>
      <c r="K2964" s="5" t="s">
        <v>15335</v>
      </c>
    </row>
    <row r="2965" customFormat="false" ht="23.85" hidden="false" customHeight="false" outlineLevel="0" collapsed="false">
      <c r="A2965" s="5" t="s">
        <v>15336</v>
      </c>
      <c r="B2965" s="2" t="s">
        <v>15337</v>
      </c>
      <c r="C2965" s="5" t="s">
        <v>2128</v>
      </c>
      <c r="D2965" s="5" t="s">
        <v>62</v>
      </c>
      <c r="E2965" s="5" t="n">
        <v>5</v>
      </c>
      <c r="F2965" s="5" t="s">
        <v>1210</v>
      </c>
      <c r="G2965" s="2" t="s">
        <v>367</v>
      </c>
      <c r="H2965" s="5" t="s">
        <v>8336</v>
      </c>
      <c r="I2965" s="5"/>
      <c r="J2965" s="5"/>
      <c r="K2965" s="5" t="s">
        <v>15338</v>
      </c>
    </row>
    <row r="2966" customFormat="false" ht="46.25" hidden="false" customHeight="false" outlineLevel="0" collapsed="false">
      <c r="A2966" s="5" t="s">
        <v>15339</v>
      </c>
      <c r="B2966" s="2" t="s">
        <v>15340</v>
      </c>
      <c r="C2966" s="5" t="s">
        <v>2245</v>
      </c>
      <c r="D2966" s="5" t="s">
        <v>62</v>
      </c>
      <c r="E2966" s="5" t="n">
        <v>5</v>
      </c>
      <c r="F2966" s="5" t="s">
        <v>1210</v>
      </c>
      <c r="G2966" s="2" t="s">
        <v>12054</v>
      </c>
      <c r="H2966" s="5" t="s">
        <v>8336</v>
      </c>
      <c r="I2966" s="5"/>
      <c r="J2966" s="5"/>
      <c r="K2966" s="5" t="s">
        <v>15341</v>
      </c>
    </row>
    <row r="2967" customFormat="false" ht="23.85" hidden="false" customHeight="false" outlineLevel="0" collapsed="false">
      <c r="A2967" s="5" t="s">
        <v>4139</v>
      </c>
      <c r="B2967" s="2" t="s">
        <v>4140</v>
      </c>
      <c r="C2967" s="5" t="s">
        <v>2128</v>
      </c>
      <c r="D2967" s="5" t="s">
        <v>62</v>
      </c>
      <c r="E2967" s="5" t="n">
        <v>7</v>
      </c>
      <c r="F2967" s="5" t="s">
        <v>277</v>
      </c>
      <c r="G2967" s="2" t="s">
        <v>184</v>
      </c>
      <c r="H2967" s="5" t="s">
        <v>8332</v>
      </c>
      <c r="I2967" s="5" t="s">
        <v>60</v>
      </c>
      <c r="J2967" s="5" t="s">
        <v>276</v>
      </c>
      <c r="K2967" s="5" t="s">
        <v>4143</v>
      </c>
    </row>
    <row r="2968" customFormat="false" ht="23.85" hidden="false" customHeight="false" outlineLevel="0" collapsed="false">
      <c r="A2968" s="5" t="s">
        <v>15342</v>
      </c>
      <c r="B2968" s="2" t="s">
        <v>15343</v>
      </c>
      <c r="C2968" s="5" t="s">
        <v>2128</v>
      </c>
      <c r="D2968" s="5" t="s">
        <v>62</v>
      </c>
      <c r="E2968" s="5" t="n">
        <v>7</v>
      </c>
      <c r="F2968" s="5" t="s">
        <v>67</v>
      </c>
      <c r="G2968" s="2" t="s">
        <v>367</v>
      </c>
      <c r="H2968" s="5" t="s">
        <v>8336</v>
      </c>
      <c r="I2968" s="5"/>
      <c r="J2968" s="5"/>
      <c r="K2968" s="5" t="s">
        <v>15344</v>
      </c>
    </row>
    <row r="2969" customFormat="false" ht="15" hidden="false" customHeight="false" outlineLevel="0" collapsed="false">
      <c r="A2969" s="5" t="s">
        <v>15345</v>
      </c>
      <c r="B2969" s="2" t="s">
        <v>15346</v>
      </c>
      <c r="C2969" s="5" t="s">
        <v>2128</v>
      </c>
      <c r="D2969" s="5" t="s">
        <v>62</v>
      </c>
      <c r="E2969" s="5" t="n">
        <v>7</v>
      </c>
      <c r="F2969" s="5" t="s">
        <v>67</v>
      </c>
      <c r="G2969" s="2" t="s">
        <v>367</v>
      </c>
      <c r="H2969" s="5" t="s">
        <v>8336</v>
      </c>
      <c r="I2969" s="5"/>
      <c r="J2969" s="5"/>
      <c r="K2969" s="5" t="s">
        <v>15347</v>
      </c>
    </row>
    <row r="2970" customFormat="false" ht="46.25" hidden="false" customHeight="false" outlineLevel="0" collapsed="false">
      <c r="A2970" s="5" t="s">
        <v>15348</v>
      </c>
      <c r="B2970" s="2" t="s">
        <v>15349</v>
      </c>
      <c r="C2970" s="5" t="s">
        <v>2245</v>
      </c>
      <c r="D2970" s="5" t="s">
        <v>490</v>
      </c>
      <c r="E2970" s="5" t="n">
        <v>3</v>
      </c>
      <c r="F2970" s="5" t="s">
        <v>67</v>
      </c>
      <c r="G2970" s="2" t="s">
        <v>12057</v>
      </c>
      <c r="H2970" s="5" t="s">
        <v>8336</v>
      </c>
      <c r="I2970" s="5"/>
      <c r="J2970" s="5"/>
      <c r="K2970" s="5" t="s">
        <v>15350</v>
      </c>
    </row>
    <row r="2971" customFormat="false" ht="46.25" hidden="false" customHeight="false" outlineLevel="0" collapsed="false">
      <c r="A2971" s="5" t="s">
        <v>15351</v>
      </c>
      <c r="B2971" s="2" t="s">
        <v>15352</v>
      </c>
      <c r="C2971" s="5" t="s">
        <v>2245</v>
      </c>
      <c r="D2971" s="5" t="s">
        <v>62</v>
      </c>
      <c r="E2971" s="5" t="n">
        <v>5</v>
      </c>
      <c r="F2971" s="5" t="s">
        <v>67</v>
      </c>
      <c r="G2971" s="2" t="s">
        <v>12057</v>
      </c>
      <c r="H2971" s="5" t="s">
        <v>8336</v>
      </c>
      <c r="I2971" s="5"/>
      <c r="J2971" s="5"/>
      <c r="K2971" s="5" t="s">
        <v>15353</v>
      </c>
    </row>
    <row r="2972" customFormat="false" ht="15" hidden="false" customHeight="false" outlineLevel="0" collapsed="false">
      <c r="A2972" s="5" t="s">
        <v>15354</v>
      </c>
      <c r="B2972" s="2" t="s">
        <v>15355</v>
      </c>
      <c r="C2972" s="5" t="s">
        <v>2128</v>
      </c>
      <c r="D2972" s="5" t="s">
        <v>62</v>
      </c>
      <c r="E2972" s="5" t="n">
        <v>7</v>
      </c>
      <c r="F2972" s="5" t="s">
        <v>90</v>
      </c>
      <c r="G2972" s="2" t="s">
        <v>367</v>
      </c>
      <c r="H2972" s="5" t="s">
        <v>8336</v>
      </c>
      <c r="I2972" s="5"/>
      <c r="J2972" s="5"/>
      <c r="K2972" s="5" t="s">
        <v>15356</v>
      </c>
    </row>
    <row r="2973" customFormat="false" ht="46.25" hidden="false" customHeight="false" outlineLevel="0" collapsed="false">
      <c r="A2973" s="5" t="s">
        <v>15357</v>
      </c>
      <c r="B2973" s="2" t="s">
        <v>15358</v>
      </c>
      <c r="C2973" s="5" t="s">
        <v>2245</v>
      </c>
      <c r="D2973" s="5" t="s">
        <v>62</v>
      </c>
      <c r="E2973" s="5" t="n">
        <v>5</v>
      </c>
      <c r="F2973" s="5" t="s">
        <v>90</v>
      </c>
      <c r="G2973" s="2" t="s">
        <v>12057</v>
      </c>
      <c r="H2973" s="5" t="s">
        <v>8336</v>
      </c>
      <c r="I2973" s="5"/>
      <c r="J2973" s="5"/>
      <c r="K2973" s="5" t="s">
        <v>15359</v>
      </c>
    </row>
    <row r="2974" customFormat="false" ht="23.85" hidden="false" customHeight="false" outlineLevel="0" collapsed="false">
      <c r="A2974" s="5" t="s">
        <v>1799</v>
      </c>
      <c r="B2974" s="2" t="s">
        <v>1800</v>
      </c>
      <c r="C2974" s="5" t="s">
        <v>488</v>
      </c>
      <c r="D2974" s="5" t="s">
        <v>62</v>
      </c>
      <c r="E2974" s="5" t="n">
        <v>9</v>
      </c>
      <c r="F2974" s="5" t="s">
        <v>100</v>
      </c>
      <c r="G2974" s="2" t="s">
        <v>184</v>
      </c>
      <c r="H2974" s="5" t="s">
        <v>8332</v>
      </c>
      <c r="I2974" s="5" t="s">
        <v>60</v>
      </c>
      <c r="J2974" s="5" t="s">
        <v>397</v>
      </c>
      <c r="K2974" s="5" t="s">
        <v>1806</v>
      </c>
    </row>
    <row r="2975" customFormat="false" ht="15" hidden="false" customHeight="false" outlineLevel="0" collapsed="false">
      <c r="A2975" s="5" t="s">
        <v>15360</v>
      </c>
      <c r="B2975" s="2" t="s">
        <v>15361</v>
      </c>
      <c r="C2975" s="5" t="s">
        <v>2128</v>
      </c>
      <c r="D2975" s="5" t="s">
        <v>62</v>
      </c>
      <c r="E2975" s="5" t="n">
        <v>5</v>
      </c>
      <c r="F2975" s="5" t="s">
        <v>90</v>
      </c>
      <c r="G2975" s="2" t="s">
        <v>367</v>
      </c>
      <c r="H2975" s="5" t="s">
        <v>8336</v>
      </c>
      <c r="I2975" s="5"/>
      <c r="J2975" s="5"/>
      <c r="K2975" s="5" t="s">
        <v>15362</v>
      </c>
    </row>
    <row r="2976" customFormat="false" ht="46.25" hidden="false" customHeight="false" outlineLevel="0" collapsed="false">
      <c r="A2976" s="5" t="s">
        <v>15363</v>
      </c>
      <c r="B2976" s="2" t="s">
        <v>15364</v>
      </c>
      <c r="C2976" s="5" t="s">
        <v>2245</v>
      </c>
      <c r="D2976" s="5" t="s">
        <v>62</v>
      </c>
      <c r="E2976" s="5" t="n">
        <v>7</v>
      </c>
      <c r="F2976" s="5" t="s">
        <v>536</v>
      </c>
      <c r="G2976" s="2" t="s">
        <v>12057</v>
      </c>
      <c r="H2976" s="5" t="s">
        <v>8336</v>
      </c>
      <c r="I2976" s="5"/>
      <c r="J2976" s="5"/>
      <c r="K2976" s="5" t="s">
        <v>15365</v>
      </c>
    </row>
    <row r="2977" customFormat="false" ht="15" hidden="false" customHeight="false" outlineLevel="0" collapsed="false">
      <c r="A2977" s="5" t="s">
        <v>15366</v>
      </c>
      <c r="B2977" s="2" t="s">
        <v>15367</v>
      </c>
      <c r="C2977" s="5" t="s">
        <v>2128</v>
      </c>
      <c r="D2977" s="5" t="s">
        <v>62</v>
      </c>
      <c r="E2977" s="5" t="n">
        <v>9</v>
      </c>
      <c r="F2977" s="5" t="s">
        <v>67</v>
      </c>
      <c r="G2977" s="2" t="s">
        <v>367</v>
      </c>
      <c r="H2977" s="5" t="s">
        <v>8336</v>
      </c>
      <c r="I2977" s="5"/>
      <c r="J2977" s="5"/>
      <c r="K2977" s="5" t="s">
        <v>15368</v>
      </c>
    </row>
    <row r="2978" customFormat="false" ht="46.25" hidden="false" customHeight="false" outlineLevel="0" collapsed="false">
      <c r="A2978" s="5" t="s">
        <v>15369</v>
      </c>
      <c r="B2978" s="2" t="s">
        <v>15370</v>
      </c>
      <c r="C2978" s="5" t="s">
        <v>2245</v>
      </c>
      <c r="D2978" s="5" t="s">
        <v>62</v>
      </c>
      <c r="E2978" s="5" t="n">
        <v>5</v>
      </c>
      <c r="F2978" s="5" t="s">
        <v>67</v>
      </c>
      <c r="G2978" s="2" t="s">
        <v>12057</v>
      </c>
      <c r="H2978" s="5" t="s">
        <v>8336</v>
      </c>
      <c r="I2978" s="5"/>
      <c r="J2978" s="5"/>
      <c r="K2978" s="5" t="s">
        <v>15371</v>
      </c>
    </row>
    <row r="2979" customFormat="false" ht="46.25" hidden="false" customHeight="false" outlineLevel="0" collapsed="false">
      <c r="A2979" s="5" t="s">
        <v>6373</v>
      </c>
      <c r="B2979" s="2" t="s">
        <v>6374</v>
      </c>
      <c r="C2979" s="5" t="s">
        <v>2245</v>
      </c>
      <c r="D2979" s="5" t="s">
        <v>490</v>
      </c>
      <c r="E2979" s="5" t="n">
        <v>7</v>
      </c>
      <c r="F2979" s="5" t="s">
        <v>100</v>
      </c>
      <c r="G2979" s="2" t="s">
        <v>12057</v>
      </c>
      <c r="H2979" s="5" t="s">
        <v>8332</v>
      </c>
      <c r="I2979" s="5" t="s">
        <v>4760</v>
      </c>
      <c r="J2979" s="5" t="s">
        <v>100</v>
      </c>
      <c r="K2979" s="5" t="s">
        <v>6377</v>
      </c>
    </row>
    <row r="2980" customFormat="false" ht="46.25" hidden="false" customHeight="false" outlineLevel="0" collapsed="false">
      <c r="A2980" s="5" t="s">
        <v>15372</v>
      </c>
      <c r="B2980" s="2" t="s">
        <v>15373</v>
      </c>
      <c r="C2980" s="5" t="s">
        <v>2245</v>
      </c>
      <c r="D2980" s="5" t="s">
        <v>62</v>
      </c>
      <c r="E2980" s="5" t="n">
        <v>5</v>
      </c>
      <c r="F2980" s="5" t="s">
        <v>67</v>
      </c>
      <c r="G2980" s="2" t="s">
        <v>12057</v>
      </c>
      <c r="H2980" s="5" t="s">
        <v>8336</v>
      </c>
      <c r="I2980" s="5"/>
      <c r="J2980" s="5"/>
      <c r="K2980" s="5" t="s">
        <v>15374</v>
      </c>
    </row>
    <row r="2981" customFormat="false" ht="46.25" hidden="false" customHeight="false" outlineLevel="0" collapsed="false">
      <c r="A2981" s="5" t="s">
        <v>15375</v>
      </c>
      <c r="B2981" s="2" t="s">
        <v>15376</v>
      </c>
      <c r="C2981" s="5" t="s">
        <v>2245</v>
      </c>
      <c r="D2981" s="5" t="s">
        <v>490</v>
      </c>
      <c r="E2981" s="5" t="n">
        <v>5</v>
      </c>
      <c r="F2981" s="5" t="s">
        <v>67</v>
      </c>
      <c r="G2981" s="2" t="s">
        <v>12057</v>
      </c>
      <c r="H2981" s="5" t="s">
        <v>8336</v>
      </c>
      <c r="I2981" s="5"/>
      <c r="J2981" s="5"/>
      <c r="K2981" s="5" t="s">
        <v>15377</v>
      </c>
    </row>
    <row r="2982" customFormat="false" ht="46.25" hidden="false" customHeight="false" outlineLevel="0" collapsed="false">
      <c r="A2982" s="5" t="s">
        <v>15378</v>
      </c>
      <c r="B2982" s="2" t="s">
        <v>15379</v>
      </c>
      <c r="C2982" s="5" t="s">
        <v>2245</v>
      </c>
      <c r="D2982" s="5" t="s">
        <v>490</v>
      </c>
      <c r="E2982" s="5" t="n">
        <v>5</v>
      </c>
      <c r="F2982" s="5" t="s">
        <v>67</v>
      </c>
      <c r="G2982" s="2" t="s">
        <v>12057</v>
      </c>
      <c r="H2982" s="5" t="s">
        <v>8336</v>
      </c>
      <c r="I2982" s="5"/>
      <c r="J2982" s="5"/>
      <c r="K2982" s="5" t="s">
        <v>15380</v>
      </c>
    </row>
    <row r="2983" customFormat="false" ht="46.25" hidden="false" customHeight="false" outlineLevel="0" collapsed="false">
      <c r="A2983" s="5" t="s">
        <v>15381</v>
      </c>
      <c r="B2983" s="2" t="s">
        <v>15382</v>
      </c>
      <c r="C2983" s="5" t="s">
        <v>2245</v>
      </c>
      <c r="D2983" s="5" t="s">
        <v>490</v>
      </c>
      <c r="E2983" s="5" t="n">
        <v>5</v>
      </c>
      <c r="F2983" s="5" t="s">
        <v>67</v>
      </c>
      <c r="G2983" s="2" t="s">
        <v>12054</v>
      </c>
      <c r="H2983" s="5" t="s">
        <v>8336</v>
      </c>
      <c r="I2983" s="5"/>
      <c r="J2983" s="5"/>
      <c r="K2983" s="5" t="s">
        <v>15383</v>
      </c>
    </row>
    <row r="2984" customFormat="false" ht="46.25" hidden="false" customHeight="false" outlineLevel="0" collapsed="false">
      <c r="A2984" s="5" t="s">
        <v>15384</v>
      </c>
      <c r="B2984" s="2" t="s">
        <v>15385</v>
      </c>
      <c r="C2984" s="5" t="s">
        <v>2245</v>
      </c>
      <c r="D2984" s="5" t="s">
        <v>490</v>
      </c>
      <c r="E2984" s="5" t="n">
        <v>7</v>
      </c>
      <c r="F2984" s="5" t="s">
        <v>67</v>
      </c>
      <c r="G2984" s="2" t="s">
        <v>12057</v>
      </c>
      <c r="H2984" s="5" t="s">
        <v>8336</v>
      </c>
      <c r="I2984" s="5"/>
      <c r="J2984" s="5"/>
      <c r="K2984" s="5" t="s">
        <v>15386</v>
      </c>
    </row>
    <row r="2985" customFormat="false" ht="46.25" hidden="false" customHeight="false" outlineLevel="0" collapsed="false">
      <c r="A2985" s="5" t="s">
        <v>4144</v>
      </c>
      <c r="B2985" s="2" t="s">
        <v>4145</v>
      </c>
      <c r="C2985" s="5" t="s">
        <v>2245</v>
      </c>
      <c r="D2985" s="5" t="s">
        <v>62</v>
      </c>
      <c r="E2985" s="5" t="n">
        <v>5</v>
      </c>
      <c r="F2985" s="5" t="s">
        <v>67</v>
      </c>
      <c r="G2985" s="2" t="s">
        <v>12057</v>
      </c>
      <c r="H2985" s="5" t="s">
        <v>8332</v>
      </c>
      <c r="I2985" s="5" t="s">
        <v>60</v>
      </c>
      <c r="J2985" s="5" t="s">
        <v>161</v>
      </c>
      <c r="K2985" s="5" t="s">
        <v>4148</v>
      </c>
    </row>
    <row r="2986" customFormat="false" ht="46.25" hidden="false" customHeight="false" outlineLevel="0" collapsed="false">
      <c r="A2986" s="5" t="s">
        <v>15387</v>
      </c>
      <c r="B2986" s="2" t="s">
        <v>15388</v>
      </c>
      <c r="C2986" s="5" t="s">
        <v>2245</v>
      </c>
      <c r="D2986" s="5" t="s">
        <v>62</v>
      </c>
      <c r="E2986" s="5" t="n">
        <v>5</v>
      </c>
      <c r="F2986" s="5" t="s">
        <v>90</v>
      </c>
      <c r="G2986" s="2" t="s">
        <v>12057</v>
      </c>
      <c r="H2986" s="5" t="s">
        <v>8336</v>
      </c>
      <c r="I2986" s="5"/>
      <c r="J2986" s="5"/>
      <c r="K2986" s="5" t="s">
        <v>15389</v>
      </c>
    </row>
    <row r="2987" customFormat="false" ht="15" hidden="false" customHeight="false" outlineLevel="0" collapsed="false">
      <c r="A2987" s="5" t="s">
        <v>15390</v>
      </c>
      <c r="B2987" s="2" t="s">
        <v>15391</v>
      </c>
      <c r="C2987" s="5" t="s">
        <v>2128</v>
      </c>
      <c r="D2987" s="5" t="s">
        <v>62</v>
      </c>
      <c r="E2987" s="5" t="n">
        <v>3</v>
      </c>
      <c r="F2987" s="5" t="s">
        <v>67</v>
      </c>
      <c r="G2987" s="2" t="s">
        <v>367</v>
      </c>
      <c r="H2987" s="5" t="s">
        <v>8336</v>
      </c>
      <c r="I2987" s="5"/>
      <c r="J2987" s="5"/>
      <c r="K2987" s="5" t="s">
        <v>15392</v>
      </c>
    </row>
    <row r="2988" customFormat="false" ht="15" hidden="false" customHeight="false" outlineLevel="0" collapsed="false">
      <c r="A2988" s="5" t="s">
        <v>1807</v>
      </c>
      <c r="B2988" s="2" t="s">
        <v>1808</v>
      </c>
      <c r="C2988" s="5" t="s">
        <v>488</v>
      </c>
      <c r="D2988" s="5" t="s">
        <v>62</v>
      </c>
      <c r="E2988" s="5" t="n">
        <v>7</v>
      </c>
      <c r="F2988" s="5" t="s">
        <v>100</v>
      </c>
      <c r="G2988" s="2" t="s">
        <v>367</v>
      </c>
      <c r="H2988" s="5" t="s">
        <v>8332</v>
      </c>
      <c r="I2988" s="5" t="s">
        <v>60</v>
      </c>
      <c r="J2988" s="5" t="s">
        <v>100</v>
      </c>
      <c r="K2988" s="5" t="s">
        <v>1811</v>
      </c>
    </row>
    <row r="2989" customFormat="false" ht="23.85" hidden="false" customHeight="false" outlineLevel="0" collapsed="false">
      <c r="A2989" s="5" t="s">
        <v>15393</v>
      </c>
      <c r="B2989" s="2" t="s">
        <v>15394</v>
      </c>
      <c r="C2989" s="5" t="s">
        <v>2128</v>
      </c>
      <c r="D2989" s="5" t="s">
        <v>62</v>
      </c>
      <c r="E2989" s="5" t="n">
        <v>7</v>
      </c>
      <c r="F2989" s="5" t="s">
        <v>90</v>
      </c>
      <c r="G2989" s="2" t="s">
        <v>367</v>
      </c>
      <c r="H2989" s="5" t="s">
        <v>8336</v>
      </c>
      <c r="I2989" s="5"/>
      <c r="J2989" s="5"/>
      <c r="K2989" s="5" t="s">
        <v>15395</v>
      </c>
    </row>
    <row r="2990" customFormat="false" ht="46.25" hidden="false" customHeight="false" outlineLevel="0" collapsed="false">
      <c r="A2990" s="5" t="s">
        <v>15396</v>
      </c>
      <c r="B2990" s="2" t="s">
        <v>15397</v>
      </c>
      <c r="C2990" s="5" t="s">
        <v>2245</v>
      </c>
      <c r="D2990" s="5" t="s">
        <v>62</v>
      </c>
      <c r="E2990" s="5" t="n">
        <v>7</v>
      </c>
      <c r="F2990" s="5" t="s">
        <v>90</v>
      </c>
      <c r="G2990" s="2" t="s">
        <v>12057</v>
      </c>
      <c r="H2990" s="5" t="s">
        <v>8336</v>
      </c>
      <c r="I2990" s="5"/>
      <c r="J2990" s="5"/>
      <c r="K2990" s="5" t="s">
        <v>15398</v>
      </c>
    </row>
    <row r="2991" customFormat="false" ht="46.25" hidden="false" customHeight="false" outlineLevel="0" collapsed="false">
      <c r="A2991" s="5" t="s">
        <v>15399</v>
      </c>
      <c r="B2991" s="2" t="s">
        <v>15400</v>
      </c>
      <c r="C2991" s="5" t="s">
        <v>2245</v>
      </c>
      <c r="D2991" s="5" t="s">
        <v>62</v>
      </c>
      <c r="E2991" s="5" t="n">
        <v>7</v>
      </c>
      <c r="F2991" s="5" t="s">
        <v>67</v>
      </c>
      <c r="G2991" s="2" t="s">
        <v>12057</v>
      </c>
      <c r="H2991" s="5" t="s">
        <v>8336</v>
      </c>
      <c r="I2991" s="5"/>
      <c r="J2991" s="5"/>
      <c r="K2991" s="5" t="s">
        <v>15401</v>
      </c>
    </row>
    <row r="2992" customFormat="false" ht="46.25" hidden="false" customHeight="false" outlineLevel="0" collapsed="false">
      <c r="A2992" s="5" t="s">
        <v>15402</v>
      </c>
      <c r="B2992" s="2" t="s">
        <v>15403</v>
      </c>
      <c r="C2992" s="5" t="s">
        <v>2245</v>
      </c>
      <c r="D2992" s="5" t="s">
        <v>490</v>
      </c>
      <c r="E2992" s="5" t="n">
        <v>5</v>
      </c>
      <c r="F2992" s="5" t="s">
        <v>67</v>
      </c>
      <c r="G2992" s="2" t="s">
        <v>12057</v>
      </c>
      <c r="H2992" s="5" t="s">
        <v>8336</v>
      </c>
      <c r="I2992" s="5"/>
      <c r="J2992" s="5"/>
      <c r="K2992" s="5" t="s">
        <v>15404</v>
      </c>
    </row>
    <row r="2993" customFormat="false" ht="46.25" hidden="false" customHeight="false" outlineLevel="0" collapsed="false">
      <c r="A2993" s="5" t="s">
        <v>15405</v>
      </c>
      <c r="B2993" s="2" t="s">
        <v>15406</v>
      </c>
      <c r="C2993" s="5" t="s">
        <v>2245</v>
      </c>
      <c r="D2993" s="5" t="s">
        <v>62</v>
      </c>
      <c r="E2993" s="5" t="n">
        <v>5</v>
      </c>
      <c r="F2993" s="5" t="s">
        <v>67</v>
      </c>
      <c r="G2993" s="2" t="s">
        <v>12054</v>
      </c>
      <c r="H2993" s="5" t="s">
        <v>8336</v>
      </c>
      <c r="I2993" s="5"/>
      <c r="J2993" s="5"/>
      <c r="K2993" s="5" t="s">
        <v>15407</v>
      </c>
    </row>
    <row r="2994" customFormat="false" ht="46.25" hidden="false" customHeight="false" outlineLevel="0" collapsed="false">
      <c r="A2994" s="5" t="s">
        <v>15408</v>
      </c>
      <c r="B2994" s="2" t="s">
        <v>15409</v>
      </c>
      <c r="C2994" s="5" t="s">
        <v>2245</v>
      </c>
      <c r="D2994" s="5" t="s">
        <v>62</v>
      </c>
      <c r="E2994" s="5" t="n">
        <v>5</v>
      </c>
      <c r="F2994" s="5" t="s">
        <v>90</v>
      </c>
      <c r="G2994" s="2" t="s">
        <v>12057</v>
      </c>
      <c r="H2994" s="5" t="s">
        <v>8336</v>
      </c>
      <c r="I2994" s="5"/>
      <c r="J2994" s="5"/>
      <c r="K2994" s="5" t="s">
        <v>15410</v>
      </c>
    </row>
    <row r="2995" customFormat="false" ht="15" hidden="false" customHeight="false" outlineLevel="0" collapsed="false">
      <c r="A2995" s="5" t="s">
        <v>15411</v>
      </c>
      <c r="B2995" s="2" t="s">
        <v>15412</v>
      </c>
      <c r="C2995" s="5" t="s">
        <v>2128</v>
      </c>
      <c r="D2995" s="5" t="s">
        <v>62</v>
      </c>
      <c r="E2995" s="5" t="n">
        <v>7</v>
      </c>
      <c r="F2995" s="5" t="s">
        <v>413</v>
      </c>
      <c r="G2995" s="2" t="s">
        <v>367</v>
      </c>
      <c r="H2995" s="5" t="s">
        <v>8336</v>
      </c>
      <c r="I2995" s="5"/>
      <c r="J2995" s="5"/>
      <c r="K2995" s="5" t="s">
        <v>15413</v>
      </c>
    </row>
    <row r="2996" customFormat="false" ht="46.25" hidden="false" customHeight="false" outlineLevel="0" collapsed="false">
      <c r="A2996" s="5" t="s">
        <v>15414</v>
      </c>
      <c r="B2996" s="2" t="s">
        <v>15415</v>
      </c>
      <c r="C2996" s="5" t="s">
        <v>2245</v>
      </c>
      <c r="D2996" s="5" t="s">
        <v>62</v>
      </c>
      <c r="E2996" s="5" t="n">
        <v>7</v>
      </c>
      <c r="F2996" s="5" t="s">
        <v>67</v>
      </c>
      <c r="G2996" s="2" t="s">
        <v>12057</v>
      </c>
      <c r="H2996" s="5" t="s">
        <v>8336</v>
      </c>
      <c r="I2996" s="5"/>
      <c r="J2996" s="5"/>
      <c r="K2996" s="5" t="s">
        <v>15416</v>
      </c>
    </row>
    <row r="2997" customFormat="false" ht="15" hidden="false" customHeight="false" outlineLevel="0" collapsed="false">
      <c r="A2997" s="5" t="s">
        <v>15417</v>
      </c>
      <c r="B2997" s="2" t="s">
        <v>15418</v>
      </c>
      <c r="C2997" s="5" t="s">
        <v>2128</v>
      </c>
      <c r="D2997" s="5" t="s">
        <v>62</v>
      </c>
      <c r="E2997" s="5" t="n">
        <v>7</v>
      </c>
      <c r="F2997" s="5" t="s">
        <v>413</v>
      </c>
      <c r="G2997" s="2" t="s">
        <v>367</v>
      </c>
      <c r="H2997" s="5" t="s">
        <v>8336</v>
      </c>
      <c r="I2997" s="5"/>
      <c r="J2997" s="5"/>
      <c r="K2997" s="5" t="s">
        <v>15419</v>
      </c>
    </row>
    <row r="2998" customFormat="false" ht="46.25" hidden="false" customHeight="false" outlineLevel="0" collapsed="false">
      <c r="A2998" s="5" t="s">
        <v>15420</v>
      </c>
      <c r="B2998" s="2" t="s">
        <v>15421</v>
      </c>
      <c r="C2998" s="5" t="s">
        <v>2245</v>
      </c>
      <c r="D2998" s="5" t="s">
        <v>62</v>
      </c>
      <c r="E2998" s="5" t="n">
        <v>5</v>
      </c>
      <c r="F2998" s="5" t="s">
        <v>413</v>
      </c>
      <c r="G2998" s="2" t="s">
        <v>12057</v>
      </c>
      <c r="H2998" s="5" t="s">
        <v>8336</v>
      </c>
      <c r="I2998" s="5"/>
      <c r="J2998" s="5"/>
      <c r="K2998" s="5" t="s">
        <v>15422</v>
      </c>
    </row>
    <row r="2999" customFormat="false" ht="46.25" hidden="false" customHeight="false" outlineLevel="0" collapsed="false">
      <c r="A2999" s="5" t="s">
        <v>15423</v>
      </c>
      <c r="B2999" s="2" t="s">
        <v>15424</v>
      </c>
      <c r="C2999" s="5" t="s">
        <v>2245</v>
      </c>
      <c r="D2999" s="5" t="s">
        <v>62</v>
      </c>
      <c r="E2999" s="5" t="n">
        <v>5</v>
      </c>
      <c r="F2999" s="5" t="s">
        <v>413</v>
      </c>
      <c r="G2999" s="2" t="s">
        <v>12077</v>
      </c>
      <c r="H2999" s="5" t="s">
        <v>8336</v>
      </c>
      <c r="I2999" s="5"/>
      <c r="J2999" s="5"/>
      <c r="K2999" s="5" t="s">
        <v>15425</v>
      </c>
    </row>
    <row r="3000" customFormat="false" ht="15" hidden="false" customHeight="false" outlineLevel="0" collapsed="false">
      <c r="A3000" s="5" t="s">
        <v>15426</v>
      </c>
      <c r="B3000" s="2" t="s">
        <v>15427</v>
      </c>
      <c r="C3000" s="5" t="s">
        <v>2128</v>
      </c>
      <c r="D3000" s="5" t="s">
        <v>62</v>
      </c>
      <c r="E3000" s="5" t="n">
        <v>5</v>
      </c>
      <c r="F3000" s="5" t="s">
        <v>1814</v>
      </c>
      <c r="G3000" s="2" t="s">
        <v>367</v>
      </c>
      <c r="H3000" s="5" t="s">
        <v>8336</v>
      </c>
      <c r="I3000" s="5"/>
      <c r="J3000" s="5"/>
      <c r="K3000" s="5" t="s">
        <v>15428</v>
      </c>
    </row>
    <row r="3001" customFormat="false" ht="46.25" hidden="false" customHeight="false" outlineLevel="0" collapsed="false">
      <c r="A3001" s="5" t="s">
        <v>15429</v>
      </c>
      <c r="B3001" s="2" t="s">
        <v>15430</v>
      </c>
      <c r="C3001" s="5" t="s">
        <v>2245</v>
      </c>
      <c r="D3001" s="5" t="s">
        <v>62</v>
      </c>
      <c r="E3001" s="5" t="n">
        <v>7</v>
      </c>
      <c r="F3001" s="5" t="s">
        <v>90</v>
      </c>
      <c r="G3001" s="2" t="s">
        <v>12057</v>
      </c>
      <c r="H3001" s="5" t="s">
        <v>8336</v>
      </c>
      <c r="I3001" s="5"/>
      <c r="J3001" s="5"/>
      <c r="K3001" s="5" t="s">
        <v>15431</v>
      </c>
    </row>
    <row r="3002" customFormat="false" ht="46.25" hidden="false" customHeight="false" outlineLevel="0" collapsed="false">
      <c r="A3002" s="5" t="s">
        <v>15432</v>
      </c>
      <c r="B3002" s="2" t="s">
        <v>15433</v>
      </c>
      <c r="C3002" s="5" t="s">
        <v>2128</v>
      </c>
      <c r="D3002" s="5" t="s">
        <v>62</v>
      </c>
      <c r="E3002" s="5" t="n">
        <v>5</v>
      </c>
      <c r="F3002" s="5" t="s">
        <v>90</v>
      </c>
      <c r="G3002" s="2" t="s">
        <v>12057</v>
      </c>
      <c r="H3002" s="5" t="s">
        <v>8336</v>
      </c>
      <c r="I3002" s="5"/>
      <c r="J3002" s="5"/>
      <c r="K3002" s="5" t="s">
        <v>15434</v>
      </c>
    </row>
    <row r="3003" customFormat="false" ht="46.25" hidden="false" customHeight="false" outlineLevel="0" collapsed="false">
      <c r="A3003" s="5" t="s">
        <v>15435</v>
      </c>
      <c r="B3003" s="2" t="s">
        <v>15436</v>
      </c>
      <c r="C3003" s="5" t="s">
        <v>2245</v>
      </c>
      <c r="D3003" s="5" t="s">
        <v>490</v>
      </c>
      <c r="E3003" s="5" t="n">
        <v>5</v>
      </c>
      <c r="F3003" s="5" t="s">
        <v>90</v>
      </c>
      <c r="G3003" s="2" t="s">
        <v>12057</v>
      </c>
      <c r="H3003" s="5" t="s">
        <v>8336</v>
      </c>
      <c r="I3003" s="5"/>
      <c r="J3003" s="5"/>
      <c r="K3003" s="5" t="s">
        <v>15437</v>
      </c>
    </row>
    <row r="3004" customFormat="false" ht="23.85" hidden="false" customHeight="false" outlineLevel="0" collapsed="false">
      <c r="A3004" s="5" t="s">
        <v>1812</v>
      </c>
      <c r="B3004" s="2" t="s">
        <v>1813</v>
      </c>
      <c r="C3004" s="5" t="s">
        <v>488</v>
      </c>
      <c r="D3004" s="5" t="s">
        <v>62</v>
      </c>
      <c r="E3004" s="5" t="n">
        <v>5</v>
      </c>
      <c r="F3004" s="5" t="s">
        <v>1814</v>
      </c>
      <c r="G3004" s="2" t="s">
        <v>367</v>
      </c>
      <c r="H3004" s="5" t="s">
        <v>8332</v>
      </c>
      <c r="I3004" s="5" t="s">
        <v>60</v>
      </c>
      <c r="J3004" s="5"/>
      <c r="K3004" s="5" t="s">
        <v>1818</v>
      </c>
    </row>
    <row r="3005" customFormat="false" ht="23.85" hidden="false" customHeight="false" outlineLevel="0" collapsed="false">
      <c r="A3005" s="5" t="s">
        <v>15438</v>
      </c>
      <c r="B3005" s="2" t="s">
        <v>15439</v>
      </c>
      <c r="C3005" s="5" t="s">
        <v>2128</v>
      </c>
      <c r="D3005" s="5" t="s">
        <v>62</v>
      </c>
      <c r="E3005" s="5" t="n">
        <v>7</v>
      </c>
      <c r="F3005" s="5" t="s">
        <v>1814</v>
      </c>
      <c r="G3005" s="2" t="s">
        <v>367</v>
      </c>
      <c r="H3005" s="5" t="s">
        <v>8336</v>
      </c>
      <c r="I3005" s="5"/>
      <c r="J3005" s="5"/>
      <c r="K3005" s="5" t="s">
        <v>15440</v>
      </c>
    </row>
    <row r="3006" customFormat="false" ht="46.25" hidden="false" customHeight="false" outlineLevel="0" collapsed="false">
      <c r="A3006" s="5" t="s">
        <v>4149</v>
      </c>
      <c r="B3006" s="2" t="s">
        <v>4150</v>
      </c>
      <c r="C3006" s="5" t="s">
        <v>2245</v>
      </c>
      <c r="D3006" s="5" t="s">
        <v>62</v>
      </c>
      <c r="E3006" s="5" t="n">
        <v>5</v>
      </c>
      <c r="F3006" s="5" t="s">
        <v>90</v>
      </c>
      <c r="G3006" s="2" t="s">
        <v>12057</v>
      </c>
      <c r="H3006" s="5" t="s">
        <v>8332</v>
      </c>
      <c r="I3006" s="5" t="s">
        <v>60</v>
      </c>
      <c r="J3006" s="5" t="s">
        <v>2591</v>
      </c>
      <c r="K3006" s="5" t="s">
        <v>4153</v>
      </c>
    </row>
    <row r="3007" customFormat="false" ht="46.25" hidden="false" customHeight="false" outlineLevel="0" collapsed="false">
      <c r="A3007" s="5" t="s">
        <v>15441</v>
      </c>
      <c r="B3007" s="2" t="s">
        <v>15442</v>
      </c>
      <c r="C3007" s="5" t="s">
        <v>2245</v>
      </c>
      <c r="D3007" s="5" t="s">
        <v>62</v>
      </c>
      <c r="E3007" s="5" t="n">
        <v>5</v>
      </c>
      <c r="F3007" s="5" t="s">
        <v>90</v>
      </c>
      <c r="G3007" s="2" t="s">
        <v>12057</v>
      </c>
      <c r="H3007" s="5" t="s">
        <v>8336</v>
      </c>
      <c r="I3007" s="5"/>
      <c r="J3007" s="5"/>
      <c r="K3007" s="5" t="s">
        <v>15443</v>
      </c>
    </row>
    <row r="3008" customFormat="false" ht="23.85" hidden="false" customHeight="false" outlineLevel="0" collapsed="false">
      <c r="A3008" s="5" t="s">
        <v>15444</v>
      </c>
      <c r="B3008" s="2" t="s">
        <v>15445</v>
      </c>
      <c r="C3008" s="5" t="s">
        <v>2128</v>
      </c>
      <c r="D3008" s="5" t="s">
        <v>62</v>
      </c>
      <c r="E3008" s="5" t="n">
        <v>5</v>
      </c>
      <c r="F3008" s="5" t="s">
        <v>90</v>
      </c>
      <c r="G3008" s="2" t="s">
        <v>367</v>
      </c>
      <c r="H3008" s="5" t="s">
        <v>8336</v>
      </c>
      <c r="I3008" s="5"/>
      <c r="J3008" s="5"/>
      <c r="K3008" s="5" t="s">
        <v>15446</v>
      </c>
    </row>
    <row r="3009" customFormat="false" ht="46.25" hidden="false" customHeight="false" outlineLevel="0" collapsed="false">
      <c r="A3009" s="5" t="s">
        <v>15447</v>
      </c>
      <c r="B3009" s="2" t="s">
        <v>15448</v>
      </c>
      <c r="C3009" s="5" t="s">
        <v>2245</v>
      </c>
      <c r="D3009" s="5" t="s">
        <v>490</v>
      </c>
      <c r="E3009" s="5" t="n">
        <v>5</v>
      </c>
      <c r="F3009" s="5" t="s">
        <v>90</v>
      </c>
      <c r="G3009" s="2" t="s">
        <v>12057</v>
      </c>
      <c r="H3009" s="5" t="s">
        <v>8336</v>
      </c>
      <c r="I3009" s="5"/>
      <c r="J3009" s="5"/>
      <c r="K3009" s="5" t="s">
        <v>15449</v>
      </c>
    </row>
    <row r="3010" customFormat="false" ht="46.25" hidden="false" customHeight="false" outlineLevel="0" collapsed="false">
      <c r="A3010" s="5" t="s">
        <v>15450</v>
      </c>
      <c r="B3010" s="2" t="s">
        <v>15451</v>
      </c>
      <c r="C3010" s="5" t="s">
        <v>2245</v>
      </c>
      <c r="D3010" s="5" t="s">
        <v>490</v>
      </c>
      <c r="E3010" s="5" t="n">
        <v>7</v>
      </c>
      <c r="F3010" s="5" t="s">
        <v>67</v>
      </c>
      <c r="G3010" s="2" t="s">
        <v>12057</v>
      </c>
      <c r="H3010" s="5" t="s">
        <v>8336</v>
      </c>
      <c r="I3010" s="5"/>
      <c r="J3010" s="5"/>
      <c r="K3010" s="5" t="s">
        <v>15452</v>
      </c>
    </row>
    <row r="3011" customFormat="false" ht="23.85" hidden="false" customHeight="false" outlineLevel="0" collapsed="false">
      <c r="A3011" s="5" t="s">
        <v>15453</v>
      </c>
      <c r="B3011" s="2" t="s">
        <v>15454</v>
      </c>
      <c r="C3011" s="5" t="s">
        <v>2128</v>
      </c>
      <c r="D3011" s="5" t="s">
        <v>62</v>
      </c>
      <c r="E3011" s="5" t="n">
        <v>5</v>
      </c>
      <c r="F3011" s="5" t="s">
        <v>90</v>
      </c>
      <c r="G3011" s="2" t="s">
        <v>367</v>
      </c>
      <c r="H3011" s="5" t="s">
        <v>8336</v>
      </c>
      <c r="I3011" s="5"/>
      <c r="J3011" s="5"/>
      <c r="K3011" s="5" t="s">
        <v>15455</v>
      </c>
    </row>
    <row r="3012" customFormat="false" ht="46.25" hidden="false" customHeight="false" outlineLevel="0" collapsed="false">
      <c r="A3012" s="5" t="s">
        <v>15456</v>
      </c>
      <c r="B3012" s="2" t="s">
        <v>15457</v>
      </c>
      <c r="C3012" s="5" t="s">
        <v>2245</v>
      </c>
      <c r="D3012" s="5" t="s">
        <v>490</v>
      </c>
      <c r="E3012" s="5" t="n">
        <v>3</v>
      </c>
      <c r="F3012" s="5" t="s">
        <v>413</v>
      </c>
      <c r="G3012" s="2" t="s">
        <v>12521</v>
      </c>
      <c r="H3012" s="5" t="s">
        <v>8336</v>
      </c>
      <c r="I3012" s="5"/>
      <c r="J3012" s="5"/>
      <c r="K3012" s="5" t="s">
        <v>15458</v>
      </c>
    </row>
    <row r="3013" customFormat="false" ht="46.25" hidden="false" customHeight="false" outlineLevel="0" collapsed="false">
      <c r="A3013" s="5" t="s">
        <v>15459</v>
      </c>
      <c r="B3013" s="2" t="s">
        <v>15460</v>
      </c>
      <c r="C3013" s="5" t="s">
        <v>2245</v>
      </c>
      <c r="D3013" s="5" t="s">
        <v>490</v>
      </c>
      <c r="E3013" s="5" t="n">
        <v>3</v>
      </c>
      <c r="F3013" s="5" t="s">
        <v>413</v>
      </c>
      <c r="G3013" s="2" t="s">
        <v>12521</v>
      </c>
      <c r="H3013" s="5" t="s">
        <v>8336</v>
      </c>
      <c r="I3013" s="5"/>
      <c r="J3013" s="5"/>
      <c r="K3013" s="5" t="s">
        <v>15461</v>
      </c>
    </row>
    <row r="3014" customFormat="false" ht="46.25" hidden="false" customHeight="false" outlineLevel="0" collapsed="false">
      <c r="A3014" s="5" t="s">
        <v>15462</v>
      </c>
      <c r="B3014" s="2" t="s">
        <v>15463</v>
      </c>
      <c r="C3014" s="5" t="s">
        <v>2128</v>
      </c>
      <c r="D3014" s="5" t="s">
        <v>62</v>
      </c>
      <c r="E3014" s="5" t="n">
        <v>5</v>
      </c>
      <c r="F3014" s="5" t="s">
        <v>90</v>
      </c>
      <c r="G3014" s="2" t="s">
        <v>12057</v>
      </c>
      <c r="H3014" s="5" t="s">
        <v>8336</v>
      </c>
      <c r="I3014" s="5"/>
      <c r="J3014" s="5"/>
      <c r="K3014" s="5" t="s">
        <v>15464</v>
      </c>
    </row>
    <row r="3015" customFormat="false" ht="46.25" hidden="false" customHeight="false" outlineLevel="0" collapsed="false">
      <c r="A3015" s="5" t="s">
        <v>15465</v>
      </c>
      <c r="B3015" s="2" t="s">
        <v>15466</v>
      </c>
      <c r="C3015" s="5" t="s">
        <v>2245</v>
      </c>
      <c r="D3015" s="5" t="s">
        <v>62</v>
      </c>
      <c r="E3015" s="5" t="n">
        <v>3</v>
      </c>
      <c r="F3015" s="5" t="s">
        <v>413</v>
      </c>
      <c r="G3015" s="2" t="s">
        <v>12057</v>
      </c>
      <c r="H3015" s="5" t="s">
        <v>8336</v>
      </c>
      <c r="I3015" s="5"/>
      <c r="J3015" s="5"/>
      <c r="K3015" s="5" t="s">
        <v>15467</v>
      </c>
    </row>
    <row r="3016" customFormat="false" ht="46.25" hidden="false" customHeight="false" outlineLevel="0" collapsed="false">
      <c r="A3016" s="5" t="s">
        <v>15468</v>
      </c>
      <c r="B3016" s="2" t="s">
        <v>15469</v>
      </c>
      <c r="C3016" s="5" t="s">
        <v>2245</v>
      </c>
      <c r="D3016" s="5" t="s">
        <v>62</v>
      </c>
      <c r="E3016" s="5" t="n">
        <v>7</v>
      </c>
      <c r="F3016" s="5" t="s">
        <v>544</v>
      </c>
      <c r="G3016" s="2" t="s">
        <v>12057</v>
      </c>
      <c r="H3016" s="5" t="s">
        <v>8336</v>
      </c>
      <c r="I3016" s="5"/>
      <c r="J3016" s="5"/>
      <c r="K3016" s="5" t="s">
        <v>15470</v>
      </c>
    </row>
    <row r="3017" customFormat="false" ht="23.85" hidden="false" customHeight="false" outlineLevel="0" collapsed="false">
      <c r="A3017" s="5" t="s">
        <v>15471</v>
      </c>
      <c r="B3017" s="2" t="s">
        <v>15472</v>
      </c>
      <c r="C3017" s="5" t="s">
        <v>2128</v>
      </c>
      <c r="D3017" s="5" t="s">
        <v>62</v>
      </c>
      <c r="E3017" s="5" t="n">
        <v>7</v>
      </c>
      <c r="F3017" s="5" t="s">
        <v>544</v>
      </c>
      <c r="G3017" s="2" t="s">
        <v>367</v>
      </c>
      <c r="H3017" s="5" t="s">
        <v>8336</v>
      </c>
      <c r="I3017" s="5"/>
      <c r="J3017" s="5"/>
      <c r="K3017" s="5" t="s">
        <v>15473</v>
      </c>
    </row>
    <row r="3018" customFormat="false" ht="46.25" hidden="false" customHeight="false" outlineLevel="0" collapsed="false">
      <c r="A3018" s="5" t="s">
        <v>15474</v>
      </c>
      <c r="B3018" s="2" t="s">
        <v>15475</v>
      </c>
      <c r="C3018" s="5" t="s">
        <v>2245</v>
      </c>
      <c r="D3018" s="5" t="s">
        <v>62</v>
      </c>
      <c r="E3018" s="5" t="n">
        <v>3</v>
      </c>
      <c r="F3018" s="5" t="s">
        <v>413</v>
      </c>
      <c r="G3018" s="2" t="s">
        <v>12057</v>
      </c>
      <c r="H3018" s="5" t="s">
        <v>8336</v>
      </c>
      <c r="I3018" s="5"/>
      <c r="J3018" s="5"/>
      <c r="K3018" s="5" t="s">
        <v>15476</v>
      </c>
    </row>
    <row r="3019" customFormat="false" ht="46.25" hidden="false" customHeight="false" outlineLevel="0" collapsed="false">
      <c r="A3019" s="5" t="s">
        <v>15477</v>
      </c>
      <c r="B3019" s="2" t="s">
        <v>15478</v>
      </c>
      <c r="C3019" s="5" t="s">
        <v>2245</v>
      </c>
      <c r="D3019" s="5" t="s">
        <v>62</v>
      </c>
      <c r="E3019" s="5" t="n">
        <v>5</v>
      </c>
      <c r="F3019" s="5" t="s">
        <v>90</v>
      </c>
      <c r="G3019" s="2" t="s">
        <v>12057</v>
      </c>
      <c r="H3019" s="5" t="s">
        <v>8336</v>
      </c>
      <c r="I3019" s="5"/>
      <c r="J3019" s="5"/>
      <c r="K3019" s="5" t="s">
        <v>15479</v>
      </c>
    </row>
    <row r="3020" customFormat="false" ht="46.25" hidden="false" customHeight="false" outlineLevel="0" collapsed="false">
      <c r="A3020" s="5" t="s">
        <v>15480</v>
      </c>
      <c r="B3020" s="2" t="s">
        <v>15481</v>
      </c>
      <c r="C3020" s="5" t="s">
        <v>2245</v>
      </c>
      <c r="D3020" s="5" t="s">
        <v>490</v>
      </c>
      <c r="E3020" s="5" t="n">
        <v>5</v>
      </c>
      <c r="F3020" s="5" t="s">
        <v>1814</v>
      </c>
      <c r="G3020" s="2" t="s">
        <v>12057</v>
      </c>
      <c r="H3020" s="5" t="s">
        <v>8336</v>
      </c>
      <c r="I3020" s="5"/>
      <c r="J3020" s="5"/>
      <c r="K3020" s="5" t="s">
        <v>15482</v>
      </c>
    </row>
    <row r="3021" customFormat="false" ht="46.25" hidden="false" customHeight="false" outlineLevel="0" collapsed="false">
      <c r="A3021" s="5" t="s">
        <v>15483</v>
      </c>
      <c r="B3021" s="2" t="s">
        <v>15484</v>
      </c>
      <c r="C3021" s="5" t="s">
        <v>2245</v>
      </c>
      <c r="D3021" s="5" t="s">
        <v>62</v>
      </c>
      <c r="E3021" s="5" t="n">
        <v>3</v>
      </c>
      <c r="F3021" s="5" t="s">
        <v>544</v>
      </c>
      <c r="G3021" s="2" t="s">
        <v>12057</v>
      </c>
      <c r="H3021" s="5" t="s">
        <v>8336</v>
      </c>
      <c r="I3021" s="5"/>
      <c r="J3021" s="5"/>
      <c r="K3021" s="5" t="s">
        <v>15485</v>
      </c>
    </row>
    <row r="3022" customFormat="false" ht="23.85" hidden="false" customHeight="false" outlineLevel="0" collapsed="false">
      <c r="A3022" s="5" t="s">
        <v>4154</v>
      </c>
      <c r="B3022" s="2" t="s">
        <v>4155</v>
      </c>
      <c r="C3022" s="5" t="s">
        <v>2128</v>
      </c>
      <c r="D3022" s="5" t="s">
        <v>62</v>
      </c>
      <c r="E3022" s="5" t="n">
        <v>5</v>
      </c>
      <c r="F3022" s="5" t="s">
        <v>413</v>
      </c>
      <c r="G3022" s="2" t="s">
        <v>184</v>
      </c>
      <c r="H3022" s="5" t="s">
        <v>8332</v>
      </c>
      <c r="I3022" s="5" t="s">
        <v>60</v>
      </c>
      <c r="J3022" s="5" t="s">
        <v>269</v>
      </c>
      <c r="K3022" s="5" t="s">
        <v>4158</v>
      </c>
    </row>
    <row r="3023" customFormat="false" ht="23.85" hidden="false" customHeight="false" outlineLevel="0" collapsed="false">
      <c r="A3023" s="5" t="s">
        <v>15486</v>
      </c>
      <c r="B3023" s="2" t="s">
        <v>15487</v>
      </c>
      <c r="C3023" s="5" t="s">
        <v>2128</v>
      </c>
      <c r="D3023" s="5" t="s">
        <v>62</v>
      </c>
      <c r="E3023" s="5" t="n">
        <v>5</v>
      </c>
      <c r="F3023" s="5" t="s">
        <v>413</v>
      </c>
      <c r="G3023" s="2" t="s">
        <v>415</v>
      </c>
      <c r="H3023" s="5" t="s">
        <v>8336</v>
      </c>
      <c r="I3023" s="5"/>
      <c r="J3023" s="5"/>
      <c r="K3023" s="5" t="s">
        <v>15488</v>
      </c>
    </row>
    <row r="3024" customFormat="false" ht="46.25" hidden="false" customHeight="false" outlineLevel="0" collapsed="false">
      <c r="A3024" s="5" t="s">
        <v>15489</v>
      </c>
      <c r="B3024" s="2" t="s">
        <v>15490</v>
      </c>
      <c r="C3024" s="5" t="s">
        <v>2245</v>
      </c>
      <c r="D3024" s="5" t="s">
        <v>490</v>
      </c>
      <c r="E3024" s="5" t="n">
        <v>7</v>
      </c>
      <c r="F3024" s="5" t="s">
        <v>90</v>
      </c>
      <c r="G3024" s="2" t="s">
        <v>12178</v>
      </c>
      <c r="H3024" s="5" t="s">
        <v>8336</v>
      </c>
      <c r="I3024" s="5"/>
      <c r="J3024" s="5"/>
      <c r="K3024" s="5" t="s">
        <v>15491</v>
      </c>
    </row>
    <row r="3025" customFormat="false" ht="23.85" hidden="false" customHeight="false" outlineLevel="0" collapsed="false">
      <c r="A3025" s="5" t="s">
        <v>15492</v>
      </c>
      <c r="B3025" s="2" t="s">
        <v>15493</v>
      </c>
      <c r="C3025" s="5" t="s">
        <v>2128</v>
      </c>
      <c r="D3025" s="5" t="s">
        <v>62</v>
      </c>
      <c r="E3025" s="5" t="n">
        <v>7</v>
      </c>
      <c r="F3025" s="5" t="s">
        <v>67</v>
      </c>
      <c r="G3025" s="2" t="s">
        <v>367</v>
      </c>
      <c r="H3025" s="5" t="s">
        <v>8336</v>
      </c>
      <c r="I3025" s="5"/>
      <c r="J3025" s="5"/>
      <c r="K3025" s="5" t="s">
        <v>15494</v>
      </c>
    </row>
    <row r="3026" customFormat="false" ht="15" hidden="false" customHeight="false" outlineLevel="0" collapsed="false">
      <c r="A3026" s="5" t="s">
        <v>15495</v>
      </c>
      <c r="B3026" s="2" t="s">
        <v>15496</v>
      </c>
      <c r="C3026" s="5" t="s">
        <v>2128</v>
      </c>
      <c r="D3026" s="5" t="s">
        <v>62</v>
      </c>
      <c r="E3026" s="5" t="n">
        <v>5</v>
      </c>
      <c r="F3026" s="5" t="s">
        <v>90</v>
      </c>
      <c r="G3026" s="2" t="s">
        <v>367</v>
      </c>
      <c r="H3026" s="5" t="s">
        <v>8336</v>
      </c>
      <c r="I3026" s="5"/>
      <c r="J3026" s="5"/>
      <c r="K3026" s="5" t="s">
        <v>15497</v>
      </c>
    </row>
    <row r="3027" customFormat="false" ht="46.25" hidden="false" customHeight="false" outlineLevel="0" collapsed="false">
      <c r="A3027" s="5" t="s">
        <v>4159</v>
      </c>
      <c r="B3027" s="2" t="s">
        <v>4160</v>
      </c>
      <c r="C3027" s="5" t="s">
        <v>2128</v>
      </c>
      <c r="D3027" s="5" t="s">
        <v>62</v>
      </c>
      <c r="E3027" s="5" t="n">
        <v>9</v>
      </c>
      <c r="F3027" s="5" t="s">
        <v>2079</v>
      </c>
      <c r="G3027" s="2" t="s">
        <v>15498</v>
      </c>
      <c r="H3027" s="5" t="s">
        <v>8332</v>
      </c>
      <c r="I3027" s="5" t="s">
        <v>60</v>
      </c>
      <c r="J3027" s="5" t="s">
        <v>4161</v>
      </c>
      <c r="K3027" s="5" t="s">
        <v>4169</v>
      </c>
    </row>
    <row r="3028" customFormat="false" ht="46.25" hidden="false" customHeight="false" outlineLevel="0" collapsed="false">
      <c r="A3028" s="5" t="s">
        <v>15499</v>
      </c>
      <c r="B3028" s="2" t="s">
        <v>15500</v>
      </c>
      <c r="C3028" s="5" t="s">
        <v>2245</v>
      </c>
      <c r="D3028" s="5" t="s">
        <v>62</v>
      </c>
      <c r="E3028" s="5" t="n">
        <v>5</v>
      </c>
      <c r="F3028" s="5" t="s">
        <v>413</v>
      </c>
      <c r="G3028" s="2" t="s">
        <v>12057</v>
      </c>
      <c r="H3028" s="5" t="s">
        <v>8336</v>
      </c>
      <c r="I3028" s="5"/>
      <c r="J3028" s="5"/>
      <c r="K3028" s="5" t="s">
        <v>15501</v>
      </c>
    </row>
    <row r="3029" customFormat="false" ht="23.85" hidden="false" customHeight="false" outlineLevel="0" collapsed="false">
      <c r="A3029" s="5" t="s">
        <v>4170</v>
      </c>
      <c r="B3029" s="2" t="s">
        <v>4171</v>
      </c>
      <c r="C3029" s="5" t="s">
        <v>2128</v>
      </c>
      <c r="D3029" s="5" t="s">
        <v>62</v>
      </c>
      <c r="E3029" s="5" t="n">
        <v>5</v>
      </c>
      <c r="F3029" s="5" t="s">
        <v>1814</v>
      </c>
      <c r="G3029" s="2" t="s">
        <v>367</v>
      </c>
      <c r="H3029" s="5" t="s">
        <v>8332</v>
      </c>
      <c r="I3029" s="5" t="s">
        <v>60</v>
      </c>
      <c r="J3029" s="5" t="s">
        <v>2754</v>
      </c>
      <c r="K3029" s="5" t="s">
        <v>4174</v>
      </c>
    </row>
    <row r="3030" customFormat="false" ht="23.85" hidden="false" customHeight="false" outlineLevel="0" collapsed="false">
      <c r="A3030" s="5" t="s">
        <v>1819</v>
      </c>
      <c r="B3030" s="2" t="s">
        <v>1820</v>
      </c>
      <c r="C3030" s="5" t="s">
        <v>488</v>
      </c>
      <c r="D3030" s="5" t="s">
        <v>62</v>
      </c>
      <c r="E3030" s="5" t="n">
        <v>7</v>
      </c>
      <c r="F3030" s="5" t="s">
        <v>413</v>
      </c>
      <c r="G3030" s="2" t="s">
        <v>367</v>
      </c>
      <c r="H3030" s="5" t="s">
        <v>8332</v>
      </c>
      <c r="I3030" s="5" t="s">
        <v>60</v>
      </c>
      <c r="J3030" s="5"/>
      <c r="K3030" s="5" t="s">
        <v>1824</v>
      </c>
    </row>
    <row r="3031" customFormat="false" ht="23.85" hidden="false" customHeight="false" outlineLevel="0" collapsed="false">
      <c r="A3031" s="5" t="s">
        <v>15502</v>
      </c>
      <c r="B3031" s="2" t="s">
        <v>15503</v>
      </c>
      <c r="C3031" s="5" t="s">
        <v>2128</v>
      </c>
      <c r="D3031" s="5" t="s">
        <v>62</v>
      </c>
      <c r="E3031" s="5" t="n">
        <v>5</v>
      </c>
      <c r="F3031" s="5" t="s">
        <v>413</v>
      </c>
      <c r="G3031" s="2" t="s">
        <v>367</v>
      </c>
      <c r="H3031" s="5" t="s">
        <v>8336</v>
      </c>
      <c r="I3031" s="5"/>
      <c r="J3031" s="5"/>
      <c r="K3031" s="5" t="s">
        <v>15504</v>
      </c>
    </row>
    <row r="3032" customFormat="false" ht="15" hidden="false" customHeight="false" outlineLevel="0" collapsed="false">
      <c r="A3032" s="5" t="s">
        <v>15505</v>
      </c>
      <c r="B3032" s="2" t="s">
        <v>15506</v>
      </c>
      <c r="C3032" s="5" t="s">
        <v>2128</v>
      </c>
      <c r="D3032" s="5" t="s">
        <v>62</v>
      </c>
      <c r="E3032" s="5" t="n">
        <v>7</v>
      </c>
      <c r="F3032" s="5" t="s">
        <v>413</v>
      </c>
      <c r="G3032" s="2" t="s">
        <v>367</v>
      </c>
      <c r="H3032" s="5" t="s">
        <v>8336</v>
      </c>
      <c r="I3032" s="5"/>
      <c r="J3032" s="5"/>
      <c r="K3032" s="5" t="s">
        <v>15507</v>
      </c>
    </row>
    <row r="3033" customFormat="false" ht="46.25" hidden="false" customHeight="false" outlineLevel="0" collapsed="false">
      <c r="A3033" s="5" t="s">
        <v>15508</v>
      </c>
      <c r="B3033" s="2" t="s">
        <v>15509</v>
      </c>
      <c r="C3033" s="5" t="s">
        <v>2245</v>
      </c>
      <c r="D3033" s="5" t="s">
        <v>490</v>
      </c>
      <c r="E3033" s="5" t="n">
        <v>3</v>
      </c>
      <c r="F3033" s="5" t="s">
        <v>413</v>
      </c>
      <c r="G3033" s="2" t="s">
        <v>12054</v>
      </c>
      <c r="H3033" s="5" t="s">
        <v>8336</v>
      </c>
      <c r="I3033" s="5"/>
      <c r="J3033" s="5"/>
      <c r="K3033" s="5" t="s">
        <v>15510</v>
      </c>
    </row>
    <row r="3034" customFormat="false" ht="46.25" hidden="false" customHeight="false" outlineLevel="0" collapsed="false">
      <c r="A3034" s="5" t="s">
        <v>15511</v>
      </c>
      <c r="B3034" s="2" t="s">
        <v>15512</v>
      </c>
      <c r="C3034" s="5" t="s">
        <v>2245</v>
      </c>
      <c r="D3034" s="5" t="s">
        <v>62</v>
      </c>
      <c r="E3034" s="5" t="n">
        <v>7</v>
      </c>
      <c r="F3034" s="5" t="s">
        <v>413</v>
      </c>
      <c r="G3034" s="2" t="s">
        <v>12054</v>
      </c>
      <c r="H3034" s="5" t="s">
        <v>8336</v>
      </c>
      <c r="I3034" s="5"/>
      <c r="J3034" s="5"/>
      <c r="K3034" s="5" t="s">
        <v>15513</v>
      </c>
    </row>
    <row r="3035" customFormat="false" ht="23.85" hidden="false" customHeight="false" outlineLevel="0" collapsed="false">
      <c r="A3035" s="5" t="s">
        <v>4175</v>
      </c>
      <c r="B3035" s="2" t="s">
        <v>4176</v>
      </c>
      <c r="C3035" s="5" t="s">
        <v>2128</v>
      </c>
      <c r="D3035" s="5" t="s">
        <v>62</v>
      </c>
      <c r="E3035" s="5" t="n">
        <v>7</v>
      </c>
      <c r="F3035" s="5" t="s">
        <v>413</v>
      </c>
      <c r="G3035" s="2" t="s">
        <v>184</v>
      </c>
      <c r="H3035" s="5" t="s">
        <v>8332</v>
      </c>
      <c r="I3035" s="5" t="s">
        <v>60</v>
      </c>
      <c r="J3035" s="5" t="s">
        <v>269</v>
      </c>
      <c r="K3035" s="5" t="s">
        <v>4180</v>
      </c>
    </row>
    <row r="3036" customFormat="false" ht="23.85" hidden="false" customHeight="false" outlineLevel="0" collapsed="false">
      <c r="A3036" s="5" t="s">
        <v>4181</v>
      </c>
      <c r="B3036" s="2" t="s">
        <v>4182</v>
      </c>
      <c r="C3036" s="5" t="s">
        <v>2128</v>
      </c>
      <c r="D3036" s="5" t="s">
        <v>62</v>
      </c>
      <c r="E3036" s="5" t="n">
        <v>5</v>
      </c>
      <c r="F3036" s="5" t="s">
        <v>2079</v>
      </c>
      <c r="G3036" s="2" t="s">
        <v>184</v>
      </c>
      <c r="H3036" s="5" t="s">
        <v>8332</v>
      </c>
      <c r="I3036" s="5" t="s">
        <v>60</v>
      </c>
      <c r="J3036" s="5" t="s">
        <v>2078</v>
      </c>
      <c r="K3036" s="5" t="s">
        <v>4186</v>
      </c>
    </row>
    <row r="3037" customFormat="false" ht="23.85" hidden="false" customHeight="false" outlineLevel="0" collapsed="false">
      <c r="A3037" s="5" t="s">
        <v>4187</v>
      </c>
      <c r="B3037" s="2" t="s">
        <v>4188</v>
      </c>
      <c r="C3037" s="5" t="s">
        <v>2128</v>
      </c>
      <c r="D3037" s="5" t="s">
        <v>62</v>
      </c>
      <c r="E3037" s="5" t="n">
        <v>5</v>
      </c>
      <c r="F3037" s="5" t="s">
        <v>413</v>
      </c>
      <c r="G3037" s="2" t="s">
        <v>184</v>
      </c>
      <c r="H3037" s="5" t="s">
        <v>8332</v>
      </c>
      <c r="I3037" s="5" t="s">
        <v>60</v>
      </c>
      <c r="J3037" s="5" t="s">
        <v>269</v>
      </c>
      <c r="K3037" s="5" t="s">
        <v>4191</v>
      </c>
    </row>
    <row r="3038" customFormat="false" ht="46.25" hidden="false" customHeight="false" outlineLevel="0" collapsed="false">
      <c r="A3038" s="5" t="s">
        <v>6378</v>
      </c>
      <c r="B3038" s="2" t="s">
        <v>6379</v>
      </c>
      <c r="C3038" s="5" t="s">
        <v>2245</v>
      </c>
      <c r="D3038" s="5" t="s">
        <v>62</v>
      </c>
      <c r="E3038" s="5" t="n">
        <v>7</v>
      </c>
      <c r="F3038" s="5" t="s">
        <v>100</v>
      </c>
      <c r="G3038" s="2" t="s">
        <v>12057</v>
      </c>
      <c r="H3038" s="5" t="s">
        <v>8332</v>
      </c>
      <c r="I3038" s="5" t="s">
        <v>4760</v>
      </c>
      <c r="J3038" s="5" t="s">
        <v>100</v>
      </c>
      <c r="K3038" s="5" t="s">
        <v>6383</v>
      </c>
    </row>
    <row r="3039" customFormat="false" ht="46.25" hidden="false" customHeight="false" outlineLevel="0" collapsed="false">
      <c r="A3039" s="5" t="s">
        <v>15514</v>
      </c>
      <c r="B3039" s="2" t="s">
        <v>15515</v>
      </c>
      <c r="C3039" s="5" t="s">
        <v>2245</v>
      </c>
      <c r="D3039" s="5" t="s">
        <v>62</v>
      </c>
      <c r="E3039" s="5" t="n">
        <v>5</v>
      </c>
      <c r="F3039" s="5" t="s">
        <v>90</v>
      </c>
      <c r="G3039" s="2" t="s">
        <v>12057</v>
      </c>
      <c r="H3039" s="5" t="s">
        <v>8336</v>
      </c>
      <c r="I3039" s="5"/>
      <c r="J3039" s="5"/>
      <c r="K3039" s="5" t="s">
        <v>15516</v>
      </c>
    </row>
    <row r="3040" customFormat="false" ht="46.25" hidden="false" customHeight="false" outlineLevel="0" collapsed="false">
      <c r="A3040" s="5" t="s">
        <v>15517</v>
      </c>
      <c r="B3040" s="2" t="s">
        <v>15518</v>
      </c>
      <c r="C3040" s="5" t="s">
        <v>2245</v>
      </c>
      <c r="D3040" s="5" t="s">
        <v>62</v>
      </c>
      <c r="E3040" s="5" t="n">
        <v>7</v>
      </c>
      <c r="F3040" s="5" t="s">
        <v>90</v>
      </c>
      <c r="G3040" s="2" t="s">
        <v>12057</v>
      </c>
      <c r="H3040" s="5" t="s">
        <v>8336</v>
      </c>
      <c r="I3040" s="5"/>
      <c r="J3040" s="5"/>
      <c r="K3040" s="5" t="s">
        <v>15519</v>
      </c>
    </row>
    <row r="3041" customFormat="false" ht="46.25" hidden="false" customHeight="false" outlineLevel="0" collapsed="false">
      <c r="A3041" s="5" t="s">
        <v>15520</v>
      </c>
      <c r="B3041" s="2" t="s">
        <v>15521</v>
      </c>
      <c r="C3041" s="5" t="s">
        <v>2245</v>
      </c>
      <c r="D3041" s="5" t="s">
        <v>62</v>
      </c>
      <c r="E3041" s="5" t="n">
        <v>7</v>
      </c>
      <c r="F3041" s="5" t="s">
        <v>90</v>
      </c>
      <c r="G3041" s="2" t="s">
        <v>12057</v>
      </c>
      <c r="H3041" s="5" t="s">
        <v>8336</v>
      </c>
      <c r="I3041" s="5"/>
      <c r="J3041" s="5"/>
      <c r="K3041" s="5" t="s">
        <v>15522</v>
      </c>
    </row>
    <row r="3042" customFormat="false" ht="46.25" hidden="false" customHeight="false" outlineLevel="0" collapsed="false">
      <c r="A3042" s="5" t="s">
        <v>15523</v>
      </c>
      <c r="B3042" s="2" t="s">
        <v>15524</v>
      </c>
      <c r="C3042" s="5" t="s">
        <v>2245</v>
      </c>
      <c r="D3042" s="5" t="s">
        <v>62</v>
      </c>
      <c r="E3042" s="5" t="n">
        <v>5</v>
      </c>
      <c r="F3042" s="5" t="s">
        <v>67</v>
      </c>
      <c r="G3042" s="2" t="s">
        <v>12057</v>
      </c>
      <c r="H3042" s="5" t="s">
        <v>8336</v>
      </c>
      <c r="I3042" s="5"/>
      <c r="J3042" s="5"/>
      <c r="K3042" s="5" t="s">
        <v>15525</v>
      </c>
    </row>
    <row r="3043" customFormat="false" ht="23.85" hidden="false" customHeight="false" outlineLevel="0" collapsed="false">
      <c r="A3043" s="5" t="s">
        <v>15526</v>
      </c>
      <c r="B3043" s="2" t="s">
        <v>15527</v>
      </c>
      <c r="C3043" s="5" t="s">
        <v>2128</v>
      </c>
      <c r="D3043" s="5" t="s">
        <v>62</v>
      </c>
      <c r="E3043" s="5" t="n">
        <v>5</v>
      </c>
      <c r="F3043" s="5" t="s">
        <v>90</v>
      </c>
      <c r="G3043" s="2" t="s">
        <v>415</v>
      </c>
      <c r="H3043" s="5" t="s">
        <v>8336</v>
      </c>
      <c r="I3043" s="5"/>
      <c r="J3043" s="5"/>
      <c r="K3043" s="5" t="s">
        <v>15528</v>
      </c>
    </row>
    <row r="3044" customFormat="false" ht="46.25" hidden="false" customHeight="false" outlineLevel="0" collapsed="false">
      <c r="A3044" s="5" t="s">
        <v>15529</v>
      </c>
      <c r="B3044" s="2" t="s">
        <v>15530</v>
      </c>
      <c r="C3044" s="5" t="s">
        <v>2245</v>
      </c>
      <c r="D3044" s="5" t="s">
        <v>62</v>
      </c>
      <c r="E3044" s="5" t="n">
        <v>7</v>
      </c>
      <c r="F3044" s="5" t="s">
        <v>67</v>
      </c>
      <c r="G3044" s="2" t="s">
        <v>12057</v>
      </c>
      <c r="H3044" s="5" t="s">
        <v>8336</v>
      </c>
      <c r="I3044" s="5"/>
      <c r="J3044" s="5"/>
      <c r="K3044" s="5" t="s">
        <v>15531</v>
      </c>
    </row>
    <row r="3045" customFormat="false" ht="23.85" hidden="false" customHeight="false" outlineLevel="0" collapsed="false">
      <c r="A3045" s="5" t="s">
        <v>15532</v>
      </c>
      <c r="B3045" s="2" t="s">
        <v>15533</v>
      </c>
      <c r="C3045" s="5" t="s">
        <v>2128</v>
      </c>
      <c r="D3045" s="5" t="s">
        <v>62</v>
      </c>
      <c r="E3045" s="5" t="n">
        <v>7</v>
      </c>
      <c r="F3045" s="5" t="s">
        <v>90</v>
      </c>
      <c r="G3045" s="2" t="s">
        <v>367</v>
      </c>
      <c r="H3045" s="5" t="s">
        <v>8336</v>
      </c>
      <c r="I3045" s="5"/>
      <c r="J3045" s="5"/>
      <c r="K3045" s="5" t="s">
        <v>15534</v>
      </c>
    </row>
    <row r="3046" customFormat="false" ht="23.85" hidden="false" customHeight="false" outlineLevel="0" collapsed="false">
      <c r="A3046" s="5" t="s">
        <v>15535</v>
      </c>
      <c r="B3046" s="2" t="s">
        <v>15536</v>
      </c>
      <c r="C3046" s="5" t="s">
        <v>2128</v>
      </c>
      <c r="D3046" s="5" t="s">
        <v>62</v>
      </c>
      <c r="E3046" s="5" t="n">
        <v>7</v>
      </c>
      <c r="F3046" s="5" t="s">
        <v>67</v>
      </c>
      <c r="G3046" s="2" t="s">
        <v>367</v>
      </c>
      <c r="H3046" s="5" t="s">
        <v>8336</v>
      </c>
      <c r="I3046" s="5"/>
      <c r="J3046" s="5"/>
      <c r="K3046" s="5" t="s">
        <v>15537</v>
      </c>
    </row>
    <row r="3047" customFormat="false" ht="46.25" hidden="false" customHeight="false" outlineLevel="0" collapsed="false">
      <c r="A3047" s="5" t="s">
        <v>15538</v>
      </c>
      <c r="B3047" s="2" t="s">
        <v>15539</v>
      </c>
      <c r="C3047" s="5" t="s">
        <v>2245</v>
      </c>
      <c r="D3047" s="5" t="s">
        <v>62</v>
      </c>
      <c r="E3047" s="5" t="n">
        <v>7</v>
      </c>
      <c r="F3047" s="5" t="s">
        <v>90</v>
      </c>
      <c r="G3047" s="2" t="s">
        <v>12057</v>
      </c>
      <c r="H3047" s="5" t="s">
        <v>8336</v>
      </c>
      <c r="I3047" s="5"/>
      <c r="J3047" s="5"/>
      <c r="K3047" s="5" t="s">
        <v>15540</v>
      </c>
    </row>
    <row r="3048" customFormat="false" ht="46.25" hidden="false" customHeight="false" outlineLevel="0" collapsed="false">
      <c r="A3048" s="5" t="s">
        <v>15541</v>
      </c>
      <c r="B3048" s="2" t="s">
        <v>15542</v>
      </c>
      <c r="C3048" s="5" t="s">
        <v>2245</v>
      </c>
      <c r="D3048" s="5" t="s">
        <v>62</v>
      </c>
      <c r="E3048" s="5" t="n">
        <v>5</v>
      </c>
      <c r="F3048" s="5" t="s">
        <v>90</v>
      </c>
      <c r="G3048" s="2" t="s">
        <v>12057</v>
      </c>
      <c r="H3048" s="5" t="s">
        <v>8336</v>
      </c>
      <c r="I3048" s="5"/>
      <c r="J3048" s="5"/>
      <c r="K3048" s="5" t="s">
        <v>15543</v>
      </c>
    </row>
    <row r="3049" customFormat="false" ht="46.25" hidden="false" customHeight="false" outlineLevel="0" collapsed="false">
      <c r="A3049" s="5" t="s">
        <v>15544</v>
      </c>
      <c r="B3049" s="2" t="s">
        <v>15545</v>
      </c>
      <c r="C3049" s="5" t="s">
        <v>2245</v>
      </c>
      <c r="D3049" s="5" t="s">
        <v>62</v>
      </c>
      <c r="E3049" s="5" t="n">
        <v>5</v>
      </c>
      <c r="F3049" s="5" t="s">
        <v>67</v>
      </c>
      <c r="G3049" s="2" t="s">
        <v>12057</v>
      </c>
      <c r="H3049" s="5" t="s">
        <v>8336</v>
      </c>
      <c r="I3049" s="5"/>
      <c r="J3049" s="5"/>
      <c r="K3049" s="5" t="s">
        <v>15546</v>
      </c>
    </row>
    <row r="3050" customFormat="false" ht="46.25" hidden="false" customHeight="false" outlineLevel="0" collapsed="false">
      <c r="A3050" s="5" t="s">
        <v>15547</v>
      </c>
      <c r="B3050" s="2" t="s">
        <v>15548</v>
      </c>
      <c r="C3050" s="5" t="s">
        <v>2245</v>
      </c>
      <c r="D3050" s="5" t="s">
        <v>62</v>
      </c>
      <c r="E3050" s="5" t="n">
        <v>5</v>
      </c>
      <c r="F3050" s="5" t="s">
        <v>90</v>
      </c>
      <c r="G3050" s="2" t="s">
        <v>12057</v>
      </c>
      <c r="H3050" s="5" t="s">
        <v>8336</v>
      </c>
      <c r="I3050" s="5"/>
      <c r="J3050" s="5"/>
      <c r="K3050" s="5" t="s">
        <v>15549</v>
      </c>
    </row>
    <row r="3051" customFormat="false" ht="46.25" hidden="false" customHeight="false" outlineLevel="0" collapsed="false">
      <c r="A3051" s="5" t="s">
        <v>4192</v>
      </c>
      <c r="B3051" s="2" t="s">
        <v>4193</v>
      </c>
      <c r="C3051" s="5" t="s">
        <v>2245</v>
      </c>
      <c r="D3051" s="5" t="s">
        <v>62</v>
      </c>
      <c r="E3051" s="5" t="n">
        <v>5</v>
      </c>
      <c r="F3051" s="5" t="s">
        <v>536</v>
      </c>
      <c r="G3051" s="2" t="s">
        <v>12054</v>
      </c>
      <c r="H3051" s="5" t="s">
        <v>8332</v>
      </c>
      <c r="I3051" s="5" t="s">
        <v>60</v>
      </c>
      <c r="J3051" s="5" t="s">
        <v>1174</v>
      </c>
      <c r="K3051" s="5" t="s">
        <v>4196</v>
      </c>
    </row>
    <row r="3052" customFormat="false" ht="46.25" hidden="false" customHeight="false" outlineLevel="0" collapsed="false">
      <c r="A3052" s="5" t="s">
        <v>15550</v>
      </c>
      <c r="B3052" s="2" t="s">
        <v>15551</v>
      </c>
      <c r="C3052" s="5" t="s">
        <v>2245</v>
      </c>
      <c r="D3052" s="5" t="s">
        <v>490</v>
      </c>
      <c r="E3052" s="5" t="n">
        <v>7</v>
      </c>
      <c r="F3052" s="5" t="s">
        <v>90</v>
      </c>
      <c r="G3052" s="2" t="s">
        <v>12310</v>
      </c>
      <c r="H3052" s="5" t="s">
        <v>8336</v>
      </c>
      <c r="I3052" s="5"/>
      <c r="J3052" s="5"/>
      <c r="K3052" s="5" t="s">
        <v>15552</v>
      </c>
    </row>
    <row r="3053" customFormat="false" ht="15" hidden="false" customHeight="false" outlineLevel="0" collapsed="false">
      <c r="A3053" s="5" t="s">
        <v>1825</v>
      </c>
      <c r="B3053" s="2" t="s">
        <v>1826</v>
      </c>
      <c r="C3053" s="5" t="s">
        <v>488</v>
      </c>
      <c r="D3053" s="5" t="s">
        <v>62</v>
      </c>
      <c r="E3053" s="5" t="n">
        <v>7</v>
      </c>
      <c r="F3053" s="5" t="s">
        <v>277</v>
      </c>
      <c r="G3053" s="2" t="s">
        <v>367</v>
      </c>
      <c r="H3053" s="5" t="s">
        <v>8332</v>
      </c>
      <c r="I3053" s="5" t="s">
        <v>60</v>
      </c>
      <c r="J3053" s="5" t="s">
        <v>751</v>
      </c>
      <c r="K3053" s="5" t="s">
        <v>1830</v>
      </c>
    </row>
    <row r="3054" customFormat="false" ht="15" hidden="false" customHeight="false" outlineLevel="0" collapsed="false">
      <c r="A3054" s="5" t="s">
        <v>15553</v>
      </c>
      <c r="B3054" s="2" t="s">
        <v>15554</v>
      </c>
      <c r="C3054" s="5" t="s">
        <v>2128</v>
      </c>
      <c r="D3054" s="5" t="s">
        <v>62</v>
      </c>
      <c r="E3054" s="5" t="n">
        <v>5</v>
      </c>
      <c r="F3054" s="5" t="s">
        <v>90</v>
      </c>
      <c r="G3054" s="2" t="s">
        <v>367</v>
      </c>
      <c r="H3054" s="5" t="s">
        <v>8336</v>
      </c>
      <c r="I3054" s="5"/>
      <c r="J3054" s="5"/>
      <c r="K3054" s="5" t="s">
        <v>15555</v>
      </c>
    </row>
    <row r="3055" customFormat="false" ht="46.25" hidden="false" customHeight="false" outlineLevel="0" collapsed="false">
      <c r="A3055" s="5" t="s">
        <v>15556</v>
      </c>
      <c r="B3055" s="2" t="s">
        <v>15557</v>
      </c>
      <c r="C3055" s="5" t="s">
        <v>2245</v>
      </c>
      <c r="D3055" s="5" t="s">
        <v>62</v>
      </c>
      <c r="E3055" s="5" t="n">
        <v>7</v>
      </c>
      <c r="F3055" s="5" t="s">
        <v>90</v>
      </c>
      <c r="G3055" s="2" t="s">
        <v>12057</v>
      </c>
      <c r="H3055" s="5" t="s">
        <v>8336</v>
      </c>
      <c r="I3055" s="5"/>
      <c r="J3055" s="5"/>
      <c r="K3055" s="5" t="s">
        <v>15558</v>
      </c>
    </row>
    <row r="3056" customFormat="false" ht="46.25" hidden="false" customHeight="false" outlineLevel="0" collapsed="false">
      <c r="A3056" s="5" t="s">
        <v>15559</v>
      </c>
      <c r="B3056" s="2" t="s">
        <v>15560</v>
      </c>
      <c r="C3056" s="5" t="s">
        <v>2245</v>
      </c>
      <c r="D3056" s="5" t="s">
        <v>62</v>
      </c>
      <c r="E3056" s="5" t="n">
        <v>5</v>
      </c>
      <c r="F3056" s="5" t="s">
        <v>90</v>
      </c>
      <c r="G3056" s="2" t="s">
        <v>12057</v>
      </c>
      <c r="H3056" s="5" t="s">
        <v>8336</v>
      </c>
      <c r="I3056" s="5"/>
      <c r="J3056" s="5"/>
      <c r="K3056" s="5" t="s">
        <v>15561</v>
      </c>
    </row>
    <row r="3057" customFormat="false" ht="15" hidden="false" customHeight="false" outlineLevel="0" collapsed="false">
      <c r="A3057" s="5" t="s">
        <v>1831</v>
      </c>
      <c r="B3057" s="2" t="s">
        <v>1832</v>
      </c>
      <c r="C3057" s="5" t="s">
        <v>488</v>
      </c>
      <c r="D3057" s="5" t="s">
        <v>62</v>
      </c>
      <c r="E3057" s="5" t="n">
        <v>7</v>
      </c>
      <c r="F3057" s="5" t="s">
        <v>100</v>
      </c>
      <c r="G3057" s="2" t="s">
        <v>367</v>
      </c>
      <c r="H3057" s="5" t="s">
        <v>8332</v>
      </c>
      <c r="I3057" s="5" t="s">
        <v>60</v>
      </c>
      <c r="J3057" s="5" t="s">
        <v>100</v>
      </c>
      <c r="K3057" s="5" t="s">
        <v>1836</v>
      </c>
    </row>
    <row r="3058" customFormat="false" ht="15" hidden="false" customHeight="false" outlineLevel="0" collapsed="false">
      <c r="A3058" s="5" t="s">
        <v>1837</v>
      </c>
      <c r="B3058" s="2" t="s">
        <v>1838</v>
      </c>
      <c r="C3058" s="5" t="s">
        <v>488</v>
      </c>
      <c r="D3058" s="5" t="s">
        <v>62</v>
      </c>
      <c r="E3058" s="5" t="n">
        <v>7</v>
      </c>
      <c r="F3058" s="5" t="s">
        <v>100</v>
      </c>
      <c r="G3058" s="2" t="s">
        <v>367</v>
      </c>
      <c r="H3058" s="5" t="s">
        <v>8332</v>
      </c>
      <c r="I3058" s="5" t="s">
        <v>60</v>
      </c>
      <c r="J3058" s="5" t="s">
        <v>100</v>
      </c>
      <c r="K3058" s="5" t="s">
        <v>1841</v>
      </c>
    </row>
    <row r="3059" customFormat="false" ht="46.25" hidden="false" customHeight="false" outlineLevel="0" collapsed="false">
      <c r="A3059" s="5" t="s">
        <v>15562</v>
      </c>
      <c r="B3059" s="2" t="s">
        <v>15563</v>
      </c>
      <c r="C3059" s="5" t="s">
        <v>2245</v>
      </c>
      <c r="D3059" s="5" t="s">
        <v>62</v>
      </c>
      <c r="E3059" s="5" t="n">
        <v>5</v>
      </c>
      <c r="F3059" s="5" t="s">
        <v>67</v>
      </c>
      <c r="G3059" s="2" t="s">
        <v>12057</v>
      </c>
      <c r="H3059" s="5" t="s">
        <v>8336</v>
      </c>
      <c r="I3059" s="5"/>
      <c r="J3059" s="5"/>
      <c r="K3059" s="5" t="s">
        <v>15564</v>
      </c>
    </row>
    <row r="3060" customFormat="false" ht="15" hidden="false" customHeight="false" outlineLevel="0" collapsed="false">
      <c r="A3060" s="5" t="s">
        <v>15565</v>
      </c>
      <c r="B3060" s="2" t="s">
        <v>15566</v>
      </c>
      <c r="C3060" s="5" t="s">
        <v>2128</v>
      </c>
      <c r="D3060" s="5" t="s">
        <v>62</v>
      </c>
      <c r="E3060" s="5" t="n">
        <v>5</v>
      </c>
      <c r="F3060" s="5" t="s">
        <v>67</v>
      </c>
      <c r="G3060" s="2" t="s">
        <v>367</v>
      </c>
      <c r="H3060" s="5" t="s">
        <v>8336</v>
      </c>
      <c r="I3060" s="5"/>
      <c r="J3060" s="5"/>
      <c r="K3060" s="5" t="s">
        <v>15567</v>
      </c>
    </row>
    <row r="3061" customFormat="false" ht="46.25" hidden="false" customHeight="false" outlineLevel="0" collapsed="false">
      <c r="A3061" s="5" t="s">
        <v>15568</v>
      </c>
      <c r="B3061" s="2" t="s">
        <v>15569</v>
      </c>
      <c r="C3061" s="5" t="s">
        <v>2245</v>
      </c>
      <c r="D3061" s="5" t="s">
        <v>62</v>
      </c>
      <c r="E3061" s="5" t="n">
        <v>7</v>
      </c>
      <c r="F3061" s="5" t="s">
        <v>536</v>
      </c>
      <c r="G3061" s="2" t="s">
        <v>12057</v>
      </c>
      <c r="H3061" s="5" t="s">
        <v>8336</v>
      </c>
      <c r="I3061" s="5"/>
      <c r="J3061" s="5"/>
      <c r="K3061" s="5" t="s">
        <v>15570</v>
      </c>
    </row>
    <row r="3062" customFormat="false" ht="15" hidden="false" customHeight="false" outlineLevel="0" collapsed="false">
      <c r="A3062" s="5" t="s">
        <v>15571</v>
      </c>
      <c r="B3062" s="2" t="s">
        <v>15572</v>
      </c>
      <c r="C3062" s="5" t="s">
        <v>2128</v>
      </c>
      <c r="D3062" s="5" t="s">
        <v>62</v>
      </c>
      <c r="E3062" s="5" t="n">
        <v>7</v>
      </c>
      <c r="F3062" s="5" t="s">
        <v>67</v>
      </c>
      <c r="G3062" s="2" t="s">
        <v>367</v>
      </c>
      <c r="H3062" s="5" t="s">
        <v>8336</v>
      </c>
      <c r="I3062" s="5"/>
      <c r="J3062" s="5"/>
      <c r="K3062" s="5" t="s">
        <v>15573</v>
      </c>
    </row>
    <row r="3063" customFormat="false" ht="15" hidden="false" customHeight="false" outlineLevel="0" collapsed="false">
      <c r="A3063" s="5" t="s">
        <v>15574</v>
      </c>
      <c r="B3063" s="2" t="s">
        <v>15575</v>
      </c>
      <c r="C3063" s="5" t="s">
        <v>2128</v>
      </c>
      <c r="D3063" s="5" t="s">
        <v>62</v>
      </c>
      <c r="E3063" s="5" t="n">
        <v>7</v>
      </c>
      <c r="F3063" s="5" t="s">
        <v>67</v>
      </c>
      <c r="G3063" s="2" t="s">
        <v>367</v>
      </c>
      <c r="H3063" s="5" t="s">
        <v>8336</v>
      </c>
      <c r="I3063" s="5"/>
      <c r="J3063" s="5"/>
      <c r="K3063" s="5" t="s">
        <v>15576</v>
      </c>
    </row>
    <row r="3064" customFormat="false" ht="15" hidden="false" customHeight="false" outlineLevel="0" collapsed="false">
      <c r="A3064" s="5" t="s">
        <v>15577</v>
      </c>
      <c r="B3064" s="2" t="s">
        <v>15578</v>
      </c>
      <c r="C3064" s="5" t="s">
        <v>2128</v>
      </c>
      <c r="D3064" s="5" t="s">
        <v>62</v>
      </c>
      <c r="E3064" s="5" t="n">
        <v>7</v>
      </c>
      <c r="F3064" s="5" t="s">
        <v>90</v>
      </c>
      <c r="G3064" s="2" t="s">
        <v>367</v>
      </c>
      <c r="H3064" s="5" t="s">
        <v>8336</v>
      </c>
      <c r="I3064" s="5"/>
      <c r="J3064" s="5"/>
      <c r="K3064" s="5" t="s">
        <v>15579</v>
      </c>
    </row>
    <row r="3065" customFormat="false" ht="46.25" hidden="false" customHeight="false" outlineLevel="0" collapsed="false">
      <c r="A3065" s="5" t="s">
        <v>15580</v>
      </c>
      <c r="B3065" s="2" t="s">
        <v>15581</v>
      </c>
      <c r="C3065" s="5" t="s">
        <v>2245</v>
      </c>
      <c r="D3065" s="5" t="s">
        <v>62</v>
      </c>
      <c r="E3065" s="5" t="n">
        <v>5</v>
      </c>
      <c r="F3065" s="5" t="s">
        <v>90</v>
      </c>
      <c r="G3065" s="2" t="s">
        <v>12057</v>
      </c>
      <c r="H3065" s="5" t="s">
        <v>8336</v>
      </c>
      <c r="I3065" s="5"/>
      <c r="J3065" s="5"/>
      <c r="K3065" s="5" t="s">
        <v>15582</v>
      </c>
    </row>
    <row r="3066" customFormat="false" ht="15" hidden="false" customHeight="false" outlineLevel="0" collapsed="false">
      <c r="A3066" s="5" t="s">
        <v>15583</v>
      </c>
      <c r="B3066" s="2" t="s">
        <v>15584</v>
      </c>
      <c r="C3066" s="5" t="s">
        <v>2128</v>
      </c>
      <c r="D3066" s="5" t="s">
        <v>62</v>
      </c>
      <c r="E3066" s="5" t="n">
        <v>7</v>
      </c>
      <c r="F3066" s="5" t="s">
        <v>67</v>
      </c>
      <c r="G3066" s="2" t="s">
        <v>367</v>
      </c>
      <c r="H3066" s="5" t="s">
        <v>8336</v>
      </c>
      <c r="I3066" s="5"/>
      <c r="J3066" s="5"/>
      <c r="K3066" s="5" t="s">
        <v>15585</v>
      </c>
    </row>
    <row r="3067" customFormat="false" ht="15" hidden="false" customHeight="false" outlineLevel="0" collapsed="false">
      <c r="A3067" s="5" t="s">
        <v>15586</v>
      </c>
      <c r="B3067" s="2" t="s">
        <v>15587</v>
      </c>
      <c r="C3067" s="5" t="s">
        <v>2128</v>
      </c>
      <c r="D3067" s="5" t="s">
        <v>62</v>
      </c>
      <c r="E3067" s="5" t="n">
        <v>7</v>
      </c>
      <c r="F3067" s="5" t="s">
        <v>90</v>
      </c>
      <c r="G3067" s="2" t="s">
        <v>367</v>
      </c>
      <c r="H3067" s="5" t="s">
        <v>8336</v>
      </c>
      <c r="I3067" s="5"/>
      <c r="J3067" s="5"/>
      <c r="K3067" s="5" t="s">
        <v>15588</v>
      </c>
    </row>
    <row r="3068" customFormat="false" ht="46.25" hidden="false" customHeight="false" outlineLevel="0" collapsed="false">
      <c r="A3068" s="5" t="s">
        <v>15589</v>
      </c>
      <c r="B3068" s="2" t="s">
        <v>15590</v>
      </c>
      <c r="C3068" s="5" t="s">
        <v>2245</v>
      </c>
      <c r="D3068" s="5" t="s">
        <v>62</v>
      </c>
      <c r="E3068" s="5" t="n">
        <v>7</v>
      </c>
      <c r="F3068" s="5" t="s">
        <v>67</v>
      </c>
      <c r="G3068" s="2" t="s">
        <v>12057</v>
      </c>
      <c r="H3068" s="5" t="s">
        <v>8336</v>
      </c>
      <c r="I3068" s="5"/>
      <c r="J3068" s="5"/>
      <c r="K3068" s="5" t="s">
        <v>15591</v>
      </c>
    </row>
    <row r="3069" customFormat="false" ht="15" hidden="false" customHeight="false" outlineLevel="0" collapsed="false">
      <c r="A3069" s="5" t="s">
        <v>15592</v>
      </c>
      <c r="B3069" s="2" t="s">
        <v>15593</v>
      </c>
      <c r="C3069" s="5" t="s">
        <v>2128</v>
      </c>
      <c r="D3069" s="5" t="s">
        <v>62</v>
      </c>
      <c r="E3069" s="5" t="n">
        <v>7</v>
      </c>
      <c r="F3069" s="5" t="s">
        <v>90</v>
      </c>
      <c r="G3069" s="2" t="s">
        <v>367</v>
      </c>
      <c r="H3069" s="5" t="s">
        <v>8336</v>
      </c>
      <c r="I3069" s="5"/>
      <c r="J3069" s="5"/>
      <c r="K3069" s="5" t="s">
        <v>15594</v>
      </c>
    </row>
    <row r="3070" customFormat="false" ht="15" hidden="false" customHeight="false" outlineLevel="0" collapsed="false">
      <c r="A3070" s="5" t="s">
        <v>15595</v>
      </c>
      <c r="B3070" s="2" t="s">
        <v>15596</v>
      </c>
      <c r="C3070" s="5" t="s">
        <v>2128</v>
      </c>
      <c r="D3070" s="5" t="s">
        <v>62</v>
      </c>
      <c r="E3070" s="5" t="n">
        <v>7</v>
      </c>
      <c r="F3070" s="5" t="s">
        <v>67</v>
      </c>
      <c r="G3070" s="2" t="s">
        <v>367</v>
      </c>
      <c r="H3070" s="5" t="s">
        <v>8336</v>
      </c>
      <c r="I3070" s="5"/>
      <c r="J3070" s="5"/>
      <c r="K3070" s="5" t="s">
        <v>15597</v>
      </c>
    </row>
    <row r="3071" customFormat="false" ht="46.25" hidden="false" customHeight="false" outlineLevel="0" collapsed="false">
      <c r="A3071" s="5" t="s">
        <v>15598</v>
      </c>
      <c r="B3071" s="2" t="s">
        <v>15599</v>
      </c>
      <c r="C3071" s="5" t="s">
        <v>2245</v>
      </c>
      <c r="D3071" s="5" t="s">
        <v>62</v>
      </c>
      <c r="E3071" s="5" t="n">
        <v>7</v>
      </c>
      <c r="F3071" s="5" t="s">
        <v>67</v>
      </c>
      <c r="G3071" s="2" t="s">
        <v>12057</v>
      </c>
      <c r="H3071" s="5" t="s">
        <v>8336</v>
      </c>
      <c r="I3071" s="5"/>
      <c r="J3071" s="5"/>
      <c r="K3071" s="5" t="s">
        <v>15600</v>
      </c>
    </row>
    <row r="3072" customFormat="false" ht="15" hidden="false" customHeight="false" outlineLevel="0" collapsed="false">
      <c r="A3072" s="5" t="s">
        <v>15601</v>
      </c>
      <c r="B3072" s="2" t="s">
        <v>15602</v>
      </c>
      <c r="C3072" s="5" t="s">
        <v>2128</v>
      </c>
      <c r="D3072" s="5" t="s">
        <v>62</v>
      </c>
      <c r="E3072" s="5" t="n">
        <v>7</v>
      </c>
      <c r="F3072" s="5" t="s">
        <v>90</v>
      </c>
      <c r="G3072" s="2" t="s">
        <v>367</v>
      </c>
      <c r="H3072" s="5" t="s">
        <v>8336</v>
      </c>
      <c r="I3072" s="5"/>
      <c r="J3072" s="5"/>
      <c r="K3072" s="5" t="s">
        <v>15603</v>
      </c>
    </row>
    <row r="3073" customFormat="false" ht="46.25" hidden="false" customHeight="false" outlineLevel="0" collapsed="false">
      <c r="A3073" s="5" t="s">
        <v>15604</v>
      </c>
      <c r="B3073" s="2" t="s">
        <v>15605</v>
      </c>
      <c r="C3073" s="5" t="s">
        <v>2245</v>
      </c>
      <c r="D3073" s="5" t="s">
        <v>490</v>
      </c>
      <c r="E3073" s="5" t="n">
        <v>3</v>
      </c>
      <c r="F3073" s="5" t="s">
        <v>413</v>
      </c>
      <c r="G3073" s="2" t="s">
        <v>12054</v>
      </c>
      <c r="H3073" s="5" t="s">
        <v>8336</v>
      </c>
      <c r="I3073" s="5"/>
      <c r="J3073" s="5"/>
      <c r="K3073" s="5" t="s">
        <v>15606</v>
      </c>
    </row>
    <row r="3074" customFormat="false" ht="15" hidden="false" customHeight="false" outlineLevel="0" collapsed="false">
      <c r="A3074" s="5" t="s">
        <v>1842</v>
      </c>
      <c r="B3074" s="2" t="s">
        <v>1843</v>
      </c>
      <c r="C3074" s="5" t="s">
        <v>488</v>
      </c>
      <c r="D3074" s="5" t="s">
        <v>62</v>
      </c>
      <c r="E3074" s="5" t="n">
        <v>7</v>
      </c>
      <c r="F3074" s="5" t="s">
        <v>67</v>
      </c>
      <c r="G3074" s="2" t="s">
        <v>367</v>
      </c>
      <c r="H3074" s="5" t="s">
        <v>8332</v>
      </c>
      <c r="I3074" s="5" t="s">
        <v>60</v>
      </c>
      <c r="J3074" s="5"/>
      <c r="K3074" s="5" t="s">
        <v>1847</v>
      </c>
    </row>
    <row r="3075" customFormat="false" ht="15" hidden="false" customHeight="false" outlineLevel="0" collapsed="false">
      <c r="A3075" s="5" t="s">
        <v>15607</v>
      </c>
      <c r="B3075" s="2" t="s">
        <v>15608</v>
      </c>
      <c r="C3075" s="5" t="s">
        <v>2128</v>
      </c>
      <c r="D3075" s="5" t="s">
        <v>62</v>
      </c>
      <c r="E3075" s="5" t="n">
        <v>7</v>
      </c>
      <c r="F3075" s="5" t="s">
        <v>90</v>
      </c>
      <c r="G3075" s="2" t="s">
        <v>367</v>
      </c>
      <c r="H3075" s="5" t="s">
        <v>8336</v>
      </c>
      <c r="I3075" s="5"/>
      <c r="J3075" s="5"/>
      <c r="K3075" s="5" t="s">
        <v>15609</v>
      </c>
    </row>
    <row r="3076" customFormat="false" ht="23.85" hidden="false" customHeight="false" outlineLevel="0" collapsed="false">
      <c r="A3076" s="5" t="s">
        <v>15610</v>
      </c>
      <c r="B3076" s="2" t="s">
        <v>15611</v>
      </c>
      <c r="C3076" s="5" t="s">
        <v>2128</v>
      </c>
      <c r="D3076" s="5" t="s">
        <v>62</v>
      </c>
      <c r="E3076" s="5" t="n">
        <v>5</v>
      </c>
      <c r="F3076" s="5" t="s">
        <v>90</v>
      </c>
      <c r="G3076" s="2" t="s">
        <v>367</v>
      </c>
      <c r="H3076" s="5" t="s">
        <v>8336</v>
      </c>
      <c r="I3076" s="5"/>
      <c r="J3076" s="5"/>
      <c r="K3076" s="5" t="s">
        <v>15612</v>
      </c>
    </row>
    <row r="3077" customFormat="false" ht="46.25" hidden="false" customHeight="false" outlineLevel="0" collapsed="false">
      <c r="A3077" s="5" t="s">
        <v>15613</v>
      </c>
      <c r="B3077" s="2" t="s">
        <v>15614</v>
      </c>
      <c r="C3077" s="5" t="s">
        <v>2245</v>
      </c>
      <c r="D3077" s="5" t="s">
        <v>490</v>
      </c>
      <c r="E3077" s="5" t="n">
        <v>7</v>
      </c>
      <c r="F3077" s="5" t="s">
        <v>413</v>
      </c>
      <c r="G3077" s="2" t="s">
        <v>12057</v>
      </c>
      <c r="H3077" s="5" t="s">
        <v>8336</v>
      </c>
      <c r="I3077" s="5"/>
      <c r="J3077" s="5"/>
      <c r="K3077" s="5" t="s">
        <v>15615</v>
      </c>
    </row>
    <row r="3078" customFormat="false" ht="23.85" hidden="false" customHeight="false" outlineLevel="0" collapsed="false">
      <c r="A3078" s="5" t="s">
        <v>15616</v>
      </c>
      <c r="B3078" s="2" t="s">
        <v>15617</v>
      </c>
      <c r="C3078" s="5" t="s">
        <v>2128</v>
      </c>
      <c r="D3078" s="5" t="s">
        <v>62</v>
      </c>
      <c r="E3078" s="5" t="n">
        <v>7</v>
      </c>
      <c r="F3078" s="5" t="s">
        <v>284</v>
      </c>
      <c r="G3078" s="2" t="s">
        <v>367</v>
      </c>
      <c r="H3078" s="5" t="s">
        <v>8336</v>
      </c>
      <c r="I3078" s="5"/>
      <c r="J3078" s="5"/>
      <c r="K3078" s="5" t="s">
        <v>15618</v>
      </c>
    </row>
    <row r="3079" customFormat="false" ht="15" hidden="false" customHeight="false" outlineLevel="0" collapsed="false">
      <c r="A3079" s="5" t="s">
        <v>15619</v>
      </c>
      <c r="B3079" s="2" t="s">
        <v>15620</v>
      </c>
      <c r="C3079" s="5" t="s">
        <v>2128</v>
      </c>
      <c r="D3079" s="5" t="s">
        <v>62</v>
      </c>
      <c r="E3079" s="5" t="n">
        <v>7</v>
      </c>
      <c r="F3079" s="5" t="s">
        <v>536</v>
      </c>
      <c r="G3079" s="2" t="s">
        <v>367</v>
      </c>
      <c r="H3079" s="5" t="s">
        <v>8336</v>
      </c>
      <c r="I3079" s="5"/>
      <c r="J3079" s="5"/>
      <c r="K3079" s="5" t="s">
        <v>15621</v>
      </c>
    </row>
    <row r="3080" customFormat="false" ht="46.25" hidden="false" customHeight="false" outlineLevel="0" collapsed="false">
      <c r="A3080" s="5" t="s">
        <v>15622</v>
      </c>
      <c r="B3080" s="2" t="s">
        <v>15623</v>
      </c>
      <c r="C3080" s="5" t="s">
        <v>2245</v>
      </c>
      <c r="D3080" s="5" t="s">
        <v>62</v>
      </c>
      <c r="E3080" s="5" t="n">
        <v>7</v>
      </c>
      <c r="F3080" s="5" t="s">
        <v>1814</v>
      </c>
      <c r="G3080" s="2" t="s">
        <v>12057</v>
      </c>
      <c r="H3080" s="5" t="s">
        <v>8336</v>
      </c>
      <c r="I3080" s="5"/>
      <c r="J3080" s="5"/>
      <c r="K3080" s="5" t="s">
        <v>15624</v>
      </c>
    </row>
    <row r="3081" customFormat="false" ht="15" hidden="false" customHeight="false" outlineLevel="0" collapsed="false">
      <c r="A3081" s="5" t="s">
        <v>15625</v>
      </c>
      <c r="B3081" s="2" t="s">
        <v>15626</v>
      </c>
      <c r="C3081" s="5" t="s">
        <v>2128</v>
      </c>
      <c r="D3081" s="5" t="s">
        <v>62</v>
      </c>
      <c r="E3081" s="5" t="n">
        <v>7</v>
      </c>
      <c r="F3081" s="5" t="s">
        <v>67</v>
      </c>
      <c r="G3081" s="2" t="s">
        <v>367</v>
      </c>
      <c r="H3081" s="5" t="s">
        <v>8336</v>
      </c>
      <c r="I3081" s="5"/>
      <c r="J3081" s="5"/>
      <c r="K3081" s="5" t="s">
        <v>15627</v>
      </c>
    </row>
    <row r="3082" customFormat="false" ht="46.25" hidden="false" customHeight="false" outlineLevel="0" collapsed="false">
      <c r="A3082" s="5" t="s">
        <v>15628</v>
      </c>
      <c r="B3082" s="2" t="s">
        <v>15629</v>
      </c>
      <c r="C3082" s="5" t="s">
        <v>2245</v>
      </c>
      <c r="D3082" s="5" t="s">
        <v>62</v>
      </c>
      <c r="E3082" s="5" t="n">
        <v>7</v>
      </c>
      <c r="F3082" s="5" t="s">
        <v>90</v>
      </c>
      <c r="G3082" s="2" t="s">
        <v>12057</v>
      </c>
      <c r="H3082" s="5" t="s">
        <v>8336</v>
      </c>
      <c r="I3082" s="5"/>
      <c r="J3082" s="5"/>
      <c r="K3082" s="5" t="s">
        <v>15630</v>
      </c>
    </row>
    <row r="3083" customFormat="false" ht="15" hidden="false" customHeight="false" outlineLevel="0" collapsed="false">
      <c r="A3083" s="5" t="s">
        <v>15631</v>
      </c>
      <c r="B3083" s="2" t="s">
        <v>15632</v>
      </c>
      <c r="C3083" s="5" t="s">
        <v>2128</v>
      </c>
      <c r="D3083" s="5" t="s">
        <v>62</v>
      </c>
      <c r="E3083" s="5" t="n">
        <v>9</v>
      </c>
      <c r="F3083" s="5" t="s">
        <v>277</v>
      </c>
      <c r="G3083" s="2" t="s">
        <v>367</v>
      </c>
      <c r="H3083" s="5" t="s">
        <v>8336</v>
      </c>
      <c r="I3083" s="5"/>
      <c r="J3083" s="5"/>
      <c r="K3083" s="5" t="s">
        <v>15633</v>
      </c>
    </row>
    <row r="3084" customFormat="false" ht="15" hidden="false" customHeight="false" outlineLevel="0" collapsed="false">
      <c r="A3084" s="5" t="s">
        <v>4197</v>
      </c>
      <c r="B3084" s="2" t="s">
        <v>4198</v>
      </c>
      <c r="C3084" s="5" t="s">
        <v>2128</v>
      </c>
      <c r="D3084" s="5" t="s">
        <v>62</v>
      </c>
      <c r="E3084" s="5" t="n">
        <v>7</v>
      </c>
      <c r="F3084" s="5" t="s">
        <v>67</v>
      </c>
      <c r="G3084" s="2" t="s">
        <v>367</v>
      </c>
      <c r="H3084" s="5" t="s">
        <v>8332</v>
      </c>
      <c r="I3084" s="5" t="s">
        <v>60</v>
      </c>
      <c r="J3084" s="5" t="s">
        <v>2591</v>
      </c>
      <c r="K3084" s="5" t="s">
        <v>4202</v>
      </c>
    </row>
    <row r="3085" customFormat="false" ht="46.25" hidden="false" customHeight="false" outlineLevel="0" collapsed="false">
      <c r="A3085" s="5" t="s">
        <v>15634</v>
      </c>
      <c r="B3085" s="2" t="s">
        <v>15635</v>
      </c>
      <c r="C3085" s="5" t="s">
        <v>2245</v>
      </c>
      <c r="D3085" s="5" t="s">
        <v>62</v>
      </c>
      <c r="E3085" s="5" t="n">
        <v>3</v>
      </c>
      <c r="F3085" s="5" t="s">
        <v>536</v>
      </c>
      <c r="G3085" s="2" t="s">
        <v>12054</v>
      </c>
      <c r="H3085" s="5" t="s">
        <v>8336</v>
      </c>
      <c r="I3085" s="5"/>
      <c r="J3085" s="5"/>
      <c r="K3085" s="5" t="s">
        <v>15636</v>
      </c>
    </row>
    <row r="3086" customFormat="false" ht="15" hidden="false" customHeight="false" outlineLevel="0" collapsed="false">
      <c r="A3086" s="5" t="s">
        <v>15637</v>
      </c>
      <c r="B3086" s="2" t="s">
        <v>15638</v>
      </c>
      <c r="C3086" s="5" t="s">
        <v>2128</v>
      </c>
      <c r="D3086" s="5" t="s">
        <v>62</v>
      </c>
      <c r="E3086" s="5" t="n">
        <v>5</v>
      </c>
      <c r="F3086" s="5" t="s">
        <v>1814</v>
      </c>
      <c r="G3086" s="2" t="s">
        <v>367</v>
      </c>
      <c r="H3086" s="5" t="s">
        <v>8336</v>
      </c>
      <c r="I3086" s="5"/>
      <c r="J3086" s="5"/>
      <c r="K3086" s="5" t="s">
        <v>15639</v>
      </c>
    </row>
    <row r="3087" customFormat="false" ht="23.85" hidden="false" customHeight="false" outlineLevel="0" collapsed="false">
      <c r="A3087" s="5" t="s">
        <v>4203</v>
      </c>
      <c r="B3087" s="2" t="s">
        <v>4204</v>
      </c>
      <c r="C3087" s="5" t="s">
        <v>2128</v>
      </c>
      <c r="D3087" s="5" t="s">
        <v>62</v>
      </c>
      <c r="E3087" s="5" t="n">
        <v>7</v>
      </c>
      <c r="F3087" s="5" t="s">
        <v>90</v>
      </c>
      <c r="G3087" s="2" t="s">
        <v>184</v>
      </c>
      <c r="H3087" s="5" t="s">
        <v>8332</v>
      </c>
      <c r="I3087" s="5" t="s">
        <v>60</v>
      </c>
      <c r="J3087" s="5" t="s">
        <v>4025</v>
      </c>
      <c r="K3087" s="5" t="s">
        <v>4208</v>
      </c>
    </row>
    <row r="3088" customFormat="false" ht="23.85" hidden="false" customHeight="false" outlineLevel="0" collapsed="false">
      <c r="A3088" s="5" t="s">
        <v>15640</v>
      </c>
      <c r="B3088" s="2" t="s">
        <v>15641</v>
      </c>
      <c r="C3088" s="5" t="s">
        <v>2128</v>
      </c>
      <c r="D3088" s="5" t="s">
        <v>62</v>
      </c>
      <c r="E3088" s="5" t="n">
        <v>7</v>
      </c>
      <c r="F3088" s="5" t="s">
        <v>413</v>
      </c>
      <c r="G3088" s="2" t="s">
        <v>1513</v>
      </c>
      <c r="H3088" s="5" t="s">
        <v>8336</v>
      </c>
      <c r="I3088" s="5"/>
      <c r="J3088" s="5"/>
      <c r="K3088" s="5" t="s">
        <v>15642</v>
      </c>
    </row>
    <row r="3089" customFormat="false" ht="46.25" hidden="false" customHeight="false" outlineLevel="0" collapsed="false">
      <c r="A3089" s="5" t="s">
        <v>15643</v>
      </c>
      <c r="B3089" s="2" t="s">
        <v>15644</v>
      </c>
      <c r="C3089" s="5" t="s">
        <v>2245</v>
      </c>
      <c r="D3089" s="5" t="s">
        <v>62</v>
      </c>
      <c r="E3089" s="5" t="n">
        <v>7</v>
      </c>
      <c r="F3089" s="5" t="s">
        <v>67</v>
      </c>
      <c r="G3089" s="2" t="s">
        <v>12057</v>
      </c>
      <c r="H3089" s="5" t="s">
        <v>8336</v>
      </c>
      <c r="I3089" s="5"/>
      <c r="J3089" s="5"/>
      <c r="K3089" s="5" t="s">
        <v>15645</v>
      </c>
    </row>
    <row r="3090" customFormat="false" ht="23.85" hidden="false" customHeight="false" outlineLevel="0" collapsed="false">
      <c r="A3090" s="5" t="s">
        <v>15646</v>
      </c>
      <c r="B3090" s="2" t="s">
        <v>15647</v>
      </c>
      <c r="C3090" s="5" t="s">
        <v>2128</v>
      </c>
      <c r="D3090" s="5" t="s">
        <v>62</v>
      </c>
      <c r="E3090" s="5" t="n">
        <v>7</v>
      </c>
      <c r="F3090" s="5" t="s">
        <v>67</v>
      </c>
      <c r="G3090" s="2" t="s">
        <v>367</v>
      </c>
      <c r="H3090" s="5" t="s">
        <v>8336</v>
      </c>
      <c r="I3090" s="5"/>
      <c r="J3090" s="5"/>
      <c r="K3090" s="5" t="s">
        <v>15648</v>
      </c>
    </row>
    <row r="3091" customFormat="false" ht="46.25" hidden="false" customHeight="false" outlineLevel="0" collapsed="false">
      <c r="A3091" s="5" t="s">
        <v>15649</v>
      </c>
      <c r="B3091" s="2" t="s">
        <v>15650</v>
      </c>
      <c r="C3091" s="5" t="s">
        <v>2245</v>
      </c>
      <c r="D3091" s="5" t="s">
        <v>62</v>
      </c>
      <c r="E3091" s="5" t="n">
        <v>5</v>
      </c>
      <c r="F3091" s="5" t="s">
        <v>67</v>
      </c>
      <c r="G3091" s="2" t="s">
        <v>12054</v>
      </c>
      <c r="H3091" s="5" t="s">
        <v>8336</v>
      </c>
      <c r="I3091" s="5"/>
      <c r="J3091" s="5"/>
      <c r="K3091" s="5" t="s">
        <v>15651</v>
      </c>
    </row>
    <row r="3092" customFormat="false" ht="23.85" hidden="false" customHeight="false" outlineLevel="0" collapsed="false">
      <c r="A3092" s="5" t="s">
        <v>15652</v>
      </c>
      <c r="B3092" s="2" t="s">
        <v>15653</v>
      </c>
      <c r="C3092" s="5" t="s">
        <v>2128</v>
      </c>
      <c r="D3092" s="5" t="s">
        <v>62</v>
      </c>
      <c r="E3092" s="5" t="n">
        <v>7</v>
      </c>
      <c r="F3092" s="5" t="s">
        <v>67</v>
      </c>
      <c r="G3092" s="2" t="s">
        <v>367</v>
      </c>
      <c r="H3092" s="5" t="s">
        <v>8336</v>
      </c>
      <c r="I3092" s="5"/>
      <c r="J3092" s="5"/>
      <c r="K3092" s="5" t="s">
        <v>15654</v>
      </c>
    </row>
    <row r="3093" customFormat="false" ht="23.85" hidden="false" customHeight="false" outlineLevel="0" collapsed="false">
      <c r="A3093" s="5" t="s">
        <v>4209</v>
      </c>
      <c r="B3093" s="2" t="s">
        <v>4210</v>
      </c>
      <c r="C3093" s="5" t="s">
        <v>2128</v>
      </c>
      <c r="D3093" s="5" t="s">
        <v>62</v>
      </c>
      <c r="E3093" s="5" t="n">
        <v>7</v>
      </c>
      <c r="F3093" s="5" t="s">
        <v>1210</v>
      </c>
      <c r="G3093" s="2" t="s">
        <v>184</v>
      </c>
      <c r="H3093" s="5" t="s">
        <v>8332</v>
      </c>
      <c r="I3093" s="5" t="s">
        <v>60</v>
      </c>
      <c r="J3093" s="5" t="s">
        <v>269</v>
      </c>
      <c r="K3093" s="5" t="s">
        <v>4214</v>
      </c>
    </row>
    <row r="3094" customFormat="false" ht="23.85" hidden="false" customHeight="false" outlineLevel="0" collapsed="false">
      <c r="A3094" s="5" t="s">
        <v>15655</v>
      </c>
      <c r="B3094" s="2" t="s">
        <v>15656</v>
      </c>
      <c r="C3094" s="5" t="s">
        <v>2128</v>
      </c>
      <c r="D3094" s="5" t="s">
        <v>62</v>
      </c>
      <c r="E3094" s="5" t="n">
        <v>7</v>
      </c>
      <c r="F3094" s="5" t="s">
        <v>90</v>
      </c>
      <c r="G3094" s="2" t="s">
        <v>415</v>
      </c>
      <c r="H3094" s="5" t="s">
        <v>8336</v>
      </c>
      <c r="I3094" s="5"/>
      <c r="J3094" s="5"/>
      <c r="K3094" s="5" t="s">
        <v>15657</v>
      </c>
    </row>
    <row r="3095" customFormat="false" ht="46.25" hidden="false" customHeight="false" outlineLevel="0" collapsed="false">
      <c r="A3095" s="5" t="s">
        <v>432</v>
      </c>
      <c r="B3095" s="2" t="s">
        <v>433</v>
      </c>
      <c r="C3095" s="5" t="s">
        <v>59</v>
      </c>
      <c r="D3095" s="5" t="s">
        <v>62</v>
      </c>
      <c r="E3095" s="5" t="n">
        <v>9</v>
      </c>
      <c r="F3095" s="5" t="s">
        <v>100</v>
      </c>
      <c r="G3095" s="2" t="s">
        <v>12078</v>
      </c>
      <c r="H3095" s="5" t="s">
        <v>8332</v>
      </c>
      <c r="I3095" s="5" t="s">
        <v>60</v>
      </c>
      <c r="J3095" s="5" t="s">
        <v>397</v>
      </c>
      <c r="K3095" s="5" t="s">
        <v>436</v>
      </c>
    </row>
    <row r="3096" customFormat="false" ht="15" hidden="false" customHeight="false" outlineLevel="0" collapsed="false">
      <c r="A3096" s="5" t="s">
        <v>15658</v>
      </c>
      <c r="B3096" s="2" t="s">
        <v>15659</v>
      </c>
      <c r="C3096" s="5" t="s">
        <v>2128</v>
      </c>
      <c r="D3096" s="5" t="s">
        <v>62</v>
      </c>
      <c r="E3096" s="5" t="n">
        <v>5</v>
      </c>
      <c r="F3096" s="5" t="s">
        <v>90</v>
      </c>
      <c r="G3096" s="2" t="s">
        <v>367</v>
      </c>
      <c r="H3096" s="5" t="s">
        <v>8336</v>
      </c>
      <c r="I3096" s="5"/>
      <c r="J3096" s="5"/>
      <c r="K3096" s="5" t="s">
        <v>15660</v>
      </c>
    </row>
    <row r="3097" customFormat="false" ht="15" hidden="false" customHeight="false" outlineLevel="0" collapsed="false">
      <c r="A3097" s="5" t="s">
        <v>15661</v>
      </c>
      <c r="B3097" s="2" t="s">
        <v>15662</v>
      </c>
      <c r="C3097" s="5" t="s">
        <v>2128</v>
      </c>
      <c r="D3097" s="5" t="s">
        <v>62</v>
      </c>
      <c r="E3097" s="5" t="n">
        <v>5</v>
      </c>
      <c r="F3097" s="5" t="s">
        <v>67</v>
      </c>
      <c r="G3097" s="2" t="s">
        <v>367</v>
      </c>
      <c r="H3097" s="5" t="s">
        <v>8336</v>
      </c>
      <c r="I3097" s="5"/>
      <c r="J3097" s="5"/>
      <c r="K3097" s="5" t="s">
        <v>15663</v>
      </c>
    </row>
    <row r="3098" customFormat="false" ht="23.85" hidden="false" customHeight="false" outlineLevel="0" collapsed="false">
      <c r="A3098" s="5" t="s">
        <v>15664</v>
      </c>
      <c r="B3098" s="2" t="s">
        <v>15665</v>
      </c>
      <c r="C3098" s="5" t="s">
        <v>2128</v>
      </c>
      <c r="D3098" s="5" t="s">
        <v>62</v>
      </c>
      <c r="E3098" s="5" t="n">
        <v>3</v>
      </c>
      <c r="F3098" s="5" t="s">
        <v>67</v>
      </c>
      <c r="G3098" s="2" t="s">
        <v>367</v>
      </c>
      <c r="H3098" s="5" t="s">
        <v>8336</v>
      </c>
      <c r="I3098" s="5"/>
      <c r="J3098" s="5"/>
      <c r="K3098" s="5" t="s">
        <v>15666</v>
      </c>
    </row>
    <row r="3099" customFormat="false" ht="15" hidden="false" customHeight="false" outlineLevel="0" collapsed="false">
      <c r="A3099" s="5" t="s">
        <v>15667</v>
      </c>
      <c r="B3099" s="2" t="s">
        <v>15668</v>
      </c>
      <c r="C3099" s="5" t="s">
        <v>2128</v>
      </c>
      <c r="D3099" s="5" t="s">
        <v>62</v>
      </c>
      <c r="E3099" s="5" t="n">
        <v>7</v>
      </c>
      <c r="F3099" s="5" t="s">
        <v>67</v>
      </c>
      <c r="G3099" s="2" t="s">
        <v>367</v>
      </c>
      <c r="H3099" s="5" t="s">
        <v>8336</v>
      </c>
      <c r="I3099" s="5"/>
      <c r="J3099" s="5"/>
      <c r="K3099" s="5" t="s">
        <v>15669</v>
      </c>
    </row>
    <row r="3100" customFormat="false" ht="23.85" hidden="false" customHeight="false" outlineLevel="0" collapsed="false">
      <c r="A3100" s="5" t="s">
        <v>15670</v>
      </c>
      <c r="B3100" s="2" t="s">
        <v>15671</v>
      </c>
      <c r="C3100" s="5" t="s">
        <v>2128</v>
      </c>
      <c r="D3100" s="5" t="s">
        <v>62</v>
      </c>
      <c r="E3100" s="5" t="n">
        <v>7</v>
      </c>
      <c r="F3100" s="5" t="s">
        <v>90</v>
      </c>
      <c r="G3100" s="2" t="s">
        <v>367</v>
      </c>
      <c r="H3100" s="5" t="s">
        <v>8336</v>
      </c>
      <c r="I3100" s="5"/>
      <c r="J3100" s="5"/>
      <c r="K3100" s="5" t="s">
        <v>15672</v>
      </c>
    </row>
    <row r="3101" customFormat="false" ht="46.25" hidden="false" customHeight="false" outlineLevel="0" collapsed="false">
      <c r="A3101" s="5" t="s">
        <v>15673</v>
      </c>
      <c r="B3101" s="2" t="s">
        <v>15674</v>
      </c>
      <c r="C3101" s="5" t="s">
        <v>2245</v>
      </c>
      <c r="D3101" s="5" t="s">
        <v>62</v>
      </c>
      <c r="E3101" s="5" t="n">
        <v>5</v>
      </c>
      <c r="F3101" s="5" t="s">
        <v>67</v>
      </c>
      <c r="G3101" s="2" t="s">
        <v>12057</v>
      </c>
      <c r="H3101" s="5" t="s">
        <v>8336</v>
      </c>
      <c r="I3101" s="5"/>
      <c r="J3101" s="5"/>
      <c r="K3101" s="5" t="s">
        <v>15675</v>
      </c>
    </row>
    <row r="3102" customFormat="false" ht="23.85" hidden="false" customHeight="false" outlineLevel="0" collapsed="false">
      <c r="A3102" s="5" t="s">
        <v>15676</v>
      </c>
      <c r="B3102" s="2" t="s">
        <v>15677</v>
      </c>
      <c r="C3102" s="5" t="s">
        <v>2128</v>
      </c>
      <c r="D3102" s="5" t="s">
        <v>62</v>
      </c>
      <c r="E3102" s="5" t="n">
        <v>7</v>
      </c>
      <c r="F3102" s="5" t="s">
        <v>67</v>
      </c>
      <c r="G3102" s="2" t="s">
        <v>367</v>
      </c>
      <c r="H3102" s="5" t="s">
        <v>8336</v>
      </c>
      <c r="I3102" s="5"/>
      <c r="J3102" s="5"/>
      <c r="K3102" s="5" t="s">
        <v>15678</v>
      </c>
    </row>
    <row r="3103" customFormat="false" ht="15" hidden="false" customHeight="false" outlineLevel="0" collapsed="false">
      <c r="A3103" s="5" t="s">
        <v>6384</v>
      </c>
      <c r="B3103" s="2" t="s">
        <v>6385</v>
      </c>
      <c r="C3103" s="5" t="s">
        <v>2128</v>
      </c>
      <c r="D3103" s="5" t="s">
        <v>62</v>
      </c>
      <c r="E3103" s="5" t="n">
        <v>7</v>
      </c>
      <c r="F3103" s="5" t="s">
        <v>2079</v>
      </c>
      <c r="G3103" s="2" t="s">
        <v>367</v>
      </c>
      <c r="H3103" s="5" t="s">
        <v>8332</v>
      </c>
      <c r="I3103" s="5" t="s">
        <v>4760</v>
      </c>
      <c r="J3103" s="5" t="s">
        <v>2079</v>
      </c>
      <c r="K3103" s="5" t="s">
        <v>6388</v>
      </c>
    </row>
    <row r="3104" customFormat="false" ht="15" hidden="false" customHeight="false" outlineLevel="0" collapsed="false">
      <c r="A3104" s="5" t="s">
        <v>15679</v>
      </c>
      <c r="B3104" s="2" t="s">
        <v>15680</v>
      </c>
      <c r="C3104" s="5" t="s">
        <v>2128</v>
      </c>
      <c r="D3104" s="5" t="s">
        <v>62</v>
      </c>
      <c r="E3104" s="5" t="n">
        <v>5</v>
      </c>
      <c r="F3104" s="5" t="s">
        <v>67</v>
      </c>
      <c r="G3104" s="2" t="s">
        <v>367</v>
      </c>
      <c r="H3104" s="5" t="s">
        <v>8336</v>
      </c>
      <c r="I3104" s="5"/>
      <c r="J3104" s="5"/>
      <c r="K3104" s="5" t="s">
        <v>15681</v>
      </c>
    </row>
    <row r="3105" customFormat="false" ht="15" hidden="false" customHeight="false" outlineLevel="0" collapsed="false">
      <c r="A3105" s="5" t="s">
        <v>15682</v>
      </c>
      <c r="B3105" s="2" t="s">
        <v>15683</v>
      </c>
      <c r="C3105" s="5" t="s">
        <v>2128</v>
      </c>
      <c r="D3105" s="5" t="s">
        <v>62</v>
      </c>
      <c r="E3105" s="5" t="n">
        <v>5</v>
      </c>
      <c r="F3105" s="5" t="s">
        <v>67</v>
      </c>
      <c r="G3105" s="2" t="s">
        <v>367</v>
      </c>
      <c r="H3105" s="5" t="s">
        <v>8336</v>
      </c>
      <c r="I3105" s="5"/>
      <c r="J3105" s="5"/>
      <c r="K3105" s="5" t="s">
        <v>15684</v>
      </c>
    </row>
    <row r="3106" customFormat="false" ht="15" hidden="false" customHeight="false" outlineLevel="0" collapsed="false">
      <c r="A3106" s="5" t="s">
        <v>15685</v>
      </c>
      <c r="B3106" s="2" t="s">
        <v>15686</v>
      </c>
      <c r="C3106" s="5" t="s">
        <v>2128</v>
      </c>
      <c r="D3106" s="5" t="s">
        <v>62</v>
      </c>
      <c r="E3106" s="5" t="n">
        <v>7</v>
      </c>
      <c r="F3106" s="5" t="s">
        <v>90</v>
      </c>
      <c r="G3106" s="2" t="s">
        <v>367</v>
      </c>
      <c r="H3106" s="5" t="s">
        <v>8336</v>
      </c>
      <c r="I3106" s="5"/>
      <c r="J3106" s="5"/>
      <c r="K3106" s="5" t="s">
        <v>15687</v>
      </c>
    </row>
    <row r="3107" customFormat="false" ht="15" hidden="false" customHeight="false" outlineLevel="0" collapsed="false">
      <c r="A3107" s="5" t="s">
        <v>15688</v>
      </c>
      <c r="B3107" s="2" t="s">
        <v>15689</v>
      </c>
      <c r="C3107" s="5" t="s">
        <v>2128</v>
      </c>
      <c r="D3107" s="5" t="s">
        <v>62</v>
      </c>
      <c r="E3107" s="5" t="n">
        <v>5</v>
      </c>
      <c r="F3107" s="5" t="s">
        <v>90</v>
      </c>
      <c r="G3107" s="2" t="s">
        <v>367</v>
      </c>
      <c r="H3107" s="5" t="s">
        <v>8336</v>
      </c>
      <c r="I3107" s="5"/>
      <c r="J3107" s="5"/>
      <c r="K3107" s="5" t="s">
        <v>15690</v>
      </c>
    </row>
    <row r="3108" customFormat="false" ht="15" hidden="false" customHeight="false" outlineLevel="0" collapsed="false">
      <c r="A3108" s="5" t="s">
        <v>15691</v>
      </c>
      <c r="B3108" s="2" t="s">
        <v>15692</v>
      </c>
      <c r="C3108" s="5" t="s">
        <v>2128</v>
      </c>
      <c r="D3108" s="5" t="s">
        <v>62</v>
      </c>
      <c r="E3108" s="5" t="n">
        <v>7</v>
      </c>
      <c r="F3108" s="5" t="s">
        <v>67</v>
      </c>
      <c r="G3108" s="2" t="s">
        <v>367</v>
      </c>
      <c r="H3108" s="5" t="s">
        <v>8336</v>
      </c>
      <c r="I3108" s="5"/>
      <c r="J3108" s="5"/>
      <c r="K3108" s="5" t="s">
        <v>15693</v>
      </c>
    </row>
    <row r="3109" customFormat="false" ht="15" hidden="false" customHeight="false" outlineLevel="0" collapsed="false">
      <c r="A3109" s="5" t="s">
        <v>15694</v>
      </c>
      <c r="B3109" s="2" t="s">
        <v>15695</v>
      </c>
      <c r="C3109" s="5" t="s">
        <v>2128</v>
      </c>
      <c r="D3109" s="5" t="s">
        <v>62</v>
      </c>
      <c r="E3109" s="5" t="n">
        <v>7</v>
      </c>
      <c r="F3109" s="5" t="s">
        <v>67</v>
      </c>
      <c r="G3109" s="2" t="s">
        <v>367</v>
      </c>
      <c r="H3109" s="5" t="s">
        <v>8336</v>
      </c>
      <c r="I3109" s="5"/>
      <c r="J3109" s="5"/>
      <c r="K3109" s="5" t="s">
        <v>15696</v>
      </c>
    </row>
    <row r="3110" customFormat="false" ht="46.25" hidden="false" customHeight="false" outlineLevel="0" collapsed="false">
      <c r="A3110" s="5" t="s">
        <v>15697</v>
      </c>
      <c r="B3110" s="2" t="s">
        <v>15698</v>
      </c>
      <c r="C3110" s="5" t="s">
        <v>2245</v>
      </c>
      <c r="D3110" s="5" t="s">
        <v>490</v>
      </c>
      <c r="E3110" s="5" t="n">
        <v>7</v>
      </c>
      <c r="F3110" s="5" t="s">
        <v>67</v>
      </c>
      <c r="G3110" s="2" t="s">
        <v>12057</v>
      </c>
      <c r="H3110" s="5" t="s">
        <v>8336</v>
      </c>
      <c r="I3110" s="5"/>
      <c r="J3110" s="5"/>
      <c r="K3110" s="5" t="s">
        <v>15699</v>
      </c>
    </row>
    <row r="3111" customFormat="false" ht="46.25" hidden="false" customHeight="false" outlineLevel="0" collapsed="false">
      <c r="A3111" s="5" t="s">
        <v>15700</v>
      </c>
      <c r="B3111" s="2" t="s">
        <v>15701</v>
      </c>
      <c r="C3111" s="5" t="s">
        <v>2245</v>
      </c>
      <c r="D3111" s="5" t="s">
        <v>490</v>
      </c>
      <c r="E3111" s="5" t="n">
        <v>7</v>
      </c>
      <c r="F3111" s="5" t="s">
        <v>67</v>
      </c>
      <c r="G3111" s="2" t="s">
        <v>12057</v>
      </c>
      <c r="H3111" s="5" t="s">
        <v>8336</v>
      </c>
      <c r="I3111" s="5"/>
      <c r="J3111" s="5"/>
      <c r="K3111" s="5" t="s">
        <v>15702</v>
      </c>
    </row>
    <row r="3112" customFormat="false" ht="23.85" hidden="false" customHeight="false" outlineLevel="0" collapsed="false">
      <c r="A3112" s="5" t="s">
        <v>15703</v>
      </c>
      <c r="B3112" s="2" t="s">
        <v>15704</v>
      </c>
      <c r="C3112" s="5" t="s">
        <v>2128</v>
      </c>
      <c r="D3112" s="5" t="s">
        <v>62</v>
      </c>
      <c r="E3112" s="5" t="n">
        <v>7</v>
      </c>
      <c r="F3112" s="5" t="s">
        <v>67</v>
      </c>
      <c r="G3112" s="2" t="s">
        <v>367</v>
      </c>
      <c r="H3112" s="5" t="s">
        <v>8336</v>
      </c>
      <c r="I3112" s="5"/>
      <c r="J3112" s="5"/>
      <c r="K3112" s="5" t="s">
        <v>15705</v>
      </c>
    </row>
    <row r="3113" customFormat="false" ht="46.25" hidden="false" customHeight="false" outlineLevel="0" collapsed="false">
      <c r="A3113" s="5" t="s">
        <v>437</v>
      </c>
      <c r="B3113" s="2" t="s">
        <v>438</v>
      </c>
      <c r="C3113" s="5" t="s">
        <v>59</v>
      </c>
      <c r="D3113" s="5" t="s">
        <v>62</v>
      </c>
      <c r="E3113" s="5" t="n">
        <v>9</v>
      </c>
      <c r="F3113" s="5" t="s">
        <v>100</v>
      </c>
      <c r="G3113" s="2" t="s">
        <v>12078</v>
      </c>
      <c r="H3113" s="5" t="s">
        <v>8332</v>
      </c>
      <c r="I3113" s="5" t="s">
        <v>60</v>
      </c>
      <c r="J3113" s="5" t="s">
        <v>303</v>
      </c>
      <c r="K3113" s="5" t="s">
        <v>441</v>
      </c>
    </row>
    <row r="3114" customFormat="false" ht="15" hidden="false" customHeight="false" outlineLevel="0" collapsed="false">
      <c r="A3114" s="5" t="s">
        <v>1848</v>
      </c>
      <c r="B3114" s="2" t="s">
        <v>1849</v>
      </c>
      <c r="C3114" s="5" t="s">
        <v>488</v>
      </c>
      <c r="D3114" s="5" t="s">
        <v>62</v>
      </c>
      <c r="E3114" s="5" t="n">
        <v>7</v>
      </c>
      <c r="F3114" s="5" t="s">
        <v>100</v>
      </c>
      <c r="G3114" s="2" t="s">
        <v>367</v>
      </c>
      <c r="H3114" s="5" t="s">
        <v>8332</v>
      </c>
      <c r="I3114" s="5" t="s">
        <v>60</v>
      </c>
      <c r="J3114" s="5" t="s">
        <v>100</v>
      </c>
      <c r="K3114" s="5" t="s">
        <v>1852</v>
      </c>
    </row>
    <row r="3115" customFormat="false" ht="23.85" hidden="false" customHeight="false" outlineLevel="0" collapsed="false">
      <c r="A3115" s="5" t="s">
        <v>1853</v>
      </c>
      <c r="B3115" s="2" t="s">
        <v>1854</v>
      </c>
      <c r="C3115" s="5" t="s">
        <v>488</v>
      </c>
      <c r="D3115" s="5" t="s">
        <v>62</v>
      </c>
      <c r="E3115" s="5" t="n">
        <v>9</v>
      </c>
      <c r="F3115" s="5" t="s">
        <v>100</v>
      </c>
      <c r="G3115" s="2" t="s">
        <v>184</v>
      </c>
      <c r="H3115" s="5" t="s">
        <v>8332</v>
      </c>
      <c r="I3115" s="5" t="s">
        <v>60</v>
      </c>
      <c r="J3115" s="5" t="s">
        <v>303</v>
      </c>
      <c r="K3115" s="5" t="s">
        <v>1859</v>
      </c>
    </row>
    <row r="3116" customFormat="false" ht="23.85" hidden="false" customHeight="false" outlineLevel="0" collapsed="false">
      <c r="A3116" s="5" t="s">
        <v>15706</v>
      </c>
      <c r="B3116" s="2" t="s">
        <v>15707</v>
      </c>
      <c r="C3116" s="5" t="s">
        <v>2128</v>
      </c>
      <c r="D3116" s="5" t="s">
        <v>62</v>
      </c>
      <c r="E3116" s="5" t="n">
        <v>7</v>
      </c>
      <c r="F3116" s="5" t="s">
        <v>413</v>
      </c>
      <c r="G3116" s="2" t="s">
        <v>367</v>
      </c>
      <c r="H3116" s="5" t="s">
        <v>8336</v>
      </c>
      <c r="I3116" s="5"/>
      <c r="J3116" s="5"/>
      <c r="K3116" s="5" t="s">
        <v>15708</v>
      </c>
    </row>
    <row r="3117" customFormat="false" ht="46.25" hidden="false" customHeight="false" outlineLevel="0" collapsed="false">
      <c r="A3117" s="5" t="s">
        <v>15709</v>
      </c>
      <c r="B3117" s="2" t="s">
        <v>15710</v>
      </c>
      <c r="C3117" s="5" t="s">
        <v>2245</v>
      </c>
      <c r="D3117" s="5" t="s">
        <v>490</v>
      </c>
      <c r="E3117" s="5" t="n">
        <v>7</v>
      </c>
      <c r="F3117" s="5" t="s">
        <v>413</v>
      </c>
      <c r="G3117" s="2" t="s">
        <v>12057</v>
      </c>
      <c r="H3117" s="5" t="s">
        <v>8336</v>
      </c>
      <c r="I3117" s="5"/>
      <c r="J3117" s="5"/>
      <c r="K3117" s="5" t="s">
        <v>15711</v>
      </c>
    </row>
    <row r="3118" customFormat="false" ht="23.85" hidden="false" customHeight="false" outlineLevel="0" collapsed="false">
      <c r="A3118" s="5" t="s">
        <v>15712</v>
      </c>
      <c r="B3118" s="2" t="s">
        <v>15713</v>
      </c>
      <c r="C3118" s="5" t="s">
        <v>2128</v>
      </c>
      <c r="D3118" s="5" t="s">
        <v>62</v>
      </c>
      <c r="E3118" s="5" t="n">
        <v>3</v>
      </c>
      <c r="F3118" s="5" t="s">
        <v>413</v>
      </c>
      <c r="G3118" s="2" t="s">
        <v>367</v>
      </c>
      <c r="H3118" s="5" t="s">
        <v>8336</v>
      </c>
      <c r="I3118" s="5"/>
      <c r="J3118" s="5"/>
      <c r="K3118" s="5" t="s">
        <v>15714</v>
      </c>
    </row>
    <row r="3119" customFormat="false" ht="46.25" hidden="false" customHeight="false" outlineLevel="0" collapsed="false">
      <c r="A3119" s="5" t="s">
        <v>15715</v>
      </c>
      <c r="B3119" s="2" t="s">
        <v>15716</v>
      </c>
      <c r="C3119" s="5" t="s">
        <v>2245</v>
      </c>
      <c r="D3119" s="5" t="s">
        <v>490</v>
      </c>
      <c r="E3119" s="5" t="n">
        <v>5</v>
      </c>
      <c r="F3119" s="5" t="s">
        <v>1814</v>
      </c>
      <c r="G3119" s="2" t="s">
        <v>12057</v>
      </c>
      <c r="H3119" s="5" t="s">
        <v>8336</v>
      </c>
      <c r="I3119" s="5"/>
      <c r="J3119" s="5"/>
      <c r="K3119" s="5" t="s">
        <v>15717</v>
      </c>
    </row>
    <row r="3120" customFormat="false" ht="46.25" hidden="false" customHeight="false" outlineLevel="0" collapsed="false">
      <c r="A3120" s="5" t="s">
        <v>15718</v>
      </c>
      <c r="B3120" s="2" t="s">
        <v>15719</v>
      </c>
      <c r="C3120" s="5" t="s">
        <v>2245</v>
      </c>
      <c r="D3120" s="5" t="s">
        <v>62</v>
      </c>
      <c r="E3120" s="5" t="n">
        <v>5</v>
      </c>
      <c r="F3120" s="5" t="s">
        <v>413</v>
      </c>
      <c r="G3120" s="2" t="s">
        <v>13330</v>
      </c>
      <c r="H3120" s="5" t="s">
        <v>8336</v>
      </c>
      <c r="I3120" s="5"/>
      <c r="J3120" s="5"/>
      <c r="K3120" s="5" t="s">
        <v>15720</v>
      </c>
    </row>
    <row r="3121" customFormat="false" ht="46.25" hidden="false" customHeight="false" outlineLevel="0" collapsed="false">
      <c r="A3121" s="5" t="s">
        <v>15721</v>
      </c>
      <c r="B3121" s="2" t="s">
        <v>15722</v>
      </c>
      <c r="C3121" s="5" t="s">
        <v>2245</v>
      </c>
      <c r="D3121" s="5" t="s">
        <v>62</v>
      </c>
      <c r="E3121" s="5" t="n">
        <v>5</v>
      </c>
      <c r="F3121" s="5" t="s">
        <v>413</v>
      </c>
      <c r="G3121" s="2" t="s">
        <v>13330</v>
      </c>
      <c r="H3121" s="5" t="s">
        <v>8336</v>
      </c>
      <c r="I3121" s="5"/>
      <c r="J3121" s="5"/>
      <c r="K3121" s="5" t="s">
        <v>15723</v>
      </c>
    </row>
    <row r="3122" customFormat="false" ht="46.25" hidden="false" customHeight="false" outlineLevel="0" collapsed="false">
      <c r="A3122" s="5" t="s">
        <v>15724</v>
      </c>
      <c r="B3122" s="2" t="s">
        <v>15725</v>
      </c>
      <c r="C3122" s="5" t="s">
        <v>2245</v>
      </c>
      <c r="D3122" s="5" t="s">
        <v>62</v>
      </c>
      <c r="E3122" s="5" t="n">
        <v>7</v>
      </c>
      <c r="F3122" s="5" t="s">
        <v>413</v>
      </c>
      <c r="G3122" s="2" t="s">
        <v>12057</v>
      </c>
      <c r="H3122" s="5" t="s">
        <v>8336</v>
      </c>
      <c r="I3122" s="5"/>
      <c r="J3122" s="5"/>
      <c r="K3122" s="5" t="s">
        <v>15726</v>
      </c>
    </row>
    <row r="3123" customFormat="false" ht="23.85" hidden="false" customHeight="false" outlineLevel="0" collapsed="false">
      <c r="A3123" s="5" t="s">
        <v>15727</v>
      </c>
      <c r="B3123" s="2" t="s">
        <v>15728</v>
      </c>
      <c r="C3123" s="5" t="s">
        <v>2128</v>
      </c>
      <c r="D3123" s="5" t="s">
        <v>62</v>
      </c>
      <c r="E3123" s="5" t="n">
        <v>7</v>
      </c>
      <c r="F3123" s="5" t="s">
        <v>413</v>
      </c>
      <c r="G3123" s="2" t="s">
        <v>367</v>
      </c>
      <c r="H3123" s="5" t="s">
        <v>8336</v>
      </c>
      <c r="I3123" s="5"/>
      <c r="J3123" s="5"/>
      <c r="K3123" s="5" t="s">
        <v>15729</v>
      </c>
    </row>
    <row r="3124" customFormat="false" ht="46.25" hidden="false" customHeight="false" outlineLevel="0" collapsed="false">
      <c r="A3124" s="5" t="s">
        <v>15730</v>
      </c>
      <c r="B3124" s="2" t="s">
        <v>15731</v>
      </c>
      <c r="C3124" s="5" t="s">
        <v>2245</v>
      </c>
      <c r="D3124" s="5" t="s">
        <v>62</v>
      </c>
      <c r="E3124" s="5" t="n">
        <v>7</v>
      </c>
      <c r="F3124" s="5" t="s">
        <v>413</v>
      </c>
      <c r="G3124" s="2" t="s">
        <v>12057</v>
      </c>
      <c r="H3124" s="5" t="s">
        <v>8336</v>
      </c>
      <c r="I3124" s="5"/>
      <c r="J3124" s="5"/>
      <c r="K3124" s="5" t="s">
        <v>15732</v>
      </c>
    </row>
    <row r="3125" customFormat="false" ht="23.85" hidden="false" customHeight="false" outlineLevel="0" collapsed="false">
      <c r="A3125" s="5" t="s">
        <v>442</v>
      </c>
      <c r="B3125" s="2" t="s">
        <v>443</v>
      </c>
      <c r="C3125" s="5" t="s">
        <v>59</v>
      </c>
      <c r="D3125" s="5" t="s">
        <v>62</v>
      </c>
      <c r="E3125" s="5" t="n">
        <v>9</v>
      </c>
      <c r="F3125" s="5" t="s">
        <v>90</v>
      </c>
      <c r="G3125" s="2" t="s">
        <v>184</v>
      </c>
      <c r="H3125" s="5" t="s">
        <v>8332</v>
      </c>
      <c r="I3125" s="5" t="s">
        <v>60</v>
      </c>
      <c r="J3125" s="5" t="s">
        <v>182</v>
      </c>
      <c r="K3125" s="5" t="s">
        <v>446</v>
      </c>
    </row>
    <row r="3126" customFormat="false" ht="23.85" hidden="false" customHeight="false" outlineLevel="0" collapsed="false">
      <c r="A3126" s="5" t="s">
        <v>15733</v>
      </c>
      <c r="B3126" s="2" t="s">
        <v>15734</v>
      </c>
      <c r="C3126" s="5" t="s">
        <v>2128</v>
      </c>
      <c r="D3126" s="5" t="s">
        <v>62</v>
      </c>
      <c r="E3126" s="5" t="n">
        <v>7</v>
      </c>
      <c r="F3126" s="5" t="s">
        <v>413</v>
      </c>
      <c r="G3126" s="2" t="s">
        <v>367</v>
      </c>
      <c r="H3126" s="5" t="s">
        <v>8336</v>
      </c>
      <c r="I3126" s="5"/>
      <c r="J3126" s="5"/>
      <c r="K3126" s="5" t="s">
        <v>15735</v>
      </c>
    </row>
    <row r="3127" customFormat="false" ht="15" hidden="false" customHeight="false" outlineLevel="0" collapsed="false">
      <c r="A3127" s="5" t="s">
        <v>15736</v>
      </c>
      <c r="B3127" s="2" t="s">
        <v>15737</v>
      </c>
      <c r="C3127" s="5" t="s">
        <v>2128</v>
      </c>
      <c r="D3127" s="5" t="s">
        <v>62</v>
      </c>
      <c r="E3127" s="5" t="n">
        <v>7</v>
      </c>
      <c r="F3127" s="5" t="s">
        <v>413</v>
      </c>
      <c r="G3127" s="2" t="s">
        <v>367</v>
      </c>
      <c r="H3127" s="5" t="s">
        <v>8336</v>
      </c>
      <c r="I3127" s="5"/>
      <c r="J3127" s="5"/>
      <c r="K3127" s="5" t="s">
        <v>15738</v>
      </c>
    </row>
    <row r="3128" customFormat="false" ht="23.85" hidden="false" customHeight="false" outlineLevel="0" collapsed="false">
      <c r="A3128" s="5" t="s">
        <v>4215</v>
      </c>
      <c r="B3128" s="2" t="s">
        <v>4216</v>
      </c>
      <c r="C3128" s="5" t="s">
        <v>2128</v>
      </c>
      <c r="D3128" s="5" t="s">
        <v>62</v>
      </c>
      <c r="E3128" s="5" t="n">
        <v>5</v>
      </c>
      <c r="F3128" s="5" t="s">
        <v>277</v>
      </c>
      <c r="G3128" s="2" t="s">
        <v>184</v>
      </c>
      <c r="H3128" s="5" t="s">
        <v>8332</v>
      </c>
      <c r="I3128" s="5" t="s">
        <v>60</v>
      </c>
      <c r="J3128" s="5" t="s">
        <v>269</v>
      </c>
      <c r="K3128" s="5" t="s">
        <v>4221</v>
      </c>
    </row>
    <row r="3129" customFormat="false" ht="23.85" hidden="false" customHeight="false" outlineLevel="0" collapsed="false">
      <c r="A3129" s="5" t="s">
        <v>4222</v>
      </c>
      <c r="B3129" s="2" t="s">
        <v>4223</v>
      </c>
      <c r="C3129" s="5" t="s">
        <v>2128</v>
      </c>
      <c r="D3129" s="5" t="s">
        <v>62</v>
      </c>
      <c r="E3129" s="5" t="n">
        <v>5</v>
      </c>
      <c r="F3129" s="5" t="s">
        <v>90</v>
      </c>
      <c r="G3129" s="2" t="s">
        <v>184</v>
      </c>
      <c r="H3129" s="5" t="s">
        <v>8332</v>
      </c>
      <c r="I3129" s="5" t="s">
        <v>60</v>
      </c>
      <c r="J3129" s="5" t="s">
        <v>269</v>
      </c>
      <c r="K3129" s="5" t="s">
        <v>4229</v>
      </c>
    </row>
    <row r="3130" customFormat="false" ht="15" hidden="false" customHeight="false" outlineLevel="0" collapsed="false">
      <c r="A3130" s="5" t="s">
        <v>15739</v>
      </c>
      <c r="B3130" s="2" t="s">
        <v>15740</v>
      </c>
      <c r="C3130" s="5" t="s">
        <v>2128</v>
      </c>
      <c r="D3130" s="5" t="s">
        <v>62</v>
      </c>
      <c r="E3130" s="5" t="n">
        <v>5</v>
      </c>
      <c r="F3130" s="5" t="s">
        <v>67</v>
      </c>
      <c r="G3130" s="2" t="s">
        <v>367</v>
      </c>
      <c r="H3130" s="5" t="s">
        <v>8336</v>
      </c>
      <c r="I3130" s="5"/>
      <c r="J3130" s="5"/>
      <c r="K3130" s="5" t="s">
        <v>15741</v>
      </c>
    </row>
    <row r="3131" customFormat="false" ht="15" hidden="false" customHeight="false" outlineLevel="0" collapsed="false">
      <c r="A3131" s="5" t="s">
        <v>15742</v>
      </c>
      <c r="B3131" s="2" t="s">
        <v>15743</v>
      </c>
      <c r="C3131" s="5" t="s">
        <v>2128</v>
      </c>
      <c r="D3131" s="5" t="s">
        <v>62</v>
      </c>
      <c r="E3131" s="5" t="n">
        <v>5</v>
      </c>
      <c r="F3131" s="5" t="s">
        <v>1210</v>
      </c>
      <c r="G3131" s="2" t="s">
        <v>367</v>
      </c>
      <c r="H3131" s="5" t="s">
        <v>8336</v>
      </c>
      <c r="I3131" s="5"/>
      <c r="J3131" s="5"/>
      <c r="K3131" s="5" t="s">
        <v>15744</v>
      </c>
    </row>
    <row r="3132" customFormat="false" ht="23.85" hidden="false" customHeight="false" outlineLevel="0" collapsed="false">
      <c r="A3132" s="5" t="s">
        <v>15745</v>
      </c>
      <c r="B3132" s="2" t="s">
        <v>15746</v>
      </c>
      <c r="C3132" s="5" t="s">
        <v>2128</v>
      </c>
      <c r="D3132" s="5" t="s">
        <v>62</v>
      </c>
      <c r="E3132" s="5" t="n">
        <v>5</v>
      </c>
      <c r="F3132" s="5" t="s">
        <v>1814</v>
      </c>
      <c r="G3132" s="2" t="s">
        <v>367</v>
      </c>
      <c r="H3132" s="5" t="s">
        <v>8336</v>
      </c>
      <c r="I3132" s="5"/>
      <c r="J3132" s="5"/>
      <c r="K3132" s="5" t="s">
        <v>15747</v>
      </c>
    </row>
    <row r="3133" customFormat="false" ht="46.25" hidden="false" customHeight="false" outlineLevel="0" collapsed="false">
      <c r="A3133" s="5" t="s">
        <v>15748</v>
      </c>
      <c r="B3133" s="2" t="s">
        <v>15749</v>
      </c>
      <c r="C3133" s="5" t="s">
        <v>2245</v>
      </c>
      <c r="D3133" s="5" t="s">
        <v>62</v>
      </c>
      <c r="E3133" s="5" t="n">
        <v>5</v>
      </c>
      <c r="F3133" s="5" t="s">
        <v>67</v>
      </c>
      <c r="G3133" s="2" t="s">
        <v>12057</v>
      </c>
      <c r="H3133" s="5" t="s">
        <v>8336</v>
      </c>
      <c r="I3133" s="5"/>
      <c r="J3133" s="5"/>
      <c r="K3133" s="5" t="s">
        <v>15750</v>
      </c>
    </row>
    <row r="3134" customFormat="false" ht="15" hidden="false" customHeight="false" outlineLevel="0" collapsed="false">
      <c r="A3134" s="5" t="s">
        <v>15751</v>
      </c>
      <c r="B3134" s="2" t="s">
        <v>15752</v>
      </c>
      <c r="C3134" s="5" t="s">
        <v>2128</v>
      </c>
      <c r="D3134" s="5" t="s">
        <v>62</v>
      </c>
      <c r="E3134" s="5" t="n">
        <v>7</v>
      </c>
      <c r="F3134" s="5" t="s">
        <v>413</v>
      </c>
      <c r="G3134" s="2" t="s">
        <v>367</v>
      </c>
      <c r="H3134" s="5" t="s">
        <v>8336</v>
      </c>
      <c r="I3134" s="5"/>
      <c r="J3134" s="5"/>
      <c r="K3134" s="5" t="s">
        <v>15753</v>
      </c>
    </row>
    <row r="3135" customFormat="false" ht="23.85" hidden="false" customHeight="false" outlineLevel="0" collapsed="false">
      <c r="A3135" s="5" t="s">
        <v>15754</v>
      </c>
      <c r="B3135" s="2" t="s">
        <v>15755</v>
      </c>
      <c r="C3135" s="5" t="s">
        <v>2128</v>
      </c>
      <c r="D3135" s="5" t="s">
        <v>62</v>
      </c>
      <c r="E3135" s="5" t="n">
        <v>7</v>
      </c>
      <c r="F3135" s="5" t="s">
        <v>1814</v>
      </c>
      <c r="G3135" s="2" t="s">
        <v>367</v>
      </c>
      <c r="H3135" s="5" t="s">
        <v>8336</v>
      </c>
      <c r="I3135" s="5"/>
      <c r="J3135" s="5"/>
      <c r="K3135" s="5" t="s">
        <v>15756</v>
      </c>
    </row>
    <row r="3136" customFormat="false" ht="23.85" hidden="false" customHeight="false" outlineLevel="0" collapsed="false">
      <c r="A3136" s="5" t="s">
        <v>15757</v>
      </c>
      <c r="B3136" s="2" t="s">
        <v>15758</v>
      </c>
      <c r="C3136" s="5" t="s">
        <v>2128</v>
      </c>
      <c r="D3136" s="5" t="s">
        <v>62</v>
      </c>
      <c r="E3136" s="5" t="n">
        <v>7</v>
      </c>
      <c r="F3136" s="5" t="s">
        <v>90</v>
      </c>
      <c r="G3136" s="2" t="s">
        <v>367</v>
      </c>
      <c r="H3136" s="5" t="s">
        <v>8336</v>
      </c>
      <c r="I3136" s="5"/>
      <c r="J3136" s="5"/>
      <c r="K3136" s="5" t="s">
        <v>15759</v>
      </c>
    </row>
    <row r="3137" customFormat="false" ht="46.25" hidden="false" customHeight="false" outlineLevel="0" collapsed="false">
      <c r="A3137" s="5" t="s">
        <v>15760</v>
      </c>
      <c r="B3137" s="2" t="s">
        <v>15761</v>
      </c>
      <c r="C3137" s="5" t="s">
        <v>2245</v>
      </c>
      <c r="D3137" s="5" t="s">
        <v>490</v>
      </c>
      <c r="E3137" s="5" t="n">
        <v>7</v>
      </c>
      <c r="F3137" s="5" t="s">
        <v>413</v>
      </c>
      <c r="G3137" s="2" t="s">
        <v>12057</v>
      </c>
      <c r="H3137" s="5" t="s">
        <v>8336</v>
      </c>
      <c r="I3137" s="5"/>
      <c r="J3137" s="5"/>
      <c r="K3137" s="5" t="s">
        <v>15762</v>
      </c>
    </row>
    <row r="3138" customFormat="false" ht="46.25" hidden="false" customHeight="false" outlineLevel="0" collapsed="false">
      <c r="A3138" s="5" t="s">
        <v>15763</v>
      </c>
      <c r="B3138" s="2" t="s">
        <v>15764</v>
      </c>
      <c r="C3138" s="5" t="s">
        <v>2245</v>
      </c>
      <c r="D3138" s="5" t="s">
        <v>62</v>
      </c>
      <c r="E3138" s="5" t="n">
        <v>5</v>
      </c>
      <c r="F3138" s="5" t="s">
        <v>90</v>
      </c>
      <c r="G3138" s="2" t="s">
        <v>12057</v>
      </c>
      <c r="H3138" s="5" t="s">
        <v>8336</v>
      </c>
      <c r="I3138" s="5"/>
      <c r="J3138" s="5"/>
      <c r="K3138" s="5" t="s">
        <v>15765</v>
      </c>
    </row>
    <row r="3139" customFormat="false" ht="15" hidden="false" customHeight="false" outlineLevel="0" collapsed="false">
      <c r="A3139" s="5" t="s">
        <v>4230</v>
      </c>
      <c r="B3139" s="2" t="s">
        <v>4231</v>
      </c>
      <c r="C3139" s="5" t="s">
        <v>2128</v>
      </c>
      <c r="D3139" s="5" t="s">
        <v>62</v>
      </c>
      <c r="E3139" s="5" t="n">
        <v>5</v>
      </c>
      <c r="F3139" s="5" t="s">
        <v>67</v>
      </c>
      <c r="G3139" s="2" t="s">
        <v>367</v>
      </c>
      <c r="H3139" s="5" t="s">
        <v>8332</v>
      </c>
      <c r="I3139" s="5" t="s">
        <v>60</v>
      </c>
      <c r="J3139" s="5" t="s">
        <v>161</v>
      </c>
      <c r="K3139" s="5" t="s">
        <v>4234</v>
      </c>
    </row>
    <row r="3140" customFormat="false" ht="23.85" hidden="false" customHeight="false" outlineLevel="0" collapsed="false">
      <c r="A3140" s="5" t="s">
        <v>15766</v>
      </c>
      <c r="B3140" s="2" t="s">
        <v>15767</v>
      </c>
      <c r="C3140" s="5" t="s">
        <v>2128</v>
      </c>
      <c r="D3140" s="5" t="s">
        <v>62</v>
      </c>
      <c r="E3140" s="5" t="n">
        <v>7</v>
      </c>
      <c r="F3140" s="5" t="s">
        <v>90</v>
      </c>
      <c r="G3140" s="2" t="s">
        <v>367</v>
      </c>
      <c r="H3140" s="5" t="s">
        <v>8336</v>
      </c>
      <c r="I3140" s="5"/>
      <c r="J3140" s="5"/>
      <c r="K3140" s="5" t="s">
        <v>15768</v>
      </c>
    </row>
    <row r="3141" customFormat="false" ht="46.25" hidden="false" customHeight="false" outlineLevel="0" collapsed="false">
      <c r="A3141" s="5" t="s">
        <v>447</v>
      </c>
      <c r="B3141" s="2" t="s">
        <v>448</v>
      </c>
      <c r="C3141" s="5" t="s">
        <v>59</v>
      </c>
      <c r="D3141" s="5" t="s">
        <v>62</v>
      </c>
      <c r="E3141" s="5" t="n">
        <v>9</v>
      </c>
      <c r="F3141" s="5" t="s">
        <v>100</v>
      </c>
      <c r="G3141" s="2" t="s">
        <v>12078</v>
      </c>
      <c r="H3141" s="5" t="s">
        <v>8332</v>
      </c>
      <c r="I3141" s="5" t="s">
        <v>60</v>
      </c>
      <c r="J3141" s="5" t="s">
        <v>449</v>
      </c>
      <c r="K3141" s="5" t="s">
        <v>453</v>
      </c>
    </row>
    <row r="3142" customFormat="false" ht="46.25" hidden="false" customHeight="false" outlineLevel="0" collapsed="false">
      <c r="A3142" s="5" t="s">
        <v>15769</v>
      </c>
      <c r="B3142" s="2" t="s">
        <v>15770</v>
      </c>
      <c r="C3142" s="5" t="s">
        <v>2245</v>
      </c>
      <c r="D3142" s="5" t="s">
        <v>490</v>
      </c>
      <c r="E3142" s="5" t="n">
        <v>7</v>
      </c>
      <c r="F3142" s="5" t="s">
        <v>67</v>
      </c>
      <c r="G3142" s="2" t="s">
        <v>12057</v>
      </c>
      <c r="H3142" s="5" t="s">
        <v>8336</v>
      </c>
      <c r="I3142" s="5"/>
      <c r="J3142" s="5"/>
      <c r="K3142" s="5" t="s">
        <v>15771</v>
      </c>
    </row>
    <row r="3143" customFormat="false" ht="46.25" hidden="false" customHeight="false" outlineLevel="0" collapsed="false">
      <c r="A3143" s="5" t="s">
        <v>15772</v>
      </c>
      <c r="B3143" s="2" t="s">
        <v>15773</v>
      </c>
      <c r="C3143" s="5" t="s">
        <v>2245</v>
      </c>
      <c r="D3143" s="5" t="s">
        <v>490</v>
      </c>
      <c r="E3143" s="5" t="n">
        <v>7</v>
      </c>
      <c r="F3143" s="5" t="s">
        <v>67</v>
      </c>
      <c r="G3143" s="2" t="s">
        <v>12057</v>
      </c>
      <c r="H3143" s="5" t="s">
        <v>8336</v>
      </c>
      <c r="I3143" s="5"/>
      <c r="J3143" s="5"/>
      <c r="K3143" s="5" t="s">
        <v>15774</v>
      </c>
    </row>
    <row r="3144" customFormat="false" ht="23.85" hidden="false" customHeight="false" outlineLevel="0" collapsed="false">
      <c r="A3144" s="5" t="s">
        <v>15775</v>
      </c>
      <c r="B3144" s="2" t="s">
        <v>15776</v>
      </c>
      <c r="C3144" s="5" t="s">
        <v>2128</v>
      </c>
      <c r="D3144" s="5" t="s">
        <v>62</v>
      </c>
      <c r="E3144" s="5" t="n">
        <v>7</v>
      </c>
      <c r="F3144" s="5" t="s">
        <v>277</v>
      </c>
      <c r="G3144" s="2" t="s">
        <v>367</v>
      </c>
      <c r="H3144" s="5" t="s">
        <v>8336</v>
      </c>
      <c r="I3144" s="5"/>
      <c r="J3144" s="5"/>
      <c r="K3144" s="5" t="s">
        <v>15777</v>
      </c>
    </row>
    <row r="3145" customFormat="false" ht="15" hidden="false" customHeight="false" outlineLevel="0" collapsed="false">
      <c r="A3145" s="5" t="s">
        <v>15778</v>
      </c>
      <c r="B3145" s="2" t="s">
        <v>15779</v>
      </c>
      <c r="C3145" s="5" t="s">
        <v>2128</v>
      </c>
      <c r="D3145" s="5" t="s">
        <v>62</v>
      </c>
      <c r="E3145" s="5" t="n">
        <v>7</v>
      </c>
      <c r="F3145" s="5" t="s">
        <v>67</v>
      </c>
      <c r="G3145" s="2" t="s">
        <v>367</v>
      </c>
      <c r="H3145" s="5" t="s">
        <v>8336</v>
      </c>
      <c r="I3145" s="5"/>
      <c r="J3145" s="5"/>
      <c r="K3145" s="5" t="s">
        <v>15780</v>
      </c>
    </row>
    <row r="3146" customFormat="false" ht="46.25" hidden="false" customHeight="false" outlineLevel="0" collapsed="false">
      <c r="A3146" s="5" t="s">
        <v>15781</v>
      </c>
      <c r="B3146" s="2" t="s">
        <v>15782</v>
      </c>
      <c r="C3146" s="5" t="s">
        <v>2245</v>
      </c>
      <c r="D3146" s="5" t="s">
        <v>62</v>
      </c>
      <c r="E3146" s="5" t="n">
        <v>5</v>
      </c>
      <c r="F3146" s="5" t="s">
        <v>277</v>
      </c>
      <c r="G3146" s="2" t="s">
        <v>12054</v>
      </c>
      <c r="H3146" s="5" t="s">
        <v>8336</v>
      </c>
      <c r="I3146" s="5"/>
      <c r="J3146" s="5"/>
      <c r="K3146" s="5" t="s">
        <v>15783</v>
      </c>
    </row>
    <row r="3147" customFormat="false" ht="23.85" hidden="false" customHeight="false" outlineLevel="0" collapsed="false">
      <c r="A3147" s="5" t="s">
        <v>1860</v>
      </c>
      <c r="B3147" s="2" t="s">
        <v>1861</v>
      </c>
      <c r="C3147" s="5" t="s">
        <v>488</v>
      </c>
      <c r="D3147" s="5" t="s">
        <v>62</v>
      </c>
      <c r="E3147" s="5" t="n">
        <v>9</v>
      </c>
      <c r="F3147" s="5" t="s">
        <v>90</v>
      </c>
      <c r="G3147" s="2" t="s">
        <v>367</v>
      </c>
      <c r="H3147" s="5" t="s">
        <v>8332</v>
      </c>
      <c r="I3147" s="5" t="s">
        <v>60</v>
      </c>
      <c r="J3147" s="5"/>
      <c r="K3147" s="5" t="s">
        <v>1864</v>
      </c>
    </row>
    <row r="3148" customFormat="false" ht="46.25" hidden="false" customHeight="false" outlineLevel="0" collapsed="false">
      <c r="A3148" s="5" t="s">
        <v>15784</v>
      </c>
      <c r="B3148" s="2" t="s">
        <v>15785</v>
      </c>
      <c r="C3148" s="5" t="s">
        <v>2245</v>
      </c>
      <c r="D3148" s="5" t="s">
        <v>62</v>
      </c>
      <c r="E3148" s="5" t="n">
        <v>5</v>
      </c>
      <c r="F3148" s="5" t="s">
        <v>277</v>
      </c>
      <c r="G3148" s="2" t="s">
        <v>12057</v>
      </c>
      <c r="H3148" s="5" t="s">
        <v>8336</v>
      </c>
      <c r="I3148" s="5"/>
      <c r="J3148" s="5"/>
      <c r="K3148" s="5" t="s">
        <v>15786</v>
      </c>
    </row>
    <row r="3149" customFormat="false" ht="46.25" hidden="false" customHeight="false" outlineLevel="0" collapsed="false">
      <c r="A3149" s="5" t="s">
        <v>15787</v>
      </c>
      <c r="B3149" s="2" t="s">
        <v>15788</v>
      </c>
      <c r="C3149" s="5" t="s">
        <v>2128</v>
      </c>
      <c r="D3149" s="5" t="s">
        <v>62</v>
      </c>
      <c r="E3149" s="5" t="n">
        <v>7</v>
      </c>
      <c r="F3149" s="5" t="s">
        <v>90</v>
      </c>
      <c r="G3149" s="2" t="s">
        <v>12057</v>
      </c>
      <c r="H3149" s="5" t="s">
        <v>8336</v>
      </c>
      <c r="I3149" s="5"/>
      <c r="J3149" s="5"/>
      <c r="K3149" s="5" t="s">
        <v>15789</v>
      </c>
    </row>
    <row r="3150" customFormat="false" ht="46.25" hidden="false" customHeight="false" outlineLevel="0" collapsed="false">
      <c r="A3150" s="5" t="s">
        <v>15790</v>
      </c>
      <c r="B3150" s="2" t="s">
        <v>15791</v>
      </c>
      <c r="C3150" s="5" t="s">
        <v>2245</v>
      </c>
      <c r="D3150" s="5" t="s">
        <v>62</v>
      </c>
      <c r="E3150" s="5" t="n">
        <v>5</v>
      </c>
      <c r="F3150" s="5" t="s">
        <v>90</v>
      </c>
      <c r="G3150" s="2" t="s">
        <v>12057</v>
      </c>
      <c r="H3150" s="5" t="s">
        <v>8336</v>
      </c>
      <c r="I3150" s="5"/>
      <c r="J3150" s="5"/>
      <c r="K3150" s="5" t="s">
        <v>15792</v>
      </c>
    </row>
    <row r="3151" customFormat="false" ht="23.85" hidden="false" customHeight="false" outlineLevel="0" collapsed="false">
      <c r="A3151" s="5" t="s">
        <v>1865</v>
      </c>
      <c r="B3151" s="2" t="s">
        <v>1866</v>
      </c>
      <c r="C3151" s="5" t="s">
        <v>488</v>
      </c>
      <c r="D3151" s="5" t="s">
        <v>62</v>
      </c>
      <c r="E3151" s="5" t="n">
        <v>7</v>
      </c>
      <c r="F3151" s="5" t="s">
        <v>536</v>
      </c>
      <c r="G3151" s="2" t="s">
        <v>367</v>
      </c>
      <c r="H3151" s="5" t="s">
        <v>8332</v>
      </c>
      <c r="I3151" s="5" t="s">
        <v>60</v>
      </c>
      <c r="J3151" s="5" t="s">
        <v>751</v>
      </c>
      <c r="K3151" s="5" t="s">
        <v>1869</v>
      </c>
    </row>
    <row r="3152" customFormat="false" ht="46.25" hidden="false" customHeight="false" outlineLevel="0" collapsed="false">
      <c r="A3152" s="5" t="s">
        <v>4235</v>
      </c>
      <c r="B3152" s="2" t="s">
        <v>4236</v>
      </c>
      <c r="C3152" s="5" t="s">
        <v>2245</v>
      </c>
      <c r="D3152" s="5" t="s">
        <v>62</v>
      </c>
      <c r="E3152" s="5" t="n">
        <v>7</v>
      </c>
      <c r="F3152" s="5" t="s">
        <v>100</v>
      </c>
      <c r="G3152" s="2" t="s">
        <v>12057</v>
      </c>
      <c r="H3152" s="5" t="s">
        <v>8332</v>
      </c>
      <c r="I3152" s="5" t="s">
        <v>60</v>
      </c>
      <c r="J3152" s="5" t="s">
        <v>1104</v>
      </c>
      <c r="K3152" s="5" t="s">
        <v>4239</v>
      </c>
    </row>
    <row r="3153" customFormat="false" ht="46.25" hidden="false" customHeight="false" outlineLevel="0" collapsed="false">
      <c r="A3153" s="5" t="s">
        <v>4240</v>
      </c>
      <c r="B3153" s="2" t="s">
        <v>4241</v>
      </c>
      <c r="C3153" s="5" t="s">
        <v>2245</v>
      </c>
      <c r="D3153" s="5" t="s">
        <v>62</v>
      </c>
      <c r="E3153" s="5" t="n">
        <v>7</v>
      </c>
      <c r="F3153" s="5" t="s">
        <v>100</v>
      </c>
      <c r="G3153" s="2" t="s">
        <v>12057</v>
      </c>
      <c r="H3153" s="5" t="s">
        <v>8332</v>
      </c>
      <c r="I3153" s="5" t="s">
        <v>60</v>
      </c>
      <c r="J3153" s="5" t="s">
        <v>1104</v>
      </c>
      <c r="K3153" s="5" t="s">
        <v>4244</v>
      </c>
    </row>
    <row r="3154" customFormat="false" ht="46.25" hidden="false" customHeight="false" outlineLevel="0" collapsed="false">
      <c r="A3154" s="5" t="s">
        <v>4245</v>
      </c>
      <c r="B3154" s="2" t="s">
        <v>4246</v>
      </c>
      <c r="C3154" s="5" t="s">
        <v>2245</v>
      </c>
      <c r="D3154" s="5" t="s">
        <v>62</v>
      </c>
      <c r="E3154" s="5" t="n">
        <v>7</v>
      </c>
      <c r="F3154" s="5" t="s">
        <v>100</v>
      </c>
      <c r="G3154" s="2" t="s">
        <v>12057</v>
      </c>
      <c r="H3154" s="5" t="s">
        <v>8332</v>
      </c>
      <c r="I3154" s="5" t="s">
        <v>60</v>
      </c>
      <c r="J3154" s="5" t="s">
        <v>1104</v>
      </c>
      <c r="K3154" s="5" t="s">
        <v>4249</v>
      </c>
    </row>
    <row r="3155" customFormat="false" ht="35.05" hidden="false" customHeight="false" outlineLevel="0" collapsed="false">
      <c r="A3155" s="5" t="s">
        <v>454</v>
      </c>
      <c r="B3155" s="2" t="s">
        <v>455</v>
      </c>
      <c r="C3155" s="5" t="s">
        <v>59</v>
      </c>
      <c r="D3155" s="5" t="s">
        <v>62</v>
      </c>
      <c r="E3155" s="5" t="n">
        <v>9</v>
      </c>
      <c r="F3155" s="5" t="s">
        <v>100</v>
      </c>
      <c r="G3155" s="2" t="s">
        <v>12494</v>
      </c>
      <c r="H3155" s="5" t="s">
        <v>8332</v>
      </c>
      <c r="I3155" s="5" t="s">
        <v>60</v>
      </c>
      <c r="J3155" s="5" t="s">
        <v>303</v>
      </c>
      <c r="K3155" s="5" t="s">
        <v>459</v>
      </c>
    </row>
    <row r="3156" customFormat="false" ht="23.85" hidden="false" customHeight="false" outlineLevel="0" collapsed="false">
      <c r="A3156" s="5" t="s">
        <v>15793</v>
      </c>
      <c r="B3156" s="2" t="s">
        <v>15794</v>
      </c>
      <c r="C3156" s="5" t="s">
        <v>2128</v>
      </c>
      <c r="D3156" s="5" t="s">
        <v>62</v>
      </c>
      <c r="E3156" s="5" t="n">
        <v>7</v>
      </c>
      <c r="F3156" s="5" t="s">
        <v>67</v>
      </c>
      <c r="G3156" s="2" t="s">
        <v>367</v>
      </c>
      <c r="H3156" s="5" t="s">
        <v>8336</v>
      </c>
      <c r="I3156" s="5"/>
      <c r="J3156" s="5"/>
      <c r="K3156" s="5" t="s">
        <v>15795</v>
      </c>
    </row>
    <row r="3157" customFormat="false" ht="15" hidden="false" customHeight="false" outlineLevel="0" collapsed="false">
      <c r="A3157" s="5" t="s">
        <v>15796</v>
      </c>
      <c r="B3157" s="2" t="s">
        <v>15797</v>
      </c>
      <c r="C3157" s="5" t="s">
        <v>2128</v>
      </c>
      <c r="D3157" s="5" t="s">
        <v>62</v>
      </c>
      <c r="E3157" s="5" t="n">
        <v>5</v>
      </c>
      <c r="F3157" s="5" t="s">
        <v>67</v>
      </c>
      <c r="G3157" s="2" t="s">
        <v>367</v>
      </c>
      <c r="H3157" s="5" t="s">
        <v>8336</v>
      </c>
      <c r="I3157" s="5"/>
      <c r="J3157" s="5"/>
      <c r="K3157" s="5" t="s">
        <v>15798</v>
      </c>
    </row>
    <row r="3158" customFormat="false" ht="23.85" hidden="false" customHeight="false" outlineLevel="0" collapsed="false">
      <c r="A3158" s="5" t="s">
        <v>15799</v>
      </c>
      <c r="B3158" s="2" t="s">
        <v>15800</v>
      </c>
      <c r="C3158" s="5" t="s">
        <v>2128</v>
      </c>
      <c r="D3158" s="5" t="s">
        <v>62</v>
      </c>
      <c r="E3158" s="5" t="n">
        <v>5</v>
      </c>
      <c r="F3158" s="5" t="s">
        <v>90</v>
      </c>
      <c r="G3158" s="2" t="s">
        <v>415</v>
      </c>
      <c r="H3158" s="5" t="s">
        <v>8336</v>
      </c>
      <c r="I3158" s="5"/>
      <c r="J3158" s="5"/>
      <c r="K3158" s="5" t="s">
        <v>15801</v>
      </c>
    </row>
    <row r="3159" customFormat="false" ht="23.85" hidden="false" customHeight="false" outlineLevel="0" collapsed="false">
      <c r="A3159" s="5" t="s">
        <v>15802</v>
      </c>
      <c r="B3159" s="2" t="s">
        <v>15803</v>
      </c>
      <c r="C3159" s="5" t="s">
        <v>2128</v>
      </c>
      <c r="D3159" s="5" t="s">
        <v>62</v>
      </c>
      <c r="E3159" s="5" t="n">
        <v>7</v>
      </c>
      <c r="F3159" s="5" t="s">
        <v>90</v>
      </c>
      <c r="G3159" s="2" t="s">
        <v>415</v>
      </c>
      <c r="H3159" s="5" t="s">
        <v>8336</v>
      </c>
      <c r="I3159" s="5"/>
      <c r="J3159" s="5"/>
      <c r="K3159" s="5" t="s">
        <v>15804</v>
      </c>
    </row>
    <row r="3160" customFormat="false" ht="23.85" hidden="false" customHeight="false" outlineLevel="0" collapsed="false">
      <c r="A3160" s="5" t="s">
        <v>4250</v>
      </c>
      <c r="B3160" s="2" t="s">
        <v>4251</v>
      </c>
      <c r="C3160" s="5" t="s">
        <v>2128</v>
      </c>
      <c r="D3160" s="5" t="s">
        <v>490</v>
      </c>
      <c r="E3160" s="5" t="n">
        <v>7</v>
      </c>
      <c r="F3160" s="5" t="s">
        <v>90</v>
      </c>
      <c r="G3160" s="2" t="s">
        <v>184</v>
      </c>
      <c r="H3160" s="5" t="s">
        <v>8332</v>
      </c>
      <c r="I3160" s="5" t="s">
        <v>60</v>
      </c>
      <c r="J3160" s="5" t="s">
        <v>269</v>
      </c>
      <c r="K3160" s="5" t="s">
        <v>4255</v>
      </c>
    </row>
    <row r="3161" customFormat="false" ht="23.85" hidden="false" customHeight="false" outlineLevel="0" collapsed="false">
      <c r="A3161" s="5" t="s">
        <v>15805</v>
      </c>
      <c r="B3161" s="2" t="s">
        <v>15806</v>
      </c>
      <c r="C3161" s="5" t="s">
        <v>2128</v>
      </c>
      <c r="D3161" s="5" t="s">
        <v>490</v>
      </c>
      <c r="E3161" s="5" t="n">
        <v>7</v>
      </c>
      <c r="F3161" s="5" t="s">
        <v>90</v>
      </c>
      <c r="G3161" s="2" t="s">
        <v>415</v>
      </c>
      <c r="H3161" s="5" t="s">
        <v>8336</v>
      </c>
      <c r="I3161" s="5"/>
      <c r="J3161" s="5"/>
      <c r="K3161" s="5" t="s">
        <v>15807</v>
      </c>
    </row>
    <row r="3162" customFormat="false" ht="15" hidden="false" customHeight="false" outlineLevel="0" collapsed="false">
      <c r="A3162" s="5" t="s">
        <v>15808</v>
      </c>
      <c r="B3162" s="2" t="s">
        <v>15809</v>
      </c>
      <c r="C3162" s="5" t="s">
        <v>2128</v>
      </c>
      <c r="D3162" s="5" t="s">
        <v>62</v>
      </c>
      <c r="E3162" s="5" t="n">
        <v>5</v>
      </c>
      <c r="F3162" s="5" t="s">
        <v>413</v>
      </c>
      <c r="G3162" s="2" t="s">
        <v>367</v>
      </c>
      <c r="H3162" s="5" t="s">
        <v>8336</v>
      </c>
      <c r="I3162" s="5"/>
      <c r="J3162" s="5"/>
      <c r="K3162" s="5" t="s">
        <v>15810</v>
      </c>
    </row>
    <row r="3163" customFormat="false" ht="15" hidden="false" customHeight="false" outlineLevel="0" collapsed="false">
      <c r="A3163" s="5" t="s">
        <v>15811</v>
      </c>
      <c r="B3163" s="2" t="s">
        <v>15812</v>
      </c>
      <c r="C3163" s="5" t="s">
        <v>2128</v>
      </c>
      <c r="D3163" s="5" t="s">
        <v>62</v>
      </c>
      <c r="E3163" s="5" t="n">
        <v>7</v>
      </c>
      <c r="F3163" s="5" t="s">
        <v>67</v>
      </c>
      <c r="G3163" s="2" t="s">
        <v>367</v>
      </c>
      <c r="H3163" s="5" t="s">
        <v>8336</v>
      </c>
      <c r="I3163" s="5"/>
      <c r="J3163" s="5"/>
      <c r="K3163" s="5" t="s">
        <v>15813</v>
      </c>
    </row>
    <row r="3164" customFormat="false" ht="46.25" hidden="false" customHeight="false" outlineLevel="0" collapsed="false">
      <c r="A3164" s="5" t="s">
        <v>4256</v>
      </c>
      <c r="B3164" s="2" t="s">
        <v>4257</v>
      </c>
      <c r="C3164" s="5" t="s">
        <v>2245</v>
      </c>
      <c r="D3164" s="5" t="s">
        <v>62</v>
      </c>
      <c r="E3164" s="5" t="n">
        <v>3</v>
      </c>
      <c r="F3164" s="5" t="s">
        <v>67</v>
      </c>
      <c r="G3164" s="2" t="s">
        <v>12894</v>
      </c>
      <c r="H3164" s="5" t="s">
        <v>8332</v>
      </c>
      <c r="I3164" s="5" t="s">
        <v>60</v>
      </c>
      <c r="J3164" s="5" t="s">
        <v>269</v>
      </c>
      <c r="K3164" s="5" t="s">
        <v>4262</v>
      </c>
    </row>
    <row r="3165" customFormat="false" ht="46.25" hidden="false" customHeight="false" outlineLevel="0" collapsed="false">
      <c r="A3165" s="5" t="s">
        <v>15814</v>
      </c>
      <c r="B3165" s="2" t="s">
        <v>15815</v>
      </c>
      <c r="C3165" s="5" t="s">
        <v>2245</v>
      </c>
      <c r="D3165" s="5" t="s">
        <v>62</v>
      </c>
      <c r="E3165" s="5" t="n">
        <v>5</v>
      </c>
      <c r="F3165" s="5" t="s">
        <v>67</v>
      </c>
      <c r="G3165" s="2" t="s">
        <v>12054</v>
      </c>
      <c r="H3165" s="5" t="s">
        <v>8336</v>
      </c>
      <c r="I3165" s="5"/>
      <c r="J3165" s="5"/>
      <c r="K3165" s="5" t="s">
        <v>15816</v>
      </c>
    </row>
    <row r="3166" customFormat="false" ht="23.85" hidden="false" customHeight="false" outlineLevel="0" collapsed="false">
      <c r="A3166" s="5" t="s">
        <v>15817</v>
      </c>
      <c r="B3166" s="2" t="s">
        <v>15818</v>
      </c>
      <c r="C3166" s="5" t="s">
        <v>2128</v>
      </c>
      <c r="D3166" s="5" t="s">
        <v>62</v>
      </c>
      <c r="E3166" s="5" t="n">
        <v>5</v>
      </c>
      <c r="F3166" s="5" t="s">
        <v>67</v>
      </c>
      <c r="G3166" s="2" t="s">
        <v>367</v>
      </c>
      <c r="H3166" s="5" t="s">
        <v>8336</v>
      </c>
      <c r="I3166" s="5"/>
      <c r="J3166" s="5"/>
      <c r="K3166" s="5" t="s">
        <v>15819</v>
      </c>
    </row>
    <row r="3167" customFormat="false" ht="15" hidden="false" customHeight="false" outlineLevel="0" collapsed="false">
      <c r="A3167" s="5" t="s">
        <v>15820</v>
      </c>
      <c r="B3167" s="2" t="s">
        <v>15821</v>
      </c>
      <c r="C3167" s="5" t="s">
        <v>2128</v>
      </c>
      <c r="D3167" s="5" t="s">
        <v>62</v>
      </c>
      <c r="E3167" s="5" t="n">
        <v>5</v>
      </c>
      <c r="F3167" s="5" t="s">
        <v>413</v>
      </c>
      <c r="G3167" s="2" t="s">
        <v>367</v>
      </c>
      <c r="H3167" s="5" t="s">
        <v>8336</v>
      </c>
      <c r="I3167" s="5"/>
      <c r="J3167" s="5"/>
      <c r="K3167" s="5" t="s">
        <v>15822</v>
      </c>
    </row>
    <row r="3168" customFormat="false" ht="46.25" hidden="false" customHeight="false" outlineLevel="0" collapsed="false">
      <c r="A3168" s="5" t="s">
        <v>15823</v>
      </c>
      <c r="B3168" s="2" t="s">
        <v>15824</v>
      </c>
      <c r="C3168" s="5" t="s">
        <v>2245</v>
      </c>
      <c r="D3168" s="5" t="s">
        <v>490</v>
      </c>
      <c r="E3168" s="5" t="n">
        <v>5</v>
      </c>
      <c r="F3168" s="5" t="s">
        <v>413</v>
      </c>
      <c r="G3168" s="2" t="s">
        <v>12057</v>
      </c>
      <c r="H3168" s="5" t="s">
        <v>8336</v>
      </c>
      <c r="I3168" s="5"/>
      <c r="J3168" s="5"/>
      <c r="K3168" s="5" t="s">
        <v>15825</v>
      </c>
    </row>
    <row r="3169" customFormat="false" ht="23.85" hidden="false" customHeight="false" outlineLevel="0" collapsed="false">
      <c r="A3169" s="5" t="s">
        <v>15826</v>
      </c>
      <c r="B3169" s="2" t="s">
        <v>15827</v>
      </c>
      <c r="C3169" s="5" t="s">
        <v>2128</v>
      </c>
      <c r="D3169" s="5" t="s">
        <v>62</v>
      </c>
      <c r="E3169" s="5" t="n">
        <v>5</v>
      </c>
      <c r="F3169" s="5" t="s">
        <v>67</v>
      </c>
      <c r="G3169" s="2" t="s">
        <v>367</v>
      </c>
      <c r="H3169" s="5" t="s">
        <v>8336</v>
      </c>
      <c r="I3169" s="5"/>
      <c r="J3169" s="5"/>
      <c r="K3169" s="5" t="s">
        <v>15828</v>
      </c>
    </row>
    <row r="3170" customFormat="false" ht="15" hidden="false" customHeight="false" outlineLevel="0" collapsed="false">
      <c r="A3170" s="5" t="s">
        <v>15829</v>
      </c>
      <c r="B3170" s="2" t="s">
        <v>15830</v>
      </c>
      <c r="C3170" s="5" t="s">
        <v>2128</v>
      </c>
      <c r="D3170" s="5" t="s">
        <v>62</v>
      </c>
      <c r="E3170" s="5" t="n">
        <v>5</v>
      </c>
      <c r="F3170" s="5" t="s">
        <v>67</v>
      </c>
      <c r="G3170" s="2" t="s">
        <v>367</v>
      </c>
      <c r="H3170" s="5" t="s">
        <v>8336</v>
      </c>
      <c r="I3170" s="5"/>
      <c r="J3170" s="5"/>
      <c r="K3170" s="5" t="s">
        <v>15831</v>
      </c>
    </row>
    <row r="3171" customFormat="false" ht="46.25" hidden="false" customHeight="false" outlineLevel="0" collapsed="false">
      <c r="A3171" s="5" t="s">
        <v>15832</v>
      </c>
      <c r="B3171" s="2" t="s">
        <v>15833</v>
      </c>
      <c r="C3171" s="5" t="s">
        <v>2245</v>
      </c>
      <c r="D3171" s="5" t="s">
        <v>62</v>
      </c>
      <c r="E3171" s="5" t="n">
        <v>5</v>
      </c>
      <c r="F3171" s="5" t="s">
        <v>90</v>
      </c>
      <c r="G3171" s="2" t="s">
        <v>12057</v>
      </c>
      <c r="H3171" s="5" t="s">
        <v>8336</v>
      </c>
      <c r="I3171" s="5"/>
      <c r="J3171" s="5"/>
      <c r="K3171" s="5" t="s">
        <v>15834</v>
      </c>
    </row>
    <row r="3172" customFormat="false" ht="23.85" hidden="false" customHeight="false" outlineLevel="0" collapsed="false">
      <c r="A3172" s="5" t="s">
        <v>15835</v>
      </c>
      <c r="B3172" s="2" t="s">
        <v>15836</v>
      </c>
      <c r="C3172" s="5" t="s">
        <v>2128</v>
      </c>
      <c r="D3172" s="5" t="s">
        <v>62</v>
      </c>
      <c r="E3172" s="5" t="n">
        <v>7</v>
      </c>
      <c r="F3172" s="5" t="s">
        <v>67</v>
      </c>
      <c r="G3172" s="2" t="s">
        <v>367</v>
      </c>
      <c r="H3172" s="5" t="s">
        <v>8336</v>
      </c>
      <c r="I3172" s="5"/>
      <c r="J3172" s="5"/>
      <c r="K3172" s="5" t="s">
        <v>15837</v>
      </c>
    </row>
    <row r="3173" customFormat="false" ht="46.25" hidden="false" customHeight="false" outlineLevel="0" collapsed="false">
      <c r="A3173" s="5" t="s">
        <v>15838</v>
      </c>
      <c r="B3173" s="2" t="s">
        <v>15839</v>
      </c>
      <c r="C3173" s="5" t="s">
        <v>2245</v>
      </c>
      <c r="D3173" s="5" t="s">
        <v>62</v>
      </c>
      <c r="E3173" s="5" t="n">
        <v>5</v>
      </c>
      <c r="F3173" s="5" t="s">
        <v>67</v>
      </c>
      <c r="G3173" s="2" t="s">
        <v>12057</v>
      </c>
      <c r="H3173" s="5" t="s">
        <v>8336</v>
      </c>
      <c r="I3173" s="5"/>
      <c r="J3173" s="5"/>
      <c r="K3173" s="5" t="s">
        <v>15840</v>
      </c>
    </row>
    <row r="3174" customFormat="false" ht="23.85" hidden="false" customHeight="false" outlineLevel="0" collapsed="false">
      <c r="A3174" s="5" t="s">
        <v>1870</v>
      </c>
      <c r="B3174" s="2" t="s">
        <v>1871</v>
      </c>
      <c r="C3174" s="5" t="s">
        <v>488</v>
      </c>
      <c r="D3174" s="5" t="s">
        <v>62</v>
      </c>
      <c r="E3174" s="5" t="n">
        <v>5</v>
      </c>
      <c r="F3174" s="5" t="s">
        <v>100</v>
      </c>
      <c r="G3174" s="2" t="s">
        <v>367</v>
      </c>
      <c r="H3174" s="5" t="s">
        <v>8332</v>
      </c>
      <c r="I3174" s="5" t="s">
        <v>60</v>
      </c>
      <c r="J3174" s="5" t="s">
        <v>100</v>
      </c>
      <c r="K3174" s="5" t="s">
        <v>1874</v>
      </c>
    </row>
    <row r="3175" customFormat="false" ht="23.85" hidden="false" customHeight="false" outlineLevel="0" collapsed="false">
      <c r="A3175" s="5" t="s">
        <v>15841</v>
      </c>
      <c r="B3175" s="2" t="s">
        <v>15842</v>
      </c>
      <c r="C3175" s="5" t="s">
        <v>2128</v>
      </c>
      <c r="D3175" s="5" t="s">
        <v>62</v>
      </c>
      <c r="E3175" s="5" t="n">
        <v>7</v>
      </c>
      <c r="F3175" s="5" t="s">
        <v>536</v>
      </c>
      <c r="G3175" s="2" t="s">
        <v>367</v>
      </c>
      <c r="H3175" s="5" t="s">
        <v>8336</v>
      </c>
      <c r="I3175" s="5"/>
      <c r="J3175" s="5"/>
      <c r="K3175" s="5" t="s">
        <v>15843</v>
      </c>
    </row>
    <row r="3176" customFormat="false" ht="23.85" hidden="false" customHeight="false" outlineLevel="0" collapsed="false">
      <c r="A3176" s="5" t="s">
        <v>460</v>
      </c>
      <c r="B3176" s="2" t="s">
        <v>461</v>
      </c>
      <c r="C3176" s="5" t="s">
        <v>59</v>
      </c>
      <c r="D3176" s="5" t="s">
        <v>62</v>
      </c>
      <c r="E3176" s="5" t="n">
        <v>10</v>
      </c>
      <c r="F3176" s="5" t="s">
        <v>100</v>
      </c>
      <c r="G3176" s="2" t="s">
        <v>184</v>
      </c>
      <c r="H3176" s="5" t="s">
        <v>8332</v>
      </c>
      <c r="I3176" s="5" t="s">
        <v>60</v>
      </c>
      <c r="J3176" s="5" t="s">
        <v>449</v>
      </c>
      <c r="K3176" s="5" t="s">
        <v>464</v>
      </c>
    </row>
    <row r="3177" customFormat="false" ht="23.85" hidden="false" customHeight="false" outlineLevel="0" collapsed="false">
      <c r="A3177" s="5" t="s">
        <v>15844</v>
      </c>
      <c r="B3177" s="2" t="s">
        <v>15845</v>
      </c>
      <c r="C3177" s="5" t="s">
        <v>2128</v>
      </c>
      <c r="D3177" s="5" t="s">
        <v>62</v>
      </c>
      <c r="E3177" s="5" t="n">
        <v>3</v>
      </c>
      <c r="F3177" s="5" t="s">
        <v>277</v>
      </c>
      <c r="G3177" s="2" t="s">
        <v>367</v>
      </c>
      <c r="H3177" s="5" t="s">
        <v>8336</v>
      </c>
      <c r="I3177" s="5"/>
      <c r="J3177" s="5"/>
      <c r="K3177" s="5" t="s">
        <v>15846</v>
      </c>
    </row>
    <row r="3178" customFormat="false" ht="15" hidden="false" customHeight="false" outlineLevel="0" collapsed="false">
      <c r="A3178" s="5" t="s">
        <v>4263</v>
      </c>
      <c r="B3178" s="2" t="s">
        <v>4264</v>
      </c>
      <c r="C3178" s="5" t="s">
        <v>2128</v>
      </c>
      <c r="D3178" s="5" t="s">
        <v>62</v>
      </c>
      <c r="E3178" s="5" t="n">
        <v>7</v>
      </c>
      <c r="F3178" s="5" t="s">
        <v>67</v>
      </c>
      <c r="G3178" s="2" t="s">
        <v>367</v>
      </c>
      <c r="H3178" s="5" t="s">
        <v>8332</v>
      </c>
      <c r="I3178" s="5" t="s">
        <v>60</v>
      </c>
      <c r="J3178" s="5" t="s">
        <v>161</v>
      </c>
      <c r="K3178" s="5" t="s">
        <v>4268</v>
      </c>
    </row>
    <row r="3179" customFormat="false" ht="15" hidden="false" customHeight="false" outlineLevel="0" collapsed="false">
      <c r="A3179" s="5" t="s">
        <v>15847</v>
      </c>
      <c r="B3179" s="2" t="s">
        <v>15848</v>
      </c>
      <c r="C3179" s="5" t="s">
        <v>2128</v>
      </c>
      <c r="D3179" s="5" t="s">
        <v>62</v>
      </c>
      <c r="E3179" s="5" t="n">
        <v>5</v>
      </c>
      <c r="F3179" s="5" t="s">
        <v>90</v>
      </c>
      <c r="G3179" s="2" t="s">
        <v>367</v>
      </c>
      <c r="H3179" s="5" t="s">
        <v>8336</v>
      </c>
      <c r="I3179" s="5"/>
      <c r="J3179" s="5"/>
      <c r="K3179" s="5" t="s">
        <v>15849</v>
      </c>
    </row>
    <row r="3180" customFormat="false" ht="23.85" hidden="false" customHeight="false" outlineLevel="0" collapsed="false">
      <c r="A3180" s="5" t="s">
        <v>15850</v>
      </c>
      <c r="B3180" s="2" t="s">
        <v>15851</v>
      </c>
      <c r="C3180" s="5" t="s">
        <v>2128</v>
      </c>
      <c r="D3180" s="5" t="s">
        <v>62</v>
      </c>
      <c r="E3180" s="5" t="n">
        <v>7</v>
      </c>
      <c r="F3180" s="5" t="s">
        <v>67</v>
      </c>
      <c r="G3180" s="2" t="s">
        <v>367</v>
      </c>
      <c r="H3180" s="5" t="s">
        <v>8336</v>
      </c>
      <c r="I3180" s="5"/>
      <c r="J3180" s="5"/>
      <c r="K3180" s="5" t="s">
        <v>15852</v>
      </c>
    </row>
    <row r="3181" customFormat="false" ht="15" hidden="false" customHeight="false" outlineLevel="0" collapsed="false">
      <c r="A3181" s="5" t="s">
        <v>15853</v>
      </c>
      <c r="B3181" s="2" t="s">
        <v>15854</v>
      </c>
      <c r="C3181" s="5" t="s">
        <v>2128</v>
      </c>
      <c r="D3181" s="5" t="s">
        <v>62</v>
      </c>
      <c r="E3181" s="5" t="n">
        <v>7</v>
      </c>
      <c r="F3181" s="5" t="s">
        <v>67</v>
      </c>
      <c r="G3181" s="2" t="s">
        <v>367</v>
      </c>
      <c r="H3181" s="5" t="s">
        <v>8336</v>
      </c>
      <c r="I3181" s="5"/>
      <c r="J3181" s="5"/>
      <c r="K3181" s="5" t="s">
        <v>15855</v>
      </c>
    </row>
    <row r="3182" customFormat="false" ht="46.25" hidden="false" customHeight="false" outlineLevel="0" collapsed="false">
      <c r="A3182" s="5" t="s">
        <v>15856</v>
      </c>
      <c r="B3182" s="2" t="s">
        <v>15857</v>
      </c>
      <c r="C3182" s="5" t="s">
        <v>2245</v>
      </c>
      <c r="D3182" s="5" t="s">
        <v>62</v>
      </c>
      <c r="E3182" s="5" t="n">
        <v>9</v>
      </c>
      <c r="F3182" s="5" t="s">
        <v>1814</v>
      </c>
      <c r="G3182" s="2" t="s">
        <v>12054</v>
      </c>
      <c r="H3182" s="5" t="s">
        <v>8336</v>
      </c>
      <c r="I3182" s="5"/>
      <c r="J3182" s="5"/>
      <c r="K3182" s="5" t="s">
        <v>15858</v>
      </c>
    </row>
    <row r="3183" customFormat="false" ht="23.85" hidden="false" customHeight="false" outlineLevel="0" collapsed="false">
      <c r="A3183" s="5" t="s">
        <v>1875</v>
      </c>
      <c r="B3183" s="2" t="s">
        <v>1876</v>
      </c>
      <c r="C3183" s="5" t="s">
        <v>488</v>
      </c>
      <c r="D3183" s="5" t="s">
        <v>62</v>
      </c>
      <c r="E3183" s="5" t="n">
        <v>9</v>
      </c>
      <c r="F3183" s="5" t="s">
        <v>100</v>
      </c>
      <c r="G3183" s="2" t="s">
        <v>367</v>
      </c>
      <c r="H3183" s="5" t="s">
        <v>8332</v>
      </c>
      <c r="I3183" s="5" t="s">
        <v>60</v>
      </c>
      <c r="J3183" s="5" t="s">
        <v>100</v>
      </c>
      <c r="K3183" s="5" t="s">
        <v>1881</v>
      </c>
    </row>
    <row r="3184" customFormat="false" ht="15" hidden="false" customHeight="false" outlineLevel="0" collapsed="false">
      <c r="A3184" s="5" t="s">
        <v>15859</v>
      </c>
      <c r="B3184" s="2" t="s">
        <v>15860</v>
      </c>
      <c r="C3184" s="5" t="s">
        <v>2128</v>
      </c>
      <c r="D3184" s="5" t="s">
        <v>62</v>
      </c>
      <c r="E3184" s="5" t="n">
        <v>7</v>
      </c>
      <c r="F3184" s="5" t="s">
        <v>67</v>
      </c>
      <c r="G3184" s="2" t="s">
        <v>367</v>
      </c>
      <c r="H3184" s="5" t="s">
        <v>8336</v>
      </c>
      <c r="I3184" s="5"/>
      <c r="J3184" s="5"/>
      <c r="K3184" s="5" t="s">
        <v>15861</v>
      </c>
    </row>
    <row r="3185" customFormat="false" ht="23.85" hidden="false" customHeight="false" outlineLevel="0" collapsed="false">
      <c r="A3185" s="5" t="s">
        <v>15862</v>
      </c>
      <c r="B3185" s="2" t="s">
        <v>15863</v>
      </c>
      <c r="C3185" s="5" t="s">
        <v>2128</v>
      </c>
      <c r="D3185" s="5" t="s">
        <v>62</v>
      </c>
      <c r="E3185" s="5" t="n">
        <v>7</v>
      </c>
      <c r="F3185" s="5" t="s">
        <v>413</v>
      </c>
      <c r="G3185" s="2" t="s">
        <v>415</v>
      </c>
      <c r="H3185" s="5" t="s">
        <v>8336</v>
      </c>
      <c r="I3185" s="5"/>
      <c r="J3185" s="5"/>
      <c r="K3185" s="5" t="s">
        <v>15864</v>
      </c>
    </row>
    <row r="3186" customFormat="false" ht="23.85" hidden="false" customHeight="false" outlineLevel="0" collapsed="false">
      <c r="A3186" s="5" t="s">
        <v>4269</v>
      </c>
      <c r="B3186" s="2" t="s">
        <v>4270</v>
      </c>
      <c r="C3186" s="5" t="s">
        <v>2128</v>
      </c>
      <c r="D3186" s="5" t="s">
        <v>62</v>
      </c>
      <c r="E3186" s="5" t="n">
        <v>7</v>
      </c>
      <c r="F3186" s="5" t="s">
        <v>2079</v>
      </c>
      <c r="G3186" s="2" t="s">
        <v>184</v>
      </c>
      <c r="H3186" s="5" t="s">
        <v>8332</v>
      </c>
      <c r="I3186" s="5" t="s">
        <v>60</v>
      </c>
      <c r="J3186" s="5" t="s">
        <v>2078</v>
      </c>
      <c r="K3186" s="5" t="s">
        <v>4274</v>
      </c>
    </row>
    <row r="3187" customFormat="false" ht="23.85" hidden="false" customHeight="false" outlineLevel="0" collapsed="false">
      <c r="A3187" s="5" t="s">
        <v>6389</v>
      </c>
      <c r="B3187" s="2" t="s">
        <v>6390</v>
      </c>
      <c r="C3187" s="5" t="s">
        <v>2128</v>
      </c>
      <c r="D3187" s="5" t="s">
        <v>62</v>
      </c>
      <c r="E3187" s="5" t="n">
        <v>9</v>
      </c>
      <c r="F3187" s="5" t="s">
        <v>2079</v>
      </c>
      <c r="G3187" s="2" t="s">
        <v>415</v>
      </c>
      <c r="H3187" s="5" t="s">
        <v>8332</v>
      </c>
      <c r="I3187" s="5" t="s">
        <v>4760</v>
      </c>
      <c r="J3187" s="5" t="s">
        <v>2079</v>
      </c>
      <c r="K3187" s="5" t="s">
        <v>6394</v>
      </c>
    </row>
    <row r="3188" customFormat="false" ht="23.85" hidden="false" customHeight="false" outlineLevel="0" collapsed="false">
      <c r="A3188" s="5" t="s">
        <v>15865</v>
      </c>
      <c r="B3188" s="2" t="s">
        <v>15866</v>
      </c>
      <c r="C3188" s="5" t="s">
        <v>2128</v>
      </c>
      <c r="D3188" s="5" t="s">
        <v>62</v>
      </c>
      <c r="E3188" s="5" t="n">
        <v>5</v>
      </c>
      <c r="F3188" s="5" t="s">
        <v>413</v>
      </c>
      <c r="G3188" s="2" t="s">
        <v>367</v>
      </c>
      <c r="H3188" s="5" t="s">
        <v>8336</v>
      </c>
      <c r="I3188" s="5"/>
      <c r="J3188" s="5"/>
      <c r="K3188" s="5" t="s">
        <v>15867</v>
      </c>
    </row>
    <row r="3189" customFormat="false" ht="15" hidden="false" customHeight="false" outlineLevel="0" collapsed="false">
      <c r="A3189" s="5" t="s">
        <v>1882</v>
      </c>
      <c r="B3189" s="2" t="s">
        <v>1883</v>
      </c>
      <c r="C3189" s="5" t="s">
        <v>488</v>
      </c>
      <c r="D3189" s="5" t="s">
        <v>62</v>
      </c>
      <c r="E3189" s="5" t="n">
        <v>7</v>
      </c>
      <c r="F3189" s="5" t="s">
        <v>100</v>
      </c>
      <c r="G3189" s="2" t="s">
        <v>367</v>
      </c>
      <c r="H3189" s="5" t="s">
        <v>8332</v>
      </c>
      <c r="I3189" s="5" t="s">
        <v>60</v>
      </c>
      <c r="J3189" s="5" t="s">
        <v>100</v>
      </c>
      <c r="K3189" s="5" t="s">
        <v>1887</v>
      </c>
    </row>
    <row r="3190" customFormat="false" ht="15" hidden="false" customHeight="false" outlineLevel="0" collapsed="false">
      <c r="A3190" s="5" t="s">
        <v>1888</v>
      </c>
      <c r="B3190" s="2" t="s">
        <v>1889</v>
      </c>
      <c r="C3190" s="5" t="s">
        <v>488</v>
      </c>
      <c r="D3190" s="5" t="s">
        <v>62</v>
      </c>
      <c r="E3190" s="5" t="n">
        <v>7</v>
      </c>
      <c r="F3190" s="5" t="s">
        <v>100</v>
      </c>
      <c r="G3190" s="2" t="s">
        <v>367</v>
      </c>
      <c r="H3190" s="5" t="s">
        <v>8332</v>
      </c>
      <c r="I3190" s="5" t="s">
        <v>60</v>
      </c>
      <c r="J3190" s="5" t="s">
        <v>100</v>
      </c>
      <c r="K3190" s="5" t="s">
        <v>1893</v>
      </c>
    </row>
    <row r="3191" customFormat="false" ht="46.25" hidden="false" customHeight="false" outlineLevel="0" collapsed="false">
      <c r="A3191" s="5" t="s">
        <v>465</v>
      </c>
      <c r="B3191" s="2" t="s">
        <v>466</v>
      </c>
      <c r="C3191" s="5" t="s">
        <v>59</v>
      </c>
      <c r="D3191" s="5" t="s">
        <v>62</v>
      </c>
      <c r="E3191" s="5" t="n">
        <v>9</v>
      </c>
      <c r="F3191" s="5" t="s">
        <v>90</v>
      </c>
      <c r="G3191" s="2" t="s">
        <v>12078</v>
      </c>
      <c r="H3191" s="5" t="s">
        <v>8332</v>
      </c>
      <c r="I3191" s="5" t="s">
        <v>60</v>
      </c>
      <c r="J3191" s="5" t="s">
        <v>269</v>
      </c>
      <c r="K3191" s="5" t="s">
        <v>470</v>
      </c>
    </row>
    <row r="3192" customFormat="false" ht="23.85" hidden="false" customHeight="false" outlineLevel="0" collapsed="false">
      <c r="A3192" s="5" t="s">
        <v>4275</v>
      </c>
      <c r="B3192" s="2" t="s">
        <v>4276</v>
      </c>
      <c r="C3192" s="5" t="s">
        <v>2128</v>
      </c>
      <c r="D3192" s="5" t="s">
        <v>62</v>
      </c>
      <c r="E3192" s="5" t="n">
        <v>5</v>
      </c>
      <c r="F3192" s="5" t="s">
        <v>90</v>
      </c>
      <c r="G3192" s="2" t="s">
        <v>184</v>
      </c>
      <c r="H3192" s="5" t="s">
        <v>8332</v>
      </c>
      <c r="I3192" s="5" t="s">
        <v>60</v>
      </c>
      <c r="J3192" s="5" t="s">
        <v>2859</v>
      </c>
      <c r="K3192" s="5" t="s">
        <v>4281</v>
      </c>
    </row>
    <row r="3193" customFormat="false" ht="15" hidden="false" customHeight="false" outlineLevel="0" collapsed="false">
      <c r="A3193" s="5" t="s">
        <v>15868</v>
      </c>
      <c r="B3193" s="2" t="s">
        <v>15869</v>
      </c>
      <c r="C3193" s="5" t="s">
        <v>2128</v>
      </c>
      <c r="D3193" s="5" t="s">
        <v>62</v>
      </c>
      <c r="E3193" s="5" t="n">
        <v>5</v>
      </c>
      <c r="F3193" s="5" t="s">
        <v>90</v>
      </c>
      <c r="G3193" s="2" t="s">
        <v>367</v>
      </c>
      <c r="H3193" s="5" t="s">
        <v>8336</v>
      </c>
      <c r="I3193" s="5"/>
      <c r="J3193" s="5"/>
      <c r="K3193" s="5" t="s">
        <v>15870</v>
      </c>
    </row>
    <row r="3194" customFormat="false" ht="15" hidden="false" customHeight="false" outlineLevel="0" collapsed="false">
      <c r="A3194" s="5" t="s">
        <v>15871</v>
      </c>
      <c r="B3194" s="2" t="s">
        <v>15872</v>
      </c>
      <c r="C3194" s="5" t="s">
        <v>2128</v>
      </c>
      <c r="D3194" s="5" t="s">
        <v>62</v>
      </c>
      <c r="E3194" s="5" t="n">
        <v>3</v>
      </c>
      <c r="F3194" s="5" t="s">
        <v>413</v>
      </c>
      <c r="G3194" s="2" t="s">
        <v>367</v>
      </c>
      <c r="H3194" s="5" t="s">
        <v>8336</v>
      </c>
      <c r="I3194" s="5"/>
      <c r="J3194" s="5"/>
      <c r="K3194" s="5" t="s">
        <v>15873</v>
      </c>
    </row>
    <row r="3195" customFormat="false" ht="15" hidden="false" customHeight="false" outlineLevel="0" collapsed="false">
      <c r="A3195" s="5" t="s">
        <v>15874</v>
      </c>
      <c r="B3195" s="2" t="s">
        <v>15875</v>
      </c>
      <c r="C3195" s="5" t="s">
        <v>2128</v>
      </c>
      <c r="D3195" s="5" t="s">
        <v>62</v>
      </c>
      <c r="E3195" s="5" t="n">
        <v>5</v>
      </c>
      <c r="F3195" s="5" t="s">
        <v>90</v>
      </c>
      <c r="G3195" s="2" t="s">
        <v>367</v>
      </c>
      <c r="H3195" s="5" t="s">
        <v>8336</v>
      </c>
      <c r="I3195" s="5"/>
      <c r="J3195" s="5"/>
      <c r="K3195" s="5" t="s">
        <v>15876</v>
      </c>
    </row>
    <row r="3196" customFormat="false" ht="46.25" hidden="false" customHeight="false" outlineLevel="0" collapsed="false">
      <c r="A3196" s="5" t="s">
        <v>4282</v>
      </c>
      <c r="B3196" s="2" t="s">
        <v>4283</v>
      </c>
      <c r="C3196" s="5" t="s">
        <v>2245</v>
      </c>
      <c r="D3196" s="5" t="s">
        <v>62</v>
      </c>
      <c r="E3196" s="5" t="n">
        <v>5</v>
      </c>
      <c r="F3196" s="5" t="s">
        <v>67</v>
      </c>
      <c r="G3196" s="2" t="s">
        <v>12894</v>
      </c>
      <c r="H3196" s="5" t="s">
        <v>8332</v>
      </c>
      <c r="I3196" s="5" t="s">
        <v>60</v>
      </c>
      <c r="J3196" s="5" t="s">
        <v>182</v>
      </c>
      <c r="K3196" s="5" t="s">
        <v>4286</v>
      </c>
    </row>
    <row r="3197" customFormat="false" ht="15" hidden="false" customHeight="false" outlineLevel="0" collapsed="false">
      <c r="A3197" s="5" t="s">
        <v>15877</v>
      </c>
      <c r="B3197" s="2" t="s">
        <v>15878</v>
      </c>
      <c r="C3197" s="5" t="s">
        <v>2128</v>
      </c>
      <c r="D3197" s="5" t="s">
        <v>62</v>
      </c>
      <c r="E3197" s="5" t="n">
        <v>9</v>
      </c>
      <c r="F3197" s="5" t="s">
        <v>90</v>
      </c>
      <c r="G3197" s="2" t="s">
        <v>367</v>
      </c>
      <c r="H3197" s="5" t="s">
        <v>8336</v>
      </c>
      <c r="I3197" s="5"/>
      <c r="J3197" s="5"/>
      <c r="K3197" s="5" t="s">
        <v>15879</v>
      </c>
    </row>
    <row r="3198" customFormat="false" ht="15" hidden="false" customHeight="false" outlineLevel="0" collapsed="false">
      <c r="A3198" s="5" t="s">
        <v>15880</v>
      </c>
      <c r="B3198" s="2" t="s">
        <v>15881</v>
      </c>
      <c r="C3198" s="5" t="s">
        <v>2128</v>
      </c>
      <c r="D3198" s="5" t="s">
        <v>62</v>
      </c>
      <c r="E3198" s="5" t="n">
        <v>9</v>
      </c>
      <c r="F3198" s="5" t="s">
        <v>90</v>
      </c>
      <c r="G3198" s="2" t="s">
        <v>367</v>
      </c>
      <c r="H3198" s="5" t="s">
        <v>8336</v>
      </c>
      <c r="I3198" s="5"/>
      <c r="J3198" s="5"/>
      <c r="K3198" s="5" t="s">
        <v>15882</v>
      </c>
    </row>
    <row r="3199" customFormat="false" ht="15" hidden="false" customHeight="false" outlineLevel="0" collapsed="false">
      <c r="A3199" s="5" t="s">
        <v>15883</v>
      </c>
      <c r="B3199" s="2" t="s">
        <v>15884</v>
      </c>
      <c r="C3199" s="5" t="s">
        <v>2128</v>
      </c>
      <c r="D3199" s="5" t="s">
        <v>62</v>
      </c>
      <c r="E3199" s="5" t="n">
        <v>3</v>
      </c>
      <c r="F3199" s="5" t="s">
        <v>536</v>
      </c>
      <c r="G3199" s="2" t="s">
        <v>367</v>
      </c>
      <c r="H3199" s="5" t="s">
        <v>8336</v>
      </c>
      <c r="I3199" s="5"/>
      <c r="J3199" s="5"/>
      <c r="K3199" s="5" t="s">
        <v>15885</v>
      </c>
    </row>
    <row r="3200" customFormat="false" ht="23.85" hidden="false" customHeight="false" outlineLevel="0" collapsed="false">
      <c r="A3200" s="5" t="s">
        <v>15886</v>
      </c>
      <c r="B3200" s="2" t="s">
        <v>15887</v>
      </c>
      <c r="C3200" s="5" t="s">
        <v>2128</v>
      </c>
      <c r="D3200" s="5" t="s">
        <v>62</v>
      </c>
      <c r="E3200" s="5" t="n">
        <v>3</v>
      </c>
      <c r="F3200" s="5" t="s">
        <v>536</v>
      </c>
      <c r="G3200" s="2" t="s">
        <v>367</v>
      </c>
      <c r="H3200" s="5" t="s">
        <v>8336</v>
      </c>
      <c r="I3200" s="5"/>
      <c r="J3200" s="5"/>
      <c r="K3200" s="5" t="s">
        <v>15888</v>
      </c>
    </row>
    <row r="3201" customFormat="false" ht="15" hidden="false" customHeight="false" outlineLevel="0" collapsed="false">
      <c r="A3201" s="5" t="s">
        <v>15889</v>
      </c>
      <c r="B3201" s="2" t="s">
        <v>15890</v>
      </c>
      <c r="C3201" s="5" t="s">
        <v>2128</v>
      </c>
      <c r="D3201" s="5" t="s">
        <v>62</v>
      </c>
      <c r="E3201" s="5" t="n">
        <v>3</v>
      </c>
      <c r="F3201" s="5" t="s">
        <v>536</v>
      </c>
      <c r="G3201" s="2" t="s">
        <v>367</v>
      </c>
      <c r="H3201" s="5" t="s">
        <v>8336</v>
      </c>
      <c r="I3201" s="5"/>
      <c r="J3201" s="5"/>
      <c r="K3201" s="5" t="s">
        <v>15891</v>
      </c>
    </row>
    <row r="3202" customFormat="false" ht="15" hidden="false" customHeight="false" outlineLevel="0" collapsed="false">
      <c r="A3202" s="5" t="s">
        <v>15892</v>
      </c>
      <c r="B3202" s="2" t="s">
        <v>15893</v>
      </c>
      <c r="C3202" s="5" t="s">
        <v>2128</v>
      </c>
      <c r="D3202" s="5" t="s">
        <v>62</v>
      </c>
      <c r="E3202" s="5" t="n">
        <v>7</v>
      </c>
      <c r="F3202" s="5" t="s">
        <v>90</v>
      </c>
      <c r="G3202" s="2" t="s">
        <v>367</v>
      </c>
      <c r="H3202" s="5" t="s">
        <v>8336</v>
      </c>
      <c r="I3202" s="5"/>
      <c r="J3202" s="5"/>
      <c r="K3202" s="5" t="s">
        <v>15894</v>
      </c>
    </row>
    <row r="3203" customFormat="false" ht="23.85" hidden="false" customHeight="false" outlineLevel="0" collapsed="false">
      <c r="A3203" s="5" t="s">
        <v>4287</v>
      </c>
      <c r="B3203" s="2" t="s">
        <v>4288</v>
      </c>
      <c r="C3203" s="5" t="s">
        <v>2128</v>
      </c>
      <c r="D3203" s="5" t="s">
        <v>62</v>
      </c>
      <c r="E3203" s="5" t="n">
        <v>5</v>
      </c>
      <c r="F3203" s="5" t="s">
        <v>1210</v>
      </c>
      <c r="G3203" s="2" t="s">
        <v>184</v>
      </c>
      <c r="H3203" s="5" t="s">
        <v>8332</v>
      </c>
      <c r="I3203" s="5" t="s">
        <v>60</v>
      </c>
      <c r="J3203" s="5" t="s">
        <v>269</v>
      </c>
      <c r="K3203" s="5" t="s">
        <v>4292</v>
      </c>
    </row>
    <row r="3204" customFormat="false" ht="23.85" hidden="false" customHeight="false" outlineLevel="0" collapsed="false">
      <c r="A3204" s="5" t="s">
        <v>1894</v>
      </c>
      <c r="B3204" s="2" t="s">
        <v>1895</v>
      </c>
      <c r="C3204" s="5" t="s">
        <v>488</v>
      </c>
      <c r="D3204" s="5" t="s">
        <v>62</v>
      </c>
      <c r="E3204" s="5" t="n">
        <v>7</v>
      </c>
      <c r="F3204" s="5" t="s">
        <v>100</v>
      </c>
      <c r="G3204" s="2" t="s">
        <v>367</v>
      </c>
      <c r="H3204" s="5" t="s">
        <v>8332</v>
      </c>
      <c r="I3204" s="5" t="s">
        <v>60</v>
      </c>
      <c r="J3204" s="5" t="s">
        <v>1104</v>
      </c>
      <c r="K3204" s="5" t="s">
        <v>1898</v>
      </c>
    </row>
    <row r="3205" customFormat="false" ht="23.85" hidden="false" customHeight="false" outlineLevel="0" collapsed="false">
      <c r="A3205" s="5" t="s">
        <v>1899</v>
      </c>
      <c r="B3205" s="2" t="s">
        <v>1900</v>
      </c>
      <c r="C3205" s="5" t="s">
        <v>488</v>
      </c>
      <c r="D3205" s="5" t="s">
        <v>62</v>
      </c>
      <c r="E3205" s="5" t="n">
        <v>7</v>
      </c>
      <c r="F3205" s="5" t="s">
        <v>90</v>
      </c>
      <c r="G3205" s="2" t="s">
        <v>367</v>
      </c>
      <c r="H3205" s="5" t="s">
        <v>8332</v>
      </c>
      <c r="I3205" s="5" t="s">
        <v>60</v>
      </c>
      <c r="J3205" s="5" t="s">
        <v>161</v>
      </c>
      <c r="K3205" s="5" t="s">
        <v>1903</v>
      </c>
    </row>
    <row r="3206" customFormat="false" ht="46.25" hidden="false" customHeight="false" outlineLevel="0" collapsed="false">
      <c r="A3206" s="5" t="s">
        <v>15895</v>
      </c>
      <c r="B3206" s="2" t="s">
        <v>15896</v>
      </c>
      <c r="C3206" s="5" t="s">
        <v>2245</v>
      </c>
      <c r="D3206" s="5" t="s">
        <v>62</v>
      </c>
      <c r="E3206" s="5" t="n">
        <v>7</v>
      </c>
      <c r="F3206" s="5" t="s">
        <v>90</v>
      </c>
      <c r="G3206" s="2" t="s">
        <v>12057</v>
      </c>
      <c r="H3206" s="5" t="s">
        <v>8336</v>
      </c>
      <c r="I3206" s="5"/>
      <c r="J3206" s="5"/>
      <c r="K3206" s="5" t="s">
        <v>15897</v>
      </c>
    </row>
    <row r="3207" customFormat="false" ht="46.25" hidden="false" customHeight="false" outlineLevel="0" collapsed="false">
      <c r="A3207" s="5" t="s">
        <v>15898</v>
      </c>
      <c r="B3207" s="2" t="s">
        <v>15899</v>
      </c>
      <c r="C3207" s="5" t="s">
        <v>2245</v>
      </c>
      <c r="D3207" s="5" t="s">
        <v>62</v>
      </c>
      <c r="E3207" s="5" t="n">
        <v>7</v>
      </c>
      <c r="F3207" s="5" t="s">
        <v>90</v>
      </c>
      <c r="G3207" s="2" t="s">
        <v>12057</v>
      </c>
      <c r="H3207" s="5" t="s">
        <v>8336</v>
      </c>
      <c r="I3207" s="5"/>
      <c r="J3207" s="5"/>
      <c r="K3207" s="5" t="s">
        <v>15900</v>
      </c>
    </row>
    <row r="3208" customFormat="false" ht="23.85" hidden="false" customHeight="false" outlineLevel="0" collapsed="false">
      <c r="A3208" s="5" t="s">
        <v>15901</v>
      </c>
      <c r="B3208" s="2" t="s">
        <v>15902</v>
      </c>
      <c r="C3208" s="5" t="s">
        <v>2128</v>
      </c>
      <c r="D3208" s="5" t="s">
        <v>62</v>
      </c>
      <c r="E3208" s="5" t="n">
        <v>7</v>
      </c>
      <c r="F3208" s="5" t="s">
        <v>90</v>
      </c>
      <c r="G3208" s="2" t="s">
        <v>367</v>
      </c>
      <c r="H3208" s="5" t="s">
        <v>8336</v>
      </c>
      <c r="I3208" s="5"/>
      <c r="J3208" s="5"/>
      <c r="K3208" s="5" t="s">
        <v>15903</v>
      </c>
    </row>
    <row r="3209" customFormat="false" ht="46.25" hidden="false" customHeight="false" outlineLevel="0" collapsed="false">
      <c r="A3209" s="5" t="s">
        <v>15904</v>
      </c>
      <c r="B3209" s="2" t="s">
        <v>15905</v>
      </c>
      <c r="C3209" s="5" t="s">
        <v>2245</v>
      </c>
      <c r="D3209" s="5" t="s">
        <v>62</v>
      </c>
      <c r="E3209" s="5" t="n">
        <v>7</v>
      </c>
      <c r="F3209" s="5" t="s">
        <v>90</v>
      </c>
      <c r="G3209" s="2" t="s">
        <v>12057</v>
      </c>
      <c r="H3209" s="5" t="s">
        <v>8336</v>
      </c>
      <c r="I3209" s="5"/>
      <c r="J3209" s="5"/>
      <c r="K3209" s="5" t="s">
        <v>15906</v>
      </c>
    </row>
    <row r="3210" customFormat="false" ht="23.85" hidden="false" customHeight="false" outlineLevel="0" collapsed="false">
      <c r="A3210" s="5" t="s">
        <v>15907</v>
      </c>
      <c r="B3210" s="2" t="s">
        <v>15908</v>
      </c>
      <c r="C3210" s="5" t="s">
        <v>2128</v>
      </c>
      <c r="D3210" s="5" t="s">
        <v>62</v>
      </c>
      <c r="E3210" s="5" t="n">
        <v>5</v>
      </c>
      <c r="F3210" s="5" t="s">
        <v>90</v>
      </c>
      <c r="G3210" s="2" t="s">
        <v>15909</v>
      </c>
      <c r="H3210" s="5" t="s">
        <v>8336</v>
      </c>
      <c r="I3210" s="5"/>
      <c r="J3210" s="5"/>
      <c r="K3210" s="5" t="s">
        <v>15910</v>
      </c>
    </row>
    <row r="3211" customFormat="false" ht="46.25" hidden="false" customHeight="false" outlineLevel="0" collapsed="false">
      <c r="A3211" s="5" t="s">
        <v>15911</v>
      </c>
      <c r="B3211" s="2" t="s">
        <v>15912</v>
      </c>
      <c r="C3211" s="5" t="s">
        <v>2245</v>
      </c>
      <c r="D3211" s="5" t="s">
        <v>490</v>
      </c>
      <c r="E3211" s="5" t="n">
        <v>7</v>
      </c>
      <c r="F3211" s="5" t="s">
        <v>413</v>
      </c>
      <c r="G3211" s="2" t="s">
        <v>12057</v>
      </c>
      <c r="H3211" s="5" t="s">
        <v>8336</v>
      </c>
      <c r="I3211" s="5"/>
      <c r="J3211" s="5"/>
      <c r="K3211" s="5" t="s">
        <v>15913</v>
      </c>
    </row>
    <row r="3212" customFormat="false" ht="15" hidden="false" customHeight="false" outlineLevel="0" collapsed="false">
      <c r="A3212" s="5" t="s">
        <v>15914</v>
      </c>
      <c r="B3212" s="2" t="s">
        <v>15915</v>
      </c>
      <c r="C3212" s="5" t="s">
        <v>2128</v>
      </c>
      <c r="D3212" s="5" t="s">
        <v>62</v>
      </c>
      <c r="E3212" s="5" t="n">
        <v>7</v>
      </c>
      <c r="F3212" s="5" t="s">
        <v>90</v>
      </c>
      <c r="G3212" s="2" t="s">
        <v>367</v>
      </c>
      <c r="H3212" s="5" t="s">
        <v>8336</v>
      </c>
      <c r="I3212" s="5"/>
      <c r="J3212" s="5"/>
      <c r="K3212" s="5" t="s">
        <v>15916</v>
      </c>
    </row>
    <row r="3213" customFormat="false" ht="46.25" hidden="false" customHeight="false" outlineLevel="0" collapsed="false">
      <c r="A3213" s="5" t="s">
        <v>15917</v>
      </c>
      <c r="B3213" s="2" t="s">
        <v>15918</v>
      </c>
      <c r="C3213" s="5" t="s">
        <v>2245</v>
      </c>
      <c r="D3213" s="5" t="s">
        <v>490</v>
      </c>
      <c r="E3213" s="5" t="n">
        <v>7</v>
      </c>
      <c r="F3213" s="5" t="s">
        <v>90</v>
      </c>
      <c r="G3213" s="2" t="s">
        <v>12057</v>
      </c>
      <c r="H3213" s="5" t="s">
        <v>8336</v>
      </c>
      <c r="I3213" s="5"/>
      <c r="J3213" s="5"/>
      <c r="K3213" s="5" t="s">
        <v>15919</v>
      </c>
    </row>
    <row r="3214" customFormat="false" ht="46.25" hidden="false" customHeight="false" outlineLevel="0" collapsed="false">
      <c r="A3214" s="5" t="s">
        <v>15920</v>
      </c>
      <c r="B3214" s="2" t="s">
        <v>15921</v>
      </c>
      <c r="C3214" s="5" t="s">
        <v>2245</v>
      </c>
      <c r="D3214" s="5" t="s">
        <v>490</v>
      </c>
      <c r="E3214" s="5" t="n">
        <v>7</v>
      </c>
      <c r="F3214" s="5" t="s">
        <v>90</v>
      </c>
      <c r="G3214" s="2" t="s">
        <v>12057</v>
      </c>
      <c r="H3214" s="5" t="s">
        <v>8336</v>
      </c>
      <c r="I3214" s="5"/>
      <c r="J3214" s="5"/>
      <c r="K3214" s="5" t="s">
        <v>15922</v>
      </c>
    </row>
    <row r="3215" customFormat="false" ht="23.85" hidden="false" customHeight="false" outlineLevel="0" collapsed="false">
      <c r="A3215" s="5" t="s">
        <v>15923</v>
      </c>
      <c r="B3215" s="2" t="s">
        <v>15924</v>
      </c>
      <c r="C3215" s="5" t="s">
        <v>2128</v>
      </c>
      <c r="D3215" s="5" t="s">
        <v>62</v>
      </c>
      <c r="E3215" s="5" t="n">
        <v>7</v>
      </c>
      <c r="F3215" s="5" t="s">
        <v>413</v>
      </c>
      <c r="G3215" s="2" t="s">
        <v>367</v>
      </c>
      <c r="H3215" s="5" t="s">
        <v>8336</v>
      </c>
      <c r="I3215" s="5"/>
      <c r="J3215" s="5"/>
      <c r="K3215" s="5" t="s">
        <v>15925</v>
      </c>
    </row>
    <row r="3216" customFormat="false" ht="15" hidden="false" customHeight="false" outlineLevel="0" collapsed="false">
      <c r="A3216" s="5" t="s">
        <v>15926</v>
      </c>
      <c r="B3216" s="2" t="s">
        <v>15927</v>
      </c>
      <c r="C3216" s="5" t="s">
        <v>2128</v>
      </c>
      <c r="D3216" s="5" t="s">
        <v>62</v>
      </c>
      <c r="E3216" s="5" t="n">
        <v>7</v>
      </c>
      <c r="F3216" s="5" t="s">
        <v>1814</v>
      </c>
      <c r="G3216" s="2" t="s">
        <v>367</v>
      </c>
      <c r="H3216" s="5" t="s">
        <v>8336</v>
      </c>
      <c r="I3216" s="5"/>
      <c r="J3216" s="5"/>
      <c r="K3216" s="5" t="s">
        <v>15928</v>
      </c>
    </row>
    <row r="3217" customFormat="false" ht="46.25" hidden="false" customHeight="false" outlineLevel="0" collapsed="false">
      <c r="A3217" s="5" t="s">
        <v>6395</v>
      </c>
      <c r="B3217" s="2" t="s">
        <v>6396</v>
      </c>
      <c r="C3217" s="5" t="s">
        <v>2245</v>
      </c>
      <c r="D3217" s="5" t="s">
        <v>490</v>
      </c>
      <c r="E3217" s="5" t="n">
        <v>7</v>
      </c>
      <c r="F3217" s="5" t="s">
        <v>2079</v>
      </c>
      <c r="G3217" s="2" t="s">
        <v>12057</v>
      </c>
      <c r="H3217" s="5" t="s">
        <v>8332</v>
      </c>
      <c r="I3217" s="5" t="s">
        <v>4760</v>
      </c>
      <c r="J3217" s="5" t="s">
        <v>2079</v>
      </c>
      <c r="K3217" s="5" t="s">
        <v>6399</v>
      </c>
    </row>
    <row r="3218" customFormat="false" ht="23.85" hidden="false" customHeight="false" outlineLevel="0" collapsed="false">
      <c r="A3218" s="5" t="s">
        <v>15929</v>
      </c>
      <c r="B3218" s="2" t="s">
        <v>15930</v>
      </c>
      <c r="C3218" s="5" t="s">
        <v>2128</v>
      </c>
      <c r="D3218" s="5" t="s">
        <v>62</v>
      </c>
      <c r="E3218" s="5" t="n">
        <v>5</v>
      </c>
      <c r="F3218" s="5" t="s">
        <v>67</v>
      </c>
      <c r="G3218" s="2" t="s">
        <v>367</v>
      </c>
      <c r="H3218" s="5" t="s">
        <v>8336</v>
      </c>
      <c r="I3218" s="5"/>
      <c r="J3218" s="5"/>
      <c r="K3218" s="5" t="s">
        <v>15931</v>
      </c>
    </row>
    <row r="3219" customFormat="false" ht="15" hidden="false" customHeight="false" outlineLevel="0" collapsed="false">
      <c r="A3219" s="5" t="s">
        <v>15932</v>
      </c>
      <c r="B3219" s="2" t="s">
        <v>15933</v>
      </c>
      <c r="C3219" s="5" t="s">
        <v>2128</v>
      </c>
      <c r="D3219" s="5" t="s">
        <v>62</v>
      </c>
      <c r="E3219" s="5" t="n">
        <v>7</v>
      </c>
      <c r="F3219" s="5" t="s">
        <v>90</v>
      </c>
      <c r="G3219" s="2" t="s">
        <v>367</v>
      </c>
      <c r="H3219" s="5" t="s">
        <v>8336</v>
      </c>
      <c r="I3219" s="5"/>
      <c r="J3219" s="5"/>
      <c r="K3219" s="5" t="s">
        <v>15934</v>
      </c>
    </row>
    <row r="3220" customFormat="false" ht="23.85" hidden="false" customHeight="false" outlineLevel="0" collapsed="false">
      <c r="A3220" s="5" t="s">
        <v>15935</v>
      </c>
      <c r="B3220" s="2" t="s">
        <v>15936</v>
      </c>
      <c r="C3220" s="5" t="s">
        <v>2128</v>
      </c>
      <c r="D3220" s="5" t="s">
        <v>62</v>
      </c>
      <c r="E3220" s="5" t="n">
        <v>7</v>
      </c>
      <c r="F3220" s="5" t="s">
        <v>1210</v>
      </c>
      <c r="G3220" s="2" t="s">
        <v>367</v>
      </c>
      <c r="H3220" s="5" t="s">
        <v>8336</v>
      </c>
      <c r="I3220" s="5"/>
      <c r="J3220" s="5"/>
      <c r="K3220" s="5" t="s">
        <v>15937</v>
      </c>
    </row>
    <row r="3221" customFormat="false" ht="23.85" hidden="false" customHeight="false" outlineLevel="0" collapsed="false">
      <c r="A3221" s="5" t="s">
        <v>15938</v>
      </c>
      <c r="B3221" s="2" t="s">
        <v>15939</v>
      </c>
      <c r="C3221" s="5" t="s">
        <v>2128</v>
      </c>
      <c r="D3221" s="5" t="s">
        <v>62</v>
      </c>
      <c r="E3221" s="5" t="n">
        <v>7</v>
      </c>
      <c r="F3221" s="5" t="s">
        <v>67</v>
      </c>
      <c r="G3221" s="2" t="s">
        <v>367</v>
      </c>
      <c r="H3221" s="5" t="s">
        <v>8336</v>
      </c>
      <c r="I3221" s="5"/>
      <c r="J3221" s="5"/>
      <c r="K3221" s="5" t="s">
        <v>15940</v>
      </c>
    </row>
    <row r="3222" customFormat="false" ht="46.25" hidden="false" customHeight="false" outlineLevel="0" collapsed="false">
      <c r="A3222" s="5" t="s">
        <v>15941</v>
      </c>
      <c r="B3222" s="2" t="s">
        <v>15942</v>
      </c>
      <c r="C3222" s="5" t="s">
        <v>2245</v>
      </c>
      <c r="D3222" s="5" t="s">
        <v>62</v>
      </c>
      <c r="E3222" s="5" t="n">
        <v>7</v>
      </c>
      <c r="F3222" s="5" t="s">
        <v>90</v>
      </c>
      <c r="G3222" s="2" t="s">
        <v>12057</v>
      </c>
      <c r="H3222" s="5" t="s">
        <v>8336</v>
      </c>
      <c r="I3222" s="5"/>
      <c r="J3222" s="5"/>
      <c r="K3222" s="5" t="s">
        <v>15943</v>
      </c>
    </row>
    <row r="3223" customFormat="false" ht="46.25" hidden="false" customHeight="false" outlineLevel="0" collapsed="false">
      <c r="A3223" s="5" t="s">
        <v>15944</v>
      </c>
      <c r="B3223" s="2" t="s">
        <v>15945</v>
      </c>
      <c r="C3223" s="5" t="s">
        <v>2245</v>
      </c>
      <c r="D3223" s="5" t="s">
        <v>62</v>
      </c>
      <c r="E3223" s="5" t="n">
        <v>7</v>
      </c>
      <c r="F3223" s="5" t="s">
        <v>67</v>
      </c>
      <c r="G3223" s="2" t="s">
        <v>12057</v>
      </c>
      <c r="H3223" s="5" t="s">
        <v>8336</v>
      </c>
      <c r="I3223" s="5"/>
      <c r="J3223" s="5"/>
      <c r="K3223" s="5" t="s">
        <v>15946</v>
      </c>
    </row>
    <row r="3224" customFormat="false" ht="23.85" hidden="false" customHeight="false" outlineLevel="0" collapsed="false">
      <c r="A3224" s="5" t="s">
        <v>15947</v>
      </c>
      <c r="B3224" s="2" t="s">
        <v>15948</v>
      </c>
      <c r="C3224" s="5" t="s">
        <v>2128</v>
      </c>
      <c r="D3224" s="5" t="s">
        <v>62</v>
      </c>
      <c r="E3224" s="5" t="n">
        <v>7</v>
      </c>
      <c r="F3224" s="5" t="s">
        <v>90</v>
      </c>
      <c r="G3224" s="2" t="s">
        <v>367</v>
      </c>
      <c r="H3224" s="5" t="s">
        <v>8336</v>
      </c>
      <c r="I3224" s="5"/>
      <c r="J3224" s="5"/>
      <c r="K3224" s="5" t="s">
        <v>15949</v>
      </c>
    </row>
    <row r="3225" customFormat="false" ht="46.25" hidden="false" customHeight="false" outlineLevel="0" collapsed="false">
      <c r="A3225" s="5" t="s">
        <v>15950</v>
      </c>
      <c r="B3225" s="2" t="s">
        <v>15951</v>
      </c>
      <c r="C3225" s="5" t="s">
        <v>2245</v>
      </c>
      <c r="D3225" s="5" t="s">
        <v>490</v>
      </c>
      <c r="E3225" s="5" t="n">
        <v>7</v>
      </c>
      <c r="F3225" s="5" t="s">
        <v>544</v>
      </c>
      <c r="G3225" s="2" t="s">
        <v>12057</v>
      </c>
      <c r="H3225" s="5" t="s">
        <v>8336</v>
      </c>
      <c r="I3225" s="5"/>
      <c r="J3225" s="5"/>
      <c r="K3225" s="5" t="s">
        <v>15952</v>
      </c>
    </row>
    <row r="3226" customFormat="false" ht="15" hidden="false" customHeight="false" outlineLevel="0" collapsed="false">
      <c r="A3226" s="5" t="s">
        <v>15953</v>
      </c>
      <c r="B3226" s="2" t="s">
        <v>15954</v>
      </c>
      <c r="C3226" s="5" t="s">
        <v>2128</v>
      </c>
      <c r="D3226" s="5" t="s">
        <v>62</v>
      </c>
      <c r="E3226" s="5" t="n">
        <v>7</v>
      </c>
      <c r="F3226" s="5" t="s">
        <v>90</v>
      </c>
      <c r="G3226" s="2" t="s">
        <v>367</v>
      </c>
      <c r="H3226" s="5" t="s">
        <v>8336</v>
      </c>
      <c r="I3226" s="5"/>
      <c r="J3226" s="5"/>
      <c r="K3226" s="5" t="s">
        <v>15955</v>
      </c>
    </row>
    <row r="3227" customFormat="false" ht="23.85" hidden="false" customHeight="false" outlineLevel="0" collapsed="false">
      <c r="A3227" s="5" t="s">
        <v>15956</v>
      </c>
      <c r="B3227" s="2" t="s">
        <v>15957</v>
      </c>
      <c r="C3227" s="5" t="s">
        <v>2128</v>
      </c>
      <c r="D3227" s="5" t="s">
        <v>62</v>
      </c>
      <c r="E3227" s="5" t="n">
        <v>9</v>
      </c>
      <c r="F3227" s="5" t="s">
        <v>90</v>
      </c>
      <c r="G3227" s="2" t="s">
        <v>367</v>
      </c>
      <c r="H3227" s="5" t="s">
        <v>8336</v>
      </c>
      <c r="I3227" s="5"/>
      <c r="J3227" s="5"/>
      <c r="K3227" s="5" t="s">
        <v>15958</v>
      </c>
    </row>
    <row r="3228" customFormat="false" ht="15" hidden="false" customHeight="false" outlineLevel="0" collapsed="false">
      <c r="A3228" s="5" t="s">
        <v>15959</v>
      </c>
      <c r="B3228" s="2" t="s">
        <v>15960</v>
      </c>
      <c r="C3228" s="5" t="s">
        <v>2128</v>
      </c>
      <c r="D3228" s="5" t="s">
        <v>62</v>
      </c>
      <c r="E3228" s="5" t="n">
        <v>7</v>
      </c>
      <c r="F3228" s="5" t="s">
        <v>90</v>
      </c>
      <c r="G3228" s="2" t="s">
        <v>367</v>
      </c>
      <c r="H3228" s="5" t="s">
        <v>8336</v>
      </c>
      <c r="I3228" s="5"/>
      <c r="J3228" s="5"/>
      <c r="K3228" s="5" t="s">
        <v>15961</v>
      </c>
    </row>
    <row r="3229" customFormat="false" ht="23.85" hidden="false" customHeight="false" outlineLevel="0" collapsed="false">
      <c r="A3229" s="5" t="s">
        <v>15962</v>
      </c>
      <c r="B3229" s="2" t="s">
        <v>15963</v>
      </c>
      <c r="C3229" s="5" t="s">
        <v>2128</v>
      </c>
      <c r="D3229" s="5" t="s">
        <v>62</v>
      </c>
      <c r="E3229" s="5" t="n">
        <v>7</v>
      </c>
      <c r="F3229" s="5" t="s">
        <v>90</v>
      </c>
      <c r="G3229" s="2" t="s">
        <v>367</v>
      </c>
      <c r="H3229" s="5" t="s">
        <v>8336</v>
      </c>
      <c r="I3229" s="5"/>
      <c r="J3229" s="5"/>
      <c r="K3229" s="5" t="s">
        <v>15964</v>
      </c>
    </row>
    <row r="3230" customFormat="false" ht="46.25" hidden="false" customHeight="false" outlineLevel="0" collapsed="false">
      <c r="A3230" s="5" t="s">
        <v>15965</v>
      </c>
      <c r="B3230" s="2" t="s">
        <v>15966</v>
      </c>
      <c r="C3230" s="5" t="s">
        <v>2245</v>
      </c>
      <c r="D3230" s="5" t="s">
        <v>490</v>
      </c>
      <c r="E3230" s="5" t="n">
        <v>7</v>
      </c>
      <c r="F3230" s="5" t="s">
        <v>413</v>
      </c>
      <c r="G3230" s="2" t="s">
        <v>12057</v>
      </c>
      <c r="H3230" s="5" t="s">
        <v>8336</v>
      </c>
      <c r="I3230" s="5"/>
      <c r="J3230" s="5"/>
      <c r="K3230" s="5" t="s">
        <v>15967</v>
      </c>
    </row>
    <row r="3231" customFormat="false" ht="15" hidden="false" customHeight="false" outlineLevel="0" collapsed="false">
      <c r="A3231" s="5" t="s">
        <v>15968</v>
      </c>
      <c r="B3231" s="2" t="s">
        <v>15969</v>
      </c>
      <c r="C3231" s="5" t="s">
        <v>2128</v>
      </c>
      <c r="D3231" s="5" t="s">
        <v>62</v>
      </c>
      <c r="E3231" s="5" t="n">
        <v>9</v>
      </c>
      <c r="F3231" s="5" t="s">
        <v>1814</v>
      </c>
      <c r="G3231" s="2" t="s">
        <v>367</v>
      </c>
      <c r="H3231" s="5" t="s">
        <v>8336</v>
      </c>
      <c r="I3231" s="5"/>
      <c r="J3231" s="5"/>
      <c r="K3231" s="5" t="s">
        <v>15970</v>
      </c>
    </row>
    <row r="3232" customFormat="false" ht="46.25" hidden="false" customHeight="false" outlineLevel="0" collapsed="false">
      <c r="A3232" s="5" t="s">
        <v>15971</v>
      </c>
      <c r="B3232" s="2" t="s">
        <v>15972</v>
      </c>
      <c r="C3232" s="5" t="s">
        <v>2245</v>
      </c>
      <c r="D3232" s="5" t="s">
        <v>490</v>
      </c>
      <c r="E3232" s="5" t="n">
        <v>9</v>
      </c>
      <c r="F3232" s="5" t="s">
        <v>1814</v>
      </c>
      <c r="G3232" s="2" t="s">
        <v>12802</v>
      </c>
      <c r="H3232" s="5" t="s">
        <v>8336</v>
      </c>
      <c r="I3232" s="5"/>
      <c r="J3232" s="5"/>
      <c r="K3232" s="5" t="s">
        <v>15973</v>
      </c>
    </row>
    <row r="3233" customFormat="false" ht="15" hidden="false" customHeight="false" outlineLevel="0" collapsed="false">
      <c r="A3233" s="5" t="s">
        <v>15974</v>
      </c>
      <c r="B3233" s="2" t="s">
        <v>15975</v>
      </c>
      <c r="C3233" s="5" t="s">
        <v>2128</v>
      </c>
      <c r="D3233" s="5" t="s">
        <v>62</v>
      </c>
      <c r="E3233" s="5" t="n">
        <v>5</v>
      </c>
      <c r="F3233" s="5" t="s">
        <v>90</v>
      </c>
      <c r="G3233" s="2" t="s">
        <v>367</v>
      </c>
      <c r="H3233" s="5" t="s">
        <v>8336</v>
      </c>
      <c r="I3233" s="5"/>
      <c r="J3233" s="5"/>
      <c r="K3233" s="5" t="s">
        <v>15976</v>
      </c>
    </row>
    <row r="3234" customFormat="false" ht="23.85" hidden="false" customHeight="false" outlineLevel="0" collapsed="false">
      <c r="A3234" s="5" t="s">
        <v>15977</v>
      </c>
      <c r="B3234" s="2" t="s">
        <v>15978</v>
      </c>
      <c r="C3234" s="5" t="s">
        <v>2128</v>
      </c>
      <c r="D3234" s="5" t="s">
        <v>62</v>
      </c>
      <c r="E3234" s="5" t="n">
        <v>7</v>
      </c>
      <c r="F3234" s="5" t="s">
        <v>413</v>
      </c>
      <c r="G3234" s="2" t="s">
        <v>367</v>
      </c>
      <c r="H3234" s="5" t="s">
        <v>8336</v>
      </c>
      <c r="I3234" s="5"/>
      <c r="J3234" s="5"/>
      <c r="K3234" s="5" t="s">
        <v>15979</v>
      </c>
    </row>
    <row r="3235" customFormat="false" ht="23.85" hidden="false" customHeight="false" outlineLevel="0" collapsed="false">
      <c r="A3235" s="5" t="s">
        <v>1904</v>
      </c>
      <c r="B3235" s="2" t="s">
        <v>1905</v>
      </c>
      <c r="C3235" s="5" t="s">
        <v>488</v>
      </c>
      <c r="D3235" s="5" t="s">
        <v>62</v>
      </c>
      <c r="E3235" s="5" t="n">
        <v>7</v>
      </c>
      <c r="F3235" s="5" t="s">
        <v>100</v>
      </c>
      <c r="G3235" s="2" t="s">
        <v>367</v>
      </c>
      <c r="H3235" s="5" t="s">
        <v>8332</v>
      </c>
      <c r="I3235" s="5" t="s">
        <v>60</v>
      </c>
      <c r="J3235" s="5" t="s">
        <v>100</v>
      </c>
      <c r="K3235" s="5" t="s">
        <v>1908</v>
      </c>
    </row>
    <row r="3236" customFormat="false" ht="15" hidden="false" customHeight="false" outlineLevel="0" collapsed="false">
      <c r="A3236" s="5" t="s">
        <v>15980</v>
      </c>
      <c r="B3236" s="2" t="s">
        <v>15981</v>
      </c>
      <c r="C3236" s="5" t="s">
        <v>2128</v>
      </c>
      <c r="D3236" s="5" t="s">
        <v>62</v>
      </c>
      <c r="E3236" s="5" t="n">
        <v>3</v>
      </c>
      <c r="F3236" s="5" t="s">
        <v>67</v>
      </c>
      <c r="G3236" s="2" t="s">
        <v>367</v>
      </c>
      <c r="H3236" s="5" t="s">
        <v>8336</v>
      </c>
      <c r="I3236" s="5"/>
      <c r="J3236" s="5"/>
      <c r="K3236" s="5" t="s">
        <v>15982</v>
      </c>
    </row>
    <row r="3237" customFormat="false" ht="46.25" hidden="false" customHeight="false" outlineLevel="0" collapsed="false">
      <c r="A3237" s="5" t="s">
        <v>4293</v>
      </c>
      <c r="B3237" s="2" t="s">
        <v>4294</v>
      </c>
      <c r="C3237" s="5" t="s">
        <v>2245</v>
      </c>
      <c r="D3237" s="5" t="s">
        <v>62</v>
      </c>
      <c r="E3237" s="5" t="n">
        <v>5</v>
      </c>
      <c r="F3237" s="5" t="s">
        <v>90</v>
      </c>
      <c r="G3237" s="2" t="s">
        <v>12054</v>
      </c>
      <c r="H3237" s="5" t="s">
        <v>8332</v>
      </c>
      <c r="I3237" s="5" t="s">
        <v>60</v>
      </c>
      <c r="J3237" s="5" t="s">
        <v>751</v>
      </c>
      <c r="K3237" s="5" t="s">
        <v>4297</v>
      </c>
    </row>
    <row r="3238" customFormat="false" ht="15" hidden="false" customHeight="false" outlineLevel="0" collapsed="false">
      <c r="A3238" s="5" t="s">
        <v>15983</v>
      </c>
      <c r="B3238" s="2" t="s">
        <v>15984</v>
      </c>
      <c r="C3238" s="5" t="s">
        <v>2128</v>
      </c>
      <c r="D3238" s="5" t="s">
        <v>62</v>
      </c>
      <c r="E3238" s="5" t="n">
        <v>5</v>
      </c>
      <c r="F3238" s="5" t="s">
        <v>90</v>
      </c>
      <c r="G3238" s="2" t="s">
        <v>367</v>
      </c>
      <c r="H3238" s="5" t="s">
        <v>8336</v>
      </c>
      <c r="I3238" s="5"/>
      <c r="J3238" s="5"/>
      <c r="K3238" s="5" t="s">
        <v>15985</v>
      </c>
    </row>
    <row r="3239" customFormat="false" ht="46.25" hidden="false" customHeight="false" outlineLevel="0" collapsed="false">
      <c r="A3239" s="5" t="s">
        <v>6400</v>
      </c>
      <c r="B3239" s="2" t="s">
        <v>6401</v>
      </c>
      <c r="C3239" s="5" t="s">
        <v>2245</v>
      </c>
      <c r="D3239" s="5" t="s">
        <v>62</v>
      </c>
      <c r="E3239" s="5" t="n">
        <v>3</v>
      </c>
      <c r="F3239" s="5" t="s">
        <v>100</v>
      </c>
      <c r="G3239" s="2" t="s">
        <v>12054</v>
      </c>
      <c r="H3239" s="5" t="s">
        <v>8332</v>
      </c>
      <c r="I3239" s="5" t="s">
        <v>4760</v>
      </c>
      <c r="J3239" s="5" t="s">
        <v>100</v>
      </c>
      <c r="K3239" s="5" t="s">
        <v>6404</v>
      </c>
    </row>
    <row r="3240" customFormat="false" ht="15" hidden="false" customHeight="false" outlineLevel="0" collapsed="false">
      <c r="A3240" s="5" t="s">
        <v>15986</v>
      </c>
      <c r="B3240" s="2" t="s">
        <v>15987</v>
      </c>
      <c r="C3240" s="5" t="s">
        <v>2128</v>
      </c>
      <c r="D3240" s="5" t="s">
        <v>62</v>
      </c>
      <c r="E3240" s="5" t="n">
        <v>7</v>
      </c>
      <c r="F3240" s="5" t="s">
        <v>67</v>
      </c>
      <c r="G3240" s="2" t="s">
        <v>367</v>
      </c>
      <c r="H3240" s="5" t="s">
        <v>8336</v>
      </c>
      <c r="I3240" s="5"/>
      <c r="J3240" s="5"/>
      <c r="K3240" s="5" t="s">
        <v>15988</v>
      </c>
    </row>
    <row r="3241" customFormat="false" ht="23.85" hidden="false" customHeight="false" outlineLevel="0" collapsed="false">
      <c r="A3241" s="5" t="s">
        <v>4298</v>
      </c>
      <c r="B3241" s="2" t="s">
        <v>4299</v>
      </c>
      <c r="C3241" s="5" t="s">
        <v>2128</v>
      </c>
      <c r="D3241" s="5" t="s">
        <v>62</v>
      </c>
      <c r="E3241" s="5" t="n">
        <v>5</v>
      </c>
      <c r="F3241" s="5" t="s">
        <v>67</v>
      </c>
      <c r="G3241" s="2" t="s">
        <v>367</v>
      </c>
      <c r="H3241" s="5" t="s">
        <v>8332</v>
      </c>
      <c r="I3241" s="5" t="s">
        <v>60</v>
      </c>
      <c r="J3241" s="5" t="s">
        <v>2754</v>
      </c>
      <c r="K3241" s="5" t="s">
        <v>4302</v>
      </c>
    </row>
    <row r="3242" customFormat="false" ht="15" hidden="false" customHeight="false" outlineLevel="0" collapsed="false">
      <c r="A3242" s="5" t="s">
        <v>15989</v>
      </c>
      <c r="B3242" s="2" t="s">
        <v>15990</v>
      </c>
      <c r="C3242" s="5" t="s">
        <v>2128</v>
      </c>
      <c r="D3242" s="5" t="s">
        <v>62</v>
      </c>
      <c r="E3242" s="5" t="n">
        <v>7</v>
      </c>
      <c r="F3242" s="5" t="s">
        <v>90</v>
      </c>
      <c r="G3242" s="2" t="s">
        <v>367</v>
      </c>
      <c r="H3242" s="5" t="s">
        <v>8336</v>
      </c>
      <c r="I3242" s="5"/>
      <c r="J3242" s="5"/>
      <c r="K3242" s="5" t="s">
        <v>15991</v>
      </c>
    </row>
    <row r="3243" customFormat="false" ht="15" hidden="false" customHeight="false" outlineLevel="0" collapsed="false">
      <c r="A3243" s="5" t="s">
        <v>15992</v>
      </c>
      <c r="B3243" s="2" t="s">
        <v>15993</v>
      </c>
      <c r="C3243" s="5" t="s">
        <v>2128</v>
      </c>
      <c r="D3243" s="5" t="s">
        <v>62</v>
      </c>
      <c r="E3243" s="5" t="n">
        <v>5</v>
      </c>
      <c r="F3243" s="5" t="s">
        <v>413</v>
      </c>
      <c r="G3243" s="2" t="s">
        <v>367</v>
      </c>
      <c r="H3243" s="5" t="s">
        <v>8336</v>
      </c>
      <c r="I3243" s="5"/>
      <c r="J3243" s="5"/>
      <c r="K3243" s="5" t="s">
        <v>15994</v>
      </c>
    </row>
    <row r="3244" customFormat="false" ht="15" hidden="false" customHeight="false" outlineLevel="0" collapsed="false">
      <c r="A3244" s="5" t="s">
        <v>15995</v>
      </c>
      <c r="B3244" s="2" t="s">
        <v>15996</v>
      </c>
      <c r="C3244" s="5" t="s">
        <v>2128</v>
      </c>
      <c r="D3244" s="5" t="s">
        <v>62</v>
      </c>
      <c r="E3244" s="5" t="n">
        <v>7</v>
      </c>
      <c r="F3244" s="5" t="s">
        <v>1814</v>
      </c>
      <c r="G3244" s="2" t="s">
        <v>367</v>
      </c>
      <c r="H3244" s="5" t="s">
        <v>8336</v>
      </c>
      <c r="I3244" s="5"/>
      <c r="J3244" s="5"/>
      <c r="K3244" s="5" t="s">
        <v>15997</v>
      </c>
    </row>
    <row r="3245" customFormat="false" ht="15" hidden="false" customHeight="false" outlineLevel="0" collapsed="false">
      <c r="A3245" s="5" t="s">
        <v>15998</v>
      </c>
      <c r="B3245" s="2" t="s">
        <v>15999</v>
      </c>
      <c r="C3245" s="5" t="s">
        <v>2128</v>
      </c>
      <c r="D3245" s="5" t="s">
        <v>62</v>
      </c>
      <c r="E3245" s="5" t="n">
        <v>7</v>
      </c>
      <c r="F3245" s="5" t="s">
        <v>90</v>
      </c>
      <c r="G3245" s="2" t="s">
        <v>367</v>
      </c>
      <c r="H3245" s="5" t="s">
        <v>8336</v>
      </c>
      <c r="I3245" s="5"/>
      <c r="J3245" s="5"/>
      <c r="K3245" s="5" t="s">
        <v>16000</v>
      </c>
    </row>
    <row r="3246" customFormat="false" ht="46.25" hidden="false" customHeight="false" outlineLevel="0" collapsed="false">
      <c r="A3246" s="5" t="s">
        <v>16001</v>
      </c>
      <c r="B3246" s="2" t="s">
        <v>16002</v>
      </c>
      <c r="C3246" s="5" t="s">
        <v>2245</v>
      </c>
      <c r="D3246" s="5" t="s">
        <v>490</v>
      </c>
      <c r="E3246" s="5" t="n">
        <v>3</v>
      </c>
      <c r="F3246" s="5" t="s">
        <v>1814</v>
      </c>
      <c r="G3246" s="2" t="s">
        <v>12057</v>
      </c>
      <c r="H3246" s="5" t="s">
        <v>8336</v>
      </c>
      <c r="I3246" s="5"/>
      <c r="J3246" s="5"/>
      <c r="K3246" s="5" t="s">
        <v>16003</v>
      </c>
    </row>
    <row r="3247" customFormat="false" ht="15" hidden="false" customHeight="false" outlineLevel="0" collapsed="false">
      <c r="A3247" s="5" t="s">
        <v>16004</v>
      </c>
      <c r="B3247" s="2" t="s">
        <v>16005</v>
      </c>
      <c r="C3247" s="5" t="s">
        <v>2128</v>
      </c>
      <c r="D3247" s="5" t="s">
        <v>62</v>
      </c>
      <c r="E3247" s="5" t="n">
        <v>7</v>
      </c>
      <c r="F3247" s="5" t="s">
        <v>1814</v>
      </c>
      <c r="G3247" s="2" t="s">
        <v>367</v>
      </c>
      <c r="H3247" s="5" t="s">
        <v>8336</v>
      </c>
      <c r="I3247" s="5"/>
      <c r="J3247" s="5"/>
      <c r="K3247" s="5" t="s">
        <v>16006</v>
      </c>
    </row>
    <row r="3248" customFormat="false" ht="15" hidden="false" customHeight="false" outlineLevel="0" collapsed="false">
      <c r="A3248" s="5" t="s">
        <v>16007</v>
      </c>
      <c r="B3248" s="2" t="s">
        <v>16008</v>
      </c>
      <c r="C3248" s="5" t="s">
        <v>2128</v>
      </c>
      <c r="D3248" s="5" t="s">
        <v>62</v>
      </c>
      <c r="E3248" s="5" t="n">
        <v>7</v>
      </c>
      <c r="F3248" s="5" t="s">
        <v>1814</v>
      </c>
      <c r="G3248" s="2" t="s">
        <v>367</v>
      </c>
      <c r="H3248" s="5" t="s">
        <v>8336</v>
      </c>
      <c r="I3248" s="5"/>
      <c r="J3248" s="5"/>
      <c r="K3248" s="5" t="s">
        <v>16009</v>
      </c>
    </row>
    <row r="3249" customFormat="false" ht="23.85" hidden="false" customHeight="false" outlineLevel="0" collapsed="false">
      <c r="A3249" s="5" t="s">
        <v>16010</v>
      </c>
      <c r="B3249" s="2" t="s">
        <v>16011</v>
      </c>
      <c r="C3249" s="5" t="s">
        <v>2128</v>
      </c>
      <c r="D3249" s="5" t="s">
        <v>62</v>
      </c>
      <c r="E3249" s="5" t="n">
        <v>5</v>
      </c>
      <c r="F3249" s="5" t="s">
        <v>67</v>
      </c>
      <c r="G3249" s="2" t="s">
        <v>367</v>
      </c>
      <c r="H3249" s="5" t="s">
        <v>8336</v>
      </c>
      <c r="I3249" s="5"/>
      <c r="J3249" s="5"/>
      <c r="K3249" s="5" t="s">
        <v>16012</v>
      </c>
    </row>
    <row r="3250" customFormat="false" ht="23.85" hidden="false" customHeight="false" outlineLevel="0" collapsed="false">
      <c r="A3250" s="5" t="s">
        <v>16013</v>
      </c>
      <c r="B3250" s="2" t="s">
        <v>16014</v>
      </c>
      <c r="C3250" s="5" t="s">
        <v>2128</v>
      </c>
      <c r="D3250" s="5" t="s">
        <v>62</v>
      </c>
      <c r="E3250" s="5" t="n">
        <v>5</v>
      </c>
      <c r="F3250" s="5" t="s">
        <v>1814</v>
      </c>
      <c r="G3250" s="2" t="s">
        <v>367</v>
      </c>
      <c r="H3250" s="5" t="s">
        <v>8336</v>
      </c>
      <c r="I3250" s="5"/>
      <c r="J3250" s="5"/>
      <c r="K3250" s="5" t="s">
        <v>16015</v>
      </c>
    </row>
    <row r="3251" customFormat="false" ht="23.85" hidden="false" customHeight="false" outlineLevel="0" collapsed="false">
      <c r="A3251" s="5" t="s">
        <v>16016</v>
      </c>
      <c r="B3251" s="2" t="s">
        <v>16017</v>
      </c>
      <c r="C3251" s="5" t="s">
        <v>2128</v>
      </c>
      <c r="D3251" s="5" t="s">
        <v>62</v>
      </c>
      <c r="E3251" s="5" t="n">
        <v>5</v>
      </c>
      <c r="F3251" s="5" t="s">
        <v>90</v>
      </c>
      <c r="G3251" s="2" t="s">
        <v>12182</v>
      </c>
      <c r="H3251" s="5" t="s">
        <v>8336</v>
      </c>
      <c r="I3251" s="5"/>
      <c r="J3251" s="5"/>
      <c r="K3251" s="5" t="s">
        <v>16018</v>
      </c>
    </row>
    <row r="3252" customFormat="false" ht="15" hidden="false" customHeight="false" outlineLevel="0" collapsed="false">
      <c r="A3252" s="5" t="s">
        <v>16019</v>
      </c>
      <c r="B3252" s="2" t="s">
        <v>16020</v>
      </c>
      <c r="C3252" s="5" t="s">
        <v>2128</v>
      </c>
      <c r="D3252" s="5" t="s">
        <v>62</v>
      </c>
      <c r="E3252" s="5" t="n">
        <v>7</v>
      </c>
      <c r="F3252" s="5" t="s">
        <v>90</v>
      </c>
      <c r="G3252" s="2" t="s">
        <v>367</v>
      </c>
      <c r="H3252" s="5" t="s">
        <v>8336</v>
      </c>
      <c r="I3252" s="5"/>
      <c r="J3252" s="5"/>
      <c r="K3252" s="5" t="s">
        <v>16021</v>
      </c>
    </row>
    <row r="3253" customFormat="false" ht="23.85" hidden="false" customHeight="false" outlineLevel="0" collapsed="false">
      <c r="A3253" s="5" t="s">
        <v>16022</v>
      </c>
      <c r="B3253" s="2" t="s">
        <v>16023</v>
      </c>
      <c r="C3253" s="5" t="s">
        <v>2128</v>
      </c>
      <c r="D3253" s="5" t="s">
        <v>62</v>
      </c>
      <c r="E3253" s="5" t="n">
        <v>5</v>
      </c>
      <c r="F3253" s="5" t="s">
        <v>90</v>
      </c>
      <c r="G3253" s="2" t="s">
        <v>367</v>
      </c>
      <c r="H3253" s="5" t="s">
        <v>8336</v>
      </c>
      <c r="I3253" s="5"/>
      <c r="J3253" s="5"/>
      <c r="K3253" s="5" t="s">
        <v>16024</v>
      </c>
    </row>
    <row r="3254" customFormat="false" ht="46.25" hidden="false" customHeight="false" outlineLevel="0" collapsed="false">
      <c r="A3254" s="5" t="s">
        <v>4303</v>
      </c>
      <c r="B3254" s="2" t="s">
        <v>4304</v>
      </c>
      <c r="C3254" s="5" t="s">
        <v>2128</v>
      </c>
      <c r="D3254" s="5" t="s">
        <v>490</v>
      </c>
      <c r="E3254" s="5" t="n">
        <v>7</v>
      </c>
      <c r="F3254" s="5" t="s">
        <v>1210</v>
      </c>
      <c r="G3254" s="2" t="s">
        <v>12057</v>
      </c>
      <c r="H3254" s="5" t="s">
        <v>8332</v>
      </c>
      <c r="I3254" s="5" t="s">
        <v>60</v>
      </c>
      <c r="J3254" s="5" t="s">
        <v>3289</v>
      </c>
      <c r="K3254" s="5" t="s">
        <v>4308</v>
      </c>
    </row>
    <row r="3255" customFormat="false" ht="15" hidden="false" customHeight="false" outlineLevel="0" collapsed="false">
      <c r="A3255" s="5" t="s">
        <v>16025</v>
      </c>
      <c r="B3255" s="2" t="s">
        <v>16026</v>
      </c>
      <c r="C3255" s="5" t="s">
        <v>2128</v>
      </c>
      <c r="D3255" s="5" t="s">
        <v>62</v>
      </c>
      <c r="E3255" s="5" t="n">
        <v>7</v>
      </c>
      <c r="F3255" s="5" t="s">
        <v>90</v>
      </c>
      <c r="G3255" s="2" t="s">
        <v>367</v>
      </c>
      <c r="H3255" s="5" t="s">
        <v>8336</v>
      </c>
      <c r="I3255" s="5"/>
      <c r="J3255" s="5"/>
      <c r="K3255" s="5" t="s">
        <v>16027</v>
      </c>
    </row>
    <row r="3256" customFormat="false" ht="23.85" hidden="false" customHeight="false" outlineLevel="0" collapsed="false">
      <c r="A3256" s="5" t="s">
        <v>16028</v>
      </c>
      <c r="B3256" s="2" t="s">
        <v>16029</v>
      </c>
      <c r="C3256" s="5" t="s">
        <v>2128</v>
      </c>
      <c r="D3256" s="5" t="s">
        <v>62</v>
      </c>
      <c r="E3256" s="5" t="n">
        <v>9</v>
      </c>
      <c r="F3256" s="5" t="s">
        <v>544</v>
      </c>
      <c r="G3256" s="2" t="s">
        <v>367</v>
      </c>
      <c r="H3256" s="5" t="s">
        <v>8336</v>
      </c>
      <c r="I3256" s="5"/>
      <c r="J3256" s="5"/>
      <c r="K3256" s="5" t="s">
        <v>16030</v>
      </c>
    </row>
    <row r="3257" customFormat="false" ht="15" hidden="false" customHeight="false" outlineLevel="0" collapsed="false">
      <c r="A3257" s="5" t="s">
        <v>16031</v>
      </c>
      <c r="B3257" s="2" t="s">
        <v>16032</v>
      </c>
      <c r="C3257" s="5" t="s">
        <v>2128</v>
      </c>
      <c r="D3257" s="5" t="s">
        <v>62</v>
      </c>
      <c r="E3257" s="5" t="n">
        <v>7</v>
      </c>
      <c r="F3257" s="5" t="s">
        <v>90</v>
      </c>
      <c r="G3257" s="2" t="s">
        <v>367</v>
      </c>
      <c r="H3257" s="5" t="s">
        <v>8336</v>
      </c>
      <c r="I3257" s="5"/>
      <c r="J3257" s="5"/>
      <c r="K3257" s="5" t="s">
        <v>16033</v>
      </c>
    </row>
    <row r="3258" customFormat="false" ht="23.85" hidden="false" customHeight="false" outlineLevel="0" collapsed="false">
      <c r="A3258" s="5" t="s">
        <v>16034</v>
      </c>
      <c r="B3258" s="2" t="s">
        <v>16035</v>
      </c>
      <c r="C3258" s="5" t="s">
        <v>2128</v>
      </c>
      <c r="D3258" s="5" t="s">
        <v>62</v>
      </c>
      <c r="E3258" s="5" t="n">
        <v>7</v>
      </c>
      <c r="F3258" s="5" t="s">
        <v>67</v>
      </c>
      <c r="G3258" s="2" t="s">
        <v>367</v>
      </c>
      <c r="H3258" s="5" t="s">
        <v>8336</v>
      </c>
      <c r="I3258" s="5"/>
      <c r="J3258" s="5"/>
      <c r="K3258" s="5" t="s">
        <v>16036</v>
      </c>
    </row>
    <row r="3259" customFormat="false" ht="23.85" hidden="false" customHeight="false" outlineLevel="0" collapsed="false">
      <c r="A3259" s="5" t="s">
        <v>16037</v>
      </c>
      <c r="B3259" s="2" t="s">
        <v>16038</v>
      </c>
      <c r="C3259" s="5" t="s">
        <v>2128</v>
      </c>
      <c r="D3259" s="5" t="s">
        <v>62</v>
      </c>
      <c r="E3259" s="5" t="n">
        <v>7</v>
      </c>
      <c r="F3259" s="5" t="s">
        <v>67</v>
      </c>
      <c r="G3259" s="2" t="s">
        <v>367</v>
      </c>
      <c r="H3259" s="5" t="s">
        <v>8336</v>
      </c>
      <c r="I3259" s="5"/>
      <c r="J3259" s="5"/>
      <c r="K3259" s="5" t="s">
        <v>16039</v>
      </c>
    </row>
    <row r="3260" customFormat="false" ht="15" hidden="false" customHeight="false" outlineLevel="0" collapsed="false">
      <c r="A3260" s="5" t="s">
        <v>16040</v>
      </c>
      <c r="B3260" s="2" t="s">
        <v>16041</v>
      </c>
      <c r="C3260" s="5" t="s">
        <v>2128</v>
      </c>
      <c r="D3260" s="5" t="s">
        <v>62</v>
      </c>
      <c r="E3260" s="5" t="n">
        <v>7</v>
      </c>
      <c r="F3260" s="5" t="s">
        <v>90</v>
      </c>
      <c r="G3260" s="2" t="s">
        <v>367</v>
      </c>
      <c r="H3260" s="5" t="s">
        <v>8336</v>
      </c>
      <c r="I3260" s="5"/>
      <c r="J3260" s="5"/>
      <c r="K3260" s="5" t="s">
        <v>16042</v>
      </c>
    </row>
    <row r="3261" customFormat="false" ht="15" hidden="false" customHeight="false" outlineLevel="0" collapsed="false">
      <c r="A3261" s="5" t="s">
        <v>4309</v>
      </c>
      <c r="B3261" s="2" t="s">
        <v>4310</v>
      </c>
      <c r="C3261" s="5" t="s">
        <v>2128</v>
      </c>
      <c r="D3261" s="5" t="s">
        <v>62</v>
      </c>
      <c r="E3261" s="5" t="n">
        <v>5</v>
      </c>
      <c r="F3261" s="5" t="s">
        <v>90</v>
      </c>
      <c r="G3261" s="2" t="s">
        <v>367</v>
      </c>
      <c r="H3261" s="5" t="s">
        <v>8332</v>
      </c>
      <c r="I3261" s="5" t="s">
        <v>60</v>
      </c>
      <c r="J3261" s="5" t="s">
        <v>2754</v>
      </c>
      <c r="K3261" s="5" t="s">
        <v>4313</v>
      </c>
    </row>
    <row r="3262" customFormat="false" ht="15" hidden="false" customHeight="false" outlineLevel="0" collapsed="false">
      <c r="A3262" s="5" t="s">
        <v>16043</v>
      </c>
      <c r="B3262" s="2" t="s">
        <v>16044</v>
      </c>
      <c r="C3262" s="5" t="s">
        <v>2128</v>
      </c>
      <c r="D3262" s="5" t="s">
        <v>62</v>
      </c>
      <c r="E3262" s="5" t="n">
        <v>5</v>
      </c>
      <c r="F3262" s="5" t="s">
        <v>90</v>
      </c>
      <c r="G3262" s="2" t="s">
        <v>367</v>
      </c>
      <c r="H3262" s="5" t="s">
        <v>8336</v>
      </c>
      <c r="I3262" s="5"/>
      <c r="J3262" s="5"/>
      <c r="K3262" s="5" t="s">
        <v>16045</v>
      </c>
    </row>
    <row r="3263" customFormat="false" ht="15" hidden="false" customHeight="false" outlineLevel="0" collapsed="false">
      <c r="A3263" s="5" t="s">
        <v>16046</v>
      </c>
      <c r="B3263" s="2" t="s">
        <v>16047</v>
      </c>
      <c r="C3263" s="5" t="s">
        <v>2128</v>
      </c>
      <c r="D3263" s="5" t="s">
        <v>62</v>
      </c>
      <c r="E3263" s="5" t="n">
        <v>5</v>
      </c>
      <c r="F3263" s="5" t="s">
        <v>90</v>
      </c>
      <c r="G3263" s="2" t="s">
        <v>367</v>
      </c>
      <c r="H3263" s="5" t="s">
        <v>8336</v>
      </c>
      <c r="I3263" s="5"/>
      <c r="J3263" s="5"/>
      <c r="K3263" s="5" t="s">
        <v>16048</v>
      </c>
    </row>
    <row r="3264" customFormat="false" ht="46.25" hidden="false" customHeight="false" outlineLevel="0" collapsed="false">
      <c r="A3264" s="5" t="s">
        <v>16049</v>
      </c>
      <c r="B3264" s="2" t="s">
        <v>16050</v>
      </c>
      <c r="C3264" s="5" t="s">
        <v>2245</v>
      </c>
      <c r="D3264" s="5" t="s">
        <v>62</v>
      </c>
      <c r="E3264" s="5" t="n">
        <v>7</v>
      </c>
      <c r="F3264" s="5" t="s">
        <v>67</v>
      </c>
      <c r="G3264" s="2" t="s">
        <v>12057</v>
      </c>
      <c r="H3264" s="5" t="s">
        <v>8336</v>
      </c>
      <c r="I3264" s="5"/>
      <c r="J3264" s="5"/>
      <c r="K3264" s="5" t="s">
        <v>16051</v>
      </c>
    </row>
    <row r="3265" customFormat="false" ht="15" hidden="false" customHeight="false" outlineLevel="0" collapsed="false">
      <c r="A3265" s="5" t="s">
        <v>16052</v>
      </c>
      <c r="B3265" s="2" t="s">
        <v>16053</v>
      </c>
      <c r="C3265" s="5" t="s">
        <v>2128</v>
      </c>
      <c r="D3265" s="5" t="s">
        <v>62</v>
      </c>
      <c r="E3265" s="5" t="n">
        <v>7</v>
      </c>
      <c r="F3265" s="5" t="s">
        <v>90</v>
      </c>
      <c r="G3265" s="2" t="s">
        <v>367</v>
      </c>
      <c r="H3265" s="5" t="s">
        <v>8336</v>
      </c>
      <c r="I3265" s="5"/>
      <c r="J3265" s="5"/>
      <c r="K3265" s="5" t="s">
        <v>16054</v>
      </c>
    </row>
    <row r="3266" customFormat="false" ht="46.25" hidden="false" customHeight="false" outlineLevel="0" collapsed="false">
      <c r="A3266" s="5" t="s">
        <v>6405</v>
      </c>
      <c r="B3266" s="2" t="s">
        <v>6406</v>
      </c>
      <c r="C3266" s="5" t="s">
        <v>2245</v>
      </c>
      <c r="D3266" s="5" t="s">
        <v>62</v>
      </c>
      <c r="E3266" s="5" t="n">
        <v>7</v>
      </c>
      <c r="F3266" s="5" t="s">
        <v>100</v>
      </c>
      <c r="G3266" s="2" t="s">
        <v>12057</v>
      </c>
      <c r="H3266" s="5" t="s">
        <v>8332</v>
      </c>
      <c r="I3266" s="5" t="s">
        <v>4760</v>
      </c>
      <c r="J3266" s="5" t="s">
        <v>100</v>
      </c>
      <c r="K3266" s="5" t="s">
        <v>6409</v>
      </c>
    </row>
    <row r="3267" customFormat="false" ht="23.85" hidden="false" customHeight="false" outlineLevel="0" collapsed="false">
      <c r="A3267" s="5" t="s">
        <v>16055</v>
      </c>
      <c r="B3267" s="2" t="s">
        <v>16056</v>
      </c>
      <c r="C3267" s="5" t="s">
        <v>2128</v>
      </c>
      <c r="D3267" s="5" t="s">
        <v>62</v>
      </c>
      <c r="E3267" s="5" t="n">
        <v>5</v>
      </c>
      <c r="F3267" s="5" t="s">
        <v>90</v>
      </c>
      <c r="G3267" s="2" t="s">
        <v>367</v>
      </c>
      <c r="H3267" s="5" t="s">
        <v>8336</v>
      </c>
      <c r="I3267" s="5"/>
      <c r="J3267" s="5"/>
      <c r="K3267" s="5" t="s">
        <v>16057</v>
      </c>
    </row>
    <row r="3268" customFormat="false" ht="23.85" hidden="false" customHeight="false" outlineLevel="0" collapsed="false">
      <c r="A3268" s="5" t="s">
        <v>16058</v>
      </c>
      <c r="B3268" s="2" t="s">
        <v>16059</v>
      </c>
      <c r="C3268" s="5" t="s">
        <v>2128</v>
      </c>
      <c r="D3268" s="5" t="s">
        <v>62</v>
      </c>
      <c r="E3268" s="5" t="n">
        <v>7</v>
      </c>
      <c r="F3268" s="5" t="s">
        <v>413</v>
      </c>
      <c r="G3268" s="2" t="s">
        <v>367</v>
      </c>
      <c r="H3268" s="5" t="s">
        <v>8336</v>
      </c>
      <c r="I3268" s="5"/>
      <c r="J3268" s="5"/>
      <c r="K3268" s="5" t="s">
        <v>16060</v>
      </c>
    </row>
    <row r="3269" customFormat="false" ht="23.85" hidden="false" customHeight="false" outlineLevel="0" collapsed="false">
      <c r="A3269" s="5" t="s">
        <v>16061</v>
      </c>
      <c r="B3269" s="2" t="s">
        <v>16062</v>
      </c>
      <c r="C3269" s="5" t="s">
        <v>2128</v>
      </c>
      <c r="D3269" s="5" t="s">
        <v>62</v>
      </c>
      <c r="E3269" s="5" t="n">
        <v>7</v>
      </c>
      <c r="F3269" s="5" t="s">
        <v>413</v>
      </c>
      <c r="G3269" s="2" t="s">
        <v>367</v>
      </c>
      <c r="H3269" s="5" t="s">
        <v>8336</v>
      </c>
      <c r="I3269" s="5"/>
      <c r="J3269" s="5"/>
      <c r="K3269" s="5" t="s">
        <v>16063</v>
      </c>
    </row>
    <row r="3270" customFormat="false" ht="46.25" hidden="false" customHeight="false" outlineLevel="0" collapsed="false">
      <c r="A3270" s="5" t="s">
        <v>16064</v>
      </c>
      <c r="B3270" s="2" t="s">
        <v>16065</v>
      </c>
      <c r="C3270" s="5" t="s">
        <v>2245</v>
      </c>
      <c r="D3270" s="5" t="s">
        <v>62</v>
      </c>
      <c r="E3270" s="5" t="n">
        <v>7</v>
      </c>
      <c r="F3270" s="5" t="s">
        <v>90</v>
      </c>
      <c r="G3270" s="2" t="s">
        <v>12057</v>
      </c>
      <c r="H3270" s="5" t="s">
        <v>8336</v>
      </c>
      <c r="I3270" s="5"/>
      <c r="J3270" s="5"/>
      <c r="K3270" s="5" t="s">
        <v>16066</v>
      </c>
    </row>
    <row r="3271" customFormat="false" ht="46.25" hidden="false" customHeight="false" outlineLevel="0" collapsed="false">
      <c r="A3271" s="5" t="s">
        <v>16067</v>
      </c>
      <c r="B3271" s="2" t="s">
        <v>16068</v>
      </c>
      <c r="C3271" s="5" t="s">
        <v>2245</v>
      </c>
      <c r="D3271" s="5" t="s">
        <v>62</v>
      </c>
      <c r="E3271" s="5" t="n">
        <v>7</v>
      </c>
      <c r="F3271" s="5" t="s">
        <v>90</v>
      </c>
      <c r="G3271" s="2" t="s">
        <v>12057</v>
      </c>
      <c r="H3271" s="5" t="s">
        <v>8336</v>
      </c>
      <c r="I3271" s="5"/>
      <c r="J3271" s="5"/>
      <c r="K3271" s="5" t="s">
        <v>16069</v>
      </c>
    </row>
    <row r="3272" customFormat="false" ht="46.25" hidden="false" customHeight="false" outlineLevel="0" collapsed="false">
      <c r="A3272" s="5" t="s">
        <v>16070</v>
      </c>
      <c r="B3272" s="2" t="s">
        <v>16071</v>
      </c>
      <c r="C3272" s="5" t="s">
        <v>2245</v>
      </c>
      <c r="D3272" s="5" t="s">
        <v>62</v>
      </c>
      <c r="E3272" s="5" t="n">
        <v>5</v>
      </c>
      <c r="F3272" s="5" t="s">
        <v>90</v>
      </c>
      <c r="G3272" s="2" t="s">
        <v>12054</v>
      </c>
      <c r="H3272" s="5" t="s">
        <v>8336</v>
      </c>
      <c r="I3272" s="5"/>
      <c r="J3272" s="5"/>
      <c r="K3272" s="5" t="s">
        <v>16072</v>
      </c>
    </row>
    <row r="3273" customFormat="false" ht="23.85" hidden="false" customHeight="false" outlineLevel="0" collapsed="false">
      <c r="A3273" s="5" t="s">
        <v>16073</v>
      </c>
      <c r="B3273" s="2" t="s">
        <v>16074</v>
      </c>
      <c r="C3273" s="5" t="s">
        <v>2128</v>
      </c>
      <c r="D3273" s="5" t="s">
        <v>62</v>
      </c>
      <c r="E3273" s="5" t="n">
        <v>7</v>
      </c>
      <c r="F3273" s="5" t="s">
        <v>67</v>
      </c>
      <c r="G3273" s="2" t="s">
        <v>367</v>
      </c>
      <c r="H3273" s="5" t="s">
        <v>8336</v>
      </c>
      <c r="I3273" s="5"/>
      <c r="J3273" s="5"/>
      <c r="K3273" s="5" t="s">
        <v>16075</v>
      </c>
    </row>
    <row r="3274" customFormat="false" ht="15" hidden="false" customHeight="false" outlineLevel="0" collapsed="false">
      <c r="A3274" s="5" t="s">
        <v>16076</v>
      </c>
      <c r="B3274" s="2" t="s">
        <v>16077</v>
      </c>
      <c r="C3274" s="5" t="s">
        <v>2128</v>
      </c>
      <c r="D3274" s="5" t="s">
        <v>62</v>
      </c>
      <c r="E3274" s="5" t="n">
        <v>7</v>
      </c>
      <c r="F3274" s="5" t="s">
        <v>90</v>
      </c>
      <c r="G3274" s="2" t="s">
        <v>367</v>
      </c>
      <c r="H3274" s="5" t="s">
        <v>8336</v>
      </c>
      <c r="I3274" s="5"/>
      <c r="J3274" s="5"/>
      <c r="K3274" s="5" t="s">
        <v>16078</v>
      </c>
    </row>
    <row r="3275" customFormat="false" ht="46.25" hidden="false" customHeight="false" outlineLevel="0" collapsed="false">
      <c r="A3275" s="5" t="s">
        <v>16079</v>
      </c>
      <c r="B3275" s="2" t="s">
        <v>16080</v>
      </c>
      <c r="C3275" s="5" t="s">
        <v>2245</v>
      </c>
      <c r="D3275" s="5" t="s">
        <v>62</v>
      </c>
      <c r="E3275" s="5" t="n">
        <v>7</v>
      </c>
      <c r="F3275" s="5" t="s">
        <v>90</v>
      </c>
      <c r="G3275" s="2" t="s">
        <v>12057</v>
      </c>
      <c r="H3275" s="5" t="s">
        <v>8336</v>
      </c>
      <c r="I3275" s="5"/>
      <c r="J3275" s="5"/>
      <c r="K3275" s="5" t="s">
        <v>16081</v>
      </c>
    </row>
    <row r="3276" customFormat="false" ht="15" hidden="false" customHeight="false" outlineLevel="0" collapsed="false">
      <c r="A3276" s="5" t="s">
        <v>4314</v>
      </c>
      <c r="B3276" s="2" t="s">
        <v>4315</v>
      </c>
      <c r="C3276" s="5" t="s">
        <v>2128</v>
      </c>
      <c r="D3276" s="5" t="s">
        <v>62</v>
      </c>
      <c r="E3276" s="5" t="n">
        <v>3</v>
      </c>
      <c r="F3276" s="5" t="s">
        <v>277</v>
      </c>
      <c r="G3276" s="2" t="s">
        <v>367</v>
      </c>
      <c r="H3276" s="5" t="s">
        <v>8332</v>
      </c>
      <c r="I3276" s="5" t="s">
        <v>60</v>
      </c>
      <c r="J3276" s="5" t="s">
        <v>751</v>
      </c>
      <c r="K3276" s="5" t="s">
        <v>4318</v>
      </c>
    </row>
    <row r="3277" customFormat="false" ht="15" hidden="false" customHeight="false" outlineLevel="0" collapsed="false">
      <c r="A3277" s="5" t="s">
        <v>16082</v>
      </c>
      <c r="B3277" s="2" t="s">
        <v>16083</v>
      </c>
      <c r="C3277" s="5" t="s">
        <v>2128</v>
      </c>
      <c r="D3277" s="5" t="s">
        <v>490</v>
      </c>
      <c r="E3277" s="5" t="n">
        <v>3</v>
      </c>
      <c r="F3277" s="5" t="s">
        <v>277</v>
      </c>
      <c r="G3277" s="2" t="s">
        <v>367</v>
      </c>
      <c r="H3277" s="5" t="s">
        <v>8336</v>
      </c>
      <c r="I3277" s="5"/>
      <c r="J3277" s="5"/>
      <c r="K3277" s="5" t="s">
        <v>16084</v>
      </c>
    </row>
    <row r="3278" customFormat="false" ht="23.85" hidden="false" customHeight="false" outlineLevel="0" collapsed="false">
      <c r="A3278" s="5" t="s">
        <v>16085</v>
      </c>
      <c r="B3278" s="2" t="s">
        <v>16086</v>
      </c>
      <c r="C3278" s="5" t="s">
        <v>2128</v>
      </c>
      <c r="D3278" s="5" t="s">
        <v>62</v>
      </c>
      <c r="E3278" s="5" t="n">
        <v>5</v>
      </c>
      <c r="F3278" s="5" t="s">
        <v>90</v>
      </c>
      <c r="G3278" s="2" t="s">
        <v>367</v>
      </c>
      <c r="H3278" s="5" t="s">
        <v>8336</v>
      </c>
      <c r="I3278" s="5"/>
      <c r="J3278" s="5"/>
      <c r="K3278" s="5" t="s">
        <v>16087</v>
      </c>
    </row>
    <row r="3279" customFormat="false" ht="23.85" hidden="false" customHeight="false" outlineLevel="0" collapsed="false">
      <c r="A3279" s="5" t="s">
        <v>16088</v>
      </c>
      <c r="B3279" s="2" t="s">
        <v>16089</v>
      </c>
      <c r="C3279" s="5" t="s">
        <v>2128</v>
      </c>
      <c r="D3279" s="5" t="s">
        <v>62</v>
      </c>
      <c r="E3279" s="5" t="n">
        <v>5</v>
      </c>
      <c r="F3279" s="5" t="s">
        <v>90</v>
      </c>
      <c r="G3279" s="2" t="s">
        <v>367</v>
      </c>
      <c r="H3279" s="5" t="s">
        <v>8336</v>
      </c>
      <c r="I3279" s="5"/>
      <c r="J3279" s="5"/>
      <c r="K3279" s="5" t="s">
        <v>16090</v>
      </c>
    </row>
    <row r="3280" customFormat="false" ht="23.85" hidden="false" customHeight="false" outlineLevel="0" collapsed="false">
      <c r="A3280" s="5" t="s">
        <v>16091</v>
      </c>
      <c r="B3280" s="2" t="s">
        <v>16092</v>
      </c>
      <c r="C3280" s="5" t="s">
        <v>2128</v>
      </c>
      <c r="D3280" s="5" t="s">
        <v>62</v>
      </c>
      <c r="E3280" s="5" t="n">
        <v>5</v>
      </c>
      <c r="F3280" s="5" t="s">
        <v>413</v>
      </c>
      <c r="G3280" s="2" t="s">
        <v>367</v>
      </c>
      <c r="H3280" s="5" t="s">
        <v>8336</v>
      </c>
      <c r="I3280" s="5"/>
      <c r="J3280" s="5"/>
      <c r="K3280" s="5" t="s">
        <v>16093</v>
      </c>
    </row>
    <row r="3281" customFormat="false" ht="46.25" hidden="false" customHeight="false" outlineLevel="0" collapsed="false">
      <c r="A3281" s="5" t="s">
        <v>16094</v>
      </c>
      <c r="B3281" s="2" t="s">
        <v>16095</v>
      </c>
      <c r="C3281" s="5" t="s">
        <v>2245</v>
      </c>
      <c r="D3281" s="5" t="s">
        <v>62</v>
      </c>
      <c r="E3281" s="5" t="n">
        <v>7</v>
      </c>
      <c r="F3281" s="5" t="s">
        <v>284</v>
      </c>
      <c r="G3281" s="2" t="s">
        <v>12057</v>
      </c>
      <c r="H3281" s="5" t="s">
        <v>8336</v>
      </c>
      <c r="I3281" s="5"/>
      <c r="J3281" s="5"/>
      <c r="K3281" s="5" t="s">
        <v>16096</v>
      </c>
    </row>
    <row r="3282" customFormat="false" ht="15" hidden="false" customHeight="false" outlineLevel="0" collapsed="false">
      <c r="A3282" s="5" t="s">
        <v>16097</v>
      </c>
      <c r="B3282" s="2" t="s">
        <v>16098</v>
      </c>
      <c r="C3282" s="5" t="s">
        <v>2128</v>
      </c>
      <c r="D3282" s="5" t="s">
        <v>62</v>
      </c>
      <c r="E3282" s="5" t="n">
        <v>5</v>
      </c>
      <c r="F3282" s="5" t="s">
        <v>536</v>
      </c>
      <c r="G3282" s="2" t="s">
        <v>367</v>
      </c>
      <c r="H3282" s="5" t="s">
        <v>8336</v>
      </c>
      <c r="I3282" s="5"/>
      <c r="J3282" s="5"/>
      <c r="K3282" s="5" t="s">
        <v>16099</v>
      </c>
    </row>
    <row r="3283" customFormat="false" ht="23.85" hidden="false" customHeight="false" outlineLevel="0" collapsed="false">
      <c r="A3283" s="5" t="s">
        <v>16100</v>
      </c>
      <c r="B3283" s="2" t="s">
        <v>16101</v>
      </c>
      <c r="C3283" s="5" t="s">
        <v>2128</v>
      </c>
      <c r="D3283" s="5" t="s">
        <v>62</v>
      </c>
      <c r="E3283" s="5" t="n">
        <v>5</v>
      </c>
      <c r="F3283" s="5" t="s">
        <v>536</v>
      </c>
      <c r="G3283" s="2" t="s">
        <v>367</v>
      </c>
      <c r="H3283" s="5" t="s">
        <v>8336</v>
      </c>
      <c r="I3283" s="5"/>
      <c r="J3283" s="5"/>
      <c r="K3283" s="5" t="s">
        <v>16102</v>
      </c>
    </row>
    <row r="3284" customFormat="false" ht="15" hidden="false" customHeight="false" outlineLevel="0" collapsed="false">
      <c r="A3284" s="5" t="s">
        <v>16103</v>
      </c>
      <c r="B3284" s="2" t="s">
        <v>16104</v>
      </c>
      <c r="C3284" s="5" t="s">
        <v>2128</v>
      </c>
      <c r="D3284" s="5" t="s">
        <v>62</v>
      </c>
      <c r="E3284" s="5" t="n">
        <v>3</v>
      </c>
      <c r="F3284" s="5" t="s">
        <v>277</v>
      </c>
      <c r="G3284" s="2" t="s">
        <v>367</v>
      </c>
      <c r="H3284" s="5" t="s">
        <v>8336</v>
      </c>
      <c r="I3284" s="5"/>
      <c r="J3284" s="5"/>
      <c r="K3284" s="5" t="s">
        <v>16105</v>
      </c>
    </row>
    <row r="3285" customFormat="false" ht="46.25" hidden="false" customHeight="false" outlineLevel="0" collapsed="false">
      <c r="A3285" s="5" t="s">
        <v>16106</v>
      </c>
      <c r="B3285" s="2" t="s">
        <v>16107</v>
      </c>
      <c r="C3285" s="5" t="s">
        <v>2245</v>
      </c>
      <c r="D3285" s="5" t="s">
        <v>490</v>
      </c>
      <c r="E3285" s="5" t="n">
        <v>7</v>
      </c>
      <c r="F3285" s="5" t="s">
        <v>90</v>
      </c>
      <c r="G3285" s="2" t="s">
        <v>12057</v>
      </c>
      <c r="H3285" s="5" t="s">
        <v>8336</v>
      </c>
      <c r="I3285" s="5"/>
      <c r="J3285" s="5"/>
      <c r="K3285" s="5" t="s">
        <v>16108</v>
      </c>
    </row>
    <row r="3286" customFormat="false" ht="23.85" hidden="false" customHeight="false" outlineLevel="0" collapsed="false">
      <c r="A3286" s="5" t="s">
        <v>16109</v>
      </c>
      <c r="B3286" s="2" t="s">
        <v>16110</v>
      </c>
      <c r="C3286" s="5" t="s">
        <v>2128</v>
      </c>
      <c r="D3286" s="5" t="s">
        <v>62</v>
      </c>
      <c r="E3286" s="5" t="n">
        <v>5</v>
      </c>
      <c r="F3286" s="5" t="s">
        <v>67</v>
      </c>
      <c r="G3286" s="2" t="s">
        <v>367</v>
      </c>
      <c r="H3286" s="5" t="s">
        <v>8336</v>
      </c>
      <c r="I3286" s="5"/>
      <c r="J3286" s="5"/>
      <c r="K3286" s="5" t="s">
        <v>16111</v>
      </c>
    </row>
    <row r="3287" customFormat="false" ht="15" hidden="false" customHeight="false" outlineLevel="0" collapsed="false">
      <c r="A3287" s="5" t="s">
        <v>16112</v>
      </c>
      <c r="B3287" s="2" t="s">
        <v>16113</v>
      </c>
      <c r="C3287" s="5" t="s">
        <v>2128</v>
      </c>
      <c r="D3287" s="5" t="s">
        <v>62</v>
      </c>
      <c r="E3287" s="5" t="n">
        <v>5</v>
      </c>
      <c r="F3287" s="5" t="s">
        <v>1814</v>
      </c>
      <c r="G3287" s="2" t="s">
        <v>367</v>
      </c>
      <c r="H3287" s="5" t="s">
        <v>8336</v>
      </c>
      <c r="I3287" s="5"/>
      <c r="J3287" s="5"/>
      <c r="K3287" s="5" t="s">
        <v>16114</v>
      </c>
    </row>
    <row r="3288" customFormat="false" ht="23.85" hidden="false" customHeight="false" outlineLevel="0" collapsed="false">
      <c r="A3288" s="5" t="s">
        <v>16115</v>
      </c>
      <c r="B3288" s="2" t="s">
        <v>16116</v>
      </c>
      <c r="C3288" s="5" t="s">
        <v>2128</v>
      </c>
      <c r="D3288" s="5" t="s">
        <v>62</v>
      </c>
      <c r="E3288" s="5" t="n">
        <v>5</v>
      </c>
      <c r="F3288" s="5" t="s">
        <v>413</v>
      </c>
      <c r="G3288" s="2" t="s">
        <v>367</v>
      </c>
      <c r="H3288" s="5" t="s">
        <v>8336</v>
      </c>
      <c r="I3288" s="5"/>
      <c r="J3288" s="5"/>
      <c r="K3288" s="5" t="s">
        <v>16117</v>
      </c>
    </row>
    <row r="3289" customFormat="false" ht="46.25" hidden="false" customHeight="false" outlineLevel="0" collapsed="false">
      <c r="A3289" s="5" t="s">
        <v>16118</v>
      </c>
      <c r="B3289" s="2" t="s">
        <v>16119</v>
      </c>
      <c r="C3289" s="5" t="s">
        <v>2245</v>
      </c>
      <c r="D3289" s="5" t="s">
        <v>490</v>
      </c>
      <c r="E3289" s="5" t="n">
        <v>7</v>
      </c>
      <c r="F3289" s="5" t="s">
        <v>544</v>
      </c>
      <c r="G3289" s="2" t="s">
        <v>12057</v>
      </c>
      <c r="H3289" s="5" t="s">
        <v>8336</v>
      </c>
      <c r="I3289" s="5"/>
      <c r="J3289" s="5"/>
      <c r="K3289" s="5" t="s">
        <v>16120</v>
      </c>
    </row>
    <row r="3290" customFormat="false" ht="15" hidden="false" customHeight="false" outlineLevel="0" collapsed="false">
      <c r="A3290" s="5" t="s">
        <v>16121</v>
      </c>
      <c r="B3290" s="2" t="s">
        <v>16122</v>
      </c>
      <c r="C3290" s="5" t="s">
        <v>2128</v>
      </c>
      <c r="D3290" s="5" t="s">
        <v>62</v>
      </c>
      <c r="E3290" s="5" t="n">
        <v>5</v>
      </c>
      <c r="F3290" s="5" t="s">
        <v>90</v>
      </c>
      <c r="G3290" s="2" t="s">
        <v>367</v>
      </c>
      <c r="H3290" s="5" t="s">
        <v>8336</v>
      </c>
      <c r="I3290" s="5"/>
      <c r="J3290" s="5"/>
      <c r="K3290" s="5" t="s">
        <v>16123</v>
      </c>
    </row>
    <row r="3291" customFormat="false" ht="23.85" hidden="false" customHeight="false" outlineLevel="0" collapsed="false">
      <c r="A3291" s="5" t="s">
        <v>16124</v>
      </c>
      <c r="B3291" s="2" t="s">
        <v>16125</v>
      </c>
      <c r="C3291" s="5" t="s">
        <v>2128</v>
      </c>
      <c r="D3291" s="5" t="s">
        <v>62</v>
      </c>
      <c r="E3291" s="5" t="n">
        <v>7</v>
      </c>
      <c r="F3291" s="5" t="s">
        <v>90</v>
      </c>
      <c r="G3291" s="2" t="s">
        <v>367</v>
      </c>
      <c r="H3291" s="5" t="s">
        <v>8336</v>
      </c>
      <c r="I3291" s="5"/>
      <c r="J3291" s="5"/>
      <c r="K3291" s="5" t="s">
        <v>16126</v>
      </c>
    </row>
    <row r="3292" customFormat="false" ht="46.25" hidden="false" customHeight="false" outlineLevel="0" collapsed="false">
      <c r="A3292" s="5" t="s">
        <v>16127</v>
      </c>
      <c r="B3292" s="2" t="s">
        <v>16128</v>
      </c>
      <c r="C3292" s="5" t="s">
        <v>2245</v>
      </c>
      <c r="D3292" s="5" t="s">
        <v>62</v>
      </c>
      <c r="E3292" s="5" t="n">
        <v>7</v>
      </c>
      <c r="F3292" s="5" t="s">
        <v>90</v>
      </c>
      <c r="G3292" s="2" t="s">
        <v>12057</v>
      </c>
      <c r="H3292" s="5" t="s">
        <v>8336</v>
      </c>
      <c r="I3292" s="5"/>
      <c r="J3292" s="5"/>
      <c r="K3292" s="5" t="s">
        <v>16129</v>
      </c>
    </row>
    <row r="3293" customFormat="false" ht="23.85" hidden="false" customHeight="false" outlineLevel="0" collapsed="false">
      <c r="A3293" s="5" t="s">
        <v>16130</v>
      </c>
      <c r="B3293" s="2" t="s">
        <v>16131</v>
      </c>
      <c r="C3293" s="5" t="s">
        <v>2128</v>
      </c>
      <c r="D3293" s="5" t="s">
        <v>62</v>
      </c>
      <c r="E3293" s="5" t="n">
        <v>7</v>
      </c>
      <c r="F3293" s="5" t="s">
        <v>90</v>
      </c>
      <c r="G3293" s="2" t="s">
        <v>367</v>
      </c>
      <c r="H3293" s="5" t="s">
        <v>8336</v>
      </c>
      <c r="I3293" s="5"/>
      <c r="J3293" s="5"/>
      <c r="K3293" s="5" t="s">
        <v>16132</v>
      </c>
    </row>
    <row r="3294" customFormat="false" ht="23.85" hidden="false" customHeight="false" outlineLevel="0" collapsed="false">
      <c r="A3294" s="5" t="s">
        <v>16133</v>
      </c>
      <c r="B3294" s="2" t="s">
        <v>16134</v>
      </c>
      <c r="C3294" s="5" t="s">
        <v>2128</v>
      </c>
      <c r="D3294" s="5" t="s">
        <v>62</v>
      </c>
      <c r="E3294" s="5" t="n">
        <v>7</v>
      </c>
      <c r="F3294" s="5" t="s">
        <v>90</v>
      </c>
      <c r="G3294" s="2" t="s">
        <v>367</v>
      </c>
      <c r="H3294" s="5" t="s">
        <v>8336</v>
      </c>
      <c r="I3294" s="5"/>
      <c r="J3294" s="5"/>
      <c r="K3294" s="5" t="s">
        <v>16135</v>
      </c>
    </row>
    <row r="3295" customFormat="false" ht="46.25" hidden="false" customHeight="false" outlineLevel="0" collapsed="false">
      <c r="A3295" s="5" t="s">
        <v>16136</v>
      </c>
      <c r="B3295" s="2" t="s">
        <v>16137</v>
      </c>
      <c r="C3295" s="5" t="s">
        <v>2245</v>
      </c>
      <c r="D3295" s="5" t="s">
        <v>62</v>
      </c>
      <c r="E3295" s="5" t="n">
        <v>7</v>
      </c>
      <c r="F3295" s="5" t="s">
        <v>90</v>
      </c>
      <c r="G3295" s="2" t="s">
        <v>12057</v>
      </c>
      <c r="H3295" s="5" t="s">
        <v>8336</v>
      </c>
      <c r="I3295" s="5"/>
      <c r="J3295" s="5"/>
      <c r="K3295" s="5" t="s">
        <v>16138</v>
      </c>
    </row>
    <row r="3296" customFormat="false" ht="46.25" hidden="false" customHeight="false" outlineLevel="0" collapsed="false">
      <c r="A3296" s="5" t="s">
        <v>16139</v>
      </c>
      <c r="B3296" s="2" t="s">
        <v>16140</v>
      </c>
      <c r="C3296" s="5" t="s">
        <v>2245</v>
      </c>
      <c r="D3296" s="5" t="s">
        <v>62</v>
      </c>
      <c r="E3296" s="5" t="n">
        <v>7</v>
      </c>
      <c r="F3296" s="5" t="s">
        <v>67</v>
      </c>
      <c r="G3296" s="2" t="s">
        <v>12057</v>
      </c>
      <c r="H3296" s="5" t="s">
        <v>8336</v>
      </c>
      <c r="I3296" s="5"/>
      <c r="J3296" s="5"/>
      <c r="K3296" s="5" t="s">
        <v>16141</v>
      </c>
    </row>
    <row r="3297" customFormat="false" ht="46.25" hidden="false" customHeight="false" outlineLevel="0" collapsed="false">
      <c r="A3297" s="5" t="s">
        <v>16142</v>
      </c>
      <c r="B3297" s="2" t="s">
        <v>16143</v>
      </c>
      <c r="C3297" s="5" t="s">
        <v>2245</v>
      </c>
      <c r="D3297" s="5" t="s">
        <v>62</v>
      </c>
      <c r="E3297" s="5" t="n">
        <v>7</v>
      </c>
      <c r="F3297" s="5" t="s">
        <v>90</v>
      </c>
      <c r="G3297" s="2" t="s">
        <v>12057</v>
      </c>
      <c r="H3297" s="5" t="s">
        <v>8336</v>
      </c>
      <c r="I3297" s="5"/>
      <c r="J3297" s="5"/>
      <c r="K3297" s="5" t="s">
        <v>16144</v>
      </c>
    </row>
    <row r="3298" customFormat="false" ht="46.25" hidden="false" customHeight="false" outlineLevel="0" collapsed="false">
      <c r="A3298" s="5" t="s">
        <v>16145</v>
      </c>
      <c r="B3298" s="2" t="s">
        <v>16146</v>
      </c>
      <c r="C3298" s="5" t="s">
        <v>2245</v>
      </c>
      <c r="D3298" s="5" t="s">
        <v>62</v>
      </c>
      <c r="E3298" s="5" t="n">
        <v>7</v>
      </c>
      <c r="F3298" s="5" t="s">
        <v>90</v>
      </c>
      <c r="G3298" s="2" t="s">
        <v>12057</v>
      </c>
      <c r="H3298" s="5" t="s">
        <v>8336</v>
      </c>
      <c r="I3298" s="5"/>
      <c r="J3298" s="5"/>
      <c r="K3298" s="5" t="s">
        <v>16147</v>
      </c>
    </row>
    <row r="3299" customFormat="false" ht="46.25" hidden="false" customHeight="false" outlineLevel="0" collapsed="false">
      <c r="A3299" s="5" t="s">
        <v>16148</v>
      </c>
      <c r="B3299" s="2" t="s">
        <v>16149</v>
      </c>
      <c r="C3299" s="5" t="s">
        <v>2245</v>
      </c>
      <c r="D3299" s="5" t="s">
        <v>62</v>
      </c>
      <c r="E3299" s="5" t="n">
        <v>7</v>
      </c>
      <c r="F3299" s="5" t="s">
        <v>90</v>
      </c>
      <c r="G3299" s="2" t="s">
        <v>12057</v>
      </c>
      <c r="H3299" s="5" t="s">
        <v>8336</v>
      </c>
      <c r="I3299" s="5"/>
      <c r="J3299" s="5"/>
      <c r="K3299" s="5" t="s">
        <v>16150</v>
      </c>
    </row>
    <row r="3300" customFormat="false" ht="23.85" hidden="false" customHeight="false" outlineLevel="0" collapsed="false">
      <c r="A3300" s="5" t="s">
        <v>4319</v>
      </c>
      <c r="B3300" s="2" t="s">
        <v>4320</v>
      </c>
      <c r="C3300" s="5" t="s">
        <v>2128</v>
      </c>
      <c r="D3300" s="5" t="s">
        <v>62</v>
      </c>
      <c r="E3300" s="5" t="n">
        <v>7</v>
      </c>
      <c r="F3300" s="5" t="s">
        <v>90</v>
      </c>
      <c r="G3300" s="2" t="s">
        <v>367</v>
      </c>
      <c r="H3300" s="5" t="s">
        <v>8332</v>
      </c>
      <c r="I3300" s="5" t="s">
        <v>60</v>
      </c>
      <c r="J3300" s="5" t="s">
        <v>2754</v>
      </c>
      <c r="K3300" s="5" t="s">
        <v>4323</v>
      </c>
    </row>
    <row r="3301" customFormat="false" ht="23.85" hidden="false" customHeight="false" outlineLevel="0" collapsed="false">
      <c r="A3301" s="5" t="s">
        <v>4324</v>
      </c>
      <c r="B3301" s="2" t="s">
        <v>4325</v>
      </c>
      <c r="C3301" s="5" t="s">
        <v>2128</v>
      </c>
      <c r="D3301" s="5" t="s">
        <v>62</v>
      </c>
      <c r="E3301" s="5" t="n">
        <v>7</v>
      </c>
      <c r="F3301" s="5" t="s">
        <v>90</v>
      </c>
      <c r="G3301" s="2" t="s">
        <v>367</v>
      </c>
      <c r="H3301" s="5" t="s">
        <v>8332</v>
      </c>
      <c r="I3301" s="5" t="s">
        <v>60</v>
      </c>
      <c r="J3301" s="5" t="s">
        <v>2754</v>
      </c>
      <c r="K3301" s="5" t="s">
        <v>4328</v>
      </c>
    </row>
    <row r="3302" customFormat="false" ht="15" hidden="false" customHeight="false" outlineLevel="0" collapsed="false">
      <c r="A3302" s="5" t="s">
        <v>16151</v>
      </c>
      <c r="B3302" s="2" t="s">
        <v>16152</v>
      </c>
      <c r="C3302" s="5" t="s">
        <v>2128</v>
      </c>
      <c r="D3302" s="5" t="s">
        <v>62</v>
      </c>
      <c r="E3302" s="5" t="n">
        <v>5</v>
      </c>
      <c r="F3302" s="5" t="s">
        <v>90</v>
      </c>
      <c r="G3302" s="2" t="s">
        <v>367</v>
      </c>
      <c r="H3302" s="5" t="s">
        <v>8336</v>
      </c>
      <c r="I3302" s="5"/>
      <c r="J3302" s="5"/>
      <c r="K3302" s="5" t="s">
        <v>16153</v>
      </c>
    </row>
    <row r="3303" customFormat="false" ht="46.25" hidden="false" customHeight="false" outlineLevel="0" collapsed="false">
      <c r="A3303" s="5" t="s">
        <v>4329</v>
      </c>
      <c r="B3303" s="2" t="s">
        <v>4330</v>
      </c>
      <c r="C3303" s="5" t="s">
        <v>2245</v>
      </c>
      <c r="D3303" s="5" t="s">
        <v>62</v>
      </c>
      <c r="E3303" s="5" t="n">
        <v>7</v>
      </c>
      <c r="F3303" s="5" t="s">
        <v>90</v>
      </c>
      <c r="G3303" s="2" t="s">
        <v>12057</v>
      </c>
      <c r="H3303" s="5" t="s">
        <v>8332</v>
      </c>
      <c r="I3303" s="5" t="s">
        <v>60</v>
      </c>
      <c r="J3303" s="5" t="s">
        <v>2754</v>
      </c>
      <c r="K3303" s="5" t="s">
        <v>4333</v>
      </c>
    </row>
    <row r="3304" customFormat="false" ht="23.85" hidden="false" customHeight="false" outlineLevel="0" collapsed="false">
      <c r="A3304" s="5" t="s">
        <v>16154</v>
      </c>
      <c r="B3304" s="2" t="s">
        <v>16155</v>
      </c>
      <c r="C3304" s="5" t="s">
        <v>2128</v>
      </c>
      <c r="D3304" s="5" t="s">
        <v>62</v>
      </c>
      <c r="E3304" s="5" t="n">
        <v>7</v>
      </c>
      <c r="F3304" s="5" t="s">
        <v>413</v>
      </c>
      <c r="G3304" s="2" t="s">
        <v>367</v>
      </c>
      <c r="H3304" s="5" t="s">
        <v>8336</v>
      </c>
      <c r="I3304" s="5"/>
      <c r="J3304" s="5"/>
      <c r="K3304" s="5" t="s">
        <v>16156</v>
      </c>
    </row>
    <row r="3305" customFormat="false" ht="46.25" hidden="false" customHeight="false" outlineLevel="0" collapsed="false">
      <c r="A3305" s="5" t="s">
        <v>16157</v>
      </c>
      <c r="B3305" s="2" t="s">
        <v>16158</v>
      </c>
      <c r="C3305" s="5" t="s">
        <v>2245</v>
      </c>
      <c r="D3305" s="5" t="s">
        <v>490</v>
      </c>
      <c r="E3305" s="5" t="n">
        <v>7</v>
      </c>
      <c r="F3305" s="5" t="s">
        <v>90</v>
      </c>
      <c r="G3305" s="2" t="s">
        <v>12057</v>
      </c>
      <c r="H3305" s="5" t="s">
        <v>8336</v>
      </c>
      <c r="I3305" s="5"/>
      <c r="J3305" s="5"/>
      <c r="K3305" s="5" t="s">
        <v>16159</v>
      </c>
    </row>
    <row r="3306" customFormat="false" ht="46.25" hidden="false" customHeight="false" outlineLevel="0" collapsed="false">
      <c r="A3306" s="5" t="s">
        <v>16160</v>
      </c>
      <c r="B3306" s="2" t="s">
        <v>16161</v>
      </c>
      <c r="C3306" s="5" t="s">
        <v>2245</v>
      </c>
      <c r="D3306" s="5" t="s">
        <v>490</v>
      </c>
      <c r="E3306" s="5" t="n">
        <v>5</v>
      </c>
      <c r="F3306" s="5" t="s">
        <v>90</v>
      </c>
      <c r="G3306" s="2" t="s">
        <v>12057</v>
      </c>
      <c r="H3306" s="5" t="s">
        <v>8336</v>
      </c>
      <c r="I3306" s="5"/>
      <c r="J3306" s="5"/>
      <c r="K3306" s="5" t="s">
        <v>16162</v>
      </c>
    </row>
    <row r="3307" customFormat="false" ht="15" hidden="false" customHeight="false" outlineLevel="0" collapsed="false">
      <c r="A3307" s="5" t="s">
        <v>4334</v>
      </c>
      <c r="B3307" s="2" t="s">
        <v>4335</v>
      </c>
      <c r="C3307" s="5" t="s">
        <v>2128</v>
      </c>
      <c r="D3307" s="5" t="s">
        <v>62</v>
      </c>
      <c r="E3307" s="5" t="n">
        <v>5</v>
      </c>
      <c r="F3307" s="5" t="s">
        <v>67</v>
      </c>
      <c r="G3307" s="2" t="s">
        <v>367</v>
      </c>
      <c r="H3307" s="5" t="s">
        <v>8332</v>
      </c>
      <c r="I3307" s="5" t="s">
        <v>60</v>
      </c>
      <c r="J3307" s="5" t="s">
        <v>751</v>
      </c>
      <c r="K3307" s="5" t="s">
        <v>4339</v>
      </c>
    </row>
    <row r="3308" customFormat="false" ht="23.85" hidden="false" customHeight="false" outlineLevel="0" collapsed="false">
      <c r="A3308" s="5" t="s">
        <v>16163</v>
      </c>
      <c r="B3308" s="2" t="s">
        <v>16164</v>
      </c>
      <c r="C3308" s="5" t="s">
        <v>2128</v>
      </c>
      <c r="D3308" s="5" t="s">
        <v>62</v>
      </c>
      <c r="E3308" s="5" t="n">
        <v>5</v>
      </c>
      <c r="F3308" s="5" t="s">
        <v>90</v>
      </c>
      <c r="G3308" s="2" t="s">
        <v>367</v>
      </c>
      <c r="H3308" s="5" t="s">
        <v>8336</v>
      </c>
      <c r="I3308" s="5"/>
      <c r="J3308" s="5"/>
      <c r="K3308" s="5" t="s">
        <v>16165</v>
      </c>
    </row>
    <row r="3309" customFormat="false" ht="46.25" hidden="false" customHeight="false" outlineLevel="0" collapsed="false">
      <c r="A3309" s="5" t="s">
        <v>16166</v>
      </c>
      <c r="B3309" s="2" t="s">
        <v>16167</v>
      </c>
      <c r="C3309" s="5" t="s">
        <v>2245</v>
      </c>
      <c r="D3309" s="5" t="s">
        <v>62</v>
      </c>
      <c r="E3309" s="5" t="n">
        <v>5</v>
      </c>
      <c r="F3309" s="5" t="s">
        <v>1814</v>
      </c>
      <c r="G3309" s="2" t="s">
        <v>12054</v>
      </c>
      <c r="H3309" s="5" t="s">
        <v>8336</v>
      </c>
      <c r="I3309" s="5"/>
      <c r="J3309" s="5"/>
      <c r="K3309" s="5" t="s">
        <v>16168</v>
      </c>
    </row>
    <row r="3310" customFormat="false" ht="46.25" hidden="false" customHeight="false" outlineLevel="0" collapsed="false">
      <c r="A3310" s="5" t="s">
        <v>16169</v>
      </c>
      <c r="B3310" s="2" t="s">
        <v>16170</v>
      </c>
      <c r="C3310" s="5" t="s">
        <v>2245</v>
      </c>
      <c r="D3310" s="5" t="s">
        <v>62</v>
      </c>
      <c r="E3310" s="5" t="n">
        <v>3</v>
      </c>
      <c r="F3310" s="5" t="s">
        <v>277</v>
      </c>
      <c r="G3310" s="2" t="s">
        <v>12054</v>
      </c>
      <c r="H3310" s="5" t="s">
        <v>8336</v>
      </c>
      <c r="I3310" s="5"/>
      <c r="J3310" s="5"/>
      <c r="K3310" s="5" t="s">
        <v>16171</v>
      </c>
    </row>
    <row r="3311" customFormat="false" ht="46.25" hidden="false" customHeight="false" outlineLevel="0" collapsed="false">
      <c r="A3311" s="5" t="s">
        <v>16172</v>
      </c>
      <c r="B3311" s="2" t="s">
        <v>16173</v>
      </c>
      <c r="C3311" s="5" t="s">
        <v>2245</v>
      </c>
      <c r="D3311" s="5" t="s">
        <v>62</v>
      </c>
      <c r="E3311" s="5" t="n">
        <v>3</v>
      </c>
      <c r="F3311" s="5" t="s">
        <v>277</v>
      </c>
      <c r="G3311" s="2" t="s">
        <v>12054</v>
      </c>
      <c r="H3311" s="5" t="s">
        <v>8336</v>
      </c>
      <c r="I3311" s="5"/>
      <c r="J3311" s="5"/>
      <c r="K3311" s="5" t="s">
        <v>16174</v>
      </c>
    </row>
    <row r="3312" customFormat="false" ht="46.25" hidden="false" customHeight="false" outlineLevel="0" collapsed="false">
      <c r="A3312" s="5" t="s">
        <v>16175</v>
      </c>
      <c r="B3312" s="2" t="s">
        <v>16176</v>
      </c>
      <c r="C3312" s="5" t="s">
        <v>2245</v>
      </c>
      <c r="D3312" s="5" t="s">
        <v>62</v>
      </c>
      <c r="E3312" s="5" t="n">
        <v>3</v>
      </c>
      <c r="F3312" s="5" t="s">
        <v>277</v>
      </c>
      <c r="G3312" s="2" t="s">
        <v>12054</v>
      </c>
      <c r="H3312" s="5" t="s">
        <v>8336</v>
      </c>
      <c r="I3312" s="5"/>
      <c r="J3312" s="5"/>
      <c r="K3312" s="5" t="s">
        <v>16177</v>
      </c>
    </row>
    <row r="3313" customFormat="false" ht="46.25" hidden="false" customHeight="false" outlineLevel="0" collapsed="false">
      <c r="A3313" s="5" t="s">
        <v>16178</v>
      </c>
      <c r="B3313" s="2" t="s">
        <v>16179</v>
      </c>
      <c r="C3313" s="5" t="s">
        <v>2245</v>
      </c>
      <c r="D3313" s="5" t="s">
        <v>62</v>
      </c>
      <c r="E3313" s="5" t="n">
        <v>3</v>
      </c>
      <c r="F3313" s="5" t="s">
        <v>277</v>
      </c>
      <c r="G3313" s="2" t="s">
        <v>12054</v>
      </c>
      <c r="H3313" s="5" t="s">
        <v>8336</v>
      </c>
      <c r="I3313" s="5"/>
      <c r="J3313" s="5"/>
      <c r="K3313" s="5" t="s">
        <v>16180</v>
      </c>
    </row>
    <row r="3314" customFormat="false" ht="46.25" hidden="false" customHeight="false" outlineLevel="0" collapsed="false">
      <c r="A3314" s="5" t="s">
        <v>4340</v>
      </c>
      <c r="B3314" s="2" t="s">
        <v>4341</v>
      </c>
      <c r="C3314" s="5" t="s">
        <v>2245</v>
      </c>
      <c r="D3314" s="5" t="s">
        <v>62</v>
      </c>
      <c r="E3314" s="5" t="n">
        <v>7</v>
      </c>
      <c r="F3314" s="5" t="s">
        <v>100</v>
      </c>
      <c r="G3314" s="2" t="s">
        <v>12054</v>
      </c>
      <c r="H3314" s="5" t="s">
        <v>8332</v>
      </c>
      <c r="I3314" s="5" t="s">
        <v>60</v>
      </c>
      <c r="J3314" s="5" t="s">
        <v>1104</v>
      </c>
      <c r="K3314" s="5" t="s">
        <v>4344</v>
      </c>
    </row>
    <row r="3315" customFormat="false" ht="46.25" hidden="false" customHeight="false" outlineLevel="0" collapsed="false">
      <c r="A3315" s="5" t="s">
        <v>4345</v>
      </c>
      <c r="B3315" s="2" t="s">
        <v>4346</v>
      </c>
      <c r="C3315" s="5" t="s">
        <v>2245</v>
      </c>
      <c r="D3315" s="5" t="s">
        <v>62</v>
      </c>
      <c r="E3315" s="5" t="n">
        <v>5</v>
      </c>
      <c r="F3315" s="5" t="s">
        <v>100</v>
      </c>
      <c r="G3315" s="2" t="s">
        <v>12054</v>
      </c>
      <c r="H3315" s="5" t="s">
        <v>8332</v>
      </c>
      <c r="I3315" s="5" t="s">
        <v>60</v>
      </c>
      <c r="J3315" s="5" t="s">
        <v>4347</v>
      </c>
      <c r="K3315" s="5" t="s">
        <v>4350</v>
      </c>
    </row>
    <row r="3316" customFormat="false" ht="15" hidden="false" customHeight="false" outlineLevel="0" collapsed="false">
      <c r="A3316" s="5" t="s">
        <v>16181</v>
      </c>
      <c r="B3316" s="2" t="s">
        <v>16182</v>
      </c>
      <c r="C3316" s="5" t="s">
        <v>2128</v>
      </c>
      <c r="D3316" s="5" t="s">
        <v>62</v>
      </c>
      <c r="E3316" s="5" t="n">
        <v>7</v>
      </c>
      <c r="F3316" s="5" t="s">
        <v>90</v>
      </c>
      <c r="G3316" s="2" t="s">
        <v>367</v>
      </c>
      <c r="H3316" s="5" t="s">
        <v>8336</v>
      </c>
      <c r="I3316" s="5"/>
      <c r="J3316" s="5"/>
      <c r="K3316" s="5" t="s">
        <v>16183</v>
      </c>
    </row>
    <row r="3317" customFormat="false" ht="46.25" hidden="false" customHeight="false" outlineLevel="0" collapsed="false">
      <c r="A3317" s="5" t="s">
        <v>16184</v>
      </c>
      <c r="B3317" s="2" t="s">
        <v>16185</v>
      </c>
      <c r="C3317" s="5" t="s">
        <v>2245</v>
      </c>
      <c r="D3317" s="5" t="s">
        <v>62</v>
      </c>
      <c r="E3317" s="5" t="n">
        <v>5</v>
      </c>
      <c r="F3317" s="5" t="s">
        <v>90</v>
      </c>
      <c r="G3317" s="2" t="s">
        <v>12054</v>
      </c>
      <c r="H3317" s="5" t="s">
        <v>8336</v>
      </c>
      <c r="I3317" s="5"/>
      <c r="J3317" s="5"/>
      <c r="K3317" s="5" t="s">
        <v>16186</v>
      </c>
    </row>
    <row r="3318" customFormat="false" ht="15" hidden="false" customHeight="false" outlineLevel="0" collapsed="false">
      <c r="A3318" s="5" t="s">
        <v>16187</v>
      </c>
      <c r="B3318" s="2" t="s">
        <v>16188</v>
      </c>
      <c r="C3318" s="5" t="s">
        <v>2128</v>
      </c>
      <c r="D3318" s="5" t="s">
        <v>62</v>
      </c>
      <c r="E3318" s="5" t="n">
        <v>5</v>
      </c>
      <c r="F3318" s="5" t="s">
        <v>90</v>
      </c>
      <c r="G3318" s="2" t="s">
        <v>367</v>
      </c>
      <c r="H3318" s="5" t="s">
        <v>8336</v>
      </c>
      <c r="I3318" s="5"/>
      <c r="J3318" s="5"/>
      <c r="K3318" s="5" t="s">
        <v>16189</v>
      </c>
    </row>
    <row r="3319" customFormat="false" ht="46.25" hidden="false" customHeight="false" outlineLevel="0" collapsed="false">
      <c r="A3319" s="5" t="s">
        <v>4351</v>
      </c>
      <c r="B3319" s="2" t="s">
        <v>4352</v>
      </c>
      <c r="C3319" s="5" t="s">
        <v>2245</v>
      </c>
      <c r="D3319" s="5" t="s">
        <v>62</v>
      </c>
      <c r="E3319" s="5" t="n">
        <v>3</v>
      </c>
      <c r="F3319" s="5" t="s">
        <v>90</v>
      </c>
      <c r="G3319" s="2" t="s">
        <v>12054</v>
      </c>
      <c r="H3319" s="5" t="s">
        <v>8332</v>
      </c>
      <c r="I3319" s="5" t="s">
        <v>60</v>
      </c>
      <c r="J3319" s="5" t="s">
        <v>751</v>
      </c>
      <c r="K3319" s="5" t="s">
        <v>4355</v>
      </c>
    </row>
    <row r="3320" customFormat="false" ht="23.85" hidden="false" customHeight="false" outlineLevel="0" collapsed="false">
      <c r="A3320" s="5" t="s">
        <v>16190</v>
      </c>
      <c r="B3320" s="2" t="s">
        <v>16191</v>
      </c>
      <c r="C3320" s="5" t="s">
        <v>2128</v>
      </c>
      <c r="D3320" s="5" t="s">
        <v>62</v>
      </c>
      <c r="E3320" s="5" t="n">
        <v>7</v>
      </c>
      <c r="F3320" s="5" t="s">
        <v>90</v>
      </c>
      <c r="G3320" s="2" t="s">
        <v>367</v>
      </c>
      <c r="H3320" s="5" t="s">
        <v>8336</v>
      </c>
      <c r="I3320" s="5"/>
      <c r="J3320" s="5"/>
      <c r="K3320" s="5" t="s">
        <v>16192</v>
      </c>
    </row>
    <row r="3321" customFormat="false" ht="46.25" hidden="false" customHeight="false" outlineLevel="0" collapsed="false">
      <c r="A3321" s="5" t="s">
        <v>16193</v>
      </c>
      <c r="B3321" s="2" t="s">
        <v>16194</v>
      </c>
      <c r="C3321" s="5" t="s">
        <v>2245</v>
      </c>
      <c r="D3321" s="5" t="s">
        <v>62</v>
      </c>
      <c r="E3321" s="5" t="n">
        <v>5</v>
      </c>
      <c r="F3321" s="5" t="s">
        <v>277</v>
      </c>
      <c r="G3321" s="2" t="s">
        <v>12057</v>
      </c>
      <c r="H3321" s="5" t="s">
        <v>8336</v>
      </c>
      <c r="I3321" s="5"/>
      <c r="J3321" s="5"/>
      <c r="K3321" s="5" t="s">
        <v>16195</v>
      </c>
    </row>
    <row r="3322" customFormat="false" ht="15" hidden="false" customHeight="false" outlineLevel="0" collapsed="false">
      <c r="A3322" s="5" t="s">
        <v>16196</v>
      </c>
      <c r="B3322" s="2" t="s">
        <v>16197</v>
      </c>
      <c r="C3322" s="5" t="s">
        <v>2128</v>
      </c>
      <c r="D3322" s="5" t="s">
        <v>62</v>
      </c>
      <c r="E3322" s="5" t="n">
        <v>7</v>
      </c>
      <c r="F3322" s="5" t="s">
        <v>90</v>
      </c>
      <c r="G3322" s="2" t="s">
        <v>367</v>
      </c>
      <c r="H3322" s="5" t="s">
        <v>8336</v>
      </c>
      <c r="I3322" s="5"/>
      <c r="J3322" s="5"/>
      <c r="K3322" s="5" t="s">
        <v>16198</v>
      </c>
    </row>
    <row r="3323" customFormat="false" ht="15" hidden="false" customHeight="false" outlineLevel="0" collapsed="false">
      <c r="A3323" s="5" t="s">
        <v>16199</v>
      </c>
      <c r="B3323" s="2" t="s">
        <v>16200</v>
      </c>
      <c r="C3323" s="5" t="s">
        <v>2128</v>
      </c>
      <c r="D3323" s="5" t="s">
        <v>62</v>
      </c>
      <c r="E3323" s="5" t="n">
        <v>7</v>
      </c>
      <c r="F3323" s="5" t="s">
        <v>67</v>
      </c>
      <c r="G3323" s="2" t="s">
        <v>367</v>
      </c>
      <c r="H3323" s="5" t="s">
        <v>8336</v>
      </c>
      <c r="I3323" s="5"/>
      <c r="J3323" s="5"/>
      <c r="K3323" s="5" t="s">
        <v>16201</v>
      </c>
    </row>
    <row r="3324" customFormat="false" ht="23.85" hidden="false" customHeight="false" outlineLevel="0" collapsed="false">
      <c r="A3324" s="5" t="s">
        <v>16202</v>
      </c>
      <c r="B3324" s="2" t="s">
        <v>16203</v>
      </c>
      <c r="C3324" s="5" t="s">
        <v>2128</v>
      </c>
      <c r="D3324" s="5" t="s">
        <v>62</v>
      </c>
      <c r="E3324" s="5" t="n">
        <v>7</v>
      </c>
      <c r="F3324" s="5" t="s">
        <v>90</v>
      </c>
      <c r="G3324" s="2" t="s">
        <v>367</v>
      </c>
      <c r="H3324" s="5" t="s">
        <v>8336</v>
      </c>
      <c r="I3324" s="5"/>
      <c r="J3324" s="5"/>
      <c r="K3324" s="5" t="s">
        <v>16204</v>
      </c>
    </row>
    <row r="3325" customFormat="false" ht="15" hidden="false" customHeight="false" outlineLevel="0" collapsed="false">
      <c r="A3325" s="5" t="s">
        <v>16205</v>
      </c>
      <c r="B3325" s="2" t="s">
        <v>16206</v>
      </c>
      <c r="C3325" s="5" t="s">
        <v>2128</v>
      </c>
      <c r="D3325" s="5" t="s">
        <v>62</v>
      </c>
      <c r="E3325" s="5" t="n">
        <v>7</v>
      </c>
      <c r="F3325" s="5" t="s">
        <v>544</v>
      </c>
      <c r="G3325" s="2" t="s">
        <v>367</v>
      </c>
      <c r="H3325" s="5" t="s">
        <v>8336</v>
      </c>
      <c r="I3325" s="5"/>
      <c r="J3325" s="5"/>
      <c r="K3325" s="5" t="s">
        <v>16207</v>
      </c>
    </row>
    <row r="3326" customFormat="false" ht="23.85" hidden="false" customHeight="false" outlineLevel="0" collapsed="false">
      <c r="A3326" s="5" t="s">
        <v>16208</v>
      </c>
      <c r="B3326" s="2" t="s">
        <v>16209</v>
      </c>
      <c r="C3326" s="5" t="s">
        <v>2128</v>
      </c>
      <c r="D3326" s="5" t="s">
        <v>62</v>
      </c>
      <c r="E3326" s="5" t="n">
        <v>1</v>
      </c>
      <c r="F3326" s="5" t="s">
        <v>67</v>
      </c>
      <c r="G3326" s="2" t="s">
        <v>367</v>
      </c>
      <c r="H3326" s="5" t="s">
        <v>8336</v>
      </c>
      <c r="I3326" s="5"/>
      <c r="J3326" s="5"/>
      <c r="K3326" s="5" t="s">
        <v>16210</v>
      </c>
    </row>
    <row r="3327" customFormat="false" ht="15" hidden="false" customHeight="false" outlineLevel="0" collapsed="false">
      <c r="A3327" s="5" t="s">
        <v>16211</v>
      </c>
      <c r="B3327" s="2" t="s">
        <v>16212</v>
      </c>
      <c r="C3327" s="5" t="s">
        <v>2128</v>
      </c>
      <c r="D3327" s="5" t="s">
        <v>62</v>
      </c>
      <c r="E3327" s="5" t="n">
        <v>7</v>
      </c>
      <c r="F3327" s="5" t="s">
        <v>544</v>
      </c>
      <c r="G3327" s="2" t="s">
        <v>367</v>
      </c>
      <c r="H3327" s="5" t="s">
        <v>8336</v>
      </c>
      <c r="I3327" s="5"/>
      <c r="J3327" s="5"/>
      <c r="K3327" s="5" t="s">
        <v>16213</v>
      </c>
    </row>
    <row r="3328" customFormat="false" ht="46.25" hidden="false" customHeight="false" outlineLevel="0" collapsed="false">
      <c r="A3328" s="5" t="s">
        <v>16214</v>
      </c>
      <c r="B3328" s="2" t="s">
        <v>16215</v>
      </c>
      <c r="C3328" s="5" t="s">
        <v>2245</v>
      </c>
      <c r="D3328" s="5" t="s">
        <v>62</v>
      </c>
      <c r="E3328" s="5" t="n">
        <v>5</v>
      </c>
      <c r="F3328" s="5" t="s">
        <v>67</v>
      </c>
      <c r="G3328" s="2" t="s">
        <v>12054</v>
      </c>
      <c r="H3328" s="5" t="s">
        <v>8336</v>
      </c>
      <c r="I3328" s="5"/>
      <c r="J3328" s="5"/>
      <c r="K3328" s="5" t="s">
        <v>16216</v>
      </c>
    </row>
    <row r="3329" customFormat="false" ht="15" hidden="false" customHeight="false" outlineLevel="0" collapsed="false">
      <c r="A3329" s="5" t="s">
        <v>16217</v>
      </c>
      <c r="B3329" s="2" t="s">
        <v>16218</v>
      </c>
      <c r="C3329" s="5" t="s">
        <v>2128</v>
      </c>
      <c r="D3329" s="5" t="s">
        <v>62</v>
      </c>
      <c r="E3329" s="5" t="n">
        <v>7</v>
      </c>
      <c r="F3329" s="5" t="s">
        <v>90</v>
      </c>
      <c r="G3329" s="2" t="s">
        <v>367</v>
      </c>
      <c r="H3329" s="5" t="s">
        <v>8336</v>
      </c>
      <c r="I3329" s="5"/>
      <c r="J3329" s="5"/>
      <c r="K3329" s="5" t="s">
        <v>16219</v>
      </c>
    </row>
    <row r="3330" customFormat="false" ht="23.85" hidden="false" customHeight="false" outlineLevel="0" collapsed="false">
      <c r="A3330" s="5" t="s">
        <v>16220</v>
      </c>
      <c r="B3330" s="2" t="s">
        <v>16221</v>
      </c>
      <c r="C3330" s="5" t="s">
        <v>2128</v>
      </c>
      <c r="D3330" s="5" t="s">
        <v>62</v>
      </c>
      <c r="E3330" s="5" t="n">
        <v>5</v>
      </c>
      <c r="F3330" s="5" t="s">
        <v>90</v>
      </c>
      <c r="G3330" s="2" t="s">
        <v>367</v>
      </c>
      <c r="H3330" s="5" t="s">
        <v>8336</v>
      </c>
      <c r="I3330" s="5"/>
      <c r="J3330" s="5"/>
      <c r="K3330" s="5" t="s">
        <v>16222</v>
      </c>
    </row>
    <row r="3331" customFormat="false" ht="23.85" hidden="false" customHeight="false" outlineLevel="0" collapsed="false">
      <c r="A3331" s="5" t="s">
        <v>16223</v>
      </c>
      <c r="B3331" s="2" t="s">
        <v>16224</v>
      </c>
      <c r="C3331" s="5" t="s">
        <v>2128</v>
      </c>
      <c r="D3331" s="5" t="s">
        <v>62</v>
      </c>
      <c r="E3331" s="5" t="n">
        <v>7</v>
      </c>
      <c r="F3331" s="5" t="s">
        <v>90</v>
      </c>
      <c r="G3331" s="2" t="s">
        <v>367</v>
      </c>
      <c r="H3331" s="5" t="s">
        <v>8336</v>
      </c>
      <c r="I3331" s="5"/>
      <c r="J3331" s="5"/>
      <c r="K3331" s="5" t="s">
        <v>16225</v>
      </c>
    </row>
    <row r="3332" customFormat="false" ht="46.25" hidden="false" customHeight="false" outlineLevel="0" collapsed="false">
      <c r="A3332" s="5" t="s">
        <v>16226</v>
      </c>
      <c r="B3332" s="2" t="s">
        <v>16227</v>
      </c>
      <c r="C3332" s="5" t="s">
        <v>2245</v>
      </c>
      <c r="D3332" s="5" t="s">
        <v>62</v>
      </c>
      <c r="E3332" s="5" t="n">
        <v>5</v>
      </c>
      <c r="F3332" s="5" t="s">
        <v>67</v>
      </c>
      <c r="G3332" s="2" t="s">
        <v>12054</v>
      </c>
      <c r="H3332" s="5" t="s">
        <v>8336</v>
      </c>
      <c r="I3332" s="5"/>
      <c r="J3332" s="5"/>
      <c r="K3332" s="5" t="s">
        <v>16228</v>
      </c>
    </row>
    <row r="3333" customFormat="false" ht="15" hidden="false" customHeight="false" outlineLevel="0" collapsed="false">
      <c r="A3333" s="5" t="s">
        <v>16229</v>
      </c>
      <c r="B3333" s="2" t="s">
        <v>16230</v>
      </c>
      <c r="C3333" s="5" t="s">
        <v>2128</v>
      </c>
      <c r="D3333" s="5" t="s">
        <v>62</v>
      </c>
      <c r="E3333" s="5" t="n">
        <v>7</v>
      </c>
      <c r="F3333" s="5" t="s">
        <v>1814</v>
      </c>
      <c r="G3333" s="2" t="s">
        <v>367</v>
      </c>
      <c r="H3333" s="5" t="s">
        <v>8336</v>
      </c>
      <c r="I3333" s="5"/>
      <c r="J3333" s="5"/>
      <c r="K3333" s="5" t="s">
        <v>16231</v>
      </c>
    </row>
    <row r="3334" customFormat="false" ht="23.85" hidden="false" customHeight="false" outlineLevel="0" collapsed="false">
      <c r="A3334" s="5" t="s">
        <v>16232</v>
      </c>
      <c r="B3334" s="2" t="s">
        <v>16233</v>
      </c>
      <c r="C3334" s="5" t="s">
        <v>2128</v>
      </c>
      <c r="D3334" s="5" t="s">
        <v>62</v>
      </c>
      <c r="E3334" s="5" t="n">
        <v>5</v>
      </c>
      <c r="F3334" s="5" t="s">
        <v>1814</v>
      </c>
      <c r="G3334" s="2" t="s">
        <v>367</v>
      </c>
      <c r="H3334" s="5" t="s">
        <v>8336</v>
      </c>
      <c r="I3334" s="5"/>
      <c r="J3334" s="5"/>
      <c r="K3334" s="5" t="s">
        <v>16234</v>
      </c>
    </row>
    <row r="3335" customFormat="false" ht="46.25" hidden="false" customHeight="false" outlineLevel="0" collapsed="false">
      <c r="A3335" s="5" t="s">
        <v>16235</v>
      </c>
      <c r="B3335" s="2" t="s">
        <v>16236</v>
      </c>
      <c r="C3335" s="5" t="s">
        <v>2245</v>
      </c>
      <c r="D3335" s="5" t="s">
        <v>62</v>
      </c>
      <c r="E3335" s="5" t="n">
        <v>5</v>
      </c>
      <c r="F3335" s="5" t="s">
        <v>67</v>
      </c>
      <c r="G3335" s="2" t="s">
        <v>12054</v>
      </c>
      <c r="H3335" s="5" t="s">
        <v>8336</v>
      </c>
      <c r="I3335" s="5"/>
      <c r="J3335" s="5"/>
      <c r="K3335" s="5" t="s">
        <v>16237</v>
      </c>
    </row>
    <row r="3336" customFormat="false" ht="23.85" hidden="false" customHeight="false" outlineLevel="0" collapsed="false">
      <c r="A3336" s="5" t="s">
        <v>16238</v>
      </c>
      <c r="B3336" s="2" t="s">
        <v>16239</v>
      </c>
      <c r="C3336" s="5" t="s">
        <v>2128</v>
      </c>
      <c r="D3336" s="5" t="s">
        <v>62</v>
      </c>
      <c r="E3336" s="5" t="n">
        <v>7</v>
      </c>
      <c r="F3336" s="5" t="s">
        <v>67</v>
      </c>
      <c r="G3336" s="2" t="s">
        <v>367</v>
      </c>
      <c r="H3336" s="5" t="s">
        <v>8336</v>
      </c>
      <c r="I3336" s="5"/>
      <c r="J3336" s="5"/>
      <c r="K3336" s="5" t="s">
        <v>16240</v>
      </c>
    </row>
    <row r="3337" customFormat="false" ht="23.85" hidden="false" customHeight="false" outlineLevel="0" collapsed="false">
      <c r="A3337" s="5" t="s">
        <v>1909</v>
      </c>
      <c r="B3337" s="2" t="s">
        <v>1910</v>
      </c>
      <c r="C3337" s="5" t="s">
        <v>488</v>
      </c>
      <c r="D3337" s="5" t="s">
        <v>62</v>
      </c>
      <c r="E3337" s="5" t="n">
        <v>5</v>
      </c>
      <c r="F3337" s="5" t="s">
        <v>100</v>
      </c>
      <c r="G3337" s="2" t="s">
        <v>184</v>
      </c>
      <c r="H3337" s="5" t="s">
        <v>8332</v>
      </c>
      <c r="I3337" s="5" t="s">
        <v>60</v>
      </c>
      <c r="J3337" s="5" t="s">
        <v>339</v>
      </c>
      <c r="K3337" s="5" t="s">
        <v>1915</v>
      </c>
    </row>
    <row r="3338" customFormat="false" ht="46.25" hidden="false" customHeight="false" outlineLevel="0" collapsed="false">
      <c r="A3338" s="5" t="s">
        <v>4356</v>
      </c>
      <c r="B3338" s="2" t="s">
        <v>4357</v>
      </c>
      <c r="C3338" s="5" t="s">
        <v>2245</v>
      </c>
      <c r="D3338" s="5" t="s">
        <v>490</v>
      </c>
      <c r="E3338" s="5" t="n">
        <v>7</v>
      </c>
      <c r="F3338" s="5" t="s">
        <v>100</v>
      </c>
      <c r="G3338" s="2" t="s">
        <v>12057</v>
      </c>
      <c r="H3338" s="5" t="s">
        <v>8332</v>
      </c>
      <c r="I3338" s="5" t="s">
        <v>60</v>
      </c>
      <c r="J3338" s="5" t="s">
        <v>1384</v>
      </c>
      <c r="K3338" s="5" t="s">
        <v>4360</v>
      </c>
    </row>
    <row r="3339" customFormat="false" ht="46.25" hidden="false" customHeight="false" outlineLevel="0" collapsed="false">
      <c r="A3339" s="5" t="s">
        <v>4361</v>
      </c>
      <c r="B3339" s="2" t="s">
        <v>4362</v>
      </c>
      <c r="C3339" s="5" t="s">
        <v>2245</v>
      </c>
      <c r="D3339" s="5" t="s">
        <v>62</v>
      </c>
      <c r="E3339" s="5" t="n">
        <v>7</v>
      </c>
      <c r="F3339" s="5" t="s">
        <v>100</v>
      </c>
      <c r="G3339" s="2" t="s">
        <v>12054</v>
      </c>
      <c r="H3339" s="5" t="s">
        <v>8332</v>
      </c>
      <c r="I3339" s="5" t="s">
        <v>60</v>
      </c>
      <c r="J3339" s="5" t="s">
        <v>1384</v>
      </c>
      <c r="K3339" s="5" t="s">
        <v>4365</v>
      </c>
    </row>
    <row r="3340" customFormat="false" ht="15" hidden="false" customHeight="false" outlineLevel="0" collapsed="false">
      <c r="A3340" s="5" t="s">
        <v>16241</v>
      </c>
      <c r="B3340" s="2" t="s">
        <v>16242</v>
      </c>
      <c r="C3340" s="5" t="s">
        <v>2128</v>
      </c>
      <c r="D3340" s="5" t="s">
        <v>62</v>
      </c>
      <c r="E3340" s="5" t="n">
        <v>7</v>
      </c>
      <c r="F3340" s="5" t="s">
        <v>90</v>
      </c>
      <c r="G3340" s="2" t="s">
        <v>367</v>
      </c>
      <c r="H3340" s="5" t="s">
        <v>8336</v>
      </c>
      <c r="I3340" s="5"/>
      <c r="J3340" s="5"/>
      <c r="K3340" s="5" t="s">
        <v>16243</v>
      </c>
    </row>
    <row r="3341" customFormat="false" ht="15" hidden="false" customHeight="false" outlineLevel="0" collapsed="false">
      <c r="A3341" s="5" t="s">
        <v>1916</v>
      </c>
      <c r="B3341" s="2" t="s">
        <v>1917</v>
      </c>
      <c r="C3341" s="5" t="s">
        <v>488</v>
      </c>
      <c r="D3341" s="5" t="s">
        <v>62</v>
      </c>
      <c r="E3341" s="5" t="n">
        <v>7</v>
      </c>
      <c r="F3341" s="5" t="s">
        <v>100</v>
      </c>
      <c r="G3341" s="2" t="s">
        <v>367</v>
      </c>
      <c r="H3341" s="5" t="s">
        <v>8332</v>
      </c>
      <c r="I3341" s="5" t="s">
        <v>60</v>
      </c>
      <c r="J3341" s="5" t="s">
        <v>100</v>
      </c>
      <c r="K3341" s="5" t="s">
        <v>1921</v>
      </c>
    </row>
    <row r="3342" customFormat="false" ht="46.25" hidden="false" customHeight="false" outlineLevel="0" collapsed="false">
      <c r="A3342" s="5" t="s">
        <v>16244</v>
      </c>
      <c r="B3342" s="2" t="s">
        <v>16245</v>
      </c>
      <c r="C3342" s="5" t="s">
        <v>2245</v>
      </c>
      <c r="D3342" s="5" t="s">
        <v>62</v>
      </c>
      <c r="E3342" s="5" t="n">
        <v>5</v>
      </c>
      <c r="F3342" s="5" t="s">
        <v>284</v>
      </c>
      <c r="G3342" s="2" t="s">
        <v>12057</v>
      </c>
      <c r="H3342" s="5" t="s">
        <v>8336</v>
      </c>
      <c r="I3342" s="5"/>
      <c r="J3342" s="5"/>
      <c r="K3342" s="5" t="s">
        <v>16246</v>
      </c>
    </row>
    <row r="3343" customFormat="false" ht="23.85" hidden="false" customHeight="false" outlineLevel="0" collapsed="false">
      <c r="A3343" s="5" t="s">
        <v>4366</v>
      </c>
      <c r="B3343" s="2" t="s">
        <v>4367</v>
      </c>
      <c r="C3343" s="5" t="s">
        <v>2128</v>
      </c>
      <c r="D3343" s="5" t="s">
        <v>62</v>
      </c>
      <c r="E3343" s="5" t="n">
        <v>7</v>
      </c>
      <c r="F3343" s="5" t="s">
        <v>1814</v>
      </c>
      <c r="G3343" s="2" t="s">
        <v>184</v>
      </c>
      <c r="H3343" s="5" t="s">
        <v>8332</v>
      </c>
      <c r="I3343" s="5" t="s">
        <v>60</v>
      </c>
      <c r="J3343" s="5" t="s">
        <v>276</v>
      </c>
      <c r="K3343" s="5" t="s">
        <v>4370</v>
      </c>
    </row>
    <row r="3344" customFormat="false" ht="46.25" hidden="false" customHeight="false" outlineLevel="0" collapsed="false">
      <c r="A3344" s="5" t="s">
        <v>16247</v>
      </c>
      <c r="B3344" s="2" t="s">
        <v>16248</v>
      </c>
      <c r="C3344" s="5" t="s">
        <v>2245</v>
      </c>
      <c r="D3344" s="5" t="s">
        <v>490</v>
      </c>
      <c r="E3344" s="5" t="n">
        <v>7</v>
      </c>
      <c r="F3344" s="5" t="s">
        <v>413</v>
      </c>
      <c r="G3344" s="2" t="s">
        <v>12057</v>
      </c>
      <c r="H3344" s="5" t="s">
        <v>8336</v>
      </c>
      <c r="I3344" s="5"/>
      <c r="J3344" s="5"/>
      <c r="K3344" s="5" t="s">
        <v>16249</v>
      </c>
    </row>
    <row r="3345" customFormat="false" ht="15" hidden="false" customHeight="false" outlineLevel="0" collapsed="false">
      <c r="A3345" s="5" t="s">
        <v>16250</v>
      </c>
      <c r="B3345" s="2" t="s">
        <v>16251</v>
      </c>
      <c r="C3345" s="5" t="s">
        <v>2128</v>
      </c>
      <c r="D3345" s="5" t="s">
        <v>62</v>
      </c>
      <c r="E3345" s="5" t="n">
        <v>5</v>
      </c>
      <c r="F3345" s="5" t="s">
        <v>90</v>
      </c>
      <c r="G3345" s="2" t="s">
        <v>367</v>
      </c>
      <c r="H3345" s="5" t="s">
        <v>8336</v>
      </c>
      <c r="I3345" s="5"/>
      <c r="J3345" s="5"/>
      <c r="K3345" s="5" t="s">
        <v>16252</v>
      </c>
    </row>
    <row r="3346" customFormat="false" ht="46.25" hidden="false" customHeight="false" outlineLevel="0" collapsed="false">
      <c r="A3346" s="5" t="s">
        <v>16253</v>
      </c>
      <c r="B3346" s="2" t="s">
        <v>16254</v>
      </c>
      <c r="C3346" s="5" t="s">
        <v>2245</v>
      </c>
      <c r="D3346" s="5" t="s">
        <v>490</v>
      </c>
      <c r="E3346" s="5" t="n">
        <v>7</v>
      </c>
      <c r="F3346" s="5" t="s">
        <v>90</v>
      </c>
      <c r="G3346" s="2" t="s">
        <v>12057</v>
      </c>
      <c r="H3346" s="5" t="s">
        <v>8336</v>
      </c>
      <c r="I3346" s="5"/>
      <c r="J3346" s="5"/>
      <c r="K3346" s="5" t="s">
        <v>16255</v>
      </c>
    </row>
    <row r="3347" customFormat="false" ht="23.85" hidden="false" customHeight="false" outlineLevel="0" collapsed="false">
      <c r="A3347" s="5" t="s">
        <v>1922</v>
      </c>
      <c r="B3347" s="2" t="s">
        <v>1923</v>
      </c>
      <c r="C3347" s="5" t="s">
        <v>488</v>
      </c>
      <c r="D3347" s="5" t="s">
        <v>62</v>
      </c>
      <c r="E3347" s="5" t="n">
        <v>7</v>
      </c>
      <c r="F3347" s="5" t="s">
        <v>100</v>
      </c>
      <c r="G3347" s="2" t="s">
        <v>367</v>
      </c>
      <c r="H3347" s="5" t="s">
        <v>8332</v>
      </c>
      <c r="I3347" s="5" t="s">
        <v>60</v>
      </c>
      <c r="J3347" s="5" t="s">
        <v>100</v>
      </c>
      <c r="K3347" s="5" t="s">
        <v>1927</v>
      </c>
    </row>
    <row r="3348" customFormat="false" ht="15" hidden="false" customHeight="false" outlineLevel="0" collapsed="false">
      <c r="A3348" s="5" t="s">
        <v>471</v>
      </c>
      <c r="B3348" s="2" t="s">
        <v>472</v>
      </c>
      <c r="C3348" s="5" t="s">
        <v>59</v>
      </c>
      <c r="D3348" s="5" t="s">
        <v>62</v>
      </c>
      <c r="E3348" s="5" t="n">
        <v>9</v>
      </c>
      <c r="F3348" s="5" t="s">
        <v>100</v>
      </c>
      <c r="G3348" s="2" t="s">
        <v>367</v>
      </c>
      <c r="H3348" s="5" t="s">
        <v>8332</v>
      </c>
      <c r="I3348" s="5" t="s">
        <v>60</v>
      </c>
      <c r="J3348" s="5" t="s">
        <v>100</v>
      </c>
      <c r="K3348" s="5" t="s">
        <v>477</v>
      </c>
    </row>
    <row r="3349" customFormat="false" ht="15" hidden="false" customHeight="false" outlineLevel="0" collapsed="false">
      <c r="A3349" s="5" t="s">
        <v>1928</v>
      </c>
      <c r="B3349" s="2" t="s">
        <v>1929</v>
      </c>
      <c r="C3349" s="5" t="s">
        <v>488</v>
      </c>
      <c r="D3349" s="5" t="s">
        <v>62</v>
      </c>
      <c r="E3349" s="5" t="n">
        <v>9</v>
      </c>
      <c r="F3349" s="5" t="s">
        <v>100</v>
      </c>
      <c r="G3349" s="2" t="s">
        <v>367</v>
      </c>
      <c r="H3349" s="5" t="s">
        <v>8332</v>
      </c>
      <c r="I3349" s="5" t="s">
        <v>60</v>
      </c>
      <c r="J3349" s="5" t="s">
        <v>100</v>
      </c>
      <c r="K3349" s="5" t="s">
        <v>1933</v>
      </c>
    </row>
    <row r="3350" customFormat="false" ht="23.85" hidden="false" customHeight="false" outlineLevel="0" collapsed="false">
      <c r="A3350" s="5" t="s">
        <v>1934</v>
      </c>
      <c r="B3350" s="2" t="s">
        <v>1935</v>
      </c>
      <c r="C3350" s="5" t="s">
        <v>488</v>
      </c>
      <c r="D3350" s="5" t="s">
        <v>62</v>
      </c>
      <c r="E3350" s="5" t="n">
        <v>7</v>
      </c>
      <c r="F3350" s="5" t="s">
        <v>1210</v>
      </c>
      <c r="G3350" s="2" t="s">
        <v>367</v>
      </c>
      <c r="H3350" s="5" t="s">
        <v>8332</v>
      </c>
      <c r="I3350" s="5" t="s">
        <v>60</v>
      </c>
      <c r="J3350" s="5"/>
      <c r="K3350" s="5" t="s">
        <v>1939</v>
      </c>
    </row>
    <row r="3351" customFormat="false" ht="15" hidden="false" customHeight="false" outlineLevel="0" collapsed="false">
      <c r="A3351" s="5" t="s">
        <v>16256</v>
      </c>
      <c r="B3351" s="2" t="s">
        <v>16257</v>
      </c>
      <c r="C3351" s="5" t="s">
        <v>2128</v>
      </c>
      <c r="D3351" s="5" t="s">
        <v>62</v>
      </c>
      <c r="E3351" s="5" t="n">
        <v>7</v>
      </c>
      <c r="F3351" s="5" t="s">
        <v>67</v>
      </c>
      <c r="G3351" s="2" t="s">
        <v>367</v>
      </c>
      <c r="H3351" s="5" t="s">
        <v>8336</v>
      </c>
      <c r="I3351" s="5"/>
      <c r="J3351" s="5"/>
      <c r="K3351" s="5" t="s">
        <v>16258</v>
      </c>
    </row>
    <row r="3352" customFormat="false" ht="23.85" hidden="false" customHeight="false" outlineLevel="0" collapsed="false">
      <c r="A3352" s="5" t="s">
        <v>16259</v>
      </c>
      <c r="B3352" s="2" t="s">
        <v>16260</v>
      </c>
      <c r="C3352" s="5" t="s">
        <v>2128</v>
      </c>
      <c r="D3352" s="5" t="s">
        <v>62</v>
      </c>
      <c r="E3352" s="5" t="n">
        <v>7</v>
      </c>
      <c r="F3352" s="5" t="s">
        <v>544</v>
      </c>
      <c r="G3352" s="2" t="s">
        <v>367</v>
      </c>
      <c r="H3352" s="5" t="s">
        <v>8336</v>
      </c>
      <c r="I3352" s="5"/>
      <c r="J3352" s="5"/>
      <c r="K3352" s="5" t="s">
        <v>16261</v>
      </c>
    </row>
    <row r="3353" customFormat="false" ht="23.85" hidden="false" customHeight="false" outlineLevel="0" collapsed="false">
      <c r="A3353" s="5" t="s">
        <v>16262</v>
      </c>
      <c r="B3353" s="2" t="s">
        <v>16263</v>
      </c>
      <c r="C3353" s="5" t="s">
        <v>2128</v>
      </c>
      <c r="D3353" s="5" t="s">
        <v>62</v>
      </c>
      <c r="E3353" s="5" t="n">
        <v>7</v>
      </c>
      <c r="F3353" s="5" t="s">
        <v>413</v>
      </c>
      <c r="G3353" s="2" t="s">
        <v>367</v>
      </c>
      <c r="H3353" s="5" t="s">
        <v>8336</v>
      </c>
      <c r="I3353" s="5"/>
      <c r="J3353" s="5"/>
      <c r="K3353" s="5" t="s">
        <v>16264</v>
      </c>
    </row>
    <row r="3354" customFormat="false" ht="46.25" hidden="false" customHeight="false" outlineLevel="0" collapsed="false">
      <c r="A3354" s="5" t="s">
        <v>16265</v>
      </c>
      <c r="B3354" s="2" t="s">
        <v>16266</v>
      </c>
      <c r="C3354" s="5" t="s">
        <v>2245</v>
      </c>
      <c r="D3354" s="5" t="s">
        <v>62</v>
      </c>
      <c r="E3354" s="5" t="n">
        <v>3</v>
      </c>
      <c r="F3354" s="5" t="s">
        <v>67</v>
      </c>
      <c r="G3354" s="2" t="s">
        <v>12054</v>
      </c>
      <c r="H3354" s="5" t="s">
        <v>8336</v>
      </c>
      <c r="I3354" s="5"/>
      <c r="J3354" s="5"/>
      <c r="K3354" s="5" t="s">
        <v>16267</v>
      </c>
    </row>
    <row r="3355" customFormat="false" ht="23.85" hidden="false" customHeight="false" outlineLevel="0" collapsed="false">
      <c r="A3355" s="5" t="s">
        <v>16268</v>
      </c>
      <c r="B3355" s="2" t="s">
        <v>16269</v>
      </c>
      <c r="C3355" s="5" t="s">
        <v>2128</v>
      </c>
      <c r="D3355" s="5" t="s">
        <v>62</v>
      </c>
      <c r="E3355" s="5" t="n">
        <v>5</v>
      </c>
      <c r="F3355" s="5" t="s">
        <v>90</v>
      </c>
      <c r="G3355" s="2" t="s">
        <v>367</v>
      </c>
      <c r="H3355" s="5" t="s">
        <v>8336</v>
      </c>
      <c r="I3355" s="5"/>
      <c r="J3355" s="5"/>
      <c r="K3355" s="5" t="s">
        <v>16270</v>
      </c>
    </row>
    <row r="3356" customFormat="false" ht="15" hidden="false" customHeight="false" outlineLevel="0" collapsed="false">
      <c r="A3356" s="5" t="s">
        <v>16271</v>
      </c>
      <c r="B3356" s="2" t="s">
        <v>16272</v>
      </c>
      <c r="C3356" s="5" t="s">
        <v>2128</v>
      </c>
      <c r="D3356" s="5" t="s">
        <v>62</v>
      </c>
      <c r="E3356" s="5" t="n">
        <v>7</v>
      </c>
      <c r="F3356" s="5" t="s">
        <v>90</v>
      </c>
      <c r="G3356" s="2" t="s">
        <v>367</v>
      </c>
      <c r="H3356" s="5" t="s">
        <v>8336</v>
      </c>
      <c r="I3356" s="5"/>
      <c r="J3356" s="5"/>
      <c r="K3356" s="5" t="s">
        <v>16273</v>
      </c>
    </row>
    <row r="3357" customFormat="false" ht="23.85" hidden="false" customHeight="false" outlineLevel="0" collapsed="false">
      <c r="A3357" s="5" t="s">
        <v>16274</v>
      </c>
      <c r="B3357" s="2" t="s">
        <v>16275</v>
      </c>
      <c r="C3357" s="5" t="s">
        <v>2128</v>
      </c>
      <c r="D3357" s="5" t="s">
        <v>62</v>
      </c>
      <c r="E3357" s="5" t="n">
        <v>7</v>
      </c>
      <c r="F3357" s="5" t="s">
        <v>90</v>
      </c>
      <c r="G3357" s="2" t="s">
        <v>367</v>
      </c>
      <c r="H3357" s="5" t="s">
        <v>8336</v>
      </c>
      <c r="I3357" s="5"/>
      <c r="J3357" s="5"/>
      <c r="K3357" s="5" t="s">
        <v>16276</v>
      </c>
    </row>
    <row r="3358" customFormat="false" ht="15" hidden="false" customHeight="false" outlineLevel="0" collapsed="false">
      <c r="A3358" s="5" t="s">
        <v>16277</v>
      </c>
      <c r="B3358" s="2" t="s">
        <v>16278</v>
      </c>
      <c r="C3358" s="5" t="s">
        <v>2128</v>
      </c>
      <c r="D3358" s="5" t="s">
        <v>62</v>
      </c>
      <c r="E3358" s="5" t="n">
        <v>7</v>
      </c>
      <c r="F3358" s="5" t="s">
        <v>67</v>
      </c>
      <c r="G3358" s="2" t="s">
        <v>367</v>
      </c>
      <c r="H3358" s="5" t="s">
        <v>8336</v>
      </c>
      <c r="I3358" s="5"/>
      <c r="J3358" s="5"/>
      <c r="K3358" s="5" t="s">
        <v>16279</v>
      </c>
    </row>
    <row r="3359" customFormat="false" ht="15" hidden="false" customHeight="false" outlineLevel="0" collapsed="false">
      <c r="A3359" s="5" t="s">
        <v>16280</v>
      </c>
      <c r="B3359" s="2" t="s">
        <v>16281</v>
      </c>
      <c r="C3359" s="5" t="s">
        <v>2128</v>
      </c>
      <c r="D3359" s="5" t="s">
        <v>62</v>
      </c>
      <c r="E3359" s="5" t="n">
        <v>7</v>
      </c>
      <c r="F3359" s="5" t="s">
        <v>413</v>
      </c>
      <c r="G3359" s="2" t="s">
        <v>367</v>
      </c>
      <c r="H3359" s="5" t="s">
        <v>8336</v>
      </c>
      <c r="I3359" s="5"/>
      <c r="J3359" s="5"/>
      <c r="K3359" s="5" t="s">
        <v>16282</v>
      </c>
    </row>
    <row r="3360" customFormat="false" ht="15" hidden="false" customHeight="false" outlineLevel="0" collapsed="false">
      <c r="A3360" s="5" t="s">
        <v>16283</v>
      </c>
      <c r="B3360" s="2" t="s">
        <v>16284</v>
      </c>
      <c r="C3360" s="5" t="s">
        <v>2128</v>
      </c>
      <c r="D3360" s="5" t="s">
        <v>62</v>
      </c>
      <c r="E3360" s="5" t="n">
        <v>5</v>
      </c>
      <c r="F3360" s="5" t="s">
        <v>67</v>
      </c>
      <c r="G3360" s="2" t="s">
        <v>367</v>
      </c>
      <c r="H3360" s="5" t="s">
        <v>8336</v>
      </c>
      <c r="I3360" s="5"/>
      <c r="J3360" s="5"/>
      <c r="K3360" s="5" t="s">
        <v>16285</v>
      </c>
    </row>
    <row r="3361" customFormat="false" ht="15" hidden="false" customHeight="false" outlineLevel="0" collapsed="false">
      <c r="A3361" s="5" t="s">
        <v>16286</v>
      </c>
      <c r="B3361" s="2" t="s">
        <v>16287</v>
      </c>
      <c r="C3361" s="5" t="s">
        <v>2128</v>
      </c>
      <c r="D3361" s="5" t="s">
        <v>62</v>
      </c>
      <c r="E3361" s="5" t="n">
        <v>5</v>
      </c>
      <c r="F3361" s="5" t="s">
        <v>67</v>
      </c>
      <c r="G3361" s="2" t="s">
        <v>367</v>
      </c>
      <c r="H3361" s="5" t="s">
        <v>8336</v>
      </c>
      <c r="I3361" s="5"/>
      <c r="J3361" s="5"/>
      <c r="K3361" s="5" t="s">
        <v>16288</v>
      </c>
    </row>
    <row r="3362" customFormat="false" ht="23.85" hidden="false" customHeight="false" outlineLevel="0" collapsed="false">
      <c r="A3362" s="5" t="s">
        <v>16289</v>
      </c>
      <c r="B3362" s="2" t="s">
        <v>16290</v>
      </c>
      <c r="C3362" s="5" t="s">
        <v>2128</v>
      </c>
      <c r="D3362" s="5" t="s">
        <v>62</v>
      </c>
      <c r="E3362" s="5" t="n">
        <v>5</v>
      </c>
      <c r="F3362" s="5" t="s">
        <v>67</v>
      </c>
      <c r="G3362" s="2" t="s">
        <v>367</v>
      </c>
      <c r="H3362" s="5" t="s">
        <v>8336</v>
      </c>
      <c r="I3362" s="5"/>
      <c r="J3362" s="5"/>
      <c r="K3362" s="5" t="s">
        <v>16291</v>
      </c>
    </row>
    <row r="3363" customFormat="false" ht="23.85" hidden="false" customHeight="false" outlineLevel="0" collapsed="false">
      <c r="A3363" s="5" t="s">
        <v>16292</v>
      </c>
      <c r="B3363" s="2" t="s">
        <v>16293</v>
      </c>
      <c r="C3363" s="5" t="s">
        <v>2128</v>
      </c>
      <c r="D3363" s="5" t="s">
        <v>62</v>
      </c>
      <c r="E3363" s="5" t="n">
        <v>7</v>
      </c>
      <c r="F3363" s="5" t="s">
        <v>1814</v>
      </c>
      <c r="G3363" s="2" t="s">
        <v>367</v>
      </c>
      <c r="H3363" s="5" t="s">
        <v>8336</v>
      </c>
      <c r="I3363" s="5"/>
      <c r="J3363" s="5"/>
      <c r="K3363" s="5" t="s">
        <v>16294</v>
      </c>
    </row>
    <row r="3364" customFormat="false" ht="15" hidden="false" customHeight="false" outlineLevel="0" collapsed="false">
      <c r="A3364" s="5" t="s">
        <v>16295</v>
      </c>
      <c r="B3364" s="2" t="s">
        <v>16296</v>
      </c>
      <c r="C3364" s="5" t="s">
        <v>2128</v>
      </c>
      <c r="D3364" s="5" t="s">
        <v>62</v>
      </c>
      <c r="E3364" s="5" t="n">
        <v>3</v>
      </c>
      <c r="F3364" s="5" t="s">
        <v>90</v>
      </c>
      <c r="G3364" s="2" t="s">
        <v>367</v>
      </c>
      <c r="H3364" s="5" t="s">
        <v>8336</v>
      </c>
      <c r="I3364" s="5"/>
      <c r="J3364" s="5"/>
      <c r="K3364" s="5" t="s">
        <v>16297</v>
      </c>
    </row>
    <row r="3365" customFormat="false" ht="23.85" hidden="false" customHeight="false" outlineLevel="0" collapsed="false">
      <c r="A3365" s="5" t="s">
        <v>16298</v>
      </c>
      <c r="B3365" s="2" t="s">
        <v>16299</v>
      </c>
      <c r="C3365" s="5" t="s">
        <v>2128</v>
      </c>
      <c r="D3365" s="5" t="s">
        <v>62</v>
      </c>
      <c r="E3365" s="5" t="n">
        <v>7</v>
      </c>
      <c r="F3365" s="5" t="s">
        <v>90</v>
      </c>
      <c r="G3365" s="2" t="s">
        <v>367</v>
      </c>
      <c r="H3365" s="5" t="s">
        <v>8336</v>
      </c>
      <c r="I3365" s="5"/>
      <c r="J3365" s="5"/>
      <c r="K3365" s="5" t="s">
        <v>16300</v>
      </c>
    </row>
    <row r="3366" customFormat="false" ht="23.85" hidden="false" customHeight="false" outlineLevel="0" collapsed="false">
      <c r="A3366" s="5" t="s">
        <v>16301</v>
      </c>
      <c r="B3366" s="2" t="s">
        <v>16302</v>
      </c>
      <c r="C3366" s="5" t="s">
        <v>2128</v>
      </c>
      <c r="D3366" s="5" t="s">
        <v>62</v>
      </c>
      <c r="E3366" s="5" t="n">
        <v>5</v>
      </c>
      <c r="F3366" s="5" t="s">
        <v>90</v>
      </c>
      <c r="G3366" s="2" t="s">
        <v>367</v>
      </c>
      <c r="H3366" s="5" t="s">
        <v>8336</v>
      </c>
      <c r="I3366" s="5"/>
      <c r="J3366" s="5"/>
      <c r="K3366" s="5" t="s">
        <v>16303</v>
      </c>
    </row>
    <row r="3367" customFormat="false" ht="15" hidden="false" customHeight="false" outlineLevel="0" collapsed="false">
      <c r="A3367" s="5" t="s">
        <v>16304</v>
      </c>
      <c r="B3367" s="2" t="s">
        <v>16305</v>
      </c>
      <c r="C3367" s="5" t="s">
        <v>2128</v>
      </c>
      <c r="D3367" s="5" t="s">
        <v>62</v>
      </c>
      <c r="E3367" s="5" t="n">
        <v>7</v>
      </c>
      <c r="F3367" s="5" t="s">
        <v>90</v>
      </c>
      <c r="G3367" s="2" t="s">
        <v>367</v>
      </c>
      <c r="H3367" s="5" t="s">
        <v>8336</v>
      </c>
      <c r="I3367" s="5"/>
      <c r="J3367" s="5"/>
      <c r="K3367" s="5" t="s">
        <v>16306</v>
      </c>
    </row>
    <row r="3368" customFormat="false" ht="46.25" hidden="false" customHeight="false" outlineLevel="0" collapsed="false">
      <c r="A3368" s="5" t="s">
        <v>6410</v>
      </c>
      <c r="B3368" s="2" t="s">
        <v>6411</v>
      </c>
      <c r="C3368" s="5" t="s">
        <v>2245</v>
      </c>
      <c r="D3368" s="5" t="s">
        <v>62</v>
      </c>
      <c r="E3368" s="5" t="n">
        <v>5</v>
      </c>
      <c r="F3368" s="5" t="s">
        <v>2079</v>
      </c>
      <c r="G3368" s="2" t="s">
        <v>12054</v>
      </c>
      <c r="H3368" s="5" t="s">
        <v>8332</v>
      </c>
      <c r="I3368" s="5" t="s">
        <v>4760</v>
      </c>
      <c r="J3368" s="5" t="s">
        <v>2079</v>
      </c>
      <c r="K3368" s="5" t="s">
        <v>6414</v>
      </c>
    </row>
    <row r="3369" customFormat="false" ht="46.25" hidden="false" customHeight="false" outlineLevel="0" collapsed="false">
      <c r="A3369" s="5" t="s">
        <v>16307</v>
      </c>
      <c r="B3369" s="2" t="s">
        <v>16308</v>
      </c>
      <c r="C3369" s="5" t="s">
        <v>2245</v>
      </c>
      <c r="D3369" s="5" t="s">
        <v>490</v>
      </c>
      <c r="E3369" s="5" t="n">
        <v>5</v>
      </c>
      <c r="F3369" s="5" t="s">
        <v>413</v>
      </c>
      <c r="G3369" s="2" t="s">
        <v>12054</v>
      </c>
      <c r="H3369" s="5" t="s">
        <v>8336</v>
      </c>
      <c r="I3369" s="5"/>
      <c r="J3369" s="5"/>
      <c r="K3369" s="5" t="s">
        <v>16309</v>
      </c>
    </row>
    <row r="3370" customFormat="false" ht="23.85" hidden="false" customHeight="false" outlineLevel="0" collapsed="false">
      <c r="A3370" s="5" t="s">
        <v>16310</v>
      </c>
      <c r="B3370" s="2" t="s">
        <v>16311</v>
      </c>
      <c r="C3370" s="5" t="s">
        <v>2128</v>
      </c>
      <c r="D3370" s="5" t="s">
        <v>62</v>
      </c>
      <c r="E3370" s="5" t="n">
        <v>5</v>
      </c>
      <c r="F3370" s="5" t="s">
        <v>90</v>
      </c>
      <c r="G3370" s="2" t="s">
        <v>367</v>
      </c>
      <c r="H3370" s="5" t="s">
        <v>8336</v>
      </c>
      <c r="I3370" s="5"/>
      <c r="J3370" s="5"/>
      <c r="K3370" s="5" t="s">
        <v>16312</v>
      </c>
    </row>
    <row r="3371" customFormat="false" ht="46.25" hidden="false" customHeight="false" outlineLevel="0" collapsed="false">
      <c r="A3371" s="5" t="s">
        <v>16313</v>
      </c>
      <c r="B3371" s="2" t="s">
        <v>16314</v>
      </c>
      <c r="C3371" s="5" t="s">
        <v>2245</v>
      </c>
      <c r="D3371" s="5" t="s">
        <v>62</v>
      </c>
      <c r="E3371" s="5" t="n">
        <v>5</v>
      </c>
      <c r="F3371" s="5" t="s">
        <v>1814</v>
      </c>
      <c r="G3371" s="2" t="s">
        <v>12057</v>
      </c>
      <c r="H3371" s="5" t="s">
        <v>8336</v>
      </c>
      <c r="I3371" s="5"/>
      <c r="J3371" s="5"/>
      <c r="K3371" s="5" t="s">
        <v>16315</v>
      </c>
    </row>
    <row r="3372" customFormat="false" ht="15" hidden="false" customHeight="false" outlineLevel="0" collapsed="false">
      <c r="A3372" s="5" t="s">
        <v>16316</v>
      </c>
      <c r="B3372" s="2" t="s">
        <v>16317</v>
      </c>
      <c r="C3372" s="5" t="s">
        <v>2128</v>
      </c>
      <c r="D3372" s="5" t="s">
        <v>62</v>
      </c>
      <c r="E3372" s="5" t="n">
        <v>7</v>
      </c>
      <c r="F3372" s="5" t="s">
        <v>90</v>
      </c>
      <c r="G3372" s="2" t="s">
        <v>367</v>
      </c>
      <c r="H3372" s="5" t="s">
        <v>8336</v>
      </c>
      <c r="I3372" s="5"/>
      <c r="J3372" s="5"/>
      <c r="K3372" s="5" t="s">
        <v>16318</v>
      </c>
    </row>
    <row r="3373" customFormat="false" ht="15" hidden="false" customHeight="false" outlineLevel="0" collapsed="false">
      <c r="A3373" s="5" t="s">
        <v>1940</v>
      </c>
      <c r="B3373" s="2" t="s">
        <v>1941</v>
      </c>
      <c r="C3373" s="5" t="s">
        <v>488</v>
      </c>
      <c r="D3373" s="5" t="s">
        <v>62</v>
      </c>
      <c r="E3373" s="5" t="n">
        <v>7</v>
      </c>
      <c r="F3373" s="5" t="s">
        <v>100</v>
      </c>
      <c r="G3373" s="2" t="s">
        <v>367</v>
      </c>
      <c r="H3373" s="5" t="s">
        <v>8332</v>
      </c>
      <c r="I3373" s="5" t="s">
        <v>60</v>
      </c>
      <c r="J3373" s="5" t="s">
        <v>1104</v>
      </c>
      <c r="K3373" s="5" t="s">
        <v>1944</v>
      </c>
    </row>
    <row r="3374" customFormat="false" ht="23.85" hidden="false" customHeight="false" outlineLevel="0" collapsed="false">
      <c r="A3374" s="5" t="s">
        <v>1945</v>
      </c>
      <c r="B3374" s="2" t="s">
        <v>1946</v>
      </c>
      <c r="C3374" s="5" t="s">
        <v>488</v>
      </c>
      <c r="D3374" s="5" t="s">
        <v>62</v>
      </c>
      <c r="E3374" s="5" t="n">
        <v>7</v>
      </c>
      <c r="F3374" s="5" t="s">
        <v>100</v>
      </c>
      <c r="G3374" s="2" t="s">
        <v>367</v>
      </c>
      <c r="H3374" s="5" t="s">
        <v>8332</v>
      </c>
      <c r="I3374" s="5" t="s">
        <v>60</v>
      </c>
      <c r="J3374" s="5" t="s">
        <v>100</v>
      </c>
      <c r="K3374" s="5" t="s">
        <v>1949</v>
      </c>
    </row>
    <row r="3375" customFormat="false" ht="15" hidden="false" customHeight="false" outlineLevel="0" collapsed="false">
      <c r="A3375" s="5" t="s">
        <v>16319</v>
      </c>
      <c r="B3375" s="2" t="s">
        <v>16320</v>
      </c>
      <c r="C3375" s="5" t="s">
        <v>2128</v>
      </c>
      <c r="D3375" s="5" t="s">
        <v>62</v>
      </c>
      <c r="E3375" s="5" t="n">
        <v>7</v>
      </c>
      <c r="F3375" s="5" t="s">
        <v>90</v>
      </c>
      <c r="G3375" s="2" t="s">
        <v>367</v>
      </c>
      <c r="H3375" s="5" t="s">
        <v>8336</v>
      </c>
      <c r="I3375" s="5"/>
      <c r="J3375" s="5"/>
      <c r="K3375" s="5" t="s">
        <v>16321</v>
      </c>
    </row>
    <row r="3376" customFormat="false" ht="15" hidden="false" customHeight="false" outlineLevel="0" collapsed="false">
      <c r="A3376" s="5" t="s">
        <v>16322</v>
      </c>
      <c r="B3376" s="2" t="s">
        <v>16323</v>
      </c>
      <c r="C3376" s="5" t="s">
        <v>2128</v>
      </c>
      <c r="D3376" s="5" t="s">
        <v>62</v>
      </c>
      <c r="E3376" s="5" t="n">
        <v>5</v>
      </c>
      <c r="F3376" s="5" t="s">
        <v>8902</v>
      </c>
      <c r="G3376" s="2" t="s">
        <v>367</v>
      </c>
      <c r="H3376" s="5" t="s">
        <v>8336</v>
      </c>
      <c r="I3376" s="5"/>
      <c r="J3376" s="5"/>
      <c r="K3376" s="5" t="s">
        <v>16324</v>
      </c>
    </row>
    <row r="3377" customFormat="false" ht="15" hidden="false" customHeight="false" outlineLevel="0" collapsed="false">
      <c r="A3377" s="5" t="s">
        <v>16325</v>
      </c>
      <c r="B3377" s="2" t="s">
        <v>16326</v>
      </c>
      <c r="C3377" s="5" t="s">
        <v>2128</v>
      </c>
      <c r="D3377" s="5" t="s">
        <v>62</v>
      </c>
      <c r="E3377" s="5" t="n">
        <v>7</v>
      </c>
      <c r="F3377" s="5" t="s">
        <v>413</v>
      </c>
      <c r="G3377" s="2" t="s">
        <v>367</v>
      </c>
      <c r="H3377" s="5" t="s">
        <v>8336</v>
      </c>
      <c r="I3377" s="5"/>
      <c r="J3377" s="5"/>
      <c r="K3377" s="5" t="s">
        <v>16327</v>
      </c>
    </row>
    <row r="3378" customFormat="false" ht="15" hidden="false" customHeight="false" outlineLevel="0" collapsed="false">
      <c r="A3378" s="5" t="s">
        <v>16328</v>
      </c>
      <c r="B3378" s="2" t="s">
        <v>16329</v>
      </c>
      <c r="C3378" s="5" t="s">
        <v>2128</v>
      </c>
      <c r="D3378" s="5" t="s">
        <v>62</v>
      </c>
      <c r="E3378" s="5" t="n">
        <v>7</v>
      </c>
      <c r="F3378" s="5" t="s">
        <v>1814</v>
      </c>
      <c r="G3378" s="2" t="s">
        <v>367</v>
      </c>
      <c r="H3378" s="5" t="s">
        <v>8336</v>
      </c>
      <c r="I3378" s="5"/>
      <c r="J3378" s="5"/>
      <c r="K3378" s="5" t="s">
        <v>16330</v>
      </c>
    </row>
    <row r="3379" customFormat="false" ht="23.85" hidden="false" customHeight="false" outlineLevel="0" collapsed="false">
      <c r="A3379" s="5" t="s">
        <v>16331</v>
      </c>
      <c r="B3379" s="2" t="s">
        <v>16332</v>
      </c>
      <c r="C3379" s="5" t="s">
        <v>2128</v>
      </c>
      <c r="D3379" s="5" t="s">
        <v>62</v>
      </c>
      <c r="E3379" s="5" t="n">
        <v>7</v>
      </c>
      <c r="F3379" s="5" t="s">
        <v>90</v>
      </c>
      <c r="G3379" s="2" t="s">
        <v>367</v>
      </c>
      <c r="H3379" s="5" t="s">
        <v>8336</v>
      </c>
      <c r="I3379" s="5"/>
      <c r="J3379" s="5"/>
      <c r="K3379" s="5" t="s">
        <v>16333</v>
      </c>
    </row>
    <row r="3380" customFormat="false" ht="46.25" hidden="false" customHeight="false" outlineLevel="0" collapsed="false">
      <c r="A3380" s="5" t="s">
        <v>16334</v>
      </c>
      <c r="B3380" s="2" t="s">
        <v>16335</v>
      </c>
      <c r="C3380" s="5" t="s">
        <v>2245</v>
      </c>
      <c r="D3380" s="5" t="s">
        <v>62</v>
      </c>
      <c r="E3380" s="5" t="n">
        <v>7</v>
      </c>
      <c r="F3380" s="5" t="s">
        <v>90</v>
      </c>
      <c r="G3380" s="2" t="s">
        <v>12057</v>
      </c>
      <c r="H3380" s="5" t="s">
        <v>8336</v>
      </c>
      <c r="I3380" s="5"/>
      <c r="J3380" s="5"/>
      <c r="K3380" s="5" t="s">
        <v>16336</v>
      </c>
    </row>
    <row r="3381" customFormat="false" ht="46.25" hidden="false" customHeight="false" outlineLevel="0" collapsed="false">
      <c r="A3381" s="5" t="s">
        <v>16337</v>
      </c>
      <c r="B3381" s="2" t="s">
        <v>16338</v>
      </c>
      <c r="C3381" s="5" t="s">
        <v>2245</v>
      </c>
      <c r="D3381" s="5" t="s">
        <v>62</v>
      </c>
      <c r="E3381" s="5" t="n">
        <v>7</v>
      </c>
      <c r="F3381" s="5" t="s">
        <v>90</v>
      </c>
      <c r="G3381" s="2" t="s">
        <v>12057</v>
      </c>
      <c r="H3381" s="5" t="s">
        <v>8336</v>
      </c>
      <c r="I3381" s="5"/>
      <c r="J3381" s="5"/>
      <c r="K3381" s="5" t="s">
        <v>16339</v>
      </c>
    </row>
    <row r="3382" customFormat="false" ht="23.85" hidden="false" customHeight="false" outlineLevel="0" collapsed="false">
      <c r="A3382" s="5" t="s">
        <v>16340</v>
      </c>
      <c r="B3382" s="2" t="s">
        <v>16341</v>
      </c>
      <c r="C3382" s="5" t="s">
        <v>2128</v>
      </c>
      <c r="D3382" s="5" t="s">
        <v>62</v>
      </c>
      <c r="E3382" s="5" t="n">
        <v>7</v>
      </c>
      <c r="F3382" s="5" t="s">
        <v>67</v>
      </c>
      <c r="G3382" s="2" t="s">
        <v>367</v>
      </c>
      <c r="H3382" s="5" t="s">
        <v>8336</v>
      </c>
      <c r="I3382" s="5"/>
      <c r="J3382" s="5"/>
      <c r="K3382" s="5" t="s">
        <v>16342</v>
      </c>
    </row>
    <row r="3383" customFormat="false" ht="15" hidden="false" customHeight="false" outlineLevel="0" collapsed="false">
      <c r="A3383" s="5" t="s">
        <v>16343</v>
      </c>
      <c r="B3383" s="2" t="s">
        <v>16344</v>
      </c>
      <c r="C3383" s="5" t="s">
        <v>2128</v>
      </c>
      <c r="D3383" s="5" t="s">
        <v>62</v>
      </c>
      <c r="E3383" s="5" t="n">
        <v>7</v>
      </c>
      <c r="F3383" s="5" t="s">
        <v>1814</v>
      </c>
      <c r="G3383" s="2" t="s">
        <v>367</v>
      </c>
      <c r="H3383" s="5" t="s">
        <v>8336</v>
      </c>
      <c r="I3383" s="5"/>
      <c r="J3383" s="5"/>
      <c r="K3383" s="5" t="s">
        <v>16345</v>
      </c>
    </row>
    <row r="3384" customFormat="false" ht="23.85" hidden="false" customHeight="false" outlineLevel="0" collapsed="false">
      <c r="A3384" s="5" t="s">
        <v>16346</v>
      </c>
      <c r="B3384" s="2" t="s">
        <v>16347</v>
      </c>
      <c r="C3384" s="5" t="s">
        <v>2128</v>
      </c>
      <c r="D3384" s="5" t="s">
        <v>62</v>
      </c>
      <c r="E3384" s="5" t="n">
        <v>5</v>
      </c>
      <c r="F3384" s="5" t="s">
        <v>90</v>
      </c>
      <c r="G3384" s="2" t="s">
        <v>367</v>
      </c>
      <c r="H3384" s="5" t="s">
        <v>8336</v>
      </c>
      <c r="I3384" s="5"/>
      <c r="J3384" s="5"/>
      <c r="K3384" s="5" t="s">
        <v>16348</v>
      </c>
    </row>
    <row r="3385" customFormat="false" ht="46.25" hidden="false" customHeight="false" outlineLevel="0" collapsed="false">
      <c r="A3385" s="5" t="s">
        <v>16349</v>
      </c>
      <c r="B3385" s="2" t="s">
        <v>16350</v>
      </c>
      <c r="C3385" s="5" t="s">
        <v>2245</v>
      </c>
      <c r="D3385" s="5" t="s">
        <v>62</v>
      </c>
      <c r="E3385" s="5" t="n">
        <v>5</v>
      </c>
      <c r="F3385" s="5" t="s">
        <v>413</v>
      </c>
      <c r="G3385" s="2" t="s">
        <v>12054</v>
      </c>
      <c r="H3385" s="5" t="s">
        <v>8336</v>
      </c>
      <c r="I3385" s="5"/>
      <c r="J3385" s="5"/>
      <c r="K3385" s="5" t="s">
        <v>16351</v>
      </c>
    </row>
    <row r="3386" customFormat="false" ht="46.25" hidden="false" customHeight="false" outlineLevel="0" collapsed="false">
      <c r="A3386" s="5" t="s">
        <v>16352</v>
      </c>
      <c r="B3386" s="2" t="s">
        <v>16353</v>
      </c>
      <c r="C3386" s="5" t="s">
        <v>2245</v>
      </c>
      <c r="D3386" s="5" t="s">
        <v>62</v>
      </c>
      <c r="E3386" s="5" t="n">
        <v>5</v>
      </c>
      <c r="F3386" s="5" t="s">
        <v>413</v>
      </c>
      <c r="G3386" s="2" t="s">
        <v>12054</v>
      </c>
      <c r="H3386" s="5" t="s">
        <v>8336</v>
      </c>
      <c r="I3386" s="5"/>
      <c r="J3386" s="5"/>
      <c r="K3386" s="5" t="s">
        <v>16354</v>
      </c>
    </row>
    <row r="3387" customFormat="false" ht="23.85" hidden="false" customHeight="false" outlineLevel="0" collapsed="false">
      <c r="A3387" s="5" t="s">
        <v>16355</v>
      </c>
      <c r="B3387" s="2" t="s">
        <v>16356</v>
      </c>
      <c r="C3387" s="5" t="s">
        <v>2128</v>
      </c>
      <c r="D3387" s="5" t="s">
        <v>62</v>
      </c>
      <c r="E3387" s="5" t="n">
        <v>7</v>
      </c>
      <c r="F3387" s="5" t="s">
        <v>413</v>
      </c>
      <c r="G3387" s="2" t="s">
        <v>367</v>
      </c>
      <c r="H3387" s="5" t="s">
        <v>8336</v>
      </c>
      <c r="I3387" s="5"/>
      <c r="J3387" s="5"/>
      <c r="K3387" s="5" t="s">
        <v>16357</v>
      </c>
    </row>
    <row r="3388" customFormat="false" ht="23.85" hidden="false" customHeight="false" outlineLevel="0" collapsed="false">
      <c r="A3388" s="5" t="s">
        <v>16358</v>
      </c>
      <c r="B3388" s="2" t="s">
        <v>16359</v>
      </c>
      <c r="C3388" s="5" t="s">
        <v>2128</v>
      </c>
      <c r="D3388" s="5" t="s">
        <v>62</v>
      </c>
      <c r="E3388" s="5" t="n">
        <v>7</v>
      </c>
      <c r="F3388" s="5" t="s">
        <v>413</v>
      </c>
      <c r="G3388" s="2" t="s">
        <v>367</v>
      </c>
      <c r="H3388" s="5" t="s">
        <v>8336</v>
      </c>
      <c r="I3388" s="5"/>
      <c r="J3388" s="5"/>
      <c r="K3388" s="5" t="s">
        <v>16360</v>
      </c>
    </row>
    <row r="3389" customFormat="false" ht="46.25" hidden="false" customHeight="false" outlineLevel="0" collapsed="false">
      <c r="A3389" s="5" t="s">
        <v>16361</v>
      </c>
      <c r="B3389" s="2" t="s">
        <v>16362</v>
      </c>
      <c r="C3389" s="5" t="s">
        <v>2245</v>
      </c>
      <c r="D3389" s="5" t="s">
        <v>62</v>
      </c>
      <c r="E3389" s="5" t="n">
        <v>3</v>
      </c>
      <c r="F3389" s="5" t="s">
        <v>277</v>
      </c>
      <c r="G3389" s="2" t="s">
        <v>12054</v>
      </c>
      <c r="H3389" s="5" t="s">
        <v>8336</v>
      </c>
      <c r="I3389" s="5"/>
      <c r="J3389" s="5"/>
      <c r="K3389" s="5" t="s">
        <v>16363</v>
      </c>
    </row>
    <row r="3390" customFormat="false" ht="23.85" hidden="false" customHeight="false" outlineLevel="0" collapsed="false">
      <c r="A3390" s="5" t="s">
        <v>16364</v>
      </c>
      <c r="B3390" s="2" t="s">
        <v>16365</v>
      </c>
      <c r="C3390" s="5" t="s">
        <v>2128</v>
      </c>
      <c r="D3390" s="5" t="s">
        <v>62</v>
      </c>
      <c r="E3390" s="5" t="n">
        <v>7</v>
      </c>
      <c r="F3390" s="5" t="s">
        <v>90</v>
      </c>
      <c r="G3390" s="2" t="s">
        <v>367</v>
      </c>
      <c r="H3390" s="5" t="s">
        <v>8336</v>
      </c>
      <c r="I3390" s="5"/>
      <c r="J3390" s="5"/>
      <c r="K3390" s="5" t="s">
        <v>16366</v>
      </c>
    </row>
    <row r="3391" customFormat="false" ht="46.25" hidden="false" customHeight="false" outlineLevel="0" collapsed="false">
      <c r="A3391" s="5" t="s">
        <v>16367</v>
      </c>
      <c r="B3391" s="2" t="s">
        <v>16368</v>
      </c>
      <c r="C3391" s="5" t="s">
        <v>2245</v>
      </c>
      <c r="D3391" s="5" t="s">
        <v>62</v>
      </c>
      <c r="E3391" s="5" t="n">
        <v>5</v>
      </c>
      <c r="F3391" s="5" t="s">
        <v>90</v>
      </c>
      <c r="G3391" s="2" t="s">
        <v>12057</v>
      </c>
      <c r="H3391" s="5" t="s">
        <v>8336</v>
      </c>
      <c r="I3391" s="5"/>
      <c r="J3391" s="5"/>
      <c r="K3391" s="5" t="s">
        <v>16369</v>
      </c>
    </row>
    <row r="3392" customFormat="false" ht="23.85" hidden="false" customHeight="false" outlineLevel="0" collapsed="false">
      <c r="A3392" s="5" t="s">
        <v>16370</v>
      </c>
      <c r="B3392" s="2" t="s">
        <v>16371</v>
      </c>
      <c r="C3392" s="5" t="s">
        <v>2128</v>
      </c>
      <c r="D3392" s="5" t="s">
        <v>62</v>
      </c>
      <c r="E3392" s="5" t="n">
        <v>5</v>
      </c>
      <c r="F3392" s="5" t="s">
        <v>413</v>
      </c>
      <c r="G3392" s="2" t="s">
        <v>367</v>
      </c>
      <c r="H3392" s="5" t="s">
        <v>8336</v>
      </c>
      <c r="I3392" s="5"/>
      <c r="J3392" s="5"/>
      <c r="K3392" s="5" t="s">
        <v>16372</v>
      </c>
    </row>
    <row r="3393" customFormat="false" ht="46.25" hidden="false" customHeight="false" outlineLevel="0" collapsed="false">
      <c r="A3393" s="5" t="s">
        <v>16373</v>
      </c>
      <c r="B3393" s="2" t="s">
        <v>16374</v>
      </c>
      <c r="C3393" s="5" t="s">
        <v>2245</v>
      </c>
      <c r="D3393" s="5" t="s">
        <v>62</v>
      </c>
      <c r="E3393" s="5" t="n">
        <v>7</v>
      </c>
      <c r="F3393" s="5" t="s">
        <v>413</v>
      </c>
      <c r="G3393" s="2" t="s">
        <v>12054</v>
      </c>
      <c r="H3393" s="5" t="s">
        <v>8336</v>
      </c>
      <c r="I3393" s="5"/>
      <c r="J3393" s="5"/>
      <c r="K3393" s="5" t="s">
        <v>16375</v>
      </c>
    </row>
    <row r="3394" customFormat="false" ht="46.25" hidden="false" customHeight="false" outlineLevel="0" collapsed="false">
      <c r="A3394" s="5" t="s">
        <v>16376</v>
      </c>
      <c r="B3394" s="2" t="s">
        <v>16377</v>
      </c>
      <c r="C3394" s="5" t="s">
        <v>2245</v>
      </c>
      <c r="D3394" s="5" t="s">
        <v>62</v>
      </c>
      <c r="E3394" s="5" t="n">
        <v>7</v>
      </c>
      <c r="F3394" s="5" t="s">
        <v>413</v>
      </c>
      <c r="G3394" s="2" t="s">
        <v>12054</v>
      </c>
      <c r="H3394" s="5" t="s">
        <v>8336</v>
      </c>
      <c r="I3394" s="5"/>
      <c r="J3394" s="5"/>
      <c r="K3394" s="5" t="s">
        <v>16378</v>
      </c>
    </row>
    <row r="3395" customFormat="false" ht="23.85" hidden="false" customHeight="false" outlineLevel="0" collapsed="false">
      <c r="A3395" s="5" t="s">
        <v>16379</v>
      </c>
      <c r="B3395" s="2" t="s">
        <v>16380</v>
      </c>
      <c r="C3395" s="5" t="s">
        <v>2128</v>
      </c>
      <c r="D3395" s="5" t="s">
        <v>62</v>
      </c>
      <c r="E3395" s="5" t="n">
        <v>5</v>
      </c>
      <c r="F3395" s="5" t="s">
        <v>90</v>
      </c>
      <c r="G3395" s="2" t="s">
        <v>367</v>
      </c>
      <c r="H3395" s="5" t="s">
        <v>8336</v>
      </c>
      <c r="I3395" s="5"/>
      <c r="J3395" s="5"/>
      <c r="K3395" s="5" t="s">
        <v>16381</v>
      </c>
    </row>
    <row r="3396" customFormat="false" ht="23.85" hidden="false" customHeight="false" outlineLevel="0" collapsed="false">
      <c r="A3396" s="5" t="s">
        <v>16382</v>
      </c>
      <c r="B3396" s="2" t="s">
        <v>16383</v>
      </c>
      <c r="C3396" s="5" t="s">
        <v>2128</v>
      </c>
      <c r="D3396" s="5" t="s">
        <v>62</v>
      </c>
      <c r="E3396" s="5" t="n">
        <v>9</v>
      </c>
      <c r="F3396" s="5" t="s">
        <v>90</v>
      </c>
      <c r="G3396" s="2" t="s">
        <v>367</v>
      </c>
      <c r="H3396" s="5" t="s">
        <v>8336</v>
      </c>
      <c r="I3396" s="5"/>
      <c r="J3396" s="5"/>
      <c r="K3396" s="5" t="s">
        <v>16384</v>
      </c>
    </row>
    <row r="3397" customFormat="false" ht="46.25" hidden="false" customHeight="false" outlineLevel="0" collapsed="false">
      <c r="A3397" s="5" t="s">
        <v>16385</v>
      </c>
      <c r="B3397" s="2" t="s">
        <v>16386</v>
      </c>
      <c r="C3397" s="5" t="s">
        <v>2245</v>
      </c>
      <c r="D3397" s="5" t="s">
        <v>62</v>
      </c>
      <c r="E3397" s="5" t="n">
        <v>9</v>
      </c>
      <c r="F3397" s="5" t="s">
        <v>90</v>
      </c>
      <c r="G3397" s="2" t="s">
        <v>12054</v>
      </c>
      <c r="H3397" s="5" t="s">
        <v>8336</v>
      </c>
      <c r="I3397" s="5"/>
      <c r="J3397" s="5"/>
      <c r="K3397" s="5" t="s">
        <v>16387</v>
      </c>
    </row>
    <row r="3398" customFormat="false" ht="23.85" hidden="false" customHeight="false" outlineLevel="0" collapsed="false">
      <c r="A3398" s="5" t="s">
        <v>16388</v>
      </c>
      <c r="B3398" s="2" t="s">
        <v>16389</v>
      </c>
      <c r="C3398" s="5" t="s">
        <v>2128</v>
      </c>
      <c r="D3398" s="5" t="s">
        <v>62</v>
      </c>
      <c r="E3398" s="5" t="n">
        <v>7</v>
      </c>
      <c r="F3398" s="5" t="s">
        <v>413</v>
      </c>
      <c r="G3398" s="2" t="s">
        <v>367</v>
      </c>
      <c r="H3398" s="5" t="s">
        <v>8336</v>
      </c>
      <c r="I3398" s="5"/>
      <c r="J3398" s="5"/>
      <c r="K3398" s="5" t="s">
        <v>16390</v>
      </c>
    </row>
    <row r="3399" customFormat="false" ht="15" hidden="false" customHeight="false" outlineLevel="0" collapsed="false">
      <c r="A3399" s="5" t="s">
        <v>16391</v>
      </c>
      <c r="B3399" s="2" t="s">
        <v>16392</v>
      </c>
      <c r="C3399" s="5" t="s">
        <v>2128</v>
      </c>
      <c r="D3399" s="5" t="s">
        <v>62</v>
      </c>
      <c r="E3399" s="5" t="n">
        <v>7</v>
      </c>
      <c r="F3399" s="5" t="s">
        <v>413</v>
      </c>
      <c r="G3399" s="2" t="s">
        <v>367</v>
      </c>
      <c r="H3399" s="5" t="s">
        <v>8336</v>
      </c>
      <c r="I3399" s="5"/>
      <c r="J3399" s="5"/>
      <c r="K3399" s="5" t="s">
        <v>16393</v>
      </c>
    </row>
    <row r="3400" customFormat="false" ht="46.25" hidden="false" customHeight="false" outlineLevel="0" collapsed="false">
      <c r="A3400" s="5" t="s">
        <v>16394</v>
      </c>
      <c r="B3400" s="2" t="s">
        <v>16395</v>
      </c>
      <c r="C3400" s="5" t="s">
        <v>2245</v>
      </c>
      <c r="D3400" s="5" t="s">
        <v>62</v>
      </c>
      <c r="E3400" s="5" t="n">
        <v>5</v>
      </c>
      <c r="F3400" s="5" t="s">
        <v>67</v>
      </c>
      <c r="G3400" s="2" t="s">
        <v>12054</v>
      </c>
      <c r="H3400" s="5" t="s">
        <v>8336</v>
      </c>
      <c r="I3400" s="5"/>
      <c r="J3400" s="5"/>
      <c r="K3400" s="5" t="s">
        <v>16396</v>
      </c>
    </row>
    <row r="3401" customFormat="false" ht="46.25" hidden="false" customHeight="false" outlineLevel="0" collapsed="false">
      <c r="A3401" s="5" t="s">
        <v>16397</v>
      </c>
      <c r="B3401" s="2" t="s">
        <v>16398</v>
      </c>
      <c r="C3401" s="5" t="s">
        <v>2245</v>
      </c>
      <c r="D3401" s="5" t="s">
        <v>62</v>
      </c>
      <c r="E3401" s="5" t="n">
        <v>7</v>
      </c>
      <c r="F3401" s="5" t="s">
        <v>90</v>
      </c>
      <c r="G3401" s="2" t="s">
        <v>12057</v>
      </c>
      <c r="H3401" s="5" t="s">
        <v>8336</v>
      </c>
      <c r="I3401" s="5"/>
      <c r="J3401" s="5"/>
      <c r="K3401" s="5" t="s">
        <v>16399</v>
      </c>
    </row>
    <row r="3402" customFormat="false" ht="46.25" hidden="false" customHeight="false" outlineLevel="0" collapsed="false">
      <c r="A3402" s="5" t="s">
        <v>16400</v>
      </c>
      <c r="B3402" s="2" t="s">
        <v>16401</v>
      </c>
      <c r="C3402" s="5" t="s">
        <v>2245</v>
      </c>
      <c r="D3402" s="5" t="s">
        <v>490</v>
      </c>
      <c r="E3402" s="5" t="n">
        <v>7</v>
      </c>
      <c r="F3402" s="5" t="s">
        <v>90</v>
      </c>
      <c r="G3402" s="2" t="s">
        <v>12057</v>
      </c>
      <c r="H3402" s="5" t="s">
        <v>8336</v>
      </c>
      <c r="I3402" s="5"/>
      <c r="J3402" s="5"/>
      <c r="K3402" s="5" t="s">
        <v>16402</v>
      </c>
    </row>
    <row r="3403" customFormat="false" ht="46.25" hidden="false" customHeight="false" outlineLevel="0" collapsed="false">
      <c r="A3403" s="5" t="s">
        <v>6415</v>
      </c>
      <c r="B3403" s="2" t="s">
        <v>6416</v>
      </c>
      <c r="C3403" s="5" t="s">
        <v>2245</v>
      </c>
      <c r="D3403" s="5" t="s">
        <v>490</v>
      </c>
      <c r="E3403" s="5" t="n">
        <v>7</v>
      </c>
      <c r="F3403" s="5" t="s">
        <v>100</v>
      </c>
      <c r="G3403" s="2" t="s">
        <v>12057</v>
      </c>
      <c r="H3403" s="5" t="s">
        <v>8332</v>
      </c>
      <c r="I3403" s="5" t="s">
        <v>4760</v>
      </c>
      <c r="J3403" s="5" t="s">
        <v>100</v>
      </c>
      <c r="K3403" s="5" t="s">
        <v>6419</v>
      </c>
    </row>
    <row r="3404" customFormat="false" ht="23.85" hidden="false" customHeight="false" outlineLevel="0" collapsed="false">
      <c r="A3404" s="5" t="s">
        <v>16403</v>
      </c>
      <c r="B3404" s="2" t="s">
        <v>16404</v>
      </c>
      <c r="C3404" s="5" t="s">
        <v>2128</v>
      </c>
      <c r="D3404" s="5" t="s">
        <v>62</v>
      </c>
      <c r="E3404" s="5" t="n">
        <v>7</v>
      </c>
      <c r="F3404" s="5" t="s">
        <v>90</v>
      </c>
      <c r="G3404" s="2" t="s">
        <v>367</v>
      </c>
      <c r="H3404" s="5" t="s">
        <v>8336</v>
      </c>
      <c r="I3404" s="5"/>
      <c r="J3404" s="5"/>
      <c r="K3404" s="5" t="s">
        <v>16405</v>
      </c>
    </row>
    <row r="3405" customFormat="false" ht="15" hidden="false" customHeight="false" outlineLevel="0" collapsed="false">
      <c r="A3405" s="5" t="s">
        <v>16406</v>
      </c>
      <c r="B3405" s="2" t="s">
        <v>16407</v>
      </c>
      <c r="C3405" s="5" t="s">
        <v>2128</v>
      </c>
      <c r="D3405" s="5" t="s">
        <v>62</v>
      </c>
      <c r="E3405" s="5" t="n">
        <v>7</v>
      </c>
      <c r="F3405" s="5" t="s">
        <v>413</v>
      </c>
      <c r="G3405" s="2" t="s">
        <v>367</v>
      </c>
      <c r="H3405" s="5" t="s">
        <v>8336</v>
      </c>
      <c r="I3405" s="5"/>
      <c r="J3405" s="5"/>
      <c r="K3405" s="5" t="s">
        <v>16408</v>
      </c>
    </row>
    <row r="3406" customFormat="false" ht="46.25" hidden="false" customHeight="false" outlineLevel="0" collapsed="false">
      <c r="A3406" s="5" t="s">
        <v>16409</v>
      </c>
      <c r="B3406" s="2" t="s">
        <v>16410</v>
      </c>
      <c r="C3406" s="5" t="s">
        <v>2245</v>
      </c>
      <c r="D3406" s="5" t="s">
        <v>62</v>
      </c>
      <c r="E3406" s="5" t="n">
        <v>3</v>
      </c>
      <c r="F3406" s="5" t="s">
        <v>277</v>
      </c>
      <c r="G3406" s="2" t="s">
        <v>12054</v>
      </c>
      <c r="H3406" s="5" t="s">
        <v>8336</v>
      </c>
      <c r="I3406" s="5"/>
      <c r="J3406" s="5"/>
      <c r="K3406" s="5" t="s">
        <v>16411</v>
      </c>
    </row>
    <row r="3407" customFormat="false" ht="46.25" hidden="false" customHeight="false" outlineLevel="0" collapsed="false">
      <c r="A3407" s="5" t="s">
        <v>16412</v>
      </c>
      <c r="B3407" s="2" t="s">
        <v>16413</v>
      </c>
      <c r="C3407" s="5" t="s">
        <v>2245</v>
      </c>
      <c r="D3407" s="5" t="s">
        <v>62</v>
      </c>
      <c r="E3407" s="5" t="n">
        <v>7</v>
      </c>
      <c r="F3407" s="5" t="s">
        <v>90</v>
      </c>
      <c r="G3407" s="2" t="s">
        <v>12057</v>
      </c>
      <c r="H3407" s="5" t="s">
        <v>8336</v>
      </c>
      <c r="I3407" s="5"/>
      <c r="J3407" s="5"/>
      <c r="K3407" s="5" t="s">
        <v>16414</v>
      </c>
    </row>
    <row r="3408" customFormat="false" ht="46.25" hidden="false" customHeight="false" outlineLevel="0" collapsed="false">
      <c r="A3408" s="5" t="s">
        <v>16415</v>
      </c>
      <c r="B3408" s="2" t="s">
        <v>16416</v>
      </c>
      <c r="C3408" s="5" t="s">
        <v>2245</v>
      </c>
      <c r="D3408" s="5" t="s">
        <v>62</v>
      </c>
      <c r="E3408" s="5" t="n">
        <v>7</v>
      </c>
      <c r="F3408" s="5" t="s">
        <v>67</v>
      </c>
      <c r="G3408" s="2" t="s">
        <v>12057</v>
      </c>
      <c r="H3408" s="5" t="s">
        <v>8336</v>
      </c>
      <c r="I3408" s="5"/>
      <c r="J3408" s="5"/>
      <c r="K3408" s="5" t="s">
        <v>16417</v>
      </c>
    </row>
    <row r="3409" customFormat="false" ht="15" hidden="false" customHeight="false" outlineLevel="0" collapsed="false">
      <c r="A3409" s="5" t="s">
        <v>16418</v>
      </c>
      <c r="B3409" s="2" t="s">
        <v>16419</v>
      </c>
      <c r="C3409" s="5" t="s">
        <v>2128</v>
      </c>
      <c r="D3409" s="5" t="s">
        <v>62</v>
      </c>
      <c r="E3409" s="5" t="n">
        <v>7</v>
      </c>
      <c r="F3409" s="5" t="s">
        <v>90</v>
      </c>
      <c r="G3409" s="2" t="s">
        <v>367</v>
      </c>
      <c r="H3409" s="5" t="s">
        <v>8336</v>
      </c>
      <c r="I3409" s="5"/>
      <c r="J3409" s="5"/>
      <c r="K3409" s="5" t="s">
        <v>16420</v>
      </c>
    </row>
    <row r="3410" customFormat="false" ht="23.85" hidden="false" customHeight="false" outlineLevel="0" collapsed="false">
      <c r="A3410" s="5" t="s">
        <v>1950</v>
      </c>
      <c r="B3410" s="2" t="s">
        <v>1951</v>
      </c>
      <c r="C3410" s="5" t="s">
        <v>488</v>
      </c>
      <c r="D3410" s="5" t="s">
        <v>62</v>
      </c>
      <c r="E3410" s="5" t="n">
        <v>7</v>
      </c>
      <c r="F3410" s="5" t="s">
        <v>100</v>
      </c>
      <c r="G3410" s="2" t="s">
        <v>367</v>
      </c>
      <c r="H3410" s="5" t="s">
        <v>8332</v>
      </c>
      <c r="I3410" s="5" t="s">
        <v>60</v>
      </c>
      <c r="J3410" s="5" t="s">
        <v>1104</v>
      </c>
      <c r="K3410" s="5" t="s">
        <v>1955</v>
      </c>
    </row>
    <row r="3411" customFormat="false" ht="15" hidden="false" customHeight="false" outlineLevel="0" collapsed="false">
      <c r="A3411" s="5" t="s">
        <v>16421</v>
      </c>
      <c r="B3411" s="2" t="s">
        <v>16422</v>
      </c>
      <c r="C3411" s="5" t="s">
        <v>2128</v>
      </c>
      <c r="D3411" s="5" t="s">
        <v>62</v>
      </c>
      <c r="E3411" s="5" t="n">
        <v>5</v>
      </c>
      <c r="F3411" s="5" t="s">
        <v>90</v>
      </c>
      <c r="G3411" s="2" t="s">
        <v>367</v>
      </c>
      <c r="H3411" s="5" t="s">
        <v>8336</v>
      </c>
      <c r="I3411" s="5"/>
      <c r="J3411" s="5"/>
      <c r="K3411" s="5" t="s">
        <v>16423</v>
      </c>
    </row>
    <row r="3412" customFormat="false" ht="23.85" hidden="false" customHeight="false" outlineLevel="0" collapsed="false">
      <c r="A3412" s="5" t="s">
        <v>16424</v>
      </c>
      <c r="B3412" s="2" t="s">
        <v>16425</v>
      </c>
      <c r="C3412" s="5" t="s">
        <v>2128</v>
      </c>
      <c r="D3412" s="5" t="s">
        <v>62</v>
      </c>
      <c r="E3412" s="5" t="n">
        <v>7</v>
      </c>
      <c r="F3412" s="5" t="s">
        <v>90</v>
      </c>
      <c r="G3412" s="2" t="s">
        <v>367</v>
      </c>
      <c r="H3412" s="5" t="s">
        <v>8336</v>
      </c>
      <c r="I3412" s="5"/>
      <c r="J3412" s="5"/>
      <c r="K3412" s="5" t="s">
        <v>16426</v>
      </c>
    </row>
    <row r="3413" customFormat="false" ht="15" hidden="false" customHeight="false" outlineLevel="0" collapsed="false">
      <c r="A3413" s="5" t="s">
        <v>16427</v>
      </c>
      <c r="B3413" s="2" t="s">
        <v>16428</v>
      </c>
      <c r="C3413" s="5" t="s">
        <v>2128</v>
      </c>
      <c r="D3413" s="5" t="s">
        <v>62</v>
      </c>
      <c r="E3413" s="5" t="n">
        <v>7</v>
      </c>
      <c r="F3413" s="5" t="s">
        <v>544</v>
      </c>
      <c r="G3413" s="2" t="s">
        <v>367</v>
      </c>
      <c r="H3413" s="5" t="s">
        <v>8336</v>
      </c>
      <c r="I3413" s="5"/>
      <c r="J3413" s="5"/>
      <c r="K3413" s="5" t="s">
        <v>16429</v>
      </c>
    </row>
    <row r="3414" customFormat="false" ht="23.85" hidden="false" customHeight="false" outlineLevel="0" collapsed="false">
      <c r="A3414" s="5" t="s">
        <v>16430</v>
      </c>
      <c r="B3414" s="2" t="s">
        <v>16431</v>
      </c>
      <c r="C3414" s="5" t="s">
        <v>2128</v>
      </c>
      <c r="D3414" s="5" t="s">
        <v>62</v>
      </c>
      <c r="E3414" s="5" t="n">
        <v>5</v>
      </c>
      <c r="F3414" s="5" t="s">
        <v>67</v>
      </c>
      <c r="G3414" s="2" t="s">
        <v>367</v>
      </c>
      <c r="H3414" s="5" t="s">
        <v>8336</v>
      </c>
      <c r="I3414" s="5"/>
      <c r="J3414" s="5"/>
      <c r="K3414" s="5" t="s">
        <v>16432</v>
      </c>
    </row>
    <row r="3415" customFormat="false" ht="23.85" hidden="false" customHeight="false" outlineLevel="0" collapsed="false">
      <c r="A3415" s="5" t="s">
        <v>16433</v>
      </c>
      <c r="B3415" s="2" t="s">
        <v>16434</v>
      </c>
      <c r="C3415" s="5" t="s">
        <v>2128</v>
      </c>
      <c r="D3415" s="5" t="s">
        <v>62</v>
      </c>
      <c r="E3415" s="5" t="n">
        <v>7</v>
      </c>
      <c r="F3415" s="5" t="s">
        <v>67</v>
      </c>
      <c r="G3415" s="2" t="s">
        <v>367</v>
      </c>
      <c r="H3415" s="5" t="s">
        <v>8336</v>
      </c>
      <c r="I3415" s="5"/>
      <c r="J3415" s="5"/>
      <c r="K3415" s="5" t="s">
        <v>16435</v>
      </c>
    </row>
    <row r="3416" customFormat="false" ht="15" hidden="false" customHeight="false" outlineLevel="0" collapsed="false">
      <c r="A3416" s="5" t="s">
        <v>16436</v>
      </c>
      <c r="B3416" s="2" t="s">
        <v>16437</v>
      </c>
      <c r="C3416" s="5" t="s">
        <v>2128</v>
      </c>
      <c r="D3416" s="5" t="s">
        <v>62</v>
      </c>
      <c r="E3416" s="5" t="n">
        <v>7</v>
      </c>
      <c r="F3416" s="5" t="s">
        <v>90</v>
      </c>
      <c r="G3416" s="2" t="s">
        <v>367</v>
      </c>
      <c r="H3416" s="5" t="s">
        <v>8336</v>
      </c>
      <c r="I3416" s="5"/>
      <c r="J3416" s="5"/>
      <c r="K3416" s="5" t="s">
        <v>16438</v>
      </c>
    </row>
    <row r="3417" customFormat="false" ht="46.25" hidden="false" customHeight="false" outlineLevel="0" collapsed="false">
      <c r="A3417" s="5" t="s">
        <v>16439</v>
      </c>
      <c r="B3417" s="2" t="s">
        <v>16440</v>
      </c>
      <c r="C3417" s="5" t="s">
        <v>2245</v>
      </c>
      <c r="D3417" s="5" t="s">
        <v>62</v>
      </c>
      <c r="E3417" s="5" t="n">
        <v>7</v>
      </c>
      <c r="F3417" s="5" t="s">
        <v>90</v>
      </c>
      <c r="G3417" s="2" t="s">
        <v>12057</v>
      </c>
      <c r="H3417" s="5" t="s">
        <v>8336</v>
      </c>
      <c r="I3417" s="5"/>
      <c r="J3417" s="5"/>
      <c r="K3417" s="5" t="s">
        <v>16441</v>
      </c>
    </row>
    <row r="3418" customFormat="false" ht="23.85" hidden="false" customHeight="false" outlineLevel="0" collapsed="false">
      <c r="A3418" s="5" t="s">
        <v>4371</v>
      </c>
      <c r="B3418" s="2" t="s">
        <v>4372</v>
      </c>
      <c r="C3418" s="5" t="s">
        <v>2128</v>
      </c>
      <c r="D3418" s="5" t="s">
        <v>62</v>
      </c>
      <c r="E3418" s="5" t="n">
        <v>7</v>
      </c>
      <c r="F3418" s="5" t="s">
        <v>2079</v>
      </c>
      <c r="G3418" s="2" t="s">
        <v>184</v>
      </c>
      <c r="H3418" s="5" t="s">
        <v>8332</v>
      </c>
      <c r="I3418" s="5" t="s">
        <v>60</v>
      </c>
      <c r="J3418" s="5" t="s">
        <v>2078</v>
      </c>
      <c r="K3418" s="5" t="s">
        <v>4375</v>
      </c>
    </row>
    <row r="3419" customFormat="false" ht="15" hidden="false" customHeight="false" outlineLevel="0" collapsed="false">
      <c r="A3419" s="5" t="s">
        <v>16442</v>
      </c>
      <c r="B3419" s="2" t="s">
        <v>16443</v>
      </c>
      <c r="C3419" s="5" t="s">
        <v>2128</v>
      </c>
      <c r="D3419" s="5" t="s">
        <v>62</v>
      </c>
      <c r="E3419" s="5" t="n">
        <v>3</v>
      </c>
      <c r="F3419" s="5" t="s">
        <v>277</v>
      </c>
      <c r="G3419" s="2" t="s">
        <v>367</v>
      </c>
      <c r="H3419" s="5" t="s">
        <v>8336</v>
      </c>
      <c r="I3419" s="5"/>
      <c r="J3419" s="5"/>
      <c r="K3419" s="5" t="s">
        <v>16444</v>
      </c>
    </row>
    <row r="3420" customFormat="false" ht="15" hidden="false" customHeight="false" outlineLevel="0" collapsed="false">
      <c r="A3420" s="5" t="s">
        <v>16445</v>
      </c>
      <c r="B3420" s="2" t="s">
        <v>16446</v>
      </c>
      <c r="C3420" s="5" t="s">
        <v>2128</v>
      </c>
      <c r="D3420" s="5" t="s">
        <v>62</v>
      </c>
      <c r="E3420" s="5" t="n">
        <v>5</v>
      </c>
      <c r="F3420" s="5" t="s">
        <v>90</v>
      </c>
      <c r="G3420" s="2" t="s">
        <v>367</v>
      </c>
      <c r="H3420" s="5" t="s">
        <v>8336</v>
      </c>
      <c r="I3420" s="5"/>
      <c r="J3420" s="5"/>
      <c r="K3420" s="5" t="s">
        <v>16447</v>
      </c>
    </row>
    <row r="3421" customFormat="false" ht="15" hidden="false" customHeight="false" outlineLevel="0" collapsed="false">
      <c r="A3421" s="5" t="s">
        <v>6420</v>
      </c>
      <c r="B3421" s="2" t="s">
        <v>6421</v>
      </c>
      <c r="C3421" s="5" t="s">
        <v>2128</v>
      </c>
      <c r="D3421" s="5" t="s">
        <v>62</v>
      </c>
      <c r="E3421" s="5" t="n">
        <v>7</v>
      </c>
      <c r="F3421" s="5" t="s">
        <v>2079</v>
      </c>
      <c r="G3421" s="2" t="s">
        <v>367</v>
      </c>
      <c r="H3421" s="5" t="s">
        <v>8332</v>
      </c>
      <c r="I3421" s="5" t="s">
        <v>4760</v>
      </c>
      <c r="J3421" s="5" t="s">
        <v>2079</v>
      </c>
      <c r="K3421" s="5" t="s">
        <v>6424</v>
      </c>
    </row>
    <row r="3422" customFormat="false" ht="23.85" hidden="false" customHeight="false" outlineLevel="0" collapsed="false">
      <c r="A3422" s="5" t="s">
        <v>16448</v>
      </c>
      <c r="B3422" s="2" t="s">
        <v>16449</v>
      </c>
      <c r="C3422" s="5" t="s">
        <v>2128</v>
      </c>
      <c r="D3422" s="5" t="s">
        <v>62</v>
      </c>
      <c r="E3422" s="5" t="n">
        <v>5</v>
      </c>
      <c r="F3422" s="5" t="s">
        <v>277</v>
      </c>
      <c r="G3422" s="2" t="s">
        <v>367</v>
      </c>
      <c r="H3422" s="5" t="s">
        <v>8336</v>
      </c>
      <c r="I3422" s="5"/>
      <c r="J3422" s="5"/>
      <c r="K3422" s="5" t="s">
        <v>16450</v>
      </c>
    </row>
    <row r="3423" customFormat="false" ht="23.85" hidden="false" customHeight="false" outlineLevel="0" collapsed="false">
      <c r="A3423" s="5" t="s">
        <v>16451</v>
      </c>
      <c r="B3423" s="2" t="s">
        <v>16452</v>
      </c>
      <c r="C3423" s="5" t="s">
        <v>2128</v>
      </c>
      <c r="D3423" s="5" t="s">
        <v>62</v>
      </c>
      <c r="E3423" s="5" t="n">
        <v>7</v>
      </c>
      <c r="F3423" s="5" t="s">
        <v>413</v>
      </c>
      <c r="G3423" s="2" t="s">
        <v>367</v>
      </c>
      <c r="H3423" s="5" t="s">
        <v>8336</v>
      </c>
      <c r="I3423" s="5"/>
      <c r="J3423" s="5"/>
      <c r="K3423" s="5" t="s">
        <v>16453</v>
      </c>
    </row>
    <row r="3424" customFormat="false" ht="15" hidden="false" customHeight="false" outlineLevel="0" collapsed="false">
      <c r="A3424" s="5" t="s">
        <v>16454</v>
      </c>
      <c r="B3424" s="2" t="s">
        <v>16455</v>
      </c>
      <c r="C3424" s="5" t="s">
        <v>2128</v>
      </c>
      <c r="D3424" s="5" t="s">
        <v>62</v>
      </c>
      <c r="E3424" s="5" t="n">
        <v>5</v>
      </c>
      <c r="F3424" s="5" t="s">
        <v>67</v>
      </c>
      <c r="G3424" s="2" t="s">
        <v>367</v>
      </c>
      <c r="H3424" s="5" t="s">
        <v>8336</v>
      </c>
      <c r="I3424" s="5"/>
      <c r="J3424" s="5"/>
      <c r="K3424" s="5" t="s">
        <v>16456</v>
      </c>
    </row>
    <row r="3425" customFormat="false" ht="46.25" hidden="false" customHeight="false" outlineLevel="0" collapsed="false">
      <c r="A3425" s="5" t="s">
        <v>16457</v>
      </c>
      <c r="B3425" s="2" t="s">
        <v>16458</v>
      </c>
      <c r="C3425" s="5" t="s">
        <v>2245</v>
      </c>
      <c r="D3425" s="5" t="s">
        <v>62</v>
      </c>
      <c r="E3425" s="5" t="n">
        <v>7</v>
      </c>
      <c r="F3425" s="5" t="s">
        <v>90</v>
      </c>
      <c r="G3425" s="2" t="s">
        <v>12057</v>
      </c>
      <c r="H3425" s="5" t="s">
        <v>8336</v>
      </c>
      <c r="I3425" s="5"/>
      <c r="J3425" s="5"/>
      <c r="K3425" s="5" t="s">
        <v>16459</v>
      </c>
    </row>
    <row r="3426" customFormat="false" ht="15" hidden="false" customHeight="false" outlineLevel="0" collapsed="false">
      <c r="A3426" s="5" t="s">
        <v>16460</v>
      </c>
      <c r="B3426" s="2" t="s">
        <v>16461</v>
      </c>
      <c r="C3426" s="5" t="s">
        <v>2128</v>
      </c>
      <c r="D3426" s="5" t="s">
        <v>62</v>
      </c>
      <c r="E3426" s="5" t="n">
        <v>7</v>
      </c>
      <c r="F3426" s="5" t="s">
        <v>536</v>
      </c>
      <c r="G3426" s="2" t="s">
        <v>367</v>
      </c>
      <c r="H3426" s="5" t="s">
        <v>8336</v>
      </c>
      <c r="I3426" s="5"/>
      <c r="J3426" s="5"/>
      <c r="K3426" s="5" t="s">
        <v>16462</v>
      </c>
    </row>
    <row r="3427" customFormat="false" ht="23.85" hidden="false" customHeight="false" outlineLevel="0" collapsed="false">
      <c r="A3427" s="5" t="s">
        <v>16463</v>
      </c>
      <c r="B3427" s="2" t="s">
        <v>16464</v>
      </c>
      <c r="C3427" s="5" t="s">
        <v>2128</v>
      </c>
      <c r="D3427" s="5" t="s">
        <v>62</v>
      </c>
      <c r="E3427" s="5" t="n">
        <v>7</v>
      </c>
      <c r="F3427" s="5" t="s">
        <v>67</v>
      </c>
      <c r="G3427" s="2" t="s">
        <v>367</v>
      </c>
      <c r="H3427" s="5" t="s">
        <v>8336</v>
      </c>
      <c r="I3427" s="5"/>
      <c r="J3427" s="5"/>
      <c r="K3427" s="5" t="s">
        <v>16465</v>
      </c>
    </row>
    <row r="3428" customFormat="false" ht="23.85" hidden="false" customHeight="false" outlineLevel="0" collapsed="false">
      <c r="A3428" s="5" t="s">
        <v>16466</v>
      </c>
      <c r="B3428" s="2" t="s">
        <v>16467</v>
      </c>
      <c r="C3428" s="5" t="s">
        <v>2128</v>
      </c>
      <c r="D3428" s="5" t="s">
        <v>62</v>
      </c>
      <c r="E3428" s="5" t="n">
        <v>7</v>
      </c>
      <c r="F3428" s="5" t="s">
        <v>67</v>
      </c>
      <c r="G3428" s="2" t="s">
        <v>367</v>
      </c>
      <c r="H3428" s="5" t="s">
        <v>8336</v>
      </c>
      <c r="I3428" s="5"/>
      <c r="J3428" s="5"/>
      <c r="K3428" s="5" t="s">
        <v>16468</v>
      </c>
    </row>
    <row r="3429" customFormat="false" ht="23.85" hidden="false" customHeight="false" outlineLevel="0" collapsed="false">
      <c r="A3429" s="5" t="s">
        <v>16469</v>
      </c>
      <c r="B3429" s="2" t="s">
        <v>16470</v>
      </c>
      <c r="C3429" s="5" t="s">
        <v>2128</v>
      </c>
      <c r="D3429" s="5" t="s">
        <v>62</v>
      </c>
      <c r="E3429" s="5" t="n">
        <v>7</v>
      </c>
      <c r="F3429" s="5" t="s">
        <v>67</v>
      </c>
      <c r="G3429" s="2" t="s">
        <v>367</v>
      </c>
      <c r="H3429" s="5" t="s">
        <v>8336</v>
      </c>
      <c r="I3429" s="5"/>
      <c r="J3429" s="5"/>
      <c r="K3429" s="5" t="s">
        <v>16471</v>
      </c>
    </row>
    <row r="3430" customFormat="false" ht="23.85" hidden="false" customHeight="false" outlineLevel="0" collapsed="false">
      <c r="A3430" s="5" t="s">
        <v>1956</v>
      </c>
      <c r="B3430" s="2" t="s">
        <v>1957</v>
      </c>
      <c r="C3430" s="5" t="s">
        <v>488</v>
      </c>
      <c r="D3430" s="5" t="s">
        <v>62</v>
      </c>
      <c r="E3430" s="5" t="n">
        <v>5</v>
      </c>
      <c r="F3430" s="5" t="s">
        <v>100</v>
      </c>
      <c r="G3430" s="2" t="s">
        <v>184</v>
      </c>
      <c r="H3430" s="5" t="s">
        <v>8332</v>
      </c>
      <c r="I3430" s="5" t="s">
        <v>60</v>
      </c>
      <c r="J3430" s="5" t="s">
        <v>303</v>
      </c>
      <c r="K3430" s="5" t="s">
        <v>1962</v>
      </c>
    </row>
    <row r="3431" customFormat="false" ht="23.85" hidden="false" customHeight="false" outlineLevel="0" collapsed="false">
      <c r="A3431" s="5" t="s">
        <v>16472</v>
      </c>
      <c r="B3431" s="2" t="s">
        <v>16473</v>
      </c>
      <c r="C3431" s="5" t="s">
        <v>2128</v>
      </c>
      <c r="D3431" s="5" t="s">
        <v>62</v>
      </c>
      <c r="E3431" s="5" t="n">
        <v>7</v>
      </c>
      <c r="F3431" s="5" t="s">
        <v>67</v>
      </c>
      <c r="G3431" s="2" t="s">
        <v>367</v>
      </c>
      <c r="H3431" s="5" t="s">
        <v>8336</v>
      </c>
      <c r="I3431" s="5"/>
      <c r="J3431" s="5"/>
      <c r="K3431" s="5" t="s">
        <v>16474</v>
      </c>
    </row>
    <row r="3432" customFormat="false" ht="23.85" hidden="false" customHeight="false" outlineLevel="0" collapsed="false">
      <c r="A3432" s="5" t="s">
        <v>4376</v>
      </c>
      <c r="B3432" s="2" t="s">
        <v>4377</v>
      </c>
      <c r="C3432" s="5" t="s">
        <v>2128</v>
      </c>
      <c r="D3432" s="5" t="s">
        <v>62</v>
      </c>
      <c r="E3432" s="5" t="n">
        <v>5</v>
      </c>
      <c r="F3432" s="5" t="s">
        <v>90</v>
      </c>
      <c r="G3432" s="2" t="s">
        <v>184</v>
      </c>
      <c r="H3432" s="5" t="s">
        <v>8332</v>
      </c>
      <c r="I3432" s="5" t="s">
        <v>60</v>
      </c>
      <c r="J3432" s="5" t="s">
        <v>269</v>
      </c>
      <c r="K3432" s="5" t="s">
        <v>4383</v>
      </c>
    </row>
    <row r="3433" customFormat="false" ht="23.85" hidden="false" customHeight="false" outlineLevel="0" collapsed="false">
      <c r="A3433" s="5" t="s">
        <v>1963</v>
      </c>
      <c r="B3433" s="2" t="s">
        <v>1964</v>
      </c>
      <c r="C3433" s="5" t="s">
        <v>488</v>
      </c>
      <c r="D3433" s="5" t="s">
        <v>62</v>
      </c>
      <c r="E3433" s="5" t="n">
        <v>7</v>
      </c>
      <c r="F3433" s="5" t="s">
        <v>100</v>
      </c>
      <c r="G3433" s="2" t="s">
        <v>367</v>
      </c>
      <c r="H3433" s="5" t="s">
        <v>8332</v>
      </c>
      <c r="I3433" s="5" t="s">
        <v>60</v>
      </c>
      <c r="J3433" s="5" t="s">
        <v>100</v>
      </c>
      <c r="K3433" s="5" t="s">
        <v>1968</v>
      </c>
    </row>
    <row r="3434" customFormat="false" ht="15" hidden="false" customHeight="false" outlineLevel="0" collapsed="false">
      <c r="A3434" s="5" t="s">
        <v>16475</v>
      </c>
      <c r="B3434" s="2" t="s">
        <v>16476</v>
      </c>
      <c r="C3434" s="5" t="s">
        <v>2128</v>
      </c>
      <c r="D3434" s="5" t="s">
        <v>62</v>
      </c>
      <c r="E3434" s="5" t="n">
        <v>7</v>
      </c>
      <c r="F3434" s="5" t="s">
        <v>90</v>
      </c>
      <c r="G3434" s="2" t="s">
        <v>367</v>
      </c>
      <c r="H3434" s="5" t="s">
        <v>8336</v>
      </c>
      <c r="I3434" s="5"/>
      <c r="J3434" s="5"/>
      <c r="K3434" s="5" t="s">
        <v>16477</v>
      </c>
    </row>
    <row r="3435" customFormat="false" ht="15" hidden="false" customHeight="false" outlineLevel="0" collapsed="false">
      <c r="A3435" s="5" t="s">
        <v>16478</v>
      </c>
      <c r="B3435" s="2" t="s">
        <v>16479</v>
      </c>
      <c r="C3435" s="5" t="s">
        <v>2128</v>
      </c>
      <c r="D3435" s="5" t="s">
        <v>62</v>
      </c>
      <c r="E3435" s="5" t="n">
        <v>5</v>
      </c>
      <c r="F3435" s="5" t="s">
        <v>90</v>
      </c>
      <c r="G3435" s="2" t="s">
        <v>367</v>
      </c>
      <c r="H3435" s="5" t="s">
        <v>8336</v>
      </c>
      <c r="I3435" s="5"/>
      <c r="J3435" s="5"/>
      <c r="K3435" s="5" t="s">
        <v>16480</v>
      </c>
    </row>
    <row r="3436" customFormat="false" ht="23.85" hidden="false" customHeight="false" outlineLevel="0" collapsed="false">
      <c r="A3436" s="5" t="s">
        <v>16481</v>
      </c>
      <c r="B3436" s="2" t="s">
        <v>16482</v>
      </c>
      <c r="C3436" s="5" t="s">
        <v>2128</v>
      </c>
      <c r="D3436" s="5" t="s">
        <v>62</v>
      </c>
      <c r="E3436" s="5" t="n">
        <v>7</v>
      </c>
      <c r="F3436" s="5" t="s">
        <v>67</v>
      </c>
      <c r="G3436" s="2" t="s">
        <v>367</v>
      </c>
      <c r="H3436" s="5" t="s">
        <v>8336</v>
      </c>
      <c r="I3436" s="5"/>
      <c r="J3436" s="5"/>
      <c r="K3436" s="5" t="s">
        <v>16483</v>
      </c>
    </row>
    <row r="3437" customFormat="false" ht="23.85" hidden="false" customHeight="false" outlineLevel="0" collapsed="false">
      <c r="A3437" s="5" t="s">
        <v>16484</v>
      </c>
      <c r="B3437" s="2" t="s">
        <v>16485</v>
      </c>
      <c r="C3437" s="5" t="s">
        <v>2128</v>
      </c>
      <c r="D3437" s="5" t="s">
        <v>62</v>
      </c>
      <c r="E3437" s="5" t="n">
        <v>7</v>
      </c>
      <c r="F3437" s="5" t="s">
        <v>67</v>
      </c>
      <c r="G3437" s="2" t="s">
        <v>367</v>
      </c>
      <c r="H3437" s="5" t="s">
        <v>8336</v>
      </c>
      <c r="I3437" s="5"/>
      <c r="J3437" s="5"/>
      <c r="K3437" s="5" t="s">
        <v>16486</v>
      </c>
    </row>
    <row r="3438" customFormat="false" ht="23.85" hidden="false" customHeight="false" outlineLevel="0" collapsed="false">
      <c r="A3438" s="5" t="s">
        <v>16487</v>
      </c>
      <c r="B3438" s="2" t="s">
        <v>16488</v>
      </c>
      <c r="C3438" s="5" t="s">
        <v>2128</v>
      </c>
      <c r="D3438" s="5" t="s">
        <v>62</v>
      </c>
      <c r="E3438" s="5" t="n">
        <v>7</v>
      </c>
      <c r="F3438" s="5" t="s">
        <v>90</v>
      </c>
      <c r="G3438" s="2" t="s">
        <v>367</v>
      </c>
      <c r="H3438" s="5" t="s">
        <v>8336</v>
      </c>
      <c r="I3438" s="5"/>
      <c r="J3438" s="5"/>
      <c r="K3438" s="5" t="s">
        <v>16489</v>
      </c>
    </row>
    <row r="3439" customFormat="false" ht="15" hidden="false" customHeight="false" outlineLevel="0" collapsed="false">
      <c r="A3439" s="5" t="s">
        <v>16490</v>
      </c>
      <c r="B3439" s="2" t="s">
        <v>16491</v>
      </c>
      <c r="C3439" s="5" t="s">
        <v>2128</v>
      </c>
      <c r="D3439" s="5" t="s">
        <v>62</v>
      </c>
      <c r="E3439" s="5" t="n">
        <v>5</v>
      </c>
      <c r="F3439" s="5" t="s">
        <v>67</v>
      </c>
      <c r="G3439" s="2" t="s">
        <v>367</v>
      </c>
      <c r="H3439" s="5" t="s">
        <v>8336</v>
      </c>
      <c r="I3439" s="5"/>
      <c r="J3439" s="5"/>
      <c r="K3439" s="5" t="s">
        <v>16492</v>
      </c>
    </row>
    <row r="3440" customFormat="false" ht="15" hidden="false" customHeight="false" outlineLevel="0" collapsed="false">
      <c r="A3440" s="5" t="s">
        <v>16493</v>
      </c>
      <c r="B3440" s="2" t="s">
        <v>16494</v>
      </c>
      <c r="C3440" s="5" t="s">
        <v>2128</v>
      </c>
      <c r="D3440" s="5" t="s">
        <v>62</v>
      </c>
      <c r="E3440" s="5" t="n">
        <v>5</v>
      </c>
      <c r="F3440" s="5" t="s">
        <v>67</v>
      </c>
      <c r="G3440" s="2" t="s">
        <v>367</v>
      </c>
      <c r="H3440" s="5" t="s">
        <v>8336</v>
      </c>
      <c r="I3440" s="5"/>
      <c r="J3440" s="5"/>
      <c r="K3440" s="5" t="s">
        <v>16495</v>
      </c>
    </row>
    <row r="3441" customFormat="false" ht="15" hidden="false" customHeight="false" outlineLevel="0" collapsed="false">
      <c r="A3441" s="5" t="s">
        <v>16496</v>
      </c>
      <c r="B3441" s="2" t="s">
        <v>16497</v>
      </c>
      <c r="C3441" s="5" t="s">
        <v>2128</v>
      </c>
      <c r="D3441" s="5" t="s">
        <v>62</v>
      </c>
      <c r="E3441" s="5" t="n">
        <v>5</v>
      </c>
      <c r="F3441" s="5" t="s">
        <v>277</v>
      </c>
      <c r="G3441" s="2" t="s">
        <v>367</v>
      </c>
      <c r="H3441" s="5" t="s">
        <v>8336</v>
      </c>
      <c r="I3441" s="5"/>
      <c r="J3441" s="5"/>
      <c r="K3441" s="5" t="s">
        <v>16498</v>
      </c>
    </row>
    <row r="3442" customFormat="false" ht="23.85" hidden="false" customHeight="false" outlineLevel="0" collapsed="false">
      <c r="A3442" s="5" t="s">
        <v>4384</v>
      </c>
      <c r="B3442" s="2" t="s">
        <v>4385</v>
      </c>
      <c r="C3442" s="5" t="s">
        <v>2128</v>
      </c>
      <c r="D3442" s="5" t="s">
        <v>62</v>
      </c>
      <c r="E3442" s="5" t="n">
        <v>7</v>
      </c>
      <c r="F3442" s="5" t="s">
        <v>413</v>
      </c>
      <c r="G3442" s="2" t="s">
        <v>184</v>
      </c>
      <c r="H3442" s="5" t="s">
        <v>8332</v>
      </c>
      <c r="I3442" s="5" t="s">
        <v>60</v>
      </c>
      <c r="J3442" s="5" t="s">
        <v>269</v>
      </c>
      <c r="K3442" s="5" t="s">
        <v>4391</v>
      </c>
    </row>
    <row r="3443" customFormat="false" ht="23.85" hidden="false" customHeight="false" outlineLevel="0" collapsed="false">
      <c r="A3443" s="5" t="s">
        <v>16499</v>
      </c>
      <c r="B3443" s="2" t="s">
        <v>16500</v>
      </c>
      <c r="C3443" s="5" t="s">
        <v>2128</v>
      </c>
      <c r="D3443" s="5" t="s">
        <v>62</v>
      </c>
      <c r="E3443" s="5" t="n">
        <v>7</v>
      </c>
      <c r="F3443" s="5" t="s">
        <v>413</v>
      </c>
      <c r="G3443" s="2" t="s">
        <v>367</v>
      </c>
      <c r="H3443" s="5" t="s">
        <v>8336</v>
      </c>
      <c r="I3443" s="5"/>
      <c r="J3443" s="5"/>
      <c r="K3443" s="5" t="s">
        <v>16501</v>
      </c>
    </row>
    <row r="3444" customFormat="false" ht="23.85" hidden="false" customHeight="false" outlineLevel="0" collapsed="false">
      <c r="A3444" s="5" t="s">
        <v>16502</v>
      </c>
      <c r="B3444" s="2" t="s">
        <v>16503</v>
      </c>
      <c r="C3444" s="5" t="s">
        <v>2128</v>
      </c>
      <c r="D3444" s="5" t="s">
        <v>62</v>
      </c>
      <c r="E3444" s="5" t="n">
        <v>5</v>
      </c>
      <c r="F3444" s="5" t="s">
        <v>413</v>
      </c>
      <c r="G3444" s="2" t="s">
        <v>367</v>
      </c>
      <c r="H3444" s="5" t="s">
        <v>8336</v>
      </c>
      <c r="I3444" s="5"/>
      <c r="J3444" s="5"/>
      <c r="K3444" s="5" t="s">
        <v>16504</v>
      </c>
    </row>
    <row r="3445" customFormat="false" ht="15" hidden="false" customHeight="false" outlineLevel="0" collapsed="false">
      <c r="A3445" s="5" t="s">
        <v>16505</v>
      </c>
      <c r="B3445" s="2" t="s">
        <v>16506</v>
      </c>
      <c r="C3445" s="5" t="s">
        <v>2128</v>
      </c>
      <c r="D3445" s="5" t="s">
        <v>62</v>
      </c>
      <c r="E3445" s="5" t="n">
        <v>5</v>
      </c>
      <c r="F3445" s="5" t="s">
        <v>413</v>
      </c>
      <c r="G3445" s="2" t="s">
        <v>367</v>
      </c>
      <c r="H3445" s="5" t="s">
        <v>8336</v>
      </c>
      <c r="I3445" s="5"/>
      <c r="J3445" s="5"/>
      <c r="K3445" s="5" t="s">
        <v>16507</v>
      </c>
    </row>
    <row r="3446" customFormat="false" ht="23.85" hidden="false" customHeight="false" outlineLevel="0" collapsed="false">
      <c r="A3446" s="5" t="s">
        <v>4392</v>
      </c>
      <c r="B3446" s="2" t="s">
        <v>4393</v>
      </c>
      <c r="C3446" s="5" t="s">
        <v>2128</v>
      </c>
      <c r="D3446" s="5" t="s">
        <v>62</v>
      </c>
      <c r="E3446" s="5" t="n">
        <v>7</v>
      </c>
      <c r="F3446" s="5" t="s">
        <v>413</v>
      </c>
      <c r="G3446" s="2" t="s">
        <v>184</v>
      </c>
      <c r="H3446" s="5" t="s">
        <v>8332</v>
      </c>
      <c r="I3446" s="5" t="s">
        <v>60</v>
      </c>
      <c r="J3446" s="5" t="s">
        <v>269</v>
      </c>
      <c r="K3446" s="5" t="s">
        <v>4397</v>
      </c>
    </row>
    <row r="3447" customFormat="false" ht="23.85" hidden="false" customHeight="false" outlineLevel="0" collapsed="false">
      <c r="A3447" s="5" t="s">
        <v>16508</v>
      </c>
      <c r="B3447" s="2" t="s">
        <v>16509</v>
      </c>
      <c r="C3447" s="5" t="s">
        <v>2128</v>
      </c>
      <c r="D3447" s="5" t="s">
        <v>62</v>
      </c>
      <c r="E3447" s="5" t="n">
        <v>7</v>
      </c>
      <c r="F3447" s="5" t="s">
        <v>90</v>
      </c>
      <c r="G3447" s="2" t="s">
        <v>367</v>
      </c>
      <c r="H3447" s="5" t="s">
        <v>8336</v>
      </c>
      <c r="I3447" s="5"/>
      <c r="J3447" s="5"/>
      <c r="K3447" s="5" t="s">
        <v>16510</v>
      </c>
    </row>
    <row r="3448" customFormat="false" ht="23.85" hidden="false" customHeight="false" outlineLevel="0" collapsed="false">
      <c r="A3448" s="5" t="s">
        <v>16511</v>
      </c>
      <c r="B3448" s="2" t="s">
        <v>16512</v>
      </c>
      <c r="C3448" s="5" t="s">
        <v>2128</v>
      </c>
      <c r="D3448" s="5" t="s">
        <v>62</v>
      </c>
      <c r="E3448" s="5" t="n">
        <v>7</v>
      </c>
      <c r="F3448" s="5" t="s">
        <v>413</v>
      </c>
      <c r="G3448" s="2" t="s">
        <v>367</v>
      </c>
      <c r="H3448" s="5" t="s">
        <v>8336</v>
      </c>
      <c r="I3448" s="5"/>
      <c r="J3448" s="5"/>
      <c r="K3448" s="5" t="s">
        <v>16513</v>
      </c>
    </row>
    <row r="3449" customFormat="false" ht="23.85" hidden="false" customHeight="false" outlineLevel="0" collapsed="false">
      <c r="A3449" s="5" t="s">
        <v>16514</v>
      </c>
      <c r="B3449" s="2" t="s">
        <v>16515</v>
      </c>
      <c r="C3449" s="5" t="s">
        <v>2128</v>
      </c>
      <c r="D3449" s="5" t="s">
        <v>62</v>
      </c>
      <c r="E3449" s="5" t="n">
        <v>5</v>
      </c>
      <c r="F3449" s="5" t="s">
        <v>413</v>
      </c>
      <c r="G3449" s="2" t="s">
        <v>367</v>
      </c>
      <c r="H3449" s="5" t="s">
        <v>8336</v>
      </c>
      <c r="I3449" s="5"/>
      <c r="J3449" s="5"/>
      <c r="K3449" s="5" t="s">
        <v>16516</v>
      </c>
    </row>
    <row r="3450" customFormat="false" ht="15" hidden="false" customHeight="false" outlineLevel="0" collapsed="false">
      <c r="A3450" s="5" t="s">
        <v>16517</v>
      </c>
      <c r="B3450" s="2" t="s">
        <v>16518</v>
      </c>
      <c r="C3450" s="5" t="s">
        <v>2128</v>
      </c>
      <c r="D3450" s="5" t="s">
        <v>62</v>
      </c>
      <c r="E3450" s="5" t="n">
        <v>7</v>
      </c>
      <c r="F3450" s="5" t="s">
        <v>413</v>
      </c>
      <c r="G3450" s="2" t="s">
        <v>367</v>
      </c>
      <c r="H3450" s="5" t="s">
        <v>8336</v>
      </c>
      <c r="I3450" s="5"/>
      <c r="J3450" s="5"/>
      <c r="K3450" s="5" t="s">
        <v>16519</v>
      </c>
    </row>
    <row r="3451" customFormat="false" ht="23.85" hidden="false" customHeight="false" outlineLevel="0" collapsed="false">
      <c r="A3451" s="5" t="s">
        <v>16520</v>
      </c>
      <c r="B3451" s="2" t="s">
        <v>16521</v>
      </c>
      <c r="C3451" s="5" t="s">
        <v>2128</v>
      </c>
      <c r="D3451" s="5" t="s">
        <v>62</v>
      </c>
      <c r="E3451" s="5" t="n">
        <v>5</v>
      </c>
      <c r="F3451" s="5" t="s">
        <v>90</v>
      </c>
      <c r="G3451" s="2" t="s">
        <v>367</v>
      </c>
      <c r="H3451" s="5" t="s">
        <v>8336</v>
      </c>
      <c r="I3451" s="5"/>
      <c r="J3451" s="5"/>
      <c r="K3451" s="5" t="s">
        <v>16522</v>
      </c>
    </row>
    <row r="3452" customFormat="false" ht="23.85" hidden="false" customHeight="false" outlineLevel="0" collapsed="false">
      <c r="A3452" s="5" t="s">
        <v>16523</v>
      </c>
      <c r="B3452" s="2" t="s">
        <v>16524</v>
      </c>
      <c r="C3452" s="5" t="s">
        <v>2128</v>
      </c>
      <c r="D3452" s="5" t="s">
        <v>62</v>
      </c>
      <c r="E3452" s="5" t="n">
        <v>5</v>
      </c>
      <c r="F3452" s="5" t="s">
        <v>90</v>
      </c>
      <c r="G3452" s="2" t="s">
        <v>367</v>
      </c>
      <c r="H3452" s="5" t="s">
        <v>8336</v>
      </c>
      <c r="I3452" s="5"/>
      <c r="J3452" s="5"/>
      <c r="K3452" s="5" t="s">
        <v>16525</v>
      </c>
    </row>
    <row r="3453" customFormat="false" ht="46.25" hidden="false" customHeight="false" outlineLevel="0" collapsed="false">
      <c r="A3453" s="5" t="s">
        <v>16526</v>
      </c>
      <c r="B3453" s="2" t="s">
        <v>16527</v>
      </c>
      <c r="C3453" s="5" t="s">
        <v>2245</v>
      </c>
      <c r="D3453" s="5" t="s">
        <v>62</v>
      </c>
      <c r="E3453" s="5" t="n">
        <v>7</v>
      </c>
      <c r="F3453" s="5" t="s">
        <v>413</v>
      </c>
      <c r="G3453" s="2" t="s">
        <v>12057</v>
      </c>
      <c r="H3453" s="5" t="s">
        <v>8336</v>
      </c>
      <c r="I3453" s="5"/>
      <c r="J3453" s="5"/>
      <c r="K3453" s="5" t="s">
        <v>16528</v>
      </c>
    </row>
    <row r="3454" customFormat="false" ht="15" hidden="false" customHeight="false" outlineLevel="0" collapsed="false">
      <c r="A3454" s="5" t="s">
        <v>16529</v>
      </c>
      <c r="B3454" s="2" t="s">
        <v>16530</v>
      </c>
      <c r="C3454" s="5" t="s">
        <v>2128</v>
      </c>
      <c r="D3454" s="5" t="s">
        <v>62</v>
      </c>
      <c r="E3454" s="5" t="n">
        <v>7</v>
      </c>
      <c r="F3454" s="5" t="s">
        <v>90</v>
      </c>
      <c r="G3454" s="2" t="s">
        <v>367</v>
      </c>
      <c r="H3454" s="5" t="s">
        <v>8336</v>
      </c>
      <c r="I3454" s="5"/>
      <c r="J3454" s="5"/>
      <c r="K3454" s="5" t="s">
        <v>16531</v>
      </c>
    </row>
    <row r="3455" customFormat="false" ht="15" hidden="false" customHeight="false" outlineLevel="0" collapsed="false">
      <c r="A3455" s="5" t="s">
        <v>16532</v>
      </c>
      <c r="B3455" s="2" t="s">
        <v>16533</v>
      </c>
      <c r="C3455" s="5" t="s">
        <v>2128</v>
      </c>
      <c r="D3455" s="5" t="s">
        <v>62</v>
      </c>
      <c r="E3455" s="5" t="n">
        <v>7</v>
      </c>
      <c r="F3455" s="5" t="s">
        <v>90</v>
      </c>
      <c r="G3455" s="2" t="s">
        <v>367</v>
      </c>
      <c r="H3455" s="5" t="s">
        <v>8336</v>
      </c>
      <c r="I3455" s="5"/>
      <c r="J3455" s="5"/>
      <c r="K3455" s="5" t="s">
        <v>16534</v>
      </c>
    </row>
    <row r="3456" customFormat="false" ht="23.85" hidden="false" customHeight="false" outlineLevel="0" collapsed="false">
      <c r="A3456" s="5" t="s">
        <v>16535</v>
      </c>
      <c r="B3456" s="2" t="s">
        <v>16536</v>
      </c>
      <c r="C3456" s="5" t="s">
        <v>2128</v>
      </c>
      <c r="D3456" s="5" t="s">
        <v>62</v>
      </c>
      <c r="E3456" s="5" t="n">
        <v>7</v>
      </c>
      <c r="F3456" s="5" t="s">
        <v>90</v>
      </c>
      <c r="G3456" s="2" t="s">
        <v>367</v>
      </c>
      <c r="H3456" s="5" t="s">
        <v>8336</v>
      </c>
      <c r="I3456" s="5"/>
      <c r="J3456" s="5"/>
      <c r="K3456" s="5" t="s">
        <v>16537</v>
      </c>
    </row>
    <row r="3457" customFormat="false" ht="46.25" hidden="false" customHeight="false" outlineLevel="0" collapsed="false">
      <c r="A3457" s="5" t="s">
        <v>16538</v>
      </c>
      <c r="B3457" s="2" t="s">
        <v>16539</v>
      </c>
      <c r="C3457" s="5" t="s">
        <v>2245</v>
      </c>
      <c r="D3457" s="5" t="s">
        <v>62</v>
      </c>
      <c r="E3457" s="5" t="n">
        <v>7</v>
      </c>
      <c r="F3457" s="5" t="s">
        <v>67</v>
      </c>
      <c r="G3457" s="2" t="s">
        <v>12054</v>
      </c>
      <c r="H3457" s="5" t="s">
        <v>8336</v>
      </c>
      <c r="I3457" s="5"/>
      <c r="J3457" s="5"/>
      <c r="K3457" s="5" t="s">
        <v>16540</v>
      </c>
    </row>
    <row r="3458" customFormat="false" ht="23.85" hidden="false" customHeight="false" outlineLevel="0" collapsed="false">
      <c r="A3458" s="5" t="s">
        <v>16541</v>
      </c>
      <c r="B3458" s="2" t="s">
        <v>16542</v>
      </c>
      <c r="C3458" s="5" t="s">
        <v>2128</v>
      </c>
      <c r="D3458" s="5" t="s">
        <v>62</v>
      </c>
      <c r="E3458" s="5" t="n">
        <v>7</v>
      </c>
      <c r="F3458" s="5" t="s">
        <v>90</v>
      </c>
      <c r="G3458" s="2" t="s">
        <v>415</v>
      </c>
      <c r="H3458" s="5" t="s">
        <v>8336</v>
      </c>
      <c r="I3458" s="5"/>
      <c r="J3458" s="5"/>
      <c r="K3458" s="5" t="s">
        <v>16543</v>
      </c>
    </row>
    <row r="3459" customFormat="false" ht="23.85" hidden="false" customHeight="false" outlineLevel="0" collapsed="false">
      <c r="A3459" s="5" t="s">
        <v>16544</v>
      </c>
      <c r="B3459" s="2" t="s">
        <v>16545</v>
      </c>
      <c r="C3459" s="5" t="s">
        <v>2128</v>
      </c>
      <c r="D3459" s="5" t="s">
        <v>62</v>
      </c>
      <c r="E3459" s="5" t="n">
        <v>7</v>
      </c>
      <c r="F3459" s="5" t="s">
        <v>90</v>
      </c>
      <c r="G3459" s="2" t="s">
        <v>415</v>
      </c>
      <c r="H3459" s="5" t="s">
        <v>8336</v>
      </c>
      <c r="I3459" s="5"/>
      <c r="J3459" s="5"/>
      <c r="K3459" s="5" t="s">
        <v>16546</v>
      </c>
    </row>
    <row r="3460" customFormat="false" ht="46.25" hidden="false" customHeight="false" outlineLevel="0" collapsed="false">
      <c r="A3460" s="5" t="s">
        <v>16547</v>
      </c>
      <c r="B3460" s="2" t="s">
        <v>16548</v>
      </c>
      <c r="C3460" s="5" t="s">
        <v>2245</v>
      </c>
      <c r="D3460" s="5" t="s">
        <v>62</v>
      </c>
      <c r="E3460" s="5" t="n">
        <v>5</v>
      </c>
      <c r="F3460" s="5" t="s">
        <v>90</v>
      </c>
      <c r="G3460" s="2" t="s">
        <v>12057</v>
      </c>
      <c r="H3460" s="5" t="s">
        <v>8336</v>
      </c>
      <c r="I3460" s="5"/>
      <c r="J3460" s="5"/>
      <c r="K3460" s="5" t="s">
        <v>16549</v>
      </c>
    </row>
    <row r="3461" customFormat="false" ht="15" hidden="false" customHeight="false" outlineLevel="0" collapsed="false">
      <c r="A3461" s="5" t="s">
        <v>16550</v>
      </c>
      <c r="B3461" s="2" t="s">
        <v>16551</v>
      </c>
      <c r="C3461" s="5" t="s">
        <v>2128</v>
      </c>
      <c r="D3461" s="5" t="s">
        <v>62</v>
      </c>
      <c r="E3461" s="5" t="n">
        <v>7</v>
      </c>
      <c r="F3461" s="5" t="s">
        <v>90</v>
      </c>
      <c r="G3461" s="2" t="s">
        <v>367</v>
      </c>
      <c r="H3461" s="5" t="s">
        <v>8336</v>
      </c>
      <c r="I3461" s="5"/>
      <c r="J3461" s="5"/>
      <c r="K3461" s="5" t="s">
        <v>16552</v>
      </c>
    </row>
    <row r="3462" customFormat="false" ht="46.25" hidden="false" customHeight="false" outlineLevel="0" collapsed="false">
      <c r="A3462" s="5" t="s">
        <v>4398</v>
      </c>
      <c r="B3462" s="2" t="s">
        <v>4399</v>
      </c>
      <c r="C3462" s="5" t="s">
        <v>2245</v>
      </c>
      <c r="D3462" s="5" t="s">
        <v>490</v>
      </c>
      <c r="E3462" s="5" t="n">
        <v>5</v>
      </c>
      <c r="F3462" s="5" t="s">
        <v>67</v>
      </c>
      <c r="G3462" s="2" t="s">
        <v>12057</v>
      </c>
      <c r="H3462" s="5" t="s">
        <v>8332</v>
      </c>
      <c r="I3462" s="5" t="s">
        <v>60</v>
      </c>
      <c r="J3462" s="5" t="s">
        <v>161</v>
      </c>
      <c r="K3462" s="5" t="s">
        <v>4402</v>
      </c>
    </row>
    <row r="3463" customFormat="false" ht="46.25" hidden="false" customHeight="false" outlineLevel="0" collapsed="false">
      <c r="A3463" s="5" t="s">
        <v>16553</v>
      </c>
      <c r="B3463" s="2" t="s">
        <v>16554</v>
      </c>
      <c r="C3463" s="5" t="s">
        <v>2245</v>
      </c>
      <c r="D3463" s="5" t="s">
        <v>62</v>
      </c>
      <c r="E3463" s="5" t="n">
        <v>7</v>
      </c>
      <c r="F3463" s="5" t="s">
        <v>67</v>
      </c>
      <c r="G3463" s="2" t="s">
        <v>12057</v>
      </c>
      <c r="H3463" s="5" t="s">
        <v>8336</v>
      </c>
      <c r="I3463" s="5"/>
      <c r="J3463" s="5"/>
      <c r="K3463" s="5" t="s">
        <v>16555</v>
      </c>
    </row>
    <row r="3464" customFormat="false" ht="23.85" hidden="false" customHeight="false" outlineLevel="0" collapsed="false">
      <c r="A3464" s="5" t="s">
        <v>16556</v>
      </c>
      <c r="B3464" s="2" t="s">
        <v>16557</v>
      </c>
      <c r="C3464" s="5" t="s">
        <v>2128</v>
      </c>
      <c r="D3464" s="5" t="s">
        <v>62</v>
      </c>
      <c r="E3464" s="5" t="n">
        <v>7</v>
      </c>
      <c r="F3464" s="5" t="s">
        <v>90</v>
      </c>
      <c r="G3464" s="2" t="s">
        <v>367</v>
      </c>
      <c r="H3464" s="5" t="s">
        <v>8336</v>
      </c>
      <c r="I3464" s="5"/>
      <c r="J3464" s="5"/>
      <c r="K3464" s="5" t="s">
        <v>16558</v>
      </c>
    </row>
    <row r="3465" customFormat="false" ht="46.25" hidden="false" customHeight="false" outlineLevel="0" collapsed="false">
      <c r="A3465" s="5" t="s">
        <v>16559</v>
      </c>
      <c r="B3465" s="2" t="s">
        <v>16560</v>
      </c>
      <c r="C3465" s="5" t="s">
        <v>2245</v>
      </c>
      <c r="D3465" s="5" t="s">
        <v>62</v>
      </c>
      <c r="E3465" s="5" t="n">
        <v>7</v>
      </c>
      <c r="F3465" s="5" t="s">
        <v>90</v>
      </c>
      <c r="G3465" s="2" t="s">
        <v>12057</v>
      </c>
      <c r="H3465" s="5" t="s">
        <v>8336</v>
      </c>
      <c r="I3465" s="5"/>
      <c r="J3465" s="5"/>
      <c r="K3465" s="5" t="s">
        <v>16561</v>
      </c>
    </row>
    <row r="3466" customFormat="false" ht="46.25" hidden="false" customHeight="false" outlineLevel="0" collapsed="false">
      <c r="A3466" s="5" t="s">
        <v>16562</v>
      </c>
      <c r="B3466" s="2" t="s">
        <v>16563</v>
      </c>
      <c r="C3466" s="5" t="s">
        <v>2245</v>
      </c>
      <c r="D3466" s="5" t="s">
        <v>490</v>
      </c>
      <c r="E3466" s="5" t="n">
        <v>7</v>
      </c>
      <c r="F3466" s="5" t="s">
        <v>90</v>
      </c>
      <c r="G3466" s="2" t="s">
        <v>12057</v>
      </c>
      <c r="H3466" s="5" t="s">
        <v>8336</v>
      </c>
      <c r="I3466" s="5"/>
      <c r="J3466" s="5"/>
      <c r="K3466" s="5" t="s">
        <v>16564</v>
      </c>
    </row>
    <row r="3467" customFormat="false" ht="46.25" hidden="false" customHeight="false" outlineLevel="0" collapsed="false">
      <c r="A3467" s="5" t="s">
        <v>16565</v>
      </c>
      <c r="B3467" s="2" t="s">
        <v>16566</v>
      </c>
      <c r="C3467" s="5" t="s">
        <v>2245</v>
      </c>
      <c r="D3467" s="5" t="s">
        <v>490</v>
      </c>
      <c r="E3467" s="5" t="n">
        <v>7</v>
      </c>
      <c r="F3467" s="5" t="s">
        <v>90</v>
      </c>
      <c r="G3467" s="2" t="s">
        <v>12057</v>
      </c>
      <c r="H3467" s="5" t="s">
        <v>8336</v>
      </c>
      <c r="I3467" s="5"/>
      <c r="J3467" s="5"/>
      <c r="K3467" s="5" t="s">
        <v>16567</v>
      </c>
    </row>
    <row r="3468" customFormat="false" ht="46.25" hidden="false" customHeight="false" outlineLevel="0" collapsed="false">
      <c r="A3468" s="5" t="s">
        <v>6425</v>
      </c>
      <c r="B3468" s="2" t="s">
        <v>6426</v>
      </c>
      <c r="C3468" s="5" t="s">
        <v>2245</v>
      </c>
      <c r="D3468" s="5" t="s">
        <v>490</v>
      </c>
      <c r="E3468" s="5" t="n">
        <v>7</v>
      </c>
      <c r="F3468" s="5" t="s">
        <v>2079</v>
      </c>
      <c r="G3468" s="2" t="s">
        <v>12057</v>
      </c>
      <c r="H3468" s="5" t="s">
        <v>8332</v>
      </c>
      <c r="I3468" s="5" t="s">
        <v>4760</v>
      </c>
      <c r="J3468" s="5" t="s">
        <v>2079</v>
      </c>
      <c r="K3468" s="5" t="s">
        <v>6429</v>
      </c>
    </row>
    <row r="3469" customFormat="false" ht="15" hidden="false" customHeight="false" outlineLevel="0" collapsed="false">
      <c r="A3469" s="5" t="s">
        <v>16568</v>
      </c>
      <c r="B3469" s="2" t="s">
        <v>16569</v>
      </c>
      <c r="C3469" s="5" t="s">
        <v>2128</v>
      </c>
      <c r="D3469" s="5" t="s">
        <v>62</v>
      </c>
      <c r="E3469" s="5" t="n">
        <v>7</v>
      </c>
      <c r="F3469" s="5" t="s">
        <v>90</v>
      </c>
      <c r="G3469" s="2" t="s">
        <v>367</v>
      </c>
      <c r="H3469" s="5" t="s">
        <v>8336</v>
      </c>
      <c r="I3469" s="5"/>
      <c r="J3469" s="5"/>
      <c r="K3469" s="5" t="s">
        <v>16570</v>
      </c>
    </row>
    <row r="3470" customFormat="false" ht="46.25" hidden="false" customHeight="false" outlineLevel="0" collapsed="false">
      <c r="A3470" s="5" t="s">
        <v>16571</v>
      </c>
      <c r="B3470" s="2" t="s">
        <v>16572</v>
      </c>
      <c r="C3470" s="5" t="s">
        <v>2245</v>
      </c>
      <c r="D3470" s="5" t="s">
        <v>62</v>
      </c>
      <c r="E3470" s="5" t="n">
        <v>7</v>
      </c>
      <c r="F3470" s="5" t="s">
        <v>413</v>
      </c>
      <c r="G3470" s="2" t="s">
        <v>12057</v>
      </c>
      <c r="H3470" s="5" t="s">
        <v>8336</v>
      </c>
      <c r="I3470" s="5"/>
      <c r="J3470" s="5"/>
      <c r="K3470" s="5" t="s">
        <v>16573</v>
      </c>
    </row>
    <row r="3471" customFormat="false" ht="46.25" hidden="false" customHeight="false" outlineLevel="0" collapsed="false">
      <c r="A3471" s="5" t="s">
        <v>16574</v>
      </c>
      <c r="B3471" s="2" t="s">
        <v>16575</v>
      </c>
      <c r="C3471" s="5" t="s">
        <v>2245</v>
      </c>
      <c r="D3471" s="5" t="s">
        <v>62</v>
      </c>
      <c r="E3471" s="5" t="n">
        <v>3</v>
      </c>
      <c r="F3471" s="5" t="s">
        <v>90</v>
      </c>
      <c r="G3471" s="2" t="s">
        <v>12054</v>
      </c>
      <c r="H3471" s="5" t="s">
        <v>8336</v>
      </c>
      <c r="I3471" s="5"/>
      <c r="J3471" s="5"/>
      <c r="K3471" s="5" t="s">
        <v>16576</v>
      </c>
    </row>
    <row r="3472" customFormat="false" ht="46.25" hidden="false" customHeight="false" outlineLevel="0" collapsed="false">
      <c r="A3472" s="5" t="s">
        <v>16577</v>
      </c>
      <c r="B3472" s="2" t="s">
        <v>16578</v>
      </c>
      <c r="C3472" s="5" t="s">
        <v>2245</v>
      </c>
      <c r="D3472" s="5" t="s">
        <v>62</v>
      </c>
      <c r="E3472" s="5" t="n">
        <v>5</v>
      </c>
      <c r="F3472" s="5" t="s">
        <v>67</v>
      </c>
      <c r="G3472" s="2" t="s">
        <v>12054</v>
      </c>
      <c r="H3472" s="5" t="s">
        <v>8336</v>
      </c>
      <c r="I3472" s="5"/>
      <c r="J3472" s="5"/>
      <c r="K3472" s="5" t="s">
        <v>16579</v>
      </c>
    </row>
    <row r="3473" customFormat="false" ht="15" hidden="false" customHeight="false" outlineLevel="0" collapsed="false">
      <c r="A3473" s="5" t="s">
        <v>16580</v>
      </c>
      <c r="B3473" s="2" t="s">
        <v>16581</v>
      </c>
      <c r="C3473" s="5" t="s">
        <v>2128</v>
      </c>
      <c r="D3473" s="5" t="s">
        <v>62</v>
      </c>
      <c r="E3473" s="5" t="n">
        <v>7</v>
      </c>
      <c r="F3473" s="5" t="s">
        <v>90</v>
      </c>
      <c r="G3473" s="2" t="s">
        <v>367</v>
      </c>
      <c r="H3473" s="5" t="s">
        <v>8336</v>
      </c>
      <c r="I3473" s="5"/>
      <c r="J3473" s="5"/>
      <c r="K3473" s="5" t="s">
        <v>16582</v>
      </c>
    </row>
    <row r="3474" customFormat="false" ht="15" hidden="false" customHeight="false" outlineLevel="0" collapsed="false">
      <c r="A3474" s="5" t="s">
        <v>16583</v>
      </c>
      <c r="B3474" s="2" t="s">
        <v>16584</v>
      </c>
      <c r="C3474" s="5" t="s">
        <v>2128</v>
      </c>
      <c r="D3474" s="5" t="s">
        <v>62</v>
      </c>
      <c r="E3474" s="5" t="n">
        <v>7</v>
      </c>
      <c r="F3474" s="5" t="s">
        <v>67</v>
      </c>
      <c r="G3474" s="2" t="s">
        <v>367</v>
      </c>
      <c r="H3474" s="5" t="s">
        <v>8336</v>
      </c>
      <c r="I3474" s="5"/>
      <c r="J3474" s="5"/>
      <c r="K3474" s="5" t="s">
        <v>16585</v>
      </c>
    </row>
    <row r="3475" customFormat="false" ht="15" hidden="false" customHeight="false" outlineLevel="0" collapsed="false">
      <c r="A3475" s="5" t="s">
        <v>16586</v>
      </c>
      <c r="B3475" s="2" t="s">
        <v>16587</v>
      </c>
      <c r="C3475" s="5" t="s">
        <v>2128</v>
      </c>
      <c r="D3475" s="5" t="s">
        <v>62</v>
      </c>
      <c r="E3475" s="5" t="n">
        <v>5</v>
      </c>
      <c r="F3475" s="5" t="s">
        <v>90</v>
      </c>
      <c r="G3475" s="2" t="s">
        <v>367</v>
      </c>
      <c r="H3475" s="5" t="s">
        <v>8336</v>
      </c>
      <c r="I3475" s="5"/>
      <c r="J3475" s="5"/>
      <c r="K3475" s="5" t="s">
        <v>16588</v>
      </c>
    </row>
    <row r="3476" customFormat="false" ht="23.85" hidden="false" customHeight="false" outlineLevel="0" collapsed="false">
      <c r="A3476" s="5" t="s">
        <v>16589</v>
      </c>
      <c r="B3476" s="2" t="s">
        <v>16590</v>
      </c>
      <c r="C3476" s="5" t="s">
        <v>2128</v>
      </c>
      <c r="D3476" s="5" t="s">
        <v>62</v>
      </c>
      <c r="E3476" s="5" t="n">
        <v>7</v>
      </c>
      <c r="F3476" s="5" t="s">
        <v>90</v>
      </c>
      <c r="G3476" s="2" t="s">
        <v>367</v>
      </c>
      <c r="H3476" s="5" t="s">
        <v>8336</v>
      </c>
      <c r="I3476" s="5"/>
      <c r="J3476" s="5"/>
      <c r="K3476" s="5" t="s">
        <v>16591</v>
      </c>
    </row>
    <row r="3477" customFormat="false" ht="23.85" hidden="false" customHeight="false" outlineLevel="0" collapsed="false">
      <c r="A3477" s="5" t="s">
        <v>1969</v>
      </c>
      <c r="B3477" s="2" t="s">
        <v>1970</v>
      </c>
      <c r="C3477" s="5" t="s">
        <v>488</v>
      </c>
      <c r="D3477" s="5" t="s">
        <v>62</v>
      </c>
      <c r="E3477" s="5" t="n">
        <v>5</v>
      </c>
      <c r="F3477" s="5" t="s">
        <v>100</v>
      </c>
      <c r="G3477" s="2" t="s">
        <v>367</v>
      </c>
      <c r="H3477" s="5" t="s">
        <v>8332</v>
      </c>
      <c r="I3477" s="5" t="s">
        <v>60</v>
      </c>
      <c r="J3477" s="5" t="s">
        <v>1104</v>
      </c>
      <c r="K3477" s="5" t="s">
        <v>1973</v>
      </c>
    </row>
    <row r="3478" customFormat="false" ht="23.85" hidden="false" customHeight="false" outlineLevel="0" collapsed="false">
      <c r="A3478" s="5" t="s">
        <v>4403</v>
      </c>
      <c r="B3478" s="2" t="s">
        <v>4404</v>
      </c>
      <c r="C3478" s="5" t="s">
        <v>2128</v>
      </c>
      <c r="D3478" s="5" t="s">
        <v>62</v>
      </c>
      <c r="E3478" s="5" t="n">
        <v>3</v>
      </c>
      <c r="F3478" s="5" t="s">
        <v>67</v>
      </c>
      <c r="G3478" s="2" t="s">
        <v>184</v>
      </c>
      <c r="H3478" s="5" t="s">
        <v>8332</v>
      </c>
      <c r="I3478" s="5" t="s">
        <v>60</v>
      </c>
      <c r="J3478" s="5" t="s">
        <v>269</v>
      </c>
      <c r="K3478" s="5" t="s">
        <v>4407</v>
      </c>
    </row>
    <row r="3479" customFormat="false" ht="46.25" hidden="false" customHeight="false" outlineLevel="0" collapsed="false">
      <c r="A3479" s="5" t="s">
        <v>16592</v>
      </c>
      <c r="B3479" s="2" t="s">
        <v>16593</v>
      </c>
      <c r="C3479" s="5" t="s">
        <v>2245</v>
      </c>
      <c r="D3479" s="5" t="s">
        <v>62</v>
      </c>
      <c r="E3479" s="5" t="n">
        <v>5</v>
      </c>
      <c r="F3479" s="5" t="s">
        <v>90</v>
      </c>
      <c r="G3479" s="2" t="s">
        <v>12054</v>
      </c>
      <c r="H3479" s="5" t="s">
        <v>8336</v>
      </c>
      <c r="I3479" s="5"/>
      <c r="J3479" s="5"/>
      <c r="K3479" s="5" t="s">
        <v>16594</v>
      </c>
    </row>
    <row r="3480" customFormat="false" ht="23.85" hidden="false" customHeight="false" outlineLevel="0" collapsed="false">
      <c r="A3480" s="5" t="s">
        <v>1974</v>
      </c>
      <c r="B3480" s="2" t="s">
        <v>1975</v>
      </c>
      <c r="C3480" s="5" t="s">
        <v>488</v>
      </c>
      <c r="D3480" s="5" t="s">
        <v>62</v>
      </c>
      <c r="E3480" s="5" t="n">
        <v>7</v>
      </c>
      <c r="F3480" s="5" t="s">
        <v>100</v>
      </c>
      <c r="G3480" s="2" t="s">
        <v>184</v>
      </c>
      <c r="H3480" s="5" t="s">
        <v>8332</v>
      </c>
      <c r="I3480" s="5" t="s">
        <v>60</v>
      </c>
      <c r="J3480" s="5" t="s">
        <v>303</v>
      </c>
      <c r="K3480" s="5" t="s">
        <v>1981</v>
      </c>
    </row>
    <row r="3481" customFormat="false" ht="15" hidden="false" customHeight="false" outlineLevel="0" collapsed="false">
      <c r="A3481" s="5" t="s">
        <v>16595</v>
      </c>
      <c r="B3481" s="2" t="s">
        <v>16596</v>
      </c>
      <c r="C3481" s="5" t="s">
        <v>2128</v>
      </c>
      <c r="D3481" s="5" t="s">
        <v>62</v>
      </c>
      <c r="E3481" s="5" t="n">
        <v>5</v>
      </c>
      <c r="F3481" s="5" t="s">
        <v>1814</v>
      </c>
      <c r="G3481" s="2" t="s">
        <v>367</v>
      </c>
      <c r="H3481" s="5" t="s">
        <v>8336</v>
      </c>
      <c r="I3481" s="5"/>
      <c r="J3481" s="5"/>
      <c r="K3481" s="5" t="s">
        <v>16597</v>
      </c>
    </row>
    <row r="3482" customFormat="false" ht="15" hidden="false" customHeight="false" outlineLevel="0" collapsed="false">
      <c r="A3482" s="5" t="s">
        <v>16598</v>
      </c>
      <c r="B3482" s="2" t="s">
        <v>16599</v>
      </c>
      <c r="C3482" s="5" t="s">
        <v>2128</v>
      </c>
      <c r="D3482" s="5" t="s">
        <v>62</v>
      </c>
      <c r="E3482" s="5" t="n">
        <v>7</v>
      </c>
      <c r="F3482" s="5" t="s">
        <v>1814</v>
      </c>
      <c r="G3482" s="2" t="s">
        <v>367</v>
      </c>
      <c r="H3482" s="5" t="s">
        <v>8336</v>
      </c>
      <c r="I3482" s="5"/>
      <c r="J3482" s="5"/>
      <c r="K3482" s="5" t="s">
        <v>16600</v>
      </c>
    </row>
    <row r="3483" customFormat="false" ht="15" hidden="false" customHeight="false" outlineLevel="0" collapsed="false">
      <c r="A3483" s="5" t="s">
        <v>6430</v>
      </c>
      <c r="B3483" s="2" t="s">
        <v>6431</v>
      </c>
      <c r="C3483" s="5" t="s">
        <v>2128</v>
      </c>
      <c r="D3483" s="5" t="s">
        <v>62</v>
      </c>
      <c r="E3483" s="5" t="n">
        <v>7</v>
      </c>
      <c r="F3483" s="5" t="s">
        <v>2079</v>
      </c>
      <c r="G3483" s="2" t="s">
        <v>367</v>
      </c>
      <c r="H3483" s="5" t="s">
        <v>8332</v>
      </c>
      <c r="I3483" s="5" t="s">
        <v>4760</v>
      </c>
      <c r="J3483" s="5" t="s">
        <v>2079</v>
      </c>
      <c r="K3483" s="5" t="s">
        <v>6435</v>
      </c>
    </row>
    <row r="3484" customFormat="false" ht="46.25" hidden="false" customHeight="false" outlineLevel="0" collapsed="false">
      <c r="A3484" s="5" t="s">
        <v>16601</v>
      </c>
      <c r="B3484" s="2" t="s">
        <v>16602</v>
      </c>
      <c r="C3484" s="5" t="s">
        <v>2245</v>
      </c>
      <c r="D3484" s="5" t="s">
        <v>62</v>
      </c>
      <c r="E3484" s="5" t="n">
        <v>5</v>
      </c>
      <c r="F3484" s="5" t="s">
        <v>67</v>
      </c>
      <c r="G3484" s="2" t="s">
        <v>12054</v>
      </c>
      <c r="H3484" s="5" t="s">
        <v>8336</v>
      </c>
      <c r="I3484" s="5"/>
      <c r="J3484" s="5"/>
      <c r="K3484" s="5" t="s">
        <v>16603</v>
      </c>
    </row>
    <row r="3485" customFormat="false" ht="46.25" hidden="false" customHeight="false" outlineLevel="0" collapsed="false">
      <c r="A3485" s="5" t="s">
        <v>16604</v>
      </c>
      <c r="B3485" s="2" t="s">
        <v>16605</v>
      </c>
      <c r="C3485" s="5" t="s">
        <v>2245</v>
      </c>
      <c r="D3485" s="5" t="s">
        <v>490</v>
      </c>
      <c r="E3485" s="5" t="n">
        <v>7</v>
      </c>
      <c r="F3485" s="5" t="s">
        <v>90</v>
      </c>
      <c r="G3485" s="2" t="s">
        <v>12057</v>
      </c>
      <c r="H3485" s="5" t="s">
        <v>8336</v>
      </c>
      <c r="I3485" s="5"/>
      <c r="J3485" s="5"/>
      <c r="K3485" s="5" t="s">
        <v>16606</v>
      </c>
    </row>
    <row r="3486" customFormat="false" ht="23.85" hidden="false" customHeight="false" outlineLevel="0" collapsed="false">
      <c r="A3486" s="5" t="s">
        <v>1982</v>
      </c>
      <c r="B3486" s="2" t="s">
        <v>1983</v>
      </c>
      <c r="C3486" s="5" t="s">
        <v>488</v>
      </c>
      <c r="D3486" s="5" t="s">
        <v>62</v>
      </c>
      <c r="E3486" s="5" t="n">
        <v>7</v>
      </c>
      <c r="F3486" s="5" t="s">
        <v>100</v>
      </c>
      <c r="G3486" s="2" t="s">
        <v>367</v>
      </c>
      <c r="H3486" s="5" t="s">
        <v>8332</v>
      </c>
      <c r="I3486" s="5" t="s">
        <v>60</v>
      </c>
      <c r="J3486" s="5" t="s">
        <v>100</v>
      </c>
      <c r="K3486" s="5" t="s">
        <v>1987</v>
      </c>
    </row>
    <row r="3487" customFormat="false" ht="46.25" hidden="false" customHeight="false" outlineLevel="0" collapsed="false">
      <c r="A3487" s="5" t="s">
        <v>16607</v>
      </c>
      <c r="B3487" s="2" t="s">
        <v>16608</v>
      </c>
      <c r="C3487" s="5" t="s">
        <v>2245</v>
      </c>
      <c r="D3487" s="5" t="s">
        <v>62</v>
      </c>
      <c r="E3487" s="5" t="n">
        <v>7</v>
      </c>
      <c r="F3487" s="5" t="s">
        <v>67</v>
      </c>
      <c r="G3487" s="2" t="s">
        <v>12057</v>
      </c>
      <c r="H3487" s="5" t="s">
        <v>8336</v>
      </c>
      <c r="I3487" s="5"/>
      <c r="J3487" s="5"/>
      <c r="K3487" s="5" t="s">
        <v>16609</v>
      </c>
    </row>
    <row r="3488" customFormat="false" ht="23.85" hidden="false" customHeight="false" outlineLevel="0" collapsed="false">
      <c r="A3488" s="5" t="s">
        <v>1988</v>
      </c>
      <c r="B3488" s="2" t="s">
        <v>1989</v>
      </c>
      <c r="C3488" s="5" t="s">
        <v>488</v>
      </c>
      <c r="D3488" s="5" t="s">
        <v>62</v>
      </c>
      <c r="E3488" s="5" t="n">
        <v>5</v>
      </c>
      <c r="F3488" s="5" t="s">
        <v>100</v>
      </c>
      <c r="G3488" s="2" t="s">
        <v>367</v>
      </c>
      <c r="H3488" s="5" t="s">
        <v>8332</v>
      </c>
      <c r="I3488" s="5" t="s">
        <v>60</v>
      </c>
      <c r="J3488" s="5" t="s">
        <v>1104</v>
      </c>
      <c r="K3488" s="5" t="s">
        <v>1992</v>
      </c>
    </row>
    <row r="3489" customFormat="false" ht="46.25" hidden="false" customHeight="false" outlineLevel="0" collapsed="false">
      <c r="A3489" s="5" t="s">
        <v>16610</v>
      </c>
      <c r="B3489" s="2" t="s">
        <v>16611</v>
      </c>
      <c r="C3489" s="5" t="s">
        <v>2245</v>
      </c>
      <c r="D3489" s="5" t="s">
        <v>490</v>
      </c>
      <c r="E3489" s="5" t="n">
        <v>5</v>
      </c>
      <c r="F3489" s="5" t="s">
        <v>413</v>
      </c>
      <c r="G3489" s="2" t="s">
        <v>12057</v>
      </c>
      <c r="H3489" s="5" t="s">
        <v>8336</v>
      </c>
      <c r="I3489" s="5"/>
      <c r="J3489" s="5"/>
      <c r="K3489" s="5" t="s">
        <v>16612</v>
      </c>
    </row>
    <row r="3490" customFormat="false" ht="15" hidden="false" customHeight="false" outlineLevel="0" collapsed="false">
      <c r="A3490" s="5" t="s">
        <v>16613</v>
      </c>
      <c r="B3490" s="2" t="s">
        <v>16614</v>
      </c>
      <c r="C3490" s="5" t="s">
        <v>2128</v>
      </c>
      <c r="D3490" s="5" t="s">
        <v>62</v>
      </c>
      <c r="E3490" s="5" t="n">
        <v>7</v>
      </c>
      <c r="F3490" s="5" t="s">
        <v>90</v>
      </c>
      <c r="G3490" s="2" t="s">
        <v>367</v>
      </c>
      <c r="H3490" s="5" t="s">
        <v>8336</v>
      </c>
      <c r="I3490" s="5"/>
      <c r="J3490" s="5"/>
      <c r="K3490" s="5" t="s">
        <v>16615</v>
      </c>
    </row>
    <row r="3491" customFormat="false" ht="23.85" hidden="false" customHeight="false" outlineLevel="0" collapsed="false">
      <c r="A3491" s="5" t="s">
        <v>16616</v>
      </c>
      <c r="B3491" s="2" t="s">
        <v>16617</v>
      </c>
      <c r="C3491" s="5" t="s">
        <v>2128</v>
      </c>
      <c r="D3491" s="5" t="s">
        <v>62</v>
      </c>
      <c r="E3491" s="5" t="n">
        <v>7</v>
      </c>
      <c r="F3491" s="5" t="s">
        <v>90</v>
      </c>
      <c r="G3491" s="2" t="s">
        <v>367</v>
      </c>
      <c r="H3491" s="5" t="s">
        <v>8336</v>
      </c>
      <c r="I3491" s="5"/>
      <c r="J3491" s="5"/>
      <c r="K3491" s="5" t="s">
        <v>16618</v>
      </c>
    </row>
    <row r="3492" customFormat="false" ht="15" hidden="false" customHeight="false" outlineLevel="0" collapsed="false">
      <c r="A3492" s="5" t="s">
        <v>16619</v>
      </c>
      <c r="B3492" s="2" t="s">
        <v>16620</v>
      </c>
      <c r="C3492" s="5" t="s">
        <v>2128</v>
      </c>
      <c r="D3492" s="5" t="s">
        <v>62</v>
      </c>
      <c r="E3492" s="5" t="n">
        <v>5</v>
      </c>
      <c r="F3492" s="5" t="s">
        <v>277</v>
      </c>
      <c r="G3492" s="2" t="s">
        <v>367</v>
      </c>
      <c r="H3492" s="5" t="s">
        <v>8336</v>
      </c>
      <c r="I3492" s="5"/>
      <c r="J3492" s="5"/>
      <c r="K3492" s="5" t="s">
        <v>16621</v>
      </c>
    </row>
    <row r="3493" customFormat="false" ht="15" hidden="false" customHeight="false" outlineLevel="0" collapsed="false">
      <c r="A3493" s="5" t="s">
        <v>16622</v>
      </c>
      <c r="B3493" s="2" t="s">
        <v>16623</v>
      </c>
      <c r="C3493" s="5" t="s">
        <v>2128</v>
      </c>
      <c r="D3493" s="5" t="s">
        <v>62</v>
      </c>
      <c r="E3493" s="5" t="n">
        <v>5</v>
      </c>
      <c r="F3493" s="5" t="s">
        <v>90</v>
      </c>
      <c r="G3493" s="2" t="s">
        <v>367</v>
      </c>
      <c r="H3493" s="5" t="s">
        <v>8336</v>
      </c>
      <c r="I3493" s="5"/>
      <c r="J3493" s="5"/>
      <c r="K3493" s="5" t="s">
        <v>16624</v>
      </c>
    </row>
    <row r="3494" customFormat="false" ht="15" hidden="false" customHeight="false" outlineLevel="0" collapsed="false">
      <c r="A3494" s="5" t="s">
        <v>16625</v>
      </c>
      <c r="B3494" s="2" t="s">
        <v>16626</v>
      </c>
      <c r="C3494" s="5" t="s">
        <v>2128</v>
      </c>
      <c r="D3494" s="5" t="s">
        <v>62</v>
      </c>
      <c r="E3494" s="5" t="n">
        <v>5</v>
      </c>
      <c r="F3494" s="5" t="s">
        <v>67</v>
      </c>
      <c r="G3494" s="2" t="s">
        <v>367</v>
      </c>
      <c r="H3494" s="5" t="s">
        <v>8336</v>
      </c>
      <c r="I3494" s="5"/>
      <c r="J3494" s="5"/>
      <c r="K3494" s="5" t="s">
        <v>16627</v>
      </c>
    </row>
    <row r="3495" customFormat="false" ht="46.25" hidden="false" customHeight="false" outlineLevel="0" collapsed="false">
      <c r="A3495" s="5" t="s">
        <v>16628</v>
      </c>
      <c r="B3495" s="2" t="s">
        <v>16629</v>
      </c>
      <c r="C3495" s="5" t="s">
        <v>2245</v>
      </c>
      <c r="D3495" s="5" t="s">
        <v>490</v>
      </c>
      <c r="E3495" s="5" t="n">
        <v>7</v>
      </c>
      <c r="F3495" s="5" t="s">
        <v>1814</v>
      </c>
      <c r="G3495" s="2" t="s">
        <v>12057</v>
      </c>
      <c r="H3495" s="5" t="s">
        <v>8336</v>
      </c>
      <c r="I3495" s="5"/>
      <c r="J3495" s="5"/>
      <c r="K3495" s="5" t="s">
        <v>16630</v>
      </c>
    </row>
    <row r="3496" customFormat="false" ht="23.85" hidden="false" customHeight="false" outlineLevel="0" collapsed="false">
      <c r="A3496" s="5" t="s">
        <v>1993</v>
      </c>
      <c r="B3496" s="2" t="s">
        <v>1994</v>
      </c>
      <c r="C3496" s="5" t="s">
        <v>488</v>
      </c>
      <c r="D3496" s="5" t="s">
        <v>62</v>
      </c>
      <c r="E3496" s="5" t="n">
        <v>7</v>
      </c>
      <c r="F3496" s="5" t="s">
        <v>536</v>
      </c>
      <c r="G3496" s="2" t="s">
        <v>367</v>
      </c>
      <c r="H3496" s="5" t="s">
        <v>8332</v>
      </c>
      <c r="I3496" s="5" t="s">
        <v>60</v>
      </c>
      <c r="J3496" s="5"/>
      <c r="K3496" s="5" t="s">
        <v>1998</v>
      </c>
    </row>
    <row r="3497" customFormat="false" ht="23.85" hidden="false" customHeight="false" outlineLevel="0" collapsed="false">
      <c r="A3497" s="5" t="s">
        <v>1999</v>
      </c>
      <c r="B3497" s="2" t="s">
        <v>2000</v>
      </c>
      <c r="C3497" s="5" t="s">
        <v>488</v>
      </c>
      <c r="D3497" s="5" t="s">
        <v>62</v>
      </c>
      <c r="E3497" s="5" t="n">
        <v>7</v>
      </c>
      <c r="F3497" s="5" t="s">
        <v>536</v>
      </c>
      <c r="G3497" s="2" t="s">
        <v>367</v>
      </c>
      <c r="H3497" s="5" t="s">
        <v>8332</v>
      </c>
      <c r="I3497" s="5" t="s">
        <v>60</v>
      </c>
      <c r="J3497" s="5"/>
      <c r="K3497" s="5" t="s">
        <v>2003</v>
      </c>
    </row>
    <row r="3498" customFormat="false" ht="23.85" hidden="false" customHeight="false" outlineLevel="0" collapsed="false">
      <c r="A3498" s="5" t="s">
        <v>16631</v>
      </c>
      <c r="B3498" s="2" t="s">
        <v>16632</v>
      </c>
      <c r="C3498" s="5" t="s">
        <v>2128</v>
      </c>
      <c r="D3498" s="5" t="s">
        <v>62</v>
      </c>
      <c r="E3498" s="5" t="n">
        <v>5</v>
      </c>
      <c r="F3498" s="5" t="s">
        <v>90</v>
      </c>
      <c r="G3498" s="2" t="s">
        <v>367</v>
      </c>
      <c r="H3498" s="5" t="s">
        <v>8336</v>
      </c>
      <c r="I3498" s="5"/>
      <c r="J3498" s="5"/>
      <c r="K3498" s="5" t="s">
        <v>16633</v>
      </c>
    </row>
    <row r="3499" customFormat="false" ht="15" hidden="false" customHeight="false" outlineLevel="0" collapsed="false">
      <c r="A3499" s="5" t="s">
        <v>16634</v>
      </c>
      <c r="B3499" s="2" t="s">
        <v>16635</v>
      </c>
      <c r="C3499" s="5" t="s">
        <v>2128</v>
      </c>
      <c r="D3499" s="5" t="s">
        <v>62</v>
      </c>
      <c r="E3499" s="5" t="n">
        <v>7</v>
      </c>
      <c r="F3499" s="5" t="s">
        <v>8902</v>
      </c>
      <c r="G3499" s="2" t="s">
        <v>367</v>
      </c>
      <c r="H3499" s="5" t="s">
        <v>8336</v>
      </c>
      <c r="I3499" s="5"/>
      <c r="J3499" s="5"/>
      <c r="K3499" s="5" t="s">
        <v>16636</v>
      </c>
    </row>
    <row r="3500" customFormat="false" ht="15" hidden="false" customHeight="false" outlineLevel="0" collapsed="false">
      <c r="A3500" s="5" t="s">
        <v>16637</v>
      </c>
      <c r="B3500" s="2" t="s">
        <v>16638</v>
      </c>
      <c r="C3500" s="5" t="s">
        <v>2128</v>
      </c>
      <c r="D3500" s="5" t="s">
        <v>62</v>
      </c>
      <c r="E3500" s="5" t="n">
        <v>3</v>
      </c>
      <c r="F3500" s="5" t="s">
        <v>277</v>
      </c>
      <c r="G3500" s="2" t="s">
        <v>367</v>
      </c>
      <c r="H3500" s="5" t="s">
        <v>8336</v>
      </c>
      <c r="I3500" s="5"/>
      <c r="J3500" s="5"/>
      <c r="K3500" s="5" t="s">
        <v>16639</v>
      </c>
    </row>
    <row r="3501" customFormat="false" ht="23.85" hidden="false" customHeight="false" outlineLevel="0" collapsed="false">
      <c r="A3501" s="5" t="s">
        <v>16640</v>
      </c>
      <c r="B3501" s="2" t="s">
        <v>16641</v>
      </c>
      <c r="C3501" s="5" t="s">
        <v>2128</v>
      </c>
      <c r="D3501" s="5" t="s">
        <v>62</v>
      </c>
      <c r="E3501" s="5" t="n">
        <v>7</v>
      </c>
      <c r="F3501" s="5" t="s">
        <v>277</v>
      </c>
      <c r="G3501" s="2" t="s">
        <v>367</v>
      </c>
      <c r="H3501" s="5" t="s">
        <v>8336</v>
      </c>
      <c r="I3501" s="5"/>
      <c r="J3501" s="5"/>
      <c r="K3501" s="5" t="s">
        <v>16642</v>
      </c>
    </row>
    <row r="3502" customFormat="false" ht="23.85" hidden="false" customHeight="false" outlineLevel="0" collapsed="false">
      <c r="A3502" s="5" t="s">
        <v>4408</v>
      </c>
      <c r="B3502" s="2" t="s">
        <v>4409</v>
      </c>
      <c r="C3502" s="5" t="s">
        <v>2128</v>
      </c>
      <c r="D3502" s="5" t="s">
        <v>62</v>
      </c>
      <c r="E3502" s="5" t="n">
        <v>7</v>
      </c>
      <c r="F3502" s="5" t="s">
        <v>90</v>
      </c>
      <c r="G3502" s="2" t="s">
        <v>184</v>
      </c>
      <c r="H3502" s="5" t="s">
        <v>8332</v>
      </c>
      <c r="I3502" s="5" t="s">
        <v>60</v>
      </c>
      <c r="J3502" s="5" t="s">
        <v>182</v>
      </c>
      <c r="K3502" s="5" t="s">
        <v>4413</v>
      </c>
    </row>
    <row r="3503" customFormat="false" ht="23.85" hidden="false" customHeight="false" outlineLevel="0" collapsed="false">
      <c r="A3503" s="5" t="s">
        <v>16643</v>
      </c>
      <c r="B3503" s="2" t="s">
        <v>16644</v>
      </c>
      <c r="C3503" s="5" t="s">
        <v>2128</v>
      </c>
      <c r="D3503" s="5" t="s">
        <v>62</v>
      </c>
      <c r="E3503" s="5" t="n">
        <v>5</v>
      </c>
      <c r="F3503" s="5" t="s">
        <v>67</v>
      </c>
      <c r="G3503" s="2" t="s">
        <v>367</v>
      </c>
      <c r="H3503" s="5" t="s">
        <v>8336</v>
      </c>
      <c r="I3503" s="5"/>
      <c r="J3503" s="5"/>
      <c r="K3503" s="5" t="s">
        <v>16645</v>
      </c>
    </row>
    <row r="3504" customFormat="false" ht="46.25" hidden="false" customHeight="false" outlineLevel="0" collapsed="false">
      <c r="A3504" s="5" t="s">
        <v>16646</v>
      </c>
      <c r="B3504" s="2" t="s">
        <v>16647</v>
      </c>
      <c r="C3504" s="5" t="s">
        <v>2245</v>
      </c>
      <c r="D3504" s="5" t="s">
        <v>62</v>
      </c>
      <c r="E3504" s="5" t="n">
        <v>7</v>
      </c>
      <c r="F3504" s="5" t="s">
        <v>90</v>
      </c>
      <c r="G3504" s="2" t="s">
        <v>12057</v>
      </c>
      <c r="H3504" s="5" t="s">
        <v>8336</v>
      </c>
      <c r="I3504" s="5"/>
      <c r="J3504" s="5"/>
      <c r="K3504" s="5" t="s">
        <v>16648</v>
      </c>
    </row>
    <row r="3505" customFormat="false" ht="23.85" hidden="false" customHeight="false" outlineLevel="0" collapsed="false">
      <c r="A3505" s="5" t="s">
        <v>16649</v>
      </c>
      <c r="B3505" s="2" t="s">
        <v>16650</v>
      </c>
      <c r="C3505" s="5" t="s">
        <v>2128</v>
      </c>
      <c r="D3505" s="5" t="s">
        <v>62</v>
      </c>
      <c r="E3505" s="5" t="n">
        <v>7</v>
      </c>
      <c r="F3505" s="5" t="s">
        <v>67</v>
      </c>
      <c r="G3505" s="2" t="s">
        <v>367</v>
      </c>
      <c r="H3505" s="5" t="s">
        <v>8336</v>
      </c>
      <c r="I3505" s="5"/>
      <c r="J3505" s="5"/>
      <c r="K3505" s="5" t="s">
        <v>16651</v>
      </c>
    </row>
    <row r="3506" customFormat="false" ht="23.85" hidden="false" customHeight="false" outlineLevel="0" collapsed="false">
      <c r="A3506" s="5" t="s">
        <v>16652</v>
      </c>
      <c r="B3506" s="2" t="s">
        <v>16653</v>
      </c>
      <c r="C3506" s="5" t="s">
        <v>2128</v>
      </c>
      <c r="D3506" s="5" t="s">
        <v>62</v>
      </c>
      <c r="E3506" s="5" t="n">
        <v>7</v>
      </c>
      <c r="F3506" s="5" t="s">
        <v>90</v>
      </c>
      <c r="G3506" s="2" t="s">
        <v>367</v>
      </c>
      <c r="H3506" s="5" t="s">
        <v>8336</v>
      </c>
      <c r="I3506" s="5"/>
      <c r="J3506" s="5"/>
      <c r="K3506" s="5" t="s">
        <v>16654</v>
      </c>
    </row>
    <row r="3507" customFormat="false" ht="23.85" hidden="false" customHeight="false" outlineLevel="0" collapsed="false">
      <c r="A3507" s="5" t="s">
        <v>16655</v>
      </c>
      <c r="B3507" s="2" t="s">
        <v>16656</v>
      </c>
      <c r="C3507" s="5" t="s">
        <v>2128</v>
      </c>
      <c r="D3507" s="5" t="s">
        <v>62</v>
      </c>
      <c r="E3507" s="5" t="n">
        <v>5</v>
      </c>
      <c r="F3507" s="5" t="s">
        <v>90</v>
      </c>
      <c r="G3507" s="2" t="s">
        <v>367</v>
      </c>
      <c r="H3507" s="5" t="s">
        <v>8336</v>
      </c>
      <c r="I3507" s="5"/>
      <c r="J3507" s="5"/>
      <c r="K3507" s="5" t="s">
        <v>16657</v>
      </c>
    </row>
    <row r="3508" customFormat="false" ht="23.85" hidden="false" customHeight="false" outlineLevel="0" collapsed="false">
      <c r="A3508" s="5" t="s">
        <v>16658</v>
      </c>
      <c r="B3508" s="2" t="s">
        <v>16659</v>
      </c>
      <c r="C3508" s="5" t="s">
        <v>2128</v>
      </c>
      <c r="D3508" s="5" t="s">
        <v>62</v>
      </c>
      <c r="E3508" s="5" t="n">
        <v>7</v>
      </c>
      <c r="F3508" s="5" t="s">
        <v>67</v>
      </c>
      <c r="G3508" s="2" t="s">
        <v>367</v>
      </c>
      <c r="H3508" s="5" t="s">
        <v>8336</v>
      </c>
      <c r="I3508" s="5"/>
      <c r="J3508" s="5"/>
      <c r="K3508" s="5" t="s">
        <v>16660</v>
      </c>
    </row>
    <row r="3509" customFormat="false" ht="15" hidden="false" customHeight="false" outlineLevel="0" collapsed="false">
      <c r="A3509" s="5" t="s">
        <v>16661</v>
      </c>
      <c r="B3509" s="2" t="s">
        <v>16662</v>
      </c>
      <c r="C3509" s="5" t="s">
        <v>2128</v>
      </c>
      <c r="D3509" s="5" t="s">
        <v>62</v>
      </c>
      <c r="E3509" s="5" t="n">
        <v>7</v>
      </c>
      <c r="F3509" s="5" t="s">
        <v>67</v>
      </c>
      <c r="G3509" s="2" t="s">
        <v>367</v>
      </c>
      <c r="H3509" s="5" t="s">
        <v>8336</v>
      </c>
      <c r="I3509" s="5"/>
      <c r="J3509" s="5"/>
      <c r="K3509" s="5" t="s">
        <v>16663</v>
      </c>
    </row>
    <row r="3510" customFormat="false" ht="46.25" hidden="false" customHeight="false" outlineLevel="0" collapsed="false">
      <c r="A3510" s="5" t="s">
        <v>16664</v>
      </c>
      <c r="B3510" s="2" t="s">
        <v>16665</v>
      </c>
      <c r="C3510" s="5" t="s">
        <v>2245</v>
      </c>
      <c r="D3510" s="5" t="s">
        <v>62</v>
      </c>
      <c r="E3510" s="5" t="n">
        <v>5</v>
      </c>
      <c r="F3510" s="5" t="s">
        <v>90</v>
      </c>
      <c r="G3510" s="2" t="s">
        <v>12057</v>
      </c>
      <c r="H3510" s="5" t="s">
        <v>8336</v>
      </c>
      <c r="I3510" s="5"/>
      <c r="J3510" s="5"/>
      <c r="K3510" s="5" t="s">
        <v>16666</v>
      </c>
    </row>
    <row r="3511" customFormat="false" ht="23.85" hidden="false" customHeight="false" outlineLevel="0" collapsed="false">
      <c r="A3511" s="5" t="s">
        <v>16667</v>
      </c>
      <c r="B3511" s="2" t="s">
        <v>16668</v>
      </c>
      <c r="C3511" s="5" t="s">
        <v>2128</v>
      </c>
      <c r="D3511" s="5" t="s">
        <v>62</v>
      </c>
      <c r="E3511" s="5" t="n">
        <v>5</v>
      </c>
      <c r="F3511" s="5" t="s">
        <v>90</v>
      </c>
      <c r="G3511" s="2" t="s">
        <v>367</v>
      </c>
      <c r="H3511" s="5" t="s">
        <v>8336</v>
      </c>
      <c r="I3511" s="5"/>
      <c r="J3511" s="5"/>
      <c r="K3511" s="5" t="s">
        <v>16669</v>
      </c>
    </row>
    <row r="3512" customFormat="false" ht="15" hidden="false" customHeight="false" outlineLevel="0" collapsed="false">
      <c r="A3512" s="5" t="s">
        <v>16670</v>
      </c>
      <c r="B3512" s="2" t="s">
        <v>16671</v>
      </c>
      <c r="C3512" s="5" t="s">
        <v>2128</v>
      </c>
      <c r="D3512" s="5" t="s">
        <v>62</v>
      </c>
      <c r="E3512" s="5" t="n">
        <v>5</v>
      </c>
      <c r="F3512" s="5" t="s">
        <v>413</v>
      </c>
      <c r="G3512" s="2" t="s">
        <v>367</v>
      </c>
      <c r="H3512" s="5" t="s">
        <v>8336</v>
      </c>
      <c r="I3512" s="5"/>
      <c r="J3512" s="5"/>
      <c r="K3512" s="5" t="s">
        <v>16672</v>
      </c>
    </row>
    <row r="3513" customFormat="false" ht="23.85" hidden="false" customHeight="false" outlineLevel="0" collapsed="false">
      <c r="A3513" s="5" t="s">
        <v>16673</v>
      </c>
      <c r="B3513" s="2" t="s">
        <v>16674</v>
      </c>
      <c r="C3513" s="5" t="s">
        <v>2128</v>
      </c>
      <c r="D3513" s="5" t="s">
        <v>62</v>
      </c>
      <c r="E3513" s="5" t="n">
        <v>5</v>
      </c>
      <c r="F3513" s="5" t="s">
        <v>90</v>
      </c>
      <c r="G3513" s="2" t="s">
        <v>367</v>
      </c>
      <c r="H3513" s="5" t="s">
        <v>8336</v>
      </c>
      <c r="I3513" s="5"/>
      <c r="J3513" s="5"/>
      <c r="K3513" s="5" t="s">
        <v>16675</v>
      </c>
    </row>
    <row r="3514" customFormat="false" ht="46.25" hidden="false" customHeight="false" outlineLevel="0" collapsed="false">
      <c r="A3514" s="5" t="s">
        <v>16676</v>
      </c>
      <c r="B3514" s="2" t="s">
        <v>16677</v>
      </c>
      <c r="C3514" s="5" t="s">
        <v>2245</v>
      </c>
      <c r="D3514" s="5" t="s">
        <v>62</v>
      </c>
      <c r="E3514" s="5" t="n">
        <v>5</v>
      </c>
      <c r="F3514" s="5" t="s">
        <v>67</v>
      </c>
      <c r="G3514" s="2" t="s">
        <v>12054</v>
      </c>
      <c r="H3514" s="5" t="s">
        <v>8336</v>
      </c>
      <c r="I3514" s="5"/>
      <c r="J3514" s="5"/>
      <c r="K3514" s="5" t="s">
        <v>16678</v>
      </c>
    </row>
    <row r="3515" customFormat="false" ht="23.85" hidden="false" customHeight="false" outlineLevel="0" collapsed="false">
      <c r="A3515" s="5" t="s">
        <v>16679</v>
      </c>
      <c r="B3515" s="2" t="s">
        <v>16680</v>
      </c>
      <c r="C3515" s="5" t="s">
        <v>2128</v>
      </c>
      <c r="D3515" s="5" t="s">
        <v>62</v>
      </c>
      <c r="E3515" s="5" t="n">
        <v>5</v>
      </c>
      <c r="F3515" s="5" t="s">
        <v>67</v>
      </c>
      <c r="G3515" s="2" t="s">
        <v>367</v>
      </c>
      <c r="H3515" s="5" t="s">
        <v>8336</v>
      </c>
      <c r="I3515" s="5"/>
      <c r="J3515" s="5"/>
      <c r="K3515" s="5" t="s">
        <v>16681</v>
      </c>
    </row>
    <row r="3516" customFormat="false" ht="15" hidden="false" customHeight="false" outlineLevel="0" collapsed="false">
      <c r="A3516" s="5" t="s">
        <v>16682</v>
      </c>
      <c r="B3516" s="2" t="s">
        <v>16683</v>
      </c>
      <c r="C3516" s="5" t="s">
        <v>2128</v>
      </c>
      <c r="D3516" s="5" t="s">
        <v>62</v>
      </c>
      <c r="E3516" s="5" t="n">
        <v>5</v>
      </c>
      <c r="F3516" s="5" t="s">
        <v>67</v>
      </c>
      <c r="G3516" s="2" t="s">
        <v>367</v>
      </c>
      <c r="H3516" s="5" t="s">
        <v>8336</v>
      </c>
      <c r="I3516" s="5"/>
      <c r="J3516" s="5"/>
      <c r="K3516" s="5" t="s">
        <v>16684</v>
      </c>
    </row>
    <row r="3517" customFormat="false" ht="46.25" hidden="false" customHeight="false" outlineLevel="0" collapsed="false">
      <c r="A3517" s="5" t="s">
        <v>16685</v>
      </c>
      <c r="B3517" s="2" t="s">
        <v>16686</v>
      </c>
      <c r="C3517" s="5" t="s">
        <v>2245</v>
      </c>
      <c r="D3517" s="5" t="s">
        <v>62</v>
      </c>
      <c r="E3517" s="5" t="n">
        <v>5</v>
      </c>
      <c r="F3517" s="5" t="s">
        <v>90</v>
      </c>
      <c r="G3517" s="2" t="s">
        <v>12054</v>
      </c>
      <c r="H3517" s="5" t="s">
        <v>8336</v>
      </c>
      <c r="I3517" s="5"/>
      <c r="J3517" s="5"/>
      <c r="K3517" s="5" t="s">
        <v>16687</v>
      </c>
    </row>
    <row r="3518" customFormat="false" ht="23.85" hidden="false" customHeight="false" outlineLevel="0" collapsed="false">
      <c r="A3518" s="5" t="s">
        <v>16688</v>
      </c>
      <c r="B3518" s="2" t="s">
        <v>16689</v>
      </c>
      <c r="C3518" s="5" t="s">
        <v>2128</v>
      </c>
      <c r="D3518" s="5" t="s">
        <v>62</v>
      </c>
      <c r="E3518" s="5" t="n">
        <v>5</v>
      </c>
      <c r="F3518" s="5" t="s">
        <v>90</v>
      </c>
      <c r="G3518" s="2" t="s">
        <v>367</v>
      </c>
      <c r="H3518" s="5" t="s">
        <v>8336</v>
      </c>
      <c r="I3518" s="5"/>
      <c r="J3518" s="5"/>
      <c r="K3518" s="5" t="s">
        <v>16690</v>
      </c>
    </row>
    <row r="3519" customFormat="false" ht="46.25" hidden="false" customHeight="false" outlineLevel="0" collapsed="false">
      <c r="A3519" s="5" t="s">
        <v>16691</v>
      </c>
      <c r="B3519" s="2" t="s">
        <v>16692</v>
      </c>
      <c r="C3519" s="5" t="s">
        <v>2245</v>
      </c>
      <c r="D3519" s="5" t="s">
        <v>62</v>
      </c>
      <c r="E3519" s="5" t="n">
        <v>5</v>
      </c>
      <c r="F3519" s="5" t="s">
        <v>90</v>
      </c>
      <c r="G3519" s="2" t="s">
        <v>12054</v>
      </c>
      <c r="H3519" s="5" t="s">
        <v>8336</v>
      </c>
      <c r="I3519" s="5"/>
      <c r="J3519" s="5"/>
      <c r="K3519" s="5" t="s">
        <v>16693</v>
      </c>
    </row>
    <row r="3520" customFormat="false" ht="23.85" hidden="false" customHeight="false" outlineLevel="0" collapsed="false">
      <c r="A3520" s="5" t="s">
        <v>16694</v>
      </c>
      <c r="B3520" s="2" t="s">
        <v>16695</v>
      </c>
      <c r="C3520" s="5" t="s">
        <v>2128</v>
      </c>
      <c r="D3520" s="5" t="s">
        <v>62</v>
      </c>
      <c r="E3520" s="5" t="n">
        <v>5</v>
      </c>
      <c r="F3520" s="5" t="s">
        <v>90</v>
      </c>
      <c r="G3520" s="2" t="s">
        <v>367</v>
      </c>
      <c r="H3520" s="5" t="s">
        <v>8336</v>
      </c>
      <c r="I3520" s="5"/>
      <c r="J3520" s="5"/>
      <c r="K3520" s="5" t="s">
        <v>16696</v>
      </c>
    </row>
    <row r="3521" customFormat="false" ht="15" hidden="false" customHeight="false" outlineLevel="0" collapsed="false">
      <c r="A3521" s="5" t="s">
        <v>16697</v>
      </c>
      <c r="B3521" s="2" t="s">
        <v>16698</v>
      </c>
      <c r="C3521" s="5" t="s">
        <v>2128</v>
      </c>
      <c r="D3521" s="5" t="s">
        <v>62</v>
      </c>
      <c r="E3521" s="5" t="n">
        <v>5</v>
      </c>
      <c r="F3521" s="5" t="s">
        <v>90</v>
      </c>
      <c r="G3521" s="2" t="s">
        <v>367</v>
      </c>
      <c r="H3521" s="5" t="s">
        <v>8336</v>
      </c>
      <c r="I3521" s="5"/>
      <c r="J3521" s="5"/>
      <c r="K3521" s="5" t="s">
        <v>16699</v>
      </c>
    </row>
    <row r="3522" customFormat="false" ht="23.85" hidden="false" customHeight="false" outlineLevel="0" collapsed="false">
      <c r="A3522" s="5" t="s">
        <v>16700</v>
      </c>
      <c r="B3522" s="2" t="s">
        <v>16701</v>
      </c>
      <c r="C3522" s="5" t="s">
        <v>2128</v>
      </c>
      <c r="D3522" s="5" t="s">
        <v>62</v>
      </c>
      <c r="E3522" s="5" t="n">
        <v>7</v>
      </c>
      <c r="F3522" s="5" t="s">
        <v>67</v>
      </c>
      <c r="G3522" s="2" t="s">
        <v>367</v>
      </c>
      <c r="H3522" s="5" t="s">
        <v>8336</v>
      </c>
      <c r="I3522" s="5"/>
      <c r="J3522" s="5"/>
      <c r="K3522" s="5" t="s">
        <v>16702</v>
      </c>
    </row>
    <row r="3523" customFormat="false" ht="23.85" hidden="false" customHeight="false" outlineLevel="0" collapsed="false">
      <c r="A3523" s="5" t="s">
        <v>16703</v>
      </c>
      <c r="B3523" s="2" t="s">
        <v>16704</v>
      </c>
      <c r="C3523" s="5" t="s">
        <v>2128</v>
      </c>
      <c r="D3523" s="5" t="s">
        <v>62</v>
      </c>
      <c r="E3523" s="5" t="n">
        <v>5</v>
      </c>
      <c r="F3523" s="5" t="s">
        <v>90</v>
      </c>
      <c r="G3523" s="2" t="s">
        <v>1513</v>
      </c>
      <c r="H3523" s="5" t="s">
        <v>8336</v>
      </c>
      <c r="I3523" s="5"/>
      <c r="J3523" s="5"/>
      <c r="K3523" s="5" t="s">
        <v>16705</v>
      </c>
    </row>
    <row r="3524" customFormat="false" ht="23.85" hidden="false" customHeight="false" outlineLevel="0" collapsed="false">
      <c r="A3524" s="5" t="s">
        <v>4414</v>
      </c>
      <c r="B3524" s="2" t="s">
        <v>4415</v>
      </c>
      <c r="C3524" s="5" t="s">
        <v>2128</v>
      </c>
      <c r="D3524" s="5" t="s">
        <v>62</v>
      </c>
      <c r="E3524" s="5" t="n">
        <v>9</v>
      </c>
      <c r="F3524" s="5" t="s">
        <v>277</v>
      </c>
      <c r="G3524" s="2" t="s">
        <v>184</v>
      </c>
      <c r="H3524" s="5" t="s">
        <v>8332</v>
      </c>
      <c r="I3524" s="5" t="s">
        <v>60</v>
      </c>
      <c r="J3524" s="5" t="s">
        <v>269</v>
      </c>
      <c r="K3524" s="5" t="s">
        <v>4418</v>
      </c>
    </row>
    <row r="3525" customFormat="false" ht="23.85" hidden="false" customHeight="false" outlineLevel="0" collapsed="false">
      <c r="A3525" s="5" t="s">
        <v>4419</v>
      </c>
      <c r="B3525" s="2" t="s">
        <v>4420</v>
      </c>
      <c r="C3525" s="5" t="s">
        <v>2128</v>
      </c>
      <c r="D3525" s="5" t="s">
        <v>62</v>
      </c>
      <c r="E3525" s="5" t="n">
        <v>7</v>
      </c>
      <c r="F3525" s="5" t="s">
        <v>90</v>
      </c>
      <c r="G3525" s="2" t="s">
        <v>184</v>
      </c>
      <c r="H3525" s="5" t="s">
        <v>8332</v>
      </c>
      <c r="I3525" s="5" t="s">
        <v>60</v>
      </c>
      <c r="J3525" s="5" t="s">
        <v>269</v>
      </c>
      <c r="K3525" s="5" t="s">
        <v>4425</v>
      </c>
    </row>
    <row r="3526" customFormat="false" ht="15" hidden="false" customHeight="false" outlineLevel="0" collapsed="false">
      <c r="A3526" s="5" t="s">
        <v>16706</v>
      </c>
      <c r="B3526" s="2" t="s">
        <v>16707</v>
      </c>
      <c r="C3526" s="5" t="s">
        <v>2128</v>
      </c>
      <c r="D3526" s="5" t="s">
        <v>62</v>
      </c>
      <c r="E3526" s="5" t="n">
        <v>7</v>
      </c>
      <c r="F3526" s="5" t="s">
        <v>90</v>
      </c>
      <c r="G3526" s="2" t="s">
        <v>367</v>
      </c>
      <c r="H3526" s="5" t="s">
        <v>8336</v>
      </c>
      <c r="I3526" s="5"/>
      <c r="J3526" s="5"/>
      <c r="K3526" s="5" t="s">
        <v>16708</v>
      </c>
    </row>
    <row r="3527" customFormat="false" ht="46.25" hidden="false" customHeight="false" outlineLevel="0" collapsed="false">
      <c r="A3527" s="5" t="s">
        <v>16709</v>
      </c>
      <c r="B3527" s="2" t="s">
        <v>16710</v>
      </c>
      <c r="C3527" s="5" t="s">
        <v>2245</v>
      </c>
      <c r="D3527" s="5" t="s">
        <v>62</v>
      </c>
      <c r="E3527" s="5" t="n">
        <v>7</v>
      </c>
      <c r="F3527" s="5" t="s">
        <v>90</v>
      </c>
      <c r="G3527" s="2" t="s">
        <v>12057</v>
      </c>
      <c r="H3527" s="5" t="s">
        <v>8336</v>
      </c>
      <c r="I3527" s="5"/>
      <c r="J3527" s="5"/>
      <c r="K3527" s="5" t="s">
        <v>16711</v>
      </c>
    </row>
    <row r="3528" customFormat="false" ht="23.85" hidden="false" customHeight="false" outlineLevel="0" collapsed="false">
      <c r="A3528" s="5" t="s">
        <v>4426</v>
      </c>
      <c r="B3528" s="2" t="s">
        <v>4427</v>
      </c>
      <c r="C3528" s="5" t="s">
        <v>2128</v>
      </c>
      <c r="D3528" s="5" t="s">
        <v>62</v>
      </c>
      <c r="E3528" s="5" t="n">
        <v>7</v>
      </c>
      <c r="F3528" s="5" t="s">
        <v>67</v>
      </c>
      <c r="G3528" s="2" t="s">
        <v>184</v>
      </c>
      <c r="H3528" s="5" t="s">
        <v>8332</v>
      </c>
      <c r="I3528" s="5" t="s">
        <v>60</v>
      </c>
      <c r="J3528" s="5" t="s">
        <v>269</v>
      </c>
      <c r="K3528" s="5" t="s">
        <v>4433</v>
      </c>
    </row>
    <row r="3529" customFormat="false" ht="15" hidden="false" customHeight="false" outlineLevel="0" collapsed="false">
      <c r="A3529" s="5" t="s">
        <v>16712</v>
      </c>
      <c r="B3529" s="2" t="s">
        <v>16713</v>
      </c>
      <c r="C3529" s="5" t="s">
        <v>2128</v>
      </c>
      <c r="D3529" s="5" t="s">
        <v>62</v>
      </c>
      <c r="E3529" s="5" t="n">
        <v>5</v>
      </c>
      <c r="F3529" s="5" t="s">
        <v>90</v>
      </c>
      <c r="G3529" s="2" t="s">
        <v>367</v>
      </c>
      <c r="H3529" s="5" t="s">
        <v>8336</v>
      </c>
      <c r="I3529" s="5"/>
      <c r="J3529" s="5"/>
      <c r="K3529" s="5" t="s">
        <v>16714</v>
      </c>
    </row>
    <row r="3530" customFormat="false" ht="15" hidden="false" customHeight="false" outlineLevel="0" collapsed="false">
      <c r="A3530" s="5" t="s">
        <v>16715</v>
      </c>
      <c r="B3530" s="2" t="s">
        <v>16716</v>
      </c>
      <c r="C3530" s="5" t="s">
        <v>2128</v>
      </c>
      <c r="D3530" s="5" t="s">
        <v>62</v>
      </c>
      <c r="E3530" s="5" t="n">
        <v>5</v>
      </c>
      <c r="F3530" s="5" t="s">
        <v>67</v>
      </c>
      <c r="G3530" s="2" t="s">
        <v>367</v>
      </c>
      <c r="H3530" s="5" t="s">
        <v>8336</v>
      </c>
      <c r="I3530" s="5"/>
      <c r="J3530" s="5"/>
      <c r="K3530" s="5" t="s">
        <v>16717</v>
      </c>
    </row>
    <row r="3531" customFormat="false" ht="23.85" hidden="false" customHeight="false" outlineLevel="0" collapsed="false">
      <c r="A3531" s="5" t="s">
        <v>16718</v>
      </c>
      <c r="B3531" s="2" t="s">
        <v>16719</v>
      </c>
      <c r="C3531" s="5" t="s">
        <v>2128</v>
      </c>
      <c r="D3531" s="5" t="s">
        <v>62</v>
      </c>
      <c r="E3531" s="5" t="n">
        <v>7</v>
      </c>
      <c r="F3531" s="5" t="s">
        <v>277</v>
      </c>
      <c r="G3531" s="2" t="s">
        <v>367</v>
      </c>
      <c r="H3531" s="5" t="s">
        <v>8336</v>
      </c>
      <c r="I3531" s="5"/>
      <c r="J3531" s="5"/>
      <c r="K3531" s="5" t="s">
        <v>16720</v>
      </c>
    </row>
    <row r="3532" customFormat="false" ht="46.25" hidden="false" customHeight="false" outlineLevel="0" collapsed="false">
      <c r="A3532" s="5" t="s">
        <v>16721</v>
      </c>
      <c r="B3532" s="2" t="s">
        <v>16722</v>
      </c>
      <c r="C3532" s="5" t="s">
        <v>2245</v>
      </c>
      <c r="D3532" s="5" t="s">
        <v>62</v>
      </c>
      <c r="E3532" s="5" t="n">
        <v>7</v>
      </c>
      <c r="F3532" s="5" t="s">
        <v>90</v>
      </c>
      <c r="G3532" s="2" t="s">
        <v>12057</v>
      </c>
      <c r="H3532" s="5" t="s">
        <v>8336</v>
      </c>
      <c r="I3532" s="5"/>
      <c r="J3532" s="5"/>
      <c r="K3532" s="5" t="s">
        <v>16723</v>
      </c>
    </row>
    <row r="3533" customFormat="false" ht="15" hidden="false" customHeight="false" outlineLevel="0" collapsed="false">
      <c r="A3533" s="5" t="s">
        <v>16724</v>
      </c>
      <c r="B3533" s="2" t="s">
        <v>16725</v>
      </c>
      <c r="C3533" s="5" t="s">
        <v>2128</v>
      </c>
      <c r="D3533" s="5" t="s">
        <v>62</v>
      </c>
      <c r="E3533" s="5" t="n">
        <v>7</v>
      </c>
      <c r="F3533" s="5" t="s">
        <v>67</v>
      </c>
      <c r="G3533" s="2" t="s">
        <v>367</v>
      </c>
      <c r="H3533" s="5" t="s">
        <v>8336</v>
      </c>
      <c r="I3533" s="5"/>
      <c r="J3533" s="5"/>
      <c r="K3533" s="5" t="s">
        <v>16726</v>
      </c>
    </row>
    <row r="3534" customFormat="false" ht="46.25" hidden="false" customHeight="false" outlineLevel="0" collapsed="false">
      <c r="A3534" s="5" t="s">
        <v>16727</v>
      </c>
      <c r="B3534" s="2" t="s">
        <v>16728</v>
      </c>
      <c r="C3534" s="5" t="s">
        <v>2245</v>
      </c>
      <c r="D3534" s="5" t="s">
        <v>62</v>
      </c>
      <c r="E3534" s="5" t="n">
        <v>5</v>
      </c>
      <c r="F3534" s="5" t="s">
        <v>90</v>
      </c>
      <c r="G3534" s="2" t="s">
        <v>12057</v>
      </c>
      <c r="H3534" s="5" t="s">
        <v>8336</v>
      </c>
      <c r="I3534" s="5"/>
      <c r="J3534" s="5"/>
      <c r="K3534" s="5" t="s">
        <v>16729</v>
      </c>
    </row>
    <row r="3535" customFormat="false" ht="15" hidden="false" customHeight="false" outlineLevel="0" collapsed="false">
      <c r="A3535" s="5" t="s">
        <v>16730</v>
      </c>
      <c r="B3535" s="2" t="s">
        <v>16731</v>
      </c>
      <c r="C3535" s="5" t="s">
        <v>2128</v>
      </c>
      <c r="D3535" s="5" t="s">
        <v>62</v>
      </c>
      <c r="E3535" s="5" t="n">
        <v>5</v>
      </c>
      <c r="F3535" s="5" t="s">
        <v>90</v>
      </c>
      <c r="G3535" s="2" t="s">
        <v>367</v>
      </c>
      <c r="H3535" s="5" t="s">
        <v>8336</v>
      </c>
      <c r="I3535" s="5"/>
      <c r="J3535" s="5"/>
      <c r="K3535" s="5" t="s">
        <v>16732</v>
      </c>
    </row>
    <row r="3536" customFormat="false" ht="46.25" hidden="false" customHeight="false" outlineLevel="0" collapsed="false">
      <c r="A3536" s="5" t="s">
        <v>16733</v>
      </c>
      <c r="B3536" s="2" t="s">
        <v>16734</v>
      </c>
      <c r="C3536" s="5" t="s">
        <v>2245</v>
      </c>
      <c r="D3536" s="5" t="s">
        <v>62</v>
      </c>
      <c r="E3536" s="5" t="n">
        <v>7</v>
      </c>
      <c r="F3536" s="5" t="s">
        <v>67</v>
      </c>
      <c r="G3536" s="2" t="s">
        <v>12057</v>
      </c>
      <c r="H3536" s="5" t="s">
        <v>8336</v>
      </c>
      <c r="I3536" s="5"/>
      <c r="J3536" s="5"/>
      <c r="K3536" s="5" t="s">
        <v>16735</v>
      </c>
    </row>
    <row r="3537" customFormat="false" ht="46.25" hidden="false" customHeight="false" outlineLevel="0" collapsed="false">
      <c r="A3537" s="5" t="s">
        <v>16736</v>
      </c>
      <c r="B3537" s="2" t="s">
        <v>16737</v>
      </c>
      <c r="C3537" s="5" t="s">
        <v>2245</v>
      </c>
      <c r="D3537" s="5" t="s">
        <v>62</v>
      </c>
      <c r="E3537" s="5" t="n">
        <v>5</v>
      </c>
      <c r="F3537" s="5" t="s">
        <v>277</v>
      </c>
      <c r="G3537" s="2" t="s">
        <v>12057</v>
      </c>
      <c r="H3537" s="5" t="s">
        <v>8336</v>
      </c>
      <c r="I3537" s="5"/>
      <c r="J3537" s="5"/>
      <c r="K3537" s="5" t="s">
        <v>16738</v>
      </c>
    </row>
    <row r="3538" customFormat="false" ht="15" hidden="false" customHeight="false" outlineLevel="0" collapsed="false">
      <c r="A3538" s="5" t="s">
        <v>16739</v>
      </c>
      <c r="B3538" s="2" t="s">
        <v>16740</v>
      </c>
      <c r="C3538" s="5" t="s">
        <v>2128</v>
      </c>
      <c r="D3538" s="5" t="s">
        <v>62</v>
      </c>
      <c r="E3538" s="5" t="n">
        <v>7</v>
      </c>
      <c r="F3538" s="5" t="s">
        <v>90</v>
      </c>
      <c r="G3538" s="2" t="s">
        <v>367</v>
      </c>
      <c r="H3538" s="5" t="s">
        <v>8336</v>
      </c>
      <c r="I3538" s="5"/>
      <c r="J3538" s="5"/>
      <c r="K3538" s="5" t="s">
        <v>16741</v>
      </c>
    </row>
    <row r="3539" customFormat="false" ht="23.85" hidden="false" customHeight="false" outlineLevel="0" collapsed="false">
      <c r="A3539" s="5" t="s">
        <v>4434</v>
      </c>
      <c r="B3539" s="2" t="s">
        <v>4435</v>
      </c>
      <c r="C3539" s="5" t="s">
        <v>2128</v>
      </c>
      <c r="D3539" s="5" t="s">
        <v>62</v>
      </c>
      <c r="E3539" s="5" t="n">
        <v>10</v>
      </c>
      <c r="F3539" s="5" t="s">
        <v>67</v>
      </c>
      <c r="G3539" s="2" t="s">
        <v>184</v>
      </c>
      <c r="H3539" s="5" t="s">
        <v>8332</v>
      </c>
      <c r="I3539" s="5" t="s">
        <v>60</v>
      </c>
      <c r="J3539" s="5" t="s">
        <v>269</v>
      </c>
      <c r="K3539" s="5" t="s">
        <v>4438</v>
      </c>
    </row>
    <row r="3540" customFormat="false" ht="46.25" hidden="false" customHeight="false" outlineLevel="0" collapsed="false">
      <c r="A3540" s="5" t="s">
        <v>16742</v>
      </c>
      <c r="B3540" s="2" t="s">
        <v>16743</v>
      </c>
      <c r="C3540" s="5" t="s">
        <v>2245</v>
      </c>
      <c r="D3540" s="5" t="s">
        <v>490</v>
      </c>
      <c r="E3540" s="5" t="n">
        <v>3</v>
      </c>
      <c r="F3540" s="5" t="s">
        <v>277</v>
      </c>
      <c r="G3540" s="2" t="s">
        <v>12057</v>
      </c>
      <c r="H3540" s="5" t="s">
        <v>8336</v>
      </c>
      <c r="I3540" s="5"/>
      <c r="J3540" s="5"/>
      <c r="K3540" s="5" t="s">
        <v>16744</v>
      </c>
    </row>
    <row r="3541" customFormat="false" ht="46.25" hidden="false" customHeight="false" outlineLevel="0" collapsed="false">
      <c r="A3541" s="5" t="s">
        <v>16745</v>
      </c>
      <c r="B3541" s="2" t="s">
        <v>16746</v>
      </c>
      <c r="C3541" s="5" t="s">
        <v>2245</v>
      </c>
      <c r="D3541" s="5" t="s">
        <v>490</v>
      </c>
      <c r="E3541" s="5" t="n">
        <v>5</v>
      </c>
      <c r="F3541" s="5" t="s">
        <v>90</v>
      </c>
      <c r="G3541" s="2" t="s">
        <v>12057</v>
      </c>
      <c r="H3541" s="5" t="s">
        <v>8336</v>
      </c>
      <c r="I3541" s="5"/>
      <c r="J3541" s="5"/>
      <c r="K3541" s="5" t="s">
        <v>16747</v>
      </c>
    </row>
    <row r="3542" customFormat="false" ht="23.85" hidden="false" customHeight="false" outlineLevel="0" collapsed="false">
      <c r="A3542" s="5" t="s">
        <v>16748</v>
      </c>
      <c r="B3542" s="2" t="s">
        <v>16749</v>
      </c>
      <c r="C3542" s="5" t="s">
        <v>2128</v>
      </c>
      <c r="D3542" s="5" t="s">
        <v>62</v>
      </c>
      <c r="E3542" s="5" t="n">
        <v>3</v>
      </c>
      <c r="F3542" s="5" t="s">
        <v>277</v>
      </c>
      <c r="G3542" s="2" t="s">
        <v>367</v>
      </c>
      <c r="H3542" s="5" t="s">
        <v>8336</v>
      </c>
      <c r="I3542" s="5"/>
      <c r="J3542" s="5"/>
      <c r="K3542" s="5" t="s">
        <v>16750</v>
      </c>
    </row>
    <row r="3543" customFormat="false" ht="46.25" hidden="false" customHeight="false" outlineLevel="0" collapsed="false">
      <c r="A3543" s="5" t="s">
        <v>16751</v>
      </c>
      <c r="B3543" s="2" t="s">
        <v>16752</v>
      </c>
      <c r="C3543" s="5" t="s">
        <v>2245</v>
      </c>
      <c r="D3543" s="5" t="s">
        <v>490</v>
      </c>
      <c r="E3543" s="5" t="n">
        <v>7</v>
      </c>
      <c r="F3543" s="5" t="s">
        <v>536</v>
      </c>
      <c r="G3543" s="2" t="s">
        <v>12057</v>
      </c>
      <c r="H3543" s="5" t="s">
        <v>8336</v>
      </c>
      <c r="I3543" s="5"/>
      <c r="J3543" s="5"/>
      <c r="K3543" s="5" t="s">
        <v>16753</v>
      </c>
    </row>
    <row r="3544" customFormat="false" ht="23.85" hidden="false" customHeight="false" outlineLevel="0" collapsed="false">
      <c r="A3544" s="5" t="s">
        <v>4439</v>
      </c>
      <c r="B3544" s="2" t="s">
        <v>4440</v>
      </c>
      <c r="C3544" s="5" t="s">
        <v>2128</v>
      </c>
      <c r="D3544" s="5" t="s">
        <v>62</v>
      </c>
      <c r="E3544" s="5" t="n">
        <v>7</v>
      </c>
      <c r="F3544" s="5" t="s">
        <v>413</v>
      </c>
      <c r="G3544" s="2" t="s">
        <v>184</v>
      </c>
      <c r="H3544" s="5" t="s">
        <v>8332</v>
      </c>
      <c r="I3544" s="5" t="s">
        <v>60</v>
      </c>
      <c r="J3544" s="5" t="s">
        <v>269</v>
      </c>
      <c r="K3544" s="5" t="s">
        <v>4443</v>
      </c>
    </row>
    <row r="3545" customFormat="false" ht="23.85" hidden="false" customHeight="false" outlineLevel="0" collapsed="false">
      <c r="A3545" s="5" t="s">
        <v>16754</v>
      </c>
      <c r="B3545" s="2" t="s">
        <v>16755</v>
      </c>
      <c r="C3545" s="5" t="s">
        <v>2128</v>
      </c>
      <c r="D3545" s="5" t="s">
        <v>62</v>
      </c>
      <c r="E3545" s="5" t="n">
        <v>5</v>
      </c>
      <c r="F3545" s="5" t="s">
        <v>1814</v>
      </c>
      <c r="G3545" s="2" t="s">
        <v>415</v>
      </c>
      <c r="H3545" s="5" t="s">
        <v>8336</v>
      </c>
      <c r="I3545" s="5"/>
      <c r="J3545" s="5"/>
      <c r="K3545" s="5" t="s">
        <v>16756</v>
      </c>
    </row>
    <row r="3546" customFormat="false" ht="46.25" hidden="false" customHeight="false" outlineLevel="0" collapsed="false">
      <c r="A3546" s="5" t="s">
        <v>16757</v>
      </c>
      <c r="B3546" s="2" t="s">
        <v>16758</v>
      </c>
      <c r="C3546" s="5" t="s">
        <v>2245</v>
      </c>
      <c r="D3546" s="5" t="s">
        <v>490</v>
      </c>
      <c r="E3546" s="5" t="n">
        <v>7</v>
      </c>
      <c r="F3546" s="5" t="s">
        <v>90</v>
      </c>
      <c r="G3546" s="2" t="s">
        <v>12054</v>
      </c>
      <c r="H3546" s="5" t="s">
        <v>8336</v>
      </c>
      <c r="I3546" s="5"/>
      <c r="J3546" s="5"/>
      <c r="K3546" s="5" t="s">
        <v>16759</v>
      </c>
    </row>
    <row r="3547" customFormat="false" ht="46.25" hidden="false" customHeight="false" outlineLevel="0" collapsed="false">
      <c r="A3547" s="5" t="s">
        <v>16760</v>
      </c>
      <c r="B3547" s="2" t="s">
        <v>16761</v>
      </c>
      <c r="C3547" s="5" t="s">
        <v>2245</v>
      </c>
      <c r="D3547" s="5" t="s">
        <v>62</v>
      </c>
      <c r="E3547" s="5" t="n">
        <v>7</v>
      </c>
      <c r="F3547" s="5" t="s">
        <v>90</v>
      </c>
      <c r="G3547" s="2" t="s">
        <v>12054</v>
      </c>
      <c r="H3547" s="5" t="s">
        <v>8336</v>
      </c>
      <c r="I3547" s="5"/>
      <c r="J3547" s="5"/>
      <c r="K3547" s="5" t="s">
        <v>16762</v>
      </c>
    </row>
    <row r="3548" customFormat="false" ht="23.85" hidden="false" customHeight="false" outlineLevel="0" collapsed="false">
      <c r="A3548" s="5" t="s">
        <v>16763</v>
      </c>
      <c r="B3548" s="2" t="s">
        <v>16764</v>
      </c>
      <c r="C3548" s="5" t="s">
        <v>2128</v>
      </c>
      <c r="D3548" s="5" t="s">
        <v>62</v>
      </c>
      <c r="E3548" s="5" t="n">
        <v>7</v>
      </c>
      <c r="F3548" s="5" t="s">
        <v>67</v>
      </c>
      <c r="G3548" s="2" t="s">
        <v>367</v>
      </c>
      <c r="H3548" s="5" t="s">
        <v>8336</v>
      </c>
      <c r="I3548" s="5"/>
      <c r="J3548" s="5"/>
      <c r="K3548" s="5" t="s">
        <v>16765</v>
      </c>
    </row>
    <row r="3549" customFormat="false" ht="46.25" hidden="false" customHeight="false" outlineLevel="0" collapsed="false">
      <c r="A3549" s="5" t="s">
        <v>16766</v>
      </c>
      <c r="B3549" s="2" t="s">
        <v>16767</v>
      </c>
      <c r="C3549" s="5" t="s">
        <v>2245</v>
      </c>
      <c r="D3549" s="5" t="s">
        <v>62</v>
      </c>
      <c r="E3549" s="5" t="n">
        <v>7</v>
      </c>
      <c r="F3549" s="5" t="s">
        <v>90</v>
      </c>
      <c r="G3549" s="2" t="s">
        <v>12054</v>
      </c>
      <c r="H3549" s="5" t="s">
        <v>8336</v>
      </c>
      <c r="I3549" s="5"/>
      <c r="J3549" s="5"/>
      <c r="K3549" s="5" t="s">
        <v>16768</v>
      </c>
    </row>
    <row r="3550" customFormat="false" ht="46.25" hidden="false" customHeight="false" outlineLevel="0" collapsed="false">
      <c r="A3550" s="5" t="s">
        <v>16769</v>
      </c>
      <c r="B3550" s="2" t="s">
        <v>16770</v>
      </c>
      <c r="C3550" s="5" t="s">
        <v>2245</v>
      </c>
      <c r="D3550" s="5" t="s">
        <v>62</v>
      </c>
      <c r="E3550" s="5" t="n">
        <v>7</v>
      </c>
      <c r="F3550" s="5" t="s">
        <v>90</v>
      </c>
      <c r="G3550" s="2" t="s">
        <v>12057</v>
      </c>
      <c r="H3550" s="5" t="s">
        <v>8336</v>
      </c>
      <c r="I3550" s="5"/>
      <c r="J3550" s="5"/>
      <c r="K3550" s="5" t="s">
        <v>16771</v>
      </c>
    </row>
    <row r="3551" customFormat="false" ht="23.85" hidden="false" customHeight="false" outlineLevel="0" collapsed="false">
      <c r="A3551" s="5" t="s">
        <v>4444</v>
      </c>
      <c r="B3551" s="2" t="s">
        <v>4445</v>
      </c>
      <c r="C3551" s="5" t="s">
        <v>2128</v>
      </c>
      <c r="D3551" s="5" t="s">
        <v>62</v>
      </c>
      <c r="E3551" s="5" t="n">
        <v>5</v>
      </c>
      <c r="F3551" s="5" t="s">
        <v>90</v>
      </c>
      <c r="G3551" s="2" t="s">
        <v>184</v>
      </c>
      <c r="H3551" s="5" t="s">
        <v>8332</v>
      </c>
      <c r="I3551" s="5" t="s">
        <v>60</v>
      </c>
      <c r="J3551" s="5" t="s">
        <v>269</v>
      </c>
      <c r="K3551" s="5" t="s">
        <v>4448</v>
      </c>
    </row>
    <row r="3552" customFormat="false" ht="46.25" hidden="false" customHeight="false" outlineLevel="0" collapsed="false">
      <c r="A3552" s="5" t="s">
        <v>4449</v>
      </c>
      <c r="B3552" s="2" t="s">
        <v>4450</v>
      </c>
      <c r="C3552" s="5" t="s">
        <v>2245</v>
      </c>
      <c r="D3552" s="5" t="s">
        <v>62</v>
      </c>
      <c r="E3552" s="5" t="n">
        <v>3</v>
      </c>
      <c r="F3552" s="5" t="s">
        <v>90</v>
      </c>
      <c r="G3552" s="2" t="s">
        <v>12894</v>
      </c>
      <c r="H3552" s="5" t="s">
        <v>8332</v>
      </c>
      <c r="I3552" s="5" t="s">
        <v>60</v>
      </c>
      <c r="J3552" s="5" t="s">
        <v>269</v>
      </c>
      <c r="K3552" s="5" t="s">
        <v>4453</v>
      </c>
    </row>
    <row r="3553" customFormat="false" ht="15" hidden="false" customHeight="false" outlineLevel="0" collapsed="false">
      <c r="A3553" s="5" t="s">
        <v>16772</v>
      </c>
      <c r="B3553" s="2" t="s">
        <v>16773</v>
      </c>
      <c r="C3553" s="5" t="s">
        <v>2128</v>
      </c>
      <c r="D3553" s="5" t="s">
        <v>62</v>
      </c>
      <c r="E3553" s="5" t="n">
        <v>5</v>
      </c>
      <c r="F3553" s="5" t="s">
        <v>90</v>
      </c>
      <c r="G3553" s="2" t="s">
        <v>367</v>
      </c>
      <c r="H3553" s="5" t="s">
        <v>8336</v>
      </c>
      <c r="I3553" s="5"/>
      <c r="J3553" s="5"/>
      <c r="K3553" s="5" t="s">
        <v>16774</v>
      </c>
    </row>
    <row r="3554" customFormat="false" ht="15" hidden="false" customHeight="false" outlineLevel="0" collapsed="false">
      <c r="A3554" s="5" t="s">
        <v>16775</v>
      </c>
      <c r="B3554" s="2" t="s">
        <v>16776</v>
      </c>
      <c r="C3554" s="5" t="s">
        <v>2128</v>
      </c>
      <c r="D3554" s="5" t="s">
        <v>62</v>
      </c>
      <c r="E3554" s="5" t="n">
        <v>7</v>
      </c>
      <c r="F3554" s="5" t="s">
        <v>67</v>
      </c>
      <c r="G3554" s="2" t="s">
        <v>367</v>
      </c>
      <c r="H3554" s="5" t="s">
        <v>8336</v>
      </c>
      <c r="I3554" s="5"/>
      <c r="J3554" s="5"/>
      <c r="K3554" s="5" t="s">
        <v>16777</v>
      </c>
    </row>
    <row r="3555" customFormat="false" ht="15" hidden="false" customHeight="false" outlineLevel="0" collapsed="false">
      <c r="A3555" s="5" t="s">
        <v>16778</v>
      </c>
      <c r="B3555" s="2" t="s">
        <v>16779</v>
      </c>
      <c r="C3555" s="5" t="s">
        <v>2128</v>
      </c>
      <c r="D3555" s="5" t="s">
        <v>62</v>
      </c>
      <c r="E3555" s="5" t="n">
        <v>7</v>
      </c>
      <c r="F3555" s="5" t="s">
        <v>90</v>
      </c>
      <c r="G3555" s="2" t="s">
        <v>367</v>
      </c>
      <c r="H3555" s="5" t="s">
        <v>8336</v>
      </c>
      <c r="I3555" s="5"/>
      <c r="J3555" s="5"/>
      <c r="K3555" s="5" t="s">
        <v>16780</v>
      </c>
    </row>
    <row r="3556" customFormat="false" ht="15" hidden="false" customHeight="false" outlineLevel="0" collapsed="false">
      <c r="A3556" s="5" t="s">
        <v>16781</v>
      </c>
      <c r="B3556" s="2" t="s">
        <v>16782</v>
      </c>
      <c r="C3556" s="5" t="s">
        <v>2128</v>
      </c>
      <c r="D3556" s="5" t="s">
        <v>62</v>
      </c>
      <c r="E3556" s="5" t="n">
        <v>7</v>
      </c>
      <c r="F3556" s="5" t="s">
        <v>67</v>
      </c>
      <c r="G3556" s="2" t="s">
        <v>367</v>
      </c>
      <c r="H3556" s="5" t="s">
        <v>8336</v>
      </c>
      <c r="I3556" s="5"/>
      <c r="J3556" s="5"/>
      <c r="K3556" s="5" t="s">
        <v>16783</v>
      </c>
    </row>
    <row r="3557" customFormat="false" ht="46.25" hidden="false" customHeight="false" outlineLevel="0" collapsed="false">
      <c r="A3557" s="5" t="s">
        <v>16784</v>
      </c>
      <c r="B3557" s="2" t="s">
        <v>16785</v>
      </c>
      <c r="C3557" s="5" t="s">
        <v>2245</v>
      </c>
      <c r="D3557" s="5" t="s">
        <v>62</v>
      </c>
      <c r="E3557" s="5" t="n">
        <v>3</v>
      </c>
      <c r="F3557" s="5" t="s">
        <v>67</v>
      </c>
      <c r="G3557" s="2" t="s">
        <v>12057</v>
      </c>
      <c r="H3557" s="5" t="s">
        <v>8336</v>
      </c>
      <c r="I3557" s="5"/>
      <c r="J3557" s="5"/>
      <c r="K3557" s="5" t="s">
        <v>16786</v>
      </c>
    </row>
    <row r="3558" customFormat="false" ht="15" hidden="false" customHeight="false" outlineLevel="0" collapsed="false">
      <c r="A3558" s="5" t="s">
        <v>16787</v>
      </c>
      <c r="B3558" s="2" t="s">
        <v>16788</v>
      </c>
      <c r="C3558" s="5" t="s">
        <v>2128</v>
      </c>
      <c r="D3558" s="5" t="s">
        <v>62</v>
      </c>
      <c r="E3558" s="5" t="n">
        <v>5</v>
      </c>
      <c r="F3558" s="5" t="s">
        <v>1814</v>
      </c>
      <c r="G3558" s="2" t="s">
        <v>367</v>
      </c>
      <c r="H3558" s="5" t="s">
        <v>8336</v>
      </c>
      <c r="I3558" s="5"/>
      <c r="J3558" s="5"/>
      <c r="K3558" s="5" t="s">
        <v>16789</v>
      </c>
    </row>
    <row r="3559" customFormat="false" ht="46.25" hidden="false" customHeight="false" outlineLevel="0" collapsed="false">
      <c r="A3559" s="5" t="s">
        <v>16790</v>
      </c>
      <c r="B3559" s="2" t="s">
        <v>16791</v>
      </c>
      <c r="C3559" s="5" t="s">
        <v>2245</v>
      </c>
      <c r="D3559" s="5" t="s">
        <v>62</v>
      </c>
      <c r="E3559" s="5" t="n">
        <v>7</v>
      </c>
      <c r="F3559" s="5" t="s">
        <v>67</v>
      </c>
      <c r="G3559" s="2" t="s">
        <v>12057</v>
      </c>
      <c r="H3559" s="5" t="s">
        <v>8336</v>
      </c>
      <c r="I3559" s="5"/>
      <c r="J3559" s="5"/>
      <c r="K3559" s="5" t="s">
        <v>16792</v>
      </c>
    </row>
    <row r="3560" customFormat="false" ht="15" hidden="false" customHeight="false" outlineLevel="0" collapsed="false">
      <c r="A3560" s="5" t="s">
        <v>6436</v>
      </c>
      <c r="B3560" s="2" t="s">
        <v>6437</v>
      </c>
      <c r="C3560" s="5" t="s">
        <v>2128</v>
      </c>
      <c r="D3560" s="5" t="s">
        <v>62</v>
      </c>
      <c r="E3560" s="5" t="n">
        <v>7</v>
      </c>
      <c r="F3560" s="5" t="s">
        <v>2079</v>
      </c>
      <c r="G3560" s="2" t="s">
        <v>367</v>
      </c>
      <c r="H3560" s="5" t="s">
        <v>8332</v>
      </c>
      <c r="I3560" s="5" t="s">
        <v>4760</v>
      </c>
      <c r="J3560" s="5" t="s">
        <v>2079</v>
      </c>
      <c r="K3560" s="5" t="s">
        <v>6441</v>
      </c>
    </row>
    <row r="3561" customFormat="false" ht="46.25" hidden="false" customHeight="false" outlineLevel="0" collapsed="false">
      <c r="A3561" s="5" t="s">
        <v>16793</v>
      </c>
      <c r="B3561" s="2" t="s">
        <v>16794</v>
      </c>
      <c r="C3561" s="5" t="s">
        <v>2245</v>
      </c>
      <c r="D3561" s="5" t="s">
        <v>62</v>
      </c>
      <c r="E3561" s="5" t="n">
        <v>5</v>
      </c>
      <c r="F3561" s="5" t="s">
        <v>1814</v>
      </c>
      <c r="G3561" s="2" t="s">
        <v>12054</v>
      </c>
      <c r="H3561" s="5" t="s">
        <v>8336</v>
      </c>
      <c r="I3561" s="5"/>
      <c r="J3561" s="5"/>
      <c r="K3561" s="5" t="s">
        <v>16795</v>
      </c>
    </row>
    <row r="3562" customFormat="false" ht="23.85" hidden="false" customHeight="false" outlineLevel="0" collapsed="false">
      <c r="A3562" s="5" t="s">
        <v>4454</v>
      </c>
      <c r="B3562" s="2" t="s">
        <v>4455</v>
      </c>
      <c r="C3562" s="5" t="s">
        <v>2128</v>
      </c>
      <c r="D3562" s="5" t="s">
        <v>62</v>
      </c>
      <c r="E3562" s="5" t="n">
        <v>3</v>
      </c>
      <c r="F3562" s="5" t="s">
        <v>90</v>
      </c>
      <c r="G3562" s="2" t="s">
        <v>184</v>
      </c>
      <c r="H3562" s="5" t="s">
        <v>8332</v>
      </c>
      <c r="I3562" s="5" t="s">
        <v>60</v>
      </c>
      <c r="J3562" s="5" t="s">
        <v>276</v>
      </c>
      <c r="K3562" s="5" t="s">
        <v>4458</v>
      </c>
    </row>
    <row r="3563" customFormat="false" ht="15" hidden="false" customHeight="false" outlineLevel="0" collapsed="false">
      <c r="A3563" s="5" t="s">
        <v>16796</v>
      </c>
      <c r="B3563" s="2" t="s">
        <v>16797</v>
      </c>
      <c r="C3563" s="5" t="s">
        <v>2128</v>
      </c>
      <c r="D3563" s="5" t="s">
        <v>62</v>
      </c>
      <c r="E3563" s="5" t="n">
        <v>5</v>
      </c>
      <c r="F3563" s="5" t="s">
        <v>67</v>
      </c>
      <c r="G3563" s="2" t="s">
        <v>367</v>
      </c>
      <c r="H3563" s="5" t="s">
        <v>8336</v>
      </c>
      <c r="I3563" s="5"/>
      <c r="J3563" s="5"/>
      <c r="K3563" s="5" t="s">
        <v>16798</v>
      </c>
    </row>
    <row r="3564" customFormat="false" ht="23.85" hidden="false" customHeight="false" outlineLevel="0" collapsed="false">
      <c r="A3564" s="5" t="s">
        <v>2004</v>
      </c>
      <c r="B3564" s="2" t="s">
        <v>2005</v>
      </c>
      <c r="C3564" s="5" t="s">
        <v>488</v>
      </c>
      <c r="D3564" s="5" t="s">
        <v>62</v>
      </c>
      <c r="E3564" s="5" t="n">
        <v>7</v>
      </c>
      <c r="F3564" s="5" t="s">
        <v>100</v>
      </c>
      <c r="G3564" s="2" t="s">
        <v>367</v>
      </c>
      <c r="H3564" s="5" t="s">
        <v>8332</v>
      </c>
      <c r="I3564" s="5" t="s">
        <v>60</v>
      </c>
      <c r="J3564" s="5" t="s">
        <v>100</v>
      </c>
      <c r="K3564" s="5" t="s">
        <v>2009</v>
      </c>
    </row>
    <row r="3565" customFormat="false" ht="23.85" hidden="false" customHeight="false" outlineLevel="0" collapsed="false">
      <c r="A3565" s="5" t="s">
        <v>2010</v>
      </c>
      <c r="B3565" s="2" t="s">
        <v>2011</v>
      </c>
      <c r="C3565" s="5" t="s">
        <v>488</v>
      </c>
      <c r="D3565" s="5" t="s">
        <v>62</v>
      </c>
      <c r="E3565" s="5" t="n">
        <v>7</v>
      </c>
      <c r="F3565" s="5" t="s">
        <v>100</v>
      </c>
      <c r="G3565" s="2" t="s">
        <v>367</v>
      </c>
      <c r="H3565" s="5" t="s">
        <v>8332</v>
      </c>
      <c r="I3565" s="5" t="s">
        <v>60</v>
      </c>
      <c r="J3565" s="5" t="s">
        <v>100</v>
      </c>
      <c r="K3565" s="5" t="s">
        <v>2014</v>
      </c>
    </row>
    <row r="3566" customFormat="false" ht="46.25" hidden="false" customHeight="false" outlineLevel="0" collapsed="false">
      <c r="A3566" s="5" t="s">
        <v>478</v>
      </c>
      <c r="B3566" s="2" t="s">
        <v>479</v>
      </c>
      <c r="C3566" s="5" t="s">
        <v>59</v>
      </c>
      <c r="D3566" s="5" t="s">
        <v>62</v>
      </c>
      <c r="E3566" s="5" t="n">
        <v>9</v>
      </c>
      <c r="F3566" s="5" t="s">
        <v>481</v>
      </c>
      <c r="G3566" s="2" t="s">
        <v>12078</v>
      </c>
      <c r="H3566" s="5" t="s">
        <v>8332</v>
      </c>
      <c r="I3566" s="5" t="s">
        <v>60</v>
      </c>
      <c r="J3566" s="5" t="s">
        <v>480</v>
      </c>
      <c r="K3566" s="5" t="s">
        <v>485</v>
      </c>
    </row>
    <row r="3567" customFormat="false" ht="46.25" hidden="false" customHeight="false" outlineLevel="0" collapsed="false">
      <c r="A3567" s="5" t="s">
        <v>16799</v>
      </c>
      <c r="B3567" s="2" t="s">
        <v>16800</v>
      </c>
      <c r="C3567" s="5" t="s">
        <v>2245</v>
      </c>
      <c r="D3567" s="5" t="s">
        <v>62</v>
      </c>
      <c r="E3567" s="5" t="n">
        <v>5</v>
      </c>
      <c r="F3567" s="5" t="s">
        <v>90</v>
      </c>
      <c r="G3567" s="2" t="s">
        <v>12057</v>
      </c>
      <c r="H3567" s="5" t="s">
        <v>8336</v>
      </c>
      <c r="I3567" s="5"/>
      <c r="J3567" s="5"/>
      <c r="K3567" s="5" t="s">
        <v>16801</v>
      </c>
    </row>
    <row r="3568" customFormat="false" ht="15" hidden="false" customHeight="false" outlineLevel="0" collapsed="false">
      <c r="A3568" s="5" t="s">
        <v>16802</v>
      </c>
      <c r="B3568" s="2" t="s">
        <v>16803</v>
      </c>
      <c r="C3568" s="5" t="s">
        <v>2128</v>
      </c>
      <c r="D3568" s="5" t="s">
        <v>62</v>
      </c>
      <c r="E3568" s="5" t="n">
        <v>7</v>
      </c>
      <c r="F3568" s="5" t="s">
        <v>1814</v>
      </c>
      <c r="G3568" s="2" t="s">
        <v>367</v>
      </c>
      <c r="H3568" s="5" t="s">
        <v>8336</v>
      </c>
      <c r="I3568" s="5"/>
      <c r="J3568" s="5"/>
      <c r="K3568" s="5" t="s">
        <v>16804</v>
      </c>
    </row>
    <row r="3569" customFormat="false" ht="23.85" hidden="false" customHeight="false" outlineLevel="0" collapsed="false">
      <c r="A3569" s="5" t="s">
        <v>2015</v>
      </c>
      <c r="B3569" s="2" t="s">
        <v>2016</v>
      </c>
      <c r="C3569" s="5" t="s">
        <v>488</v>
      </c>
      <c r="D3569" s="5" t="s">
        <v>62</v>
      </c>
      <c r="E3569" s="5" t="n">
        <v>5</v>
      </c>
      <c r="F3569" s="5" t="s">
        <v>100</v>
      </c>
      <c r="G3569" s="2" t="s">
        <v>184</v>
      </c>
      <c r="H3569" s="5" t="s">
        <v>8332</v>
      </c>
      <c r="I3569" s="5" t="s">
        <v>60</v>
      </c>
      <c r="J3569" s="5" t="s">
        <v>303</v>
      </c>
      <c r="K3569" s="5" t="s">
        <v>2021</v>
      </c>
    </row>
    <row r="3570" customFormat="false" ht="46.25" hidden="false" customHeight="false" outlineLevel="0" collapsed="false">
      <c r="A3570" s="5" t="s">
        <v>16805</v>
      </c>
      <c r="B3570" s="2" t="s">
        <v>16806</v>
      </c>
      <c r="C3570" s="5" t="s">
        <v>2245</v>
      </c>
      <c r="D3570" s="5" t="s">
        <v>62</v>
      </c>
      <c r="E3570" s="5" t="n">
        <v>5</v>
      </c>
      <c r="F3570" s="5" t="s">
        <v>67</v>
      </c>
      <c r="G3570" s="2" t="s">
        <v>12054</v>
      </c>
      <c r="H3570" s="5" t="s">
        <v>8336</v>
      </c>
      <c r="I3570" s="5"/>
      <c r="J3570" s="5"/>
      <c r="K3570" s="5" t="s">
        <v>16807</v>
      </c>
    </row>
    <row r="3571" customFormat="false" ht="46.25" hidden="false" customHeight="false" outlineLevel="0" collapsed="false">
      <c r="A3571" s="5" t="s">
        <v>16808</v>
      </c>
      <c r="B3571" s="2" t="s">
        <v>16809</v>
      </c>
      <c r="C3571" s="5" t="s">
        <v>2245</v>
      </c>
      <c r="D3571" s="5" t="s">
        <v>490</v>
      </c>
      <c r="E3571" s="5" t="n">
        <v>7</v>
      </c>
      <c r="F3571" s="5" t="s">
        <v>67</v>
      </c>
      <c r="G3571" s="2" t="s">
        <v>12057</v>
      </c>
      <c r="H3571" s="5" t="s">
        <v>8336</v>
      </c>
      <c r="I3571" s="5"/>
      <c r="J3571" s="5"/>
      <c r="K3571" s="5" t="s">
        <v>16810</v>
      </c>
    </row>
    <row r="3572" customFormat="false" ht="15" hidden="false" customHeight="false" outlineLevel="0" collapsed="false">
      <c r="A3572" s="5" t="s">
        <v>4459</v>
      </c>
      <c r="B3572" s="2" t="s">
        <v>4460</v>
      </c>
      <c r="C3572" s="5" t="s">
        <v>2128</v>
      </c>
      <c r="D3572" s="5" t="s">
        <v>62</v>
      </c>
      <c r="E3572" s="5" t="n">
        <v>9</v>
      </c>
      <c r="F3572" s="5" t="s">
        <v>67</v>
      </c>
      <c r="G3572" s="2" t="s">
        <v>367</v>
      </c>
      <c r="H3572" s="5" t="s">
        <v>8332</v>
      </c>
      <c r="I3572" s="5" t="s">
        <v>60</v>
      </c>
      <c r="J3572" s="5" t="s">
        <v>161</v>
      </c>
      <c r="K3572" s="5" t="s">
        <v>4463</v>
      </c>
    </row>
    <row r="3573" customFormat="false" ht="15" hidden="false" customHeight="false" outlineLevel="0" collapsed="false">
      <c r="A3573" s="5" t="s">
        <v>2022</v>
      </c>
      <c r="B3573" s="2" t="s">
        <v>2023</v>
      </c>
      <c r="C3573" s="5" t="s">
        <v>488</v>
      </c>
      <c r="D3573" s="5" t="s">
        <v>62</v>
      </c>
      <c r="E3573" s="5" t="n">
        <v>7</v>
      </c>
      <c r="F3573" s="5" t="s">
        <v>100</v>
      </c>
      <c r="G3573" s="2" t="s">
        <v>367</v>
      </c>
      <c r="H3573" s="5" t="s">
        <v>8332</v>
      </c>
      <c r="I3573" s="5" t="s">
        <v>60</v>
      </c>
      <c r="J3573" s="5" t="s">
        <v>100</v>
      </c>
      <c r="K3573" s="5" t="s">
        <v>2026</v>
      </c>
    </row>
    <row r="3574" customFormat="false" ht="23.85" hidden="false" customHeight="false" outlineLevel="0" collapsed="false">
      <c r="A3574" s="5" t="s">
        <v>4464</v>
      </c>
      <c r="B3574" s="2" t="s">
        <v>4465</v>
      </c>
      <c r="C3574" s="5" t="s">
        <v>2128</v>
      </c>
      <c r="D3574" s="5" t="s">
        <v>62</v>
      </c>
      <c r="E3574" s="5" t="n">
        <v>7</v>
      </c>
      <c r="F3574" s="5" t="s">
        <v>67</v>
      </c>
      <c r="G3574" s="2" t="s">
        <v>367</v>
      </c>
      <c r="H3574" s="5" t="s">
        <v>8332</v>
      </c>
      <c r="I3574" s="5" t="s">
        <v>60</v>
      </c>
      <c r="J3574" s="5" t="s">
        <v>161</v>
      </c>
      <c r="K3574" s="5" t="s">
        <v>4468</v>
      </c>
    </row>
    <row r="3575" customFormat="false" ht="46.25" hidden="false" customHeight="false" outlineLevel="0" collapsed="false">
      <c r="A3575" s="5" t="s">
        <v>4469</v>
      </c>
      <c r="B3575" s="2" t="s">
        <v>4470</v>
      </c>
      <c r="C3575" s="5" t="s">
        <v>2245</v>
      </c>
      <c r="D3575" s="5" t="s">
        <v>62</v>
      </c>
      <c r="E3575" s="5" t="n">
        <v>7</v>
      </c>
      <c r="F3575" s="5" t="s">
        <v>67</v>
      </c>
      <c r="G3575" s="2" t="s">
        <v>12057</v>
      </c>
      <c r="H3575" s="5" t="s">
        <v>8332</v>
      </c>
      <c r="I3575" s="5" t="s">
        <v>60</v>
      </c>
      <c r="J3575" s="5" t="s">
        <v>161</v>
      </c>
      <c r="K3575" s="5" t="s">
        <v>4473</v>
      </c>
    </row>
    <row r="3576" customFormat="false" ht="46.25" hidden="false" customHeight="false" outlineLevel="0" collapsed="false">
      <c r="A3576" s="5" t="s">
        <v>4474</v>
      </c>
      <c r="B3576" s="2" t="s">
        <v>4475</v>
      </c>
      <c r="C3576" s="5" t="s">
        <v>2245</v>
      </c>
      <c r="D3576" s="5" t="s">
        <v>62</v>
      </c>
      <c r="E3576" s="5" t="n">
        <v>7</v>
      </c>
      <c r="F3576" s="5" t="s">
        <v>67</v>
      </c>
      <c r="G3576" s="2" t="s">
        <v>12057</v>
      </c>
      <c r="H3576" s="5" t="s">
        <v>8332</v>
      </c>
      <c r="I3576" s="5" t="s">
        <v>60</v>
      </c>
      <c r="J3576" s="5" t="s">
        <v>161</v>
      </c>
      <c r="K3576" s="5" t="s">
        <v>4478</v>
      </c>
    </row>
    <row r="3577" customFormat="false" ht="23.85" hidden="false" customHeight="false" outlineLevel="0" collapsed="false">
      <c r="A3577" s="5" t="s">
        <v>4479</v>
      </c>
      <c r="B3577" s="2" t="s">
        <v>4480</v>
      </c>
      <c r="C3577" s="5" t="s">
        <v>2128</v>
      </c>
      <c r="D3577" s="5" t="s">
        <v>62</v>
      </c>
      <c r="E3577" s="5" t="n">
        <v>7</v>
      </c>
      <c r="F3577" s="5" t="s">
        <v>67</v>
      </c>
      <c r="G3577" s="2" t="s">
        <v>367</v>
      </c>
      <c r="H3577" s="5" t="s">
        <v>8332</v>
      </c>
      <c r="I3577" s="5" t="s">
        <v>60</v>
      </c>
      <c r="J3577" s="5" t="s">
        <v>161</v>
      </c>
      <c r="K3577" s="5" t="s">
        <v>4484</v>
      </c>
    </row>
    <row r="3578" customFormat="false" ht="23.85" hidden="false" customHeight="false" outlineLevel="0" collapsed="false">
      <c r="A3578" s="5" t="s">
        <v>4485</v>
      </c>
      <c r="B3578" s="2" t="s">
        <v>4486</v>
      </c>
      <c r="C3578" s="5" t="s">
        <v>2128</v>
      </c>
      <c r="D3578" s="5" t="s">
        <v>62</v>
      </c>
      <c r="E3578" s="5" t="n">
        <v>7</v>
      </c>
      <c r="F3578" s="5" t="s">
        <v>67</v>
      </c>
      <c r="G3578" s="2" t="s">
        <v>367</v>
      </c>
      <c r="H3578" s="5" t="s">
        <v>8332</v>
      </c>
      <c r="I3578" s="5" t="s">
        <v>60</v>
      </c>
      <c r="J3578" s="5" t="s">
        <v>161</v>
      </c>
      <c r="K3578" s="5" t="s">
        <v>4489</v>
      </c>
    </row>
    <row r="3579" customFormat="false" ht="15" hidden="false" customHeight="false" outlineLevel="0" collapsed="false">
      <c r="A3579" s="5" t="s">
        <v>4490</v>
      </c>
      <c r="B3579" s="2" t="s">
        <v>4491</v>
      </c>
      <c r="C3579" s="5" t="s">
        <v>2128</v>
      </c>
      <c r="D3579" s="5" t="s">
        <v>62</v>
      </c>
      <c r="E3579" s="5" t="n">
        <v>7</v>
      </c>
      <c r="F3579" s="5" t="s">
        <v>67</v>
      </c>
      <c r="G3579" s="2" t="s">
        <v>367</v>
      </c>
      <c r="H3579" s="5" t="s">
        <v>8332</v>
      </c>
      <c r="I3579" s="5" t="s">
        <v>60</v>
      </c>
      <c r="J3579" s="5" t="s">
        <v>161</v>
      </c>
      <c r="K3579" s="5" t="s">
        <v>4494</v>
      </c>
    </row>
    <row r="3580" customFormat="false" ht="23.85" hidden="false" customHeight="false" outlineLevel="0" collapsed="false">
      <c r="A3580" s="5" t="s">
        <v>4495</v>
      </c>
      <c r="B3580" s="2" t="s">
        <v>4496</v>
      </c>
      <c r="C3580" s="5" t="s">
        <v>2128</v>
      </c>
      <c r="D3580" s="5" t="s">
        <v>62</v>
      </c>
      <c r="E3580" s="5" t="n">
        <v>7</v>
      </c>
      <c r="F3580" s="5" t="s">
        <v>67</v>
      </c>
      <c r="G3580" s="2" t="s">
        <v>367</v>
      </c>
      <c r="H3580" s="5" t="s">
        <v>8332</v>
      </c>
      <c r="I3580" s="5" t="s">
        <v>60</v>
      </c>
      <c r="J3580" s="5" t="s">
        <v>161</v>
      </c>
      <c r="K3580" s="5" t="s">
        <v>4499</v>
      </c>
    </row>
    <row r="3581" customFormat="false" ht="23.85" hidden="false" customHeight="false" outlineLevel="0" collapsed="false">
      <c r="A3581" s="5" t="s">
        <v>4500</v>
      </c>
      <c r="B3581" s="2" t="s">
        <v>4501</v>
      </c>
      <c r="C3581" s="5" t="s">
        <v>2128</v>
      </c>
      <c r="D3581" s="5" t="s">
        <v>62</v>
      </c>
      <c r="E3581" s="5" t="n">
        <v>7</v>
      </c>
      <c r="F3581" s="5" t="s">
        <v>67</v>
      </c>
      <c r="G3581" s="2" t="s">
        <v>367</v>
      </c>
      <c r="H3581" s="5" t="s">
        <v>8332</v>
      </c>
      <c r="I3581" s="5" t="s">
        <v>60</v>
      </c>
      <c r="J3581" s="5" t="s">
        <v>161</v>
      </c>
      <c r="K3581" s="5" t="s">
        <v>4504</v>
      </c>
    </row>
    <row r="3582" customFormat="false" ht="15" hidden="false" customHeight="false" outlineLevel="0" collapsed="false">
      <c r="A3582" s="5" t="s">
        <v>4505</v>
      </c>
      <c r="B3582" s="2" t="s">
        <v>4506</v>
      </c>
      <c r="C3582" s="5" t="s">
        <v>2128</v>
      </c>
      <c r="D3582" s="5" t="s">
        <v>62</v>
      </c>
      <c r="E3582" s="5" t="n">
        <v>7</v>
      </c>
      <c r="F3582" s="5" t="s">
        <v>67</v>
      </c>
      <c r="G3582" s="2" t="s">
        <v>367</v>
      </c>
      <c r="H3582" s="5" t="s">
        <v>8332</v>
      </c>
      <c r="I3582" s="5" t="s">
        <v>60</v>
      </c>
      <c r="J3582" s="5" t="s">
        <v>161</v>
      </c>
      <c r="K3582" s="5" t="s">
        <v>4510</v>
      </c>
    </row>
    <row r="3583" customFormat="false" ht="15" hidden="false" customHeight="false" outlineLevel="0" collapsed="false">
      <c r="A3583" s="5" t="s">
        <v>4511</v>
      </c>
      <c r="B3583" s="2" t="s">
        <v>4512</v>
      </c>
      <c r="C3583" s="5" t="s">
        <v>2128</v>
      </c>
      <c r="D3583" s="5" t="s">
        <v>62</v>
      </c>
      <c r="E3583" s="5" t="n">
        <v>7</v>
      </c>
      <c r="F3583" s="5" t="s">
        <v>67</v>
      </c>
      <c r="G3583" s="2" t="s">
        <v>367</v>
      </c>
      <c r="H3583" s="5" t="s">
        <v>8332</v>
      </c>
      <c r="I3583" s="5" t="s">
        <v>60</v>
      </c>
      <c r="J3583" s="5" t="s">
        <v>161</v>
      </c>
      <c r="K3583" s="5" t="s">
        <v>4516</v>
      </c>
    </row>
    <row r="3584" customFormat="false" ht="23.85" hidden="false" customHeight="false" outlineLevel="0" collapsed="false">
      <c r="A3584" s="5" t="s">
        <v>16811</v>
      </c>
      <c r="B3584" s="2" t="s">
        <v>16812</v>
      </c>
      <c r="C3584" s="5" t="s">
        <v>2128</v>
      </c>
      <c r="D3584" s="5" t="s">
        <v>62</v>
      </c>
      <c r="E3584" s="5" t="n">
        <v>7</v>
      </c>
      <c r="F3584" s="5" t="s">
        <v>90</v>
      </c>
      <c r="G3584" s="2" t="s">
        <v>367</v>
      </c>
      <c r="H3584" s="5" t="s">
        <v>8336</v>
      </c>
      <c r="I3584" s="5"/>
      <c r="J3584" s="5"/>
      <c r="K3584" s="5" t="s">
        <v>16813</v>
      </c>
    </row>
    <row r="3585" customFormat="false" ht="15" hidden="false" customHeight="false" outlineLevel="0" collapsed="false">
      <c r="A3585" s="5" t="s">
        <v>16814</v>
      </c>
      <c r="B3585" s="2" t="s">
        <v>16815</v>
      </c>
      <c r="C3585" s="5" t="s">
        <v>2128</v>
      </c>
      <c r="D3585" s="5" t="s">
        <v>62</v>
      </c>
      <c r="E3585" s="5" t="n">
        <v>7</v>
      </c>
      <c r="F3585" s="5" t="s">
        <v>90</v>
      </c>
      <c r="G3585" s="2" t="s">
        <v>367</v>
      </c>
      <c r="H3585" s="5" t="s">
        <v>8336</v>
      </c>
      <c r="I3585" s="5"/>
      <c r="J3585" s="5"/>
      <c r="K3585" s="5" t="s">
        <v>16816</v>
      </c>
    </row>
    <row r="3586" customFormat="false" ht="15" hidden="false" customHeight="false" outlineLevel="0" collapsed="false">
      <c r="A3586" s="5" t="s">
        <v>4517</v>
      </c>
      <c r="B3586" s="2" t="s">
        <v>4518</v>
      </c>
      <c r="C3586" s="5" t="s">
        <v>2128</v>
      </c>
      <c r="D3586" s="5" t="s">
        <v>62</v>
      </c>
      <c r="E3586" s="5" t="n">
        <v>7</v>
      </c>
      <c r="F3586" s="5" t="s">
        <v>67</v>
      </c>
      <c r="G3586" s="2" t="s">
        <v>367</v>
      </c>
      <c r="H3586" s="5" t="s">
        <v>8332</v>
      </c>
      <c r="I3586" s="5" t="s">
        <v>60</v>
      </c>
      <c r="J3586" s="5" t="s">
        <v>161</v>
      </c>
      <c r="K3586" s="5" t="s">
        <v>4521</v>
      </c>
    </row>
    <row r="3587" customFormat="false" ht="15" hidden="false" customHeight="false" outlineLevel="0" collapsed="false">
      <c r="A3587" s="5" t="s">
        <v>4522</v>
      </c>
      <c r="B3587" s="2" t="s">
        <v>4523</v>
      </c>
      <c r="C3587" s="5" t="s">
        <v>2128</v>
      </c>
      <c r="D3587" s="5" t="s">
        <v>62</v>
      </c>
      <c r="E3587" s="5" t="n">
        <v>7</v>
      </c>
      <c r="F3587" s="5" t="s">
        <v>67</v>
      </c>
      <c r="G3587" s="2" t="s">
        <v>367</v>
      </c>
      <c r="H3587" s="5" t="s">
        <v>8332</v>
      </c>
      <c r="I3587" s="5" t="s">
        <v>60</v>
      </c>
      <c r="J3587" s="5" t="s">
        <v>161</v>
      </c>
      <c r="K3587" s="5" t="s">
        <v>4526</v>
      </c>
    </row>
    <row r="3588" customFormat="false" ht="15" hidden="false" customHeight="false" outlineLevel="0" collapsed="false">
      <c r="A3588" s="5" t="s">
        <v>4527</v>
      </c>
      <c r="B3588" s="2" t="s">
        <v>4528</v>
      </c>
      <c r="C3588" s="5" t="s">
        <v>2128</v>
      </c>
      <c r="D3588" s="5" t="s">
        <v>62</v>
      </c>
      <c r="E3588" s="5" t="n">
        <v>7</v>
      </c>
      <c r="F3588" s="5" t="s">
        <v>67</v>
      </c>
      <c r="G3588" s="2" t="s">
        <v>367</v>
      </c>
      <c r="H3588" s="5" t="s">
        <v>8332</v>
      </c>
      <c r="I3588" s="5" t="s">
        <v>60</v>
      </c>
      <c r="J3588" s="5" t="s">
        <v>161</v>
      </c>
      <c r="K3588" s="5" t="s">
        <v>4531</v>
      </c>
    </row>
    <row r="3589" customFormat="false" ht="15" hidden="false" customHeight="false" outlineLevel="0" collapsed="false">
      <c r="A3589" s="5" t="s">
        <v>4532</v>
      </c>
      <c r="B3589" s="2" t="s">
        <v>4533</v>
      </c>
      <c r="C3589" s="5" t="s">
        <v>2128</v>
      </c>
      <c r="D3589" s="5" t="s">
        <v>62</v>
      </c>
      <c r="E3589" s="5" t="n">
        <v>7</v>
      </c>
      <c r="F3589" s="5" t="s">
        <v>67</v>
      </c>
      <c r="G3589" s="2" t="s">
        <v>367</v>
      </c>
      <c r="H3589" s="5" t="s">
        <v>8332</v>
      </c>
      <c r="I3589" s="5" t="s">
        <v>60</v>
      </c>
      <c r="J3589" s="5" t="s">
        <v>161</v>
      </c>
      <c r="K3589" s="5" t="s">
        <v>4536</v>
      </c>
    </row>
    <row r="3590" customFormat="false" ht="15" hidden="false" customHeight="false" outlineLevel="0" collapsed="false">
      <c r="A3590" s="5" t="s">
        <v>4537</v>
      </c>
      <c r="B3590" s="2" t="s">
        <v>4538</v>
      </c>
      <c r="C3590" s="5" t="s">
        <v>2128</v>
      </c>
      <c r="D3590" s="5" t="s">
        <v>62</v>
      </c>
      <c r="E3590" s="5" t="n">
        <v>7</v>
      </c>
      <c r="F3590" s="5" t="s">
        <v>67</v>
      </c>
      <c r="G3590" s="2" t="s">
        <v>367</v>
      </c>
      <c r="H3590" s="5" t="s">
        <v>8332</v>
      </c>
      <c r="I3590" s="5" t="s">
        <v>60</v>
      </c>
      <c r="J3590" s="5" t="s">
        <v>161</v>
      </c>
      <c r="K3590" s="5" t="s">
        <v>4541</v>
      </c>
    </row>
    <row r="3591" customFormat="false" ht="23.85" hidden="false" customHeight="false" outlineLevel="0" collapsed="false">
      <c r="A3591" s="5" t="s">
        <v>4542</v>
      </c>
      <c r="B3591" s="2" t="s">
        <v>4543</v>
      </c>
      <c r="C3591" s="5" t="s">
        <v>2128</v>
      </c>
      <c r="D3591" s="5" t="s">
        <v>62</v>
      </c>
      <c r="E3591" s="5" t="n">
        <v>7</v>
      </c>
      <c r="F3591" s="5" t="s">
        <v>67</v>
      </c>
      <c r="G3591" s="2" t="s">
        <v>367</v>
      </c>
      <c r="H3591" s="5" t="s">
        <v>8332</v>
      </c>
      <c r="I3591" s="5" t="s">
        <v>60</v>
      </c>
      <c r="J3591" s="5" t="s">
        <v>161</v>
      </c>
      <c r="K3591" s="5" t="s">
        <v>4546</v>
      </c>
    </row>
    <row r="3592" customFormat="false" ht="23.85" hidden="false" customHeight="false" outlineLevel="0" collapsed="false">
      <c r="A3592" s="5" t="s">
        <v>4547</v>
      </c>
      <c r="B3592" s="2" t="s">
        <v>4548</v>
      </c>
      <c r="C3592" s="5" t="s">
        <v>2128</v>
      </c>
      <c r="D3592" s="5" t="s">
        <v>62</v>
      </c>
      <c r="E3592" s="5" t="n">
        <v>7</v>
      </c>
      <c r="F3592" s="5" t="s">
        <v>67</v>
      </c>
      <c r="G3592" s="2" t="s">
        <v>367</v>
      </c>
      <c r="H3592" s="5" t="s">
        <v>8332</v>
      </c>
      <c r="I3592" s="5" t="s">
        <v>60</v>
      </c>
      <c r="J3592" s="5" t="s">
        <v>161</v>
      </c>
      <c r="K3592" s="5" t="s">
        <v>4552</v>
      </c>
    </row>
    <row r="3593" customFormat="false" ht="23.85" hidden="false" customHeight="false" outlineLevel="0" collapsed="false">
      <c r="A3593" s="5" t="s">
        <v>4553</v>
      </c>
      <c r="B3593" s="2" t="s">
        <v>4554</v>
      </c>
      <c r="C3593" s="5" t="s">
        <v>2128</v>
      </c>
      <c r="D3593" s="5" t="s">
        <v>62</v>
      </c>
      <c r="E3593" s="5" t="n">
        <v>7</v>
      </c>
      <c r="F3593" s="5" t="s">
        <v>67</v>
      </c>
      <c r="G3593" s="2" t="s">
        <v>367</v>
      </c>
      <c r="H3593" s="5" t="s">
        <v>8332</v>
      </c>
      <c r="I3593" s="5" t="s">
        <v>60</v>
      </c>
      <c r="J3593" s="5" t="s">
        <v>161</v>
      </c>
      <c r="K3593" s="5" t="s">
        <v>4557</v>
      </c>
    </row>
    <row r="3594" customFormat="false" ht="23.85" hidden="false" customHeight="false" outlineLevel="0" collapsed="false">
      <c r="A3594" s="5" t="s">
        <v>4558</v>
      </c>
      <c r="B3594" s="2" t="s">
        <v>4559</v>
      </c>
      <c r="C3594" s="5" t="s">
        <v>2128</v>
      </c>
      <c r="D3594" s="5" t="s">
        <v>62</v>
      </c>
      <c r="E3594" s="5" t="n">
        <v>7</v>
      </c>
      <c r="F3594" s="5" t="s">
        <v>67</v>
      </c>
      <c r="G3594" s="2" t="s">
        <v>367</v>
      </c>
      <c r="H3594" s="5" t="s">
        <v>8332</v>
      </c>
      <c r="I3594" s="5" t="s">
        <v>60</v>
      </c>
      <c r="J3594" s="5" t="s">
        <v>161</v>
      </c>
      <c r="K3594" s="5" t="s">
        <v>4563</v>
      </c>
    </row>
    <row r="3595" customFormat="false" ht="15" hidden="false" customHeight="false" outlineLevel="0" collapsed="false">
      <c r="A3595" s="5" t="s">
        <v>4564</v>
      </c>
      <c r="B3595" s="2" t="s">
        <v>4565</v>
      </c>
      <c r="C3595" s="5" t="s">
        <v>2128</v>
      </c>
      <c r="D3595" s="5" t="s">
        <v>62</v>
      </c>
      <c r="E3595" s="5" t="n">
        <v>7</v>
      </c>
      <c r="F3595" s="5" t="s">
        <v>67</v>
      </c>
      <c r="G3595" s="2" t="s">
        <v>367</v>
      </c>
      <c r="H3595" s="5" t="s">
        <v>8332</v>
      </c>
      <c r="I3595" s="5" t="s">
        <v>60</v>
      </c>
      <c r="J3595" s="5" t="s">
        <v>161</v>
      </c>
      <c r="K3595" s="5" t="s">
        <v>4568</v>
      </c>
    </row>
    <row r="3596" customFormat="false" ht="23.85" hidden="false" customHeight="false" outlineLevel="0" collapsed="false">
      <c r="A3596" s="5" t="s">
        <v>4569</v>
      </c>
      <c r="B3596" s="2" t="s">
        <v>4570</v>
      </c>
      <c r="C3596" s="5" t="s">
        <v>2128</v>
      </c>
      <c r="D3596" s="5" t="s">
        <v>62</v>
      </c>
      <c r="E3596" s="5" t="n">
        <v>7</v>
      </c>
      <c r="F3596" s="5" t="s">
        <v>67</v>
      </c>
      <c r="G3596" s="2" t="s">
        <v>367</v>
      </c>
      <c r="H3596" s="5" t="s">
        <v>8332</v>
      </c>
      <c r="I3596" s="5" t="s">
        <v>60</v>
      </c>
      <c r="J3596" s="5" t="s">
        <v>161</v>
      </c>
      <c r="K3596" s="5" t="s">
        <v>4573</v>
      </c>
    </row>
    <row r="3597" customFormat="false" ht="46.25" hidden="false" customHeight="false" outlineLevel="0" collapsed="false">
      <c r="A3597" s="5" t="s">
        <v>4574</v>
      </c>
      <c r="B3597" s="2" t="s">
        <v>4575</v>
      </c>
      <c r="C3597" s="5" t="s">
        <v>2245</v>
      </c>
      <c r="D3597" s="5" t="s">
        <v>62</v>
      </c>
      <c r="E3597" s="5" t="n">
        <v>7</v>
      </c>
      <c r="F3597" s="5" t="s">
        <v>67</v>
      </c>
      <c r="G3597" s="2" t="s">
        <v>12057</v>
      </c>
      <c r="H3597" s="5" t="s">
        <v>8332</v>
      </c>
      <c r="I3597" s="5" t="s">
        <v>60</v>
      </c>
      <c r="J3597" s="5" t="s">
        <v>161</v>
      </c>
      <c r="K3597" s="5" t="s">
        <v>4579</v>
      </c>
    </row>
    <row r="3598" customFormat="false" ht="46.25" hidden="false" customHeight="false" outlineLevel="0" collapsed="false">
      <c r="A3598" s="5" t="s">
        <v>4580</v>
      </c>
      <c r="B3598" s="2" t="s">
        <v>4581</v>
      </c>
      <c r="C3598" s="5" t="s">
        <v>2245</v>
      </c>
      <c r="D3598" s="5" t="s">
        <v>62</v>
      </c>
      <c r="E3598" s="5" t="n">
        <v>7</v>
      </c>
      <c r="F3598" s="5" t="s">
        <v>67</v>
      </c>
      <c r="G3598" s="2" t="s">
        <v>12057</v>
      </c>
      <c r="H3598" s="5" t="s">
        <v>8332</v>
      </c>
      <c r="I3598" s="5" t="s">
        <v>60</v>
      </c>
      <c r="J3598" s="5" t="s">
        <v>161</v>
      </c>
      <c r="K3598" s="5" t="s">
        <v>4584</v>
      </c>
    </row>
    <row r="3599" customFormat="false" ht="23.85" hidden="false" customHeight="false" outlineLevel="0" collapsed="false">
      <c r="A3599" s="5" t="s">
        <v>4585</v>
      </c>
      <c r="B3599" s="2" t="s">
        <v>4586</v>
      </c>
      <c r="C3599" s="5" t="s">
        <v>2128</v>
      </c>
      <c r="D3599" s="5" t="s">
        <v>62</v>
      </c>
      <c r="E3599" s="5" t="n">
        <v>7</v>
      </c>
      <c r="F3599" s="5" t="s">
        <v>67</v>
      </c>
      <c r="G3599" s="2" t="s">
        <v>367</v>
      </c>
      <c r="H3599" s="5" t="s">
        <v>8332</v>
      </c>
      <c r="I3599" s="5" t="s">
        <v>60</v>
      </c>
      <c r="J3599" s="5" t="s">
        <v>161</v>
      </c>
      <c r="K3599" s="5" t="s">
        <v>4590</v>
      </c>
    </row>
    <row r="3600" customFormat="false" ht="46.25" hidden="false" customHeight="false" outlineLevel="0" collapsed="false">
      <c r="A3600" s="5" t="s">
        <v>4591</v>
      </c>
      <c r="B3600" s="2" t="s">
        <v>4592</v>
      </c>
      <c r="C3600" s="5" t="s">
        <v>2245</v>
      </c>
      <c r="D3600" s="5" t="s">
        <v>62</v>
      </c>
      <c r="E3600" s="5" t="n">
        <v>7</v>
      </c>
      <c r="F3600" s="5" t="s">
        <v>67</v>
      </c>
      <c r="G3600" s="2" t="s">
        <v>12057</v>
      </c>
      <c r="H3600" s="5" t="s">
        <v>8332</v>
      </c>
      <c r="I3600" s="5" t="s">
        <v>60</v>
      </c>
      <c r="J3600" s="5" t="s">
        <v>161</v>
      </c>
      <c r="K3600" s="5" t="s">
        <v>4595</v>
      </c>
    </row>
    <row r="3601" customFormat="false" ht="15" hidden="false" customHeight="false" outlineLevel="0" collapsed="false">
      <c r="A3601" s="5" t="s">
        <v>4596</v>
      </c>
      <c r="B3601" s="2" t="s">
        <v>4597</v>
      </c>
      <c r="C3601" s="5" t="s">
        <v>2128</v>
      </c>
      <c r="D3601" s="5" t="s">
        <v>62</v>
      </c>
      <c r="E3601" s="5" t="n">
        <v>7</v>
      </c>
      <c r="F3601" s="5" t="s">
        <v>67</v>
      </c>
      <c r="G3601" s="2" t="s">
        <v>367</v>
      </c>
      <c r="H3601" s="5" t="s">
        <v>8332</v>
      </c>
      <c r="I3601" s="5" t="s">
        <v>60</v>
      </c>
      <c r="J3601" s="5" t="s">
        <v>161</v>
      </c>
      <c r="K3601" s="5" t="s">
        <v>4601</v>
      </c>
    </row>
    <row r="3602" customFormat="false" ht="46.25" hidden="false" customHeight="false" outlineLevel="0" collapsed="false">
      <c r="A3602" s="5" t="s">
        <v>4602</v>
      </c>
      <c r="B3602" s="2" t="s">
        <v>4603</v>
      </c>
      <c r="C3602" s="5" t="s">
        <v>2245</v>
      </c>
      <c r="D3602" s="5" t="s">
        <v>62</v>
      </c>
      <c r="E3602" s="5" t="n">
        <v>7</v>
      </c>
      <c r="F3602" s="5" t="s">
        <v>67</v>
      </c>
      <c r="G3602" s="2" t="s">
        <v>12057</v>
      </c>
      <c r="H3602" s="5" t="s">
        <v>8332</v>
      </c>
      <c r="I3602" s="5" t="s">
        <v>60</v>
      </c>
      <c r="J3602" s="5" t="s">
        <v>161</v>
      </c>
      <c r="K3602" s="5" t="s">
        <v>4606</v>
      </c>
    </row>
    <row r="3603" customFormat="false" ht="23.85" hidden="false" customHeight="false" outlineLevel="0" collapsed="false">
      <c r="A3603" s="5" t="s">
        <v>16817</v>
      </c>
      <c r="B3603" s="2" t="s">
        <v>16818</v>
      </c>
      <c r="C3603" s="5" t="s">
        <v>2128</v>
      </c>
      <c r="D3603" s="5" t="s">
        <v>62</v>
      </c>
      <c r="E3603" s="5" t="n">
        <v>5</v>
      </c>
      <c r="F3603" s="5" t="s">
        <v>90</v>
      </c>
      <c r="G3603" s="2" t="s">
        <v>367</v>
      </c>
      <c r="H3603" s="5" t="s">
        <v>8336</v>
      </c>
      <c r="I3603" s="5"/>
      <c r="J3603" s="5"/>
      <c r="K3603" s="5" t="s">
        <v>16819</v>
      </c>
    </row>
    <row r="3604" customFormat="false" ht="15" hidden="false" customHeight="false" outlineLevel="0" collapsed="false">
      <c r="A3604" s="5" t="s">
        <v>4607</v>
      </c>
      <c r="B3604" s="2" t="s">
        <v>4608</v>
      </c>
      <c r="C3604" s="5" t="s">
        <v>2128</v>
      </c>
      <c r="D3604" s="5" t="s">
        <v>62</v>
      </c>
      <c r="E3604" s="5" t="n">
        <v>7</v>
      </c>
      <c r="F3604" s="5" t="s">
        <v>67</v>
      </c>
      <c r="G3604" s="2" t="s">
        <v>367</v>
      </c>
      <c r="H3604" s="5" t="s">
        <v>8332</v>
      </c>
      <c r="I3604" s="5" t="s">
        <v>60</v>
      </c>
      <c r="J3604" s="5" t="s">
        <v>161</v>
      </c>
      <c r="K3604" s="5" t="s">
        <v>4611</v>
      </c>
    </row>
    <row r="3605" customFormat="false" ht="15" hidden="false" customHeight="false" outlineLevel="0" collapsed="false">
      <c r="A3605" s="5" t="s">
        <v>16820</v>
      </c>
      <c r="B3605" s="2" t="s">
        <v>16821</v>
      </c>
      <c r="C3605" s="5" t="s">
        <v>2128</v>
      </c>
      <c r="D3605" s="5" t="s">
        <v>62</v>
      </c>
      <c r="E3605" s="5" t="n">
        <v>7</v>
      </c>
      <c r="F3605" s="5" t="s">
        <v>67</v>
      </c>
      <c r="G3605" s="2" t="s">
        <v>367</v>
      </c>
      <c r="H3605" s="5" t="s">
        <v>8336</v>
      </c>
      <c r="I3605" s="5"/>
      <c r="J3605" s="5"/>
      <c r="K3605" s="5" t="s">
        <v>16822</v>
      </c>
    </row>
    <row r="3606" customFormat="false" ht="15" hidden="false" customHeight="false" outlineLevel="0" collapsed="false">
      <c r="A3606" s="5" t="s">
        <v>4612</v>
      </c>
      <c r="B3606" s="2" t="s">
        <v>4613</v>
      </c>
      <c r="C3606" s="5" t="s">
        <v>2128</v>
      </c>
      <c r="D3606" s="5" t="s">
        <v>62</v>
      </c>
      <c r="E3606" s="5" t="n">
        <v>7</v>
      </c>
      <c r="F3606" s="5" t="s">
        <v>67</v>
      </c>
      <c r="G3606" s="2" t="s">
        <v>367</v>
      </c>
      <c r="H3606" s="5" t="s">
        <v>8332</v>
      </c>
      <c r="I3606" s="5" t="s">
        <v>60</v>
      </c>
      <c r="J3606" s="5" t="s">
        <v>161</v>
      </c>
      <c r="K3606" s="5" t="s">
        <v>4616</v>
      </c>
    </row>
    <row r="3607" customFormat="false" ht="46.25" hidden="false" customHeight="false" outlineLevel="0" collapsed="false">
      <c r="A3607" s="5" t="s">
        <v>4617</v>
      </c>
      <c r="B3607" s="2" t="s">
        <v>4618</v>
      </c>
      <c r="C3607" s="5" t="s">
        <v>2245</v>
      </c>
      <c r="D3607" s="5" t="s">
        <v>62</v>
      </c>
      <c r="E3607" s="5" t="n">
        <v>5</v>
      </c>
      <c r="F3607" s="5" t="s">
        <v>67</v>
      </c>
      <c r="G3607" s="2" t="s">
        <v>12057</v>
      </c>
      <c r="H3607" s="5" t="s">
        <v>8332</v>
      </c>
      <c r="I3607" s="5" t="s">
        <v>60</v>
      </c>
      <c r="J3607" s="5" t="s">
        <v>161</v>
      </c>
      <c r="K3607" s="5" t="s">
        <v>4621</v>
      </c>
    </row>
    <row r="3608" customFormat="false" ht="46.25" hidden="false" customHeight="false" outlineLevel="0" collapsed="false">
      <c r="A3608" s="5" t="s">
        <v>4622</v>
      </c>
      <c r="B3608" s="2" t="s">
        <v>4623</v>
      </c>
      <c r="C3608" s="5" t="s">
        <v>2245</v>
      </c>
      <c r="D3608" s="5" t="s">
        <v>62</v>
      </c>
      <c r="E3608" s="5" t="n">
        <v>5</v>
      </c>
      <c r="F3608" s="5" t="s">
        <v>67</v>
      </c>
      <c r="G3608" s="2" t="s">
        <v>12057</v>
      </c>
      <c r="H3608" s="5" t="s">
        <v>8332</v>
      </c>
      <c r="I3608" s="5" t="s">
        <v>60</v>
      </c>
      <c r="J3608" s="5" t="s">
        <v>161</v>
      </c>
      <c r="K3608" s="5" t="s">
        <v>4626</v>
      </c>
    </row>
    <row r="3609" customFormat="false" ht="46.25" hidden="false" customHeight="false" outlineLevel="0" collapsed="false">
      <c r="A3609" s="5" t="s">
        <v>4627</v>
      </c>
      <c r="B3609" s="2" t="s">
        <v>4628</v>
      </c>
      <c r="C3609" s="5" t="s">
        <v>2245</v>
      </c>
      <c r="D3609" s="5" t="s">
        <v>62</v>
      </c>
      <c r="E3609" s="5" t="n">
        <v>5</v>
      </c>
      <c r="F3609" s="5" t="s">
        <v>67</v>
      </c>
      <c r="G3609" s="2" t="s">
        <v>12057</v>
      </c>
      <c r="H3609" s="5" t="s">
        <v>8332</v>
      </c>
      <c r="I3609" s="5" t="s">
        <v>60</v>
      </c>
      <c r="J3609" s="5" t="s">
        <v>161</v>
      </c>
      <c r="K3609" s="5" t="s">
        <v>4631</v>
      </c>
    </row>
    <row r="3610" customFormat="false" ht="15" hidden="false" customHeight="false" outlineLevel="0" collapsed="false">
      <c r="A3610" s="5" t="s">
        <v>16823</v>
      </c>
      <c r="B3610" s="2" t="s">
        <v>16824</v>
      </c>
      <c r="C3610" s="5" t="s">
        <v>2128</v>
      </c>
      <c r="D3610" s="5" t="s">
        <v>62</v>
      </c>
      <c r="E3610" s="5" t="n">
        <v>7</v>
      </c>
      <c r="F3610" s="5" t="s">
        <v>67</v>
      </c>
      <c r="G3610" s="2" t="s">
        <v>367</v>
      </c>
      <c r="H3610" s="5" t="s">
        <v>8336</v>
      </c>
      <c r="I3610" s="5"/>
      <c r="J3610" s="5"/>
      <c r="K3610" s="5" t="s">
        <v>16825</v>
      </c>
    </row>
    <row r="3611" customFormat="false" ht="23.85" hidden="false" customHeight="false" outlineLevel="0" collapsed="false">
      <c r="A3611" s="5" t="s">
        <v>16826</v>
      </c>
      <c r="B3611" s="2" t="s">
        <v>16827</v>
      </c>
      <c r="C3611" s="5" t="s">
        <v>2128</v>
      </c>
      <c r="D3611" s="5" t="s">
        <v>62</v>
      </c>
      <c r="E3611" s="5" t="n">
        <v>7</v>
      </c>
      <c r="F3611" s="5" t="s">
        <v>67</v>
      </c>
      <c r="G3611" s="2" t="s">
        <v>367</v>
      </c>
      <c r="H3611" s="5" t="s">
        <v>8336</v>
      </c>
      <c r="I3611" s="5"/>
      <c r="J3611" s="5"/>
      <c r="K3611" s="5" t="s">
        <v>16828</v>
      </c>
    </row>
    <row r="3612" customFormat="false" ht="23.85" hidden="false" customHeight="false" outlineLevel="0" collapsed="false">
      <c r="A3612" s="5" t="s">
        <v>4632</v>
      </c>
      <c r="B3612" s="2" t="s">
        <v>4633</v>
      </c>
      <c r="C3612" s="5" t="s">
        <v>2128</v>
      </c>
      <c r="D3612" s="5" t="s">
        <v>62</v>
      </c>
      <c r="E3612" s="5" t="n">
        <v>3</v>
      </c>
      <c r="F3612" s="5" t="s">
        <v>67</v>
      </c>
      <c r="G3612" s="2" t="s">
        <v>184</v>
      </c>
      <c r="H3612" s="5" t="s">
        <v>8332</v>
      </c>
      <c r="I3612" s="5" t="s">
        <v>60</v>
      </c>
      <c r="J3612" s="5" t="s">
        <v>269</v>
      </c>
      <c r="K3612" s="5" t="s">
        <v>4640</v>
      </c>
    </row>
    <row r="3613" customFormat="false" ht="46.25" hidden="false" customHeight="false" outlineLevel="0" collapsed="false">
      <c r="A3613" s="5" t="s">
        <v>16829</v>
      </c>
      <c r="B3613" s="2" t="s">
        <v>16830</v>
      </c>
      <c r="C3613" s="5" t="s">
        <v>2245</v>
      </c>
      <c r="D3613" s="5" t="s">
        <v>62</v>
      </c>
      <c r="E3613" s="5" t="n">
        <v>5</v>
      </c>
      <c r="F3613" s="5" t="s">
        <v>90</v>
      </c>
      <c r="G3613" s="2" t="s">
        <v>12057</v>
      </c>
      <c r="H3613" s="5" t="s">
        <v>8336</v>
      </c>
      <c r="I3613" s="5"/>
      <c r="J3613" s="5"/>
      <c r="K3613" s="5" t="s">
        <v>16831</v>
      </c>
    </row>
    <row r="3614" customFormat="false" ht="46.25" hidden="false" customHeight="false" outlineLevel="0" collapsed="false">
      <c r="A3614" s="5" t="s">
        <v>16832</v>
      </c>
      <c r="B3614" s="2" t="s">
        <v>16833</v>
      </c>
      <c r="C3614" s="5" t="s">
        <v>2245</v>
      </c>
      <c r="D3614" s="5" t="s">
        <v>62</v>
      </c>
      <c r="E3614" s="5" t="n">
        <v>5</v>
      </c>
      <c r="F3614" s="5" t="s">
        <v>90</v>
      </c>
      <c r="G3614" s="2" t="s">
        <v>12057</v>
      </c>
      <c r="H3614" s="5" t="s">
        <v>8336</v>
      </c>
      <c r="I3614" s="5"/>
      <c r="J3614" s="5"/>
      <c r="K3614" s="5" t="s">
        <v>16834</v>
      </c>
    </row>
    <row r="3615" customFormat="false" ht="46.25" hidden="false" customHeight="false" outlineLevel="0" collapsed="false">
      <c r="A3615" s="5" t="s">
        <v>16835</v>
      </c>
      <c r="B3615" s="2" t="s">
        <v>16836</v>
      </c>
      <c r="C3615" s="5" t="s">
        <v>2245</v>
      </c>
      <c r="D3615" s="5" t="s">
        <v>62</v>
      </c>
      <c r="E3615" s="5" t="n">
        <v>5</v>
      </c>
      <c r="F3615" s="5" t="s">
        <v>90</v>
      </c>
      <c r="G3615" s="2" t="s">
        <v>12057</v>
      </c>
      <c r="H3615" s="5" t="s">
        <v>8336</v>
      </c>
      <c r="I3615" s="5"/>
      <c r="J3615" s="5"/>
      <c r="K3615" s="5" t="s">
        <v>16837</v>
      </c>
    </row>
    <row r="3616" customFormat="false" ht="46.25" hidden="false" customHeight="false" outlineLevel="0" collapsed="false">
      <c r="A3616" s="5" t="s">
        <v>16838</v>
      </c>
      <c r="B3616" s="2" t="s">
        <v>16839</v>
      </c>
      <c r="C3616" s="5" t="s">
        <v>2245</v>
      </c>
      <c r="D3616" s="5" t="s">
        <v>62</v>
      </c>
      <c r="E3616" s="5" t="n">
        <v>5</v>
      </c>
      <c r="F3616" s="5" t="s">
        <v>90</v>
      </c>
      <c r="G3616" s="2" t="s">
        <v>12057</v>
      </c>
      <c r="H3616" s="5" t="s">
        <v>8336</v>
      </c>
      <c r="I3616" s="5"/>
      <c r="J3616" s="5"/>
      <c r="K3616" s="5" t="s">
        <v>16840</v>
      </c>
    </row>
    <row r="3617" customFormat="false" ht="15" hidden="false" customHeight="false" outlineLevel="0" collapsed="false">
      <c r="A3617" s="5" t="s">
        <v>16841</v>
      </c>
      <c r="B3617" s="2" t="s">
        <v>16842</v>
      </c>
      <c r="C3617" s="5" t="s">
        <v>2128</v>
      </c>
      <c r="D3617" s="5" t="s">
        <v>62</v>
      </c>
      <c r="E3617" s="5" t="n">
        <v>5</v>
      </c>
      <c r="F3617" s="5" t="s">
        <v>67</v>
      </c>
      <c r="G3617" s="2" t="s">
        <v>367</v>
      </c>
      <c r="H3617" s="5" t="s">
        <v>8336</v>
      </c>
      <c r="I3617" s="5"/>
      <c r="J3617" s="5"/>
      <c r="K3617" s="5" t="s">
        <v>16843</v>
      </c>
    </row>
    <row r="3618" customFormat="false" ht="15" hidden="false" customHeight="false" outlineLevel="0" collapsed="false">
      <c r="A3618" s="5" t="s">
        <v>16844</v>
      </c>
      <c r="B3618" s="2" t="s">
        <v>16845</v>
      </c>
      <c r="C3618" s="5" t="s">
        <v>2128</v>
      </c>
      <c r="D3618" s="5" t="s">
        <v>62</v>
      </c>
      <c r="E3618" s="5" t="n">
        <v>5</v>
      </c>
      <c r="F3618" s="5" t="s">
        <v>67</v>
      </c>
      <c r="G3618" s="2" t="s">
        <v>367</v>
      </c>
      <c r="H3618" s="5" t="s">
        <v>8336</v>
      </c>
      <c r="I3618" s="5"/>
      <c r="J3618" s="5"/>
      <c r="K3618" s="5" t="s">
        <v>16846</v>
      </c>
    </row>
    <row r="3619" customFormat="false" ht="23.85" hidden="false" customHeight="false" outlineLevel="0" collapsed="false">
      <c r="A3619" s="5" t="s">
        <v>16847</v>
      </c>
      <c r="B3619" s="2" t="s">
        <v>16848</v>
      </c>
      <c r="C3619" s="5" t="s">
        <v>2128</v>
      </c>
      <c r="D3619" s="5" t="s">
        <v>62</v>
      </c>
      <c r="E3619" s="5" t="n">
        <v>5</v>
      </c>
      <c r="F3619" s="5" t="s">
        <v>90</v>
      </c>
      <c r="G3619" s="2" t="s">
        <v>367</v>
      </c>
      <c r="H3619" s="5" t="s">
        <v>8336</v>
      </c>
      <c r="I3619" s="5"/>
      <c r="J3619" s="5"/>
      <c r="K3619" s="5" t="s">
        <v>16849</v>
      </c>
    </row>
    <row r="3620" customFormat="false" ht="46.25" hidden="false" customHeight="false" outlineLevel="0" collapsed="false">
      <c r="A3620" s="5" t="s">
        <v>16850</v>
      </c>
      <c r="B3620" s="2" t="s">
        <v>16851</v>
      </c>
      <c r="C3620" s="5" t="s">
        <v>2245</v>
      </c>
      <c r="D3620" s="5" t="s">
        <v>62</v>
      </c>
      <c r="E3620" s="5" t="n">
        <v>7</v>
      </c>
      <c r="F3620" s="5" t="s">
        <v>67</v>
      </c>
      <c r="G3620" s="2" t="s">
        <v>12057</v>
      </c>
      <c r="H3620" s="5" t="s">
        <v>8336</v>
      </c>
      <c r="I3620" s="5"/>
      <c r="J3620" s="5"/>
      <c r="K3620" s="5" t="s">
        <v>16852</v>
      </c>
    </row>
    <row r="3621" customFormat="false" ht="46.25" hidden="false" customHeight="false" outlineLevel="0" collapsed="false">
      <c r="A3621" s="5" t="s">
        <v>16853</v>
      </c>
      <c r="B3621" s="2" t="s">
        <v>16854</v>
      </c>
      <c r="C3621" s="5" t="s">
        <v>2245</v>
      </c>
      <c r="D3621" s="5" t="s">
        <v>62</v>
      </c>
      <c r="E3621" s="5" t="n">
        <v>5</v>
      </c>
      <c r="F3621" s="5" t="s">
        <v>67</v>
      </c>
      <c r="G3621" s="2" t="s">
        <v>12057</v>
      </c>
      <c r="H3621" s="5" t="s">
        <v>8336</v>
      </c>
      <c r="I3621" s="5"/>
      <c r="J3621" s="5"/>
      <c r="K3621" s="5" t="s">
        <v>16855</v>
      </c>
    </row>
    <row r="3622" customFormat="false" ht="46.25" hidden="false" customHeight="false" outlineLevel="0" collapsed="false">
      <c r="A3622" s="5" t="s">
        <v>16856</v>
      </c>
      <c r="B3622" s="2" t="s">
        <v>16857</v>
      </c>
      <c r="C3622" s="5" t="s">
        <v>2245</v>
      </c>
      <c r="D3622" s="5" t="s">
        <v>62</v>
      </c>
      <c r="E3622" s="5" t="n">
        <v>5</v>
      </c>
      <c r="F3622" s="5" t="s">
        <v>90</v>
      </c>
      <c r="G3622" s="2" t="s">
        <v>12057</v>
      </c>
      <c r="H3622" s="5" t="s">
        <v>8336</v>
      </c>
      <c r="I3622" s="5"/>
      <c r="J3622" s="5"/>
      <c r="K3622" s="5" t="s">
        <v>16858</v>
      </c>
    </row>
    <row r="3623" customFormat="false" ht="46.25" hidden="false" customHeight="false" outlineLevel="0" collapsed="false">
      <c r="A3623" s="5" t="s">
        <v>16859</v>
      </c>
      <c r="B3623" s="2" t="s">
        <v>16860</v>
      </c>
      <c r="C3623" s="5" t="s">
        <v>2245</v>
      </c>
      <c r="D3623" s="5" t="s">
        <v>62</v>
      </c>
      <c r="E3623" s="5" t="n">
        <v>7</v>
      </c>
      <c r="F3623" s="5" t="s">
        <v>90</v>
      </c>
      <c r="G3623" s="2" t="s">
        <v>12057</v>
      </c>
      <c r="H3623" s="5" t="s">
        <v>8336</v>
      </c>
      <c r="I3623" s="5"/>
      <c r="J3623" s="5"/>
      <c r="K3623" s="5" t="s">
        <v>16861</v>
      </c>
    </row>
    <row r="3624" customFormat="false" ht="46.25" hidden="false" customHeight="false" outlineLevel="0" collapsed="false">
      <c r="A3624" s="5" t="s">
        <v>16862</v>
      </c>
      <c r="B3624" s="2" t="s">
        <v>16863</v>
      </c>
      <c r="C3624" s="5" t="s">
        <v>2245</v>
      </c>
      <c r="D3624" s="5" t="s">
        <v>62</v>
      </c>
      <c r="E3624" s="5" t="n">
        <v>5</v>
      </c>
      <c r="F3624" s="5" t="s">
        <v>90</v>
      </c>
      <c r="G3624" s="2" t="s">
        <v>12057</v>
      </c>
      <c r="H3624" s="5" t="s">
        <v>8336</v>
      </c>
      <c r="I3624" s="5"/>
      <c r="J3624" s="5"/>
      <c r="K3624" s="5" t="s">
        <v>16864</v>
      </c>
    </row>
    <row r="3625" customFormat="false" ht="46.25" hidden="false" customHeight="false" outlineLevel="0" collapsed="false">
      <c r="A3625" s="5" t="s">
        <v>16865</v>
      </c>
      <c r="B3625" s="2" t="s">
        <v>16866</v>
      </c>
      <c r="C3625" s="5" t="s">
        <v>2245</v>
      </c>
      <c r="D3625" s="5" t="s">
        <v>490</v>
      </c>
      <c r="E3625" s="5" t="n">
        <v>7</v>
      </c>
      <c r="F3625" s="5" t="s">
        <v>544</v>
      </c>
      <c r="G3625" s="2" t="s">
        <v>12057</v>
      </c>
      <c r="H3625" s="5" t="s">
        <v>8336</v>
      </c>
      <c r="I3625" s="5"/>
      <c r="J3625" s="5"/>
      <c r="K3625" s="5" t="s">
        <v>16867</v>
      </c>
    </row>
    <row r="3626" customFormat="false" ht="46.25" hidden="false" customHeight="false" outlineLevel="0" collapsed="false">
      <c r="A3626" s="5" t="s">
        <v>16868</v>
      </c>
      <c r="B3626" s="2" t="s">
        <v>16869</v>
      </c>
      <c r="C3626" s="5" t="s">
        <v>2245</v>
      </c>
      <c r="D3626" s="5" t="s">
        <v>62</v>
      </c>
      <c r="E3626" s="5" t="n">
        <v>7</v>
      </c>
      <c r="F3626" s="5" t="s">
        <v>284</v>
      </c>
      <c r="G3626" s="2" t="s">
        <v>12057</v>
      </c>
      <c r="H3626" s="5" t="s">
        <v>8336</v>
      </c>
      <c r="I3626" s="5"/>
      <c r="J3626" s="5"/>
      <c r="K3626" s="5" t="s">
        <v>16870</v>
      </c>
    </row>
    <row r="3627" customFormat="false" ht="46.25" hidden="false" customHeight="false" outlineLevel="0" collapsed="false">
      <c r="A3627" s="5" t="s">
        <v>16871</v>
      </c>
      <c r="B3627" s="2" t="s">
        <v>16872</v>
      </c>
      <c r="C3627" s="5" t="s">
        <v>2245</v>
      </c>
      <c r="D3627" s="5" t="s">
        <v>62</v>
      </c>
      <c r="E3627" s="5" t="n">
        <v>7</v>
      </c>
      <c r="F3627" s="5" t="s">
        <v>90</v>
      </c>
      <c r="G3627" s="2" t="s">
        <v>12057</v>
      </c>
      <c r="H3627" s="5" t="s">
        <v>8336</v>
      </c>
      <c r="I3627" s="5"/>
      <c r="J3627" s="5"/>
      <c r="K3627" s="5" t="s">
        <v>16873</v>
      </c>
    </row>
    <row r="3628" customFormat="false" ht="46.25" hidden="false" customHeight="false" outlineLevel="0" collapsed="false">
      <c r="A3628" s="5" t="s">
        <v>16874</v>
      </c>
      <c r="B3628" s="2" t="s">
        <v>16875</v>
      </c>
      <c r="C3628" s="5" t="s">
        <v>2245</v>
      </c>
      <c r="D3628" s="5" t="s">
        <v>62</v>
      </c>
      <c r="E3628" s="5" t="n">
        <v>5</v>
      </c>
      <c r="F3628" s="5" t="s">
        <v>90</v>
      </c>
      <c r="G3628" s="2" t="s">
        <v>12057</v>
      </c>
      <c r="H3628" s="5" t="s">
        <v>8336</v>
      </c>
      <c r="I3628" s="5"/>
      <c r="J3628" s="5"/>
      <c r="K3628" s="5" t="s">
        <v>16876</v>
      </c>
    </row>
    <row r="3629" customFormat="false" ht="46.25" hidden="false" customHeight="false" outlineLevel="0" collapsed="false">
      <c r="A3629" s="5" t="s">
        <v>16877</v>
      </c>
      <c r="B3629" s="2" t="s">
        <v>16878</v>
      </c>
      <c r="C3629" s="5" t="s">
        <v>2245</v>
      </c>
      <c r="D3629" s="5" t="s">
        <v>62</v>
      </c>
      <c r="E3629" s="5" t="n">
        <v>7</v>
      </c>
      <c r="F3629" s="5" t="s">
        <v>67</v>
      </c>
      <c r="G3629" s="2" t="s">
        <v>12057</v>
      </c>
      <c r="H3629" s="5" t="s">
        <v>8336</v>
      </c>
      <c r="I3629" s="5"/>
      <c r="J3629" s="5"/>
      <c r="K3629" s="5" t="s">
        <v>16879</v>
      </c>
    </row>
    <row r="3630" customFormat="false" ht="23.85" hidden="false" customHeight="false" outlineLevel="0" collapsed="false">
      <c r="A3630" s="5" t="s">
        <v>4641</v>
      </c>
      <c r="B3630" s="2" t="s">
        <v>4642</v>
      </c>
      <c r="C3630" s="5" t="s">
        <v>2128</v>
      </c>
      <c r="D3630" s="5" t="s">
        <v>62</v>
      </c>
      <c r="E3630" s="5" t="n">
        <v>5</v>
      </c>
      <c r="F3630" s="5" t="s">
        <v>90</v>
      </c>
      <c r="G3630" s="2" t="s">
        <v>184</v>
      </c>
      <c r="H3630" s="5" t="s">
        <v>8332</v>
      </c>
      <c r="I3630" s="5" t="s">
        <v>60</v>
      </c>
      <c r="J3630" s="5" t="s">
        <v>269</v>
      </c>
      <c r="K3630" s="5" t="s">
        <v>4647</v>
      </c>
    </row>
    <row r="3631" customFormat="false" ht="23.85" hidden="false" customHeight="false" outlineLevel="0" collapsed="false">
      <c r="A3631" s="5" t="s">
        <v>16880</v>
      </c>
      <c r="B3631" s="2" t="s">
        <v>16881</v>
      </c>
      <c r="C3631" s="5" t="s">
        <v>2128</v>
      </c>
      <c r="D3631" s="5" t="s">
        <v>62</v>
      </c>
      <c r="E3631" s="5" t="n">
        <v>7</v>
      </c>
      <c r="F3631" s="5" t="s">
        <v>90</v>
      </c>
      <c r="G3631" s="2" t="s">
        <v>367</v>
      </c>
      <c r="H3631" s="5" t="s">
        <v>8336</v>
      </c>
      <c r="I3631" s="5"/>
      <c r="J3631" s="5"/>
      <c r="K3631" s="5" t="s">
        <v>16882</v>
      </c>
    </row>
    <row r="3632" customFormat="false" ht="15" hidden="false" customHeight="false" outlineLevel="0" collapsed="false">
      <c r="A3632" s="5" t="s">
        <v>4648</v>
      </c>
      <c r="B3632" s="2" t="s">
        <v>4649</v>
      </c>
      <c r="C3632" s="5" t="s">
        <v>2128</v>
      </c>
      <c r="D3632" s="5" t="s">
        <v>62</v>
      </c>
      <c r="E3632" s="5" t="n">
        <v>7</v>
      </c>
      <c r="F3632" s="5" t="s">
        <v>67</v>
      </c>
      <c r="G3632" s="2" t="s">
        <v>367</v>
      </c>
      <c r="H3632" s="5" t="s">
        <v>8332</v>
      </c>
      <c r="I3632" s="5" t="s">
        <v>60</v>
      </c>
      <c r="J3632" s="5" t="s">
        <v>3355</v>
      </c>
      <c r="K3632" s="5" t="s">
        <v>4653</v>
      </c>
    </row>
    <row r="3633" customFormat="false" ht="46.25" hidden="false" customHeight="false" outlineLevel="0" collapsed="false">
      <c r="A3633" s="5" t="s">
        <v>4654</v>
      </c>
      <c r="B3633" s="2" t="s">
        <v>4655</v>
      </c>
      <c r="C3633" s="5" t="s">
        <v>2245</v>
      </c>
      <c r="D3633" s="5" t="s">
        <v>62</v>
      </c>
      <c r="E3633" s="5" t="n">
        <v>5</v>
      </c>
      <c r="F3633" s="5" t="s">
        <v>100</v>
      </c>
      <c r="G3633" s="2" t="s">
        <v>12894</v>
      </c>
      <c r="H3633" s="5" t="s">
        <v>8332</v>
      </c>
      <c r="I3633" s="5" t="s">
        <v>60</v>
      </c>
      <c r="J3633" s="5" t="s">
        <v>397</v>
      </c>
      <c r="K3633" s="5" t="s">
        <v>4659</v>
      </c>
    </row>
    <row r="3634" customFormat="false" ht="46.25" hidden="false" customHeight="false" outlineLevel="0" collapsed="false">
      <c r="A3634" s="5" t="s">
        <v>16883</v>
      </c>
      <c r="B3634" s="2" t="s">
        <v>16884</v>
      </c>
      <c r="C3634" s="5" t="s">
        <v>2245</v>
      </c>
      <c r="D3634" s="5" t="s">
        <v>62</v>
      </c>
      <c r="E3634" s="5" t="n">
        <v>3</v>
      </c>
      <c r="F3634" s="5" t="s">
        <v>67</v>
      </c>
      <c r="G3634" s="2" t="s">
        <v>12057</v>
      </c>
      <c r="H3634" s="5" t="s">
        <v>8336</v>
      </c>
      <c r="I3634" s="5"/>
      <c r="J3634" s="5"/>
      <c r="K3634" s="5" t="s">
        <v>16885</v>
      </c>
    </row>
    <row r="3635" customFormat="false" ht="46.25" hidden="false" customHeight="false" outlineLevel="0" collapsed="false">
      <c r="A3635" s="5" t="s">
        <v>16886</v>
      </c>
      <c r="B3635" s="2" t="s">
        <v>16887</v>
      </c>
      <c r="C3635" s="5" t="s">
        <v>2245</v>
      </c>
      <c r="D3635" s="5" t="s">
        <v>62</v>
      </c>
      <c r="E3635" s="5" t="n">
        <v>5</v>
      </c>
      <c r="F3635" s="5" t="s">
        <v>90</v>
      </c>
      <c r="G3635" s="2" t="s">
        <v>12057</v>
      </c>
      <c r="H3635" s="5" t="s">
        <v>8336</v>
      </c>
      <c r="I3635" s="5"/>
      <c r="J3635" s="5"/>
      <c r="K3635" s="5" t="s">
        <v>16888</v>
      </c>
    </row>
    <row r="3636" customFormat="false" ht="46.25" hidden="false" customHeight="false" outlineLevel="0" collapsed="false">
      <c r="A3636" s="5" t="s">
        <v>16889</v>
      </c>
      <c r="B3636" s="2" t="s">
        <v>16890</v>
      </c>
      <c r="C3636" s="5" t="s">
        <v>2245</v>
      </c>
      <c r="D3636" s="5" t="s">
        <v>490</v>
      </c>
      <c r="E3636" s="5" t="n">
        <v>7</v>
      </c>
      <c r="F3636" s="5" t="s">
        <v>67</v>
      </c>
      <c r="G3636" s="2" t="s">
        <v>12057</v>
      </c>
      <c r="H3636" s="5" t="s">
        <v>8336</v>
      </c>
      <c r="I3636" s="5"/>
      <c r="J3636" s="5"/>
      <c r="K3636" s="5" t="s">
        <v>16891</v>
      </c>
    </row>
    <row r="3637" customFormat="false" ht="15" hidden="false" customHeight="false" outlineLevel="0" collapsed="false">
      <c r="A3637" s="5" t="s">
        <v>16892</v>
      </c>
      <c r="B3637" s="2" t="s">
        <v>16893</v>
      </c>
      <c r="C3637" s="5" t="s">
        <v>2128</v>
      </c>
      <c r="D3637" s="5" t="s">
        <v>62</v>
      </c>
      <c r="E3637" s="5" t="n">
        <v>7</v>
      </c>
      <c r="F3637" s="5" t="s">
        <v>67</v>
      </c>
      <c r="G3637" s="2" t="s">
        <v>367</v>
      </c>
      <c r="H3637" s="5" t="s">
        <v>8336</v>
      </c>
      <c r="I3637" s="5"/>
      <c r="J3637" s="5"/>
      <c r="K3637" s="5" t="s">
        <v>16894</v>
      </c>
    </row>
    <row r="3638" customFormat="false" ht="23.85" hidden="false" customHeight="false" outlineLevel="0" collapsed="false">
      <c r="A3638" s="5" t="s">
        <v>16895</v>
      </c>
      <c r="B3638" s="2" t="s">
        <v>16896</v>
      </c>
      <c r="C3638" s="5" t="s">
        <v>2128</v>
      </c>
      <c r="D3638" s="5" t="s">
        <v>62</v>
      </c>
      <c r="E3638" s="5" t="n">
        <v>5</v>
      </c>
      <c r="F3638" s="5" t="s">
        <v>277</v>
      </c>
      <c r="G3638" s="2" t="s">
        <v>367</v>
      </c>
      <c r="H3638" s="5" t="s">
        <v>8336</v>
      </c>
      <c r="I3638" s="5"/>
      <c r="J3638" s="5"/>
      <c r="K3638" s="5" t="s">
        <v>16897</v>
      </c>
    </row>
    <row r="3639" customFormat="false" ht="46.25" hidden="false" customHeight="false" outlineLevel="0" collapsed="false">
      <c r="A3639" s="5" t="s">
        <v>16898</v>
      </c>
      <c r="B3639" s="2" t="s">
        <v>16899</v>
      </c>
      <c r="C3639" s="5" t="s">
        <v>2245</v>
      </c>
      <c r="D3639" s="5" t="s">
        <v>62</v>
      </c>
      <c r="E3639" s="5" t="n">
        <v>7</v>
      </c>
      <c r="F3639" s="5" t="s">
        <v>90</v>
      </c>
      <c r="G3639" s="2" t="s">
        <v>12057</v>
      </c>
      <c r="H3639" s="5" t="s">
        <v>8336</v>
      </c>
      <c r="I3639" s="5"/>
      <c r="J3639" s="5"/>
      <c r="K3639" s="5" t="s">
        <v>16900</v>
      </c>
    </row>
    <row r="3640" customFormat="false" ht="15" hidden="false" customHeight="false" outlineLevel="0" collapsed="false">
      <c r="A3640" s="5" t="s">
        <v>16901</v>
      </c>
      <c r="B3640" s="2" t="s">
        <v>16902</v>
      </c>
      <c r="C3640" s="5" t="s">
        <v>2128</v>
      </c>
      <c r="D3640" s="5" t="s">
        <v>62</v>
      </c>
      <c r="E3640" s="5" t="n">
        <v>5</v>
      </c>
      <c r="F3640" s="5" t="s">
        <v>67</v>
      </c>
      <c r="G3640" s="2" t="s">
        <v>367</v>
      </c>
      <c r="H3640" s="5" t="s">
        <v>8336</v>
      </c>
      <c r="I3640" s="5"/>
      <c r="J3640" s="5"/>
      <c r="K3640" s="5" t="s">
        <v>16903</v>
      </c>
    </row>
    <row r="3641" customFormat="false" ht="15" hidden="false" customHeight="false" outlineLevel="0" collapsed="false">
      <c r="A3641" s="5" t="s">
        <v>16904</v>
      </c>
      <c r="B3641" s="2" t="s">
        <v>16905</v>
      </c>
      <c r="C3641" s="5" t="s">
        <v>2128</v>
      </c>
      <c r="D3641" s="5" t="s">
        <v>62</v>
      </c>
      <c r="E3641" s="5" t="n">
        <v>7</v>
      </c>
      <c r="F3641" s="5" t="s">
        <v>67</v>
      </c>
      <c r="G3641" s="2" t="s">
        <v>367</v>
      </c>
      <c r="H3641" s="5" t="s">
        <v>8336</v>
      </c>
      <c r="I3641" s="5"/>
      <c r="J3641" s="5"/>
      <c r="K3641" s="5" t="s">
        <v>16906</v>
      </c>
    </row>
    <row r="3642" customFormat="false" ht="15" hidden="false" customHeight="false" outlineLevel="0" collapsed="false">
      <c r="A3642" s="5" t="s">
        <v>16907</v>
      </c>
      <c r="B3642" s="2" t="s">
        <v>16908</v>
      </c>
      <c r="C3642" s="5" t="s">
        <v>2128</v>
      </c>
      <c r="D3642" s="5" t="s">
        <v>62</v>
      </c>
      <c r="E3642" s="5" t="n">
        <v>3</v>
      </c>
      <c r="F3642" s="5" t="s">
        <v>67</v>
      </c>
      <c r="G3642" s="2" t="s">
        <v>367</v>
      </c>
      <c r="H3642" s="5" t="s">
        <v>8336</v>
      </c>
      <c r="I3642" s="5"/>
      <c r="J3642" s="5"/>
      <c r="K3642" s="5" t="s">
        <v>16909</v>
      </c>
    </row>
    <row r="3643" customFormat="false" ht="46.25" hidden="false" customHeight="false" outlineLevel="0" collapsed="false">
      <c r="A3643" s="5" t="s">
        <v>16910</v>
      </c>
      <c r="B3643" s="2" t="s">
        <v>16911</v>
      </c>
      <c r="C3643" s="5" t="s">
        <v>2245</v>
      </c>
      <c r="D3643" s="5" t="s">
        <v>490</v>
      </c>
      <c r="E3643" s="5" t="n">
        <v>5</v>
      </c>
      <c r="F3643" s="5" t="s">
        <v>67</v>
      </c>
      <c r="G3643" s="2" t="s">
        <v>12057</v>
      </c>
      <c r="H3643" s="5" t="s">
        <v>8336</v>
      </c>
      <c r="I3643" s="5"/>
      <c r="J3643" s="5"/>
      <c r="K3643" s="5" t="s">
        <v>16912</v>
      </c>
    </row>
    <row r="3644" customFormat="false" ht="23.85" hidden="false" customHeight="false" outlineLevel="0" collapsed="false">
      <c r="A3644" s="5" t="s">
        <v>16913</v>
      </c>
      <c r="B3644" s="2" t="s">
        <v>16914</v>
      </c>
      <c r="C3644" s="5" t="s">
        <v>2128</v>
      </c>
      <c r="D3644" s="5" t="s">
        <v>62</v>
      </c>
      <c r="E3644" s="5" t="n">
        <v>5</v>
      </c>
      <c r="F3644" s="5" t="s">
        <v>90</v>
      </c>
      <c r="G3644" s="2" t="s">
        <v>367</v>
      </c>
      <c r="H3644" s="5" t="s">
        <v>8336</v>
      </c>
      <c r="I3644" s="5"/>
      <c r="J3644" s="5"/>
      <c r="K3644" s="5" t="s">
        <v>16915</v>
      </c>
    </row>
    <row r="3645" customFormat="false" ht="46.25" hidden="false" customHeight="false" outlineLevel="0" collapsed="false">
      <c r="A3645" s="5" t="s">
        <v>16916</v>
      </c>
      <c r="B3645" s="2" t="s">
        <v>16917</v>
      </c>
      <c r="C3645" s="5" t="s">
        <v>2245</v>
      </c>
      <c r="D3645" s="5" t="s">
        <v>62</v>
      </c>
      <c r="E3645" s="5" t="n">
        <v>5</v>
      </c>
      <c r="F3645" s="5" t="s">
        <v>90</v>
      </c>
      <c r="G3645" s="2" t="s">
        <v>12054</v>
      </c>
      <c r="H3645" s="5" t="s">
        <v>8336</v>
      </c>
      <c r="I3645" s="5"/>
      <c r="J3645" s="5"/>
      <c r="K3645" s="5" t="s">
        <v>16918</v>
      </c>
    </row>
    <row r="3646" customFormat="false" ht="23.85" hidden="false" customHeight="false" outlineLevel="0" collapsed="false">
      <c r="A3646" s="5" t="s">
        <v>4660</v>
      </c>
      <c r="B3646" s="2" t="s">
        <v>4661</v>
      </c>
      <c r="C3646" s="5" t="s">
        <v>2128</v>
      </c>
      <c r="D3646" s="5" t="s">
        <v>62</v>
      </c>
      <c r="E3646" s="5" t="n">
        <v>7</v>
      </c>
      <c r="F3646" s="5" t="s">
        <v>67</v>
      </c>
      <c r="G3646" s="2" t="s">
        <v>184</v>
      </c>
      <c r="H3646" s="5" t="s">
        <v>8332</v>
      </c>
      <c r="I3646" s="5" t="s">
        <v>60</v>
      </c>
      <c r="J3646" s="5" t="s">
        <v>269</v>
      </c>
      <c r="K3646" s="5" t="s">
        <v>4664</v>
      </c>
    </row>
    <row r="3647" customFormat="false" ht="46.25" hidden="false" customHeight="false" outlineLevel="0" collapsed="false">
      <c r="A3647" s="5" t="s">
        <v>16919</v>
      </c>
      <c r="B3647" s="2" t="s">
        <v>16920</v>
      </c>
      <c r="C3647" s="5" t="s">
        <v>2245</v>
      </c>
      <c r="D3647" s="5" t="s">
        <v>62</v>
      </c>
      <c r="E3647" s="5" t="n">
        <v>5</v>
      </c>
      <c r="F3647" s="5" t="s">
        <v>67</v>
      </c>
      <c r="G3647" s="2" t="s">
        <v>12057</v>
      </c>
      <c r="H3647" s="5" t="s">
        <v>8336</v>
      </c>
      <c r="I3647" s="5"/>
      <c r="J3647" s="5"/>
      <c r="K3647" s="5" t="s">
        <v>16921</v>
      </c>
    </row>
    <row r="3648" customFormat="false" ht="23.85" hidden="false" customHeight="false" outlineLevel="0" collapsed="false">
      <c r="A3648" s="5" t="s">
        <v>2027</v>
      </c>
      <c r="B3648" s="2" t="s">
        <v>2028</v>
      </c>
      <c r="C3648" s="5" t="s">
        <v>488</v>
      </c>
      <c r="D3648" s="5" t="s">
        <v>62</v>
      </c>
      <c r="E3648" s="5" t="n">
        <v>5</v>
      </c>
      <c r="F3648" s="5" t="s">
        <v>100</v>
      </c>
      <c r="G3648" s="2" t="s">
        <v>367</v>
      </c>
      <c r="H3648" s="5" t="s">
        <v>8332</v>
      </c>
      <c r="I3648" s="5" t="s">
        <v>60</v>
      </c>
      <c r="J3648" s="5" t="s">
        <v>100</v>
      </c>
      <c r="K3648" s="5" t="s">
        <v>2032</v>
      </c>
    </row>
    <row r="3649" customFormat="false" ht="46.25" hidden="false" customHeight="false" outlineLevel="0" collapsed="false">
      <c r="A3649" s="5" t="s">
        <v>16922</v>
      </c>
      <c r="B3649" s="2" t="s">
        <v>16923</v>
      </c>
      <c r="C3649" s="5" t="s">
        <v>2245</v>
      </c>
      <c r="D3649" s="5" t="s">
        <v>62</v>
      </c>
      <c r="E3649" s="5" t="n">
        <v>7</v>
      </c>
      <c r="F3649" s="5" t="s">
        <v>67</v>
      </c>
      <c r="G3649" s="2" t="s">
        <v>12057</v>
      </c>
      <c r="H3649" s="5" t="s">
        <v>8336</v>
      </c>
      <c r="I3649" s="5"/>
      <c r="J3649" s="5"/>
      <c r="K3649" s="5" t="s">
        <v>16924</v>
      </c>
    </row>
    <row r="3650" customFormat="false" ht="46.25" hidden="false" customHeight="false" outlineLevel="0" collapsed="false">
      <c r="A3650" s="5" t="s">
        <v>16925</v>
      </c>
      <c r="B3650" s="2" t="s">
        <v>16926</v>
      </c>
      <c r="C3650" s="5" t="s">
        <v>2245</v>
      </c>
      <c r="D3650" s="5" t="s">
        <v>62</v>
      </c>
      <c r="E3650" s="5" t="n">
        <v>5</v>
      </c>
      <c r="F3650" s="5" t="s">
        <v>67</v>
      </c>
      <c r="G3650" s="2" t="s">
        <v>12057</v>
      </c>
      <c r="H3650" s="5" t="s">
        <v>8336</v>
      </c>
      <c r="I3650" s="5"/>
      <c r="J3650" s="5"/>
      <c r="K3650" s="5" t="s">
        <v>16927</v>
      </c>
    </row>
    <row r="3651" customFormat="false" ht="46.25" hidden="false" customHeight="false" outlineLevel="0" collapsed="false">
      <c r="A3651" s="5" t="s">
        <v>6442</v>
      </c>
      <c r="B3651" s="2" t="s">
        <v>6443</v>
      </c>
      <c r="C3651" s="5" t="s">
        <v>2245</v>
      </c>
      <c r="D3651" s="5" t="s">
        <v>62</v>
      </c>
      <c r="E3651" s="5" t="n">
        <v>5</v>
      </c>
      <c r="F3651" s="5" t="s">
        <v>2079</v>
      </c>
      <c r="G3651" s="2" t="s">
        <v>12174</v>
      </c>
      <c r="H3651" s="5" t="s">
        <v>8332</v>
      </c>
      <c r="I3651" s="5" t="s">
        <v>4760</v>
      </c>
      <c r="J3651" s="5" t="s">
        <v>2079</v>
      </c>
      <c r="K3651" s="5" t="s">
        <v>6449</v>
      </c>
    </row>
    <row r="3652" customFormat="false" ht="15" hidden="false" customHeight="false" outlineLevel="0" collapsed="false">
      <c r="A3652" s="5" t="s">
        <v>16928</v>
      </c>
      <c r="B3652" s="2" t="s">
        <v>16929</v>
      </c>
      <c r="C3652" s="5" t="s">
        <v>2128</v>
      </c>
      <c r="D3652" s="5" t="s">
        <v>62</v>
      </c>
      <c r="E3652" s="5" t="n">
        <v>7</v>
      </c>
      <c r="F3652" s="5" t="s">
        <v>544</v>
      </c>
      <c r="G3652" s="2" t="s">
        <v>367</v>
      </c>
      <c r="H3652" s="5" t="s">
        <v>8336</v>
      </c>
      <c r="I3652" s="5"/>
      <c r="J3652" s="5"/>
      <c r="K3652" s="5" t="s">
        <v>16930</v>
      </c>
    </row>
    <row r="3653" customFormat="false" ht="46.25" hidden="false" customHeight="false" outlineLevel="0" collapsed="false">
      <c r="A3653" s="5" t="s">
        <v>16931</v>
      </c>
      <c r="B3653" s="2" t="s">
        <v>16932</v>
      </c>
      <c r="C3653" s="5" t="s">
        <v>2245</v>
      </c>
      <c r="D3653" s="5" t="s">
        <v>62</v>
      </c>
      <c r="E3653" s="5" t="n">
        <v>7</v>
      </c>
      <c r="F3653" s="5" t="s">
        <v>544</v>
      </c>
      <c r="G3653" s="2" t="s">
        <v>12057</v>
      </c>
      <c r="H3653" s="5" t="s">
        <v>8336</v>
      </c>
      <c r="I3653" s="5"/>
      <c r="J3653" s="5"/>
      <c r="K3653" s="5" t="s">
        <v>16933</v>
      </c>
    </row>
    <row r="3654" customFormat="false" ht="46.25" hidden="false" customHeight="false" outlineLevel="0" collapsed="false">
      <c r="A3654" s="5" t="s">
        <v>16934</v>
      </c>
      <c r="B3654" s="2" t="s">
        <v>16935</v>
      </c>
      <c r="C3654" s="5" t="s">
        <v>2245</v>
      </c>
      <c r="D3654" s="5" t="s">
        <v>62</v>
      </c>
      <c r="E3654" s="5" t="n">
        <v>7</v>
      </c>
      <c r="F3654" s="5" t="s">
        <v>67</v>
      </c>
      <c r="G3654" s="2" t="s">
        <v>12057</v>
      </c>
      <c r="H3654" s="5" t="s">
        <v>8336</v>
      </c>
      <c r="I3654" s="5"/>
      <c r="J3654" s="5"/>
      <c r="K3654" s="5" t="s">
        <v>16936</v>
      </c>
    </row>
    <row r="3655" customFormat="false" ht="46.25" hidden="false" customHeight="false" outlineLevel="0" collapsed="false">
      <c r="A3655" s="5" t="s">
        <v>16937</v>
      </c>
      <c r="B3655" s="2" t="s">
        <v>16938</v>
      </c>
      <c r="C3655" s="5" t="s">
        <v>2245</v>
      </c>
      <c r="D3655" s="5" t="s">
        <v>62</v>
      </c>
      <c r="E3655" s="5" t="n">
        <v>5</v>
      </c>
      <c r="F3655" s="5" t="s">
        <v>67</v>
      </c>
      <c r="G3655" s="2" t="s">
        <v>12057</v>
      </c>
      <c r="H3655" s="5" t="s">
        <v>8336</v>
      </c>
      <c r="I3655" s="5"/>
      <c r="J3655" s="5"/>
      <c r="K3655" s="5" t="s">
        <v>16939</v>
      </c>
    </row>
    <row r="3656" customFormat="false" ht="15" hidden="false" customHeight="false" outlineLevel="0" collapsed="false">
      <c r="A3656" s="5" t="s">
        <v>16940</v>
      </c>
      <c r="B3656" s="2" t="s">
        <v>16941</v>
      </c>
      <c r="C3656" s="5" t="s">
        <v>2128</v>
      </c>
      <c r="D3656" s="5" t="s">
        <v>62</v>
      </c>
      <c r="E3656" s="5" t="n">
        <v>5</v>
      </c>
      <c r="F3656" s="5" t="s">
        <v>90</v>
      </c>
      <c r="G3656" s="2" t="s">
        <v>367</v>
      </c>
      <c r="H3656" s="5" t="s">
        <v>8336</v>
      </c>
      <c r="I3656" s="5"/>
      <c r="J3656" s="5"/>
      <c r="K3656" s="5" t="s">
        <v>16942</v>
      </c>
    </row>
    <row r="3657" customFormat="false" ht="46.25" hidden="false" customHeight="false" outlineLevel="0" collapsed="false">
      <c r="A3657" s="5" t="s">
        <v>16943</v>
      </c>
      <c r="B3657" s="2" t="s">
        <v>16944</v>
      </c>
      <c r="C3657" s="5" t="s">
        <v>2245</v>
      </c>
      <c r="D3657" s="5" t="s">
        <v>62</v>
      </c>
      <c r="E3657" s="5" t="n">
        <v>7</v>
      </c>
      <c r="F3657" s="5" t="s">
        <v>284</v>
      </c>
      <c r="G3657" s="2" t="s">
        <v>12057</v>
      </c>
      <c r="H3657" s="5" t="s">
        <v>8336</v>
      </c>
      <c r="I3657" s="5"/>
      <c r="J3657" s="5"/>
      <c r="K3657" s="5" t="s">
        <v>16945</v>
      </c>
    </row>
    <row r="3658" customFormat="false" ht="23.85" hidden="false" customHeight="false" outlineLevel="0" collapsed="false">
      <c r="A3658" s="5" t="s">
        <v>16946</v>
      </c>
      <c r="B3658" s="2" t="s">
        <v>16947</v>
      </c>
      <c r="C3658" s="5" t="s">
        <v>2128</v>
      </c>
      <c r="D3658" s="5" t="s">
        <v>62</v>
      </c>
      <c r="E3658" s="5" t="n">
        <v>5</v>
      </c>
      <c r="F3658" s="5" t="s">
        <v>413</v>
      </c>
      <c r="G3658" s="2" t="s">
        <v>367</v>
      </c>
      <c r="H3658" s="5" t="s">
        <v>8336</v>
      </c>
      <c r="I3658" s="5"/>
      <c r="J3658" s="5"/>
      <c r="K3658" s="5" t="s">
        <v>16948</v>
      </c>
    </row>
    <row r="3659" customFormat="false" ht="46.25" hidden="false" customHeight="false" outlineLevel="0" collapsed="false">
      <c r="A3659" s="5" t="s">
        <v>16949</v>
      </c>
      <c r="B3659" s="2" t="s">
        <v>16950</v>
      </c>
      <c r="C3659" s="5" t="s">
        <v>2245</v>
      </c>
      <c r="D3659" s="5" t="s">
        <v>62</v>
      </c>
      <c r="E3659" s="5" t="n">
        <v>5</v>
      </c>
      <c r="F3659" s="5" t="s">
        <v>413</v>
      </c>
      <c r="G3659" s="2" t="s">
        <v>12054</v>
      </c>
      <c r="H3659" s="5" t="s">
        <v>8336</v>
      </c>
      <c r="I3659" s="5"/>
      <c r="J3659" s="5"/>
      <c r="K3659" s="5" t="s">
        <v>16951</v>
      </c>
    </row>
    <row r="3660" customFormat="false" ht="46.25" hidden="false" customHeight="false" outlineLevel="0" collapsed="false">
      <c r="A3660" s="5" t="s">
        <v>16952</v>
      </c>
      <c r="B3660" s="2" t="s">
        <v>16953</v>
      </c>
      <c r="C3660" s="5" t="s">
        <v>2245</v>
      </c>
      <c r="D3660" s="5" t="s">
        <v>490</v>
      </c>
      <c r="E3660" s="5" t="n">
        <v>3</v>
      </c>
      <c r="F3660" s="5" t="s">
        <v>544</v>
      </c>
      <c r="G3660" s="2" t="s">
        <v>12174</v>
      </c>
      <c r="H3660" s="5" t="s">
        <v>8336</v>
      </c>
      <c r="I3660" s="5"/>
      <c r="J3660" s="5"/>
      <c r="K3660" s="5" t="s">
        <v>16954</v>
      </c>
    </row>
    <row r="3661" customFormat="false" ht="46.25" hidden="false" customHeight="false" outlineLevel="0" collapsed="false">
      <c r="A3661" s="5" t="s">
        <v>16955</v>
      </c>
      <c r="B3661" s="2" t="s">
        <v>16956</v>
      </c>
      <c r="C3661" s="5" t="s">
        <v>2245</v>
      </c>
      <c r="D3661" s="5" t="s">
        <v>490</v>
      </c>
      <c r="E3661" s="5" t="n">
        <v>3</v>
      </c>
      <c r="F3661" s="5" t="s">
        <v>277</v>
      </c>
      <c r="G3661" s="2" t="s">
        <v>12054</v>
      </c>
      <c r="H3661" s="5" t="s">
        <v>8336</v>
      </c>
      <c r="I3661" s="5"/>
      <c r="J3661" s="5"/>
      <c r="K3661" s="5" t="s">
        <v>16957</v>
      </c>
    </row>
    <row r="3662" customFormat="false" ht="46.25" hidden="false" customHeight="false" outlineLevel="0" collapsed="false">
      <c r="A3662" s="5" t="s">
        <v>16958</v>
      </c>
      <c r="B3662" s="2" t="s">
        <v>16959</v>
      </c>
      <c r="C3662" s="5" t="s">
        <v>2245</v>
      </c>
      <c r="D3662" s="5" t="s">
        <v>62</v>
      </c>
      <c r="E3662" s="5" t="n">
        <v>3</v>
      </c>
      <c r="F3662" s="5" t="s">
        <v>277</v>
      </c>
      <c r="G3662" s="2" t="s">
        <v>12054</v>
      </c>
      <c r="H3662" s="5" t="s">
        <v>8336</v>
      </c>
      <c r="I3662" s="5"/>
      <c r="J3662" s="5"/>
      <c r="K3662" s="5" t="s">
        <v>16960</v>
      </c>
    </row>
    <row r="3663" customFormat="false" ht="15" hidden="false" customHeight="false" outlineLevel="0" collapsed="false">
      <c r="A3663" s="5" t="s">
        <v>16961</v>
      </c>
      <c r="B3663" s="2" t="s">
        <v>16962</v>
      </c>
      <c r="C3663" s="5" t="s">
        <v>2128</v>
      </c>
      <c r="D3663" s="5" t="s">
        <v>62</v>
      </c>
      <c r="E3663" s="5" t="n">
        <v>5</v>
      </c>
      <c r="F3663" s="5" t="s">
        <v>67</v>
      </c>
      <c r="G3663" s="2" t="s">
        <v>367</v>
      </c>
      <c r="H3663" s="5" t="s">
        <v>8336</v>
      </c>
      <c r="I3663" s="5"/>
      <c r="J3663" s="5"/>
      <c r="K3663" s="5" t="s">
        <v>16963</v>
      </c>
    </row>
    <row r="3664" customFormat="false" ht="15" hidden="false" customHeight="false" outlineLevel="0" collapsed="false">
      <c r="A3664" s="5" t="s">
        <v>16964</v>
      </c>
      <c r="B3664" s="2" t="s">
        <v>16965</v>
      </c>
      <c r="C3664" s="5" t="s">
        <v>2128</v>
      </c>
      <c r="D3664" s="5" t="s">
        <v>62</v>
      </c>
      <c r="E3664" s="5" t="n">
        <v>5</v>
      </c>
      <c r="F3664" s="5" t="s">
        <v>67</v>
      </c>
      <c r="G3664" s="2" t="s">
        <v>367</v>
      </c>
      <c r="H3664" s="5" t="s">
        <v>8336</v>
      </c>
      <c r="I3664" s="5"/>
      <c r="J3664" s="5"/>
      <c r="K3664" s="5" t="s">
        <v>16966</v>
      </c>
    </row>
    <row r="3665" customFormat="false" ht="15" hidden="false" customHeight="false" outlineLevel="0" collapsed="false">
      <c r="A3665" s="5" t="s">
        <v>16967</v>
      </c>
      <c r="B3665" s="2" t="s">
        <v>16968</v>
      </c>
      <c r="C3665" s="5" t="s">
        <v>2128</v>
      </c>
      <c r="D3665" s="5" t="s">
        <v>62</v>
      </c>
      <c r="E3665" s="5" t="n">
        <v>7</v>
      </c>
      <c r="F3665" s="5" t="s">
        <v>67</v>
      </c>
      <c r="G3665" s="2" t="s">
        <v>367</v>
      </c>
      <c r="H3665" s="5" t="s">
        <v>8336</v>
      </c>
      <c r="I3665" s="5"/>
      <c r="J3665" s="5"/>
      <c r="K3665" s="5" t="s">
        <v>16969</v>
      </c>
    </row>
    <row r="3666" customFormat="false" ht="15" hidden="false" customHeight="false" outlineLevel="0" collapsed="false">
      <c r="A3666" s="5" t="s">
        <v>2033</v>
      </c>
      <c r="B3666" s="2" t="s">
        <v>2034</v>
      </c>
      <c r="C3666" s="5" t="s">
        <v>488</v>
      </c>
      <c r="D3666" s="5" t="s">
        <v>62</v>
      </c>
      <c r="E3666" s="5" t="n">
        <v>5</v>
      </c>
      <c r="F3666" s="5" t="s">
        <v>100</v>
      </c>
      <c r="G3666" s="2" t="s">
        <v>367</v>
      </c>
      <c r="H3666" s="5" t="s">
        <v>8332</v>
      </c>
      <c r="I3666" s="5" t="s">
        <v>60</v>
      </c>
      <c r="J3666" s="5" t="s">
        <v>100</v>
      </c>
      <c r="K3666" s="5" t="s">
        <v>2037</v>
      </c>
    </row>
    <row r="3667" customFormat="false" ht="15" hidden="false" customHeight="false" outlineLevel="0" collapsed="false">
      <c r="A3667" s="5" t="s">
        <v>16970</v>
      </c>
      <c r="B3667" s="2" t="s">
        <v>16971</v>
      </c>
      <c r="C3667" s="5" t="s">
        <v>2128</v>
      </c>
      <c r="D3667" s="5" t="s">
        <v>62</v>
      </c>
      <c r="E3667" s="5" t="n">
        <v>3</v>
      </c>
      <c r="F3667" s="5" t="s">
        <v>1210</v>
      </c>
      <c r="G3667" s="2" t="s">
        <v>367</v>
      </c>
      <c r="H3667" s="5" t="s">
        <v>8336</v>
      </c>
      <c r="I3667" s="5"/>
      <c r="J3667" s="5"/>
      <c r="K3667" s="5" t="s">
        <v>16972</v>
      </c>
    </row>
    <row r="3668" customFormat="false" ht="15" hidden="false" customHeight="false" outlineLevel="0" collapsed="false">
      <c r="A3668" s="5" t="s">
        <v>16973</v>
      </c>
      <c r="B3668" s="2" t="s">
        <v>16974</v>
      </c>
      <c r="C3668" s="5" t="s">
        <v>2128</v>
      </c>
      <c r="D3668" s="5" t="s">
        <v>62</v>
      </c>
      <c r="E3668" s="5" t="n">
        <v>5</v>
      </c>
      <c r="F3668" s="5" t="s">
        <v>90</v>
      </c>
      <c r="G3668" s="2" t="s">
        <v>367</v>
      </c>
      <c r="H3668" s="5" t="s">
        <v>8336</v>
      </c>
      <c r="I3668" s="5"/>
      <c r="J3668" s="5"/>
      <c r="K3668" s="5" t="s">
        <v>16975</v>
      </c>
    </row>
    <row r="3669" customFormat="false" ht="46.25" hidden="false" customHeight="false" outlineLevel="0" collapsed="false">
      <c r="A3669" s="5" t="s">
        <v>16976</v>
      </c>
      <c r="B3669" s="2" t="s">
        <v>16977</v>
      </c>
      <c r="C3669" s="5" t="s">
        <v>2245</v>
      </c>
      <c r="D3669" s="5" t="s">
        <v>62</v>
      </c>
      <c r="E3669" s="5" t="n">
        <v>5</v>
      </c>
      <c r="F3669" s="5" t="s">
        <v>90</v>
      </c>
      <c r="G3669" s="2" t="s">
        <v>12057</v>
      </c>
      <c r="H3669" s="5" t="s">
        <v>8336</v>
      </c>
      <c r="I3669" s="5"/>
      <c r="J3669" s="5"/>
      <c r="K3669" s="5" t="s">
        <v>16978</v>
      </c>
    </row>
    <row r="3670" customFormat="false" ht="23.85" hidden="false" customHeight="false" outlineLevel="0" collapsed="false">
      <c r="A3670" s="5" t="s">
        <v>16979</v>
      </c>
      <c r="B3670" s="2" t="s">
        <v>16980</v>
      </c>
      <c r="C3670" s="5" t="s">
        <v>2128</v>
      </c>
      <c r="D3670" s="5" t="s">
        <v>490</v>
      </c>
      <c r="E3670" s="5" t="n">
        <v>5</v>
      </c>
      <c r="F3670" s="5" t="s">
        <v>1814</v>
      </c>
      <c r="G3670" s="2" t="s">
        <v>367</v>
      </c>
      <c r="H3670" s="5" t="s">
        <v>8336</v>
      </c>
      <c r="I3670" s="5"/>
      <c r="J3670" s="5"/>
      <c r="K3670" s="5" t="s">
        <v>16981</v>
      </c>
    </row>
    <row r="3671" customFormat="false" ht="15" hidden="false" customHeight="false" outlineLevel="0" collapsed="false">
      <c r="A3671" s="5" t="s">
        <v>16982</v>
      </c>
      <c r="B3671" s="2" t="s">
        <v>16983</v>
      </c>
      <c r="C3671" s="5" t="s">
        <v>2128</v>
      </c>
      <c r="D3671" s="5" t="s">
        <v>490</v>
      </c>
      <c r="E3671" s="5" t="n">
        <v>5</v>
      </c>
      <c r="F3671" s="5" t="s">
        <v>1814</v>
      </c>
      <c r="G3671" s="2" t="s">
        <v>367</v>
      </c>
      <c r="H3671" s="5" t="s">
        <v>8336</v>
      </c>
      <c r="I3671" s="5"/>
      <c r="J3671" s="5"/>
      <c r="K3671" s="5" t="s">
        <v>16984</v>
      </c>
    </row>
    <row r="3672" customFormat="false" ht="15" hidden="false" customHeight="false" outlineLevel="0" collapsed="false">
      <c r="A3672" s="5" t="s">
        <v>16985</v>
      </c>
      <c r="B3672" s="2" t="s">
        <v>16986</v>
      </c>
      <c r="C3672" s="5" t="s">
        <v>2128</v>
      </c>
      <c r="D3672" s="5" t="s">
        <v>62</v>
      </c>
      <c r="E3672" s="5" t="n">
        <v>5</v>
      </c>
      <c r="F3672" s="5" t="s">
        <v>90</v>
      </c>
      <c r="G3672" s="2" t="s">
        <v>367</v>
      </c>
      <c r="H3672" s="5" t="s">
        <v>8336</v>
      </c>
      <c r="I3672" s="5"/>
      <c r="J3672" s="5"/>
      <c r="K3672" s="5" t="s">
        <v>16987</v>
      </c>
    </row>
    <row r="3673" customFormat="false" ht="15" hidden="false" customHeight="false" outlineLevel="0" collapsed="false">
      <c r="A3673" s="5" t="s">
        <v>16988</v>
      </c>
      <c r="B3673" s="2" t="s">
        <v>16989</v>
      </c>
      <c r="C3673" s="5" t="s">
        <v>2128</v>
      </c>
      <c r="D3673" s="5" t="s">
        <v>62</v>
      </c>
      <c r="E3673" s="5" t="n">
        <v>5</v>
      </c>
      <c r="F3673" s="5" t="s">
        <v>90</v>
      </c>
      <c r="G3673" s="2" t="s">
        <v>367</v>
      </c>
      <c r="H3673" s="5" t="s">
        <v>8336</v>
      </c>
      <c r="I3673" s="5"/>
      <c r="J3673" s="5"/>
      <c r="K3673" s="5" t="s">
        <v>16990</v>
      </c>
    </row>
    <row r="3674" customFormat="false" ht="15" hidden="false" customHeight="false" outlineLevel="0" collapsed="false">
      <c r="A3674" s="5" t="s">
        <v>2038</v>
      </c>
      <c r="B3674" s="2" t="s">
        <v>2039</v>
      </c>
      <c r="C3674" s="5" t="s">
        <v>488</v>
      </c>
      <c r="D3674" s="5" t="s">
        <v>490</v>
      </c>
      <c r="E3674" s="5" t="n">
        <v>5</v>
      </c>
      <c r="F3674" s="5" t="s">
        <v>100</v>
      </c>
      <c r="G3674" s="2" t="s">
        <v>367</v>
      </c>
      <c r="H3674" s="5" t="s">
        <v>8332</v>
      </c>
      <c r="I3674" s="5" t="s">
        <v>60</v>
      </c>
      <c r="J3674" s="5" t="s">
        <v>100</v>
      </c>
      <c r="K3674" s="5" t="s">
        <v>2042</v>
      </c>
    </row>
    <row r="3675" customFormat="false" ht="15" hidden="false" customHeight="false" outlineLevel="0" collapsed="false">
      <c r="A3675" s="5" t="s">
        <v>16991</v>
      </c>
      <c r="B3675" s="2" t="s">
        <v>16992</v>
      </c>
      <c r="C3675" s="5" t="s">
        <v>2128</v>
      </c>
      <c r="D3675" s="5" t="s">
        <v>62</v>
      </c>
      <c r="E3675" s="5" t="n">
        <v>5</v>
      </c>
      <c r="F3675" s="5" t="s">
        <v>90</v>
      </c>
      <c r="G3675" s="2" t="s">
        <v>367</v>
      </c>
      <c r="H3675" s="5" t="s">
        <v>8336</v>
      </c>
      <c r="I3675" s="5"/>
      <c r="J3675" s="5"/>
      <c r="K3675" s="5" t="s">
        <v>16993</v>
      </c>
    </row>
    <row r="3676" customFormat="false" ht="23.85" hidden="false" customHeight="false" outlineLevel="0" collapsed="false">
      <c r="A3676" s="5" t="s">
        <v>16994</v>
      </c>
      <c r="B3676" s="2" t="s">
        <v>16995</v>
      </c>
      <c r="C3676" s="5" t="s">
        <v>2128</v>
      </c>
      <c r="D3676" s="5" t="s">
        <v>62</v>
      </c>
      <c r="E3676" s="5" t="n">
        <v>5</v>
      </c>
      <c r="F3676" s="5" t="s">
        <v>1814</v>
      </c>
      <c r="G3676" s="2" t="s">
        <v>367</v>
      </c>
      <c r="H3676" s="5" t="s">
        <v>8336</v>
      </c>
      <c r="I3676" s="5"/>
      <c r="J3676" s="5"/>
      <c r="K3676" s="5" t="s">
        <v>16996</v>
      </c>
    </row>
    <row r="3677" customFormat="false" ht="15" hidden="false" customHeight="false" outlineLevel="0" collapsed="false">
      <c r="A3677" s="5" t="s">
        <v>16997</v>
      </c>
      <c r="B3677" s="2" t="s">
        <v>16998</v>
      </c>
      <c r="C3677" s="5" t="s">
        <v>2128</v>
      </c>
      <c r="D3677" s="5" t="s">
        <v>62</v>
      </c>
      <c r="E3677" s="5" t="n">
        <v>5</v>
      </c>
      <c r="F3677" s="5" t="s">
        <v>90</v>
      </c>
      <c r="G3677" s="2" t="s">
        <v>367</v>
      </c>
      <c r="H3677" s="5" t="s">
        <v>8336</v>
      </c>
      <c r="I3677" s="5"/>
      <c r="J3677" s="5"/>
      <c r="K3677" s="5" t="s">
        <v>16999</v>
      </c>
    </row>
    <row r="3678" customFormat="false" ht="15" hidden="false" customHeight="false" outlineLevel="0" collapsed="false">
      <c r="A3678" s="5" t="s">
        <v>17000</v>
      </c>
      <c r="B3678" s="2" t="s">
        <v>17001</v>
      </c>
      <c r="C3678" s="5" t="s">
        <v>2128</v>
      </c>
      <c r="D3678" s="5" t="s">
        <v>62</v>
      </c>
      <c r="E3678" s="5" t="n">
        <v>5</v>
      </c>
      <c r="F3678" s="5" t="s">
        <v>90</v>
      </c>
      <c r="G3678" s="2" t="s">
        <v>367</v>
      </c>
      <c r="H3678" s="5" t="s">
        <v>8336</v>
      </c>
      <c r="I3678" s="5"/>
      <c r="J3678" s="5"/>
      <c r="K3678" s="5" t="s">
        <v>17002</v>
      </c>
    </row>
    <row r="3679" customFormat="false" ht="15" hidden="false" customHeight="false" outlineLevel="0" collapsed="false">
      <c r="A3679" s="5" t="s">
        <v>17003</v>
      </c>
      <c r="B3679" s="2" t="s">
        <v>17004</v>
      </c>
      <c r="C3679" s="5" t="s">
        <v>2128</v>
      </c>
      <c r="D3679" s="5" t="s">
        <v>62</v>
      </c>
      <c r="E3679" s="5" t="n">
        <v>5</v>
      </c>
      <c r="F3679" s="5" t="s">
        <v>90</v>
      </c>
      <c r="G3679" s="2" t="s">
        <v>367</v>
      </c>
      <c r="H3679" s="5" t="s">
        <v>8336</v>
      </c>
      <c r="I3679" s="5"/>
      <c r="J3679" s="5"/>
      <c r="K3679" s="5" t="s">
        <v>17005</v>
      </c>
    </row>
    <row r="3680" customFormat="false" ht="23.85" hidden="false" customHeight="false" outlineLevel="0" collapsed="false">
      <c r="A3680" s="5" t="s">
        <v>17006</v>
      </c>
      <c r="B3680" s="2" t="s">
        <v>17007</v>
      </c>
      <c r="C3680" s="5" t="s">
        <v>2128</v>
      </c>
      <c r="D3680" s="5" t="s">
        <v>62</v>
      </c>
      <c r="E3680" s="5" t="n">
        <v>5</v>
      </c>
      <c r="F3680" s="5" t="s">
        <v>90</v>
      </c>
      <c r="G3680" s="2" t="s">
        <v>367</v>
      </c>
      <c r="H3680" s="5" t="s">
        <v>8336</v>
      </c>
      <c r="I3680" s="5"/>
      <c r="J3680" s="5"/>
      <c r="K3680" s="5" t="s">
        <v>17008</v>
      </c>
    </row>
    <row r="3681" customFormat="false" ht="15" hidden="false" customHeight="false" outlineLevel="0" collapsed="false">
      <c r="A3681" s="5" t="s">
        <v>17009</v>
      </c>
      <c r="B3681" s="2" t="s">
        <v>17010</v>
      </c>
      <c r="C3681" s="5" t="s">
        <v>2128</v>
      </c>
      <c r="D3681" s="5" t="s">
        <v>62</v>
      </c>
      <c r="E3681" s="5" t="n">
        <v>5</v>
      </c>
      <c r="F3681" s="5" t="s">
        <v>90</v>
      </c>
      <c r="G3681" s="2" t="s">
        <v>367</v>
      </c>
      <c r="H3681" s="5" t="s">
        <v>8336</v>
      </c>
      <c r="I3681" s="5"/>
      <c r="J3681" s="5"/>
      <c r="K3681" s="5" t="s">
        <v>17011</v>
      </c>
    </row>
    <row r="3682" customFormat="false" ht="23.85" hidden="false" customHeight="false" outlineLevel="0" collapsed="false">
      <c r="A3682" s="5" t="s">
        <v>17012</v>
      </c>
      <c r="B3682" s="2" t="s">
        <v>17013</v>
      </c>
      <c r="C3682" s="5" t="s">
        <v>2128</v>
      </c>
      <c r="D3682" s="5" t="s">
        <v>62</v>
      </c>
      <c r="E3682" s="5" t="n">
        <v>5</v>
      </c>
      <c r="F3682" s="5" t="s">
        <v>1814</v>
      </c>
      <c r="G3682" s="2" t="s">
        <v>367</v>
      </c>
      <c r="H3682" s="5" t="s">
        <v>8336</v>
      </c>
      <c r="I3682" s="5"/>
      <c r="J3682" s="5"/>
      <c r="K3682" s="5" t="s">
        <v>17014</v>
      </c>
    </row>
    <row r="3683" customFormat="false" ht="15" hidden="false" customHeight="false" outlineLevel="0" collapsed="false">
      <c r="A3683" s="5" t="s">
        <v>17015</v>
      </c>
      <c r="B3683" s="2" t="s">
        <v>17016</v>
      </c>
      <c r="C3683" s="5" t="s">
        <v>2128</v>
      </c>
      <c r="D3683" s="5" t="s">
        <v>62</v>
      </c>
      <c r="E3683" s="5" t="n">
        <v>5</v>
      </c>
      <c r="F3683" s="5" t="s">
        <v>1814</v>
      </c>
      <c r="G3683" s="2" t="s">
        <v>367</v>
      </c>
      <c r="H3683" s="5" t="s">
        <v>8336</v>
      </c>
      <c r="I3683" s="5"/>
      <c r="J3683" s="5"/>
      <c r="K3683" s="5" t="s">
        <v>17017</v>
      </c>
    </row>
    <row r="3684" customFormat="false" ht="15" hidden="false" customHeight="false" outlineLevel="0" collapsed="false">
      <c r="A3684" s="5" t="s">
        <v>17018</v>
      </c>
      <c r="B3684" s="2" t="s">
        <v>17019</v>
      </c>
      <c r="C3684" s="5" t="s">
        <v>2128</v>
      </c>
      <c r="D3684" s="5" t="s">
        <v>62</v>
      </c>
      <c r="E3684" s="5" t="n">
        <v>5</v>
      </c>
      <c r="F3684" s="5" t="s">
        <v>90</v>
      </c>
      <c r="G3684" s="2" t="s">
        <v>367</v>
      </c>
      <c r="H3684" s="5" t="s">
        <v>8336</v>
      </c>
      <c r="I3684" s="5"/>
      <c r="J3684" s="5"/>
      <c r="K3684" s="5" t="s">
        <v>17020</v>
      </c>
    </row>
    <row r="3685" customFormat="false" ht="15" hidden="false" customHeight="false" outlineLevel="0" collapsed="false">
      <c r="A3685" s="5" t="s">
        <v>17021</v>
      </c>
      <c r="B3685" s="2" t="s">
        <v>17022</v>
      </c>
      <c r="C3685" s="5" t="s">
        <v>2128</v>
      </c>
      <c r="D3685" s="5" t="s">
        <v>62</v>
      </c>
      <c r="E3685" s="5" t="n">
        <v>5</v>
      </c>
      <c r="F3685" s="5" t="s">
        <v>90</v>
      </c>
      <c r="G3685" s="2" t="s">
        <v>367</v>
      </c>
      <c r="H3685" s="5" t="s">
        <v>8336</v>
      </c>
      <c r="I3685" s="5"/>
      <c r="J3685" s="5"/>
      <c r="K3685" s="5" t="s">
        <v>17023</v>
      </c>
    </row>
    <row r="3686" customFormat="false" ht="15" hidden="false" customHeight="false" outlineLevel="0" collapsed="false">
      <c r="A3686" s="5" t="s">
        <v>17024</v>
      </c>
      <c r="B3686" s="2" t="s">
        <v>17025</v>
      </c>
      <c r="C3686" s="5" t="s">
        <v>2128</v>
      </c>
      <c r="D3686" s="5" t="s">
        <v>62</v>
      </c>
      <c r="E3686" s="5" t="n">
        <v>7</v>
      </c>
      <c r="F3686" s="5" t="s">
        <v>277</v>
      </c>
      <c r="G3686" s="2" t="s">
        <v>367</v>
      </c>
      <c r="H3686" s="5" t="s">
        <v>8336</v>
      </c>
      <c r="I3686" s="5"/>
      <c r="J3686" s="5"/>
      <c r="K3686" s="5" t="s">
        <v>17026</v>
      </c>
    </row>
    <row r="3687" customFormat="false" ht="15" hidden="false" customHeight="false" outlineLevel="0" collapsed="false">
      <c r="A3687" s="5" t="s">
        <v>17027</v>
      </c>
      <c r="B3687" s="2" t="s">
        <v>17028</v>
      </c>
      <c r="C3687" s="5" t="s">
        <v>2128</v>
      </c>
      <c r="D3687" s="5" t="s">
        <v>62</v>
      </c>
      <c r="E3687" s="5" t="n">
        <v>5</v>
      </c>
      <c r="F3687" s="5" t="s">
        <v>90</v>
      </c>
      <c r="G3687" s="2" t="s">
        <v>367</v>
      </c>
      <c r="H3687" s="5" t="s">
        <v>8336</v>
      </c>
      <c r="I3687" s="5"/>
      <c r="J3687" s="5"/>
      <c r="K3687" s="5" t="s">
        <v>17029</v>
      </c>
    </row>
    <row r="3688" customFormat="false" ht="15" hidden="false" customHeight="false" outlineLevel="0" collapsed="false">
      <c r="A3688" s="5" t="s">
        <v>17030</v>
      </c>
      <c r="B3688" s="2" t="s">
        <v>17031</v>
      </c>
      <c r="C3688" s="5" t="s">
        <v>2128</v>
      </c>
      <c r="D3688" s="5" t="s">
        <v>62</v>
      </c>
      <c r="E3688" s="5" t="n">
        <v>7</v>
      </c>
      <c r="F3688" s="5" t="s">
        <v>413</v>
      </c>
      <c r="G3688" s="2" t="s">
        <v>367</v>
      </c>
      <c r="H3688" s="5" t="s">
        <v>8336</v>
      </c>
      <c r="I3688" s="5"/>
      <c r="J3688" s="5"/>
      <c r="K3688" s="5" t="s">
        <v>17032</v>
      </c>
    </row>
    <row r="3689" customFormat="false" ht="15" hidden="false" customHeight="false" outlineLevel="0" collapsed="false">
      <c r="A3689" s="5" t="s">
        <v>17033</v>
      </c>
      <c r="B3689" s="2" t="s">
        <v>17034</v>
      </c>
      <c r="C3689" s="5" t="s">
        <v>2128</v>
      </c>
      <c r="D3689" s="5" t="s">
        <v>62</v>
      </c>
      <c r="E3689" s="5" t="n">
        <v>5</v>
      </c>
      <c r="F3689" s="5" t="s">
        <v>67</v>
      </c>
      <c r="G3689" s="2" t="s">
        <v>367</v>
      </c>
      <c r="H3689" s="5" t="s">
        <v>8336</v>
      </c>
      <c r="I3689" s="5"/>
      <c r="J3689" s="5"/>
      <c r="K3689" s="5" t="s">
        <v>17035</v>
      </c>
    </row>
    <row r="3690" customFormat="false" ht="46.25" hidden="false" customHeight="false" outlineLevel="0" collapsed="false">
      <c r="A3690" s="5" t="s">
        <v>4665</v>
      </c>
      <c r="B3690" s="2" t="s">
        <v>4666</v>
      </c>
      <c r="C3690" s="5" t="s">
        <v>2245</v>
      </c>
      <c r="D3690" s="5" t="s">
        <v>62</v>
      </c>
      <c r="E3690" s="5" t="n">
        <v>7</v>
      </c>
      <c r="F3690" s="5" t="s">
        <v>90</v>
      </c>
      <c r="G3690" s="2" t="s">
        <v>12057</v>
      </c>
      <c r="H3690" s="5" t="s">
        <v>8332</v>
      </c>
      <c r="I3690" s="5" t="s">
        <v>60</v>
      </c>
      <c r="J3690" s="5" t="s">
        <v>161</v>
      </c>
      <c r="K3690" s="5" t="s">
        <v>4669</v>
      </c>
    </row>
    <row r="3691" customFormat="false" ht="23.85" hidden="false" customHeight="false" outlineLevel="0" collapsed="false">
      <c r="A3691" s="5" t="s">
        <v>2043</v>
      </c>
      <c r="B3691" s="2" t="s">
        <v>2044</v>
      </c>
      <c r="C3691" s="5" t="s">
        <v>488</v>
      </c>
      <c r="D3691" s="5" t="s">
        <v>62</v>
      </c>
      <c r="E3691" s="5" t="n">
        <v>5</v>
      </c>
      <c r="F3691" s="5" t="s">
        <v>90</v>
      </c>
      <c r="G3691" s="2" t="s">
        <v>184</v>
      </c>
      <c r="H3691" s="5" t="s">
        <v>8332</v>
      </c>
      <c r="I3691" s="5" t="s">
        <v>60</v>
      </c>
      <c r="J3691" s="5" t="s">
        <v>182</v>
      </c>
      <c r="K3691" s="5" t="s">
        <v>2050</v>
      </c>
    </row>
    <row r="3692" customFormat="false" ht="23.85" hidden="false" customHeight="false" outlineLevel="0" collapsed="false">
      <c r="A3692" s="5" t="s">
        <v>17036</v>
      </c>
      <c r="B3692" s="2" t="s">
        <v>17037</v>
      </c>
      <c r="C3692" s="5" t="s">
        <v>2128</v>
      </c>
      <c r="D3692" s="5" t="s">
        <v>62</v>
      </c>
      <c r="E3692" s="5" t="n">
        <v>5</v>
      </c>
      <c r="F3692" s="5" t="s">
        <v>277</v>
      </c>
      <c r="G3692" s="2" t="s">
        <v>367</v>
      </c>
      <c r="H3692" s="5" t="s">
        <v>8336</v>
      </c>
      <c r="I3692" s="5"/>
      <c r="J3692" s="5"/>
      <c r="K3692" s="5" t="s">
        <v>17038</v>
      </c>
    </row>
    <row r="3693" customFormat="false" ht="46.25" hidden="false" customHeight="false" outlineLevel="0" collapsed="false">
      <c r="A3693" s="5" t="s">
        <v>17039</v>
      </c>
      <c r="B3693" s="2" t="s">
        <v>17040</v>
      </c>
      <c r="C3693" s="5" t="s">
        <v>2245</v>
      </c>
      <c r="D3693" s="5" t="s">
        <v>62</v>
      </c>
      <c r="E3693" s="5" t="n">
        <v>5</v>
      </c>
      <c r="F3693" s="5" t="s">
        <v>277</v>
      </c>
      <c r="G3693" s="2" t="s">
        <v>12054</v>
      </c>
      <c r="H3693" s="5" t="s">
        <v>8336</v>
      </c>
      <c r="I3693" s="5"/>
      <c r="J3693" s="5"/>
      <c r="K3693" s="5" t="s">
        <v>17041</v>
      </c>
    </row>
    <row r="3694" customFormat="false" ht="46.25" hidden="false" customHeight="false" outlineLevel="0" collapsed="false">
      <c r="A3694" s="5" t="s">
        <v>4670</v>
      </c>
      <c r="B3694" s="2" t="s">
        <v>4671</v>
      </c>
      <c r="C3694" s="5" t="s">
        <v>2245</v>
      </c>
      <c r="D3694" s="5" t="s">
        <v>490</v>
      </c>
      <c r="E3694" s="5" t="n">
        <v>1</v>
      </c>
      <c r="F3694" s="5" t="s">
        <v>536</v>
      </c>
      <c r="G3694" s="2" t="s">
        <v>12894</v>
      </c>
      <c r="H3694" s="5" t="s">
        <v>8332</v>
      </c>
      <c r="I3694" s="5" t="s">
        <v>60</v>
      </c>
      <c r="J3694" s="5" t="s">
        <v>2859</v>
      </c>
      <c r="K3694" s="5" t="s">
        <v>4675</v>
      </c>
    </row>
    <row r="3695" customFormat="false" ht="46.25" hidden="false" customHeight="false" outlineLevel="0" collapsed="false">
      <c r="A3695" s="5" t="s">
        <v>17042</v>
      </c>
      <c r="B3695" s="2" t="s">
        <v>17043</v>
      </c>
      <c r="C3695" s="5" t="s">
        <v>2245</v>
      </c>
      <c r="D3695" s="5" t="s">
        <v>490</v>
      </c>
      <c r="E3695" s="5" t="n">
        <v>7</v>
      </c>
      <c r="F3695" s="5" t="s">
        <v>90</v>
      </c>
      <c r="G3695" s="2" t="s">
        <v>12057</v>
      </c>
      <c r="H3695" s="5" t="s">
        <v>8336</v>
      </c>
      <c r="I3695" s="5"/>
      <c r="J3695" s="5"/>
      <c r="K3695" s="5" t="s">
        <v>17044</v>
      </c>
    </row>
    <row r="3696" customFormat="false" ht="15" hidden="false" customHeight="false" outlineLevel="0" collapsed="false">
      <c r="A3696" s="5" t="s">
        <v>17045</v>
      </c>
      <c r="B3696" s="2" t="s">
        <v>17046</v>
      </c>
      <c r="C3696" s="5" t="s">
        <v>2128</v>
      </c>
      <c r="D3696" s="5" t="s">
        <v>62</v>
      </c>
      <c r="E3696" s="5" t="n">
        <v>7</v>
      </c>
      <c r="F3696" s="5" t="s">
        <v>67</v>
      </c>
      <c r="G3696" s="2" t="s">
        <v>367</v>
      </c>
      <c r="H3696" s="5" t="s">
        <v>8336</v>
      </c>
      <c r="I3696" s="5"/>
      <c r="J3696" s="5"/>
      <c r="K3696" s="5" t="s">
        <v>17047</v>
      </c>
    </row>
    <row r="3697" customFormat="false" ht="15" hidden="false" customHeight="false" outlineLevel="0" collapsed="false">
      <c r="A3697" s="5" t="s">
        <v>17048</v>
      </c>
      <c r="B3697" s="2" t="s">
        <v>17049</v>
      </c>
      <c r="C3697" s="5" t="s">
        <v>2128</v>
      </c>
      <c r="D3697" s="5" t="s">
        <v>62</v>
      </c>
      <c r="E3697" s="5" t="n">
        <v>5</v>
      </c>
      <c r="F3697" s="5" t="s">
        <v>90</v>
      </c>
      <c r="G3697" s="2" t="s">
        <v>367</v>
      </c>
      <c r="H3697" s="5" t="s">
        <v>8336</v>
      </c>
      <c r="I3697" s="5"/>
      <c r="J3697" s="5"/>
      <c r="K3697" s="5" t="s">
        <v>17050</v>
      </c>
    </row>
    <row r="3698" customFormat="false" ht="15" hidden="false" customHeight="false" outlineLevel="0" collapsed="false">
      <c r="A3698" s="5" t="s">
        <v>17051</v>
      </c>
      <c r="B3698" s="2" t="s">
        <v>17052</v>
      </c>
      <c r="C3698" s="5" t="s">
        <v>2128</v>
      </c>
      <c r="D3698" s="5" t="s">
        <v>62</v>
      </c>
      <c r="E3698" s="5" t="n">
        <v>7</v>
      </c>
      <c r="F3698" s="5" t="s">
        <v>413</v>
      </c>
      <c r="G3698" s="2" t="s">
        <v>367</v>
      </c>
      <c r="H3698" s="5" t="s">
        <v>8336</v>
      </c>
      <c r="I3698" s="5"/>
      <c r="J3698" s="5"/>
      <c r="K3698" s="5" t="s">
        <v>17053</v>
      </c>
    </row>
    <row r="3699" customFormat="false" ht="46.25" hidden="false" customHeight="false" outlineLevel="0" collapsed="false">
      <c r="A3699" s="5" t="s">
        <v>17054</v>
      </c>
      <c r="B3699" s="2" t="s">
        <v>17055</v>
      </c>
      <c r="C3699" s="5" t="s">
        <v>2245</v>
      </c>
      <c r="D3699" s="5" t="s">
        <v>62</v>
      </c>
      <c r="E3699" s="5" t="n">
        <v>7</v>
      </c>
      <c r="F3699" s="5" t="s">
        <v>90</v>
      </c>
      <c r="G3699" s="2" t="s">
        <v>12057</v>
      </c>
      <c r="H3699" s="5" t="s">
        <v>8336</v>
      </c>
      <c r="I3699" s="5"/>
      <c r="J3699" s="5"/>
      <c r="K3699" s="5" t="s">
        <v>17056</v>
      </c>
    </row>
    <row r="3700" customFormat="false" ht="15" hidden="false" customHeight="false" outlineLevel="0" collapsed="false">
      <c r="A3700" s="5" t="s">
        <v>17057</v>
      </c>
      <c r="B3700" s="2" t="s">
        <v>17058</v>
      </c>
      <c r="C3700" s="5" t="s">
        <v>2128</v>
      </c>
      <c r="D3700" s="5" t="s">
        <v>62</v>
      </c>
      <c r="E3700" s="5" t="n">
        <v>5</v>
      </c>
      <c r="F3700" s="5" t="s">
        <v>1210</v>
      </c>
      <c r="G3700" s="2" t="s">
        <v>367</v>
      </c>
      <c r="H3700" s="5" t="s">
        <v>8336</v>
      </c>
      <c r="I3700" s="5"/>
      <c r="J3700" s="5"/>
      <c r="K3700" s="5" t="s">
        <v>17059</v>
      </c>
    </row>
    <row r="3701" customFormat="false" ht="46.25" hidden="false" customHeight="false" outlineLevel="0" collapsed="false">
      <c r="A3701" s="5" t="s">
        <v>17060</v>
      </c>
      <c r="B3701" s="2" t="s">
        <v>17061</v>
      </c>
      <c r="C3701" s="5" t="s">
        <v>2245</v>
      </c>
      <c r="D3701" s="5" t="s">
        <v>62</v>
      </c>
      <c r="E3701" s="5" t="n">
        <v>7</v>
      </c>
      <c r="F3701" s="5" t="s">
        <v>90</v>
      </c>
      <c r="G3701" s="2" t="s">
        <v>12054</v>
      </c>
      <c r="H3701" s="5" t="s">
        <v>8336</v>
      </c>
      <c r="I3701" s="5"/>
      <c r="J3701" s="5"/>
      <c r="K3701" s="5" t="s">
        <v>17062</v>
      </c>
    </row>
    <row r="3702" customFormat="false" ht="15" hidden="false" customHeight="false" outlineLevel="0" collapsed="false">
      <c r="A3702" s="5" t="s">
        <v>2051</v>
      </c>
      <c r="B3702" s="2" t="s">
        <v>2052</v>
      </c>
      <c r="C3702" s="5" t="s">
        <v>488</v>
      </c>
      <c r="D3702" s="5" t="s">
        <v>62</v>
      </c>
      <c r="E3702" s="5" t="n">
        <v>7</v>
      </c>
      <c r="F3702" s="5" t="s">
        <v>1210</v>
      </c>
      <c r="G3702" s="2" t="s">
        <v>367</v>
      </c>
      <c r="H3702" s="5" t="s">
        <v>8332</v>
      </c>
      <c r="I3702" s="5" t="s">
        <v>60</v>
      </c>
      <c r="J3702" s="5"/>
      <c r="K3702" s="5" t="s">
        <v>2055</v>
      </c>
    </row>
    <row r="3703" customFormat="false" ht="15" hidden="false" customHeight="false" outlineLevel="0" collapsed="false">
      <c r="A3703" s="5" t="s">
        <v>17063</v>
      </c>
      <c r="B3703" s="2" t="s">
        <v>17064</v>
      </c>
      <c r="C3703" s="5" t="s">
        <v>2128</v>
      </c>
      <c r="D3703" s="5" t="s">
        <v>62</v>
      </c>
      <c r="E3703" s="5" t="n">
        <v>5</v>
      </c>
      <c r="F3703" s="5" t="s">
        <v>90</v>
      </c>
      <c r="G3703" s="2" t="s">
        <v>367</v>
      </c>
      <c r="H3703" s="5" t="s">
        <v>8336</v>
      </c>
      <c r="I3703" s="5"/>
      <c r="J3703" s="5"/>
      <c r="K3703" s="5" t="s">
        <v>17065</v>
      </c>
    </row>
    <row r="3704" customFormat="false" ht="15" hidden="false" customHeight="false" outlineLevel="0" collapsed="false">
      <c r="A3704" s="5" t="s">
        <v>17066</v>
      </c>
      <c r="B3704" s="2" t="s">
        <v>17067</v>
      </c>
      <c r="C3704" s="5" t="s">
        <v>2128</v>
      </c>
      <c r="D3704" s="5" t="s">
        <v>62</v>
      </c>
      <c r="E3704" s="5" t="n">
        <v>5</v>
      </c>
      <c r="F3704" s="5" t="s">
        <v>284</v>
      </c>
      <c r="G3704" s="2" t="s">
        <v>367</v>
      </c>
      <c r="H3704" s="5" t="s">
        <v>8336</v>
      </c>
      <c r="I3704" s="5"/>
      <c r="J3704" s="5"/>
      <c r="K3704" s="5" t="s">
        <v>17068</v>
      </c>
    </row>
    <row r="3705" customFormat="false" ht="23.85" hidden="false" customHeight="false" outlineLevel="0" collapsed="false">
      <c r="A3705" s="5" t="s">
        <v>17069</v>
      </c>
      <c r="B3705" s="2" t="s">
        <v>17070</v>
      </c>
      <c r="C3705" s="5" t="s">
        <v>2128</v>
      </c>
      <c r="D3705" s="5" t="s">
        <v>62</v>
      </c>
      <c r="E3705" s="5" t="n">
        <v>7</v>
      </c>
      <c r="F3705" s="5" t="s">
        <v>67</v>
      </c>
      <c r="G3705" s="2" t="s">
        <v>367</v>
      </c>
      <c r="H3705" s="5" t="s">
        <v>8336</v>
      </c>
      <c r="I3705" s="5"/>
      <c r="J3705" s="5"/>
      <c r="K3705" s="5" t="s">
        <v>17071</v>
      </c>
    </row>
    <row r="3706" customFormat="false" ht="46.25" hidden="false" customHeight="false" outlineLevel="0" collapsed="false">
      <c r="A3706" s="5" t="s">
        <v>17072</v>
      </c>
      <c r="B3706" s="2" t="s">
        <v>17073</v>
      </c>
      <c r="C3706" s="5" t="s">
        <v>2245</v>
      </c>
      <c r="D3706" s="5" t="s">
        <v>62</v>
      </c>
      <c r="E3706" s="5" t="n">
        <v>5</v>
      </c>
      <c r="F3706" s="5" t="s">
        <v>1814</v>
      </c>
      <c r="G3706" s="2" t="s">
        <v>12057</v>
      </c>
      <c r="H3706" s="5" t="s">
        <v>8336</v>
      </c>
      <c r="I3706" s="5"/>
      <c r="J3706" s="5"/>
      <c r="K3706" s="5" t="s">
        <v>17074</v>
      </c>
    </row>
    <row r="3707" customFormat="false" ht="46.25" hidden="false" customHeight="false" outlineLevel="0" collapsed="false">
      <c r="A3707" s="5" t="s">
        <v>17075</v>
      </c>
      <c r="B3707" s="2" t="s">
        <v>17076</v>
      </c>
      <c r="C3707" s="5" t="s">
        <v>2245</v>
      </c>
      <c r="D3707" s="5" t="s">
        <v>62</v>
      </c>
      <c r="E3707" s="5" t="n">
        <v>5</v>
      </c>
      <c r="F3707" s="5" t="s">
        <v>90</v>
      </c>
      <c r="G3707" s="2" t="s">
        <v>12057</v>
      </c>
      <c r="H3707" s="5" t="s">
        <v>8336</v>
      </c>
      <c r="I3707" s="5"/>
      <c r="J3707" s="5"/>
      <c r="K3707" s="5" t="s">
        <v>17077</v>
      </c>
    </row>
    <row r="3708" customFormat="false" ht="46.25" hidden="false" customHeight="false" outlineLevel="0" collapsed="false">
      <c r="A3708" s="5" t="s">
        <v>17078</v>
      </c>
      <c r="B3708" s="2" t="s">
        <v>17079</v>
      </c>
      <c r="C3708" s="5" t="s">
        <v>2245</v>
      </c>
      <c r="D3708" s="5" t="s">
        <v>62</v>
      </c>
      <c r="E3708" s="5" t="n">
        <v>5</v>
      </c>
      <c r="F3708" s="5" t="s">
        <v>1814</v>
      </c>
      <c r="G3708" s="2" t="s">
        <v>12057</v>
      </c>
      <c r="H3708" s="5" t="s">
        <v>8336</v>
      </c>
      <c r="I3708" s="5"/>
      <c r="J3708" s="5"/>
      <c r="K3708" s="5" t="s">
        <v>17080</v>
      </c>
    </row>
    <row r="3709" customFormat="false" ht="46.25" hidden="false" customHeight="false" outlineLevel="0" collapsed="false">
      <c r="A3709" s="5" t="s">
        <v>17081</v>
      </c>
      <c r="B3709" s="2" t="s">
        <v>17082</v>
      </c>
      <c r="C3709" s="5" t="s">
        <v>2245</v>
      </c>
      <c r="D3709" s="5" t="s">
        <v>62</v>
      </c>
      <c r="E3709" s="5" t="n">
        <v>5</v>
      </c>
      <c r="F3709" s="5" t="s">
        <v>1814</v>
      </c>
      <c r="G3709" s="2" t="s">
        <v>12057</v>
      </c>
      <c r="H3709" s="5" t="s">
        <v>8336</v>
      </c>
      <c r="I3709" s="5"/>
      <c r="J3709" s="5"/>
      <c r="K3709" s="5" t="s">
        <v>17083</v>
      </c>
    </row>
    <row r="3710" customFormat="false" ht="23.85" hidden="false" customHeight="false" outlineLevel="0" collapsed="false">
      <c r="A3710" s="5" t="s">
        <v>17084</v>
      </c>
      <c r="B3710" s="2" t="s">
        <v>17085</v>
      </c>
      <c r="C3710" s="5" t="s">
        <v>2128</v>
      </c>
      <c r="D3710" s="5" t="s">
        <v>62</v>
      </c>
      <c r="E3710" s="5" t="n">
        <v>5</v>
      </c>
      <c r="F3710" s="5" t="s">
        <v>90</v>
      </c>
      <c r="G3710" s="2" t="s">
        <v>367</v>
      </c>
      <c r="H3710" s="5" t="s">
        <v>8336</v>
      </c>
      <c r="I3710" s="5"/>
      <c r="J3710" s="5"/>
      <c r="K3710" s="5" t="s">
        <v>17086</v>
      </c>
    </row>
    <row r="3711" customFormat="false" ht="23.85" hidden="false" customHeight="false" outlineLevel="0" collapsed="false">
      <c r="A3711" s="5" t="s">
        <v>17087</v>
      </c>
      <c r="B3711" s="2" t="s">
        <v>17088</v>
      </c>
      <c r="C3711" s="5" t="s">
        <v>2128</v>
      </c>
      <c r="D3711" s="5" t="s">
        <v>62</v>
      </c>
      <c r="E3711" s="5" t="n">
        <v>5</v>
      </c>
      <c r="F3711" s="5" t="s">
        <v>90</v>
      </c>
      <c r="G3711" s="2" t="s">
        <v>367</v>
      </c>
      <c r="H3711" s="5" t="s">
        <v>8336</v>
      </c>
      <c r="I3711" s="5"/>
      <c r="J3711" s="5"/>
      <c r="K3711" s="5" t="s">
        <v>17089</v>
      </c>
    </row>
    <row r="3712" customFormat="false" ht="15" hidden="false" customHeight="false" outlineLevel="0" collapsed="false">
      <c r="A3712" s="5" t="s">
        <v>17090</v>
      </c>
      <c r="B3712" s="2" t="s">
        <v>17091</v>
      </c>
      <c r="C3712" s="5" t="s">
        <v>2128</v>
      </c>
      <c r="D3712" s="5" t="s">
        <v>62</v>
      </c>
      <c r="E3712" s="5" t="n">
        <v>5</v>
      </c>
      <c r="F3712" s="5" t="s">
        <v>67</v>
      </c>
      <c r="G3712" s="2" t="s">
        <v>367</v>
      </c>
      <c r="H3712" s="5" t="s">
        <v>8336</v>
      </c>
      <c r="I3712" s="5"/>
      <c r="J3712" s="5"/>
      <c r="K3712" s="5" t="s">
        <v>17092</v>
      </c>
    </row>
    <row r="3713" customFormat="false" ht="46.25" hidden="false" customHeight="false" outlineLevel="0" collapsed="false">
      <c r="A3713" s="5" t="s">
        <v>17093</v>
      </c>
      <c r="B3713" s="2" t="s">
        <v>17094</v>
      </c>
      <c r="C3713" s="5" t="s">
        <v>2245</v>
      </c>
      <c r="D3713" s="5" t="s">
        <v>62</v>
      </c>
      <c r="E3713" s="5" t="n">
        <v>5</v>
      </c>
      <c r="F3713" s="5" t="s">
        <v>67</v>
      </c>
      <c r="G3713" s="2" t="s">
        <v>12057</v>
      </c>
      <c r="H3713" s="5" t="s">
        <v>8336</v>
      </c>
      <c r="I3713" s="5"/>
      <c r="J3713" s="5"/>
      <c r="K3713" s="5" t="s">
        <v>17095</v>
      </c>
    </row>
    <row r="3714" customFormat="false" ht="46.25" hidden="false" customHeight="false" outlineLevel="0" collapsed="false">
      <c r="A3714" s="5" t="s">
        <v>17096</v>
      </c>
      <c r="B3714" s="2" t="s">
        <v>17097</v>
      </c>
      <c r="C3714" s="5" t="s">
        <v>2245</v>
      </c>
      <c r="D3714" s="5" t="s">
        <v>62</v>
      </c>
      <c r="E3714" s="5" t="n">
        <v>7</v>
      </c>
      <c r="F3714" s="5" t="s">
        <v>67</v>
      </c>
      <c r="G3714" s="2" t="s">
        <v>12057</v>
      </c>
      <c r="H3714" s="5" t="s">
        <v>8336</v>
      </c>
      <c r="I3714" s="5"/>
      <c r="J3714" s="5"/>
      <c r="K3714" s="5" t="s">
        <v>17098</v>
      </c>
    </row>
    <row r="3715" customFormat="false" ht="15" hidden="false" customHeight="false" outlineLevel="0" collapsed="false">
      <c r="A3715" s="5" t="s">
        <v>17099</v>
      </c>
      <c r="B3715" s="2" t="s">
        <v>17100</v>
      </c>
      <c r="C3715" s="5" t="s">
        <v>2128</v>
      </c>
      <c r="D3715" s="5" t="s">
        <v>62</v>
      </c>
      <c r="E3715" s="5" t="n">
        <v>7</v>
      </c>
      <c r="F3715" s="5" t="s">
        <v>90</v>
      </c>
      <c r="G3715" s="2" t="s">
        <v>367</v>
      </c>
      <c r="H3715" s="5" t="s">
        <v>8336</v>
      </c>
      <c r="I3715" s="5"/>
      <c r="J3715" s="5"/>
      <c r="K3715" s="5" t="s">
        <v>17101</v>
      </c>
    </row>
    <row r="3716" customFormat="false" ht="23.85" hidden="false" customHeight="false" outlineLevel="0" collapsed="false">
      <c r="A3716" s="5" t="s">
        <v>2056</v>
      </c>
      <c r="B3716" s="2" t="s">
        <v>2057</v>
      </c>
      <c r="C3716" s="5" t="s">
        <v>488</v>
      </c>
      <c r="D3716" s="5" t="s">
        <v>62</v>
      </c>
      <c r="E3716" s="5" t="n">
        <v>3</v>
      </c>
      <c r="F3716" s="5" t="s">
        <v>100</v>
      </c>
      <c r="G3716" s="2" t="s">
        <v>415</v>
      </c>
      <c r="H3716" s="5" t="s">
        <v>8332</v>
      </c>
      <c r="I3716" s="5" t="s">
        <v>60</v>
      </c>
      <c r="J3716" s="5" t="s">
        <v>1104</v>
      </c>
      <c r="K3716" s="5" t="s">
        <v>2062</v>
      </c>
    </row>
    <row r="3717" customFormat="false" ht="23.85" hidden="false" customHeight="false" outlineLevel="0" collapsed="false">
      <c r="A3717" s="5" t="s">
        <v>2063</v>
      </c>
      <c r="B3717" s="2" t="s">
        <v>2064</v>
      </c>
      <c r="C3717" s="5" t="s">
        <v>488</v>
      </c>
      <c r="D3717" s="5" t="s">
        <v>62</v>
      </c>
      <c r="E3717" s="5" t="n">
        <v>7</v>
      </c>
      <c r="F3717" s="5" t="s">
        <v>100</v>
      </c>
      <c r="G3717" s="2" t="s">
        <v>367</v>
      </c>
      <c r="H3717" s="5" t="s">
        <v>8332</v>
      </c>
      <c r="I3717" s="5" t="s">
        <v>60</v>
      </c>
      <c r="J3717" s="5" t="s">
        <v>1104</v>
      </c>
      <c r="K3717" s="5" t="s">
        <v>2067</v>
      </c>
    </row>
    <row r="3718" customFormat="false" ht="15" hidden="false" customHeight="false" outlineLevel="0" collapsed="false">
      <c r="A3718" s="5" t="s">
        <v>17102</v>
      </c>
      <c r="B3718" s="2" t="s">
        <v>17103</v>
      </c>
      <c r="C3718" s="5" t="s">
        <v>2128</v>
      </c>
      <c r="D3718" s="5" t="s">
        <v>62</v>
      </c>
      <c r="E3718" s="5" t="n">
        <v>5</v>
      </c>
      <c r="F3718" s="5" t="s">
        <v>90</v>
      </c>
      <c r="G3718" s="2" t="s">
        <v>367</v>
      </c>
      <c r="H3718" s="5" t="s">
        <v>8336</v>
      </c>
      <c r="I3718" s="5"/>
      <c r="J3718" s="5"/>
      <c r="K3718" s="5" t="s">
        <v>17104</v>
      </c>
    </row>
    <row r="3719" customFormat="false" ht="23.85" hidden="false" customHeight="false" outlineLevel="0" collapsed="false">
      <c r="A3719" s="5" t="s">
        <v>2068</v>
      </c>
      <c r="B3719" s="2" t="s">
        <v>2069</v>
      </c>
      <c r="C3719" s="5" t="s">
        <v>488</v>
      </c>
      <c r="D3719" s="5" t="s">
        <v>62</v>
      </c>
      <c r="E3719" s="5" t="n">
        <v>1</v>
      </c>
      <c r="F3719" s="5" t="s">
        <v>100</v>
      </c>
      <c r="G3719" s="2" t="s">
        <v>184</v>
      </c>
      <c r="H3719" s="5" t="s">
        <v>8332</v>
      </c>
      <c r="I3719" s="5" t="s">
        <v>60</v>
      </c>
      <c r="J3719" s="5" t="s">
        <v>449</v>
      </c>
      <c r="K3719" s="5" t="s">
        <v>2075</v>
      </c>
    </row>
    <row r="3720" customFormat="false" ht="46.25" hidden="false" customHeight="false" outlineLevel="0" collapsed="false">
      <c r="A3720" s="5" t="s">
        <v>17105</v>
      </c>
      <c r="B3720" s="2" t="s">
        <v>17106</v>
      </c>
      <c r="C3720" s="5" t="s">
        <v>2245</v>
      </c>
      <c r="D3720" s="5" t="s">
        <v>490</v>
      </c>
      <c r="E3720" s="5" t="n">
        <v>7</v>
      </c>
      <c r="F3720" s="5" t="s">
        <v>90</v>
      </c>
      <c r="G3720" s="2" t="s">
        <v>12057</v>
      </c>
      <c r="H3720" s="5" t="s">
        <v>8336</v>
      </c>
      <c r="I3720" s="5"/>
      <c r="J3720" s="5"/>
      <c r="K3720" s="5" t="s">
        <v>17107</v>
      </c>
    </row>
    <row r="3721" customFormat="false" ht="23.85" hidden="false" customHeight="false" outlineLevel="0" collapsed="false">
      <c r="A3721" s="5" t="s">
        <v>17108</v>
      </c>
      <c r="B3721" s="2" t="s">
        <v>17109</v>
      </c>
      <c r="C3721" s="5" t="s">
        <v>2128</v>
      </c>
      <c r="D3721" s="5" t="s">
        <v>62</v>
      </c>
      <c r="E3721" s="5" t="n">
        <v>7</v>
      </c>
      <c r="F3721" s="5" t="s">
        <v>90</v>
      </c>
      <c r="G3721" s="2" t="s">
        <v>367</v>
      </c>
      <c r="H3721" s="5" t="s">
        <v>8336</v>
      </c>
      <c r="I3721" s="5"/>
      <c r="J3721" s="5"/>
      <c r="K3721" s="5" t="s">
        <v>17110</v>
      </c>
    </row>
    <row r="3722" customFormat="false" ht="23.85" hidden="false" customHeight="false" outlineLevel="0" collapsed="false">
      <c r="A3722" s="5" t="s">
        <v>17111</v>
      </c>
      <c r="B3722" s="2" t="s">
        <v>17112</v>
      </c>
      <c r="C3722" s="5" t="s">
        <v>2128</v>
      </c>
      <c r="D3722" s="5" t="s">
        <v>62</v>
      </c>
      <c r="E3722" s="5" t="n">
        <v>7</v>
      </c>
      <c r="F3722" s="5" t="s">
        <v>90</v>
      </c>
      <c r="G3722" s="2" t="s">
        <v>415</v>
      </c>
      <c r="H3722" s="5" t="s">
        <v>8336</v>
      </c>
      <c r="I3722" s="5"/>
      <c r="J3722" s="5"/>
      <c r="K3722" s="5" t="s">
        <v>17113</v>
      </c>
    </row>
    <row r="3723" customFormat="false" ht="15" hidden="false" customHeight="false" outlineLevel="0" collapsed="false">
      <c r="A3723" s="5" t="s">
        <v>17114</v>
      </c>
      <c r="B3723" s="2" t="s">
        <v>17115</v>
      </c>
      <c r="C3723" s="5" t="s">
        <v>2128</v>
      </c>
      <c r="D3723" s="5" t="s">
        <v>62</v>
      </c>
      <c r="E3723" s="5" t="n">
        <v>7</v>
      </c>
      <c r="F3723" s="5" t="s">
        <v>90</v>
      </c>
      <c r="G3723" s="2" t="s">
        <v>367</v>
      </c>
      <c r="H3723" s="5" t="s">
        <v>8336</v>
      </c>
      <c r="I3723" s="5"/>
      <c r="J3723" s="5"/>
      <c r="K3723" s="5" t="s">
        <v>17116</v>
      </c>
    </row>
    <row r="3724" customFormat="false" ht="15" hidden="false" customHeight="false" outlineLevel="0" collapsed="false">
      <c r="A3724" s="5" t="s">
        <v>17117</v>
      </c>
      <c r="B3724" s="2" t="s">
        <v>17118</v>
      </c>
      <c r="C3724" s="5" t="s">
        <v>2128</v>
      </c>
      <c r="D3724" s="5" t="s">
        <v>62</v>
      </c>
      <c r="E3724" s="5" t="n">
        <v>7</v>
      </c>
      <c r="F3724" s="5" t="s">
        <v>90</v>
      </c>
      <c r="G3724" s="2" t="s">
        <v>367</v>
      </c>
      <c r="H3724" s="5" t="s">
        <v>8336</v>
      </c>
      <c r="I3724" s="5"/>
      <c r="J3724" s="5"/>
      <c r="K3724" s="5" t="s">
        <v>17119</v>
      </c>
    </row>
    <row r="3725" customFormat="false" ht="23.85" hidden="false" customHeight="false" outlineLevel="0" collapsed="false">
      <c r="A3725" s="5" t="s">
        <v>17120</v>
      </c>
      <c r="B3725" s="2" t="s">
        <v>17121</v>
      </c>
      <c r="C3725" s="5" t="s">
        <v>2128</v>
      </c>
      <c r="D3725" s="5" t="s">
        <v>62</v>
      </c>
      <c r="E3725" s="5" t="n">
        <v>7</v>
      </c>
      <c r="F3725" s="5" t="s">
        <v>90</v>
      </c>
      <c r="G3725" s="2" t="s">
        <v>367</v>
      </c>
      <c r="H3725" s="5" t="s">
        <v>8336</v>
      </c>
      <c r="I3725" s="5"/>
      <c r="J3725" s="5"/>
      <c r="K3725" s="5" t="s">
        <v>17122</v>
      </c>
    </row>
    <row r="3726" customFormat="false" ht="23.85" hidden="false" customHeight="false" outlineLevel="0" collapsed="false">
      <c r="A3726" s="5" t="s">
        <v>2076</v>
      </c>
      <c r="B3726" s="2" t="s">
        <v>2077</v>
      </c>
      <c r="C3726" s="5" t="s">
        <v>488</v>
      </c>
      <c r="D3726" s="5" t="s">
        <v>62</v>
      </c>
      <c r="E3726" s="5" t="n">
        <v>9</v>
      </c>
      <c r="F3726" s="5" t="s">
        <v>2079</v>
      </c>
      <c r="G3726" s="2" t="s">
        <v>184</v>
      </c>
      <c r="H3726" s="5" t="s">
        <v>8332</v>
      </c>
      <c r="I3726" s="5" t="s">
        <v>60</v>
      </c>
      <c r="J3726" s="5" t="s">
        <v>2078</v>
      </c>
      <c r="K3726" s="5" t="s">
        <v>2083</v>
      </c>
    </row>
    <row r="3727" customFormat="false" ht="15" hidden="false" customHeight="false" outlineLevel="0" collapsed="false">
      <c r="A3727" s="5" t="s">
        <v>17123</v>
      </c>
      <c r="B3727" s="2" t="s">
        <v>17124</v>
      </c>
      <c r="C3727" s="5" t="s">
        <v>2128</v>
      </c>
      <c r="D3727" s="5" t="s">
        <v>62</v>
      </c>
      <c r="E3727" s="5" t="n">
        <v>7</v>
      </c>
      <c r="F3727" s="5" t="s">
        <v>67</v>
      </c>
      <c r="G3727" s="2" t="s">
        <v>367</v>
      </c>
      <c r="H3727" s="5" t="s">
        <v>8336</v>
      </c>
      <c r="I3727" s="5"/>
      <c r="J3727" s="5"/>
      <c r="K3727" s="5" t="s">
        <v>17125</v>
      </c>
    </row>
    <row r="3728" customFormat="false" ht="46.25" hidden="false" customHeight="false" outlineLevel="0" collapsed="false">
      <c r="A3728" s="5" t="s">
        <v>17126</v>
      </c>
      <c r="B3728" s="2" t="s">
        <v>17127</v>
      </c>
      <c r="C3728" s="5" t="s">
        <v>2245</v>
      </c>
      <c r="D3728" s="5" t="s">
        <v>62</v>
      </c>
      <c r="E3728" s="5" t="n">
        <v>7</v>
      </c>
      <c r="F3728" s="5" t="s">
        <v>67</v>
      </c>
      <c r="G3728" s="2" t="s">
        <v>12057</v>
      </c>
      <c r="H3728" s="5" t="s">
        <v>8336</v>
      </c>
      <c r="I3728" s="5"/>
      <c r="J3728" s="5"/>
      <c r="K3728" s="5" t="s">
        <v>17128</v>
      </c>
    </row>
    <row r="3729" customFormat="false" ht="46.25" hidden="false" customHeight="false" outlineLevel="0" collapsed="false">
      <c r="A3729" s="5" t="s">
        <v>4676</v>
      </c>
      <c r="B3729" s="2" t="s">
        <v>4677</v>
      </c>
      <c r="C3729" s="5" t="s">
        <v>2245</v>
      </c>
      <c r="D3729" s="5" t="s">
        <v>62</v>
      </c>
      <c r="E3729" s="5" t="n">
        <v>7</v>
      </c>
      <c r="F3729" s="5" t="s">
        <v>90</v>
      </c>
      <c r="G3729" s="2" t="s">
        <v>12894</v>
      </c>
      <c r="H3729" s="5" t="s">
        <v>8332</v>
      </c>
      <c r="I3729" s="5" t="s">
        <v>60</v>
      </c>
      <c r="J3729" s="5" t="s">
        <v>4678</v>
      </c>
      <c r="K3729" s="5" t="s">
        <v>4682</v>
      </c>
    </row>
    <row r="3730" customFormat="false" ht="15" hidden="false" customHeight="false" outlineLevel="0" collapsed="false">
      <c r="A3730" s="5" t="s">
        <v>2084</v>
      </c>
      <c r="B3730" s="2" t="s">
        <v>2085</v>
      </c>
      <c r="C3730" s="5" t="s">
        <v>488</v>
      </c>
      <c r="D3730" s="5" t="s">
        <v>62</v>
      </c>
      <c r="E3730" s="5" t="n">
        <v>5</v>
      </c>
      <c r="F3730" s="5" t="s">
        <v>90</v>
      </c>
      <c r="G3730" s="2" t="s">
        <v>367</v>
      </c>
      <c r="H3730" s="5" t="s">
        <v>8332</v>
      </c>
      <c r="I3730" s="5" t="s">
        <v>60</v>
      </c>
      <c r="J3730" s="5"/>
      <c r="K3730" s="5" t="s">
        <v>2088</v>
      </c>
    </row>
    <row r="3731" customFormat="false" ht="23.85" hidden="false" customHeight="false" outlineLevel="0" collapsed="false">
      <c r="A3731" s="5" t="s">
        <v>17129</v>
      </c>
      <c r="B3731" s="2" t="s">
        <v>17130</v>
      </c>
      <c r="C3731" s="5" t="s">
        <v>2128</v>
      </c>
      <c r="D3731" s="5" t="s">
        <v>62</v>
      </c>
      <c r="E3731" s="5" t="n">
        <v>5</v>
      </c>
      <c r="F3731" s="5" t="s">
        <v>8902</v>
      </c>
      <c r="G3731" s="2" t="s">
        <v>367</v>
      </c>
      <c r="H3731" s="5" t="s">
        <v>8336</v>
      </c>
      <c r="I3731" s="5"/>
      <c r="J3731" s="5"/>
      <c r="K3731" s="5" t="s">
        <v>17131</v>
      </c>
    </row>
    <row r="3732" customFormat="false" ht="23.85" hidden="false" customHeight="false" outlineLevel="0" collapsed="false">
      <c r="A3732" s="5" t="s">
        <v>17132</v>
      </c>
      <c r="B3732" s="2" t="s">
        <v>17133</v>
      </c>
      <c r="C3732" s="5" t="s">
        <v>2128</v>
      </c>
      <c r="D3732" s="5" t="s">
        <v>62</v>
      </c>
      <c r="E3732" s="5" t="n">
        <v>7</v>
      </c>
      <c r="F3732" s="5" t="s">
        <v>90</v>
      </c>
      <c r="G3732" s="2" t="s">
        <v>367</v>
      </c>
      <c r="H3732" s="5" t="s">
        <v>8336</v>
      </c>
      <c r="I3732" s="5"/>
      <c r="J3732" s="5"/>
      <c r="K3732" s="5" t="s">
        <v>17134</v>
      </c>
    </row>
    <row r="3733" customFormat="false" ht="15" hidden="false" customHeight="false" outlineLevel="0" collapsed="false">
      <c r="A3733" s="5" t="s">
        <v>17135</v>
      </c>
      <c r="B3733" s="2" t="s">
        <v>17136</v>
      </c>
      <c r="C3733" s="5" t="s">
        <v>2128</v>
      </c>
      <c r="D3733" s="5" t="s">
        <v>62</v>
      </c>
      <c r="E3733" s="5" t="n">
        <v>7</v>
      </c>
      <c r="F3733" s="5" t="s">
        <v>90</v>
      </c>
      <c r="G3733" s="2" t="s">
        <v>367</v>
      </c>
      <c r="H3733" s="5" t="s">
        <v>8336</v>
      </c>
      <c r="I3733" s="5"/>
      <c r="J3733" s="5"/>
      <c r="K3733" s="5" t="s">
        <v>17137</v>
      </c>
    </row>
    <row r="3734" customFormat="false" ht="23.85" hidden="false" customHeight="false" outlineLevel="0" collapsed="false">
      <c r="A3734" s="5" t="s">
        <v>17138</v>
      </c>
      <c r="B3734" s="2" t="s">
        <v>17139</v>
      </c>
      <c r="C3734" s="5" t="s">
        <v>2128</v>
      </c>
      <c r="D3734" s="5" t="s">
        <v>62</v>
      </c>
      <c r="E3734" s="5" t="n">
        <v>7</v>
      </c>
      <c r="F3734" s="5" t="s">
        <v>90</v>
      </c>
      <c r="G3734" s="2" t="s">
        <v>367</v>
      </c>
      <c r="H3734" s="5" t="s">
        <v>8336</v>
      </c>
      <c r="I3734" s="5"/>
      <c r="J3734" s="5"/>
      <c r="K3734" s="5" t="s">
        <v>17140</v>
      </c>
    </row>
    <row r="3735" customFormat="false" ht="15" hidden="false" customHeight="false" outlineLevel="0" collapsed="false">
      <c r="A3735" s="5" t="s">
        <v>2089</v>
      </c>
      <c r="B3735" s="2" t="s">
        <v>2090</v>
      </c>
      <c r="C3735" s="5" t="s">
        <v>488</v>
      </c>
      <c r="D3735" s="5" t="s">
        <v>62</v>
      </c>
      <c r="E3735" s="5" t="n">
        <v>7</v>
      </c>
      <c r="F3735" s="5" t="s">
        <v>100</v>
      </c>
      <c r="G3735" s="2" t="s">
        <v>367</v>
      </c>
      <c r="H3735" s="5" t="s">
        <v>8332</v>
      </c>
      <c r="I3735" s="5" t="s">
        <v>60</v>
      </c>
      <c r="J3735" s="5" t="s">
        <v>100</v>
      </c>
      <c r="K3735" s="5" t="s">
        <v>2093</v>
      </c>
    </row>
    <row r="3736" customFormat="false" ht="15" hidden="false" customHeight="false" outlineLevel="0" collapsed="false">
      <c r="A3736" s="5" t="s">
        <v>2094</v>
      </c>
      <c r="B3736" s="2" t="s">
        <v>2095</v>
      </c>
      <c r="C3736" s="5" t="s">
        <v>488</v>
      </c>
      <c r="D3736" s="5" t="s">
        <v>62</v>
      </c>
      <c r="E3736" s="5" t="n">
        <v>7</v>
      </c>
      <c r="F3736" s="5" t="s">
        <v>100</v>
      </c>
      <c r="G3736" s="2" t="s">
        <v>367</v>
      </c>
      <c r="H3736" s="5" t="s">
        <v>8332</v>
      </c>
      <c r="I3736" s="5" t="s">
        <v>60</v>
      </c>
      <c r="J3736" s="5" t="s">
        <v>100</v>
      </c>
      <c r="K3736" s="5" t="s">
        <v>2098</v>
      </c>
    </row>
    <row r="3737" customFormat="false" ht="46.25" hidden="false" customHeight="false" outlineLevel="0" collapsed="false">
      <c r="A3737" s="5" t="s">
        <v>17141</v>
      </c>
      <c r="B3737" s="2" t="s">
        <v>17142</v>
      </c>
      <c r="C3737" s="5" t="s">
        <v>2245</v>
      </c>
      <c r="D3737" s="5" t="s">
        <v>490</v>
      </c>
      <c r="E3737" s="5" t="n">
        <v>5</v>
      </c>
      <c r="F3737" s="5" t="s">
        <v>413</v>
      </c>
      <c r="G3737" s="2" t="s">
        <v>12057</v>
      </c>
      <c r="H3737" s="5" t="s">
        <v>8336</v>
      </c>
      <c r="I3737" s="5"/>
      <c r="J3737" s="5"/>
      <c r="K3737" s="5" t="s">
        <v>17143</v>
      </c>
    </row>
    <row r="3738" customFormat="false" ht="15" hidden="false" customHeight="false" outlineLevel="0" collapsed="false">
      <c r="A3738" s="5" t="s">
        <v>17144</v>
      </c>
      <c r="B3738" s="2" t="s">
        <v>17145</v>
      </c>
      <c r="C3738" s="5" t="s">
        <v>2128</v>
      </c>
      <c r="D3738" s="5" t="s">
        <v>62</v>
      </c>
      <c r="E3738" s="5" t="n">
        <v>7</v>
      </c>
      <c r="F3738" s="5" t="s">
        <v>277</v>
      </c>
      <c r="G3738" s="2" t="s">
        <v>367</v>
      </c>
      <c r="H3738" s="5" t="s">
        <v>8336</v>
      </c>
      <c r="I3738" s="5"/>
      <c r="J3738" s="5"/>
      <c r="K3738" s="5" t="s">
        <v>17146</v>
      </c>
    </row>
    <row r="3739" customFormat="false" ht="15" hidden="false" customHeight="false" outlineLevel="0" collapsed="false">
      <c r="A3739" s="5" t="s">
        <v>17147</v>
      </c>
      <c r="B3739" s="2" t="s">
        <v>17148</v>
      </c>
      <c r="C3739" s="5" t="s">
        <v>2128</v>
      </c>
      <c r="D3739" s="5" t="s">
        <v>62</v>
      </c>
      <c r="E3739" s="5" t="n">
        <v>7</v>
      </c>
      <c r="F3739" s="5" t="s">
        <v>277</v>
      </c>
      <c r="G3739" s="2" t="s">
        <v>367</v>
      </c>
      <c r="H3739" s="5" t="s">
        <v>8336</v>
      </c>
      <c r="I3739" s="5"/>
      <c r="J3739" s="5"/>
      <c r="K3739" s="5" t="s">
        <v>17149</v>
      </c>
    </row>
    <row r="3740" customFormat="false" ht="15" hidden="false" customHeight="false" outlineLevel="0" collapsed="false">
      <c r="A3740" s="5" t="s">
        <v>17150</v>
      </c>
      <c r="B3740" s="2" t="s">
        <v>17151</v>
      </c>
      <c r="C3740" s="5" t="s">
        <v>2128</v>
      </c>
      <c r="D3740" s="5" t="s">
        <v>62</v>
      </c>
      <c r="E3740" s="5" t="n">
        <v>7</v>
      </c>
      <c r="F3740" s="5" t="s">
        <v>277</v>
      </c>
      <c r="G3740" s="2" t="s">
        <v>367</v>
      </c>
      <c r="H3740" s="5" t="s">
        <v>8336</v>
      </c>
      <c r="I3740" s="5"/>
      <c r="J3740" s="5"/>
      <c r="K3740" s="5" t="s">
        <v>17152</v>
      </c>
    </row>
    <row r="3741" customFormat="false" ht="46.25" hidden="false" customHeight="false" outlineLevel="0" collapsed="false">
      <c r="A3741" s="5" t="s">
        <v>17153</v>
      </c>
      <c r="B3741" s="2" t="s">
        <v>17154</v>
      </c>
      <c r="C3741" s="5" t="s">
        <v>2245</v>
      </c>
      <c r="D3741" s="5" t="s">
        <v>62</v>
      </c>
      <c r="E3741" s="5" t="n">
        <v>7</v>
      </c>
      <c r="F3741" s="5" t="s">
        <v>90</v>
      </c>
      <c r="G3741" s="2" t="s">
        <v>12174</v>
      </c>
      <c r="H3741" s="5" t="s">
        <v>8336</v>
      </c>
      <c r="I3741" s="5"/>
      <c r="J3741" s="5"/>
      <c r="K3741" s="5" t="s">
        <v>17155</v>
      </c>
    </row>
    <row r="3742" customFormat="false" ht="15" hidden="false" customHeight="false" outlineLevel="0" collapsed="false">
      <c r="A3742" s="5" t="s">
        <v>17156</v>
      </c>
      <c r="B3742" s="2" t="s">
        <v>17157</v>
      </c>
      <c r="C3742" s="5" t="s">
        <v>2128</v>
      </c>
      <c r="D3742" s="5" t="s">
        <v>62</v>
      </c>
      <c r="E3742" s="5" t="n">
        <v>5</v>
      </c>
      <c r="F3742" s="5" t="s">
        <v>413</v>
      </c>
      <c r="G3742" s="2" t="s">
        <v>367</v>
      </c>
      <c r="H3742" s="5" t="s">
        <v>8336</v>
      </c>
      <c r="I3742" s="5"/>
      <c r="J3742" s="5"/>
      <c r="K3742" s="5" t="s">
        <v>17158</v>
      </c>
    </row>
    <row r="3743" customFormat="false" ht="15" hidden="false" customHeight="false" outlineLevel="0" collapsed="false">
      <c r="A3743" s="5" t="s">
        <v>17159</v>
      </c>
      <c r="B3743" s="2" t="s">
        <v>17160</v>
      </c>
      <c r="C3743" s="5" t="s">
        <v>2128</v>
      </c>
      <c r="D3743" s="5" t="s">
        <v>62</v>
      </c>
      <c r="E3743" s="5" t="n">
        <v>7</v>
      </c>
      <c r="F3743" s="5" t="s">
        <v>67</v>
      </c>
      <c r="G3743" s="2" t="s">
        <v>367</v>
      </c>
      <c r="H3743" s="5" t="s">
        <v>8336</v>
      </c>
      <c r="I3743" s="5"/>
      <c r="J3743" s="5"/>
      <c r="K3743" s="5" t="s">
        <v>17161</v>
      </c>
    </row>
    <row r="3744" customFormat="false" ht="15" hidden="false" customHeight="false" outlineLevel="0" collapsed="false">
      <c r="A3744" s="5" t="s">
        <v>6450</v>
      </c>
      <c r="B3744" s="2" t="s">
        <v>6451</v>
      </c>
      <c r="C3744" s="5" t="s">
        <v>2128</v>
      </c>
      <c r="D3744" s="5" t="s">
        <v>62</v>
      </c>
      <c r="E3744" s="5" t="n">
        <v>5</v>
      </c>
      <c r="F3744" s="5" t="s">
        <v>2079</v>
      </c>
      <c r="G3744" s="2" t="s">
        <v>367</v>
      </c>
      <c r="H3744" s="5" t="s">
        <v>8332</v>
      </c>
      <c r="I3744" s="5" t="s">
        <v>4760</v>
      </c>
      <c r="J3744" s="5" t="s">
        <v>2079</v>
      </c>
      <c r="K3744" s="5" t="s">
        <v>6454</v>
      </c>
    </row>
    <row r="3745" customFormat="false" ht="46.25" hidden="false" customHeight="false" outlineLevel="0" collapsed="false">
      <c r="A3745" s="5" t="s">
        <v>17162</v>
      </c>
      <c r="B3745" s="2" t="s">
        <v>17163</v>
      </c>
      <c r="C3745" s="5" t="s">
        <v>2245</v>
      </c>
      <c r="D3745" s="5" t="s">
        <v>490</v>
      </c>
      <c r="E3745" s="5" t="n">
        <v>7</v>
      </c>
      <c r="F3745" s="5" t="s">
        <v>90</v>
      </c>
      <c r="G3745" s="2" t="s">
        <v>12057</v>
      </c>
      <c r="H3745" s="5" t="s">
        <v>8336</v>
      </c>
      <c r="I3745" s="5"/>
      <c r="J3745" s="5"/>
      <c r="K3745" s="5" t="s">
        <v>17164</v>
      </c>
    </row>
    <row r="3746" customFormat="false" ht="46.25" hidden="false" customHeight="false" outlineLevel="0" collapsed="false">
      <c r="A3746" s="5" t="s">
        <v>17165</v>
      </c>
      <c r="B3746" s="2" t="s">
        <v>17166</v>
      </c>
      <c r="C3746" s="5" t="s">
        <v>2245</v>
      </c>
      <c r="D3746" s="5" t="s">
        <v>490</v>
      </c>
      <c r="E3746" s="5" t="n">
        <v>5</v>
      </c>
      <c r="F3746" s="5" t="s">
        <v>67</v>
      </c>
      <c r="G3746" s="2" t="s">
        <v>12178</v>
      </c>
      <c r="H3746" s="5" t="s">
        <v>8336</v>
      </c>
      <c r="I3746" s="5"/>
      <c r="J3746" s="5"/>
      <c r="K3746" s="5" t="s">
        <v>17167</v>
      </c>
    </row>
    <row r="3747" customFormat="false" ht="46.25" hidden="false" customHeight="false" outlineLevel="0" collapsed="false">
      <c r="A3747" s="5" t="s">
        <v>17168</v>
      </c>
      <c r="B3747" s="2" t="s">
        <v>17169</v>
      </c>
      <c r="C3747" s="5" t="s">
        <v>2245</v>
      </c>
      <c r="D3747" s="5" t="s">
        <v>62</v>
      </c>
      <c r="E3747" s="5" t="n">
        <v>5</v>
      </c>
      <c r="F3747" s="5" t="s">
        <v>536</v>
      </c>
      <c r="G3747" s="2" t="s">
        <v>12057</v>
      </c>
      <c r="H3747" s="5" t="s">
        <v>8336</v>
      </c>
      <c r="I3747" s="5"/>
      <c r="J3747" s="5"/>
      <c r="K3747" s="5" t="s">
        <v>17170</v>
      </c>
    </row>
    <row r="3748" customFormat="false" ht="23.85" hidden="false" customHeight="false" outlineLevel="0" collapsed="false">
      <c r="A3748" s="5" t="s">
        <v>17171</v>
      </c>
      <c r="B3748" s="2" t="s">
        <v>17172</v>
      </c>
      <c r="C3748" s="5" t="s">
        <v>2128</v>
      </c>
      <c r="D3748" s="5" t="s">
        <v>62</v>
      </c>
      <c r="E3748" s="5" t="n">
        <v>7</v>
      </c>
      <c r="F3748" s="5" t="s">
        <v>90</v>
      </c>
      <c r="G3748" s="2" t="s">
        <v>367</v>
      </c>
      <c r="H3748" s="5" t="s">
        <v>8336</v>
      </c>
      <c r="I3748" s="5"/>
      <c r="J3748" s="5"/>
      <c r="K3748" s="5" t="s">
        <v>17173</v>
      </c>
    </row>
    <row r="3749" customFormat="false" ht="15" hidden="false" customHeight="false" outlineLevel="0" collapsed="false">
      <c r="A3749" s="5" t="s">
        <v>17174</v>
      </c>
      <c r="B3749" s="2" t="s">
        <v>17175</v>
      </c>
      <c r="C3749" s="5" t="s">
        <v>2128</v>
      </c>
      <c r="D3749" s="5" t="s">
        <v>62</v>
      </c>
      <c r="E3749" s="5" t="n">
        <v>5</v>
      </c>
      <c r="F3749" s="5" t="s">
        <v>67</v>
      </c>
      <c r="G3749" s="2" t="s">
        <v>367</v>
      </c>
      <c r="H3749" s="5" t="s">
        <v>8336</v>
      </c>
      <c r="I3749" s="5"/>
      <c r="J3749" s="5"/>
      <c r="K3749" s="5" t="s">
        <v>17176</v>
      </c>
    </row>
    <row r="3750" customFormat="false" ht="23.85" hidden="false" customHeight="false" outlineLevel="0" collapsed="false">
      <c r="A3750" s="5" t="s">
        <v>2099</v>
      </c>
      <c r="B3750" s="2" t="s">
        <v>2100</v>
      </c>
      <c r="C3750" s="5" t="s">
        <v>488</v>
      </c>
      <c r="D3750" s="5" t="s">
        <v>62</v>
      </c>
      <c r="E3750" s="5" t="n">
        <v>9</v>
      </c>
      <c r="F3750" s="5" t="s">
        <v>100</v>
      </c>
      <c r="G3750" s="2" t="s">
        <v>367</v>
      </c>
      <c r="H3750" s="5" t="s">
        <v>8332</v>
      </c>
      <c r="I3750" s="5" t="s">
        <v>60</v>
      </c>
      <c r="J3750" s="5" t="s">
        <v>1384</v>
      </c>
      <c r="K3750" s="5" t="s">
        <v>2103</v>
      </c>
    </row>
    <row r="3751" customFormat="false" ht="46.25" hidden="false" customHeight="false" outlineLevel="0" collapsed="false">
      <c r="A3751" s="5" t="s">
        <v>4683</v>
      </c>
      <c r="B3751" s="2" t="s">
        <v>4684</v>
      </c>
      <c r="C3751" s="5" t="s">
        <v>2245</v>
      </c>
      <c r="D3751" s="5" t="s">
        <v>490</v>
      </c>
      <c r="E3751" s="5" t="n">
        <v>7</v>
      </c>
      <c r="F3751" s="5" t="s">
        <v>90</v>
      </c>
      <c r="G3751" s="2" t="s">
        <v>12057</v>
      </c>
      <c r="H3751" s="5" t="s">
        <v>8332</v>
      </c>
      <c r="I3751" s="5" t="s">
        <v>60</v>
      </c>
      <c r="J3751" s="5" t="s">
        <v>3355</v>
      </c>
      <c r="K3751" s="5" t="s">
        <v>4687</v>
      </c>
    </row>
    <row r="3752" customFormat="false" ht="46.25" hidden="false" customHeight="false" outlineLevel="0" collapsed="false">
      <c r="A3752" s="5" t="s">
        <v>4688</v>
      </c>
      <c r="B3752" s="2" t="s">
        <v>4689</v>
      </c>
      <c r="C3752" s="5" t="s">
        <v>2245</v>
      </c>
      <c r="D3752" s="5" t="s">
        <v>490</v>
      </c>
      <c r="E3752" s="5" t="n">
        <v>7</v>
      </c>
      <c r="F3752" s="5" t="s">
        <v>90</v>
      </c>
      <c r="G3752" s="2" t="s">
        <v>12057</v>
      </c>
      <c r="H3752" s="5" t="s">
        <v>8332</v>
      </c>
      <c r="I3752" s="5" t="s">
        <v>60</v>
      </c>
      <c r="J3752" s="5" t="s">
        <v>3355</v>
      </c>
      <c r="K3752" s="5" t="s">
        <v>4692</v>
      </c>
    </row>
    <row r="3753" customFormat="false" ht="46.25" hidden="false" customHeight="false" outlineLevel="0" collapsed="false">
      <c r="A3753" s="5" t="s">
        <v>4693</v>
      </c>
      <c r="B3753" s="2" t="s">
        <v>4694</v>
      </c>
      <c r="C3753" s="5" t="s">
        <v>2245</v>
      </c>
      <c r="D3753" s="5" t="s">
        <v>490</v>
      </c>
      <c r="E3753" s="5" t="n">
        <v>7</v>
      </c>
      <c r="F3753" s="5" t="s">
        <v>90</v>
      </c>
      <c r="G3753" s="2" t="s">
        <v>12057</v>
      </c>
      <c r="H3753" s="5" t="s">
        <v>8332</v>
      </c>
      <c r="I3753" s="5" t="s">
        <v>60</v>
      </c>
      <c r="J3753" s="5" t="s">
        <v>3355</v>
      </c>
      <c r="K3753" s="5" t="s">
        <v>4698</v>
      </c>
    </row>
    <row r="3754" customFormat="false" ht="23.85" hidden="false" customHeight="false" outlineLevel="0" collapsed="false">
      <c r="A3754" s="5" t="s">
        <v>2104</v>
      </c>
      <c r="B3754" s="2" t="s">
        <v>2105</v>
      </c>
      <c r="C3754" s="5" t="s">
        <v>488</v>
      </c>
      <c r="D3754" s="5" t="s">
        <v>62</v>
      </c>
      <c r="E3754" s="5" t="n">
        <v>5</v>
      </c>
      <c r="F3754" s="5" t="s">
        <v>100</v>
      </c>
      <c r="G3754" s="2" t="s">
        <v>367</v>
      </c>
      <c r="H3754" s="5" t="s">
        <v>8332</v>
      </c>
      <c r="I3754" s="5" t="s">
        <v>60</v>
      </c>
      <c r="J3754" s="5" t="s">
        <v>100</v>
      </c>
      <c r="K3754" s="5" t="s">
        <v>2108</v>
      </c>
    </row>
    <row r="3755" customFormat="false" ht="46.25" hidden="false" customHeight="false" outlineLevel="0" collapsed="false">
      <c r="A3755" s="5" t="s">
        <v>4699</v>
      </c>
      <c r="B3755" s="2" t="s">
        <v>4700</v>
      </c>
      <c r="C3755" s="5" t="s">
        <v>2245</v>
      </c>
      <c r="D3755" s="5" t="s">
        <v>490</v>
      </c>
      <c r="E3755" s="5" t="n">
        <v>5</v>
      </c>
      <c r="F3755" s="5" t="s">
        <v>67</v>
      </c>
      <c r="G3755" s="2" t="s">
        <v>12894</v>
      </c>
      <c r="H3755" s="5" t="s">
        <v>8332</v>
      </c>
      <c r="I3755" s="5" t="s">
        <v>60</v>
      </c>
      <c r="J3755" s="5" t="s">
        <v>182</v>
      </c>
      <c r="K3755" s="5" t="s">
        <v>4704</v>
      </c>
    </row>
    <row r="3756" customFormat="false" ht="46.25" hidden="false" customHeight="false" outlineLevel="0" collapsed="false">
      <c r="A3756" s="5" t="s">
        <v>4705</v>
      </c>
      <c r="B3756" s="2" t="s">
        <v>4706</v>
      </c>
      <c r="C3756" s="5" t="s">
        <v>2245</v>
      </c>
      <c r="D3756" s="5" t="s">
        <v>490</v>
      </c>
      <c r="E3756" s="5" t="n">
        <v>5</v>
      </c>
      <c r="F3756" s="5" t="s">
        <v>67</v>
      </c>
      <c r="G3756" s="2" t="s">
        <v>12057</v>
      </c>
      <c r="H3756" s="5" t="s">
        <v>8332</v>
      </c>
      <c r="I3756" s="5" t="s">
        <v>60</v>
      </c>
      <c r="J3756" s="5" t="s">
        <v>1174</v>
      </c>
      <c r="K3756" s="5" t="s">
        <v>4709</v>
      </c>
    </row>
    <row r="3757" customFormat="false" ht="46.25" hidden="false" customHeight="false" outlineLevel="0" collapsed="false">
      <c r="A3757" s="5" t="s">
        <v>17177</v>
      </c>
      <c r="B3757" s="2" t="s">
        <v>17178</v>
      </c>
      <c r="C3757" s="5" t="s">
        <v>2245</v>
      </c>
      <c r="D3757" s="5" t="s">
        <v>62</v>
      </c>
      <c r="E3757" s="5" t="n">
        <v>7</v>
      </c>
      <c r="F3757" s="5" t="s">
        <v>90</v>
      </c>
      <c r="G3757" s="2" t="s">
        <v>12174</v>
      </c>
      <c r="H3757" s="5" t="s">
        <v>8336</v>
      </c>
      <c r="I3757" s="5"/>
      <c r="J3757" s="5"/>
      <c r="K3757" s="5" t="s">
        <v>17179</v>
      </c>
    </row>
    <row r="3758" customFormat="false" ht="46.25" hidden="false" customHeight="false" outlineLevel="0" collapsed="false">
      <c r="A3758" s="5" t="s">
        <v>17180</v>
      </c>
      <c r="B3758" s="2" t="s">
        <v>17181</v>
      </c>
      <c r="C3758" s="5" t="s">
        <v>2245</v>
      </c>
      <c r="D3758" s="5" t="s">
        <v>62</v>
      </c>
      <c r="E3758" s="5" t="n">
        <v>7</v>
      </c>
      <c r="F3758" s="5" t="s">
        <v>90</v>
      </c>
      <c r="G3758" s="2" t="s">
        <v>12174</v>
      </c>
      <c r="H3758" s="5" t="s">
        <v>8336</v>
      </c>
      <c r="I3758" s="5"/>
      <c r="J3758" s="5"/>
      <c r="K3758" s="5" t="s">
        <v>17182</v>
      </c>
    </row>
    <row r="3759" customFormat="false" ht="46.25" hidden="false" customHeight="false" outlineLevel="0" collapsed="false">
      <c r="A3759" s="5" t="s">
        <v>17183</v>
      </c>
      <c r="B3759" s="2" t="s">
        <v>17184</v>
      </c>
      <c r="C3759" s="5" t="s">
        <v>2245</v>
      </c>
      <c r="D3759" s="5" t="s">
        <v>490</v>
      </c>
      <c r="E3759" s="5" t="n">
        <v>7</v>
      </c>
      <c r="F3759" s="5" t="s">
        <v>90</v>
      </c>
      <c r="G3759" s="2" t="s">
        <v>12057</v>
      </c>
      <c r="H3759" s="5" t="s">
        <v>8336</v>
      </c>
      <c r="I3759" s="5"/>
      <c r="J3759" s="5"/>
      <c r="K3759" s="5" t="s">
        <v>17185</v>
      </c>
    </row>
    <row r="3760" customFormat="false" ht="23.85" hidden="false" customHeight="false" outlineLevel="0" collapsed="false">
      <c r="A3760" s="5" t="s">
        <v>17186</v>
      </c>
      <c r="B3760" s="2" t="s">
        <v>17187</v>
      </c>
      <c r="C3760" s="5" t="s">
        <v>2128</v>
      </c>
      <c r="D3760" s="5" t="s">
        <v>62</v>
      </c>
      <c r="E3760" s="5" t="n">
        <v>5</v>
      </c>
      <c r="F3760" s="5" t="s">
        <v>67</v>
      </c>
      <c r="G3760" s="2" t="s">
        <v>367</v>
      </c>
      <c r="H3760" s="5" t="s">
        <v>8336</v>
      </c>
      <c r="I3760" s="5"/>
      <c r="J3760" s="5"/>
      <c r="K3760" s="5" t="s">
        <v>17188</v>
      </c>
    </row>
    <row r="3761" customFormat="false" ht="46.25" hidden="false" customHeight="false" outlineLevel="0" collapsed="false">
      <c r="A3761" s="5" t="s">
        <v>4710</v>
      </c>
      <c r="B3761" s="2" t="s">
        <v>4711</v>
      </c>
      <c r="C3761" s="5" t="s">
        <v>2245</v>
      </c>
      <c r="D3761" s="5" t="s">
        <v>62</v>
      </c>
      <c r="E3761" s="5" t="n">
        <v>5</v>
      </c>
      <c r="F3761" s="5" t="s">
        <v>90</v>
      </c>
      <c r="G3761" s="2" t="s">
        <v>12894</v>
      </c>
      <c r="H3761" s="5" t="s">
        <v>8332</v>
      </c>
      <c r="I3761" s="5" t="s">
        <v>60</v>
      </c>
      <c r="J3761" s="5" t="s">
        <v>269</v>
      </c>
      <c r="K3761" s="5" t="s">
        <v>4714</v>
      </c>
    </row>
    <row r="3762" customFormat="false" ht="46.25" hidden="false" customHeight="false" outlineLevel="0" collapsed="false">
      <c r="A3762" s="5" t="s">
        <v>4715</v>
      </c>
      <c r="B3762" s="2" t="s">
        <v>4716</v>
      </c>
      <c r="C3762" s="5" t="s">
        <v>2245</v>
      </c>
      <c r="D3762" s="5" t="s">
        <v>62</v>
      </c>
      <c r="E3762" s="5" t="n">
        <v>5</v>
      </c>
      <c r="F3762" s="5" t="s">
        <v>90</v>
      </c>
      <c r="G3762" s="2" t="s">
        <v>12894</v>
      </c>
      <c r="H3762" s="5" t="s">
        <v>8332</v>
      </c>
      <c r="I3762" s="5" t="s">
        <v>60</v>
      </c>
      <c r="J3762" s="5" t="s">
        <v>269</v>
      </c>
      <c r="K3762" s="5" t="s">
        <v>4719</v>
      </c>
    </row>
    <row r="3763" customFormat="false" ht="46.25" hidden="false" customHeight="false" outlineLevel="0" collapsed="false">
      <c r="A3763" s="5" t="s">
        <v>17189</v>
      </c>
      <c r="B3763" s="2" t="s">
        <v>17190</v>
      </c>
      <c r="C3763" s="5" t="s">
        <v>2245</v>
      </c>
      <c r="D3763" s="5" t="s">
        <v>62</v>
      </c>
      <c r="E3763" s="5" t="n">
        <v>5</v>
      </c>
      <c r="F3763" s="5" t="s">
        <v>90</v>
      </c>
      <c r="G3763" s="2" t="s">
        <v>12174</v>
      </c>
      <c r="H3763" s="5" t="s">
        <v>8336</v>
      </c>
      <c r="I3763" s="5"/>
      <c r="J3763" s="5"/>
      <c r="K3763" s="5" t="s">
        <v>17191</v>
      </c>
    </row>
    <row r="3764" customFormat="false" ht="46.25" hidden="false" customHeight="false" outlineLevel="0" collapsed="false">
      <c r="A3764" s="5" t="s">
        <v>17192</v>
      </c>
      <c r="B3764" s="2" t="s">
        <v>17193</v>
      </c>
      <c r="C3764" s="5" t="s">
        <v>2245</v>
      </c>
      <c r="D3764" s="5" t="s">
        <v>62</v>
      </c>
      <c r="E3764" s="5" t="n">
        <v>5</v>
      </c>
      <c r="F3764" s="5" t="s">
        <v>90</v>
      </c>
      <c r="G3764" s="2" t="s">
        <v>12054</v>
      </c>
      <c r="H3764" s="5" t="s">
        <v>8336</v>
      </c>
      <c r="I3764" s="5"/>
      <c r="J3764" s="5"/>
      <c r="K3764" s="5" t="s">
        <v>17194</v>
      </c>
    </row>
    <row r="3765" customFormat="false" ht="46.25" hidden="false" customHeight="false" outlineLevel="0" collapsed="false">
      <c r="A3765" s="5" t="s">
        <v>17195</v>
      </c>
      <c r="B3765" s="2" t="s">
        <v>17196</v>
      </c>
      <c r="C3765" s="5" t="s">
        <v>2245</v>
      </c>
      <c r="D3765" s="5" t="s">
        <v>62</v>
      </c>
      <c r="E3765" s="5" t="n">
        <v>5</v>
      </c>
      <c r="F3765" s="5" t="s">
        <v>90</v>
      </c>
      <c r="G3765" s="2" t="s">
        <v>12057</v>
      </c>
      <c r="H3765" s="5" t="s">
        <v>8336</v>
      </c>
      <c r="I3765" s="5"/>
      <c r="J3765" s="5"/>
      <c r="K3765" s="5" t="s">
        <v>17197</v>
      </c>
    </row>
    <row r="3766" customFormat="false" ht="46.25" hidden="false" customHeight="false" outlineLevel="0" collapsed="false">
      <c r="A3766" s="5" t="s">
        <v>17198</v>
      </c>
      <c r="B3766" s="2" t="s">
        <v>17199</v>
      </c>
      <c r="C3766" s="5" t="s">
        <v>2245</v>
      </c>
      <c r="D3766" s="5" t="s">
        <v>62</v>
      </c>
      <c r="E3766" s="5" t="n">
        <v>7</v>
      </c>
      <c r="F3766" s="5" t="s">
        <v>90</v>
      </c>
      <c r="G3766" s="2" t="s">
        <v>12174</v>
      </c>
      <c r="H3766" s="5" t="s">
        <v>8336</v>
      </c>
      <c r="I3766" s="5"/>
      <c r="J3766" s="5"/>
      <c r="K3766" s="5" t="s">
        <v>17200</v>
      </c>
    </row>
    <row r="3767" customFormat="false" ht="23.85" hidden="false" customHeight="false" outlineLevel="0" collapsed="false">
      <c r="A3767" s="5" t="s">
        <v>4720</v>
      </c>
      <c r="B3767" s="2" t="s">
        <v>4721</v>
      </c>
      <c r="C3767" s="5" t="s">
        <v>2128</v>
      </c>
      <c r="D3767" s="5" t="s">
        <v>62</v>
      </c>
      <c r="E3767" s="5" t="n">
        <v>3</v>
      </c>
      <c r="F3767" s="5" t="s">
        <v>90</v>
      </c>
      <c r="G3767" s="2" t="s">
        <v>184</v>
      </c>
      <c r="H3767" s="5" t="s">
        <v>8332</v>
      </c>
      <c r="I3767" s="5" t="s">
        <v>60</v>
      </c>
      <c r="J3767" s="5" t="s">
        <v>269</v>
      </c>
      <c r="K3767" s="5" t="s">
        <v>4724</v>
      </c>
    </row>
    <row r="3768" customFormat="false" ht="46.25" hidden="false" customHeight="false" outlineLevel="0" collapsed="false">
      <c r="A3768" s="5" t="s">
        <v>17201</v>
      </c>
      <c r="B3768" s="2" t="s">
        <v>17202</v>
      </c>
      <c r="C3768" s="5" t="s">
        <v>2245</v>
      </c>
      <c r="D3768" s="5" t="s">
        <v>62</v>
      </c>
      <c r="E3768" s="5" t="n">
        <v>1</v>
      </c>
      <c r="F3768" s="5" t="s">
        <v>90</v>
      </c>
      <c r="G3768" s="2" t="s">
        <v>12174</v>
      </c>
      <c r="H3768" s="5" t="s">
        <v>8336</v>
      </c>
      <c r="I3768" s="5"/>
      <c r="J3768" s="5"/>
      <c r="K3768" s="5" t="s">
        <v>17203</v>
      </c>
    </row>
    <row r="3769" customFormat="false" ht="46.25" hidden="false" customHeight="false" outlineLevel="0" collapsed="false">
      <c r="A3769" s="5" t="s">
        <v>17204</v>
      </c>
      <c r="B3769" s="2" t="s">
        <v>17205</v>
      </c>
      <c r="C3769" s="5" t="s">
        <v>2245</v>
      </c>
      <c r="D3769" s="5" t="s">
        <v>62</v>
      </c>
      <c r="E3769" s="5" t="n">
        <v>5</v>
      </c>
      <c r="F3769" s="5" t="s">
        <v>90</v>
      </c>
      <c r="G3769" s="2" t="s">
        <v>12174</v>
      </c>
      <c r="H3769" s="5" t="s">
        <v>8336</v>
      </c>
      <c r="I3769" s="5"/>
      <c r="J3769" s="5"/>
      <c r="K3769" s="5" t="s">
        <v>17206</v>
      </c>
    </row>
    <row r="3770" customFormat="false" ht="46.25" hidden="false" customHeight="false" outlineLevel="0" collapsed="false">
      <c r="A3770" s="5" t="s">
        <v>17207</v>
      </c>
      <c r="B3770" s="2" t="s">
        <v>17208</v>
      </c>
      <c r="C3770" s="5" t="s">
        <v>2245</v>
      </c>
      <c r="D3770" s="5" t="s">
        <v>62</v>
      </c>
      <c r="E3770" s="5" t="n">
        <v>7</v>
      </c>
      <c r="F3770" s="5" t="s">
        <v>90</v>
      </c>
      <c r="G3770" s="2" t="s">
        <v>12057</v>
      </c>
      <c r="H3770" s="5" t="s">
        <v>8336</v>
      </c>
      <c r="I3770" s="5"/>
      <c r="J3770" s="5"/>
      <c r="K3770" s="5" t="s">
        <v>17209</v>
      </c>
    </row>
    <row r="3771" customFormat="false" ht="46.25" hidden="false" customHeight="false" outlineLevel="0" collapsed="false">
      <c r="A3771" s="5" t="s">
        <v>17210</v>
      </c>
      <c r="B3771" s="2" t="s">
        <v>17211</v>
      </c>
      <c r="C3771" s="5" t="s">
        <v>2245</v>
      </c>
      <c r="D3771" s="5" t="s">
        <v>62</v>
      </c>
      <c r="E3771" s="5" t="n">
        <v>3</v>
      </c>
      <c r="F3771" s="5" t="s">
        <v>90</v>
      </c>
      <c r="G3771" s="2" t="s">
        <v>12174</v>
      </c>
      <c r="H3771" s="5" t="s">
        <v>8336</v>
      </c>
      <c r="I3771" s="5"/>
      <c r="J3771" s="5"/>
      <c r="K3771" s="5" t="s">
        <v>17212</v>
      </c>
    </row>
    <row r="3772" customFormat="false" ht="46.25" hidden="false" customHeight="false" outlineLevel="0" collapsed="false">
      <c r="A3772" s="5" t="s">
        <v>17213</v>
      </c>
      <c r="B3772" s="2" t="s">
        <v>17214</v>
      </c>
      <c r="C3772" s="5" t="s">
        <v>2245</v>
      </c>
      <c r="D3772" s="5" t="s">
        <v>62</v>
      </c>
      <c r="E3772" s="5" t="n">
        <v>7</v>
      </c>
      <c r="F3772" s="5" t="s">
        <v>90</v>
      </c>
      <c r="G3772" s="2" t="s">
        <v>12174</v>
      </c>
      <c r="H3772" s="5" t="s">
        <v>8336</v>
      </c>
      <c r="I3772" s="5"/>
      <c r="J3772" s="5"/>
      <c r="K3772" s="5" t="s">
        <v>17215</v>
      </c>
    </row>
    <row r="3773" customFormat="false" ht="23.85" hidden="false" customHeight="false" outlineLevel="0" collapsed="false">
      <c r="A3773" s="5" t="s">
        <v>17216</v>
      </c>
      <c r="B3773" s="2" t="s">
        <v>17217</v>
      </c>
      <c r="C3773" s="5" t="s">
        <v>2128</v>
      </c>
      <c r="D3773" s="5" t="s">
        <v>62</v>
      </c>
      <c r="E3773" s="5" t="n">
        <v>3</v>
      </c>
      <c r="F3773" s="5" t="s">
        <v>67</v>
      </c>
      <c r="G3773" s="2" t="s">
        <v>415</v>
      </c>
      <c r="H3773" s="5" t="s">
        <v>8336</v>
      </c>
      <c r="I3773" s="5"/>
      <c r="J3773" s="5"/>
      <c r="K3773" s="5" t="s">
        <v>17218</v>
      </c>
    </row>
    <row r="3774" customFormat="false" ht="46.25" hidden="false" customHeight="false" outlineLevel="0" collapsed="false">
      <c r="A3774" s="5" t="s">
        <v>17219</v>
      </c>
      <c r="B3774" s="2" t="s">
        <v>17220</v>
      </c>
      <c r="C3774" s="5" t="s">
        <v>2245</v>
      </c>
      <c r="D3774" s="5" t="s">
        <v>490</v>
      </c>
      <c r="E3774" s="5" t="n">
        <v>7</v>
      </c>
      <c r="F3774" s="5" t="s">
        <v>90</v>
      </c>
      <c r="G3774" s="2" t="s">
        <v>12057</v>
      </c>
      <c r="H3774" s="5" t="s">
        <v>8336</v>
      </c>
      <c r="I3774" s="5"/>
      <c r="J3774" s="5"/>
      <c r="K3774" s="5" t="s">
        <v>17221</v>
      </c>
    </row>
    <row r="3775" customFormat="false" ht="46.25" hidden="false" customHeight="false" outlineLevel="0" collapsed="false">
      <c r="A3775" s="5" t="s">
        <v>4725</v>
      </c>
      <c r="B3775" s="2" t="s">
        <v>4726</v>
      </c>
      <c r="C3775" s="5" t="s">
        <v>2245</v>
      </c>
      <c r="D3775" s="5" t="s">
        <v>62</v>
      </c>
      <c r="E3775" s="5" t="n">
        <v>3</v>
      </c>
      <c r="F3775" s="5" t="s">
        <v>90</v>
      </c>
      <c r="G3775" s="2" t="s">
        <v>12894</v>
      </c>
      <c r="H3775" s="5" t="s">
        <v>8332</v>
      </c>
      <c r="I3775" s="5" t="s">
        <v>60</v>
      </c>
      <c r="J3775" s="5" t="s">
        <v>276</v>
      </c>
      <c r="K3775" s="5" t="s">
        <v>4729</v>
      </c>
    </row>
    <row r="3776" customFormat="false" ht="46.25" hidden="false" customHeight="false" outlineLevel="0" collapsed="false">
      <c r="A3776" s="5" t="s">
        <v>17222</v>
      </c>
      <c r="B3776" s="2" t="s">
        <v>17223</v>
      </c>
      <c r="C3776" s="5" t="s">
        <v>2245</v>
      </c>
      <c r="D3776" s="5" t="s">
        <v>490</v>
      </c>
      <c r="E3776" s="5" t="n">
        <v>7</v>
      </c>
      <c r="F3776" s="5" t="s">
        <v>90</v>
      </c>
      <c r="G3776" s="2" t="s">
        <v>12057</v>
      </c>
      <c r="H3776" s="5" t="s">
        <v>8336</v>
      </c>
      <c r="I3776" s="5"/>
      <c r="J3776" s="5"/>
      <c r="K3776" s="5" t="s">
        <v>17224</v>
      </c>
    </row>
    <row r="3777" customFormat="false" ht="46.25" hidden="false" customHeight="false" outlineLevel="0" collapsed="false">
      <c r="A3777" s="5" t="s">
        <v>17225</v>
      </c>
      <c r="B3777" s="2" t="s">
        <v>17226</v>
      </c>
      <c r="C3777" s="5" t="s">
        <v>2245</v>
      </c>
      <c r="D3777" s="5" t="s">
        <v>490</v>
      </c>
      <c r="E3777" s="5" t="n">
        <v>7</v>
      </c>
      <c r="F3777" s="5" t="s">
        <v>90</v>
      </c>
      <c r="G3777" s="2" t="s">
        <v>12057</v>
      </c>
      <c r="H3777" s="5" t="s">
        <v>8336</v>
      </c>
      <c r="I3777" s="5"/>
      <c r="J3777" s="5"/>
      <c r="K3777" s="5" t="s">
        <v>17227</v>
      </c>
    </row>
    <row r="3778" customFormat="false" ht="46.25" hidden="false" customHeight="false" outlineLevel="0" collapsed="false">
      <c r="A3778" s="5" t="s">
        <v>4730</v>
      </c>
      <c r="B3778" s="2" t="s">
        <v>4731</v>
      </c>
      <c r="C3778" s="5" t="s">
        <v>2245</v>
      </c>
      <c r="D3778" s="5" t="s">
        <v>62</v>
      </c>
      <c r="E3778" s="5" t="n">
        <v>7</v>
      </c>
      <c r="F3778" s="5" t="s">
        <v>90</v>
      </c>
      <c r="G3778" s="2" t="s">
        <v>12894</v>
      </c>
      <c r="H3778" s="5" t="s">
        <v>8332</v>
      </c>
      <c r="I3778" s="5" t="s">
        <v>60</v>
      </c>
      <c r="J3778" s="5" t="s">
        <v>269</v>
      </c>
      <c r="K3778" s="5" t="s">
        <v>4736</v>
      </c>
    </row>
    <row r="3779" customFormat="false" ht="15" hidden="false" customHeight="false" outlineLevel="0" collapsed="false">
      <c r="A3779" s="5" t="s">
        <v>17228</v>
      </c>
      <c r="B3779" s="2" t="s">
        <v>17229</v>
      </c>
      <c r="C3779" s="5" t="s">
        <v>2128</v>
      </c>
      <c r="D3779" s="5" t="s">
        <v>62</v>
      </c>
      <c r="E3779" s="5" t="n">
        <v>5</v>
      </c>
      <c r="F3779" s="5" t="s">
        <v>90</v>
      </c>
      <c r="G3779" s="2" t="s">
        <v>367</v>
      </c>
      <c r="H3779" s="5" t="s">
        <v>8336</v>
      </c>
      <c r="I3779" s="5"/>
      <c r="J3779" s="5"/>
      <c r="K3779" s="5" t="s">
        <v>17230</v>
      </c>
    </row>
    <row r="3780" customFormat="false" ht="46.25" hidden="false" customHeight="false" outlineLevel="0" collapsed="false">
      <c r="A3780" s="5" t="s">
        <v>17231</v>
      </c>
      <c r="B3780" s="2" t="s">
        <v>17232</v>
      </c>
      <c r="C3780" s="5" t="s">
        <v>2245</v>
      </c>
      <c r="D3780" s="5" t="s">
        <v>62</v>
      </c>
      <c r="E3780" s="5" t="n">
        <v>5</v>
      </c>
      <c r="F3780" s="5" t="s">
        <v>90</v>
      </c>
      <c r="G3780" s="2" t="s">
        <v>12054</v>
      </c>
      <c r="H3780" s="5" t="s">
        <v>8336</v>
      </c>
      <c r="I3780" s="5"/>
      <c r="J3780" s="5"/>
      <c r="K3780" s="5" t="s">
        <v>17233</v>
      </c>
    </row>
    <row r="3781" customFormat="false" ht="23.85" hidden="false" customHeight="false" outlineLevel="0" collapsed="false">
      <c r="A3781" s="5" t="s">
        <v>4737</v>
      </c>
      <c r="B3781" s="2" t="s">
        <v>4738</v>
      </c>
      <c r="C3781" s="5" t="s">
        <v>2128</v>
      </c>
      <c r="D3781" s="5" t="s">
        <v>62</v>
      </c>
      <c r="E3781" s="5" t="n">
        <v>3</v>
      </c>
      <c r="F3781" s="5" t="s">
        <v>90</v>
      </c>
      <c r="G3781" s="2" t="s">
        <v>184</v>
      </c>
      <c r="H3781" s="5" t="s">
        <v>8332</v>
      </c>
      <c r="I3781" s="5" t="s">
        <v>60</v>
      </c>
      <c r="J3781" s="5" t="s">
        <v>269</v>
      </c>
      <c r="K3781" s="5" t="s">
        <v>4741</v>
      </c>
    </row>
    <row r="3782" customFormat="false" ht="23.85" hidden="false" customHeight="false" outlineLevel="0" collapsed="false">
      <c r="A3782" s="5" t="s">
        <v>17234</v>
      </c>
      <c r="B3782" s="2" t="s">
        <v>17235</v>
      </c>
      <c r="C3782" s="5" t="s">
        <v>2128</v>
      </c>
      <c r="D3782" s="5" t="s">
        <v>62</v>
      </c>
      <c r="E3782" s="5" t="n">
        <v>5</v>
      </c>
      <c r="F3782" s="5" t="s">
        <v>413</v>
      </c>
      <c r="G3782" s="2" t="s">
        <v>367</v>
      </c>
      <c r="H3782" s="5" t="s">
        <v>8336</v>
      </c>
      <c r="I3782" s="5"/>
      <c r="J3782" s="5"/>
      <c r="K3782" s="5" t="s">
        <v>17236</v>
      </c>
    </row>
    <row r="3783" customFormat="false" ht="46.25" hidden="false" customHeight="false" outlineLevel="0" collapsed="false">
      <c r="A3783" s="5" t="s">
        <v>17237</v>
      </c>
      <c r="B3783" s="2" t="s">
        <v>17238</v>
      </c>
      <c r="C3783" s="5" t="s">
        <v>2245</v>
      </c>
      <c r="D3783" s="5" t="s">
        <v>62</v>
      </c>
      <c r="E3783" s="5" t="n">
        <v>7</v>
      </c>
      <c r="F3783" s="5" t="s">
        <v>90</v>
      </c>
      <c r="G3783" s="2" t="s">
        <v>12057</v>
      </c>
      <c r="H3783" s="5" t="s">
        <v>8336</v>
      </c>
      <c r="I3783" s="5"/>
      <c r="J3783" s="5"/>
      <c r="K3783" s="5" t="s">
        <v>17239</v>
      </c>
    </row>
    <row r="3784" customFormat="false" ht="23.85" hidden="false" customHeight="false" outlineLevel="0" collapsed="false">
      <c r="A3784" s="5" t="s">
        <v>6455</v>
      </c>
      <c r="B3784" s="2" t="s">
        <v>6456</v>
      </c>
      <c r="C3784" s="5" t="s">
        <v>2128</v>
      </c>
      <c r="D3784" s="5" t="s">
        <v>62</v>
      </c>
      <c r="E3784" s="5" t="n">
        <v>7</v>
      </c>
      <c r="F3784" s="5" t="s">
        <v>2079</v>
      </c>
      <c r="G3784" s="2" t="s">
        <v>367</v>
      </c>
      <c r="H3784" s="5" t="s">
        <v>8332</v>
      </c>
      <c r="I3784" s="5" t="s">
        <v>4760</v>
      </c>
      <c r="J3784" s="5" t="s">
        <v>2079</v>
      </c>
      <c r="K3784" s="5" t="s">
        <v>6459</v>
      </c>
    </row>
    <row r="3785" customFormat="false" ht="46.25" hidden="false" customHeight="false" outlineLevel="0" collapsed="false">
      <c r="A3785" s="5" t="s">
        <v>17240</v>
      </c>
      <c r="B3785" s="2" t="s">
        <v>17241</v>
      </c>
      <c r="C3785" s="5" t="s">
        <v>2245</v>
      </c>
      <c r="D3785" s="5" t="s">
        <v>62</v>
      </c>
      <c r="E3785" s="5" t="n">
        <v>5</v>
      </c>
      <c r="F3785" s="5" t="s">
        <v>90</v>
      </c>
      <c r="G3785" s="2" t="s">
        <v>12057</v>
      </c>
      <c r="H3785" s="5" t="s">
        <v>8336</v>
      </c>
      <c r="I3785" s="5"/>
      <c r="J3785" s="5"/>
      <c r="K3785" s="5" t="s">
        <v>17242</v>
      </c>
    </row>
    <row r="3786" customFormat="false" ht="46.25" hidden="false" customHeight="false" outlineLevel="0" collapsed="false">
      <c r="A3786" s="5" t="s">
        <v>17243</v>
      </c>
      <c r="B3786" s="2" t="s">
        <v>17244</v>
      </c>
      <c r="C3786" s="5" t="s">
        <v>2245</v>
      </c>
      <c r="D3786" s="5" t="s">
        <v>490</v>
      </c>
      <c r="E3786" s="5" t="n">
        <v>3</v>
      </c>
      <c r="F3786" s="5" t="s">
        <v>67</v>
      </c>
      <c r="G3786" s="2" t="s">
        <v>12057</v>
      </c>
      <c r="H3786" s="5" t="s">
        <v>8336</v>
      </c>
      <c r="I3786" s="5"/>
      <c r="J3786" s="5"/>
      <c r="K3786" s="5" t="s">
        <v>17245</v>
      </c>
    </row>
    <row r="3787" customFormat="false" ht="23.85" hidden="false" customHeight="false" outlineLevel="0" collapsed="false">
      <c r="A3787" s="5" t="s">
        <v>4742</v>
      </c>
      <c r="B3787" s="2" t="s">
        <v>4743</v>
      </c>
      <c r="C3787" s="5" t="s">
        <v>2128</v>
      </c>
      <c r="D3787" s="5" t="s">
        <v>62</v>
      </c>
      <c r="E3787" s="5" t="n">
        <v>5</v>
      </c>
      <c r="F3787" s="5" t="s">
        <v>90</v>
      </c>
      <c r="G3787" s="2" t="s">
        <v>184</v>
      </c>
      <c r="H3787" s="5" t="s">
        <v>8332</v>
      </c>
      <c r="I3787" s="5" t="s">
        <v>60</v>
      </c>
      <c r="J3787" s="5" t="s">
        <v>269</v>
      </c>
      <c r="K3787" s="5" t="s">
        <v>4747</v>
      </c>
    </row>
    <row r="3788" customFormat="false" ht="23.85" hidden="false" customHeight="false" outlineLevel="0" collapsed="false">
      <c r="A3788" s="5" t="s">
        <v>2109</v>
      </c>
      <c r="B3788" s="2" t="s">
        <v>2110</v>
      </c>
      <c r="C3788" s="5" t="s">
        <v>488</v>
      </c>
      <c r="D3788" s="5" t="s">
        <v>62</v>
      </c>
      <c r="E3788" s="5" t="n">
        <v>5</v>
      </c>
      <c r="F3788" s="5" t="s">
        <v>100</v>
      </c>
      <c r="G3788" s="2" t="s">
        <v>184</v>
      </c>
      <c r="H3788" s="5" t="s">
        <v>8332</v>
      </c>
      <c r="I3788" s="5" t="s">
        <v>60</v>
      </c>
      <c r="J3788" s="5" t="s">
        <v>303</v>
      </c>
      <c r="K3788" s="5" t="s">
        <v>2113</v>
      </c>
    </row>
    <row r="3789" customFormat="false" ht="23.85" hidden="false" customHeight="false" outlineLevel="0" collapsed="false">
      <c r="A3789" s="5" t="s">
        <v>17246</v>
      </c>
      <c r="B3789" s="2" t="s">
        <v>17247</v>
      </c>
      <c r="C3789" s="5" t="s">
        <v>2128</v>
      </c>
      <c r="D3789" s="5" t="s">
        <v>62</v>
      </c>
      <c r="E3789" s="5" t="n">
        <v>3</v>
      </c>
      <c r="F3789" s="5" t="s">
        <v>67</v>
      </c>
      <c r="G3789" s="2" t="s">
        <v>367</v>
      </c>
      <c r="H3789" s="5" t="s">
        <v>8336</v>
      </c>
      <c r="I3789" s="5"/>
      <c r="J3789" s="5"/>
      <c r="K3789" s="5" t="s">
        <v>17248</v>
      </c>
    </row>
    <row r="3790" customFormat="false" ht="46.25" hidden="false" customHeight="false" outlineLevel="0" collapsed="false">
      <c r="A3790" s="5" t="s">
        <v>17249</v>
      </c>
      <c r="B3790" s="2" t="s">
        <v>17250</v>
      </c>
      <c r="C3790" s="5" t="s">
        <v>2245</v>
      </c>
      <c r="D3790" s="5" t="s">
        <v>62</v>
      </c>
      <c r="E3790" s="5" t="n">
        <v>5</v>
      </c>
      <c r="F3790" s="5" t="s">
        <v>1210</v>
      </c>
      <c r="G3790" s="2" t="s">
        <v>12057</v>
      </c>
      <c r="H3790" s="5" t="s">
        <v>8336</v>
      </c>
      <c r="I3790" s="5"/>
      <c r="J3790" s="5"/>
      <c r="K3790" s="5" t="s">
        <v>17251</v>
      </c>
    </row>
    <row r="3791" customFormat="false" ht="46.25" hidden="false" customHeight="false" outlineLevel="0" collapsed="false">
      <c r="A3791" s="5" t="s">
        <v>17252</v>
      </c>
      <c r="B3791" s="2" t="s">
        <v>17253</v>
      </c>
      <c r="C3791" s="5" t="s">
        <v>2245</v>
      </c>
      <c r="D3791" s="5" t="s">
        <v>62</v>
      </c>
      <c r="E3791" s="5" t="n">
        <v>5</v>
      </c>
      <c r="F3791" s="5" t="s">
        <v>1210</v>
      </c>
      <c r="G3791" s="2" t="s">
        <v>12057</v>
      </c>
      <c r="H3791" s="5" t="s">
        <v>8336</v>
      </c>
      <c r="I3791" s="5"/>
      <c r="J3791" s="5"/>
      <c r="K3791" s="5" t="s">
        <v>17254</v>
      </c>
    </row>
    <row r="3792" customFormat="false" ht="46.25" hidden="false" customHeight="false" outlineLevel="0" collapsed="false">
      <c r="A3792" s="5" t="s">
        <v>17255</v>
      </c>
      <c r="B3792" s="2" t="s">
        <v>17256</v>
      </c>
      <c r="C3792" s="5" t="s">
        <v>2245</v>
      </c>
      <c r="D3792" s="5" t="s">
        <v>62</v>
      </c>
      <c r="E3792" s="5" t="n">
        <v>5</v>
      </c>
      <c r="F3792" s="5" t="s">
        <v>1210</v>
      </c>
      <c r="G3792" s="2" t="s">
        <v>12057</v>
      </c>
      <c r="H3792" s="5" t="s">
        <v>8336</v>
      </c>
      <c r="I3792" s="5"/>
      <c r="J3792" s="5"/>
      <c r="K3792" s="5" t="s">
        <v>17257</v>
      </c>
    </row>
    <row r="3793" customFormat="false" ht="46.25" hidden="false" customHeight="false" outlineLevel="0" collapsed="false">
      <c r="A3793" s="5" t="s">
        <v>17258</v>
      </c>
      <c r="B3793" s="2" t="s">
        <v>17259</v>
      </c>
      <c r="C3793" s="5" t="s">
        <v>2245</v>
      </c>
      <c r="D3793" s="5" t="s">
        <v>490</v>
      </c>
      <c r="E3793" s="5" t="n">
        <v>5</v>
      </c>
      <c r="F3793" s="5" t="s">
        <v>536</v>
      </c>
      <c r="G3793" s="2" t="s">
        <v>12057</v>
      </c>
      <c r="H3793" s="5" t="s">
        <v>8336</v>
      </c>
      <c r="I3793" s="5"/>
      <c r="J3793" s="5"/>
      <c r="K3793" s="5" t="s">
        <v>17260</v>
      </c>
    </row>
    <row r="3794" customFormat="false" ht="23.85" hidden="false" customHeight="false" outlineLevel="0" collapsed="false">
      <c r="A3794" s="5" t="s">
        <v>17261</v>
      </c>
      <c r="B3794" s="2" t="s">
        <v>17262</v>
      </c>
      <c r="C3794" s="5" t="s">
        <v>2128</v>
      </c>
      <c r="D3794" s="5" t="s">
        <v>62</v>
      </c>
      <c r="E3794" s="5" t="n">
        <v>5</v>
      </c>
      <c r="F3794" s="5" t="s">
        <v>544</v>
      </c>
      <c r="G3794" s="2" t="s">
        <v>367</v>
      </c>
      <c r="H3794" s="5" t="s">
        <v>8336</v>
      </c>
      <c r="I3794" s="5"/>
      <c r="J3794" s="5"/>
      <c r="K3794" s="5" t="s">
        <v>17263</v>
      </c>
    </row>
    <row r="3795" customFormat="false" ht="46.25" hidden="false" customHeight="false" outlineLevel="0" collapsed="false">
      <c r="A3795" s="5" t="s">
        <v>17264</v>
      </c>
      <c r="B3795" s="2" t="s">
        <v>17265</v>
      </c>
      <c r="C3795" s="5" t="s">
        <v>2245</v>
      </c>
      <c r="D3795" s="5" t="s">
        <v>62</v>
      </c>
      <c r="E3795" s="5" t="n">
        <v>5</v>
      </c>
      <c r="F3795" s="5" t="s">
        <v>1210</v>
      </c>
      <c r="G3795" s="2" t="s">
        <v>12054</v>
      </c>
      <c r="H3795" s="5" t="s">
        <v>8336</v>
      </c>
      <c r="I3795" s="5"/>
      <c r="J3795" s="5"/>
      <c r="K3795" s="5" t="s">
        <v>17266</v>
      </c>
    </row>
    <row r="3796" customFormat="false" ht="23.85" hidden="false" customHeight="false" outlineLevel="0" collapsed="false">
      <c r="A3796" s="5" t="s">
        <v>17267</v>
      </c>
      <c r="B3796" s="2" t="s">
        <v>17268</v>
      </c>
      <c r="C3796" s="5" t="s">
        <v>2128</v>
      </c>
      <c r="D3796" s="5" t="s">
        <v>62</v>
      </c>
      <c r="E3796" s="5" t="n">
        <v>3</v>
      </c>
      <c r="F3796" s="5" t="s">
        <v>90</v>
      </c>
      <c r="G3796" s="2" t="s">
        <v>415</v>
      </c>
      <c r="H3796" s="5" t="s">
        <v>8336</v>
      </c>
      <c r="I3796" s="5"/>
      <c r="J3796" s="5"/>
      <c r="K3796" s="5" t="s">
        <v>17269</v>
      </c>
    </row>
    <row r="3797" customFormat="false" ht="15" hidden="false" customHeight="false" outlineLevel="0" collapsed="false">
      <c r="A3797" s="5" t="s">
        <v>6460</v>
      </c>
      <c r="B3797" s="2" t="s">
        <v>6461</v>
      </c>
      <c r="C3797" s="5" t="s">
        <v>2128</v>
      </c>
      <c r="D3797" s="5" t="s">
        <v>62</v>
      </c>
      <c r="E3797" s="5" t="n">
        <v>3</v>
      </c>
      <c r="F3797" s="5" t="s">
        <v>2079</v>
      </c>
      <c r="G3797" s="2" t="s">
        <v>367</v>
      </c>
      <c r="H3797" s="5" t="s">
        <v>8332</v>
      </c>
      <c r="I3797" s="5" t="s">
        <v>4760</v>
      </c>
      <c r="J3797" s="5" t="s">
        <v>2079</v>
      </c>
      <c r="K3797" s="5" t="s">
        <v>6464</v>
      </c>
    </row>
    <row r="3798" customFormat="false" ht="23.85" hidden="false" customHeight="false" outlineLevel="0" collapsed="false">
      <c r="A3798" s="5" t="s">
        <v>17270</v>
      </c>
      <c r="B3798" s="2" t="s">
        <v>17271</v>
      </c>
      <c r="C3798" s="5" t="s">
        <v>2128</v>
      </c>
      <c r="D3798" s="5" t="s">
        <v>62</v>
      </c>
      <c r="E3798" s="5" t="n">
        <v>7</v>
      </c>
      <c r="F3798" s="5" t="s">
        <v>90</v>
      </c>
      <c r="G3798" s="2" t="s">
        <v>367</v>
      </c>
      <c r="H3798" s="5" t="s">
        <v>8336</v>
      </c>
      <c r="I3798" s="5"/>
      <c r="J3798" s="5"/>
      <c r="K3798" s="5" t="s">
        <v>17272</v>
      </c>
    </row>
    <row r="3799" customFormat="false" ht="23.85" hidden="false" customHeight="false" outlineLevel="0" collapsed="false">
      <c r="A3799" s="5" t="s">
        <v>17273</v>
      </c>
      <c r="B3799" s="2" t="s">
        <v>17274</v>
      </c>
      <c r="C3799" s="5" t="s">
        <v>2128</v>
      </c>
      <c r="D3799" s="5" t="s">
        <v>62</v>
      </c>
      <c r="E3799" s="5" t="n">
        <v>7</v>
      </c>
      <c r="F3799" s="5" t="s">
        <v>413</v>
      </c>
      <c r="G3799" s="2" t="s">
        <v>367</v>
      </c>
      <c r="H3799" s="5" t="s">
        <v>8336</v>
      </c>
      <c r="I3799" s="5"/>
      <c r="J3799" s="5"/>
      <c r="K3799" s="5" t="s">
        <v>17275</v>
      </c>
    </row>
    <row r="3800" customFormat="false" ht="46.25" hidden="false" customHeight="false" outlineLevel="0" collapsed="false">
      <c r="A3800" s="5" t="s">
        <v>17276</v>
      </c>
      <c r="B3800" s="2" t="s">
        <v>17277</v>
      </c>
      <c r="C3800" s="5" t="s">
        <v>2245</v>
      </c>
      <c r="D3800" s="5" t="s">
        <v>62</v>
      </c>
      <c r="E3800" s="5" t="n">
        <v>5</v>
      </c>
      <c r="F3800" s="5" t="s">
        <v>90</v>
      </c>
      <c r="G3800" s="2" t="s">
        <v>12057</v>
      </c>
      <c r="H3800" s="5" t="s">
        <v>8336</v>
      </c>
      <c r="I3800" s="5"/>
      <c r="J3800" s="5"/>
      <c r="K3800" s="5" t="s">
        <v>17278</v>
      </c>
    </row>
    <row r="3801" customFormat="false" ht="23.85" hidden="false" customHeight="false" outlineLevel="0" collapsed="false">
      <c r="A3801" s="5" t="s">
        <v>17279</v>
      </c>
      <c r="B3801" s="2" t="s">
        <v>17280</v>
      </c>
      <c r="C3801" s="5" t="s">
        <v>2128</v>
      </c>
      <c r="D3801" s="5" t="s">
        <v>62</v>
      </c>
      <c r="E3801" s="5" t="n">
        <v>3</v>
      </c>
      <c r="F3801" s="5" t="s">
        <v>90</v>
      </c>
      <c r="G3801" s="2" t="s">
        <v>415</v>
      </c>
      <c r="H3801" s="5" t="s">
        <v>8336</v>
      </c>
      <c r="I3801" s="5"/>
      <c r="J3801" s="5"/>
      <c r="K3801" s="5" t="s">
        <v>17281</v>
      </c>
    </row>
    <row r="3802" customFormat="false" ht="46.25" hidden="false" customHeight="false" outlineLevel="0" collapsed="false">
      <c r="A3802" s="5" t="s">
        <v>17282</v>
      </c>
      <c r="B3802" s="2" t="s">
        <v>17283</v>
      </c>
      <c r="C3802" s="5" t="s">
        <v>2245</v>
      </c>
      <c r="D3802" s="5" t="s">
        <v>490</v>
      </c>
      <c r="E3802" s="5" t="n">
        <v>7</v>
      </c>
      <c r="F3802" s="5" t="s">
        <v>90</v>
      </c>
      <c r="G3802" s="2" t="s">
        <v>12057</v>
      </c>
      <c r="H3802" s="5" t="s">
        <v>8336</v>
      </c>
      <c r="I3802" s="5"/>
      <c r="J3802" s="5"/>
      <c r="K3802" s="5" t="s">
        <v>17284</v>
      </c>
    </row>
    <row r="3803" customFormat="false" ht="15" hidden="false" customHeight="false" outlineLevel="0" collapsed="false">
      <c r="A3803" s="5" t="s">
        <v>17285</v>
      </c>
      <c r="B3803" s="2" t="s">
        <v>17286</v>
      </c>
      <c r="C3803" s="5" t="s">
        <v>2128</v>
      </c>
      <c r="D3803" s="5" t="s">
        <v>62</v>
      </c>
      <c r="E3803" s="5" t="n">
        <v>7</v>
      </c>
      <c r="F3803" s="5" t="s">
        <v>90</v>
      </c>
      <c r="G3803" s="2" t="s">
        <v>367</v>
      </c>
      <c r="H3803" s="5" t="s">
        <v>8336</v>
      </c>
      <c r="I3803" s="5"/>
      <c r="J3803" s="5"/>
      <c r="K3803" s="5" t="s">
        <v>17287</v>
      </c>
    </row>
    <row r="3804" customFormat="false" ht="46.25" hidden="false" customHeight="false" outlineLevel="0" collapsed="false">
      <c r="A3804" s="5" t="s">
        <v>17288</v>
      </c>
      <c r="B3804" s="2" t="s">
        <v>17289</v>
      </c>
      <c r="C3804" s="5" t="s">
        <v>2245</v>
      </c>
      <c r="D3804" s="5" t="s">
        <v>62</v>
      </c>
      <c r="E3804" s="5" t="n">
        <v>3</v>
      </c>
      <c r="F3804" s="5" t="s">
        <v>90</v>
      </c>
      <c r="G3804" s="2" t="s">
        <v>12057</v>
      </c>
      <c r="H3804" s="5" t="s">
        <v>8336</v>
      </c>
      <c r="I3804" s="5"/>
      <c r="J3804" s="5"/>
      <c r="K3804" s="5" t="s">
        <v>17290</v>
      </c>
    </row>
    <row r="3805" customFormat="false" ht="46.25" hidden="false" customHeight="false" outlineLevel="0" collapsed="false">
      <c r="A3805" s="5" t="s">
        <v>17291</v>
      </c>
      <c r="B3805" s="2" t="s">
        <v>17292</v>
      </c>
      <c r="C3805" s="5" t="s">
        <v>2245</v>
      </c>
      <c r="D3805" s="5" t="s">
        <v>62</v>
      </c>
      <c r="E3805" s="5" t="n">
        <v>5</v>
      </c>
      <c r="F3805" s="5" t="s">
        <v>67</v>
      </c>
      <c r="G3805" s="2" t="s">
        <v>12057</v>
      </c>
      <c r="H3805" s="5" t="s">
        <v>8336</v>
      </c>
      <c r="I3805" s="5"/>
      <c r="J3805" s="5"/>
      <c r="K3805" s="5" t="s">
        <v>17293</v>
      </c>
    </row>
    <row r="3806" customFormat="false" ht="46.25" hidden="false" customHeight="false" outlineLevel="0" collapsed="false">
      <c r="A3806" s="5" t="s">
        <v>17294</v>
      </c>
      <c r="B3806" s="2" t="s">
        <v>17295</v>
      </c>
      <c r="C3806" s="5" t="s">
        <v>2245</v>
      </c>
      <c r="D3806" s="5" t="s">
        <v>62</v>
      </c>
      <c r="E3806" s="5" t="n">
        <v>5</v>
      </c>
      <c r="F3806" s="5" t="s">
        <v>90</v>
      </c>
      <c r="G3806" s="2" t="s">
        <v>12054</v>
      </c>
      <c r="H3806" s="5" t="s">
        <v>8336</v>
      </c>
      <c r="I3806" s="5"/>
      <c r="J3806" s="5"/>
      <c r="K3806" s="5" t="s">
        <v>17296</v>
      </c>
    </row>
    <row r="3807" customFormat="false" ht="46.25" hidden="false" customHeight="false" outlineLevel="0" collapsed="false">
      <c r="A3807" s="5" t="s">
        <v>17297</v>
      </c>
      <c r="B3807" s="2" t="s">
        <v>17298</v>
      </c>
      <c r="C3807" s="5" t="s">
        <v>2245</v>
      </c>
      <c r="D3807" s="5" t="s">
        <v>62</v>
      </c>
      <c r="E3807" s="5" t="n">
        <v>7</v>
      </c>
      <c r="F3807" s="5" t="s">
        <v>90</v>
      </c>
      <c r="G3807" s="2" t="s">
        <v>12057</v>
      </c>
      <c r="H3807" s="5" t="s">
        <v>8336</v>
      </c>
      <c r="I3807" s="5"/>
      <c r="J3807" s="5"/>
      <c r="K3807" s="5" t="s">
        <v>17299</v>
      </c>
    </row>
    <row r="3808" customFormat="false" ht="15" hidden="false" customHeight="false" outlineLevel="0" collapsed="false">
      <c r="A3808" s="5" t="s">
        <v>17300</v>
      </c>
      <c r="B3808" s="2" t="s">
        <v>17301</v>
      </c>
      <c r="C3808" s="5" t="s">
        <v>2128</v>
      </c>
      <c r="D3808" s="5" t="s">
        <v>62</v>
      </c>
      <c r="E3808" s="5" t="n">
        <v>7</v>
      </c>
      <c r="F3808" s="5" t="s">
        <v>1210</v>
      </c>
      <c r="G3808" s="2" t="s">
        <v>367</v>
      </c>
      <c r="H3808" s="5" t="s">
        <v>8336</v>
      </c>
      <c r="I3808" s="5"/>
      <c r="J3808" s="5"/>
      <c r="K3808" s="5" t="s">
        <v>17302</v>
      </c>
    </row>
    <row r="3809" customFormat="false" ht="46.25" hidden="false" customHeight="false" outlineLevel="0" collapsed="false">
      <c r="A3809" s="5" t="s">
        <v>17303</v>
      </c>
      <c r="B3809" s="2" t="s">
        <v>17304</v>
      </c>
      <c r="C3809" s="5" t="s">
        <v>2245</v>
      </c>
      <c r="D3809" s="5" t="s">
        <v>490</v>
      </c>
      <c r="E3809" s="5" t="n">
        <v>7</v>
      </c>
      <c r="F3809" s="5" t="s">
        <v>90</v>
      </c>
      <c r="G3809" s="2" t="s">
        <v>12057</v>
      </c>
      <c r="H3809" s="5" t="s">
        <v>8336</v>
      </c>
      <c r="I3809" s="5"/>
      <c r="J3809" s="5"/>
      <c r="K3809" s="5" t="s">
        <v>17305</v>
      </c>
    </row>
    <row r="3810" customFormat="false" ht="15" hidden="false" customHeight="false" outlineLevel="0" collapsed="false">
      <c r="A3810" s="5" t="s">
        <v>17306</v>
      </c>
      <c r="B3810" s="2" t="s">
        <v>17307</v>
      </c>
      <c r="C3810" s="5" t="s">
        <v>2128</v>
      </c>
      <c r="D3810" s="5" t="s">
        <v>62</v>
      </c>
      <c r="E3810" s="5" t="n">
        <v>7</v>
      </c>
      <c r="F3810" s="5" t="s">
        <v>1210</v>
      </c>
      <c r="G3810" s="2" t="s">
        <v>367</v>
      </c>
      <c r="H3810" s="5" t="s">
        <v>8336</v>
      </c>
      <c r="I3810" s="5"/>
      <c r="J3810" s="5"/>
      <c r="K3810" s="5" t="s">
        <v>17308</v>
      </c>
    </row>
    <row r="3811" customFormat="false" ht="15" hidden="false" customHeight="false" outlineLevel="0" collapsed="false">
      <c r="A3811" s="5" t="s">
        <v>6465</v>
      </c>
      <c r="B3811" s="2" t="s">
        <v>6466</v>
      </c>
      <c r="C3811" s="5" t="s">
        <v>2128</v>
      </c>
      <c r="D3811" s="5" t="s">
        <v>62</v>
      </c>
      <c r="E3811" s="5" t="n">
        <v>5</v>
      </c>
      <c r="F3811" s="5" t="s">
        <v>2079</v>
      </c>
      <c r="G3811" s="2" t="s">
        <v>367</v>
      </c>
      <c r="H3811" s="5" t="s">
        <v>8332</v>
      </c>
      <c r="I3811" s="5" t="s">
        <v>4760</v>
      </c>
      <c r="J3811" s="5" t="s">
        <v>2079</v>
      </c>
      <c r="K3811" s="5" t="s">
        <v>6469</v>
      </c>
    </row>
    <row r="3812" customFormat="false" ht="46.25" hidden="false" customHeight="false" outlineLevel="0" collapsed="false">
      <c r="A3812" s="5" t="s">
        <v>6470</v>
      </c>
      <c r="B3812" s="2" t="s">
        <v>6471</v>
      </c>
      <c r="C3812" s="5" t="s">
        <v>2245</v>
      </c>
      <c r="D3812" s="5" t="s">
        <v>490</v>
      </c>
      <c r="E3812" s="5" t="n">
        <v>7</v>
      </c>
      <c r="F3812" s="5" t="s">
        <v>2079</v>
      </c>
      <c r="G3812" s="2" t="s">
        <v>12057</v>
      </c>
      <c r="H3812" s="5" t="s">
        <v>8332</v>
      </c>
      <c r="I3812" s="5" t="s">
        <v>4760</v>
      </c>
      <c r="J3812" s="5" t="s">
        <v>2079</v>
      </c>
      <c r="K3812" s="5" t="s">
        <v>6474</v>
      </c>
    </row>
    <row r="3813" customFormat="false" ht="46.25" hidden="false" customHeight="false" outlineLevel="0" collapsed="false">
      <c r="A3813" s="5" t="s">
        <v>17309</v>
      </c>
      <c r="B3813" s="2" t="s">
        <v>17310</v>
      </c>
      <c r="C3813" s="5" t="s">
        <v>2245</v>
      </c>
      <c r="D3813" s="5" t="s">
        <v>62</v>
      </c>
      <c r="E3813" s="5" t="n">
        <v>5</v>
      </c>
      <c r="F3813" s="5" t="s">
        <v>90</v>
      </c>
      <c r="G3813" s="2" t="s">
        <v>12057</v>
      </c>
      <c r="H3813" s="5" t="s">
        <v>8336</v>
      </c>
      <c r="I3813" s="5"/>
      <c r="J3813" s="5"/>
      <c r="K3813" s="5" t="s">
        <v>17311</v>
      </c>
    </row>
    <row r="3814" customFormat="false" ht="23.85" hidden="false" customHeight="false" outlineLevel="0" collapsed="false">
      <c r="A3814" s="5" t="s">
        <v>17312</v>
      </c>
      <c r="B3814" s="2" t="s">
        <v>17313</v>
      </c>
      <c r="C3814" s="5" t="s">
        <v>2128</v>
      </c>
      <c r="D3814" s="5" t="s">
        <v>62</v>
      </c>
      <c r="E3814" s="5" t="n">
        <v>5</v>
      </c>
      <c r="F3814" s="5" t="s">
        <v>90</v>
      </c>
      <c r="G3814" s="2" t="s">
        <v>367</v>
      </c>
      <c r="H3814" s="5" t="s">
        <v>8336</v>
      </c>
      <c r="I3814" s="5"/>
      <c r="J3814" s="5"/>
      <c r="K3814" s="5" t="s">
        <v>17314</v>
      </c>
    </row>
    <row r="3815" customFormat="false" ht="23.85" hidden="false" customHeight="false" outlineLevel="0" collapsed="false">
      <c r="A3815" s="5" t="s">
        <v>17315</v>
      </c>
      <c r="B3815" s="2" t="s">
        <v>17316</v>
      </c>
      <c r="C3815" s="5" t="s">
        <v>2128</v>
      </c>
      <c r="D3815" s="5" t="s">
        <v>62</v>
      </c>
      <c r="E3815" s="5" t="n">
        <v>5</v>
      </c>
      <c r="F3815" s="5" t="s">
        <v>90</v>
      </c>
      <c r="G3815" s="2" t="s">
        <v>367</v>
      </c>
      <c r="H3815" s="5" t="s">
        <v>8336</v>
      </c>
      <c r="I3815" s="5"/>
      <c r="J3815" s="5"/>
      <c r="K3815" s="5" t="s">
        <v>17317</v>
      </c>
    </row>
    <row r="3816" customFormat="false" ht="15" hidden="false" customHeight="false" outlineLevel="0" collapsed="false">
      <c r="A3816" s="5" t="s">
        <v>17318</v>
      </c>
      <c r="B3816" s="2" t="s">
        <v>17319</v>
      </c>
      <c r="C3816" s="5" t="s">
        <v>2128</v>
      </c>
      <c r="D3816" s="5" t="s">
        <v>62</v>
      </c>
      <c r="E3816" s="5" t="n">
        <v>9</v>
      </c>
      <c r="F3816" s="5" t="s">
        <v>90</v>
      </c>
      <c r="G3816" s="2" t="s">
        <v>367</v>
      </c>
      <c r="H3816" s="5" t="s">
        <v>8336</v>
      </c>
      <c r="I3816" s="5"/>
      <c r="J3816" s="5"/>
      <c r="K3816" s="5" t="s">
        <v>17320</v>
      </c>
    </row>
    <row r="3817" customFormat="false" ht="46.25" hidden="false" customHeight="false" outlineLevel="0" collapsed="false">
      <c r="A3817" s="5" t="s">
        <v>17321</v>
      </c>
      <c r="B3817" s="2" t="s">
        <v>17322</v>
      </c>
      <c r="C3817" s="5" t="s">
        <v>2245</v>
      </c>
      <c r="D3817" s="5" t="s">
        <v>62</v>
      </c>
      <c r="E3817" s="5" t="n">
        <v>5</v>
      </c>
      <c r="F3817" s="5" t="s">
        <v>413</v>
      </c>
      <c r="G3817" s="2" t="s">
        <v>12057</v>
      </c>
      <c r="H3817" s="5" t="s">
        <v>8336</v>
      </c>
      <c r="I3817" s="5"/>
      <c r="J3817" s="5"/>
      <c r="K3817" s="5" t="s">
        <v>17323</v>
      </c>
    </row>
    <row r="3818" customFormat="false" ht="15" hidden="false" customHeight="false" outlineLevel="0" collapsed="false">
      <c r="A3818" s="5" t="s">
        <v>17324</v>
      </c>
      <c r="B3818" s="2" t="s">
        <v>17325</v>
      </c>
      <c r="C3818" s="5" t="s">
        <v>2128</v>
      </c>
      <c r="D3818" s="5" t="s">
        <v>62</v>
      </c>
      <c r="E3818" s="5" t="n">
        <v>7</v>
      </c>
      <c r="F3818" s="5" t="s">
        <v>90</v>
      </c>
      <c r="G3818" s="2" t="s">
        <v>367</v>
      </c>
      <c r="H3818" s="5" t="s">
        <v>8336</v>
      </c>
      <c r="I3818" s="5"/>
      <c r="J3818" s="5"/>
      <c r="K3818" s="5" t="s">
        <v>17326</v>
      </c>
    </row>
    <row r="3819" customFormat="false" ht="46.25" hidden="false" customHeight="false" outlineLevel="0" collapsed="false">
      <c r="A3819" s="5" t="s">
        <v>17327</v>
      </c>
      <c r="B3819" s="2" t="s">
        <v>17328</v>
      </c>
      <c r="C3819" s="5" t="s">
        <v>2245</v>
      </c>
      <c r="D3819" s="5" t="s">
        <v>62</v>
      </c>
      <c r="E3819" s="5" t="n">
        <v>5</v>
      </c>
      <c r="F3819" s="5" t="s">
        <v>90</v>
      </c>
      <c r="G3819" s="2" t="s">
        <v>12174</v>
      </c>
      <c r="H3819" s="5" t="s">
        <v>8336</v>
      </c>
      <c r="I3819" s="5"/>
      <c r="J3819" s="5"/>
      <c r="K3819" s="5" t="s">
        <v>17329</v>
      </c>
    </row>
    <row r="3820" customFormat="false" ht="23.85" hidden="false" customHeight="false" outlineLevel="0" collapsed="false">
      <c r="A3820" s="5" t="s">
        <v>17330</v>
      </c>
      <c r="B3820" s="2" t="s">
        <v>17331</v>
      </c>
      <c r="C3820" s="5" t="s">
        <v>2128</v>
      </c>
      <c r="D3820" s="5" t="s">
        <v>62</v>
      </c>
      <c r="E3820" s="5" t="n">
        <v>7</v>
      </c>
      <c r="F3820" s="5" t="s">
        <v>90</v>
      </c>
      <c r="G3820" s="2" t="s">
        <v>367</v>
      </c>
      <c r="H3820" s="5" t="s">
        <v>8336</v>
      </c>
      <c r="I3820" s="5"/>
      <c r="J3820" s="5"/>
      <c r="K3820" s="5" t="s">
        <v>17332</v>
      </c>
    </row>
    <row r="3821" customFormat="false" ht="15" hidden="false" customHeight="false" outlineLevel="0" collapsed="false">
      <c r="A3821" s="5" t="s">
        <v>17333</v>
      </c>
      <c r="B3821" s="2" t="s">
        <v>17334</v>
      </c>
      <c r="C3821" s="5" t="s">
        <v>2128</v>
      </c>
      <c r="D3821" s="5" t="s">
        <v>62</v>
      </c>
      <c r="E3821" s="5" t="n">
        <v>5</v>
      </c>
      <c r="F3821" s="5" t="s">
        <v>90</v>
      </c>
      <c r="G3821" s="2" t="s">
        <v>367</v>
      </c>
      <c r="H3821" s="5" t="s">
        <v>8336</v>
      </c>
      <c r="I3821" s="5"/>
      <c r="J3821" s="5"/>
      <c r="K3821" s="5" t="s">
        <v>17335</v>
      </c>
    </row>
    <row r="3822" customFormat="false" ht="23.85" hidden="false" customHeight="false" outlineLevel="0" collapsed="false">
      <c r="A3822" s="5" t="s">
        <v>17336</v>
      </c>
      <c r="B3822" s="2" t="s">
        <v>17337</v>
      </c>
      <c r="C3822" s="5" t="s">
        <v>2128</v>
      </c>
      <c r="D3822" s="5" t="s">
        <v>62</v>
      </c>
      <c r="E3822" s="5" t="n">
        <v>7</v>
      </c>
      <c r="F3822" s="5" t="s">
        <v>90</v>
      </c>
      <c r="G3822" s="2" t="s">
        <v>367</v>
      </c>
      <c r="H3822" s="5" t="s">
        <v>8336</v>
      </c>
      <c r="I3822" s="5"/>
      <c r="J3822" s="5"/>
      <c r="K3822" s="5" t="s">
        <v>17338</v>
      </c>
    </row>
    <row r="3823" customFormat="false" ht="15" hidden="false" customHeight="false" outlineLevel="0" collapsed="false">
      <c r="A3823" s="5" t="s">
        <v>17339</v>
      </c>
      <c r="B3823" s="2" t="s">
        <v>17340</v>
      </c>
      <c r="C3823" s="5" t="s">
        <v>2128</v>
      </c>
      <c r="D3823" s="5" t="s">
        <v>62</v>
      </c>
      <c r="E3823" s="5" t="n">
        <v>7</v>
      </c>
      <c r="F3823" s="5" t="s">
        <v>90</v>
      </c>
      <c r="G3823" s="2" t="s">
        <v>367</v>
      </c>
      <c r="H3823" s="5" t="s">
        <v>8336</v>
      </c>
      <c r="I3823" s="5"/>
      <c r="J3823" s="5"/>
      <c r="K3823" s="5" t="s">
        <v>17341</v>
      </c>
    </row>
    <row r="3824" customFormat="false" ht="15" hidden="false" customHeight="false" outlineLevel="0" collapsed="false">
      <c r="A3824" s="5" t="s">
        <v>17342</v>
      </c>
      <c r="B3824" s="2" t="s">
        <v>17343</v>
      </c>
      <c r="C3824" s="5" t="s">
        <v>2128</v>
      </c>
      <c r="D3824" s="5" t="s">
        <v>62</v>
      </c>
      <c r="E3824" s="5" t="n">
        <v>7</v>
      </c>
      <c r="F3824" s="5" t="s">
        <v>67</v>
      </c>
      <c r="G3824" s="2" t="s">
        <v>367</v>
      </c>
      <c r="H3824" s="5" t="s">
        <v>8336</v>
      </c>
      <c r="I3824" s="5"/>
      <c r="J3824" s="5"/>
      <c r="K3824" s="5" t="s">
        <v>17344</v>
      </c>
    </row>
    <row r="3825" customFormat="false" ht="15" hidden="false" customHeight="false" outlineLevel="0" collapsed="false">
      <c r="A3825" s="5" t="s">
        <v>17345</v>
      </c>
      <c r="B3825" s="2" t="s">
        <v>17346</v>
      </c>
      <c r="C3825" s="5" t="s">
        <v>2128</v>
      </c>
      <c r="D3825" s="5" t="s">
        <v>62</v>
      </c>
      <c r="E3825" s="5" t="n">
        <v>5</v>
      </c>
      <c r="F3825" s="5" t="s">
        <v>413</v>
      </c>
      <c r="G3825" s="2" t="s">
        <v>367</v>
      </c>
      <c r="H3825" s="5" t="s">
        <v>8336</v>
      </c>
      <c r="I3825" s="5"/>
      <c r="J3825" s="5"/>
      <c r="K3825" s="5" t="s">
        <v>17347</v>
      </c>
    </row>
    <row r="3826" customFormat="false" ht="46.25" hidden="false" customHeight="false" outlineLevel="0" collapsed="false">
      <c r="A3826" s="5" t="s">
        <v>17348</v>
      </c>
      <c r="B3826" s="2" t="s">
        <v>17349</v>
      </c>
      <c r="C3826" s="5" t="s">
        <v>2245</v>
      </c>
      <c r="D3826" s="5" t="s">
        <v>62</v>
      </c>
      <c r="E3826" s="5" t="n">
        <v>5</v>
      </c>
      <c r="F3826" s="5" t="s">
        <v>413</v>
      </c>
      <c r="G3826" s="2" t="s">
        <v>12054</v>
      </c>
      <c r="H3826" s="5" t="s">
        <v>8336</v>
      </c>
      <c r="I3826" s="5"/>
      <c r="J3826" s="5"/>
      <c r="K3826" s="5" t="s">
        <v>17350</v>
      </c>
    </row>
    <row r="3827" customFormat="false" ht="15" hidden="false" customHeight="false" outlineLevel="0" collapsed="false">
      <c r="A3827" s="5" t="s">
        <v>17351</v>
      </c>
      <c r="B3827" s="2" t="s">
        <v>17352</v>
      </c>
      <c r="C3827" s="5" t="s">
        <v>2128</v>
      </c>
      <c r="D3827" s="5" t="s">
        <v>62</v>
      </c>
      <c r="E3827" s="5" t="n">
        <v>9</v>
      </c>
      <c r="F3827" s="5" t="s">
        <v>413</v>
      </c>
      <c r="G3827" s="2" t="s">
        <v>367</v>
      </c>
      <c r="H3827" s="5" t="s">
        <v>8336</v>
      </c>
      <c r="I3827" s="5"/>
      <c r="J3827" s="5"/>
      <c r="K3827" s="5" t="s">
        <v>17353</v>
      </c>
    </row>
    <row r="3828" customFormat="false" ht="46.25" hidden="false" customHeight="false" outlineLevel="0" collapsed="false">
      <c r="A3828" s="5" t="s">
        <v>17354</v>
      </c>
      <c r="B3828" s="2" t="s">
        <v>17355</v>
      </c>
      <c r="C3828" s="5" t="s">
        <v>2245</v>
      </c>
      <c r="D3828" s="5" t="s">
        <v>62</v>
      </c>
      <c r="E3828" s="5" t="n">
        <v>7</v>
      </c>
      <c r="F3828" s="5" t="s">
        <v>413</v>
      </c>
      <c r="G3828" s="2" t="s">
        <v>12054</v>
      </c>
      <c r="H3828" s="5" t="s">
        <v>8336</v>
      </c>
      <c r="I3828" s="5"/>
      <c r="J3828" s="5"/>
      <c r="K3828" s="5" t="s">
        <v>17356</v>
      </c>
    </row>
    <row r="3829" customFormat="false" ht="15" hidden="false" customHeight="false" outlineLevel="0" collapsed="false">
      <c r="A3829" s="5" t="s">
        <v>17357</v>
      </c>
      <c r="B3829" s="2" t="s">
        <v>17358</v>
      </c>
      <c r="C3829" s="5" t="s">
        <v>2128</v>
      </c>
      <c r="D3829" s="5" t="s">
        <v>62</v>
      </c>
      <c r="E3829" s="5" t="n">
        <v>5</v>
      </c>
      <c r="F3829" s="5" t="s">
        <v>413</v>
      </c>
      <c r="G3829" s="2" t="s">
        <v>367</v>
      </c>
      <c r="H3829" s="5" t="s">
        <v>8336</v>
      </c>
      <c r="I3829" s="5"/>
      <c r="J3829" s="5"/>
      <c r="K3829" s="5" t="s">
        <v>17359</v>
      </c>
    </row>
    <row r="3830" customFormat="false" ht="15" hidden="false" customHeight="false" outlineLevel="0" collapsed="false">
      <c r="A3830" s="5" t="s">
        <v>17360</v>
      </c>
      <c r="B3830" s="2" t="s">
        <v>17361</v>
      </c>
      <c r="C3830" s="5" t="s">
        <v>2128</v>
      </c>
      <c r="D3830" s="5" t="s">
        <v>62</v>
      </c>
      <c r="E3830" s="5" t="n">
        <v>9</v>
      </c>
      <c r="F3830" s="5" t="s">
        <v>413</v>
      </c>
      <c r="G3830" s="2" t="s">
        <v>367</v>
      </c>
      <c r="H3830" s="5" t="s">
        <v>8336</v>
      </c>
      <c r="I3830" s="5"/>
      <c r="J3830" s="5"/>
      <c r="K3830" s="5" t="s">
        <v>17362</v>
      </c>
    </row>
    <row r="3831" customFormat="false" ht="23.85" hidden="false" customHeight="false" outlineLevel="0" collapsed="false">
      <c r="A3831" s="5" t="s">
        <v>17363</v>
      </c>
      <c r="B3831" s="2" t="s">
        <v>17364</v>
      </c>
      <c r="C3831" s="5" t="s">
        <v>2128</v>
      </c>
      <c r="D3831" s="5" t="s">
        <v>62</v>
      </c>
      <c r="E3831" s="5" t="n">
        <v>7</v>
      </c>
      <c r="F3831" s="5" t="s">
        <v>413</v>
      </c>
      <c r="G3831" s="2" t="s">
        <v>367</v>
      </c>
      <c r="H3831" s="5" t="s">
        <v>8336</v>
      </c>
      <c r="I3831" s="5"/>
      <c r="J3831" s="5"/>
      <c r="K3831" s="5" t="s">
        <v>17365</v>
      </c>
    </row>
    <row r="3832" customFormat="false" ht="15" hidden="false" customHeight="false" outlineLevel="0" collapsed="false">
      <c r="A3832" s="5" t="s">
        <v>17366</v>
      </c>
      <c r="B3832" s="2" t="s">
        <v>17367</v>
      </c>
      <c r="C3832" s="5" t="s">
        <v>2128</v>
      </c>
      <c r="D3832" s="5" t="s">
        <v>62</v>
      </c>
      <c r="E3832" s="5" t="n">
        <v>5</v>
      </c>
      <c r="F3832" s="5" t="s">
        <v>90</v>
      </c>
      <c r="G3832" s="2" t="s">
        <v>367</v>
      </c>
      <c r="H3832" s="5" t="s">
        <v>8336</v>
      </c>
      <c r="I3832" s="5"/>
      <c r="J3832" s="5"/>
      <c r="K3832" s="5" t="s">
        <v>17368</v>
      </c>
    </row>
    <row r="3833" customFormat="false" ht="15" hidden="false" customHeight="false" outlineLevel="0" collapsed="false">
      <c r="A3833" s="5" t="s">
        <v>17369</v>
      </c>
      <c r="B3833" s="2" t="s">
        <v>17370</v>
      </c>
      <c r="C3833" s="5" t="s">
        <v>2128</v>
      </c>
      <c r="D3833" s="5" t="s">
        <v>62</v>
      </c>
      <c r="E3833" s="5" t="n">
        <v>5</v>
      </c>
      <c r="F3833" s="5" t="s">
        <v>90</v>
      </c>
      <c r="G3833" s="2" t="s">
        <v>367</v>
      </c>
      <c r="H3833" s="5" t="s">
        <v>8336</v>
      </c>
      <c r="I3833" s="5"/>
      <c r="J3833" s="5"/>
      <c r="K3833" s="5" t="s">
        <v>17371</v>
      </c>
    </row>
    <row r="3834" customFormat="false" ht="23.85" hidden="false" customHeight="false" outlineLevel="0" collapsed="false">
      <c r="A3834" s="5" t="s">
        <v>17372</v>
      </c>
      <c r="B3834" s="2" t="s">
        <v>17373</v>
      </c>
      <c r="C3834" s="5" t="s">
        <v>2128</v>
      </c>
      <c r="D3834" s="5" t="s">
        <v>62</v>
      </c>
      <c r="E3834" s="5" t="n">
        <v>5</v>
      </c>
      <c r="F3834" s="5" t="s">
        <v>67</v>
      </c>
      <c r="G3834" s="2" t="s">
        <v>367</v>
      </c>
      <c r="H3834" s="5" t="s">
        <v>8336</v>
      </c>
      <c r="I3834" s="5"/>
      <c r="J3834" s="5"/>
      <c r="K3834" s="5" t="s">
        <v>17374</v>
      </c>
    </row>
    <row r="3835" customFormat="false" ht="15" hidden="false" customHeight="false" outlineLevel="0" collapsed="false">
      <c r="A3835" s="5" t="s">
        <v>17375</v>
      </c>
      <c r="B3835" s="2" t="s">
        <v>17376</v>
      </c>
      <c r="C3835" s="5" t="s">
        <v>2128</v>
      </c>
      <c r="D3835" s="5" t="s">
        <v>62</v>
      </c>
      <c r="E3835" s="5" t="n">
        <v>7</v>
      </c>
      <c r="F3835" s="5" t="s">
        <v>90</v>
      </c>
      <c r="G3835" s="2" t="s">
        <v>367</v>
      </c>
      <c r="H3835" s="5" t="s">
        <v>8336</v>
      </c>
      <c r="I3835" s="5"/>
      <c r="J3835" s="5"/>
      <c r="K3835" s="5" t="s">
        <v>17377</v>
      </c>
    </row>
    <row r="3836" customFormat="false" ht="15" hidden="false" customHeight="false" outlineLevel="0" collapsed="false">
      <c r="A3836" s="5" t="s">
        <v>17378</v>
      </c>
      <c r="B3836" s="2" t="s">
        <v>17379</v>
      </c>
      <c r="C3836" s="5" t="s">
        <v>2128</v>
      </c>
      <c r="D3836" s="5" t="s">
        <v>62</v>
      </c>
      <c r="E3836" s="5" t="n">
        <v>7</v>
      </c>
      <c r="F3836" s="5" t="s">
        <v>90</v>
      </c>
      <c r="G3836" s="2" t="s">
        <v>367</v>
      </c>
      <c r="H3836" s="5" t="s">
        <v>8336</v>
      </c>
      <c r="I3836" s="5"/>
      <c r="J3836" s="5"/>
      <c r="K3836" s="5" t="s">
        <v>17380</v>
      </c>
    </row>
    <row r="3837" customFormat="false" ht="15" hidden="false" customHeight="false" outlineLevel="0" collapsed="false">
      <c r="A3837" s="5" t="s">
        <v>17381</v>
      </c>
      <c r="B3837" s="2" t="s">
        <v>17382</v>
      </c>
      <c r="C3837" s="5" t="s">
        <v>2128</v>
      </c>
      <c r="D3837" s="5" t="s">
        <v>62</v>
      </c>
      <c r="E3837" s="5" t="n">
        <v>5</v>
      </c>
      <c r="F3837" s="5" t="s">
        <v>67</v>
      </c>
      <c r="G3837" s="2" t="s">
        <v>367</v>
      </c>
      <c r="H3837" s="5" t="s">
        <v>8336</v>
      </c>
      <c r="I3837" s="5"/>
      <c r="J3837" s="5"/>
      <c r="K3837" s="5" t="s">
        <v>17383</v>
      </c>
    </row>
    <row r="3838" customFormat="false" ht="46.25" hidden="false" customHeight="false" outlineLevel="0" collapsed="false">
      <c r="A3838" s="5" t="s">
        <v>17384</v>
      </c>
      <c r="B3838" s="2" t="s">
        <v>17385</v>
      </c>
      <c r="C3838" s="5" t="s">
        <v>2245</v>
      </c>
      <c r="D3838" s="5" t="s">
        <v>490</v>
      </c>
      <c r="E3838" s="5" t="n">
        <v>7</v>
      </c>
      <c r="F3838" s="5" t="s">
        <v>67</v>
      </c>
      <c r="G3838" s="2" t="s">
        <v>12057</v>
      </c>
      <c r="H3838" s="5" t="s">
        <v>8336</v>
      </c>
      <c r="I3838" s="5"/>
      <c r="J3838" s="5"/>
      <c r="K3838" s="5" t="s">
        <v>17386</v>
      </c>
    </row>
    <row r="3839" customFormat="false" ht="15" hidden="false" customHeight="false" outlineLevel="0" collapsed="false">
      <c r="A3839" s="5" t="s">
        <v>17387</v>
      </c>
      <c r="B3839" s="2" t="s">
        <v>17388</v>
      </c>
      <c r="C3839" s="5" t="s">
        <v>2128</v>
      </c>
      <c r="D3839" s="5" t="s">
        <v>62</v>
      </c>
      <c r="E3839" s="5" t="n">
        <v>5</v>
      </c>
      <c r="F3839" s="5" t="s">
        <v>90</v>
      </c>
      <c r="G3839" s="2" t="s">
        <v>367</v>
      </c>
      <c r="H3839" s="5" t="s">
        <v>8336</v>
      </c>
      <c r="I3839" s="5"/>
      <c r="J3839" s="5"/>
      <c r="K3839" s="5" t="s">
        <v>17389</v>
      </c>
    </row>
    <row r="3840" customFormat="false" ht="46.25" hidden="false" customHeight="false" outlineLevel="0" collapsed="false">
      <c r="A3840" s="5" t="s">
        <v>17390</v>
      </c>
      <c r="B3840" s="2" t="s">
        <v>17391</v>
      </c>
      <c r="C3840" s="5" t="s">
        <v>2245</v>
      </c>
      <c r="D3840" s="5" t="s">
        <v>62</v>
      </c>
      <c r="E3840" s="5" t="n">
        <v>7</v>
      </c>
      <c r="F3840" s="5" t="s">
        <v>90</v>
      </c>
      <c r="G3840" s="2" t="s">
        <v>12057</v>
      </c>
      <c r="H3840" s="5" t="s">
        <v>8336</v>
      </c>
      <c r="I3840" s="5"/>
      <c r="J3840" s="5"/>
      <c r="K3840" s="5" t="s">
        <v>17392</v>
      </c>
    </row>
    <row r="3841" customFormat="false" ht="23.85" hidden="false" customHeight="false" outlineLevel="0" collapsed="false">
      <c r="A3841" s="5" t="s">
        <v>17393</v>
      </c>
      <c r="B3841" s="2" t="s">
        <v>17394</v>
      </c>
      <c r="C3841" s="5" t="s">
        <v>2128</v>
      </c>
      <c r="D3841" s="5" t="s">
        <v>62</v>
      </c>
      <c r="E3841" s="5" t="n">
        <v>5</v>
      </c>
      <c r="F3841" s="5" t="s">
        <v>90</v>
      </c>
      <c r="G3841" s="2" t="s">
        <v>367</v>
      </c>
      <c r="H3841" s="5" t="s">
        <v>8336</v>
      </c>
      <c r="I3841" s="5"/>
      <c r="J3841" s="5"/>
      <c r="K3841" s="5" t="s">
        <v>17395</v>
      </c>
    </row>
    <row r="3842" customFormat="false" ht="15" hidden="false" customHeight="false" outlineLevel="0" collapsed="false">
      <c r="A3842" s="5" t="s">
        <v>2114</v>
      </c>
      <c r="B3842" s="2" t="s">
        <v>2115</v>
      </c>
      <c r="C3842" s="5" t="s">
        <v>488</v>
      </c>
      <c r="D3842" s="5" t="s">
        <v>62</v>
      </c>
      <c r="E3842" s="5" t="n">
        <v>7</v>
      </c>
      <c r="F3842" s="5" t="s">
        <v>100</v>
      </c>
      <c r="G3842" s="2" t="s">
        <v>367</v>
      </c>
      <c r="H3842" s="5" t="s">
        <v>8332</v>
      </c>
      <c r="I3842" s="5" t="s">
        <v>60</v>
      </c>
      <c r="J3842" s="5" t="s">
        <v>100</v>
      </c>
      <c r="K3842" s="5" t="s">
        <v>2118</v>
      </c>
    </row>
    <row r="3843" customFormat="false" ht="15" hidden="false" customHeight="false" outlineLevel="0" collapsed="false">
      <c r="A3843" s="5" t="s">
        <v>17396</v>
      </c>
      <c r="B3843" s="2" t="s">
        <v>17397</v>
      </c>
      <c r="C3843" s="5" t="s">
        <v>2128</v>
      </c>
      <c r="D3843" s="5" t="s">
        <v>62</v>
      </c>
      <c r="E3843" s="5" t="n">
        <v>5</v>
      </c>
      <c r="F3843" s="5" t="s">
        <v>67</v>
      </c>
      <c r="G3843" s="2" t="s">
        <v>367</v>
      </c>
      <c r="H3843" s="5" t="s">
        <v>8336</v>
      </c>
      <c r="I3843" s="5"/>
      <c r="J3843" s="5"/>
      <c r="K3843" s="5" t="s">
        <v>17398</v>
      </c>
    </row>
    <row r="3844" customFormat="false" ht="46.25" hidden="false" customHeight="false" outlineLevel="0" collapsed="false">
      <c r="A3844" s="5" t="s">
        <v>17399</v>
      </c>
      <c r="B3844" s="2" t="s">
        <v>17400</v>
      </c>
      <c r="C3844" s="5" t="s">
        <v>2245</v>
      </c>
      <c r="D3844" s="5" t="s">
        <v>62</v>
      </c>
      <c r="E3844" s="5" t="n">
        <v>7</v>
      </c>
      <c r="F3844" s="5" t="s">
        <v>67</v>
      </c>
      <c r="G3844" s="2" t="s">
        <v>12057</v>
      </c>
      <c r="H3844" s="5" t="s">
        <v>8336</v>
      </c>
      <c r="I3844" s="5"/>
      <c r="J3844" s="5"/>
      <c r="K3844" s="5" t="s">
        <v>17401</v>
      </c>
    </row>
    <row r="3845" customFormat="false" ht="46.25" hidden="false" customHeight="false" outlineLevel="0" collapsed="false">
      <c r="A3845" s="5" t="s">
        <v>6475</v>
      </c>
      <c r="B3845" s="2" t="s">
        <v>6476</v>
      </c>
      <c r="C3845" s="5" t="s">
        <v>2245</v>
      </c>
      <c r="D3845" s="5" t="s">
        <v>490</v>
      </c>
      <c r="E3845" s="5" t="n">
        <v>9</v>
      </c>
      <c r="F3845" s="5" t="s">
        <v>2079</v>
      </c>
      <c r="G3845" s="2" t="s">
        <v>12077</v>
      </c>
      <c r="H3845" s="5" t="s">
        <v>8332</v>
      </c>
      <c r="I3845" s="5" t="s">
        <v>4760</v>
      </c>
      <c r="J3845" s="5" t="s">
        <v>2079</v>
      </c>
      <c r="K3845" s="5" t="s">
        <v>6480</v>
      </c>
    </row>
    <row r="3846" customFormat="false" ht="46.25" hidden="false" customHeight="false" outlineLevel="0" collapsed="false">
      <c r="A3846" s="5" t="s">
        <v>17402</v>
      </c>
      <c r="B3846" s="2" t="s">
        <v>17403</v>
      </c>
      <c r="C3846" s="5" t="s">
        <v>2245</v>
      </c>
      <c r="D3846" s="5" t="s">
        <v>490</v>
      </c>
      <c r="E3846" s="5" t="n">
        <v>5</v>
      </c>
      <c r="F3846" s="5" t="s">
        <v>1210</v>
      </c>
      <c r="G3846" s="2" t="s">
        <v>12054</v>
      </c>
      <c r="H3846" s="5" t="s">
        <v>8336</v>
      </c>
      <c r="I3846" s="5"/>
      <c r="J3846" s="5"/>
      <c r="K3846" s="5" t="s">
        <v>17404</v>
      </c>
    </row>
    <row r="3847" customFormat="false" ht="46.25" hidden="false" customHeight="false" outlineLevel="0" collapsed="false">
      <c r="A3847" s="5" t="s">
        <v>17405</v>
      </c>
      <c r="B3847" s="2" t="s">
        <v>17406</v>
      </c>
      <c r="C3847" s="5" t="s">
        <v>2245</v>
      </c>
      <c r="D3847" s="5" t="s">
        <v>62</v>
      </c>
      <c r="E3847" s="5" t="n">
        <v>5</v>
      </c>
      <c r="F3847" s="5" t="s">
        <v>1210</v>
      </c>
      <c r="G3847" s="2" t="s">
        <v>12054</v>
      </c>
      <c r="H3847" s="5" t="s">
        <v>8336</v>
      </c>
      <c r="I3847" s="5"/>
      <c r="J3847" s="5"/>
      <c r="K3847" s="5" t="s">
        <v>17407</v>
      </c>
    </row>
    <row r="3848" customFormat="false" ht="46.25" hidden="false" customHeight="false" outlineLevel="0" collapsed="false">
      <c r="A3848" s="5" t="s">
        <v>17408</v>
      </c>
      <c r="B3848" s="2" t="s">
        <v>17409</v>
      </c>
      <c r="C3848" s="5" t="s">
        <v>2245</v>
      </c>
      <c r="D3848" s="5" t="s">
        <v>62</v>
      </c>
      <c r="E3848" s="5" t="n">
        <v>5</v>
      </c>
      <c r="F3848" s="5" t="s">
        <v>1210</v>
      </c>
      <c r="G3848" s="2" t="s">
        <v>12054</v>
      </c>
      <c r="H3848" s="5" t="s">
        <v>8336</v>
      </c>
      <c r="I3848" s="5"/>
      <c r="J3848" s="5"/>
      <c r="K3848" s="5" t="s">
        <v>17410</v>
      </c>
    </row>
    <row r="3849" customFormat="false" ht="15" hidden="false" customHeight="false" outlineLevel="0" collapsed="false">
      <c r="A3849" s="5" t="s">
        <v>17411</v>
      </c>
      <c r="B3849" s="2" t="s">
        <v>17412</v>
      </c>
      <c r="C3849" s="5" t="s">
        <v>2128</v>
      </c>
      <c r="D3849" s="5" t="s">
        <v>62</v>
      </c>
      <c r="E3849" s="5" t="n">
        <v>9</v>
      </c>
      <c r="F3849" s="5" t="s">
        <v>8702</v>
      </c>
      <c r="G3849" s="2" t="s">
        <v>9539</v>
      </c>
      <c r="H3849" s="5" t="s">
        <v>8336</v>
      </c>
      <c r="I3849" s="5"/>
      <c r="J3849" s="5"/>
      <c r="K3849" s="5" t="s">
        <v>17413</v>
      </c>
    </row>
    <row r="3850" customFormat="false" ht="23.85" hidden="false" customHeight="false" outlineLevel="0" collapsed="false">
      <c r="A3850" s="5" t="s">
        <v>2119</v>
      </c>
      <c r="B3850" s="2" t="s">
        <v>2120</v>
      </c>
      <c r="C3850" s="5" t="s">
        <v>488</v>
      </c>
      <c r="D3850" s="5" t="s">
        <v>62</v>
      </c>
      <c r="E3850" s="5" t="n">
        <v>9</v>
      </c>
      <c r="F3850" s="5" t="s">
        <v>100</v>
      </c>
      <c r="G3850" s="2" t="s">
        <v>8682</v>
      </c>
      <c r="H3850" s="5" t="s">
        <v>8332</v>
      </c>
      <c r="I3850" s="5" t="s">
        <v>60</v>
      </c>
      <c r="J3850" s="5" t="s">
        <v>100</v>
      </c>
      <c r="K3850" s="5" t="s">
        <v>2125</v>
      </c>
    </row>
    <row r="3851" customFormat="false" ht="23.85" hidden="false" customHeight="false" outlineLevel="0" collapsed="false">
      <c r="A3851" s="5" t="s">
        <v>17414</v>
      </c>
      <c r="B3851" s="2" t="s">
        <v>17415</v>
      </c>
      <c r="C3851" s="5" t="s">
        <v>2128</v>
      </c>
      <c r="D3851" s="5" t="s">
        <v>62</v>
      </c>
      <c r="E3851" s="5" t="n">
        <v>7</v>
      </c>
      <c r="F3851" s="5" t="s">
        <v>277</v>
      </c>
      <c r="G3851" s="2" t="s">
        <v>8682</v>
      </c>
      <c r="H3851" s="5" t="s">
        <v>8336</v>
      </c>
      <c r="I3851" s="5"/>
      <c r="J3851" s="5"/>
      <c r="K3851" s="5" t="s">
        <v>17416</v>
      </c>
    </row>
    <row r="3852" customFormat="false" ht="15" hidden="false" customHeight="false" outlineLevel="0" collapsed="false">
      <c r="A3852" s="5" t="s">
        <v>17417</v>
      </c>
      <c r="B3852" s="2" t="s">
        <v>17418</v>
      </c>
      <c r="C3852" s="5" t="s">
        <v>2128</v>
      </c>
      <c r="D3852" s="5" t="s">
        <v>62</v>
      </c>
      <c r="E3852" s="5" t="n">
        <v>9</v>
      </c>
      <c r="F3852" s="5" t="s">
        <v>536</v>
      </c>
      <c r="G3852" s="2" t="s">
        <v>11498</v>
      </c>
      <c r="H3852" s="5" t="s">
        <v>8336</v>
      </c>
      <c r="I3852" s="5"/>
      <c r="J3852" s="5"/>
      <c r="K3852" s="5" t="s">
        <v>17419</v>
      </c>
    </row>
    <row r="3853" customFormat="false" ht="23.85" hidden="false" customHeight="false" outlineLevel="0" collapsed="false">
      <c r="A3853" s="5" t="s">
        <v>17420</v>
      </c>
      <c r="B3853" s="2" t="s">
        <v>17421</v>
      </c>
      <c r="C3853" s="5" t="s">
        <v>2128</v>
      </c>
      <c r="D3853" s="5" t="s">
        <v>62</v>
      </c>
      <c r="E3853" s="5" t="n">
        <v>10</v>
      </c>
      <c r="F3853" s="5" t="s">
        <v>8902</v>
      </c>
      <c r="G3853" s="2" t="s">
        <v>17422</v>
      </c>
      <c r="H3853" s="5" t="s">
        <v>8336</v>
      </c>
      <c r="I3853" s="5"/>
      <c r="J3853" s="5"/>
      <c r="K3853" s="5" t="s">
        <v>17423</v>
      </c>
    </row>
    <row r="3854" customFormat="false" ht="23.85" hidden="false" customHeight="false" outlineLevel="0" collapsed="false">
      <c r="A3854" s="5" t="s">
        <v>17424</v>
      </c>
      <c r="B3854" s="2" t="s">
        <v>17425</v>
      </c>
      <c r="C3854" s="5" t="s">
        <v>2128</v>
      </c>
      <c r="D3854" s="5" t="s">
        <v>62</v>
      </c>
      <c r="E3854" s="5" t="n">
        <v>10</v>
      </c>
      <c r="F3854" s="5" t="s">
        <v>8902</v>
      </c>
      <c r="G3854" s="2" t="s">
        <v>17422</v>
      </c>
      <c r="H3854" s="5" t="s">
        <v>8336</v>
      </c>
      <c r="I3854" s="5"/>
      <c r="J3854" s="5"/>
      <c r="K3854" s="5" t="s">
        <v>17426</v>
      </c>
    </row>
    <row r="3855" customFormat="false" ht="23.85" hidden="false" customHeight="false" outlineLevel="0" collapsed="false">
      <c r="A3855" s="5" t="s">
        <v>17427</v>
      </c>
      <c r="B3855" s="2" t="s">
        <v>17428</v>
      </c>
      <c r="C3855" s="5" t="s">
        <v>2128</v>
      </c>
      <c r="D3855" s="5" t="s">
        <v>62</v>
      </c>
      <c r="E3855" s="5" t="n">
        <v>9</v>
      </c>
      <c r="F3855" s="5" t="s">
        <v>8902</v>
      </c>
      <c r="G3855" s="2" t="s">
        <v>17422</v>
      </c>
      <c r="H3855" s="5" t="s">
        <v>8336</v>
      </c>
      <c r="I3855" s="5"/>
      <c r="J3855" s="5"/>
      <c r="K3855" s="5" t="s">
        <v>17429</v>
      </c>
    </row>
    <row r="3856" customFormat="false" ht="23.85" hidden="false" customHeight="false" outlineLevel="0" collapsed="false">
      <c r="A3856" s="5" t="s">
        <v>17430</v>
      </c>
      <c r="B3856" s="2" t="s">
        <v>17431</v>
      </c>
      <c r="C3856" s="5" t="s">
        <v>2128</v>
      </c>
      <c r="D3856" s="5" t="s">
        <v>62</v>
      </c>
      <c r="E3856" s="5" t="n">
        <v>9</v>
      </c>
      <c r="F3856" s="5" t="s">
        <v>8902</v>
      </c>
      <c r="G3856" s="2" t="s">
        <v>17422</v>
      </c>
      <c r="H3856" s="5" t="s">
        <v>8336</v>
      </c>
      <c r="I3856" s="5"/>
      <c r="J3856" s="5"/>
      <c r="K3856" s="5" t="s">
        <v>17432</v>
      </c>
    </row>
    <row r="3857" customFormat="false" ht="23.85" hidden="false" customHeight="false" outlineLevel="0" collapsed="false">
      <c r="A3857" s="5" t="s">
        <v>17433</v>
      </c>
      <c r="B3857" s="2" t="s">
        <v>17434</v>
      </c>
      <c r="C3857" s="5" t="s">
        <v>2128</v>
      </c>
      <c r="D3857" s="5" t="s">
        <v>62</v>
      </c>
      <c r="E3857" s="5" t="n">
        <v>9</v>
      </c>
      <c r="F3857" s="5" t="s">
        <v>8902</v>
      </c>
      <c r="G3857" s="2" t="s">
        <v>17422</v>
      </c>
      <c r="H3857" s="5" t="s">
        <v>8336</v>
      </c>
      <c r="I3857" s="5"/>
      <c r="J3857" s="5"/>
      <c r="K3857" s="5" t="s">
        <v>17435</v>
      </c>
    </row>
    <row r="3858" customFormat="false" ht="15" hidden="false" customHeight="false" outlineLevel="0" collapsed="false">
      <c r="A3858" s="5" t="s">
        <v>4748</v>
      </c>
      <c r="B3858" s="2" t="s">
        <v>4749</v>
      </c>
      <c r="C3858" s="5" t="s">
        <v>2128</v>
      </c>
      <c r="D3858" s="5" t="s">
        <v>62</v>
      </c>
      <c r="E3858" s="5" t="n">
        <v>9</v>
      </c>
      <c r="F3858" s="5" t="s">
        <v>90</v>
      </c>
      <c r="G3858" s="2" t="s">
        <v>4750</v>
      </c>
      <c r="H3858" s="5" t="s">
        <v>8332</v>
      </c>
      <c r="I3858" s="5" t="s">
        <v>60</v>
      </c>
      <c r="J3858" s="5" t="s">
        <v>161</v>
      </c>
      <c r="K3858" s="5" t="s">
        <v>4757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2026-10-06T07:59:15Z</dcterms:created>
  <dc:creator>openpyxl</dc:creator>
  <dc:description/>
  <dc:language>en-US</dc:language>
  <cp:lastModifiedBy/>
  <dcterms:modified xsi:type="dcterms:W3CDTF">2026-10-06T07:59:20Z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